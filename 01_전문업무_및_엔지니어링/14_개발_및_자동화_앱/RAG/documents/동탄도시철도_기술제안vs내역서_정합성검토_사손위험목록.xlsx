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요약_대시보드" sheetId="1" state="visible" r:id="rId1"/>
    <sheet xmlns:r="http://schemas.openxmlformats.org/officeDocument/2006/relationships" name="토목·가시설" sheetId="2" state="visible" r:id="rId2"/>
    <sheet xmlns:r="http://schemas.openxmlformats.org/officeDocument/2006/relationships" name="궤도분야" sheetId="3" state="visible" r:id="rId3"/>
    <sheet xmlns:r="http://schemas.openxmlformats.org/officeDocument/2006/relationships" name="건축·정거장" sheetId="4" state="visible" r:id="rId4"/>
    <sheet xmlns:r="http://schemas.openxmlformats.org/officeDocument/2006/relationships" name="시스템·E&amp;M" sheetId="5" state="visible" r:id="rId5"/>
    <sheet xmlns:r="http://schemas.openxmlformats.org/officeDocument/2006/relationships" name="부대·스마트·유지관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i val="1"/>
      <color rgb="00595959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C0392B"/>
      <sz val="10"/>
    </font>
    <font>
      <name val="맑은 고딕"/>
      <b val="1"/>
      <color rgb="001F4E78"/>
      <sz val="10"/>
      <u val="single"/>
    </font>
    <font>
      <name val="맑은 고딕"/>
      <b val="1"/>
      <color rgb="001F4E78"/>
      <sz val="13"/>
    </font>
    <font>
      <name val="맑은 고딕"/>
      <b val="1"/>
      <color rgb="00900C3F"/>
      <sz val="10"/>
    </font>
    <font>
      <name val="맑은 고딕"/>
      <b val="1"/>
      <color rgb="00B7950B"/>
      <sz val="10"/>
    </font>
    <font>
      <name val="맑은 고딕"/>
      <b val="1"/>
      <color rgb="001E8449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AECEE"/>
        <bgColor rgb="00EAECEE"/>
      </patternFill>
    </fill>
    <fill>
      <patternFill patternType="solid">
        <fgColor rgb="00F2F4F4"/>
        <bgColor rgb="00F2F4F4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8" fillId="0" borderId="0" pivotButton="0" quotePrefix="0" xfId="0"/>
    <xf numFmtId="0" fontId="5" fillId="6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6" customWidth="1" min="4" max="4"/>
    <col width="16" customWidth="1" min="5" max="5"/>
    <col width="18" customWidth="1" min="6" max="6"/>
    <col width="45" customWidth="1" min="7" max="7"/>
    <col width="16" customWidth="1" min="8" max="8"/>
  </cols>
  <sheetData>
    <row r="2">
      <c r="B2" s="1" t="inlineStr">
        <is>
          <t>동탄도시철도 기술제안서 vs 분야별 내역서 불일치·사손위험 종합 리포트</t>
        </is>
      </c>
    </row>
    <row r="3">
      <c r="B3" s="2" t="inlineStr">
        <is>
          <t>분석 목적: 기술제안서/제안서요약서 언급 대비 내역 미반영 항목(무대가 시공 위험) 전수 추출 및 여건보고·설계변경 대응</t>
        </is>
      </c>
    </row>
    <row r="5" ht="28" customHeight="1">
      <c r="B5" s="3" t="inlineStr">
        <is>
          <t>분야구분</t>
        </is>
      </c>
      <c r="C5" s="3" t="inlineStr">
        <is>
          <t>총 항목수</t>
        </is>
      </c>
      <c r="D5" s="3" t="inlineStr">
        <is>
          <t>초대형/대형 사손 (High)</t>
        </is>
      </c>
      <c r="E5" s="3" t="inlineStr">
        <is>
          <t>중형 사손 (Med)</t>
        </is>
      </c>
      <c r="F5" s="3" t="inlineStr">
        <is>
          <t>원가잠식/단가차액 (Low)</t>
        </is>
      </c>
      <c r="G5" s="3" t="inlineStr">
        <is>
          <t>핵심 사손 위험 내용 요약</t>
        </is>
      </c>
      <c r="H5" s="3" t="inlineStr">
        <is>
          <t>시트 바로가기</t>
        </is>
      </c>
    </row>
    <row r="6" ht="24" customHeight="1">
      <c r="B6" s="4" t="inlineStr">
        <is>
          <t>토목·가시설</t>
        </is>
      </c>
      <c r="C6" s="5" t="n">
        <v>6</v>
      </c>
      <c r="D6" s="6" t="n">
        <v>1</v>
      </c>
      <c r="E6" s="5" t="n">
        <v>3</v>
      </c>
      <c r="F6" s="5" t="n">
        <v>2</v>
      </c>
      <c r="G6" s="7" t="inlineStr">
        <is>
          <t>교차로 비개착 무진동 압입, 고압분사 그라우팅, 3D GIS 전산화 등</t>
        </is>
      </c>
      <c r="H6" s="8" t="inlineStr">
        <is>
          <t>이동: 토목·가시설</t>
        </is>
      </c>
    </row>
    <row r="7" ht="24" customHeight="1">
      <c r="B7" s="9" t="inlineStr">
        <is>
          <t>궤도분야</t>
        </is>
      </c>
      <c r="C7" s="10" t="n">
        <v>5</v>
      </c>
      <c r="D7" s="11" t="n">
        <v>1</v>
      </c>
      <c r="E7" s="10" t="n">
        <v>3</v>
      </c>
      <c r="F7" s="10" t="n">
        <v>1</v>
      </c>
      <c r="G7" s="12" t="inlineStr">
        <is>
          <t>매립형 궤도 탄성재(Elastomer), 분기기 전열 융설, Flangeway 인서트 등</t>
        </is>
      </c>
      <c r="H7" s="13" t="inlineStr">
        <is>
          <t>이동: 궤도분야</t>
        </is>
      </c>
    </row>
    <row r="8" ht="24" customHeight="1">
      <c r="B8" s="4" t="inlineStr">
        <is>
          <t>건축·정거장</t>
        </is>
      </c>
      <c r="C8" s="5" t="n">
        <v>4</v>
      </c>
      <c r="D8" s="6" t="n">
        <v>2</v>
      </c>
      <c r="E8" s="5" t="n">
        <v>2</v>
      </c>
      <c r="F8" s="5" t="n">
        <v>0</v>
      </c>
      <c r="G8" s="7" t="inlineStr">
        <is>
          <t>정거장 BIPV/쿨링포그 스마트 캐노피, 306역 보행육교/EV, 안전체험관 등</t>
        </is>
      </c>
      <c r="H8" s="8" t="inlineStr">
        <is>
          <t>이동: 건축·정거장</t>
        </is>
      </c>
    </row>
    <row r="9" ht="24" customHeight="1">
      <c r="B9" s="9" t="inlineStr">
        <is>
          <t>시스템·E&amp;M</t>
        </is>
      </c>
      <c r="C9" s="10" t="n">
        <v>3</v>
      </c>
      <c r="D9" s="11" t="n">
        <v>2</v>
      </c>
      <c r="E9" s="10" t="n">
        <v>1</v>
      </c>
      <c r="F9" s="10" t="n">
        <v>0</v>
      </c>
      <c r="G9" s="12" t="inlineStr">
        <is>
          <t>AI 우선신호(TSP) SW/RSU, 지능형 CCTV 분석서버, 급속충전설비 등</t>
        </is>
      </c>
      <c r="H9" s="13" t="inlineStr">
        <is>
          <t>이동: 시스템·E&amp;M</t>
        </is>
      </c>
    </row>
    <row r="10" ht="24" customHeight="1">
      <c r="B10" s="4" t="inlineStr">
        <is>
          <t>부대·스마트·유지관리</t>
        </is>
      </c>
      <c r="C10" s="5" t="n">
        <v>3</v>
      </c>
      <c r="D10" s="6" t="n">
        <v>1</v>
      </c>
      <c r="E10" s="5" t="n">
        <v>1</v>
      </c>
      <c r="F10" s="5" t="n">
        <v>1</v>
      </c>
      <c r="G10" s="7" t="inlineStr">
        <is>
          <t>3D BIM 전 공종 용역비, 스마트 안전플랫폼, 준공 인계 검측차량 등</t>
        </is>
      </c>
      <c r="H10" s="8" t="inlineStr">
        <is>
          <t>이동: 부대·스마트·유지관리</t>
        </is>
      </c>
    </row>
    <row r="11" ht="26" customHeight="1">
      <c r="B11" s="14" t="inlineStr">
        <is>
          <t>합 계</t>
        </is>
      </c>
      <c r="C11" s="14">
        <f>SUM(C6:C10)</f>
        <v/>
      </c>
      <c r="D11" s="14">
        <f>SUM(D6:D10)</f>
        <v/>
      </c>
      <c r="E11" s="14">
        <f>SUM(E6:E10)</f>
        <v/>
      </c>
      <c r="F11" s="14">
        <f>SUM(F6:F10)</f>
        <v/>
      </c>
      <c r="G11" s="15" t="inlineStr">
        <is>
          <t>총 21개 핵심 사손위험 항목 식별</t>
        </is>
      </c>
      <c r="H11" s="14" t="inlineStr">
        <is>
          <t>전체 시트 연계</t>
        </is>
      </c>
    </row>
    <row r="14">
      <c r="B14" s="16" t="inlineStr">
        <is>
          <t>사손 방지 및 여건보고(설계변경) 4단계 실행 프로토콜</t>
        </is>
      </c>
    </row>
    <row r="15" ht="24" customHeight="1">
      <c r="B15" s="17" t="inlineStr">
        <is>
          <t>1단계: 전수 대조표(Cross-Check) 작성</t>
        </is>
      </c>
      <c r="C15" s="7" t="inlineStr">
        <is>
          <t>제안서 본서/요약서의 모든 특수공법·고급자재 키워드와 도급내역서 일위대가표를 1:1 매핑하여 누락 비목 확정</t>
        </is>
      </c>
    </row>
    <row r="16" ht="24" customHeight="1">
      <c r="B16" s="17" t="inlineStr">
        <is>
          <t>2단계: 사손 위험 등급 분류 및 우선순위화</t>
        </is>
      </c>
      <c r="C16" s="7" t="inlineStr">
        <is>
          <t>High(수십억대 자재/설비 누락: 궤도 엘라스토머, 스마트캐노피, 보행육교), Med(공법차액: 무진동암파쇄, 고압분사), Low(용역비/부대비)</t>
        </is>
      </c>
    </row>
    <row r="17" ht="24" customHeight="1">
      <c r="B17" s="17" t="inlineStr">
        <is>
          <t>3단계: 착공 전 공식 현장 여건보고서 제출</t>
        </is>
      </c>
      <c r="C17" s="7" t="inlineStr">
        <is>
          <t>현장 실측 불일치, 도로점용/하천점용 인허가 조건, 운영사 인터페이스 분장 협의를 명분으로 신규 비목 단가 신설 승인 요청</t>
        </is>
      </c>
    </row>
    <row r="18" ht="24" customHeight="1">
      <c r="B18" s="17" t="inlineStr">
        <is>
          <t>4단계: 시공상세도(Shop Drawing) 승인 연계</t>
        </is>
      </c>
      <c r="C18" s="7" t="inlineStr">
        <is>
          <t>도급내역서에 반영된 표준 규격 기준으로 시공상세도를 제출하고, 발주처의 제안서 사양 요구 시 실정보고 선행 조건부 추진</t>
        </is>
      </c>
    </row>
  </sheetData>
  <mergeCells count="4">
    <mergeCell ref="C18:H18"/>
    <mergeCell ref="C16:H16"/>
    <mergeCell ref="C17:H1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6" customWidth="1" min="4" max="4"/>
    <col width="22" customWidth="1" min="5" max="5"/>
    <col width="36" customWidth="1" min="6" max="6"/>
    <col width="16" customWidth="1" min="7" max="7"/>
    <col width="42" customWidth="1" min="8" max="8"/>
  </cols>
  <sheetData>
    <row r="1">
      <c r="A1" s="1" t="inlineStr">
        <is>
          <t>[토목·가시설] 기술제안서 vs 도급내역서 불일치 및 사손위험 항목 상세 대조표</t>
        </is>
      </c>
    </row>
    <row r="2">
      <c r="A2" s="2" t="inlineStr">
        <is>
          <t>기준: 기술제안서 요약본(종합요약보고서), 분야별 설계보고서 vs 도급내역서 및 일위대가표</t>
        </is>
      </c>
    </row>
    <row r="4" ht="32" customHeight="1">
      <c r="A4" s="3" t="inlineStr">
        <is>
          <t>No.</t>
        </is>
      </c>
      <c r="B4" s="3" t="inlineStr">
        <is>
          <t>항목명 (Item)</t>
        </is>
      </c>
      <c r="C4" s="3" t="inlineStr">
        <is>
          <t>기술제안서·요약본 언급 내용 (제안 공법/사양)</t>
        </is>
      </c>
      <c r="D4" s="3" t="inlineStr">
        <is>
          <t>제안서·요약서 구체적 출처
(파일명 및 페이지)</t>
        </is>
      </c>
      <c r="E4" s="3" t="inlineStr">
        <is>
          <t>대조 도급내역서
(파일명)</t>
        </is>
      </c>
      <c r="F4" s="3" t="inlineStr">
        <is>
          <t>도급내역서 미반영/누락 실태
(공사비 및 일위대가 현황)</t>
        </is>
      </c>
      <c r="G4" s="3" t="inlineStr">
        <is>
          <t>사손 위험 등급</t>
        </is>
      </c>
      <c r="H4" s="3" t="inlineStr">
        <is>
          <t>사손 방지 및 발주처 여건보고 방어 논리</t>
        </is>
      </c>
    </row>
    <row r="5" ht="55" customHeight="1">
      <c r="A5" s="9" t="inlineStr">
        <is>
          <t>C-01</t>
        </is>
      </c>
      <c r="B5" s="18" t="inlineStr">
        <is>
          <t>교차로 비개착 무진동 특수 굴착/압입 공법</t>
        </is>
      </c>
      <c r="C5" s="19" t="inlineStr">
        <is>
          <t>교통 마비 방지를 위한 주요 교차로 비개착 압입 및 무진동 암파쇄 공법 제안</t>
        </is>
      </c>
      <c r="D5" s="19" t="inlineStr">
        <is>
          <t>[제안서요약] p.32~38
[토목제안서] 제3장 토공·가시설 p.142~158</t>
        </is>
      </c>
      <c r="E5" s="20" t="inlineStr">
        <is>
          <t>내역서(철도계획,1공구).xlsx</t>
        </is>
      </c>
      <c r="F5" s="19" t="inlineStr">
        <is>
          <t>토공 집계표: 일반 백호 굴착 및 표준 암발파 단가만 계상
(비개착 압입 추진장비대 및 무진동 할증 단가 일체 누락)</t>
        </is>
      </c>
      <c r="G5" s="21" t="inlineStr">
        <is>
          <t>대형 사손 (High)</t>
        </is>
      </c>
      <c r="H5" s="19" t="inlineStr">
        <is>
          <t>도로점용조건 실측 및 지장물 간섭에 따른 오픈컷 불가 입증 후 특수추진공법 신규 비목 설계변경 추진</t>
        </is>
      </c>
    </row>
    <row r="6" ht="55" customHeight="1">
      <c r="A6" s="4" t="inlineStr">
        <is>
          <t>C-02</t>
        </is>
      </c>
      <c r="B6" s="22" t="inlineStr">
        <is>
          <t>지반침하 방지 스마트 고압분사 차수 그라우팅</t>
        </is>
      </c>
      <c r="C6" s="23" t="inlineStr">
        <is>
          <t>인접 도로 및 구조물 보호를 위한 고압분사식 특수 지반보강 및 차수벽 시공</t>
        </is>
      </c>
      <c r="D6" s="23" t="inlineStr">
        <is>
          <t>[제안서요약] p.42~45
[토목제안서] 제5장 지반보강 p.215~230</t>
        </is>
      </c>
      <c r="E6" s="24" t="inlineStr">
        <is>
          <t>내역서(토질및기초).xlsx</t>
        </is>
      </c>
      <c r="F6" s="23" t="inlineStr">
        <is>
          <t>지반보강공: 표준 저압 LW/SGR 주입 품셈만 반영
(고압분사 전용 플랜트 및 고강도 특수약액 단가 누락)</t>
        </is>
      </c>
      <c r="G6" s="25" t="inlineStr">
        <is>
          <t>중형 사손 (Med)</t>
        </is>
      </c>
      <c r="H6" s="23" t="inlineStr">
        <is>
          <t>현장 시추 주상도 실측치(연약대/파쇄대) 증빙을 통해 고압 그라우팅 일위대가 신설 요청</t>
        </is>
      </c>
    </row>
    <row r="7" ht="55" customHeight="1">
      <c r="A7" s="9" t="inlineStr">
        <is>
          <t>C-03</t>
        </is>
      </c>
      <c r="B7" s="18" t="inlineStr">
        <is>
          <t>도심지 지하 지장물 3D GIS 전산화 등재</t>
        </is>
      </c>
      <c r="C7" s="19" t="inlineStr">
        <is>
          <t>이설 완료된 지중 관로를 지자체 도로관리 전산망에 3D 수치지형도 DB로 구축</t>
        </is>
      </c>
      <c r="D7" s="19" t="inlineStr">
        <is>
          <t>[제안서요약] p.18
[토목제안서] 제7장 부대공 p.320~335</t>
        </is>
      </c>
      <c r="E7" s="20" t="inlineStr">
        <is>
          <t>내역서(철도계획).xlsx</t>
        </is>
      </c>
      <c r="F7" s="19" t="inlineStr">
        <is>
          <t>지장물 이설공: 단순 배관 철거 및 부설 노무비만 계상
(수치지형도 3D GIS 데이터베이스 구축 용역비 누락)</t>
        </is>
      </c>
      <c r="G7" s="26" t="inlineStr">
        <is>
          <t>원가 잠식 (Low)</t>
        </is>
      </c>
      <c r="H7" s="19" t="inlineStr">
        <is>
          <t>지자체 도로관리 조례에 따른 전산화 수용비 별도 실비정산 청구</t>
        </is>
      </c>
    </row>
    <row r="8" ht="55" customHeight="1">
      <c r="A8" s="4" t="inlineStr">
        <is>
          <t>C-04</t>
        </is>
      </c>
      <c r="B8" s="22" t="inlineStr">
        <is>
          <t>수목 중앙분리대 이식 및 유지관리(가식장)</t>
        </is>
      </c>
      <c r="C8" s="23" t="inlineStr">
        <is>
          <t>305~306역 녹지 수목 임시 가식장 이식 및 2년간 수목 활착 관수 관리</t>
        </is>
      </c>
      <c r="D8" s="23" t="inlineStr">
        <is>
          <t>[제안서요약] p.58
[토목제안서] 제2장 현황조사 p.180~195</t>
        </is>
      </c>
      <c r="E8" s="24" t="inlineStr">
        <is>
          <t>내역서(철도계획).xlsx</t>
        </is>
      </c>
      <c r="F8" s="23" t="inlineStr">
        <is>
          <t>부대공/조경: 단순 지장 수목 벌목 및 폐기물 처리비만 계상
(가식장 부지 임대료, 굴취, 운반, 관수 관리비 전무)</t>
        </is>
      </c>
      <c r="G8" s="25" t="inlineStr">
        <is>
          <t>중형 사손 (Med)</t>
        </is>
      </c>
      <c r="H8" s="23" t="inlineStr">
        <is>
          <t>지자체 공공수목 이식 심의 결과에 따라 조경공사 이식비 설계변경 반영</t>
        </is>
      </c>
    </row>
    <row r="9" ht="55" customHeight="1">
      <c r="A9" s="9" t="inlineStr">
        <is>
          <t>C-05</t>
        </is>
      </c>
      <c r="B9" s="18" t="inlineStr">
        <is>
          <t>오산천 하천 중첩구간 특수 수중가물막이</t>
        </is>
      </c>
      <c r="C9" s="19" t="inlineStr">
        <is>
          <t>오산천변 공사 중첩구간 오염방지용 특수 수중 시트파일 및 차수벽 설치</t>
        </is>
      </c>
      <c r="D9" s="19" t="inlineStr">
        <is>
          <t>[제안서요약] p.48~50
[토목제안서] 제6장 하천공 p.260~275</t>
        </is>
      </c>
      <c r="E9" s="20" t="inlineStr">
        <is>
          <t>내역서(구조,교량).xlsx</t>
        </is>
      </c>
      <c r="F9" s="19" t="inlineStr">
        <is>
          <t>가시설공: 일반 육상 시트파일 단가만 반영
(하천 수중가물막이 가설비 및 오탁방지막 유지관리비 누락)</t>
        </is>
      </c>
      <c r="G9" s="25" t="inlineStr">
        <is>
          <t>중형 사손 (Med)</t>
        </is>
      </c>
      <c r="H9" s="19" t="inlineStr">
        <is>
          <t>하천점용 인허가 조건 및 홍수기 수위변동에 따른 가설공사비 실정보고</t>
        </is>
      </c>
    </row>
    <row r="10" ht="55" customHeight="1">
      <c r="A10" s="4" t="inlineStr">
        <is>
          <t>C-06</t>
        </is>
      </c>
      <c r="B10" s="22" t="inlineStr">
        <is>
          <t>반월고가교 근접구간 방호벽/안전난간</t>
        </is>
      </c>
      <c r="C10" s="23" t="inlineStr">
        <is>
          <t>101~102역 고가교 하부 통과 시 차량 방호용 SB5등급 고강도 콘크리트 방호벽</t>
        </is>
      </c>
      <c r="D10" s="23" t="inlineStr">
        <is>
          <t>[제안서요약] p.36
[토목제안서] 제4장 도로안전 p.240~255</t>
        </is>
      </c>
      <c r="E10" s="24" t="inlineStr">
        <is>
          <t>내역서(철도계획).xlsx</t>
        </is>
      </c>
      <c r="F10" s="23" t="inlineStr">
        <is>
          <t>도로안전시설: 일반 표준 가드레일만 반영
(SB5등급 이상 고강도 콘크리트 방호벽 단가 누락)</t>
        </is>
      </c>
      <c r="G10" s="26" t="inlineStr">
        <is>
          <t>단가 차액 (Low)</t>
        </is>
      </c>
      <c r="H10" s="23" t="inlineStr">
        <is>
          <t>교량 관리주체(용인시/화성시) 안전기준 강화에 따른 내역 반영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6" customWidth="1" min="4" max="4"/>
    <col width="22" customWidth="1" min="5" max="5"/>
    <col width="36" customWidth="1" min="6" max="6"/>
    <col width="16" customWidth="1" min="7" max="7"/>
    <col width="42" customWidth="1" min="8" max="8"/>
  </cols>
  <sheetData>
    <row r="1">
      <c r="A1" s="1" t="inlineStr">
        <is>
          <t>[궤도분야] 기술제안서 vs 도급내역서 불일치 및 사손위험 항목 상세 대조표</t>
        </is>
      </c>
    </row>
    <row r="2">
      <c r="A2" s="2" t="inlineStr">
        <is>
          <t>기준: 기술제안서 요약본(종합요약보고서), 분야별 설계보고서 vs 도급내역서 및 일위대가표</t>
        </is>
      </c>
    </row>
    <row r="4" ht="32" customHeight="1">
      <c r="A4" s="3" t="inlineStr">
        <is>
          <t>No.</t>
        </is>
      </c>
      <c r="B4" s="3" t="inlineStr">
        <is>
          <t>항목명 (Item)</t>
        </is>
      </c>
      <c r="C4" s="3" t="inlineStr">
        <is>
          <t>기술제안서·요약본 언급 내용 (제안 공법/사양)</t>
        </is>
      </c>
      <c r="D4" s="3" t="inlineStr">
        <is>
          <t>제안서·요약서 구체적 출처
(파일명 및 페이지)</t>
        </is>
      </c>
      <c r="E4" s="3" t="inlineStr">
        <is>
          <t>대조 도급내역서
(파일명)</t>
        </is>
      </c>
      <c r="F4" s="3" t="inlineStr">
        <is>
          <t>도급내역서 미반영/누락 실태
(공사비 및 일위대가 현황)</t>
        </is>
      </c>
      <c r="G4" s="3" t="inlineStr">
        <is>
          <t>사손 위험 등급</t>
        </is>
      </c>
      <c r="H4" s="3" t="inlineStr">
        <is>
          <t>사손 방지 및 발주처 여건보고 방어 논리</t>
        </is>
      </c>
    </row>
    <row r="5" ht="55" customHeight="1">
      <c r="A5" s="9" t="inlineStr">
        <is>
          <t>T-01</t>
        </is>
      </c>
      <c r="B5" s="18" t="inlineStr">
        <is>
          <t>매립형 궤도 고탄성 수지 (Elastomer Resin)</t>
        </is>
      </c>
      <c r="C5" s="19" t="inlineStr">
        <is>
          <t>Grooved Rail 전구간 소음/진동 저감용 폴리머 고탄성 수지 충전재 연속 타설</t>
        </is>
      </c>
      <c r="D5" s="19" t="inlineStr">
        <is>
          <t>[제안서요약] p.52~58
[궤도제안서] 제4장 궤도구조설계 p.78~95</t>
        </is>
      </c>
      <c r="E5" s="20" t="inlineStr">
        <is>
          <t>내역서(궤도분야).xlsx</t>
        </is>
      </c>
      <c r="F5" s="19" t="inlineStr">
        <is>
          <t>궤도공/도상: 표준 콘크리트 타설 및 일반 고무패드만 반영
(수입/특수 엘라스토머 레일 수지 충전재 자재비 전액 누락)</t>
        </is>
      </c>
      <c r="G5" s="21" t="inlineStr">
        <is>
          <t>초대형 사손 (High)</t>
        </is>
      </c>
      <c r="H5" s="19" t="inlineStr">
        <is>
          <t>국내 공인 표준 충전재로 사양 조정(Shop Drawing 승인) 또는 자재차액 설계변경</t>
        </is>
      </c>
    </row>
    <row r="6" ht="55" customHeight="1">
      <c r="A6" s="4" t="inlineStr">
        <is>
          <t>T-02</t>
        </is>
      </c>
      <c r="B6" s="22" t="inlineStr">
        <is>
          <t>분기기 자동 전열 융설(히팅) 시스템</t>
        </is>
      </c>
      <c r="C6" s="23" t="inlineStr">
        <is>
          <t>동절기 선로전환기 결빙방지 원격제어 히팅케이블 및 자동제어반 설치</t>
        </is>
      </c>
      <c r="D6" s="23" t="inlineStr">
        <is>
          <t>[제안서요약] p.62
[궤도제안서] 제6장 부속설비 p.120~135</t>
        </is>
      </c>
      <c r="E6" s="24" t="inlineStr">
        <is>
          <t>내역서(궤도분야).xlsx</t>
        </is>
      </c>
      <c r="F6" s="23" t="inlineStr">
        <is>
          <t>궤도부속공: 일반 수동 제설 기준만 계상
(전열 히터 모듈, 전원 공급선로, 자동제어반 비목 전무)</t>
        </is>
      </c>
      <c r="G6" s="25" t="inlineStr">
        <is>
          <t>중형 사손 (Med)</t>
        </is>
      </c>
      <c r="H6" s="23" t="inlineStr">
        <is>
          <t>철도운영사 유지관리 분장 협의를 통해 운영사 설비분장으로 분리 이관</t>
        </is>
      </c>
    </row>
    <row r="7" ht="55" customHeight="1">
      <c r="A7" s="9" t="inlineStr">
        <is>
          <t>T-03</t>
        </is>
      </c>
      <c r="B7" s="18" t="inlineStr">
        <is>
          <t>교차로 Flangeway 탄성 인서트 커버</t>
        </is>
      </c>
      <c r="C7" s="19" t="inlineStr">
        <is>
          <t>자전거/보행자 바퀴 끼임 방지 특수 고무 플랜지웨이 인서트재</t>
        </is>
      </c>
      <c r="D7" s="19" t="inlineStr">
        <is>
          <t>[정합성보고서] Row 11
[궤도제안서] 제4장 평면교차로 p.98~112</t>
        </is>
      </c>
      <c r="E7" s="20" t="inlineStr">
        <is>
          <t>내역서(궤도분야).xlsx</t>
        </is>
      </c>
      <c r="F7" s="19" t="inlineStr">
        <is>
          <t>궤도공: 기본 매립형 레일 부설 단가만 포함
(특수 플랜지웨이 인서트재 구매 및 시공비 일체 누락)</t>
        </is>
      </c>
      <c r="G7" s="25" t="inlineStr">
        <is>
          <t>중형 사손 (Med)</t>
        </is>
      </c>
      <c r="H7" s="19" t="inlineStr">
        <is>
          <t>도로교통 안전성 평가 결과에 따라 사고 다발 교차로에 한정 축소 적용</t>
        </is>
      </c>
    </row>
    <row r="8" ht="55" customHeight="1">
      <c r="A8" s="4" t="inlineStr">
        <is>
          <t>T-04</t>
        </is>
      </c>
      <c r="B8" s="22" t="inlineStr">
        <is>
          <t>교량-토공 접속부 레일 신축이음매 (R.E.J)</t>
        </is>
      </c>
      <c r="C8" s="23" t="inlineStr">
        <is>
          <t>온도변화에 따른 장대레일 신축 흡수 장치 및 강성 체감구조 완충 체결구</t>
        </is>
      </c>
      <c r="D8" s="23" t="inlineStr">
        <is>
          <t>[제안서요약] p.55
[궤도제안서] 제5장 교량궤도 p.140~155</t>
        </is>
      </c>
      <c r="E8" s="24" t="inlineStr">
        <is>
          <t>내역서(궤도분야).xlsx</t>
        </is>
      </c>
      <c r="F8" s="23" t="inlineStr">
        <is>
          <t>궤도공: 일반 연속장대레일 체결 단가만 반영
(고가의 특수 REJ 장치 및 완충 레일 체결구 단가 누락)</t>
        </is>
      </c>
      <c r="G8" s="25" t="inlineStr">
        <is>
          <t>중형 사손 (Med)</t>
        </is>
      </c>
      <c r="H8" s="23" t="inlineStr">
        <is>
          <t>교량 구조해석(단부 변위/온도신축) 결과를 근거로 REJ 비목 신설</t>
        </is>
      </c>
    </row>
    <row r="9" ht="55" customHeight="1">
      <c r="A9" s="9" t="inlineStr">
        <is>
          <t>T-05</t>
        </is>
      </c>
      <c r="B9" s="18" t="inlineStr">
        <is>
          <t>레일 전식(부식) 방지 절연체 및 누설전류 포집망</t>
        </is>
      </c>
      <c r="C9" s="19" t="inlineStr">
        <is>
          <t>지중 매설관 전식 방지용 레일 절연 패드 및 누설전류 포집 배선망 구축</t>
        </is>
      </c>
      <c r="D9" s="19" t="inlineStr">
        <is>
          <t>[제안서요약] p.60
[궤도제안서] 제7장 전기연계 p.160~175</t>
        </is>
      </c>
      <c r="E9" s="20" t="inlineStr">
        <is>
          <t>내역서(궤도분야/전기분야).xlsx</t>
        </is>
      </c>
      <c r="F9" s="19" t="inlineStr">
        <is>
          <t>궤도/전기: 일반 레일 본딩만 계상
(연속 절연 시트 및 누설전류 측정 포집 배선망 누락)</t>
        </is>
      </c>
      <c r="G9" s="26" t="inlineStr">
        <is>
          <t>원가 잠식 (Low)</t>
        </is>
      </c>
      <c r="H9" s="19" t="inlineStr">
        <is>
          <t>도시가스/상수도 관리기관 협의 결과(전식방지 대책)에 따른 설계변경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6" customWidth="1" min="4" max="4"/>
    <col width="22" customWidth="1" min="5" max="5"/>
    <col width="36" customWidth="1" min="6" max="6"/>
    <col width="16" customWidth="1" min="7" max="7"/>
    <col width="42" customWidth="1" min="8" max="8"/>
  </cols>
  <sheetData>
    <row r="1">
      <c r="A1" s="1" t="inlineStr">
        <is>
          <t>[건축·정거장] 기술제안서 vs 도급내역서 불일치 및 사손위험 항목 상세 대조표</t>
        </is>
      </c>
    </row>
    <row r="2">
      <c r="A2" s="2" t="inlineStr">
        <is>
          <t>기준: 기술제안서 요약본(종합요약보고서), 분야별 설계보고서 vs 도급내역서 및 일위대가표</t>
        </is>
      </c>
    </row>
    <row r="4" ht="32" customHeight="1">
      <c r="A4" s="3" t="inlineStr">
        <is>
          <t>No.</t>
        </is>
      </c>
      <c r="B4" s="3" t="inlineStr">
        <is>
          <t>항목명 (Item)</t>
        </is>
      </c>
      <c r="C4" s="3" t="inlineStr">
        <is>
          <t>기술제안서·요약본 언급 내용 (제안 공법/사양)</t>
        </is>
      </c>
      <c r="D4" s="3" t="inlineStr">
        <is>
          <t>제안서·요약서 구체적 출처
(파일명 및 페이지)</t>
        </is>
      </c>
      <c r="E4" s="3" t="inlineStr">
        <is>
          <t>대조 도급내역서
(파일명)</t>
        </is>
      </c>
      <c r="F4" s="3" t="inlineStr">
        <is>
          <t>도급내역서 미반영/누락 실태
(공사비 및 일위대가 현황)</t>
        </is>
      </c>
      <c r="G4" s="3" t="inlineStr">
        <is>
          <t>사손 위험 등급</t>
        </is>
      </c>
      <c r="H4" s="3" t="inlineStr">
        <is>
          <t>사손 방지 및 발주처 여건보고 방어 논리</t>
        </is>
      </c>
    </row>
    <row r="5" ht="55" customHeight="1">
      <c r="A5" s="9" t="inlineStr">
        <is>
          <t>A-01</t>
        </is>
      </c>
      <c r="B5" s="18" t="inlineStr">
        <is>
          <t>정거장 스마트 캐노피 (BIPV / 쿨링포그)</t>
        </is>
      </c>
      <c r="C5" s="19" t="inlineStr">
        <is>
          <t>태양광 BIPV 패널 일체형 지붕 및 승강장 미세안개 쿨링포그 분무 시스템</t>
        </is>
      </c>
      <c r="D5" s="19" t="inlineStr">
        <is>
          <t>[제안서요약] p.24~28
[건축제안서] 제2장 정거장계획 p.84~105</t>
        </is>
      </c>
      <c r="E5" s="20" t="inlineStr">
        <is>
          <t>내역서(건축,정거장).xlsx</t>
        </is>
      </c>
      <c r="F5" s="19" t="inlineStr">
        <is>
          <t>캐노피공: 표준 철골+접합유리 캐노피만 계상
(BIPV 태양광 모듈, 인버터, 고압 미스트 펌프/배관 누락)</t>
        </is>
      </c>
      <c r="G5" s="21" t="inlineStr">
        <is>
          <t>대형 사손 (High)</t>
        </is>
      </c>
      <c r="H5" s="19" t="inlineStr">
        <is>
          <t>지자체 스마트시티 특별예산으로 분리 추진하거나 기본형 캐노피로 사양 승인</t>
        </is>
      </c>
    </row>
    <row r="6" ht="55" customHeight="1">
      <c r="A6" s="4" t="inlineStr">
        <is>
          <t>A-02</t>
        </is>
      </c>
      <c r="B6" s="22" t="inlineStr">
        <is>
          <t>교통약자 안전발판 (Auto Safe-Gap Filler)</t>
        </is>
      </c>
      <c r="C6" s="23" t="inlineStr">
        <is>
          <t>열차 정차 시 승강장-차량 간격 자동 돌출 전동식 안전발판</t>
        </is>
      </c>
      <c r="D6" s="23" t="inlineStr">
        <is>
          <t>[제안서요약] p.45~48
[건축제안서] 제3장 편의시설 p.112~135</t>
        </is>
      </c>
      <c r="E6" s="24" t="inlineStr">
        <is>
          <t>내역서(건축,정거장).xlsx</t>
        </is>
      </c>
      <c r="F6" s="23" t="inlineStr">
        <is>
          <t>정거장 마감: 승강장 연단 콘크리트 및 점자블록만 계상
(전동 구동기, 전원 공급 배관·배선, 인터록 제어반 누락)</t>
        </is>
      </c>
      <c r="G6" s="25" t="inlineStr">
        <is>
          <t>중형 사손 (Med)</t>
        </is>
      </c>
      <c r="H6" s="23" t="inlineStr">
        <is>
          <t>차량 제원 확정 후 연단 간격 기준(50mm 이내) 충족 시 고정형 고무패드로 변경</t>
        </is>
      </c>
    </row>
    <row r="7" ht="55" customHeight="1">
      <c r="A7" s="9" t="inlineStr">
        <is>
          <t>A-03</t>
        </is>
      </c>
      <c r="B7" s="18" t="inlineStr">
        <is>
          <t>306정거장 체육공원 연계 전용 보행육교/EV</t>
        </is>
      </c>
      <c r="C7" s="19" t="inlineStr">
        <is>
          <t>체육공원 이용객 연결용 전용 보행육교 및 엘리베이터 2기, 계단실</t>
        </is>
      </c>
      <c r="D7" s="19" t="inlineStr">
        <is>
          <t>[제안서요약] p.30
[건축제안서] 제5장 특화계획 p.175~190</t>
        </is>
      </c>
      <c r="E7" s="20" t="inlineStr">
        <is>
          <t>내역서(건축,정거장).xlsx</t>
        </is>
      </c>
      <c r="F7" s="19" t="inlineStr">
        <is>
          <t>건축공: 지상 횡단보도 접근 시설만 계상
(보행육교 강교량, 엘리베이터 2기, 계단실 공사비 전무)</t>
        </is>
      </c>
      <c r="G7" s="21" t="inlineStr">
        <is>
          <t>초대형 사손 (High)</t>
        </is>
      </c>
      <c r="H7" s="19" t="inlineStr">
        <is>
          <t>체육공원 조성 주체(LH/화성시) 공사 범위로 한계선 명확화 여건보고</t>
        </is>
      </c>
    </row>
    <row r="8" ht="55" customHeight="1">
      <c r="A8" s="4" t="inlineStr">
        <is>
          <t>A-04</t>
        </is>
      </c>
      <c r="B8" s="22" t="inlineStr">
        <is>
          <t>차량기지 종합관리동 내 시민 안전체험관</t>
        </is>
      </c>
      <c r="C8" s="23" t="inlineStr">
        <is>
          <t>종합관리동 내 전시·홍보·안전체험 특수 인테리어 및 시뮬레이터 설치</t>
        </is>
      </c>
      <c r="D8" s="23" t="inlineStr">
        <is>
          <t>[제안서요약] p.70~75
[건축제안서] 제7장 차량기지 p.210~230</t>
        </is>
      </c>
      <c r="E8" s="24" t="inlineStr">
        <is>
          <t>내역서(건축,차량기지).xlsx</t>
        </is>
      </c>
      <c r="F8" s="23" t="inlineStr">
        <is>
          <t>차량기지 건축: 일반 사무실 마감재(석고보드, 페인트)만 계상
(체험형 시뮬레이터, 전시 부스, 특수 인테리어 누락)</t>
        </is>
      </c>
      <c r="G8" s="25" t="inlineStr">
        <is>
          <t>중형 사손 (Med)</t>
        </is>
      </c>
      <c r="H8" s="23" t="inlineStr">
        <is>
          <t>준공 후 지자체 운영 예산 사업으로 분리 이관 여건보고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6" customWidth="1" min="4" max="4"/>
    <col width="22" customWidth="1" min="5" max="5"/>
    <col width="36" customWidth="1" min="6" max="6"/>
    <col width="16" customWidth="1" min="7" max="7"/>
    <col width="42" customWidth="1" min="8" max="8"/>
  </cols>
  <sheetData>
    <row r="1">
      <c r="A1" s="1" t="inlineStr">
        <is>
          <t>[시스템·E&amp;M] 기술제안서 vs 도급내역서 불일치 및 사손위험 항목 상세 대조표</t>
        </is>
      </c>
    </row>
    <row r="2">
      <c r="A2" s="2" t="inlineStr">
        <is>
          <t>기준: 기술제안서 요약본(종합요약보고서), 분야별 설계보고서 vs 도급내역서 및 일위대가표</t>
        </is>
      </c>
    </row>
    <row r="4" ht="32" customHeight="1">
      <c r="A4" s="3" t="inlineStr">
        <is>
          <t>No.</t>
        </is>
      </c>
      <c r="B4" s="3" t="inlineStr">
        <is>
          <t>항목명 (Item)</t>
        </is>
      </c>
      <c r="C4" s="3" t="inlineStr">
        <is>
          <t>기술제안서·요약본 언급 내용 (제안 공법/사양)</t>
        </is>
      </c>
      <c r="D4" s="3" t="inlineStr">
        <is>
          <t>제안서·요약서 구체적 출처
(파일명 및 페이지)</t>
        </is>
      </c>
      <c r="E4" s="3" t="inlineStr">
        <is>
          <t>대조 도급내역서
(파일명)</t>
        </is>
      </c>
      <c r="F4" s="3" t="inlineStr">
        <is>
          <t>도급내역서 미반영/누락 실태
(공사비 및 일위대가 현황)</t>
        </is>
      </c>
      <c r="G4" s="3" t="inlineStr">
        <is>
          <t>사손 위험 등급</t>
        </is>
      </c>
      <c r="H4" s="3" t="inlineStr">
        <is>
          <t>사손 방지 및 발주처 여건보고 방어 논리</t>
        </is>
      </c>
    </row>
    <row r="5" ht="55" customHeight="1">
      <c r="A5" s="9" t="inlineStr">
        <is>
          <t>S-01</t>
        </is>
      </c>
      <c r="B5" s="18" t="inlineStr">
        <is>
          <t>AI 트램 우선신호(TSP) 및 V2X RSU 통신장비</t>
        </is>
      </c>
      <c r="C5" s="19" t="inlineStr">
        <is>
          <t>교차로 우선통과 알고리즘 SW 및 도로변 V2X 통신 무선기지국(RSU) 구축</t>
        </is>
      </c>
      <c r="D5" s="19" t="inlineStr">
        <is>
          <t>[제안서요약] p.80~85
[시스템제안서] 제3장 신호 p.145~172</t>
        </is>
      </c>
      <c r="E5" s="20" t="inlineStr">
        <is>
          <t>내역서(신호,통신).xlsx</t>
        </is>
      </c>
      <c r="F5" s="19" t="inlineStr">
        <is>
          <t>신호제어: 표준 교통신호 제어기 결선비만 계상
(AI SW 라이선스, RSU 하드웨어, 연계 개발비 전무)</t>
        </is>
      </c>
      <c r="G5" s="21" t="inlineStr">
        <is>
          <t>대형 사손 (High)</t>
        </is>
      </c>
      <c r="H5" s="19" t="inlineStr">
        <is>
          <t>화성시 교통정보센터(UTIC) 시스템 연계 책임한계선 분장 협약 추진</t>
        </is>
      </c>
    </row>
    <row r="6" ht="55" customHeight="1">
      <c r="A6" s="4" t="inlineStr">
        <is>
          <t>S-02</t>
        </is>
      </c>
      <c r="B6" s="22" t="inlineStr">
        <is>
          <t>지능형 AI CCTV 이상행동 영상분석 시스템</t>
        </is>
      </c>
      <c r="C6" s="23" t="inlineStr">
        <is>
          <t>이상행동/객체인식/선로난입 자동감지 고성능 AI 영상분석 서버 및 관제</t>
        </is>
      </c>
      <c r="D6" s="23" t="inlineStr">
        <is>
          <t>[제안서요약] p.88~92
[시스템제안서] 제5장 통신 p.220~245</t>
        </is>
      </c>
      <c r="E6" s="24" t="inlineStr">
        <is>
          <t>내역서(통신분야).xlsx</t>
        </is>
      </c>
      <c r="F6" s="23" t="inlineStr">
        <is>
          <t>CCTV 설비: 일반 NVR 저장장치 + 고정형 IP 카메라만 계상
(고성능 GPU 분석 서버 및 AI 영상분석 라이선스 누락)</t>
        </is>
      </c>
      <c r="G6" s="25" t="inlineStr">
        <is>
          <t>중형 사손 (Med)</t>
        </is>
      </c>
      <c r="H6" s="23" t="inlineStr">
        <is>
          <t>관제센터 통합 구축분으로 흡수 처리하여 현장 공사비 누락분 방어</t>
        </is>
      </c>
    </row>
    <row r="7" ht="55" customHeight="1">
      <c r="A7" s="9" t="inlineStr">
        <is>
          <t>S-03</t>
        </is>
      </c>
      <c r="B7" s="18" t="inlineStr">
        <is>
          <t>정거장/기지 대용량 급속 배터리 충전설비</t>
        </is>
      </c>
      <c r="C7" s="19" t="inlineStr">
        <is>
          <t>차량 상부 팬터그래프 접촉식 초급속 충전 포스트 및 대용량 정류기(Rectifier)</t>
        </is>
      </c>
      <c r="D7" s="19" t="inlineStr">
        <is>
          <t>[제안서요약] p.78
[시스템제안서] 제2장 전기 p.80~105</t>
        </is>
      </c>
      <c r="E7" s="20" t="inlineStr">
        <is>
          <t>내역서(전기분야).xlsx</t>
        </is>
      </c>
      <c r="F7" s="19" t="inlineStr">
        <is>
          <t>전력설비: 일반 조명/동력용 저압 변전설비만 계상
(대용량 정류기, 급속 충전 포스트 장비대 누락)</t>
        </is>
      </c>
      <c r="G7" s="21" t="inlineStr">
        <is>
          <t>초대형 사손 (High)</t>
        </is>
      </c>
      <c r="H7" s="19" t="inlineStr">
        <is>
          <t>차량 제작사(납품사) 공급 패키지 범위로 인터페이스 분장 확정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6" customWidth="1" min="4" max="4"/>
    <col width="22" customWidth="1" min="5" max="5"/>
    <col width="36" customWidth="1" min="6" max="6"/>
    <col width="16" customWidth="1" min="7" max="7"/>
    <col width="42" customWidth="1" min="8" max="8"/>
  </cols>
  <sheetData>
    <row r="1">
      <c r="A1" s="1" t="inlineStr">
        <is>
          <t>[부대·스마트·유지관리] 기술제안서 vs 도급내역서 불일치 및 사손위험 항목 상세 대조표</t>
        </is>
      </c>
    </row>
    <row r="2">
      <c r="A2" s="2" t="inlineStr">
        <is>
          <t>기준: 기술제안서 요약본(종합요약보고서), 분야별 설계보고서 vs 도급내역서 및 일위대가표</t>
        </is>
      </c>
    </row>
    <row r="4" ht="32" customHeight="1">
      <c r="A4" s="3" t="inlineStr">
        <is>
          <t>No.</t>
        </is>
      </c>
      <c r="B4" s="3" t="inlineStr">
        <is>
          <t>항목명 (Item)</t>
        </is>
      </c>
      <c r="C4" s="3" t="inlineStr">
        <is>
          <t>기술제안서·요약본 언급 내용 (제안 공법/사양)</t>
        </is>
      </c>
      <c r="D4" s="3" t="inlineStr">
        <is>
          <t>제안서·요약서 구체적 출처
(파일명 및 페이지)</t>
        </is>
      </c>
      <c r="E4" s="3" t="inlineStr">
        <is>
          <t>대조 도급내역서
(파일명)</t>
        </is>
      </c>
      <c r="F4" s="3" t="inlineStr">
        <is>
          <t>도급내역서 미반영/누락 실태
(공사비 및 일위대가 현황)</t>
        </is>
      </c>
      <c r="G4" s="3" t="inlineStr">
        <is>
          <t>사손 위험 등급</t>
        </is>
      </c>
      <c r="H4" s="3" t="inlineStr">
        <is>
          <t>사손 방지 및 발주처 여건보고 방어 논리</t>
        </is>
      </c>
    </row>
    <row r="5" ht="55" customHeight="1">
      <c r="A5" s="9" t="inlineStr">
        <is>
          <t>M-01</t>
        </is>
      </c>
      <c r="B5" s="18" t="inlineStr">
        <is>
          <t>전 공종 3D BIM 시공간섭 시뮬레이션 용역</t>
        </is>
      </c>
      <c r="C5" s="19" t="inlineStr">
        <is>
          <t>전 공종 3D BIM 모델링, 시공 간섭 시뮬레이션(LOD 350~400), 유지관리 연계</t>
        </is>
      </c>
      <c r="D5" s="19" t="inlineStr">
        <is>
          <t>[제안서요약] p.15~18
[종합보고서] BIM 추진계획</t>
        </is>
      </c>
      <c r="E5" s="20" t="inlineStr">
        <is>
          <t>내역서(총괄/기술비).xlsx</t>
        </is>
      </c>
      <c r="F5" s="19" t="inlineStr">
        <is>
          <t>설계/기술비: 표준 2D 도면 작성 단가만 반영
(3D BIM 전담팀 외주 용역비 및 SW 라이선스비 누락)</t>
        </is>
      </c>
      <c r="G5" s="25" t="inlineStr">
        <is>
          <t>중형 사손 (Med)</t>
        </is>
      </c>
      <c r="H5" s="19" t="inlineStr">
        <is>
          <t>국토부 스마트건설기술 활성화 지침에 따른 설계변경 스마트 용역비 신설</t>
        </is>
      </c>
    </row>
    <row r="6" ht="55" customHeight="1">
      <c r="A6" s="4" t="inlineStr">
        <is>
          <t>M-02</t>
        </is>
      </c>
      <c r="B6" s="22" t="inlineStr">
        <is>
          <t>현장 실시간 스마트 안전관제 플랫폼</t>
        </is>
      </c>
      <c r="C6" s="23" t="inlineStr">
        <is>
          <t>웨어러블 에어백, 스마트 안전모, AI 이동식 이동형 CCTV 관제 플랫폼</t>
        </is>
      </c>
      <c r="D6" s="23" t="inlineStr">
        <is>
          <t>[제안서요약] p.95~98
[종합보고서] 안전관리계획</t>
        </is>
      </c>
      <c r="E6" s="24" t="inlineStr">
        <is>
          <t>내역서(원가계산서/안전비).xlsx</t>
        </is>
      </c>
      <c r="F6" s="23" t="inlineStr">
        <is>
          <t>안전관리비: 법정 요율 안전관리비만 계상
(스마트 안전장비 구입비(요율 초과분) 전액 시공사 부담)</t>
        </is>
      </c>
      <c r="G6" s="26" t="inlineStr">
        <is>
          <t>원가 잠식 (Low)</t>
        </is>
      </c>
      <c r="H6" s="23" t="inlineStr">
        <is>
          <t>중대재해처벌법 대응 발주처 안전강화 특별예산으로 실비정산 여건보고</t>
        </is>
      </c>
    </row>
    <row r="7" ht="55" customHeight="1">
      <c r="A7" s="9" t="inlineStr">
        <is>
          <t>M-03</t>
        </is>
      </c>
      <c r="B7" s="18" t="inlineStr">
        <is>
          <t>준공 인계용 전용 궤도검측장비 및 특장차</t>
        </is>
      </c>
      <c r="C7" s="19" t="inlineStr">
        <is>
          <t>준공 후 운영사에 인계할 전용 궤도검측차량 및 종합 선로 점검 장비 일체</t>
        </is>
      </c>
      <c r="D7" s="19" t="inlineStr">
        <is>
          <t>[궤도제안서] 유지관리장비 리스트
[제안서요약] p.64</t>
        </is>
      </c>
      <c r="E7" s="20" t="inlineStr">
        <is>
          <t>도급내역서 전체</t>
        </is>
      </c>
      <c r="F7" s="19" t="inlineStr">
        <is>
          <t>전체 내역서: 궤도/토목 시공비만 있고 물품 구매비 전무
(억대 특수 검측 차량/장비 구매·인계비 일체 누락)</t>
        </is>
      </c>
      <c r="G7" s="21" t="inlineStr">
        <is>
          <t>초대형 사손 (High)</t>
        </is>
      </c>
      <c r="H7" s="19" t="inlineStr">
        <is>
          <t>공사 목적물(시설공사)과 운영 장비(물품구매)의 분리 원칙 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2026-09-02T11:36:20Z</dcterms:created>
  <dcterms:modified xmlns:dcterms="http://purl.org/dc/terms/" xmlns:xsi="http://www.w3.org/2001/XMLSchema-instance" xsi:type="dcterms:W3CDTF">2026-09-02T11:36:20Z</dcterms:modified>
</cp:coreProperties>
</file>