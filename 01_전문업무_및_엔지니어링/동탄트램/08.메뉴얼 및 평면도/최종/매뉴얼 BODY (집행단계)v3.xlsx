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24" yWindow="0" windowWidth="11712" windowHeight="12336" tabRatio="771" firstSheet="0" activeTab="2" autoFilterDateGrouping="1"/>
  </bookViews>
  <sheets>
    <sheet xmlns:r="http://schemas.openxmlformats.org/officeDocument/2006/relationships" name="공정매뉴얼" sheetId="1" state="visible" r:id="rId1"/>
    <sheet xmlns:r="http://schemas.openxmlformats.org/officeDocument/2006/relationships" name="사전토공사" sheetId="2" state="visible" r:id="rId2"/>
    <sheet xmlns:r="http://schemas.openxmlformats.org/officeDocument/2006/relationships" name="지장물이설" sheetId="3" state="visible" r:id="rId3"/>
    <sheet xmlns:r="http://schemas.openxmlformats.org/officeDocument/2006/relationships" name="상부강화노반" sheetId="4" state="visible" r:id="rId4"/>
    <sheet xmlns:r="http://schemas.openxmlformats.org/officeDocument/2006/relationships" name="콘크리트도상" sheetId="5" state="visible" r:id="rId5"/>
    <sheet xmlns:r="http://schemas.openxmlformats.org/officeDocument/2006/relationships" name="건축" sheetId="6" state="visible" r:id="rId6"/>
    <sheet xmlns:r="http://schemas.openxmlformats.org/officeDocument/2006/relationships" name="신호" sheetId="7" state="visible" r:id="rId7"/>
    <sheet xmlns:r="http://schemas.openxmlformats.org/officeDocument/2006/relationships" name="통신" sheetId="8" state="visible" r:id="rId8"/>
    <sheet xmlns:r="http://schemas.openxmlformats.org/officeDocument/2006/relationships" name="전기" sheetId="9" state="visible" r:id="rId9"/>
    <sheet xmlns:r="http://schemas.openxmlformats.org/officeDocument/2006/relationships" name="GUIDE" sheetId="10" state="visible" r:id="rId10"/>
  </sheets>
  <definedNames>
    <definedName name="_xlnm._FilterDatabase" localSheetId="0" hidden="1">'공정매뉴얼'!$A$3:$P$88</definedName>
    <definedName name="_xlnm.Print_Titles" localSheetId="0">'공정매뉴얼'!$3:$3</definedName>
    <definedName name="_xlnm.Print_Area" localSheetId="0">'공정매뉴얼'!$A$1:$I$80</definedName>
    <definedName name="_xlnm.Print_Titles" localSheetId="1">'사전토공사'!$1:$1</definedName>
    <definedName name="_xlnm.Print_Area" localSheetId="1">'사전토공사'!$A$1:$Q$31</definedName>
    <definedName name="_xlnm.Print_Area" localSheetId="3">'상부강화노반'!$A$1:$Q$37</definedName>
    <definedName name="_xlnm.Print_Area" localSheetId="4">'콘크리트도상'!$A$1:$Q$24</definedName>
    <definedName name="_xlnm.Print_Area" localSheetId="5">'건축'!$A$1:$P$51</definedName>
    <definedName name="_xlnm.Print_Titles" localSheetId="6">'신호'!$1:$1</definedName>
    <definedName name="_xlnm.Print_Area" localSheetId="6">'신호'!$A$1:$P$23</definedName>
    <definedName name="_xlnm.Print_Area" localSheetId="7">'통신'!$A$1:$P$33</definedName>
    <definedName name="_xlnm.Print_Area" localSheetId="8">'전기'!$A$1:$P$33</definedName>
  </definedNames>
  <calcPr calcId="0" fullCalcOnLoad="1"/>
</workbook>
</file>

<file path=xl/styles.xml><?xml version="1.0" encoding="utf-8"?>
<styleSheet xmlns="http://schemas.openxmlformats.org/spreadsheetml/2006/main">
  <numFmts count="0"/>
  <fonts count="18">
    <font>
      <name val="맑은 고딕"/>
      <family val="2"/>
      <color theme="1"/>
      <sz val="11"/>
      <scheme val="minor"/>
    </font>
    <font>
      <name val="맑은 고딕"/>
      <charset val="129"/>
      <family val="3"/>
      <sz val="9"/>
    </font>
    <font>
      <name val="맑은 고딕"/>
      <charset val="129"/>
      <family val="3"/>
      <b val="1"/>
      <color rgb="FF7F6000"/>
      <sz val="10"/>
    </font>
    <font>
      <name val="맑은 고딕"/>
      <charset val="129"/>
      <family val="3"/>
      <sz val="8"/>
      <scheme val="minor"/>
    </font>
    <font>
      <name val="맑은 고딕"/>
      <charset val="129"/>
      <family val="3"/>
      <b val="1"/>
      <color rgb="FFFFFFFF"/>
      <sz val="13"/>
    </font>
    <font>
      <name val="맑은 고딕"/>
      <charset val="129"/>
      <family val="3"/>
      <b val="1"/>
      <color rgb="FFFFFFFF"/>
      <sz val="12"/>
    </font>
    <font>
      <name val="맑은 고딕"/>
      <charset val="129"/>
      <family val="3"/>
      <color theme="1"/>
      <sz val="12"/>
      <scheme val="minor"/>
    </font>
    <font>
      <name val="맑은 고딕"/>
      <charset val="129"/>
      <family val="3"/>
      <sz val="12"/>
    </font>
    <font>
      <name val="맑은 고딕"/>
      <charset val="129"/>
      <family val="3"/>
      <color rgb="FF000000"/>
      <sz val="10"/>
    </font>
    <font>
      <name val="맑은 고딕"/>
      <charset val="129"/>
      <family val="3"/>
      <b val="1"/>
      <color rgb="FFFFFFFF"/>
      <sz val="10"/>
    </font>
    <font>
      <name val="맑은 고딕"/>
      <charset val="129"/>
      <family val="3"/>
      <b val="1"/>
      <color rgb="FF0000FF"/>
      <sz val="9"/>
      <u val="single"/>
    </font>
    <font>
      <name val="맑은 고딕"/>
      <charset val="129"/>
      <family val="3"/>
      <b val="1"/>
      <color rgb="FF0000FF"/>
      <sz val="12"/>
      <u val="single"/>
    </font>
    <font>
      <name val="맑은 고딕"/>
      <charset val="129"/>
      <family val="2"/>
      <b val="1"/>
      <color rgb="FF0000FF"/>
      <sz val="9"/>
      <u val="single"/>
    </font>
    <font>
      <name val="맑은 고딕"/>
      <b val="1"/>
      <color rgb="001E3A8A"/>
      <sz val="10"/>
    </font>
    <font>
      <name val="맑은 고딕"/>
      <b val="1"/>
      <color rgb="00991B1B"/>
      <sz val="10"/>
    </font>
    <font>
      <name val="맑은 고딕"/>
      <b val="1"/>
      <color rgb="00FFFFFF"/>
      <sz val="10"/>
    </font>
    <font>
      <name val="맑은 고딕"/>
      <color rgb="000F172A"/>
      <sz val="9.5"/>
    </font>
    <font>
      <name val="맑은 고딕"/>
      <b val="1"/>
      <color rgb="002563EB"/>
      <sz val="9.5"/>
      <u val="single"/>
    </font>
  </fonts>
  <fills count="13">
    <fill>
      <patternFill/>
    </fill>
    <fill>
      <patternFill patternType="gray125"/>
    </fill>
    <fill>
      <patternFill patternType="solid">
        <fgColor rgb="FFFFFFFF"/>
      </patternFill>
    </fill>
    <fill>
      <patternFill patternType="solid">
        <fgColor rgb="FFF9F9FB"/>
      </patternFill>
    </fill>
    <fill>
      <patternFill patternType="solid">
        <fgColor rgb="FF4F81BD"/>
        <bgColor rgb="FF4F81BD"/>
      </patternFill>
    </fill>
    <fill>
      <patternFill patternType="solid">
        <fgColor rgb="FFFFF2CC"/>
        <bgColor rgb="FFFFF2CC"/>
      </patternFill>
    </fill>
    <fill>
      <patternFill patternType="solid">
        <fgColor rgb="FFFFFF00"/>
        <bgColor indexed="64"/>
      </patternFill>
    </fill>
    <fill>
      <patternFill patternType="solid">
        <fgColor rgb="FF1E3A8A"/>
        <bgColor rgb="FF1E3A8A"/>
      </patternFill>
    </fill>
    <fill>
      <patternFill patternType="solid">
        <fgColor rgb="FF0F172A"/>
        <bgColor rgb="FF0F172A"/>
      </patternFill>
    </fill>
    <fill>
      <patternFill patternType="solid">
        <fgColor rgb="FF7F6000"/>
      </patternFill>
    </fill>
    <fill>
      <patternFill patternType="solid">
        <fgColor rgb="00EFF6FF"/>
        <bgColor rgb="00EFF6FF"/>
      </patternFill>
    </fill>
    <fill>
      <patternFill patternType="solid">
        <fgColor rgb="00FEF2F2"/>
        <bgColor rgb="00FEF2F2"/>
      </patternFill>
    </fill>
    <fill>
      <patternFill patternType="solid">
        <fgColor rgb="001E293B"/>
        <bgColor rgb="001E293B"/>
      </patternFill>
    </fill>
  </fills>
  <borders count="17">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style="thin">
        <color rgb="FFBFBFBF"/>
      </right>
      <top style="thin">
        <color rgb="FFBFBFBF"/>
      </top>
      <bottom style="thin">
        <color rgb="FFBFBFBF"/>
      </bottom>
      <diagonal/>
    </border>
    <border>
      <left/>
      <right style="thin">
        <color auto="1"/>
      </right>
      <top style="thin">
        <color auto="1"/>
      </top>
      <bottom style="thin">
        <color auto="1"/>
      </bottom>
      <diagonal/>
    </border>
    <border>
      <left style="thin">
        <color rgb="FFCBD5E1"/>
      </left>
      <right style="thin">
        <color rgb="FFCBD5E1"/>
      </right>
      <top style="thin">
        <color rgb="FFCBD5E1"/>
      </top>
      <bottom style="thin">
        <color rgb="FFCBD5E1"/>
      </bottom>
      <diagonal/>
    </border>
    <border>
      <left style="thin">
        <color theme="1"/>
      </left>
      <right style="thin">
        <color theme="1"/>
      </right>
      <top style="thin">
        <color theme="1"/>
      </top>
      <bottom style="thin">
        <color theme="1"/>
      </bottom>
      <diagonal/>
    </border>
    <border>
      <left/>
      <right style="thin">
        <color rgb="FFCBD5E1"/>
      </right>
      <top style="thin">
        <color rgb="FFCBD5E1"/>
      </top>
      <bottom style="thin">
        <color rgb="FFCBD5E1"/>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medium">
        <color auto="1"/>
      </top>
      <bottom/>
      <diagonal/>
    </border>
    <border>
      <left/>
      <right style="medium">
        <color auto="1"/>
      </right>
      <top style="medium">
        <color auto="1"/>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59">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0" fillId="6" borderId="0" applyAlignment="1" pivotButton="0" quotePrefix="0" xfId="0">
      <alignment horizontal="center" vertical="center" wrapText="1"/>
    </xf>
    <xf numFmtId="0" fontId="6" fillId="0" borderId="0" applyAlignment="1" pivotButton="0" quotePrefix="0" xfId="0">
      <alignment vertical="center" wrapText="1"/>
    </xf>
    <xf numFmtId="0" fontId="6" fillId="0" borderId="0" applyAlignment="1" pivotButton="0" quotePrefix="0" xfId="0">
      <alignment horizontal="center" vertical="center" wrapText="1"/>
    </xf>
    <xf numFmtId="0" fontId="6" fillId="6" borderId="0" applyAlignment="1" pivotButton="0" quotePrefix="0" xfId="0">
      <alignment horizontal="center" vertical="center" wrapText="1"/>
    </xf>
    <xf numFmtId="0" fontId="9" fillId="7" borderId="0" applyAlignment="1" pivotButton="0" quotePrefix="0" xfId="0">
      <alignment horizontal="center" vertical="center" wrapText="1"/>
    </xf>
    <xf numFmtId="0" fontId="9" fillId="8" borderId="2" applyAlignment="1" pivotButton="0" quotePrefix="0" xfId="0">
      <alignment horizontal="center" vertical="center" wrapText="1"/>
    </xf>
    <xf numFmtId="0" fontId="9" fillId="7" borderId="2" applyAlignment="1" pivotButton="0" quotePrefix="0" xfId="0">
      <alignment horizontal="center" vertical="center" wrapText="1"/>
    </xf>
    <xf numFmtId="0" fontId="9" fillId="8" borderId="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7" applyAlignment="1" pivotButton="0" quotePrefix="0" xfId="0">
      <alignment horizontal="left" vertical="top" wrapText="1"/>
    </xf>
    <xf numFmtId="0" fontId="9" fillId="7" borderId="6" applyAlignment="1" pivotButton="0" quotePrefix="0" xfId="0">
      <alignment horizontal="center" vertical="center" wrapText="1"/>
    </xf>
    <xf numFmtId="0" fontId="7" fillId="0" borderId="7" applyAlignment="1" pivotButton="0" quotePrefix="0" xfId="0">
      <alignment horizontal="center" vertical="center" wrapText="1"/>
    </xf>
    <xf numFmtId="0" fontId="7" fillId="0" borderId="7" applyAlignment="1" pivotButton="0" quotePrefix="0" xfId="0">
      <alignment horizontal="left" vertical="top" wrapText="1"/>
    </xf>
    <xf numFmtId="0" fontId="7" fillId="6" borderId="7" applyAlignment="1" pivotButton="0" quotePrefix="0" xfId="0">
      <alignment horizontal="left" vertical="top" wrapText="1"/>
    </xf>
    <xf numFmtId="0" fontId="8" fillId="0" borderId="7" applyAlignment="1" pivotButton="0" quotePrefix="0" xfId="0">
      <alignment horizontal="left" vertical="top" wrapText="1"/>
    </xf>
    <xf numFmtId="0" fontId="10" fillId="0" borderId="7" applyAlignment="1" pivotButton="0" quotePrefix="0" xfId="0">
      <alignment horizontal="center" vertical="center" wrapText="1"/>
    </xf>
    <xf numFmtId="0" fontId="10" fillId="0" borderId="7" applyAlignment="1" pivotButton="0" quotePrefix="0" xfId="0">
      <alignment horizontal="left" vertical="top" wrapText="1"/>
    </xf>
    <xf numFmtId="0" fontId="0" fillId="6" borderId="7" applyAlignment="1" pivotButton="0" quotePrefix="0" xfId="0">
      <alignment horizontal="left" vertical="top" wrapText="1"/>
    </xf>
    <xf numFmtId="0" fontId="5" fillId="8" borderId="8" applyAlignment="1" pivotButton="0" quotePrefix="0" xfId="0">
      <alignment horizontal="center" vertical="center" wrapText="1"/>
    </xf>
    <xf numFmtId="0" fontId="5" fillId="7" borderId="8" applyAlignment="1" pivotButton="0" quotePrefix="0" xfId="0">
      <alignment horizontal="center" vertical="center" wrapText="1"/>
    </xf>
    <xf numFmtId="0" fontId="5" fillId="8" borderId="0" applyAlignment="1" pivotButton="0" quotePrefix="0" xfId="0">
      <alignment horizontal="center" vertical="center" wrapText="1"/>
    </xf>
    <xf numFmtId="0" fontId="7" fillId="0" borderId="8" applyAlignment="1" pivotButton="0" quotePrefix="0" xfId="0">
      <alignment horizontal="center" vertical="center" wrapText="1"/>
    </xf>
    <xf numFmtId="0" fontId="7" fillId="0" borderId="8" applyAlignment="1" pivotButton="0" quotePrefix="0" xfId="0">
      <alignment horizontal="left" vertical="top" wrapText="1"/>
    </xf>
    <xf numFmtId="0" fontId="7" fillId="0" borderId="8" applyAlignment="1" pivotButton="0" quotePrefix="0" xfId="0">
      <alignment horizontal="center" vertical="top" wrapText="1"/>
    </xf>
    <xf numFmtId="0" fontId="11" fillId="0" borderId="8" applyAlignment="1" pivotButton="0" quotePrefix="0" xfId="0">
      <alignment horizontal="center" vertical="center" wrapText="1"/>
    </xf>
    <xf numFmtId="0" fontId="7" fillId="0" borderId="9" applyAlignment="1" pivotButton="0" quotePrefix="0" xfId="0">
      <alignment horizontal="left" vertical="top" wrapText="1"/>
    </xf>
    <xf numFmtId="0" fontId="11" fillId="0" borderId="7" applyAlignment="1" pivotButton="0" quotePrefix="0" xfId="0">
      <alignment horizontal="left" vertical="top" wrapText="1"/>
    </xf>
    <xf numFmtId="0" fontId="6" fillId="0" borderId="0" pivotButton="0" quotePrefix="0" xfId="0"/>
    <xf numFmtId="0" fontId="12" fillId="0" borderId="7" applyAlignment="1" pivotButton="0" quotePrefix="0" xfId="0">
      <alignment horizontal="left" vertical="top" wrapText="1"/>
    </xf>
    <xf numFmtId="0" fontId="5" fillId="8" borderId="2" applyAlignment="1" pivotButton="0" quotePrefix="0" xfId="0">
      <alignment horizontal="center" vertical="center" wrapText="1"/>
    </xf>
    <xf numFmtId="0" fontId="5" fillId="7" borderId="0" applyAlignment="1" pivotButton="0" quotePrefix="0" xfId="0">
      <alignment horizontal="center" vertical="center" wrapText="1"/>
    </xf>
    <xf numFmtId="0" fontId="5" fillId="7" borderId="2" applyAlignment="1" pivotButton="0" quotePrefix="0" xfId="0">
      <alignment horizontal="center" vertical="center" wrapText="1"/>
    </xf>
    <xf numFmtId="0" fontId="6" fillId="0" borderId="7" applyAlignment="1" pivotButton="0" quotePrefix="0" xfId="0">
      <alignment horizontal="center" vertical="center" wrapText="1"/>
    </xf>
    <xf numFmtId="0" fontId="6" fillId="0" borderId="7" applyAlignment="1" pivotButton="0" quotePrefix="0" xfId="0">
      <alignment horizontal="left" vertical="top" wrapText="1"/>
    </xf>
    <xf numFmtId="0" fontId="11" fillId="0" borderId="7" applyAlignment="1" pivotButton="0" quotePrefix="0" xfId="0">
      <alignment horizontal="center" vertical="center" wrapText="1"/>
    </xf>
    <xf numFmtId="0" fontId="4" fillId="4" borderId="1" applyAlignment="1" pivotButton="0" quotePrefix="0" xfId="0">
      <alignment horizontal="center" vertical="center"/>
    </xf>
    <xf numFmtId="0" fontId="0" fillId="0" borderId="3" pivotButton="0" quotePrefix="0" xfId="0"/>
    <xf numFmtId="0" fontId="0" fillId="0" borderId="4" pivotButton="0" quotePrefix="0" xfId="0"/>
    <xf numFmtId="0" fontId="9" fillId="9" borderId="2" applyAlignment="1" pivotButton="0" quotePrefix="0" xfId="0">
      <alignment horizontal="center" vertical="center" wrapText="1"/>
    </xf>
    <xf numFmtId="0" fontId="9" fillId="4" borderId="5" applyAlignment="1" pivotButton="0" quotePrefix="0" xfId="0">
      <alignment horizontal="center" vertical="center" wrapText="1"/>
    </xf>
    <xf numFmtId="0" fontId="2" fillId="5" borderId="5" applyAlignment="1" pivotButton="0" quotePrefix="0" xfId="0">
      <alignment horizontal="left" vertical="center" indent="1"/>
    </xf>
    <xf numFmtId="0" fontId="0" fillId="5" borderId="5" pivotButton="0" quotePrefix="0" xfId="0"/>
    <xf numFmtId="0" fontId="1" fillId="2" borderId="2" applyAlignment="1" pivotButton="0" quotePrefix="0" xfId="0">
      <alignment horizontal="center" vertical="top" wrapText="1"/>
    </xf>
    <xf numFmtId="0" fontId="1" fillId="2" borderId="2" applyAlignment="1" pivotButton="0" quotePrefix="0" xfId="0">
      <alignment horizontal="left" vertical="top" wrapText="1"/>
    </xf>
    <xf numFmtId="0" fontId="1" fillId="2" borderId="5" applyAlignment="1" pivotButton="0" quotePrefix="0" xfId="0">
      <alignment horizontal="left" vertical="top" wrapText="1"/>
    </xf>
    <xf numFmtId="0" fontId="1" fillId="3" borderId="2" applyAlignment="1" pivotButton="0" quotePrefix="0" xfId="0">
      <alignment horizontal="center" vertical="top" wrapText="1"/>
    </xf>
    <xf numFmtId="0" fontId="1" fillId="3" borderId="2" applyAlignment="1" pivotButton="0" quotePrefix="0" xfId="0">
      <alignment horizontal="left" vertical="top" wrapText="1"/>
    </xf>
    <xf numFmtId="0" fontId="1" fillId="3" borderId="5" applyAlignment="1" pivotButton="0" quotePrefix="0" xfId="0">
      <alignment horizontal="left" vertical="top" wrapText="1"/>
    </xf>
    <xf numFmtId="0" fontId="0" fillId="0" borderId="12" pivotButton="0" quotePrefix="0" xfId="0"/>
    <xf numFmtId="0" fontId="0" fillId="0" borderId="13" pivotButton="0" quotePrefix="0" xfId="0"/>
    <xf numFmtId="0" fontId="13" fillId="10" borderId="0" applyAlignment="1" pivotButton="0" quotePrefix="0" xfId="0">
      <alignment horizontal="center" vertical="center"/>
    </xf>
    <xf numFmtId="0" fontId="14" fillId="11" borderId="0" applyAlignment="1" pivotButton="0" quotePrefix="0" xfId="0">
      <alignment horizontal="center" vertical="center"/>
    </xf>
    <xf numFmtId="0" fontId="15" fillId="12" borderId="16" applyAlignment="1" pivotButton="0" quotePrefix="0" xfId="0">
      <alignment horizontal="center" vertical="center" wrapText="1"/>
    </xf>
    <xf numFmtId="0" fontId="16" fillId="0" borderId="16" applyAlignment="1" pivotButton="0" quotePrefix="0" xfId="0">
      <alignment horizontal="center" vertical="center"/>
    </xf>
    <xf numFmtId="0" fontId="16" fillId="0" borderId="16" applyAlignment="1" pivotButton="0" quotePrefix="0" xfId="0">
      <alignment horizontal="left" vertical="center" wrapText="1"/>
    </xf>
    <xf numFmtId="0" fontId="17" fillId="0" borderId="16" applyAlignment="1" pivotButton="0" quotePrefix="0" xfId="0">
      <alignment horizontal="center" vertical="center"/>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1</colOff>
      <row>0</row>
      <rowOff>0</rowOff>
    </from>
    <to>
      <col>10</col>
      <colOff>596901</colOff>
      <row>28</row>
      <rowOff>32657</rowOff>
    </to>
    <pic>
      <nvPicPr>
        <cNvPr id="2" name="그림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 y="0"/>
          <a:ext cx="7327900" cy="607785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47588;&#45684;&#50620;BODY(&#51665;&#54665;&#45800;&#44228;-&#52392;&#48512;&#54260;&#45908;)\&#49324;&#51204;&#53664;&#44277;&#49324;\1_Site%20Survey\&#54364;&#51456;&#49436;\Site%20Survey_&#54364;&#51456;&#49436;.html" TargetMode="External" Id="rId1"/><Relationship Type="http://schemas.openxmlformats.org/officeDocument/2006/relationships/hyperlink" Target="&#47588;&#45684;&#50620;BODY(&#51665;&#54665;&#45800;&#44228;-&#52392;&#48512;&#54260;&#45908;)\&#49324;&#51204;&#53664;&#44277;&#49324;\1_Site%20Survey\&#49688;&#54665;&#51648;&#52840;\Site%20Survey_&#49688;&#54665;&#51648;&#52840;.html" TargetMode="External" Id="rId2"/><Relationship Type="http://schemas.openxmlformats.org/officeDocument/2006/relationships/hyperlink" Target="&#47588;&#45684;&#50620;BODY(&#51665;&#54665;&#45800;&#44228;-&#52392;&#48512;&#54260;&#45908;)\&#49324;&#51204;&#53664;&#44277;&#49324;\1_Site%20Survey\&#52404;&#53356;&#47532;&#49828;&#53944;\Site%20Survey_&#52404;&#53356;&#47532;&#49828;&#53944;.html" TargetMode="External" Id="rId3"/><Relationship Type="http://schemas.openxmlformats.org/officeDocument/2006/relationships/hyperlink" Target="&#47588;&#45684;&#50620;BODY(&#51665;&#54665;&#45800;&#44228;-&#52392;&#48512;&#54260;&#45908;)\&#49324;&#51204;&#53664;&#44277;&#49324;\2_&#48156;&#51452;&#51204;&#47029;%20KOM\&#54364;&#51456;&#49436;\&#48156;&#51452;&#51204;&#47029;%20KOM_&#54364;&#51456;&#49436;.html" TargetMode="External" Id="rId4"/><Relationship Type="http://schemas.openxmlformats.org/officeDocument/2006/relationships/hyperlink" Target="&#47588;&#45684;&#50620;BODY(&#51665;&#54665;&#45800;&#44228;-&#52392;&#48512;&#54260;&#45908;)\&#49324;&#51204;&#53664;&#44277;&#49324;\2_&#48156;&#51452;&#51204;&#47029;%20KOM\&#49688;&#54665;&#51648;&#52840;\&#48156;&#51452;&#51204;&#47029;%20KOM_&#49688;&#54665;&#51648;&#52840;.html" TargetMode="External" Id="rId5"/><Relationship Type="http://schemas.openxmlformats.org/officeDocument/2006/relationships/hyperlink" Target="&#47588;&#45684;&#50620;BODY(&#51665;&#54665;&#45800;&#44228;-&#52392;&#48512;&#54260;&#45908;)\&#49324;&#51204;&#53664;&#44277;&#49324;\2_&#48156;&#51452;&#51204;&#47029;%20KOM\&#52404;&#53356;&#47532;&#49828;&#53944;\&#48156;&#51452;&#51204;&#47029;%20KOM_&#52404;&#53356;&#47532;&#49828;&#53944;.html" TargetMode="External" Id="rId6"/><Relationship Type="http://schemas.openxmlformats.org/officeDocument/2006/relationships/hyperlink" Target="&#47588;&#45684;&#50620;BODY(&#51665;&#54665;&#45800;&#44228;-&#52392;&#48512;&#54260;&#45908;)\&#49324;&#51204;&#53664;&#44277;&#49324;\3_Site%20Survey%20Risk%20&#44160;&#53664;\&#54364;&#51456;&#49436;\Site%20Survey%20Risk%20&#44160;&#53664;_&#54364;&#51456;&#49436;.html" TargetMode="External" Id="rId7"/><Relationship Type="http://schemas.openxmlformats.org/officeDocument/2006/relationships/hyperlink" Target="&#47588;&#45684;&#50620;BODY(&#51665;&#54665;&#45800;&#44228;-&#52392;&#48512;&#54260;&#45908;)\&#49324;&#51204;&#53664;&#44277;&#49324;\3_Site%20Survey%20Risk%20&#44160;&#53664;\&#49688;&#54665;&#51648;&#52840;\Site%20Survey%20Risk%20&#44160;&#53664;_&#49688;&#54665;&#51648;&#52840;.html" TargetMode="External" Id="rId8"/><Relationship Type="http://schemas.openxmlformats.org/officeDocument/2006/relationships/hyperlink" Target="&#47588;&#45684;&#50620;BODY(&#51665;&#54665;&#45800;&#44228;-&#52392;&#48512;&#54260;&#45908;)\&#49324;&#51204;&#53664;&#44277;&#49324;\3_Site%20Survey%20Risk%20&#44160;&#53664;\&#52404;&#53356;&#47532;&#49828;&#53944;\Site%20Survey%20Risk%20&#44160;&#53664;_&#52404;&#53356;&#47532;&#49828;&#53944;.html" TargetMode="External" Id="rId9"/><Relationship Type="http://schemas.openxmlformats.org/officeDocument/2006/relationships/hyperlink" Target="&#47588;&#45684;&#50620;BODY(&#51665;&#54665;&#45800;&#44228;-&#52392;&#48512;&#54260;&#45908;)\&#49324;&#51204;&#53664;&#44277;&#49324;\4_&#52572;&#44256;&#51032;%20&#54016;%20&#47564;&#46308;&#44592;%20&#51648;&#50896;\&#54364;&#51456;&#49436;\&#52572;&#44256;&#51032;%20&#54016;%20&#47564;&#46308;&#44592;%20&#51648;&#50896;_&#54364;&#51456;&#49436;.html" TargetMode="External" Id="rId10"/><Relationship Type="http://schemas.openxmlformats.org/officeDocument/2006/relationships/hyperlink" Target="&#47588;&#45684;&#50620;BODY(&#51665;&#54665;&#45800;&#44228;-&#52392;&#48512;&#54260;&#45908;)\&#49324;&#51204;&#53664;&#44277;&#49324;\4_&#52572;&#44256;&#51032;%20&#54016;%20&#47564;&#46308;&#44592;%20&#51648;&#50896;\&#49688;&#54665;&#51648;&#52840;\&#52572;&#44256;&#51032;%20&#54016;%20&#47564;&#46308;&#44592;%20&#51648;&#50896;_&#49688;&#54665;&#51648;&#52840;.html" TargetMode="External" Id="rId11"/><Relationship Type="http://schemas.openxmlformats.org/officeDocument/2006/relationships/hyperlink" Target="&#47588;&#45684;&#50620;BODY(&#51665;&#54665;&#45800;&#44228;-&#52392;&#48512;&#54260;&#45908;)\&#49324;&#51204;&#53664;&#44277;&#49324;\4_&#52572;&#44256;&#51032;%20&#54016;%20&#47564;&#46308;&#44592;%20&#51648;&#50896;\&#52404;&#53356;&#47532;&#49828;&#53944;\&#52572;&#44256;&#51032;%20&#54016;%20&#47564;&#46308;&#44592;%20&#51648;&#50896;_&#52404;&#53356;&#47532;&#49828;&#53944;.html" TargetMode="External" Id="rId12"/><Relationship Type="http://schemas.openxmlformats.org/officeDocument/2006/relationships/hyperlink" Target="&#47588;&#45684;&#50620;BODY(&#51665;&#54665;&#45800;&#44228;-&#52392;&#48512;&#54260;&#45908;)\&#49324;&#51204;&#53664;&#44277;&#49324;\5_&#44277;&#49324;&#51473;%20&#44368;&#53685;&#52376;&#47532;&#44228;&#54925;\&#54364;&#51456;&#49436;\&#44277;&#49324;&#51473;%20&#44368;&#53685;&#52376;&#47532;&#44228;&#54925;_&#54364;&#51456;&#49436;.html" TargetMode="External" Id="rId13"/><Relationship Type="http://schemas.openxmlformats.org/officeDocument/2006/relationships/hyperlink" Target="&#47588;&#45684;&#50620;BODY(&#51665;&#54665;&#45800;&#44228;-&#52392;&#48512;&#54260;&#45908;)\&#49324;&#51204;&#53664;&#44277;&#49324;\5_&#44277;&#49324;&#51473;%20&#44368;&#53685;&#52376;&#47532;&#44228;&#54925;\&#49688;&#54665;&#51648;&#52840;\&#44277;&#49324;&#51473;%20&#44368;&#53685;&#52376;&#47532;&#44228;&#54925;_&#49688;&#54665;&#51648;&#52840;.html" TargetMode="External" Id="rId14"/><Relationship Type="http://schemas.openxmlformats.org/officeDocument/2006/relationships/hyperlink" Target="&#47588;&#45684;&#50620;BODY(&#51665;&#54665;&#45800;&#44228;-&#52392;&#48512;&#54260;&#45908;)\&#49324;&#51204;&#53664;&#44277;&#49324;\5_&#44277;&#49324;&#51473;%20&#44368;&#53685;&#52376;&#47532;&#44228;&#54925;\&#52404;&#53356;&#47532;&#49828;&#53944;\&#44277;&#49324;&#51473;%20&#44368;&#53685;&#52376;&#47532;&#44228;&#54925;_&#52404;&#53356;&#47532;&#49828;&#53944;.html" TargetMode="External" Id="rId15"/><Relationship Type="http://schemas.openxmlformats.org/officeDocument/2006/relationships/hyperlink" Target="&#47588;&#45684;&#50620;BODY(&#51665;&#54665;&#45800;&#44228;-&#52392;&#48512;&#54260;&#45908;)\&#49324;&#51204;&#53664;&#44277;&#49324;\6_&#51088;&#51116;&#48156;&#51452;%20&#50836;&#52397;\&#54364;&#51456;&#49436;\&#51088;&#51116;&#48156;&#51452;%20&#50836;&#52397;_&#54364;&#51456;&#49436;.html" TargetMode="External" Id="rId16"/><Relationship Type="http://schemas.openxmlformats.org/officeDocument/2006/relationships/hyperlink" Target="&#47588;&#45684;&#50620;BODY(&#51665;&#54665;&#45800;&#44228;-&#52392;&#48512;&#54260;&#45908;)\&#49324;&#51204;&#53664;&#44277;&#49324;\6_&#51088;&#51116;&#48156;&#51452;%20&#50836;&#52397;\&#49688;&#54665;&#51648;&#52840;\&#51088;&#51116;&#48156;&#51452;%20&#50836;&#52397;_&#49688;&#54665;&#51648;&#52840;.html" TargetMode="External" Id="rId17"/><Relationship Type="http://schemas.openxmlformats.org/officeDocument/2006/relationships/hyperlink" Target="&#47588;&#45684;&#50620;BODY(&#51665;&#54665;&#45800;&#44228;-&#52392;&#48512;&#54260;&#45908;)\&#49324;&#51204;&#53664;&#44277;&#49324;\6_&#51088;&#51116;&#48156;&#51452;%20&#50836;&#52397;\&#52404;&#53356;&#47532;&#49828;&#53944;\&#51088;&#51116;&#48156;&#51452;%20&#50836;&#52397;_&#52404;&#53356;&#47532;&#49828;&#53944;.html" TargetMode="External" Id="rId18"/><Relationship Type="http://schemas.openxmlformats.org/officeDocument/2006/relationships/hyperlink" Target="&#47588;&#45684;&#50620;BODY(&#51665;&#54665;&#45800;&#44228;-&#52392;&#48512;&#54260;&#45908;)\&#49324;&#51204;&#53664;&#44277;&#49324;\7_&#50857;&#51648;%20&#49324;&#50857;%20Risk%20&#44160;&#53664;\&#54364;&#51456;&#49436;\&#50857;&#51648;%20&#49324;&#50857;%20Risk%20&#44160;&#53664;_&#54364;&#51456;&#49436;.html" TargetMode="External" Id="rId19"/><Relationship Type="http://schemas.openxmlformats.org/officeDocument/2006/relationships/hyperlink" Target="&#47588;&#45684;&#50620;BODY(&#51665;&#54665;&#45800;&#44228;-&#52392;&#48512;&#54260;&#45908;)\&#49324;&#51204;&#53664;&#44277;&#49324;\7_&#50857;&#51648;%20&#49324;&#50857;%20Risk%20&#44160;&#53664;\&#49688;&#54665;&#51648;&#52840;\&#49688;&#54665;&#51648;&#52840;.html" TargetMode="External" Id="rId20"/><Relationship Type="http://schemas.openxmlformats.org/officeDocument/2006/relationships/hyperlink" Target="&#47588;&#45684;&#50620;BODY(&#51665;&#54665;&#45800;&#44228;-&#52392;&#48512;&#54260;&#45908;)\&#49324;&#51204;&#53664;&#44277;&#49324;\7_&#50857;&#51648;%20&#49324;&#50857;%20Risk%20&#44160;&#53664;\&#52404;&#53356;&#47532;&#49828;&#53944;\&#50857;&#51648;%20&#49324;&#50857;%20Risk%20&#44160;&#53664;_&#52404;&#53356;&#47532;&#49828;&#53944;.html" TargetMode="External" Id="rId21"/><Relationship Type="http://schemas.openxmlformats.org/officeDocument/2006/relationships/hyperlink" Target="&#47588;&#45684;&#50620;BODY(&#51665;&#54665;&#45800;&#44228;-&#52392;&#48512;&#54260;&#45908;)\&#49324;&#51204;&#53664;&#44277;&#49324;\8_&#52265;&#49688;&#51204;%20Big%20Room%20&#54924;&#51032;\&#54364;&#51456;&#49436;\&#52265;&#49688;&#51204;%20Big%20Room%20&#54924;&#51032;_&#54364;&#51456;&#49436;.html" TargetMode="External" Id="rId22"/><Relationship Type="http://schemas.openxmlformats.org/officeDocument/2006/relationships/hyperlink" Target="&#47588;&#45684;&#50620;BODY(&#51665;&#54665;&#45800;&#44228;-&#52392;&#48512;&#54260;&#45908;)\&#49324;&#51204;&#53664;&#44277;&#49324;\8_&#52265;&#49688;&#51204;%20Big%20Room%20&#54924;&#51032;\&#49688;&#54665;&#51648;&#52840;\&#52265;&#49688;&#51204;%20Big%20Room%20&#54924;&#51032;_&#49688;&#54665;&#51648;&#52840;.html" TargetMode="External" Id="rId23"/><Relationship Type="http://schemas.openxmlformats.org/officeDocument/2006/relationships/hyperlink" Target="&#47588;&#45684;&#50620;BODY(&#51665;&#54665;&#45800;&#44228;-&#52392;&#48512;&#54260;&#45908;)\&#49324;&#51204;&#53664;&#44277;&#49324;\8_&#52265;&#49688;&#51204;%20Big%20Room%20&#54924;&#51032;\&#52404;&#53356;&#47532;&#49828;&#53944;\&#52265;&#49688;&#51204;%20Big%20Room%20&#54924;&#51032;_&#52404;&#53356;&#47532;&#49828;&#53944;.html" TargetMode="External" Id="rId24"/><Relationship Type="http://schemas.openxmlformats.org/officeDocument/2006/relationships/hyperlink" Target="&#47588;&#45684;&#50620;BODY(&#51665;&#54665;&#45800;&#44228;-&#52392;&#48512;&#54260;&#45908;)\&#49324;&#51204;&#53664;&#44277;&#49324;\9_&#51064;&#54728;&#44032;%20&#51208;&#52264;%20&#51652;&#54665;\&#54364;&#51456;&#49436;\&#51064;&#54728;&#44032;%20&#51208;&#52264;%20&#51652;&#54665;_&#54364;&#51456;&#49436;.html" TargetMode="External" Id="rId25"/><Relationship Type="http://schemas.openxmlformats.org/officeDocument/2006/relationships/hyperlink" Target="&#47588;&#45684;&#50620;BODY(&#51665;&#54665;&#45800;&#44228;-&#52392;&#48512;&#54260;&#45908;)\&#49324;&#51204;&#53664;&#44277;&#49324;\9_&#51064;&#54728;&#44032;%20&#51208;&#52264;%20&#51652;&#54665;\&#49688;&#54665;&#51648;&#52840;\&#49688;&#54665;&#51648;&#52840;.html" TargetMode="External" Id="rId26"/><Relationship Type="http://schemas.openxmlformats.org/officeDocument/2006/relationships/hyperlink" Target="&#47588;&#45684;&#50620;BODY(&#51665;&#54665;&#45800;&#44228;-&#52392;&#48512;&#54260;&#45908;)\&#49324;&#51204;&#53664;&#44277;&#49324;\9_&#51064;&#54728;&#44032;%20&#51208;&#52264;%20&#51652;&#54665;\&#52404;&#53356;&#47532;&#49828;&#53944;\&#51064;&#54728;&#44032;%20&#51208;&#52264;%20&#51652;&#54665;_&#52404;&#53356;&#47532;&#49828;&#53944;.html" TargetMode="External" Id="rId27"/><Relationship Type="http://schemas.openxmlformats.org/officeDocument/2006/relationships/hyperlink" Target="&#47588;&#45684;&#50620;BODY(&#51665;&#54665;&#45800;&#44228;-&#52392;&#48512;&#54260;&#45908;)\&#49324;&#51204;&#53664;&#44277;&#49324;\10_&#44368;&#53685;&#52376;&#47532;&#45824;&#52293;%20&#54801;&#51032;%20&#48143;%20&#49849;&#51064;\&#54364;&#51456;&#49436;\&#44368;&#53685;&#52376;&#47532;&#45824;&#52293;%20&#54801;&#51032;%20&#48143;%20&#49849;&#51064;_&#54364;&#51456;&#49436;.html" TargetMode="External" Id="rId28"/><Relationship Type="http://schemas.openxmlformats.org/officeDocument/2006/relationships/hyperlink" Target="&#47588;&#45684;&#50620;BODY(&#51665;&#54665;&#45800;&#44228;-&#52392;&#48512;&#54260;&#45908;)\&#49324;&#51204;&#53664;&#44277;&#49324;\10_&#44368;&#53685;&#52376;&#47532;&#45824;&#52293;%20&#54801;&#51032;%20&#48143;%20&#49849;&#51064;\&#49688;&#54665;&#51648;&#52840;\&#44368;&#53685;&#52376;&#47532;&#45824;&#52293;%20&#54801;&#51032;%20&#48143;%20&#49849;&#51064;_&#49688;&#54665;&#51648;&#52840;.html" TargetMode="External" Id="rId29"/><Relationship Type="http://schemas.openxmlformats.org/officeDocument/2006/relationships/hyperlink" Target="&#47588;&#45684;&#50620;BODY(&#51665;&#54665;&#45800;&#44228;-&#52392;&#48512;&#54260;&#45908;)\&#49324;&#51204;&#53664;&#44277;&#49324;\10_&#44368;&#53685;&#52376;&#47532;&#45824;&#52293;%20&#54801;&#51032;%20&#48143;%20&#49849;&#51064;\&#52404;&#53356;&#47532;&#49828;&#53944;\&#44368;&#53685;&#52376;&#47532;&#45824;&#52293;%20&#54801;&#51032;%20&#48143;%20&#49849;&#51064;_&#52404;&#53356;&#47532;&#49828;&#53944;.html" TargetMode="External" Id="rId30"/><Relationship Type="http://schemas.openxmlformats.org/officeDocument/2006/relationships/hyperlink" Target="&#47588;&#45684;&#50620;BODY(&#51665;&#54665;&#45800;&#44228;-&#52392;&#48512;&#54260;&#45908;)\&#49324;&#51204;&#53664;&#44277;&#49324;\11_&#51648;&#51109;&#47932;%20&#44160;&#53664;%20&#48143;%20&#54801;&#51032;\&#54364;&#51456;&#49436;\&#51648;&#51109;&#47932;%20&#44160;&#53664;%20&#48143;%20&#54801;&#51032;_&#54364;&#51456;&#49436;.html" TargetMode="External" Id="rId31"/><Relationship Type="http://schemas.openxmlformats.org/officeDocument/2006/relationships/hyperlink" Target="&#47588;&#45684;&#50620;BODY(&#51665;&#54665;&#45800;&#44228;-&#52392;&#48512;&#54260;&#45908;)\&#49324;&#51204;&#53664;&#44277;&#49324;\11_&#51648;&#51109;&#47932;%20&#44160;&#53664;%20&#48143;%20&#54801;&#51032;\&#49688;&#54665;&#51648;&#52840;\&#49688;&#54665;&#51648;&#52840;.html" TargetMode="External" Id="rId32"/><Relationship Type="http://schemas.openxmlformats.org/officeDocument/2006/relationships/hyperlink" Target="&#47588;&#45684;&#50620;BODY(&#51665;&#54665;&#45800;&#44228;-&#52392;&#48512;&#54260;&#45908;)\&#49324;&#51204;&#53664;&#44277;&#49324;\11_&#51648;&#51109;&#47932;%20&#44160;&#53664;%20&#48143;%20&#54801;&#51032;\&#52404;&#53356;&#47532;&#49828;&#53944;\&#51648;&#51109;&#47932;%20&#44160;&#53664;%20&#48143;%20&#54801;&#51032;_&#52404;&#53356;&#47532;&#49828;&#53944;.html" TargetMode="External" Id="rId33"/><Relationship Type="http://schemas.openxmlformats.org/officeDocument/2006/relationships/hyperlink" Target="&#47588;&#45684;&#50620;BODY(&#51665;&#54665;&#45800;&#44228;-&#52392;&#48512;&#54260;&#45908;)\&#49324;&#51204;&#53664;&#44277;&#49324;\12_&#44592;&#44277;&#49849;&#45209;%20&#51201;&#51221;&#49457;%20&#44160;&#53664;\&#54364;&#51456;&#49436;\&#44592;&#44277;&#49849;&#45209;%20&#51201;&#51221;&#49457;%20&#44160;&#53664;_&#54364;&#51456;&#49436;.html" TargetMode="External" Id="rId34"/><Relationship Type="http://schemas.openxmlformats.org/officeDocument/2006/relationships/hyperlink" Target="&#47588;&#45684;&#50620;BODY(&#51665;&#54665;&#45800;&#44228;-&#52392;&#48512;&#54260;&#45908;)\&#49324;&#51204;&#53664;&#44277;&#49324;\12_&#44592;&#44277;&#49849;&#45209;%20&#51201;&#51221;&#49457;%20&#44160;&#53664;\&#49688;&#54665;&#51648;&#52840;\&#44592;&#44277;&#49849;&#45209;%20&#51201;&#51221;&#49457;%20&#44160;&#53664;_&#49688;&#54665;&#51648;&#52840;.html" TargetMode="External" Id="rId35"/><Relationship Type="http://schemas.openxmlformats.org/officeDocument/2006/relationships/hyperlink" Target="&#47588;&#45684;&#50620;BODY(&#51665;&#54665;&#45800;&#44228;-&#52392;&#48512;&#54260;&#45908;)\&#49324;&#51204;&#53664;&#44277;&#49324;\12_&#44592;&#44277;&#49849;&#45209;%20&#51201;&#51221;&#49457;%20&#44160;&#53664;\&#52404;&#53356;&#47532;&#49828;&#53944;\&#44592;&#44277;&#49849;&#45209;%20&#51201;&#51221;&#49457;%20&#44160;&#53664;_&#52404;&#53356;&#47532;&#49828;&#53944;.html" TargetMode="External" Id="rId36"/><Relationship Type="http://schemas.openxmlformats.org/officeDocument/2006/relationships/hyperlink" Target="&#47588;&#45684;&#50620;BODY(&#51665;&#54665;&#45800;&#44228;-&#52392;&#48512;&#54260;&#45908;)\&#49324;&#51204;&#53664;&#44277;&#49324;\13_&#48124;&#50896;%20&#51200;&#44048;%20&#45824;&#52293;%20&#49688;&#47549;\&#54364;&#51456;&#49436;\&#48124;&#50896;%20&#51200;&#44048;%20&#45824;&#52293;%20&#49688;&#47549;_&#54364;&#51456;&#49436;.html" TargetMode="External" Id="rId37"/><Relationship Type="http://schemas.openxmlformats.org/officeDocument/2006/relationships/hyperlink" Target="&#47588;&#45684;&#50620;BODY(&#51665;&#54665;&#45800;&#44228;-&#52392;&#48512;&#54260;&#45908;)\&#49324;&#51204;&#53664;&#44277;&#49324;\13_&#48124;&#50896;%20&#51200;&#44048;%20&#45824;&#52293;%20&#49688;&#47549;\&#49688;&#54665;&#51648;&#52840;\&#48124;&#50896;%20&#51200;&#44048;%20&#45824;&#52293;%20&#49688;&#47549;_&#49688;&#54665;&#51648;&#52840;.html" TargetMode="External" Id="rId38"/><Relationship Type="http://schemas.openxmlformats.org/officeDocument/2006/relationships/hyperlink" Target="&#47588;&#45684;&#50620;BODY(&#51665;&#54665;&#45800;&#44228;-&#52392;&#48512;&#54260;&#45908;)\&#49324;&#51204;&#53664;&#44277;&#49324;\13_&#48124;&#50896;%20&#51200;&#44048;%20&#45824;&#52293;%20&#49688;&#47549;\&#52404;&#53356;&#47532;&#49828;&#53944;\&#48124;&#50896;%20&#51200;&#44048;%20&#45824;&#52293;%20&#49688;&#47549;_&#52404;&#53356;&#47532;&#49828;&#53944;.html" TargetMode="External" Id="rId39"/><Relationship Type="http://schemas.openxmlformats.org/officeDocument/2006/relationships/hyperlink" Target="&#47588;&#45684;&#50620;BODY(&#51665;&#54665;&#45800;&#44228;-&#52392;&#48512;&#54260;&#45908;)\&#49324;&#51204;&#53664;&#44277;&#49324;\14_&#50857;&#51648;&#48372;&#49345;%20Risk%20&#54028;&#50501;\&#54364;&#51456;&#49436;\&#50857;&#51648;&#48372;&#49345;%20Risk%20&#54028;&#50501;_&#54364;&#51456;&#49436;.html" TargetMode="External" Id="rId40"/><Relationship Type="http://schemas.openxmlformats.org/officeDocument/2006/relationships/hyperlink" Target="&#47588;&#45684;&#50620;BODY(&#51665;&#54665;&#45800;&#44228;-&#52392;&#48512;&#54260;&#45908;)\&#49324;&#51204;&#53664;&#44277;&#49324;\14_&#50857;&#51648;&#48372;&#49345;%20Risk%20&#54028;&#50501;\&#49688;&#54665;&#51648;&#52840;\&#50857;&#51648;&#48372;&#49345;%20Risk%20&#54028;&#50501;_&#49688;&#54665;&#51648;&#52840;.html" TargetMode="External" Id="rId41"/><Relationship Type="http://schemas.openxmlformats.org/officeDocument/2006/relationships/hyperlink" Target="&#47588;&#45684;&#50620;BODY(&#51665;&#54665;&#45800;&#44228;-&#52392;&#48512;&#54260;&#45908;)\&#49324;&#51204;&#53664;&#44277;&#49324;\14_&#50857;&#51648;&#48372;&#49345;%20Risk%20&#54028;&#50501;\&#52404;&#53356;&#47532;&#49828;&#53944;\&#50857;&#51648;&#48372;&#49345;%20Risk%20&#54028;&#50501;_&#52404;&#53356;&#47532;&#49828;&#53944;.html" TargetMode="External" Id="rId42"/><Relationship Type="http://schemas.openxmlformats.org/officeDocument/2006/relationships/hyperlink" Target="&#47588;&#45684;&#50620;BODY(&#51665;&#54665;&#45800;&#44228;-&#52392;&#48512;&#54260;&#45908;)\&#49324;&#51204;&#53664;&#44277;&#49324;\15_&#49884;&#44277;&#44228;&#54925;&#49436;%20&#44160;&#53664;%20&#51648;&#50896;\&#54364;&#51456;&#49436;\&#49884;&#44277;&#44228;&#54925;&#49436;%20&#44160;&#53664;%20&#51648;&#50896;_&#54364;&#51456;&#49436;.html" TargetMode="External" Id="rId43"/><Relationship Type="http://schemas.openxmlformats.org/officeDocument/2006/relationships/hyperlink" Target="&#47588;&#45684;&#50620;BODY(&#51665;&#54665;&#45800;&#44228;-&#52392;&#48512;&#54260;&#45908;)\&#49324;&#51204;&#53664;&#44277;&#49324;\15_&#49884;&#44277;&#44228;&#54925;&#49436;%20&#44160;&#53664;%20&#51648;&#50896;\&#49688;&#54665;&#51648;&#52840;\&#49884;&#44277;&#44228;&#54925;&#49436;%20&#44160;&#53664;%20&#51648;&#50896;_&#49688;&#54665;&#51648;&#52840;.html" TargetMode="External" Id="rId44"/><Relationship Type="http://schemas.openxmlformats.org/officeDocument/2006/relationships/hyperlink" Target="&#47588;&#45684;&#50620;BODY(&#51665;&#54665;&#45800;&#44228;-&#52392;&#48512;&#54260;&#45908;)\&#49324;&#51204;&#53664;&#44277;&#49324;\15_&#49884;&#44277;&#44228;&#54925;&#49436;%20&#44160;&#53664;%20&#51648;&#50896;\&#52404;&#53356;&#47532;&#49828;&#53944;\&#49884;&#44277;&#44228;&#54925;&#49436;%20&#44160;&#53664;%20&#51648;&#50896;_&#52404;&#53356;&#47532;&#49828;&#53944;.html" TargetMode="External" Id="rId45"/><Relationship Type="http://schemas.openxmlformats.org/officeDocument/2006/relationships/hyperlink" Target="&#47588;&#45684;&#50620;BODY(&#51665;&#54665;&#45800;&#44228;-&#52392;&#48512;&#54260;&#45908;)\&#49324;&#51204;&#53664;&#44277;&#49324;\16_&#49884;&#44277;&#44228;&#54925;%20&#49688;&#47549;\&#54364;&#51456;&#49436;\&#49884;&#44277;&#44228;&#54925;%20&#49688;&#47549;_&#54364;&#51456;&#49436;.html" TargetMode="External" Id="rId46"/><Relationship Type="http://schemas.openxmlformats.org/officeDocument/2006/relationships/hyperlink" Target="&#47588;&#45684;&#50620;BODY(&#51665;&#54665;&#45800;&#44228;-&#52392;&#48512;&#54260;&#45908;)\&#49324;&#51204;&#53664;&#44277;&#49324;\16_&#49884;&#44277;&#44228;&#54925;%20&#49688;&#47549;\&#49688;&#54665;&#51648;&#52840;\&#49884;&#44277;&#44228;&#54925;%20&#49688;&#47549;_&#49688;&#54665;&#51648;&#52840;.html" TargetMode="External" Id="rId47"/><Relationship Type="http://schemas.openxmlformats.org/officeDocument/2006/relationships/hyperlink" Target="&#47588;&#45684;&#50620;BODY(&#51665;&#54665;&#45800;&#44228;-&#52392;&#48512;&#54260;&#45908;)\&#49324;&#51204;&#53664;&#44277;&#49324;\16_&#49884;&#44277;&#44228;&#54925;%20&#49688;&#47549;\&#52404;&#53356;&#47532;&#49828;&#53944;\&#49884;&#44277;&#44228;&#54925;%20&#49688;&#47549;_&#52404;&#53356;&#47532;&#49828;&#53944;.html" TargetMode="External" Id="rId48"/><Relationship Type="http://schemas.openxmlformats.org/officeDocument/2006/relationships/hyperlink" Target="&#47588;&#45684;&#50620;BODY(&#51665;&#54665;&#45800;&#44228;-&#52392;&#48512;&#54260;&#45908;)\&#49324;&#51204;&#53664;&#44277;&#49324;\17_&#54980;&#54665;&#44277;&#51333;%20&#50836;&#44396;&#51312;&#44148;%20&#48152;&#50689;%20&#49444;&#44228;&#48320;&#44221;%20&#44160;&#53664;\&#54364;&#51456;&#49436;\&#54980;&#54665;&#44277;&#51333;%20&#50836;&#44396;&#51312;&#44148;%20&#48152;&#50689;%20&#49444;&#44228;&#48320;&#44221;%20&#44160;&#53664;_&#54364;&#51456;&#49436;.html" TargetMode="External" Id="rId49"/><Relationship Type="http://schemas.openxmlformats.org/officeDocument/2006/relationships/hyperlink" Target="&#47588;&#45684;&#50620;BODY(&#51665;&#54665;&#45800;&#44228;-&#52392;&#48512;&#54260;&#45908;)\&#49324;&#51204;&#53664;&#44277;&#49324;\17_&#54980;&#54665;&#44277;&#51333;%20&#50836;&#44396;&#51312;&#44148;%20&#48152;&#50689;%20&#49444;&#44228;&#48320;&#44221;%20&#44160;&#53664;\&#49688;&#54665;&#51648;&#52840;\&#54980;&#54665;&#44277;&#51333;%20&#50836;&#44396;&#51312;&#44148;%20&#48152;&#50689;%20&#49444;&#44228;&#48320;&#44221;%20&#44160;&#53664;_&#49688;&#54665;&#51648;&#52840;.html" TargetMode="External" Id="rId50"/><Relationship Type="http://schemas.openxmlformats.org/officeDocument/2006/relationships/hyperlink" Target="&#47588;&#45684;&#50620;BODY(&#51665;&#54665;&#45800;&#44228;-&#52392;&#48512;&#54260;&#45908;)\&#49324;&#51204;&#53664;&#44277;&#49324;\17_&#54980;&#54665;&#44277;&#51333;%20&#50836;&#44396;&#51312;&#44148;%20&#48152;&#50689;%20&#49444;&#44228;&#48320;&#44221;%20&#44160;&#53664;\&#52404;&#53356;&#47532;&#49828;&#53944;\&#54980;&#54665;&#44277;&#51333;%20&#50836;&#44396;&#51312;&#44148;%20&#48152;&#50689;%20&#49444;&#44228;&#48320;&#44221;%20&#44160;&#53664;_&#52404;&#53356;&#47532;&#49828;&#53944;.html" TargetMode="External" Id="rId51"/><Relationship Type="http://schemas.openxmlformats.org/officeDocument/2006/relationships/hyperlink" Target="&#47588;&#45684;&#50620;BODY(&#51665;&#54665;&#45800;&#44228;-&#52392;&#48512;&#54260;&#45908;)\&#49324;&#51204;&#53664;&#44277;&#49324;\18_&#49444;&#44228;&#48320;&#44221;%20(&#52265;&#49688;&#51204;)\&#54364;&#51456;&#49436;\&#49444;&#44228;&#48320;&#44221;%20(&#52265;&#49688;&#51204;)_&#54364;&#51456;&#49436;.html" TargetMode="External" Id="rId52"/><Relationship Type="http://schemas.openxmlformats.org/officeDocument/2006/relationships/hyperlink" Target="&#47588;&#45684;&#50620;BODY(&#51665;&#54665;&#45800;&#44228;-&#52392;&#48512;&#54260;&#45908;)\&#49324;&#51204;&#53664;&#44277;&#49324;\18_&#49444;&#44228;&#48320;&#44221;%20(&#52265;&#49688;&#51204;)\&#49688;&#54665;&#51648;&#52840;\&#49444;&#44228;&#48320;&#44221;%20(&#52265;&#49688;&#51204;)_&#49688;&#54665;&#51648;&#52840;.html" TargetMode="External" Id="rId53"/><Relationship Type="http://schemas.openxmlformats.org/officeDocument/2006/relationships/hyperlink" Target="&#47588;&#45684;&#50620;BODY(&#51665;&#54665;&#45800;&#44228;-&#52392;&#48512;&#54260;&#45908;)\&#49324;&#51204;&#53664;&#44277;&#49324;\18_&#49444;&#44228;&#48320;&#44221;%20(&#52265;&#49688;&#51204;)\&#52404;&#53356;&#47532;&#49828;&#53944;\&#49444;&#44228;&#48320;&#44221;%20(&#52265;&#49688;&#51204;)_&#52404;&#53356;&#47532;&#49828;&#53944;.html" TargetMode="External" Id="rId54"/><Relationship Type="http://schemas.openxmlformats.org/officeDocument/2006/relationships/hyperlink" Target="&#47588;&#45684;&#50620;BODY(&#51665;&#54665;&#45800;&#44228;-&#52392;&#48512;&#54260;&#45908;)\&#49324;&#51204;&#53664;&#44277;&#49324;\19_&#49444;&#44228;&#48320;&#44221;%20&#51648;&#50896;\&#54364;&#51456;&#49436;\&#49444;&#44228;&#48320;&#44221;%20&#51648;&#50896;_&#54364;&#51456;&#49436;.html" TargetMode="External" Id="rId55"/><Relationship Type="http://schemas.openxmlformats.org/officeDocument/2006/relationships/hyperlink" Target="&#47588;&#45684;&#50620;BODY(&#51665;&#54665;&#45800;&#44228;-&#52392;&#48512;&#54260;&#45908;)\&#49324;&#51204;&#53664;&#44277;&#49324;\19_&#49444;&#44228;&#48320;&#44221;%20&#51648;&#50896;\&#49688;&#54665;&#51648;&#52840;\&#49444;&#44228;&#48320;&#44221;%20&#51648;&#50896;_&#49688;&#54665;&#51648;&#52840;.html" TargetMode="External" Id="rId56"/><Relationship Type="http://schemas.openxmlformats.org/officeDocument/2006/relationships/hyperlink" Target="&#47588;&#45684;&#50620;BODY(&#51665;&#54665;&#45800;&#44228;-&#52392;&#48512;&#54260;&#45908;)\&#49324;&#51204;&#53664;&#44277;&#49324;\19_&#49444;&#44228;&#48320;&#44221;%20&#51648;&#50896;\&#52404;&#53356;&#47532;&#49828;&#53944;\&#49444;&#44228;&#48320;&#44221;%20&#51648;&#50896;_&#52404;&#53356;&#47532;&#49828;&#53944;.html" TargetMode="External" Id="rId57"/><Relationship Type="http://schemas.openxmlformats.org/officeDocument/2006/relationships/hyperlink" Target="&#47588;&#45684;&#50620;BODY(&#51665;&#54665;&#45800;&#44228;-&#52392;&#48512;&#54260;&#45908;)\&#49324;&#51204;&#53664;&#44277;&#49324;\20_&#44368;&#53685;&#44288;&#47532;%20&#48143;%20&#44368;&#53685;&#50504;&#51204;&#49884;&#49444;%20&#49444;&#52824;\&#54364;&#51456;&#49436;\&#44368;&#53685;&#44288;&#47532;%20&#48143;%20&#44368;&#53685;&#50504;&#51204;&#49884;&#49444;%20&#49444;&#52824;_&#54364;&#51456;&#49436;.html" TargetMode="External" Id="rId58"/><Relationship Type="http://schemas.openxmlformats.org/officeDocument/2006/relationships/hyperlink" Target="&#47588;&#45684;&#50620;BODY(&#51665;&#54665;&#45800;&#44228;-&#52392;&#48512;&#54260;&#45908;)\&#49324;&#51204;&#53664;&#44277;&#49324;\20_&#44368;&#53685;&#44288;&#47532;%20&#48143;%20&#44368;&#53685;&#50504;&#51204;&#49884;&#49444;%20&#49444;&#52824;\&#49688;&#54665;&#51648;&#52840;\&#44368;&#53685;&#44288;&#47532;%20&#48143;%20&#44368;&#53685;&#50504;&#51204;&#49884;&#49444;%20&#49444;&#52824;_&#49688;&#54665;&#51648;&#52840;.html" TargetMode="External" Id="rId59"/><Relationship Type="http://schemas.openxmlformats.org/officeDocument/2006/relationships/hyperlink" Target="&#47588;&#45684;&#50620;BODY(&#51665;&#54665;&#45800;&#44228;-&#52392;&#48512;&#54260;&#45908;)\&#49324;&#51204;&#53664;&#44277;&#49324;\20_&#44368;&#53685;&#44288;&#47532;%20&#48143;%20&#44368;&#53685;&#50504;&#51204;&#49884;&#49444;%20&#49444;&#52824;\&#52404;&#53356;&#47532;&#49828;&#53944;\&#44368;&#53685;&#44288;&#47532;%20&#48143;%20&#44368;&#53685;&#50504;&#51204;&#49884;&#49444;%20&#49444;&#52824;_&#52404;&#53356;&#47532;&#49828;&#53944;.html" TargetMode="External" Id="rId60"/><Relationship Type="http://schemas.openxmlformats.org/officeDocument/2006/relationships/hyperlink" Target="&#47588;&#45684;&#50620;BODY(&#51665;&#54665;&#45800;&#44228;-&#52392;&#48512;&#54260;&#45908;)\&#49324;&#51204;&#53664;&#44277;&#49324;\21_&#51109;&#48708;%20&#44160;&#49688;%20&#51648;&#50896;\&#54364;&#51456;&#49436;\&#51109;&#48708;%20&#44160;&#49688;%20&#51648;&#50896;_&#54364;&#51456;&#49436;.html" TargetMode="External" Id="rId61"/><Relationship Type="http://schemas.openxmlformats.org/officeDocument/2006/relationships/hyperlink" Target="&#47588;&#45684;&#50620;BODY(&#51665;&#54665;&#45800;&#44228;-&#52392;&#48512;&#54260;&#45908;)\&#49324;&#51204;&#53664;&#44277;&#49324;\21_&#51109;&#48708;%20&#44160;&#49688;%20&#51648;&#50896;\&#49688;&#54665;&#51648;&#52840;\&#49688;&#54665;&#51648;&#52840;.html" TargetMode="External" Id="rId62"/><Relationship Type="http://schemas.openxmlformats.org/officeDocument/2006/relationships/hyperlink" Target="&#47588;&#45684;&#50620;BODY(&#51665;&#54665;&#45800;&#44228;-&#52392;&#48512;&#54260;&#45908;)\&#49324;&#51204;&#53664;&#44277;&#49324;\21_&#51109;&#48708;%20&#44160;&#49688;%20&#51648;&#50896;\&#52404;&#53356;&#47532;&#49828;&#53944;\&#51109;&#48708;%20&#44160;&#49688;%20&#51648;&#50896;_&#52404;&#53356;&#47532;&#49828;&#53944;.html" TargetMode="External" Id="rId63"/><Relationship Type="http://schemas.openxmlformats.org/officeDocument/2006/relationships/hyperlink" Target="&#47588;&#45684;&#50620;BODY(&#51665;&#54665;&#45800;&#44228;-&#52392;&#48512;&#54260;&#45908;)\&#49324;&#51204;&#53664;&#44277;&#49324;\22_&#48268;&#47785;_&#48268;&#44540;&#51228;&#44144;\&#54364;&#51456;&#49436;\&#48268;&#47785;_&#48268;&#44540;&#51228;&#44144;_&#54364;&#51456;&#49436;.html" TargetMode="External" Id="rId64"/><Relationship Type="http://schemas.openxmlformats.org/officeDocument/2006/relationships/hyperlink" Target="&#47588;&#45684;&#50620;BODY(&#51665;&#54665;&#45800;&#44228;-&#52392;&#48512;&#54260;&#45908;)\&#49324;&#51204;&#53664;&#44277;&#49324;\22_&#48268;&#47785;_&#48268;&#44540;&#51228;&#44144;\&#49688;&#54665;&#51648;&#52840;\&#48268;&#47785;_&#48268;&#44540;&#51228;&#44144;_&#49688;&#54665;&#51648;&#52840;.html" TargetMode="External" Id="rId65"/><Relationship Type="http://schemas.openxmlformats.org/officeDocument/2006/relationships/hyperlink" Target="&#47588;&#45684;&#50620;BODY(&#51665;&#54665;&#45800;&#44228;-&#52392;&#48512;&#54260;&#45908;)\&#49324;&#51204;&#53664;&#44277;&#49324;\22_&#48268;&#47785;_&#48268;&#44540;&#51228;&#44144;\&#52404;&#53356;&#47532;&#49828;&#53944;\&#48268;&#47785;_&#48268;&#44540;&#51228;&#44144;_&#52404;&#53356;&#47532;&#49828;&#53944;.html" TargetMode="External" Id="rId66"/><Relationship Type="http://schemas.openxmlformats.org/officeDocument/2006/relationships/hyperlink" Target="&#47588;&#45684;&#50620;BODY(&#51665;&#54665;&#45800;&#44228;-&#52392;&#48512;&#54260;&#45908;)\&#49324;&#51204;&#53664;&#44277;&#49324;\23_&#44592;&#51316;&#44396;&#51312;&#47932;%20_%20&#51648;&#51109;&#47932;%20&#52376;&#47532;\&#54364;&#51456;&#49436;\&#44592;&#51316;&#44396;&#51312;&#47932;%20_%20&#51648;&#51109;&#47932;%20&#52376;&#47532;_&#54364;&#51456;&#49436;.html" TargetMode="External" Id="rId67"/><Relationship Type="http://schemas.openxmlformats.org/officeDocument/2006/relationships/hyperlink" Target="&#47588;&#45684;&#50620;BODY(&#51665;&#54665;&#45800;&#44228;-&#52392;&#48512;&#54260;&#45908;)\&#49324;&#51204;&#53664;&#44277;&#49324;\23_&#44592;&#51316;&#44396;&#51312;&#47932;%20_%20&#51648;&#51109;&#47932;%20&#52376;&#47532;\&#49688;&#54665;&#51648;&#52840;\&#44592;&#51316;&#44396;&#51312;&#47932;%20_%20&#51648;&#51109;&#47932;%20&#52376;&#47532;_&#49688;&#54665;&#51648;&#52840;.html" TargetMode="External" Id="rId68"/><Relationship Type="http://schemas.openxmlformats.org/officeDocument/2006/relationships/hyperlink" Target="&#47588;&#45684;&#50620;BODY(&#51665;&#54665;&#45800;&#44228;-&#52392;&#48512;&#54260;&#45908;)\&#49324;&#51204;&#53664;&#44277;&#49324;\23_&#44592;&#51316;&#44396;&#51312;&#47932;%20_%20&#51648;&#51109;&#47932;%20&#52376;&#47532;\&#52404;&#53356;&#47532;&#49828;&#53944;\&#44592;&#51316;&#44396;&#51312;&#47932;%20_%20&#51648;&#51109;&#47932;%20&#52376;&#47532;_&#52404;&#53356;&#47532;&#49828;&#53944;.html" TargetMode="External" Id="rId69"/><Relationship Type="http://schemas.openxmlformats.org/officeDocument/2006/relationships/hyperlink" Target="&#47588;&#45684;&#50620;BODY(&#51665;&#54665;&#45800;&#44228;-&#52392;&#48512;&#54260;&#45908;)\&#49324;&#51204;&#53664;&#44277;&#49324;\24_&#51652;&#51077;&#47196;%20&#51312;&#49457;\&#54364;&#51456;&#49436;\&#51652;&#51077;&#47196;%20&#51312;&#49457;_&#54364;&#51456;&#49436;.html" TargetMode="External" Id="rId70"/><Relationship Type="http://schemas.openxmlformats.org/officeDocument/2006/relationships/hyperlink" Target="&#47588;&#45684;&#50620;BODY(&#51665;&#54665;&#45800;&#44228;-&#52392;&#48512;&#54260;&#45908;)\&#49324;&#51204;&#53664;&#44277;&#49324;\24_&#51652;&#51077;&#47196;%20&#51312;&#49457;\&#49688;&#54665;&#51648;&#52840;\&#51652;&#51077;&#47196;%20&#51312;&#49457;_&#49688;&#54665;&#51648;&#52840;.html" TargetMode="External" Id="rId71"/><Relationship Type="http://schemas.openxmlformats.org/officeDocument/2006/relationships/hyperlink" Target="&#47588;&#45684;&#50620;BODY(&#51665;&#54665;&#45800;&#44228;-&#52392;&#48512;&#54260;&#45908;)\&#49324;&#51204;&#53664;&#44277;&#49324;\24_&#51652;&#51077;&#47196;%20&#51312;&#49457;\&#52404;&#53356;&#47532;&#49828;&#53944;\&#51652;&#51077;&#47196;%20&#51312;&#49457;_&#52404;&#53356;&#47532;&#49828;&#53944;.html" TargetMode="External" Id="rId72"/><Relationship Type="http://schemas.openxmlformats.org/officeDocument/2006/relationships/hyperlink" Target="&#47588;&#45684;&#50620;BODY(&#51665;&#54665;&#45800;&#44228;-&#52392;&#48512;&#54260;&#45908;)\&#49324;&#51204;&#53664;&#44277;&#49324;\25_&#48176;&#49688;_&#54872;&#44221;&#49884;&#49444;%20&#49444;&#52824;\&#54364;&#51456;&#49436;\&#48176;&#49688;_&#54872;&#44221;&#49884;&#49444;%20&#49444;&#52824;_&#54364;&#51456;&#49436;.html" TargetMode="External" Id="rId73"/><Relationship Type="http://schemas.openxmlformats.org/officeDocument/2006/relationships/hyperlink" Target="&#47588;&#45684;&#50620;BODY(&#51665;&#54665;&#45800;&#44228;-&#52392;&#48512;&#54260;&#45908;)\&#49324;&#51204;&#53664;&#44277;&#49324;\25_&#48176;&#49688;_&#54872;&#44221;&#49884;&#49444;%20&#49444;&#52824;\&#49688;&#54665;&#51648;&#52840;\&#48176;&#49688;_&#54872;&#44221;&#49884;&#49444;%20&#49444;&#52824;_&#49688;&#54665;&#51648;&#52840;.html" TargetMode="External" Id="rId74"/><Relationship Type="http://schemas.openxmlformats.org/officeDocument/2006/relationships/hyperlink" Target="&#47588;&#45684;&#50620;BODY(&#51665;&#54665;&#45800;&#44228;-&#52392;&#48512;&#54260;&#45908;)\&#49324;&#51204;&#53664;&#44277;&#49324;\25_&#48176;&#49688;_&#54872;&#44221;&#49884;&#49444;%20&#49444;&#52824;\&#52404;&#53356;&#47532;&#49828;&#53944;\&#48176;&#49688;_&#54872;&#44221;&#49884;&#49444;%20&#49444;&#52824;_&#52404;&#53356;&#47532;&#49828;&#53944;.html" TargetMode="External" Id="rId75"/><Relationship Type="http://schemas.openxmlformats.org/officeDocument/2006/relationships/hyperlink" Target="&#47588;&#45684;&#50620;BODY(&#51665;&#54665;&#45800;&#44228;-&#52392;&#48512;&#54260;&#45908;)\&#49324;&#51204;&#53664;&#44277;&#49324;\26_&#53664;&#44277;%20&#44404;&#52265;\&#54364;&#51456;&#49436;\&#53664;&#44277;%20&#44404;&#52265;_&#54364;&#51456;&#49436;.html" TargetMode="External" Id="rId76"/><Relationship Type="http://schemas.openxmlformats.org/officeDocument/2006/relationships/hyperlink" Target="&#47588;&#45684;&#50620;BODY(&#51665;&#54665;&#45800;&#44228;-&#52392;&#48512;&#54260;&#45908;)\&#49324;&#51204;&#53664;&#44277;&#49324;\26_&#53664;&#44277;%20&#44404;&#52265;\&#49688;&#54665;&#51648;&#52840;\&#53664;&#44277;%20&#44404;&#52265;_&#49688;&#54665;&#51648;&#52840;.html" TargetMode="External" Id="rId77"/><Relationship Type="http://schemas.openxmlformats.org/officeDocument/2006/relationships/hyperlink" Target="&#47588;&#45684;&#50620;BODY(&#51665;&#54665;&#45800;&#44228;-&#52392;&#48512;&#54260;&#45908;)\&#49324;&#51204;&#53664;&#44277;&#49324;\26_&#53664;&#44277;%20&#44404;&#52265;\&#52404;&#53356;&#47532;&#49828;&#53944;\&#53664;&#44277;%20&#44404;&#52265;_&#52404;&#53356;&#47532;&#49828;&#53944;.html" TargetMode="External" Id="rId78"/><Relationship Type="http://schemas.openxmlformats.org/officeDocument/2006/relationships/hyperlink" Target="&#47588;&#45684;&#50620;BODY(&#51665;&#54665;&#45800;&#44228;-&#52392;&#48512;&#54260;&#45908;)\&#49324;&#51204;&#53664;&#44277;&#49324;\27_&#45432;&#49345;&#53664;%20&#51648;&#51648;&#47141;%20&#54869;&#51064;\&#54364;&#51456;&#49436;\&#45432;&#49345;&#53664;%20&#51648;&#51648;&#47141;%20&#54869;&#51064;_&#54364;&#51456;&#49436;.html" TargetMode="External" Id="rId79"/><Relationship Type="http://schemas.openxmlformats.org/officeDocument/2006/relationships/hyperlink" Target="&#47588;&#45684;&#50620;BODY(&#51665;&#54665;&#45800;&#44228;-&#52392;&#48512;&#54260;&#45908;)\&#49324;&#51204;&#53664;&#44277;&#49324;\27_&#45432;&#49345;&#53664;%20&#51648;&#51648;&#47141;%20&#54869;&#51064;\&#49688;&#54665;&#51648;&#52840;\&#45432;&#49345;&#53664;%20&#51648;&#51648;&#47141;%20&#54869;&#51064;_&#49688;&#54665;&#51648;&#52840;.html" TargetMode="External" Id="rId80"/><Relationship Type="http://schemas.openxmlformats.org/officeDocument/2006/relationships/hyperlink" Target="&#47588;&#45684;&#50620;BODY(&#51665;&#54665;&#45800;&#44228;-&#52392;&#48512;&#54260;&#45908;)\&#49324;&#51204;&#53664;&#44277;&#49324;\27_&#45432;&#49345;&#53664;%20&#51648;&#51648;&#47141;%20&#54869;&#51064;\&#52404;&#53356;&#47532;&#49828;&#53944;\&#45432;&#49345;&#53664;%20&#51648;&#51648;&#47141;%20&#54869;&#51064;_&#52404;&#53356;&#47532;&#49828;&#53944;.html" TargetMode="External" Id="rId81"/><Relationship Type="http://schemas.openxmlformats.org/officeDocument/2006/relationships/hyperlink" Target="&#47588;&#45684;&#50620;BODY(&#51665;&#54665;&#45800;&#44228;-&#52392;&#48512;&#54260;&#45908;)\&#49324;&#51204;&#53664;&#44277;&#49324;\28_&#49939;&#44592;%20&#48143;%20&#45796;&#51664;(&#54596;&#50836;&#49884;)\&#54364;&#51456;&#49436;\&#49939;&#44592;%20&#48143;%20&#45796;&#51664;(&#54596;&#50836;&#49884;)_&#54364;&#51456;&#49436;.html" TargetMode="External" Id="rId82"/><Relationship Type="http://schemas.openxmlformats.org/officeDocument/2006/relationships/hyperlink" Target="&#47588;&#45684;&#50620;BODY(&#51665;&#54665;&#45800;&#44228;-&#52392;&#48512;&#54260;&#45908;)\&#49324;&#51204;&#53664;&#44277;&#49324;\28_&#49939;&#44592;%20&#48143;%20&#45796;&#51664;(&#54596;&#50836;&#49884;)\&#49688;&#54665;&#51648;&#52840;\&#49939;&#44592;%20&#48143;%20&#45796;&#51664;(&#54596;&#50836;&#49884;)_&#49688;&#54665;&#51648;&#52840;.html" TargetMode="External" Id="rId83"/><Relationship Type="http://schemas.openxmlformats.org/officeDocument/2006/relationships/hyperlink" Target="&#47588;&#45684;&#50620;BODY(&#51665;&#54665;&#45800;&#44228;-&#52392;&#48512;&#54260;&#45908;)\&#49324;&#51204;&#53664;&#44277;&#49324;\28_&#49939;&#44592;%20&#48143;%20&#45796;&#51664;(&#54596;&#50836;&#49884;)\&#52404;&#53356;&#47532;&#49828;&#53944;\&#49939;&#44592;%20&#48143;%20&#45796;&#51664;(&#54596;&#50836;&#49884;)_&#52404;&#53356;&#47532;&#49828;&#53944;.html" TargetMode="External" Id="rId84"/><Relationship Type="http://schemas.openxmlformats.org/officeDocument/2006/relationships/hyperlink" Target="&#47588;&#45684;&#50620;BODY(&#51665;&#54665;&#45800;&#44228;-&#52392;&#48512;&#54260;&#45908;)\&#49324;&#51204;&#53664;&#44277;&#49324;\29_&#54788;&#51109;&#51648;&#50896;\&#54364;&#51456;&#49436;\&#54788;&#51109;&#51648;&#50896;_&#54364;&#51456;&#49436;.html" TargetMode="External" Id="rId85"/><Relationship Type="http://schemas.openxmlformats.org/officeDocument/2006/relationships/hyperlink" Target="&#47588;&#45684;&#50620;BODY(&#51665;&#54665;&#45800;&#44228;-&#52392;&#48512;&#54260;&#45908;)\&#49324;&#51204;&#53664;&#44277;&#49324;\29_&#54788;&#51109;&#51648;&#50896;\&#49688;&#54665;&#51648;&#52840;\&#54788;&#51109;&#51648;&#50896;_&#49688;&#54665;&#51648;&#52840;.html" TargetMode="External" Id="rId86"/><Relationship Type="http://schemas.openxmlformats.org/officeDocument/2006/relationships/hyperlink" Target="&#47588;&#45684;&#50620;BODY(&#51665;&#54665;&#45800;&#44228;-&#52392;&#48512;&#54260;&#45908;)\&#49324;&#51204;&#53664;&#44277;&#49324;\29_&#54788;&#51109;&#51648;&#50896;\&#52404;&#53356;&#47532;&#49828;&#53944;\&#54788;&#51109;&#51648;&#50896;_&#52404;&#53356;&#47532;&#49828;&#53944;.html" TargetMode="External" Id="rId87"/><Relationship Type="http://schemas.openxmlformats.org/officeDocument/2006/relationships/hyperlink" Target="&#47588;&#45684;&#50620;BODY(&#51665;&#54665;&#45800;&#44228;-&#52392;&#48512;&#54260;&#45908;)\&#49324;&#51204;&#53664;&#44277;&#49324;\30_&#44053;&#54868;&#45432;&#48152;%20&#51064;&#44228;\&#54364;&#51456;&#49436;\&#44053;&#54868;&#45432;&#48152;%20&#51064;&#44228;_&#54364;&#51456;&#49436;.html" TargetMode="External" Id="rId88"/><Relationship Type="http://schemas.openxmlformats.org/officeDocument/2006/relationships/hyperlink" Target="&#47588;&#45684;&#50620;BODY(&#51665;&#54665;&#45800;&#44228;-&#52392;&#48512;&#54260;&#45908;)\&#49324;&#51204;&#53664;&#44277;&#49324;\30_&#44053;&#54868;&#45432;&#48152;%20&#51064;&#44228;\&#49688;&#54665;&#51648;&#52840;\&#44053;&#54868;&#45432;&#48152;%20&#51064;&#44228;_&#49688;&#54665;&#51648;&#52840;.html" TargetMode="External" Id="rId89"/><Relationship Type="http://schemas.openxmlformats.org/officeDocument/2006/relationships/hyperlink" Target="&#47588;&#45684;&#50620;BODY(&#51665;&#54665;&#45800;&#44228;-&#52392;&#48512;&#54260;&#45908;)\&#49324;&#51204;&#53664;&#44277;&#49324;\30_&#44053;&#54868;&#45432;&#48152;%20&#51064;&#44228;\&#52404;&#53356;&#47532;&#49828;&#53944;\&#44053;&#54868;&#45432;&#48152;%20&#51064;&#44228;_&#52404;&#53356;&#47532;&#49828;&#53944;.html" TargetMode="External" Id="rId90"/></Relationships>
</file>

<file path=xl/worksheets/_rels/sheet4.xml.rels><Relationships xmlns="http://schemas.openxmlformats.org/package/2006/relationships"><Relationship Type="http://schemas.openxmlformats.org/officeDocument/2006/relationships/hyperlink" Target="&#47588;&#45684;&#50620;BODY(&#51665;&#54665;&#45800;&#44228;-&#52392;&#48512;&#54260;&#45908;)\&#49345;&#48512;&#44053;&#54868;&#45432;&#48152;\1_&#51648;&#48152;&#51312;&#49324;%20&#49345;&#49464;&#44160;&#53664;\&#54364;&#51456;&#49436;\&#51648;&#48152;&#51312;&#49324;%20&#49345;&#49464;&#44160;&#53664;_&#54364;&#51456;&#49436;.html" TargetMode="External" Id="rId1"/><Relationship Type="http://schemas.openxmlformats.org/officeDocument/2006/relationships/hyperlink" Target="&#47588;&#45684;&#50620;BODY(&#51665;&#54665;&#45800;&#44228;-&#52392;&#48512;&#54260;&#45908;)\&#49345;&#48512;&#44053;&#54868;&#45432;&#48152;\1_&#51648;&#48152;&#51312;&#49324;%20&#49345;&#49464;&#44160;&#53664;\&#49688;&#54665;&#51648;&#52840;\&#51648;&#48152;&#51312;&#49324;%20&#49345;&#49464;&#44160;&#53664;_&#49688;&#54665;&#51648;&#52840;.html" TargetMode="External" Id="rId2"/><Relationship Type="http://schemas.openxmlformats.org/officeDocument/2006/relationships/hyperlink" Target="&#47588;&#45684;&#50620;BODY(&#51665;&#54665;&#45800;&#44228;-&#52392;&#48512;&#54260;&#45908;)\&#49345;&#48512;&#44053;&#54868;&#45432;&#48152;\1_&#51648;&#48152;&#51312;&#49324;%20&#49345;&#49464;&#44160;&#53664;\&#52404;&#53356;&#47532;&#49828;&#53944;\&#51648;&#48152;&#51312;&#49324;%20&#49345;&#49464;&#44160;&#53664;_&#52404;&#53356;&#47532;&#49828;&#53944;.html" TargetMode="External" Id="rId3"/><Relationship Type="http://schemas.openxmlformats.org/officeDocument/2006/relationships/hyperlink" Target="&#47588;&#45684;&#50620;BODY(&#51665;&#54665;&#45800;&#44228;-&#52392;&#48512;&#54260;&#45908;)\&#49345;&#48512;&#44053;&#54868;&#45432;&#48152;\2_&#48156;&#51452;&#51204;&#47029;%20KOM\&#54364;&#51456;&#49436;\&#48156;&#51452;&#51204;&#47029;%20KOM_&#54364;&#51456;&#49436;.html" TargetMode="External" Id="rId4"/><Relationship Type="http://schemas.openxmlformats.org/officeDocument/2006/relationships/hyperlink" Target="&#47588;&#45684;&#50620;BODY(&#51665;&#54665;&#45800;&#44228;-&#52392;&#48512;&#54260;&#45908;)\&#49345;&#48512;&#44053;&#54868;&#45432;&#48152;\2_&#48156;&#51452;&#51204;&#47029;%20KOM\&#49688;&#54665;&#51648;&#52840;\&#48156;&#51452;&#51204;&#47029;%20KOM_&#49688;&#54665;&#51648;&#52840;.html" TargetMode="External" Id="rId5"/><Relationship Type="http://schemas.openxmlformats.org/officeDocument/2006/relationships/hyperlink" Target="&#47588;&#45684;&#50620;BODY(&#51665;&#54665;&#45800;&#44228;-&#52392;&#48512;&#54260;&#45908;)\&#49345;&#48512;&#44053;&#54868;&#45432;&#48152;\2_&#48156;&#51452;&#51204;&#47029;%20KOM\&#52404;&#53356;&#47532;&#49828;&#53944;\&#48156;&#51452;&#51204;&#47029;%20KOM_&#52404;&#53356;&#47532;&#49828;&#53944;.html" TargetMode="External" Id="rId6"/><Relationship Type="http://schemas.openxmlformats.org/officeDocument/2006/relationships/hyperlink" Target="&#47588;&#45684;&#50620;BODY(&#51665;&#54665;&#45800;&#44228;-&#52392;&#48512;&#54260;&#45908;)\&#49345;&#48512;&#44053;&#54868;&#45432;&#48152;\3_&#52384;&#46020;&#48372;&#54840;&#51648;&#44396;&#50640;&#49436;&#51032;%20&#54665;&#50948;&#49888;&#44256;(&#54596;&#50836;&#49884;)\&#54364;&#51456;&#49436;\&#52384;&#46020;&#48372;&#54840;&#51648;&#44396;&#50640;&#49436;&#51032;%20&#54665;&#50948;&#49888;&#44256;(&#54596;&#50836;&#49884;)_&#54364;&#51456;&#49436;.html" TargetMode="External" Id="rId7"/><Relationship Type="http://schemas.openxmlformats.org/officeDocument/2006/relationships/hyperlink" Target="&#47588;&#45684;&#50620;BODY(&#51665;&#54665;&#45800;&#44228;-&#52392;&#48512;&#54260;&#45908;)\&#49345;&#48512;&#44053;&#54868;&#45432;&#48152;\3_&#52384;&#46020;&#48372;&#54840;&#51648;&#44396;&#50640;&#49436;&#51032;%20&#54665;&#50948;&#49888;&#44256;(&#54596;&#50836;&#49884;)\&#49688;&#54665;&#51648;&#52840;\&#52384;&#46020;&#48372;&#54840;&#51648;&#44396;&#50640;&#49436;&#51032;%20&#54665;&#50948;&#49888;&#44256;(&#54596;&#50836;&#49884;)_&#49688;&#54665;&#51648;&#52840;.html" TargetMode="External" Id="rId8"/><Relationship Type="http://schemas.openxmlformats.org/officeDocument/2006/relationships/hyperlink" Target="&#47588;&#45684;&#50620;BODY(&#51665;&#54665;&#45800;&#44228;-&#52392;&#48512;&#54260;&#45908;)\&#49345;&#48512;&#44053;&#54868;&#45432;&#48152;\3_&#52384;&#46020;&#48372;&#54840;&#51648;&#44396;&#50640;&#49436;&#51032;%20&#54665;&#50948;&#49888;&#44256;(&#54596;&#50836;&#49884;)\&#52404;&#53356;&#47532;&#49828;&#53944;\&#52384;&#46020;&#48372;&#54840;&#51648;&#44396;&#50640;&#49436;&#51032;%20&#54665;&#50948;&#49888;&#44256;(&#54596;&#50836;&#49884;)_&#52404;&#53356;&#47532;&#49828;&#53944;.html" TargetMode="External" Id="rId9"/><Relationship Type="http://schemas.openxmlformats.org/officeDocument/2006/relationships/hyperlink" Target="&#47588;&#45684;&#50620;BODY(&#51665;&#54665;&#45800;&#44228;-&#52392;&#48512;&#54260;&#45908;)\&#49345;&#48512;&#44053;&#54868;&#45432;&#48152;\4_&#52265;&#49688;&#51204;%20&#52769;&#47049;%20Data%20&#54869;&#51064;\&#54364;&#51456;&#49436;\&#52265;&#49688;&#51204;%20&#52769;&#47049;%20Data%20&#54869;&#51064;_&#54364;&#51456;&#49436;.html" TargetMode="External" Id="rId10"/><Relationship Type="http://schemas.openxmlformats.org/officeDocument/2006/relationships/hyperlink" Target="&#47588;&#45684;&#50620;BODY(&#51665;&#54665;&#45800;&#44228;-&#52392;&#48512;&#54260;&#45908;)\&#49345;&#48512;&#44053;&#54868;&#45432;&#48152;\4_&#52265;&#49688;&#51204;%20&#52769;&#47049;%20Data%20&#54869;&#51064;\&#49688;&#54665;&#51648;&#52840;\&#52265;&#49688;&#51204;%20&#52769;&#47049;%20Data%20&#54869;&#51064;_&#49688;&#54665;&#51648;&#52840;.html" TargetMode="External" Id="rId11"/><Relationship Type="http://schemas.openxmlformats.org/officeDocument/2006/relationships/hyperlink" Target="&#47588;&#45684;&#50620;BODY(&#51665;&#54665;&#45800;&#44228;-&#52392;&#48512;&#54260;&#45908;)\&#49345;&#48512;&#44053;&#54868;&#45432;&#48152;\4_&#52265;&#49688;&#51204;%20&#52769;&#47049;%20Data%20&#54869;&#51064;\&#52404;&#53356;&#47532;&#49828;&#53944;\&#52265;&#49688;&#51204;%20&#52769;&#47049;%20Data%20&#54869;&#51064;_&#52404;&#53356;&#47532;&#49828;&#53944;.html" TargetMode="External" Id="rId12"/><Relationship Type="http://schemas.openxmlformats.org/officeDocument/2006/relationships/hyperlink" Target="&#47588;&#45684;&#50620;BODY(&#51665;&#54665;&#45800;&#44228;-&#52392;&#48512;&#54260;&#45908;)\&#49345;&#48512;&#44053;&#54868;&#45432;&#48152;\5_&#51648;&#51109;&#47932;&#51060;&#49444;%20&#54801;&#51032;\&#54364;&#51456;&#49436;\&#51648;&#51109;&#47932;&#51060;&#49444;%20&#54801;&#51032;_&#54364;&#51456;&#49436;.html" TargetMode="External" Id="rId13"/><Relationship Type="http://schemas.openxmlformats.org/officeDocument/2006/relationships/hyperlink" Target="&#47588;&#45684;&#50620;BODY(&#51665;&#54665;&#45800;&#44228;-&#52392;&#48512;&#54260;&#45908;)\&#49345;&#48512;&#44053;&#54868;&#45432;&#48152;\5_&#51648;&#51109;&#47932;&#51060;&#49444;%20&#54801;&#51032;\&#49688;&#54665;&#51648;&#52840;\&#51648;&#51109;&#47932;&#51060;&#49444;%20&#54801;&#51032;_&#49688;&#54665;&#51648;&#52840;.html" TargetMode="External" Id="rId14"/><Relationship Type="http://schemas.openxmlformats.org/officeDocument/2006/relationships/hyperlink" Target="&#47588;&#45684;&#50620;BODY(&#51665;&#54665;&#45800;&#44228;-&#52392;&#48512;&#54260;&#45908;)\&#49345;&#48512;&#44053;&#54868;&#45432;&#48152;\5_&#51648;&#51109;&#47932;&#51060;&#49444;%20&#54801;&#51032;\&#52404;&#53356;&#47532;&#49828;&#53944;\&#51648;&#51109;&#47932;&#51060;&#49444;%20&#54801;&#51032;_&#52404;&#53356;&#47532;&#49828;&#53944;.html" TargetMode="External" Id="rId15"/><Relationship Type="http://schemas.openxmlformats.org/officeDocument/2006/relationships/hyperlink" Target="&#47588;&#45684;&#50620;BODY(&#51665;&#54665;&#45800;&#44228;-&#52392;&#48512;&#54260;&#45908;)\&#49345;&#48512;&#44053;&#54868;&#45432;&#48152;\6_&#50857;&#51648;&#48372;&#49345;RISK%20&#44160;&#53664;\&#54364;&#51456;&#49436;\&#50857;&#51648;&#48372;&#49345;RISK%20&#44160;&#53664;_&#54364;&#51456;&#49436;.html" TargetMode="External" Id="rId16"/><Relationship Type="http://schemas.openxmlformats.org/officeDocument/2006/relationships/hyperlink" Target="&#47588;&#45684;&#50620;BODY(&#51665;&#54665;&#45800;&#44228;-&#52392;&#48512;&#54260;&#45908;)\&#49345;&#48512;&#44053;&#54868;&#45432;&#48152;\6_&#50857;&#51648;&#48372;&#49345;RISK%20&#44160;&#53664;\&#49688;&#54665;&#51648;&#52840;\&#50857;&#51648;&#48372;&#49345;RISK%20&#44160;&#53664;_&#49688;&#54665;&#51648;&#52840;.html" TargetMode="External" Id="rId17"/><Relationship Type="http://schemas.openxmlformats.org/officeDocument/2006/relationships/hyperlink" Target="&#47588;&#45684;&#50620;BODY(&#51665;&#54665;&#45800;&#44228;-&#52392;&#48512;&#54260;&#45908;)\&#49345;&#48512;&#44053;&#54868;&#45432;&#48152;\6_&#50857;&#51648;&#48372;&#49345;RISK%20&#44160;&#53664;\&#52404;&#53356;&#47532;&#49828;&#53944;\&#50857;&#51648;&#48372;&#49345;RISK%20&#44160;&#53664;_&#52404;&#53356;&#47532;&#49828;&#53944;.html" TargetMode="External" Id="rId18"/><Relationship Type="http://schemas.openxmlformats.org/officeDocument/2006/relationships/hyperlink" Target="&#47588;&#45684;&#50620;BODY(&#51665;&#54665;&#45800;&#44228;-&#52392;&#48512;&#54260;&#45908;)\&#49345;&#48512;&#44053;&#54868;&#45432;&#48152;\7_&#52572;&#44256;&#51032;%20&#54016;%20&#47564;&#46308;&#44592;%20&#51648;&#50896;\&#54364;&#51456;&#49436;\&#52572;&#44256;&#51032;%20&#54016;%20&#47564;&#46308;&#44592;%20&#51648;&#50896;_&#54364;&#51456;&#49436;.html" TargetMode="External" Id="rId19"/><Relationship Type="http://schemas.openxmlformats.org/officeDocument/2006/relationships/hyperlink" Target="&#47588;&#45684;&#50620;BODY(&#51665;&#54665;&#45800;&#44228;-&#52392;&#48512;&#54260;&#45908;)\&#49345;&#48512;&#44053;&#54868;&#45432;&#48152;\7_&#52572;&#44256;&#51032;%20&#54016;%20&#47564;&#46308;&#44592;%20&#51648;&#50896;\&#49688;&#54665;&#51648;&#52840;\&#52572;&#44256;&#51032;%20&#54016;%20&#47564;&#46308;&#44592;%20&#51648;&#50896;_&#49688;&#54665;&#51648;&#52840;.html" TargetMode="External" Id="rId20"/><Relationship Type="http://schemas.openxmlformats.org/officeDocument/2006/relationships/hyperlink" Target="&#47588;&#45684;&#50620;BODY(&#51665;&#54665;&#45800;&#44228;-&#52392;&#48512;&#54260;&#45908;)\&#49345;&#48512;&#44053;&#54868;&#45432;&#48152;\7_&#52572;&#44256;&#51032;%20&#54016;%20&#47564;&#46308;&#44592;%20&#51648;&#50896;\&#52404;&#53356;&#47532;&#49828;&#53944;\&#52572;&#44256;&#51032;%20&#54016;%20&#47564;&#46308;&#44592;%20&#51648;&#50896;_&#52404;&#53356;&#47532;&#49828;&#53944;.html" TargetMode="External" Id="rId21"/><Relationship Type="http://schemas.openxmlformats.org/officeDocument/2006/relationships/hyperlink" Target="&#47588;&#45684;&#50620;BODY(&#51665;&#54665;&#45800;&#44228;-&#52392;&#48512;&#54260;&#45908;)\&#49345;&#48512;&#44053;&#54868;&#45432;&#48152;\8_&#50672;&#50557;&#51648;&#48152;%20&#52376;&#47532;&#44277;&#48277;%20&#44160;&#53664;(&#54596;&#50836;&#49884;)\&#54364;&#51456;&#49436;\&#50672;&#50557;&#51648;&#48152;%20&#52376;&#47532;&#44277;&#48277;%20&#44160;&#53664;(&#54596;&#50836;&#49884;)_&#54364;&#51456;&#49436;.html" TargetMode="External" Id="rId22"/><Relationship Type="http://schemas.openxmlformats.org/officeDocument/2006/relationships/hyperlink" Target="&#47588;&#45684;&#50620;BODY(&#51665;&#54665;&#45800;&#44228;-&#52392;&#48512;&#54260;&#45908;)\&#49345;&#48512;&#44053;&#54868;&#45432;&#48152;\8_&#50672;&#50557;&#51648;&#48152;%20&#52376;&#47532;&#44277;&#48277;%20&#44160;&#53664;(&#54596;&#50836;&#49884;)\&#49688;&#54665;&#51648;&#52840;\&#50672;&#50557;&#51648;&#48152;%20&#52376;&#47532;&#44277;&#48277;%20&#44160;&#53664;(&#54596;&#50836;&#49884;)_&#49688;&#54665;&#51648;&#52840;.html" TargetMode="External" Id="rId23"/><Relationship Type="http://schemas.openxmlformats.org/officeDocument/2006/relationships/hyperlink" Target="&#47588;&#45684;&#50620;BODY(&#51665;&#54665;&#45800;&#44228;-&#52392;&#48512;&#54260;&#45908;)\&#49345;&#48512;&#44053;&#54868;&#45432;&#48152;\8_&#50672;&#50557;&#51648;&#48152;%20&#52376;&#47532;&#44277;&#48277;%20&#44160;&#53664;(&#54596;&#50836;&#49884;)\&#52404;&#53356;&#47532;&#49828;&#53944;\&#50672;&#50557;&#51648;&#48152;%20&#52376;&#47532;&#44277;&#48277;%20&#44160;&#53664;(&#54596;&#50836;&#49884;)_&#52404;&#53356;&#47532;&#49828;&#53944;.html" TargetMode="External" Id="rId24"/><Relationship Type="http://schemas.openxmlformats.org/officeDocument/2006/relationships/hyperlink" Target="&#47588;&#45684;&#50620;BODY(&#51665;&#54665;&#45800;&#44228;-&#52392;&#48512;&#54260;&#45908;)\&#49345;&#48512;&#44053;&#54868;&#45432;&#48152;\9_&#53664;&#44277;%20&#50976;&#46041;&#54364;%20&#54869;&#51064;\&#54364;&#51456;&#49436;\&#53664;&#44277;%20&#50976;&#46041;&#54364;%20&#54869;&#51064;_&#54364;&#51456;&#49436;.html" TargetMode="External" Id="rId25"/><Relationship Type="http://schemas.openxmlformats.org/officeDocument/2006/relationships/hyperlink" Target="&#47588;&#45684;&#50620;BODY(&#51665;&#54665;&#45800;&#44228;-&#52392;&#48512;&#54260;&#45908;)\&#49345;&#48512;&#44053;&#54868;&#45432;&#48152;\9_&#53664;&#44277;%20&#50976;&#46041;&#54364;%20&#54869;&#51064;\&#49688;&#54665;&#51648;&#52840;\&#53664;&#44277;%20&#50976;&#46041;&#54364;%20&#54869;&#51064;_&#49688;&#54665;&#51648;&#52840;.html" TargetMode="External" Id="rId26"/><Relationship Type="http://schemas.openxmlformats.org/officeDocument/2006/relationships/hyperlink" Target="&#47588;&#45684;&#50620;BODY(&#51665;&#54665;&#45800;&#44228;-&#52392;&#48512;&#54260;&#45908;)\&#49345;&#48512;&#44053;&#54868;&#45432;&#48152;\9_&#53664;&#44277;%20&#50976;&#46041;&#54364;%20&#54869;&#51064;\&#52404;&#53356;&#47532;&#49828;&#53944;\&#53664;&#44277;%20&#50976;&#46041;&#54364;%20&#54869;&#51064;_&#52404;&#53356;&#47532;&#49828;&#53944;.html" TargetMode="External" Id="rId27"/><Relationship Type="http://schemas.openxmlformats.org/officeDocument/2006/relationships/hyperlink" Target="&#47588;&#45684;&#50620;BODY(&#51665;&#54665;&#45800;&#44228;-&#52392;&#48512;&#54260;&#45908;)\&#49345;&#48512;&#44053;&#54868;&#45432;&#48152;\10_&#44592;&#44277;&#49849;&#45209;%20&#51201;&#51221;&#49457;%20&#44160;&#53664;\&#54364;&#51456;&#49436;\&#44592;&#44277;&#49849;&#45209;%20&#51201;&#51221;&#49457;%20&#44160;&#53664;_&#54364;&#51456;&#49436;.html" TargetMode="External" Id="rId28"/><Relationship Type="http://schemas.openxmlformats.org/officeDocument/2006/relationships/hyperlink" Target="&#47588;&#45684;&#50620;BODY(&#51665;&#54665;&#45800;&#44228;-&#52392;&#48512;&#54260;&#45908;)\&#49345;&#48512;&#44053;&#54868;&#45432;&#48152;\10_&#44592;&#44277;&#49849;&#45209;%20&#51201;&#51221;&#49457;%20&#44160;&#53664;\&#49688;&#54665;&#51648;&#52840;\&#44592;&#44277;&#49849;&#45209;%20&#51201;&#51221;&#49457;%20&#44160;&#53664;_&#49688;&#54665;&#51648;&#52840;.html" TargetMode="External" Id="rId29"/><Relationship Type="http://schemas.openxmlformats.org/officeDocument/2006/relationships/hyperlink" Target="&#47588;&#45684;&#50620;BODY(&#51665;&#54665;&#45800;&#44228;-&#52392;&#48512;&#54260;&#45908;)\&#49345;&#48512;&#44053;&#54868;&#45432;&#48152;\10_&#44592;&#44277;&#49849;&#45209;%20&#51201;&#51221;&#49457;%20&#44160;&#53664;\&#52404;&#53356;&#47532;&#49828;&#53944;\&#44592;&#44277;&#49849;&#45209;%20&#51201;&#51221;&#49457;%20&#44160;&#53664;_&#52404;&#53356;&#47532;&#49828;&#53944;.html" TargetMode="External" Id="rId30"/><Relationship Type="http://schemas.openxmlformats.org/officeDocument/2006/relationships/hyperlink" Target="&#47588;&#45684;&#50620;BODY(&#51665;&#54665;&#45800;&#44228;-&#52392;&#48512;&#54260;&#45908;)\&#49345;&#48512;&#44053;&#54868;&#45432;&#48152;\11_&#54224;&#44592;&#47932;&#52376;&#47532;&#44228;&#54925;%20&#49688;&#47549;\&#54364;&#51456;&#49436;\&#54224;&#44592;&#47932;&#52376;&#47532;&#44228;&#54925;%20&#49688;&#47549;_&#54364;&#51456;&#49436;.html" TargetMode="External" Id="rId31"/><Relationship Type="http://schemas.openxmlformats.org/officeDocument/2006/relationships/hyperlink" Target="&#47588;&#45684;&#50620;BODY(&#51665;&#54665;&#45800;&#44228;-&#52392;&#48512;&#54260;&#45908;)\&#49345;&#48512;&#44053;&#54868;&#45432;&#48152;\11_&#54224;&#44592;&#47932;&#52376;&#47532;&#44228;&#54925;%20&#49688;&#47549;\&#49688;&#54665;&#51648;&#52840;\&#54224;&#44592;&#47932;&#52376;&#47532;&#44228;&#54925;%20&#49688;&#47549;_&#49688;&#54665;&#51648;&#52840;.html" TargetMode="External" Id="rId32"/><Relationship Type="http://schemas.openxmlformats.org/officeDocument/2006/relationships/hyperlink" Target="&#47588;&#45684;&#50620;BODY(&#51665;&#54665;&#45800;&#44228;-&#52392;&#48512;&#54260;&#45908;)\&#49345;&#48512;&#44053;&#54868;&#45432;&#48152;\11_&#54224;&#44592;&#47932;&#52376;&#47532;&#44228;&#54925;%20&#49688;&#47549;\&#52404;&#53356;&#47532;&#49828;&#53944;\&#54224;&#44592;&#47932;&#52376;&#47532;&#44228;&#54925;%20&#49688;&#47549;_&#52404;&#53356;&#47532;&#49828;&#53944;.html" TargetMode="External" Id="rId33"/><Relationship Type="http://schemas.openxmlformats.org/officeDocument/2006/relationships/hyperlink" Target="&#47588;&#45684;&#50620;BODY(&#51665;&#54665;&#45800;&#44228;-&#52392;&#48512;&#54260;&#45908;)\&#49345;&#48512;&#44053;&#54868;&#45432;&#48152;\12_&#52384;&#46020;&#50868;&#54665;&#54801;&#51032;(&#54596;&#50836;&#49884;)\&#54364;&#51456;&#49436;\&#52384;&#46020;&#50868;&#54665;&#54801;&#51032;(&#54596;&#50836;&#49884;)_&#54364;&#51456;&#49436;.html" TargetMode="External" Id="rId34"/><Relationship Type="http://schemas.openxmlformats.org/officeDocument/2006/relationships/hyperlink" Target="&#47588;&#45684;&#50620;BODY(&#51665;&#54665;&#45800;&#44228;-&#52392;&#48512;&#54260;&#45908;)\&#49345;&#48512;&#44053;&#54868;&#45432;&#48152;\12_&#52384;&#46020;&#50868;&#54665;&#54801;&#51032;(&#54596;&#50836;&#49884;)\&#49688;&#54665;&#51648;&#52840;\&#52384;&#46020;&#50868;&#54665;&#54801;&#51032;(&#54596;&#50836;&#49884;)_&#49688;&#54665;&#51648;&#52840;.html" TargetMode="External" Id="rId35"/><Relationship Type="http://schemas.openxmlformats.org/officeDocument/2006/relationships/hyperlink" Target="&#47588;&#45684;&#50620;BODY(&#51665;&#54665;&#45800;&#44228;-&#52392;&#48512;&#54260;&#45908;)\&#49345;&#48512;&#44053;&#54868;&#45432;&#48152;\12_&#52384;&#46020;&#50868;&#54665;&#54801;&#51032;(&#54596;&#50836;&#49884;)\&#52404;&#53356;&#47532;&#49828;&#53944;\&#52384;&#46020;&#50868;&#54665;&#54801;&#51032;(&#54596;&#50836;&#49884;)_&#52404;&#53356;&#47532;&#49828;&#53944;.html" TargetMode="External" Id="rId36"/><Relationship Type="http://schemas.openxmlformats.org/officeDocument/2006/relationships/hyperlink" Target="&#47588;&#45684;&#50620;BODY(&#51665;&#54665;&#45800;&#44228;-&#52392;&#48512;&#54260;&#45908;)\&#49345;&#48512;&#44053;&#54868;&#45432;&#48152;\13_&#51089;&#49688;&#51204;%20Big%20Room%20&#54924;&#51032;\&#54364;&#51456;&#49436;\&#51089;&#49688;&#51204;%20Big%20Room%20&#54924;&#51032;_&#54364;&#51456;&#49436;.html" TargetMode="External" Id="rId37"/><Relationship Type="http://schemas.openxmlformats.org/officeDocument/2006/relationships/hyperlink" Target="&#47588;&#45684;&#50620;BODY(&#51665;&#54665;&#45800;&#44228;-&#52392;&#48512;&#54260;&#45908;)\&#49345;&#48512;&#44053;&#54868;&#45432;&#48152;\13_&#51089;&#49688;&#51204;%20Big%20Room%20&#54924;&#51032;\&#49688;&#54665;&#51648;&#52840;\&#51089;&#49688;&#51204;%20Big%20Room%20&#54924;&#51032;_&#49688;&#54665;&#51648;&#52840;.html" TargetMode="External" Id="rId38"/><Relationship Type="http://schemas.openxmlformats.org/officeDocument/2006/relationships/hyperlink" Target="&#47588;&#45684;&#50620;BODY(&#51665;&#54665;&#45800;&#44228;-&#52392;&#48512;&#54260;&#45908;)\&#49345;&#48512;&#44053;&#54868;&#45432;&#48152;\13_&#51089;&#49688;&#51204;%20Big%20Room%20&#54924;&#51032;\&#52404;&#53356;&#47532;&#49828;&#53944;\&#51089;&#49688;&#51204;%20Big%20Room%20&#54924;&#51032;_&#52404;&#53356;&#47532;&#49828;&#53944;.html" TargetMode="External" Id="rId39"/><Relationship Type="http://schemas.openxmlformats.org/officeDocument/2006/relationships/hyperlink" Target="&#47588;&#45684;&#50620;BODY(&#51665;&#54665;&#45800;&#44228;-&#52392;&#48512;&#54260;&#45908;)\&#49345;&#48512;&#44053;&#54868;&#45432;&#48152;\14_&#49884;&#44277;%20&#44228;&#54925;%20&#49688;&#47549;\&#54364;&#51456;&#49436;\&#49884;&#44277;%20&#44228;&#54925;%20&#49688;&#47549;_&#54364;&#51456;&#49436;.html" TargetMode="External" Id="rId40"/><Relationship Type="http://schemas.openxmlformats.org/officeDocument/2006/relationships/hyperlink" Target="&#47588;&#45684;&#50620;BODY(&#51665;&#54665;&#45800;&#44228;-&#52392;&#48512;&#54260;&#45908;)\&#49345;&#48512;&#44053;&#54868;&#45432;&#48152;\14_&#49884;&#44277;%20&#44228;&#54925;%20&#49688;&#47549;\&#49688;&#54665;&#51648;&#52840;\&#49884;&#44277;%20&#44228;&#54925;%20&#49688;&#47549;_&#49688;&#54665;&#51648;&#52840;.html" TargetMode="External" Id="rId41"/><Relationship Type="http://schemas.openxmlformats.org/officeDocument/2006/relationships/hyperlink" Target="&#47588;&#45684;&#50620;BODY(&#51665;&#54665;&#45800;&#44228;-&#52392;&#48512;&#54260;&#45908;)\&#49345;&#48512;&#44053;&#54868;&#45432;&#48152;\14_&#49884;&#44277;%20&#44228;&#54925;%20&#49688;&#47549;\&#52404;&#53356;&#47532;&#49828;&#53944;\&#49884;&#44277;%20&#44228;&#54925;%20&#49688;&#47549;_&#52404;&#53356;&#47532;&#49828;&#53944;.html" TargetMode="External" Id="rId42"/><Relationship Type="http://schemas.openxmlformats.org/officeDocument/2006/relationships/hyperlink" Target="&#47588;&#45684;&#50620;BODY(&#51665;&#54665;&#45800;&#44228;-&#52392;&#48512;&#54260;&#45908;)\&#49345;&#48512;&#44053;&#54868;&#45432;&#48152;\15_&#49324;&#53664;&#51109;_&#53664;&#52712;&#51109;%20&#49440;&#51221;%20&#44160;&#53664;(&#54596;&#50836;&#49884;)\&#54364;&#51456;&#49436;\&#49324;&#53664;&#51109;_&#53664;&#52712;&#51109;%20&#49440;&#51221;%20&#44160;&#53664;(&#54596;&#50836;&#49884;)_&#54364;&#51456;&#49436;.html" TargetMode="External" Id="rId43"/><Relationship Type="http://schemas.openxmlformats.org/officeDocument/2006/relationships/hyperlink" Target="&#47588;&#45684;&#50620;BODY(&#51665;&#54665;&#45800;&#44228;-&#52392;&#48512;&#54260;&#45908;)\&#49345;&#48512;&#44053;&#54868;&#45432;&#48152;\15_&#49324;&#53664;&#51109;_&#53664;&#52712;&#51109;%20&#49440;&#51221;%20&#44160;&#53664;(&#54596;&#50836;&#49884;)\&#49688;&#54665;&#51648;&#52840;\&#49324;&#53664;&#51109;_&#53664;&#52712;&#51109;%20&#49440;&#51221;%20&#44160;&#53664;(&#54596;&#50836;&#49884;)_&#49688;&#54665;&#51648;&#52840;.html" TargetMode="External" Id="rId44"/><Relationship Type="http://schemas.openxmlformats.org/officeDocument/2006/relationships/hyperlink" Target="&#47588;&#45684;&#50620;BODY(&#51665;&#54665;&#45800;&#44228;-&#52392;&#48512;&#54260;&#45908;)\&#49345;&#48512;&#44053;&#54868;&#45432;&#48152;\15_&#49324;&#53664;&#51109;_&#53664;&#52712;&#51109;%20&#49440;&#51221;%20&#44160;&#53664;(&#54596;&#50836;&#49884;)\&#52404;&#53356;&#47532;&#49828;&#53944;\&#49324;&#53664;&#51109;_&#53664;&#52712;&#51109;%20&#49440;&#51221;%20&#44160;&#53664;(&#54596;&#50836;&#49884;)_&#52404;&#53356;&#47532;&#49828;&#53944;.html" TargetMode="External" Id="rId45"/><Relationship Type="http://schemas.openxmlformats.org/officeDocument/2006/relationships/hyperlink" Target="&#47588;&#45684;&#50620;BODY(&#51665;&#54665;&#45800;&#44228;-&#52392;&#48512;&#54260;&#45908;)\&#49345;&#48512;&#44053;&#54868;&#45432;&#48152;\16_&#44277;&#49324;&#49324;&#51204;&#51456;&#48708;\&#54364;&#51456;&#49436;\&#44277;&#49324;&#49324;&#51204;&#51456;&#48708;_&#54364;&#51456;&#49436;.html" TargetMode="External" Id="rId46"/><Relationship Type="http://schemas.openxmlformats.org/officeDocument/2006/relationships/hyperlink" Target="&#47588;&#45684;&#50620;BODY(&#51665;&#54665;&#45800;&#44228;-&#52392;&#48512;&#54260;&#45908;)\&#49345;&#48512;&#44053;&#54868;&#45432;&#48152;\16_&#44277;&#49324;&#49324;&#51204;&#51456;&#48708;\&#49688;&#54665;&#51648;&#52840;\&#44277;&#49324;&#49324;&#51204;&#51456;&#48708;_&#49688;&#54665;&#51648;&#52840;.html" TargetMode="External" Id="rId47"/><Relationship Type="http://schemas.openxmlformats.org/officeDocument/2006/relationships/hyperlink" Target="&#47588;&#45684;&#50620;BODY(&#51665;&#54665;&#45800;&#44228;-&#52392;&#48512;&#54260;&#45908;)\&#49345;&#48512;&#44053;&#54868;&#45432;&#48152;\16_&#44277;&#49324;&#49324;&#51204;&#51456;&#48708;\&#52404;&#53356;&#47532;&#49828;&#53944;\&#44277;&#49324;&#49324;&#51204;&#51456;&#48708;_&#52404;&#53356;&#47532;&#49828;&#53944;.html" TargetMode="External" Id="rId48"/><Relationship Type="http://schemas.openxmlformats.org/officeDocument/2006/relationships/hyperlink" Target="&#47588;&#45684;&#50620;BODY(&#51665;&#54665;&#45800;&#44228;-&#52392;&#48512;&#54260;&#45908;)\&#49345;&#48512;&#44053;&#54868;&#45432;&#48152;\17_&#51076;&#49884;&#48176;&#49688;&#49884;&#49444;\&#54364;&#51456;&#49436;\&#51076;&#49884;&#48176;&#49688;&#49884;&#49444;_&#54364;&#51456;&#49436;.html" TargetMode="External" Id="rId49"/><Relationship Type="http://schemas.openxmlformats.org/officeDocument/2006/relationships/hyperlink" Target="&#47588;&#45684;&#50620;BODY(&#51665;&#54665;&#45800;&#44228;-&#52392;&#48512;&#54260;&#45908;)\&#49345;&#48512;&#44053;&#54868;&#45432;&#48152;\17_&#51076;&#49884;&#48176;&#49688;&#49884;&#49444;\&#49688;&#54665;&#51648;&#52840;\&#51076;&#49884;&#48176;&#49688;&#49884;&#49444;_&#49688;&#54665;&#51648;&#52840;.html" TargetMode="External" Id="rId50"/><Relationship Type="http://schemas.openxmlformats.org/officeDocument/2006/relationships/hyperlink" Target="&#47588;&#45684;&#50620;BODY(&#51665;&#54665;&#45800;&#44228;-&#52392;&#48512;&#54260;&#45908;)\&#49345;&#48512;&#44053;&#54868;&#45432;&#48152;\17_&#51076;&#49884;&#48176;&#49688;&#49884;&#49444;\&#52404;&#53356;&#47532;&#49828;&#53944;\&#51076;&#49884;&#48176;&#49688;&#49884;&#49444;_&#52404;&#53356;&#47532;&#49828;&#53944;.html" TargetMode="External" Id="rId51"/><Relationship Type="http://schemas.openxmlformats.org/officeDocument/2006/relationships/hyperlink" Target="&#47588;&#45684;&#50620;BODY(&#51665;&#54665;&#45800;&#44228;-&#52392;&#48512;&#54260;&#45908;)\&#49345;&#48512;&#44053;&#54868;&#45432;&#48152;\18_&#49939;&#44592;&#51116;&#47308;%20&#44160;&#49324;\&#54364;&#51456;&#49436;\&#49939;&#44592;&#51116;&#47308;%20&#44160;&#49324;_&#54364;&#51456;&#49436;.html" TargetMode="External" Id="rId52"/><Relationship Type="http://schemas.openxmlformats.org/officeDocument/2006/relationships/hyperlink" Target="&#47588;&#45684;&#50620;BODY(&#51665;&#54665;&#45800;&#44228;-&#52392;&#48512;&#54260;&#45908;)\&#49345;&#48512;&#44053;&#54868;&#45432;&#48152;\18_&#49939;&#44592;&#51116;&#47308;%20&#44160;&#49324;\&#49688;&#54665;&#51648;&#52840;\&#49939;&#44592;&#51116;&#47308;%20&#44160;&#49324;_&#49688;&#54665;&#51648;&#52840;.html" TargetMode="External" Id="rId53"/><Relationship Type="http://schemas.openxmlformats.org/officeDocument/2006/relationships/hyperlink" Target="&#47588;&#45684;&#50620;BODY(&#51665;&#54665;&#45800;&#44228;-&#52392;&#48512;&#54260;&#45908;)\&#49345;&#48512;&#44053;&#54868;&#45432;&#48152;\18_&#49939;&#44592;&#51116;&#47308;%20&#44160;&#49324;\&#52404;&#53356;&#47532;&#49828;&#53944;\&#49939;&#44592;&#51116;&#47308;%20&#44160;&#49324;_&#52404;&#53356;&#47532;&#49828;&#53944;.html" TargetMode="External" Id="rId54"/><Relationship Type="http://schemas.openxmlformats.org/officeDocument/2006/relationships/hyperlink" Target="&#47588;&#45684;&#50620;BODY(&#51665;&#54665;&#45800;&#44228;-&#52392;&#48512;&#54260;&#45908;)\&#49345;&#48512;&#44053;&#54868;&#45432;&#48152;\19_&#51109;&#48708;%20&#44160;&#49688;%20&#51648;&#50896;\&#54364;&#51456;&#49436;\&#51109;&#48708;%20&#44160;&#49688;%20&#51648;&#50896;_&#54364;&#51456;&#49436;.html" TargetMode="External" Id="rId55"/><Relationship Type="http://schemas.openxmlformats.org/officeDocument/2006/relationships/hyperlink" Target="&#47588;&#45684;&#50620;BODY(&#51665;&#54665;&#45800;&#44228;-&#52392;&#48512;&#54260;&#45908;)\&#49345;&#48512;&#44053;&#54868;&#45432;&#48152;\19_&#51109;&#48708;%20&#44160;&#49688;%20&#51648;&#50896;\&#49688;&#54665;&#51648;&#52840;\&#51109;&#48708;%20&#44160;&#49688;%20&#51648;&#50896;_&#49688;&#54665;&#51648;&#52840;.html" TargetMode="External" Id="rId56"/><Relationship Type="http://schemas.openxmlformats.org/officeDocument/2006/relationships/hyperlink" Target="&#47588;&#45684;&#50620;BODY(&#51665;&#54665;&#45800;&#44228;-&#52392;&#48512;&#54260;&#45908;)\&#49345;&#48512;&#44053;&#54868;&#45432;&#48152;\19_&#51109;&#48708;%20&#44160;&#49688;%20&#51648;&#50896;\&#52404;&#53356;&#47532;&#49828;&#53944;\&#51109;&#48708;%20&#44160;&#49688;%20&#51648;&#50896;_&#52404;&#53356;&#47532;&#49828;&#53944;.html" TargetMode="External" Id="rId57"/><Relationship Type="http://schemas.openxmlformats.org/officeDocument/2006/relationships/hyperlink" Target="&#47588;&#45684;&#50620;BODY(&#51665;&#54665;&#45800;&#44228;-&#52392;&#48512;&#54260;&#45908;)\&#49345;&#48512;&#44053;&#54868;&#45432;&#48152;\20_&#49440;&#47196;%20&#51333;_&#54945;&#45800;%20&#48143;%20&#50857;&#51648;&#44221;&#44228;&#52769;&#47049;\&#54364;&#51456;&#49436;\&#49440;&#47196;%20&#51333;_&#54945;&#45800;%20&#48143;%20&#50857;&#51648;&#44221;&#44228;&#52769;&#47049;_&#54364;&#51456;&#49436;.html" TargetMode="External" Id="rId58"/><Relationship Type="http://schemas.openxmlformats.org/officeDocument/2006/relationships/hyperlink" Target="&#47588;&#45684;&#50620;BODY(&#51665;&#54665;&#45800;&#44228;-&#52392;&#48512;&#54260;&#45908;)\&#49345;&#48512;&#44053;&#54868;&#45432;&#48152;\20_&#49440;&#47196;%20&#51333;_&#54945;&#45800;%20&#48143;%20&#50857;&#51648;&#44221;&#44228;&#52769;&#47049;\&#49688;&#54665;&#51648;&#52840;\&#49440;&#47196;%20&#51333;_&#54945;&#45800;%20&#48143;%20&#50857;&#51648;&#44221;&#44228;&#52769;&#47049;_&#49688;&#54665;&#51648;&#52840;.html" TargetMode="External" Id="rId59"/><Relationship Type="http://schemas.openxmlformats.org/officeDocument/2006/relationships/hyperlink" Target="&#47588;&#45684;&#50620;BODY(&#51665;&#54665;&#45800;&#44228;-&#52392;&#48512;&#54260;&#45908;)\&#49345;&#48512;&#44053;&#54868;&#45432;&#48152;\20_&#49440;&#47196;%20&#51333;_&#54945;&#45800;%20&#48143;%20&#50857;&#51648;&#44221;&#44228;&#52769;&#47049;\&#52404;&#53356;&#47532;&#49828;&#53944;\&#49440;&#47196;%20&#51333;_&#54945;&#45800;%20&#48143;%20&#50857;&#51648;&#44221;&#44228;&#52769;&#47049;_&#52404;&#53356;&#47532;&#49828;&#53944;.html" TargetMode="External" Id="rId60"/><Relationship Type="http://schemas.openxmlformats.org/officeDocument/2006/relationships/hyperlink" Target="&#47588;&#45684;&#50620;BODY(&#51665;&#54665;&#45800;&#44228;-&#52392;&#48512;&#54260;&#45908;)\&#49345;&#48512;&#44053;&#54868;&#45432;&#48152;\21_&#44508;&#51456;&#53952;%20&#49444;&#52824;\&#54364;&#51456;&#49436;\&#44508;&#51456;&#53952;%20&#49444;&#52824;_&#54364;&#51456;&#49436;.html" TargetMode="External" Id="rId61"/><Relationship Type="http://schemas.openxmlformats.org/officeDocument/2006/relationships/hyperlink" Target="&#47588;&#45684;&#50620;BODY(&#51665;&#54665;&#45800;&#44228;-&#52392;&#48512;&#54260;&#45908;)\&#49345;&#48512;&#44053;&#54868;&#45432;&#48152;\21_&#44508;&#51456;&#53952;%20&#49444;&#52824;\&#49688;&#54665;&#51648;&#52840;\&#44508;&#51456;&#53952;%20&#49444;&#52824;_&#49688;&#54665;&#51648;&#52840;.html" TargetMode="External" Id="rId62"/><Relationship Type="http://schemas.openxmlformats.org/officeDocument/2006/relationships/hyperlink" Target="&#47588;&#45684;&#50620;BODY(&#51665;&#54665;&#45800;&#44228;-&#52392;&#48512;&#54260;&#45908;)\&#49345;&#48512;&#44053;&#54868;&#45432;&#48152;\21_&#44508;&#51456;&#53952;%20&#49444;&#52824;\&#52404;&#53356;&#47532;&#49828;&#53944;\&#44508;&#51456;&#53952;%20&#49444;&#52824;_&#52404;&#53356;&#47532;&#49828;&#53944;.html" TargetMode="External" Id="rId63"/><Relationship Type="http://schemas.openxmlformats.org/officeDocument/2006/relationships/hyperlink" Target="&#47588;&#45684;&#50620;BODY(&#51665;&#54665;&#45800;&#44228;-&#52392;&#48512;&#54260;&#45908;)\&#49345;&#48512;&#44053;&#54868;&#45432;&#48152;\22_&#51456;&#48708;&#48176;&#49688;\&#54364;&#51456;&#49436;\&#51456;&#48708;&#48176;&#49688;_&#54364;&#51456;&#49436;.html" TargetMode="External" Id="rId64"/><Relationship Type="http://schemas.openxmlformats.org/officeDocument/2006/relationships/hyperlink" Target="&#47588;&#45684;&#50620;BODY(&#51665;&#54665;&#45800;&#44228;-&#52392;&#48512;&#54260;&#45908;)\&#49345;&#48512;&#44053;&#54868;&#45432;&#48152;\22_&#51456;&#48708;&#48176;&#49688;\&#49688;&#54665;&#51648;&#52840;\&#51456;&#48708;&#48176;&#49688;_&#49688;&#54665;&#51648;&#52840;.html" TargetMode="External" Id="rId65"/><Relationship Type="http://schemas.openxmlformats.org/officeDocument/2006/relationships/hyperlink" Target="&#47588;&#45684;&#50620;BODY(&#51665;&#54665;&#45800;&#44228;-&#52392;&#48512;&#54260;&#45908;)\&#49345;&#48512;&#44053;&#54868;&#45432;&#48152;\22_&#51456;&#48708;&#48176;&#49688;\&#52404;&#53356;&#47532;&#49828;&#53944;\&#51456;&#48708;&#48176;&#49688;_&#52404;&#53356;&#47532;&#49828;&#53944;.html" TargetMode="External" Id="rId66"/><Relationship Type="http://schemas.openxmlformats.org/officeDocument/2006/relationships/hyperlink" Target="&#47588;&#45684;&#50620;BODY(&#51665;&#54665;&#45800;&#44228;-&#52392;&#48512;&#54260;&#45908;)\&#49345;&#48512;&#44053;&#54868;&#45432;&#48152;\23_&#48268;&#44060;&#51228;&#44540;_&#54364;&#53664;&#51228;&#44144;\&#54364;&#51456;&#49436;\&#48268;&#44060;&#51228;&#44540;_&#54364;&#53664;&#51228;&#44144;_&#54364;&#51456;&#49436;.html" TargetMode="External" Id="rId67"/><Relationship Type="http://schemas.openxmlformats.org/officeDocument/2006/relationships/hyperlink" Target="&#47588;&#45684;&#50620;BODY(&#51665;&#54665;&#45800;&#44228;-&#52392;&#48512;&#54260;&#45908;)\&#49345;&#48512;&#44053;&#54868;&#45432;&#48152;\23_&#48268;&#44060;&#51228;&#44540;_&#54364;&#53664;&#51228;&#44144;\&#49688;&#54665;&#51648;&#52840;\&#48268;&#44060;&#51228;&#44540;_&#54364;&#53664;&#51228;&#44144;_&#49688;&#54665;&#51648;&#52840;.html" TargetMode="External" Id="rId68"/><Relationship Type="http://schemas.openxmlformats.org/officeDocument/2006/relationships/hyperlink" Target="&#47588;&#45684;&#50620;BODY(&#51665;&#54665;&#45800;&#44228;-&#52392;&#48512;&#54260;&#45908;)\&#49345;&#48512;&#44053;&#54868;&#45432;&#48152;\23_&#48268;&#44060;&#51228;&#44540;_&#54364;&#53664;&#51228;&#44144;\&#52404;&#53356;&#47532;&#49828;&#53944;\&#48268;&#44060;&#51228;&#44540;_&#54364;&#53664;&#51228;&#44144;_&#52404;&#53356;&#47532;&#49828;&#53944;.html" TargetMode="External" Id="rId69"/><Relationship Type="http://schemas.openxmlformats.org/officeDocument/2006/relationships/hyperlink" Target="&#47588;&#45684;&#50620;BODY(&#51665;&#54665;&#45800;&#44228;-&#52392;&#48512;&#54260;&#45908;)\&#49345;&#48512;&#44053;&#54868;&#45432;&#48152;\24_&#44396;&#51312;&#47932;%20&#48143;%20&#51648;&#51109;&#47932;%20&#51228;&#44144;\&#54364;&#51456;&#49436;\&#44396;&#51312;&#47932;%20&#48143;%20&#51648;&#51109;&#47932;%20&#51228;&#44144;_&#54364;&#51456;&#49436;.html" TargetMode="External" Id="rId70"/><Relationship Type="http://schemas.openxmlformats.org/officeDocument/2006/relationships/hyperlink" Target="&#47588;&#45684;&#50620;BODY(&#51665;&#54665;&#45800;&#44228;-&#52392;&#48512;&#54260;&#45908;)\&#49345;&#48512;&#44053;&#54868;&#45432;&#48152;\24_&#44396;&#51312;&#47932;%20&#48143;%20&#51648;&#51109;&#47932;%20&#51228;&#44144;\&#49688;&#54665;&#51648;&#52840;\&#44396;&#51312;&#47932;%20&#48143;%20&#51648;&#51109;&#47932;%20&#51228;&#44144;_&#49688;&#54665;&#51648;&#52840;.html" TargetMode="External" Id="rId71"/><Relationship Type="http://schemas.openxmlformats.org/officeDocument/2006/relationships/hyperlink" Target="&#47588;&#45684;&#50620;BODY(&#51665;&#54665;&#45800;&#44228;-&#52392;&#48512;&#54260;&#45908;)\&#49345;&#48512;&#44053;&#54868;&#45432;&#48152;\24_&#44396;&#51312;&#47932;%20&#48143;%20&#51648;&#51109;&#47932;%20&#51228;&#44144;\&#52404;&#53356;&#47532;&#49828;&#53944;\&#44396;&#51312;&#47932;%20&#48143;%20&#51648;&#51109;&#47932;%20&#51228;&#44144;_&#52404;&#53356;&#47532;&#49828;&#53944;.html" TargetMode="External" Id="rId72"/><Relationship Type="http://schemas.openxmlformats.org/officeDocument/2006/relationships/hyperlink" Target="&#47588;&#45684;&#50620;BODY(&#51665;&#54665;&#45800;&#44228;-&#52392;&#48512;&#54260;&#45908;)\&#49345;&#48512;&#44053;&#54868;&#45432;&#48152;\25_&#51652;&#51077;&#47196;%20&#51312;&#49457;\&#54364;&#51456;&#49436;\&#51652;&#51077;&#47196;%20&#51312;&#49457;_&#54364;&#51456;&#49436;.html" TargetMode="External" Id="rId73"/><Relationship Type="http://schemas.openxmlformats.org/officeDocument/2006/relationships/hyperlink" Target="&#47588;&#45684;&#50620;BODY(&#51665;&#54665;&#45800;&#44228;-&#52392;&#48512;&#54260;&#45908;)\&#49345;&#48512;&#44053;&#54868;&#45432;&#48152;\25_&#51652;&#51077;&#47196;%20&#51312;&#49457;\&#49688;&#54665;&#51648;&#52840;\&#51652;&#51077;&#47196;%20&#51312;&#49457;_&#49688;&#54665;&#51648;&#52840;.html" TargetMode="External" Id="rId74"/><Relationship Type="http://schemas.openxmlformats.org/officeDocument/2006/relationships/hyperlink" Target="&#47588;&#45684;&#50620;BODY(&#51665;&#54665;&#45800;&#44228;-&#52392;&#48512;&#54260;&#45908;)\&#49345;&#48512;&#44053;&#54868;&#45432;&#48152;\25_&#51652;&#51077;&#47196;%20&#51312;&#49457;\&#52404;&#53356;&#47532;&#49828;&#53944;\&#51652;&#51077;&#47196;%20&#51312;&#49457;_&#52404;&#53356;&#47532;&#49828;&#53944;.html" TargetMode="External" Id="rId75"/><Relationship Type="http://schemas.openxmlformats.org/officeDocument/2006/relationships/hyperlink" Target="&#47588;&#45684;&#50620;BODY(&#51665;&#54665;&#45800;&#44228;-&#52392;&#48512;&#54260;&#45908;)\&#49345;&#48512;&#44053;&#54868;&#45432;&#48152;\26_&#45432;&#48152;&#49939;&#44592;\&#54364;&#51456;&#49436;\&#45432;&#48152;&#49939;&#44592;_&#54364;&#51456;&#49436;.html" TargetMode="External" Id="rId76"/><Relationship Type="http://schemas.openxmlformats.org/officeDocument/2006/relationships/hyperlink" Target="&#47588;&#45684;&#50620;BODY(&#51665;&#54665;&#45800;&#44228;-&#52392;&#48512;&#54260;&#45908;)\&#49345;&#48512;&#44053;&#54868;&#45432;&#48152;\26_&#45432;&#48152;&#49939;&#44592;\&#49688;&#54665;&#51648;&#52840;\&#45432;&#48152;&#49939;&#44592;_&#49688;&#54665;&#51648;&#52840;.html" TargetMode="External" Id="rId77"/><Relationship Type="http://schemas.openxmlformats.org/officeDocument/2006/relationships/hyperlink" Target="&#47588;&#45684;&#50620;BODY(&#51665;&#54665;&#45800;&#44228;-&#52392;&#48512;&#54260;&#45908;)\&#49345;&#48512;&#44053;&#54868;&#45432;&#48152;\26_&#45432;&#48152;&#49939;&#44592;\&#52404;&#53356;&#47532;&#49828;&#53944;\&#45432;&#48152;&#49939;&#44592;_&#52404;&#53356;&#47532;&#49828;&#53944;.html" TargetMode="External" Id="rId78"/><Relationship Type="http://schemas.openxmlformats.org/officeDocument/2006/relationships/hyperlink" Target="&#47588;&#45684;&#50620;BODY(&#51665;&#54665;&#45800;&#44228;-&#52392;&#48512;&#54260;&#45908;)\&#49345;&#48512;&#44053;&#54868;&#45432;&#48152;\27_&#54616;&#48512;&#45432;&#48152;%20&#49884;&#44277;\&#54364;&#51456;&#49436;\&#54616;&#48512;&#45432;&#48152;%20&#49884;&#44277;_&#54364;&#51456;&#49436;.html" TargetMode="External" Id="rId79"/><Relationship Type="http://schemas.openxmlformats.org/officeDocument/2006/relationships/hyperlink" Target="&#47588;&#45684;&#50620;BODY(&#51665;&#54665;&#45800;&#44228;-&#52392;&#48512;&#54260;&#45908;)\&#49345;&#48512;&#44053;&#54868;&#45432;&#48152;\27_&#54616;&#48512;&#45432;&#48152;%20&#49884;&#44277;\&#49688;&#54665;&#51648;&#52840;\&#54616;&#48512;&#45432;&#48152;%20&#49884;&#44277;_&#49688;&#54665;&#51648;&#52840;.html" TargetMode="External" Id="rId80"/><Relationship Type="http://schemas.openxmlformats.org/officeDocument/2006/relationships/hyperlink" Target="&#47588;&#45684;&#50620;BODY(&#51665;&#54665;&#45800;&#44228;-&#52392;&#48512;&#54260;&#45908;)\&#49345;&#48512;&#44053;&#54868;&#45432;&#48152;\27_&#54616;&#48512;&#45432;&#48152;%20&#49884;&#44277;\&#52404;&#53356;&#47532;&#49828;&#53944;\&#54616;&#48512;&#45432;&#48152;%20&#49884;&#44277;_&#52404;&#53356;&#47532;&#49828;&#53944;.html" TargetMode="External" Id="rId81"/><Relationship Type="http://schemas.openxmlformats.org/officeDocument/2006/relationships/hyperlink" Target="&#47588;&#45684;&#50620;BODY(&#51665;&#54665;&#45800;&#44228;-&#52392;&#48512;&#54260;&#45908;)\&#49345;&#48512;&#44053;&#54868;&#45432;&#48152;\28_&#49345;&#48512;&#45432;&#48152;%20&#49884;&#44277;\&#54364;&#51456;&#49436;\&#49345;&#48512;&#45432;&#48152;%20&#49884;&#44277;_&#54364;&#51456;&#49436;.html" TargetMode="External" Id="rId82"/><Relationship Type="http://schemas.openxmlformats.org/officeDocument/2006/relationships/hyperlink" Target="&#47588;&#45684;&#50620;BODY(&#51665;&#54665;&#45800;&#44228;-&#52392;&#48512;&#54260;&#45908;)\&#49345;&#48512;&#44053;&#54868;&#45432;&#48152;\28_&#49345;&#48512;&#45432;&#48152;%20&#49884;&#44277;\&#49688;&#54665;&#51648;&#52840;\&#49345;&#48512;&#45432;&#48152;%20&#49884;&#44277;_&#49688;&#54665;&#51648;&#52840;.html" TargetMode="External" Id="rId83"/><Relationship Type="http://schemas.openxmlformats.org/officeDocument/2006/relationships/hyperlink" Target="&#47588;&#45684;&#50620;BODY(&#51665;&#54665;&#45800;&#44228;-&#52392;&#48512;&#54260;&#45908;)\&#49345;&#48512;&#44053;&#54868;&#45432;&#48152;\28_&#49345;&#48512;&#45432;&#48152;%20&#49884;&#44277;\&#52404;&#53356;&#47532;&#49828;&#53944;\&#49345;&#48512;&#45432;&#48152;%20&#49884;&#44277;_&#52404;&#53356;&#47532;&#49828;&#53944;.html" TargetMode="External" Id="rId84"/><Relationship Type="http://schemas.openxmlformats.org/officeDocument/2006/relationships/hyperlink" Target="&#47588;&#45684;&#50620;BODY(&#51665;&#54665;&#45800;&#44228;-&#52392;&#48512;&#54260;&#45908;)\&#49345;&#48512;&#44053;&#54868;&#45432;&#48152;\29_&#44053;&#54868;&#45432;&#48152;%20&#49884;&#44277;\&#54364;&#51456;&#49436;\&#44053;&#54868;&#45432;&#48152;%20&#49884;&#44277;_&#54364;&#51456;&#49436;.html" TargetMode="External" Id="rId85"/><Relationship Type="http://schemas.openxmlformats.org/officeDocument/2006/relationships/hyperlink" Target="&#47588;&#45684;&#50620;BODY(&#51665;&#54665;&#45800;&#44228;-&#52392;&#48512;&#54260;&#45908;)\&#49345;&#48512;&#44053;&#54868;&#45432;&#48152;\29_&#44053;&#54868;&#45432;&#48152;%20&#49884;&#44277;\&#49688;&#54665;&#51648;&#52840;\&#44053;&#54868;&#45432;&#48152;%20&#49884;&#44277;_&#49688;&#54665;&#51648;&#52840;.html" TargetMode="External" Id="rId86"/><Relationship Type="http://schemas.openxmlformats.org/officeDocument/2006/relationships/hyperlink" Target="&#47588;&#45684;&#50620;BODY(&#51665;&#54665;&#45800;&#44228;-&#52392;&#48512;&#54260;&#45908;)\&#49345;&#48512;&#44053;&#54868;&#45432;&#48152;\29_&#44053;&#54868;&#45432;&#48152;%20&#49884;&#44277;\&#52404;&#53356;&#47532;&#49828;&#53944;\&#44053;&#54868;&#45432;&#48152;%20&#49884;&#44277;_&#52404;&#53356;&#47532;&#49828;&#53944;.html" TargetMode="External" Id="rId87"/><Relationship Type="http://schemas.openxmlformats.org/officeDocument/2006/relationships/hyperlink" Target="&#47588;&#45684;&#50620;BODY(&#51665;&#54665;&#45800;&#44228;-&#52392;&#48512;&#54260;&#45908;)\&#49345;&#48512;&#44053;&#54868;&#45432;&#48152;\30_&#53664;&#44277;%20&#50976;&#46041;&#50868;&#48152;_&#49324;&#53664;\&#54364;&#51456;&#49436;\&#53664;&#44277;%20&#50976;&#46041;&#50868;&#48152;_&#49324;&#53664;_&#54364;&#51456;&#49436;.html" TargetMode="External" Id="rId88"/><Relationship Type="http://schemas.openxmlformats.org/officeDocument/2006/relationships/hyperlink" Target="&#47588;&#45684;&#50620;BODY(&#51665;&#54665;&#45800;&#44228;-&#52392;&#48512;&#54260;&#45908;)\&#49345;&#48512;&#44053;&#54868;&#45432;&#48152;\30_&#53664;&#44277;%20&#50976;&#46041;&#50868;&#48152;_&#49324;&#53664;\&#49688;&#54665;&#51648;&#52840;\&#53664;&#44277;%20&#50976;&#46041;&#50868;&#48152;_&#49324;&#53664;_&#49688;&#54665;&#51648;&#52840;.html" TargetMode="External" Id="rId89"/><Relationship Type="http://schemas.openxmlformats.org/officeDocument/2006/relationships/hyperlink" Target="&#47588;&#45684;&#50620;BODY(&#51665;&#54665;&#45800;&#44228;-&#52392;&#48512;&#54260;&#45908;)\&#49345;&#48512;&#44053;&#54868;&#45432;&#48152;\30_&#53664;&#44277;%20&#50976;&#46041;&#50868;&#48152;_&#49324;&#53664;\&#52404;&#53356;&#47532;&#49828;&#53944;\&#53664;&#44277;%20&#50976;&#46041;&#50868;&#48152;_&#49324;&#53664;_&#52404;&#53356;&#47532;&#49828;&#53944;.html" TargetMode="External" Id="rId90"/><Relationship Type="http://schemas.openxmlformats.org/officeDocument/2006/relationships/hyperlink" Target="&#47588;&#45684;&#50620;BODY(&#51665;&#54665;&#45800;&#44228;-&#52392;&#48512;&#54260;&#45908;)\&#49345;&#48512;&#44053;&#54868;&#45432;&#48152;\31_&#50672;&#50557;&#51648;&#48152;&#52376;&#47532;(&#54596;&#50836;&#49884;)\&#54364;&#51456;&#49436;\&#50672;&#50557;&#51648;&#48152;&#52376;&#47532;(&#54596;&#50836;&#49884;)_&#54364;&#51456;&#49436;.html" TargetMode="External" Id="rId91"/><Relationship Type="http://schemas.openxmlformats.org/officeDocument/2006/relationships/hyperlink" Target="&#47588;&#45684;&#50620;BODY(&#51665;&#54665;&#45800;&#44228;-&#52392;&#48512;&#54260;&#45908;)\&#49345;&#48512;&#44053;&#54868;&#45432;&#48152;\31_&#50672;&#50557;&#51648;&#48152;&#52376;&#47532;(&#54596;&#50836;&#49884;)\&#49688;&#54665;&#51648;&#52840;\&#50672;&#50557;&#51648;&#48152;&#52376;&#47532;(&#54596;&#50836;&#49884;)_&#49688;&#54665;&#51648;&#52840;.html" TargetMode="External" Id="rId92"/><Relationship Type="http://schemas.openxmlformats.org/officeDocument/2006/relationships/hyperlink" Target="&#47588;&#45684;&#50620;BODY(&#51665;&#54665;&#45800;&#44228;-&#52392;&#48512;&#54260;&#45908;)\&#49345;&#48512;&#44053;&#54868;&#45432;&#48152;\31_&#50672;&#50557;&#51648;&#48152;&#52376;&#47532;(&#54596;&#50836;&#49884;)\&#52404;&#53356;&#47532;&#49828;&#53944;\&#50672;&#50557;&#51648;&#48152;&#52376;&#47532;(&#54596;&#50836;&#49884;)_&#52404;&#53356;&#47532;&#49828;&#53944;.html" TargetMode="External" Id="rId93"/><Relationship Type="http://schemas.openxmlformats.org/officeDocument/2006/relationships/hyperlink" Target="&#47588;&#45684;&#50620;BODY(&#51665;&#54665;&#45800;&#44228;-&#52392;&#48512;&#54260;&#45908;)\&#49345;&#48512;&#44053;&#54868;&#45432;&#48152;\32_&#51208;&#49457;&#53664;&#44221;&#44228;&#48512;%20&#48176;&#49688;&#44396;&#51312;&#47932;(&#47609;&#50516;&#44144;)%20&#49884;&#44277;\&#54364;&#51456;&#49436;\&#51208;&#49457;&#53664;&#44221;&#44228;&#48512;%20&#48176;&#49688;&#44396;&#51312;&#47932;(&#47609;&#50516;&#44144;)%20&#49884;&#44277;_&#54364;&#51456;&#49436;.html" TargetMode="External" Id="rId94"/><Relationship Type="http://schemas.openxmlformats.org/officeDocument/2006/relationships/hyperlink" Target="&#47588;&#45684;&#50620;BODY(&#51665;&#54665;&#45800;&#44228;-&#52392;&#48512;&#54260;&#45908;)\&#49345;&#48512;&#44053;&#54868;&#45432;&#48152;\32_&#51208;&#49457;&#53664;&#44221;&#44228;&#48512;%20&#48176;&#49688;&#44396;&#51312;&#47932;(&#47609;&#50516;&#44144;)%20&#49884;&#44277;\&#49688;&#54665;&#51648;&#52840;\&#51208;&#49457;&#53664;&#44221;&#44228;&#48512;%20&#48176;&#49688;&#44396;&#51312;&#47932;(&#47609;&#50516;&#44144;)%20&#49884;&#44277;_&#49688;&#54665;&#51648;&#52840;.html" TargetMode="External" Id="rId95"/><Relationship Type="http://schemas.openxmlformats.org/officeDocument/2006/relationships/hyperlink" Target="&#47588;&#45684;&#50620;BODY(&#51665;&#54665;&#45800;&#44228;-&#52392;&#48512;&#54260;&#45908;)\&#49345;&#48512;&#44053;&#54868;&#45432;&#48152;\32_&#51208;&#49457;&#53664;&#44221;&#44228;&#48512;%20&#48176;&#49688;&#44396;&#51312;&#47932;(&#47609;&#50516;&#44144;)%20&#49884;&#44277;\&#52404;&#53356;&#47532;&#49828;&#53944;\&#51208;&#49457;&#53664;&#44221;&#44228;&#48512;%20&#48176;&#49688;&#44396;&#51312;&#47932;(&#47609;&#50516;&#44144;)%20&#49884;&#44277;_&#52404;&#53356;&#47532;&#49828;&#53944;.html" TargetMode="External" Id="rId96"/><Relationship Type="http://schemas.openxmlformats.org/officeDocument/2006/relationships/hyperlink" Target="&#47588;&#45684;&#50620;BODY(&#51665;&#54665;&#45800;&#44228;-&#52392;&#48512;&#54260;&#45908;)\&#49345;&#48512;&#44053;&#54868;&#45432;&#48152;\33_&#50516;&#49437;&#49939;&#44592;\&#54364;&#51456;&#49436;\&#50516;&#49437;&#49939;&#44592;_&#54364;&#51456;&#49436;.html" TargetMode="External" Id="rId97"/><Relationship Type="http://schemas.openxmlformats.org/officeDocument/2006/relationships/hyperlink" Target="&#47588;&#45684;&#50620;BODY(&#51665;&#54665;&#45800;&#44228;-&#52392;&#48512;&#54260;&#45908;)\&#49345;&#48512;&#44053;&#54868;&#45432;&#48152;\33_&#50516;&#49437;&#49939;&#44592;\&#49688;&#54665;&#51648;&#52840;\&#50516;&#49437;&#49939;&#44592;_&#49688;&#54665;&#51648;&#52840;.html" TargetMode="External" Id="rId98"/><Relationship Type="http://schemas.openxmlformats.org/officeDocument/2006/relationships/hyperlink" Target="&#47588;&#45684;&#50620;BODY(&#51665;&#54665;&#45800;&#44228;-&#52392;&#48512;&#54260;&#45908;)\&#49345;&#48512;&#44053;&#54868;&#45432;&#48152;\33_&#50516;&#49437;&#49939;&#44592;\&#52404;&#53356;&#47532;&#49828;&#53944;\&#50516;&#49437;&#49939;&#44592;_&#52404;&#53356;&#47532;&#49828;&#53944;.html" TargetMode="External" Id="rId99"/><Relationship Type="http://schemas.openxmlformats.org/officeDocument/2006/relationships/hyperlink" Target="&#47588;&#45684;&#50620;BODY(&#51665;&#54665;&#45800;&#44228;-&#52392;&#48512;&#54260;&#45908;)\&#49345;&#48512;&#44053;&#54868;&#45432;&#48152;\34_&#48169;&#52824;&#44592;&#44036;%20&#54869;&#48372;\&#54364;&#51456;&#49436;\&#48169;&#52824;&#44592;&#44036;%20&#54869;&#48372;_&#54364;&#51456;&#49436;.html" TargetMode="External" Id="rId100"/><Relationship Type="http://schemas.openxmlformats.org/officeDocument/2006/relationships/hyperlink" Target="&#47588;&#45684;&#50620;BODY(&#51665;&#54665;&#45800;&#44228;-&#52392;&#48512;&#54260;&#45908;)\&#49345;&#48512;&#44053;&#54868;&#45432;&#48152;\34_&#48169;&#52824;&#44592;&#44036;%20&#54869;&#48372;\&#49688;&#54665;&#51648;&#52840;\&#48169;&#52824;&#44592;&#44036;%20&#54869;&#48372;_&#49688;&#54665;&#51648;&#52840;.html" TargetMode="External" Id="rId101"/><Relationship Type="http://schemas.openxmlformats.org/officeDocument/2006/relationships/hyperlink" Target="&#47588;&#45684;&#50620;BODY(&#51665;&#54665;&#45800;&#44228;-&#52392;&#48512;&#54260;&#45908;)\&#49345;&#48512;&#44053;&#54868;&#45432;&#48152;\34_&#48169;&#52824;&#44592;&#44036;%20&#54869;&#48372;\&#52404;&#53356;&#47532;&#49828;&#53944;\&#48169;&#52824;&#44592;&#44036;%20&#54869;&#48372;_&#52404;&#53356;&#47532;&#49828;&#53944;.html" TargetMode="External" Id="rId102"/><Relationship Type="http://schemas.openxmlformats.org/officeDocument/2006/relationships/hyperlink" Target="&#47588;&#45684;&#50620;BODY(&#51665;&#54665;&#45800;&#44228;-&#52392;&#48512;&#54260;&#45908;)\&#49345;&#48512;&#44053;&#54868;&#45432;&#48152;\35_&#53664;&#44277;&#47560;&#47924;&#47532;\&#54364;&#51456;&#49436;\&#53664;&#44277;&#47560;&#47924;&#47532;_&#54364;&#51456;&#49436;.html" TargetMode="External" Id="rId103"/><Relationship Type="http://schemas.openxmlformats.org/officeDocument/2006/relationships/hyperlink" Target="&#47588;&#45684;&#50620;BODY(&#51665;&#54665;&#45800;&#44228;-&#52392;&#48512;&#54260;&#45908;)\&#49345;&#48512;&#44053;&#54868;&#45432;&#48152;\35_&#53664;&#44277;&#47560;&#47924;&#47532;\&#49688;&#54665;&#51648;&#52840;\&#53664;&#44277;&#47560;&#47924;&#47532;_&#49688;&#54665;&#51648;&#52840;.html" TargetMode="External" Id="rId104"/><Relationship Type="http://schemas.openxmlformats.org/officeDocument/2006/relationships/hyperlink" Target="&#47588;&#45684;&#50620;BODY(&#51665;&#54665;&#45800;&#44228;-&#52392;&#48512;&#54260;&#45908;)\&#49345;&#48512;&#44053;&#54868;&#45432;&#48152;\35_&#53664;&#44277;&#47560;&#47924;&#47532;\&#52404;&#53356;&#47532;&#49828;&#53944;\&#53664;&#44277;&#47560;&#47924;&#47532;_&#52404;&#53356;&#47532;&#49828;&#53944;.html" TargetMode="External" Id="rId105"/><Relationship Type="http://schemas.openxmlformats.org/officeDocument/2006/relationships/hyperlink" Target="&#47588;&#45684;&#50620;BODY(&#51665;&#54665;&#45800;&#44228;-&#52392;&#48512;&#54260;&#45908;)\&#49345;&#48512;&#44053;&#54868;&#45432;&#48152;\36_&#53664;&#44277;%20&#47560;&#47924;&#47532;&#47732;%20&#51064;&#44228;\&#54364;&#51456;&#49436;\&#53664;&#44277;%20&#47560;&#47924;&#47532;&#47732;%20&#51064;&#44228;_&#54364;&#51456;&#49436;.html" TargetMode="External" Id="rId106"/><Relationship Type="http://schemas.openxmlformats.org/officeDocument/2006/relationships/hyperlink" Target="&#47588;&#45684;&#50620;BODY(&#51665;&#54665;&#45800;&#44228;-&#52392;&#48512;&#54260;&#45908;)\&#49345;&#48512;&#44053;&#54868;&#45432;&#48152;\36_&#53664;&#44277;%20&#47560;&#47924;&#47532;&#47732;%20&#51064;&#44228;\&#49688;&#54665;&#51648;&#52840;\&#53664;&#44277;%20&#47560;&#47924;&#47532;&#47732;%20&#51064;&#44228;_&#49688;&#54665;&#51648;&#52840;.html" TargetMode="External" Id="rId107"/><Relationship Type="http://schemas.openxmlformats.org/officeDocument/2006/relationships/hyperlink" Target="&#47588;&#45684;&#50620;BODY(&#51665;&#54665;&#45800;&#44228;-&#52392;&#48512;&#54260;&#45908;)\&#49345;&#48512;&#44053;&#54868;&#45432;&#48152;\36_&#53664;&#44277;%20&#47560;&#47924;&#47532;&#47732;%20&#51064;&#44228;\&#52404;&#53356;&#47532;&#49828;&#53944;\&#53664;&#44277;%20&#47560;&#47924;&#47532;&#47732;%20&#51064;&#44228;_&#52404;&#53356;&#47532;&#49828;&#53944;.html" TargetMode="External" Id="rId108"/></Relationships>
</file>

<file path=xl/worksheets/_rels/sheet5.xml.rels><Relationships xmlns="http://schemas.openxmlformats.org/package/2006/relationships"><Relationship Type="http://schemas.openxmlformats.org/officeDocument/2006/relationships/hyperlink" Target="&#47588;&#45684;&#50620;BODY(&#51665;&#54665;&#45800;&#44228;-&#52392;&#48512;&#54260;&#45908;)\&#53080;&#53356;&#47532;&#53944;&#46020;&#49345;\1_&#49444;&#44228;&#51201;&#51221;&#49457;%20&#44160;&#53664;\&#54364;&#51456;&#49436;\&#49444;&#44228;&#51201;&#51221;&#49457;%20&#44160;&#53664;_&#54364;&#51456;&#49436;.html" TargetMode="External" Id="rId1"/><Relationship Type="http://schemas.openxmlformats.org/officeDocument/2006/relationships/hyperlink" Target="&#47588;&#45684;&#50620;BODY(&#51665;&#54665;&#45800;&#44228;-&#52392;&#48512;&#54260;&#45908;)\&#53080;&#53356;&#47532;&#53944;&#46020;&#49345;\1_&#49444;&#44228;&#51201;&#51221;&#49457;%20&#44160;&#53664;\&#49688;&#54665;&#51648;&#52840;\&#49444;&#44228;&#51201;&#51221;&#49457;%20&#44160;&#53664;_&#49688;&#54665;&#51648;&#52840;.html" TargetMode="External" Id="rId2"/><Relationship Type="http://schemas.openxmlformats.org/officeDocument/2006/relationships/hyperlink" Target="&#47588;&#45684;&#50620;BODY(&#51665;&#54665;&#45800;&#44228;-&#52392;&#48512;&#54260;&#45908;)\&#53080;&#53356;&#47532;&#53944;&#46020;&#49345;\1_&#49444;&#44228;&#51201;&#51221;&#49457;%20&#44160;&#53664;\&#52404;&#53356;&#47532;&#49828;&#53944;\&#49444;&#44228;&#51201;&#51221;&#49457;%20&#44160;&#53664;_&#52404;&#53356;&#47532;&#49828;&#53944;.html" TargetMode="External" Id="rId3"/><Relationship Type="http://schemas.openxmlformats.org/officeDocument/2006/relationships/hyperlink" Target="&#47588;&#45684;&#50620;BODY(&#51665;&#54665;&#45800;&#44228;-&#52392;&#48512;&#54260;&#45908;)\&#53080;&#53356;&#47532;&#53944;&#46020;&#49345;\2_&#51088;&#51116;%20&#50556;&#51201;&#51109;%20&#49440;&#51221;\&#54364;&#51456;&#49436;\&#51088;&#51116;%20&#50556;&#51201;&#51109;%20&#49440;&#51221;_&#54364;&#51456;&#49436;.html" TargetMode="External" Id="rId4"/><Relationship Type="http://schemas.openxmlformats.org/officeDocument/2006/relationships/hyperlink" Target="&#47588;&#45684;&#50620;BODY(&#51665;&#54665;&#45800;&#44228;-&#52392;&#48512;&#54260;&#45908;)\&#53080;&#53356;&#47532;&#53944;&#46020;&#49345;\2_&#51088;&#51116;%20&#50556;&#51201;&#51109;%20&#49440;&#51221;\&#49688;&#54665;&#51648;&#52840;\&#51088;&#51116;%20&#50556;&#51201;&#51109;%20&#49440;&#51221;_&#49688;&#54665;&#51648;&#52840;.html" TargetMode="External" Id="rId5"/><Relationship Type="http://schemas.openxmlformats.org/officeDocument/2006/relationships/hyperlink" Target="&#47588;&#45684;&#50620;BODY(&#51665;&#54665;&#45800;&#44228;-&#52392;&#48512;&#54260;&#45908;)\&#53080;&#53356;&#47532;&#53944;&#46020;&#49345;\2_&#51088;&#51116;%20&#50556;&#51201;&#51109;%20&#49440;&#51221;\&#52404;&#53356;&#47532;&#49828;&#53944;\&#51088;&#51116;%20&#50556;&#51201;&#51109;%20&#49440;&#51221;_&#52404;&#53356;&#47532;&#49828;&#53944;.html" TargetMode="External" Id="rId6"/><Relationship Type="http://schemas.openxmlformats.org/officeDocument/2006/relationships/hyperlink" Target="&#47588;&#45684;&#50620;BODY(&#51665;&#54665;&#45800;&#44228;-&#52392;&#48512;&#54260;&#45908;)\&#53080;&#53356;&#47532;&#53944;&#46020;&#49345;\3_&#47112;&#51068;%20&#50857;&#51217;&#51109;%20&#49440;&#51221;\&#54364;&#51456;&#49436;\&#47112;&#51068;%20&#50857;&#51217;&#51109;%20&#49440;&#51221;_&#54364;&#51456;&#49436;.html" TargetMode="External" Id="rId7"/><Relationship Type="http://schemas.openxmlformats.org/officeDocument/2006/relationships/hyperlink" Target="&#47588;&#45684;&#50620;BODY(&#51665;&#54665;&#45800;&#44228;-&#52392;&#48512;&#54260;&#45908;)\&#53080;&#53356;&#47532;&#53944;&#46020;&#49345;\3_&#47112;&#51068;%20&#50857;&#51217;&#51109;%20&#49440;&#51221;\&#49688;&#54665;&#51648;&#52840;\&#47112;&#51068;%20&#50857;&#51217;&#51109;%20&#49440;&#51221;_&#49688;&#54665;&#51648;&#52840;.html" TargetMode="External" Id="rId8"/><Relationship Type="http://schemas.openxmlformats.org/officeDocument/2006/relationships/hyperlink" Target="&#47588;&#45684;&#50620;BODY(&#51665;&#54665;&#45800;&#44228;-&#52392;&#48512;&#54260;&#45908;)\&#53080;&#53356;&#47532;&#53944;&#46020;&#49345;\3_&#47112;&#51068;%20&#50857;&#51217;&#51109;%20&#49440;&#51221;\&#52404;&#53356;&#47532;&#49828;&#53944;\&#47112;&#51068;%20&#50857;&#51217;&#51109;%20&#49440;&#51221;_&#52404;&#53356;&#47532;&#49828;&#53944;.html" TargetMode="External" Id="rId9"/><Relationship Type="http://schemas.openxmlformats.org/officeDocument/2006/relationships/hyperlink" Target="&#47588;&#45684;&#50620;BODY(&#51665;&#54665;&#45800;&#44228;-&#52392;&#48512;&#54260;&#45908;)\&#53080;&#53356;&#47532;&#53944;&#46020;&#49345;\4_&#48156;&#51452;&#51204;&#47029;%20KOM\&#54364;&#51456;&#49436;\&#48156;&#51452;&#51204;&#47029;%20KOM_&#54364;&#51456;&#49436;.html" TargetMode="External" Id="rId10"/><Relationship Type="http://schemas.openxmlformats.org/officeDocument/2006/relationships/hyperlink" Target="&#47588;&#45684;&#50620;BODY(&#51665;&#54665;&#45800;&#44228;-&#52392;&#48512;&#54260;&#45908;)\&#53080;&#53356;&#47532;&#53944;&#46020;&#49345;\4_&#48156;&#51452;&#51204;&#47029;%20KOM\&#49688;&#54665;&#51648;&#52840;\&#48156;&#51452;&#51204;&#47029;%20KOM_&#49688;&#54665;&#51648;&#52840;.html" TargetMode="External" Id="rId11"/><Relationship Type="http://schemas.openxmlformats.org/officeDocument/2006/relationships/hyperlink" Target="&#47588;&#45684;&#50620;BODY(&#51665;&#54665;&#45800;&#44228;-&#52392;&#48512;&#54260;&#45908;)\&#53080;&#53356;&#47532;&#53944;&#46020;&#49345;\4_&#48156;&#51452;&#51204;&#47029;%20KOM\&#52404;&#53356;&#47532;&#49828;&#53944;\&#48156;&#51452;&#51204;&#47029;%20KOM_&#52404;&#53356;&#47532;&#49828;&#53944;.html" TargetMode="External" Id="rId12"/><Relationship Type="http://schemas.openxmlformats.org/officeDocument/2006/relationships/hyperlink" Target="&#47588;&#45684;&#50620;BODY(&#51665;&#54665;&#45800;&#44228;-&#52392;&#48512;&#54260;&#45908;)\&#53080;&#53356;&#47532;&#53944;&#46020;&#49345;\5_&#52572;&#44256;&#51032;%20&#54016;%20&#47564;&#46308;&#44592;%20&#51648;&#50896;\&#54364;&#51456;&#49436;\&#52572;&#44256;&#51032;%20&#54016;%20&#47564;&#46308;&#44592;%20&#51648;&#50896;_&#54364;&#51456;&#49436;.html" TargetMode="External" Id="rId13"/><Relationship Type="http://schemas.openxmlformats.org/officeDocument/2006/relationships/hyperlink" Target="&#47588;&#45684;&#50620;BODY(&#51665;&#54665;&#45800;&#44228;-&#52392;&#48512;&#54260;&#45908;)\&#53080;&#53356;&#47532;&#53944;&#46020;&#49345;\5_&#52572;&#44256;&#51032;%20&#54016;%20&#47564;&#46308;&#44592;%20&#51648;&#50896;\&#49688;&#54665;&#51648;&#52840;\&#52572;&#44256;&#51032;%20&#54016;%20&#47564;&#46308;&#44592;%20&#51648;&#50896;_&#49688;&#54665;&#51648;&#52840;.html" TargetMode="External" Id="rId14"/><Relationship Type="http://schemas.openxmlformats.org/officeDocument/2006/relationships/hyperlink" Target="&#47588;&#45684;&#50620;BODY(&#51665;&#54665;&#45800;&#44228;-&#52392;&#48512;&#54260;&#45908;)\&#53080;&#53356;&#47532;&#53944;&#46020;&#49345;\5_&#52572;&#44256;&#51032;%20&#54016;%20&#47564;&#46308;&#44592;%20&#51648;&#50896;\&#52404;&#53356;&#47532;&#49828;&#53944;\&#52572;&#44256;&#51032;%20&#54016;%20&#47564;&#46308;&#44592;%20&#51648;&#50896;_&#52404;&#53356;&#47532;&#49828;&#53944;.html" TargetMode="External" Id="rId15"/><Relationship Type="http://schemas.openxmlformats.org/officeDocument/2006/relationships/hyperlink" Target="&#47588;&#45684;&#50620;BODY(&#51665;&#54665;&#45800;&#44228;-&#52392;&#48512;&#54260;&#45908;)\&#53080;&#53356;&#47532;&#53944;&#46020;&#49345;\6_&#53080;&#53356;&#47532;&#53944;%20&#53440;&#49444;&#48169;&#48277;_&#44228;&#54925;%20&#44160;&#53664;\&#54364;&#51456;&#49436;\&#53080;&#53356;&#47532;&#53944;%20&#53440;&#49444;&#48169;&#48277;_&#44228;&#54925;%20&#44160;&#53664;_&#54364;&#51456;&#49436;.html" TargetMode="External" Id="rId16"/><Relationship Type="http://schemas.openxmlformats.org/officeDocument/2006/relationships/hyperlink" Target="&#47588;&#45684;&#50620;BODY(&#51665;&#54665;&#45800;&#44228;-&#52392;&#48512;&#54260;&#45908;)\&#53080;&#53356;&#47532;&#53944;&#46020;&#49345;\6_&#53080;&#53356;&#47532;&#53944;%20&#53440;&#49444;&#48169;&#48277;_&#44228;&#54925;%20&#44160;&#53664;\&#49688;&#54665;&#51648;&#52840;\&#53080;&#53356;&#47532;&#53944;%20&#53440;&#49444;&#48169;&#48277;_&#44228;&#54925;%20&#44160;&#53664;_&#49688;&#54665;&#51648;&#52840;.html" TargetMode="External" Id="rId17"/><Relationship Type="http://schemas.openxmlformats.org/officeDocument/2006/relationships/hyperlink" Target="&#47588;&#45684;&#50620;BODY(&#51665;&#54665;&#45800;&#44228;-&#52392;&#48512;&#54260;&#45908;)\&#53080;&#53356;&#47532;&#53944;&#46020;&#49345;\6_&#53080;&#53356;&#47532;&#53944;%20&#53440;&#49444;&#48169;&#48277;_&#44228;&#54925;%20&#44160;&#53664;\&#52404;&#53356;&#47532;&#49828;&#53944;\&#53080;&#53356;&#47532;&#53944;%20&#53440;&#49444;&#48169;&#48277;_&#44228;&#54925;%20&#44160;&#53664;_&#52404;&#53356;&#47532;&#49828;&#53944;.html" TargetMode="External" Id="rId18"/><Relationship Type="http://schemas.openxmlformats.org/officeDocument/2006/relationships/hyperlink" Target="&#47588;&#45684;&#50620;BODY(&#51665;&#54665;&#45800;&#44228;-&#52392;&#48512;&#54260;&#45908;)\&#53080;&#53356;&#47532;&#53944;&#46020;&#49345;\7_&#51089;&#49688;&#51204;%20Big%20Room%20&#54924;&#51032;\&#54364;&#51456;&#49436;\&#51089;&#49688;&#51204;%20Big%20Room%20&#54924;&#51032;_&#54364;&#51456;&#49436;.html" TargetMode="External" Id="rId19"/><Relationship Type="http://schemas.openxmlformats.org/officeDocument/2006/relationships/hyperlink" Target="&#47588;&#45684;&#50620;BODY(&#51665;&#54665;&#45800;&#44228;-&#52392;&#48512;&#54260;&#45908;)\&#53080;&#53356;&#47532;&#53944;&#46020;&#49345;\7_&#51089;&#49688;&#51204;%20Big%20Room%20&#54924;&#51032;\&#49688;&#54665;&#51648;&#52840;\&#51089;&#49688;&#51204;%20Big%20Room%20&#54924;&#51032;_&#49688;&#54665;&#51648;&#52840;.html" TargetMode="External" Id="rId20"/><Relationship Type="http://schemas.openxmlformats.org/officeDocument/2006/relationships/hyperlink" Target="&#47588;&#45684;&#50620;BODY(&#51665;&#54665;&#45800;&#44228;-&#52392;&#48512;&#54260;&#45908;)\&#53080;&#53356;&#47532;&#53944;&#46020;&#49345;\7_&#51089;&#49688;&#51204;%20Big%20Room%20&#54924;&#51032;\&#52404;&#53356;&#47532;&#49828;&#53944;\&#51089;&#49688;&#51204;%20Big%20Room%20&#54924;&#51032;_&#52404;&#53356;&#47532;&#49828;&#53944;.html" TargetMode="External" Id="rId21"/><Relationship Type="http://schemas.openxmlformats.org/officeDocument/2006/relationships/hyperlink" Target="&#47588;&#45684;&#50620;BODY(&#51665;&#54665;&#45800;&#44228;-&#52392;&#48512;&#54260;&#45908;)\&#53080;&#53356;&#47532;&#53944;&#46020;&#49345;\8_&#51109;&#48708;,&#51088;&#51116;%20&#48152;&#51077;&#47196;_&#48152;&#51077;&#44396;%20&#44036;&#49453;%20&#44160;&#53664;\&#54364;&#51456;&#49436;\&#51109;&#48708;,&#51088;&#51116;%20&#48152;&#51077;&#47196;_&#48152;&#51077;&#44396;%20&#44036;&#49453;%20&#44160;&#53664;_&#54364;&#51456;&#49436;.html" TargetMode="External" Id="rId22"/><Relationship Type="http://schemas.openxmlformats.org/officeDocument/2006/relationships/hyperlink" Target="&#47588;&#45684;&#50620;BODY(&#51665;&#54665;&#45800;&#44228;-&#52392;&#48512;&#54260;&#45908;)\&#53080;&#53356;&#47532;&#53944;&#46020;&#49345;\8_&#51109;&#48708;,&#51088;&#51116;%20&#48152;&#51077;&#47196;_&#48152;&#51077;&#44396;%20&#44036;&#49453;%20&#44160;&#53664;\&#49688;&#54665;&#51648;&#52840;\&#51109;&#48708;,&#51088;&#51116;%20&#48152;&#51077;&#47196;_&#48152;&#51077;&#44396;%20&#44036;&#49453;%20&#44160;&#53664;_&#49688;&#54665;&#51648;&#52840;.html" TargetMode="External" Id="rId23"/><Relationship Type="http://schemas.openxmlformats.org/officeDocument/2006/relationships/hyperlink" Target="&#47588;&#45684;&#50620;BODY(&#51665;&#54665;&#45800;&#44228;-&#52392;&#48512;&#54260;&#45908;)\&#53080;&#53356;&#47532;&#53944;&#46020;&#49345;\8_&#51109;&#48708;,&#51088;&#51116;%20&#48152;&#51077;&#47196;_&#48152;&#51077;&#44396;%20&#44036;&#49453;%20&#44160;&#53664;\&#52404;&#53356;&#47532;&#49828;&#53944;\&#51109;&#48708;,&#51088;&#51116;%20&#48152;&#51077;&#47196;_&#48152;&#51077;&#44396;%20&#44036;&#49453;%20&#44160;&#53664;_&#52404;&#53356;&#47532;&#49828;&#53944;.html" TargetMode="External" Id="rId24"/><Relationship Type="http://schemas.openxmlformats.org/officeDocument/2006/relationships/hyperlink" Target="&#47588;&#45684;&#50620;BODY(&#51665;&#54665;&#45800;&#44228;-&#52392;&#48512;&#54260;&#45908;)\&#53080;&#53356;&#47532;&#53944;&#46020;&#49345;\9_&#51088;&#51116;&#51312;&#45804;&#44228;&#54925;%20&#44160;&#53664;\&#54364;&#51456;&#49436;\&#51088;&#51116;&#51312;&#45804;&#44228;&#54925;%20&#44160;&#53664;_&#54364;&#51456;&#49436;.html" TargetMode="External" Id="rId25"/><Relationship Type="http://schemas.openxmlformats.org/officeDocument/2006/relationships/hyperlink" Target="&#47588;&#45684;&#50620;BODY(&#51665;&#54665;&#45800;&#44228;-&#52392;&#48512;&#54260;&#45908;)\&#53080;&#53356;&#47532;&#53944;&#46020;&#49345;\9_&#51088;&#51116;&#51312;&#45804;&#44228;&#54925;%20&#44160;&#53664;\&#49688;&#54665;&#51648;&#52840;\&#51088;&#51116;&#51312;&#45804;&#44228;&#54925;%20&#44160;&#53664;_&#49688;&#54665;&#51648;&#52840;.html" TargetMode="External" Id="rId26"/><Relationship Type="http://schemas.openxmlformats.org/officeDocument/2006/relationships/hyperlink" Target="&#47588;&#45684;&#50620;BODY(&#51665;&#54665;&#45800;&#44228;-&#52392;&#48512;&#54260;&#45908;)\&#53080;&#53356;&#47532;&#53944;&#46020;&#49345;\9_&#51088;&#51116;&#51312;&#45804;&#44228;&#54925;%20&#44160;&#53664;\&#52404;&#53356;&#47532;&#49828;&#53944;\&#51088;&#51116;&#51312;&#45804;&#44228;&#54925;%20&#44160;&#53664;_&#52404;&#53356;&#47532;&#49828;&#53944;.html" TargetMode="External" Id="rId27"/><Relationship Type="http://schemas.openxmlformats.org/officeDocument/2006/relationships/hyperlink" Target="&#47588;&#45684;&#50620;BODY(&#51665;&#54665;&#45800;&#44228;-&#52392;&#48512;&#54260;&#45908;)\&#53080;&#53356;&#47532;&#53944;&#46020;&#49345;\10_&#51088;&#51116;%20&#48156;&#51452;%20&#50836;&#52397;\&#54364;&#51456;&#49436;\&#51088;&#51116;%20&#48156;&#51452;%20&#50836;&#52397;_&#54364;&#51456;&#49436;.html" TargetMode="External" Id="rId28"/><Relationship Type="http://schemas.openxmlformats.org/officeDocument/2006/relationships/hyperlink" Target="&#47588;&#45684;&#50620;BODY(&#51665;&#54665;&#45800;&#44228;-&#52392;&#48512;&#54260;&#45908;)\&#53080;&#53356;&#47532;&#53944;&#46020;&#49345;\10_&#51088;&#51116;%20&#48156;&#51452;%20&#50836;&#52397;\&#49688;&#54665;&#51648;&#52840;\&#51088;&#51116;%20&#48156;&#51452;%20&#50836;&#52397;_&#49688;&#54665;&#51648;&#52840;.html" TargetMode="External" Id="rId29"/><Relationship Type="http://schemas.openxmlformats.org/officeDocument/2006/relationships/hyperlink" Target="&#47588;&#45684;&#50620;BODY(&#51665;&#54665;&#45800;&#44228;-&#52392;&#48512;&#54260;&#45908;)\&#53080;&#53356;&#47532;&#53944;&#46020;&#49345;\10_&#51088;&#51116;%20&#48156;&#51452;%20&#50836;&#52397;\&#52404;&#53356;&#47532;&#49828;&#53944;\&#51088;&#51116;%20&#48156;&#51452;%20&#50836;&#52397;_&#52404;&#53356;&#47532;&#49828;&#53944;.html" TargetMode="External" Id="rId30"/><Relationship Type="http://schemas.openxmlformats.org/officeDocument/2006/relationships/hyperlink" Target="&#47588;&#45684;&#50620;BODY(&#51665;&#54665;&#45800;&#44228;-&#52392;&#48512;&#54260;&#45908;)\&#53080;&#53356;&#47532;&#53944;&#46020;&#49345;\11_&#49884;&#44277;&#44228;&#54925;%20&#49688;&#47549;\&#54364;&#51456;&#49436;\&#49884;&#44277;&#44228;&#54925;%20&#49688;&#47549;_&#54364;&#51456;&#49436;.html" TargetMode="External" Id="rId31"/><Relationship Type="http://schemas.openxmlformats.org/officeDocument/2006/relationships/hyperlink" Target="&#47588;&#45684;&#50620;BODY(&#51665;&#54665;&#45800;&#44228;-&#52392;&#48512;&#54260;&#45908;)\&#53080;&#53356;&#47532;&#53944;&#46020;&#49345;\11_&#49884;&#44277;&#44228;&#54925;%20&#49688;&#47549;\&#49688;&#54665;&#51648;&#52840;\&#49884;&#44277;&#44228;&#54925;%20&#49688;&#47549;_&#49688;&#54665;&#51648;&#52840;.html" TargetMode="External" Id="rId32"/><Relationship Type="http://schemas.openxmlformats.org/officeDocument/2006/relationships/hyperlink" Target="&#47588;&#45684;&#50620;BODY(&#51665;&#54665;&#45800;&#44228;-&#52392;&#48512;&#54260;&#45908;)\&#53080;&#53356;&#47532;&#53944;&#46020;&#49345;\11_&#49884;&#44277;&#44228;&#54925;%20&#49688;&#47549;\&#52404;&#53356;&#47532;&#49828;&#53944;\&#49884;&#44277;&#44228;&#54925;%20&#49688;&#47549;_&#52404;&#53356;&#47532;&#49828;&#53944;.html" TargetMode="External" Id="rId33"/><Relationship Type="http://schemas.openxmlformats.org/officeDocument/2006/relationships/hyperlink" Target="&#47588;&#45684;&#50620;BODY(&#51665;&#54665;&#45800;&#44228;-&#52392;&#48512;&#54260;&#45908;)\&#53080;&#53356;&#47532;&#53944;&#46020;&#49345;\12_&#51088;&#51116;%20&#48152;&#51077;\&#54364;&#51456;&#49436;\&#51088;&#51116;%20&#48152;&#51077;_&#54364;&#51456;&#49436;.html" TargetMode="External" Id="rId34"/><Relationship Type="http://schemas.openxmlformats.org/officeDocument/2006/relationships/hyperlink" Target="&#47588;&#45684;&#50620;BODY(&#51665;&#54665;&#45800;&#44228;-&#52392;&#48512;&#54260;&#45908;)\&#53080;&#53356;&#47532;&#53944;&#46020;&#49345;\12_&#51088;&#51116;%20&#48152;&#51077;\&#49688;&#54665;&#51648;&#52840;\&#51088;&#51116;%20&#48152;&#51077;_&#49688;&#54665;&#51648;&#52840;.html" TargetMode="External" Id="rId35"/><Relationship Type="http://schemas.openxmlformats.org/officeDocument/2006/relationships/hyperlink" Target="&#47588;&#45684;&#50620;BODY(&#51665;&#54665;&#45800;&#44228;-&#52392;&#48512;&#54260;&#45908;)\&#53080;&#53356;&#47532;&#53944;&#46020;&#49345;\12_&#51088;&#51116;%20&#48152;&#51077;\&#52404;&#53356;&#47532;&#49828;&#53944;\&#51088;&#51116;%20&#48152;&#51077;_&#52404;&#53356;&#47532;&#49828;&#53944;.html" TargetMode="External" Id="rId36"/><Relationship Type="http://schemas.openxmlformats.org/officeDocument/2006/relationships/hyperlink" Target="&#47588;&#45684;&#50620;BODY(&#51665;&#54665;&#45800;&#44228;-&#52392;&#48512;&#54260;&#45908;)\&#53080;&#53356;&#47532;&#53944;&#46020;&#49345;\13_%5bHBS%5d%20&#44053;&#54868;&#45432;&#48152;%20&#54869;&#51064;\&#54364;&#51456;&#49436;\%5bHBS%5d%20&#44053;&#54868;&#45432;&#48152;%20&#54869;&#51064;_&#54364;&#51456;&#49436;.html" TargetMode="External" Id="rId37"/><Relationship Type="http://schemas.openxmlformats.org/officeDocument/2006/relationships/hyperlink" Target="&#47588;&#45684;&#50620;BODY(&#51665;&#54665;&#45800;&#44228;-&#52392;&#48512;&#54260;&#45908;)\&#53080;&#53356;&#47532;&#53944;&#46020;&#49345;\13_%5bHBS%5d%20&#44053;&#54868;&#45432;&#48152;%20&#54869;&#51064;\&#49688;&#54665;&#51648;&#52840;\%5bHBS%5d%20&#44053;&#54868;&#45432;&#48152;%20&#54869;&#51064;_&#49688;&#54665;&#51648;&#52840;.html" TargetMode="External" Id="rId38"/><Relationship Type="http://schemas.openxmlformats.org/officeDocument/2006/relationships/hyperlink" Target="&#47588;&#45684;&#50620;BODY(&#51665;&#54665;&#45800;&#44228;-&#52392;&#48512;&#54260;&#45908;)\&#53080;&#53356;&#47532;&#53944;&#46020;&#49345;\13_%5bHBS%5d%20&#44053;&#54868;&#45432;&#48152;%20&#54869;&#51064;\&#52404;&#53356;&#47532;&#49828;&#53944;\%5bHBS%5d%20&#44053;&#54868;&#45432;&#48152;%20&#54869;&#51064;_&#52404;&#53356;&#47532;&#49828;&#53944;.html" TargetMode="External" Id="rId39"/><Relationship Type="http://schemas.openxmlformats.org/officeDocument/2006/relationships/hyperlink" Target="&#47588;&#45684;&#50620;BODY(&#51665;&#54665;&#45800;&#44228;-&#52392;&#48512;&#54260;&#45908;)\&#53080;&#53356;&#47532;&#53944;&#46020;&#49345;\14_%5bHBS%5d%20&#53080;&#53356;&#47532;&#53944;%20&#53440;&#49444;%20&#48143;%20&#50577;&#49373;\&#54364;&#51456;&#49436;\%5bHBS%5d%20&#53080;&#53356;&#47532;&#53944;%20&#53440;&#49444;%20&#48143;%20&#50577;&#49373;_&#54364;&#51456;&#49436;.html" TargetMode="External" Id="rId40"/><Relationship Type="http://schemas.openxmlformats.org/officeDocument/2006/relationships/hyperlink" Target="&#47588;&#45684;&#50620;BODY(&#51665;&#54665;&#45800;&#44228;-&#52392;&#48512;&#54260;&#45908;)\&#53080;&#53356;&#47532;&#53944;&#46020;&#49345;\14_%5bHBS%5d%20&#53080;&#53356;&#47532;&#53944;%20&#53440;&#49444;%20&#48143;%20&#50577;&#49373;\&#49688;&#54665;&#51648;&#52840;\%5bHBS%5d%20&#53080;&#53356;&#47532;&#53944;%20&#53440;&#49444;%20&#48143;%20&#50577;&#49373;_&#49688;&#54665;&#51648;&#52840;.html" TargetMode="External" Id="rId41"/><Relationship Type="http://schemas.openxmlformats.org/officeDocument/2006/relationships/hyperlink" Target="&#47588;&#45684;&#50620;BODY(&#51665;&#54665;&#45800;&#44228;-&#52392;&#48512;&#54260;&#45908;)\&#53080;&#53356;&#47532;&#53944;&#46020;&#49345;\14_%5bHBS%5d%20&#53080;&#53356;&#47532;&#53944;%20&#53440;&#49444;%20&#48143;%20&#50577;&#49373;\&#52404;&#53356;&#47532;&#49828;&#53944;\%5bHBS%5d%20&#53080;&#53356;&#47532;&#53944;%20&#53440;&#49444;%20&#48143;%20&#50577;&#49373;_&#52404;&#53356;&#47532;&#49828;&#53944;.html" TargetMode="External" Id="rId42"/><Relationship Type="http://schemas.openxmlformats.org/officeDocument/2006/relationships/hyperlink" Target="&#47588;&#45684;&#50620;BODY(&#51665;&#54665;&#45800;&#44228;-&#52392;&#48512;&#54260;&#45908;)\&#53080;&#53356;&#47532;&#53944;&#46020;&#49345;\15_%5b&#48152;-PC%20&#49836;&#47000;&#48652;%5d%20&#54056;&#45328;&#48152;&#51077;%20&#48143;%20&#49444;&#52824;\&#54364;&#51456;&#49436;\%5b&#48152;-PC%20&#49836;&#47000;&#48652;%5d%20&#54056;&#45328;&#48152;&#51077;%20&#48143;%20&#49444;&#52824;_&#54364;&#51456;&#49436;.html" TargetMode="External" Id="rId43"/><Relationship Type="http://schemas.openxmlformats.org/officeDocument/2006/relationships/hyperlink" Target="&#47588;&#45684;&#50620;BODY(&#51665;&#54665;&#45800;&#44228;-&#52392;&#48512;&#54260;&#45908;)\&#53080;&#53356;&#47532;&#53944;&#46020;&#49345;\15_%5b&#48152;-PC%20&#49836;&#47000;&#48652;%5d%20&#54056;&#45328;&#48152;&#51077;%20&#48143;%20&#49444;&#52824;\&#49688;&#54665;&#51648;&#52840;\%5b&#48152;-PC%20&#49836;&#47000;&#48652;%5d%20&#54056;&#45328;&#48152;&#51077;%20&#48143;%20&#49444;&#52824;_&#49688;&#54665;&#51648;&#52840;.html" TargetMode="External" Id="rId44"/><Relationship Type="http://schemas.openxmlformats.org/officeDocument/2006/relationships/hyperlink" Target="&#47588;&#45684;&#50620;BODY(&#51665;&#54665;&#45800;&#44228;-&#52392;&#48512;&#54260;&#45908;)\&#53080;&#53356;&#47532;&#53944;&#46020;&#49345;\15_%5b&#48152;-PC%20&#49836;&#47000;&#48652;%5d%20&#54056;&#45328;&#48152;&#51077;%20&#48143;%20&#49444;&#52824;\&#52404;&#53356;&#47532;&#49828;&#53944;\%5b&#48152;-PC%20&#49836;&#47000;&#48652;%5d%20&#54056;&#45328;&#48152;&#51077;%20&#48143;%20&#49444;&#52824;_&#52404;&#53356;&#47532;&#49828;&#53944;.html" TargetMode="External" Id="rId45"/><Relationship Type="http://schemas.openxmlformats.org/officeDocument/2006/relationships/hyperlink" Target="&#47588;&#45684;&#50620;BODY(&#51665;&#54665;&#45800;&#44228;-&#52392;&#48512;&#54260;&#45908;)\&#53080;&#53356;&#47532;&#53944;&#46020;&#49345;\16_%5bPST%5d%20&#51204;&#45800;&#50549;&#52964;&#49444;&#52824;%20&#48143;%20&#52649;&#51204;&#51116;%20&#51452;&#51077;\&#54364;&#51456;&#49436;\%5bPST%5d%20&#51204;&#45800;&#50549;&#52964;&#49444;&#52824;%20&#48143;%20&#52649;&#51204;&#51116;%20&#51452;&#51077;_&#54364;&#51456;&#49436;.html" TargetMode="External" Id="rId46"/><Relationship Type="http://schemas.openxmlformats.org/officeDocument/2006/relationships/hyperlink" Target="&#47588;&#45684;&#50620;BODY(&#51665;&#54665;&#45800;&#44228;-&#52392;&#48512;&#54260;&#45908;)\&#53080;&#53356;&#47532;&#53944;&#46020;&#49345;\16_%5bPST%5d%20&#51204;&#45800;&#50549;&#52964;&#49444;&#52824;%20&#48143;%20&#52649;&#51204;&#51116;%20&#51452;&#51077;\&#49688;&#54665;&#51648;&#52840;\%5bPST%5d%20&#51204;&#45800;&#50549;&#52964;&#49444;&#52824;%20&#48143;%20&#52649;&#51204;&#51116;%20&#51452;&#51077;_&#49688;&#54665;&#51648;&#52840;.html" TargetMode="External" Id="rId47"/><Relationship Type="http://schemas.openxmlformats.org/officeDocument/2006/relationships/hyperlink" Target="&#47588;&#45684;&#50620;BODY(&#51665;&#54665;&#45800;&#44228;-&#52392;&#48512;&#54260;&#45908;)\&#53080;&#53356;&#47532;&#53944;&#46020;&#49345;\16_%5bPST%5d%20&#51204;&#45800;&#50549;&#52964;&#49444;&#52824;%20&#48143;%20&#52649;&#51204;&#51116;%20&#51452;&#51077;\&#52404;&#53356;&#47532;&#49828;&#53944;\%5bPST%5d%20&#51204;&#45800;&#50549;&#52964;&#49444;&#52824;%20&#48143;%20&#52649;&#51204;&#51116;%20&#51452;&#51077;_&#52404;&#53356;&#47532;&#49828;&#53944;.html" TargetMode="External" Id="rId48"/><Relationship Type="http://schemas.openxmlformats.org/officeDocument/2006/relationships/hyperlink" Target="&#47588;&#45684;&#50620;BODY(&#51665;&#54665;&#45800;&#44228;-&#52392;&#48512;&#54260;&#45908;)\&#53080;&#53356;&#47532;&#53944;&#46020;&#49345;\17_%5bTCL%5d%20&#44452;&#44305;%20&#48143;%20&#52384;&#44540;&#51312;&#47549;\&#54364;&#51456;&#49436;\%5bTCL%5d%20&#44452;&#44305;%20&#48143;%20&#52384;&#44540;&#51312;&#47549;_&#54364;&#51456;&#49436;.html" TargetMode="External" Id="rId49"/><Relationship Type="http://schemas.openxmlformats.org/officeDocument/2006/relationships/hyperlink" Target="&#47588;&#45684;&#50620;BODY(&#51665;&#54665;&#45800;&#44228;-&#52392;&#48512;&#54260;&#45908;)\&#53080;&#53356;&#47532;&#53944;&#46020;&#49345;\17_%5bTCL%5d%20&#44452;&#44305;%20&#48143;%20&#52384;&#44540;&#51312;&#47549;\&#49688;&#54665;&#51648;&#52840;\%5bTCL%5d%20&#44452;&#44305;%20&#48143;%20&#52384;&#44540;&#51312;&#47549;_&#49688;&#54665;&#51648;&#52840;.html" TargetMode="External" Id="rId50"/><Relationship Type="http://schemas.openxmlformats.org/officeDocument/2006/relationships/hyperlink" Target="&#47588;&#45684;&#50620;BODY(&#51665;&#54665;&#45800;&#44228;-&#52392;&#48512;&#54260;&#45908;)\&#53080;&#53356;&#47532;&#53944;&#46020;&#49345;\17_%5bTCL%5d%20&#44452;&#44305;%20&#48143;%20&#52384;&#44540;&#51312;&#47549;\&#52404;&#53356;&#47532;&#49828;&#53944;\%5bTCL%5d%20&#44452;&#44305;%20&#48143;%20&#52384;&#44540;&#51312;&#47549;_&#52404;&#53356;&#47532;&#49828;&#53944;.html" TargetMode="External" Id="rId51"/><Relationship Type="http://schemas.openxmlformats.org/officeDocument/2006/relationships/hyperlink" Target="&#47588;&#45684;&#50620;BODY(&#51665;&#54665;&#45800;&#44228;-&#52392;&#48512;&#54260;&#45908;)\&#53080;&#53356;&#47532;&#53944;&#46020;&#49345;\18_%5bTCL%5d%20&#44144;&#54392;&#51665;%20&#49444;&#52824;\&#54364;&#51456;&#49436;\%5bTCL%5d%20&#44144;&#54392;&#51665;%20&#49444;&#52824;_&#54364;&#51456;&#49436;.html" TargetMode="External" Id="rId52"/><Relationship Type="http://schemas.openxmlformats.org/officeDocument/2006/relationships/hyperlink" Target="&#47588;&#45684;&#50620;BODY(&#51665;&#54665;&#45800;&#44228;-&#52392;&#48512;&#54260;&#45908;)\&#53080;&#53356;&#47532;&#53944;&#46020;&#49345;\18_%5bTCL%5d%20&#44144;&#54392;&#51665;%20&#49444;&#52824;\&#49688;&#54665;&#51648;&#52840;\%5bTCL%5d%20&#44144;&#54392;&#51665;%20&#49444;&#52824;_&#49688;&#54665;&#51648;&#52840;.html" TargetMode="External" Id="rId53"/><Relationship Type="http://schemas.openxmlformats.org/officeDocument/2006/relationships/hyperlink" Target="&#47588;&#45684;&#50620;BODY(&#51665;&#54665;&#45800;&#44228;-&#52392;&#48512;&#54260;&#45908;)\&#53080;&#53356;&#47532;&#53944;&#46020;&#49345;\18_%5bTCL%5d%20&#44144;&#54392;&#51665;%20&#49444;&#52824;\&#52404;&#53356;&#47532;&#49828;&#53944;\%5bTCL%5d%20&#44144;&#54392;&#51665;%20&#49444;&#52824;_&#52404;&#53356;&#47532;&#49828;&#53944;.html" TargetMode="External" Id="rId54"/><Relationship Type="http://schemas.openxmlformats.org/officeDocument/2006/relationships/hyperlink" Target="&#47588;&#45684;&#50620;BODY(&#51665;&#54665;&#45800;&#44228;-&#52392;&#48512;&#54260;&#45908;)\&#53080;&#53356;&#47532;&#53944;&#46020;&#49345;\19_%5bTCL%5d%20&#53080;&#53356;&#47532;&#53944;%20&#53440;&#49444;%20&#48143;%20&#50577;&#49373;\&#54364;&#51456;&#49436;\%5bTCL%5d%20&#53080;&#53356;&#47532;&#53944;%20&#53440;&#49444;%20&#48143;%20&#50577;&#49373;_&#54364;&#51456;&#49436;.html" TargetMode="External" Id="rId55"/><Relationship Type="http://schemas.openxmlformats.org/officeDocument/2006/relationships/hyperlink" Target="&#47588;&#45684;&#50620;BODY(&#51665;&#54665;&#45800;&#44228;-&#52392;&#48512;&#54260;&#45908;)\&#53080;&#53356;&#47532;&#53944;&#46020;&#49345;\19_%5bTCL%5d%20&#53080;&#53356;&#47532;&#53944;%20&#53440;&#49444;%20&#48143;%20&#50577;&#49373;\&#49688;&#54665;&#51648;&#52840;\%5bTCL%5d%20&#53080;&#53356;&#47532;&#53944;%20&#53440;&#49444;%20&#48143;%20&#50577;&#49373;_&#49688;&#54665;&#51648;&#52840;.html" TargetMode="External" Id="rId56"/><Relationship Type="http://schemas.openxmlformats.org/officeDocument/2006/relationships/hyperlink" Target="&#47588;&#45684;&#50620;BODY(&#51665;&#54665;&#45800;&#44228;-&#52392;&#48512;&#54260;&#45908;)\&#53080;&#53356;&#47532;&#53944;&#46020;&#49345;\19_%5bTCL%5d%20&#53080;&#53356;&#47532;&#53944;%20&#53440;&#49444;%20&#48143;%20&#50577;&#49373;\&#52404;&#53356;&#47532;&#49828;&#53944;\%5bTCL%5d%20&#53080;&#53356;&#47532;&#53944;%20&#53440;&#49444;%20&#48143;%20&#50577;&#49373;_&#52404;&#53356;&#47532;&#49828;&#53944;.html" TargetMode="External" Id="rId57"/><Relationship Type="http://schemas.openxmlformats.org/officeDocument/2006/relationships/hyperlink" Target="&#47588;&#45684;&#50620;BODY(&#51665;&#54665;&#45800;&#44228;-&#52392;&#48512;&#54260;&#45908;)\&#53080;&#53356;&#47532;&#53944;&#46020;&#49345;\20_%5b&#47112;&#51068;&#50857;&#51217;%5d%20&#44032;&#49828;%20&#50517;&#51217;\&#54364;&#51456;&#49436;\%5b&#47112;&#51068;&#50857;&#51217;%5d%20&#44032;&#49828;%20&#50517;&#51217;_&#54364;&#51456;&#49436;.html" TargetMode="External" Id="rId58"/><Relationship Type="http://schemas.openxmlformats.org/officeDocument/2006/relationships/hyperlink" Target="&#47588;&#45684;&#50620;BODY(&#51665;&#54665;&#45800;&#44228;-&#52392;&#48512;&#54260;&#45908;)\&#53080;&#53356;&#47532;&#53944;&#46020;&#49345;\20_%5b&#47112;&#51068;&#50857;&#51217;%5d%20&#44032;&#49828;%20&#50517;&#51217;\&#49688;&#54665;&#51648;&#52840;\%5b&#47112;&#51068;&#50857;&#51217;%5d%20&#44032;&#49828;%20&#50517;&#51217;_&#49688;&#54665;&#51648;&#52840;.html" TargetMode="External" Id="rId59"/><Relationship Type="http://schemas.openxmlformats.org/officeDocument/2006/relationships/hyperlink" Target="&#47588;&#45684;&#50620;BODY(&#51665;&#54665;&#45800;&#44228;-&#52392;&#48512;&#54260;&#45908;)\&#53080;&#53356;&#47532;&#53944;&#46020;&#49345;\20_%5b&#47112;&#51068;&#50857;&#51217;%5d%20&#44032;&#49828;%20&#50517;&#51217;\&#52404;&#53356;&#47532;&#49828;&#53944;\%5b&#47112;&#51068;&#50857;&#51217;%5d%20&#44032;&#49828;%20&#50517;&#51217;_&#52404;&#53356;&#47532;&#49828;&#53944;.html" TargetMode="External" Id="rId60"/><Relationship Type="http://schemas.openxmlformats.org/officeDocument/2006/relationships/hyperlink" Target="&#47588;&#45684;&#50620;BODY(&#51665;&#54665;&#45800;&#44228;-&#52392;&#48512;&#54260;&#45908;)\&#53080;&#53356;&#47532;&#53944;&#46020;&#49345;\21_%5b&#47112;&#51068;&#50857;&#51217;%5d%20&#53580;&#47476;&#48139;%20&#50857;&#51217;\&#54364;&#51456;&#49436;\%5b&#47112;&#51068;&#50857;&#51217;%5d%20&#53580;&#47476;&#48139;%20&#50857;&#51217;_&#54364;&#51456;&#49436;.html" TargetMode="External" Id="rId61"/><Relationship Type="http://schemas.openxmlformats.org/officeDocument/2006/relationships/hyperlink" Target="&#47588;&#45684;&#50620;BODY(&#51665;&#54665;&#45800;&#44228;-&#52392;&#48512;&#54260;&#45908;)\&#53080;&#53356;&#47532;&#53944;&#46020;&#49345;\21_%5b&#47112;&#51068;&#50857;&#51217;%5d%20&#53580;&#47476;&#48139;%20&#50857;&#51217;\&#49688;&#54665;&#51648;&#52840;\%5b&#47112;&#51068;&#50857;&#51217;%5d%20&#53580;&#47476;&#48139;%20&#50857;&#51217;_&#49688;&#54665;&#51648;&#52840;.html" TargetMode="External" Id="rId62"/><Relationship Type="http://schemas.openxmlformats.org/officeDocument/2006/relationships/hyperlink" Target="&#47588;&#45684;&#50620;BODY(&#51665;&#54665;&#45800;&#44228;-&#52392;&#48512;&#54260;&#45908;)\&#53080;&#53356;&#47532;&#53944;&#46020;&#49345;\21_%5b&#47112;&#51068;&#50857;&#51217;%5d%20&#53580;&#47476;&#48139;%20&#50857;&#51217;\&#52404;&#53356;&#47532;&#49828;&#53944;\%5b&#47112;&#51068;&#50857;&#51217;%5d%20&#53580;&#47476;&#48139;%20&#50857;&#51217;_&#52404;&#53356;&#47532;&#49828;&#53944;.html" TargetMode="External" Id="rId63"/><Relationship Type="http://schemas.openxmlformats.org/officeDocument/2006/relationships/hyperlink" Target="&#47588;&#45684;&#50620;BODY(&#51665;&#54665;&#45800;&#44228;-&#52392;&#48512;&#54260;&#45908;)\&#53080;&#53356;&#47532;&#53944;&#46020;&#49345;\22_%5b&#47112;&#51068;&#50672;&#47560;%5d%20&#47112;&#51068;&#50672;&#47560;%20or%20&#48128;&#47553;\&#54364;&#51456;&#49436;\%5b&#47112;&#51068;&#50672;&#47560;%5d%20&#47112;&#51068;&#50672;&#47560;%20or%20&#48128;&#47553;_&#54364;&#51456;&#49436;.html" TargetMode="External" Id="rId64"/><Relationship Type="http://schemas.openxmlformats.org/officeDocument/2006/relationships/hyperlink" Target="&#47588;&#45684;&#50620;BODY(&#51665;&#54665;&#45800;&#44228;-&#52392;&#48512;&#54260;&#45908;)\&#53080;&#53356;&#47532;&#53944;&#46020;&#49345;\22_%5b&#47112;&#51068;&#50672;&#47560;%5d%20&#47112;&#51068;&#50672;&#47560;%20or%20&#48128;&#47553;\&#49688;&#54665;&#51648;&#52840;\%5b&#47112;&#51068;&#50672;&#47560;%5d%20&#47112;&#51068;&#50672;&#47560;%20or%20&#48128;&#47553;_&#49688;&#54665;&#51648;&#52840;.html" TargetMode="External" Id="rId65"/><Relationship Type="http://schemas.openxmlformats.org/officeDocument/2006/relationships/hyperlink" Target="&#47588;&#45684;&#50620;BODY(&#51665;&#54665;&#45800;&#44228;-&#52392;&#48512;&#54260;&#45908;)\&#53080;&#53356;&#47532;&#53944;&#46020;&#49345;\22_%5b&#47112;&#51068;&#50672;&#47560;%5d%20&#47112;&#51068;&#50672;&#47560;%20or%20&#48128;&#47553;\&#52404;&#53356;&#47532;&#49828;&#53944;\%5b&#47112;&#51068;&#50672;&#47560;%5d%20&#47112;&#51068;&#50672;&#47560;%20or%20&#48128;&#47553;_&#52404;&#53356;&#47532;&#49828;&#53944;.html" TargetMode="External" Id="rId66"/><Relationship Type="http://schemas.openxmlformats.org/officeDocument/2006/relationships/hyperlink" Target="&#47588;&#45684;&#50620;BODY(&#51665;&#54665;&#45800;&#44228;-&#52392;&#48512;&#54260;&#45908;)\&#53080;&#53356;&#47532;&#53944;&#46020;&#49345;\23_&#54980;&#49549;&#44277;&#49324;%20&#51064;&#49688;&#51064;&#44228;\&#54364;&#51456;&#49436;\&#54980;&#49549;&#44277;&#49324;%20&#51064;&#49688;&#51064;&#44228;_&#54364;&#51456;&#49436;.html" TargetMode="External" Id="rId67"/><Relationship Type="http://schemas.openxmlformats.org/officeDocument/2006/relationships/hyperlink" Target="&#47588;&#45684;&#50620;BODY(&#51665;&#54665;&#45800;&#44228;-&#52392;&#48512;&#54260;&#45908;)\&#53080;&#53356;&#47532;&#53944;&#46020;&#49345;\23_&#54980;&#49549;&#44277;&#49324;%20&#51064;&#49688;&#51064;&#44228;\&#49688;&#54665;&#51648;&#52840;\&#54980;&#49549;&#44277;&#49324;%20&#51064;&#49688;&#51064;&#44228;_&#49688;&#54665;&#51648;&#52840;.html" TargetMode="External" Id="rId68"/><Relationship Type="http://schemas.openxmlformats.org/officeDocument/2006/relationships/hyperlink" Target="&#47588;&#45684;&#50620;BODY(&#51665;&#54665;&#45800;&#44228;-&#52392;&#48512;&#54260;&#45908;)\&#53080;&#53356;&#47532;&#53944;&#46020;&#49345;\23_&#54980;&#49549;&#44277;&#49324;%20&#51064;&#49688;&#51064;&#44228;\&#52404;&#53356;&#47532;&#49828;&#53944;\&#54980;&#49549;&#44277;&#49324;%20&#51064;&#49688;&#51064;&#44228;_&#52404;&#53356;&#47532;&#49828;&#53944;.html" TargetMode="External" Id="rId69"/></Relationships>
</file>

<file path=xl/worksheets/_rels/sheet6.xml.rels><Relationships xmlns="http://schemas.openxmlformats.org/package/2006/relationships"><Relationship Type="http://schemas.openxmlformats.org/officeDocument/2006/relationships/hyperlink" Target="&#47588;&#45684;&#50620;BODY(&#51665;&#54665;&#45800;&#44228;-&#52392;&#48512;&#54260;&#45908;)\&#44148;&#52629;\1_&#49444;&#44228;%20&#51201;&#51221;&#49457;%20&#44160;&#53664;\&#54364;&#51456;&#49436;\&#49444;&#44228;%20&#51201;&#51221;&#49457;%20&#44160;&#53664;_&#54364;&#51456;&#49436;.html" TargetMode="External" Id="rId1"/><Relationship Type="http://schemas.openxmlformats.org/officeDocument/2006/relationships/hyperlink" Target="&#47588;&#45684;&#50620;BODY(&#51665;&#54665;&#45800;&#44228;-&#52392;&#48512;&#54260;&#45908;)\&#44148;&#52629;\1_&#49444;&#44228;%20&#51201;&#51221;&#49457;%20&#44160;&#53664;\&#49688;&#54665;&#51648;&#52840;\&#49444;&#44228;%20&#51201;&#51221;&#49457;%20&#44160;&#53664;_&#49688;&#54665;&#51648;&#52840;.html" TargetMode="External" Id="rId2"/><Relationship Type="http://schemas.openxmlformats.org/officeDocument/2006/relationships/hyperlink" Target="&#47588;&#45684;&#50620;BODY(&#51665;&#54665;&#45800;&#44228;-&#52392;&#48512;&#54260;&#45908;)\&#44148;&#52629;\1_&#49444;&#44228;%20&#51201;&#51221;&#49457;%20&#44160;&#53664;\&#52404;&#53356;&#47532;&#49828;&#53944;\&#49444;&#44228;%20&#51201;&#51221;&#49457;%20&#44160;&#53664;_&#52404;&#53356;&#47532;&#49828;&#53944;.html" TargetMode="External" Id="rId3"/><Relationship Type="http://schemas.openxmlformats.org/officeDocument/2006/relationships/hyperlink" Target="&#47588;&#45684;&#50620;BODY(&#51665;&#54665;&#45800;&#44228;-&#52392;&#48512;&#54260;&#45908;)\&#44148;&#52629;\2_&#48156;&#51452;&#51204;&#47029;%20KOM\&#54364;&#51456;&#49436;\&#48156;&#51452;&#51204;&#47029;%20KOM_&#54364;&#51456;&#49436;.html" TargetMode="External" Id="rId4"/><Relationship Type="http://schemas.openxmlformats.org/officeDocument/2006/relationships/hyperlink" Target="&#47588;&#45684;&#50620;BODY(&#51665;&#54665;&#45800;&#44228;-&#52392;&#48512;&#54260;&#45908;)\&#44148;&#52629;\2_&#48156;&#51452;&#51204;&#47029;%20KOM\&#49688;&#54665;&#51648;&#52840;\&#48156;&#51452;&#51204;&#47029;%20KOM_&#49688;&#54665;&#51648;&#52840;.html" TargetMode="External" Id="rId5"/><Relationship Type="http://schemas.openxmlformats.org/officeDocument/2006/relationships/hyperlink" Target="&#47588;&#45684;&#50620;BODY(&#51665;&#54665;&#45800;&#44228;-&#52392;&#48512;&#54260;&#45908;)\&#44148;&#52629;\2_&#48156;&#51452;&#51204;&#47029;%20KOM\&#52404;&#53356;&#47532;&#49828;&#53944;\&#48156;&#51452;&#51204;&#47029;%20KOM_&#52404;&#53356;&#47532;&#49828;&#53944;.html" TargetMode="External" Id="rId6"/><Relationship Type="http://schemas.openxmlformats.org/officeDocument/2006/relationships/hyperlink" Target="&#47588;&#45684;&#50620;BODY(&#51665;&#54665;&#45800;&#44228;-&#52392;&#48512;&#54260;&#45908;)\&#44148;&#52629;\3_&#52265;&#44277;&#51204;%20&#44148;&#52629;%20&#51064;&#54728;&#44032;\&#54364;&#51456;&#49436;\&#52265;&#44277;&#51204;%20&#44148;&#52629;%20&#51064;&#54728;&#44032;_&#54364;&#51456;&#49436;.html" TargetMode="External" Id="rId7"/><Relationship Type="http://schemas.openxmlformats.org/officeDocument/2006/relationships/hyperlink" Target="&#47588;&#45684;&#50620;BODY(&#51665;&#54665;&#45800;&#44228;-&#52392;&#48512;&#54260;&#45908;)\&#44148;&#52629;\3_&#52265;&#44277;&#51204;%20&#44148;&#52629;%20&#51064;&#54728;&#44032;\&#49688;&#54665;&#51648;&#52840;\&#52265;&#44277;&#51204;%20&#44148;&#52629;%20&#51064;&#54728;&#44032;_&#49688;&#54665;&#51648;&#52840;.html" TargetMode="External" Id="rId8"/><Relationship Type="http://schemas.openxmlformats.org/officeDocument/2006/relationships/hyperlink" Target="&#47588;&#45684;&#50620;BODY(&#51665;&#54665;&#45800;&#44228;-&#52392;&#48512;&#54260;&#45908;)\&#44148;&#52629;\3_&#52265;&#44277;&#51204;%20&#44148;&#52629;%20&#51064;&#54728;&#44032;\&#52404;&#53356;&#47532;&#49828;&#53944;\&#52265;&#44277;&#51204;%20&#44148;&#52629;%20&#51064;&#54728;&#44032;_&#52404;&#53356;&#47532;&#49828;&#53944;.html" TargetMode="External" Id="rId9"/><Relationship Type="http://schemas.openxmlformats.org/officeDocument/2006/relationships/hyperlink" Target="&#47588;&#45684;&#50620;BODY(&#51665;&#54665;&#45800;&#44228;-&#52392;&#48512;&#54260;&#45908;)\&#44148;&#52629;\4_&#44148;&#52629;&#54728;&#44032;%20&#50836;&#52397;\&#54364;&#51456;&#49436;\&#44148;&#52629;&#54728;&#44032;%20&#50836;&#52397;_&#54364;&#51456;&#49436;.html" TargetMode="External" Id="rId10"/><Relationship Type="http://schemas.openxmlformats.org/officeDocument/2006/relationships/hyperlink" Target="&#47588;&#45684;&#50620;BODY(&#51665;&#54665;&#45800;&#44228;-&#52392;&#48512;&#54260;&#45908;)\&#44148;&#52629;\4_&#44148;&#52629;&#54728;&#44032;%20&#50836;&#52397;\&#49688;&#54665;&#51648;&#52840;\&#44148;&#52629;&#54728;&#44032;%20&#50836;&#52397;_&#49688;&#54665;&#51648;&#52840;.html" TargetMode="External" Id="rId11"/><Relationship Type="http://schemas.openxmlformats.org/officeDocument/2006/relationships/hyperlink" Target="&#47588;&#45684;&#50620;BODY(&#51665;&#54665;&#45800;&#44228;-&#52392;&#48512;&#54260;&#45908;)\&#44148;&#52629;\4_&#44148;&#52629;&#54728;&#44032;%20&#50836;&#52397;\&#52404;&#53356;&#47532;&#49828;&#53944;\&#44148;&#52629;&#54728;&#44032;%20&#50836;&#52397;_&#52404;&#53356;&#47532;&#49828;&#53944;.html" TargetMode="External" Id="rId12"/><Relationship Type="http://schemas.openxmlformats.org/officeDocument/2006/relationships/hyperlink" Target="&#47588;&#45684;&#50620;BODY(&#51665;&#54665;&#45800;&#44228;-&#52392;&#48512;&#54260;&#45908;)\&#44148;&#52629;\5_&#52265;&#44277;&#49888;&#44256;&#49436;%20&#51228;&#52636;\&#54364;&#51456;&#49436;\&#52265;&#44277;&#49888;&#44256;&#49436;%20&#51228;&#52636;_&#54364;&#51456;&#49436;.html" TargetMode="External" Id="rId13"/><Relationship Type="http://schemas.openxmlformats.org/officeDocument/2006/relationships/hyperlink" Target="&#47588;&#45684;&#50620;BODY(&#51665;&#54665;&#45800;&#44228;-&#52392;&#48512;&#54260;&#45908;)\&#44148;&#52629;\5_&#52265;&#44277;&#49888;&#44256;&#49436;%20&#51228;&#52636;\&#49688;&#54665;&#51648;&#52840;\&#52265;&#44277;&#49888;&#44256;&#49436;%20&#51228;&#52636;_&#49688;&#54665;&#51648;&#52840;.html" TargetMode="External" Id="rId14"/><Relationship Type="http://schemas.openxmlformats.org/officeDocument/2006/relationships/hyperlink" Target="&#47588;&#45684;&#50620;BODY(&#51665;&#54665;&#45800;&#44228;-&#52392;&#48512;&#54260;&#45908;)\&#44148;&#52629;\5_&#52265;&#44277;&#49888;&#44256;&#49436;%20&#51228;&#52636;\&#52404;&#53356;&#47532;&#49828;&#53944;\&#52265;&#44277;&#49888;&#44256;&#49436;%20&#51228;&#52636;_&#52404;&#53356;&#47532;&#49828;&#53944;.html" TargetMode="External" Id="rId15"/><Relationship Type="http://schemas.openxmlformats.org/officeDocument/2006/relationships/hyperlink" Target="&#47588;&#45684;&#50620;BODY(&#51665;&#54665;&#45800;&#44228;-&#52392;&#48512;&#54260;&#45908;)\&#44148;&#52629;\6_&#49548;&#48169;&#49884;&#49444;&#44277;&#49324;%20&#52265;&#44277;%20&#49888;&#44256;&#49436;%20&#51228;&#52636;\&#54364;&#51456;&#49436;\&#49548;&#48169;&#49884;&#49444;&#44277;&#49324;%20&#52265;&#44277;%20&#49888;&#44256;&#49436;%20&#51228;&#52636;_&#54364;&#51456;&#49436;.html" TargetMode="External" Id="rId16"/><Relationship Type="http://schemas.openxmlformats.org/officeDocument/2006/relationships/hyperlink" Target="&#47588;&#45684;&#50620;BODY(&#51665;&#54665;&#45800;&#44228;-&#52392;&#48512;&#54260;&#45908;)\&#44148;&#52629;\6_&#49548;&#48169;&#49884;&#49444;&#44277;&#49324;%20&#52265;&#44277;%20&#49888;&#44256;&#49436;%20&#51228;&#52636;\&#49688;&#54665;&#51648;&#52840;\&#49548;&#48169;&#49884;&#49444;&#44277;&#49324;%20&#52265;&#44277;%20&#49888;&#44256;&#49436;%20&#51228;&#52636;_&#49688;&#54665;&#51648;&#52840;.html" TargetMode="External" Id="rId17"/><Relationship Type="http://schemas.openxmlformats.org/officeDocument/2006/relationships/hyperlink" Target="&#47588;&#45684;&#50620;BODY(&#51665;&#54665;&#45800;&#44228;-&#52392;&#48512;&#54260;&#45908;)\&#44148;&#52629;\6_&#49548;&#48169;&#49884;&#49444;&#44277;&#49324;%20&#52265;&#44277;%20&#49888;&#44256;&#49436;%20&#51228;&#52636;\&#52404;&#53356;&#47532;&#49828;&#53944;\&#49548;&#48169;&#49884;&#49444;&#44277;&#49324;%20&#52265;&#44277;%20&#49888;&#44256;&#49436;%20&#51228;&#52636;_&#52404;&#53356;&#47532;&#49828;&#53944;.html" TargetMode="External" Id="rId18"/><Relationship Type="http://schemas.openxmlformats.org/officeDocument/2006/relationships/hyperlink" Target="&#47588;&#45684;&#50620;BODY(&#51665;&#54665;&#45800;&#44228;-&#52392;&#48512;&#54260;&#45908;)\&#44148;&#52629;\7_&#51221;&#48372;&#53685;&#49888;&#44277;&#49324;%20&#52265;&#44277;&#51204;%20&#49444;&#44228;&#46020;%20&#54869;&#51064;%20(&#49888;&#52397;&#49436;%20&#51228;&#52636;%20&#48143;%20&#44208;&#44284;%20&#51217;&#49688;)\&#54364;&#51456;&#49436;\&#51221;&#48372;&#53685;&#49888;&#44277;&#49324;%20&#52265;&#44277;&#51204;%20&#49444;&#44228;&#46020;%20&#54869;&#51064;%20(&#49888;&#52397;&#49436;%20&#51228;&#52636;%20&#48143;%20&#44208;&#44284;%20&#51217;&#49688;)_&#54364;&#51456;&#49436;.html" TargetMode="External" Id="rId19"/><Relationship Type="http://schemas.openxmlformats.org/officeDocument/2006/relationships/hyperlink" Target="&#47588;&#45684;&#50620;BODY(&#51665;&#54665;&#45800;&#44228;-&#52392;&#48512;&#54260;&#45908;)\&#44148;&#52629;\7_&#51221;&#48372;&#53685;&#49888;&#44277;&#49324;%20&#52265;&#44277;&#51204;%20&#49444;&#44228;&#46020;%20&#54869;&#51064;%20(&#49888;&#52397;&#49436;%20&#51228;&#52636;%20&#48143;%20&#44208;&#44284;%20&#51217;&#49688;)\&#49688;&#54665;&#51648;&#52840;\&#51221;&#48372;&#53685;&#49888;&#44277;&#49324;%20&#52265;&#44277;&#51204;%20&#49444;&#44228;&#46020;%20&#54869;&#51064;%20(&#49888;&#52397;&#49436;%20&#51228;&#52636;%20&#48143;%20&#44208;&#44284;%20&#51217;&#49688;)_&#49688;&#54665;&#51648;&#52840;.html" TargetMode="External" Id="rId20"/><Relationship Type="http://schemas.openxmlformats.org/officeDocument/2006/relationships/hyperlink" Target="&#47588;&#45684;&#50620;BODY(&#51665;&#54665;&#45800;&#44228;-&#52392;&#48512;&#54260;&#45908;)\&#44148;&#52629;\7_&#51221;&#48372;&#53685;&#49888;&#44277;&#49324;%20&#52265;&#44277;&#51204;%20&#49444;&#44228;&#46020;%20&#54869;&#51064;%20(&#49888;&#52397;&#49436;%20&#51228;&#52636;%20&#48143;%20&#44208;&#44284;%20&#51217;&#49688;)\&#52404;&#53356;&#47532;&#49828;&#53944;\&#51221;&#48372;&#53685;&#49888;&#44277;&#49324;%20&#52265;&#44277;&#51204;%20&#49444;&#44228;&#46020;%20&#54869;&#51064;%20(&#49888;&#52397;&#49436;%20&#51228;&#52636;%20&#48143;%20&#44208;&#44284;%20&#51217;&#49688;)_&#52404;&#53356;&#47532;&#49828;&#53944;.html" TargetMode="External" Id="rId21"/><Relationship Type="http://schemas.openxmlformats.org/officeDocument/2006/relationships/hyperlink" Target="&#47588;&#45684;&#50620;BODY(&#51665;&#54665;&#45800;&#44228;-&#52392;&#48512;&#54260;&#45908;)\&#44148;&#52629;\8_&#49440;&#54665;&#44277;&#51333;%20&#51064;&#49688;&#49324;&#54637;%20&#54869;&#51064;\&#54364;&#51456;&#49436;\&#49440;&#54665;&#44277;&#51333;%20&#51064;&#49688;&#49324;&#54637;%20&#54869;&#51064;_&#54364;&#51456;&#49436;.html" TargetMode="External" Id="rId22"/><Relationship Type="http://schemas.openxmlformats.org/officeDocument/2006/relationships/hyperlink" Target="&#47588;&#45684;&#50620;BODY(&#51665;&#54665;&#45800;&#44228;-&#52392;&#48512;&#54260;&#45908;)\&#44148;&#52629;\8_&#49440;&#54665;&#44277;&#51333;%20&#51064;&#49688;&#49324;&#54637;%20&#54869;&#51064;\&#49688;&#54665;&#51648;&#52840;\&#49440;&#54665;&#44277;&#51333;%20&#51064;&#49688;&#49324;&#54637;%20&#54869;&#51064;_&#49688;&#54665;&#51648;&#52840;.html" TargetMode="External" Id="rId23"/><Relationship Type="http://schemas.openxmlformats.org/officeDocument/2006/relationships/hyperlink" Target="&#47588;&#45684;&#50620;BODY(&#51665;&#54665;&#45800;&#44228;-&#52392;&#48512;&#54260;&#45908;)\&#44148;&#52629;\8_&#49440;&#54665;&#44277;&#51333;%20&#51064;&#49688;&#49324;&#54637;%20&#54869;&#51064;\&#52404;&#53356;&#47532;&#49828;&#53944;\&#49440;&#54665;&#44277;&#51333;%20&#51064;&#49688;&#49324;&#54637;%20&#54869;&#51064;_&#52404;&#53356;&#47532;&#49828;&#53944;.html" TargetMode="External" Id="rId24"/><Relationship Type="http://schemas.openxmlformats.org/officeDocument/2006/relationships/hyperlink" Target="&#47588;&#45684;&#50620;BODY(&#51665;&#54665;&#45800;&#44228;-&#52392;&#48512;&#54260;&#45908;)\&#44148;&#52629;\9_&#51064;&#53552;&#54168;&#51060;&#49828;%20&#49324;&#54637;%20&#44160;&#53664;%20&#48143;%20&#51648;&#50896;\&#54364;&#51456;&#49436;\&#51064;&#53552;&#54168;&#51060;&#49828;%20&#49324;&#54637;%20&#44160;&#53664;%20&#48143;%20&#51648;&#50896;_&#54364;&#51456;&#49436;.html" TargetMode="External" Id="rId25"/><Relationship Type="http://schemas.openxmlformats.org/officeDocument/2006/relationships/hyperlink" Target="&#47588;&#45684;&#50620;BODY(&#51665;&#54665;&#45800;&#44228;-&#52392;&#48512;&#54260;&#45908;)\&#44148;&#52629;\9_&#51064;&#53552;&#54168;&#51060;&#49828;%20&#49324;&#54637;%20&#44160;&#53664;%20&#48143;%20&#51648;&#50896;\&#49688;&#54665;&#51648;&#52840;\&#51064;&#53552;&#54168;&#51060;&#49828;%20&#49324;&#54637;%20&#44160;&#53664;%20&#48143;%20&#51648;&#50896;_&#49688;&#54665;&#51648;&#52840;.html" TargetMode="External" Id="rId26"/><Relationship Type="http://schemas.openxmlformats.org/officeDocument/2006/relationships/hyperlink" Target="&#47588;&#45684;&#50620;BODY(&#51665;&#54665;&#45800;&#44228;-&#52392;&#48512;&#54260;&#45908;)\&#44148;&#52629;\9_&#51064;&#53552;&#54168;&#51060;&#49828;%20&#49324;&#54637;%20&#44160;&#53664;%20&#48143;%20&#51648;&#50896;\&#52404;&#53356;&#47532;&#49828;&#53944;\&#51064;&#53552;&#54168;&#51060;&#49828;%20&#49324;&#54637;%20&#44160;&#53664;%20&#48143;%20&#51648;&#50896;_&#52404;&#53356;&#47532;&#49828;&#53944;.html" TargetMode="External" Id="rId27"/><Relationship Type="http://schemas.openxmlformats.org/officeDocument/2006/relationships/hyperlink" Target="&#47588;&#45684;&#50620;BODY(&#51665;&#54665;&#45800;&#44228;-&#52392;&#48512;&#54260;&#45908;)\&#44148;&#52629;\10_&#54408;&#51656;_&#50504;&#51204;%20LL%20&#44277;&#50976;\&#54364;&#51456;&#49436;\&#54408;&#51656;_&#50504;&#51204;%20LL%20&#44277;&#50976;_&#54364;&#51456;&#49436;.html" TargetMode="External" Id="rId28"/><Relationship Type="http://schemas.openxmlformats.org/officeDocument/2006/relationships/hyperlink" Target="&#47588;&#45684;&#50620;BODY(&#51665;&#54665;&#45800;&#44228;-&#52392;&#48512;&#54260;&#45908;)\&#44148;&#52629;\10_&#54408;&#51656;_&#50504;&#51204;%20LL%20&#44277;&#50976;\&#49688;&#54665;&#51648;&#52840;\&#54408;&#51656;_&#50504;&#51204;%20LL%20&#44277;&#50976;_&#49688;&#54665;&#51648;&#52840;.html" TargetMode="External" Id="rId29"/><Relationship Type="http://schemas.openxmlformats.org/officeDocument/2006/relationships/hyperlink" Target="&#47588;&#45684;&#50620;BODY(&#51665;&#54665;&#45800;&#44228;-&#52392;&#48512;&#54260;&#45908;)\&#44148;&#52629;\10_&#54408;&#51656;_&#50504;&#51204;%20LL%20&#44277;&#50976;\&#52404;&#53356;&#47532;&#49828;&#53944;\&#54408;&#51656;_&#50504;&#51204;%20LL%20&#44277;&#50976;_&#52404;&#53356;&#47532;&#49828;&#53944;.html" TargetMode="External" Id="rId30"/><Relationship Type="http://schemas.openxmlformats.org/officeDocument/2006/relationships/hyperlink" Target="&#47588;&#45684;&#50620;BODY(&#51665;&#54665;&#45800;&#44228;-&#52392;&#48512;&#54260;&#45908;)\&#44148;&#52629;\11_&#51088;&#51116;&#44277;&#44553;&#50896;&#49849;&#51064;%20&#48143;%20&#51088;&#51116;&#48156;&#51452;\&#54364;&#51456;&#49436;\&#51088;&#51116;&#44277;&#44553;&#50896;&#49849;&#51064;%20&#48143;%20&#51088;&#51116;&#48156;&#51452;_&#54364;&#51456;&#49436;.html" TargetMode="External" Id="rId31"/><Relationship Type="http://schemas.openxmlformats.org/officeDocument/2006/relationships/hyperlink" Target="&#47588;&#45684;&#50620;BODY(&#51665;&#54665;&#45800;&#44228;-&#52392;&#48512;&#54260;&#45908;)\&#44148;&#52629;\11_&#51088;&#51116;&#44277;&#44553;&#50896;&#49849;&#51064;%20&#48143;%20&#51088;&#51116;&#48156;&#51452;\&#49688;&#54665;&#51648;&#52840;\&#51088;&#51116;&#44277;&#44553;&#50896;&#49849;&#51064;%20&#48143;%20&#51088;&#51116;&#48156;&#51452;_&#49688;&#54665;&#51648;&#52840;.html" TargetMode="External" Id="rId32"/><Relationship Type="http://schemas.openxmlformats.org/officeDocument/2006/relationships/hyperlink" Target="&#47588;&#45684;&#50620;BODY(&#51665;&#54665;&#45800;&#44228;-&#52392;&#48512;&#54260;&#45908;)\&#44148;&#52629;\11_&#51088;&#51116;&#44277;&#44553;&#50896;&#49849;&#51064;%20&#48143;%20&#51088;&#51116;&#48156;&#51452;\&#52404;&#53356;&#47532;&#49828;&#53944;\&#51088;&#51116;&#44277;&#44553;&#50896;&#49849;&#51064;%20&#48143;%20&#51088;&#51116;&#48156;&#51452;_&#52404;&#53356;&#47532;&#49828;&#53944;.html" TargetMode="External" Id="rId33"/><Relationship Type="http://schemas.openxmlformats.org/officeDocument/2006/relationships/hyperlink" Target="&#47588;&#45684;&#50620;BODY(&#51665;&#54665;&#45800;&#44228;-&#52392;&#48512;&#54260;&#45908;)\&#44148;&#52629;\12_&#52265;&#49688;&#51204;%20Big%20Room%20&#54924;&#51032;\&#54364;&#51456;&#49436;\&#52265;&#49688;&#51204;%20Big%20Room%20&#54924;&#51032;_&#54364;&#51456;&#49436;.html" TargetMode="External" Id="rId34"/><Relationship Type="http://schemas.openxmlformats.org/officeDocument/2006/relationships/hyperlink" Target="&#47588;&#45684;&#50620;BODY(&#51665;&#54665;&#45800;&#44228;-&#52392;&#48512;&#54260;&#45908;)\&#44148;&#52629;\12_&#52265;&#49688;&#51204;%20Big%20Room%20&#54924;&#51032;\&#49688;&#54665;&#51648;&#52840;\&#52265;&#49688;&#51204;%20Big%20Room%20&#54924;&#51032;_&#49688;&#54665;&#51648;&#52840;.html" TargetMode="External" Id="rId35"/><Relationship Type="http://schemas.openxmlformats.org/officeDocument/2006/relationships/hyperlink" Target="&#47588;&#45684;&#50620;BODY(&#51665;&#54665;&#45800;&#44228;-&#52392;&#48512;&#54260;&#45908;)\&#44148;&#52629;\12_&#52265;&#49688;&#51204;%20Big%20Room%20&#54924;&#51032;\&#52404;&#53356;&#47532;&#49828;&#53944;\&#52265;&#49688;&#51204;%20Big%20Room%20&#54924;&#51032;_&#52404;&#53356;&#47532;&#49828;&#53944;.html" TargetMode="External" Id="rId36"/><Relationship Type="http://schemas.openxmlformats.org/officeDocument/2006/relationships/hyperlink" Target="&#47588;&#45684;&#50620;BODY(&#51665;&#54665;&#45800;&#44228;-&#52392;&#48512;&#54260;&#45908;)\&#44148;&#52629;\13_&#49884;&#44277;&#44228;&#54925;%20&#49688;&#47549;_&#49849;&#51064;\&#54364;&#51456;&#49436;\&#49884;&#44277;&#44228;&#54925;%20&#49688;&#47549;_&#49849;&#51064;_&#54364;&#51456;&#49436;.html" TargetMode="External" Id="rId37"/><Relationship Type="http://schemas.openxmlformats.org/officeDocument/2006/relationships/hyperlink" Target="&#47588;&#45684;&#50620;BODY(&#51665;&#54665;&#45800;&#44228;-&#52392;&#48512;&#54260;&#45908;)\&#44148;&#52629;\13_&#49884;&#44277;&#44228;&#54925;%20&#49688;&#47549;_&#49849;&#51064;\&#49688;&#54665;&#51648;&#52840;\&#49884;&#44277;&#44228;&#54925;%20&#49688;&#47549;_&#49849;&#51064;_&#49688;&#54665;&#51648;&#52840;.html" TargetMode="External" Id="rId38"/><Relationship Type="http://schemas.openxmlformats.org/officeDocument/2006/relationships/hyperlink" Target="&#47588;&#45684;&#50620;BODY(&#51665;&#54665;&#45800;&#44228;-&#52392;&#48512;&#54260;&#45908;)\&#44148;&#52629;\13_&#49884;&#44277;&#44228;&#54925;%20&#49688;&#47549;_&#49849;&#51064;\&#52404;&#53356;&#47532;&#49828;&#53944;\&#49884;&#44277;&#44228;&#54925;%20&#49688;&#47549;_&#49849;&#51064;_&#52404;&#53356;&#47532;&#49828;&#53944;.html" TargetMode="External" Id="rId39"/><Relationship Type="http://schemas.openxmlformats.org/officeDocument/2006/relationships/hyperlink" Target="&#47588;&#45684;&#50620;BODY(&#51665;&#54665;&#45800;&#44228;-&#52392;&#48512;&#54260;&#45908;)\&#44148;&#52629;\14_&#52769;&#47049;,%20&#51088;&#51116;_&#51109;&#48708;%20&#48152;&#51077;,%20&#50504;&#51204;&#44368;&#50977;\&#54364;&#51456;&#49436;\&#52769;&#47049;,%20&#51088;&#51116;_&#51109;&#48708;%20&#48152;&#51077;,%20&#50504;&#51204;&#44368;&#50977;_&#54364;&#51456;&#49436;.html" TargetMode="External" Id="rId40"/><Relationship Type="http://schemas.openxmlformats.org/officeDocument/2006/relationships/hyperlink" Target="&#47588;&#45684;&#50620;BODY(&#51665;&#54665;&#45800;&#44228;-&#52392;&#48512;&#54260;&#45908;)\&#44148;&#52629;\14_&#52769;&#47049;,%20&#51088;&#51116;_&#51109;&#48708;%20&#48152;&#51077;,%20&#50504;&#51204;&#44368;&#50977;\&#49688;&#54665;&#51648;&#52840;\&#52769;&#47049;,%20&#51088;&#51116;_&#51109;&#48708;%20&#48152;&#51077;,%20&#50504;&#51204;&#44368;&#50977;_&#49688;&#54665;&#51648;&#52840;.html" TargetMode="External" Id="rId41"/><Relationship Type="http://schemas.openxmlformats.org/officeDocument/2006/relationships/hyperlink" Target="&#47588;&#45684;&#50620;BODY(&#51665;&#54665;&#45800;&#44228;-&#52392;&#48512;&#54260;&#45908;)\&#44148;&#52629;\14_&#52769;&#47049;,%20&#51088;&#51116;_&#51109;&#48708;%20&#48152;&#51077;,%20&#50504;&#51204;&#44368;&#50977;\&#52404;&#53356;&#47532;&#49828;&#53944;\&#52769;&#47049;,%20&#51088;&#51116;_&#51109;&#48708;%20&#48152;&#51077;,%20&#50504;&#51204;&#44368;&#50977;_&#52404;&#53356;&#47532;&#49828;&#53944;.html" TargetMode="External" Id="rId42"/><Relationship Type="http://schemas.openxmlformats.org/officeDocument/2006/relationships/hyperlink" Target="&#47588;&#45684;&#50620;BODY(&#51665;&#54665;&#45800;&#44228;-&#52392;&#48512;&#54260;&#45908;)\&#44148;&#52629;\15_&#51088;&#51116;%20&#44160;&#49688;\&#54364;&#51456;&#49436;\&#51088;&#51116;%20&#44160;&#49688;_&#54364;&#51456;&#49436;.html" TargetMode="External" Id="rId43"/><Relationship Type="http://schemas.openxmlformats.org/officeDocument/2006/relationships/hyperlink" Target="&#47588;&#45684;&#50620;BODY(&#51665;&#54665;&#45800;&#44228;-&#52392;&#48512;&#54260;&#45908;)\&#44148;&#52629;\15_&#51088;&#51116;%20&#44160;&#49688;\&#49688;&#54665;&#51648;&#52840;\&#51088;&#51116;%20&#44160;&#49688;_&#49688;&#54665;&#51648;&#52840;.html" TargetMode="External" Id="rId44"/><Relationship Type="http://schemas.openxmlformats.org/officeDocument/2006/relationships/hyperlink" Target="&#47588;&#45684;&#50620;BODY(&#51665;&#54665;&#45800;&#44228;-&#52392;&#48512;&#54260;&#45908;)\&#44148;&#52629;\15_&#51088;&#51116;%20&#44160;&#49688;\&#52404;&#53356;&#47532;&#49828;&#53944;\&#51088;&#51116;%20&#44160;&#49688;_&#52404;&#53356;&#47532;&#49828;&#53944;.html" TargetMode="External" Id="rId45"/><Relationship Type="http://schemas.openxmlformats.org/officeDocument/2006/relationships/hyperlink" Target="&#47588;&#45684;&#50620;BODY(&#51665;&#54665;&#45800;&#44228;-&#52392;&#48512;&#54260;&#45908;)\&#44148;&#52629;\16_&#53552;&#54028;&#44592;_&#51648;&#48152;%20&#51221;&#47532;\&#54364;&#51456;&#49436;\&#53552;&#54028;&#44592;_&#51648;&#48152;%20&#51221;&#47532;_&#54364;&#51456;&#49436;.html" TargetMode="External" Id="rId46"/><Relationship Type="http://schemas.openxmlformats.org/officeDocument/2006/relationships/hyperlink" Target="&#47588;&#45684;&#50620;BODY(&#51665;&#54665;&#45800;&#44228;-&#52392;&#48512;&#54260;&#45908;)\&#44148;&#52629;\16_&#53552;&#54028;&#44592;_&#51648;&#48152;%20&#51221;&#47532;\&#49688;&#54665;&#51648;&#52840;\&#53552;&#54028;&#44592;_&#51648;&#48152;%20&#51221;&#47532;_&#49688;&#54665;&#51648;&#52840;.html" TargetMode="External" Id="rId47"/><Relationship Type="http://schemas.openxmlformats.org/officeDocument/2006/relationships/hyperlink" Target="&#47588;&#45684;&#50620;BODY(&#51665;&#54665;&#45800;&#44228;-&#52392;&#48512;&#54260;&#45908;)\&#44148;&#52629;\16_&#53552;&#54028;&#44592;_&#51648;&#48152;%20&#51221;&#47532;\&#52404;&#53356;&#47532;&#49828;&#53944;\&#53552;&#54028;&#44592;_&#51648;&#48152;%20&#51221;&#47532;_&#52404;&#53356;&#47532;&#49828;&#53944;.html" TargetMode="External" Id="rId48"/><Relationship Type="http://schemas.openxmlformats.org/officeDocument/2006/relationships/hyperlink" Target="&#47588;&#45684;&#50620;BODY(&#51665;&#54665;&#45800;&#44228;-&#52392;&#48512;&#54260;&#45908;)\&#44148;&#52629;\17_&#48148;&#45797;(&#48260;&#47548;)%20&#53080;&#53356;&#47532;&#53944;%20&#53440;&#49444;\&#54364;&#51456;&#49436;\&#48148;&#45797;(&#48260;&#47548;)%20&#53080;&#53356;&#47532;&#53944;%20&#53440;&#49444;_&#54364;&#51456;&#49436;.html" TargetMode="External" Id="rId49"/><Relationship Type="http://schemas.openxmlformats.org/officeDocument/2006/relationships/hyperlink" Target="&#47588;&#45684;&#50620;BODY(&#51665;&#54665;&#45800;&#44228;-&#52392;&#48512;&#54260;&#45908;)\&#44148;&#52629;\17_&#48148;&#45797;(&#48260;&#47548;)%20&#53080;&#53356;&#47532;&#53944;%20&#53440;&#49444;\&#49688;&#54665;&#51648;&#52840;\&#48148;&#45797;(&#48260;&#47548;)%20&#53080;&#53356;&#47532;&#53944;%20&#53440;&#49444;_&#49688;&#54665;&#51648;&#52840;.html" TargetMode="External" Id="rId50"/><Relationship Type="http://schemas.openxmlformats.org/officeDocument/2006/relationships/hyperlink" Target="&#47588;&#45684;&#50620;BODY(&#51665;&#54665;&#45800;&#44228;-&#52392;&#48512;&#54260;&#45908;)\&#44148;&#52629;\17_&#48148;&#45797;(&#48260;&#47548;)%20&#53080;&#53356;&#47532;&#53944;%20&#53440;&#49444;\&#52404;&#53356;&#47532;&#49828;&#53944;\&#48148;&#45797;(&#48260;&#47548;)%20&#53080;&#53356;&#47532;&#53944;%20&#53440;&#49444;_&#52404;&#53356;&#47532;&#49828;&#53944;.html" TargetMode="External" Id="rId51"/><Relationship Type="http://schemas.openxmlformats.org/officeDocument/2006/relationships/hyperlink" Target="&#47588;&#45684;&#50620;BODY(&#51665;&#54665;&#45800;&#44228;-&#52392;&#48512;&#54260;&#45908;)\&#44148;&#52629;\18_&#51064;&#53552;&#54168;&#51060;&#49828;%20&#54924;&#51032;(&#47588;&#51452;)\&#54364;&#51456;&#49436;\&#51064;&#53552;&#54168;&#51060;&#49828;%20&#54924;&#51032;(&#47588;&#51452;)_&#54364;&#51456;&#49436;.html" TargetMode="External" Id="rId52"/><Relationship Type="http://schemas.openxmlformats.org/officeDocument/2006/relationships/hyperlink" Target="&#47588;&#45684;&#50620;BODY(&#51665;&#54665;&#45800;&#44228;-&#52392;&#48512;&#54260;&#45908;)\&#44148;&#52629;\18_&#51064;&#53552;&#54168;&#51060;&#49828;%20&#54924;&#51032;(&#47588;&#51452;)\&#49688;&#54665;&#51648;&#52840;\&#51064;&#53552;&#54168;&#51060;&#49828;%20&#54924;&#51032;(&#47588;&#51452;)_&#49688;&#54665;&#51648;&#52840;.html" TargetMode="External" Id="rId53"/><Relationship Type="http://schemas.openxmlformats.org/officeDocument/2006/relationships/hyperlink" Target="&#47588;&#45684;&#50620;BODY(&#51665;&#54665;&#45800;&#44228;-&#52392;&#48512;&#54260;&#45908;)\&#44148;&#52629;\18_&#51064;&#53552;&#54168;&#51060;&#49828;%20&#54924;&#51032;(&#47588;&#51452;)\&#52404;&#53356;&#47532;&#49828;&#53944;\&#51064;&#53552;&#54168;&#51060;&#49828;%20&#54924;&#51032;(&#47588;&#51452;)_&#52404;&#53356;&#47532;&#49828;&#53944;.html" TargetMode="External" Id="rId54"/><Relationship Type="http://schemas.openxmlformats.org/officeDocument/2006/relationships/hyperlink" Target="&#47588;&#45684;&#50620;BODY(&#51665;&#54665;&#45800;&#44228;-&#52392;&#48512;&#54260;&#45908;)\&#44148;&#52629;\19_&#51064;&#53552;&#54168;&#51060;&#49828;%20&#44033;%20&#44277;&#51333;&#48324;%20Issue%20(&#44592;&#44228;,%20&#51204;&#44592;,%20&#53685;&#49888;&#48516;&#50556;)\&#54364;&#51456;&#49436;\&#51064;&#53552;&#54168;&#51060;&#49828;%20&#44033;%20&#44277;&#51333;&#48324;%20Issue%20(&#44592;&#44228;,%20&#51204;&#44592;,%20&#53685;&#49888;&#48516;&#50556;)_&#54364;&#51456;&#49436;.html" TargetMode="External" Id="rId55"/><Relationship Type="http://schemas.openxmlformats.org/officeDocument/2006/relationships/hyperlink" Target="&#47588;&#45684;&#50620;BODY(&#51665;&#54665;&#45800;&#44228;-&#52392;&#48512;&#54260;&#45908;)\&#44148;&#52629;\19_&#51064;&#53552;&#54168;&#51060;&#49828;%20&#44033;%20&#44277;&#51333;&#48324;%20Issue%20(&#44592;&#44228;,%20&#51204;&#44592;,%20&#53685;&#49888;&#48516;&#50556;)\&#49688;&#54665;&#51648;&#52840;\&#51064;&#53552;&#54168;&#51060;&#49828;%20&#44033;%20&#44277;&#51333;&#48324;%20Issue%20(&#44592;&#44228;,%20&#51204;&#44592;,%20&#53685;&#49888;&#48516;&#50556;)_&#49688;&#54665;&#51648;&#52840;.html" TargetMode="External" Id="rId56"/><Relationship Type="http://schemas.openxmlformats.org/officeDocument/2006/relationships/hyperlink" Target="&#47588;&#45684;&#50620;BODY(&#51665;&#54665;&#45800;&#44228;-&#52392;&#48512;&#54260;&#45908;)\&#44148;&#52629;\19_&#51064;&#53552;&#54168;&#51060;&#49828;%20&#44033;%20&#44277;&#51333;&#48324;%20Issue%20(&#44592;&#44228;,%20&#51204;&#44592;,%20&#53685;&#49888;&#48516;&#50556;)\&#52404;&#53356;&#47532;&#49828;&#53944;\&#51064;&#53552;&#54168;&#51060;&#49828;%20&#44033;%20&#44277;&#51333;&#48324;%20Issue%20(&#44592;&#44228;,%20&#51204;&#44592;,%20&#53685;&#49888;&#48516;&#50556;)_&#52404;&#53356;&#47532;&#49828;&#53944;.html" TargetMode="External" Id="rId57"/><Relationship Type="http://schemas.openxmlformats.org/officeDocument/2006/relationships/hyperlink" Target="&#47588;&#45684;&#50620;BODY(&#51665;&#54665;&#45800;&#44228;-&#52392;&#48512;&#54260;&#45908;)\&#44148;&#52629;\20_&#51064;&#53552;&#54168;&#51060;&#49828;%20&#44033;%20&#44277;&#51333;&#48324;%20Issue%20(&#53664;&#47785;&#48516;&#50556;)\&#54364;&#51456;&#49436;\&#51064;&#53552;&#54168;&#51060;&#49828;%20&#44033;%20&#44277;&#51333;&#48324;%20Issue%20(&#53664;&#47785;&#48516;&#50556;)_&#54364;&#51456;&#49436;.html" TargetMode="External" Id="rId58"/><Relationship Type="http://schemas.openxmlformats.org/officeDocument/2006/relationships/hyperlink" Target="&#47588;&#45684;&#50620;BODY(&#51665;&#54665;&#45800;&#44228;-&#52392;&#48512;&#54260;&#45908;)\&#44148;&#52629;\20_&#51064;&#53552;&#54168;&#51060;&#49828;%20&#44033;%20&#44277;&#51333;&#48324;%20Issue%20(&#53664;&#47785;&#48516;&#50556;)\&#49688;&#54665;&#51648;&#52840;\&#51064;&#53552;&#54168;&#51060;&#49828;%20&#44033;%20&#44277;&#51333;&#48324;%20Issue%20(&#53664;&#47785;&#48516;&#50556;)_&#49688;&#54665;&#51648;&#52840;.html" TargetMode="External" Id="rId59"/><Relationship Type="http://schemas.openxmlformats.org/officeDocument/2006/relationships/hyperlink" Target="&#47588;&#45684;&#50620;BODY(&#51665;&#54665;&#45800;&#44228;-&#52392;&#48512;&#54260;&#45908;)\&#44148;&#52629;\20_&#51064;&#53552;&#54168;&#51060;&#49828;%20&#44033;%20&#44277;&#51333;&#48324;%20Issue%20(&#53664;&#47785;&#48516;&#50556;)\&#52404;&#53356;&#47532;&#49828;&#53944;\&#51064;&#53552;&#54168;&#51060;&#49828;%20&#44033;%20&#44277;&#51333;&#48324;%20Issue%20(&#53664;&#47785;&#48516;&#50556;)_&#52404;&#53356;&#47532;&#49828;&#53944;.html" TargetMode="External" Id="rId60"/><Relationship Type="http://schemas.openxmlformats.org/officeDocument/2006/relationships/hyperlink" Target="&#47588;&#45684;&#50620;BODY(&#51665;&#54665;&#45800;&#44228;-&#52392;&#48512;&#54260;&#45908;)\&#44148;&#52629;\21_&#44592;&#52488;~&#49345;&#48512;&#49836;&#46972;&#48652;%20&#44396;&#51312;&#47932;%20&#49884;&#44277;\&#54364;&#51456;&#49436;\&#44592;&#52488;~&#49345;&#48512;&#49836;&#46972;&#48652;%20&#44396;&#51312;&#47932;%20&#49884;&#44277;_&#54364;&#51456;&#49436;.html" TargetMode="External" Id="rId61"/><Relationship Type="http://schemas.openxmlformats.org/officeDocument/2006/relationships/hyperlink" Target="&#47588;&#45684;&#50620;BODY(&#51665;&#54665;&#45800;&#44228;-&#52392;&#48512;&#54260;&#45908;)\&#44148;&#52629;\21_&#44592;&#52488;~&#49345;&#48512;&#49836;&#46972;&#48652;%20&#44396;&#51312;&#47932;%20&#49884;&#44277;\&#49688;&#54665;&#51648;&#52840;\&#44592;&#52488;~&#49345;&#48512;&#49836;&#46972;&#48652;%20&#44396;&#51312;&#47932;%20&#49884;&#44277;_&#49688;&#54665;&#51648;&#52840;.html" TargetMode="External" Id="rId62"/><Relationship Type="http://schemas.openxmlformats.org/officeDocument/2006/relationships/hyperlink" Target="&#47588;&#45684;&#50620;BODY(&#51665;&#54665;&#45800;&#44228;-&#52392;&#48512;&#54260;&#45908;)\&#44148;&#52629;\21_&#44592;&#52488;~&#49345;&#48512;&#49836;&#46972;&#48652;%20&#44396;&#51312;&#47932;%20&#49884;&#44277;\&#52404;&#53356;&#47532;&#49828;&#53944;\&#44592;&#52488;~&#49345;&#48512;&#49836;&#46972;&#48652;%20&#44396;&#51312;&#47932;%20&#49884;&#44277;_&#52404;&#53356;&#47532;&#49828;&#53944;.html" TargetMode="External" Id="rId63"/><Relationship Type="http://schemas.openxmlformats.org/officeDocument/2006/relationships/hyperlink" Target="&#47588;&#45684;&#50620;BODY(&#51665;&#54665;&#45800;&#44228;-&#52392;&#48512;&#54260;&#45908;)\&#44148;&#52629;\22_&#52384;&#44540;%20&#44032;&#44277;\&#54364;&#51456;&#49436;\&#52384;&#44540;%20&#44032;&#44277;_&#54364;&#51456;&#49436;.html" TargetMode="External" Id="rId64"/><Relationship Type="http://schemas.openxmlformats.org/officeDocument/2006/relationships/hyperlink" Target="&#47588;&#45684;&#50620;BODY(&#51665;&#54665;&#45800;&#44228;-&#52392;&#48512;&#54260;&#45908;)\&#44148;&#52629;\22_&#52384;&#44540;%20&#44032;&#44277;\&#49688;&#54665;&#51648;&#52840;\&#52384;&#44540;%20&#44032;&#44277;_&#49688;&#54665;&#51648;&#52840;.html" TargetMode="External" Id="rId65"/><Relationship Type="http://schemas.openxmlformats.org/officeDocument/2006/relationships/hyperlink" Target="&#47588;&#45684;&#50620;BODY(&#51665;&#54665;&#45800;&#44228;-&#52392;&#48512;&#54260;&#45908;)\&#44148;&#52629;\22_&#52384;&#44540;%20&#44032;&#44277;\&#52404;&#53356;&#47532;&#49828;&#53944;\&#52384;&#44540;%20&#44032;&#44277;_&#52404;&#53356;&#47532;&#49828;&#53944;.html" TargetMode="External" Id="rId66"/><Relationship Type="http://schemas.openxmlformats.org/officeDocument/2006/relationships/hyperlink" Target="&#47588;&#45684;&#50620;BODY(&#51665;&#54665;&#45800;&#44228;-&#52392;&#48512;&#54260;&#45908;)\&#44148;&#52629;\23_&#51089;&#50629;&#48156;&#54032;,%20&#48708;&#44228;%20&#48143;%20&#46041;&#48148;&#47532;%20&#49444;&#52824;\&#54364;&#51456;&#49436;\&#51089;&#50629;&#48156;&#54032;,%20&#48708;&#44228;%20&#48143;%20&#46041;&#48148;&#47532;%20&#49444;&#52824;_&#54364;&#51456;&#49436;.html" TargetMode="External" Id="rId67"/><Relationship Type="http://schemas.openxmlformats.org/officeDocument/2006/relationships/hyperlink" Target="&#47588;&#45684;&#50620;BODY(&#51665;&#54665;&#45800;&#44228;-&#52392;&#48512;&#54260;&#45908;)\&#44148;&#52629;\23_&#51089;&#50629;&#48156;&#54032;,%20&#48708;&#44228;%20&#48143;%20&#46041;&#48148;&#47532;%20&#49444;&#52824;\&#49688;&#54665;&#51648;&#52840;\&#51089;&#50629;&#48156;&#54032;,%20&#48708;&#44228;%20&#48143;%20&#46041;&#48148;&#47532;%20&#49444;&#52824;_&#49688;&#54665;&#51648;&#52840;.html" TargetMode="External" Id="rId68"/><Relationship Type="http://schemas.openxmlformats.org/officeDocument/2006/relationships/hyperlink" Target="&#47588;&#45684;&#50620;BODY(&#51665;&#54665;&#45800;&#44228;-&#52392;&#48512;&#54260;&#45908;)\&#44148;&#52629;\23_&#51089;&#50629;&#48156;&#54032;,%20&#48708;&#44228;%20&#48143;%20&#46041;&#48148;&#47532;%20&#49444;&#52824;\&#52404;&#53356;&#47532;&#49828;&#53944;\&#51089;&#50629;&#48156;&#54032;,%20&#48708;&#44228;%20&#48143;%20&#46041;&#48148;&#47532;%20&#49444;&#52824;_&#52404;&#53356;&#47532;&#49828;&#53944;.html" TargetMode="External" Id="rId69"/><Relationship Type="http://schemas.openxmlformats.org/officeDocument/2006/relationships/hyperlink" Target="&#47588;&#45684;&#50620;BODY(&#51665;&#54665;&#45800;&#44228;-&#52392;&#48512;&#54260;&#45908;)\&#44148;&#52629;\24_&#52384;&#44540;%20&#51312;&#47549;\&#54364;&#51456;&#49436;\&#52384;&#44540;%20&#51312;&#47549;_&#54364;&#51456;&#49436;.html" TargetMode="External" Id="rId70"/><Relationship Type="http://schemas.openxmlformats.org/officeDocument/2006/relationships/hyperlink" Target="&#47588;&#45684;&#50620;BODY(&#51665;&#54665;&#45800;&#44228;-&#52392;&#48512;&#54260;&#45908;)\&#44148;&#52629;\24_&#52384;&#44540;%20&#51312;&#47549;\&#49688;&#54665;&#51648;&#52840;\&#52384;&#44540;%20&#51312;&#47549;_&#49688;&#54665;&#51648;&#52840;.html" TargetMode="External" Id="rId71"/><Relationship Type="http://schemas.openxmlformats.org/officeDocument/2006/relationships/hyperlink" Target="&#47588;&#45684;&#50620;BODY(&#51665;&#54665;&#45800;&#44228;-&#52392;&#48512;&#54260;&#45908;)\&#44148;&#52629;\24_&#52384;&#44540;%20&#51312;&#47549;\&#52404;&#53356;&#47532;&#49828;&#53944;\&#52384;&#44540;%20&#51312;&#47549;_&#52404;&#53356;&#47532;&#49828;&#53944;.html" TargetMode="External" Id="rId72"/><Relationship Type="http://schemas.openxmlformats.org/officeDocument/2006/relationships/hyperlink" Target="&#47588;&#45684;&#50620;BODY(&#51665;&#54665;&#45800;&#44228;-&#52392;&#48512;&#54260;&#45908;)\&#44148;&#52629;\25_&#44144;&#54392;&#51665;%20&#51312;&#47549;\&#54364;&#51456;&#49436;\&#44144;&#54392;&#51665;%20&#51312;&#47549;_&#54364;&#51456;&#49436;.html" TargetMode="External" Id="rId73"/><Relationship Type="http://schemas.openxmlformats.org/officeDocument/2006/relationships/hyperlink" Target="&#47588;&#45684;&#50620;BODY(&#51665;&#54665;&#45800;&#44228;-&#52392;&#48512;&#54260;&#45908;)\&#44148;&#52629;\25_&#44144;&#54392;&#51665;%20&#51312;&#47549;\&#49688;&#54665;&#51648;&#52840;\&#44144;&#54392;&#51665;%20&#51312;&#47549;_&#49688;&#54665;&#51648;&#52840;.html" TargetMode="External" Id="rId74"/><Relationship Type="http://schemas.openxmlformats.org/officeDocument/2006/relationships/hyperlink" Target="&#47588;&#45684;&#50620;BODY(&#51665;&#54665;&#45800;&#44228;-&#52392;&#48512;&#54260;&#45908;)\&#44148;&#52629;\25_&#44144;&#54392;&#51665;%20&#51312;&#47549;\&#52404;&#53356;&#47532;&#49828;&#53944;\&#44144;&#54392;&#51665;%20&#51312;&#47549;_&#52404;&#53356;&#47532;&#49828;&#53944;.html" TargetMode="External" Id="rId75"/><Relationship Type="http://schemas.openxmlformats.org/officeDocument/2006/relationships/hyperlink" Target="&#47588;&#45684;&#50620;BODY(&#51665;&#54665;&#45800;&#44228;-&#52392;&#48512;&#54260;&#45908;)\&#44148;&#52629;\26_&#53080;&#53356;&#47532;&#53944;%20&#53440;&#49444;%20&#48143;%20&#45796;&#51664;\&#54364;&#51456;&#49436;\&#53080;&#53356;&#47532;&#53944;%20&#53440;&#49444;%20&#48143;%20&#45796;&#51664;_&#54364;&#51456;&#49436;.html" TargetMode="External" Id="rId76"/><Relationship Type="http://schemas.openxmlformats.org/officeDocument/2006/relationships/hyperlink" Target="&#47588;&#45684;&#50620;BODY(&#51665;&#54665;&#45800;&#44228;-&#52392;&#48512;&#54260;&#45908;)\&#44148;&#52629;\26_&#53080;&#53356;&#47532;&#53944;%20&#53440;&#49444;%20&#48143;%20&#45796;&#51664;\&#49688;&#54665;&#51648;&#52840;\&#53080;&#53356;&#47532;&#53944;%20&#53440;&#49444;%20&#48143;%20&#45796;&#51664;_&#49688;&#54665;&#51648;&#52840;.html" TargetMode="External" Id="rId77"/><Relationship Type="http://schemas.openxmlformats.org/officeDocument/2006/relationships/hyperlink" Target="&#47588;&#45684;&#50620;BODY(&#51665;&#54665;&#45800;&#44228;-&#52392;&#48512;&#54260;&#45908;)\&#44148;&#52629;\26_&#53080;&#53356;&#47532;&#53944;%20&#53440;&#49444;%20&#48143;%20&#45796;&#51664;\&#52404;&#53356;&#47532;&#49828;&#53944;\&#53080;&#53356;&#47532;&#53944;%20&#53440;&#49444;%20&#48143;%20&#45796;&#51664;_&#52404;&#53356;&#47532;&#49828;&#53944;.html" TargetMode="External" Id="rId78"/><Relationship Type="http://schemas.openxmlformats.org/officeDocument/2006/relationships/hyperlink" Target="&#47588;&#45684;&#50620;BODY(&#51665;&#54665;&#45800;&#44228;-&#52392;&#48512;&#54260;&#45908;)\&#44148;&#52629;\27_&#44144;&#54392;&#51665;%20&#54644;&#52404;\&#54364;&#51456;&#49436;\&#44144;&#54392;&#51665;%20&#54644;&#52404;_&#54364;&#51456;&#49436;.html" TargetMode="External" Id="rId79"/><Relationship Type="http://schemas.openxmlformats.org/officeDocument/2006/relationships/hyperlink" Target="&#47588;&#45684;&#50620;BODY(&#51665;&#54665;&#45800;&#44228;-&#52392;&#48512;&#54260;&#45908;)\&#44148;&#52629;\27_&#44144;&#54392;&#51665;%20&#54644;&#52404;\&#49688;&#54665;&#51648;&#52840;\&#44144;&#54392;&#51665;%20&#54644;&#52404;_&#49688;&#54665;&#51648;&#52840;.html" TargetMode="External" Id="rId80"/><Relationship Type="http://schemas.openxmlformats.org/officeDocument/2006/relationships/hyperlink" Target="&#47588;&#45684;&#50620;BODY(&#51665;&#54665;&#45800;&#44228;-&#52392;&#48512;&#54260;&#45908;)\&#44148;&#52629;\27_&#44144;&#54392;&#51665;%20&#54644;&#52404;\&#52404;&#53356;&#47532;&#49828;&#53944;\&#44144;&#54392;&#51665;%20&#54644;&#52404;_&#52404;&#53356;&#47532;&#49828;&#53944;.html" TargetMode="External" Id="rId81"/><Relationship Type="http://schemas.openxmlformats.org/officeDocument/2006/relationships/hyperlink" Target="&#47588;&#45684;&#50620;BODY(&#51665;&#54665;&#45800;&#44228;-&#52392;&#48512;&#54260;&#45908;)\&#44148;&#52629;\28_&#44148;&#52629;%20&#45236;&#48512;%20&#48143;%20&#47560;&#44048;&#44277;&#49324;\&#54364;&#51456;&#49436;\&#44148;&#52629;%20&#45236;&#48512;%20&#48143;%20&#47560;&#44048;&#44277;&#49324;_&#54364;&#51456;&#49436;.html" TargetMode="External" Id="rId82"/><Relationship Type="http://schemas.openxmlformats.org/officeDocument/2006/relationships/hyperlink" Target="&#47588;&#45684;&#50620;BODY(&#51665;&#54665;&#45800;&#44228;-&#52392;&#48512;&#54260;&#45908;)\&#44148;&#52629;\28_&#44148;&#52629;%20&#45236;&#48512;%20&#48143;%20&#47560;&#44048;&#44277;&#49324;\&#49688;&#54665;&#51648;&#52840;\&#44148;&#52629;%20&#45236;&#48512;%20&#48143;%20&#47560;&#44048;&#44277;&#49324;_&#49688;&#54665;&#51648;&#52840;.html" TargetMode="External" Id="rId83"/><Relationship Type="http://schemas.openxmlformats.org/officeDocument/2006/relationships/hyperlink" Target="&#47588;&#45684;&#50620;BODY(&#51665;&#54665;&#45800;&#44228;-&#52392;&#48512;&#54260;&#45908;)\&#44148;&#52629;\28_&#44148;&#52629;%20&#45236;&#48512;%20&#48143;%20&#47560;&#44048;&#44277;&#49324;\&#52404;&#53356;&#47532;&#49828;&#53944;\&#44148;&#52629;%20&#45236;&#48512;%20&#48143;%20&#47560;&#44048;&#44277;&#49324;_&#52404;&#53356;&#47532;&#49828;&#53944;.html" TargetMode="External" Id="rId84"/><Relationship Type="http://schemas.openxmlformats.org/officeDocument/2006/relationships/hyperlink" Target="&#47588;&#45684;&#50620;BODY(&#51665;&#54665;&#45800;&#44228;-&#52392;&#48512;&#54260;&#45908;)\&#44148;&#52629;\29_&#52285;&#54840;,&#50976;&#47532;%20&#48143;%20&#44552;&#49549;&#51648;&#48533;&#44277;&#49324;\&#54364;&#51456;&#49436;\&#52285;&#54840;,&#50976;&#47532;%20&#48143;%20&#44552;&#49549;&#51648;&#48533;&#44277;&#49324;_&#54364;&#51456;&#49436;.html" TargetMode="External" Id="rId85"/><Relationship Type="http://schemas.openxmlformats.org/officeDocument/2006/relationships/hyperlink" Target="&#47588;&#45684;&#50620;BODY(&#51665;&#54665;&#45800;&#44228;-&#52392;&#48512;&#54260;&#45908;)\&#44148;&#52629;\29_&#52285;&#54840;,&#50976;&#47532;%20&#48143;%20&#44552;&#49549;&#51648;&#48533;&#44277;&#49324;\&#49688;&#54665;&#51648;&#52840;\&#52285;&#54840;,&#50976;&#47532;%20&#48143;%20&#44552;&#49549;&#51648;&#48533;&#44277;&#49324;_&#49688;&#54665;&#51648;&#52840;.html" TargetMode="External" Id="rId86"/><Relationship Type="http://schemas.openxmlformats.org/officeDocument/2006/relationships/hyperlink" Target="&#47588;&#45684;&#50620;BODY(&#51665;&#54665;&#45800;&#44228;-&#52392;&#48512;&#54260;&#45908;)\&#44148;&#52629;\29_&#52285;&#54840;,&#50976;&#47532;%20&#48143;%20&#44552;&#49549;&#51648;&#48533;&#44277;&#49324;\&#52404;&#53356;&#47532;&#49828;&#53944;\&#52285;&#54840;,&#50976;&#47532;%20&#48143;%20&#44552;&#49549;&#51648;&#48533;&#44277;&#49324;_&#52404;&#53356;&#47532;&#49828;&#53944;.html" TargetMode="External" Id="rId87"/><Relationship Type="http://schemas.openxmlformats.org/officeDocument/2006/relationships/hyperlink" Target="&#47588;&#45684;&#50620;BODY(&#51665;&#54665;&#45800;&#44228;-&#52392;&#48512;&#54260;&#45908;)\&#44148;&#52629;\30_&#51312;&#51201;&#44277;&#49324;\&#54364;&#51456;&#49436;\&#51312;&#51201;&#44277;&#49324;_&#54364;&#51456;&#49436;.html" TargetMode="External" Id="rId88"/><Relationship Type="http://schemas.openxmlformats.org/officeDocument/2006/relationships/hyperlink" Target="&#47588;&#45684;&#50620;BODY(&#51665;&#54665;&#45800;&#44228;-&#52392;&#48512;&#54260;&#45908;)\&#44148;&#52629;\30_&#51312;&#51201;&#44277;&#49324;\&#49688;&#54665;&#51648;&#52840;\&#51312;&#51201;&#44277;&#49324;_&#49688;&#54665;&#51648;&#52840;.html" TargetMode="External" Id="rId89"/><Relationship Type="http://schemas.openxmlformats.org/officeDocument/2006/relationships/hyperlink" Target="&#47588;&#45684;&#50620;BODY(&#51665;&#54665;&#45800;&#44228;-&#52392;&#48512;&#54260;&#45908;)\&#44148;&#52629;\30_&#51312;&#51201;&#44277;&#49324;\&#52404;&#53356;&#47532;&#49828;&#53944;\&#51312;&#51201;&#44277;&#49324;_&#52404;&#53356;&#47532;&#49828;&#53944;.html" TargetMode="External" Id="rId90"/><Relationship Type="http://schemas.openxmlformats.org/officeDocument/2006/relationships/hyperlink" Target="&#47588;&#45684;&#50620;BODY(&#51665;&#54665;&#45800;&#44228;-&#52392;&#48512;&#54260;&#45908;)\&#44148;&#52629;\31_&#45236;&#48512;%20&#48169;&#49688;&#44277;&#49324;\&#54364;&#51456;&#49436;\&#45236;&#48512;%20&#48169;&#49688;&#44277;&#49324;_&#54364;&#51456;&#49436;.html" TargetMode="External" Id="rId91"/><Relationship Type="http://schemas.openxmlformats.org/officeDocument/2006/relationships/hyperlink" Target="&#47588;&#45684;&#50620;BODY(&#51665;&#54665;&#45800;&#44228;-&#52392;&#48512;&#54260;&#45908;)\&#44148;&#52629;\31_&#45236;&#48512;%20&#48169;&#49688;&#44277;&#49324;\&#49688;&#54665;&#51648;&#52840;\&#45236;&#48512;%20&#48169;&#49688;&#44277;&#49324;_&#49688;&#54665;&#51648;&#52840;.html" TargetMode="External" Id="rId92"/><Relationship Type="http://schemas.openxmlformats.org/officeDocument/2006/relationships/hyperlink" Target="&#47588;&#45684;&#50620;BODY(&#51665;&#54665;&#45800;&#44228;-&#52392;&#48512;&#54260;&#45908;)\&#44148;&#52629;\31_&#45236;&#48512;%20&#48169;&#49688;&#44277;&#49324;\&#52404;&#53356;&#47532;&#49828;&#53944;\&#45236;&#48512;%20&#48169;&#49688;&#44277;&#49324;_&#52404;&#53356;&#47532;&#49828;&#53944;.html" TargetMode="External" Id="rId93"/><Relationship Type="http://schemas.openxmlformats.org/officeDocument/2006/relationships/hyperlink" Target="&#47588;&#45684;&#50620;BODY(&#51665;&#54665;&#45800;&#44228;-&#52392;&#48512;&#54260;&#45908;)\&#44148;&#52629;\32_&#48120;&#51109;%20&#48143;%20&#53440;&#51068;&#44277;&#49324;\&#54364;&#51456;&#49436;\&#48120;&#51109;%20&#48143;%20&#53440;&#51068;&#44277;&#49324;_&#54364;&#51456;&#49436;.html" TargetMode="External" Id="rId94"/><Relationship Type="http://schemas.openxmlformats.org/officeDocument/2006/relationships/hyperlink" Target="&#47588;&#45684;&#50620;BODY(&#51665;&#54665;&#45800;&#44228;-&#52392;&#48512;&#54260;&#45908;)\&#44148;&#52629;\32_&#48120;&#51109;%20&#48143;%20&#53440;&#51068;&#44277;&#49324;\&#49688;&#54665;&#51648;&#52840;\&#48120;&#51109;%20&#48143;%20&#53440;&#51068;&#44277;&#49324;_&#49688;&#54665;&#51648;&#52840;.html" TargetMode="External" Id="rId95"/><Relationship Type="http://schemas.openxmlformats.org/officeDocument/2006/relationships/hyperlink" Target="&#47588;&#45684;&#50620;BODY(&#51665;&#54665;&#45800;&#44228;-&#52392;&#48512;&#54260;&#45908;)\&#44148;&#52629;\32_&#48120;&#51109;%20&#48143;%20&#53440;&#51068;&#44277;&#49324;\&#52404;&#53356;&#47532;&#49828;&#53944;\&#48120;&#51109;%20&#48143;%20&#53440;&#51068;&#44277;&#49324;_&#52404;&#53356;&#47532;&#49828;&#53944;.html" TargetMode="External" Id="rId96"/><Relationship Type="http://schemas.openxmlformats.org/officeDocument/2006/relationships/hyperlink" Target="&#47588;&#45684;&#50620;BODY(&#51665;&#54665;&#45800;&#44228;-&#52392;&#48512;&#54260;&#45908;)\&#44148;&#52629;\33_&#49688;&#51109;%20&#48143;%20&#51105;&#52384;&#47932;&#44277;&#49324;\&#54364;&#51456;&#49436;\&#49688;&#51109;%20&#48143;%20&#51105;&#52384;&#47932;&#44277;&#49324;_&#54364;&#51456;&#49436;.html" TargetMode="External" Id="rId97"/><Relationship Type="http://schemas.openxmlformats.org/officeDocument/2006/relationships/hyperlink" Target="&#47588;&#45684;&#50620;BODY(&#51665;&#54665;&#45800;&#44228;-&#52392;&#48512;&#54260;&#45908;)\&#44148;&#52629;\33_&#49688;&#51109;%20&#48143;%20&#51105;&#52384;&#47932;&#44277;&#49324;\&#49688;&#54665;&#51648;&#52840;\&#49688;&#51109;%20&#48143;%20&#51105;&#52384;&#47932;&#44277;&#49324;_&#49688;&#54665;&#51648;&#52840;.html" TargetMode="External" Id="rId98"/><Relationship Type="http://schemas.openxmlformats.org/officeDocument/2006/relationships/hyperlink" Target="&#47588;&#45684;&#50620;BODY(&#51665;&#54665;&#45800;&#44228;-&#52392;&#48512;&#54260;&#45908;)\&#44148;&#52629;\33_&#49688;&#51109;%20&#48143;%20&#51105;&#52384;&#47932;&#44277;&#49324;\&#52404;&#53356;&#47532;&#49828;&#53944;\&#49688;&#51109;%20&#48143;%20&#51105;&#52384;&#47932;&#44277;&#49324;_&#52404;&#53356;&#47532;&#49828;&#53944;.html" TargetMode="External" Id="rId99"/><Relationship Type="http://schemas.openxmlformats.org/officeDocument/2006/relationships/hyperlink" Target="&#47588;&#45684;&#50620;BODY(&#51665;&#54665;&#45800;&#44228;-&#52392;&#48512;&#54260;&#45908;)\&#44148;&#52629;\34_&#46020;&#51109;&#44277;&#49324;\&#54364;&#51456;&#49436;\&#46020;&#51109;&#44277;&#49324;_&#54364;&#51456;&#49436;.html" TargetMode="External" Id="rId100"/><Relationship Type="http://schemas.openxmlformats.org/officeDocument/2006/relationships/hyperlink" Target="&#47588;&#45684;&#50620;BODY(&#51665;&#54665;&#45800;&#44228;-&#52392;&#48512;&#54260;&#45908;)\&#44148;&#52629;\34_&#46020;&#51109;&#44277;&#49324;\&#49688;&#54665;&#51648;&#52840;\&#46020;&#51109;&#44277;&#49324;_&#49688;&#54665;&#51648;&#52840;.html" TargetMode="External" Id="rId101"/><Relationship Type="http://schemas.openxmlformats.org/officeDocument/2006/relationships/hyperlink" Target="&#47588;&#45684;&#50620;BODY(&#51665;&#54665;&#45800;&#44228;-&#52392;&#48512;&#54260;&#45908;)\&#44148;&#52629;\34_&#46020;&#51109;&#44277;&#49324;\&#52404;&#53356;&#47532;&#49828;&#53944;\&#46020;&#51109;&#44277;&#49324;_&#52404;&#53356;&#47532;&#49828;&#53944;.html" TargetMode="External" Id="rId102"/><Relationship Type="http://schemas.openxmlformats.org/officeDocument/2006/relationships/hyperlink" Target="&#47588;&#45684;&#50620;BODY(&#51665;&#54665;&#45800;&#44228;-&#52392;&#48512;&#54260;&#45908;)\&#44148;&#52629;\35_&#51064;&#53580;&#47532;&#50612;%20&#48143;%20&#47924;&#45824;&#44277;&#49324;\&#54364;&#51456;&#49436;\&#51064;&#53580;&#47532;&#50612;%20&#48143;%20&#47924;&#45824;&#44277;&#49324;_&#54364;&#51456;&#49436;.html" TargetMode="External" Id="rId103"/><Relationship Type="http://schemas.openxmlformats.org/officeDocument/2006/relationships/hyperlink" Target="&#47588;&#45684;&#50620;BODY(&#51665;&#54665;&#45800;&#44228;-&#52392;&#48512;&#54260;&#45908;)\&#44148;&#52629;\35_&#51064;&#53580;&#47532;&#50612;%20&#48143;%20&#47924;&#45824;&#44277;&#49324;\&#49688;&#54665;&#51648;&#52840;\&#51064;&#53580;&#47532;&#50612;%20&#48143;%20&#47924;&#45824;&#44277;&#49324;_&#49688;&#54665;&#51648;&#52840;.html" TargetMode="External" Id="rId104"/><Relationship Type="http://schemas.openxmlformats.org/officeDocument/2006/relationships/hyperlink" Target="&#47588;&#45684;&#50620;BODY(&#51665;&#54665;&#45800;&#44228;-&#52392;&#48512;&#54260;&#45908;)\&#44148;&#52629;\35_&#51064;&#53580;&#47532;&#50612;%20&#48143;%20&#47924;&#45824;&#44277;&#49324;\&#52404;&#53356;&#47532;&#49828;&#53944;\&#51064;&#53580;&#47532;&#50612;%20&#48143;%20&#47924;&#45824;&#44277;&#49324;_&#52404;&#53356;&#47532;&#49828;&#53944;.html" TargetMode="External" Id="rId105"/><Relationship Type="http://schemas.openxmlformats.org/officeDocument/2006/relationships/hyperlink" Target="&#47588;&#45684;&#50620;BODY(&#51665;&#54665;&#45800;&#44228;-&#52392;&#48512;&#54260;&#45908;)\&#44148;&#52629;\36_&#51456;&#44277;&#51204;%20&#44148;&#52629;%20&#51064;&#54728;&#44032;\&#54364;&#51456;&#49436;\&#51456;&#44277;&#51204;%20&#44148;&#52629;%20&#51064;&#54728;&#44032;_&#54364;&#51456;&#49436;.html" TargetMode="External" Id="rId106"/><Relationship Type="http://schemas.openxmlformats.org/officeDocument/2006/relationships/hyperlink" Target="&#47588;&#45684;&#50620;BODY(&#51665;&#54665;&#45800;&#44228;-&#52392;&#48512;&#54260;&#45908;)\&#44148;&#52629;\36_&#51456;&#44277;&#51204;%20&#44148;&#52629;%20&#51064;&#54728;&#44032;\&#49688;&#54665;&#51648;&#52840;\&#51456;&#44277;&#51204;%20&#44148;&#52629;%20&#51064;&#54728;&#44032;_&#49688;&#54665;&#51648;&#52840;.html" TargetMode="External" Id="rId107"/><Relationship Type="http://schemas.openxmlformats.org/officeDocument/2006/relationships/hyperlink" Target="&#47588;&#45684;&#50620;BODY(&#51665;&#54665;&#45800;&#44228;-&#52392;&#48512;&#54260;&#45908;)\&#44148;&#52629;\36_&#51456;&#44277;&#51204;%20&#44148;&#52629;%20&#51064;&#54728;&#44032;\&#52404;&#53356;&#47532;&#49828;&#53944;\&#51456;&#44277;&#51204;%20&#44148;&#52629;%20&#51064;&#54728;&#44032;_&#52404;&#53356;&#47532;&#49828;&#53944;.html" TargetMode="External" Id="rId108"/><Relationship Type="http://schemas.openxmlformats.org/officeDocument/2006/relationships/hyperlink" Target="&#47588;&#45684;&#50620;BODY(&#51665;&#54665;&#45800;&#44228;-&#52392;&#48512;&#54260;&#45908;)\&#44148;&#52629;\37_&#49548;&#48169;&#49884;&#49444;&#44277;&#49324;%20&#50756;&#44277;&#44160;&#49324;\&#54364;&#51456;&#49436;\&#49548;&#48169;&#49884;&#49444;&#44277;&#49324;%20&#50756;&#44277;&#44160;&#49324;_&#54364;&#51456;&#49436;.html" TargetMode="External" Id="rId109"/><Relationship Type="http://schemas.openxmlformats.org/officeDocument/2006/relationships/hyperlink" Target="&#47588;&#45684;&#50620;BODY(&#51665;&#54665;&#45800;&#44228;-&#52392;&#48512;&#54260;&#45908;)\&#44148;&#52629;\37_&#49548;&#48169;&#49884;&#49444;&#44277;&#49324;%20&#50756;&#44277;&#44160;&#49324;\&#49688;&#54665;&#51648;&#52840;\&#49548;&#48169;&#49884;&#49444;&#44277;&#49324;%20&#50756;&#44277;&#44160;&#49324;_&#49688;&#54665;&#51648;&#52840;.html" TargetMode="External" Id="rId110"/><Relationship Type="http://schemas.openxmlformats.org/officeDocument/2006/relationships/hyperlink" Target="&#47588;&#45684;&#50620;BODY(&#51665;&#54665;&#45800;&#44228;-&#52392;&#48512;&#54260;&#45908;)\&#44148;&#52629;\37_&#49548;&#48169;&#49884;&#49444;&#44277;&#49324;%20&#50756;&#44277;&#44160;&#49324;\&#52404;&#53356;&#47532;&#49828;&#53944;\&#49548;&#48169;&#49884;&#49444;&#44277;&#49324;%20&#50756;&#44277;&#44160;&#49324;_&#52404;&#53356;&#47532;&#49828;&#53944;.html" TargetMode="External" Id="rId111"/><Relationship Type="http://schemas.openxmlformats.org/officeDocument/2006/relationships/hyperlink" Target="&#47588;&#45684;&#50620;BODY(&#51665;&#54665;&#45800;&#44228;-&#52392;&#48512;&#54260;&#45908;)\&#44148;&#52629;\38_&#49849;&#44053;&#44592;%20&#49444;&#52824;%20&#49888;&#44256;&#49436;%20&#51228;&#52636;\&#54364;&#51456;&#49436;\&#49849;&#44053;&#44592;%20&#49444;&#52824;%20&#49888;&#44256;&#49436;%20&#51228;&#52636;_&#54364;&#51456;&#49436;.html" TargetMode="External" Id="rId112"/><Relationship Type="http://schemas.openxmlformats.org/officeDocument/2006/relationships/hyperlink" Target="&#47588;&#45684;&#50620;BODY(&#51665;&#54665;&#45800;&#44228;-&#52392;&#48512;&#54260;&#45908;)\&#44148;&#52629;\38_&#49849;&#44053;&#44592;%20&#49444;&#52824;%20&#49888;&#44256;&#49436;%20&#51228;&#52636;\&#49688;&#54665;&#51648;&#52840;\&#49849;&#44053;&#44592;%20&#49444;&#52824;%20&#49888;&#44256;&#49436;%20&#51228;&#52636;_&#49688;&#54665;&#51648;&#52840;.html" TargetMode="External" Id="rId113"/><Relationship Type="http://schemas.openxmlformats.org/officeDocument/2006/relationships/hyperlink" Target="&#47588;&#45684;&#50620;BODY(&#51665;&#54665;&#45800;&#44228;-&#52392;&#48512;&#54260;&#45908;)\&#44148;&#52629;\38_&#49849;&#44053;&#44592;%20&#49444;&#52824;%20&#49888;&#44256;&#49436;%20&#51228;&#52636;\&#52404;&#53356;&#47532;&#49828;&#53944;\&#49849;&#44053;&#44592;%20&#49444;&#52824;%20&#49888;&#44256;&#49436;%20&#51228;&#52636;_&#52404;&#53356;&#47532;&#49828;&#53944;.html" TargetMode="External" Id="rId114"/><Relationship Type="http://schemas.openxmlformats.org/officeDocument/2006/relationships/hyperlink" Target="&#47588;&#45684;&#50620;BODY(&#51665;&#54665;&#45800;&#44228;-&#52392;&#48512;&#54260;&#45908;)\&#44148;&#52629;\39_&#51200;&#49688;&#51312;%20&#49444;&#52824;&#54788;&#54889;%20&#49888;&#44256;&#49436;%20&#51228;&#52636;\&#54364;&#51456;&#49436;\&#51200;&#49688;&#51312;%20&#49444;&#52824;&#54788;&#54889;%20&#49888;&#44256;&#49436;%20&#51228;&#52636;_&#54364;&#51456;&#49436;.html" TargetMode="External" Id="rId115"/><Relationship Type="http://schemas.openxmlformats.org/officeDocument/2006/relationships/hyperlink" Target="&#47588;&#45684;&#50620;BODY(&#51665;&#54665;&#45800;&#44228;-&#52392;&#48512;&#54260;&#45908;)\&#44148;&#52629;\39_&#51200;&#49688;&#51312;%20&#49444;&#52824;&#54788;&#54889;%20&#49888;&#44256;&#49436;%20&#51228;&#52636;\&#49688;&#54665;&#51648;&#52840;\&#51200;&#49688;&#51312;%20&#49444;&#52824;&#54788;&#54889;%20&#49888;&#44256;&#49436;%20&#51228;&#52636;_&#49688;&#54665;&#51648;&#52840;.html" TargetMode="External" Id="rId116"/><Relationship Type="http://schemas.openxmlformats.org/officeDocument/2006/relationships/hyperlink" Target="&#47588;&#45684;&#50620;BODY(&#51665;&#54665;&#45800;&#44228;-&#52392;&#48512;&#54260;&#45908;)\&#44148;&#52629;\39_&#51200;&#49688;&#51312;%20&#49444;&#52824;&#54788;&#54889;%20&#49888;&#44256;&#49436;%20&#51228;&#52636;\&#52404;&#53356;&#47532;&#49828;&#53944;\&#51200;&#49688;&#51312;%20&#49444;&#52824;&#54788;&#54889;%20&#49888;&#44256;&#49436;%20&#51228;&#52636;_&#52404;&#53356;&#47532;&#49828;&#53944;.html" TargetMode="External" Id="rId117"/><Relationship Type="http://schemas.openxmlformats.org/officeDocument/2006/relationships/hyperlink" Target="&#47588;&#45684;&#50620;BODY(&#51665;&#54665;&#45800;&#44228;-&#52392;&#48512;&#54260;&#45908;)\&#44148;&#52629;\40_&#50724;&#49688;&#52376;&#47532;&#49884;&#49444;%20_%20&#51221;&#54868;&#51312;%20&#49444;&#52824;%20&#49888;&#44256;&#49436;%20&#51228;&#52636;\&#54364;&#51456;&#49436;\&#50724;&#49688;&#52376;&#47532;&#49884;&#49444;%20_%20&#51221;&#54868;&#51312;%20&#49444;&#52824;%20&#49888;&#44256;&#49436;%20&#51228;&#52636;_&#54364;&#51456;&#49436;.html" TargetMode="External" Id="rId118"/><Relationship Type="http://schemas.openxmlformats.org/officeDocument/2006/relationships/hyperlink" Target="&#47588;&#45684;&#50620;BODY(&#51665;&#54665;&#45800;&#44228;-&#52392;&#48512;&#54260;&#45908;)\&#44148;&#52629;\40_&#50724;&#49688;&#52376;&#47532;&#49884;&#49444;%20_%20&#51221;&#54868;&#51312;%20&#49444;&#52824;%20&#49888;&#44256;&#49436;%20&#51228;&#52636;\&#49688;&#54665;&#51648;&#52840;\&#50724;&#49688;&#52376;&#47532;&#49884;&#49444;%20_%20&#51221;&#54868;&#51312;%20&#49444;&#52824;%20&#49888;&#44256;&#49436;%20&#51228;&#52636;_&#49688;&#54665;&#51648;&#52840;.html" TargetMode="External" Id="rId119"/><Relationship Type="http://schemas.openxmlformats.org/officeDocument/2006/relationships/hyperlink" Target="&#47588;&#45684;&#50620;BODY(&#51665;&#54665;&#45800;&#44228;-&#52392;&#48512;&#54260;&#45908;)\&#44148;&#52629;\40_&#50724;&#49688;&#52376;&#47532;&#49884;&#49444;%20_%20&#51221;&#54868;&#51312;%20&#49444;&#52824;%20&#49888;&#44256;&#49436;%20&#51228;&#52636;\&#52404;&#53356;&#47532;&#49828;&#53944;\&#50724;&#49688;&#52376;&#47532;&#49884;&#49444;%20_%20&#51221;&#54868;&#51312;%20&#49444;&#52824;%20&#49888;&#44256;&#49436;%20&#51228;&#52636;_&#52404;&#53356;&#47532;&#49828;&#53944;.html" TargetMode="External" Id="rId120"/><Relationship Type="http://schemas.openxmlformats.org/officeDocument/2006/relationships/hyperlink" Target="&#47588;&#45684;&#50620;BODY(&#51665;&#54665;&#45800;&#44228;-&#52392;&#48512;&#54260;&#45908;)\&#44148;&#52629;\41_&#51204;&#44592;&#49324;&#50857;&#51204;%20&#44160;&#49324;\&#54364;&#51456;&#49436;\&#51204;&#44592;&#49324;&#50857;&#51204;%20&#44160;&#49324;_&#54364;&#51456;&#49436;.html" TargetMode="External" Id="rId121"/><Relationship Type="http://schemas.openxmlformats.org/officeDocument/2006/relationships/hyperlink" Target="&#47588;&#45684;&#50620;BODY(&#51665;&#54665;&#45800;&#44228;-&#52392;&#48512;&#54260;&#45908;)\&#44148;&#52629;\41_&#51204;&#44592;&#49324;&#50857;&#51204;%20&#44160;&#49324;\&#49688;&#54665;&#51648;&#52840;\&#51204;&#44592;&#49324;&#50857;&#51204;%20&#44160;&#49324;_&#49688;&#54665;&#51648;&#52840;.html" TargetMode="External" Id="rId122"/><Relationship Type="http://schemas.openxmlformats.org/officeDocument/2006/relationships/hyperlink" Target="&#47588;&#45684;&#50620;BODY(&#51665;&#54665;&#45800;&#44228;-&#52392;&#48512;&#54260;&#45908;)\&#44148;&#52629;\41_&#51204;&#44592;&#49324;&#50857;&#51204;%20&#44160;&#49324;\&#52404;&#53356;&#47532;&#49828;&#53944;\&#51204;&#44592;&#49324;&#50857;&#51204;%20&#44160;&#49324;_&#52404;&#53356;&#47532;&#49828;&#53944;.html" TargetMode="External" Id="rId123"/><Relationship Type="http://schemas.openxmlformats.org/officeDocument/2006/relationships/hyperlink" Target="&#47588;&#45684;&#50620;BODY(&#51665;&#54665;&#45800;&#44228;-&#52392;&#48512;&#54260;&#45908;)\&#44148;&#52629;\42_&#49849;&#44053;&#44592;%20&#49444;&#52824;&#44160;&#49324;\&#54364;&#51456;&#49436;\&#49849;&#44053;&#44592;%20&#49444;&#52824;&#44160;&#49324;_&#54364;&#51456;&#49436;.html" TargetMode="External" Id="rId124"/><Relationship Type="http://schemas.openxmlformats.org/officeDocument/2006/relationships/hyperlink" Target="&#47588;&#45684;&#50620;BODY(&#51665;&#54665;&#45800;&#44228;-&#52392;&#48512;&#54260;&#45908;)\&#44148;&#52629;\42_&#49849;&#44053;&#44592;%20&#49444;&#52824;&#44160;&#49324;\&#49688;&#54665;&#51648;&#52840;\&#49849;&#44053;&#44592;%20&#49444;&#52824;&#44160;&#49324;_&#49688;&#54665;&#51648;&#52840;.html" TargetMode="External" Id="rId125"/><Relationship Type="http://schemas.openxmlformats.org/officeDocument/2006/relationships/hyperlink" Target="&#47588;&#45684;&#50620;BODY(&#51665;&#54665;&#45800;&#44228;-&#52392;&#48512;&#54260;&#45908;)\&#44148;&#52629;\42_&#49849;&#44053;&#44592;%20&#49444;&#52824;&#44160;&#49324;\&#52404;&#53356;&#47532;&#49828;&#53944;\&#49849;&#44053;&#44592;%20&#49444;&#52824;&#44160;&#49324;_&#52404;&#53356;&#47532;&#49828;&#53944;.html" TargetMode="External" Id="rId126"/><Relationship Type="http://schemas.openxmlformats.org/officeDocument/2006/relationships/hyperlink" Target="&#47588;&#45684;&#50620;BODY(&#51665;&#54665;&#45800;&#44228;-&#52392;&#48512;&#54260;&#45908;)\&#44148;&#52629;\43_&#48176;&#49688;&#49444;&#48708;%20&#49444;&#52824;%20&#49888;&#44256;&#49436;%20&#51228;&#52636;\&#54364;&#51456;&#49436;\&#48176;&#49688;&#49444;&#48708;%20&#49444;&#52824;%20&#49888;&#44256;&#49436;%20&#51228;&#52636;_&#54364;&#51456;&#49436;.html" TargetMode="External" Id="rId127"/><Relationship Type="http://schemas.openxmlformats.org/officeDocument/2006/relationships/hyperlink" Target="&#47588;&#45684;&#50620;BODY(&#51665;&#54665;&#45800;&#44228;-&#52392;&#48512;&#54260;&#45908;)\&#44148;&#52629;\43_&#48176;&#49688;&#49444;&#48708;%20&#49444;&#52824;%20&#49888;&#44256;&#49436;%20&#51228;&#52636;\&#49688;&#54665;&#51648;&#52840;\&#48176;&#49688;&#49444;&#48708;%20&#49444;&#52824;%20&#49888;&#44256;&#49436;%20&#51228;&#52636;_&#49688;&#54665;&#51648;&#52840;.html" TargetMode="External" Id="rId128"/><Relationship Type="http://schemas.openxmlformats.org/officeDocument/2006/relationships/hyperlink" Target="&#47588;&#45684;&#50620;BODY(&#51665;&#54665;&#45800;&#44228;-&#52392;&#48512;&#54260;&#45908;)\&#44148;&#52629;\43_&#48176;&#49688;&#49444;&#48708;%20&#49444;&#52824;%20&#49888;&#44256;&#49436;%20&#51228;&#52636;\&#52404;&#53356;&#47532;&#49828;&#53944;\&#48176;&#49688;&#49444;&#48708;%20&#49444;&#52824;%20&#49888;&#44256;&#49436;%20&#51228;&#52636;_&#52404;&#53356;&#47532;&#49828;&#53944;.html" TargetMode="External" Id="rId129"/><Relationship Type="http://schemas.openxmlformats.org/officeDocument/2006/relationships/hyperlink" Target="&#47588;&#45684;&#50620;BODY(&#51665;&#54665;&#45800;&#44228;-&#52392;&#48512;&#54260;&#45908;)\&#44148;&#52629;\44_&#51221;&#48372;&#53685;&#49888;&#44277;&#49324;%20&#49324;&#50857;&#51204;&#44160;&#49324;\&#54364;&#51456;&#49436;\&#51221;&#48372;&#53685;&#49888;&#44277;&#49324;%20&#49324;&#50857;&#51204;&#44160;&#49324;_&#54364;&#51456;&#49436;.html" TargetMode="External" Id="rId130"/><Relationship Type="http://schemas.openxmlformats.org/officeDocument/2006/relationships/hyperlink" Target="&#47588;&#45684;&#50620;BODY(&#51665;&#54665;&#45800;&#44228;-&#52392;&#48512;&#54260;&#45908;)\&#44148;&#52629;\44_&#51221;&#48372;&#53685;&#49888;&#44277;&#49324;%20&#49324;&#50857;&#51204;&#44160;&#49324;\&#49688;&#54665;&#51648;&#52840;\&#51221;&#48372;&#53685;&#49888;&#44277;&#49324;%20&#49324;&#50857;&#51204;&#44160;&#49324;_&#49688;&#54665;&#51648;&#52840;.html" TargetMode="External" Id="rId131"/><Relationship Type="http://schemas.openxmlformats.org/officeDocument/2006/relationships/hyperlink" Target="&#47588;&#45684;&#50620;BODY(&#51665;&#54665;&#45800;&#44228;-&#52392;&#48512;&#54260;&#45908;)\&#44148;&#52629;\44_&#51221;&#48372;&#53685;&#49888;&#44277;&#49324;%20&#49324;&#50857;&#51204;&#44160;&#49324;\&#52404;&#53356;&#47532;&#49828;&#53944;\&#51221;&#48372;&#53685;&#49888;&#44277;&#49324;%20&#49324;&#50857;&#51204;&#44160;&#49324;_&#52404;&#53356;&#47532;&#49828;&#53944;.html" TargetMode="External" Id="rId132"/><Relationship Type="http://schemas.openxmlformats.org/officeDocument/2006/relationships/hyperlink" Target="&#47588;&#45684;&#50620;BODY(&#51665;&#54665;&#45800;&#44228;-&#52392;&#48512;&#54260;&#45908;)\&#44148;&#52629;\45_&#50724;&#49688;&#52376;&#47532;&#49884;&#49444;%20_%20&#51221;&#54868;&#51312;%20&#51456;&#44277;&#44160;&#49324;\&#54364;&#51456;&#49436;\&#50724;&#49688;&#52376;&#47532;&#49884;&#49444;%20_%20&#51221;&#54868;&#51312;%20&#51456;&#44277;&#44160;&#49324;_&#54364;&#51456;&#49436;.html" TargetMode="External" Id="rId133"/><Relationship Type="http://schemas.openxmlformats.org/officeDocument/2006/relationships/hyperlink" Target="&#47588;&#45684;&#50620;BODY(&#51665;&#54665;&#45800;&#44228;-&#52392;&#48512;&#54260;&#45908;)\&#44148;&#52629;\45_&#50724;&#49688;&#52376;&#47532;&#49884;&#49444;%20_%20&#51221;&#54868;&#51312;%20&#51456;&#44277;&#44160;&#49324;\&#49688;&#54665;&#51648;&#52840;\&#50724;&#49688;&#52376;&#47532;&#49884;&#49444;%20_%20&#51221;&#54868;&#51312;%20&#51456;&#44277;&#44160;&#49324;_&#49688;&#54665;&#51648;&#52840;.html" TargetMode="External" Id="rId134"/><Relationship Type="http://schemas.openxmlformats.org/officeDocument/2006/relationships/hyperlink" Target="&#47588;&#45684;&#50620;BODY(&#51665;&#54665;&#45800;&#44228;-&#52392;&#48512;&#54260;&#45908;)\&#44148;&#52629;\45_&#50724;&#49688;&#52376;&#47532;&#49884;&#49444;%20_%20&#51221;&#54868;&#51312;%20&#51456;&#44277;&#44160;&#49324;\&#52404;&#53356;&#47532;&#49828;&#53944;\&#50724;&#49688;&#52376;&#47532;&#49884;&#49444;%20_%20&#51221;&#54868;&#51312;%20&#51456;&#44277;&#44160;&#49324;_&#52404;&#53356;&#47532;&#49828;&#53944;.html" TargetMode="External" Id="rId135"/><Relationship Type="http://schemas.openxmlformats.org/officeDocument/2006/relationships/hyperlink" Target="&#47588;&#45684;&#50620;BODY(&#51665;&#54665;&#45800;&#44228;-&#52392;&#48512;&#54260;&#45908;)\&#44148;&#52629;\46_&#44553;&#49688;&#44277;&#49324;%20&#49888;&#52397;&#49436;%20&#51228;&#52636;\&#54364;&#51456;&#49436;\&#44553;&#49688;&#44277;&#49324;%20&#49888;&#52397;&#49436;%20&#51228;&#52636;_&#54364;&#51456;&#49436;.html" TargetMode="External" Id="rId136"/><Relationship Type="http://schemas.openxmlformats.org/officeDocument/2006/relationships/hyperlink" Target="&#47588;&#45684;&#50620;BODY(&#51665;&#54665;&#45800;&#44228;-&#52392;&#48512;&#54260;&#45908;)\&#44148;&#52629;\46_&#44553;&#49688;&#44277;&#49324;%20&#49888;&#52397;&#49436;%20&#51228;&#52636;\&#49688;&#54665;&#51648;&#52840;\&#44553;&#49688;&#44277;&#49324;%20&#49888;&#52397;&#49436;%20&#51228;&#52636;_&#49688;&#54665;&#51648;&#52840;.html" TargetMode="External" Id="rId137"/><Relationship Type="http://schemas.openxmlformats.org/officeDocument/2006/relationships/hyperlink" Target="&#47588;&#45684;&#50620;BODY(&#51665;&#54665;&#45800;&#44228;-&#52392;&#48512;&#54260;&#45908;)\&#44148;&#52629;\46_&#44553;&#49688;&#44277;&#49324;%20&#49888;&#52397;&#49436;%20&#51228;&#52636;\&#52404;&#53356;&#47532;&#49828;&#53944;\&#44553;&#49688;&#44277;&#49324;%20&#49888;&#52397;&#49436;%20&#51228;&#52636;_&#52404;&#53356;&#47532;&#49828;&#53944;.html" TargetMode="External" Id="rId138"/><Relationship Type="http://schemas.openxmlformats.org/officeDocument/2006/relationships/hyperlink" Target="&#47588;&#45684;&#50620;BODY(&#51665;&#54665;&#45800;&#44228;-&#52392;&#48512;&#54260;&#45908;)\&#44148;&#52629;\47_&#50629;&#47924;&#45824;&#54665;%20&#44148;&#52629;&#49324;%20&#49324;&#50857;&#49849;&#51064;%20&#44160;&#49324;\&#54364;&#51456;&#49436;\&#50629;&#47924;&#45824;&#54665;%20&#44148;&#52629;&#49324;%20&#49324;&#50857;&#49849;&#51064;%20&#44160;&#49324;_&#54364;&#51456;&#49436;.html" TargetMode="External" Id="rId139"/><Relationship Type="http://schemas.openxmlformats.org/officeDocument/2006/relationships/hyperlink" Target="&#47588;&#45684;&#50620;BODY(&#51665;&#54665;&#45800;&#44228;-&#52392;&#48512;&#54260;&#45908;)\&#44148;&#52629;\47_&#50629;&#47924;&#45824;&#54665;%20&#44148;&#52629;&#49324;%20&#49324;&#50857;&#49849;&#51064;%20&#44160;&#49324;\&#49688;&#54665;&#51648;&#52840;\&#50629;&#47924;&#45824;&#54665;%20&#44148;&#52629;&#49324;%20&#49324;&#50857;&#49849;&#51064;%20&#44160;&#49324;_&#49688;&#54665;&#51648;&#52840;.html" TargetMode="External" Id="rId140"/><Relationship Type="http://schemas.openxmlformats.org/officeDocument/2006/relationships/hyperlink" Target="&#47588;&#45684;&#50620;BODY(&#51665;&#54665;&#45800;&#44228;-&#52392;&#48512;&#54260;&#45908;)\&#44148;&#52629;\47_&#50629;&#47924;&#45824;&#54665;%20&#44148;&#52629;&#49324;%20&#49324;&#50857;&#49849;&#51064;%20&#44160;&#49324;\&#52404;&#53356;&#47532;&#49828;&#53944;\&#50629;&#47924;&#45824;&#54665;%20&#44148;&#52629;&#49324;%20&#49324;&#50857;&#49849;&#51064;%20&#44160;&#49324;_&#52404;&#53356;&#47532;&#49828;&#53944;.html" TargetMode="External" Id="rId141"/><Relationship Type="http://schemas.openxmlformats.org/officeDocument/2006/relationships/hyperlink" Target="&#47588;&#45684;&#50620;BODY(&#51665;&#54665;&#45800;&#44228;-&#52392;&#48512;&#54260;&#45908;)\&#44148;&#52629;\48_&#44148;&#52629;&#47932;%20&#49324;&#50857;&#49849;&#51064;%20&#49888;&#52397;\&#54364;&#51456;&#49436;\&#44148;&#52629;&#47932;%20&#49324;&#50857;&#49849;&#51064;%20&#49888;&#52397;_&#54364;&#51456;&#49436;.html" TargetMode="External" Id="rId142"/><Relationship Type="http://schemas.openxmlformats.org/officeDocument/2006/relationships/hyperlink" Target="&#47588;&#45684;&#50620;BODY(&#51665;&#54665;&#45800;&#44228;-&#52392;&#48512;&#54260;&#45908;)\&#44148;&#52629;\48_&#44148;&#52629;&#47932;%20&#49324;&#50857;&#49849;&#51064;%20&#49888;&#52397;\&#49688;&#54665;&#51648;&#52840;\&#44148;&#52629;&#47932;%20&#49324;&#50857;&#49849;&#51064;%20&#49888;&#52397;_&#49688;&#54665;&#51648;&#52840;.html" TargetMode="External" Id="rId143"/><Relationship Type="http://schemas.openxmlformats.org/officeDocument/2006/relationships/hyperlink" Target="&#47588;&#45684;&#50620;BODY(&#51665;&#54665;&#45800;&#44228;-&#52392;&#48512;&#54260;&#45908;)\&#44148;&#52629;\48_&#44148;&#52629;&#47932;%20&#49324;&#50857;&#49849;&#51064;%20&#49888;&#52397;\&#52404;&#53356;&#47532;&#49828;&#53944;\&#44148;&#52629;&#47932;%20&#49324;&#50857;&#49849;&#51064;%20&#49888;&#52397;_&#52404;&#53356;&#47532;&#49828;&#53944;.html" TargetMode="External" Id="rId144"/><Relationship Type="http://schemas.openxmlformats.org/officeDocument/2006/relationships/hyperlink" Target="&#47588;&#45684;&#50620;BODY(&#51665;&#54665;&#45800;&#44228;-&#52392;&#48512;&#54260;&#45908;)\&#44148;&#52629;\49_&#44148;&#52629;&#47932;&#45824;&#51109;%20&#46321;&#51116;\&#54364;&#51456;&#49436;\&#44148;&#52629;&#47932;&#45824;&#51109;%20&#46321;&#51116;_&#54364;&#51456;&#49436;.html" TargetMode="External" Id="rId145"/><Relationship Type="http://schemas.openxmlformats.org/officeDocument/2006/relationships/hyperlink" Target="&#47588;&#45684;&#50620;BODY(&#51665;&#54665;&#45800;&#44228;-&#52392;&#48512;&#54260;&#45908;)\&#44148;&#52629;\49_&#44148;&#52629;&#47932;&#45824;&#51109;%20&#46321;&#51116;\&#49688;&#54665;&#51648;&#52840;\&#44148;&#52629;&#47932;&#45824;&#51109;%20&#46321;&#51116;_&#49688;&#54665;&#51648;&#52840;.html" TargetMode="External" Id="rId146"/><Relationship Type="http://schemas.openxmlformats.org/officeDocument/2006/relationships/hyperlink" Target="&#47588;&#45684;&#50620;BODY(&#51665;&#54665;&#45800;&#44228;-&#52392;&#48512;&#54260;&#45908;)\&#44148;&#52629;\49_&#44148;&#52629;&#47932;&#45824;&#51109;%20&#46321;&#51116;\&#52404;&#53356;&#47532;&#49828;&#53944;\&#44148;&#52629;&#47932;&#45824;&#51109;%20&#46321;&#51116;_&#52404;&#53356;&#47532;&#49828;&#53944;.html" TargetMode="External" Id="rId147"/><Relationship Type="http://schemas.openxmlformats.org/officeDocument/2006/relationships/hyperlink" Target="&#47588;&#45684;&#50620;BODY(&#51665;&#54665;&#45800;&#44228;-&#52392;&#48512;&#54260;&#45908;)\&#44148;&#52629;\50_&#54980;&#49549;%20&#44396;&#51312;&#47932;%20&#51064;&#44228;\&#54364;&#51456;&#49436;\&#54980;&#49549;%20&#44396;&#51312;&#47932;%20&#51064;&#44228;_&#54364;&#51456;&#49436;.html" TargetMode="External" Id="rId148"/><Relationship Type="http://schemas.openxmlformats.org/officeDocument/2006/relationships/hyperlink" Target="&#47588;&#45684;&#50620;BODY(&#51665;&#54665;&#45800;&#44228;-&#52392;&#48512;&#54260;&#45908;)\&#44148;&#52629;\50_&#54980;&#49549;%20&#44396;&#51312;&#47932;%20&#51064;&#44228;\&#49688;&#54665;&#51648;&#52840;\&#54980;&#49549;%20&#44396;&#51312;&#47932;%20&#51064;&#44228;_&#49688;&#54665;&#51648;&#52840;.html" TargetMode="External" Id="rId149"/><Relationship Type="http://schemas.openxmlformats.org/officeDocument/2006/relationships/hyperlink" Target="&#47588;&#45684;&#50620;BODY(&#51665;&#54665;&#45800;&#44228;-&#52392;&#48512;&#54260;&#45908;)\&#44148;&#52629;\50_&#54980;&#49549;%20&#44396;&#51312;&#47932;%20&#51064;&#44228;\&#52404;&#53356;&#47532;&#49828;&#53944;\&#54980;&#49549;%20&#44396;&#51312;&#47932;%20&#51064;&#44228;_&#52404;&#53356;&#47532;&#49828;&#53944;.html" TargetMode="External" Id="rId150"/></Relationships>
</file>

<file path=xl/worksheets/_rels/sheet7.xml.rels><Relationships xmlns="http://schemas.openxmlformats.org/package/2006/relationships"><Relationship Type="http://schemas.openxmlformats.org/officeDocument/2006/relationships/hyperlink" Target="&#47588;&#45684;&#50620;BODY(&#51665;&#54665;&#45800;&#44228;-&#52392;&#48512;&#54260;&#45908;)\&#49888;&#54840;&#48516;&#50556;\1_&#49444;&#44228;&#51201;&#51221;&#49457;%20&#44160;&#53664;\&#54364;&#51456;&#49436;\&#49444;&#44228;&#51201;&#51221;&#49457;%20&#44160;&#53664;_&#54364;&#51456;&#49436;.html" TargetMode="External" Id="rId1"/><Relationship Type="http://schemas.openxmlformats.org/officeDocument/2006/relationships/hyperlink" Target="&#47588;&#45684;&#50620;BODY(&#51665;&#54665;&#45800;&#44228;-&#52392;&#48512;&#54260;&#45908;)\&#49888;&#54840;&#48516;&#50556;\1_&#49444;&#44228;&#51201;&#51221;&#49457;%20&#44160;&#53664;\&#49688;&#54665;&#51648;&#52840;\&#49444;&#44228;&#51201;&#51221;&#49457;%20&#44160;&#53664;_&#49688;&#54665;&#51648;&#52840;.html" TargetMode="External" Id="rId2"/><Relationship Type="http://schemas.openxmlformats.org/officeDocument/2006/relationships/hyperlink" Target="&#47588;&#45684;&#50620;BODY(&#51665;&#54665;&#45800;&#44228;-&#52392;&#48512;&#54260;&#45908;)\&#49888;&#54840;&#48516;&#50556;\1_&#49444;&#44228;&#51201;&#51221;&#49457;%20&#44160;&#53664;\&#52404;&#53356;&#47532;&#49828;&#53944;\&#49444;&#44228;&#51201;&#51221;&#49457;%20&#44160;&#53664;_&#52404;&#53356;&#47532;&#49828;&#53944;.html" TargetMode="External" Id="rId3"/><Relationship Type="http://schemas.openxmlformats.org/officeDocument/2006/relationships/hyperlink" Target="&#47588;&#45684;&#50620;BODY(&#51665;&#54665;&#45800;&#44228;-&#52392;&#48512;&#54260;&#45908;)\&#49888;&#54840;&#48516;&#50556;\2_&#52265;&#49688;&#51456;&#48708;%20KOM\&#54364;&#51456;&#49436;\&#52265;&#49688;&#51456;&#48708;%20KOM_&#54364;&#51456;&#49436;.html" TargetMode="External" Id="rId4"/><Relationship Type="http://schemas.openxmlformats.org/officeDocument/2006/relationships/hyperlink" Target="&#47588;&#45684;&#50620;BODY(&#51665;&#54665;&#45800;&#44228;-&#52392;&#48512;&#54260;&#45908;)\&#49888;&#54840;&#48516;&#50556;\2_&#52265;&#49688;&#51456;&#48708;%20KOM\&#49688;&#54665;&#51648;&#52840;\&#52265;&#49688;&#51456;&#48708;%20KOM_&#49688;&#54665;&#51648;&#52840;.html" TargetMode="External" Id="rId5"/><Relationship Type="http://schemas.openxmlformats.org/officeDocument/2006/relationships/hyperlink" Target="&#47588;&#45684;&#50620;BODY(&#51665;&#54665;&#45800;&#44228;-&#52392;&#48512;&#54260;&#45908;)\&#49888;&#54840;&#48516;&#50556;\2_&#52265;&#49688;&#51456;&#48708;%20KOM\&#52404;&#53356;&#47532;&#49828;&#53944;\&#52265;&#49688;&#51456;&#48708;%20KOM_&#52404;&#53356;&#47532;&#49828;&#53944;.html" TargetMode="External" Id="rId6"/><Relationship Type="http://schemas.openxmlformats.org/officeDocument/2006/relationships/hyperlink" Target="&#47588;&#45684;&#50620;BODY(&#51665;&#54665;&#45800;&#44228;-&#52392;&#48512;&#54260;&#45908;)\&#49888;&#54840;&#48516;&#50556;\3_&#52265;&#49688;&#51204;%20Big%20Room%20&#54924;&#51032;\&#54364;&#51456;&#49436;\&#52265;&#49688;&#51204;%20Big%20Room%20&#54924;&#51032;_&#54364;&#51456;&#49436;.html" TargetMode="External" Id="rId7"/><Relationship Type="http://schemas.openxmlformats.org/officeDocument/2006/relationships/hyperlink" Target="&#47588;&#45684;&#50620;BODY(&#51665;&#54665;&#45800;&#44228;-&#52392;&#48512;&#54260;&#45908;)\&#49888;&#54840;&#48516;&#50556;\3_&#52265;&#49688;&#51204;%20Big%20Room%20&#54924;&#51032;\&#49688;&#54665;&#51648;&#52840;\&#52265;&#49688;&#51204;%20Big%20Room%20&#54924;&#51032;_&#49688;&#54665;&#51648;&#52840;.html" TargetMode="External" Id="rId8"/><Relationship Type="http://schemas.openxmlformats.org/officeDocument/2006/relationships/hyperlink" Target="&#47588;&#45684;&#50620;BODY(&#51665;&#54665;&#45800;&#44228;-&#52392;&#48512;&#54260;&#45908;)\&#49888;&#54840;&#48516;&#50556;\3_&#52265;&#49688;&#51204;%20Big%20Room%20&#54924;&#51032;\&#52404;&#53356;&#47532;&#49828;&#53944;\&#52265;&#49688;&#51204;%20Big%20Room%20&#54924;&#51032;_&#52404;&#53356;&#47532;&#49828;&#53944;.html" TargetMode="External" Id="rId9"/><Relationship Type="http://schemas.openxmlformats.org/officeDocument/2006/relationships/hyperlink" Target="&#47588;&#45684;&#50620;BODY(&#51665;&#54665;&#45800;&#44228;-&#52392;&#48512;&#54260;&#45908;)\&#49888;&#54840;&#48516;&#50556;\4_&#51204;&#44592;%20_%20&#53685;&#49888;%20_%20PSD%20_%20&#52264;&#47049;%20&#51064;&#53552;&#54168;&#51060;&#49828;%20&#54801;&#51032;\&#54364;&#51456;&#49436;\&#51204;&#44592;%20_%20&#53685;&#49888;%20_%20PSD%20_%20&#52264;&#47049;%20&#51064;&#53552;&#54168;&#51060;&#49828;%20&#54801;&#51032;_&#54364;&#51456;&#49436;.html" TargetMode="External" Id="rId10"/><Relationship Type="http://schemas.openxmlformats.org/officeDocument/2006/relationships/hyperlink" Target="&#47588;&#45684;&#50620;BODY(&#51665;&#54665;&#45800;&#44228;-&#52392;&#48512;&#54260;&#45908;)\&#49888;&#54840;&#48516;&#50556;\4_&#51204;&#44592;%20_%20&#53685;&#49888;%20_%20PSD%20_%20&#52264;&#47049;%20&#51064;&#53552;&#54168;&#51060;&#49828;%20&#54801;&#51032;\&#49688;&#54665;&#51648;&#52840;\&#51204;&#44592;%20_%20&#53685;&#49888;%20_%20PSD%20_%20&#52264;&#47049;%20&#51064;&#53552;&#54168;&#51060;&#49828;%20&#54801;&#51032;_&#49688;&#54665;&#51648;&#52840;.html" TargetMode="External" Id="rId11"/><Relationship Type="http://schemas.openxmlformats.org/officeDocument/2006/relationships/hyperlink" Target="&#47588;&#45684;&#50620;BODY(&#51665;&#54665;&#45800;&#44228;-&#52392;&#48512;&#54260;&#45908;)\&#49888;&#54840;&#48516;&#50556;\4_&#51204;&#44592;%20_%20&#53685;&#49888;%20_%20PSD%20_%20&#52264;&#47049;%20&#51064;&#53552;&#54168;&#51060;&#49828;%20&#54801;&#51032;\&#52404;&#53356;&#47532;&#49828;&#53944;\&#51204;&#44592;%20_%20&#53685;&#49888;%20_%20PSD%20_%20&#52264;&#47049;%20&#51064;&#53552;&#54168;&#51060;&#49828;%20&#54801;&#51032;_&#52404;&#53356;&#47532;&#49828;&#53944;.html" TargetMode="External" Id="rId12"/><Relationship Type="http://schemas.openxmlformats.org/officeDocument/2006/relationships/hyperlink" Target="&#47588;&#45684;&#50620;BODY(&#51665;&#54665;&#45800;&#44228;-&#52392;&#48512;&#54260;&#45908;)\&#49888;&#54840;&#48516;&#50556;\5_&#46020;&#47196;%20_%20&#44452;&#46020;%20&#51064;&#53552;&#54168;&#51060;&#49828;%20&#54801;&#51032;\&#54364;&#51456;&#49436;\&#46020;&#47196;%20_%20&#44452;&#46020;%20&#51064;&#53552;&#54168;&#51060;&#49828;%20&#54801;&#51032;_&#54364;&#51456;&#49436;.html" TargetMode="External" Id="rId13"/><Relationship Type="http://schemas.openxmlformats.org/officeDocument/2006/relationships/hyperlink" Target="&#47588;&#45684;&#50620;BODY(&#51665;&#54665;&#45800;&#44228;-&#52392;&#48512;&#54260;&#45908;)\&#49888;&#54840;&#48516;&#50556;\5_&#46020;&#47196;%20_%20&#44452;&#46020;%20&#51064;&#53552;&#54168;&#51060;&#49828;%20&#54801;&#51032;\&#49688;&#54665;&#51648;&#52840;\&#46020;&#47196;%20_%20&#44452;&#46020;%20&#51064;&#53552;&#54168;&#51060;&#49828;%20&#54801;&#51032;_&#49688;&#54665;&#51648;&#52840;.html" TargetMode="External" Id="rId14"/><Relationship Type="http://schemas.openxmlformats.org/officeDocument/2006/relationships/hyperlink" Target="&#47588;&#45684;&#50620;BODY(&#51665;&#54665;&#45800;&#44228;-&#52392;&#48512;&#54260;&#45908;)\&#49888;&#54840;&#48516;&#50556;\5_&#46020;&#47196;%20_%20&#44452;&#46020;%20&#51064;&#53552;&#54168;&#51060;&#49828;%20&#54801;&#51032;\&#52404;&#53356;&#47532;&#49828;&#53944;\&#46020;&#47196;%20_%20&#44452;&#46020;%20&#51064;&#53552;&#54168;&#51060;&#49828;%20&#54801;&#51032;_&#52404;&#53356;&#47532;&#49828;&#53944;.html" TargetMode="External" Id="rId15"/><Relationship Type="http://schemas.openxmlformats.org/officeDocument/2006/relationships/hyperlink" Target="&#47588;&#45684;&#50620;BODY(&#51665;&#54665;&#45800;&#44228;-&#52392;&#48512;&#54260;&#45908;)\&#49888;&#54840;&#48516;&#50556;\6_&#49884;&#44277;&#51204;%20&#51064;&#53552;&#54168;&#51060;&#49828;%20&#54801;&#51032;\&#54364;&#51456;&#49436;\&#49884;&#44277;&#51204;%20&#51064;&#53552;&#54168;&#51060;&#49828;%20&#54801;&#51032;_&#54364;&#51456;&#49436;.html" TargetMode="External" Id="rId16"/><Relationship Type="http://schemas.openxmlformats.org/officeDocument/2006/relationships/hyperlink" Target="&#47588;&#45684;&#50620;BODY(&#51665;&#54665;&#45800;&#44228;-&#52392;&#48512;&#54260;&#45908;)\&#49888;&#54840;&#48516;&#50556;\6_&#49884;&#44277;&#51204;%20&#51064;&#53552;&#54168;&#51060;&#49828;%20&#54801;&#51032;\&#49688;&#54665;&#51648;&#52840;\&#49884;&#44277;&#51204;%20&#51064;&#53552;&#54168;&#51060;&#49828;%20&#54801;&#51032;_&#49688;&#54665;&#51648;&#52840;.html" TargetMode="External" Id="rId17"/><Relationship Type="http://schemas.openxmlformats.org/officeDocument/2006/relationships/hyperlink" Target="&#47588;&#45684;&#50620;BODY(&#51665;&#54665;&#45800;&#44228;-&#52392;&#48512;&#54260;&#45908;)\&#49888;&#54840;&#48516;&#50556;\6_&#49884;&#44277;&#51204;%20&#51064;&#53552;&#54168;&#51060;&#49828;%20&#54801;&#51032;\&#52404;&#53356;&#47532;&#49828;&#53944;\&#49884;&#44277;&#51204;%20&#51064;&#53552;&#54168;&#51060;&#49828;%20&#54801;&#51032;_&#52404;&#53356;&#47532;&#49828;&#53944;.html" TargetMode="External" Id="rId18"/><Relationship Type="http://schemas.openxmlformats.org/officeDocument/2006/relationships/hyperlink" Target="&#47588;&#45684;&#50620;BODY(&#51665;&#54665;&#45800;&#44228;-&#52392;&#48512;&#54260;&#45908;)\&#49888;&#54840;&#48516;&#50556;\7_&#49884;&#49828;&#53596;%20&#51109;&#48708;&#44160;&#53664;%20&#49324;&#51204;%20&#54801;&#51032;&#49324;&#54637;%20&#46020;&#52636;%20&#48143;%20&#44160;&#53664;\&#54364;&#51456;&#49436;\&#49884;&#49828;&#53596;%20&#51109;&#48708;&#44160;&#53664;%20&#49324;&#51204;%20&#54801;&#51032;&#49324;&#54637;%20&#46020;&#52636;%20&#48143;%20&#44160;&#53664;_&#54364;&#51456;&#49436;.html" TargetMode="External" Id="rId19"/><Relationship Type="http://schemas.openxmlformats.org/officeDocument/2006/relationships/hyperlink" Target="&#47588;&#45684;&#50620;BODY(&#51665;&#54665;&#45800;&#44228;-&#52392;&#48512;&#54260;&#45908;)\&#49888;&#54840;&#48516;&#50556;\7_&#49884;&#49828;&#53596;%20&#51109;&#48708;&#44160;&#53664;%20&#49324;&#51204;%20&#54801;&#51032;&#49324;&#54637;%20&#46020;&#52636;%20&#48143;%20&#44160;&#53664;\&#49688;&#54665;&#51648;&#52840;\&#49884;&#49828;&#53596;%20&#51109;&#48708;&#44160;&#53664;%20&#49324;&#51204;%20&#54801;&#51032;&#49324;&#54637;%20&#46020;&#52636;%20&#48143;%20&#44160;&#53664;_&#49688;&#54665;&#51648;&#52840;.html" TargetMode="External" Id="rId20"/><Relationship Type="http://schemas.openxmlformats.org/officeDocument/2006/relationships/hyperlink" Target="&#47588;&#45684;&#50620;BODY(&#51665;&#54665;&#45800;&#44228;-&#52392;&#48512;&#54260;&#45908;)\&#49888;&#54840;&#48516;&#50556;\7_&#49884;&#49828;&#53596;%20&#51109;&#48708;&#44160;&#53664;%20&#49324;&#51204;%20&#54801;&#51032;&#49324;&#54637;%20&#46020;&#52636;%20&#48143;%20&#44160;&#53664;\&#52404;&#53356;&#47532;&#49828;&#53944;\&#49884;&#49828;&#53596;%20&#51109;&#48708;&#44160;&#53664;%20&#49324;&#51204;%20&#54801;&#51032;&#49324;&#54637;%20&#46020;&#52636;%20&#48143;%20&#44160;&#53664;_&#52404;&#53356;&#47532;&#49828;&#53944;.html" TargetMode="External" Id="rId21"/><Relationship Type="http://schemas.openxmlformats.org/officeDocument/2006/relationships/hyperlink" Target="&#47588;&#45684;&#50620;BODY(&#51665;&#54665;&#45800;&#44228;-&#52392;&#48512;&#54260;&#45908;)\&#49888;&#54840;&#48516;&#50556;\8_&#44288;&#51228;%20&#48143;%20&#50868;&#50689;&#49324;%20&#51064;&#53552;&#54168;&#51060;&#49828;%20&#54801;&#51032;\&#54364;&#51456;&#49436;\&#44288;&#51228;%20&#48143;%20&#50868;&#50689;&#49324;%20&#51064;&#53552;&#54168;&#51060;&#49828;%20&#54801;&#51032;_&#54364;&#51456;&#49436;.html" TargetMode="External" Id="rId22"/><Relationship Type="http://schemas.openxmlformats.org/officeDocument/2006/relationships/hyperlink" Target="&#47588;&#45684;&#50620;BODY(&#51665;&#54665;&#45800;&#44228;-&#52392;&#48512;&#54260;&#45908;)\&#49888;&#54840;&#48516;&#50556;\8_&#44288;&#51228;%20&#48143;%20&#50868;&#50689;&#49324;%20&#51064;&#53552;&#54168;&#51060;&#49828;%20&#54801;&#51032;\&#49688;&#54665;&#51648;&#52840;\&#44288;&#51228;%20&#48143;%20&#50868;&#50689;&#49324;%20&#51064;&#53552;&#54168;&#51060;&#49828;%20&#54801;&#51032;_&#49688;&#54665;&#51648;&#52840;.html" TargetMode="External" Id="rId23"/><Relationship Type="http://schemas.openxmlformats.org/officeDocument/2006/relationships/hyperlink" Target="&#47588;&#45684;&#50620;BODY(&#51665;&#54665;&#45800;&#44228;-&#52392;&#48512;&#54260;&#45908;)\&#49888;&#54840;&#48516;&#50556;\8_&#44288;&#51228;%20&#48143;%20&#50868;&#50689;&#49324;%20&#51064;&#53552;&#54168;&#51060;&#49828;%20&#54801;&#51032;\&#52404;&#53356;&#47532;&#49828;&#53944;\&#44288;&#51228;%20&#48143;%20&#50868;&#50689;&#49324;%20&#51064;&#53552;&#54168;&#51060;&#49828;%20&#54801;&#51032;_&#52404;&#53356;&#47532;&#49828;&#53944;.html" TargetMode="External" Id="rId24"/><Relationship Type="http://schemas.openxmlformats.org/officeDocument/2006/relationships/hyperlink" Target="&#47588;&#45684;&#50620;BODY(&#51665;&#54665;&#45800;&#44228;-&#52392;&#48512;&#54260;&#45908;)\&#49888;&#54840;&#48516;&#50556;\9_&#51088;&#51116;%20_%20&#51064;&#50896;%20_%20&#51109;&#48708;%20&#48143;%20&#53804;&#51077;%20&#49324;&#51204;%20&#44160;&#53664;\&#54364;&#51456;&#49436;\&#51088;&#51116;%20_%20&#51064;&#50896;%20_%20&#51109;&#48708;%20&#48143;%20&#53804;&#51077;%20&#49324;&#51204;%20&#44160;&#53664;_&#54364;&#51456;&#49436;.html" TargetMode="External" Id="rId25"/><Relationship Type="http://schemas.openxmlformats.org/officeDocument/2006/relationships/hyperlink" Target="&#47588;&#45684;&#50620;BODY(&#51665;&#54665;&#45800;&#44228;-&#52392;&#48512;&#54260;&#45908;)\&#49888;&#54840;&#48516;&#50556;\9_&#51088;&#51116;%20_%20&#51064;&#50896;%20_%20&#51109;&#48708;%20&#48143;%20&#53804;&#51077;%20&#49324;&#51204;%20&#44160;&#53664;\&#49688;&#54665;&#51648;&#52840;\&#51088;&#51116;%20_%20&#51064;&#50896;%20_%20&#51109;&#48708;%20&#48143;%20&#53804;&#51077;%20&#49324;&#51204;%20&#44160;&#53664;_&#49688;&#54665;&#51648;&#52840;.html" TargetMode="External" Id="rId26"/><Relationship Type="http://schemas.openxmlformats.org/officeDocument/2006/relationships/hyperlink" Target="&#47588;&#45684;&#50620;BODY(&#51665;&#54665;&#45800;&#44228;-&#52392;&#48512;&#54260;&#45908;)\&#49888;&#54840;&#48516;&#50556;\9_&#51088;&#51116;%20_%20&#51064;&#50896;%20_%20&#51109;&#48708;%20&#48143;%20&#53804;&#51077;%20&#49324;&#51204;%20&#44160;&#53664;\&#52404;&#53356;&#47532;&#49828;&#53944;\&#51088;&#51116;%20_%20&#51064;&#50896;%20_%20&#51109;&#48708;%20&#48143;%20&#53804;&#51077;%20&#49324;&#51204;%20&#44160;&#53664;_&#52404;&#53356;&#47532;&#49828;&#53944;.html" TargetMode="External" Id="rId27"/><Relationship Type="http://schemas.openxmlformats.org/officeDocument/2006/relationships/hyperlink" Target="&#47588;&#45684;&#50620;BODY(&#51665;&#54665;&#45800;&#44228;-&#52392;&#48512;&#54260;&#45908;)\&#49888;&#54840;&#48516;&#50556;\10_&#51109;&#48708;&#48152;&#51077;%20&#48143;%20&#50504;&#51204;&#44368;&#50977;\&#54364;&#51456;&#49436;\&#51109;&#48708;&#48152;&#51077;%20&#48143;%20&#50504;&#51204;&#44368;&#50977;_&#54364;&#51456;&#49436;.html" TargetMode="External" Id="rId28"/><Relationship Type="http://schemas.openxmlformats.org/officeDocument/2006/relationships/hyperlink" Target="&#47588;&#45684;&#50620;BODY(&#51665;&#54665;&#45800;&#44228;-&#52392;&#48512;&#54260;&#45908;)\&#49888;&#54840;&#48516;&#50556;\10_&#51109;&#48708;&#48152;&#51077;%20&#48143;%20&#50504;&#51204;&#44368;&#50977;\&#49688;&#54665;&#51648;&#52840;\&#51109;&#48708;&#48152;&#51077;%20&#48143;%20&#50504;&#51204;&#44368;&#50977;_&#49688;&#54665;&#51648;&#52840;.html" TargetMode="External" Id="rId29"/><Relationship Type="http://schemas.openxmlformats.org/officeDocument/2006/relationships/hyperlink" Target="&#47588;&#45684;&#50620;BODY(&#51665;&#54665;&#45800;&#44228;-&#52392;&#48512;&#54260;&#45908;)\&#49888;&#54840;&#48516;&#50556;\10_&#51109;&#48708;&#48152;&#51077;%20&#48143;%20&#50504;&#51204;&#44368;&#50977;\&#52404;&#53356;&#47532;&#49828;&#53944;\&#51109;&#48708;&#48152;&#51077;%20&#48143;%20&#50504;&#51204;&#44368;&#50977;_&#52404;&#53356;&#47532;&#49828;&#53944;.html" TargetMode="External" Id="rId30"/><Relationship Type="http://schemas.openxmlformats.org/officeDocument/2006/relationships/hyperlink" Target="&#47588;&#45684;&#50620;BODY(&#51665;&#54665;&#45800;&#44228;-&#52392;&#48512;&#54260;&#45908;)\&#49888;&#54840;&#48516;&#50556;\11_&#51088;&#51116;%20&#48152;&#51077;%20&#48143;%20&#44160;&#49688;\&#54364;&#51456;&#49436;\&#51088;&#51116;%20&#48152;&#51077;%20&#48143;%20&#44160;&#49688;_&#54364;&#51456;&#49436;.html" TargetMode="External" Id="rId31"/><Relationship Type="http://schemas.openxmlformats.org/officeDocument/2006/relationships/hyperlink" Target="&#47588;&#45684;&#50620;BODY(&#51665;&#54665;&#45800;&#44228;-&#52392;&#48512;&#54260;&#45908;)\&#49888;&#54840;&#48516;&#50556;\11_&#51088;&#51116;%20&#48152;&#51077;%20&#48143;%20&#44160;&#49688;\&#49688;&#54665;&#51648;&#52840;\&#51088;&#51116;%20&#48152;&#51077;%20&#48143;%20&#44160;&#49688;_&#49688;&#54665;&#51648;&#52840;.html" TargetMode="External" Id="rId32"/><Relationship Type="http://schemas.openxmlformats.org/officeDocument/2006/relationships/hyperlink" Target="&#47588;&#45684;&#50620;BODY(&#51665;&#54665;&#45800;&#44228;-&#52392;&#48512;&#54260;&#45908;)\&#49888;&#54840;&#48516;&#50556;\11_&#51088;&#51116;%20&#48152;&#51077;%20&#48143;%20&#44160;&#49688;\&#52404;&#53356;&#47532;&#49828;&#53944;\&#51088;&#51116;%20&#48152;&#51077;%20&#48143;%20&#44160;&#49688;_&#52404;&#53356;&#47532;&#49828;&#53944;.html" TargetMode="External" Id="rId33"/><Relationship Type="http://schemas.openxmlformats.org/officeDocument/2006/relationships/hyperlink" Target="&#47588;&#45684;&#50620;BODY(&#51665;&#54665;&#45800;&#44228;-&#52392;&#48512;&#54260;&#45908;)\&#49888;&#54840;&#48516;&#50556;\12_&#49884;&#49828;&#53596;&#49444;&#48708;%20&#49444;&#52824;%20(&#54788;&#51109;_&#44592;&#45733;&#49892;)\&#54364;&#51456;&#49436;\&#49884;&#49828;&#53596;&#49444;&#48708;%20&#49444;&#52824;%20(&#54788;&#51109;_&#44592;&#45733;&#49892;)_&#54364;&#51456;&#49436;.html" TargetMode="External" Id="rId34"/><Relationship Type="http://schemas.openxmlformats.org/officeDocument/2006/relationships/hyperlink" Target="&#47588;&#45684;&#50620;BODY(&#51665;&#54665;&#45800;&#44228;-&#52392;&#48512;&#54260;&#45908;)\&#49888;&#54840;&#48516;&#50556;\12_&#49884;&#49828;&#53596;&#49444;&#48708;%20&#49444;&#52824;%20(&#54788;&#51109;_&#44592;&#45733;&#49892;)\&#49688;&#54665;&#51648;&#52840;\&#49884;&#49828;&#53596;&#49444;&#48708;%20&#49444;&#52824;%20(&#54788;&#51109;_&#44592;&#45733;&#49892;)_&#49688;&#54665;&#51648;&#52840;.html" TargetMode="External" Id="rId35"/><Relationship Type="http://schemas.openxmlformats.org/officeDocument/2006/relationships/hyperlink" Target="&#47588;&#45684;&#50620;BODY(&#51665;&#54665;&#45800;&#44228;-&#52392;&#48512;&#54260;&#45908;)\&#49888;&#54840;&#48516;&#50556;\12_&#49884;&#49828;&#53596;&#49444;&#48708;%20&#49444;&#52824;%20(&#54788;&#51109;_&#44592;&#45733;&#49892;)\&#52404;&#53356;&#47532;&#49828;&#53944;\&#49884;&#49828;&#53596;&#49444;&#48708;%20&#49444;&#52824;%20(&#54788;&#51109;_&#44592;&#45733;&#49892;)_&#52404;&#53356;&#47532;&#49828;&#53944;.html" TargetMode="External" Id="rId36"/><Relationship Type="http://schemas.openxmlformats.org/officeDocument/2006/relationships/hyperlink" Target="&#47588;&#45684;&#50620;BODY(&#51665;&#54665;&#45800;&#44228;-&#52392;&#48512;&#54260;&#45908;)\&#49888;&#54840;&#48516;&#50556;\13_&#49884;&#49828;&#53596;%20&#45800;&#50948;&#49884;&#54744;\&#54364;&#51456;&#49436;\&#49884;&#49828;&#53596;%20&#45800;&#50948;&#49884;&#54744;_&#54364;&#51456;&#49436;.html" TargetMode="External" Id="rId37"/><Relationship Type="http://schemas.openxmlformats.org/officeDocument/2006/relationships/hyperlink" Target="&#47588;&#45684;&#50620;BODY(&#51665;&#54665;&#45800;&#44228;-&#52392;&#48512;&#54260;&#45908;)\&#49888;&#54840;&#48516;&#50556;\13_&#49884;&#49828;&#53596;%20&#45800;&#50948;&#49884;&#54744;\&#49688;&#54665;&#51648;&#52840;\&#49884;&#49828;&#53596;%20&#45800;&#50948;&#49884;&#54744;_&#49688;&#54665;&#51648;&#52840;.html" TargetMode="External" Id="rId38"/><Relationship Type="http://schemas.openxmlformats.org/officeDocument/2006/relationships/hyperlink" Target="&#47588;&#45684;&#50620;BODY(&#51665;&#54665;&#45800;&#44228;-&#52392;&#48512;&#54260;&#45908;)\&#49888;&#54840;&#48516;&#50556;\13_&#49884;&#49828;&#53596;%20&#45800;&#50948;&#49884;&#54744;\&#52404;&#53356;&#47532;&#49828;&#53944;\&#49884;&#49828;&#53596;%20&#45800;&#50948;&#49884;&#54744;_&#52404;&#53356;&#47532;&#49828;&#53944;.html" TargetMode="External" Id="rId39"/><Relationship Type="http://schemas.openxmlformats.org/officeDocument/2006/relationships/hyperlink" Target="&#47588;&#45684;&#50620;BODY(&#51665;&#54665;&#45800;&#44228;-&#52392;&#48512;&#54260;&#45908;)\&#49888;&#54840;&#48516;&#50556;\14_&#49888;&#54840;&#49884;&#49828;&#53596;%20&#53685;&#54633;&#49884;&#54744;\&#54364;&#51456;&#49436;\&#49888;&#54840;&#49884;&#49828;&#53596;%20&#53685;&#54633;&#49884;&#54744;_&#54364;&#51456;&#49436;.html" TargetMode="External" Id="rId40"/><Relationship Type="http://schemas.openxmlformats.org/officeDocument/2006/relationships/hyperlink" Target="&#47588;&#45684;&#50620;BODY(&#51665;&#54665;&#45800;&#44228;-&#52392;&#48512;&#54260;&#45908;)\&#49888;&#54840;&#48516;&#50556;\14_&#49888;&#54840;&#49884;&#49828;&#53596;%20&#53685;&#54633;&#49884;&#54744;\&#49688;&#54665;&#51648;&#52840;\&#49888;&#54840;&#49884;&#49828;&#53596;%20&#53685;&#54633;&#49884;&#54744;_&#49688;&#54665;&#51648;&#52840;.html" TargetMode="External" Id="rId41"/><Relationship Type="http://schemas.openxmlformats.org/officeDocument/2006/relationships/hyperlink" Target="&#47588;&#45684;&#50620;BODY(&#51665;&#54665;&#45800;&#44228;-&#52392;&#48512;&#54260;&#45908;)\&#49888;&#54840;&#48516;&#50556;\14_&#49888;&#54840;&#49884;&#49828;&#53596;%20&#53685;&#54633;&#49884;&#54744;\&#52404;&#53356;&#47532;&#49828;&#53944;\&#49888;&#54840;&#49884;&#49828;&#53596;%20&#53685;&#54633;&#49884;&#54744;_&#52404;&#53356;&#47532;&#49828;&#53944;.html" TargetMode="External" Id="rId42"/><Relationship Type="http://schemas.openxmlformats.org/officeDocument/2006/relationships/hyperlink" Target="&#47588;&#45684;&#50620;BODY(&#51665;&#54665;&#45800;&#44228;-&#52392;&#48512;&#54260;&#45908;)\&#49888;&#54840;&#48516;&#50556;\15_&#44277;&#51333;&#48324;%20&#49884;&#54744;\&#54364;&#51456;&#49436;\&#44277;&#51333;&#48324;%20&#49884;&#54744;_&#54364;&#51456;&#49436;.html" TargetMode="External" Id="rId43"/><Relationship Type="http://schemas.openxmlformats.org/officeDocument/2006/relationships/hyperlink" Target="&#47588;&#45684;&#50620;BODY(&#51665;&#54665;&#45800;&#44228;-&#52392;&#48512;&#54260;&#45908;)\&#49888;&#54840;&#48516;&#50556;\15_&#44277;&#51333;&#48324;%20&#49884;&#54744;\&#49688;&#54665;&#51648;&#52840;\&#44277;&#51333;&#48324;%20&#49884;&#54744;_&#49688;&#54665;&#51648;&#52840;.html" TargetMode="External" Id="rId44"/><Relationship Type="http://schemas.openxmlformats.org/officeDocument/2006/relationships/hyperlink" Target="&#47588;&#45684;&#50620;BODY(&#51665;&#54665;&#45800;&#44228;-&#52392;&#48512;&#54260;&#45908;)\&#49888;&#54840;&#48516;&#50556;\15_&#44277;&#51333;&#48324;%20&#49884;&#54744;\&#52404;&#53356;&#47532;&#49828;&#53944;\&#44277;&#51333;&#48324;%20&#49884;&#54744;_&#52404;&#53356;&#47532;&#49828;&#53944;.html" TargetMode="External" Id="rId45"/><Relationship Type="http://schemas.openxmlformats.org/officeDocument/2006/relationships/hyperlink" Target="&#47588;&#45684;&#50620;BODY(&#51665;&#54665;&#45800;&#44228;-&#52392;&#48512;&#54260;&#45908;)\&#49888;&#54840;&#48516;&#50556;\16_&#52264;&#47049;%20&#53804;&#51077;%20&#51204;%20&#51216;&#44160;\&#54364;&#51456;&#49436;\&#52264;&#47049;%20&#53804;&#51077;%20&#51204;%20&#51216;&#44160;_&#54364;&#51456;&#49436;.html" TargetMode="External" Id="rId46"/><Relationship Type="http://schemas.openxmlformats.org/officeDocument/2006/relationships/hyperlink" Target="&#47588;&#45684;&#50620;BODY(&#51665;&#54665;&#45800;&#44228;-&#52392;&#48512;&#54260;&#45908;)\&#49888;&#54840;&#48516;&#50556;\16_&#52264;&#47049;%20&#53804;&#51077;%20&#51204;%20&#51216;&#44160;\&#49688;&#54665;&#51648;&#52840;\&#52264;&#47049;%20&#53804;&#51077;%20&#51204;%20&#51216;&#44160;_&#49688;&#54665;&#51648;&#52840;.html" TargetMode="External" Id="rId47"/><Relationship Type="http://schemas.openxmlformats.org/officeDocument/2006/relationships/hyperlink" Target="&#47588;&#45684;&#50620;BODY(&#51665;&#54665;&#45800;&#44228;-&#52392;&#48512;&#54260;&#45908;)\&#49888;&#54840;&#48516;&#50556;\16_&#52264;&#47049;%20&#53804;&#51077;%20&#51204;%20&#51216;&#44160;\&#52404;&#53356;&#47532;&#49828;&#53944;\&#52264;&#47049;%20&#53804;&#51077;%20&#51204;%20&#51216;&#44160;_&#52404;&#53356;&#47532;&#49828;&#53944;.html" TargetMode="External" Id="rId48"/><Relationship Type="http://schemas.openxmlformats.org/officeDocument/2006/relationships/hyperlink" Target="&#47588;&#45684;&#50620;BODY(&#51665;&#54665;&#45800;&#44228;-&#52392;&#48512;&#54260;&#45908;)\&#49888;&#54840;&#48516;&#50556;\17_&#52264;&#47049;%20&#49884;&#50868;&#51204;\&#54364;&#51456;&#49436;\&#52264;&#47049;%20&#49884;&#50868;&#51204;_&#54364;&#51456;&#49436;.html" TargetMode="External" Id="rId49"/><Relationship Type="http://schemas.openxmlformats.org/officeDocument/2006/relationships/hyperlink" Target="&#47588;&#45684;&#50620;BODY(&#51665;&#54665;&#45800;&#44228;-&#52392;&#48512;&#54260;&#45908;)\&#49888;&#54840;&#48516;&#50556;\17_&#52264;&#47049;%20&#49884;&#50868;&#51204;\&#49688;&#54665;&#51648;&#52840;\&#52264;&#47049;%20&#49884;&#50868;&#51204;_&#49688;&#54665;&#51648;&#52840;.html" TargetMode="External" Id="rId50"/><Relationship Type="http://schemas.openxmlformats.org/officeDocument/2006/relationships/hyperlink" Target="&#47588;&#45684;&#50620;BODY(&#51665;&#54665;&#45800;&#44228;-&#52392;&#48512;&#54260;&#45908;)\&#49888;&#54840;&#48516;&#50556;\17_&#52264;&#47049;%20&#49884;&#50868;&#51204;\&#52404;&#53356;&#47532;&#49828;&#53944;\&#52264;&#47049;%20&#49884;&#50868;&#51204;_&#52404;&#53356;&#47532;&#49828;&#53944;.html" TargetMode="External" Id="rId51"/><Relationship Type="http://schemas.openxmlformats.org/officeDocument/2006/relationships/hyperlink" Target="&#47588;&#45684;&#50620;BODY(&#51665;&#54665;&#45800;&#44228;-&#52392;&#48512;&#54260;&#45908;)\&#49888;&#54840;&#48516;&#50556;\18_&#50868;&#50689;&#51088;%20&#44368;&#50977;&#49884;&#54665;\&#54364;&#51456;&#49436;\&#50868;&#50689;&#51088;%20&#44368;&#50977;&#49884;&#54665;_&#54364;&#51456;&#49436;.html" TargetMode="External" Id="rId52"/><Relationship Type="http://schemas.openxmlformats.org/officeDocument/2006/relationships/hyperlink" Target="&#47588;&#45684;&#50620;BODY(&#51665;&#54665;&#45800;&#44228;-&#52392;&#48512;&#54260;&#45908;)\&#49888;&#54840;&#48516;&#50556;\18_&#50868;&#50689;&#51088;%20&#44368;&#50977;&#49884;&#54665;\&#49688;&#54665;&#51648;&#52840;\&#50868;&#50689;&#51088;%20&#44368;&#50977;&#49884;&#54665;_&#49688;&#54665;&#51648;&#52840;.html" TargetMode="External" Id="rId53"/><Relationship Type="http://schemas.openxmlformats.org/officeDocument/2006/relationships/hyperlink" Target="&#47588;&#45684;&#50620;BODY(&#51665;&#54665;&#45800;&#44228;-&#52392;&#48512;&#54260;&#45908;)\&#49888;&#54840;&#48516;&#50556;\18_&#50868;&#50689;&#51088;%20&#44368;&#50977;&#49884;&#54665;\&#52404;&#53356;&#47532;&#49828;&#53944;\&#50868;&#50689;&#51088;%20&#44368;&#50977;&#49884;&#54665;_&#52404;&#53356;&#47532;&#49828;&#53944;.html" TargetMode="External" Id="rId54"/><Relationship Type="http://schemas.openxmlformats.org/officeDocument/2006/relationships/hyperlink" Target="&#47588;&#45684;&#50620;BODY(&#51665;&#54665;&#45800;&#44228;-&#52392;&#48512;&#54260;&#45908;)\&#49888;&#54840;&#48516;&#50556;\19_&#49324;&#51204;&#51216;&#44160;%20&#48143;%20&#52384;&#46020;&#44592;&#49696;&#44592;&#51456;%20&#44160;&#53664;\&#54364;&#51456;&#49436;\&#49324;&#51204;&#51216;&#44160;%20&#48143;%20&#52384;&#46020;&#44592;&#49696;&#44592;&#51456;%20&#44160;&#53664;_&#54364;&#51456;&#49436;.html" TargetMode="External" Id="rId55"/><Relationship Type="http://schemas.openxmlformats.org/officeDocument/2006/relationships/hyperlink" Target="&#47588;&#45684;&#50620;BODY(&#51665;&#54665;&#45800;&#44228;-&#52392;&#48512;&#54260;&#45908;)\&#49888;&#54840;&#48516;&#50556;\19_&#49324;&#51204;&#51216;&#44160;%20&#48143;%20&#52384;&#46020;&#44592;&#49696;&#44592;&#51456;%20&#44160;&#53664;\&#49688;&#54665;&#51648;&#52840;\&#49324;&#51204;&#51216;&#44160;%20&#48143;%20&#52384;&#46020;&#44592;&#49696;&#44592;&#51456;%20&#44160;&#53664;_&#49688;&#54665;&#51648;&#52840;.html" TargetMode="External" Id="rId56"/><Relationship Type="http://schemas.openxmlformats.org/officeDocument/2006/relationships/hyperlink" Target="&#47588;&#45684;&#50620;BODY(&#51665;&#54665;&#45800;&#44228;-&#52392;&#48512;&#54260;&#45908;)\&#49888;&#54840;&#48516;&#50556;\19_&#49324;&#51204;&#51216;&#44160;%20&#48143;%20&#52384;&#46020;&#44592;&#49696;&#44592;&#51456;%20&#44160;&#53664;\&#52404;&#53356;&#47532;&#49828;&#53944;\&#49324;&#51204;&#51216;&#44160;%20&#48143;%20&#52384;&#46020;&#44592;&#49696;&#44592;&#51456;%20&#44160;&#53664;_&#52404;&#53356;&#47532;&#49828;&#53944;.html" TargetMode="External" Id="rId57"/><Relationship Type="http://schemas.openxmlformats.org/officeDocument/2006/relationships/hyperlink" Target="&#47588;&#45684;&#50620;BODY(&#51665;&#54665;&#45800;&#44228;-&#52392;&#48512;&#54260;&#45908;)\&#49888;&#54840;&#48516;&#50556;\20_&#49884;&#49444;&#47932;%20&#44160;&#51613;&#49884;&#54744;\&#54364;&#51456;&#49436;\&#49884;&#49444;&#47932;%20&#44160;&#51613;&#49884;&#54744;_&#54364;&#51456;&#49436;.html" TargetMode="External" Id="rId58"/><Relationship Type="http://schemas.openxmlformats.org/officeDocument/2006/relationships/hyperlink" Target="&#47588;&#45684;&#50620;BODY(&#51665;&#54665;&#45800;&#44228;-&#52392;&#48512;&#54260;&#45908;)\&#49888;&#54840;&#48516;&#50556;\20_&#49884;&#49444;&#47932;%20&#44160;&#51613;&#49884;&#54744;\&#49688;&#54665;&#51648;&#52840;\&#49884;&#49444;&#47932;%20&#44160;&#51613;&#49884;&#54744;_&#49688;&#54665;&#51648;&#52840;.html" TargetMode="External" Id="rId59"/><Relationship Type="http://schemas.openxmlformats.org/officeDocument/2006/relationships/hyperlink" Target="&#47588;&#45684;&#50620;BODY(&#51665;&#54665;&#45800;&#44228;-&#52392;&#48512;&#54260;&#45908;)\&#49888;&#54840;&#48516;&#50556;\20_&#49884;&#49444;&#47932;%20&#44160;&#51613;&#49884;&#54744;\&#52404;&#53356;&#47532;&#49828;&#53944;\&#49884;&#49444;&#47932;%20&#44160;&#51613;&#49884;&#54744;_&#52404;&#53356;&#47532;&#49828;&#53944;.html" TargetMode="External" Id="rId60"/><Relationship Type="http://schemas.openxmlformats.org/officeDocument/2006/relationships/hyperlink" Target="&#47588;&#45684;&#50620;BODY(&#51665;&#54665;&#45800;&#44228;-&#52392;&#48512;&#54260;&#45908;)\&#49888;&#54840;&#48516;&#50556;\21_&#50689;&#50629;%20&#49884;&#50868;&#51204;\&#54364;&#51456;&#49436;\&#50689;&#50629;%20&#49884;&#50868;&#51204;_&#54364;&#51456;&#49436;.html" TargetMode="External" Id="rId61"/><Relationship Type="http://schemas.openxmlformats.org/officeDocument/2006/relationships/hyperlink" Target="&#47588;&#45684;&#50620;BODY(&#51665;&#54665;&#45800;&#44228;-&#52392;&#48512;&#54260;&#45908;)\&#49888;&#54840;&#48516;&#50556;\21_&#50689;&#50629;%20&#49884;&#50868;&#51204;\&#49688;&#54665;&#51648;&#52840;\&#50689;&#50629;%20&#49884;&#50868;&#51204;_&#49688;&#54665;&#51648;&#52840;.html" TargetMode="External" Id="rId62"/><Relationship Type="http://schemas.openxmlformats.org/officeDocument/2006/relationships/hyperlink" Target="&#47588;&#45684;&#50620;BODY(&#51665;&#54665;&#45800;&#44228;-&#52392;&#48512;&#54260;&#45908;)\&#49888;&#54840;&#48516;&#50556;\21_&#50689;&#50629;%20&#49884;&#50868;&#51204;\&#52404;&#53356;&#47532;&#49828;&#53944;\&#50689;&#50629;%20&#49884;&#50868;&#51204;_&#52404;&#53356;&#47532;&#49828;&#53944;.html" TargetMode="External" Id="rId63"/><Relationship Type="http://schemas.openxmlformats.org/officeDocument/2006/relationships/hyperlink" Target="&#47588;&#45684;&#50620;BODY(&#51665;&#54665;&#45800;&#44228;-&#52392;&#48512;&#54260;&#45908;)\&#49888;&#54840;&#48516;&#50556;\22_&#50976;&#51648;&#44288;&#47532;%20&#49444;&#52824;\&#54364;&#51456;&#49436;\&#50976;&#51648;&#44288;&#47532;%20&#49444;&#52824;_&#54364;&#51456;&#49436;.html" TargetMode="External" Id="rId64"/><Relationship Type="http://schemas.openxmlformats.org/officeDocument/2006/relationships/hyperlink" Target="&#47588;&#45684;&#50620;BODY(&#51665;&#54665;&#45800;&#44228;-&#52392;&#48512;&#54260;&#45908;)\&#49888;&#54840;&#48516;&#50556;\22_&#50976;&#51648;&#44288;&#47532;%20&#49444;&#52824;\&#49688;&#54665;&#51648;&#52840;\&#50976;&#51648;&#44288;&#47532;%20&#49444;&#52824;_&#49688;&#54665;&#51648;&#52840;.html" TargetMode="External" Id="rId65"/><Relationship Type="http://schemas.openxmlformats.org/officeDocument/2006/relationships/hyperlink" Target="&#47588;&#45684;&#50620;BODY(&#51665;&#54665;&#45800;&#44228;-&#52392;&#48512;&#54260;&#45908;)\&#49888;&#54840;&#48516;&#50556;\22_&#50976;&#51648;&#44288;&#47532;%20&#49444;&#52824;\&#52404;&#53356;&#47532;&#49828;&#53944;\&#50976;&#51648;&#44288;&#47532;%20&#49444;&#52824;_&#52404;&#53356;&#47532;&#49828;&#53944;.html" TargetMode="External" Id="rId66"/></Relationships>
</file>

<file path=xl/worksheets/_rels/sheet8.xml.rels><Relationships xmlns="http://schemas.openxmlformats.org/package/2006/relationships"><Relationship Type="http://schemas.openxmlformats.org/officeDocument/2006/relationships/hyperlink" Target="&#47588;&#45684;&#50620;BODY(&#51665;&#54665;&#45800;&#44228;-&#52392;&#48512;&#54260;&#45908;)\&#53685;&#49888;&#48516;&#50556;\1_&#49444;&#44228;&#51201;&#51221;&#49457;%20&#44160;&#53664;\&#54364;&#51456;&#49436;\&#49444;&#44228;&#51201;&#51221;&#49457;%20&#44160;&#53664;_&#54364;&#51456;&#49436;.html" TargetMode="External" Id="rId1"/><Relationship Type="http://schemas.openxmlformats.org/officeDocument/2006/relationships/hyperlink" Target="&#47588;&#45684;&#50620;BODY(&#51665;&#54665;&#45800;&#44228;-&#52392;&#48512;&#54260;&#45908;)\&#53685;&#49888;&#48516;&#50556;\1_&#49444;&#44228;&#51201;&#51221;&#49457;%20&#44160;&#53664;\&#49688;&#54665;&#51648;&#52840;\&#49444;&#44228;&#51201;&#51221;&#49457;%20&#44160;&#53664;_&#49688;&#54665;&#51648;&#52840;.html" TargetMode="External" Id="rId2"/><Relationship Type="http://schemas.openxmlformats.org/officeDocument/2006/relationships/hyperlink" Target="&#47588;&#45684;&#50620;BODY(&#51665;&#54665;&#45800;&#44228;-&#52392;&#48512;&#54260;&#45908;)\&#53685;&#49888;&#48516;&#50556;\1_&#49444;&#44228;&#51201;&#51221;&#49457;%20&#44160;&#53664;\&#52404;&#53356;&#47532;&#49828;&#53944;\&#49444;&#44228;&#51201;&#51221;&#49457;%20&#44160;&#53664;_&#52404;&#53356;&#47532;&#49828;&#53944;.html" TargetMode="External" Id="rId3"/><Relationship Type="http://schemas.openxmlformats.org/officeDocument/2006/relationships/hyperlink" Target="&#47588;&#45684;&#50620;BODY(&#51665;&#54665;&#45800;&#44228;-&#52392;&#48512;&#54260;&#45908;)\&#53685;&#49888;&#48516;&#50556;\2_&#52265;&#49688;&#51204;&#47029;%20KOM\&#54364;&#51456;&#49436;\&#52265;&#49688;&#51204;&#47029;%20KOM_&#54364;&#51456;&#49436;.html" TargetMode="External" Id="rId4"/><Relationship Type="http://schemas.openxmlformats.org/officeDocument/2006/relationships/hyperlink" Target="&#47588;&#45684;&#50620;BODY(&#51665;&#54665;&#45800;&#44228;-&#52392;&#48512;&#54260;&#45908;)\&#53685;&#49888;&#48516;&#50556;\2_&#52265;&#49688;&#51204;&#47029;%20KOM\&#49688;&#54665;&#51648;&#52840;\&#52265;&#49688;&#51204;&#47029;%20KOM_&#49688;&#54665;&#51648;&#52840;.html" TargetMode="External" Id="rId5"/><Relationship Type="http://schemas.openxmlformats.org/officeDocument/2006/relationships/hyperlink" Target="&#47588;&#45684;&#50620;BODY(&#51665;&#54665;&#45800;&#44228;-&#52392;&#48512;&#54260;&#45908;)\&#53685;&#49888;&#48516;&#50556;\2_&#52265;&#49688;&#51204;&#47029;%20KOM\&#52404;&#53356;&#47532;&#49828;&#53944;\&#52265;&#49688;&#51204;&#47029;%20KOM_&#52404;&#53356;&#47532;&#49828;&#53944;.html" TargetMode="External" Id="rId6"/><Relationship Type="http://schemas.openxmlformats.org/officeDocument/2006/relationships/hyperlink" Target="&#47588;&#45684;&#50620;BODY(&#51665;&#54665;&#45800;&#44228;-&#52392;&#48512;&#54260;&#45908;)\&#53685;&#49888;&#48516;&#50556;\3_&#53664;&#47785;%20_%20&#44148;&#52629;%20&#51064;&#53552;&#54168;&#51060;&#49828;%20&#54801;&#51032;\&#54364;&#51456;&#49436;\&#53664;&#47785;%20_%20&#44148;&#52629;%20&#51064;&#53552;&#54168;&#51060;&#49828;%20&#54801;&#51032;_&#54364;&#51456;&#49436;.html" TargetMode="External" Id="rId7"/><Relationship Type="http://schemas.openxmlformats.org/officeDocument/2006/relationships/hyperlink" Target="&#47588;&#45684;&#50620;BODY(&#51665;&#54665;&#45800;&#44228;-&#52392;&#48512;&#54260;&#45908;)\&#53685;&#49888;&#48516;&#50556;\3_&#53664;&#47785;%20_%20&#44148;&#52629;%20&#51064;&#53552;&#54168;&#51060;&#49828;%20&#54801;&#51032;\&#49688;&#54665;&#51648;&#52840;\&#53664;&#47785;%20_%20&#44148;&#52629;%20&#51064;&#53552;&#54168;&#51060;&#49828;%20&#54801;&#51032;_&#49688;&#54665;&#51648;&#52840;.html" TargetMode="External" Id="rId8"/><Relationship Type="http://schemas.openxmlformats.org/officeDocument/2006/relationships/hyperlink" Target="&#47588;&#45684;&#50620;BODY(&#51665;&#54665;&#45800;&#44228;-&#52392;&#48512;&#54260;&#45908;)\&#53685;&#49888;&#48516;&#50556;\3_&#53664;&#47785;%20_%20&#44148;&#52629;%20&#51064;&#53552;&#54168;&#51060;&#49828;%20&#54801;&#51032;\&#52404;&#53356;&#47532;&#49828;&#53944;\&#53664;&#47785;%20_%20&#44148;&#52629;%20&#51064;&#53552;&#54168;&#51060;&#49828;%20&#54801;&#51032;_&#52404;&#53356;&#47532;&#49828;&#53944;.html" TargetMode="External" Id="rId9"/><Relationship Type="http://schemas.openxmlformats.org/officeDocument/2006/relationships/hyperlink" Target="&#47588;&#45684;&#50620;BODY(&#51665;&#54665;&#45800;&#44228;-&#52392;&#48512;&#54260;&#45908;)\&#53685;&#49888;&#48516;&#50556;\4_&#51204;&#44592;%20_%20&#49888;&#54840;%20_%20&#44592;&#44228;%20_%20PSD%20_%20&#52264;&#47049;%20&#51064;&#53552;&#54168;&#51060;&#49828;%20&#54801;&#51032;\&#54364;&#51456;&#49436;\&#51204;&#44592;%20_%20&#49888;&#54840;%20_%20&#44592;&#44228;%20_%20PSD%20_%20&#52264;&#47049;%20&#51064;&#53552;&#54168;&#51060;&#49828;%20&#54801;&#51032;_&#54364;&#51456;&#49436;.html" TargetMode="External" Id="rId10"/><Relationship Type="http://schemas.openxmlformats.org/officeDocument/2006/relationships/hyperlink" Target="&#47588;&#45684;&#50620;BODY(&#51665;&#54665;&#45800;&#44228;-&#52392;&#48512;&#54260;&#45908;)\&#53685;&#49888;&#48516;&#50556;\4_&#51204;&#44592;%20_%20&#49888;&#54840;%20_%20&#44592;&#44228;%20_%20PSD%20_%20&#52264;&#47049;%20&#51064;&#53552;&#54168;&#51060;&#49828;%20&#54801;&#51032;\&#49688;&#54665;&#51648;&#52840;\&#51204;&#44592;%20_%20&#49888;&#54840;%20_%20&#44592;&#44228;%20_%20PSD%20_%20&#52264;&#47049;%20&#51064;&#53552;&#54168;&#51060;&#49828;%20&#54801;&#51032;_&#49688;&#54665;&#51648;&#52840;.html" TargetMode="External" Id="rId11"/><Relationship Type="http://schemas.openxmlformats.org/officeDocument/2006/relationships/hyperlink" Target="&#47588;&#45684;&#50620;BODY(&#51665;&#54665;&#45800;&#44228;-&#52392;&#48512;&#54260;&#45908;)\&#53685;&#49888;&#48516;&#50556;\4_&#51204;&#44592;%20_%20&#49888;&#54840;%20_%20&#44592;&#44228;%20_%20PSD%20_%20&#52264;&#47049;%20&#51064;&#53552;&#54168;&#51060;&#49828;%20&#54801;&#51032;\&#52404;&#53356;&#47532;&#49828;&#53944;\&#51204;&#44592;%20_%20&#49888;&#54840;%20_%20&#44592;&#44228;%20_%20PSD%20_%20&#52264;&#47049;%20&#51064;&#53552;&#54168;&#51060;&#49828;%20&#54801;&#51032;_&#52404;&#53356;&#47532;&#49828;&#53944;.html" TargetMode="External" Id="rId12"/><Relationship Type="http://schemas.openxmlformats.org/officeDocument/2006/relationships/hyperlink" Target="&#47588;&#45684;&#50620;BODY(&#51665;&#54665;&#45800;&#44228;-&#52392;&#48512;&#54260;&#45908;)\&#53685;&#49888;&#48516;&#50556;\5_&#53685;&#49888;&#49444;&#48708;%20&#51228;&#51089;&#49324;%20&#51064;&#53552;&#54168;&#51060;&#49828;%20&#54801;&#51032;\&#54364;&#51456;&#49436;\&#53685;&#49888;&#49444;&#48708;%20&#51228;&#51089;&#49324;%20&#51064;&#53552;&#54168;&#51060;&#49828;%20&#54801;&#51032;_&#54364;&#51456;&#49436;.html" TargetMode="External" Id="rId13"/><Relationship Type="http://schemas.openxmlformats.org/officeDocument/2006/relationships/hyperlink" Target="&#47588;&#45684;&#50620;BODY(&#51665;&#54665;&#45800;&#44228;-&#52392;&#48512;&#54260;&#45908;)\&#53685;&#49888;&#48516;&#50556;\5_&#53685;&#49888;&#49444;&#48708;%20&#51228;&#51089;&#49324;%20&#51064;&#53552;&#54168;&#51060;&#49828;%20&#54801;&#51032;\&#49688;&#54665;&#51648;&#52840;\&#53685;&#49888;&#49444;&#48708;%20&#51228;&#51089;&#49324;%20&#51064;&#53552;&#54168;&#51060;&#49828;%20&#54801;&#51032;_&#49688;&#54665;&#51648;&#52840;.html" TargetMode="External" Id="rId14"/><Relationship Type="http://schemas.openxmlformats.org/officeDocument/2006/relationships/hyperlink" Target="&#47588;&#45684;&#50620;BODY(&#51665;&#54665;&#45800;&#44228;-&#52392;&#48512;&#54260;&#45908;)\&#53685;&#49888;&#48516;&#50556;\5_&#53685;&#49888;&#49444;&#48708;%20&#51228;&#51089;&#49324;%20&#51064;&#53552;&#54168;&#51060;&#49828;%20&#54801;&#51032;\&#52404;&#53356;&#47532;&#49828;&#53944;\&#53685;&#49888;&#49444;&#48708;%20&#51228;&#51089;&#49324;%20&#51064;&#53552;&#54168;&#51060;&#49828;%20&#54801;&#51032;_&#52404;&#53356;&#47532;&#49828;&#53944;.html" TargetMode="External" Id="rId15"/><Relationship Type="http://schemas.openxmlformats.org/officeDocument/2006/relationships/hyperlink" Target="&#47588;&#45684;&#50620;BODY(&#51665;&#54665;&#45800;&#44228;-&#52392;&#48512;&#54260;&#45908;)\&#53685;&#49888;&#48516;&#50556;\6_&#44288;&#51228;%20&#48143;%20&#50868;&#50689;&#49324;%20&#51064;&#53552;&#54168;&#51060;&#49828;%20&#54801;&#51032;\&#54364;&#51456;&#49436;\&#44288;&#51228;%20&#48143;%20&#50868;&#50689;&#49324;%20&#51064;&#53552;&#54168;&#51060;&#49828;%20&#54801;&#51032;_&#54364;&#51456;&#49436;.html" TargetMode="External" Id="rId16"/><Relationship Type="http://schemas.openxmlformats.org/officeDocument/2006/relationships/hyperlink" Target="&#47588;&#45684;&#50620;BODY(&#51665;&#54665;&#45800;&#44228;-&#52392;&#48512;&#54260;&#45908;)\&#53685;&#49888;&#48516;&#50556;\6_&#44288;&#51228;%20&#48143;%20&#50868;&#50689;&#49324;%20&#51064;&#53552;&#54168;&#51060;&#49828;%20&#54801;&#51032;\&#49688;&#54665;&#51648;&#52840;\&#44288;&#51228;%20&#48143;%20&#50868;&#50689;&#49324;%20&#51064;&#53552;&#54168;&#51060;&#49828;%20&#54801;&#51032;_&#49688;&#54665;&#51648;&#52840;.html" TargetMode="External" Id="rId17"/><Relationship Type="http://schemas.openxmlformats.org/officeDocument/2006/relationships/hyperlink" Target="&#47588;&#45684;&#50620;BODY(&#51665;&#54665;&#45800;&#44228;-&#52392;&#48512;&#54260;&#45908;)\&#53685;&#49888;&#48516;&#50556;\6_&#44288;&#51228;%20&#48143;%20&#50868;&#50689;&#49324;%20&#51064;&#53552;&#54168;&#51060;&#49828;%20&#54801;&#51032;\&#52404;&#53356;&#47532;&#49828;&#53944;\&#44288;&#51228;%20&#48143;%20&#50868;&#50689;&#49324;%20&#51064;&#53552;&#54168;&#51060;&#49828;%20&#54801;&#51032;_&#52404;&#53356;&#47532;&#49828;&#53944;.html" TargetMode="External" Id="rId18"/><Relationship Type="http://schemas.openxmlformats.org/officeDocument/2006/relationships/hyperlink" Target="&#47588;&#45684;&#50620;BODY(&#51665;&#54665;&#45800;&#44228;-&#52392;&#48512;&#54260;&#45908;)\&#53685;&#49888;&#48516;&#50556;\7_&#48156;&#51452;&#52376;%20&#54408;&#51656;%20&#50836;&#44396;&#49324;&#54637;%20&#44160;&#53664;\&#54364;&#51456;&#49436;\&#48156;&#51452;&#52376;%20&#54408;&#51656;%20&#50836;&#44396;&#49324;&#54637;%20&#44160;&#53664;_&#54364;&#51456;&#49436;.html" TargetMode="External" Id="rId19"/><Relationship Type="http://schemas.openxmlformats.org/officeDocument/2006/relationships/hyperlink" Target="&#47588;&#45684;&#50620;BODY(&#51665;&#54665;&#45800;&#44228;-&#52392;&#48512;&#54260;&#45908;)\&#53685;&#49888;&#48516;&#50556;\7_&#48156;&#51452;&#52376;%20&#54408;&#51656;%20&#50836;&#44396;&#49324;&#54637;%20&#44160;&#53664;\&#49688;&#54665;&#51648;&#52840;\&#48156;&#51452;&#52376;%20&#54408;&#51656;%20&#50836;&#44396;&#49324;&#54637;%20&#44160;&#53664;_&#49688;&#54665;&#51648;&#52840;.html" TargetMode="External" Id="rId20"/><Relationship Type="http://schemas.openxmlformats.org/officeDocument/2006/relationships/hyperlink" Target="&#47588;&#45684;&#50620;BODY(&#51665;&#54665;&#45800;&#44228;-&#52392;&#48512;&#54260;&#45908;)\&#53685;&#49888;&#48516;&#50556;\7_&#48156;&#51452;&#52376;%20&#54408;&#51656;%20&#50836;&#44396;&#49324;&#54637;%20&#44160;&#53664;\&#52404;&#53356;&#47532;&#49828;&#53944;\&#48156;&#51452;&#52376;%20&#54408;&#51656;%20&#50836;&#44396;&#49324;&#54637;%20&#44160;&#53664;_&#52404;&#53356;&#47532;&#49828;&#53944;.html" TargetMode="External" Id="rId21"/><Relationship Type="http://schemas.openxmlformats.org/officeDocument/2006/relationships/hyperlink" Target="&#47588;&#45684;&#50620;BODY(&#51665;&#54665;&#45800;&#44228;-&#52392;&#48512;&#54260;&#45908;)\&#53685;&#49888;&#48516;&#50556;\8_&#51088;&#51116;%20_%20&#51064;&#50896;%20_%20&#51109;&#48708;%20&#46321;%20&#53804;&#51077;%20&#49324;&#51204;%20&#44160;&#53664;\&#54364;&#51456;&#49436;\&#51088;&#51116;%20_%20&#51064;&#50896;%20_%20&#51109;&#48708;%20&#46321;%20&#53804;&#51077;%20&#49324;&#51204;%20&#44160;&#53664;_&#54364;&#51456;&#49436;.html" TargetMode="External" Id="rId22"/><Relationship Type="http://schemas.openxmlformats.org/officeDocument/2006/relationships/hyperlink" Target="&#47588;&#45684;&#50620;BODY(&#51665;&#54665;&#45800;&#44228;-&#52392;&#48512;&#54260;&#45908;)\&#53685;&#49888;&#48516;&#50556;\8_&#51088;&#51116;%20_%20&#51064;&#50896;%20_%20&#51109;&#48708;%20&#46321;%20&#53804;&#51077;%20&#49324;&#51204;%20&#44160;&#53664;\&#49688;&#54665;&#51648;&#52840;\&#51088;&#51116;%20_%20&#51064;&#50896;%20_%20&#51109;&#48708;%20&#46321;%20&#53804;&#51077;%20&#49324;&#51204;%20&#44160;&#53664;_&#49688;&#54665;&#51648;&#52840;.html" TargetMode="External" Id="rId23"/><Relationship Type="http://schemas.openxmlformats.org/officeDocument/2006/relationships/hyperlink" Target="&#47588;&#45684;&#50620;BODY(&#51665;&#54665;&#45800;&#44228;-&#52392;&#48512;&#54260;&#45908;)\&#53685;&#49888;&#48516;&#50556;\8_&#51088;&#51116;%20_%20&#51064;&#50896;%20_%20&#51109;&#48708;%20&#46321;%20&#53804;&#51077;%20&#49324;&#51204;%20&#44160;&#53664;\&#52404;&#53356;&#47532;&#49828;&#53944;\&#51088;&#51116;%20_%20&#51064;&#50896;%20_%20&#51109;&#48708;%20&#46321;%20&#53804;&#51077;%20&#49324;&#51204;%20&#44160;&#53664;_&#52404;&#53356;&#47532;&#49828;&#53944;.html" TargetMode="External" Id="rId24"/><Relationship Type="http://schemas.openxmlformats.org/officeDocument/2006/relationships/hyperlink" Target="&#47588;&#45684;&#50620;BODY(&#51665;&#54665;&#45800;&#44228;-&#52392;&#48512;&#54260;&#45908;)\&#53685;&#49888;&#48516;&#50556;\9_&#52265;&#49688;%20&#51204;%20Big%20Room%20&#54924;&#51032;\&#54364;&#51456;&#49436;\&#52265;&#49688;%20&#51204;%20Big%20Room%20&#54924;&#51032;_&#54364;&#51456;&#49436;.html" TargetMode="External" Id="rId25"/><Relationship Type="http://schemas.openxmlformats.org/officeDocument/2006/relationships/hyperlink" Target="&#47588;&#45684;&#50620;BODY(&#51665;&#54665;&#45800;&#44228;-&#52392;&#48512;&#54260;&#45908;)\&#53685;&#49888;&#48516;&#50556;\9_&#52265;&#49688;%20&#51204;%20Big%20Room%20&#54924;&#51032;\&#49688;&#54665;&#51648;&#52840;\&#52265;&#49688;%20&#51204;%20Big%20Room%20&#54924;&#51032;_&#49688;&#54665;&#51648;&#52840;.html" TargetMode="External" Id="rId26"/><Relationship Type="http://schemas.openxmlformats.org/officeDocument/2006/relationships/hyperlink" Target="&#47588;&#45684;&#50620;BODY(&#51665;&#54665;&#45800;&#44228;-&#52392;&#48512;&#54260;&#45908;)\&#53685;&#49888;&#48516;&#50556;\9_&#52265;&#49688;%20&#51204;%20Big%20Room%20&#54924;&#51032;\&#52404;&#53356;&#47532;&#49828;&#53944;\&#52265;&#49688;%20&#51204;%20Big%20Room%20&#54924;&#51032;_&#52404;&#53356;&#47532;&#49828;&#53944;.html" TargetMode="External" Id="rId27"/><Relationship Type="http://schemas.openxmlformats.org/officeDocument/2006/relationships/hyperlink" Target="&#47588;&#45684;&#50620;BODY(&#51665;&#54665;&#45800;&#44228;-&#52392;&#48512;&#54260;&#45908;)\&#53685;&#49888;&#48516;&#50556;\10_&#53685;&#49888;&#49444;&#48708;%20&#51228;&#51089;%20&#49324;&#50577;&#49436;%20&#51089;&#49457;%20_%20&#49849;&#51064;\&#54364;&#51456;&#49436;\&#53685;&#49888;&#49444;&#48708;%20&#51228;&#51089;%20&#49324;&#50577;&#49436;%20&#51089;&#49457;%20_%20&#49849;&#51064;_&#54364;&#51456;&#49436;.html" TargetMode="External" Id="rId28"/><Relationship Type="http://schemas.openxmlformats.org/officeDocument/2006/relationships/hyperlink" Target="&#47588;&#45684;&#50620;BODY(&#51665;&#54665;&#45800;&#44228;-&#52392;&#48512;&#54260;&#45908;)\&#53685;&#49888;&#48516;&#50556;\10_&#53685;&#49888;&#49444;&#48708;%20&#51228;&#51089;%20&#49324;&#50577;&#49436;%20&#51089;&#49457;%20_%20&#49849;&#51064;\&#49688;&#54665;&#51648;&#52840;\&#53685;&#49888;&#49444;&#48708;%20&#51228;&#51089;%20&#49324;&#50577;&#49436;%20&#51089;&#49457;%20_%20&#49849;&#51064;_&#49688;&#54665;&#51648;&#52840;.html" TargetMode="External" Id="rId29"/><Relationship Type="http://schemas.openxmlformats.org/officeDocument/2006/relationships/hyperlink" Target="&#47588;&#45684;&#50620;BODY(&#51665;&#54665;&#45800;&#44228;-&#52392;&#48512;&#54260;&#45908;)\&#53685;&#49888;&#48516;&#50556;\10_&#53685;&#49888;&#49444;&#48708;%20&#51228;&#51089;%20&#49324;&#50577;&#49436;%20&#51089;&#49457;%20_%20&#49849;&#51064;\&#52404;&#53356;&#47532;&#49828;&#53944;\&#53685;&#49888;&#49444;&#48708;%20&#51228;&#51089;%20&#49324;&#50577;&#49436;%20&#51089;&#49457;%20_%20&#49849;&#51064;_&#52404;&#53356;&#47532;&#49828;&#53944;.html" TargetMode="External" Id="rId30"/><Relationship Type="http://schemas.openxmlformats.org/officeDocument/2006/relationships/hyperlink" Target="&#47588;&#45684;&#50620;BODY(&#51665;&#54665;&#45800;&#44228;-&#52392;&#48512;&#54260;&#45908;)\&#53685;&#49888;&#48516;&#50556;\11_&#49884;&#44277;%20&#44228;&#54925;%20&#49688;&#47549;%20_%20&#49849;&#51064;\&#54364;&#51456;&#49436;\&#49884;&#44277;%20&#44228;&#54925;%20&#49688;&#47549;%20_%20&#49849;&#51064;_&#54364;&#51456;&#49436;.html" TargetMode="External" Id="rId31"/><Relationship Type="http://schemas.openxmlformats.org/officeDocument/2006/relationships/hyperlink" Target="&#47588;&#45684;&#50620;BODY(&#51665;&#54665;&#45800;&#44228;-&#52392;&#48512;&#54260;&#45908;)\&#53685;&#49888;&#48516;&#50556;\11_&#49884;&#44277;%20&#44228;&#54925;%20&#49688;&#47549;%20_%20&#49849;&#51064;\&#49688;&#54665;&#51648;&#52840;\&#49884;&#44277;%20&#44228;&#54925;%20&#49688;&#47549;%20_%20&#49849;&#51064;_&#49688;&#54665;&#51648;&#52840;.html" TargetMode="External" Id="rId32"/><Relationship Type="http://schemas.openxmlformats.org/officeDocument/2006/relationships/hyperlink" Target="&#47588;&#45684;&#50620;BODY(&#51665;&#54665;&#45800;&#44228;-&#52392;&#48512;&#54260;&#45908;)\&#53685;&#49888;&#48516;&#50556;\11_&#49884;&#44277;%20&#44228;&#54925;%20&#49688;&#47549;%20_%20&#49849;&#51064;\&#52404;&#53356;&#47532;&#49828;&#53944;\&#49884;&#44277;%20&#44228;&#54925;%20&#49688;&#47549;%20_%20&#49849;&#51064;_&#52404;&#53356;&#47532;&#49828;&#53944;.html" TargetMode="External" Id="rId33"/><Relationship Type="http://schemas.openxmlformats.org/officeDocument/2006/relationships/hyperlink" Target="&#47588;&#45684;&#50620;BODY(&#51665;&#54665;&#45800;&#44228;-&#52392;&#48512;&#54260;&#45908;)\&#53685;&#49888;&#48516;&#50556;\12_&#51088;&#51116;&#44277;&#44553;&#50896;%20&#44160;&#53664;%20&#48143;%20&#49849;&#51064;\&#54364;&#51456;&#49436;\&#51088;&#51116;&#44277;&#44553;&#50896;%20&#44160;&#53664;%20&#48143;%20&#49849;&#51064;_&#54364;&#51456;&#49436;.html" TargetMode="External" Id="rId34"/><Relationship Type="http://schemas.openxmlformats.org/officeDocument/2006/relationships/hyperlink" Target="&#47588;&#45684;&#50620;BODY(&#51665;&#54665;&#45800;&#44228;-&#52392;&#48512;&#54260;&#45908;)\&#53685;&#49888;&#48516;&#50556;\12_&#51088;&#51116;&#44277;&#44553;&#50896;%20&#44160;&#53664;%20&#48143;%20&#49849;&#51064;\&#49688;&#54665;&#51648;&#52840;\&#51088;&#51116;&#44277;&#44553;&#50896;%20&#44160;&#53664;%20&#48143;%20&#49849;&#51064;_&#49688;&#54665;&#51648;&#52840;.html" TargetMode="External" Id="rId35"/><Relationship Type="http://schemas.openxmlformats.org/officeDocument/2006/relationships/hyperlink" Target="&#47588;&#45684;&#50620;BODY(&#51665;&#54665;&#45800;&#44228;-&#52392;&#48512;&#54260;&#45908;)\&#53685;&#49888;&#48516;&#50556;\12_&#51088;&#51116;&#44277;&#44553;&#50896;%20&#44160;&#53664;%20&#48143;%20&#49849;&#51064;\&#52404;&#53356;&#47532;&#49828;&#53944;\&#51088;&#51116;&#44277;&#44553;&#50896;%20&#44160;&#53664;%20&#48143;%20&#49849;&#51064;_&#52404;&#53356;&#47532;&#49828;&#53944;.html" TargetMode="External" Id="rId36"/><Relationship Type="http://schemas.openxmlformats.org/officeDocument/2006/relationships/hyperlink" Target="&#47588;&#45684;&#50620;BODY(&#51665;&#54665;&#45800;&#44228;-&#52392;&#48512;&#54260;&#45908;)\&#53685;&#49888;&#48516;&#50556;\13_&#53685;&#49888;&#49444;&#48708;%20&#44277;&#51221;&#51228;&#51089;%20_%20&#51228;&#51089;&#49324;%20&#44277;&#51109;&#44160;&#49324;\&#54364;&#51456;&#49436;\&#53685;&#49888;&#49444;&#48708;%20&#44277;&#51221;&#51228;&#51089;%20_%20&#51228;&#51089;&#49324;%20&#44277;&#51109;&#44160;&#49324;_&#54364;&#51456;&#49436;.html" TargetMode="External" Id="rId37"/><Relationship Type="http://schemas.openxmlformats.org/officeDocument/2006/relationships/hyperlink" Target="&#47588;&#45684;&#50620;BODY(&#51665;&#54665;&#45800;&#44228;-&#52392;&#48512;&#54260;&#45908;)\&#53685;&#49888;&#48516;&#50556;\13_&#53685;&#49888;&#49444;&#48708;%20&#44277;&#51221;&#51228;&#51089;%20_%20&#51228;&#51089;&#49324;%20&#44277;&#51109;&#44160;&#49324;\&#49688;&#54665;&#51648;&#52840;\&#53685;&#49888;&#49444;&#48708;%20&#44277;&#51221;&#51228;&#51089;%20_%20&#51228;&#51089;&#49324;%20&#44277;&#51109;&#44160;&#49324;_&#49688;&#54665;&#51648;&#52840;.html" TargetMode="External" Id="rId38"/><Relationship Type="http://schemas.openxmlformats.org/officeDocument/2006/relationships/hyperlink" Target="&#47588;&#45684;&#50620;BODY(&#51665;&#54665;&#45800;&#44228;-&#52392;&#48512;&#54260;&#45908;)\&#53685;&#49888;&#48516;&#50556;\13_&#53685;&#49888;&#49444;&#48708;%20&#44277;&#51221;&#51228;&#51089;%20_%20&#51228;&#51089;&#49324;%20&#44277;&#51109;&#44160;&#49324;\&#52404;&#53356;&#47532;&#49828;&#53944;\&#53685;&#49888;&#49444;&#48708;%20&#44277;&#51221;&#51228;&#51089;%20_%20&#51228;&#51089;&#49324;%20&#44277;&#51109;&#44160;&#49324;_&#52404;&#53356;&#47532;&#49828;&#53944;.html" TargetMode="External" Id="rId39"/><Relationship Type="http://schemas.openxmlformats.org/officeDocument/2006/relationships/hyperlink" Target="&#47588;&#45684;&#50620;BODY(&#51665;&#54665;&#45800;&#44228;-&#52392;&#48512;&#54260;&#45908;)\&#53685;&#49888;&#48516;&#50556;\14_&#48376;&#44277;&#49324;%20&#51204;%20&#49440;&#54665;&#44277;&#51221;%20&#51064;&#49688;&#51064;&#44228;%20&#51216;&#44160;\&#54364;&#51456;&#49436;\&#48376;&#44277;&#49324;%20&#51204;%20&#49440;&#54665;&#44277;&#51221;%20&#51064;&#49688;&#51064;&#44228;%20&#51216;&#44160;_&#54364;&#51456;&#49436;.html" TargetMode="External" Id="rId40"/><Relationship Type="http://schemas.openxmlformats.org/officeDocument/2006/relationships/hyperlink" Target="&#47588;&#45684;&#50620;BODY(&#51665;&#54665;&#45800;&#44228;-&#52392;&#48512;&#54260;&#45908;)\&#53685;&#49888;&#48516;&#50556;\14_&#48376;&#44277;&#49324;%20&#51204;%20&#49440;&#54665;&#44277;&#51221;%20&#51064;&#49688;&#51064;&#44228;%20&#51216;&#44160;\&#49688;&#54665;&#51648;&#52840;\&#48376;&#44277;&#49324;%20&#51204;%20&#49440;&#54665;&#44277;&#51221;%20&#51064;&#49688;&#51064;&#44228;%20&#51216;&#44160;_&#49688;&#54665;&#51648;&#52840;.html" TargetMode="External" Id="rId41"/><Relationship Type="http://schemas.openxmlformats.org/officeDocument/2006/relationships/hyperlink" Target="&#47588;&#45684;&#50620;BODY(&#51665;&#54665;&#45800;&#44228;-&#52392;&#48512;&#54260;&#45908;)\&#53685;&#49888;&#48516;&#50556;\14_&#48376;&#44277;&#49324;%20&#51204;%20&#49440;&#54665;&#44277;&#51221;%20&#51064;&#49688;&#51064;&#44228;%20&#51216;&#44160;\&#52404;&#53356;&#47532;&#49828;&#53944;\&#48376;&#44277;&#49324;%20&#51204;%20&#49440;&#54665;&#44277;&#51221;%20&#51064;&#49688;&#51064;&#44228;%20&#51216;&#44160;_&#52404;&#53356;&#47532;&#49828;&#53944;.html" TargetMode="External" Id="rId42"/><Relationship Type="http://schemas.openxmlformats.org/officeDocument/2006/relationships/hyperlink" Target="&#47588;&#45684;&#50620;BODY(&#51665;&#54665;&#45800;&#44228;-&#52392;&#48512;&#54260;&#45908;)\&#53685;&#49888;&#48516;&#50556;\15_&#51109;&#48708;&#48152;&#51077;%20&#48143;%20&#50504;&#51204;&#44368;&#50977;\&#54364;&#51456;&#49436;\&#51109;&#48708;&#48152;&#51077;%20&#48143;%20&#50504;&#51204;&#44368;&#50977;_&#54364;&#51456;&#49436;.html" TargetMode="External" Id="rId43"/><Relationship Type="http://schemas.openxmlformats.org/officeDocument/2006/relationships/hyperlink" Target="&#47588;&#45684;&#50620;BODY(&#51665;&#54665;&#45800;&#44228;-&#52392;&#48512;&#54260;&#45908;)\&#53685;&#49888;&#48516;&#50556;\15_&#51109;&#48708;&#48152;&#51077;%20&#48143;%20&#50504;&#51204;&#44368;&#50977;\&#49688;&#54665;&#51648;&#52840;\&#51109;&#48708;&#48152;&#51077;%20&#48143;%20&#50504;&#51204;&#44368;&#50977;_&#49688;&#54665;&#51648;&#52840;.html" TargetMode="External" Id="rId44"/><Relationship Type="http://schemas.openxmlformats.org/officeDocument/2006/relationships/hyperlink" Target="&#47588;&#45684;&#50620;BODY(&#51665;&#54665;&#45800;&#44228;-&#52392;&#48512;&#54260;&#45908;)\&#53685;&#49888;&#48516;&#50556;\15_&#51109;&#48708;&#48152;&#51077;%20&#48143;%20&#50504;&#51204;&#44368;&#50977;\&#52404;&#53356;&#47532;&#49828;&#53944;\&#51109;&#48708;&#48152;&#51077;%20&#48143;%20&#50504;&#51204;&#44368;&#50977;_&#52404;&#53356;&#47532;&#49828;&#53944;.html" TargetMode="External" Id="rId45"/><Relationship Type="http://schemas.openxmlformats.org/officeDocument/2006/relationships/hyperlink" Target="&#47588;&#45684;&#50620;BODY(&#51665;&#54665;&#45800;&#44228;-&#52392;&#48512;&#54260;&#45908;)\&#53685;&#49888;&#48516;&#50556;\16_&#51088;&#51116;%20&#48152;&#51077;%20&#48143;%20&#44160;&#49688;\&#54364;&#51456;&#49436;\&#51088;&#51116;%20&#48152;&#51077;%20&#48143;%20&#44160;&#49688;_&#54364;&#51456;&#49436;.html" TargetMode="External" Id="rId46"/><Relationship Type="http://schemas.openxmlformats.org/officeDocument/2006/relationships/hyperlink" Target="&#47588;&#45684;&#50620;BODY(&#51665;&#54665;&#45800;&#44228;-&#52392;&#48512;&#54260;&#45908;)\&#53685;&#49888;&#48516;&#50556;\16_&#51088;&#51116;%20&#48152;&#51077;%20&#48143;%20&#44160;&#49688;\&#49688;&#54665;&#51648;&#52840;\&#51088;&#51116;%20&#48152;&#51077;%20&#48143;%20&#44160;&#49688;_&#49688;&#54665;&#51648;&#52840;.html" TargetMode="External" Id="rId47"/><Relationship Type="http://schemas.openxmlformats.org/officeDocument/2006/relationships/hyperlink" Target="&#47588;&#45684;&#50620;BODY(&#51665;&#54665;&#45800;&#44228;-&#52392;&#48512;&#54260;&#45908;)\&#53685;&#49888;&#48516;&#50556;\16_&#51088;&#51116;%20&#48152;&#51077;%20&#48143;%20&#44160;&#49688;\&#52404;&#53356;&#47532;&#49828;&#53944;\&#51088;&#51116;%20&#48152;&#51077;%20&#48143;%20&#44160;&#49688;_&#52404;&#53356;&#47532;&#49828;&#53944;.html" TargetMode="External" Id="rId48"/><Relationship Type="http://schemas.openxmlformats.org/officeDocument/2006/relationships/hyperlink" Target="&#47588;&#45684;&#50620;BODY(&#51665;&#54665;&#45800;&#44228;-&#52392;&#48512;&#54260;&#45908;)\&#53685;&#49888;&#48516;&#50556;\17_&#53685;&#49888;&#49444;&#48708;%20&#48152;&#51077;%20&#48143;%20&#49444;&#52824;\&#54364;&#51456;&#49436;\&#53685;&#49888;&#49444;&#48708;%20&#48152;&#51077;%20&#48143;%20&#49444;&#52824;_&#54364;&#51456;&#49436;.html" TargetMode="External" Id="rId49"/><Relationship Type="http://schemas.openxmlformats.org/officeDocument/2006/relationships/hyperlink" Target="&#47588;&#45684;&#50620;BODY(&#51665;&#54665;&#45800;&#44228;-&#52392;&#48512;&#54260;&#45908;)\&#53685;&#49888;&#48516;&#50556;\17_&#53685;&#49888;&#49444;&#48708;%20&#48152;&#51077;%20&#48143;%20&#49444;&#52824;\&#49688;&#54665;&#51648;&#52840;\&#53685;&#49888;&#49444;&#48708;%20&#48152;&#51077;%20&#48143;%20&#49444;&#52824;_&#49688;&#54665;&#51648;&#52840;.html" TargetMode="External" Id="rId50"/><Relationship Type="http://schemas.openxmlformats.org/officeDocument/2006/relationships/hyperlink" Target="&#47588;&#45684;&#50620;BODY(&#51665;&#54665;&#45800;&#44228;-&#52392;&#48512;&#54260;&#45908;)\&#53685;&#49888;&#48516;&#50556;\17_&#53685;&#49888;&#49444;&#48708;%20&#48152;&#51077;%20&#48143;%20&#49444;&#52824;\&#52404;&#53356;&#47532;&#49828;&#53944;\&#53685;&#49888;&#49444;&#48708;%20&#48152;&#51077;%20&#48143;%20&#49444;&#52824;_&#52404;&#53356;&#47532;&#49828;&#53944;.html" TargetMode="External" Id="rId51"/><Relationship Type="http://schemas.openxmlformats.org/officeDocument/2006/relationships/hyperlink" Target="&#47588;&#45684;&#50620;BODY(&#51665;&#54665;&#45800;&#44228;-&#52392;&#48512;&#54260;&#45908;)\&#53685;&#49888;&#48516;&#50556;\18_&#44288;&#51228;&#49444;&#48708;%20&#49444;&#52824;\&#54364;&#51456;&#49436;\&#44288;&#51228;&#49444;&#48708;%20&#49444;&#52824;_&#54364;&#51456;&#49436;.html" TargetMode="External" Id="rId52"/><Relationship Type="http://schemas.openxmlformats.org/officeDocument/2006/relationships/hyperlink" Target="&#47588;&#45684;&#50620;BODY(&#51665;&#54665;&#45800;&#44228;-&#52392;&#48512;&#54260;&#45908;)\&#53685;&#49888;&#48516;&#50556;\18_&#44288;&#51228;&#49444;&#48708;%20&#49444;&#52824;\&#49688;&#54665;&#51648;&#52840;\&#44288;&#51228;&#49444;&#48708;%20&#49444;&#52824;_&#49688;&#54665;&#51648;&#52840;.html" TargetMode="External" Id="rId53"/><Relationship Type="http://schemas.openxmlformats.org/officeDocument/2006/relationships/hyperlink" Target="&#47588;&#45684;&#50620;BODY(&#51665;&#54665;&#45800;&#44228;-&#52392;&#48512;&#54260;&#45908;)\&#53685;&#49888;&#48516;&#50556;\18_&#44288;&#51228;&#49444;&#48708;%20&#49444;&#52824;\&#52404;&#53356;&#47532;&#49828;&#53944;\&#44288;&#51228;&#49444;&#48708;%20&#49444;&#52824;_&#52404;&#53356;&#47532;&#49828;&#53944;.html" TargetMode="External" Id="rId54"/><Relationship Type="http://schemas.openxmlformats.org/officeDocument/2006/relationships/hyperlink" Target="&#47588;&#45684;&#50620;BODY(&#51665;&#54665;&#45800;&#44228;-&#52392;&#48512;&#54260;&#45908;)\&#53685;&#49888;&#48516;&#50556;\19_&#53685;&#49888;&#49884;&#49828;&#53596;%20&#45800;&#50948;&#49884;&#54744;\&#54364;&#51456;&#49436;\&#53685;&#49888;&#49884;&#49828;&#53596;%20&#45800;&#50948;&#49884;&#54744;_&#54364;&#51456;&#49436;.html" TargetMode="External" Id="rId55"/><Relationship Type="http://schemas.openxmlformats.org/officeDocument/2006/relationships/hyperlink" Target="&#47588;&#45684;&#50620;BODY(&#51665;&#54665;&#45800;&#44228;-&#52392;&#48512;&#54260;&#45908;)\&#53685;&#49888;&#48516;&#50556;\19_&#53685;&#49888;&#49884;&#49828;&#53596;%20&#45800;&#50948;&#49884;&#54744;\&#49688;&#54665;&#51648;&#52840;\&#53685;&#49888;&#49884;&#49828;&#53596;%20&#45800;&#50948;&#49884;&#54744;_&#49688;&#54665;&#51648;&#52840;.html" TargetMode="External" Id="rId56"/><Relationship Type="http://schemas.openxmlformats.org/officeDocument/2006/relationships/hyperlink" Target="&#47588;&#45684;&#50620;BODY(&#51665;&#54665;&#45800;&#44228;-&#52392;&#48512;&#54260;&#45908;)\&#53685;&#49888;&#48516;&#50556;\19_&#53685;&#49888;&#49884;&#49828;&#53596;%20&#45800;&#50948;&#49884;&#54744;\&#52404;&#53356;&#47532;&#49828;&#53944;\&#53685;&#49888;&#49884;&#49828;&#53596;%20&#45800;&#50948;&#49884;&#54744;_&#52404;&#53356;&#47532;&#49828;&#53944;.html" TargetMode="External" Id="rId57"/><Relationship Type="http://schemas.openxmlformats.org/officeDocument/2006/relationships/hyperlink" Target="&#47588;&#45684;&#50620;BODY(&#51665;&#54665;&#45800;&#44228;-&#52392;&#48512;&#54260;&#45908;)\&#53685;&#49888;&#48516;&#50556;\20_&#53685;&#49888;&#49884;&#49828;&#53596;%20&#53685;&#54633;&#49884;&#54744;\&#54364;&#51456;&#49436;\&#53685;&#49888;&#49884;&#49828;&#53596;%20&#53685;&#54633;&#49884;&#54744;_&#54364;&#51456;&#49436;.html" TargetMode="External" Id="rId58"/><Relationship Type="http://schemas.openxmlformats.org/officeDocument/2006/relationships/hyperlink" Target="&#47588;&#45684;&#50620;BODY(&#51665;&#54665;&#45800;&#44228;-&#52392;&#48512;&#54260;&#45908;)\&#53685;&#49888;&#48516;&#50556;\20_&#53685;&#49888;&#49884;&#49828;&#53596;%20&#53685;&#54633;&#49884;&#54744;\&#49688;&#54665;&#51648;&#52840;\&#53685;&#49888;&#49884;&#49828;&#53596;%20&#53685;&#54633;&#49884;&#54744;_&#49688;&#54665;&#51648;&#52840;.html" TargetMode="External" Id="rId59"/><Relationship Type="http://schemas.openxmlformats.org/officeDocument/2006/relationships/hyperlink" Target="&#47588;&#45684;&#50620;BODY(&#51665;&#54665;&#45800;&#44228;-&#52392;&#48512;&#54260;&#45908;)\&#53685;&#49888;&#48516;&#50556;\20_&#53685;&#49888;&#49884;&#49828;&#53596;%20&#53685;&#54633;&#49884;&#54744;\&#52404;&#53356;&#47532;&#49828;&#53944;\&#53685;&#49888;&#49884;&#49828;&#53596;%20&#53685;&#54633;&#49884;&#54744;_&#52404;&#53356;&#47532;&#49828;&#53944;.html" TargetMode="External" Id="rId60"/><Relationship Type="http://schemas.openxmlformats.org/officeDocument/2006/relationships/hyperlink" Target="&#47588;&#45684;&#50620;BODY(&#51665;&#54665;&#45800;&#44228;-&#52392;&#48512;&#54260;&#45908;)\&#53685;&#49888;&#48516;&#50556;\21_&#44277;&#51333;&#48324;%20&#49884;&#54744;\&#54364;&#51456;&#49436;\&#44277;&#51333;&#48324;%20&#49884;&#54744;_&#54364;&#51456;&#49436;.html" TargetMode="External" Id="rId61"/><Relationship Type="http://schemas.openxmlformats.org/officeDocument/2006/relationships/hyperlink" Target="&#47588;&#45684;&#50620;BODY(&#51665;&#54665;&#45800;&#44228;-&#52392;&#48512;&#54260;&#45908;)\&#53685;&#49888;&#48516;&#50556;\21_&#44277;&#51333;&#48324;%20&#49884;&#54744;\&#49688;&#54665;&#51648;&#52840;\&#44277;&#51333;&#48324;%20&#49884;&#54744;_&#49688;&#54665;&#51648;&#52840;.html" TargetMode="External" Id="rId62"/><Relationship Type="http://schemas.openxmlformats.org/officeDocument/2006/relationships/hyperlink" Target="&#47588;&#45684;&#50620;BODY(&#51665;&#54665;&#45800;&#44228;-&#52392;&#48512;&#54260;&#45908;)\&#53685;&#49888;&#48516;&#50556;\21_&#44277;&#51333;&#48324;%20&#49884;&#54744;\&#52404;&#53356;&#47532;&#49828;&#53944;\&#44277;&#51333;&#48324;%20&#49884;&#54744;_&#52404;&#53356;&#47532;&#49828;&#53944;.html" TargetMode="External" Id="rId63"/><Relationship Type="http://schemas.openxmlformats.org/officeDocument/2006/relationships/hyperlink" Target="&#47588;&#45684;&#50620;BODY(&#51665;&#54665;&#45800;&#44228;-&#52392;&#48512;&#54260;&#45908;)\&#53685;&#49888;&#48516;&#50556;\22_&#52264;&#47049;%20&#53804;&#51077;%20&#51204;%20&#51216;&#44160;\&#54364;&#51456;&#49436;\&#52264;&#47049;%20&#53804;&#51077;%20&#51204;%20&#51216;&#44160;_&#54364;&#51456;&#49436;.html" TargetMode="External" Id="rId64"/><Relationship Type="http://schemas.openxmlformats.org/officeDocument/2006/relationships/hyperlink" Target="&#47588;&#45684;&#50620;BODY(&#51665;&#54665;&#45800;&#44228;-&#52392;&#48512;&#54260;&#45908;)\&#53685;&#49888;&#48516;&#50556;\22_&#52264;&#47049;%20&#53804;&#51077;%20&#51204;%20&#51216;&#44160;\&#49688;&#54665;&#51648;&#52840;\&#52264;&#47049;%20&#53804;&#51077;%20&#51204;%20&#51216;&#44160;_&#49688;&#54665;&#51648;&#52840;.html" TargetMode="External" Id="rId65"/><Relationship Type="http://schemas.openxmlformats.org/officeDocument/2006/relationships/hyperlink" Target="&#47588;&#45684;&#50620;BODY(&#51665;&#54665;&#45800;&#44228;-&#52392;&#48512;&#54260;&#45908;)\&#53685;&#49888;&#48516;&#50556;\22_&#52264;&#47049;%20&#53804;&#51077;%20&#51204;%20&#51216;&#44160;\&#52404;&#53356;&#47532;&#49828;&#53944;\&#52264;&#47049;%20&#53804;&#51077;%20&#51204;%20&#51216;&#44160;_&#52404;&#53356;&#47532;&#49828;&#53944;.html" TargetMode="External" Id="rId66"/><Relationship Type="http://schemas.openxmlformats.org/officeDocument/2006/relationships/hyperlink" Target="&#47588;&#45684;&#50620;BODY(&#51665;&#54665;&#45800;&#44228;-&#52392;&#48512;&#54260;&#45908;)\&#53685;&#49888;&#48516;&#50556;\23_&#52264;&#47049;%20&#49884;&#50868;&#51204;\&#54364;&#51456;&#49436;\&#52264;&#47049;%20&#49884;&#50868;&#51204;_&#54364;&#51456;&#49436;.html" TargetMode="External" Id="rId67"/><Relationship Type="http://schemas.openxmlformats.org/officeDocument/2006/relationships/hyperlink" Target="&#47588;&#45684;&#50620;BODY(&#51665;&#54665;&#45800;&#44228;-&#52392;&#48512;&#54260;&#45908;)\&#53685;&#49888;&#48516;&#50556;\23_&#52264;&#47049;%20&#49884;&#50868;&#51204;\&#49688;&#54665;&#51648;&#52840;\&#52264;&#47049;%20&#49884;&#50868;&#51204;_&#49688;&#54665;&#51648;&#52840;.html" TargetMode="External" Id="rId68"/><Relationship Type="http://schemas.openxmlformats.org/officeDocument/2006/relationships/hyperlink" Target="&#47588;&#45684;&#50620;BODY(&#51665;&#54665;&#45800;&#44228;-&#52392;&#48512;&#54260;&#45908;)\&#53685;&#49888;&#48516;&#50556;\23_&#52264;&#47049;%20&#49884;&#50868;&#51204;\&#52404;&#53356;&#47532;&#49828;&#53944;\&#52264;&#47049;%20&#49884;&#50868;&#51204;_&#52404;&#53356;&#47532;&#49828;&#53944;.html" TargetMode="External" Id="rId69"/><Relationship Type="http://schemas.openxmlformats.org/officeDocument/2006/relationships/hyperlink" Target="&#47588;&#45684;&#50620;BODY(&#51665;&#54665;&#45800;&#44228;-&#52392;&#48512;&#54260;&#45908;)\&#53685;&#49888;&#48516;&#50556;\24_&#50868;&#50689;&#51088;%20&#44368;&#50977;&#49884;&#54665;\&#54364;&#51456;&#49436;\&#50868;&#50689;&#51088;%20&#44368;&#50977;&#49884;&#54665;_&#54364;&#51456;&#49436;.html" TargetMode="External" Id="rId70"/><Relationship Type="http://schemas.openxmlformats.org/officeDocument/2006/relationships/hyperlink" Target="&#47588;&#45684;&#50620;BODY(&#51665;&#54665;&#45800;&#44228;-&#52392;&#48512;&#54260;&#45908;)\&#53685;&#49888;&#48516;&#50556;\24_&#50868;&#50689;&#51088;%20&#44368;&#50977;&#49884;&#54665;\&#49688;&#54665;&#51648;&#52840;\&#50868;&#50689;&#51088;%20&#44368;&#50977;&#49884;&#54665;_&#49688;&#54665;&#51648;&#52840;.html" TargetMode="External" Id="rId71"/><Relationship Type="http://schemas.openxmlformats.org/officeDocument/2006/relationships/hyperlink" Target="&#47588;&#45684;&#50620;BODY(&#51665;&#54665;&#45800;&#44228;-&#52392;&#48512;&#54260;&#45908;)\&#53685;&#49888;&#48516;&#50556;\24_&#50868;&#50689;&#51088;%20&#44368;&#50977;&#49884;&#54665;\&#52404;&#53356;&#47532;&#49828;&#53944;\&#50868;&#50689;&#51088;%20&#44368;&#50977;&#49884;&#54665;_&#52404;&#53356;&#47532;&#49828;&#53944;.html" TargetMode="External" Id="rId72"/><Relationship Type="http://schemas.openxmlformats.org/officeDocument/2006/relationships/hyperlink" Target="&#47588;&#45684;&#50620;BODY(&#51665;&#54665;&#45800;&#44228;-&#52392;&#48512;&#54260;&#45908;)\&#53685;&#49888;&#48516;&#50556;\25_&#49324;&#51204;&#51216;&#44160;\&#54364;&#51456;&#49436;\&#49324;&#51204;&#51216;&#44160;_&#54364;&#51456;&#49436;.html" TargetMode="External" Id="rId73"/><Relationship Type="http://schemas.openxmlformats.org/officeDocument/2006/relationships/hyperlink" Target="&#47588;&#45684;&#50620;BODY(&#51665;&#54665;&#45800;&#44228;-&#52392;&#48512;&#54260;&#45908;)\&#53685;&#49888;&#48516;&#50556;\25_&#49324;&#51204;&#51216;&#44160;\&#49688;&#54665;&#51648;&#52840;\&#49324;&#51204;&#51216;&#44160;_&#49688;&#54665;&#51648;&#52840;.html" TargetMode="External" Id="rId74"/><Relationship Type="http://schemas.openxmlformats.org/officeDocument/2006/relationships/hyperlink" Target="&#47588;&#45684;&#50620;BODY(&#51665;&#54665;&#45800;&#44228;-&#52392;&#48512;&#54260;&#45908;)\&#53685;&#49888;&#48516;&#50556;\25_&#49324;&#51204;&#51216;&#44160;\&#52404;&#53356;&#47532;&#49828;&#53944;\&#49324;&#51204;&#51216;&#44160;_&#52404;&#53356;&#47532;&#49828;&#53944;.html" TargetMode="External" Id="rId75"/><Relationship Type="http://schemas.openxmlformats.org/officeDocument/2006/relationships/hyperlink" Target="&#47588;&#45684;&#50620;BODY(&#51665;&#54665;&#45800;&#44228;-&#52392;&#48512;&#54260;&#45908;)\&#53685;&#49888;&#48516;&#50556;\26_&#49884;&#49444;&#47932;%20&#44160;&#51613;&#49884;&#54744;\&#54364;&#51456;&#49436;\&#49884;&#49444;&#47932;%20&#44160;&#51613;&#49884;&#54744;_&#54364;&#51456;&#49436;.html" TargetMode="External" Id="rId76"/><Relationship Type="http://schemas.openxmlformats.org/officeDocument/2006/relationships/hyperlink" Target="&#47588;&#45684;&#50620;BODY(&#51665;&#54665;&#45800;&#44228;-&#52392;&#48512;&#54260;&#45908;)\&#53685;&#49888;&#48516;&#50556;\26_&#49884;&#49444;&#47932;%20&#44160;&#51613;&#49884;&#54744;\&#49688;&#54665;&#51648;&#52840;\&#49884;&#49444;&#47932;%20&#44160;&#51613;&#49884;&#54744;_&#49688;&#54665;&#51648;&#52840;.html" TargetMode="External" Id="rId77"/><Relationship Type="http://schemas.openxmlformats.org/officeDocument/2006/relationships/hyperlink" Target="&#47588;&#45684;&#50620;BODY(&#51665;&#54665;&#45800;&#44228;-&#52392;&#48512;&#54260;&#45908;)\&#53685;&#49888;&#48516;&#50556;\26_&#49884;&#49444;&#47932;%20&#44160;&#51613;&#49884;&#54744;\&#52404;&#53356;&#47532;&#49828;&#53944;\&#49884;&#49444;&#47932;%20&#44160;&#51613;&#49884;&#54744;_&#52404;&#53356;&#47532;&#49828;&#53944;.html" TargetMode="External" Id="rId78"/><Relationship Type="http://schemas.openxmlformats.org/officeDocument/2006/relationships/hyperlink" Target="&#47588;&#45684;&#50620;BODY(&#51665;&#54665;&#45800;&#44228;-&#52392;&#48512;&#54260;&#45908;)\&#53685;&#49888;&#48516;&#50556;\27_&#50689;&#50629;&#49884;&#50868;&#51204;\&#54364;&#51456;&#49436;\&#50689;&#50629;&#49884;&#50868;&#51204;_&#54364;&#51456;&#49436;.html" TargetMode="External" Id="rId79"/><Relationship Type="http://schemas.openxmlformats.org/officeDocument/2006/relationships/hyperlink" Target="&#47588;&#45684;&#50620;BODY(&#51665;&#54665;&#45800;&#44228;-&#52392;&#48512;&#54260;&#45908;)\&#53685;&#49888;&#48516;&#50556;\27_&#50689;&#50629;&#49884;&#50868;&#51204;\&#49688;&#54665;&#51648;&#52840;\&#50689;&#50629;&#49884;&#50868;&#51204;_&#49688;&#54665;&#51648;&#52840;.html" TargetMode="External" Id="rId80"/><Relationship Type="http://schemas.openxmlformats.org/officeDocument/2006/relationships/hyperlink" Target="&#47588;&#45684;&#50620;BODY(&#51665;&#54665;&#45800;&#44228;-&#52392;&#48512;&#54260;&#45908;)\&#53685;&#49888;&#48516;&#50556;\27_&#50689;&#50629;&#49884;&#50868;&#51204;\&#52404;&#53356;&#47532;&#49828;&#53944;\&#50689;&#50629;&#49884;&#50868;&#51204;_&#52404;&#53356;&#47532;&#49828;&#53944;.html" TargetMode="External" Id="rId81"/><Relationship Type="http://schemas.openxmlformats.org/officeDocument/2006/relationships/hyperlink" Target="&#47588;&#45684;&#50620;BODY(&#51665;&#54665;&#45800;&#44228;-&#52392;&#48512;&#54260;&#45908;)\&#53685;&#49888;&#48516;&#50556;\28_&#51088;&#44032;&#50857;&#51204;&#44592;&#53685;&#49888;&#49444;&#48708;%20&#49444;&#52824;&#49888;&#44256;\&#54364;&#51456;&#49436;\&#51088;&#44032;&#50857;&#51204;&#44592;&#53685;&#49888;&#49444;&#48708;%20&#49444;&#52824;&#49888;&#44256;_&#54364;&#51456;&#49436;.html" TargetMode="External" Id="rId82"/><Relationship Type="http://schemas.openxmlformats.org/officeDocument/2006/relationships/hyperlink" Target="&#47588;&#45684;&#50620;BODY(&#51665;&#54665;&#45800;&#44228;-&#52392;&#48512;&#54260;&#45908;)\&#53685;&#49888;&#48516;&#50556;\28_&#51088;&#44032;&#50857;&#51204;&#44592;&#53685;&#49888;&#49444;&#48708;%20&#49444;&#52824;&#49888;&#44256;\&#49688;&#54665;&#51648;&#52840;\&#51088;&#44032;&#50857;&#51204;&#44592;&#53685;&#49888;&#49444;&#48708;%20&#49444;&#52824;&#49888;&#44256;_&#49688;&#54665;&#51648;&#52840;.html" TargetMode="External" Id="rId83"/><Relationship Type="http://schemas.openxmlformats.org/officeDocument/2006/relationships/hyperlink" Target="&#47588;&#45684;&#50620;BODY(&#51665;&#54665;&#45800;&#44228;-&#52392;&#48512;&#54260;&#45908;)\&#53685;&#49888;&#48516;&#50556;\28_&#51088;&#44032;&#50857;&#51204;&#44592;&#53685;&#49888;&#49444;&#48708;%20&#49444;&#52824;&#49888;&#44256;\&#52404;&#53356;&#47532;&#49828;&#53944;\&#51088;&#44032;&#50857;&#51204;&#44592;&#53685;&#49888;&#49444;&#48708;%20&#49444;&#52824;&#49888;&#44256;_&#52404;&#53356;&#47532;&#49828;&#53944;.html" TargetMode="External" Id="rId84"/><Relationship Type="http://schemas.openxmlformats.org/officeDocument/2006/relationships/hyperlink" Target="&#47588;&#45684;&#50620;BODY(&#51665;&#54665;&#45800;&#44228;-&#52392;&#48512;&#54260;&#45908;)\&#53685;&#49888;&#48516;&#50556;\29_LTE-R%20&#47924;&#49440;&#44397;&#54728;&#44032;\&#54364;&#51456;&#49436;\LTE-R%20&#47924;&#49440;&#44397;&#54728;&#44032;_&#54364;&#51456;&#49436;.html" TargetMode="External" Id="rId85"/><Relationship Type="http://schemas.openxmlformats.org/officeDocument/2006/relationships/hyperlink" Target="&#47588;&#45684;&#50620;BODY(&#51665;&#54665;&#45800;&#44228;-&#52392;&#48512;&#54260;&#45908;)\&#53685;&#49888;&#48516;&#50556;\29_LTE-R%20&#47924;&#49440;&#44397;&#54728;&#44032;\&#49688;&#54665;&#51648;&#52840;\LTE-R%20&#47924;&#49440;&#44397;&#54728;&#44032;_&#49688;&#54665;&#51648;&#52840;.html" TargetMode="External" Id="rId86"/><Relationship Type="http://schemas.openxmlformats.org/officeDocument/2006/relationships/hyperlink" Target="&#47588;&#45684;&#50620;BODY(&#51665;&#54665;&#45800;&#44228;-&#52392;&#48512;&#54260;&#45908;)\&#53685;&#49888;&#48516;&#50556;\29_LTE-R%20&#47924;&#49440;&#44397;&#54728;&#44032;\&#52404;&#53356;&#47532;&#49828;&#53944;\LTE-R%20&#47924;&#49440;&#44397;&#54728;&#44032;_&#52404;&#53356;&#47532;&#49828;&#53944;.html" TargetMode="External" Id="rId87"/><Relationship Type="http://schemas.openxmlformats.org/officeDocument/2006/relationships/hyperlink" Target="&#47588;&#45684;&#50620;BODY(&#51665;&#54665;&#45800;&#44228;-&#52392;&#48512;&#54260;&#45908;)\&#53685;&#49888;&#48516;&#50556;\30_LTE-R%20&#49345;&#54840;&#50868;&#50857;&#49457;%20&#48143;%20&#48372;&#50504;&#51201;&#54633;&#49457;%20&#44160;&#51613;\&#54364;&#51456;&#49436;\LTE-R%20&#49345;&#54840;&#50868;&#50857;&#49457;%20&#48143;%20&#48372;&#50504;&#51201;&#54633;&#49457;%20&#44160;&#51613;_&#54364;&#51456;&#49436;.html" TargetMode="External" Id="rId88"/><Relationship Type="http://schemas.openxmlformats.org/officeDocument/2006/relationships/hyperlink" Target="&#47588;&#45684;&#50620;BODY(&#51665;&#54665;&#45800;&#44228;-&#52392;&#48512;&#54260;&#45908;)\&#53685;&#49888;&#48516;&#50556;\30_LTE-R%20&#49345;&#54840;&#50868;&#50857;&#49457;%20&#48143;%20&#48372;&#50504;&#51201;&#54633;&#49457;%20&#44160;&#51613;\&#49688;&#54665;&#51648;&#52840;\LTE-R%20&#49345;&#54840;&#50868;&#50857;&#49457;%20&#48143;%20&#48372;&#50504;&#51201;&#54633;&#49457;%20&#44160;&#51613;_&#49688;&#54665;&#51648;&#52840;.html" TargetMode="External" Id="rId89"/><Relationship Type="http://schemas.openxmlformats.org/officeDocument/2006/relationships/hyperlink" Target="&#47588;&#45684;&#50620;BODY(&#51665;&#54665;&#45800;&#44228;-&#52392;&#48512;&#54260;&#45908;)\&#53685;&#49888;&#48516;&#50556;\30_LTE-R%20&#49345;&#54840;&#50868;&#50857;&#49457;%20&#48143;%20&#48372;&#50504;&#51201;&#54633;&#49457;%20&#44160;&#51613;\&#52404;&#53356;&#47532;&#49828;&#53944;\LTE-R%20&#49345;&#54840;&#50868;&#50857;&#49457;%20&#48143;%20&#48372;&#50504;&#51201;&#54633;&#49457;%20&#44160;&#51613;_&#52404;&#53356;&#47532;&#49828;&#53944;.html" TargetMode="External" Id="rId90"/><Relationship Type="http://schemas.openxmlformats.org/officeDocument/2006/relationships/hyperlink" Target="&#47588;&#45684;&#50620;BODY(&#51665;&#54665;&#45800;&#44228;-&#52392;&#48512;&#54260;&#45908;)\&#53685;&#49888;&#48516;&#50556;\31_&#51221;&#48372;&#53685;&#49888;&#49324;&#50857;&#51204;&#44160;&#49324;\&#54364;&#51456;&#49436;\&#51221;&#48372;&#53685;&#49888;&#49324;&#50857;&#51204;&#44160;&#49324;_&#54364;&#51456;&#49436;.html" TargetMode="External" Id="rId91"/><Relationship Type="http://schemas.openxmlformats.org/officeDocument/2006/relationships/hyperlink" Target="&#47588;&#45684;&#50620;BODY(&#51665;&#54665;&#45800;&#44228;-&#52392;&#48512;&#54260;&#45908;)\&#53685;&#49888;&#48516;&#50556;\31_&#51221;&#48372;&#53685;&#49888;&#49324;&#50857;&#51204;&#44160;&#49324;\&#49688;&#54665;&#51648;&#52840;\&#51221;&#48372;&#53685;&#49888;&#49324;&#50857;&#51204;&#44160;&#49324;_&#49688;&#54665;&#51648;&#52840;.html" TargetMode="External" Id="rId92"/><Relationship Type="http://schemas.openxmlformats.org/officeDocument/2006/relationships/hyperlink" Target="&#47588;&#45684;&#50620;BODY(&#51665;&#54665;&#45800;&#44228;-&#52392;&#48512;&#54260;&#45908;)\&#53685;&#49888;&#48516;&#50556;\31_&#51221;&#48372;&#53685;&#49888;&#49324;&#50857;&#51204;&#44160;&#49324;\&#52404;&#53356;&#47532;&#49828;&#53944;\&#51221;&#48372;&#53685;&#49888;&#49324;&#50857;&#51204;&#44160;&#49324;_&#52404;&#53356;&#47532;&#49828;&#53944;.html" TargetMode="External" Id="rId93"/><Relationship Type="http://schemas.openxmlformats.org/officeDocument/2006/relationships/hyperlink" Target="&#47588;&#45684;&#50620;BODY(&#51665;&#54665;&#45800;&#44228;-&#52392;&#48512;&#54260;&#45908;)\&#53685;&#49888;&#48516;&#50556;\32_LTE-R%20&#47924;&#49440;&#44397;%20&#51456;&#44277;&#44160;&#49324;\&#54364;&#51456;&#49436;\LTE-R%20&#47924;&#49440;&#44397;%20&#51456;&#44277;&#44160;&#49324;_&#54364;&#51456;&#49436;.html" TargetMode="External" Id="rId94"/><Relationship Type="http://schemas.openxmlformats.org/officeDocument/2006/relationships/hyperlink" Target="&#47588;&#45684;&#50620;BODY(&#51665;&#54665;&#45800;&#44228;-&#52392;&#48512;&#54260;&#45908;)\&#53685;&#49888;&#48516;&#50556;\32_LTE-R%20&#47924;&#49440;&#44397;%20&#51456;&#44277;&#44160;&#49324;\&#49688;&#54665;&#51648;&#52840;\LTE-R%20&#47924;&#49440;&#44397;%20&#51456;&#44277;&#44160;&#49324;_&#49688;&#54665;&#51648;&#52840;.html" TargetMode="External" Id="rId95"/><Relationship Type="http://schemas.openxmlformats.org/officeDocument/2006/relationships/hyperlink" Target="&#47588;&#45684;&#50620;BODY(&#51665;&#54665;&#45800;&#44228;-&#52392;&#48512;&#54260;&#45908;)\&#53685;&#49888;&#48516;&#50556;\32_LTE-R%20&#47924;&#49440;&#44397;%20&#51456;&#44277;&#44160;&#49324;\&#52404;&#53356;&#47532;&#49828;&#53944;\LTE-R%20&#47924;&#49440;&#44397;%20&#51456;&#44277;&#44160;&#49324;_&#52404;&#53356;&#47532;&#49828;&#53944;.html" TargetMode="External" Id="rId96"/></Relationships>
</file>

<file path=xl/worksheets/_rels/sheet9.xml.rels><Relationships xmlns="http://schemas.openxmlformats.org/package/2006/relationships"><Relationship Type="http://schemas.openxmlformats.org/officeDocument/2006/relationships/hyperlink" Target="&#47588;&#45684;&#50620;BODY(&#51665;&#54665;&#45800;&#44228;-&#52392;&#48512;&#54260;&#45908;)\&#51204;&#44592;&#48516;&#50556;\1_&#49444;&#44228;&#51201;&#51221;&#49457;%20&#44160;&#53664;\&#54364;&#51456;&#49436;\&#49444;&#44228;&#51201;&#51221;&#49457;%20&#44160;&#53664;_&#54364;&#51456;&#49436;.html" TargetMode="External" Id="rId1"/><Relationship Type="http://schemas.openxmlformats.org/officeDocument/2006/relationships/hyperlink" Target="&#47588;&#45684;&#50620;BODY(&#51665;&#54665;&#45800;&#44228;-&#52392;&#48512;&#54260;&#45908;)\&#51204;&#44592;&#48516;&#50556;\1_&#49444;&#44228;&#51201;&#51221;&#49457;%20&#44160;&#53664;\&#49688;&#54665;&#51648;&#52840;\&#49444;&#44228;&#51201;&#51221;&#49457;%20&#44160;&#53664;_&#49688;&#54665;&#51648;&#52840;.html" TargetMode="External" Id="rId2"/><Relationship Type="http://schemas.openxmlformats.org/officeDocument/2006/relationships/hyperlink" Target="&#47588;&#45684;&#50620;BODY(&#51665;&#54665;&#45800;&#44228;-&#52392;&#48512;&#54260;&#45908;)\&#51204;&#44592;&#48516;&#50556;\1_&#49444;&#44228;&#51201;&#51221;&#49457;%20&#44160;&#53664;\&#52404;&#53356;&#47532;&#49828;&#53944;\&#49444;&#44228;&#51201;&#51221;&#49457;%20&#44160;&#53664;_&#52404;&#53356;&#47532;&#49828;&#53944;.html" TargetMode="External" Id="rId3"/><Relationship Type="http://schemas.openxmlformats.org/officeDocument/2006/relationships/hyperlink" Target="&#47588;&#45684;&#50620;BODY(&#51665;&#54665;&#45800;&#44228;-&#52392;&#48512;&#54260;&#45908;)\&#51204;&#44592;&#48516;&#50556;\2_&#48156;&#51452;&#51204;&#47029;%20KOM\&#54364;&#51456;&#49436;\&#48156;&#51452;&#51204;&#47029;%20KOM_&#54364;&#51456;&#49436;.html" TargetMode="External" Id="rId4"/><Relationship Type="http://schemas.openxmlformats.org/officeDocument/2006/relationships/hyperlink" Target="&#47588;&#45684;&#50620;BODY(&#51665;&#54665;&#45800;&#44228;-&#52392;&#48512;&#54260;&#45908;)\&#51204;&#44592;&#48516;&#50556;\2_&#48156;&#51452;&#51204;&#47029;%20KOM\&#49688;&#54665;&#51648;&#52840;\&#48156;&#51452;&#51204;&#47029;%20KOM_&#49688;&#54665;&#51648;&#52840;.html" TargetMode="External" Id="rId5"/><Relationship Type="http://schemas.openxmlformats.org/officeDocument/2006/relationships/hyperlink" Target="&#47588;&#45684;&#50620;BODY(&#51665;&#54665;&#45800;&#44228;-&#52392;&#48512;&#54260;&#45908;)\&#51204;&#44592;&#48516;&#50556;\2_&#48156;&#51452;&#51204;&#47029;%20KOM\&#52404;&#53356;&#47532;&#49828;&#53944;\&#48156;&#51452;&#51204;&#47029;%20KOM_&#52404;&#53356;&#47532;&#49828;&#53944;.html" TargetMode="External" Id="rId6"/><Relationship Type="http://schemas.openxmlformats.org/officeDocument/2006/relationships/hyperlink" Target="&#47588;&#45684;&#50620;BODY(&#51665;&#54665;&#45800;&#44228;-&#52392;&#48512;&#54260;&#45908;)\&#51204;&#44592;&#48516;&#50556;\3_&#53664;&#47785;%20_%20&#44148;&#52629;%20&#51064;&#53552;&#54168;&#51060;&#49828;%20&#54801;&#51032;\&#54364;&#51456;&#49436;\&#53664;&#47785;%20_%20&#44148;&#52629;%20&#51064;&#53552;&#54168;&#51060;&#49828;%20&#54801;&#51032;_&#54364;&#51456;&#49436;.html" TargetMode="External" Id="rId7"/><Relationship Type="http://schemas.openxmlformats.org/officeDocument/2006/relationships/hyperlink" Target="&#47588;&#45684;&#50620;BODY(&#51665;&#54665;&#45800;&#44228;-&#52392;&#48512;&#54260;&#45908;)\&#51204;&#44592;&#48516;&#50556;\3_&#53664;&#47785;%20_%20&#44148;&#52629;%20&#51064;&#53552;&#54168;&#51060;&#49828;%20&#54801;&#51032;\&#49688;&#54665;&#51648;&#52840;\&#53664;&#47785;%20_%20&#44148;&#52629;%20&#51064;&#53552;&#54168;&#51060;&#49828;%20&#54801;&#51032;_&#49688;&#54665;&#51648;&#52840;.html" TargetMode="External" Id="rId8"/><Relationship Type="http://schemas.openxmlformats.org/officeDocument/2006/relationships/hyperlink" Target="&#47588;&#45684;&#50620;BODY(&#51665;&#54665;&#45800;&#44228;-&#52392;&#48512;&#54260;&#45908;)\&#51204;&#44592;&#48516;&#50556;\3_&#53664;&#47785;%20_%20&#44148;&#52629;%20&#51064;&#53552;&#54168;&#51060;&#49828;%20&#54801;&#51032;\&#52404;&#53356;&#47532;&#49828;&#53944;\&#53664;&#47785;%20_%20&#44148;&#52629;%20&#51064;&#53552;&#54168;&#51060;&#49828;%20&#54801;&#51032;_&#52404;&#53356;&#47532;&#49828;&#53944;.html" TargetMode="External" Id="rId9"/><Relationship Type="http://schemas.openxmlformats.org/officeDocument/2006/relationships/hyperlink" Target="&#47588;&#45684;&#50620;BODY(&#51665;&#54665;&#45800;&#44228;-&#52392;&#48512;&#54260;&#45908;)\&#51204;&#44592;&#48516;&#50556;\4_&#49888;&#54840;%20_%20&#53685;&#49888;%20_%20&#44592;&#44228;%20_%20PSD%20_%20&#52264;&#47049;%20&#51064;&#53552;&#54168;&#51060;&#49828;%20&#54801;&#51032;\&#54364;&#51456;&#49436;\&#49888;&#54840;%20_%20&#53685;&#49888;%20_%20&#44592;&#44228;%20_%20PSD%20_%20&#52264;&#47049;%20&#51064;&#53552;&#54168;&#51060;&#49828;%20&#54801;&#51032;_&#54364;&#51456;&#49436;.html" TargetMode="External" Id="rId10"/><Relationship Type="http://schemas.openxmlformats.org/officeDocument/2006/relationships/hyperlink" Target="&#47588;&#45684;&#50620;BODY(&#51665;&#54665;&#45800;&#44228;-&#52392;&#48512;&#54260;&#45908;)\&#51204;&#44592;&#48516;&#50556;\4_&#49888;&#54840;%20_%20&#53685;&#49888;%20_%20&#44592;&#44228;%20_%20PSD%20_%20&#52264;&#47049;%20&#51064;&#53552;&#54168;&#51060;&#49828;%20&#54801;&#51032;\&#49688;&#54665;&#51648;&#52840;\&#49888;&#54840;%20_%20&#53685;&#49888;%20_%20&#44592;&#44228;%20_%20PSD%20_%20&#52264;&#47049;%20&#51064;&#53552;&#54168;&#51060;&#49828;%20&#54801;&#51032;_&#49688;&#54665;&#51648;&#52840;.html" TargetMode="External" Id="rId11"/><Relationship Type="http://schemas.openxmlformats.org/officeDocument/2006/relationships/hyperlink" Target="&#47588;&#45684;&#50620;BODY(&#51665;&#54665;&#45800;&#44228;-&#52392;&#48512;&#54260;&#45908;)\&#51204;&#44592;&#48516;&#50556;\4_&#49888;&#54840;%20_%20&#53685;&#49888;%20_%20&#44592;&#44228;%20_%20PSD%20_%20&#52264;&#47049;%20&#51064;&#53552;&#54168;&#51060;&#49828;%20&#54801;&#51032;\&#52404;&#53356;&#47532;&#49828;&#53944;\&#49888;&#54840;%20_%20&#53685;&#49888;%20_%20&#44592;&#44228;%20_%20PSD%20_%20&#52264;&#47049;%20&#51064;&#53552;&#54168;&#51060;&#49828;%20&#54801;&#51032;_&#52404;&#53356;&#47532;&#49828;&#53944;.html" TargetMode="External" Id="rId12"/><Relationship Type="http://schemas.openxmlformats.org/officeDocument/2006/relationships/hyperlink" Target="&#47588;&#45684;&#50620;BODY(&#51665;&#54665;&#45800;&#44228;-&#52392;&#48512;&#54260;&#45908;)\&#51204;&#44592;&#48516;&#50556;\5_&#51204;&#44592;&#49444;&#48708;%20&#51228;&#51089;&#49324;%20&#51064;&#53552;&#54168;&#51060;&#49828;%20&#54801;&#51032;\&#54364;&#51456;&#49436;\&#51204;&#44592;&#49444;&#48708;%20&#51228;&#51089;&#49324;%20&#51064;&#53552;&#54168;&#51060;&#49828;%20&#54801;&#51032;_&#54364;&#51456;&#49436;.html" TargetMode="External" Id="rId13"/><Relationship Type="http://schemas.openxmlformats.org/officeDocument/2006/relationships/hyperlink" Target="&#47588;&#45684;&#50620;BODY(&#51665;&#54665;&#45800;&#44228;-&#52392;&#48512;&#54260;&#45908;)\&#51204;&#44592;&#48516;&#50556;\5_&#51204;&#44592;&#49444;&#48708;%20&#51228;&#51089;&#49324;%20&#51064;&#53552;&#54168;&#51060;&#49828;%20&#54801;&#51032;\&#49688;&#54665;&#51648;&#52840;\&#51204;&#44592;&#49444;&#48708;%20&#51228;&#51089;&#49324;%20&#51064;&#53552;&#54168;&#51060;&#49828;%20&#54801;&#51032;_&#49688;&#54665;&#51648;&#52840;.html" TargetMode="External" Id="rId14"/><Relationship Type="http://schemas.openxmlformats.org/officeDocument/2006/relationships/hyperlink" Target="&#47588;&#45684;&#50620;BODY(&#51665;&#54665;&#45800;&#44228;-&#52392;&#48512;&#54260;&#45908;)\&#51204;&#44592;&#48516;&#50556;\5_&#51204;&#44592;&#49444;&#48708;%20&#51228;&#51089;&#49324;%20&#51064;&#53552;&#54168;&#51060;&#49828;%20&#54801;&#51032;\&#52404;&#53356;&#47532;&#49828;&#53944;\&#51204;&#44592;&#49444;&#48708;%20&#51228;&#51089;&#49324;%20&#51064;&#53552;&#54168;&#51060;&#49828;%20&#54801;&#51032;_&#52404;&#53356;&#47532;&#49828;&#53944;.html" TargetMode="External" Id="rId15"/><Relationship Type="http://schemas.openxmlformats.org/officeDocument/2006/relationships/hyperlink" Target="&#47588;&#45684;&#50620;BODY(&#51665;&#54665;&#45800;&#44228;-&#52392;&#48512;&#54260;&#45908;)\&#51204;&#44592;&#48516;&#50556;\6_&#44288;&#51228;%20&#48143;%20&#50868;&#50689;&#49324;%20&#51064;&#53552;&#54168;&#51060;&#49828;%20&#54801;&#51032;\&#54364;&#51456;&#49436;\&#44288;&#51228;%20&#48143;%20&#50868;&#50689;&#49324;%20&#51064;&#53552;&#54168;&#51060;&#49828;%20&#54801;&#51032;_&#54364;&#51456;&#49436;.html" TargetMode="External" Id="rId16"/><Relationship Type="http://schemas.openxmlformats.org/officeDocument/2006/relationships/hyperlink" Target="&#47588;&#45684;&#50620;BODY(&#51665;&#54665;&#45800;&#44228;-&#52392;&#48512;&#54260;&#45908;)\&#51204;&#44592;&#48516;&#50556;\6_&#44288;&#51228;%20&#48143;%20&#50868;&#50689;&#49324;%20&#51064;&#53552;&#54168;&#51060;&#49828;%20&#54801;&#51032;\&#49688;&#54665;&#51648;&#52840;\&#44288;&#51228;%20&#48143;%20&#50868;&#50689;&#49324;%20&#51064;&#53552;&#54168;&#51060;&#49828;%20&#54801;&#51032;_&#49688;&#54665;&#51648;&#52840;.html" TargetMode="External" Id="rId17"/><Relationship Type="http://schemas.openxmlformats.org/officeDocument/2006/relationships/hyperlink" Target="&#47588;&#45684;&#50620;BODY(&#51665;&#54665;&#45800;&#44228;-&#52392;&#48512;&#54260;&#45908;)\&#51204;&#44592;&#48516;&#50556;\6_&#44288;&#51228;%20&#48143;%20&#50868;&#50689;&#49324;%20&#51064;&#53552;&#54168;&#51060;&#49828;%20&#54801;&#51032;\&#52404;&#53356;&#47532;&#49828;&#53944;\&#44288;&#51228;%20&#48143;%20&#50868;&#50689;&#49324;%20&#51064;&#53552;&#54168;&#51060;&#49828;%20&#54801;&#51032;_&#52404;&#53356;&#47532;&#49828;&#53944;.html" TargetMode="External" Id="rId18"/><Relationship Type="http://schemas.openxmlformats.org/officeDocument/2006/relationships/hyperlink" Target="&#47588;&#45684;&#50620;BODY(&#51665;&#54665;&#45800;&#44228;-&#52392;&#48512;&#54260;&#45908;)\&#51204;&#44592;&#48516;&#50556;\7_&#48156;&#51452;&#52376;%20&#54408;&#51656;%20&#50836;&#44396;&#49324;&#54637;%20&#44160;&#53664;\&#54364;&#51456;&#49436;\&#48156;&#51452;&#52376;%20&#54408;&#51656;%20&#50836;&#44396;&#49324;&#54637;%20&#44160;&#53664;_&#54364;&#51456;&#49436;.html" TargetMode="External" Id="rId19"/><Relationship Type="http://schemas.openxmlformats.org/officeDocument/2006/relationships/hyperlink" Target="&#47588;&#45684;&#50620;BODY(&#51665;&#54665;&#45800;&#44228;-&#52392;&#48512;&#54260;&#45908;)\&#51204;&#44592;&#48516;&#50556;\7_&#48156;&#51452;&#52376;%20&#54408;&#51656;%20&#50836;&#44396;&#49324;&#54637;%20&#44160;&#53664;\&#49688;&#54665;&#51648;&#52840;\&#48156;&#51452;&#52376;%20&#54408;&#51656;%20&#50836;&#44396;&#49324;&#54637;%20&#44160;&#53664;_&#49688;&#54665;&#51648;&#52840;.html" TargetMode="External" Id="rId20"/><Relationship Type="http://schemas.openxmlformats.org/officeDocument/2006/relationships/hyperlink" Target="&#47588;&#45684;&#50620;BODY(&#51665;&#54665;&#45800;&#44228;-&#52392;&#48512;&#54260;&#45908;)\&#51204;&#44592;&#48516;&#50556;\7_&#48156;&#51452;&#52376;%20&#54408;&#51656;%20&#50836;&#44396;&#49324;&#54637;%20&#44160;&#53664;\&#52404;&#53356;&#47532;&#49828;&#53944;\&#48156;&#51452;&#52376;%20&#54408;&#51656;%20&#50836;&#44396;&#49324;&#54637;%20&#44160;&#53664;_&#52404;&#53356;&#47532;&#49828;&#53944;.html" TargetMode="External" Id="rId21"/><Relationship Type="http://schemas.openxmlformats.org/officeDocument/2006/relationships/hyperlink" Target="&#47588;&#45684;&#50620;BODY(&#51665;&#54665;&#45800;&#44228;-&#52392;&#48512;&#54260;&#45908;)\&#51204;&#44592;&#48516;&#50556;\8_&#51088;&#51116;%20_%20&#51064;&#50896;%20_%20&#51109;&#48708;%20&#46321;%20&#53804;&#51077;%20&#49324;&#51204;%20&#44160;&#53664;\&#54364;&#51456;&#49436;\&#51088;&#51116;%20_%20&#51064;&#50896;%20_%20&#51109;&#48708;%20&#46321;%20&#53804;&#51077;%20&#49324;&#51204;%20&#44160;&#53664;_&#54364;&#51456;&#49436;.html" TargetMode="External" Id="rId22"/><Relationship Type="http://schemas.openxmlformats.org/officeDocument/2006/relationships/hyperlink" Target="&#47588;&#45684;&#50620;BODY(&#51665;&#54665;&#45800;&#44228;-&#52392;&#48512;&#54260;&#45908;)\&#51204;&#44592;&#48516;&#50556;\8_&#51088;&#51116;%20_%20&#51064;&#50896;%20_%20&#51109;&#48708;%20&#46321;%20&#53804;&#51077;%20&#49324;&#51204;%20&#44160;&#53664;\&#49688;&#54665;&#51648;&#52840;\&#51088;&#51116;%20_%20&#51064;&#50896;%20_%20&#51109;&#48708;%20&#46321;%20&#53804;&#51077;%20&#49324;&#51204;%20&#44160;&#53664;_&#49688;&#54665;&#51648;&#52840;.html" TargetMode="External" Id="rId23"/><Relationship Type="http://schemas.openxmlformats.org/officeDocument/2006/relationships/hyperlink" Target="&#47588;&#45684;&#50620;BODY(&#51665;&#54665;&#45800;&#44228;-&#52392;&#48512;&#54260;&#45908;)\&#51204;&#44592;&#48516;&#50556;\8_&#51088;&#51116;%20_%20&#51064;&#50896;%20_%20&#51109;&#48708;%20&#46321;%20&#53804;&#51077;%20&#49324;&#51204;%20&#44160;&#53664;\&#52404;&#53356;&#47532;&#49828;&#53944;\&#51088;&#51116;%20_%20&#51064;&#50896;%20_%20&#51109;&#48708;%20&#46321;%20&#53804;&#51077;%20&#49324;&#51204;%20&#44160;&#53664;_&#52404;&#53356;&#47532;&#49828;&#53944;.html" TargetMode="External" Id="rId24"/><Relationship Type="http://schemas.openxmlformats.org/officeDocument/2006/relationships/hyperlink" Target="&#47588;&#45684;&#50620;BODY(&#51665;&#54665;&#45800;&#44228;-&#52392;&#48512;&#54260;&#45908;)\&#51204;&#44592;&#48516;&#50556;\9_&#51064;&#54728;&#44032;%20&#51456;&#48708;\&#54364;&#51456;&#49436;\&#51064;&#54728;&#44032;%20&#51456;&#48708;_&#54364;&#51456;&#49436;.html" TargetMode="External" Id="rId25"/><Relationship Type="http://schemas.openxmlformats.org/officeDocument/2006/relationships/hyperlink" Target="&#47588;&#45684;&#50620;BODY(&#51665;&#54665;&#45800;&#44228;-&#52392;&#48512;&#54260;&#45908;)\&#51204;&#44592;&#48516;&#50556;\9_&#51064;&#54728;&#44032;%20&#51456;&#48708;\&#49688;&#54665;&#51648;&#52840;\&#51064;&#54728;&#44032;%20&#51456;&#48708;_&#49688;&#54665;&#51648;&#52840;.html" TargetMode="External" Id="rId26"/><Relationship Type="http://schemas.openxmlformats.org/officeDocument/2006/relationships/hyperlink" Target="&#47588;&#45684;&#50620;BODY(&#51665;&#54665;&#45800;&#44228;-&#52392;&#48512;&#54260;&#45908;)\&#51204;&#44592;&#48516;&#50556;\9_&#51064;&#54728;&#44032;%20&#51456;&#48708;\&#52404;&#53356;&#47532;&#49828;&#53944;\&#51064;&#54728;&#44032;%20&#51456;&#48708;_&#52404;&#53356;&#47532;&#49828;&#53944;.html" TargetMode="External" Id="rId27"/><Relationship Type="http://schemas.openxmlformats.org/officeDocument/2006/relationships/hyperlink" Target="&#47588;&#45684;&#50620;BODY(&#51665;&#54665;&#45800;&#44228;-&#52392;&#48512;&#54260;&#45908;)\&#51204;&#44592;&#48516;&#50556;\10_&#52265;&#49688;%20&#51204;%20Big%20Room%20&#54924;&#51032;\&#54364;&#51456;&#49436;\&#52265;&#49688;%20&#51204;%20Big%20Room%20&#54924;&#51032;_&#54364;&#51456;&#49436;.html" TargetMode="External" Id="rId28"/><Relationship Type="http://schemas.openxmlformats.org/officeDocument/2006/relationships/hyperlink" Target="&#47588;&#45684;&#50620;BODY(&#51665;&#54665;&#45800;&#44228;-&#52392;&#48512;&#54260;&#45908;)\&#51204;&#44592;&#48516;&#50556;\10_&#52265;&#49688;%20&#51204;%20Big%20Room%20&#54924;&#51032;\&#49688;&#54665;&#51648;&#52840;\&#52265;&#49688;%20&#51204;%20Big%20Room%20&#54924;&#51032;_&#49688;&#54665;&#51648;&#52840;.html" TargetMode="External" Id="rId29"/><Relationship Type="http://schemas.openxmlformats.org/officeDocument/2006/relationships/hyperlink" Target="&#47588;&#45684;&#50620;BODY(&#51665;&#54665;&#45800;&#44228;-&#52392;&#48512;&#54260;&#45908;)\&#51204;&#44592;&#48516;&#50556;\10_&#52265;&#49688;%20&#51204;%20Big%20Room%20&#54924;&#51032;\&#52404;&#53356;&#47532;&#49828;&#53944;\&#52265;&#49688;%20&#51204;%20Big%20Room%20&#54924;&#51032;_&#52404;&#53356;&#47532;&#49828;&#53944;.html" TargetMode="External" Id="rId30"/><Relationship Type="http://schemas.openxmlformats.org/officeDocument/2006/relationships/hyperlink" Target="&#47588;&#45684;&#50620;BODY(&#51665;&#54665;&#45800;&#44228;-&#52392;&#48512;&#54260;&#45908;)\&#51204;&#44592;&#48516;&#50556;\11_&#51204;&#44592;&#49444;&#48708;%20&#51228;&#51089;%20&#49324;&#50577;&#49436;%20&#51089;&#49457;%20_%20&#49849;&#51064;\&#54364;&#51456;&#49436;\&#51204;&#44592;&#49444;&#48708;%20&#51228;&#51089;%20&#49324;&#50577;&#49436;%20&#51089;&#49457;%20_%20&#49849;&#51064;_&#54364;&#51456;&#49436;.html" TargetMode="External" Id="rId31"/><Relationship Type="http://schemas.openxmlformats.org/officeDocument/2006/relationships/hyperlink" Target="&#47588;&#45684;&#50620;BODY(&#51665;&#54665;&#45800;&#44228;-&#52392;&#48512;&#54260;&#45908;)\&#51204;&#44592;&#48516;&#50556;\11_&#51204;&#44592;&#49444;&#48708;%20&#51228;&#51089;%20&#49324;&#50577;&#49436;%20&#51089;&#49457;%20_%20&#49849;&#51064;\&#49688;&#54665;&#51648;&#52840;\&#51204;&#44592;&#49444;&#48708;%20&#51228;&#51089;%20&#49324;&#50577;&#49436;%20&#51089;&#49457;%20_%20&#49849;&#51064;_&#49688;&#54665;&#51648;&#52840;.html" TargetMode="External" Id="rId32"/><Relationship Type="http://schemas.openxmlformats.org/officeDocument/2006/relationships/hyperlink" Target="&#47588;&#45684;&#50620;BODY(&#51665;&#54665;&#45800;&#44228;-&#52392;&#48512;&#54260;&#45908;)\&#51204;&#44592;&#48516;&#50556;\11_&#51204;&#44592;&#49444;&#48708;%20&#51228;&#51089;%20&#49324;&#50577;&#49436;%20&#51089;&#49457;%20_%20&#49849;&#51064;\&#52404;&#53356;&#47532;&#49828;&#53944;\&#51204;&#44592;&#49444;&#48708;%20&#51228;&#51089;%20&#49324;&#50577;&#49436;%20&#51089;&#49457;%20_%20&#49849;&#51064;_&#52404;&#53356;&#47532;&#49828;&#53944;.html" TargetMode="External" Id="rId33"/><Relationship Type="http://schemas.openxmlformats.org/officeDocument/2006/relationships/hyperlink" Target="&#47588;&#45684;&#50620;BODY(&#51665;&#54665;&#45800;&#44228;-&#52392;&#48512;&#54260;&#45908;)\&#51204;&#44592;&#48516;&#50556;\12_&#49884;&#44277;%20&#44228;&#54925;%20&#49688;&#47549;%20_%20&#49849;&#51064;\&#54364;&#51456;&#49436;\&#49884;&#44277;%20&#44228;&#54925;%20&#49688;&#47549;%20_%20&#49849;&#51064;_&#54364;&#51456;&#49436;.html" TargetMode="External" Id="rId34"/><Relationship Type="http://schemas.openxmlformats.org/officeDocument/2006/relationships/hyperlink" Target="&#47588;&#45684;&#50620;BODY(&#51665;&#54665;&#45800;&#44228;-&#52392;&#48512;&#54260;&#45908;)\&#51204;&#44592;&#48516;&#50556;\12_&#49884;&#44277;%20&#44228;&#54925;%20&#49688;&#47549;%20_%20&#49849;&#51064;\&#49688;&#54665;&#51648;&#52840;\&#49884;&#44277;%20&#44228;&#54925;%20&#49688;&#47549;%20_%20&#49849;&#51064;_&#49688;&#54665;&#51648;&#52840;.html" TargetMode="External" Id="rId35"/><Relationship Type="http://schemas.openxmlformats.org/officeDocument/2006/relationships/hyperlink" Target="&#47588;&#45684;&#50620;BODY(&#51665;&#54665;&#45800;&#44228;-&#52392;&#48512;&#54260;&#45908;)\&#51204;&#44592;&#48516;&#50556;\12_&#49884;&#44277;%20&#44228;&#54925;%20&#49688;&#47549;%20_%20&#49849;&#51064;\&#52404;&#53356;&#47532;&#49828;&#53944;\&#49884;&#44277;%20&#44228;&#54925;%20&#49688;&#47549;%20_%20&#49849;&#51064;_&#52404;&#53356;&#47532;&#49828;&#53944;.html" TargetMode="External" Id="rId36"/><Relationship Type="http://schemas.openxmlformats.org/officeDocument/2006/relationships/hyperlink" Target="&#47588;&#45684;&#50620;BODY(&#51665;&#54665;&#45800;&#44228;-&#52392;&#48512;&#54260;&#45908;)\&#51204;&#44592;&#48516;&#50556;\13_&#51088;&#51116;&#44277;&#44553;&#50896;_&#44592;&#51088;&#51116;%20&#51228;&#51089;&#46020;&#49436;%20&#49849;&#51064;\&#54364;&#51456;&#49436;\&#51088;&#51116;&#44277;&#44553;&#50896;_&#44592;&#51088;&#51116;%20&#51228;&#51089;&#46020;&#49436;%20&#49849;&#51064;_&#54364;&#51456;&#49436;.html" TargetMode="External" Id="rId37"/><Relationship Type="http://schemas.openxmlformats.org/officeDocument/2006/relationships/hyperlink" Target="&#47588;&#45684;&#50620;BODY(&#51665;&#54665;&#45800;&#44228;-&#52392;&#48512;&#54260;&#45908;)\&#51204;&#44592;&#48516;&#50556;\13_&#51088;&#51116;&#44277;&#44553;&#50896;_&#44592;&#51088;&#51116;%20&#51228;&#51089;&#46020;&#49436;%20&#49849;&#51064;\&#49688;&#54665;&#51648;&#52840;\&#51088;&#51116;&#44277;&#44553;&#50896;_&#44592;&#51088;&#51116;%20&#51228;&#51089;&#46020;&#49436;%20&#49849;&#51064;_&#49688;&#54665;&#51648;&#52840;.html" TargetMode="External" Id="rId38"/><Relationship Type="http://schemas.openxmlformats.org/officeDocument/2006/relationships/hyperlink" Target="&#47588;&#45684;&#50620;BODY(&#51665;&#54665;&#45800;&#44228;-&#52392;&#48512;&#54260;&#45908;)\&#51204;&#44592;&#48516;&#50556;\13_&#51088;&#51116;&#44277;&#44553;&#50896;_&#44592;&#51088;&#51116;%20&#51228;&#51089;&#46020;&#49436;%20&#49849;&#51064;\&#52404;&#53356;&#47532;&#49828;&#53944;\&#51088;&#51116;&#44277;&#44553;&#50896;_&#44592;&#51088;&#51116;%20&#51228;&#51089;&#46020;&#49436;%20&#49849;&#51064;_&#52404;&#53356;&#47532;&#49828;&#53944;.html" TargetMode="External" Id="rId39"/><Relationship Type="http://schemas.openxmlformats.org/officeDocument/2006/relationships/hyperlink" Target="&#47588;&#45684;&#50620;BODY(&#51665;&#54665;&#45800;&#44228;-&#52392;&#48512;&#54260;&#45908;)\&#51204;&#44592;&#48516;&#50556;\14_&#51204;&#44592;&#49444;&#48708;%20&#44277;&#51221;&#51228;&#51089;%20_%20&#51228;&#51089;&#49324;%20&#44277;&#51109;&#44160;&#49324;\&#54364;&#51456;&#49436;\&#51204;&#44592;&#49444;&#48708;%20&#44277;&#51221;&#51228;&#51089;%20_%20&#51228;&#51089;&#49324;%20&#44277;&#51109;&#44160;&#49324;_&#54364;&#51456;&#49436;.html" TargetMode="External" Id="rId40"/><Relationship Type="http://schemas.openxmlformats.org/officeDocument/2006/relationships/hyperlink" Target="&#47588;&#45684;&#50620;BODY(&#51665;&#54665;&#45800;&#44228;-&#52392;&#48512;&#54260;&#45908;)\&#51204;&#44592;&#48516;&#50556;\14_&#51204;&#44592;&#49444;&#48708;%20&#44277;&#51221;&#51228;&#51089;%20_%20&#51228;&#51089;&#49324;%20&#44277;&#51109;&#44160;&#49324;\&#49688;&#54665;&#51648;&#52840;\&#51204;&#44592;&#49444;&#48708;%20&#44277;&#51221;&#51228;&#51089;%20_%20&#51228;&#51089;&#49324;%20&#44277;&#51109;&#44160;&#49324;_&#49688;&#54665;&#51648;&#52840;.html" TargetMode="External" Id="rId41"/><Relationship Type="http://schemas.openxmlformats.org/officeDocument/2006/relationships/hyperlink" Target="&#47588;&#45684;&#50620;BODY(&#51665;&#54665;&#45800;&#44228;-&#52392;&#48512;&#54260;&#45908;)\&#51204;&#44592;&#48516;&#50556;\14_&#51204;&#44592;&#49444;&#48708;%20&#44277;&#51221;&#51228;&#51089;%20_%20&#51228;&#51089;&#49324;%20&#44277;&#51109;&#44160;&#49324;\&#52404;&#53356;&#47532;&#49828;&#53944;\&#51204;&#44592;&#49444;&#48708;%20&#44277;&#51221;&#51228;&#51089;%20_%20&#51228;&#51089;&#49324;%20&#44277;&#51109;&#44160;&#49324;_&#52404;&#53356;&#47532;&#49828;&#53944;.html" TargetMode="External" Id="rId42"/><Relationship Type="http://schemas.openxmlformats.org/officeDocument/2006/relationships/hyperlink" Target="&#47588;&#45684;&#50620;BODY(&#51665;&#54665;&#45800;&#44228;-&#52392;&#48512;&#54260;&#45908;)\&#51204;&#44592;&#48516;&#50556;\15_&#48376;&#44277;&#49324;%20&#51204;%20&#49440;&#54665;&#44277;&#51221;%20&#51064;&#49688;&#51064;&#44228;%20&#51216;&#44160;\&#54364;&#51456;&#49436;\&#48376;&#44277;&#49324;%20&#51204;%20&#49440;&#54665;&#44277;&#51221;%20&#51064;&#49688;&#51064;&#44228;%20&#51216;&#44160;_&#54364;&#51456;&#49436;.html" TargetMode="External" Id="rId43"/><Relationship Type="http://schemas.openxmlformats.org/officeDocument/2006/relationships/hyperlink" Target="&#47588;&#45684;&#50620;BODY(&#51665;&#54665;&#45800;&#44228;-&#52392;&#48512;&#54260;&#45908;)\&#51204;&#44592;&#48516;&#50556;\15_&#48376;&#44277;&#49324;%20&#51204;%20&#49440;&#54665;&#44277;&#51221;%20&#51064;&#49688;&#51064;&#44228;%20&#51216;&#44160;\&#49688;&#54665;&#51648;&#52840;\&#48376;&#44277;&#49324;%20&#51204;%20&#49440;&#54665;&#44277;&#51221;%20&#51064;&#49688;&#51064;&#44228;%20&#51216;&#44160;_&#49688;&#54665;&#51648;&#52840;.html" TargetMode="External" Id="rId44"/><Relationship Type="http://schemas.openxmlformats.org/officeDocument/2006/relationships/hyperlink" Target="&#47588;&#45684;&#50620;BODY(&#51665;&#54665;&#45800;&#44228;-&#52392;&#48512;&#54260;&#45908;)\&#51204;&#44592;&#48516;&#50556;\15_&#48376;&#44277;&#49324;%20&#51204;%20&#49440;&#54665;&#44277;&#51221;%20&#51064;&#49688;&#51064;&#44228;%20&#51216;&#44160;\&#52404;&#53356;&#47532;&#49828;&#53944;\&#48376;&#44277;&#49324;%20&#51204;%20&#49440;&#54665;&#44277;&#51221;%20&#51064;&#49688;&#51064;&#44228;%20&#51216;&#44160;_&#52404;&#53356;&#47532;&#49828;&#53944;.html" TargetMode="External" Id="rId45"/><Relationship Type="http://schemas.openxmlformats.org/officeDocument/2006/relationships/hyperlink" Target="&#47588;&#45684;&#50620;BODY(&#51665;&#54665;&#45800;&#44228;-&#52392;&#48512;&#54260;&#45908;)\&#51204;&#44592;&#48516;&#50556;\16_&#51109;&#48708;&#48152;&#51077;%20&#48143;%20&#50504;&#51204;&#44368;&#50977;\&#54364;&#51456;&#49436;\&#51109;&#48708;&#48152;&#51077;%20&#48143;%20&#50504;&#51204;&#44368;&#50977;_&#54364;&#51456;&#49436;.html" TargetMode="External" Id="rId46"/><Relationship Type="http://schemas.openxmlformats.org/officeDocument/2006/relationships/hyperlink" Target="&#47588;&#45684;&#50620;BODY(&#51665;&#54665;&#45800;&#44228;-&#52392;&#48512;&#54260;&#45908;)\&#51204;&#44592;&#48516;&#50556;\16_&#51109;&#48708;&#48152;&#51077;%20&#48143;%20&#50504;&#51204;&#44368;&#50977;\&#49688;&#54665;&#51648;&#52840;\&#51109;&#48708;&#48152;&#51077;%20&#48143;%20&#50504;&#51204;&#44368;&#50977;_&#49688;&#54665;&#51648;&#52840;.html" TargetMode="External" Id="rId47"/><Relationship Type="http://schemas.openxmlformats.org/officeDocument/2006/relationships/hyperlink" Target="&#47588;&#45684;&#50620;BODY(&#51665;&#54665;&#45800;&#44228;-&#52392;&#48512;&#54260;&#45908;)\&#51204;&#44592;&#48516;&#50556;\16_&#51109;&#48708;&#48152;&#51077;%20&#48143;%20&#50504;&#51204;&#44368;&#50977;\&#52404;&#53356;&#47532;&#49828;&#53944;\&#51109;&#48708;&#48152;&#51077;%20&#48143;%20&#50504;&#51204;&#44368;&#50977;_&#52404;&#53356;&#47532;&#49828;&#53944;.html" TargetMode="External" Id="rId48"/><Relationship Type="http://schemas.openxmlformats.org/officeDocument/2006/relationships/hyperlink" Target="&#47588;&#45684;&#50620;BODY(&#51665;&#54665;&#45800;&#44228;-&#52392;&#48512;&#54260;&#45908;)\&#51204;&#44592;&#48516;&#50556;\17_&#51088;&#51116;%20&#48152;&#51077;%20&#48143;%20&#44160;&#49688;\&#54364;&#51456;&#49436;\&#51088;&#51116;%20&#48152;&#51077;%20&#48143;%20&#44160;&#49688;_&#54364;&#51456;&#49436;.html" TargetMode="External" Id="rId49"/><Relationship Type="http://schemas.openxmlformats.org/officeDocument/2006/relationships/hyperlink" Target="&#47588;&#45684;&#50620;BODY(&#51665;&#54665;&#45800;&#44228;-&#52392;&#48512;&#54260;&#45908;)\&#51204;&#44592;&#48516;&#50556;\17_&#51088;&#51116;%20&#48152;&#51077;%20&#48143;%20&#44160;&#49688;\&#49688;&#54665;&#51648;&#52840;\&#51088;&#51116;%20&#48152;&#51077;%20&#48143;%20&#44160;&#49688;_&#49688;&#54665;&#51648;&#52840;.html" TargetMode="External" Id="rId50"/><Relationship Type="http://schemas.openxmlformats.org/officeDocument/2006/relationships/hyperlink" Target="&#47588;&#45684;&#50620;BODY(&#51665;&#54665;&#45800;&#44228;-&#52392;&#48512;&#54260;&#45908;)\&#51204;&#44592;&#48516;&#50556;\17_&#51088;&#51116;%20&#48152;&#51077;%20&#48143;%20&#44160;&#49688;\&#52404;&#53356;&#47532;&#49828;&#53944;\&#51088;&#51116;%20&#48152;&#51077;%20&#48143;%20&#44160;&#49688;_&#52404;&#53356;&#47532;&#49828;&#53944;.html" TargetMode="External" Id="rId51"/><Relationship Type="http://schemas.openxmlformats.org/officeDocument/2006/relationships/hyperlink" Target="&#47588;&#45684;&#50620;BODY(&#51665;&#54665;&#45800;&#44228;-&#52392;&#48512;&#54260;&#45908;)\&#51204;&#44592;&#48516;&#50556;\18_&#51204;&#52384;&#51204;&#47141;&#49444;&#48708;%20&#48152;&#51077;%20&#48143;%20&#49444;&#52824;\&#54364;&#51456;&#49436;\&#51204;&#52384;&#51204;&#47141;&#49444;&#48708;%20&#48152;&#51077;%20&#48143;%20&#49444;&#52824;_&#54364;&#51456;&#49436;.html" TargetMode="External" Id="rId52"/><Relationship Type="http://schemas.openxmlformats.org/officeDocument/2006/relationships/hyperlink" Target="&#47588;&#45684;&#50620;BODY(&#51665;&#54665;&#45800;&#44228;-&#52392;&#48512;&#54260;&#45908;)\&#51204;&#44592;&#48516;&#50556;\18_&#51204;&#52384;&#51204;&#47141;&#49444;&#48708;%20&#48152;&#51077;%20&#48143;%20&#49444;&#52824;\&#49688;&#54665;&#51648;&#52840;\&#51204;&#52384;&#51204;&#47141;&#49444;&#48708;%20&#48152;&#51077;%20&#48143;%20&#49444;&#52824;_&#49688;&#54665;&#51648;&#52840;.html" TargetMode="External" Id="rId53"/><Relationship Type="http://schemas.openxmlformats.org/officeDocument/2006/relationships/hyperlink" Target="&#47588;&#45684;&#50620;BODY(&#51665;&#54665;&#45800;&#44228;-&#52392;&#48512;&#54260;&#45908;)\&#51204;&#44592;&#48516;&#50556;\18_&#51204;&#52384;&#51204;&#47141;&#49444;&#48708;%20&#48152;&#51077;%20&#48143;%20&#49444;&#52824;\&#52404;&#53356;&#47532;&#49828;&#53944;\&#51204;&#52384;&#51204;&#47141;&#49444;&#48708;%20&#48152;&#51077;%20&#48143;%20&#49444;&#52824;_&#52404;&#53356;&#47532;&#49828;&#53944;.html" TargetMode="External" Id="rId54"/><Relationship Type="http://schemas.openxmlformats.org/officeDocument/2006/relationships/hyperlink" Target="&#47588;&#45684;&#50620;BODY(&#51665;&#54665;&#45800;&#44228;-&#52392;&#48512;&#54260;&#45908;)\&#51204;&#44592;&#48516;&#50556;\19_&#49688;&#51204;&#50857;%20&#52992;&#51060;&#48660;%20&#53944;&#47112;&#51060;%20&#48143;%20&#52992;&#51060;&#48660;%20&#54252;&#49444;\&#54364;&#51456;&#49436;\&#49688;&#51204;&#50857;%20&#52992;&#51060;&#48660;%20&#53944;&#47112;&#51060;%20&#48143;%20&#52992;&#51060;&#48660;%20&#54252;&#49444;_&#54364;&#51456;&#49436;.html" TargetMode="External" Id="rId55"/><Relationship Type="http://schemas.openxmlformats.org/officeDocument/2006/relationships/hyperlink" Target="&#47588;&#45684;&#50620;BODY(&#51665;&#54665;&#45800;&#44228;-&#52392;&#48512;&#54260;&#45908;)\&#51204;&#44592;&#48516;&#50556;\19_&#49688;&#51204;&#50857;%20&#52992;&#51060;&#48660;%20&#53944;&#47112;&#51060;%20&#48143;%20&#52992;&#51060;&#48660;%20&#54252;&#49444;\&#49688;&#54665;&#51648;&#52840;\&#49688;&#51204;&#50857;%20&#52992;&#51060;&#48660;%20&#53944;&#47112;&#51060;%20&#48143;%20&#52992;&#51060;&#48660;%20&#54252;&#49444;_&#49688;&#54665;&#51648;&#52840;.html" TargetMode="External" Id="rId56"/><Relationship Type="http://schemas.openxmlformats.org/officeDocument/2006/relationships/hyperlink" Target="&#47588;&#45684;&#50620;BODY(&#51665;&#54665;&#45800;&#44228;-&#52392;&#48512;&#54260;&#45908;)\&#51204;&#44592;&#48516;&#50556;\19_&#49688;&#51204;&#50857;%20&#52992;&#51060;&#48660;%20&#53944;&#47112;&#51060;%20&#48143;%20&#52992;&#51060;&#48660;%20&#54252;&#49444;\&#52404;&#53356;&#47532;&#49828;&#53944;\&#49688;&#51204;&#50857;%20&#52992;&#51060;&#48660;%20&#53944;&#47112;&#51060;%20&#48143;%20&#52992;&#51060;&#48660;%20&#54252;&#49444;_&#52404;&#53356;&#47532;&#49828;&#53944;.html" TargetMode="External" Id="rId57"/><Relationship Type="http://schemas.openxmlformats.org/officeDocument/2006/relationships/hyperlink" Target="&#47588;&#45684;&#50620;BODY(&#51665;&#54665;&#45800;&#44228;-&#52392;&#48512;&#54260;&#45908;)\&#51204;&#44592;&#48516;&#50556;\20_&#49688;&#51204;%20&#48143;%20&#51204;&#44592;&#44277;&#44553;(&#44553;&#51204;)\&#54364;&#51456;&#49436;\&#49688;&#51204;%20&#48143;%20&#51204;&#44592;&#44277;&#44553;(&#44553;&#51204;)_&#54364;&#51456;&#49436;.html" TargetMode="External" Id="rId58"/><Relationship Type="http://schemas.openxmlformats.org/officeDocument/2006/relationships/hyperlink" Target="&#47588;&#45684;&#50620;BODY(&#51665;&#54665;&#45800;&#44228;-&#52392;&#48512;&#54260;&#45908;)\&#51204;&#44592;&#48516;&#50556;\20_&#49688;&#51204;%20&#48143;%20&#51204;&#44592;&#44277;&#44553;(&#44553;&#51204;)\&#49688;&#54665;&#51648;&#52840;\&#49688;&#51204;%20&#48143;%20&#51204;&#44592;&#44277;&#44553;(&#44553;&#51204;)_&#49688;&#54665;&#51648;&#52840;.html" TargetMode="External" Id="rId59"/><Relationship Type="http://schemas.openxmlformats.org/officeDocument/2006/relationships/hyperlink" Target="&#47588;&#45684;&#50620;BODY(&#51665;&#54665;&#45800;&#44228;-&#52392;&#48512;&#54260;&#45908;)\&#51204;&#44592;&#48516;&#50556;\20_&#49688;&#51204;%20&#48143;%20&#51204;&#44592;&#44277;&#44553;(&#44553;&#51204;)\&#52404;&#53356;&#47532;&#49828;&#53944;\&#49688;&#51204;%20&#48143;%20&#51204;&#44592;&#44277;&#44553;(&#44553;&#51204;)_&#52404;&#53356;&#47532;&#49828;&#53944;.html" TargetMode="External" Id="rId60"/><Relationship Type="http://schemas.openxmlformats.org/officeDocument/2006/relationships/hyperlink" Target="&#47588;&#45684;&#50620;BODY(&#51665;&#54665;&#45800;&#44228;-&#52392;&#48512;&#54260;&#45908;)\&#51204;&#44592;&#48516;&#50556;\21_&#51333;&#54633;&#50672;&#46041;&#49884;&#54744;(SCADA)%20&#49892;&#49884;\&#54364;&#51456;&#49436;\&#51333;&#54633;&#50672;&#46041;&#49884;&#54744;(SCADA)%20&#49892;&#49884;_&#54364;&#51456;&#49436;.html" TargetMode="External" Id="rId61"/><Relationship Type="http://schemas.openxmlformats.org/officeDocument/2006/relationships/hyperlink" Target="&#47588;&#45684;&#50620;BODY(&#51665;&#54665;&#45800;&#44228;-&#52392;&#48512;&#54260;&#45908;)\&#51204;&#44592;&#48516;&#50556;\21_&#51333;&#54633;&#50672;&#46041;&#49884;&#54744;(SCADA)%20&#49892;&#49884;\&#49688;&#54665;&#51648;&#52840;\&#51333;&#54633;&#50672;&#46041;&#49884;&#54744;(SCADA)%20&#49892;&#49884;_&#49688;&#54665;&#51648;&#52840;.html" TargetMode="External" Id="rId62"/><Relationship Type="http://schemas.openxmlformats.org/officeDocument/2006/relationships/hyperlink" Target="&#47588;&#45684;&#50620;BODY(&#51665;&#54665;&#45800;&#44228;-&#52392;&#48512;&#54260;&#45908;)\&#51204;&#44592;&#48516;&#50556;\21_&#51333;&#54633;&#50672;&#46041;&#49884;&#54744;(SCADA)%20&#49892;&#49884;\&#52404;&#53356;&#47532;&#49828;&#53944;\&#51333;&#54633;&#50672;&#46041;&#49884;&#54744;(SCADA)%20&#49892;&#49884;_&#52404;&#53356;&#47532;&#49828;&#53944;.html" TargetMode="External" Id="rId63"/><Relationship Type="http://schemas.openxmlformats.org/officeDocument/2006/relationships/hyperlink" Target="&#47588;&#45684;&#50620;BODY(&#51665;&#54665;&#45800;&#44228;-&#52392;&#48512;&#54260;&#45908;)\&#51204;&#44592;&#48516;&#50556;\22_&#44277;&#51333;&#48324;%20&#49884;&#54744;\&#54364;&#51456;&#49436;\&#44277;&#51333;&#48324;%20&#49884;&#54744;_&#54364;&#51456;&#49436;.html" TargetMode="External" Id="rId64"/><Relationship Type="http://schemas.openxmlformats.org/officeDocument/2006/relationships/hyperlink" Target="&#47588;&#45684;&#50620;BODY(&#51665;&#54665;&#45800;&#44228;-&#52392;&#48512;&#54260;&#45908;)\&#51204;&#44592;&#48516;&#50556;\22_&#44277;&#51333;&#48324;%20&#49884;&#54744;\&#49688;&#54665;&#51648;&#52840;\&#44277;&#51333;&#48324;%20&#49884;&#54744;_&#49688;&#54665;&#51648;&#52840;.html" TargetMode="External" Id="rId65"/><Relationship Type="http://schemas.openxmlformats.org/officeDocument/2006/relationships/hyperlink" Target="&#47588;&#45684;&#50620;BODY(&#51665;&#54665;&#45800;&#44228;-&#52392;&#48512;&#54260;&#45908;)\&#51204;&#44592;&#48516;&#50556;\22_&#44277;&#51333;&#48324;%20&#49884;&#54744;\&#52404;&#53356;&#47532;&#49828;&#53944;\&#44277;&#51333;&#48324;%20&#49884;&#54744;_&#52404;&#53356;&#47532;&#49828;&#53944;.html" TargetMode="External" Id="rId66"/><Relationship Type="http://schemas.openxmlformats.org/officeDocument/2006/relationships/hyperlink" Target="&#47588;&#45684;&#50620;BODY(&#51665;&#54665;&#45800;&#44228;-&#52392;&#48512;&#54260;&#45908;)\&#51204;&#44592;&#48516;&#50556;\23_&#52264;&#47049;%20&#53804;&#51077;%20&#51204;%20&#51216;&#44160;\&#54364;&#51456;&#49436;\&#52264;&#47049;%20&#53804;&#51077;%20&#51204;%20&#51216;&#44160;_&#54364;&#51456;&#49436;.html" TargetMode="External" Id="rId67"/><Relationship Type="http://schemas.openxmlformats.org/officeDocument/2006/relationships/hyperlink" Target="&#47588;&#45684;&#50620;BODY(&#51665;&#54665;&#45800;&#44228;-&#52392;&#48512;&#54260;&#45908;)\&#51204;&#44592;&#48516;&#50556;\23_&#52264;&#47049;%20&#53804;&#51077;%20&#51204;%20&#51216;&#44160;\&#49688;&#54665;&#51648;&#52840;\&#52264;&#47049;%20&#53804;&#51077;%20&#51204;%20&#51216;&#44160;_&#49688;&#54665;&#51648;&#52840;.html" TargetMode="External" Id="rId68"/><Relationship Type="http://schemas.openxmlformats.org/officeDocument/2006/relationships/hyperlink" Target="&#47588;&#45684;&#50620;BODY(&#51665;&#54665;&#45800;&#44228;-&#52392;&#48512;&#54260;&#45908;)\&#51204;&#44592;&#48516;&#50556;\23_&#52264;&#47049;%20&#53804;&#51077;%20&#51204;%20&#51216;&#44160;\&#52404;&#53356;&#47532;&#49828;&#53944;\&#52264;&#47049;%20&#53804;&#51077;%20&#51204;%20&#51216;&#44160;_&#52404;&#53356;&#47532;&#49828;&#53944;.html" TargetMode="External" Id="rId69"/><Relationship Type="http://schemas.openxmlformats.org/officeDocument/2006/relationships/hyperlink" Target="&#47588;&#45684;&#50620;BODY(&#51665;&#54665;&#45800;&#44228;-&#52392;&#48512;&#54260;&#45908;)\&#51204;&#44592;&#48516;&#50556;\24_&#52264;&#47049;%20&#49884;&#50868;&#51204;\&#54364;&#51456;&#49436;\&#52264;&#47049;%20&#49884;&#50868;&#51204;_&#54364;&#51456;&#49436;.html" TargetMode="External" Id="rId70"/><Relationship Type="http://schemas.openxmlformats.org/officeDocument/2006/relationships/hyperlink" Target="&#47588;&#45684;&#50620;BODY(&#51665;&#54665;&#45800;&#44228;-&#52392;&#48512;&#54260;&#45908;)\&#51204;&#44592;&#48516;&#50556;\24_&#52264;&#47049;%20&#49884;&#50868;&#51204;\&#49688;&#54665;&#51648;&#52840;\&#52264;&#47049;%20&#49884;&#50868;&#51204;_&#49688;&#54665;&#51648;&#52840;.html" TargetMode="External" Id="rId71"/><Relationship Type="http://schemas.openxmlformats.org/officeDocument/2006/relationships/hyperlink" Target="&#47588;&#45684;&#50620;BODY(&#51665;&#54665;&#45800;&#44228;-&#52392;&#48512;&#54260;&#45908;)\&#51204;&#44592;&#48516;&#50556;\24_&#52264;&#47049;%20&#49884;&#50868;&#51204;\&#52404;&#53356;&#47532;&#49828;&#53944;\&#52264;&#47049;%20&#49884;&#50868;&#51204;_&#52404;&#53356;&#47532;&#49828;&#53944;.html" TargetMode="External" Id="rId72"/><Relationship Type="http://schemas.openxmlformats.org/officeDocument/2006/relationships/hyperlink" Target="&#47588;&#45684;&#50620;BODY(&#51665;&#54665;&#45800;&#44228;-&#52392;&#48512;&#54260;&#45908;)\&#51204;&#44592;&#48516;&#50556;\25_&#50868;&#50689;&#51088;%20&#44368;&#50977;&#49884;&#54665;\&#54364;&#51456;&#49436;\&#50868;&#50689;&#51088;%20&#44368;&#50977;&#49884;&#54665;_&#54364;&#51456;&#49436;.html" TargetMode="External" Id="rId73"/><Relationship Type="http://schemas.openxmlformats.org/officeDocument/2006/relationships/hyperlink" Target="&#47588;&#45684;&#50620;BODY(&#51665;&#54665;&#45800;&#44228;-&#52392;&#48512;&#54260;&#45908;)\&#51204;&#44592;&#48516;&#50556;\25_&#50868;&#50689;&#51088;%20&#44368;&#50977;&#49884;&#54665;\&#49688;&#54665;&#51648;&#52840;\&#50868;&#50689;&#51088;%20&#44368;&#50977;&#49884;&#54665;_&#49688;&#54665;&#51648;&#52840;.html" TargetMode="External" Id="rId74"/><Relationship Type="http://schemas.openxmlformats.org/officeDocument/2006/relationships/hyperlink" Target="&#47588;&#45684;&#50620;BODY(&#51665;&#54665;&#45800;&#44228;-&#52392;&#48512;&#54260;&#45908;)\&#51204;&#44592;&#48516;&#50556;\25_&#50868;&#50689;&#51088;%20&#44368;&#50977;&#49884;&#54665;\&#52404;&#53356;&#47532;&#49828;&#53944;\&#50868;&#50689;&#51088;%20&#44368;&#50977;&#49884;&#54665;_&#52404;&#53356;&#47532;&#49828;&#53944;.html" TargetMode="External" Id="rId75"/><Relationship Type="http://schemas.openxmlformats.org/officeDocument/2006/relationships/hyperlink" Target="&#47588;&#45684;&#50620;BODY(&#51665;&#54665;&#45800;&#44228;-&#52392;&#48512;&#54260;&#45908;)\&#51204;&#44592;&#48516;&#50556;\26_&#49324;&#51204;&#51216;&#44160;\&#54364;&#51456;&#49436;\&#49324;&#51204;&#51216;&#44160;_&#54364;&#51456;&#49436;.html" TargetMode="External" Id="rId76"/><Relationship Type="http://schemas.openxmlformats.org/officeDocument/2006/relationships/hyperlink" Target="&#47588;&#45684;&#50620;BODY(&#51665;&#54665;&#45800;&#44228;-&#52392;&#48512;&#54260;&#45908;)\&#51204;&#44592;&#48516;&#50556;\26_&#49324;&#51204;&#51216;&#44160;\&#49688;&#54665;&#51648;&#52840;\&#49324;&#51204;&#51216;&#44160;_&#49688;&#54665;&#51648;&#52840;.html" TargetMode="External" Id="rId77"/><Relationship Type="http://schemas.openxmlformats.org/officeDocument/2006/relationships/hyperlink" Target="&#47588;&#45684;&#50620;BODY(&#51665;&#54665;&#45800;&#44228;-&#52392;&#48512;&#54260;&#45908;)\&#51204;&#44592;&#48516;&#50556;\26_&#49324;&#51204;&#51216;&#44160;\&#52404;&#53356;&#47532;&#49828;&#53944;\&#49324;&#51204;&#51216;&#44160;_&#52404;&#53356;&#47532;&#49828;&#53944;.html" TargetMode="External" Id="rId78"/><Relationship Type="http://schemas.openxmlformats.org/officeDocument/2006/relationships/hyperlink" Target="&#47588;&#45684;&#50620;BODY(&#51665;&#54665;&#45800;&#44228;-&#52392;&#48512;&#54260;&#45908;)\&#51204;&#44592;&#48516;&#50556;\27_&#49884;&#49444;&#47932;%20&#44160;&#51613;&#49884;&#54744;\&#54364;&#51456;&#49436;\&#49884;&#49444;&#47932;%20&#44160;&#51613;&#49884;&#54744;_&#54364;&#51456;&#49436;.html" TargetMode="External" Id="rId79"/><Relationship Type="http://schemas.openxmlformats.org/officeDocument/2006/relationships/hyperlink" Target="&#47588;&#45684;&#50620;BODY(&#51665;&#54665;&#45800;&#44228;-&#52392;&#48512;&#54260;&#45908;)\&#51204;&#44592;&#48516;&#50556;\27_&#49884;&#49444;&#47932;%20&#44160;&#51613;&#49884;&#54744;\&#49688;&#54665;&#51648;&#52840;\&#49884;&#49444;&#47932;%20&#44160;&#51613;&#49884;&#54744;_&#49688;&#54665;&#51648;&#52840;.html" TargetMode="External" Id="rId80"/><Relationship Type="http://schemas.openxmlformats.org/officeDocument/2006/relationships/hyperlink" Target="&#47588;&#45684;&#50620;BODY(&#51665;&#54665;&#45800;&#44228;-&#52392;&#48512;&#54260;&#45908;)\&#51204;&#44592;&#48516;&#50556;\27_&#49884;&#49444;&#47932;%20&#44160;&#51613;&#49884;&#54744;\&#52404;&#53356;&#47532;&#49828;&#53944;\&#49884;&#49444;&#47932;%20&#44160;&#51613;&#49884;&#54744;_&#52404;&#53356;&#47532;&#49828;&#53944;.html" TargetMode="External" Id="rId81"/><Relationship Type="http://schemas.openxmlformats.org/officeDocument/2006/relationships/hyperlink" Target="&#47588;&#45684;&#50620;BODY(&#51665;&#54665;&#45800;&#44228;-&#52392;&#48512;&#54260;&#45908;)\&#51204;&#44592;&#48516;&#50556;\28_&#50689;&#50629;&#49884;&#50868;&#51204;\&#54364;&#51456;&#49436;\&#50689;&#50629;&#49884;&#50868;&#51204;_&#54364;&#51456;&#49436;.html" TargetMode="External" Id="rId82"/><Relationship Type="http://schemas.openxmlformats.org/officeDocument/2006/relationships/hyperlink" Target="&#47588;&#45684;&#50620;BODY(&#51665;&#54665;&#45800;&#44228;-&#52392;&#48512;&#54260;&#45908;)\&#51204;&#44592;&#48516;&#50556;\28_&#50689;&#50629;&#49884;&#50868;&#51204;\&#49688;&#54665;&#51648;&#52840;\&#50689;&#50629;&#49884;&#50868;&#51204;_&#49688;&#54665;&#51648;&#52840;.html" TargetMode="External" Id="rId83"/><Relationship Type="http://schemas.openxmlformats.org/officeDocument/2006/relationships/hyperlink" Target="&#47588;&#45684;&#50620;BODY(&#51665;&#54665;&#45800;&#44228;-&#52392;&#48512;&#54260;&#45908;)\&#51204;&#44592;&#48516;&#50556;\28_&#50689;&#50629;&#49884;&#50868;&#51204;\&#52404;&#53356;&#47532;&#49828;&#53944;\&#50689;&#50629;&#49884;&#50868;&#51204;_&#52404;&#53356;&#47532;&#49828;&#53944;.html" TargetMode="External" Id="rId84"/><Relationship Type="http://schemas.openxmlformats.org/officeDocument/2006/relationships/hyperlink" Target="&#47588;&#45684;&#50620;BODY(&#51665;&#54665;&#45800;&#44228;-&#52392;&#48512;&#54260;&#45908;)\&#51204;&#44592;&#48516;&#50556;\29_&#51204;&#44592;%20&#49324;&#50857;&#49888;&#52397;\&#54364;&#51456;&#49436;\&#51204;&#44592;%20&#49324;&#50857;&#49888;&#52397;_&#54364;&#51456;&#49436;.html" TargetMode="External" Id="rId85"/><Relationship Type="http://schemas.openxmlformats.org/officeDocument/2006/relationships/hyperlink" Target="&#47588;&#45684;&#50620;BODY(&#51665;&#54665;&#45800;&#44228;-&#52392;&#48512;&#54260;&#45908;)\&#51204;&#44592;&#48516;&#50556;\29_&#51204;&#44592;%20&#49324;&#50857;&#49888;&#52397;\&#49688;&#54665;&#51648;&#52840;\&#51204;&#44592;%20&#49324;&#50857;&#49888;&#52397;_&#49688;&#54665;&#51648;&#52840;.html" TargetMode="External" Id="rId86"/><Relationship Type="http://schemas.openxmlformats.org/officeDocument/2006/relationships/hyperlink" Target="&#47588;&#45684;&#50620;BODY(&#51665;&#54665;&#45800;&#44228;-&#52392;&#48512;&#54260;&#45908;)\&#51204;&#44592;&#48516;&#50556;\29_&#51204;&#44592;%20&#49324;&#50857;&#49888;&#52397;\&#52404;&#53356;&#47532;&#49828;&#53944;\&#51204;&#44592;%20&#49324;&#50857;&#49888;&#52397;_&#52404;&#53356;&#47532;&#49828;&#53944;.html" TargetMode="External" Id="rId87"/><Relationship Type="http://schemas.openxmlformats.org/officeDocument/2006/relationships/hyperlink" Target="&#47588;&#45684;&#50620;BODY(&#51665;&#54665;&#45800;&#44228;-&#52392;&#48512;&#54260;&#45908;)\&#51204;&#44592;&#48516;&#50556;\30_&#44277;&#49324;&#44228;&#54925;&#49888;&#44256;\&#54364;&#51456;&#49436;\&#44277;&#49324;&#44228;&#54925;&#49888;&#44256;_&#54364;&#51456;&#49436;.html" TargetMode="External" Id="rId88"/><Relationship Type="http://schemas.openxmlformats.org/officeDocument/2006/relationships/hyperlink" Target="&#47588;&#45684;&#50620;BODY(&#51665;&#54665;&#45800;&#44228;-&#52392;&#48512;&#54260;&#45908;)\&#51204;&#44592;&#48516;&#50556;\30_&#44277;&#49324;&#44228;&#54925;&#49888;&#44256;\&#49688;&#54665;&#51648;&#52840;\&#44277;&#49324;&#44228;&#54925;&#49888;&#44256;_&#49688;&#54665;&#51648;&#52840;.html" TargetMode="External" Id="rId89"/><Relationship Type="http://schemas.openxmlformats.org/officeDocument/2006/relationships/hyperlink" Target="&#47588;&#45684;&#50620;BODY(&#51665;&#54665;&#45800;&#44228;-&#52392;&#48512;&#54260;&#45908;)\&#51204;&#44592;&#48516;&#50556;\30_&#44277;&#49324;&#44228;&#54925;&#49888;&#44256;\&#52404;&#53356;&#47532;&#49828;&#53944;\&#44277;&#49324;&#44228;&#54925;&#49888;&#44256;_&#52404;&#53356;&#47532;&#49828;&#53944;.html" TargetMode="External" Id="rId90"/><Relationship Type="http://schemas.openxmlformats.org/officeDocument/2006/relationships/hyperlink" Target="&#47588;&#45684;&#50620;BODY(&#51665;&#54665;&#45800;&#44228;-&#52392;&#48512;&#54260;&#45908;)\&#51204;&#44592;&#48516;&#50556;\31_&#51204;&#52264;&#49440;&#47196;%20&#51201;&#54633;&#49457;%20&#44160;&#51613;\&#54364;&#51456;&#49436;\&#51204;&#52264;&#49440;&#47196;%20&#51201;&#54633;&#49457;%20&#44160;&#51613;_&#54364;&#51456;&#49436;.html" TargetMode="External" Id="rId91"/><Relationship Type="http://schemas.openxmlformats.org/officeDocument/2006/relationships/hyperlink" Target="&#47588;&#45684;&#50620;BODY(&#51665;&#54665;&#45800;&#44228;-&#52392;&#48512;&#54260;&#45908;)\&#51204;&#44592;&#48516;&#50556;\31_&#51204;&#52264;&#49440;&#47196;%20&#51201;&#54633;&#49457;%20&#44160;&#51613;\&#49688;&#54665;&#51648;&#52840;\&#51204;&#52264;&#49440;&#47196;%20&#51201;&#54633;&#49457;%20&#44160;&#51613;_&#49688;&#54665;&#51648;&#52840;.html" TargetMode="External" Id="rId92"/><Relationship Type="http://schemas.openxmlformats.org/officeDocument/2006/relationships/hyperlink" Target="&#47588;&#45684;&#50620;BODY(&#51665;&#54665;&#45800;&#44228;-&#52392;&#48512;&#54260;&#45908;)\&#51204;&#44592;&#48516;&#50556;\31_&#51204;&#52264;&#49440;&#47196;%20&#51201;&#54633;&#49457;%20&#44160;&#51613;\&#52404;&#53356;&#47532;&#49828;&#53944;\&#51204;&#52264;&#49440;&#47196;%20&#51201;&#54633;&#49457;%20&#44160;&#51613;_&#52404;&#53356;&#47532;&#49828;&#53944;.html" TargetMode="External" Id="rId93"/><Relationship Type="http://schemas.openxmlformats.org/officeDocument/2006/relationships/hyperlink" Target="&#47588;&#45684;&#50620;BODY(&#51665;&#54665;&#45800;&#44228;-&#52392;&#48512;&#54260;&#45908;)\&#51204;&#44592;&#48516;&#50556;\32_&#51204;&#44592;%20&#49324;&#50857;&#51204;&#44160;&#49324;%20(&#51204;&#47141;_&#51204;&#52264;&#49440;_&#49569;&#48320;&#51204;)\&#54364;&#51456;&#49436;\&#51204;&#44592;%20&#49324;&#50857;&#51204;&#44160;&#49324;%20(&#51204;&#47141;_&#51204;&#52264;&#49440;_&#49569;&#48320;&#51204;)_&#54364;&#51456;&#49436;.html" TargetMode="External" Id="rId94"/><Relationship Type="http://schemas.openxmlformats.org/officeDocument/2006/relationships/hyperlink" Target="&#47588;&#45684;&#50620;BODY(&#51665;&#54665;&#45800;&#44228;-&#52392;&#48512;&#54260;&#45908;)\&#51204;&#44592;&#48516;&#50556;\32_&#51204;&#44592;%20&#49324;&#50857;&#51204;&#44160;&#49324;%20(&#51204;&#47141;_&#51204;&#52264;&#49440;_&#49569;&#48320;&#51204;)\&#49688;&#54665;&#51648;&#52840;\&#51204;&#44592;%20&#49324;&#50857;&#51204;&#44160;&#49324;%20(&#51204;&#47141;_&#51204;&#52264;&#49440;_&#49569;&#48320;&#51204;)_&#49688;&#54665;&#51648;&#52840;.html" TargetMode="External" Id="rId95"/><Relationship Type="http://schemas.openxmlformats.org/officeDocument/2006/relationships/hyperlink" Target="&#47588;&#45684;&#50620;BODY(&#51665;&#54665;&#45800;&#44228;-&#52392;&#48512;&#54260;&#45908;)\&#51204;&#44592;&#48516;&#50556;\32_&#51204;&#44592;%20&#49324;&#50857;&#51204;&#44160;&#49324;%20(&#51204;&#47141;_&#51204;&#52264;&#49440;_&#49569;&#48320;&#51204;)\&#52404;&#53356;&#47532;&#49828;&#53944;\&#51204;&#44592;%20&#49324;&#50857;&#51204;&#44160;&#49324;%20(&#51204;&#47141;_&#51204;&#52264;&#49440;_&#49569;&#48320;&#51204;)_&#52404;&#53356;&#47532;&#49828;&#53944;.html" TargetMode="External" Id="rId96"/></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80"/>
  <sheetViews>
    <sheetView view="pageBreakPreview" zoomScale="70" zoomScaleNormal="70" zoomScaleSheetLayoutView="70" workbookViewId="0">
      <pane ySplit="3" topLeftCell="A4" activePane="bottomLeft" state="frozen"/>
      <selection activeCell="C6" sqref="C6"/>
      <selection pane="bottomLeft" activeCell="C5" sqref="C5"/>
    </sheetView>
  </sheetViews>
  <sheetFormatPr baseColWidth="8" defaultRowHeight="17.4"/>
  <cols>
    <col width="10" customWidth="1" min="1" max="1"/>
    <col width="14" customWidth="1" min="2" max="2"/>
    <col width="38" customWidth="1" min="3" max="3"/>
    <col width="14" customWidth="1" min="4" max="4"/>
    <col width="44" customWidth="1" min="5" max="5"/>
    <col width="48" customWidth="1" min="6" max="6"/>
    <col width="59.5" customWidth="1" min="7" max="7"/>
    <col width="48" customWidth="1" min="8" max="8"/>
    <col width="14" customWidth="1" min="9" max="9"/>
    <col width="52" customWidth="1" min="10" max="11"/>
    <col width="56" customWidth="1" min="12" max="12"/>
  </cols>
  <sheetData>
    <row r="1" ht="30" customHeight="1" thickBot="1">
      <c r="A1" s="38" t="inlineStr">
        <is>
          <t>동탄도시철도(트램) 1·2공구 WBS 계층 구조별 표준서·수행지침·체크리스트 상세 매핑표</t>
        </is>
      </c>
      <c r="B1" s="39" t="n"/>
      <c r="C1" s="39" t="n"/>
      <c r="D1" s="39" t="n"/>
      <c r="E1" s="39" t="n"/>
      <c r="F1" s="39" t="n"/>
      <c r="G1" s="39" t="n"/>
      <c r="H1" s="39" t="n"/>
      <c r="I1" s="39" t="n"/>
      <c r="J1" s="39" t="n"/>
      <c r="K1" s="39" t="n"/>
      <c r="L1" s="40" t="n"/>
    </row>
    <row r="2" ht="4.95" customHeight="1"/>
    <row r="3" ht="36.6" customHeight="1">
      <c r="A3" s="41" t="inlineStr">
        <is>
          <t>L2 코드</t>
        </is>
      </c>
      <c r="B3" s="41" t="inlineStr">
        <is>
          <t>L3 코드</t>
        </is>
      </c>
      <c r="C3" s="41" t="inlineStr">
        <is>
          <t>L3 대공종명</t>
        </is>
      </c>
      <c r="D3" s="41" t="inlineStr">
        <is>
          <t>L4 코드</t>
        </is>
      </c>
      <c r="E3" s="41" t="inlineStr">
        <is>
          <t>작업단위 (Level 4 Task/Activity)</t>
        </is>
      </c>
      <c r="F3" s="41" t="inlineStr">
        <is>
          <t>표준서 (Standard)
[정량적 절대 기술 기준]</t>
        </is>
      </c>
      <c r="G3" s="41" t="inlineStr">
        <is>
          <t>수행지침 (Guideline)
[작업 절차 및 주의사항]</t>
        </is>
      </c>
      <c r="H3" s="41" t="inlineStr">
        <is>
          <t>체크리스트 (Checklist)
[완료 검측 표준]</t>
        </is>
      </c>
      <c r="I3" s="41" t="inlineStr">
        <is>
          <t>담당 분야</t>
        </is>
      </c>
      <c r="J3" s="42" t="inlineStr">
        <is>
          <t>첨부서류 연계 상세 설계기준
(구조, 토질, 선로 등)</t>
        </is>
      </c>
      <c r="K3" s="42" t="inlineStr">
        <is>
          <t>집행단계 리스크 체크리스트
(260614 트램 표준)</t>
        </is>
      </c>
      <c r="L3" s="42" t="inlineStr">
        <is>
          <t>협력사 시공/공사관리 자문
(정주건설 / 트리폴건설)</t>
        </is>
      </c>
    </row>
    <row r="4" ht="22.05" customHeight="1">
      <c r="A4" s="43" t="inlineStr">
        <is>
          <t>1000  행정·인허가 (Project Management &amp; Permitting)</t>
        </is>
      </c>
      <c r="B4" s="51" t="n"/>
      <c r="C4" s="51" t="n"/>
      <c r="D4" s="51" t="n"/>
      <c r="E4" s="51" t="n"/>
      <c r="F4" s="51" t="n"/>
      <c r="G4" s="51" t="n"/>
      <c r="H4" s="51" t="n"/>
      <c r="I4" s="51" t="n"/>
      <c r="J4" s="51" t="n"/>
      <c r="K4" s="51" t="n"/>
      <c r="L4" s="52" t="n"/>
    </row>
    <row r="5" ht="186" customHeight="1">
      <c r="A5" s="45" t="inlineStr">
        <is>
          <t>1000</t>
        </is>
      </c>
      <c r="B5" s="45" t="inlineStr">
        <is>
          <t>1000-1</t>
        </is>
      </c>
      <c r="C5" s="46" t="inlineStr">
        <is>
          <t>행정·인허가 준비 및 관계기관 협의</t>
        </is>
      </c>
      <c r="D5" s="45" t="inlineStr">
        <is>
          <t>1000-1-1</t>
        </is>
      </c>
      <c r="E5" s="46" t="inlineStr">
        <is>
          <t>인허가 관련 법령 검토 및 체크리스트 작성</t>
        </is>
      </c>
      <c r="F5" s="46" t="inlineStr">
        <is>
          <t>● 도시철도법 제17조(사업계획승인) 및 국토교통부 도시철도 건설 규칙 수립 요건 준수</t>
        </is>
      </c>
      <c r="G5" s="46" t="inlineStr">
        <is>
          <t>[작업 절차]
1. 사전 준비 단계:
   - 설계 도서 및 시방 기준을 분석하여 인허가 관련 법령 검토 및 체크리스트 작성 작업을 위한 현장 실측 및 경계 측량을 수행함.
2. 본 시공 단계:
   - 최신 법제처 정보 기반 관련 법령 테이블 작성 작업을 표준 시공 절차에 준하여 시행하며, 실시간 수평도 및 치수 공차를 관리함.
3. 검사 및 마감 단계:
   - 인허가 서류 구비 요건 만족 확인 체크리스트 사전 작성 시험 및 품질 검사를 실측하고 기준값 만족 여부를 기록함. 부서 간 조율을 통한 법적 의무 이행 조치 사항 기록 작업을 거쳐 노면 정리 및 안전 조치를 완료함.
[주의사항 (하자이력 연계)]
최신 개정 법령 미반영으로 인허가 승인 보완 지시 및 사업 기간 지연</t>
        </is>
      </c>
      <c r="H5" s="46" t="inlineStr">
        <is>
          <t>□ 법제처 최신 개정 법령 반영 확인
□ 서류 요건(설계도서, 사업계획서 등) 검토 완료
□ 인허가 체크리스트 작성 완료 및 승인
[집행단계 리스크 체크사항 (LLBS 연계)]
□ 용지 보상 내역에 분묘 이장비(유연/무연)가 별도로 책정되어 있는가?
□ 용지 보상 지연 시 굴착 작업구(갱구) 진입이 가능한 대체 루트가 있는가?
□ 부지 내 기존 도로가 보상 문제로 폐쇄될 경우 대체 진입로 계획이 있는가?
□ 개발제한구역, 상수원보호구역 등 특수 규제 지역 포함 여부 및 예상 인허가 소요 기간이 공정표(CP)에 반영되었는가?</t>
        </is>
      </c>
      <c r="I5" s="46" t="inlineStr">
        <is>
          <t>행정</t>
        </is>
      </c>
      <c r="J5" s="47" t="inlineStr">
        <is>
          <t>● 관련분야 설계기준서 준수</t>
        </is>
      </c>
      <c r="K5" s="47" t="inlineStr">
        <is>
          <t>● 최신 개정 법령 미반영으로 인허가 승인 보완 지시 및 사업 기간 지연 리스크를 검토하였는가?</t>
        </is>
      </c>
      <c r="L5" s="47" t="inlineStr">
        <is>
          <t>● 협력사 자문 내용 없음 또는 해당사항 없음</t>
        </is>
      </c>
    </row>
    <row r="6" ht="139.95" customHeight="1">
      <c r="A6" s="48" t="inlineStr">
        <is>
          <t>1000</t>
        </is>
      </c>
      <c r="B6" s="48" t="inlineStr">
        <is>
          <t>1000-1</t>
        </is>
      </c>
      <c r="C6" s="49" t="inlineStr">
        <is>
          <t>행정·인허가 준비 및 관계기관 협의</t>
        </is>
      </c>
      <c r="D6" s="48" t="inlineStr">
        <is>
          <t>1000-1-2</t>
        </is>
      </c>
      <c r="E6" s="49" t="inlineStr">
        <is>
          <t>관계기관 협의자료 작성 및 공식 공문 발송</t>
        </is>
      </c>
      <c r="F6" s="49" t="inlineStr">
        <is>
          <t>● 행정 효율 지침 및 지자체별 인허가 협의 공문 규격 표준 규정</t>
        </is>
      </c>
      <c r="G6" s="49" t="inlineStr">
        <is>
          <t>[작업 절차]
1. 사전 준비 단계:
   - 설계 도서 및 시방 기준을 분석하여 관계기관 협의자료 작성 및 공식 공문 발송 작업을 위한 현장 실측 및 경계 측량을 수행함.
2. 본 시공 단계:
   - 표준 공문 양식 및 도서 작성 요령 준수 작업을 표준 시공 절차에 준하여 시행하며, 실시간 수평도 및 치수 공차를 관리함.
3. 검사 및 마감 단계:
   - 기지 및 선로 주변 민원 발생 우려 지역의 관계기관 검토서 첨부 시험 및 품질 검사를 실측하고 기준값 만족 여부를 기록함. 관련 공문 접수번호 대장 등록 및 추적 작업을 거쳐 노면 정리 및 안전 조치를 완료함.
[주의사항 (하자이력 연계)]
비공식 협의 및 누락 자료 제출로 인한 공문 반려 및 재작성 소요(2주 지연)</t>
        </is>
      </c>
      <c r="H6" s="49" t="inlineStr">
        <is>
          <t>□ 구비 서류(설계도서, 영향평가서 등) 누락 확인
□ 공식 협의 공문 대장 등록 및 발송 확인
□ 접수증 발급 및 발급 일자 기록 완료
[집행단계 리스크 체크사항 (LLBS 연계)]
□ 사업 부지 내 잔존하는 영업 시설(공장, 종교시설)의 현황과 예상 보상비가 사업비에 책정되었는가?
□ 용지 보상 현황도(Map)와 공정표(Schedule)를 연동하여 지연 일수를 산정하고 있는가?
□ 용지 보상 지연 시 굴착 작업구(갱구) 진입이 가능한 대체 루트가 있는가?
□ 개발제한구역, 상수원보호구역 등 특수 규제 지역 포함 여부 및 예상 인허가 소요 기간이 공정표(CP)에 반영되었는가?</t>
        </is>
      </c>
      <c r="I6" s="49" t="inlineStr">
        <is>
          <t>행정</t>
        </is>
      </c>
      <c r="J6" s="50" t="inlineStr">
        <is>
          <t>● 관련분야 설계기준서 준수</t>
        </is>
      </c>
      <c r="K6" s="50" t="inlineStr">
        <is>
          <t>● 공식 접수 및 대장 기록 누락 자료 제출로 인한 공문 반려 및 재작성 소요(2주 지연) 리스크를 검토하였는가?</t>
        </is>
      </c>
      <c r="L6" s="50" t="inlineStr">
        <is>
          <t>● 협력사 자문 내용 없음 또는 해당사항 없음</t>
        </is>
      </c>
    </row>
    <row r="7" ht="151.8" customHeight="1">
      <c r="A7" s="45" t="inlineStr">
        <is>
          <t>1000</t>
        </is>
      </c>
      <c r="B7" s="45" t="inlineStr">
        <is>
          <t>1000-1</t>
        </is>
      </c>
      <c r="C7" s="46" t="inlineStr">
        <is>
          <t>행정·인허가 준비 및 관계기관 협의</t>
        </is>
      </c>
      <c r="D7" s="45" t="inlineStr">
        <is>
          <t>1000-1-3</t>
        </is>
      </c>
      <c r="E7" s="46" t="inlineStr">
        <is>
          <t>관계기관 피드백 분석 및 조치 방안 수립</t>
        </is>
      </c>
      <c r="F7" s="46" t="inlineStr">
        <is>
          <t>● 민원 처리 및 행정절차법상 의견 제출 및 피드백 공식 조치 절차</t>
        </is>
      </c>
      <c r="G7" s="46" t="inlineStr">
        <is>
          <t>[작업 절차]
1. 사전 준비 단계:
   - 설계 도서 및 시방 기준을 분석하여 관계기관 피드백 분석 및 조치 방안 수립 작업을 위한 현장 실측 및 경계 측량을 수행함.
2. 본 시공 단계:
   - 회신 공문 보완 지시사항 분석 및 조치 부서 지정 작업을 표준 시공 절차에 준하여 시행하며, 실시간 수평도 및 치수 공차를 관리함.
3. 검사 및 마감 단계:
   - 보완 설계 도면 및 설명자료 작성 지침 배포 시험 및 품질 검사를 실측하고 기준값 만족 여부를 기록함. 관계기관 담당자 사전 면담을 통한 대안 타당성 조율 작업을 거쳐 노면 정리 및 안전 조치를 완료함.
[주의사항 (하자이력 연계)]
관계기관 보완 요건의 자의적 해석에 따른 부실 보완 및 2차 보완 지시 지연</t>
        </is>
      </c>
      <c r="H7" s="46" t="inlineStr">
        <is>
          <t>□ 피드백 지시사항 카테고리별 분류 및 대책 수립
□ 조치결과 보고서 작성 및 증빙 자료 확보
□ 관계기관 재검토 승인 결과 확보 완료
[집행단계 리스크 체크사항 (LLBS 연계)]
□ 사업 부지 내 잔존하는 영업 시설(공장, 종교시설)의 현황과 예상 보상비가 사업비에 책정되었는가?
□ 부지 내 기존 도로가 보상 문제로 폐쇄될 경우 대체 진입로 계획이 있는가?
□ 용지 보상 지연 시 굴착 작업구(갱구) 진입이 가능한 대체 루트가 있는가?
□ B/P장, 크러셔장 등 주요 가설 설비 설치 위치에 대한 인허가(비산먼지, 소음, 점용) 가능성을 사전 확인했는가?</t>
        </is>
      </c>
      <c r="I7" s="46" t="inlineStr">
        <is>
          <t>행정</t>
        </is>
      </c>
      <c r="J7" s="47" t="inlineStr">
        <is>
          <t>● 관련분야 설계기준서 준수</t>
        </is>
      </c>
      <c r="K7" s="47" t="inlineStr">
        <is>
          <t>● 관계기관 보완 요건의 자의적 해석에 따른 부실 보완 및 2차 보완 지시 지연 리스크를 검토하였는가?</t>
        </is>
      </c>
      <c r="L7" s="47" t="inlineStr">
        <is>
          <t>● 협력사 자문 내용 없음 또는 해당사항 없음</t>
        </is>
      </c>
    </row>
    <row r="8" ht="139.95" customHeight="1">
      <c r="A8" s="48" t="inlineStr">
        <is>
          <t>1000</t>
        </is>
      </c>
      <c r="B8" s="48" t="inlineStr">
        <is>
          <t>1000-2</t>
        </is>
      </c>
      <c r="C8" s="49" t="inlineStr">
        <is>
          <t>기본설계 도면검토 및 착공신고 처리</t>
        </is>
      </c>
      <c r="D8" s="48" t="inlineStr">
        <is>
          <t>1000-2-1</t>
        </is>
      </c>
      <c r="E8" s="49" t="inlineStr">
        <is>
          <t>기본설계도서 기술검토 및 검토의견서 작성</t>
        </is>
      </c>
      <c r="F8" s="49" t="inlineStr">
        <is>
          <t>● 건설공사 사업관리방식 검토기준 및 업무수행지침 제81조(설계도서 등의 검토)</t>
        </is>
      </c>
      <c r="G8" s="49" t="inlineStr">
        <is>
          <t>[작업 절차]
1. 사전 준비 단계:
   - 설계 도서 및 시방 기준을 분석하여 기본설계도서 기술검토 및 검토의견서 작성 작업을 위한 현장 실측 및 경계 측량을 수행함.
2. 본 시공 단계:
   - 평면/종단 선형 설계도서 정밀 판독 작업을 표준 시공 절차에 준하여 시행하며, 실시간 수평도 및 치수 공차를 관리함.
3. 검사 및 마감 단계:
   - 트램 최대 구배(최대 60‰) 및 최소 곡선반경(본선 R25m 이상) 적합성 확인 시험 및 품질 검사를 실측하고 기준값 만족 여부를 기록함. 설계사 검토의견서 공식 송부 및 회신 요청 작업을 거쳐 노면 정리 및 안전 조치를 완료함.
[주의사항 (하자이력 연계)]
종평면 종단 구배 한계값 미충족 도면을 거르지 못하여 궤도 재설계 발생</t>
        </is>
      </c>
      <c r="H8" s="49" t="inlineStr">
        <is>
          <t>□ 트램 기술기준 만족 여부(곡선반경, 구배 등) 확인
□ 종단면 설계 요철 한계값 검토 완료
□ 설계자 피드백 반영 완료 확인
[집행단계 리스크 체크사항 (LLBS 연계)]
□ 사업 부지 내 잔존하는 영업 시설(공장, 종교시설)의 현황과 예상 보상비가 사업비에 책정되었는가?
□ 연약지반 구간의 보상 지연 시 이를 만회할 공법(PC, 프리로딩 생략 등)이 있는가?
□ 유용토를 성토할 구간의 보상 완료 시점이 굴착 시점과 일치하는가?
□ 개발제한구역, 상수원보호구역 등 특수 규제 지역 포함 여부 및 예상 인허가 소요 기간이 공정표(CP)에 반영되었는가?</t>
        </is>
      </c>
      <c r="I8" s="49" t="inlineStr">
        <is>
          <t>행정</t>
        </is>
      </c>
      <c r="J8" s="50" t="inlineStr">
        <is>
          <t>● [선로설계] 본선 최소곡선반경 25m, 정거장 300m 이상 적용
● [선로설계] 완화곡선 최소길이 L=0.5xV (부득이한 경우 대차 중심간 거리 11.4m 이상)
● [선로설계] 최대구배: 본선 60‰ 이하, 정거장 밖 60‰ 이하 (정거장 내 3/1,000 이하, 차량 미유치 측선 45/1,000 이하)
● [선로설계] 종곡선 반경: 본선 800m 이상 (부득이한 경우 350m)
● [선로설계] 선로중심간격: 본선 3.5m 이상 (차량 한계 2.7m x 3.6m, 건축 한계 3.1m x 3.8m)</t>
        </is>
      </c>
      <c r="K8" s="50" t="inlineStr">
        <is>
          <t>● 종평면 종단 구배 한계값 미충족 도면을 거르지 못하여 궤도 재설계 발생 리스크를 검토하였는가?</t>
        </is>
      </c>
      <c r="L8" s="50" t="inlineStr">
        <is>
          <t>● 협력사 자문 내용 없음 또는 해당사항 없음</t>
        </is>
      </c>
    </row>
    <row r="9" ht="139.95" customHeight="1">
      <c r="A9" s="45" t="inlineStr">
        <is>
          <t>1000</t>
        </is>
      </c>
      <c r="B9" s="45" t="inlineStr">
        <is>
          <t>1000-2</t>
        </is>
      </c>
      <c r="C9" s="46" t="inlineStr">
        <is>
          <t>기본설계 도면검토 및 착공신고 처리</t>
        </is>
      </c>
      <c r="D9" s="45" t="inlineStr">
        <is>
          <t>1000-2-2</t>
        </is>
      </c>
      <c r="E9" s="46" t="inlineStr">
        <is>
          <t>착공신고 구비서류 적정성 검토 및 조립</t>
        </is>
      </c>
      <c r="F9" s="46" t="inlineStr">
        <is>
          <t>● 건설기술진흥법 시행규칙 제38조(착공신고 구비서류) 규격 만족 여부</t>
        </is>
      </c>
      <c r="G9" s="46" t="inlineStr">
        <is>
          <t>[작업 절차]
1. 사전 준비 단계:
   - 설계 도서 및 시방 기준을 분석하여 착공신고 구비서류 적정성 검토 및 조립 작업을 위한 현장 실측 및 경계 측량을 수행함.
2. 본 시공 단계:
   - 현장대리인, 안전관리자, 보건관리자 선임서 및 자격증 확인 작업을 표준 시공 절차에 준하여 시행하며, 실시간 수평도 및 치수 공차를 관리함.
3. 검사 및 마감 단계:
   - 착공 전 안전관리계획서, 유해위험방지계획서 첨부 여부 검토 시험 및 품질 검사를 실측하고 기준값 만족 여부를 기록함. 공사수행계획서 및 세부 예정공정표 조립 작업을 거쳐 노면 정리 및 안전 조치를 완료함.
[주의사항 (하자이력 연계)]
현장대리인 경력 누락 또는 안전관리자 자격 위반 서류 제출로 인한 착공계 반려</t>
        </is>
      </c>
      <c r="H9" s="46" t="inlineStr">
        <is>
          <t>□ 핵심 기술자 면허 및 경력증명 확인
□ 착공 전 필수 승인 서류(안전계획 등) 첨부 완료
□ 발주처 착공신고서 조립 완료 및 접수
[집행단계 리스크 체크사항 (LLBS 연계)]
□ 용지 보상 내역에 분묘 이장비(유연/무연)가 별도로 책정되어 있는가?
□ 연약지반 구간의 보상 지연 시 이를 만회할 공법(PC, 프리로딩 생략 등)이 있는가?
□ 유용토를 성토할 구간의 보상 완료 시점이 굴착 시점과 일치하는가?
□ 크러셔장 운영에 따른 소음/진동 시뮬레이션을 수행하고 인허가 리스크를 검토했는가?</t>
        </is>
      </c>
      <c r="I9" s="46" t="inlineStr">
        <is>
          <t>행정</t>
        </is>
      </c>
      <c r="J9" s="47" t="inlineStr">
        <is>
          <t>● 관련분야 설계기준서 준수</t>
        </is>
      </c>
      <c r="K9" s="47" t="inlineStr">
        <is>
          <t>● 선로 기하학 오차(종단구배 급변부 캔트 미반영 등)로 궤도 시공 불가 및 기본계획 변경 리스크를 검토하였는가?</t>
        </is>
      </c>
      <c r="L9" s="47" t="inlineStr">
        <is>
          <t>● 협력사 자문 내용 없음 또는 해당사항 없음</t>
        </is>
      </c>
    </row>
    <row r="10" ht="139.95" customHeight="1">
      <c r="A10" s="48" t="inlineStr">
        <is>
          <t>1000</t>
        </is>
      </c>
      <c r="B10" s="48" t="inlineStr">
        <is>
          <t>1000-3</t>
        </is>
      </c>
      <c r="C10" s="49" t="inlineStr">
        <is>
          <t>타공사(SRT, GTX-A 등) 구간 협의 및 간섭 검토</t>
        </is>
      </c>
      <c r="D10" s="48" t="inlineStr">
        <is>
          <t>1000-3-1</t>
        </is>
      </c>
      <c r="E10" s="49" t="inlineStr">
        <is>
          <t>타공사 간섭구간 기술 영향 평가 및 도면 검토</t>
        </is>
      </c>
      <c r="F10" s="49" t="inlineStr">
        <is>
          <t>● 지하안전관리에 관한 특별법(지하안전평가 기준 및 인접 굴착 영향선 검토)</t>
        </is>
      </c>
      <c r="G10" s="49" t="inlineStr">
        <is>
          <t>[작업 절차]
1. 사전 준비 단계:
   - 설계 도서 및 시방 기준을 분석하여 타공사 간섭구간 기술 영향 평가 및 도면 검토 작업을 위한 현장 실측 및 경계 측량을 수행함.
2. 본 시공 단계:
   - SRT/GTX-A 교차 구간 상세 구조물 도면 입수 작업을 표준 시공 절차에 준하여 시행하며, 실시간 수평도 및 치수 공차를 관리함.
3. 검사 및 마감 단계:
   - 이격거리 및 응력 간섭 3D 시뮬레이션 결과 검토 시험 및 품질 검사를 실측하고 기준값 만족 여부를 기록함. 간섭 구조물 차수 및 방호 대책 설계 도면 확인 작업을 거쳐 노면 정리 및 안전 조치를 완료함.
[주의사항 (하자이력 연계)]
GTX-A 굴착 공사 영향으로 트램 교차로 노반 침하 및 가시설 이상 거동 발생</t>
        </is>
      </c>
      <c r="H10" s="49" t="inlineStr">
        <is>
          <t>□ 상호 이격거리 구조 안전성 계산서 검토 완료
□ 계측기 설치 계획서 간섭 구간 반영 확인
□ 간섭 최소화 구조 형식 반영 확인
[집행단계 리스크 체크사항 (LLBS 연계)]
□ 연약지반 구간의 보상 지연 시 이를 만회할 공법(PC, 프리로딩 생략 등)이 있는가?
□ 부지 내 기존 도로가 보상 문제로 폐쇄될 경우 대체 진입로 계획이 있는가?
□ 개발제한구역, 상수원보호구역 등 특수 규제 지역 포함 여부 및 예상 인허가 소요 기간이 공정표(CP)에 반영되었는가?
□ 철도/지하철 인접 공사 시 유관기관 협의비 및 안전성 검토 용역비가 책정되어 있는가?</t>
        </is>
      </c>
      <c r="I10" s="49" t="inlineStr">
        <is>
          <t>행정</t>
        </is>
      </c>
      <c r="J10" s="50" t="inlineStr">
        <is>
          <t>● 관련분야 설계기준서 준수</t>
        </is>
      </c>
      <c r="K10" s="50" t="inlineStr">
        <is>
          <t>● 해당 공종 리스크 분석 수립 준수</t>
        </is>
      </c>
      <c r="L10" s="50" t="inlineStr">
        <is>
          <t>● 협력사 자문 내용 없음 또는 해당사항 없음</t>
        </is>
      </c>
    </row>
    <row r="11" ht="139.95" customHeight="1">
      <c r="A11" s="45" t="inlineStr">
        <is>
          <t>1000</t>
        </is>
      </c>
      <c r="B11" s="45" t="inlineStr">
        <is>
          <t>1000-3</t>
        </is>
      </c>
      <c r="C11" s="46" t="inlineStr">
        <is>
          <t>타공사(SRT, GTX-A 등) 구간 협의 및 간섭 검토</t>
        </is>
      </c>
      <c r="D11" s="45" t="inlineStr">
        <is>
          <t>1000-3-2</t>
        </is>
      </c>
      <c r="E11" s="46" t="inlineStr">
        <is>
          <t>간섭구간 공동 협의회 개최 및 협의록 작성</t>
        </is>
      </c>
      <c r="F11" s="46" t="inlineStr">
        <is>
          <t>● 발주처 인접 공사 안전 관리 가이드라인 및 공구 간 인터페이스 조정 표준</t>
        </is>
      </c>
      <c r="G11" s="46" t="inlineStr">
        <is>
          <t>[작업 절차]
1. 사전 준비 단계:
   - 설계 도서 및 시방 기준을 분석하여 간섭구간 공동 협의회 개최 및 협의록 작성 작업을 위한 현장 실측 및 경계 측량을 수행함.
2. 본 시공 단계:
   - 주기적 협의체 구성 및 굴착 공정 스케줄 교환 작업을 표준 시공 절차에 준하여 시행하며, 실시간 수평도 및 치수 공차를 관리함.
3. 검사 및 마감 단계:
   - 비상시 자동 전파 시스템 및 공구장 핫라인 개설 시험 및 품질 검사를 실측하고 기준값 만족 여부를 기록함. 상호 서명 완료된 공식 간섭 협의록 발주처 보고 작업을 거쳐 노면 정리 및 안전 조치를 완료함.
[주의사항 (하자이력 연계)]
구두 협의로 시공했다가 가시설 파손 시 공구 간 책임 공방 및 공사 중단(1개월)</t>
        </is>
      </c>
      <c r="H11" s="46" t="inlineStr">
        <is>
          <t>□ 양 공구 대리인 서명된 협의록 보관 여부
□ 핫라인 구축 및 비상 대응 시나리오 마련 여부
□ 합의 사항 설계/시공 도서 반영 여부
[집행단계 리스크 체크사항 (LLBS 연계)]
□ 연약지반 구간의 보상 지연 시 이를 만회할 공법(PC, 프리로딩 생략 등)이 있는가?
□ 부지 내 기존 도로가 보상 문제로 폐쇄될 경우 대체 진입로 계획이 있는가?
□ 개발제한구역, 상수원보호구역 등 특수 규제 지역 포함 여부 및 예상 인허가 소요 기간이 공정표(CP)에 반영되었는가?
□ 철도/지하철 인접 공사 시 유관기관 협의비 및 안전성 검토 용역비가 책정되어 있는가?</t>
        </is>
      </c>
      <c r="I11" s="46" t="inlineStr">
        <is>
          <t>행정</t>
        </is>
      </c>
      <c r="J11" s="47" t="inlineStr">
        <is>
          <t>● 관련분야 설계기준서 준수</t>
        </is>
      </c>
      <c r="K11" s="47" t="inlineStr">
        <is>
          <t>● 해당 공종 리스크 분석 수립 준수</t>
        </is>
      </c>
      <c r="L11" s="47" t="inlineStr">
        <is>
          <t>● 협력사 자문 내용 없음 또는 해당사항 없음</t>
        </is>
      </c>
    </row>
    <row r="12" ht="22.05" customHeight="1">
      <c r="A12" s="43" t="inlineStr">
        <is>
          <t>2000  임시설비 및 가설공사 (Temporary &amp; Utility Works)</t>
        </is>
      </c>
      <c r="B12" s="51" t="n"/>
      <c r="C12" s="51" t="n"/>
      <c r="D12" s="51" t="n"/>
      <c r="E12" s="51" t="n"/>
      <c r="F12" s="51" t="n"/>
      <c r="G12" s="51" t="n"/>
      <c r="H12" s="51" t="n"/>
      <c r="I12" s="51" t="n"/>
      <c r="J12" s="51" t="n"/>
      <c r="K12" s="51" t="n"/>
      <c r="L12" s="52" t="n"/>
    </row>
    <row r="13" ht="139.95" customHeight="1">
      <c r="A13" s="45" t="inlineStr">
        <is>
          <t>2000</t>
        </is>
      </c>
      <c r="B13" s="45" t="inlineStr">
        <is>
          <t>2000-1</t>
        </is>
      </c>
      <c r="C13" s="46" t="inlineStr">
        <is>
          <t>가설사무소 설치 및 안전·환경 관리 준비</t>
        </is>
      </c>
      <c r="D13" s="45" t="inlineStr">
        <is>
          <t>2000-1-1</t>
        </is>
      </c>
      <c r="E13" s="46" t="inlineStr">
        <is>
          <t>가설현장사무소 부지 확보 및 인허가 신고</t>
        </is>
      </c>
      <c r="F13" s="46" t="inlineStr">
        <is>
          <t>● 건축법 제20조(가설건축물), 지자체 가설건축물 축조 신고 지침 요건</t>
        </is>
      </c>
      <c r="G13" s="46" t="inlineStr">
        <is>
          <t>[작업 절차]
1. 사전 준비 단계:
   - 설계 도서 및 시방 기준을 분석하여 가설현장사무소 부지 확보 및 인허가 신고 작업을 위한 현장 실측 및 경계 측량을 수행함.
2. 본 시공 단계:
   - 임차부지 소유권 확인 및 가설 물건 배치 설계도 작성 작업을 표준 시공 절차에 준하여 시행하며, 실시간 수평도 및 치수 공차를 관리함.
3. 검사 및 마감 단계:
   - 관할 지자체 가설건축물 축조 신고서 접수 시험 및 품질 검사를 실측하고 기준값 만족 여부를 기록함. 소방서 소방시설 사전 협의 및 신고필증 획득 작업을 거쳐 노면 정리 및 안전 조치를 완료함.
[주의사항 (하자이력 연계)]
부지 미승인 상태의 무단 가설물 축조로 지자체 철거 명령 및 이행강제금 부과</t>
        </is>
      </c>
      <c r="H13" s="46" t="inlineStr">
        <is>
          <t>□ 축조 신고필증 획득 및 현장 비치 여부
□ 경계 측량 확인 및 설계도면 일치 여부
□ 소방기구(소화기 등) 적정 수량 배치 완료
[집행단계 리스크 체크사항 (LLBS 연계)]
□ 구조물과 흙막이 벽체 사이 여유폭(Working Space) 내에 배수로 설치 공간이 확보되었는가?
□ 굴착 바닥면의 피압수 용출 가능성(Boiling)을 검토하고 Well Point 등 지하수위 저하 공법을 반영했는가?
□ 흙막이 가시설과 본 구조물 사이에 거푸집 설치 및 작업자 이동 공간(최소 1m 이상)이 확보되었는가?
□ 교량 시공용 대형 크레인(200ton 이상)의 아웃트리거 전개 폭을 고려하여 가교 폭이나 작업대(Staging)가 반영되었는가?</t>
        </is>
      </c>
      <c r="I13" s="46" t="inlineStr">
        <is>
          <t>토목</t>
        </is>
      </c>
      <c r="J13" s="47" t="inlineStr">
        <is>
          <t>● 관련분야 설계기준서 준수</t>
        </is>
      </c>
      <c r="K13" s="47" t="inlineStr">
        <is>
          <t>● 가설건축물 설치 승인 지연으로 현장 사무소 개설 연기 및 현장 관리 공백 발생 리스크를 검토하였는가?</t>
        </is>
      </c>
      <c r="L13" s="47" t="inlineStr">
        <is>
          <t>● 협력사 자문 내용 없음 또는 해당사항 없음</t>
        </is>
      </c>
    </row>
    <row r="14" ht="139.95" customHeight="1">
      <c r="A14" s="48" t="inlineStr">
        <is>
          <t>2000</t>
        </is>
      </c>
      <c r="B14" s="48" t="inlineStr">
        <is>
          <t>2000-2</t>
        </is>
      </c>
      <c r="C14" s="49" t="inlineStr">
        <is>
          <t>가설도로·가시설 및 공사 진입로 설치</t>
        </is>
      </c>
      <c r="D14" s="48" t="inlineStr">
        <is>
          <t>2000-2-1</t>
        </is>
      </c>
      <c r="E14" s="49" t="inlineStr">
        <is>
          <t>가설도로 개설 및 진입 노면 다짐 시공</t>
        </is>
      </c>
      <c r="F14" s="49" t="inlineStr">
        <is>
          <t>● KCS 11 20 20 (가설공사 도로 및 터파기 다짐 표준시방서)
● 가설도로 기초 지반 최소 허용 지내력 150 kN/m² 이상 확보</t>
        </is>
      </c>
      <c r="G14" s="49" t="inlineStr">
        <is>
          <t>[작업 절차]
1. 사전 준비 단계:
   - 설계 도서 및 시방 기준을 분석하여 가설도로 개설 및 진입 노면 다짐 시공 작업을 위한 현장 실측 및 경계 측량을 수행함.
2. 본 시공 단계:
   - 진입로 롤러 다짐(두께 300mm 단위 분할 다짐) 작업을 표준 시공 절차에 준하여 시행하며, 실시간 수평도 및 치수 공차를 관리함.
3. 검사 및 마감 단계:
   - 평판재하시험(PBT) 실시, 지내력 150 kN/m2 확보 확인 시험 및 품질 검사를 실측하고 기준값 만족 여부를 기록함. 쇄석 골재 포설 및 표면 배수 구배(2%) 형성 작업을 거쳐 노면 정리 및 안전 조치를 완료함.
[주의사항 (하자이력 연계)]
다짐 불량 가설도로 상에서 25톤 덤프트럭 전도 사고 발생</t>
        </is>
      </c>
      <c r="H14" s="49" t="inlineStr">
        <is>
          <t>□ 평판재하시험 지내력 기준(150 kN/m2) 통과 여부
□ 노면 배수 구배 및 측구 집수정 설치 여부
□ 대형 장비 회전 반경 확보 여부
[집행단계 리스크 체크사항 (LLBS 연계)]
□ 개착 구조물 기초 바닥에 지하수 배제를 위한 맹암거 및 유공관이 반영되었는가?
□ 공사 중 집중호우(Frequency 10~20년 빈도)에 대비한 배수 펌프 용량과 예비 펌프가 산정되었는가?
□ 항타기 등 대형 장비의 진입로 폭과 회전 반경이 현장 여건(농로, 마을길)과 부합하는가?
□ 교량 시공용 대형 크레인(200ton 이상)의 아웃트리거 전개 폭을 고려하여 가교 폭이나 작업대(Staging)가 반영되었는가?</t>
        </is>
      </c>
      <c r="I14" s="49" t="inlineStr">
        <is>
          <t>토목</t>
        </is>
      </c>
      <c r="J14" s="50" t="inlineStr">
        <is>
          <t>● 관련분야 설계기준서 준수</t>
        </is>
      </c>
      <c r="K14" s="50" t="inlineStr">
        <is>
          <t>● 가설도로 다짐 부족으로 중장비(레미콘, 크레인) 이동 시 지반 함몰 및 장비 전도 리스크를 검토하였는가?</t>
        </is>
      </c>
      <c r="L14" s="50" t="inlineStr">
        <is>
          <t>● [공사구간 분할] 레일 뒤틀림 방지를 위해 1km 기준 분할 시공을 권장하며, 상하선별 별도 시공하되 노선 하나 기준으로 전폭 시공 적용
● [자재적치] 협소 구간은 추가 적치 부지를 확보하지 않고, 기시공/미시공 구간에 레일을 임시 적치하여 대응</t>
        </is>
      </c>
    </row>
    <row r="15" ht="139.95" customHeight="1">
      <c r="A15" s="45" t="inlineStr">
        <is>
          <t>2000</t>
        </is>
      </c>
      <c r="B15" s="45" t="inlineStr">
        <is>
          <t>2000-3</t>
        </is>
      </c>
      <c r="C15" s="46" t="inlineStr">
        <is>
          <t>유틸리티/전력 가설 및 임시 배관·배선 설치</t>
        </is>
      </c>
      <c r="D15" s="45" t="inlineStr">
        <is>
          <t>2000-3-1</t>
        </is>
      </c>
      <c r="E15" s="46" t="inlineStr">
        <is>
          <t>유틸리티 임시 전력 설비 설치 및 접지 공사</t>
        </is>
      </c>
      <c r="F15" s="46" t="inlineStr">
        <is>
          <t>● 전기설비기술기준(산업부) 및 가설공사 표준시방서(전기)
● 가설 전력 분전반 접지 저항 100Ω 이하 정밀 시공</t>
        </is>
      </c>
      <c r="G15" s="46" t="inlineStr">
        <is>
          <t>[작업 절차]
1. 사전 준비 단계:
   - 설계 도서 및 시방 기준을 분석하여 유틸리티 임시 전력 설비 설치 및 접지 공사 작업을 위한 현장 실측 및 경계 측량을 수행함.
2. 본 시공 단계:
   - 한전 임시 수전 신청 및 전신주 변압기 설치 입회 작업을 표준 시공 절차에 준하여 시행하며, 실시간 수평도 및 치수 공차를 관리함.
3. 검사 및 마감 단계:
   - 현장 분전반 접지 공사(접지 저항 100Ω 이하 측정) 시험 및 품질 검사를 실측하고 기준값 만족 여부를 기록함. 외함 차단기(ELB, 감도전류 30mA 이하) 테스트 작업을 거쳐 노면 정리 및 안전 조치를 완료함.
[주의사항 (하자이력 연계)]
여름철 우천 시 가설 분전반 접지 불량으로 인한 작업자 감전 사고 발생</t>
        </is>
      </c>
      <c r="H15" s="46" t="inlineStr">
        <is>
          <t>□ 접지저항값 측정 및 기준(100Ω 이하) 만족 여부
□ 누전차단기 정격 감도 확인 및 일일 점검 완료
□ 고압 노출선 방호 케이싱 씌우기 여부
[집행단계 리스크 체크사항 (LLBS 연계)]
□ 개착 구조물 기초 바닥에 지하수 배제를 위한 맹암거 및 유공관이 반영되었는가?
□ 공사 중 집중호우(Frequency 10~20년 빈도)에 대비한 배수 펌프 용량과 예비 펌프가 산정되었는가?
□ 교량 시공용 대형 크레인(200ton 이상)의 아웃트리거 전개 폭을 고려하여 가교 폭이나 작업대(Staging)가 반영되었는가?
□ 항타기 등 대형 장비의 진입로 폭과 회전 반경이 현장 여건(농로, 마을길)과 부합하는가?</t>
        </is>
      </c>
      <c r="I15" s="46" t="inlineStr">
        <is>
          <t>토목/전기</t>
        </is>
      </c>
      <c r="J15" s="47" t="inlineStr">
        <is>
          <t>● 관련분야 설계기준서 준수</t>
        </is>
      </c>
      <c r="K15" s="47" t="inlineStr">
        <is>
          <t>● 가설 전기 설비 과과부하 누전으로 현장 화재 발생 및 임시 차단기 오동작 리스크를 검토하였는가?</t>
        </is>
      </c>
      <c r="L15" s="47" t="inlineStr">
        <is>
          <t>● 협력사 자문 내용 없음 또는 해당사항 없음</t>
        </is>
      </c>
    </row>
    <row r="16" ht="268.2" customHeight="1">
      <c r="A16" s="48" t="inlineStr">
        <is>
          <t>2000</t>
        </is>
      </c>
      <c r="B16" s="48" t="inlineStr">
        <is>
          <t>2000-4</t>
        </is>
      </c>
      <c r="C16" s="49" t="inlineStr">
        <is>
          <t>교통전환 계획 수립 및 공사 중 교통 관리</t>
        </is>
      </c>
      <c r="D16" s="48" t="inlineStr">
        <is>
          <t>2000-4-1</t>
        </is>
      </c>
      <c r="E16" s="49" t="inlineStr">
        <is>
          <t>우회 교통 차선 도색 및 안전 통제 조치</t>
        </is>
      </c>
      <c r="F16" s="49" t="inlineStr">
        <is>
          <t>● KCS 44 60 05 (노면표시) / KCS 21 20 05 (현장가설시설물)
● 임시 차선 휘도: 설치시 백색 240, 황색 150 mcd/(m²·lx) 이상 (5℃ 이하 시공 금지, KS L 2521 2호 유리알 1L당 800g 살포)
● 임시 차선테이프: 건조 백색 250 / 습윤 백색 500 mcd/(m²·lx), 미끄럼저항 45 BPN 이상
● 가설 펜스(울타리): 높이 1.8m 이상 (민감 지역 주거·상가 50m 이내 3.0m 이상), 지주 간격 1.8m 이내 고정
● 접근방지책: 높이 1.2m 이상 강관(φ48.6mm, 두께 2.4mm), 지주 간격 2.0m 이내 횡선대 3열 이상 설치
● 시선유도봉: 주황색 몸체 인증품, 주행 방향 앵커볼트 2개 대향 배치 고정
● 시선유도표지: 높이 900mm 설치, 설치 간격(직선 50m, R≤50m 급곡선 4~5m), 진행 방향 90°(직각) 설치
● 갈매기표지: 두께 3mm 이하 알루미늄판, 높이 1.2m 거치, R≤50m 급곡선 설치 간격 8m
● 교통안전표지: 알루미늄판(A5052P 등) 두께 3mm 이상, 지주 아연도금 550g/m² 이상(HDZ 55), KS A 3507 초고휘도 반사지 부착 (부착 시 실내 18~24℃, 습도 65% 이하 유지), 차량 진행 방향 직각(90°) 설치(시인성 고려 10° 이내 안쪽 조정)</t>
        </is>
      </c>
      <c r="G16" s="49" t="inlineStr">
        <is>
          <t>[작업 절차]
1. 사전 준비 단계:
   - 설계 도서 및 시방 기준을 분석하여 우회 교통 차선 도색 및 안전 통제 조치 작업을 위한 현장 실측 및 경계 측량을 수행함.
2. 본 시공 단계:
   - 경찰서 승인 평면도 기반 주·야간 교통 통제 표지 설치 작업을 표준 시공 절차에 준하여 시행하며, 실시간 수평도 및 치수 공차를 관리함.
3. 검사 및 마감 단계:
   - 고휘도 반사 페인트 차선 도색 및 시선유도봉(델리네이터) 장착 시험 및 품질 검사를 실측하고 기준값 만족 여부를 기록함. 야간 싸이키 등, LED 유도 표지판 전원 가동 작업을 거쳐 노면 정리 및 안전 조치를 완료함.
[주의사항 (하자이력 연계)]
굴착 전환부 야간 경고등 미설치로 민간 차량 가시설 추돌 사고 발생
● 협력업체 자문 
[레일운반] 18m/20m 장대레일 반입 시 가로수 저촉 우려가 있으며, 도심지 주간 운반 시 후송차량 및 전담 신호수 배치 필수
[차로점용] 노반공사 완료부 상면에서 장비 이동 및 작업은 문제없으나 배수관 보강이 수반되어야 하며, 협소구간은 100m 이내 압송 타설 권장</t>
        </is>
      </c>
      <c r="H16" s="49" t="inlineStr">
        <is>
          <t>□ 통제 구간 내 차선 도색 및 반사 시트 설치 여부
□ 야간 신호수 조광 유도봉 소지 여부
□ 보행자 안전 통로 확보 및 펜스 마감 상태
[집행단계 리스크 체크사항 (LLBS 연계)]
□ 굴착 바닥면의 피압수 용출 가능성(Boiling)을 검토하고 Well Point 등 지하수위 저하 공법을 반영했는가?
□ 개착 구조물 기초 바닥에 지하수 배제를 위한 맹암거 및 유공관이 반영되었는가?
□ 구조물 터파기 사면(Open Cut)의 상단 라인이 공사 부지 경계선 내에 들어오는가?
□ 흙막이 가시설과 본 구조물 사이에 거푸집 설치 및 작업자 이동 공간(최소 1m 이상)이 확보되었는가?</t>
        </is>
      </c>
      <c r="I16" s="49" t="inlineStr">
        <is>
          <t>토목/교통</t>
        </is>
      </c>
      <c r="J16" s="50" t="inlineStr">
        <is>
          <t>● [교통관리] 도로공사구간 차선 휘도: 설치시 백색 240, 황색 150 mcd/(m²·lx) 이상 (5℃ 이하 시공 금지, KS L 2521 2호 유리알 1L당 800g 살포)
● [교통관리] 임시 차선테이프: 건조 백색 250 / 습윤 백색 500 mcd/(m²·lx), 미끄럼저항 45 BPN 이상
● [교통관리] 가설 휀스: 높이 1.8m 이상 (민감 지역 주거·상가 50m 이내 3.0m 이상), 지주 간격 1.8m 이내
● [교통관리] 접근방지책: 높이 1.2m 이상 강관(φ48.6mm, 두께 2.4mm), 지주 간격 2.0m 이내, 횡선대 3열 이상 설치
● [교통관리] 안전표지: 알루미늄판 두께 3mm 이상, 아연도금 550g/m² 이상(HDZ 55), KS A 3507 초고휘도 반사지 부착, 진행방향 직각(90°) 설치(10° 이내 안쪽 조정)</t>
        </is>
      </c>
      <c r="K16" s="50" t="inlineStr">
        <is>
          <t>● 굴착 전환부 야간 경고등 미설치로 민간 차량 가시설 추돌 사고 발생 리스크를 검토하였는가?</t>
        </is>
      </c>
      <c r="L16" s="50" t="inlineStr">
        <is>
          <t>● [레일운반] 18m/20m 장대레일 반입 시 가로수 저촉 우려가 있으며, 도심지 주간 운반 시 후송차량 및 전담 신호수 배치 필수
● [차로점용] 노반공사 완료부 상면에서 장비 이동 및 작업은 문제없으나 배수관 보강이 수반되어야 하며, 협소구간은 100m 이내 압송 타설 권장</t>
        </is>
      </c>
    </row>
    <row r="17" ht="22.05" customHeight="1">
      <c r="A17" s="43" t="inlineStr">
        <is>
          <t>3000  교차로 공사 (Intersection Works)</t>
        </is>
      </c>
      <c r="B17" s="51" t="n"/>
      <c r="C17" s="51" t="n"/>
      <c r="D17" s="51" t="n"/>
      <c r="E17" s="51" t="n"/>
      <c r="F17" s="51" t="n"/>
      <c r="G17" s="51" t="n"/>
      <c r="H17" s="51" t="n"/>
      <c r="I17" s="51" t="n"/>
      <c r="J17" s="51" t="n"/>
      <c r="K17" s="51" t="n"/>
      <c r="L17" s="52" t="n"/>
    </row>
    <row r="18" ht="177.6" customHeight="1">
      <c r="A18" s="45" t="inlineStr">
        <is>
          <t>3000</t>
        </is>
      </c>
      <c r="B18" s="45" t="inlineStr">
        <is>
          <t>3000-1</t>
        </is>
      </c>
      <c r="C18" s="46" t="inlineStr">
        <is>
          <t>교차로 구간 지장물 조사 및 인허가 협의</t>
        </is>
      </c>
      <c r="D18" s="45" t="inlineStr">
        <is>
          <t>3000-1-1</t>
        </is>
      </c>
      <c r="E18" s="46" t="inlineStr">
        <is>
          <t>교차로 지하매설물 대장 수집 및 사전계획수립</t>
        </is>
      </c>
      <c r="F18" s="46" t="inlineStr">
        <is>
          <t>● 국토지리정보원 지하정보 통합지도 구축 및 활용 지침 규정</t>
        </is>
      </c>
      <c r="G18" s="46" t="inlineStr">
        <is>
          <t>[작업 절차]
1. 사전 준비 단계:
   - 설계 도서 및 시방 기준을 분석하여 교차로 지하매설물 대장 수집 및 사전계획수립 작업을 위한 현장 실측 및 경계 측량을 수행함.
2. 본 시공 단계:
   - 지자체 상하수도, 한국가스공사, 전력/통신사 도면 수집 작업을 표준 시공 절차에 준하여 시행하며, 실시간 수평도 및 치수 공차를 관리함.
3. 검사 및 마감 단계:
   - GIS 데이터 기반 교차로 중심 횡단면도 중첩 작성 시험 및 품질 검사를 실측하고 기준값 만족 여부를 기록함. 이설/보강 대책이 필요한 중대 지장물 목록 확정 작업을 거쳐 노면 정리 및 안전 조치를 완료함.
[주의사항 (하자이력 연계)]
지하시설물 정보 불일치로 굴착 중 상수도 주관 파손, 상가 단수 민원 폭주
● 협력업체 자문(정주건설/트리플건설)
[시공순서] 일반구간 선시공 후 교차로 시공이 시공성 면에서 유리하나, 교차로 선시공 시 차량 통행에 의한 레일 파손 우려 대응 필요 (일반 및 교차로 작업조 통합 운영 권장)
● [교차로PST] 신속한 교통 개방을 위해 프리캐스트(PST) 패널 공법을 적용하되, 아스콘 접속부 처리가 지연되면 개방 효과가 미미하므로 교차로 길이 및 현장 차선 수별 세부 시공계획 필수</t>
        </is>
      </c>
      <c r="H18" s="46" t="inlineStr">
        <is>
          <t>□ 관리기관별 지장물 대장 최신 여부 확인
□ 고압가스, 특별고압 송전선로 간섭 여부 표시
□ 도면 중첩 분석 보고서 작성 완료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자재 발주 전 도면상 명기된 배수 관련 부속 자재가 내역에 있는지 전수 조사했는가?
□ 접속부 시공 전 배수판/동판 설치 상세를 작업자에게 교육했는가?</t>
        </is>
      </c>
      <c r="I18" s="46" t="inlineStr">
        <is>
          <t>토목/행정</t>
        </is>
      </c>
      <c r="J18" s="47" t="inlineStr">
        <is>
          <t>● 관련분야 설계기준서 준수</t>
        </is>
      </c>
      <c r="K18" s="47" t="inlineStr">
        <is>
          <t>● 지장물 위치 측량 데이터 누락으로 굴착 중 타 기관 지중 설비 오타격 파손 리스크를 검토하였는가?</t>
        </is>
      </c>
      <c r="L18" s="47" t="inlineStr">
        <is>
          <t>● 협력사 자문 내용 없음 또는 해당사항 없음</t>
        </is>
      </c>
    </row>
    <row r="19" ht="139.95" customHeight="1">
      <c r="A19" s="48" t="inlineStr">
        <is>
          <t>3000</t>
        </is>
      </c>
      <c r="B19" s="48" t="inlineStr">
        <is>
          <t>3000-1</t>
        </is>
      </c>
      <c r="C19" s="49" t="inlineStr">
        <is>
          <t>교차로 구간 지장물 조사 및 인허가 협의</t>
        </is>
      </c>
      <c r="D19" s="48" t="inlineStr">
        <is>
          <t>3000-1-2</t>
        </is>
      </c>
      <c r="E19" s="49" t="inlineStr">
        <is>
          <t>현장 지하매설물 탐지(GPR) 및 인력 시험 굴착</t>
        </is>
      </c>
      <c r="F19" s="49" t="inlineStr">
        <is>
          <t>● KCS 11 10 10 (지장물 탐사 및 이설 공사 표준시방서)
● 백호우 장비 사용 전 필수 인력 굴착(폭 1.0m, 깊이 2.0m) 선행</t>
        </is>
      </c>
      <c r="G19" s="49" t="inlineStr">
        <is>
          <t>[상세 작업 절차 - 정밀 관리]
1. 사전 설계도 분석 및 매핑:
   - 지하시설물 정보통신 대장 및 기존 GIS 데이터를 중첩하여 탐사 영역(교차로 개소별)을 3D 격자망으로 사전 분할함.
2. GPR 장비 셋업 및 검교정:
   - 250MHz/600MHz 이중 주파수 GPR 안테나 장비를 현장 노면에 셋업하고, 지반 유전율 및 수분 상태에 따른 반사 신호 검교정을 수행함.
3. 정밀 GPR 스캐닝 실시:
   - 노면 격자 라인(최소 0.5m 간격)을 따라 스캔을 실시하여 종횡단 단면의 반사 신호(Hyperbola)를 실시간 획득함.
4. 공동 및 이상 대역 탐지 분석:
   - 획득된 원시 데이터를 소프트웨어를 통해 필터링하여 지중 공동 및 금속/비금속 매설관(상수도, 가스관, 케이블 등)의 예상 심도(오차 ±10cm)를 추정함.
5. 현장 인력 시험 굴착 및 확인:
   - 중장비 굴착 전, 예상 지장물 심도 상부 1.0m 지점까지는 백호우로 굴착하고, 이후 유관기관 입회 하에 인력 굴착(폭 1.0m, 깊이 2.0m 이상)을 통해 지장물의 정확한 관종, 외경, 재질을 육안 확인하고 GIS 측량을 시행하여 위치를 확정함.
[주의사항 (하자이력 연계)]
장비 굴착 중 도면에 없던 한전 고압 케이블 포크레인 버킷 접촉 사고</t>
        </is>
      </c>
      <c r="H19" s="49" t="inlineStr">
        <is>
          <t>□ GPR 검출 자료와 설계도면 불일치 구간 확인
□ 백호우 장비 사용 전 인력 굴착 선행 여부
□ 노출 매설물 종류 및 재질 태그 기록 보관
[집행단계 리스크 체크사항 (LLBS 연계)]
□ 기초 터파기 구간의 지반 조건(연약지반)을 고려할 때 사면 경사를 유지할 부지가 충분한가?
□ 구조물 터파기 사면(Open Cut)의 상단 라인이 공사 부지 경계선 내에 들어오는가?
□ 자재 발주 전 도면상 명기된 배수 관련 부속 자재가 내역에 있는지 전수 조사했는가?
□ 접속부 시공 전 배수판/동판 설치 상세를 작업자에게 교육했는가?</t>
        </is>
      </c>
      <c r="I19" s="49" t="inlineStr">
        <is>
          <t>토목</t>
        </is>
      </c>
      <c r="J19" s="50" t="inlineStr">
        <is>
          <t>● 관련분야 설계기준서 준수</t>
        </is>
      </c>
      <c r="K19" s="50" t="inlineStr">
        <is>
          <t>● 지하 매설 특수 지장물(고압 한전 가스관) 정밀 탐사 지연으로 후속 토공 착수 무기한 연기 리스크를 검토하였는가?</t>
        </is>
      </c>
      <c r="L19" s="50" t="inlineStr">
        <is>
          <t>● 협력사 자문 내용 없음 또는 해당사항 없음</t>
        </is>
      </c>
    </row>
    <row r="20" ht="139.95" customHeight="1">
      <c r="A20" s="45" t="inlineStr">
        <is>
          <t>3000</t>
        </is>
      </c>
      <c r="B20" s="45" t="inlineStr">
        <is>
          <t>3000-1</t>
        </is>
      </c>
      <c r="C20" s="46" t="inlineStr">
        <is>
          <t>교차로 구간 지장물 조사 및 인허가 협의</t>
        </is>
      </c>
      <c r="D20" s="45" t="inlineStr">
        <is>
          <t>3000-1-3</t>
        </is>
      </c>
      <c r="E20" s="46" t="inlineStr">
        <is>
          <t>지장물 관리기관 합동 회의 및 이설 협의서 날인</t>
        </is>
      </c>
      <c r="F20" s="46" t="inlineStr">
        <is>
          <t>● 도로법 시행령 제43조(점용료 및 지장물 이설 비용 정산 기준)</t>
        </is>
      </c>
      <c r="G20" s="46" t="inlineStr">
        <is>
          <t>[작업 절차]
1. 사전 준비 단계:
   - 설계 도서 및 시방 기준을 분석하여 지장물 관리기관 합동 회의 및 이설 협의서 날인 작업을 위한 현장 실측 및 경계 측량을 수행함.
2. 본 시공 단계:
   - 관할 지자체 및 가스/전력 관리기관 담당자 현장 공동 실사 주관 작업을 표준 시공 절차에 준하여 시행하며, 실시간 수평도 및 치수 공차를 관리함.
3. 검사 및 마감 단계:
   - 이설 공법 및 임시 우회 선로 방안 협의록 조율 시험 및 품질 검사를 실측하고 기준값 만족 여부를 기록함. 분담금 정산 비율이 명시된 이설 합의 승인서 날인 작업을 거쳐 노면 정리 및 안전 조치를 완료함.
[주의사항 (하자이력 연계)]
이설 비용 분담 협의 미결 상태로 장시간 방치되어 전체 공기 3개월 지연</t>
        </is>
      </c>
      <c r="H20" s="46" t="inlineStr">
        <is>
          <t>□ 관리기관 공동 서명 날인서 확보 완료
□ 이설 비용 청구 및 실행 예산 승인 여부
□ 이설 우회 루트 지반 지지력 확인 완료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도로/철도 횡단 구간의 낙하물 방지 시설이 '그물망'이 아닌 '방호 선반(강판/합판)'으로 설계되었는가?
□ 특수 교각(Y형, V형) 시공 시 상부 하중을 지지할 가설 벤트가 내역에 있는가?</t>
        </is>
      </c>
      <c r="I20" s="46" t="inlineStr">
        <is>
          <t>토목/행정</t>
        </is>
      </c>
      <c r="J20" s="47" t="inlineStr">
        <is>
          <t>● 관련분야 설계기준서 준수</t>
        </is>
      </c>
      <c r="K20" s="47" t="inlineStr">
        <is>
          <t>● 지장물 이설 공사비 정산 지연으로 해당 유관 부처 협의 지연 및 행정 조치 보완 리스크를 검토하였는가?</t>
        </is>
      </c>
      <c r="L20" s="47" t="inlineStr">
        <is>
          <t>● 협력사 자문 내용 없음 또는 해당사항 없음</t>
        </is>
      </c>
    </row>
    <row r="21" ht="139.95" customHeight="1">
      <c r="A21" s="48" t="inlineStr">
        <is>
          <t>3000</t>
        </is>
      </c>
      <c r="B21" s="48" t="inlineStr">
        <is>
          <t>3000-2</t>
        </is>
      </c>
      <c r="C21" s="49" t="inlineStr">
        <is>
          <t>교차로 지장물 이설 및 방호·보강 공사</t>
        </is>
      </c>
      <c r="D21" s="48" t="inlineStr">
        <is>
          <t>3000-2-1</t>
        </is>
      </c>
      <c r="E21" s="49" t="inlineStr">
        <is>
          <t>교차로 지장물 임시/영구 이설 시공</t>
        </is>
      </c>
      <c r="F21" s="49" t="inlineStr">
        <is>
          <t>● KCS 11 10 15 (상수도 배관 시공 표준시방서)
● 임시 이설 상수도 기밀 수압시험(설계 규정압력의 1.5배, 1시간 유지)</t>
        </is>
      </c>
      <c r="G21" s="49" t="inlineStr">
        <is>
          <t>[상세 작업 절차 - 정밀 관리]
1. 우회 이설 계획 수립 및 밸브 차단:
   - 이설 노선에 대한 임시 우회 배관 자재(용접강관, PE관 등) 및 차수 밸브 위치를 점검하고, 단수/차단 일정에 대해 지자체 및 유관기관 사전 공고를 완료함.
2. 이설 대상관 노출 및 방호:
   - 백호우 굴착 후 노출된 기존 상수도/가스관에 충격 방지용 EPDM 고무 패드를 피복하고 안전 벤트 가시설을 건립하여 구조적 안정성을 유지함.
3. 임시 바이패스 관로 포설 및 조인트 접합:
   - 규격 배관을 현장 정밀 재단하여 설계 경로로 포설하고, 융착 접합 및 플랜지 볼트 체결(토크 렌치 정밀 제어)을 수행하여 기밀성을 확보함.
4. 수압 시험 및 플러싱 소독:
   - 신설 우회 관로 내부를 플러싱하여 이물질을 제거하고, 규정 수압(설계 압력의 1.5배, 최소 1.0 MPa)을 가해 1시간 동안 누수 및 압력 강하 여부를 정밀 확인하고 성적서를 작성함.
5. 관로 전환 및 되메우기:
   - 야간 차단 시간 내에 기존 관로에서 우회 관로로 유체를 전환(Tie-in) 접합하고, 되메우기(모래 두께 300mm 보호층 및 양질토 분할 다짐)를 완료함.
[주의사항 (하자이력 연계)]
임시 이설한 상수도관 연결부 수압 불량으로 누수 발생, 도로 지반 함몰</t>
        </is>
      </c>
      <c r="H21" s="49" t="inlineStr">
        <is>
          <t>□ 단수 안내문 발송 및 비상 급수 대책 수립 확인
□ 수압시험 합격 기준(압력 강하 0.02MPa 이하) 확인
□ 접합부 용접 및 프랜지 조임 검측 상태
[집행단계 리스크 체크사항 (LLBS 연계)]
□ 교량 시공용 대형 크레인(200ton 이상)의 아웃트리거 전개 폭을 고려하여 가교 폭이나 작업대(Staging)가 반영되었는가?
□ 구조물 터파기 사면(Open Cut)의 상단 라인이 공사 부지 경계선 내에 들어오는가?
□ 하부 도로/구조물이 상부 시공 하중(크레인+거더)을 견딜 수 있는가?
□ 벤트 위치가 하부 교통 흐름이나 구조물과 간섭되지 않는가?</t>
        </is>
      </c>
      <c r="I21" s="49" t="inlineStr">
        <is>
          <t>토목/기계</t>
        </is>
      </c>
      <c r="J21" s="50" t="inlineStr">
        <is>
          <t>● 관련분야 설계기준서 준수</t>
        </is>
      </c>
      <c r="K21" s="50" t="inlineStr">
        <is>
          <t>● 임시 이설한 상수도관 연결부 수압 불량으로 누수 발생, 도로 지반 함몰 리스크를 검토하였는가?</t>
        </is>
      </c>
      <c r="L21" s="50" t="inlineStr">
        <is>
          <t>● 협력사 자문 내용 없음 또는 해당사항 없음</t>
        </is>
      </c>
    </row>
    <row r="22" ht="139.95" customHeight="1">
      <c r="A22" s="45" t="inlineStr">
        <is>
          <t>3000</t>
        </is>
      </c>
      <c r="B22" s="45" t="inlineStr">
        <is>
          <t>3000-2</t>
        </is>
      </c>
      <c r="C22" s="46" t="inlineStr">
        <is>
          <t>교차로 지장물 이설 및 방호·보강 공사</t>
        </is>
      </c>
      <c r="D22" s="45" t="inlineStr">
        <is>
          <t>3000-2-2</t>
        </is>
      </c>
      <c r="E22" s="46" t="inlineStr">
        <is>
          <t>이설 불가 지장물 방호공(H-Beam 매달기) 시공</t>
        </is>
      </c>
      <c r="F22" s="46" t="inlineStr">
        <is>
          <t>● 건설공사용 가설구조물 설계기준(KDS 21 00 00) 구조 안전율 준수</t>
        </is>
      </c>
      <c r="G22" s="46" t="inlineStr">
        <is>
          <t>[상세 작업 절차 - 정밀 관리]
1. 지장물 노출 및 계측기 부착:
   - 이설 불가 매설 가스관/통신관 구간을 인력 굴착으로 완전히 노출시키고, 관 표면에 변형률 게이지(Strain Gauge) 및 처짐 측정용 틸트센서를 부착함.
2. 방호 H-Beam 파일 천공 및 근입:
   - 지장물 외곽 양측에 규격 H-Beam(300x300mm) 수직 파일을 오거로 천공 및 근입하고, 그라우팅 주입으로 지지력을 확보함.
3. 매달기 크로스 거더 설치:
   - 수직 H-Beam 상부에 횡방향 H-Beam 크로스 거더를 정밀 볼트 조임 및 용접 접합하여 강결 구조를 형성함.
4. 행거 와이어 조립 및 장력 도입:
   - 특수 강재 행거 플레이트와 고장력 턴버클 와이어를 크로스 거더와 지장물 받침대(Saddle) 사이에 조립하고, 설계 하중 분배를 고려하여 와이어 턴버클 장력을 고르게 도입(토크 렌치 제어)함.
5. 거푸집 가설 및 시공 중 상시 모니터링:
   - 가시설 흙막이판 설치 시 방호 구간 하부에 낙석 방지 판넬을 추가 설치하고, 토공 굴착 및 본체 시공 중 지장물의 미세 침하(허용치 ±2mm 이내) 여부를 실시간 계측기로 모니터링함.
[주의사항 (하자이력 연계)]
매달기 방호공의 와이어 장력 이완으로 가스관 침하 및 이음부 가스 누출</t>
        </is>
      </c>
      <c r="H22" s="46" t="inlineStr">
        <is>
          <t>□ H-Beam 매달기 와이어 조임 및 턴버클 체결 강도
□ 매설관 하부 처짐 방지용 패드 밀착 상태
□ 변위 측정 센서 초기 리셋 및 일일 기록 여부
[집행단계 리스크 체크사항 (LLBS 연계)]
□ 구조물 터파기 사면(Open Cut)의 상단 라인이 공사 부지 경계선 내에 들어오는가?
□ 기초 터파기 구간의 지반 조건(연약지반)을 고려할 때 사면 경사를 유지할 부지가 충분한가?
□ 동바리 높이가 10m를 초과하는 구간에 대해 시스템 동바리가 적용되었는가?
□ 좌굴 안정성 검토가 수행되었는가?</t>
        </is>
      </c>
      <c r="I22" s="46" t="inlineStr">
        <is>
          <t>토목</t>
        </is>
      </c>
      <c r="J22" s="47" t="inlineStr">
        <is>
          <t>● 관련분야 설계기준서 준수</t>
        </is>
      </c>
      <c r="K22" s="47" t="inlineStr">
        <is>
          <t>● 매달기 방호공의 와이어 장력 이완으로 가스관 침하 및 이음부 가스 누출 리스크를 검토하였는가?</t>
        </is>
      </c>
      <c r="L22" s="47" t="inlineStr">
        <is>
          <t>● 협력사 자문 내용 없음 또는 해당사항 없음</t>
        </is>
      </c>
    </row>
    <row r="23" ht="139.95" customHeight="1">
      <c r="A23" s="48" t="inlineStr">
        <is>
          <t>3000</t>
        </is>
      </c>
      <c r="B23" s="48" t="inlineStr">
        <is>
          <t>3000-3</t>
        </is>
      </c>
      <c r="C23" s="49" t="inlineStr">
        <is>
          <t>교차로 토공 굴착 및 가시설 설치</t>
        </is>
      </c>
      <c r="D23" s="48" t="inlineStr">
        <is>
          <t>3000-3-1</t>
        </is>
      </c>
      <c r="E23" s="49" t="inlineStr">
        <is>
          <t>교차로 아스팔트 포장 깨기 및 단계별 굴착</t>
        </is>
      </c>
      <c r="F23" s="49" t="inlineStr">
        <is>
          <t>● KCS 11 20 15 (토공사 굴착 표준시방서)
● 굴착 사면 경사면 구배 확보(사질토 1:1.0, 암반 1:0.5)</t>
        </is>
      </c>
      <c r="G23" s="49" t="inlineStr">
        <is>
          <t>[작업 절차]
1. 사전 준비 단계:
   - 설계 도서 및 시방 기준을 분석하여 교차로 아스팔트 포장 깨기 및 단계별 굴착 작업을 위한 현장 실측 및 경계 측량을 수행함.
2. 본 시공 단계:
   - 도로 커터를 이용하여 차선별 외곽 라인 정밀 컷팅(깊이 150mm) 작업을 표준 시공 절차에 준하여 시행하며, 실시간 수평도 및 치수 공차를 관리함.
3. 검사 및 마감 단계:
   - 백호우 브레이커 작업 시 비산방지망 설치 시험 및 품질 검사를 실측하고 기준값 만족 여부를 기록함. 굴착 단계별 법면 구배 유지(사질토 1:1.0, 암반 1:0.5) 작업을 거쳐 노면 정리 및 안전 조치를 완료함.
[주의사항 (하자이력 연계)]
굴착 단면 경사 방치로 우천 시 법면 붕괴 및 주변 통제 펜스 탈락</t>
        </is>
      </c>
      <c r="H23" s="49" t="inlineStr">
        <is>
          <t>□ 도로 정밀 컷팅 라인 일치 및 인접 포장 파손 유무
□ 살수기 가동 및 비산 먼지 제어 상태
□ 굴착면 기울기 및 굴착 깊이 설계값 일치 여부
[집행단계 리스크 체크사항 (LLBS 연계)]
□ 가시설 굴착 심도가 지하수위 아래에 위치하는가?
□ 토류판 적용 시 차수 그라우팅 비용이 반영되었는가?
□ 개착 구조물 기초 바닥에 지하수 배제를 위한 맹암거 및 유공관이 반영되었는가?
□ 항타기 등 대형 장비의 진입로 폭과 회전 반경이 현장 여건(농로, 마을길)과 부합하는가?</t>
        </is>
      </c>
      <c r="I23" s="49" t="inlineStr">
        <is>
          <t>토목</t>
        </is>
      </c>
      <c r="J23" s="50" t="inlineStr">
        <is>
          <t>● [토질기초] 깎기 비탈면 표준 경사: 풍화암 1:1.0~1:1.2, 연암(절리직각) 1:0.5~1:0.7, 경암(절리직각) 1:0.3~1:0.5
● [토질기초] 깎기 비탈면 기준 안전율: 건기 Fs &gt; 1.5, 우기 Fs &gt; 1.2 (지하수위 1/2 포화 시)
● [토질기초] 가설 흙막이 안전율: 근입깊이 1.2, 보일링 1.5, 히빙 1.5, 앵커 인발(단기) 1.5 이상</t>
        </is>
      </c>
      <c r="K23" s="50" t="inlineStr">
        <is>
          <t>● 굴착 단면 경사 방치로 우천 시 법면 붕괴 및 주변 통제 펜스 탈락 리스크를 검토하였는가? (교차로 궤도 [10] [12] 연계)
● 지그 고정 불량으로 플랜지웨이 폭이 47mm를 초과해 휠체어·자전거 전도 사고가 발생할 리스크를 검토하였는가?</t>
        </is>
      </c>
      <c r="L23" s="50" t="inlineStr">
        <is>
          <t>● [시공순서] 일반구간 선시공 후 교차로 시공이 시공성 면에서 유리하나, 교차로 선시공 시 차량 통행에 의한 레일 파손 우려 대응 필요 (일반 및 교차로 작업조 통합 운영 권장)</t>
        </is>
      </c>
    </row>
    <row r="24" ht="139.95" customHeight="1">
      <c r="A24" s="45" t="inlineStr">
        <is>
          <t>3000</t>
        </is>
      </c>
      <c r="B24" s="45" t="inlineStr">
        <is>
          <t>3000-3</t>
        </is>
      </c>
      <c r="C24" s="46" t="inlineStr">
        <is>
          <t>교차로 토공 굴착 및 가시설 설치</t>
        </is>
      </c>
      <c r="D24" s="45" t="inlineStr">
        <is>
          <t>3000-3-2</t>
        </is>
      </c>
      <c r="E24" s="46" t="inlineStr">
        <is>
          <t>교차로 단계별 교통 전환 방호벽 설치 및 노출 지장물 방호</t>
        </is>
      </c>
      <c r="F24" s="46" t="inlineStr">
        <is>
          <t>● KCS 21 20 05 (가설안전시설물) / KCS 11 10 10 (지장물 이설공사)
● 교통 차단 PE 방호벽 물채움 고정 및 노출 매설관 턴버클 매달기 수직 처짐 통제</t>
        </is>
      </c>
      <c r="G24" s="46" t="inlineStr">
        <is>
          <t>[작업 절차]
1. 사전 준비 단계:
   - 설계 도서 및 시방 기준을 분석하여 교차로 단계별 교통 전환 방호벽 설치 및 노출 지장물 방호 작업을 위한 현장 실측 및 경계 측량을 수행함.
2. 본 시공 단계:
   - 교차로 단계별 점용 차선 경계부에 PE 방호벽(물채움 충진 필수) 및 안전 펜스를 정밀 건주할 것 작업을 표준 시공 절차에 준하여 시행하며, 실시간 수평도 및 치수 공차를 관리함.
3. 검사 및 마감 단계:
   - 야간 시인성 확보를 위해 PE 방호벽 상부 델리네이터 및 경고 발광 다이오드(LED) 조밀 거치 시험 및 품질 검사를 실측하고 기준값 만족 여부를 기록함. 굴착 중 노출된 상수도/한전관 등 연약 매설물 처짐 방지용 H-Beam 지탱 보강 또는 턴버클 매달기 방호 처치 작업을 거쳐 노면 정리 및 안전 조치를 완료함.
[주의사항 (하자이력 연계)]
임시 차선 차단 PE 방호벽 전도에 따른 교차로 추돌 사고 발생 및 노출 매설관(가스/상수도) 지탱 부실로 인한 관 처짐 미세 균열 발생</t>
        </is>
      </c>
      <c r="H24" s="46" t="inlineStr">
        <is>
          <t>□ PE 방호벽 물채움 및 연결 핀 결속 상태
□ 야간 경고등 정상 작동 및 시인성 확보 여부
□ 노출 지장물 처짐 방지 지탱대 거치 상태
□ 임시 지철판 단차 미끄럼 방지 고무 패드 설치 여부
[집행단계 리스크 체크사항 (LLBS 연계)]
□ 가시설 굴착 심도가 지하수위 아래에 위치하는가?
□ 토류판 적용 시 차수 그라우팅 비용이 반영되었는가?
□ 개착 구조물 기초 바닥에 지하수 배제를 위한 맹암거 및 유공관이 반영되었는가?
□ 항타기 등 대형 장비의 진입로 폭과 회전 반경이 현장 여건(농로, 마을길)과 부합하는가?</t>
        </is>
      </c>
      <c r="I24" s="46" t="inlineStr">
        <is>
          <t>토목</t>
        </is>
      </c>
      <c r="J24" s="47" t="inlineStr">
        <is>
          <t>● [토질기초] 가시설 흙막이벽 허용 수평변위: 강성 0.002H, 보통 0.0025H, 연성 0.003H (H: 굴착심도)
● [토질기초] 인접 도로 허용 침하량: 25mm 이하</t>
        </is>
      </c>
      <c r="K24" s="47" t="inlineStr">
        <is>
          <t>● 임시 차선 차단 PE 방호벽 전도에 따른 교차로 추돌 사고 발생 및 노출 매설관(가스/상수도) 지탱 부실로 인한 관 처짐 미세 균열 발생</t>
        </is>
      </c>
      <c r="L24" s="47" t="inlineStr">
        <is>
          <t>● [교차로PST] 신속한 교통 개방을 위해 프리캐스트(PST) 패널 공법을 적용하되, 아스콘 접속부 처리가 지연되면 개방 효과가 미미하므로 교차로 길이 및 현장 차선 수별 세부 시공계획 필수
● [박스구간] 개착박스 내 협소 공간 시공 시 별도 특수 장비 없이 일반 장비와 가이드롤러를 조합하여 시공 가능</t>
        </is>
      </c>
    </row>
    <row r="25" ht="139.95" customHeight="1">
      <c r="A25" s="48" t="inlineStr">
        <is>
          <t>3000</t>
        </is>
      </c>
      <c r="B25" s="48" t="inlineStr">
        <is>
          <t>3000-4</t>
        </is>
      </c>
      <c r="C25" s="49" t="inlineStr">
        <is>
          <t>교차로 노반·RC-PC 구조물 설치 및 마감 공사</t>
        </is>
      </c>
      <c r="D25" s="48" t="inlineStr">
        <is>
          <t>3000-4-1</t>
        </is>
      </c>
      <c r="E25" s="49" t="inlineStr">
        <is>
          <t>기초 지반 정밀 정리 및 지내력 평판재하시험(PBT)</t>
        </is>
      </c>
      <c r="F25" s="49" t="inlineStr">
        <is>
          <t>● KDS 11 50 15 (얕은기초 설계기준)
● 교차로 노반 하부 기초 허용 지내력(최소 200 kN/m²) 도달 시험</t>
        </is>
      </c>
      <c r="G25" s="49" t="inlineStr">
        <is>
          <t>[상세 작업 절차 - 정밀 관리]
1. 시험 위치 선정 및 노면 정지:
   - 설계도상 노반 기초 평판재하시험(PBT) 위치(정거장 기초, 교량 교대 등 최소 3개소)를 마킹하고, 시험 구역 지반을 흙판 등으로 평탄하게 정리(요철 2mm 이하)함.
2. 시험판 및 재하시설 세팅:
   - 직경 300mm 원형 강제 재하판을 지반에 수평 안착시키고, 반력 하중용 중장비(20톤 백호우 또는 덤프트럭)의 하중 중심에 잭(Jack)을 배치함.
3. 다이얼 게이지 및 측정 장치 세팅:
   - 지반 침하량 측정을 위한 마이크로 다이얼 게이지(측정 정밀도 0.01mm) 3개를 재하판 주위에 삼각 형태로 대칭 배치하고 기준 빔에 고정함.
4. 단계별 하중 재하 및 침하량 실측:
   - 설계 최대 재하 하중(150 kN/m2 확보 목적)을 5~8단계로 나누어 누적 재하함. 각 단계별 하중을 15분 이상 유지하며 지반 변형률 및 침하 속도가 안정될 때까지 다이얼 게이지 값을 실측 기록함.
5. 지내력 평가 및 노반 변형계수(Ev1, Ev2) 도출:
   - 압력-침하량 곡선을 분석하여 극한 지지력을 도출하고, 변형계수비(Ev2/Ev1)가 시방 기준(2.0 이하)을 충족하는지 검증하여 합격 판정 후 시험 성적서를 작성 및 서명함.
[주의사항 (하자이력 연계)]
교차로 노반 하부 지반 지내력 부족으로 트램 시공 후 부등 침하 발생(선형 변형)</t>
        </is>
      </c>
      <c r="H25" s="49" t="inlineStr">
        <is>
          <t>□ 바닥면 배수 처리 및 느슨한 흙 제거 상태
□ 평판재하시험(PBT) 성적서 결과 값(200 kN/m2 이상)
□ 침하량-하중 곡선 상 항복점 유무 확인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배수펌프장 등 필수 운영 시설의 가동 기간이 전체 공사 기간과 연동되어 있는가?
□ 도심지 공사 시 교통 처리 계획에 따른 가시설 존치 기간이 적정하게 산정되었는가?</t>
        </is>
      </c>
      <c r="I25" s="49" t="inlineStr">
        <is>
          <t>토목/노반</t>
        </is>
      </c>
      <c r="J25" s="50" t="inlineStr">
        <is>
          <t>● [토질기초] 직접기초 허용 지내력 연직지지력 저항계수 0.45 (극한한계상태), 1.0 (사용/극단한계상태)
● [토질기초] 지반의 분류: 전단파속도 Vs 기준 S1(암반) ~ S5(깊고 연약한 지반) 구분 적용</t>
        </is>
      </c>
      <c r="K25" s="50" t="inlineStr">
        <is>
          <t>● 교차로 노반 하부 지반 지내력 부족으로 트램 시공 후 부등 침하 발생(선형 변형) 리스크를 검토하였는가?</t>
        </is>
      </c>
      <c r="L25" s="50" t="inlineStr">
        <is>
          <t>● 협력사 자문 내용 없음 또는 해당사항 없음</t>
        </is>
      </c>
    </row>
    <row r="26" ht="139.95" customHeight="1">
      <c r="A26" s="45" t="inlineStr">
        <is>
          <t>3000</t>
        </is>
      </c>
      <c r="B26" s="45" t="inlineStr">
        <is>
          <t>3000-4</t>
        </is>
      </c>
      <c r="C26" s="46" t="inlineStr">
        <is>
          <t>교차로 노반·RC-PC 구조물 설치 및 마감 공사</t>
        </is>
      </c>
      <c r="D26" s="45" t="inlineStr">
        <is>
          <t>3000-4-2</t>
        </is>
      </c>
      <c r="E26" s="46" t="inlineStr">
        <is>
          <t>프리캐스트(PC) 노반 구조물 크레인 정밀 거치</t>
        </is>
      </c>
      <c r="F26" s="46" t="inlineStr">
        <is>
          <t>● KCS 14 20 53 (프리캐스트 콘크리트 공사 표준시방서)
● PC 블록 접합 조인트 채움 무수축 몰탈 규정 강도(최소 30 MPa) 확보</t>
        </is>
      </c>
      <c r="G26" s="46" t="inlineStr">
        <is>
          <t>[상세 작업 절차 - 정밀 관리]
1. 노반 기초면 실측 및 청소:
   - 프리캐스트(PC) 노반 구조물이 안착될 하부 콘크리트 기초면의 중심선 및 높이를 광파기로 정밀 실측하고, 레이턴스(불순물) 및 먼지를 와이어 브러시로 완전히 청소함.
2. 인양 크레인 세팅 및 줄걸이 점검:
   - 투입될 이동식 크레인(200톤급 이상)의 아웃트리거 밑판 보강 지반 다짐을 완료하고, 슬링 와이어(4점식 샤클 연결)의 마모 상태를 육안 점검함.
3. PC 블록 인양 및 가거치:
   - PC 노반 블록(중량 약 15톤)을 서서히 수평 인양하여 안착 위치 상부 30cm 지점까지 하강시킨 후, 정밀 가이드 지그를 사용해 가거치함.
4. 3D 정밀 얼라인먼트 조정:
   - 광파기 및 정밀 레벨기를 활용하여 PC 블록 간 접합 조인트 단차(허용오차 ±1mm 이내) 및 중심선 틀림을 미세 유압 잭으로 상하좌우 정밀 조정함.
5. 무수축 몰탈 충진 및 습윤 양생:
   - 접합부에 조인트 폼재를 기밀 가설하고, 고강도 무수축 몰탈(설계 강도 40 MPa 이상)을 공극 없이 가압 충진함. 충진 완료 후 충격 및 진동을 차단하고 최소 3일간 습윤 포를 덮어 양생을 시행함.
[주의사항 (하자이력 연계)]
PC 노반 블록 간 조인트 단차 및 접합 무수축 몰탈 충진 부족으로 차량 진동 시 블록 이탈</t>
        </is>
      </c>
      <c r="H26" s="46" t="inlineStr">
        <is>
          <t>□ PC 블록 수평 오차(±3mm 이내) 확인
□ 접합 조인트 틈새 테이핑 및 몰탈 누출 유무
□ 몰탈 공시체 강도(최소 30 MPa) 시험 합격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도심지 공사 시 교통 처리 계획에 따른 가시설 존치 기간이 적정하게 산정되었는가?
□ 특수교량(FCM 등)의 주요 구조부 설계 적정성을 착공 전 검증했는가?</t>
        </is>
      </c>
      <c r="I26" s="46" t="inlineStr">
        <is>
          <t>토목/노반</t>
        </is>
      </c>
      <c r="J26" s="47" t="inlineStr">
        <is>
          <t>● [구조분야] 고정하중: 철근콘크리트 24.5 kN/m3, 아스팔트 포장재 22.6 kN/m3 적용
● [구조분야] 트램 활하중: 5량 기준 총중량 632 kN (축중 63.2 kN/축) 적용</t>
        </is>
      </c>
      <c r="K26" s="47" t="inlineStr">
        <is>
          <t>● PC 노반 블록 간 조인트 단차 및 접합 무수축 몰탈 충진 부족으로 차량 진동 시 블록 이탈 리스크를 검토하였는가?</t>
        </is>
      </c>
      <c r="L26" s="47" t="inlineStr">
        <is>
          <t>● 협력사 자문 내용 없음 또는 해당사항 없음</t>
        </is>
      </c>
    </row>
    <row r="27" ht="139.95" customHeight="1">
      <c r="A27" s="48" t="inlineStr">
        <is>
          <t>3000</t>
        </is>
      </c>
      <c r="B27" s="48" t="inlineStr">
        <is>
          <t>3000-5</t>
        </is>
      </c>
      <c r="C27" s="49" t="inlineStr">
        <is>
          <t>곡선부 선형설계 및 확폭 공사</t>
        </is>
      </c>
      <c r="D27" s="48" t="inlineStr">
        <is>
          <t>3000-5-1</t>
        </is>
      </c>
      <c r="E27" s="49" t="inlineStr">
        <is>
          <t>트램 곡선 구간 확폭 측량 및 캔트/슬랙 계산</t>
        </is>
      </c>
      <c r="F27" s="49" t="inlineStr">
        <is>
          <t>● 경기도 노면전차 건설 규정 제6조(최소 곡선반경 R25m 이상, 캔트/슬랙 미적용 표준)</t>
        </is>
      </c>
      <c r="G27" s="49" t="inlineStr">
        <is>
          <t>[상세 작업 절차 - 정밀 관리]
1. 노선 기하학 데이터 수집:
   - 트램 궤도 선형 설계 도면에서 곡선 반경(R), 완화곡선 길이(L), 설계 속도(V=30~45km/h) 및 윤배 간격 데이터를 수집함.
2. 캔트(Cant) 설계값 계산:
   - 공식 [C = 11.8 * V^2 / R]을 바탕으로 균형 캔트값을 계산하고, 승객 승차감 향상과 차륜 이상 마모 방지를 위한 외궤 높임 캔트(설계치 예: 40mm)를 결정함.
3. 슬랙(Slack) 곡선 확폭량 계산:
   - 고정 축거를 고려하여 곡선 반경에 따른 궤간 확폭량(슬랙량: 0~15mm)을 계산하고, 외측 궤간 레일의 확폭 곡선을 정의함.
4. 현장 3D 토탈스테이션 정밀 측량:
   - 현장에 3D 토탈스테이션을 설치하여 설계 좌표(X, Y, Z) 기반 곡선 시종점부(BTC, ECC, ETC) 및 주요 10m 격자 포인트를 측량 및 레일 마킹함.
5. 설계 보정 및 차량 주행 간섭 시뮬레이션:
   - 계산된 캔트/슬랙 값을 토대로 인근 정거장 플랫폼 및 연석 시설물과의 건축한계(Clearance 최소 100mm 확보) 침범 여부를 시뮬레이션하고 설계 최종 승인을 득함.
[주의사항 (하자이력 연계)]
캔트 부족으로 주행 트램 원심력 이탈 감지 및 비상 제동 동작(승차감 극도로 저하)</t>
        </is>
      </c>
      <c r="H27" s="49" t="inlineStr">
        <is>
          <t>□ 선형 계산서 상 캔트값 설계 일치 여부
□ 곡선부 외측 레일 높이(캔트량) 오차 범위 확인
□ 측량 결과의 설계값 오차(±1mm 이내) 확인
[집행단계 리스크 체크사항 (LLBS 연계)]
□ 특수교량(FCM 등)의 주요 구조부 설계 적정성을 착공 전 검증했는가?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t>
        </is>
      </c>
      <c r="I27" s="49" t="inlineStr">
        <is>
          <t>토목</t>
        </is>
      </c>
      <c r="J27" s="50" t="inlineStr">
        <is>
          <t>● 관련분야 설계기준서 준수</t>
        </is>
      </c>
      <c r="K27" s="50" t="inlineStr">
        <is>
          <t>● 캔트 부족으로 주행 트램 원심력 이탈 감지 및 비상 제동 동작(승차감 극도로 저하) 리스크를 검토하였는가?</t>
        </is>
      </c>
      <c r="L27" s="50" t="inlineStr">
        <is>
          <t>● 협력사 자문 내용 없음 또는 해당사항 없음</t>
        </is>
      </c>
    </row>
    <row r="28" ht="139.95" customHeight="1">
      <c r="A28" s="45" t="inlineStr">
        <is>
          <t>3000</t>
        </is>
      </c>
      <c r="B28" s="45" t="inlineStr">
        <is>
          <t>3000-5</t>
        </is>
      </c>
      <c r="C28" s="46" t="inlineStr">
        <is>
          <t>곡선부 선형설계 및 확폭 공사</t>
        </is>
      </c>
      <c r="D28" s="45" t="inlineStr">
        <is>
          <t>3000-5-2</t>
        </is>
      </c>
      <c r="E28" s="46" t="inlineStr">
        <is>
          <t>확폭 구간 도로 굴착 및 지반 안정 시공</t>
        </is>
      </c>
      <c r="F28" s="46" t="inlineStr">
        <is>
          <t>● KCS 11 20 20 (도로 노상 및 노반 다짐)
● 확폭 경계 지반 시멘트 안정처리(CBR 10% 이상, 다짐도 98% 확보)</t>
        </is>
      </c>
      <c r="G28" s="46" t="inlineStr">
        <is>
          <t>[작업 절차]
1. 사전 준비 단계:
   - 설계 도서 및 시방 기준을 분석하여 확폭 구간 도로 굴착 및 지반 안정 시공 작업을 위한 현장 실측 및 경계 측량을 수행함.
2. 본 시공 단계:
   - 기존 차로 경계면 벤치컷팅(계단식 깎기) 실시 작업을 표준 시공 절차에 준하여 시행하며, 실시간 수평도 및 치수 공차를 관리함.
3. 검사 및 마감 단계:
   - 시멘트 안정 처리 공법을 통한 노상 강도(CBR 10% 이상) 보강 시험 및 품질 검사를 실측하고 기준값 만족 여부를 기록함. 콤팩터를 이용한 경계 모서리 정밀 다짐 작업을 거쳐 노면 정리 및 안전 조치를 완료함.
[주의사항 (하자이력 연계)]
확폭 접합부 다짐 불량으로 트램 탈선방지 가드레일 설치 구간 지반 균열 발생</t>
        </is>
      </c>
      <c r="H28" s="46" t="inlineStr">
        <is>
          <t>□ 계단식 깎기 적용으로 신구 접합부 일체화 여부
□ 시멘트 혼합 균일도 및 다짐도 검측(98% 이상)
□ 지하 배수 유도용 맹암거 설치 상태
[집행단계 리스크 체크사항 (LLBS 연계)]
□ 자재 발주 전 도면상 명기된 배수 관련 부속 자재가 내역에 있는지 전수 조사했는가?
□ 접속부 시공 전 배수판/동판 설치 상세를 작업자에게 교육했는가?
□ 가설 구조물 철거 시 발생할 폐기물 물량을 예측하여 예산에 반영했는가?
□ 준공 정산 시 누락되기 쉬운 철거 비용을 미리 확보했는가?</t>
        </is>
      </c>
      <c r="I28" s="46" t="inlineStr">
        <is>
          <t>토목</t>
        </is>
      </c>
      <c r="J28" s="47" t="inlineStr">
        <is>
          <t>● 관련분야 설계기준서 준수</t>
        </is>
      </c>
      <c r="K28" s="47" t="inlineStr">
        <is>
          <t>● 확폭 접합부 다짐 불량으로 트램 탈선방지 가드레일 설치 구간 지반 균열 발생 리스크를 검토하였는가?</t>
        </is>
      </c>
      <c r="L28" s="47" t="inlineStr">
        <is>
          <t>● 협력사 자문 내용 없음 또는 해당사항 없음</t>
        </is>
      </c>
    </row>
    <row r="29" ht="139.95" customHeight="1">
      <c r="A29" s="48" t="inlineStr">
        <is>
          <t>3000</t>
        </is>
      </c>
      <c r="B29" s="48" t="inlineStr">
        <is>
          <t>3000-6</t>
        </is>
      </c>
      <c r="C29" s="49" t="inlineStr">
        <is>
          <t>교차로 신호·표지판 설치 및 도로 마감 공사</t>
        </is>
      </c>
      <c r="D29" s="48" t="inlineStr">
        <is>
          <t>3000-6-1</t>
        </is>
      </c>
      <c r="E29" s="49" t="inlineStr">
        <is>
          <t>교통신호기 지주 건주 및 제어반 결선</t>
        </is>
      </c>
      <c r="F29" s="49" t="inlineStr">
        <is>
          <t>● 경찰청 표준규격 교통신호제어기 규정 준수(LSU, Flash-EXT, PPC 등)</t>
        </is>
      </c>
      <c r="G29" s="49" t="inlineStr">
        <is>
          <t>[작업 절차]
1. 사전 준비 단계:
   - 설계 도서 및 시방 기준을 분석하여 교통신호기 지주 건주 및 제어반 결선 작업을 위한 현장 실측 및 경계 측량을 수행함.
2. 본 시공 단계:
   - 신호 지주 기초 앵커 매립 및 콘크리트 강도 확인 작업을 표준 시공 절차에 준하여 시행하며, 실시간 수평도 및 치수 공차를 관리함.
3. 검사 및 마감 단계:
   - 통신·전원 케이블 입선 및 단자대 압착 터미널 시공 시험 및 품질 검사를 실측하고 기준값 만족 여부를 기록함. 트램 제어 인터페이스 카드 제어기 내 장착 작업을 거쳐 노면 정리 및 안전 조치를 완료함.
[주의사항 (하자이력 연계)]
수동 결선 오류로 트램 접근 시 교차로 신호 황색 등화 미표시, 일반차량 충돌</t>
        </is>
      </c>
      <c r="H29" s="49" t="inlineStr">
        <is>
          <t>□ 지주 수직도 및 기초 콘크리트 지내력 확인
□ 케이블 단자 압착 불량 및 절연 피복 손상 유무
□ 경찰서 교통신호 통제기 프로토콜 연동 통신 확인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기존 차선 수 유지가 가능한 단계별 가시설(Staging) 계획인가?</t>
        </is>
      </c>
      <c r="I29" s="49" t="inlineStr">
        <is>
          <t>토목/노반</t>
        </is>
      </c>
      <c r="J29" s="50" t="inlineStr">
        <is>
          <t>● 관련분야 설계기준서 준수</t>
        </is>
      </c>
      <c r="K29" s="50" t="inlineStr">
        <is>
          <t>● 수동 결선 오류로 트램 접근 시 교차로 신호 황색 등화 미표시, 일반차량 충돌 리스크를 검토하였는가?</t>
        </is>
      </c>
      <c r="L29" s="50" t="inlineStr">
        <is>
          <t>● 협력사 자문 내용 없음 또는 해당사항 없음</t>
        </is>
      </c>
    </row>
    <row r="30" ht="139.95" customHeight="1">
      <c r="A30" s="45" t="inlineStr">
        <is>
          <t>3000</t>
        </is>
      </c>
      <c r="B30" s="45" t="inlineStr">
        <is>
          <t>3000-6</t>
        </is>
      </c>
      <c r="C30" s="46" t="inlineStr">
        <is>
          <t>교차로 신호·표지판 설치 및 도로 마감 공사</t>
        </is>
      </c>
      <c r="D30" s="45" t="inlineStr">
        <is>
          <t>3000-6-2</t>
        </is>
      </c>
      <c r="E30" s="46" t="inlineStr">
        <is>
          <t>도로 표지판 설치 및 트램 전용선 노면 도색</t>
        </is>
      </c>
      <c r="F30" s="46" t="inlineStr">
        <is>
          <t>● 도로표지 제작·설치 지침 및 노면 표시 표준 시방서
● 융착식 차선 도색 두께(최소 1.5mm), 야간 반사 성능 기준(백색 250, 황색 150)</t>
        </is>
      </c>
      <c r="G30" s="46" t="inlineStr">
        <is>
          <t>[작업 절차]
1. 사전 준비 단계:
   - 설계 도서 및 시방 기준을 분석하여 도로 표지판 설치 및 트램 전용선 노면 도색 작업을 위한 현장 실측 및 경계 측량을 수행함.
2. 본 시공 단계:
   - 고휘도 반사 시트 표지판 수직 설치 및 고정 밴드 확인 작업을 표준 시공 절차에 준하여 시행하며, 실시간 수평도 및 치수 공차를 관리함.
3. 검사 및 마감 단계:
   - 노면 청소 후 융착식 차선 도색기 세팅 시험 및 품질 검사를 실측하고 기준값 만족 여부를 기록함. 도색 직후 유리알(Glass Beads) 살포량 및 야간 반사 성능 실측 작업을 거쳐 노면 정리 및 안전 조치를 완료함.
[주의사항 (하자이력 연계)]
차로 도색 두께 부족으로 시공 1개월 만에 페인트 지워짐 발생 및 야간 식별 불가</t>
        </is>
      </c>
      <c r="H30" s="46" t="inlineStr">
        <is>
          <t>□ 표지판 이격거리 및 통과 높이 적정성
□ 융착식 도색 두께(최소 1.5mm) 및 유리알 살포 균일도
□ 야간 휘도 측정기 기준(백색 250, 황색 150) 만족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기존 차선 수 유지가 가능한 단계별 가시설(Staging) 계획인가?</t>
        </is>
      </c>
      <c r="I30" s="46" t="inlineStr">
        <is>
          <t>토목/노반</t>
        </is>
      </c>
      <c r="J30" s="47" t="inlineStr">
        <is>
          <t>● 관련분야 설계기준서 준수</t>
        </is>
      </c>
      <c r="K30" s="47" t="inlineStr">
        <is>
          <t>● 차로 도색 두께 부족으로 시공 1개월 만에 페인트 지워짐 발생 및 야간 식별 불가 리스크를 검토하였는가?</t>
        </is>
      </c>
      <c r="L30" s="47" t="inlineStr">
        <is>
          <t>● 협력사 자문 내용 없음 또는 해당사항 없음</t>
        </is>
      </c>
    </row>
    <row r="31" ht="139.95" customHeight="1">
      <c r="A31" s="48" t="inlineStr">
        <is>
          <t>3000</t>
        </is>
      </c>
      <c r="B31" s="48" t="inlineStr">
        <is>
          <t>3000-6</t>
        </is>
      </c>
      <c r="C31" s="49" t="inlineStr">
        <is>
          <t>교차로 신호·표지판 설치 및 도로 마감 공사</t>
        </is>
      </c>
      <c r="D31" s="48" t="inlineStr">
        <is>
          <t>3000-6-3</t>
        </is>
      </c>
      <c r="E31" s="49" t="inlineStr">
        <is>
          <t>트램 우선신호 검지기(Loop Coil 등) 매설 시험</t>
        </is>
      </c>
      <c r="F31" s="49" t="inlineStr">
        <is>
          <t>● ITS 사업 시방서(루프검지기 부설공)
● 코일 매설 슬롯 컷팅(폭 10mm, 깊이 50mm), 루프선 절연저항 10MΩ 이상</t>
        </is>
      </c>
      <c r="G31" s="49" t="inlineStr">
        <is>
          <t>[작업 절차]
1. 사전 준비 단계:
   - 설계 도서 및 시방 기준을 분석하여 트램 우선신호 검지기(Loop Coil 등) 매설 시험 작업을 위한 현장 실측 및 경계 측량을 수행함.
2. 본 시공 단계:
   - 아스팔트 포장면 정밀 슬롯 컷팅(폭 10mm, 깊이 50mm) 작업을 표준 시공 절차에 준하여 시행하며, 실시간 수평도 및 치수 공차를 관리함.
3. 검사 및 마감 단계:
   - 루프선(4회 이상 권선) 삽입 후 절연저항(10MΩ 이상) 측정 시험 및 품질 검사를 실측하고 기준값 만족 여부를 기록함. 에폭시 코킹재 주입 마감 및 트램 차량 통과 실시간 검지 테스트 작업을 거쳐 노면 정리 및 안전 조치를 완료함.
[주의사항 (하자이력 연계)]
루프 코일 몰탈 충진부 박리로 아스팔트 균열 및 단선 발생, 트램 감지 불능</t>
        </is>
      </c>
      <c r="H31" s="49" t="inlineStr">
        <is>
          <t>□ 코일 슬롯 컷팅 깊이 및 모서리 모따기 처리 여부
□ 코킹재 충진 상태 및 포장 노면과의 단차 유무
□ 통과 차량 감지 신호 검지기반 수신 확인
[집행단계 리스크 체크사항 (LLBS 연계)]
□ 특수교량(FCM 등)의 주요 구조부 설계 적정성을 착공 전 검증했는가?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t>
        </is>
      </c>
      <c r="I31" s="49" t="inlineStr">
        <is>
          <t>토목/노반</t>
        </is>
      </c>
      <c r="J31" s="50" t="inlineStr">
        <is>
          <t>● 관련분야 설계기준서 준수</t>
        </is>
      </c>
      <c r="K31" s="50" t="inlineStr">
        <is>
          <t>● 에폭시 충진재 내부 공극 발생으로 노면수 침투, 동절기 동결 팽창으로 루프 검지선 단선 리스크를 검토하였는가?</t>
        </is>
      </c>
      <c r="L31" s="50" t="inlineStr">
        <is>
          <t>● 협력사 자문 내용 없음 또는 해당사항 없음</t>
        </is>
      </c>
    </row>
    <row r="32" ht="22.05" customHeight="1">
      <c r="A32" s="43" t="inlineStr">
        <is>
          <t>5000  본선 궤도공사 (Mainline Trackworks)</t>
        </is>
      </c>
      <c r="B32" s="51" t="n"/>
      <c r="C32" s="51" t="n"/>
      <c r="D32" s="51" t="n"/>
      <c r="E32" s="51" t="n"/>
      <c r="F32" s="51" t="n"/>
      <c r="G32" s="51" t="n"/>
      <c r="H32" s="51" t="n"/>
      <c r="I32" s="51" t="n"/>
      <c r="J32" s="51" t="n"/>
      <c r="K32" s="51" t="n"/>
      <c r="L32" s="52" t="n"/>
    </row>
    <row r="33" ht="139.95" customHeight="1">
      <c r="A33" s="45" t="inlineStr">
        <is>
          <t>5000</t>
        </is>
      </c>
      <c r="B33" s="45" t="inlineStr">
        <is>
          <t>5000-1</t>
        </is>
      </c>
      <c r="C33" s="46" t="inlineStr">
        <is>
          <t>궤도 구간 지장물 조사 및 인허가 협의</t>
        </is>
      </c>
      <c r="D33" s="45" t="inlineStr">
        <is>
          <t>5000-1-1</t>
        </is>
      </c>
      <c r="E33" s="46" t="inlineStr">
        <is>
          <t>궤도 선형 하부 지하 지장물 GPR 정밀 탐지</t>
        </is>
      </c>
      <c r="F33" s="46" t="inlineStr">
        <is>
          <t>● 지하안전관리에 관한 특별법(지하매설물 정밀 안전성 평가 지침)</t>
        </is>
      </c>
      <c r="G33" s="46" t="inlineStr">
        <is>
          <t>[작업 절차]
1. 사전 준비 단계:
   - 설계 도서 및 시방 기준을 분석하여 궤도 선형 하부 지하 지장물 GPR 정밀 탐지 작업을 위한 현장 실측 및 경계 측량을 수행함.
2. 본 시공 단계:
   - 궤도 중심선 좌우 2.5m 폭 범위 GPR 스캔 주행 작업을 표준 시공 절차에 준하여 시행하며, 실시간 수평도 및 치수 공차를 관리함.
3. 검사 및 마감 단계:
   - 지하 레이더 이미지상 이상 반사체 깊이 측정 시험 및 품질 검사를 실측하고 기준값 만족 여부를 기록함. 1m 간격 격자망 기반 매설물 탐지 맵 도면화 작업을 거쳐 노면 정리 및 안전 조치를 완료함.
[주의사항 (하자이력 연계)]
본선 궤도 굴착 중 폐쇄된 것으로 오인한 구 상선 전력관 접촉 사고</t>
        </is>
      </c>
      <c r="H33" s="46" t="inlineStr">
        <is>
          <t>□ GPR 탐사 주행 속도 규정(5km/h 이하) 준수 여부
□ 매설물 위치 표시 스프레이 마킹 상태
□ 맨홀 내부 실사 및 관리대장 상의 이격 거리 검증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자재 발주 전 도면상 명기된 배수 관련 부속 자재가 내역에 있는지 전수 조사했는가?
□ 접속부 시공 전 배수판/동판 설치 상세를 작업자에게 교육했는가?</t>
        </is>
      </c>
      <c r="I33" s="46" t="inlineStr">
        <is>
          <t>토목/행정</t>
        </is>
      </c>
      <c r="J33" s="47" t="inlineStr">
        <is>
          <t>● 관련분야 설계기준서 준수</t>
        </is>
      </c>
      <c r="K33" s="47" t="inlineStr">
        <is>
          <t>● 지중 레이더(GPR) 탐사 생략으로 도로 하부 동공 미발견, 굴착 중 도로 함몰 사고 리스크를 검토하였는가?</t>
        </is>
      </c>
      <c r="L33" s="47" t="inlineStr">
        <is>
          <t>● 협력사 자문 내용 없음 또는 해당사항 없음</t>
        </is>
      </c>
    </row>
    <row r="34" ht="139.95" customHeight="1">
      <c r="A34" s="48" t="inlineStr">
        <is>
          <t>5000</t>
        </is>
      </c>
      <c r="B34" s="48" t="inlineStr">
        <is>
          <t>5000-2</t>
        </is>
      </c>
      <c r="C34" s="49" t="inlineStr">
        <is>
          <t>궤도 구간 지장물 이설 공사</t>
        </is>
      </c>
      <c r="D34" s="48" t="inlineStr">
        <is>
          <t>5000-2-1</t>
        </is>
      </c>
      <c r="E34" s="49" t="inlineStr">
        <is>
          <t>궤도 선형 간섭 상수도/전력관 우회 이설</t>
        </is>
      </c>
      <c r="F34" s="49" t="inlineStr">
        <is>
          <t>● KCS 11 10 10 (지장물 이설공사 일반기준)
● 되메우기 재료 층별 포설 및 다짐도 95% 이상 검측</t>
        </is>
      </c>
      <c r="G34" s="49" t="inlineStr">
        <is>
          <t>[작업 절차]
1. 사전 준비 단계:
   - 설계 도서 및 시방 기준을 분석하여 궤도 선형 간섭 상수도/전력관 우회 이설 작업을 위한 현장 실측 및 경계 측량을 수행함.
2. 본 시공 단계:
   - 이설 신설 관로 터파기 및 경사도 레벨 측정 작업을 표준 시공 절차에 준하여 시행하며, 실시간 수평도 및 치수 공차를 관리함.
3. 검사 및 마감 단계:
   - 기계식 접합부 토크 체결 및 용접부 비파괴 검사(RT/UT) 시험 및 품질 검사를 실측하고 기준값 만족 여부를 기록함. 관로 보호용 경고 테이프 매설(관 상부 30cm 지점) 작업을 거쳐 노면 정리 및 안전 조치를 완료함.
[주의사항 (하자이력 연계)]
이설 배수관 접합부 플랜지 볼트 조임 부족으로 매설 후 미세 누수 지반 완화</t>
        </is>
      </c>
      <c r="H34" s="49" t="inlineStr">
        <is>
          <t>□ 관로 경사도(배수 자연유하 구배) 설계 만족 여부
□ 기밀시험 또는 누수시험 보고서 승인 여부
□ 이설 관로 되메우기 다짐도(95% 이상) 검측
[집행단계 리스크 체크사항 (LLBS 연계)]
□ 도심지 협소 구간 작업 시 대형 장비 진입 불가에 따른 소형 장비 할증이 반영되었는가?
□ 교량 시공용 대형 크레인(200ton 이상)의 아웃트리거 전개 폭을 고려하여 가교 폭이나 작업대(Staging)가 반영되었는가?
□ 하부 도로/구조물이 상부 시공 하중(크레인+거더)을 견딜 수 있는가?
□ 벤트 위치가 하부 교통 흐름이나 구조물과 간섭되지 않는가?</t>
        </is>
      </c>
      <c r="I34" s="49" t="inlineStr">
        <is>
          <t>토목/기계</t>
        </is>
      </c>
      <c r="J34" s="50" t="inlineStr">
        <is>
          <t>● 관련분야 설계기준서 준수</t>
        </is>
      </c>
      <c r="K34" s="50" t="inlineStr">
        <is>
          <t>● 지장물 우회 이설 후 되메우기 다짐 부족으로 준공 후 도로 침하 및 크랙 발생 리스크를 검토하였는가?</t>
        </is>
      </c>
      <c r="L34" s="50" t="inlineStr">
        <is>
          <t>● 협력사 자문 내용 없음 또는 해당사항 없음</t>
        </is>
      </c>
    </row>
    <row r="35" ht="139.95" customHeight="1">
      <c r="A35" s="45" t="inlineStr">
        <is>
          <t>5000</t>
        </is>
      </c>
      <c r="B35" s="45" t="inlineStr">
        <is>
          <t>5000-3</t>
        </is>
      </c>
      <c r="C35" s="46" t="inlineStr">
        <is>
          <t>궤도 구간 이설 불가 지장물 방호·보강 공사</t>
        </is>
      </c>
      <c r="D35" s="45" t="inlineStr">
        <is>
          <t>5000-3-1</t>
        </is>
      </c>
      <c r="E35" s="46" t="inlineStr">
        <is>
          <t>이설 불가 지장물용 철근콘크리트 보호 슬래브 시공</t>
        </is>
      </c>
      <c r="F35" s="46" t="inlineStr">
        <is>
          <t>● KCS 14 20 10 (콘크리트 일반시방서)
● 보호용 철근 콘크리트 슬래브 설계 강도(24 MPa 이상) 확보</t>
        </is>
      </c>
      <c r="G35" s="46" t="inlineStr">
        <is>
          <t>[작업 절차]
1. 사전 준비 단계:
   - 설계 도서 및 시방 기준을 분석하여 이설 불가 지장물용 철근콘크리트 보호 슬래브 시공 작업을 위한 현장 실측 및 경계 측량을 수행함.
2. 본 시공 단계:
   - 지장물 직상부 완충재(스티로폼 100mm) 포설 작업을 표준 시공 절차에 준하여 시행하며, 실시간 수평도 및 치수 공차를 관리함.
3. 검사 및 마감 단계:
   - 이중 철근 배근(D16@150) 및 피복 두께(80mm) 스페이서 거치 시험 및 품질 검사를 실측하고 기준값 만족 여부를 기록함. 고강도 콘크리트(24MPa 이상) 타설 및 습윤 양생 작업을 거쳐 노면 정리 및 안전 조치를 완료함.
[주의사항 (하자이력 연계)]
보호 슬래브 기초 지지력 부족으로 하중 집중 시 가스관에 하중 전가되어 밸브 파손</t>
        </is>
      </c>
      <c r="H35" s="46" t="inlineStr">
        <is>
          <t>□ 완충재 밀착 상태 및 철근 배근 간격 일치 여부
□ 콘크리트 피복 두께 및 거푸집 견고성 확인
□ 콘크리트 타설 시 진동 다짐(바이브레이터) 밀도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흙막이 앵커가 인접 사유지를 침범하는지 지적도와 대조하고, 침범 시 보상비 또는 제거식 앵커 비용을 반영했는가?
□ 시종점 및 작업구 위치 하부의 지장물(송전선, 가스관) 매설 현황을 지장물도와 대조했는가?</t>
        </is>
      </c>
      <c r="I35" s="46" t="inlineStr">
        <is>
          <t>토목</t>
        </is>
      </c>
      <c r="J35" s="47" t="inlineStr">
        <is>
          <t>● 관련분야 설계기준서 준수</t>
        </is>
      </c>
      <c r="K35" s="47" t="inlineStr">
        <is>
          <t>● 보호 콘크리트 슬래브 두께 미달 및 철근 배근 불량으로 트램 상부 통과 하중 작용 시 파손 리스크를 검토하였는가?</t>
        </is>
      </c>
      <c r="L35" s="47" t="inlineStr">
        <is>
          <t>● 협력사 자문 내용 없음 또는 해당사항 없음</t>
        </is>
      </c>
    </row>
    <row r="36" ht="139.95" customHeight="1">
      <c r="A36" s="48" t="inlineStr">
        <is>
          <t>5000</t>
        </is>
      </c>
      <c r="B36" s="48" t="inlineStr">
        <is>
          <t>5000-4</t>
        </is>
      </c>
      <c r="C36" s="49" t="inlineStr">
        <is>
          <t>본선 궤도 구간 토공 굴착 및 노상 정리</t>
        </is>
      </c>
      <c r="D36" s="48" t="inlineStr">
        <is>
          <t>5000-4-1</t>
        </is>
      </c>
      <c r="E36" s="49" t="inlineStr">
        <is>
          <t>궤도 하부 구조물 정밀 굴착 및 레벨 고르기</t>
        </is>
      </c>
      <c r="F36" s="49" t="inlineStr">
        <is>
          <t>● KCS 11 20 15 (토공사 굴착 표준시방서)
● 백호우 정밀 굴착 높이 설계 계획고 오차 ±10mm 이내 관리</t>
        </is>
      </c>
      <c r="G36" s="49" t="inlineStr">
        <is>
          <t>[작업 절차]
1. 사전 준비 단계:
   - 설계 도서 및 시방 기준을 분석하여 궤도 하부 구조물 정밀 굴착 및 레벨 고르기 작업을 위한 현장 실측 및 경계 측량을 수행함.
2. 본 시공 단계:
   - GPS 장착 백호우 레벨 유도 굴착 작업을 표준 시공 절차에 준하여 시행하며, 실시간 수평도 및 치수 공차를 관리함.
3. 검사 및 마감 단계:
   - 과굴착부 무수축 콘크리트(또는 소일시멘트) 보정 시험 및 품질 검사를 실측하고 기준값 만족 여부를 기록함. 인력 요철 다듬기 및 콤팩터 노면 다짐 작업을 거쳐 노면 정리 및 안전 조치를 완료함.
[주의사항 (하자이력 연계)]
과굴착 구간 양질의 토사 되메우기 생략으로 하중 작용 시 불균일 침하</t>
        </is>
      </c>
      <c r="H36" s="49" t="inlineStr">
        <is>
          <t>□ 설계 계획고 대비 굴착 심도 오차(±10mm 이내)
□ 과굴착부 양질의 토사 또는 콘크리트 채움 여부
□ 바닥 평탄도 및 배수 유도 종단 경사 확인
[집행단계 리스크 체크사항 (LLBS 연계)]
□ 자재 발주 전 도면상 명기된 배수 관련 부속 자재가 내역에 있는지 전수 조사했는가?
□ 접속부 시공 전 배수판/동판 설치 상세를 작업자에게 교육했는가?
□ 가설 구조물 철거 시 발생할 폐기물 물량을 예측하여 예산에 반영했는가?
□ 준공 정산 시 누락되기 쉬운 철거 비용을 미리 확보했는가?</t>
        </is>
      </c>
      <c r="I36" s="49" t="inlineStr">
        <is>
          <t>토목</t>
        </is>
      </c>
      <c r="J36" s="50" t="inlineStr">
        <is>
          <t>● 관련분야 설계기준서 준수</t>
        </is>
      </c>
      <c r="K36" s="50" t="inlineStr">
        <is>
          <t>● 종단 경사 오차로 계획고보다 낮게 굴착하여 궤도 기초 콘크리트 물량 과다 유입 및 단차 리스크를 검토하였는가?</t>
        </is>
      </c>
      <c r="L36" s="50" t="inlineStr">
        <is>
          <t>● 협력사 자문 내용 없음 또는 해당사항 없음</t>
        </is>
      </c>
    </row>
    <row r="37" ht="139.95" customHeight="1">
      <c r="A37" s="45" t="inlineStr">
        <is>
          <t>5000</t>
        </is>
      </c>
      <c r="B37" s="45" t="inlineStr">
        <is>
          <t>5000-5</t>
        </is>
      </c>
      <c r="C37" s="46" t="inlineStr">
        <is>
          <t>본선 노반(H=200mm) 다짐</t>
        </is>
      </c>
      <c r="D37" s="45" t="inlineStr">
        <is>
          <t>5000-5-1</t>
        </is>
      </c>
      <c r="E37" s="46" t="inlineStr">
        <is>
          <t>노반 층다짐 및 진동 롤러 전압 시공</t>
        </is>
      </c>
      <c r="F37" s="46" t="inlineStr">
        <is>
          <t>● KCS 11 20 20 (도로 다짐 및 다짐도 검사)
● 10톤 진동 롤러 층다짐 두께 200mm 단위 포설 및 다짐도 98% 이상 확보</t>
        </is>
      </c>
      <c r="G37" s="46" t="inlineStr">
        <is>
          <t>[상세 작업 절차 - 정밀 관리]
1. 노상 기초 지반 검사 및 청소:
   - 노반 다짐 대상지의 잡석 및 유기물을 제거하고, 지반 침하 우려가 있는 연약 지반 구간은 모래 치환 또는 석회 혼합 공법을 선행하여 정리함.
2. 다짐 토사 포설 및 함수비 조절:
   - 양질의 토사를 모터 그레이더를 사용하여 포설하되, 1회 다짐 후 두께가 200mm 이내(포설 두께 약 250mm)가 되도록 두께 게이지로 관리함. 현장 함수비 측정을 통해 최적 함수비(OMC ±2% 범위)를 유지하기 위해 살수 또는 건조 작업을 시행함.
3. 10톤 진동 롤러 중첩 다짐:
   - 10톤 이상급 탠덤 진동 롤러를 투입하여 중심선에서 외곽 방향으로 전압함. 롤러 주행 속도를 3~4 km/h로 제한하고, 차륜 중첩 폭(최소 50cm 이상)을 유지하며 왕복 6회 이상 전압을 실시함.
4. 현장 들밀도 및 다짐도 실측:
   - 다짐 완료 노면에서 모래치환법(KS F 2311) 들밀도 시험을 실시하여 현장 건조밀도를 측정하고, 다짐도 기준치(98% 이상) 만족 여부를 판별함.
5. 횡단 구배(2%) 정리 및 우수 유입 방지:
   - 노반 횡단 구배(2%)를 확보하여 표면 배수를 유도하고, 다짐면 상부에 가설 비닐시트를 포설하여 우천 시 다짐층 연화 및 유실을 헷지함.
[주의사항 (하자이력 연계)]
함수비 조절 실패로 진동 다짐 시 스펀징(지반 꿀렁임) 현상 방치, 지내력 저하</t>
        </is>
      </c>
      <c r="H37" s="46" t="inlineStr">
        <is>
          <t>□ 층다짐 두께(200mm) 준수 및 최적함수비 유지 상태
□ 진동 롤러 왕복 횟수 및 겹침 폭(50cm 이상) 준수
□ 들밀도시험 성적서 상 다짐도(98% 이상) 만족
[집행단계 리스크 체크사항 (LLBS 연계)]
□ 특수교량(FCM 등)의 주요 구조부 설계 적정성을 착공 전 검증했는가?
□ 관급자재 수급 불안정 시 사급 전환 가능성 및 비용 차이를 검토했는가?
□ 케이블/행어 로프의 와류진동(Vortex Shedding) 검토가 수행되었는가?
□ 제진 장치(Damper) 설치가 내역에 포함되거나 유보금으로 잡혀있는가?</t>
        </is>
      </c>
      <c r="I37" s="46" t="inlineStr">
        <is>
          <t>토목/노반</t>
        </is>
      </c>
      <c r="J37" s="47" t="inlineStr">
        <is>
          <t>● 관련분야 설계기준서 준수</t>
        </is>
      </c>
      <c r="K37" s="47" t="inlineStr">
        <is>
          <t>● 다짐 장비 운용 횟수 부족으로 지반 변형률 기준 미달, 주행 시 선로 침하 리스크를 검토하였는가?</t>
        </is>
      </c>
      <c r="L37" s="47" t="inlineStr">
        <is>
          <t>● 협력사 자문 내용 없음 또는 해당사항 없음</t>
        </is>
      </c>
    </row>
    <row r="38" ht="139.95" customHeight="1">
      <c r="A38" s="48" t="inlineStr">
        <is>
          <t>5000</t>
        </is>
      </c>
      <c r="B38" s="48" t="inlineStr">
        <is>
          <t>5000-5</t>
        </is>
      </c>
      <c r="C38" s="49" t="inlineStr">
        <is>
          <t>본선 노반(H=200mm) 다짐</t>
        </is>
      </c>
      <c r="D38" s="48" t="inlineStr">
        <is>
          <t>5000-5-2</t>
        </is>
      </c>
      <c r="E38" s="49" t="inlineStr">
        <is>
          <t>토공 노반 품질 검증 및 인수 (토목➔궤도 인계)</t>
        </is>
      </c>
      <c r="F38" s="49" t="inlineStr">
        <is>
          <t>● KDS 11 50 15 (얕은기초 설계기준)
● Ev2 ≥ 80 MPa, Ev2/Ev1 비율 2.3 이하 만족</t>
        </is>
      </c>
      <c r="G38" s="49" t="inlineStr">
        <is>
          <t>[작업 절차]
1. 사전 준비 단계:
   - 설계 도서 및 시방 기준을 분석하여 토공 노반 품질 검증 및 인수 (토목➔궤도 인계) 작업을 위한 현장 실측 및 경계 측량을 수행함.
2. 본 시공 단계:
   - 강화노반(쇄석 200mm) 다짐 상태에서 평판재하시험(PBT)을 수행하여 지지력 및 노반변형계수(Ev2) 적합성 검증 작업을 표준 시공 절차에 준하여 시행하며, 실시간 수평도 및 치수 공차를 관리함.
3. 검사 및 마감 단계:
   - 노반면 하부 횡단배수로 동결심도 이하 매설 확인 및 상면 돌출 수직 배수관 높이 사전 마킹 시험 및 품질 검사를 실측하고 기준값 만족 여부를 기록함. 토목 측으로부터 노반 인수 전 3D 토탈스테이션 정밀 측량을 통한 종횡단 기울기 및 중심선형 확인 (전시/후시각 00°-00'-08" 이내) 작업을 거쳐 노면 정리 및 안전 조치를 완료함.
[주의사항 (하자이력 연계)]
종평면 종단 구배 한계값 미충족 도면을 거르지 못하여 궤도 재설계 발생</t>
        </is>
      </c>
      <c r="H38" s="49" t="inlineStr">
        <is>
          <t>□ 평판재하시험 Ev2 계수 및 Ev2/Ev1 비 설계값 만족 여부
□ 수직 배수 파이프 상면 돌출 높이 및 마킹 일치 상태
□ 종횡단 구배 및 중심선형 오차 허용 범위 이내 도달 여부
[집행단계 리스크 체크사항 (LLBS 연계)]
□ 절토 구간의 암반 등급(토사/리핑/발파) 분류 기준이 지반 조사 데이터에 근거했는가?
□ 산악지/계곡부의 경우 전석(Boulder)층 출현 가능성을 고려하여 할증을 반영했는가?
□ 철도보호지구 등 특수 구간 공사 시 유관기관이 요구하는 안전점검 비용이 별도로 계상되었는가?</t>
        </is>
      </c>
      <c r="I38" s="49" t="inlineStr">
        <is>
          <t>토목/노반</t>
        </is>
      </c>
      <c r="J38" s="50" t="inlineStr">
        <is>
          <t>● [토질기초] 콘크리트 궤도 하부 허용 잔류침하량: 30.0mm 이하 (성토체 및 궤도구조 25mm, 열차하중 침하 5mm 합산)
● [토질기초] 흙쌓기 속도 기준: 점토층 두터운 이탄질 3.0cm/day, 보통 점토질 5.0cm/day, 얇은 점토층 10.0cm/day 이하</t>
        </is>
      </c>
      <c r="K38" s="50" t="inlineStr">
        <is>
          <t>● 함수비 조율 실패로 강화 노반 다짐도 불량, 궤도 콘크리트 슬래브 균열 전이 리스크를 검토하였는가?</t>
        </is>
      </c>
      <c r="L38" s="50" t="inlineStr">
        <is>
          <t>● 협력사 자문 내용 없음 또는 해당사항 없음</t>
        </is>
      </c>
    </row>
    <row r="39" ht="139.95" customHeight="1">
      <c r="A39" s="45" t="inlineStr">
        <is>
          <t>5000</t>
        </is>
      </c>
      <c r="B39" s="45" t="inlineStr">
        <is>
          <t>5000-6</t>
        </is>
      </c>
      <c r="C39" s="46" t="inlineStr">
        <is>
          <t>본선 궤도/노반 매설물 및 기초층 설치</t>
        </is>
      </c>
      <c r="D39" s="45" t="inlineStr">
        <is>
          <t>5000-6-1</t>
        </is>
      </c>
      <c r="E39" s="46" t="inlineStr">
        <is>
          <t>도상안정층(HSB) 시공 및 유도줄눈 설치</t>
        </is>
      </c>
      <c r="F39" s="46" t="inlineStr">
        <is>
          <t>● KCS 14 20 10 (콘크리트 일반시방서)
● fck=18MPa HSB 콘크리트 두께 100mm 확보, 유도줄눈 매 5m 간격 설치</t>
        </is>
      </c>
      <c r="G39" s="46" t="inlineStr">
        <is>
          <t>[작업 절차]
1. 사전 준비 단계:
   - 설계 도서 및 시방 기준을 분석하여 도상안정층(HSB) 시공 및 유도줄눈 설치 작업을 위한 현장 실측 및 경계 측량을 수행함.
2. 본 시공 단계:
   - 강화노반 청소 후 버림 콘크리트를 타설하며, 상부 도상 콘크리트 접합력 증대를 위해 기계식 솔 또는 레이크를 통한 거칠기 시공(Roughness) 실시 작업을 표준 시공 절차에 준하여 시행하며, 실시간 수평도 및 치수 공차를 관리함.
3. 검사 및 마감 단계:
   - 두께 100mm 내외의 도상안정층(HSB) 콘크리트 타설 및 균일 수평 마감 시험 및 품질 검사를 실측하고 기준값 만족 여부를 기록함. 건조수축 균열 방지를 위해 타설 완료 후 매 5m 간격으로 깊이 30mm 이상의 균열유도줄눈을 컷팅 설치 작업을 거쳐 노면 정리 및 안전 조치를 완료함.
[주의사항 (하자이력 연계)]
무근 HSB 층에 균열 유도줄눈 설치 누락 시 불규칙 수축 균열이 상부 TCL층으로 전이 발생</t>
        </is>
      </c>
      <c r="H39" s="46" t="inlineStr">
        <is>
          <t>□ 버림 콘크리트 상면 표면 거칠기 가공 상태
□ HSB 두께(100mm) 및 콘크리트 설계 강도 만족 여부
□ 균열유도줄눈 간격(5m) 및 컷팅 깊이 적정 여부
[집행단계 리스크 체크사항 (LLBS 연계)]
□ 교량 시공용 대형 크레인(200ton 이상)의 아웃트리거 전개 폭을 고려하여 가교 폭이나 작업대(Staging)가 반영되었는가?
□ 흙막이 가시설과 본 구조물 사이에 거푸집 설치 및 작업자 이동 공간(최소 1m 이상)이 확보되었는가?
□ 특수 교각(Y형, V형) 시공 시 상부 하중을 지지할 가설 벤트가 내역에 있는가?
□ 벤트 기초의 지지력 검토가 수행되었는가?</t>
        </is>
      </c>
      <c r="I39" s="46" t="inlineStr">
        <is>
          <t>토목</t>
        </is>
      </c>
      <c r="J39" s="47" t="inlineStr">
        <is>
          <t>● 관련분야 설계기준서 준수</t>
        </is>
      </c>
      <c r="K39" s="47" t="inlineStr">
        <is>
          <t>● 무근 콘크리트 타설 시 수평도 오차로 궤도 블록 거치 시 하부 충전재 두께 불균일 리스크를 검토하였는가?</t>
        </is>
      </c>
      <c r="L39" s="47" t="inlineStr">
        <is>
          <t>● [HSB유도줄눈] 보조도상 콘크리트(HSB) 층 매립 시 건조 수축 균열이 상부 도상 콘크리트로 전이되는 것을 막기 위해 매 5m 간격 균열유도줄눈을 반드시 반영할 것</t>
        </is>
      </c>
    </row>
    <row r="40" ht="139.95" customHeight="1">
      <c r="A40" s="48" t="inlineStr">
        <is>
          <t>5000</t>
        </is>
      </c>
      <c r="B40" s="48" t="inlineStr">
        <is>
          <t>5000-7</t>
        </is>
      </c>
      <c r="C40" s="49" t="inlineStr">
        <is>
          <t>홈레일(Grooved Rail) 부설 및 검수</t>
        </is>
      </c>
      <c r="D40" s="48" t="inlineStr">
        <is>
          <t>5000-7-1</t>
        </is>
      </c>
      <c r="E40" s="49" t="inlineStr">
        <is>
          <t>반-PC 슬래브 배열 설치 및 스핀들 1차 정렬</t>
        </is>
      </c>
      <c r="F40" s="49" t="inlineStr">
        <is>
          <t>● KCS 14 20 53 (프리캐스트 콘크리트)
● 반-PC 슬래브 판넬 규격 오차 관리 및 거치 레벨 ±5mm 이내</t>
        </is>
      </c>
      <c r="G40" s="49" t="inlineStr">
        <is>
          <t>[상세 작업 절차 - 정밀 관리]
1. HSB 기초 콘크리트면 정밀 측량:
   - 하부 도상 안정층(HSB) 콘크리트면의 중심선 및 높이를 광파기로 측정하여 궤도 중심선 가이드 라인을 노면에 스프레이 마킹함.
2. 반-PC 슬래브 크레인 배열 안착:
   - 공장에서 사전 제작된 반-PC 슬래브 블록(중량 약 5톤)을 현장으로 반입하여 검수하고, 25톤 크레인을 사용하여 마킹된 중심선 가이드를 따라 10mm 오차 이내로 순차 배열 안착시킴.
3. 조인트 고무 댐퍼 및 연결재 삽입:
   - PC 슬래브 블록 간 접합 조인트에 신축 거동 흡수용 탄성 고무 댐퍼를 삽입하고, 강결용 철근 다웰바를 슬래브 홀에 밀입함.
4. 레일 거치 및 스핀들 장치 세팅:
   - 배열된 슬래브 상부 요철부에 그루브 레일을 거치하고, 정밀 조정용 스핀들(Spindle) 지그 장치를 레일 양측 및 하부에 체결함.
5. 수평 및 궤간 1차 러프 정렬:
   - 스핀들 볼트를 조정하여 레일의 높이를 대략적으로 맞추고, 궤간 측정 게이지(Gauge)를 활용하여 궤간 오차를 ±5mm 이내로 1차 정렬하여 임시 고정함.
[주의사항 (하자이력 연계)]
슬래브 인양 시 와이어 각도 불량으로 모서리 파손 및 야적 시 수평 지반 관리 부실로 인한 판넬 뒤틀림 변형 발생</t>
        </is>
      </c>
      <c r="H40" s="49" t="inlineStr">
        <is>
          <t>□ 반-PC 슬래브 거치 중심선 및 종단 레벨 오차 범위 확인
□ 스핀들 조정 장치 나사산 손상 유무 및 작동 상태
□ 슬래브 조인트부 틈새 규격 및 배열 수평도 상태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Steel Box 내부 제습 설비 가동 전 부식 방지를 위한 임시 도장(Shop Primer)이 반영되었는가?
□ 강교 인양용 러그(Lug) 상세가 실제 투입될 크레인 및 와이어 각도와 호환되는가?</t>
        </is>
      </c>
      <c r="I40" s="49" t="inlineStr">
        <is>
          <t>토목</t>
        </is>
      </c>
      <c r="J40" s="50" t="inlineStr">
        <is>
          <t>● 관련분야 설계기준서 준수</t>
        </is>
      </c>
      <c r="K40" s="50" t="inlineStr">
        <is>
          <t>● 그루브레일 밴딩 곡률 반경 오차로 현장 조립 시 선형 뒤틀림 및 궤간 확장 불가 리스크를 검토하였는가? (궤도 곡선 밴딩 [4] 연계)</t>
        </is>
      </c>
      <c r="L40" s="50" t="inlineStr">
        <is>
          <t>● [슬래브적치] 프리캐스트 반-PC 슬래브의 현장 반입 및 적치 시 균일한 수평 지지대를 배치하여 슬래브 자체의 비틀림 변형 및 모서리 깨짐을 사전 방지할 것</t>
        </is>
      </c>
    </row>
    <row r="41" ht="139.95" customHeight="1">
      <c r="A41" s="45" t="inlineStr">
        <is>
          <t>5000</t>
        </is>
      </c>
      <c r="B41" s="45" t="inlineStr">
        <is>
          <t>5000-7</t>
        </is>
      </c>
      <c r="C41" s="46" t="inlineStr">
        <is>
          <t>홈레일(Grooved Rail) 부설 및 검수</t>
        </is>
      </c>
      <c r="D41" s="45" t="inlineStr">
        <is>
          <t>5000-7-2</t>
        </is>
      </c>
      <c r="E41" s="46" t="inlineStr">
        <is>
          <t>TCL 거푸집 가설 및 슬래브 정밀 선형 조정</t>
        </is>
      </c>
      <c r="F41" s="46" t="inlineStr">
        <is>
          <t>● KCS 21 10 00 (거푸집공사 표준시방서)
● 슬래브 수평/고저 및 중심선형 정밀 오차 ±2mm 이내</t>
        </is>
      </c>
      <c r="G41" s="46" t="inlineStr">
        <is>
          <t>[상세 작업 절차 - 정밀 관리]
1. 거푸집 강제 패널 설치 및 고정:
   - 도상 콘크리트(TCL) 타설을 위한 양측 강제 거푸집 패널을 가설하되, 콘크리트 타설 시 측압에 견디도록 지지대(Stay) 및 앵커 핀을 0.5m 간격으로 견고히 바닥 HSB에 앵커 고정함.
2. 정밀 측량 타겟(Prism) 세팅:
   - 레일 상면에 전용 미니 프리즘 타겟을 부착하고, 0.5mm 정밀도를 가진 자동 추적 3D 토탈스테이션(GEDO 시스템 등)을 기지점 배후 측량으로 세팅함.
3. 3D 정밀 얼라인먼트 조정:
   - 실시간 토탈스테이션 계측 데이터와 철도 선형 모델 데이터를 비교하며 스핀들 조정 볼트 및 유압 정밀 자키를 미세 조작함.
4. 허용오차 정밀 검증:
   - 궤간(±1.5mm 이내), 수평(±1.5mm 이내), 줄틀림 및 면틀림 오차가 허용 한계값 내에 도달할 때까지 조정 작업을 반복 시행하고 락너트로 완전 고정함.
5. 변형 방지 지그(Tie-Bar) 체결:
   - 콘크리트 타설 중 레일이 측압에 의해 밀리는 현상을 방지하기 위해 궤간 유지용 가설 타이바(Tie-Bar) 지그를 1.0m 간격으로 추가 조임 체결하고 거푸집 틈새 실링 작업을 시행함.
[주의사항 (하자이력 연계)]
정밀 측량 오차 누적으로 곡선 반경 미세 뒤틀림이 발생하여 차량 안착 시 단차 오차(±3mm 초과) 재시공 발생</t>
        </is>
      </c>
      <c r="H41" s="46" t="inlineStr">
        <is>
          <t>□ 측면 거푸집 수직도 및 타설 측압 대비 수평 버팀목 보강 상태
□ 정밀 측량 결과 궤도 수평/고저 및 중심선형 오차 허용값 충족 여부
□ 스핀들 락너트 체결 및 고정 상태
[집행단계 리스크 체크사항 (LLBS 연계)]
□ 가시설 굴착 심도가 지하수위 아래에 위치하는가?
□ 토류판 적용 시 차수 그라우팅 비용이 반영되었는가?
□ 특수 교각(Y형, 아치형) 시공 시 작업자 발판 및 거푸집 지지를 위한 가설 벤트가 반영되었는가?
□ 흙막이 가시설과 본 구조물 사이에 거푸집 설치 및 작업자 이동 공간(최소 1m 이상)이 확보되었는가?</t>
        </is>
      </c>
      <c r="I41" s="46" t="inlineStr">
        <is>
          <t>토목</t>
        </is>
      </c>
      <c r="J41" s="47" t="inlineStr">
        <is>
          <t>● [선로설계] 궤간 및 캔트: 표준 궤간 1,435mm 확보, 캔트는 적용 안함(무캔트 표준 적용)
● [구조분야] 차량횡하중: 축중의 20%를 레일면 높이에서 교축 직각 방향으로 고려
● [구조분야] 원심하중: 레일상면 1.5m 높이에 곡선 바깥쪽 수평 작용 (충격계수 미고려)
● [구조분야] 시동/제동하중: 레일 윗면에 레일방향(교축방향) 수평 작용 (높이 1.5m, 시동 0.27+0.95xL/Lv x T, 제동 0.27+1.00xL/Lv x T)</t>
        </is>
      </c>
      <c r="K41" s="47" t="inlineStr">
        <is>
          <t>● 정밀 측량 생략 및 지지 불량으로 궤간·수평·줄틀림 오차가 허용치(±3mm)를 초과해, 콘크리트 경화 후 도상을 전면 재시공할 리스크를 검토하였는가? (궤도 단면계획 [49])</t>
        </is>
      </c>
      <c r="L41" s="47" t="inlineStr">
        <is>
          <t>● [레일밴딩] 현장 야적장에서 직접 밴딩 시 그루브레일 복부 가압 과정의 비틀림 제어 숙련도 확보가 핵심이며, 밴딩 끝단 로스(약 700mm)에 대비한 3~5% 할증 설계 검토
● [선형조정] 슬래브 내장 스핀들 조정 시 3D 측량 정밀도 확보를 위해 주간 온도 변화에 따른 팽창 수축 보정치를 감안하여 조정할 것</t>
        </is>
      </c>
    </row>
    <row r="42" ht="139.95" customHeight="1">
      <c r="A42" s="48" t="inlineStr">
        <is>
          <t>5000</t>
        </is>
      </c>
      <c r="B42" s="48" t="inlineStr">
        <is>
          <t>5000-7</t>
        </is>
      </c>
      <c r="C42" s="49" t="inlineStr">
        <is>
          <t>홈레일(Grooved Rail) 부설 및 검수</t>
        </is>
      </c>
      <c r="D42" s="48" t="inlineStr">
        <is>
          <t>5000-7-3</t>
        </is>
      </c>
      <c r="E42" s="49" t="inlineStr">
        <is>
          <t>도상 콘크리트(TCL)층 정밀 타설 및 습윤 양생</t>
        </is>
      </c>
      <c r="F42" s="49" t="inlineStr">
        <is>
          <t>● KCS 14 20 10 (콘크리트 일반시방서)
● fck=30MPa 강도 궤도도상용 콘크리트, 타설 후 최소 7일간 습윤 양생</t>
        </is>
      </c>
      <c r="G42" s="49" t="inlineStr">
        <is>
          <t>[상세 작업 절차 - 정밀 관리]
1. 콘크리트 배합 설계 검수 및 슬럼프 측정:
   - 현장 반입 레미콘 배합 스펙(설계 강도 30 MPa 이상, 슬럼프 120±20mm, 공기량 4.5±1.5%)을 출하 전표로 검수하고, 레미콘 트럭별로 현장 슬럼프 및 공기량 시험을 실시하여 기록함.
2. 슈트 타설 및 바이브레이터 다짐:
   - 레일을 고정한 스핀들 지그 장치가 흔들리지 않도록 콘크리트를 양측에서 대칭으로 서서히 주입함. 고주파 봉상 진동기(바이브레이터)를 삽입하되, 철근 및 레일 고정 볼트에 직접 접촉하지 않도록 30cm 간격으로 수직 삽입 다짐(수포 제거)함.
3. 표면 마감 및 배수 횡단경사 형성:
   - 콘크리트 표면을 밀밀하게 그레이팅 흙손으로 마감하고, 노면수 고임 방지를 위한 외측 방향의 횡단 배수 경사(2%)를 정밀 형성함.
4. 균열 제어 수축 줄눈(Control Joint) 커팅:
   - 콘크리트 타설 후 초기 경화 시점(타설 완료 후 12~24시간 이내)에 설계된 5.0m 간격으로 커팅기로 균열 유도 줄눈(폭 5mm, 깊이 50mm)을 정밀 커팅함.
5. 습윤 양생포 가설 및 살수 관리:
   - 콘크리트 응결 완료 즉시 표면에 양생 시트(부직포)를 밀착 포설하고, 양생 온도를 15~25도로 유지하며 최소 7일간 살수하여 습윤 양생(건조 수축 균열 방지) 상태를 유지함.
[주의사항 (하자이력 연계)]
고습도/저온 시 수밀성 파손 및 타설 초기 보양막 훼손 시 급격한 건조수축 균열(10개소 이상 미세 균열) 하자 발생</t>
        </is>
      </c>
      <c r="H42" s="49" t="inlineStr">
        <is>
          <t>□ 타설 전 바닥면 이물질 청소 상태 및 습윤 상태 확인
□ TCL 콘크리트 슬럼프 및 설계 강도(30MPa) 공시체 시험 결과
□ 살수 장치 가동 상태 및 표면 습윤 양생막 유지 상태</t>
        </is>
      </c>
      <c r="I42" s="49" t="inlineStr">
        <is>
          <t>토목</t>
        </is>
      </c>
      <c r="J42" s="50" t="inlineStr">
        <is>
          <t>● 관련분야 설계기준서 준수</t>
        </is>
      </c>
      <c r="K42" s="50" t="inlineStr">
        <is>
          <t>● 현장 용접 온도 관리 및 연마 불량으로 열처리레일 경도 저하 및 미세 균열이 남아 레일 절손(파단) 사고가 발생할 리스크를 검토하였는가? (급곡선부 마감관리 [56])</t>
        </is>
      </c>
      <c r="L42" s="50" t="inlineStr">
        <is>
          <t>● [수축균열] 궤도 콘크리트(TCL) 타설 시 건조수축 균열 예방 대책을 수립할 것 (위례 현장 fck=30MPa 적용 시 10개소 이상 미세 균열 하자 조치 사례 참고)</t>
        </is>
      </c>
    </row>
    <row r="43" ht="139.95" customHeight="1">
      <c r="A43" s="45" t="inlineStr">
        <is>
          <t>5000</t>
        </is>
      </c>
      <c r="B43" s="45" t="inlineStr">
        <is>
          <t>5000-7</t>
        </is>
      </c>
      <c r="C43" s="46" t="inlineStr">
        <is>
          <t>홈레일(Grooved Rail) 부설 및 검수</t>
        </is>
      </c>
      <c r="D43" s="45" t="inlineStr">
        <is>
          <t>5000-7-4</t>
        </is>
      </c>
      <c r="E43" s="46" t="inlineStr">
        <is>
          <t>레일 용접부 그라인딩 및 초음파 비파괴검사(UT)</t>
        </is>
      </c>
      <c r="F43" s="46" t="inlineStr">
        <is>
          <t>● KS B 0817 (초음파 탐상 시험법) 및 레일 용접부 비파괴 검사 규정</t>
        </is>
      </c>
      <c r="G43" s="46" t="inlineStr">
        <is>
          <t>[상세 작업 절차 - 정밀 관리]
1. 용접 완료부 냉각 및 1차 정밀 그라인딩:
   - 테르밋 또는 가스압접 용접이 완료된 레일 이음매의 온도가 50도 이하로 자연 냉각된 것을 확인하고, 레일 프로파일 전용 그라인더 장비를 투입해 용접 비드(돌출부)를 레일 두부 프로파일 형상과 일치하도록 정밀 연마함.
2. 레일 두부 직진도 실측 검사:
   - 1.0m 정밀 철제 곧은자(Straight Edge)와 틈새 게이지를 연마된 레일 두부 및 측면에 밀착시켜 횡방향/종방향 오차(허용치 ±0.3mm/1.0m 이내)를 실측 기록함.
3. UT 비파괴 검사장비 검교정:
   - 초음파 탐상기(UT)의 주파수(2.25~5MHz), 탐촉자 굴절각(70도 및 45도)을 표준 대비 시험편(RB-R)을 사용하여 기준 감도로 검교정을 수행함.
4. 초음파 탐상 실측 분석:
   - 레일 용접부 상면, 복부, 저부에 접촉 매질(글리세린 또는 오일)을 도포하고 탐촉자를 수동 스캔함. 탐상기 스크린의 에코 신호를 분석하여 내부에 균열, 융합 불량, 슬래그 혼입 등 결함 지시 에코가 발생하는지 정밀 탐지함.
5. 결함 판정 및 용접 기록부 작성:
   - 결함 깊이 및 지시 크기를 판정 기준(철도건설 표준시방서 궤도공사 편 등급)에 따라 합격/불합격을 판정하고, 결함 위치와 크기가 명시된 용접 비파괴 검사 기록 대장을 준공도서로 보존함.
[주의사항 (하자이력 연계)]
용접부 내부 미세 균열을 UT 검사 누락으로 확인하지 못해 운행 중 레일 단절 사고</t>
        </is>
      </c>
      <c r="H43" s="46" t="inlineStr">
        <is>
          <t>□ 용접부 평탄성 오차(±0.2mm/1m 스트레이트자) 확인
□ UT 장비 캘리브레이션 및 검사 대상 용접부 일치 여부
□ 탐상 결과 합격 등급 판정 및 리포트 서명 확인</t>
        </is>
      </c>
      <c r="I43" s="46" t="inlineStr">
        <is>
          <t>토목</t>
        </is>
      </c>
      <c r="J43" s="47" t="inlineStr">
        <is>
          <t>● 관련분야 설계기준서 준수</t>
        </is>
      </c>
      <c r="K43" s="47" t="inlineStr">
        <is>
          <t>● 용접부 내부 미세 균열을 UT 검사 누락으로 확인하지 못해 운행 중 레일 단절 사고가 발생할 리스크를 검토하였는가? (궤도 단면계획 [56] 연계)</t>
        </is>
      </c>
      <c r="L43" s="47" t="inlineStr">
        <is>
          <t>● 협력사 자문 내용 없음 또는 해당사항 없음</t>
        </is>
      </c>
    </row>
    <row r="44" ht="139.95" customHeight="1">
      <c r="A44" s="48" t="inlineStr">
        <is>
          <t>5000</t>
        </is>
      </c>
      <c r="B44" s="48" t="inlineStr">
        <is>
          <t>5000-8</t>
        </is>
      </c>
      <c r="C44" s="49" t="inlineStr">
        <is>
          <t>본선 포장 마감 및 노반 보정 공사</t>
        </is>
      </c>
      <c r="D44" s="48" t="inlineStr">
        <is>
          <t>5000-8-1</t>
        </is>
      </c>
      <c r="E44" s="49" t="inlineStr">
        <is>
          <t>선로 구간 노면 마감 포장(아스콘/콘크리트/잔디) 시공</t>
        </is>
      </c>
      <c r="F44" s="49" t="inlineStr">
        <is>
          <t>● KCS 44 30 05 (아스팔트 포장공) / KCS 47 20 10 (트램 매립형 포장)
● 도로 상면 높이 단차 ±3mm 이내</t>
        </is>
      </c>
      <c r="G44" s="49" t="inlineStr">
        <is>
          <t>[작업 절차]
1. 사전 준비 단계:
   - 설계 도서 및 시방 기준을 분석하여 선로 구간 노면 마감 포장(아스콘/콘크리트/잔디) 시공 작업을 위한 현장 실측 및 경계 측량을 수행함.
2. 본 시공 단계:
   - 트램 선로 사이 및 인접 도로와의 경계 높이에 맞춰 아스콘 마감 포장 또는 콘크리트 마감 포장을 단차 없이 정밀 시공 작업을 표준 시공 절차에 준하여 시행하며, 실시간 수평도 및 치수 공차를 관리함.
3. 검사 및 마감 단계:
   - 잔디 포장 구간(녹색 궤도)의 경우, 콘크리트 포장을 안전 설계 높이까지 선행 시공한 뒤 최종 단계에서 상부에 인조/천연 잔디를 포설 시험 및 품질 검사를 실측하고 기준값 만족 여부를 기록함. 선로 구간 노면 마감 포장(아스콘/콘크리트/잔디) 시공 관련 작업 기준 준수 작업을 거쳐 노면 정리 및 안전 조치를 완료함.
[주의사항 (하자이력 연계)]
포장 조인트 밀착 불량에 따른 빗물 유입으로 동결 팽창 궤도 변형 및 노면 단차(3mm 초과)로 보행 차량 걸림 하중 충격 발생</t>
        </is>
      </c>
      <c r="H44" s="49" t="inlineStr">
        <is>
          <t>□ 포장 상면과 레일 두부 간 단차 오차 범위 확인
□ 아스콘 다짐도 및 아스팔트 조인트부 접합 마감 상태
□ 잔디 포설 구간의 하부 배수 구배 및 잔디 활착 밀착 상태
[집행단계 리스크 체크사항 (LLBS 연계)]
□ 교량 시공용 대형 크레인(200ton 이상)의 아웃트리거 전개 폭을 고려하여 가교 폭이나 작업대(Staging)가 반영되었는가?
□ 기초 터파기 구간의 지반 조건(연약지반)을 고려할 때 사면 경사를 유지할 부지가 충분한가?
□ 특수교량(FCM 등)의 주요 구조부 설계 적정성을 착공 전 검증했는가?
□ 관급자재 수급 불안정 시 사급 전환 가능성 및 비용 차이를 검토했는가?</t>
        </is>
      </c>
      <c r="I44" s="49" t="inlineStr">
        <is>
          <t>토목/노반</t>
        </is>
      </c>
      <c r="J44" s="50" t="inlineStr">
        <is>
          <t>● 관련분야 설계기준서 준수</t>
        </is>
      </c>
      <c r="K44" s="50" t="inlineStr">
        <is>
          <t>● 레일 절연재 틈새 및 포집망 접지 불량으로 우천 시 방출된 누설전류가 주변 도시 기반시설(지하 관로)을 급격히 훼손시킬 리스크를 검토하였는가? (궤도 단면계획 [13])
● 표면 청소 불량 및 수지 타설 중 공극 발생으로 기밀성이 파괴되고, 트램 진동으로 충진재가 탈락해 이륜차·보행자 걸림 사고가 발생할 리스크를 검토하였는가? (궤도 단면계획 [34])</t>
        </is>
      </c>
      <c r="L44" s="50" t="inlineStr">
        <is>
          <t>● [도로마감] 노면 포장 아스콘 접속부 다짐도 확보 및 단차 처리가 지연될 경우 차량 통행에 의한 레일 충격 소음이 유발되므로 포장 다짐 및 이음매 마감 품질 통제 필수
● [보행안전] 유모차, 휠체어 바퀴 끼임 및 보행 안전 확보를 위해 도로 횡단부 그루브 홈 내 플랩 또는 고무탄성재(프로파일) 적기 도입 권장</t>
        </is>
      </c>
    </row>
    <row r="45" ht="139.95" customHeight="1">
      <c r="A45" s="45" t="inlineStr">
        <is>
          <t>5000</t>
        </is>
      </c>
      <c r="B45" s="45" t="inlineStr">
        <is>
          <t>5000-9</t>
        </is>
      </c>
      <c r="C45" s="46" t="inlineStr">
        <is>
          <t>궤도 인접 일반 차로 및 보도 복구 공사</t>
        </is>
      </c>
      <c r="D45" s="45" t="inlineStr">
        <is>
          <t>5000-9-1</t>
        </is>
      </c>
      <c r="E45" s="46" t="inlineStr">
        <is>
          <t>장대레일 테르밋 용접 및 탄성 액상 수지 주입</t>
        </is>
      </c>
      <c r="F45" s="46" t="inlineStr">
        <is>
          <t>● KCS 47 20 20 (레일용접) / EN 14811 그루브레일 충진 기준
● 수지 경화 경도 및 일체성 확보</t>
        </is>
      </c>
      <c r="G45" s="46" t="inlineStr">
        <is>
          <t>[상세 작업 절차 - 정밀 관리]
1. 용접부 레일 단면 정렬 및 가열:
   - 접합할 두 레일의 단면 갭(약 25mm)을 유지하고 수평/수직 정렬을 틈새 자로 정밀 세팅한 후, 전용 가열 토치(산소-프로판)를 사용해 단면부를 적색 가열(가열 온도 약 900~1000도)함.
2. 테르밋 용융 및 주탕 타설:
   - 접합부에 레일 몰드 거푸집을 고정하고, 도가니(Crucible) 용기 내부의 테르밋 분말(산화철 및 알루미늄 혼합물)에 점화제를 투입해 용융 반응(반응 온도 약 2500도)을 유도함. 용융 강철 액을 몰드 내부로 낙하 주탕시킴.
3. 몰드 탈착 및 탈형 그라인딩:
   - 주탕 완료 후 일정 응결 대기 시간(약 5~10분)을 거쳐 몰드 강제 프레임을 해체하고, 돌출된 탕구 및 핀을 정밀 전단기로 절단한 후 1차 그라인딩 연마함.
4. 레일 절연재 피복 및 그루브 세척:
   - 레일과 도상 콘크리트 간 누설전류(전식) 방지를 위해 레일 측면에 고무 절연 시트 및 포집재를 밀착 시공하고, 수지 주입 공간 그루브(Groove) 내부의 수분 및 이물질을 고압 공기로 완전히 송풍 세척함.
5. 탄성 액상 수지(폴리우레탄) 주입:
   - EPDM 또는 우레탄계 2액형 탄성 액상 수지 배합비를 준수하여 수지 주입 노즐을 통해 기포(공극)가 발생하지 않도록 그루브 하부에서부터 가압 충진함. 상부 레일 두부 아래 5mm 지점까지 일정하게 충진 마감하고, 최소 24시간 양생하여 소음/진동 저하 성능을 실현함.
[주의사항 (하자이력 연계)]
용접부 정밀 가공 및 온도 제어 불량으로 레일 절손(단절) 사고 유발 및 수지 타설 시 노면수 잔류로 인한 경화 실패/박리 발생</t>
        </is>
      </c>
      <c r="H45" s="46" t="inlineStr">
        <is>
          <t>□ 궤도 용접부 외관 검사 및 비파괴 시험(UT) 합격 여부
□ 레일 Trough 홈 내부의 건조 상태 및 이물질 잔류 여부
□ 탄성 수지 주입 높이의 설계값 일치 및 표면 기포 유무
[집행단계 리스크 체크사항 (LLBS 연계)]
□ 운행선 인접 공사 시 가시설 설치 공간이 건축한계(Safety Clearance)를 침범하지 않는지 확인했는가?
□ 항타기 등 대형 장비의 진입로 폭과 회전 반경이 현장 여건(농로, 마을길)과 부합하는가?
□ 가설 구조물 철거 시 발생할 폐기물 물량을 예측하여 예산에 반영했는가?
□ 준공 정산 시 누락되기 쉬운 철거 비용을 미리 확보했는가?</t>
        </is>
      </c>
      <c r="I45" s="46" t="inlineStr">
        <is>
          <t>토목/노반</t>
        </is>
      </c>
      <c r="J45" s="47" t="inlineStr">
        <is>
          <t>● 관련분야 설계기준서 준수</t>
        </is>
      </c>
      <c r="K45" s="47" t="inlineStr">
        <is>
          <t>● 접합부 마감 불량에 따른 노면수 유입 동결융해 및 GIS 측량 오류로 타 관로 굴착 시 지하 궤도 설비가 훼손될 리스크를 검토하였는가? (도로복구 및 공간정보 [62])</t>
        </is>
      </c>
      <c r="L45" s="47" t="inlineStr">
        <is>
          <t>● [용접공법] 단면 자동 보정이 가능한 이동식 플래시벗 용접을 본선에 적극 반영하되, 곡선 전이부 및 특수부 접속은 테르밋 용접과의 병용 설계를 적용할 것
● [레일용접] 그루브레일의 비대칭 단면 특성상 일반 레일 대비 사상 작업에 고단가 인력과 긴 시간 소요 (테르밋 1일 2~5개소 수준)
● [수지주입] 탄성 액상 수지 주입 전 Trough 내부 건조 상태를 열풍기 등으로 강제 건조하여 수분 잔류로 인한 경화 실패 및 기포 발생 하자 예방</t>
        </is>
      </c>
    </row>
    <row r="46" ht="139.95" customHeight="1">
      <c r="A46" s="48" t="inlineStr">
        <is>
          <t>5000</t>
        </is>
      </c>
      <c r="B46" s="48" t="inlineStr">
        <is>
          <t>5000-10</t>
        </is>
      </c>
      <c r="C46" s="49" t="inlineStr">
        <is>
          <t>배수로 정비 및 도로 부대시설·경관 보정 공사</t>
        </is>
      </c>
      <c r="D46" s="48" t="inlineStr">
        <is>
          <t>5000-10-1</t>
        </is>
      </c>
      <c r="E46" s="49" t="inlineStr">
        <is>
          <t>궤도 최종 검측, 레일 표면 연마 및 시운전</t>
        </is>
      </c>
      <c r="F46" s="49" t="inlineStr">
        <is>
          <t>● KCS 47 20 10 (철도 궤도 정밀 검측) / 궤간 오차 ±1mm, 고저/수평 ±2mm 이내</t>
        </is>
      </c>
      <c r="G46" s="49" t="inlineStr">
        <is>
          <t>[작업 절차]
1. 사전 준비 단계:
   - 설계 도서 및 시방 기준을 분석하여 궤도 최종 검측, 레일 표면 연마 및 시운전 작업을 위한 현장 실측 및 경계 측량을 수행함.
2. 본 시공 단계:
   - 궤도 전용 정밀 검측기를 투입하여 완공된 전 구간의 궤간, 수평, 고저 오차를 전수 계측하여 데이터베이스화 작업을 표준 시공 절차에 준하여 시행하며, 실시간 수평도 및 치수 공차를 관리함.
3. 검사 및 마감 단계:
   - 열차 주행 소음 저감 및 마모 방지를 위해 용접 조인트 및 레일 두부를 궤도 연마기로 정밀 연마(Grinding) 시험 및 품질 검사를 실측하고 기준값 만족 여부를 기록함. 전력 공급 및 신호 검지 시스템 접속 완료 후, 트램 차량을 현장에 투입하여 동적 주행 안전성 및 탈선 안전성을 시운전을 통해 최종 검증 작업을 거쳐 노면 정리 및 안전 조치를 완료함.
[주의사항 (하자이력 연계)]
준공 검측 생략 및 연마 불량으로 시운전 시 동적 횡가속도 한계 초과 및 차량 승차감 지수 불합격에 따른 영업 시운전 지연</t>
        </is>
      </c>
      <c r="H46" s="49" t="inlineStr">
        <is>
          <t>□ 궤도 검측 보고서 상 허용 오차 만족 여부
□ 레일 표면 연마 상태 측정(조도계 및 평탄성 검사)
□ 시험 차량 주행 시 이상 소음/진동 및 신호/전차선 인터페이스 정상 상태
[집행단계 리스크 체크사항 (LLBS 연계)]
□ 특수교량(FCM 등)의 주요 구조부 설계 적정성을 착공 전 검증했는가?
□ 하부 도로/구조물이 상부 시공 하중(크레인+거더)을 견딜 수 있는가?
□ 벤트 위치가 하부 교통 흐름이나 구조물과 간섭되지 않는가?
□ 도로/철도 횡단 구간의 낙하물 방지 시설이 '그물망'이 아닌 '방호 선반(강판/합판)'으로 설계되었는가?</t>
        </is>
      </c>
      <c r="I46" s="49" t="inlineStr">
        <is>
          <t>토목/노반</t>
        </is>
      </c>
      <c r="J46" s="50" t="inlineStr">
        <is>
          <t>● 관련분야 설계기준서 준수</t>
        </is>
      </c>
      <c r="K46" s="50" t="inlineStr">
        <is>
          <t>● 배수 트렌치 횡단 구배 불량으로 트램 레일 홈 내부에 흙먼지가 쌓여 우천 시 물 고임 및 선로 침수 리스크를 검토하였는가?</t>
        </is>
      </c>
      <c r="L46" s="50" t="inlineStr">
        <is>
          <t>● [최종검측] 1km 기준 분할 시공에 따른 신축 조인트 구간 및 레일 접속점의 동적 거동 측정을 통해 차량 주행 안정성 시운전 검증을 철저히 수행할 것
● [레일연마] 용접 조인트 및 레일 두부의 정밀 연마(그라인딩) 작업 시 파형 마모 방지를 위해 조도계 계측 병행 권장</t>
        </is>
      </c>
    </row>
    <row r="47" ht="139.95" customHeight="1">
      <c r="A47" s="45" t="inlineStr">
        <is>
          <t>5000</t>
        </is>
      </c>
      <c r="B47" s="45" t="inlineStr">
        <is>
          <t>5000-11</t>
        </is>
      </c>
      <c r="C47" s="46" t="inlineStr">
        <is>
          <t>전차선·급전 설비(DC 750V) 설치 및 기능시험</t>
        </is>
      </c>
      <c r="D47" s="45" t="inlineStr">
        <is>
          <t>5000-11-1</t>
        </is>
      </c>
      <c r="E47" s="46" t="inlineStr">
        <is>
          <t>전차선 급전주 기초 앵커 시공 및 지주 건주</t>
        </is>
      </c>
      <c r="F47" s="46" t="inlineStr">
        <is>
          <t>● KCS 47 30 20 (전차선로 지주 공사)
● 지주 기초 콘크리트 28일 압축강도(24 MPa 이상) 확보</t>
        </is>
      </c>
      <c r="G47" s="46" t="inlineStr">
        <is>
          <t>[작업 절차]
1. 사전 준비 단계:
   - 설계 도서 및 시방 기준을 분석하여 전차선 급전주 기초 앵커 시공 및 지주 건주 작업을 위한 현장 실측 및 경계 측량을 수행함.
2. 본 시공 단계:
   - 굴착 구멍 기초 철근망 및 다수 앵커 볼트 지그 고정 작업을 표준 시공 절차에 준하여 시행하며, 실시간 수평도 및 치수 공차를 관리함.
3. 검사 및 마감 단계:
   - 기초 콘크리트 타설 후 지주 건주 크레인 인양 시험 및 품질 검사를 실측하고 기준값 만족 여부를 기록함. 수직 레벨기를 이용한 지주 직각도 확인 후 베이스 플레이트 그라우팅 작업을 거쳐 노면 정리 및 안전 조치를 완료함.
[주의사항 (하자이력 연계)]
지주 앵커 볼트 수직도 오차로 전차선 장력 작용 시 지주가 궤도 방향으로 기울어짐</t>
        </is>
      </c>
      <c r="H47" s="46" t="inlineStr">
        <is>
          <t>□ 기초 콘크리트 28일 압축강도(24MPa 이상) 확보 여부
□ 지주 수직도 설계 기준 이내 확인
□ 앵커 볼트 조임 토크 준수 및 볼트 캡 보호 그리스 도포
[집행단계 리스크 체크사항 (LLBS 연계)]
□ 기초 터파기 구간의 지반 조건(연약지반)을 고려할 때 사면 경사를 유지할 부지가 충분한가?
□ 운행선 인접 공사 시 가시설 설치 공간이 건축한계(Safety Clearance)를 침범하지 않는지 확인했는가?
□ 도심지 공사 시 교통 처리 계획에 따른 가시설 존치 기간이 적정하게 산정되었는가?
□ 특수교량(FCM 등)의 주요 구조부 설계 적정성을 착공 전 검증했는가?</t>
        </is>
      </c>
      <c r="I47" s="46" t="inlineStr">
        <is>
          <t>전기</t>
        </is>
      </c>
      <c r="J47" s="47" t="inlineStr">
        <is>
          <t>● 관련분야 설계기준서 준수</t>
        </is>
      </c>
      <c r="K47" s="47" t="inlineStr">
        <is>
          <t>● 지주 앵커 볼트 수직도 오차로 전차선 장력 작용 시 지주가 궤도 방향으로 기울어질 리스크를 검토하였는가?</t>
        </is>
      </c>
      <c r="L47" s="47" t="inlineStr">
        <is>
          <t>● 협력사 자문 내용 없음 또는 해당사항 없음</t>
        </is>
      </c>
    </row>
    <row r="48" ht="139.95" customHeight="1">
      <c r="A48" s="48" t="inlineStr">
        <is>
          <t>5000</t>
        </is>
      </c>
      <c r="B48" s="48" t="inlineStr">
        <is>
          <t>5000-11</t>
        </is>
      </c>
      <c r="C48" s="49" t="inlineStr">
        <is>
          <t>전차선·급전 설비(DC 750V) 설치 및 기능시험</t>
        </is>
      </c>
      <c r="D48" s="48" t="inlineStr">
        <is>
          <t>5000-11-2</t>
        </is>
      </c>
      <c r="E48" s="49" t="inlineStr">
        <is>
          <t>전차선 가설 및 장력 밸런싱 조정</t>
        </is>
      </c>
      <c r="F48" s="49" t="inlineStr">
        <is>
          <t>● KCS 47 30 30 (전차선 현수 및 장선 가설 공사)
● 팬터그래프 상승방식(충전레일) 전차선 높이 4,500mm ±50mm, 편위량 ±200mm 이내, 장력 20 kN</t>
        </is>
      </c>
      <c r="G48" s="49" t="inlineStr">
        <is>
          <t>[작업 절차]
1. 사전 준비 단계:
   - 설계 도서 및 시방 기준을 분석하여 전차선 가설 및 장력 밸런싱 조정 작업을 위한 현장 실측 및 경계 측량을 수행함.
2. 본 시공 단계:
   - 드럼 장비 및 장력 텐셔너 세팅 작업을 표준 시공 절차에 준하여 시행하며, 실시간 수평도 및 치수 공차를 관리함.
3. 검사 및 마감 단계:
   - 전차선 가설 후 흐름 방지 앵커링 설치 시험 및 품질 검사를 실측하고 기준값 만족 여부를 기록함. 장력 조정장치(휠 텐셔너)에 분할 추 거치 및 규정 장력(20kN) 실측 작업을 거쳐 노면 정리 및 안전 조치를 완료함.
[주의사항 (하자이력 연계)]
장력 조정기 체인 오일 부족으로 와이어 고정, 겨울철 전차선 수축 시 와이어 단선</t>
        </is>
      </c>
      <c r="H48" s="49" t="inlineStr">
        <is>
          <t>□ 전차선 높이(궤도면 상부 4,500mm ±50mm) 준수 여부
□ 전차선 편위량(지그재그 흔들림 ±200mm 이내) 확인
□ 장력 조정 장치 추 동작의 부드러움 및 지시 눈금
[집행단계 리스크 체크사항 (LLBS 연계)]
□ 개착 구조물 기초 바닥에 지하수 배제를 위한 맹암거 및 유공관이 반영되었는가?
□ 구조물과 흙막이 벽체 사이 여유폭(Working Space) 내에 배수로 설치 공간이 확보되었는가?
□ 교량 시공용 대형 크레인(200ton 이상)의 아웃트리거 전개 폭을 고려하여 가교 폭이나 작업대(Staging)가 반영되었는가?
□ 항타기 등 대형 장비의 진입로 폭과 회전 반경이 현장 여건(농로, 마을길)과 부합하는가?</t>
        </is>
      </c>
      <c r="I48" s="49" t="inlineStr">
        <is>
          <t>전기</t>
        </is>
      </c>
      <c r="J48" s="50" t="inlineStr">
        <is>
          <t>● [전기분야] 트램 차량 공급 전압: DC 750V (무가선 급전방식 원칙)
● [전기분야] 전력공급방식: 하이브리드 방식 [슈퍼캐퍼시터 + LTO 배터리] 적용</t>
        </is>
      </c>
      <c r="K48" s="50" t="inlineStr">
        <is>
          <t>● 장력 조정기 체인 오일 부족으로 와이어 고정, 겨울철 전차선 수축 시 와이어 단선 리스크를 검토하였는가?</t>
        </is>
      </c>
      <c r="L48" s="50" t="inlineStr">
        <is>
          <t>● 협력사 자문 내용 없음 또는 해당사항 없음</t>
        </is>
      </c>
    </row>
    <row r="49" ht="139.95" customHeight="1">
      <c r="A49" s="45" t="inlineStr">
        <is>
          <t>5000</t>
        </is>
      </c>
      <c r="B49" s="45" t="inlineStr">
        <is>
          <t>5000-12</t>
        </is>
      </c>
      <c r="C49" s="46" t="inlineStr">
        <is>
          <t>신호·제어 설비(축차계수기 등) 설치 및 시험</t>
        </is>
      </c>
      <c r="D49" s="45" t="inlineStr">
        <is>
          <t>5000-12-1</t>
        </is>
      </c>
      <c r="E49" s="46" t="inlineStr">
        <is>
          <t>축차계수기 휠 센서 레일 가공 설치</t>
        </is>
      </c>
      <c r="F49" s="46" t="inlineStr">
        <is>
          <t>● KCS 47 40 10 (철도 신호 설비 시공 일반 및 축차계수기 설치 기준)</t>
        </is>
      </c>
      <c r="G49" s="46" t="inlineStr">
        <is>
          <t>[상세 작업 절차 - 정밀 관리]
1. 센서 설치 위치 정밀 마킹:
   - 신호 블록 설계 도서 상의 폐색 경계점 레일 위치를 확인하고, 레일 온도 변형률이 안정된 레일 중앙부(Web)의 구멍 뚫기 중심점을 스프레이 마킹함.
2. 레일 복부(Web) 정밀 천공 가공:
   - 레일 전용 유압 천공기 및 30mm 코어 드릴 비트를 장착하고, 레일 수평 축과 직각을 유지하며 구멍 뚫기(천공 직경 30mm) 가공을 실시함. 천공부 모서리의 버(Burr)를 그라인더로 정밀 모따기함.
3. 부식 방지 도포 및 절연 칼라 삽입:
   - 가공된 천공 구멍 내부 및 절단면에 레일 부식 방지용 아연 리치 프라이머를 정밀 도포하고, 휠 센서 볼트 절연용 테플론 절연 칼라(Collar)를 삽입함.
4. 휠 센서 볼트 조임 및 높이 실측 조정:
   - 휠 센서 유닛을 레일 복부 내외측에 밀착시키고, 고장력 볼트를 조이되 토크 렌치를 사용하여 규정 조임 토크(45 Nm)로 체결함. 센서의 전용 높이 측정 지그를 활용하여 휠 센서 검지 팁과 레일 두부 최상면 간 수직 높이(설계 규격치 예: 45mm ±0.5mm)를 마이크로 게이지로 미세 실측 조정함.
5. 센서 케이블 연결 및 전압 측정:
   - 센서 후면의 케이블 단자를 기밀 몰딩 커넥터에 체결하고, 신호 정크션 박스(Junction Box) 전원 단자대 연결 후 테스터기로 동작 전압(DC 24V 범위)과 대기 전류를 측정하여 신호 수신 감도 정상 상태를 대장에 서명 기록함.
[주의사항 (하자이력 연계)]
레일 웨브 구멍 타공 시 중심선 오차로 휠 센서 장착 높이 불량, 차륜 미인식 오동작</t>
        </is>
      </c>
      <c r="H49" s="46" t="inlineStr">
        <is>
          <t>□ 천공 직경 및 위치 오차 범위 확인
□ 센서 외함 접지 접촉면 페인트 박리 처리 여부
□ 배선 보호용 플렉시블 관 고정 상태
[집행단계 리스크 체크사항 (LLBS 연계)]
□ 특수교량(FCM 등)의 주요 구조부 설계 적정성을 착공 전 검증했는가?
□ 동바리 높이가 10m를 초과하는 구간에 대해 시스템 동바리가 적용되었는가?
□ 좌굴 안정성 검토가 수행되었는가?
□ 터널 및 교량 점검 통로에 안전손잡이 수량이 산출되었는가?</t>
        </is>
      </c>
      <c r="I49" s="46" t="inlineStr">
        <is>
          <t>신호</t>
        </is>
      </c>
      <c r="J49" s="47" t="inlineStr">
        <is>
          <t>● 관련분야 설계기준서 준수</t>
        </is>
      </c>
      <c r="K49" s="47" t="inlineStr">
        <is>
          <t>● 레일 웨브 구멍 타공 시 중심선 오차로 휠 센서 장착 높이 불량, 차륜 미인식 오동작 리스크를 검토하였는가?</t>
        </is>
      </c>
      <c r="L49" s="47" t="inlineStr">
        <is>
          <t>● 협력사 자문 내용 없음 또는 해당사항 없음</t>
        </is>
      </c>
    </row>
    <row r="50" ht="139.95" customHeight="1">
      <c r="A50" s="48" t="inlineStr">
        <is>
          <t>5000</t>
        </is>
      </c>
      <c r="B50" s="48" t="inlineStr">
        <is>
          <t>5000-12</t>
        </is>
      </c>
      <c r="C50" s="49" t="inlineStr">
        <is>
          <t>신호·제어 설비(축차계수기 등) 설치 및 시험</t>
        </is>
      </c>
      <c r="D50" s="48" t="inlineStr">
        <is>
          <t>5000-12-2</t>
        </is>
      </c>
      <c r="E50" s="49" t="inlineStr">
        <is>
          <t>신호 장비실 제어반 단자대 결선 및 기동 시험</t>
        </is>
      </c>
      <c r="F50" s="49" t="inlineStr">
        <is>
          <t>● KCS 47 40 20 (신호 장비 조립 및 결선 및 제어반 기동 규정)</t>
        </is>
      </c>
      <c r="G50" s="49" t="inlineStr">
        <is>
          <t>[작업 절차]
1. 사전 준비 단계:
   - 설계 도서 및 시방 기준을 분석하여 신호 장비실 제어반 단자대 결선 및 기동 시험 작업을 위한 현장 실측 및 경계 측량을 수행함.
2. 본 시공 단계:
   - 케이블 번호 링 부착 및 단선 체크 실시 작업을 표준 시공 절차에 준하여 시행하며, 실시간 수평도 및 치수 공차를 관리함.
3. 검사 및 마감 단계:
   - 전용 압착 펜치를 이용한 단자 터미널 체결(압착력 검사) 시험 및 품질 검사를 실측하고 기준값 만족 여부를 기록함. 전원 인입 후 보드 동작 LED 및 통신 모듈 링크 상태 확인 작업을 거쳐 노면 정리 및 안전 조치를 완료함.
[주의사항 (하자이력 연계)]
단자 압착 터미널의 심선 전선 압착 불량으로 열차 진동에 의한 통신 단선 발생</t>
        </is>
      </c>
      <c r="H50" s="49" t="inlineStr">
        <is>
          <t>□ 케이블 심선 단선 테스트 통과 여부
□ 단자 조임 상태(드라이버 드라이브 토크 검사)
□ 통신 패킷 송수신 상태 오실로스코프 확인
[집행단계 리스크 체크사항 (LLBS 연계)]
□ 특수교량(FCM 등)의 주요 구조부 설계 적정성을 착공 전 검증했는가?
□ 공사 구간 50m 이내에 정온시설(병원, 학교)이 있는가?
□ 이동식 에어방음벽 등 추가 대책 비용이 예산에 있는가?
□ 공사 구간 인근에 진동에 민감한 시설(반도체 공장, 병원, 문화재)이 있는가?</t>
        </is>
      </c>
      <c r="I50" s="49" t="inlineStr">
        <is>
          <t>신호</t>
        </is>
      </c>
      <c r="J50" s="50" t="inlineStr">
        <is>
          <t>● 관련분야 설계기준서 준수</t>
        </is>
      </c>
      <c r="K50" s="50" t="inlineStr">
        <is>
          <t>● 단자 압착 터미널의 심선 전선 압착 불량으로 열차 진동에 의한 통신 단선 리스크를 검토하였는가?</t>
        </is>
      </c>
      <c r="L50" s="50" t="inlineStr">
        <is>
          <t>● 협력사 자문 내용 없음 또는 해당사항 없음</t>
        </is>
      </c>
    </row>
    <row r="51" ht="139.95" customHeight="1">
      <c r="A51" s="45" t="inlineStr">
        <is>
          <t>5000</t>
        </is>
      </c>
      <c r="B51" s="45" t="inlineStr">
        <is>
          <t>5000-13</t>
        </is>
      </c>
      <c r="C51" s="46" t="inlineStr">
        <is>
          <t>LTE-R 통신망 및 광케이블(72Core) 구축</t>
        </is>
      </c>
      <c r="D51" s="45" t="inlineStr">
        <is>
          <t>5000-13-1</t>
        </is>
      </c>
      <c r="E51" s="46" t="inlineStr">
        <is>
          <t>관로 내 광케이블 포설 및 접속 광 융착</t>
        </is>
      </c>
      <c r="F51" s="46" t="inlineStr">
        <is>
          <t>● KCS 47 50 10 (철도 정보통신 선로공사)
● 광케이블(72Core) 포설 인장력 2.9 kN 이하, 접속 손실량 Core당 0.1 dB 이하</t>
        </is>
      </c>
      <c r="G51" s="46" t="inlineStr">
        <is>
          <t>[작업 절차]
1. 사전 준비 단계:
   - 설계 도서 및 시방 기준을 분석하여 관로 내 광케이블 포설 및 접속 광 융착 작업을 위한 현장 실측 및 경계 측량을 수행함.
2. 본 시공 단계:
   - 관로 내 소정의 당김 로프 삽입 후 광케이블 유인 인장 작업을 표준 시공 절차에 준하여 시행하며, 실시간 수평도 및 치수 공차를 관리함.
3. 검사 및 마감 단계:
   - 피복 탈피기 가동 후 정밀 광 섬유 커터 절단 시험 및 품질 검사를 실측하고 기준값 만족 여부를 기록함. 아크 융착 접속기를 이용한 72Core 광섬유 융착 및 열수축 튜브 보강 작업을 거쳐 노면 정리 및 안전 조치를 완료함.
[주의사항 (하자이력 연계)]
광접속점 코어 정렬 오차로 접속 손실 기준 초과, 신호 왜곡 및 통신 불능</t>
        </is>
      </c>
      <c r="H51" s="46" t="inlineStr">
        <is>
          <t>□ 광케이블 인장력 기준 이내 견인(허용 인장력 2.9kN 이하)
□ 광 접속부 접속 손실 측정(Core당 0.1dB 이하 합격)
□ 광접속 함체 방수 패킹 마감 상태
[집행단계 리스크 체크사항 (LLBS 연계)]
□ 교량 시공용 대형 크레인(200ton 이상)의 아웃트리거 전개 폭을 고려하여 가교 폭이나 작업대(Staging)가 반영되었는가?
□ ILM 압출 단계별 Lateral Guide와 Bracket의 접촉 여부를 시뮬레이션했는가?
□ 최대 지지 경간을 고려한 전단 검토가 수행되었는가?
□ 교통량이 많은 도로 접속 공사에 대해 야간 할증 및 작업 시간 제한(단시간)이 적용되었는가?</t>
        </is>
      </c>
      <c r="I51" s="46" t="inlineStr">
        <is>
          <t>통신</t>
        </is>
      </c>
      <c r="J51" s="47" t="inlineStr">
        <is>
          <t>● 관련분야 설계기준서 준수</t>
        </is>
      </c>
      <c r="K51" s="47" t="inlineStr">
        <is>
          <t>● 광접속점 코어 정렬 오차로 접속 신호 왜곡 및 통신 불능 리스크를 검토하였는가?</t>
        </is>
      </c>
      <c r="L51" s="47" t="inlineStr">
        <is>
          <t>● 협력사 자문 내용 없음 또는 해당사항 없음</t>
        </is>
      </c>
    </row>
    <row r="52" ht="22.05" customHeight="1">
      <c r="A52" s="43" t="inlineStr">
        <is>
          <t>6000  정거장 공사 (Station Construction)</t>
        </is>
      </c>
      <c r="B52" s="51" t="n"/>
      <c r="C52" s="51" t="n"/>
      <c r="D52" s="51" t="n"/>
      <c r="E52" s="51" t="n"/>
      <c r="F52" s="51" t="n"/>
      <c r="G52" s="51" t="n"/>
      <c r="H52" s="51" t="n"/>
      <c r="I52" s="51" t="n"/>
      <c r="J52" s="51" t="n"/>
      <c r="K52" s="51" t="n"/>
      <c r="L52" s="52" t="n"/>
    </row>
    <row r="53" ht="139.95" customHeight="1">
      <c r="A53" s="45" t="inlineStr">
        <is>
          <t>6000</t>
        </is>
      </c>
      <c r="B53" s="45" t="inlineStr">
        <is>
          <t>6000-1</t>
        </is>
      </c>
      <c r="C53" s="46" t="inlineStr">
        <is>
          <t>정거장 구간 지장물 조사 및 인허가 협의</t>
        </is>
      </c>
      <c r="D53" s="45" t="inlineStr">
        <is>
          <t>6000-1-1</t>
        </is>
      </c>
      <c r="E53" s="46" t="inlineStr">
        <is>
          <t>정거장 예정지 정밀 측량 및 매설물 지도 중첩</t>
        </is>
      </c>
      <c r="F53" s="46" t="inlineStr">
        <is>
          <t>● KCS 11 10 10 (지장물 조사공 표준시방 및 매설 정보 분석 규정)</t>
        </is>
      </c>
      <c r="G53" s="46" t="inlineStr">
        <is>
          <t>[작업 절차]
1. 사전 준비 단계:
   - 설계 도서 및 시방 기준을 분석하여 정거장 예정지 정밀 측량 및 매설물 지도 중첩 작업을 위한 현장 실측 및 경계 측량을 수행함.
2. 본 시공 단계:
   - 정거장 경계 경위도 3D 측량 작업을 표준 시공 절차에 준하여 시행하며, 실시간 수평도 및 치수 공차를 관리함.
3. 검사 및 마감 단계:
   - 지하 지장물 매핑 정보를 CAD 정거장 평면도에 중첩 시험 및 품질 검사를 실측하고 기준값 만족 여부를 기록함. 이설이 불가능한 전력/상수도 정거장 우회 라인 계획 수립 작업을 거쳐 노면 정리 및 안전 조치를 완료함.
[주의사항 (하자이력 연계)]
정거장 전력 인입관 위치 오인으로 흙막이 파일 항타 시 한전 고압 지중관 파손</t>
        </is>
      </c>
      <c r="H53" s="46" t="inlineStr">
        <is>
          <t>□ 측량 도면 상의 지장물 정보 수량 확인
□ 고압 가스관 이격 거리(1m 이상) 확보 계획 수립 여부
□ 인입 및 이설 관로 배치도 작성 여부
[집행단계 리스크 체크사항 (LLBS 연계)]
□ 가시설 굴착 심도가 지하수위 아래에 위치하는가?
□ 토류판 적용 시 차수 그라우팅 비용이 반영되었는가?
□ 지반 조건(점토/사질토)에 적합한 차수 공법(Grouting vs Sheet Pile)이 선정되었는가?
□ 기초 터파기 구간의 지반 조건(연약지반)을 고려할 때 사면 경사를 유지할 부지가 충분한가?</t>
        </is>
      </c>
      <c r="I53" s="46" t="inlineStr">
        <is>
          <t>토목/행정</t>
        </is>
      </c>
      <c r="J53" s="47" t="inlineStr">
        <is>
          <t>● 관련분야 설계기준서 준수</t>
        </is>
      </c>
      <c r="K53" s="47" t="inlineStr">
        <is>
          <t>● 정거장 전력 인입관 위치 오인으로 흙막이 파일 항타 시 한전 고압 지중관 파손 리스크를 검토하였는가?</t>
        </is>
      </c>
      <c r="L53" s="47" t="inlineStr">
        <is>
          <t>● 협력사 자문 내용 없음 또는 해당사항 없음</t>
        </is>
      </c>
    </row>
    <row r="54" ht="139.95" customHeight="1">
      <c r="A54" s="48" t="inlineStr">
        <is>
          <t>6000</t>
        </is>
      </c>
      <c r="B54" s="48" t="inlineStr">
        <is>
          <t>6000-2</t>
        </is>
      </c>
      <c r="C54" s="49" t="inlineStr">
        <is>
          <t>정거장 구간 지장물 이설 공사</t>
        </is>
      </c>
      <c r="D54" s="48" t="inlineStr">
        <is>
          <t>6000-2-1</t>
        </is>
      </c>
      <c r="E54" s="49" t="inlineStr">
        <is>
          <t>정거장 기초 간섭 상수도/전력관 이설 시공</t>
        </is>
      </c>
      <c r="F54" s="49" t="inlineStr">
        <is>
          <t>● KCS 11 10 15 (지하시설물 이설공)
● 폴리에틸렌 피복 강관 부설 및 기밀 수압시험(1.5 MPa, 1시간 유지)</t>
        </is>
      </c>
      <c r="G54" s="49" t="inlineStr">
        <is>
          <t>[작업 절차]
1. 사전 준비 단계:
   - 설계 도서 및 시방 기준을 분석하여 정거장 기초 간섭 상수도/전력관 이설 시공 작업을 위한 현장 실측 및 경계 측량을 수행함.
2. 본 시공 단계:
   - 이설 굴착 후 쇄석 기초 포설(두께 150mm) 작업을 표준 시공 절차에 준하여 시행하며, 실시간 수평도 및 치수 공차를 관리함.
3. 검사 및 마감 단계:
   - 폴리에틸렌 피복 강관 부설 및 볼트 접합 토크 준수 시험 및 품질 검사를 실측하고 기준값 만족 여부를 기록함. 이설 관로 기밀 수압 시험 합격서 확보 작업을 거쳐 노면 정리 및 안전 조치를 완료함.
[주의사항 (하자이력 연계)]
이설 상수관 조인트부 백호우 버킷 타격으로 이경부 파손 및 매설 후 침하</t>
        </is>
      </c>
      <c r="H54" s="49" t="inlineStr">
        <is>
          <t>□ 기초 쇄석 다짐 확인 및 관 하부 빈틈 채움 상태
□ 상수관 기밀 테스트(1.5MPa/1시간 유지) 통과 여부
□ 되메우기 재료(양질의 모래) 포설 두께 준수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시종점 및 작업구 위치 하부의 지장물(송전선, 가스관) 매설 현황을 지장물도와 대조했는가?
□ 시종점부 구조물 터파기 시 인접 도로/사면의 안정성(전단파괴)을 검토했는가?</t>
        </is>
      </c>
      <c r="I54" s="49" t="inlineStr">
        <is>
          <t>토목/기계</t>
        </is>
      </c>
      <c r="J54" s="50" t="inlineStr">
        <is>
          <t>● 관련분야 설계기준서 준수</t>
        </is>
      </c>
      <c r="K54" s="50" t="inlineStr">
        <is>
          <t>● 이설 상수관 조인트부 백호우 버킷 타격으로 이경부 파손 및 매설 후 침하 리스크를 검토하였는가?</t>
        </is>
      </c>
      <c r="L54" s="50" t="inlineStr">
        <is>
          <t>● 협력사 자문 내용 없음 또는 해당사항 없음</t>
        </is>
      </c>
    </row>
    <row r="55" ht="139.95" customHeight="1">
      <c r="A55" s="45" t="inlineStr">
        <is>
          <t>6000</t>
        </is>
      </c>
      <c r="B55" s="45" t="inlineStr">
        <is>
          <t>6000-3</t>
        </is>
      </c>
      <c r="C55" s="46" t="inlineStr">
        <is>
          <t>정거장 구간 이설 불가 지장물 방호·보강 공사</t>
        </is>
      </c>
      <c r="D55" s="45" t="inlineStr">
        <is>
          <t>6000-3-1</t>
        </is>
      </c>
      <c r="E55" s="46" t="inlineStr">
        <is>
          <t>정거장 기초 하부 특수 지장물 콘크리트 슬라브 보강</t>
        </is>
      </c>
      <c r="F55" s="46" t="inlineStr">
        <is>
          <t>● KCS 14 20 10 (콘크리트 일반시방서) 및 지장물 강관 압입 방호 기준</t>
        </is>
      </c>
      <c r="G55" s="46" t="inlineStr">
        <is>
          <t>[작업 절차]
1. 사전 준비 단계:
   - 설계 도서 및 시방 기준을 분석하여 정거장 기초 하부 특수 지장물 콘크리트 슬라브 보강 작업을 위한 현장 실측 및 경계 측량을 수행함.
2. 본 시공 단계:
   - 지장물 직상부 압축성 완충 패드 설치 작업을 표준 시공 절차에 준하여 시행하며, 실시간 수평도 및 치수 공차를 관리함.
3. 검사 및 마감 단계:
   - 지지 파일 상부 두부 정리 및 결속 철근 보강 시험 및 품질 검사를 실측하고 기준값 만족 여부를 기록함. 거푸집 구조 안전성 검사 후 콘크리트 타설 및 양생 작업을 거쳐 노면 정리 및 안전 조치를 완료함.
[주의사항 (하자이력 연계)]
거푸집 측압 보강 불량으로 타설 중 측면이 터져 지장물 파이프 내부로 몰탈 유입</t>
        </is>
      </c>
      <c r="H55" s="46" t="inlineStr">
        <is>
          <t>□ 완충재 두께 설계 부합 여부
□ 철근 결속선 결착 강도 및 간격 확인
□ 거푸집 폼타이 간격 및 버팀 지지대 고정 여부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흙막이 앵커가 인접 사유지를 침범하는지 지적도와 대조하고, 침범 시 보상비 또는 제거식 앵커 비용을 반영했는가?
□ 시종점 및 작업구 위치 하부의 지장물(송전선, 가스관) 매설 현황을 지장물도와 대조했는가?</t>
        </is>
      </c>
      <c r="I55" s="46" t="inlineStr">
        <is>
          <t>토목</t>
        </is>
      </c>
      <c r="J55" s="47" t="inlineStr">
        <is>
          <t>● 관련분야 설계기준서 준수</t>
        </is>
      </c>
      <c r="K55" s="47" t="inlineStr">
        <is>
          <t>● 거푸집 측압 보강 불량으로 타설 중 측면이 터져 지장물 파이프 내부로 몰탈 유입 리스크를 검토하였는가?</t>
        </is>
      </c>
      <c r="L55" s="47" t="inlineStr">
        <is>
          <t>● 협력사 자문 내용 없음 또는 해당사항 없음</t>
        </is>
      </c>
    </row>
    <row r="56" ht="139.95" customHeight="1">
      <c r="A56" s="48" t="inlineStr">
        <is>
          <t>6000</t>
        </is>
      </c>
      <c r="B56" s="48" t="inlineStr">
        <is>
          <t>6000-4</t>
        </is>
      </c>
      <c r="C56" s="49" t="inlineStr">
        <is>
          <t>정거장 부지 굴착 토공 및 가시설 설치</t>
        </is>
      </c>
      <c r="D56" s="48" t="inlineStr">
        <is>
          <t>6000-4-1</t>
        </is>
      </c>
      <c r="E56" s="49" t="inlineStr">
        <is>
          <t>정거장 노반 굴착 터파기 및 흙막이 가시설 설치</t>
        </is>
      </c>
      <c r="F56" s="49" t="inlineStr">
        <is>
          <t>● KCS 21 30 00 (가설 흙막이 표준시방 및 가시설 구조 안전 표준)</t>
        </is>
      </c>
      <c r="G56" s="49" t="inlineStr">
        <is>
          <t>[작업 절차]
1. 사전 준비 단계:
   - 설계 도서 및 시방 기준을 분석하여 정거장 노반 굴착 터파기 및 흙막이 가시설 설치 작업을 위한 현장 실측 및 경계 측량을 수행함.
2. 본 시공 단계:
   - 백호우 가시설 라인 굴착 및 수평 띠장(Wale) 크레인 현장 거치 작업을 표준 시공 절차에 준하여 시행하며, 실시간 수평도 및 치수 공차를 관리함.
3. 검사 및 마감 단계:
   - 띠장-버팀대(Strut) 용접 접합 및 모재 비파괴 용접 검사 시험 및 품질 검사를 실측하고 기준값 만족 여부를 기록함. 가시설 계측 변위 모니터링계 센서 데이터 셋업 및 가동 작업을 거쳐 노면 정리 및 안전 조치를 완료함.
[주의사항 (하자이력 연계)]
흙막이 벽체 이면 지반 붕괴로 정거장 배후 보도 보블록 침하 및 전신주 기울어짐</t>
        </is>
      </c>
      <c r="H56" s="49" t="inlineStr">
        <is>
          <t>□ 흙막이 벽체 수평도 및 버팀대 수평 오차 확인
□ 계측센서 초기값 셋업 및 자동 데이터 전송 여부
□ 배후 지반 균열 발생 여부 일일 육안 순찰 기록
[집행단계 리스크 체크사항 (LLBS 연계)]
□ 구조물과 흙막이 벽체 사이 여유폭(Working Space) 내에 배수로 설치 공간이 확보되었는가?
□ 가시설 굴착 심도가 지하수위 아래에 위치하는가?
□ 토류판 적용 시 차수 그라우팅 비용이 반영되었는가?
□ 기초 터파기 구간의 지반 조건(연약지반)을 고려할 때 사면 경사를 유지할 부지가 충분한가?</t>
        </is>
      </c>
      <c r="I56" s="49" t="inlineStr">
        <is>
          <t>토목</t>
        </is>
      </c>
      <c r="J56" s="50" t="inlineStr">
        <is>
          <t>● 관련분야 설계기준서 준수</t>
        </is>
      </c>
      <c r="K56" s="50" t="inlineStr">
        <is>
          <t>● 흙막이 벽체 이면 지반 붕괴로 정거장 배후 보도 보블록 침하 및 전신주 기울어짐 리스크를 검토하였는가?</t>
        </is>
      </c>
      <c r="L56" s="50" t="inlineStr">
        <is>
          <t>● 협력사 자문 내용 없음 또는 해당사항 없음</t>
        </is>
      </c>
    </row>
    <row r="57" ht="139.95" customHeight="1">
      <c r="A57" s="45" t="inlineStr">
        <is>
          <t>6000</t>
        </is>
      </c>
      <c r="B57" s="45" t="inlineStr">
        <is>
          <t>6000-5</t>
        </is>
      </c>
      <c r="C57" s="46" t="inlineStr">
        <is>
          <t>정거장 지하구조물 공사 및 기초 보정 공사</t>
        </is>
      </c>
      <c r="D57" s="45" t="inlineStr">
        <is>
          <t>6000-5-1</t>
        </is>
      </c>
      <c r="E57" s="46" t="inlineStr">
        <is>
          <t>정거장 파일 기초 평판재하시험(PBT)</t>
        </is>
      </c>
      <c r="F57" s="46" t="inlineStr">
        <is>
          <t>● KDS 11 50 15 (깊은기초 설계기준 및 파일 지지력 시험 규정)</t>
        </is>
      </c>
      <c r="G57" s="46" t="inlineStr">
        <is>
          <t>[작업 절차]
1. 사전 준비 단계:
   - 설계 도서 및 시방 기준을 분석하여 정거장 파일 기초 평판재하시험(PBT) 작업을 위한 현장 실측 및 경계 측량을 수행함.
2. 본 시공 단계:
   - 파일 두부 그라인딩 및 재하판 밀착면 수평 조정 작업을 표준 시공 절차에 준하여 시행하며, 실시간 수평도 및 치수 공차를 관리함.
3. 검사 및 마감 단계:
   - 하중 잭 장치 세팅 및 다이얼 게이지 3개 대칭 설치 시험 및 품질 검사를 실측하고 기준값 만족 여부를 기록함. 설계 극한 지지력의 2배 하중 단계별 가압 후 침하량 기록 작업을 거쳐 노면 정리 및 안전 조치를 완료함.
[주의사항 (하자이력 연계)]
기초 파일 선단 지지력 부족으로 구조물 하중 작용 시 승강장 기울어짐(PSD 오정렬 발생)</t>
        </is>
      </c>
      <c r="H57" s="46" t="inlineStr">
        <is>
          <t>□ 파일 두부 레벨 평탄도 확인
□ 침하계(게이지) 지지 가로보의 흔들림 방지 조치 상태
□ 허용 지지력 만족 결과 성적서 서명 확인
[집행단계 리스크 체크사항 (LLBS 연계)]
□ 도심지 공사 시 교통 처리 계획에 따른 가시설 존치 기간이 적정하게 산정되었는가?
□ 특수교량(FCM 등)의 주요 구조부 설계 적정성을 착공 전 검증했는가?
□ 공사 구간 50m 이내에 정온시설(병원, 학교)이 있는가?
□ 이동식 에어방음벽 등 추가 대책 비용이 예산에 있는가?</t>
        </is>
      </c>
      <c r="I57" s="46" t="inlineStr">
        <is>
          <t>토목/노반</t>
        </is>
      </c>
      <c r="J57" s="47" t="inlineStr">
        <is>
          <t>● 관련분야 설계기준서 준수</t>
        </is>
      </c>
      <c r="K57" s="47" t="inlineStr">
        <is>
          <t>● 기초 파일 선단 지지력 부족으로 구조물 하중 작용 시 승강장 기울어짐 리스크를 검토하였는가?</t>
        </is>
      </c>
      <c r="L57" s="47" t="inlineStr">
        <is>
          <t>● 협력사 자문 내용 없음 또는 해당사항 없음</t>
        </is>
      </c>
    </row>
    <row r="58" ht="139.95" customHeight="1">
      <c r="A58" s="48" t="inlineStr">
        <is>
          <t>6000</t>
        </is>
      </c>
      <c r="B58" s="48" t="inlineStr">
        <is>
          <t>6000-6</t>
        </is>
      </c>
      <c r="C58" s="49" t="inlineStr">
        <is>
          <t>정거장 승강장 구조물 설치 및 마감 공사</t>
        </is>
      </c>
      <c r="D58" s="48" t="inlineStr">
        <is>
          <t>6000-6-1</t>
        </is>
      </c>
      <c r="E58" s="49" t="inlineStr">
        <is>
          <t>승강장 프리캐스트 콘크리트(PC) 바닥판 거치 시공</t>
        </is>
      </c>
      <c r="F58" s="49" t="inlineStr">
        <is>
          <t>● 도시철도 정거장 설계기준(국토부)
● 상대식 승강장 폭 3.0m 이상, 섬식 승강장 폭 4.0m 이상 확보
● 승강장 높이 R.L 대비 335mm~350mm 기준, 연단 차량 이격 50mm 이상, 차량-승강장 갭 60mm 표준
● 승강장 총 길이 40.0m 설계 확보(노면전차 35m + 여유길이 5m)</t>
        </is>
      </c>
      <c r="G58" s="49" t="inlineStr">
        <is>
          <t>[작업 절차]
1. 사전 준비 단계:
   - 설계 도서 및 시방 기준을 분석하여 승강장 프리캐스트 콘크리트(PC) 바닥판 거치 시공 작업을 위한 현장 실측 및 경계 측량을 수행함.
2. 본 시공 단계:
   - PC 바닥판 반입 시 크랙 유무 비파괴 육안 검사 작업을 표준 시공 절차에 준하여 시행하며, 실시간 수평도 및 치수 공차를 관리함.
3. 검사 및 마감 단계:
   - 25톤 크레인 4점 균등 인양 체결 및 무선 신호수 조율 시험 및 품질 검사를 실측하고 기준값 만족 여부를 기록함. 승강장 연단 이격거리(레일 중심선에서 1,450mm ±5mm) 정밀 셋업 작업을 거쳐 노면 정리 및 안전 조치를 완료함.
[주의사항 (하자이력 연계)]
크레인 슬링 와이어 장탈착 중 PC판 낙하로 가장자리 파손 및 미세 크랙 방치 후 파손</t>
        </is>
      </c>
      <c r="H58" s="49" t="inlineStr">
        <is>
          <t>□ PC 패널 크랙 및 파손부 보수 여부
□ 승강장 연단 거리 실측 및 한계값 준수 여부
□ 연결용 특수 조인트 패드 볼트 토크 조임 확인
[집행단계 리스크 체크사항 (LLBS 연계)]
□ 교량 시공용 대형 크레인(200ton 이상)의 아웃트리거 전개 폭을 고려하여 가교 폭이나 작업대(Staging)가 반영되었는가?
□ 구조물 터파기 사면(Open Cut)의 상단 라인이 공사 부지 경계선 내에 들어오는가?
□ 하부 도로/구조물이 상부 강교 시공 하중(크레인+거더)을 견딜 수 있는가?
□ 강교 주요 부재(브라켓 등)의 치수가 도면과 내역서(재료표)에 일치하는가?</t>
        </is>
      </c>
      <c r="I58" s="49" t="inlineStr">
        <is>
          <t>토목</t>
        </is>
      </c>
      <c r="J58" s="50" t="inlineStr">
        <is>
          <t>● 관련분야 설계기준서 준수</t>
        </is>
      </c>
      <c r="K58" s="50" t="inlineStr">
        <is>
          <t>● 크레인 슬링 와이어 장탈착 중 PC판 낙하로 가장자리 파손 및 미세 크랙 방치 후 파손 리스크를 검토하였는가?</t>
        </is>
      </c>
      <c r="L58" s="50" t="inlineStr">
        <is>
          <t>● 협력사 자문 내용 없음 또는 해당사항 없음</t>
        </is>
      </c>
    </row>
    <row r="59" ht="139.95" customHeight="1">
      <c r="A59" s="45" t="inlineStr">
        <is>
          <t>6000</t>
        </is>
      </c>
      <c r="B59" s="45" t="inlineStr">
        <is>
          <t>6000-7</t>
        </is>
      </c>
      <c r="C59" s="46" t="inlineStr">
        <is>
          <t>정거장 조경 시설물 및 도로 마감 공사</t>
        </is>
      </c>
      <c r="D59" s="45" t="inlineStr">
        <is>
          <t>6000-7-1</t>
        </is>
      </c>
      <c r="E59" s="46" t="inlineStr">
        <is>
          <t>정거장 경계석 부설 및 승강장 접속부 도로 포장</t>
        </is>
      </c>
      <c r="F59" s="46" t="inlineStr">
        <is>
          <t>● KCS 44 30 05 (아스팔트 콘크리트 포장공)
● 정거장 경계석 부설 직선 정렬 오차 ±5mm 이내 관리</t>
        </is>
      </c>
      <c r="G59" s="46" t="inlineStr">
        <is>
          <t>[작업 절차]
1. 사전 준비 단계:
   - 설계 도서 및 시방 기준을 분석하여 정거장 경계석 부설 및 승강장 접속부 도로 포장 작업을 위한 현장 실측 및 경계 측량을 수행함.
2. 본 시공 단계:
   - 경계석 기초 콘크리트 포설 및 실올리기 정렬 작업을 표준 시공 절차에 준하여 시행하며, 실시간 수평도 및 치수 공차를 관리함.
3. 검사 및 마감 단계:
   - 아스팔트 포설 전 경계석 측면 조인트 부 접착재(유제) 도포 시험 및 품질 검사를 실측하고 기준값 만족 여부를 기록함. 콤팩터 및 소형 롤러를 이용한 포장 경계부 전압 시공 작업을 거쳐 노면 정리 및 안전 조치를 완료함.
[주의사항 (하자이력 연계)]
경계석 배면 채움 몰탈 강도 부족으로 버스 휠 충격 시 경게석 박리 붕괴</t>
        </is>
      </c>
      <c r="H59" s="46" t="inlineStr">
        <is>
          <t>□ 경계석 직선 정렬 오차(±5mm 이내) 확인
□ 채움 몰탈 강도 확인 및 충진 조밀도
□ 도로 접속부 포장 단차 유무 확인(유모차 통행 가능 수준)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교통 전환의 모든 단계별(Phase 1, 2, 3...) 토공 및 포장 물량이 합산되었는가?</t>
        </is>
      </c>
      <c r="I59" s="46" t="inlineStr">
        <is>
          <t>토목/노반</t>
        </is>
      </c>
      <c r="J59" s="47" t="inlineStr">
        <is>
          <t>● 관련분야 설계기준서 준수</t>
        </is>
      </c>
      <c r="K59" s="47" t="inlineStr">
        <is>
          <t>● 해당 공종 리스크 분석 수립 준수</t>
        </is>
      </c>
      <c r="L59" s="47" t="inlineStr">
        <is>
          <t>● 협력사 자문 내용 없음 또는 해당사항 없음</t>
        </is>
      </c>
    </row>
    <row r="60" ht="139.95" customHeight="1">
      <c r="A60" s="48" t="inlineStr">
        <is>
          <t>6000</t>
        </is>
      </c>
      <c r="B60" s="48" t="inlineStr">
        <is>
          <t>6000-8</t>
        </is>
      </c>
      <c r="C60" s="49" t="inlineStr">
        <is>
          <t>정거장 안내 시스템 및 가이던스 보정 공사</t>
        </is>
      </c>
      <c r="D60" s="48" t="inlineStr">
        <is>
          <t>6000-8-1</t>
        </is>
      </c>
      <c r="E60" s="49" t="inlineStr">
        <is>
          <t>행선안내기 DID 지주 볼트 고정 및 최종 리딩 테스트</t>
        </is>
      </c>
      <c r="F60" s="49" t="inlineStr">
        <is>
          <t>● KCS 47 50 20 (여객 정보 통신 설비)
● 행선안내기 DID 지주 구조 고정 및 앵커볼트 규정 인장 토크 준수</t>
        </is>
      </c>
      <c r="G60" s="49" t="inlineStr">
        <is>
          <t>[작업 절차]
1. 사전 준비 단계:
   - 설계 도서 및 시방 기준을 분석하여 행선안내기 DID 지주 볼트 고정 및 최종 리딩 테스트 작업을 위한 현장 실측 및 경계 측량을 수행함.
2. 본 시공 단계:
   - 앵커 볼트 이중 너트 세팅 및 고강도 와셔 삽입 작업을 표준 시공 절차에 준하여 시행하며, 실시간 수평도 및 치수 공차를 관리함.
3. 검사 및 마감 단계:
   - LCD/LED 표시기 케이블 단자 통신 접속(RJ-45 방수) 시험 및 품질 검사를 실측하고 기준값 만족 여부를 기록함. 센터 데이터 송출 리딩 테스트(문자 표출 및 휘도 확인) 작업을 거쳐 노면 정리 및 안전 조치를 완료함.
[주의사항 (하자이력 연계)]
DID 지주 앵커 볼트 규정 조임 미달로 태풍 시 행선안내기 전복 및 낙하 사고 위험 노출</t>
        </is>
      </c>
      <c r="H60" s="49" t="inlineStr">
        <is>
          <t>□ 지주 거치 강도 및 고장력 앵커 볼트 인장 토크
□ 케이블 인입 입선 슬리브 실링재 밀봉 여부
□ 전광판 표출 글자 왜곡 유무 및 주/야간 자동 밝기 작동
[집행단계 리스크 체크사항 (LLBS 연계)]
□ 기초 터파기 구간의 지반 조건(연약지반)을 고려할 때 사면 경사를 유지할 부지가 충분한가?
□ 교량 시공용 대형 크레인(200ton 이상)의 아웃트리거 전개 폭을 고려하여 가교 폭이나 작업대(Staging)가 반영되었는가?
□ ILM 압출 단계별 Lateral Guide와 Bracket의 접촉 여부 및 지지 경간을 시뮬레이션했는가?
□ Steel Box 내부 제습 설비 가동 전 부식 방지를 위한 임시 도장(Shop Primer)이 반영되었는가?</t>
        </is>
      </c>
      <c r="I60" s="49" t="inlineStr">
        <is>
          <t>토목/노반</t>
        </is>
      </c>
      <c r="J60" s="50" t="inlineStr">
        <is>
          <t>● 관련분야 설계기준서 준수</t>
        </is>
      </c>
      <c r="K60" s="50" t="inlineStr">
        <is>
          <t>● 해당 공종 리스크 분석 수립 준수</t>
        </is>
      </c>
      <c r="L60" s="50" t="inlineStr">
        <is>
          <t>● 협력사 자문 내용 없음 또는 해당사항 없음</t>
        </is>
      </c>
    </row>
    <row r="61" ht="139.95" customHeight="1">
      <c r="A61" s="45" t="inlineStr">
        <is>
          <t>6000</t>
        </is>
      </c>
      <c r="B61" s="45" t="inlineStr">
        <is>
          <t>6000-9</t>
        </is>
      </c>
      <c r="C61" s="46" t="inlineStr">
        <is>
          <t>정거장 전기·조명·통신·방재 설비 설치 및 시험</t>
        </is>
      </c>
      <c r="D61" s="45" t="inlineStr">
        <is>
          <t>6000-9-1</t>
        </is>
      </c>
      <c r="E61" s="46" t="inlineStr">
        <is>
          <t>정거장 분전반 결선 및 접지 상태 검사</t>
        </is>
      </c>
      <c r="F61" s="46" t="inlineStr">
        <is>
          <t>● 전기설비기술기준(KEC)
● 분전반 메인 차단기 기동 및 접지선(6SQ 이상) 저항 100Ω 이하 확보</t>
        </is>
      </c>
      <c r="G61" s="46" t="inlineStr">
        <is>
          <t>[작업 절차]
1. 사전 준비 단계:
   - 설계 도서 및 시방 기준을 분석하여 정거장 분전반 결선 및 접지 상태 검사 작업을 위한 현장 실측 및 경계 측량을 수행함.
2. 본 시공 단계:
   - 분전반 차단기 라인별 용량 명판 작성 작업을 표준 시공 절차에 준하여 시행하며, 실시간 수평도 및 치수 공차를 관리함.
3. 검사 및 마감 단계:
   - 접지선 규격(6SQ 이상) 단자대 견고 결속 및 접지저항 측정 시험 및 품질 검사를 실측하고 기준값 만족 여부를 기록함. 메인 전력 차단기 1차/2차 측 전압 테스트 작업을 거쳐 노면 정리 및 안전 조치를 완료함.
[주의사항 (하자이력 연계)]
조명 분전반 중성선 접지 누락으로 미세 누전 발생, 철제 프레임 접촉 시 작업자 감전</t>
        </is>
      </c>
      <c r="H61" s="46" t="inlineStr">
        <is>
          <t>□ 접지 저항치(100Ω 이하) 측정 완료 여부
□ 차단기 결선 심선 노출 부위 절연 튜브 열수축 상태
□ 내부 배선 트레이 내 케이블 정렬 및 타이 묶음 상태
[집행단계 리스크 체크사항 (LLBS 연계)]
□ 도심지 공사 시 교통 처리 계획에 따른 가시설 존치 기간이 적정하게 산정되었는가?
□ 공사 기간 산정 시 민원 및 인허가 지연에 따른 여유 공기(Float)가 반영되었는가?
□ 공사 구간 50m 이내에 정온시설(병원, 학교)이 있는가?
□ 이동식 에어방음벽 등 추가 대책 비용이 예산에 있는가?</t>
        </is>
      </c>
      <c r="I61" s="46" t="inlineStr">
        <is>
          <t>전기/통신/방재</t>
        </is>
      </c>
      <c r="J61" s="47" t="inlineStr">
        <is>
          <t>● 관련분야 설계기준서 준수</t>
        </is>
      </c>
      <c r="K61" s="47" t="inlineStr">
        <is>
          <t>● 해당 공종 리스크 분석 수립 준수</t>
        </is>
      </c>
      <c r="L61" s="47" t="inlineStr">
        <is>
          <t>● 협력사 자문 내용 없음 또는 해당사항 없음</t>
        </is>
      </c>
    </row>
    <row r="62" ht="139.95" customHeight="1">
      <c r="A62" s="48" t="inlineStr">
        <is>
          <t>6000</t>
        </is>
      </c>
      <c r="B62" s="48" t="inlineStr">
        <is>
          <t>6000-10</t>
        </is>
      </c>
      <c r="C62" s="49" t="inlineStr">
        <is>
          <t>플랫폼 스크린도어(PSD) 및 CCTV 설치 및 시험</t>
        </is>
      </c>
      <c r="D62" s="48" t="inlineStr">
        <is>
          <t>6000-10-1</t>
        </is>
      </c>
      <c r="E62" s="49" t="inlineStr">
        <is>
          <t>플랫폼 스크린도어(PSD) 포스트 정밀 설치</t>
        </is>
      </c>
      <c r="F62" s="49" t="inlineStr">
        <is>
          <t>● KCS 47 40 10 (신호 및 승강장 안전문 설비)
● 승강장 안전난간 H=1.2m 설치 표준 및 PSD 프레임 고정</t>
        </is>
      </c>
      <c r="G62" s="49" t="inlineStr">
        <is>
          <t>[작업 절차]
1. 사전 준비 단계:
   - 설계 도서 및 시방 기준을 분석하여 플랫폼 스크린도어(PSD) 포스트 정밀 설치 작업을 위한 현장 실측 및 경계 측량을 수행함.
2. 본 시공 단계:
   - 레일면 기준 정밀 레벨 측량 및 레이저 라이너 라인 셋업 작업을 표준 시공 절차에 준하여 시행하며, 실시간 수평도 및 치수 공차를 관리함.
3. 검사 및 마감 단계:
   - PSD 베이스 플레이트 앵커링(볼트 조임 150 N·m) 시험 및 품질 검사를 실측하고 기준값 만족 여부를 기록함. 수직도(1/1000 이내) 스페이서 미세 레벨 조절 작업을 거쳐 노면 정리 및 안전 조치를 완료함.
[주의사항 (하자이력 연계)]
포스트 수직도 오차 누적으로 가동문 개폐 시 문 끼임 및 모터 과부하 소손</t>
        </is>
      </c>
      <c r="H62" s="49" t="inlineStr">
        <is>
          <t>□ 레이저 레벨기 기준 포스트 일렬 정렬 여부
□ 베이스 앵커 인장 강도 시험 완료 여부
□ 포스트 수직도 정밀 측정 오차 한계 확인
[집행단계 리스크 체크사항 (LLBS 연계)]
□ 공기 연장 시 고정적으로 지출되는 품질/안전 관리자 인건비 및 차량 유지비가 산출되었는가?
□ 도심지 공사 시 교통 처리 계획에 따른 가시설 존치 기간이 적정하게 산정되었는가?
□ 공사 구간 인근에 진동에 민감한 시설(반도체 공장, 병원, 문화재)이 있는가?
□ 지반 조사 데이터(RQD, 탄성파 속도)를 기반으로 진동 전달율을 보수적으로 산정했는가?</t>
        </is>
      </c>
      <c r="I62" s="49" t="inlineStr">
        <is>
          <t>전기/통신</t>
        </is>
      </c>
      <c r="J62" s="50" t="inlineStr">
        <is>
          <t>● 관련분야 설계기준서 준수</t>
        </is>
      </c>
      <c r="K62" s="50" t="inlineStr">
        <is>
          <t>● 해당 공종 리스크 분석 수립 준수</t>
        </is>
      </c>
      <c r="L62" s="50" t="inlineStr">
        <is>
          <t>● 협력사 자문 내용 없음 또는 해당사항 없음</t>
        </is>
      </c>
    </row>
    <row r="63" ht="139.95" customHeight="1">
      <c r="A63" s="45" t="inlineStr">
        <is>
          <t>6000</t>
        </is>
      </c>
      <c r="B63" s="45" t="inlineStr">
        <is>
          <t>6000-10</t>
        </is>
      </c>
      <c r="C63" s="46" t="inlineStr">
        <is>
          <t>플랫폼 스크린도어(PSD) 및 CCTV 설치 및 시험</t>
        </is>
      </c>
      <c r="D63" s="45" t="inlineStr">
        <is>
          <t>6000-10-2</t>
        </is>
      </c>
      <c r="E63" s="46" t="inlineStr">
        <is>
          <t>PSD 가동문 모터 조립 및 연동 시운전</t>
        </is>
      </c>
      <c r="F63" s="46" t="inlineStr">
        <is>
          <t>● KS C IEC 62076 (승강장 안전문 설계 및 검사)
● PSD 장애물 검지 기준(두께 10mm), 도어 연동 개폐 시간 싱크 오차 0.5초 이내</t>
        </is>
      </c>
      <c r="G63" s="46" t="inlineStr">
        <is>
          <t>[작업 절차]
1. 사전 준비 단계:
   - 설계 도서 및 시방 기준을 분석하여 PSD 가동문 모터 조립 및 연동 시운전 작업을 위한 현장 실측 및 경계 측량을 수행함.
2. 본 시공 단계:
   - DC 모터 기어 박스 벨트 장력 조정(벨트 처짐 5mm 이하) 작업을 표준 시공 절차에 준하여 시행하며, 실시간 수평도 및 치수 공차를 관리함.
3. 검사 및 마감 단계:
   - 도어 센서 검지 한계 설정(두께 10mm 이상 물체 감지 시 재개판) 시험 및 품질 검사를 실측하고 기준값 만족 여부를 기록함. 열차 신호 인터페이스반과 연동하여 개폐 동작 100회 연속 테스트 작업을 거쳐 노면 정리 및 안전 조치를 완료함.
[주의사항 (하자이력 연계)]
센서 감도 셋팅 불량으로 승객 가방이 끼었음에도 감지하지 못하고 열차 출발 신호 송출</t>
        </is>
      </c>
      <c r="H63" s="46" t="inlineStr">
        <is>
          <t>□ 모터 벨트 장력 측정값 설계 일치 여부
□ 센서 작동 및 장애물 감지 재열림 기능 테스트 합격
□ 열차 무선 신호 연동 개폐 싱크 오차(0.5초 이내) 확인
[집행단계 리스크 체크사항 (LLBS 연계)]
□ 공기 연장 시 고정적으로 지출되는 품질/안전 관리자 인건비 및 차량 유지비가 산출되었는가?
□ 배수펌프장 등 필수 운영 시설의 가동 기간이 전체 공사 기간과 연동되어 있는가?
□ 공사 구간 인근에 진동에 민감한 시설(반도체 공장, 병원, 문화재)이 있는가?
□ 지반 조사 데이터(RQD, 탄성파 속도)를 기반으로 진동 전달율을 보수적으로 산정했는가?</t>
        </is>
      </c>
      <c r="I63" s="46" t="inlineStr">
        <is>
          <t>전기/통신</t>
        </is>
      </c>
      <c r="J63" s="47" t="inlineStr">
        <is>
          <t>● 관련분야 설계기준서 준수</t>
        </is>
      </c>
      <c r="K63" s="47" t="inlineStr">
        <is>
          <t>● 해당 공종 리스크 분석 수립 준수</t>
        </is>
      </c>
      <c r="L63" s="47" t="inlineStr">
        <is>
          <t>● 협력사 자문 내용 없음 또는 해당사항 없음</t>
        </is>
      </c>
    </row>
    <row r="64" ht="22.05" customHeight="1">
      <c r="A64" s="43" t="inlineStr">
        <is>
          <t>7000  차량기지 공사 (Depot Construction)</t>
        </is>
      </c>
      <c r="B64" s="51" t="n"/>
      <c r="C64" s="51" t="n"/>
      <c r="D64" s="51" t="n"/>
      <c r="E64" s="51" t="n"/>
      <c r="F64" s="51" t="n"/>
      <c r="G64" s="51" t="n"/>
      <c r="H64" s="51" t="n"/>
      <c r="I64" s="51" t="n"/>
      <c r="J64" s="51" t="n"/>
      <c r="K64" s="51" t="n"/>
      <c r="L64" s="52" t="n"/>
    </row>
    <row r="65" ht="139.95" customHeight="1">
      <c r="A65" s="45" t="inlineStr">
        <is>
          <t>7000</t>
        </is>
      </c>
      <c r="B65" s="45" t="inlineStr">
        <is>
          <t>7000-1</t>
        </is>
      </c>
      <c r="C65" s="46" t="inlineStr">
        <is>
          <t>차량기지 부지조성 및 노반 토공</t>
        </is>
      </c>
      <c r="D65" s="45" t="inlineStr">
        <is>
          <t>7000-1-1</t>
        </is>
      </c>
      <c r="E65" s="46" t="inlineStr">
        <is>
          <t>차량기지 부지 대규모 성토공 및 지반 다짐</t>
        </is>
      </c>
      <c r="F65" s="46" t="inlineStr">
        <is>
          <t>● KCS 11 20 20 (도로 다짐 및 성토공)
● 대규모 기지 부지 절·성토용 토사 유기물 함량 1% 미만, 다짐도 95% 이상</t>
        </is>
      </c>
      <c r="G65" s="46" t="inlineStr">
        <is>
          <t>[작업 절차]
1. 사전 준비 단계:
   - 설계 도서 및 시방 기준을 분석하여 차량기지 부지 대규모 성토공 및 지반 다짐 작업을 위한 현장 실측 및 경계 측량을 수행함.
2. 본 시공 단계:
   - 성토 재료 of 입도 분석 및 유기물 함량 시험(1% 미만) 작업을 표준 시공 절차에 준하여 시행하며, 실시간 수평도 및 치수 공차를 관리함.
3. 검사 및 마감 단계:
   - 300mm 두께 층다짐 실시 및 진동 롤러 전압 시험 및 품질 검사를 실측하고 기준값 만족 여부를 기록함. 현장 밀도 측정 및 최적 함수비 제어 작업을 거쳐 노면 정리 및 안전 조치를 완료함.
[주의사항 (하자이력 연계)]
차량기지 대규모 성토 시 유기질 토사 혼입으로 장기 압밀 침하, 정비고 바닥 균열</t>
        </is>
      </c>
      <c r="H65" s="46" t="inlineStr">
        <is>
          <t>□ 반입 토사 품질 시험 성적서 합격 여부
□ 층다짐 두께 300mm 초과 여부 확인
□ 들밀도시험 성적서 상 다짐도(95% 이상) 통과
[집행단계 리스크 체크사항 (LLBS 연계)]
□ 기초 터파기 구간의 지반 조건(연약지반)을 고려할 때 사면 경사를 유지할 부지가 충분한가?
□ 항타기 등 대형 장비의 진입로 폭과 회전 반경이 현장 여건(농로, 마을길)과 부합하는가?
□ 터널 노선 상 단층 파쇄대 존재 여부를 파악하기 위한 탄성파 탐사나 전기비저항 탐사가 수행되었는가?
□ 석회암 지대 등 공동 발생 우려 지역에 대한 물리탐사(GPR, 전기비저항) 계획이 있는가?</t>
        </is>
      </c>
      <c r="I65" s="46" t="inlineStr">
        <is>
          <t>토목</t>
        </is>
      </c>
      <c r="J65" s="47" t="inlineStr">
        <is>
          <t>● [토질기초] 연약지반 판정기준: 점성토 층두께 10m 이상 시 N치 6 이하, 사질토 N치 15 이하 적용
● [토질기초] 차량기지 대규모 성토 시 허용 잔류침하량 100.0mm 이하 관리 (연약지반 처리 구간)</t>
        </is>
      </c>
      <c r="K65" s="47" t="inlineStr">
        <is>
          <t>● 해당 공종 리스크 분석 수립 준수</t>
        </is>
      </c>
      <c r="L65" s="47" t="inlineStr">
        <is>
          <t>● 협력사 자문 내용 없음 또는 해당사항 없음</t>
        </is>
      </c>
    </row>
    <row r="66" ht="139.95" customHeight="1">
      <c r="A66" s="48" t="inlineStr">
        <is>
          <t>7000</t>
        </is>
      </c>
      <c r="B66" s="48" t="inlineStr">
        <is>
          <t>7000-1</t>
        </is>
      </c>
      <c r="C66" s="49" t="inlineStr">
        <is>
          <t>차량기지 부지조성 및 노반 토공</t>
        </is>
      </c>
      <c r="D66" s="48" t="inlineStr">
        <is>
          <t>7000-1-2</t>
        </is>
      </c>
      <c r="E66" s="49" t="inlineStr">
        <is>
          <t>연약지반 개량(PBD 등) 배수재 포설 및 모니터링</t>
        </is>
      </c>
      <c r="F66" s="49" t="inlineStr">
        <is>
          <t>● KCS 11 30 10 (연약지반 개량 표준시방)
● PBD 삽입 간격(1.5m 격자), 상부 샌드매트 모래 점토분 함량 5% 이하 제어</t>
        </is>
      </c>
      <c r="G66" s="49" t="inlineStr">
        <is>
          <t>[작업 절차]
1. 사전 준비 단계:
   - 설계 도서 및 시방 기준을 분석하여 연약지반 개량(PBD 등) 배수재 포설 및 모니터링 작업을 위한 현장 실측 및 경계 측량을 수행함.
2. 본 시공 단계:
   - 플라스틱 보드 드레인(PBD) 장비 수직도 유지 인입 작업을 표준 시공 절차에 준하여 시행하며, 실시간 수평도 및 치수 공차를 관리함.
3. 검사 및 마감 단계:
   - 상부 샌드 매트(두께 500mm) 모래 포설 시험 및 품질 검사를 실측하고 기준값 만족 여부를 기록함. 침하판 및 간극수압계 매일 데이터 수집 및 침하 수렴 곡선 분석 작업을 거쳐 노면 정리 및 안전 조치를 완료함.
[주의사항 (하자이력 연계)]
배수재 삽입 중 강관 인장 불량으로 배수재 중간 단절, 압밀 불량으로 침하 계속</t>
        </is>
      </c>
      <c r="H66" s="49" t="inlineStr">
        <is>
          <t>□ PBD 삽입 간격(1.5m 격자) 및 도달 깊이 확인
□ 샌드 매트 점토분 함량 기준(5% 이하) 만족
□ 계측 보고서 상 주간 침하 속도 감쇠 추이 확인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터널 노선 상 단층 파쇄대 존재 여부를 파악하기 위한 탄성파 탐사나 전기비저항 탐사가 수행되었는가?
□ 석회암(Karst) 지형 공사 시 공동 탐지를 위한 시추 간격을 조밀하게 계획했는가?</t>
        </is>
      </c>
      <c r="I66" s="49" t="inlineStr">
        <is>
          <t>토목</t>
        </is>
      </c>
      <c r="J66" s="50" t="inlineStr">
        <is>
          <t>● 관련분야 설계기준서 준수</t>
        </is>
      </c>
      <c r="K66" s="50" t="inlineStr">
        <is>
          <t>● 해당 공종 리스크 분석 수립 준수</t>
        </is>
      </c>
      <c r="L66" s="50" t="inlineStr">
        <is>
          <t>● 협력사 자문 내용 없음 또는 해당사항 없음</t>
        </is>
      </c>
    </row>
    <row r="67" ht="139.95" customHeight="1">
      <c r="A67" s="45" t="inlineStr">
        <is>
          <t>7000</t>
        </is>
      </c>
      <c r="B67" s="45" t="inlineStr">
        <is>
          <t>7000-2</t>
        </is>
      </c>
      <c r="C67" s="46" t="inlineStr">
        <is>
          <t>유치선·정비선·검수선 궤도 부설 및 분기기 설치</t>
        </is>
      </c>
      <c r="D67" s="45" t="inlineStr">
        <is>
          <t>7000-2-1</t>
        </is>
      </c>
      <c r="E67" s="46" t="inlineStr">
        <is>
          <t>차량기지 내 분기기(Turnout) 정밀 거치</t>
        </is>
      </c>
      <c r="F67" s="46" t="inlineStr">
        <is>
          <t>● 경기도 노면전차 건설 규정 및 도시철도법 기준 준수
● 레일 규격: Grooved Rail 54G2 (Grade R260), L=18m (R≤90m 곡선 내·외측 및 모든 분기기 구성 레일은 Grade 290GHT 이상 고강도 열처리 적용)
● 궤도 구조: 매립형 수지고정형 및 블록결합형 방식 (일반 구간: 현타 블록결합형, 검수고: H-Beam 도상 궤도, 세척고: 매립형 콘크리트 도상)
● 궤도 높이(R.L~E.L): 기지 구간(현타) 380mm 적용
● 분기기 규격: Grooved Rail용 F4 침목(철제) 체결방식 매립형 분기기 (리드곡선반경 25m 이상, 포인트부 및 크로싱부 일체형 구조)</t>
        </is>
      </c>
      <c r="G67" s="46" t="inlineStr">
        <is>
          <t>[상세 작업 절차 - 정밀 관리]
1. 분기기 토대 측량 및 레이아웃 설정:
   - 차량기지 콘크리트 도상 기초면 위에 분기기 분기 시종점(IP, FBT, FET), 리드 궤도 곡선 반경 중심점 좌표를 광파기로 정밀 레이아웃 측량 마킹함.
2. 프리패키지 분기 블록 인양 거치:
   - 차량기지 정비고 및 분기 구역으로 공장 제작된 프리패키지 분기기 블록(텅레일, 크로싱, 가드레일 조립체)을 반입함. 50톤 크레인을 투입하여 4점식 빔 슬링으로 분기 블록을 수평 인양하고, 설계 마킹 지점 오차 10mm 이내로 가거치함.
3. 크로싱 및 텅레일 3D 얼라인먼트 조정:
   - 정밀 측량 프리즘 및 게이지를 부착하고, 조절 스핀들 잭을 조작하여 분기기 전 구간의 높이, 수평 레벨, 분기 곡선의 중심 선형을 광파기로 모니터링하며 허용 오차(±1mm 이내) 내로 정밀 조정함.
4. 백게이지(Back Gauge) 및 크로싱 치수 검사:
   - 크로싱부 포인트와 날개레일 간의 백게이지 치수(규격 예: 1393mm ±1mm 이내) 및 플랜지웨이 틈새 폭을 마이크로 캘리퍼스로 실측 확인하여 기록함.
5. 앵커 볼트 고정 및 무수축 충진:
   - 분기기 고정용 기초 앵커 볼트를 HSB 바닥 홀에 고강도 에폭시 접착제로 주입 고정하고, 슬래브 하부 공동 방지를 위한 고유동성 고강도 무수축 몰탈을 주입 타설한 후 습윤 양생을 실시함.
[주의사항 (하자이력 연계)]
크로싱부 정렬 오차로 트램 주행 시 플랜지 충돌음 발생 및 타이어 조기 마모
● 협력업체 자문
 [분기기배수] 차축검지기함, 히팅장치함 등 오목부 배수 계획 누락 시 침수 하자가 상시 발생하므로, 저점부에 이물질 막힘 방지용 배수구를 최소 2개소 이상 분산 설치할 것
 [탄성분기기] RCS고무 부착형 RF궤도 분기기는 운반 및 시공 중 고무재가 벌어져 수분 침투로 동결 팽창 하자가 발생하므로, 국내 사계절 기후에 대한 밀폐형 실리콘 주입 등 수밀성 확보 및 내구성 검증 선행 필수</t>
        </is>
      </c>
      <c r="H67" s="46" t="inlineStr">
        <is>
          <t>□ 분기기 정렬 수평 오차(±1.5mm 이내) 확인
□ 텅레일 밀착 상태(게이지 블록 통과 여부)
□ 분기기 크로싱부 백게이지 치수 규격 도달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하부 도로/구조물이 상부 시공 하중(크레인+거더)을 견딜 수 있는가?
□ 벤트 위치가 하부 교통 흐름이나 구조물과 간섭되지 않는가?</t>
        </is>
      </c>
      <c r="I67" s="46" t="inlineStr">
        <is>
          <t>토목/궤도</t>
        </is>
      </c>
      <c r="J67" s="47" t="inlineStr">
        <is>
          <t>● [선로설계] 차량기지 내 선로 기울기: 천분의 10(10/1,000) 이하, 정비선 및 유치선 기울기는 천분의 2(2/1,000) 이하 적용
● [구조분야] 장대레일 종하중: 콘크리트도상 상부구조 레일 신축이음장치 적용 여부에 따른 종방향 응력 계산 적용</t>
        </is>
      </c>
      <c r="K67" s="47" t="inlineStr">
        <is>
          <t>● H-Beam 매립 불량 및 타 검수 장비와의 간섭으로 트램 안착 시 궤간 틀림이 발생하고 콘크리트를 파쇄해야 할 대형 리스크를 검토하였는가? (차량기지 안전 [3])
● 크로싱부 정렬 오차로 트램 주행 시 플랜지 충돌음 발생 및 타이어 조기 마모 리스크를 검토하였는가? (궤도 분기기 [2-1] 연계)
● 측량 누락 및 시공 오차로 레일 종단과 검수장비 간 단차가 발생해 차량 탈선 및 장비 파손이 유발될 리스크를 검토하였는가? (궤도 검수고 [1] [2] 연계)</t>
        </is>
      </c>
      <c r="L67" s="47" t="inlineStr">
        <is>
          <t>● [분기기배수] 차축검지기함, 히팅장치함 등 오목부 배수 계획 누락 시 침수 하자가 상시 발생하므로, 저점부에 이물질 막힘 방지용 배수구를 최소 2개소 이상 분산 설치할 것
● [탄성분기기] RCS고무 부착형 RF궤도 분기기는 운반 및 시공 중 고무재가 벌어져 수분 침투로 동결 팽창 하자가 발생하므로, 국내 사계절 기후에 대한 밀폐형 실리콘 주입 등 수밀성 확보 및 내구성 검증 선행 필수</t>
        </is>
      </c>
    </row>
    <row r="68" ht="139.95" customHeight="1">
      <c r="A68" s="48" t="inlineStr">
        <is>
          <t>7000</t>
        </is>
      </c>
      <c r="B68" s="48" t="inlineStr">
        <is>
          <t>7000-2</t>
        </is>
      </c>
      <c r="C68" s="49" t="inlineStr">
        <is>
          <t>유치선·정비선·검수선 궤도 부설 및 분기기 설치</t>
        </is>
      </c>
      <c r="D68" s="48" t="inlineStr">
        <is>
          <t>7000-2-2</t>
        </is>
      </c>
      <c r="E68" s="49" t="inlineStr">
        <is>
          <t>기지 전환기(MJ81 등) 조립 및 전환력 측정 테스트</t>
        </is>
      </c>
      <c r="F68" s="49" t="inlineStr">
        <is>
          <t>● KCS 47 40 20 (철도 신호 전환 설비)
● 레일 용접: 1차(장척화) 및 2차(장대화) 용접 모두 테르밋(Thermit) 용접 적용하여 기지 전 구간 장대화 구현
● 차막이: 유압식 또는 차륜막이식 차막이 및 각종 선로제표 설치 기준 준수</t>
        </is>
      </c>
      <c r="G68" s="49" t="inlineStr">
        <is>
          <t>[상세 작업 절차 - 정밀 관리]
1. 전환기 MJ81 유닛 거치 및 구동 롯드 연결:
   - 차량기지 분기기 거치 완료 후, 선로 측면에 전환기(MJ81 모델) 강제 케이스 유닛을 볼트 고정 건식 거치함. 전환기 크랭크 축과 텅레일 간의 구동 롯드(Drive Rod) 및 쇄정 롯드(Lock Rod)를 볼트 체결 접합함.
2. 텅레일 밀착 스트로크 조정:
   - 전환기 기어박스 수동 핸들을 회전시켜 텅레일의 좌우 밀착 거동을 확인하고, 텅레일과 기본레일 간의 밀착 클리어런스(밀착 시 틈새 1mm 이하)가 되도록 구동 롯드 나사산을 미세 조정함.
3. 로드셀(Load Cell) 전환력 측정 셋업:
   - 구동 롯드 중간에 정밀 인장-압축 로드셀 측정기 센서와 데이터 로거(Data Logger)를 연결 세팅함.
4. 전동 기동 전환력 측정 실시:
   - 전기실 제어반 전원 가압을 실시하여 전동식으로 전환기를 10회 왕복 작동시키고, 밀착 시 가해지는 순간 최대 전환력(설계 기준치: 2.0~2.5 kN 범위 이내) 데이터를 실시간 로깅 분석함. 만약 전환력이 3.0 kN을 초과할 경우 텅레일 변형 하자가 우려되므로 스프링 장력을 미세 재조정함.
5. MJ81 내부 기어 오일 충진 및 쇄정(Lock) 테스트:
   - 내부 가동 기어박스에 지정 점도의 윤활유를 충진하고, 쇄정 핀의 기계적 잠금 상태(쇄정 갭 1.5mm 테스트 바 삽입 시 작동 중단 여부)를 최종 테스트 확인하고 보고서를 작성함.
[주의사항 (하자이력 연계)]
전환력 설정 과다로 텅레일 변형 또는 전환력 부족으로 중간 걸림 사고 발생</t>
        </is>
      </c>
      <c r="H68" s="49" t="inlineStr">
        <is>
          <t>□ 전환기 고정 볼트 토크 검사 및 잠금 핀 장착 여부
□ 전환력 실측값 및 모터 구동 전류 파형 정상 여부
□ 신호 기계실 연동 제어반 상의 포지션 피드백 신호 확인
[집행단계 리스크 체크사항 (LLBS 연계)]
□ 흙막이 가시설과 본 구조물 사이에 거푸집 설치 및 작업자 이동 공간(최소 1m 이상)이 확보되었는가?
□ 운행선 인접 공사 시 가시설 설치 공간이 건축한계(Safety Clearance)를 침범하지 않는지 확인했는가?
□ 터널 노선 상 단층 파쇄대 존재 여부를 파악하기 위한 탄성파 탐사나 전기비저항 탐사가 수행되었는가?
□ 비개착 굴착(TBM, SemiShield) 시 여굴 발생에 대비한 뒷채움 주입 설비가 반영되었는가?</t>
        </is>
      </c>
      <c r="I68" s="49" t="inlineStr">
        <is>
          <t>토목/궤도</t>
        </is>
      </c>
      <c r="J68" s="50" t="inlineStr">
        <is>
          <t>● 관련분야 설계기준서 준수</t>
        </is>
      </c>
      <c r="K68" s="50" t="inlineStr">
        <is>
          <t>● 전환력 설정 과다로 텅레일 변형 또는 전환력 부족으로 중간 걸림 사고 리스크를 검토하였는가? (궤도 분기기 [2-2] 연계)
● 1차(장척화) 및 2차(장대화) 용접 모두 테르밋(Thermit) 용접 적용 시 온도 관리 및 연마 불량으로 궤간 뒤틀림이 발생할 리스크를 검토하였는가? (궤도 용접 [19] 연계)</t>
        </is>
      </c>
      <c r="L68" s="50" t="inlineStr">
        <is>
          <t>● 협력사 자문 내용 없음 또는 해당사항 없음</t>
        </is>
      </c>
    </row>
    <row r="69" ht="139.95" customHeight="1">
      <c r="A69" s="45" t="inlineStr">
        <is>
          <t>7000</t>
        </is>
      </c>
      <c r="B69" s="45" t="inlineStr">
        <is>
          <t>7000-3</t>
        </is>
      </c>
      <c r="C69" s="46" t="inlineStr">
        <is>
          <t>검수고·관제실·부대건축물 신축 공사</t>
        </is>
      </c>
      <c r="D69" s="45" t="inlineStr">
        <is>
          <t>7000-3-1</t>
        </is>
      </c>
      <c r="E69" s="46" t="inlineStr">
        <is>
          <t>정비고 철골 구조물 기둥 세우기 및 고장력 볼트 조임</t>
        </is>
      </c>
      <c r="F69" s="46" t="inlineStr">
        <is>
          <t>● KCS 14 31 10 (강구조 공사 표준시방)
● 검수고 철골 구조물 기둥 수직도 오차 ±5mm 이내, F10T 고장력 볼트 체결</t>
        </is>
      </c>
      <c r="G69" s="46" t="inlineStr">
        <is>
          <t>[작업 절차]
1. 사전 준비 단계:
   - 설계 도서 및 시방 기준을 분석하여 정비고 철골 구조물 기둥 세우기 및 고장력 볼트 조임 작업을 위한 현장 실측 및 경계 측량을 수행함.
2. 본 시공 단계:
   - 기둥 앵커 레벨 정밀 확인 및 베이스 플레이트 안착 작업을 표준 시공 절차에 준하여 시행하며, 실시간 수평도 및 치수 공차를 관리함.
3. 검사 및 마감 단계:
   - 고장력 볼트(F10T) 조임 기기 토크 센서 캘리브레이션 시험 및 품질 검사를 실측하고 기준값 만족 여부를 기록함. 와셔 변형각도법 및 마킹법 병행하여 2차 최종 체결 확인 작업을 거쳐 노면 정리 및 안전 조치를 완료함.
[주의사항 (하자이력 연계)]
고장력 볼트 1차/2차 토크 조임 누락으로 지붕 트러스 가동 시 기둥 접합부 전단 파손</t>
        </is>
      </c>
      <c r="H69" s="46" t="inlineStr">
        <is>
          <t>□ 볼트 체결 시 마킹 라인 일치 및 볼트 여유 나사산 수
□ 토크 렌치 검사 성적서 및 당일 현장 조임 기록
□ 기둥 수직도 오차(±5mm 이내) 확인
[집행단계 리스크 체크사항 (LLBS 연계)]
□ 구조물 터파기 사면(Open Cut)의 상단 라인이 공사 부지 경계선 내에 들어오는가?
□ 교량 시공용 대형 크레인(200ton 이상)의 아웃트리거 전개 폭을 고려하여 가교 폭이나 작업대(Staging)가 반영되었는가?
□ 하부 도로/구조물이 상부 강교 시공 하중(크레인+거더)을 견딜 수 있는가?
□ ILM 압출 단계별 Lateral Guide와 Bracket의 접촉 여부 및 지지 경간을 시뮬레이션했는가?</t>
        </is>
      </c>
      <c r="I69" s="46" t="inlineStr">
        <is>
          <t>건축</t>
        </is>
      </c>
      <c r="J69" s="47" t="inlineStr">
        <is>
          <t>● 관련분야 설계기준서 준수</t>
        </is>
      </c>
      <c r="K69" s="47" t="inlineStr">
        <is>
          <t>● 고장력 볼트 1차/2차 토크 조임 누락으로 지붕 트러스 가동 시 기둥 접합부 전단 파손 리스크를 검토하였는가?</t>
        </is>
      </c>
      <c r="L69" s="47" t="inlineStr">
        <is>
          <t>● 협력사 자문 내용 없음 또는 해당사항 없음</t>
        </is>
      </c>
    </row>
    <row r="70" ht="139.95" customHeight="1">
      <c r="A70" s="48" t="inlineStr">
        <is>
          <t>7000</t>
        </is>
      </c>
      <c r="B70" s="48" t="inlineStr">
        <is>
          <t>7000-4</t>
        </is>
      </c>
      <c r="C70" s="49" t="inlineStr">
        <is>
          <t>차량기지 내 급전·전기·기계 설비 설치</t>
        </is>
      </c>
      <c r="D70" s="48" t="inlineStr">
        <is>
          <t>7000-4-1</t>
        </is>
      </c>
      <c r="E70" s="49" t="inlineStr">
        <is>
          <t>검수고 내 가공 전차선(Rigid Bar) 정밀 가설</t>
        </is>
      </c>
      <c r="F70" s="49" t="inlineStr">
        <is>
          <t>● KCS 47 30 30 (전차선로 현수선 공사)
● 차량기지 내 팬터그래프 상승 충전 가공 강체 전차선(Rigid Bar)
● 알루미늄 T-Bar/리지드 바 수평도 오차 1mm 이내, 조인트 단차 0.1mm 이하 그라인딩</t>
        </is>
      </c>
      <c r="G70" s="49" t="inlineStr">
        <is>
          <t>[작업 절차]
1. 사전 준비 단계:
   - 설계 도서 및 시방 기준을 분석하여 검수고 내 가공 전차선(Rigid Bar) 정밀 가설 작업을 위한 현장 실측 및 경계 측량을 수행함.
2. 본 시공 단계:
   - 천장 빔 고정 브래킷 볼팅 강도 확인 작업을 표준 시공 절차에 준하여 시행하며, 실시간 수평도 및 치수 공차를 관리함.
3. 검사 및 마감 단계:
   - 알루미늄 T-Bar 조립 및 수평 레벨링(허용 오차 1mm 이내) 시험 및 품질 검사를 실측하고 기준값 만족 여부를 기록함. 구리 전차선 삽입기 가동 및 가설 후 조인트 단차 그라인딩 연마 작업을 거쳐 노면 정리 및 안전 조치를 완료함.
[주의사항 (하자이력 연계)]
리지드 바 조인트 단차로 팬터그래프 통과 시 스파크 발생 및 탄소판 이상 마모</t>
        </is>
      </c>
      <c r="H70" s="49" t="inlineStr">
        <is>
          <t>□ 리지드 바 궤도 중심선 평행 정렬 오차(±5mm 이내)
□ 전차선 조인트부 단차 실측(0.1mm 이하 합격)
□ 팽창 이음장치(Expansion Joint) 신축 갭 설정 확인
[집행단계 리스크 체크사항 (LLBS 연계)]
□ 개착 구조물 기초 바닥에 지하수 배제를 위한 맹암거 및 유공관이 반영되었는가?
□ 구조물과 흙막이 벽체 사이 여유폭(Working Space) 내에 배수로 설치 공간이 확보되었는가?
□ 교량 시공용 대형 크레인(200ton 이상)의 아웃트리거 전개 폭을 고려하여 가교 폭이나 작업대(Staging)가 반영되었는가?
□ 항타기 등 대형 장비의 진입로 폭과 회전 반경이 현장 여건(농로, 마을길)과 부합하는가?</t>
        </is>
      </c>
      <c r="I70" s="49" t="inlineStr">
        <is>
          <t>전기/기계</t>
        </is>
      </c>
      <c r="J70" s="50" t="inlineStr">
        <is>
          <t>● 관련분야 설계기준서 준수</t>
        </is>
      </c>
      <c r="K70" s="50" t="inlineStr">
        <is>
          <t>● 리지드 바 조인트 단차로 팬터그래프 통과 시 스파크 발생 및 탄소판 이상 마모 리스크를 검토하였는가?</t>
        </is>
      </c>
      <c r="L70" s="50" t="inlineStr">
        <is>
          <t>● 협력사 자문 내용 없음 또는 해당사항 없음</t>
        </is>
      </c>
    </row>
    <row r="71" ht="139.95" customHeight="1">
      <c r="A71" s="45" t="inlineStr">
        <is>
          <t>7000</t>
        </is>
      </c>
      <c r="B71" s="45" t="inlineStr">
        <is>
          <t>7000-5</t>
        </is>
      </c>
      <c r="C71" s="46" t="inlineStr">
        <is>
          <t>세차·세륜 설비 및 외곽 부대시설 설치</t>
        </is>
      </c>
      <c r="D71" s="45" t="inlineStr">
        <is>
          <t>7000-5-1</t>
        </is>
      </c>
      <c r="E71" s="46" t="inlineStr">
        <is>
          <t>자동 세차기 설비 거치 및 급배수관 연결</t>
        </is>
      </c>
      <c r="F71" s="46" t="inlineStr">
        <is>
          <t>● KCS 47 50 30 (차량기지 기계 설비)
● 옥외세척고 자동 세차기 설비 앵커링 고정 표준 준수</t>
        </is>
      </c>
      <c r="G71" s="46" t="inlineStr">
        <is>
          <t>[작업 절차]
1. 사전 준비 단계:
   - 설계 도서 및 시방 기준을 분석하여 자동 세차기 설비 거치 및 급배수관 연결 작업을 위한 현장 실측 및 경계 측량을 수행함.
2. 본 시공 단계:
   - 세차 설비 베이스 콘크리트 수평 앵커링 작업을 표준 시공 절차에 준하여 시행하며, 실시간 수평도 및 치수 공차를 관리함.
3. 검사 및 마감 단계:
   - 회전 브러시 모터 및 세차 노즐 설치 시험 및 품질 검사를 실측하고 기준값 만족 여부를 기록함. 급수 압력 조절 밸브 및 배수 필터 장착 테스트 작업을 거쳐 노면 정리 및 안전 조치를 완료함.
[주의사항 (하자이력 연계)]
세차 브러시 작동 압력 실측값 미조정으로 세차 중 트램 측면 유리 스크래치 파손</t>
        </is>
      </c>
      <c r="H71" s="46" t="inlineStr">
        <is>
          <t>□ 세차기 프레임 앵커 인장 체결 상태
□ 브러시 가압 조절용 리미트 스위치 동작 확인
□ 급수 배관 접속부 수압 테스트 누수 무 확인
[집행단계 리스크 체크사항 (LLBS 연계)]
□ 흙막이 가시설과 본 구조물 사이에 거푸집 설치 및 작업자 이동 공간(최소 1m 이상)이 확보되었는가?
□ 교량 시공용 대형 크레인(200ton 이상)의 아웃트리거 전개 폭을 고려하여 가교 폭이나 작업대(Staging)가 반영되었는가?
□ 비개착 굴착(TBM, SemiShield) 시 여굴 발생에 대비한 뒷채움 주입 설비가 반영되었는가?
□ 공정별 유량 변동폭(Peak시)을 감안하여 펌프 용량 및 예비 펌프가 반영되었는가?</t>
        </is>
      </c>
      <c r="I71" s="46" t="inlineStr">
        <is>
          <t>기계/토목</t>
        </is>
      </c>
      <c r="J71" s="47" t="inlineStr">
        <is>
          <t>● 관련분야 설계기준서 준수</t>
        </is>
      </c>
      <c r="K71" s="47" t="inlineStr">
        <is>
          <t>● 세차 브러시 작동 압력 실측값 미조정으로 세차 중 트램 측면 유리 스크래치 파손 리스크를 검토하였는가?</t>
        </is>
      </c>
      <c r="L71" s="47" t="inlineStr">
        <is>
          <t>● 협력사 자문 내용 없음 또는 해당사항 없음</t>
        </is>
      </c>
    </row>
    <row r="72" ht="139.95" customHeight="1">
      <c r="A72" s="48" t="inlineStr">
        <is>
          <t>7000</t>
        </is>
      </c>
      <c r="B72" s="48" t="inlineStr">
        <is>
          <t>7000-5</t>
        </is>
      </c>
      <c r="C72" s="49" t="inlineStr">
        <is>
          <t>세차·세륜 설비 및 외곽 부대시설 설치</t>
        </is>
      </c>
      <c r="D72" s="48" t="inlineStr">
        <is>
          <t>7000-5-2</t>
        </is>
      </c>
      <c r="E72" s="49" t="inlineStr">
        <is>
          <t>세차 폐수 처리조 설비 설치 및 시운전</t>
        </is>
      </c>
      <c r="F72" s="49" t="inlineStr">
        <is>
          <t>● 수질 및 수생태계 보전에 관한 법률
● 세차 폐수 처리 방류수 수질 기준(SS 20ppm 이하, pH 5.8~8.6) 달성</t>
        </is>
      </c>
      <c r="G72" s="49" t="inlineStr">
        <is>
          <t>[작업 절차]
1. 사전 준비 단계:
   - 설계 도서 및 시방 기준을 분석하여 세차 폐수 처리조 설비 설치 및 시운전 작업을 위한 현장 실측 및 경계 측량을 수행함.
2. 본 시공 단계:
   - 화학 약품 응집제 정량 펌프 스트로크 튜닝 작업을 표준 시공 절차에 준하여 시행하며, 실시간 수평도 및 치수 공차를 관리함.
3. 검사 및 마감 단계:
   - 오일 스키머(유분 제거 장치) 유분 배출관 정렬 시험 및 품질 검사를 실측하고 기준값 만족 여부를 기록함. pH, SS 실시간 탁도계 센서 캘리브레이션 및 방류수 채수 검사 작업을 거쳐 노면 정리 및 안전 조치를 완료함.
[주의사항 (하자이력 연계)]
폐수 응집제 과소 투입으로 방류수 부유물질(SS) 기준치 초과 지자체 고발</t>
        </is>
      </c>
      <c r="H72" s="49" t="inlineStr">
        <is>
          <t>□ 방류수 수질(SS 20ppm 이하, pH 5.8~8.6) 달성 여부
□ 약품 정량 펌프 주입량 일치 여부 확인
□ 탁도 모니터링 경보 시스템 정상 동작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공사 기간 산정 시 민원 및 인허가 지연에 따른 여유 공기(Float)가 반영되었는가?
□ 배수펌프장 등 필수 운영 시설의 가동 기간이 전체 공사 기간과 연동되어 있는가?</t>
        </is>
      </c>
      <c r="I72" s="49" t="inlineStr">
        <is>
          <t>기계/토목</t>
        </is>
      </c>
      <c r="J72" s="50" t="inlineStr">
        <is>
          <t>● 관련분야 설계기준서 준수</t>
        </is>
      </c>
      <c r="K72" s="50" t="inlineStr">
        <is>
          <t>● 폐수 응집제 과소 투입으로 방류수 부유물질(SS) 기준치 초과 지자체 고발 리스크를 검토하였는가?</t>
        </is>
      </c>
      <c r="L72" s="50" t="inlineStr">
        <is>
          <t>● 협력사 자문 내용 없음 또는 해당사항 없음</t>
        </is>
      </c>
    </row>
    <row r="73" ht="22.05" customHeight="1">
      <c r="A73" s="43" t="inlineStr">
        <is>
          <t>9000  시운전 및 인계 (Commissioning &amp; Handover)</t>
        </is>
      </c>
      <c r="B73" s="51" t="n"/>
      <c r="C73" s="51" t="n"/>
      <c r="D73" s="51" t="n"/>
      <c r="E73" s="51" t="n"/>
      <c r="F73" s="51" t="n"/>
      <c r="G73" s="51" t="n"/>
      <c r="H73" s="51" t="n"/>
      <c r="I73" s="51" t="n"/>
      <c r="J73" s="51" t="n"/>
      <c r="K73" s="51" t="n"/>
      <c r="L73" s="52" t="n"/>
    </row>
    <row r="74" ht="139.95" customHeight="1">
      <c r="A74" s="45" t="inlineStr">
        <is>
          <t>9000</t>
        </is>
      </c>
      <c r="B74" s="45" t="inlineStr">
        <is>
          <t>9000-1</t>
        </is>
      </c>
      <c r="C74" s="46" t="inlineStr">
        <is>
          <t>시스템 통합 기능시험 및 확인시험</t>
        </is>
      </c>
      <c r="D74" s="45" t="inlineStr">
        <is>
          <t>9000-1-1</t>
        </is>
      </c>
      <c r="E74" s="46" t="inlineStr">
        <is>
          <t>무부하 신호-관제센터 간 패킷 수신 테스트</t>
        </is>
      </c>
      <c r="F74" s="46" t="inlineStr">
        <is>
          <t>● KCS 47 40 10 (신호 제어 시스템 시운전)
● 본선 안테나 무선 신호 RSSI -75dBm 이상 및 패킷 유실률 0.01% 이하</t>
        </is>
      </c>
      <c r="G74" s="46" t="inlineStr">
        <is>
          <t>[작업 절차]
1. 사전 준비 단계:
   - 설계 도서 및 시방 기준을 분석하여 무부하 신호-관제센터 간 패킷 수신 테스트 작업을 위한 현장 실측 및 경계 측량을 수행함.
2. 본 시공 단계:
   - 본선 통신 랙 서버 및 관제 콘솔 기동 작업을 표준 시공 절차에 준하여 시행하며, 실시간 수평도 및 치수 공차를 관리함.
3. 검사 및 마감 단계:
   - 테스트 패킷 송출 모뎀 세팅 시험 및 품질 검사를 실측하고 기준값 만족 여부를 기록함. 시간당 무선 패킷 유실률(0.01% 이하 목표) 체크 작업을 거쳐 노면 정리 및 안전 조치를 완료함.
[주의사항 (하자이력 연계)]
무선 AP 패킷 드롭(Packet Drop)으로 운행 중 트램 위치 소실 관제 화면 먹통</t>
        </is>
      </c>
      <c r="H74" s="46" t="inlineStr">
        <is>
          <t>□ 관제 컴퓨터 무선 통신 수신 패킷 로그 유실 유무
□ 통신 암호화 프로토콜 적용 확인
□ 본선 전 구간 안테나 신호 강도(RSSI -75dBm 이상) 확인
[집행단계 리스크 체크사항 (LLBS 연계)]
□ 배수펌프장 등 필수 운영 시설의 가동 기간이 전체 공사 기간과 연동되어 있는가?
□ 공사 구간 인근에 진동에 민감한 시설(반도체 공장, 병원, 문화재)이 있는가?
□ 지반 조사 데이터(RQD, 탄성파 속도)를 기반으로 진동 전달율을 보수적으로 산정했는가?
□ 외기에 노출되거나 동결 심도 내에 위치한 소화배관/소화전에 발열선(Heat Trace)이 반영되었는가?</t>
        </is>
      </c>
      <c r="I74" s="46" t="inlineStr">
        <is>
          <t>전기/신호/통신</t>
        </is>
      </c>
      <c r="J74" s="47" t="inlineStr">
        <is>
          <t>● 관련분야 설계기준서 준수</t>
        </is>
      </c>
      <c r="K74" s="47" t="inlineStr">
        <is>
          <t>● 무선 AP 패킷 드롭(Packet Drop)으로 운행 중 트램 위치 소실 관제 화면 먹통 리스크를 검토하였는가?</t>
        </is>
      </c>
      <c r="L74" s="47" t="inlineStr">
        <is>
          <t>● 협력사 자문 내용 없음 또는 해당사항 없음</t>
        </is>
      </c>
    </row>
    <row r="75" ht="139.95" customHeight="1">
      <c r="A75" s="48" t="inlineStr">
        <is>
          <t>9000</t>
        </is>
      </c>
      <c r="B75" s="48" t="inlineStr">
        <is>
          <t>9000-1</t>
        </is>
      </c>
      <c r="C75" s="49" t="inlineStr">
        <is>
          <t>시스템 통합 기능시험 및 확인시험</t>
        </is>
      </c>
      <c r="D75" s="48" t="inlineStr">
        <is>
          <t>9000-1-2</t>
        </is>
      </c>
      <c r="E75" s="49" t="inlineStr">
        <is>
          <t>변전소 통전 수전 및 전차선DC 가압 테스트</t>
        </is>
      </c>
      <c r="F75" s="49" t="inlineStr">
        <is>
          <t>● KCS 47 30 10 (변전 전기 설비 시운전)
● 변전소 DC 출력 전압 정밀도(DC 750V +10%/-15% 이내) 확보</t>
        </is>
      </c>
      <c r="G75" s="49" t="inlineStr">
        <is>
          <t>[작업 절차]
1. 사전 준비 단계:
   - 설계 도서 및 시방 기준을 분석하여 변전소 통전 수전 및 전차선DC 가압 테스트 작업을 위한 현장 실측 및 경계 측량을 수행함.
2. 본 시공 단계:
   - 한국전력공사 22.9kV 수전 회로 인입 스위치 가동 작업을 표준 시공 절차에 준하여 시행하며, 실시간 수평도 및 치수 공차를 관리함.
3. 검사 및 마감 단계:
   - 정류기 가동 후 전차선 출력 전압(DC 750V) 실측 시험 및 품질 검사를 실측하고 기준값 만족 여부를 기록함. 보호계전기(OCR/GR) 전류 캘리브레이터 시뮬레이션 트립 시험 작업을 거쳐 노면 정리 및 안전 조치를 완료함.
[주의사항 (하자이력 연계)]
보호 계전기 트립 전류 오설정으로 부하 주행 시 전원 차단기 오동작 트립(열차 정전)</t>
        </is>
      </c>
      <c r="H75" s="49" t="inlineStr">
        <is>
          <t>□ DC 출력 전압 정밀도(DC 750V +10%/-15% 이내)
□ 차단기 긴급 수동 트립 장치 동작 여부
□ 수변전실 접지 설비 일체 저항 측정 및 기준 충족 여부
[집행단계 리스크 체크사항 (LLBS 연계)]
□ 구조물과 흙막이 벽체 사이 여유폭(Working Space) 내에 배수로 설치 공간이 확보되었는가?
□ 교량 시공용 대형 크레인(200ton 이상)의 아웃트리거 전개 폭을 고려하여 가교 폭이나 작업대(Staging)가 반영되었는가?
□ 배수펌프장 등 필수 운영 시설의 가동 기간이 전체 공사 기간과 연동되어 있는가?
□ 동바리 높이가 10m를 초과하는 구간에 대해 시스템 동바리가 적용되었는가?</t>
        </is>
      </c>
      <c r="I75" s="49" t="inlineStr">
        <is>
          <t>전기/신호/통신</t>
        </is>
      </c>
      <c r="J75" s="50" t="inlineStr">
        <is>
          <t>● 관련분야 설계기준서 준수</t>
        </is>
      </c>
      <c r="K75" s="50" t="inlineStr">
        <is>
          <t>● 보호 계전기 트립 전류 오설정으로 부하 주행 시 전원 차단기 오동작 트립 리스크를 검토하였는가?</t>
        </is>
      </c>
      <c r="L75" s="50" t="inlineStr">
        <is>
          <t>● 협력사 자문 내용 없음 또는 해당사항 없음</t>
        </is>
      </c>
    </row>
    <row r="76" ht="139.95" customHeight="1">
      <c r="A76" s="45" t="inlineStr">
        <is>
          <t>9000</t>
        </is>
      </c>
      <c r="B76" s="45" t="inlineStr">
        <is>
          <t>9000-2</t>
        </is>
      </c>
      <c r="C76" s="46" t="inlineStr">
        <is>
          <t>기술시운전 계획 수립 및 관련기관 시험 운행</t>
        </is>
      </c>
      <c r="D76" s="45" t="inlineStr">
        <is>
          <t>9000-2-1</t>
        </is>
      </c>
      <c r="E76" s="46" t="inlineStr">
        <is>
          <t>기술시운전 속도별 제동거리 정밀 실측</t>
        </is>
      </c>
      <c r="F76" s="46" t="inlineStr">
        <is>
          <t>● 철도안전법 시행규칙 제42조 및 KSD 24 10 10 (주행안전성 기준) 준수
● 트램 성능 설계 최고속도 70km/h 비상 제동거리 실측</t>
        </is>
      </c>
      <c r="G76" s="46" t="inlineStr">
        <is>
          <t>[상세 작업 절차 - 정밀 관리]
1. 실측용 계측 센서 차량 장착:
   - 테스트 트램 차량에 고정밀 GPS 가속도계, 차륜 회전 펄스 엔코더 및 제동관 압력 센서를 장착함. 선로 측정 시점 및 종점부 노면에 레이저 감지 타겟(Photo-Gate)을 세팅함.
2. 시운전 선로 확보 및 건조 상태 확인:
   - 시운전 구간 선로 이물질을 고압 진공 살수로 청소하고, 지반 및 노면 상태(건조 상태 확인)를 기록하여 측정 신뢰성을 확보함.
3. 속도 단계별 주행 및 제동 작동:
   - 트램을 속도 단계별(15km/h, 30km/h, 45km/h 등)로 정속 주행시킨 후, 지정된 제동 시점 마킹 포인트를 통과하는 순간 상용 최대 제동(Full Service Brake) 및 비상 제동(Emergency Brake)을 작동시킴.
4. 제동거리 측정 및 데이터 로깅:
   - 제동 명령 동작 신호 입력 시점부터 차량이 완전 정지(속도 0 km/h)할 때까지의 실제 이동 거리(제동거리) 및 감속도(m/s2) 데이터를 0.01초 단위로 로깅함.
5. 비상 제동거리 설계 한계값 검증:
   - 최고 속도(45km/h) 비상 제동 시의 제동거리가 설계 한계값(예: 80m 이하)을 만족하는지 검증하고, 활주방지장치(WSP) 동작 이력을 분석하여 속도별 제동 특성 곡선 검토서를 작성함.
[주의사항 (하자이력 연계)]
우천 시 활주방지장치(WSP) 반응 지연으로 비상 제동거리 설계치 초과, 충돌 위험</t>
        </is>
      </c>
      <c r="H76" s="46" t="inlineStr">
        <is>
          <t>□ 속도별 비상제동 거리 설계 기준 이내 확보 확인
□ 활주 발생 시 WSP 동작 타임랙 분석 통과
□ 데이터 분석 보고서 기술지원팀 최종 서명 완료
[집행단계 리스크 체크사항 (LLBS 연계)]
□ 공사 기간 산정 시 민원 및 인허가 지연에 따른 여유 공기(Float)가 반영되었는가?
□ 공기 연장 시 고정적으로 지출되는 품질/안전 관리자 인건비 및 차량 유지비가 산출되었는가?
□ 공사 구간 인근에 진동에 민감한 시설(반도체 공장, 병원, 문화재)이 있는가?
□ 지반 조사 데이터(RQD, 탄성파 속도)를 기반으로 진동 전달율을 보수적으로 산정했는가?</t>
        </is>
      </c>
      <c r="I76" s="46" t="inlineStr">
        <is>
          <t>토목/전기</t>
        </is>
      </c>
      <c r="J76" s="47" t="inlineStr">
        <is>
          <t>● 관련분야 설계기준서 준수</t>
        </is>
      </c>
      <c r="K76" s="47" t="inlineStr">
        <is>
          <t>● 우천 시 활주방지장치(WSP) 반응 지연으로 비상 제동거리 설계치 초과, 충돌 위험 리스크를 검토하였는가?</t>
        </is>
      </c>
      <c r="L76" s="47" t="inlineStr">
        <is>
          <t>● 협력사 자문 내용 없음 또는 해당사항 없음</t>
        </is>
      </c>
    </row>
    <row r="77" ht="139.95" customHeight="1">
      <c r="A77" s="48" t="inlineStr">
        <is>
          <t>9000</t>
        </is>
      </c>
      <c r="B77" s="48" t="inlineStr">
        <is>
          <t>9000-2</t>
        </is>
      </c>
      <c r="C77" s="49" t="inlineStr">
        <is>
          <t>기술시운전 계획 수립 및 관련기관 시험 운행</t>
        </is>
      </c>
      <c r="D77" s="48" t="inlineStr">
        <is>
          <t>9000-2-2</t>
        </is>
      </c>
      <c r="E77" s="49" t="inlineStr">
        <is>
          <t>궤도-차량 동적 거동 승차감 진동 측정</t>
        </is>
      </c>
      <c r="F77" s="49" t="inlineStr">
        <is>
          <t>● ISO 2631 (전신 진동에 대한 인체 노출 평가 기준)
● 궤도-차량 간 주행시 3축 가속도 측정기 기준 승차감 지수 Wz 2.5 이하</t>
        </is>
      </c>
      <c r="G77" s="49" t="inlineStr">
        <is>
          <t>[상세 작업 절차 - 정밀 관리]
1. 승차감 진동 센서 장착:
   - 테스트 트램 차량의 차체 중앙부 바닥면(Passenger Floor) 및 대차 프레임(Bogey Frame)에 고정밀 3축 가속도 센서(측정 범위 ±2g, 분해능 0.001g)를 리지드 나사 체결 장착함.
2. 노선 선형 정보 및 계측기 동기화:
   - 계측 시스템의 타임스탬프와 차량 내 GPS 선로 마커를 동기화하여, 진동 발생 위치가 곡선부/분기기부 등 어느 선로 기하 구조에 해당하는지 추적 매핑되도록 설정함.
3. 주행 속도 프로파일 실행:
   - 대상 구간을 노선 규정 한계 속도 프로파일에 맞춰 주행함. 주행 중 발생하는 수직, 수평, 진행 방향 3축의 가속도 시계열 데이터를 200 Hz 이상의 샘플링 레이트로 로깅 기록함.
4. ISO 2631 승차감 지수 계산:
   - 획득된 가속도 진동 데이터에 인간 진동 반응 필터(주파수 가중 필터 Wd, Wk)를 통과시켜 실효값(RMS)을 구하고, ISO 2631 규격에 따른 주행 승차감 평가 지수(Comfort Index: 예, 0.315 m/s2 이하 'Very Comfortable')를 산출함.
5. 궤도 기하 상태 분석 및 피드백:
   - 곡선 진입부 완화곡선 캔트 경사부 등에서 승차감 한계값(가속도 급변 대역)을 초과한 지점을 궤도 중심선 오차 또는 종단 경사 오차 지점과 매핑하여, 궤도 정밀 연마 및 다짐 보정이 필요한 불량 구간 피드백 리포트를 발행함.
[주의사항 (하자이력 연계)]
곡선 진입부 횡가속도 허용치 초과로 승차감 지수 불합격, 재운행 시운전 명령</t>
        </is>
      </c>
      <c r="H77" s="49" t="inlineStr">
        <is>
          <t>□ 3축 가속도계 센서 캘리브레이션 유효기간 확인
□ 승차감 지수(Wz 2.5 이하) 만족 완료 여부
□ 곡선 탈출 시 급격한 횡진동 가속도 피크 값 검출 유무
[집행단계 리스크 체크사항 (LLBS 연계)]
□ 공사 기간 산정 시 민원 및 인허가 지연에 따른 여유 공기(Float)가 반영되었는가?
□ 공기 연장 시 고정적으로 지출되는 품질/안전 관리자 인건비 및 차량 유지비가 산출되었는가?
□ 도심지/운행선 인접 구간 암파쇄 공법이 '미진동'이 아닌 '무진동'으로 반영되었는가?
□ 민원 발생 시 공법 변경에 따른 공기 지연 리스크를 고려했는가?</t>
        </is>
      </c>
      <c r="I77" s="49" t="inlineStr">
        <is>
          <t>토목/전기</t>
        </is>
      </c>
      <c r="J77" s="50" t="inlineStr">
        <is>
          <t>● 관련분야 설계기준서 준수</t>
        </is>
      </c>
      <c r="K77" s="50" t="inlineStr">
        <is>
          <t>● 곡선 진입부 횡가속도 허용치 초과로 승차감 지수 불합격, 재운행 시운전 명령 리스크를 검토하였는가?</t>
        </is>
      </c>
      <c r="L77" s="50" t="inlineStr">
        <is>
          <t>● 협력사 자문 내용 없음 또는 해당사항 없음</t>
        </is>
      </c>
    </row>
    <row r="78" ht="139.95" customHeight="1">
      <c r="A78" s="45" t="inlineStr">
        <is>
          <t>9000</t>
        </is>
      </c>
      <c r="B78" s="45" t="inlineStr">
        <is>
          <t>9000-3</t>
        </is>
      </c>
      <c r="C78" s="46" t="inlineStr">
        <is>
          <t>영업시운전 및 관련기관 시험 운행</t>
        </is>
      </c>
      <c r="D78" s="45" t="inlineStr">
        <is>
          <t>9000-3-1</t>
        </is>
      </c>
      <c r="E78" s="46" t="inlineStr">
        <is>
          <t>영업시운전 100회 정시 운행(Scheduled Run) 테스트</t>
        </is>
      </c>
      <c r="F78" s="46" t="inlineStr">
        <is>
          <t>● 도시철도법 제19조 및 철도종합시험운행 시행지침
● 모의 영업 시나리오 기반 100회 정시 운행 성공률 99.8% 이상 확보</t>
        </is>
      </c>
      <c r="G78" s="46" t="inlineStr">
        <is>
          <t>[작업 절차]
1. 사전 준비 단계:
   - 설계 도서 및 시방 기준을 분석하여 영업시운전 100회 정시 운행(Scheduled Run) 테스트 작업을 위한 현장 실측 및 경계 측량을 수행함.
2. 본 시공 단계:
   - 실제 영업 시간표와 동일한 반복 주행 패턴 컴퓨터 셋업 작업을 표준 시공 절차에 준하여 시행하며, 실시간 수평도 및 치수 공차를 관리함.
3. 검사 및 마감 단계:
   - 각 정거장 정차 시간(20초) 준수 및 문 열림 연동 확인 시험 및 품질 검사를 실측하고 기준값 만족 여부를 기록함. 일일 지연 시간 분석 및 누적 정시성 평가 수행 작업을 거쳐 노면 정리 및 안전 조치를 완료함.
[주의사항 (하자이력 연계)]
정거장 정차 시간 마진 설정 오류로 누적 지연 발생, 피크 시간대 배차 간격 붕괴</t>
        </is>
      </c>
      <c r="H78" s="46" t="inlineStr">
        <is>
          <t>□ 정시 운행 성공률(99.8% 이상) 확인
□ 고장 모의 상황 시 자동 우회 패킷 전송 확인
□ 영업 시운전 일지 소장 최종 결재 확보 완료
[집행단계 리스크 체크사항 (LLBS 연계)]
□ 공기 연장 시 고정적으로 지출되는 품질/안전 관리자 인건비 및 차량 유지비가 산출되었는가?
□ 운행선 인접 공사의 작업 가능 시간(차단 시간)을 고려하여 공기가 산정되었는가?
□ 공사 구간 인근에 진동에 민감한 시설(반도체 공장, 병원, 문화재)이 있는가?
□ 지반 조사 데이터(RQD, 탄성파 속도)를 기반으로 진동 전달율을 보수적으로 산정했는가?</t>
        </is>
      </c>
      <c r="I78" s="46" t="inlineStr">
        <is>
          <t>토목/전기전문</t>
        </is>
      </c>
      <c r="J78" s="47" t="inlineStr">
        <is>
          <t>● 관련분야 설계기준서 준수</t>
        </is>
      </c>
      <c r="K78" s="47" t="inlineStr">
        <is>
          <t>● 정거장 정차 시간 마진 설정 오류로 누적 지연 발생, 피크 시간대 배차 간격 붕괴 리스크를 검토하였는가?</t>
        </is>
      </c>
      <c r="L78" s="47" t="inlineStr">
        <is>
          <t>● 협력사 자문 내용 없음 또는 해당사항 없음</t>
        </is>
      </c>
    </row>
    <row r="79" ht="139.95" customHeight="1">
      <c r="A79" s="48" t="inlineStr">
        <is>
          <t>9000</t>
        </is>
      </c>
      <c r="B79" s="48" t="inlineStr">
        <is>
          <t>9000-4</t>
        </is>
      </c>
      <c r="C79" s="49" t="inlineStr">
        <is>
          <t>최종 검측 및 준공도서 작성·인계 준비</t>
        </is>
      </c>
      <c r="D79" s="48" t="inlineStr">
        <is>
          <t>9000-4-1</t>
        </is>
      </c>
      <c r="E79" s="49" t="inlineStr">
        <is>
          <t>전 구간 준공도면(As-Built) CAD 실측 정밀 검증</t>
        </is>
      </c>
      <c r="F79" s="49" t="inlineStr">
        <is>
          <t>● KCS 11 10 05 (건설사업 준공 처리 지침)
● As-Built 준공도면 측량 오차 범위(±30mm 이내) 충족</t>
        </is>
      </c>
      <c r="G79" s="49" t="inlineStr">
        <is>
          <t>[작업 절차]
1. 사전 준비 단계:
   - 설계 도서 및 시방 기준을 분석하여 전 구간 준공도면(As-Built) CAD 실측 정밀 검증 작업을 위한 현장 실측 및 경계 측량을 수행함.
2. 본 시공 단계:
   - 현장 실측 좌표와 CAD 도면 간 일치 검증 작업을 표준 시공 절차에 준하여 시행하며, 실시간 수평도 및 치수 공차를 관리함.
3. 검사 및 마감 단계:
   - 지하시설물 종횡단면 매설 깊이 표기 일치 확인 시험 및 품질 검사를 실측하고 기준값 만족 여부를 기록함. 준공 도서 PDF 파일 내 텍스트 검색 정보 링크 확인 작업을 거쳐 노면 정리 및 안전 조치를 완료함.
[주의사항 (하자이력 연계)]
지장물 임시 이설 후 최종 복구 도면 미반영으로 타사 타공사 시 이설관 파손</t>
        </is>
      </c>
      <c r="H79" s="49" t="inlineStr">
        <is>
          <t>□ 실측 좌표 오차(±30mm 이내) 도면 반영 여부
□ 지하매설물 공동 관리기관 승인 도장 확인
□ 준공 CD 및 준공 보고서 서류 일체 정합성
[집행단계 리스크 체크사항 (LLBS 연계)]
□ 교량 시공용 대형 크레인(200ton 이상)의 아웃트리거 전개 폭을 고려하여 가교 폭이나 작업대(Staging)가 반영되었는가?
□ 기초 터파기 구간의 지반 조건(연약지반)을 고려할 때 사면 경사를 유지할 부지가 충분한가?
□ 흙막이 앵커가 인접 사유지를 침범하는지 지적도와 대조하고, 침범 시 보상비 또는 제거식 앵커 비용을 반영했는가?
□ 시종점 및 작업구 위치 하부의 지장물(송전선, 가스관) 매설 현황을 지장물도와 대조했는가?</t>
        </is>
      </c>
      <c r="I79" s="49" t="inlineStr">
        <is>
          <t>전기전문</t>
        </is>
      </c>
      <c r="J79" s="50" t="inlineStr">
        <is>
          <t>● 관련분야 설계기준서 준수</t>
        </is>
      </c>
      <c r="K79" s="50" t="inlineStr">
        <is>
          <t>● 지장물 임시 이설 후 최종 복구 도면 미반영으로 타사 타공사 시 이설관 파손 리스크를 검토하였는가?</t>
        </is>
      </c>
      <c r="L79" s="50" t="inlineStr">
        <is>
          <t>● 협력사 자문 내용 없음 또는 해당사항 없음</t>
        </is>
      </c>
    </row>
    <row r="80" ht="139.95" customHeight="1">
      <c r="A80" s="45" t="inlineStr">
        <is>
          <t>9000</t>
        </is>
      </c>
      <c r="B80" s="45" t="inlineStr">
        <is>
          <t>9000-5</t>
        </is>
      </c>
      <c r="C80" s="46" t="inlineStr">
        <is>
          <t>최종 준공검사 및 운영기관 Handover</t>
        </is>
      </c>
      <c r="D80" s="45" t="inlineStr">
        <is>
          <t>9000-5-1</t>
        </is>
      </c>
      <c r="E80" s="46" t="inlineStr">
        <is>
          <t>최종 운영기관 인계 인수서 날인 및 키 핸드오버</t>
        </is>
      </c>
      <c r="F80" s="46" t="inlineStr">
        <is>
          <t>● 발주처 국유재산 인계인수 지침 및 핸드오버 매뉴얼 규정</t>
        </is>
      </c>
      <c r="G80" s="46" t="inlineStr">
        <is>
          <t>[작업 절차]
1. 사전 준비 단계:
   - 설계 도서 및 시방 기준을 분석하여 최종 운영기관 인계 인수서 날인 및 키 핸드오버 작업을 위한 현장 실측 및 경계 측량을 수행함.
2. 본 시공 단계:
   - 현장 설비 일체 마스터 키 및 보안 출입증 리스트 정리 작업을 표준 시공 절차에 준하여 시행하며, 실시간 수평도 및 치수 공차를 관리함.
3. 검사 및 마감 단계:
   - 예비품 자재 창고 재고 실사 및 인수자 서명 시험 및 품질 검사를 실측하고 기준값 만족 여부를 기록함. 최종 준공검사 필증 동봉 합동 핸드오버 협약서 날인 작업을 거쳐 노면 정리 및 안전 조치를 완료함.
[주의사항 (하자이력 연계)]
장비 예비 부품 대장 수량 불일치로 인수거부 발생, 하자 관리 기간 개시 지연</t>
        </is>
      </c>
      <c r="H80" s="46" t="inlineStr">
        <is>
          <t>□ 마스터 키 일체 및 보안 장비 인수인계 대장 대조 완료
□ 예비 부품 실물 확인 및 전산 입력 매칭 확인
□ 최종 인수 서명 날인 원본 서류 3부 분산 보관</t>
        </is>
      </c>
      <c r="I80" s="46" t="inlineStr">
        <is>
          <t>전기전문</t>
        </is>
      </c>
      <c r="J80" s="47" t="inlineStr">
        <is>
          <t>● 관련분야 설계기준서 준수</t>
        </is>
      </c>
      <c r="K80" s="47" t="inlineStr">
        <is>
          <t>● 장비 예비 부품 대장 수량 불일치로 인수거부 발생, 하자 관리 기간 개시 지연 리스크를 검토하였는가?</t>
        </is>
      </c>
      <c r="L80" s="47" t="inlineStr">
        <is>
          <t>● 협력사 자문 내용 없음 또는 해당사항 없음</t>
        </is>
      </c>
    </row>
  </sheetData>
  <autoFilter ref="A3:P88"/>
  <mergeCells count="8">
    <mergeCell ref="A73:L73"/>
    <mergeCell ref="A64:L64"/>
    <mergeCell ref="A52:L52"/>
    <mergeCell ref="A1:L1"/>
    <mergeCell ref="A32:L32"/>
    <mergeCell ref="A17:L17"/>
    <mergeCell ref="A12:L12"/>
    <mergeCell ref="A4:L4"/>
  </mergeCells>
  <printOptions horizontalCentered="1"/>
  <pageMargins left="0.7480314960629921" right="0.7480314960629921" top="0.984251968503937" bottom="0.984251968503937" header="0.5118110236220472" footer="0.5118110236220472"/>
  <pageSetup orientation="landscape" paperSize="8" scale="36" verticalDpi="0"/>
  <rowBreaks count="1" manualBreakCount="1">
    <brk id="71" min="0" max="8" man="1"/>
  </rowBreaks>
</worksheet>
</file>

<file path=xl/worksheets/sheet2.xml><?xml version="1.0" encoding="utf-8"?>
<worksheet xmlns="http://schemas.openxmlformats.org/spreadsheetml/2006/main">
  <sheetPr>
    <outlinePr summaryBelow="1" summaryRight="1"/>
    <pageSetUpPr/>
  </sheetPr>
  <dimension ref="A1:T31"/>
  <sheetViews>
    <sheetView view="pageBreakPreview" topLeftCell="F10" zoomScale="55" zoomScaleNormal="55" zoomScaleSheetLayoutView="55" workbookViewId="0">
      <selection activeCell="G11" sqref="G11"/>
    </sheetView>
  </sheetViews>
  <sheetFormatPr baseColWidth="8" defaultRowHeight="19.2"/>
  <cols>
    <col width="8.796875" customWidth="1" style="4" min="1" max="2"/>
    <col width="12.09765625" customWidth="1" style="4" min="3" max="3"/>
    <col width="16" customWidth="1" style="5" min="4" max="4"/>
    <col width="34.69921875" customWidth="1" style="5" min="5" max="5"/>
    <col width="28.59765625" customWidth="1" style="6" min="6" max="6"/>
    <col width="32.59765625" customWidth="1" style="4" min="7" max="7"/>
    <col width="72.296875" customWidth="1" style="4" min="8" max="8"/>
    <col width="44.296875" customWidth="1" style="4" min="9" max="9"/>
    <col width="44.5" customWidth="1" style="4" min="10" max="10"/>
    <col width="53.69921875" customWidth="1" style="4" min="11" max="11"/>
    <col width="11.5" customWidth="1" style="4" min="12" max="12"/>
    <col width="50.5" customWidth="1" style="5" min="13" max="13"/>
    <col width="8.19921875" customWidth="1" style="4" min="14" max="14"/>
    <col width="45" customWidth="1" min="15" max="15"/>
    <col width="9.19921875" customWidth="1" min="16" max="16"/>
    <col width="22" customWidth="1" style="4" min="17" max="17"/>
    <col width="45" customWidth="1" min="18" max="18"/>
    <col width="22" customWidth="1" min="19" max="19"/>
    <col width="22" customWidth="1" style="4" min="20" max="35"/>
    <col width="8.796875" customWidth="1" style="4" min="36" max="41"/>
    <col width="8.796875" customWidth="1" style="4" min="42" max="16384"/>
  </cols>
  <sheetData>
    <row r="1" ht="46.8" customHeight="1">
      <c r="A1" s="8" t="inlineStr">
        <is>
          <t>L2 코드</t>
        </is>
      </c>
      <c r="B1" s="8" t="inlineStr">
        <is>
          <t>L3 코드</t>
        </is>
      </c>
      <c r="C1" s="8" t="inlineStr">
        <is>
          <t>L3 대공종명</t>
        </is>
      </c>
      <c r="D1" s="8" t="inlineStr">
        <is>
          <t>L4 코드</t>
        </is>
      </c>
      <c r="E1" s="8" t="inlineStr">
        <is>
          <t>일정 (D-Day)</t>
        </is>
      </c>
      <c r="F1" s="8" t="inlineStr">
        <is>
          <t>작업단위 (Level 4 Task/Activity)</t>
        </is>
      </c>
      <c r="G1" s="8" t="inlineStr">
        <is>
          <t>주관</t>
        </is>
      </c>
      <c r="H1" s="8" t="inlineStr">
        <is>
          <t>목적</t>
        </is>
      </c>
      <c r="I1" s="8" t="inlineStr">
        <is>
          <t>방법</t>
        </is>
      </c>
      <c r="J1" s="8" t="inlineStr">
        <is>
          <t>산출물(결과)</t>
        </is>
      </c>
      <c r="K1" s="8" t="inlineStr">
        <is>
          <t>표준서 (Standard) 요약</t>
        </is>
      </c>
      <c r="L1" s="7" t="inlineStr">
        <is>
          <t>표준서 파일 (HTML)</t>
        </is>
      </c>
      <c r="M1" s="8" t="inlineStr">
        <is>
          <t>수행지침 (Guideline) 요약</t>
        </is>
      </c>
      <c r="N1" s="7" t="inlineStr">
        <is>
          <t>수행지침 파일 (HTML)</t>
        </is>
      </c>
      <c r="O1" s="8" t="inlineStr">
        <is>
          <t>체크리스트 (Checklist) 요약</t>
        </is>
      </c>
      <c r="P1" s="13" t="inlineStr">
        <is>
          <t>체크리스트 파일 (HTML)</t>
        </is>
      </c>
      <c r="Q1" s="10" t="inlineStr">
        <is>
          <t>비고</t>
        </is>
      </c>
      <c r="R1" s="10" t="inlineStr">
        <is>
          <t>첨부서류 연계 상세 설계기준</t>
        </is>
      </c>
      <c r="S1" s="10" t="inlineStr">
        <is>
          <t>집행단계 리스크 체크리스트</t>
        </is>
      </c>
      <c r="T1" s="10" t="inlineStr">
        <is>
          <t>협력사 시공/공사관리 자문</t>
        </is>
      </c>
    </row>
    <row r="2" ht="90" customHeight="1">
      <c r="A2" s="14" t="inlineStr">
        <is>
          <t>9000</t>
        </is>
      </c>
      <c r="B2" s="14" t="inlineStr">
        <is>
          <t>9000-5</t>
        </is>
      </c>
      <c r="C2" s="15" t="inlineStr">
        <is>
          <t>사전토공사</t>
        </is>
      </c>
      <c r="D2" s="14" t="inlineStr">
        <is>
          <t>9000-5-1</t>
        </is>
      </c>
      <c r="E2" s="14" t="inlineStr">
        <is>
          <t>D-90 (D-120~D-90)</t>
        </is>
      </c>
      <c r="F2" s="16" t="inlineStr">
        <is>
          <t>Site Survey</t>
        </is>
      </c>
      <c r="G2" s="14" t="inlineStr">
        <is>
          <t>현장 공사팀</t>
        </is>
      </c>
      <c r="H2" s="15" t="inlineStr">
        <is>
          <t>설계도서와 현장일치여부 확인, 기준점 훼손 여부 확인 및 사용 여부 결정, 시공측량 시행 여부 결정</t>
        </is>
      </c>
      <c r="I2" s="15" t="inlineStr">
        <is>
          <t>설계도서와 현장일치 여부 확인, 기준점 훼손 여부 확인 및 사용 여부 결정, 시공측량 시행 여부 결정 (참석: 수행/견적/계약)</t>
        </is>
      </c>
      <c r="J2" s="15" t="inlineStr">
        <is>
          <t>착공전 측량보고서, 현장 조사 보고서(민원 등)</t>
        </is>
      </c>
      <c r="K2" s="17" t="inlineStr">
        <is>
          <t>1) 법적 준수 사양: 「공간정보의 구축 및 관리 등에 관한 법률」 및 「공공측량의 작업규정 세부기준」, 국가철도공단 「철도설계지침」에 정의된 기준 오차 준수
2) 좌표계 및 원점: 세계측지계(GRS80) 및 중부원점(North 38°, East 127°) 기준값 적용</t>
        </is>
      </c>
      <c r="L2" s="18" t="inlineStr">
        <is>
          <t>👉 [더블클릭] 표준서 열기 📄</t>
        </is>
      </c>
      <c r="M2" s="17"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2" s="18" t="inlineStr">
        <is>
          <t>👉 [더블클릭] 수행지침 열기 📄</t>
        </is>
      </c>
      <c r="O2" s="17" t="inlineStr">
        <is>
          <t>1) 용인 및 남양 지구의 국가 통합기준점을 기점으로 스타틱 관측(1시간 이상)을 정확히 실시했는가?
2) 가수준점(TBM) 왕복 측정 폐합 오차가 허용 한계인 ±10mm × √S 이내인가?</t>
        </is>
      </c>
      <c r="P2" s="18" t="inlineStr">
        <is>
          <t>👉 [더블클릭] 체크리스트 열기 📄</t>
        </is>
      </c>
      <c r="Q2" s="14" t="n"/>
      <c r="R2" s="15" t="inlineStr">
        <is>
          <t>● 설계도면 및 지적 경계 기준 준수</t>
        </is>
      </c>
      <c r="S2" s="19" t="inlineStr">
        <is>
          <t>1) 👉 [더블클릭] 체크리스트 열기 📄</t>
        </is>
      </c>
      <c r="T2" s="15" t="n"/>
    </row>
    <row r="3" ht="125.4" customHeight="1">
      <c r="A3" s="14" t="inlineStr">
        <is>
          <t>9000</t>
        </is>
      </c>
      <c r="B3" s="14" t="inlineStr">
        <is>
          <t>9000-5</t>
        </is>
      </c>
      <c r="C3" s="15" t="inlineStr">
        <is>
          <t>사전토공사</t>
        </is>
      </c>
      <c r="D3" s="14" t="inlineStr">
        <is>
          <t>9000-5-2</t>
        </is>
      </c>
      <c r="E3" s="14" t="inlineStr">
        <is>
          <t>D-80 (D-120~D-80)</t>
        </is>
      </c>
      <c r="F3" s="16" t="inlineStr">
        <is>
          <t>발주전략 KOM</t>
        </is>
      </c>
      <c r="G3" s="14" t="inlineStr">
        <is>
          <t>현장소장</t>
        </is>
      </c>
      <c r="H3" s="15" t="inlineStr">
        <is>
          <t>사전토공사 발주전략 수립</t>
        </is>
      </c>
      <c r="I3" s="15" t="inlineStr">
        <is>
          <t>- 가시공 B/P 적정성 검토
- 직영/외주 구분 검토
- 현설조건 검토
- 장비 Requirement 검토
- 공법 및 공기 검토
- 예산 적정성 검토</t>
        </is>
      </c>
      <c r="J3" s="15" t="inlineStr">
        <is>
          <t>KOM 검토결과서, 현설서(하자방지 특기조건 포함)</t>
        </is>
      </c>
      <c r="K3" s="15" t="inlineStr">
        <is>
          <t>1) 본사 기술공무 및 견적 협의 지침 준수
2) 하도급법 법적 검토 요건 만족</t>
        </is>
      </c>
      <c r="L3" s="18" t="inlineStr">
        <is>
          <t>👉 [더블클릭] 표준서 열기 📄</t>
        </is>
      </c>
      <c r="M3" s="15" t="inlineStr">
        <is>
          <t>1) 가시공 B/P(배치플랜트)의 적정성 및 임시 야적장 면적의 설계 적격성을 검토한다.
2) 노선 구간 전폭 점용 수칙: 상/하선 별도 시공 시에도 단일 노선 기준 전폭 차선 통제 수칙을 적용하여 시공 안정성 확보</t>
        </is>
      </c>
      <c r="N3" s="18" t="inlineStr">
        <is>
          <t>👉 [더블클릭] 수행지침 열기 📄</t>
        </is>
      </c>
      <c r="O3" s="15" t="inlineStr">
        <is>
          <t>1) 적용 공법에 따른 적정 공기 및 공정 검토를 통해 예산 적정성을 확인하였는가?
2) [협력업체 자문] 레일 야적 및 가설 B/P 용지가 확보되었는가? (정주건설 자문)</t>
        </is>
      </c>
      <c r="P3" s="18" t="inlineStr">
        <is>
          <t>👉 [더블클릭] 체크리스트 열기 📄</t>
        </is>
      </c>
      <c r="Q3" s="14" t="n"/>
      <c r="R3" s="15" t="inlineStr">
        <is>
          <t>● 본사외주부서, 수행부서, 토목국내견적팀, 컴플라이언스RM팀, 토목사업지원팀 협의</t>
        </is>
      </c>
      <c r="S3" s="19" t="inlineStr">
        <is>
          <t>1) 👉 [더블클릭] 체크리스트 열기 📄</t>
        </is>
      </c>
      <c r="T3" s="15" t="n"/>
    </row>
    <row r="4" ht="110.4" customHeight="1">
      <c r="A4" s="14" t="inlineStr">
        <is>
          <t>9000</t>
        </is>
      </c>
      <c r="B4" s="14" t="inlineStr">
        <is>
          <t>9000-5</t>
        </is>
      </c>
      <c r="C4" s="15" t="inlineStr">
        <is>
          <t>사전토공사</t>
        </is>
      </c>
      <c r="D4" s="14" t="inlineStr">
        <is>
          <t>9000-5-3</t>
        </is>
      </c>
      <c r="E4" s="14" t="inlineStr">
        <is>
          <t>D-60 (D-70~D-60)</t>
        </is>
      </c>
      <c r="F4" s="16" t="inlineStr">
        <is>
          <t>Site Survey Risk 검토</t>
        </is>
      </c>
      <c r="G4" s="14" t="inlineStr">
        <is>
          <t>토목국내견적팀</t>
        </is>
      </c>
      <c r="H4" s="15" t="inlineStr">
        <is>
          <t>현장 현황 및 여건 등 시공에 영향을 줄 수 있는 Risk 검토</t>
        </is>
      </c>
      <c r="I4" s="15" t="inlineStr">
        <is>
          <t>설계도서 불일치 구간 실행예산 변경 여부 검토, 설계변경 불가시 Risk 최소화 방안 검토 (참석: 현장/견적/설계/업체 Pool 중 우수 토공업체)</t>
        </is>
      </c>
      <c r="J4" s="15" t="inlineStr">
        <is>
          <t>Site survey 검토서</t>
        </is>
      </c>
      <c r="K4" s="15" t="inlineStr">
        <is>
          <t>1) 실시설계 적격심사 기준(지장물조사 및 가시설 설계 적정성)에 부합하는 리스크 분석 등급 분류 기준
2) 계약금액 조정 규정(지하매설물 이설비 PS 항목 정산 기준) 만족</t>
        </is>
      </c>
      <c r="L4" s="18" t="inlineStr">
        <is>
          <t>👉 [더블클릭] 표준서 열기 📄</t>
        </is>
      </c>
      <c r="M4"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4" s="18" t="inlineStr">
        <is>
          <t>👉 [더블클릭] 수행지침 열기 📄</t>
        </is>
      </c>
      <c r="O4" s="15" t="inlineStr">
        <is>
          <t>1) [협력업체 자문] 레일 야적 및 가설 B/P 용지가 확보되었는가? (정주건설 자문)
2) [협력업체 자문] 위탁 지장물(한전, 가스, 통신) 이설 완료 여부를 확인 후 토공에 착수하였는가? (트리폴건설 자문)</t>
        </is>
      </c>
      <c r="P4" s="18" t="inlineStr">
        <is>
          <t>👉 [더블클릭] 체크리스트 열기 📄</t>
        </is>
      </c>
      <c r="Q4" s="14" t="n"/>
      <c r="R4" s="15" t="inlineStr">
        <is>
          <t>● 실행예산 검토 및 공사 수행 리스크 분석</t>
        </is>
      </c>
      <c r="S4" s="19" t="inlineStr">
        <is>
          <t>1) 👉 [더블클릭] 체크리스트 열기 📄</t>
        </is>
      </c>
      <c r="T4" s="15" t="n"/>
    </row>
    <row r="5" ht="96" customHeight="1">
      <c r="A5" s="14" t="inlineStr">
        <is>
          <t>9000</t>
        </is>
      </c>
      <c r="B5" s="14" t="inlineStr">
        <is>
          <t>9000-5</t>
        </is>
      </c>
      <c r="C5" s="15" t="inlineStr">
        <is>
          <t>사전토공사</t>
        </is>
      </c>
      <c r="D5" s="14" t="inlineStr">
        <is>
          <t>9000-5-4</t>
        </is>
      </c>
      <c r="E5" s="14" t="inlineStr">
        <is>
          <t>D-50 (D-60~D-50)</t>
        </is>
      </c>
      <c r="F5" s="16" t="inlineStr">
        <is>
          <t>최고의 팀 만들기 지원</t>
        </is>
      </c>
      <c r="G5" s="14" t="inlineStr">
        <is>
          <t>외주관리팀</t>
        </is>
      </c>
      <c r="H5" s="15" t="inlineStr">
        <is>
          <t>투입가능한 최고의 자재생산/제작/장비/협력업체/작업반 선정</t>
        </is>
      </c>
      <c r="I5" s="15" t="inlineStr">
        <is>
          <t>관리 Pool 중 투입가능 협력업체/작업반 검토</t>
        </is>
      </c>
      <c r="J5" s="15" t="inlineStr">
        <is>
          <t>우수 업체/작업반 입찰참여</t>
        </is>
      </c>
      <c r="K5" s="15" t="inlineStr">
        <is>
          <t>1) 외주 조달 지침 및 협력업체 정량적 기술 역량 평가 기준 만족
2) 트램 궤도/토공 전문 시공 실적 및 전문인력 면허 요건 충족</t>
        </is>
      </c>
      <c r="L5" s="18" t="inlineStr">
        <is>
          <t>👉 [더블클릭] 표준서 열기 📄</t>
        </is>
      </c>
      <c r="M5"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5" s="18" t="inlineStr">
        <is>
          <t>👉 [더블클릭] 수행지침 열기 📄</t>
        </is>
      </c>
      <c r="O5" s="15" t="inlineStr">
        <is>
          <t>1) [협력업체 자문] 레일 야적 및 가설 B/P 용지가 확보되었는가? (정주건설 자문)
2) [협력업체 자문] 위탁 지장물(한전, 가스, 통신) 이설 완료 여부를 확인 후 토공에 착수하였는가? (트리폴건설 자문)</t>
        </is>
      </c>
      <c r="P5" s="18" t="inlineStr">
        <is>
          <t>👉 [더블클릭] 체크리스트 열기 📄</t>
        </is>
      </c>
      <c r="Q5" s="14" t="n"/>
      <c r="R5" s="15" t="inlineStr">
        <is>
          <t>● 외주관리 협력업체 평가 및 선정 기준</t>
        </is>
      </c>
      <c r="S5" s="19" t="inlineStr">
        <is>
          <t>1) 👉 [더블클릭] 체크리스트 열기 📄</t>
        </is>
      </c>
      <c r="T5" s="15" t="n"/>
    </row>
    <row r="6" ht="134.4" customHeight="1">
      <c r="A6" s="14" t="inlineStr">
        <is>
          <t>9000</t>
        </is>
      </c>
      <c r="B6" s="14" t="inlineStr">
        <is>
          <t>9000-5</t>
        </is>
      </c>
      <c r="C6" s="15" t="inlineStr">
        <is>
          <t>사전토공사</t>
        </is>
      </c>
      <c r="D6" s="14" t="inlineStr">
        <is>
          <t>9000-5-5</t>
        </is>
      </c>
      <c r="E6" s="14" t="inlineStr">
        <is>
          <t>D-60 (D-80~D-60)</t>
        </is>
      </c>
      <c r="F6" s="16" t="inlineStr">
        <is>
          <t>공사중 교통처리계획</t>
        </is>
      </c>
      <c r="G6" s="14" t="inlineStr">
        <is>
          <t>현장 공사팀</t>
        </is>
      </c>
      <c r="H6" s="15" t="inlineStr">
        <is>
          <t>공사시행으로 인한 교통 영향 최소화</t>
        </is>
      </c>
      <c r="I6" s="15" t="inlineStr">
        <is>
          <t>교통처리계획 수립 및 관할 경찰청 승인</t>
        </is>
      </c>
      <c r="J6" s="15" t="inlineStr">
        <is>
          <t>교통관리계획, 교통안전 시설계획 승인</t>
        </is>
      </c>
      <c r="K6" s="15" t="inlineStr">
        <is>
          <t>1) 지침 및 법규 준수: 국토교통부 「도로공사장 교통관리지침」, 「노면전차 가이드라인」 및 동탄 트램 입찰안내서 기준 만족
2) 임시 우회 차선 규격: 1차로 최소 폭 3.5m 이상 (측구 포함), 2차로 교행 시 6.5m 이상 확보 및 임시 보도 최소 폭 1.5m 이상 및 안전휀스 연속 가설</t>
        </is>
      </c>
      <c r="L6" s="18" t="inlineStr">
        <is>
          <t>👉 [더블클릭] 표준서 열기 📄</t>
        </is>
      </c>
      <c r="M6" s="15" t="inlineStr">
        <is>
          <t>1) 단계 교통관리 수립 절차: 자료 수집 ➡️ 점유 범위 결정 ➡️ 대안 설정 ➡️ 용량 분석 ➡️ 용량 증대 ➡️ 대안 규정 ➡️ 영향 분석 ➡️ 통제계획 수정 ➡️ 최적 설정
2) 교차로 반폭 시공: 횡단보도 및 보행 동선의 전면 차단 금지, 좌우측 반씩 나누는 '반폭 시공' 적용 및 야간 분할 궤도 시공</t>
        </is>
      </c>
      <c r="N6" s="18" t="inlineStr">
        <is>
          <t>👉 [더블클릭] 수행지침 열기 📄</t>
        </is>
      </c>
      <c r="O6" s="15" t="inlineStr">
        <is>
          <t>1) [협력업체 자문] 레일 야적 및 가설 B/P 용지가 확보되었는가? (정주건설 자문)
2) [협력업체 자문] 위탁 지장물(한전, 가스, 통신) 이설 완료 여부를 확인 후 토공에 착수하였는가? (트리폴건설 자문)</t>
        </is>
      </c>
      <c r="P6" s="18" t="inlineStr">
        <is>
          <t>👉 [더블클릭] 체크리스트 열기 📄</t>
        </is>
      </c>
      <c r="Q6" s="14" t="n"/>
      <c r="R6" s="15" t="inlineStr">
        <is>
          <t>● 도로교통법 및 관할 지자체 교통 지침 준수</t>
        </is>
      </c>
      <c r="S6" s="19" t="inlineStr">
        <is>
          <t>1) 👉 [더블클릭] 체크리스트 열기 📄</t>
        </is>
      </c>
      <c r="T6" s="15" t="n"/>
    </row>
    <row r="7" ht="96" customHeight="1">
      <c r="A7" s="14" t="inlineStr">
        <is>
          <t>9000</t>
        </is>
      </c>
      <c r="B7" s="14" t="inlineStr">
        <is>
          <t>9000-5</t>
        </is>
      </c>
      <c r="C7" s="15" t="inlineStr">
        <is>
          <t>사전토공사</t>
        </is>
      </c>
      <c r="D7" s="14" t="inlineStr">
        <is>
          <t>9000-5-6</t>
        </is>
      </c>
      <c r="E7" s="14" t="inlineStr">
        <is>
          <t>D-65 (D-65~D-55)</t>
        </is>
      </c>
      <c r="F7" s="16" t="inlineStr">
        <is>
          <t>자재발주 요청</t>
        </is>
      </c>
      <c r="G7" s="14" t="inlineStr">
        <is>
          <t>현장 공무팀</t>
        </is>
      </c>
      <c r="H7" s="15" t="inlineStr">
        <is>
          <t>공사에 필요한 자재 발주(배수로 등)</t>
        </is>
      </c>
      <c r="I7" s="15" t="inlineStr">
        <is>
          <t>자재 Spec 및 반입 일정계획 수립 (지원: GP/SRM팀)</t>
        </is>
      </c>
      <c r="J7" s="15" t="inlineStr">
        <is>
          <t>구매 의뢰서</t>
        </is>
      </c>
      <c r="K7" s="15" t="inlineStr">
        <is>
          <t>1) 자재 규격서(KS 기준 및 설계 시방 만족) 및 GP/SRM 조달 시스템 기준 준수
2) 주요 토공 자재(배수관, 맨홀 등)의 치수 공차 한계 충족</t>
        </is>
      </c>
      <c r="L7" s="18" t="inlineStr">
        <is>
          <t>👉 [더블클릭] 표준서 열기 📄</t>
        </is>
      </c>
      <c r="M7"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7" s="18" t="inlineStr">
        <is>
          <t>👉 [더블클릭] 수행지침 열기 📄</t>
        </is>
      </c>
      <c r="O7" s="15" t="inlineStr">
        <is>
          <t>1) [협력업체 자문] 레일 야적 및 가설 B/P 용지가 확보되었는가? (정주건설 자문)
2) [협력업체 자문] 위탁 지장물(한전, 가스, 통신) 이설 완료 여부를 확인 후 토공에 착수하였는가? (트리폴건설 자문)</t>
        </is>
      </c>
      <c r="P7" s="18" t="inlineStr">
        <is>
          <t>👉 [더블클릭] 체크리스트 열기 📄</t>
        </is>
      </c>
      <c r="Q7" s="14" t="n"/>
      <c r="R7" s="15" t="n"/>
      <c r="S7" s="19" t="inlineStr">
        <is>
          <t>1) 👉 [더블클릭] 체크리스트 열기 📄</t>
        </is>
      </c>
      <c r="T7" s="15" t="n"/>
    </row>
    <row r="8" ht="115.2" customHeight="1">
      <c r="A8" s="14" t="inlineStr">
        <is>
          <t>9000</t>
        </is>
      </c>
      <c r="B8" s="14" t="inlineStr">
        <is>
          <t>9000-5</t>
        </is>
      </c>
      <c r="C8" s="15" t="inlineStr">
        <is>
          <t>사전토공사</t>
        </is>
      </c>
      <c r="D8" s="14" t="inlineStr">
        <is>
          <t>9000-5-7</t>
        </is>
      </c>
      <c r="E8" s="14" t="inlineStr">
        <is>
          <t>D-40 (D-60~D-40)</t>
        </is>
      </c>
      <c r="F8" s="16" t="inlineStr">
        <is>
          <t>용지 사용 Risk 검토</t>
        </is>
      </c>
      <c r="G8" s="14" t="inlineStr">
        <is>
          <t>토목계약관리팀</t>
        </is>
      </c>
      <c r="H8" s="15" t="inlineStr">
        <is>
          <t>용지/사토장/토취장 사용에 대한 Risk 검토를 통해 적기공사 착수</t>
        </is>
      </c>
      <c r="I8" s="15" t="inlineStr">
        <is>
          <t>미보상용지 활용 조건 사전 검토/기공승낙 합의서 적정성 검토/사토장, 토취장 관련 계약 Risk 검토</t>
        </is>
      </c>
      <c r="J8" s="15" t="inlineStr">
        <is>
          <t>용지사용 Risk 검토서</t>
        </is>
      </c>
      <c r="K8" s="15" t="inlineStr">
        <is>
          <t>1) 미보상용지 활용 관리: 수용 재결 전 용지 활용 시 토지주 기공승낙 합의서 100% 선제적 확보 및 법적 분쟁 예방 조치 수립
2) 사토장 리스크 검토: 사토 계약량과 굴착 반출 토사량 비교 대조 및 반출 도로노선의 교량/축중(축중 10톤 제한) 안전 규격 검토</t>
        </is>
      </c>
      <c r="L8" s="18" t="inlineStr">
        <is>
          <t>👉 [더블클릭] 표준서 열기 📄</t>
        </is>
      </c>
      <c r="M8" s="15" t="inlineStr">
        <is>
          <t>1) 미보상용지 활용 조건 사전 검토: 미보상 필지의 점용 위치 및 한계를 평면도 상에 매핑하고 우회로 등의 사용 조건을 체크
2) 기공승낙 합의서 적정성 검토: 복구 수준, 계약 기간, 소음진동 민원 주체 설정 등 독소 조항 배제 여부 법무팀 검토 날인</t>
        </is>
      </c>
      <c r="N8" s="18" t="inlineStr">
        <is>
          <t>👉 [더블클릭] 수행지침 열기 📄</t>
        </is>
      </c>
      <c r="O8" s="15" t="inlineStr">
        <is>
          <t>1) 공사장 경계선 내부의 미보상 필지에 기공승낙 합의서가 공식 접수 및 승인 완료되었는가?
2) 사토 계약 잔여량의 적정성 확인 및 토사 반출입 덤프노선의 중량 제한 교량 우회 경로를 파악했는가?</t>
        </is>
      </c>
      <c r="P8" s="18" t="inlineStr">
        <is>
          <t>👉 [더블클릭] 체크리스트 열기 📄</t>
        </is>
      </c>
      <c r="Q8" s="14" t="n"/>
      <c r="R8" s="15" t="inlineStr">
        <is>
          <t>● 계약 리스크 방지 및 현장 부지 확보 요건 검토</t>
        </is>
      </c>
      <c r="S8" s="19" t="inlineStr">
        <is>
          <t>1) 👉 [더블클릭] 체크리스트 열기 📄</t>
        </is>
      </c>
      <c r="T8" s="15" t="n"/>
    </row>
    <row r="9" ht="172.8" customHeight="1">
      <c r="A9" s="14" t="inlineStr">
        <is>
          <t>9000</t>
        </is>
      </c>
      <c r="B9" s="14" t="inlineStr">
        <is>
          <t>9000-5</t>
        </is>
      </c>
      <c r="C9" s="15" t="inlineStr">
        <is>
          <t>사전토공사</t>
        </is>
      </c>
      <c r="D9" s="14" t="inlineStr">
        <is>
          <t>9000-5-8</t>
        </is>
      </c>
      <c r="E9" s="14" t="inlineStr">
        <is>
          <t>D-40</t>
        </is>
      </c>
      <c r="F9" s="16" t="inlineStr">
        <is>
          <t>착수전 Big Room 회의</t>
        </is>
      </c>
      <c r="G9" s="14" t="inlineStr">
        <is>
          <t>현장소장</t>
        </is>
      </c>
      <c r="H9" s="15" t="inlineStr">
        <is>
          <t>수행시 선후행 간섭사항과 지원사항 도출 / 수행 시 예상 가능한 Risk 검토</t>
        </is>
      </c>
      <c r="I9" s="15" t="inlineStr">
        <is>
          <t>- 공정계획 검토: 태풍, 우기 기간에 공기지연 방지위한 공정계획 수립, Zone별 소요 좌표에 따른 사토장 선별, 운반 계획 수립, 계측기 설치계획 확인
- 선후행 공종 R&amp;R: 지장물 이설, 도로 교통신호 연결, Main: 터파기/궤도/시스템 공동구
- 공종별 Risk hedge 방안 검토: 트램부지구간 노상토 지지력 사전 확인(재하시험), 후속공정 장비 반입 여건 확인 (궤도 설치, 케이블 포설 장비)</t>
        </is>
      </c>
      <c r="J9" s="15" t="inlineStr">
        <is>
          <t>Big Room 회의록(참석자 전원 서명)</t>
        </is>
      </c>
      <c r="K9" s="15" t="inlineStr">
        <is>
          <t>1) 본사 PM 및 설계/수행 합동 워크숍 운영 지침 만족
2) 유관 공종(토목, 신호, 궤도) 인터페이스 R&amp;R 기준 수립</t>
        </is>
      </c>
      <c r="L9" s="18" t="inlineStr">
        <is>
          <t>👉 [더블클릭] 표준서 열기 📄</t>
        </is>
      </c>
      <c r="M9" s="15" t="inlineStr">
        <is>
          <t>1) 주요 리스크 기본설계단계서부터 도출, 실시설계 및 현장준비팀 예상 리스크 및 헷지방안 정리
2) 노선 구간 전폭 점용 수칙: 상/하선 별도 시공 시에도 단일 노선 기준 전폭 차선 통제 수칙을 적용하여 시공 안정성 확보</t>
        </is>
      </c>
      <c r="N9" s="18" t="inlineStr">
        <is>
          <t>👉 [더블클릭] 수행지침 열기 📄</t>
        </is>
      </c>
      <c r="O9" s="15" t="inlineStr">
        <is>
          <t>1) Zone별 사토 배출 좌표를 확인하여 효율적인 사토장 선별 및 반출 운반 계획을 세웠는가?
2) 주변 구조물 변위 및 침하 계측기 설치 계획이 적정하게 검토되었는가?</t>
        </is>
      </c>
      <c r="P9" s="18" t="inlineStr">
        <is>
          <t>👉 [더블클릭] 체크리스트 열기 📄</t>
        </is>
      </c>
      <c r="Q9" s="14" t="n"/>
      <c r="R9" s="15" t="inlineStr">
        <is>
          <t>● 본사 유관부서(견적/엔지니어링/공정/품질/안전) 조율</t>
        </is>
      </c>
      <c r="S9" s="19" t="inlineStr">
        <is>
          <t>1) 👉 [더블클릭] 체크리스트 열기 📄</t>
        </is>
      </c>
      <c r="T9" s="15" t="n"/>
    </row>
    <row r="10" ht="115.2" customHeight="1">
      <c r="A10" s="14" t="inlineStr">
        <is>
          <t>9000</t>
        </is>
      </c>
      <c r="B10" s="14" t="inlineStr">
        <is>
          <t>9000-5</t>
        </is>
      </c>
      <c r="C10" s="15" t="inlineStr">
        <is>
          <t>사전토공사</t>
        </is>
      </c>
      <c r="D10" s="14" t="inlineStr">
        <is>
          <t>9000-5-9</t>
        </is>
      </c>
      <c r="E10" s="14" t="inlineStr">
        <is>
          <t>D-30</t>
        </is>
      </c>
      <c r="F10" s="16" t="inlineStr">
        <is>
          <t>인허가 절차 진행</t>
        </is>
      </c>
      <c r="G10" s="14" t="inlineStr">
        <is>
          <t>현장 공무팀</t>
        </is>
      </c>
      <c r="H10" s="15" t="inlineStr">
        <is>
          <t>공사 진행에 따른 인허가 절차 적기 시행</t>
        </is>
      </c>
      <c r="I10" s="15" t="inlineStr">
        <is>
          <t>용지도 확인 및 공사 구간 내 인허가 필요 구간 확인</t>
        </is>
      </c>
      <c r="J10" s="15" t="inlineStr">
        <is>
          <t>인허가 항목별 승인 기관 확인 및 협의 시행</t>
        </is>
      </c>
      <c r="K10" s="15" t="inlineStr">
        <is>
          <t>1) 법적 인허가 획득: 도로법 제61조(점용), 제62조(굴착), 도시철도법 제8조(인허가 의제 처리 의무화) 및 도로교통법 제138조의2 준수
2) 승인 관리 기관: 도로점용/굴착(화성시청 도로관리과 및 동탄출장소 교통건설과), 교통 소통 및 신호(화성동탄경찰서 교통계 및 도경찰청)</t>
        </is>
      </c>
      <c r="L10" s="18" t="inlineStr">
        <is>
          <t>👉 [더블클릭] 표준서 열기 📄</t>
        </is>
      </c>
      <c r="M10" s="15" t="inlineStr">
        <is>
          <t>1) 화성시 도로관리심의: 굴착 길이 10m초과 또는 폭 3m초과 시 매년 분기별(1,4,7,10월) 개최되는 심의회 사업계획 접수 필수
2) 굴착 제한 기간 준수: 신설·확장 준공도로의 굴착 제한(차도 3년, 보도 2년) 저촉 여부 사전 확인 및 LH/화성시청 조기 협의 의제 득</t>
        </is>
      </c>
      <c r="N10" s="18" t="inlineStr">
        <is>
          <t>👉 [더블클릭] 수행지침 열기 📄</t>
        </is>
      </c>
      <c r="O10" s="15" t="inlineStr">
        <is>
          <t>1) 관할 지자체(화성시청 및 동탄출장소) 공식 도로점용 및 도로굴착 허가증이 접수 및 발급 완료되었는가?
2) 대 지하지장물(가스, 전력, 난방, 통신, 상하수도) 관리청의 사전 확인 필의견조회서가 첨부 완료되었는가?</t>
        </is>
      </c>
      <c r="P10" s="18" t="inlineStr">
        <is>
          <t>👉 [더블클릭] 체크리스트 열기 📄</t>
        </is>
      </c>
      <c r="Q10" s="14" t="n"/>
      <c r="R10" s="15" t="inlineStr">
        <is>
          <t>● 관련 인허가 법령 검토</t>
        </is>
      </c>
      <c r="S10" s="19" t="inlineStr">
        <is>
          <t>1) 👉 [더블클릭] 체크리스트 열기 📄</t>
        </is>
      </c>
      <c r="T10" s="15" t="n"/>
    </row>
    <row r="11" ht="96" customHeight="1">
      <c r="A11" s="14" t="inlineStr">
        <is>
          <t>9000</t>
        </is>
      </c>
      <c r="B11" s="14" t="inlineStr">
        <is>
          <t>9000-5</t>
        </is>
      </c>
      <c r="C11" s="15" t="inlineStr">
        <is>
          <t>사전토공사</t>
        </is>
      </c>
      <c r="D11" s="14" t="inlineStr">
        <is>
          <t>9000-5-10</t>
        </is>
      </c>
      <c r="E11" s="14" t="inlineStr">
        <is>
          <t>D-30</t>
        </is>
      </c>
      <c r="F11" s="16" t="inlineStr">
        <is>
          <t>교통처리대책 협의 및 승인</t>
        </is>
      </c>
      <c r="G11" s="14" t="inlineStr">
        <is>
          <t>현장 공무팀</t>
        </is>
      </c>
      <c r="H11" s="15" t="inlineStr">
        <is>
          <t>운영기간, 필요물량, 임대비용 적정성 검토</t>
        </is>
      </c>
      <c r="I11" s="15" t="inlineStr">
        <is>
          <t>사토장/토취장 list-up 및 관련 L/L과 교차검토</t>
        </is>
      </c>
      <c r="J11" s="15" t="inlineStr">
        <is>
          <t>운영 관련 원가/안전/품질 Risk 도출</t>
        </is>
      </c>
      <c r="K11" s="15" t="inlineStr">
        <is>
          <t>1) 도로교통법 제138조의2(노면전차 선로 설치 공사 승인) 기준 준수
2) 교통안전공단 및 지자체 교통 심의 승인서 기준 오차 범위 관리</t>
        </is>
      </c>
      <c r="L11" s="18" t="inlineStr">
        <is>
          <t>👉 [더블클릭] 표준서 열기 📄</t>
        </is>
      </c>
      <c r="M11" s="15" t="inlineStr">
        <is>
          <t>1) 경찰청 교통안전심의위원회 결과 보완 대책 수립 및 시공도 반영
2) 노선 구간 전폭 점용 수칙: 상/하선 별도 시공 시에도 단일 노선 기준 전폭 차선 통제 수칙을 적용하여 시공 안정성 확보</t>
        </is>
      </c>
      <c r="N11" s="18" t="inlineStr">
        <is>
          <t>👉 [더블클릭] 수행지침 열기 📄</t>
        </is>
      </c>
      <c r="O11" s="15" t="inlineStr">
        <is>
          <t>1) 심의 조치 요구사항이 현장 차선 구획 설계도에 정밀 반영되었는가?
2) [더블클릭] 상세 교통처리대책 협의 및 승인 체크리스트 파일(HTML) 열기 📄</t>
        </is>
      </c>
      <c r="P11" s="18" t="inlineStr">
        <is>
          <t>👉 [더블클릭] 체크리스트 열기 📄</t>
        </is>
      </c>
      <c r="Q11" s="14" t="n"/>
      <c r="R11" s="15" t="inlineStr">
        <is>
          <t>● 사토/토취장 인허가 요건 준수</t>
        </is>
      </c>
      <c r="S11" s="19" t="inlineStr">
        <is>
          <t>1) 👉 [더블클릭] 체크리스트 열기 📄</t>
        </is>
      </c>
      <c r="T11" s="15" t="n"/>
    </row>
    <row r="12" ht="115.2" customHeight="1">
      <c r="A12" s="14" t="inlineStr">
        <is>
          <t>9000</t>
        </is>
      </c>
      <c r="B12" s="14" t="inlineStr">
        <is>
          <t>9000-5</t>
        </is>
      </c>
      <c r="C12" s="15" t="inlineStr">
        <is>
          <t>사전토공사</t>
        </is>
      </c>
      <c r="D12" s="14" t="inlineStr">
        <is>
          <t>9000-5-11</t>
        </is>
      </c>
      <c r="E12" s="14" t="inlineStr">
        <is>
          <t>D-30</t>
        </is>
      </c>
      <c r="F12" s="16" t="inlineStr">
        <is>
          <t>지장물 검토 및 협의</t>
        </is>
      </c>
      <c r="G12" s="14" t="inlineStr">
        <is>
          <t>현장 공무팀/공사팀</t>
        </is>
      </c>
      <c r="H12" s="15" t="inlineStr">
        <is>
          <t>지장물 적기 처리</t>
        </is>
      </c>
      <c r="I12" s="15" t="inlineStr">
        <is>
          <t>지장물 종류 및 이설 주체 확인</t>
        </is>
      </c>
      <c r="J12" s="15" t="inlineStr">
        <is>
          <t>지장물별 이설 협의 시행</t>
        </is>
      </c>
      <c r="K12" s="15" t="inlineStr">
        <is>
          <t>1) 상수도/하수도: 관로 횡단구간 보호공 설치 및 관 상단 위치 표식(Indicator) 의무화
2) 전력(한전) / 가스(삼천리) / 난방(지역난방공사) / 통신(KT) 등 각 관리기관 기술 기준 만족 및 사전 이설 위탁 공사 비용 예산 반영</t>
        </is>
      </c>
      <c r="L12" s="18" t="inlineStr">
        <is>
          <t>👉 [더블클릭] 표준서 열기 📄</t>
        </is>
      </c>
      <c r="M12" s="15" t="inlineStr">
        <is>
          <t>1) 인력 굴착 및 노출: 중장비 굴착은 관 손상을 초래하므로 지장물 상단 1m 이내는 삽 등을 이용한 인력 굴착만 허용합니다.
2) 임시 지지 공법: 굴착으로 공중에 노출된 대형 상수도관이나 하수관은 H-Beam 및 현수 와이어를 이용해 매달기식 공법으로 지지합니다.</t>
        </is>
      </c>
      <c r="N12" s="18" t="inlineStr">
        <is>
          <t>👉 [더블클릭] 수행지침 열기 📄</t>
        </is>
      </c>
      <c r="O12" s="15" t="inlineStr">
        <is>
          <t>1) 각 지장물 관리기관과의 공식 이설/보호 협의서가 완료되었는가?
2) 대형 가스관/광역상수도 굴착 전 인력 굴착 계획 수립 및 가설 보호 방안을 수립했는가?</t>
        </is>
      </c>
      <c r="P12" s="18" t="inlineStr">
        <is>
          <t>👉 [더블클릭] 체크리스트 열기 📄</t>
        </is>
      </c>
      <c r="Q12" s="14" t="n"/>
      <c r="R12" s="15" t="inlineStr">
        <is>
          <t>● 도로점용 및 지장물 이설 규정 준수</t>
        </is>
      </c>
      <c r="S12" s="19" t="inlineStr">
        <is>
          <t>1) 👉 [더블클릭] 체크리스트 열기 📄</t>
        </is>
      </c>
      <c r="T12" s="15" t="n"/>
    </row>
    <row r="13" ht="96" customHeight="1">
      <c r="A13" s="14" t="inlineStr">
        <is>
          <t>9000</t>
        </is>
      </c>
      <c r="B13" s="14" t="inlineStr">
        <is>
          <t>9000-5</t>
        </is>
      </c>
      <c r="C13" s="15" t="inlineStr">
        <is>
          <t>사전토공사</t>
        </is>
      </c>
      <c r="D13" s="14" t="inlineStr">
        <is>
          <t>9000-5-12</t>
        </is>
      </c>
      <c r="E13" s="14" t="inlineStr">
        <is>
          <t>D-30</t>
        </is>
      </c>
      <c r="F13" s="16" t="inlineStr">
        <is>
          <t>기공승낙 적정성 검토</t>
        </is>
      </c>
      <c r="G13" s="14" t="inlineStr">
        <is>
          <t>현장 공무팀</t>
        </is>
      </c>
      <c r="H13" s="15" t="inlineStr">
        <is>
          <t>기공승낙에 대한 적정성 검토를 통해 적기 공사</t>
        </is>
      </c>
      <c r="I13" s="15" t="inlineStr">
        <is>
          <t>기공승낙 합의서 적정성 검토 및 대상 토지주 면담</t>
        </is>
      </c>
      <c r="J13" s="15" t="inlineStr">
        <is>
          <t>부적합 용지 대상 추가 기공승낙 추진</t>
        </is>
      </c>
      <c r="K13" s="15" t="inlineStr">
        <is>
          <t>1) 토질 및 기초 설계기준: 「구조물기초 설계기준」, 「도로포장 설계시공지침」 및 「토목공사 일반표준시방서」 준수
2) 철도계획 선로 기하구조: 본선 최소곡선반경 R=25m, 정거장 R=300m 이상, 본선 최대구배 60‰ 이하 적용</t>
        </is>
      </c>
      <c r="L13" s="18" t="inlineStr">
        <is>
          <t>👉 [더블클릭] 표준서 열기 📄</t>
        </is>
      </c>
      <c r="M13"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13" s="18" t="inlineStr">
        <is>
          <t>👉 [더블클릭] 수행지침 열기 📄</t>
        </is>
      </c>
      <c r="O13" s="15" t="inlineStr">
        <is>
          <t>1) 대상 토지주와 직접 면담하여 동의 의사를 확인하고 합의 문서 서명을 득하였는가?
2) [협력업체 자문] 레일 야적 및 가설 B/P 용지가 확보되었는가? (정주건설 자문)</t>
        </is>
      </c>
      <c r="P13" s="18" t="inlineStr">
        <is>
          <t>👉 [더블클릭] 체크리스트 열기 📄</t>
        </is>
      </c>
      <c r="Q13" s="14" t="n"/>
      <c r="R13" s="15" t="inlineStr">
        <is>
          <t>● 용지 취득 및 기공승낙 법적 검토</t>
        </is>
      </c>
      <c r="S13" s="19" t="inlineStr">
        <is>
          <t>1) 👉 [더블클릭] 체크리스트 열기 📄</t>
        </is>
      </c>
      <c r="T13" s="15" t="n"/>
    </row>
    <row r="14" ht="96" customHeight="1">
      <c r="A14" s="14" t="inlineStr">
        <is>
          <t>9000</t>
        </is>
      </c>
      <c r="B14" s="14" t="inlineStr">
        <is>
          <t>9000-5</t>
        </is>
      </c>
      <c r="C14" s="15" t="inlineStr">
        <is>
          <t>사전토공사</t>
        </is>
      </c>
      <c r="D14" s="14" t="inlineStr">
        <is>
          <t>9000-5-13</t>
        </is>
      </c>
      <c r="E14" s="14" t="inlineStr">
        <is>
          <t>D-30</t>
        </is>
      </c>
      <c r="F14" s="16" t="inlineStr">
        <is>
          <t>민원 저감 대책 수립</t>
        </is>
      </c>
      <c r="G14" s="14" t="inlineStr">
        <is>
          <t>현장 안전팀/공무팀</t>
        </is>
      </c>
      <c r="H14" s="15" t="inlineStr">
        <is>
          <t>민원으로 인한 공사 지연/지장 방지</t>
        </is>
      </c>
      <c r="I14" s="15" t="inlineStr">
        <is>
          <t>민원우려 지역 주민 면담 및 민원인 요구사항 정리</t>
        </is>
      </c>
      <c r="J14" s="15" t="inlineStr">
        <is>
          <t>민원 저감대책 수립/시행</t>
        </is>
      </c>
      <c r="K14" s="15" t="inlineStr">
        <is>
          <t>1) 소음진동관리법에 따른 생활 소음 규제 기준 만족 (주간 65dB(A) 이하, 야간 50dB(A) 이하)
2) 비산먼지 억제를 위한 세륜·세차시설 의무 가설 요건 충족</t>
        </is>
      </c>
      <c r="L14" s="18" t="inlineStr">
        <is>
          <t>👉 [더블클릭] 표준서 열기 📄</t>
        </is>
      </c>
      <c r="M14"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14" s="18" t="inlineStr">
        <is>
          <t>👉 [더블클릭] 수행지침 열기 📄</t>
        </is>
      </c>
      <c r="O14" s="15" t="inlineStr">
        <is>
          <t>1) 인접 주민 대표와의 소음 및 비산먼지 관련 사전 협의록이 작성되었는가?
2) [협력업체 자문] 레일 야적 및 가설 B/P 용지가 확보되었는가? (정주건설 자문)</t>
        </is>
      </c>
      <c r="P14" s="18" t="inlineStr">
        <is>
          <t>👉 [더블클릭] 체크리스트 열기 📄</t>
        </is>
      </c>
      <c r="Q14" s="14" t="n"/>
      <c r="R14" s="15" t="inlineStr">
        <is>
          <t>● 민원 관리 지침 준수</t>
        </is>
      </c>
      <c r="S14" s="31" t="inlineStr">
        <is>
          <t>1) 👉 [더블클릭] 체크리스트 열기 📄</t>
        </is>
      </c>
      <c r="T14" s="15" t="n"/>
    </row>
    <row r="15" ht="96" customHeight="1">
      <c r="A15" s="14" t="inlineStr">
        <is>
          <t>9000</t>
        </is>
      </c>
      <c r="B15" s="14" t="inlineStr">
        <is>
          <t>9000-5</t>
        </is>
      </c>
      <c r="C15" s="15" t="inlineStr">
        <is>
          <t>사전토공사</t>
        </is>
      </c>
      <c r="D15" s="14" t="inlineStr">
        <is>
          <t>9000-5-14</t>
        </is>
      </c>
      <c r="E15" s="14" t="inlineStr">
        <is>
          <t>D-30</t>
        </is>
      </c>
      <c r="F15" s="16" t="inlineStr">
        <is>
          <t>용지보상 Risk 파악</t>
        </is>
      </c>
      <c r="G15" s="14" t="inlineStr">
        <is>
          <t>현장 공무팀</t>
        </is>
      </c>
      <c r="H15" s="15" t="inlineStr">
        <is>
          <t>보상 지연에 따른 공정 지연 문제점 도출</t>
        </is>
      </c>
      <c r="I15" s="15" t="inlineStr">
        <is>
          <t>미보상 용지 표시 및 용지 보상 시기 확인</t>
        </is>
      </c>
      <c r="J15" s="15" t="inlineStr">
        <is>
          <t>용지보상 현황표</t>
        </is>
      </c>
      <c r="K15" s="15" t="inlineStr">
        <is>
          <t>1) 안전보건공단 위험성평가(Risk Assessment) 고시 기준 준수
2) 위험 요소 정량적 등급 판정(빈도x강도 기준) 요건 만족</t>
        </is>
      </c>
      <c r="L15" s="18" t="inlineStr">
        <is>
          <t>👉 [더블클릭] 표준서 열기 📄</t>
        </is>
      </c>
      <c r="M15"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15" s="18" t="inlineStr">
        <is>
          <t>👉 [더블클릭] 수행지침 열기 📄</t>
        </is>
      </c>
      <c r="O15" s="15" t="inlineStr">
        <is>
          <t>1) 발주처 용지보상 담당 부서와 협의하여 실제 보상금 지급 및 사용 가능 시기를 확인하였는가?
2) [협력업체 자문] 레일 야적 및 가설 B/P 용지가 확보되었는가? (정주건설 자문)</t>
        </is>
      </c>
      <c r="P15" s="18" t="inlineStr">
        <is>
          <t>👉 [더블클릭] 체크리스트 열기 📄</t>
        </is>
      </c>
      <c r="Q15" s="14" t="n"/>
      <c r="R15" s="15" t="inlineStr">
        <is>
          <t>● 토지보상법 및 공정 영향 분석</t>
        </is>
      </c>
      <c r="S15" s="19" t="inlineStr">
        <is>
          <t>1) 👉 [더블클릭] 체크리스트 열기 📄</t>
        </is>
      </c>
      <c r="T15" s="15" t="n"/>
    </row>
    <row r="16" ht="96" customHeight="1">
      <c r="A16" s="14" t="inlineStr">
        <is>
          <t>9000</t>
        </is>
      </c>
      <c r="B16" s="14" t="inlineStr">
        <is>
          <t>9000-5</t>
        </is>
      </c>
      <c r="C16" s="15" t="inlineStr">
        <is>
          <t>사전토공사</t>
        </is>
      </c>
      <c r="D16" s="14" t="inlineStr">
        <is>
          <t>9000-5-15</t>
        </is>
      </c>
      <c r="E16" s="14" t="inlineStr">
        <is>
          <t>D-30</t>
        </is>
      </c>
      <c r="F16" s="16" t="inlineStr">
        <is>
          <t>시공계획서 검토 지원</t>
        </is>
      </c>
      <c r="G16" s="14" t="inlineStr">
        <is>
          <t>토목품질팀</t>
        </is>
      </c>
      <c r="H16" s="15" t="inlineStr">
        <is>
          <t>토공사 시공계획 검토</t>
        </is>
      </c>
      <c r="I16" s="15" t="inlineStr">
        <is>
          <t>현장 여건 및 후행공종 요구조건에 적합한 시공계획 작성여부 확인</t>
        </is>
      </c>
      <c r="J16" s="15" t="inlineStr">
        <is>
          <t>시공계획서 작성지원</t>
        </is>
      </c>
      <c r="K16" s="15" t="inlineStr">
        <is>
          <t>1) 토목품질관리 기준 및 기술심의 업무 지침 준수
2) 시공 계획서 세부 작성 표준 포맷 만족</t>
        </is>
      </c>
      <c r="L16" s="18" t="inlineStr">
        <is>
          <t>👉 [더블클릭] 표준서 열기 📄</t>
        </is>
      </c>
      <c r="M16" s="15" t="inlineStr">
        <is>
          <t>1) 현장 여건과 설계 조건이 시공 계획서상 일치하는지 품질 관리 요건을 대조한다.
2) 노선 구간 전폭 점용 수칙: 상/하선 별도 시공 시에도 단일 노선 기준 전폭 차선 통제 수칙을 적용하여 시공 안정성 확보</t>
        </is>
      </c>
      <c r="N16" s="18" t="inlineStr">
        <is>
          <t>👉 [더블클릭] 수행지침 열기 📄</t>
        </is>
      </c>
      <c r="O16" s="15" t="inlineStr">
        <is>
          <t>1) 시공계획서 초안이 현장의 지형, 환경 및 장애 요건을 충분히 고려해 작성되었는가?
2) 궤도부설, 신호, 전차선 등 후행 분야에서 요구하는 지반 지지력 및 치수 요건이 반영되었는가?</t>
        </is>
      </c>
      <c r="P16" s="18" t="inlineStr">
        <is>
          <t>👉 [더블클릭] 체크리스트 열기 📄</t>
        </is>
      </c>
      <c r="Q16" s="14" t="n"/>
      <c r="R16" s="15" t="inlineStr">
        <is>
          <t>● 품질경영 매뉴얼 기준</t>
        </is>
      </c>
      <c r="S16" s="19" t="inlineStr">
        <is>
          <t>1) 👉 [더블클릭] 체크리스트 열기 📄</t>
        </is>
      </c>
      <c r="T16" s="15" t="n"/>
    </row>
    <row r="17" ht="96" customHeight="1">
      <c r="A17" s="14" t="inlineStr">
        <is>
          <t>9000</t>
        </is>
      </c>
      <c r="B17" s="14" t="inlineStr">
        <is>
          <t>9000-5</t>
        </is>
      </c>
      <c r="C17" s="15" t="inlineStr">
        <is>
          <t>사전토공사</t>
        </is>
      </c>
      <c r="D17" s="14" t="inlineStr">
        <is>
          <t>9000-5-16</t>
        </is>
      </c>
      <c r="E17" s="14" t="inlineStr">
        <is>
          <t>D-30</t>
        </is>
      </c>
      <c r="F17" s="16" t="inlineStr">
        <is>
          <t>시공계획 수립</t>
        </is>
      </c>
      <c r="G17" s="14" t="inlineStr">
        <is>
          <t>현장 공사팀</t>
        </is>
      </c>
      <c r="H17" s="15" t="inlineStr">
        <is>
          <t>토공사 시공계획 확정</t>
        </is>
      </c>
      <c r="I17" s="15" t="inlineStr">
        <is>
          <t>현장 여건에 맞는 사전검토 및 시공계획 반영 (참석: 본사담당팀, 토공업체)</t>
        </is>
      </c>
      <c r="J17" s="15" t="inlineStr">
        <is>
          <t>시공계획서 발표회 자료 및 시공계획서</t>
        </is>
      </c>
      <c r="K17" s="15" t="inlineStr">
        <is>
          <t>1) 건설기술 진흥법 시행령에 따른 시공계획서 수립 기준 만족
2) 현장 가설 계획 및 주요 공종별 안전 요건 만족</t>
        </is>
      </c>
      <c r="L17" s="18" t="inlineStr">
        <is>
          <t>👉 [더블클릭] 표준서 열기 📄</t>
        </is>
      </c>
      <c r="M17" s="15" t="inlineStr">
        <is>
          <t>1) 현장 소장, 공무/공사 파트장이 참석하여 전체 토공 일정을 고려한 최종 시공계획을 수립한다.
2) 노선 구간 전폭 점용 수칙: 상/하선 별도 시공 시에도 단일 노선 기준 전폭 차선 통제 수칙을 적용하여 시공 안정성 확보</t>
        </is>
      </c>
      <c r="N17" s="18" t="inlineStr">
        <is>
          <t>👉 [더블클릭] 수행지침 열기 📄</t>
        </is>
      </c>
      <c r="O17" s="15" t="inlineStr">
        <is>
          <t>1) 도심지 트램 시공 특성을 고려한 안전 조치가 최종 시공계획서에 정밀 반영되었는가?
2) [협력업체 자문] 레일 야적 및 가설 B/P 용지가 확보되었는가? (정주건설 자문)</t>
        </is>
      </c>
      <c r="P17" s="18" t="inlineStr">
        <is>
          <t>👉 [더블클릭] 체크리스트 열기 📄</t>
        </is>
      </c>
      <c r="Q17" s="14" t="n"/>
      <c r="R17" s="15" t="inlineStr">
        <is>
          <t>● 토공사 표준시방서 준수</t>
        </is>
      </c>
      <c r="S17" s="19" t="inlineStr">
        <is>
          <t>1) 👉 [더블클릭] 체크리스트 열기 📄</t>
        </is>
      </c>
      <c r="T17" s="15" t="n"/>
    </row>
    <row r="18" ht="96" customHeight="1">
      <c r="A18" s="14" t="inlineStr">
        <is>
          <t>9000</t>
        </is>
      </c>
      <c r="B18" s="14" t="inlineStr">
        <is>
          <t>9000-5</t>
        </is>
      </c>
      <c r="C18" s="15" t="inlineStr">
        <is>
          <t>사전토공사</t>
        </is>
      </c>
      <c r="D18" s="14" t="inlineStr">
        <is>
          <t>9000-5-17</t>
        </is>
      </c>
      <c r="E18" s="14" t="inlineStr">
        <is>
          <t>D-30</t>
        </is>
      </c>
      <c r="F18" s="16" t="inlineStr">
        <is>
          <t>후행공종 요구조건 반영 설계변경 검토</t>
        </is>
      </c>
      <c r="G18" s="14" t="inlineStr">
        <is>
          <t>현장 공무팀/공사팀</t>
        </is>
      </c>
      <c r="H18" s="15" t="inlineStr">
        <is>
          <t>후행공종의 원활한 수행</t>
        </is>
      </c>
      <c r="I18" s="15" t="inlineStr">
        <is>
          <t>Big Room 회의시 도출된 선후행 공종간 간섭사항 설계반영</t>
        </is>
      </c>
      <c r="J18" s="15" t="inlineStr">
        <is>
          <t>후행공종 요구조건검토서, 해당내용 설계 반영</t>
        </is>
      </c>
      <c r="K18" s="15" t="inlineStr">
        <is>
          <t>1) 토질 및 기초 설계기준: 「구조물기초 설계기준」, 「도로포장 설계시공지침」 및 「토목공사 일반표준시방서」 준수
2) 철도계획 선로 기하구조: 본선 최소곡선반경 R=25m, 정거장 R=300m 이상, 본선 최대구배 60‰ 이하 적용</t>
        </is>
      </c>
      <c r="L18" s="18" t="inlineStr">
        <is>
          <t>👉 [더블클릭] 표준서 열기 📄</t>
        </is>
      </c>
      <c r="M18"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18" s="18" t="inlineStr">
        <is>
          <t>👉 [더블클릭] 수행지침 열기 📄</t>
        </is>
      </c>
      <c r="O18" s="15" t="inlineStr">
        <is>
          <t>1) [협력업체 자문] 레일 야적 및 가설 B/P 용지가 확보되었는가? (정주건설 자문)
2) [협력업체 자문] 위탁 지장물(한전, 가스, 통신) 이설 완료 여부를 확인 후 토공에 착수하였는가? (트리폴건설 자문)</t>
        </is>
      </c>
      <c r="P18" s="18" t="inlineStr">
        <is>
          <t>👉 [더블클릭] 체크리스트 열기 📄</t>
        </is>
      </c>
      <c r="Q18" s="14" t="n"/>
      <c r="R18" s="15" t="inlineStr">
        <is>
          <t>● 인터페이스 조건 만족</t>
        </is>
      </c>
      <c r="S18" s="19" t="inlineStr">
        <is>
          <t>1) 👉 [더블클릭] 체크리스트 열기 📄</t>
        </is>
      </c>
      <c r="T18" s="15" t="n"/>
    </row>
    <row r="19" ht="96" customHeight="1">
      <c r="A19" s="14" t="inlineStr">
        <is>
          <t>9000</t>
        </is>
      </c>
      <c r="B19" s="14" t="inlineStr">
        <is>
          <t>9000-5</t>
        </is>
      </c>
      <c r="C19" s="15" t="inlineStr">
        <is>
          <t>사전토공사</t>
        </is>
      </c>
      <c r="D19" s="14" t="inlineStr">
        <is>
          <t>9000-5-18</t>
        </is>
      </c>
      <c r="E19" s="14" t="inlineStr">
        <is>
          <t>D-30</t>
        </is>
      </c>
      <c r="F19" s="16" t="inlineStr">
        <is>
          <t>설계변경 (착수전)</t>
        </is>
      </c>
      <c r="G19" s="14" t="inlineStr">
        <is>
          <t>현장 공무팀/공사팀</t>
        </is>
      </c>
      <c r="H19" s="15" t="inlineStr">
        <is>
          <t>설계도서-현장간 상이한 사항 변경, 원가/공정/안전/품질 개선</t>
        </is>
      </c>
      <c r="I19" s="15" t="inlineStr">
        <is>
          <t>도출된 설계변경 근거자료 작성후 발주처와 협의 -&gt; 승인</t>
        </is>
      </c>
      <c r="J19" s="15" t="inlineStr">
        <is>
          <t>설계변경 승인 문서</t>
        </is>
      </c>
      <c r="K19" s="15" t="inlineStr">
        <is>
          <t>1) 토질 및 기초 설계기준: 「구조물기초 설계기준」, 「도로포장 설계시공지침」 및 「토목공사 일반표준시방서」 준수
2) 철도계획 선로 기하구조: 본선 최소곡선반경 R=25m, 정거장 R=300m 이상, 본선 최대구배 60‰ 이하 적용</t>
        </is>
      </c>
      <c r="L19" s="18" t="inlineStr">
        <is>
          <t>👉 [더블클릭] 표준서 열기 📄</t>
        </is>
      </c>
      <c r="M19"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19" s="18" t="inlineStr">
        <is>
          <t>👉 [더블클릭] 수행지침 열기 📄</t>
        </is>
      </c>
      <c r="O19" s="15" t="inlineStr">
        <is>
          <t>1) 발주처 공식 설계변경 협의 절차를 진행하고 계약 문서 변경 승인을 득하였는가?
2) [협력업체 자문] 레일 야적 및 가설 B/P 용지가 확보되었는가? (정주건설 자문)</t>
        </is>
      </c>
      <c r="P19" s="18" t="inlineStr">
        <is>
          <t>👉 [더블클릭] 체크리스트 열기 📄</t>
        </is>
      </c>
      <c r="Q19" s="14" t="n"/>
      <c r="R19" s="15" t="inlineStr">
        <is>
          <t>● 설계변경 절차 규정 준수</t>
        </is>
      </c>
      <c r="S19" s="19" t="inlineStr">
        <is>
          <t>1) 👉 [더블클릭] 체크리스트 열기 📄</t>
        </is>
      </c>
      <c r="T19" s="15" t="n"/>
    </row>
    <row r="20" ht="96" customHeight="1">
      <c r="A20" s="14" t="inlineStr">
        <is>
          <t>9000</t>
        </is>
      </c>
      <c r="B20" s="14" t="inlineStr">
        <is>
          <t>9000-5</t>
        </is>
      </c>
      <c r="C20" s="15" t="inlineStr">
        <is>
          <t>사전토공사</t>
        </is>
      </c>
      <c r="D20" s="14" t="inlineStr">
        <is>
          <t>9000-5-19</t>
        </is>
      </c>
      <c r="E20" s="14" t="inlineStr">
        <is>
          <t>D-30</t>
        </is>
      </c>
      <c r="F20" s="16" t="inlineStr">
        <is>
          <t>설계변경 지원</t>
        </is>
      </c>
      <c r="G20" s="14" t="inlineStr">
        <is>
          <t>토목수행팀</t>
        </is>
      </c>
      <c r="H20" s="15" t="inlineStr">
        <is>
          <t>설계도서와 검증 여건 상이에 따른 설계변경</t>
        </is>
      </c>
      <c r="I20" s="15" t="inlineStr">
        <is>
          <t>현장 현황 및 여건에 따른 출력산출/도면 반영 확인 (참석: 현장, 본사유관팀)</t>
        </is>
      </c>
      <c r="J20" s="15" t="inlineStr">
        <is>
          <t>설계변경을 위한 발주처 협의 논리지원</t>
        </is>
      </c>
      <c r="K20" s="15" t="inlineStr">
        <is>
          <t>1) 토목 공사 물량 산출 및 정산 기준(KCS) 만족
2) 국가를 당사자로 하는 계약에 관한 법률 시행령 준수</t>
        </is>
      </c>
      <c r="L20" s="18" t="inlineStr">
        <is>
          <t>👉 [더블클릭] 표준서 열기 📄</t>
        </is>
      </c>
      <c r="M20"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20" s="18" t="inlineStr">
        <is>
          <t>👉 [더블클릭] 수행지침 열기 📄</t>
        </is>
      </c>
      <c r="O20" s="15" t="inlineStr">
        <is>
          <t>1) [협력업체 자문] 레일 야적 및 가설 B/P 용지가 확보되었는가? (정주건설 자문)
2) [협력업체 자문] 위탁 지장물(한전, 가스, 통신) 이설 완료 여부를 확인 후 토공에 착수하였는가? (트리폴건설 자문)</t>
        </is>
      </c>
      <c r="P20" s="18" t="inlineStr">
        <is>
          <t>👉 [더블클릭] 체크리스트 열기 📄</t>
        </is>
      </c>
      <c r="Q20" s="14" t="n"/>
      <c r="R20" s="15" t="inlineStr">
        <is>
          <t>● 기술 검증 규격 확인</t>
        </is>
      </c>
      <c r="S20" s="19" t="inlineStr">
        <is>
          <t>1) 👉 [더블클릭] 체크리스트 열기 📄</t>
        </is>
      </c>
      <c r="T20" s="15" t="n"/>
    </row>
    <row r="21" ht="96" customHeight="1">
      <c r="A21" s="14" t="inlineStr">
        <is>
          <t>9000</t>
        </is>
      </c>
      <c r="B21" s="14" t="inlineStr">
        <is>
          <t>9000-5</t>
        </is>
      </c>
      <c r="C21" s="15" t="inlineStr">
        <is>
          <t>사전토공사</t>
        </is>
      </c>
      <c r="D21" s="14" t="inlineStr">
        <is>
          <t>9000-5-20</t>
        </is>
      </c>
      <c r="E21" s="14" t="inlineStr">
        <is>
          <t>D-20</t>
        </is>
      </c>
      <c r="F21" s="16" t="inlineStr">
        <is>
          <t>교통관리 및 교통안전시설 설치</t>
        </is>
      </c>
      <c r="G21" s="14" t="inlineStr">
        <is>
          <t>현장 공사팀</t>
        </is>
      </c>
      <c r="H21" s="15" t="inlineStr">
        <is>
          <t>공사중 교통처리 계획에 근거한 교통관리</t>
        </is>
      </c>
      <c r="I21" s="15" t="inlineStr">
        <is>
          <t>차로 우회, 교통안전 시설 설치</t>
        </is>
      </c>
      <c r="J21" s="15" t="inlineStr">
        <is>
          <t>작업구간 조성준비 보고서</t>
        </is>
      </c>
      <c r="K21" s="15" t="inlineStr">
        <is>
          <t>1) 도로공사 표준시방서 교통안전시설물 규격 준수
2) 공사구간 분리대: PE 드럼 및 규제봉 반사 시트 성능 검사 요건 충족</t>
        </is>
      </c>
      <c r="L21" s="18" t="inlineStr">
        <is>
          <t>👉 [더블클릭] 표준서 열기 📄</t>
        </is>
      </c>
      <c r="M21"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21" s="18" t="inlineStr">
        <is>
          <t>👉 [더블클릭] 수행지침 열기 📄</t>
        </is>
      </c>
      <c r="O21" s="15" t="inlineStr">
        <is>
          <t>1) 임시 교통안전 표지판의 규격 및 오시설 상태를 사전 현장 검측 완료하였는가?
2) 인 1조 신호수 배치 상태 및 야간용 LED 유도 장치 전원 공급 장치가 정상인가?</t>
        </is>
      </c>
      <c r="P21" s="18" t="inlineStr">
        <is>
          <t>👉 [더블클릭] 체크리스트 열기 📄</t>
        </is>
      </c>
      <c r="Q21" s="14" t="n"/>
      <c r="R21" s="15" t="inlineStr">
        <is>
          <t>● 경찰청 협의사항 및 교통안전시설 설치기준 준수</t>
        </is>
      </c>
      <c r="S21" s="19" t="inlineStr">
        <is>
          <t>1) 👉 [더블클릭] 체크리스트 열기 📄</t>
        </is>
      </c>
      <c r="T21" s="15" t="n"/>
    </row>
    <row r="22" ht="96" customHeight="1">
      <c r="A22" s="14" t="inlineStr">
        <is>
          <t>9000</t>
        </is>
      </c>
      <c r="B22" s="14" t="inlineStr">
        <is>
          <t>9000-5</t>
        </is>
      </c>
      <c r="C22" s="15" t="inlineStr">
        <is>
          <t>사전토공사</t>
        </is>
      </c>
      <c r="D22" s="14" t="inlineStr">
        <is>
          <t>9000-5-21</t>
        </is>
      </c>
      <c r="E22" s="14" t="inlineStr">
        <is>
          <t>D-10</t>
        </is>
      </c>
      <c r="F22" s="16" t="inlineStr">
        <is>
          <t>장비 검수 지원</t>
        </is>
      </c>
      <c r="G22" s="14" t="inlineStr">
        <is>
          <t>기술안전팀</t>
        </is>
      </c>
      <c r="H22" s="15" t="inlineStr">
        <is>
          <t>성토 및 사토 운영용 토공장비 점검</t>
        </is>
      </c>
      <c r="I22" s="15" t="inlineStr">
        <is>
          <t>장비제원 확보 및 작동성능 테스트 (참석: 현장, 장비/작업자)</t>
        </is>
      </c>
      <c r="J22" s="15" t="inlineStr">
        <is>
          <t>장비관리확인서</t>
        </is>
      </c>
      <c r="K22" s="15" t="inlineStr">
        <is>
          <t>1) 건설기계관리법에 따른 공인 정기검사필증 확인 및 현장 임의 개조 장비 투입 금지
2) 덤프트럭 및 백호(굴착기) 주요 조향 및 유압 계통 시험 성적서 확보</t>
        </is>
      </c>
      <c r="L22" s="18" t="inlineStr">
        <is>
          <t>👉 [더블클릭] 표준서 열기 📄</t>
        </is>
      </c>
      <c r="M22" s="15" t="inlineStr">
        <is>
          <t>1) 사전 장비 테스트: 현장 투입 시 조작 제동력, 누유 상태, 안전 제어장치를 기능 담당자가 합동 점검합니다.
2) 후방 감지 센서 의무화: 후진 시 작업자와 충돌을 방지하기 위해 경보음 발생 장치 및 모니터를 켜고 구동 시험을 실시합니다.</t>
        </is>
      </c>
      <c r="N22" s="18" t="inlineStr">
        <is>
          <t>👉 [더블클릭] 수행지침 열기 📄</t>
        </is>
      </c>
      <c r="O22" s="15" t="inlineStr">
        <is>
          <t>1) 정기 안전 검증이 통과된 등록 건설기계에 한해 입고 승인서가 발급되었는가?
2) [협력업체 자문] 레일 야적 및 가설 B/P 용지가 확보되었는가? (정주건설 자문)</t>
        </is>
      </c>
      <c r="P22" s="18" t="inlineStr">
        <is>
          <t>👉 [더블클릭] 체크리스트 열기 📄</t>
        </is>
      </c>
      <c r="Q22" s="14" t="n"/>
      <c r="R22" s="15" t="inlineStr">
        <is>
          <t>● 산업안전보건법 및 건설기계관리법 준수</t>
        </is>
      </c>
      <c r="S22" s="19" t="inlineStr">
        <is>
          <t>1) 👉 [더블클릭] 체크리스트 열기 📄</t>
        </is>
      </c>
      <c r="T22" s="15" t="n"/>
    </row>
    <row r="23" ht="96" customHeight="1">
      <c r="A23" s="14" t="inlineStr">
        <is>
          <t>9000</t>
        </is>
      </c>
      <c r="B23" s="14" t="inlineStr">
        <is>
          <t>9000-5</t>
        </is>
      </c>
      <c r="C23" s="15" t="inlineStr">
        <is>
          <t>사전토공사</t>
        </is>
      </c>
      <c r="D23" s="14" t="inlineStr">
        <is>
          <t>9000-5-22</t>
        </is>
      </c>
      <c r="E23" s="14" t="inlineStr">
        <is>
          <t>D+10~30</t>
        </is>
      </c>
      <c r="F23" s="16" t="inlineStr">
        <is>
          <t>벌목/벌근제거</t>
        </is>
      </c>
      <c r="G23" s="14" t="inlineStr">
        <is>
          <t>현장 공사팀</t>
        </is>
      </c>
      <c r="H23" s="15" t="inlineStr">
        <is>
          <t>혼입된 유기물의 부패로 부등침하, 처짐 등의 하자 원인 방지</t>
        </is>
      </c>
      <c r="I23" s="15" t="inlineStr">
        <is>
          <t>수목의 절단/집재 및 보존 수목에 대한 이설</t>
        </is>
      </c>
      <c r="J23" s="15" t="inlineStr">
        <is>
          <t>진입로 조성 준비 보고서</t>
        </is>
      </c>
      <c r="K23" s="15" t="inlineStr">
        <is>
          <t>1) 산림자원의 조성 및 관리에 관한 법률 기준 준수
2) 공사 구간 경계선 이외 구역 수목의 무단 벌채 금지 한계 준수</t>
        </is>
      </c>
      <c r="L23" s="18" t="inlineStr">
        <is>
          <t>👉 [더블클릭] 표준서 열기 📄</t>
        </is>
      </c>
      <c r="M23"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23" s="18" t="inlineStr">
        <is>
          <t>👉 [더블클릭] 수행지침 열기 📄</t>
        </is>
      </c>
      <c r="O23" s="15" t="inlineStr">
        <is>
          <t>1) 벌목 구역 경계 말뚝 설치 및 보존 대상 수목(가식 예정) 선별이 완료되었는가?
2) 굴취된 뿌리(벌근) 구멍 부위는 다짐용 흙으로 양호하게 메우고 다짐도를 확인했는가?</t>
        </is>
      </c>
      <c r="P23" s="18" t="inlineStr">
        <is>
          <t>👉 [더블클릭] 체크리스트 열기 📄</t>
        </is>
      </c>
      <c r="Q23" s="14" t="n"/>
      <c r="R23" s="15" t="inlineStr">
        <is>
          <t>● 산림자원법 및 환경 기준 준수</t>
        </is>
      </c>
      <c r="S23" s="19" t="inlineStr">
        <is>
          <t>1) 👉 [더블클릭] 체크리스트 열기 📄</t>
        </is>
      </c>
      <c r="T23" s="15" t="n"/>
    </row>
    <row r="24" ht="96" customHeight="1">
      <c r="A24" s="14" t="inlineStr">
        <is>
          <t>9000</t>
        </is>
      </c>
      <c r="B24" s="14" t="inlineStr">
        <is>
          <t>9000-5</t>
        </is>
      </c>
      <c r="C24" s="15" t="inlineStr">
        <is>
          <t>사전토공사</t>
        </is>
      </c>
      <c r="D24" s="14" t="inlineStr">
        <is>
          <t>9000-5-23</t>
        </is>
      </c>
      <c r="E24" s="14" t="inlineStr">
        <is>
          <t>D+10~25</t>
        </is>
      </c>
      <c r="F24" s="16" t="inlineStr">
        <is>
          <t>기존구조물 / 지장물 처리</t>
        </is>
      </c>
      <c r="G24" s="14" t="inlineStr">
        <is>
          <t>현장 공사팀 / 공무팀</t>
        </is>
      </c>
      <c r="H24" s="15" t="inlineStr">
        <is>
          <t>본공사 착수전 작업 부지 확보</t>
        </is>
      </c>
      <c r="I24" s="15" t="inlineStr">
        <is>
          <t>관할기관 협의에 따른 지장물 처리</t>
        </is>
      </c>
      <c r="J24" s="15" t="inlineStr">
        <is>
          <t>지장물 처리대장</t>
        </is>
      </c>
      <c r="K24" s="15" t="inlineStr">
        <is>
          <t>1) 기존 구조물의 지표면 하부 최소 300mm 철거 규정 충족
2) 건설폐기물 재활용 촉진에 관한 법률 및 폐기물 분리 배출 기준 준수</t>
        </is>
      </c>
      <c r="L24" s="18" t="inlineStr">
        <is>
          <t>👉 [더블클릭] 표준서 열기 📄</t>
        </is>
      </c>
      <c r="M24"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24" s="18" t="inlineStr">
        <is>
          <t>👉 [더블클릭] 수행지침 열기 📄</t>
        </is>
      </c>
      <c r="O24" s="15" t="inlineStr">
        <is>
          <t>1) [협력업체 자문] 레일 야적 및 가설 B/P 용지가 확보되었는가? (정주건설 자문)
2) [협력업체 자문] 위탁 지장물(한전, 가스, 통신) 이설 완료 여부를 확인 후 토공에 착수하였는가? (트리폴건설 자문)</t>
        </is>
      </c>
      <c r="P24" s="18" t="inlineStr">
        <is>
          <t>👉 [더블클릭] 체크리스트 열기 📄</t>
        </is>
      </c>
      <c r="Q24" s="14" t="n"/>
      <c r="R24" s="15" t="inlineStr">
        <is>
          <t>● 지장물 이설 및 철거 규정 준수</t>
        </is>
      </c>
      <c r="S24" s="19" t="inlineStr">
        <is>
          <t>1) 👉 [더블클릭] 체크리스트 열기 📄</t>
        </is>
      </c>
      <c r="T24" s="15" t="n"/>
    </row>
    <row r="25" ht="96" customHeight="1">
      <c r="A25" s="14" t="inlineStr">
        <is>
          <t>9000</t>
        </is>
      </c>
      <c r="B25" s="14" t="inlineStr">
        <is>
          <t>9000-5</t>
        </is>
      </c>
      <c r="C25" s="15" t="inlineStr">
        <is>
          <t>사전토공사</t>
        </is>
      </c>
      <c r="D25" s="14" t="inlineStr">
        <is>
          <t>9000-5-24</t>
        </is>
      </c>
      <c r="E25" s="14" t="inlineStr">
        <is>
          <t>D+10~30</t>
        </is>
      </c>
      <c r="F25" s="16" t="inlineStr">
        <is>
          <t>진입로 조성</t>
        </is>
      </c>
      <c r="G25" s="14" t="inlineStr">
        <is>
          <t>현장 공사팀</t>
        </is>
      </c>
      <c r="H25" s="15" t="inlineStr">
        <is>
          <t>후행 공종의 수행 및 장비/인력의 접근성 확보</t>
        </is>
      </c>
      <c r="I25" s="15" t="inlineStr">
        <is>
          <t>설계에 따른 성토 / 절토 / 포장 및 골재포설</t>
        </is>
      </c>
      <c r="J25" s="15" t="inlineStr">
        <is>
          <t>진입로 조성 완료 보고서</t>
        </is>
      </c>
      <c r="K25" s="15" t="inlineStr">
        <is>
          <t>1) 국토교통부 도로설계기준 및 현장 공사용 진입도로 시방 만족
2) 덤프트럭(25톤) 양방향 교행 폭(최소 6.0m 이상) 확보</t>
        </is>
      </c>
      <c r="L25" s="18" t="inlineStr">
        <is>
          <t>👉 [더블클릭] 표준서 열기 📄</t>
        </is>
      </c>
      <c r="M25"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25" s="18" t="inlineStr">
        <is>
          <t>👉 [더블클릭] 수행지침 열기 📄</t>
        </is>
      </c>
      <c r="O25" s="15" t="inlineStr">
        <is>
          <t>1) 공사용 진입 도로 설계도면의 계획고에 맞춰 성토, 절토가 정확하게 진행되었는가?
2) [협력업체 자문] 레일 야적 및 가설 B/P 용지가 확보되었는가? (정주건설 자문)</t>
        </is>
      </c>
      <c r="P25" s="18" t="inlineStr">
        <is>
          <t>👉 [더블클릭] 체크리스트 열기 📄</t>
        </is>
      </c>
      <c r="Q25" s="14" t="n"/>
      <c r="R25" s="15" t="inlineStr">
        <is>
          <t>● 진입로 종단구배 및 가로 폭 규격 만족</t>
        </is>
      </c>
      <c r="S25" s="19" t="inlineStr">
        <is>
          <t>1) 👉 [더블클릭] 체크리스트 열기 📄</t>
        </is>
      </c>
      <c r="T25" s="15" t="n"/>
    </row>
    <row r="26" ht="96" customHeight="1">
      <c r="A26" s="14" t="inlineStr">
        <is>
          <t>9000</t>
        </is>
      </c>
      <c r="B26" s="14" t="inlineStr">
        <is>
          <t>9000-5</t>
        </is>
      </c>
      <c r="C26" s="15" t="inlineStr">
        <is>
          <t>사전토공사</t>
        </is>
      </c>
      <c r="D26" s="14" t="inlineStr">
        <is>
          <t>9000-5-25</t>
        </is>
      </c>
      <c r="E26" s="14" t="inlineStr">
        <is>
          <t>D+10~30</t>
        </is>
      </c>
      <c r="F26" s="16" t="inlineStr">
        <is>
          <t>배수/환경시설 설치</t>
        </is>
      </c>
      <c r="G26" s="14" t="inlineStr">
        <is>
          <t>현장 공사팀</t>
        </is>
      </c>
      <c r="H26" s="15" t="inlineStr">
        <is>
          <t>공사간 유입수 배수 / 발생 예상되는 각종 오염방지</t>
        </is>
      </c>
      <c r="I26" s="15" t="inlineStr">
        <is>
          <t>배수/환경시설 설치</t>
        </is>
      </c>
      <c r="J26" s="15" t="inlineStr">
        <is>
          <t>배수/환경시설 검측서</t>
        </is>
      </c>
      <c r="K26" s="15" t="inlineStr">
        <is>
          <t>1) 국토교통부 도로배수시설 설계 기준 만족
2) 임시 침사지 용량 계산 및 탁수 정화 필터 규격 조건 충족</t>
        </is>
      </c>
      <c r="L26" s="18" t="inlineStr">
        <is>
          <t>👉 [더블클릭] 표준서 열기 📄</t>
        </is>
      </c>
      <c r="M26" s="15" t="inlineStr">
        <is>
          <t>1) 시공 중 발생하는 진흙물이 인근 하천으로 방류되는 것을 방지하기 위해 집수정과 임시 침사지 신설
2) 노선 구간 전폭 점용 수칙: 상/하선 별도 시공 시에도 단일 노선 기준 전폭 차선 통제 수칙을 적용하여 시공 안정성 확보</t>
        </is>
      </c>
      <c r="N26" s="18" t="inlineStr">
        <is>
          <t>👉 [더블클릭] 수행지침 열기 📄</t>
        </is>
      </c>
      <c r="O26" s="15" t="inlineStr">
        <is>
          <t>1) 토사 유출 차단을 위한 임시 침사지 및 여과 부직포 포설 상태를 확인했는가?
2) [협력업체 자문] 레일 야적 및 가설 B/P 용지가 확보되었는가? (정주건설 자문)</t>
        </is>
      </c>
      <c r="P26" s="18" t="inlineStr">
        <is>
          <t>👉 [더블클릭] 체크리스트 열기 📄</t>
        </is>
      </c>
      <c r="Q26" s="14" t="n"/>
      <c r="R26" s="15" t="inlineStr">
        <is>
          <t>● 환경보존법 및 비산먼지/침사지 규정 준수</t>
        </is>
      </c>
      <c r="S26" s="19" t="inlineStr">
        <is>
          <t>1) 👉 [더블클릭] 체크리스트 열기 📄</t>
        </is>
      </c>
      <c r="T26" s="15" t="n"/>
    </row>
    <row r="27" ht="96" customHeight="1">
      <c r="A27" s="14" t="inlineStr">
        <is>
          <t>9000</t>
        </is>
      </c>
      <c r="B27" s="14" t="inlineStr">
        <is>
          <t>9000-5</t>
        </is>
      </c>
      <c r="C27" s="15" t="inlineStr">
        <is>
          <t>사전토공사</t>
        </is>
      </c>
      <c r="D27" s="14" t="inlineStr">
        <is>
          <t>9000-5-26</t>
        </is>
      </c>
      <c r="E27" s="14" t="inlineStr">
        <is>
          <t>D+10~30</t>
        </is>
      </c>
      <c r="F27" s="16" t="inlineStr">
        <is>
          <t>토공 굴착</t>
        </is>
      </c>
      <c r="G27" s="14" t="inlineStr">
        <is>
          <t>현장 공사팀</t>
        </is>
      </c>
      <c r="H27" s="15" t="inlineStr">
        <is>
          <t>토사 깎기수량 확보 및 후행공종 노면준비</t>
        </is>
      </c>
      <c r="I27" s="15" t="inlineStr">
        <is>
          <t>기존도로 포장 절사 및 노상 굴착</t>
        </is>
      </c>
      <c r="J27" s="15" t="inlineStr">
        <is>
          <t>후행공종 착수에 적합한 노면 혹은 굴착토사</t>
        </is>
      </c>
      <c r="K27" s="15" t="inlineStr">
        <is>
          <t>1) 토질 및 기초 설계기준: 「구조물기초 설계기준」, 「도로포장 설계시공지침」 및 「토목공사 일반표준시방서」 준수
2) 철도계획 선로 기하구조: 본선 최소곡선반경 R=25m, 정거장 R=300m 이상, 본선 최대구배 60‰ 이하 적용</t>
        </is>
      </c>
      <c r="L27" s="18" t="inlineStr">
        <is>
          <t>👉 [더블클릭] 표준서 열기 📄</t>
        </is>
      </c>
      <c r="M27"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27" s="18" t="inlineStr">
        <is>
          <t>👉 [더블클릭] 수행지침 열기 📄</t>
        </is>
      </c>
      <c r="O27" s="15" t="inlineStr">
        <is>
          <t>1) 기존 아스콘/콘크리트 포장면 절사(커팅) 선이 설계도에 따라 깨끗하게 구획 절사되었는가?
2) [협력업체 자문] 레일 야적 및 가설 B/P 용지가 확보되었는가? (정주건설 자문)</t>
        </is>
      </c>
      <c r="P27" s="18" t="inlineStr">
        <is>
          <t>👉 [더블클릭] 체크리스트 열기 📄</t>
        </is>
      </c>
      <c r="Q27" s="14" t="n"/>
      <c r="R27" s="15" t="inlineStr">
        <is>
          <t>● 굴착 사면 기울기 및 굴착 공차 한계 준수</t>
        </is>
      </c>
      <c r="S27" s="19" t="inlineStr">
        <is>
          <t>1) 👉 [더블클릭] 체크리스트 열기 📄</t>
        </is>
      </c>
      <c r="T27" s="15" t="n"/>
    </row>
    <row r="28" ht="96" customHeight="1">
      <c r="A28" s="14" t="inlineStr">
        <is>
          <t>9000</t>
        </is>
      </c>
      <c r="B28" s="14" t="inlineStr">
        <is>
          <t>9000-5</t>
        </is>
      </c>
      <c r="C28" s="15" t="inlineStr">
        <is>
          <t>사전토공사</t>
        </is>
      </c>
      <c r="D28" s="14" t="inlineStr">
        <is>
          <t>9000-5-27</t>
        </is>
      </c>
      <c r="E28" s="14" t="inlineStr">
        <is>
          <t>D+10~30</t>
        </is>
      </c>
      <c r="F28" s="16" t="inlineStr">
        <is>
          <t>노상토 지지력 확인</t>
        </is>
      </c>
      <c r="G28" s="14" t="inlineStr">
        <is>
          <t>현장 품질팀</t>
        </is>
      </c>
      <c r="H28" s="15" t="inlineStr">
        <is>
          <t>트램 강화노반 사용에 대한 지지력 검증</t>
        </is>
      </c>
      <c r="I28" s="15" t="inlineStr">
        <is>
          <t>현장 들밀도 시험 또는 현장 재하시험</t>
        </is>
      </c>
      <c r="J28" s="15" t="inlineStr">
        <is>
          <t>노상토 지지력 결과서</t>
        </is>
      </c>
      <c r="K28" s="15" t="inlineStr">
        <is>
          <t>1) 토질 및 기초 설계기준: 「구조물기초 설계기준」, 「도로포장 설계시공지침」 및 「토목공사 일반표준시방서」 준수
2) 철도계획 선로 기하구조: 본선 최소곡선반경 R=25m, 정거장 R=300m 이상, 본선 최대구배 60‰ 이하 적용</t>
        </is>
      </c>
      <c r="L28" s="18" t="inlineStr">
        <is>
          <t>👉 [더블클릭] 표준서 열기 📄</t>
        </is>
      </c>
      <c r="M28"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28" s="18" t="inlineStr">
        <is>
          <t>👉 [더블클릭] 수행지침 열기 📄</t>
        </is>
      </c>
      <c r="O28" s="15" t="inlineStr">
        <is>
          <t>1) 현장 들밀도 시험을 통한 상대다짐도(노상 95% 이상) 성적서가 검측서에 첨부되었는가?
2) 평판재하시험(K30)을 통해 시공기면 지반의 지지력 계수가 만족함을 전수 확인하였는가?</t>
        </is>
      </c>
      <c r="P28" s="18" t="inlineStr">
        <is>
          <t>👉 [더블클릭] 체크리스트 열기 📄</t>
        </is>
      </c>
      <c r="Q28" s="14" t="n"/>
      <c r="R28" s="15" t="inlineStr">
        <is>
          <t>● 강화노반 필요 지지력 규격 만족</t>
        </is>
      </c>
      <c r="S28" s="19" t="inlineStr">
        <is>
          <t>1) 👉 [더블클릭] 체크리스트 열기 📄</t>
        </is>
      </c>
      <c r="T28" s="15" t="n"/>
    </row>
    <row r="29" ht="96" customHeight="1">
      <c r="A29" s="14" t="inlineStr">
        <is>
          <t>9000</t>
        </is>
      </c>
      <c r="B29" s="14" t="inlineStr">
        <is>
          <t>9000-5</t>
        </is>
      </c>
      <c r="C29" s="15" t="inlineStr">
        <is>
          <t>사전토공사</t>
        </is>
      </c>
      <c r="D29" s="14" t="inlineStr">
        <is>
          <t>9000-5-28</t>
        </is>
      </c>
      <c r="E29" s="14" t="inlineStr">
        <is>
          <t>D+10~30</t>
        </is>
      </c>
      <c r="F29" s="16" t="inlineStr">
        <is>
          <t>쌓기 및 다짐(필요시)</t>
        </is>
      </c>
      <c r="G29" s="14" t="inlineStr">
        <is>
          <t>현장 공사팀</t>
        </is>
      </c>
      <c r="H29" s="15" t="inlineStr">
        <is>
          <t>적합한 재료를 사용한 쌓기/다짐 공사</t>
        </is>
      </c>
      <c r="I29" s="15" t="inlineStr">
        <is>
          <t>지지력 불량시 노상토 다짐 수행</t>
        </is>
      </c>
      <c r="J29" s="15" t="inlineStr">
        <is>
          <t>노상 다짐 완료 검측서</t>
        </is>
      </c>
      <c r="K29" s="15" t="inlineStr">
        <is>
          <t>1) 다짐도(95% 이상) 규격 준수
2) 토질 및 기초 설계기준: 「구조물기초 설계기준」, 「도로포장 설계시공지침」 및 「토목공사 일반표준시방서」 준수</t>
        </is>
      </c>
      <c r="L29" s="18" t="inlineStr">
        <is>
          <t>👉 [더블클릭] 표준서 열기 📄</t>
        </is>
      </c>
      <c r="M29"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29" s="18" t="inlineStr">
        <is>
          <t>👉 [더블클릭] 수행지침 열기 📄</t>
        </is>
      </c>
      <c r="O29" s="15" t="inlineStr">
        <is>
          <t>1) [협력업체 자문] 레일 야적 및 가설 B/P 용지가 확보되었는가? (정주건설 자문)
2) [협력업체 자문] 위탁 지장물(한전, 가스, 통신) 이설 완료 여부를 확인 후 토공에 착수하였는가? (트리폴건설 자문)</t>
        </is>
      </c>
      <c r="P29" s="18" t="inlineStr">
        <is>
          <t>👉 [더블클릭] 체크리스트 열기 📄</t>
        </is>
      </c>
      <c r="Q29" s="14" t="n"/>
      <c r="R29" s="15" t="inlineStr">
        <is>
          <t>● 다짐도(95% 이상) 규격 준수</t>
        </is>
      </c>
      <c r="S29" s="19" t="inlineStr">
        <is>
          <t>1) 👉 [더블클릭] 체크리스트 열기 📄</t>
        </is>
      </c>
      <c r="T29" s="15" t="n"/>
    </row>
    <row r="30" ht="96" customHeight="1">
      <c r="A30" s="14" t="inlineStr">
        <is>
          <t>9000</t>
        </is>
      </c>
      <c r="B30" s="14" t="inlineStr">
        <is>
          <t>9000-5</t>
        </is>
      </c>
      <c r="C30" s="15" t="inlineStr">
        <is>
          <t>사전토공사</t>
        </is>
      </c>
      <c r="D30" s="14" t="inlineStr">
        <is>
          <t>9000-5-29</t>
        </is>
      </c>
      <c r="E30" s="14" t="inlineStr">
        <is>
          <t>D+75일 이후</t>
        </is>
      </c>
      <c r="F30" s="16" t="inlineStr">
        <is>
          <t>현장지원</t>
        </is>
      </c>
      <c r="G30" s="14" t="inlineStr">
        <is>
          <t>토목수행팀, 토목품질팀, 토목안전팀</t>
        </is>
      </c>
      <c r="H30" s="15" t="inlineStr">
        <is>
          <t>공정계획 및 실적관리/안전 사고 Zero/하자, 부실공정 Zero</t>
        </is>
      </c>
      <c r="I30" s="15" t="inlineStr">
        <is>
          <t>제품, 평가 모니터링/현장 안전점검/현장 품질점검 (참석: 본사담당팀)</t>
        </is>
      </c>
      <c r="J30" s="15" t="inlineStr">
        <is>
          <t>현장 점검 리포트 및 조치 결과서</t>
        </is>
      </c>
      <c r="K30" s="15" t="inlineStr">
        <is>
          <t>1) 본사 기술수행팀 실적 관리 지침 및 안전품질 점검 기준 만족
2) 현장 공정 준수율 및 부실벌점 Zero 기준 충족</t>
        </is>
      </c>
      <c r="L30" s="18" t="inlineStr">
        <is>
          <t>👉 [더블클릭] 표준서 열기 📄</t>
        </is>
      </c>
      <c r="M30"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30" s="18" t="inlineStr">
        <is>
          <t>👉 [더블클릭] 수행지침 열기 📄</t>
        </is>
      </c>
      <c r="O30" s="15" t="inlineStr">
        <is>
          <t>1) 본사 및 현장 품질 담당자가 함께 자재 품질 승인서 및 인수 제품 상태를 평가하였는가?
2) [협력업체 자문] 레일 야적 및 가설 B/P 용지가 확보되었는가? (정주건설 자문)</t>
        </is>
      </c>
      <c r="P30" s="18" t="inlineStr">
        <is>
          <t>👉 [더블클릭] 체크리스트 열기 📄</t>
        </is>
      </c>
      <c r="Q30" s="14" t="n"/>
      <c r="R30" s="15" t="inlineStr">
        <is>
          <t>● 본사 정기현장점검 지침 준수</t>
        </is>
      </c>
      <c r="S30" s="19" t="inlineStr">
        <is>
          <t>1) 👉 [더블클릭] 체크리스트 열기 📄</t>
        </is>
      </c>
      <c r="T30" s="15" t="n"/>
    </row>
    <row r="31" ht="96" customHeight="1">
      <c r="A31" s="14" t="inlineStr">
        <is>
          <t>9000</t>
        </is>
      </c>
      <c r="B31" s="14" t="inlineStr">
        <is>
          <t>9000-5</t>
        </is>
      </c>
      <c r="C31" s="15" t="inlineStr">
        <is>
          <t>사전토공사</t>
        </is>
      </c>
      <c r="D31" s="14" t="inlineStr">
        <is>
          <t>9000-5-30</t>
        </is>
      </c>
      <c r="E31" s="14" t="inlineStr">
        <is>
          <t>D+75일 이후</t>
        </is>
      </c>
      <c r="F31" s="16" t="inlineStr">
        <is>
          <t>강화노반 인계</t>
        </is>
      </c>
      <c r="G31" s="14" t="inlineStr">
        <is>
          <t>현장 공사팀 / 품질팀</t>
        </is>
      </c>
      <c r="H31" s="15" t="inlineStr">
        <is>
          <t>후행 공종에 강화노반 인계</t>
        </is>
      </c>
      <c r="I31" s="15" t="inlineStr">
        <is>
          <t>강화노반 레벨 및 지지력 측정 결과와 함께 궤도 공종에 인계</t>
        </is>
      </c>
      <c r="J31" s="15" t="inlineStr">
        <is>
          <t>강화노반 인수인계서</t>
        </is>
      </c>
      <c r="K31" s="15" t="inlineStr">
        <is>
          <t>1) 토목 시설물 공동 인수인계 표준 지침 및 기술 규격 만족
2) 레일 계획고 대비 콘크리트 기초면 높이 편차 만족</t>
        </is>
      </c>
      <c r="L31" s="18" t="inlineStr">
        <is>
          <t>👉 [더블클릭] 표준서 열기 📄</t>
        </is>
      </c>
      <c r="M31" s="15" t="inlineStr">
        <is>
          <t>1) 강화노반 시공이 완료된 구역에 대해 중심선 좌표 및 표고 성과표를 검증하여 후속 분야(궤도 등)에 인계한다.
2) 합동 인수인계서를 작성하여 양 주관 부서장의 확인 서명을 득한다.</t>
        </is>
      </c>
      <c r="N31" s="18" t="inlineStr">
        <is>
          <t>👉 [더블클릭] 수행지침 열기 📄</t>
        </is>
      </c>
      <c r="O31" s="15" t="inlineStr">
        <is>
          <t>1) [협력업체 자문] 레일 야적 및 가설 B/P 용지가 확보되었는가? (정주건설 자문)
2) [협력업체 자문] 위탁 지장물(한전, 가스, 통신) 이설 완료 여부를 확인 후 토공에 착수하였는가? (트리폴건설 자문)</t>
        </is>
      </c>
      <c r="P31" s="18" t="inlineStr">
        <is>
          <t>👉 [더블클릭] 체크리스트 열기 📄</t>
        </is>
      </c>
      <c r="Q31" s="14" t="n"/>
      <c r="R31" s="15" t="inlineStr">
        <is>
          <t>● 궤도 부설 구간 허용 오차 한계 확인</t>
        </is>
      </c>
      <c r="S31" s="19" t="inlineStr">
        <is>
          <t>1) 👉 [더블클릭] 체크리스트 열기 📄</t>
        </is>
      </c>
      <c r="T31" s="15" t="n"/>
    </row>
  </sheetData>
  <hyperlinks>
    <hyperlink xmlns:r="http://schemas.openxmlformats.org/officeDocument/2006/relationships" ref="L2" r:id="rId1"/>
    <hyperlink xmlns:r="http://schemas.openxmlformats.org/officeDocument/2006/relationships" ref="N2" r:id="rId2"/>
    <hyperlink xmlns:r="http://schemas.openxmlformats.org/officeDocument/2006/relationships" ref="P2" r:id="rId3"/>
    <hyperlink xmlns:r="http://schemas.openxmlformats.org/officeDocument/2006/relationships" ref="L3" r:id="rId4"/>
    <hyperlink xmlns:r="http://schemas.openxmlformats.org/officeDocument/2006/relationships" ref="N3" r:id="rId5"/>
    <hyperlink xmlns:r="http://schemas.openxmlformats.org/officeDocument/2006/relationships" ref="P3" r:id="rId6"/>
    <hyperlink xmlns:r="http://schemas.openxmlformats.org/officeDocument/2006/relationships" ref="L4" r:id="rId7"/>
    <hyperlink xmlns:r="http://schemas.openxmlformats.org/officeDocument/2006/relationships" ref="N4" r:id="rId8"/>
    <hyperlink xmlns:r="http://schemas.openxmlformats.org/officeDocument/2006/relationships" ref="P4" r:id="rId9"/>
    <hyperlink xmlns:r="http://schemas.openxmlformats.org/officeDocument/2006/relationships" ref="L5" r:id="rId10"/>
    <hyperlink xmlns:r="http://schemas.openxmlformats.org/officeDocument/2006/relationships" ref="N5" r:id="rId11"/>
    <hyperlink xmlns:r="http://schemas.openxmlformats.org/officeDocument/2006/relationships" ref="P5" r:id="rId12"/>
    <hyperlink xmlns:r="http://schemas.openxmlformats.org/officeDocument/2006/relationships" ref="L6" r:id="rId13"/>
    <hyperlink xmlns:r="http://schemas.openxmlformats.org/officeDocument/2006/relationships" ref="N6" r:id="rId14"/>
    <hyperlink xmlns:r="http://schemas.openxmlformats.org/officeDocument/2006/relationships" ref="P6" r:id="rId15"/>
    <hyperlink xmlns:r="http://schemas.openxmlformats.org/officeDocument/2006/relationships" ref="L7" r:id="rId16"/>
    <hyperlink xmlns:r="http://schemas.openxmlformats.org/officeDocument/2006/relationships" ref="N7" r:id="rId17"/>
    <hyperlink xmlns:r="http://schemas.openxmlformats.org/officeDocument/2006/relationships" ref="P7" r:id="rId18"/>
    <hyperlink xmlns:r="http://schemas.openxmlformats.org/officeDocument/2006/relationships" ref="L8" r:id="rId19"/>
    <hyperlink xmlns:r="http://schemas.openxmlformats.org/officeDocument/2006/relationships" ref="N8" r:id="rId20"/>
    <hyperlink xmlns:r="http://schemas.openxmlformats.org/officeDocument/2006/relationships" ref="P8" r:id="rId21"/>
    <hyperlink xmlns:r="http://schemas.openxmlformats.org/officeDocument/2006/relationships" ref="L9" r:id="rId22"/>
    <hyperlink xmlns:r="http://schemas.openxmlformats.org/officeDocument/2006/relationships" ref="N9" r:id="rId23"/>
    <hyperlink xmlns:r="http://schemas.openxmlformats.org/officeDocument/2006/relationships" ref="P9" r:id="rId24"/>
    <hyperlink xmlns:r="http://schemas.openxmlformats.org/officeDocument/2006/relationships" ref="L10" r:id="rId25"/>
    <hyperlink xmlns:r="http://schemas.openxmlformats.org/officeDocument/2006/relationships" ref="N10" r:id="rId26"/>
    <hyperlink xmlns:r="http://schemas.openxmlformats.org/officeDocument/2006/relationships" ref="P10" r:id="rId27"/>
    <hyperlink xmlns:r="http://schemas.openxmlformats.org/officeDocument/2006/relationships" ref="L11" r:id="rId28"/>
    <hyperlink xmlns:r="http://schemas.openxmlformats.org/officeDocument/2006/relationships" ref="N11" r:id="rId29"/>
    <hyperlink xmlns:r="http://schemas.openxmlformats.org/officeDocument/2006/relationships" ref="P11" r:id="rId30"/>
    <hyperlink xmlns:r="http://schemas.openxmlformats.org/officeDocument/2006/relationships" ref="L12" r:id="rId31"/>
    <hyperlink xmlns:r="http://schemas.openxmlformats.org/officeDocument/2006/relationships" ref="N12" r:id="rId32"/>
    <hyperlink xmlns:r="http://schemas.openxmlformats.org/officeDocument/2006/relationships" ref="P12" r:id="rId33"/>
    <hyperlink xmlns:r="http://schemas.openxmlformats.org/officeDocument/2006/relationships" ref="L13" r:id="rId34"/>
    <hyperlink xmlns:r="http://schemas.openxmlformats.org/officeDocument/2006/relationships" ref="N13" r:id="rId35"/>
    <hyperlink xmlns:r="http://schemas.openxmlformats.org/officeDocument/2006/relationships" ref="P13" r:id="rId36"/>
    <hyperlink xmlns:r="http://schemas.openxmlformats.org/officeDocument/2006/relationships" ref="L14" r:id="rId37"/>
    <hyperlink xmlns:r="http://schemas.openxmlformats.org/officeDocument/2006/relationships" ref="N14" r:id="rId38"/>
    <hyperlink xmlns:r="http://schemas.openxmlformats.org/officeDocument/2006/relationships" ref="P14" r:id="rId39"/>
    <hyperlink xmlns:r="http://schemas.openxmlformats.org/officeDocument/2006/relationships" ref="L15" r:id="rId40"/>
    <hyperlink xmlns:r="http://schemas.openxmlformats.org/officeDocument/2006/relationships" ref="N15" r:id="rId41"/>
    <hyperlink xmlns:r="http://schemas.openxmlformats.org/officeDocument/2006/relationships" ref="P15" r:id="rId42"/>
    <hyperlink xmlns:r="http://schemas.openxmlformats.org/officeDocument/2006/relationships" ref="L16" r:id="rId43"/>
    <hyperlink xmlns:r="http://schemas.openxmlformats.org/officeDocument/2006/relationships" ref="N16" r:id="rId44"/>
    <hyperlink xmlns:r="http://schemas.openxmlformats.org/officeDocument/2006/relationships" ref="P16" r:id="rId45"/>
    <hyperlink xmlns:r="http://schemas.openxmlformats.org/officeDocument/2006/relationships" ref="L17" r:id="rId46"/>
    <hyperlink xmlns:r="http://schemas.openxmlformats.org/officeDocument/2006/relationships" ref="N17" r:id="rId47"/>
    <hyperlink xmlns:r="http://schemas.openxmlformats.org/officeDocument/2006/relationships" ref="P17" r:id="rId48"/>
    <hyperlink xmlns:r="http://schemas.openxmlformats.org/officeDocument/2006/relationships" ref="L18" r:id="rId49"/>
    <hyperlink xmlns:r="http://schemas.openxmlformats.org/officeDocument/2006/relationships" ref="N18" r:id="rId50"/>
    <hyperlink xmlns:r="http://schemas.openxmlformats.org/officeDocument/2006/relationships" ref="P18" r:id="rId51"/>
    <hyperlink xmlns:r="http://schemas.openxmlformats.org/officeDocument/2006/relationships" ref="L19" r:id="rId52"/>
    <hyperlink xmlns:r="http://schemas.openxmlformats.org/officeDocument/2006/relationships" ref="N19" r:id="rId53"/>
    <hyperlink xmlns:r="http://schemas.openxmlformats.org/officeDocument/2006/relationships" ref="P19" r:id="rId54"/>
    <hyperlink xmlns:r="http://schemas.openxmlformats.org/officeDocument/2006/relationships" ref="L20" r:id="rId55"/>
    <hyperlink xmlns:r="http://schemas.openxmlformats.org/officeDocument/2006/relationships" ref="N20" r:id="rId56"/>
    <hyperlink xmlns:r="http://schemas.openxmlformats.org/officeDocument/2006/relationships" ref="P20" r:id="rId57"/>
    <hyperlink xmlns:r="http://schemas.openxmlformats.org/officeDocument/2006/relationships" ref="L21" r:id="rId58"/>
    <hyperlink xmlns:r="http://schemas.openxmlformats.org/officeDocument/2006/relationships" ref="N21" r:id="rId59"/>
    <hyperlink xmlns:r="http://schemas.openxmlformats.org/officeDocument/2006/relationships" ref="P21" r:id="rId60"/>
    <hyperlink xmlns:r="http://schemas.openxmlformats.org/officeDocument/2006/relationships" ref="L22" r:id="rId61"/>
    <hyperlink xmlns:r="http://schemas.openxmlformats.org/officeDocument/2006/relationships" ref="N22" r:id="rId62"/>
    <hyperlink xmlns:r="http://schemas.openxmlformats.org/officeDocument/2006/relationships" ref="P22" r:id="rId63"/>
    <hyperlink xmlns:r="http://schemas.openxmlformats.org/officeDocument/2006/relationships" ref="L23" r:id="rId64"/>
    <hyperlink xmlns:r="http://schemas.openxmlformats.org/officeDocument/2006/relationships" ref="N23" r:id="rId65"/>
    <hyperlink xmlns:r="http://schemas.openxmlformats.org/officeDocument/2006/relationships" ref="P23" r:id="rId66"/>
    <hyperlink xmlns:r="http://schemas.openxmlformats.org/officeDocument/2006/relationships" ref="L24" r:id="rId67"/>
    <hyperlink xmlns:r="http://schemas.openxmlformats.org/officeDocument/2006/relationships" ref="N24" r:id="rId68"/>
    <hyperlink xmlns:r="http://schemas.openxmlformats.org/officeDocument/2006/relationships" ref="P24" r:id="rId69"/>
    <hyperlink xmlns:r="http://schemas.openxmlformats.org/officeDocument/2006/relationships" ref="L25" r:id="rId70"/>
    <hyperlink xmlns:r="http://schemas.openxmlformats.org/officeDocument/2006/relationships" ref="N25" r:id="rId71"/>
    <hyperlink xmlns:r="http://schemas.openxmlformats.org/officeDocument/2006/relationships" ref="P25" r:id="rId72"/>
    <hyperlink xmlns:r="http://schemas.openxmlformats.org/officeDocument/2006/relationships" ref="L26" r:id="rId73"/>
    <hyperlink xmlns:r="http://schemas.openxmlformats.org/officeDocument/2006/relationships" ref="N26" r:id="rId74"/>
    <hyperlink xmlns:r="http://schemas.openxmlformats.org/officeDocument/2006/relationships" ref="P26" r:id="rId75"/>
    <hyperlink xmlns:r="http://schemas.openxmlformats.org/officeDocument/2006/relationships" ref="L27" r:id="rId76"/>
    <hyperlink xmlns:r="http://schemas.openxmlformats.org/officeDocument/2006/relationships" ref="N27" r:id="rId77"/>
    <hyperlink xmlns:r="http://schemas.openxmlformats.org/officeDocument/2006/relationships" ref="P27" r:id="rId78"/>
    <hyperlink xmlns:r="http://schemas.openxmlformats.org/officeDocument/2006/relationships" ref="L28" r:id="rId79"/>
    <hyperlink xmlns:r="http://schemas.openxmlformats.org/officeDocument/2006/relationships" ref="N28" r:id="rId80"/>
    <hyperlink xmlns:r="http://schemas.openxmlformats.org/officeDocument/2006/relationships" ref="P28" r:id="rId81"/>
    <hyperlink xmlns:r="http://schemas.openxmlformats.org/officeDocument/2006/relationships" ref="L29" r:id="rId82"/>
    <hyperlink xmlns:r="http://schemas.openxmlformats.org/officeDocument/2006/relationships" ref="N29" r:id="rId83"/>
    <hyperlink xmlns:r="http://schemas.openxmlformats.org/officeDocument/2006/relationships" ref="P29" r:id="rId84"/>
    <hyperlink xmlns:r="http://schemas.openxmlformats.org/officeDocument/2006/relationships" ref="L30" r:id="rId85"/>
    <hyperlink xmlns:r="http://schemas.openxmlformats.org/officeDocument/2006/relationships" ref="N30" r:id="rId86"/>
    <hyperlink xmlns:r="http://schemas.openxmlformats.org/officeDocument/2006/relationships" ref="P30" r:id="rId87"/>
    <hyperlink xmlns:r="http://schemas.openxmlformats.org/officeDocument/2006/relationships" ref="L31" r:id="rId88"/>
    <hyperlink xmlns:r="http://schemas.openxmlformats.org/officeDocument/2006/relationships" ref="N31" r:id="rId89"/>
    <hyperlink xmlns:r="http://schemas.openxmlformats.org/officeDocument/2006/relationships" ref="P31" r:id="rId90"/>
  </hyperlinks>
  <printOptions horizontalCentered="1"/>
  <pageMargins left="0.7480314960629921" right="0.7480314960629921" top="0.984251968503937" bottom="0.984251968503937" header="0.5118110236220472" footer="0.5118110236220472"/>
  <pageSetup orientation="landscape" paperSize="8" scale="33" verticalDpi="0"/>
</worksheet>
</file>

<file path=xl/worksheets/sheet3.xml><?xml version="1.0" encoding="utf-8"?>
<worksheet xmlns="http://schemas.openxmlformats.org/spreadsheetml/2006/main">
  <sheetPr>
    <outlinePr summaryBelow="1" summaryRight="1"/>
    <pageSetUpPr/>
  </sheetPr>
  <dimension ref="A1:AB41"/>
  <sheetViews>
    <sheetView workbookViewId="0">
      <selection activeCell="A1" sqref="A1"/>
    </sheetView>
  </sheetViews>
  <sheetFormatPr baseColWidth="8" defaultRowHeight="15"/>
  <cols>
    <col width="12" customWidth="1" min="1" max="1"/>
    <col width="10" customWidth="1" min="2" max="2"/>
    <col width="10" customWidth="1" min="3" max="3"/>
    <col width="15" customWidth="1" min="4" max="4"/>
    <col width="15" customWidth="1" min="5" max="5"/>
    <col width="32" customWidth="1" min="6" max="6"/>
    <col width="14" customWidth="1" min="7" max="7"/>
    <col width="30" customWidth="1" min="8" max="8"/>
    <col width="35" customWidth="1" min="9" max="9"/>
    <col width="25" customWidth="1" min="10" max="10"/>
    <col width="12" customWidth="1" min="11" max="11"/>
    <col width="12" customWidth="1" min="12" max="12"/>
    <col width="12" customWidth="1" min="13" max="13"/>
    <col width="10" customWidth="1" min="14" max="14"/>
    <col width="10" customWidth="1" min="15" max="15"/>
    <col width="10" customWidth="1" min="16" max="16"/>
    <col width="10" customWidth="1" min="17" max="17"/>
    <col width="12" customWidth="1" min="18" max="18"/>
    <col width="45" customWidth="1" min="19" max="19"/>
    <col width="26" customWidth="1" min="20" max="20"/>
    <col width="45" customWidth="1" min="21" max="21"/>
    <col width="26" customWidth="1" min="22" max="22"/>
    <col width="45" customWidth="1" min="23" max="23"/>
    <col width="26" customWidth="1" min="24" max="24"/>
    <col width="15" customWidth="1" min="25" max="25"/>
    <col width="15" customWidth="1" min="26" max="26"/>
    <col width="15" customWidth="1" min="27" max="27"/>
    <col width="15" customWidth="1" min="28" max="28"/>
  </cols>
  <sheetData>
    <row r="1" ht="26" customHeight="1">
      <c r="K1" s="53" t="inlineStr">
        <is>
          <t>도급자 시행 지장물 이설(연장 기입)</t>
        </is>
      </c>
      <c r="N1" s="54" t="inlineStr">
        <is>
          <t>위탁자 시행 지장물 이설 현황 O,X로 체크 (가스: 62일 | 난방: 80일 | 통신: 150일 | 전력: 255일 | 광역상수: 160일)</t>
        </is>
      </c>
    </row>
    <row r="2" ht="32" customHeight="1">
      <c r="A2" s="55" t="inlineStr">
        <is>
          <t>일정 (D-Day)</t>
        </is>
      </c>
      <c r="B2" s="55" t="inlineStr">
        <is>
          <t>WBS 코드</t>
        </is>
      </c>
      <c r="C2" s="55" t="inlineStr">
        <is>
          <t>Level</t>
        </is>
      </c>
      <c r="D2" s="55" t="inlineStr">
        <is>
          <t>대분류</t>
        </is>
      </c>
      <c r="E2" s="55" t="inlineStr">
        <is>
          <t>중분류</t>
        </is>
      </c>
      <c r="F2" s="55" t="inlineStr">
        <is>
          <t>작업명칭 (Level 4 Task/Activity)</t>
        </is>
      </c>
      <c r="G2" s="55" t="inlineStr">
        <is>
          <t>주관</t>
        </is>
      </c>
      <c r="H2" s="55" t="inlineStr">
        <is>
          <t>목적</t>
        </is>
      </c>
      <c r="I2" s="55" t="inlineStr">
        <is>
          <t>방법</t>
        </is>
      </c>
      <c r="J2" s="55" t="inlineStr">
        <is>
          <t>산출물(결과)</t>
        </is>
      </c>
      <c r="K2" s="55" t="inlineStr">
        <is>
          <t>상수관(m)</t>
        </is>
      </c>
      <c r="L2" s="55" t="inlineStr">
        <is>
          <t>하수관(m)</t>
        </is>
      </c>
      <c r="M2" s="55" t="inlineStr">
        <is>
          <t>오수관로(m)</t>
        </is>
      </c>
      <c r="N2" s="55" t="inlineStr">
        <is>
          <t>가스관 (62일)</t>
        </is>
      </c>
      <c r="O2" s="55" t="inlineStr">
        <is>
          <t>열(난방)배관로 (80일)</t>
        </is>
      </c>
      <c r="P2" s="55" t="inlineStr">
        <is>
          <t>통신관로 (150일)</t>
        </is>
      </c>
      <c r="Q2" s="55" t="inlineStr">
        <is>
          <t>전력관 (255일)</t>
        </is>
      </c>
      <c r="R2" s="55" t="inlineStr">
        <is>
          <t>광역상수관 (160일)</t>
        </is>
      </c>
      <c r="S2" s="55" t="inlineStr">
        <is>
          <t>표준서 (Standard) 요약</t>
        </is>
      </c>
      <c r="T2" s="55" t="inlineStr">
        <is>
          <t>표준서 파일 (HTML)</t>
        </is>
      </c>
      <c r="U2" s="55" t="inlineStr">
        <is>
          <t>수행지침 (Guideline) 요약</t>
        </is>
      </c>
      <c r="V2" s="55" t="inlineStr">
        <is>
          <t>수행지침 파일 (HTML)</t>
        </is>
      </c>
      <c r="W2" s="55" t="inlineStr">
        <is>
          <t>체크리스트 (Checklist) 요약</t>
        </is>
      </c>
      <c r="X2" s="55" t="inlineStr">
        <is>
          <t>체크리스트 파일 (HTML)</t>
        </is>
      </c>
      <c r="Y2" s="55" t="inlineStr">
        <is>
          <t>비고 1</t>
        </is>
      </c>
      <c r="Z2" s="55" t="inlineStr">
        <is>
          <t>비고 2</t>
        </is>
      </c>
      <c r="AA2" s="55" t="inlineStr">
        <is>
          <t>비고 3</t>
        </is>
      </c>
      <c r="AB2" s="55" t="inlineStr">
        <is>
          <t>비고 4</t>
        </is>
      </c>
    </row>
    <row r="3" ht="42" customHeight="1">
      <c r="A3" s="56" t="inlineStr">
        <is>
          <t>P+10</t>
        </is>
      </c>
      <c r="B3" s="56" t="inlineStr">
        <is>
          <t>2000-1-1</t>
        </is>
      </c>
      <c r="C3" s="56" t="inlineStr">
        <is>
          <t>Level 4</t>
        </is>
      </c>
      <c r="D3" s="56" t="inlineStr">
        <is>
          <t>사전토공</t>
        </is>
      </c>
      <c r="E3" s="56" t="inlineStr">
        <is>
          <t>지장물이설</t>
        </is>
      </c>
      <c r="F3" s="57" t="inlineStr">
        <is>
          <t>Site Survey Risk 검토</t>
        </is>
      </c>
      <c r="G3" s="56" t="inlineStr">
        <is>
          <t>현장 공사팀</t>
        </is>
      </c>
      <c r="H3" s="57" t="inlineStr">
        <is>
          <t>Site Survey Risk 검토 관련 설계도서 대조 및 현장 실치 오차 사전 검증</t>
        </is>
      </c>
      <c r="I3" s="57" t="inlineStr">
        <is>
          <t>공사/공무/유관기관/전문업체 합동 현장 조사 및 안전 공법 적용</t>
        </is>
      </c>
      <c r="J3" s="57" t="inlineStr">
        <is>
          <t>Site Survey Risk 검토 검측보고서, 사진대지 및 관리기관 승인서</t>
        </is>
      </c>
      <c r="K3" s="56" t="inlineStr">
        <is>
          <t>-</t>
        </is>
      </c>
      <c r="L3" s="56" t="inlineStr">
        <is>
          <t>-</t>
        </is>
      </c>
      <c r="M3" s="56" t="inlineStr">
        <is>
          <t>-</t>
        </is>
      </c>
      <c r="N3" s="56" t="inlineStr">
        <is>
          <t>X</t>
        </is>
      </c>
      <c r="O3" s="56" t="inlineStr">
        <is>
          <t>X</t>
        </is>
      </c>
      <c r="P3" s="56" t="inlineStr">
        <is>
          <t>X</t>
        </is>
      </c>
      <c r="Q3" s="56" t="inlineStr">
        <is>
          <t>X</t>
        </is>
      </c>
      <c r="R3" s="56" t="inlineStr">
        <is>
          <t>X</t>
        </is>
      </c>
      <c r="S3" s="57" t="inlineStr">
        <is>
          <t>1) 설계도서와 현장 불일치 구간 100% 사전 조사 및 실행예산 변경 검토
2) 현장/견적/설계 합동 Risk 최소화 방안 수립 준수</t>
        </is>
      </c>
      <c r="T3" s="58">
        <f>HYPERLINK(".\매뉴얼BODY(집행단계-첨부폴더)\지장물이설\1_Site Survey Risk 검토\표준서\Site Survey Risk 검토_표준서.html", "👉 [더블클릭] 표준서 열기 📄")</f>
        <v/>
      </c>
      <c r="U3" s="57" t="inlineStr">
        <is>
          <t>1) 우수 토공업체 Pool 검토를 통한 현장 투입 가능성 검증
2) 현장 여건 대조 및 추가 공사비 발생 가능성 사전 차단</t>
        </is>
      </c>
      <c r="V3" s="58">
        <f>HYPERLINK(".\매뉴얼BODY(집행단계-첨부폴더)\지장물이설\1_Site Survey Risk 검토\수행지침\Site Survey Risk 검토_수행지침.html", "👉 [더블클릭] 수행지침 열기 📘")</f>
        <v/>
      </c>
      <c r="W3" s="57" t="inlineStr">
        <is>
          <t>1) Site Survey 검토서 작성 및 관련 부서 서명 승인을 완료했는가?
2) 설계 불일치 구간에 대한 실행예산 반영 적정성을 검측했는가?</t>
        </is>
      </c>
      <c r="X3" s="58">
        <f>HYPERLINK(".\매뉴얼BODY(집행단계-첨부폴더)\지장물이설\1_Site Survey Risk 검토\체크리스트\Site Survey Risk 검토_체크리스트.html", "👉 [더블클릭] 체크리스트 열기 📋")</f>
        <v/>
      </c>
      <c r="Y3" s="57" t="inlineStr"/>
      <c r="Z3" s="57" t="inlineStr"/>
      <c r="AA3" s="57" t="inlineStr"/>
      <c r="AB3" s="57" t="inlineStr"/>
    </row>
    <row r="4" ht="42" customHeight="1">
      <c r="A4" s="56" t="inlineStr">
        <is>
          <t>P+10</t>
        </is>
      </c>
      <c r="B4" s="56" t="inlineStr">
        <is>
          <t>2000-1-2</t>
        </is>
      </c>
      <c r="C4" s="56" t="inlineStr">
        <is>
          <t>Level 4</t>
        </is>
      </c>
      <c r="D4" s="56" t="inlineStr">
        <is>
          <t>사전토공</t>
        </is>
      </c>
      <c r="E4" s="56" t="inlineStr">
        <is>
          <t>지장물이설</t>
        </is>
      </c>
      <c r="F4" s="57" t="inlineStr">
        <is>
          <t>발주전략 KOM (도급지분)</t>
        </is>
      </c>
      <c r="G4" s="56" t="inlineStr">
        <is>
          <t>현장 공사팀</t>
        </is>
      </c>
      <c r="H4" s="57" t="inlineStr">
        <is>
          <t>발주전략 KOM (도급지분) 관련 설계도서 대조 및 현장 실치 오차 사전 검증</t>
        </is>
      </c>
      <c r="I4" s="57" t="inlineStr">
        <is>
          <t>공사/공무/유관기관/전문업체 합동 현장 조사 및 안전 공법 적용</t>
        </is>
      </c>
      <c r="J4" s="57" t="inlineStr">
        <is>
          <t>발주전략 KOM (도급지분) 검측보고서, 사진대지 및 관리기관 승인서</t>
        </is>
      </c>
      <c r="K4" s="56" t="inlineStr">
        <is>
          <t>-</t>
        </is>
      </c>
      <c r="L4" s="56" t="inlineStr">
        <is>
          <t>-</t>
        </is>
      </c>
      <c r="M4" s="56" t="inlineStr">
        <is>
          <t>-</t>
        </is>
      </c>
      <c r="N4" s="56" t="inlineStr">
        <is>
          <t>X</t>
        </is>
      </c>
      <c r="O4" s="56" t="inlineStr">
        <is>
          <t>X</t>
        </is>
      </c>
      <c r="P4" s="56" t="inlineStr">
        <is>
          <t>X</t>
        </is>
      </c>
      <c r="Q4" s="56" t="inlineStr">
        <is>
          <t>X</t>
        </is>
      </c>
      <c r="R4" s="56" t="inlineStr">
        <is>
          <t>X</t>
        </is>
      </c>
      <c r="S4" s="57" t="inlineStr">
        <is>
          <t>1) 도급자 시행 이설공사 발주 전략 수립 및 적정 공구 분할
2) 입찰 안내서 특기 시방 조항 및 하도급 비율 검토</t>
        </is>
      </c>
      <c r="T4" s="58">
        <f>HYPERLINK(".\매뉴얼BODY(집행단계-첨부폴더)\지장물이설\2_발주전략 KOM (도급지분)\표준서\발주전략 KOM (도급지분)_표준서.html", "👉 [더블클릭] 표준서 열기 📄")</f>
        <v/>
      </c>
      <c r="U4" s="57" t="inlineStr">
        <is>
          <t>1) 외주 발주 심의위원회 개최 및 공구별 예정 가격 산정
2) 공사 수행 능력 및 안전 관리 역량 검증 체계 구축</t>
        </is>
      </c>
      <c r="V4" s="58">
        <f>HYPERLINK(".\매뉴얼BODY(집행단계-첨부폴더)\지장물이설\2_발주전략 KOM (도급지분)\수행지침\발주전략 KOM (도급지분)_수행지침.html", "👉 [더블클릭] 수행지침 열기 📘")</f>
        <v/>
      </c>
      <c r="W4" s="57" t="inlineStr">
        <is>
          <t>1) 발주전략 KOM 회의록 및 공구 분할 계획서를 확인했는가?
2) 하도급 적격 심사 기준 및 특기 시방 조항을 점검했는가?</t>
        </is>
      </c>
      <c r="X4" s="58">
        <f>HYPERLINK(".\매뉴얼BODY(집행단계-첨부폴더)\지장물이설\2_발주전략 KOM (도급지분)\체크리스트\발주전략 KOM (도급지분)_체크리스트.html", "👉 [더블클릭] 체크리스트 열기 📋")</f>
        <v/>
      </c>
      <c r="Y4" s="57" t="inlineStr"/>
      <c r="Z4" s="57" t="inlineStr"/>
      <c r="AA4" s="57" t="inlineStr"/>
      <c r="AB4" s="57" t="inlineStr"/>
    </row>
    <row r="5" ht="42" customHeight="1">
      <c r="A5" s="56" t="inlineStr">
        <is>
          <t>P+10</t>
        </is>
      </c>
      <c r="B5" s="56" t="inlineStr">
        <is>
          <t>2000-1-3</t>
        </is>
      </c>
      <c r="C5" s="56" t="inlineStr">
        <is>
          <t>Level 4</t>
        </is>
      </c>
      <c r="D5" s="56" t="inlineStr">
        <is>
          <t>사전토공</t>
        </is>
      </c>
      <c r="E5" s="56" t="inlineStr">
        <is>
          <t>지장물이설</t>
        </is>
      </c>
      <c r="F5" s="57" t="inlineStr">
        <is>
          <t>지장물 이설 요청 (위수탁고)</t>
        </is>
      </c>
      <c r="G5" s="56" t="inlineStr">
        <is>
          <t>현장 공사팀</t>
        </is>
      </c>
      <c r="H5" s="57" t="inlineStr">
        <is>
          <t>지장물 이설 요청 (위수탁고) 관련 설계도서 대조 및 현장 실치 오차 사전 검증</t>
        </is>
      </c>
      <c r="I5" s="57" t="inlineStr">
        <is>
          <t>공사/공무/유관기관/전문업체 합동 현장 조사 및 안전 공법 적용</t>
        </is>
      </c>
      <c r="J5" s="57" t="inlineStr">
        <is>
          <t>지장물 이설 요청 (위수탁고) 검측보고서, 사진대지 및 관리기관 승인서</t>
        </is>
      </c>
      <c r="K5" s="56" t="inlineStr">
        <is>
          <t>-</t>
        </is>
      </c>
      <c r="L5" s="56" t="inlineStr">
        <is>
          <t>-</t>
        </is>
      </c>
      <c r="M5" s="56" t="inlineStr">
        <is>
          <t>-</t>
        </is>
      </c>
      <c r="N5" s="56" t="inlineStr">
        <is>
          <t>X</t>
        </is>
      </c>
      <c r="O5" s="56" t="inlineStr">
        <is>
          <t>X</t>
        </is>
      </c>
      <c r="P5" s="56" t="inlineStr">
        <is>
          <t>X</t>
        </is>
      </c>
      <c r="Q5" s="56" t="inlineStr">
        <is>
          <t>X</t>
        </is>
      </c>
      <c r="R5" s="56" t="inlineStr">
        <is>
          <t>X</t>
        </is>
      </c>
      <c r="S5" s="57" t="inlineStr">
        <is>
          <t>1) 맑은물사업소, 삼천리가스, 난방공사, KT, 한전, 수자원공사 등 5대 위탁기관 공식 공문 발송
2) 이설 협약서 작성 및 위수탁 사업비 정산 기준 확정</t>
        </is>
      </c>
      <c r="T5" s="58">
        <f>HYPERLINK(".\매뉴얼BODY(집행단계-첨부폴더)\지장물이설\3_지장물 이설 요청 (위수탁고)\표준서\지장물 이설 요청 (위수탁고)_표준서.html", "👉 [더블클릭] 표준서 열기 📄")</f>
        <v/>
      </c>
      <c r="U5" s="57" t="inlineStr">
        <is>
          <t>1) 기관별 전담 창구 개설 및 이설 법정 처리 기한(14일 이내) 관리
2) 기관 요구 시방 및 이설 구배 조건 사전 반영</t>
        </is>
      </c>
      <c r="V5" s="58">
        <f>HYPERLINK(".\매뉴얼BODY(집행단계-첨부폴더)\지장물이설\3_지장물 이설 요청 (위수탁고)\수행지침\지장물 이설 요청 (위수탁고)_수행지침.html", "👉 [더블클릭] 수행지침 열기 📘")</f>
        <v/>
      </c>
      <c r="W5" s="57" t="inlineStr">
        <is>
          <t>1) 위탁 이설 요청 공문 발송 및 접수 확인서를 구비했는가?
2) 위수탁 이설 협약서 작성 및 사업비 산정 적정성을 검측했는가?</t>
        </is>
      </c>
      <c r="X5" s="58">
        <f>HYPERLINK(".\매뉴얼BODY(집행단계-첨부폴더)\지장물이설\3_지장물 이설 요청 (위수탁고)\체크리스트\지장물 이설 요청 (위수탁고)_체크리스트.html", "👉 [더블클릭] 체크리스트 열기 📋")</f>
        <v/>
      </c>
      <c r="Y5" s="57" t="inlineStr"/>
      <c r="Z5" s="57" t="inlineStr"/>
      <c r="AA5" s="57" t="inlineStr"/>
      <c r="AB5" s="57" t="inlineStr"/>
    </row>
    <row r="6" ht="42" customHeight="1">
      <c r="A6" s="56" t="inlineStr">
        <is>
          <t>P+10</t>
        </is>
      </c>
      <c r="B6" s="56" t="inlineStr">
        <is>
          <t>2000-1-4</t>
        </is>
      </c>
      <c r="C6" s="56" t="inlineStr">
        <is>
          <t>Level 4</t>
        </is>
      </c>
      <c r="D6" s="56" t="inlineStr">
        <is>
          <t>사전토공</t>
        </is>
      </c>
      <c r="E6" s="56" t="inlineStr">
        <is>
          <t>지장물이설</t>
        </is>
      </c>
      <c r="F6" s="57" t="inlineStr">
        <is>
          <t>도급자분 이설업체 선정(상/하수)</t>
        </is>
      </c>
      <c r="G6" s="56" t="inlineStr">
        <is>
          <t>현장 공사팀</t>
        </is>
      </c>
      <c r="H6" s="57" t="inlineStr">
        <is>
          <t>도급자분 이설업체 선정(상/하수) 관련 설계도서 대조 및 현장 실치 오차 사전 검증</t>
        </is>
      </c>
      <c r="I6" s="57" t="inlineStr">
        <is>
          <t>공사/공무/유관기관/전문업체 합동 현장 조사 및 안전 공법 적용</t>
        </is>
      </c>
      <c r="J6" s="57" t="inlineStr">
        <is>
          <t>도급자분 이설업체 선정(상/하수) 검측보고서, 사진대지 및 관리기관 승인서</t>
        </is>
      </c>
      <c r="K6" s="56" t="inlineStr">
        <is>
          <t>-</t>
        </is>
      </c>
      <c r="L6" s="56" t="inlineStr">
        <is>
          <t>200m</t>
        </is>
      </c>
      <c r="M6" s="56" t="inlineStr">
        <is>
          <t>-</t>
        </is>
      </c>
      <c r="N6" s="56" t="inlineStr">
        <is>
          <t>X</t>
        </is>
      </c>
      <c r="O6" s="56" t="inlineStr">
        <is>
          <t>X</t>
        </is>
      </c>
      <c r="P6" s="56" t="inlineStr">
        <is>
          <t>X</t>
        </is>
      </c>
      <c r="Q6" s="56" t="inlineStr">
        <is>
          <t>X</t>
        </is>
      </c>
      <c r="R6" s="56" t="inlineStr">
        <is>
          <t>X</t>
        </is>
      </c>
      <c r="S6" s="57" t="inlineStr">
        <is>
          <t>1) 상하수도 이설 전문면허 보유 업체 하도급 적격 심사 85점 이상 달성
2) 설계변경 반영 물량 및 공사 수행 능력 100% 검증</t>
        </is>
      </c>
      <c r="T6" s="58">
        <f>HYPERLINK(".\매뉴얼BODY(집행단계-첨부폴더)\지장물이설\4_도급자분 이설업체 선정(상/하수)\표준서\도급자분 이설업체 선정(상/하수)_표준서.html", "👉 [더블클릭] 표준서 열기 📄")</f>
        <v/>
      </c>
      <c r="U6" s="57" t="inlineStr">
        <is>
          <t>1) 하도급 계약 시 이설 수밀 시험 및 안전 시방 조항 명시
2) 외주계약팀 승인 후 최종 이설 하도급 계약 체결</t>
        </is>
      </c>
      <c r="V6" s="58">
        <f>HYPERLINK(".\매뉴얼BODY(집행단계-첨부폴더)\지장물이설\4_도급자분 이설업체 선정(상/하수)\수행지침\도급자분 이설업체 선정(상/하수)_수행지침.html", "👉 [더블클릭] 수행지침 열기 📘")</f>
        <v/>
      </c>
      <c r="W6" s="57" t="inlineStr">
        <is>
          <t>1) 상하수도 이설 전문업체 적격 심사표 및 계약서를 확인했는가?
2) 현장 대리인 및 필수 배관 기술자 배치 여부를 검측했는가?</t>
        </is>
      </c>
      <c r="X6" s="58">
        <f>HYPERLINK(".\매뉴얼BODY(집행단계-첨부폴더)\지장물이설\4_도급자분 이설업체 선정(상/하수)\체크리스트\도급자분 이설업체 선정(상/하수)_체크리스트.html", "👉 [더블클릭] 체크리스트 열기 📋")</f>
        <v/>
      </c>
      <c r="Y6" s="57" t="inlineStr"/>
      <c r="Z6" s="57" t="inlineStr"/>
      <c r="AA6" s="57" t="inlineStr"/>
      <c r="AB6" s="57" t="inlineStr"/>
    </row>
    <row r="7" ht="42" customHeight="1">
      <c r="A7" s="56" t="inlineStr">
        <is>
          <t>P+10</t>
        </is>
      </c>
      <c r="B7" s="56" t="inlineStr">
        <is>
          <t>2000-1-5</t>
        </is>
      </c>
      <c r="C7" s="56" t="inlineStr">
        <is>
          <t>Level 4</t>
        </is>
      </c>
      <c r="D7" s="56" t="inlineStr">
        <is>
          <t>사전토공</t>
        </is>
      </c>
      <c r="E7" s="56" t="inlineStr">
        <is>
          <t>지장물이설</t>
        </is>
      </c>
      <c r="F7" s="57" t="inlineStr">
        <is>
          <t>지장물 조사 (위탁기관 합동)</t>
        </is>
      </c>
      <c r="G7" s="56" t="inlineStr">
        <is>
          <t>현장 공사팀</t>
        </is>
      </c>
      <c r="H7" s="57" t="inlineStr">
        <is>
          <t>지장물 조사 (위탁기관 합동) 관련 설계도서 대조 및 현장 실치 오차 사전 검증</t>
        </is>
      </c>
      <c r="I7" s="57" t="inlineStr">
        <is>
          <t>공사/공무/유관기관/전문업체 합동 현장 조사 및 안전 공법 적용</t>
        </is>
      </c>
      <c r="J7" s="57" t="inlineStr">
        <is>
          <t>지장물 조사 (위탁기관 합동) 검측보고서, 사진대지 및 관리기관 승인서</t>
        </is>
      </c>
      <c r="K7" s="56" t="inlineStr">
        <is>
          <t>-</t>
        </is>
      </c>
      <c r="L7" s="56" t="inlineStr">
        <is>
          <t>-</t>
        </is>
      </c>
      <c r="M7" s="56" t="inlineStr">
        <is>
          <t>-</t>
        </is>
      </c>
      <c r="N7" s="56" t="inlineStr">
        <is>
          <t>X</t>
        </is>
      </c>
      <c r="O7" s="56" t="inlineStr">
        <is>
          <t>X</t>
        </is>
      </c>
      <c r="P7" s="56" t="inlineStr">
        <is>
          <t>X</t>
        </is>
      </c>
      <c r="Q7" s="56" t="inlineStr">
        <is>
          <t>X</t>
        </is>
      </c>
      <c r="R7" s="56" t="inlineStr">
        <is>
          <t>X</t>
        </is>
      </c>
      <c r="S7" s="57" t="inlineStr">
        <is>
          <t>1) 관리기관 지장물 도면과 실제 현장 맨홀/밸브 위치 100% 현장 대조
2) 착공 전 측량 성과표 및 인접 주민 민원 우려 요소 사전 도출</t>
        </is>
      </c>
      <c r="T7" s="58">
        <f>HYPERLINK(".\매뉴얼BODY(집행단계-첨부폴더)\지장물이설\5_지장물 조사 (위탁기관 합동)\표준서\지장물 조사 (위탁기관 합동)_표준서.html", "👉 [더블클릭] 표준서 열기 📄")</f>
        <v/>
      </c>
      <c r="U7" s="57" t="inlineStr">
        <is>
          <t>1) 유관기관 감독관 및 이설업체 기술자 현장 동행 조사
2) 위치 일치 여부 현장 조사 보고서 및 사진대지 작성</t>
        </is>
      </c>
      <c r="V7" s="58">
        <f>HYPERLINK(".\매뉴얼BODY(집행단계-첨부폴더)\지장물이설\5_지장물 조사 (위탁기관 합동)\수행지침\지장물 조사 (위탁기관 합동)_수행지침.html", "👉 [더블클릭] 수행지침 열기 📘")</f>
        <v/>
      </c>
      <c r="W7" s="57" t="inlineStr">
        <is>
          <t>1) 위탁기관 합동 현장 조사 보고서 및 측량보고서를 확인했는가?
2) 현장 맨홀 및 노출 관로 심도 일치 여부를 검측했는가?</t>
        </is>
      </c>
      <c r="X7" s="58">
        <f>HYPERLINK(".\매뉴얼BODY(집행단계-첨부폴더)\지장물이설\5_지장물 조사 (위탁기관 합동)\체크리스트\지장물 조사 (위탁기관 합동)_체크리스트.html", "👉 [더블클릭] 체크리스트 열기 📋")</f>
        <v/>
      </c>
      <c r="Y7" s="57" t="inlineStr"/>
      <c r="Z7" s="57" t="inlineStr"/>
      <c r="AA7" s="57" t="inlineStr"/>
      <c r="AB7" s="57" t="inlineStr"/>
    </row>
    <row r="8" ht="42" customHeight="1">
      <c r="A8" s="56" t="inlineStr">
        <is>
          <t>P+10</t>
        </is>
      </c>
      <c r="B8" s="56" t="inlineStr">
        <is>
          <t>2000-1-6</t>
        </is>
      </c>
      <c r="C8" s="56" t="inlineStr">
        <is>
          <t>Level 4</t>
        </is>
      </c>
      <c r="D8" s="56" t="inlineStr">
        <is>
          <t>사전토공</t>
        </is>
      </c>
      <c r="E8" s="56" t="inlineStr">
        <is>
          <t>지장물이설</t>
        </is>
      </c>
      <c r="F8" s="57" t="inlineStr">
        <is>
          <t>지장물 이설 계획 수립</t>
        </is>
      </c>
      <c r="G8" s="56" t="inlineStr">
        <is>
          <t>현장 공사팀</t>
        </is>
      </c>
      <c r="H8" s="57" t="inlineStr">
        <is>
          <t>지장물 이설 계획 수립 관련 설계도서 대조 및 현장 실치 오차 사전 검증</t>
        </is>
      </c>
      <c r="I8" s="57" t="inlineStr">
        <is>
          <t>공사/공무/유관기관/전문업체 합동 현장 조사 및 안전 공법 적용</t>
        </is>
      </c>
      <c r="J8" s="57" t="inlineStr">
        <is>
          <t>지장물 이설 계획 수립 검측보고서, 사진대지 및 관리기관 승인서</t>
        </is>
      </c>
      <c r="K8" s="56" t="inlineStr">
        <is>
          <t>-</t>
        </is>
      </c>
      <c r="L8" s="56" t="inlineStr">
        <is>
          <t>-</t>
        </is>
      </c>
      <c r="M8" s="56" t="inlineStr">
        <is>
          <t>-</t>
        </is>
      </c>
      <c r="N8" s="56" t="inlineStr">
        <is>
          <t>X</t>
        </is>
      </c>
      <c r="O8" s="56" t="inlineStr">
        <is>
          <t>X</t>
        </is>
      </c>
      <c r="P8" s="56" t="inlineStr">
        <is>
          <t>X</t>
        </is>
      </c>
      <c r="Q8" s="56" t="inlineStr">
        <is>
          <t>X</t>
        </is>
      </c>
      <c r="R8" s="56" t="inlineStr">
        <is>
          <t>X</t>
        </is>
      </c>
      <c r="S8" s="57" t="inlineStr">
        <is>
          <t>1) 트램 궤도 구조물과 지장물 수평/수직 최소 이격거리(1.5m 이상) 확보
2) 관종별 이설 우선순위(상하수 ➔ 가스 ➔ 전력/통신) 확정 준수</t>
        </is>
      </c>
      <c r="T8" s="58">
        <f>HYPERLINK(".\매뉴얼BODY(집행단계-첨부폴더)\지장물이설\6_지장물 이설 계획 수립\표준서\지장물 이설 계획 수립_표준서.html", "👉 [더블클릭] 표준서 열기 📄")</f>
        <v/>
      </c>
      <c r="U8" s="57" t="inlineStr">
        <is>
          <t>1) 인허가 및 교통처리 대책과 연계된 릴레이 이설 일정 수립
2) 이설계획서 감리단 및 발주기관 정식 승인 수칙</t>
        </is>
      </c>
      <c r="V8" s="58">
        <f>HYPERLINK(".\매뉴얼BODY(집행단계-첨부폴더)\지장물이설\6_지장물 이설 계획 수립\수행지침\지장물 이설 계획 수립_수행지침.html", "👉 [더블클릭] 수행지침 열기 📘")</f>
        <v/>
      </c>
      <c r="W8" s="57" t="inlineStr">
        <is>
          <t>1) 궤도 최소 이격거리(1.5m 이상) 및 관종별 릴레이 이설 순서를 검측했는가?
2) 지장물 이설 종합계획서 감리단 및 발주처 공식 승인을 확인했는가?</t>
        </is>
      </c>
      <c r="X8" s="58">
        <f>HYPERLINK(".\매뉴얼BODY(집행단계-첨부폴더)\지장물이설\6_지장물 이설 계획 수립\체크리스트\지장물 이설 계획 수립_체크리스트.html", "👉 [더블클릭] 체크리스트 열기 📋")</f>
        <v/>
      </c>
      <c r="Y8" s="57" t="inlineStr"/>
      <c r="Z8" s="57" t="inlineStr"/>
      <c r="AA8" s="57" t="inlineStr"/>
      <c r="AB8" s="57" t="inlineStr"/>
    </row>
    <row r="9" ht="42" customHeight="1">
      <c r="A9" s="56" t="inlineStr">
        <is>
          <t>P+10</t>
        </is>
      </c>
      <c r="B9" s="56" t="inlineStr">
        <is>
          <t>2000-1-7</t>
        </is>
      </c>
      <c r="C9" s="56" t="inlineStr">
        <is>
          <t>Level 4</t>
        </is>
      </c>
      <c r="D9" s="56" t="inlineStr">
        <is>
          <t>사전토공</t>
        </is>
      </c>
      <c r="E9" s="56" t="inlineStr">
        <is>
          <t>지장물이설</t>
        </is>
      </c>
      <c r="F9" s="57" t="inlineStr">
        <is>
          <t>최고의 팀 만들기 지원</t>
        </is>
      </c>
      <c r="G9" s="56" t="inlineStr">
        <is>
          <t>현장 공사팀</t>
        </is>
      </c>
      <c r="H9" s="57" t="inlineStr">
        <is>
          <t>최고의 팀 만들기 지원 관련 설계도서 대조 및 현장 실치 오차 사전 검증</t>
        </is>
      </c>
      <c r="I9" s="57" t="inlineStr">
        <is>
          <t>공사/공무/유관기관/전문업체 합동 현장 조사 및 안전 공법 적용</t>
        </is>
      </c>
      <c r="J9" s="57" t="inlineStr">
        <is>
          <t>최고의 팀 만들기 지원 검측보고서, 사진대지 및 관리기관 승인서</t>
        </is>
      </c>
      <c r="K9" s="56" t="inlineStr">
        <is>
          <t>-</t>
        </is>
      </c>
      <c r="L9" s="56" t="inlineStr">
        <is>
          <t>-</t>
        </is>
      </c>
      <c r="M9" s="56" t="inlineStr">
        <is>
          <t>-</t>
        </is>
      </c>
      <c r="N9" s="56" t="inlineStr">
        <is>
          <t>X</t>
        </is>
      </c>
      <c r="O9" s="56" t="inlineStr">
        <is>
          <t>X</t>
        </is>
      </c>
      <c r="P9" s="56" t="inlineStr">
        <is>
          <t>X</t>
        </is>
      </c>
      <c r="Q9" s="56" t="inlineStr">
        <is>
          <t>X</t>
        </is>
      </c>
      <c r="R9" s="56" t="inlineStr">
        <is>
          <t>X</t>
        </is>
      </c>
      <c r="S9" s="57" t="inlineStr">
        <is>
          <t>1) 지장물 이설 전담 TF팀 구성 및 공종별 책임자 지정
2) 비상 연락망 및 기관별 핫라인 체계 100% 구축</t>
        </is>
      </c>
      <c r="T9" s="58">
        <f>HYPERLINK(".\매뉴얼BODY(집행단계-첨부폴더)\지장물이설\7_최고의 팀 만들기 지원\표준서\최고의 팀 만들기 지원_표준서.html", "👉 [더블클릭] 표준서 열기 📄")</f>
        <v/>
      </c>
      <c r="U9" s="57" t="inlineStr">
        <is>
          <t>1) 주간 공정 회의 및 위수탁 기관 간 일일 공정 공유
2) 현장 실무자 기술 교육 및 안전 관리 수칙 준수</t>
        </is>
      </c>
      <c r="V9" s="58">
        <f>HYPERLINK(".\매뉴얼BODY(집행단계-첨부폴더)\지장물이설\7_최고의 팀 만들기 지원\수행지침\최고의 팀 만들기 지원_수행지침.html", "👉 [더블클릭] 수행지침 열기 📘")</f>
        <v/>
      </c>
      <c r="W9" s="57" t="inlineStr">
        <is>
          <t>1) 지장물 이설 전담 TF 조직도 및 비상 연락망을 구비했는가?
2) 기관별 전담 실무자 지정 및 핫라인 작동 여부를 점검했는가?</t>
        </is>
      </c>
      <c r="X9" s="58">
        <f>HYPERLINK(".\매뉴얼BODY(집행단계-첨부폴더)\지장물이설\7_최고의 팀 만들기 지원\체크리스트\최고의 팀 만들기 지원_체크리스트.html", "👉 [더블클릭] 체크리스트 열기 📋")</f>
        <v/>
      </c>
      <c r="Y9" s="57" t="inlineStr"/>
      <c r="Z9" s="57" t="inlineStr"/>
      <c r="AA9" s="57" t="inlineStr"/>
      <c r="AB9" s="57" t="inlineStr"/>
    </row>
    <row r="10" ht="42" customHeight="1">
      <c r="A10" s="56" t="inlineStr">
        <is>
          <t>P+10</t>
        </is>
      </c>
      <c r="B10" s="56" t="inlineStr">
        <is>
          <t>2000-1-8</t>
        </is>
      </c>
      <c r="C10" s="56" t="inlineStr">
        <is>
          <t>Level 4</t>
        </is>
      </c>
      <c r="D10" s="56" t="inlineStr">
        <is>
          <t>사전토공</t>
        </is>
      </c>
      <c r="E10" s="56" t="inlineStr">
        <is>
          <t>지장물이설</t>
        </is>
      </c>
      <c r="F10" s="57" t="inlineStr">
        <is>
          <t>착수전 Big Room 회의</t>
        </is>
      </c>
      <c r="G10" s="56" t="inlineStr">
        <is>
          <t>현장 공사팀</t>
        </is>
      </c>
      <c r="H10" s="57" t="inlineStr">
        <is>
          <t>착수전 Big Room 회의 관련 설계도서 대조 및 현장 실치 오차 사전 검증</t>
        </is>
      </c>
      <c r="I10" s="57" t="inlineStr">
        <is>
          <t>공사/공무/유관기관/전문업체 합동 현장 조사 및 안전 공법 적용</t>
        </is>
      </c>
      <c r="J10" s="57" t="inlineStr">
        <is>
          <t>착수전 Big Room 회의 검측보고서, 사진대지 및 관리기관 승인서</t>
        </is>
      </c>
      <c r="K10" s="56" t="inlineStr">
        <is>
          <t>-</t>
        </is>
      </c>
      <c r="L10" s="56" t="inlineStr">
        <is>
          <t>-</t>
        </is>
      </c>
      <c r="M10" s="56" t="inlineStr">
        <is>
          <t>-</t>
        </is>
      </c>
      <c r="N10" s="56" t="inlineStr">
        <is>
          <t>X</t>
        </is>
      </c>
      <c r="O10" s="56" t="inlineStr">
        <is>
          <t>X</t>
        </is>
      </c>
      <c r="P10" s="56" t="inlineStr">
        <is>
          <t>X</t>
        </is>
      </c>
      <c r="Q10" s="56" t="inlineStr">
        <is>
          <t>X</t>
        </is>
      </c>
      <c r="R10" s="56" t="inlineStr">
        <is>
          <t>X</t>
        </is>
      </c>
      <c r="S10" s="57" t="inlineStr">
        <is>
          <t>1) 맑은물사업소, 한전, 가스공사 등 유관기관 합동 이설 순서 조율
2) 굴착 간섭 제어 및 강화노반/궤도 공정 연계 원가절감안 반영</t>
        </is>
      </c>
      <c r="T10" s="58">
        <f>HYPERLINK(".\매뉴얼BODY(집행단계-첨부폴더)\지장물이설\8_착수전 Big Room 회의\표준서\착수전 Big Room 회의_표준서.html", "👉 [더블클릭] 표준서 열기 📄")</f>
        <v/>
      </c>
      <c r="U10" s="57" t="inlineStr">
        <is>
          <t>1) 도급자 이설분과 위수탁분 시공 간섭 3D 검토 시행
2) 회의 결정사항 주간 단위 이행 점검 체계 가동</t>
        </is>
      </c>
      <c r="V10" s="58">
        <f>HYPERLINK(".\매뉴얼BODY(집행단계-첨부폴더)\지장물이설\8_착수전 Big Room 회의\수행지침\착수전 Big Room 회의_수행지침.html", "👉 [더블클릭] 수행지침 열기 📘")</f>
        <v/>
      </c>
      <c r="W10" s="57" t="inlineStr">
        <is>
          <t>1) 유관기관 합동 Big Room 회의록 작성 및 서명을 완료했는가?
2) 지장물 이설 순서와 노반/궤도 공정 연동성을 확인했는가?</t>
        </is>
      </c>
      <c r="X10" s="58">
        <f>HYPERLINK(".\매뉴얼BODY(집행단계-첨부폴더)\지장물이설\8_착수전 Big Room 회의\체크리스트\착수전 Big Room 회의_체크리스트.html", "👉 [더블클릭] 체크리스트 열기 📋")</f>
        <v/>
      </c>
      <c r="Y10" s="57" t="inlineStr"/>
      <c r="Z10" s="57" t="inlineStr"/>
      <c r="AA10" s="57" t="inlineStr"/>
      <c r="AB10" s="57" t="inlineStr"/>
    </row>
    <row r="11" ht="42" customHeight="1">
      <c r="A11" s="56" t="inlineStr">
        <is>
          <t>P+10</t>
        </is>
      </c>
      <c r="B11" s="56" t="inlineStr">
        <is>
          <t>2000-1-9</t>
        </is>
      </c>
      <c r="C11" s="56" t="inlineStr">
        <is>
          <t>Level 4</t>
        </is>
      </c>
      <c r="D11" s="56" t="inlineStr">
        <is>
          <t>사전토공</t>
        </is>
      </c>
      <c r="E11" s="56" t="inlineStr">
        <is>
          <t>지장물이설</t>
        </is>
      </c>
      <c r="F11" s="57" t="inlineStr">
        <is>
          <t>인허가 절차 진행</t>
        </is>
      </c>
      <c r="G11" s="56" t="inlineStr">
        <is>
          <t>현장 공사팀</t>
        </is>
      </c>
      <c r="H11" s="57" t="inlineStr">
        <is>
          <t>인허가 절차 진행 관련 설계도서 대조 및 현장 실치 오차 사전 검증</t>
        </is>
      </c>
      <c r="I11" s="57" t="inlineStr">
        <is>
          <t>공사/공무/유관기관/전문업체 합동 현장 조사 및 안전 공법 적용</t>
        </is>
      </c>
      <c r="J11" s="57" t="inlineStr">
        <is>
          <t>인허가 절차 진행 검측보고서, 사진대지 및 관리기관 승인서</t>
        </is>
      </c>
      <c r="K11" s="56" t="inlineStr">
        <is>
          <t>-</t>
        </is>
      </c>
      <c r="L11" s="56" t="inlineStr">
        <is>
          <t>-</t>
        </is>
      </c>
      <c r="M11" s="56" t="inlineStr">
        <is>
          <t>-</t>
        </is>
      </c>
      <c r="N11" s="56" t="inlineStr">
        <is>
          <t>X</t>
        </is>
      </c>
      <c r="O11" s="56" t="inlineStr">
        <is>
          <t>X</t>
        </is>
      </c>
      <c r="P11" s="56" t="inlineStr">
        <is>
          <t>X</t>
        </is>
      </c>
      <c r="Q11" s="56" t="inlineStr">
        <is>
          <t>X</t>
        </is>
      </c>
      <c r="R11" s="56" t="inlineStr">
        <is>
          <t>X</t>
        </is>
      </c>
      <c r="S11" s="57" t="inlineStr">
        <is>
          <t>1) 도로점용, 도로굴착, 점용허가 등 관련 법정 인허가 100% 완료
2) 인허가 조건부 승인 사항 공정표 반영 준수</t>
        </is>
      </c>
      <c r="T11" s="58">
        <f>HYPERLINK(".\매뉴얼BODY(집행단계-첨부폴더)\지장물이설\9_인허가 절차 진행\표준서\인허가 절차 진행_표준서.html", "👉 [더블클릭] 표준서 열기 📄")</f>
        <v/>
      </c>
      <c r="U11" s="57" t="inlineStr">
        <is>
          <t>1) 화성시 및 관련 지자체 인허가 신청서 서류 구비 및 제출
2) 점용료 납부 및 점용 허가증 현장 비치</t>
        </is>
      </c>
      <c r="V11" s="58">
        <f>HYPERLINK(".\매뉴얼BODY(집행단계-첨부폴더)\지장물이설\9_인허가 절차 진행\수행지침\인허가 절차 진행_수행지침.html", "👉 [더블클릭] 수행지침 열기 📘")</f>
        <v/>
      </c>
      <c r="W11" s="57" t="inlineStr">
        <is>
          <t>1) 도로점용 및 굴착 허가증 원본 비치 여부를 확인했는가?
2) 허가 조건 이행 여부 및 관계 기관 협의서를 점검했는가?</t>
        </is>
      </c>
      <c r="X11" s="58">
        <f>HYPERLINK(".\매뉴얼BODY(집행단계-첨부폴더)\지장물이설\9_인허가 절차 진행\체크리스트\인허가 절차 진행_체크리스트.html", "👉 [더블클릭] 체크리스트 열기 📋")</f>
        <v/>
      </c>
      <c r="Y11" s="57" t="inlineStr"/>
      <c r="Z11" s="57" t="inlineStr"/>
      <c r="AA11" s="57" t="inlineStr"/>
      <c r="AB11" s="57" t="inlineStr"/>
    </row>
    <row r="12" ht="42" customHeight="1">
      <c r="A12" s="56" t="inlineStr">
        <is>
          <t>P+10</t>
        </is>
      </c>
      <c r="B12" s="56" t="inlineStr">
        <is>
          <t>2000-1-10</t>
        </is>
      </c>
      <c r="C12" s="56" t="inlineStr">
        <is>
          <t>Level 4</t>
        </is>
      </c>
      <c r="D12" s="56" t="inlineStr">
        <is>
          <t>사전토공</t>
        </is>
      </c>
      <c r="E12" s="56" t="inlineStr">
        <is>
          <t>지장물이설</t>
        </is>
      </c>
      <c r="F12" s="57" t="inlineStr">
        <is>
          <t>교통처리대책 협의 및 승인</t>
        </is>
      </c>
      <c r="G12" s="56" t="inlineStr">
        <is>
          <t>현장 공사팀</t>
        </is>
      </c>
      <c r="H12" s="57" t="inlineStr">
        <is>
          <t>교통처리대책 협의 및 승인 관련 설계도서 대조 및 현장 실치 오차 사전 검증</t>
        </is>
      </c>
      <c r="I12" s="57" t="inlineStr">
        <is>
          <t>공사/공무/유관기관/전문업체 합동 현장 조사 및 안전 공법 적용</t>
        </is>
      </c>
      <c r="J12" s="57" t="inlineStr">
        <is>
          <t>교통처리대책 협의 및 승인 검측보고서, 사진대지 및 관리기관 승인서</t>
        </is>
      </c>
      <c r="K12" s="56" t="inlineStr">
        <is>
          <t>-</t>
        </is>
      </c>
      <c r="L12" s="56" t="inlineStr">
        <is>
          <t>-</t>
        </is>
      </c>
      <c r="M12" s="56" t="inlineStr">
        <is>
          <t>-</t>
        </is>
      </c>
      <c r="N12" s="56" t="inlineStr">
        <is>
          <t>X</t>
        </is>
      </c>
      <c r="O12" s="56" t="inlineStr">
        <is>
          <t>X</t>
        </is>
      </c>
      <c r="P12" s="56" t="inlineStr">
        <is>
          <t>X</t>
        </is>
      </c>
      <c r="Q12" s="56" t="inlineStr">
        <is>
          <t>X</t>
        </is>
      </c>
      <c r="R12" s="56" t="inlineStr">
        <is>
          <t>X</t>
        </is>
      </c>
      <c r="S12" s="57" t="inlineStr">
        <is>
          <t>1) 경찰서 교통안전시설 심의 및 우회도로 교통처리계획 승인
2) 가변차로 및 야간 작업 시 신호수/안내표지판 배치 기준</t>
        </is>
      </c>
      <c r="T12" s="58">
        <f>HYPERLINK(".\매뉴얼BODY(집행단계-첨부폴더)\지장물이설\10_교통처리대책 협의 및 승인\표준서\교통처리대책 협의 및 승인_표준서.html", "👉 [더블클릭] 표준서 열기 📄")</f>
        <v/>
      </c>
      <c r="U12" s="57" t="inlineStr">
        <is>
          <t>1) 도로교통공단 및 관할 경찰서 현장 합동 점검 시행
2) 주민 차폐형 안전펜스 및 PE 방호벽 설치</t>
        </is>
      </c>
      <c r="V12" s="58">
        <f>HYPERLINK(".\매뉴얼BODY(집행단계-첨부폴더)\지장물이설\10_교통처리대책 협의 및 승인\수행지침\교통처리대책 협의 및 승인_수행지침.html", "👉 [더블클릭] 수행지침 열기 📘")</f>
        <v/>
      </c>
      <c r="W12" s="57" t="inlineStr">
        <is>
          <t>1) 관할 경찰서 교통 심의 승인서 원본을 확인했는가?
2) 교통안전 시설물 설치 및 신호수 배치 상태를 검측했는가?</t>
        </is>
      </c>
      <c r="X12" s="58">
        <f>HYPERLINK(".\매뉴얼BODY(집행단계-첨부폴더)\지장물이설\10_교통처리대책 협의 및 승인\체크리스트\교통처리대책 협의 및 승인_체크리스트.html", "👉 [더블클릭] 체크리스트 열기 📋")</f>
        <v/>
      </c>
      <c r="Y12" s="57" t="inlineStr"/>
      <c r="Z12" s="57" t="inlineStr"/>
      <c r="AA12" s="57" t="inlineStr"/>
      <c r="AB12" s="57" t="inlineStr"/>
    </row>
    <row r="13" ht="42" customHeight="1">
      <c r="A13" s="56" t="inlineStr">
        <is>
          <t>P+10</t>
        </is>
      </c>
      <c r="B13" s="56" t="inlineStr">
        <is>
          <t>2000-1-11</t>
        </is>
      </c>
      <c r="C13" s="56" t="inlineStr">
        <is>
          <t>Level 4</t>
        </is>
      </c>
      <c r="D13" s="56" t="inlineStr">
        <is>
          <t>사전토공</t>
        </is>
      </c>
      <c r="E13" s="56" t="inlineStr">
        <is>
          <t>지장물이설</t>
        </is>
      </c>
      <c r="F13" s="57" t="inlineStr">
        <is>
          <t>민원 저감 대책 수립</t>
        </is>
      </c>
      <c r="G13" s="56" t="inlineStr">
        <is>
          <t>현장 공사팀</t>
        </is>
      </c>
      <c r="H13" s="57" t="inlineStr">
        <is>
          <t>민원 저감 대책 수립 관련 설계도서 대조 및 현장 실치 오차 사전 검증</t>
        </is>
      </c>
      <c r="I13" s="57" t="inlineStr">
        <is>
          <t>공사/공무/유관기관/전문업체 합동 현장 조사 및 안전 공법 적용</t>
        </is>
      </c>
      <c r="J13" s="57" t="inlineStr">
        <is>
          <t>민원 저감 대책 수립 검측보고서, 사진대지 및 관리기관 승인서</t>
        </is>
      </c>
      <c r="K13" s="56" t="inlineStr">
        <is>
          <t>-</t>
        </is>
      </c>
      <c r="L13" s="56" t="inlineStr">
        <is>
          <t>-</t>
        </is>
      </c>
      <c r="M13" s="56" t="inlineStr">
        <is>
          <t>-</t>
        </is>
      </c>
      <c r="N13" s="56" t="inlineStr">
        <is>
          <t>X</t>
        </is>
      </c>
      <c r="O13" s="56" t="inlineStr">
        <is>
          <t>X</t>
        </is>
      </c>
      <c r="P13" s="56" t="inlineStr">
        <is>
          <t>X</t>
        </is>
      </c>
      <c r="Q13" s="56" t="inlineStr">
        <is>
          <t>X</t>
        </is>
      </c>
      <c r="R13" s="56" t="inlineStr">
        <is>
          <t>X</t>
        </is>
      </c>
      <c r="S13" s="57" t="inlineStr">
        <is>
          <t>1) 소음/진동/단수/단전/가스공급 중단 민원 사전 안내문 발송
2) 24시간 민원 현장 대응반 및 주민 설명회 개최 기준 준수</t>
        </is>
      </c>
      <c r="T13" s="58">
        <f>HYPERLINK(".\매뉴얼BODY(집행단계-첨부폴더)\지장물이설\11_민원 저감 대책 수립\표준서\민원 저감 대책 수립_표준서.html", "👉 [더블클릭] 표준서 열기 📄")</f>
        <v/>
      </c>
      <c r="U13" s="57" t="inlineStr">
        <is>
          <t>1) 인근 주민 및 상가 대표 사전 현장 설명 시행
2) 심야 작업 시 저소음 장비 적용 및 현장 살수차 가동</t>
        </is>
      </c>
      <c r="V13" s="58">
        <f>HYPERLINK(".\매뉴얼BODY(집행단계-첨부폴더)\지장물이설\11_민원 저감 대책 수립\수행지침\민원 저감 대책 수립_수행지침.html", "👉 [더블클릭] 수행지침 열기 📘")</f>
        <v/>
      </c>
      <c r="W13" s="57" t="inlineStr">
        <is>
          <t>1) 민원 접수 및 처리 대장 관리 상태를 점검했는가?
2) 단수/단전/가스차단 사전 공고 서류 제출 여부를 검측했는가?</t>
        </is>
      </c>
      <c r="X13" s="58">
        <f>HYPERLINK(".\매뉴얼BODY(집행단계-첨부폴더)\지장물이설\11_민원 저감 대책 수립\체크리스트\민원 저감 대책 수립_체크리스트.html", "👉 [더블클릭] 체크리스트 열기 📋")</f>
        <v/>
      </c>
      <c r="Y13" s="57" t="inlineStr"/>
      <c r="Z13" s="57" t="inlineStr"/>
      <c r="AA13" s="57" t="inlineStr"/>
      <c r="AB13" s="57" t="inlineStr"/>
    </row>
    <row r="14" ht="42" customHeight="1">
      <c r="A14" s="56" t="inlineStr">
        <is>
          <t>P+10</t>
        </is>
      </c>
      <c r="B14" s="56" t="inlineStr">
        <is>
          <t>2000-1-12</t>
        </is>
      </c>
      <c r="C14" s="56" t="inlineStr">
        <is>
          <t>Level 4</t>
        </is>
      </c>
      <c r="D14" s="56" t="inlineStr">
        <is>
          <t>사전토공</t>
        </is>
      </c>
      <c r="E14" s="56" t="inlineStr">
        <is>
          <t>지장물이설</t>
        </is>
      </c>
      <c r="F14" s="57" t="inlineStr">
        <is>
          <t>용지보상 Risk 파악</t>
        </is>
      </c>
      <c r="G14" s="56" t="inlineStr">
        <is>
          <t>현장 공사팀</t>
        </is>
      </c>
      <c r="H14" s="57" t="inlineStr">
        <is>
          <t>용지보상 Risk 파악 관련 설계도서 대조 및 현장 실치 오차 사전 검증</t>
        </is>
      </c>
      <c r="I14" s="57" t="inlineStr">
        <is>
          <t>공사/공무/유관기관/전문업체 합동 현장 조사 및 안전 공법 적용</t>
        </is>
      </c>
      <c r="J14" s="57" t="inlineStr">
        <is>
          <t>용지보상 Risk 파악 검측보고서, 사진대지 및 관리기관 승인서</t>
        </is>
      </c>
      <c r="K14" s="56" t="inlineStr">
        <is>
          <t>-</t>
        </is>
      </c>
      <c r="L14" s="56" t="inlineStr">
        <is>
          <t>-</t>
        </is>
      </c>
      <c r="M14" s="56" t="inlineStr">
        <is>
          <t>-</t>
        </is>
      </c>
      <c r="N14" s="56" t="inlineStr">
        <is>
          <t>X</t>
        </is>
      </c>
      <c r="O14" s="56" t="inlineStr">
        <is>
          <t>X</t>
        </is>
      </c>
      <c r="P14" s="56" t="inlineStr">
        <is>
          <t>X</t>
        </is>
      </c>
      <c r="Q14" s="56" t="inlineStr">
        <is>
          <t>X</t>
        </is>
      </c>
      <c r="R14" s="56" t="inlineStr">
        <is>
          <t>X</t>
        </is>
      </c>
      <c r="S14" s="57" t="inlineStr">
        <is>
          <t>1) 사유지 저촉 여부 및 공공용지 사용승인 100% 확인
2) 보상 미완료 구간 공사 착수 보류 및 분쟁 예방 수칙 준수</t>
        </is>
      </c>
      <c r="T14" s="58">
        <f>HYPERLINK(".\매뉴얼BODY(집행단계-첨부폴더)\지장물이설\12_용지보상 Risk 파악\표준서\용지보상 Risk 파악_표준서.html", "👉 [더블클릭] 표준서 열기 📄")</f>
        <v/>
      </c>
      <c r="U14" s="57" t="inlineStr">
        <is>
          <t>1) 화성시 보상과 연계하여 용지 매입 및 사용 권원 확인
2) 경계 측량 시행 및 경계 휀스 설치</t>
        </is>
      </c>
      <c r="V14" s="58">
        <f>HYPERLINK(".\매뉴얼BODY(집행단계-첨부폴더)\지장물이설\12_용지보상 Risk 파악\수행지침\용지보상 Risk 파악_수행지침.html", "👉 [더블클릭] 수행지침 열기 📘")</f>
        <v/>
      </c>
      <c r="W14" s="57" t="inlineStr">
        <is>
          <t>1) 토지 사용 승낙서 및 용지 보상 완료 여부를 확인했는가?
2) 사유지 저촉 여부 및 경계 측량 성과표를 검측했는가?</t>
        </is>
      </c>
      <c r="X14" s="58">
        <f>HYPERLINK(".\매뉴얼BODY(집행단계-첨부폴더)\지장물이설\12_용지보상 Risk 파악\체크리스트\용지보상 Risk 파악_체크리스트.html", "👉 [더블클릭] 체크리스트 열기 📋")</f>
        <v/>
      </c>
      <c r="Y14" s="57" t="inlineStr"/>
      <c r="Z14" s="57" t="inlineStr"/>
      <c r="AA14" s="57" t="inlineStr"/>
      <c r="AB14" s="57" t="inlineStr"/>
    </row>
    <row r="15" ht="42" customHeight="1">
      <c r="A15" s="56" t="inlineStr">
        <is>
          <t>P+10</t>
        </is>
      </c>
      <c r="B15" s="56" t="inlineStr">
        <is>
          <t>2000-1-13</t>
        </is>
      </c>
      <c r="C15" s="56" t="inlineStr">
        <is>
          <t>Level 4</t>
        </is>
      </c>
      <c r="D15" s="56" t="inlineStr">
        <is>
          <t>사전토공</t>
        </is>
      </c>
      <c r="E15" s="56" t="inlineStr">
        <is>
          <t>지장물이설</t>
        </is>
      </c>
      <c r="F15" s="57" t="inlineStr">
        <is>
          <t>관리기관(맑은물사업소) 협의</t>
        </is>
      </c>
      <c r="G15" s="56" t="inlineStr">
        <is>
          <t>현장 공사팀</t>
        </is>
      </c>
      <c r="H15" s="57" t="inlineStr">
        <is>
          <t>관리기관(맑은물사업소) 협의 관련 설계도서 대조 및 현장 실치 오차 사전 검증</t>
        </is>
      </c>
      <c r="I15" s="57" t="inlineStr">
        <is>
          <t>공사/공무/유관기관/전문업체 합동 현장 조사 및 안전 공법 적용</t>
        </is>
      </c>
      <c r="J15" s="57" t="inlineStr">
        <is>
          <t>관리기관(맑은물사업소) 협의 검측보고서, 사진대지 및 관리기관 승인서</t>
        </is>
      </c>
      <c r="K15" s="56" t="inlineStr">
        <is>
          <t>-</t>
        </is>
      </c>
      <c r="L15" s="56" t="inlineStr">
        <is>
          <t>-</t>
        </is>
      </c>
      <c r="M15" s="56" t="inlineStr">
        <is>
          <t>-</t>
        </is>
      </c>
      <c r="N15" s="56" t="inlineStr">
        <is>
          <t>X</t>
        </is>
      </c>
      <c r="O15" s="56" t="inlineStr">
        <is>
          <t>X</t>
        </is>
      </c>
      <c r="P15" s="56" t="inlineStr">
        <is>
          <t>X</t>
        </is>
      </c>
      <c r="Q15" s="56" t="inlineStr">
        <is>
          <t>X</t>
        </is>
      </c>
      <c r="R15" s="56" t="inlineStr">
        <is>
          <t>X</t>
        </is>
      </c>
      <c r="S15" s="57" t="inlineStr">
        <is>
          <t>1) 화성시 맑은물사업소 기술 시방 준수 및 상하수도 이설 위치 승인
2) 관경별 관재 선정 및 이설 수량/내역 정밀 대조</t>
        </is>
      </c>
      <c r="T15" s="58">
        <f>HYPERLINK(".\매뉴얼BODY(집행단계-첨부폴더)\지장물이설\13_관리기관(맑은물사업소) 협의\표준서\관리기관(맑은물사업소) 협의_표준서.html", "👉 [더블클릭] 표준서 열기 📄")</f>
        <v/>
      </c>
      <c r="U15" s="57" t="inlineStr">
        <is>
          <t>1) 기존 관로 연계 부위 수압 및 자연유하 경사 사전 확인
2) 사업소 요청 추가 반영사항 도출 및 내역 수정</t>
        </is>
      </c>
      <c r="V15" s="58">
        <f>HYPERLINK(".\매뉴얼BODY(집행단계-첨부폴더)\지장물이설\13_관리기관(맑은물사업소) 협의\수행지침\관리기관(맑은물사업소) 협의_수행지침.html", "👉 [더블클릭] 수행지침 열기 📘")</f>
        <v/>
      </c>
      <c r="W15" s="57" t="inlineStr">
        <is>
          <t>1) 맑은물사업소 상하수도 이설 계획 협의서 및 도면을 확인했는가?
2) 이설 내역서 수량과 도면 일치 여부를 검측했는가?</t>
        </is>
      </c>
      <c r="X15" s="58">
        <f>HYPERLINK(".\매뉴얼BODY(집행단계-첨부폴더)\지장물이설\13_관리기관(맑은물사업소) 협의\체크리스트\관리기관(맑은물사업소) 협의_체크리스트.html", "👉 [더블클릭] 체크리스트 열기 📋")</f>
        <v/>
      </c>
      <c r="Y15" s="57" t="inlineStr"/>
      <c r="Z15" s="57" t="inlineStr"/>
      <c r="AA15" s="57" t="inlineStr"/>
      <c r="AB15" s="57" t="inlineStr"/>
    </row>
    <row r="16" ht="42" customHeight="1">
      <c r="A16" s="56" t="inlineStr">
        <is>
          <t>P+10</t>
        </is>
      </c>
      <c r="B16" s="56" t="inlineStr">
        <is>
          <t>2000-1-14</t>
        </is>
      </c>
      <c r="C16" s="56" t="inlineStr">
        <is>
          <t>Level 4</t>
        </is>
      </c>
      <c r="D16" s="56" t="inlineStr">
        <is>
          <t>사전토공</t>
        </is>
      </c>
      <c r="E16" s="56" t="inlineStr">
        <is>
          <t>지장물이설</t>
        </is>
      </c>
      <c r="F16" s="57" t="inlineStr">
        <is>
          <t>위수탁 지장물 이설 설계</t>
        </is>
      </c>
      <c r="G16" s="56" t="inlineStr">
        <is>
          <t>현장 공사팀</t>
        </is>
      </c>
      <c r="H16" s="57" t="inlineStr">
        <is>
          <t>위수탁 지장물 이설 설계 관련 설계도서 대조 및 현장 실치 오차 사전 검증</t>
        </is>
      </c>
      <c r="I16" s="57" t="inlineStr">
        <is>
          <t>공사/공무/유관기관/전문업체 합동 현장 조사 및 안전 공법 적용</t>
        </is>
      </c>
      <c r="J16" s="57" t="inlineStr">
        <is>
          <t>위수탁 지장물 이설 설계 검측보고서, 사진대지 및 관리기관 승인서</t>
        </is>
      </c>
      <c r="K16" s="56" t="inlineStr">
        <is>
          <t>-</t>
        </is>
      </c>
      <c r="L16" s="56" t="inlineStr">
        <is>
          <t>-</t>
        </is>
      </c>
      <c r="M16" s="56" t="inlineStr">
        <is>
          <t>-</t>
        </is>
      </c>
      <c r="N16" s="56" t="inlineStr">
        <is>
          <t>X</t>
        </is>
      </c>
      <c r="O16" s="56" t="inlineStr">
        <is>
          <t>X</t>
        </is>
      </c>
      <c r="P16" s="56" t="inlineStr">
        <is>
          <t>X</t>
        </is>
      </c>
      <c r="Q16" s="56" t="inlineStr">
        <is>
          <t>X</t>
        </is>
      </c>
      <c r="R16" s="56" t="inlineStr">
        <is>
          <t>X</t>
        </is>
      </c>
      <c r="S16" s="57" t="inlineStr">
        <is>
          <t>1) 위탁기관(가스/난방/통신/전력) 이설 설계도서 및 내역서 검토
2) 트램 궤도 구조물과 최소 이격거리(1.5m 이상) 확보 설계 준수</t>
        </is>
      </c>
      <c r="T16" s="58">
        <f>HYPERLINK(".\매뉴얼BODY(집행단계-첨부폴더)\지장물이설\14_위수탁 지장물 이설 설계\표준서\위수탁 지장물 이설 설계_표준서.html", "👉 [더블클릭] 표준서 열기 📄")</f>
        <v/>
      </c>
      <c r="U16" s="57" t="inlineStr">
        <is>
          <t>1) 위탁기관 제출 설계도서 현장 실치 오차 검증
2) 중복 이설 및 간섭 구간 3D CAD 정합성 검토</t>
        </is>
      </c>
      <c r="V16" s="58">
        <f>HYPERLINK(".\매뉴얼BODY(집행단계-첨부폴더)\지장물이설\14_위수탁 지장물 이설 설계\수행지침\위수탁 지장물 이설 설계_수행지침.html", "👉 [더블클릭] 수행지침 열기 📘")</f>
        <v/>
      </c>
      <c r="W16" s="57" t="inlineStr">
        <is>
          <t>1) 위탁기관별 이설 설계도서 및 원가 계산서를 검토했는가?
2) 트램 궤도 구조물과의 이격거리 적정성을 검측했는가?</t>
        </is>
      </c>
      <c r="X16" s="58">
        <f>HYPERLINK(".\매뉴얼BODY(집행단계-첨부폴더)\지장물이설\14_위수탁 지장물 이설 설계\체크리스트\위수탁 지장물 이설 설계_체크리스트.html", "👉 [더블클릭] 체크리스트 열기 📋")</f>
        <v/>
      </c>
      <c r="Y16" s="57" t="inlineStr"/>
      <c r="Z16" s="57" t="inlineStr"/>
      <c r="AA16" s="57" t="inlineStr"/>
      <c r="AB16" s="57" t="inlineStr"/>
    </row>
    <row r="17" ht="42" customHeight="1">
      <c r="A17" s="56" t="inlineStr">
        <is>
          <t>P+10</t>
        </is>
      </c>
      <c r="B17" s="56" t="inlineStr">
        <is>
          <t>2000-1-15</t>
        </is>
      </c>
      <c r="C17" s="56" t="inlineStr">
        <is>
          <t>Level 4</t>
        </is>
      </c>
      <c r="D17" s="56" t="inlineStr">
        <is>
          <t>사전토공</t>
        </is>
      </c>
      <c r="E17" s="56" t="inlineStr">
        <is>
          <t>지장물이설</t>
        </is>
      </c>
      <c r="F17" s="57" t="inlineStr">
        <is>
          <t>상하수도 이설계획 실정보고</t>
        </is>
      </c>
      <c r="G17" s="56" t="inlineStr">
        <is>
          <t>현장 공사팀</t>
        </is>
      </c>
      <c r="H17" s="57" t="inlineStr">
        <is>
          <t>상하수도 이설계획 실정보고 관련 설계도서 대조 및 현장 실치 오차 사전 검증</t>
        </is>
      </c>
      <c r="I17" s="57" t="inlineStr">
        <is>
          <t>공사/공무/유관기관/전문업체 합동 현장 조사 및 안전 공법 적용</t>
        </is>
      </c>
      <c r="J17" s="57" t="inlineStr">
        <is>
          <t>상하수도 이설계획 실정보고 검측보고서, 사진대지 및 관리기관 승인서</t>
        </is>
      </c>
      <c r="K17" s="56" t="inlineStr">
        <is>
          <t>-</t>
        </is>
      </c>
      <c r="L17" s="56" t="inlineStr">
        <is>
          <t>200m</t>
        </is>
      </c>
      <c r="M17" s="56" t="inlineStr">
        <is>
          <t>-</t>
        </is>
      </c>
      <c r="N17" s="56" t="inlineStr">
        <is>
          <t>X</t>
        </is>
      </c>
      <c r="O17" s="56" t="inlineStr">
        <is>
          <t>X</t>
        </is>
      </c>
      <c r="P17" s="56" t="inlineStr">
        <is>
          <t>X</t>
        </is>
      </c>
      <c r="Q17" s="56" t="inlineStr">
        <is>
          <t>X</t>
        </is>
      </c>
      <c r="R17" s="56" t="inlineStr">
        <is>
          <t>X</t>
        </is>
      </c>
      <c r="S17" s="57" t="inlineStr">
        <is>
          <t>1) 현장 여건 반영 상하수도 이설 위치 및 공법 변경 실정보고 승인
2) 발주처 및 감리단 공사비 증가 적정성 검토서 첨부 준수</t>
        </is>
      </c>
      <c r="T17" s="58">
        <f>HYPERLINK(".\매뉴얼BODY(집행단계-첨부폴더)\지장물이설\15_상하수도 이설계획 실정보고\표준서\상하수도 이설계획 실정보고_표준서.html", "👉 [더블클릭] 표준서 열기 📄")</f>
        <v/>
      </c>
      <c r="U17" s="57" t="inlineStr">
        <is>
          <t>1) 변경 도면 및 수량 비교표 작성 후 감리단 제출
2) 실정보고 승인 후 이설 공사 착수 체계 이행</t>
        </is>
      </c>
      <c r="V17" s="58">
        <f>HYPERLINK(".\매뉴얼BODY(집행단계-첨부폴더)\지장물이설\15_상하수도 이설계획 실정보고\수행지침\상하수도 이설계획 실정보고_수행지침.html", "👉 [더블클릭] 수행지침 열기 📘")</f>
        <v/>
      </c>
      <c r="W17" s="57" t="inlineStr">
        <is>
          <t>1) 상하수도 이설 실정보고서 및 감리 검토의견서를 확인했는가?
2) 변경 설계도면과 수량 산출서 일치 여부를 검측했는가?</t>
        </is>
      </c>
      <c r="X17" s="58">
        <f>HYPERLINK(".\매뉴얼BODY(집행단계-첨부폴더)\지장물이설\15_상하수도 이설계획 실정보고\체크리스트\상하수도 이설계획 실정보고_체크리스트.html", "👉 [더블클릭] 체크리스트 열기 📋")</f>
        <v/>
      </c>
      <c r="Y17" s="57" t="inlineStr"/>
      <c r="Z17" s="57" t="inlineStr"/>
      <c r="AA17" s="57" t="inlineStr"/>
      <c r="AB17" s="57" t="inlineStr"/>
    </row>
    <row r="18" ht="42" customHeight="1">
      <c r="A18" s="56" t="inlineStr">
        <is>
          <t>P+10</t>
        </is>
      </c>
      <c r="B18" s="56" t="inlineStr">
        <is>
          <t>2000-1-16</t>
        </is>
      </c>
      <c r="C18" s="56" t="inlineStr">
        <is>
          <t>Level 4</t>
        </is>
      </c>
      <c r="D18" s="56" t="inlineStr">
        <is>
          <t>사전토공</t>
        </is>
      </c>
      <c r="E18" s="56" t="inlineStr">
        <is>
          <t>지장물이설</t>
        </is>
      </c>
      <c r="F18" s="57" t="inlineStr">
        <is>
          <t>위수탁 계약 체결</t>
        </is>
      </c>
      <c r="G18" s="56" t="inlineStr">
        <is>
          <t>현장 공사팀</t>
        </is>
      </c>
      <c r="H18" s="57" t="inlineStr">
        <is>
          <t>위수탁 계약 체결 관련 설계도서 대조 및 현장 실치 오차 사전 검증</t>
        </is>
      </c>
      <c r="I18" s="57" t="inlineStr">
        <is>
          <t>공사/공무/유관기관/전문업체 합동 현장 조사 및 안전 공법 적용</t>
        </is>
      </c>
      <c r="J18" s="57" t="inlineStr">
        <is>
          <t>위수탁 계약 체결 검측보고서, 사진대지 및 관리기관 승인서</t>
        </is>
      </c>
      <c r="K18" s="56" t="inlineStr">
        <is>
          <t>-</t>
        </is>
      </c>
      <c r="L18" s="56" t="inlineStr">
        <is>
          <t>-</t>
        </is>
      </c>
      <c r="M18" s="56" t="inlineStr">
        <is>
          <t>-</t>
        </is>
      </c>
      <c r="N18" s="56" t="inlineStr">
        <is>
          <t>X</t>
        </is>
      </c>
      <c r="O18" s="56" t="inlineStr">
        <is>
          <t>X</t>
        </is>
      </c>
      <c r="P18" s="56" t="inlineStr">
        <is>
          <t>X</t>
        </is>
      </c>
      <c r="Q18" s="56" t="inlineStr">
        <is>
          <t>X</t>
        </is>
      </c>
      <c r="R18" s="56" t="inlineStr">
        <is>
          <t>X</t>
        </is>
      </c>
      <c r="S18" s="57" t="inlineStr">
        <is>
          <t>1) 위탁기관별 지장물 이설 위수탁 협약 체결 및 사업비 확정
2) 추후 사후 정산(PS 항목) 조건부 계약 수칙 준수</t>
        </is>
      </c>
      <c r="T18" s="58">
        <f>HYPERLINK(".\매뉴얼BODY(집행단계-첨부폴더)\지장물이설\16_위수탁 계약 체결\표준서\위수탁 계약 체결_표준서.html", "👉 [더블클릭] 표준서 열기 📄")</f>
        <v/>
      </c>
      <c r="U18" s="57" t="inlineStr">
        <is>
          <t>1) 위수탁 사업비 법정 분담금 산정 및 협약서 서명
2) 계약 체결 후 기관별 이설 착수 공문 통보</t>
        </is>
      </c>
      <c r="V18" s="58">
        <f>HYPERLINK(".\매뉴얼BODY(집행단계-첨부폴더)\지장물이설\16_위수탁 계약 체결\수행지침\위수탁 계약 체결_수행지침.html", "👉 [더블클릭] 수행지침 열기 📘")</f>
        <v/>
      </c>
      <c r="W18" s="57" t="inlineStr">
        <is>
          <t>1) 위수탁 이설 협약서 및 사업비 분담금 승인서를 확인했는가?
2) 사후 정산 조건 및 협약 기간 적정성을 점검했는가?</t>
        </is>
      </c>
      <c r="X18" s="58">
        <f>HYPERLINK(".\매뉴얼BODY(집행단계-첨부폴더)\지장물이설\16_위수탁 계약 체결\체크리스트\위수탁 계약 체결_체크리스트.html", "👉 [더블클릭] 체크리스트 열기 📋")</f>
        <v/>
      </c>
      <c r="Y18" s="57" t="inlineStr"/>
      <c r="Z18" s="57" t="inlineStr"/>
      <c r="AA18" s="57" t="inlineStr"/>
      <c r="AB18" s="57" t="inlineStr"/>
    </row>
    <row r="19" ht="42" customHeight="1">
      <c r="A19" s="56" t="inlineStr">
        <is>
          <t>P+10</t>
        </is>
      </c>
      <c r="B19" s="56" t="inlineStr">
        <is>
          <t>2000-1-17</t>
        </is>
      </c>
      <c r="C19" s="56" t="inlineStr">
        <is>
          <t>Level 4</t>
        </is>
      </c>
      <c r="D19" s="56" t="inlineStr">
        <is>
          <t>사전토공</t>
        </is>
      </c>
      <c r="E19" s="56" t="inlineStr">
        <is>
          <t>지장물이설</t>
        </is>
      </c>
      <c r="F19" s="57" t="inlineStr">
        <is>
          <t>도로점용_굴착행위 인허가</t>
        </is>
      </c>
      <c r="G19" s="56" t="inlineStr">
        <is>
          <t>현장 공사팀</t>
        </is>
      </c>
      <c r="H19" s="57" t="inlineStr">
        <is>
          <t>도로점용_굴착행위 인허가 관련 설계도서 대조 및 현장 실치 오차 사전 검증</t>
        </is>
      </c>
      <c r="I19" s="57" t="inlineStr">
        <is>
          <t>공사/공무/유관기관/전문업체 합동 현장 조사 및 안전 공법 적용</t>
        </is>
      </c>
      <c r="J19" s="57" t="inlineStr">
        <is>
          <t>도로점용_굴착행위 인허가 검측보고서, 사진대지 및 관리기관 승인서</t>
        </is>
      </c>
      <c r="K19" s="56" t="inlineStr">
        <is>
          <t>-</t>
        </is>
      </c>
      <c r="L19" s="56" t="inlineStr">
        <is>
          <t>-</t>
        </is>
      </c>
      <c r="M19" s="56" t="inlineStr">
        <is>
          <t>-</t>
        </is>
      </c>
      <c r="N19" s="56" t="inlineStr">
        <is>
          <t>X</t>
        </is>
      </c>
      <c r="O19" s="56" t="inlineStr">
        <is>
          <t>X</t>
        </is>
      </c>
      <c r="P19" s="56" t="inlineStr">
        <is>
          <t>X</t>
        </is>
      </c>
      <c r="Q19" s="56" t="inlineStr">
        <is>
          <t>X</t>
        </is>
      </c>
      <c r="R19" s="56" t="inlineStr">
        <is>
          <t>X</t>
        </is>
      </c>
      <c r="S19" s="57" t="inlineStr">
        <is>
          <t>1) 도로점용 및 굴착허가 조건 준수 (KCS 11 20 00 토공 시방)
2) 복구 포장 신구 접합부 시공 기준 준수</t>
        </is>
      </c>
      <c r="T19" s="58">
        <f>HYPERLINK(".\매뉴얼BODY(집행단계-첨부폴더)\지장물이설\17_도로점용_굴착행위 인허가\표준서\도로점용_굴착행위 인허가_표준서.html", "👉 [더블클릭] 표준서 열기 📄")</f>
        <v/>
      </c>
      <c r="U19" s="57" t="inlineStr">
        <is>
          <t>1) 굴착 구간 가설 휀스 및 주간/야간 안전 표지판 설치
2) 굴착 토사 현장 즉시 반출 및 청결 유지</t>
        </is>
      </c>
      <c r="V19" s="58">
        <f>HYPERLINK(".\매뉴얼BODY(집행단계-첨부폴더)\지장물이설\17_도로점용_굴착행위 인허가\수행지침\도로점용_굴착행위 인허가_수행지침.html", "👉 [더블클릭] 수행지침 열기 📘")</f>
        <v/>
      </c>
      <c r="W19" s="57" t="inlineStr">
        <is>
          <t>1) 도로점용/굴착 허가 조건 이행 여부를 확인했는가?
2) 복구 포장 시공 계획 및 안전 조치 상태를 검측했는가?</t>
        </is>
      </c>
      <c r="X19" s="58">
        <f>HYPERLINK(".\매뉴얼BODY(집행단계-첨부폴더)\지장물이설\17_도로점용_굴착행위 인허가\체크리스트\도로점용_굴착행위 인허가_체크리스트.html", "👉 [더블클릭] 체크리스트 열기 📋")</f>
        <v/>
      </c>
      <c r="Y19" s="57" t="inlineStr"/>
      <c r="Z19" s="57" t="inlineStr"/>
      <c r="AA19" s="57" t="inlineStr"/>
      <c r="AB19" s="57" t="inlineStr"/>
    </row>
    <row r="20" ht="42" customHeight="1">
      <c r="A20" s="56" t="inlineStr">
        <is>
          <t>P+10</t>
        </is>
      </c>
      <c r="B20" s="56" t="inlineStr">
        <is>
          <t>2000-1-18</t>
        </is>
      </c>
      <c r="C20" s="56" t="inlineStr">
        <is>
          <t>Level 4</t>
        </is>
      </c>
      <c r="D20" s="56" t="inlineStr">
        <is>
          <t>사전토공</t>
        </is>
      </c>
      <c r="E20" s="56" t="inlineStr">
        <is>
          <t>지장물이설</t>
        </is>
      </c>
      <c r="F20" s="57" t="inlineStr">
        <is>
          <t>교통통제 및 교통안전시설 설치</t>
        </is>
      </c>
      <c r="G20" s="56" t="inlineStr">
        <is>
          <t>현장 공사팀</t>
        </is>
      </c>
      <c r="H20" s="57" t="inlineStr">
        <is>
          <t>교통통제 및 교통안전시설 설치 관련 설계도서 대조 및 현장 실치 오차 사전 검증</t>
        </is>
      </c>
      <c r="I20" s="57" t="inlineStr">
        <is>
          <t>공사/공무/유관기관/전문업체 합동 현장 조사 및 안전 공법 적용</t>
        </is>
      </c>
      <c r="J20" s="57" t="inlineStr">
        <is>
          <t>교통통제 및 교통안전시설 설치 검측보고서, 사진대지 및 관리기관 승인서</t>
        </is>
      </c>
      <c r="K20" s="56" t="inlineStr">
        <is>
          <t>-</t>
        </is>
      </c>
      <c r="L20" s="56" t="inlineStr">
        <is>
          <t>-</t>
        </is>
      </c>
      <c r="M20" s="56" t="inlineStr">
        <is>
          <t>-</t>
        </is>
      </c>
      <c r="N20" s="56" t="inlineStr">
        <is>
          <t>X</t>
        </is>
      </c>
      <c r="O20" s="56" t="inlineStr">
        <is>
          <t>X</t>
        </is>
      </c>
      <c r="P20" s="56" t="inlineStr">
        <is>
          <t>X</t>
        </is>
      </c>
      <c r="Q20" s="56" t="inlineStr">
        <is>
          <t>X</t>
        </is>
      </c>
      <c r="R20" s="56" t="inlineStr">
        <is>
          <t>X</t>
        </is>
      </c>
      <c r="S20" s="57" t="inlineStr">
        <is>
          <t>1) 도로공사장 교통관리지침(2024.6) 기준 작업구역 방호 조치
2) 신호수 2인 이상 상시 배치 및 야간 점멸 유도등 가동</t>
        </is>
      </c>
      <c r="T20" s="58">
        <f>HYPERLINK(".\매뉴얼BODY(집행단계-첨부폴더)\지장물이설\18_교통통제 및 교통안전시설 설치\표준서\교통통제 및 교통안전시설 설치_표준서.html", "👉 [더블클릭] 표준서 열기 📄")</f>
        <v/>
      </c>
      <c r="U20" s="57" t="inlineStr">
        <is>
          <t>1) 보행자 우회 안전 펜스 및 차릴용 PE 방호벽 물 채움 시공
2) 출퇴근 시간대(07~09시, 17~19시) 가변 차선 유도</t>
        </is>
      </c>
      <c r="V20" s="58">
        <f>HYPERLINK(".\매뉴얼BODY(집행단계-첨부폴더)\지장물이설\18_교통통제 및 교통안전시설 설치\수행지침\교통통제 및 교통안전시설 설치_수행지침.html", "👉 [더블클릭] 수행지침 열기 📘")</f>
        <v/>
      </c>
      <c r="W20" s="57" t="inlineStr">
        <is>
          <t>1) 교통안전 시설물 배치도 대조 및 신호수 배치를 점검했는가?
2) 야간 점멸등 및 안내 표지판 시인성을 검측했는가?</t>
        </is>
      </c>
      <c r="X20" s="58">
        <f>HYPERLINK(".\매뉴얼BODY(집행단계-첨부폴더)\지장물이설\18_교통통제 및 교통안전시설 설치\체크리스트\교통통제 및 교통안전시설 설치_체크리스트.html", "👉 [더블클릭] 체크리스트 열기 📋")</f>
        <v/>
      </c>
      <c r="Y20" s="57" t="inlineStr"/>
      <c r="Z20" s="57" t="inlineStr"/>
      <c r="AA20" s="57" t="inlineStr"/>
      <c r="AB20" s="57" t="inlineStr"/>
    </row>
    <row r="21" ht="42" customHeight="1">
      <c r="A21" s="56" t="inlineStr">
        <is>
          <t>P+10</t>
        </is>
      </c>
      <c r="B21" s="56" t="inlineStr">
        <is>
          <t>2000-1-19</t>
        </is>
      </c>
      <c r="C21" s="56" t="inlineStr">
        <is>
          <t>Level 4</t>
        </is>
      </c>
      <c r="D21" s="56" t="inlineStr">
        <is>
          <t>사전토공</t>
        </is>
      </c>
      <c r="E21" s="56" t="inlineStr">
        <is>
          <t>지장물이설</t>
        </is>
      </c>
      <c r="F21" s="57" t="inlineStr">
        <is>
          <t>줄따기(GPR)를 통한 기존 지장물 매설 확인</t>
        </is>
      </c>
      <c r="G21" s="56" t="inlineStr">
        <is>
          <t>현장 공사팀</t>
        </is>
      </c>
      <c r="H21" s="57" t="inlineStr">
        <is>
          <t>줄따기(GPR)를 통한 기존 지장물 매설 확인 관련 설계도서 대조 및 현장 실치 오차 사전 검증</t>
        </is>
      </c>
      <c r="I21" s="57" t="inlineStr">
        <is>
          <t>공사/공무/유관기관/전문업체 합동 현장 조사 및 안전 공법 적용</t>
        </is>
      </c>
      <c r="J21" s="57" t="inlineStr">
        <is>
          <t>줄따기(GPR)를 통한 기존 지장물 매설 확인 검측보고서, 사진대지 및 관리기관 승인서</t>
        </is>
      </c>
      <c r="K21" s="56" t="inlineStr">
        <is>
          <t>-</t>
        </is>
      </c>
      <c r="L21" s="56" t="inlineStr">
        <is>
          <t>-</t>
        </is>
      </c>
      <c r="M21" s="56" t="inlineStr">
        <is>
          <t>-</t>
        </is>
      </c>
      <c r="N21" s="56" t="inlineStr">
        <is>
          <t>X</t>
        </is>
      </c>
      <c r="O21" s="56" t="inlineStr">
        <is>
          <t>X</t>
        </is>
      </c>
      <c r="P21" s="56" t="inlineStr">
        <is>
          <t>X</t>
        </is>
      </c>
      <c r="Q21" s="56" t="inlineStr">
        <is>
          <t>X</t>
        </is>
      </c>
      <c r="R21" s="56" t="inlineStr">
        <is>
          <t>X</t>
        </is>
      </c>
      <c r="S21" s="57" t="inlineStr">
        <is>
          <t>1) GPR(지중탐사) 및 줄따기 인력 시굴을 통한 관로 위치 100% 현치
2) 관리기관 담당자 현장 입회 및 노출 관로 심도 측량 성과표 준수</t>
        </is>
      </c>
      <c r="T21" s="58">
        <f>HYPERLINK(".\매뉴얼BODY(집행단계-첨부폴더)\지장물이설\19_줄따기(GPR)를 통한 기존 지장물 매설 확인\표준서\줄따기(GPR)를 통한 기존 지장물 매설 확인_표준서.html", "👉 [더블클릭] 표준서 열기 📄")</f>
        <v/>
      </c>
      <c r="U21" s="57" t="inlineStr">
        <is>
          <t>1) 관로 매설 예상 구역 인력 시굴(폭 1m, 깊이 2m) 시행
2) 노출 관로 보호 가설 빔 및 받침대 설치</t>
        </is>
      </c>
      <c r="V21" s="58">
        <f>HYPERLINK(".\매뉴얼BODY(집행단계-첨부폴더)\지장물이설\19_줄따기(GPR)를 통한 기존 지장물 매설 확인\수행지침\줄따기(GPR)를 통한 기존 지장물 매설 확인_수행지침.html", "👉 [더블클릭] 수행지침 열기 📘")</f>
        <v/>
      </c>
      <c r="W21" s="57" t="inlineStr">
        <is>
          <t>1) GPR 탐사 성과표 및 인력 시굴 노출 관로 심도를 확인했는가?
2) 관리기관 담당자 현장 입회 확인 서명을 점검했는가?</t>
        </is>
      </c>
      <c r="X21" s="58">
        <f>HYPERLINK(".\매뉴얼BODY(집행단계-첨부폴더)\지장물이설\19_줄따기(GPR)를 통한 기존 지장물 매설 확인\체크리스트\줄따기(GPR)를 통한 기존 지장물 매설 확인_체크리스트.html", "👉 [더블클릭] 체크리스트 열기 📋")</f>
        <v/>
      </c>
      <c r="Y21" s="57" t="inlineStr"/>
      <c r="Z21" s="57" t="inlineStr"/>
      <c r="AA21" s="57" t="inlineStr"/>
      <c r="AB21" s="57" t="inlineStr"/>
    </row>
    <row r="22" ht="42" customHeight="1">
      <c r="A22" s="56" t="inlineStr">
        <is>
          <t>P+10</t>
        </is>
      </c>
      <c r="B22" s="56" t="inlineStr">
        <is>
          <t>2000-1-20</t>
        </is>
      </c>
      <c r="C22" s="56" t="inlineStr">
        <is>
          <t>Level 4</t>
        </is>
      </c>
      <c r="D22" s="56" t="inlineStr">
        <is>
          <t>사전토공</t>
        </is>
      </c>
      <c r="E22" s="56" t="inlineStr">
        <is>
          <t>지장물이설</t>
        </is>
      </c>
      <c r="F22" s="57" t="inlineStr">
        <is>
          <t>이설 위치 토공 굴착</t>
        </is>
      </c>
      <c r="G22" s="56" t="inlineStr">
        <is>
          <t>현장 공사팀</t>
        </is>
      </c>
      <c r="H22" s="57" t="inlineStr">
        <is>
          <t>이설 위치 토공 굴착 관련 설계도서 대조 및 현장 실치 오차 사전 검증</t>
        </is>
      </c>
      <c r="I22" s="57" t="inlineStr">
        <is>
          <t>공사/공무/유관기관/전문업체 합동 현장 조사 및 안전 공법 적용</t>
        </is>
      </c>
      <c r="J22" s="57" t="inlineStr">
        <is>
          <t>이설 위치 토공 굴착 검측보고서, 사진대지 및 관리기관 승인서</t>
        </is>
      </c>
      <c r="K22" s="56" t="inlineStr">
        <is>
          <t>-</t>
        </is>
      </c>
      <c r="L22" s="56" t="inlineStr">
        <is>
          <t>-</t>
        </is>
      </c>
      <c r="M22" s="56" t="inlineStr">
        <is>
          <t>-</t>
        </is>
      </c>
      <c r="N22" s="56" t="inlineStr">
        <is>
          <t>X</t>
        </is>
      </c>
      <c r="O22" s="56" t="inlineStr">
        <is>
          <t>X</t>
        </is>
      </c>
      <c r="P22" s="56" t="inlineStr">
        <is>
          <t>X</t>
        </is>
      </c>
      <c r="Q22" s="56" t="inlineStr">
        <is>
          <t>X</t>
        </is>
      </c>
      <c r="R22" s="56" t="inlineStr">
        <is>
          <t>X</t>
        </is>
      </c>
      <c r="S22" s="57" t="inlineStr">
        <is>
          <t>1) 굴착 사면 안정성 확보 (KCS 11 20 00 흙막이 시방 기준)
2) 지하수 배수 처리 및 인접 구조물 침하 모니터링 준수</t>
        </is>
      </c>
      <c r="T22" s="58">
        <f>HYPERLINK(".\매뉴얼BODY(집행단계-첨부폴더)\지장물이설\20_이설 위치 토공 굴착\표준서\이설 위치 토공 굴착_표준서.html", "👉 [더블클릭] 표준서 열기 📄")</f>
        <v/>
      </c>
      <c r="U22" s="57" t="inlineStr">
        <is>
          <t>1) 굴착 깊이 1.5m 이상 시 흙막이 가시설(H-Pile + 흙막이판) 시공
2) 계측기(경사계, 침하계) 일일 모니터링 시행</t>
        </is>
      </c>
      <c r="V22" s="58">
        <f>HYPERLINK(".\매뉴얼BODY(집행단계-첨부폴더)\지장물이설\20_이설 위치 토공 굴착\수행지침\이설 위치 토공 굴착_수행지침.html", "👉 [더블클릭] 수행지침 열기 📘")</f>
        <v/>
      </c>
      <c r="W22" s="57" t="inlineStr">
        <is>
          <t>1) 굴착 사면 기울기 및 흙막이 가시설 안정성을 확인했는가?
2) 계측 관리 데이터 및 지하수 배수 처리 상태를 검측했는가?</t>
        </is>
      </c>
      <c r="X22" s="58">
        <f>HYPERLINK(".\매뉴얼BODY(집행단계-첨부폴더)\지장물이설\20_이설 위치 토공 굴착\체크리스트\이설 위치 토공 굴착_체크리스트.html", "👉 [더블클릭] 체크리스트 열기 📋")</f>
        <v/>
      </c>
      <c r="Y22" s="57" t="inlineStr"/>
      <c r="Z22" s="57" t="inlineStr"/>
      <c r="AA22" s="57" t="inlineStr"/>
      <c r="AB22" s="57" t="inlineStr"/>
    </row>
    <row r="23" ht="42" customHeight="1">
      <c r="A23" s="56" t="inlineStr">
        <is>
          <t>P+10</t>
        </is>
      </c>
      <c r="B23" s="56" t="inlineStr">
        <is>
          <t>2000-1-21</t>
        </is>
      </c>
      <c r="C23" s="56" t="inlineStr">
        <is>
          <t>Level 4</t>
        </is>
      </c>
      <c r="D23" s="56" t="inlineStr">
        <is>
          <t>사전토공</t>
        </is>
      </c>
      <c r="E23" s="56" t="inlineStr">
        <is>
          <t>지장물이설</t>
        </is>
      </c>
      <c r="F23" s="57" t="inlineStr">
        <is>
          <t>신규관로 매설 및 설치</t>
        </is>
      </c>
      <c r="G23" s="56" t="inlineStr">
        <is>
          <t>현장 공사팀</t>
        </is>
      </c>
      <c r="H23" s="57" t="inlineStr">
        <is>
          <t>신규관로 매설 및 설치 관련 설계도서 대조 및 현장 실치 오차 사전 검증</t>
        </is>
      </c>
      <c r="I23" s="57" t="inlineStr">
        <is>
          <t>공사/공무/유관기관/전문업체 합동 현장 조사 및 안전 공법 적용</t>
        </is>
      </c>
      <c r="J23" s="57" t="inlineStr">
        <is>
          <t>신규관로 매설 및 설치 검측보고서, 사진대지 및 관리기관 승인서</t>
        </is>
      </c>
      <c r="K23" s="56" t="inlineStr">
        <is>
          <t>-</t>
        </is>
      </c>
      <c r="L23" s="56" t="inlineStr">
        <is>
          <t>-</t>
        </is>
      </c>
      <c r="M23" s="56" t="inlineStr">
        <is>
          <t>-</t>
        </is>
      </c>
      <c r="N23" s="56" t="inlineStr">
        <is>
          <t>X</t>
        </is>
      </c>
      <c r="O23" s="56" t="inlineStr">
        <is>
          <t>X</t>
        </is>
      </c>
      <c r="P23" s="56" t="inlineStr">
        <is>
          <t>X</t>
        </is>
      </c>
      <c r="Q23" s="56" t="inlineStr">
        <is>
          <t>X</t>
        </is>
      </c>
      <c r="R23" s="56" t="inlineStr">
        <is>
          <t>X</t>
        </is>
      </c>
      <c r="S23" s="57" t="inlineStr">
        <is>
          <t>1) 관종별 매설 심도(상하수도 1.2m, 가스/전력 1.5m 이상) 준수
2) 관 기초 모래(Sand Bedding) 두께 150mm 이상 및 다짐도 95% 준수</t>
        </is>
      </c>
      <c r="T23" s="58">
        <f>HYPERLINK(".\매뉴얼BODY(집행단계-첨부폴더)\지장물이설\21_신규관로 매설 및 설치\표준서\신규관로 매설 및 설치_표준서.html", "👉 [더블클릭] 표준서 열기 📄")</f>
        <v/>
      </c>
      <c r="U23" s="57" t="inlineStr">
        <is>
          <t>1) 신규 관관 수평/수직 경사 측량 및 관 조인트 정밀 접합
2) 관 보호용 표시 테이프(관 상부 30cm) 부착 시공</t>
        </is>
      </c>
      <c r="V23" s="58">
        <f>HYPERLINK(".\매뉴얼BODY(집행단계-첨부폴더)\지장물이설\21_신규관로 매설 및 설치\수행지침\신규관로 매설 및 설치_수행지침.html", "👉 [더블클릭] 수행지침 열기 📘")</f>
        <v/>
      </c>
      <c r="W23" s="57" t="inlineStr">
        <is>
          <t>1) 신규 관로 매설 심도 및 모래 기초 다짐도를 확인했는가?
2) 관 보호 표시 테이프 부착 및 경사 측량을 검측했는가?</t>
        </is>
      </c>
      <c r="X23" s="58">
        <f>HYPERLINK(".\매뉴얼BODY(집행단계-첨부폴더)\지장물이설\21_신규관로 매설 및 설치\체크리스트\신규관로 매설 및 설치_체크리스트.html", "👉 [더블클릭] 체크리스트 열기 📋")</f>
        <v/>
      </c>
      <c r="Y23" s="57" t="inlineStr"/>
      <c r="Z23" s="57" t="inlineStr"/>
      <c r="AA23" s="57" t="inlineStr"/>
      <c r="AB23" s="57" t="inlineStr"/>
    </row>
    <row r="24" ht="42" customHeight="1">
      <c r="A24" s="56" t="inlineStr">
        <is>
          <t>P+10</t>
        </is>
      </c>
      <c r="B24" s="56" t="inlineStr">
        <is>
          <t>2000-1-22</t>
        </is>
      </c>
      <c r="C24" s="56" t="inlineStr">
        <is>
          <t>Level 4</t>
        </is>
      </c>
      <c r="D24" s="56" t="inlineStr">
        <is>
          <t>사전토공</t>
        </is>
      </c>
      <c r="E24" s="56" t="inlineStr">
        <is>
          <t>지장물이설</t>
        </is>
      </c>
      <c r="F24" s="57" t="inlineStr">
        <is>
          <t>무단수 연결을 위한 시설 설치</t>
        </is>
      </c>
      <c r="G24" s="56" t="inlineStr">
        <is>
          <t>현장 공사팀</t>
        </is>
      </c>
      <c r="H24" s="57" t="inlineStr">
        <is>
          <t>무단수 연결을 위한 시설 설치 관련 설계도서 대조 및 현장 실치 오차 사전 검증</t>
        </is>
      </c>
      <c r="I24" s="57" t="inlineStr">
        <is>
          <t>공사/공무/유관기관/전문업체 합동 현장 조사 및 안전 공법 적용</t>
        </is>
      </c>
      <c r="J24" s="57" t="inlineStr">
        <is>
          <t>무단수 연결을 위한 시설 설치 검측보고서, 사진대지 및 관리기관 승인서</t>
        </is>
      </c>
      <c r="K24" s="56" t="inlineStr">
        <is>
          <t>-</t>
        </is>
      </c>
      <c r="L24" s="56" t="inlineStr">
        <is>
          <t>-</t>
        </is>
      </c>
      <c r="M24" s="56" t="inlineStr">
        <is>
          <t>-</t>
        </is>
      </c>
      <c r="N24" s="56" t="inlineStr">
        <is>
          <t>X</t>
        </is>
      </c>
      <c r="O24" s="56" t="inlineStr">
        <is>
          <t>X</t>
        </is>
      </c>
      <c r="P24" s="56" t="inlineStr">
        <is>
          <t>X</t>
        </is>
      </c>
      <c r="Q24" s="56" t="inlineStr">
        <is>
          <t>X</t>
        </is>
      </c>
      <c r="R24" s="56" t="inlineStr">
        <is>
          <t>X</t>
        </is>
      </c>
      <c r="S24" s="57" t="inlineStr">
        <is>
          <t>1) 무단수 차단 공법(Hot Tapping / Bypass) 적용으로 단수/가스차단 민원 제로화
2) 바이패스 관로 수압시험(10kg/cm²) 및 차단 밸브 작동 100% 검증</t>
        </is>
      </c>
      <c r="T24" s="58">
        <f>HYPERLINK(".\매뉴얼BODY(집행단계-첨부폴더)\지장물이설\22_무단수 연결을 위한 시설 설치\표준서\무단수 연결을 위한 시설 설치_표준서.html", "👉 [더블클릭] 표준서 열기 📄")</f>
        <v/>
      </c>
      <c r="U24" s="57" t="inlineStr">
        <is>
          <t>1) 기존 관관 무단수 천공 장비 세팅 및 수밀 링 장착
2) 바이패스 라인 연결 후 기압/수압 밸브 개폐 모니터링</t>
        </is>
      </c>
      <c r="V24" s="58">
        <f>HYPERLINK(".\매뉴얼BODY(집행단계-첨부폴더)\지장물이설\22_무단수 연결을 위한 시설 설치\수행지침\무단수 연결을 위한 시설 설치_수행지침.html", "👉 [더블클릭] 수행지침 열기 📘")</f>
        <v/>
      </c>
      <c r="W24" s="57" t="inlineStr">
        <is>
          <t>1) 무단수 천공 장비 정밀도 및 바이패스 관 수압시험을 확인했는가?
2) 차단 밸브 누수 여부 및 24시간 모니터링 체계를 검측했는가?</t>
        </is>
      </c>
      <c r="X24" s="58">
        <f>HYPERLINK(".\매뉴얼BODY(집행단계-첨부폴더)\지장물이설\22_무단수 연결을 위한 시설 설치\체크리스트\무단수 연결을 위한 시설 설치_체크리스트.html", "👉 [더블클릭] 체크리스트 열기 📋")</f>
        <v/>
      </c>
      <c r="Y24" s="57" t="inlineStr"/>
      <c r="Z24" s="57" t="inlineStr"/>
      <c r="AA24" s="57" t="inlineStr"/>
      <c r="AB24" s="57" t="inlineStr"/>
    </row>
    <row r="25" ht="42" customHeight="1">
      <c r="A25" s="56" t="inlineStr">
        <is>
          <t>P+10</t>
        </is>
      </c>
      <c r="B25" s="56" t="inlineStr">
        <is>
          <t>2000-1-23</t>
        </is>
      </c>
      <c r="C25" s="56" t="inlineStr">
        <is>
          <t>Level 4</t>
        </is>
      </c>
      <c r="D25" s="56" t="inlineStr">
        <is>
          <t>사전토공</t>
        </is>
      </c>
      <c r="E25" s="56" t="inlineStr">
        <is>
          <t>지장물이설</t>
        </is>
      </c>
      <c r="F25" s="57" t="inlineStr">
        <is>
          <t>신규관로 및 연결관로 접속</t>
        </is>
      </c>
      <c r="G25" s="56" t="inlineStr">
        <is>
          <t>현장 공사팀</t>
        </is>
      </c>
      <c r="H25" s="57" t="inlineStr">
        <is>
          <t>신규관로 및 연결관로 접속 관련 설계도서 대조 및 현장 실치 오차 사전 검증</t>
        </is>
      </c>
      <c r="I25" s="57" t="inlineStr">
        <is>
          <t>공사/공무/유관기관/전문업체 합동 현장 조사 및 안전 공법 적용</t>
        </is>
      </c>
      <c r="J25" s="57" t="inlineStr">
        <is>
          <t>신규관로 및 연결관로 접속 검측보고서, 사진대지 및 관리기관 승인서</t>
        </is>
      </c>
      <c r="K25" s="56" t="inlineStr">
        <is>
          <t>-</t>
        </is>
      </c>
      <c r="L25" s="56" t="inlineStr">
        <is>
          <t>-</t>
        </is>
      </c>
      <c r="M25" s="56" t="inlineStr">
        <is>
          <t>-</t>
        </is>
      </c>
      <c r="N25" s="56" t="inlineStr">
        <is>
          <t>X</t>
        </is>
      </c>
      <c r="O25" s="56" t="inlineStr">
        <is>
          <t>X</t>
        </is>
      </c>
      <c r="P25" s="56" t="inlineStr">
        <is>
          <t>X</t>
        </is>
      </c>
      <c r="Q25" s="56" t="inlineStr">
        <is>
          <t>X</t>
        </is>
      </c>
      <c r="R25" s="56" t="inlineStr">
        <is>
          <t>X</t>
        </is>
      </c>
      <c r="S25" s="57" t="inlineStr">
        <is>
          <t>1) Cut-over 전환 작업 시간(최대 4시간 이내) 준수
2) 신구 관로 접속 부위 보강 링 및 전단 앵커 시방 적용</t>
        </is>
      </c>
      <c r="T25" s="58">
        <f>HYPERLINK(".\매뉴얼BODY(집행단계-첨부폴더)\지장물이설\23_신규관로 및 연결관로 접속\표준서\신규관로 및 연결관로 접속_표준서.html", "👉 [더블클릭] 표준서 열기 📄")</f>
        <v/>
      </c>
      <c r="U25" s="57" t="inlineStr">
        <is>
          <t>1) 접속 작업 전 사전 양수 및 내부 유류/잔류물 완전 배출
2) 전환 직후 수압/가스압 상승 및 누수/누출 여부 집중 모니터링</t>
        </is>
      </c>
      <c r="V25" s="58">
        <f>HYPERLINK(".\매뉴얼BODY(집행단계-첨부폴더)\지장물이설\23_신규관로 및 연결관로 접속\수행지침\신규관로 및 연결관로 접속_수행지침.html", "👉 [더블클릭] 수행지침 열기 📘")</f>
        <v/>
      </c>
      <c r="W25" s="57" t="inlineStr">
        <is>
          <t>1) 신구 관로 Cut-over 접속 완료 및 누수 여부를 확인했는가?
2) 전환 작업 시간(계획 시간 이내) 준수 여부를 검측했는가?</t>
        </is>
      </c>
      <c r="X25" s="58">
        <f>HYPERLINK(".\매뉴얼BODY(집행단계-첨부폴더)\지장물이설\23_신규관로 및 연결관로 접속\체크리스트\신규관로 및 연결관로 접속_체크리스트.html", "👉 [더블클릭] 체크리스트 열기 📋")</f>
        <v/>
      </c>
      <c r="Y25" s="57" t="inlineStr"/>
      <c r="Z25" s="57" t="inlineStr"/>
      <c r="AA25" s="57" t="inlineStr"/>
      <c r="AB25" s="57" t="inlineStr"/>
    </row>
    <row r="26" ht="42" customHeight="1">
      <c r="A26" s="56" t="inlineStr">
        <is>
          <t>P+10</t>
        </is>
      </c>
      <c r="B26" s="56" t="inlineStr">
        <is>
          <t>2000-1-24</t>
        </is>
      </c>
      <c r="C26" s="56" t="inlineStr">
        <is>
          <t>Level 4</t>
        </is>
      </c>
      <c r="D26" s="56" t="inlineStr">
        <is>
          <t>사전토공</t>
        </is>
      </c>
      <c r="E26" s="56" t="inlineStr">
        <is>
          <t>지장물이설</t>
        </is>
      </c>
      <c r="F26" s="57" t="inlineStr">
        <is>
          <t>기존관로 철거 및 원상복구</t>
        </is>
      </c>
      <c r="G26" s="56" t="inlineStr">
        <is>
          <t>현장 공사팀</t>
        </is>
      </c>
      <c r="H26" s="57" t="inlineStr">
        <is>
          <t>기존관로 철거 및 원상복구 관련 설계도서 대조 및 현장 실치 오차 사전 검증</t>
        </is>
      </c>
      <c r="I26" s="57" t="inlineStr">
        <is>
          <t>공사/공무/유관기관/전문업체 합동 현장 조사 및 안전 공법 적용</t>
        </is>
      </c>
      <c r="J26" s="57" t="inlineStr">
        <is>
          <t>기존관로 철거 및 원상복구 검측보고서, 사진대지 및 관리기관 승인서</t>
        </is>
      </c>
      <c r="K26" s="56" t="inlineStr">
        <is>
          <t>-</t>
        </is>
      </c>
      <c r="L26" s="56" t="inlineStr">
        <is>
          <t>-</t>
        </is>
      </c>
      <c r="M26" s="56" t="inlineStr">
        <is>
          <t>-</t>
        </is>
      </c>
      <c r="N26" s="56" t="inlineStr">
        <is>
          <t>X</t>
        </is>
      </c>
      <c r="O26" s="56" t="inlineStr">
        <is>
          <t>X</t>
        </is>
      </c>
      <c r="P26" s="56" t="inlineStr">
        <is>
          <t>X</t>
        </is>
      </c>
      <c r="Q26" s="56" t="inlineStr">
        <is>
          <t>X</t>
        </is>
      </c>
      <c r="R26" s="56" t="inlineStr">
        <is>
          <t>X</t>
        </is>
      </c>
      <c r="S26" s="57" t="inlineStr">
        <is>
          <t>1) 잔존 폐관로 철거 및 인입구 콘크리트 폐쇄(Grouting) 조치
2) 토사 되메우기 층다짐(두께 30cm 마다 다짐도 95% 이상) 준수</t>
        </is>
      </c>
      <c r="T26" s="58">
        <f>HYPERLINK(".\매뉴얼BODY(집행단계-첨부폴더)\지장물이설\24_기존관로 철거 및 원상복구\표준서\기존관로 철거 및 원상복구_표준서.html", "👉 [더블클릭] 표준서 열기 📄")</f>
        <v/>
      </c>
      <c r="U26" s="57" t="inlineStr">
        <is>
          <t>1) 철거 폐관량 계량 및 폐기물 관리법에 따른 합법 정산
2) 가포장 및 본포장 신구 접합 부위 택코팅 시공</t>
        </is>
      </c>
      <c r="V26" s="58">
        <f>HYPERLINK(".\매뉴얼BODY(집행단계-첨부폴더)\지장물이설\24_기존관로 철거 및 원상복구\수행지침\기존관로 철거 및 원상복구_수행지침.html", "👉 [더블클릭] 수행지침 열기 📘")</f>
        <v/>
      </c>
      <c r="W26" s="57" t="inlineStr">
        <is>
          <t>1) 폐관로 철거 수량 및 인입구 폐쇄 상태를 확인했는가?
2) 되메우기 층다짐도(95% 이상) 및 도로 포장 평탄성을 검측했는가?</t>
        </is>
      </c>
      <c r="X26" s="58">
        <f>HYPERLINK(".\매뉴얼BODY(집행단계-첨부폴더)\지장물이설\24_기존관로 철거 및 원상복구\체크리스트\기존관로 철거 및 원상복구_체크리스트.html", "👉 [더블클릭] 체크리스트 열기 📋")</f>
        <v/>
      </c>
      <c r="Y26" s="57" t="inlineStr"/>
      <c r="Z26" s="57" t="inlineStr"/>
      <c r="AA26" s="57" t="inlineStr"/>
      <c r="AB26" s="57" t="inlineStr"/>
    </row>
    <row r="27" ht="42" customHeight="1">
      <c r="A27" s="56" t="inlineStr">
        <is>
          <t>P+10</t>
        </is>
      </c>
      <c r="B27" s="56" t="inlineStr">
        <is>
          <t>2000-1-25</t>
        </is>
      </c>
      <c r="C27" s="56" t="inlineStr">
        <is>
          <t>Level 4</t>
        </is>
      </c>
      <c r="D27" s="56" t="inlineStr">
        <is>
          <t>사전토공</t>
        </is>
      </c>
      <c r="E27" s="56" t="inlineStr">
        <is>
          <t>지장물이설</t>
        </is>
      </c>
      <c r="F27" s="57" t="inlineStr">
        <is>
          <t>광역상수관 이설 공사</t>
        </is>
      </c>
      <c r="G27" s="56" t="inlineStr">
        <is>
          <t>현장 공사팀</t>
        </is>
      </c>
      <c r="H27" s="57" t="inlineStr">
        <is>
          <t>광역상수관 이설 공사 관련 설계도서 대조 및 현장 실치 오차 사전 검증</t>
        </is>
      </c>
      <c r="I27" s="57" t="inlineStr">
        <is>
          <t>공사/공무/유관기관/전문업체 합동 현장 조사 및 안전 공법 적용</t>
        </is>
      </c>
      <c r="J27" s="57" t="inlineStr">
        <is>
          <t>광역상수관 이설 공사 검측보고서, 사진대지 및 관리기관 승인서</t>
        </is>
      </c>
      <c r="K27" s="56" t="inlineStr">
        <is>
          <t>150m</t>
        </is>
      </c>
      <c r="L27" s="56" t="inlineStr">
        <is>
          <t>-</t>
        </is>
      </c>
      <c r="M27" s="56" t="inlineStr">
        <is>
          <t>-</t>
        </is>
      </c>
      <c r="N27" s="56" t="inlineStr">
        <is>
          <t>X</t>
        </is>
      </c>
      <c r="O27" s="56" t="inlineStr">
        <is>
          <t>X</t>
        </is>
      </c>
      <c r="P27" s="56" t="inlineStr">
        <is>
          <t>X</t>
        </is>
      </c>
      <c r="Q27" s="56" t="inlineStr">
        <is>
          <t>X</t>
        </is>
      </c>
      <c r="R27" s="56" t="inlineStr">
        <is>
          <t>O</t>
        </is>
      </c>
      <c r="S27" s="57" t="inlineStr">
        <is>
          <t>1) 한국수자원공사(K-water) 시방 준수 및 D800mm 이상 관로 안전 확보
2) 관 이송 수압 15kg/cm² 견딤 구조 및 이탈 방지 조인트 시공</t>
        </is>
      </c>
      <c r="T27" s="58">
        <f>HYPERLINK(".\매뉴얼BODY(집행단계-첨부폴더)\지장물이설\25_광역상수관 이설 공사\표준서\광역상수관 이설 공사_표준서.html", "👉 [더블클릭] 표준서 열기 📄")</f>
        <v/>
      </c>
      <c r="U27" s="57" t="inlineStr">
        <is>
          <t>1) 수자원공사 감독관 100% 현장 입회 하 용접 및 접합 시행
2) 통수 전 24시간 수압 유지 및 잔류 염소 소독 통과</t>
        </is>
      </c>
      <c r="V27" s="58">
        <f>HYPERLINK(".\매뉴얼BODY(집행단계-첨부폴더)\지장물이설\25_광역상수관 이설 공사\수행지침\광역상수관 이설 공사_수행지침.html", "👉 [더블클릭] 수행지침 열기 📘")</f>
        <v/>
      </c>
      <c r="W27" s="57" t="inlineStr">
        <is>
          <t>1) 수자원공사 입회 확인서 및 수압시험 성과표를 확인했는가?
2) 광역상수관 이탈 방지 조인트 시공 무결성을 검측했는가?</t>
        </is>
      </c>
      <c r="X27" s="58">
        <f>HYPERLINK(".\매뉴얼BODY(집행단계-첨부폴더)\지장물이설\25_광역상수관 이설 공사\체크리스트\광역상수관 이설 공사_체크리스트.html", "👉 [더블클릭] 체크리스트 열기 📋")</f>
        <v/>
      </c>
      <c r="Y27" s="57" t="inlineStr"/>
      <c r="Z27" s="57" t="inlineStr"/>
      <c r="AA27" s="57" t="inlineStr"/>
      <c r="AB27" s="57" t="inlineStr"/>
    </row>
    <row r="28" ht="42" customHeight="1">
      <c r="A28" s="56" t="inlineStr">
        <is>
          <t>P+10</t>
        </is>
      </c>
      <c r="B28" s="56" t="inlineStr">
        <is>
          <t>2000-1-26</t>
        </is>
      </c>
      <c r="C28" s="56" t="inlineStr">
        <is>
          <t>Level 4</t>
        </is>
      </c>
      <c r="D28" s="56" t="inlineStr">
        <is>
          <t>사전토공</t>
        </is>
      </c>
      <c r="E28" s="56" t="inlineStr">
        <is>
          <t>지장물이설</t>
        </is>
      </c>
      <c r="F28" s="57" t="inlineStr">
        <is>
          <t>상수도 관로 이설 공사</t>
        </is>
      </c>
      <c r="G28" s="56" t="inlineStr">
        <is>
          <t>현장 공사팀</t>
        </is>
      </c>
      <c r="H28" s="57" t="inlineStr">
        <is>
          <t>상수도 관로 이설 공사 관련 설계도서 대조 및 현장 실치 오차 사전 검증</t>
        </is>
      </c>
      <c r="I28" s="57" t="inlineStr">
        <is>
          <t>공사/공무/유관기관/전문업체 합동 현장 조사 및 안전 공법 적용</t>
        </is>
      </c>
      <c r="J28" s="57" t="inlineStr">
        <is>
          <t>상수도 관로 이설 공사 검측보고서, 사진대지 및 관리기관 승인서</t>
        </is>
      </c>
      <c r="K28" s="56" t="inlineStr">
        <is>
          <t>150m</t>
        </is>
      </c>
      <c r="L28" s="56" t="inlineStr">
        <is>
          <t>-</t>
        </is>
      </c>
      <c r="M28" s="56" t="inlineStr">
        <is>
          <t>-</t>
        </is>
      </c>
      <c r="N28" s="56" t="inlineStr">
        <is>
          <t>X</t>
        </is>
      </c>
      <c r="O28" s="56" t="inlineStr">
        <is>
          <t>X</t>
        </is>
      </c>
      <c r="P28" s="56" t="inlineStr">
        <is>
          <t>X</t>
        </is>
      </c>
      <c r="Q28" s="56" t="inlineStr">
        <is>
          <t>X</t>
        </is>
      </c>
      <c r="R28" s="56" t="inlineStr">
        <is>
          <t>X</t>
        </is>
      </c>
      <c r="S28" s="57" t="inlineStr">
        <is>
          <t>1) 화성시 맑은물사업소 수돗물 수질 기준 및 수압 10kg/cm² 유지
2) 덕타일 주철관(DCI) 및 PE 피복 강관 규격 반영 준수</t>
        </is>
      </c>
      <c r="T28" s="58">
        <f>HYPERLINK(".\매뉴얼BODY(집행단계-첨부폴더)\지장물이설\26_상수도 관로 이설 공사\표준서\상수도 관로 이설 공사_표준서.html", "👉 [더블클릭] 표준서 열기 📄")</f>
        <v/>
      </c>
      <c r="U28" s="57" t="inlineStr">
        <is>
          <t>1) 수압시험 1시간 10kg/cm² 유지 및 Zero 누수 검증
2) 수돗물 세척 및 탁도/잔류염소 수질 검사 필증 획득</t>
        </is>
      </c>
      <c r="V28" s="58">
        <f>HYPERLINK(".\매뉴얼BODY(집행단계-첨부폴더)\지장물이설\26_상수도 관로 이설 공사\수행지침\상수도 관로 이설 공사_수행지침.html", "👉 [더블클릭] 수행지침 열기 📘")</f>
        <v/>
      </c>
      <c r="W28" s="57" t="inlineStr">
        <is>
          <t>1) 상수도 수압시험성적서 및 수질 검사 필증을 확인했는가?
2) 관 조인트 융착 및 방식 피복 상태를 검측했는가?</t>
        </is>
      </c>
      <c r="X28" s="58">
        <f>HYPERLINK(".\매뉴얼BODY(집행단계-첨부폴더)\지장물이설\26_상수도 관로 이설 공사\체크리스트\상수도 관로 이설 공사_체크리스트.html", "👉 [더블클릭] 체크리스트 열기 📋")</f>
        <v/>
      </c>
      <c r="Y28" s="57" t="inlineStr"/>
      <c r="Z28" s="57" t="inlineStr"/>
      <c r="AA28" s="57" t="inlineStr"/>
      <c r="AB28" s="57" t="inlineStr"/>
    </row>
    <row r="29" ht="42" customHeight="1">
      <c r="A29" s="56" t="inlineStr">
        <is>
          <t>P+10</t>
        </is>
      </c>
      <c r="B29" s="56" t="inlineStr">
        <is>
          <t>2000-1-27</t>
        </is>
      </c>
      <c r="C29" s="56" t="inlineStr">
        <is>
          <t>Level 4</t>
        </is>
      </c>
      <c r="D29" s="56" t="inlineStr">
        <is>
          <t>사전토공</t>
        </is>
      </c>
      <c r="E29" s="56" t="inlineStr">
        <is>
          <t>지장물이설</t>
        </is>
      </c>
      <c r="F29" s="57" t="inlineStr">
        <is>
          <t>하수도 관로 이설 공사</t>
        </is>
      </c>
      <c r="G29" s="56" t="inlineStr">
        <is>
          <t>현장 공사팀</t>
        </is>
      </c>
      <c r="H29" s="57" t="inlineStr">
        <is>
          <t>하수도 관로 이설 공사 관련 설계도서 대조 및 현장 실치 오차 사전 검증</t>
        </is>
      </c>
      <c r="I29" s="57" t="inlineStr">
        <is>
          <t>공사/공무/유관기관/전문업체 합동 현장 조사 및 안전 공법 적용</t>
        </is>
      </c>
      <c r="J29" s="57" t="inlineStr">
        <is>
          <t>하수도 관로 이설 공사 검측보고서, 사진대지 및 관리기관 승인서</t>
        </is>
      </c>
      <c r="K29" s="56" t="inlineStr">
        <is>
          <t>-</t>
        </is>
      </c>
      <c r="L29" s="56" t="inlineStr">
        <is>
          <t>200m</t>
        </is>
      </c>
      <c r="M29" s="56" t="inlineStr">
        <is>
          <t>-</t>
        </is>
      </c>
      <c r="N29" s="56" t="inlineStr">
        <is>
          <t>X</t>
        </is>
      </c>
      <c r="O29" s="56" t="inlineStr">
        <is>
          <t>X</t>
        </is>
      </c>
      <c r="P29" s="56" t="inlineStr">
        <is>
          <t>X</t>
        </is>
      </c>
      <c r="Q29" s="56" t="inlineStr">
        <is>
          <t>X</t>
        </is>
      </c>
      <c r="R29" s="56" t="inlineStr">
        <is>
          <t>X</t>
        </is>
      </c>
      <c r="S29" s="57" t="inlineStr">
        <is>
          <t>1) 하수도 정비 기본계획 기준 자연유하 구배(1.0% 이상) 확보
2) 수밀성 시험 및 CCTV 내시경 전수 조사(100%) 합격 수칙 준수</t>
        </is>
      </c>
      <c r="T29" s="58">
        <f>HYPERLINK(".\매뉴얼BODY(집행단계-첨부폴더)\지장물이설\27_하수도 관로 이설 공사\표준서\하수도 관로 이설 공사_표준서.html", "👉 [더블클릭] 표준서 열기 📄")</f>
        <v/>
      </c>
      <c r="U29" s="57" t="inlineStr">
        <is>
          <t>1) 하수 맨홀 기초 콘크리트 타설 및 인버트(Invert) 유선형 시공
2) CCTV 촬영 영상 데이터 맑은물사업소 제출 승인</t>
        </is>
      </c>
      <c r="V29" s="58">
        <f>HYPERLINK(".\매뉴얼BODY(집행단계-첨부폴더)\지장물이설\27_하수도 관로 이설 공사\수행지침\하수도 관로 이설 공사_수행지침.html", "👉 [더블클릭] 수행지침 열기 📘")</f>
        <v/>
      </c>
      <c r="W29" s="57" t="inlineStr">
        <is>
          <t>1) 하수관 CCTV 촬영 영상 및 수밀시험 성적서를 확인했는가?
2) 맨홀 인버트 구배 및 구체 누수 여부를 검측했는가?</t>
        </is>
      </c>
      <c r="X29" s="58">
        <f>HYPERLINK(".\매뉴얼BODY(집행단계-첨부폴더)\지장물이설\27_하수도 관로 이설 공사\체크리스트\하수도 관로 이설 공사_체크리스트.html", "👉 [더블클릭] 체크리스트 열기 📋")</f>
        <v/>
      </c>
      <c r="Y29" s="57" t="inlineStr"/>
      <c r="Z29" s="57" t="inlineStr"/>
      <c r="AA29" s="57" t="inlineStr"/>
      <c r="AB29" s="57" t="inlineStr"/>
    </row>
    <row r="30" ht="42" customHeight="1">
      <c r="A30" s="56" t="inlineStr">
        <is>
          <t>P+10</t>
        </is>
      </c>
      <c r="B30" s="56" t="inlineStr">
        <is>
          <t>2000-1-28</t>
        </is>
      </c>
      <c r="C30" s="56" t="inlineStr">
        <is>
          <t>Level 4</t>
        </is>
      </c>
      <c r="D30" s="56" t="inlineStr">
        <is>
          <t>사전토공</t>
        </is>
      </c>
      <c r="E30" s="56" t="inlineStr">
        <is>
          <t>지장물이설</t>
        </is>
      </c>
      <c r="F30" s="57" t="inlineStr">
        <is>
          <t>도시가스관 이설 공사</t>
        </is>
      </c>
      <c r="G30" s="56" t="inlineStr">
        <is>
          <t>현장 공사팀</t>
        </is>
      </c>
      <c r="H30" s="57" t="inlineStr">
        <is>
          <t>도시가스관 이설 공사 관련 설계도서 대조 및 현장 실치 오차 사전 검증</t>
        </is>
      </c>
      <c r="I30" s="57" t="inlineStr">
        <is>
          <t>공사/공무/유관기관/전문업체 합동 현장 조사 및 안전 공법 적용</t>
        </is>
      </c>
      <c r="J30" s="57" t="inlineStr">
        <is>
          <t>도시가스관 이설 공사 검측보고서, 사진대지 및 관리기관 승인서</t>
        </is>
      </c>
      <c r="K30" s="56" t="inlineStr">
        <is>
          <t>-</t>
        </is>
      </c>
      <c r="L30" s="56" t="inlineStr">
        <is>
          <t>-</t>
        </is>
      </c>
      <c r="M30" s="56" t="inlineStr">
        <is>
          <t>-</t>
        </is>
      </c>
      <c r="N30" s="56" t="inlineStr">
        <is>
          <t>O</t>
        </is>
      </c>
      <c r="O30" s="56" t="inlineStr">
        <is>
          <t>X</t>
        </is>
      </c>
      <c r="P30" s="56" t="inlineStr">
        <is>
          <t>X</t>
        </is>
      </c>
      <c r="Q30" s="56" t="inlineStr">
        <is>
          <t>X</t>
        </is>
      </c>
      <c r="R30" s="56" t="inlineStr">
        <is>
          <t>X</t>
        </is>
      </c>
      <c r="S30" s="57" t="inlineStr">
        <is>
          <t>1) 도시가스사업법 안전관리 기준 준수 (용접부 RT 100% 검사)
2) 관리기관(삼천리/가스공사) 안전점검원 현장 입회 필수</t>
        </is>
      </c>
      <c r="T30" s="58">
        <f>HYPERLINK(".\매뉴얼BODY(집행단계-첨부폴더)\지장물이설\28_도시가스관 이설 공사\표준서\도시가스관 이설 공사_표준서.html", "👉 [더블클릭] 표준서 열기 📄")</f>
        <v/>
      </c>
      <c r="U30" s="57" t="inlineStr">
        <is>
          <t>1) 가스 차단 후 배관 내 질소 퍼지(Purge)로 잔류 가스 100% 제거
2) 가스관 라벨링 및 이중 피복 전기방식(CP) 테이핑 시공</t>
        </is>
      </c>
      <c r="V30" s="58">
        <f>HYPERLINK(".\매뉴얼BODY(집행단계-첨부폴더)\지장물이설\28_도시가스관 이설 공사\수행지침\도시가스관 이설 공사_수행지침.html", "👉 [더블클릭] 수행지침 열기 📘")</f>
        <v/>
      </c>
      <c r="W30" s="57" t="inlineStr">
        <is>
          <t>1) 가스관 용접부 RT(방사선투과검사) 100% 무결함을 확인했는가?
2) 가스 차단/퍼지 및 관리기관 입회 서명을 검측했는가?</t>
        </is>
      </c>
      <c r="X30" s="58">
        <f>HYPERLINK(".\매뉴얼BODY(집행단계-첨부폴더)\지장물이설\28_도시가스관 이설 공사\체크리스트\도시가스관 이설 공사_체크리스트.html", "👉 [더블클릭] 체크리스트 열기 📋")</f>
        <v/>
      </c>
      <c r="Y30" s="57" t="inlineStr"/>
      <c r="Z30" s="57" t="inlineStr"/>
      <c r="AA30" s="57" t="inlineStr"/>
      <c r="AB30" s="57" t="inlineStr"/>
    </row>
    <row r="31" ht="42" customHeight="1">
      <c r="A31" s="56" t="inlineStr">
        <is>
          <t>P+10</t>
        </is>
      </c>
      <c r="B31" s="56" t="inlineStr">
        <is>
          <t>2000-1-29</t>
        </is>
      </c>
      <c r="C31" s="56" t="inlineStr">
        <is>
          <t>Level 4</t>
        </is>
      </c>
      <c r="D31" s="56" t="inlineStr">
        <is>
          <t>사전토공</t>
        </is>
      </c>
      <c r="E31" s="56" t="inlineStr">
        <is>
          <t>지장물이설</t>
        </is>
      </c>
      <c r="F31" s="57" t="inlineStr">
        <is>
          <t>지역난방관 이설 공사</t>
        </is>
      </c>
      <c r="G31" s="56" t="inlineStr">
        <is>
          <t>현장 공사팀</t>
        </is>
      </c>
      <c r="H31" s="57" t="inlineStr">
        <is>
          <t>지역난방관 이설 공사 관련 설계도서 대조 및 현장 실치 오차 사전 검증</t>
        </is>
      </c>
      <c r="I31" s="57" t="inlineStr">
        <is>
          <t>공사/공무/유관기관/전문업체 합동 현장 조사 및 안전 공법 적용</t>
        </is>
      </c>
      <c r="J31" s="57" t="inlineStr">
        <is>
          <t>지역난방관 이설 공사 검측보고서, 사진대지 및 관리기관 승인서</t>
        </is>
      </c>
      <c r="K31" s="56" t="inlineStr">
        <is>
          <t>-</t>
        </is>
      </c>
      <c r="L31" s="56" t="inlineStr">
        <is>
          <t>-</t>
        </is>
      </c>
      <c r="M31" s="56" t="inlineStr">
        <is>
          <t>-</t>
        </is>
      </c>
      <c r="N31" s="56" t="inlineStr">
        <is>
          <t>X</t>
        </is>
      </c>
      <c r="O31" s="56" t="inlineStr">
        <is>
          <t>O</t>
        </is>
      </c>
      <c r="P31" s="56" t="inlineStr">
        <is>
          <t>X</t>
        </is>
      </c>
      <c r="Q31" s="56" t="inlineStr">
        <is>
          <t>X</t>
        </is>
      </c>
      <c r="R31" s="56" t="inlineStr">
        <is>
          <t>X</t>
        </is>
      </c>
      <c r="S31" s="57" t="inlineStr">
        <is>
          <t>1) 한국지역난방공사 수송관 시방 준수 (이중보온관 NDT 100%)
2) 난방수 온도(110℃) 및 압력(16bar) 열응력 신음이완 조인트 시공</t>
        </is>
      </c>
      <c r="T31" s="58">
        <f>HYPERLINK(".\매뉴얼BODY(집행단계-첨부폴더)\지장물이설\29_지역난방관 이설 공사\표준서\지역난방관 이설 공사_표준서.html", "👉 [더블클릭] 표준서 열기 📄")</f>
        <v/>
      </c>
      <c r="U31" s="57" t="inlineStr">
        <is>
          <t>1) 이중보온관 외피관 융착 및 누수 감지선 연결 도통 시험
2) 열수송관 보온재 방수 처리 및 보호 샌드 충전</t>
        </is>
      </c>
      <c r="V31" s="58">
        <f>HYPERLINK(".\매뉴얼BODY(집행단계-첨부폴더)\지장물이설\29_지역난방관 이설 공사\수행지침\지역난방관 이설 공사_수행지침.html", "👉 [더블클릭] 수행지침 열기 📘")</f>
        <v/>
      </c>
      <c r="W31" s="57" t="inlineStr">
        <is>
          <t>1) 이중보온관 NDT 검사 성적서 및 누수 감지선 도통을 확인했는가?
2) 난방관 수압시험(16bar) 및 열응력 조인트 설치를 검측했는가?</t>
        </is>
      </c>
      <c r="X31" s="58">
        <f>HYPERLINK(".\매뉴얼BODY(집행단계-첨부폴더)\지장물이설\29_지역난방관 이설 공사\체크리스트\지역난방관 이설 공사_체크리스트.html", "👉 [더블클릭] 체크리스트 열기 📋")</f>
        <v/>
      </c>
      <c r="Y31" s="57" t="inlineStr"/>
      <c r="Z31" s="57" t="inlineStr"/>
      <c r="AA31" s="57" t="inlineStr"/>
      <c r="AB31" s="57" t="inlineStr"/>
    </row>
    <row r="32" ht="42" customHeight="1">
      <c r="A32" s="56" t="inlineStr">
        <is>
          <t>P+10</t>
        </is>
      </c>
      <c r="B32" s="56" t="inlineStr">
        <is>
          <t>2000-1-30</t>
        </is>
      </c>
      <c r="C32" s="56" t="inlineStr">
        <is>
          <t>Level 4</t>
        </is>
      </c>
      <c r="D32" s="56" t="inlineStr">
        <is>
          <t>사전토공</t>
        </is>
      </c>
      <c r="E32" s="56" t="inlineStr">
        <is>
          <t>지장물이설</t>
        </is>
      </c>
      <c r="F32" s="57" t="inlineStr">
        <is>
          <t>통신관로 및 케이블 이설 공사</t>
        </is>
      </c>
      <c r="G32" s="56" t="inlineStr">
        <is>
          <t>현장 공사팀</t>
        </is>
      </c>
      <c r="H32" s="57" t="inlineStr">
        <is>
          <t>통신관로 및 케이블 이설 공사 관련 설계도서 대조 및 현장 실치 오차 사전 검증</t>
        </is>
      </c>
      <c r="I32" s="57" t="inlineStr">
        <is>
          <t>공사/공무/유관기관/전문업체 합동 현장 조사 및 안전 공법 적용</t>
        </is>
      </c>
      <c r="J32" s="57" t="inlineStr">
        <is>
          <t>통신관로 및 케이블 이설 공사 검측보고서, 사진대지 및 관리기관 승인서</t>
        </is>
      </c>
      <c r="K32" s="56" t="inlineStr">
        <is>
          <t>-</t>
        </is>
      </c>
      <c r="L32" s="56" t="inlineStr">
        <is>
          <t>-</t>
        </is>
      </c>
      <c r="M32" s="56" t="inlineStr">
        <is>
          <t>-</t>
        </is>
      </c>
      <c r="N32" s="56" t="inlineStr">
        <is>
          <t>X</t>
        </is>
      </c>
      <c r="O32" s="56" t="inlineStr">
        <is>
          <t>X</t>
        </is>
      </c>
      <c r="P32" s="56" t="inlineStr">
        <is>
          <t>O</t>
        </is>
      </c>
      <c r="Q32" s="56" t="inlineStr">
        <is>
          <t>X</t>
        </is>
      </c>
      <c r="R32" s="56" t="inlineStr">
        <is>
          <t>X</t>
        </is>
      </c>
      <c r="S32" s="57" t="inlineStr">
        <is>
          <t>1) KT, LGU+, SKT 광통신 망 무중단 이설 기준 (OTDR 손실 0.05dB 이하)
2) 통신 핸드홀/맨홀 인입 부위 방수 및 방서 처리 준수</t>
        </is>
      </c>
      <c r="T32" s="58">
        <f>HYPERLINK(".\매뉴얼BODY(집행단계-첨부폴더)\지장물이설\30_통신관로 및 케이블 이설 공사\표준서\통신관로 및 케이블 이설 공사_표준서.html", "👉 [더블클릭] 표준서 열기 📄")</f>
        <v/>
      </c>
      <c r="U32" s="57" t="inlineStr">
        <is>
          <t>1) 심야 시간대(01:00~05:00) 통신 광케이블 Cut-over 절체
2) 광케이블 접속 성과표(OTDR 데이터) 통신사업자 제출</t>
        </is>
      </c>
      <c r="V32" s="58">
        <f>HYPERLINK(".\매뉴얼BODY(집행단계-첨부폴더)\지장물이설\30_통신관로 및 케이블 이설 공사\수행지침\통신관로 및 케이블 이설 공사_수행지침.html", "👉 [더블클릭] 수행지침 열기 📘")</f>
        <v/>
      </c>
      <c r="W32" s="57" t="inlineStr">
        <is>
          <t>1) OTDR 광 접속 손실 측정 성과표(0.05dB 이하)를 확인했는가?
2) 심야 Cut-over 전환 통신 장애 유무를 검측했는가?</t>
        </is>
      </c>
      <c r="X32" s="58">
        <f>HYPERLINK(".\매뉴얼BODY(집행단계-첨부폴더)\지장물이설\30_통신관로 및 케이블 이설 공사\체크리스트\통신관로 및 케이블 이설 공사_체크리스트.html", "👉 [더블클릭] 체크리스트 열기 📋")</f>
        <v/>
      </c>
      <c r="Y32" s="57" t="inlineStr"/>
      <c r="Z32" s="57" t="inlineStr"/>
      <c r="AA32" s="57" t="inlineStr"/>
      <c r="AB32" s="57" t="inlineStr"/>
    </row>
    <row r="33" ht="42" customHeight="1">
      <c r="A33" s="56" t="inlineStr">
        <is>
          <t>P+10</t>
        </is>
      </c>
      <c r="B33" s="56" t="inlineStr">
        <is>
          <t>2000-1-31</t>
        </is>
      </c>
      <c r="C33" s="56" t="inlineStr">
        <is>
          <t>Level 4</t>
        </is>
      </c>
      <c r="D33" s="56" t="inlineStr">
        <is>
          <t>사전토공</t>
        </is>
      </c>
      <c r="E33" s="56" t="inlineStr">
        <is>
          <t>지장물이설</t>
        </is>
      </c>
      <c r="F33" s="57" t="inlineStr">
        <is>
          <t>특고압 전력관로 이설 공사</t>
        </is>
      </c>
      <c r="G33" s="56" t="inlineStr">
        <is>
          <t>현장 공사팀</t>
        </is>
      </c>
      <c r="H33" s="57" t="inlineStr">
        <is>
          <t>특고압 전력관로 이설 공사 관련 설계도서 대조 및 현장 실치 오차 사전 검증</t>
        </is>
      </c>
      <c r="I33" s="57" t="inlineStr">
        <is>
          <t>공사/공무/유관기관/전문업체 합동 현장 조사 및 안전 공법 적용</t>
        </is>
      </c>
      <c r="J33" s="57" t="inlineStr">
        <is>
          <t>특고압 전력관로 이설 공사 검측보고서, 사진대지 및 관리기관 승인서</t>
        </is>
      </c>
      <c r="K33" s="56" t="inlineStr">
        <is>
          <t>-</t>
        </is>
      </c>
      <c r="L33" s="56" t="inlineStr">
        <is>
          <t>-</t>
        </is>
      </c>
      <c r="M33" s="56" t="inlineStr">
        <is>
          <t>-</t>
        </is>
      </c>
      <c r="N33" s="56" t="inlineStr">
        <is>
          <t>X</t>
        </is>
      </c>
      <c r="O33" s="56" t="inlineStr">
        <is>
          <t>X</t>
        </is>
      </c>
      <c r="P33" s="56" t="inlineStr">
        <is>
          <t>X</t>
        </is>
      </c>
      <c r="Q33" s="56" t="inlineStr">
        <is>
          <t>O</t>
        </is>
      </c>
      <c r="R33" s="56" t="inlineStr">
        <is>
          <t>X</t>
        </is>
      </c>
      <c r="S33" s="57" t="inlineStr">
        <is>
          <t>1) 한전 22.9kV 특고압 지중 관로 시방 준수 (절연저항 2,000MΩ 이상)
2) 전력 파이프 다공관 매설 및 전력 표지판 설치 준수</t>
        </is>
      </c>
      <c r="T33" s="58">
        <f>HYPERLINK(".\매뉴얼BODY(집행단계-첨부폴더)\지장물이설\31_특고압 전력관로 이설 공사\표준서\특고압 전력관로 이설 공사_표준서.html", "👉 [더블클릭] 표준서 열기 📄")</f>
        <v/>
      </c>
      <c r="U33" s="57" t="inlineStr">
        <is>
          <t>1) 한전 감독관 입회 하 전력 케이블 끌기(Pulling) 및 장력 관리
2) 전력 맨홀 접지 저항(10Ω 이하) 측정 및 시험 보고서 제출</t>
        </is>
      </c>
      <c r="V33" s="58">
        <f>HYPERLINK(".\매뉴얼BODY(집행단계-첨부폴더)\지장물이설\31_특고압 전력관로 이설 공사\수행지침\특고압 전력관로 이설 공사_수행지침.html", "👉 [더블클릭] 수행지침 열기 📘")</f>
        <v/>
      </c>
      <c r="W33" s="57" t="inlineStr">
        <is>
          <t>1) 한전 22.9kV 케이블 내전압 시험 및 절연저항 성적서를 확인했는가?
2) 전력 맨홀 접지 저항 및 한전 감독관 입회 날인을 검측했는가?</t>
        </is>
      </c>
      <c r="X33" s="58">
        <f>HYPERLINK(".\매뉴얼BODY(집행단계-첨부폴더)\지장물이설\31_특고압 전력관로 이설 공사\체크리스트\특고압 전력관로 이설 공사_체크리스트.html", "👉 [더블클릭] 체크리스트 열기 📋")</f>
        <v/>
      </c>
      <c r="Y33" s="57" t="inlineStr"/>
      <c r="Z33" s="57" t="inlineStr"/>
      <c r="AA33" s="57" t="inlineStr"/>
      <c r="AB33" s="57" t="inlineStr"/>
    </row>
    <row r="34" ht="42" customHeight="1">
      <c r="A34" s="56" t="inlineStr">
        <is>
          <t>P+10</t>
        </is>
      </c>
      <c r="B34" s="56" t="inlineStr">
        <is>
          <t>2000-1-32</t>
        </is>
      </c>
      <c r="C34" s="56" t="inlineStr">
        <is>
          <t>Level 4</t>
        </is>
      </c>
      <c r="D34" s="56" t="inlineStr">
        <is>
          <t>사전토공</t>
        </is>
      </c>
      <c r="E34" s="56" t="inlineStr">
        <is>
          <t>지장물이설</t>
        </is>
      </c>
      <c r="F34" s="57" t="inlineStr">
        <is>
          <t>송유관 이설 공사</t>
        </is>
      </c>
      <c r="G34" s="56" t="inlineStr">
        <is>
          <t>현장 공사팀</t>
        </is>
      </c>
      <c r="H34" s="57" t="inlineStr">
        <is>
          <t>송유관 이설 공사 관련 설계도서 대조 및 현장 실치 오차 사전 검증</t>
        </is>
      </c>
      <c r="I34" s="57" t="inlineStr">
        <is>
          <t>공사/공무/유관기관/전문업체 합동 현장 조사 및 안전 공법 적용</t>
        </is>
      </c>
      <c r="J34" s="57" t="inlineStr">
        <is>
          <t>송유관 이설 공사 검측보고서, 사진대지 및 관리기관 승인서</t>
        </is>
      </c>
      <c r="K34" s="56" t="inlineStr">
        <is>
          <t>-</t>
        </is>
      </c>
      <c r="L34" s="56" t="inlineStr">
        <is>
          <t>-</t>
        </is>
      </c>
      <c r="M34" s="56" t="inlineStr">
        <is>
          <t>-</t>
        </is>
      </c>
      <c r="N34" s="56" t="inlineStr">
        <is>
          <t>X</t>
        </is>
      </c>
      <c r="O34" s="56" t="inlineStr">
        <is>
          <t>X</t>
        </is>
      </c>
      <c r="P34" s="56" t="inlineStr">
        <is>
          <t>X</t>
        </is>
      </c>
      <c r="Q34" s="56" t="inlineStr">
        <is>
          <t>X</t>
        </is>
      </c>
      <c r="R34" s="56" t="inlineStr">
        <is>
          <t>X</t>
        </is>
      </c>
      <c r="S34" s="57" t="inlineStr">
        <is>
          <t>1) 송유관안전관리법 및 대한송유관공사 시방 준수 (용접 RT 100%)
2) 송유관 이중 방식 피복 및 위험물 안전 관리 기준 준수</t>
        </is>
      </c>
      <c r="T34" s="58">
        <f>HYPERLINK(".\매뉴얼BODY(집행단계-첨부폴더)\지장물이설\32_송유관 이설 공사\표준서\송유관 이설 공사_표준서.html", "👉 [더블클릭] 표준서 열기 📄")</f>
        <v/>
      </c>
      <c r="U34" s="57" t="inlineStr">
        <is>
          <t>1) 유류 배출 후 질소 가스 치환 및 위험물 전담 안전원 배치
2) 송유관 수압시험 및 음극 전기방식(CP) 테스터 검증</t>
        </is>
      </c>
      <c r="V34" s="58">
        <f>HYPERLINK(".\매뉴얼BODY(집행단계-첨부폴더)\지장물이설\32_송유관 이설 공사\수행지침\송유관 이설 공사_수행지침.html", "👉 [더블클릭] 수행지침 열기 📘")</f>
        <v/>
      </c>
      <c r="W34" s="57" t="inlineStr">
        <is>
          <t>1) 송유관 용접 RT 비파괴 검사표 및 질소 치환 성적서를 확인했는가?
2) 대한송유관공사 입회 서명 및 안전 점검표를 검측했는가?</t>
        </is>
      </c>
      <c r="X34" s="58">
        <f>HYPERLINK(".\매뉴얼BODY(집행단계-첨부폴더)\지장물이설\32_송유관 이설 공사\체크리스트\송유관 이설 공사_체크리스트.html", "👉 [더블클릭] 체크리스트 열기 📋")</f>
        <v/>
      </c>
      <c r="Y34" s="57" t="inlineStr"/>
      <c r="Z34" s="57" t="inlineStr"/>
      <c r="AA34" s="57" t="inlineStr"/>
      <c r="AB34" s="57" t="inlineStr"/>
    </row>
    <row r="35" ht="42" customHeight="1">
      <c r="A35" s="56" t="inlineStr">
        <is>
          <t>P+10</t>
        </is>
      </c>
      <c r="B35" s="56" t="inlineStr">
        <is>
          <t>2000-1-33</t>
        </is>
      </c>
      <c r="C35" s="56" t="inlineStr">
        <is>
          <t>Level 4</t>
        </is>
      </c>
      <c r="D35" s="56" t="inlineStr">
        <is>
          <t>사전토공</t>
        </is>
      </c>
      <c r="E35" s="56" t="inlineStr">
        <is>
          <t>지장물이설</t>
        </is>
      </c>
      <c r="F35" s="57" t="inlineStr">
        <is>
          <t>상하수도 이설 시공 최종 점검</t>
        </is>
      </c>
      <c r="G35" s="56" t="inlineStr">
        <is>
          <t>현장 공사팀</t>
        </is>
      </c>
      <c r="H35" s="57" t="inlineStr">
        <is>
          <t>상하수도 이설 시공 최종 점검 관련 설계도서 대조 및 현장 실치 오차 사전 검증</t>
        </is>
      </c>
      <c r="I35" s="57" t="inlineStr">
        <is>
          <t>공사/공무/유관기관/전문업체 합동 현장 조사 및 안전 공법 적용</t>
        </is>
      </c>
      <c r="J35" s="57" t="inlineStr">
        <is>
          <t>상하수도 이설 시공 최종 점검 검측보고서, 사진대지 및 관리기관 승인서</t>
        </is>
      </c>
      <c r="K35" s="56" t="inlineStr">
        <is>
          <t>-</t>
        </is>
      </c>
      <c r="L35" s="56" t="inlineStr">
        <is>
          <t>200m</t>
        </is>
      </c>
      <c r="M35" s="56" t="inlineStr">
        <is>
          <t>-</t>
        </is>
      </c>
      <c r="N35" s="56" t="inlineStr">
        <is>
          <t>X</t>
        </is>
      </c>
      <c r="O35" s="56" t="inlineStr">
        <is>
          <t>X</t>
        </is>
      </c>
      <c r="P35" s="56" t="inlineStr">
        <is>
          <t>X</t>
        </is>
      </c>
      <c r="Q35" s="56" t="inlineStr">
        <is>
          <t>X</t>
        </is>
      </c>
      <c r="R35" s="56" t="inlineStr">
        <is>
          <t>X</t>
        </is>
      </c>
      <c r="S35" s="57" t="inlineStr">
        <is>
          <t>1) 맑은물사업소 시설물 인계인수 지침 준수
2) 기능 검측 및 수밀성 최종 검사 100% 적격 판정</t>
        </is>
      </c>
      <c r="T35" s="58">
        <f>HYPERLINK(".\매뉴얼BODY(집행단계-첨부폴더)\지장물이설\33_상하수도 이설 시공 최종 점검\표준서\상하수도 이설 시공 최종 점검_표준서.html", "👉 [더블클릭] 표준서 열기 📄")</f>
        <v/>
      </c>
      <c r="U35" s="57" t="inlineStr">
        <is>
          <t>1) 감리원, 사업소 담당자, 현장대리인 삼자 합동 점검
2) 지적사항 발생 시 3일 이내 보완 완료 체계 가동</t>
        </is>
      </c>
      <c r="V35" s="58">
        <f>HYPERLINK(".\매뉴얼BODY(집행단계-첨부폴더)\지장물이설\33_상하수도 이설 시공 최종 점검\수행지침\상하수도 이설 시공 최종 점검_수행지침.html", "👉 [더블클릭] 수행지침 열기 📘")</f>
        <v/>
      </c>
      <c r="W35" s="57" t="inlineStr">
        <is>
          <t>1) 맑은물사업소 인계인수 합동검측 필증을 확인했는가?
2) 준공 사진대지 및 인계 체크리스트 완비 여부를 점검했는가?</t>
        </is>
      </c>
      <c r="X35" s="58">
        <f>HYPERLINK(".\매뉴얼BODY(집행단계-첨부폴더)\지장물이설\33_상하수도 이설 시공 최종 점검\체크리스트\상하수도 이설 시공 최종 점검_체크리스트.html", "👉 [더블클릭] 체크리스트 열기 📋")</f>
        <v/>
      </c>
      <c r="Y35" s="57" t="inlineStr"/>
      <c r="Z35" s="57" t="inlineStr"/>
      <c r="AA35" s="57" t="inlineStr"/>
      <c r="AB35" s="57" t="inlineStr"/>
    </row>
    <row r="36" ht="42" customHeight="1">
      <c r="A36" s="56" t="inlineStr">
        <is>
          <t>P+10</t>
        </is>
      </c>
      <c r="B36" s="56" t="inlineStr">
        <is>
          <t>2000-1-34</t>
        </is>
      </c>
      <c r="C36" s="56" t="inlineStr">
        <is>
          <t>Level 4</t>
        </is>
      </c>
      <c r="D36" s="56" t="inlineStr">
        <is>
          <t>사전토공</t>
        </is>
      </c>
      <c r="E36" s="56" t="inlineStr">
        <is>
          <t>지장물이설</t>
        </is>
      </c>
      <c r="F36" s="57" t="inlineStr">
        <is>
          <t>위수탁 지하지장물 이설 최종 점검</t>
        </is>
      </c>
      <c r="G36" s="56" t="inlineStr">
        <is>
          <t>현장 공사팀</t>
        </is>
      </c>
      <c r="H36" s="57" t="inlineStr">
        <is>
          <t>위수탁 지하지장물 이설 최종 점검 관련 설계도서 대조 및 현장 실치 오차 사전 검증</t>
        </is>
      </c>
      <c r="I36" s="57" t="inlineStr">
        <is>
          <t>공사/공무/유관기관/전문업체 합동 현장 조사 및 안전 공법 적용</t>
        </is>
      </c>
      <c r="J36" s="57" t="inlineStr">
        <is>
          <t>위수탁 지하지장물 이설 최종 점검 검측보고서, 사진대지 및 관리기관 승인서</t>
        </is>
      </c>
      <c r="K36" s="56" t="inlineStr">
        <is>
          <t>-</t>
        </is>
      </c>
      <c r="L36" s="56" t="inlineStr">
        <is>
          <t>-</t>
        </is>
      </c>
      <c r="M36" s="56" t="inlineStr">
        <is>
          <t>-</t>
        </is>
      </c>
      <c r="N36" s="56" t="inlineStr">
        <is>
          <t>X</t>
        </is>
      </c>
      <c r="O36" s="56" t="inlineStr">
        <is>
          <t>X</t>
        </is>
      </c>
      <c r="P36" s="56" t="inlineStr">
        <is>
          <t>X</t>
        </is>
      </c>
      <c r="Q36" s="56" t="inlineStr">
        <is>
          <t>X</t>
        </is>
      </c>
      <c r="R36" s="56" t="inlineStr">
        <is>
          <t>X</t>
        </is>
      </c>
      <c r="S36" s="57" t="inlineStr">
        <is>
          <t>1) 5대 위탁기관(가스/난방/통신/전력/광역상수) 최종 준공 검사
2) 기관별 준공 확정서 및 시설물 양도양수서 100% 구비</t>
        </is>
      </c>
      <c r="T36" s="58">
        <f>HYPERLINK(".\매뉴얼BODY(집행단계-첨부폴더)\지장물이설\34_위수탁 지하지장물 이설 최종 점검\표준서\위수탁 지하지장물 이설 최종 점검_표준서.html", "👉 [더블클릭] 표준서 열기 📄")</f>
        <v/>
      </c>
      <c r="U36" s="57" t="inlineStr">
        <is>
          <t>1) 위탁기관 감독관 현장 최종 합동 인수점검 시행
2) 이설관 지하지형 공간정보(GIS) 데이터 갱신 제출</t>
        </is>
      </c>
      <c r="V36" s="58">
        <f>HYPERLINK(".\매뉴얼BODY(집행단계-첨부폴더)\지장물이설\34_위수탁 지하지장물 이설 최종 점검\수행지침\위수탁 지하지장물 이설 최종 점검_수행지침.html", "👉 [더블클릭] 수행지침 열기 📘")</f>
        <v/>
      </c>
      <c r="W36" s="57" t="inlineStr">
        <is>
          <t>1) 5대 위탁기관 준공 확정서 및 양도양수 서류를 확인했는가?
2) GIS 지하매설물 준공도면 등록 완료 여부를 검측했는가?</t>
        </is>
      </c>
      <c r="X36" s="58">
        <f>HYPERLINK(".\매뉴얼BODY(집행단계-첨부폴더)\지장물이설\34_위수탁 지하지장물 이설 최종 점검\체크리스트\위수탁 지하지장물 이설 최종 점검_체크리스트.html", "👉 [더블클릭] 체크리스트 열기 📋")</f>
        <v/>
      </c>
      <c r="Y36" s="57" t="inlineStr"/>
      <c r="Z36" s="57" t="inlineStr"/>
      <c r="AA36" s="57" t="inlineStr"/>
      <c r="AB36" s="57" t="inlineStr"/>
    </row>
    <row r="37" ht="42" customHeight="1">
      <c r="A37" s="56" t="inlineStr">
        <is>
          <t>P+10</t>
        </is>
      </c>
      <c r="B37" s="56" t="inlineStr">
        <is>
          <t>2000-1-35</t>
        </is>
      </c>
      <c r="C37" s="56" t="inlineStr">
        <is>
          <t>Level 4</t>
        </is>
      </c>
      <c r="D37" s="56" t="inlineStr">
        <is>
          <t>사전토공</t>
        </is>
      </c>
      <c r="E37" s="56" t="inlineStr">
        <is>
          <t>지장물이설</t>
        </is>
      </c>
      <c r="F37" s="57" t="inlineStr">
        <is>
          <t>상하수도 이설 정산 금액 검토</t>
        </is>
      </c>
      <c r="G37" s="56" t="inlineStr">
        <is>
          <t>현장 공사팀</t>
        </is>
      </c>
      <c r="H37" s="57" t="inlineStr">
        <is>
          <t>상하수도 이설 정산 금액 검토 관련 설계도서 대조 및 현장 실치 오차 사전 검증</t>
        </is>
      </c>
      <c r="I37" s="57" t="inlineStr">
        <is>
          <t>공사/공무/유관기관/전문업체 합동 현장 조사 및 안전 공법 적용</t>
        </is>
      </c>
      <c r="J37" s="57" t="inlineStr">
        <is>
          <t>상하수도 이설 정산 금액 검토 검측보고서, 사진대지 및 관리기관 승인서</t>
        </is>
      </c>
      <c r="K37" s="56" t="inlineStr">
        <is>
          <t>-</t>
        </is>
      </c>
      <c r="L37" s="56" t="inlineStr">
        <is>
          <t>200m</t>
        </is>
      </c>
      <c r="M37" s="56" t="inlineStr">
        <is>
          <t>-</t>
        </is>
      </c>
      <c r="N37" s="56" t="inlineStr">
        <is>
          <t>X</t>
        </is>
      </c>
      <c r="O37" s="56" t="inlineStr">
        <is>
          <t>X</t>
        </is>
      </c>
      <c r="P37" s="56" t="inlineStr">
        <is>
          <t>X</t>
        </is>
      </c>
      <c r="Q37" s="56" t="inlineStr">
        <is>
          <t>X</t>
        </is>
      </c>
      <c r="R37" s="56" t="inlineStr">
        <is>
          <t>X</t>
        </is>
      </c>
      <c r="S37" s="57" t="inlineStr">
        <is>
          <t>1) 실제 시공 수량 및 물량 변경 내역 기반 상하수도 정산서 작성
2) 계약 단가 및 맑은물사업소 협의 정산 기준 준수</t>
        </is>
      </c>
      <c r="T37" s="58">
        <f>HYPERLINK(".\매뉴얼BODY(집행단계-첨부폴더)\지장물이설\35_상하수도 이설 정산 금액 검토\표준서\상하수도 이설 정산 금액 검토_표준서.html", "👉 [더블클릭] 표준서 열기 📄")</f>
        <v/>
      </c>
      <c r="U37" s="57" t="inlineStr">
        <is>
          <t>1) 정산 설계도서, 수량 산출서, 사진대지 감리단 승인
2) 발주처 설계변경 정산 승인 신청 체계 이행</t>
        </is>
      </c>
      <c r="V37" s="58">
        <f>HYPERLINK(".\매뉴얼BODY(집행단계-첨부폴더)\지장물이설\35_상하수도 이설 정산 금액 검토\수행지침\상하수도 이설 정산 금액 검토_수행지침.html", "👉 [더블클릭] 수행지침 열기 📘")</f>
        <v/>
      </c>
      <c r="W37" s="57" t="inlineStr">
        <is>
          <t>1) 상하수도 이설 정산 수량 산출서 및 내역서를 검토했는가?
2) 감리단 정산 검토의견서 첨부 여부를 확인했는가?</t>
        </is>
      </c>
      <c r="X37" s="58">
        <f>HYPERLINK(".\매뉴얼BODY(집행단계-첨부폴더)\지장물이설\35_상하수도 이설 정산 금액 검토\체크리스트\상하수도 이설 정산 금액 검토_체크리스트.html", "👉 [더블클릭] 체크리스트 열기 📋")</f>
        <v/>
      </c>
      <c r="Y37" s="57" t="inlineStr"/>
      <c r="Z37" s="57" t="inlineStr"/>
      <c r="AA37" s="57" t="inlineStr"/>
      <c r="AB37" s="57" t="inlineStr"/>
    </row>
    <row r="38" ht="42" customHeight="1">
      <c r="A38" s="56" t="inlineStr">
        <is>
          <t>P+10</t>
        </is>
      </c>
      <c r="B38" s="56" t="inlineStr">
        <is>
          <t>2000-1-36</t>
        </is>
      </c>
      <c r="C38" s="56" t="inlineStr">
        <is>
          <t>Level 4</t>
        </is>
      </c>
      <c r="D38" s="56" t="inlineStr">
        <is>
          <t>사전토공</t>
        </is>
      </c>
      <c r="E38" s="56" t="inlineStr">
        <is>
          <t>지장물이설</t>
        </is>
      </c>
      <c r="F38" s="57" t="inlineStr">
        <is>
          <t>위수탁 처리 정산금액 지급</t>
        </is>
      </c>
      <c r="G38" s="56" t="inlineStr">
        <is>
          <t>현장 공사팀</t>
        </is>
      </c>
      <c r="H38" s="57" t="inlineStr">
        <is>
          <t>위수탁 처리 정산금액 지급 관련 설계도서 대조 및 현장 실치 오차 사전 검증</t>
        </is>
      </c>
      <c r="I38" s="57" t="inlineStr">
        <is>
          <t>공사/공무/유관기관/전문업체 합동 현장 조사 및 안전 공법 적용</t>
        </is>
      </c>
      <c r="J38" s="57" t="inlineStr">
        <is>
          <t>위수탁 처리 정산금액 지급 검측보고서, 사진대지 및 관리기관 승인서</t>
        </is>
      </c>
      <c r="K38" s="56" t="inlineStr">
        <is>
          <t>-</t>
        </is>
      </c>
      <c r="L38" s="56" t="inlineStr">
        <is>
          <t>-</t>
        </is>
      </c>
      <c r="M38" s="56" t="inlineStr">
        <is>
          <t>-</t>
        </is>
      </c>
      <c r="N38" s="56" t="inlineStr">
        <is>
          <t>X</t>
        </is>
      </c>
      <c r="O38" s="56" t="inlineStr">
        <is>
          <t>X</t>
        </is>
      </c>
      <c r="P38" s="56" t="inlineStr">
        <is>
          <t>X</t>
        </is>
      </c>
      <c r="Q38" s="56" t="inlineStr">
        <is>
          <t>X</t>
        </is>
      </c>
      <c r="R38" s="56" t="inlineStr">
        <is>
          <t>X</t>
        </is>
      </c>
      <c r="S38" s="57" t="inlineStr">
        <is>
          <t>1) 위탁기관별 최종 예가 대비 실제 사용 집행 정산금 산정
2) PS(Provisional Sum) 예산 집행 정산 수칙 준수</t>
        </is>
      </c>
      <c r="T38" s="58">
        <f>HYPERLINK(".\매뉴얼BODY(집행단계-첨부폴더)\지장물이설\36_위수탁 처리 정산금액 지급\표준서\위수탁 처리 정산금액 지급_표준서.html", "👉 [더블클릭] 표준서 열기 📄")</f>
        <v/>
      </c>
      <c r="U38" s="57" t="inlineStr">
        <is>
          <t>1) 위탁기관 최종 정산 공문 및 사업비 집행 영수증 검토
2) 발주처 정산금 지급 승인 및 위탁기관 정산금 입금 조치</t>
        </is>
      </c>
      <c r="V38" s="58">
        <f>HYPERLINK(".\매뉴얼BODY(집행단계-첨부폴더)\지장물이설\36_위수탁 처리 정산금액 지급\수행지침\위수탁 처리 정산금액 지급_수행지침.html", "👉 [더블클릭] 수행지침 열기 📘")</f>
        <v/>
      </c>
      <c r="W38" s="57" t="inlineStr">
        <is>
          <t>1) 위탁기관 최종 정산 청구 공문 및 영수증을 확인했는가?
2) PS 예산 범위 내 정산금 집행 및 입금증을 검측했는가?</t>
        </is>
      </c>
      <c r="X38" s="58">
        <f>HYPERLINK(".\매뉴얼BODY(집행단계-첨부폴더)\지장물이설\36_위수탁 처리 정산금액 지급\체크리스트\위수탁 처리 정산금액 지급_체크리스트.html", "👉 [더블클릭] 체크리스트 열기 📋")</f>
        <v/>
      </c>
      <c r="Y38" s="57" t="inlineStr"/>
      <c r="Z38" s="57" t="inlineStr"/>
      <c r="AA38" s="57" t="inlineStr"/>
      <c r="AB38" s="57" t="inlineStr"/>
    </row>
    <row r="39" ht="42" customHeight="1">
      <c r="A39" s="56" t="inlineStr">
        <is>
          <t>P+10</t>
        </is>
      </c>
      <c r="B39" s="56" t="inlineStr">
        <is>
          <t>2000-1-37</t>
        </is>
      </c>
      <c r="C39" s="56" t="inlineStr">
        <is>
          <t>Level 4</t>
        </is>
      </c>
      <c r="D39" s="56" t="inlineStr">
        <is>
          <t>사전토공</t>
        </is>
      </c>
      <c r="E39" s="56" t="inlineStr">
        <is>
          <t>지장물이설</t>
        </is>
      </c>
      <c r="F39" s="57" t="inlineStr">
        <is>
          <t>도급자분_위수탁분 설계변경 정산</t>
        </is>
      </c>
      <c r="G39" s="56" t="inlineStr">
        <is>
          <t>현장 공사팀</t>
        </is>
      </c>
      <c r="H39" s="57" t="inlineStr">
        <is>
          <t>도급자분_위수탁분 설계변경 정산 관련 설계도서 대조 및 현장 실치 오차 사전 검증</t>
        </is>
      </c>
      <c r="I39" s="57" t="inlineStr">
        <is>
          <t>공사/공무/유관기관/전문업체 합동 현장 조사 및 안전 공법 적용</t>
        </is>
      </c>
      <c r="J39" s="57" t="inlineStr">
        <is>
          <t>도급자분_위수탁분 설계변경 정산 검측보고서, 사진대지 및 관리기관 승인서</t>
        </is>
      </c>
      <c r="K39" s="56" t="inlineStr">
        <is>
          <t>-</t>
        </is>
      </c>
      <c r="L39" s="56" t="inlineStr">
        <is>
          <t>-</t>
        </is>
      </c>
      <c r="M39" s="56" t="inlineStr">
        <is>
          <t>-</t>
        </is>
      </c>
      <c r="N39" s="56" t="inlineStr">
        <is>
          <t>X</t>
        </is>
      </c>
      <c r="O39" s="56" t="inlineStr">
        <is>
          <t>X</t>
        </is>
      </c>
      <c r="P39" s="56" t="inlineStr">
        <is>
          <t>X</t>
        </is>
      </c>
      <c r="Q39" s="56" t="inlineStr">
        <is>
          <t>X</t>
        </is>
      </c>
      <c r="R39" s="56" t="inlineStr">
        <is>
          <t>X</t>
        </is>
      </c>
      <c r="S39" s="57" t="inlineStr">
        <is>
          <t>1) 도급 이설분 및 위수탁분 전체 지장물 이설 설계변경 최종 정산
2) 총공사비 반영 및 계약 금액 변경 계약 체결 준수</t>
        </is>
      </c>
      <c r="T39" s="58">
        <f>HYPERLINK(".\매뉴얼BODY(집행단계-첨부폴더)\지장물이설\37_도급자분_위수탁분 설계변경 정산\표준서\도급자분_위수탁분 설계변경 정산_표준서.html", "👉 [더블클릭] 표준서 열기 📄")</f>
        <v/>
      </c>
      <c r="U39" s="57" t="inlineStr">
        <is>
          <t>1) 설계변경 도서 산출 및 발주처 총사업비 변경 승인 획득
2) 변경 계약 체결 및 사후 공사비 정산 완료</t>
        </is>
      </c>
      <c r="V39" s="58">
        <f>HYPERLINK(".\매뉴얼BODY(집행단계-첨부폴더)\지장물이설\37_도급자분_위수탁분 설계변경 정산\수행지침\도급자분_위수탁분 설계변경 정산_수행지침.html", "👉 [더블클릭] 수행지침 열기 📘")</f>
        <v/>
      </c>
      <c r="W39" s="57" t="inlineStr">
        <is>
          <t>1) 최종 설계변경 총괄 내역서 및 변경 계약서를 확인했는가?
2) 도급/위수탁 구분 정산금 일치 여부를 검측했는가?</t>
        </is>
      </c>
      <c r="X39" s="58">
        <f>HYPERLINK(".\매뉴얼BODY(집행단계-첨부폴더)\지장물이설\37_도급자분_위수탁분 설계변경 정산\체크리스트\도급자분_위수탁분 설계변경 정산_체크리스트.html", "👉 [더블클릭] 체크리스트 열기 📋")</f>
        <v/>
      </c>
      <c r="Y39" s="57" t="inlineStr"/>
      <c r="Z39" s="57" t="inlineStr"/>
      <c r="AA39" s="57" t="inlineStr"/>
      <c r="AB39" s="57" t="inlineStr"/>
    </row>
    <row r="40" ht="42" customHeight="1">
      <c r="A40" s="56" t="inlineStr">
        <is>
          <t>P+10</t>
        </is>
      </c>
      <c r="B40" s="56" t="inlineStr">
        <is>
          <t>2000-1-38</t>
        </is>
      </c>
      <c r="C40" s="56" t="inlineStr">
        <is>
          <t>Level 4</t>
        </is>
      </c>
      <c r="D40" s="56" t="inlineStr">
        <is>
          <t>사전토공</t>
        </is>
      </c>
      <c r="E40" s="56" t="inlineStr">
        <is>
          <t>지장물이설</t>
        </is>
      </c>
      <c r="F40" s="57" t="inlineStr">
        <is>
          <t>공사전 선행공종에서 인수받을 사항</t>
        </is>
      </c>
      <c r="G40" s="56" t="inlineStr">
        <is>
          <t>현장 공사팀</t>
        </is>
      </c>
      <c r="H40" s="57" t="inlineStr">
        <is>
          <t>공사전 선행공종에서 인수받을 사항 관련 설계도서 대조 및 현장 실치 오차 사전 검증</t>
        </is>
      </c>
      <c r="I40" s="57" t="inlineStr">
        <is>
          <t>공사/공무/유관기관/전문업체 합동 현장 조사 및 안전 공법 적용</t>
        </is>
      </c>
      <c r="J40" s="57" t="inlineStr">
        <is>
          <t>공사전 선행공종에서 인수받을 사항 검측보고서, 사진대지 및 관리기관 승인서</t>
        </is>
      </c>
      <c r="K40" s="56" t="inlineStr">
        <is>
          <t>-</t>
        </is>
      </c>
      <c r="L40" s="56" t="inlineStr">
        <is>
          <t>-</t>
        </is>
      </c>
      <c r="M40" s="56" t="inlineStr">
        <is>
          <t>-</t>
        </is>
      </c>
      <c r="N40" s="56" t="inlineStr">
        <is>
          <t>X</t>
        </is>
      </c>
      <c r="O40" s="56" t="inlineStr">
        <is>
          <t>X</t>
        </is>
      </c>
      <c r="P40" s="56" t="inlineStr">
        <is>
          <t>X</t>
        </is>
      </c>
      <c r="Q40" s="56" t="inlineStr">
        <is>
          <t>X</t>
        </is>
      </c>
      <c r="R40" s="56" t="inlineStr">
        <is>
          <t>X</t>
        </is>
      </c>
      <c r="S40" s="57" t="inlineStr">
        <is>
          <t>1) 설계 단계 지장물 현황도 및 기존 GPR 탐사 성과표 인수인계
2) 선행 인허가 실치 조건 및 지자체 협의록 100% 인수</t>
        </is>
      </c>
      <c r="T40" s="58">
        <f>HYPERLINK(".\매뉴얼BODY(집행단계-첨부폴더)\지장물이설\38_공사전 선행공종에서 인수받을 사항\표준서\공사전 선행공종에서 인수받을 사항_표준서.html", "👉 [더블클릭] 표준서 열기 📄")</f>
        <v/>
      </c>
      <c r="U40" s="57" t="inlineStr">
        <is>
          <t>1) 선행 공종 담당자와 지장물 인수 인계서 작성 및 서명
2) 현장 경계 측량 기준점 및 현황 사진대지 인수</t>
        </is>
      </c>
      <c r="V40" s="58">
        <f>HYPERLINK(".\매뉴얼BODY(집행단계-첨부폴더)\지장물이설\38_공사전 선행공종에서 인수받을 사항\수행지침\공사전 선행공종에서 인수받을 사항_수행지침.html", "👉 [더블클릭] 수행지침 열기 📘")</f>
        <v/>
      </c>
      <c r="W40" s="57" t="inlineStr">
        <is>
          <t>1) 선행 공종 지장물 인계인수서 및 서명부를 확인했는가?
2) GPR 데이터 및 선행 인허가 서류 구비 여부를 점검했는가?</t>
        </is>
      </c>
      <c r="X40" s="58">
        <f>HYPERLINK(".\매뉴얼BODY(집행단계-첨부폴더)\지장물이설\38_공사전 선행공종에서 인수받을 사항\체크리스트\공사전 선행공종에서 인수받을 사항_체크리스트.html", "👉 [더블클릭] 체크리스트 열기 📋")</f>
        <v/>
      </c>
      <c r="Y40" s="57" t="inlineStr"/>
      <c r="Z40" s="57" t="inlineStr"/>
      <c r="AA40" s="57" t="inlineStr"/>
      <c r="AB40" s="57" t="inlineStr"/>
    </row>
    <row r="41" ht="42" customHeight="1">
      <c r="A41" s="56" t="inlineStr">
        <is>
          <t>P+10</t>
        </is>
      </c>
      <c r="B41" s="56" t="inlineStr">
        <is>
          <t>2000-1-39</t>
        </is>
      </c>
      <c r="C41" s="56" t="inlineStr">
        <is>
          <t>Level 4</t>
        </is>
      </c>
      <c r="D41" s="56" t="inlineStr">
        <is>
          <t>사전토공</t>
        </is>
      </c>
      <c r="E41" s="56" t="inlineStr">
        <is>
          <t>지장물이설</t>
        </is>
      </c>
      <c r="F41" s="57" t="inlineStr">
        <is>
          <t>공사중 챙겨야할 후행공종의 요구사항</t>
        </is>
      </c>
      <c r="G41" s="56" t="inlineStr">
        <is>
          <t>현장 공사팀</t>
        </is>
      </c>
      <c r="H41" s="57" t="inlineStr">
        <is>
          <t>공사중 챙겨야할 후행공종의 요구사항 관련 설계도서 대조 및 현장 실치 오차 사전 검증</t>
        </is>
      </c>
      <c r="I41" s="57" t="inlineStr">
        <is>
          <t>공사/공무/유관기관/전문업체 합동 현장 조사 및 안전 공법 적용</t>
        </is>
      </c>
      <c r="J41" s="57" t="inlineStr">
        <is>
          <t>공사중 챙겨야할 후행공종의 요구사항 검측보고서, 사진대지 및 관리기관 승인서</t>
        </is>
      </c>
      <c r="K41" s="56" t="inlineStr">
        <is>
          <t>-</t>
        </is>
      </c>
      <c r="L41" s="56" t="inlineStr">
        <is>
          <t>-</t>
        </is>
      </c>
      <c r="M41" s="56" t="inlineStr">
        <is>
          <t>-</t>
        </is>
      </c>
      <c r="N41" s="56" t="inlineStr">
        <is>
          <t>X</t>
        </is>
      </c>
      <c r="O41" s="56" t="inlineStr">
        <is>
          <t>X</t>
        </is>
      </c>
      <c r="P41" s="56" t="inlineStr">
        <is>
          <t>X</t>
        </is>
      </c>
      <c r="Q41" s="56" t="inlineStr">
        <is>
          <t>X</t>
        </is>
      </c>
      <c r="R41" s="56" t="inlineStr">
        <is>
          <t>X</t>
        </is>
      </c>
      <c r="S41" s="57" t="inlineStr">
        <is>
          <t>1) 후행 노반 및 트램 궤도 시공을 위한 매설관 최소 심도/이격거리(1.5m) 준수
2) 궤도 콘크리트 타설 구간 횡단 관로 보호 슬리브(Sleeve) 시공 준수</t>
        </is>
      </c>
      <c r="T41" s="58">
        <f>HYPERLINK(".\매뉴얼BODY(집행단계-첨부폴더)\지장물이설\39_공사중 챙겨야할 후행공종의 요구사항\표준서\공사중 챙겨야할 후행공종의 요구사항_표준서.html", "👉 [더블클릭] 표준서 열기 📄")</f>
        <v/>
      </c>
      <c r="U41" s="57" t="inlineStr">
        <is>
          <t>1) 후행 궤도/전기/신호 팀과 지하관로 횡단 지점 사전 협의
2) 강화노반 다짐 시 지장관 충격 방지 보호공 시공</t>
        </is>
      </c>
      <c r="V41" s="58">
        <f>HYPERLINK(".\매뉴얼BODY(집행단계-첨부폴더)\지장물이설\39_공사중 챙겨야할 후행공종의 요구사항\수행지침\공사중 챙겨야할 후행공종의 요구사항_수행지침.html", "👉 [더블클릭] 수행지침 열기 📘")</f>
        <v/>
      </c>
      <c r="W41" s="57" t="inlineStr">
        <is>
          <t>1) 후행 궤도팀 협의록 및 횡단관 보호 슬리브 시공을 확인했는가?
2) 강화노반 다짐 수치(K30 110 MN/m³ 이상) 지장관 안전성을 검측했는가?</t>
        </is>
      </c>
      <c r="X41" s="58">
        <f>HYPERLINK(".\매뉴얼BODY(집행단계-첨부폴더)\지장물이설\39_공사중 챙겨야할 후행공종의 요구사항\체크리스트\공사중 챙겨야할 후행공종의 요구사항_체크리스트.html", "👉 [더블클릭] 체크리스트 열기 📋")</f>
        <v/>
      </c>
      <c r="Y41" s="57" t="inlineStr"/>
      <c r="Z41" s="57" t="inlineStr"/>
      <c r="AA41" s="57" t="inlineStr"/>
      <c r="AB41" s="57" t="inlineStr"/>
    </row>
  </sheetData>
  <mergeCells count="2">
    <mergeCell ref="N1:R1"/>
    <mergeCell ref="K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7"/>
  <sheetViews>
    <sheetView view="pageBreakPreview" topLeftCell="C1" zoomScale="40" zoomScaleNormal="55" zoomScaleSheetLayoutView="40" workbookViewId="0">
      <selection activeCell="M2" sqref="M2"/>
    </sheetView>
  </sheetViews>
  <sheetFormatPr baseColWidth="8" defaultRowHeight="19.2"/>
  <cols>
    <col width="8.796875" customWidth="1" style="4" min="1" max="2"/>
    <col width="17.09765625" customWidth="1" style="5" min="3" max="3"/>
    <col width="16" customWidth="1" style="5" min="4" max="4"/>
    <col width="40.59765625" customWidth="1" style="6" min="5" max="5"/>
    <col width="26.09765625" customWidth="1" style="5" min="6" max="6"/>
    <col width="38.3984375" customWidth="1" style="5" min="7" max="7"/>
    <col width="51.59765625" customWidth="1" style="4" min="8" max="8"/>
    <col width="60.796875" customWidth="1" style="5" min="9" max="9"/>
    <col width="24" customWidth="1" style="4" min="10" max="10"/>
    <col width="45" customWidth="1" style="4" min="11" max="11"/>
    <col width="14.3984375" customWidth="1" style="4" min="12" max="12"/>
    <col width="45" customWidth="1" style="4" min="13" max="13"/>
    <col width="15.5" customWidth="1" style="4" min="14" max="14"/>
    <col width="45" customWidth="1" style="4" min="15" max="15"/>
    <col width="8.19921875" customWidth="1" style="4" min="16" max="16"/>
    <col width="31.796875" customWidth="1" style="4" min="17" max="17"/>
    <col width="45" customWidth="1" style="4" min="18" max="18"/>
    <col width="22" customWidth="1" style="30" min="19" max="19"/>
    <col width="45" customWidth="1" style="4" min="20" max="35"/>
    <col width="8.796875" customWidth="1" style="4" min="36" max="41"/>
    <col width="8.796875" customWidth="1" style="4" min="42" max="16384"/>
  </cols>
  <sheetData>
    <row r="1" ht="76.8" customFormat="1" customHeight="1" s="5">
      <c r="A1" s="21" t="inlineStr">
        <is>
          <t>L2 코드</t>
        </is>
      </c>
      <c r="B1" s="21" t="inlineStr">
        <is>
          <t>L3 코드</t>
        </is>
      </c>
      <c r="C1" s="21" t="inlineStr">
        <is>
          <t>L3 대공종명</t>
        </is>
      </c>
      <c r="D1" s="21" t="inlineStr">
        <is>
          <t>L4 코드</t>
        </is>
      </c>
      <c r="E1" s="21" t="inlineStr">
        <is>
          <t>일정 (D-Day)</t>
        </is>
      </c>
      <c r="F1" s="21" t="inlineStr">
        <is>
          <t>작업단위 (Level 4 Task/Activity)</t>
        </is>
      </c>
      <c r="G1" s="21" t="inlineStr">
        <is>
          <t>주관</t>
        </is>
      </c>
      <c r="H1" s="21" t="inlineStr">
        <is>
          <t>목적</t>
        </is>
      </c>
      <c r="I1" s="21" t="inlineStr">
        <is>
          <t>방법</t>
        </is>
      </c>
      <c r="J1" s="21" t="inlineStr">
        <is>
          <t>산출물(결과)</t>
        </is>
      </c>
      <c r="K1" s="21" t="inlineStr">
        <is>
          <t>표준서 (Standard) 요약</t>
        </is>
      </c>
      <c r="L1" s="22" t="inlineStr">
        <is>
          <t>표준서 파일 (HTML)</t>
        </is>
      </c>
      <c r="M1" s="21" t="inlineStr">
        <is>
          <t>수행지침 (Guideline) 요약</t>
        </is>
      </c>
      <c r="N1" s="22" t="inlineStr">
        <is>
          <t>수행지침 파일 (HTML)</t>
        </is>
      </c>
      <c r="O1" s="21" t="inlineStr">
        <is>
          <t>체크리스트 (Checklist) 요약</t>
        </is>
      </c>
      <c r="P1" s="22" t="inlineStr">
        <is>
          <t>체크리스트 파일 (HTML)</t>
        </is>
      </c>
      <c r="Q1" s="21" t="inlineStr">
        <is>
          <t xml:space="preserve"> 비고</t>
        </is>
      </c>
      <c r="R1" s="23" t="inlineStr">
        <is>
          <t>첨부서류 연계 상세 설계기준</t>
        </is>
      </c>
      <c r="S1" s="23" t="inlineStr">
        <is>
          <t>집행단계 리스크 체크리스트</t>
        </is>
      </c>
      <c r="T1" s="23" t="inlineStr">
        <is>
          <t>협력사 시공/공사관리 자문</t>
        </is>
      </c>
    </row>
    <row r="2" ht="118.8" customHeight="1">
      <c r="A2" s="24" t="inlineStr">
        <is>
          <t>9000</t>
        </is>
      </c>
      <c r="B2" s="24" t="inlineStr">
        <is>
          <t>9000-7</t>
        </is>
      </c>
      <c r="C2" s="26" t="inlineStr">
        <is>
          <t>상부강화노반</t>
        </is>
      </c>
      <c r="D2" s="24" t="inlineStr">
        <is>
          <t>9000-7-1</t>
        </is>
      </c>
      <c r="E2" s="24" t="inlineStr">
        <is>
          <t>D-100</t>
        </is>
      </c>
      <c r="F2" s="26" t="inlineStr">
        <is>
          <t>지반조사 상세검토</t>
        </is>
      </c>
      <c r="G2" s="24" t="inlineStr">
        <is>
          <t>현장 공사팀</t>
        </is>
      </c>
      <c r="H2" s="25" t="inlineStr">
        <is>
          <t>확인시추를 통해 설계지반과 현장지반을 비교하여 반영여부 및 공법 적정성 검토 / 비탈면 설계안정성 검토</t>
        </is>
      </c>
      <c r="I2" s="25" t="inlineStr">
        <is>
          <t>지반조사보고서 및 확인시추 결과보고서 비교 검토</t>
        </is>
      </c>
      <c r="J2" s="25" t="inlineStr">
        <is>
          <t>지반조사 상세검토보고서</t>
        </is>
      </c>
      <c r="K2" s="25" t="inlineStr">
        <is>
          <t>1) 노반 반력계수 (Subgrade Modulus): K30 ≥ 110 MN/m³ (평판재하시험)
2) 변형계수 (Strain Modulus): Ev2 ≥ 120 MPa, 변형비 Ev2/Ev1 ≤ 2.2</t>
        </is>
      </c>
      <c r="L2" s="27" t="inlineStr">
        <is>
          <t>👉 [더블클릭] 표준서 열기 📄</t>
        </is>
      </c>
      <c r="M2" s="25" t="inlineStr">
        <is>
          <t>1) 기존 지반조사 보고서, 시추주상도, 단면도 및 토질시험 성과표 수집 및 현장 지질 확인시추 위치 측량을 실시한다.
2) GRS80 세계측지계 좌표 및 TBM 가수준점 확인, 중심선 오차 ≤ ±10mm 검증을 완료한다.</t>
        </is>
      </c>
      <c r="N2" s="27" t="inlineStr">
        <is>
          <t>👉 [더블클릭] 수행지침 열기 📄</t>
        </is>
      </c>
      <c r="O2" s="25" t="inlineStr">
        <is>
          <t>1) 강화노반 반력계수 K30 ≥ 110 MN/m³ (PBT 시험) 적격 여부를 확인하였는가?
2) 변형계수 Ev2 ≥ 120 MPa 및 변형비 Ev2/Ev1 ≤ 2.2 시방 기준 만족 여부를 확인하였는가?</t>
        </is>
      </c>
      <c r="P2" s="27" t="inlineStr">
        <is>
          <t>👉 [더블클릭] 체크리스트 열기 📄</t>
        </is>
      </c>
      <c r="Q2" s="24" t="n"/>
      <c r="R2" s="28" t="inlineStr">
        <is>
          <t>● 설계 지반 정수 및 지층 상태 적합성 검토</t>
        </is>
      </c>
      <c r="S2" s="29" t="inlineStr">
        <is>
          <t>1) 👉 [더블클릭] 체크리스트 열기 📄</t>
        </is>
      </c>
      <c r="T2" s="15" t="n"/>
    </row>
    <row r="3" ht="166.2" customHeight="1">
      <c r="A3" s="24" t="inlineStr">
        <is>
          <t>9000</t>
        </is>
      </c>
      <c r="B3" s="24" t="inlineStr">
        <is>
          <t>9000-7</t>
        </is>
      </c>
      <c r="C3" s="26" t="inlineStr">
        <is>
          <t>상부강화노반</t>
        </is>
      </c>
      <c r="D3" s="24" t="inlineStr">
        <is>
          <t>9000-7-2</t>
        </is>
      </c>
      <c r="E3" s="24" t="inlineStr">
        <is>
          <t>D-70</t>
        </is>
      </c>
      <c r="F3" s="26" t="inlineStr">
        <is>
          <t>발주전략 KOM</t>
        </is>
      </c>
      <c r="G3" s="24" t="inlineStr">
        <is>
          <t>현장소장</t>
        </is>
      </c>
      <c r="H3" s="25" t="inlineStr">
        <is>
          <t>상부 노반/강화 노반 공사 발주전략 수립</t>
        </is>
      </c>
      <c r="I3" s="25" t="inlineStr">
        <is>
          <t>- 기시공 B/P 적정성 검토
- 현설조건 검토 (1. 스마트 차량장비 반영, 2. 토지보상/지장물 관리 Scope)
- 공법 및 공기 검토
- 예산 적정성 검토
- 지원: 외주관리팀, 토목수행팀, 토목국내견적팀, 컴플라이언스RM팀, 토목사업지원팀</t>
        </is>
      </c>
      <c r="J3" s="25" t="inlineStr">
        <is>
          <t>KOM 검토결과서, 현설서(하자방지 특기조건 포함)</t>
        </is>
      </c>
      <c r="K3" s="25" t="inlineStr">
        <is>
          <t>1) 노반 반력계수 (Subgrade Modulus): K30 ≥ 110 MN/m³ (평판재하시험)
2) 변형계수 (Strain Modulus): Ev2 ≥ 120 MPa, 변형비 Ev2/Ev1 ≤ 2.2</t>
        </is>
      </c>
      <c r="L3" s="27" t="inlineStr">
        <is>
          <t>👉 [더블클릭] 표준서 열기 📄</t>
        </is>
      </c>
      <c r="M3" s="25" t="inlineStr">
        <is>
          <t>1) GRS80 세계측지계 좌표 및 TBM 가수준점 확인, 중심선 오차 ≤ ±10mm 검증을 완료한다.
2) 시험시공(Trial Compaction)을 시행하여 다짐 장비 조합(10t+ 진동롤러, 15t+ 타이어롤러) 및 Pass 수(6~8회)를 확정한다.</t>
        </is>
      </c>
      <c r="N3" s="27" t="inlineStr">
        <is>
          <t>👉 [더블클릭] 수행지침 열기 📄</t>
        </is>
      </c>
      <c r="O3" s="25" t="inlineStr">
        <is>
          <t>1) 강화노반 반력계수 K30 ≥ 110 MN/m³ (PBT 시험) 적격 여부를 확인하였는가?
2) 변형계수 Ev2 ≥ 120 MPa 및 변형비 Ev2/Ev1 ≤ 2.2 시방 기준 만족 여부를 확인하였는가?</t>
        </is>
      </c>
      <c r="P3" s="27" t="inlineStr">
        <is>
          <t>👉 [더블클릭] 체크리스트 열기 📄</t>
        </is>
      </c>
      <c r="Q3" s="24" t="n"/>
      <c r="R3" s="28" t="inlineStr">
        <is>
          <t>● 본사 유관부서 발주 조달 기준 만족</t>
        </is>
      </c>
      <c r="S3" s="29" t="inlineStr">
        <is>
          <t>1) 👉 [더블클릭] 체크리스트 열기 📄</t>
        </is>
      </c>
      <c r="T3" s="15" t="n"/>
    </row>
    <row r="4" ht="96" customHeight="1">
      <c r="A4" s="24" t="inlineStr">
        <is>
          <t>9000</t>
        </is>
      </c>
      <c r="B4" s="24" t="inlineStr">
        <is>
          <t>9000-7</t>
        </is>
      </c>
      <c r="C4" s="26" t="inlineStr">
        <is>
          <t>상부강화노반</t>
        </is>
      </c>
      <c r="D4" s="24" t="inlineStr">
        <is>
          <t>9000-7-3</t>
        </is>
      </c>
      <c r="E4" s="24" t="inlineStr">
        <is>
          <t>D-60 (D-70~D-60)</t>
        </is>
      </c>
      <c r="F4" s="26" t="inlineStr">
        <is>
          <t>철도보호지구에서의 행위신고(필요시)</t>
        </is>
      </c>
      <c r="G4" s="24" t="inlineStr">
        <is>
          <t>현장 공사팀</t>
        </is>
      </c>
      <c r="H4" s="25" t="inlineStr">
        <is>
          <t>철도 경계선(기본철도 등) 30M 이내의 지역에서 공사 행위를 위해 국토부장관에 신고 (철도안전법 제45조)</t>
        </is>
      </c>
      <c r="I4" s="25" t="inlineStr">
        <is>
          <t>철도보호지구에서의 행위신고서 작성하여 관계부서 승인 요청</t>
        </is>
      </c>
      <c r="J4" s="25" t="inlineStr">
        <is>
          <t>철도보호지구 행위신고 승인 공문</t>
        </is>
      </c>
      <c r="K4" s="25" t="inlineStr">
        <is>
          <t>1) 노반 반력계수 (Subgrade Modulus): K30 ≥ 110 MN/m³ (평판재하시험)
2) 변형계수 (Strain Modulus): Ev2 ≥ 120 MPa, 변형비 Ev2/Ev1 ≤ 2.2</t>
        </is>
      </c>
      <c r="L4" s="27" t="inlineStr">
        <is>
          <t>👉 [더블클릭] 표준서 열기 📄</t>
        </is>
      </c>
      <c r="M4" s="25" t="inlineStr">
        <is>
          <t>1) GRS80 세계측지계 좌표 및 TBM 가수준점 확인, 중심선 오차 ≤ ±10mm 검증을 완료한다.
2) 시험시공(Trial Compaction)을 시행하여 다짐 장비 조합(10t+ 진동롤러, 15t+ 타이어롤러) 및 Pass 수(6~8회)를 확정한다.</t>
        </is>
      </c>
      <c r="N4" s="27" t="inlineStr">
        <is>
          <t>👉 [더블클릭] 수행지침 열기 📄</t>
        </is>
      </c>
      <c r="O4" s="25" t="inlineStr">
        <is>
          <t>1) 강화노반 반력계수 K30 ≥ 110 MN/m³ (PBT 시험) 적격 여부를 확인하였는가?
2) 변형계수 Ev2 ≥ 120 MPa 및 변형비 Ev2/Ev1 ≤ 2.2 시방 기준 만족 여부를 확인하였는가?</t>
        </is>
      </c>
      <c r="P4" s="27" t="inlineStr">
        <is>
          <t>👉 [더블클릭] 체크리스트 열기 📄</t>
        </is>
      </c>
      <c r="Q4" s="24" t="n"/>
      <c r="R4" s="28" t="inlineStr">
        <is>
          <t>● 철도안전법 제45조</t>
        </is>
      </c>
      <c r="S4" s="29" t="inlineStr">
        <is>
          <t>1) 👉 [더블클릭] 체크리스트 열기 📄</t>
        </is>
      </c>
      <c r="T4" s="15" t="n"/>
    </row>
    <row r="5" ht="96" customHeight="1">
      <c r="A5" s="24" t="inlineStr">
        <is>
          <t>9000</t>
        </is>
      </c>
      <c r="B5" s="24" t="inlineStr">
        <is>
          <t>9000-7</t>
        </is>
      </c>
      <c r="C5" s="26" t="inlineStr">
        <is>
          <t>상부강화노반</t>
        </is>
      </c>
      <c r="D5" s="24" t="inlineStr">
        <is>
          <t>9000-7-4</t>
        </is>
      </c>
      <c r="E5" s="24" t="inlineStr">
        <is>
          <t>D-35 (D-60~D-35)</t>
        </is>
      </c>
      <c r="F5" s="26" t="inlineStr">
        <is>
          <t>착수전 측량 Data 확인</t>
        </is>
      </c>
      <c r="G5" s="24" t="inlineStr">
        <is>
          <t>현장 공사팀</t>
        </is>
      </c>
      <c r="H5" s="25" t="inlineStr">
        <is>
          <t>설계오류, 사전시공성 검토, 현장 기준점 측량좌표 확인</t>
        </is>
      </c>
      <c r="I5" s="25" t="inlineStr">
        <is>
          <t>설계오류 및 현장 기준점 측량좌표 분석</t>
        </is>
      </c>
      <c r="J5" s="25" t="inlineStr">
        <is>
          <t>헤드선행계산서, 측량성과보고서</t>
        </is>
      </c>
      <c r="K5" s="25" t="inlineStr">
        <is>
          <t>1) 노반 반력계수 (Subgrade Modulus): K30 ≥ 110 MN/m³ (평판재하시험)
2) 변형계수 (Strain Modulus): Ev2 ≥ 120 MPa, 변형비 Ev2/Ev1 ≤ 2.2</t>
        </is>
      </c>
      <c r="L5" s="27" t="inlineStr">
        <is>
          <t>👉 [더블클릭] 표준서 열기 📄</t>
        </is>
      </c>
      <c r="M5" s="25" t="inlineStr">
        <is>
          <t>1) 국토지리정보원 국가통합기준점 2개소 이상 확보 및 GPS 광파측량기 검교정 필증 확인을 시행한다.
2) GRS80 세계측지계 좌표 및 TBM 가수준점 확인, 중심선 오차 ≤ ±10mm 검증을 완료한다.</t>
        </is>
      </c>
      <c r="N5" s="27" t="inlineStr">
        <is>
          <t>👉 [더블클릭] 수행지침 열기 📄</t>
        </is>
      </c>
      <c r="O5" s="25" t="inlineStr">
        <is>
          <t>1) 강화노반 반력계수 K30 ≥ 110 MN/m³ (PBT 시험) 적격 여부를 확인하였는가?
2) 변형계수 Ev2 ≥ 120 MPa 및 변형비 Ev2/Ev1 ≤ 2.2 시방 기준 만족 여부를 확인하였는가?</t>
        </is>
      </c>
      <c r="P5" s="27" t="inlineStr">
        <is>
          <t>👉 [더블클릭] 체크리스트 열기 📄</t>
        </is>
      </c>
      <c r="Q5" s="24" t="n"/>
      <c r="R5" s="28" t="inlineStr">
        <is>
          <t>● 시공측량 기준 공차 만족</t>
        </is>
      </c>
      <c r="S5" s="29" t="inlineStr">
        <is>
          <t>1) 👉 [더블클릭] 체크리스트 열기 📄</t>
        </is>
      </c>
      <c r="T5" s="15" t="n"/>
    </row>
    <row r="6" ht="96" customHeight="1">
      <c r="A6" s="24" t="inlineStr">
        <is>
          <t>9000</t>
        </is>
      </c>
      <c r="B6" s="24" t="inlineStr">
        <is>
          <t>9000-7</t>
        </is>
      </c>
      <c r="C6" s="26" t="inlineStr">
        <is>
          <t>상부강화노반</t>
        </is>
      </c>
      <c r="D6" s="24" t="inlineStr">
        <is>
          <t>9000-7-5</t>
        </is>
      </c>
      <c r="E6" s="24" t="inlineStr">
        <is>
          <t>D-40 (D-60~D-40)</t>
        </is>
      </c>
      <c r="F6" s="26" t="inlineStr">
        <is>
          <t>지장물이설 협의</t>
        </is>
      </c>
      <c r="G6" s="24" t="inlineStr">
        <is>
          <t>현장 공사팀</t>
        </is>
      </c>
      <c r="H6" s="25" t="inlineStr">
        <is>
          <t>지장물로 인한 공정지연 예방</t>
        </is>
      </c>
      <c r="I6" s="25" t="inlineStr">
        <is>
          <t>지장물 종류 및 이설주체 확인하여 이설협의 시행</t>
        </is>
      </c>
      <c r="J6" s="25" t="inlineStr">
        <is>
          <t>지장물이설 협의 공문 및 회의록</t>
        </is>
      </c>
      <c r="K6" s="25" t="inlineStr">
        <is>
          <t>1) 노반 반력계수 (Subgrade Modulus): K30 ≥ 110 MN/m³ (평판재하시험)
2) 변형계수 (Strain Modulus): Ev2 ≥ 120 MPa, 변형비 Ev2/Ev1 ≤ 2.2</t>
        </is>
      </c>
      <c r="L6" s="27" t="inlineStr">
        <is>
          <t>👉 [더블클릭] 표준서 열기 📄</t>
        </is>
      </c>
      <c r="M6" s="25" t="inlineStr">
        <is>
          <t>1) GRS80 세계측지계 좌표 및 TBM 가수준점 확인, 중심선 오차 ≤ ±10mm 검증을 완료한다.
2) 시험시공(Trial Compaction)을 시행하여 다짐 장비 조합(10t+ 진동롤러, 15t+ 타이어롤러) 및 Pass 수(6~8회)를 확정한다.</t>
        </is>
      </c>
      <c r="N6" s="27" t="inlineStr">
        <is>
          <t>👉 [더블클릭] 수행지침 열기 📄</t>
        </is>
      </c>
      <c r="O6" s="25" t="inlineStr">
        <is>
          <t>1) 강화노반 반력계수 K30 ≥ 110 MN/m³ (PBT 시험) 적격 여부를 확인하였는가?
2) 변형계수 Ev2 ≥ 120 MPa 및 변형비 Ev2/Ev1 ≤ 2.2 시방 기준 만족 여부를 확인하였는가?</t>
        </is>
      </c>
      <c r="P6" s="27" t="inlineStr">
        <is>
          <t>👉 [더블클릭] 체크리스트 열기 📄</t>
        </is>
      </c>
      <c r="Q6" s="24" t="n"/>
      <c r="R6" s="28" t="inlineStr">
        <is>
          <t>● 지장물 이설 관련 인허가 요건</t>
        </is>
      </c>
      <c r="S6" s="29" t="inlineStr">
        <is>
          <t>1) 👉 [더블클릭] 체크리스트 열기 📄</t>
        </is>
      </c>
      <c r="T6" s="15" t="n"/>
    </row>
    <row r="7" ht="96" customHeight="1">
      <c r="A7" s="24" t="inlineStr">
        <is>
          <t>9000</t>
        </is>
      </c>
      <c r="B7" s="24" t="inlineStr">
        <is>
          <t>9000-7</t>
        </is>
      </c>
      <c r="C7" s="26" t="inlineStr">
        <is>
          <t>상부강화노반</t>
        </is>
      </c>
      <c r="D7" s="24" t="inlineStr">
        <is>
          <t>9000-7-6</t>
        </is>
      </c>
      <c r="E7" s="24" t="inlineStr">
        <is>
          <t>D-40 (D-60~D-40)</t>
        </is>
      </c>
      <c r="F7" s="26" t="inlineStr">
        <is>
          <t>용지보상RISK 검토</t>
        </is>
      </c>
      <c r="G7" s="24" t="inlineStr">
        <is>
          <t>현장 공사팀</t>
        </is>
      </c>
      <c r="H7" s="25" t="inlineStr">
        <is>
          <t>용지보상 지연에 따른 공정지연 예방</t>
        </is>
      </c>
      <c r="I7" s="25" t="inlineStr">
        <is>
          <t>발주처에 용지보상 현황 파악 및 공정 영향 검토</t>
        </is>
      </c>
      <c r="J7" s="25" t="inlineStr">
        <is>
          <t>용지보상현황 자료</t>
        </is>
      </c>
      <c r="K7" s="25" t="inlineStr">
        <is>
          <t>1) 노반 반력계수 (Subgrade Modulus): K30 ≥ 110 MN/m³ (평판재하시험)
2) 변형계수 (Strain Modulus): Ev2 ≥ 120 MPa, 변형비 Ev2/Ev1 ≤ 2.2</t>
        </is>
      </c>
      <c r="L7" s="27" t="inlineStr">
        <is>
          <t>👉 [더블클릭] 표준서 열기 📄</t>
        </is>
      </c>
      <c r="M7" s="25" t="inlineStr">
        <is>
          <t>1) 지적도 및 토지이용계획확인원 대조, 필지별 보상 수용 진행율 데이터베이스 구축을 시행한다.
2) GRS80 세계측지계 좌표 및 TBM 가수준점 확인, 중심선 오차 ≤ ±10mm 검증을 완료한다.</t>
        </is>
      </c>
      <c r="N7" s="27" t="inlineStr">
        <is>
          <t>👉 [더블클릭] 수행지침 열기 📄</t>
        </is>
      </c>
      <c r="O7" s="25" t="inlineStr">
        <is>
          <t>1) 강화노반 반력계수 K30 ≥ 110 MN/m³ (PBT 시험) 적격 여부를 확인하였는가?
2) 변형계수 Ev2 ≥ 120 MPa 및 변형비 Ev2/Ev1 ≤ 2.2 시방 기준 만족 여부를 확인하였는가?</t>
        </is>
      </c>
      <c r="P7" s="27" t="inlineStr">
        <is>
          <t>👉 [더블클릭] 체크리스트 열기 📄</t>
        </is>
      </c>
      <c r="Q7" s="24" t="n"/>
      <c r="R7" s="28" t="inlineStr">
        <is>
          <t>● 공정 지연 리스크 평가 기준</t>
        </is>
      </c>
      <c r="S7" s="29" t="inlineStr">
        <is>
          <t>1) 👉 [더블클릭] 체크리스트 열기 📄</t>
        </is>
      </c>
      <c r="T7" s="15" t="n"/>
    </row>
    <row r="8" ht="96" customHeight="1">
      <c r="A8" s="24" t="inlineStr">
        <is>
          <t>9000</t>
        </is>
      </c>
      <c r="B8" s="24" t="inlineStr">
        <is>
          <t>9000-7</t>
        </is>
      </c>
      <c r="C8" s="26" t="inlineStr">
        <is>
          <t>상부강화노반</t>
        </is>
      </c>
      <c r="D8" s="24" t="inlineStr">
        <is>
          <t>9000-7-7</t>
        </is>
      </c>
      <c r="E8" s="24" t="inlineStr">
        <is>
          <t>D-50 (D-60~D-50)</t>
        </is>
      </c>
      <c r="F8" s="26" t="inlineStr">
        <is>
          <t>최고의 팀 만들기 지원</t>
        </is>
      </c>
      <c r="G8" s="24" t="inlineStr">
        <is>
          <t>외주관리팀</t>
        </is>
      </c>
      <c r="H8" s="25" t="inlineStr">
        <is>
          <t>투입가능한 최고의 협력업체/작업반 선정</t>
        </is>
      </c>
      <c r="I8" s="25" t="inlineStr">
        <is>
          <t>관리 Pool 등 투입가능 협력업체/작업반 검토</t>
        </is>
      </c>
      <c r="J8" s="25" t="inlineStr">
        <is>
          <t>우수 업체/작업반 입찰참여</t>
        </is>
      </c>
      <c r="K8" s="25" t="inlineStr">
        <is>
          <t>1) 노반 반력계수 (Subgrade Modulus): K30 ≥ 110 MN/m³ (평판재하시험)
2) 변형계수 (Strain Modulus): Ev2 ≥ 120 MPa, 변형비 Ev2/Ev1 ≤ 2.2</t>
        </is>
      </c>
      <c r="L8" s="27" t="inlineStr">
        <is>
          <t>👉 [더블클릭] 표준서 열기 📄</t>
        </is>
      </c>
      <c r="M8" s="25" t="inlineStr">
        <is>
          <t>1) 협력사 평가 항목표 수립(시공능력, 기술력, 안전보건체계, 재무건전성)을 진행한다.
2) GRS80 세계측지계 좌표 및 TBM 가수준점 확인, 중심선 오차 ≤ ±10mm 검증을 완료한다.</t>
        </is>
      </c>
      <c r="N8" s="27" t="inlineStr">
        <is>
          <t>👉 [더블클릭] 수행지침 열기 📄</t>
        </is>
      </c>
      <c r="O8" s="25" t="inlineStr">
        <is>
          <t>1) 강화노반 반력계수 K30 ≥ 110 MN/m³ (PBT 시험) 적격 여부를 확인하였는가?
2) 변형계수 Ev2 ≥ 120 MPa 및 변형비 Ev2/Ev1 ≤ 2.2 시방 기준 만족 여부를 확인하였는가?</t>
        </is>
      </c>
      <c r="P8" s="27" t="inlineStr">
        <is>
          <t>👉 [더블클릭] 체크리스트 열기 📄</t>
        </is>
      </c>
      <c r="Q8" s="24" t="n"/>
      <c r="R8" s="28" t="inlineStr">
        <is>
          <t>● 협력사 검증 및 풀(Pool) 운영 기준</t>
        </is>
      </c>
      <c r="S8" s="29" t="inlineStr">
        <is>
          <t>1) 👉 [더블클릭] 체크리스트 열기 📄</t>
        </is>
      </c>
      <c r="T8" s="15" t="n"/>
    </row>
    <row r="9" ht="96" customHeight="1">
      <c r="A9" s="24" t="inlineStr">
        <is>
          <t>9000</t>
        </is>
      </c>
      <c r="B9" s="24" t="inlineStr">
        <is>
          <t>9000-7</t>
        </is>
      </c>
      <c r="C9" s="26" t="inlineStr">
        <is>
          <t>상부강화노반</t>
        </is>
      </c>
      <c r="D9" s="24" t="inlineStr">
        <is>
          <t>9000-7-8</t>
        </is>
      </c>
      <c r="E9" s="24" t="inlineStr">
        <is>
          <t>D-35 (D-60~D-40)</t>
        </is>
      </c>
      <c r="F9" s="26" t="inlineStr">
        <is>
          <t>연약지반 처리공법 검토(필요시)</t>
        </is>
      </c>
      <c r="G9" s="24" t="inlineStr">
        <is>
          <t>현장 공사/설계팀</t>
        </is>
      </c>
      <c r="H9" s="25" t="inlineStr">
        <is>
          <t>쌓기부 기초지반이 연약하여 지지력이 부족하거나, 과다한 침하 발생을 사전에 예방</t>
        </is>
      </c>
      <c r="I9" s="25" t="inlineStr">
        <is>
          <t>연약지반 개량 공법 선정 검토</t>
        </is>
      </c>
      <c r="J9" s="25" t="inlineStr">
        <is>
          <t>시공계획 수립시 반영</t>
        </is>
      </c>
      <c r="K9" s="25" t="inlineStr">
        <is>
          <t>1) 노반 반력계수 (Subgrade Modulus): K30 ≥ 110 MN/m³ (평판재하시험)
2) 변형계수 (Strain Modulus): Ev2 ≥ 120 MPa, 변형비 Ev2/Ev1 ≤ 2.2</t>
        </is>
      </c>
      <c r="L9" s="27" t="inlineStr">
        <is>
          <t>👉 [더블클릭] 표준서 열기 📄</t>
        </is>
      </c>
      <c r="M9" s="25" t="inlineStr">
        <is>
          <t>1) GRS80 세계측지계 좌표 및 TBM 가수준점 확인, 중심선 오차 ≤ ±10mm 검증을 완료한다.
2) 시험시공(Trial Compaction)을 시행하여 다짐 장비 조합(10t+ 진동롤러, 15t+ 타이어롤러) 및 Pass 수(6~8회)를 확정한다.</t>
        </is>
      </c>
      <c r="N9" s="27" t="inlineStr">
        <is>
          <t>👉 [더블클릭] 수행지침 열기 📄</t>
        </is>
      </c>
      <c r="O9" s="25" t="inlineStr">
        <is>
          <t>1) 강화노반 반력계수 K30 ≥ 110 MN/m³ (PBT 시험) 적격 여부를 확인하였는가?
2) 변형계수 Ev2 ≥ 120 MPa 및 변형비 Ev2/Ev1 ≤ 2.2 시방 기준 만족 여부를 확인하였는가?</t>
        </is>
      </c>
      <c r="P9" s="27" t="inlineStr">
        <is>
          <t>👉 [더블클릭] 체크리스트 열기 📄</t>
        </is>
      </c>
      <c r="Q9" s="24" t="n"/>
      <c r="R9" s="28" t="inlineStr">
        <is>
          <t>● 지반 개량 기술 시방 만족</t>
        </is>
      </c>
      <c r="S9" s="29" t="inlineStr">
        <is>
          <t>1) 👉 [더블클릭] 체크리스트 열기 📄</t>
        </is>
      </c>
      <c r="T9" s="15" t="n"/>
    </row>
    <row r="10" ht="96" customHeight="1">
      <c r="A10" s="24" t="inlineStr">
        <is>
          <t>9000</t>
        </is>
      </c>
      <c r="B10" s="24" t="inlineStr">
        <is>
          <t>9000-7</t>
        </is>
      </c>
      <c r="C10" s="26" t="inlineStr">
        <is>
          <t>상부강화노반</t>
        </is>
      </c>
      <c r="D10" s="24" t="inlineStr">
        <is>
          <t>9000-7-9</t>
        </is>
      </c>
      <c r="E10" s="24" t="inlineStr">
        <is>
          <t>D-35 (D-45~D-35)</t>
        </is>
      </c>
      <c r="F10" s="26" t="inlineStr">
        <is>
          <t>토공 유동표 확인</t>
        </is>
      </c>
      <c r="G10" s="24" t="inlineStr">
        <is>
          <t>현장 공사팀</t>
        </is>
      </c>
      <c r="H10" s="25" t="inlineStr">
        <is>
          <t>운반거리에 따른 과업구간의 적합한 토공운반 장비, 장비투입 대수 사전 검토</t>
        </is>
      </c>
      <c r="I10" s="25" t="inlineStr">
        <is>
          <t>운반거리별 적정 토공 장비 조합 및 투입 대수 계산</t>
        </is>
      </c>
      <c r="J10" s="25" t="inlineStr">
        <is>
          <t>토공유동표, 공정계획표(P6)</t>
        </is>
      </c>
      <c r="K10" s="25" t="inlineStr">
        <is>
          <t>1) 노반 반력계수 (Subgrade Modulus): K30 ≥ 110 MN/m³ (평판재하시험)
2) 변형계수 (Strain Modulus): Ev2 ≥ 120 MPa, 변형비 Ev2/Ev1 ≤ 2.2</t>
        </is>
      </c>
      <c r="L10" s="27" t="inlineStr">
        <is>
          <t>👉 [더블클릭] 표준서 열기 📄</t>
        </is>
      </c>
      <c r="M10" s="25" t="inlineStr">
        <is>
          <t>1) GRS80 세계측지계 좌표 및 TBM 가수준점 확인, 중심선 오차 ≤ ±10mm 검증을 완료한다.
2) 시험시공(Trial Compaction)을 시행하여 다짐 장비 조합(10t+ 진동롤러, 15t+ 타이어롤러) 및 Pass 수(6~8회)를 확정한다.</t>
        </is>
      </c>
      <c r="N10" s="27" t="inlineStr">
        <is>
          <t>👉 [더블클릭] 수행지침 열기 📄</t>
        </is>
      </c>
      <c r="O10" s="25" t="inlineStr">
        <is>
          <t>1) 강화노반 반력계수 K30 ≥ 110 MN/m³ (PBT 시험) 적격 여부를 확인하였는가?
2) 변형계수 Ev2 ≥ 120 MPa 및 변형비 Ev2/Ev1 ≤ 2.2 시방 기준 만족 여부를 확인하였는가?</t>
        </is>
      </c>
      <c r="P10" s="27" t="inlineStr">
        <is>
          <t>👉 [더블클릭] 체크리스트 열기 📄</t>
        </is>
      </c>
      <c r="Q10" s="24" t="n"/>
      <c r="R10" s="28" t="inlineStr">
        <is>
          <t>● 건설기계 조합 선정 기준</t>
        </is>
      </c>
      <c r="S10" s="29" t="inlineStr">
        <is>
          <t>1) 👉 [더블클릭] 체크리스트 열기 📄</t>
        </is>
      </c>
      <c r="T10" s="15" t="n"/>
    </row>
    <row r="11" ht="96" customHeight="1">
      <c r="A11" s="24" t="inlineStr">
        <is>
          <t>9000</t>
        </is>
      </c>
      <c r="B11" s="24" t="inlineStr">
        <is>
          <t>9000-7</t>
        </is>
      </c>
      <c r="C11" s="26" t="inlineStr">
        <is>
          <t>상부강화노반</t>
        </is>
      </c>
      <c r="D11" s="24" t="inlineStr">
        <is>
          <t>9000-7-10</t>
        </is>
      </c>
      <c r="E11" s="24" t="inlineStr">
        <is>
          <t>D-30 (D-50~D-30)</t>
        </is>
      </c>
      <c r="F11" s="26" t="inlineStr">
        <is>
          <t>기공승낙 적정성 검토</t>
        </is>
      </c>
      <c r="G11" s="24" t="inlineStr">
        <is>
          <t>현장 공무/공사팀</t>
        </is>
      </c>
      <c r="H11" s="25" t="inlineStr">
        <is>
          <t>기공승낙을 통해 적기 착수방안 검토</t>
        </is>
      </c>
      <c r="I11" s="25" t="inlineStr">
        <is>
          <t>보상지연 토지주 공정계획 재검토, 재검토에 따른 기공승낙 용지 선정, 기공승낙 대상 토지주 면담/협의</t>
        </is>
      </c>
      <c r="J11" s="25" t="inlineStr">
        <is>
          <t>용지보상자료/기공승낙합의서</t>
        </is>
      </c>
      <c r="K11" s="25" t="inlineStr">
        <is>
          <t>1) 노반 반력계수 (Subgrade Modulus): K30 ≥ 110 MN/m³ (평판재하시험)
2) 변형계수 (Strain Modulus): Ev2 ≥ 120 MPa, 변형비 Ev2/Ev1 ≤ 2.2</t>
        </is>
      </c>
      <c r="L11" s="27" t="inlineStr">
        <is>
          <t>👉 [더블클릭] 표준서 열기 📄</t>
        </is>
      </c>
      <c r="M11" s="25" t="inlineStr">
        <is>
          <t>1) GRS80 세계측지계 좌표 및 TBM 가수준점 확인, 중심선 오차 ≤ ±10mm 검증을 완료한다.
2) 시험시공(Trial Compaction)을 시행하여 다짐 장비 조합(10t+ 진동롤러, 15t+ 타이어롤러) 및 Pass 수(6~8회)를 확정한다.</t>
        </is>
      </c>
      <c r="N11" s="27" t="inlineStr">
        <is>
          <t>👉 [더블클릭] 수행지침 열기 📄</t>
        </is>
      </c>
      <c r="O11" s="25" t="inlineStr">
        <is>
          <t>1) 강화노반 반력계수 K30 ≥ 110 MN/m³ (PBT 시험) 적격 여부를 확인하였는가?
2) 변형계수 Ev2 ≥ 120 MPa 및 변형비 Ev2/Ev1 ≤ 2.2 시방 기준 만족 여부를 확인하였는가?</t>
        </is>
      </c>
      <c r="P11" s="27" t="inlineStr">
        <is>
          <t>👉 [더블클릭] 체크리스트 열기 📄</t>
        </is>
      </c>
      <c r="Q11" s="24" t="n"/>
      <c r="R11" s="28" t="inlineStr">
        <is>
          <t>● 토지 사용 동의 및 합의 조건 검토</t>
        </is>
      </c>
      <c r="S11" s="29" t="inlineStr">
        <is>
          <t>1) 👉 [더블클릭] 체크리스트 열기 📄</t>
        </is>
      </c>
      <c r="T11" s="15" t="n"/>
    </row>
    <row r="12" ht="96" customHeight="1">
      <c r="A12" s="24" t="inlineStr">
        <is>
          <t>9000</t>
        </is>
      </c>
      <c r="B12" s="24" t="inlineStr">
        <is>
          <t>9000-7</t>
        </is>
      </c>
      <c r="C12" s="26" t="inlineStr">
        <is>
          <t>상부강화노반</t>
        </is>
      </c>
      <c r="D12" s="24" t="inlineStr">
        <is>
          <t>9000-7-11</t>
        </is>
      </c>
      <c r="E12" s="24" t="inlineStr">
        <is>
          <t>D-30 (D-40~D-30)</t>
        </is>
      </c>
      <c r="F12" s="26" t="inlineStr">
        <is>
          <t>폐기물처리계획 수립</t>
        </is>
      </c>
      <c r="G12" s="24" t="inlineStr">
        <is>
          <t>현장 관리팀(환경)/공무팀</t>
        </is>
      </c>
      <c r="H12" s="25" t="inlineStr">
        <is>
          <t>폐기물 처리 지연에 따른 공정 지연 예방</t>
        </is>
      </c>
      <c r="I12" s="25" t="inlineStr">
        <is>
          <t>폐기물 종류 및 처리주체 확인 및 처리 계약 체결</t>
        </is>
      </c>
      <c r="J12" s="25" t="inlineStr">
        <is>
          <t>지정폐기물 처리 계약서</t>
        </is>
      </c>
      <c r="K12" s="25" t="inlineStr">
        <is>
          <t>1) 노반 반력계수 (Subgrade Modulus): K30 ≥ 110 MN/m³ (평판재하시험)
2) 변형계수 (Strain Modulus): Ev2 ≥ 120 MPa, 변형비 Ev2/Ev1 ≤ 2.2</t>
        </is>
      </c>
      <c r="L12" s="27" t="inlineStr">
        <is>
          <t>👉 [더블클릭] 표준서 열기 📄</t>
        </is>
      </c>
      <c r="M12" s="25" t="inlineStr">
        <is>
          <t>1) GRS80 세계측지계 좌표 및 TBM 가수준점 확인, 중심선 오차 ≤ ±10mm 검증을 완료한다.
2) 시험시공(Trial Compaction)을 시행하여 다짐 장비 조합(10t+ 진동롤러, 15t+ 타이어롤러) 및 Pass 수(6~8회)를 확정한다.</t>
        </is>
      </c>
      <c r="N12" s="27" t="inlineStr">
        <is>
          <t>👉 [더블클릭] 수행지침 열기 📄</t>
        </is>
      </c>
      <c r="O12" s="25" t="inlineStr">
        <is>
          <t>1) 강화노반 반력계수 K30 ≥ 110 MN/m³ (PBT 시험) 적격 여부를 확인하였는가?
2) 변형계수 Ev2 ≥ 120 MPa 및 변형비 Ev2/Ev1 ≤ 2.2 시방 기준 만족 여부를 확인하였는가?</t>
        </is>
      </c>
      <c r="P12" s="27" t="inlineStr">
        <is>
          <t>👉 [더블클릭] 체크리스트 열기 📄</t>
        </is>
      </c>
      <c r="Q12" s="24" t="n"/>
      <c r="R12" s="28" t="inlineStr">
        <is>
          <t>● 폐기물관리법 규정 준수</t>
        </is>
      </c>
      <c r="S12" s="29" t="inlineStr">
        <is>
          <t>1) 👉 [더블클릭] 체크리스트 열기 📄</t>
        </is>
      </c>
      <c r="T12" s="15" t="n"/>
    </row>
    <row r="13" ht="96" customHeight="1">
      <c r="A13" s="24" t="inlineStr">
        <is>
          <t>9000</t>
        </is>
      </c>
      <c r="B13" s="24" t="inlineStr">
        <is>
          <t>9000-7</t>
        </is>
      </c>
      <c r="C13" s="26" t="inlineStr">
        <is>
          <t>상부강화노반</t>
        </is>
      </c>
      <c r="D13" s="24" t="inlineStr">
        <is>
          <t>9000-7-12</t>
        </is>
      </c>
      <c r="E13" s="24" t="inlineStr">
        <is>
          <t>D-30 (D-40~D-30)</t>
        </is>
      </c>
      <c r="F13" s="26" t="inlineStr">
        <is>
          <t>철도운행협의(필요시)</t>
        </is>
      </c>
      <c r="G13" s="24" t="inlineStr">
        <is>
          <t>현장 공사팀</t>
        </is>
      </c>
      <c r="H13" s="25" t="inlineStr">
        <is>
          <t>철도보호지구(궤도 끝선에서 30M 이내) 공사 수행시 필요</t>
        </is>
      </c>
      <c r="I13" s="25" t="inlineStr">
        <is>
          <t>작업계획서/선로작업합의서 작성 및 관할지역 철도공사 협의 시행</t>
        </is>
      </c>
      <c r="J13" s="25" t="inlineStr">
        <is>
          <t>공문 또는 합의서 및 협의결과 서명본</t>
        </is>
      </c>
      <c r="K13" s="25" t="inlineStr">
        <is>
          <t>1) 노반 반력계수 (Subgrade Modulus): K30 ≥ 110 MN/m³ (평판재하시험)
2) 변형계수 (Strain Modulus): Ev2 ≥ 120 MPa, 변형비 Ev2/Ev1 ≤ 2.2</t>
        </is>
      </c>
      <c r="L13" s="27" t="inlineStr">
        <is>
          <t>👉 [더블클릭] 표준서 열기 📄</t>
        </is>
      </c>
      <c r="M13" s="25" t="inlineStr">
        <is>
          <t>1) 열차 운행 시간표 분석, 야간 차단작업 세부 시공계획서를 제출한다.
2) GRS80 세계측지계 좌표 및 TBM 가수준점 확인, 중심선 오차 ≤ ±10mm 검증을 완료한다.</t>
        </is>
      </c>
      <c r="N13" s="27" t="inlineStr">
        <is>
          <t>👉 [더블클릭] 수행지침 열기 📄</t>
        </is>
      </c>
      <c r="O13" s="25" t="inlineStr">
        <is>
          <t>1) 강화노반 반력계수 K30 ≥ 110 MN/m³ (PBT 시험) 적격 여부를 확인하였는가?
2) 변형계수 Ev2 ≥ 120 MPa 및 변형비 Ev2/Ev1 ≤ 2.2 시방 기준 만족 여부를 확인하였는가?</t>
        </is>
      </c>
      <c r="P13" s="27" t="inlineStr">
        <is>
          <t>👉 [더블클릭] 체크리스트 열기 📄</t>
        </is>
      </c>
      <c r="Q13" s="24" t="n"/>
      <c r="R13" s="28" t="inlineStr">
        <is>
          <t>● 철도 안전 및 운행 협의 지침 준수</t>
        </is>
      </c>
      <c r="S13" s="29" t="inlineStr">
        <is>
          <t>1) 👉 [더블클릭] 체크리스트 열기 📄</t>
        </is>
      </c>
      <c r="T13" s="15" t="n"/>
    </row>
    <row r="14" ht="134.4" customHeight="1">
      <c r="A14" s="24" t="inlineStr">
        <is>
          <t>9000</t>
        </is>
      </c>
      <c r="B14" s="24" t="inlineStr">
        <is>
          <t>9000-7</t>
        </is>
      </c>
      <c r="C14" s="26" t="inlineStr">
        <is>
          <t>상부강화노반</t>
        </is>
      </c>
      <c r="D14" s="24" t="inlineStr">
        <is>
          <t>9000-7-13</t>
        </is>
      </c>
      <c r="E14" s="24" t="inlineStr">
        <is>
          <t>D-40</t>
        </is>
      </c>
      <c r="F14" s="26" t="inlineStr">
        <is>
          <t>작수전 Big Room 회의</t>
        </is>
      </c>
      <c r="G14" s="24" t="inlineStr">
        <is>
          <t>현장소장</t>
        </is>
      </c>
      <c r="H14" s="25" t="inlineStr">
        <is>
          <t>토공 상부/하부/강화노반 착수를 위한 선행공종 지원사항 도출 / 수행시 예상가능 Risk 검토</t>
        </is>
      </c>
      <c r="I14" s="25" t="inlineStr">
        <is>
          <t>본사/현장/협력사 협의체 구축 후 상세검토
- 도급 상부/하부/강화노반 공정계획 수립
- 선후행 공종 R&amp;R(역할분담)
- 공종별 Risk Hedge방안 검토
- 참석: 현장소장, 공무/공사/품질/안전담당자, 도급 협력업체, 선후행 공종 협력업체, 본사 유관부서(견적/엔지니어링/공정/품질/안전)</t>
        </is>
      </c>
      <c r="J14" s="25" t="inlineStr">
        <is>
          <t>Big Room 회의록(참석자 전원 서명)</t>
        </is>
      </c>
      <c r="K14" s="25" t="inlineStr">
        <is>
          <t>1) 노반 반력계수 (Subgrade Modulus): K30 ≥ 110 MN/m³ (평판재하시험)
2) 변형계수 (Strain Modulus): Ev2 ≥ 120 MPa, 변형비 Ev2/Ev1 ≤ 2.2</t>
        </is>
      </c>
      <c r="L14" s="27" t="inlineStr">
        <is>
          <t>👉 [더블클릭] 표준서 열기 📄</t>
        </is>
      </c>
      <c r="M14" s="25" t="inlineStr">
        <is>
          <t>1) 분야별 시공계획서 및 간섭 도면(CAD/BIM 3D) 사전 수집 및 이슈 리스트 작성을 시행한다.
2) GRS80 세계측지계 좌표 및 TBM 가수준점 확인, 중심선 오차 ≤ ±10mm 검증을 완료한다.</t>
        </is>
      </c>
      <c r="N14" s="27" t="inlineStr">
        <is>
          <t>👉 [더블클릭] 수행지침 열기 📄</t>
        </is>
      </c>
      <c r="O14" s="25" t="inlineStr">
        <is>
          <t>1) 강화노반 반력계수 K30 ≥ 110 MN/m³ (PBT 시험) 적격 여부를 확인하였는가?
2) 변형계수 Ev2 ≥ 120 MPa 및 변형비 Ev2/Ev1 ≤ 2.2 시방 기준 만족 여부를 확인하였는가?</t>
        </is>
      </c>
      <c r="P14" s="27" t="inlineStr">
        <is>
          <t>👉 [더블클릭] 체크리스트 열기 📄</t>
        </is>
      </c>
      <c r="Q14" s="24" t="n"/>
      <c r="R14" s="28" t="inlineStr">
        <is>
          <t>● 토목 및 궤도 인터페이스 관리 지침</t>
        </is>
      </c>
      <c r="S14" s="29" t="inlineStr">
        <is>
          <t>1) 👉 [더블클릭] 체크리스트 열기 📄</t>
        </is>
      </c>
      <c r="T14" s="15" t="n"/>
    </row>
    <row r="15" ht="96" customHeight="1">
      <c r="A15" s="24" t="inlineStr">
        <is>
          <t>9000</t>
        </is>
      </c>
      <c r="B15" s="24" t="inlineStr">
        <is>
          <t>9000-7</t>
        </is>
      </c>
      <c r="C15" s="26" t="inlineStr">
        <is>
          <t>상부강화노반</t>
        </is>
      </c>
      <c r="D15" s="24" t="inlineStr">
        <is>
          <t>9000-7-14</t>
        </is>
      </c>
      <c r="E15" s="24" t="inlineStr">
        <is>
          <t>D-30</t>
        </is>
      </c>
      <c r="F15" s="26" t="inlineStr">
        <is>
          <t>시공 계획 수립</t>
        </is>
      </c>
      <c r="G15" s="24" t="inlineStr">
        <is>
          <t>현장 공사팀</t>
        </is>
      </c>
      <c r="H15" s="25" t="inlineStr">
        <is>
          <t>공사 전반에 관련 시공계획 수립</t>
        </is>
      </c>
      <c r="I15" s="25" t="inlineStr">
        <is>
          <t>공사위치, 작업순서, 수행방법 등 시공/안전/품질분야 관리방안 수립
- 협력사/작업반과 합의된 시공/공정계획 최종 반영
- 공종별 Risk Hedge 방안 검토
- 공종별 민원발생 대응 방안 수립</t>
        </is>
      </c>
      <c r="J15" s="25" t="inlineStr">
        <is>
          <t>시공계획서 승인</t>
        </is>
      </c>
      <c r="K15" s="25" t="inlineStr">
        <is>
          <t>1) 노반 반력계수 (Subgrade Modulus): K30 ≥ 110 MN/m³ (평판재하시험)
2) 변형계수 (Strain Modulus): Ev2 ≥ 120 MPa, 변형비 Ev2/Ev1 ≤ 2.2</t>
        </is>
      </c>
      <c r="L15" s="27" t="inlineStr">
        <is>
          <t>👉 [더블클릭] 표준서 열기 📄</t>
        </is>
      </c>
      <c r="M15" s="25" t="inlineStr">
        <is>
          <t>1) GRS80 세계측지계 좌표 및 TBM 가수준점 확인, 중심선 오차 ≤ ±10mm 검증을 완료한다.
2) 시험시공(Trial Compaction)을 시행하여 다짐 장비 조합(10t+ 진동롤러, 15t+ 타이어롤러) 및 Pass 수(6~8회)를 확정한다.</t>
        </is>
      </c>
      <c r="N15" s="27" t="inlineStr">
        <is>
          <t>👉 [더블클릭] 수행지침 열기 📄</t>
        </is>
      </c>
      <c r="O15" s="25" t="inlineStr">
        <is>
          <t>1) 강화노반 반력계수 K30 ≥ 110 MN/m³ (PBT 시험) 적격 여부를 확인하였는가?
2) 변형계수 Ev2 ≥ 120 MPa 및 변형비 Ev2/Ev1 ≤ 2.2 시방 기준 만족 여부를 확인하였는가?</t>
        </is>
      </c>
      <c r="P15" s="27" t="inlineStr">
        <is>
          <t>👉 [더블클릭] 체크리스트 열기 📄</t>
        </is>
      </c>
      <c r="Q15" s="24" t="n"/>
      <c r="R15" s="28" t="inlineStr">
        <is>
          <t>● 시방 기준 및 토공사 지침 준수</t>
        </is>
      </c>
      <c r="S15" s="29" t="inlineStr">
        <is>
          <t>1) 👉 [더블클릭] 체크리스트 열기 📄</t>
        </is>
      </c>
      <c r="T15" s="15" t="n"/>
    </row>
    <row r="16" ht="96" customHeight="1">
      <c r="A16" s="24" t="inlineStr">
        <is>
          <t>9000</t>
        </is>
      </c>
      <c r="B16" s="24" t="inlineStr">
        <is>
          <t>9000-7</t>
        </is>
      </c>
      <c r="C16" s="26" t="inlineStr">
        <is>
          <t>상부강화노반</t>
        </is>
      </c>
      <c r="D16" s="24" t="inlineStr">
        <is>
          <t>9000-7-15</t>
        </is>
      </c>
      <c r="E16" s="24" t="inlineStr">
        <is>
          <t>D-30 (D-50~D-30)</t>
        </is>
      </c>
      <c r="F16" s="26" t="inlineStr">
        <is>
          <t>사토장/토취장 선정 검토(필요시)</t>
        </is>
      </c>
      <c r="G16" s="24" t="inlineStr">
        <is>
          <t>현장 공사팀</t>
        </is>
      </c>
      <c r="H16" s="25" t="inlineStr">
        <is>
          <t>용지보상 지연시 공정지연 대체방안</t>
        </is>
      </c>
      <c r="I16" s="25" t="inlineStr">
        <is>
          <t>토량유동 변경 및 공정계획 지연 검토하여 발주처에 제출</t>
        </is>
      </c>
      <c r="J16" s="25" t="inlineStr">
        <is>
          <t>발주처 토취장/사토장 승인요청 보고서</t>
        </is>
      </c>
      <c r="K16" s="25" t="inlineStr">
        <is>
          <t>1) 노반 반력계수 (Subgrade Modulus): K30 ≥ 110 MN/m³ (평판재하시험)
2) 변형계수 (Strain Modulus): Ev2 ≥ 120 MPa, 변형비 Ev2/Ev1 ≤ 2.2</t>
        </is>
      </c>
      <c r="L16" s="27" t="inlineStr">
        <is>
          <t>👉 [더블클릭] 표준서 열기 📄</t>
        </is>
      </c>
      <c r="M16" s="25" t="inlineStr">
        <is>
          <t>1) GRS80 세계측지계 좌표 및 TBM 가수준점 확인, 중심선 오차 ≤ ±10mm 검증을 완료한다.
2) 시험시공(Trial Compaction)을 시행하여 다짐 장비 조합(10t+ 진동롤러, 15t+ 타이어롤러) 및 Pass 수(6~8회)를 확정한다.</t>
        </is>
      </c>
      <c r="N16" s="27" t="inlineStr">
        <is>
          <t>👉 [더블클릭] 수행지침 열기 📄</t>
        </is>
      </c>
      <c r="O16" s="25" t="inlineStr">
        <is>
          <t>1) 강화노반 반력계수 K30 ≥ 110 MN/m³ (PBT 시험) 적격 여부를 확인하였는가?
2) 변형계수 Ev2 ≥ 120 MPa 및 변형비 Ev2/Ev1 ≤ 2.2 시방 기준 만족 여부를 확인하였는가?</t>
        </is>
      </c>
      <c r="P16" s="27" t="inlineStr">
        <is>
          <t>👉 [더블클릭] 체크리스트 열기 📄</t>
        </is>
      </c>
      <c r="Q16" s="24" t="n"/>
      <c r="R16" s="28" t="inlineStr">
        <is>
          <t>● 환경 영향 및 골재 채취 인허가 적합성</t>
        </is>
      </c>
      <c r="S16" s="29" t="inlineStr">
        <is>
          <t>1) 👉 [더블클릭] 체크리스트 열기 📄</t>
        </is>
      </c>
      <c r="T16" s="15" t="n"/>
    </row>
    <row r="17" ht="96" customHeight="1">
      <c r="A17" s="24" t="inlineStr">
        <is>
          <t>9000</t>
        </is>
      </c>
      <c r="B17" s="24" t="inlineStr">
        <is>
          <t>9000-7</t>
        </is>
      </c>
      <c r="C17" s="26" t="inlineStr">
        <is>
          <t>상부강화노반</t>
        </is>
      </c>
      <c r="D17" s="24" t="inlineStr">
        <is>
          <t>9000-7-16</t>
        </is>
      </c>
      <c r="E17" s="24" t="inlineStr">
        <is>
          <t>D-20</t>
        </is>
      </c>
      <c r="F17" s="26" t="inlineStr">
        <is>
          <t>공사사전준비</t>
        </is>
      </c>
      <c r="G17" s="24" t="inlineStr">
        <is>
          <t>현장 공사팀</t>
        </is>
      </c>
      <c r="H17" s="25" t="inlineStr">
        <is>
          <t>공사 외적으로 발생가능한 Risk를 사전에 검토 하여 정밀한 공사수행이 될 수 있도록 조치</t>
        </is>
      </c>
      <c r="I17" s="25" t="inlineStr">
        <is>
          <t>상기사항을 기준으로 발생가능한 모든 Risk 도출하여 대응방안 수립</t>
        </is>
      </c>
      <c r="J17" s="25" t="inlineStr">
        <is>
          <t>Risk 기획 관리부</t>
        </is>
      </c>
      <c r="K17" s="25" t="inlineStr">
        <is>
          <t>1) 노반 반력계수 (Subgrade Modulus): K30 ≥ 110 MN/m³ (평판재하시험)
2) 변형계수 (Strain Modulus): Ev2 ≥ 120 MPa, 변형비 Ev2/Ev1 ≤ 2.2</t>
        </is>
      </c>
      <c r="L17" s="27" t="inlineStr">
        <is>
          <t>👉 [더블클릭] 표준서 열기 📄</t>
        </is>
      </c>
      <c r="M17" s="25" t="inlineStr">
        <is>
          <t>1) 부지 경계 측량 확인, 장애목 벌목, 세륜기 및 현장 사무실 배치를 시행한다.
2) GRS80 세계측지계 좌표 및 TBM 가수준점 확인, 중심선 오차 ≤ ±10mm 검증을 완료한다.</t>
        </is>
      </c>
      <c r="N17" s="27" t="inlineStr">
        <is>
          <t>👉 [더블클릭] 수행지침 열기 📄</t>
        </is>
      </c>
      <c r="O17" s="25" t="inlineStr">
        <is>
          <t>1) 강화노반 반력계수 K30 ≥ 110 MN/m³ (PBT 시험) 적격 여부를 확인하였는가?
2) 변형계수 Ev2 ≥ 120 MPa 및 변형비 Ev2/Ev1 ≤ 2.2 시방 기준 만족 여부를 확인하였는가?</t>
        </is>
      </c>
      <c r="P17" s="27" t="inlineStr">
        <is>
          <t>👉 [더블클릭] 체크리스트 열기 📄</t>
        </is>
      </c>
      <c r="Q17" s="24" t="n"/>
      <c r="R17" s="28" t="inlineStr">
        <is>
          <t>● 리스크 사전 예방 및 통제 기준</t>
        </is>
      </c>
      <c r="S17" s="29" t="inlineStr">
        <is>
          <t>1) 👉 [더블클릭] 체크리스트 열기 📄</t>
        </is>
      </c>
      <c r="T17" s="15" t="n"/>
    </row>
    <row r="18" ht="96" customHeight="1">
      <c r="A18" s="24" t="inlineStr">
        <is>
          <t>9000</t>
        </is>
      </c>
      <c r="B18" s="24" t="inlineStr">
        <is>
          <t>9000-7</t>
        </is>
      </c>
      <c r="C18" s="26" t="inlineStr">
        <is>
          <t>상부강화노반</t>
        </is>
      </c>
      <c r="D18" s="24" t="inlineStr">
        <is>
          <t>9000-7-17</t>
        </is>
      </c>
      <c r="E18" s="24" t="inlineStr">
        <is>
          <t>D-25 (D-30~D-25)</t>
        </is>
      </c>
      <c r="F18" s="26" t="inlineStr">
        <is>
          <t>임시배수시설</t>
        </is>
      </c>
      <c r="G18" s="24" t="inlineStr">
        <is>
          <t>현장 공사팀, 현장 관리팀</t>
        </is>
      </c>
      <c r="H18" s="25" t="inlineStr">
        <is>
          <t>공사용 오염수 유출 방지</t>
        </is>
      </c>
      <c r="I18" s="25" t="inlineStr">
        <is>
          <t>설계도서에 계획된 가배수로 및 기존 배수시설의 연결처리 현황조사 가배수로 유공관 침사지 설치</t>
        </is>
      </c>
      <c r="J18" s="25" t="inlineStr">
        <is>
          <t>시공계획 수립시 반영</t>
        </is>
      </c>
      <c r="K18" s="25" t="inlineStr">
        <is>
          <t>1) 노반 반력계수 (Subgrade Modulus): K30 ≥ 110 MN/m³ (평판재하시험)
2) 변형계수 (Strain Modulus): Ev2 ≥ 120 MPa, 변형비 Ev2/Ev1 ≤ 2.2</t>
        </is>
      </c>
      <c r="L18" s="27" t="inlineStr">
        <is>
          <t>👉 [더블클릭] 표준서 열기 📄</t>
        </is>
      </c>
      <c r="M18" s="25" t="inlineStr">
        <is>
          <t>1) GRS80 세계측지계 좌표 및 TBM 가수준점 확인, 중심선 오차 ≤ ±10mm 검증을 완료한다.
2) 시험시공(Trial Compaction)을 시행하여 다짐 장비 조합(10t+ 진동롤러, 15t+ 타이어롤러) 및 Pass 수(6~8회)를 확정한다.</t>
        </is>
      </c>
      <c r="N18" s="27" t="inlineStr">
        <is>
          <t>👉 [더블클릭] 수행지침 열기 📄</t>
        </is>
      </c>
      <c r="O18" s="25" t="inlineStr">
        <is>
          <t>1) 강화노반 반력계수 K30 ≥ 110 MN/m³ (PBT 시험) 적격 여부를 확인하였는가?
2) 변형계수 Ev2 ≥ 120 MPa 및 변형비 Ev2/Ev1 ≤ 2.2 시방 기준 만족 여부를 확인하였는가?</t>
        </is>
      </c>
      <c r="P18" s="27" t="inlineStr">
        <is>
          <t>👉 [더블클릭] 체크리스트 열기 📄</t>
        </is>
      </c>
      <c r="Q18" s="24" t="n"/>
      <c r="R18" s="28" t="inlineStr">
        <is>
          <t>● 비산먼지 및 수질오염 방지 대책 기준</t>
        </is>
      </c>
      <c r="S18" s="29" t="inlineStr">
        <is>
          <t>1) 👉 [더블클릭] 체크리스트 열기 📄</t>
        </is>
      </c>
      <c r="T18" s="15" t="n"/>
    </row>
    <row r="19" ht="96" customHeight="1">
      <c r="A19" s="24" t="inlineStr">
        <is>
          <t>9000</t>
        </is>
      </c>
      <c r="B19" s="24" t="inlineStr">
        <is>
          <t>9000-7</t>
        </is>
      </c>
      <c r="C19" s="26" t="inlineStr">
        <is>
          <t>상부강화노반</t>
        </is>
      </c>
      <c r="D19" s="24" t="inlineStr">
        <is>
          <t>9000-7-18</t>
        </is>
      </c>
      <c r="E19" s="24" t="inlineStr">
        <is>
          <t>D-10 (D-30~D-10)</t>
        </is>
      </c>
      <c r="F19" s="26" t="inlineStr">
        <is>
          <t>쌓기재료 검사</t>
        </is>
      </c>
      <c r="G19" s="24" t="inlineStr">
        <is>
          <t>현장 공사팀</t>
        </is>
      </c>
      <c r="H19" s="25" t="inlineStr">
        <is>
          <t>쌓기재료 품질기준 적합여부 확인</t>
        </is>
      </c>
      <c r="I19" s="25" t="inlineStr">
        <is>
          <t>토취장별 품질시험 실시</t>
        </is>
      </c>
      <c r="J19" s="25" t="inlineStr">
        <is>
          <t>품질시험성적서</t>
        </is>
      </c>
      <c r="K19" s="25" t="inlineStr">
        <is>
          <t>1) 노반 반력계수 (Subgrade Modulus): K30 ≥ 110 MN/m³ (평판재하시험)
2) 변형계수 (Strain Modulus): Ev2 ≥ 120 MPa, 변형비 Ev2/Ev1 ≤ 2.2</t>
        </is>
      </c>
      <c r="L19" s="27" t="inlineStr">
        <is>
          <t>👉 [더블클릭] 표준서 열기 📄</t>
        </is>
      </c>
      <c r="M19" s="25" t="inlineStr">
        <is>
          <t>1) GRS80 세계측지계 좌표 및 TBM 가수준점 확인, 중심선 오차 ≤ ±10mm 검증을 완료한다.
2) 시험시공(Trial Compaction)을 시행하여 다짐 장비 조합(10t+ 진동롤러, 15t+ 타이어롤러) 및 Pass 수(6~8회)를 확정한다.</t>
        </is>
      </c>
      <c r="N19" s="27" t="inlineStr">
        <is>
          <t>👉 [더블클릭] 수행지침 열기 📄</t>
        </is>
      </c>
      <c r="O19" s="25" t="inlineStr">
        <is>
          <t>1) 강화노반 반력계수 K30 ≥ 110 MN/m³ (PBT 시험) 적격 여부를 확인하였는가?
2) 변형계수 Ev2 ≥ 120 MPa 및 변형비 Ev2/Ev1 ≤ 2.2 시방 기준 만족 여부를 확인하였는가?</t>
        </is>
      </c>
      <c r="P19" s="27" t="inlineStr">
        <is>
          <t>👉 [더블클릭] 체크리스트 열기 📄</t>
        </is>
      </c>
      <c r="Q19" s="24" t="n"/>
      <c r="R19" s="28" t="inlineStr">
        <is>
          <t>● 토공 성토 재료 규격 기준 준수</t>
        </is>
      </c>
      <c r="S19" s="29" t="inlineStr">
        <is>
          <t>1) 👉 [더블클릭] 체크리스트 열기 📄</t>
        </is>
      </c>
      <c r="T19" s="15" t="n"/>
    </row>
    <row r="20" ht="96" customHeight="1">
      <c r="A20" s="24" t="inlineStr">
        <is>
          <t>9000</t>
        </is>
      </c>
      <c r="B20" s="24" t="inlineStr">
        <is>
          <t>9000-7</t>
        </is>
      </c>
      <c r="C20" s="26" t="inlineStr">
        <is>
          <t>상부강화노반</t>
        </is>
      </c>
      <c r="D20" s="24" t="inlineStr">
        <is>
          <t>9000-7-19</t>
        </is>
      </c>
      <c r="E20" s="24" t="inlineStr">
        <is>
          <t>D-10</t>
        </is>
      </c>
      <c r="F20" s="26" t="inlineStr">
        <is>
          <t>장비 검수 지원</t>
        </is>
      </c>
      <c r="G20" s="24" t="inlineStr">
        <is>
          <t>기술지원팀</t>
        </is>
      </c>
      <c r="H20" s="25" t="inlineStr">
        <is>
          <t>다짐장비 상태 확인(필요시 반입전)</t>
        </is>
      </c>
      <c r="I20" s="25" t="inlineStr">
        <is>
          <t>제원 대비 실설비능력 검증</t>
        </is>
      </c>
      <c r="J20" s="25" t="inlineStr">
        <is>
          <t>장비관리확약서</t>
        </is>
      </c>
      <c r="K20" s="25" t="inlineStr">
        <is>
          <t>1) 노반 반력계수 (Subgrade Modulus): K30 ≥ 110 MN/m³ (평판재하시험)
2) 변형계수 (Strain Modulus): Ev2 ≥ 120 MPa, 변형비 Ev2/Ev1 ≤ 2.2</t>
        </is>
      </c>
      <c r="L20" s="27" t="inlineStr">
        <is>
          <t>👉 [더블클릭] 표준서 열기 📄</t>
        </is>
      </c>
      <c r="M20" s="25" t="inlineStr">
        <is>
          <t>1) GRS80 세계측지계 좌표 및 TBM 가수준점 확인, 중심선 오차 ≤ ±10mm 검증을 완료한다.
2) 시험시공(Trial Compaction)을 시행하여 다짐 장비 조합(10t+ 진동롤러, 15t+ 타이어롤러) 및 Pass 수(6~8회)를 확정한다.</t>
        </is>
      </c>
      <c r="N20" s="27" t="inlineStr">
        <is>
          <t>👉 [더블클릭] 수행지침 열기 📄</t>
        </is>
      </c>
      <c r="O20" s="25" t="inlineStr">
        <is>
          <t>1) 강화노반 반력계수 K30 ≥ 110 MN/m³ (PBT 시험) 적격 여부를 확인하였는가?
2) 변형계수 Ev2 ≥ 120 MPa 및 변형비 Ev2/Ev1 ≤ 2.2 시방 기준 만족 여부를 확인하였는가?</t>
        </is>
      </c>
      <c r="P20" s="27" t="inlineStr">
        <is>
          <t>👉 [더블클릭] 체크리스트 열기 📄</t>
        </is>
      </c>
      <c r="Q20" s="24" t="n"/>
      <c r="R20" s="28" t="inlineStr">
        <is>
          <t>● 다짐 장비 기능 및 안전 상태 검증</t>
        </is>
      </c>
      <c r="S20" s="29" t="inlineStr">
        <is>
          <t>1) 👉 [더블클릭] 체크리스트 열기 📄</t>
        </is>
      </c>
      <c r="T20" s="15" t="n"/>
    </row>
    <row r="21" ht="96" customHeight="1">
      <c r="A21" s="24" t="inlineStr">
        <is>
          <t>9000</t>
        </is>
      </c>
      <c r="B21" s="24" t="inlineStr">
        <is>
          <t>9000-7</t>
        </is>
      </c>
      <c r="C21" s="26" t="inlineStr">
        <is>
          <t>상부강화노반</t>
        </is>
      </c>
      <c r="D21" s="24" t="inlineStr">
        <is>
          <t>9000-7-20</t>
        </is>
      </c>
      <c r="E21" s="24" t="inlineStr">
        <is>
          <t>D+0~10</t>
        </is>
      </c>
      <c r="F21" s="26" t="inlineStr">
        <is>
          <t>선로 종/횡단 및 용지경계측량</t>
        </is>
      </c>
      <c r="G21" s="24" t="inlineStr">
        <is>
          <t>현장 공사팀</t>
        </is>
      </c>
      <c r="H21" s="25" t="inlineStr">
        <is>
          <t>선로 선형오류 및 용지집행도 오시공 방지</t>
        </is>
      </c>
      <c r="I21" s="25" t="inlineStr">
        <is>
          <t>현지 경계 좌표를 바탕으로 측량 실시 후 깃발로 표시</t>
        </is>
      </c>
      <c r="J21" s="25" t="inlineStr">
        <is>
          <t>측량성과표/검측서</t>
        </is>
      </c>
      <c r="K21" s="25" t="inlineStr">
        <is>
          <t>1) 노반 반력계수 (Subgrade Modulus): K30 ≥ 110 MN/m³ (평판재하시험)
2) 변형계수 (Strain Modulus): Ev2 ≥ 120 MPa, 변형비 Ev2/Ev1 ≤ 2.2</t>
        </is>
      </c>
      <c r="L21" s="27" t="inlineStr">
        <is>
          <t>👉 [더블클릭] 표준서 열기 📄</t>
        </is>
      </c>
      <c r="M21" s="25" t="inlineStr">
        <is>
          <t>1) 국가통합기준점 확인, TBM 가수준점 매설(매 500m마다), 측량 장비 교정 검사를 수행한다.
2) GRS80 세계측지계 좌표 및 TBM 가수준점 확인, 중심선 오차 ≤ ±10mm 검증을 완료한다.</t>
        </is>
      </c>
      <c r="N21" s="27" t="inlineStr">
        <is>
          <t>👉 [더블클릭] 수행지침 열기 📄</t>
        </is>
      </c>
      <c r="O21" s="25" t="inlineStr">
        <is>
          <t>1) 강화노반 반력계수 K30 ≥ 110 MN/m³ (PBT 시험) 적격 여부를 확인하였는가?
2) 변형계수 Ev2 ≥ 120 MPa 및 변형비 Ev2/Ev1 ≤ 2.2 시방 기준 만족 여부를 확인하였는가?</t>
        </is>
      </c>
      <c r="P21" s="27" t="inlineStr">
        <is>
          <t>👉 [더블클릭] 체크리스트 열기 📄</t>
        </is>
      </c>
      <c r="Q21" s="24" t="n"/>
      <c r="R21" s="28" t="inlineStr">
        <is>
          <t>● 선로 측량 정밀도 규격 준수</t>
        </is>
      </c>
      <c r="S21" s="29" t="inlineStr">
        <is>
          <t>1) 👉 [더블클릭] 체크리스트 열기 📄</t>
        </is>
      </c>
      <c r="T21" s="15" t="n"/>
    </row>
    <row r="22" ht="115.2" customHeight="1">
      <c r="A22" s="24" t="inlineStr">
        <is>
          <t>9000</t>
        </is>
      </c>
      <c r="B22" s="24" t="inlineStr">
        <is>
          <t>9000-7</t>
        </is>
      </c>
      <c r="C22" s="26" t="inlineStr">
        <is>
          <t>상부강화노반</t>
        </is>
      </c>
      <c r="D22" s="24" t="inlineStr">
        <is>
          <t>9000-7-21</t>
        </is>
      </c>
      <c r="E22" s="24" t="inlineStr">
        <is>
          <t>D+0~10</t>
        </is>
      </c>
      <c r="F22" s="26" t="inlineStr">
        <is>
          <t>규준틀 설치</t>
        </is>
      </c>
      <c r="G22" s="24" t="inlineStr">
        <is>
          <t>현장 공사팀</t>
        </is>
      </c>
      <c r="H22" s="25" t="inlineStr">
        <is>
          <t>노반 시공시 오시공 방지</t>
        </is>
      </c>
      <c r="I22" s="25" t="inlineStr">
        <is>
          <t>종/횡단 측량성과를 기준으로 쌓기 비탈면과, 노반, 시공기면의 마무리 높이 등을 표시하여 설치 (20m 간격)</t>
        </is>
      </c>
      <c r="J22" s="25" t="inlineStr">
        <is>
          <t>측량성과표</t>
        </is>
      </c>
      <c r="K22" s="25" t="inlineStr">
        <is>
          <t>1) 토질 및 기초 설계기준: KCS 11 00 00 (토공사), KDS 47 10 00 (철도 노반 설계기준) 및 KCS 47 10 25 (강화노반) 규정 완전 이행
2) 지반 지지력 및 변형성 기준: 평판재하시험 지반반력계수 K30 ≥ 110 MN/m³, 변형계수 Ev2 ≥ 120 MPa, 강성 균질성 Ev2/Ev1 ≤ 2.2 충족</t>
        </is>
      </c>
      <c r="L22" s="27" t="inlineStr">
        <is>
          <t>👉 [더블클릭] 표준서 열기 📄</t>
        </is>
      </c>
      <c r="M22" s="25" t="inlineStr">
        <is>
          <t>1) 강화노반 완료 후 하부 공동구 설치 시 노반 침하 및 균열이 발생하지 않도록 역순 시공 시 모래/양질 토사 채움 및 다짐 철저</t>
        </is>
      </c>
      <c r="N22" s="27" t="inlineStr">
        <is>
          <t>👉 [더블클릭] 수행지침 열기 📄</t>
        </is>
      </c>
      <c r="O22" s="25" t="inlineStr">
        <is>
          <t>1) [협력업체 자문] 최소 1~2km 노반 완료 후 궤도 공정에 전달 인계하였는가? (정주건설 자문)
2) [협력업체 자문] 하부 배수박스 위 대형 레미콘/장비 통과 시 구조 하중 안전성을 검토하였는가? (정주건설 자문)</t>
        </is>
      </c>
      <c r="P22" s="27" t="inlineStr">
        <is>
          <t>👉 [더블클릭] 체크리스트 열기 📄</t>
        </is>
      </c>
      <c r="Q22" s="24" t="n"/>
      <c r="R22" s="28" t="inlineStr">
        <is>
          <t>● 규준틀 설치 위치 및 간격 한계 기준</t>
        </is>
      </c>
      <c r="S22" s="29" t="inlineStr">
        <is>
          <t>1) 👉 [더블클릭] 체크리스트 열기 📄</t>
        </is>
      </c>
      <c r="T22" s="15" t="n"/>
    </row>
    <row r="23" ht="115.2" customHeight="1">
      <c r="A23" s="24" t="inlineStr">
        <is>
          <t>9000</t>
        </is>
      </c>
      <c r="B23" s="24" t="inlineStr">
        <is>
          <t>9000-7</t>
        </is>
      </c>
      <c r="C23" s="26" t="inlineStr">
        <is>
          <t>상부강화노반</t>
        </is>
      </c>
      <c r="D23" s="24" t="inlineStr">
        <is>
          <t>9000-7-22</t>
        </is>
      </c>
      <c r="E23" s="24" t="inlineStr">
        <is>
          <t>D+10~200</t>
        </is>
      </c>
      <c r="F23" s="26" t="inlineStr">
        <is>
          <t>준비배수</t>
        </is>
      </c>
      <c r="G23" s="24" t="inlineStr">
        <is>
          <t>현장 공사팀</t>
        </is>
      </c>
      <c r="H23" s="25" t="inlineStr">
        <is>
          <t>지표수 유도 및 지하수위를 저하시켜 재료의 함수비 관리</t>
        </is>
      </c>
      <c r="I23" s="25" t="inlineStr">
        <is>
          <t>공사 구간에 지표수가 유입되지 않게 임시 또는 영구 배수시설 설치 / 맹거배관 고인물 제거 후 시공</t>
        </is>
      </c>
      <c r="J23" s="25" t="inlineStr">
        <is>
          <t>검측서</t>
        </is>
      </c>
      <c r="K23" s="25" t="inlineStr">
        <is>
          <t>1) 토질 및 기초 설계기준: KCS 11 00 00 (토공사), KDS 47 10 00 (철도 노반 설계기준) 및 KCS 47 10 25 (강화노반) 규정 완전 이행
2) 지반 지지력 및 변형성 기준: 평판재하시험 지반반력계수 K30 ≥ 110 MN/m³, 변형계수 Ev2 ≥ 120 MPa, 강성 균질성 Ev2/Ev1 ≤ 2.2 충족</t>
        </is>
      </c>
      <c r="L23" s="27" t="inlineStr">
        <is>
          <t>👉 [더블클릭] 표준서 열기 📄</t>
        </is>
      </c>
      <c r="M23" s="25" t="inlineStr">
        <is>
          <t>1) 강화노반 완료 후 하부 공동구 설치 시 노반 침하 및 균열이 발생하지 않도록 역순 시공 시 모래/양질 토사 채움 및 다짐 철저</t>
        </is>
      </c>
      <c r="N23" s="27" t="inlineStr">
        <is>
          <t>👉 [더블클릭] 수행지침 열기 📄</t>
        </is>
      </c>
      <c r="O23" s="25" t="inlineStr">
        <is>
          <t>1) [협력업체 자문] 최소 1~2km 노반 완료 후 궤도 공정에 전달 인계하였는가? (정주건설 자문)
2) [협력업체 자문] 하부 배수박스 위 대형 레미콘/장비 통과 시 구조 하중 안전성을 검토하였는가? (정주건설 자문)</t>
        </is>
      </c>
      <c r="P23" s="27" t="inlineStr">
        <is>
          <t>👉 [더블클릭] 체크리스트 열기 📄</t>
        </is>
      </c>
      <c r="Q23" s="24" t="n"/>
      <c r="R23" s="28" t="inlineStr">
        <is>
          <t>● 지하수 및 지표수 유도 배수 기준</t>
        </is>
      </c>
      <c r="S23" s="29" t="inlineStr">
        <is>
          <t>1) 👉 [더블클릭] 체크리스트 열기 📄</t>
        </is>
      </c>
      <c r="T23" s="15" t="n"/>
    </row>
    <row r="24" ht="115.2" customHeight="1">
      <c r="A24" s="24" t="inlineStr">
        <is>
          <t>9000</t>
        </is>
      </c>
      <c r="B24" s="24" t="inlineStr">
        <is>
          <t>9000-7</t>
        </is>
      </c>
      <c r="C24" s="26" t="inlineStr">
        <is>
          <t>상부강화노반</t>
        </is>
      </c>
      <c r="D24" s="24" t="inlineStr">
        <is>
          <t>9000-7-23</t>
        </is>
      </c>
      <c r="E24" s="24" t="inlineStr">
        <is>
          <t>D+10~25</t>
        </is>
      </c>
      <c r="F24" s="26" t="inlineStr">
        <is>
          <t>벌개제근/표토제거</t>
        </is>
      </c>
      <c r="G24" s="24" t="inlineStr">
        <is>
          <t>현장 공사팀</t>
        </is>
      </c>
      <c r="H24" s="25" t="inlineStr">
        <is>
          <t>시공에 유해한 물질 제거</t>
        </is>
      </c>
      <c r="I24" s="25" t="inlineStr">
        <is>
          <t>시공면의 초목, 그루터기, 덤불, 나무뿌리, 유기질 표토 등을 제거</t>
        </is>
      </c>
      <c r="J24" s="25" t="inlineStr">
        <is>
          <t>검측서</t>
        </is>
      </c>
      <c r="K24" s="25" t="inlineStr">
        <is>
          <t>1) 토질 및 기초 설계기준: KCS 11 00 00 (토공사), KDS 47 10 00 (철도 노반 설계기준) 및 KCS 47 10 25 (강화노반) 규정 완전 이행
2) 지반 지지력 및 변형성 기준: 평판재하시험 지반반력계수 K30 ≥ 110 MN/m³, 변형계수 Ev2 ≥ 120 MPa, 강성 균질성 Ev2/Ev1 ≤ 2.2 충족</t>
        </is>
      </c>
      <c r="L24" s="27" t="inlineStr">
        <is>
          <t>👉 [더블클릭] 표준서 열기 📄</t>
        </is>
      </c>
      <c r="M24" s="25" t="inlineStr">
        <is>
          <t>1) 강화노반 완료 후 하부 공동구 설치 시 노반 침하 및 균열이 발생하지 않도록 역순 시공 시 모래/양질 토사 채움 및 다짐 철저</t>
        </is>
      </c>
      <c r="N24" s="27" t="inlineStr">
        <is>
          <t>👉 [더블클릭] 수행지침 열기 📄</t>
        </is>
      </c>
      <c r="O24" s="25" t="inlineStr">
        <is>
          <t>1) [협력업체 자문] 최소 1~2km 노반 완료 후 궤도 공정에 전달 인계하였는가? (정주건설 자문)
2) [협력업체 자문] 하부 배수박스 위 대형 레미콘/장비 통과 시 구조 하중 안전성을 검토하였는가? (정주건설 자문)</t>
        </is>
      </c>
      <c r="P24" s="27" t="inlineStr">
        <is>
          <t>👉 [더블클릭] 체크리스트 열기 📄</t>
        </is>
      </c>
      <c r="Q24" s="24" t="n"/>
      <c r="R24" s="28" t="inlineStr">
        <is>
          <t>● 제거 대상 잔재물 처리 기준</t>
        </is>
      </c>
      <c r="S24" s="29" t="inlineStr">
        <is>
          <t>1) 👉 [더블클릭] 체크리스트 열기 📄</t>
        </is>
      </c>
      <c r="T24" s="15" t="n"/>
    </row>
    <row r="25" ht="115.2" customHeight="1">
      <c r="A25" s="24" t="inlineStr">
        <is>
          <t>9000</t>
        </is>
      </c>
      <c r="B25" s="24" t="inlineStr">
        <is>
          <t>9000-7</t>
        </is>
      </c>
      <c r="C25" s="26" t="inlineStr">
        <is>
          <t>상부강화노반</t>
        </is>
      </c>
      <c r="D25" s="24" t="inlineStr">
        <is>
          <t>9000-7-24</t>
        </is>
      </c>
      <c r="E25" s="24" t="inlineStr">
        <is>
          <t>D+10~30</t>
        </is>
      </c>
      <c r="F25" s="26" t="inlineStr">
        <is>
          <t>구조물 및 지장물 제거</t>
        </is>
      </c>
      <c r="G25" s="24" t="inlineStr">
        <is>
          <t>현장 공사팀</t>
        </is>
      </c>
      <c r="H25" s="25" t="inlineStr">
        <is>
          <t>공사에 지장되는 물건 제거</t>
        </is>
      </c>
      <c r="I25" s="25" t="inlineStr">
        <is>
          <t>이설 물건과 제거 물건으로 구분하여 지장물처리 구조물은 지표면에서 최소 300mm 깊이까지 제거</t>
        </is>
      </c>
      <c r="J25" s="25" t="inlineStr">
        <is>
          <t>지장물조서 / 건축물 말소대장</t>
        </is>
      </c>
      <c r="K25" s="25" t="inlineStr">
        <is>
          <t>1) 토질 및 기초 설계기준: KCS 11 00 00 (토공사), KDS 47 10 00 (철도 노반 설계기준) 및 KCS 47 10 25 (강화노반) 규정 완전 이행
2) 지반 지지력 및 변형성 기준: 평판재하시험 지반반력계수 K30 ≥ 110 MN/m³, 변형계수 Ev2 ≥ 120 MPa, 강성 균질성 Ev2/Ev1 ≤ 2.2 충족</t>
        </is>
      </c>
      <c r="L25" s="27" t="inlineStr">
        <is>
          <t>👉 [더블클릭] 표준서 열기 📄</t>
        </is>
      </c>
      <c r="M25" s="25" t="inlineStr">
        <is>
          <t>1) 강화노반 완료 후 하부 공동구 설치 시 노반 침하 및 균열이 발생하지 않도록 역순 시공 시 모래/양질 토사 채움 및 다짐 철저</t>
        </is>
      </c>
      <c r="N25" s="27" t="inlineStr">
        <is>
          <t>👉 [더블클릭] 수행지침 열기 📄</t>
        </is>
      </c>
      <c r="O25" s="25" t="inlineStr">
        <is>
          <t>1) [협력업체 자문] 최소 1~2km 노반 완료 후 궤도 공정에 전달 인계하였는가? (정주건설 자문)
2) [협력업체 자문] 하부 배수박스 위 대형 레미콘/장비 통과 시 구조 하중 안전성을 검토하였는가? (정주건설 자문)</t>
        </is>
      </c>
      <c r="P25" s="27" t="inlineStr">
        <is>
          <t>👉 [더블클릭] 체크리스트 열기 📄</t>
        </is>
      </c>
      <c r="Q25" s="24" t="n"/>
      <c r="R25" s="28" t="inlineStr">
        <is>
          <t>● 지장물 철거 및 처리 규정 준수</t>
        </is>
      </c>
      <c r="S25" s="29" t="inlineStr">
        <is>
          <t>1) 👉 [더블클릭] 체크리스트 열기 📄</t>
        </is>
      </c>
      <c r="T25" s="15" t="n"/>
    </row>
    <row r="26" ht="115.2" customHeight="1">
      <c r="A26" s="24" t="inlineStr">
        <is>
          <t>9000</t>
        </is>
      </c>
      <c r="B26" s="24" t="inlineStr">
        <is>
          <t>9000-7</t>
        </is>
      </c>
      <c r="C26" s="26" t="inlineStr">
        <is>
          <t>상부강화노반</t>
        </is>
      </c>
      <c r="D26" s="24" t="inlineStr">
        <is>
          <t>9000-7-25</t>
        </is>
      </c>
      <c r="E26" s="24" t="inlineStr">
        <is>
          <t>D+10~30</t>
        </is>
      </c>
      <c r="F26" s="26" t="inlineStr">
        <is>
          <t>진입로 조성</t>
        </is>
      </c>
      <c r="G26" s="24" t="inlineStr">
        <is>
          <t>현장 공사팀</t>
        </is>
      </c>
      <c r="H26" s="25" t="inlineStr">
        <is>
          <t>장비/인력 접근성 확보</t>
        </is>
      </c>
      <c r="I26" s="25" t="inlineStr">
        <is>
          <t>성토 장비 / 자재운반장비등의 접근성이 용이하고 최단 진입거리 및 향후 진입로 철거 시점이 고려된 구간으로 선정, 이후 지속적으로 진입로의 노면상태 점검</t>
        </is>
      </c>
      <c r="J26" s="25" t="inlineStr">
        <is>
          <t>시공계획서, 검측서</t>
        </is>
      </c>
      <c r="K26" s="25" t="inlineStr">
        <is>
          <t>1) 토질 및 기초 설계기준: KCS 11 00 00 (토공사), KDS 47 10 00 (철도 노반 설계기준) 및 KCS 47 10 25 (강화노반) 규정 완전 이행
2) 지반 지지력 및 변형성 기준: 평판재하시험 지반반력계수 K30 ≥ 110 MN/m³, 변형계수 Ev2 ≥ 120 MPa, 강성 균질성 Ev2/Ev1 ≤ 2.2 충족</t>
        </is>
      </c>
      <c r="L26" s="27" t="inlineStr">
        <is>
          <t>👉 [더블클릭] 표준서 열기 📄</t>
        </is>
      </c>
      <c r="M26" s="25" t="inlineStr">
        <is>
          <t>1) 강화노반 완료 후 하부 공동구 설치 시 노반 침하 및 균열이 발생하지 않도록 역순 시공 시 모래/양질 토사 채움 및 다짐 철저</t>
        </is>
      </c>
      <c r="N26" s="27" t="inlineStr">
        <is>
          <t>👉 [더블클릭] 수행지침 열기 📄</t>
        </is>
      </c>
      <c r="O26" s="25" t="inlineStr">
        <is>
          <t>1) [협력업체 자문] 최소 1~2km 노반 완료 후 궤도 공정에 전달 인계하였는가? (정주건설 자문)
2) [협력업체 자문] 하부 배수박스 위 대형 레미콘/장비 통과 시 구조 하중 안전성을 검토하였는가? (정주건설 자문)</t>
        </is>
      </c>
      <c r="P26" s="27" t="inlineStr">
        <is>
          <t>👉 [더블클릭] 체크리스트 열기 📄</t>
        </is>
      </c>
      <c r="Q26" s="24" t="n"/>
      <c r="R26" s="28" t="inlineStr">
        <is>
          <t>● 가설 도로 시공 규격 및 배수 조건 준수</t>
        </is>
      </c>
      <c r="S26" s="29" t="inlineStr">
        <is>
          <t>1) 👉 [더블클릭] 체크리스트 열기 📄</t>
        </is>
      </c>
      <c r="T26" s="15" t="n"/>
    </row>
    <row r="27" ht="115.2" customHeight="1">
      <c r="A27" s="24" t="inlineStr">
        <is>
          <t>9000</t>
        </is>
      </c>
      <c r="B27" s="24" t="inlineStr">
        <is>
          <t>9000-7</t>
        </is>
      </c>
      <c r="C27" s="26" t="inlineStr">
        <is>
          <t>상부강화노반</t>
        </is>
      </c>
      <c r="D27" s="24" t="inlineStr">
        <is>
          <t>9000-7-26</t>
        </is>
      </c>
      <c r="E27" s="24" t="inlineStr">
        <is>
          <t>D+10~180</t>
        </is>
      </c>
      <c r="F27" s="26" t="inlineStr">
        <is>
          <t>노반쌓기</t>
        </is>
      </c>
      <c r="G27" s="24" t="inlineStr">
        <is>
          <t>현장 공사팀</t>
        </is>
      </c>
      <c r="H27" s="25" t="inlineStr">
        <is>
          <t>궤도를 형성하기 위하여 하중을 지지하는 철도구조의 기초 형성</t>
        </is>
      </c>
      <c r="I27" s="25" t="inlineStr">
        <is>
          <t>승인된 재료를 지지반의 상태, 기상조건 등을 고려하여 안정, 침하 등의 문제가 발생하지 않도록 층다짐하여 시공</t>
        </is>
      </c>
      <c r="J27" s="25" t="inlineStr">
        <is>
          <t>검측서, 품질시험성적서</t>
        </is>
      </c>
      <c r="K27" s="25" t="inlineStr">
        <is>
          <t>1) 토질 및 기초 설계기준: KCS 11 00 00 (토공사), KDS 47 10 00 (철도 노반 설계기준) 및 KCS 47 10 25 (강화노반) 규정 완전 이행
2) 지반 지지력 및 변형성 기준: 평판재하시험 지반반력계수 K30 ≥ 110 MN/m³, 변형계수 Ev2 ≥ 120 MPa, 강성 균질성 Ev2/Ev1 ≤ 2.2 충족</t>
        </is>
      </c>
      <c r="L27" s="27" t="inlineStr">
        <is>
          <t>👉 [더블클릭] 표준서 열기 📄</t>
        </is>
      </c>
      <c r="M27" s="25" t="inlineStr">
        <is>
          <t>1) 강화노반 완료 후 하부 공동구 설치 시 노반 침하 및 균열이 발생하지 않도록 역순 시공 시 모래/양질 토사 채움 및 다짐 철저</t>
        </is>
      </c>
      <c r="N27" s="27" t="inlineStr">
        <is>
          <t>👉 [더블클릭] 수행지침 열기 📄</t>
        </is>
      </c>
      <c r="O27" s="25" t="inlineStr">
        <is>
          <t>1) [협력업체 자문] 최소 1~2km 노반 완료 후 궤도 공정에 전달 인계하였는가? (정주건설 자문)
2) [협력업체 자문] 하부 배수박스 위 대형 레미콘/장비 통과 시 구조 하중 안전성을 검토하였는가? (정주건설 자문)</t>
        </is>
      </c>
      <c r="P27" s="27" t="inlineStr">
        <is>
          <t>👉 [더블클릭] 체크리스트 열기 📄</t>
        </is>
      </c>
      <c r="Q27" s="24" t="n"/>
      <c r="R27" s="28" t="inlineStr">
        <is>
          <t>● 다짐도 및 층두께 규격 준수</t>
        </is>
      </c>
      <c r="S27" s="29" t="inlineStr">
        <is>
          <t>1) 👉 [더블클릭] 체크리스트 열기 📄</t>
        </is>
      </c>
      <c r="T27" s="15" t="n"/>
    </row>
    <row r="28" ht="115.2" customHeight="1">
      <c r="A28" s="24" t="inlineStr">
        <is>
          <t>9000</t>
        </is>
      </c>
      <c r="B28" s="24" t="inlineStr">
        <is>
          <t>9000-7</t>
        </is>
      </c>
      <c r="C28" s="26" t="inlineStr">
        <is>
          <t>상부강화노반</t>
        </is>
      </c>
      <c r="D28" s="24" t="inlineStr">
        <is>
          <t>9000-7-27</t>
        </is>
      </c>
      <c r="E28" s="24" t="inlineStr">
        <is>
          <t>D+10~180</t>
        </is>
      </c>
      <c r="F28" s="26" t="inlineStr">
        <is>
          <t>하부노반 시공</t>
        </is>
      </c>
      <c r="G28" s="24" t="inlineStr">
        <is>
          <t>현장 공사팀</t>
        </is>
      </c>
      <c r="H28" s="25" t="inlineStr">
        <is>
          <t>원지반에서부터 상부노반 아래에 있는 구간의 성토</t>
        </is>
      </c>
      <c r="I28" s="25" t="inlineStr">
        <is>
          <t>자갈 및 콘크리트궤도 재료를 (최대치수 300mm 이하) 펴깔기 다짐 완료 후 1층의 두께를 300mm 이하로 시공</t>
        </is>
      </c>
      <c r="J28" s="25" t="inlineStr">
        <is>
          <t>검측서, 품질시험성적서</t>
        </is>
      </c>
      <c r="K28" s="25" t="inlineStr">
        <is>
          <t>1) 토질 및 기초 설계기준: KCS 11 00 00 (토공사), KDS 47 10 00 (철도 노반 설계기준) 및 KCS 47 10 25 (강화노반) 규정 완전 이행
2) 지반 지지력 및 변형성 기준: 평판재하시험 지반반력계수 K30 ≥ 110 MN/m³, 변형계수 Ev2 ≥ 120 MPa, 강성 균질성 Ev2/Ev1 ≤ 2.2 충족</t>
        </is>
      </c>
      <c r="L28" s="27" t="inlineStr">
        <is>
          <t>👉 [더블클릭] 표준서 열기 📄</t>
        </is>
      </c>
      <c r="M28" s="25" t="inlineStr">
        <is>
          <t>1) 강화노반 완료 후 하부 공동구 설치 시 노반 침하 및 균열이 발생하지 않도록 역순 시공 시 모래/양질 토사 채움 및 다짐 철저</t>
        </is>
      </c>
      <c r="N28" s="27" t="inlineStr">
        <is>
          <t>👉 [더블클릭] 수행지침 열기 📄</t>
        </is>
      </c>
      <c r="O28" s="25" t="inlineStr">
        <is>
          <t>1) [협력업체 자문] 최소 1~2km 노반 완료 후 궤도 공정에 전달 인계하였는가? (정주건설 자문)
2) [협력업체 자문] 하부 배수박스 위 대형 레미콘/장비 통과 시 구조 하중 안전성을 검토하였는가? (정주건설 자문)</t>
        </is>
      </c>
      <c r="P28" s="27" t="inlineStr">
        <is>
          <t>👉 [더블클릭] 체크리스트 열기 📄</t>
        </is>
      </c>
      <c r="Q28" s="24" t="n"/>
      <c r="R28" s="28" t="inlineStr">
        <is>
          <t>● 하부노반 재료 규격 및 최대 입경 준수</t>
        </is>
      </c>
      <c r="S28" s="29" t="inlineStr">
        <is>
          <t>1) 👉 [더블클릭] 체크리스트 열기 📄</t>
        </is>
      </c>
      <c r="T28" s="15" t="n"/>
    </row>
    <row r="29" ht="115.2" customHeight="1">
      <c r="A29" s="24" t="inlineStr">
        <is>
          <t>9000</t>
        </is>
      </c>
      <c r="B29" s="24" t="inlineStr">
        <is>
          <t>9000-7</t>
        </is>
      </c>
      <c r="C29" s="26" t="inlineStr">
        <is>
          <t>상부강화노반</t>
        </is>
      </c>
      <c r="D29" s="24" t="inlineStr">
        <is>
          <t>9000-7-28</t>
        </is>
      </c>
      <c r="E29" s="24" t="inlineStr">
        <is>
          <t>D+10~180</t>
        </is>
      </c>
      <c r="F29" s="26" t="inlineStr">
        <is>
          <t>상부노반 시공</t>
        </is>
      </c>
      <c r="G29" s="24" t="inlineStr">
        <is>
          <t>현장 공사팀</t>
        </is>
      </c>
      <c r="H29" s="25" t="inlineStr">
        <is>
          <t>시공기면에서 일반철도 -1.5m, 고속철도 -3.0m 깊이에 있는 구간 성토</t>
        </is>
      </c>
      <c r="I29" s="25" t="inlineStr">
        <is>
          <t>자갈 및 콘크리트궤도 재료를 (최대치수 100mm 이하) 펴깔기 다짐 완료 후 1층의 두께를 300mm 이하로 시공</t>
        </is>
      </c>
      <c r="J29" s="25" t="inlineStr">
        <is>
          <t>검측서, 품질시험성적서</t>
        </is>
      </c>
      <c r="K29" s="25" t="inlineStr">
        <is>
          <t>1) 토질 및 기초 설계기준: KCS 11 00 00 (토공사), KDS 47 10 00 (철도 노반 설계기준) 및 KCS 47 10 25 (강화노반) 규정 완전 이행
2) 지반 지지력 및 변형성 기준: 평판재하시험 지반반력계수 K30 ≥ 110 MN/m³, 변형계수 Ev2 ≥ 120 MPa, 강성 균질성 Ev2/Ev1 ≤ 2.2 충족</t>
        </is>
      </c>
      <c r="L29" s="27" t="inlineStr">
        <is>
          <t>👉 [더블클릭] 표준서 열기 📄</t>
        </is>
      </c>
      <c r="M29" s="25" t="inlineStr">
        <is>
          <t>1) 강화노반 완료 후 하부 공동구 설치 시 노반 침하 및 균열이 발생하지 않도록 역순 시공 시 모래/양질 토사 채움 및 다짐 철저</t>
        </is>
      </c>
      <c r="N29" s="27" t="inlineStr">
        <is>
          <t>👉 [더블클릭] 수행지침 열기 📄</t>
        </is>
      </c>
      <c r="O29" s="25" t="inlineStr">
        <is>
          <t>1) [협력업체 자문] 최소 1~2km 노반 완료 후 궤도 공정에 전달 인계하였는가? (정주건설 자문)
2) [협력업체 자문] 하부 배수박스 위 대형 레미콘/장비 통과 시 구조 하중 안전성을 검토하였는가? (정주건설 자문)</t>
        </is>
      </c>
      <c r="P29" s="27" t="inlineStr">
        <is>
          <t>👉 [더블클릭] 체크리스트 열기 📄</t>
        </is>
      </c>
      <c r="Q29" s="24" t="n"/>
      <c r="R29" s="28" t="inlineStr">
        <is>
          <t>● 상부노반 재료 규격 및 다짐 기준 만족</t>
        </is>
      </c>
      <c r="S29" s="29" t="inlineStr">
        <is>
          <t>1) 👉 [더블클릭] 체크리스트 열기 📄</t>
        </is>
      </c>
      <c r="T29" s="15" t="n"/>
    </row>
    <row r="30" ht="115.2" customHeight="1">
      <c r="A30" s="24" t="inlineStr">
        <is>
          <t>9000</t>
        </is>
      </c>
      <c r="B30" s="24" t="inlineStr">
        <is>
          <t>9000-7</t>
        </is>
      </c>
      <c r="C30" s="26" t="inlineStr">
        <is>
          <t>상부강화노반</t>
        </is>
      </c>
      <c r="D30" s="24" t="inlineStr">
        <is>
          <t>9000-7-29</t>
        </is>
      </c>
      <c r="E30" s="24" t="inlineStr">
        <is>
          <t>D+10~180</t>
        </is>
      </c>
      <c r="F30" s="26" t="inlineStr">
        <is>
          <t>강화노반 시공</t>
        </is>
      </c>
      <c r="G30" s="24" t="inlineStr">
        <is>
          <t>현장 공사팀</t>
        </is>
      </c>
      <c r="H30" s="25" t="inlineStr">
        <is>
          <t>상부노반 상면에 입도조정 쇄석 또는 고로슬래그 쇄석을 포설하여 지지력 확대 및 노반의 액상화 및 연약화 방지</t>
        </is>
      </c>
      <c r="I30" s="25" t="inlineStr">
        <is>
          <t>원지반 지반특성 및 상부노반 두께에 따라서 설계기준에 제시된 맞춤 시공</t>
        </is>
      </c>
      <c r="J30" s="25" t="inlineStr">
        <is>
          <t>검측서, 품질시험성적서</t>
        </is>
      </c>
      <c r="K30" s="25" t="inlineStr">
        <is>
          <t>1) 토질 및 기초 설계기준: KCS 11 00 00 (토공사), KDS 47 10 00 (철도 노반 설계기준) 및 KCS 47 10 25 (강화노반) 규정 완전 이행
2) 지반 지지력 및 변형성 기준: 평판재하시험 지반반력계수 K30 ≥ 110 MN/m³, 변형계수 Ev2 ≥ 120 MPa, 강성 균질성 Ev2/Ev1 ≤ 2.2 충족</t>
        </is>
      </c>
      <c r="L30" s="27" t="inlineStr">
        <is>
          <t>👉 [더블클릭] 표준서 열기 📄</t>
        </is>
      </c>
      <c r="M30" s="25" t="inlineStr">
        <is>
          <t>1) 강화노반 완료 후 하부 공동구 설치 시 노반 침하 및 균열이 발생하지 않도록 역순 시공 시 모래/양질 토사 채움 및 다짐 철저</t>
        </is>
      </c>
      <c r="N30" s="27" t="inlineStr">
        <is>
          <t>👉 [더블클릭] 수행지침 열기 📄</t>
        </is>
      </c>
      <c r="O30" s="25" t="inlineStr">
        <is>
          <t>1) [협력업체 자문] 최소 1~2km 노반 완료 후 궤도 공정에 전달 인계하였는가? (정주건설 자문)
2) [협력업체 자문] 하부 배수박스 위 대형 레미콘/장비 통과 시 구조 하중 안전성을 검토하였는가? (정주건설 자문)</t>
        </is>
      </c>
      <c r="P30" s="27" t="inlineStr">
        <is>
          <t>👉 [더블클릭] 체크리스트 열기 📄</t>
        </is>
      </c>
      <c r="Q30" s="24" t="n"/>
      <c r="R30" s="28" t="inlineStr">
        <is>
          <t>● 입도조정 쇄석 품질 및 다짐도(98% 이상) 준수</t>
        </is>
      </c>
      <c r="S30" s="29" t="inlineStr">
        <is>
          <t>1) 👉 [더블클릭] 체크리스트 열기 📄</t>
        </is>
      </c>
      <c r="T30" s="15" t="n"/>
    </row>
    <row r="31" ht="115.2" customHeight="1">
      <c r="A31" s="24" t="inlineStr">
        <is>
          <t>9000</t>
        </is>
      </c>
      <c r="B31" s="24" t="inlineStr">
        <is>
          <t>9000-7</t>
        </is>
      </c>
      <c r="C31" s="26" t="inlineStr">
        <is>
          <t>상부강화노반</t>
        </is>
      </c>
      <c r="D31" s="24" t="inlineStr">
        <is>
          <t>9000-7-30</t>
        </is>
      </c>
      <c r="E31" s="24" t="inlineStr">
        <is>
          <t>D+45~180</t>
        </is>
      </c>
      <c r="F31" s="26" t="inlineStr">
        <is>
          <t>토공 유동운반/사토</t>
        </is>
      </c>
      <c r="G31" s="24" t="inlineStr">
        <is>
          <t>현장 공사팀</t>
        </is>
      </c>
      <c r="H31" s="25" t="inlineStr">
        <is>
          <t>발생토의 현장유동 또는 사토리</t>
        </is>
      </c>
      <c r="I31" s="25" t="inlineStr">
        <is>
          <t>사토재를 유기물 토사와 분리하고, 성토재료로 부적합 하거나 유동하고 남는 재료는 사토처리</t>
        </is>
      </c>
      <c r="J31" s="25" t="inlineStr">
        <is>
          <t>품질시험성적서, 사토 후 현황측량</t>
        </is>
      </c>
      <c r="K31" s="25" t="inlineStr">
        <is>
          <t>1) 토질 및 기초 설계기준: KCS 11 00 00 (토공사), KDS 47 10 00 (철도 노반 설계기준) 및 KCS 47 10 25 (강화노반) 규정 완전 이행
2) 지반 지지력 및 변형성 기준: 평판재하시험 지반반력계수 K30 ≥ 110 MN/m³, 변형계수 Ev2 ≥ 120 MPa, 강성 균질성 Ev2/Ev1 ≤ 2.2 충족</t>
        </is>
      </c>
      <c r="L31" s="27" t="inlineStr">
        <is>
          <t>👉 [더블클릭] 표준서 열기 📄</t>
        </is>
      </c>
      <c r="M31" s="25" t="inlineStr">
        <is>
          <t>1) 강화노반 완료 후 하부 공동구 설치 시 노반 침하 및 균열이 발생하지 않도록 역순 시공 시 모래/양질 토사 채움 및 다짐 철저</t>
        </is>
      </c>
      <c r="N31" s="27" t="inlineStr">
        <is>
          <t>👉 [더블클릭] 수행지침 열기 📄</t>
        </is>
      </c>
      <c r="O31" s="25" t="inlineStr">
        <is>
          <t>1) [협력업체 자문] 최소 1~2km 노반 완료 후 궤도 공정에 전달 인계하였는가? (정주건설 자문)
2) [협력업체 자문] 하부 배수박스 위 대형 레미콘/장비 통과 시 구조 하중 안전성을 검토하였는가? (정주건설 자문)</t>
        </is>
      </c>
      <c r="P31" s="27" t="inlineStr">
        <is>
          <t>👉 [더블클릭] 체크리스트 열기 📄</t>
        </is>
      </c>
      <c r="Q31" s="24" t="n"/>
      <c r="R31" s="28" t="inlineStr">
        <is>
          <t>● 사토장 운영 및 토량 배분 지침 준수</t>
        </is>
      </c>
      <c r="S31" s="29" t="inlineStr">
        <is>
          <t>1) 👉 [더블클릭] 체크리스트 열기 📄</t>
        </is>
      </c>
      <c r="T31" s="15" t="n"/>
    </row>
    <row r="32" ht="115.2" customHeight="1">
      <c r="A32" s="24" t="inlineStr">
        <is>
          <t>9000</t>
        </is>
      </c>
      <c r="B32" s="24" t="inlineStr">
        <is>
          <t>9000-7</t>
        </is>
      </c>
      <c r="C32" s="26" t="inlineStr">
        <is>
          <t>상부강화노반</t>
        </is>
      </c>
      <c r="D32" s="24" t="inlineStr">
        <is>
          <t>9000-7-31</t>
        </is>
      </c>
      <c r="E32" s="24" t="inlineStr">
        <is>
          <t>D+45~240</t>
        </is>
      </c>
      <c r="F32" s="26" t="inlineStr">
        <is>
          <t>연약지반처리(필요시)</t>
        </is>
      </c>
      <c r="G32" s="24" t="inlineStr">
        <is>
          <t>현장 공사팀/품질팀</t>
        </is>
      </c>
      <c r="H32" s="25" t="inlineStr">
        <is>
          <t>연약의 고하중 시 우려되는 연약지반으로 인한 부등침하 저하 및 연약한 함수를 사전에 예방</t>
        </is>
      </c>
      <c r="I32" s="25" t="inlineStr">
        <is>
          <t>설계서에 제시된 연약지반 개량공법을 노반 성토전/후 단계에서 시공 및 계측 실시</t>
        </is>
      </c>
      <c r="J32" s="25" t="inlineStr">
        <is>
          <t>검측서, 품질시험성적서/연약지반 계측보고서</t>
        </is>
      </c>
      <c r="K32" s="25" t="inlineStr">
        <is>
          <t>1) 토질 및 기초 설계기준: KCS 11 00 00 (토공사), KDS 47 10 00 (철도 노반 설계기준) 및 KCS 47 10 25 (강화노반) 규정 완전 이행
2) 지반 지지력 및 변형성 기준: 평판재하시험 지반반력계수 K30 ≥ 110 MN/m³, 변형계수 Ev2 ≥ 120 MPa, 강성 균질성 Ev2/Ev1 ≤ 2.2 충족</t>
        </is>
      </c>
      <c r="L32" s="27" t="inlineStr">
        <is>
          <t>👉 [더블클릭] 표준서 열기 📄</t>
        </is>
      </c>
      <c r="M32" s="25" t="inlineStr">
        <is>
          <t>1) 강화노반 완료 후 하부 공동구 설치 시 노반 침하 및 균열이 발생하지 않도록 역순 시공 시 모래/양질 토사 채움 및 다짐 철저</t>
        </is>
      </c>
      <c r="N32" s="27" t="inlineStr">
        <is>
          <t>👉 [더블클릭] 수행지침 열기 📄</t>
        </is>
      </c>
      <c r="O32" s="25" t="inlineStr">
        <is>
          <t>1) [협력업체 자문] 최소 1~2km 노반 완료 후 궤도 공정에 전달 인계하였는가? (정주건설 자문)
2) [협력업체 자문] 하부 배수박스 위 대형 레미콘/장비 통과 시 구조 하중 안전성을 검토하였는가? (정주건설 자문)</t>
        </is>
      </c>
      <c r="P32" s="27" t="inlineStr">
        <is>
          <t>👉 [더블클릭] 체크리스트 열기 📄</t>
        </is>
      </c>
      <c r="Q32" s="24" t="n"/>
      <c r="R32" s="28" t="inlineStr">
        <is>
          <t>● 개량 공법 규격 및 침하량 관리 기준 준수</t>
        </is>
      </c>
      <c r="S32" s="29" t="inlineStr">
        <is>
          <t>1) 👉 [더블클릭] 체크리스트 열기 📄</t>
        </is>
      </c>
      <c r="T32" s="15" t="n"/>
    </row>
    <row r="33" ht="115.2" customHeight="1">
      <c r="A33" s="24" t="inlineStr">
        <is>
          <t>9000</t>
        </is>
      </c>
      <c r="B33" s="24" t="inlineStr">
        <is>
          <t>9000-7</t>
        </is>
      </c>
      <c r="C33" s="26" t="inlineStr">
        <is>
          <t>상부강화노반</t>
        </is>
      </c>
      <c r="D33" s="24" t="inlineStr">
        <is>
          <t>9000-7-32</t>
        </is>
      </c>
      <c r="E33" s="24" t="inlineStr">
        <is>
          <t>D+45~180</t>
        </is>
      </c>
      <c r="F33" s="26" t="inlineStr">
        <is>
          <t>절성토경계부 배수구조물(맹암거) 시공</t>
        </is>
      </c>
      <c r="G33" s="24" t="inlineStr">
        <is>
          <t>현장 공사팀</t>
        </is>
      </c>
      <c r="H33" s="25" t="inlineStr">
        <is>
          <t>절성토 경계부의 배수를 원활하게 하여 노반의 부등침하 방지</t>
        </is>
      </c>
      <c r="I33" s="25" t="inlineStr">
        <is>
          <t>절성토경계부에 동방향 맹암거(유공관) 설치(집수정 연결) 및 골재포설 후 다짐</t>
        </is>
      </c>
      <c r="J33" s="25" t="inlineStr">
        <is>
          <t>검측서, 시공상세도</t>
        </is>
      </c>
      <c r="K33" s="25" t="inlineStr">
        <is>
          <t>1) 토질 및 기초 설계기준: KCS 11 00 00 (토공사), KDS 47 10 00 (철도 노반 설계기준) 및 KCS 47 10 25 (강화노반) 규정 완전 이행
2) 지반 지지력 및 변형성 기준: 평판재하시험 지반반력계수 K30 ≥ 110 MN/m³, 변형계수 Ev2 ≥ 120 MPa, 강성 균질성 Ev2/Ev1 ≤ 2.2 충족</t>
        </is>
      </c>
      <c r="L33" s="27" t="inlineStr">
        <is>
          <t>👉 [더블클릭] 표준서 열기 📄</t>
        </is>
      </c>
      <c r="M33" s="25" t="inlineStr">
        <is>
          <t>1) 강화노반 완료 후 하부 공동구 설치 시 노반 침하 및 균열이 발생하지 않도록 역순 시공 시 모래/양질 토사 채움 및 다짐 철저</t>
        </is>
      </c>
      <c r="N33" s="27" t="inlineStr">
        <is>
          <t>👉 [더블클릭] 수행지침 열기 📄</t>
        </is>
      </c>
      <c r="O33" s="25" t="inlineStr">
        <is>
          <t>1) [협력업체 자문] 최소 1~2km 노반 완료 후 궤도 공정에 전달 인계하였는가? (정주건설 자문)
2) [협력업체 자문] 하부 배수박스 위 대형 레미콘/장비 통과 시 구조 하중 안전성을 검토하였는가? (정주건설 자문)</t>
        </is>
      </c>
      <c r="P33" s="27" t="inlineStr">
        <is>
          <t>👉 [더블클릭] 체크리스트 열기 📄</t>
        </is>
      </c>
      <c r="Q33" s="24" t="n"/>
      <c r="R33" s="28" t="inlineStr">
        <is>
          <t>● 맹암거 구배 및 필터재료 규격 준수</t>
        </is>
      </c>
      <c r="S33" s="29" t="inlineStr">
        <is>
          <t>1) 👉 [더블클릭] 체크리스트 열기 📄</t>
        </is>
      </c>
      <c r="T33" s="15" t="n"/>
    </row>
    <row r="34" ht="115.2" customHeight="1">
      <c r="A34" s="24" t="inlineStr">
        <is>
          <t>9000</t>
        </is>
      </c>
      <c r="B34" s="24" t="inlineStr">
        <is>
          <t>9000-7</t>
        </is>
      </c>
      <c r="C34" s="26" t="inlineStr">
        <is>
          <t>상부강화노반</t>
        </is>
      </c>
      <c r="D34" s="24" t="inlineStr">
        <is>
          <t>9000-7-33</t>
        </is>
      </c>
      <c r="E34" s="24" t="inlineStr">
        <is>
          <t>D+45~180</t>
        </is>
      </c>
      <c r="F34" s="26" t="inlineStr">
        <is>
          <t>암석쌓기</t>
        </is>
      </c>
      <c r="G34" s="24" t="inlineStr">
        <is>
          <t>현장 공사팀</t>
        </is>
      </c>
      <c r="H34" s="25" t="inlineStr">
        <is>
          <t>쌓기에 사용되는 재료는 깎기나 터널 굴착에서 발생된 토사, 암버럭을 우선적으로 활용</t>
        </is>
      </c>
      <c r="I34" s="25" t="inlineStr">
        <is>
          <t>암석쌓기 재료는 연암 또는 경암이어야 하며 최대입경은 300mm 이하</t>
        </is>
      </c>
      <c r="J34" s="25" t="inlineStr">
        <is>
          <t>검측서, 품질시험성적서</t>
        </is>
      </c>
      <c r="K34" s="25" t="inlineStr">
        <is>
          <t>1) 토질 및 기초 설계기준: KCS 11 00 00 (토공사), KDS 47 10 00 (철도 노반 설계기준) 및 KCS 47 10 25 (강화노반) 규정 완전 이행
2) 지반 지지력 및 변형성 기준: 평판재하시험 지반반력계수 K30 ≥ 110 MN/m³, 변형계수 Ev2 ≥ 120 MPa, 강성 균질성 Ev2/Ev1 ≤ 2.2 충족</t>
        </is>
      </c>
      <c r="L34" s="27" t="inlineStr">
        <is>
          <t>👉 [더블클릭] 표준서 열기 📄</t>
        </is>
      </c>
      <c r="M34" s="25" t="inlineStr">
        <is>
          <t>1) 강화노반 완료 후 하부 공동구 설치 시 노반 침하 및 균열이 발생하지 않도록 역순 시공 시 모래/양질 토사 채움 및 다짐 철저</t>
        </is>
      </c>
      <c r="N34" s="27" t="inlineStr">
        <is>
          <t>👉 [더블클릭] 수행지침 열기 📄</t>
        </is>
      </c>
      <c r="O34" s="25" t="inlineStr">
        <is>
          <t>1) [협력업체 자문] 최소 1~2km 노반 완료 후 궤도 공정에 전달 인계하였는가? (정주건설 자문)
2) [협력업체 자문] 하부 배수박스 위 대형 레미콘/장비 통과 시 구조 하중 안전성을 검토하였는가? (정주건설 자문)</t>
        </is>
      </c>
      <c r="P34" s="27" t="inlineStr">
        <is>
          <t>👉 [더블클릭] 체크리스트 열기 📄</t>
        </is>
      </c>
      <c r="Q34" s="24" t="n"/>
      <c r="R34" s="28" t="inlineStr">
        <is>
          <t>● 암석 최대 치수 및 공극 충전 공법 준수</t>
        </is>
      </c>
      <c r="S34" s="29" t="inlineStr">
        <is>
          <t>1) 👉 [더블클릭] 체크리스트 열기 📄</t>
        </is>
      </c>
      <c r="T34" s="15" t="n"/>
    </row>
    <row r="35" ht="115.2" customHeight="1">
      <c r="A35" s="24" t="inlineStr">
        <is>
          <t>9000</t>
        </is>
      </c>
      <c r="B35" s="24" t="inlineStr">
        <is>
          <t>9000-7</t>
        </is>
      </c>
      <c r="C35" s="26" t="inlineStr">
        <is>
          <t>상부강화노반</t>
        </is>
      </c>
      <c r="D35" s="24" t="inlineStr">
        <is>
          <t>9000-7-34</t>
        </is>
      </c>
      <c r="E35" s="24" t="inlineStr">
        <is>
          <t>D+45~180</t>
        </is>
      </c>
      <c r="F35" s="26" t="inlineStr">
        <is>
          <t>방치기간 확보</t>
        </is>
      </c>
      <c r="G35" s="24" t="inlineStr">
        <is>
          <t>현장 공사팀</t>
        </is>
      </c>
      <c r="H35" s="25" t="inlineStr">
        <is>
          <t>노반 성토구간의 침하 방지 및 연착륙 행이후 보수 최소화</t>
        </is>
      </c>
      <c r="I35" s="25" t="inlineStr">
        <is>
          <t>성토 시공 완료후부터 강화노반이나 궤도 공사 시작까지의 사이에 방치기간을 가능한 장기간 설정</t>
        </is>
      </c>
      <c r="J35" s="25" t="inlineStr">
        <is>
          <t>계측보고서</t>
        </is>
      </c>
      <c r="K35" s="25" t="inlineStr">
        <is>
          <t>1) 토질 및 기초 설계기준: KCS 11 00 00 (토공사), KDS 47 10 00 (철도 노반 설계기준) 및 KCS 47 10 25 (강화노반) 규정 완전 이행
2) 지반 지지력 및 변형성 기준: 평판재하시험 지반반력계수 K30 ≥ 110 MN/m³, 변형계수 Ev2 ≥ 120 MPa, 강성 균질성 Ev2/Ev1 ≤ 2.2 충족</t>
        </is>
      </c>
      <c r="L35" s="27" t="inlineStr">
        <is>
          <t>👉 [더블클릭] 표준서 열기 📄</t>
        </is>
      </c>
      <c r="M35" s="25" t="inlineStr">
        <is>
          <t>1) 강화노반 완료 후 하부 공동구 설치 시 노반 침하 및 균열이 발생하지 않도록 역순 시공 시 모래/양질 토사 채움 및 다짐 철저</t>
        </is>
      </c>
      <c r="N35" s="27" t="inlineStr">
        <is>
          <t>👉 [더블클릭] 수행지침 열기 📄</t>
        </is>
      </c>
      <c r="O35" s="25" t="inlineStr">
        <is>
          <t>1) [협력업체 자문] 최소 1~2km 노반 완료 후 궤도 공정에 전달 인계하였는가? (정주건설 자문)
2) [협력업체 자문] 하부 배수박스 위 대형 레미콘/장비 통과 시 구조 하중 안전성을 검토하였는가? (정주건설 자문)</t>
        </is>
      </c>
      <c r="P35" s="27" t="inlineStr">
        <is>
          <t>👉 [더블클릭] 체크리스트 열기 📄</t>
        </is>
      </c>
      <c r="Q35" s="24" t="n"/>
      <c r="R35" s="28" t="inlineStr">
        <is>
          <t>● 노반 잔류침하량 수렴 기준 확인</t>
        </is>
      </c>
      <c r="S35" s="29" t="inlineStr">
        <is>
          <t>1) 👉 [더블클릭] 체크리스트 열기 📄</t>
        </is>
      </c>
      <c r="T35" s="15" t="n"/>
    </row>
    <row r="36" ht="115.2" customHeight="1">
      <c r="A36" s="24" t="inlineStr">
        <is>
          <t>9000</t>
        </is>
      </c>
      <c r="B36" s="24" t="inlineStr">
        <is>
          <t>9000-7</t>
        </is>
      </c>
      <c r="C36" s="26" t="inlineStr">
        <is>
          <t>상부강화노반</t>
        </is>
      </c>
      <c r="D36" s="24" t="inlineStr">
        <is>
          <t>9000-7-35</t>
        </is>
      </c>
      <c r="E36" s="24" t="inlineStr">
        <is>
          <t>D+55~240</t>
        </is>
      </c>
      <c r="F36" s="26" t="inlineStr">
        <is>
          <t>토공마무리</t>
        </is>
      </c>
      <c r="G36" s="24" t="inlineStr">
        <is>
          <t>현장 공사팀</t>
        </is>
      </c>
      <c r="H36" s="25" t="inlineStr">
        <is>
          <t>균일한 마무리면 형성 및 보호조치</t>
        </is>
      </c>
      <c r="I36" s="25" t="inlineStr">
        <is>
          <t>시공기면(F.L)(강화노반)에는 잔류침하 영향의 3% 배수기울기를 확보하여 물고임이 없도록 하고, 비탈면은 보호공 시공시까지 보호조치</t>
        </is>
      </c>
      <c r="J36" s="25" t="inlineStr">
        <is>
          <t>검측서</t>
        </is>
      </c>
      <c r="K36" s="25" t="inlineStr">
        <is>
          <t>1) 토질 및 기초 설계기준: KCS 11 00 00 (토공사), KDS 47 10 00 (철도 노반 설계기준) 및 KCS 47 10 25 (강화노반) 규정 완전 이행
2) 지반 지지력 및 변형성 기준: 평판재하시험 지반반력계수 K30 ≥ 110 MN/m³, 변형계수 Ev2 ≥ 120 MPa, 강성 균질성 Ev2/Ev1 ≤ 2.2 충족</t>
        </is>
      </c>
      <c r="L36" s="27" t="inlineStr">
        <is>
          <t>👉 [더블클릭] 표준서 열기 📄</t>
        </is>
      </c>
      <c r="M36" s="25" t="inlineStr">
        <is>
          <t>1) 강화노반 완료 후 하부 공동구 설치 시 노반 침하 및 균열이 발생하지 않도록 역순 시공 시 모래/양질 토사 채움 및 다짐 철저</t>
        </is>
      </c>
      <c r="N36" s="27" t="inlineStr">
        <is>
          <t>👉 [더블클릭] 수행지침 열기 📄</t>
        </is>
      </c>
      <c r="O36" s="25" t="inlineStr">
        <is>
          <t>1) [협력업체 자문] 최소 1~2km 노반 완료 후 궤도 공정에 전달 인계하였는가? (정주건설 자문)
2) [협력업체 자문] 하부 배수박스 위 대형 레미콘/장비 통과 시 구조 하중 안전성을 검토하였는가? (정주건설 자문)</t>
        </is>
      </c>
      <c r="P36" s="27" t="inlineStr">
        <is>
          <t>👉 [더블클릭] 체크리스트 열기 📄</t>
        </is>
      </c>
      <c r="Q36" s="24" t="n"/>
      <c r="R36" s="28" t="inlineStr">
        <is>
          <t>● 설계 종횡단 경사 및 평탄성 만족</t>
        </is>
      </c>
      <c r="S36" s="29" t="inlineStr">
        <is>
          <t>1) 👉 [더블클릭] 체크리스트 열기 📄</t>
        </is>
      </c>
      <c r="T36" s="15" t="n"/>
    </row>
    <row r="37" ht="96" customHeight="1">
      <c r="A37" s="24" t="inlineStr">
        <is>
          <t>9000</t>
        </is>
      </c>
      <c r="B37" s="24" t="inlineStr">
        <is>
          <t>9000-7</t>
        </is>
      </c>
      <c r="C37" s="26" t="inlineStr">
        <is>
          <t>상부강화노반</t>
        </is>
      </c>
      <c r="D37" s="24" t="inlineStr">
        <is>
          <t>9000-7-36</t>
        </is>
      </c>
      <c r="E37" s="24" t="inlineStr">
        <is>
          <t>D+55~240</t>
        </is>
      </c>
      <c r="F37" s="26" t="inlineStr">
        <is>
          <t>토공 마무리면 인계</t>
        </is>
      </c>
      <c r="G37" s="24" t="inlineStr">
        <is>
          <t>현장 공사팀/품질팀</t>
        </is>
      </c>
      <c r="H37" s="25" t="inlineStr">
        <is>
          <t>후속공종 인계(궤도분야)</t>
        </is>
      </c>
      <c r="I37" s="25" t="inlineStr">
        <is>
          <t>강화노반 마무리면의 평탄성 및 두께 검사, 다짐도시험 실시(50m마다), 선로중심점 측정</t>
        </is>
      </c>
      <c r="J37" s="25" t="inlineStr">
        <is>
          <t>강화노반 마무리면 인수인계서</t>
        </is>
      </c>
      <c r="K37" s="25" t="inlineStr">
        <is>
          <t>1) 노반 반력계수 (Subgrade Modulus): K30 ≥ 110 MN/m³ (평판재하시험)
2) 변형계수 (Strain Modulus): Ev2 ≥ 120 MPa, 변형비 Ev2/Ev1 ≤ 2.2</t>
        </is>
      </c>
      <c r="L37" s="27" t="inlineStr">
        <is>
          <t>👉 [더블클릭] 표준서 열기 📄</t>
        </is>
      </c>
      <c r="M37" s="25" t="inlineStr">
        <is>
          <t>1) 품질/측량 검측 종합 서류(K30 성적서, 3D 측량 도면 등) 집성, 합동 점검 일정을 사전 수립한다.
2) GRS80 세계측지계 좌표 및 TBM 가수준점 확인, 중심선 오차 ≤ ±10mm 검증을 완료한다.</t>
        </is>
      </c>
      <c r="N37" s="27" t="inlineStr">
        <is>
          <t>👉 [더블클릭] 수행지침 열기 📄</t>
        </is>
      </c>
      <c r="O37" s="25" t="inlineStr">
        <is>
          <t>1) 강화노반 반력계수 K30 ≥ 110 MN/m³ (PBT 시험) 적격 여부를 확인하였는가?
2) 변형계수 Ev2 ≥ 120 MPa 및 변형비 Ev2/Ev1 ≤ 2.2 시방 기준 만족 여부를 확인하였는가?</t>
        </is>
      </c>
      <c r="P37" s="27" t="inlineStr">
        <is>
          <t>👉 [더블클릭] 체크리스트 열기 📄</t>
        </is>
      </c>
      <c r="Q37" s="24" t="n"/>
      <c r="R37" s="28" t="inlineStr">
        <is>
          <t>● 후속 공종 인도 기준 오차 관리</t>
        </is>
      </c>
      <c r="S37" s="29" t="inlineStr">
        <is>
          <t>1) 👉 [더블클릭] 체크리스트 열기 📄</t>
        </is>
      </c>
      <c r="T37" s="15" t="n"/>
    </row>
  </sheetData>
  <hyperlinks>
    <hyperlink xmlns:r="http://schemas.openxmlformats.org/officeDocument/2006/relationships" ref="L2" r:id="rId1"/>
    <hyperlink xmlns:r="http://schemas.openxmlformats.org/officeDocument/2006/relationships" ref="N2" r:id="rId2"/>
    <hyperlink xmlns:r="http://schemas.openxmlformats.org/officeDocument/2006/relationships" ref="P2" r:id="rId3"/>
    <hyperlink xmlns:r="http://schemas.openxmlformats.org/officeDocument/2006/relationships" ref="L3" r:id="rId4"/>
    <hyperlink xmlns:r="http://schemas.openxmlformats.org/officeDocument/2006/relationships" ref="N3" r:id="rId5"/>
    <hyperlink xmlns:r="http://schemas.openxmlformats.org/officeDocument/2006/relationships" ref="P3" r:id="rId6"/>
    <hyperlink xmlns:r="http://schemas.openxmlformats.org/officeDocument/2006/relationships" ref="L4" r:id="rId7"/>
    <hyperlink xmlns:r="http://schemas.openxmlformats.org/officeDocument/2006/relationships" ref="N4" r:id="rId8"/>
    <hyperlink xmlns:r="http://schemas.openxmlformats.org/officeDocument/2006/relationships" ref="P4" r:id="rId9"/>
    <hyperlink xmlns:r="http://schemas.openxmlformats.org/officeDocument/2006/relationships" ref="L5" r:id="rId10"/>
    <hyperlink xmlns:r="http://schemas.openxmlformats.org/officeDocument/2006/relationships" ref="N5" r:id="rId11"/>
    <hyperlink xmlns:r="http://schemas.openxmlformats.org/officeDocument/2006/relationships" ref="P5" r:id="rId12"/>
    <hyperlink xmlns:r="http://schemas.openxmlformats.org/officeDocument/2006/relationships" ref="L6" r:id="rId13"/>
    <hyperlink xmlns:r="http://schemas.openxmlformats.org/officeDocument/2006/relationships" ref="N6" r:id="rId14"/>
    <hyperlink xmlns:r="http://schemas.openxmlformats.org/officeDocument/2006/relationships" ref="P6" r:id="rId15"/>
    <hyperlink xmlns:r="http://schemas.openxmlformats.org/officeDocument/2006/relationships" ref="L7" r:id="rId16"/>
    <hyperlink xmlns:r="http://schemas.openxmlformats.org/officeDocument/2006/relationships" ref="N7" r:id="rId17"/>
    <hyperlink xmlns:r="http://schemas.openxmlformats.org/officeDocument/2006/relationships" ref="P7" r:id="rId18"/>
    <hyperlink xmlns:r="http://schemas.openxmlformats.org/officeDocument/2006/relationships" ref="L8" r:id="rId19"/>
    <hyperlink xmlns:r="http://schemas.openxmlformats.org/officeDocument/2006/relationships" ref="N8" r:id="rId20"/>
    <hyperlink xmlns:r="http://schemas.openxmlformats.org/officeDocument/2006/relationships" ref="P8" r:id="rId21"/>
    <hyperlink xmlns:r="http://schemas.openxmlformats.org/officeDocument/2006/relationships" ref="L9" r:id="rId22"/>
    <hyperlink xmlns:r="http://schemas.openxmlformats.org/officeDocument/2006/relationships" ref="N9" r:id="rId23"/>
    <hyperlink xmlns:r="http://schemas.openxmlformats.org/officeDocument/2006/relationships" ref="P9" r:id="rId24"/>
    <hyperlink xmlns:r="http://schemas.openxmlformats.org/officeDocument/2006/relationships" ref="L10" r:id="rId25"/>
    <hyperlink xmlns:r="http://schemas.openxmlformats.org/officeDocument/2006/relationships" ref="N10" r:id="rId26"/>
    <hyperlink xmlns:r="http://schemas.openxmlformats.org/officeDocument/2006/relationships" ref="P10" r:id="rId27"/>
    <hyperlink xmlns:r="http://schemas.openxmlformats.org/officeDocument/2006/relationships" ref="L11" r:id="rId28"/>
    <hyperlink xmlns:r="http://schemas.openxmlformats.org/officeDocument/2006/relationships" ref="N11" r:id="rId29"/>
    <hyperlink xmlns:r="http://schemas.openxmlformats.org/officeDocument/2006/relationships" ref="P11" r:id="rId30"/>
    <hyperlink xmlns:r="http://schemas.openxmlformats.org/officeDocument/2006/relationships" ref="L12" r:id="rId31"/>
    <hyperlink xmlns:r="http://schemas.openxmlformats.org/officeDocument/2006/relationships" ref="N12" r:id="rId32"/>
    <hyperlink xmlns:r="http://schemas.openxmlformats.org/officeDocument/2006/relationships" ref="P12" r:id="rId33"/>
    <hyperlink xmlns:r="http://schemas.openxmlformats.org/officeDocument/2006/relationships" ref="L13" r:id="rId34"/>
    <hyperlink xmlns:r="http://schemas.openxmlformats.org/officeDocument/2006/relationships" ref="N13" r:id="rId35"/>
    <hyperlink xmlns:r="http://schemas.openxmlformats.org/officeDocument/2006/relationships" ref="P13" r:id="rId36"/>
    <hyperlink xmlns:r="http://schemas.openxmlformats.org/officeDocument/2006/relationships" ref="L14" r:id="rId37"/>
    <hyperlink xmlns:r="http://schemas.openxmlformats.org/officeDocument/2006/relationships" ref="N14" r:id="rId38"/>
    <hyperlink xmlns:r="http://schemas.openxmlformats.org/officeDocument/2006/relationships" ref="P14" r:id="rId39"/>
    <hyperlink xmlns:r="http://schemas.openxmlformats.org/officeDocument/2006/relationships" ref="L15" r:id="rId40"/>
    <hyperlink xmlns:r="http://schemas.openxmlformats.org/officeDocument/2006/relationships" ref="N15" r:id="rId41"/>
    <hyperlink xmlns:r="http://schemas.openxmlformats.org/officeDocument/2006/relationships" ref="P15" r:id="rId42"/>
    <hyperlink xmlns:r="http://schemas.openxmlformats.org/officeDocument/2006/relationships" ref="L16" r:id="rId43"/>
    <hyperlink xmlns:r="http://schemas.openxmlformats.org/officeDocument/2006/relationships" ref="N16" r:id="rId44"/>
    <hyperlink xmlns:r="http://schemas.openxmlformats.org/officeDocument/2006/relationships" ref="P16" r:id="rId45"/>
    <hyperlink xmlns:r="http://schemas.openxmlformats.org/officeDocument/2006/relationships" ref="L17" r:id="rId46"/>
    <hyperlink xmlns:r="http://schemas.openxmlformats.org/officeDocument/2006/relationships" ref="N17" r:id="rId47"/>
    <hyperlink xmlns:r="http://schemas.openxmlformats.org/officeDocument/2006/relationships" ref="P17" r:id="rId48"/>
    <hyperlink xmlns:r="http://schemas.openxmlformats.org/officeDocument/2006/relationships" ref="L18" r:id="rId49"/>
    <hyperlink xmlns:r="http://schemas.openxmlformats.org/officeDocument/2006/relationships" ref="N18" r:id="rId50"/>
    <hyperlink xmlns:r="http://schemas.openxmlformats.org/officeDocument/2006/relationships" ref="P18" r:id="rId51"/>
    <hyperlink xmlns:r="http://schemas.openxmlformats.org/officeDocument/2006/relationships" ref="L19" r:id="rId52"/>
    <hyperlink xmlns:r="http://schemas.openxmlformats.org/officeDocument/2006/relationships" ref="N19" r:id="rId53"/>
    <hyperlink xmlns:r="http://schemas.openxmlformats.org/officeDocument/2006/relationships" ref="P19" r:id="rId54"/>
    <hyperlink xmlns:r="http://schemas.openxmlformats.org/officeDocument/2006/relationships" ref="L20" r:id="rId55"/>
    <hyperlink xmlns:r="http://schemas.openxmlformats.org/officeDocument/2006/relationships" ref="N20" r:id="rId56"/>
    <hyperlink xmlns:r="http://schemas.openxmlformats.org/officeDocument/2006/relationships" ref="P20" r:id="rId57"/>
    <hyperlink xmlns:r="http://schemas.openxmlformats.org/officeDocument/2006/relationships" ref="L21" r:id="rId58"/>
    <hyperlink xmlns:r="http://schemas.openxmlformats.org/officeDocument/2006/relationships" ref="N21" r:id="rId59"/>
    <hyperlink xmlns:r="http://schemas.openxmlformats.org/officeDocument/2006/relationships" ref="P21" r:id="rId60"/>
    <hyperlink xmlns:r="http://schemas.openxmlformats.org/officeDocument/2006/relationships" ref="L22" r:id="rId61"/>
    <hyperlink xmlns:r="http://schemas.openxmlformats.org/officeDocument/2006/relationships" ref="N22" r:id="rId62"/>
    <hyperlink xmlns:r="http://schemas.openxmlformats.org/officeDocument/2006/relationships" ref="P22" r:id="rId63"/>
    <hyperlink xmlns:r="http://schemas.openxmlformats.org/officeDocument/2006/relationships" ref="L23" r:id="rId64"/>
    <hyperlink xmlns:r="http://schemas.openxmlformats.org/officeDocument/2006/relationships" ref="N23" r:id="rId65"/>
    <hyperlink xmlns:r="http://schemas.openxmlformats.org/officeDocument/2006/relationships" ref="P23" r:id="rId66"/>
    <hyperlink xmlns:r="http://schemas.openxmlformats.org/officeDocument/2006/relationships" ref="L24" r:id="rId67"/>
    <hyperlink xmlns:r="http://schemas.openxmlformats.org/officeDocument/2006/relationships" ref="N24" r:id="rId68"/>
    <hyperlink xmlns:r="http://schemas.openxmlformats.org/officeDocument/2006/relationships" ref="P24" r:id="rId69"/>
    <hyperlink xmlns:r="http://schemas.openxmlformats.org/officeDocument/2006/relationships" ref="L25" r:id="rId70"/>
    <hyperlink xmlns:r="http://schemas.openxmlformats.org/officeDocument/2006/relationships" ref="N25" r:id="rId71"/>
    <hyperlink xmlns:r="http://schemas.openxmlformats.org/officeDocument/2006/relationships" ref="P25" r:id="rId72"/>
    <hyperlink xmlns:r="http://schemas.openxmlformats.org/officeDocument/2006/relationships" ref="L26" r:id="rId73"/>
    <hyperlink xmlns:r="http://schemas.openxmlformats.org/officeDocument/2006/relationships" ref="N26" r:id="rId74"/>
    <hyperlink xmlns:r="http://schemas.openxmlformats.org/officeDocument/2006/relationships" ref="P26" r:id="rId75"/>
    <hyperlink xmlns:r="http://schemas.openxmlformats.org/officeDocument/2006/relationships" ref="L27" r:id="rId76"/>
    <hyperlink xmlns:r="http://schemas.openxmlformats.org/officeDocument/2006/relationships" ref="N27" r:id="rId77"/>
    <hyperlink xmlns:r="http://schemas.openxmlformats.org/officeDocument/2006/relationships" ref="P27" r:id="rId78"/>
    <hyperlink xmlns:r="http://schemas.openxmlformats.org/officeDocument/2006/relationships" ref="L28" r:id="rId79"/>
    <hyperlink xmlns:r="http://schemas.openxmlformats.org/officeDocument/2006/relationships" ref="N28" r:id="rId80"/>
    <hyperlink xmlns:r="http://schemas.openxmlformats.org/officeDocument/2006/relationships" ref="P28" r:id="rId81"/>
    <hyperlink xmlns:r="http://schemas.openxmlformats.org/officeDocument/2006/relationships" ref="L29" r:id="rId82"/>
    <hyperlink xmlns:r="http://schemas.openxmlformats.org/officeDocument/2006/relationships" ref="N29" r:id="rId83"/>
    <hyperlink xmlns:r="http://schemas.openxmlformats.org/officeDocument/2006/relationships" ref="P29" r:id="rId84"/>
    <hyperlink xmlns:r="http://schemas.openxmlformats.org/officeDocument/2006/relationships" ref="L30" r:id="rId85"/>
    <hyperlink xmlns:r="http://schemas.openxmlformats.org/officeDocument/2006/relationships" ref="N30" r:id="rId86"/>
    <hyperlink xmlns:r="http://schemas.openxmlformats.org/officeDocument/2006/relationships" ref="P30" r:id="rId87"/>
    <hyperlink xmlns:r="http://schemas.openxmlformats.org/officeDocument/2006/relationships" ref="L31" r:id="rId88"/>
    <hyperlink xmlns:r="http://schemas.openxmlformats.org/officeDocument/2006/relationships" ref="N31" r:id="rId89"/>
    <hyperlink xmlns:r="http://schemas.openxmlformats.org/officeDocument/2006/relationships" ref="P31" r:id="rId90"/>
    <hyperlink xmlns:r="http://schemas.openxmlformats.org/officeDocument/2006/relationships" ref="L32" r:id="rId91"/>
    <hyperlink xmlns:r="http://schemas.openxmlformats.org/officeDocument/2006/relationships" ref="N32" r:id="rId92"/>
    <hyperlink xmlns:r="http://schemas.openxmlformats.org/officeDocument/2006/relationships" ref="P32" r:id="rId93"/>
    <hyperlink xmlns:r="http://schemas.openxmlformats.org/officeDocument/2006/relationships" ref="L33" r:id="rId94"/>
    <hyperlink xmlns:r="http://schemas.openxmlformats.org/officeDocument/2006/relationships" ref="N33" r:id="rId95"/>
    <hyperlink xmlns:r="http://schemas.openxmlformats.org/officeDocument/2006/relationships" ref="P33" r:id="rId96"/>
    <hyperlink xmlns:r="http://schemas.openxmlformats.org/officeDocument/2006/relationships" ref="L34" r:id="rId97"/>
    <hyperlink xmlns:r="http://schemas.openxmlformats.org/officeDocument/2006/relationships" ref="N34" r:id="rId98"/>
    <hyperlink xmlns:r="http://schemas.openxmlformats.org/officeDocument/2006/relationships" ref="P34" r:id="rId99"/>
    <hyperlink xmlns:r="http://schemas.openxmlformats.org/officeDocument/2006/relationships" ref="L35" r:id="rId100"/>
    <hyperlink xmlns:r="http://schemas.openxmlformats.org/officeDocument/2006/relationships" ref="N35" r:id="rId101"/>
    <hyperlink xmlns:r="http://schemas.openxmlformats.org/officeDocument/2006/relationships" ref="P35" r:id="rId102"/>
    <hyperlink xmlns:r="http://schemas.openxmlformats.org/officeDocument/2006/relationships" ref="L36" r:id="rId103"/>
    <hyperlink xmlns:r="http://schemas.openxmlformats.org/officeDocument/2006/relationships" ref="N36" r:id="rId104"/>
    <hyperlink xmlns:r="http://schemas.openxmlformats.org/officeDocument/2006/relationships" ref="P36" r:id="rId105"/>
    <hyperlink xmlns:r="http://schemas.openxmlformats.org/officeDocument/2006/relationships" ref="L37" r:id="rId106"/>
    <hyperlink xmlns:r="http://schemas.openxmlformats.org/officeDocument/2006/relationships" ref="N37" r:id="rId107"/>
    <hyperlink xmlns:r="http://schemas.openxmlformats.org/officeDocument/2006/relationships" ref="P37" r:id="rId108"/>
  </hyperlinks>
  <printOptions horizontalCentered="1"/>
  <pageMargins left="0.7480314960629921" right="0.7480314960629921" top="0.984251968503937" bottom="0.984251968503937" header="0.5118110236220472" footer="0.5118110236220472"/>
  <pageSetup orientation="landscape" paperSize="8" scale="34" verticalDpi="0"/>
</worksheet>
</file>

<file path=xl/worksheets/sheet5.xml><?xml version="1.0" encoding="utf-8"?>
<worksheet xmlns="http://schemas.openxmlformats.org/spreadsheetml/2006/main">
  <sheetPr>
    <outlinePr summaryBelow="1" summaryRight="1"/>
    <pageSetUpPr/>
  </sheetPr>
  <dimension ref="A1:T24"/>
  <sheetViews>
    <sheetView view="pageBreakPreview" zoomScale="40" zoomScaleNormal="55" zoomScaleSheetLayoutView="40" workbookViewId="0">
      <selection activeCell="F4" sqref="F4"/>
    </sheetView>
  </sheetViews>
  <sheetFormatPr baseColWidth="8" defaultColWidth="11.8984375" defaultRowHeight="19.2"/>
  <cols>
    <col width="11.8984375" customWidth="1" style="4" min="1" max="3"/>
    <col width="11.8984375" customWidth="1" style="5" min="4" max="4"/>
    <col width="11.8984375" customWidth="1" style="6" min="5" max="5"/>
    <col width="17.19921875" customWidth="1" style="5" min="6" max="6"/>
    <col width="11.8984375" customWidth="1" style="5" min="7" max="7"/>
    <col width="21.8984375" customWidth="1" style="4" min="8" max="8"/>
    <col width="99.69921875" customWidth="1" style="5" min="9" max="9"/>
    <col width="17.3984375" customWidth="1" style="5" min="10" max="10"/>
    <col width="60.09765625" bestFit="1" customWidth="1" style="4" min="11" max="11"/>
    <col width="11.8984375" customWidth="1" style="4" min="12" max="12"/>
    <col width="64.296875" bestFit="1" customWidth="1" style="4" min="13" max="13"/>
    <col width="9.69921875" customWidth="1" style="4" min="14" max="14"/>
    <col width="32.796875" bestFit="1" customWidth="1" style="4" min="15" max="15"/>
    <col width="8.3984375" customWidth="1" min="16" max="16"/>
    <col width="11.8984375" customWidth="1" style="4" min="17" max="17"/>
    <col width="11.8984375" customWidth="1" min="18" max="19"/>
    <col width="11.8984375" customWidth="1" style="4" min="20" max="23"/>
    <col width="11.8984375" customWidth="1" style="4" min="24" max="16384"/>
  </cols>
  <sheetData>
    <row r="1" ht="46.8" customHeight="1">
      <c r="A1" s="8" t="inlineStr">
        <is>
          <t>L2 코드</t>
        </is>
      </c>
      <c r="B1" s="8" t="inlineStr">
        <is>
          <t>L3 코드</t>
        </is>
      </c>
      <c r="C1" s="8" t="inlineStr">
        <is>
          <t>L3 대공종명</t>
        </is>
      </c>
      <c r="D1" s="8" t="inlineStr">
        <is>
          <t>L4 코드</t>
        </is>
      </c>
      <c r="E1" s="8" t="inlineStr">
        <is>
          <t>일정 (D-Day)</t>
        </is>
      </c>
      <c r="F1" s="8" t="inlineStr">
        <is>
          <t>작업단위 (Level 4 Task/Activity)</t>
        </is>
      </c>
      <c r="G1" s="8" t="inlineStr">
        <is>
          <t>주관</t>
        </is>
      </c>
      <c r="H1" s="8" t="inlineStr">
        <is>
          <t>목적</t>
        </is>
      </c>
      <c r="I1" s="8" t="inlineStr">
        <is>
          <t>방법</t>
        </is>
      </c>
      <c r="J1" s="8" t="inlineStr">
        <is>
          <t>산출물(결과)</t>
        </is>
      </c>
      <c r="K1" s="8" t="inlineStr">
        <is>
          <t>표준서 (Standard) 요약</t>
        </is>
      </c>
      <c r="L1" s="7" t="inlineStr">
        <is>
          <t>표준서 파일 (HTML)</t>
        </is>
      </c>
      <c r="M1" s="8" t="inlineStr">
        <is>
          <t>수행지침 (Guideline) 요약</t>
        </is>
      </c>
      <c r="N1" s="7" t="inlineStr">
        <is>
          <t>수행지침 파일 (HTML)</t>
        </is>
      </c>
      <c r="O1" s="8" t="inlineStr">
        <is>
          <t>체크리스트 (Checklist) 요약</t>
        </is>
      </c>
      <c r="P1" s="9" t="inlineStr">
        <is>
          <t>체크리스트 파일 (HTML)</t>
        </is>
      </c>
      <c r="Q1" s="10" t="inlineStr">
        <is>
          <t>비고</t>
        </is>
      </c>
      <c r="R1" s="10" t="inlineStr">
        <is>
          <t>첨부서류 연계 상세 설계기준</t>
        </is>
      </c>
      <c r="S1" s="10" t="inlineStr">
        <is>
          <t>집행단계 리스크 체크리스트</t>
        </is>
      </c>
      <c r="T1" s="10" t="inlineStr">
        <is>
          <t>협력사 시공/공사관리 자문</t>
        </is>
      </c>
    </row>
    <row r="2" ht="96" customHeight="1">
      <c r="A2" s="14" t="inlineStr">
        <is>
          <t>9000</t>
        </is>
      </c>
      <c r="B2" s="14" t="inlineStr">
        <is>
          <t>9000-6</t>
        </is>
      </c>
      <c r="C2" s="15" t="inlineStr">
        <is>
          <t>콘크리트도상분야</t>
        </is>
      </c>
      <c r="D2" s="14" t="inlineStr">
        <is>
          <t>9000-6-1</t>
        </is>
      </c>
      <c r="E2" s="14" t="inlineStr">
        <is>
          <t>D-120 (D-150~D-120)</t>
        </is>
      </c>
      <c r="F2" s="15" t="inlineStr">
        <is>
          <t>설계적정성 검토</t>
        </is>
      </c>
      <c r="G2" s="14" t="inlineStr">
        <is>
          <t>현장소장</t>
        </is>
      </c>
      <c r="H2" s="15" t="inlineStr">
        <is>
          <t>노반부/궤도부 선형 및 종단 일치 등 설계오류 및 누락 확인</t>
        </is>
      </c>
      <c r="I2" s="15" t="inlineStr">
        <is>
          <t>노반부/궤도부 선형 및 종단 도면 및 설계 자료 비교 검토 실시
- 궤도 부속자재(체결구, 침목 등) 소요비 비용 설계반영 확인
- 유사시공사례 Case Study
- 지원: 본사담당팀(설계/수행/품질/외주)</t>
        </is>
      </c>
      <c r="J2" s="15" t="inlineStr">
        <is>
          <t>실시설계보고서</t>
        </is>
      </c>
      <c r="K2" s="15" t="inlineStr">
        <is>
          <t>1) KDS 47 30 00 궤도 설계기준 및 국토교통부 트램 건설 규칙을 엄격히 준수한다.
2) 모든 시공 단계에서 1,435mm 정밀 궤간 유지와 스핀들 게이지 미세 조정을 통한 캔트/수평 정밀도를 확보한다.</t>
        </is>
      </c>
      <c r="L2" s="18" t="inlineStr">
        <is>
          <t>👉 [더블클릭] 표준서 열기 📄</t>
        </is>
      </c>
      <c r="M2" s="15" t="inlineStr">
        <is>
          <t>1) 하부 HBS 강화노반 지지력(K70 ≥ 150 MPa/m) 및 평탄성 사전 검측 확인
2) 궤도 정밀 검측: 궤간(1435mm), 캔트(±2mm), 수평(±2mm), 고저(±2mm/10m), 비틀림(1.5mm/3m) 실시간 검측</t>
        </is>
      </c>
      <c r="N2" s="18" t="inlineStr">
        <is>
          <t>👉 [더블클릭] 수행지침 열기 📄</t>
        </is>
      </c>
      <c r="O2" s="15" t="inlineStr">
        <is>
          <t>1) 시방 및 정량 기술 스펙 준수
2) 안전/품질 검측 기준 및 협력사 자문 수칙 적용</t>
        </is>
      </c>
      <c r="P2" s="18" t="inlineStr">
        <is>
          <t>👉 [더블클릭] 체크리스트 열기 📄</t>
        </is>
      </c>
      <c r="Q2" s="14" t="n"/>
      <c r="R2" s="15" t="inlineStr">
        <is>
          <t>● 노반부 및 궤도 선형 기하학적 설계 기준 일치성</t>
        </is>
      </c>
      <c r="S2" s="19" t="inlineStr">
        <is>
          <t>1) 👉 [더블클릭] 체크리스트 열기 📄</t>
        </is>
      </c>
      <c r="T2" s="15" t="n"/>
    </row>
    <row r="3" ht="96" customHeight="1">
      <c r="A3" s="14" t="inlineStr">
        <is>
          <t>9000</t>
        </is>
      </c>
      <c r="B3" s="14" t="inlineStr">
        <is>
          <t>9000-6</t>
        </is>
      </c>
      <c r="C3" s="15" t="inlineStr">
        <is>
          <t>콘크리트도상분야</t>
        </is>
      </c>
      <c r="D3" s="14" t="inlineStr">
        <is>
          <t>9000-6-2</t>
        </is>
      </c>
      <c r="E3" s="14" t="inlineStr">
        <is>
          <t>D-100 (D-120~D-100)</t>
        </is>
      </c>
      <c r="F3" s="15" t="inlineStr">
        <is>
          <t>자재 야적장 선정</t>
        </is>
      </c>
      <c r="G3" s="14" t="inlineStr">
        <is>
          <t>현장 공무팀</t>
        </is>
      </c>
      <c r="H3" s="15" t="inlineStr">
        <is>
          <t>콘크리트도상 시공에 필요한 침목, 체결구 등 자재야적 부지 선정</t>
        </is>
      </c>
      <c r="I3" s="15" t="inlineStr">
        <is>
          <t>- 야적장소는 반입자재 및 노반 구조물 파손 방지를 위해 연약지반, 방호벽의 침하 예상부위를 피해서 선정
- 타 분야(전철전력, 송변전, 건축, 신호통신) 간섭사항을 고려하여 동선이 겹치지 않도록 선정</t>
        </is>
      </c>
      <c r="J3" s="15" t="inlineStr">
        <is>
          <t>자재 야적장 도면</t>
        </is>
      </c>
      <c r="K3" s="15" t="inlineStr">
        <is>
          <t>1) KDS 47 30 00 궤도 설계기준 및 국토교통부 트램 건설 규칙을 엄격히 준수한다.
2) 모든 시공 단계에서 1,435mm 정밀 궤간 유지와 스핀들 게이지 미세 조정을 통한 캔트/수평 정밀도를 확보한다.</t>
        </is>
      </c>
      <c r="L3" s="18" t="inlineStr">
        <is>
          <t>👉 [더블클릭] 표준서 열기 📄</t>
        </is>
      </c>
      <c r="M3" s="15" t="inlineStr">
        <is>
          <t>1) 야적 부지 지반재하시험(K70 ≥ 150 MPa/m)을 실시하여 하중 침하 여부 사전 검증
2) 장대레일 운반 트레일러(길이 30m 이상) 회전반경 및 크레인 인양 진입로 확보</t>
        </is>
      </c>
      <c r="N3" s="18" t="inlineStr">
        <is>
          <t>👉 [더블클릭] 수행지침 열기 📄</t>
        </is>
      </c>
      <c r="O3" s="15" t="inlineStr">
        <is>
          <t>1) 시방 및 정량 기술 스펙 준수
2) 안전/품질 검측 기준 및 협력사 자문 수칙 적용</t>
        </is>
      </c>
      <c r="P3" s="18" t="inlineStr">
        <is>
          <t>👉 [더블클릭] 체크리스트 열기 📄</t>
        </is>
      </c>
      <c r="Q3" s="14" t="n"/>
      <c r="R3" s="15" t="inlineStr">
        <is>
          <t>● 궤도 자재의 환경 보호 및 보관 관리 지침</t>
        </is>
      </c>
      <c r="S3" s="19" t="inlineStr">
        <is>
          <t>1) 👉 [더블클릭] 체크리스트 열기 📄</t>
        </is>
      </c>
      <c r="T3" s="15" t="n"/>
    </row>
    <row r="4" ht="96" customHeight="1">
      <c r="A4" s="14" t="inlineStr">
        <is>
          <t>9000</t>
        </is>
      </c>
      <c r="B4" s="14" t="inlineStr">
        <is>
          <t>9000-6</t>
        </is>
      </c>
      <c r="C4" s="15" t="inlineStr">
        <is>
          <t>콘크리트도상분야</t>
        </is>
      </c>
      <c r="D4" s="14" t="inlineStr">
        <is>
          <t>9000-6-3</t>
        </is>
      </c>
      <c r="E4" s="14" t="inlineStr">
        <is>
          <t>D-100 (D-120~D-100)</t>
        </is>
      </c>
      <c r="F4" s="15" t="inlineStr">
        <is>
          <t>레일 용접장 선정</t>
        </is>
      </c>
      <c r="G4" s="14" t="inlineStr">
        <is>
          <t>현장 공무팀</t>
        </is>
      </c>
      <c r="H4" s="15" t="inlineStr">
        <is>
          <t>정척레일 15본을 용접하여 200m 이상의 장대레일 제작하는 작업장을 선정 (타분야 인터페이스 고려)</t>
        </is>
      </c>
      <c r="I4" s="15" t="inlineStr">
        <is>
          <t>- 용접기 설치, 정척레일 및 장대레일 보관장소를 고려, 최소 400m 이상의 공간을 확보하고 장대레일 분출 범위를 고려, 본선 용접장 선정
- 타 분야(전철전력, 송변전, 건축, 신호통신) 인터페이스 간섭사항 고려</t>
        </is>
      </c>
      <c r="J4" s="15" t="inlineStr">
        <is>
          <t>레일 용접장 도면</t>
        </is>
      </c>
      <c r="K4" s="15" t="inlineStr">
        <is>
          <t>1) KDS 47 30 00 궤도 설계기준 및 국토교통부 트램 건설 규칙을 엄격히 준수한다.
2) 용접 후 1m 룰러 정밀 측정 시 수직/수평 직선도 오차가 ±0.2mm 이내임을 100% 확인한다.</t>
        </is>
      </c>
      <c r="L4" s="18" t="inlineStr">
        <is>
          <t>👉 [더블클릭] 표준서 열기 📄</t>
        </is>
      </c>
      <c r="M4" s="15" t="inlineStr">
        <is>
          <t>1) m 장대레일 일직선 이송을 위한 롤러대 기반 수평 정밀 측량 (오차 ±0.5mm/10m 이내)
2) 가스압접/플래시버트 용접용 대용량 전력 및 아세틸렌/산소 가스 안전 저장소 확보</t>
        </is>
      </c>
      <c r="N4" s="18" t="inlineStr">
        <is>
          <t>👉 [더블클릭] 수행지침 열기 📄</t>
        </is>
      </c>
      <c r="O4" s="15" t="inlineStr">
        <is>
          <t>1) 시방 및 정량 기술 스펙 준수
2) 안전/품질 검측 기준 및 협력사 자문 수칙 적용</t>
        </is>
      </c>
      <c r="P4" s="18" t="inlineStr">
        <is>
          <t>👉 [더블클릭] 체크리스트 열기 📄</t>
        </is>
      </c>
      <c r="Q4" s="14" t="n"/>
      <c r="R4" s="15" t="inlineStr">
        <is>
          <t>● 장대레일 제작장 확보 및 공간 레이아웃 만족</t>
        </is>
      </c>
      <c r="S4" s="19" t="inlineStr">
        <is>
          <t>1) 👉 [더블클릭] 체크리스트 열기 📄</t>
        </is>
      </c>
      <c r="T4" s="15" t="n"/>
    </row>
    <row r="5" ht="134.4" customHeight="1">
      <c r="A5" s="14" t="inlineStr">
        <is>
          <t>9000</t>
        </is>
      </c>
      <c r="B5" s="14" t="inlineStr">
        <is>
          <t>9000-6</t>
        </is>
      </c>
      <c r="C5" s="15" t="inlineStr">
        <is>
          <t>콘크리트도상분야</t>
        </is>
      </c>
      <c r="D5" s="14" t="inlineStr">
        <is>
          <t>9000-6-4</t>
        </is>
      </c>
      <c r="E5" s="14" t="inlineStr">
        <is>
          <t>D-90 (D-120~D-90)</t>
        </is>
      </c>
      <c r="F5" s="15" t="inlineStr">
        <is>
          <t>발주전략 KOM</t>
        </is>
      </c>
      <c r="G5" s="14" t="inlineStr">
        <is>
          <t>현장 공무팀</t>
        </is>
      </c>
      <c r="H5" s="15" t="inlineStr">
        <is>
          <t>궤도공사 발주전략 수립 / 발주조건 CP적합 여부 검토</t>
        </is>
      </c>
      <c r="I5" s="15" t="inlineStr">
        <is>
          <t>- 가시공 B/P 적정성 검토
- 발주시기, 발주내역, 현설조건, 현장여건 고려 발주전략 분석
- 사전검토한 설계 및 공법 반영
- 현설설명서 작성 (하자관리방안이 포함된 특기사항 체크리스트 반영)
- 노선 공정계획(구간별 인도시기 고려)
- 궤도설치 후 합동점검시 레일 및 틀어짐 허용오차 이상 발생시 보수 의무사항 안내
- 지원: 본사담당팀(외주/수행/견적)</t>
        </is>
      </c>
      <c r="J5" s="15" t="inlineStr">
        <is>
          <t>KOM 검토결과서, 현설설명서</t>
        </is>
      </c>
      <c r="K5" s="15" t="inlineStr">
        <is>
          <t>1) KDS 47 30 00 궤도 설계기준 및 국토교통부 트램 건설 규칙을 엄격히 준수한다.
2) 자재 발주 시 공장 시험성적서(FAT) 제출을 의무화하고 품질 미달 자재의 현장 반입을 사전에 차단한다.</t>
        </is>
      </c>
      <c r="L5" s="18" t="inlineStr">
        <is>
          <t>👉 [더블클릭] 표준서 열기 📄</t>
        </is>
      </c>
      <c r="M5" s="15" t="inlineStr">
        <is>
          <t>1) 제조사 공장검사(FAT) 항목 및 궤도 정밀 검측 공차 기준 전파
2) KDS 47 30 00 및 KS 규격 만족 자재 목록 및 세부 발주 물량 확정</t>
        </is>
      </c>
      <c r="N5" s="18" t="inlineStr">
        <is>
          <t>👉 [더블클릭] 수행지침 열기 📄</t>
        </is>
      </c>
      <c r="O5" s="15" t="inlineStr">
        <is>
          <t>1) 시방 및 정량 기술 스펙 준수
2) 안전/품질 검측 기준 및 협력사 자문 수칙 적용</t>
        </is>
      </c>
      <c r="P5" s="18" t="inlineStr">
        <is>
          <t>👉 [더블클릭] 체크리스트 열기 📄</t>
        </is>
      </c>
      <c r="Q5" s="14" t="n"/>
      <c r="R5" s="15" t="inlineStr">
        <is>
          <t>● 본사 외주/수행 부서 및 토목견적팀 협의 지침 준수</t>
        </is>
      </c>
      <c r="S5" s="19" t="inlineStr">
        <is>
          <t>1) 👉 [더블클릭] 체크리스트 열기 📄</t>
        </is>
      </c>
      <c r="T5" s="15" t="n"/>
    </row>
    <row r="6" ht="96" customHeight="1">
      <c r="A6" s="14" t="inlineStr">
        <is>
          <t>9000</t>
        </is>
      </c>
      <c r="B6" s="14" t="inlineStr">
        <is>
          <t>9000-6</t>
        </is>
      </c>
      <c r="C6" s="15" t="inlineStr">
        <is>
          <t>콘크리트도상분야</t>
        </is>
      </c>
      <c r="D6" s="14" t="inlineStr">
        <is>
          <t>9000-6-5</t>
        </is>
      </c>
      <c r="E6" s="14" t="inlineStr">
        <is>
          <t>D-60 (D-90~D-60)</t>
        </is>
      </c>
      <c r="F6" s="15" t="inlineStr">
        <is>
          <t>최고의 팀 만들기 지원</t>
        </is>
      </c>
      <c r="G6" s="14" t="inlineStr">
        <is>
          <t>외주관리팀</t>
        </is>
      </c>
      <c r="H6" s="15" t="inlineStr">
        <is>
          <t>우수 협력사 및 작업반 선정</t>
        </is>
      </c>
      <c r="I6" s="15" t="inlineStr">
        <is>
          <t>- 동일 환경조건 시공경험 보유 여부 검토
- 투입인원 경력, 현장이해도, 관리역량, 파트너 업체 검증</t>
        </is>
      </c>
      <c r="J6" s="15" t="inlineStr">
        <is>
          <t>우수협력사 입찰참여</t>
        </is>
      </c>
      <c r="K6" s="15" t="inlineStr">
        <is>
          <t>1) EN ISO 14730 표준에 적합한 레일 용접 전문가를 배치하여 용접 품질 사고를 사전에 차단한다.</t>
        </is>
      </c>
      <c r="L6" s="18" t="inlineStr">
        <is>
          <t>👉 [더블클릭] 표준서 열기 📄</t>
        </is>
      </c>
      <c r="M6" s="15" t="inlineStr">
        <is>
          <t>1) EN ISO 14730 용접원 자격증 및 광학 측량 기술자 자격 검증
2) 스핀들 게이지 조정, 캔트 달성구배, 테르밋 산화반응 제어 사전 모의 훈련</t>
        </is>
      </c>
      <c r="N6" s="18" t="inlineStr">
        <is>
          <t>👉 [더블클릭] 수행지침 열기 📄</t>
        </is>
      </c>
      <c r="O6" s="15" t="inlineStr">
        <is>
          <t>1) 시방 및 정량 기술 스펙 준수
2) 안전/품질 검측 기준 및 협력사 자문 수칙 적용</t>
        </is>
      </c>
      <c r="P6" s="18" t="inlineStr">
        <is>
          <t>👉 [더블클릭] 체크리스트 열기 📄</t>
        </is>
      </c>
      <c r="Q6" s="14" t="n"/>
      <c r="R6" s="15" t="inlineStr">
        <is>
          <t>● 협력업체 역량 평가 및 등록 관리 기준 만족</t>
        </is>
      </c>
      <c r="S6" s="19" t="inlineStr">
        <is>
          <t>1) 👉 [더블클릭] 체크리스트 열기 📄</t>
        </is>
      </c>
      <c r="T6" s="15" t="n"/>
    </row>
    <row r="7" ht="76.8" customHeight="1">
      <c r="A7" s="14" t="inlineStr">
        <is>
          <t>9000</t>
        </is>
      </c>
      <c r="B7" s="14" t="inlineStr">
        <is>
          <t>9000-6</t>
        </is>
      </c>
      <c r="C7" s="15" t="inlineStr">
        <is>
          <t>콘크리트도상분야</t>
        </is>
      </c>
      <c r="D7" s="14" t="inlineStr">
        <is>
          <t>9000-6-6</t>
        </is>
      </c>
      <c r="E7" s="14" t="inlineStr">
        <is>
          <t>D-70 (D-70~D-60)</t>
        </is>
      </c>
      <c r="F7" s="15" t="inlineStr">
        <is>
          <t>콘크리트 타설방법/계획 검토</t>
        </is>
      </c>
      <c r="G7" s="14" t="inlineStr">
        <is>
          <t>현장 공사팀</t>
        </is>
      </c>
      <c r="H7" s="15" t="inlineStr">
        <is>
          <t>현장여건에 따른 구간/위치별 적정 타설방법 및 계획 검토</t>
        </is>
      </c>
      <c r="I7" s="15" t="inlineStr">
        <is>
          <t>- 펌프카 타설: 공간이 넓거나, 교량 하부에서 타설이 가능한 경우 적용
- 압송관 타설: 교량이나 터널 (L=300~500m)에 적합
- 개조장비 타설: 개조 믹서트럭을 이용하여 타설</t>
        </is>
      </c>
      <c r="J7" s="15" t="inlineStr">
        <is>
          <t>구간별 타설계획도</t>
        </is>
      </c>
      <c r="K7" s="15" t="inlineStr">
        <is>
          <t>1) 고주파 바이브레이터 다짐 시 스핀들 및 루프 센서에 직접 진동이 전달되지 않도록 150mm 이상 이격 다짐을 실시한다.</t>
        </is>
      </c>
      <c r="L7" s="18" t="inlineStr">
        <is>
          <t>👉 [더블클릭] 표준서 열기 📄</t>
        </is>
      </c>
      <c r="M7" s="15" t="inlineStr">
        <is>
          <t>1) TCL 콘크리트(f_ck ≥ 30 MPa) 및 PST 충전재(f_ck ≥ 45 MPa) 배합 성적서 확인
2) 레미콘 운반시간(60분 이내) 및 펌프카 배치 공간 사전 확보</t>
        </is>
      </c>
      <c r="N7" s="18" t="inlineStr">
        <is>
          <t>👉 [더블클릭] 수행지침 열기 📄</t>
        </is>
      </c>
      <c r="O7" s="15" t="inlineStr">
        <is>
          <t>1) 시방 및 정량 기술 스펙 준수
2) 안전/품질 검측 기준 및 협력사 자문 수칙 적용</t>
        </is>
      </c>
      <c r="P7" s="18" t="inlineStr">
        <is>
          <t>👉 [더블클릭] 체크리스트 열기 📄</t>
        </is>
      </c>
      <c r="Q7" s="14" t="n"/>
      <c r="R7" s="15" t="inlineStr">
        <is>
          <t>● 콘크리트 연속타설 및 콜드조인트 방지 기준</t>
        </is>
      </c>
      <c r="S7" s="19" t="inlineStr">
        <is>
          <t>1) 👉 [더블클릭] 체크리스트 열기 📄</t>
        </is>
      </c>
      <c r="T7" s="15" t="n"/>
    </row>
    <row r="8" ht="153.6" customHeight="1">
      <c r="A8" s="14" t="inlineStr">
        <is>
          <t>9000</t>
        </is>
      </c>
      <c r="B8" s="14" t="inlineStr">
        <is>
          <t>9000-6</t>
        </is>
      </c>
      <c r="C8" s="15" t="inlineStr">
        <is>
          <t>콘크리트도상분야</t>
        </is>
      </c>
      <c r="D8" s="14" t="inlineStr">
        <is>
          <t>9000-6-7</t>
        </is>
      </c>
      <c r="E8" s="14" t="inlineStr">
        <is>
          <t>D-60</t>
        </is>
      </c>
      <c r="F8" s="15" t="inlineStr">
        <is>
          <t>작수전 Big Room 회의</t>
        </is>
      </c>
      <c r="G8" s="14" t="inlineStr">
        <is>
          <t>현장소장</t>
        </is>
      </c>
      <c r="H8" s="15" t="inlineStr">
        <is>
          <t>궤도공사 수행 시 공정계획 수립 / 수행 시 예상가능한 Risk 검토</t>
        </is>
      </c>
      <c r="I8" s="15" t="inlineStr">
        <is>
          <t>본사/현장/협력사 협의체 구축 후 상세검토
- 궤도공사 공정계획 수립: 1) 자재, 장비 반입로/반입구 사용가능 시기에 따른 자재반입 계획 수립, 2) 노선 Handover 시기에 따른 시공계획 수립
- 타설계획 수립: 1) 현장여건을 고려한 타설방법 선정
- 공종별 Risk Hedge방안 검토: 1) 외산자재 반입일정 확정, 2) 플래시버트 장비 임대 또는 특수용접사 확보
- 참석: 현장소장, 공무/공사/품질/안전 Part담당자, 궤도협력업체, 선후행 공종 협력업체, 본사 담당팀(견적/설계/수행(공정)/품질/안전)</t>
        </is>
      </c>
      <c r="J8" s="15" t="inlineStr">
        <is>
          <t>Big Room 회의록 (참석자 전원 서명)</t>
        </is>
      </c>
      <c r="K8" s="15" t="inlineStr">
        <is>
          <t>1) D BIM 기반으로 신호 루프 센서 매설 위치와 도상 철근 배근 간섭을 전수 점검한다.</t>
        </is>
      </c>
      <c r="L8" s="18" t="inlineStr">
        <is>
          <t>👉 [더블클릭] 표준서 열기 📄</t>
        </is>
      </c>
      <c r="M8" s="15" t="inlineStr">
        <is>
          <t>1) 노반-궤도 인수인계 높이 공차 및 신호 루프센서 위치 취합
2) 도로 매설 궤도 표면과 도로 포장 표면 마감 높이 일치성 확정</t>
        </is>
      </c>
      <c r="N8" s="18" t="inlineStr">
        <is>
          <t>👉 [더블클릭] 수행지침 열기 📄</t>
        </is>
      </c>
      <c r="O8" s="15" t="inlineStr">
        <is>
          <t>1) 시방 및 정량 기술 스펙 준수
2) 안전/품질 검측 기준 및 협력사 자문 수칙 적용</t>
        </is>
      </c>
      <c r="P8" s="18" t="inlineStr">
        <is>
          <t>👉 [더블클릭] 체크리스트 열기 📄</t>
        </is>
      </c>
      <c r="Q8" s="14" t="n"/>
      <c r="R8" s="15" t="inlineStr">
        <is>
          <t>● 유관 공종(토목, 전기, 신호) 인터페이스 검토</t>
        </is>
      </c>
      <c r="S8" s="19" t="inlineStr">
        <is>
          <t>1) 👉 [더블클릭] 체크리스트 열기 📄</t>
        </is>
      </c>
      <c r="T8" s="15" t="n"/>
    </row>
    <row r="9" ht="76.8" customHeight="1">
      <c r="A9" s="14" t="inlineStr">
        <is>
          <t>9000</t>
        </is>
      </c>
      <c r="B9" s="14" t="inlineStr">
        <is>
          <t>9000-6</t>
        </is>
      </c>
      <c r="C9" s="15" t="inlineStr">
        <is>
          <t>콘크리트도상분야</t>
        </is>
      </c>
      <c r="D9" s="14" t="inlineStr">
        <is>
          <t>9000-6-8</t>
        </is>
      </c>
      <c r="E9" s="14" t="inlineStr">
        <is>
          <t>D-60</t>
        </is>
      </c>
      <c r="F9" s="15" t="inlineStr">
        <is>
          <t>장비,자재 반입로/반입구 간섭 검토</t>
        </is>
      </c>
      <c r="G9" s="14" t="inlineStr">
        <is>
          <t>현장공사팀</t>
        </is>
      </c>
      <c r="H9" s="15" t="inlineStr">
        <is>
          <t>장비, 자재의 반입로/반입구의 타공종 간섭 검토</t>
        </is>
      </c>
      <c r="I9" s="15" t="inlineStr">
        <is>
          <t>- 자재반입 시 노반 시공 간섭 검토
- 자재반입로/반입구 사용가능 시기 검토</t>
        </is>
      </c>
      <c r="J9" s="15" t="inlineStr">
        <is>
          <t>공정계획(장비, 자재 진입로 계획 포함)</t>
        </is>
      </c>
      <c r="K9" s="15" t="inlineStr">
        <is>
          <t>1) m 이상 대형 레일 운반 트레일러 진입 시 교차로 회전 공간 사전 점검을 실시한다.</t>
        </is>
      </c>
      <c r="L9" s="18" t="inlineStr">
        <is>
          <t>👉 [더블클릭] 표준서 열기 📄</t>
        </is>
      </c>
      <c r="M9" s="15" t="inlineStr">
        <is>
          <t>1) 상부 신호등/가공전선 이격거리(5m 이상) 및 도로점용 허가 구역 조사
2) 전담 신호수 배치 및 대형 레일 운반 차량 유도</t>
        </is>
      </c>
      <c r="N9" s="18" t="inlineStr">
        <is>
          <t>👉 [더블클릭] 수행지침 열기 📄</t>
        </is>
      </c>
      <c r="O9" s="15" t="inlineStr">
        <is>
          <t>1) 시방 및 정량 기술 스펙 준수
2) 안전/품질 검측 기준 및 협력사 자문 수칙 적용</t>
        </is>
      </c>
      <c r="P9" s="18" t="inlineStr">
        <is>
          <t>👉 [더블클릭] 체크리스트 열기 📄</t>
        </is>
      </c>
      <c r="Q9" s="14" t="n"/>
      <c r="R9" s="15" t="inlineStr">
        <is>
          <t>● 궤도 시공 가설 동선 적합성 검토</t>
        </is>
      </c>
      <c r="S9" s="19" t="inlineStr">
        <is>
          <t>1) 👉 [더블클릭] 체크리스트 열기 📄</t>
        </is>
      </c>
      <c r="T9" s="15" t="n"/>
    </row>
    <row r="10" ht="76.8" customHeight="1">
      <c r="A10" s="14" t="inlineStr">
        <is>
          <t>9000</t>
        </is>
      </c>
      <c r="B10" s="14" t="inlineStr">
        <is>
          <t>9000-6</t>
        </is>
      </c>
      <c r="C10" s="15" t="inlineStr">
        <is>
          <t>콘크리트도상분야</t>
        </is>
      </c>
      <c r="D10" s="14" t="inlineStr">
        <is>
          <t>9000-6-9</t>
        </is>
      </c>
      <c r="E10" s="14" t="inlineStr">
        <is>
          <t>D-60</t>
        </is>
      </c>
      <c r="F10" s="15" t="inlineStr">
        <is>
          <t>자재조달계획 검토</t>
        </is>
      </c>
      <c r="G10" s="14" t="inlineStr">
        <is>
          <t>현장관리팀, 현장공사팀</t>
        </is>
      </c>
      <c r="H10" s="15" t="inlineStr">
        <is>
          <t>- 외산자재 검수 및 반입일정 검토
- 노반 공정계획에 따른 자재반입 시기 검토</t>
        </is>
      </c>
      <c r="I10" s="15" t="inlineStr">
        <is>
          <t>- 외산자재 수량 및 위치, 야적장 규모 등을 고려하여 주문 시기 검토
- 노반 인도 구역 및 규모에 따른 자재 조달계획 수립</t>
        </is>
      </c>
      <c r="J10" s="15" t="inlineStr">
        <is>
          <t>공정계획(자재조달 포함)</t>
        </is>
      </c>
      <c r="K10" s="15" t="inlineStr">
        <is>
          <t>1) 테르밋 용재의 유효기간 및 방수 포장 상태를 수급 시점마다 전수 확인한다.</t>
        </is>
      </c>
      <c r="L10" s="18" t="inlineStr">
        <is>
          <t>👉 [더블클릭] 표준서 열기 📄</t>
        </is>
      </c>
      <c r="M10" s="15" t="inlineStr">
        <is>
          <t>1) 특수 홈레일 및 PST 패널 조달 마스터 일정표 검토
2) PST 슬래브 공장 생산 강도 및 홈레일 단면 검수</t>
        </is>
      </c>
      <c r="N10" s="18" t="inlineStr">
        <is>
          <t>👉 [더블클릭] 수행지침 열기 📄</t>
        </is>
      </c>
      <c r="O10" s="15" t="inlineStr">
        <is>
          <t>1) 시방 및 정량 기술 스펙 준수
2) 안전/품질 검측 기준 및 협력사 자문 수칙 적용</t>
        </is>
      </c>
      <c r="P10" s="18" t="inlineStr">
        <is>
          <t>👉 [더블클릭] 체크리스트 열기 📄</t>
        </is>
      </c>
      <c r="Q10" s="14" t="n"/>
      <c r="R10" s="15" t="inlineStr">
        <is>
          <t>● 주요 외산 자재 공급 및 선적 일정 확인</t>
        </is>
      </c>
      <c r="S10" s="19" t="inlineStr">
        <is>
          <t>1) 👉 [더블클릭] 체크리스트 열기 📄</t>
        </is>
      </c>
      <c r="T10" s="15" t="n"/>
    </row>
    <row r="11" ht="57.6" customHeight="1">
      <c r="A11" s="14" t="inlineStr">
        <is>
          <t>9000</t>
        </is>
      </c>
      <c r="B11" s="14" t="inlineStr">
        <is>
          <t>9000-6</t>
        </is>
      </c>
      <c r="C11" s="15" t="inlineStr">
        <is>
          <t>콘크리트도상분야</t>
        </is>
      </c>
      <c r="D11" s="14" t="inlineStr">
        <is>
          <t>9000-6-10</t>
        </is>
      </c>
      <c r="E11" s="14" t="inlineStr">
        <is>
          <t>D-50 (D-60~50)</t>
        </is>
      </c>
      <c r="F11" s="15" t="inlineStr">
        <is>
          <t>자재 발주 요청</t>
        </is>
      </c>
      <c r="G11" s="14" t="inlineStr">
        <is>
          <t>현장 공무팀</t>
        </is>
      </c>
      <c r="H11" s="15" t="inlineStr">
        <is>
          <t>시공에 필요한 자재 발주</t>
        </is>
      </c>
      <c r="I11" s="15" t="inlineStr">
        <is>
          <t>- 자재 규격 및 반입 일정 계획 수립
- 시공에 필요한 당사 지급자재에 대한 발주 요청
- 지원: GP/SRM팀</t>
        </is>
      </c>
      <c r="J11" s="15" t="inlineStr">
        <is>
          <t>구매 의뢰서</t>
        </is>
      </c>
      <c r="K11" s="15" t="inlineStr">
        <is>
          <t>1) 모든 발주 자재는 KDS 47 30 00 및 EN/KS 규격 시험성적서 첨부를 필수 조건으로 명시한다.</t>
        </is>
      </c>
      <c r="L11" s="18" t="inlineStr">
        <is>
          <t>👉 [더블클릭] 표준서 열기 📄</t>
        </is>
      </c>
      <c r="M11" s="15" t="inlineStr">
        <is>
          <t>1) kg/m 레일, 51R1 홈레일, PST 패널 산출 물량 검증
2) 공장 검사(FAT) 조건 및 성적서 첨부 명시</t>
        </is>
      </c>
      <c r="N11" s="18" t="inlineStr">
        <is>
          <t>👉 [더블클릭] 수행지침 열기 📄</t>
        </is>
      </c>
      <c r="O11" s="15" t="inlineStr">
        <is>
          <t>1) 시방 및 정량 기술 스펙 준수
2) 안전/품질 검측 기준 및 협력사 자문 수칙 적용</t>
        </is>
      </c>
      <c r="P11" s="18" t="inlineStr">
        <is>
          <t>👉 [더블클릭] 체크리스트 열기 📄</t>
        </is>
      </c>
      <c r="Q11" s="14" t="n"/>
      <c r="R11" s="15" t="inlineStr">
        <is>
          <t>● 조달 지침 및 품질 규격 검토</t>
        </is>
      </c>
      <c r="S11" s="19" t="inlineStr">
        <is>
          <t>1) 👉 [더블클릭] 체크리스트 열기 📄</t>
        </is>
      </c>
      <c r="T11" s="15" t="n"/>
    </row>
    <row r="12" ht="76.8" customHeight="1">
      <c r="A12" s="14" t="inlineStr">
        <is>
          <t>9000</t>
        </is>
      </c>
      <c r="B12" s="14" t="inlineStr">
        <is>
          <t>9000-6</t>
        </is>
      </c>
      <c r="C12" s="15" t="inlineStr">
        <is>
          <t>콘크리트도상분야</t>
        </is>
      </c>
      <c r="D12" s="14" t="inlineStr">
        <is>
          <t>9000-6-11</t>
        </is>
      </c>
      <c r="E12" s="14" t="inlineStr">
        <is>
          <t>D-30 (D-60~D-30)</t>
        </is>
      </c>
      <c r="F12" s="15" t="inlineStr">
        <is>
          <t>시공계획 수립</t>
        </is>
      </c>
      <c r="G12" s="14" t="inlineStr">
        <is>
          <t>현장 공사팀/공무팀/안전팀/품질팀</t>
        </is>
      </c>
      <c r="H12" s="15" t="inlineStr">
        <is>
          <t>궤도공 전반에 대한 수행 계획 공유</t>
        </is>
      </c>
      <c r="I12" s="15" t="inlineStr">
        <is>
          <t>- 공사 위치, 공사 수행 순서, 공사 수행방법 설명 회의를 통한 공유
- 주요 공정별 시공/안전/장비/자재관련 유의사항 토의
- 문제점 발굴 및 대책 마련 브레인 스토밍</t>
        </is>
      </c>
      <c r="J12" s="15" t="inlineStr">
        <is>
          <t>시공계획서</t>
        </is>
      </c>
      <c r="K12" s="15" t="inlineStr">
        <is>
          <t>1) 단계 시공절차에 맞춰 사전준비-본시공-검사마감 공정을 일목요연하게 성문화하여 제출한다.</t>
        </is>
      </c>
      <c r="L12" s="18" t="inlineStr">
        <is>
          <t>👉 [더블클릭] 표준서 열기 📄</t>
        </is>
      </c>
      <c r="M12" s="15" t="inlineStr">
        <is>
          <t>1) HBS 노반 지지력 검증 및 궤도 정밀 CP 측량 시공계획 수립
2) 스핀들 게이지 조정, 테르밋 용접(EN 14730) 및 TCL 콘크리트 타설 수칙 수립</t>
        </is>
      </c>
      <c r="N12" s="18" t="inlineStr">
        <is>
          <t>👉 [더블클릭] 수행지침 열기 📄</t>
        </is>
      </c>
      <c r="O12" s="15" t="inlineStr">
        <is>
          <t>1) 시방 및 정량 기술 스펙 준수
2) 안전/품질 검측 기준 및 협력사 자문 수칙 적용</t>
        </is>
      </c>
      <c r="P12" s="18" t="inlineStr">
        <is>
          <t>👉 [더블클릭] 체크리스트 열기 📄</t>
        </is>
      </c>
      <c r="Q12" s="14" t="n"/>
      <c r="R12" s="15" t="inlineStr">
        <is>
          <t>● 궤도 공사 표준시방서 만족</t>
        </is>
      </c>
      <c r="S12" s="19" t="inlineStr">
        <is>
          <t>1) 👉 [더블클릭] 체크리스트 열기 📄</t>
        </is>
      </c>
      <c r="T12" s="15" t="n"/>
    </row>
    <row r="13" ht="96" customHeight="1">
      <c r="A13" s="14" t="inlineStr">
        <is>
          <t>9000</t>
        </is>
      </c>
      <c r="B13" s="14" t="inlineStr">
        <is>
          <t>9000-6</t>
        </is>
      </c>
      <c r="C13" s="15" t="inlineStr">
        <is>
          <t>콘크리트도상분야</t>
        </is>
      </c>
      <c r="D13" s="14" t="inlineStr">
        <is>
          <t>9000-6-12</t>
        </is>
      </c>
      <c r="E13" s="14" t="inlineStr">
        <is>
          <t>D-0 (D-30~D-0)</t>
        </is>
      </c>
      <c r="F13" s="15" t="inlineStr">
        <is>
          <t>자재 반입</t>
        </is>
      </c>
      <c r="G13" s="14" t="inlineStr">
        <is>
          <t>현장 공사팀/자재팀</t>
        </is>
      </c>
      <c r="H13" s="15" t="inlineStr">
        <is>
          <t>매립형 궤도/반-PC슬래브용 주요 자재 반입</t>
        </is>
      </c>
      <c r="I13" s="15" t="inlineStr">
        <is>
          <t>- 그루브드레일, 레일고정액상수지, 분기기, 특수 분기기는 외산 자재이며 콘크리트도상 시공 60일 전 공장검수 및 반입 일정을 결정 (체결장치는 국내 생산)
- 주로 25Ton 장축 트레일러가 운반장비로 투입되며, 대형차량 이동에 따른 도로 차단계획, 싸인카 투입, 신호수 배치 와 같은 교통관리 계획에 대하여 경찰서, 구청과 사전협의</t>
        </is>
      </c>
      <c r="J13" s="15" t="inlineStr">
        <is>
          <t>자재수불부</t>
        </is>
      </c>
      <c r="K13" s="15" t="inlineStr">
        <is>
          <t>1) 반입 자재의 시험성적서 원본 대조 및 감리원 입회 검수를 시행한다.</t>
        </is>
      </c>
      <c r="L13" s="18" t="inlineStr">
        <is>
          <t>👉 [더블클릭] 표준서 열기 📄</t>
        </is>
      </c>
      <c r="M13" s="15" t="inlineStr">
        <is>
          <t>1) 송장, 공장 시험성적서 및 KCS 시방 사양 대조
2) 레일 표면 흠집 및 PST 패널 치수 오차(±2mm) 측정</t>
        </is>
      </c>
      <c r="N13" s="18" t="inlineStr">
        <is>
          <t>👉 [더블클릭] 수행지침 열기 📄</t>
        </is>
      </c>
      <c r="O13" s="15" t="inlineStr">
        <is>
          <t>1) 시방 및 정량 기술 스펙 준수
2) 안전/품질 검측 기준 및 협력사 자문 수칙 적용</t>
        </is>
      </c>
      <c r="P13" s="18" t="inlineStr">
        <is>
          <t>👉 [더블클릭] 체크리스트 열기 📄</t>
        </is>
      </c>
      <c r="Q13" s="14" t="n"/>
      <c r="R13" s="15" t="inlineStr">
        <is>
          <t>● 자재 시험성적서 및 외산 자재 수입 적격 증명</t>
        </is>
      </c>
      <c r="S13" s="19" t="inlineStr">
        <is>
          <t>1) 👉 [더블클릭] 체크리스트 열기 📄</t>
        </is>
      </c>
      <c r="T13" s="15" t="n"/>
    </row>
    <row r="14" ht="76.8" customHeight="1">
      <c r="A14" s="14" t="inlineStr">
        <is>
          <t>9000</t>
        </is>
      </c>
      <c r="B14" s="14" t="inlineStr">
        <is>
          <t>9000-6</t>
        </is>
      </c>
      <c r="C14" s="15" t="inlineStr">
        <is>
          <t>콘크리트도상분야</t>
        </is>
      </c>
      <c r="D14" s="14" t="inlineStr">
        <is>
          <t>9000-6-13</t>
        </is>
      </c>
      <c r="E14" s="14" t="inlineStr">
        <is>
          <t>D+1 (D-0~D+1)</t>
        </is>
      </c>
      <c r="F14" s="15" t="inlineStr">
        <is>
          <t>[HBS] 강화노반 확인</t>
        </is>
      </c>
      <c r="G14" s="14" t="inlineStr">
        <is>
          <t>현장 공사팀</t>
        </is>
      </c>
      <c r="H14" s="15" t="inlineStr">
        <is>
          <t>기존 도로구간 노상토의 지지력 검증</t>
        </is>
      </c>
      <c r="I14" s="15" t="inlineStr">
        <is>
          <t>- 사전토공사 인수계획서 확인
- 터파기 시행 후 들밀도 시험을 통한 상대다짐도 또는 현장 재하시험을 통한 강화노반변형률 계수 확인
- 배수 상태 점검</t>
        </is>
      </c>
      <c r="J14" s="15" t="inlineStr">
        <is>
          <t>검측서</t>
        </is>
      </c>
      <c r="K14" s="15" t="inlineStr">
        <is>
          <t>1) 강화노반 표면 이물질 청소 및 균열 발생 여부를 조사하여 하중 전달성 확보를 검증한다.</t>
        </is>
      </c>
      <c r="L14" s="18" t="inlineStr">
        <is>
          <t>👉 [더블클릭] 표준서 열기 📄</t>
        </is>
      </c>
      <c r="M14" s="15" t="inlineStr">
        <is>
          <t>1) 노반 공종으로부터 지지력 K70 ≥ 150 MPa/m 성적서 수령
2) 노반 높이 오차(±10mm 이내) 광학 레벨 측량 검증</t>
        </is>
      </c>
      <c r="N14" s="18" t="inlineStr">
        <is>
          <t>👉 [더블클릭] 수행지침 열기 📄</t>
        </is>
      </c>
      <c r="O14" s="15" t="inlineStr">
        <is>
          <t>1) 시방 및 정량 기술 스펙 준수
2) 안전/품질 검측 기준 및 협력사 자문 수칙 적용</t>
        </is>
      </c>
      <c r="P14" s="18" t="inlineStr">
        <is>
          <t>👉 [더블클릭] 체크리스트 열기 📄</t>
        </is>
      </c>
      <c r="Q14" s="14" t="n"/>
      <c r="R14" s="15" t="inlineStr">
        <is>
          <t>● 강화노반 K30 지지력 계수 규격 준수</t>
        </is>
      </c>
      <c r="S14" s="19" t="inlineStr">
        <is>
          <t>1) 👉 [더블클릭] 체크리스트 열기 📄</t>
        </is>
      </c>
      <c r="T14" s="15" t="n"/>
    </row>
    <row r="15" ht="76.8" customHeight="1">
      <c r="A15" s="14" t="inlineStr">
        <is>
          <t>9000</t>
        </is>
      </c>
      <c r="B15" s="14" t="inlineStr">
        <is>
          <t>9000-6</t>
        </is>
      </c>
      <c r="C15" s="15" t="inlineStr">
        <is>
          <t>콘크리트도상분야</t>
        </is>
      </c>
      <c r="D15" s="14" t="inlineStr">
        <is>
          <t>9000-6-14</t>
        </is>
      </c>
      <c r="E15" s="14" t="inlineStr">
        <is>
          <t>D+15 (D+2~D+15)</t>
        </is>
      </c>
      <c r="F15" s="15" t="inlineStr">
        <is>
          <t>[HBS] 콘크리트 타설 및 양생</t>
        </is>
      </c>
      <c r="G15" s="14" t="inlineStr">
        <is>
          <t>현장 공사팀</t>
        </is>
      </c>
      <c r="H15" s="15" t="inlineStr">
        <is>
          <t>강화노반 상부 기초콘크리트로 TCL, 반-PC 슬래브 안정성 확보</t>
        </is>
      </c>
      <c r="I15" s="15" t="inlineStr">
        <is>
          <t>슬럼프 값 10cm 이하, 압축강도 18Mpa 이상 콘크리트 타설
- 품질확보를 위해 공장과 현장 이격거리 4.8km 이내</t>
        </is>
      </c>
      <c r="J15" s="15" t="inlineStr">
        <is>
          <t>검측서</t>
        </is>
      </c>
      <c r="K15" s="15" t="inlineStr">
        <is>
          <t>1) 고주파 다짐으로 굵은 가공재 재해 현상을 방지하고 타설 후 표면 레이턴스를 제거한다.</t>
        </is>
      </c>
      <c r="L15" s="18" t="inlineStr">
        <is>
          <t>👉 [더블클릭] 표준서 열기 📄</t>
        </is>
      </c>
      <c r="M15" s="15" t="inlineStr">
        <is>
          <t>1) 콘크리트 시멘트풀 유출 방지 거푸집 패킹 설치
2) 콜드조인트 방지 연속 타설 및 바이브레이터 밀실 다짐</t>
        </is>
      </c>
      <c r="N15" s="18" t="inlineStr">
        <is>
          <t>👉 [더블클릭] 수행지침 열기 📄</t>
        </is>
      </c>
      <c r="O15" s="15" t="inlineStr">
        <is>
          <t>1) 시방 및 정량 기술 스펙 준수
2) 안전/품질 검측 기준 및 협력사 자문 수칙 적용</t>
        </is>
      </c>
      <c r="P15" s="18" t="inlineStr">
        <is>
          <t>👉 [더블클릭] 체크리스트 열기 📄</t>
        </is>
      </c>
      <c r="Q15" s="14" t="n"/>
      <c r="R15" s="15" t="inlineStr">
        <is>
          <t>● 기초 콘크리트 압축강도 및 공차 관리</t>
        </is>
      </c>
      <c r="S15" s="19" t="inlineStr">
        <is>
          <t>1) 👉 [더블클릭] 체크리스트 열기 📄</t>
        </is>
      </c>
      <c r="T15" s="15" t="n"/>
    </row>
    <row r="16" ht="76.8" customHeight="1">
      <c r="A16" s="14" t="inlineStr">
        <is>
          <t>9000</t>
        </is>
      </c>
      <c r="B16" s="14" t="inlineStr">
        <is>
          <t>9000-6</t>
        </is>
      </c>
      <c r="C16" s="15" t="inlineStr">
        <is>
          <t>콘크리트도상분야</t>
        </is>
      </c>
      <c r="D16" s="14" t="inlineStr">
        <is>
          <t>9000-6-15</t>
        </is>
      </c>
      <c r="E16" s="14" t="inlineStr">
        <is>
          <t>D+15 (D+10~D+15)</t>
        </is>
      </c>
      <c r="F16" s="15" t="inlineStr">
        <is>
          <t>[반-PC 슬래브] 패널반입 및 설치</t>
        </is>
      </c>
      <c r="G16" s="14" t="inlineStr">
        <is>
          <t>현장 공사팀</t>
        </is>
      </c>
      <c r="H16" s="15" t="inlineStr">
        <is>
          <t>궤광지지체 구간의 PC 슬래브로 교차로/교량구간 급속시공 필요</t>
        </is>
      </c>
      <c r="I16" s="15" t="inlineStr">
        <is>
          <t>PC 슬래브 반입 시, 균열 및 오염 유무를 확인하고, 캔트가 설계 제원에 맞게 제작되었는지 확인
- PC 슬래브 설치 시, 보조도상에 표기된 위치에 정정위치하고, 받침목을 모서리부(패널 길이의 1/4, 3/4 지점) 좌우 4개소 배치
- 사전 적재위치 선정을 통해 소요반 비용발생을 방지</t>
        </is>
      </c>
      <c r="J16" s="15" t="inlineStr">
        <is>
          <t>검측서</t>
        </is>
      </c>
      <c r="K16" s="15" t="inlineStr">
        <is>
          <t>1) 스핀들 게이지 조작 시 광학 토탈스테이션과 연동하여 미세 조정을 수행한다.</t>
        </is>
      </c>
      <c r="L16" s="18" t="inlineStr">
        <is>
          <t>👉 [더블클릭] 표준서 열기 📄</t>
        </is>
      </c>
      <c r="M16" s="15" t="inlineStr">
        <is>
          <t>1) 노반 표면 이물질 청소 및 광학 측량기 셋팅
2) 점 인양 빔으로 패널 거치 후 스핀들 게이지 정밀 수평 조정</t>
        </is>
      </c>
      <c r="N16" s="18" t="inlineStr">
        <is>
          <t>👉 [더블클릭] 수행지침 열기 📄</t>
        </is>
      </c>
      <c r="O16" s="15" t="inlineStr">
        <is>
          <t>1) 시방 및 정량 기술 스펙 준수
2) 안전/품질 검측 기준 및 협력사 자문 수칙 적용</t>
        </is>
      </c>
      <c r="P16" s="18" t="inlineStr">
        <is>
          <t>👉 [더블클릭] 체크리스트 열기 📄</t>
        </is>
      </c>
      <c r="Q16" s="14" t="n"/>
      <c r="R16" s="15" t="inlineStr">
        <is>
          <t>● PC 슬래브 제작 허용 오차 만족</t>
        </is>
      </c>
      <c r="S16" s="19" t="inlineStr">
        <is>
          <t>1) 👉 [더블클릭] 체크리스트 열기 📄</t>
        </is>
      </c>
      <c r="T16" s="15" t="n"/>
    </row>
    <row r="17" ht="76.8" customHeight="1">
      <c r="A17" s="14" t="inlineStr">
        <is>
          <t>9000</t>
        </is>
      </c>
      <c r="B17" s="14" t="inlineStr">
        <is>
          <t>9000-6</t>
        </is>
      </c>
      <c r="C17" s="15" t="inlineStr">
        <is>
          <t>콘크리트도상분야</t>
        </is>
      </c>
      <c r="D17" s="14" t="inlineStr">
        <is>
          <t>9000-6-16</t>
        </is>
      </c>
      <c r="E17" s="14" t="inlineStr">
        <is>
          <t>D+16 (D+16~D+16)</t>
        </is>
      </c>
      <c r="F17" s="15" t="inlineStr">
        <is>
          <t>[PST] 전단앵커설치 및 충전재 주입</t>
        </is>
      </c>
      <c r="G17" s="14" t="inlineStr">
        <is>
          <t>현장 공사팀</t>
        </is>
      </c>
      <c r="H17" s="15" t="inlineStr">
        <is>
          <t>HBS, TCL층과 일체화를 위하여 전단앵커를 설치하고 몰탈 충전재 주입</t>
        </is>
      </c>
      <c r="I17" s="15" t="inlineStr">
        <is>
          <t>충전재 주입 중 재료나 장비의 이상으로 완전히 충전되지 않을 경우에는 충전재가 경화되기 전에 기 주입된 충전재를 제거하고 물청소를 시행한 후 재작업 실시
- EVA Foam 구멍을 뚫어 몰탈 유출 확인, 밀실하게 충진되었는지 확인
- 충전재 주입이 완료되면 충전층이 경화되기 전에 전단키 덮개를 시공하여 수분의 유입을 차단</t>
        </is>
      </c>
      <c r="J17" s="15" t="inlineStr">
        <is>
          <t>검측서</t>
        </is>
      </c>
      <c r="K17" s="15" t="inlineStr">
        <is>
          <t>1) 무수축 충전재 주입 시 공기 배출구로 슬러리가 오버플로우 될 때까지 연속 압송한다.</t>
        </is>
      </c>
      <c r="L17" s="18" t="inlineStr">
        <is>
          <t>👉 [더블클릭] 표준서 열기 📄</t>
        </is>
      </c>
      <c r="M17" s="15" t="inlineStr">
        <is>
          <t>1) 앵커 홀 이물질 제거 및 무수축 그라우트 배합비 확인
2) 음향 탐사로 공기 공동 파악 및 45 MPa 몰드 시험 확인</t>
        </is>
      </c>
      <c r="N17" s="18" t="inlineStr">
        <is>
          <t>👉 [더블클릭] 수행지침 열기 📄</t>
        </is>
      </c>
      <c r="O17" s="15" t="inlineStr">
        <is>
          <t>1) 시방 및 정량 기술 스펙 준수
2) 안전/품질 검측 기준 및 협력사 자문 수칙 적용</t>
        </is>
      </c>
      <c r="P17" s="18" t="inlineStr">
        <is>
          <t>👉 [더블클릭] 체크리스트 열기 📄</t>
        </is>
      </c>
      <c r="Q17" s="14" t="n"/>
      <c r="R17" s="15" t="inlineStr">
        <is>
          <t>● 충전 몰탈 품질 및 전단앵커 정착 깊이</t>
        </is>
      </c>
      <c r="S17" s="19" t="inlineStr">
        <is>
          <t>1) 👉 [더블클릭] 체크리스트 열기 📄</t>
        </is>
      </c>
      <c r="T17" s="15" t="n"/>
    </row>
    <row r="18" ht="76.8" customHeight="1">
      <c r="A18" s="14" t="inlineStr">
        <is>
          <t>9000</t>
        </is>
      </c>
      <c r="B18" s="14" t="inlineStr">
        <is>
          <t>9000-6</t>
        </is>
      </c>
      <c r="C18" s="15" t="inlineStr">
        <is>
          <t>콘크리트도상분야</t>
        </is>
      </c>
      <c r="D18" s="14" t="inlineStr">
        <is>
          <t>9000-6-17</t>
        </is>
      </c>
      <c r="E18" s="14" t="inlineStr">
        <is>
          <t>D+30 (D+17~D+30)</t>
        </is>
      </c>
      <c r="F18" s="15" t="inlineStr">
        <is>
          <t>[TCL] 궤광 및 철근조립</t>
        </is>
      </c>
      <c r="G18" s="14" t="inlineStr">
        <is>
          <t>현장 공사팀</t>
        </is>
      </c>
      <c r="H18" s="15" t="inlineStr">
        <is>
          <t>TCL 철근조립 및 부설시 매립형 궤도를 포함한 궤광의 변위 발생 방지</t>
        </is>
      </c>
      <c r="I18" s="15" t="inlineStr">
        <is>
          <t>임시침목을 이용한 궤광 설치 및 줄틀림, 면틀림, 중심간격 허용오차는 3mm 이내
- 종방향, 횡방향 철근 조립시 2m 간격설치, 철근처짐이 없도록 용접 또는 결속</t>
        </is>
      </c>
      <c r="J18" s="15" t="inlineStr">
        <is>
          <t>검측서</t>
        </is>
      </c>
      <c r="K18" s="15" t="inlineStr">
        <is>
          <t>1) 스핀들 게이지 조작 시 궤간/캔트/수평을 동시에 정밀 측정하여 오차 ±2mm 이내로 고정한다.</t>
        </is>
      </c>
      <c r="L18" s="18" t="inlineStr">
        <is>
          <t>👉 [더블클릭] 표준서 열기 📄</t>
        </is>
      </c>
      <c r="M18" s="15" t="inlineStr">
        <is>
          <t>1) CP 광학 레벨기로 궤도 중심선 및 기준 높이 확인
2) 궤간 1,435mm(+3,-1mm) 고정 및 캔트/수평 오차 ±2mm 이내 정밀 정열</t>
        </is>
      </c>
      <c r="N18" s="18" t="inlineStr">
        <is>
          <t>👉 [더블클릭] 수행지침 열기 📄</t>
        </is>
      </c>
      <c r="O18" s="15" t="inlineStr">
        <is>
          <t>1) 시방 및 정량 기술 스펙 준수
2) 안전/품질 검측 기준 및 협력사 자문 수칙 적용</t>
        </is>
      </c>
      <c r="P18" s="18" t="inlineStr">
        <is>
          <t>👉 [더블클릭] 체크리스트 열기 📄</t>
        </is>
      </c>
      <c r="Q18" s="14" t="n"/>
      <c r="R18" s="15" t="inlineStr">
        <is>
          <t>● 궤도 기하구조 공차(3mm 이내) 관리</t>
        </is>
      </c>
      <c r="S18" s="19" t="inlineStr">
        <is>
          <t>1) 👉 [더블클릭] 체크리스트 열기 📄</t>
        </is>
      </c>
      <c r="T18" s="15" t="n"/>
    </row>
    <row r="19" ht="76.8" customHeight="1">
      <c r="A19" s="14" t="inlineStr">
        <is>
          <t>9000</t>
        </is>
      </c>
      <c r="B19" s="14" t="inlineStr">
        <is>
          <t>9000-6</t>
        </is>
      </c>
      <c r="C19" s="15" t="inlineStr">
        <is>
          <t>콘크리트도상분야</t>
        </is>
      </c>
      <c r="D19" s="14" t="inlineStr">
        <is>
          <t>9000-6-18</t>
        </is>
      </c>
      <c r="E19" s="14" t="inlineStr">
        <is>
          <t>D+35 (D+31~D+35)</t>
        </is>
      </c>
      <c r="F19" s="15" t="inlineStr">
        <is>
          <t>[TCL] 거푸집 설치</t>
        </is>
      </c>
      <c r="G19" s="14" t="inlineStr">
        <is>
          <t>현장 공사팀</t>
        </is>
      </c>
      <c r="H19" s="15" t="inlineStr">
        <is>
          <t>거푸집 지지대는 철근이 타설압력에 의해 변위가 발생하지 않도록 앵커나 서포트로 고정</t>
        </is>
      </c>
      <c r="I19" s="15" t="inlineStr">
        <is>
          <t>강재거푸집거푸집 반영
- 작업자 이동통로 확보가 되어 있는지 확인하고, 넘어짐 등의 안전사고가 발생하지 않도록 지지대에 별도 식별장치 설치</t>
        </is>
      </c>
      <c r="J19" s="15" t="inlineStr">
        <is>
          <t>검측서</t>
        </is>
      </c>
      <c r="K19" s="15" t="inlineStr">
        <is>
          <t>1) 하부 수밀 패킹을 철저히 밀착시켜 시멘트 페이스트 유출로 인한 도상 콘크리트 강도 저하를 차단한다.</t>
        </is>
      </c>
      <c r="L19" s="18" t="inlineStr">
        <is>
          <t>👉 [더블클릭] 표준서 열기 📄</t>
        </is>
      </c>
      <c r="M19" s="15" t="inlineStr">
        <is>
          <t>1) 거푸집 선형 검측표 작성 후 감리원 검측 승인
2) 거푸집 면 이물질 청소 및 환경 친화 박리제 균일 도포</t>
        </is>
      </c>
      <c r="N19" s="18" t="inlineStr">
        <is>
          <t>👉 [더블클릭] 수행지침 열기 📄</t>
        </is>
      </c>
      <c r="O19" s="15" t="inlineStr">
        <is>
          <t>1) 시방 및 정량 기술 스펙 준수
2) 안전/품질 검측 기준 및 협력사 자문 수칙 적용</t>
        </is>
      </c>
      <c r="P19" s="18" t="inlineStr">
        <is>
          <t>👉 [더블클릭] 체크리스트 열기 📄</t>
        </is>
      </c>
      <c r="Q19" s="14" t="n"/>
      <c r="R19" s="15" t="inlineStr">
        <is>
          <t>● 가설재 강도 및 안전 난간 기준 준수</t>
        </is>
      </c>
      <c r="S19" s="19" t="inlineStr">
        <is>
          <t>1) 👉 [더블클릭] 체크리스트 열기 📄</t>
        </is>
      </c>
      <c r="T19" s="15" t="n"/>
    </row>
    <row r="20" ht="96" customHeight="1">
      <c r="A20" s="14" t="inlineStr">
        <is>
          <t>9000</t>
        </is>
      </c>
      <c r="B20" s="14" t="inlineStr">
        <is>
          <t>9000-6</t>
        </is>
      </c>
      <c r="C20" s="15" t="inlineStr">
        <is>
          <t>콘크리트도상분야</t>
        </is>
      </c>
      <c r="D20" s="14" t="inlineStr">
        <is>
          <t>9000-6-19</t>
        </is>
      </c>
      <c r="E20" s="14" t="inlineStr">
        <is>
          <t>D+50 (D+36~D+50)</t>
        </is>
      </c>
      <c r="F20" s="15" t="inlineStr">
        <is>
          <t>[TCL] 콘크리트 타설 및 양생</t>
        </is>
      </c>
      <c r="G20" s="14" t="inlineStr">
        <is>
          <t>현장 공사팀</t>
        </is>
      </c>
      <c r="H20" s="15" t="inlineStr">
        <is>
          <t>TCL은 궤도 부속자재(레일, 고정액상수지 등)가 연결되어 있어, 선형조정 및 연마감 작업이 중요</t>
        </is>
      </c>
      <c r="I20" s="15" t="inlineStr">
        <is>
          <t>슬럼프값은 10cm 이하 타설, 피니셔의 진행 정지시 진동 다짐 장비 중지
- 7일이상 습윤양생 시행, 양생이후 콘크리트 도상내 이물질 청소 및 세척
- 그루브드레일 홈 부분 청소 및 세척, 치수확인</t>
        </is>
      </c>
      <c r="J20" s="15" t="inlineStr">
        <is>
          <t>검측서</t>
        </is>
      </c>
      <c r="K20" s="15" t="inlineStr">
        <is>
          <t>1) 타설 도중 및 직후 실시간 궤간척으로 궤간(+3,-1mm) 및 캔트(±2mm) 변화를 계속 확인 및 보정한다.</t>
        </is>
      </c>
      <c r="L20" s="18" t="inlineStr">
        <is>
          <t>👉 [더블클릭] 표준서 열기 📄</t>
        </is>
      </c>
      <c r="M20" s="15" t="inlineStr">
        <is>
          <t>1) 타설 직전 스핀들 궤간/캔트 최종 정열 상태 측량
2) 고주파 다짐 실시 및 타설 중 실시간 궤간/캔트 오차 미세 조율</t>
        </is>
      </c>
      <c r="N20" s="18" t="inlineStr">
        <is>
          <t>👉 [더블클릭] 수행지침 열기 📄</t>
        </is>
      </c>
      <c r="O20" s="15" t="inlineStr">
        <is>
          <t>1) 시방 및 정량 기술 스펙 준수
2) 안전/품질 검측 기준 및 협력사 자문 수칙 적용</t>
        </is>
      </c>
      <c r="P20" s="18" t="inlineStr">
        <is>
          <t>👉 [더블클릭] 체크리스트 열기 📄</t>
        </is>
      </c>
      <c r="Q20" s="14" t="n"/>
      <c r="R20" s="15" t="inlineStr">
        <is>
          <t>● TCL 설계 높이 및 배수구 기울기 준수</t>
        </is>
      </c>
      <c r="S20" s="19" t="inlineStr">
        <is>
          <t>1) 👉 [더블클릭] 체크리스트 열기 📄</t>
        </is>
      </c>
      <c r="T20" s="15" t="n"/>
    </row>
    <row r="21" ht="96" customHeight="1">
      <c r="A21" s="14" t="inlineStr">
        <is>
          <t>9000</t>
        </is>
      </c>
      <c r="B21" s="14" t="inlineStr">
        <is>
          <t>9000-6</t>
        </is>
      </c>
      <c r="C21" s="15" t="inlineStr">
        <is>
          <t>콘크리트도상분야</t>
        </is>
      </c>
      <c r="D21" s="14" t="inlineStr">
        <is>
          <t>9000-6-20</t>
        </is>
      </c>
      <c r="E21" s="14" t="inlineStr">
        <is>
          <t>D+63 (D-60~D+63)</t>
        </is>
      </c>
      <c r="F21" s="15" t="inlineStr">
        <is>
          <t>[레일용접] 가스 압접</t>
        </is>
      </c>
      <c r="G21" s="14" t="inlineStr">
        <is>
          <t>현장 공사팀</t>
        </is>
      </c>
      <c r="H21" s="15" t="inlineStr">
        <is>
          <t>장대레일 제작을 위해 용접기에서 가스로 레일 단부를 가열한 후, 강한 압력을 가하여 레일을 접합</t>
        </is>
      </c>
      <c r="I21" s="15" t="inlineStr">
        <is>
          <t>레일의 엇갈림, 굴곡 등 외관으로 확인 가능한 것은 적열 중에 교정하며, 냉각이 진행되었으면 재가열 한 후 교정
- 교정된 레일의 접합부는 마찬가지로 적열상태일때 트리밍하여 불순물을 제거
- 가스압접 완료 후 외관검사를 통해 레일의 균열, 굽힘, 비틀림을 확인하고, 지분탐상검사를 통해 내부 결함을 확인</t>
        </is>
      </c>
      <c r="J21" s="15" t="inlineStr">
        <is>
          <t>검측서</t>
        </is>
      </c>
      <c r="K21" s="15" t="inlineStr">
        <is>
          <t>1) 용접부 1m 정밀 룰러 측정 시 수직/수평 직선도 오차가 ±0.2mm 이내임을 확인하고 UT 검사를 시행한다.</t>
        </is>
      </c>
      <c r="L21" s="18" t="inlineStr">
        <is>
          <t>👉 [더블클릭] 표준서 열기 📄</t>
        </is>
      </c>
      <c r="M21" s="15" t="inlineStr">
        <is>
          <t>1) 레일 단면 50mm 녹/기름 제거 및 가스 압접기 압력 교정
2) EN 14587 프로그램에 따라 자동 가열 및 버(Burr) 핫 쉐어링 전단</t>
        </is>
      </c>
      <c r="N21" s="18" t="inlineStr">
        <is>
          <t>👉 [더블클릭] 수행지침 열기 📄</t>
        </is>
      </c>
      <c r="O21" s="15" t="inlineStr">
        <is>
          <t>1) 시방 및 정량 기술 스펙 준수
2) 안전/품질 검측 기준 및 협력사 자문 수칙 적용</t>
        </is>
      </c>
      <c r="P21" s="18" t="inlineStr">
        <is>
          <t>👉 [더블클릭] 체크리스트 열기 📄</t>
        </is>
      </c>
      <c r="Q21" s="14" t="n"/>
      <c r="R21" s="15" t="inlineStr">
        <is>
          <t>● 용접부 인장 시험 및 비파괴 검사 규격 만족</t>
        </is>
      </c>
      <c r="S21" s="19" t="inlineStr">
        <is>
          <t>1) 👉 [더블클릭] 체크리스트 열기 📄</t>
        </is>
      </c>
      <c r="T21" s="15" t="n"/>
    </row>
    <row r="22" ht="96" customHeight="1">
      <c r="A22" s="14" t="inlineStr">
        <is>
          <t>9000</t>
        </is>
      </c>
      <c r="B22" s="14" t="inlineStr">
        <is>
          <t>9000-6</t>
        </is>
      </c>
      <c r="C22" s="15" t="inlineStr">
        <is>
          <t>콘크리트도상분야</t>
        </is>
      </c>
      <c r="D22" s="14" t="inlineStr">
        <is>
          <t>9000-6-21</t>
        </is>
      </c>
      <c r="E22" s="14" t="inlineStr">
        <is>
          <t>D+64 (D+64~D+64)</t>
        </is>
      </c>
      <c r="F22" s="15" t="inlineStr">
        <is>
          <t>[레일용접] 테르밋 용접</t>
        </is>
      </c>
      <c r="G22" s="14" t="inlineStr">
        <is>
          <t>현장 공사팀</t>
        </is>
      </c>
      <c r="H22" s="15" t="inlineStr">
        <is>
          <t>테르밋 용제를 예열된 장대레일 공간에 넣고 용융하여 모든 장대레일을 일체화</t>
        </is>
      </c>
      <c r="I22" s="15" t="inlineStr">
        <is>
          <t>면, 틈맞춤 -&gt; 몰드설치 -&gt; 용접부예열 -&gt; 용접부연마 -&gt; 용접완료
- 테르밋 용접 완료 후 외관검사를 통해 레일의 균열, 굽힘, 비틀림을 확인하고, 침투탐상검사 및 초음파탐상검사를 통해 내부 결함을 확인
- 용접이 완료된 개소 측면에 용접년도와 용접공 고유번호가 표시 되었는지 확인
- 테르밋 용접 용제 폐기물 수거를 위해 톤마대를 준비하고, 폐기물 반출 일정을 수립</t>
        </is>
      </c>
      <c r="J22" s="15" t="inlineStr">
        <is>
          <t>검측서</t>
        </is>
      </c>
      <c r="K22" s="15" t="inlineStr">
        <is>
          <t>1) 테르밋 반응 시 도가니 뚜껑 고정 및 반응 후 슬래그 정밀 제거를 시행하여 슬래그 혼입 결함을 방지한다.</t>
        </is>
      </c>
      <c r="L22" s="18" t="inlineStr">
        <is>
          <t>👉 [더블클릭] 표준서 열기 📄</t>
        </is>
      </c>
      <c r="M22" s="15" t="inlineStr">
        <is>
          <t>1) 레일 끝단 23~26mm 유격 조정 및 레일 정열 클램프 고정
2) 몰드 밀봉 후 테르밋 소모품點火 반응 주입 및 약 5분 후 유압 전단</t>
        </is>
      </c>
      <c r="N22" s="18" t="inlineStr">
        <is>
          <t>👉 [더블클릭] 수행지침 열기 📄</t>
        </is>
      </c>
      <c r="O22" s="15" t="inlineStr">
        <is>
          <t>1) 시방 및 정량 기술 스펙 준수
2) 안전/품질 검측 기준 및 협력사 자문 수칙 적용</t>
        </is>
      </c>
      <c r="P22" s="18" t="inlineStr">
        <is>
          <t>👉 [더블클릭] 체크리스트 열기 📄</t>
        </is>
      </c>
      <c r="Q22" s="14" t="n"/>
      <c r="R22" s="15" t="inlineStr">
        <is>
          <t>● 테르밋 용접부 비파괴 검사(UT/PT) 및 공차</t>
        </is>
      </c>
      <c r="S22" s="19" t="inlineStr">
        <is>
          <t>1) 👉 [더블클릭] 체크리스트 열기 📄</t>
        </is>
      </c>
      <c r="T22" s="15" t="n"/>
    </row>
    <row r="23" ht="96" customHeight="1">
      <c r="A23" s="14" t="inlineStr">
        <is>
          <t>9000</t>
        </is>
      </c>
      <c r="B23" s="14" t="inlineStr">
        <is>
          <t>9000-6</t>
        </is>
      </c>
      <c r="C23" s="15" t="inlineStr">
        <is>
          <t>콘크리트도상분야</t>
        </is>
      </c>
      <c r="D23" s="14" t="inlineStr">
        <is>
          <t>9000-6-22</t>
        </is>
      </c>
      <c r="E23" s="14" t="inlineStr">
        <is>
          <t>D+75 (D+71~D+75)</t>
        </is>
      </c>
      <c r="F23" s="15" t="inlineStr">
        <is>
          <t>[레일연마] 레일연마 or 밀링</t>
        </is>
      </c>
      <c r="G23" s="14" t="inlineStr">
        <is>
          <t>현장 공사팀</t>
        </is>
      </c>
      <c r="H23" s="15" t="inlineStr">
        <is>
          <t>레일 연마 or 밀링작업을 통해 선로의 평탄화증을 제거하여 레일 수명 향상 및 운행 안정성 개선</t>
        </is>
      </c>
      <c r="I23" s="15" t="inlineStr">
        <is>
          <t>레일연마는 연마 작업시 발생하는 스파크, 분진, 냉각수로 인한 Risk를 개선한 신기술로, 연마를 시행하는 것이 레일의 품질관리 및 시공성 측면에서 유리
- 장비보유현황 및 투입 스케줄 확인 필요
- 연마(밀링) 완료 후, 연마지에 압축기를 설치하여 연마깊이(현식량)를 측정</t>
        </is>
      </c>
      <c r="J23" s="15" t="inlineStr">
        <is>
          <t>검측서</t>
        </is>
      </c>
      <c r="K23" s="15" t="inlineStr">
        <is>
          <t>1) 연마 시 레일 과열에 의한 열응력 균열(Blue Brittle)이 발생하지 않도록 절삭유 및 속도를 관리한다.</t>
        </is>
      </c>
      <c r="L23" s="18" t="inlineStr">
        <is>
          <t>👉 [더블클릭] 표준서 열기 📄</t>
        </is>
      </c>
      <c r="M23" s="15" t="inlineStr">
        <is>
          <t>1) 조도계로 Ra ≤ 10㎛ 판정 및 레일 연마 검측 승인
2) 장대레일 구간 연마/밀링 장비 점검 및 표면 단차 사전 조사</t>
        </is>
      </c>
      <c r="N23" s="18" t="inlineStr">
        <is>
          <t>👉 [더블클릭] 수행지침 열기 📄</t>
        </is>
      </c>
      <c r="O23" s="15" t="inlineStr">
        <is>
          <t>1) 시방 및 정량 기술 스펙 준수
2) 안전/품질 검측 기준 및 협력사 자문 수칙 적용</t>
        </is>
      </c>
      <c r="P23" s="18" t="inlineStr">
        <is>
          <t>👉 [더블클릭] 체크리스트 열기 📄</t>
        </is>
      </c>
      <c r="Q23" s="14" t="n"/>
      <c r="R23" s="15" t="inlineStr">
        <is>
          <t>● 레일 두부 프로파일 측정 및 평탄도 기준</t>
        </is>
      </c>
      <c r="S23" s="19" t="inlineStr">
        <is>
          <t>1) 👉 [더블클릭] 체크리스트 열기 📄</t>
        </is>
      </c>
      <c r="T23" s="15" t="n"/>
    </row>
    <row r="24" ht="57.6" customHeight="1">
      <c r="A24" s="14" t="inlineStr">
        <is>
          <t>9000</t>
        </is>
      </c>
      <c r="B24" s="14" t="inlineStr">
        <is>
          <t>9000-6</t>
        </is>
      </c>
      <c r="C24" s="15" t="inlineStr">
        <is>
          <t>콘크리트도상분야</t>
        </is>
      </c>
      <c r="D24" s="14" t="inlineStr">
        <is>
          <t>9000-6-23</t>
        </is>
      </c>
      <c r="E24" s="14" t="inlineStr">
        <is>
          <t>D+75일 이후</t>
        </is>
      </c>
      <c r="F24" s="15" t="inlineStr">
        <is>
          <t>후속공사 인수인계</t>
        </is>
      </c>
      <c r="G24" s="14" t="inlineStr">
        <is>
          <t>현장 공사팀/품질팀</t>
        </is>
      </c>
      <c r="H24" s="15" t="inlineStr">
        <is>
          <t>완료구간 후속공사 인수인계</t>
        </is>
      </c>
      <c r="I24" s="15" t="inlineStr">
        <is>
          <t>완료된 궤도 구간에 대해 후속 분야(전기, 신호 등)가 공사를 진행할 수 있도록 인계</t>
        </is>
      </c>
      <c r="J24" s="15" t="inlineStr">
        <is>
          <t>강화노반 및 궤도 시설물 인수인계서</t>
        </is>
      </c>
      <c r="K24" s="15" t="inlineStr">
        <is>
          <t>1) 전기/신호/노반 담당자와 함께 궤도 회로 절연 저항 및 수평 오차를 현장 합동 점검한다.</t>
        </is>
      </c>
      <c r="L24" s="18" t="inlineStr">
        <is>
          <t>👉 [더블클릭] 표준서 열기 📄</t>
        </is>
      </c>
      <c r="M24" s="15" t="inlineStr">
        <is>
          <t>1) 궤도 회로 절연 및 궤간 오차 현장 합동 확인
2) 구간별 NDT 용접 성과표, 강도 성적서 및 궤도 정열표 대조</t>
        </is>
      </c>
      <c r="N24" s="18" t="inlineStr">
        <is>
          <t>👉 [더블클릭] 수행지침 열기 📄</t>
        </is>
      </c>
      <c r="O24" s="15" t="inlineStr">
        <is>
          <t>1) 시방 및 정량 기술 스펙 준수
2) 안전/품질 검측 기준 및 협력사 자문 수칙 적용</t>
        </is>
      </c>
      <c r="P24" s="18" t="inlineStr">
        <is>
          <t>👉 [더블클릭] 체크리스트 열기 📄</t>
        </is>
      </c>
      <c r="Q24" s="14" t="n"/>
      <c r="R24" s="15" t="inlineStr">
        <is>
          <t>● 후속 공종 인수인계 표준 지침</t>
        </is>
      </c>
      <c r="S24" s="19" t="inlineStr">
        <is>
          <t>1) 👉 [더블클릭] 체크리스트 열기 📄</t>
        </is>
      </c>
      <c r="T24" s="15" t="n"/>
    </row>
  </sheetData>
  <hyperlinks>
    <hyperlink xmlns:r="http://schemas.openxmlformats.org/officeDocument/2006/relationships" ref="L2" r:id="rId1"/>
    <hyperlink xmlns:r="http://schemas.openxmlformats.org/officeDocument/2006/relationships" ref="N2" r:id="rId2"/>
    <hyperlink xmlns:r="http://schemas.openxmlformats.org/officeDocument/2006/relationships" ref="P2" r:id="rId3"/>
    <hyperlink xmlns:r="http://schemas.openxmlformats.org/officeDocument/2006/relationships" ref="L3" r:id="rId4"/>
    <hyperlink xmlns:r="http://schemas.openxmlformats.org/officeDocument/2006/relationships" ref="N3" r:id="rId5"/>
    <hyperlink xmlns:r="http://schemas.openxmlformats.org/officeDocument/2006/relationships" ref="P3" r:id="rId6"/>
    <hyperlink xmlns:r="http://schemas.openxmlformats.org/officeDocument/2006/relationships" ref="L4" r:id="rId7"/>
    <hyperlink xmlns:r="http://schemas.openxmlformats.org/officeDocument/2006/relationships" ref="N4" r:id="rId8"/>
    <hyperlink xmlns:r="http://schemas.openxmlformats.org/officeDocument/2006/relationships" ref="P4" r:id="rId9"/>
    <hyperlink xmlns:r="http://schemas.openxmlformats.org/officeDocument/2006/relationships" ref="L5" r:id="rId10"/>
    <hyperlink xmlns:r="http://schemas.openxmlformats.org/officeDocument/2006/relationships" ref="N5" r:id="rId11"/>
    <hyperlink xmlns:r="http://schemas.openxmlformats.org/officeDocument/2006/relationships" ref="P5" r:id="rId12"/>
    <hyperlink xmlns:r="http://schemas.openxmlformats.org/officeDocument/2006/relationships" ref="L6" r:id="rId13"/>
    <hyperlink xmlns:r="http://schemas.openxmlformats.org/officeDocument/2006/relationships" ref="N6" r:id="rId14"/>
    <hyperlink xmlns:r="http://schemas.openxmlformats.org/officeDocument/2006/relationships" ref="P6" r:id="rId15"/>
    <hyperlink xmlns:r="http://schemas.openxmlformats.org/officeDocument/2006/relationships" ref="L7" r:id="rId16"/>
    <hyperlink xmlns:r="http://schemas.openxmlformats.org/officeDocument/2006/relationships" ref="N7" r:id="rId17"/>
    <hyperlink xmlns:r="http://schemas.openxmlformats.org/officeDocument/2006/relationships" ref="P7" r:id="rId18"/>
    <hyperlink xmlns:r="http://schemas.openxmlformats.org/officeDocument/2006/relationships" ref="L8" r:id="rId19"/>
    <hyperlink xmlns:r="http://schemas.openxmlformats.org/officeDocument/2006/relationships" ref="N8" r:id="rId20"/>
    <hyperlink xmlns:r="http://schemas.openxmlformats.org/officeDocument/2006/relationships" ref="P8" r:id="rId21"/>
    <hyperlink xmlns:r="http://schemas.openxmlformats.org/officeDocument/2006/relationships" ref="L9" r:id="rId22"/>
    <hyperlink xmlns:r="http://schemas.openxmlformats.org/officeDocument/2006/relationships" ref="N9" r:id="rId23"/>
    <hyperlink xmlns:r="http://schemas.openxmlformats.org/officeDocument/2006/relationships" ref="P9" r:id="rId24"/>
    <hyperlink xmlns:r="http://schemas.openxmlformats.org/officeDocument/2006/relationships" ref="L10" r:id="rId25"/>
    <hyperlink xmlns:r="http://schemas.openxmlformats.org/officeDocument/2006/relationships" ref="N10" r:id="rId26"/>
    <hyperlink xmlns:r="http://schemas.openxmlformats.org/officeDocument/2006/relationships" ref="P10" r:id="rId27"/>
    <hyperlink xmlns:r="http://schemas.openxmlformats.org/officeDocument/2006/relationships" ref="L11" r:id="rId28"/>
    <hyperlink xmlns:r="http://schemas.openxmlformats.org/officeDocument/2006/relationships" ref="N11" r:id="rId29"/>
    <hyperlink xmlns:r="http://schemas.openxmlformats.org/officeDocument/2006/relationships" ref="P11" r:id="rId30"/>
    <hyperlink xmlns:r="http://schemas.openxmlformats.org/officeDocument/2006/relationships" ref="L12" r:id="rId31"/>
    <hyperlink xmlns:r="http://schemas.openxmlformats.org/officeDocument/2006/relationships" ref="N12" r:id="rId32"/>
    <hyperlink xmlns:r="http://schemas.openxmlformats.org/officeDocument/2006/relationships" ref="P12" r:id="rId33"/>
    <hyperlink xmlns:r="http://schemas.openxmlformats.org/officeDocument/2006/relationships" ref="L13" r:id="rId34"/>
    <hyperlink xmlns:r="http://schemas.openxmlformats.org/officeDocument/2006/relationships" ref="N13" r:id="rId35"/>
    <hyperlink xmlns:r="http://schemas.openxmlformats.org/officeDocument/2006/relationships" ref="P13" r:id="rId36"/>
    <hyperlink xmlns:r="http://schemas.openxmlformats.org/officeDocument/2006/relationships" ref="L14" r:id="rId37"/>
    <hyperlink xmlns:r="http://schemas.openxmlformats.org/officeDocument/2006/relationships" ref="N14" r:id="rId38"/>
    <hyperlink xmlns:r="http://schemas.openxmlformats.org/officeDocument/2006/relationships" ref="P14" r:id="rId39"/>
    <hyperlink xmlns:r="http://schemas.openxmlformats.org/officeDocument/2006/relationships" ref="L15" r:id="rId40"/>
    <hyperlink xmlns:r="http://schemas.openxmlformats.org/officeDocument/2006/relationships" ref="N15" r:id="rId41"/>
    <hyperlink xmlns:r="http://schemas.openxmlformats.org/officeDocument/2006/relationships" ref="P15" r:id="rId42"/>
    <hyperlink xmlns:r="http://schemas.openxmlformats.org/officeDocument/2006/relationships" ref="L16" r:id="rId43"/>
    <hyperlink xmlns:r="http://schemas.openxmlformats.org/officeDocument/2006/relationships" ref="N16" r:id="rId44"/>
    <hyperlink xmlns:r="http://schemas.openxmlformats.org/officeDocument/2006/relationships" ref="P16" r:id="rId45"/>
    <hyperlink xmlns:r="http://schemas.openxmlformats.org/officeDocument/2006/relationships" ref="L17" r:id="rId46"/>
    <hyperlink xmlns:r="http://schemas.openxmlformats.org/officeDocument/2006/relationships" ref="N17" r:id="rId47"/>
    <hyperlink xmlns:r="http://schemas.openxmlformats.org/officeDocument/2006/relationships" ref="P17" r:id="rId48"/>
    <hyperlink xmlns:r="http://schemas.openxmlformats.org/officeDocument/2006/relationships" ref="L18" r:id="rId49"/>
    <hyperlink xmlns:r="http://schemas.openxmlformats.org/officeDocument/2006/relationships" ref="N18" r:id="rId50"/>
    <hyperlink xmlns:r="http://schemas.openxmlformats.org/officeDocument/2006/relationships" ref="P18" r:id="rId51"/>
    <hyperlink xmlns:r="http://schemas.openxmlformats.org/officeDocument/2006/relationships" ref="L19" r:id="rId52"/>
    <hyperlink xmlns:r="http://schemas.openxmlformats.org/officeDocument/2006/relationships" ref="N19" r:id="rId53"/>
    <hyperlink xmlns:r="http://schemas.openxmlformats.org/officeDocument/2006/relationships" ref="P19" r:id="rId54"/>
    <hyperlink xmlns:r="http://schemas.openxmlformats.org/officeDocument/2006/relationships" ref="L20" r:id="rId55"/>
    <hyperlink xmlns:r="http://schemas.openxmlformats.org/officeDocument/2006/relationships" ref="N20" r:id="rId56"/>
    <hyperlink xmlns:r="http://schemas.openxmlformats.org/officeDocument/2006/relationships" ref="P20" r:id="rId57"/>
    <hyperlink xmlns:r="http://schemas.openxmlformats.org/officeDocument/2006/relationships" ref="L21" r:id="rId58"/>
    <hyperlink xmlns:r="http://schemas.openxmlformats.org/officeDocument/2006/relationships" ref="N21" r:id="rId59"/>
    <hyperlink xmlns:r="http://schemas.openxmlformats.org/officeDocument/2006/relationships" ref="P21" r:id="rId60"/>
    <hyperlink xmlns:r="http://schemas.openxmlformats.org/officeDocument/2006/relationships" ref="L22" r:id="rId61"/>
    <hyperlink xmlns:r="http://schemas.openxmlformats.org/officeDocument/2006/relationships" ref="N22" r:id="rId62"/>
    <hyperlink xmlns:r="http://schemas.openxmlformats.org/officeDocument/2006/relationships" ref="P22" r:id="rId63"/>
    <hyperlink xmlns:r="http://schemas.openxmlformats.org/officeDocument/2006/relationships" ref="L23" r:id="rId64"/>
    <hyperlink xmlns:r="http://schemas.openxmlformats.org/officeDocument/2006/relationships" ref="N23" r:id="rId65"/>
    <hyperlink xmlns:r="http://schemas.openxmlformats.org/officeDocument/2006/relationships" ref="P23" r:id="rId66"/>
    <hyperlink xmlns:r="http://schemas.openxmlformats.org/officeDocument/2006/relationships" ref="L24" r:id="rId67"/>
    <hyperlink xmlns:r="http://schemas.openxmlformats.org/officeDocument/2006/relationships" ref="N24" r:id="rId68"/>
    <hyperlink xmlns:r="http://schemas.openxmlformats.org/officeDocument/2006/relationships" ref="P24" r:id="rId69"/>
  </hyperlinks>
  <printOptions horizontalCentered="1"/>
  <pageMargins left="0.7480314960629921" right="0.7480314960629921" top="0.984251968503937" bottom="0.984251968503937" header="0.5118110236220472" footer="0.5118110236220472"/>
  <pageSetup orientation="landscape" paperSize="8" scale="37" verticalDpi="0"/>
</worksheet>
</file>

<file path=xl/worksheets/sheet6.xml><?xml version="1.0" encoding="utf-8"?>
<worksheet xmlns="http://schemas.openxmlformats.org/spreadsheetml/2006/main">
  <sheetPr>
    <outlinePr summaryBelow="1" summaryRight="1"/>
    <pageSetUpPr/>
  </sheetPr>
  <dimension ref="A1:S51"/>
  <sheetViews>
    <sheetView view="pageBreakPreview" zoomScale="55" zoomScaleNormal="40" zoomScaleSheetLayoutView="55" workbookViewId="0">
      <selection activeCell="H5" sqref="H5"/>
    </sheetView>
  </sheetViews>
  <sheetFormatPr baseColWidth="8" defaultRowHeight="19.2"/>
  <cols>
    <col width="8.796875" customWidth="1" style="4" min="1" max="1"/>
    <col width="11.296875" customWidth="1" style="4" min="2" max="2"/>
    <col width="14.59765625" customWidth="1" style="4" min="3" max="3"/>
    <col width="16" customWidth="1" style="5" min="4" max="4"/>
    <col width="34.69921875" customWidth="1" style="5" min="5" max="5"/>
    <col width="21.69921875" customWidth="1" style="5" min="6" max="6"/>
    <col width="32.59765625" customWidth="1" style="5" min="7" max="7"/>
    <col width="72.296875" customWidth="1" style="4" min="8" max="8"/>
    <col width="41.69921875" customWidth="1" style="4" min="9" max="9"/>
    <col width="50" customWidth="1" style="4" min="10" max="10"/>
    <col width="16.19921875" customWidth="1" style="30" min="11" max="11"/>
    <col width="49.796875" customWidth="1" style="30" min="12" max="12"/>
    <col width="12.19921875" customWidth="1" style="4" min="13" max="13"/>
    <col width="45" customWidth="1" style="4" min="14" max="14"/>
    <col width="13.69921875" customWidth="1" style="30" min="15" max="15"/>
    <col width="23.3984375" customWidth="1" style="4" min="16" max="16"/>
    <col width="45" customWidth="1" style="30" min="17" max="17"/>
    <col width="22" customWidth="1" style="30" min="18" max="18"/>
    <col width="45" customWidth="1" style="4" min="19" max="35"/>
    <col width="8.796875" customWidth="1" style="4" min="36" max="41"/>
    <col width="8.796875" customWidth="1" style="4" min="42" max="16384"/>
  </cols>
  <sheetData>
    <row r="1" ht="38.4" customHeight="1">
      <c r="A1" s="32" t="inlineStr">
        <is>
          <t>L2 코드</t>
        </is>
      </c>
      <c r="B1" s="32" t="inlineStr">
        <is>
          <t>L3 코드</t>
        </is>
      </c>
      <c r="C1" s="32" t="inlineStr">
        <is>
          <t>L3 대공종명</t>
        </is>
      </c>
      <c r="D1" s="32" t="inlineStr">
        <is>
          <t>L4 코드</t>
        </is>
      </c>
      <c r="E1" s="32" t="inlineStr">
        <is>
          <t>작업단위 (Level 4 Task/Activity)</t>
        </is>
      </c>
      <c r="F1" s="32" t="inlineStr">
        <is>
          <t>주관</t>
        </is>
      </c>
      <c r="G1" s="32" t="inlineStr">
        <is>
          <t>목적</t>
        </is>
      </c>
      <c r="H1" s="32" t="inlineStr">
        <is>
          <t>방법</t>
        </is>
      </c>
      <c r="I1" s="32" t="inlineStr">
        <is>
          <t>산출물(결과)</t>
        </is>
      </c>
      <c r="J1" s="32" t="inlineStr">
        <is>
          <t>표준서 (Standard) 요약</t>
        </is>
      </c>
      <c r="K1" s="33" t="inlineStr">
        <is>
          <t>표준서 파일 (HTML)</t>
        </is>
      </c>
      <c r="L1" s="32" t="inlineStr">
        <is>
          <t>수행지침 (Guideline) 요약</t>
        </is>
      </c>
      <c r="M1" s="33" t="inlineStr">
        <is>
          <t>수행지침 파일 (HTML)</t>
        </is>
      </c>
      <c r="N1" s="32" t="inlineStr">
        <is>
          <t>체크리스트 (Checklist) 요약</t>
        </is>
      </c>
      <c r="O1" s="34" t="inlineStr">
        <is>
          <t>체크리스트 파일 (HTML)</t>
        </is>
      </c>
      <c r="P1" s="23" t="inlineStr">
        <is>
          <t>비고</t>
        </is>
      </c>
      <c r="Q1" s="23" t="inlineStr">
        <is>
          <t>첨부서류 연계 상세 설계기준</t>
        </is>
      </c>
      <c r="R1" s="23" t="inlineStr">
        <is>
          <t>집행단계 리스크 체크리스트</t>
        </is>
      </c>
      <c r="S1" s="23" t="inlineStr">
        <is>
          <t>협력사 시공/공사관리 자문</t>
        </is>
      </c>
    </row>
    <row r="2" ht="115.2" customHeight="1">
      <c r="A2" s="35" t="inlineStr">
        <is>
          <t>9000</t>
        </is>
      </c>
      <c r="B2" s="35" t="inlineStr">
        <is>
          <t>9000-4</t>
        </is>
      </c>
      <c r="C2" s="36" t="inlineStr">
        <is>
          <t>건축</t>
        </is>
      </c>
      <c r="D2" s="35" t="inlineStr">
        <is>
          <t>9000-4-1</t>
        </is>
      </c>
      <c r="E2" s="36" t="inlineStr">
        <is>
          <t>설계 적정성 검토</t>
        </is>
      </c>
      <c r="F2" s="35" t="inlineStr">
        <is>
          <t>현장 공무팀</t>
        </is>
      </c>
      <c r="G2" s="36" t="inlineStr">
        <is>
          <t>건축 설계 오류 및 누락사항 검토</t>
        </is>
      </c>
      <c r="H2" s="36" t="inlineStr">
        <is>
          <t>- 시공성 검토: 구조물, 마감, 가시설 등
- 기계설비/전기/통신 등 인터페이스: 개구부/슬리브 반영 유무 및 확인
- 관련규정(법규지침) 최신 개정사항이 설계 반영되었는지 확인
- 신기술/특허 반영 유무 검토
- 품질/안전 Risk 검토 및 관리방안 검토</t>
        </is>
      </c>
      <c r="I2" s="36" t="inlineStr">
        <is>
          <t>설계변경 예상 List, 회의록</t>
        </is>
      </c>
      <c r="J2" s="36" t="inlineStr">
        <is>
          <t>1) 크레인 브래킷 타설 오차: 차량기지 정비용 천장 크레인(Trolley Crane) 매립 앵커볼트 위치 오차(±15mm 초과)로 크레인 레일 결합 불가능 발생.
2) 건축구조 설계기준 (KDS 41 00 00): 건축물 내진설계기준, 풍하중 및 차량기지 검수고 피트(Pit) 수밀 방수 시방 적용</t>
        </is>
      </c>
      <c r="K2" s="37" t="inlineStr">
        <is>
          <t>👉 [더블클릭] 표준서 열기 📄</t>
        </is>
      </c>
      <c r="L2" s="36" t="inlineStr">
        <is>
          <t>1) 건축 구조계산서(KDS 41 00 00)와 도면 간 하중조건(차량기지 피트 하중, 트롤리 크레인 10톤 하중) 일치 여부 확인
2) 차량기지 피트 하부 구체방수 및 팽창줄눈(Expansion Joint) 위치의 시공 간섭도 작성 및 검토</t>
        </is>
      </c>
      <c r="M2" s="37" t="inlineStr">
        <is>
          <t>👉 [더블클릭] 수행지침 열기 📄</t>
        </is>
      </c>
      <c r="N2" s="36" t="inlineStr">
        <is>
          <t>1) 건축 구조계산서(KDS 41 00 00) 상 차량기지 피트 하중 및 트롤리 크레인(10t) 동적하중 반영 여부를 확인하였는가?
2) OCC 관제실 및 변전소 방화구획(1,000㎡ 이하) 및 가스계 소화설비(NFSC 103) 구획 실링 상세가 도면에 반영되었는가?</t>
        </is>
      </c>
      <c r="O2" s="37" t="inlineStr">
        <is>
          <t>👉 [더블클릭] 체크리스트 열기 📄</t>
        </is>
      </c>
      <c r="P2" s="35" t="n"/>
      <c r="Q2" s="36" t="inlineStr">
        <is>
          <t>● 건축법 및 관련 소방, 정보통신 등 인터페이스 설계기준 준수</t>
        </is>
      </c>
      <c r="R2" s="29" t="inlineStr">
        <is>
          <t>1) 👉 [더블클릭] 체크리스트 열기 📄</t>
        </is>
      </c>
      <c r="S2" s="36" t="n"/>
    </row>
    <row r="3" ht="115.2" customHeight="1">
      <c r="A3" s="35" t="inlineStr">
        <is>
          <t>9000</t>
        </is>
      </c>
      <c r="B3" s="35" t="inlineStr">
        <is>
          <t>9000-4</t>
        </is>
      </c>
      <c r="C3" s="36" t="inlineStr">
        <is>
          <t>건축</t>
        </is>
      </c>
      <c r="D3" s="35" t="inlineStr">
        <is>
          <t>9000-4-2</t>
        </is>
      </c>
      <c r="E3" s="36" t="inlineStr">
        <is>
          <t>발주전략 KOM</t>
        </is>
      </c>
      <c r="F3" s="35" t="inlineStr">
        <is>
          <t>현장소장</t>
        </is>
      </c>
      <c r="G3" s="36" t="inlineStr">
        <is>
          <t>건축 구조물 및 내부, 마감공사 발주 전략 수립</t>
        </is>
      </c>
      <c r="H3" s="36" t="inlineStr">
        <is>
          <t>- 가시공 B/P 적정성 검토
- 현설조건 검토
- 공법 및 공기 검토
- 예산 적정성 검토
- 현장 여건 및 지반상태(기초, 말뚝등) 검토</t>
        </is>
      </c>
      <c r="I3" s="36" t="inlineStr">
        <is>
          <t>KOM 검토결과서, 현설서</t>
        </is>
      </c>
      <c r="J3" s="36" t="inlineStr">
        <is>
          <t>1) 건축구조 설계기준 (KDS 41 00 00): 건축물 내진설계기준, 풍하중 및 차량기지 검수고 피트(Pit) 수밀 방수 시방 적용
2) 법정 분리발주 누락에 따른 행정 처분: 소방 및 정보통신 공사를 건축 종합 계약에 일괄 포함하여 관계 법령 위반 우려 발생.</t>
        </is>
      </c>
      <c r="K3" s="37" t="inlineStr">
        <is>
          <t>👉 [더블클릭] 표준서 열기 📄</t>
        </is>
      </c>
      <c r="L3" s="36" t="inlineStr">
        <is>
          <t>1) 시공 특기시방서 내 차량기지 피트 고특수 방수 및 크레인 기초 규격 수치 포함 확정
2) 건축, 소방, 통신 공종별 설계 도서 및 내역서 분리 세트 검토</t>
        </is>
      </c>
      <c r="M3" s="37" t="inlineStr">
        <is>
          <t>👉 [더블클릭] 수행지침 열기 📄</t>
        </is>
      </c>
      <c r="N3" s="36" t="inlineStr">
        <is>
          <t>1) 특기시방서 내 차량기지 검수고 피트 구체방수 및 10톤 크레인 기초 규격 수치가 정확히 표기되었는가?
2) 소방시설공사 착공신고 및 관할 소방서 협의 도서 분리 완료 여부 확인</t>
        </is>
      </c>
      <c r="O3" s="37" t="inlineStr">
        <is>
          <t>👉 [더블클릭] 체크리스트 열기 📄</t>
        </is>
      </c>
      <c r="P3" s="35" t="n"/>
      <c r="Q3" s="36" t="inlineStr">
        <is>
          <t>● 본사외주부서, 수행부서, 토목견적팀 협의사항 준수</t>
        </is>
      </c>
      <c r="R3" s="29" t="inlineStr">
        <is>
          <t>1) 👉 [더블클릭] 체크리스트 열기 📄</t>
        </is>
      </c>
      <c r="S3" s="36" t="n"/>
    </row>
    <row r="4" ht="115.2" customHeight="1">
      <c r="A4" s="35" t="inlineStr">
        <is>
          <t>9000</t>
        </is>
      </c>
      <c r="B4" s="35" t="inlineStr">
        <is>
          <t>9000-4</t>
        </is>
      </c>
      <c r="C4" s="36" t="inlineStr">
        <is>
          <t>건축</t>
        </is>
      </c>
      <c r="D4" s="35" t="inlineStr">
        <is>
          <t>9000-4-3</t>
        </is>
      </c>
      <c r="E4" s="36" t="inlineStr">
        <is>
          <t>착공전 건축 인허가</t>
        </is>
      </c>
      <c r="F4" s="35" t="inlineStr">
        <is>
          <t>현장소장</t>
        </is>
      </c>
      <c r="G4" s="36" t="inlineStr">
        <is>
          <t>관련법에 따라 착수전 건축인허가 추진</t>
        </is>
      </c>
      <c r="H4" s="36" t="inlineStr">
        <is>
          <t>- 건축허가 요청(-&gt;관할 지자체)
- 착공신고서 제출(-&gt;관할 지자체)
- 소방시설공사 착공신고서 제출 (-&gt;관할 소방서)
- 정보통신공사 착공전 설계도 확인(-&gt;관할 지자체)</t>
        </is>
      </c>
      <c r="I4" s="36" t="inlineStr">
        <is>
          <t>인허가 신고/승인 문서</t>
        </is>
      </c>
      <c r="J4" s="36" t="inlineStr">
        <is>
          <t>1) 건축구조 설계기준 (KDS 41 00 00): 건축물 내진설계기준, 풍하중 및 차량기지 검수고 피트(Pit) 수밀 방수 시방 적용
2) 관계기관 협의 지연에 따른 착공 연기: 소방성능위주설계 사전심의 도서 누락으로 건축 허가 협의 기간이 2개월 이상 지연.</t>
        </is>
      </c>
      <c r="K4" s="37" t="inlineStr">
        <is>
          <t>👉 [더블클릭] 표준서 열기 📄</t>
        </is>
      </c>
      <c r="L4" s="36" t="inlineStr">
        <is>
          <t>1) 인허가 승인조건을 현장 공사팀 및 협력사에 전달하여 시공 시 반영하도록 보관
2) 건축, 구조, 설비, 소방, 내진 설계 도서를 세움터 전자문서 형식으로 변환</t>
        </is>
      </c>
      <c r="M4" s="37" t="inlineStr">
        <is>
          <t>👉 [더블클릭] 수행지침 열기 📄</t>
        </is>
      </c>
      <c r="N4" s="36" t="inlineStr">
        <is>
          <t>1) 세움터(e-AIS)를 통한 공용건축물 건축협의/허가 신청서 제출이 정상 처리되었는가?
2) 건축, 구조, 설비, 내진(KDS 41 17 00), 에너지절약계획서 도서의 정합성을 확인하였는가?</t>
        </is>
      </c>
      <c r="O4" s="37" t="inlineStr">
        <is>
          <t>👉 [더블클릭] 체크리스트 열기 📄</t>
        </is>
      </c>
      <c r="P4" s="35" t="n"/>
      <c r="Q4" s="36" t="inlineStr">
        <is>
          <t>● 건축법, 소방시설공사업법, 정보통신공사업법 규정 준수</t>
        </is>
      </c>
      <c r="R4" s="29" t="inlineStr">
        <is>
          <t>1) 👉 [더블클릭] 체크리스트 열기 📄</t>
        </is>
      </c>
      <c r="S4" s="36" t="n"/>
    </row>
    <row r="5" ht="112.2" customHeight="1">
      <c r="A5" s="35" t="inlineStr">
        <is>
          <t>9000</t>
        </is>
      </c>
      <c r="B5" s="35" t="inlineStr">
        <is>
          <t>9000-4</t>
        </is>
      </c>
      <c r="C5" s="36" t="inlineStr">
        <is>
          <t>건축</t>
        </is>
      </c>
      <c r="D5" s="35" t="inlineStr">
        <is>
          <t>9000-4-4</t>
        </is>
      </c>
      <c r="E5" s="36" t="inlineStr">
        <is>
          <t>건축허가 요청</t>
        </is>
      </c>
      <c r="F5" s="35" t="inlineStr">
        <is>
          <t>건축설계사, 현장준비팀</t>
        </is>
      </c>
      <c r="G5" s="36" t="inlineStr">
        <is>
          <t>건축허가요청</t>
        </is>
      </c>
      <c r="H5" s="36" t="inlineStr">
        <is>
          <t>건축설계사, 현장준비팀 -&gt; 관할지자체
- 건축법 제11조(건축허가)
- 서식: 별지 제1호의4서식
- 관할지자체(시,군,구) 2일~15일</t>
        </is>
      </c>
      <c r="I5" s="36" t="inlineStr">
        <is>
          <t>건축허가 통보 문서</t>
        </is>
      </c>
      <c r="J5" s="36" t="inlineStr">
        <is>
          <t>1) 구조안전확인서 서식 누락: 건축물 내진등급(특등급) 명시 및 KDS 41 17 00 산출 근거 미비로 재접수 발생.
2) 건축구조 설계기준 (KDS 41 00 00): 건축물 내진설계기준, 풍하중 및 차량기지 검수고 피트(Pit) 수밀 방수 시방 적용</t>
        </is>
      </c>
      <c r="K5" s="37" t="inlineStr">
        <is>
          <t>👉 [더블클릭] 표준서 열기 📄</t>
        </is>
      </c>
      <c r="L5" s="36" t="inlineStr">
        <is>
          <t>1) 현장 착공 준비 전 인허가 승인 도서에 따른 현장 세팅 시행
2) 건축허가 신청서 및 첨부 서류(구조계산서, 설계도서, 주차/조경 계획) 작성</t>
        </is>
      </c>
      <c r="M5" s="37" t="inlineStr">
        <is>
          <t>👉 [더블클릭] 수행지침 열기 📄</t>
        </is>
      </c>
      <c r="N5" s="36" t="inlineStr">
        <is>
          <t>1) 세움터(e-AIS)에 접수된 건축허가 도서와 세부 도면 일치 여부를 확인하였는가?
2) 구조안전확인서 및 KDS 41 17 00 내진설계 검토서가 정식 첨부되었는가?</t>
        </is>
      </c>
      <c r="O5" s="37" t="inlineStr">
        <is>
          <t>👉 [더블클릭] 체크리스트 열기 📄</t>
        </is>
      </c>
      <c r="P5" s="35" t="n"/>
      <c r="Q5" s="36" t="inlineStr">
        <is>
          <t>● 건축법 제11조</t>
        </is>
      </c>
      <c r="R5" s="29" t="inlineStr">
        <is>
          <t>1) 👉 [더블클릭] 체크리스트 열기 📄</t>
        </is>
      </c>
      <c r="S5" s="36" t="n"/>
    </row>
    <row r="6" ht="115.2" customHeight="1">
      <c r="A6" s="35" t="inlineStr">
        <is>
          <t>9000</t>
        </is>
      </c>
      <c r="B6" s="35" t="inlineStr">
        <is>
          <t>9000-4</t>
        </is>
      </c>
      <c r="C6" s="36" t="inlineStr">
        <is>
          <t>건축</t>
        </is>
      </c>
      <c r="D6" s="35" t="inlineStr">
        <is>
          <t>9000-4-5</t>
        </is>
      </c>
      <c r="E6" s="36" t="inlineStr">
        <is>
          <t>착공신고서 제출</t>
        </is>
      </c>
      <c r="F6" s="35" t="inlineStr">
        <is>
          <t>현장소장, 건축 설계사</t>
        </is>
      </c>
      <c r="G6" s="36" t="inlineStr">
        <is>
          <t>착공신고서 제출</t>
        </is>
      </c>
      <c r="H6" s="36" t="inlineStr">
        <is>
          <t>현장 -&gt; 관할지자체
- 건축법 제21조(착공신고등)
- 서식: 별지 제13호 서식
- 제출후 지자체 처리기간 3일 이내</t>
        </is>
      </c>
      <c r="I6" s="36" t="inlineStr">
        <is>
          <t>착공신고서 승인 통보 문서</t>
        </is>
      </c>
      <c r="J6" s="36" t="inlineStr">
        <is>
          <t>1) 건축구조 설계기준 (KDS 41 00 00): 건축물 내진설계기준, 풍하중 및 차량기지 검수고 피트(Pit) 수밀 방수 시방 적용
2) 안전관리계획서 승인 지연으로 착공 반려: 국토안전관리원 안전관리계획서 심의 보완으로 착공 필증 교부 지연.</t>
        </is>
      </c>
      <c r="K6" s="37" t="inlineStr">
        <is>
          <t>👉 [더블클릭] 표준서 열기 📄</t>
        </is>
      </c>
      <c r="L6" s="36" t="inlineStr">
        <is>
          <t>1) 지반조사 보고서 및 유해위험방지계획서 심의 증명 준비
2) 화성시 담당자의 서류 확인 모니터링 및 즉시 보완 대응</t>
        </is>
      </c>
      <c r="M6" s="37" t="inlineStr">
        <is>
          <t>👉 [더블클릭] 수행지침 열기 📄</t>
        </is>
      </c>
      <c r="N6" s="36" t="inlineStr">
        <is>
          <t>1) 건축법 제21조에 따른 세움터 착공신고서 접수가 완료되었는가?
2) 감리자 지정 서류 및 현장대리인 특급기술자 선임계가 적법하게 첨부되었는가?</t>
        </is>
      </c>
      <c r="O6" s="37" t="inlineStr">
        <is>
          <t>👉 [더블클릭] 체크리스트 열기 📄</t>
        </is>
      </c>
      <c r="P6" s="35" t="n"/>
      <c r="Q6" s="36" t="inlineStr">
        <is>
          <t>● 건축법 제21조</t>
        </is>
      </c>
      <c r="R6" s="29" t="inlineStr">
        <is>
          <t>1) 👉 [더블클릭] 체크리스트 열기 📄</t>
        </is>
      </c>
      <c r="S6" s="36" t="n"/>
    </row>
    <row r="7" ht="115.2" customHeight="1">
      <c r="A7" s="35" t="inlineStr">
        <is>
          <t>9000</t>
        </is>
      </c>
      <c r="B7" s="35" t="inlineStr">
        <is>
          <t>9000-4</t>
        </is>
      </c>
      <c r="C7" s="36" t="inlineStr">
        <is>
          <t>건축</t>
        </is>
      </c>
      <c r="D7" s="35" t="inlineStr">
        <is>
          <t>9000-4-6</t>
        </is>
      </c>
      <c r="E7" s="36" t="inlineStr">
        <is>
          <t>소방시설공사 착공 신고서 제출</t>
        </is>
      </c>
      <c r="F7" s="35" t="inlineStr">
        <is>
          <t>현장소장</t>
        </is>
      </c>
      <c r="G7" s="36" t="inlineStr">
        <is>
          <t>소방시설공사 착공신고서 제출</t>
        </is>
      </c>
      <c r="H7" s="36" t="inlineStr">
        <is>
          <t>현장 -&gt; 관할소방서, 소방시설공사업법 제13조(착공신고)
- 서식: 별지 제14호 서식
- 제출후 처리기간 2일 이내</t>
        </is>
      </c>
      <c r="I7" s="36" t="inlineStr">
        <is>
          <t>소방시설공사 착공신고필증</t>
        </is>
      </c>
      <c r="J7" s="36" t="inlineStr">
        <is>
          <t>1) 건축구조 설계기준 (KDS 41 00 00): 건축물 내진설계기준, 풍하중 및 차량기지 검수고 피트(Pit) 수밀 방수 시방 적용
2) 소방기술자 자격 자격 미달 배치: 특급 소방시설기술자 상주 의무 구역에 중급 기술자 선임계 제출로 착공신고 보완 지연.</t>
        </is>
      </c>
      <c r="K7" s="37" t="inlineStr">
        <is>
          <t>👉 [더블클릭] 표준서 열기 📄</t>
        </is>
      </c>
      <c r="L7" s="36" t="inlineStr">
        <is>
          <t>1) 소방 도면(소화전, 스프링클러, 가스계 소화) 및 화재안전기준(NFSC) 정합성 확인
2) 소방서 담당자의 현장 기술자 면담 및 서류 확인 수검</t>
        </is>
      </c>
      <c r="M7" s="37" t="inlineStr">
        <is>
          <t>👉 [더블클릭] 수행지침 열기 📄</t>
        </is>
      </c>
      <c r="N7" s="36" t="inlineStr">
        <is>
          <t>1) 소방기술자 특급 상주 선임계 및 기술자 수첩이 첨부되었는가?
2) 소방 감리업자 지정서 및 소방 시공 계약서가 적법하게 포함되었는가?</t>
        </is>
      </c>
      <c r="O7" s="37" t="inlineStr">
        <is>
          <t>👉 [더블클릭] 체크리스트 열기 📄</t>
        </is>
      </c>
      <c r="P7" s="35" t="n"/>
      <c r="Q7" s="36" t="inlineStr">
        <is>
          <t>● 소방시설공사업법 제13조</t>
        </is>
      </c>
      <c r="R7" s="29" t="inlineStr">
        <is>
          <t>1) 👉 [더블클릭] 체크리스트 열기 📄</t>
        </is>
      </c>
      <c r="S7" s="36" t="n"/>
    </row>
    <row r="8" ht="115.2" customHeight="1">
      <c r="A8" s="35" t="inlineStr">
        <is>
          <t>9000</t>
        </is>
      </c>
      <c r="B8" s="35" t="inlineStr">
        <is>
          <t>9000-4</t>
        </is>
      </c>
      <c r="C8" s="36" t="inlineStr">
        <is>
          <t>건축</t>
        </is>
      </c>
      <c r="D8" s="35" t="inlineStr">
        <is>
          <t>9000-4-7</t>
        </is>
      </c>
      <c r="E8" s="36" t="inlineStr">
        <is>
          <t>정보통신공사 착공전 설계도 확인 (신청서 제출 및 결과 접수)</t>
        </is>
      </c>
      <c r="F8" s="35" t="inlineStr">
        <is>
          <t>현장소장</t>
        </is>
      </c>
      <c r="G8" s="36" t="inlineStr">
        <is>
          <t>정보통신공사 착공전 설계도 확인 신청 및 제출</t>
        </is>
      </c>
      <c r="H8" s="36" t="inlineStr">
        <is>
          <t>현장 -&gt; 관할지자체, 정보통신공사업법 시행령 제35조의 2
- 서식: 별지 제7호 서식
- 제출후 처리기간 14일 이내</t>
        </is>
      </c>
      <c r="I8" s="36" t="inlineStr">
        <is>
          <t>정보통신공사 착공전 설계도 확인결과 통보서</t>
        </is>
      </c>
      <c r="J8" s="36" t="inlineStr">
        <is>
          <t>1) 구내통신 배관 여유율 부족: 통신 랙 및 케이블 트레이 관통 슬리브 충전율(40% 이하) 미준수로 통 통지서 수령 지연.
2) 건축구조 설계기준 (KDS 41 00 00): 건축물 내진설계기준, 풍하중 및 차량기지 검수고 피트(Pit) 수밀 방수 시방 적용</t>
        </is>
      </c>
      <c r="K8" s="37" t="inlineStr">
        <is>
          <t>👉 [더블클릭] 표준서 열기 📄</t>
        </is>
      </c>
      <c r="L8" s="36" t="inlineStr">
        <is>
          <t>1) 통신 계통도, 구내통신선로 도면, 통신실 전용 공간 확보 확인
2) 정보통신 전문기술사 확인 필증 서류 수집</t>
        </is>
      </c>
      <c r="M8" s="37" t="inlineStr">
        <is>
          <t>👉 [더블클릭] 수행지침 열기 📄</t>
        </is>
      </c>
      <c r="N8" s="36" t="inlineStr">
        <is>
          <t>1) 정보통신공사업법 제36조에 따른 착공 전 신청서 제출 및 적합 승인을 획득했는가?
2) 통신 배관 관내 단면적 충전율(40% 이하)을 충족하도록 도면이 반영되었는가?</t>
        </is>
      </c>
      <c r="O8" s="37" t="inlineStr">
        <is>
          <t>👉 [더블클릭] 체크리스트 열기 📄</t>
        </is>
      </c>
      <c r="P8" s="35" t="n"/>
      <c r="Q8" s="36" t="inlineStr">
        <is>
          <t>● 정보통신공사업법 시행령 제35조의 2</t>
        </is>
      </c>
      <c r="R8" s="29" t="inlineStr">
        <is>
          <t>1) 👉 [더블클릭] 체크리스트 열기 📄</t>
        </is>
      </c>
      <c r="S8" s="36" t="n"/>
    </row>
    <row r="9" ht="96" customHeight="1">
      <c r="A9" s="35" t="inlineStr">
        <is>
          <t>9000</t>
        </is>
      </c>
      <c r="B9" s="35" t="inlineStr">
        <is>
          <t>9000-4</t>
        </is>
      </c>
      <c r="C9" s="36" t="inlineStr">
        <is>
          <t>건축</t>
        </is>
      </c>
      <c r="D9" s="35" t="inlineStr">
        <is>
          <t>9000-4-8</t>
        </is>
      </c>
      <c r="E9" s="36" t="inlineStr">
        <is>
          <t>선행공종 인수사항 확인</t>
        </is>
      </c>
      <c r="F9" s="35" t="inlineStr">
        <is>
          <t>현장공사팀</t>
        </is>
      </c>
      <c r="G9" s="36" t="inlineStr">
        <is>
          <t>선행공종 인수인계</t>
        </is>
      </c>
      <c r="H9" s="36" t="inlineStr">
        <is>
          <t>- 부지경계 측량 확인
- 업체간 현장확인+좌표화 Data 인수
- 지장물, 지반상태, 진입로, 작업장 현황</t>
        </is>
      </c>
      <c r="I9" s="36" t="inlineStr">
        <is>
          <t>회의록, 인수사항 List</t>
        </is>
      </c>
      <c r="J9" s="36" t="inlineStr">
        <is>
          <t>1) 건축구조 설계기준 (KDS 41 00 00): 건축물 내진설계기준, 풍하중 및 차량기지 검수고 피트(Pit) 수밀 방수 시방 적용
2) KCS 41 10 00: 토목 노반과 건축 기초 간 연결 부위 중심선 및 표고 확인</t>
        </is>
      </c>
      <c r="K9" s="37" t="inlineStr">
        <is>
          <t>👉 [더블클릭] 표준서 열기 📄</t>
        </is>
      </c>
      <c r="L9" s="36" t="inlineStr">
        <is>
          <t>1) 기초 바닥 지내력(150 KPa 이상) 및 평탄도 오차(±10mm 이내) 확인
2) 선행공종 인수확인서 작성 및 감리단 서과 수령</t>
        </is>
      </c>
      <c r="M9" s="37" t="inlineStr">
        <is>
          <t>👉 [더블클릭] 수행지침 열기 📄</t>
        </is>
      </c>
      <c r="N9" s="36" t="inlineStr">
        <is>
          <t>1) 토목 노반 중심선 기준점(TBM, BM) 측량 오차(±3mm 이내)를 확인하였는가?
2) 토목-건축 인수 인계서에 양 측 현장대리인 서명이 완료되었는가?</t>
        </is>
      </c>
      <c r="O9" s="37" t="inlineStr">
        <is>
          <t>👉 [더블클릭] 체크리스트 열기 📄</t>
        </is>
      </c>
      <c r="P9" s="35" t="n"/>
      <c r="Q9" s="36" t="inlineStr">
        <is>
          <t>● 선행공종(토공, 지반개량 등) 인수 및 좌표 검증</t>
        </is>
      </c>
      <c r="R9" s="29" t="inlineStr">
        <is>
          <t>1) 👉 [더블클릭] 체크리스트 열기 📄</t>
        </is>
      </c>
      <c r="S9" s="36" t="n"/>
    </row>
    <row r="10" ht="96" customHeight="1">
      <c r="A10" s="35" t="inlineStr">
        <is>
          <t>9000</t>
        </is>
      </c>
      <c r="B10" s="35" t="inlineStr">
        <is>
          <t>9000-4</t>
        </is>
      </c>
      <c r="C10" s="36" t="inlineStr">
        <is>
          <t>건축</t>
        </is>
      </c>
      <c r="D10" s="35" t="inlineStr">
        <is>
          <t>9000-4-9</t>
        </is>
      </c>
      <c r="E10" s="36" t="inlineStr">
        <is>
          <t>인터페이스 사항 검토 및 지원</t>
        </is>
      </c>
      <c r="F10" s="35" t="inlineStr">
        <is>
          <t>토목수행팀 / 현장 공사, 공무 Part</t>
        </is>
      </c>
      <c r="G10" s="36" t="inlineStr">
        <is>
          <t>후행공정 설계오류 및 변경검토</t>
        </is>
      </c>
      <c r="H10" s="36" t="inlineStr">
        <is>
          <t>- 설계도서 검토를 통한 공종간 인터페이스 사항에 대한 사전검토(오픈구 등)
- 유사공종 경험자 현장 지원 파견검토
- 콘크리트 타설전(기계설비, 전기, 통신) 사전 매입해야 할 배관,슬리브위치 타공정 확인</t>
        </is>
      </c>
      <c r="I10" s="36" t="inlineStr">
        <is>
          <t>회의록, 시공상세도</t>
        </is>
      </c>
      <c r="J10" s="36" t="inlineStr">
        <is>
          <t>1) 건축구조 설계기준 (KDS 41 00 00): 건축물 내진설계기준, 풍하중 및 차량기지 검수고 피트(Pit) 수밀 방수 시방 적용
2) 전기 패드와 건축 벽체 간격 간섭: 변전소 트랜스 패드 이격거리 미달로 수배전반 반입 불가 하자 발생.</t>
        </is>
      </c>
      <c r="K10" s="37" t="inlineStr">
        <is>
          <t>👉 [더블클릭] 표준서 열기 📄</t>
        </is>
      </c>
      <c r="L10" s="36" t="inlineStr">
        <is>
          <t>1) 간섭 지점(Hard/Soft Interference) 자동 추출 및 현장 확인 항목 작성
2) 시공 현장 슬리브 매립 오차(±2mm 이내) 실측 검측 수행</t>
        </is>
      </c>
      <c r="M10" s="37" t="inlineStr">
        <is>
          <t>👉 [더블클릭] 수행지침 열기 📄</t>
        </is>
      </c>
      <c r="N10" s="36" t="inlineStr">
        <is>
          <t>1) 건축-궤도-MEP-전기-통신-소방 간 3D CSD 종합간섭도 작성을 확인하였는가?
2) 벽체/슬래브 관통 슬리브 위치 오차가 ±2mm 이내임을 3D 측량 확인하였는가?</t>
        </is>
      </c>
      <c r="O10" s="37" t="inlineStr">
        <is>
          <t>👉 [더블클릭] 체크리스트 열기 📄</t>
        </is>
      </c>
      <c r="P10" s="35" t="n"/>
      <c r="Q10" s="36" t="inlineStr">
        <is>
          <t>● 공종간 간섭 최소화</t>
        </is>
      </c>
      <c r="R10" s="29" t="inlineStr">
        <is>
          <t>1) 👉 [더블클릭] 체크리스트 열기 📄</t>
        </is>
      </c>
      <c r="S10" s="36" t="n"/>
    </row>
    <row r="11" ht="115.2" customHeight="1">
      <c r="A11" s="35" t="inlineStr">
        <is>
          <t>9000</t>
        </is>
      </c>
      <c r="B11" s="35" t="inlineStr">
        <is>
          <t>9000-4</t>
        </is>
      </c>
      <c r="C11" s="36" t="inlineStr">
        <is>
          <t>건축</t>
        </is>
      </c>
      <c r="D11" s="35" t="inlineStr">
        <is>
          <t>9000-4-10</t>
        </is>
      </c>
      <c r="E11" s="36" t="inlineStr">
        <is>
          <t>품질/안전 LL 공유</t>
        </is>
      </c>
      <c r="F11" s="35" t="inlineStr">
        <is>
          <t>현장 품질팀, 현장 안전팀</t>
        </is>
      </c>
      <c r="G11" s="36" t="inlineStr">
        <is>
          <t>품질/안전 하자 최소화</t>
        </is>
      </c>
      <c r="H11" s="36" t="inlineStr">
        <is>
          <t>시공시 발생가능 품질, 안전 하자 최소화</t>
        </is>
      </c>
      <c r="I11" s="36" t="inlineStr">
        <is>
          <t>시공계획수립시 반영</t>
        </is>
      </c>
      <c r="J11" s="36" t="inlineStr">
        <is>
          <t>1) 차량기지 피트 도막방수 들뜸: 수분 측정 미실시(함수율 8% 초과 상태 방수 시공)로 도막 방수재 박리 하자 발생.
2) 거푸집 해체 전 조기 하중 가중: 슬래브 콘크리트 강도 미달(fck &lt; 14 MPa) 상태에서 동바리 조기 해체로 균열 발생.</t>
        </is>
      </c>
      <c r="K11" s="37" t="inlineStr">
        <is>
          <t>👉 [더블클릭] 표준서 열기 📄</t>
        </is>
      </c>
      <c r="L11" s="36" t="inlineStr">
        <is>
          <t>1) 월간/주간 LL 교육 교재 작성 및 TBM(Toolbox Meeting) 발표 자료 준비
2) 현장 관리자 및 협력사 시공팀 대상 월 1회 LL 공유 회의 개최</t>
        </is>
      </c>
      <c r="M11" s="37" t="inlineStr">
        <is>
          <t>👉 [더블클릭] 수행지침 열기 📄</t>
        </is>
      </c>
      <c r="N11" s="36" t="inlineStr">
        <is>
          <t>1) 건축 주요 하자 사례(피트 누수, 방수 들뜸, 조기 강도 미달) 교육을 전 근로자에게 공유했는가?
2) 도막 방수 시공 전 바탕 함수율 측정(8% 이하) 절차를 준수하고 확인하였는가?</t>
        </is>
      </c>
      <c r="O11" s="37" t="inlineStr">
        <is>
          <t>👉 [더블클릭] 체크리스트 열기 📄</t>
        </is>
      </c>
      <c r="P11" s="35" t="n"/>
      <c r="Q11" s="36" t="inlineStr">
        <is>
          <t>● 기존 하자사례 및 Lesson Learned 반영</t>
        </is>
      </c>
      <c r="R11" s="29" t="inlineStr">
        <is>
          <t>1) 👉 [더블클릭] 체크리스트 열기 📄</t>
        </is>
      </c>
      <c r="S11" s="36" t="n"/>
    </row>
    <row r="12" ht="115.2" customHeight="1">
      <c r="A12" s="35" t="inlineStr">
        <is>
          <t>9000</t>
        </is>
      </c>
      <c r="B12" s="35" t="inlineStr">
        <is>
          <t>9000-4</t>
        </is>
      </c>
      <c r="C12" s="36" t="inlineStr">
        <is>
          <t>건축</t>
        </is>
      </c>
      <c r="D12" s="35" t="inlineStr">
        <is>
          <t>9000-4-11</t>
        </is>
      </c>
      <c r="E12" s="36" t="inlineStr">
        <is>
          <t>자재공급원승인 및 자재발주</t>
        </is>
      </c>
      <c r="F12" s="35" t="inlineStr">
        <is>
          <t>현장 공무팀</t>
        </is>
      </c>
      <c r="G12" s="36" t="inlineStr">
        <is>
          <t>공사에 필요한 자재 발주</t>
        </is>
      </c>
      <c r="H12" s="36" t="inlineStr">
        <is>
          <t>- 자재 규격 및 반입 일정 계획 수립
- 시공에 필요한 당사 지급자재에 대한 발주 요청
- 자재공급원 승인 제출 및 확인</t>
        </is>
      </c>
      <c r="I12" s="36" t="inlineStr">
        <is>
          <t>구매 의뢰 승인, 자재공급원 승인서류</t>
        </is>
      </c>
      <c r="J12" s="36" t="inlineStr">
        <is>
          <t>1) 건축구조 설계기준 (KDS 41 00 00): 건축물 내진설계기준, 풍하중 및 차량기지 검수고 피트(Pit) 수밀 방수 시방 적용
2) 미승인 방수재 현장 투입: 감리 승인 이전 무단 반입 자재 사용으로 전체 시공 부위 철거 및 재시공 지시 수령.</t>
        </is>
      </c>
      <c r="K12" s="37" t="inlineStr">
        <is>
          <t>👉 [더블클릭] 표준서 열기 📄</t>
        </is>
      </c>
      <c r="L12" s="36" t="inlineStr">
        <is>
          <t>1) 자재 제조사 KS 허가증, 공장등록증, 품질시험성적서 수집 및 사전 검토
2) 자재 샘플(시트, 타일, 유리 등) 제출 수립</t>
        </is>
      </c>
      <c r="M12" s="37" t="inlineStr">
        <is>
          <t>👉 [더블클릭] 수행지침 열기 📄</t>
        </is>
      </c>
      <c r="N12" s="36" t="inlineStr">
        <is>
          <t>1) KS 표시 허가증 및 3개월 이내 공인시험성적서 첨부 여부를 확인하였는가?
2) 감리단 자재공급원 승인 서과를 정식 수령한 후 자재 발주를 진행하였는가?</t>
        </is>
      </c>
      <c r="O12" s="37" t="inlineStr">
        <is>
          <t>👉 [더블클릭] 체크리스트 열기 📄</t>
        </is>
      </c>
      <c r="P12" s="35" t="n"/>
      <c r="Q12" s="36" t="inlineStr">
        <is>
          <t>● 자재 규격 및 기준 만족</t>
        </is>
      </c>
      <c r="R12" s="29" t="inlineStr">
        <is>
          <t>1) 👉 [더블클릭] 체크리스트 열기 📄</t>
        </is>
      </c>
      <c r="S12" s="36" t="n"/>
    </row>
    <row r="13" ht="211.2" customHeight="1">
      <c r="A13" s="35" t="inlineStr">
        <is>
          <t>9000</t>
        </is>
      </c>
      <c r="B13" s="35" t="inlineStr">
        <is>
          <t>9000-4</t>
        </is>
      </c>
      <c r="C13" s="36" t="inlineStr">
        <is>
          <t>건축</t>
        </is>
      </c>
      <c r="D13" s="35" t="inlineStr">
        <is>
          <t>9000-4-12</t>
        </is>
      </c>
      <c r="E13" s="36" t="inlineStr">
        <is>
          <t>착수전 Big Room 회의</t>
        </is>
      </c>
      <c r="F13" s="35" t="inlineStr">
        <is>
          <t>현장소장</t>
        </is>
      </c>
      <c r="G13" s="36" t="inlineStr">
        <is>
          <t>선후행공정 지원사항 도출, 수행시 예상가능 Risk 검토 및 대책 수립</t>
        </is>
      </c>
      <c r="H13" s="36" t="inlineStr">
        <is>
          <t>본사/현장/협력사 협의체 구축 후 상세검토
- 건축인허가 사항 체크 (건축허가, 착공계제출, 소방착공신고, 정보통신 착공신고 등)
- 가설계획수립(장비이동 동선, 철근가공장, 울타리 등)
- 공종별 간섭검토: 토목/기계/시스템 인터페이스
- 진입로/자재야적장/사토장 및 토취장 운영계획
- 공사중 배수계획(임시배수로, 배수펌프 운영 등)
- 장비 투입계획, 양중장비 운영계획 검토 및 안전검사 확인
- 측량 기준점 및 공사예정 부지 확인 / 인원 및 자재 투입 계획 검토
- 건설기술진흥법에 따른 정기안전점검 대상 / 점검 계획 공유
- 공종별 Risk Hedge방안 검토 (안전/품질 Risk, 민원 대응)</t>
        </is>
      </c>
      <c r="I13" s="36" t="inlineStr">
        <is>
          <t>Big Room 회의록(참석자 전원 서명)</t>
        </is>
      </c>
      <c r="J13" s="36" t="inlineStr">
        <is>
          <t>1) 건축구조 설계기준 (KDS 41 00 00): 건축물 내진설계기준, 풍하중 및 차량기지 검수고 피트(Pit) 수밀 방수 시방 적용
2) 궤도 부설 시점과 건축 피트 완성 시점 불일치: 피트 방수 공정 지연으로 궤도 반입 작업이 1개월 중단되는 손실 발생.</t>
        </is>
      </c>
      <c r="K13" s="37" t="inlineStr">
        <is>
          <t>👉 [더블클릭] 표준서 열기 📄</t>
        </is>
      </c>
      <c r="L13" s="36" t="inlineStr">
        <is>
          <t>1) 분야별 착수 일정 및 종합 공정표(CPM) 분석
2) Big Room 회의 환경(상황실, 3D BIM 프로젝터) 구축 및 안건 사전 배포</t>
        </is>
      </c>
      <c r="M13" s="37" t="inlineStr">
        <is>
          <t>👉 [더블클릭] 수행지침 열기 📄</t>
        </is>
      </c>
      <c r="N13" s="36" t="inlineStr">
        <is>
          <t>1) D BIM 시뮬레이션을 통한 주요 간섭 공정이 100% 검토되었는가?
2) 차량기지 피트 완공 및 궤도 부설 마일스톤 연계성이 합의되었는가?</t>
        </is>
      </c>
      <c r="O13" s="37" t="inlineStr">
        <is>
          <t>👉 [더블클릭] 체크리스트 열기 📄</t>
        </is>
      </c>
      <c r="P13" s="35" t="n"/>
      <c r="Q13" s="36" t="inlineStr">
        <is>
          <t>● 유관부서(견적/엔지니어링/공정/품질/안전) 협의</t>
        </is>
      </c>
      <c r="R13" s="29" t="inlineStr">
        <is>
          <t>1) 👉 [더블클릭] 체크리스트 열기 📄</t>
        </is>
      </c>
      <c r="S13" s="36" t="n"/>
    </row>
    <row r="14" ht="115.2" customHeight="1">
      <c r="A14" s="35" t="inlineStr">
        <is>
          <t>9000</t>
        </is>
      </c>
      <c r="B14" s="35" t="inlineStr">
        <is>
          <t>9000-4</t>
        </is>
      </c>
      <c r="C14" s="36" t="inlineStr">
        <is>
          <t>건축</t>
        </is>
      </c>
      <c r="D14" s="35" t="inlineStr">
        <is>
          <t>9000-4-13</t>
        </is>
      </c>
      <c r="E14" s="36" t="inlineStr">
        <is>
          <t>시공계획 수립/승인</t>
        </is>
      </c>
      <c r="F14" s="35" t="inlineStr">
        <is>
          <t>현장소장</t>
        </is>
      </c>
      <c r="G14" s="36" t="inlineStr">
        <is>
          <t>인력, 품질이 확보된 시공계획 수립</t>
        </is>
      </c>
      <c r="H14" s="36" t="inlineStr">
        <is>
          <t>- 공사계획: 장비/자재배치, 동선, 인원/장비/자재투입 계획, 공정표, 배수계획 등
- 안전관리: 위험요인/대책, 안전교육/시설/점검 계획 수립
- 품질관리: 품질하자 Risk 및 대책수립
- 환경관리: 소음, 분진 등 환경대책 수립</t>
        </is>
      </c>
      <c r="I14" s="36" t="inlineStr">
        <is>
          <t>(승인)관리시공계획서&amp;시공상세도</t>
        </is>
      </c>
      <c r="J14" s="36" t="inlineStr">
        <is>
          <t>1) 건축구조 설계기준 (KDS 41 00 00): 건축물 내진설계기준, 풍하중 및 차량기지 검수고 피트(Pit) 수밀 방수 시방 적용
2) 시공계획서 미승인태 시공 진행: 방수공법 변경 시공계획서 감리 승인 전 시공으로 전체 부위 재검측 지시 부과.</t>
        </is>
      </c>
      <c r="K14" s="37" t="inlineStr">
        <is>
          <t>👉 [더블클릭] 표준서 열기 📄</t>
        </is>
      </c>
      <c r="L14" s="36" t="inlineStr">
        <is>
          <t>1) 도면, 시방서, KCS 표준규격에 기반한 시공계획서 드래프트 작성
2) 감리단에 공식 시공계획서 제출 및 보완 협의</t>
        </is>
      </c>
      <c r="M14" s="37" t="inlineStr">
        <is>
          <t>👉 [더블클릭] 수행지침 열기 📄</t>
        </is>
      </c>
      <c r="N14" s="36" t="inlineStr">
        <is>
          <t>1) 건축 각 공종별(골조, 방수, 창호, 마감) 시공계획서가 착공 14일 전 제출되었는가?
2) KCS 41 00 00 시방 기준 및 시공 상세도면(Shop Drawing)이 포함되었는가?</t>
        </is>
      </c>
      <c r="O14" s="37" t="inlineStr">
        <is>
          <t>👉 [더블클릭] 체크리스트 열기 📄</t>
        </is>
      </c>
      <c r="P14" s="35" t="n"/>
      <c r="Q14" s="36" t="inlineStr">
        <is>
          <t>● 건설기술진흥법 규정 준수</t>
        </is>
      </c>
      <c r="R14" s="29" t="inlineStr">
        <is>
          <t>1) 👉 [더블클릭] 체크리스트 열기 📄</t>
        </is>
      </c>
      <c r="S14" s="36" t="n"/>
    </row>
    <row r="15" ht="115.2" customHeight="1">
      <c r="A15" s="35" t="inlineStr">
        <is>
          <t>9000</t>
        </is>
      </c>
      <c r="B15" s="35" t="inlineStr">
        <is>
          <t>9000-4</t>
        </is>
      </c>
      <c r="C15" s="36" t="inlineStr">
        <is>
          <t>건축</t>
        </is>
      </c>
      <c r="D15" s="35" t="inlineStr">
        <is>
          <t>9000-4-14</t>
        </is>
      </c>
      <c r="E15" s="36" t="inlineStr">
        <is>
          <t>측량, 자재/장비 반입, 안전교육</t>
        </is>
      </c>
      <c r="F15" s="35" t="inlineStr">
        <is>
          <t>현장소장</t>
        </is>
      </c>
      <c r="G15" s="36" t="inlineStr">
        <is>
          <t>D-day 전에 공사 준비완료</t>
        </is>
      </c>
      <c r="H15" s="36" t="inlineStr">
        <is>
          <t>- 측량: 측량기준점 설치, 공사위치 마킹
- 자재는 지정된 야적장에 보관
- 장비 Spec확인, 장비안전검사
- 작업원 안전교육 실시</t>
        </is>
      </c>
      <c r="I15" s="36" t="inlineStr">
        <is>
          <t>측량기록지, 안전교육 결과서</t>
        </is>
      </c>
      <c r="J15" s="36" t="inlineStr">
        <is>
          <t>1) 측량 먹침 오차로 건물 편차 발생: 기준선 보정 미실시로 차량기지 피트 벽체 중심선이 20mm 이동되는 치명적 오차 발생.
2) 건축구조 설계기준 (KDS 41 00 00): 건축물 내진설계기준, 풍하중 및 차량기지 검수고 피트(Pit) 수밀 방수 시방 적용</t>
        </is>
      </c>
      <c r="K15" s="37" t="inlineStr">
        <is>
          <t>👉 [더블클릭] 표준서 열기 📄</t>
        </is>
      </c>
      <c r="L15" s="36" t="inlineStr">
        <is>
          <t>1) 현장 중심선 및 층별 기준 먹줄 치기 실측 검측 수행 (오차 ±2mm 이내)
2) 광학 측량기 교정 검서 확보 및 건물 기준 먹침 도면 검토</t>
        </is>
      </c>
      <c r="M15" s="37" t="inlineStr">
        <is>
          <t>👉 [더블클릭] 수행지침 열기 📄</t>
        </is>
      </c>
      <c r="N15" s="36" t="inlineStr">
        <is>
          <t>1) 광학 측량기 교정 검사를 이행하고 수평/레벨 오차(±2mm 이내)를 검측하였는가?
2) 반입 건설기계 전수 안전 점검표 작성 및 승인 스티커 부착을 확인하였는가?</t>
        </is>
      </c>
      <c r="O15" s="37" t="inlineStr">
        <is>
          <t>👉 [더블클릭] 체크리스트 열기 📄</t>
        </is>
      </c>
      <c r="P15" s="35" t="n"/>
      <c r="Q15" s="36" t="inlineStr">
        <is>
          <t>● 측량법 및 산업안전보건법 준수</t>
        </is>
      </c>
      <c r="R15" s="29" t="inlineStr">
        <is>
          <t>1) 👉 [더블클릭] 체크리스트 열기 📄</t>
        </is>
      </c>
      <c r="S15" s="36" t="n"/>
    </row>
    <row r="16" ht="115.2" customHeight="1">
      <c r="A16" s="35" t="inlineStr">
        <is>
          <t>9000</t>
        </is>
      </c>
      <c r="B16" s="35" t="inlineStr">
        <is>
          <t>9000-4</t>
        </is>
      </c>
      <c r="C16" s="36" t="inlineStr">
        <is>
          <t>건축</t>
        </is>
      </c>
      <c r="D16" s="35" t="inlineStr">
        <is>
          <t>9000-4-15</t>
        </is>
      </c>
      <c r="E16" s="36" t="inlineStr">
        <is>
          <t>자재 검수</t>
        </is>
      </c>
      <c r="F16" s="35" t="inlineStr">
        <is>
          <t>현장 자재팀 / 품질팀</t>
        </is>
      </c>
      <c r="G16" s="36" t="inlineStr">
        <is>
          <t>설계/시방기준에 적합한 자재 반입</t>
        </is>
      </c>
      <c r="H16" s="36" t="inlineStr">
        <is>
          <t>- 송장과 실물 확인(규격, 성능, 수량)
- 시방기준에 따른 품질시험 실시
- 훼손, 오반입시 반출조치</t>
        </is>
      </c>
      <c r="I16" s="36" t="inlineStr">
        <is>
          <t>자재검수서, 품질시험 보고서</t>
        </is>
      </c>
      <c r="J16" s="36" t="inlineStr">
        <is>
          <t>1) 건축구조 설계기준 (KDS 41 00 00): 건축물 내진설계기준, 풍하중 및 차량기지 검수고 피트(Pit) 수밀 방수 시방 적용
2) 불량 레미콘 반입: 슬럼프 기준치 초과 레미콘 현장 무단 타설로 강도 미달 결함 발생 → 즉시 반품 회송 처리 지침 반영.</t>
        </is>
      </c>
      <c r="K16" s="37" t="inlineStr">
        <is>
          <t>👉 [더블클릭] 표준서 열기 📄</t>
        </is>
      </c>
      <c r="L16" s="36" t="inlineStr">
        <is>
          <t>1) 감리 승인 완료 자재공급원 서류 확인 및 품목별 반입 송장 체크
2) 자재 검수 야장 및 품질 검측 성과표 작성</t>
        </is>
      </c>
      <c r="M16" s="37" t="inlineStr">
        <is>
          <t>👉 [더블클릭] 수행지침 열기 📄</t>
        </is>
      </c>
      <c r="N16" s="36" t="inlineStr">
        <is>
          <t>1) 철근 반입 시 강종(SD400/SD500) 및 직경, 품질시험 성적서를 확인하였는가?
2) 방수재, 마감재, 창호 자재의 자재공급원 승인 필증 일치 여부를 점검하였는가?</t>
        </is>
      </c>
      <c r="O16" s="37" t="inlineStr">
        <is>
          <t>👉 [더블클릭] 체크리스트 열기 📄</t>
        </is>
      </c>
      <c r="P16" s="35" t="n"/>
      <c r="Q16" s="36" t="inlineStr">
        <is>
          <t>● KS 규격 및 시방 기준 준수</t>
        </is>
      </c>
      <c r="R16" s="29" t="inlineStr">
        <is>
          <t>1) 👉 [더블클릭] 체크리스트 열기 📄</t>
        </is>
      </c>
      <c r="S16" s="36" t="n"/>
    </row>
    <row r="17" ht="96" customHeight="1">
      <c r="A17" s="35" t="inlineStr">
        <is>
          <t>9000</t>
        </is>
      </c>
      <c r="B17" s="35" t="inlineStr">
        <is>
          <t>9000-4</t>
        </is>
      </c>
      <c r="C17" s="36" t="inlineStr">
        <is>
          <t>건축</t>
        </is>
      </c>
      <c r="D17" s="35" t="inlineStr">
        <is>
          <t>9000-4-16</t>
        </is>
      </c>
      <c r="E17" s="36" t="inlineStr">
        <is>
          <t>터파기/지반 정리</t>
        </is>
      </c>
      <c r="F17" s="35" t="inlineStr">
        <is>
          <t>현장소장</t>
        </is>
      </c>
      <c r="G17" s="36" t="inlineStr">
        <is>
          <t>구조물 시공을 위한 바닥 확보</t>
        </is>
      </c>
      <c r="H17" s="36" t="inlineStr">
        <is>
          <t>측량을 통한 계획Level, 위치 확인, 바닥 지지력 시험</t>
        </is>
      </c>
      <c r="I17" s="36" t="inlineStr">
        <is>
          <t>측량 성과, 지지력시험성과 보고서</t>
        </is>
      </c>
      <c r="J17" s="36" t="inlineStr">
        <is>
          <t>1) 건축구조 설계기준 (KDS 41 00 00): 건축물 내진설계기준, 풍하중 및 차량기지 검수고 피트(Pit) 수밀 방수 시방 적용
2) KCS 11 20 00: 굴착 바닥 교란 방지 및 잔여 흙 인력 마무리 100mm 지정 준수</t>
        </is>
      </c>
      <c r="K17" s="37" t="inlineStr">
        <is>
          <t>👉 [더블클릭] 표준서 열기 📄</t>
        </is>
      </c>
      <c r="L17" s="36" t="inlineStr">
        <is>
          <t>1) 굴착 장비 반입 및 배수 펌프 준비
2) 터파기 바닥고 실측 검측(±15mm) 및 감리 서과 승인</t>
        </is>
      </c>
      <c r="M17" s="37" t="inlineStr">
        <is>
          <t>👉 [더블클릭] 수행지침 열기 📄</t>
        </is>
      </c>
      <c r="N17" s="36" t="inlineStr">
        <is>
          <t>1) 터파기 바닥고 실측 오차가 설계치 대비 ±15mm 이내인가?
2) 평판재하시험 성과표 상 허용지내력(qa ≥ 150 KPa)을 확인했는가?</t>
        </is>
      </c>
      <c r="O17" s="37" t="inlineStr">
        <is>
          <t>👉 [더블클릭] 체크리스트 열기 📄</t>
        </is>
      </c>
      <c r="P17" s="35" t="n"/>
      <c r="Q17" s="36" t="inlineStr">
        <is>
          <t>● 지반 지지력 및 굴착 공차 관리 기준</t>
        </is>
      </c>
      <c r="R17" s="29" t="inlineStr">
        <is>
          <t>1) 👉 [더블클릭] 체크리스트 열기 📄</t>
        </is>
      </c>
      <c r="S17" s="36" t="n"/>
    </row>
    <row r="18" ht="115.2" customHeight="1">
      <c r="A18" s="35" t="inlineStr">
        <is>
          <t>9000</t>
        </is>
      </c>
      <c r="B18" s="35" t="inlineStr">
        <is>
          <t>9000-4</t>
        </is>
      </c>
      <c r="C18" s="36" t="inlineStr">
        <is>
          <t>건축</t>
        </is>
      </c>
      <c r="D18" s="35" t="inlineStr">
        <is>
          <t>9000-4-17</t>
        </is>
      </c>
      <c r="E18" s="36" t="inlineStr">
        <is>
          <t>바닥(버림) 콘크리트 타설</t>
        </is>
      </c>
      <c r="F18" s="35" t="inlineStr">
        <is>
          <t>현장소장</t>
        </is>
      </c>
      <c r="G18" s="36" t="inlineStr">
        <is>
          <t>철근을 깔 수 있는 평탄한 바닥확보</t>
        </is>
      </c>
      <c r="H18" s="36" t="inlineStr">
        <is>
          <t>도면에 따라 거푸집 조립, 버림con't타설, 양생, 거푸집 해체/정리</t>
        </is>
      </c>
      <c r="I18" s="36" t="inlineStr">
        <is>
          <t>검측서</t>
        </is>
      </c>
      <c r="J18" s="36" t="inlineStr">
        <is>
          <t>1) 버림 두께 미달 및 표면 요철: 버림 콘크리트 두께 30mm 미달 시 피트 하부 철근 고인재(Spacer) 침하로 구체 피복 두께 부족 하자 발생.
2) 건축구조 설계기준 (KDS 41 00 00): 건축물 내진설계기준, 풍하중 및 차량기지 검수고 피트(Pit) 수밀 방수 시방 적용</t>
        </is>
      </c>
      <c r="K18" s="37" t="inlineStr">
        <is>
          <t>👉 [더블클릭] 표준서 열기 📄</t>
        </is>
      </c>
      <c r="L18" s="36" t="inlineStr">
        <is>
          <t>1) 버림 타설 레벨 핀(2m 간격) 설치 검측
2) 감리원 버림 타설 및 먹침 검측 승인 수령</t>
        </is>
      </c>
      <c r="M18" s="37" t="inlineStr">
        <is>
          <t>👉 [더블클릭] 수행지침 열기 📄</t>
        </is>
      </c>
      <c r="N18" s="36" t="inlineStr">
        <is>
          <t>1) 잡석 다짐 바닥 비닐 2겹 설치 및 레벨 핀(2m 간격) 고정을 확인하였는가?
2) 버림 콘크리트 강도(fck 15~18 MPa) 및 타설 두께(≥50mm)를 검측하였는가?</t>
        </is>
      </c>
      <c r="O18" s="37" t="inlineStr">
        <is>
          <t>👉 [더블클릭] 체크리스트 열기 📄</t>
        </is>
      </c>
      <c r="P18" s="35" t="n"/>
      <c r="Q18" s="36" t="inlineStr">
        <is>
          <t>● 버림 콘크리트 두께 및 높이 준수</t>
        </is>
      </c>
      <c r="R18" s="29" t="inlineStr">
        <is>
          <t>1) 👉 [더블클릭] 체크리스트 열기 📄</t>
        </is>
      </c>
      <c r="S18" s="36" t="n"/>
    </row>
    <row r="19" ht="115.2" customHeight="1">
      <c r="A19" s="35" t="inlineStr">
        <is>
          <t>9000</t>
        </is>
      </c>
      <c r="B19" s="35" t="inlineStr">
        <is>
          <t>9000-4</t>
        </is>
      </c>
      <c r="C19" s="36" t="inlineStr">
        <is>
          <t>건축</t>
        </is>
      </c>
      <c r="D19" s="35" t="inlineStr">
        <is>
          <t>9000-4-18</t>
        </is>
      </c>
      <c r="E19" s="36" t="inlineStr">
        <is>
          <t>인터페이스 회의(매주)</t>
        </is>
      </c>
      <c r="F19" s="35" t="inlineStr">
        <is>
          <t>현장소장</t>
        </is>
      </c>
      <c r="G19" s="36" t="inlineStr">
        <is>
          <t>건축 구조물공사 中, 건축 마감공사 中 인터페이스 협의를 통한 재시공 최소화</t>
        </is>
      </c>
      <c r="H19" s="36" t="inlineStr">
        <is>
          <t>시공중 지속적인 인터페이스(기계, 전기, 통신 등) 회의를 통하여 시공전 계획했던 대로 원활한 선후행공정 시공진행</t>
        </is>
      </c>
      <c r="I19" s="36" t="inlineStr">
        <is>
          <t>인터페이스 회의록</t>
        </is>
      </c>
      <c r="J19" s="36" t="inlineStr">
        <is>
          <t>1) 건축구조 설계기준 (KDS 41 00 00): 건축물 내진설계기준, 풍하중 및 차량기지 검수고 피트(Pit) 수밀 방수 시방 적용
2) 주간 인터페이스 회의 누락으로 슬리브 미반영: 소방 가스계 배관 관통구 슬리브 누락 후 골조 타설되어 코어 뚫기 후가공 발생.</t>
        </is>
      </c>
      <c r="K19" s="37" t="inlineStr">
        <is>
          <t>👉 [더블클릭] 표준서 열기 📄</t>
        </is>
      </c>
      <c r="L19" s="36" t="inlineStr">
        <is>
          <t>1) 공종별 금주 시공 부위 및 차주 예정 관통 슬리브 안건 수집
2) D BIM CSD 최신 버전 갱신 및 회의 자료 준비</t>
        </is>
      </c>
      <c r="M19" s="37" t="inlineStr">
        <is>
          <t>👉 [더블클릭] 수행지침 열기 📄</t>
        </is>
      </c>
      <c r="N19" s="36" t="inlineStr">
        <is>
          <t>1) 주 1회 전 공종 대표 엔지니어 동시 참석을 확인하였는가?
2) D CSD 도면상 관통 슬리브 및 개구부 이슈가 반영되었는가?</t>
        </is>
      </c>
      <c r="O19" s="37" t="inlineStr">
        <is>
          <t>👉 [더블클릭] 체크리스트 열기 📄</t>
        </is>
      </c>
      <c r="P19" s="35" t="n"/>
      <c r="Q19" s="36" t="inlineStr">
        <is>
          <t>● 공정 조율 및 시공 순서 확인</t>
        </is>
      </c>
      <c r="R19" s="29" t="inlineStr">
        <is>
          <t>1) 👉 [더블클릭] 체크리스트 열기 📄</t>
        </is>
      </c>
      <c r="S19" s="36" t="n"/>
    </row>
    <row r="20" ht="115.2" customHeight="1">
      <c r="A20" s="35" t="inlineStr">
        <is>
          <t>9000</t>
        </is>
      </c>
      <c r="B20" s="35" t="inlineStr">
        <is>
          <t>9000-4</t>
        </is>
      </c>
      <c r="C20" s="36" t="inlineStr">
        <is>
          <t>건축</t>
        </is>
      </c>
      <c r="D20" s="35" t="inlineStr">
        <is>
          <t>9000-4-19</t>
        </is>
      </c>
      <c r="E20" s="36" t="inlineStr">
        <is>
          <t>인터페이스 각 공종별 Issue (기계, 전기, 통신분야)</t>
        </is>
      </c>
      <c r="F20" s="35" t="inlineStr">
        <is>
          <t>현장소장</t>
        </is>
      </c>
      <c r="G20" s="36" t="inlineStr">
        <is>
          <t>구조물 내,외부 인입공사 사전 인터페이스 회의를 통한 공사간섭 및 Rework방지</t>
        </is>
      </c>
      <c r="H20" s="36" t="inlineStr">
        <is>
          <t>각 해당공종(건축, 기계, 전기) 도면과 건축도면을 비교 및 현장여건 검토를 통한 시공방법 결정, 각종 필증 및 허가관련에 따른 우선순위 시공순서 결정</t>
        </is>
      </c>
      <c r="I20" s="36" t="inlineStr">
        <is>
          <t>인터페이스 회의록</t>
        </is>
      </c>
      <c r="J20" s="36" t="inlineStr">
        <is>
          <t>1) 건축구조 설계기준 (KDS 41 00 00): 건축물 내진설계기준, 풍하중 및 차량기지 검수고 피트(Pit) 수밀 방수 시방 적용
2) 관통부 내화채움 미비로 화재 연기 확산: 케이블 트레이 벽체 관통 부위 몰탈 부실 채움으로 가스계 소화가스 누출 결함 발생.</t>
        </is>
      </c>
      <c r="K20" s="37" t="inlineStr">
        <is>
          <t>👉 [더블클릭] 표준서 열기 📄</t>
        </is>
      </c>
      <c r="L20" s="36" t="inlineStr">
        <is>
          <t>1) 배관/케이블 부설 후 관통 틈새 인정 내화채움구조 충전 시공
2) 내화채움 및 슬리브 시공 검측서 작성 및 감리원 승인</t>
        </is>
      </c>
      <c r="M20" s="37" t="inlineStr">
        <is>
          <t>👉 [더블클릭] 수행지침 열기 📄</t>
        </is>
      </c>
      <c r="N20" s="36" t="inlineStr">
        <is>
          <t>1) MEP/전기/통신 관통 슬리브 위치 및 수량을 3D CSD 도면과 대조 확인하였는가?
2) 외벽 관통 방수 슬리브 수팽창 지수재 시공 상태를 확인했는가?</t>
        </is>
      </c>
      <c r="O20" s="37" t="inlineStr">
        <is>
          <t>👉 [더블클릭] 체크리스트 열기 📄</t>
        </is>
      </c>
      <c r="P20" s="35" t="n"/>
      <c r="Q20" s="36" t="inlineStr">
        <is>
          <t>● 타 분야 매입 배관 및 슬리브 사전 확인</t>
        </is>
      </c>
      <c r="R20" s="29" t="inlineStr">
        <is>
          <t>1) 👉 [더블클릭] 체크리스트 열기 📄</t>
        </is>
      </c>
      <c r="S20" s="36" t="n"/>
    </row>
    <row r="21" ht="115.2" customHeight="1">
      <c r="A21" s="35" t="inlineStr">
        <is>
          <t>9000</t>
        </is>
      </c>
      <c r="B21" s="35" t="inlineStr">
        <is>
          <t>9000-4</t>
        </is>
      </c>
      <c r="C21" s="36" t="inlineStr">
        <is>
          <t>건축</t>
        </is>
      </c>
      <c r="D21" s="35" t="inlineStr">
        <is>
          <t>9000-4-20</t>
        </is>
      </c>
      <c r="E21" s="36" t="inlineStr">
        <is>
          <t>인터페이스 각 공종별 Issue (토목분야)</t>
        </is>
      </c>
      <c r="F21" s="35" t="inlineStr">
        <is>
          <t>현장소장</t>
        </is>
      </c>
      <c r="G21" s="36" t="inlineStr">
        <is>
          <t>건축공사와 토목공사 간섭 예방, 업무 Scope확인을 통한 설계/시공Gray zone제거</t>
        </is>
      </c>
      <c r="H21" s="36" t="inlineStr">
        <is>
          <t>구조물별 외부 배수 설계와 같은 현장 여건을 구성이 되었는지 확인</t>
        </is>
      </c>
      <c r="I21" s="36" t="inlineStr">
        <is>
          <t>회의록</t>
        </is>
      </c>
      <c r="J21" s="36" t="inlineStr">
        <is>
          <t>1) 건축구조 설계기준 (KDS 41 00 00): 건축물 내진설계기준, 풍하중 및 차량기지 검수고 피트(Pit) 수밀 방수 시방 적용
2) 접속부 팽창줄눈 누수: 토목 옹벽과 건축 외벽 연결 부위 수팽창 지수재 누락으로 우수 피트 유입 발생 → 조인트 지수 2중화 보강.</t>
        </is>
      </c>
      <c r="K21" s="37" t="inlineStr">
        <is>
          <t>👉 [더블클릭] 표준서 열기 📄</t>
        </is>
      </c>
      <c r="L21" s="36" t="inlineStr">
        <is>
          <t>1) 피트 우수 배수관 토목 신설 관로 연결 구배(1/100) 확보 시공
2) 팽창줄눈 백업재 및 코킹 시공 검측서 수령</t>
        </is>
      </c>
      <c r="M21" s="37" t="inlineStr">
        <is>
          <t>👉 [더블클릭] 수행지침 열기 📄</t>
        </is>
      </c>
      <c r="N21" s="36" t="inlineStr">
        <is>
          <t>1) 건물-토목 옹벽 접속부 팽창줄눈(폭 20~30mm) 설치 및 수팽창 지수판 시공을 확인했는가?
2) 피트 배수관 토목 우/오수 관로 연결 구배(1/100 이상)를 확인했는가?</t>
        </is>
      </c>
      <c r="O21" s="37" t="inlineStr">
        <is>
          <t>👉 [더블클릭] 체크리스트 열기 📄</t>
        </is>
      </c>
      <c r="P21" s="35" t="n"/>
      <c r="Q21" s="36" t="inlineStr">
        <is>
          <t>● 토목 외부 우/오수 배수 및 연계 부분 확인</t>
        </is>
      </c>
      <c r="R21" s="29" t="inlineStr">
        <is>
          <t>1) 👉 [더블클릭] 체크리스트 열기 📄</t>
        </is>
      </c>
      <c r="S21" s="36" t="n"/>
    </row>
    <row r="22" ht="96" customHeight="1">
      <c r="A22" s="35" t="inlineStr">
        <is>
          <t>9000</t>
        </is>
      </c>
      <c r="B22" s="35" t="inlineStr">
        <is>
          <t>9000-4</t>
        </is>
      </c>
      <c r="C22" s="36" t="inlineStr">
        <is>
          <t>건축</t>
        </is>
      </c>
      <c r="D22" s="35" t="inlineStr">
        <is>
          <t>9000-4-21</t>
        </is>
      </c>
      <c r="E22" s="36" t="inlineStr">
        <is>
          <t>기초~상부슬라브 구조물 시공</t>
        </is>
      </c>
      <c r="F22" s="35" t="inlineStr">
        <is>
          <t>현장소장</t>
        </is>
      </c>
      <c r="G22" s="36" t="inlineStr">
        <is>
          <t>기초, 기둥 및 슬라브 구조물 시공</t>
        </is>
      </c>
      <c r="H22" s="36" t="inlineStr">
        <is>
          <t>발주 이후 마감공정 연계, 거푸집 해체 이후 균열조사 및 보수조치 시행</t>
        </is>
      </c>
      <c r="I22" s="36" t="inlineStr">
        <is>
          <t>해당공종 검측서, 각종 품질시험결과 보고서, 마감공종 인수인계서</t>
        </is>
      </c>
      <c r="J22" s="36" t="inlineStr">
        <is>
          <t>1) 건축구조 설계기준 (KDS 41 00 00): 건축물 내진설계기준, 풍하중 및 차량기지 검수고 피트(Pit) 수밀 방수 시방 적용
2) KDS 41 10 00: 내진구조 특등급 및 수밀 콘크리트 표준 적용</t>
        </is>
      </c>
      <c r="K22" s="37" t="inlineStr">
        <is>
          <t>👉 [더블클릭] 표준서 열기 📄</t>
        </is>
      </c>
      <c r="L22" s="36" t="inlineStr">
        <is>
          <t>1) MEP 관통 슬리브 및 크레인 매립 앵커 3D 측량 위치 검측 완료
2) 구조물 검측서 승인 후 마감 공종 인수인계 체결</t>
        </is>
      </c>
      <c r="M22" s="37" t="inlineStr">
        <is>
          <t>👉 [더블클릭] 수행지침 열기 📄</t>
        </is>
      </c>
      <c r="N22" s="36" t="inlineStr">
        <is>
          <t>1) 콘크리트 압축강도(fck ≥ 27~30 MPa) 및 수중 양생 시험성적서를 확인했는가?
2) 철근 피복두께(지하/피트 50~80mm) 고인재가 1.0m 간격으로 고정되었는가?</t>
        </is>
      </c>
      <c r="O22" s="37" t="inlineStr">
        <is>
          <t>👉 [더블클릭] 체크리스트 열기 📄</t>
        </is>
      </c>
      <c r="P22" s="35" t="n"/>
      <c r="Q22" s="36" t="inlineStr">
        <is>
          <t>● 콘크리트 압축강도 및 피복두께 관리</t>
        </is>
      </c>
      <c r="R22" s="29" t="inlineStr">
        <is>
          <t>1) 👉 [더블클릭] 체크리스트 열기 📄</t>
        </is>
      </c>
      <c r="S22" s="36" t="n"/>
    </row>
    <row r="23" ht="96" customHeight="1">
      <c r="A23" s="35" t="inlineStr">
        <is>
          <t>9000</t>
        </is>
      </c>
      <c r="B23" s="35" t="inlineStr">
        <is>
          <t>9000-4</t>
        </is>
      </c>
      <c r="C23" s="36" t="inlineStr">
        <is>
          <t>건축</t>
        </is>
      </c>
      <c r="D23" s="35" t="inlineStr">
        <is>
          <t>9000-4-22</t>
        </is>
      </c>
      <c r="E23" s="36" t="inlineStr">
        <is>
          <t>철근 가공</t>
        </is>
      </c>
      <c r="F23" s="35" t="inlineStr">
        <is>
          <t>현장소장</t>
        </is>
      </c>
      <c r="G23" s="36" t="inlineStr">
        <is>
          <t>철근을 절곡 및 절단하는 작업</t>
        </is>
      </c>
      <c r="H23" s="36" t="inlineStr">
        <is>
          <t>설계도면과 가공상세가 일치하는지 확인 및 보강부분 시공상세도 확인</t>
        </is>
      </c>
      <c r="I23" s="36" t="inlineStr">
        <is>
          <t>철근 시공상세도</t>
        </is>
      </c>
      <c r="J23" s="36" t="inlineStr">
        <is>
          <t>1) 건축구조 설계기준 (KDS 41 00 00): 건축물 내진설계기준, 풍하중 및 차량기지 검수고 피트(Pit) 수밀 방수 시방 적용
2) KDS 41 20 00: 철근 갈고리 및 정착/이음 가공 표준 치수 적용</t>
        </is>
      </c>
      <c r="K23" s="37" t="inlineStr">
        <is>
          <t>👉 [더블클릭] 표준서 열기 📄</t>
        </is>
      </c>
      <c r="L23" s="36" t="inlineStr">
        <is>
          <t>1) 철근 가공도면 감리 승인 확인
2) 치수 오차(±15mm 이내) 샘플 검측 및 가공 야적장 양호 상태 보관</t>
        </is>
      </c>
      <c r="M23" s="37" t="inlineStr">
        <is>
          <t>👉 [더블클릭] 수행지침 열기 📄</t>
        </is>
      </c>
      <c r="N23" s="36" t="inlineStr">
        <is>
          <t>1) 가공 철근 절단 길이 오차가 ±15mm 이내인가?
2) KDS 41 20 00 가공 상세 치수 준수 확인 완료</t>
        </is>
      </c>
      <c r="O23" s="37" t="inlineStr">
        <is>
          <t>👉 [더블클릭] 체크리스트 열기 📄</t>
        </is>
      </c>
      <c r="P23" s="35" t="n"/>
      <c r="Q23" s="36" t="inlineStr">
        <is>
          <t>● 철근 가공 치수 허용오차 기준</t>
        </is>
      </c>
      <c r="R23" s="29" t="inlineStr">
        <is>
          <t>1) 👉 [더블클릭] 체크리스트 열기 📄</t>
        </is>
      </c>
      <c r="S23" s="36" t="n"/>
    </row>
    <row r="24" ht="96" customHeight="1">
      <c r="A24" s="35" t="inlineStr">
        <is>
          <t>9000</t>
        </is>
      </c>
      <c r="B24" s="35" t="inlineStr">
        <is>
          <t>9000-4</t>
        </is>
      </c>
      <c r="C24" s="36" t="inlineStr">
        <is>
          <t>건축</t>
        </is>
      </c>
      <c r="D24" s="35" t="inlineStr">
        <is>
          <t>9000-4-23</t>
        </is>
      </c>
      <c r="E24" s="36" t="inlineStr">
        <is>
          <t>작업발판, 비계 및 동바리 설치</t>
        </is>
      </c>
      <c r="F24" s="35" t="inlineStr">
        <is>
          <t>현장소장</t>
        </is>
      </c>
      <c r="G24" s="36" t="inlineStr">
        <is>
          <t>구조물 시공을 위한 작업발판 및 후속 작업을 위해 비계 및 동바리 설치</t>
        </is>
      </c>
      <c r="H24" s="36" t="inlineStr">
        <is>
          <t>안전난간 및 발판 설치 이후 철근 조립 및 거푸집 설치를 위한 비계 및 동바리 설치</t>
        </is>
      </c>
      <c r="I24" s="36" t="inlineStr">
        <is>
          <t>비계 및 동바리 검측서</t>
        </is>
      </c>
      <c r="J24" s="36" t="inlineStr">
        <is>
          <t>1) 건축구조 설계기준 (KDS 41 00 00): 건축물 내진설계기준, 풍하중 및 차량기지 검수고 피트(Pit) 수밀 방수 시방 적용
2) KDS 21 00 00: 층고 5m 이상 동바리 구조기술사 안전성 검토서 첨부</t>
        </is>
      </c>
      <c r="K24" s="37" t="inlineStr">
        <is>
          <t>👉 [더블클릭] 표준서 열기 📄</t>
        </is>
      </c>
      <c r="L24" s="36" t="inlineStr">
        <is>
          <t>1) 가설구조계산서 및 수평/수직 하중 세팅 검토
2) 지반 잭베이스(Jack Base) 밑판 설치 및 평탄 지반 점검</t>
        </is>
      </c>
      <c r="M24" s="37" t="inlineStr">
        <is>
          <t>👉 [더블클릭] 수행지침 열기 📄</t>
        </is>
      </c>
      <c r="N24" s="36" t="inlineStr">
        <is>
          <t>1) 시스템 비계 수직도 오차(1/500 이내) 및 벽 연결(5m 이내) 고정을 확인했는가?
2) 동바리 수평 2방향 연결재 체결 및 잭베이스 밑판 보강을 확인했는가?</t>
        </is>
      </c>
      <c r="O24" s="37" t="inlineStr">
        <is>
          <t>👉 [더블클릭] 체크리스트 열기 📄</t>
        </is>
      </c>
      <c r="P24" s="35" t="n"/>
      <c r="Q24" s="36" t="inlineStr">
        <is>
          <t>● 가설구조물 안전 기준 및 구조 검토</t>
        </is>
      </c>
      <c r="R24" s="29" t="inlineStr">
        <is>
          <t>1) 👉 [더블클릭] 체크리스트 열기 📄</t>
        </is>
      </c>
      <c r="S24" s="36" t="n"/>
    </row>
    <row r="25" ht="96" customHeight="1">
      <c r="A25" s="35" t="inlineStr">
        <is>
          <t>9000</t>
        </is>
      </c>
      <c r="B25" s="35" t="inlineStr">
        <is>
          <t>9000-4</t>
        </is>
      </c>
      <c r="C25" s="36" t="inlineStr">
        <is>
          <t>건축</t>
        </is>
      </c>
      <c r="D25" s="35" t="inlineStr">
        <is>
          <t>9000-4-24</t>
        </is>
      </c>
      <c r="E25" s="36" t="inlineStr">
        <is>
          <t>철근 조립</t>
        </is>
      </c>
      <c r="F25" s="35" t="inlineStr">
        <is>
          <t>현장소장</t>
        </is>
      </c>
      <c r="G25" s="36" t="inlineStr">
        <is>
          <t>구조물의 뼈대를 형성하도록 철근을 조립</t>
        </is>
      </c>
      <c r="H25" s="36" t="inlineStr">
        <is>
          <t>철근 배근, 철근 조립 및 결속, 철근 이물질 등 검사</t>
        </is>
      </c>
      <c r="I25" s="36" t="inlineStr">
        <is>
          <t>철근 검측서</t>
        </is>
      </c>
      <c r="J25" s="36" t="inlineStr">
        <is>
          <t>1) 건축구조 설계기준 (KDS 41 00 00): 건축물 내진설계기준, 풍하중 및 차량기지 검수고 피트(Pit) 수밀 방수 시방 적용
2) KDS 41 20 00: 구조물 내진 상세 배근 및 띠철근(Stirrup/Tie) 간격 준수</t>
        </is>
      </c>
      <c r="K25" s="37" t="inlineStr">
        <is>
          <t>👉 [더블클릭] 표준서 열기 📄</t>
        </is>
      </c>
      <c r="L25" s="36" t="inlineStr">
        <is>
          <t>1) 먹줄 표시선에 맞춘 철근 조립 위치 및 정착 길이 사전 확인
2) 피복두께 고인재(Spacer, 1.0m 간격) 및 결속선 준비</t>
        </is>
      </c>
      <c r="M25" s="37" t="inlineStr">
        <is>
          <t>👉 [더블클릭] 수행지침 열기 📄</t>
        </is>
      </c>
      <c r="N25" s="36" t="inlineStr">
        <is>
          <t>1) 철근 배근 간격(150~200mm) 및 결속선 묶음 상태를 확인하였는가?
2) 피복두께 고인재(지하/피트 50~80mm)가 1.0m 간격으로 설치되었는가?</t>
        </is>
      </c>
      <c r="O25" s="37" t="inlineStr">
        <is>
          <t>👉 [더블클릭] 체크리스트 열기 📄</t>
        </is>
      </c>
      <c r="P25" s="35" t="n"/>
      <c r="Q25" s="36" t="inlineStr">
        <is>
          <t>● 철근 배근 간격 및 결속선 결속 기준</t>
        </is>
      </c>
      <c r="R25" s="29" t="inlineStr">
        <is>
          <t>1) 👉 [더블클릭] 체크리스트 열기 📄</t>
        </is>
      </c>
      <c r="S25" s="36" t="n"/>
    </row>
    <row r="26" ht="96" customHeight="1">
      <c r="A26" s="35" t="inlineStr">
        <is>
          <t>9000</t>
        </is>
      </c>
      <c r="B26" s="35" t="inlineStr">
        <is>
          <t>9000-4</t>
        </is>
      </c>
      <c r="C26" s="36" t="inlineStr">
        <is>
          <t>건축</t>
        </is>
      </c>
      <c r="D26" s="35" t="inlineStr">
        <is>
          <t>9000-4-25</t>
        </is>
      </c>
      <c r="E26" s="36" t="inlineStr">
        <is>
          <t>거푸집 조립</t>
        </is>
      </c>
      <c r="F26" s="35" t="inlineStr">
        <is>
          <t>현장소장</t>
        </is>
      </c>
      <c r="G26" s="36" t="inlineStr">
        <is>
          <t>콘크리트 타설 후 양생까지 유지하는 가설구조물 설치 작업</t>
        </is>
      </c>
      <c r="H26" s="36" t="inlineStr">
        <is>
          <t>합판, 강재등의 자재를 활용하여 설계도면 형상에 맞게 시공</t>
        </is>
      </c>
      <c r="I26" s="36" t="inlineStr">
        <is>
          <t>거푸집 검측서</t>
        </is>
      </c>
      <c r="J26" s="36" t="inlineStr">
        <is>
          <t>1) 건축구조 설계기준 (KDS 41 00 00): 건축물 내진설계기준, 풍하중 및 차량기지 검수고 피트(Pit) 수밀 방수 시방 적용
2) KCS 21 30 00: 콘크리트 타설 측압에 견디는 거푸집 안전 구조 설계 준수</t>
        </is>
      </c>
      <c r="K26" s="37" t="inlineStr">
        <is>
          <t>👉 [더블클릭] 표준서 열기 📄</t>
        </is>
      </c>
      <c r="L26" s="36" t="inlineStr">
        <is>
          <t>1) 피트 조인트 수팽창 지수재 위치 확인
2) 거푸집 수직도(±3mm) 실측 검측 수검 및 승인</t>
        </is>
      </c>
      <c r="M26" s="37" t="inlineStr">
        <is>
          <t>👉 [더블클릭] 수행지침 열기 📄</t>
        </is>
      </c>
      <c r="N26" s="36" t="inlineStr">
        <is>
          <t>1) 거푸집 수직 편차(±3mm 이내) 및 폼타이 고정 핀 체결을 확인하였는가?
2) 피트 조인트 수팽창 지수재 연속 설치 및 밀착 상태를 확인하였는가?</t>
        </is>
      </c>
      <c r="O26" s="37" t="inlineStr">
        <is>
          <t>👉 [더블클릭] 체크리스트 열기 📄</t>
        </is>
      </c>
      <c r="P26" s="35" t="n"/>
      <c r="Q26" s="36" t="inlineStr">
        <is>
          <t>● 거푸집 수직/수평도 및 박리제 도포 기준</t>
        </is>
      </c>
      <c r="R26" s="29" t="inlineStr">
        <is>
          <t>1) 👉 [더블클릭] 체크리스트 열기 📄</t>
        </is>
      </c>
      <c r="S26" s="36" t="n"/>
    </row>
    <row r="27" ht="96" customHeight="1">
      <c r="A27" s="35" t="inlineStr">
        <is>
          <t>9000</t>
        </is>
      </c>
      <c r="B27" s="35" t="inlineStr">
        <is>
          <t>9000-4</t>
        </is>
      </c>
      <c r="C27" s="36" t="inlineStr">
        <is>
          <t>건축</t>
        </is>
      </c>
      <c r="D27" s="35" t="inlineStr">
        <is>
          <t>9000-4-26</t>
        </is>
      </c>
      <c r="E27" s="36" t="inlineStr">
        <is>
          <t>콘크리트 타설 및 다짐</t>
        </is>
      </c>
      <c r="F27" s="35" t="inlineStr">
        <is>
          <t>현장소장</t>
        </is>
      </c>
      <c r="G27" s="36" t="inlineStr">
        <is>
          <t>거푸집에 콘크리트를 붓고 강도발현 까지 밀도와 습도조절 유지</t>
        </is>
      </c>
      <c r="H27" s="36" t="inlineStr">
        <is>
          <t>- 타설과 동시에 적당한 공법으로 다짐, 양생관리
- 마감품질 관련하여, 재료, 균열관리방안
- 상부슬라브 타설시 동바리 변형 확인</t>
        </is>
      </c>
      <c r="I27" s="36" t="inlineStr">
        <is>
          <t>콘크리트 구조물 확보, 타설보고서</t>
        </is>
      </c>
      <c r="J27" s="36" t="inlineStr">
        <is>
          <t>1) 건축구조 설계기준 (KDS 41 00 00): 건축물 내진설계기준, 풍하중 및 차량기지 검수고 피트(Pit) 수밀 방수 시방 적용
2) KCS 41 30 00: 수밀 콘크리트 연속 타설 및 콜드조인트 억제 구획 계획 반영</t>
        </is>
      </c>
      <c r="K27" s="37" t="inlineStr">
        <is>
          <t>👉 [더블클릭] 표준서 열기 📄</t>
        </is>
      </c>
      <c r="L27" s="36" t="inlineStr">
        <is>
          <t>1) 타설 전 거푸집 이물질 수청소 및 슬럼프/공기량 받아들이기 시험
2) 펌프카 2대 수평 거치 및 진동기 4대 이상 현장 세팅</t>
        </is>
      </c>
      <c r="M27" s="37" t="inlineStr">
        <is>
          <t>👉 [더블클릭] 수행지침 열기 📄</t>
        </is>
      </c>
      <c r="N27" s="36" t="inlineStr">
        <is>
          <t>1) 자유낙하 높이 1.5m 이하 준수 및 슈트 사용 타설을 확인하였는가?
2) 고주파 진동기 수직 꽂음(50cm 이내 간격, 5~15초/회) 밀실 다짐을 확인했는가?</t>
        </is>
      </c>
      <c r="O27" s="37" t="inlineStr">
        <is>
          <t>👉 [더블클릭] 체크리스트 열기 📄</t>
        </is>
      </c>
      <c r="P27" s="35" t="n"/>
      <c r="Q27" s="36" t="inlineStr">
        <is>
          <t>● 콘크리트 타설 속도 및 다짐기 사용 기준</t>
        </is>
      </c>
      <c r="R27" s="29" t="inlineStr">
        <is>
          <t>1) 👉 [더블클릭] 체크리스트 열기 📄</t>
        </is>
      </c>
      <c r="S27" s="36" t="n"/>
    </row>
    <row r="28" ht="115.2" customHeight="1">
      <c r="A28" s="35" t="inlineStr">
        <is>
          <t>9000</t>
        </is>
      </c>
      <c r="B28" s="35" t="inlineStr">
        <is>
          <t>9000-4</t>
        </is>
      </c>
      <c r="C28" s="36" t="inlineStr">
        <is>
          <t>건축</t>
        </is>
      </c>
      <c r="D28" s="35" t="inlineStr">
        <is>
          <t>9000-4-27</t>
        </is>
      </c>
      <c r="E28" s="36" t="inlineStr">
        <is>
          <t>거푸집 해체</t>
        </is>
      </c>
      <c r="F28" s="35" t="inlineStr">
        <is>
          <t>현장소장</t>
        </is>
      </c>
      <c r="G28" s="36" t="inlineStr">
        <is>
          <t>구조물과 거푸집을 분리하는 작업</t>
        </is>
      </c>
      <c r="H28" s="36" t="inlineStr">
        <is>
          <t>구조물에 훼손이 없도록 주의하여 안전하게 해체, 부속자재(핀, 타이, 결속선 등) 제거, 상태 Double Check</t>
        </is>
      </c>
      <c r="I28" s="36" t="inlineStr">
        <is>
          <t>해체 완료</t>
        </is>
      </c>
      <c r="J28" s="36" t="inlineStr">
        <is>
          <t>1) 강도 미달 조기 해체에 따른 처짐 균열: 겨울철 슬래브 거푸집 조기 해체로 처짐 오차(15mm 이상) 및 구조적 처짐 균열 발생 → 시험 강도 확인 후 해체 의무화.
2) 건축구조 설계기준 (KDS 41 00 00): 건축물 내진설계기준, 풍하중 및 차량기지 검수고 피트(Pit) 수밀 방수 시방 적용</t>
        </is>
      </c>
      <c r="K28" s="37" t="inlineStr">
        <is>
          <t>👉 [더블클릭] 표준서 열기 📄</t>
        </is>
      </c>
      <c r="L28" s="36" t="inlineStr">
        <is>
          <t>1) 현장 동등 양생 공시체 압축강도(fck ≥ 5MPa/14MPa) 시험 실시 및 시험성적서 수령
2) 해체 하부 구간 통제선 설치 및 감리원 해체 승인 수령</t>
        </is>
      </c>
      <c r="M28" s="37" t="inlineStr">
        <is>
          <t>👉 [더블클릭] 수행지침 열기 📄</t>
        </is>
      </c>
      <c r="N28" s="36" t="inlineStr">
        <is>
          <t>1) 현장 양생 공시체 압축강도(측면 ≥ 5MPa, 수평부재 ≥ 14MPa)를 시험 확인했는가?
2) 감리단 거푸집 해체 승인서를 수령한 후 해체를 개시하였는가?</t>
        </is>
      </c>
      <c r="O28" s="37" t="inlineStr">
        <is>
          <t>👉 [더블클릭] 체크리스트 열기 📄</t>
        </is>
      </c>
      <c r="P28" s="35" t="n"/>
      <c r="Q28" s="36" t="inlineStr">
        <is>
          <t>● 거푸집 해체 시 압축강도 기준 준수</t>
        </is>
      </c>
      <c r="R28" s="29" t="inlineStr">
        <is>
          <t>1) 👉 [더블클릭] 체크리스트 열기 📄</t>
        </is>
      </c>
      <c r="S28" s="36" t="n"/>
    </row>
    <row r="29" ht="115.2" customHeight="1">
      <c r="A29" s="35" t="inlineStr">
        <is>
          <t>9000</t>
        </is>
      </c>
      <c r="B29" s="35" t="inlineStr">
        <is>
          <t>9000-4</t>
        </is>
      </c>
      <c r="C29" s="36" t="inlineStr">
        <is>
          <t>건축</t>
        </is>
      </c>
      <c r="D29" s="35" t="inlineStr">
        <is>
          <t>9000-4-28</t>
        </is>
      </c>
      <c r="E29" s="36" t="inlineStr">
        <is>
          <t>건축 내부 및 마감공사</t>
        </is>
      </c>
      <c r="F29" s="35" t="inlineStr">
        <is>
          <t>현장소장</t>
        </is>
      </c>
      <c r="G29" s="36" t="inlineStr">
        <is>
          <t>건축구조물 완수단계후 방수 및 내부마감공사</t>
        </is>
      </c>
      <c r="H29" s="36" t="inlineStr">
        <is>
          <t>구조물 시공 이후 외벽 방수 진행, 내부 마감공사 연계, 선행공종 균열관리대책 확인</t>
        </is>
      </c>
      <c r="I29" s="36" t="inlineStr">
        <is>
          <t>해당공종 검측서, 품질시험결과 보고서, 마감공종 인수인계서</t>
        </is>
      </c>
      <c r="J29" s="36" t="inlineStr">
        <is>
          <t>1) 습기 양생 불량 상태 마감으로 벽체 팡이 발생: 골조 수분(함수율 12%) 미건조 상태에서 내부 마감재 밀폐 시공으로 결로 및 곰팡이 하자 발생.
2) 건축구조 설계기준 (KDS 41 00 00): 건축물 내진설계기준, 풍하중 및 차량기지 검수고 피트(Pit) 수밀 방수 시방 적용</t>
        </is>
      </c>
      <c r="K29" s="37" t="inlineStr">
        <is>
          <t>👉 [더블클릭] 표준서 열기 📄</t>
        </is>
      </c>
      <c r="L29" s="36" t="inlineStr">
        <is>
          <t>1) 벽체 몰탈 미장/타일/도장 마감 시공
2) 평탄도 오차(3m 당 ±3mm 이내) 실측 검측 수검 및 승인</t>
        </is>
      </c>
      <c r="M29" s="37" t="inlineStr">
        <is>
          <t>👉 [더블클릭] 수행지침 열기 📄</t>
        </is>
      </c>
      <c r="N29" s="36" t="inlineStr">
        <is>
          <t>1) 천장 경량철골 틀 달대 간격(900mm) 및 고정 앵커를 확인했는가?
2) 마감 표면 평탄도 오차(3m당 ±3mm 이내) 및 시각 감성을 검측하였는가?</t>
        </is>
      </c>
      <c r="O29" s="37" t="inlineStr">
        <is>
          <t>👉 [더블클릭] 체크리스트 열기 📄</t>
        </is>
      </c>
      <c r="P29" s="35" t="n"/>
      <c r="Q29" s="36" t="inlineStr">
        <is>
          <t>● 내부 및 외벽 마감 상세 도서 준수</t>
        </is>
      </c>
      <c r="R29" s="29" t="inlineStr">
        <is>
          <t>1) 👉 [더블클릭] 체크리스트 열기 📄</t>
        </is>
      </c>
      <c r="S29" s="36" t="n"/>
    </row>
    <row r="30" ht="115.2" customHeight="1">
      <c r="A30" s="35" t="inlineStr">
        <is>
          <t>9000</t>
        </is>
      </c>
      <c r="B30" s="35" t="inlineStr">
        <is>
          <t>9000-4</t>
        </is>
      </c>
      <c r="C30" s="36" t="inlineStr">
        <is>
          <t>건축</t>
        </is>
      </c>
      <c r="D30" s="35" t="inlineStr">
        <is>
          <t>9000-4-29</t>
        </is>
      </c>
      <c r="E30" s="36" t="inlineStr">
        <is>
          <t>창호,유리 및 금속지붕공사</t>
        </is>
      </c>
      <c r="F30" s="35" t="inlineStr">
        <is>
          <t>현장소장</t>
        </is>
      </c>
      <c r="G30" s="36" t="inlineStr">
        <is>
          <t>외부, 내부 마감공사 수행 / 건축물 내부로 우수 침투 방지작업</t>
        </is>
      </c>
      <c r="H30" s="36" t="inlineStr">
        <is>
          <t>외벽 마감 공사(금속지붕 공사 / 내부 창호 및 유리 시공)</t>
        </is>
      </c>
      <c r="I30" s="36" t="inlineStr">
        <is>
          <t>시공상세도 및 검측서</t>
        </is>
      </c>
      <c r="J30" s="36" t="inlineStr">
        <is>
          <t>1) 건축구조 설계기준 (KDS 41 00 00): 건축물 내진설계기준, 풍하중 및 차량기지 검수고 피트(Pit) 수밀 방수 시방 적용
2) 금속 지붕 겹침부 누수 및 단열재 습기 취약: 지붕 패널 결속 조인트 코킹 부실로 강우 시 누수 발생 → 지붕 조인트 이중 씰링 수칙 준수.</t>
        </is>
      </c>
      <c r="K30" s="37" t="inlineStr">
        <is>
          <t>👉 [더블클릭] 표준서 열기 📄</t>
        </is>
      </c>
      <c r="L30" s="36" t="inlineStr">
        <is>
          <t>1) 골조 개구부 치수 실측 및 앵커 플레이트 위치 확인
2) 로이 24mm 유리 KS 마크 확인 및 금속 패널 수밀 테이프 수령</t>
        </is>
      </c>
      <c r="M30" s="37" t="inlineStr">
        <is>
          <t>👉 [더블클릭] 수행지침 열기 📄</t>
        </is>
      </c>
      <c r="N30" s="36" t="inlineStr">
        <is>
          <t>1) 창틀 고정 앵커 긴결 및 우레탄 폼 100% 충진 사춤을 확인했는가?
2) 로이 24mm 복층유리(KS L 2003) 및 고임목(Setting Block) 배치를 확인하였는가?</t>
        </is>
      </c>
      <c r="O30" s="37" t="inlineStr">
        <is>
          <t>👉 [더블클릭] 체크리스트 열기 📄</t>
        </is>
      </c>
      <c r="P30" s="35" t="n"/>
      <c r="Q30" s="36" t="inlineStr">
        <is>
          <t>● 창호 기밀성 및 수밀성 성능 검증</t>
        </is>
      </c>
      <c r="R30" s="29" t="inlineStr">
        <is>
          <t>1) 👉 [더블클릭] 체크리스트 열기 📄</t>
        </is>
      </c>
      <c r="S30" s="36" t="n"/>
    </row>
    <row r="31" ht="96" customHeight="1">
      <c r="A31" s="35" t="inlineStr">
        <is>
          <t>9000</t>
        </is>
      </c>
      <c r="B31" s="35" t="inlineStr">
        <is>
          <t>9000-4</t>
        </is>
      </c>
      <c r="C31" s="36" t="inlineStr">
        <is>
          <t>건축</t>
        </is>
      </c>
      <c r="D31" s="35" t="inlineStr">
        <is>
          <t>9000-4-30</t>
        </is>
      </c>
      <c r="E31" s="36" t="inlineStr">
        <is>
          <t>조적공사</t>
        </is>
      </c>
      <c r="F31" s="35" t="inlineStr">
        <is>
          <t>현장소장</t>
        </is>
      </c>
      <c r="G31" s="36" t="inlineStr">
        <is>
          <t>건축물 내부 칸막이 벽체 형성</t>
        </is>
      </c>
      <c r="H31" s="36" t="inlineStr">
        <is>
          <t>시멘트 벽돌 및 블록으로 세대 칸막이 형성 일일 최대 쌓는높이 1.2m(내력벽)</t>
        </is>
      </c>
      <c r="I31" s="36" t="inlineStr">
        <is>
          <t>시멘트 벽돌 및 블록 검측서</t>
        </is>
      </c>
      <c r="J31" s="36" t="inlineStr">
        <is>
          <t>1) 건축구조 설계기준 (KDS 41 00 00): 건축물 내진설계기준, 풍하중 및 차량기지 검수고 피트(Pit) 수밀 방수 시방 적용
2) KCS 41 34 00: 공간 벽체 단열재 고정 핀 및 횡보강 앵커 간격 준수</t>
        </is>
      </c>
      <c r="K31" s="37" t="inlineStr">
        <is>
          <t>👉 [더블클릭] 표준서 열기 📄</t>
        </is>
      </c>
      <c r="L31" s="36" t="inlineStr">
        <is>
          <t>1) 벽돌/블록 축중 시험성적서 확인 및 바탕 청소 먹출 치기
2) 인방보(양단 20cm 걸침) 치수 확인</t>
        </is>
      </c>
      <c r="M31" s="37" t="inlineStr">
        <is>
          <t>👉 [더블클릭] 수행지침 열기 📄</t>
        </is>
      </c>
      <c r="N31" s="36" t="inlineStr">
        <is>
          <t>1) 하루 쌓기 높이 제한(1.2m ~ 1.5m 이하) 준수를 확인하였는가?
2) 개구부 상부 인방보(양단 걸침 ≥ 20cm 이상) 배근 및 시공을 확인했는가?</t>
        </is>
      </c>
      <c r="O31" s="37" t="inlineStr">
        <is>
          <t>👉 [더블클릭] 체크리스트 열기 📄</t>
        </is>
      </c>
      <c r="P31" s="35" t="n"/>
      <c r="Q31" s="36" t="inlineStr">
        <is>
          <t>● 조적 줄눈 및 쌓기 높이 기준 준수</t>
        </is>
      </c>
      <c r="R31" s="29" t="inlineStr">
        <is>
          <t>1) 👉 [더블클릭] 체크리스트 열기 📄</t>
        </is>
      </c>
      <c r="S31" s="36" t="n"/>
    </row>
    <row r="32" ht="115.2" customHeight="1">
      <c r="A32" s="35" t="inlineStr">
        <is>
          <t>9000</t>
        </is>
      </c>
      <c r="B32" s="35" t="inlineStr">
        <is>
          <t>9000-4</t>
        </is>
      </c>
      <c r="C32" s="36" t="inlineStr">
        <is>
          <t>건축</t>
        </is>
      </c>
      <c r="D32" s="35" t="inlineStr">
        <is>
          <t>9000-4-31</t>
        </is>
      </c>
      <c r="E32" s="36" t="inlineStr">
        <is>
          <t>내부 방수공사</t>
        </is>
      </c>
      <c r="F32" s="35" t="inlineStr">
        <is>
          <t>현장소장</t>
        </is>
      </c>
      <c r="G32" s="36" t="inlineStr">
        <is>
          <t>건축물 내부에서 물을 사용하는 실(화장실)등에 누수 방지</t>
        </is>
      </c>
      <c r="H32" s="36" t="inlineStr">
        <is>
          <t>구조물 청소 및 바탕정리후 방수공사 시행(코너부 및 드레인 주위 보강방수 실시)</t>
        </is>
      </c>
      <c r="I32" s="36" t="inlineStr">
        <is>
          <t>방수공사 검측서</t>
        </is>
      </c>
      <c r="J32" s="36" t="inlineStr">
        <is>
          <t>1) 바탕 들뜸에 따른 우레탄 방수층 기포 및 누수: 바탕 수분 미제거 및 먼지 오염 상태 시공으로 방수막 들뜸 하자 발생 → 함수율 8% 미만 검측 수칙 의무화.
2) 건축구조 설계기준 (KDS 41 00 00): 건축물 내진설계기준, 풍하중 및 차량기지 검수고 피트(Pit) 수밀 방수 시방 적용</t>
        </is>
      </c>
      <c r="K32" s="37" t="inlineStr">
        <is>
          <t>👉 [더블클릭] 표준서 열기 📄</t>
        </is>
      </c>
      <c r="L32" s="36" t="inlineStr">
        <is>
          <t>1) 바탕 면 샌딩 연마 및 수분(함수율 ≤8%) 측정
2) 프라이머 도포 및 코너 보강 시트 고정</t>
        </is>
      </c>
      <c r="M32" s="37" t="inlineStr">
        <is>
          <t>👉 [더블클릭] 수행지침 열기 📄</t>
        </is>
      </c>
      <c r="N32" s="36" t="inlineStr">
        <is>
          <t>1) 도막 방수 두께(≥ 2.0 ~ 3.0mm 이상) 및 핀홀 유무를 확인하였는가?
2) 벽체 치켜올림 높이(≥ 300mm 이상) 및 코너 보강 도막을 확인하였는가?</t>
        </is>
      </c>
      <c r="O32" s="37" t="inlineStr">
        <is>
          <t>👉 [더블클릭] 체크리스트 열기 📄</t>
        </is>
      </c>
      <c r="P32" s="35" t="n"/>
      <c r="Q32" s="36" t="inlineStr">
        <is>
          <t>● 방수층 두께 및 담수테스트(24시간) 기준</t>
        </is>
      </c>
      <c r="R32" s="29" t="inlineStr">
        <is>
          <t>1) 👉 [더블클릭] 체크리스트 열기 📄</t>
        </is>
      </c>
      <c r="S32" s="36" t="n"/>
    </row>
    <row r="33" ht="96" customHeight="1">
      <c r="A33" s="35" t="inlineStr">
        <is>
          <t>9000</t>
        </is>
      </c>
      <c r="B33" s="35" t="inlineStr">
        <is>
          <t>9000-4</t>
        </is>
      </c>
      <c r="C33" s="36" t="inlineStr">
        <is>
          <t>건축</t>
        </is>
      </c>
      <c r="D33" s="35" t="inlineStr">
        <is>
          <t>9000-4-32</t>
        </is>
      </c>
      <c r="E33" s="36" t="inlineStr">
        <is>
          <t>미장 및 타일공사</t>
        </is>
      </c>
      <c r="F33" s="35" t="inlineStr">
        <is>
          <t>현장소장</t>
        </is>
      </c>
      <c r="G33" s="36" t="inlineStr">
        <is>
          <t>바탕면이 콘크리트나 조적공사 위에 마감공사 수행(초벌, 재벌, 정벌)</t>
        </is>
      </c>
      <c r="H33" s="36" t="inlineStr">
        <is>
          <t>미장공사는 시멘트와 모래(1:3배합)하여 바탕면에 바르는 작업, 타일공사는 벽면 미장후 타일시공</t>
        </is>
      </c>
      <c r="I33" s="36" t="inlineStr">
        <is>
          <t>미장,타일 검측서</t>
        </is>
      </c>
      <c r="J33" s="36" t="inlineStr">
        <is>
          <t>1) 건축구조 설계기준 (KDS 41 00 00): 건축물 내진설계기준, 풍하중 및 차량기지 검수고 피트(Pit) 수밀 방수 시방 적용
2) KCS 41 48 00: 장애인 점자타일 단차(0mm) 및 바닥 미끄럼 방지(C.O.F ≥ 0.5) 반영</t>
        </is>
      </c>
      <c r="K33" s="37" t="inlineStr">
        <is>
          <t>👉 [더블클릭] 표준서 열기 📄</t>
        </is>
      </c>
      <c r="L33" s="36" t="inlineStr">
        <is>
          <t>1) 타일 샘플 승인서 및 접착제 수검 확인
2) 개량 압착법 타일 부착 ➡️ 줄눈 시공 ➡️ 바닥 보양재 덮기</t>
        </is>
      </c>
      <c r="M33" s="37" t="inlineStr">
        <is>
          <t>👉 [더블클릭] 수행지침 열기 📄</t>
        </is>
      </c>
      <c r="N33" s="36" t="inlineStr">
        <is>
          <t>1) 미장 바탕 평탄도 오차(±2mm 이내) 및 먼지 제거를 확인하였는가?
2) 타일 뒤채움 충진률(벽체 ≥80%, 바닥 ≥90%) 타정음 검사를 실시했는가?</t>
        </is>
      </c>
      <c r="O33" s="37" t="inlineStr">
        <is>
          <t>👉 [더블클릭] 체크리스트 열기 📄</t>
        </is>
      </c>
      <c r="P33" s="35" t="n"/>
      <c r="Q33" s="36" t="inlineStr">
        <is>
          <t>● 미장면 평탄성 및 타일 부착 강도 기준</t>
        </is>
      </c>
      <c r="R33" s="29" t="inlineStr">
        <is>
          <t>1) 👉 [더블클릭] 체크리스트 열기 📄</t>
        </is>
      </c>
      <c r="S33" s="36" t="n"/>
    </row>
    <row r="34" ht="96" customHeight="1">
      <c r="A34" s="35" t="inlineStr">
        <is>
          <t>9000</t>
        </is>
      </c>
      <c r="B34" s="35" t="inlineStr">
        <is>
          <t>9000-4</t>
        </is>
      </c>
      <c r="C34" s="36" t="inlineStr">
        <is>
          <t>건축</t>
        </is>
      </c>
      <c r="D34" s="35" t="inlineStr">
        <is>
          <t>9000-4-33</t>
        </is>
      </c>
      <c r="E34" s="36" t="inlineStr">
        <is>
          <t>수장 및 잡철물공사</t>
        </is>
      </c>
      <c r="F34" s="35" t="inlineStr">
        <is>
          <t>현장소장</t>
        </is>
      </c>
      <c r="G34" s="36" t="inlineStr">
        <is>
          <t>수장공사 : 천정공사, 바닥마감공사, 잡철물 공사 : 도어, 창호 등 설치 공사</t>
        </is>
      </c>
      <c r="H34" s="36" t="inlineStr">
        <is>
          <t>각실의 천정공사(텍스류), 바닥마감공사(비닐계타일),도배공사등을 수행, 잡철물 공사는 각실의 도어, 난간,창호등을 설치하는 공사</t>
        </is>
      </c>
      <c r="I34" s="36" t="inlineStr">
        <is>
          <t>수장 및 잡철물검측서</t>
        </is>
      </c>
      <c r="J34" s="36" t="inlineStr">
        <is>
          <t>1) 건축구조 설계기준 (KDS 41 00 00): 건축물 내진설계기준, 풍하중 및 차량기지 검수고 피트(Pit) 수밀 방수 시방 적용
2) KCS 41 50 00: 실내 건축 수장재 친환경/불연 자재 인증 준수</t>
        </is>
      </c>
      <c r="K34" s="37" t="inlineStr">
        <is>
          <t>👉 [더블클릭] 표준서 열기 📄</t>
        </is>
      </c>
      <c r="L34" s="36" t="inlineStr">
        <is>
          <t>1) 이중바닥 평탄도(오차 ±1mm 이내) 및 난간 횡하중(1.0kN/m) 검측 승인
2) 관제실 Access Floor 배관 패스 동선 및 지지대 높이 실측</t>
        </is>
      </c>
      <c r="M34" s="37" t="inlineStr">
        <is>
          <t>👉 [더블클릭] 수행지침 열기 📄</t>
        </is>
      </c>
      <c r="N34" s="36" t="inlineStr">
        <is>
          <t>1) OCC 관제실 Access Floor 집중하중(≥ 5.0kN) 시험성적서를 확인했는가?
2) Access Floor 수평 오차(±1mm 이내) 및 지진 내진 앵커 고정을 확인하였는가?</t>
        </is>
      </c>
      <c r="O34" s="37" t="inlineStr">
        <is>
          <t>👉 [더블클릭] 체크리스트 열기 📄</t>
        </is>
      </c>
      <c r="P34" s="35" t="n"/>
      <c r="Q34" s="36" t="inlineStr">
        <is>
          <t>● 실별 마감 재료 규격 만족</t>
        </is>
      </c>
      <c r="R34" s="29" t="inlineStr">
        <is>
          <t>1) 👉 [더블클릭] 체크리스트 열기 📄</t>
        </is>
      </c>
      <c r="S34" s="36" t="n"/>
    </row>
    <row r="35" ht="115.2" customHeight="1">
      <c r="A35" s="35" t="inlineStr">
        <is>
          <t>9000</t>
        </is>
      </c>
      <c r="B35" s="35" t="inlineStr">
        <is>
          <t>9000-4</t>
        </is>
      </c>
      <c r="C35" s="36" t="inlineStr">
        <is>
          <t>건축</t>
        </is>
      </c>
      <c r="D35" s="35" t="inlineStr">
        <is>
          <t>9000-4-34</t>
        </is>
      </c>
      <c r="E35" s="36" t="inlineStr">
        <is>
          <t>도장공사</t>
        </is>
      </c>
      <c r="F35" s="35" t="inlineStr">
        <is>
          <t>현장소장</t>
        </is>
      </c>
      <c r="G35" s="36" t="inlineStr">
        <is>
          <t>미장면, 석고보드위에 도장공사 수행</t>
        </is>
      </c>
      <c r="H35" s="36" t="inlineStr">
        <is>
          <t>도장재 (붓, 롤러등)로 벽면에 시공</t>
        </is>
      </c>
      <c r="I35" s="36" t="inlineStr">
        <is>
          <t>도장공사 검측서</t>
        </is>
      </c>
      <c r="J35" s="36" t="inlineStr">
        <is>
          <t>1) 건축구조 설계기준 (KDS 41 00 00): 건축물 내진설계기준, 풍하중 및 차량기지 검수고 피트(Pit) 수밀 방수 시방 적용
2) 내화도료 도막 두께 미달 및 박리: 철골 샌드블라스팅 녹 미제거 및 인정 도막 두께 미달 시공으로 내화 성능 부적합 판정 → 건조 막후 전수 측정.</t>
        </is>
      </c>
      <c r="K35" s="37" t="inlineStr">
        <is>
          <t>👉 [더블클릭] 표준서 열기 📄</t>
        </is>
      </c>
      <c r="L35" s="36" t="inlineStr">
        <is>
          <t>1) 철골 구조체 내화도료 지정 두께 시공 ➡️ 건조 도막 두께 측적
2) 내화도료 인정 막후 측정 수검 승인 및 도장 마감 상태 확인</t>
        </is>
      </c>
      <c r="M35" s="37" t="inlineStr">
        <is>
          <t>👉 [더블클릭] 수행지침 열기 📄</t>
        </is>
      </c>
      <c r="N35" s="36" t="inlineStr">
        <is>
          <t>1) 바탕 면수분 함수율(≤8% 이하) 및 먼지 청소 상태를 확인하였는가?
2) 철골 내화도료 인정서 제시 건조 도막 두께 전수 검측을 완료하였는가?</t>
        </is>
      </c>
      <c r="O35" s="37" t="inlineStr">
        <is>
          <t>👉 [더블클릭] 체크리스트 열기 📄</t>
        </is>
      </c>
      <c r="P35" s="35" t="n"/>
      <c r="Q35" s="36" t="inlineStr">
        <is>
          <t>● 도장 도막 두께 및 색상 균일성 기준</t>
        </is>
      </c>
      <c r="R35" s="29" t="inlineStr">
        <is>
          <t>1) 👉 [더블클릭] 체크리스트 열기 📄</t>
        </is>
      </c>
      <c r="S35" s="36" t="n"/>
    </row>
    <row r="36" ht="115.2" customHeight="1">
      <c r="A36" s="35" t="inlineStr">
        <is>
          <t>9000</t>
        </is>
      </c>
      <c r="B36" s="35" t="inlineStr">
        <is>
          <t>9000-4</t>
        </is>
      </c>
      <c r="C36" s="36" t="inlineStr">
        <is>
          <t>건축</t>
        </is>
      </c>
      <c r="D36" s="35" t="inlineStr">
        <is>
          <t>9000-4-35</t>
        </is>
      </c>
      <c r="E36" s="36" t="inlineStr">
        <is>
          <t>인테리어 및 무대공사</t>
        </is>
      </c>
      <c r="F36" s="35" t="inlineStr">
        <is>
          <t>현장소장</t>
        </is>
      </c>
      <c r="G36" s="36" t="inlineStr">
        <is>
          <t>내부 선반, 주방가구, 설치작업 등 내부 인테리어 및 무대공사</t>
        </is>
      </c>
      <c r="H36" s="36" t="inlineStr">
        <is>
          <t>추가로 발생되는 건축공사에 적합한 자재 반입, 검수 및 시공</t>
        </is>
      </c>
      <c r="I36" s="36" t="inlineStr">
        <is>
          <t>각 공종 검측서</t>
        </is>
      </c>
      <c r="J36" s="36" t="inlineStr">
        <is>
          <t>1) 방염 필름 처리 누락으로 소방 완공검사 지연: 무대 및 실내 목재 마감재 방염 현장 시험 누락으로 소방 인허가 차질 발생 → KFI 방염필름 100% 검측 수칙 적용.
2) 건축구조 설계기준 (KDS 41 00 00): 건축물 내진설계기준, 풍하중 및 차량기지 검수고 피트(Pit) 수밀 방수 시방 적용</t>
        </is>
      </c>
      <c r="K36" s="37" t="inlineStr">
        <is>
          <t>👉 [더블클릭] 표준서 열기 📄</t>
        </is>
      </c>
      <c r="L36" s="36" t="inlineStr">
        <is>
          <t>1) 방음재 흡음 계수(NRC ≥0.7) 및 KFI 방염필름 수검 확인
2) 소방법 방염성능검사 필증 수령 및 인테리어 마감 검측 승인</t>
        </is>
      </c>
      <c r="M36" s="37" t="inlineStr">
        <is>
          <t>👉 [더블클릭] 수행지침 열기 📄</t>
        </is>
      </c>
      <c r="N36" s="36" t="inlineStr">
        <is>
          <t>1) 실내 목재/장식물 KFI 방염성능 검사필증 부착을 확인했는가?
2) 무대 단상 경량 철골 구조 수평 오차(±2mm 이내)를 검측했는가?</t>
        </is>
      </c>
      <c r="O36" s="37" t="inlineStr">
        <is>
          <t>👉 [더블클릭] 체크리스트 열기 📄</t>
        </is>
      </c>
      <c r="P36" s="35" t="n"/>
      <c r="Q36" s="36" t="inlineStr">
        <is>
          <t>● 내부 인테리어 설계 도서 준수</t>
        </is>
      </c>
      <c r="R36" s="29" t="inlineStr">
        <is>
          <t>1) 👉 [더블클릭] 체크리스트 열기 📄</t>
        </is>
      </c>
      <c r="S36" s="36" t="n"/>
    </row>
    <row r="37" ht="115.2" customHeight="1">
      <c r="A37" s="35" t="inlineStr">
        <is>
          <t>9000</t>
        </is>
      </c>
      <c r="B37" s="35" t="inlineStr">
        <is>
          <t>9000-4</t>
        </is>
      </c>
      <c r="C37" s="36" t="inlineStr">
        <is>
          <t>건축</t>
        </is>
      </c>
      <c r="D37" s="35" t="inlineStr">
        <is>
          <t>9000-4-36</t>
        </is>
      </c>
      <c r="E37" s="36" t="inlineStr">
        <is>
          <t>준공전 건축 인허가</t>
        </is>
      </c>
      <c r="F37" s="35" t="inlineStr">
        <is>
          <t>현장소장</t>
        </is>
      </c>
      <c r="G37" s="36" t="inlineStr">
        <is>
          <t>관련법에 따라 준공전 건축인허가 완료</t>
        </is>
      </c>
      <c r="H37" s="36" t="inlineStr">
        <is>
          <t>승강기 설치신고, 저수조 설치신고, 정화조 및 오수처리시설 신고, 전기사용전 검사 신청, 승강기 설치검사 신고/안, 배수설비 신고, 정보통신 사용전 승인 신청, 정화조 및 오수처리 준공 신청제, 급수공사 신청, 업무대행 건축사 현장확인 신청 -&gt; 관할지자체, 건축물 사용승인, 건축물대장 등재</t>
        </is>
      </c>
      <c r="I37" s="36" t="inlineStr">
        <is>
          <t>인허가 신고 / 승인 문서</t>
        </is>
      </c>
      <c r="J37" s="36" t="inlineStr">
        <is>
          <t>1) 건축구조 설계기준 (KDS 41 00 00): 건축물 내진설계기준, 풍하중 및 차량기지 검수고 피트(Pit) 수밀 방수 시방 적용
2) 관계 기관 인허가 필증 지연에 따른 개통 차질: 승강기 및 소방 완공필증 수령 지연으로 사용승인 접수 반려 → 준공 60일 전 행정 마일스톤 가동.</t>
        </is>
      </c>
      <c r="K37" s="37" t="inlineStr">
        <is>
          <t>👉 [더블클릭] 표준서 열기 📄</t>
        </is>
      </c>
      <c r="L37" s="36" t="inlineStr">
        <is>
          <t>1) 사용승인 신청 접수증 수령 및 화성시 세움터 최종 승인 검측
2) 준공전 60일 전 인허가 체크리스트 작성 및 관계 기관 유선 협의</t>
        </is>
      </c>
      <c r="M37" s="37" t="inlineStr">
        <is>
          <t>👉 [더블클릭] 수행지침 열기 📄</t>
        </is>
      </c>
      <c r="N37" s="36" t="inlineStr">
        <is>
          <t>1) 소방시설 완공검사 증명서 수령을 확인하였는가?
2) 정보통신공사 사용전검사 필증 및 승강기 설치검사 합격증을 수령했는가?</t>
        </is>
      </c>
      <c r="O37" s="37" t="inlineStr">
        <is>
          <t>👉 [더블클릭] 체크리스트 열기 📄</t>
        </is>
      </c>
      <c r="P37" s="35" t="n"/>
      <c r="Q37" s="36" t="inlineStr">
        <is>
          <t>● 관련 법규(건축법, 하수도법 등) 준수</t>
        </is>
      </c>
      <c r="R37" s="29" t="inlineStr">
        <is>
          <t>1) 👉 [더블클릭] 체크리스트 열기 📄</t>
        </is>
      </c>
      <c r="S37" s="36" t="n"/>
    </row>
    <row r="38" ht="134.4" customHeight="1">
      <c r="A38" s="35" t="inlineStr">
        <is>
          <t>9000</t>
        </is>
      </c>
      <c r="B38" s="35" t="inlineStr">
        <is>
          <t>9000-4</t>
        </is>
      </c>
      <c r="C38" s="36" t="inlineStr">
        <is>
          <t>건축</t>
        </is>
      </c>
      <c r="D38" s="35" t="inlineStr">
        <is>
          <t>9000-4-37</t>
        </is>
      </c>
      <c r="E38" s="36" t="inlineStr">
        <is>
          <t>소방시설공사 완공검사</t>
        </is>
      </c>
      <c r="F38" s="35" t="inlineStr">
        <is>
          <t>현장소장</t>
        </is>
      </c>
      <c r="G38" s="36" t="inlineStr">
        <is>
          <t>소방시설 완공검사 신청</t>
        </is>
      </c>
      <c r="H38" s="36" t="inlineStr">
        <is>
          <t>현장 -&gt; 관할소방서 및 지자체 소방시설공사법 제14조
- 서식: 별지 제17호 서식
- 제출후 처리기간 3일 이내</t>
        </is>
      </c>
      <c r="I38" s="36" t="inlineStr">
        <is>
          <t>소방시설 완공검사 증명서</t>
        </is>
      </c>
      <c r="J38" s="36" t="inlineStr">
        <is>
          <t>1) 가스계 소방 구역 룸인티그리티 미달로 지적: 변전소 케이블 트레이 관통부 밀폐 부실로 소방서 현장 완공검사 불합격 → 방수/내화 폼 100% 밀폐 후 룸인티그리티 수검.
2) 건축구조 설계기준 (KDS 41 00 00): 건축물 내진설계기준, 풍하중 및 차량기지 검수고 피트(Pit) 수밀 방수 시방 적용</t>
        </is>
      </c>
      <c r="K38" s="37" t="inlineStr">
        <is>
          <t>👉 [더블클릭] 표준서 열기 📄</t>
        </is>
      </c>
      <c r="L38" s="36" t="inlineStr">
        <is>
          <t>1) 소방 시뮬레이션 테스트 100% 실시 및 룸인티그리티(N50) 시험성적서 준수
2) 소방 관할 관서 완공검사 신청서 제출</t>
        </is>
      </c>
      <c r="M38" s="37" t="inlineStr">
        <is>
          <t>👉 [더블클릭] 수행지침 열기 📄</t>
        </is>
      </c>
      <c r="N38" s="36" t="inlineStr">
        <is>
          <t>1) 옥내소화전 방수압(≥0.17 MPa) 및 펌프 자동 연동 구동을 확인하였는가?
2) 스프링클러 감지기 2구획 교차회로 연동 및 제연팬 풍량을 수검했는가?</t>
        </is>
      </c>
      <c r="O38" s="37" t="inlineStr">
        <is>
          <t>👉 [더블클릭] 체크리스트 열기 📄</t>
        </is>
      </c>
      <c r="P38" s="35" t="n"/>
      <c r="Q38" s="36" t="inlineStr">
        <is>
          <t>● 소방시설공사법 제14조</t>
        </is>
      </c>
      <c r="R38" s="29" t="inlineStr">
        <is>
          <t>1) 👉 [더블클릭] 체크리스트 열기 📄</t>
        </is>
      </c>
      <c r="S38" s="36" t="n"/>
    </row>
    <row r="39" ht="115.2" customHeight="1">
      <c r="A39" s="35" t="inlineStr">
        <is>
          <t>9000</t>
        </is>
      </c>
      <c r="B39" s="35" t="inlineStr">
        <is>
          <t>9000-4</t>
        </is>
      </c>
      <c r="C39" s="36" t="inlineStr">
        <is>
          <t>건축</t>
        </is>
      </c>
      <c r="D39" s="35" t="inlineStr">
        <is>
          <t>9000-4-38</t>
        </is>
      </c>
      <c r="E39" s="36" t="inlineStr">
        <is>
          <t>승강기 설치 신고서 제출</t>
        </is>
      </c>
      <c r="F39" s="35" t="inlineStr">
        <is>
          <t>현장소장</t>
        </is>
      </c>
      <c r="G39" s="36" t="inlineStr">
        <is>
          <t>승강기 설치 신고</t>
        </is>
      </c>
      <c r="H39" s="36" t="inlineStr">
        <is>
          <t>현장 -&gt; 승강기 안전공단, 승강기 안전관리법 제27조
- 서식: 별지 제22호 서식
- 제출후 처리기간 7일 이내</t>
        </is>
      </c>
      <c r="I39" s="36" t="inlineStr">
        <is>
          <t>승강기 설치 신고필증</t>
        </is>
      </c>
      <c r="J39" s="36" t="inlineStr">
        <is>
          <t>1) 승강기 피트 수밀 방수 누락으로 신고 보완 지적: 승강기 피트 바닥 우수 유입으로 안전공단 지적 발생 → 피트 100% 수밀 도막 방수 후 신고.
2) 건축구조 설계기준 (KDS 41 00 00): 건축물 내진설계기준, 풍하중 및 차량기지 검수고 피트(Pit) 수밀 방수 시방 적용</t>
        </is>
      </c>
      <c r="K39" s="37" t="inlineStr">
        <is>
          <t>👉 [더블클릭] 표준서 열기 📄</t>
        </is>
      </c>
      <c r="L39" s="36" t="inlineStr">
        <is>
          <t>1) 승강기 자율안전확인 부품 인증서 및 도면 준비
2) 피트 구조 안전 및 수밀 방수 현장 검측</t>
        </is>
      </c>
      <c r="M39" s="37" t="inlineStr">
        <is>
          <t>👉 [더블클릭] 수행지침 열기 📄</t>
        </is>
      </c>
      <c r="N39" s="36" t="inlineStr">
        <is>
          <t>1) 승강기 자율안전확인 부품 인증서 및 제조 도면 승인을 확인하였는가?
2) 승강기 설치 신고 수리증 발급 및 보관을 확인하였는가?</t>
        </is>
      </c>
      <c r="O39" s="37" t="inlineStr">
        <is>
          <t>👉 [더블클릭] 체크리스트 열기 📄</t>
        </is>
      </c>
      <c r="P39" s="35" t="n"/>
      <c r="Q39" s="36" t="inlineStr">
        <is>
          <t>● 승강기 안전관리법 제27조</t>
        </is>
      </c>
      <c r="R39" s="29" t="inlineStr">
        <is>
          <t>1) 👉 [더블클릭] 체크리스트 열기 📄</t>
        </is>
      </c>
      <c r="S39" s="36" t="n"/>
    </row>
    <row r="40" ht="115.2" customHeight="1">
      <c r="A40" s="35" t="inlineStr">
        <is>
          <t>9000</t>
        </is>
      </c>
      <c r="B40" s="35" t="inlineStr">
        <is>
          <t>9000-4</t>
        </is>
      </c>
      <c r="C40" s="36" t="inlineStr">
        <is>
          <t>건축</t>
        </is>
      </c>
      <c r="D40" s="35" t="inlineStr">
        <is>
          <t>9000-4-39</t>
        </is>
      </c>
      <c r="E40" s="36" t="inlineStr">
        <is>
          <t>저수조 설치현황 신고서 제출</t>
        </is>
      </c>
      <c r="F40" s="35" t="inlineStr">
        <is>
          <t>현장소장</t>
        </is>
      </c>
      <c r="G40" s="36" t="inlineStr">
        <is>
          <t>저수조 청소 신고</t>
        </is>
      </c>
      <c r="H40" s="36" t="inlineStr">
        <is>
          <t>현장 -&gt; 저수조업체 -&gt; 관할지자체, 수도법 제33조(위생상의 조치)
- 서식: 별지 제12호 서식</t>
        </is>
      </c>
      <c r="I40" s="36" t="inlineStr">
        <is>
          <t>저수조 설치 신고필증</t>
        </is>
      </c>
      <c r="J40" s="36" t="inlineStr">
        <is>
          <t>1) 저수조 통기구 방충망 미비로 위생 지적: 통기구 및 맨홀 이중 락 장치 누락으로 수도사업소 현장 검사 보완 지적 → 수도법 위생 관리 기준 100% 반영.
2) 건축구조 설계기준 (KDS 41 00 00): 건축물 내진설계기준, 풍하중 및 차량기지 검수고 피트(Pit) 수밀 방수 시방 적용</t>
        </is>
      </c>
      <c r="K40" s="37" t="inlineStr">
        <is>
          <t>👉 [더블클릭] 표준서 열기 📄</t>
        </is>
      </c>
      <c r="L40" s="36" t="inlineStr">
        <is>
          <t>1) 저수조 구조 이격거리(상부 1.0m, 주위 0.6m 이상) 실측 검측
2) 저수조 위생 부속품(월류관 방충망, 이중 잠금장치) 100% 시공</t>
        </is>
      </c>
      <c r="M40" s="37" t="inlineStr">
        <is>
          <t>👉 [더블클릭] 수행지침 열기 📄</t>
        </is>
      </c>
      <c r="N40" s="36" t="inlineStr">
        <is>
          <t>1) 저수조 구조 이격거리(상부 ≥1.0m, 주위 ≥0.6m)를 실측 확인하였는가?
2) 수도법 제33조 저수조 설치 신고 수리 완료 확인</t>
        </is>
      </c>
      <c r="O40" s="37" t="inlineStr">
        <is>
          <t>👉 [더블클릭] 체크리스트 열기 📄</t>
        </is>
      </c>
      <c r="P40" s="35" t="n"/>
      <c r="Q40" s="36" t="inlineStr">
        <is>
          <t>● 수도법 제33조</t>
        </is>
      </c>
      <c r="R40" s="29" t="inlineStr">
        <is>
          <t>1) 👉 [더블클릭] 체크리스트 열기 📄</t>
        </is>
      </c>
      <c r="S40" s="36" t="n"/>
    </row>
    <row r="41" ht="115.2" customHeight="1">
      <c r="A41" s="35" t="inlineStr">
        <is>
          <t>9000</t>
        </is>
      </c>
      <c r="B41" s="35" t="inlineStr">
        <is>
          <t>9000-4</t>
        </is>
      </c>
      <c r="C41" s="36" t="inlineStr">
        <is>
          <t>건축</t>
        </is>
      </c>
      <c r="D41" s="35" t="inlineStr">
        <is>
          <t>9000-4-40</t>
        </is>
      </c>
      <c r="E41" s="36" t="inlineStr">
        <is>
          <t>오수처리시설 / 정화조 설치 신고서 제출</t>
        </is>
      </c>
      <c r="F41" s="35" t="inlineStr">
        <is>
          <t>현장소장</t>
        </is>
      </c>
      <c r="G41" s="36" t="inlineStr">
        <is>
          <t>정화조 및 오수 처리시설 신고</t>
        </is>
      </c>
      <c r="H41" s="36" t="inlineStr">
        <is>
          <t>현장 -&gt; 관할지자체, 하수도법 제34조
- 서식: 별지 제13호 서식
- 제출후 처리기간 5일 이내</t>
        </is>
      </c>
      <c r="I41" s="36" t="inlineStr">
        <is>
          <t>오수처리시설/정화조 설치 신고필증</t>
        </is>
      </c>
      <c r="J41" s="36" t="inlineStr">
        <is>
          <t>1) 건축구조 설계기준 (KDS 41 00 00): 건축물 내진설계기준, 풍하중 및 차량기지 검수고 피트(Pit) 수밀 방수 시방 적용
2) 계획 오수량 계산 착오로 설치 신고 보완 지적: 피트 검수 수량 미반영으로 오수 처리 용량 부족 지적 → 하수도법 기준 정밀 계산서 첨부.</t>
        </is>
      </c>
      <c r="K41" s="37" t="inlineStr">
        <is>
          <t>👉 [더블클릭] 표준서 열기 📄</t>
        </is>
      </c>
      <c r="L41" s="36" t="inlineStr">
        <is>
          <t>1) 부상 방지 앵커 체결 및 오수관 연결 시공
2) 정화조 설치 신고 수리증 보관 및 후속 준공검사 준비</t>
        </is>
      </c>
      <c r="M41" s="37" t="inlineStr">
        <is>
          <t>👉 [더블클릭] 수행지침 열기 📄</t>
        </is>
      </c>
      <c r="N41" s="36" t="inlineStr">
        <is>
          <t>1) 계획 오수량 계산서 및 처리 용량 시험성적서를 확인했는가?
2) 화성시 환경과 오수처리시설 설치 신고 접수 및 수리증 수령을 확인하였는가?</t>
        </is>
      </c>
      <c r="O41" s="37" t="inlineStr">
        <is>
          <t>👉 [더블클릭] 체크리스트 열기 📄</t>
        </is>
      </c>
      <c r="P41" s="35" t="n"/>
      <c r="Q41" s="36" t="inlineStr">
        <is>
          <t>● 하수도법 제34조</t>
        </is>
      </c>
      <c r="R41" s="29" t="inlineStr">
        <is>
          <t>1) 👉 [더블클릭] 체크리스트 열기 📄</t>
        </is>
      </c>
      <c r="S41" s="36" t="n"/>
    </row>
    <row r="42" ht="115.2" customHeight="1">
      <c r="A42" s="35" t="inlineStr">
        <is>
          <t>9000</t>
        </is>
      </c>
      <c r="B42" s="35" t="inlineStr">
        <is>
          <t>9000-4</t>
        </is>
      </c>
      <c r="C42" s="36" t="inlineStr">
        <is>
          <t>건축</t>
        </is>
      </c>
      <c r="D42" s="35" t="inlineStr">
        <is>
          <t>9000-4-41</t>
        </is>
      </c>
      <c r="E42" s="36" t="inlineStr">
        <is>
          <t>전기사용전 검사</t>
        </is>
      </c>
      <c r="F42" s="35" t="inlineStr">
        <is>
          <t>현장소장</t>
        </is>
      </c>
      <c r="G42" s="36" t="inlineStr">
        <is>
          <t>전기사용전 검사 신청</t>
        </is>
      </c>
      <c r="H42" s="36" t="inlineStr">
        <is>
          <t>현장 -&gt; 한국전기안전공사, 전기안전관리법 제9조(사용전검사)
- 서식: 별지 제4호 서식</t>
        </is>
      </c>
      <c r="I42" s="36" t="inlineStr">
        <is>
          <t>전기사용전 검사 필증</t>
        </is>
      </c>
      <c r="J42" s="36" t="inlineStr">
        <is>
          <t>1) 건축구조 설계기준 (KDS 41 00 00): 건축물 내진설계기준, 풍하중 및 차량기지 검수고 피트(Pit) 수밀 방수 시방 적용
2) 접지저항 기준 미달로 사용전검사 재검사: 변전실 통합 접지 저항치 초과로 전기안전공사 현장 지적 발생 → 접지극 보강재 추가 시공 후 재측정.</t>
        </is>
      </c>
      <c r="K42" s="37" t="inlineStr">
        <is>
          <t>👉 [더블클릭] 표준서 열기 📄</t>
        </is>
      </c>
      <c r="L42" s="36" t="inlineStr">
        <is>
          <t>1) 전기안전공사 수배전반 내전압, 비상발전기 차단기 현장 입석 검측 동행
2) 접지저항(≤10Ω) 및 절연저항(≥1.0MΩ) 사전 1차 측정 시험성적서 작성</t>
        </is>
      </c>
      <c r="M42" s="37" t="inlineStr">
        <is>
          <t>👉 [더블클릭] 수행지침 열기 📄</t>
        </is>
      </c>
      <c r="N42" s="36" t="inlineStr">
        <is>
          <t>1) 수배전반 내전압 및 비상발전기 차단기 연동 동작을 수검했는가?
2) 전기사업법 제63조 전기사용전 합격증 보관 확인 완료</t>
        </is>
      </c>
      <c r="O42" s="37" t="inlineStr">
        <is>
          <t>👉 [더블클릭] 체크리스트 열기 📄</t>
        </is>
      </c>
      <c r="P42" s="35" t="n"/>
      <c r="Q42" s="36" t="inlineStr">
        <is>
          <t>● 전기안전관리법 제9조</t>
        </is>
      </c>
      <c r="R42" s="29" t="inlineStr">
        <is>
          <t>1) 👉 [더블클릭] 체크리스트 열기 📄</t>
        </is>
      </c>
      <c r="S42" s="36" t="n"/>
    </row>
    <row r="43" ht="115.2" customHeight="1">
      <c r="A43" s="35" t="inlineStr">
        <is>
          <t>9000</t>
        </is>
      </c>
      <c r="B43" s="35" t="inlineStr">
        <is>
          <t>9000-4</t>
        </is>
      </c>
      <c r="C43" s="36" t="inlineStr">
        <is>
          <t>건축</t>
        </is>
      </c>
      <c r="D43" s="35" t="inlineStr">
        <is>
          <t>9000-4-42</t>
        </is>
      </c>
      <c r="E43" s="36" t="inlineStr">
        <is>
          <t>승강기 설치검사</t>
        </is>
      </c>
      <c r="F43" s="35" t="inlineStr">
        <is>
          <t>현장소장</t>
        </is>
      </c>
      <c r="G43" s="36" t="inlineStr">
        <is>
          <t>승강기 설치검사 신청</t>
        </is>
      </c>
      <c r="H43" s="36" t="inlineStr">
        <is>
          <t>현장 -&gt; 한국승강기안전공단, 승강기 안전관리법 제28조(승강기 설치)
- 서식: 별지 제23호 서식
- 제출후 처리기간 15일 이내</t>
        </is>
      </c>
      <c r="I43" s="36" t="inlineStr">
        <is>
          <t>승강기 사용필증, 합격증보고서</t>
        </is>
      </c>
      <c r="J43" s="36" t="inlineStr">
        <is>
          <t>1) 건축구조 설계기준 (KDS 41 00 00): 건축물 내진설계기준, 풍하중 및 차량기지 검수고 피트(Pit) 수밀 방수 시방 적용
2) 비상 통화 장치 인터폰 통신 부실로 불합격: 종합관제실 연결 통화음 노이즈 지적 발생 → 통신 선로 전용 쉴드 케이블 전환 보완.</t>
        </is>
      </c>
      <c r="K43" s="37" t="inlineStr">
        <is>
          <t>👉 [더블클릭] 표준서 열기 📄</t>
        </is>
      </c>
      <c r="L43" s="36" t="inlineStr">
        <is>
          <t>1) KoELSA 검사원 입석 비상제동, 문挟임, 110% 과부하 정지 현장 검측
2) 자체 종합 주행 및 비상통화 인터폰 선로 1차 시험 완료</t>
        </is>
      </c>
      <c r="M43" s="37" t="inlineStr">
        <is>
          <t>👉 [더블클릭] 수행지침 열기 📄</t>
        </is>
      </c>
      <c r="N43" s="36" t="inlineStr">
        <is>
          <t>1) % 과부하 정지 및 비상 제동 장치(Safety Gear) 연동을 확인하였는가?
2) 문 挟임 방지 센서 감지 장애물 정지 및 도어 세이프티 슈를 수검했는가?</t>
        </is>
      </c>
      <c r="O43" s="37" t="inlineStr">
        <is>
          <t>👉 [더블클릭] 체크리스트 열기 📄</t>
        </is>
      </c>
      <c r="P43" s="35" t="n"/>
      <c r="Q43" s="36" t="inlineStr">
        <is>
          <t>● 승강기 안전관리법 제28조</t>
        </is>
      </c>
      <c r="R43" s="29" t="inlineStr">
        <is>
          <t>1) 👉 [더블클릭] 체크리스트 열기 📄</t>
        </is>
      </c>
      <c r="S43" s="36" t="n"/>
    </row>
    <row r="44" ht="115.2" customHeight="1">
      <c r="A44" s="35" t="inlineStr">
        <is>
          <t>9000</t>
        </is>
      </c>
      <c r="B44" s="35" t="inlineStr">
        <is>
          <t>9000-4</t>
        </is>
      </c>
      <c r="C44" s="36" t="inlineStr">
        <is>
          <t>건축</t>
        </is>
      </c>
      <c r="D44" s="35" t="inlineStr">
        <is>
          <t>9000-4-43</t>
        </is>
      </c>
      <c r="E44" s="36" t="inlineStr">
        <is>
          <t>배수설비 설치 신고서 제출</t>
        </is>
      </c>
      <c r="F44" s="35" t="inlineStr">
        <is>
          <t>현장소장</t>
        </is>
      </c>
      <c r="G44" s="36" t="inlineStr">
        <is>
          <t>배수설비 사용 신청</t>
        </is>
      </c>
      <c r="H44" s="36" t="inlineStr">
        <is>
          <t>현장 -&gt; 관할지자체/하수도법 제27조/별지 제7호 서식/제출후 처리기간 7일 이내</t>
        </is>
      </c>
      <c r="I44" s="36" t="inlineStr">
        <is>
          <t>배수설비 사용필증</t>
        </is>
      </c>
      <c r="J44" s="36" t="inlineStr">
        <is>
          <t>1) 건축구조 설계기준 (KDS 41 00 00): 건축물 내진설계기준, 풍하중 및 차량기지 검수고 피트(Pit) 수밀 방수 시방 적용
2) 배수관 구배 역구배로 악취 및 정체: 공공 하수도 접속부 침하로 배수 정체 발생 → 연결부 수준 측량 및 수밀 테스트 의무화.</t>
        </is>
      </c>
      <c r="K44" s="37" t="inlineStr">
        <is>
          <t>👉 [더블클릭] 표준서 열기 📄</t>
        </is>
      </c>
      <c r="L44" s="36" t="inlineStr">
        <is>
          <t>1) 지자체 수리 통보 수령 ➡️ 배수관 굴착 및 하수도 맨홀 접합 시공
2) CCTV 관로 내부 촬영 및 수밀성 확인</t>
        </is>
      </c>
      <c r="M44" s="37" t="inlineStr">
        <is>
          <t>👉 [더블클릭] 수행지침 열기 📄</t>
        </is>
      </c>
      <c r="N44" s="36" t="inlineStr">
        <is>
          <t>1) 배수관 유입 구배(≥1/100 이상) 측량을 확인하였는가?
2) CCTV 관로 탐사 수밀성 검사 및 성과표를 대조했는가?</t>
        </is>
      </c>
      <c r="O44" s="37" t="inlineStr">
        <is>
          <t>👉 [더블클릭] 체크리스트 열기 📄</t>
        </is>
      </c>
      <c r="P44" s="35" t="n"/>
      <c r="Q44" s="36" t="inlineStr">
        <is>
          <t>● 하수도법 제27조</t>
        </is>
      </c>
      <c r="R44" s="29" t="inlineStr">
        <is>
          <t>1) 👉 [더블클릭] 체크리스트 열기 📄</t>
        </is>
      </c>
      <c r="S44" s="36" t="n"/>
    </row>
    <row r="45" ht="96" customHeight="1">
      <c r="A45" s="35" t="inlineStr">
        <is>
          <t>9000</t>
        </is>
      </c>
      <c r="B45" s="35" t="inlineStr">
        <is>
          <t>9000-4</t>
        </is>
      </c>
      <c r="C45" s="36" t="inlineStr">
        <is>
          <t>건축</t>
        </is>
      </c>
      <c r="D45" s="35" t="inlineStr">
        <is>
          <t>9000-4-44</t>
        </is>
      </c>
      <c r="E45" s="36" t="inlineStr">
        <is>
          <t>정보통신공사 사용전검사</t>
        </is>
      </c>
      <c r="F45" s="35" t="inlineStr">
        <is>
          <t>현장소장</t>
        </is>
      </c>
      <c r="G45" s="36" t="inlineStr">
        <is>
          <t>정보통신 설치 사용전 검사신청</t>
        </is>
      </c>
      <c r="H45" s="36" t="inlineStr">
        <is>
          <t>현장 -&gt; 관할지자체, 정보통신공사업 시행령 제36조
- 서식: 해당 법 별지 제9호 서식
- 제출후 처리기간 14일 이내</t>
        </is>
      </c>
      <c r="I45" s="36" t="inlineStr">
        <is>
          <t>정보통신사용전 검사필증</t>
        </is>
      </c>
      <c r="J45" s="36" t="inlineStr">
        <is>
          <t>1) 건축구조 설계기준 (KDS 41 00 00): 건축물 내진설계기준, 풍하중 및 차량기지 검수고 피트(Pit) 수밀 방수 시방 적용
2) 정보통신공사업법 제36조: 구내통신선로 설비 기술기준 100% 반영</t>
        </is>
      </c>
      <c r="K45" s="37" t="inlineStr">
        <is>
          <t>👉 [더블클릭] 표준서 열기 📄</t>
        </is>
      </c>
      <c r="L45" s="36" t="inlineStr">
        <is>
          <t>1) 지자체 검사원 현장 서과 입석 단말 신호 및 배관 관로 동행 검측
2) 광케이블 OTDR 손실(≤0.1dB) 및 UTP Cat.6 랜 계측 성적표 1차 완료</t>
        </is>
      </c>
      <c r="M45" s="37" t="inlineStr">
        <is>
          <t>👉 [더블클릭] 수행지침 열기 📄</t>
        </is>
      </c>
      <c r="N45" s="36" t="inlineStr">
        <is>
          <t>1) 광케이블 접속 손실(≤0.1dB) 및 OTDR 광손실 성적표를 확인하였는가?
2) 전선관 배관 충진률(40% 이하 준수)을 확인하였는가?</t>
        </is>
      </c>
      <c r="O45" s="37" t="inlineStr">
        <is>
          <t>👉 [더블클릭] 체크리스트 열기 📄</t>
        </is>
      </c>
      <c r="P45" s="35" t="n"/>
      <c r="Q45" s="36" t="inlineStr">
        <is>
          <t>● 정보통신공사업 시행령 제36조</t>
        </is>
      </c>
      <c r="R45" s="29" t="inlineStr">
        <is>
          <t>1) 👉 [더블클릭] 체크리스트 열기 📄</t>
        </is>
      </c>
      <c r="S45" s="36" t="n"/>
    </row>
    <row r="46" ht="115.2" customHeight="1">
      <c r="A46" s="35" t="inlineStr">
        <is>
          <t>9000</t>
        </is>
      </c>
      <c r="B46" s="35" t="inlineStr">
        <is>
          <t>9000-4</t>
        </is>
      </c>
      <c r="C46" s="36" t="inlineStr">
        <is>
          <t>건축</t>
        </is>
      </c>
      <c r="D46" s="35" t="inlineStr">
        <is>
          <t>9000-4-45</t>
        </is>
      </c>
      <c r="E46" s="36" t="inlineStr">
        <is>
          <t>오수처리시설 / 정화조 준공검사</t>
        </is>
      </c>
      <c r="F46" s="35" t="inlineStr">
        <is>
          <t>현장소장</t>
        </is>
      </c>
      <c r="G46" s="36" t="inlineStr">
        <is>
          <t>정화조 사용 신청</t>
        </is>
      </c>
      <c r="H46" s="36" t="inlineStr">
        <is>
          <t>현장 -&gt; 관할지자체, 하수도법 제37조
- 서식: 해당 법 별지 제15호 서식
- 제출후 처리기간 5일 이내</t>
        </is>
      </c>
      <c r="I46" s="36" t="inlineStr">
        <is>
          <t>오수처리시설 / 정화조 준공필증</t>
        </is>
      </c>
      <c r="J46" s="36" t="inlineStr">
        <is>
          <t>1) 건축구조 설계기준 (KDS 41 00 00): 건축물 내진설계기준, 풍하중 및 차량기지 검수고 피트(Pit) 수밀 방수 시방 적용
2) 폭기조 미생물 미식재로 방류수 수질 부적합: 준공검사 전 초기 폭기조 미생물 인큘레이션 미흡으로 BOD 초과 재검사 → 미생물 접종 시운전 의무화.</t>
        </is>
      </c>
      <c r="K46" s="37" t="inlineStr">
        <is>
          <t>👉 [더블클릭] 표준서 열기 📄</t>
        </is>
      </c>
      <c r="L46" s="36" t="inlineStr">
        <is>
          <t>1) 시간 만수 담수 수밀 성과표 작성 및 미생물 활성화 시운전
2) 화성시 환경과 준공검사 신청서 제출</t>
        </is>
      </c>
      <c r="M46" s="37" t="inlineStr">
        <is>
          <t>👉 [더블클릭] 수행지침 열기 📄</t>
        </is>
      </c>
      <c r="N46" s="36" t="inlineStr">
        <is>
          <t>1) 정화조 수조 24시간 만수 담수 시험(누수 0mm)을 확인했는가?
2) 블로어(Blower) 폭기조 미생물 활성화 시운전을 수검했는가?</t>
        </is>
      </c>
      <c r="O46" s="37" t="inlineStr">
        <is>
          <t>👉 [더블클릭] 체크리스트 열기 📄</t>
        </is>
      </c>
      <c r="P46" s="35" t="n"/>
      <c r="Q46" s="36" t="inlineStr">
        <is>
          <t>● 하수도법 제37조</t>
        </is>
      </c>
      <c r="R46" s="29" t="inlineStr">
        <is>
          <t>1) 👉 [더블클릭] 체크리스트 열기 📄</t>
        </is>
      </c>
      <c r="S46" s="36" t="n"/>
    </row>
    <row r="47" ht="115.2" customHeight="1">
      <c r="A47" s="35" t="inlineStr">
        <is>
          <t>9000</t>
        </is>
      </c>
      <c r="B47" s="35" t="inlineStr">
        <is>
          <t>9000-4</t>
        </is>
      </c>
      <c r="C47" s="36" t="inlineStr">
        <is>
          <t>건축</t>
        </is>
      </c>
      <c r="D47" s="35" t="inlineStr">
        <is>
          <t>9000-4-46</t>
        </is>
      </c>
      <c r="E47" s="36" t="inlineStr">
        <is>
          <t>급수공사 신청서 제출</t>
        </is>
      </c>
      <c r="F47" s="35" t="inlineStr">
        <is>
          <t>현장소장</t>
        </is>
      </c>
      <c r="G47" s="36" t="inlineStr">
        <is>
          <t>급수 사용 신청</t>
        </is>
      </c>
      <c r="H47" s="36" t="inlineStr">
        <is>
          <t>현장 -&gt; 관할지자체, 수도 조례 시행규칙
- 서식: 해당 법 별지 제1호 서식</t>
        </is>
      </c>
      <c r="I47" s="36" t="inlineStr">
        <is>
          <t>급수 사용허가 문서</t>
        </is>
      </c>
      <c r="J47" s="36" t="inlineStr">
        <is>
          <t>1) 건축구조 설계기준 (KDS 41 00 00): 건축물 내진설계기준, 풍하중 및 차량기지 검수고 피트(Pit) 수밀 방수 시방 적용
2) 상수도 원인자 부담금 산정 지연: 지자체 처리 기한 미고려로 계량기 설치 지연 → 사용승인 전 30일 급수 신청 수칙 적용.</t>
        </is>
      </c>
      <c r="K47" s="37" t="inlineStr">
        <is>
          <t>👉 [더블클릭] 표준서 열기 📄</t>
        </is>
      </c>
      <c r="L47" s="36" t="inlineStr">
        <is>
          <t>1) 상수도 계량기 구설 인입 위치 실측 및 신청 서류 준비
2) 화성시 맑은물사업소 급수공사 신청서 접수</t>
        </is>
      </c>
      <c r="M47" s="37" t="inlineStr">
        <is>
          <t>👉 [더블클릭] 수행지침 열기 📄</t>
        </is>
      </c>
      <c r="N47" s="36" t="inlineStr">
        <is>
          <t>1) 원인자 부담금 납부 영수증 및 고지서 보관을 확인했는가?
2) 급수 인입 수압(0.2 ~ 0.4 MPa) 통수 시험을 확인하였는가?</t>
        </is>
      </c>
      <c r="O47" s="37" t="inlineStr">
        <is>
          <t>👉 [더블클릭] 체크리스트 열기 📄</t>
        </is>
      </c>
      <c r="P47" s="35" t="n"/>
      <c r="Q47" s="36" t="inlineStr">
        <is>
          <t>● 수도 조례 시행규칙</t>
        </is>
      </c>
      <c r="R47" s="29" t="inlineStr">
        <is>
          <t>1) 👉 [더블클릭] 체크리스트 열기 📄</t>
        </is>
      </c>
      <c r="S47" s="36" t="n"/>
    </row>
    <row r="48" ht="115.2" customHeight="1">
      <c r="A48" s="35" t="inlineStr">
        <is>
          <t>9000</t>
        </is>
      </c>
      <c r="B48" s="35" t="inlineStr">
        <is>
          <t>9000-4</t>
        </is>
      </c>
      <c r="C48" s="36" t="inlineStr">
        <is>
          <t>건축</t>
        </is>
      </c>
      <c r="D48" s="35" t="inlineStr">
        <is>
          <t>9000-4-47</t>
        </is>
      </c>
      <c r="E48" s="36" t="inlineStr">
        <is>
          <t>업무대행 건축사 사용승인 검사</t>
        </is>
      </c>
      <c r="F48" s="35" t="inlineStr">
        <is>
          <t>건축사</t>
        </is>
      </c>
      <c r="G48" s="36" t="inlineStr">
        <is>
          <t>업무대행 건축사 확인후 사용승인</t>
        </is>
      </c>
      <c r="H48" s="36" t="inlineStr">
        <is>
          <t>현장 -&gt; 관할지자체, 건축법시행령 제20조(현장조사검사 및 확인 업무대행)
- 서식: 해당 법 별지 제17호 서식</t>
        </is>
      </c>
      <c r="I48" s="36" t="inlineStr">
        <is>
          <t>건축물 사용승인 알림 [공문]</t>
        </is>
      </c>
      <c r="J48" s="36" t="inlineStr">
        <is>
          <t>1) 건축구조 설계기준 (KDS 41 00 00): 건축물 내진설계기준, 풍하중 및 차량기지 검수고 피트(Pit) 수밀 방수 시방 적용
2) 조경 식재 본수 및 장애인 램프 구배 부적합 지적: 업무대행 건축사 검사 시 조경 수목 하자로 보완 지적 발생 → 현장 1차 예비 점검 준수.</t>
        </is>
      </c>
      <c r="K48" s="37" t="inlineStr">
        <is>
          <t>👉 [더블클릭] 표준서 열기 📄</t>
        </is>
      </c>
      <c r="L48" s="36" t="inlineStr">
        <is>
          <t>1) 자체 1차 현장 예비 점검(주차, 조경, 피난, 장애인 시설)
2) 지정 업무대행 건축사 현장 일정 조율</t>
        </is>
      </c>
      <c r="M48" s="37" t="inlineStr">
        <is>
          <t>👉 [더블클릭] 수행지침 열기 📄</t>
        </is>
      </c>
      <c r="N48" s="36" t="inlineStr">
        <is>
          <t>1) 장애인 램프 유효폭(≥1.2m) 및 경사도(≤1/12 이하)를 실측 확인하였는가?
2) 조경 수목 식재 본수 및 수종이 허가 도과 100% 일치함을 점검했는가?</t>
        </is>
      </c>
      <c r="O48" s="37" t="inlineStr">
        <is>
          <t>👉 [더블클릭] 체크리스트 열기 📄</t>
        </is>
      </c>
      <c r="P48" s="35" t="n"/>
      <c r="Q48" s="36" t="inlineStr">
        <is>
          <t>● 건축법시행령 제20조</t>
        </is>
      </c>
      <c r="R48" s="29" t="inlineStr">
        <is>
          <t>1) 👉 [더블클릭] 체크리스트 열기 📄</t>
        </is>
      </c>
      <c r="S48" s="36" t="n"/>
    </row>
    <row r="49" ht="115.2" customHeight="1">
      <c r="A49" s="35" t="inlineStr">
        <is>
          <t>9000</t>
        </is>
      </c>
      <c r="B49" s="35" t="inlineStr">
        <is>
          <t>9000-4</t>
        </is>
      </c>
      <c r="C49" s="36" t="inlineStr">
        <is>
          <t>건축</t>
        </is>
      </c>
      <c r="D49" s="35" t="inlineStr">
        <is>
          <t>9000-4-48</t>
        </is>
      </c>
      <c r="E49" s="36" t="inlineStr">
        <is>
          <t>건축물 사용승인 신청</t>
        </is>
      </c>
      <c r="F49" s="35" t="inlineStr">
        <is>
          <t>현장소장</t>
        </is>
      </c>
      <c r="G49" s="36" t="inlineStr">
        <is>
          <t>건축물 사용승인 신청</t>
        </is>
      </c>
      <c r="H49" s="36" t="inlineStr">
        <is>
          <t>현장 -&gt; 관할지자체, 건축법 제22조(건축물의 사용승인)
- 서식: 해당 법 별지 제17호 서식
- 제출후 처리기간 7일 이내</t>
        </is>
      </c>
      <c r="I49" s="36" t="inlineStr">
        <is>
          <t>건축물 사용승인 알림 [공문]</t>
        </is>
      </c>
      <c r="J49" s="36" t="inlineStr">
        <is>
          <t>1) 건축구조 설계기준 (KDS 41 00 00): 건축물 내진설계기준, 풍하중 및 차량기지 검수고 피트(Pit) 수밀 방수 시방 적용
2) 관계 기관 필증 스캔본 서류 누락으로 사용승인 반려: 사용전 검사 필증 스캔 파일 누락으로 세움터 보완 지적 발생 → 접수 전 3중 파일 검증 수칙 준수.</t>
        </is>
      </c>
      <c r="K49" s="37" t="inlineStr">
        <is>
          <t>👉 [더블클릭] 표준서 열기 📄</t>
        </is>
      </c>
      <c r="L49" s="36" t="inlineStr">
        <is>
          <t>1) 관계 기관 인허가 필증(소방, 통신, 승강기, 전기, 오수) 100% 스캔 준비
2) 업무대행 건축사 검사 조서 및 As-built 준공도면 세움터 세팅</t>
        </is>
      </c>
      <c r="M49" s="37" t="inlineStr">
        <is>
          <t>👉 [더블클릭] 수행지침 열기 📄</t>
        </is>
      </c>
      <c r="N49" s="36" t="inlineStr">
        <is>
          <t>1) 소방완공, 통신사용전, 승강기합격, 전기사용전, 오수준공 필증 스캔 100% 구비를 확인하였는가?
2) 업무대행 건축사 검사 조서 및 책임감리 완료 보고서 업로드를 확인했는가?</t>
        </is>
      </c>
      <c r="O49" s="37" t="inlineStr">
        <is>
          <t>👉 [더블클릭] 체크리스트 열기 📄</t>
        </is>
      </c>
      <c r="P49" s="35" t="n"/>
      <c r="Q49" s="36" t="inlineStr">
        <is>
          <t>● 건축법 제22조</t>
        </is>
      </c>
      <c r="R49" s="29" t="inlineStr">
        <is>
          <t>1) 👉 [더블클릭] 체크리스트 열기 📄</t>
        </is>
      </c>
      <c r="S49" s="36" t="n"/>
    </row>
    <row r="50" ht="115.2" customHeight="1">
      <c r="A50" s="35" t="inlineStr">
        <is>
          <t>9000</t>
        </is>
      </c>
      <c r="B50" s="35" t="inlineStr">
        <is>
          <t>9000-4</t>
        </is>
      </c>
      <c r="C50" s="36" t="inlineStr">
        <is>
          <t>건축</t>
        </is>
      </c>
      <c r="D50" s="35" t="inlineStr">
        <is>
          <t>9000-4-49</t>
        </is>
      </c>
      <c r="E50" s="36" t="inlineStr">
        <is>
          <t>건축물대장 등재</t>
        </is>
      </c>
      <c r="F50" s="35" t="inlineStr">
        <is>
          <t>현장 및 지자체</t>
        </is>
      </c>
      <c r="G50" s="36" t="inlineStr">
        <is>
          <t>건축물대장 등재</t>
        </is>
      </c>
      <c r="H50" s="36" t="inlineStr">
        <is>
          <t>현장 -&gt; 관할지자체 -&gt; 관할지자체, 건축물대장의 기재 12조, 처리기간 7일 이내</t>
        </is>
      </c>
      <c r="I50" s="36" t="inlineStr">
        <is>
          <t>건축물 대장 등재 확인</t>
        </is>
      </c>
      <c r="J50" s="36" t="inlineStr">
        <is>
          <t>1) 건축구조 설계기준 (KDS 41 00 00): 건축물 내진설계기준, 풍하중 및 차량기지 검수고 피트(Pit) 수밀 방수 시방 적용
2) 지적 현황 측량 경계 오차로 대장 등재 보완 지적: 건물 외곽선 오차로 대장 등재 처리 지연 → LX 정밀 지적 측량 선행 수칙 준수.</t>
        </is>
      </c>
      <c r="K50" s="37" t="inlineStr">
        <is>
          <t>👉 [더블클릭] 표준서 열기 📄</t>
        </is>
      </c>
      <c r="L50" s="36" t="inlineStr">
        <is>
          <t>1) LX 국토정보공사 지적 현황 측량 성과도 수령
2) 층별 현황 평면도 CAD 도면 세움터 맵핑 검토</t>
        </is>
      </c>
      <c r="M50" s="37" t="inlineStr">
        <is>
          <t>👉 [더블클릭] 수행지침 열기 📄</t>
        </is>
      </c>
      <c r="N50" s="36" t="inlineStr">
        <is>
          <t>1) LX 지적 현황 측량 성과도 수령을 확인하였는가?
2) 세움터 건축물대장 층별 현황 평면도 CAD 맵핑을 완료했는가?</t>
        </is>
      </c>
      <c r="O50" s="37" t="inlineStr">
        <is>
          <t>👉 [더블클릭] 체크리스트 열기 📄</t>
        </is>
      </c>
      <c r="P50" s="35" t="n"/>
      <c r="Q50" s="36" t="inlineStr">
        <is>
          <t>● 건축물대장의 기재 및 관리 등에 관한 규칙 제12조</t>
        </is>
      </c>
      <c r="R50" s="29" t="inlineStr">
        <is>
          <t>1) 👉 [더블클릭] 체크리스트 열기 📄</t>
        </is>
      </c>
      <c r="S50" s="36" t="n"/>
    </row>
    <row r="51" ht="134.4" customHeight="1">
      <c r="A51" s="35" t="inlineStr">
        <is>
          <t>9000</t>
        </is>
      </c>
      <c r="B51" s="35" t="inlineStr">
        <is>
          <t>9000-4</t>
        </is>
      </c>
      <c r="C51" s="36" t="inlineStr">
        <is>
          <t>건축</t>
        </is>
      </c>
      <c r="D51" s="35" t="inlineStr">
        <is>
          <t>9000-4-50</t>
        </is>
      </c>
      <c r="E51" s="36" t="inlineStr">
        <is>
          <t>후속 구조물 인계</t>
        </is>
      </c>
      <c r="F51" s="35" t="inlineStr">
        <is>
          <t>현장소장</t>
        </is>
      </c>
      <c r="G51" s="36" t="inlineStr">
        <is>
          <t>유지관리기관에 인계</t>
        </is>
      </c>
      <c r="H51" s="36" t="inlineStr">
        <is>
          <t>건축 인허가 서류 및 준공도서 인계
- 건축인허가 서류: 승강기 사용필증, 소방시설 완공검사 증명서, 전기사용전 검사 필증 등
- 준공도서: 준공도면, 시방서, 내역서, 각종 계산서(구조 등), 유지관리 지침서 등
- 유지관리기관 준공전 검사 수행 및 잔손보기(지적 조치 등)</t>
        </is>
      </c>
      <c r="I51" s="36" t="inlineStr">
        <is>
          <t>유지관리기관 인수인계서, 건축 인허가 서류, 준공도서</t>
        </is>
      </c>
      <c r="J51" s="36" t="inlineStr">
        <is>
          <t>1) 인수 후 미설치 지적 사항에 따른 열쇠 인계 거부: 피트 드레인 청소구 및 가스계 소방 마스터키 분실로 인수 인계 차질 → 열쇠 및 예비 자재 태그 명부 100% 작성.
2) 건축구조 설계기준 (KDS 41 00 00): 건축물 내진설계기준, 풍하중 및 차량기지 검수고 피트(Pit) 수밀 방수 시방 적용</t>
        </is>
      </c>
      <c r="K51" s="37" t="inlineStr">
        <is>
          <t>👉 [더블클릭] 표준서 열기 📄</t>
        </is>
      </c>
      <c r="L51" s="36" t="inlineStr">
        <is>
          <t>1) 건축 구조물 4자(발주처/운영사/감리/시공사) 예비점검 지적 사항 보수 100% 완료
2) O&amp;M 운용유지관리 매뉴얼, As-built 준공도서 팩 바인더 세팅</t>
        </is>
      </c>
      <c r="M51" s="37" t="inlineStr">
        <is>
          <t>👉 [더블클릭] 수행지침 열기 📄</t>
        </is>
      </c>
      <c r="N51" s="36" t="inlineStr">
        <is>
          <t>1) 하자보수 보증증권(3~5%) 발주처 최종 이관을 확인하였는가?
2) 건설기술진흥법 시행령 제91조 시설물 인계인수 완료 확인</t>
        </is>
      </c>
      <c r="O51" s="37" t="inlineStr">
        <is>
          <t>👉 [더블클릭] 체크리스트 열기 📄</t>
        </is>
      </c>
      <c r="P51" s="35" t="n"/>
      <c r="Q51" s="36" t="inlineStr">
        <is>
          <t>● 인수인계 및 시설물 유지관리 기준 준수</t>
        </is>
      </c>
      <c r="R51" s="29" t="inlineStr">
        <is>
          <t>1) 👉 [더블클릭] 체크리스트 열기 📄</t>
        </is>
      </c>
      <c r="S51" s="36" t="n"/>
    </row>
  </sheetData>
  <hyperlinks>
    <hyperlink xmlns:r="http://schemas.openxmlformats.org/officeDocument/2006/relationships" ref="K2" r:id="rId1"/>
    <hyperlink xmlns:r="http://schemas.openxmlformats.org/officeDocument/2006/relationships" ref="M2" r:id="rId2"/>
    <hyperlink xmlns:r="http://schemas.openxmlformats.org/officeDocument/2006/relationships" ref="O2" r:id="rId3"/>
    <hyperlink xmlns:r="http://schemas.openxmlformats.org/officeDocument/2006/relationships" ref="K3" r:id="rId4"/>
    <hyperlink xmlns:r="http://schemas.openxmlformats.org/officeDocument/2006/relationships" ref="M3" r:id="rId5"/>
    <hyperlink xmlns:r="http://schemas.openxmlformats.org/officeDocument/2006/relationships" ref="O3" r:id="rId6"/>
    <hyperlink xmlns:r="http://schemas.openxmlformats.org/officeDocument/2006/relationships" ref="K4" r:id="rId7"/>
    <hyperlink xmlns:r="http://schemas.openxmlformats.org/officeDocument/2006/relationships" ref="M4" r:id="rId8"/>
    <hyperlink xmlns:r="http://schemas.openxmlformats.org/officeDocument/2006/relationships" ref="O4" r:id="rId9"/>
    <hyperlink xmlns:r="http://schemas.openxmlformats.org/officeDocument/2006/relationships" ref="K5" r:id="rId10"/>
    <hyperlink xmlns:r="http://schemas.openxmlformats.org/officeDocument/2006/relationships" ref="M5" r:id="rId11"/>
    <hyperlink xmlns:r="http://schemas.openxmlformats.org/officeDocument/2006/relationships" ref="O5" r:id="rId12"/>
    <hyperlink xmlns:r="http://schemas.openxmlformats.org/officeDocument/2006/relationships" ref="K6" r:id="rId13"/>
    <hyperlink xmlns:r="http://schemas.openxmlformats.org/officeDocument/2006/relationships" ref="M6" r:id="rId14"/>
    <hyperlink xmlns:r="http://schemas.openxmlformats.org/officeDocument/2006/relationships" ref="O6" r:id="rId15"/>
    <hyperlink xmlns:r="http://schemas.openxmlformats.org/officeDocument/2006/relationships" ref="K7" r:id="rId16"/>
    <hyperlink xmlns:r="http://schemas.openxmlformats.org/officeDocument/2006/relationships" ref="M7" r:id="rId17"/>
    <hyperlink xmlns:r="http://schemas.openxmlformats.org/officeDocument/2006/relationships" ref="O7" r:id="rId18"/>
    <hyperlink xmlns:r="http://schemas.openxmlformats.org/officeDocument/2006/relationships" ref="K8" r:id="rId19"/>
    <hyperlink xmlns:r="http://schemas.openxmlformats.org/officeDocument/2006/relationships" ref="M8" r:id="rId20"/>
    <hyperlink xmlns:r="http://schemas.openxmlformats.org/officeDocument/2006/relationships" ref="O8" r:id="rId21"/>
    <hyperlink xmlns:r="http://schemas.openxmlformats.org/officeDocument/2006/relationships" ref="K9" r:id="rId22"/>
    <hyperlink xmlns:r="http://schemas.openxmlformats.org/officeDocument/2006/relationships" ref="M9" r:id="rId23"/>
    <hyperlink xmlns:r="http://schemas.openxmlformats.org/officeDocument/2006/relationships" ref="O9" r:id="rId24"/>
    <hyperlink xmlns:r="http://schemas.openxmlformats.org/officeDocument/2006/relationships" ref="K10" r:id="rId25"/>
    <hyperlink xmlns:r="http://schemas.openxmlformats.org/officeDocument/2006/relationships" ref="M10" r:id="rId26"/>
    <hyperlink xmlns:r="http://schemas.openxmlformats.org/officeDocument/2006/relationships" ref="O10" r:id="rId27"/>
    <hyperlink xmlns:r="http://schemas.openxmlformats.org/officeDocument/2006/relationships" ref="K11" r:id="rId28"/>
    <hyperlink xmlns:r="http://schemas.openxmlformats.org/officeDocument/2006/relationships" ref="M11" r:id="rId29"/>
    <hyperlink xmlns:r="http://schemas.openxmlformats.org/officeDocument/2006/relationships" ref="O11" r:id="rId30"/>
    <hyperlink xmlns:r="http://schemas.openxmlformats.org/officeDocument/2006/relationships" ref="K12" r:id="rId31"/>
    <hyperlink xmlns:r="http://schemas.openxmlformats.org/officeDocument/2006/relationships" ref="M12" r:id="rId32"/>
    <hyperlink xmlns:r="http://schemas.openxmlformats.org/officeDocument/2006/relationships" ref="O12" r:id="rId33"/>
    <hyperlink xmlns:r="http://schemas.openxmlformats.org/officeDocument/2006/relationships" ref="K13" r:id="rId34"/>
    <hyperlink xmlns:r="http://schemas.openxmlformats.org/officeDocument/2006/relationships" ref="M13" r:id="rId35"/>
    <hyperlink xmlns:r="http://schemas.openxmlformats.org/officeDocument/2006/relationships" ref="O13" r:id="rId36"/>
    <hyperlink xmlns:r="http://schemas.openxmlformats.org/officeDocument/2006/relationships" ref="K14" r:id="rId37"/>
    <hyperlink xmlns:r="http://schemas.openxmlformats.org/officeDocument/2006/relationships" ref="M14" r:id="rId38"/>
    <hyperlink xmlns:r="http://schemas.openxmlformats.org/officeDocument/2006/relationships" ref="O14" r:id="rId39"/>
    <hyperlink xmlns:r="http://schemas.openxmlformats.org/officeDocument/2006/relationships" ref="K15" r:id="rId40"/>
    <hyperlink xmlns:r="http://schemas.openxmlformats.org/officeDocument/2006/relationships" ref="M15" r:id="rId41"/>
    <hyperlink xmlns:r="http://schemas.openxmlformats.org/officeDocument/2006/relationships" ref="O15" r:id="rId42"/>
    <hyperlink xmlns:r="http://schemas.openxmlformats.org/officeDocument/2006/relationships" ref="K16" r:id="rId43"/>
    <hyperlink xmlns:r="http://schemas.openxmlformats.org/officeDocument/2006/relationships" ref="M16" r:id="rId44"/>
    <hyperlink xmlns:r="http://schemas.openxmlformats.org/officeDocument/2006/relationships" ref="O16" r:id="rId45"/>
    <hyperlink xmlns:r="http://schemas.openxmlformats.org/officeDocument/2006/relationships" ref="K17" r:id="rId46"/>
    <hyperlink xmlns:r="http://schemas.openxmlformats.org/officeDocument/2006/relationships" ref="M17" r:id="rId47"/>
    <hyperlink xmlns:r="http://schemas.openxmlformats.org/officeDocument/2006/relationships" ref="O17" r:id="rId48"/>
    <hyperlink xmlns:r="http://schemas.openxmlformats.org/officeDocument/2006/relationships" ref="K18" r:id="rId49"/>
    <hyperlink xmlns:r="http://schemas.openxmlformats.org/officeDocument/2006/relationships" ref="M18" r:id="rId50"/>
    <hyperlink xmlns:r="http://schemas.openxmlformats.org/officeDocument/2006/relationships" ref="O18" r:id="rId51"/>
    <hyperlink xmlns:r="http://schemas.openxmlformats.org/officeDocument/2006/relationships" ref="K19" r:id="rId52"/>
    <hyperlink xmlns:r="http://schemas.openxmlformats.org/officeDocument/2006/relationships" ref="M19" r:id="rId53"/>
    <hyperlink xmlns:r="http://schemas.openxmlformats.org/officeDocument/2006/relationships" ref="O19" r:id="rId54"/>
    <hyperlink xmlns:r="http://schemas.openxmlformats.org/officeDocument/2006/relationships" ref="K20" r:id="rId55"/>
    <hyperlink xmlns:r="http://schemas.openxmlformats.org/officeDocument/2006/relationships" ref="M20" r:id="rId56"/>
    <hyperlink xmlns:r="http://schemas.openxmlformats.org/officeDocument/2006/relationships" ref="O20" r:id="rId57"/>
    <hyperlink xmlns:r="http://schemas.openxmlformats.org/officeDocument/2006/relationships" ref="K21" r:id="rId58"/>
    <hyperlink xmlns:r="http://schemas.openxmlformats.org/officeDocument/2006/relationships" ref="M21" r:id="rId59"/>
    <hyperlink xmlns:r="http://schemas.openxmlformats.org/officeDocument/2006/relationships" ref="O21" r:id="rId60"/>
    <hyperlink xmlns:r="http://schemas.openxmlformats.org/officeDocument/2006/relationships" ref="K22" r:id="rId61"/>
    <hyperlink xmlns:r="http://schemas.openxmlformats.org/officeDocument/2006/relationships" ref="M22" r:id="rId62"/>
    <hyperlink xmlns:r="http://schemas.openxmlformats.org/officeDocument/2006/relationships" ref="O22" r:id="rId63"/>
    <hyperlink xmlns:r="http://schemas.openxmlformats.org/officeDocument/2006/relationships" ref="K23" r:id="rId64"/>
    <hyperlink xmlns:r="http://schemas.openxmlformats.org/officeDocument/2006/relationships" ref="M23" r:id="rId65"/>
    <hyperlink xmlns:r="http://schemas.openxmlformats.org/officeDocument/2006/relationships" ref="O23" r:id="rId66"/>
    <hyperlink xmlns:r="http://schemas.openxmlformats.org/officeDocument/2006/relationships" ref="K24" r:id="rId67"/>
    <hyperlink xmlns:r="http://schemas.openxmlformats.org/officeDocument/2006/relationships" ref="M24" r:id="rId68"/>
    <hyperlink xmlns:r="http://schemas.openxmlformats.org/officeDocument/2006/relationships" ref="O24" r:id="rId69"/>
    <hyperlink xmlns:r="http://schemas.openxmlformats.org/officeDocument/2006/relationships" ref="K25" r:id="rId70"/>
    <hyperlink xmlns:r="http://schemas.openxmlformats.org/officeDocument/2006/relationships" ref="M25" r:id="rId71"/>
    <hyperlink xmlns:r="http://schemas.openxmlformats.org/officeDocument/2006/relationships" ref="O25" r:id="rId72"/>
    <hyperlink xmlns:r="http://schemas.openxmlformats.org/officeDocument/2006/relationships" ref="K26" r:id="rId73"/>
    <hyperlink xmlns:r="http://schemas.openxmlformats.org/officeDocument/2006/relationships" ref="M26" r:id="rId74"/>
    <hyperlink xmlns:r="http://schemas.openxmlformats.org/officeDocument/2006/relationships" ref="O26" r:id="rId75"/>
    <hyperlink xmlns:r="http://schemas.openxmlformats.org/officeDocument/2006/relationships" ref="K27" r:id="rId76"/>
    <hyperlink xmlns:r="http://schemas.openxmlformats.org/officeDocument/2006/relationships" ref="M27" r:id="rId77"/>
    <hyperlink xmlns:r="http://schemas.openxmlformats.org/officeDocument/2006/relationships" ref="O27" r:id="rId78"/>
    <hyperlink xmlns:r="http://schemas.openxmlformats.org/officeDocument/2006/relationships" ref="K28" r:id="rId79"/>
    <hyperlink xmlns:r="http://schemas.openxmlformats.org/officeDocument/2006/relationships" ref="M28" r:id="rId80"/>
    <hyperlink xmlns:r="http://schemas.openxmlformats.org/officeDocument/2006/relationships" ref="O28" r:id="rId81"/>
    <hyperlink xmlns:r="http://schemas.openxmlformats.org/officeDocument/2006/relationships" ref="K29" r:id="rId82"/>
    <hyperlink xmlns:r="http://schemas.openxmlformats.org/officeDocument/2006/relationships" ref="M29" r:id="rId83"/>
    <hyperlink xmlns:r="http://schemas.openxmlformats.org/officeDocument/2006/relationships" ref="O29" r:id="rId84"/>
    <hyperlink xmlns:r="http://schemas.openxmlformats.org/officeDocument/2006/relationships" ref="K30" r:id="rId85"/>
    <hyperlink xmlns:r="http://schemas.openxmlformats.org/officeDocument/2006/relationships" ref="M30" r:id="rId86"/>
    <hyperlink xmlns:r="http://schemas.openxmlformats.org/officeDocument/2006/relationships" ref="O30" r:id="rId87"/>
    <hyperlink xmlns:r="http://schemas.openxmlformats.org/officeDocument/2006/relationships" ref="K31" r:id="rId88"/>
    <hyperlink xmlns:r="http://schemas.openxmlformats.org/officeDocument/2006/relationships" ref="M31" r:id="rId89"/>
    <hyperlink xmlns:r="http://schemas.openxmlformats.org/officeDocument/2006/relationships" ref="O31" r:id="rId90"/>
    <hyperlink xmlns:r="http://schemas.openxmlformats.org/officeDocument/2006/relationships" ref="K32" r:id="rId91"/>
    <hyperlink xmlns:r="http://schemas.openxmlformats.org/officeDocument/2006/relationships" ref="M32" r:id="rId92"/>
    <hyperlink xmlns:r="http://schemas.openxmlformats.org/officeDocument/2006/relationships" ref="O32" r:id="rId93"/>
    <hyperlink xmlns:r="http://schemas.openxmlformats.org/officeDocument/2006/relationships" ref="K33" r:id="rId94"/>
    <hyperlink xmlns:r="http://schemas.openxmlformats.org/officeDocument/2006/relationships" ref="M33" r:id="rId95"/>
    <hyperlink xmlns:r="http://schemas.openxmlformats.org/officeDocument/2006/relationships" ref="O33" r:id="rId96"/>
    <hyperlink xmlns:r="http://schemas.openxmlformats.org/officeDocument/2006/relationships" ref="K34" r:id="rId97"/>
    <hyperlink xmlns:r="http://schemas.openxmlformats.org/officeDocument/2006/relationships" ref="M34" r:id="rId98"/>
    <hyperlink xmlns:r="http://schemas.openxmlformats.org/officeDocument/2006/relationships" ref="O34" r:id="rId99"/>
    <hyperlink xmlns:r="http://schemas.openxmlformats.org/officeDocument/2006/relationships" ref="K35" r:id="rId100"/>
    <hyperlink xmlns:r="http://schemas.openxmlformats.org/officeDocument/2006/relationships" ref="M35" r:id="rId101"/>
    <hyperlink xmlns:r="http://schemas.openxmlformats.org/officeDocument/2006/relationships" ref="O35" r:id="rId102"/>
    <hyperlink xmlns:r="http://schemas.openxmlformats.org/officeDocument/2006/relationships" ref="K36" r:id="rId103"/>
    <hyperlink xmlns:r="http://schemas.openxmlformats.org/officeDocument/2006/relationships" ref="M36" r:id="rId104"/>
    <hyperlink xmlns:r="http://schemas.openxmlformats.org/officeDocument/2006/relationships" ref="O36" r:id="rId105"/>
    <hyperlink xmlns:r="http://schemas.openxmlformats.org/officeDocument/2006/relationships" ref="K37" r:id="rId106"/>
    <hyperlink xmlns:r="http://schemas.openxmlformats.org/officeDocument/2006/relationships" ref="M37" r:id="rId107"/>
    <hyperlink xmlns:r="http://schemas.openxmlformats.org/officeDocument/2006/relationships" ref="O37" r:id="rId108"/>
    <hyperlink xmlns:r="http://schemas.openxmlformats.org/officeDocument/2006/relationships" ref="K38" r:id="rId109"/>
    <hyperlink xmlns:r="http://schemas.openxmlformats.org/officeDocument/2006/relationships" ref="M38" r:id="rId110"/>
    <hyperlink xmlns:r="http://schemas.openxmlformats.org/officeDocument/2006/relationships" ref="O38" r:id="rId111"/>
    <hyperlink xmlns:r="http://schemas.openxmlformats.org/officeDocument/2006/relationships" ref="K39" r:id="rId112"/>
    <hyperlink xmlns:r="http://schemas.openxmlformats.org/officeDocument/2006/relationships" ref="M39" r:id="rId113"/>
    <hyperlink xmlns:r="http://schemas.openxmlformats.org/officeDocument/2006/relationships" ref="O39" r:id="rId114"/>
    <hyperlink xmlns:r="http://schemas.openxmlformats.org/officeDocument/2006/relationships" ref="K40" r:id="rId115"/>
    <hyperlink xmlns:r="http://schemas.openxmlformats.org/officeDocument/2006/relationships" ref="M40" r:id="rId116"/>
    <hyperlink xmlns:r="http://schemas.openxmlformats.org/officeDocument/2006/relationships" ref="O40" r:id="rId117"/>
    <hyperlink xmlns:r="http://schemas.openxmlformats.org/officeDocument/2006/relationships" ref="K41" r:id="rId118"/>
    <hyperlink xmlns:r="http://schemas.openxmlformats.org/officeDocument/2006/relationships" ref="M41" r:id="rId119"/>
    <hyperlink xmlns:r="http://schemas.openxmlformats.org/officeDocument/2006/relationships" ref="O41" r:id="rId120"/>
    <hyperlink xmlns:r="http://schemas.openxmlformats.org/officeDocument/2006/relationships" ref="K42" r:id="rId121"/>
    <hyperlink xmlns:r="http://schemas.openxmlformats.org/officeDocument/2006/relationships" ref="M42" r:id="rId122"/>
    <hyperlink xmlns:r="http://schemas.openxmlformats.org/officeDocument/2006/relationships" ref="O42" r:id="rId123"/>
    <hyperlink xmlns:r="http://schemas.openxmlformats.org/officeDocument/2006/relationships" ref="K43" r:id="rId124"/>
    <hyperlink xmlns:r="http://schemas.openxmlformats.org/officeDocument/2006/relationships" ref="M43" r:id="rId125"/>
    <hyperlink xmlns:r="http://schemas.openxmlformats.org/officeDocument/2006/relationships" ref="O43" r:id="rId126"/>
    <hyperlink xmlns:r="http://schemas.openxmlformats.org/officeDocument/2006/relationships" ref="K44" r:id="rId127"/>
    <hyperlink xmlns:r="http://schemas.openxmlformats.org/officeDocument/2006/relationships" ref="M44" r:id="rId128"/>
    <hyperlink xmlns:r="http://schemas.openxmlformats.org/officeDocument/2006/relationships" ref="O44" r:id="rId129"/>
    <hyperlink xmlns:r="http://schemas.openxmlformats.org/officeDocument/2006/relationships" ref="K45" r:id="rId130"/>
    <hyperlink xmlns:r="http://schemas.openxmlformats.org/officeDocument/2006/relationships" ref="M45" r:id="rId131"/>
    <hyperlink xmlns:r="http://schemas.openxmlformats.org/officeDocument/2006/relationships" ref="O45" r:id="rId132"/>
    <hyperlink xmlns:r="http://schemas.openxmlformats.org/officeDocument/2006/relationships" ref="K46" r:id="rId133"/>
    <hyperlink xmlns:r="http://schemas.openxmlformats.org/officeDocument/2006/relationships" ref="M46" r:id="rId134"/>
    <hyperlink xmlns:r="http://schemas.openxmlformats.org/officeDocument/2006/relationships" ref="O46" r:id="rId135"/>
    <hyperlink xmlns:r="http://schemas.openxmlformats.org/officeDocument/2006/relationships" ref="K47" r:id="rId136"/>
    <hyperlink xmlns:r="http://schemas.openxmlformats.org/officeDocument/2006/relationships" ref="M47" r:id="rId137"/>
    <hyperlink xmlns:r="http://schemas.openxmlformats.org/officeDocument/2006/relationships" ref="O47" r:id="rId138"/>
    <hyperlink xmlns:r="http://schemas.openxmlformats.org/officeDocument/2006/relationships" ref="K48" r:id="rId139"/>
    <hyperlink xmlns:r="http://schemas.openxmlformats.org/officeDocument/2006/relationships" ref="M48" r:id="rId140"/>
    <hyperlink xmlns:r="http://schemas.openxmlformats.org/officeDocument/2006/relationships" ref="O48" r:id="rId141"/>
    <hyperlink xmlns:r="http://schemas.openxmlformats.org/officeDocument/2006/relationships" ref="K49" r:id="rId142"/>
    <hyperlink xmlns:r="http://schemas.openxmlformats.org/officeDocument/2006/relationships" ref="M49" r:id="rId143"/>
    <hyperlink xmlns:r="http://schemas.openxmlformats.org/officeDocument/2006/relationships" ref="O49" r:id="rId144"/>
    <hyperlink xmlns:r="http://schemas.openxmlformats.org/officeDocument/2006/relationships" ref="K50" r:id="rId145"/>
    <hyperlink xmlns:r="http://schemas.openxmlformats.org/officeDocument/2006/relationships" ref="M50" r:id="rId146"/>
    <hyperlink xmlns:r="http://schemas.openxmlformats.org/officeDocument/2006/relationships" ref="O50" r:id="rId147"/>
    <hyperlink xmlns:r="http://schemas.openxmlformats.org/officeDocument/2006/relationships" ref="K51" r:id="rId148"/>
    <hyperlink xmlns:r="http://schemas.openxmlformats.org/officeDocument/2006/relationships" ref="M51" r:id="rId149"/>
    <hyperlink xmlns:r="http://schemas.openxmlformats.org/officeDocument/2006/relationships" ref="O51" r:id="rId150"/>
  </hyperlinks>
  <printOptions horizontalCentered="1"/>
  <pageMargins left="0.7480314960629921" right="0.7480314960629921" top="0.984251968503937" bottom="0.984251968503937" header="0.5118110236220472" footer="0.5118110236220472"/>
  <pageSetup orientation="landscape" paperSize="8" scale="35" verticalDpi="0"/>
  <colBreaks count="1" manualBreakCount="1">
    <brk id="16" min="0" max="1048575" man="1"/>
  </colBreaks>
</worksheet>
</file>

<file path=xl/worksheets/sheet7.xml><?xml version="1.0" encoding="utf-8"?>
<worksheet xmlns="http://schemas.openxmlformats.org/spreadsheetml/2006/main">
  <sheetPr>
    <outlinePr summaryBelow="1" summaryRight="1"/>
    <pageSetUpPr/>
  </sheetPr>
  <dimension ref="A1:S23"/>
  <sheetViews>
    <sheetView view="pageBreakPreview" topLeftCell="K6" zoomScale="70" zoomScaleNormal="70" zoomScaleSheetLayoutView="70" workbookViewId="0">
      <selection activeCell="M9" sqref="M9"/>
    </sheetView>
  </sheetViews>
  <sheetFormatPr baseColWidth="8" defaultRowHeight="17.4"/>
  <cols>
    <col width="8.796875" customWidth="1" style="1" min="1" max="3"/>
    <col width="16" customWidth="1" style="2" min="4" max="4"/>
    <col width="40.59765625" customWidth="1" style="3" min="5" max="5"/>
    <col width="33.19921875" customWidth="1" style="2" min="6" max="6"/>
    <col width="38.3984375" customWidth="1" style="2" min="7" max="7"/>
    <col width="71.09765625" customWidth="1" style="1" min="8" max="8"/>
    <col width="44.19921875" customWidth="1" style="2" min="9" max="9"/>
    <col width="45" customWidth="1" style="1" min="10" max="10"/>
    <col width="14.19921875" customWidth="1" style="1" min="11" max="11"/>
    <col width="44.796875" bestFit="1" customWidth="1" style="1" min="12" max="12"/>
    <col width="12.19921875" customWidth="1" style="1" min="13" max="13"/>
    <col width="45" customWidth="1" style="1" min="14" max="14"/>
    <col width="15.09765625" customWidth="1" min="15" max="15"/>
    <col width="18" customWidth="1" style="1" min="16" max="16"/>
    <col width="45" customWidth="1" min="17" max="17"/>
    <col width="22" customWidth="1" min="18" max="18"/>
    <col width="45" customWidth="1" style="1" min="19" max="35"/>
    <col width="8.796875" customWidth="1" style="1" min="36" max="41"/>
    <col width="8.796875" customWidth="1" style="1" min="42" max="16384"/>
  </cols>
  <sheetData>
    <row r="1" ht="31.2" customHeight="1">
      <c r="A1" s="8" t="inlineStr">
        <is>
          <t>L2 코드</t>
        </is>
      </c>
      <c r="B1" s="8" t="inlineStr">
        <is>
          <t>L3 코드</t>
        </is>
      </c>
      <c r="C1" s="8" t="inlineStr">
        <is>
          <t>L3 대공종명</t>
        </is>
      </c>
      <c r="D1" s="8" t="inlineStr">
        <is>
          <t>L4 코드</t>
        </is>
      </c>
      <c r="E1" s="8" t="inlineStr">
        <is>
          <t>작업단위 (Level 4 Task/Activity)</t>
        </is>
      </c>
      <c r="F1" s="8" t="inlineStr">
        <is>
          <t>주관</t>
        </is>
      </c>
      <c r="G1" s="8" t="inlineStr">
        <is>
          <t>목적</t>
        </is>
      </c>
      <c r="H1" s="8" t="inlineStr">
        <is>
          <t>방법</t>
        </is>
      </c>
      <c r="I1" s="8" t="inlineStr">
        <is>
          <t>산출물(결과)</t>
        </is>
      </c>
      <c r="J1" s="8" t="inlineStr">
        <is>
          <t>표준서 (Standard) 요약</t>
        </is>
      </c>
      <c r="K1" s="7" t="inlineStr">
        <is>
          <t>표준서 파일 (HTML)</t>
        </is>
      </c>
      <c r="L1" s="8" t="inlineStr">
        <is>
          <t>수행지침 (Guideline) 요약</t>
        </is>
      </c>
      <c r="M1" s="7" t="inlineStr">
        <is>
          <t>수행지침 파일 (HTML)</t>
        </is>
      </c>
      <c r="N1" s="8" t="inlineStr">
        <is>
          <t>체크리스트 (Checklist) 요약</t>
        </is>
      </c>
      <c r="O1" s="9" t="inlineStr">
        <is>
          <t>체크리스트 파일 (HTML)</t>
        </is>
      </c>
      <c r="P1" s="10" t="inlineStr">
        <is>
          <t>비고</t>
        </is>
      </c>
      <c r="Q1" s="10" t="inlineStr">
        <is>
          <t>첨부서류 연계 상세 설계기준</t>
        </is>
      </c>
      <c r="R1" s="10" t="inlineStr">
        <is>
          <t>집행단계 리스크 체크리스트</t>
        </is>
      </c>
      <c r="S1" s="10" t="inlineStr">
        <is>
          <t>협력사 시공/공사관리 자문</t>
        </is>
      </c>
    </row>
    <row r="2" ht="121.8" customHeight="1">
      <c r="A2" s="11" t="inlineStr">
        <is>
          <t>9000</t>
        </is>
      </c>
      <c r="B2" s="11" t="inlineStr">
        <is>
          <t>9000-1</t>
        </is>
      </c>
      <c r="C2" s="12" t="inlineStr">
        <is>
          <t>신호분야</t>
        </is>
      </c>
      <c r="D2" s="11" t="inlineStr">
        <is>
          <t>9000-1-1</t>
        </is>
      </c>
      <c r="E2" s="20" t="inlineStr">
        <is>
          <t>설계적정성 검토</t>
        </is>
      </c>
      <c r="F2" s="11" t="inlineStr">
        <is>
          <t>현장 공무팀</t>
        </is>
      </c>
      <c r="G2" s="12" t="inlineStr">
        <is>
          <t>설계적정성 및 시공성 검토</t>
        </is>
      </c>
      <c r="H2" s="12" t="inlineStr">
        <is>
          <t>- 입찰 요구사항에 대한 설계 반영여부 검토
- 설계도서 및 철도 표준 자재 반영여부 확인
- 진로수 및 유치선 등 차량기지/역사 규모에 맞는 전자연동장치 선정
- 역사 및 유치선 선로전환기 개수 및 형식 검토</t>
        </is>
      </c>
      <c r="I2" s="12" t="inlineStr">
        <is>
          <t>회의록, 설계검토보고서</t>
        </is>
      </c>
      <c r="J2" s="12" t="inlineStr">
        <is>
          <t>1) CBI SIL 4 및 루프 센서 보호: 전자연동장치(CBI) SIL 4 (IEC 61508/62425) 안전성 100% 확보 및 매립형 궤도 슬래브 타설 시 신호 루프 센서(Loop Coil) 매설 파손 방지 시방 준수
2) 교차로 트램 우선신호(PPC): 트램 차량 접근 시 LTE-R 무선 단말과 도로교통공단 제어기 간 연동 응답시간 ≤ 100ms 확보 및 TOD 녹색 현시 보장</t>
        </is>
      </c>
      <c r="K2" s="18" t="inlineStr">
        <is>
          <t>👉 [더블클릭] 표준서 열기 📄</t>
        </is>
      </c>
      <c r="L2"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2" s="18" t="inlineStr">
        <is>
          <t>👉 [더블클릭] 수행지침 열기 📄</t>
        </is>
      </c>
      <c r="N2" s="12" t="inlineStr">
        <is>
          <t>1) 교차로 PPC 트램 우선신호 응답시간(≤100ms) 및 도로교통 신호등 연동을 확인하였는가?
2) [협력업체 자문] 교차로 PPC 신호함체가 도로 굴착선에서 안전 이격 거리(5m)를 확보했는가?</t>
        </is>
      </c>
      <c r="O2" s="18" t="inlineStr">
        <is>
          <t>👉 [더블클릭] 체크리스트 열기 📄</t>
        </is>
      </c>
      <c r="P2" s="11" t="n"/>
      <c r="Q2" s="12" t="inlineStr">
        <is>
          <t>● 관련분야 설계기준서 준수</t>
        </is>
      </c>
      <c r="R2" s="19" t="inlineStr">
        <is>
          <t>1) 👉 [더블클릭] 체크리스트 열기 📄</t>
        </is>
      </c>
      <c r="S2" s="12" t="n"/>
    </row>
    <row r="3" ht="121.8" customHeight="1">
      <c r="A3" s="11" t="inlineStr">
        <is>
          <t>9000</t>
        </is>
      </c>
      <c r="B3" s="11" t="inlineStr">
        <is>
          <t>9000-1</t>
        </is>
      </c>
      <c r="C3" s="12" t="inlineStr">
        <is>
          <t>신호분야</t>
        </is>
      </c>
      <c r="D3" s="11" t="inlineStr">
        <is>
          <t>9000-1-2</t>
        </is>
      </c>
      <c r="E3" s="20" t="inlineStr">
        <is>
          <t>착수준비 KOM</t>
        </is>
      </c>
      <c r="F3" s="11" t="inlineStr">
        <is>
          <t>현장소장</t>
        </is>
      </c>
      <c r="G3" s="12" t="inlineStr">
        <is>
          <t>신호선로 공사 발주 전 착수수립</t>
        </is>
      </c>
      <c r="H3" s="12" t="inlineStr">
        <is>
          <t>- 신호선형 설계 및 변동요인 검토
- 신호설비 공사 시공성 및 하자발생 리스크 검토
- 본사 실무 협의를 거쳐 현장에 전파토록 현장공무 검토
1) 공통계획 및 보완지침 계획 수립
2) 외주 발주/수급 사전 준비 및 기술 지원
3) 시공전 신호자재 확인 및 기술 지원
4) 예상내역 및 누락 아이템 보완</t>
        </is>
      </c>
      <c r="I3" s="12" t="inlineStr">
        <is>
          <t>본사 외주/수행/협의 부서, 착수 KOM 결과보고서, 현장설명서</t>
        </is>
      </c>
      <c r="J3"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3" s="18" t="inlineStr">
        <is>
          <t>👉 [더블클릭] 표준서 열기 📄</t>
        </is>
      </c>
      <c r="L3"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3" s="18" t="inlineStr">
        <is>
          <t>👉 [더블클릭] 수행지침 열기 📄</t>
        </is>
      </c>
      <c r="N3" s="12" t="inlineStr">
        <is>
          <t>1) 교차로 PPC 트램 우선신호 응답시간(≤100ms) 및 도로교통 신호등 연동을 확인하였는가?
2) [협력업체 자문] 교차로 PPC 신호함체가 도로 굴착선에서 안전 이격 거리(5m)를 확보했는가?</t>
        </is>
      </c>
      <c r="O3" s="18" t="inlineStr">
        <is>
          <t>👉 [더블클릭] 체크리스트 열기 📄</t>
        </is>
      </c>
      <c r="P3" s="11" t="n"/>
      <c r="Q3" s="12" t="n"/>
      <c r="R3" s="19" t="inlineStr">
        <is>
          <t>1) 👉 [더블클릭] 체크리스트 열기 📄</t>
        </is>
      </c>
      <c r="S3" s="12" t="n"/>
    </row>
    <row r="4" ht="156.6" customHeight="1">
      <c r="A4" s="11" t="inlineStr">
        <is>
          <t>9000</t>
        </is>
      </c>
      <c r="B4" s="11" t="inlineStr">
        <is>
          <t>9000-1</t>
        </is>
      </c>
      <c r="C4" s="12" t="inlineStr">
        <is>
          <t>신호분야</t>
        </is>
      </c>
      <c r="D4" s="11" t="inlineStr">
        <is>
          <t>9000-1-3</t>
        </is>
      </c>
      <c r="E4" s="20" t="inlineStr">
        <is>
          <t>착수전 Big Room 회의</t>
        </is>
      </c>
      <c r="F4" s="11" t="inlineStr">
        <is>
          <t>현장소장</t>
        </is>
      </c>
      <c r="G4" s="12" t="inlineStr">
        <is>
          <t>신규공사 수행 시, 선행공정 간섭 및 공종 Risk에 대해 대책 수립</t>
        </is>
      </c>
      <c r="H4" s="12" t="inlineStr">
        <is>
          <t>본사(신호/궤도선로부서) 및 분야별 세부설계 검토
- 정거장 진입부 단말 인터페이스(m/w), 전기분야 인터페이스
- 변전소DC 및 지상장치/안테나/검수고 설치 공종 검토
- 신규자재 성능검증(기지 신호설비 등) 성능보증서 제출 검토
- 발주처 배포 타 프로젝트 하자사례 검토 후, 동일제조사 적용 장비점검 리포트
- SIL(Safety Integration Level) 인증제품 도입 안전대책수립
- 분야별 인터페이스 협의(궤도, 토목, 건축, 기계설비) 표준 지침서 배포
- 현장 및 본사 Risk 요인 도출 및 대책 수립
- 타 공정 및 분야별 Risk 분석 대안(도로/궤도/신호공사 수행 공동조정/안전)</t>
        </is>
      </c>
      <c r="I4" s="12" t="inlineStr">
        <is>
          <t>Big Room 회의록(지침 전파 서명)</t>
        </is>
      </c>
      <c r="J4"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4" s="18" t="inlineStr">
        <is>
          <t>👉 [더블클릭] 표준서 열기 📄</t>
        </is>
      </c>
      <c r="L4"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4" s="18" t="inlineStr">
        <is>
          <t>👉 [더블클릭] 수행지침 열기 📄</t>
        </is>
      </c>
      <c r="N4" s="12" t="inlineStr">
        <is>
          <t>1) 교차로 PPC 트램 우선신호 응답시간(≤100ms) 및 도로교통 신호등 연동을 확인하였는가?
2) [협력업체 자문] 교차로 PPC 신호함체가 도로 굴착선에서 안전 이격 거리(5m)를 확보했는가?</t>
        </is>
      </c>
      <c r="O4" s="18" t="inlineStr">
        <is>
          <t>👉 [더블클릭] 체크리스트 열기 📄</t>
        </is>
      </c>
      <c r="P4" s="11" t="n"/>
      <c r="Q4" s="12" t="n"/>
      <c r="R4" s="19" t="inlineStr">
        <is>
          <t>1) 👉 [더블클릭] 체크리스트 열기 📄</t>
        </is>
      </c>
      <c r="S4" s="12" t="n"/>
    </row>
    <row r="5" ht="104.4" customHeight="1">
      <c r="A5" s="11" t="inlineStr">
        <is>
          <t>9000</t>
        </is>
      </c>
      <c r="B5" s="11" t="inlineStr">
        <is>
          <t>9000-1</t>
        </is>
      </c>
      <c r="C5" s="12" t="inlineStr">
        <is>
          <t>신호분야</t>
        </is>
      </c>
      <c r="D5" s="11" t="inlineStr">
        <is>
          <t>9000-1-4</t>
        </is>
      </c>
      <c r="E5" s="20" t="inlineStr">
        <is>
          <t>전기 / 통신 / PSD / 차량 인터페이스 협의</t>
        </is>
      </c>
      <c r="F5" s="11" t="inlineStr">
        <is>
          <t>현장 시스템팀</t>
        </is>
      </c>
      <c r="G5" s="12" t="inlineStr">
        <is>
          <t>완벽한 시스템 조율 및 인터페이스 협의</t>
        </is>
      </c>
      <c r="H5" s="12" t="inlineStr">
        <is>
          <t>- 연계분야 조율 및 협의사항 도출
1) 상호작동 및 연계성 보장
2) 장애 및 인터페이스 회복 및 관리대응</t>
        </is>
      </c>
      <c r="I5" s="12" t="inlineStr">
        <is>
          <t>인터페이스 회의록 및 관리대장</t>
        </is>
      </c>
      <c r="J5"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5" s="18" t="inlineStr">
        <is>
          <t>👉 [더블클릭] 표준서 열기 📄</t>
        </is>
      </c>
      <c r="L5"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5" s="18" t="inlineStr">
        <is>
          <t>👉 [더블클릭] 수행지침 열기 📄</t>
        </is>
      </c>
      <c r="N5" s="12" t="inlineStr">
        <is>
          <t>1) 교차로 PPC 트램 우선신호 응답시간(≤100ms) 및 도로교통 신호등 연동을 확인하였는가?
2) [협력업체 자문] 교차로 PPC 신호함체가 도로 굴착선에서 안전 이격 거리(5m)를 확보했는가?</t>
        </is>
      </c>
      <c r="O5" s="18" t="inlineStr">
        <is>
          <t>👉 [더블클릭] 체크리스트 열기 📄</t>
        </is>
      </c>
      <c r="P5" s="11" t="n"/>
      <c r="Q5" s="12" t="n"/>
      <c r="R5" s="19" t="inlineStr">
        <is>
          <t>1) 👉 [더블클릭] 체크리스트 열기 📄</t>
        </is>
      </c>
      <c r="S5" s="12" t="n"/>
    </row>
    <row r="6" ht="104.4" customHeight="1">
      <c r="A6" s="11" t="inlineStr">
        <is>
          <t>9000</t>
        </is>
      </c>
      <c r="B6" s="11" t="inlineStr">
        <is>
          <t>9000-1</t>
        </is>
      </c>
      <c r="C6" s="12" t="inlineStr">
        <is>
          <t>신호분야</t>
        </is>
      </c>
      <c r="D6" s="11" t="inlineStr">
        <is>
          <t>9000-1-5</t>
        </is>
      </c>
      <c r="E6" s="20" t="inlineStr">
        <is>
          <t>도로 / 궤도 인터페이스 협의</t>
        </is>
      </c>
      <c r="F6" s="11" t="inlineStr">
        <is>
          <t>현장 시스템팀</t>
        </is>
      </c>
      <c r="G6" s="12" t="inlineStr">
        <is>
          <t>선로선형 설계를 위한 사전조정 및 트램 운행 최적화</t>
        </is>
      </c>
      <c r="H6" s="12" t="inlineStr">
        <is>
          <t>- 유관기관 피드백 수렴/조정 및 요구사항 확인
- 궤도 분기기 통과 요구사항 검토 및 확인</t>
        </is>
      </c>
      <c r="I6" s="12" t="inlineStr">
        <is>
          <t>궤도/신호 요구사항 및 회의록</t>
        </is>
      </c>
      <c r="J6"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6" s="18" t="inlineStr">
        <is>
          <t>👉 [더블클릭] 표준서 열기 📄</t>
        </is>
      </c>
      <c r="L6"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6" s="18" t="inlineStr">
        <is>
          <t>👉 [더블클릭] 수행지침 열기 📄</t>
        </is>
      </c>
      <c r="N6" s="12" t="inlineStr">
        <is>
          <t>1) 교차로 PPC 트램 우선신호 응답시간(≤100ms) 및 도로교통 신호등 연동을 확인하였는가?
2) [협력업체 자문] 교차로 PPC 신호함체가 도로 굴착선에서 안전 이격 거리(5m)를 확보했는가?</t>
        </is>
      </c>
      <c r="O6" s="18" t="inlineStr">
        <is>
          <t>👉 [더블클릭] 체크리스트 열기 📄</t>
        </is>
      </c>
      <c r="P6" s="11" t="n"/>
      <c r="Q6" s="12" t="n"/>
      <c r="R6" s="19" t="inlineStr">
        <is>
          <t>1) 👉 [더블클릭] 체크리스트 열기 📄</t>
        </is>
      </c>
      <c r="S6" s="12" t="n"/>
    </row>
    <row r="7" ht="104.4" customHeight="1">
      <c r="A7" s="11" t="inlineStr">
        <is>
          <t>9000</t>
        </is>
      </c>
      <c r="B7" s="11" t="inlineStr">
        <is>
          <t>9000-1</t>
        </is>
      </c>
      <c r="C7" s="12" t="inlineStr">
        <is>
          <t>신호분야</t>
        </is>
      </c>
      <c r="D7" s="11" t="inlineStr">
        <is>
          <t>9000-1-6</t>
        </is>
      </c>
      <c r="E7" s="20" t="inlineStr">
        <is>
          <t>시공전 인터페이스 협의</t>
        </is>
      </c>
      <c r="F7" s="11" t="inlineStr">
        <is>
          <t>현장 시스템팀</t>
        </is>
      </c>
      <c r="G7" s="12" t="inlineStr">
        <is>
          <t>시스템의 설계 보완 검토를 진행하고 완벽한 연계를 위한 설계</t>
        </is>
      </c>
      <c r="H7" s="12" t="inlineStr">
        <is>
          <t>- 정보통신설비 실질적 위상에 맞춤형 시험규격 검토 완료 여부 확인
- 통신선 배선 적합성 및 인터페이스 검토</t>
        </is>
      </c>
      <c r="I7" s="12" t="inlineStr">
        <is>
          <t>인터페이스 보고서 및 인터페이스 회의록</t>
        </is>
      </c>
      <c r="J7"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7" s="18" t="inlineStr">
        <is>
          <t>👉 [더블클릭] 표준서 열기 📄</t>
        </is>
      </c>
      <c r="L7"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7" s="18" t="inlineStr">
        <is>
          <t>👉 [더블클릭] 수행지침 열기 📄</t>
        </is>
      </c>
      <c r="N7" s="12" t="inlineStr">
        <is>
          <t>1) 교차로 PPC 트램 우선신호 응답시간(≤100ms) 및 도로교통 신호등 연동을 확인하였는가?
2) [협력업체 자문] 교차로 PPC 신호함체가 도로 굴착선에서 안전 이격 거리(5m)를 확보했는가?</t>
        </is>
      </c>
      <c r="O7" s="18" t="inlineStr">
        <is>
          <t>👉 [더블클릭] 체크리스트 열기 📄</t>
        </is>
      </c>
      <c r="P7" s="11" t="n"/>
      <c r="Q7" s="12" t="n"/>
      <c r="R7" s="19" t="inlineStr">
        <is>
          <t>1) 👉 [더블클릭] 체크리스트 열기 📄</t>
        </is>
      </c>
      <c r="S7" s="12" t="n"/>
    </row>
    <row r="8" ht="104.4" customHeight="1">
      <c r="A8" s="11" t="inlineStr">
        <is>
          <t>9000</t>
        </is>
      </c>
      <c r="B8" s="11" t="inlineStr">
        <is>
          <t>9000-1</t>
        </is>
      </c>
      <c r="C8" s="12" t="inlineStr">
        <is>
          <t>신호분야</t>
        </is>
      </c>
      <c r="D8" s="11" t="inlineStr">
        <is>
          <t>9000-1-7</t>
        </is>
      </c>
      <c r="E8" s="20" t="inlineStr">
        <is>
          <t>시스템 장비검토 사전 협의사항 도출 및 검토</t>
        </is>
      </c>
      <c r="F8" s="11" t="inlineStr">
        <is>
          <t>현장 시스템팀</t>
        </is>
      </c>
      <c r="G8" s="12" t="inlineStr">
        <is>
          <t>완벽한 시스템 연계 및 동작성 확보를 위한 가이드라인 제공</t>
        </is>
      </c>
      <c r="H8" s="12" t="inlineStr">
        <is>
          <t>- 성능보증 기능성 신호자재 단품 Spec 검토
- 제조사 자체 시험 및 인증 확인
- 설치 시공대장 및 제작도서 승인 서명</t>
        </is>
      </c>
      <c r="I8" s="12" t="inlineStr">
        <is>
          <t>자체 검증서 및 제작도서 승인 서류</t>
        </is>
      </c>
      <c r="J8"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8" s="18" t="inlineStr">
        <is>
          <t>👉 [더블클릭] 표준서 열기 📄</t>
        </is>
      </c>
      <c r="L8"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8" s="18" t="inlineStr">
        <is>
          <t>👉 [더블클릭] 수행지침 열기 📄</t>
        </is>
      </c>
      <c r="N8" s="12" t="inlineStr">
        <is>
          <t>1) 교차로 PPC 트램 우선신호 응답시간(≤100ms) 및 도로교통 신호등 연동을 확인하였는가?
2) [협력업체 자문] 교차로 PPC 신호함체가 도로 굴착선에서 안전 이격 거리(5m)를 확보했는가?</t>
        </is>
      </c>
      <c r="O8" s="18" t="inlineStr">
        <is>
          <t>👉 [더블클릭] 체크리스트 열기 📄</t>
        </is>
      </c>
      <c r="P8" s="11" t="n"/>
      <c r="Q8" s="12" t="n"/>
      <c r="R8" s="19" t="inlineStr">
        <is>
          <t>1) 👉 [더블클릭] 체크리스트 열기 📄</t>
        </is>
      </c>
      <c r="S8" s="12" t="n"/>
    </row>
    <row r="9" ht="104.4" customHeight="1">
      <c r="A9" s="11" t="inlineStr">
        <is>
          <t>9000</t>
        </is>
      </c>
      <c r="B9" s="11" t="inlineStr">
        <is>
          <t>9000-1</t>
        </is>
      </c>
      <c r="C9" s="12" t="inlineStr">
        <is>
          <t>신호분야</t>
        </is>
      </c>
      <c r="D9" s="11" t="inlineStr">
        <is>
          <t>9000-1-8</t>
        </is>
      </c>
      <c r="E9" s="20" t="inlineStr">
        <is>
          <t>관제 및 운영사 인터페이스 협의</t>
        </is>
      </c>
      <c r="F9" s="11" t="inlineStr">
        <is>
          <t>현장 시스템팀</t>
        </is>
      </c>
      <c r="G9" s="12" t="inlineStr">
        <is>
          <t>관제 및 운영사 요구사항 사전 반영 및 시공신뢰 확보</t>
        </is>
      </c>
      <c r="H9" s="12" t="inlineStr">
        <is>
          <t>- 시운전시 조율사항 및 예비사항 도출
- 신호제어 운영사 실무 조율 및 협의</t>
        </is>
      </c>
      <c r="I9" s="12" t="inlineStr">
        <is>
          <t>인터페이스 회의록 및 관리대장</t>
        </is>
      </c>
      <c r="J9"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9" s="18" t="inlineStr">
        <is>
          <t>👉 [더블클릭] 표준서 열기 📄</t>
        </is>
      </c>
      <c r="L9"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9" s="18" t="inlineStr">
        <is>
          <t>👉 [더블클릭] 수행지침 열기 📄</t>
        </is>
      </c>
      <c r="N9" s="12" t="inlineStr">
        <is>
          <t>1) 교차로 PPC 트램 우선신호 응답시간(≤100ms) 및 도로교통 신호등 연동을 확인하였는가?
2) [협력업체 자문] 교차로 PPC 신호함체가 도로 굴착선에서 안전 이격 거리(5m)를 확보했는가?</t>
        </is>
      </c>
      <c r="O9" s="18" t="inlineStr">
        <is>
          <t>👉 [더블클릭] 체크리스트 열기 📄</t>
        </is>
      </c>
      <c r="P9" s="11" t="n"/>
      <c r="Q9" s="12" t="n"/>
      <c r="R9" s="19" t="inlineStr">
        <is>
          <t>1) 👉 [더블클릭] 체크리스트 열기 📄</t>
        </is>
      </c>
      <c r="S9" s="12" t="n"/>
    </row>
    <row r="10" ht="104.4" customHeight="1">
      <c r="A10" s="11" t="inlineStr">
        <is>
          <t>9000</t>
        </is>
      </c>
      <c r="B10" s="11" t="inlineStr">
        <is>
          <t>9000-1</t>
        </is>
      </c>
      <c r="C10" s="12" t="inlineStr">
        <is>
          <t>신호분야</t>
        </is>
      </c>
      <c r="D10" s="11" t="inlineStr">
        <is>
          <t>9000-1-9</t>
        </is>
      </c>
      <c r="E10" s="20" t="inlineStr">
        <is>
          <t>자재 / 인원 / 장비 및 투입 사전 검토</t>
        </is>
      </c>
      <c r="F10" s="11" t="inlineStr">
        <is>
          <t>현장 시스템팀 / 협력사 / 관리감독자</t>
        </is>
      </c>
      <c r="G10" s="12" t="inlineStr">
        <is>
          <t>자재/인원/장비 투입 계획 수립</t>
        </is>
      </c>
      <c r="H10" s="12" t="inlineStr">
        <is>
          <t>현장 여건 및 수량을 기준으로 투입 인원, 장비 계획 규명</t>
        </is>
      </c>
      <c r="I10" s="12" t="inlineStr">
        <is>
          <t>세부 공정계획 수립 및 보고</t>
        </is>
      </c>
      <c r="J10"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0" s="18" t="inlineStr">
        <is>
          <t>👉 [더블클릭] 표준서 열기 📄</t>
        </is>
      </c>
      <c r="L10"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0" s="18" t="inlineStr">
        <is>
          <t>👉 [더블클릭] 수행지침 열기 📄</t>
        </is>
      </c>
      <c r="N10" s="12" t="inlineStr">
        <is>
          <t>1) 교차로 PPC 트램 우선신호 응답시간(≤100ms) 및 도로교통 신호등 연동을 확인하였는가?
2) [협력업체 자문] 교차로 PPC 신호함체가 도로 굴착선에서 안전 이격 거리(5m)를 확보했는가?</t>
        </is>
      </c>
      <c r="O10" s="18" t="inlineStr">
        <is>
          <t>👉 [더블클릭] 체크리스트 열기 📄</t>
        </is>
      </c>
      <c r="P10" s="11" t="n"/>
      <c r="Q10" s="12" t="n"/>
      <c r="R10" s="19" t="inlineStr">
        <is>
          <t>1) 👉 [더블클릭] 체크리스트 열기 📄</t>
        </is>
      </c>
      <c r="S10" s="12" t="n"/>
    </row>
    <row r="11" ht="104.4" customHeight="1">
      <c r="A11" s="11" t="inlineStr">
        <is>
          <t>9000</t>
        </is>
      </c>
      <c r="B11" s="11" t="inlineStr">
        <is>
          <t>9000-1</t>
        </is>
      </c>
      <c r="C11" s="12" t="inlineStr">
        <is>
          <t>신호분야</t>
        </is>
      </c>
      <c r="D11" s="11" t="inlineStr">
        <is>
          <t>9000-1-10</t>
        </is>
      </c>
      <c r="E11" s="20" t="inlineStr">
        <is>
          <t>장비반입 및 안전교육</t>
        </is>
      </c>
      <c r="F11" s="11" t="inlineStr">
        <is>
          <t>현장 시스템팀 / 안전팀</t>
        </is>
      </c>
      <c r="G11" s="12" t="inlineStr">
        <is>
          <t>장비 반입 준비 및 안전교육 완료</t>
        </is>
      </c>
      <c r="H11" s="12" t="inlineStr">
        <is>
          <t>- 측정/측량/장비 반입, 안전교육 실시
- 장비 spec 확인, 장비 성능 점검
- 작업원 안전교육 실시</t>
        </is>
      </c>
      <c r="I11" s="12" t="inlineStr">
        <is>
          <t>측정기록서, 안전교육 결과서</t>
        </is>
      </c>
      <c r="J11"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1" s="18" t="inlineStr">
        <is>
          <t>👉 [더블클릭] 표준서 열기 📄</t>
        </is>
      </c>
      <c r="L11"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1" s="18" t="inlineStr">
        <is>
          <t>👉 [더블클릭] 수행지침 열기 📄</t>
        </is>
      </c>
      <c r="N11" s="12" t="inlineStr">
        <is>
          <t>1) 교차로 PPC 트램 우선신호 응답시간(≤100ms) 및 도로교통 신호등 연동을 확인하였는가?
2) [협력업체 자문] 교차로 PPC 신호함체가 도로 굴착선에서 안전 이격 거리(5m)를 확보했는가?</t>
        </is>
      </c>
      <c r="O11" s="18" t="inlineStr">
        <is>
          <t>👉 [더블클릭] 체크리스트 열기 📄</t>
        </is>
      </c>
      <c r="P11" s="11" t="n"/>
      <c r="Q11" s="12" t="n"/>
      <c r="R11" s="19" t="inlineStr">
        <is>
          <t>1) 👉 [더블클릭] 체크리스트 열기 📄</t>
        </is>
      </c>
      <c r="S11" s="12" t="n"/>
    </row>
    <row r="12" ht="104.4" customHeight="1">
      <c r="A12" s="11" t="inlineStr">
        <is>
          <t>9000</t>
        </is>
      </c>
      <c r="B12" s="11" t="inlineStr">
        <is>
          <t>9000-1</t>
        </is>
      </c>
      <c r="C12" s="12" t="inlineStr">
        <is>
          <t>신호분야</t>
        </is>
      </c>
      <c r="D12" s="11" t="inlineStr">
        <is>
          <t>9000-1-11</t>
        </is>
      </c>
      <c r="E12" s="20" t="inlineStr">
        <is>
          <t>자재 반입 및 검수</t>
        </is>
      </c>
      <c r="F12" s="11" t="inlineStr">
        <is>
          <t>현장소장 및 발주청/공동감리단</t>
        </is>
      </c>
      <c r="G12" s="12" t="inlineStr">
        <is>
          <t>공장제품 품질 확보를 위한 자재 검수 및 검사</t>
        </is>
      </c>
      <c r="H12" s="12" t="inlineStr">
        <is>
          <t>- 자재 현지 반입 및 반입동선 판단
- 승인된 자재 상세사양 확인(Serial number 등록)
- 제품의 규격, 수량 도면과 일치하는지 검토</t>
        </is>
      </c>
      <c r="I12" s="12" t="inlineStr">
        <is>
          <t>자재검수요청서 / 자재수입검사서</t>
        </is>
      </c>
      <c r="J12"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2" s="18" t="inlineStr">
        <is>
          <t>👉 [더블클릭] 표준서 열기 📄</t>
        </is>
      </c>
      <c r="L12"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2" s="18" t="inlineStr">
        <is>
          <t>👉 [더블클릭] 수행지침 열기 📄</t>
        </is>
      </c>
      <c r="N12" s="12" t="inlineStr">
        <is>
          <t>1) 교차로 PPC 트램 우선신호 응답시간(≤100ms) 및 도로교통 신호등 연동을 확인하였는가?
2) [협력업체 자문] 교차로 PPC 신호함체가 도로 굴착선에서 안전 이격 거리(5m)를 확보했는가?</t>
        </is>
      </c>
      <c r="O12" s="18" t="inlineStr">
        <is>
          <t>👉 [더블클릭] 체크리스트 열기 📄</t>
        </is>
      </c>
      <c r="P12" s="11" t="n"/>
      <c r="Q12" s="12" t="n"/>
      <c r="R12" s="19" t="inlineStr">
        <is>
          <t>1) 👉 [더블클릭] 체크리스트 열기 📄</t>
        </is>
      </c>
      <c r="S12" s="12" t="n"/>
    </row>
    <row r="13" ht="104.4" customHeight="1">
      <c r="A13" s="11" t="inlineStr">
        <is>
          <t>9000</t>
        </is>
      </c>
      <c r="B13" s="11" t="inlineStr">
        <is>
          <t>9000-1</t>
        </is>
      </c>
      <c r="C13" s="12" t="inlineStr">
        <is>
          <t>신호분야</t>
        </is>
      </c>
      <c r="D13" s="11" t="inlineStr">
        <is>
          <t>9000-1-12</t>
        </is>
      </c>
      <c r="E13" s="20" t="inlineStr">
        <is>
          <t>시스템설비 설치 (현장/기능실)</t>
        </is>
      </c>
      <c r="F13" s="11" t="inlineStr">
        <is>
          <t>현장소장 및 분야별 전담팀</t>
        </is>
      </c>
      <c r="G13" s="12" t="inlineStr">
        <is>
          <t>현장설비 및 기기실의 자체 최적의 설치작업</t>
        </is>
      </c>
      <c r="H13" s="12" t="inlineStr">
        <is>
          <t>- 기계 장치 위치 및 마감 동선 확인
- 승인된 자재 상세사양 확인 (Serial number 등록)
- 제품의 규격, 수량 도면과 일치하는지 검토
- 배선/기능실 배선 상태 및 신호 인터페이스 확인
- 배선/기능실 케이블 및 전선 배선을 시운전 및 계측기 결과에 준하여 시행
- 케이블 단선부 및 배선 등 내부 배선 및 배선 결과 검수서</t>
        </is>
      </c>
      <c r="I13" s="12" t="inlineStr">
        <is>
          <t>검사 결과서</t>
        </is>
      </c>
      <c r="J13"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3" s="18" t="inlineStr">
        <is>
          <t>👉 [더블클릭] 표준서 열기 📄</t>
        </is>
      </c>
      <c r="L13"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3" s="18" t="inlineStr">
        <is>
          <t>👉 [더블클릭] 수행지침 열기 📄</t>
        </is>
      </c>
      <c r="N13" s="12" t="inlineStr">
        <is>
          <t>1) 교차로 PPC 트램 우선신호 응답시간(≤100ms) 및 도로교통 신호등 연동을 확인하였는가?
2) [협력업체 자문] 교차로 PPC 신호함체가 도로 굴착선에서 안전 이격 거리(5m)를 확보했는가?</t>
        </is>
      </c>
      <c r="O13" s="18" t="inlineStr">
        <is>
          <t>👉 [더블클릭] 체크리스트 열기 📄</t>
        </is>
      </c>
      <c r="P13" s="11" t="n"/>
      <c r="Q13" s="12" t="inlineStr">
        <is>
          <t>● 관련분야 설계기준서 준수</t>
        </is>
      </c>
      <c r="R13" s="19" t="inlineStr">
        <is>
          <t>1) 👉 [더블클릭] 체크리스트 열기 📄</t>
        </is>
      </c>
      <c r="S13" s="12" t="n"/>
    </row>
    <row r="14" ht="104.4" customHeight="1">
      <c r="A14" s="11" t="inlineStr">
        <is>
          <t>9000</t>
        </is>
      </c>
      <c r="B14" s="11" t="inlineStr">
        <is>
          <t>9000-1</t>
        </is>
      </c>
      <c r="C14" s="12" t="inlineStr">
        <is>
          <t>신호분야</t>
        </is>
      </c>
      <c r="D14" s="11" t="inlineStr">
        <is>
          <t>9000-1-14</t>
        </is>
      </c>
      <c r="E14" s="20" t="inlineStr">
        <is>
          <t>시스템 단위시험</t>
        </is>
      </c>
      <c r="F14" s="11" t="inlineStr">
        <is>
          <t>현장 시스템팀</t>
        </is>
      </c>
      <c r="G14" s="12" t="inlineStr">
        <is>
          <t>철도안전법상 신호시스템 규정에 대한 설치 후 현황시험 및 기능 확보</t>
        </is>
      </c>
      <c r="H14" s="12" t="inlineStr">
        <is>
          <t>- 자체단독시험 및 관계부서 공동 시험수행 여부
- 지상신호장치 및 관계부서 단위시험 결과서</t>
        </is>
      </c>
      <c r="I14" s="12" t="inlineStr">
        <is>
          <t>자체단독시험 및 시험결과서 (단독단위)</t>
        </is>
      </c>
      <c r="J14"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4" s="18" t="inlineStr">
        <is>
          <t>👉 [더블클릭] 표준서 열기 📄</t>
        </is>
      </c>
      <c r="L14"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4" s="18" t="inlineStr">
        <is>
          <t>👉 [더블클릭] 수행지침 열기 📄</t>
        </is>
      </c>
      <c r="N14" s="12" t="inlineStr">
        <is>
          <t>1) 교차로 PPC 트램 우선신호 응답시간(≤100ms) 및 도로교통 신호등 연동을 확인하였는가?
2) [협력업체 자문] 교차로 PPC 신호함체가 도로 굴착선에서 안전 이격 거리(5m)를 확보했는가?</t>
        </is>
      </c>
      <c r="O14" s="18" t="inlineStr">
        <is>
          <t>👉 [더블클릭] 체크리스트 열기 📄</t>
        </is>
      </c>
      <c r="P14" s="11" t="n"/>
      <c r="Q14" s="12" t="inlineStr">
        <is>
          <t>● 관련분야 설계기준서 준수</t>
        </is>
      </c>
      <c r="R14" s="19" t="inlineStr">
        <is>
          <t>1) 👉 [더블클릭] 체크리스트 열기 📄</t>
        </is>
      </c>
      <c r="S14" s="12" t="n"/>
    </row>
    <row r="15" ht="104.4" customHeight="1">
      <c r="A15" s="11" t="inlineStr">
        <is>
          <t>9000</t>
        </is>
      </c>
      <c r="B15" s="11" t="inlineStr">
        <is>
          <t>9000-1</t>
        </is>
      </c>
      <c r="C15" s="12" t="inlineStr">
        <is>
          <t>신호분야</t>
        </is>
      </c>
      <c r="D15" s="11" t="inlineStr">
        <is>
          <t>9000-1-15</t>
        </is>
      </c>
      <c r="E15" s="20" t="inlineStr">
        <is>
          <t>신호시스템 통합시험</t>
        </is>
      </c>
      <c r="F15" s="11" t="inlineStr">
        <is>
          <t>현장 시스템팀</t>
        </is>
      </c>
      <c r="G15" s="12" t="inlineStr">
        <is>
          <t>신호시스템 단독시험 완료 후 타 분야 연계 및 시설 유효성 확인</t>
        </is>
      </c>
      <c r="H15" s="12" t="inlineStr">
        <is>
          <t>- 관계성과 연계 인터페이스 시험
- 지상 및 차량 인터페이스
- 지상 및 차량 인터페이스 시 시험 결과표</t>
        </is>
      </c>
      <c r="I15" s="12" t="inlineStr">
        <is>
          <t>자체단독시험 및 시험결과서 (단독단위)</t>
        </is>
      </c>
      <c r="J15"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5" s="18" t="inlineStr">
        <is>
          <t>👉 [더블클릭] 표준서 열기 📄</t>
        </is>
      </c>
      <c r="L15"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5" s="18" t="inlineStr">
        <is>
          <t>👉 [더블클릭] 수행지침 열기 📄</t>
        </is>
      </c>
      <c r="N15" s="12" t="inlineStr">
        <is>
          <t>1) 교차로 PPC 트램 우선신호 응답시간(≤100ms) 및 도로교통 신호등 연동을 확인하였는가?
2) [협력업체 자문] 교차로 PPC 신호함체가 도로 굴착선에서 안전 이격 거리(5m)를 확보했는가?</t>
        </is>
      </c>
      <c r="O15" s="18" t="inlineStr">
        <is>
          <t>👉 [더블클릭] 체크리스트 열기 📄</t>
        </is>
      </c>
      <c r="P15" s="11" t="n"/>
      <c r="Q15" s="12" t="inlineStr">
        <is>
          <t>● 관련분야 설계기준서 준수</t>
        </is>
      </c>
      <c r="R15" s="19" t="inlineStr">
        <is>
          <t>1) 👉 [더블클릭] 체크리스트 열기 📄</t>
        </is>
      </c>
      <c r="S15" s="12" t="n"/>
    </row>
    <row r="16" ht="104.4" customHeight="1">
      <c r="A16" s="11" t="inlineStr">
        <is>
          <t>9000</t>
        </is>
      </c>
      <c r="B16" s="11" t="inlineStr">
        <is>
          <t>9000-1</t>
        </is>
      </c>
      <c r="C16" s="12" t="inlineStr">
        <is>
          <t>신호분야</t>
        </is>
      </c>
      <c r="D16" s="11" t="inlineStr">
        <is>
          <t>9000-1-16</t>
        </is>
      </c>
      <c r="E16" s="20" t="inlineStr">
        <is>
          <t>공종별 시험</t>
        </is>
      </c>
      <c r="F16" s="11" t="inlineStr">
        <is>
          <t>현장 시스템팀</t>
        </is>
      </c>
      <c r="G16" s="12" t="inlineStr">
        <is>
          <t>철도안전기준에 따른 법정 / 설계기준 / 신기술 / 시운전 등의 요구사항의 적합성 검증</t>
        </is>
      </c>
      <c r="H16" s="12" t="inlineStr">
        <is>
          <t>- 신기술공법 등 신공법 적용
- 자료정리 및 단위 시험
- 신기술공법/기능성/현장성 단위 시험 결과서</t>
        </is>
      </c>
      <c r="I16" s="12" t="inlineStr">
        <is>
          <t>공종별 시험 결과보고서</t>
        </is>
      </c>
      <c r="J16"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6" s="18" t="inlineStr">
        <is>
          <t>👉 [더블클릭] 표준서 열기 📄</t>
        </is>
      </c>
      <c r="L16"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6" s="18" t="inlineStr">
        <is>
          <t>👉 [더블클릭] 수행지침 열기 📄</t>
        </is>
      </c>
      <c r="N16" s="12" t="inlineStr">
        <is>
          <t>1) 교차로 PPC 트램 우선신호 응답시간(≤100ms) 및 도로교통 신호등 연동을 확인하였는가?
2) [협력업체 자문] 교차로 PPC 신호함체가 도로 굴착선에서 안전 이격 거리(5m)를 확보했는가?</t>
        </is>
      </c>
      <c r="O16" s="18" t="inlineStr">
        <is>
          <t>👉 [더블클릭] 체크리스트 열기 📄</t>
        </is>
      </c>
      <c r="P16" s="11" t="n"/>
      <c r="Q16" s="12" t="inlineStr">
        <is>
          <t>● 관련분야 설계기준서 준수</t>
        </is>
      </c>
      <c r="R16" s="19" t="inlineStr">
        <is>
          <t>1) 👉 [더블클릭] 체크리스트 열기 📄</t>
        </is>
      </c>
      <c r="S16" s="12" t="n"/>
    </row>
    <row r="17" ht="104.4" customHeight="1">
      <c r="A17" s="11" t="inlineStr">
        <is>
          <t>9000</t>
        </is>
      </c>
      <c r="B17" s="11" t="inlineStr">
        <is>
          <t>9000-1</t>
        </is>
      </c>
      <c r="C17" s="12" t="inlineStr">
        <is>
          <t>신호분야</t>
        </is>
      </c>
      <c r="D17" s="11" t="inlineStr">
        <is>
          <t>9000-1-17</t>
        </is>
      </c>
      <c r="E17" s="20" t="inlineStr">
        <is>
          <t>차량 투입 전 점검</t>
        </is>
      </c>
      <c r="F17" s="11" t="inlineStr">
        <is>
          <t>현장소장 및 시공전담팀</t>
        </is>
      </c>
      <c r="G17" s="12" t="inlineStr">
        <is>
          <t>차량 시험운행 전 철저한 안전대책 수립 및 품질성 확보 여부 확인</t>
        </is>
      </c>
      <c r="H17" s="12" t="inlineStr">
        <is>
          <t>- 본선의 시설물 성능장애 점검
- 건축한계 및 차량한계
- 가공선로: 폭(3,100mm)/높이(3,800mm) 및 차량한계: 폭(2,700mm)/높이(3,600mm) 정렬선 개시
- 수전 및 전압 점검</t>
        </is>
      </c>
      <c r="I17" s="12" t="inlineStr">
        <is>
          <t>차량 투입 전 점검 결과 보고서</t>
        </is>
      </c>
      <c r="J17"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7" s="18" t="inlineStr">
        <is>
          <t>👉 [더블클릭] 표준서 열기 📄</t>
        </is>
      </c>
      <c r="L17"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7" s="18" t="inlineStr">
        <is>
          <t>👉 [더블클릭] 수행지침 열기 📄</t>
        </is>
      </c>
      <c r="N17" s="12" t="inlineStr">
        <is>
          <t>1) 교차로 PPC 트램 우선신호 응답시간(≤100ms) 및 도로교통 신호등 연동을 확인하였는가?
2) [협력업체 자문] 교차로 PPC 신호함체가 도로 굴착선에서 안전 이격 거리(5m)를 확보했는가?</t>
        </is>
      </c>
      <c r="O17" s="18" t="inlineStr">
        <is>
          <t>👉 [더블클릭] 체크리스트 열기 📄</t>
        </is>
      </c>
      <c r="P17" s="11" t="n"/>
      <c r="Q17" s="12" t="inlineStr">
        <is>
          <t>● 관련분야 설계기준서 준수</t>
        </is>
      </c>
      <c r="R17" s="19" t="inlineStr">
        <is>
          <t>1) 👉 [더블클릭] 체크리스트 열기 📄</t>
        </is>
      </c>
      <c r="S17" s="12" t="n"/>
    </row>
    <row r="18" ht="104.4" customHeight="1">
      <c r="A18" s="11" t="inlineStr">
        <is>
          <t>9000</t>
        </is>
      </c>
      <c r="B18" s="11" t="inlineStr">
        <is>
          <t>9000-1</t>
        </is>
      </c>
      <c r="C18" s="12" t="inlineStr">
        <is>
          <t>신호분야</t>
        </is>
      </c>
      <c r="D18" s="11" t="inlineStr">
        <is>
          <t>9000-1-18</t>
        </is>
      </c>
      <c r="E18" s="20" t="inlineStr">
        <is>
          <t>차량 시운전</t>
        </is>
      </c>
      <c r="F18" s="11" t="inlineStr">
        <is>
          <t>현장 시스템팀</t>
        </is>
      </c>
      <c r="G18" s="12" t="inlineStr">
        <is>
          <t>철도안전법상 철도기술기준에 적합하게 시운전 수행 여부(철도노선 규정)</t>
        </is>
      </c>
      <c r="H18" s="12" t="inlineStr">
        <is>
          <t>- 철도기술기준(궤도/철도차량 안전성) 준수 여부
- 1) 속도/제동 테스트수행 여부
- 2) 차량, 신호, 통신 시스템간 인터페이스 시험</t>
        </is>
      </c>
      <c r="I18" s="12" t="inlineStr">
        <is>
          <t>철도차량 안전성 결과 보고서</t>
        </is>
      </c>
      <c r="J18"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8" s="18" t="inlineStr">
        <is>
          <t>👉 [더블클릭] 표준서 열기 📄</t>
        </is>
      </c>
      <c r="L18"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8" s="18" t="inlineStr">
        <is>
          <t>👉 [더블클릭] 수행지침 열기 📄</t>
        </is>
      </c>
      <c r="N18" s="12" t="inlineStr">
        <is>
          <t>1) 교차로 PPC 트램 우선신호 응답시간(≤100ms) 및 도로교통 신호등 연동을 확인하였는가?
2) [협력업체 자문] 교차로 PPC 신호함체가 도로 굴착선에서 안전 이격 거리(5m)를 확보했는가?</t>
        </is>
      </c>
      <c r="O18" s="18" t="inlineStr">
        <is>
          <t>👉 [더블클릭] 체크리스트 열기 📄</t>
        </is>
      </c>
      <c r="P18" s="11" t="n"/>
      <c r="Q18" s="12" t="inlineStr">
        <is>
          <t>● 관련분야 설계기준서 준수</t>
        </is>
      </c>
      <c r="R18" s="19" t="inlineStr">
        <is>
          <t>1) 👉 [더블클릭] 체크리스트 열기 📄</t>
        </is>
      </c>
      <c r="S18" s="12" t="n"/>
    </row>
    <row r="19" ht="104.4" customHeight="1">
      <c r="A19" s="11" t="inlineStr">
        <is>
          <t>9000</t>
        </is>
      </c>
      <c r="B19" s="11" t="inlineStr">
        <is>
          <t>9000-1</t>
        </is>
      </c>
      <c r="C19" s="12" t="inlineStr">
        <is>
          <t>신호분야</t>
        </is>
      </c>
      <c r="D19" s="11" t="inlineStr">
        <is>
          <t>9000-1-19</t>
        </is>
      </c>
      <c r="E19" s="20" t="inlineStr">
        <is>
          <t>운영자 교육시행</t>
        </is>
      </c>
      <c r="F19" s="11" t="inlineStr">
        <is>
          <t>현장 시스템팀</t>
        </is>
      </c>
      <c r="G19" s="12" t="inlineStr">
        <is>
          <t>운영요원(기관사 및 안전관리)을 위한 주행/유지 교육시행</t>
        </is>
      </c>
      <c r="H19" s="12" t="inlineStr">
        <is>
          <t>- 시스템안전 교육(철도차량 안전점검 요령)
- 차량, 신호, 통신 시스템간 인터페이스 사용방법 및 조작 교육
- 관제센터와의 연계 기계실/차량내 장치(DID 보드 등) 운영 및 테스트</t>
        </is>
      </c>
      <c r="I19" s="12" t="inlineStr">
        <is>
          <t>운영자훈련 및 기술단계에서 운영지침서</t>
        </is>
      </c>
      <c r="J19"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9" s="18" t="inlineStr">
        <is>
          <t>👉 [더블클릭] 표준서 열기 📄</t>
        </is>
      </c>
      <c r="L19"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9" s="18" t="inlineStr">
        <is>
          <t>👉 [더블클릭] 수행지침 열기 📄</t>
        </is>
      </c>
      <c r="N19" s="12" t="inlineStr">
        <is>
          <t>1) 교차로 PPC 트램 우선신호 응답시간(≤100ms) 및 도로교통 신호등 연동을 확인하였는가?
2) [협력업체 자문] 교차로 PPC 신호함체가 도로 굴착선에서 안전 이격 거리(5m)를 확보했는가?</t>
        </is>
      </c>
      <c r="O19" s="18" t="inlineStr">
        <is>
          <t>👉 [더블클릭] 체크리스트 열기 📄</t>
        </is>
      </c>
      <c r="P19" s="11" t="n"/>
      <c r="Q19" s="12" t="inlineStr">
        <is>
          <t>● 관련분야 설계기준서 준수</t>
        </is>
      </c>
      <c r="R19" s="19" t="inlineStr">
        <is>
          <t>1) 👉 [더블클릭] 체크리스트 열기 📄</t>
        </is>
      </c>
      <c r="S19" s="12" t="n"/>
    </row>
    <row r="20" ht="104.4" customHeight="1">
      <c r="A20" s="11" t="inlineStr">
        <is>
          <t>9000</t>
        </is>
      </c>
      <c r="B20" s="11" t="inlineStr">
        <is>
          <t>9000-1</t>
        </is>
      </c>
      <c r="C20" s="12" t="inlineStr">
        <is>
          <t>신호분야</t>
        </is>
      </c>
      <c r="D20" s="11" t="inlineStr">
        <is>
          <t>9000-1-20</t>
        </is>
      </c>
      <c r="E20" s="20" t="inlineStr">
        <is>
          <t>사전점검 및 철도기술기준 검토</t>
        </is>
      </c>
      <c r="F20" s="11" t="inlineStr">
        <is>
          <t>현장소장 및 발주처 / 공동감리단</t>
        </is>
      </c>
      <c r="G20" s="12" t="inlineStr">
        <is>
          <t>철도종합시험운행에 따른 기능 및 성능 사전검증과 철도종합시험운행의 목적 달성의 적합여부 판정</t>
        </is>
      </c>
      <c r="H20" s="12" t="inlineStr">
        <is>
          <t>- 분야외 시설물 성능장치 점검
- (1부)철도종합시험운행 시행지침 제6조(종합시험운행을 위한 사전점검)
- 현장점검을 위한 계획 및 체크리스트 수립에 의하여 내 조직 가능한 항목에 대해 사전기재 및 결과 기재</t>
        </is>
      </c>
      <c r="I20" s="12" t="inlineStr">
        <is>
          <t>사전점검 결과표 / 철도안전성검토서</t>
        </is>
      </c>
      <c r="J20"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20" s="18" t="inlineStr">
        <is>
          <t>👉 [더블클릭] 표준서 열기 📄</t>
        </is>
      </c>
      <c r="L20"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20" s="18" t="inlineStr">
        <is>
          <t>👉 [더블클릭] 수행지침 열기 📄</t>
        </is>
      </c>
      <c r="N20" s="12" t="inlineStr">
        <is>
          <t>1) 교차로 PPC 트램 우선신호 응답시간(≤100ms) 및 도로교통 신호등 연동을 확인하였는가?
2) [협력업체 자문] 교차로 PPC 신호함체가 도로 굴착선에서 안전 이격 거리(5m)를 확보했는가?</t>
        </is>
      </c>
      <c r="O20" s="18" t="inlineStr">
        <is>
          <t>👉 [더블클릭] 체크리스트 열기 📄</t>
        </is>
      </c>
      <c r="P20" s="11" t="n"/>
      <c r="Q20" s="12" t="inlineStr">
        <is>
          <t>● 관련분야 설계기준서 준수</t>
        </is>
      </c>
      <c r="R20" s="19" t="inlineStr">
        <is>
          <t>1) 👉 [더블클릭] 체크리스트 열기 📄</t>
        </is>
      </c>
      <c r="S20" s="12" t="n"/>
    </row>
    <row r="21" ht="104.4" customHeight="1">
      <c r="A21" s="11" t="inlineStr">
        <is>
          <t>9000</t>
        </is>
      </c>
      <c r="B21" s="11" t="inlineStr">
        <is>
          <t>9000-1</t>
        </is>
      </c>
      <c r="C21" s="12" t="inlineStr">
        <is>
          <t>신호분야</t>
        </is>
      </c>
      <c r="D21" s="11" t="inlineStr">
        <is>
          <t>9000-1-21</t>
        </is>
      </c>
      <c r="E21" s="20" t="inlineStr">
        <is>
          <t>시설물 검증시험</t>
        </is>
      </c>
      <c r="F21" s="11" t="inlineStr">
        <is>
          <t>현장소장 및 발주처 / 공동감리단</t>
        </is>
      </c>
      <c r="G21" s="12" t="inlineStr">
        <is>
          <t>시설물검증 노선에 환경에 철도종합시험운행 시행지침에 의거 철도노선 및 관계시설을 검증하여 안전성 확보 여부 판단</t>
        </is>
      </c>
      <c r="H21" s="12" t="inlineStr">
        <is>
          <t>- 철도종합시험운행 시행지침상 검사사항 검증</t>
        </is>
      </c>
      <c r="I21" s="12" t="inlineStr">
        <is>
          <t>시설물 검증시험 시험결과 및 승인원, 완료결과보고서</t>
        </is>
      </c>
      <c r="J21"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21" s="18" t="inlineStr">
        <is>
          <t>👉 [더블클릭] 표준서 열기 📄</t>
        </is>
      </c>
      <c r="L21"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21" s="18" t="inlineStr">
        <is>
          <t>👉 [더블클릭] 수행지침 열기 📄</t>
        </is>
      </c>
      <c r="N21" s="12" t="inlineStr">
        <is>
          <t>1) 교차로 PPC 트램 우선신호 응답시간(≤100ms) 및 도로교통 신호등 연동을 확인하였는가?
2) [협력업체 자문] 교차로 PPC 신호함체가 도로 굴착선에서 안전 이격 거리(5m)를 확보했는가?</t>
        </is>
      </c>
      <c r="O21" s="18" t="inlineStr">
        <is>
          <t>👉 [더블클릭] 체크리스트 열기 📄</t>
        </is>
      </c>
      <c r="P21" s="11" t="n"/>
      <c r="Q21" s="12" t="inlineStr">
        <is>
          <t>● 관련분야 설계기준서 준수</t>
        </is>
      </c>
      <c r="R21" s="19" t="inlineStr">
        <is>
          <t>1) 👉 [더블클릭] 체크리스트 열기 📄</t>
        </is>
      </c>
      <c r="S21" s="12" t="n"/>
    </row>
    <row r="22" ht="104.4" customHeight="1">
      <c r="A22" s="11" t="inlineStr">
        <is>
          <t>9000</t>
        </is>
      </c>
      <c r="B22" s="11" t="inlineStr">
        <is>
          <t>9000-1</t>
        </is>
      </c>
      <c r="C22" s="12" t="inlineStr">
        <is>
          <t>신호분야</t>
        </is>
      </c>
      <c r="D22" s="11" t="inlineStr">
        <is>
          <t>9000-1-22</t>
        </is>
      </c>
      <c r="E22" s="20" t="inlineStr">
        <is>
          <t>영업 시운전</t>
        </is>
      </c>
      <c r="F22" s="11" t="inlineStr">
        <is>
          <t>현장소장 및 발주처 / 공동감리단</t>
        </is>
      </c>
      <c r="G22" s="12" t="inlineStr">
        <is>
          <t>영업 시운전에 의한 수송능력을 파악하고 최종 운영기관과 인터페이스 협의를 통해 시공의 안정성 확보 여부 및 검증</t>
        </is>
      </c>
      <c r="H22" s="12" t="inlineStr">
        <is>
          <t>- 모의 영업 시나리오 기반 100회 정시 운행 성공률 99.8% 이상 확보
- 영업운전과 동일한 조건으로 행사수송 수행 및 영업준비 수행
- 철도안전관련계 체계 및 시운전수행 승인 등 관계 기관에 제출</t>
        </is>
      </c>
      <c r="I22" s="12" t="inlineStr">
        <is>
          <t>영업 시운전 및 가동단계에서 운영지침서 및 최종 제출서(가동시험보고서)</t>
        </is>
      </c>
      <c r="J22"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22" s="18" t="inlineStr">
        <is>
          <t>👉 [더블클릭] 표준서 열기 📄</t>
        </is>
      </c>
      <c r="L22"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22" s="18" t="inlineStr">
        <is>
          <t>👉 [더블클릭] 수행지침 열기 📄</t>
        </is>
      </c>
      <c r="N22" s="12" t="inlineStr">
        <is>
          <t>1) 교차로 PPC 트램 우선신호 응답시간(≤100ms) 및 도로교통 신호등 연동을 확인하였는가?
2) [협력업체 자문] 교차로 PPC 신호함체가 도로 굴착선에서 안전 이격 거리(5m)를 확보했는가?</t>
        </is>
      </c>
      <c r="O22" s="18" t="inlineStr">
        <is>
          <t>👉 [더블클릭] 체크리스트 열기 📄</t>
        </is>
      </c>
      <c r="P22" s="11" t="n"/>
      <c r="Q22" s="12" t="inlineStr">
        <is>
          <t>● 관련분야 설계기준서 준수</t>
        </is>
      </c>
      <c r="R22" s="19" t="inlineStr">
        <is>
          <t>1) 👉 [더블클릭] 체크리스트 열기 📄</t>
        </is>
      </c>
      <c r="S22" s="12" t="n"/>
    </row>
    <row r="23" ht="104.4" customHeight="1">
      <c r="A23" s="11" t="inlineStr">
        <is>
          <t>9000</t>
        </is>
      </c>
      <c r="B23" s="11" t="inlineStr">
        <is>
          <t>9000-1</t>
        </is>
      </c>
      <c r="C23" s="12" t="inlineStr">
        <is>
          <t>신호분야</t>
        </is>
      </c>
      <c r="D23" s="11" t="inlineStr">
        <is>
          <t>9000-1-13</t>
        </is>
      </c>
      <c r="E23" s="20" t="inlineStr">
        <is>
          <t>유지관리 설치</t>
        </is>
      </c>
      <c r="F23" s="11" t="inlineStr">
        <is>
          <t>현장소장</t>
        </is>
      </c>
      <c r="G23" s="12" t="inlineStr">
        <is>
          <t>관제 관제실의 장비체계 배치 및 설치</t>
        </is>
      </c>
      <c r="H23" s="12" t="inlineStr">
        <is>
          <t>- 유지 및 보수용 상세 공사 설계배치 확인
- 현장조성 및 유지관리 지침서 이행 여부</t>
        </is>
      </c>
      <c r="I23" s="12" t="inlineStr">
        <is>
          <t>유지관리 지침 및 관리 이행 보고서</t>
        </is>
      </c>
      <c r="J23" s="12"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23" s="18" t="inlineStr">
        <is>
          <t>👉 [더블클릭] 표준서 열기 📄</t>
        </is>
      </c>
      <c r="L23" s="12"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23" s="18" t="inlineStr">
        <is>
          <t>👉 [더블클릭] 수행지침 열기 📄</t>
        </is>
      </c>
      <c r="N23" s="12" t="inlineStr">
        <is>
          <t>1) 교차로 PPC 트램 우선신호 응답시간(≤100ms) 및 도로교통 신호등 연동을 확인하였는가?
2) [협력업체 자문] 교차로 PPC 신호함체가 도로 굴착선에서 안전 이격 거리(5m)를 확보했는가?</t>
        </is>
      </c>
      <c r="O23" s="18" t="inlineStr">
        <is>
          <t>👉 [더블클릭] 체크리스트 열기 📄</t>
        </is>
      </c>
      <c r="P23" s="11" t="n"/>
      <c r="Q23" s="12" t="inlineStr">
        <is>
          <t>● 관련분야 설계기준서 준수</t>
        </is>
      </c>
      <c r="R23" s="19" t="inlineStr">
        <is>
          <t>1) 👉 [더블클릭] 체크리스트 열기 📄</t>
        </is>
      </c>
      <c r="S23" s="12" t="n"/>
    </row>
  </sheetData>
  <hyperlinks>
    <hyperlink xmlns:r="http://schemas.openxmlformats.org/officeDocument/2006/relationships" ref="K2" r:id="rId1"/>
    <hyperlink xmlns:r="http://schemas.openxmlformats.org/officeDocument/2006/relationships" ref="M2" r:id="rId2"/>
    <hyperlink xmlns:r="http://schemas.openxmlformats.org/officeDocument/2006/relationships" ref="O2" r:id="rId3"/>
    <hyperlink xmlns:r="http://schemas.openxmlformats.org/officeDocument/2006/relationships" ref="K3" r:id="rId4"/>
    <hyperlink xmlns:r="http://schemas.openxmlformats.org/officeDocument/2006/relationships" ref="M3" r:id="rId5"/>
    <hyperlink xmlns:r="http://schemas.openxmlformats.org/officeDocument/2006/relationships" ref="O3" r:id="rId6"/>
    <hyperlink xmlns:r="http://schemas.openxmlformats.org/officeDocument/2006/relationships" ref="K4" r:id="rId7"/>
    <hyperlink xmlns:r="http://schemas.openxmlformats.org/officeDocument/2006/relationships" ref="M4" r:id="rId8"/>
    <hyperlink xmlns:r="http://schemas.openxmlformats.org/officeDocument/2006/relationships" ref="O4" r:id="rId9"/>
    <hyperlink xmlns:r="http://schemas.openxmlformats.org/officeDocument/2006/relationships" ref="K5" r:id="rId10"/>
    <hyperlink xmlns:r="http://schemas.openxmlformats.org/officeDocument/2006/relationships" ref="M5" r:id="rId11"/>
    <hyperlink xmlns:r="http://schemas.openxmlformats.org/officeDocument/2006/relationships" ref="O5" r:id="rId12"/>
    <hyperlink xmlns:r="http://schemas.openxmlformats.org/officeDocument/2006/relationships" ref="K6" r:id="rId13"/>
    <hyperlink xmlns:r="http://schemas.openxmlformats.org/officeDocument/2006/relationships" ref="M6" r:id="rId14"/>
    <hyperlink xmlns:r="http://schemas.openxmlformats.org/officeDocument/2006/relationships" ref="O6" r:id="rId15"/>
    <hyperlink xmlns:r="http://schemas.openxmlformats.org/officeDocument/2006/relationships" ref="K7" r:id="rId16"/>
    <hyperlink xmlns:r="http://schemas.openxmlformats.org/officeDocument/2006/relationships" ref="M7" r:id="rId17"/>
    <hyperlink xmlns:r="http://schemas.openxmlformats.org/officeDocument/2006/relationships" ref="O7" r:id="rId18"/>
    <hyperlink xmlns:r="http://schemas.openxmlformats.org/officeDocument/2006/relationships" ref="K8" r:id="rId19"/>
    <hyperlink xmlns:r="http://schemas.openxmlformats.org/officeDocument/2006/relationships" ref="M8" r:id="rId20"/>
    <hyperlink xmlns:r="http://schemas.openxmlformats.org/officeDocument/2006/relationships" ref="O8" r:id="rId21"/>
    <hyperlink xmlns:r="http://schemas.openxmlformats.org/officeDocument/2006/relationships" ref="K9" r:id="rId22"/>
    <hyperlink xmlns:r="http://schemas.openxmlformats.org/officeDocument/2006/relationships" ref="M9" r:id="rId23"/>
    <hyperlink xmlns:r="http://schemas.openxmlformats.org/officeDocument/2006/relationships" ref="O9" r:id="rId24"/>
    <hyperlink xmlns:r="http://schemas.openxmlformats.org/officeDocument/2006/relationships" ref="K10" r:id="rId25"/>
    <hyperlink xmlns:r="http://schemas.openxmlformats.org/officeDocument/2006/relationships" ref="M10" r:id="rId26"/>
    <hyperlink xmlns:r="http://schemas.openxmlformats.org/officeDocument/2006/relationships" ref="O10" r:id="rId27"/>
    <hyperlink xmlns:r="http://schemas.openxmlformats.org/officeDocument/2006/relationships" ref="K11" r:id="rId28"/>
    <hyperlink xmlns:r="http://schemas.openxmlformats.org/officeDocument/2006/relationships" ref="M11" r:id="rId29"/>
    <hyperlink xmlns:r="http://schemas.openxmlformats.org/officeDocument/2006/relationships" ref="O11" r:id="rId30"/>
    <hyperlink xmlns:r="http://schemas.openxmlformats.org/officeDocument/2006/relationships" ref="K12" r:id="rId31"/>
    <hyperlink xmlns:r="http://schemas.openxmlformats.org/officeDocument/2006/relationships" ref="M12" r:id="rId32"/>
    <hyperlink xmlns:r="http://schemas.openxmlformats.org/officeDocument/2006/relationships" ref="O12" r:id="rId33"/>
    <hyperlink xmlns:r="http://schemas.openxmlformats.org/officeDocument/2006/relationships" ref="K13" r:id="rId34"/>
    <hyperlink xmlns:r="http://schemas.openxmlformats.org/officeDocument/2006/relationships" ref="M13" r:id="rId35"/>
    <hyperlink xmlns:r="http://schemas.openxmlformats.org/officeDocument/2006/relationships" ref="O13" r:id="rId36"/>
    <hyperlink xmlns:r="http://schemas.openxmlformats.org/officeDocument/2006/relationships" ref="K14" r:id="rId37"/>
    <hyperlink xmlns:r="http://schemas.openxmlformats.org/officeDocument/2006/relationships" ref="M14" r:id="rId38"/>
    <hyperlink xmlns:r="http://schemas.openxmlformats.org/officeDocument/2006/relationships" ref="O14" r:id="rId39"/>
    <hyperlink xmlns:r="http://schemas.openxmlformats.org/officeDocument/2006/relationships" ref="K15" r:id="rId40"/>
    <hyperlink xmlns:r="http://schemas.openxmlformats.org/officeDocument/2006/relationships" ref="M15" r:id="rId41"/>
    <hyperlink xmlns:r="http://schemas.openxmlformats.org/officeDocument/2006/relationships" ref="O15" r:id="rId42"/>
    <hyperlink xmlns:r="http://schemas.openxmlformats.org/officeDocument/2006/relationships" ref="K16" r:id="rId43"/>
    <hyperlink xmlns:r="http://schemas.openxmlformats.org/officeDocument/2006/relationships" ref="M16" r:id="rId44"/>
    <hyperlink xmlns:r="http://schemas.openxmlformats.org/officeDocument/2006/relationships" ref="O16" r:id="rId45"/>
    <hyperlink xmlns:r="http://schemas.openxmlformats.org/officeDocument/2006/relationships" ref="K17" r:id="rId46"/>
    <hyperlink xmlns:r="http://schemas.openxmlformats.org/officeDocument/2006/relationships" ref="M17" r:id="rId47"/>
    <hyperlink xmlns:r="http://schemas.openxmlformats.org/officeDocument/2006/relationships" ref="O17" r:id="rId48"/>
    <hyperlink xmlns:r="http://schemas.openxmlformats.org/officeDocument/2006/relationships" ref="K18" r:id="rId49"/>
    <hyperlink xmlns:r="http://schemas.openxmlformats.org/officeDocument/2006/relationships" ref="M18" r:id="rId50"/>
    <hyperlink xmlns:r="http://schemas.openxmlformats.org/officeDocument/2006/relationships" ref="O18" r:id="rId51"/>
    <hyperlink xmlns:r="http://schemas.openxmlformats.org/officeDocument/2006/relationships" ref="K19" r:id="rId52"/>
    <hyperlink xmlns:r="http://schemas.openxmlformats.org/officeDocument/2006/relationships" ref="M19" r:id="rId53"/>
    <hyperlink xmlns:r="http://schemas.openxmlformats.org/officeDocument/2006/relationships" ref="O19" r:id="rId54"/>
    <hyperlink xmlns:r="http://schemas.openxmlformats.org/officeDocument/2006/relationships" ref="K20" r:id="rId55"/>
    <hyperlink xmlns:r="http://schemas.openxmlformats.org/officeDocument/2006/relationships" ref="M20" r:id="rId56"/>
    <hyperlink xmlns:r="http://schemas.openxmlformats.org/officeDocument/2006/relationships" ref="O20" r:id="rId57"/>
    <hyperlink xmlns:r="http://schemas.openxmlformats.org/officeDocument/2006/relationships" ref="K21" r:id="rId58"/>
    <hyperlink xmlns:r="http://schemas.openxmlformats.org/officeDocument/2006/relationships" ref="M21" r:id="rId59"/>
    <hyperlink xmlns:r="http://schemas.openxmlformats.org/officeDocument/2006/relationships" ref="O21" r:id="rId60"/>
    <hyperlink xmlns:r="http://schemas.openxmlformats.org/officeDocument/2006/relationships" ref="K22" r:id="rId61"/>
    <hyperlink xmlns:r="http://schemas.openxmlformats.org/officeDocument/2006/relationships" ref="M22" r:id="rId62"/>
    <hyperlink xmlns:r="http://schemas.openxmlformats.org/officeDocument/2006/relationships" ref="O22" r:id="rId63"/>
    <hyperlink xmlns:r="http://schemas.openxmlformats.org/officeDocument/2006/relationships" ref="K23" r:id="rId64"/>
    <hyperlink xmlns:r="http://schemas.openxmlformats.org/officeDocument/2006/relationships" ref="M23" r:id="rId65"/>
    <hyperlink xmlns:r="http://schemas.openxmlformats.org/officeDocument/2006/relationships" ref="O23" r:id="rId66"/>
  </hyperlinks>
  <printOptions horizontalCentered="1"/>
  <pageMargins left="0.7480314960629921" right="0.7480314960629921" top="0.984251968503937" bottom="0.984251968503937" header="0.5118110236220472" footer="0.5118110236220472"/>
  <pageSetup orientation="landscape" paperSize="8" scale="52" verticalDpi="0"/>
</worksheet>
</file>

<file path=xl/worksheets/sheet8.xml><?xml version="1.0" encoding="utf-8"?>
<worksheet xmlns="http://schemas.openxmlformats.org/spreadsheetml/2006/main">
  <sheetPr>
    <outlinePr summaryBelow="1" summaryRight="1"/>
    <pageSetUpPr/>
  </sheetPr>
  <dimension ref="A1:S33"/>
  <sheetViews>
    <sheetView view="pageBreakPreview" zoomScale="40" zoomScaleNormal="40" zoomScaleSheetLayoutView="40" workbookViewId="0">
      <selection activeCell="I3" sqref="I3"/>
    </sheetView>
  </sheetViews>
  <sheetFormatPr baseColWidth="8" defaultRowHeight="19.2"/>
  <cols>
    <col width="8.796875" customWidth="1" style="4" min="1" max="3"/>
    <col width="16" customWidth="1" style="5" min="4" max="4"/>
    <col width="30.3984375" customWidth="1" style="5" min="5" max="5"/>
    <col width="21.69921875" customWidth="1" style="5" min="6" max="6"/>
    <col width="32.59765625" customWidth="1" style="4" min="7" max="7"/>
    <col width="73.09765625" customWidth="1" style="4" min="8" max="8"/>
    <col width="41.69921875" customWidth="1" style="4" min="9" max="9"/>
    <col width="53" customWidth="1" style="4" min="10" max="10"/>
    <col width="13.09765625" customWidth="1" style="4" min="11" max="11"/>
    <col width="45" customWidth="1" style="4" min="12" max="12"/>
    <col width="10.3984375" customWidth="1" style="4" min="13" max="13"/>
    <col width="45" customWidth="1" style="4" min="14" max="14"/>
    <col width="14" customWidth="1" style="30" min="15" max="15"/>
    <col width="15.796875" customWidth="1" style="4" min="16" max="16"/>
    <col width="45" customWidth="1" style="30" min="17" max="17"/>
    <col width="22" customWidth="1" style="30" min="18" max="18"/>
    <col width="45" customWidth="1" style="4" min="19" max="35"/>
    <col width="8.796875" customWidth="1" style="4" min="36" max="41"/>
    <col width="8.796875" customWidth="1" style="4" min="42" max="16384"/>
  </cols>
  <sheetData>
    <row r="1" ht="57.6" customHeight="1">
      <c r="A1" s="32" t="inlineStr">
        <is>
          <t>L2 코드</t>
        </is>
      </c>
      <c r="B1" s="32" t="inlineStr">
        <is>
          <t>L3 코드</t>
        </is>
      </c>
      <c r="C1" s="32" t="inlineStr">
        <is>
          <t>L3 대공종명</t>
        </is>
      </c>
      <c r="D1" s="32" t="inlineStr">
        <is>
          <t>L4 코드</t>
        </is>
      </c>
      <c r="E1" s="32" t="inlineStr">
        <is>
          <t>작업단위 (Level 4 Task/Activity)</t>
        </is>
      </c>
      <c r="F1" s="32" t="inlineStr">
        <is>
          <t>주관</t>
        </is>
      </c>
      <c r="G1" s="32" t="inlineStr">
        <is>
          <t>목적</t>
        </is>
      </c>
      <c r="H1" s="32" t="inlineStr">
        <is>
          <t>방법</t>
        </is>
      </c>
      <c r="I1" s="32" t="inlineStr">
        <is>
          <t>산출물(결과)</t>
        </is>
      </c>
      <c r="J1" s="32" t="inlineStr">
        <is>
          <t>표준서 (Standard) 요약</t>
        </is>
      </c>
      <c r="K1" s="33" t="inlineStr">
        <is>
          <t>표준서 파일 (HTML)</t>
        </is>
      </c>
      <c r="L1" s="32" t="inlineStr">
        <is>
          <t>수행지침 (Guideline) 요약</t>
        </is>
      </c>
      <c r="M1" s="33" t="inlineStr">
        <is>
          <t>수행지침 파일 (HTML)</t>
        </is>
      </c>
      <c r="N1" s="32" t="inlineStr">
        <is>
          <t>체크리스트 (Checklist) 요약</t>
        </is>
      </c>
      <c r="O1" s="34" t="inlineStr">
        <is>
          <t>체크리스트 파일 (HTML)</t>
        </is>
      </c>
      <c r="P1" s="23" t="inlineStr">
        <is>
          <t>비고</t>
        </is>
      </c>
      <c r="Q1" s="23" t="inlineStr">
        <is>
          <t>첨부서류 연계 상세 설계기준</t>
        </is>
      </c>
      <c r="R1" s="23" t="inlineStr">
        <is>
          <t>집행단계 리스크 체크리스트</t>
        </is>
      </c>
      <c r="S1" s="23" t="inlineStr">
        <is>
          <t>협력사 시공/공사관리 자문</t>
        </is>
      </c>
    </row>
    <row r="2" ht="172.8" customHeight="1">
      <c r="A2" s="35" t="inlineStr">
        <is>
          <t>9000</t>
        </is>
      </c>
      <c r="B2" s="35" t="inlineStr">
        <is>
          <t>9000-2</t>
        </is>
      </c>
      <c r="C2" s="36" t="inlineStr">
        <is>
          <t>통신분야</t>
        </is>
      </c>
      <c r="D2" s="35" t="inlineStr">
        <is>
          <t>9000-2-1</t>
        </is>
      </c>
      <c r="E2" s="36" t="inlineStr">
        <is>
          <t>설계적정성 검토</t>
        </is>
      </c>
      <c r="F2" s="35" t="inlineStr">
        <is>
          <t>현장 공무팀</t>
        </is>
      </c>
      <c r="G2" s="36" t="inlineStr">
        <is>
          <t>설계적정성 및 시공성 검토</t>
        </is>
      </c>
      <c r="H2" s="36" t="inlineStr">
        <is>
          <t>- 입찰 요구사항에 대한 설계 반영여부 검토
- 설계도서 및 철도표준 자재 반영여부 확인
- 타 시스템과의 인터페이스 가능 여부, 용량, 성능요구 및 통신 트렌드를 고려한 통신 시스템 선정
- 설계단계에서 통신 음영지역이 있는지를 샘플링 시뮬레이션을 통해 확인하는지 체크 (민원방지 및 롤백 예방을 위한 방안 수립)
- 기지/역사/터널 배선 적정성 검토
- 현장설치 시공성 및 공기 Risk 검토
- 공정계획의 적정성 검토</t>
        </is>
      </c>
      <c r="I2" s="36" t="inlineStr">
        <is>
          <t>회의록, 설계검토 보고서</t>
        </is>
      </c>
      <c r="J2" s="36" t="inlineStr">
        <is>
          <t>1) MHz LTE-R 음영지역 제로화: 본선 및 차량기지 전 구간 수신강도 RSSI ≥ -95dBm, RSRP ≥ -105dBm, 핸드오버 성공률 ≥ 99.5% 확보
2) 광백본 72-Core 이중화 링: 72-Core 싱글모드 광케이블(ITU-T G.652D) 이중화 링 백본 망 및 OTDR 접속 손실 ≤ 0.05dB/splice 관리</t>
        </is>
      </c>
      <c r="K2" s="37" t="inlineStr">
        <is>
          <t>👉 [더블클릭] 표준서 열기 📄</t>
        </is>
      </c>
      <c r="L2"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2" s="37" t="inlineStr">
        <is>
          <t>👉 [더블클릭] 수행지침 열기 📄</t>
        </is>
      </c>
      <c r="N2" s="36" t="inlineStr">
        <is>
          <t>1) MHz LTE-R 전 구간 무선 수신강도(RSSI ≥ -95dBm) 및 핸드오버(≥99.5%) 시험을 완료했는가?
2) Core 광백본 이중화 링 망의 OTDR 접속 손실(≤0.05dB/splice) 성과표를 검측했는가?</t>
        </is>
      </c>
      <c r="O2" s="37" t="inlineStr">
        <is>
          <t>👉 [더블클릭] 체크리스트 열기 📄</t>
        </is>
      </c>
      <c r="P2" s="35" t="n"/>
      <c r="Q2" s="36" t="inlineStr">
        <is>
          <t>● 관련분야 설계기준서 준수</t>
        </is>
      </c>
      <c r="R2" s="29" t="inlineStr">
        <is>
          <t>1) 👉 [더블클릭] 체크리스트 열기 📄</t>
        </is>
      </c>
      <c r="S2" s="36" t="n"/>
    </row>
    <row r="3" ht="211.2" customHeight="1">
      <c r="A3" s="35" t="inlineStr">
        <is>
          <t>9000</t>
        </is>
      </c>
      <c r="B3" s="35" t="inlineStr">
        <is>
          <t>9000-2</t>
        </is>
      </c>
      <c r="C3" s="36" t="inlineStr">
        <is>
          <t>통신분야</t>
        </is>
      </c>
      <c r="D3" s="35" t="inlineStr">
        <is>
          <t>9000-2-2</t>
        </is>
      </c>
      <c r="E3" s="36" t="inlineStr">
        <is>
          <t>착수전략 KOM</t>
        </is>
      </c>
      <c r="F3" s="35" t="inlineStr">
        <is>
          <t>현장소장</t>
        </is>
      </c>
      <c r="G3" s="36" t="inlineStr">
        <is>
          <t>통신설비 공사 발주 전략수립</t>
        </is>
      </c>
      <c r="H3" s="36" t="inlineStr">
        <is>
          <t>- 통신설계 설계 및 변동요인 검토
- 통신공사 공사 시공실적 업체Pool 검토
- 유사사례 영업운행 실적이 확보된 시스템적용
1) 공정계획 및 통신자재 제작 기간
2) 통신설비 구축 실적 보유 (철도, 도시철도, 경전철)
3) 예비품 및 소모품 포함
4) 시공전시 통신설비 운전 및 교육 지원 (비용 포함)
5) 예상내역상 누락 예비품 여부
6) 현장 자재보관 창고 임대 비용 포함
7) 공사용 전기, 물수, 청소 비용 포함
8) 가동 후 현장 기술지원 및 기술 전수 인력기간 및 비용 포함</t>
        </is>
      </c>
      <c r="I3" s="36" t="inlineStr">
        <is>
          <t>KOM 검토결과서, 현장설명서</t>
        </is>
      </c>
      <c r="J3"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3" s="37" t="inlineStr">
        <is>
          <t>👉 [더블클릭] 표준서 열기 📄</t>
        </is>
      </c>
      <c r="L3"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3" s="37" t="inlineStr">
        <is>
          <t>👉 [더블클릭] 수행지침 열기 📄</t>
        </is>
      </c>
      <c r="N3" s="36" t="inlineStr">
        <is>
          <t>1) MHz LTE-R 전 구간 무선 수신강도(RSSI ≥ -95dBm) 및 핸드오버(≥99.5%) 시험을 완료했는가?
2) Core 광백본 이중화 링 망의 OTDR 접속 손실(≤0.05dB/splice) 성과표를 검측했는가?</t>
        </is>
      </c>
      <c r="O3" s="37" t="inlineStr">
        <is>
          <t>👉 [더블클릭] 체크리스트 열기 📄</t>
        </is>
      </c>
      <c r="P3" s="35" t="n"/>
      <c r="Q3" s="36" t="inlineStr">
        <is>
          <t>● 관련분야 설계기준서 준수</t>
        </is>
      </c>
      <c r="R3" s="29" t="inlineStr">
        <is>
          <t>1) 👉 [더블클릭] 체크리스트 열기 📄</t>
        </is>
      </c>
      <c r="S3" s="36" t="n"/>
    </row>
    <row r="4" ht="115.2" customHeight="1">
      <c r="A4" s="35" t="inlineStr">
        <is>
          <t>9000</t>
        </is>
      </c>
      <c r="B4" s="35" t="inlineStr">
        <is>
          <t>9000-2</t>
        </is>
      </c>
      <c r="C4" s="36" t="inlineStr">
        <is>
          <t>통신분야</t>
        </is>
      </c>
      <c r="D4" s="35" t="inlineStr">
        <is>
          <t>9000-2-3</t>
        </is>
      </c>
      <c r="E4" s="36" t="inlineStr">
        <is>
          <t>토목 / 건축 인터페이스 협의</t>
        </is>
      </c>
      <c r="F4" s="35" t="inlineStr">
        <is>
          <t>현장 시스템팀</t>
        </is>
      </c>
      <c r="G4" s="36" t="inlineStr">
        <is>
          <t>통신설비 설치를 위한 요구사항 검토</t>
        </is>
      </c>
      <c r="H4" s="36" t="inlineStr">
        <is>
          <t>- 자재 반입전/공동구/케이블 인입구 등 확인, 기능실마감 및 출입문 상태</t>
        </is>
      </c>
      <c r="I4" s="36" t="inlineStr">
        <is>
          <t>인터페이스 회의록 및 관리대장</t>
        </is>
      </c>
      <c r="J4"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4" s="37" t="inlineStr">
        <is>
          <t>👉 [더블클릭] 표준서 열기 📄</t>
        </is>
      </c>
      <c r="L4"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4" s="37" t="inlineStr">
        <is>
          <t>👉 [더블클릭] 수행지침 열기 📄</t>
        </is>
      </c>
      <c r="N4" s="36" t="inlineStr">
        <is>
          <t>1) MHz LTE-R 전 구간 무선 수신강도(RSSI ≥ -95dBm) 및 핸드오버(≥99.5%) 시험을 완료했는가?
2) Core 광백본 이중화 링 망의 OTDR 접속 손실(≤0.05dB/splice) 성과표를 검측했는가?</t>
        </is>
      </c>
      <c r="O4" s="37" t="inlineStr">
        <is>
          <t>👉 [더블클릭] 체크리스트 열기 📄</t>
        </is>
      </c>
      <c r="P4" s="35" t="n"/>
      <c r="Q4" s="36" t="inlineStr">
        <is>
          <t>● 관련분야 설계기준서 준수</t>
        </is>
      </c>
      <c r="R4" s="29" t="inlineStr">
        <is>
          <t>1) 👉 [더블클릭] 체크리스트 열기 📄</t>
        </is>
      </c>
      <c r="S4" s="36" t="n"/>
    </row>
    <row r="5" ht="115.2" customHeight="1">
      <c r="A5" s="35" t="inlineStr">
        <is>
          <t>9000</t>
        </is>
      </c>
      <c r="B5" s="35" t="inlineStr">
        <is>
          <t>9000-2</t>
        </is>
      </c>
      <c r="C5" s="36" t="inlineStr">
        <is>
          <t>통신분야</t>
        </is>
      </c>
      <c r="D5" s="35" t="inlineStr">
        <is>
          <t>9000-2-4</t>
        </is>
      </c>
      <c r="E5" s="36" t="inlineStr">
        <is>
          <t>전기 / 신호 / 기계 / PSD / 차량 인터페이스 협의</t>
        </is>
      </c>
      <c r="F5" s="35" t="inlineStr">
        <is>
          <t>현장 시스템팀 / 통신 협력업체</t>
        </is>
      </c>
      <c r="G5" s="36" t="inlineStr">
        <is>
          <t>연계분야간 사전조율 및 인터페이스 사항 조율로 재작업 예방</t>
        </is>
      </c>
      <c r="H5" s="36" t="inlineStr">
        <is>
          <t>- 연계분야별 조율 및 협의사항 도출
1) 전기: 소요전력 외
2) 신호: 공동관로 포설계획 외
3) 차량: 차량 통신장치-차량간 연계
4) 전기, 신호, 기계, PSD와 통신망 계통 조율
- 일정, 분야별 필요 통신회선 수/종류, 기계실 케이블 및 세부 작업 범위</t>
        </is>
      </c>
      <c r="I5" s="36" t="inlineStr">
        <is>
          <t>인터페이스 회의록 및 관리대장</t>
        </is>
      </c>
      <c r="J5"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5" s="37" t="inlineStr">
        <is>
          <t>👉 [더블클릭] 표준서 열기 📄</t>
        </is>
      </c>
      <c r="L5"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5" s="37" t="inlineStr">
        <is>
          <t>👉 [더블클릭] 수행지침 열기 📄</t>
        </is>
      </c>
      <c r="N5" s="36" t="inlineStr">
        <is>
          <t>1) MHz LTE-R 전 구간 무선 수신강도(RSSI ≥ -95dBm) 및 핸드오버(≥99.5%) 시험을 완료했는가?
2) Core 광백본 이중화 링 망의 OTDR 접속 손실(≤0.05dB/splice) 성과표를 검측했는가?</t>
        </is>
      </c>
      <c r="O5" s="37" t="inlineStr">
        <is>
          <t>👉 [더블클릭] 체크리스트 열기 📄</t>
        </is>
      </c>
      <c r="P5" s="35" t="n"/>
      <c r="Q5" s="36" t="inlineStr">
        <is>
          <t>● 관련분야 설계기준서 준수</t>
        </is>
      </c>
      <c r="R5" s="29" t="inlineStr">
        <is>
          <t>1) 👉 [더블클릭] 체크리스트 열기 📄</t>
        </is>
      </c>
      <c r="S5" s="36" t="n"/>
    </row>
    <row r="6" ht="115.2" customHeight="1">
      <c r="A6" s="35" t="inlineStr">
        <is>
          <t>9000</t>
        </is>
      </c>
      <c r="B6" s="35" t="inlineStr">
        <is>
          <t>9000-2</t>
        </is>
      </c>
      <c r="C6" s="36" t="inlineStr">
        <is>
          <t>통신분야</t>
        </is>
      </c>
      <c r="D6" s="35" t="inlineStr">
        <is>
          <t>9000-2-5</t>
        </is>
      </c>
      <c r="E6" s="36" t="inlineStr">
        <is>
          <t>통신설비 제작사 인터페이스 협의</t>
        </is>
      </c>
      <c r="F6" s="35" t="inlineStr">
        <is>
          <t>현장 시스템팀</t>
        </is>
      </c>
      <c r="G6" s="36" t="inlineStr">
        <is>
          <t>통신설비간 연동방안 검토</t>
        </is>
      </c>
      <c r="H6" s="36" t="inlineStr">
        <is>
          <t>- 내부 인터페이스 및 인허가사항 확인, 보안성검토 요청서</t>
        </is>
      </c>
      <c r="I6" s="36" t="inlineStr">
        <is>
          <t>인터페이스 회의록 및 관리대장</t>
        </is>
      </c>
      <c r="J6"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6" s="37" t="inlineStr">
        <is>
          <t>👉 [더블클릭] 표준서 열기 📄</t>
        </is>
      </c>
      <c r="L6"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6" s="37" t="inlineStr">
        <is>
          <t>👉 [더블클릭] 수행지침 열기 📄</t>
        </is>
      </c>
      <c r="N6" s="36" t="inlineStr">
        <is>
          <t>1) MHz LTE-R 전 구간 무선 수신강도(RSSI ≥ -95dBm) 및 핸드오버(≥99.5%) 시험을 완료했는가?
2) Core 광백본 이중화 링 망의 OTDR 접속 손실(≤0.05dB/splice) 성과표를 검측했는가?</t>
        </is>
      </c>
      <c r="O6" s="37" t="inlineStr">
        <is>
          <t>👉 [더블클릭] 체크리스트 열기 📄</t>
        </is>
      </c>
      <c r="P6" s="35" t="n"/>
      <c r="Q6" s="36" t="inlineStr">
        <is>
          <t>● 관련분야 설계기준서 준수</t>
        </is>
      </c>
      <c r="R6" s="29" t="inlineStr">
        <is>
          <t>1) 👉 [더블클릭] 체크리스트 열기 📄</t>
        </is>
      </c>
      <c r="S6" s="36" t="n"/>
    </row>
    <row r="7" ht="115.2" customHeight="1">
      <c r="A7" s="35" t="inlineStr">
        <is>
          <t>9000</t>
        </is>
      </c>
      <c r="B7" s="35" t="inlineStr">
        <is>
          <t>9000-2</t>
        </is>
      </c>
      <c r="C7" s="36" t="inlineStr">
        <is>
          <t>통신분야</t>
        </is>
      </c>
      <c r="D7" s="35" t="inlineStr">
        <is>
          <t>9000-2-6</t>
        </is>
      </c>
      <c r="E7" s="36" t="inlineStr">
        <is>
          <t>관제 및 운영사 인터페이스 협의</t>
        </is>
      </c>
      <c r="F7" s="35" t="inlineStr">
        <is>
          <t>현장 시스템팀 / 통신 협력업체</t>
        </is>
      </c>
      <c r="G7" s="36" t="inlineStr">
        <is>
          <t>관제 및 운영사 요구사항 사전 반영 및 시공범위 최적화</t>
        </is>
      </c>
      <c r="H7" s="36" t="inlineStr">
        <is>
          <t>- 시운전 조율사항 및 시운전시 정보 항목도출
- 철도 교통관제(구로/대전)와 연동할 수 있는 무선기능추가(관제/유지보수자 등), 실시간 사진 확인의 편리성 향상을 위한 기능 추가(CCTV카메라 등)
- 합동운영자, 운영사 인터페이스 협의</t>
        </is>
      </c>
      <c r="I7" s="36" t="inlineStr">
        <is>
          <t>인터페이스 회의록 및 관리대장</t>
        </is>
      </c>
      <c r="J7"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7" s="37" t="inlineStr">
        <is>
          <t>👉 [더블클릭] 표준서 열기 📄</t>
        </is>
      </c>
      <c r="L7"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7" s="37" t="inlineStr">
        <is>
          <t>👉 [더블클릭] 수행지침 열기 📄</t>
        </is>
      </c>
      <c r="N7" s="36" t="inlineStr">
        <is>
          <t>1) MHz LTE-R 전 구간 무선 수신강도(RSSI ≥ -95dBm) 및 핸드오버(≥99.5%) 시험을 완료했는가?
2) Core 광백본 이중화 링 망의 OTDR 접속 손실(≤0.05dB/splice) 성과표를 검측했는가?</t>
        </is>
      </c>
      <c r="O7" s="37" t="inlineStr">
        <is>
          <t>👉 [더블클릭] 체크리스트 열기 📄</t>
        </is>
      </c>
      <c r="P7" s="35" t="n"/>
      <c r="Q7" s="36" t="inlineStr">
        <is>
          <t>● 관련분야 설계기준서 준수</t>
        </is>
      </c>
      <c r="R7" s="29" t="inlineStr">
        <is>
          <t>1) 👉 [더블클릭] 체크리스트 열기 📄</t>
        </is>
      </c>
      <c r="S7" s="36" t="n"/>
    </row>
    <row r="8" ht="115.2" customHeight="1">
      <c r="A8" s="35" t="inlineStr">
        <is>
          <t>9000</t>
        </is>
      </c>
      <c r="B8" s="35" t="inlineStr">
        <is>
          <t>9000-2</t>
        </is>
      </c>
      <c r="C8" s="36" t="inlineStr">
        <is>
          <t>통신분야</t>
        </is>
      </c>
      <c r="D8" s="35" t="inlineStr">
        <is>
          <t>9000-2-7</t>
        </is>
      </c>
      <c r="E8" s="36" t="inlineStr">
        <is>
          <t>발주처 품질 요구사항 검토</t>
        </is>
      </c>
      <c r="F8" s="35" t="inlineStr">
        <is>
          <t>현장 시스템팀</t>
        </is>
      </c>
      <c r="G8" s="36" t="inlineStr">
        <is>
          <t>발주처 품질관리 기준/검사방안 확인</t>
        </is>
      </c>
      <c r="H8" s="36" t="inlineStr">
        <is>
          <t>- 감리/감독과 품질검사(ITP/ITC) 항목 검토</t>
        </is>
      </c>
      <c r="I8" s="36" t="inlineStr">
        <is>
          <t>ITP/ITC</t>
        </is>
      </c>
      <c r="J8"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8" s="37" t="inlineStr">
        <is>
          <t>👉 [더블클릭] 표준서 열기 📄</t>
        </is>
      </c>
      <c r="L8"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8" s="37" t="inlineStr">
        <is>
          <t>👉 [더블클릭] 수행지침 열기 📄</t>
        </is>
      </c>
      <c r="N8" s="36" t="inlineStr">
        <is>
          <t>1) MHz LTE-R 전 구간 무선 수신강도(RSSI ≥ -95dBm) 및 핸드오버(≥99.5%) 시험을 완료했는가?
2) Core 광백본 이중화 링 망의 OTDR 접속 손실(≤0.05dB/splice) 성과표를 검측했는가?</t>
        </is>
      </c>
      <c r="O8" s="37" t="inlineStr">
        <is>
          <t>👉 [더블클릭] 체크리스트 열기 📄</t>
        </is>
      </c>
      <c r="P8" s="35" t="n"/>
      <c r="Q8" s="36" t="inlineStr">
        <is>
          <t>● 관련분야 설계기준서 준수</t>
        </is>
      </c>
      <c r="R8" s="29" t="inlineStr">
        <is>
          <t>1) 👉 [더블클릭] 체크리스트 열기 📄</t>
        </is>
      </c>
      <c r="S8" s="36" t="n"/>
    </row>
    <row r="9" ht="115.2" customHeight="1">
      <c r="A9" s="35" t="inlineStr">
        <is>
          <t>9000</t>
        </is>
      </c>
      <c r="B9" s="35" t="inlineStr">
        <is>
          <t>9000-2</t>
        </is>
      </c>
      <c r="C9" s="36" t="inlineStr">
        <is>
          <t>통신분야</t>
        </is>
      </c>
      <c r="D9" s="35" t="inlineStr">
        <is>
          <t>9000-2-8</t>
        </is>
      </c>
      <c r="E9" s="36" t="inlineStr">
        <is>
          <t>자재 / 인원 / 장비 등 투입 사전 검토</t>
        </is>
      </c>
      <c r="F9" s="35" t="inlineStr">
        <is>
          <t>현장 시스템팀 / 협력업체 / 관리</t>
        </is>
      </c>
      <c r="G9" s="36" t="inlineStr">
        <is>
          <t>자재 / 인원 / 장비 투입 계획 수립</t>
        </is>
      </c>
      <c r="H9" s="36" t="inlineStr">
        <is>
          <t>- 현장 여건 및 수량을 기준으로 투입(인원, 장비, 자재) 검토</t>
        </is>
      </c>
      <c r="I9" s="36" t="inlineStr">
        <is>
          <t>세부 공정계획 수립 및 조율</t>
        </is>
      </c>
      <c r="J9"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9" s="37" t="inlineStr">
        <is>
          <t>👉 [더블클릭] 표준서 열기 📄</t>
        </is>
      </c>
      <c r="L9"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9" s="37" t="inlineStr">
        <is>
          <t>👉 [더블클릭] 수행지침 열기 📄</t>
        </is>
      </c>
      <c r="N9" s="36" t="inlineStr">
        <is>
          <t>1) MHz LTE-R 전 구간 무선 수신강도(RSSI ≥ -95dBm) 및 핸드오버(≥99.5%) 시험을 완료했는가?
2) Core 광백본 이중화 링 망의 OTDR 접속 손실(≤0.05dB/splice) 성과표를 검측했는가?</t>
        </is>
      </c>
      <c r="O9" s="37" t="inlineStr">
        <is>
          <t>👉 [더블클릭] 체크리스트 열기 📄</t>
        </is>
      </c>
      <c r="P9" s="35" t="n"/>
      <c r="Q9" s="36" t="inlineStr">
        <is>
          <t>● 관련분야 설계기준서 준수</t>
        </is>
      </c>
      <c r="R9" s="29" t="inlineStr">
        <is>
          <t>1) 👉 [더블클릭] 체크리스트 열기 📄</t>
        </is>
      </c>
      <c r="S9" s="36" t="n"/>
    </row>
    <row r="10" ht="192" customHeight="1">
      <c r="A10" s="35" t="inlineStr">
        <is>
          <t>9000</t>
        </is>
      </c>
      <c r="B10" s="35" t="inlineStr">
        <is>
          <t>9000-2</t>
        </is>
      </c>
      <c r="C10" s="36" t="inlineStr">
        <is>
          <t>통신분야</t>
        </is>
      </c>
      <c r="D10" s="35" t="inlineStr">
        <is>
          <t>9000-2-9</t>
        </is>
      </c>
      <c r="E10" s="36" t="inlineStr">
        <is>
          <t>착수 전 Big Room 회의</t>
        </is>
      </c>
      <c r="F10" s="35" t="inlineStr">
        <is>
          <t>현장소장</t>
        </is>
      </c>
      <c r="G10" s="36" t="inlineStr">
        <is>
          <t>통신공사 수행 시, 선행공정 간섭사항 및 각종 Risk에 대한 대책 수립</t>
        </is>
      </c>
      <c r="H10" s="36" t="inlineStr">
        <is>
          <t>본사/현장/협력사 협의체 구축 후 세부내용 검토
- 공종별 간섭사항 검토: 노반(궤도)/전기/신호/기계/PSD/차량 인터페이스
- 통신자재 반입/토목(도로/궤도)/자재 야적장/제작사 공장 검토
- 통신자재 성능보장, 유사사례 리스크관리 및 성능보증 사항 검토
- 하자 예방, 타 프로젝트 하자사례 검토 후 재발방지방안 수립
- 인원, 자재, 장비 투입계획, 인허가사항 요건계획 검토
- 검사의 각 안전공사 기준 공유, 감리검사 계획 확인
- 공종별 Risk Hedge 방안 검토
1) 안전/품질 Risk 요소 및 대책 수립
2) 민원 대응방안 수립</t>
        </is>
      </c>
      <c r="I10" s="36" t="inlineStr">
        <is>
          <t>Big Room 회의록(참석자 전원 서명)</t>
        </is>
      </c>
      <c r="J10"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10" s="37" t="inlineStr">
        <is>
          <t>👉 [더블클릭] 표준서 열기 📄</t>
        </is>
      </c>
      <c r="L10"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10" s="37" t="inlineStr">
        <is>
          <t>👉 [더블클릭] 수행지침 열기 📄</t>
        </is>
      </c>
      <c r="N10" s="36" t="inlineStr">
        <is>
          <t>1) MHz LTE-R 전 구간 무선 수신강도(RSSI ≥ -95dBm) 및 핸드오버(≥99.5%) 시험을 완료했는가?
2) Core 광백본 이중화 링 망의 OTDR 접속 손실(≤0.05dB/splice) 성과표를 검측했는가?</t>
        </is>
      </c>
      <c r="O10" s="37" t="inlineStr">
        <is>
          <t>👉 [더블클릭] 체크리스트 열기 📄</t>
        </is>
      </c>
      <c r="P10" s="35" t="n"/>
      <c r="Q10" s="36" t="inlineStr">
        <is>
          <t>● 관련분야 설계기준서 준수</t>
        </is>
      </c>
      <c r="R10" s="29" t="inlineStr">
        <is>
          <t>1) 👉 [더블클릭] 체크리스트 열기 📄</t>
        </is>
      </c>
      <c r="S10" s="36" t="n"/>
    </row>
    <row r="11" ht="115.2" customHeight="1">
      <c r="A11" s="35" t="inlineStr">
        <is>
          <t>9000</t>
        </is>
      </c>
      <c r="B11" s="35" t="inlineStr">
        <is>
          <t>9000-2</t>
        </is>
      </c>
      <c r="C11" s="36" t="inlineStr">
        <is>
          <t>통신분야</t>
        </is>
      </c>
      <c r="D11" s="35" t="inlineStr">
        <is>
          <t>9000-2-10</t>
        </is>
      </c>
      <c r="E11" s="36" t="inlineStr">
        <is>
          <t>통신설비 제작 사양서 작성 / 승인</t>
        </is>
      </c>
      <c r="F11" s="35" t="inlineStr">
        <is>
          <t>현장 시스템팀</t>
        </is>
      </c>
      <c r="G11" s="36" t="inlineStr">
        <is>
          <t>실제 설치되는 통신설비의 사양서를 확정하고 제작 사양서를 작성/승인</t>
        </is>
      </c>
      <c r="H11" s="36" t="inlineStr">
        <is>
          <t>- 현장여건 및 실시설계계획보고서/포함자재사양서의 요구사항 충족 여부를 확인
- 제작사양서, 제작도면 작성 후 감리단 승인</t>
        </is>
      </c>
      <c r="I11" s="36" t="inlineStr">
        <is>
          <t>제작사양서, 제작도면</t>
        </is>
      </c>
      <c r="J11"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11" s="37" t="inlineStr">
        <is>
          <t>👉 [더블클릭] 표준서 열기 📄</t>
        </is>
      </c>
      <c r="L11"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11" s="37" t="inlineStr">
        <is>
          <t>👉 [더블클릭] 수행지침 열기 📄</t>
        </is>
      </c>
      <c r="N11" s="36" t="inlineStr">
        <is>
          <t>1) MHz LTE-R 전 구간 무선 수신강도(RSSI ≥ -95dBm) 및 핸드오버(≥99.5%) 시험을 완료했는가?
2) Core 광백본 이중화 링 망의 OTDR 접속 손실(≤0.05dB/splice) 성과표를 검측했는가?</t>
        </is>
      </c>
      <c r="O11" s="37" t="inlineStr">
        <is>
          <t>👉 [더블클릭] 체크리스트 열기 📄</t>
        </is>
      </c>
      <c r="P11" s="35" t="n"/>
      <c r="Q11" s="36" t="inlineStr">
        <is>
          <t>● 관련분야 설계기준서 준수</t>
        </is>
      </c>
      <c r="R11" s="29" t="inlineStr">
        <is>
          <t>1) 👉 [더블클릭] 체크리스트 열기 📄</t>
        </is>
      </c>
      <c r="S11" s="36" t="n"/>
    </row>
    <row r="12" ht="115.2" customHeight="1">
      <c r="A12" s="35" t="inlineStr">
        <is>
          <t>9000</t>
        </is>
      </c>
      <c r="B12" s="35" t="inlineStr">
        <is>
          <t>9000-2</t>
        </is>
      </c>
      <c r="C12" s="36" t="inlineStr">
        <is>
          <t>통신분야</t>
        </is>
      </c>
      <c r="D12" s="35" t="inlineStr">
        <is>
          <t>9000-2-11</t>
        </is>
      </c>
      <c r="E12" s="36" t="inlineStr">
        <is>
          <t>시공 계획 수립 / 승인</t>
        </is>
      </c>
      <c r="F12" s="35" t="inlineStr">
        <is>
          <t>현장 시스템팀</t>
        </is>
      </c>
      <c r="G12" s="36" t="inlineStr">
        <is>
          <t>안전/품질이 확보된 시공계획 수립</t>
        </is>
      </c>
      <c r="H12" s="36" t="inlineStr">
        <is>
          <t>- 공사계획: 예정공정표, 인원/장비/자재투입 계획, 통신자재 설치 절차서 등
- 안전관리: 위험요인/대책, 안전교육/시설/점검 계획 수립
- 품질관리: 품질하자 Risk 및 대책 수립
- 인허가: 자가전기통신설비 설치신고 접수</t>
        </is>
      </c>
      <c r="I12" s="36" t="inlineStr">
        <is>
          <t>시공계획서&amp;시공상세도, 자가전기통신설비 신고서/계획서</t>
        </is>
      </c>
      <c r="J12"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12" s="37" t="inlineStr">
        <is>
          <t>👉 [더블클릭] 표준서 열기 📄</t>
        </is>
      </c>
      <c r="L12"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12" s="37" t="inlineStr">
        <is>
          <t>👉 [더블클릭] 수행지침 열기 📄</t>
        </is>
      </c>
      <c r="N12" s="36" t="inlineStr">
        <is>
          <t>1) MHz LTE-R 전 구간 무선 수신강도(RSSI ≥ -95dBm) 및 핸드오버(≥99.5%) 시험을 완료했는가?
2) Core 광백본 이중화 링 망의 OTDR 접속 손실(≤0.05dB/splice) 성과표를 검측했는가?</t>
        </is>
      </c>
      <c r="O12" s="37" t="inlineStr">
        <is>
          <t>👉 [더블클릭] 체크리스트 열기 📄</t>
        </is>
      </c>
      <c r="P12" s="35" t="n"/>
      <c r="Q12" s="36" t="inlineStr">
        <is>
          <t>● 관련분야 설계기준서 준수</t>
        </is>
      </c>
      <c r="R12" s="29" t="inlineStr">
        <is>
          <t>1) 👉 [더블클릭] 체크리스트 열기 📄</t>
        </is>
      </c>
      <c r="S12" s="36" t="n"/>
    </row>
    <row r="13" ht="115.2" customHeight="1">
      <c r="A13" s="35" t="inlineStr">
        <is>
          <t>9000</t>
        </is>
      </c>
      <c r="B13" s="35" t="inlineStr">
        <is>
          <t>9000-2</t>
        </is>
      </c>
      <c r="C13" s="36" t="inlineStr">
        <is>
          <t>통신분야</t>
        </is>
      </c>
      <c r="D13" s="35" t="inlineStr">
        <is>
          <t>9000-2-12</t>
        </is>
      </c>
      <c r="E13" s="36" t="inlineStr">
        <is>
          <t>자재공급원 검토 및 승인</t>
        </is>
      </c>
      <c r="F13" s="35" t="inlineStr">
        <is>
          <t>현장 시스템팀</t>
        </is>
      </c>
      <c r="G13" s="36" t="inlineStr">
        <is>
          <t>통신설비의 시공성과 품질, 기능 확보를 위한 자재 공급원 검토 및 승인</t>
        </is>
      </c>
      <c r="H13" s="36" t="inlineStr">
        <is>
          <t>- 통신자재제작능력, 유사사례 납품실적 확인
- 성능보증 가능한 통신자재 업체 Pool 검토
- 통신자재 설치 실적 및 설계능력 확인
- 보안성검토 결과 확인</t>
        </is>
      </c>
      <c r="I13" s="36" t="inlineStr">
        <is>
          <t>자재공급원/제작도서 승인 서류, 보안성검토 결과서</t>
        </is>
      </c>
      <c r="J13"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13" s="37" t="inlineStr">
        <is>
          <t>👉 [더블클릭] 표준서 열기 📄</t>
        </is>
      </c>
      <c r="L13"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13" s="37" t="inlineStr">
        <is>
          <t>👉 [더블클릭] 수행지침 열기 📄</t>
        </is>
      </c>
      <c r="N13" s="36" t="inlineStr">
        <is>
          <t>1) MHz LTE-R 전 구간 무선 수신강도(RSSI ≥ -95dBm) 및 핸드오버(≥99.5%) 시험을 완료했는가?
2) Core 광백본 이중화 링 망의 OTDR 접속 손실(≤0.05dB/splice) 성과표를 검측했는가?</t>
        </is>
      </c>
      <c r="O13" s="37" t="inlineStr">
        <is>
          <t>👉 [더블클릭] 체크리스트 열기 📄</t>
        </is>
      </c>
      <c r="P13" s="35" t="n"/>
      <c r="Q13" s="36" t="inlineStr">
        <is>
          <t>● 관련분야 설계기준서 준수</t>
        </is>
      </c>
      <c r="R13" s="29" t="inlineStr">
        <is>
          <t>1) 👉 [더블클릭] 체크리스트 열기 📄</t>
        </is>
      </c>
      <c r="S13" s="36" t="n"/>
    </row>
    <row r="14" ht="192" customHeight="1">
      <c r="A14" s="35" t="inlineStr">
        <is>
          <t>9000</t>
        </is>
      </c>
      <c r="B14" s="35" t="inlineStr">
        <is>
          <t>9000-2</t>
        </is>
      </c>
      <c r="C14" s="36" t="inlineStr">
        <is>
          <t>통신분야</t>
        </is>
      </c>
      <c r="D14" s="35" t="inlineStr">
        <is>
          <t>9000-2-13</t>
        </is>
      </c>
      <c r="E14" s="36" t="inlineStr">
        <is>
          <t>통신설비 공정제작 / 제작사 공장검사</t>
        </is>
      </c>
      <c r="F14" s="35" t="inlineStr">
        <is>
          <t>현장 시스템팀</t>
        </is>
      </c>
      <c r="G14" s="36" t="inlineStr">
        <is>
          <t>제작사양서/제작도면의 일치여부검토 및 현장반입 전 공장 성능검사 확인</t>
        </is>
      </c>
      <c r="H14" s="36" t="inlineStr">
        <is>
          <t>- 외산자재 등 Delivery 일정 확인
- 제작도서 기준으로 최종 제작상태 확인
- 제작도면과 일치여부 확인
- 공장 내 성능검사 시험 실시
[공장검사 대상 항목]
- 영상장치장치, 행선안내장치, 구내방송장치, 전송설비, 역무자동화설비, 열차무선안내장치, 여객자동안내장치, 열차무선설비, 재난방송수신설비, 선로변 통합인터페이스 통신설비, 역무용통신설비, 백본스위치, L3스위치, 광케이블, 케이블 안테나 CCTV용 Pole</t>
        </is>
      </c>
      <c r="I14" s="36" t="inlineStr">
        <is>
          <t>공장검사 결과보고서 (감리 및 관계기관 입회)</t>
        </is>
      </c>
      <c r="J14"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14" s="37" t="inlineStr">
        <is>
          <t>👉 [더블클릭] 표준서 열기 📄</t>
        </is>
      </c>
      <c r="L14"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14" s="37" t="inlineStr">
        <is>
          <t>👉 [더블클릭] 수행지침 열기 📄</t>
        </is>
      </c>
      <c r="N14" s="36" t="inlineStr">
        <is>
          <t>1) MHz LTE-R 전 구간 무선 수신강도(RSSI ≥ -95dBm) 및 핸드오버(≥99.5%) 시험을 완료했는가?
2) Core 광백본 이중화 링 망의 OTDR 접속 손실(≤0.05dB/splice) 성과표를 검측했는가?</t>
        </is>
      </c>
      <c r="O14" s="37" t="inlineStr">
        <is>
          <t>👉 [더블클릭] 체크리스트 열기 📄</t>
        </is>
      </c>
      <c r="P14" s="35" t="n"/>
      <c r="Q14" s="36" t="inlineStr">
        <is>
          <t>● 관련분야 설계기준서 준수</t>
        </is>
      </c>
      <c r="R14" s="29" t="inlineStr">
        <is>
          <t>1) 👉 [더블클릭] 체크리스트 열기 📄</t>
        </is>
      </c>
      <c r="S14" s="36" t="n"/>
    </row>
    <row r="15" ht="115.2" customHeight="1">
      <c r="A15" s="35" t="inlineStr">
        <is>
          <t>9000</t>
        </is>
      </c>
      <c r="B15" s="35" t="inlineStr">
        <is>
          <t>9000-2</t>
        </is>
      </c>
      <c r="C15" s="36" t="inlineStr">
        <is>
          <t>통신분야</t>
        </is>
      </c>
      <c r="D15" s="35" t="inlineStr">
        <is>
          <t>9000-2-14</t>
        </is>
      </c>
      <c r="E15" s="36" t="inlineStr">
        <is>
          <t>본공사 전 선행공정 인수인계 점검</t>
        </is>
      </c>
      <c r="F15" s="35" t="inlineStr">
        <is>
          <t>현장 시스템팀</t>
        </is>
      </c>
      <c r="G15" s="36" t="inlineStr">
        <is>
          <t>통신설비 설치를 위한 현장점검/정리 상태 확인(기능실: 건축,전기/현장: 노반)</t>
        </is>
      </c>
      <c r="H15" s="36" t="inlineStr">
        <is>
          <t>- 통신설비 설치 시 간섭여부 점검
- 현장 정리상태 점검 (건축마감, 공조, 조명, 전원 등)
- 장비설치를 위한 자체반입구 및 케이블 설치를 위한 공동구/오프닝 위치 확인</t>
        </is>
      </c>
      <c r="I15" s="36" t="inlineStr">
        <is>
          <t>기록지, 현장점검결과보고서(감리입회)</t>
        </is>
      </c>
      <c r="J15"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15" s="37" t="inlineStr">
        <is>
          <t>👉 [더블클릭] 표준서 열기 📄</t>
        </is>
      </c>
      <c r="L15"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15" s="37" t="inlineStr">
        <is>
          <t>👉 [더블클릭] 수행지침 열기 📄</t>
        </is>
      </c>
      <c r="N15" s="36" t="inlineStr">
        <is>
          <t>1) MHz LTE-R 전 구간 무선 수신강도(RSSI ≥ -95dBm) 및 핸드오버(≥99.5%) 시험을 완료했는가?
2) Core 광백본 이중화 링 망의 OTDR 접속 손실(≤0.05dB/splice) 성과표를 검측했는가?</t>
        </is>
      </c>
      <c r="O15" s="37" t="inlineStr">
        <is>
          <t>👉 [더블클릭] 체크리스트 열기 📄</t>
        </is>
      </c>
      <c r="P15" s="35" t="n"/>
      <c r="Q15" s="36" t="inlineStr">
        <is>
          <t>● 관련분야 설계기준서 준수</t>
        </is>
      </c>
      <c r="R15" s="29" t="inlineStr">
        <is>
          <t>1) 👉 [더블클릭] 체크리스트 열기 📄</t>
        </is>
      </c>
      <c r="S15" s="36" t="n"/>
    </row>
    <row r="16" ht="115.2" customHeight="1">
      <c r="A16" s="35" t="inlineStr">
        <is>
          <t>9000</t>
        </is>
      </c>
      <c r="B16" s="35" t="inlineStr">
        <is>
          <t>9000-2</t>
        </is>
      </c>
      <c r="C16" s="36" t="inlineStr">
        <is>
          <t>통신분야</t>
        </is>
      </c>
      <c r="D16" s="35" t="inlineStr">
        <is>
          <t>9000-2-15</t>
        </is>
      </c>
      <c r="E16" s="36" t="inlineStr">
        <is>
          <t>장비반입 및 안전교육</t>
        </is>
      </c>
      <c r="F16" s="35" t="inlineStr">
        <is>
          <t>현장 시스템팀 / 안전팀</t>
        </is>
      </c>
      <c r="G16" s="36" t="inlineStr">
        <is>
          <t>장비 반입 준비 및 안전교육 완료</t>
        </is>
      </c>
      <c r="H16" s="36" t="inlineStr">
        <is>
          <t>- 자재반입 경로, 적치장소에 대한 사전확인 및 타분야 일정, 간섭사항 협의/확인
- 장비 Spec확인, 장비상태 점검
- 작업원 안전교육 실시</t>
        </is>
      </c>
      <c r="I16" s="36" t="inlineStr">
        <is>
          <t>안전교육 결과서, 측량기록지</t>
        </is>
      </c>
      <c r="J16"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16" s="37" t="inlineStr">
        <is>
          <t>👉 [더블클릭] 표준서 열기 📄</t>
        </is>
      </c>
      <c r="L16"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16" s="37" t="inlineStr">
        <is>
          <t>👉 [더블클릭] 수행지침 열기 📄</t>
        </is>
      </c>
      <c r="N16" s="36" t="inlineStr">
        <is>
          <t>1) MHz LTE-R 전 구간 무선 수신강도(RSSI ≥ -95dBm) 및 핸드오버(≥99.5%) 시험을 완료했는가?
2) Core 광백본 이중화 링 망의 OTDR 접속 손실(≤0.05dB/splice) 성과표를 검측했는가?</t>
        </is>
      </c>
      <c r="O16" s="37" t="inlineStr">
        <is>
          <t>👉 [더블클릭] 체크리스트 열기 📄</t>
        </is>
      </c>
      <c r="P16" s="35" t="n"/>
      <c r="Q16" s="36" t="inlineStr">
        <is>
          <t>● 관련분야 설계기준서 준수</t>
        </is>
      </c>
      <c r="R16" s="29" t="inlineStr">
        <is>
          <t>1) 👉 [더블클릭] 체크리스트 열기 📄</t>
        </is>
      </c>
      <c r="S16" s="36" t="n"/>
    </row>
    <row r="17" ht="115.2" customHeight="1">
      <c r="A17" s="35" t="inlineStr">
        <is>
          <t>9000</t>
        </is>
      </c>
      <c r="B17" s="35" t="inlineStr">
        <is>
          <t>9000-2</t>
        </is>
      </c>
      <c r="C17" s="36" t="inlineStr">
        <is>
          <t>통신분야</t>
        </is>
      </c>
      <c r="D17" s="35" t="inlineStr">
        <is>
          <t>9000-2-16</t>
        </is>
      </c>
      <c r="E17" s="36" t="inlineStr">
        <is>
          <t>자재 반입 및 검수</t>
        </is>
      </c>
      <c r="F17" s="35" t="inlineStr">
        <is>
          <t>현장소장 및 발주청/공동감리단</t>
        </is>
      </c>
      <c r="G17" s="36" t="inlineStr">
        <is>
          <t>공장검사 시행 완료된 자재반입과 현장 입고 검사</t>
        </is>
      </c>
      <c r="H17" s="36" t="inlineStr">
        <is>
          <t>- 자재 하차 위치 및 반입동선 확인
- 승인된 자재 일치여부 확인(Serial number 등)
- 제품의 규격, 수량 도면과 일치하는지 검토</t>
        </is>
      </c>
      <c r="I17" s="36" t="inlineStr">
        <is>
          <t>자재검수서</t>
        </is>
      </c>
      <c r="J17"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17" s="37" t="inlineStr">
        <is>
          <t>👉 [더블클릭] 표준서 열기 📄</t>
        </is>
      </c>
      <c r="L17"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17" s="37" t="inlineStr">
        <is>
          <t>👉 [더블클릭] 수행지침 열기 📄</t>
        </is>
      </c>
      <c r="N17" s="36" t="inlineStr">
        <is>
          <t>1) MHz LTE-R 전 구간 무선 수신강도(RSSI ≥ -95dBm) 및 핸드오버(≥99.5%) 시험을 완료했는가?
2) Core 광백본 이중화 링 망의 OTDR 접속 손실(≤0.05dB/splice) 성과표를 검측했는가?</t>
        </is>
      </c>
      <c r="O17" s="37" t="inlineStr">
        <is>
          <t>👉 [더블클릭] 체크리스트 열기 📄</t>
        </is>
      </c>
      <c r="P17" s="35" t="n"/>
      <c r="Q17" s="36" t="inlineStr">
        <is>
          <t>● 관련분야 설계기준서 준수</t>
        </is>
      </c>
      <c r="R17" s="29" t="inlineStr">
        <is>
          <t>1) 👉 [더블클릭] 체크리스트 열기 📄</t>
        </is>
      </c>
      <c r="S17" s="36" t="n"/>
    </row>
    <row r="18" ht="115.2" customHeight="1">
      <c r="A18" s="35" t="inlineStr">
        <is>
          <t>9000</t>
        </is>
      </c>
      <c r="B18" s="35" t="inlineStr">
        <is>
          <t>9000-2</t>
        </is>
      </c>
      <c r="C18" s="36" t="inlineStr">
        <is>
          <t>통신분야</t>
        </is>
      </c>
      <c r="D18" s="35" t="inlineStr">
        <is>
          <t>9000-2-17</t>
        </is>
      </c>
      <c r="E18" s="36" t="inlineStr">
        <is>
          <t>통신설비 반입 및 설치</t>
        </is>
      </c>
      <c r="F18" s="35" t="inlineStr">
        <is>
          <t>현장소장 및 분야별 전담팀</t>
        </is>
      </c>
      <c r="G18" s="36" t="inlineStr">
        <is>
          <t>설계에 부합되도록 통신설비 설치</t>
        </is>
      </c>
      <c r="H18" s="36" t="inlineStr">
        <is>
          <t>- 시공샘플이 필요한 대상을 감리/감독과 협의하여 선정후 시공검사 실시
- 현장 선로변 설비, 각종 케이블 포설
- 기계실 내 서버랙 및 각종 단말장치 설치 (카메라, 인터폰 등)
- 통신실내 케이블 배선
- 통신설비가 도면대로 설치되었는지 확인</t>
        </is>
      </c>
      <c r="I18" s="36" t="inlineStr">
        <is>
          <t>검측서</t>
        </is>
      </c>
      <c r="J18"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18" s="37" t="inlineStr">
        <is>
          <t>👉 [더블클릭] 표준서 열기 📄</t>
        </is>
      </c>
      <c r="L18"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18" s="37" t="inlineStr">
        <is>
          <t>👉 [더블클릭] 수행지침 열기 📄</t>
        </is>
      </c>
      <c r="N18" s="36" t="inlineStr">
        <is>
          <t>1) MHz LTE-R 전 구간 무선 수신강도(RSSI ≥ -95dBm) 및 핸드오버(≥99.5%) 시험을 완료했는가?
2) Core 광백본 이중화 링 망의 OTDR 접속 손실(≤0.05dB/splice) 성과표를 검측했는가?</t>
        </is>
      </c>
      <c r="O18" s="37" t="inlineStr">
        <is>
          <t>👉 [더블클릭] 체크리스트 열기 📄</t>
        </is>
      </c>
      <c r="P18" s="35" t="n"/>
      <c r="Q18" s="36" t="inlineStr">
        <is>
          <t>● 관련분야 설계기준서 준수</t>
        </is>
      </c>
      <c r="R18" s="29" t="inlineStr">
        <is>
          <t>1) 👉 [더블클릭] 체크리스트 열기 📄</t>
        </is>
      </c>
      <c r="S18" s="36" t="n"/>
    </row>
    <row r="19" ht="115.2" customHeight="1">
      <c r="A19" s="35" t="inlineStr">
        <is>
          <t>9000</t>
        </is>
      </c>
      <c r="B19" s="35" t="inlineStr">
        <is>
          <t>9000-2</t>
        </is>
      </c>
      <c r="C19" s="36" t="inlineStr">
        <is>
          <t>통신분야</t>
        </is>
      </c>
      <c r="D19" s="35" t="inlineStr">
        <is>
          <t>9000-2-18</t>
        </is>
      </c>
      <c r="E19" s="36" t="inlineStr">
        <is>
          <t>관제설비 설치</t>
        </is>
      </c>
      <c r="F19" s="35" t="inlineStr">
        <is>
          <t>현장소장</t>
        </is>
      </c>
      <c r="G19" s="36" t="inlineStr">
        <is>
          <t>관제설비의 정위치 배치 및 설치</t>
        </is>
      </c>
      <c r="H19" s="36" t="inlineStr">
        <is>
          <t>- 랙 베이스/케이블 등 설치 위치를 확인하고 설치후에는 도면과 일치 여부를 체크
- 철도 교통관제(구로/대전)와 연동할 수 있게 광전송/열차무선 설비 등을 설치하고 확인</t>
        </is>
      </c>
      <c r="I19" s="36" t="inlineStr">
        <is>
          <t>검측서</t>
        </is>
      </c>
      <c r="J19"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19" s="37" t="inlineStr">
        <is>
          <t>👉 [더블클릭] 표준서 열기 📄</t>
        </is>
      </c>
      <c r="L19"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19" s="37" t="inlineStr">
        <is>
          <t>👉 [더블클릭] 수행지침 열기 📄</t>
        </is>
      </c>
      <c r="N19" s="36" t="inlineStr">
        <is>
          <t>1) MHz LTE-R 전 구간 무선 수신강도(RSSI ≥ -95dBm) 및 핸드오버(≥99.5%) 시험을 완료했는가?
2) Core 광백본 이중화 링 망의 OTDR 접속 손실(≤0.05dB/splice) 성과표를 검측했는가?</t>
        </is>
      </c>
      <c r="O19" s="37" t="inlineStr">
        <is>
          <t>👉 [더블클릭] 체크리스트 열기 📄</t>
        </is>
      </c>
      <c r="P19" s="35" t="n"/>
      <c r="Q19" s="36" t="inlineStr">
        <is>
          <t>● 관련분야 설계기준서 준수</t>
        </is>
      </c>
      <c r="R19" s="29" t="inlineStr">
        <is>
          <t>1) 👉 [더블클릭] 체크리스트 열기 📄</t>
        </is>
      </c>
      <c r="S19" s="36" t="n"/>
    </row>
    <row r="20" ht="115.2" customHeight="1">
      <c r="A20" s="35" t="inlineStr">
        <is>
          <t>9000</t>
        </is>
      </c>
      <c r="B20" s="35" t="inlineStr">
        <is>
          <t>9000-2</t>
        </is>
      </c>
      <c r="C20" s="36" t="inlineStr">
        <is>
          <t>통신분야</t>
        </is>
      </c>
      <c r="D20" s="35" t="inlineStr">
        <is>
          <t>9000-2-19</t>
        </is>
      </c>
      <c r="E20" s="36" t="inlineStr">
        <is>
          <t>통신시스템 단위시험</t>
        </is>
      </c>
      <c r="F20" s="35" t="inlineStr">
        <is>
          <t>현장 시스템팀</t>
        </is>
      </c>
      <c r="G20" s="36" t="inlineStr">
        <is>
          <t>통신설비(열차에 설치하는 차상통신 장치 포함)설치 후 전원투입 및 기능검증</t>
        </is>
      </c>
      <c r="H20" s="36" t="inlineStr">
        <is>
          <t>- ITP/ITC에 따라 시험/검사를 감리 확인</t>
        </is>
      </c>
      <c r="I20" s="36" t="inlineStr">
        <is>
          <t>감리단 입회검사 및 시험점검표(ITP/ITC)</t>
        </is>
      </c>
      <c r="J20"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20" s="37" t="inlineStr">
        <is>
          <t>👉 [더블클릭] 표준서 열기 📄</t>
        </is>
      </c>
      <c r="L20"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20" s="37" t="inlineStr">
        <is>
          <t>👉 [더블클릭] 수행지침 열기 📄</t>
        </is>
      </c>
      <c r="N20" s="36" t="inlineStr">
        <is>
          <t>1) MHz LTE-R 전 구간 무선 수신강도(RSSI ≥ -95dBm) 및 핸드오버(≥99.5%) 시험을 완료했는가?
2) Core 광백본 이중화 링 망의 OTDR 접속 손실(≤0.05dB/splice) 성과표를 검측했는가?</t>
        </is>
      </c>
      <c r="O20" s="37" t="inlineStr">
        <is>
          <t>👉 [더블클릭] 체크리스트 열기 📄</t>
        </is>
      </c>
      <c r="P20" s="35" t="n"/>
      <c r="Q20" s="36" t="inlineStr">
        <is>
          <t>● 관련분야 설계기준서 준수</t>
        </is>
      </c>
      <c r="R20" s="29" t="inlineStr">
        <is>
          <t>1) 👉 [더블클릭] 체크리스트 열기 📄</t>
        </is>
      </c>
      <c r="S20" s="36" t="n"/>
    </row>
    <row r="21" ht="115.2" customHeight="1">
      <c r="A21" s="35" t="inlineStr">
        <is>
          <t>9000</t>
        </is>
      </c>
      <c r="B21" s="35" t="inlineStr">
        <is>
          <t>9000-2</t>
        </is>
      </c>
      <c r="C21" s="36" t="inlineStr">
        <is>
          <t>통신분야</t>
        </is>
      </c>
      <c r="D21" s="35" t="inlineStr">
        <is>
          <t>9000-2-20</t>
        </is>
      </c>
      <c r="E21" s="36" t="inlineStr">
        <is>
          <t>통신시스템 통합시험</t>
        </is>
      </c>
      <c r="F21" s="35" t="inlineStr">
        <is>
          <t>현장 시스템팀</t>
        </is>
      </c>
      <c r="G21" s="36" t="inlineStr">
        <is>
          <t>관제설비를 포함한 통신망 통합 검증</t>
        </is>
      </c>
      <c r="H21" s="36" t="inlineStr">
        <is>
          <t>- 감리단 입회하에 검사/시험절차대로 수행
1) 관제실/현장설비간 인터페이스 시험
2) 지상 및 차상 인터페이스 시험</t>
        </is>
      </c>
      <c r="I21" s="36" t="inlineStr">
        <is>
          <t>감리단 입회검사 및 시험점검표(ITP/ITC)</t>
        </is>
      </c>
      <c r="J21"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21" s="37" t="inlineStr">
        <is>
          <t>👉 [더블클릭] 표준서 열기 📄</t>
        </is>
      </c>
      <c r="L21"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21" s="37" t="inlineStr">
        <is>
          <t>👉 [더블클릭] 수행지침 열기 📄</t>
        </is>
      </c>
      <c r="N21" s="36" t="inlineStr">
        <is>
          <t>1) MHz LTE-R 전 구간 무선 수신강도(RSSI ≥ -95dBm) 및 핸드오버(≥99.5%) 시험을 완료했는가?
2) Core 광백본 이중화 링 망의 OTDR 접속 손실(≤0.05dB/splice) 성과표를 검측했는가?</t>
        </is>
      </c>
      <c r="O21" s="37" t="inlineStr">
        <is>
          <t>👉 [더블클릭] 체크리스트 열기 📄</t>
        </is>
      </c>
      <c r="P21" s="35" t="n"/>
      <c r="Q21" s="36" t="inlineStr">
        <is>
          <t>● 관련분야 설계기준서 준수</t>
        </is>
      </c>
      <c r="R21" s="29" t="inlineStr">
        <is>
          <t>1) 👉 [더블클릭] 체크리스트 열기 📄</t>
        </is>
      </c>
      <c r="S21" s="36" t="n"/>
    </row>
    <row r="22" ht="115.2" customHeight="1">
      <c r="A22" s="35" t="inlineStr">
        <is>
          <t>9000</t>
        </is>
      </c>
      <c r="B22" s="35" t="inlineStr">
        <is>
          <t>9000-2</t>
        </is>
      </c>
      <c r="C22" s="36" t="inlineStr">
        <is>
          <t>통신분야</t>
        </is>
      </c>
      <c r="D22" s="35" t="inlineStr">
        <is>
          <t>9000-2-21</t>
        </is>
      </c>
      <c r="E22" s="36" t="inlineStr">
        <is>
          <t>공종별 시험</t>
        </is>
      </c>
      <c r="F22" s="35" t="inlineStr">
        <is>
          <t>현장 시스템팀</t>
        </is>
      </c>
      <c r="G22" s="36" t="inlineStr">
        <is>
          <t>발주처가 관련 법령, 설계기준, 기술기준, 시방서 등의 요구사항에 적합하도록 설치되었는지를 확인</t>
        </is>
      </c>
      <c r="H22" s="36" t="inlineStr">
        <is>
          <t>- 철도종합시험운행 시행지침 제6조(공종별시험)에 따라 시행</t>
        </is>
      </c>
      <c r="I22" s="36" t="inlineStr">
        <is>
          <t>공종별 시험 결과보고서</t>
        </is>
      </c>
      <c r="J22"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22" s="37" t="inlineStr">
        <is>
          <t>👉 [더블클릭] 표준서 열기 📄</t>
        </is>
      </c>
      <c r="L22"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22" s="37" t="inlineStr">
        <is>
          <t>👉 [더블클릭] 수행지침 열기 📄</t>
        </is>
      </c>
      <c r="N22" s="36" t="inlineStr">
        <is>
          <t>1) MHz LTE-R 전 구간 무선 수신강도(RSSI ≥ -95dBm) 및 핸드오버(≥99.5%) 시험을 완료했는가?
2) Core 광백본 이중화 링 망의 OTDR 접속 손실(≤0.05dB/splice) 성과표를 검측했는가?</t>
        </is>
      </c>
      <c r="O22" s="37" t="inlineStr">
        <is>
          <t>👉 [더블클릭] 체크리스트 열기 📄</t>
        </is>
      </c>
      <c r="P22" s="35" t="n"/>
      <c r="Q22" s="36" t="inlineStr">
        <is>
          <t>● 관련분야 설계기준서 준수</t>
        </is>
      </c>
      <c r="R22" s="29" t="inlineStr">
        <is>
          <t>1) 👉 [더블클릭] 체크리스트 열기 📄</t>
        </is>
      </c>
      <c r="S22" s="36" t="n"/>
    </row>
    <row r="23" ht="115.2" customHeight="1">
      <c r="A23" s="35" t="inlineStr">
        <is>
          <t>9000</t>
        </is>
      </c>
      <c r="B23" s="35" t="inlineStr">
        <is>
          <t>9000-2</t>
        </is>
      </c>
      <c r="C23" s="36" t="inlineStr">
        <is>
          <t>통신분야</t>
        </is>
      </c>
      <c r="D23" s="35" t="inlineStr">
        <is>
          <t>9000-2-22</t>
        </is>
      </c>
      <c r="E23" s="36" t="inlineStr">
        <is>
          <t>차량 투입 전 점검</t>
        </is>
      </c>
      <c r="F23" s="35" t="inlineStr">
        <is>
          <t>현장소장 및 시공전담팀</t>
        </is>
      </c>
      <c r="G23" s="36" t="inlineStr">
        <is>
          <t>발주처가 원활한 차량시운전이 되도록 노반, 건축, 궤도, 전철전력, 통신, 신호 분야를 종합하여 최종 점검</t>
        </is>
      </c>
      <c r="H23" s="36" t="inlineStr">
        <is>
          <t>- 노반/궤도 시공상태 점검
- 건축한계 및 차량한계 검사
1) 건축한계: 폭(3,600mm) / 높이(5,300mm)
2) 차량한계: 폭(3,200mm) / 높이(4,750mm)
- 전차선, 신호, 통신 작동상태 확인</t>
        </is>
      </c>
      <c r="I23" s="36" t="inlineStr">
        <is>
          <t>점검 결과보고서</t>
        </is>
      </c>
      <c r="J23"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23" s="37" t="inlineStr">
        <is>
          <t>👉 [더블클릭] 표준서 열기 📄</t>
        </is>
      </c>
      <c r="L23"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23" s="37" t="inlineStr">
        <is>
          <t>👉 [더블클릭] 수행지침 열기 📄</t>
        </is>
      </c>
      <c r="N23" s="36" t="inlineStr">
        <is>
          <t>1) MHz LTE-R 전 구간 무선 수신강도(RSSI ≥ -95dBm) 및 핸드오버(≥99.5%) 시험을 완료했는가?
2) Core 광백본 이중화 링 망의 OTDR 접속 손실(≤0.05dB/splice) 성과표를 검측했는가?</t>
        </is>
      </c>
      <c r="O23" s="37" t="inlineStr">
        <is>
          <t>👉 [더블클릭] 체크리스트 열기 📄</t>
        </is>
      </c>
      <c r="P23" s="35" t="n"/>
      <c r="Q23" s="36" t="inlineStr">
        <is>
          <t>● 관련분야 설계기준서 준수</t>
        </is>
      </c>
      <c r="R23" s="29" t="inlineStr">
        <is>
          <t>1) 👉 [더블클릭] 체크리스트 열기 📄</t>
        </is>
      </c>
      <c r="S23" s="36" t="n"/>
    </row>
    <row r="24" ht="115.2" customHeight="1">
      <c r="A24" s="35" t="inlineStr">
        <is>
          <t>9000</t>
        </is>
      </c>
      <c r="B24" s="35" t="inlineStr">
        <is>
          <t>9000-2</t>
        </is>
      </c>
      <c r="C24" s="36" t="inlineStr">
        <is>
          <t>통신분야</t>
        </is>
      </c>
      <c r="D24" s="35" t="inlineStr">
        <is>
          <t>9000-2-23</t>
        </is>
      </c>
      <c r="E24" s="36" t="inlineStr">
        <is>
          <t>차량 시운전</t>
        </is>
      </c>
      <c r="F24" s="35" t="inlineStr">
        <is>
          <t>현장 시스템팀</t>
        </is>
      </c>
      <c r="G24" s="36" t="inlineStr">
        <is>
          <t>철도안전법에 따른 철도차량 형식시험</t>
        </is>
      </c>
      <c r="H24" s="36" t="inlineStr">
        <is>
          <t>- 철도안전법 제26조(철도차량 형식승인)에 따라 이행(주로 본선구간 수행)
- 차량, 신호, 통신 시스템간 인터페이스 시험</t>
        </is>
      </c>
      <c r="I24" s="36" t="inlineStr">
        <is>
          <t>철도차량 형식승인 결과 보고서</t>
        </is>
      </c>
      <c r="J24"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24" s="37" t="inlineStr">
        <is>
          <t>👉 [더블클릭] 표준서 열기 📄</t>
        </is>
      </c>
      <c r="L24"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24" s="37" t="inlineStr">
        <is>
          <t>👉 [더블클릭] 수행지침 열기 📄</t>
        </is>
      </c>
      <c r="N24" s="36" t="inlineStr">
        <is>
          <t>1) MHz LTE-R 전 구간 무선 수신강도(RSSI ≥ -95dBm) 및 핸드오버(≥99.5%) 시험을 완료했는가?
2) Core 광백본 이중화 링 망의 OTDR 접속 손실(≤0.05dB/splice) 성과표를 검측했는가?</t>
        </is>
      </c>
      <c r="O24" s="37" t="inlineStr">
        <is>
          <t>👉 [더블클릭] 체크리스트 열기 📄</t>
        </is>
      </c>
      <c r="P24" s="35" t="n"/>
      <c r="Q24" s="36" t="inlineStr">
        <is>
          <t>● 관련분야 설계기준서 준수</t>
        </is>
      </c>
      <c r="R24" s="29" t="inlineStr">
        <is>
          <t>1) 👉 [더블클릭] 체크리스트 열기 📄</t>
        </is>
      </c>
      <c r="S24" s="36" t="n"/>
    </row>
    <row r="25" ht="115.2" customHeight="1">
      <c r="A25" s="35" t="inlineStr">
        <is>
          <t>9000</t>
        </is>
      </c>
      <c r="B25" s="35" t="inlineStr">
        <is>
          <t>9000-2</t>
        </is>
      </c>
      <c r="C25" s="36" t="inlineStr">
        <is>
          <t>통신분야</t>
        </is>
      </c>
      <c r="D25" s="35" t="inlineStr">
        <is>
          <t>9000-2-24</t>
        </is>
      </c>
      <c r="E25" s="36" t="inlineStr">
        <is>
          <t>운영자 교육시행</t>
        </is>
      </c>
      <c r="F25" s="35" t="inlineStr">
        <is>
          <t>현장 시스템팀</t>
        </is>
      </c>
      <c r="G25" s="36" t="inlineStr">
        <is>
          <t>영업시운전 전에 시설을 운영자를 대상으로 운영 및 유지관리방법에 대해 교육</t>
        </is>
      </c>
      <c r="H25" s="36" t="inlineStr">
        <is>
          <t>- 통신 시스템 제작사가 만든 매뉴얼로 운영자를 교육
: 관제설비등통신설비 운영/관리방법</t>
        </is>
      </c>
      <c r="I25" s="36" t="inlineStr">
        <is>
          <t>운영자 교육 결과서</t>
        </is>
      </c>
      <c r="J25"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25" s="37" t="inlineStr">
        <is>
          <t>👉 [더블클릭] 표준서 열기 📄</t>
        </is>
      </c>
      <c r="L25"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25" s="37" t="inlineStr">
        <is>
          <t>👉 [더블클릭] 수행지침 열기 📄</t>
        </is>
      </c>
      <c r="N25" s="36" t="inlineStr">
        <is>
          <t>1) MHz LTE-R 전 구간 무선 수신강도(RSSI ≥ -95dBm) 및 핸드오버(≥99.5%) 시험을 완료했는가?
2) Core 광백본 이중화 링 망의 OTDR 접속 손실(≤0.05dB/splice) 성과표를 검측했는가?</t>
        </is>
      </c>
      <c r="O25" s="37" t="inlineStr">
        <is>
          <t>👉 [더블클릭] 체크리스트 열기 📄</t>
        </is>
      </c>
      <c r="P25" s="35" t="n"/>
      <c r="Q25" s="36" t="inlineStr">
        <is>
          <t>● 관련분야 설계기준서 준수</t>
        </is>
      </c>
      <c r="R25" s="29" t="inlineStr">
        <is>
          <t>1) 👉 [더블클릭] 체크리스트 열기 📄</t>
        </is>
      </c>
      <c r="S25" s="36" t="n"/>
    </row>
    <row r="26" ht="115.2" customHeight="1">
      <c r="A26" s="35" t="inlineStr">
        <is>
          <t>9000</t>
        </is>
      </c>
      <c r="B26" s="35" t="inlineStr">
        <is>
          <t>9000-2</t>
        </is>
      </c>
      <c r="C26" s="36" t="inlineStr">
        <is>
          <t>통신분야</t>
        </is>
      </c>
      <c r="D26" s="35" t="inlineStr">
        <is>
          <t>9000-2-25</t>
        </is>
      </c>
      <c r="E26" s="36" t="inlineStr">
        <is>
          <t>사전점검</t>
        </is>
      </c>
      <c r="F26" s="35" t="inlineStr">
        <is>
          <t>현장소장 및 발주처 / 공동감리단</t>
        </is>
      </c>
      <c r="G26" s="36" t="inlineStr">
        <is>
          <t>시설물검증시험의 가능여부를 확인하기 위하여 발주처와 운영자가 합동으로 점검</t>
        </is>
      </c>
      <c r="H26" s="36" t="inlineStr">
        <is>
          <t>- (기준) 철도종합시험운행 시행지침 제8조 "종합시험운행을 위한 사전점검"에 따름
- 발주처는 공종별 시험을 완료한 후 시설물 검증시험의 가능여부를 확인하기 위하여 사전점검계획을 수립하고 운영자와 합동으로 실시
- 발주처와 운영자의 사전점검 결과보고서를 한국교통안전공단에 제출(점검후 7일 이내)</t>
        </is>
      </c>
      <c r="I26" s="36" t="inlineStr">
        <is>
          <t>사전점검 결과보고서/승인문서(한국교통안전공단)</t>
        </is>
      </c>
      <c r="J26"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26" s="37" t="inlineStr">
        <is>
          <t>👉 [더블클릭] 표준서 열기 📄</t>
        </is>
      </c>
      <c r="L26"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26" s="37" t="inlineStr">
        <is>
          <t>👉 [더블클릭] 수행지침 열기 📄</t>
        </is>
      </c>
      <c r="N26" s="36" t="inlineStr">
        <is>
          <t>1) MHz LTE-R 전 구간 무선 수신강도(RSSI ≥ -95dBm) 및 핸드오버(≥99.5%) 시험을 완료했는가?
2) Core 광백본 이중화 링 망의 OTDR 접속 손실(≤0.05dB/splice) 성과표를 검측했는가?</t>
        </is>
      </c>
      <c r="O26" s="37" t="inlineStr">
        <is>
          <t>👉 [더블클릭] 체크리스트 열기 📄</t>
        </is>
      </c>
      <c r="P26" s="35" t="n"/>
      <c r="Q26" s="36" t="inlineStr">
        <is>
          <t>● 관련분야 설계기준서 준수</t>
        </is>
      </c>
      <c r="R26" s="29" t="inlineStr">
        <is>
          <t>1) 👉 [더블클릭] 체크리스트 열기 📄</t>
        </is>
      </c>
      <c r="S26" s="36" t="n"/>
    </row>
    <row r="27" ht="153.6" customHeight="1">
      <c r="A27" s="35" t="inlineStr">
        <is>
          <t>9000</t>
        </is>
      </c>
      <c r="B27" s="35" t="inlineStr">
        <is>
          <t>9000-2</t>
        </is>
      </c>
      <c r="C27" s="36" t="inlineStr">
        <is>
          <t>통신분야</t>
        </is>
      </c>
      <c r="D27" s="35" t="inlineStr">
        <is>
          <t>9000-2-26</t>
        </is>
      </c>
      <c r="E27" s="36" t="inlineStr">
        <is>
          <t>시설물 검증시험</t>
        </is>
      </c>
      <c r="F27" s="35" t="inlineStr">
        <is>
          <t>현장소장 및 발주처 / 공동감리단</t>
        </is>
      </c>
      <c r="G27" s="36" t="inlineStr">
        <is>
          <t>발주처는 시설물의 정상작동 상태 등을 확인하기 위해 시설물 검증시험을 수행</t>
        </is>
      </c>
      <c r="H27" s="36" t="inlineStr">
        <is>
          <t>- (기준) 철도종합시험운행 시행지침 제12조(시설물검증시험계획의 수립), 13조(시설물검증시험의 시행)에 따름
- 발주처는 시설물검증시험계획을 운영자와 협의하여 수립하고 전문기관의 승인을 받은 후 시행
- 철도종합시험운행 시설물검증시험 점검항목: 시설물의 정상작동 상태, 철도시설의 안전상태, 철도차량의 운행적합성, 철도시설과 차량 간의 연계성
- 발주처와 운영자의 시설물 검증시험 결과보고서를 한국교통안전공단에 제출(점검후 7일 이내)</t>
        </is>
      </c>
      <c r="I27" s="36" t="inlineStr">
        <is>
          <t>시설물 검증시험 결과보고서/승인문서(한국교통안전공단)</t>
        </is>
      </c>
      <c r="J27"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27" s="37" t="inlineStr">
        <is>
          <t>👉 [더블클릭] 표준서 열기 📄</t>
        </is>
      </c>
      <c r="L27"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27" s="37" t="inlineStr">
        <is>
          <t>👉 [더블클릭] 수행지침 열기 📄</t>
        </is>
      </c>
      <c r="N27" s="36" t="inlineStr">
        <is>
          <t>1) MHz LTE-R 전 구간 무선 수신강도(RSSI ≥ -95dBm) 및 핸드오버(≥99.5%) 시험을 완료했는가?
2) Core 광백본 이중화 링 망의 OTDR 접속 손실(≤0.05dB/splice) 성과표를 검측했는가?</t>
        </is>
      </c>
      <c r="O27" s="37" t="inlineStr">
        <is>
          <t>👉 [더블클릭] 체크리스트 열기 📄</t>
        </is>
      </c>
      <c r="P27" s="35" t="n"/>
      <c r="Q27" s="36" t="inlineStr">
        <is>
          <t>● 관련분야 설계기준서 준수</t>
        </is>
      </c>
      <c r="R27" s="29" t="inlineStr">
        <is>
          <t>1) 👉 [더블클릭] 체크리스트 열기 📄</t>
        </is>
      </c>
      <c r="S27" s="36" t="n"/>
    </row>
    <row r="28" ht="211.2" customHeight="1">
      <c r="A28" s="35" t="inlineStr">
        <is>
          <t>9000</t>
        </is>
      </c>
      <c r="B28" s="35" t="inlineStr">
        <is>
          <t>9000-2</t>
        </is>
      </c>
      <c r="C28" s="36" t="inlineStr">
        <is>
          <t>통신분야</t>
        </is>
      </c>
      <c r="D28" s="35" t="inlineStr">
        <is>
          <t>9000-2-27</t>
        </is>
      </c>
      <c r="E28" s="36" t="inlineStr">
        <is>
          <t>영업시운전</t>
        </is>
      </c>
      <c r="F28" s="35" t="inlineStr">
        <is>
          <t>현장소장 및 발주처 / 공동감리단</t>
        </is>
      </c>
      <c r="G28" s="36" t="inlineStr">
        <is>
          <t>발주처는 영업시운전계획에 따라 열차운행체계를 확인하기 위해 영업시운전을 수행</t>
        </is>
      </c>
      <c r="H28" s="36" t="inlineStr">
        <is>
          <t>- (기준) 철도종합시험운행 시행지침 제22조(영업시운전계획의 수립), 23조(영업시운전의 시행)에 따름
- 운영자는 영업시운전계획을 발주처와 협의하여 수립하고 전문기관의 승인을 받은 후 시행
- 영업시운전 점검항목: 열차운행체계, 철도종사자(운전/관제 등)의 업무숙달, 영업서비스 준비사항
- 영업조건과 동일한 조건으로 열차운행을 수행하여 운전/영업분야 점검
- 운영자는 영업시운전 결과보고서를 한국교통안전공단에 제출(점검후 7일 이내)
- 한국교통안전공단은 보고서를 받은 날부터 14일 이내 국토교통부장관에게 보고하여야 하며, 국토부 장관은 검토 결과를 보고를 받은 날부터 7일 이내에 발주처와 시도지사에 통보</t>
        </is>
      </c>
      <c r="I28" s="36" t="inlineStr">
        <is>
          <t>영업시운전 결과보고서/승인문서(한국교통안전공단), 국토부 승인문서</t>
        </is>
      </c>
      <c r="J28"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28" s="37" t="inlineStr">
        <is>
          <t>👉 [더블클릭] 표준서 열기 📄</t>
        </is>
      </c>
      <c r="L28"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28" s="37" t="inlineStr">
        <is>
          <t>👉 [더블클릭] 수행지침 열기 📄</t>
        </is>
      </c>
      <c r="N28" s="36" t="inlineStr">
        <is>
          <t>1) MHz LTE-R 전 구간 무선 수신강도(RSSI ≥ -95dBm) 및 핸드오버(≥99.5%) 시험을 완료했는가?
2) Core 광백본 이중화 링 망의 OTDR 접속 손실(≤0.05dB/splice) 성과표를 검측했는가?</t>
        </is>
      </c>
      <c r="O28" s="37" t="inlineStr">
        <is>
          <t>👉 [더블클릭] 체크리스트 열기 📄</t>
        </is>
      </c>
      <c r="P28" s="35" t="n"/>
      <c r="Q28" s="36" t="inlineStr">
        <is>
          <t>● 관련분야 설계기준서 준수</t>
        </is>
      </c>
      <c r="R28" s="29" t="inlineStr">
        <is>
          <t>1) 👉 [더블클릭] 체크리스트 열기 📄</t>
        </is>
      </c>
      <c r="S28" s="36" t="n"/>
    </row>
    <row r="29" ht="115.2" customHeight="1">
      <c r="A29" s="35" t="inlineStr">
        <is>
          <t>9000</t>
        </is>
      </c>
      <c r="B29" s="35" t="inlineStr">
        <is>
          <t>9000-2</t>
        </is>
      </c>
      <c r="C29" s="36" t="inlineStr">
        <is>
          <t>통신분야</t>
        </is>
      </c>
      <c r="D29" s="35" t="inlineStr">
        <is>
          <t>9000-2-28</t>
        </is>
      </c>
      <c r="E29" s="36" t="inlineStr">
        <is>
          <t>자가용전기통신설비 설치신고</t>
        </is>
      </c>
      <c r="F29" s="35" t="inlineStr">
        <is>
          <t>시공사</t>
        </is>
      </c>
      <c r="G29" s="36" t="inlineStr">
        <is>
          <t>자가용전기통신설비의 합법적 설치</t>
        </is>
      </c>
      <c r="H29" s="36" t="inlineStr">
        <is>
          <t>- 관할 시청/구청에 설치공사 시작 21일 전까지 신고서와 설계도서 제출 (처리기간 15일)</t>
        </is>
      </c>
      <c r="I29" s="36" t="inlineStr">
        <is>
          <t>자가전기통신설비 설치신고 필증</t>
        </is>
      </c>
      <c r="J29"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29" s="37" t="inlineStr">
        <is>
          <t>👉 [더블클릭] 표준서 열기 📄</t>
        </is>
      </c>
      <c r="L29"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29" s="37" t="inlineStr">
        <is>
          <t>👉 [더블클릭] 수행지침 열기 📄</t>
        </is>
      </c>
      <c r="N29" s="36" t="inlineStr">
        <is>
          <t>1) MHz LTE-R 전 구간 무선 수신강도(RSSI ≥ -95dBm) 및 핸드오버(≥99.5%) 시험을 완료했는가?
2) Core 광백본 이중화 링 망의 OTDR 접속 손실(≤0.05dB/splice) 성과표를 검측했는가?</t>
        </is>
      </c>
      <c r="O29" s="37" t="inlineStr">
        <is>
          <t>👉 [더블클릭] 체크리스트 열기 📄</t>
        </is>
      </c>
      <c r="P29" s="35" t="n"/>
      <c r="Q29" s="36" t="inlineStr">
        <is>
          <t>● 전기통신사업법 제64조</t>
        </is>
      </c>
      <c r="R29" s="29" t="inlineStr">
        <is>
          <t>1) 👉 [더블클릭] 체크리스트 열기 📄</t>
        </is>
      </c>
      <c r="S29" s="36" t="n"/>
    </row>
    <row r="30" ht="115.2" customHeight="1">
      <c r="A30" s="35" t="inlineStr">
        <is>
          <t>9000</t>
        </is>
      </c>
      <c r="B30" s="35" t="inlineStr">
        <is>
          <t>9000-2</t>
        </is>
      </c>
      <c r="C30" s="36" t="inlineStr">
        <is>
          <t>통신분야</t>
        </is>
      </c>
      <c r="D30" s="35" t="inlineStr">
        <is>
          <t>9000-2-29</t>
        </is>
      </c>
      <c r="E30" s="36" t="inlineStr">
        <is>
          <t>LTE-R 무선국허가</t>
        </is>
      </c>
      <c r="F30" s="35" t="inlineStr">
        <is>
          <t>발주처</t>
        </is>
      </c>
      <c r="G30" s="36" t="inlineStr">
        <is>
          <t>무선국 설치 후 사용을 위한 법적 허가 취득</t>
        </is>
      </c>
      <c r="H30" s="36" t="inlineStr">
        <is>
          <t>- 무선국(LTE-R) 설치 후 중앙전파관리소에 신청서, 시설개요서, 공사설계서 제출 (처리기간 14일)</t>
        </is>
      </c>
      <c r="I30" s="36" t="inlineStr">
        <is>
          <t>무선국허가증</t>
        </is>
      </c>
      <c r="J30"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30" s="37" t="inlineStr">
        <is>
          <t>👉 [더블클릭] 표준서 열기 📄</t>
        </is>
      </c>
      <c r="L30"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30" s="37" t="inlineStr">
        <is>
          <t>👉 [더블클릭] 수행지침 열기 📄</t>
        </is>
      </c>
      <c r="N30" s="36" t="inlineStr">
        <is>
          <t>1) MHz LTE-R 전 구간 무선 수신강도(RSSI ≥ -95dBm) 및 핸드오버(≥99.5%) 시험을 완료했는가?
2) Core 광백본 이중화 링 망의 OTDR 접속 손실(≤0.05dB/splice) 성과표를 검측했는가?</t>
        </is>
      </c>
      <c r="O30" s="37" t="inlineStr">
        <is>
          <t>👉 [더블클릭] 체크리스트 열기 📄</t>
        </is>
      </c>
      <c r="P30" s="35" t="n"/>
      <c r="Q30" s="36" t="inlineStr">
        <is>
          <t>● 전파법 제19조</t>
        </is>
      </c>
      <c r="R30" s="29" t="inlineStr">
        <is>
          <t>1) 👉 [더블클릭] 체크리스트 열기 📄</t>
        </is>
      </c>
      <c r="S30" s="36" t="n"/>
    </row>
    <row r="31" ht="115.2" customHeight="1">
      <c r="A31" s="35" t="inlineStr">
        <is>
          <t>9000</t>
        </is>
      </c>
      <c r="B31" s="35" t="inlineStr">
        <is>
          <t>9000-2</t>
        </is>
      </c>
      <c r="C31" s="36" t="inlineStr">
        <is>
          <t>통신분야</t>
        </is>
      </c>
      <c r="D31" s="35" t="inlineStr">
        <is>
          <t>9000-2-30</t>
        </is>
      </c>
      <c r="E31" s="36" t="inlineStr">
        <is>
          <t>LTE-R 상호운용성 및 보안적합성 검증</t>
        </is>
      </c>
      <c r="F31" s="35" t="inlineStr">
        <is>
          <t>시공사</t>
        </is>
      </c>
      <c r="G31" s="36" t="inlineStr">
        <is>
          <t>무선 장비의 보안성 및 타 기관 상호운용성 검증</t>
        </is>
      </c>
      <c r="H31" s="36" t="inlineStr">
        <is>
          <t>- 한국정보통신기술협회에 시험결과서 제출하여 검증 진행 (처리기간 1개월)</t>
        </is>
      </c>
      <c r="I31" s="36" t="inlineStr">
        <is>
          <t>상호운용성,보안적합성 시험 인증서</t>
        </is>
      </c>
      <c r="J31"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31" s="37" t="inlineStr">
        <is>
          <t>👉 [더블클릭] 표준서 열기 📄</t>
        </is>
      </c>
      <c r="L31"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31" s="37" t="inlineStr">
        <is>
          <t>👉 [더블클릭] 수행지침 열기 📄</t>
        </is>
      </c>
      <c r="N31" s="36" t="inlineStr">
        <is>
          <t>1) MHz LTE-R 전 구간 무선 수신강도(RSSI ≥ -95dBm) 및 핸드오버(≥99.5%) 시험을 완료했는가?
2) Core 광백본 이중화 링 망의 OTDR 접속 손실(≤0.05dB/splice) 성과표를 검측했는가?</t>
        </is>
      </c>
      <c r="O31" s="37" t="inlineStr">
        <is>
          <t>👉 [더블클릭] 체크리스트 열기 📄</t>
        </is>
      </c>
      <c r="P31" s="35" t="n"/>
      <c r="Q31" s="36" t="inlineStr">
        <is>
          <t>● 국가철도공단 표준규격(KRSA) 5007-R3 / 5008-R2</t>
        </is>
      </c>
      <c r="R31" s="29" t="inlineStr">
        <is>
          <t>1) 👉 [더블클릭] 체크리스트 열기 📄</t>
        </is>
      </c>
      <c r="S31" s="36" t="n"/>
    </row>
    <row r="32" ht="115.2" customHeight="1">
      <c r="A32" s="35" t="inlineStr">
        <is>
          <t>9000</t>
        </is>
      </c>
      <c r="B32" s="35" t="inlineStr">
        <is>
          <t>9000-2</t>
        </is>
      </c>
      <c r="C32" s="36" t="inlineStr">
        <is>
          <t>통신분야</t>
        </is>
      </c>
      <c r="D32" s="35" t="inlineStr">
        <is>
          <t>9000-2-31</t>
        </is>
      </c>
      <c r="E32" s="36" t="inlineStr">
        <is>
          <t>정보통신사용전검사</t>
        </is>
      </c>
      <c r="F32" s="35" t="inlineStr">
        <is>
          <t>시공사</t>
        </is>
      </c>
      <c r="G32" s="36" t="inlineStr">
        <is>
          <t>시공 완료된 정보통신설비의 준공 전 사용 적합성 검증</t>
        </is>
      </c>
      <c r="H32" s="36" t="inlineStr">
        <is>
          <t>- 관할 시청/구청에 사용전검사 신청서와 준공설계도서 제출 (처리기간 14일)</t>
        </is>
      </c>
      <c r="I32" s="36" t="inlineStr">
        <is>
          <t>정보통신사용전검사 필증</t>
        </is>
      </c>
      <c r="J32"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32" s="37" t="inlineStr">
        <is>
          <t>👉 [더블클릭] 표준서 열기 📄</t>
        </is>
      </c>
      <c r="L32"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32" s="37" t="inlineStr">
        <is>
          <t>👉 [더블클릭] 수행지침 열기 📄</t>
        </is>
      </c>
      <c r="N32" s="36" t="inlineStr">
        <is>
          <t>1) MHz LTE-R 전 구간 무선 수신강도(RSSI ≥ -95dBm) 및 핸드오버(≥99.5%) 시험을 완료했는가?
2) Core 광백본 이중화 링 망의 OTDR 접속 손실(≤0.05dB/splice) 성과표를 검측했는가?</t>
        </is>
      </c>
      <c r="O32" s="37" t="inlineStr">
        <is>
          <t>👉 [더블클릭] 체크리스트 열기 📄</t>
        </is>
      </c>
      <c r="P32" s="35" t="n"/>
      <c r="Q32" s="36" t="inlineStr">
        <is>
          <t>● 정보통신공사법 제36조</t>
        </is>
      </c>
      <c r="R32" s="29" t="inlineStr">
        <is>
          <t>1) 👉 [더블클릭] 체크리스트 열기 📄</t>
        </is>
      </c>
      <c r="S32" s="36" t="n"/>
    </row>
    <row r="33" ht="115.2" customHeight="1">
      <c r="A33" s="35" t="inlineStr">
        <is>
          <t>9000</t>
        </is>
      </c>
      <c r="B33" s="35" t="inlineStr">
        <is>
          <t>9000-2</t>
        </is>
      </c>
      <c r="C33" s="36" t="inlineStr">
        <is>
          <t>통신분야</t>
        </is>
      </c>
      <c r="D33" s="35" t="inlineStr">
        <is>
          <t>9000-2-32</t>
        </is>
      </c>
      <c r="E33" s="36" t="inlineStr">
        <is>
          <t>LTE-R 무선국 준공검사</t>
        </is>
      </c>
      <c r="F33" s="35" t="inlineStr">
        <is>
          <t>발주처</t>
        </is>
      </c>
      <c r="G33" s="36" t="inlineStr">
        <is>
          <t>무선국 전파 특성 검증 및 준공 처리</t>
        </is>
      </c>
      <c r="H33" s="36" t="inlineStr">
        <is>
          <t>- 한국방송통신전파진흥원에 준공신고서, 안테나전력/주파수편차/불요발사강도 측정표, 안테나 Pattern 도표 제출 (처리기간 14일)</t>
        </is>
      </c>
      <c r="I33" s="36" t="inlineStr">
        <is>
          <t>LTE-R 무선국 준공검사 확인서</t>
        </is>
      </c>
      <c r="J33" s="36" t="inlineStr">
        <is>
          <t>1) LTE-R 무선망 설계기준: 700MHz Band 28 대역 음영지역 제로화, RSSI ≥ -95dBm, RSRP ≥ -105dBm, 핸드오버 성공률 ≥ 99.5% 확보
2) 광백본망 케이블 기준: 72-Core 싱글모드 광케이블 (SMF, ITU-T G.652D) 이중화 링 망, OTDR 접속 손실 ≤ 0.05dB/splice</t>
        </is>
      </c>
      <c r="K33" s="37" t="inlineStr">
        <is>
          <t>👉 [더블클릭] 표준서 열기 📄</t>
        </is>
      </c>
      <c r="L33" s="36" t="inlineStr">
        <is>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is>
      </c>
      <c r="M33" s="37" t="inlineStr">
        <is>
          <t>👉 [더블클릭] 수행지침 열기 📄</t>
        </is>
      </c>
      <c r="N33" s="36" t="inlineStr">
        <is>
          <t>1) MHz LTE-R 전 구간 무선 수신강도(RSSI ≥ -95dBm) 및 핸드오버(≥99.5%) 시험을 완료했는가?
2) Core 광백본 이중화 링 망의 OTDR 접속 손실(≤0.05dB/splice) 성과표를 검측했는가?</t>
        </is>
      </c>
      <c r="O33" s="37" t="inlineStr">
        <is>
          <t>👉 [더블클릭] 체크리스트 열기 📄</t>
        </is>
      </c>
      <c r="P33" s="35" t="n"/>
      <c r="Q33" s="36" t="inlineStr">
        <is>
          <t>● 전파법 제24조</t>
        </is>
      </c>
      <c r="R33" s="29" t="inlineStr">
        <is>
          <t>1) 👉 [더블클릭] 체크리스트 열기 📄</t>
        </is>
      </c>
      <c r="S33" s="36" t="n"/>
    </row>
  </sheetData>
  <hyperlinks>
    <hyperlink xmlns:r="http://schemas.openxmlformats.org/officeDocument/2006/relationships" ref="K2" r:id="rId1"/>
    <hyperlink xmlns:r="http://schemas.openxmlformats.org/officeDocument/2006/relationships" ref="M2" r:id="rId2"/>
    <hyperlink xmlns:r="http://schemas.openxmlformats.org/officeDocument/2006/relationships" ref="O2" r:id="rId3"/>
    <hyperlink xmlns:r="http://schemas.openxmlformats.org/officeDocument/2006/relationships" ref="K3" r:id="rId4"/>
    <hyperlink xmlns:r="http://schemas.openxmlformats.org/officeDocument/2006/relationships" ref="M3" r:id="rId5"/>
    <hyperlink xmlns:r="http://schemas.openxmlformats.org/officeDocument/2006/relationships" ref="O3" r:id="rId6"/>
    <hyperlink xmlns:r="http://schemas.openxmlformats.org/officeDocument/2006/relationships" ref="K4" r:id="rId7"/>
    <hyperlink xmlns:r="http://schemas.openxmlformats.org/officeDocument/2006/relationships" ref="M4" r:id="rId8"/>
    <hyperlink xmlns:r="http://schemas.openxmlformats.org/officeDocument/2006/relationships" ref="O4" r:id="rId9"/>
    <hyperlink xmlns:r="http://schemas.openxmlformats.org/officeDocument/2006/relationships" ref="K5" r:id="rId10"/>
    <hyperlink xmlns:r="http://schemas.openxmlformats.org/officeDocument/2006/relationships" ref="M5" r:id="rId11"/>
    <hyperlink xmlns:r="http://schemas.openxmlformats.org/officeDocument/2006/relationships" ref="O5" r:id="rId12"/>
    <hyperlink xmlns:r="http://schemas.openxmlformats.org/officeDocument/2006/relationships" ref="K6" r:id="rId13"/>
    <hyperlink xmlns:r="http://schemas.openxmlformats.org/officeDocument/2006/relationships" ref="M6" r:id="rId14"/>
    <hyperlink xmlns:r="http://schemas.openxmlformats.org/officeDocument/2006/relationships" ref="O6" r:id="rId15"/>
    <hyperlink xmlns:r="http://schemas.openxmlformats.org/officeDocument/2006/relationships" ref="K7" r:id="rId16"/>
    <hyperlink xmlns:r="http://schemas.openxmlformats.org/officeDocument/2006/relationships" ref="M7" r:id="rId17"/>
    <hyperlink xmlns:r="http://schemas.openxmlformats.org/officeDocument/2006/relationships" ref="O7" r:id="rId18"/>
    <hyperlink xmlns:r="http://schemas.openxmlformats.org/officeDocument/2006/relationships" ref="K8" r:id="rId19"/>
    <hyperlink xmlns:r="http://schemas.openxmlformats.org/officeDocument/2006/relationships" ref="M8" r:id="rId20"/>
    <hyperlink xmlns:r="http://schemas.openxmlformats.org/officeDocument/2006/relationships" ref="O8" r:id="rId21"/>
    <hyperlink xmlns:r="http://schemas.openxmlformats.org/officeDocument/2006/relationships" ref="K9" r:id="rId22"/>
    <hyperlink xmlns:r="http://schemas.openxmlformats.org/officeDocument/2006/relationships" ref="M9" r:id="rId23"/>
    <hyperlink xmlns:r="http://schemas.openxmlformats.org/officeDocument/2006/relationships" ref="O9" r:id="rId24"/>
    <hyperlink xmlns:r="http://schemas.openxmlformats.org/officeDocument/2006/relationships" ref="K10" r:id="rId25"/>
    <hyperlink xmlns:r="http://schemas.openxmlformats.org/officeDocument/2006/relationships" ref="M10" r:id="rId26"/>
    <hyperlink xmlns:r="http://schemas.openxmlformats.org/officeDocument/2006/relationships" ref="O10" r:id="rId27"/>
    <hyperlink xmlns:r="http://schemas.openxmlformats.org/officeDocument/2006/relationships" ref="K11" r:id="rId28"/>
    <hyperlink xmlns:r="http://schemas.openxmlformats.org/officeDocument/2006/relationships" ref="M11" r:id="rId29"/>
    <hyperlink xmlns:r="http://schemas.openxmlformats.org/officeDocument/2006/relationships" ref="O11" r:id="rId30"/>
    <hyperlink xmlns:r="http://schemas.openxmlformats.org/officeDocument/2006/relationships" ref="K12" r:id="rId31"/>
    <hyperlink xmlns:r="http://schemas.openxmlformats.org/officeDocument/2006/relationships" ref="M12" r:id="rId32"/>
    <hyperlink xmlns:r="http://schemas.openxmlformats.org/officeDocument/2006/relationships" ref="O12" r:id="rId33"/>
    <hyperlink xmlns:r="http://schemas.openxmlformats.org/officeDocument/2006/relationships" ref="K13" r:id="rId34"/>
    <hyperlink xmlns:r="http://schemas.openxmlformats.org/officeDocument/2006/relationships" ref="M13" r:id="rId35"/>
    <hyperlink xmlns:r="http://schemas.openxmlformats.org/officeDocument/2006/relationships" ref="O13" r:id="rId36"/>
    <hyperlink xmlns:r="http://schemas.openxmlformats.org/officeDocument/2006/relationships" ref="K14" r:id="rId37"/>
    <hyperlink xmlns:r="http://schemas.openxmlformats.org/officeDocument/2006/relationships" ref="M14" r:id="rId38"/>
    <hyperlink xmlns:r="http://schemas.openxmlformats.org/officeDocument/2006/relationships" ref="O14" r:id="rId39"/>
    <hyperlink xmlns:r="http://schemas.openxmlformats.org/officeDocument/2006/relationships" ref="K15" r:id="rId40"/>
    <hyperlink xmlns:r="http://schemas.openxmlformats.org/officeDocument/2006/relationships" ref="M15" r:id="rId41"/>
    <hyperlink xmlns:r="http://schemas.openxmlformats.org/officeDocument/2006/relationships" ref="O15" r:id="rId42"/>
    <hyperlink xmlns:r="http://schemas.openxmlformats.org/officeDocument/2006/relationships" ref="K16" r:id="rId43"/>
    <hyperlink xmlns:r="http://schemas.openxmlformats.org/officeDocument/2006/relationships" ref="M16" r:id="rId44"/>
    <hyperlink xmlns:r="http://schemas.openxmlformats.org/officeDocument/2006/relationships" ref="O16" r:id="rId45"/>
    <hyperlink xmlns:r="http://schemas.openxmlformats.org/officeDocument/2006/relationships" ref="K17" r:id="rId46"/>
    <hyperlink xmlns:r="http://schemas.openxmlformats.org/officeDocument/2006/relationships" ref="M17" r:id="rId47"/>
    <hyperlink xmlns:r="http://schemas.openxmlformats.org/officeDocument/2006/relationships" ref="O17" r:id="rId48"/>
    <hyperlink xmlns:r="http://schemas.openxmlformats.org/officeDocument/2006/relationships" ref="K18" r:id="rId49"/>
    <hyperlink xmlns:r="http://schemas.openxmlformats.org/officeDocument/2006/relationships" ref="M18" r:id="rId50"/>
    <hyperlink xmlns:r="http://schemas.openxmlformats.org/officeDocument/2006/relationships" ref="O18" r:id="rId51"/>
    <hyperlink xmlns:r="http://schemas.openxmlformats.org/officeDocument/2006/relationships" ref="K19" r:id="rId52"/>
    <hyperlink xmlns:r="http://schemas.openxmlformats.org/officeDocument/2006/relationships" ref="M19" r:id="rId53"/>
    <hyperlink xmlns:r="http://schemas.openxmlformats.org/officeDocument/2006/relationships" ref="O19" r:id="rId54"/>
    <hyperlink xmlns:r="http://schemas.openxmlformats.org/officeDocument/2006/relationships" ref="K20" r:id="rId55"/>
    <hyperlink xmlns:r="http://schemas.openxmlformats.org/officeDocument/2006/relationships" ref="M20" r:id="rId56"/>
    <hyperlink xmlns:r="http://schemas.openxmlformats.org/officeDocument/2006/relationships" ref="O20" r:id="rId57"/>
    <hyperlink xmlns:r="http://schemas.openxmlformats.org/officeDocument/2006/relationships" ref="K21" r:id="rId58"/>
    <hyperlink xmlns:r="http://schemas.openxmlformats.org/officeDocument/2006/relationships" ref="M21" r:id="rId59"/>
    <hyperlink xmlns:r="http://schemas.openxmlformats.org/officeDocument/2006/relationships" ref="O21" r:id="rId60"/>
    <hyperlink xmlns:r="http://schemas.openxmlformats.org/officeDocument/2006/relationships" ref="K22" r:id="rId61"/>
    <hyperlink xmlns:r="http://schemas.openxmlformats.org/officeDocument/2006/relationships" ref="M22" r:id="rId62"/>
    <hyperlink xmlns:r="http://schemas.openxmlformats.org/officeDocument/2006/relationships" ref="O22" r:id="rId63"/>
    <hyperlink xmlns:r="http://schemas.openxmlformats.org/officeDocument/2006/relationships" ref="K23" r:id="rId64"/>
    <hyperlink xmlns:r="http://schemas.openxmlformats.org/officeDocument/2006/relationships" ref="M23" r:id="rId65"/>
    <hyperlink xmlns:r="http://schemas.openxmlformats.org/officeDocument/2006/relationships" ref="O23" r:id="rId66"/>
    <hyperlink xmlns:r="http://schemas.openxmlformats.org/officeDocument/2006/relationships" ref="K24" r:id="rId67"/>
    <hyperlink xmlns:r="http://schemas.openxmlformats.org/officeDocument/2006/relationships" ref="M24" r:id="rId68"/>
    <hyperlink xmlns:r="http://schemas.openxmlformats.org/officeDocument/2006/relationships" ref="O24" r:id="rId69"/>
    <hyperlink xmlns:r="http://schemas.openxmlformats.org/officeDocument/2006/relationships" ref="K25" r:id="rId70"/>
    <hyperlink xmlns:r="http://schemas.openxmlformats.org/officeDocument/2006/relationships" ref="M25" r:id="rId71"/>
    <hyperlink xmlns:r="http://schemas.openxmlformats.org/officeDocument/2006/relationships" ref="O25" r:id="rId72"/>
    <hyperlink xmlns:r="http://schemas.openxmlformats.org/officeDocument/2006/relationships" ref="K26" r:id="rId73"/>
    <hyperlink xmlns:r="http://schemas.openxmlformats.org/officeDocument/2006/relationships" ref="M26" r:id="rId74"/>
    <hyperlink xmlns:r="http://schemas.openxmlformats.org/officeDocument/2006/relationships" ref="O26" r:id="rId75"/>
    <hyperlink xmlns:r="http://schemas.openxmlformats.org/officeDocument/2006/relationships" ref="K27" r:id="rId76"/>
    <hyperlink xmlns:r="http://schemas.openxmlformats.org/officeDocument/2006/relationships" ref="M27" r:id="rId77"/>
    <hyperlink xmlns:r="http://schemas.openxmlformats.org/officeDocument/2006/relationships" ref="O27" r:id="rId78"/>
    <hyperlink xmlns:r="http://schemas.openxmlformats.org/officeDocument/2006/relationships" ref="K28" r:id="rId79"/>
    <hyperlink xmlns:r="http://schemas.openxmlformats.org/officeDocument/2006/relationships" ref="M28" r:id="rId80"/>
    <hyperlink xmlns:r="http://schemas.openxmlformats.org/officeDocument/2006/relationships" ref="O28" r:id="rId81"/>
    <hyperlink xmlns:r="http://schemas.openxmlformats.org/officeDocument/2006/relationships" ref="K29" r:id="rId82"/>
    <hyperlink xmlns:r="http://schemas.openxmlformats.org/officeDocument/2006/relationships" ref="M29" r:id="rId83"/>
    <hyperlink xmlns:r="http://schemas.openxmlformats.org/officeDocument/2006/relationships" ref="O29" r:id="rId84"/>
    <hyperlink xmlns:r="http://schemas.openxmlformats.org/officeDocument/2006/relationships" ref="K30" r:id="rId85"/>
    <hyperlink xmlns:r="http://schemas.openxmlformats.org/officeDocument/2006/relationships" ref="M30" r:id="rId86"/>
    <hyperlink xmlns:r="http://schemas.openxmlformats.org/officeDocument/2006/relationships" ref="O30" r:id="rId87"/>
    <hyperlink xmlns:r="http://schemas.openxmlformats.org/officeDocument/2006/relationships" ref="K31" r:id="rId88"/>
    <hyperlink xmlns:r="http://schemas.openxmlformats.org/officeDocument/2006/relationships" ref="M31" r:id="rId89"/>
    <hyperlink xmlns:r="http://schemas.openxmlformats.org/officeDocument/2006/relationships" ref="O31" r:id="rId90"/>
    <hyperlink xmlns:r="http://schemas.openxmlformats.org/officeDocument/2006/relationships" ref="K32" r:id="rId91"/>
    <hyperlink xmlns:r="http://schemas.openxmlformats.org/officeDocument/2006/relationships" ref="M32" r:id="rId92"/>
    <hyperlink xmlns:r="http://schemas.openxmlformats.org/officeDocument/2006/relationships" ref="O32" r:id="rId93"/>
    <hyperlink xmlns:r="http://schemas.openxmlformats.org/officeDocument/2006/relationships" ref="K33" r:id="rId94"/>
    <hyperlink xmlns:r="http://schemas.openxmlformats.org/officeDocument/2006/relationships" ref="M33" r:id="rId95"/>
    <hyperlink xmlns:r="http://schemas.openxmlformats.org/officeDocument/2006/relationships" ref="O33" r:id="rId96"/>
  </hyperlinks>
  <printOptions horizontalCentered="1"/>
  <pageMargins left="0.7480314960629921" right="0.7480314960629921" top="0.984251968503937" bottom="0.984251968503937" header="0.5118110236220472" footer="0.5118110236220472"/>
  <pageSetup orientation="landscape" paperSize="8" scale="38" verticalDpi="0"/>
</worksheet>
</file>

<file path=xl/worksheets/sheet9.xml><?xml version="1.0" encoding="utf-8"?>
<worksheet xmlns="http://schemas.openxmlformats.org/spreadsheetml/2006/main">
  <sheetPr>
    <outlinePr summaryBelow="1" summaryRight="1"/>
    <pageSetUpPr/>
  </sheetPr>
  <dimension ref="A1:S33"/>
  <sheetViews>
    <sheetView view="pageBreakPreview" topLeftCell="H1" zoomScale="40" zoomScaleNormal="55" zoomScaleSheetLayoutView="40" workbookViewId="0">
      <selection activeCell="H4" sqref="H4"/>
    </sheetView>
  </sheetViews>
  <sheetFormatPr baseColWidth="8" defaultRowHeight="17.4"/>
  <cols>
    <col width="8.796875" customWidth="1" style="1" min="1" max="3"/>
    <col width="16" customWidth="1" style="2" min="4" max="4"/>
    <col width="34.69921875" customWidth="1" style="2" min="5" max="5"/>
    <col width="21.69921875" customWidth="1" style="2" min="6" max="6"/>
    <col width="32.59765625" customWidth="1" style="1" min="7" max="7"/>
    <col width="72.296875" customWidth="1" style="1" min="8" max="8"/>
    <col width="41.69921875" customWidth="1" style="1" min="9" max="9"/>
    <col width="62.09765625" customWidth="1" style="1" min="10" max="10"/>
    <col width="12" customWidth="1" min="11" max="11"/>
    <col width="50" customWidth="1" min="12" max="12"/>
    <col width="10.19921875" customWidth="1" style="1" min="13" max="13"/>
    <col width="50.796875" customWidth="1" style="1" min="14" max="14"/>
    <col width="11.19921875" customWidth="1" min="15" max="15"/>
    <col width="16.69921875" customWidth="1" style="1" min="16" max="16"/>
    <col width="45" customWidth="1" style="1" min="17" max="35"/>
    <col width="8.796875" customWidth="1" style="1" min="36" max="41"/>
    <col width="8.796875" customWidth="1" style="1" min="42" max="16384"/>
  </cols>
  <sheetData>
    <row r="1" ht="31.2" customHeight="1">
      <c r="A1" s="8" t="inlineStr">
        <is>
          <t>L2 코드</t>
        </is>
      </c>
      <c r="B1" s="8" t="inlineStr">
        <is>
          <t>L3 코드</t>
        </is>
      </c>
      <c r="C1" s="8" t="inlineStr">
        <is>
          <t>L3 대공종명</t>
        </is>
      </c>
      <c r="D1" s="8" t="inlineStr">
        <is>
          <t>L4 코드</t>
        </is>
      </c>
      <c r="E1" s="8" t="inlineStr">
        <is>
          <t>작업단위 (Level 4 Task/Activity)</t>
        </is>
      </c>
      <c r="F1" s="8" t="inlineStr">
        <is>
          <t>주관</t>
        </is>
      </c>
      <c r="G1" s="8" t="inlineStr">
        <is>
          <t>목적</t>
        </is>
      </c>
      <c r="H1" s="8" t="inlineStr">
        <is>
          <t>방법</t>
        </is>
      </c>
      <c r="I1" s="8" t="inlineStr">
        <is>
          <t>산출물(결과)</t>
        </is>
      </c>
      <c r="J1" s="8" t="inlineStr">
        <is>
          <t>표준서 (Standard) 요약</t>
        </is>
      </c>
      <c r="K1" s="7" t="inlineStr">
        <is>
          <t>표준서 파일 (HTML)</t>
        </is>
      </c>
      <c r="L1" s="8" t="inlineStr">
        <is>
          <t>수행지침 (Guideline) 요약</t>
        </is>
      </c>
      <c r="M1" s="7" t="inlineStr">
        <is>
          <t>수행지침 파일 (HTML)</t>
        </is>
      </c>
      <c r="N1" s="8" t="inlineStr">
        <is>
          <t>체크리스트 (Checklist) 요약</t>
        </is>
      </c>
      <c r="O1" s="7" t="inlineStr">
        <is>
          <t>체크리스트 파일 (HTML)</t>
        </is>
      </c>
      <c r="P1" s="8" t="inlineStr">
        <is>
          <t>비고</t>
        </is>
      </c>
      <c r="Q1" s="10" t="inlineStr">
        <is>
          <t>첨부서류 연계 상세 설계기준</t>
        </is>
      </c>
      <c r="R1" s="10" t="inlineStr">
        <is>
          <t>집행단계 리스크 체크리스트</t>
        </is>
      </c>
      <c r="S1" s="10" t="inlineStr">
        <is>
          <t>협력사 시공/공사관리 자문</t>
        </is>
      </c>
    </row>
    <row r="2" ht="121.8" customHeight="1">
      <c r="A2" s="11" t="inlineStr">
        <is>
          <t>9000</t>
        </is>
      </c>
      <c r="B2" s="11" t="inlineStr">
        <is>
          <t>9000-3</t>
        </is>
      </c>
      <c r="C2" s="12" t="inlineStr">
        <is>
          <t>전기분야</t>
        </is>
      </c>
      <c r="D2" s="11" t="inlineStr">
        <is>
          <t>9000-3-1</t>
        </is>
      </c>
      <c r="E2" s="12" t="inlineStr">
        <is>
          <t>설계적정성 검토</t>
        </is>
      </c>
      <c r="F2" s="11" t="inlineStr">
        <is>
          <t>현장 공무팀</t>
        </is>
      </c>
      <c r="G2" s="12" t="inlineStr">
        <is>
          <t>설계적정성 및 시공성 검토</t>
        </is>
      </c>
      <c r="H2" s="12" t="inlineStr">
        <is>
          <t>- 인접사업 공사기간을 고려한 판단 전력공급설비 계획 적정성 검토 (임시전력설비 등 검토)
- 민간투자 건설공사인 경우, 도로점용료가 공사에 미반영되었는지 검토
- 최신 설계기준, 철도표준 반영여부 확인
- 전철전력 전기 부하용량 적정성 검토
- 특고압케이블의 배선/배로 적정성 검토
- 특고압/외산자재 여부 확인</t>
        </is>
      </c>
      <c r="I2" s="12" t="inlineStr">
        <is>
          <t>회의록, 설계검토 보고서</t>
        </is>
      </c>
      <c r="J2" s="12" t="inlineStr">
        <is>
          <t>1) 무가선(배터리) 승강장 급속 충전: 정거장 정차 30초 내 배터리 80% 급속 충전(DC 750V/1000A) 오버헤드 팬타그래프 인입 제어 및 ESS 안전장치 연동
2) DC 750V 정류기 및 레일 귀선: 주행 레일 누설전류(Stray Current) 부식 방지를 위한 디오드 접지 장치(Polarization Cell)를 레일 콘크리트 타설 전 선제 설치</t>
        </is>
      </c>
      <c r="K2" s="18" t="inlineStr">
        <is>
          <t>👉 [더블클릭] 표준서 열기 📄</t>
        </is>
      </c>
      <c r="L2"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2" s="18" t="inlineStr">
        <is>
          <t>👉 [더블클릭] 수행지침 열기 📄</t>
        </is>
      </c>
      <c r="N2"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2" s="18" t="inlineStr">
        <is>
          <t>👉 [더블클릭] 체크리스트 열기 📄</t>
        </is>
      </c>
      <c r="P2" s="11" t="n"/>
      <c r="Q2" s="12" t="n"/>
      <c r="R2" s="12" t="n"/>
      <c r="S2" s="12" t="n"/>
    </row>
    <row r="3" ht="208.8" customHeight="1">
      <c r="A3" s="11" t="inlineStr">
        <is>
          <t>9000</t>
        </is>
      </c>
      <c r="B3" s="11" t="inlineStr">
        <is>
          <t>9000-3</t>
        </is>
      </c>
      <c r="C3" s="12" t="inlineStr">
        <is>
          <t>전기분야</t>
        </is>
      </c>
      <c r="D3" s="11" t="inlineStr">
        <is>
          <t>9000-3-2</t>
        </is>
      </c>
      <c r="E3" s="12" t="inlineStr">
        <is>
          <t>발주전략 KOM</t>
        </is>
      </c>
      <c r="F3" s="11" t="inlineStr">
        <is>
          <t>현장소장</t>
        </is>
      </c>
      <c r="G3" s="12" t="inlineStr">
        <is>
          <t>전철전력설비 공사 발주 전략수립</t>
        </is>
      </c>
      <c r="H3" s="12" t="inlineStr">
        <is>
          <t>- 전철전력설비 설계 및 현장여건 검토
- 전철전력설비 공사 시공실적 업체Pool 검토
- 유사사례 영업운행 실적이 확보된 시스템적용
- 입찰조건 검토
1) 공정계획 및 전철전력 자재 제작 기간
2) 전철전력설비 시공 실적 보유 (철도, 도시철도, 경전철)
3) 예비품 및 소모품 포함
4) 시공전시 전기설비 운전 및 교육 지원 (비용 포함)
5) 예상내역상 누락 아이템 여부
6) 현장 자재보관 창고 임대 비용 포함
7) 공사용 전기, 용수, 청소 비용 포함
8) 개통 후 현장 기술지원 상주 인력기간 및 비용 포함</t>
        </is>
      </c>
      <c r="I3" s="12" t="inlineStr">
        <is>
          <t>KOM 검토결과서, 현장설명서</t>
        </is>
      </c>
      <c r="J3"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3" s="18" t="inlineStr">
        <is>
          <t>👉 [더블클릭] 표준서 열기 📄</t>
        </is>
      </c>
      <c r="L3"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3" s="18" t="inlineStr">
        <is>
          <t>👉 [더블클릭] 수행지침 열기 📄</t>
        </is>
      </c>
      <c r="N3"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3" s="18" t="inlineStr">
        <is>
          <t>👉 [더블클릭] 체크리스트 열기 📄</t>
        </is>
      </c>
      <c r="P3" s="11" t="n"/>
      <c r="Q3" s="12" t="n"/>
      <c r="R3" s="12" t="n"/>
      <c r="S3" s="12" t="n"/>
    </row>
    <row r="4" ht="69.59999999999999" customHeight="1">
      <c r="A4" s="11" t="inlineStr">
        <is>
          <t>9000</t>
        </is>
      </c>
      <c r="B4" s="11" t="inlineStr">
        <is>
          <t>9000-3</t>
        </is>
      </c>
      <c r="C4" s="12" t="inlineStr">
        <is>
          <t>전기분야</t>
        </is>
      </c>
      <c r="D4" s="11" t="inlineStr">
        <is>
          <t>9000-3-3</t>
        </is>
      </c>
      <c r="E4" s="12" t="inlineStr">
        <is>
          <t>토목 / 건축 인터페이스 협의</t>
        </is>
      </c>
      <c r="F4" s="11" t="inlineStr">
        <is>
          <t>현장 전철전력팀</t>
        </is>
      </c>
      <c r="G4" s="12" t="inlineStr">
        <is>
          <t>전력설비 설치를 위한 요구사항 검토</t>
        </is>
      </c>
      <c r="H4" s="12" t="inlineStr">
        <is>
          <t>- 자재 반입구/공동구/종단전공구/케이블 인입구 등 확인, 기능실마감 및 출입문 상태
- 토목공사 선시공 자재관련 적정성 여부 확인</t>
        </is>
      </c>
      <c r="I4" s="12" t="inlineStr">
        <is>
          <t>인터페이스 회의록 및 관리대장</t>
        </is>
      </c>
      <c r="J4"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4" s="18" t="inlineStr">
        <is>
          <t>👉 [더블클릭] 표준서 열기 📄</t>
        </is>
      </c>
      <c r="L4"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4" s="18" t="inlineStr">
        <is>
          <t>👉 [더블클릭] 수행지침 열기 📄</t>
        </is>
      </c>
      <c r="N4"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4" s="18" t="inlineStr">
        <is>
          <t>👉 [더블클릭] 체크리스트 열기 📄</t>
        </is>
      </c>
      <c r="P4" s="11" t="n"/>
      <c r="Q4" s="12" t="n"/>
      <c r="R4" s="12" t="n"/>
      <c r="S4" s="12" t="n"/>
    </row>
    <row r="5" ht="104.4" customHeight="1">
      <c r="A5" s="11" t="inlineStr">
        <is>
          <t>9000</t>
        </is>
      </c>
      <c r="B5" s="11" t="inlineStr">
        <is>
          <t>9000-3</t>
        </is>
      </c>
      <c r="C5" s="12" t="inlineStr">
        <is>
          <t>전기분야</t>
        </is>
      </c>
      <c r="D5" s="11" t="inlineStr">
        <is>
          <t>9000-3-4</t>
        </is>
      </c>
      <c r="E5" s="12" t="inlineStr">
        <is>
          <t>신호 / 통신 / 기계 / PSD / 차량 인터페이스 협의</t>
        </is>
      </c>
      <c r="F5" s="11" t="inlineStr">
        <is>
          <t>현장 전철전력팀 / 전기 협력업체</t>
        </is>
      </c>
      <c r="G5" s="12" t="inlineStr">
        <is>
          <t>연계분야간 사전조율 및 인터페이스 사항 조율로 재작업 예방</t>
        </is>
      </c>
      <c r="H5" s="12" t="inlineStr">
        <is>
          <t>- 연계분야별 조율 및 협의사항 도출
1) (기계): 부하별 필요전원 및 기동방식 외
2) (신호/통신): 공동관로 포설계획 외
3) (차량): 차량시운전에 필요한 전차선 가압 일정 수립
4) (전기, 신호, 기계, PSD): 위치별 가압일정
- 2차(부하)측 세부 작업범위, 인수인계 이행 및 작업투입 순서 조율</t>
        </is>
      </c>
      <c r="I5" s="12" t="inlineStr">
        <is>
          <t>인터페이스 회의록 및 관리대장</t>
        </is>
      </c>
      <c r="J5"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5" s="18" t="inlineStr">
        <is>
          <t>👉 [더블클릭] 표준서 열기 📄</t>
        </is>
      </c>
      <c r="L5"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5" s="18" t="inlineStr">
        <is>
          <t>👉 [더블클릭] 수행지침 열기 📄</t>
        </is>
      </c>
      <c r="N5"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5" s="18" t="inlineStr">
        <is>
          <t>👉 [더블클릭] 체크리스트 열기 📄</t>
        </is>
      </c>
      <c r="P5" s="11" t="n"/>
      <c r="Q5" s="12" t="n"/>
      <c r="R5" s="12" t="n"/>
      <c r="S5" s="12" t="n"/>
    </row>
    <row r="6" ht="69.59999999999999" customHeight="1">
      <c r="A6" s="11" t="inlineStr">
        <is>
          <t>9000</t>
        </is>
      </c>
      <c r="B6" s="11" t="inlineStr">
        <is>
          <t>9000-3</t>
        </is>
      </c>
      <c r="C6" s="12" t="inlineStr">
        <is>
          <t>전기분야</t>
        </is>
      </c>
      <c r="D6" s="11" t="inlineStr">
        <is>
          <t>9000-3-5</t>
        </is>
      </c>
      <c r="E6" s="12" t="inlineStr">
        <is>
          <t>전기설비 제작사 인터페이스 협의</t>
        </is>
      </c>
      <c r="F6" s="11" t="inlineStr">
        <is>
          <t>현장 전철전력팀</t>
        </is>
      </c>
      <c r="G6" s="12" t="inlineStr">
        <is>
          <t>전기설비간 연동방안 검토</t>
        </is>
      </c>
      <c r="H6" s="12" t="inlineStr">
        <is>
          <t>- 내부 인터페이스 및 인허가사항 확인</t>
        </is>
      </c>
      <c r="I6" s="12" t="inlineStr">
        <is>
          <t>인터페이스 회의록 및 관리대장</t>
        </is>
      </c>
      <c r="J6"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6" s="18" t="inlineStr">
        <is>
          <t>👉 [더블클릭] 표준서 열기 📄</t>
        </is>
      </c>
      <c r="L6"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6" s="18" t="inlineStr">
        <is>
          <t>👉 [더블클릭] 수행지침 열기 📄</t>
        </is>
      </c>
      <c r="N6"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6" s="18" t="inlineStr">
        <is>
          <t>👉 [더블클릭] 체크리스트 열기 📄</t>
        </is>
      </c>
      <c r="P6" s="11" t="n"/>
      <c r="Q6" s="12" t="n"/>
      <c r="R6" s="12" t="n"/>
      <c r="S6" s="12" t="n"/>
    </row>
    <row r="7" ht="69.59999999999999" customHeight="1">
      <c r="A7" s="11" t="inlineStr">
        <is>
          <t>9000</t>
        </is>
      </c>
      <c r="B7" s="11" t="inlineStr">
        <is>
          <t>9000-3</t>
        </is>
      </c>
      <c r="C7" s="12" t="inlineStr">
        <is>
          <t>전기분야</t>
        </is>
      </c>
      <c r="D7" s="11" t="inlineStr">
        <is>
          <t>9000-3-6</t>
        </is>
      </c>
      <c r="E7" s="12" t="inlineStr">
        <is>
          <t>관제 및 운영사 인터페이스 협의</t>
        </is>
      </c>
      <c r="F7" s="11" t="inlineStr">
        <is>
          <t>현장 전철전력팀 / 전기 협력업체</t>
        </is>
      </c>
      <c r="G7" s="12" t="inlineStr">
        <is>
          <t>관제 및 운영사 요구사항 사전 반영 및 시공범위 최적화</t>
        </is>
      </c>
      <c r="H7" s="12" t="inlineStr">
        <is>
          <t>- 시운전 조율사항 및 시운전시 정보 항목도출
- 철도 교통관제(구로/대전)와 연동할 수 있는 무선기능추가(관제/유지보수자 등), 실시간 사진 확인의 편리성 향상을 위한 기능 추가(CCTV카메라 등)
- 합동운영자, 운영사 인터페이스 협의</t>
        </is>
      </c>
      <c r="I7" s="12" t="inlineStr">
        <is>
          <t>인터페이스 회의록 및 관리대장</t>
        </is>
      </c>
      <c r="J7"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7" s="18" t="inlineStr">
        <is>
          <t>👉 [더블클릭] 표준서 열기 📄</t>
        </is>
      </c>
      <c r="L7"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7" s="18" t="inlineStr">
        <is>
          <t>👉 [더블클릭] 수행지침 열기 📄</t>
        </is>
      </c>
      <c r="N7"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7" s="18" t="inlineStr">
        <is>
          <t>👉 [더블클릭] 체크리스트 열기 📄</t>
        </is>
      </c>
      <c r="P7" s="11" t="n"/>
      <c r="Q7" s="12" t="n"/>
      <c r="R7" s="12" t="n"/>
      <c r="S7" s="12" t="n"/>
    </row>
    <row r="8" ht="69.59999999999999" customHeight="1">
      <c r="A8" s="11" t="inlineStr">
        <is>
          <t>9000</t>
        </is>
      </c>
      <c r="B8" s="11" t="inlineStr">
        <is>
          <t>9000-3</t>
        </is>
      </c>
      <c r="C8" s="12" t="inlineStr">
        <is>
          <t>전기분야</t>
        </is>
      </c>
      <c r="D8" s="11" t="inlineStr">
        <is>
          <t>9000-3-7</t>
        </is>
      </c>
      <c r="E8" s="12" t="inlineStr">
        <is>
          <t>발주처 품질 요구사항 검토</t>
        </is>
      </c>
      <c r="F8" s="11" t="inlineStr">
        <is>
          <t>현장 전철전력팀</t>
        </is>
      </c>
      <c r="G8" s="12" t="inlineStr">
        <is>
          <t>발주처 품질관리 기준/검사방안 확인</t>
        </is>
      </c>
      <c r="H8" s="12" t="inlineStr">
        <is>
          <t>- 감리/감독과 품질검사(ITP/ITC) 항목 검토</t>
        </is>
      </c>
      <c r="I8" s="12" t="inlineStr">
        <is>
          <t>ITP/ITC</t>
        </is>
      </c>
      <c r="J8"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8" s="18" t="inlineStr">
        <is>
          <t>👉 [더블클릭] 표준서 열기 📄</t>
        </is>
      </c>
      <c r="L8"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8" s="18" t="inlineStr">
        <is>
          <t>👉 [더블클릭] 수행지침 열기 📄</t>
        </is>
      </c>
      <c r="N8"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8" s="18" t="inlineStr">
        <is>
          <t>👉 [더블클릭] 체크리스트 열기 📄</t>
        </is>
      </c>
      <c r="P8" s="11" t="n"/>
      <c r="Q8" s="12" t="n"/>
      <c r="R8" s="12" t="n"/>
      <c r="S8" s="12" t="n"/>
    </row>
    <row r="9" ht="69.59999999999999" customHeight="1">
      <c r="A9" s="11" t="inlineStr">
        <is>
          <t>9000</t>
        </is>
      </c>
      <c r="B9" s="11" t="inlineStr">
        <is>
          <t>9000-3</t>
        </is>
      </c>
      <c r="C9" s="12" t="inlineStr">
        <is>
          <t>전기분야</t>
        </is>
      </c>
      <c r="D9" s="11" t="inlineStr">
        <is>
          <t>9000-3-8</t>
        </is>
      </c>
      <c r="E9" s="12" t="inlineStr">
        <is>
          <t>자재 / 인원 / 장비 등 투입 사전 검토</t>
        </is>
      </c>
      <c r="F9" s="11" t="inlineStr">
        <is>
          <t>현장 전철전력팀 / 협력업체 / 관리</t>
        </is>
      </c>
      <c r="G9" s="12" t="inlineStr">
        <is>
          <t>자재 / 인원 / 장비 투입 계획 수립</t>
        </is>
      </c>
      <c r="H9" s="12" t="inlineStr">
        <is>
          <t>- 현장 여건 및 수량을 기준으로 투입(인력, 장비, 자재) 검토</t>
        </is>
      </c>
      <c r="I9" s="12" t="inlineStr">
        <is>
          <t>세부 공정계획 수립 및 조율</t>
        </is>
      </c>
      <c r="J9"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9" s="18" t="inlineStr">
        <is>
          <t>👉 [더블클릭] 표준서 열기 📄</t>
        </is>
      </c>
      <c r="L9"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9" s="18" t="inlineStr">
        <is>
          <t>👉 [더블클릭] 수행지침 열기 📄</t>
        </is>
      </c>
      <c r="N9"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9" s="18" t="inlineStr">
        <is>
          <t>👉 [더블클릭] 체크리스트 열기 📄</t>
        </is>
      </c>
      <c r="P9" s="11" t="n"/>
      <c r="Q9" s="12" t="n"/>
      <c r="R9" s="12" t="n"/>
      <c r="S9" s="12" t="n"/>
    </row>
    <row r="10" ht="69.59999999999999" customHeight="1">
      <c r="A10" s="11" t="inlineStr">
        <is>
          <t>9000</t>
        </is>
      </c>
      <c r="B10" s="11" t="inlineStr">
        <is>
          <t>9000-3</t>
        </is>
      </c>
      <c r="C10" s="12" t="inlineStr">
        <is>
          <t>전기분야</t>
        </is>
      </c>
      <c r="D10" s="11" t="inlineStr">
        <is>
          <t>9000-3-9</t>
        </is>
      </c>
      <c r="E10" s="12" t="inlineStr">
        <is>
          <t>인허가 준비</t>
        </is>
      </c>
      <c r="F10" s="11" t="inlineStr">
        <is>
          <t>현장 전철전력팀 / 협력업체</t>
        </is>
      </c>
      <c r="G10" s="12" t="inlineStr">
        <is>
          <t>관련법에 따른 인허가 수행</t>
        </is>
      </c>
      <c r="H10" s="12" t="inlineStr">
        <is>
          <t>- 인허가(전기사용신청, 공사계획신고, 전차선로 적합성 검증, 전기 사용전검사 등) 추진 계획 To do list 작성하여 관리</t>
        </is>
      </c>
      <c r="I10" s="12" t="inlineStr">
        <is>
          <t>인허가 To do list</t>
        </is>
      </c>
      <c r="J10"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10" s="18" t="inlineStr">
        <is>
          <t>👉 [더블클릭] 표준서 열기 📄</t>
        </is>
      </c>
      <c r="L10"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10" s="18" t="inlineStr">
        <is>
          <t>👉 [더블클릭] 수행지침 열기 📄</t>
        </is>
      </c>
      <c r="N10"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10" s="18" t="inlineStr">
        <is>
          <t>👉 [더블클릭] 체크리스트 열기 📄</t>
        </is>
      </c>
      <c r="P10" s="11" t="n"/>
      <c r="Q10" s="12" t="n"/>
      <c r="R10" s="12" t="n"/>
      <c r="S10" s="12" t="n"/>
    </row>
    <row r="11" ht="174" customHeight="1">
      <c r="A11" s="11" t="inlineStr">
        <is>
          <t>9000</t>
        </is>
      </c>
      <c r="B11" s="11" t="inlineStr">
        <is>
          <t>9000-3</t>
        </is>
      </c>
      <c r="C11" s="12" t="inlineStr">
        <is>
          <t>전기분야</t>
        </is>
      </c>
      <c r="D11" s="11" t="inlineStr">
        <is>
          <t>9000-3-10</t>
        </is>
      </c>
      <c r="E11" s="12" t="inlineStr">
        <is>
          <t>착수 전 Big Room 회의</t>
        </is>
      </c>
      <c r="F11" s="11" t="inlineStr">
        <is>
          <t>현장소장</t>
        </is>
      </c>
      <c r="G11" s="12" t="inlineStr">
        <is>
          <t>전철전력공사 수행 시, 선행공정 간섭사항 및 각종 Risk에 대한 대책 수립</t>
        </is>
      </c>
      <c r="H11" s="12" t="inlineStr">
        <is>
          <t>본사/현장/협력사 협의체 구축 후 세부내용 검토
- 공종별 간섭사항 검토: 노반(궤도)/전기/신호/기계/PSD/차량 인터페이스
- 전기 자재 반입/기자재 반입구/자재 야적장/제작사 공장 검토
- 전기 자재 성능보장, 유사사례 작동실적 및 성능보증 세부사항 등
- 하자 예방, 타 프로젝트 하자사례 검토 후 재발방지방안 수립
- 민원, 자재, 장비 투입계획, 임시장비 운영계획 검토
- 공사의 장비 안전검사 기준 공유, 장비검사 계획 확인
- 공종별 Risk Hedge 방안 검토
1) 안전/품질 Risk 요소 및 대책 수립
2) 민원 대응방안 수립</t>
        </is>
      </c>
      <c r="I11" s="12" t="inlineStr">
        <is>
          <t>Big Room 회의록(참석자 전원 서명)</t>
        </is>
      </c>
      <c r="J11"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11" s="18" t="inlineStr">
        <is>
          <t>👉 [더블클릭] 표준서 열기 📄</t>
        </is>
      </c>
      <c r="L11"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11" s="18" t="inlineStr">
        <is>
          <t>👉 [더블클릭] 수행지침 열기 📄</t>
        </is>
      </c>
      <c r="N11"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11" s="18" t="inlineStr">
        <is>
          <t>👉 [더블클릭] 체크리스트 열기 📄</t>
        </is>
      </c>
      <c r="P11" s="11" t="n"/>
      <c r="Q11" s="12" t="n"/>
      <c r="R11" s="12" t="n"/>
      <c r="S11" s="12" t="n"/>
    </row>
    <row r="12" ht="69.59999999999999" customHeight="1">
      <c r="A12" s="11" t="inlineStr">
        <is>
          <t>9000</t>
        </is>
      </c>
      <c r="B12" s="11" t="inlineStr">
        <is>
          <t>9000-3</t>
        </is>
      </c>
      <c r="C12" s="12" t="inlineStr">
        <is>
          <t>전기분야</t>
        </is>
      </c>
      <c r="D12" s="11" t="inlineStr">
        <is>
          <t>9000-3-11</t>
        </is>
      </c>
      <c r="E12" s="12" t="inlineStr">
        <is>
          <t>전기설비 제작 사양서 작성 / 승인</t>
        </is>
      </c>
      <c r="F12" s="11" t="inlineStr">
        <is>
          <t>현장 시스템팀</t>
        </is>
      </c>
      <c r="G12" s="12" t="inlineStr">
        <is>
          <t>전기설비의 제작 사양서 작성/승인</t>
        </is>
      </c>
      <c r="H12" s="12" t="inlineStr">
        <is>
          <t>- 현장여건 및 실시설계도서(보고서,도면,자재사양서)의 요구사항 충족 여부를 확인
- 제작사양서, 제작도면 작성 후 감리단 승인</t>
        </is>
      </c>
      <c r="I12" s="12" t="inlineStr">
        <is>
          <t>제작사양서, 제작도면</t>
        </is>
      </c>
      <c r="J12"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12" s="18" t="inlineStr">
        <is>
          <t>👉 [더블클릭] 표준서 열기 📄</t>
        </is>
      </c>
      <c r="L12"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12" s="18" t="inlineStr">
        <is>
          <t>👉 [더블클릭] 수행지침 열기 📄</t>
        </is>
      </c>
      <c r="N12"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12" s="18" t="inlineStr">
        <is>
          <t>👉 [더블클릭] 체크리스트 열기 📄</t>
        </is>
      </c>
      <c r="P12" s="11" t="n"/>
      <c r="Q12" s="12" t="n"/>
      <c r="R12" s="12" t="n"/>
      <c r="S12" s="12" t="n"/>
    </row>
    <row r="13" ht="87" customHeight="1">
      <c r="A13" s="11" t="inlineStr">
        <is>
          <t>9000</t>
        </is>
      </c>
      <c r="B13" s="11" t="inlineStr">
        <is>
          <t>9000-3</t>
        </is>
      </c>
      <c r="C13" s="12" t="inlineStr">
        <is>
          <t>전기분야</t>
        </is>
      </c>
      <c r="D13" s="11" t="inlineStr">
        <is>
          <t>9000-3-12</t>
        </is>
      </c>
      <c r="E13" s="12" t="inlineStr">
        <is>
          <t>시공 계획 수립 / 승인</t>
        </is>
      </c>
      <c r="F13" s="11" t="inlineStr">
        <is>
          <t>현장 시스템팀</t>
        </is>
      </c>
      <c r="G13" s="12" t="inlineStr">
        <is>
          <t>안전/품질이 확보된 시공계획 수립</t>
        </is>
      </c>
      <c r="H13" s="12" t="inlineStr">
        <is>
          <t>- 공사계획: 예정공정표, 인원/장비/자재투입 계획, 전기자재 설치 절차서 등
- 안전관리: 위험요인/대책, 안전교육/시설/점검 계획 수립
- 품질관리: 품질하자 Risk 및 대책 수립
- 인허가: 전기공사 수행을 위한 처리계통별 시공계획 수립 (본선/전기실의 전기설비 설치 방법 및 관리사항, 각종 시험 방법 등)</t>
        </is>
      </c>
      <c r="I13" s="12" t="inlineStr">
        <is>
          <t>시공계획서&amp;시공상세도, 전기설비 신고서/계획서</t>
        </is>
      </c>
      <c r="J13"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13" s="18" t="inlineStr">
        <is>
          <t>👉 [더블클릭] 표준서 열기 📄</t>
        </is>
      </c>
      <c r="L13"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13" s="18" t="inlineStr">
        <is>
          <t>👉 [더블클릭] 수행지침 열기 📄</t>
        </is>
      </c>
      <c r="N13"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13" s="18" t="inlineStr">
        <is>
          <t>👉 [더블클릭] 체크리스트 열기 📄</t>
        </is>
      </c>
      <c r="P13" s="11" t="n"/>
      <c r="Q13" s="12" t="n"/>
      <c r="R13" s="12" t="n"/>
      <c r="S13" s="12" t="n"/>
    </row>
    <row r="14" ht="69.59999999999999" customHeight="1">
      <c r="A14" s="11" t="inlineStr">
        <is>
          <t>9000</t>
        </is>
      </c>
      <c r="B14" s="11" t="inlineStr">
        <is>
          <t>9000-3</t>
        </is>
      </c>
      <c r="C14" s="12" t="inlineStr">
        <is>
          <t>전기분야</t>
        </is>
      </c>
      <c r="D14" s="11" t="inlineStr">
        <is>
          <t>9000-3-13</t>
        </is>
      </c>
      <c r="E14" s="12" t="inlineStr">
        <is>
          <t>자재공급원/기자재 제작도서 승인</t>
        </is>
      </c>
      <c r="F14" s="11" t="inlineStr">
        <is>
          <t>현장 시스템팀</t>
        </is>
      </c>
      <c r="G14" s="12" t="inlineStr">
        <is>
          <t>전기설비의 시공성과 품질, 기능 확보를 위한 자재 공급원 검토 및 승인</t>
        </is>
      </c>
      <c r="H14" s="12" t="inlineStr">
        <is>
          <t>- 전기자재 제작능력, 납품실적 등 확인
- 성능보증이 가능한 복수의 공급원 검토
- 자재공급원 서류 제출후 감리단 승인</t>
        </is>
      </c>
      <c r="I14" s="12" t="inlineStr">
        <is>
          <t>자재공급원 승인 서류</t>
        </is>
      </c>
      <c r="J14"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14" s="18" t="inlineStr">
        <is>
          <t>👉 [더블클릭] 표준서 열기 📄</t>
        </is>
      </c>
      <c r="L14"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14" s="18" t="inlineStr">
        <is>
          <t>👉 [더블클릭] 수행지침 열기 📄</t>
        </is>
      </c>
      <c r="N14"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14" s="18" t="inlineStr">
        <is>
          <t>👉 [더블클릭] 체크리스트 열기 📄</t>
        </is>
      </c>
      <c r="P14" s="11" t="n"/>
      <c r="Q14" s="12" t="n"/>
      <c r="R14" s="12" t="n"/>
      <c r="S14" s="12" t="n"/>
    </row>
    <row r="15" ht="191.4" customHeight="1">
      <c r="A15" s="11" t="inlineStr">
        <is>
          <t>9000</t>
        </is>
      </c>
      <c r="B15" s="11" t="inlineStr">
        <is>
          <t>9000-3</t>
        </is>
      </c>
      <c r="C15" s="12" t="inlineStr">
        <is>
          <t>전기분야</t>
        </is>
      </c>
      <c r="D15" s="11" t="inlineStr">
        <is>
          <t>9000-3-14</t>
        </is>
      </c>
      <c r="E15" s="12" t="inlineStr">
        <is>
          <t>전기설비 공정제작 / 제작사 공장검사</t>
        </is>
      </c>
      <c r="F15" s="11" t="inlineStr">
        <is>
          <t>현장 시스템팀</t>
        </is>
      </c>
      <c r="G15" s="12" t="inlineStr">
        <is>
          <t>제작사양서/제작도면의 일치여부검토 및 현장반입 전 제품 성능검사 확인</t>
        </is>
      </c>
      <c r="H15" s="12" t="inlineStr">
        <is>
          <t>- 외산자재 등 Delivery 일정 확인
- 제작도서 기준으로 최종 제작상태 확인
- 제작도면과 일치여부 확인
- 제품 성능검사 시험 실시
[전철전력분야 공장검사 대상 항목]
- 154kV 특고압케이블, R-C 뱅크, 가스절연개폐장치(170kV/72.5kV/29kV), 고장점표정장치, 스마트급전제어장치, 급전용변압기, 단권변압기(유입/건식), 원격인프라장치, 전압보전반, 전철제어반, C-GIS, LED 등기구, 몰드형 교류필터, 배전반, MCC반, 조명제어, 조명타워, 통신제어장치, 특고압케이블(66kV/22.9kV), 전차선, 조가선, 전기용 경동선, ACSR, 통합금 급구류, 자동장력조정장치, 전철용애자, 구분장치, 피뢰기, 파형동관선(200㎡)</t>
        </is>
      </c>
      <c r="I15" s="12" t="inlineStr">
        <is>
          <t>공장검사 결과보고서(감리/감독 입회)</t>
        </is>
      </c>
      <c r="J15"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15" s="18" t="inlineStr">
        <is>
          <t>👉 [더블클릭] 표준서 열기 📄</t>
        </is>
      </c>
      <c r="L15"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15" s="18" t="inlineStr">
        <is>
          <t>👉 [더블클릭] 수행지침 열기 📄</t>
        </is>
      </c>
      <c r="N15"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15" s="18" t="inlineStr">
        <is>
          <t>👉 [더블클릭] 체크리스트 열기 📄</t>
        </is>
      </c>
      <c r="P15" s="11" t="n"/>
      <c r="Q15" s="12" t="n"/>
      <c r="R15" s="12" t="n"/>
      <c r="S15" s="12" t="n"/>
    </row>
    <row r="16" ht="69.59999999999999" customHeight="1">
      <c r="A16" s="11" t="inlineStr">
        <is>
          <t>9000</t>
        </is>
      </c>
      <c r="B16" s="11" t="inlineStr">
        <is>
          <t>9000-3</t>
        </is>
      </c>
      <c r="C16" s="12" t="inlineStr">
        <is>
          <t>전기분야</t>
        </is>
      </c>
      <c r="D16" s="11" t="inlineStr">
        <is>
          <t>9000-3-15</t>
        </is>
      </c>
      <c r="E16" s="12" t="inlineStr">
        <is>
          <t>본공사 전 선행공정 인수인계 점검</t>
        </is>
      </c>
      <c r="F16" s="11" t="inlineStr">
        <is>
          <t>현장 시스템팀</t>
        </is>
      </c>
      <c r="G16" s="12" t="inlineStr">
        <is>
          <t>전기설비 설치전 준비상태 확인</t>
        </is>
      </c>
      <c r="H16" s="12" t="inlineStr">
        <is>
          <t>- 전기설비 설치 시 간섭여부 점검
- 현장 시공상태 확인 (건축, 노반(토목) 등)
- 수배전반, 외함, 변압기 등 자재 반입구 위치 및 운반경로 확인, 케이블 포설을 위한 공동구/개구부 위치 체크</t>
        </is>
      </c>
      <c r="I16" s="12" t="inlineStr">
        <is>
          <t>기록지, 현장점검결과보고서(감리입회)</t>
        </is>
      </c>
      <c r="J16"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16" s="18" t="inlineStr">
        <is>
          <t>👉 [더블클릭] 표준서 열기 📄</t>
        </is>
      </c>
      <c r="L16"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16" s="18" t="inlineStr">
        <is>
          <t>👉 [더블클릭] 수행지침 열기 📄</t>
        </is>
      </c>
      <c r="N16"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16" s="18" t="inlineStr">
        <is>
          <t>👉 [더블클릭] 체크리스트 열기 📄</t>
        </is>
      </c>
      <c r="P16" s="11" t="n"/>
      <c r="Q16" s="12" t="n"/>
      <c r="R16" s="12" t="n"/>
      <c r="S16" s="12" t="n"/>
    </row>
    <row r="17" ht="69.59999999999999" customHeight="1">
      <c r="A17" s="11" t="inlineStr">
        <is>
          <t>9000</t>
        </is>
      </c>
      <c r="B17" s="11" t="inlineStr">
        <is>
          <t>9000-3</t>
        </is>
      </c>
      <c r="C17" s="12" t="inlineStr">
        <is>
          <t>전기분야</t>
        </is>
      </c>
      <c r="D17" s="11" t="inlineStr">
        <is>
          <t>9000-3-16</t>
        </is>
      </c>
      <c r="E17" s="12" t="inlineStr">
        <is>
          <t>장비반입 및 안전교육</t>
        </is>
      </c>
      <c r="F17" s="11" t="inlineStr">
        <is>
          <t>현장 시스템팀 / 안전팀</t>
        </is>
      </c>
      <c r="G17" s="12" t="inlineStr">
        <is>
          <t>장비 반입 준비 및 안전교육 완료</t>
        </is>
      </c>
      <c r="H17" s="12" t="inlineStr">
        <is>
          <t>- 자재반입 경로, 적치장소에 대한 사전확인 및 타분야 일정, 간섭사항 협의/확인
- 장비 Spec확인, 장비상태 점검
- 작업원 안전교육 실시</t>
        </is>
      </c>
      <c r="I17" s="12" t="inlineStr">
        <is>
          <t>안전교육 결과서, 측량기록지</t>
        </is>
      </c>
      <c r="J17"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17" s="18" t="inlineStr">
        <is>
          <t>👉 [더블클릭] 표준서 열기 📄</t>
        </is>
      </c>
      <c r="L17"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17" s="18" t="inlineStr">
        <is>
          <t>👉 [더블클릭] 수행지침 열기 📄</t>
        </is>
      </c>
      <c r="N17"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17" s="18" t="inlineStr">
        <is>
          <t>👉 [더블클릭] 체크리스트 열기 📄</t>
        </is>
      </c>
      <c r="P17" s="11" t="n"/>
      <c r="Q17" s="12" t="n"/>
      <c r="R17" s="12" t="n"/>
      <c r="S17" s="12" t="n"/>
    </row>
    <row r="18" ht="69.59999999999999" customHeight="1">
      <c r="A18" s="11" t="inlineStr">
        <is>
          <t>9000</t>
        </is>
      </c>
      <c r="B18" s="11" t="inlineStr">
        <is>
          <t>9000-3</t>
        </is>
      </c>
      <c r="C18" s="12" t="inlineStr">
        <is>
          <t>전기분야</t>
        </is>
      </c>
      <c r="D18" s="11" t="inlineStr">
        <is>
          <t>9000-3-17</t>
        </is>
      </c>
      <c r="E18" s="12" t="inlineStr">
        <is>
          <t>자재 반입 및 검수</t>
        </is>
      </c>
      <c r="F18" s="11" t="inlineStr">
        <is>
          <t>현장소장 및 발주청/공동감리단</t>
        </is>
      </c>
      <c r="G18" s="12" t="inlineStr">
        <is>
          <t>공장검사 시행 완료된 자재반입과 현장 입고 검사</t>
        </is>
      </c>
      <c r="H18" s="12" t="inlineStr">
        <is>
          <t>- 자재 하차 위치 및 반입동선 확인
- 승인된 자재 일치여부 확인(Serial number 등)</t>
        </is>
      </c>
      <c r="I18" s="12" t="inlineStr">
        <is>
          <t>자재검수서</t>
        </is>
      </c>
      <c r="J18"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18" s="18" t="inlineStr">
        <is>
          <t>👉 [더블클릭] 표준서 열기 📄</t>
        </is>
      </c>
      <c r="L18"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18" s="18" t="inlineStr">
        <is>
          <t>👉 [더블클릭] 수행지침 열기 📄</t>
        </is>
      </c>
      <c r="N18"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18" s="18" t="inlineStr">
        <is>
          <t>👉 [더블클릭] 체크리스트 열기 📄</t>
        </is>
      </c>
      <c r="P18" s="11" t="n"/>
      <c r="Q18" s="12" t="n"/>
      <c r="R18" s="12" t="n"/>
      <c r="S18" s="12" t="n"/>
    </row>
    <row r="19" ht="69.59999999999999" customHeight="1">
      <c r="A19" s="11" t="inlineStr">
        <is>
          <t>9000</t>
        </is>
      </c>
      <c r="B19" s="11" t="inlineStr">
        <is>
          <t>9000-3</t>
        </is>
      </c>
      <c r="C19" s="12" t="inlineStr">
        <is>
          <t>전기분야</t>
        </is>
      </c>
      <c r="D19" s="11" t="inlineStr">
        <is>
          <t>9000-3-18</t>
        </is>
      </c>
      <c r="E19" s="12" t="inlineStr">
        <is>
          <t>전철전력설비 반입 및 설치</t>
        </is>
      </c>
      <c r="F19" s="11" t="inlineStr">
        <is>
          <t>현장소장 및 분야별 전담팀</t>
        </is>
      </c>
      <c r="G19" s="12" t="inlineStr">
        <is>
          <t>설계에 부합되도록 전철전력설비 설치</t>
        </is>
      </c>
      <c r="H19" s="12" t="inlineStr">
        <is>
          <t>- 시공샘플이 필요한 대상을 감리/감독과 협의하여 선정후 시험시공 실시
- 임장설비, 특고압 케이블, 본선환기구/정거장 배관/배선 설치
- 전기실 내 특고압반/저압반/변압기 설치
- 전기설비가 도면대로 설치되었는지 확인</t>
        </is>
      </c>
      <c r="I19" s="12" t="inlineStr">
        <is>
          <t>검측서</t>
        </is>
      </c>
      <c r="J19"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19" s="18" t="inlineStr">
        <is>
          <t>👉 [더블클릭] 표준서 열기 📄</t>
        </is>
      </c>
      <c r="L19"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19" s="18" t="inlineStr">
        <is>
          <t>👉 [더블클릭] 수행지침 열기 📄</t>
        </is>
      </c>
      <c r="N19"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19" s="18" t="inlineStr">
        <is>
          <t>👉 [더블클릭] 체크리스트 열기 📄</t>
        </is>
      </c>
      <c r="P19" s="11" t="n"/>
      <c r="Q19" s="12" t="n"/>
      <c r="R19" s="12" t="n"/>
      <c r="S19" s="12" t="n"/>
    </row>
    <row r="20" ht="69.59999999999999" customHeight="1">
      <c r="A20" s="11" t="inlineStr">
        <is>
          <t>9000</t>
        </is>
      </c>
      <c r="B20" s="11" t="inlineStr">
        <is>
          <t>9000-3</t>
        </is>
      </c>
      <c r="C20" s="12" t="inlineStr">
        <is>
          <t>전기분야</t>
        </is>
      </c>
      <c r="D20" s="11" t="inlineStr">
        <is>
          <t>9000-3-19</t>
        </is>
      </c>
      <c r="E20" s="12" t="inlineStr">
        <is>
          <t>수전용 케이블 트레이 및 케이블 포설</t>
        </is>
      </c>
      <c r="F20" s="11" t="inlineStr">
        <is>
          <t>현장소장</t>
        </is>
      </c>
      <c r="G20" s="12" t="inlineStr">
        <is>
          <t>전기실에 전기를 공급하기 위해 한전 책임분계점 전주에서 수전전기실까지 배관/배선을 설치</t>
        </is>
      </c>
      <c r="H20" s="12" t="inlineStr">
        <is>
          <t>- 한전 책임분계점으로부터 수전 전기실까지 케이블 트레이를 설치
- 트레이 설치완료 후 특고압케이블 포설 및 단말 접속
(책임분계점: 전기안전에 대한 책임을 나누는 기준점/수급지점)</t>
        </is>
      </c>
      <c r="I20" s="12" t="inlineStr">
        <is>
          <t>검측서</t>
        </is>
      </c>
      <c r="J20"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20" s="18" t="inlineStr">
        <is>
          <t>👉 [더블클릭] 표준서 열기 📄</t>
        </is>
      </c>
      <c r="L20"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20" s="18" t="inlineStr">
        <is>
          <t>👉 [더블클릭] 수행지침 열기 📄</t>
        </is>
      </c>
      <c r="N20"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20" s="18" t="inlineStr">
        <is>
          <t>👉 [더블클릭] 체크리스트 열기 📄</t>
        </is>
      </c>
      <c r="P20" s="11" t="n"/>
      <c r="Q20" s="12" t="n"/>
      <c r="R20" s="12" t="n"/>
      <c r="S20" s="12" t="n"/>
    </row>
    <row r="21" ht="69.59999999999999" customHeight="1">
      <c r="A21" s="11" t="inlineStr">
        <is>
          <t>9000</t>
        </is>
      </c>
      <c r="B21" s="11" t="inlineStr">
        <is>
          <t>9000-3</t>
        </is>
      </c>
      <c r="C21" s="12" t="inlineStr">
        <is>
          <t>전기분야</t>
        </is>
      </c>
      <c r="D21" s="11" t="inlineStr">
        <is>
          <t>9000-3-20</t>
        </is>
      </c>
      <c r="E21" s="12" t="inlineStr">
        <is>
          <t>수전 및 전기공급(급전)</t>
        </is>
      </c>
      <c r="F21" s="11" t="inlineStr">
        <is>
          <t>현장 시스템팀</t>
        </is>
      </c>
      <c r="G21" s="12" t="inlineStr">
        <is>
          <t>한전으로부터 전기를 인입 후 전기가 필요한 시설들에 순차적으로 전기를 공급</t>
        </is>
      </c>
      <c r="H21" s="12" t="inlineStr">
        <is>
          <t>- 사용전검사 시행 (사용전검사 필증 수령)
- 전기가합계획 수립 및 한전 가입 요청
- 수전 전 기기별 자체시험 실시</t>
        </is>
      </c>
      <c r="I21" s="12" t="inlineStr">
        <is>
          <t>전기사용승인, 수전 결과서</t>
        </is>
      </c>
      <c r="J21"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21" s="18" t="inlineStr">
        <is>
          <t>👉 [더블클릭] 표준서 열기 📄</t>
        </is>
      </c>
      <c r="L21"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21" s="18" t="inlineStr">
        <is>
          <t>👉 [더블클릭] 수행지침 열기 📄</t>
        </is>
      </c>
      <c r="N21"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21" s="18" t="inlineStr">
        <is>
          <t>👉 [더블클릭] 체크리스트 열기 📄</t>
        </is>
      </c>
      <c r="P21" s="11" t="n"/>
      <c r="Q21" s="12" t="n"/>
      <c r="R21" s="12" t="n"/>
      <c r="S21" s="12" t="n"/>
    </row>
    <row r="22" ht="69.59999999999999" customHeight="1">
      <c r="A22" s="11" t="inlineStr">
        <is>
          <t>9000</t>
        </is>
      </c>
      <c r="B22" s="11" t="inlineStr">
        <is>
          <t>9000-3</t>
        </is>
      </c>
      <c r="C22" s="12" t="inlineStr">
        <is>
          <t>전기분야</t>
        </is>
      </c>
      <c r="D22" s="11" t="inlineStr">
        <is>
          <t>9000-3-21</t>
        </is>
      </c>
      <c r="E22" s="12" t="inlineStr">
        <is>
          <t>종합연동시험(SCADA) 실시</t>
        </is>
      </c>
      <c r="F22" s="11" t="inlineStr">
        <is>
          <t>현장 시스템팀</t>
        </is>
      </c>
      <c r="G22" s="12" t="inlineStr">
        <is>
          <t>전철제어시스템 구축을 위한 전차선/전력설비의 종합연동시험 실시</t>
        </is>
      </c>
      <c r="H22" s="12" t="inlineStr">
        <is>
          <t xml:space="preserve"> - 관제/감리단 입회하에 시험 절차대로 수행
1) 교통관제센터 라우터 및 방화벽 설정변경
2) 종합연동시험 계획서 작성 (SCADA: 광범위하고 대용량의 산업설비를 효율적으로 감시 제어하는 원방제어시스템)</t>
        </is>
      </c>
      <c r="I22" s="12" t="inlineStr">
        <is>
          <t>연동시험 결과보고서, 승인서</t>
        </is>
      </c>
      <c r="J22"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22" s="18" t="inlineStr">
        <is>
          <t>👉 [더블클릭] 표준서 열기 📄</t>
        </is>
      </c>
      <c r="L22"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22" s="18" t="inlineStr">
        <is>
          <t>👉 [더블클릭] 수행지침 열기 📄</t>
        </is>
      </c>
      <c r="N22"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22" s="18" t="inlineStr">
        <is>
          <t>👉 [더블클릭] 체크리스트 열기 📄</t>
        </is>
      </c>
      <c r="P22" s="11" t="n"/>
      <c r="Q22" s="12" t="n"/>
      <c r="R22" s="12" t="n"/>
      <c r="S22" s="12" t="n"/>
    </row>
    <row r="23" ht="69.59999999999999" customHeight="1">
      <c r="A23" s="11" t="inlineStr">
        <is>
          <t>9000</t>
        </is>
      </c>
      <c r="B23" s="11" t="inlineStr">
        <is>
          <t>9000-3</t>
        </is>
      </c>
      <c r="C23" s="12" t="inlineStr">
        <is>
          <t>전기분야</t>
        </is>
      </c>
      <c r="D23" s="11" t="inlineStr">
        <is>
          <t>9000-3-22</t>
        </is>
      </c>
      <c r="E23" s="12" t="inlineStr">
        <is>
          <t>공종별 시험</t>
        </is>
      </c>
      <c r="F23" s="11" t="inlineStr">
        <is>
          <t>현장 시스템팀</t>
        </is>
      </c>
      <c r="G23" s="12" t="inlineStr">
        <is>
          <t>발주처가 관련 법령, 설계기준, 기술기준, 시방서 등의 요구사항에 적합하도록 설치되었는지를 확인</t>
        </is>
      </c>
      <c r="H23" s="12" t="inlineStr">
        <is>
          <t>- 철도종합시험운행 시행지침 제6조(공종별시험)에 따라 시행</t>
        </is>
      </c>
      <c r="I23" s="12" t="inlineStr">
        <is>
          <t>공종별 시험 결과보고서</t>
        </is>
      </c>
      <c r="J23"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23" s="18" t="inlineStr">
        <is>
          <t>👉 [더블클릭] 표준서 열기 📄</t>
        </is>
      </c>
      <c r="L23"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23" s="18" t="inlineStr">
        <is>
          <t>👉 [더블클릭] 수행지침 열기 📄</t>
        </is>
      </c>
      <c r="N23"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23" s="18" t="inlineStr">
        <is>
          <t>👉 [더블클릭] 체크리스트 열기 📄</t>
        </is>
      </c>
      <c r="P23" s="11" t="n"/>
      <c r="Q23" s="12" t="n"/>
      <c r="R23" s="12" t="n"/>
      <c r="S23" s="12" t="n"/>
    </row>
    <row r="24" ht="69.59999999999999" customHeight="1">
      <c r="A24" s="11" t="inlineStr">
        <is>
          <t>9000</t>
        </is>
      </c>
      <c r="B24" s="11" t="inlineStr">
        <is>
          <t>9000-3</t>
        </is>
      </c>
      <c r="C24" s="12" t="inlineStr">
        <is>
          <t>전기분야</t>
        </is>
      </c>
      <c r="D24" s="11" t="inlineStr">
        <is>
          <t>9000-3-23</t>
        </is>
      </c>
      <c r="E24" s="12" t="inlineStr">
        <is>
          <t>차량 투입 전 점검</t>
        </is>
      </c>
      <c r="F24" s="11" t="inlineStr">
        <is>
          <t>현장소장 및 시공전담팀</t>
        </is>
      </c>
      <c r="G24" s="12" t="inlineStr">
        <is>
          <t>발주처가 원활한 차량시운전이 되도록 노반, 건축, 궤도, 전철전력, 통신, 신호 분야를 종합하여 최종 점검</t>
        </is>
      </c>
      <c r="H24" s="12" t="inlineStr">
        <is>
          <t>- 노반/궤도 시공상태 점검
- 건축한계 및 차량한계 검사 [건축한계: 폭(3,600mm)]
- 전차선, 신호, 통신 작동상태 확인</t>
        </is>
      </c>
      <c r="I24" s="12" t="inlineStr">
        <is>
          <t>점검 결과보고서</t>
        </is>
      </c>
      <c r="J24"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24" s="18" t="inlineStr">
        <is>
          <t>👉 [더블클릭] 표준서 열기 📄</t>
        </is>
      </c>
      <c r="L24"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24" s="18" t="inlineStr">
        <is>
          <t>👉 [더블클릭] 수행지침 열기 📄</t>
        </is>
      </c>
      <c r="N24"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24" s="18" t="inlineStr">
        <is>
          <t>👉 [더블클릭] 체크리스트 열기 📄</t>
        </is>
      </c>
      <c r="P24" s="11" t="n"/>
      <c r="Q24" s="12" t="n"/>
      <c r="R24" s="12" t="n"/>
      <c r="S24" s="12" t="n"/>
    </row>
    <row r="25" ht="69.59999999999999" customHeight="1">
      <c r="A25" s="11" t="inlineStr">
        <is>
          <t>9000</t>
        </is>
      </c>
      <c r="B25" s="11" t="inlineStr">
        <is>
          <t>9000-3</t>
        </is>
      </c>
      <c r="C25" s="12" t="inlineStr">
        <is>
          <t>전기분야</t>
        </is>
      </c>
      <c r="D25" s="11" t="inlineStr">
        <is>
          <t>9000-3-24</t>
        </is>
      </c>
      <c r="E25" s="12" t="inlineStr">
        <is>
          <t>차량 시운전</t>
        </is>
      </c>
      <c r="F25" s="11" t="inlineStr">
        <is>
          <t>현장 시스템팀</t>
        </is>
      </c>
      <c r="G25" s="12" t="inlineStr">
        <is>
          <t>철도안전법에 따른 철도차량 형식승인</t>
        </is>
      </c>
      <c r="H25" s="12" t="inlineStr">
        <is>
          <t>- 철도안전법 제26조(철도차량 형식승인)에 따라 이행 (주로 본선구간 수행)
- 차량, 신호, 통신 시스템간 인터페이스 시험</t>
        </is>
      </c>
      <c r="I25" s="12" t="inlineStr">
        <is>
          <t>철도차량 형식승인 결과 보고서</t>
        </is>
      </c>
      <c r="J25"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25" s="18" t="inlineStr">
        <is>
          <t>👉 [더블클릭] 표준서 열기 📄</t>
        </is>
      </c>
      <c r="L25"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25" s="18" t="inlineStr">
        <is>
          <t>👉 [더블클릭] 수행지침 열기 📄</t>
        </is>
      </c>
      <c r="N25"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25" s="18" t="inlineStr">
        <is>
          <t>👉 [더블클릭] 체크리스트 열기 📄</t>
        </is>
      </c>
      <c r="P25" s="11" t="n"/>
      <c r="Q25" s="12" t="n"/>
      <c r="R25" s="12" t="n"/>
      <c r="S25" s="12" t="n"/>
    </row>
    <row r="26" ht="69.59999999999999" customHeight="1">
      <c r="A26" s="11" t="inlineStr">
        <is>
          <t>9000</t>
        </is>
      </c>
      <c r="B26" s="11" t="inlineStr">
        <is>
          <t>9000-3</t>
        </is>
      </c>
      <c r="C26" s="12" t="inlineStr">
        <is>
          <t>전기분야</t>
        </is>
      </c>
      <c r="D26" s="11" t="inlineStr">
        <is>
          <t>9000-3-25</t>
        </is>
      </c>
      <c r="E26" s="12" t="inlineStr">
        <is>
          <t>운영자 교육시행</t>
        </is>
      </c>
      <c r="F26" s="11" t="inlineStr">
        <is>
          <t>현장 시스템팀</t>
        </is>
      </c>
      <c r="G26" s="12" t="inlineStr">
        <is>
          <t>영업시운전 전에 시설을 운영자를 대상으로 운영 및 유지관리방법에 대해 교육</t>
        </is>
      </c>
      <c r="H26" s="12" t="inlineStr">
        <is>
          <t>- 전기 제작사가 만든 매뉴얼로 운영자를 교육
: 변전/전력설비 운영/관리방법</t>
        </is>
      </c>
      <c r="I26" s="12" t="inlineStr">
        <is>
          <t>운영자 교육 결과서</t>
        </is>
      </c>
      <c r="J26"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26" s="18" t="inlineStr">
        <is>
          <t>👉 [더블클릭] 표준서 열기 📄</t>
        </is>
      </c>
      <c r="L26"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26" s="18" t="inlineStr">
        <is>
          <t>👉 [더블클릭] 수행지침 열기 📄</t>
        </is>
      </c>
      <c r="N26"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26" s="18" t="inlineStr">
        <is>
          <t>👉 [더블클릭] 체크리스트 열기 📄</t>
        </is>
      </c>
      <c r="P26" s="11" t="n"/>
      <c r="Q26" s="12" t="n"/>
      <c r="R26" s="12" t="n"/>
      <c r="S26" s="12" t="n"/>
    </row>
    <row r="27" ht="87" customHeight="1">
      <c r="A27" s="11" t="inlineStr">
        <is>
          <t>9000</t>
        </is>
      </c>
      <c r="B27" s="11" t="inlineStr">
        <is>
          <t>9000-3</t>
        </is>
      </c>
      <c r="C27" s="12" t="inlineStr">
        <is>
          <t>전기분야</t>
        </is>
      </c>
      <c r="D27" s="11" t="inlineStr">
        <is>
          <t>9000-3-26</t>
        </is>
      </c>
      <c r="E27" s="12" t="inlineStr">
        <is>
          <t>사전점검</t>
        </is>
      </c>
      <c r="F27" s="11" t="inlineStr">
        <is>
          <t>현장소장 및 발주처 / 공동감리단</t>
        </is>
      </c>
      <c r="G27" s="12" t="inlineStr">
        <is>
          <t>시설물검증시험의 가능여부를 확인하기 위하여 발주처와 운영자가 합동으로 점검</t>
        </is>
      </c>
      <c r="H27" s="12" t="inlineStr">
        <is>
          <t>- (기준) 철도종합시험운행 시행지침 제8조 "종합시험운행을 위한 사전점검"에 따름
- 발주처는 공종별 시험을 완료한 후 시설물 검증시험의 가능여부를 확인하기 위하여 사전점검계획을 수립하고 운영자와 합동으로 실시
- 발주처와 운영자의 사전점검 결과보고서를 한국교통안전공단에 제출 (점검 후 7일 이내)</t>
        </is>
      </c>
      <c r="I27" s="12" t="inlineStr">
        <is>
          <t>사전점검 결과보고서/승인문서(한국교통안전공단)</t>
        </is>
      </c>
      <c r="J27"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27" s="18" t="inlineStr">
        <is>
          <t>👉 [더블클릭] 표준서 열기 📄</t>
        </is>
      </c>
      <c r="L27"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27" s="18" t="inlineStr">
        <is>
          <t>👉 [더블클릭] 수행지침 열기 📄</t>
        </is>
      </c>
      <c r="N27"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27" s="18" t="inlineStr">
        <is>
          <t>👉 [더블클릭] 체크리스트 열기 📄</t>
        </is>
      </c>
      <c r="P27" s="11" t="n"/>
      <c r="Q27" s="12" t="n"/>
      <c r="R27" s="12" t="n"/>
      <c r="S27" s="12" t="n"/>
    </row>
    <row r="28" ht="139.2" customHeight="1">
      <c r="A28" s="11" t="inlineStr">
        <is>
          <t>9000</t>
        </is>
      </c>
      <c r="B28" s="11" t="inlineStr">
        <is>
          <t>9000-3</t>
        </is>
      </c>
      <c r="C28" s="12" t="inlineStr">
        <is>
          <t>전기분야</t>
        </is>
      </c>
      <c r="D28" s="11" t="inlineStr">
        <is>
          <t>9000-3-27</t>
        </is>
      </c>
      <c r="E28" s="12" t="inlineStr">
        <is>
          <t>시설물 검증시험</t>
        </is>
      </c>
      <c r="F28" s="11" t="inlineStr">
        <is>
          <t>현장소장 및 발주처 / 공동감리단</t>
        </is>
      </c>
      <c r="G28" s="12" t="inlineStr">
        <is>
          <t>발주처는 시설물의 정상작동 상태 등을 확인하기 위해 시설물 검증시험을 수행</t>
        </is>
      </c>
      <c r="H28" s="12" t="inlineStr">
        <is>
          <t>- (기준) 철도종합시험운행 시행지침 제12조(시설물검증시험계획의 수립), 13조(시설물검증시험의 시행)에 따름
- 발주처는 시설물검증시험계획을 운영자와 협의하여 수립하고 전문기관의 승인을 받은 후 수행
- 철도종합시험운행 시설물검증시험 점검항목: 시설물의 정상작동 상태, 철도시설의 안전상태, 철도차량의 운행적합성, 철도시설과 차량 간의 연계성
- 발주처와 운영자의 시설물 검증시험 결과보고서를 한국교통안전공단에 제출 (점검 후 7일 이내)</t>
        </is>
      </c>
      <c r="I28" s="12" t="inlineStr">
        <is>
          <t>시설물 검증시험 결과보고서/승인문서(한국교통안전공단)</t>
        </is>
      </c>
      <c r="J28"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28" s="18" t="inlineStr">
        <is>
          <t>👉 [더블클릭] 표준서 열기 📄</t>
        </is>
      </c>
      <c r="L28"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28" s="18" t="inlineStr">
        <is>
          <t>👉 [더블클릭] 수행지침 열기 📄</t>
        </is>
      </c>
      <c r="N28"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28" s="18" t="inlineStr">
        <is>
          <t>👉 [더블클릭] 체크리스트 열기 📄</t>
        </is>
      </c>
      <c r="P28" s="11" t="n"/>
      <c r="Q28" s="12" t="n"/>
      <c r="R28" s="12" t="n"/>
      <c r="S28" s="12" t="n"/>
    </row>
    <row r="29" ht="159.6" customHeight="1">
      <c r="A29" s="11" t="inlineStr">
        <is>
          <t>9000</t>
        </is>
      </c>
      <c r="B29" s="11" t="inlineStr">
        <is>
          <t>9000-3</t>
        </is>
      </c>
      <c r="C29" s="12" t="inlineStr">
        <is>
          <t>전기분야</t>
        </is>
      </c>
      <c r="D29" s="11" t="inlineStr">
        <is>
          <t>9000-3-28</t>
        </is>
      </c>
      <c r="E29" s="12" t="inlineStr">
        <is>
          <t>영업시운전</t>
        </is>
      </c>
      <c r="F29" s="11" t="inlineStr">
        <is>
          <t>현장소장 및 발주처 / 공동감리단</t>
        </is>
      </c>
      <c r="G29" s="12" t="inlineStr">
        <is>
          <t>발주처는 영업시운전계획에 따라 열차운행체계를 확인하기 위해 영업시운전을 수행</t>
        </is>
      </c>
      <c r="H29" s="12" t="inlineStr">
        <is>
          <t>- (기준) 철도종합시험운행 시행지침 제22조(영업시운전계획의 수립), 23조(영업시운전의 시행)에 따름
- 운영자는 영업시운전계획을 발주처와 협의하여 수립하고 전문기관의 승인을 받은 후 시행
- 영업시운전 점검항목: 열차운행체계, 철도종사자(운전/관제 등)의 업무숙달, 영업서비스 준비사항
- 영업조건과 동일한 조건으로 열차운행을 수행하여 운전/영업분야 점검
- 운영자는 영업시운전 결과보고서를 한국교통안전공단에 제출 (점검 후 7일 이내)
- 한국교통안전공단은 보고서를 받은 날부터 14일 이내 국토교통부장관에게 보고하여야 하며, 국토부 장관은 검토 결과를 보고를 받은 날부터 7일 이내에 발주처와 시도지사에 통보</t>
        </is>
      </c>
      <c r="I29" s="12" t="inlineStr">
        <is>
          <t>영업시운전 결과보고서/승인문서(한국교통안전공단), 국토부 승인문서</t>
        </is>
      </c>
      <c r="J29"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29" s="18" t="inlineStr">
        <is>
          <t>👉 [더블클릭] 표준서 열기 📄</t>
        </is>
      </c>
      <c r="L29"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29" s="18" t="inlineStr">
        <is>
          <t>👉 [더블클릭] 수행지침 열기 📄</t>
        </is>
      </c>
      <c r="N29"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29" s="18" t="inlineStr">
        <is>
          <t>👉 [더블클릭] 체크리스트 열기 📄</t>
        </is>
      </c>
      <c r="P29" s="11" t="n"/>
      <c r="Q29" s="12" t="n"/>
      <c r="R29" s="12" t="n"/>
      <c r="S29" s="12" t="n"/>
    </row>
    <row r="30" ht="69.59999999999999" customHeight="1">
      <c r="A30" s="11" t="inlineStr">
        <is>
          <t>9000</t>
        </is>
      </c>
      <c r="B30" s="11" t="inlineStr">
        <is>
          <t>9000-3</t>
        </is>
      </c>
      <c r="C30" s="12" t="inlineStr">
        <is>
          <t>전기분야</t>
        </is>
      </c>
      <c r="D30" s="11" t="inlineStr">
        <is>
          <t>9000-3-29</t>
        </is>
      </c>
      <c r="E30" s="12" t="inlineStr">
        <is>
          <t>전기 사용신청</t>
        </is>
      </c>
      <c r="F30" s="11" t="inlineStr">
        <is>
          <t>시공사</t>
        </is>
      </c>
      <c r="G30" s="12" t="inlineStr">
        <is>
          <t>합법적인 전기 공급 계약 체결</t>
        </is>
      </c>
      <c r="H30" s="12" t="inlineStr">
        <is>
          <t>- 관할 한국전력공사에 신청서, 건축허가신청서, 위임장 및 관련서류 제출 (약 1개월 소요)</t>
        </is>
      </c>
      <c r="I30" s="12" t="inlineStr">
        <is>
          <t>전기사용신청 접수증명서, 시설부담금 고지서</t>
        </is>
      </c>
      <c r="J30"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30" s="18" t="inlineStr">
        <is>
          <t>👉 [더블클릭] 표준서 열기 📄</t>
        </is>
      </c>
      <c r="L30"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30" s="18" t="inlineStr">
        <is>
          <t>👉 [더블클릭] 수행지침 열기 📄</t>
        </is>
      </c>
      <c r="N30"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30" s="18" t="inlineStr">
        <is>
          <t>👉 [더블클릭] 체크리스트 열기 📄</t>
        </is>
      </c>
      <c r="P30" s="11" t="n"/>
      <c r="Q30" s="12" t="n"/>
      <c r="R30" s="12" t="n"/>
      <c r="S30" s="12" t="n"/>
    </row>
    <row r="31" ht="69.59999999999999" customHeight="1">
      <c r="A31" s="11" t="inlineStr">
        <is>
          <t>9000</t>
        </is>
      </c>
      <c r="B31" s="11" t="inlineStr">
        <is>
          <t>9000-3</t>
        </is>
      </c>
      <c r="C31" s="12" t="inlineStr">
        <is>
          <t>전기분야</t>
        </is>
      </c>
      <c r="D31" s="11" t="inlineStr">
        <is>
          <t>9000-3-30</t>
        </is>
      </c>
      <c r="E31" s="12" t="inlineStr">
        <is>
          <t>공사계획신고</t>
        </is>
      </c>
      <c r="F31" s="11" t="inlineStr">
        <is>
          <t>시공사</t>
        </is>
      </c>
      <c r="G31" s="12" t="inlineStr">
        <is>
          <t>공사 착수 전 법적 신고 이행</t>
        </is>
      </c>
      <c r="H31" s="12" t="inlineStr">
        <is>
          <t>- 관할 한국전기안전공사에 공사 착수 전에 공사계획서 및 신고서 제출</t>
        </is>
      </c>
      <c r="I31" s="12" t="inlineStr">
        <is>
          <t>공사계획신고 수리서</t>
        </is>
      </c>
      <c r="J31"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31" s="18" t="inlineStr">
        <is>
          <t>👉 [더블클릭] 표준서 열기 📄</t>
        </is>
      </c>
      <c r="L31"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31" s="18" t="inlineStr">
        <is>
          <t>👉 [더블클릭] 수행지침 열기 📄</t>
        </is>
      </c>
      <c r="N31"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31" s="18" t="inlineStr">
        <is>
          <t>👉 [더블클릭] 체크리스트 열기 📄</t>
        </is>
      </c>
      <c r="P31" s="11" t="n"/>
      <c r="Q31" s="12" t="n"/>
      <c r="R31" s="12" t="n"/>
      <c r="S31" s="12" t="n"/>
    </row>
    <row r="32" ht="69.59999999999999" customHeight="1">
      <c r="A32" s="11" t="inlineStr">
        <is>
          <t>9000</t>
        </is>
      </c>
      <c r="B32" s="11" t="inlineStr">
        <is>
          <t>9000-3</t>
        </is>
      </c>
      <c r="C32" s="12" t="inlineStr">
        <is>
          <t>전기분야</t>
        </is>
      </c>
      <c r="D32" s="11" t="inlineStr">
        <is>
          <t>9000-3-31</t>
        </is>
      </c>
      <c r="E32" s="12" t="inlineStr">
        <is>
          <t>전차선로 적합성 검증</t>
        </is>
      </c>
      <c r="F32" s="11" t="inlineStr">
        <is>
          <t>시공사</t>
        </is>
      </c>
      <c r="G32" s="12" t="inlineStr">
        <is>
          <t>전차선로 품질 및 기술 적합성 검증</t>
        </is>
      </c>
      <c r="H32" s="12" t="inlineStr">
        <is>
          <t>- 한국전기철도기술협회에 차량시운전 전까지 수량조서 및 시공도면 제출 (처리기간 15일)</t>
        </is>
      </c>
      <c r="I32" s="12" t="inlineStr">
        <is>
          <t>전차선로 시공품질 검사증</t>
        </is>
      </c>
      <c r="J32"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32" s="18" t="inlineStr">
        <is>
          <t>👉 [더블클릭] 표준서 열기 📄</t>
        </is>
      </c>
      <c r="L32"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32" s="18" t="inlineStr">
        <is>
          <t>👉 [더블클릭] 수행지침 열기 📄</t>
        </is>
      </c>
      <c r="N32"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32" s="18" t="inlineStr">
        <is>
          <t>👉 [더블클릭] 체크리스트 열기 📄</t>
        </is>
      </c>
      <c r="P32" s="11" t="n"/>
      <c r="Q32" s="12" t="n"/>
      <c r="R32" s="12" t="n"/>
      <c r="S32" s="12" t="n"/>
    </row>
    <row r="33" ht="69.59999999999999" customHeight="1">
      <c r="A33" s="11" t="inlineStr">
        <is>
          <t>9000</t>
        </is>
      </c>
      <c r="B33" s="11" t="inlineStr">
        <is>
          <t>9000-3</t>
        </is>
      </c>
      <c r="C33" s="12" t="inlineStr">
        <is>
          <t>전기분야</t>
        </is>
      </c>
      <c r="D33" s="11" t="inlineStr">
        <is>
          <t>9000-3-32</t>
        </is>
      </c>
      <c r="E33" s="12" t="inlineStr">
        <is>
          <t>전기 사용전검사 (전력/전차선/송변전)</t>
        </is>
      </c>
      <c r="F33" s="11" t="inlineStr">
        <is>
          <t>시공사</t>
        </is>
      </c>
      <c r="G33" s="12" t="inlineStr">
        <is>
          <t>준공 전 설비의 안전성 및 안전기준 부합 여부 판정</t>
        </is>
      </c>
      <c r="H33" s="12" t="inlineStr">
        <is>
          <t>- 관할 한국전기안전공사에 설치 완료 후 사용전검사신청서, 공사계획인가서, 감리배치확인서, 전기안전관리자 선임필증, 계측서/도면 등 제출 (검사 7일전 신청)</t>
        </is>
      </c>
      <c r="I33" s="12" t="inlineStr">
        <is>
          <t>사용전검사 확인증(필증)
※ 송변전의 경우 한국전기안전공사 검사에 시공사 입회</t>
        </is>
      </c>
      <c r="J33" s="12" t="inlineStr">
        <is>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is>
      </c>
      <c r="K33" s="18" t="inlineStr">
        <is>
          <t>👉 [더블클릭] 표준서 열기 📄</t>
        </is>
      </c>
      <c r="L33" s="12" t="inlineStr">
        <is>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is>
      </c>
      <c r="M33" s="18" t="inlineStr">
        <is>
          <t>👉 [더블클릭] 수행지침 열기 📄</t>
        </is>
      </c>
      <c r="N33" s="12" t="inlineStr">
        <is>
          <t>1) 표유전류(Stray Current)에 의한 지하지장물 부식 방지용 엘라스토머 박스(Elastomer Box) 절연 상태를 검측했는가?
2) 승강장 급속 충전 장치(DC 750V/1000A) 오버헤드 펜타그래프 접촉 및 절연 저항(≥10MΩ)을 확인하였는가?</t>
        </is>
      </c>
      <c r="O33" s="18" t="inlineStr">
        <is>
          <t>👉 [더블클릭] 체크리스트 열기 📄</t>
        </is>
      </c>
      <c r="P33" s="11" t="n"/>
      <c r="Q33" s="12" t="n"/>
      <c r="R33" s="12" t="n"/>
      <c r="S33" s="12" t="n"/>
    </row>
  </sheetData>
  <hyperlinks>
    <hyperlink xmlns:r="http://schemas.openxmlformats.org/officeDocument/2006/relationships" ref="K2" r:id="rId1"/>
    <hyperlink xmlns:r="http://schemas.openxmlformats.org/officeDocument/2006/relationships" ref="M2" r:id="rId2"/>
    <hyperlink xmlns:r="http://schemas.openxmlformats.org/officeDocument/2006/relationships" ref="O2" r:id="rId3"/>
    <hyperlink xmlns:r="http://schemas.openxmlformats.org/officeDocument/2006/relationships" ref="K3" r:id="rId4"/>
    <hyperlink xmlns:r="http://schemas.openxmlformats.org/officeDocument/2006/relationships" ref="M3" r:id="rId5"/>
    <hyperlink xmlns:r="http://schemas.openxmlformats.org/officeDocument/2006/relationships" ref="O3" r:id="rId6"/>
    <hyperlink xmlns:r="http://schemas.openxmlformats.org/officeDocument/2006/relationships" ref="K4" r:id="rId7"/>
    <hyperlink xmlns:r="http://schemas.openxmlformats.org/officeDocument/2006/relationships" ref="M4" r:id="rId8"/>
    <hyperlink xmlns:r="http://schemas.openxmlformats.org/officeDocument/2006/relationships" ref="O4" r:id="rId9"/>
    <hyperlink xmlns:r="http://schemas.openxmlformats.org/officeDocument/2006/relationships" ref="K5" r:id="rId10"/>
    <hyperlink xmlns:r="http://schemas.openxmlformats.org/officeDocument/2006/relationships" ref="M5" r:id="rId11"/>
    <hyperlink xmlns:r="http://schemas.openxmlformats.org/officeDocument/2006/relationships" ref="O5" r:id="rId12"/>
    <hyperlink xmlns:r="http://schemas.openxmlformats.org/officeDocument/2006/relationships" ref="K6" r:id="rId13"/>
    <hyperlink xmlns:r="http://schemas.openxmlformats.org/officeDocument/2006/relationships" ref="M6" r:id="rId14"/>
    <hyperlink xmlns:r="http://schemas.openxmlformats.org/officeDocument/2006/relationships" ref="O6" r:id="rId15"/>
    <hyperlink xmlns:r="http://schemas.openxmlformats.org/officeDocument/2006/relationships" ref="K7" r:id="rId16"/>
    <hyperlink xmlns:r="http://schemas.openxmlformats.org/officeDocument/2006/relationships" ref="M7" r:id="rId17"/>
    <hyperlink xmlns:r="http://schemas.openxmlformats.org/officeDocument/2006/relationships" ref="O7" r:id="rId18"/>
    <hyperlink xmlns:r="http://schemas.openxmlformats.org/officeDocument/2006/relationships" ref="K8" r:id="rId19"/>
    <hyperlink xmlns:r="http://schemas.openxmlformats.org/officeDocument/2006/relationships" ref="M8" r:id="rId20"/>
    <hyperlink xmlns:r="http://schemas.openxmlformats.org/officeDocument/2006/relationships" ref="O8" r:id="rId21"/>
    <hyperlink xmlns:r="http://schemas.openxmlformats.org/officeDocument/2006/relationships" ref="K9" r:id="rId22"/>
    <hyperlink xmlns:r="http://schemas.openxmlformats.org/officeDocument/2006/relationships" ref="M9" r:id="rId23"/>
    <hyperlink xmlns:r="http://schemas.openxmlformats.org/officeDocument/2006/relationships" ref="O9" r:id="rId24"/>
    <hyperlink xmlns:r="http://schemas.openxmlformats.org/officeDocument/2006/relationships" ref="K10" r:id="rId25"/>
    <hyperlink xmlns:r="http://schemas.openxmlformats.org/officeDocument/2006/relationships" ref="M10" r:id="rId26"/>
    <hyperlink xmlns:r="http://schemas.openxmlformats.org/officeDocument/2006/relationships" ref="O10" r:id="rId27"/>
    <hyperlink xmlns:r="http://schemas.openxmlformats.org/officeDocument/2006/relationships" ref="K11" r:id="rId28"/>
    <hyperlink xmlns:r="http://schemas.openxmlformats.org/officeDocument/2006/relationships" ref="M11" r:id="rId29"/>
    <hyperlink xmlns:r="http://schemas.openxmlformats.org/officeDocument/2006/relationships" ref="O11" r:id="rId30"/>
    <hyperlink xmlns:r="http://schemas.openxmlformats.org/officeDocument/2006/relationships" ref="K12" r:id="rId31"/>
    <hyperlink xmlns:r="http://schemas.openxmlformats.org/officeDocument/2006/relationships" ref="M12" r:id="rId32"/>
    <hyperlink xmlns:r="http://schemas.openxmlformats.org/officeDocument/2006/relationships" ref="O12" r:id="rId33"/>
    <hyperlink xmlns:r="http://schemas.openxmlformats.org/officeDocument/2006/relationships" ref="K13" r:id="rId34"/>
    <hyperlink xmlns:r="http://schemas.openxmlformats.org/officeDocument/2006/relationships" ref="M13" r:id="rId35"/>
    <hyperlink xmlns:r="http://schemas.openxmlformats.org/officeDocument/2006/relationships" ref="O13" r:id="rId36"/>
    <hyperlink xmlns:r="http://schemas.openxmlformats.org/officeDocument/2006/relationships" ref="K14" r:id="rId37"/>
    <hyperlink xmlns:r="http://schemas.openxmlformats.org/officeDocument/2006/relationships" ref="M14" r:id="rId38"/>
    <hyperlink xmlns:r="http://schemas.openxmlformats.org/officeDocument/2006/relationships" ref="O14" r:id="rId39"/>
    <hyperlink xmlns:r="http://schemas.openxmlformats.org/officeDocument/2006/relationships" ref="K15" r:id="rId40"/>
    <hyperlink xmlns:r="http://schemas.openxmlformats.org/officeDocument/2006/relationships" ref="M15" r:id="rId41"/>
    <hyperlink xmlns:r="http://schemas.openxmlformats.org/officeDocument/2006/relationships" ref="O15" r:id="rId42"/>
    <hyperlink xmlns:r="http://schemas.openxmlformats.org/officeDocument/2006/relationships" ref="K16" r:id="rId43"/>
    <hyperlink xmlns:r="http://schemas.openxmlformats.org/officeDocument/2006/relationships" ref="M16" r:id="rId44"/>
    <hyperlink xmlns:r="http://schemas.openxmlformats.org/officeDocument/2006/relationships" ref="O16" r:id="rId45"/>
    <hyperlink xmlns:r="http://schemas.openxmlformats.org/officeDocument/2006/relationships" ref="K17" r:id="rId46"/>
    <hyperlink xmlns:r="http://schemas.openxmlformats.org/officeDocument/2006/relationships" ref="M17" r:id="rId47"/>
    <hyperlink xmlns:r="http://schemas.openxmlformats.org/officeDocument/2006/relationships" ref="O17" r:id="rId48"/>
    <hyperlink xmlns:r="http://schemas.openxmlformats.org/officeDocument/2006/relationships" ref="K18" r:id="rId49"/>
    <hyperlink xmlns:r="http://schemas.openxmlformats.org/officeDocument/2006/relationships" ref="M18" r:id="rId50"/>
    <hyperlink xmlns:r="http://schemas.openxmlformats.org/officeDocument/2006/relationships" ref="O18" r:id="rId51"/>
    <hyperlink xmlns:r="http://schemas.openxmlformats.org/officeDocument/2006/relationships" ref="K19" r:id="rId52"/>
    <hyperlink xmlns:r="http://schemas.openxmlformats.org/officeDocument/2006/relationships" ref="M19" r:id="rId53"/>
    <hyperlink xmlns:r="http://schemas.openxmlformats.org/officeDocument/2006/relationships" ref="O19" r:id="rId54"/>
    <hyperlink xmlns:r="http://schemas.openxmlformats.org/officeDocument/2006/relationships" ref="K20" r:id="rId55"/>
    <hyperlink xmlns:r="http://schemas.openxmlformats.org/officeDocument/2006/relationships" ref="M20" r:id="rId56"/>
    <hyperlink xmlns:r="http://schemas.openxmlformats.org/officeDocument/2006/relationships" ref="O20" r:id="rId57"/>
    <hyperlink xmlns:r="http://schemas.openxmlformats.org/officeDocument/2006/relationships" ref="K21" r:id="rId58"/>
    <hyperlink xmlns:r="http://schemas.openxmlformats.org/officeDocument/2006/relationships" ref="M21" r:id="rId59"/>
    <hyperlink xmlns:r="http://schemas.openxmlformats.org/officeDocument/2006/relationships" ref="O21" r:id="rId60"/>
    <hyperlink xmlns:r="http://schemas.openxmlformats.org/officeDocument/2006/relationships" ref="K22" r:id="rId61"/>
    <hyperlink xmlns:r="http://schemas.openxmlformats.org/officeDocument/2006/relationships" ref="M22" r:id="rId62"/>
    <hyperlink xmlns:r="http://schemas.openxmlformats.org/officeDocument/2006/relationships" ref="O22" r:id="rId63"/>
    <hyperlink xmlns:r="http://schemas.openxmlformats.org/officeDocument/2006/relationships" ref="K23" r:id="rId64"/>
    <hyperlink xmlns:r="http://schemas.openxmlformats.org/officeDocument/2006/relationships" ref="M23" r:id="rId65"/>
    <hyperlink xmlns:r="http://schemas.openxmlformats.org/officeDocument/2006/relationships" ref="O23" r:id="rId66"/>
    <hyperlink xmlns:r="http://schemas.openxmlformats.org/officeDocument/2006/relationships" ref="K24" r:id="rId67"/>
    <hyperlink xmlns:r="http://schemas.openxmlformats.org/officeDocument/2006/relationships" ref="M24" r:id="rId68"/>
    <hyperlink xmlns:r="http://schemas.openxmlformats.org/officeDocument/2006/relationships" ref="O24" r:id="rId69"/>
    <hyperlink xmlns:r="http://schemas.openxmlformats.org/officeDocument/2006/relationships" ref="K25" r:id="rId70"/>
    <hyperlink xmlns:r="http://schemas.openxmlformats.org/officeDocument/2006/relationships" ref="M25" r:id="rId71"/>
    <hyperlink xmlns:r="http://schemas.openxmlformats.org/officeDocument/2006/relationships" ref="O25" r:id="rId72"/>
    <hyperlink xmlns:r="http://schemas.openxmlformats.org/officeDocument/2006/relationships" ref="K26" r:id="rId73"/>
    <hyperlink xmlns:r="http://schemas.openxmlformats.org/officeDocument/2006/relationships" ref="M26" r:id="rId74"/>
    <hyperlink xmlns:r="http://schemas.openxmlformats.org/officeDocument/2006/relationships" ref="O26" r:id="rId75"/>
    <hyperlink xmlns:r="http://schemas.openxmlformats.org/officeDocument/2006/relationships" ref="K27" r:id="rId76"/>
    <hyperlink xmlns:r="http://schemas.openxmlformats.org/officeDocument/2006/relationships" ref="M27" r:id="rId77"/>
    <hyperlink xmlns:r="http://schemas.openxmlformats.org/officeDocument/2006/relationships" ref="O27" r:id="rId78"/>
    <hyperlink xmlns:r="http://schemas.openxmlformats.org/officeDocument/2006/relationships" ref="K28" r:id="rId79"/>
    <hyperlink xmlns:r="http://schemas.openxmlformats.org/officeDocument/2006/relationships" ref="M28" r:id="rId80"/>
    <hyperlink xmlns:r="http://schemas.openxmlformats.org/officeDocument/2006/relationships" ref="O28" r:id="rId81"/>
    <hyperlink xmlns:r="http://schemas.openxmlformats.org/officeDocument/2006/relationships" ref="K29" r:id="rId82"/>
    <hyperlink xmlns:r="http://schemas.openxmlformats.org/officeDocument/2006/relationships" ref="M29" r:id="rId83"/>
    <hyperlink xmlns:r="http://schemas.openxmlformats.org/officeDocument/2006/relationships" ref="O29" r:id="rId84"/>
    <hyperlink xmlns:r="http://schemas.openxmlformats.org/officeDocument/2006/relationships" ref="K30" r:id="rId85"/>
    <hyperlink xmlns:r="http://schemas.openxmlformats.org/officeDocument/2006/relationships" ref="M30" r:id="rId86"/>
    <hyperlink xmlns:r="http://schemas.openxmlformats.org/officeDocument/2006/relationships" ref="O30" r:id="rId87"/>
    <hyperlink xmlns:r="http://schemas.openxmlformats.org/officeDocument/2006/relationships" ref="K31" r:id="rId88"/>
    <hyperlink xmlns:r="http://schemas.openxmlformats.org/officeDocument/2006/relationships" ref="M31" r:id="rId89"/>
    <hyperlink xmlns:r="http://schemas.openxmlformats.org/officeDocument/2006/relationships" ref="O31" r:id="rId90"/>
    <hyperlink xmlns:r="http://schemas.openxmlformats.org/officeDocument/2006/relationships" ref="K32" r:id="rId91"/>
    <hyperlink xmlns:r="http://schemas.openxmlformats.org/officeDocument/2006/relationships" ref="M32" r:id="rId92"/>
    <hyperlink xmlns:r="http://schemas.openxmlformats.org/officeDocument/2006/relationships" ref="O32" r:id="rId93"/>
    <hyperlink xmlns:r="http://schemas.openxmlformats.org/officeDocument/2006/relationships" ref="K33" r:id="rId94"/>
    <hyperlink xmlns:r="http://schemas.openxmlformats.org/officeDocument/2006/relationships" ref="M33" r:id="rId95"/>
    <hyperlink xmlns:r="http://schemas.openxmlformats.org/officeDocument/2006/relationships" ref="O33" r:id="rId96"/>
  </hyperlinks>
  <printOptions horizontalCentered="1"/>
  <pageMargins left="0.7480314960629921" right="0.7480314960629921" top="0.984251968503937" bottom="0.984251968503937" header="0.5118110236220472" footer="0.5118110236220472"/>
  <pageSetup orientation="landscape" paperSize="8" scale="37" verticalDpi="0"/>
  <rowBreaks count="1" manualBreakCount="1">
    <brk id="28" min="0" max="14" man="1"/>
  </rowBreaks>
</worksheet>
</file>

<file path=xl/worksheets/sheet10.xml><?xml version="1.0" encoding="utf-8"?>
<worksheet xmlns="http://schemas.openxmlformats.org/spreadsheetml/2006/main">
  <sheetPr>
    <outlinePr summaryBelow="1" summaryRight="1"/>
    <pageSetUpPr/>
  </sheetPr>
  <dimension ref="A1:A1"/>
  <sheetViews>
    <sheetView view="pageBreakPreview" topLeftCell="A13" zoomScale="115" zoomScaleNormal="85" zoomScaleSheetLayoutView="115" workbookViewId="0">
      <selection activeCell="M25" sqref="M25"/>
    </sheetView>
  </sheetViews>
  <sheetFormatPr baseColWidth="8" defaultRowHeight="17.4"/>
  <sheetData/>
  <printOptions horizontalCentered="1"/>
  <pageMargins left="0.7086614173228347" right="0.7086614173228347" top="0.7480314960629921" bottom="0.7480314960629921" header="0.3149606299212598" footer="0.3149606299212598"/>
  <pageSetup orientation="landscape" paperSize="9" verticalDpi="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2026-07-17T08:07:08Z</dcterms:created>
  <dcterms:modified xmlns:dcterms="http://purl.org/dc/terms/" xmlns:xsi="http://www.w3.org/2001/XMLSchema-instance" xsi:type="dcterms:W3CDTF">2026-07-24T06:02:44Z</dcterms:modified>
  <cp:lastModifiedBy>재형 김</cp:lastModifiedBy>
  <cp:lastPrinted>2026-07-22T01:37:36Z</cp:lastPrinted>
</cp:coreProperties>
</file>