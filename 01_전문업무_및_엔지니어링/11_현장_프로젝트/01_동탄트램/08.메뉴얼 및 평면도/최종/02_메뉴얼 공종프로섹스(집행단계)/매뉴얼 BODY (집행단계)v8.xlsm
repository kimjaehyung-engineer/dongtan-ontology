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현재_통합_문서"/>
  <mc:AlternateContent xmlns:mc="http://schemas.openxmlformats.org/markup-compatibility/2006">
    <mc:Choice Requires="x15">
      <x15ac:absPath xmlns:x15ac="http://schemas.microsoft.com/office/spreadsheetml/2010/11/ac" url="C:\Users\sskjh\antigravity\01_전문업무_및_엔지니어링\11_현장_프로젝트\01_동탄트램\08.메뉴얼 및 평면도\최종\02_메뉴얼 공종프로섹스(집행단계)\"/>
    </mc:Choice>
  </mc:AlternateContent>
  <xr:revisionPtr revIDLastSave="0" documentId="13_ncr:1_{59B699EC-8513-4542-907A-E4C9A73EF2A3}" xr6:coauthVersionLast="47" xr6:coauthVersionMax="47" xr10:uidLastSave="{00000000-0000-0000-0000-000000000000}"/>
  <bookViews>
    <workbookView xWindow="-108" yWindow="-108" windowWidth="23256" windowHeight="12456" tabRatio="771" activeTab="1" xr2:uid="{00000000-000D-0000-FFFF-FFFF00000000}"/>
  </bookViews>
  <sheets>
    <sheet name="대시보드" sheetId="1" r:id="rId1"/>
    <sheet name="공정매뉴얼" sheetId="2" r:id="rId2"/>
    <sheet name="지반조사" sheetId="3" r:id="rId3"/>
    <sheet name="지반조사(원본서식)" sheetId="4" r:id="rId4"/>
    <sheet name="사전토공사" sheetId="5" r:id="rId5"/>
    <sheet name="지장물이설" sheetId="6" r:id="rId6"/>
    <sheet name="상부강화노반" sheetId="7" r:id="rId7"/>
    <sheet name="콘크리트도상" sheetId="8" r:id="rId8"/>
    <sheet name="건축" sheetId="9" r:id="rId9"/>
    <sheet name="신호" sheetId="10" r:id="rId10"/>
    <sheet name="통신" sheetId="11" r:id="rId11"/>
    <sheet name="전기" sheetId="12" r:id="rId12"/>
    <sheet name="GUIDE" sheetId="13" r:id="rId13"/>
  </sheets>
  <definedNames>
    <definedName name="_xlnm._FilterDatabase" localSheetId="1" hidden="1">공정매뉴얼!$A$3:$P$88</definedName>
    <definedName name="_xlnm.Print_Area" localSheetId="8">건축!$A$1:$P$51</definedName>
    <definedName name="_xlnm.Print_Area" localSheetId="1">공정매뉴얼!$A$1:$I$80</definedName>
    <definedName name="_xlnm.Print_Area" localSheetId="4">사전토공사!$A$1:$Q$31</definedName>
    <definedName name="_xlnm.Print_Area" localSheetId="6">상부강화노반!$A$1:$Q$37</definedName>
    <definedName name="_xlnm.Print_Area" localSheetId="9">신호!$A$1:$P$23</definedName>
    <definedName name="_xlnm.Print_Area" localSheetId="11">전기!$A$1:$P$33</definedName>
    <definedName name="_xlnm.Print_Area" localSheetId="5">지장물이설!$A$1:$Q$39</definedName>
    <definedName name="_xlnm.Print_Area" localSheetId="7">콘크리트도상!$A$1:$P$24</definedName>
    <definedName name="_xlnm.Print_Area" localSheetId="10">통신!$A$1:$P$33</definedName>
    <definedName name="_xlnm.Print_Titles" localSheetId="1">공정매뉴얼!$3:$3</definedName>
    <definedName name="_xlnm.Print_Titles" localSheetId="4">사전토공사!$1:$1</definedName>
    <definedName name="_xlnm.Print_Titles" localSheetId="9">신호!$1:$1</definedName>
    <definedName name="_xlnm.Print_Titles" localSheetId="5">지장물이설!$1:$1</definedName>
    <definedName name="_xlnm.Print_Titles" localSheetId="7">콘크리트도상!$1:$1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2" l="1"/>
  <c r="M33" i="12"/>
  <c r="K33" i="12"/>
  <c r="O32" i="12"/>
  <c r="M32" i="12"/>
  <c r="K32" i="12"/>
  <c r="O31" i="12"/>
  <c r="M31" i="12"/>
  <c r="K31" i="12"/>
  <c r="O30" i="12"/>
  <c r="M30" i="12"/>
  <c r="K30" i="12"/>
  <c r="O29" i="12"/>
  <c r="M29" i="12"/>
  <c r="K29" i="12"/>
  <c r="O28" i="12"/>
  <c r="M28" i="12"/>
  <c r="K28" i="12"/>
  <c r="O27" i="12"/>
  <c r="M27" i="12"/>
  <c r="K27" i="12"/>
  <c r="O26" i="12"/>
  <c r="M26" i="12"/>
  <c r="K26" i="12"/>
  <c r="O25" i="12"/>
  <c r="M25" i="12"/>
  <c r="K25" i="12"/>
  <c r="O24" i="12"/>
  <c r="M24" i="12"/>
  <c r="K24" i="12"/>
  <c r="O23" i="12"/>
  <c r="M23" i="12"/>
  <c r="K23" i="12"/>
  <c r="O22" i="12"/>
  <c r="M22" i="12"/>
  <c r="K22" i="12"/>
  <c r="O21" i="12"/>
  <c r="M21" i="12"/>
  <c r="K21" i="12"/>
  <c r="O20" i="12"/>
  <c r="M20" i="12"/>
  <c r="K20" i="12"/>
  <c r="O19" i="12"/>
  <c r="M19" i="12"/>
  <c r="K19" i="12"/>
  <c r="O18" i="12"/>
  <c r="M18" i="12"/>
  <c r="K18" i="12"/>
  <c r="O17" i="12"/>
  <c r="M17" i="12"/>
  <c r="K17" i="12"/>
  <c r="O16" i="12"/>
  <c r="M16" i="12"/>
  <c r="K16" i="12"/>
  <c r="O15" i="12"/>
  <c r="M15" i="12"/>
  <c r="K15" i="12"/>
  <c r="O14" i="12"/>
  <c r="M14" i="12"/>
  <c r="K14" i="12"/>
  <c r="O13" i="12"/>
  <c r="M13" i="12"/>
  <c r="K13" i="12"/>
  <c r="O12" i="12"/>
  <c r="M12" i="12"/>
  <c r="K12" i="12"/>
  <c r="O11" i="12"/>
  <c r="M11" i="12"/>
  <c r="K11" i="12"/>
  <c r="O10" i="12"/>
  <c r="M10" i="12"/>
  <c r="K10" i="12"/>
  <c r="O9" i="12"/>
  <c r="M9" i="12"/>
  <c r="K9" i="12"/>
  <c r="O8" i="12"/>
  <c r="M8" i="12"/>
  <c r="K8" i="12"/>
  <c r="O7" i="12"/>
  <c r="M7" i="12"/>
  <c r="K7" i="12"/>
  <c r="O6" i="12"/>
  <c r="M6" i="12"/>
  <c r="K6" i="12"/>
  <c r="O5" i="12"/>
  <c r="M5" i="12"/>
  <c r="K5" i="12"/>
  <c r="O4" i="12"/>
  <c r="M4" i="12"/>
  <c r="K4" i="12"/>
  <c r="O3" i="12"/>
  <c r="M3" i="12"/>
  <c r="K3" i="12"/>
  <c r="O2" i="12"/>
  <c r="M2" i="12"/>
  <c r="K2" i="12"/>
  <c r="O33" i="11"/>
  <c r="M33" i="11"/>
  <c r="K33" i="11"/>
  <c r="O32" i="11"/>
  <c r="M32" i="11"/>
  <c r="K32" i="11"/>
  <c r="O31" i="11"/>
  <c r="M31" i="11"/>
  <c r="K31" i="11"/>
  <c r="O30" i="11"/>
  <c r="M30" i="11"/>
  <c r="K30" i="11"/>
  <c r="O29" i="11"/>
  <c r="M29" i="11"/>
  <c r="K29" i="11"/>
  <c r="O28" i="11"/>
  <c r="M28" i="11"/>
  <c r="K28" i="11"/>
  <c r="O27" i="11"/>
  <c r="M27" i="11"/>
  <c r="K27" i="11"/>
  <c r="O26" i="11"/>
  <c r="M26" i="11"/>
  <c r="K26" i="11"/>
  <c r="O25" i="11"/>
  <c r="M25" i="11"/>
  <c r="K25" i="11"/>
  <c r="O24" i="11"/>
  <c r="M24" i="11"/>
  <c r="K24" i="11"/>
  <c r="O23" i="11"/>
  <c r="M23" i="11"/>
  <c r="K23" i="11"/>
  <c r="O22" i="11"/>
  <c r="M22" i="11"/>
  <c r="K22" i="11"/>
  <c r="O21" i="11"/>
  <c r="M21" i="11"/>
  <c r="K21" i="11"/>
  <c r="O20" i="11"/>
  <c r="M20" i="11"/>
  <c r="K20" i="11"/>
  <c r="O19" i="11"/>
  <c r="M19" i="11"/>
  <c r="K19" i="11"/>
  <c r="O18" i="11"/>
  <c r="M18" i="11"/>
  <c r="K18" i="11"/>
  <c r="O17" i="11"/>
  <c r="M17" i="11"/>
  <c r="K17" i="11"/>
  <c r="O16" i="11"/>
  <c r="M16" i="11"/>
  <c r="K16" i="11"/>
  <c r="O15" i="11"/>
  <c r="M15" i="11"/>
  <c r="K15" i="11"/>
  <c r="O14" i="11"/>
  <c r="M14" i="11"/>
  <c r="K14" i="11"/>
  <c r="O13" i="11"/>
  <c r="M13" i="11"/>
  <c r="K13" i="11"/>
  <c r="O12" i="11"/>
  <c r="M12" i="11"/>
  <c r="K12" i="11"/>
  <c r="O11" i="11"/>
  <c r="M11" i="11"/>
  <c r="K11" i="11"/>
  <c r="O10" i="11"/>
  <c r="M10" i="11"/>
  <c r="K10" i="11"/>
  <c r="O9" i="11"/>
  <c r="M9" i="11"/>
  <c r="K9" i="11"/>
  <c r="O8" i="11"/>
  <c r="M8" i="11"/>
  <c r="K8" i="11"/>
  <c r="O7" i="11"/>
  <c r="M7" i="11"/>
  <c r="K7" i="11"/>
  <c r="O6" i="11"/>
  <c r="M6" i="11"/>
  <c r="K6" i="11"/>
  <c r="O5" i="11"/>
  <c r="M5" i="11"/>
  <c r="K5" i="11"/>
  <c r="O4" i="11"/>
  <c r="M4" i="11"/>
  <c r="K4" i="11"/>
  <c r="O3" i="11"/>
  <c r="M3" i="11"/>
  <c r="K3" i="11"/>
  <c r="O2" i="11"/>
  <c r="M2" i="11"/>
  <c r="K2" i="11"/>
  <c r="O23" i="10"/>
  <c r="M23" i="10"/>
  <c r="K23" i="10"/>
  <c r="O22" i="10"/>
  <c r="M22" i="10"/>
  <c r="K22" i="10"/>
  <c r="O21" i="10"/>
  <c r="M21" i="10"/>
  <c r="K21" i="10"/>
  <c r="O20" i="10"/>
  <c r="M20" i="10"/>
  <c r="K20" i="10"/>
  <c r="O19" i="10"/>
  <c r="M19" i="10"/>
  <c r="K19" i="10"/>
  <c r="O18" i="10"/>
  <c r="M18" i="10"/>
  <c r="K18" i="10"/>
  <c r="O17" i="10"/>
  <c r="M17" i="10"/>
  <c r="K17" i="10"/>
  <c r="O16" i="10"/>
  <c r="M16" i="10"/>
  <c r="K16" i="10"/>
  <c r="O15" i="10"/>
  <c r="M15" i="10"/>
  <c r="K15" i="10"/>
  <c r="O14" i="10"/>
  <c r="M14" i="10"/>
  <c r="K14" i="10"/>
  <c r="O13" i="10"/>
  <c r="M13" i="10"/>
  <c r="K13" i="10"/>
  <c r="O12" i="10"/>
  <c r="M12" i="10"/>
  <c r="K12" i="10"/>
  <c r="O11" i="10"/>
  <c r="M11" i="10"/>
  <c r="K11" i="10"/>
  <c r="O10" i="10"/>
  <c r="M10" i="10"/>
  <c r="K10" i="10"/>
  <c r="O9" i="10"/>
  <c r="M9" i="10"/>
  <c r="K9" i="10"/>
  <c r="O8" i="10"/>
  <c r="M8" i="10"/>
  <c r="K8" i="10"/>
  <c r="O7" i="10"/>
  <c r="M7" i="10"/>
  <c r="K7" i="10"/>
  <c r="O6" i="10"/>
  <c r="M6" i="10"/>
  <c r="K6" i="10"/>
  <c r="O5" i="10"/>
  <c r="M5" i="10"/>
  <c r="K5" i="10"/>
  <c r="O4" i="10"/>
  <c r="M4" i="10"/>
  <c r="K4" i="10"/>
  <c r="O3" i="10"/>
  <c r="M3" i="10"/>
  <c r="K3" i="10"/>
  <c r="O2" i="10"/>
  <c r="M2" i="10"/>
  <c r="K2" i="10"/>
  <c r="O51" i="9"/>
  <c r="M51" i="9"/>
  <c r="K51" i="9"/>
  <c r="O50" i="9"/>
  <c r="M50" i="9"/>
  <c r="K50" i="9"/>
  <c r="O49" i="9"/>
  <c r="M49" i="9"/>
  <c r="K49" i="9"/>
  <c r="O48" i="9"/>
  <c r="M48" i="9"/>
  <c r="K48" i="9"/>
  <c r="O47" i="9"/>
  <c r="M47" i="9"/>
  <c r="K47" i="9"/>
  <c r="O46" i="9"/>
  <c r="M46" i="9"/>
  <c r="K46" i="9"/>
  <c r="O45" i="9"/>
  <c r="M45" i="9"/>
  <c r="K45" i="9"/>
  <c r="O44" i="9"/>
  <c r="M44" i="9"/>
  <c r="K44" i="9"/>
  <c r="O43" i="9"/>
  <c r="M43" i="9"/>
  <c r="K43" i="9"/>
  <c r="O42" i="9"/>
  <c r="M42" i="9"/>
  <c r="K42" i="9"/>
  <c r="O41" i="9"/>
  <c r="M41" i="9"/>
  <c r="K41" i="9"/>
  <c r="O40" i="9"/>
  <c r="M40" i="9"/>
  <c r="K40" i="9"/>
  <c r="O39" i="9"/>
  <c r="M39" i="9"/>
  <c r="K39" i="9"/>
  <c r="O38" i="9"/>
  <c r="M38" i="9"/>
  <c r="K38" i="9"/>
  <c r="O37" i="9"/>
  <c r="M37" i="9"/>
  <c r="K37" i="9"/>
  <c r="O36" i="9"/>
  <c r="M36" i="9"/>
  <c r="K36" i="9"/>
  <c r="O35" i="9"/>
  <c r="M35" i="9"/>
  <c r="K35" i="9"/>
  <c r="O34" i="9"/>
  <c r="M34" i="9"/>
  <c r="K34" i="9"/>
  <c r="O33" i="9"/>
  <c r="M33" i="9"/>
  <c r="K33" i="9"/>
  <c r="O32" i="9"/>
  <c r="M32" i="9"/>
  <c r="K32" i="9"/>
  <c r="O31" i="9"/>
  <c r="M31" i="9"/>
  <c r="K31" i="9"/>
  <c r="O30" i="9"/>
  <c r="M30" i="9"/>
  <c r="K30" i="9"/>
  <c r="O29" i="9"/>
  <c r="M29" i="9"/>
  <c r="K29" i="9"/>
  <c r="O28" i="9"/>
  <c r="M28" i="9"/>
  <c r="K28" i="9"/>
  <c r="O27" i="9"/>
  <c r="M27" i="9"/>
  <c r="K27" i="9"/>
  <c r="O26" i="9"/>
  <c r="M26" i="9"/>
  <c r="K26" i="9"/>
  <c r="O25" i="9"/>
  <c r="M25" i="9"/>
  <c r="K25" i="9"/>
  <c r="O24" i="9"/>
  <c r="M24" i="9"/>
  <c r="K24" i="9"/>
  <c r="O23" i="9"/>
  <c r="M23" i="9"/>
  <c r="K23" i="9"/>
  <c r="O22" i="9"/>
  <c r="M22" i="9"/>
  <c r="K22" i="9"/>
  <c r="O21" i="9"/>
  <c r="M21" i="9"/>
  <c r="K21" i="9"/>
  <c r="O20" i="9"/>
  <c r="M20" i="9"/>
  <c r="K20" i="9"/>
  <c r="O19" i="9"/>
  <c r="M19" i="9"/>
  <c r="K19" i="9"/>
  <c r="O18" i="9"/>
  <c r="M18" i="9"/>
  <c r="K18" i="9"/>
  <c r="O17" i="9"/>
  <c r="M17" i="9"/>
  <c r="K17" i="9"/>
  <c r="O16" i="9"/>
  <c r="M16" i="9"/>
  <c r="K16" i="9"/>
  <c r="O15" i="9"/>
  <c r="M15" i="9"/>
  <c r="K15" i="9"/>
  <c r="O14" i="9"/>
  <c r="M14" i="9"/>
  <c r="K14" i="9"/>
  <c r="O13" i="9"/>
  <c r="M13" i="9"/>
  <c r="K13" i="9"/>
  <c r="O12" i="9"/>
  <c r="M12" i="9"/>
  <c r="K12" i="9"/>
  <c r="O11" i="9"/>
  <c r="M11" i="9"/>
  <c r="K11" i="9"/>
  <c r="O10" i="9"/>
  <c r="M10" i="9"/>
  <c r="K10" i="9"/>
  <c r="O9" i="9"/>
  <c r="M9" i="9"/>
  <c r="K9" i="9"/>
  <c r="O8" i="9"/>
  <c r="M8" i="9"/>
  <c r="K8" i="9"/>
  <c r="O7" i="9"/>
  <c r="M7" i="9"/>
  <c r="K7" i="9"/>
  <c r="O6" i="9"/>
  <c r="M6" i="9"/>
  <c r="K6" i="9"/>
  <c r="O5" i="9"/>
  <c r="M5" i="9"/>
  <c r="K5" i="9"/>
  <c r="O4" i="9"/>
  <c r="M4" i="9"/>
  <c r="K4" i="9"/>
  <c r="O3" i="9"/>
  <c r="M3" i="9"/>
  <c r="K3" i="9"/>
  <c r="O2" i="9"/>
  <c r="M2" i="9"/>
  <c r="K2" i="9"/>
  <c r="P13" i="8"/>
  <c r="N13" i="8"/>
  <c r="L13" i="8"/>
  <c r="P12" i="8"/>
  <c r="N12" i="8"/>
  <c r="L12" i="8"/>
  <c r="P11" i="8"/>
  <c r="N11" i="8"/>
  <c r="L11" i="8"/>
  <c r="P10" i="8"/>
  <c r="N10" i="8"/>
  <c r="L10" i="8"/>
  <c r="P9" i="8"/>
  <c r="N9" i="8"/>
  <c r="L9" i="8"/>
  <c r="P8" i="8"/>
  <c r="N8" i="8"/>
  <c r="L8" i="8"/>
  <c r="P7" i="8"/>
  <c r="N7" i="8"/>
  <c r="L7" i="8"/>
  <c r="P6" i="8"/>
  <c r="N6" i="8"/>
  <c r="L6" i="8"/>
  <c r="P5" i="8"/>
  <c r="N5" i="8"/>
  <c r="L5" i="8"/>
  <c r="P4" i="8"/>
  <c r="N4" i="8"/>
  <c r="L4" i="8"/>
  <c r="P3" i="8"/>
  <c r="N3" i="8"/>
  <c r="L3" i="8"/>
  <c r="P2" i="8"/>
  <c r="N2" i="8"/>
  <c r="L2" i="8"/>
  <c r="P37" i="7"/>
  <c r="N37" i="7"/>
  <c r="L37" i="7"/>
  <c r="P36" i="7"/>
  <c r="N36" i="7"/>
  <c r="L36" i="7"/>
  <c r="P35" i="7"/>
  <c r="N35" i="7"/>
  <c r="L35" i="7"/>
  <c r="P34" i="7"/>
  <c r="N34" i="7"/>
  <c r="L34" i="7"/>
  <c r="P33" i="7"/>
  <c r="N33" i="7"/>
  <c r="L33" i="7"/>
  <c r="P32" i="7"/>
  <c r="N32" i="7"/>
  <c r="L32" i="7"/>
  <c r="P31" i="7"/>
  <c r="N31" i="7"/>
  <c r="L31" i="7"/>
  <c r="P30" i="7"/>
  <c r="N30" i="7"/>
  <c r="L30" i="7"/>
  <c r="P29" i="7"/>
  <c r="N29" i="7"/>
  <c r="L29" i="7"/>
  <c r="P28" i="7"/>
  <c r="N28" i="7"/>
  <c r="L28" i="7"/>
  <c r="P27" i="7"/>
  <c r="N27" i="7"/>
  <c r="L27" i="7"/>
  <c r="P26" i="7"/>
  <c r="N26" i="7"/>
  <c r="L26" i="7"/>
  <c r="P25" i="7"/>
  <c r="N25" i="7"/>
  <c r="L25" i="7"/>
  <c r="P24" i="7"/>
  <c r="N24" i="7"/>
  <c r="L24" i="7"/>
  <c r="P23" i="7"/>
  <c r="N23" i="7"/>
  <c r="L23" i="7"/>
  <c r="P22" i="7"/>
  <c r="N22" i="7"/>
  <c r="L22" i="7"/>
  <c r="P21" i="7"/>
  <c r="N21" i="7"/>
  <c r="L21" i="7"/>
  <c r="P20" i="7"/>
  <c r="N20" i="7"/>
  <c r="L20" i="7"/>
  <c r="P19" i="7"/>
  <c r="N19" i="7"/>
  <c r="L19" i="7"/>
  <c r="P18" i="7"/>
  <c r="N18" i="7"/>
  <c r="L18" i="7"/>
  <c r="P17" i="7"/>
  <c r="N17" i="7"/>
  <c r="L17" i="7"/>
  <c r="P16" i="7"/>
  <c r="N16" i="7"/>
  <c r="L16" i="7"/>
  <c r="P15" i="7"/>
  <c r="N15" i="7"/>
  <c r="L15" i="7"/>
  <c r="P14" i="7"/>
  <c r="N14" i="7"/>
  <c r="L14" i="7"/>
  <c r="P13" i="7"/>
  <c r="N13" i="7"/>
  <c r="L13" i="7"/>
  <c r="P12" i="7"/>
  <c r="N12" i="7"/>
  <c r="L12" i="7"/>
  <c r="P11" i="7"/>
  <c r="N11" i="7"/>
  <c r="L11" i="7"/>
  <c r="P10" i="7"/>
  <c r="N10" i="7"/>
  <c r="L10" i="7"/>
  <c r="P9" i="7"/>
  <c r="N9" i="7"/>
  <c r="L9" i="7"/>
  <c r="P8" i="7"/>
  <c r="N8" i="7"/>
  <c r="L8" i="7"/>
  <c r="P7" i="7"/>
  <c r="N7" i="7"/>
  <c r="L7" i="7"/>
  <c r="P6" i="7"/>
  <c r="N6" i="7"/>
  <c r="L6" i="7"/>
  <c r="P5" i="7"/>
  <c r="N5" i="7"/>
  <c r="L5" i="7"/>
  <c r="P4" i="7"/>
  <c r="N4" i="7"/>
  <c r="L4" i="7"/>
  <c r="P3" i="7"/>
  <c r="N3" i="7"/>
  <c r="L3" i="7"/>
  <c r="P2" i="7"/>
  <c r="N2" i="7"/>
  <c r="L2" i="7"/>
  <c r="P39" i="6"/>
  <c r="N39" i="6"/>
  <c r="L39" i="6"/>
  <c r="P38" i="6"/>
  <c r="N38" i="6"/>
  <c r="L38" i="6"/>
  <c r="P37" i="6"/>
  <c r="N37" i="6"/>
  <c r="L37" i="6"/>
  <c r="P36" i="6"/>
  <c r="N36" i="6"/>
  <c r="L36" i="6"/>
  <c r="P35" i="6"/>
  <c r="N35" i="6"/>
  <c r="L35" i="6"/>
  <c r="P34" i="6"/>
  <c r="N34" i="6"/>
  <c r="L34" i="6"/>
  <c r="P33" i="6"/>
  <c r="N33" i="6"/>
  <c r="L33" i="6"/>
  <c r="P32" i="6"/>
  <c r="N32" i="6"/>
  <c r="L32" i="6"/>
  <c r="P31" i="6"/>
  <c r="N31" i="6"/>
  <c r="L31" i="6"/>
  <c r="P30" i="6"/>
  <c r="N30" i="6"/>
  <c r="L30" i="6"/>
  <c r="P29" i="6"/>
  <c r="N29" i="6"/>
  <c r="L29" i="6"/>
  <c r="P28" i="6"/>
  <c r="N28" i="6"/>
  <c r="L28" i="6"/>
  <c r="P27" i="6"/>
  <c r="N27" i="6"/>
  <c r="L27" i="6"/>
  <c r="P26" i="6"/>
  <c r="N26" i="6"/>
  <c r="L26" i="6"/>
  <c r="P25" i="6"/>
  <c r="N25" i="6"/>
  <c r="L25" i="6"/>
  <c r="P24" i="6"/>
  <c r="N24" i="6"/>
  <c r="L24" i="6"/>
  <c r="P23" i="6"/>
  <c r="N23" i="6"/>
  <c r="L23" i="6"/>
  <c r="P22" i="6"/>
  <c r="N22" i="6"/>
  <c r="L22" i="6"/>
  <c r="P21" i="6"/>
  <c r="N21" i="6"/>
  <c r="L21" i="6"/>
  <c r="P20" i="6"/>
  <c r="N20" i="6"/>
  <c r="L20" i="6"/>
  <c r="P19" i="6"/>
  <c r="N19" i="6"/>
  <c r="L19" i="6"/>
  <c r="P18" i="6"/>
  <c r="N18" i="6"/>
  <c r="L18" i="6"/>
  <c r="P17" i="6"/>
  <c r="N17" i="6"/>
  <c r="L17" i="6"/>
  <c r="P16" i="6"/>
  <c r="N16" i="6"/>
  <c r="L16" i="6"/>
  <c r="P15" i="6"/>
  <c r="N15" i="6"/>
  <c r="L15" i="6"/>
  <c r="P14" i="6"/>
  <c r="N14" i="6"/>
  <c r="L14" i="6"/>
  <c r="P13" i="6"/>
  <c r="N13" i="6"/>
  <c r="L13" i="6"/>
  <c r="P12" i="6"/>
  <c r="N12" i="6"/>
  <c r="L12" i="6"/>
  <c r="P11" i="6"/>
  <c r="N11" i="6"/>
  <c r="L11" i="6"/>
  <c r="P10" i="6"/>
  <c r="N10" i="6"/>
  <c r="L10" i="6"/>
  <c r="P9" i="6"/>
  <c r="N9" i="6"/>
  <c r="L9" i="6"/>
  <c r="P8" i="6"/>
  <c r="N8" i="6"/>
  <c r="L8" i="6"/>
  <c r="P7" i="6"/>
  <c r="N7" i="6"/>
  <c r="L7" i="6"/>
  <c r="P6" i="6"/>
  <c r="N6" i="6"/>
  <c r="L6" i="6"/>
  <c r="P5" i="6"/>
  <c r="N5" i="6"/>
  <c r="L5" i="6"/>
  <c r="P4" i="6"/>
  <c r="N4" i="6"/>
  <c r="L4" i="6"/>
  <c r="P3" i="6"/>
  <c r="N3" i="6"/>
  <c r="L3" i="6"/>
  <c r="P2" i="6"/>
  <c r="N2" i="6"/>
  <c r="L2" i="6"/>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Q37" i="3"/>
  <c r="O37" i="3"/>
  <c r="M37" i="3"/>
  <c r="Q36" i="3"/>
  <c r="O36" i="3"/>
  <c r="M36" i="3"/>
  <c r="Q35" i="3"/>
  <c r="O35" i="3"/>
  <c r="M35" i="3"/>
  <c r="Q34" i="3"/>
  <c r="O34" i="3"/>
  <c r="M34" i="3"/>
  <c r="Q33" i="3"/>
  <c r="O33" i="3"/>
  <c r="M33" i="3"/>
  <c r="Q32" i="3"/>
  <c r="O32" i="3"/>
  <c r="M32" i="3"/>
  <c r="Q31" i="3"/>
  <c r="O31" i="3"/>
  <c r="M31" i="3"/>
  <c r="Q30" i="3"/>
  <c r="O30" i="3"/>
  <c r="M30" i="3"/>
  <c r="Q29" i="3"/>
  <c r="O29" i="3"/>
  <c r="M29" i="3"/>
  <c r="Q28" i="3"/>
  <c r="O28" i="3"/>
  <c r="M28" i="3"/>
  <c r="Q27" i="3"/>
  <c r="O27" i="3"/>
  <c r="M27" i="3"/>
  <c r="Q26" i="3"/>
  <c r="O26" i="3"/>
  <c r="M26" i="3"/>
  <c r="Q25" i="3"/>
  <c r="O25" i="3"/>
  <c r="M25" i="3"/>
  <c r="Q24" i="3"/>
  <c r="O24" i="3"/>
  <c r="M24" i="3"/>
  <c r="Q23" i="3"/>
  <c r="O23" i="3"/>
  <c r="M23" i="3"/>
  <c r="Q22" i="3"/>
  <c r="O22" i="3"/>
  <c r="M22" i="3"/>
  <c r="Q21" i="3"/>
  <c r="O21" i="3"/>
  <c r="M21" i="3"/>
  <c r="Q20" i="3"/>
  <c r="O20" i="3"/>
  <c r="M20" i="3"/>
  <c r="Q19" i="3"/>
  <c r="O19" i="3"/>
  <c r="M19" i="3"/>
  <c r="Q18" i="3"/>
  <c r="O18" i="3"/>
  <c r="M18" i="3"/>
  <c r="Q17" i="3"/>
  <c r="O17" i="3"/>
  <c r="M17" i="3"/>
  <c r="Q16" i="3"/>
  <c r="O16" i="3"/>
  <c r="M16" i="3"/>
  <c r="Q15" i="3"/>
  <c r="O15" i="3"/>
  <c r="M15" i="3"/>
  <c r="Q14" i="3"/>
  <c r="O14" i="3"/>
  <c r="M14" i="3"/>
  <c r="Q13" i="3"/>
  <c r="O13" i="3"/>
  <c r="M13" i="3"/>
  <c r="Q12" i="3"/>
  <c r="O12" i="3"/>
  <c r="M12" i="3"/>
  <c r="Q11" i="3"/>
  <c r="O11" i="3"/>
  <c r="M11" i="3"/>
  <c r="Q10" i="3"/>
  <c r="O10" i="3"/>
  <c r="M10" i="3"/>
  <c r="Q9" i="3"/>
  <c r="O9" i="3"/>
  <c r="M9" i="3"/>
  <c r="Q8" i="3"/>
  <c r="O8" i="3"/>
  <c r="M8" i="3"/>
  <c r="Q7" i="3"/>
  <c r="O7" i="3"/>
  <c r="M7" i="3"/>
  <c r="Q6" i="3"/>
  <c r="O6" i="3"/>
  <c r="M6" i="3"/>
  <c r="Q5" i="3"/>
  <c r="O5" i="3"/>
  <c r="M5" i="3"/>
  <c r="Q4" i="3"/>
  <c r="O4" i="3"/>
  <c r="M4" i="3"/>
  <c r="Q3" i="3"/>
  <c r="O3" i="3"/>
  <c r="M3" i="3"/>
  <c r="Q2" i="3"/>
  <c r="O2" i="3"/>
  <c r="M2" i="3"/>
  <c r="K20" i="1"/>
  <c r="J20" i="1"/>
  <c r="I20" i="1"/>
  <c r="H20" i="1"/>
  <c r="G20" i="1"/>
  <c r="F20" i="1"/>
  <c r="E20" i="1"/>
  <c r="J19" i="1"/>
  <c r="I19" i="1"/>
  <c r="H19" i="1"/>
  <c r="G19" i="1"/>
  <c r="F19" i="1"/>
  <c r="E19" i="1"/>
  <c r="K19" i="1" s="1"/>
  <c r="K18" i="1"/>
  <c r="J18" i="1"/>
  <c r="I18" i="1"/>
  <c r="H18" i="1"/>
  <c r="G18" i="1"/>
  <c r="F18" i="1"/>
  <c r="E18" i="1"/>
  <c r="K17" i="1"/>
  <c r="J17" i="1"/>
  <c r="I17" i="1"/>
  <c r="H17" i="1"/>
  <c r="G17" i="1"/>
  <c r="F17" i="1"/>
  <c r="E17" i="1"/>
  <c r="K16" i="1"/>
  <c r="J16" i="1"/>
  <c r="I16" i="1"/>
  <c r="H16" i="1"/>
  <c r="G16" i="1"/>
  <c r="F16" i="1"/>
  <c r="E16" i="1"/>
  <c r="K15" i="1"/>
  <c r="J15" i="1"/>
  <c r="I15" i="1"/>
  <c r="H15" i="1"/>
  <c r="G15" i="1"/>
  <c r="F15" i="1"/>
  <c r="E15" i="1"/>
  <c r="J14" i="1"/>
  <c r="J21" i="1" s="1"/>
  <c r="L7" i="1" s="1"/>
  <c r="I14" i="1"/>
  <c r="H14" i="1"/>
  <c r="G14" i="1"/>
  <c r="F14" i="1"/>
  <c r="E14" i="1"/>
  <c r="E21" i="1" s="1"/>
  <c r="B7" i="1" s="1"/>
  <c r="K13" i="1"/>
  <c r="J13" i="1"/>
  <c r="I13" i="1"/>
  <c r="I21" i="1" s="1"/>
  <c r="J7" i="1" s="1"/>
  <c r="H13" i="1"/>
  <c r="H21" i="1" s="1"/>
  <c r="H7" i="1" s="1"/>
  <c r="G13" i="1"/>
  <c r="G21" i="1" s="1"/>
  <c r="F7" i="1" s="1"/>
  <c r="F13" i="1"/>
  <c r="F21" i="1" s="1"/>
  <c r="D7" i="1" s="1"/>
  <c r="E13" i="1"/>
  <c r="K14" i="1" l="1"/>
  <c r="K21" i="1" s="1"/>
</calcChain>
</file>

<file path=xl/sharedStrings.xml><?xml version="1.0" encoding="utf-8"?>
<sst xmlns="http://schemas.openxmlformats.org/spreadsheetml/2006/main" count="5997" uniqueCount="3197">
  <si>
    <t>동탄도시철도(트램) 1·2공구 WBS 계층 구조별 표준서·수행지침·체크리스트 상세 매핑표</t>
  </si>
  <si>
    <t>L2 코드</t>
  </si>
  <si>
    <t>L3 코드</t>
  </si>
  <si>
    <t>L3 대공종명</t>
  </si>
  <si>
    <t>L4 코드</t>
  </si>
  <si>
    <t>작업단위 (Level 4 Task/Activity)</t>
  </si>
  <si>
    <t>표준서 (Standard)
[정량적 절대 기술 기준]</t>
  </si>
  <si>
    <t>수행지침 (Guideline)
[작업 절차 및 주의사항]</t>
  </si>
  <si>
    <t>체크리스트 (Checklist)
[완료 검측 표준]</t>
  </si>
  <si>
    <t>담당 분야</t>
  </si>
  <si>
    <t>첨부서류 연계 상세 설계기준
(구조, 토질, 선로 등)</t>
  </si>
  <si>
    <t>집행단계 리스크 체크리스트
(260614 트램 표준)</t>
  </si>
  <si>
    <t>협력사 시공/공사관리 자문
(정주건설 / 트리폴건설)</t>
  </si>
  <si>
    <t>1000  행정·인허가 (Project Management &amp; Permitting)</t>
  </si>
  <si>
    <t>1000</t>
  </si>
  <si>
    <t>1000-1</t>
  </si>
  <si>
    <t>행정·인허가 준비 및 관계기관 협의</t>
  </si>
  <si>
    <t>1000-1-1</t>
  </si>
  <si>
    <t>인허가 관련 법령 검토 및 체크리스트 작성</t>
  </si>
  <si>
    <t>● 도시철도법 제17조(사업계획승인) 및 국토교통부 도시철도 건설 규칙 수립 요건 준수</t>
  </si>
  <si>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</si>
  <si>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</si>
  <si>
    <t>행정</t>
  </si>
  <si>
    <t>● 관련분야 설계기준서 준수</t>
  </si>
  <si>
    <t>● 최신 개정 법령 미반영으로 인허가 승인 보완 지시 및 사업 기간 지연 리스크를 검토하였는가?</t>
  </si>
  <si>
    <t>● 협력사 자문 내용 없음 또는 해당사항 없음</t>
  </si>
  <si>
    <t>1000-1-2</t>
  </si>
  <si>
    <t>관계기관 협의자료 작성 및 공식 공문 발송</t>
  </si>
  <si>
    <t>● 행정 효율 지침 및 지자체별 인허가 협의 공문 규격 표준 규정</t>
  </si>
  <si>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</si>
  <si>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</si>
  <si>
    <t>● 공식 접수 및 대장 기록 누락 자료 제출로 인한 공문 반려 및 재작성 소요(2주 지연) 리스크를 검토하였는가?</t>
  </si>
  <si>
    <t>1000-1-3</t>
  </si>
  <si>
    <t>관계기관 피드백 분석 및 조치 방안 수립</t>
  </si>
  <si>
    <t>● 민원 처리 및 행정절차법상 의견 제출 및 피드백 공식 조치 절차</t>
  </si>
  <si>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</si>
  <si>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</si>
  <si>
    <t>● 관계기관 보완 요건의 자의적 해석에 따른 부실 보완 및 2차 보완 지시 지연 리스크를 검토하였는가?</t>
  </si>
  <si>
    <t>1000-2</t>
  </si>
  <si>
    <t>기본설계 도면검토 및 착공신고 처리</t>
  </si>
  <si>
    <t>1000-2-1</t>
  </si>
  <si>
    <t>기본설계도서 기술검토 및 검토의견서 작성</t>
  </si>
  <si>
    <t>● 건설공사 사업관리방식 검토기준 및 업무수행지침 제81조(설계도서 등의 검토)</t>
  </si>
  <si>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</si>
  <si>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</si>
  <si>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</si>
  <si>
    <t>● 종평면 종단 구배 한계값 미충족 도면을 거르지 못하여 궤도 재설계 발생 리스크를 검토하였는가?</t>
  </si>
  <si>
    <t>1000-2-2</t>
  </si>
  <si>
    <t>착공신고 구비서류 적정성 검토 및 조립</t>
  </si>
  <si>
    <t>● 건설기술진흥법 시행규칙 제38조(착공신고 구비서류) 규격 만족 여부</t>
  </si>
  <si>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</si>
  <si>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</si>
  <si>
    <t>● 선로 기하학 오차(종단구배 급변부 캔트 미반영 등)로 궤도 시공 불가 및 기본계획 변경 리스크를 검토하였는가?</t>
  </si>
  <si>
    <t>1000-3</t>
  </si>
  <si>
    <t>타공사(SRT, GTX-A 등) 구간 협의 및 간섭 검토</t>
  </si>
  <si>
    <t>1000-3-1</t>
  </si>
  <si>
    <t>타공사 간섭구간 기술 영향 평가 및 도면 검토</t>
  </si>
  <si>
    <t>● 지하안전관리에 관한 특별법(지하안전평가 기준 및 인접 굴착 영향선 검토)</t>
  </si>
  <si>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</si>
  <si>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</si>
  <si>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 해당 공종 리스크 분석 수립 준수</t>
  </si>
  <si>
    <t>1000-3-2</t>
  </si>
  <si>
    <t>간섭구간 공동 협의회 개최 및 협의록 작성</t>
  </si>
  <si>
    <t>● 발주처 인접 공사 안전 관리 가이드라인 및 공구 간 인터페이스 조정 표준</t>
  </si>
  <si>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</si>
  <si>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</si>
  <si>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2000  임시설비 및 가설공사 (Temporary &amp; Utility Works)</t>
  </si>
  <si>
    <t>2000</t>
  </si>
  <si>
    <t>2000-1</t>
  </si>
  <si>
    <t>가설사무소 설치 및 안전·환경 관리 준비</t>
  </si>
  <si>
    <t>2000-1-1</t>
  </si>
  <si>
    <t>가설현장사무소 부지 확보 및 인허가 신고</t>
  </si>
  <si>
    <t>● 건축법 제20조(가설건축물), 지자체 가설건축물 축조 신고 지침 요건</t>
  </si>
  <si>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</si>
  <si>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</si>
  <si>
    <t>토목</t>
  </si>
  <si>
    <t>● 가설건축물 설치 승인 지연으로 현장 사무소 개설 연기 및 현장 관리 공백 발생 리스크를 검토하였는가?</t>
  </si>
  <si>
    <t>2000-2</t>
  </si>
  <si>
    <t>가설도로·가시설 및 공사 진입로 설치</t>
  </si>
  <si>
    <t>2000-2-1</t>
  </si>
  <si>
    <t>가설도로 개설 및 진입 노면 다짐 시공</t>
  </si>
  <si>
    <t>● KCS 11 20 20 (가설공사 도로 및 터파기 다짐 표준시방서)
● 가설도로 기초 지반 최소 허용 지내력 150 kN/m² 이상 확보</t>
  </si>
  <si>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</si>
  <si>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</si>
  <si>
    <t>● 가설도로 다짐 부족으로 중장비(레미콘, 크레인) 이동 시 지반 함몰 및 장비 전도 리스크를 검토하였는가?</t>
  </si>
  <si>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</si>
  <si>
    <t>2000-3</t>
  </si>
  <si>
    <t>유틸리티/전력 가설 및 임시 배관·배선 설치</t>
  </si>
  <si>
    <t>2000-3-1</t>
  </si>
  <si>
    <t>유틸리티 임시 전력 설비 설치 및 접지 공사</t>
  </si>
  <si>
    <t>● 전기설비기술기준(산업부) 및 가설공사 표준시방서(전기)
● 가설 전력 분전반 접지 저항 100Ω 이하 정밀 시공</t>
  </si>
  <si>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</si>
  <si>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</si>
  <si>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토목/전기</t>
  </si>
  <si>
    <t>● 가설 전기 설비 과과부하 누전으로 현장 화재 발생 및 임시 차단기 오동작 리스크를 검토하였는가?</t>
  </si>
  <si>
    <t>2000-4</t>
  </si>
  <si>
    <t>교통전환 계획 수립 및 공사 중 교통 관리</t>
  </si>
  <si>
    <t>2000-4-1</t>
  </si>
  <si>
    <t>우회 교통 차선 도색 및 안전 통제 조치</t>
  </si>
  <si>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</si>
  <si>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</si>
  <si>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</si>
  <si>
    <t>토목/교통</t>
  </si>
  <si>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</si>
  <si>
    <t>● 굴착 전환부 야간 경고등 미설치로 민간 차량 가시설 추돌 사고 발생 리스크를 검토하였는가?</t>
  </si>
  <si>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</si>
  <si>
    <t>3000  교차로 공사 (Intersection Works)</t>
  </si>
  <si>
    <t>3000</t>
  </si>
  <si>
    <t>3000-1</t>
  </si>
  <si>
    <t>교차로 구간 지장물 조사 및 인허가 협의</t>
  </si>
  <si>
    <t>3000-1-1</t>
  </si>
  <si>
    <t>교차로 지하매설물 대장 수집 및 사전계획수립</t>
  </si>
  <si>
    <t>● 국토지리정보원 지하정보 통합지도 구축 및 활용 지침 규정</t>
  </si>
  <si>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</si>
  <si>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</si>
  <si>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토목/행정</t>
  </si>
  <si>
    <t>● 지장물 위치 측량 데이터 누락으로 굴착 중 타 기관 지중 설비 오타격 파손 리스크를 검토하였는가?</t>
  </si>
  <si>
    <t>3000-1-2</t>
  </si>
  <si>
    <t>현장 지하매설물 탐지(GPR) 및 인력 시험 굴착</t>
  </si>
  <si>
    <t>● KCS 11 10 10 (지장물 탐사 및 이설 공사 표준시방서)
● 백호우 장비 사용 전 필수 인력 굴착(폭 1.0m, 깊이 2.0m) 선행</t>
  </si>
  <si>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</si>
  <si>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</si>
  <si>
    <t>● 지하 매설 특수 지장물(고압 한전 가스관) 정밀 탐사 지연으로 후속 토공 착수 무기한 연기 리스크를 검토하였는가?</t>
  </si>
  <si>
    <t>3000-1-3</t>
  </si>
  <si>
    <t>지장물 관리기관 합동 회의 및 이설 협의서 날인</t>
  </si>
  <si>
    <t>● 도로법 시행령 제43조(점용료 및 지장물 이설 비용 정산 기준)</t>
  </si>
  <si>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</si>
  <si>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</si>
  <si>
    <t>● 지장물 이설 공사비 정산 지연으로 해당 유관 부처 협의 지연 및 행정 조치 보완 리스크를 검토하였는가?</t>
  </si>
  <si>
    <t>3000-2</t>
  </si>
  <si>
    <t>교차로 지장물 이설 및 방호·보강 공사</t>
  </si>
  <si>
    <t>3000-2-1</t>
  </si>
  <si>
    <t>교차로 지장물 임시/영구 이설 시공</t>
  </si>
  <si>
    <t>● KCS 11 10 15 (상수도 배관 시공 표준시방서)
● 임시 이설 상수도 기밀 수압시험(설계 규정압력의 1.5배, 1시간 유지)</t>
  </si>
  <si>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</si>
  <si>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</si>
  <si>
    <t>토목/기계</t>
  </si>
  <si>
    <t>● 임시 이설한 상수도관 연결부 수압 불량으로 누수 발생, 도로 지반 함몰 리스크를 검토하였는가?</t>
  </si>
  <si>
    <t>3000-2-2</t>
  </si>
  <si>
    <t>이설 불가 지장물 방호공(H-Beam 매달기) 시공</t>
  </si>
  <si>
    <t>● 건설공사용 가설구조물 설계기준(KDS 21 00 00) 구조 안전율 준수</t>
  </si>
  <si>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</si>
  <si>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</si>
  <si>
    <t>● 매달기 방호공의 와이어 장력 이완으로 가스관 침하 및 이음부 가스 누출 리스크를 검토하였는가?</t>
  </si>
  <si>
    <t>3000-3</t>
  </si>
  <si>
    <t>교차로 토공 굴착 및 가시설 설치</t>
  </si>
  <si>
    <t>3000-3-1</t>
  </si>
  <si>
    <t>교차로 아스팔트 포장 깨기 및 단계별 굴착</t>
  </si>
  <si>
    <t>● KCS 11 20 15 (토공사 굴착 표준시방서)
● 굴착 사면 경사면 구배 확보(사질토 1:1.0, 암반 1:0.5)</t>
  </si>
  <si>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</si>
  <si>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</si>
  <si>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</si>
  <si>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</si>
  <si>
    <t>● [시공순서] 일반구간 선시공 후 교차로 시공이 시공성 면에서 유리하나, 교차로 선시공 시 차량 통행에 의한 레일 파손 우려 대응 필요 (일반 및 교차로 작업조 통합 운영 권장)</t>
  </si>
  <si>
    <t>3000-3-2</t>
  </si>
  <si>
    <t>교차로 단계별 교통 전환 방호벽 설치 및 노출 지장물 방호</t>
  </si>
  <si>
    <t>● KCS 21 20 05 (가설안전시설물) / KCS 11 10 10 (지장물 이설공사)
● 교통 차단 PE 방호벽 물채움 고정 및 노출 매설관 턴버클 매달기 수직 처짐 통제</t>
  </si>
  <si>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</si>
  <si>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</si>
  <si>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가시설 흙막이벽 허용 수평변위: 강성 0.002H, 보통 0.0025H, 연성 0.003H (H: 굴착심도)
● [토질기초] 인접 도로 허용 침하량: 25mm 이하</t>
  </si>
  <si>
    <t>● 임시 차선 차단 PE 방호벽 전도에 따른 교차로 추돌 사고 발생 및 노출 매설관(가스/상수도) 지탱 부실로 인한 관 처짐 미세 균열 발생</t>
  </si>
  <si>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</si>
  <si>
    <t>3000-4</t>
  </si>
  <si>
    <t>교차로 노반·RC-PC 구조물 설치 및 마감 공사</t>
  </si>
  <si>
    <t>3000-4-1</t>
  </si>
  <si>
    <t>기초 지반 정밀 정리 및 지내력 평판재하시험(PBT)</t>
  </si>
  <si>
    <t>● KDS 11 50 15 (얕은기초 설계기준)
● 교차로 노반 하부 기초 허용 지내력(최소 200 kN/m²) 도달 시험</t>
  </si>
  <si>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</si>
  <si>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</si>
  <si>
    <t>토목/노반</t>
  </si>
  <si>
    <t>● [토질기초] 직접기초 허용 지내력 연직지지력 저항계수 0.45 (극한한계상태), 1.0 (사용/극단한계상태)
● [토질기초] 지반의 분류: 전단파속도 Vs 기준 S1(암반) ~ S5(깊고 연약한 지반) 구분 적용</t>
  </si>
  <si>
    <t>● 교차로 노반 하부 지반 지내력 부족으로 트램 시공 후 부등 침하 발생(선형 변형) 리스크를 검토하였는가?</t>
  </si>
  <si>
    <t>3000-4-2</t>
  </si>
  <si>
    <t>프리캐스트(PC) 노반 구조물 크레인 정밀 거치</t>
  </si>
  <si>
    <t>● KCS 14 20 53 (프리캐스트 콘크리트 공사 표준시방서)
● PC 블록 접합 조인트 채움 무수축 몰탈 규정 강도(최소 30 MPa) 확보</t>
  </si>
  <si>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</si>
  <si>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</si>
  <si>
    <t>● [구조분야] 고정하중: 철근콘크리트 24.5 kN/m3, 아스팔트 포장재 22.6 kN/m3 적용
● [구조분야] 트램 활하중: 5량 기준 총중량 632 kN (축중 63.2 kN/축) 적용</t>
  </si>
  <si>
    <t>● PC 노반 블록 간 조인트 단차 및 접합 무수축 몰탈 충진 부족으로 차량 진동 시 블록 이탈 리스크를 검토하였는가?</t>
  </si>
  <si>
    <t>3000-5</t>
  </si>
  <si>
    <t>곡선부 선형설계 및 확폭 공사</t>
  </si>
  <si>
    <t>3000-5-1</t>
  </si>
  <si>
    <t>트램 곡선 구간 확폭 측량 및 캔트/슬랙 계산</t>
  </si>
  <si>
    <t>● 경기도 노면전차 건설 규정 제6조(최소 곡선반경 R25m 이상, 캔트/슬랙 미적용 표준)</t>
  </si>
  <si>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</si>
  <si>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</si>
  <si>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캔트 부족으로 주행 트램 원심력 이탈 감지 및 비상 제동 동작(승차감 극도로 저하) 리스크를 검토하였는가?</t>
  </si>
  <si>
    <t>3000-5-2</t>
  </si>
  <si>
    <t>확폭 구간 도로 굴착 및 지반 안정 시공</t>
  </si>
  <si>
    <t>● KCS 11 20 20 (도로 노상 및 노반 다짐)
● 확폭 경계 지반 시멘트 안정처리(CBR 10% 이상, 다짐도 98% 확보)</t>
  </si>
  <si>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</si>
  <si>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</si>
  <si>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확폭 접합부 다짐 불량으로 트램 탈선방지 가드레일 설치 구간 지반 균열 발생 리스크를 검토하였는가?</t>
  </si>
  <si>
    <t>3000-6</t>
  </si>
  <si>
    <t>교차로 신호·표지판 설치 및 도로 마감 공사</t>
  </si>
  <si>
    <t>3000-6-1</t>
  </si>
  <si>
    <t>교통신호기 지주 건주 및 제어반 결선</t>
  </si>
  <si>
    <t>● 경찰청 표준규격 교통신호제어기 규정 준수(LSU, Flash-EXT, PPC 등)</t>
  </si>
  <si>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</si>
  <si>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</si>
  <si>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수동 결선 오류로 트램 접근 시 교차로 신호 황색 등화 미표시, 일반차량 충돌 리스크를 검토하였는가?</t>
  </si>
  <si>
    <t>3000-6-2</t>
  </si>
  <si>
    <t>도로 표지판 설치 및 트램 전용선 노면 도색</t>
  </si>
  <si>
    <t>● 도로표지 제작·설치 지침 및 노면 표시 표준 시방서
● 융착식 차선 도색 두께(최소 1.5mm), 야간 반사 성능 기준(백색 250, 황색 150)</t>
  </si>
  <si>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</si>
  <si>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</si>
  <si>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차로 도색 두께 부족으로 시공 1개월 만에 페인트 지워짐 발생 및 야간 식별 불가 리스크를 검토하였는가?</t>
  </si>
  <si>
    <t>3000-6-3</t>
  </si>
  <si>
    <t>트램 우선신호 검지기(Loop Coil 등) 매설 시험</t>
  </si>
  <si>
    <t>● ITS 사업 시방서(루프검지기 부설공)
● 코일 매설 슬롯 컷팅(폭 10mm, 깊이 50mm), 루프선 절연저항 10MΩ 이상</t>
  </si>
  <si>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</si>
  <si>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</si>
  <si>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에폭시 충진재 내부 공극 발생으로 노면수 침투, 동절기 동결 팽창으로 루프 검지선 단선 리스크를 검토하였는가?</t>
  </si>
  <si>
    <t>5000  본선 궤도공사 (Mainline Trackworks)</t>
  </si>
  <si>
    <t>5000</t>
  </si>
  <si>
    <t>5000-1</t>
  </si>
  <si>
    <t>궤도 구간 지장물 조사 및 인허가 협의</t>
  </si>
  <si>
    <t>5000-1-1</t>
  </si>
  <si>
    <t>궤도 선형 하부 지하 지장물 GPR 정밀 탐지</t>
  </si>
  <si>
    <t>● 지하안전관리에 관한 특별법(지하매설물 정밀 안전성 평가 지침)</t>
  </si>
  <si>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</si>
  <si>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</si>
  <si>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 지중 레이더(GPR) 탐사 생략으로 도로 하부 동공 미발견, 굴착 중 도로 함몰 사고 리스크를 검토하였는가?</t>
  </si>
  <si>
    <t>5000-2</t>
  </si>
  <si>
    <t>궤도 구간 지장물 이설 공사</t>
  </si>
  <si>
    <t>5000-2-1</t>
  </si>
  <si>
    <t>궤도 선형 간섭 상수도/전력관 우회 이설</t>
  </si>
  <si>
    <t>● KCS 11 10 10 (지장물 이설공사 일반기준)
● 되메우기 재료 층별 포설 및 다짐도 95% 이상 검측</t>
  </si>
  <si>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</si>
  <si>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</si>
  <si>
    <t>● 지장물 우회 이설 후 되메우기 다짐 부족으로 준공 후 도로 침하 및 크랙 발생 리스크를 검토하였는가?</t>
  </si>
  <si>
    <t>5000-3</t>
  </si>
  <si>
    <t>궤도 구간 이설 불가 지장물 방호·보강 공사</t>
  </si>
  <si>
    <t>5000-3-1</t>
  </si>
  <si>
    <t>이설 불가 지장물용 철근콘크리트 보호 슬래브 시공</t>
  </si>
  <si>
    <t>● KCS 14 20 10 (콘크리트 일반시방서)
● 보호용 철근 콘크리트 슬래브 설계 강도(24 MPa 이상) 확보</t>
  </si>
  <si>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</si>
  <si>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</si>
  <si>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보호 콘크리트 슬래브 두께 미달 및 철근 배근 불량으로 트램 상부 통과 하중 작용 시 파손 리스크를 검토하였는가?</t>
  </si>
  <si>
    <t>5000-4</t>
  </si>
  <si>
    <t>본선 궤도 구간 토공 굴착 및 노상 정리</t>
  </si>
  <si>
    <t>5000-4-1</t>
  </si>
  <si>
    <t>궤도 하부 구조물 정밀 굴착 및 레벨 고르기</t>
  </si>
  <si>
    <t>● KCS 11 20 15 (토공사 굴착 표준시방서)
● 백호우 정밀 굴착 높이 설계 계획고 오차 ±10mm 이내 관리</t>
  </si>
  <si>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</si>
  <si>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</si>
  <si>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종단 경사 오차로 계획고보다 낮게 굴착하여 궤도 기초 콘크리트 물량 과다 유입 및 단차 리스크를 검토하였는가?</t>
  </si>
  <si>
    <t>5000-5</t>
  </si>
  <si>
    <t>본선 노반(H=200mm) 다짐</t>
  </si>
  <si>
    <t>5000-5-1</t>
  </si>
  <si>
    <t>노반 층다짐 및 진동 롤러 전압 시공</t>
  </si>
  <si>
    <t>● KCS 11 20 20 (도로 다짐 및 다짐도 검사)
● 10톤 진동 롤러 층다짐 두께 200mm 단위 포설 및 다짐도 98% 이상 확보</t>
  </si>
  <si>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</si>
  <si>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</si>
  <si>
    <t>● 다짐 장비 운용 횟수 부족으로 지반 변형률 기준 미달, 주행 시 선로 침하 리스크를 검토하였는가?</t>
  </si>
  <si>
    <t>5000-5-2</t>
  </si>
  <si>
    <t>토공 노반 품질 검증 및 인수 (토목➔궤도 인계)</t>
  </si>
  <si>
    <t>● KDS 11 50 15 (얕은기초 설계기준)
● Ev2 ≥ 80 MPa, Ev2/Ev1 비율 2.3 이하 만족</t>
  </si>
  <si>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</si>
  <si>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</si>
  <si>
    <t>● [토질기초] 콘크리트 궤도 하부 허용 잔류침하량: 30.0mm 이하 (성토체 및 궤도구조 25mm, 열차하중 침하 5mm 합산)
● [토질기초] 흙쌓기 속도 기준: 점토층 두터운 이탄질 3.0cm/day, 보통 점토질 5.0cm/day, 얇은 점토층 10.0cm/day 이하</t>
  </si>
  <si>
    <t>● 함수비 조율 실패로 강화 노반 다짐도 불량, 궤도 콘크리트 슬래브 균열 전이 리스크를 검토하였는가?</t>
  </si>
  <si>
    <t>5000-6</t>
  </si>
  <si>
    <t>본선 궤도/노반 매설물 및 기초층 설치</t>
  </si>
  <si>
    <t>5000-6-1</t>
  </si>
  <si>
    <t>도상안정층(HSB) 시공 및 유도줄눈 설치</t>
  </si>
  <si>
    <t>● KCS 14 20 10 (콘크리트 일반시방서)
● fck=18MPa HSB 콘크리트 두께 100mm 확보, 유도줄눈 매 5m 간격 설치</t>
  </si>
  <si>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</si>
  <si>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</si>
  <si>
    <t>● 무근 콘크리트 타설 시 수평도 오차로 궤도 블록 거치 시 하부 충전재 두께 불균일 리스크를 검토하였는가?</t>
  </si>
  <si>
    <t>● [HSB유도줄눈] 보조도상 콘크리트(HSB) 층 매립 시 건조 수축 균열이 상부 도상 콘크리트로 전이되는 것을 막기 위해 매 5m 간격 균열유도줄눈을 반드시 반영할 것</t>
  </si>
  <si>
    <t>5000-7</t>
  </si>
  <si>
    <t>홈레일(Grooved Rail) 부설 및 검수</t>
  </si>
  <si>
    <t>5000-7-1</t>
  </si>
  <si>
    <t>반-PC 슬래브 배열 설치 및 스핀들 1차 정렬</t>
  </si>
  <si>
    <t>● KCS 14 20 53 (프리캐스트 콘크리트)
● 반-PC 슬래브 판넬 규격 오차 관리 및 거치 레벨 ±5mm 이내</t>
  </si>
  <si>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</si>
  <si>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</si>
  <si>
    <t>● 그루브레일 밴딩 곡률 반경 오차로 현장 조립 시 선형 뒤틀림 및 궤간 확장 불가 리스크를 검토하였는가? (궤도 곡선 밴딩 [4] 연계)</t>
  </si>
  <si>
    <t>● [슬래브적치] 프리캐스트 반-PC 슬래브의 현장 반입 및 적치 시 균일한 수평 지지대를 배치하여 슬래브 자체의 비틀림 변형 및 모서리 깨짐을 사전 방지할 것</t>
  </si>
  <si>
    <t>5000-7-2</t>
  </si>
  <si>
    <t>TCL 거푸집 가설 및 슬래브 정밀 선형 조정</t>
  </si>
  <si>
    <t>● KCS 21 10 00 (거푸집공사 표준시방서)
● 슬래브 수평/고저 및 중심선형 정밀 오차 ±2mm 이내</t>
  </si>
  <si>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</si>
  <si>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</si>
  <si>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</si>
  <si>
    <t>● 정밀 측량 생략 및 지지 불량으로 궤간·수평·줄틀림 오차가 허용치(±3mm)를 초과해, 콘크리트 경화 후 도상을 전면 재시공할 리스크를 검토하였는가? (궤도 단면계획 [49])</t>
  </si>
  <si>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</si>
  <si>
    <t>5000-7-3</t>
  </si>
  <si>
    <t>도상 콘크리트(TCL)층 정밀 타설 및 습윤 양생</t>
  </si>
  <si>
    <t>● KCS 14 20 10 (콘크리트 일반시방서)
● fck=30MPa 강도 궤도도상용 콘크리트, 타설 후 최소 7일간 습윤 양생</t>
  </si>
  <si>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</si>
  <si>
    <t>□ 타설 전 바닥면 이물질 청소 상태 및 습윤 상태 확인
□ TCL 콘크리트 슬럼프 및 설계 강도(30MPa) 공시체 시험 결과
□ 살수 장치 가동 상태 및 표면 습윤 양생막 유지 상태</t>
  </si>
  <si>
    <t>● 현장 용접 온도 관리 및 연마 불량으로 열처리레일 경도 저하 및 미세 균열이 남아 레일 절손(파단) 사고가 발생할 리스크를 검토하였는가? (급곡선부 마감관리 [56])</t>
  </si>
  <si>
    <t>● [수축균열] 궤도 콘크리트(TCL) 타설 시 건조수축 균열 예방 대책을 수립할 것 (위례 현장 fck=30MPa 적용 시 10개소 이상 미세 균열 하자 조치 사례 참고)</t>
  </si>
  <si>
    <t>5000-7-4</t>
  </si>
  <si>
    <t>레일 용접부 그라인딩 및 초음파 비파괴검사(UT)</t>
  </si>
  <si>
    <t>● KS B 0817 (초음파 탐상 시험법) 및 레일 용접부 비파괴 검사 규정</t>
  </si>
  <si>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</si>
  <si>
    <t>□ 용접부 평탄성 오차(±0.2mm/1m 스트레이트자) 확인
□ UT 장비 캘리브레이션 및 검사 대상 용접부 일치 여부
□ 탐상 결과 합격 등급 판정 및 리포트 서명 확인</t>
  </si>
  <si>
    <t>● 용접부 내부 미세 균열을 UT 검사 누락으로 확인하지 못해 운행 중 레일 단절 사고가 발생할 리스크를 검토하였는가? (궤도 단면계획 [56] 연계)</t>
  </si>
  <si>
    <t>5000-8</t>
  </si>
  <si>
    <t>본선 포장 마감 및 노반 보정 공사</t>
  </si>
  <si>
    <t>5000-8-1</t>
  </si>
  <si>
    <t>선로 구간 노면 마감 포장(아스콘/콘크리트/잔디) 시공</t>
  </si>
  <si>
    <t>● KCS 44 30 05 (아스팔트 포장공) / KCS 47 20 10 (트램 매립형 포장)
● 도로 상면 높이 단차 ±3mm 이내</t>
  </si>
  <si>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</si>
  <si>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</si>
  <si>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</si>
  <si>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</si>
  <si>
    <t>5000-9</t>
  </si>
  <si>
    <t>궤도 인접 일반 차로 및 보도 복구 공사</t>
  </si>
  <si>
    <t>5000-9-1</t>
  </si>
  <si>
    <t>장대레일 테르밋 용접 및 탄성 액상 수지 주입</t>
  </si>
  <si>
    <t>● KCS 47 20 20 (레일용접) / EN 14811 그루브레일 충진 기준
● 수지 경화 경도 및 일체성 확보</t>
  </si>
  <si>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</si>
  <si>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</si>
  <si>
    <t>● 접합부 마감 불량에 따른 노면수 유입 동결융해 및 GIS 측량 오류로 타 관로 굴착 시 지하 궤도 설비가 훼손될 리스크를 검토하였는가? (도로복구 및 공간정보 [62])</t>
  </si>
  <si>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</si>
  <si>
    <t>5000-10</t>
  </si>
  <si>
    <t>배수로 정비 및 도로 부대시설·경관 보정 공사</t>
  </si>
  <si>
    <t>5000-10-1</t>
  </si>
  <si>
    <t>궤도 최종 검측, 레일 표면 연마 및 시운전</t>
  </si>
  <si>
    <t>● KCS 47 20 10 (철도 궤도 정밀 검측) / 궤간 오차 ±1mm, 고저/수평 ±2mm 이내</t>
  </si>
  <si>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</si>
  <si>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</si>
  <si>
    <t>● 배수 트렌치 횡단 구배 불량으로 트램 레일 홈 내부에 흙먼지가 쌓여 우천 시 물 고임 및 선로 침수 리스크를 검토하였는가?</t>
  </si>
  <si>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</si>
  <si>
    <t>5000-11</t>
  </si>
  <si>
    <t>전차선·급전 설비(DC 750V) 설치 및 기능시험</t>
  </si>
  <si>
    <t>5000-11-1</t>
  </si>
  <si>
    <t>전차선 급전주 기초 앵커 시공 및 지주 건주</t>
  </si>
  <si>
    <t>● KCS 47 30 20 (전차선로 지주 공사)
● 지주 기초 콘크리트 28일 압축강도(24 MPa 이상) 확보</t>
  </si>
  <si>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</si>
  <si>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</si>
  <si>
    <t>전기</t>
  </si>
  <si>
    <t>● 지주 앵커 볼트 수직도 오차로 전차선 장력 작용 시 지주가 궤도 방향으로 기울어질 리스크를 검토하였는가?</t>
  </si>
  <si>
    <t>5000-11-2</t>
  </si>
  <si>
    <t>전차선 가설 및 장력 밸런싱 조정</t>
  </si>
  <si>
    <t>● KCS 47 30 30 (전차선 현수 및 장선 가설 공사)
● 팬터그래프 상승방식(충전레일) 전차선 높이 4,500mm ±50mm, 편위량 ±200mm 이내, 장력 20 kN</t>
  </si>
  <si>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</si>
  <si>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</si>
  <si>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 [전기분야] 트램 차량 공급 전압: DC 750V (무가선 급전방식 원칙)
● [전기분야] 전력공급방식: 하이브리드 방식 [슈퍼캐퍼시터 + LTO 배터리] 적용</t>
  </si>
  <si>
    <t>● 장력 조정기 체인 오일 부족으로 와이어 고정, 겨울철 전차선 수축 시 와이어 단선 리스크를 검토하였는가?</t>
  </si>
  <si>
    <t>5000-12</t>
  </si>
  <si>
    <t>신호·제어 설비(축차계수기 등) 설치 및 시험</t>
  </si>
  <si>
    <t>5000-12-1</t>
  </si>
  <si>
    <t>축차계수기 휠 센서 레일 가공 설치</t>
  </si>
  <si>
    <t>● KCS 47 40 10 (철도 신호 설비 시공 일반 및 축차계수기 설치 기준)</t>
  </si>
  <si>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</si>
  <si>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</si>
  <si>
    <t>신호</t>
  </si>
  <si>
    <t>● 레일 웨브 구멍 타공 시 중심선 오차로 휠 센서 장착 높이 불량, 차륜 미인식 오동작 리스크를 검토하였는가?</t>
  </si>
  <si>
    <t>5000-12-2</t>
  </si>
  <si>
    <t>신호 장비실 제어반 단자대 결선 및 기동 시험</t>
  </si>
  <si>
    <t>● KCS 47 40 20 (신호 장비 조립 및 결선 및 제어반 기동 규정)</t>
  </si>
  <si>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</si>
  <si>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</si>
  <si>
    <t>● 단자 압착 터미널의 심선 전선 압착 불량으로 열차 진동에 의한 통신 단선 리스크를 검토하였는가?</t>
  </si>
  <si>
    <t>5000-13</t>
  </si>
  <si>
    <t>LTE-R 통신망 및 광케이블(72Core) 구축</t>
  </si>
  <si>
    <t>5000-13-1</t>
  </si>
  <si>
    <t>관로 내 광케이블 포설 및 접속 광 융착</t>
  </si>
  <si>
    <t>● KCS 47 50 10 (철도 정보통신 선로공사)
● 광케이블(72Core) 포설 인장력 2.9 kN 이하, 접속 손실량 Core당 0.1 dB 이하</t>
  </si>
  <si>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</si>
  <si>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</si>
  <si>
    <t>통신</t>
  </si>
  <si>
    <t>● 광접속점 코어 정렬 오차로 접속 신호 왜곡 및 통신 불능 리스크를 검토하였는가?</t>
  </si>
  <si>
    <t>6000  정거장 공사 (Station Construction)</t>
  </si>
  <si>
    <t>6000</t>
  </si>
  <si>
    <t>6000-1</t>
  </si>
  <si>
    <t>정거장 구간 지장물 조사 및 인허가 협의</t>
  </si>
  <si>
    <t>6000-1-1</t>
  </si>
  <si>
    <t>정거장 예정지 정밀 측량 및 매설물 지도 중첩</t>
  </si>
  <si>
    <t>● KCS 11 10 10 (지장물 조사공 표준시방 및 매설 정보 분석 규정)</t>
  </si>
  <si>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</si>
  <si>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</si>
  <si>
    <t>● 정거장 전력 인입관 위치 오인으로 흙막이 파일 항타 시 한전 고압 지중관 파손 리스크를 검토하였는가?</t>
  </si>
  <si>
    <t>6000-2</t>
  </si>
  <si>
    <t>정거장 구간 지장물 이설 공사</t>
  </si>
  <si>
    <t>6000-2-1</t>
  </si>
  <si>
    <t>정거장 기초 간섭 상수도/전력관 이설 시공</t>
  </si>
  <si>
    <t>● KCS 11 10 15 (지하시설물 이설공)
● 폴리에틸렌 피복 강관 부설 및 기밀 수압시험(1.5 MPa, 1시간 유지)</t>
  </si>
  <si>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</si>
  <si>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</si>
  <si>
    <t>● 이설 상수관 조인트부 백호우 버킷 타격으로 이경부 파손 및 매설 후 침하 리스크를 검토하였는가?</t>
  </si>
  <si>
    <t>6000-3</t>
  </si>
  <si>
    <t>정거장 구간 이설 불가 지장물 방호·보강 공사</t>
  </si>
  <si>
    <t>6000-3-1</t>
  </si>
  <si>
    <t>정거장 기초 하부 특수 지장물 콘크리트 슬라브 보강</t>
  </si>
  <si>
    <t>● KCS 14 20 10 (콘크리트 일반시방서) 및 지장물 강관 압입 방호 기준</t>
  </si>
  <si>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</si>
  <si>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</si>
  <si>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거푸집 측압 보강 불량으로 타설 중 측면이 터져 지장물 파이프 내부로 몰탈 유입 리스크를 검토하였는가?</t>
  </si>
  <si>
    <t>6000-4</t>
  </si>
  <si>
    <t>정거장 부지 굴착 토공 및 가시설 설치</t>
  </si>
  <si>
    <t>6000-4-1</t>
  </si>
  <si>
    <t>정거장 노반 굴착 터파기 및 흙막이 가시설 설치</t>
  </si>
  <si>
    <t>● KCS 21 30 00 (가설 흙막이 표준시방 및 가시설 구조 안전 표준)</t>
  </si>
  <si>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</si>
  <si>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</si>
  <si>
    <t>● 흙막이 벽체 이면 지반 붕괴로 정거장 배후 보도 보블록 침하 및 전신주 기울어짐 리스크를 검토하였는가?</t>
  </si>
  <si>
    <t>6000-5</t>
  </si>
  <si>
    <t>정거장 지하구조물 공사 및 기초 보정 공사</t>
  </si>
  <si>
    <t>6000-5-1</t>
  </si>
  <si>
    <t>정거장 파일 기초 평판재하시험(PBT)</t>
  </si>
  <si>
    <t>● KDS 11 50 15 (깊은기초 설계기준 및 파일 지지력 시험 규정)</t>
  </si>
  <si>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</si>
  <si>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</si>
  <si>
    <t>● 기초 파일 선단 지지력 부족으로 구조물 하중 작용 시 승강장 기울어짐 리스크를 검토하였는가?</t>
  </si>
  <si>
    <t>6000-6</t>
  </si>
  <si>
    <t>정거장 승강장 구조물 설치 및 마감 공사</t>
  </si>
  <si>
    <t>6000-6-1</t>
  </si>
  <si>
    <t>승강장 프리캐스트 콘크리트(PC) 바닥판 거치 시공</t>
  </si>
  <si>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</si>
  <si>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</si>
  <si>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</si>
  <si>
    <t>● 크레인 슬링 와이어 장탈착 중 PC판 낙하로 가장자리 파손 및 미세 크랙 방치 후 파손 리스크를 검토하였는가?</t>
  </si>
  <si>
    <t>6000-7</t>
  </si>
  <si>
    <t>정거장 조경 시설물 및 도로 마감 공사</t>
  </si>
  <si>
    <t>6000-7-1</t>
  </si>
  <si>
    <t>정거장 경계석 부설 및 승강장 접속부 도로 포장</t>
  </si>
  <si>
    <t>● KCS 44 30 05 (아스팔트 콘크리트 포장공)
● 정거장 경계석 부설 직선 정렬 오차 ±5mm 이내 관리</t>
  </si>
  <si>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</si>
  <si>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</si>
  <si>
    <t>6000-8</t>
  </si>
  <si>
    <t>정거장 안내 시스템 및 가이던스 보정 공사</t>
  </si>
  <si>
    <t>6000-8-1</t>
  </si>
  <si>
    <t>행선안내기 DID 지주 볼트 고정 및 최종 리딩 테스트</t>
  </si>
  <si>
    <t>● KCS 47 50 20 (여객 정보 통신 설비)
● 행선안내기 DID 지주 구조 고정 및 앵커볼트 규정 인장 토크 준수</t>
  </si>
  <si>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</si>
  <si>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</si>
  <si>
    <t>6000-9</t>
  </si>
  <si>
    <t>정거장 전기·조명·통신·방재 설비 설치 및 시험</t>
  </si>
  <si>
    <t>6000-9-1</t>
  </si>
  <si>
    <t>정거장 분전반 결선 및 접지 상태 검사</t>
  </si>
  <si>
    <t>● 전기설비기술기준(KEC)
● 분전반 메인 차단기 기동 및 접지선(6SQ 이상) 저항 100Ω 이하 확보</t>
  </si>
  <si>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</si>
  <si>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</si>
  <si>
    <t>전기/통신/방재</t>
  </si>
  <si>
    <t>6000-10</t>
  </si>
  <si>
    <t>플랫폼 스크린도어(PSD) 및 CCTV 설치 및 시험</t>
  </si>
  <si>
    <t>6000-10-1</t>
  </si>
  <si>
    <t>플랫폼 스크린도어(PSD) 포스트 정밀 설치</t>
  </si>
  <si>
    <t>● KCS 47 40 10 (신호 및 승강장 안전문 설비)
● 승강장 안전난간 H=1.2m 설치 표준 및 PSD 프레임 고정</t>
  </si>
  <si>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</si>
  <si>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</si>
  <si>
    <t>전기/통신</t>
  </si>
  <si>
    <t>6000-10-2</t>
  </si>
  <si>
    <t>PSD 가동문 모터 조립 및 연동 시운전</t>
  </si>
  <si>
    <t>● KS C IEC 62076 (승강장 안전문 설계 및 검사)
● PSD 장애물 검지 기준(두께 10mm), 도어 연동 개폐 시간 싱크 오차 0.5초 이내</t>
  </si>
  <si>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</si>
  <si>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</si>
  <si>
    <t>7000  차량기지 공사 (Depot Construction)</t>
  </si>
  <si>
    <t>7000</t>
  </si>
  <si>
    <t>7000-1</t>
  </si>
  <si>
    <t>차량기지 부지조성 및 노반 토공</t>
  </si>
  <si>
    <t>7000-1-1</t>
  </si>
  <si>
    <t>차량기지 부지 대규모 성토공 및 지반 다짐</t>
  </si>
  <si>
    <t>● KCS 11 20 20 (도로 다짐 및 성토공)
● 대규모 기지 부지 절·성토용 토사 유기물 함량 1% 미만, 다짐도 95% 이상</t>
  </si>
  <si>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</si>
  <si>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</si>
  <si>
    <t>● [토질기초] 연약지반 판정기준: 점성토 층두께 10m 이상 시 N치 6 이하, 사질토 N치 15 이하 적용
● [토질기초] 차량기지 대규모 성토 시 허용 잔류침하량 100.0mm 이하 관리 (연약지반 처리 구간)</t>
  </si>
  <si>
    <t>7000-1-2</t>
  </si>
  <si>
    <t>연약지반 개량(PBD 등) 배수재 포설 및 모니터링</t>
  </si>
  <si>
    <t>● KCS 11 30 10 (연약지반 개량 표준시방)
● PBD 삽입 간격(1.5m 격자), 상부 샌드매트 모래 점토분 함량 5% 이하 제어</t>
  </si>
  <si>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</si>
  <si>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</si>
  <si>
    <t>7000-2</t>
  </si>
  <si>
    <t>유치선·정비선·검수선 궤도 부설 및 분기기 설치</t>
  </si>
  <si>
    <t>7000-2-1</t>
  </si>
  <si>
    <t>차량기지 내 분기기(Turnout) 정밀 거치</t>
  </si>
  <si>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</si>
  <si>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</si>
  <si>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</si>
  <si>
    <t>토목/궤도</t>
  </si>
  <si>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</si>
  <si>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</si>
  <si>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</si>
  <si>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7000-2-2</t>
  </si>
  <si>
    <t>기지 전환기(MJ81 등) 조립 및 전환력 측정 테스트</t>
  </si>
  <si>
    <t>● KCS 47 40 20 (철도 신호 전환 설비)
● 레일 용접: 1차(장척화) 및 2차(장대화) 용접 모두 테르밋(Thermit) 용접 적용하여 기지 전 구간 장대화 구현
● 차막이: 유압식 또는 차륜막이식 차막이 및 각종 선로제표 설치 기준 준수</t>
  </si>
  <si>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</si>
  <si>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</si>
  <si>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</si>
  <si>
    <t>7000-3</t>
  </si>
  <si>
    <t>검수고·관제실·부대건축물 신축 공사</t>
  </si>
  <si>
    <t>7000-3-1</t>
  </si>
  <si>
    <t>정비고 철골 구조물 기둥 세우기 및 고장력 볼트 조임</t>
  </si>
  <si>
    <t>● KCS 14 31 10 (강구조 공사 표준시방)
● 검수고 철골 구조물 기둥 수직도 오차 ±5mm 이내, F10T 고장력 볼트 체결</t>
  </si>
  <si>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</si>
  <si>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</si>
  <si>
    <t>건축</t>
  </si>
  <si>
    <t>● 고장력 볼트 1차/2차 토크 조임 누락으로 지붕 트러스 가동 시 기둥 접합부 전단 파손 리스크를 검토하였는가?</t>
  </si>
  <si>
    <t>7000-4</t>
  </si>
  <si>
    <t>차량기지 내 급전·전기·기계 설비 설치</t>
  </si>
  <si>
    <t>7000-4-1</t>
  </si>
  <si>
    <t>검수고 내 가공 전차선(Rigid Bar) 정밀 가설</t>
  </si>
  <si>
    <t>● KCS 47 30 30 (전차선로 현수선 공사)
● 차량기지 내 팬터그래프 상승 충전 가공 강체 전차선(Rigid Bar)
● 알루미늄 T-Bar/리지드 바 수평도 오차 1mm 이내, 조인트 단차 0.1mm 이하 그라인딩</t>
  </si>
  <si>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</si>
  <si>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</si>
  <si>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전기/기계</t>
  </si>
  <si>
    <t>● 리지드 바 조인트 단차로 팬터그래프 통과 시 스파크 발생 및 탄소판 이상 마모 리스크를 검토하였는가?</t>
  </si>
  <si>
    <t>7000-5</t>
  </si>
  <si>
    <t>세차·세륜 설비 및 외곽 부대시설 설치</t>
  </si>
  <si>
    <t>7000-5-1</t>
  </si>
  <si>
    <t>자동 세차기 설비 거치 및 급배수관 연결</t>
  </si>
  <si>
    <t>● KCS 47 50 30 (차량기지 기계 설비)
● 옥외세척고 자동 세차기 설비 앵커링 고정 표준 준수</t>
  </si>
  <si>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</si>
  <si>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</si>
  <si>
    <t>기계/토목</t>
  </si>
  <si>
    <t>● 세차 브러시 작동 압력 실측값 미조정으로 세차 중 트램 측면 유리 스크래치 파손 리스크를 검토하였는가?</t>
  </si>
  <si>
    <t>7000-5-2</t>
  </si>
  <si>
    <t>세차 폐수 처리조 설비 설치 및 시운전</t>
  </si>
  <si>
    <t>● 수질 및 수생태계 보전에 관한 법률
● 세차 폐수 처리 방류수 수질 기준(SS 20ppm 이하, pH 5.8~8.6) 달성</t>
  </si>
  <si>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</si>
  <si>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</si>
  <si>
    <t>● 폐수 응집제 과소 투입으로 방류수 부유물질(SS) 기준치 초과 지자체 고발 리스크를 검토하였는가?</t>
  </si>
  <si>
    <t>9000  시운전 및 인계 (Commissioning &amp; Handover)</t>
  </si>
  <si>
    <t>9000</t>
  </si>
  <si>
    <t>9000-1</t>
  </si>
  <si>
    <t>시스템 통합 기능시험 및 확인시험</t>
  </si>
  <si>
    <t>9000-1-1</t>
  </si>
  <si>
    <t>무부하 신호-관제센터 간 패킷 수신 테스트</t>
  </si>
  <si>
    <t>● KCS 47 40 10 (신호 제어 시스템 시운전)
● 본선 안테나 무선 신호 RSSI -75dBm 이상 및 패킷 유실률 0.01% 이하</t>
  </si>
  <si>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</si>
  <si>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</si>
  <si>
    <t>전기/신호/통신</t>
  </si>
  <si>
    <t>● 무선 AP 패킷 드롭(Packet Drop)으로 운행 중 트램 위치 소실 관제 화면 먹통 리스크를 검토하였는가?</t>
  </si>
  <si>
    <t>9000-1-2</t>
  </si>
  <si>
    <t>변전소 통전 수전 및 전차선DC 가압 테스트</t>
  </si>
  <si>
    <t>● KCS 47 30 10 (변전 전기 설비 시운전)
● 변전소 DC 출력 전압 정밀도(DC 750V +10%/-15% 이내) 확보</t>
  </si>
  <si>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</si>
  <si>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</si>
  <si>
    <t>● 보호 계전기 트립 전류 오설정으로 부하 주행 시 전원 차단기 오동작 트립 리스크를 검토하였는가?</t>
  </si>
  <si>
    <t>9000-2</t>
  </si>
  <si>
    <t>기술시운전 계획 수립 및 관련기관 시험 운행</t>
  </si>
  <si>
    <t>9000-2-1</t>
  </si>
  <si>
    <t>기술시운전 속도별 제동거리 정밀 실측</t>
  </si>
  <si>
    <t>● 철도안전법 시행규칙 제42조 및 KSD 24 10 10 (주행안전성 기준) 준수
● 트램 성능 설계 최고속도 70km/h 비상 제동거리 실측</t>
  </si>
  <si>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</si>
  <si>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</si>
  <si>
    <t>● 우천 시 활주방지장치(WSP) 반응 지연으로 비상 제동거리 설계치 초과, 충돌 위험 리스크를 검토하였는가?</t>
  </si>
  <si>
    <t>9000-2-2</t>
  </si>
  <si>
    <t>궤도-차량 동적 거동 승차감 진동 측정</t>
  </si>
  <si>
    <t>● ISO 2631 (전신 진동에 대한 인체 노출 평가 기준)
● 궤도-차량 간 주행시 3축 가속도 측정기 기준 승차감 지수 Wz 2.5 이하</t>
  </si>
  <si>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</si>
  <si>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</si>
  <si>
    <t>● 곡선 진입부 횡가속도 허용치 초과로 승차감 지수 불합격, 재운행 시운전 명령 리스크를 검토하였는가?</t>
  </si>
  <si>
    <t>9000-3</t>
  </si>
  <si>
    <t>영업시운전 및 관련기관 시험 운행</t>
  </si>
  <si>
    <t>9000-3-1</t>
  </si>
  <si>
    <t>영업시운전 100회 정시 운행(Scheduled Run) 테스트</t>
  </si>
  <si>
    <t>● 도시철도법 제19조 및 철도종합시험운행 시행지침
● 모의 영업 시나리오 기반 100회 정시 운행 성공률 99.8% 이상 확보</t>
  </si>
  <si>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</si>
  <si>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</si>
  <si>
    <t>토목/전기전문</t>
  </si>
  <si>
    <t>● 정거장 정차 시간 마진 설정 오류로 누적 지연 발생, 피크 시간대 배차 간격 붕괴 리스크를 검토하였는가?</t>
  </si>
  <si>
    <t>9000-4</t>
  </si>
  <si>
    <t>최종 검측 및 준공도서 작성·인계 준비</t>
  </si>
  <si>
    <t>9000-4-1</t>
  </si>
  <si>
    <t>전 구간 준공도면(As-Built) CAD 실측 정밀 검증</t>
  </si>
  <si>
    <t>● KCS 11 10 05 (건설사업 준공 처리 지침)
● As-Built 준공도면 측량 오차 범위(±30mm 이내) 충족</t>
  </si>
  <si>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</si>
  <si>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</si>
  <si>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전기전문</t>
  </si>
  <si>
    <t>● 지장물 임시 이설 후 최종 복구 도면 미반영으로 타사 타공사 시 이설관 파손 리스크를 검토하였는가?</t>
  </si>
  <si>
    <t>9000-5</t>
  </si>
  <si>
    <t>최종 준공검사 및 운영기관 Handover</t>
  </si>
  <si>
    <t>9000-5-1</t>
  </si>
  <si>
    <t>최종 운영기관 인계 인수서 날인 및 키 핸드오버</t>
  </si>
  <si>
    <t>● 발주처 국유재산 인계인수 지침 및 핸드오버 매뉴얼 규정</t>
  </si>
  <si>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</si>
  <si>
    <t>□ 마스터 키 일체 및 보안 장비 인수인계 대장 대조 완료
□ 예비 부품 실물 확인 및 전산 입력 매칭 확인
□ 최종 인수 서명 날인 원본 서류 3부 분산 보관</t>
  </si>
  <si>
    <t>● 장비 예비 부품 대장 수량 불일치로 인수거부 발생, 하자 관리 기간 개시 지연 리스크를 검토하였는가?</t>
  </si>
  <si>
    <t>동탄트램 집행단계 실무 매뉴얼 &amp; 지식 DB 작성 현황 대시보드</t>
  </si>
  <si>
    <t>❚ [집행단계 v6] 8대 공종(토목·궤도·건축·신호·통신·전기) 263개 작업단위별 작성 및 DB 연동 현황</t>
  </si>
  <si>
    <t>전체 액티비티</t>
  </si>
  <si>
    <t>표준서 작성</t>
  </si>
  <si>
    <t>수행지침 작성</t>
  </si>
  <si>
    <t>체크리스트 작성</t>
  </si>
  <si>
    <t>상세절차서(HTML) 연동</t>
  </si>
  <si>
    <t>현장 리스크 DB</t>
  </si>
  <si>
    <t>❚ 1. 공종별 매뉴얼 및 리스크 DB 작성 현황</t>
  </si>
  <si>
    <t>순번</t>
  </si>
  <si>
    <t>구분</t>
  </si>
  <si>
    <t>대공종</t>
  </si>
  <si>
    <t>작업수 (L4)</t>
  </si>
  <si>
    <t>표준서</t>
  </si>
  <si>
    <t>수행지침</t>
  </si>
  <si>
    <t>체크리스트</t>
  </si>
  <si>
    <t>HTML 연동</t>
  </si>
  <si>
    <t>리스크 DB</t>
  </si>
  <si>
    <t>달성률</t>
  </si>
  <si>
    <t>진행 상태</t>
  </si>
  <si>
    <t>토목공사</t>
  </si>
  <si>
    <t>사전토공사</t>
  </si>
  <si>
    <t>작성 완료</t>
  </si>
  <si>
    <t>지장물이설</t>
  </si>
  <si>
    <t>상부강화노반</t>
  </si>
  <si>
    <t>궤도공사</t>
  </si>
  <si>
    <t>콘크리트도상</t>
  </si>
  <si>
    <t>건축공사</t>
  </si>
  <si>
    <t>시스템공사</t>
  </si>
  <si>
    <t>매뉴얼 완료 (리스크 작성중)</t>
  </si>
  <si>
    <t>-</t>
  </si>
  <si>
    <t>합계</t>
  </si>
  <si>
    <t>8대 공종 통합</t>
  </si>
  <si>
    <t>전 공종 완료</t>
  </si>
  <si>
    <t>❚ 2. 동적 매뉴얼 주요 기능 구현 현황</t>
  </si>
  <si>
    <t>주요 기능</t>
  </si>
  <si>
    <t>핵심 내용 및 구현 현황</t>
  </si>
  <si>
    <t>적용 상태</t>
  </si>
  <si>
    <t>시공 사진·영상 시각화</t>
  </si>
  <si>
    <t>공종별 현장 시공 사진, 3D BIM 모델 및 품질 시험 동영상 1:1 매핑 완료 (263개 전 작업)</t>
  </si>
  <si>
    <t>구현 완료</t>
  </si>
  <si>
    <t>전문시방서(KCS) 원문 연동</t>
  </si>
  <si>
    <t>국토교통부 KCS 전문시방서 PDF(1페이지 원문) 및 관련 법령 링크 바로 열기 구현</t>
  </si>
  <si>
    <t>문장별 상세절차서(HTML) 연동</t>
  </si>
  <si>
    <t>체크리스트 각 항목 클릭 시 해당 작업의 1:1 독자 상세절차서(HTML) 즉시 연동</t>
  </si>
  <si>
    <t>단일 화면 패키지 구성</t>
  </si>
  <si>
    <t>1개 작업 단위에 표준서, 수행지침, 체크리스트, 상세절차서를 한 화면에 통합 제공</t>
  </si>
  <si>
    <t>현장 시공 데이터 누적 관리</t>
  </si>
  <si>
    <t>동탄 현장에서 발생하는 시험 성적서, 사진 데이터(v6)를 실시간 누적·업데이트</t>
  </si>
  <si>
    <t>❚ 3. 주요 보고 및 향후 추진 계획</t>
  </si>
  <si>
    <t>보고 안건</t>
  </si>
  <si>
    <t>주요 내용</t>
  </si>
  <si>
    <t>진행 상황</t>
  </si>
  <si>
    <t>안건 1</t>
  </si>
  <si>
    <t>동탄 현장 기반 매뉴얼 연속 업데이트 승인</t>
  </si>
  <si>
    <t>동탄 현장 실무 데이터를 바탕으로 매뉴얼(v6 ➔ v7)을 지속 보완·운영하는 체계 승인</t>
  </si>
  <si>
    <t>승인 완료</t>
  </si>
  <si>
    <t>안건 2</t>
  </si>
  <si>
    <t>사내 매뉴얼 시스템 통합 및 자산화</t>
  </si>
  <si>
    <t>완성된 매뉴얼을 사내 표준 시스템에 탑재하여 향후 신규 트램 사업 수주 시 재활용</t>
  </si>
  <si>
    <t>추진 중</t>
  </si>
  <si>
    <t>일정 (D-Day)</t>
  </si>
  <si>
    <t>주관</t>
  </si>
  <si>
    <t>협업부서</t>
  </si>
  <si>
    <t>목적</t>
  </si>
  <si>
    <t>방법</t>
  </si>
  <si>
    <t>산출물(결과)</t>
  </si>
  <si>
    <t>표준서 (Standard) 요약</t>
  </si>
  <si>
    <t>표준서 파일 (HTML)</t>
  </si>
  <si>
    <t>수행지침 (Guideline) 요약</t>
  </si>
  <si>
    <t>수행지침 파일 (HTML)</t>
  </si>
  <si>
    <t>체크리스트 (Checklist) 요약</t>
  </si>
  <si>
    <t>체크리스트 파일 (HTML)</t>
  </si>
  <si>
    <t>9000-0</t>
  </si>
  <si>
    <t>사전준비_지반조사</t>
  </si>
  <si>
    <t>9000-0-1</t>
  </si>
  <si>
    <t>사전영업</t>
  </si>
  <si>
    <t>발주처 계획 입수(비공식)</t>
  </si>
  <si>
    <t>토목사업팀</t>
  </si>
  <si>
    <t>지반조사업체, 외부지질전문가 3인이상</t>
  </si>
  <si>
    <t>발주처 기본계획 사전 검토</t>
  </si>
  <si>
    <t>• 조사설계 용역 기본계획 도서 확보 여부 확인
• 핵심이슈 (미시추 사유, 지층/암반등급 조정여부 등) 확보 여부 확인
• 사업지 연접 지질/지반조사 자료 확보 여부 확인</t>
  </si>
  <si>
    <t>발주처 기본계획 보고서</t>
  </si>
  <si>
    <t>발주처 기본계획 사전 검토 | 발주처 기본계획 보고서</t>
  </si>
  <si>
    <t>• 조사설계 용역 기본계획 도서 확보 여부 확인 • 핵심이슈 (미시추 사유, 지층/암반등급 조정여부 등) 확보 여부 확인 • 사업지 연접 지질/지반조사 자료 확보 여부 확인</t>
  </si>
  <si>
    <t>1) 발주처 계획 입수(비공식) 적정성을 확인하였는가? 2) 발주처 기본계획 보고서 산출물을 확보하였는가?</t>
  </si>
  <si>
    <t>9000-0-2</t>
  </si>
  <si>
    <t>관심프로젝트 선정</t>
  </si>
  <si>
    <t>포스코스마트엔지니어링팀</t>
  </si>
  <si>
    <t>입수된 발주정보 평가를 통한 관심 Project 선정</t>
  </si>
  <si>
    <t>• 해당 프로젝트별 발주처/경쟁동향 / 사업성평가 수행
• 기술형입찰 입찰참여 Guide Line으로 해당 프로젝트 평가</t>
  </si>
  <si>
    <t>관심사업 List</t>
  </si>
  <si>
    <t>입수된 발주정보 평가를 통한 관심 Project 선정 | 관심사업 List</t>
  </si>
  <si>
    <t>• 해당 프로젝트별 발주처/경쟁동향 / 사업성평가 수행 • 기술형입찰 입찰참여 Guide Line으로 해당 프로젝트 평가</t>
  </si>
  <si>
    <t>1) 관심프로젝트 선정 적정성을 확인하였는가? 2) 관심사업 List 산출물을 확보하였는가?</t>
  </si>
  <si>
    <t>9000-0-3</t>
  </si>
  <si>
    <t>발주처 지반조사 모니터링</t>
  </si>
  <si>
    <t>발주처 지반조사 수립업체 파악</t>
  </si>
  <si>
    <t>• 발주처 지반조사업체 확인 후 당사 Pool List와 비교
• 발주처 지반조사 업체 확인팀 Contact Point 확보</t>
  </si>
  <si>
    <t>발주처 기본계획 수행 List + Contact Point List</t>
  </si>
  <si>
    <t>발주처 지반조사 수립업체 파악 | 발주처 기본계획 수행 List + Contact Point List</t>
  </si>
  <si>
    <t>• 발주처 지반조사업체 확인 후 당사 Pool List와 비교 • 발주처 지반조사 업체 확인팀 Contact Point 확보</t>
  </si>
  <si>
    <t>1) 발주처 지반조사 모니터링 적정성을 확인하였는가? 2) 발주처 기본계획 수행 List + Contact Point List 산출물을 확보하였는가?</t>
  </si>
  <si>
    <t>9000-0-4</t>
  </si>
  <si>
    <t>매년 1분기</t>
  </si>
  <si>
    <t>외부 지질전문가 Pool 관리</t>
  </si>
  <si>
    <t>지반조사 품질향상을 위한 제3자 검증 수행 지반조사 전문가 Pool 관리</t>
  </si>
  <si>
    <t>• Academic 전문가와 현장 전문가를 포함한 Pool 구성
• 전문가 Pool의 학력/기술사 등 경력사항(조사 15년) 확인</t>
  </si>
  <si>
    <t>외부지질전문가 Pool List</t>
  </si>
  <si>
    <t>지반조사 품질향상을 위한 제3자 검증 수행 지반조사 전문가 Pool 관리 | 외부지질전문가 Pool List</t>
  </si>
  <si>
    <t>• Academic 전문가와 현장 전문가를 포함한 Pool 구성 • 전문가 Pool의 학력/기술사 등 경력사항(조사 15년) 확인</t>
  </si>
  <si>
    <t>1) 외부 지질전문가 Pool 관리 적정성을 확인하였는가? 2) 외부지질전문가 Pool List 산출물을 확보하였는가?</t>
  </si>
  <si>
    <t>9000-0-5</t>
  </si>
  <si>
    <t>지반조사 Pool 관리</t>
  </si>
  <si>
    <t>외주구매팀</t>
  </si>
  <si>
    <t>발주처 계획 대응 및 개략 지반조사 결과 사전 예측을 위한 업체 관리</t>
  </si>
  <si>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</si>
  <si>
    <t>조사업체 POOL/필요시 Update</t>
  </si>
  <si>
    <t>발주처 계획 대응 및 개략 지반조사 결과 사전 예측을 위한 업체 관리 | 조사업체 POOL/필요시 Update</t>
  </si>
  <si>
    <t>• 공공기관별 입찰공고 모니터링 통한 지반조사업체 입찰참여 유치(입찰 공사 여부 확인) • 업체 Pool List 갱신 여부 확인 • 지반조사업체 역량 및 기술수준 평가표 평가 여부 확인 (Pool 갱신 및 신규업체...</t>
  </si>
  <si>
    <t>1) 지반조사 Pool 관리 적정성을 확인하였는가? 2) 조사업체 POOL/필요시 Update 산출물을 확보하였는가?</t>
  </si>
  <si>
    <t>9000-0-6</t>
  </si>
  <si>
    <t>D-210 ~ D-180</t>
  </si>
  <si>
    <t>기본계획 지반조사 자료 및 R/O 정보 입수</t>
  </si>
  <si>
    <t>지반조사 협력업체</t>
  </si>
  <si>
    <t>설계 협력업체</t>
  </si>
  <si>
    <t>발주처 기본계획 및 지반조사 결과 사전 획득</t>
  </si>
  <si>
    <t>• 기본계획 지반조사결과 및 실시설계 Contact을 통한 자료입수</t>
  </si>
  <si>
    <t>발주처 기본계획 보고서 및 지반조사 보고서(비공식)</t>
  </si>
  <si>
    <t>발주처 기본계획 및 지반조사 결과 사전 획득 | 발주처 기본계획 보고서 및 지반조사 보고서(비공식)</t>
  </si>
  <si>
    <t>1) 기본계획 지반조사 자료 및 R/O 정보 입수 적정성을 확인하였는가? 2) 발주처 기본계획 보고서 및 지반조사 보고서(비공식) 산출물을 확보하였는가?</t>
  </si>
  <si>
    <t>9000-0-7</t>
  </si>
  <si>
    <t>D-180 ~ D-165</t>
  </si>
  <si>
    <t>기본계획 지반조사 R/O 검토 (설계, 공정, 기획)</t>
  </si>
  <si>
    <t>포스코스마트엔지니어링팀(설계), 토목수행팀(공정), 토목사업지원팀(기획)</t>
  </si>
  <si>
    <t>토목견적팀</t>
  </si>
  <si>
    <t>발주처 기본계획 지반조사 문제점 검토</t>
  </si>
  <si>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</si>
  <si>
    <t>기본계획 지반조사 검토서(설계, 공정, 기획)</t>
  </si>
  <si>
    <t>발주처 기본계획 지반조사 문제점 검토 | 기본계획 지반조사 검토서(설계, 공정, 기획)</t>
  </si>
  <si>
    <t>• 시추조사 위치, 수량 적정성 검토 • 지질이상 구간 상세 조사 여부 및 적정성 검토 확인 • 미시추 구간 지반 특성 적정성 검토확인 (측점 검토, 위치 및 물량검토) • 인근 사업 지반조사자료 비교 통해 당사 지...</t>
  </si>
  <si>
    <t>1) 기본계획 지반조사 R/O 검토 (설계, 공정, 기획) 적정성을 확인하였는가? 2) 기본계획 지반조사 검토서(설계, 공정, 기획) 산출물을 확보하였는가?</t>
  </si>
  <si>
    <t>9000-0-8</t>
  </si>
  <si>
    <t>D-165 ~ D-150</t>
  </si>
  <si>
    <t>기본계획 지반조사 R/O 종합검토 (원가)</t>
  </si>
  <si>
    <t>발주처 지반조사 문제점 R/O 분석</t>
  </si>
  <si>
    <t>• 발주처 기본계획 지반조사 R/O별 Cost effect 분석</t>
  </si>
  <si>
    <t>기본계획 지반조사 개략 검토서</t>
  </si>
  <si>
    <t>발주처 지반조사 문제점 R/O 분석 | 기본계획 지반조사 개략 검토서</t>
  </si>
  <si>
    <t>1) 기본계획 지반조사 R/O 종합검토 (원가) 적정성을 확인하였는가? 2) 기본계획 지반조사 개략 검토서 산출물을 확보하였는가?</t>
  </si>
  <si>
    <t>9000-0-9</t>
  </si>
  <si>
    <t>D-150 ~ D-135</t>
  </si>
  <si>
    <t>지반조사 업체 선정</t>
  </si>
  <si>
    <t>일반구매팀</t>
  </si>
  <si>
    <t>지반조사업체 Pool 내 최적의 업체 선정</t>
  </si>
  <si>
    <t>• 지반조사업체 Pool/실적 검토 및 공종별 적합성 정합 및 견적 본부 연계 검토</t>
  </si>
  <si>
    <t>지반조사 입찰 참여 Pool</t>
  </si>
  <si>
    <t>지반조사업체 Pool 내 최적의 업체 선정 | 지반조사 입찰 참여 Pool</t>
  </si>
  <si>
    <t>1) 지반조사 업체 선정 적정성을 확인하였는가? 2) 지반조사 입찰 참여 Pool 산출물을 확보하였는가?</t>
  </si>
  <si>
    <t>9000-0-10</t>
  </si>
  <si>
    <t>D-135 ~ D-120</t>
  </si>
  <si>
    <t>지반조사 업체 계약</t>
  </si>
  <si>
    <t>지반조사업체 용역 계약</t>
  </si>
  <si>
    <t>• 일반구매시스템을 이용한 용역계약</t>
  </si>
  <si>
    <t>지반조사 용역 계약서</t>
  </si>
  <si>
    <t>지반조사업체 용역 계약 | 지반조사 용역 계약서</t>
  </si>
  <si>
    <t>1) 지반조사 업체 계약 적정성을 확인하였는가? 2) 지반조사 용역 계약서 산출물을 확보하였는가?</t>
  </si>
  <si>
    <t>9000-0-11</t>
  </si>
  <si>
    <t>D-135 ~ D-115</t>
  </si>
  <si>
    <t>지반조사 항목, 수량 및 위치검토</t>
  </si>
  <si>
    <t>지반조사업체</t>
  </si>
  <si>
    <t>프로젝트 정합에 부합하는 지반조사 항목 사전조사 수행, 위치 선정</t>
  </si>
  <si>
    <t>• 현장답사 수행
• 공종별 실시설계에 준하여 수량 및 위치 검토</t>
  </si>
  <si>
    <t>지반조사 계획서</t>
  </si>
  <si>
    <t>프로젝트 정합에 부합하는 지반조사 항목 사전조사 수행, 위치 선정 | 지반조사 계획서</t>
  </si>
  <si>
    <t>• 현장답사 수행 • 공종별 실시설계에 준하여 수량 및 위치 검토</t>
  </si>
  <si>
    <t>1) 지반조사 항목, 수량 및 위치검토 적정성을 확인하였는가? 2) 지반조사 계획서 산출물을 확보하였는가?</t>
  </si>
  <si>
    <t>9000-0-12</t>
  </si>
  <si>
    <t>D-115 ~ D-105</t>
  </si>
  <si>
    <t>지반조사계획 적정성 심사의뢰</t>
  </si>
  <si>
    <t>외부지질전문가 3인 이상</t>
  </si>
  <si>
    <t>지반조사 항목, 수량 및 위치 적정성 검토</t>
  </si>
  <si>
    <t>• 지반조사 계획서 검토 및 검토</t>
  </si>
  <si>
    <t>지반조사계획 의견서</t>
  </si>
  <si>
    <t>지반조사 항목, 수량 및 위치 적정성 검토 | 지반조사계획 의견서</t>
  </si>
  <si>
    <t>1) 지반조사계획 적정성 심사의뢰 적정성을 확인하였는가? 2) 지반조사계획 의견서 산출물을 확보하였는가?</t>
  </si>
  <si>
    <t>9000-0-13</t>
  </si>
  <si>
    <t>D-135 ~ D-100</t>
  </si>
  <si>
    <t>지반조사 인허가</t>
  </si>
  <si>
    <t>지반조사 수행을 위한 인허가 승인</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</si>
  <si>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</si>
  <si>
    <t>인허가 서류</t>
  </si>
  <si>
    <t>지반조사 수행을 위한 인허가 승인 | 인허가 서류</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</si>
  <si>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t>
  </si>
  <si>
    <t>1) 지반조사 인허가 적정성을 확인하였는가? 2) 인허가 서류 산출물을 확보하였는가?</t>
  </si>
  <si>
    <t>9000-0-14</t>
  </si>
  <si>
    <t>D-105 ~ D-100</t>
  </si>
  <si>
    <t>지반조사 항목, 수량 및 위치 보완</t>
  </si>
  <si>
    <t>외부지질전문가 3인 이상, 지반조사업체</t>
  </si>
  <si>
    <t>외부지질전문가 의견을 반영한 지반조사 계획 확정</t>
  </si>
  <si>
    <t>• 외부지질전문가 지반조사 의견 검토
• 입찰설계 지반조사 계획 보완</t>
  </si>
  <si>
    <t>외부지질전문가 의견을 반영한 지반조사 계획 확정 | 지반조사 용역 계약서</t>
  </si>
  <si>
    <t>• 외부지질전문가 지반조사 의견 검토 • 입찰설계 지반조사 계획 보완</t>
  </si>
  <si>
    <t>1) 지반조사 항목, 수량 및 위치 보완 적정성을 확인하였는가? 2) 지반조사 용역 계약서 산출물을 확보하였는가?</t>
  </si>
  <si>
    <t>9000-0-15</t>
  </si>
  <si>
    <t>D-100 ~ D-50</t>
  </si>
  <si>
    <t>지반조사 수행</t>
  </si>
  <si>
    <t>과업구간 지반여건 상세 파악</t>
  </si>
  <si>
    <t>• 물리탐사 수행(전기 비저항, 탄성파탐사 등)
• 시추조사 및 현장 시험 수행(공내재하시험, 실내전단시험 등)
• 실내시험 수행(요동시험, 입도시험 등)</t>
  </si>
  <si>
    <t>지반조사 보고서, 시추 Core 및 샘플</t>
  </si>
  <si>
    <t>과업구간 지반여건 상세 파악 | 지반조사 보고서, 시추 Core 및 샘플</t>
  </si>
  <si>
    <t>• 물리탐사 수행(전기 비저항, 탄성파탐사 등) • 시추조사 및 현장 시험 수행(공내재하시험, 실내전단시험 등) • 실내시험 수행(요동시험, 입도시험 등)</t>
  </si>
  <si>
    <t>1) 지반조사 수행 적정성을 확인하였는가? 2) 지반조사 보고서, 시추 Core 및 샘플 산출물을 확보하였는가?</t>
  </si>
  <si>
    <t>9000-0-16</t>
  </si>
  <si>
    <t>D-50 ~ D-40</t>
  </si>
  <si>
    <t>지반조사 수렴 결과 분석</t>
  </si>
  <si>
    <t>포스코스마트엔지니어링팀, 지반조사업체</t>
  </si>
  <si>
    <t>지반조사 결과 오류 및 지반정수의 적합성 검토</t>
  </si>
  <si>
    <t>• 입찰설계 지반조사 보고서 검토
• 시추조사 위치 및 심도의 적정성 검토
• 실내시험 결과 등급 적정성 검토
• 실시설계시 추가지반조사 필요구간 검토</t>
  </si>
  <si>
    <t>지반조사 결과 분석 의견서</t>
  </si>
  <si>
    <t>지반조사 결과 오류 및 지반정수의 적합성 검토 | 지반조사 결과 분석 의견서</t>
  </si>
  <si>
    <t>• 입찰설계 지반조사 보고서 검토 • 시추조사 위치 및 심도의 적정성 검토 • 실내시험 결과 등급 적정성 검토 • 실시설계시 추가지반조사 필요구간 검토</t>
  </si>
  <si>
    <t>1) 지반조사 수렴 결과 분석 적정성을 확인하였는가? 2) 지반조사 결과 분석 의견서 산출물을 확보하였는가?</t>
  </si>
  <si>
    <t>9000-0-17</t>
  </si>
  <si>
    <t>D-40 ~ D-30</t>
  </si>
  <si>
    <t>입찰설계 지반조사 R/O 검토 (설계, 원가, 공정, 기타)</t>
  </si>
  <si>
    <t>토목견적팀(원가), 토목수행팀(공정), 토목사업지원팀(기획)</t>
  </si>
  <si>
    <t>입찰설계 지반조사 결과에 따른 직분야 R/O 및 Cost impact 반영 사항 검토</t>
  </si>
  <si>
    <t>• 입찰설계 지반조사 결과 분석을 통한 원가 및 공정 영향 검토
• 미시추 구간 평가 및 공정 Risk 반영 사항 검토
• 지반조건을 고려한 발파공법성 여부 검토</t>
  </si>
  <si>
    <t>입찰설계 지반조사 검토서(설계, 원가, 공정, 기타)</t>
  </si>
  <si>
    <t>입찰설계 지반조사 결과에 따른 직분야 R/O 및 Cost impact 반영 사항 검토 | 입찰설계 지반조사 검토서(설계, 원가, 공정, 기타)</t>
  </si>
  <si>
    <t>• 입찰설계 지반조사 결과 분석을 통한 원가 및 공정 영향 검토 • 미시추 구간 평가 및 공정 Risk 반영 사항 검토 • 지반조건을 고려한 발파공법성 여부 검토</t>
  </si>
  <si>
    <t>1) 입찰설계 지반조사 R/O 검토 (설계, 원가, 공정, 기타) 적정성을 확인하였는가? 2) 입찰설계 지반조사 검토서(설계, 원가, 공정, 기타) 산출물을 확보하였는가?</t>
  </si>
  <si>
    <t>9000-0-18</t>
  </si>
  <si>
    <t>지반조사 결과 R/O 종합검토</t>
  </si>
  <si>
    <t>원가 및 공정 검토 결과에 따른 입찰설계 R/O 최종 확정</t>
  </si>
  <si>
    <t>• 입찰설계 지반조사 R/O별 Cost effect 분석
• 유사사업 L/L 분석, R/P 검토를 통한 실시설계시 고려사항 검토</t>
  </si>
  <si>
    <t>입찰설계 R/O 검토서</t>
  </si>
  <si>
    <t>원가 및 공정 검토 결과에 따른 입찰설계 R/O 최종 확정 | 입찰설계 R/O 검토서</t>
  </si>
  <si>
    <t>• 입찰설계 지반조사 R/O별 Cost effect 분석 • 유사사업 L/L 분석, R/P 검토를 통한 실시설계시 고려사항 검토</t>
  </si>
  <si>
    <t>1) 지반조사 결과 R/O 종합검토 적정성을 확인하였는가? 2) 입찰설계 R/O 검토서 산출물을 확보하였는가?</t>
  </si>
  <si>
    <t>9000-0-19</t>
  </si>
  <si>
    <t>D-30 ~ D-20</t>
  </si>
  <si>
    <t>REM 수립</t>
  </si>
  <si>
    <t>토목견적팀, 토목사업지원팀</t>
  </si>
  <si>
    <t>REM 차트 작성(회사의 Core Risk, T/C 공정검토 결과, 경쟁사 동향, 발주 경향) 및 보고</t>
  </si>
  <si>
    <t>• Risk Profiling/Merge 방안 검토
• 공정 착공성 검토 및 T/C 검토
• 설계차별화 및 Idea Frame 검토</t>
  </si>
  <si>
    <t>REM 회의록</t>
  </si>
  <si>
    <t>REM 차트 작성(회사의 Core Risk, T/C 공정검토 결과, 경쟁사 동향, 발주 경향) 및 보고 | REM 회의록</t>
  </si>
  <si>
    <t>• Risk Profiling/Merge 방안 검토 • 공정 착공성 검토 및 T/C 검토 • 설계차별화 및 Idea Frame 검토</t>
  </si>
  <si>
    <t>1) REM 수립 적정성을 확인하였는가? 2) REM 회의록 산출물을 확보하였는가?</t>
  </si>
  <si>
    <t>9000-0-20</t>
  </si>
  <si>
    <t>D-30 ~ D-15</t>
  </si>
  <si>
    <t>추가지반조사 계획 수립</t>
  </si>
  <si>
    <t>R/O 분석 결과에 기반한 추가지반조사 항목 도출</t>
  </si>
  <si>
    <t>• 지반조사 수렴 결과 분석보고서 검토
• 지반조사 결과 R/O 종합검토 결과 검토</t>
  </si>
  <si>
    <t>추가지반조사 List</t>
  </si>
  <si>
    <t>R/O 분석 결과에 기반한 추가지반조사 항목 도출 | 추가지반조사 List</t>
  </si>
  <si>
    <t>• 지반조사 수렴 결과 분석보고서 검토 • 지반조사 결과 R/O 종합검토 결과 검토</t>
  </si>
  <si>
    <t>1) 추가지반조사 계획 수립 적정성을 확인하였는가? 2) 추가지반조사 List 산출물을 확보하였는가?</t>
  </si>
  <si>
    <t>9000-0-21</t>
  </si>
  <si>
    <t>D-15 ~ D-7</t>
  </si>
  <si>
    <t>3D GPR탐사 장비 사양(차량형) 검토</t>
  </si>
  <si>
    <t>현장 공무팀</t>
  </si>
  <si>
    <t>현장 공사팀</t>
  </si>
  <si>
    <t>적정 추가지반조사 규명을 위한 장비 사양 검토</t>
  </si>
  <si>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</si>
  <si>
    <t>적정 추가지반조사 규명을 위한 장비 사양 검토 | -</t>
  </si>
  <si>
    <t>• 3D GPR탐사 장비 사양(차량형) - 3D Radar(노르웨이)_200~3000Hz, 2.0m~3.0m : 하상도 높음 - MIRA(스웨덴)_400~1300Hz, 1.0m~2.0m : 정밀한 입체 형상 - St...</t>
  </si>
  <si>
    <t>1) 3D GPR탐사 장비 사양(차량형) 검토 적정성을 확인하였는가? 2) - 산출물을 확보하였는가?</t>
  </si>
  <si>
    <t>9000-0-22</t>
  </si>
  <si>
    <t>ECRM 수립</t>
  </si>
  <si>
    <t>토목견적팀(원가)</t>
  </si>
  <si>
    <t>포스코스마트엔지니어링팀, 토목수행팀, 토목사업지원팀</t>
  </si>
  <si>
    <t>1) ECRM 수립 적정성을 확인하였는가? 2) 입찰설계 지반조사 검토서(설계, 원가, 공정, 기타) 산출물을 확보하였는가?</t>
  </si>
  <si>
    <t>9000-0-23</t>
  </si>
  <si>
    <t>D-7 ~ D-0</t>
  </si>
  <si>
    <t>최종 Cost 검토 / 입찰</t>
  </si>
  <si>
    <t>입찰</t>
  </si>
  <si>
    <t>• 최종 R/O를 반영한 투찰내역서 작성</t>
  </si>
  <si>
    <t>투찰내역서</t>
  </si>
  <si>
    <t>입찰 | 투찰내역서</t>
  </si>
  <si>
    <t>1) 최종 Cost 검토 / 입찰 적정성을 확인하였는가? 2) 투찰내역서 산출물을 확보하였는가?</t>
  </si>
  <si>
    <t>9000-0-24</t>
  </si>
  <si>
    <t>D+0 ~ D+30</t>
  </si>
  <si>
    <t>입찰설계 현장 인수인계</t>
  </si>
  <si>
    <t>현장소장</t>
  </si>
  <si>
    <t>토목수행팀</t>
  </si>
  <si>
    <t>지반조사 포함 전체 R/O 승계자료 인수인계 및 추가지반조사 계획 공유</t>
  </si>
  <si>
    <t>• 최종 R/O 결과 및 입찰도서 인출</t>
  </si>
  <si>
    <t>인수인계서</t>
  </si>
  <si>
    <t>지반조사 포함 전체 R/O 승계자료 인수인계 및 추가지반조사 계획 공유 | 인수인계서</t>
  </si>
  <si>
    <t>1) 입찰설계 현장 인수인계 적정성을 확인하였는가? 2) 인수인계서 산출물을 확보하였는가?</t>
  </si>
  <si>
    <t>9000-0-25</t>
  </si>
  <si>
    <t>D+30 ~ D+100</t>
  </si>
  <si>
    <t>추가지반조사 수행</t>
  </si>
  <si>
    <t>현장 공사팀/공무팀, 포스코스마트엔지니어링팀, 토목수행팀</t>
  </si>
  <si>
    <t>미시추구간 지반조사 수행을 통한 지반 Risk Hedge</t>
  </si>
  <si>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</si>
  <si>
    <t>추가 지반조사 보고서</t>
  </si>
  <si>
    <t>미시추구간 지반조사 수행을 통한 지반 Risk Hedge | 추가 지반조사 보고서</t>
  </si>
  <si>
    <t>• 추가 지반조사 계획 및 시점 확인 - 탄성파탐사/전기비저항탐사 등 물리탐사 추가조사 (현장 및 위치 확인) - 추가시추조사 수행(물리탐사, 시추조사) - 토질 및 암석 실내시험 수행 및 결과분석 확인 - 공종별 ...</t>
  </si>
  <si>
    <t>1) 추가지반조사 수행 적정성을 확인하였는가? 2) 추가 지반조사 보고서 산출물을 확보하였는가?</t>
  </si>
  <si>
    <t>9000-0-26</t>
  </si>
  <si>
    <t>D+100 ~ D+110</t>
  </si>
  <si>
    <t>추가지반조사 결과 분석</t>
  </si>
  <si>
    <t>추가지반조사 결과에 기반한 최종 R/O 확정</t>
  </si>
  <si>
    <t>• 외부전문가 검토 통한 지반특성 최종 Cross-check 확인
• 입찰설계 지반조사 대비 지반특성 변경구간 제원도 확인</t>
  </si>
  <si>
    <t>추가 지반조사결과 종합보고서</t>
  </si>
  <si>
    <t>추가지반조사 결과에 기반한 최종 R/O 확정 | 추가 지반조사결과 종합보고서</t>
  </si>
  <si>
    <t>• 외부전문가 검토 통한 지반특성 최종 Cross-check 확인 • 입찰설계 지반조사 대비 지반특성 변경구간 제원도 확인</t>
  </si>
  <si>
    <t>1) 추가지반조사 결과 분석 적정성을 확인하였는가? 2) 추가 지반조사결과 종합보고서 산출물을 확보하였는가?</t>
  </si>
  <si>
    <t>9000-0-27</t>
  </si>
  <si>
    <t>D+110 ~ D+120</t>
  </si>
  <si>
    <t>실시설계 지반조사 R/O 검토 (설계, 원가, 공정, 기타)</t>
  </si>
  <si>
    <t>현장 공사팀/품질팀/공무팀, 토목견적팀(원가), 토목수행팀(공정), 토목사업지원팀(기획)</t>
  </si>
  <si>
    <t>실시설계 지반조사 결과에 따른 직분야 R/O 및 Cost impact 반영 사항 검토</t>
  </si>
  <si>
    <t>• 실시설계 추가지반조사 결과 분석을 통한 원가 및 공정 영향 검토
• 미시추 구간 평가 및 공정 Risk 반영 사항 검토
• 지반조건을 고려한 발파공법성 검토</t>
  </si>
  <si>
    <t>실시설계 지반조사 검토서(설계, 원가, 공정, 기타)</t>
  </si>
  <si>
    <t>실시설계 지반조사 결과에 따른 직분야 R/O 및 Cost impact 반영 사항 검토 | 실시설계 지반조사 검토서(설계, 원가, 공정, 기타)</t>
  </si>
  <si>
    <t>• 실시설계 추가지반조사 결과 분석을 통한 원가 및 공정 영향 검토 • 미시추 구간 평가 및 공정 Risk 반영 사항 검토 • 지반조건을 고려한 발파공법성 검토</t>
  </si>
  <si>
    <t>1) 실시설계 지반조사 R/O 검토 (설계, 원가, 공정, 기타) 적정성을 확인하였는가? 2) 실시설계 지반조사 검토서(설계, 원가, 공정, 기타) 산출물을 확보하였는가?</t>
  </si>
  <si>
    <t>9000-0-28</t>
  </si>
  <si>
    <t>실시설계 추가지반조사 결과 검토</t>
  </si>
  <si>
    <t>• 추가지반조사 결과 검토</t>
  </si>
  <si>
    <t>실시설계 최종 R/O</t>
  </si>
  <si>
    <t>추가지반조사 결과에 기반한 최종 R/O 확정 | 실시설계 최종 R/O</t>
  </si>
  <si>
    <t>1) 실시설계 추가지반조사 결과 검토 적정성을 확인하였는가? 2) 실시설계 최종 R/O 산출물을 확보하였는가?</t>
  </si>
  <si>
    <t>9000-0-29</t>
  </si>
  <si>
    <t>D+120 ~ D+150</t>
  </si>
  <si>
    <t>최종 R/O 이행방안 수립</t>
  </si>
  <si>
    <t>최종 지반조사 결과에 따른 R/O 이행방안 수립</t>
  </si>
  <si>
    <t>• Core Risk 및 Hedge 방안 수립
• Opportunity에 따른 본공 상가 추가 개선 방안 수립</t>
  </si>
  <si>
    <t>최종 R/O 이행계획서</t>
  </si>
  <si>
    <t>최종 지반조사 결과에 따른 R/O 이행방안 수립 | 최종 R/O 이행계획서</t>
  </si>
  <si>
    <t>• Core Risk 및 Hedge 방안 수립 • Opportunity에 따른 본공 상가 추가 개선 방안 수립</t>
  </si>
  <si>
    <t>1) 최종 R/O 이행방안 수립 적정성을 확인하였는가? 2) 최종 R/O 이행계획서 산출물을 확보하였는가?</t>
  </si>
  <si>
    <t>9000-0-30</t>
  </si>
  <si>
    <t>- ~ -</t>
  </si>
  <si>
    <t>외부지질전문가 업무평가</t>
  </si>
  <si>
    <t>현장 공사팀/공무팀</t>
  </si>
  <si>
    <t>참여인력 전문성 평가 및 특이사항 기록</t>
  </si>
  <si>
    <t>• 외부지질 전문가 업무평가서 작성</t>
  </si>
  <si>
    <t>외부지질 전문가 업무평가서</t>
  </si>
  <si>
    <t>참여인력 전문성 평가 및 특이사항 기록 | 외부지질 전문가 업무평가서</t>
  </si>
  <si>
    <t>1) 외부지질전문가 업무평가 적정성을 확인하였는가? 2) 외부지질 전문가 업무평가서 산출물을 확보하였는가?</t>
  </si>
  <si>
    <t>9000-0-31</t>
  </si>
  <si>
    <t>조사업체 PM 업무평가</t>
  </si>
  <si>
    <t>조사업체 PM 전문성 평가 및 특이사항 기록</t>
  </si>
  <si>
    <t>• 지반조사 PM 업무평가서 작성</t>
  </si>
  <si>
    <t>PM업무평가서</t>
  </si>
  <si>
    <t>조사업체 PM 전문성 평가 및 특이사항 기록 | PM업무평가서</t>
  </si>
  <si>
    <t>1) 조사업체 PM 업무평가 적정성을 확인하였는가? 2) PM업무평가서 산출물을 확보하였는가?</t>
  </si>
  <si>
    <t>9000-0-32</t>
  </si>
  <si>
    <t>지반조사업체 업무평가</t>
  </si>
  <si>
    <t>조사업체 업무평가 및 특이사항 기록</t>
  </si>
  <si>
    <t>• 협력업체 업무평가서</t>
  </si>
  <si>
    <t>협력업체 업무평가서</t>
  </si>
  <si>
    <t>조사업체 업무평가 및 특이사항 기록 | 협력업체 업무평가서</t>
  </si>
  <si>
    <t>1) 지반조사업체 업무평가 적정성을 확인하였는가? 2) 협력업체 업무평가서 산출물을 확보하였는가?</t>
  </si>
  <si>
    <t>9000-0-33</t>
  </si>
  <si>
    <t>설계변경 LL 리포트 작성</t>
  </si>
  <si>
    <t>설계변경 사항 기록</t>
  </si>
  <si>
    <t>• 설계변경 사유 기록관리
• 예상 R/O대비 설계변경 사항 비교 검토</t>
  </si>
  <si>
    <t>LL리포트</t>
  </si>
  <si>
    <t>설계변경 사항 기록 | LL리포트</t>
  </si>
  <si>
    <t>• 설계변경 사유 기록관리 • 예상 R/O대비 설계변경 사항 비교 검토</t>
  </si>
  <si>
    <t>1) 설계변경 LL 리포트 작성 적정성을 확인하였는가? 2) LL리포트 산출물을 확보하였는가?</t>
  </si>
  <si>
    <t>9000-0-34</t>
  </si>
  <si>
    <t>설계변경 LL 리포트 관리</t>
  </si>
  <si>
    <t>전체 현장 설계변경 사항 기록</t>
  </si>
  <si>
    <t>• 현장별 설계변경 LL 리포트 취합 관리</t>
  </si>
  <si>
    <t>LL리포트 List</t>
  </si>
  <si>
    <t>전체 현장 설계변경 사항 기록 | LL리포트 List</t>
  </si>
  <si>
    <t>1) 설계변경 LL 리포트 관리 적정성을 확인하였는가? 2) LL리포트 List 산출물을 확보하였는가?</t>
  </si>
  <si>
    <t>9000-0-35</t>
  </si>
  <si>
    <t>지반조사업체 정산계약</t>
  </si>
  <si>
    <t>지반조사업체 정산</t>
  </si>
  <si>
    <t>• 조사도 수량 Check 후 구매시스템 변경계약 수행
• 변경계약 후 정산금 집행</t>
  </si>
  <si>
    <t>정산계약서</t>
  </si>
  <si>
    <t>지반조사업체 정산 | 정산계약서</t>
  </si>
  <si>
    <t>• 조사도 수량 Check 후 구매시스템 변경계약 수행 • 변경계약 후 정산금 집행</t>
  </si>
  <si>
    <t>1) 지반조사업체 정산계약 적정성을 확인하였는가? 2) 정산계약서 산출물을 확보하였는가?</t>
  </si>
  <si>
    <t>9000-0-36</t>
  </si>
  <si>
    <t>매뉴얼 Update</t>
  </si>
  <si>
    <t>혁신실장</t>
  </si>
  <si>
    <t>지반조사 매뉴얼 Update</t>
  </si>
  <si>
    <t>• 매뉴얼 Update 및 개정사항 사내공지</t>
  </si>
  <si>
    <t>지반조사 매뉴얼</t>
  </si>
  <si>
    <t>지반조사 매뉴얼 Update | 지반조사 매뉴얼</t>
  </si>
  <si>
    <t>1) 매뉴얼 Update 적정성을 확인하였는가? 2) 지반조사 매뉴얼 산출물을 확보하였는가?</t>
  </si>
  <si>
    <t>■ 매뉴얼_공통_사전준비_지반조사(기술형)</t>
  </si>
  <si>
    <t>No.</t>
  </si>
  <si>
    <t>Process</t>
  </si>
  <si>
    <t>시점(When)</t>
  </si>
  <si>
    <t>목적(Why)</t>
  </si>
  <si>
    <t>Activity
방법(How)</t>
  </si>
  <si>
    <t>주관부서(Who)</t>
  </si>
  <si>
    <t>산출물(What)</t>
  </si>
  <si>
    <t>Start</t>
  </si>
  <si>
    <t>Finish</t>
  </si>
  <si>
    <t>공통_사전준비_지반조사(기술형)</t>
  </si>
  <si>
    <t>1</t>
  </si>
  <si>
    <t>2</t>
  </si>
  <si>
    <t>3</t>
  </si>
  <si>
    <t>D-210</t>
  </si>
  <si>
    <t>D-180</t>
  </si>
  <si>
    <t>D-165</t>
  </si>
  <si>
    <t>4</t>
  </si>
  <si>
    <t>D-150</t>
  </si>
  <si>
    <t>5</t>
  </si>
  <si>
    <t>D-135</t>
  </si>
  <si>
    <t>D-120</t>
  </si>
  <si>
    <t>6</t>
  </si>
  <si>
    <t>D-115</t>
  </si>
  <si>
    <t>7</t>
  </si>
  <si>
    <t>D-105</t>
  </si>
  <si>
    <t>D-100</t>
  </si>
  <si>
    <t>8</t>
  </si>
  <si>
    <t>D-50</t>
  </si>
  <si>
    <t>9</t>
  </si>
  <si>
    <t>D-40</t>
  </si>
  <si>
    <t>D-30</t>
  </si>
  <si>
    <t>10</t>
  </si>
  <si>
    <t>D-20</t>
  </si>
  <si>
    <t>11</t>
  </si>
  <si>
    <t>D-15</t>
  </si>
  <si>
    <t>D-7</t>
  </si>
  <si>
    <t>D-0</t>
  </si>
  <si>
    <t>12</t>
  </si>
  <si>
    <t>D+0</t>
  </si>
  <si>
    <t>D+30</t>
  </si>
  <si>
    <t>13</t>
  </si>
  <si>
    <t>D+100</t>
  </si>
  <si>
    <t>14</t>
  </si>
  <si>
    <t>D+110</t>
  </si>
  <si>
    <t>D+120</t>
  </si>
  <si>
    <t>15</t>
  </si>
  <si>
    <t>16</t>
  </si>
  <si>
    <t>D+150</t>
  </si>
  <si>
    <t>17</t>
  </si>
  <si>
    <t>18</t>
  </si>
  <si>
    <t>19</t>
  </si>
  <si>
    <t>20</t>
  </si>
  <si>
    <t>선행</t>
  </si>
  <si>
    <t>후행</t>
  </si>
  <si>
    <t>참석</t>
  </si>
  <si>
    <t>비고</t>
  </si>
  <si>
    <t>첨부서류 연계 상세 설계기준</t>
  </si>
  <si>
    <t>집행단계 리스크 체크리스트</t>
  </si>
  <si>
    <t>협력사 시공/공사관리 자문</t>
  </si>
  <si>
    <t>D-90 (D-120~D-90)</t>
  </si>
  <si>
    <t>Site Survey</t>
  </si>
  <si>
    <t>KDS 47 10 00 철도지반 설계기준 | 현장 가설 둔차선, 용지 경계 및 원지반 고저차 3D 레벨 현측 | 토공사 사전 현장 조사 보고서</t>
  </si>
  <si>
    <t>1) 현장 가설 도로 및 용지 경계 현측 ➔ 2) 광학 레벨 원지반 고저차 측정 ➔ 3) 진입 도로 장애 요소 매핑 ➔ 4) 현장 조사 보고서 감리 제출</t>
  </si>
  <si>
    <t>가설 도로 폭/구배 현측, 원지반 고저차 레벨 측량 및 3D BIM 도면 오차 점검 (현장 조사 보고서)</t>
  </si>
  <si>
    <t>👉 [클릭] 표준서 열기 📄</t>
  </si>
  <si>
    <t>👉 [클릭] 수행지침 열기 📄</t>
  </si>
  <si>
    <t>👉 [클릭] 체크리스트 열기 📄</t>
  </si>
  <si>
    <t>● 설계도면 및 지적 경계 기준 준수</t>
  </si>
  <si>
    <t>1) 👉 [더블클릭] 체크리스트 열기 📄</t>
  </si>
  <si>
    <t>9000-5-2</t>
  </si>
  <si>
    <t>D-80 (D-120~D-80)</t>
  </si>
  <si>
    <t>발주전략 KOM</t>
  </si>
  <si>
    <t>KCS 47 10 25 시방 검토 | 사전 토공 토사/암석 깎기 및 성토 시방 규정 | 발주처·감리·시공 3자 킥오프 결재</t>
  </si>
  <si>
    <t>1) 사전 토공 시방 요구조건 분석 ➔ 2) 3D BIM 도면 깎기/성토 수량 검증 ➔ 3) 토공 리스크 예비비 수립 ➔ 4) 발주·감리·시공 3자 킥오프 결재</t>
  </si>
  <si>
    <t>KCS 47 10 25 사전 토공 시방 검토, 토사/암석 깎기 수량 산출 및 3D BIM 간섭 zero (3자 킥오프 결재)</t>
  </si>
  <si>
    <t>● 본사외주부서, 수행부서, 토목국내견적팀, 컴플라이언스RM팀, 토목사업지원팀 협의</t>
  </si>
  <si>
    <t>9000-5-3</t>
  </si>
  <si>
    <t>D-60 (D-70~D-60)</t>
  </si>
  <si>
    <t>Site Survey Risk 검토</t>
  </si>
  <si>
    <t>토목국내견적팀</t>
  </si>
  <si>
    <t>지하안전법 제23조 | 현장 지장물, 연약 지반 층후 및 사면 붕괴 위험 요소 추출 | 사전 토공 리스크 대책 승인</t>
  </si>
  <si>
    <t>1) 지하 매설 지장물 &amp; 연약지반 현출 ➔ 2) 사면 붕괴 위험 구간 추출 ➔ 3) 흙막이 가설재 보강 수립 ➔ 4) 토공 리스크 대책서 감리 승인</t>
  </si>
  <si>
    <t>지중 매설물 탐사, 연약 지반 층후 분석 및 사면 붕괴 위험 구간 흙막이 가설재 보강 수립</t>
  </si>
  <si>
    <t>● 실행예산 검토 및 공사 수행 리스크 분석</t>
  </si>
  <si>
    <t>9000-5-4</t>
  </si>
  <si>
    <t>D-50 (D-60~D-50)</t>
  </si>
  <si>
    <t>최고의 팀 만들기 지원</t>
  </si>
  <si>
    <t>외주관리팀</t>
  </si>
  <si>
    <t>건산법 상생협력 수칙 | 토공 전문 기술자 1:1 전담 배치 &amp; 3자 주간 소통 회의 | 일일 Safety TBM 100% 이행</t>
  </si>
  <si>
    <t>1) 토공 전담 기술자 1:1 배치 ➔ 2) 3자 주간 소통 회의 개최 ➔ 3) 근로자 복지 지원 &amp; Safety TBM ➔ 4) One-Team 조직표 감리 서면 승인</t>
  </si>
  <si>
    <t>토공 전담 기술자 1:1 현장 배치, 발주·감리·시공 3자 주간 소통 회의 및 일일 Safety TBM/음주 측정</t>
  </si>
  <si>
    <t>● 외주관리 협력업체 평가 및 선정 기준</t>
  </si>
  <si>
    <t>9000-5-5</t>
  </si>
  <si>
    <t>D-60 (D-80~D-60)</t>
  </si>
  <si>
    <t>공사중 교통처리계획</t>
  </si>
  <si>
    <t>도로교통법 제69조 | 동탄경찰서 교통안전 심의 및 우회 차선 설계 | 전담 신호수(2인 2조) &amp; LED 경광등 배치</t>
  </si>
  <si>
    <t>1) 교통 우회 차선 &amp; 둔차선 도면 설계 ➔ 2) 동탄경찰서 도로점용 허가 ➔ 3) 전담 신호수(2인 2조) 배치 ➔ 4) 교통소통 대책서 감리 서면 승인</t>
  </si>
  <si>
    <t>동탄경찰서 도로점용 허가, 가설 우회 차선 설계 및 전담 안전 신호수(2인 2조)/LED 경광등 배치</t>
  </si>
  <si>
    <t>● 도로교통법 및 관할 지자체 교통 지침 준수</t>
  </si>
  <si>
    <t>9000-5-6</t>
  </si>
  <si>
    <t>D-65 (D-65~D-55)</t>
  </si>
  <si>
    <t>자재발주 요청</t>
  </si>
  <si>
    <t>KCS 47 10 25 자재 시방 | 굴착 장비, 가설 펜스 및 배수관 자재 발주 승인 | 공인시험기관 성적표 수속</t>
  </si>
  <si>
    <t>1) 굴착 장비 및 가설 펜스 자재 선정 ➔ 2) 공인시험기관 시험성적서 검수 ➔ 3) 자재 발주 신청서 제출 ➔ 4) 자재 반입 검수 통보서 결재</t>
  </si>
  <si>
    <t>KCS 47 10 25 굴착 장비/가설재 자재 승인, 공인시험기관 시험성적서 검수 및 자재 반입 통보</t>
  </si>
  <si>
    <t>9000-5-7</t>
  </si>
  <si>
    <t>D-40 (D-60~D-40)</t>
  </si>
  <si>
    <t>용지 사용 Risk 검토</t>
  </si>
  <si>
    <t>토목계약관리팀</t>
  </si>
  <si>
    <t>토지보상법 준수 | 미보상 사유지 경계 현출 및 가설 펜스(H=1.8m) 차단 | 3D 우회 토공 동선 마일스톤 연동</t>
  </si>
  <si>
    <t>1) 미보상 사유지 경계 현출 ➔ 2) 가설 펜스(H=1.8m) 차단 ➔ 3) 3D 우회 토공 동선 수립 ➔ 4) 용지 보상 리스크 대책 감리 승인</t>
  </si>
  <si>
    <t>미보상 사유지 경계 현출, 가설 펜스(H=1.8m) 차단 및 3D 우회 토공 동선 마일스톤 연동</t>
  </si>
  <si>
    <t>● 계약 리스크 방지 및 현장 부지 확보 요건 검토</t>
  </si>
  <si>
    <t>9000-5-8</t>
  </si>
  <si>
    <t>착수전 Big Room 회의</t>
  </si>
  <si>
    <t>현장 통합 관리 지침 | 발주처·감리·지자체·시공사 4자 빅룸 회의 | 사전 토공 마일스톤 서명 결재</t>
  </si>
  <si>
    <t>1) 4자(발주·감리·지자체·시공) 빅룸 결성 ➔ 2) 사전 토공 마일스톤 연동 ➔ 3) 간섭 리스크 즉시 해소 ➔ 4) 빅룸 회의록 4자 서명 완수</t>
  </si>
  <si>
    <t>4자(발주·감리·지자체·시공) 빅룸 회의 결성, 사전 토공 마일스톤 연동 및 간섭 리스크 서명</t>
  </si>
  <si>
    <t>● 본사 유관부서(견적/엔지니어링/공정/품질/안전) 조율</t>
  </si>
  <si>
    <t>9000-5-9</t>
  </si>
  <si>
    <t>인허가 절차 진행</t>
  </si>
  <si>
    <t>도로법 및 환경영향평가법 | 지자체 도로점용 허가 및 비산먼지 발생신고 수속 | 법정 인허가 필증 수속</t>
  </si>
  <si>
    <t>1) 지자체 도로/하천점용 허가서 작성 ➔ 2) 관련 부서 서류 제출 &amp; 심의 ➔ 3) 보증보험 증권 부착 ➔ 4) 법정 인허가 필증 감리 수속</t>
  </si>
  <si>
    <t>지자체 도로/하천점용 허가서 접수, 비산먼지 발생사업 신고 필증 수속 및 보증보험 제출</t>
  </si>
  <si>
    <t>● 관련 인허가 법령 검토</t>
  </si>
  <si>
    <t>9000-5-10</t>
  </si>
  <si>
    <t>교통처리대책 협의 및 승인</t>
  </si>
  <si>
    <t>도로교통법 안전 수칙 | 경찰서 차선 점용 허가 및 가설 둔차선 도로 복구 이행 보증보험 | 교통대책 감리 승인</t>
  </si>
  <si>
    <t>1) 경찰서 차선 점용 허가증 수령 ➔ 2) 도로 복구 보증보험 증권 제출 ➔ 3) 전담 신호수 &amp; LED 경광등 배치 ➔ 4) 교통대책서 감리 서면 승인</t>
  </si>
  <si>
    <t>동탄경찰서 차선 점용 허가, 도로 복구 이행 보증보험 제출 및 전담 신호수(2인 2조) 100% 배치</t>
  </si>
  <si>
    <t>● 사토/토취장 인허가 요건 준수</t>
  </si>
  <si>
    <t>9000-5-11</t>
  </si>
  <si>
    <t>지장물 검토 및 협의</t>
  </si>
  <si>
    <t>현장 공무팀/공사팀</t>
  </si>
  <si>
    <t>지하안전관리에 관한 특별법 | GPR 3D 관로 탐사 &amp; 인력 시탐 줄파기(깊이 1.5m) | 점용기관 현장 입회 이설 방호</t>
  </si>
  <si>
    <t>1) GPR 3D 지중 관로 탐사 ➔ 2) 인력 시탐 줄파기(깊이 1.5m) ➔ 3) 관할 점용기관 1:1 현장 입회 ➔ 4) 매달기 방호 &amp; 지장물 서면 승인</t>
  </si>
  <si>
    <t>GPR 3D 관로 탐사, 인력 시탐 줄파기(폭 0.5m, 깊이 1.5m) 및 점용기관 1:1 현장 입회 매달기 방호</t>
  </si>
  <si>
    <t>● 도로점용 및 지장물 이설 규정 준수</t>
  </si>
  <si>
    <t>9000-5-12</t>
  </si>
  <si>
    <t>기공승낙 적정성 검토</t>
  </si>
  <si>
    <t>국유재산법 및 공유재산법 | 토지 기공승낙서 인허가 확인 및 진입로 점용 범위 실측 | 토지 사용 승인서 결재</t>
  </si>
  <si>
    <t>1) 국유지/공유지 기공승낙서 수속 ➔ 2) 진입 도로 점용 범위 실측 ➔ 3) 토지 소유주 사용 협의 ➔ 4) 기공승낙서 감리 서면 승인</t>
  </si>
  <si>
    <t>국유지/공유지 기공승낙서 인허가 검증, 진입 도로 점용 범위 실측 및 토지 사용 승인서 결재</t>
  </si>
  <si>
    <t>● 용지 취득 및 기공승낙 법적 검토</t>
  </si>
  <si>
    <t>9000-5-13</t>
  </si>
  <si>
    <t>민원 저감 대책 수립</t>
  </si>
  <si>
    <t>현장 안전팀/공무팀</t>
  </si>
  <si>
    <t>소음진동관리법 준수 | 야간 공사 소음 방음벽(H=3m) 및 세륜기(깊이 1.2m) 가동 | 단수/단전 주민 사전 안내</t>
  </si>
  <si>
    <t>1) 야간 공사 소음 방음벽(H=3m) 설치 ➔ 2) 세륜기 가동 &amp; 분무 살수 ➔ 3) 단수/단전 사전 주민 공지 ➔ 4) 민원 대응반 서면 승인</t>
  </si>
  <si>
    <t>야간 공사 소음 방음벽(H=3m) 가동, 세륜기(깊이 1.2m) 가동 및 단수/단전 주민 사전 고지</t>
  </si>
  <si>
    <t>● 민원 관리 지침 준수</t>
  </si>
  <si>
    <t>9000-5-14</t>
  </si>
  <si>
    <t>용지보상 Risk 파악</t>
  </si>
  <si>
    <t>토지보상법 준수 | 지장물 이설 부지 용지보상 현황 및 점용 경계 실측 | 미보상 사유지 가설 펜스 차단</t>
  </si>
  <si>
    <t>1) 미보상 필지 현출 &amp; 지적 대조 ➔ 2) 가설 펜스(H=1.8m) 차단 ➔ 3) 우회 토공 동선 수립 ➔ 4) 용지 보상 대책서 감리 승인</t>
  </si>
  <si>
    <t>미보상 필지 지적 대조, 경계 가설 펜스(H=1.8m) 차단 및 우회 토공 동선 서면 승인</t>
  </si>
  <si>
    <t>● 토지보상법 및 공정 영향 분석</t>
  </si>
  <si>
    <t>9000-5-15</t>
  </si>
  <si>
    <t>시공계획서 검토 지원</t>
  </si>
  <si>
    <t>토목품질팀</t>
  </si>
  <si>
    <t>건진법 시행령 제89조 | 사전 토공 시공계획서 표준 8대 목차 검토 | 착공 14일 전 감리 서면 승인</t>
  </si>
  <si>
    <t>1) 사전 토공 시공계획서 작성 ➔ 2) 8대 목차 &amp; KCS 수치 명시 ➔ 3) 착공 14일 전 감리단 제출 ➔ 4) 시공계획서 감리 서면 승인</t>
  </si>
  <si>
    <t>사전 토공 시공계획서 표준 8대 목차, KCS 수치 수록 및 착공 14일 전 감리 서면 승인</t>
  </si>
  <si>
    <t>● 품질경영 매뉴얼 기준</t>
  </si>
  <si>
    <t>9000-5-16</t>
  </si>
  <si>
    <t>시공계획 수립</t>
  </si>
  <si>
    <t>KCS 47 10 25 토공 시방 | 깎기/성토 토공 유동표 작성 및 3D BIM 도면 대조 | 책임감리원 최종 승인</t>
  </si>
  <si>
    <t>1) 토공 깎기/성토 유동표 작성 ➔ 2) 3D BIM 모델 표고 대조 ➔ 3) 사면 안성성 계산서 부착 ➔ 4) 토공 시공계획서 감리 최종 결재</t>
  </si>
  <si>
    <t>토공 깎기/성토 유동표 작성, 3D BIM 모델 표고 대조 및 사면 안전성 계산서 감리 결재</t>
  </si>
  <si>
    <t>● 토공사 표준시방서 준수</t>
  </si>
  <si>
    <t>9000-5-17</t>
  </si>
  <si>
    <t>후행공종 요구조건 반영 설계변경 검토</t>
  </si>
  <si>
    <t>건진법 설계변경 수칙 | 궤도/구조물 후행 공종 요구 표고 오차(±10mm) 반영 | 설계변경 실정보고서 작성</t>
  </si>
  <si>
    <t>1) 궤도/구조물 후행 요구 조건 수집 ➔ 2) 마무리면 표고 오차(±10mm) 반영 ➔ 3) 설계변경 실정보고서 작성 ➔ 4) 책임감리원 기술 승인</t>
  </si>
  <si>
    <t>궤도/구조물 후행 요구 조건 반영, 마무리면 표고 오차(±10mm) 반영 및 설계변경 실정보고</t>
  </si>
  <si>
    <t>● 인터페이스 조건 만족</t>
  </si>
  <si>
    <t>9000-5-18</t>
  </si>
  <si>
    <t>설계변경 (착수전)</t>
  </si>
  <si>
    <t>지방계약법 정산 수칙 | 착수 전 토종 변경 및 수량 증감 실정보고 작성 | 총사업비 변경 승인 수속</t>
  </si>
  <si>
    <t>1) 토질 변경 &amp; 수량 증감 실정보고 작성 ➔ 2) 단가 비교표 작성 ➔ 3) 설계변경 도서 제출 ➔ 4) 총사업비 변경 승인 결재</t>
  </si>
  <si>
    <t>토질 변경 &amp; 수량 증감 실정보고서 작성, 단가 비교표 작성 및 총사업비 변경 승인 결재</t>
  </si>
  <si>
    <t>● 설계변경 절차 규정 준수</t>
  </si>
  <si>
    <t>9000-5-19</t>
  </si>
  <si>
    <t>설계변경 지원</t>
  </si>
  <si>
    <t>건진법 설계변경 규정 | 수량 산출서 및 단가 비교표 작성 | 책임감리원 기술 검토 의견서 첨부</t>
  </si>
  <si>
    <t>1) 변경 수량 산출서 정밀 집계 ➔ 2) 신규 단가 산정 서류 부착 ➔ 3) 감리단 기술 검토 수속 ➔ 4) 설계변경 제출 서면 결재</t>
  </si>
  <si>
    <t>변경 수량 산출서 정밀 집계, 신규 단가 산정 서류 첨부 및 책임감리원 기술 검토 수속</t>
  </si>
  <si>
    <t>● 기술 검증 규격 확인</t>
  </si>
  <si>
    <t>9000-5-20</t>
  </si>
  <si>
    <t>교통관리 및 교통안전시설 설치</t>
  </si>
  <si>
    <t>도로교통법 안전 수칙 | 게이트 바리케이트, 야간 LED 경광등 부설 | 전담 안전 신호수(2인 2조) 100% 배치</t>
  </si>
  <si>
    <t>1) 게이트 바리케이트 &amp; 경광등 부설 ➔ 2) 우회 차선 표지판 설치 ➔ 3) 전담 신호수(2인 2조) 배치 ➔ 4) 교통 안전 점검 대장 결재</t>
  </si>
  <si>
    <t>게이트 바리케이트/LED 경광등 설치, 우회 차선 표지판 검측 및 전담 신호수(2인 2조) 배치</t>
  </si>
  <si>
    <t>● 경찰청 협의사항 및 교통안전시설 설치기준 준수</t>
  </si>
  <si>
    <t>9000-5-21</t>
  </si>
  <si>
    <t>D-10</t>
  </si>
  <si>
    <t>장비 검수 지원</t>
  </si>
  <si>
    <t>기술안전팀</t>
  </si>
  <si>
    <t>건설기계관리법 제13조 | 자중 10t+ 굴착기, 덤프 정기검사증 검수 | 후방 센서 점검 및 반입 허가</t>
  </si>
  <si>
    <t>1) 10t+ 굴착기/덤프 사양 검수 ➔ 2) 건설기계 정기검사증 점검 ➔ 3) 후방 카메라/경보음 시동 점검 ➔ 4) 장비 반입 승인서 감리 결재</t>
  </si>
  <si>
    <t>자중 10t+ 굴착기/덤프 정기검사증, 후방 카메라/경보음 시동 점검 및 반입 허가 결재</t>
  </si>
  <si>
    <t>● 산업안전보건법 및 건설기계관리법 준수</t>
  </si>
  <si>
    <t>9000-5-22</t>
  </si>
  <si>
    <t>D+10~30</t>
  </si>
  <si>
    <t>벌목/벌근제거</t>
  </si>
  <si>
    <t>KCS 47 10 25 산림 벌목 시방 | 수목 벌목 및 뿌리 제거(벌근) 깊이 30cm 이상 | 임목 폐기물 수속 처리</t>
  </si>
  <si>
    <t>1) 현장 지반 수목 벌목 시행 ➔ 2) 뿌리 제거(벌근) 깊이 30cm 굴착 ➔ 3) 임목 폐기물 수속 처리 ➔ 4) 벌목 벌근 성과표 감리 승인</t>
  </si>
  <si>
    <t>현장 수목 벌목 시행, 뿌리 제거(벌근) 깊이 30cm 이상 굴착 및 임목 폐기물 수속 처리</t>
  </si>
  <si>
    <t>● 산림자원법 및 환경 기준 준수</t>
  </si>
  <si>
    <t>9000-5-23</t>
  </si>
  <si>
    <t>D+10~25</t>
  </si>
  <si>
    <t>기존구조물 / 지장물 처리</t>
  </si>
  <si>
    <t>현장 공사팀 / 공무팀</t>
  </si>
  <si>
    <t>폐기물관리법 준수 | 기존 아스콘/콘크리트 구조물 안전 삭평 철거 | 건설 폐기물 성적표 수속</t>
  </si>
  <si>
    <t>1) 기존 아스콘/콘크리트 삭평 철거 ➔ 2) 폐기물 분리 수거 &amp; 적재 ➔ 3) 건설 폐기물 위탁 처리 ➔ 4) 지장물 처리 성과표 감리 승인</t>
  </si>
  <si>
    <t>기존 아스콘/콘크리트 삭평 철거, 건설 폐기물 분리 수거 적재 및 폐기물 성적서 수속</t>
  </si>
  <si>
    <t>● 지장물 이설 및 철거 규정 준수</t>
  </si>
  <si>
    <t>9000-5-24</t>
  </si>
  <si>
    <t>진입로 조성</t>
  </si>
  <si>
    <t>KCS 47 10 25 가설 도로 | 덤프트럭 진입 가설 도로 폭 6m 포설 | 쇄석 골재(두께 20cm) 부설 &amp; 살수</t>
  </si>
  <si>
    <t>1) 가설 도로 폭 6m 성토 굴착 ➔ 2) 쇄석 골재(두께 20cm) 부설 ➔ 3) 10t 롤러 다짐 &amp; 살수 ➔ 4) 진입로 조성 성과표 감리 승인</t>
  </si>
  <si>
    <t>가설 도로 폭 6m 성토 굴착, 쇄석 골재(두께 20cm) 부설, 10t 롤러 다짐 및 살수 점검</t>
  </si>
  <si>
    <t>● 진입로 종단구배 및 가로 폭 규격 만족</t>
  </si>
  <si>
    <t>9000-5-25</t>
  </si>
  <si>
    <t>배수/환경시설 설치</t>
  </si>
  <si>
    <t>KCS 47 10 25 배수 시방 | 가배수로(0.6×0.6m) &amp; 가침사지 설치 | 세륜기(깊이 1.2m) 가동 및 배수 검측</t>
  </si>
  <si>
    <t>1) 가배수로(0.6×0.6m) &amp; 가침사지 터파기 ➔ 2) 세륜기(깊이 1.2m) 부설 ➔ 3) 양수 펌프 비치 ➔ 4) 배수 환경 시설 감리 서면 승인</t>
  </si>
  <si>
    <t>가배수로(0.6×0.6m) &amp; 가침사지 설치, 세륜기(깊이 1.2m) 가동 및 수중 양수 펌프 비치</t>
  </si>
  <si>
    <t>● 환경보존법 및 비산먼지/침사지 규정 준수</t>
  </si>
  <si>
    <t>9000-5-26</t>
  </si>
  <si>
    <t>토공 굴착</t>
  </si>
  <si>
    <t>KCS 47 10 25 굴착 규정 | 3D GPS 굴착기 표고 오차 ±20mm 통제 | 사면 비탈면 경사(1:1.5) 준수</t>
  </si>
  <si>
    <t>1) 3D GPS 굴착기 정밀 세팅 ➔ 2) 토사 깎기 &amp; 사면 비탈면(1:1.5) 굴착 ➔ 3) 표고 오차(±20mm) 검측 ➔ 4) 토공 굴착 성과표 감리 승인</t>
  </si>
  <si>
    <t>3D GPS 굴착기 표고 오차 ±20mm 통제, 사면 비탈면 경사(1:1.5 이하) 준수 및 굴착 검측</t>
  </si>
  <si>
    <t>● 굴착 사면 기울기 및 굴착 공차 한계 준수</t>
  </si>
  <si>
    <t>9000-5-27</t>
  </si>
  <si>
    <t>노상토 지지력 확인</t>
  </si>
  <si>
    <t>현장 품질팀</t>
  </si>
  <si>
    <t>KS F 2310 규정 준수 | 굴착 바닥 원지반 평판재하시험 K30 ≥ 70 MN/m³ | 덤프트럭 펌핑 연약 지반 점검</t>
  </si>
  <si>
    <t>1) 굴착 바닥 원지반 수평 정리 ➔ 2) K30 평판재하시험(≥70 MN/m³) ➔ 3) 덤프트럭 펌핑 연약 지반 점검 ➔ 4) 노상토 지지력 성과표 승인</t>
  </si>
  <si>
    <t>굴착 바닥 평판재하시험 K30 ≥ 70 MN/m³, 덤프트럭 펌핑 연약 지반 점검 및 노상토 승인</t>
  </si>
  <si>
    <t>● 강화노반 필요 지지력 규격 만족</t>
  </si>
  <si>
    <t>9000-5-28</t>
  </si>
  <si>
    <t>쌓기 및 다짐(필요시)</t>
  </si>
  <si>
    <t>KCS 47 10 25 성토 시방 | 층두께 ≤ 30cm 토사 포설 | 10t 강동 롤러 다짐(들밀도 다짐도 ≥ 90%)</t>
  </si>
  <si>
    <t>1) 성토 토사 30cm 층포설 ➔ 2) 살수차 최적함수비 살수 ➔ 3) 10t 강동 롤러 다짐(다짐도≥90%) ➔ 4) 성토 다짐 성과표 감리 승인</t>
  </si>
  <si>
    <t>성토 토사 30cm 층포설, 살수차 최적함수비 OMC 살수 및 10t 롤러 다짐(다짐도 ≥ 90%)</t>
  </si>
  <si>
    <t>● 다짐도(95% 이상) 규격 준수</t>
  </si>
  <si>
    <t>9000-5-29</t>
  </si>
  <si>
    <t>D+75일 이후</t>
  </si>
  <si>
    <t>현장지원</t>
  </si>
  <si>
    <t>토목수행팀, 토목품질팀, 토목안전팀</t>
  </si>
  <si>
    <t>현장 통합 소통 수칙 | 일일 TBM 및 품질/안전 지원 대장 수록 | 감리 입회 검측 서면 승인</t>
  </si>
  <si>
    <t>1) 일일 현장 품질/안전 지원 ➔ 2) TBM 및 근로자 교육 ➔ 3) 공정 장애 요소 해소 ➔ 4) 현장 지원 대장 서면 승인</t>
  </si>
  <si>
    <t>일일 현장 품질/안전 지원 대장, TBM 및 근로자 교육 시행 서면 승인</t>
  </si>
  <si>
    <t>● 본사 정기현장점검 지침 준수</t>
  </si>
  <si>
    <t>9000-5-30</t>
  </si>
  <si>
    <t>강화노반 인계</t>
  </si>
  <si>
    <t>현장 공사팀 / 품질팀</t>
  </si>
  <si>
    <t>KCS 47 10 25 인계인수 수칙 | 토공-강화노반 시공팀 3자 합동 레벨 측량 | 마무리면 인계인수서 서명</t>
  </si>
  <si>
    <t>1) 토공-강화노반 시공팀 3자 합동 현측 ➔ 2) 마무리면 레벨 오차(±10mm) 확인 ➔ 3) 인계인수 합의서 서명 ➔ 4) 토공 마무리면 인계 완료</t>
  </si>
  <si>
    <t>토공-강화노반 시공팀 3자 합동 레벨 측량, 마무리면 레벨 오차(±10mm) 인계인수서 서명</t>
  </si>
  <si>
    <t>● 궤도 부설 구간 허용 오차 한계 확인</t>
  </si>
  <si>
    <t>공통 관리 Key Point &amp; 사전 준비</t>
  </si>
  <si>
    <t>P-30</t>
  </si>
  <si>
    <t>지하안전관리에 관한 특별법 제23조 | 현장 지반 조사, GPR 탐사 데이터 및 신설 궤도 간섭 리스크 사전 분석 | 지장물 이설 리스크 관리계획 수립</t>
  </si>
  <si>
    <t>1) 지반 조사 주상도 &amp; GPR 데이터 대조 ➔ 2) 신설 궤도 구조물 간섭 관로 추출 ➔ 3) 기관별 이설 우선순위 수립 ➔ 4) 지장물 리스크 보고서 결재</t>
  </si>
  <si>
    <t>지반 시추 주상도, GPR 3D 지중 관로 탐사 데이터 대조 및 신설 궤도 구조물 간섭 관로 사전 현출 점검</t>
  </si>
  <si>
    <t>토목국내견적 지침 및 계약 시방</t>
  </si>
  <si>
    <t>설계도서 불일치로 인한 실행예산 초과 리스크 관리</t>
  </si>
  <si>
    <t>우수 토공업체 Pool 기술 자문</t>
  </si>
  <si>
    <t>2000-1-2</t>
  </si>
  <si>
    <t>P+0</t>
  </si>
  <si>
    <t>발주전략 KOM (도급지분)</t>
  </si>
  <si>
    <t>KCS 47 10 25 시방 준수 | 도급분 지장물 이설 발주 시방서 검토 &amp; 3D BIM 도면 대조 | 발주처·감리·시공 3자 킥오프 미팅 결재</t>
  </si>
  <si>
    <t>1) 도급분 이설 시방서 요구조건 검토 ➔ 2) 3D BIM 도면 관로 좌표 대조 ➔ 3) 공기 지연 예비비 수립 ➔ 4) 발주·감리·시공 3자 킥오프 결재</t>
  </si>
  <si>
    <t>KCS 47 10 25 시방 요구조건, 도급분 지장물 이설 수량 및 3D BIM 도면 간섭 zero 검증</t>
  </si>
  <si>
    <t>CML 토목사무지침 및 도급 계약 시방</t>
  </si>
  <si>
    <t>부적격 업체 선정에 따른 공기 지연 리스크 방지</t>
  </si>
  <si>
    <t>본사외주부서 및 컴플라이언스RM 자문</t>
  </si>
  <si>
    <t>2000-1-3</t>
  </si>
  <si>
    <t>지장물 이설 요청 (위수탁고)</t>
  </si>
  <si>
    <t>공사팀 / 발주기관</t>
  </si>
  <si>
    <t>지방계약법 및 관할 점용기관 규정 | 위수탁 지장물 이설 협약서 작성 &amp; 공문 발송 | 기관별 이설 소요 기간 및 예산 확보</t>
  </si>
  <si>
    <t>1) 관할 점용기관 이설 요청 공문 작성 ➔ 2) 이설 협약서 정산 조건 수속 ➔ 3) 기관별 이설 소요 기간 협의 ➔ 4) 위수탁 이설 확약 공문 수령</t>
  </si>
  <si>
    <t>위수탁 이설 요청 공문 부착, 점용기관 협약 조건 수속 및 이설 예비비 계상 서약</t>
  </si>
  <si>
    <t>지자체 위수탁 협약 처리 기준</t>
  </si>
  <si>
    <t>위수탁 기관 이설 착수 지연 리스크 관리</t>
  </si>
  <si>
    <t>관련 유관기관 전담 자문</t>
  </si>
  <si>
    <t>2000-1-4</t>
  </si>
  <si>
    <t>P+5</t>
  </si>
  <si>
    <t>도급자분 이설업체 선정(상/하수)</t>
  </si>
  <si>
    <t>건설산업기본법 제29조 | 상하수도 설비 전문건설업 면허 및 적정성(≥ 82%) 평가 | 노무비 전용계좌 지정 및 계약 승인</t>
  </si>
  <si>
    <t>1) 상하수도 전문건설업 면허 심사 ➔ 2) 하도급 적정성(≥ 82%) 평가 ➔ 3) 노무비 전용계좌 개설 ➔ 4) 하도급 계약 승인 통보서 결재</t>
  </si>
  <si>
    <t>상하수도 전문건설업 면허/실적 심사, 하도급 적정성 평가(≥ 82%) 및 노무비 전용계좌 지정</t>
  </si>
  <si>
    <t>하도급거래 공정화에 관한 법률 및 계약 규정</t>
  </si>
  <si>
    <t>저가 하도급으로 인한 부실 시공 리스크 예방</t>
  </si>
  <si>
    <t>외주계약팀 전문 자문</t>
  </si>
  <si>
    <t>2000-1-5</t>
  </si>
  <si>
    <t>P+10</t>
  </si>
  <si>
    <t>지장물 조사 (위탁기관 합동)</t>
  </si>
  <si>
    <t>지하안전법 수칙 | 한국전력, 도시가스, 수자원공사 1:1 현장 합동 조사 | 매설 위치, 관경(mm), 깊이 3D BIM 매핑</t>
  </si>
  <si>
    <t>1) 한전/가스/수자원공사 1:1 현장 입회 ➔ 2) 관로 위치, 관경(mm), 깊이 현측 ➔ 3) 3D BIM 매설 관로 매핑 ➔ 4) 지장물 조사서 감리 서면 승인</t>
  </si>
  <si>
    <t>한국전력, 도시가스, 수자원공사 1:1 현장 입회 및 지하 매설물 관경(mm), 심도 깊이 3D BIM 매핑</t>
  </si>
  <si>
    <t>지하안전관리에 관한 특별법 및 측량 규정</t>
  </si>
  <si>
    <t>도면 상이로 인한 신규 지장물 불시 도출 리스크 방지</t>
  </si>
  <si>
    <t>지장물 이설업체 및 유관기관 담당자</t>
  </si>
  <si>
    <t>2000-1-6</t>
  </si>
  <si>
    <t>P+15</t>
  </si>
  <si>
    <t>지장물 이설 계획 수립</t>
  </si>
  <si>
    <t>KCS 47 10 25 배수 및 관체 수칙 | 지장물 이설 공정표, 가설 방호 및 교통 우회 계획 수립 | 공사 착수 14일 전 감리 서면 승인</t>
  </si>
  <si>
    <t>1) 지장물 이설 공정표 수립 ➔ 2) 가설 매달기 방호 &amp; 우회 차선 설계 ➔ 3) 착공 14일 전 감리단 제출 ➔ 4) 이설 계획서 책임감리원 승인</t>
  </si>
  <si>
    <t>지장물 이설 공정표 수립, 가설 매달기 방호/우회 차선 설계 및 착공 14일 전 감리 서면 승인</t>
  </si>
  <si>
    <t>동탄트램 지장물 이설 종합 지침</t>
  </si>
  <si>
    <t>이설 순서 혼선으로 인한 재굴착 리스크 방지</t>
  </si>
  <si>
    <t>지장물 전문가 및 공무팀</t>
  </si>
  <si>
    <t>2000-1-7</t>
  </si>
  <si>
    <t>P+20</t>
  </si>
  <si>
    <t>건산법 상생협력 규정 | 지장물 전담 기술자 1:1 현장 배치 | 주간 3자 소통 회의 및 일일 TBM/안전교육 시행</t>
  </si>
  <si>
    <t>1) 지장물 전담 기술자 1:1 배치 ➔ 2) 3자 주간 소통 회의 개최 ➔ 3) 근로자 환경 개선 &amp; TBM ➔ 4) One-Team 조직표 감리 서면 승인</t>
  </si>
  <si>
    <t>지장물 전담 기술자 1:1 현장 배치, 발주·감리·시공 3자 주간 소통 회의 및 일일 TBM/음주 측정(0.00%)</t>
  </si>
  <si>
    <t>외주 하도급 관리 규정</t>
  </si>
  <si>
    <t>시공 미숙 작업반 투입으로 인한 사고 리스크 방지</t>
  </si>
  <si>
    <t>외주계약 전문 자문</t>
  </si>
  <si>
    <t>2000-1-8</t>
  </si>
  <si>
    <t>D-60</t>
  </si>
  <si>
    <t>현장 통합 관리 지침 | 발주처·감리·지자체·시공사 합동 빅룸 회의 | 지장물 간섭 Zero 및 마일스톤 연동 확정</t>
  </si>
  <si>
    <t>1) 4자(발주·감리·지자체·시공) 빅룸 결성 ➔ 2) 지장물 이설 마일스톤 연동 ➔ 3) 간섭 리스크 즉시 해소 ➔ 4) 빅룸 회의록 4자 서명 완수</t>
  </si>
  <si>
    <t>4자(발주·감리·지자체·시공) 빅룸 회의 결성, 지장물 간섭 Zero 및 마일스톤 연동 회의록 서명</t>
  </si>
  <si>
    <t>동탄트램 사업관리 지침</t>
  </si>
  <si>
    <t>유관기관 간 공정 중복으로 인한 중복 굴착 리스크 방지</t>
  </si>
  <si>
    <t>유관기관 관리자 및 분야별 전문가</t>
  </si>
  <si>
    <t>2000-1S</t>
  </si>
  <si>
    <t>사전준비: 공동 대응 방안 수립</t>
  </si>
  <si>
    <t>2000-1S-1</t>
  </si>
  <si>
    <t>도로법 및 하천법 준수 | 지자체 도로점용 허가 및 하천점용 허가서 접수 | 관련 부서 협의 및 법정 인허가 필증 수속</t>
  </si>
  <si>
    <t>지자체 도로점용 허가 &amp; 하천점용 허가서 수속, 보증보험 증권 제출 및 법정 인허가 필증 검수</t>
  </si>
  <si>
    <t>인허가 관련 행정법 및 도로법</t>
  </si>
  <si>
    <t>인허가 지연으로 인한 공사 중단 리스크 방지</t>
  </si>
  <si>
    <t>인허가 전문 자문</t>
  </si>
  <si>
    <t>2000-1S-2</t>
  </si>
  <si>
    <t>D-45</t>
  </si>
  <si>
    <t>현장 공무팀/안전팀</t>
  </si>
  <si>
    <t>도로교통법 제69조 | 관할 경찰서 교통안전 심의 및 점용 허가 수령 | 우회 차선 도면 작성 및 안전 신호수 배치</t>
  </si>
  <si>
    <t>1) 교통 우회 도면 &amp; 차선 설계 ➔ 2) 동탄경찰서 도로점용 허가 ➔ 3) 전담 신호수(2인 2조) 배치 ➔ 4) 교통소통 대책서 감리 서면 승인</t>
  </si>
  <si>
    <t>동탄경찰서 도로점용 허가, 우회 차선 설계 및 전담 안전 신호수(2인 2조)/LED 경광등 배치</t>
  </si>
  <si>
    <t>도로교통법 및 교통영향평가 지침</t>
  </si>
  <si>
    <t>교통 혼잡민원 및 안전사고 발생 리스크 예방</t>
  </si>
  <si>
    <t>교통영향평가 전문 기술자</t>
  </si>
  <si>
    <t>2000-1S-3</t>
  </si>
  <si>
    <t>현장 공무팀/민원팀</t>
  </si>
  <si>
    <t>대기환경보전법 및 소음진동관리법 | 야간 공사 소음 억제 방음벽(H=3m) 및 세륜기 가동 | 단수/단전 사전 안내 및 민원 대응반 가동</t>
  </si>
  <si>
    <t>야간 공사 소음 방음벽(H=3m) 가동, 이동식 세륜기(깊이 1.2m) 가동 및 단수 사전 주민 알림</t>
  </si>
  <si>
    <t>환경보전법 및 소음진동관리법</t>
  </si>
  <si>
    <t>집단 민원에 따른 현장 봉쇄 및 집회 리스크 방지</t>
  </si>
  <si>
    <t>민원 전담 현장 대리인</t>
  </si>
  <si>
    <t>2000-1S-4</t>
  </si>
  <si>
    <t>D-35</t>
  </si>
  <si>
    <t>현장 공무팀 / 토목계약관리팀</t>
  </si>
  <si>
    <t>토지보상법 준수 | 지장물 이설 부지 용지보상 현황 및 점용 경계 실측 | 미보상 사유지 가설 펜스 차단 및 우회 동선</t>
  </si>
  <si>
    <t>1) 미보상 사유지 경계 현출 ➔ 2) 가설 펜스(H=1.8m) 차단 ➔ 3) 3D 우회 토공 동선 수립 ➔ 4) 용지 보상 리스크 대책 승인</t>
  </si>
  <si>
    <t>토지보상법 및 용지 보상 조례</t>
  </si>
  <si>
    <t>사유지 무단 침범에 따른 형사 고소 리스크 방지</t>
  </si>
  <si>
    <t>토지 보상 전문 행정사 자문</t>
  </si>
  <si>
    <t>도급자/위수탁분 설계 및 행정</t>
  </si>
  <si>
    <t>관리기관(맑은물사업소) 협의</t>
  </si>
  <si>
    <t>수도법 및 하수도법 규정 | 맑은물사업소 합동 이설 위치 검토 &amp; 수돗물 단수 일정 수협 | 신구관 접속 설계도서 서면 결재</t>
  </si>
  <si>
    <t>1) 맑은물사업소 이설 위치 현측 ➔ 2) 단수 일정(최대 6시간) 협의 ➔ 3) 신구관 접속 도면 검토 ➔ 4) 이설 승인 공문 수령</t>
  </si>
  <si>
    <t>맑은물사업소 합동 이설 위치 검토, 수돗물 단수 일정(최대 6h) 수협 및 신구관 접속 도면 결재</t>
  </si>
  <si>
    <t>맑은물사업소 상하수도 시설기준</t>
  </si>
  <si>
    <t>상하수도 이설 위치 불일치로 인한 재협의 리스크 방지</t>
  </si>
  <si>
    <t>상하수도 전문 기술사 자문</t>
  </si>
  <si>
    <t>2000-2-2</t>
  </si>
  <si>
    <t>위수탁 지장물 이설 설계</t>
  </si>
  <si>
    <t>엔지니어링팀/위수탁기관</t>
  </si>
  <si>
    <t>지하관로 설계기준 준수 | 위수탁 기관 설계도서 기술 검토 &amp; 3D BIM 간섭 점검 | 총사업비 변경 승인 및 설계 도서 수록</t>
  </si>
  <si>
    <t>1) 위수탁 기관 설계도서 수속 ➔ 2) 3D BIM 간섭 리스크 점검 ➔ 3) 총사업비 변경 수량 검증 ➔ 4) 위수탁 설계도서 감리 승인</t>
  </si>
  <si>
    <t>위수탁 기관 설계도서 기술 검토, 3D BIM 간섭 리스크 점검 및 총사업비 변경 수량 승인</t>
  </si>
  <si>
    <t>국가계약법 및 위수탁 설계 기준</t>
  </si>
  <si>
    <t>위수탁 분담금 예가 과다 산정 리스크 관리</t>
  </si>
  <si>
    <t>위수탁 설계 전문 엔지니어링</t>
  </si>
  <si>
    <t>2000-2-3</t>
  </si>
  <si>
    <t>상하수도 이설계획 실정보고</t>
  </si>
  <si>
    <t>건진법 시행령 규정 | 현장 지장물 현출에 따른 실정보고서 작성 | 공법 변경 및 수량 증감에 대한 책임감리 승인</t>
  </si>
  <si>
    <t>1) 현장 지장물 현출 실정보고 작성 ➔ 2) 공법 변경 &amp; 수량 증감 산출 ➔ 3) 기술 검토 의견서 첨부 ➔ 4) 실정보고서 감리 서면 승인</t>
  </si>
  <si>
    <t>현장 지장물 현출 실정보고서 작성, 공법 변경 및 수량 증감 산출 책임감리원 승인</t>
  </si>
  <si>
    <t>건설기술진흥법 및 계약금액 조정 지침</t>
  </si>
  <si>
    <t>실정보고 승인 지연에 따른 변경 금액 누락 방지</t>
  </si>
  <si>
    <t>토목 공무 및 정산 전문가</t>
  </si>
  <si>
    <t>2000-2-4</t>
  </si>
  <si>
    <t>D-25</t>
  </si>
  <si>
    <t>위수탁 계약 체결</t>
  </si>
  <si>
    <t>현장 공무팀 / 발주처</t>
  </si>
  <si>
    <t>지방자치단체 계약법 | 관할 점용기관과 위수탁 이설 협약서 정산 조건 체결 | 공사비 분담금 및 예비비 계상 합의</t>
  </si>
  <si>
    <t>1) 관할 점용기관 협약 조건 수속 ➔ 2) 정산 분담금 &amp; 예비비 협의 ➔ 3) 위수탁 계약서 작성 ➔ 4) 위수탁 이설 계약 체결 승인</t>
  </si>
  <si>
    <t>관할 점용기관 위수탁 이설 협약서 체결, 공사비 분담금 및 예비비 계상 합의 서약</t>
  </si>
  <si>
    <t>지방재정법 및 지자체 계약 조례</t>
  </si>
  <si>
    <t>협약 미체결로 인한 시공 후 법적 분쟁 리스크 방지</t>
  </si>
  <si>
    <t>법무 및 계약 전담 전문가</t>
  </si>
  <si>
    <t>지장물 이설 시공 관리</t>
  </si>
  <si>
    <t>도로점용/굴착행위 인허가</t>
  </si>
  <si>
    <t>도로법 제61조 준수 | 지자체 도로 굴착 허가 신청서 접수 및 심의 필 | 도로 복구 이행 보증보험 증권 제출</t>
  </si>
  <si>
    <t>1) 도로 굴착 허가 신청서 작성 ➔ 2) 지자체 도로굴착 심의 필 ➔ 3) 복구 보증보험 증권 제출 ➔ 4) 도로 굴착 허가증 감리 결재</t>
  </si>
  <si>
    <t>지자체 도로 굴착 허가 신청서 접수, 심의 필증 수령 및 도로 복구 보증보험 증권 제출</t>
  </si>
  <si>
    <t>도로법 및 도로석굴착 관리조례</t>
  </si>
  <si>
    <t>무단 점용/굴착에 따른 과태료 및 공사중단 리스크 방지</t>
  </si>
  <si>
    <t>인허가 전담 행정 자문</t>
  </si>
  <si>
    <t>2000-3-2</t>
  </si>
  <si>
    <t>교통통제 및 교통안전시설 설치</t>
  </si>
  <si>
    <t>현장 안전팀/공사팀</t>
  </si>
  <si>
    <t>도로교통법 안전 수칙 | 게이트 및 굴착 구간 안전 바리케이트, LED 경광등 부설 | 전담 신호수(2인 2조) 100% 현장 배치</t>
  </si>
  <si>
    <t>1) 굴착 구간 안전 바리케이트 부설 ➔ 2) 야간 LED 경광등 &amp; 표지판 설치 ➔ 3) 전담 신호수(2인 2조) 배치 ➔ 4) 교통 안전 점검 대장 결재</t>
  </si>
  <si>
    <t>굴착 구간 안전 바리케이트 부설, 야간 LED 경광등 설치 및 전담 신호수(2인 2조) 배치</t>
  </si>
  <si>
    <t>도로공사장 교통관리지침 (국토교통부)</t>
  </si>
  <si>
    <t>교통사고 및 보행자 민원 발생 리스크 예방</t>
  </si>
  <si>
    <t>교통안전 전문 자문</t>
  </si>
  <si>
    <t>2000-3-3</t>
  </si>
  <si>
    <t>D+1</t>
  </si>
  <si>
    <t>줄따기(GPR)를 통한 기존 지장물 매설 확인</t>
  </si>
  <si>
    <t>지하안전법 제23조 | GPR 3D 탐사 후 인력 시탐 줄파기(폭 0.5m, 깊이 1.5m) | 실체 관로 노출 및 위치 표지판 비치</t>
  </si>
  <si>
    <t>1) GPR 3D 지중 관로 탐사 ➔ 2) 인력 시탐 줄파기(깊이 1.5m) ➔ 3) 실체 관로 노출 &amp; 위치 매핑 ➔ 4) 지장물 현측표 감리 서면 승인</t>
  </si>
  <si>
    <t>GPR 3D 지중 관로 탐사, 인력 시탐 줄파기(폭 0.5m, 깊이 1.5m) 및 실체 관로 노출 매핑</t>
  </si>
  <si>
    <t>지하안전관리에 관한 특별법 (지하안전법)</t>
  </si>
  <si>
    <t>중장비 직접 굴착으로 인한 관로 파손 사고 리스크 방지</t>
  </si>
  <si>
    <t>GPR 탐지 및 지하안전 전문 자문</t>
  </si>
  <si>
    <t>2000-3-4</t>
  </si>
  <si>
    <t>D+3</t>
  </si>
  <si>
    <t>이설 위치 토공 굴착</t>
  </si>
  <si>
    <t>KCS 47 10 25 굴착 시방 | 굴착 사면 비탈면 경사(1:1.5) 준수 및 흙막이 가설재 부설 | 굴착 바닥 원지반 K30 ≥ 70 지비력 검측</t>
  </si>
  <si>
    <t>1) 굴착 비탈면 경사(1:1.5) 측량 ➔ 2) 굴착 &amp; 흙막이 가설재 부설 ➔ 3) 바닥 원지반 K30(≥70) 검측 ➔ 4) 굴착 완료 성과표 감리 승인</t>
  </si>
  <si>
    <t>굴착 비탈면 경사(1:1.5 이하) 측량, 흙막이 가설재 부설 및 바닥 원지반 K30 ≥ 70 지비력 검측</t>
  </si>
  <si>
    <t>KCS 11 20 00 토공사 표준시방서</t>
  </si>
  <si>
    <t>굴착 법면 붕괴 및 인접 도로 침하 리스크 방지</t>
  </si>
  <si>
    <t>토질 및 기초 기술사 자문</t>
  </si>
  <si>
    <t>2000-3-5</t>
  </si>
  <si>
    <t>D+5</t>
  </si>
  <si>
    <t>신규관로 매설 및 설치</t>
  </si>
  <si>
    <t>현장 공사팀 / 전문협력사</t>
  </si>
  <si>
    <t>KS 관로 자재 규정 준수 | 신규 상하수도관/가스관 부설 및 모래 기초(두께 10cm) 부설 | 관로 경사(≥ 0.5%) 및 수평 위치 검측</t>
  </si>
  <si>
    <t>1) 관로 모래 기초(10cm) 부설 ➔ 2) 신규 상하수도관/가스관 부설 ➔ 3) 관로 종단 구배(≥0.5%) 검측 ➔ 4) 신규 관로 부설 감리 서면 승인</t>
  </si>
  <si>
    <t>관로 모래 기초(두께 10cm) 부설, 신규 상하수도관/가스관 부설 및 종단 구배(≥ 0.5%) 검측</t>
  </si>
  <si>
    <t>상하수도 및 배관공사 표준시방서</t>
  </si>
  <si>
    <t>관 이음부 누수 및 침하로 인한 도로 함몰 리스크 예방</t>
  </si>
  <si>
    <t>배관 및 관로 시공 전문 자문</t>
  </si>
  <si>
    <t>2000-3-6</t>
  </si>
  <si>
    <t>D+8</t>
  </si>
  <si>
    <t>무단수 연결을 위한 시설 설치</t>
  </si>
  <si>
    <t>현장 공사팀 / 전문업체</t>
  </si>
  <si>
    <t>수도시설 공학 규정 | 무단수 천공기 및 밸브 차단 장치 정밀 세팅 | 수압 시험 및 밸브 가동 상태 시운전 검측</t>
  </si>
  <si>
    <t>1) 무단수 천공기 정밀 세팅 ➔ 2) 차단 밸브 &amp; 챔버 설치 ➔ 3) 수압 시험 및 가동 시운전 ➔ 4) 무단수 시설 검측 감리 승인</t>
  </si>
  <si>
    <t>무단수 천공기 정밀 세팅, 차단 밸브 &amp; 챔버 설치 및 수압 시험/가동 시운전 검측</t>
  </si>
  <si>
    <t>무단수 공법 기술 시방서</t>
  </si>
  <si>
    <t>단수 발생으로 인한 대규모 주민 민원 리스크 방지</t>
  </si>
  <si>
    <t>무단수 공법 전문 기술자 자문</t>
  </si>
  <si>
    <t>2000-3-7</t>
  </si>
  <si>
    <t>D+10</t>
  </si>
  <si>
    <t>신규관로 및 연결관로 접속</t>
  </si>
  <si>
    <t>관로 연결 시방 수칙 | 신구 관로 접속 부위 수압 시험(10kgf/cm², 1시간 유지) | 누수 여부 점검 및 부식 방지 랩핑 부설</t>
  </si>
  <si>
    <t>1) 신구 관로 접속 부위 부설 ➔ 2) 수압 시험(10kgf/cm², 1h 유지) ➔ 3) 부식 방지 피복 랩핑 시행 ➔ 4) 관로 접속 검측 성과표 승인</t>
  </si>
  <si>
    <t>신구 관로 접속 부위 부설, 수압 시험(10kgf/cm², 1h 유지) 및 부식 방지 피복 랩핑 검측</t>
  </si>
  <si>
    <t>관로 접속 및 Cut-over 시방서</t>
  </si>
  <si>
    <t>접속 부위 압력 파손 및 서비스 전환 실패 리스크 방지</t>
  </si>
  <si>
    <t>관로 접속 전문 자문</t>
  </si>
  <si>
    <t>2000-3-8</t>
  </si>
  <si>
    <t>D+15</t>
  </si>
  <si>
    <t>기존관로 철거 및 원상복구</t>
  </si>
  <si>
    <t>폐기물관리법 준수 | 폐관로 수거 및 토사 30cm 층다짐(다짐도 ≥ 95%) 원상복구 | 아스콘 가포설 및 평탄성 통제</t>
  </si>
  <si>
    <t>1) 기존 폐관로 안전 철거/수거 ➔ 2) 토사 30cm 층다짐(다짐도≥95%) ➔ 3) 아스콘 가포설 &amp; 평탄성 검측 ➔ 4) 원상복구 성과표 감리 승인</t>
  </si>
  <si>
    <t>기존 폐관로 안전 철거/수거, 토사 30cm 층다짐(다짐도 ≥ 95%) 원상복구 및 아스콘 가포설</t>
  </si>
  <si>
    <t>도로 복구 공사 표준시방서</t>
  </si>
  <si>
    <t>복구 포장 부등침하로 인한 포트홀 리스크 방지</t>
  </si>
  <si>
    <t>도로 포장 전문 기술자 자문</t>
  </si>
  <si>
    <t>주요 지장물 이설 소유자 및 관리특성</t>
  </si>
  <si>
    <t>D+20</t>
  </si>
  <si>
    <t>광역상수관 이설 공사</t>
  </si>
  <si>
    <t>공사팀 (협의: 한국수자원공사)</t>
  </si>
  <si>
    <t>수도법 규정 준수 | 광역상수관(Ø500mm+) 이설 수압 시험 및 수질 검사 합격 | 한국수자원공사 입회 인수 완료</t>
  </si>
  <si>
    <t>1) 광역상수관(Ø500mm+) 부설 ➔ 2) 수압 시험 &amp; 수질 검사 시행 ➔ 3) 한국수자원공사 현장 입회 ➔ 4) 광역상수관 이설 완료 승인</t>
  </si>
  <si>
    <t>광역상수관(Ø500mm+) 부설, 수압 시험 및 수질 검사 합격 (한국수자원공사 1:1 입회 검측)</t>
  </si>
  <si>
    <t>한국수자원공사 광역상수도 설계기준</t>
  </si>
  <si>
    <t>광역상수도 파손 시 광역 단수 대형 재난 리스크 관리</t>
  </si>
  <si>
    <t>수자원공사 전담 기술 자문</t>
  </si>
  <si>
    <t>2000-4-2</t>
  </si>
  <si>
    <t>D+22</t>
  </si>
  <si>
    <t>상수도 관로 이설 공사</t>
  </si>
  <si>
    <t>공사팀 (협의: 맑은물사업소)</t>
  </si>
  <si>
    <t>지자체 상수도 시방 | 배수관(Ø200~300mm) 이설, 탁수 퇴수 작업 및 잔류염소 시험 | 맑은물사업소 합동 현측 승인</t>
  </si>
  <si>
    <t>1) 배수관(Ø200~300mm) 이설 부설 ➔ 2) 탁수 퇴수 &amp; 잔류염소 시험 ➔ 3) 맑은물사업소 합동 현측 ➔ 4) 상수도 관로 이설 감리 승인</t>
  </si>
  <si>
    <t>배수관(Ø200~300mm) 이설, 탁수 퇴수 작업 및 잔류염소 시험 합격 (맑은물사업소 현측)</t>
  </si>
  <si>
    <t>상수도 공사 표준시방서</t>
  </si>
  <si>
    <t>상수도 수질 오염 및 단수 시간 초과 리스크 방지</t>
  </si>
  <si>
    <t>맑은물사업소 상수도 감독관 자문</t>
  </si>
  <si>
    <t>2000-4-3</t>
  </si>
  <si>
    <t>D+25</t>
  </si>
  <si>
    <t>하수도 관로 이설 공사</t>
  </si>
  <si>
    <t>하수도정비 기본계획 | 하수관(Ø400mm+) 연결, CCTV 관로 내부 검사 및 통수 담수 시험 | 하수도사업소 현장 인수</t>
  </si>
  <si>
    <t>1) 하수관(Ø400mm+) 연결 부설 ➔ 2) CCTV 관로 내부 검사 시행 ➔ 3) 통수 담수 시험 완료 ➔ 4) 하수도 관로 이설 감리 승인</t>
  </si>
  <si>
    <t>하수관(Ø400mm+) 연결 부설, CCTV 관로 내부 검사 &amp; 통수 담수 시험 합격 (하수도사업소 인수)</t>
  </si>
  <si>
    <t>하수도 공사 표준시방서</t>
  </si>
  <si>
    <t>하수 역류 및 구배 불량으로 인한 관로 침전 리스크 예방</t>
  </si>
  <si>
    <t>하수도 정밀 측량 기술자 자문</t>
  </si>
  <si>
    <t>2000-4-4</t>
  </si>
  <si>
    <t>D+28</t>
  </si>
  <si>
    <t>도시가스관 이설 공사</t>
  </si>
  <si>
    <t>공사팀 (협의: 한국가스공사, 삼천리)</t>
  </si>
  <si>
    <t>도시가스사업법 규정 | 가스관(중압/아중압) 비파괴검사(RT 100%) 및 기밀 시험 합격 | 도시가스사 1:1 입회 검측</t>
  </si>
  <si>
    <t>1) 도시가스관 매설 &amp; 용접 ➔ 2) 비파괴검사(RT 100%) &amp; 기밀 시험 ➔ 3) 도시가스사 1:1 입회 검측 ➔ 4) 가스관 이설 완료 승인</t>
  </si>
  <si>
    <t>도시가스관 매설 &amp; 용접, 비파괴검사(RT 100%) 및 기밀 시험 합격 (도시가스사 1:1 입회)</t>
  </si>
  <si>
    <t>도시가스사업법 및 KGC 가스안전 기준</t>
  </si>
  <si>
    <t>가스 누출 및 폭발 대형 안전사고 리스크 방지</t>
  </si>
  <si>
    <t>가스안전공사 및 삼천리가스 전문 자문</t>
  </si>
  <si>
    <t>2000-4-5</t>
  </si>
  <si>
    <t>지역난방관 이설 공사</t>
  </si>
  <si>
    <t>공사팀 (협의: 한국지역난방공사)</t>
  </si>
  <si>
    <t>집단에너지사업법 규정 | 난방 수송관 100% 비파괴검사 및 보온재 피복 랩핑 검수 | 지역난방공사 시운전 인수</t>
  </si>
  <si>
    <t>1) 난방 수송관 매설 &amp; 용접 ➔ 2) 100% 비파괴검사 &amp; 피복 랩핑 ➔ 3) 지역난방공사 시운전 인수 ➔ 4) 지역난방관 이설 감리 승인</t>
  </si>
  <si>
    <t>난방 수송관 매설 &amp; 용접, 100% 비파괴검사 및 피복 랩핑 검수 (지역난방공사 인수)</t>
  </si>
  <si>
    <t>한국지역난방공사 열수송관 기술기준</t>
  </si>
  <si>
    <t>열수송관 누수 및 난방 공급 중단 리스크 방지</t>
  </si>
  <si>
    <t>지역난방공사 열수송관 전문 자문</t>
  </si>
  <si>
    <t>2000-4-6</t>
  </si>
  <si>
    <t>D+35</t>
  </si>
  <si>
    <t>통신관로 및 케이블 이설 공사</t>
  </si>
  <si>
    <t>공사팀 (협의: KT, LGU+, SKT)</t>
  </si>
  <si>
    <t>전기통신사업법 준수 | 통신 광케이블 관로 부설 및 절연 저항/광손실 실측 | KT/SKT 통신사 광신호 시험 승인</t>
  </si>
  <si>
    <t>1) 통신 광케이블 관로 부설 ➔ 2) 광케이블 포설 &amp; 접속 ➔ 3) 절연저항 &amp; 광손실 시험 ➔ 4) KT/SKT 통신사 광신호 승인</t>
  </si>
  <si>
    <t>통신 광케이블 관로 부설, 절연 저항 &amp; 광손실 실측 합격 (KT/SKT 광신호 승인)</t>
  </si>
  <si>
    <t>정보통신 표준품셈 및 통신관로 공사 기준</t>
  </si>
  <si>
    <t>광케이블 절단으로 인한 통신 마비 리스크 방지</t>
  </si>
  <si>
    <t>통신 3사 전담 엔지니어 자문</t>
  </si>
  <si>
    <t>2000-4-7</t>
  </si>
  <si>
    <t>D+40</t>
  </si>
  <si>
    <t>특고압 전력관로 이설 공사</t>
  </si>
  <si>
    <t>공사팀 (협의: 한국전력공사)</t>
  </si>
  <si>
    <t>전기공사업법 규정 | 22.9kV 특고압 전력 관로/맨홀 부설 및 절연내력 시험 | 한전(KEPCO) 현장 입회 휴전 Cut-over</t>
  </si>
  <si>
    <t>1) 22.9kV 특고압 관로/맨홀 부설 ➔ 2) 전력 케이블 인입 &amp; 내력 시험 ➔ 3) 한전 입회 휴전 Cut-over ➔ 4) 전력관로 이설 완료 승인</t>
  </si>
  <si>
    <t>22.9kV 특고압 관로/맨홀 부설, 절연내력 시험 합격 (한전 KEPCO 입회 휴전 Cut-over)</t>
  </si>
  <si>
    <t>한국전력공사 지중배전 건설기준</t>
  </si>
  <si>
    <t>특고압 케이블 감전 및 아크 단락 사고 리스크 방지</t>
  </si>
  <si>
    <t>한전 배전 전문 기술자 자문</t>
  </si>
  <si>
    <t>2000-5</t>
  </si>
  <si>
    <t>최종 점검, 정산 및 설계변경</t>
  </si>
  <si>
    <t>2000-5-1</t>
  </si>
  <si>
    <t>D+60</t>
  </si>
  <si>
    <t>상하수도 이설 시공 최종 점검</t>
  </si>
  <si>
    <t>현장 감리원 / 맑은물사업소</t>
  </si>
  <si>
    <t>송유관안전관리법 규정 | 송유관 비파괴 NDT 검사 및 초음파 탐상 시험 100% | 대한송유관공사 안전 인계</t>
  </si>
  <si>
    <t>1) 송유관 용접 부설 ➔ 2) NDT 비파괴검사 &amp; 초음파 탐상 ➔ 3) 송유관공사 안전 점검 ➔ 4) 송유관 이설 완료 서면 승인</t>
  </si>
  <si>
    <t>송유관 용접 부설, NDT 비파괴검사 및 초음파 탐상 시험 100% 합격 (대한송유관공사 인수)</t>
  </si>
  <si>
    <t>지방자치단체 시설물 인계인수 규정</t>
  </si>
  <si>
    <t>인계 미비로 인한 시설물 인수 거부 리스크 방지</t>
  </si>
  <si>
    <t>맑은물사업소 시설물 인계 전담자</t>
  </si>
  <si>
    <t>2000-5-2</t>
  </si>
  <si>
    <t>D+65</t>
  </si>
  <si>
    <t>위수탁 지하지장물 이설 최종 점검</t>
  </si>
  <si>
    <t>현장 감리원 / 위수탁기관</t>
  </si>
  <si>
    <t>상하수도 총괄 지침 | 신설 관로 수압·수질·CCTV 검사 종합 대장 작성 | 지자체 3자 합동 최종 현현 점검</t>
  </si>
  <si>
    <t>1) 신설 관로 종합 현측 ➔ 2) 수압/수질/CCTV 검사 종합 ➔ 3) 지자체 3자 합동 점검 ➔ 4) 상하수도 최종 점검 대장 승인</t>
  </si>
  <si>
    <t>신설 관로 종합 현측, 수압/수질/CCTV 검사 종합 대장 작성 및 지자체 3자 합동 점검</t>
  </si>
  <si>
    <t>위수탁 협약서 및 사후 정산 지침</t>
  </si>
  <si>
    <t>정산 금액 이견으로 인한 분담금 미지급 리스크 관리</t>
  </si>
  <si>
    <t>사후 정산 평가 전문 용역사 자문</t>
  </si>
  <si>
    <t>2000-5-3</t>
  </si>
  <si>
    <t>D+70</t>
  </si>
  <si>
    <t>상하수도 이설 정산 금액 검토</t>
  </si>
  <si>
    <t>위수탁 총괄 지침 | 위탁기관 1:1 현장 최종 인수 검측 및 3D BIM 준공 도면 대조 | 지장물 이설 준공 보고서</t>
  </si>
  <si>
    <t>1) 위탁기관 1:1 인수 검측 ➔ 2) 3D BIM 준공 도면 대조 ➔ 3) 이설 완료 현장 서명 ➔ 4) 준공 보고서 감리 서면 승인</t>
  </si>
  <si>
    <t>위탁기관 1:1 인수 검측, 3D BIM 준공 도면 대조 및 이설 준공 보고서 감리 서면 승인</t>
  </si>
  <si>
    <t>기획재정부 계약예규 공사계약일반조건</t>
  </si>
  <si>
    <t>설계변경 절차 미비로 인한 금액 삭감 리스크 방지</t>
  </si>
  <si>
    <t>토목 설계변경 및 계약 정산 전문가</t>
  </si>
  <si>
    <t>2000-5-4</t>
  </si>
  <si>
    <t>D+80</t>
  </si>
  <si>
    <t>위수탁 처리 정산금액 지급</t>
  </si>
  <si>
    <t>지방계약법 정산 수칙 | 실제 실정보고 투입 물량 및 단가 산정 정산서 작성 | 책임감리원 정산 금액 서면 승인</t>
  </si>
  <si>
    <t>1) 실정보고 투입 물량 집계 ➔ 2) 정산 단가 산정 서류 작성 ➔ 3) 정산서 감리 기술 검토 ➔ 4) 정산 금액 최종 서면 승인</t>
  </si>
  <si>
    <t>실정보고 투입 물량 집계, 정산 단가 산정 서류 작성 및 책임감리원 정산 금액 서면 승인</t>
  </si>
  <si>
    <t>지방재정법 및 PS 정산 지침</t>
  </si>
  <si>
    <t>PS 항목 정산 지연 리스크 방지</t>
  </si>
  <si>
    <t>발주처 재정 및 정산 담당 자문</t>
  </si>
  <si>
    <t>2000-5-5</t>
  </si>
  <si>
    <t>D+90</t>
  </si>
  <si>
    <t>도급자분/위수탁분 설계변경 정산</t>
  </si>
  <si>
    <t>현장 공무팀 / 화성시</t>
  </si>
  <si>
    <t>위수탁 정산 규정 | 관할 위탁기관에 최종 정산금 청구서 및 집행 영수증 작성 | 이설 정산금 집행 완료</t>
  </si>
  <si>
    <t>1) 위탁기관 정산 청구서 작성 ➔ 2) 증빙 영수증 &amp; 성과표 첨부 ➔ 3) 정산금 지급 수속 ➔ 4) 이설 정산금 집행 완료</t>
  </si>
  <si>
    <t>위탁기관 정산 청구서 작성, 증빙 영수증 &amp; 성과표 부착 및 이설 정산금 집행 완료</t>
  </si>
  <si>
    <t>국가계약법 및 화성시 도급계약 지침</t>
  </si>
  <si>
    <t>최종 계약 변경 지연 리스크 관리</t>
  </si>
  <si>
    <t>화성시 도급계약 및 준공 정산 전문가</t>
  </si>
  <si>
    <t>2000-6</t>
  </si>
  <si>
    <t>공사 선행/후행 공종 요구사항 연계</t>
  </si>
  <si>
    <t>2000-6-1</t>
  </si>
  <si>
    <t>D-90</t>
  </si>
  <si>
    <t>공사전 선행공종에서 인수받을 사항</t>
  </si>
  <si>
    <t>현장 사업단 / 공무팀</t>
  </si>
  <si>
    <t>건진법 설계변경 수칙 | 도급분 및 위수탁분 총사업비 변경 계약 체결 | 발주처 변경 공문 수령 완료</t>
  </si>
  <si>
    <t>1) 설계변경 총사업비 산정 ➔ 2) 도급/위수탁 변경 변경 수속 ➔ 3) 발주처 변경 공문 수령 ➔ 4) 설계변경 정산 최종 승인</t>
  </si>
  <si>
    <t>설계변경 총사업비 산정, 도급/위수탁 변경 변경 수속 및 발주처 변경 공문 수령</t>
  </si>
  <si>
    <t>선후행 공종 인수인계 규정</t>
  </si>
  <si>
    <t>선행 인수 미비로 인한 이설 중단 리스크 방지</t>
  </si>
  <si>
    <t>선행 공종 책임 감리원</t>
  </si>
  <si>
    <t>2000-6-2</t>
  </si>
  <si>
    <t>공사중 챙겨야할 후행공종의 요구사항</t>
  </si>
  <si>
    <t>현장 공사팀 / 강화노반팀</t>
  </si>
  <si>
    <t>공정 간섭 관리 지침 | 선행 토공 및 측량 기준점 성과 인수 대장 작성 | 3자 인계인수서 서명 완료</t>
  </si>
  <si>
    <t>1) 선행 토공 &amp; 측량 성과 인수 ➔ 2) 현장 지장물 인계인수 ➔ 3) 3자 합동 현측 실시 ➔ 4) 인계인수서 3자 서명 완료</t>
  </si>
  <si>
    <t>선행 토공 및 측량 성과 인수 대장 작성, 3자 합동 현측 및 인계인수서 서명 완료</t>
  </si>
  <si>
    <t>후행 공종 연계 인계 지침</t>
  </si>
  <si>
    <t>후행 궤도 시공 시 신규 이설 관로 재간섭 리스크 방지</t>
  </si>
  <si>
    <t>후행 강화노반 및 궤도 기술사</t>
  </si>
  <si>
    <t>9000-7</t>
  </si>
  <si>
    <t>9000-7-1</t>
  </si>
  <si>
    <t>지반조사 상세검토</t>
  </si>
  <si>
    <t>KDS 47 10 00 철도지반 설계기준 준수 | 시추 주상도, GPR 3D 매핑 및 N치 &lt; 4 연약지반 층후 경출 | PVD/DCM 개량 공법 확정</t>
  </si>
  <si>
    <t>1) 시추 주상도 &amp; GPR 3D 매핑 분석 ➔ 2) N치 &lt; 4 연약지반 심도 경계 추출 ➔ 3) PVD/DCM 개량 공법 검토 ➔ 4) 기술사 서명 지반조사 보고서 감리 승인</t>
  </si>
  <si>
    <t>시추 주상도 대조, GPR 지중 탐사 3D 매핑 및 N치 &lt; 4 연약지반 층후 경출 (PVD/DCM 개량 승인)</t>
  </si>
  <si>
    <t>● 설계 지반 정수 및 지층 상태 적합성 검토</t>
  </si>
  <si>
    <t>9000-7-2</t>
  </si>
  <si>
    <t>D-70</t>
  </si>
  <si>
    <t>KCS 47 10 25 시방 검토 | 쇄석 입도 50mm 및 다짐도 ≥ 95% 명시 | 3D BIM 도면 대조 &amp; 리스크 예비비 수립 킥오프 승인</t>
  </si>
  <si>
    <t>1) 발주처 시방서 요구조건 분석 ➔ 2) 3D BIM 도면 표고/구배 검증 ➔ 3) 지장물/용지 리스크 예비비 수립 ➔ 4) 발주·감리·시공 3자 킥오프 결재</t>
  </si>
  <si>
    <t>KCS 47 10 25 시방 검토, 쇄석 입도 50mm/다짐도 95% 명시 및 3D BIM 도면 대조 (발주전략 킥오프 결재)</t>
  </si>
  <si>
    <t>● 본사 유관부서 발주 조달 기준 만족</t>
  </si>
  <si>
    <t>9000-7-3</t>
  </si>
  <si>
    <t>철도보호지구에서의 행위신고(필요시)</t>
  </si>
  <si>
    <t>철도안전법 제45조 준수 | 궤도 중심 30m 법정 경계 측량(오차 ≤ 5mm) | 행위신고서 작성 및 운행선안전관리자 1:1 배치</t>
  </si>
  <si>
    <t>1) 궤도 중심 30m 법정 경계 측량 ➔ 2) 행위신고서/안전계획서 접수 ➔ 3) 관할 철도운영기관 기술 심의 ➔ 4) 운행선안전관리자 현장 1:1 배치</t>
  </si>
  <si>
    <t>궤도 중심 30m 법정 경계 측량(오차 ≤ 5mm), 행위신고서 접수 및 운행선안전관리자 1:1 현장 배치</t>
  </si>
  <si>
    <t>● 철도안전법 제45조</t>
  </si>
  <si>
    <t>9000-7-4</t>
  </si>
  <si>
    <t>D-35 (D-60~D-35)</t>
  </si>
  <si>
    <t>착수전 측량 Data 확인</t>
  </si>
  <si>
    <t>공공측량 작업규정 준수 | 국가 CP/TBM 기준점 인수 및 GRS80 수준측량(폐합오차 ≤ 5mm√K) | 현장 인조점 3개소 매설 성과 확보</t>
  </si>
  <si>
    <t>1) 국가 CP/TBM 기준점 인수 ➔ 2) GRS80 수준측량(폐합오차 ≤ 5mm√K) ➔ 3) 현장 인조점 3개소 매설 ➔ 4) 측량 성과표 작성 &amp; 3D BIM 승인</t>
  </si>
  <si>
    <t>국가 CP/TBM 기준점 인수, GRS80 수준측량(폐합오차 ≤ 5mm√K) 및 현장 인조점 3개소 매설 성과</t>
  </si>
  <si>
    <t>● 시공측량 기준 공차 만족</t>
  </si>
  <si>
    <t>9000-7-5</t>
  </si>
  <si>
    <t>지장물이설 협의</t>
  </si>
  <si>
    <t>지하안전관리에 관한 특별법 제23조 | GPR 지중 탐사 &amp; 인력 줄파기(깊이 1.5m) | 점용기관 입회 매달기 방호 및 이설 완료 승인</t>
  </si>
  <si>
    <t>1) GPR 3D 지중 관로 탐사 ➔ 2) 인력 시탐 줄파기(깊이 1.5m) ➔ 3) 관할 점용기관 1:1 현장 입회 ➔ 4) 매달기 방호 &amp; 지장물 이설 완료 승인</t>
  </si>
  <si>
    <t>GPR 3D 관로 탐사, 인력 시탐 줄파기(깊이 1.5m) 및 점용기관 1:1 현장 입회 매달기 방호</t>
  </si>
  <si>
    <t>● 지장물 이설 관련 인허가 요건</t>
  </si>
  <si>
    <t>9000-7-6</t>
  </si>
  <si>
    <t>용지보상RISK 검토</t>
  </si>
  <si>
    <t>토지보상법 준수 | 미보상 사유지 경계 현출 및 가설 펜스(H=1.8m) 설치 | 3D 우회 토공 동선 수립 및 마일스톤 연동</t>
  </si>
  <si>
    <t>1) 미보상 사유지 필지 추출 ➔ 2) 경계 가설 펜스(H=1.8m) 차단 ➔ 3) 3D 우회 토공 동선 수립 ➔ 4) 용지 보상 리스크 대책 감리 승인</t>
  </si>
  <si>
    <t>● 공정 지연 리스크 평가 기준</t>
  </si>
  <si>
    <t>9000-7-7</t>
  </si>
  <si>
    <t>건산법 상생협력 규정 | 토공 전문 기술자 1:1 전담 배치 | 발주·감리·시공 3자 주간 소통 회의 및 일일 TBM 시행</t>
  </si>
  <si>
    <t>1) 전담 기술자 1:1 배치 ➔ 2) 3자 주간 소통 회의 개최 ➔ 3) 근로자 환경 개선 &amp; TBM ➔ 4) One-Team 전담 조직표 서면 승인</t>
  </si>
  <si>
    <t>토공 전담 기술자 1:1 배치, 발주·감리·시공 3자 주간 소통 회의 및 일일 TBM/복지 지원</t>
  </si>
  <si>
    <t>● 협력사 검증 및 풀(Pool) 운영 기준</t>
  </si>
  <si>
    <t>9000-7-8</t>
  </si>
  <si>
    <t>D-35 (D-60~D-40)</t>
  </si>
  <si>
    <t>연약지반 처리공법 검토(필요시)</t>
  </si>
  <si>
    <t>건진법 시행령 제89조 | KCS 47 10 25 다짐 수칙(다짐도 ≥ 95%, K30 ≥ 110) 명시 | 착공 14일 전 책임감리단 기술 승인</t>
  </si>
  <si>
    <t>1) 시공계획서 표준 8대 목차 작성 ➔ 2) KCS 47 10 25 수치 명시 ➔ 3) 착공 14일 전 감리단 제출 ➔ 4) 책임감리원 최종 서면 승인</t>
  </si>
  <si>
    <t>시공계획서 표준 8대 목차, KCS 47 10 25 다짐 수칙 수록 및 착공 14일 전 감리 서면 승인</t>
  </si>
  <si>
    <t>● 지반 개량 기술 시방 만족</t>
  </si>
  <si>
    <t>9000-7-9</t>
  </si>
  <si>
    <t>D-35 (D-45~D-35)</t>
  </si>
  <si>
    <t>토공 유동표 확인</t>
  </si>
  <si>
    <t>건설근로자법 준수 | 공종별 기술 수첩 및 장비 조종원 면허 1:1 현측 | 일일 음주 측정(0.00%) 및 작업조 조직표 승인</t>
  </si>
  <si>
    <t>1) 토공 롤러/그레이더 조종원 자격 검증 ➔ 2) 건설기계 면허증 1:1 대조 ➔ 3) 일일 음주 측정 &amp; Safety TBM ➔ 4) 작업조 편성표 감리 승인</t>
  </si>
  <si>
    <t>조종원/기술자 자격 수첩 1:1 대조, 건설기계 면허증 검증 및 일일 음주 측정(0.00%)/TBM</t>
  </si>
  <si>
    <t>● 건설기계 조합 선정 기준</t>
  </si>
  <si>
    <t>9000-7-10</t>
  </si>
  <si>
    <t>D-30 (D-50~D-30)</t>
  </si>
  <si>
    <t>건설기계관리법 제13조 | 자중 10t+ 강동/타이어 롤러 및 3D GPS 모터그레이더 정기검사 검수 | 후방 센서 점검 및 반입 허가</t>
  </si>
  <si>
    <t>1) 10t+ 강동/타이어 롤러 사양 확정 ➔ 2) 정기검사증 &amp; 등록증 검수 ➔ 3) 3D GPS 수신기/후방 카메라 점검 ➔ 4) 장비 반입 승인서 감리 결재</t>
  </si>
  <si>
    <t>자중 10t+ 강동/타이어 롤러 정기검사증, 3D GPS 수신기/후방 카메라 센서 테스트 및 반입 승인</t>
  </si>
  <si>
    <t>● 토지 사용 동의 및 합의 조건 검토</t>
  </si>
  <si>
    <t>9000-7-11</t>
  </si>
  <si>
    <t>D-30 (D-40~D-30)</t>
  </si>
  <si>
    <t>폐기물처리계획 수립</t>
  </si>
  <si>
    <t>KCS 47 10 25 쇄석 입도 규정 | 최대입경 50mm 이하, #200체 통과량 ≤ 5% | 수정다짐 CBR ≥ 30% 성적 산출 및 입도 DB 구축</t>
  </si>
  <si>
    <t>1) 석산 공급원 사전 승인 수속 ➔ 2) 쇄석 입도(Dmax 50mm) 체가름 시험 ➔ 3) 수정다짐 CBR(≥30%) 성적 산출 ➔ 4) 노반 재료 입도 DB 감리 승인</t>
  </si>
  <si>
    <t>쇄석 최대입경(Dmax ≤ 50mm), #200체 통과량(≤ 5%) 및 수정다짐 CBR(≥ 30%) 성적서 DB</t>
  </si>
  <si>
    <t>● 폐기물관리법 규정 준수</t>
  </si>
  <si>
    <t>9000-7-12</t>
  </si>
  <si>
    <t>철도운행협의(필요시)</t>
  </si>
  <si>
    <t>토양환경보전법 준수 | 화성시 정식 사토장 인허가 확인 | 최대건조밀도 γd max ≥ 1.90g/cm³ &amp; 토양오염 8개 항목 검사 완수</t>
  </si>
  <si>
    <t>1) 화성시 정식 사토장 허가 검증 ➔ 2) γd max ≥ 1.90g/cm³ &amp; 오염 시험 ➔ 3) 덤프 운행 송장 일일 집계 ➔ 4) 사토 계획서 감리 서면 승인</t>
  </si>
  <si>
    <t>화성시 정식 사토장 인허가, 최대건조밀도 γd max ≥ 1.90g/cm³ 및 토양오염 8개 항목 검사 합격</t>
  </si>
  <si>
    <t>● 철도 안전 및 운행 협의 지침 준수</t>
  </si>
  <si>
    <t>9000-7-13</t>
  </si>
  <si>
    <t>작수전 Big Room 회의</t>
  </si>
  <si>
    <t>KCS 47 10 25 임시 배수 시방 | 성토 사면 가배수로(0.6×0.6m) &amp; 가침사지 2개소 | HDPE 유공관(Ø200mm, 구배 ≥ 0.5%) 부설</t>
  </si>
  <si>
    <t>1) 가배수로(0.6×0.6m) &amp; 가침사지 설계 ➔ 2) HDPE 유공관(Ø200mm) 자재 검수 ➔ 3) 비상 양수 펌프(200L/min) 비치 ➔ 4) 배수 처리 계획서 감리 승인</t>
  </si>
  <si>
    <t>성토 사면 가배수로(0.6×0.6m), 가침사지 2개소 및 HDPE 유공관(Ø200mm, 구배 ≥ 0.5%) 설치</t>
  </si>
  <si>
    <t>● 토목 및 궤도 인터페이스 관리 지침</t>
  </si>
  <si>
    <t>9000-7-14</t>
  </si>
  <si>
    <t>시공 계획 수립</t>
  </si>
  <si>
    <t>건진법 제62조 준수 | 국토안전관리원 전산 적정 심사 필 | CSI 건설공사 안전관리 종합망 전산 등록 및 감리 승인</t>
  </si>
  <si>
    <t>1) 건진법 제62조 안전관리계획 작성 ➔ 2) 국토안전관리원 전산 적정 심사 ➔ 3) CSI 안전관리 종합망 등록 ➔ 4) 책임감리원 서면 승인</t>
  </si>
  <si>
    <t>건진법 제62조 안전관리계획서 작성, 국토안전관리원 적정 심사 및 CSI 전산망 등록 결재</t>
  </si>
  <si>
    <t>● 시방 기준 및 토공사 지침 준수</t>
  </si>
  <si>
    <t>9000-7-15</t>
  </si>
  <si>
    <t>사토장/토취장 선정 검토(필요시)</t>
  </si>
  <si>
    <t>건진법 제55조 준수 | 노반 다짐도(500m³당 1회), K30(2,000m²당 1회), Ev2(1,000m²당 1회) | 현장 시험실 장비 교정 검수</t>
  </si>
  <si>
    <t>1) 다짐도/K30/Ev2 시험 빈도 수립 ➔ 2) 현장 시험실 장비 교정 검수 ➔ 3) 착공 14일 전 감리단 제출 ➔ 4) 품질관리계획서 감리 서면 승인</t>
  </si>
  <si>
    <t>노반 다짐도(500m³당 1회), K30(2,000m²당 1회), Ev2(1,000m²당 1회) 시험 빈도 &amp; 장비 교정</t>
  </si>
  <si>
    <t>● 환경 영향 및 골재 채취 인허가 적합성</t>
  </si>
  <si>
    <t>9000-7-16</t>
  </si>
  <si>
    <t>공사사전준비</t>
  </si>
  <si>
    <t>대기환경보전법 제44조 | 지자체 비산먼지 발생사업 신고 필 | 이동식 세륜기(깊이 1.2m) &amp; 가설 방음벽(H=3m) 가동</t>
  </si>
  <si>
    <t>1) 세륜기(깊이 1.2m) &amp; 방음벽(3m) 설계 ➔ 2) 지자체 비산먼지 발생신고 ➔ 3) 살수차 1일 3회 살수 ➔ 4) 환경관리계획서 감리 서면 승인</t>
  </si>
  <si>
    <t>지자체 비산먼지 발생신고 필증, 이동식 세륜기(깊이 1.2m) &amp; 가설 방음벽(H=3m) 가동 점검</t>
  </si>
  <si>
    <t>● 리스크 사전 예방 및 통제 기준</t>
  </si>
  <si>
    <t>9000-7-17</t>
  </si>
  <si>
    <t>D-25 (D-30~D-25)</t>
  </si>
  <si>
    <t>임시배수시설</t>
  </si>
  <si>
    <t>도로교통법 제69조 | 동탄경찰서 교통안전 심의 및 도로점용 허가 수령 | 전담 안전 신호수(2인 2조) 및 LED 경광등 배치</t>
  </si>
  <si>
    <t>● 비산먼지 및 수질오염 방지 대책 기준</t>
  </si>
  <si>
    <t>9000-7-18</t>
  </si>
  <si>
    <t>D-10 (D-30~D-10)</t>
  </si>
  <si>
    <t>쌓기재료 검사</t>
  </si>
  <si>
    <t>건산법 제29조 준수 | 토공 전문건설업 면허 및 하도급율(≥ 82%) 적정성 심사 | 노무비 지급 전용계좌 지정 및 계약 승인</t>
  </si>
  <si>
    <t>1) 토공 전문 면허 &amp; 실적 심사 ➔ 2) 하도급 적정성 평가(≥82%) ➔ 3) 노무비 지급 전용계좌 지정 ➔ 4) 하도급 계약 승인 통보서 결재</t>
  </si>
  <si>
    <t>토공 전문건설업 면허/실적 심사, 하도급 비율(≥ 82%) 평가 및 노무비 지급 전용계좌 지정</t>
  </si>
  <si>
    <t>● 토공 성토 재료 규격 기준 준수</t>
  </si>
  <si>
    <t>9000-7-19</t>
  </si>
  <si>
    <t>KCS 47 10 25 자재 검수 | KS F 2527 쇄석골재, HDPE 유공관, 부직포(200g/m²) 공인성적서 | 현장 반입 검수 및 승인 통보</t>
  </si>
  <si>
    <t>1) KS F 2527 쇄석/유공관 서류 검토 ➔ 2) 공인시험기관 시험성적서 부착 ➔ 3) 자재 승인 신청서 제출 ➔ 4) 자재 반입 검수 및 승인 결재</t>
  </si>
  <si>
    <t>KS F 2527 쇄석골재, HDPE 유공관, 투수성 부직포(200g/m²) 공인성적서 및 현장 반입 검수</t>
  </si>
  <si>
    <t>● 다짐 장비 기능 및 안전 상태 검증</t>
  </si>
  <si>
    <t>9000-7-20</t>
  </si>
  <si>
    <t>D+0~10</t>
  </si>
  <si>
    <t>선로 종/횡단 및 용지경계측량</t>
  </si>
  <si>
    <t>KCS 47 10 25 현장 시험 수칙 | 50m 시험 구간 쇄석 30cm 부설 | 패스별 침하량 실측(침하 정지 Δh ≤ 1mm) 강동 4회 다짐 확정</t>
  </si>
  <si>
    <t>1) 50m 시험 다짐 구간 지정 ➔ 2) 쇄석 30cm 두께 포설 ➔ 3) 패스별 침하량(Δh≤1mm) 측정 ➔ 4) 다짐 횟수(강동 4회) 보고서 승인</t>
  </si>
  <si>
    <t>50m 시험 구간 쇄석 30cm 포설, 패스별 침하량(Δh ≤ 1mm) 실측 및 강동 4회 다짐 횟수 확정</t>
  </si>
  <si>
    <t>● 선로 측량 정밀도 규격 준수</t>
  </si>
  <si>
    <t>9000-7-21</t>
  </si>
  <si>
    <t>규준틀 설치</t>
  </si>
  <si>
    <t>KCS 47 10 25 원지반 규정 | 유기질 표토(15~30cm) 제거 및 전압 다짐 | 원지반 K30 ≥ 70 MN/m³ 시험 &amp; 덤프트럭 펌핑 점검</t>
  </si>
  <si>
    <t>1) 표토(15~30cm) 제거 &amp; 정전압 다짐 ➔ 2) 원지반 표고 레벨 측량 ➔ 3) K30(≥70 MN/m³) &amp; 펌핑 검측 ➔ 4) 원지반 검측 성과표 감리 승인</t>
  </si>
  <si>
    <t>유기질 표토(15~30cm) 제거전압 다짐, 원지반 K30 ≥ 70 MN/m³ 평판재하 및 덤프 펌핑 점검</t>
  </si>
  <si>
    <t>● 규준틀 설치 위치 및 간격 한계 기준</t>
  </si>
  <si>
    <t>9000-7-22</t>
  </si>
  <si>
    <t>D+10~200</t>
  </si>
  <si>
    <t>준비배수</t>
  </si>
  <si>
    <t>KCS 47 10 25 하부노반 시방 | 토사 층두께 ≤ 30cm 포설 다짐 | 들밀도 다짐도 ≥ 90% (KS F 2311) &amp; K30 ≥ 90 MN/m³ 검측</t>
  </si>
  <si>
    <t>1) 하부노반 30cm 층포설 &amp; 다짐 ➔ 2) 들밀도(≥90%) &amp; K30(≥90) 시험 ➔ 3) 마무리면 레벨 오차(±20mm) 검측 ➔ 4) 하부노반 검측서 감리 승인</t>
  </si>
  <si>
    <t>토사 층두께 ≤ 30cm 포설 다짐, 들밀도 다짐도 ≥ 90% (KS F 2311) 및 K30 ≥ 90 MN/m³ 검측</t>
  </si>
  <si>
    <t>● 지하수 및 지표수 유도 배수 기준</t>
  </si>
  <si>
    <t>9000-7-23</t>
  </si>
  <si>
    <t>벌개제근/표토제거</t>
  </si>
  <si>
    <t>KCS 47 10 25 상부노반 시방 | 토사 30cm 포설 다짐 | 맹암거 투수성 부직포(200g/m²) &amp; HDPE 유공관(Ø200mm) 매몰 검측</t>
  </si>
  <si>
    <t>1) 상부노반 토사 30cm 포설 ➔ 2) 맹암거 부직포(200g/m²) 부설 ➔ 3) HDPE 유공관(Ø200mm) 종단 연결 ➔ 4) 상부노반 시공 감리 서면 승인</t>
  </si>
  <si>
    <t>상부노반 토사 30cm 포설, 맹암거 투수성 부직포(200g/m²) 및 HDPE 유공관(Ø200mm) 매몰 검측</t>
  </si>
  <si>
    <t>● 제거 대상 잔재물 처리 기준</t>
  </si>
  <si>
    <t>9000-7-24</t>
  </si>
  <si>
    <t>구조물 및 지장물 제거</t>
  </si>
  <si>
    <t>KCS 47 10 25 강화노반 쇄석 시방 | 3D GPS 쇄석(50mm) 30cm 포설 | 최적함수비 OMC 살수 &amp; 강동 4회/타이어 2회 다짐 (표고 오차 ±10mm)</t>
  </si>
  <si>
    <t>1) 3D GPS 모터그레이더 쇄석(50mm) 30cm 포설 ➔ 2) 살수차 최적함수비 OMC 살수 ➔ 3) 강동 4회 + 타이어 2회 다짐 ➔ 4) 표고 오차(±10mm) 검측 감리 승인</t>
  </si>
  <si>
    <t>3D GPS 쇄석(50mm) 30cm 포설, OMC 분무 살수 및 강동 4회/타이어 2회 다짐 (표고 오차 ±10mm)</t>
  </si>
  <si>
    <t>● 지장물 철거 및 처리 규정 준수</t>
  </si>
  <si>
    <t>9000-7-25</t>
  </si>
  <si>
    <t>KCS 47 10 25 다짐 검측 수칙 | 노반 들밀도 다짐도 ≥ 95% | K30 ≥ 110 MN/m³ &amp; 동적변형계수 Ev2 ≥ 60 MPa (Ev2/Ev1 ≤ 2.2) 검측</t>
  </si>
  <si>
    <t>1) 들밀도 시험(다짐도 ≥ 95%) ➔ 2) K30 평판재하시험(≥ 110 MN/m³) ➔ 3) 동적변형계수 Ev2(≥ 60 MPa) 시험 ➔ 4) 다짐 검측 종합 보고서 승인</t>
  </si>
  <si>
    <t>노반 들밀도 다짐도 ≥ 95%, 평판재하 K30 ≥ 110 MN/m³ 및 동적변형계수 Ev2 ≥ 60 MPa (Ev2/Ev1 ≤ 2.2)</t>
  </si>
  <si>
    <t>● 가설 도로 시공 규격 및 배수 조건 준수</t>
  </si>
  <si>
    <t>9000-7-26</t>
  </si>
  <si>
    <t>D+10~180</t>
  </si>
  <si>
    <t>노반쌓기</t>
  </si>
  <si>
    <t>KS F 2310 규정 준수 | Ø300mm 재하판 산모래 밀착 및 15t 유압 잭 하중 재하 | 1.25mm 침하 P-S 곡선 산출 K30 ≥ 110 MN/m³ 성적서</t>
  </si>
  <si>
    <t>1) Ø300mm 재하판 산모래 밀착 ➔ 2) 15t 유압 잭 &amp; 다이얼 게이지 교정 ➔ 3) 1.25mm 침하 P-S 곡선 산출 ➔ 4) K30 ≥ 110 MN/m³ 성적서 승인</t>
  </si>
  <si>
    <t>Ø300mm 재하판 산모래 밀착, 15t 유압 잭 재하 및 1.25mm 침하 P-S 곡선 K30 ≥ 110 MN/m³ 성적서</t>
  </si>
  <si>
    <t>● 다짐도 및 층두께 규격 준수</t>
  </si>
  <si>
    <t>9000-7-27</t>
  </si>
  <si>
    <t>하부노반 시공</t>
  </si>
  <si>
    <t>DIN 18134 규정 준수 | LWD 동적 평판재하시험 1,000m²당 1회 | 2차 변형계수 Ev2 ≥ 60 MPa &amp; 변형계수 비율 Ev2/Ev1 ≤ 2.2 검측</t>
  </si>
  <si>
    <t>1) LWD 동적 평판재하시험기 교정 ➔ 2) 1,000m²당 1회 무작위 시험 ➔ 3) 1차/2차 하중 재하 Ev2/Ev1 산출 ➔ 4) Ev2 ≥ 60 MPa 성적서 감리 승인</t>
  </si>
  <si>
    <t>LWD 동적 평판재하시험 1,000m²당 1회, 2차 변형계수 Ev2 ≥ 60 MPa 및 비율 Ev2/Ev1 ≤ 2.2 검측</t>
  </si>
  <si>
    <t>● 하부노반 재료 규격 및 최대 입경 준수</t>
  </si>
  <si>
    <t>9000-7-28</t>
  </si>
  <si>
    <t>상부노반 시공</t>
  </si>
  <si>
    <t>KCS 47 10 25 평탄성 수칙 | 3m 알루미늄 직선자 20m 간격 연속 측정 | 최대 갭 오차 ±10mm 이내 통제 &amp; 요철 부위 삭평 재다짐</t>
  </si>
  <si>
    <t>1) 3m 알루미늄 직선자 교정 ➔ 2) 20m 간격 종횡단 연속 검측 ➔ 3) 갭 오차(±10mm) 요철 삭평/재다짐 ➔ 4) 평탄성 검측 성과표 감리 승인</t>
  </si>
  <si>
    <t>3m 알루미늄 직선자 20m 간격 연속 측정, 최대 갭 오차 ±10mm 이내 통제 및 요철 삭평/재다짐</t>
  </si>
  <si>
    <t>● 상부노반 재료 규격 및 다짐 기준 만족</t>
  </si>
  <si>
    <t>9000-7-29</t>
  </si>
  <si>
    <t>강화노반 시공</t>
  </si>
  <si>
    <t>KCS 47 10 25 측량 지침 | GRS80 광학 토탈스테이션 10m 간격 연속 측량 | 중심선(X,Y) 및 표고(Z) 오차 ±10mm 3D BIM 검측</t>
  </si>
  <si>
    <t>1) GRS80 토탈스테이션 정밀 세팅 ➔ 2) 10m 간격 중심선 &amp; 표고 실측 ➔ 3) 3D BIM CAD 좌표(오차 ±10mm) 대조 ➔ 4) 종횡단 성과표 감리 승인</t>
  </si>
  <si>
    <t>GRS80 광학 토탈스테이션 10m 간격 측정, 궤도 중심선(X,Y) 및 표고(Z) 오차 ±10mm 3D BIM 검측</t>
  </si>
  <si>
    <t>● 입도조정 쇄석 품질 및 다짐도(98% 이상) 준수</t>
  </si>
  <si>
    <t>9000-7-30</t>
  </si>
  <si>
    <t>D+45~180</t>
  </si>
  <si>
    <t>토공 유동운반/사토</t>
  </si>
  <si>
    <t>건진법 NCR 조치 절차 | 감리단 부적합 통지서 수령 후 표면 15cm 파쇄 | OMC 살수 재다짐 및 1:1 재검측 NCR 서면 종결 승인</t>
  </si>
  <si>
    <t>1) 감리단 NCR 통지서 수령 ➔ 2) 해당 구역 표면 15cm 파쇄 &amp; OMC 재다짐 ➔ 3) 1:1 재검측(다짐도/K30/Ev2) ➔ 4) NCR 조치 결과 보고서 감리 종결 승인</t>
  </si>
  <si>
    <t>감리단 부적합(NCR) 수령 후 해당 구역 표면 15cm 파쇄, OMC 살수 재다짐 및 1:1 재검측 서면 종결</t>
  </si>
  <si>
    <t>● 사토장 운영 및 토량 배분 지침 준수</t>
  </si>
  <si>
    <t>9000-7-31</t>
  </si>
  <si>
    <t>D+45~240</t>
  </si>
  <si>
    <t>연약지반처리(필요시)</t>
  </si>
  <si>
    <t>KCS 47 10 25 성토 사면 수칙 | 사면 비탈면 경사(1:1.5 이하) 측량 | 사면 다짐도 ≥ 90% 검측 &amp; 식생 거적 덮개(Jute Mat) 부설</t>
  </si>
  <si>
    <t>1) 성토 사면 경사(1:1.5 이하) 측량 ➔ 2) 사면 다짐도(≥ 90%) 검측 ➔ 3) 식생 거적(Jute Mat) 30cm 겹침 부설 ➔ 4) 사면 다짐 성과표 감리 승인</t>
  </si>
  <si>
    <t>성토 사면 비탈면 경사(1:1.5 이하) 측량, 사면 다짐도 ≥ 90% 검측 및 식생 거적(Jute Mat) 부설</t>
  </si>
  <si>
    <t>● 개량 공법 규격 및 침하량 관리 기준 준수</t>
  </si>
  <si>
    <t>9000-7-32</t>
  </si>
  <si>
    <t>절성토경계부 배수구조물(맹암거) 시공</t>
  </si>
  <si>
    <t>KCS 47 10 25 노반 배수 시방 | U형 측구(0.4×0.4m, 버림 10cm) 부설 | 집수정 인버트 모타르 사춤, 주철 그레이팅 체결 &amp; 담수 시험</t>
  </si>
  <si>
    <t>1) U형 측구 기초 버림(10cm) 타설 ➔ 2) U형 측구(0.4×0.4m) 부설 &amp; 인버트 사춤 ➔ 3) 주철 그레이팅 체결 &amp; 담수 시험 ➔ 4) 배수시설 검측서 감리 승인</t>
  </si>
  <si>
    <t>U형 측구(0.4×0.4m, 버림 10cm) 부설, 집수정 인버트 모타르 사춤 및 주철 그레이팅 체결/담수 시험</t>
  </si>
  <si>
    <t>● 맹암거 구배 및 필터재료 규격 준수</t>
  </si>
  <si>
    <t>9000-7-33</t>
  </si>
  <si>
    <t>암석쌓기</t>
  </si>
  <si>
    <t>KCS 47 10 25 완성면 관리 규정 | 통제 바리케이트(중장비 진입 100% 차단) | 미세 분무 살수(골재이탈 예방) &amp; 완성면 보호 대장 작성</t>
  </si>
  <si>
    <t>1) 완성면 통제 바리케이트 설치 ➔ 2) 미세 분무 살수 &amp; 비닐 덮개 야적 ➔ 3) 일일 완성면 훼손 점검 ➔ 4) 완성면 보호 점검 대장 감리 승인</t>
  </si>
  <si>
    <t>통제 바리케이트(중장비 진입 100% 차단), 미세 분무 살수(골재이탈 예방) 및 완성면 보호 대장 작성</t>
  </si>
  <si>
    <t>● 암석 최대 치수 및 공극 충전 공법 준수</t>
  </si>
  <si>
    <t>9000-7-34</t>
  </si>
  <si>
    <t>방치기간 확보</t>
  </si>
  <si>
    <t>건진법 시행규칙 공사기록 | 일일 투입 인원, 장비, 성토 물량(m³) 정밀 집계 | CSI 건설공사 관리 시스템 전산 등록 &amp; 감리 일일 직인</t>
  </si>
  <si>
    <t>1) 일일 인원/장비/물량 집계 ➔ 2) 품질 시험 성적 &amp; TBM 수록 ➔ 3) CSI 전산 시스템 등록 ➔ 4) 책임감리원 일일 서면 직인 결재</t>
  </si>
  <si>
    <t>일일 투입 인원/장비/성토 물량(m³) 집계, CSI 전산 관리 시스템 등록 및 감리 일일 서면 직인</t>
  </si>
  <si>
    <t>● 노반 잔류침하량 수렴 기준 확인</t>
  </si>
  <si>
    <t>9000-7-35</t>
  </si>
  <si>
    <t>D+55~240</t>
  </si>
  <si>
    <t>토공마무리</t>
  </si>
  <si>
    <t>건진법 &amp; KCS 47 10 25 총괄 수칙 | 공사 착수 24시간 전 검측 요청서 제출 | 책임감리원 1:1 현장 입회 &amp; 16개 체크리스트 서명 대장</t>
  </si>
  <si>
    <t>1) 공종별 검측요청서 24시간 전 제출 ➔ 2) 책임감리원 1:1 현장 입회 ➔ 3) 16개 체크리스트 서명 ➔ 4) 검측 총괄 승인 대장 감리 결재</t>
  </si>
  <si>
    <t>공사 착수 24시간 전 검측 요청서 제출, 책임감리원 1:1 현장 입회 및 16개 체크리스트 서명 대장</t>
  </si>
  <si>
    <t>● 설계 종횡단 경사 및 평탄성 만족</t>
  </si>
  <si>
    <t>9000-7-36</t>
  </si>
  <si>
    <t>토공 마무리면 인계</t>
  </si>
  <si>
    <t>KCS 47 10 25 최종 인계인수 | 토공-궤도-감리 3자 합동 현측(표고 ±10mm, K30 ≥ 110) | 인계인수 합의서 서명 및 노반 완공 통보</t>
  </si>
  <si>
    <t>1) 3자(토공-궤도-감리) 합동 현측 ➔ 2) 표고(±10mm) &amp; K30(≥110) 재검측 ➔ 3) 인계인수 합의서 3자 서명 ➔ 4) 상부강화노반 최종 완공 통보</t>
  </si>
  <si>
    <t>토공-궤도-감리 3자 합동 현측(표고 ±10mm, K30 ≥ 110), 인계인수 합의서 서명 및 완공 통보</t>
  </si>
  <si>
    <t>● 후속 공종 인도 기준 오차 관리</t>
  </si>
  <si>
    <t>9000-6</t>
  </si>
  <si>
    <t>콘크리트도상분야</t>
  </si>
  <si>
    <t>9000-6-1</t>
  </si>
  <si>
    <t>D-120 (D-150~D-120)</t>
  </si>
  <si>
    <t>설계적정성 검토</t>
  </si>
  <si>
    <t>노반부/궤도부 선형 및 종단 일치 등 설계오류 및 누락 확인</t>
  </si>
  <si>
    <t>노반부/궤도부 선형 및 종단 도면 및 설계 자료 비교 검토 실시
- 궤도 부속자재(체결구, 침목 등) 소요비 비용 설계반영 확인
- 유사시공사례 Case Study
- 지원: 본사담당팀(설계/수행/품질/외주)</t>
  </si>
  <si>
    <t>설계도면 검토서, 선형대조표</t>
  </si>
  <si>
    <t>KDS 47 30 00 궤도 설계기준 및 국토교통부 트램 건설 규칙을 엄격히 준수한다. 노반부-궤도부 선형 및 종단 계획고 일치 오차 0mm 검토.</t>
  </si>
  <si>
    <t>1) 하부 HBS 강화노반 지지력(K70 ≥ 150 MPa/m) 및 평탄성 사전 검측 확인
2) 궤도 정밀 검측: 궤간(1435mm), 캔트(±2mm), 수평(±2mm), 고저(±2mm/10m), 비틀림(1.5mm/3m) 실시간 검측</t>
  </si>
  <si>
    <t>설계 도면 간섭 검속, 궤도 중심선 계획 표고 대조, 종단 구배 한계치 준수 확인</t>
  </si>
  <si>
    <t>● 노반부 및 궤도 선형 기하학적 설계 기준 일치성</t>
  </si>
  <si>
    <t>9000-6-2</t>
  </si>
  <si>
    <t>D-100 (D-120~D-100)</t>
  </si>
  <si>
    <t>자재 야적장 선정</t>
  </si>
  <si>
    <t>콘크리트도상 시공에 필요한 침목, 체결구 등 자재야적 부지 선정</t>
  </si>
  <si>
    <t>- 야적장소는 반입자재 및 노반 구조물 파손 방지를 위해 연약지반, 방호벽의 침하 예상부위를 피해서 선정
- 타 분야(전철전력, 송변전, 건축, 신호통신) 간섭사항을 고려하여 동선이 겹치지 않도록 선정</t>
  </si>
  <si>
    <t>부지사용계약서, 가설야적장 평면도</t>
  </si>
  <si>
    <t>침목, 체결구, 홈레일 등 궤도 주요 자재의 현장 보관 기준 수립. 배수 경사 2% 및 지반 다짐도 95% 이상 야적장 확보.</t>
  </si>
  <si>
    <t>1) 야적 부지 지반재하시험(K70 ≥ 150 MPa/m)을 실시하여 하중 침하 여부 사전 검증
2) 장대레일 운반 트레일러(길이 30m 이상) 회전반경 및 크레인 인양 진입로 확보</t>
  </si>
  <si>
    <t>야적장 지반 다짐도 95% 이상, 배수 경사 2% 이상 확보, 자재 천막 덮개 구비</t>
  </si>
  <si>
    <t>● 궤도 자재의 환경 보호 및 보관 관리 지침</t>
  </si>
  <si>
    <t>9000-6-3</t>
  </si>
  <si>
    <t>레일 용접장 선정</t>
  </si>
  <si>
    <t>정척레일 15본을 용접하여 200m 이상의 장대레일 제작하는 작업장을 선정 (타분야 인터페이스 고려)</t>
  </si>
  <si>
    <t>- 용접기 설치, 정척레일 및 장대레일 보관장소를 고려, 최소 400m 이상의 공간을 확보하고 장대레일 분출 범위를 고려, 본선 용접장 선정
- 타 분야(전철전력, 송변전, 건축, 신호통신) 인터페이스 간섭사항 고려</t>
  </si>
  <si>
    <t>용접장 임시지정서, NDT 검사실 계획서</t>
  </si>
  <si>
    <t>EN 14730 테르밋 및 EN 14587 가스압접 용접을 위한 작업 공간 확보. 정척레일(25m)을 200m 장대로 용접하는 평탄 작업대 수평 오차 ±1mm 이내 확보.</t>
  </si>
  <si>
    <t>1) m 장대레일 일직선 이송을 위한 롤러대 기반 수평 정밀 측량 (오차 ±0.5mm/10m 이내)
2) 가스압접/플래시버트 용접용 대용량 전력 및 아세틸렌/산소 가스 안전 저장소 확보</t>
  </si>
  <si>
    <t>용접장 평탄성 오차 ±1mm 이내, 전력 공급 및 방풍 시설 완비, NDT(비파괴) 대기 공간 확보</t>
  </si>
  <si>
    <t>● 장대레일 제작장 확보 및 공간 레이아웃 만족</t>
  </si>
  <si>
    <t>9000-6-4</t>
  </si>
  <si>
    <t>궤도공사 발주전략 수립 / 발주조건 CP적합 여부 검토</t>
  </si>
  <si>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</si>
  <si>
    <t>KOM 의사록, 품질 보증 합의서</t>
  </si>
  <si>
    <t>KCS 47 30 00 시방 기준 준수. 궤도 자재 품질 확인서 및 외산 홈레일 조달 리스크 대응 전략 수립.</t>
  </si>
  <si>
    <t>1) 제조사 공장검사(FAT) 항목 및 궤도 정밀 검측 공차 기준 전파
2) KDS 47 30 00 및 KS 규격 만족 자재 목록 및 세부 발주 물량 확정</t>
  </si>
  <si>
    <t>품질 요구조건 특기시방서 의결, 외산 홈레일 선적일정 검토, 자재 인도 시점 확약</t>
  </si>
  <si>
    <t>● 본사 외주/수행 부서 및 토목견적팀 협의 지침 준수</t>
  </si>
  <si>
    <t>9000-6-5</t>
  </si>
  <si>
    <t>D-60 (D-90~D-60)</t>
  </si>
  <si>
    <t>우수 협력사 및 작업반 선정</t>
  </si>
  <si>
    <t>- 동일 환경조건 시공경험 보유 여부 검토
- 투입인원 경력, 현장이해도, 관리역량, 파트너 업체 검증</t>
  </si>
  <si>
    <t>협력사 적격성 심사표, 노무안전서약철</t>
  </si>
  <si>
    <t>EN ISO 9606-1 용접 자격자 및 궤도 정밀 검측원(Track Master 운용원) 확보 심사 기준.</t>
  </si>
  <si>
    <t>1) EN ISO 14730 용접원 자격증 및 광학 측량 기술자 자격 검증
2) 스핀들 게이지 조정, 캔트 달성구배, 테르밋 산화반응 제어 사전 모의 훈련</t>
  </si>
  <si>
    <t>용접공 자격증 원본 대조, 정밀 검측 장비 검교정 확인, 궤도 전문 기술사 면허 검토</t>
  </si>
  <si>
    <t>● 협력업체 역량 평가 및 등록 관리 기준 만족</t>
  </si>
  <si>
    <t>9000-6-6</t>
  </si>
  <si>
    <t>D-70 (D-70~D-60)</t>
  </si>
  <si>
    <t>콘크리트 타설방법/계획 검토</t>
  </si>
  <si>
    <t>현장여건에 따른 구간/위치별 적정 타설방법 및 계획 검토</t>
  </si>
  <si>
    <t>- 펌프카 타설: 공간이 넓거나, 교량 하부에서 타설이 가능한 경우 적용
- 압송관 타설: 교량이나 터널 (L=300~500m)에 적합
- 개조장비 타설: 개조 믹서트럭을 이용하여 타설</t>
  </si>
  <si>
    <t>콘크리트 타설공정 계획서, 펌프카 배치도</t>
  </si>
  <si>
    <t>KCS 47 30 00 콘크리트 궤도 시방 준수. 펌프카 타설압력에 의한 궤광 변위 방지 지지 계획 수립.</t>
  </si>
  <si>
    <t>1) TCL 콘크리트(f_ck ≥ 30 MPa) 및 PST 충전재(f_ck ≥ 45 MPa) 배합 성적서 확인
2) 레미콘 운반시간(60분 이내) 및 펌프카 배치 공간 사전 확보</t>
  </si>
  <si>
    <t>구간별 펌프카 배치도 작성, 타설 시 궤광 고정 잭 지지 계획 승인, 콘크리트 슬럼프 품질 확인</t>
  </si>
  <si>
    <t>● 콘크리트 연속타설 및 콜드조인트 방지 기준</t>
  </si>
  <si>
    <t>9000-6-7</t>
  </si>
  <si>
    <t>궤도공사 수행 시 공정계획 수립 / 수행 시 예상가능한 Risk 검토</t>
  </si>
  <si>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</si>
  <si>
    <t>빅룸 회의록, 인터페이스 대장</t>
  </si>
  <si>
    <t>노반-궤도 간 인터페이스, 신호 루프 센서 및 누설 전류(Stray Current) 부식 방지 디오드 접지선 매설 계획 의결.</t>
  </si>
  <si>
    <t>1) 노반-궤도 인수인계 높이 공차 및 신호 루프센서 위치 취합
2) 도로 매설 궤도 표면과 도로 포장 표면 마감 높이 일치성 확정</t>
  </si>
  <si>
    <t>신호 센서 매설 위치 철근 간섭 해결, 접지선 용접부 연속성 확인, 부서 합동 서명 날인</t>
  </si>
  <si>
    <t>● 유관 공종(토목, 전기, 신호) 인터페이스 검토</t>
  </si>
  <si>
    <t>9000-6-8</t>
  </si>
  <si>
    <t>장비,자재 반입로/반입구 간섭 검토</t>
  </si>
  <si>
    <t>현장공사팀</t>
  </si>
  <si>
    <t>장비, 자재의 반입로/반입구의 타공종 간섭 검토</t>
  </si>
  <si>
    <t>- 자재반입 시 노반 시공 간섭 검토
- 자재반입로/반입구 사용가능 시기 검토</t>
  </si>
  <si>
    <t>반입로 시뮬레이션 보고서, 도로점용 허가서</t>
  </si>
  <si>
    <t>장대레일 운반 트레일러(길이 25m 이상) 도로 회전 반경 R=15m 확보 및 타공종 가설재 간섭 배제.</t>
  </si>
  <si>
    <t>1) 상부 신호등/가공전선 이격거리(5m 이상) 및 도로점용 허가 구역 조사
2) 전담 신호수 배치 및 대형 레일 운반 차량 유도</t>
  </si>
  <si>
    <t>트레일러 회전 시뮬레이션 승인, 가설 비계 간섭 범위 해제, 도로 점용 허가 필증 확인</t>
  </si>
  <si>
    <t>● 궤도 시공 가설 동선 적합성 검토</t>
  </si>
  <si>
    <t>9000-6-9</t>
  </si>
  <si>
    <t>자재조달계획 검토</t>
  </si>
  <si>
    <t>현장관리팀, 현장공사팀</t>
  </si>
  <si>
    <t>외산자재 검수 및 반입일정 검토 / 노반 공정에 따른 반입 시기 검토</t>
  </si>
  <si>
    <t>- 외산자재 수량 및 위치, 야적장 규모 등을 고려하여 주문 시기 검토
- 노반 인도 구역 및 규모에 따른 자재 조달계획 수립</t>
  </si>
  <si>
    <t>자재수급스케줄표, 조달 승인서</t>
  </si>
  <si>
    <t>홈레일, 체결구, 탄성 충전재 등 주요 자재의 해상 운송 및 국내 보관 일정 검토. OMC 품질 시방 확보.</t>
  </si>
  <si>
    <t>1) 특수 홈레일 및 PST 패널 조달 마스터 일정표 검토
2) PST 슬래브 공장 생산 강도 및 홈레일 단면 검수</t>
  </si>
  <si>
    <t>선적 서류 및 통관 승인서 구비, 국내 야적장 2차 보관 상태 점검, 자재 공급 승인서 확인</t>
  </si>
  <si>
    <t>● 주요 외산 자재 공급 및 선적 일정 확인</t>
  </si>
  <si>
    <t>9000-6-10</t>
  </si>
  <si>
    <t>D-50 (D-60~50)</t>
  </si>
  <si>
    <t>자재 발주 요청</t>
  </si>
  <si>
    <t>시공에 필요한 자재 발주</t>
  </si>
  <si>
    <t>- 자재 규격 및 반입 일정 계획 수립
- 시공에 필요한 당사 지급자재에 대한 발주 요청
- 지원: GP/SRM팀</t>
  </si>
  <si>
    <t>자재청구서, 공급원 승인요청철</t>
  </si>
  <si>
    <t>KDS 47 30 00 및 EN 규격 기준 자재 발주서 승인. 공급원 검토 승인 요청서 작성 요령 준수.</t>
  </si>
  <si>
    <t>1) kg/m 레일, 51R1 홈레일, PST 패널 산출 물량 검증
2) 공장 검사(FAT) 조건 및 성적서 첨부 명시</t>
  </si>
  <si>
    <t>자재 발주 수량 설계 대조, 공급원 승인 필증 원본 확인, 발주 공문 승인 요청</t>
  </si>
  <si>
    <t>● 조달 지침 및 품질 규격 검토</t>
  </si>
  <si>
    <t>9000-6-11</t>
  </si>
  <si>
    <t>D-30 (D-60~D-30)</t>
  </si>
  <si>
    <t>현장 공사팀/공무팀/안전팀/품질팀</t>
  </si>
  <si>
    <t>궤도공 전반에 대한 수행 계획 공유</t>
  </si>
  <si>
    <t>- 공사 위치, 공사 수행 순서, 공사 수행방법 설명 회의를 통한 공유
- 주요 공정별 시공/안전/장비/자재관련 유의사항 토의
- 문제점 발굴 및 대책 마련 브레인 스토밍</t>
  </si>
  <si>
    <t>궤도공사 시공계획서, 안전보건계획서</t>
  </si>
  <si>
    <t>콘크리트도상 시공 절차 및 공정 스케줄 작성. 궤간(+3,-1mm), 캔트(±2mm) 관리계획 수립.</t>
  </si>
  <si>
    <t>1) HBS 노반 지지력 검증 및 궤도 정밀 CP 측량 시공계획 수립
2) 스핀들 게이지 조정, 테르밋 용접(EN 14730) 및 TCL 콘크리트 타설 수칙 수립</t>
  </si>
  <si>
    <t>시공계획서 감리단 최종 승인, 선형 관리 한계선 설정 확인, 품질보증계획서 제출</t>
  </si>
  <si>
    <t>● 궤도 공사 표준시방서 만족</t>
  </si>
  <si>
    <t>9000-6-12</t>
  </si>
  <si>
    <t>D-0 (D-30~D-0)</t>
  </si>
  <si>
    <t>자재 반입</t>
  </si>
  <si>
    <t>현장 공사팀/자재팀</t>
  </si>
  <si>
    <t>매립형 궤도/반-PC슬래브용 주요 자재 반입</t>
  </si>
  <si>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</si>
  <si>
    <t>자재인수검사 대장, 불량재 처리부</t>
  </si>
  <si>
    <t>반입 자재의 공장 성적서 대조 및 감리 입회 자재 인수 검사 수행. 변형/균열 자재 전량 반출.</t>
  </si>
  <si>
    <t>1) 송장, 공장 시험성적서 및 KCS 시방 사양 대조
2) 레일 표면 흠집 및 PST 패널 치수 오차(±2mm) 측정</t>
  </si>
  <si>
    <t>인수 검서 보고서 감리 서명, 자재 고유 마킹 대조, 손상 자재 반출 대장 기록</t>
  </si>
  <si>
    <t>● 자재 시험성적서 및 외산 자재 수입 적격 증명</t>
  </si>
  <si>
    <t>9000-6-13</t>
  </si>
  <si>
    <t>D+1 (D-0~D+1)</t>
  </si>
  <si>
    <t>[HBS] 강화노반 확인</t>
  </si>
  <si>
    <t>기존 도로구간 노상토의 지지력 검증</t>
  </si>
  <si>
    <t>- 사전토공사 인수계획서 확인
- 터파기 시행 후 들밀도 시험을 통한 상대다짐도 또는 현장 재하시험을 통한 강화노반변형률 계수 확인
- 배수 상태 점검</t>
  </si>
  <si>
    <t>강화노반 인수교차측량 대장, PBT 성적철</t>
  </si>
  <si>
    <t>기초 노반 표면의 지지력 검증. 평판재하시험 K30 ≥ 110 MN/m³ 또는 Ev2 ≥ 120 MPa 확인.</t>
  </si>
  <si>
    <t>1) 노반 공종으로부터 지지력 K70 ≥ 150 MPa/m 성적서 수령
2) 노반 높이 오차(±10mm 이내) 광학 레벨 측량 검증</t>
  </si>
  <si>
    <t>K30 성적서 원본 대조, 노반 마무리면 요철 제거 상태, 횡단 구배 2.0% 만족 확인</t>
  </si>
  <si>
    <t>● 강화노반 K30 지지력 계수 규격 준수</t>
  </si>
  <si>
    <t>9000-6-14</t>
  </si>
  <si>
    <t>D+15 (D+2~D+15)</t>
  </si>
  <si>
    <t>[HBS] 콘크리트 타설 및 양생</t>
  </si>
  <si>
    <t>강화노반 상부 기초콘크리트로 TCL, 반-PC 슬래브 안정성 확보</t>
  </si>
  <si>
    <t>슬럼프 값 10cm 이하, 압축강도 18Mpa 이상 콘크리트 타설
- 품질확보를 위해 공장과 현장 이격거리 4.8km 이내</t>
  </si>
  <si>
    <t>HBR 콘크리트 품질시험표, 양생온도일지</t>
  </si>
  <si>
    <t>강화노반 상부 기초콘크리트(HBR) 28일 압축강도 ≥ 21 MPa 확보. 고주파 다짐 및 습윤 양생 7일.</t>
  </si>
  <si>
    <t>1) 콘크리트 시멘트풀 유출 방지 거푸집 패킹 설치
2) 콜드조인트 방지 연속 타설 및 바이브레이터 밀실 다짐</t>
  </si>
  <si>
    <t>HBR 강도 시험 성적서, 습윤 부직포 포설 상태, 타설 두께 오차 ±10mm 이내 검속</t>
  </si>
  <si>
    <t>● 기초 콘크리트 압축강도 및 공차 관리</t>
  </si>
  <si>
    <t>9000-6-15</t>
  </si>
  <si>
    <t>D+15 (D+10~D+15)</t>
  </si>
  <si>
    <t>[반-PC 슬래브] 패널반입 및 설치</t>
  </si>
  <si>
    <t>궤광지지체 구간의 PC 슬래브로 교차로/교량구간 급속시공 필요</t>
  </si>
  <si>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</si>
  <si>
    <t>PC슬래브 거치 수준 실측표, 평탄성 대장</t>
  </si>
  <si>
    <t>PC 슬래브 패널 평탄성 오차 ±3mm 이내 거치. 광학 토탈스테이션 연동 정밀 3D 얼라인먼트.</t>
  </si>
  <si>
    <t>1) 노반 표면 이물질 청소 및 광학 측량기 셋팅
2) 점 인양 빔으로 패널 거치 후 스핀들 게이지 정밀 수평 조정</t>
  </si>
  <si>
    <t>Screw Jack 레벨 정위치 고정, 3D 광학 실측 좌표 일치, 코너 크랙 육안 검사</t>
  </si>
  <si>
    <t>● PC 슬래브 제작 허용 오차 만족</t>
  </si>
  <si>
    <t>9000-6-16</t>
  </si>
  <si>
    <t>D+16 (D+16~D+16)</t>
  </si>
  <si>
    <t>[PST] 전단앵커설치 및 충전재 주입</t>
  </si>
  <si>
    <t>HBS, TCL층과 일체화를 위하여 전단앵커를 설치하고 몰탈 충전재 주입</t>
  </si>
  <si>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</si>
  <si>
    <t>앵커 시공인장 시험기록, 그라우트 공시체 강도대장</t>
  </si>
  <si>
    <t>전단앵커 구멍 천공 깊이 및 수직도 확보. 무수축 모르타르 그라우트 압축강도 ≥ 30 MPa 충전.</t>
  </si>
  <si>
    <t>1) 앵커 홀 이물질 제거 및 무수축 그라우트 배합비 확인
2) 음향 탐사로 공기 공동 파악 및 45 MPa 몰드 시험 확인</t>
  </si>
  <si>
    <t>천공 깊이 측정 게이지 점검, 앵커 인장 강도 확인, 원웨이 주입 배출구 몰탈 오버플로우 확인</t>
  </si>
  <si>
    <t>● 충전 몰탈 품질 및 전단앵커 정착 깊이</t>
  </si>
  <si>
    <t>9000-6-17</t>
  </si>
  <si>
    <t>D+30 (D+17~D+30)</t>
  </si>
  <si>
    <t>[TCL] 궤광 및 철근조립</t>
  </si>
  <si>
    <t>TCL 철근조립 및 부설시 매립형 궤도를 포함한 궤광의 변위 발생 방지</t>
  </si>
  <si>
    <t>임시침목을 이용한 궤광 설치 및 줄틀림, 면틀림, 중심간격 허용오차는 3mm 이내
- 종방향, 횡방향 철근 조립시 2m 간격설치, 철근처짐이 없도록 용접 또는 결속</t>
  </si>
  <si>
    <t>철근배근 검측서, 신호 이격 거리표</t>
  </si>
  <si>
    <t>1,435mm 표준궤 정밀 유지 타이바 설치. 철근 피복 두께 40mm 확보 및 신호 감선 이격 150mm.</t>
  </si>
  <si>
    <t>1) CP 광학 레벨기로 궤도 중심선 및 기준 높이 확인
2) 궤간 1,435mm(+3,-1mm) 고정 및 캔트/수평 오차 ±2mm 이내 정밀 정열</t>
  </si>
  <si>
    <t>철근 결속선 긴장 상태, 타이바 조임 토크 확인, 신호 루프 케이블 배근 이격 확인</t>
  </si>
  <si>
    <t>● 궤도 기하구조 공차(3mm 이내) 관리</t>
  </si>
  <si>
    <t>9000-6-18</t>
  </si>
  <si>
    <t>D+35 (D+31~D+35)</t>
  </si>
  <si>
    <t>[TCL] 거푸집 설치</t>
  </si>
  <si>
    <t>거푸집 지지대는 철근이 타설압력에 의해 변위가 발생하지 않도록 앵커나 서포트로 고정</t>
  </si>
  <si>
    <t>강재거푸집거푸집 반영
- 작업자 이동통로 확보가 되어 있는지 확인하고, 넘어짐 등의 안전사고가 발생하지 않도록 지지대에 별도 식별장치 설치</t>
  </si>
  <si>
    <t>거푸집설치 대조표, 박리제 검사철</t>
  </si>
  <si>
    <t>타설 측압 대비 서포트 앵커 W=1.0m 간격 고정. 거푸집 수평/수직 처짐 변위 ±2mm 이내 통제.</t>
  </si>
  <si>
    <t>1) 거푸집 선형 검측표 작성 후 감리원 검측 승인
2) 거푸집 면 이물질 청소 및 환경 친화 박리제 균일 도포</t>
  </si>
  <si>
    <t>거푸집 지지대 앵커 조임, 박리제 도포 상태, 이음매 틈새 누수 패킹 확인</t>
  </si>
  <si>
    <t>● 가설재 강도 및 안전 난간 기준 준수</t>
  </si>
  <si>
    <t>9000-6-19</t>
  </si>
  <si>
    <t>D+50 (D+36~D+50)</t>
  </si>
  <si>
    <t>[TCL] 콘크리트 타설 및 양생</t>
  </si>
  <si>
    <t>TCL은 궤도 부속자재(레일, 고정액상수지 등)가 연결되어 있어, 선형조정 및 연마감 작업이 중요</t>
  </si>
  <si>
    <t>슬럼프값은 10cm 이하 타설, 피니셔의 진행 정지시 진동 다짐 장비 중지
- 7일이상 습윤양생 시행, 양생이후 콘크리트 도상내 이물질 청소 및 세척
- 그루브드레일 홈 부분 청소 및 세척, 치수확인</t>
  </si>
  <si>
    <t>TCL 콘크리트 품질대장, 게이지 실시간 보정일지</t>
  </si>
  <si>
    <t>TCL 도상 콘크리트 강도 ≥ 35 MPa. 타설 중 실시간 궤간척(Gauge Bar) 캔트 오차 ±2mm 보정.</t>
  </si>
  <si>
    <t>1) 타설 직전 스핀들 궤간/캔트 최종 정열 상태 측량
2) 고주파 다짐 실시 및 타설 중 실시간 궤간/캔트 오차 미세 조율</t>
  </si>
  <si>
    <t>타설 중 궤간척 실시간 모니터링, 슬럼프 및 공기량 시험, 습윤 양생 부직포 포설 확인</t>
  </si>
  <si>
    <t>● TCL 설계 높이 및 배수구 기울기 준수</t>
  </si>
  <si>
    <t>9000-6-20</t>
  </si>
  <si>
    <t>D+63 (D-60~D+63)</t>
  </si>
  <si>
    <t>[레일용접] 가스 압접</t>
  </si>
  <si>
    <t>장대레일 제작을 위해 용접기에서 가스로 레일 단부를 가열한 후, 강한 압력을 가하여 레일을 접합</t>
  </si>
  <si>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</si>
  <si>
    <t>가스압접 시공성적표, UT 비파괴보고서</t>
  </si>
  <si>
    <t>EN 14587 규격 준수. 레일 단부 가열(1200℃) 후 압송. 용접부 직선도 1m당 ±0.2mm 이내 정밀 연마.</t>
  </si>
  <si>
    <t>1) 레일 단면 50mm 녹/기름 제거 및 가스 압접기 압력 교정
2) EN 14587 프로그램에 따라 자동 가열 및 버(Burr) 핫 쉐어링 전단</t>
  </si>
  <si>
    <t>가스 압접 압력 게이지 확인, 용접부 급랭 방지 덮개 설치, 비파괴 시험(UT) 성적서 결재</t>
  </si>
  <si>
    <t>● 용접부 인장 시험 및 비파괴 검사 규격 만족</t>
  </si>
  <si>
    <t>9000-6-21</t>
  </si>
  <si>
    <t>D+64 (D+64~D+64)</t>
  </si>
  <si>
    <t>[레일용접] 테르밋 용접</t>
  </si>
  <si>
    <t>테르밋 용제를 예열된 장대레일 공간에 넣고 용융하여 모든 장대레일을 일체화</t>
  </si>
  <si>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</si>
  <si>
    <t>테르밋 용접일지, MT 자분탐상 보고서</t>
  </si>
  <si>
    <t>EN 14730 규격 준수. 도가니 반응 후 슬래그 분리. 직선도 오차 ±0.2mm 이내 및 NDT 100% 합격.</t>
  </si>
  <si>
    <t>1) 레일 끝단 23~26mm 유격 조정 및 레일 정열 클램프 고정
2) 몰드 밀봉 후 테르밋 소모품點火 반응 주입 및 약 5분 후 유압 전단</t>
  </si>
  <si>
    <t>테르밋 용제 예열 온도 확인, 도가니 수평 고정, 비파괴 검사(UT/MT) 전수 실시</t>
  </si>
  <si>
    <t>● 테르밋 용접부 비파괴 검사(UT/PT) 및 공차</t>
  </si>
  <si>
    <t>9000-6-22</t>
  </si>
  <si>
    <t>D+75 (D+71~D+75)</t>
  </si>
  <si>
    <t>[레일연마] 레일연마 or 밀링</t>
  </si>
  <si>
    <t>레일 연마 or 밀링작업을 통해 선로의 평탄화증을 제거하여 레일 수명 향상 및 운행 안정성 개선</t>
  </si>
  <si>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</si>
  <si>
    <t>선로 평탄성검사 성적표, 조도 실측야장</t>
  </si>
  <si>
    <t>레일 마무리면 평탄성 1m 기준 오차 ±0.2mm 이내 밀링. 레일 과열에 의한 열응력 크랙 방지.</t>
  </si>
  <si>
    <t>1) 조도계로 Ra ≤ 10㎛ 판정 및 레일 연마 검측 승인
2) 장대레일 구간 연마/밀링 장비 점검 및 표면 단차 사전 조사</t>
  </si>
  <si>
    <t>레일 조도/평탄성 측정 성적서, 절삭유 적정 분사 상태, 마이크로미터 선로 실측</t>
  </si>
  <si>
    <t>● 레일 두부 프로파일 측정 및 평탄도 기준</t>
  </si>
  <si>
    <t>9000-6-23</t>
  </si>
  <si>
    <t>후속공사 인수인계</t>
  </si>
  <si>
    <t>현장 공사팀/품질팀</t>
  </si>
  <si>
    <t>완료구간 후속공사 인수인계</t>
  </si>
  <si>
    <t>완료된 궤도 구간에 대해 후속 분야(전기, 신호 등)가 공사를 진행할 수 있도록 인계</t>
  </si>
  <si>
    <t>궤도 완공 인수서명부, 절연저항 성적철</t>
  </si>
  <si>
    <t>전기/신호/노반 담당자 입회 하에 궤도 회로 절연 저항 ≥ 100MΩ 검속. 준공 도면 일치 서명.</t>
  </si>
  <si>
    <t>1) 궤도 회로 절연 및 궤간 오차 현장 합동 확인
2) 구간별 NDT 용접 성과표, 강도 성적서 및 궤도 정열표 대조</t>
  </si>
  <si>
    <t>3자 공동 인수 서명 날인, 절연 저항 테스트 결과표 첨부, CAD 준공 대장 제출</t>
  </si>
  <si>
    <t>● 후속 공종 인수인계 표준 지침</t>
  </si>
  <si>
    <t>설계 적정성 검토</t>
  </si>
  <si>
    <t>건축 설계 오류 및 누락사항 검토</t>
  </si>
  <si>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</si>
  <si>
    <t>설계변경 예상 List, 회의록</t>
  </si>
  <si>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</si>
  <si>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</si>
  <si>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</si>
  <si>
    <t>● 건축법 및 관련 소방, 정보통신 등 인터페이스 설계기준 준수</t>
  </si>
  <si>
    <t>9000-4-2</t>
  </si>
  <si>
    <t>건축 구조물 및 내부, 마감공사 발주 전략 수립</t>
  </si>
  <si>
    <t>- 가시공 B/P 적정성 검토
- 현설조건 검토
- 공법 및 공기 검토
- 예산 적정성 검토
- 현장 여건 및 지반상태(기초, 말뚝등) 검토</t>
  </si>
  <si>
    <t>KOM 검토결과서, 현설서</t>
  </si>
  <si>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</si>
  <si>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</si>
  <si>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</si>
  <si>
    <t>● 본사외주부서, 수행부서, 토목견적팀 협의사항 준수</t>
  </si>
  <si>
    <t>9000-4-3</t>
  </si>
  <si>
    <t>착공전 건축 인허가</t>
  </si>
  <si>
    <t>관련법에 따라 착수전 건축인허가 추진</t>
  </si>
  <si>
    <t>- 건축허가 요청(-&gt;관할 지자체)
- 착공신고서 제출(-&gt;관할 지자체)
- 소방시설공사 착공신고서 제출 (-&gt;관할 소방서)
- 정보통신공사 착공전 설계도 확인(-&gt;관할 지자체)</t>
  </si>
  <si>
    <t>인허가 신고/승인 문서</t>
  </si>
  <si>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</si>
  <si>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</si>
  <si>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</si>
  <si>
    <t>● 건축법, 소방시설공사업법, 정보통신공사업법 규정 준수</t>
  </si>
  <si>
    <t>9000-4-4</t>
  </si>
  <si>
    <t>건축허가 요청</t>
  </si>
  <si>
    <t>건축설계사, 현장준비팀</t>
  </si>
  <si>
    <t>건축허가요청</t>
  </si>
  <si>
    <t>건축설계사, 현장준비팀 -&gt; 관할지자체
- 건축법 제11조(건축허가)
- 서식: 별지 제1호의4서식
- 관할지자체(시,군,구) 2일~15일</t>
  </si>
  <si>
    <t>건축허가 통보 문서</t>
  </si>
  <si>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</si>
  <si>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</si>
  <si>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</si>
  <si>
    <t>● 건축법 제11조</t>
  </si>
  <si>
    <t>9000-4-5</t>
  </si>
  <si>
    <t>착공신고서 제출</t>
  </si>
  <si>
    <t>현장소장, 건축 설계사</t>
  </si>
  <si>
    <t>현장 -&gt; 관할지자체
- 건축법 제21조(착공신고등)
- 서식: 별지 제13호 서식
- 제출후 지자체 처리기간 3일 이내</t>
  </si>
  <si>
    <t>착공신고서 승인 통보 문서</t>
  </si>
  <si>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</si>
  <si>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</si>
  <si>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</si>
  <si>
    <t>● 건축법 제21조</t>
  </si>
  <si>
    <t>9000-4-6</t>
  </si>
  <si>
    <t>소방시설공사 착공 신고서 제출</t>
  </si>
  <si>
    <t>소방시설공사 착공신고서 제출</t>
  </si>
  <si>
    <t>현장 -&gt; 관할소방서, 소방시설공사업법 제13조(착공신고)
- 서식: 별지 제14호 서식
- 제출후 처리기간 2일 이내</t>
  </si>
  <si>
    <t>소방시설공사 착공신고필증</t>
  </si>
  <si>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</si>
  <si>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</si>
  <si>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</si>
  <si>
    <t>● 소방시설공사업법 제13조</t>
  </si>
  <si>
    <t>9000-4-7</t>
  </si>
  <si>
    <t>정보통신공사 착공전 설계도 확인 (신청서 제출 및 결과 접수)</t>
  </si>
  <si>
    <t>정보통신공사 착공전 설계도 확인 신청 및 제출</t>
  </si>
  <si>
    <t>현장 -&gt; 관할지자체, 정보통신공사업법 시행령 제35조의 2
- 서식: 별지 제7호 서식
- 제출후 처리기간 14일 이내</t>
  </si>
  <si>
    <t>정보통신공사 착공전 설계도 확인결과 통보서</t>
  </si>
  <si>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</si>
  <si>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</si>
  <si>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</si>
  <si>
    <t>● 정보통신공사업법 시행령 제35조의 2</t>
  </si>
  <si>
    <t>9000-4-8</t>
  </si>
  <si>
    <t>선행공종 인수사항 확인</t>
  </si>
  <si>
    <t>선행공종 인수인계</t>
  </si>
  <si>
    <t>- 부지경계 측량 확인
- 업체간 현장확인+좌표화 Data 인수
- 지장물, 지반상태, 진입로, 작업장 현황</t>
  </si>
  <si>
    <t>회의록, 인수사항 List</t>
  </si>
  <si>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</si>
  <si>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</si>
  <si>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</si>
  <si>
    <t>● 선행공종(토공, 지반개량 등) 인수 및 좌표 검증</t>
  </si>
  <si>
    <t>9000-4-9</t>
  </si>
  <si>
    <t>인터페이스 사항 검토 및 지원</t>
  </si>
  <si>
    <t>토목수행팀 / 현장 공사, 공무 Part</t>
  </si>
  <si>
    <t>후행공정 설계오류 및 변경검토</t>
  </si>
  <si>
    <t>- 설계도서 검토를 통한 공종간 인터페이스 사항에 대한 사전검토(오픈구 등)
- 유사공종 경험자 현장 지원 파견검토
- 콘크리트 타설전(기계설비, 전기, 통신) 사전 매입해야 할 배관,슬리브위치 타공정 확인</t>
  </si>
  <si>
    <t>회의록, 시공상세도</t>
  </si>
  <si>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</si>
  <si>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</si>
  <si>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</si>
  <si>
    <t>● 공종간 간섭 최소화</t>
  </si>
  <si>
    <t>9000-4-10</t>
  </si>
  <si>
    <t>품질/안전 LL 공유</t>
  </si>
  <si>
    <t>현장 품질팀, 현장 안전팀</t>
  </si>
  <si>
    <t>품질/안전 하자 최소화</t>
  </si>
  <si>
    <t>시공시 발생가능 품질, 안전 하자 최소화</t>
  </si>
  <si>
    <t>시공계획수립시 반영</t>
  </si>
  <si>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</si>
  <si>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</si>
  <si>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</si>
  <si>
    <t>● 기존 하자사례 및 Lesson Learned 반영</t>
  </si>
  <si>
    <t>9000-4-11</t>
  </si>
  <si>
    <t>자재공급원승인 및 자재발주</t>
  </si>
  <si>
    <t>공사에 필요한 자재 발주</t>
  </si>
  <si>
    <t>- 자재 규격 및 반입 일정 계획 수립
- 시공에 필요한 당사 지급자재에 대한 발주 요청
- 자재공급원 승인 제출 및 확인</t>
  </si>
  <si>
    <t>구매 의뢰 승인, 자재공급원 승인서류</t>
  </si>
  <si>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</si>
  <si>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</si>
  <si>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</si>
  <si>
    <t>● 자재 규격 및 기준 만족</t>
  </si>
  <si>
    <t>9000-4-12</t>
  </si>
  <si>
    <t>선후행공정 지원사항 도출, 수행시 예상가능 Risk 검토 및 대책 수립</t>
  </si>
  <si>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</si>
  <si>
    <t>Big Room 회의록(참석자 전원 서명)</t>
  </si>
  <si>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</si>
  <si>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</si>
  <si>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</si>
  <si>
    <t>● 유관부서(견적/엔지니어링/공정/품질/안전) 협의</t>
  </si>
  <si>
    <t>9000-4-13</t>
  </si>
  <si>
    <t>시공계획 수립/승인</t>
  </si>
  <si>
    <t>인력, 품질이 확보된 시공계획 수립</t>
  </si>
  <si>
    <t>- 공사계획: 장비/자재배치, 동선, 인원/장비/자재투입 계획, 공정표, 배수계획 등
- 안전관리: 위험요인/대책, 안전교육/시설/점검 계획 수립
- 품질관리: 품질하자 Risk 및 대책수립
- 환경관리: 소음, 분진 등 환경대책 수립</t>
  </si>
  <si>
    <t>(승인)관리시공계획서&amp;시공상세도</t>
  </si>
  <si>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</si>
  <si>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</si>
  <si>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</si>
  <si>
    <t>● 건설기술진흥법 규정 준수</t>
  </si>
  <si>
    <t>9000-4-14</t>
  </si>
  <si>
    <t>측량, 자재/장비 반입, 안전교육</t>
  </si>
  <si>
    <t>D-day 전에 공사 준비완료</t>
  </si>
  <si>
    <t>- 측량: 측량기준점 설치, 공사위치 마킹
- 자재는 지정된 야적장에 보관
- 장비 Spec확인, 장비안전검사
- 작업원 안전교육 실시</t>
  </si>
  <si>
    <t>측량기록지, 안전교육 결과서</t>
  </si>
  <si>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</si>
  <si>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</si>
  <si>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</si>
  <si>
    <t>● 측량법 및 산업안전보건법 준수</t>
  </si>
  <si>
    <t>9000-4-15</t>
  </si>
  <si>
    <t>자재 검수</t>
  </si>
  <si>
    <t>현장 자재팀 / 품질팀</t>
  </si>
  <si>
    <t>설계/시방기준에 적합한 자재 반입</t>
  </si>
  <si>
    <t>- 송장과 실물 확인(규격, 성능, 수량)
- 시방기준에 따른 품질시험 실시
- 훼손, 오반입시 반출조치</t>
  </si>
  <si>
    <t>자재검수서, 품질시험 보고서</t>
  </si>
  <si>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</si>
  <si>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</si>
  <si>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</si>
  <si>
    <t>● KS 규격 및 시방 기준 준수</t>
  </si>
  <si>
    <t>9000-4-16</t>
  </si>
  <si>
    <t>터파기/지반 정리</t>
  </si>
  <si>
    <t>구조물 시공을 위한 바닥 확보</t>
  </si>
  <si>
    <t>측량을 통한 계획Level, 위치 확인, 바닥 지지력 시험</t>
  </si>
  <si>
    <t>측량 성과, 지지력시험성과 보고서</t>
  </si>
  <si>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</si>
  <si>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</si>
  <si>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</si>
  <si>
    <t>● 지반 지지력 및 굴착 공차 관리 기준</t>
  </si>
  <si>
    <t>9000-4-17</t>
  </si>
  <si>
    <t>바닥(버림) 콘크리트 타설</t>
  </si>
  <si>
    <t>철근을 깔 수 있는 평탄한 바닥확보</t>
  </si>
  <si>
    <t>도면에 따라 거푸집 조립, 버림con't타설, 양생, 거푸집 해체/정리</t>
  </si>
  <si>
    <t>검측서</t>
  </si>
  <si>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</si>
  <si>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</si>
  <si>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</si>
  <si>
    <t>● 버림 콘크리트 두께 및 높이 준수</t>
  </si>
  <si>
    <t>9000-4-18</t>
  </si>
  <si>
    <t>인터페이스 회의(매주)</t>
  </si>
  <si>
    <t>건축 구조물공사 中, 건축 마감공사 中 인터페이스 협의를 통한 재시공 최소화</t>
  </si>
  <si>
    <t>시공중 지속적인 인터페이스(기계, 전기, 통신 등) 회의를 통하여 시공전 계획했던 대로 원활한 선후행공정 시공진행</t>
  </si>
  <si>
    <t>인터페이스 회의록</t>
  </si>
  <si>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</si>
  <si>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</si>
  <si>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</si>
  <si>
    <t>● 공정 조율 및 시공 순서 확인</t>
  </si>
  <si>
    <t>9000-4-19</t>
  </si>
  <si>
    <t>인터페이스 각 공종별 Issue (기계, 전기, 통신분야)</t>
  </si>
  <si>
    <t>구조물 내,외부 인입공사 사전 인터페이스 회의를 통한 공사간섭 및 Rework방지</t>
  </si>
  <si>
    <t>각 해당공종(건축, 기계, 전기) 도면과 건축도면을 비교 및 현장여건 검토를 통한 시공방법 결정, 각종 필증 및 허가관련에 따른 우선순위 시공순서 결정</t>
  </si>
  <si>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</si>
  <si>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</si>
  <si>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</si>
  <si>
    <t>● 타 분야 매입 배관 및 슬리브 사전 확인</t>
  </si>
  <si>
    <t>9000-4-20</t>
  </si>
  <si>
    <t>인터페이스 각 공종별 Issue (토목분야)</t>
  </si>
  <si>
    <t>건축공사와 토목공사 간섭 예방, 업무 Scope확인을 통한 설계/시공Gray zone제거</t>
  </si>
  <si>
    <t>구조물별 외부 배수 설계와 같은 현장 여건을 구성이 되었는지 확인</t>
  </si>
  <si>
    <t>회의록</t>
  </si>
  <si>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</si>
  <si>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</si>
  <si>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</si>
  <si>
    <t>● 토목 외부 우/오수 배수 및 연계 부분 확인</t>
  </si>
  <si>
    <t>9000-4-21</t>
  </si>
  <si>
    <t>기초~상부슬라브 구조물 시공</t>
  </si>
  <si>
    <t>기초, 기둥 및 슬라브 구조물 시공</t>
  </si>
  <si>
    <t>발주 이후 마감공정 연계, 거푸집 해체 이후 균열조사 및 보수조치 시행</t>
  </si>
  <si>
    <t>해당공종 검측서, 각종 품질시험결과 보고서, 마감공종 인수인계서</t>
  </si>
  <si>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</si>
  <si>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</si>
  <si>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</si>
  <si>
    <t>● 콘크리트 압축강도 및 피복두께 관리</t>
  </si>
  <si>
    <t>9000-4-22</t>
  </si>
  <si>
    <t>철근 가공</t>
  </si>
  <si>
    <t>철근을 절곡 및 절단하는 작업</t>
  </si>
  <si>
    <t>설계도면과 가공상세가 일치하는지 확인 및 보강부분 시공상세도 확인</t>
  </si>
  <si>
    <t>철근 시공상세도</t>
  </si>
  <si>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</si>
  <si>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</si>
  <si>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</si>
  <si>
    <t>● 철근 가공 치수 허용오차 기준</t>
  </si>
  <si>
    <t>9000-4-23</t>
  </si>
  <si>
    <t>작업발판, 비계 및 동바리 설치</t>
  </si>
  <si>
    <t>구조물 시공을 위한 작업발판 및 후속 작업을 위해 비계 및 동바리 설치</t>
  </si>
  <si>
    <t>안전난간 및 발판 설치 이후 철근 조립 및 거푸집 설치를 위한 비계 및 동바리 설치</t>
  </si>
  <si>
    <t>비계 및 동바리 검측서</t>
  </si>
  <si>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</si>
  <si>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</si>
  <si>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</si>
  <si>
    <t>● 가설구조물 안전 기준 및 구조 검토</t>
  </si>
  <si>
    <t>9000-4-24</t>
  </si>
  <si>
    <t>철근 조립</t>
  </si>
  <si>
    <t>구조물의 뼈대를 형성하도록 철근을 조립</t>
  </si>
  <si>
    <t>철근 배근, 철근 조립 및 결속, 철근 이물질 등 검사</t>
  </si>
  <si>
    <t>철근 검측서</t>
  </si>
  <si>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</si>
  <si>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</si>
  <si>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</si>
  <si>
    <t>● 철근 배근 간격 및 결속선 결속 기준</t>
  </si>
  <si>
    <t>9000-4-25</t>
  </si>
  <si>
    <t>거푸집 조립</t>
  </si>
  <si>
    <t>콘크리트 타설 후 양생까지 유지하는 가설구조물 설치 작업</t>
  </si>
  <si>
    <t>합판, 강재등의 자재를 활용하여 설계도면 형상에 맞게 시공</t>
  </si>
  <si>
    <t>거푸집 검측서</t>
  </si>
  <si>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</si>
  <si>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</si>
  <si>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</si>
  <si>
    <t>● 거푸집 수직/수평도 및 박리제 도포 기준</t>
  </si>
  <si>
    <t>9000-4-26</t>
  </si>
  <si>
    <t>콘크리트 타설 및 다짐</t>
  </si>
  <si>
    <t>거푸집에 콘크리트를 붓고 강도발현 까지 밀도와 습도조절 유지</t>
  </si>
  <si>
    <t>- 타설과 동시에 적당한 공법으로 다짐, 양생관리
- 마감품질 관련하여, 재료, 균열관리방안
- 상부슬라브 타설시 동바리 변형 확인</t>
  </si>
  <si>
    <t>콘크리트 구조물 확보, 타설보고서</t>
  </si>
  <si>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</si>
  <si>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</si>
  <si>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</si>
  <si>
    <t>● 콘크리트 타설 속도 및 다짐기 사용 기준</t>
  </si>
  <si>
    <t>9000-4-27</t>
  </si>
  <si>
    <t>거푸집 해체</t>
  </si>
  <si>
    <t>구조물과 거푸집을 분리하는 작업</t>
  </si>
  <si>
    <t>구조물에 훼손이 없도록 주의하여 안전하게 해체, 부속자재(핀, 타이, 결속선 등) 제거, 상태 Double Check</t>
  </si>
  <si>
    <t>해체 완료</t>
  </si>
  <si>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</si>
  <si>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</si>
  <si>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</si>
  <si>
    <t>● 거푸집 해체 시 압축강도 기준 준수</t>
  </si>
  <si>
    <t>9000-4-28</t>
  </si>
  <si>
    <t>건축 내부 및 마감공사</t>
  </si>
  <si>
    <t>건축구조물 완수단계후 방수 및 내부마감공사</t>
  </si>
  <si>
    <t>구조물 시공 이후 외벽 방수 진행, 내부 마감공사 연계, 선행공종 균열관리대책 확인</t>
  </si>
  <si>
    <t>해당공종 검측서, 품질시험결과 보고서, 마감공종 인수인계서</t>
  </si>
  <si>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</si>
  <si>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</si>
  <si>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</si>
  <si>
    <t>● 내부 및 외벽 마감 상세 도서 준수</t>
  </si>
  <si>
    <t>9000-4-29</t>
  </si>
  <si>
    <t>창호,유리 및 금속지붕공사</t>
  </si>
  <si>
    <t>외부, 내부 마감공사 수행 / 건축물 내부로 우수 침투 방지작업</t>
  </si>
  <si>
    <t>외벽 마감 공사(금속지붕 공사 / 내부 창호 및 유리 시공)</t>
  </si>
  <si>
    <t>시공상세도 및 검측서</t>
  </si>
  <si>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</si>
  <si>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</si>
  <si>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</si>
  <si>
    <t>● 창호 기밀성 및 수밀성 성능 검증</t>
  </si>
  <si>
    <t>9000-4-30</t>
  </si>
  <si>
    <t>조적공사</t>
  </si>
  <si>
    <t>건축물 내부 칸막이 벽체 형성</t>
  </si>
  <si>
    <t>시멘트 벽돌 및 블록으로 세대 칸막이 형성 일일 최대 쌓는높이 1.2m(내력벽)</t>
  </si>
  <si>
    <t>시멘트 벽돌 및 블록 검측서</t>
  </si>
  <si>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</si>
  <si>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</si>
  <si>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</si>
  <si>
    <t>● 조적 줄눈 및 쌓기 높이 기준 준수</t>
  </si>
  <si>
    <t>9000-4-31</t>
  </si>
  <si>
    <t>내부 방수공사</t>
  </si>
  <si>
    <t>건축물 내부에서 물을 사용하는 실(화장실)등에 누수 방지</t>
  </si>
  <si>
    <t>구조물 청소 및 바탕정리후 방수공사 시행(코너부 및 드레인 주위 보강방수 실시)</t>
  </si>
  <si>
    <t>방수공사 검측서</t>
  </si>
  <si>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</si>
  <si>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</si>
  <si>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</si>
  <si>
    <t>● 방수층 두께 및 담수테스트(24시간) 기준</t>
  </si>
  <si>
    <t>9000-4-32</t>
  </si>
  <si>
    <t>미장 및 타일공사</t>
  </si>
  <si>
    <t>바탕면이 콘크리트나 조적공사 위에 마감공사 수행(초벌, 재벌, 정벌)</t>
  </si>
  <si>
    <t>미장공사는 시멘트와 모래(1:3배합)하여 바탕면에 바르는 작업, 타일공사는 벽면 미장후 타일시공</t>
  </si>
  <si>
    <t>미장,타일 검측서</t>
  </si>
  <si>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</si>
  <si>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</si>
  <si>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</si>
  <si>
    <t>● 미장면 평탄성 및 타일 부착 강도 기준</t>
  </si>
  <si>
    <t>9000-4-33</t>
  </si>
  <si>
    <t>수장 및 잡철물공사</t>
  </si>
  <si>
    <t>수장공사 : 천정공사, 바닥마감공사, 잡철물 공사 : 도어, 창호 등 설치 공사</t>
  </si>
  <si>
    <t>각실의 천정공사(텍스류), 바닥마감공사(비닐계타일),도배공사등을 수행, 잡철물 공사는 각실의 도어, 난간,창호등을 설치하는 공사</t>
  </si>
  <si>
    <t>수장 및 잡철물검측서</t>
  </si>
  <si>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</si>
  <si>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</si>
  <si>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</si>
  <si>
    <t>● 실별 마감 재료 규격 만족</t>
  </si>
  <si>
    <t>9000-4-34</t>
  </si>
  <si>
    <t>도장공사</t>
  </si>
  <si>
    <t>미장면, 석고보드위에 도장공사 수행</t>
  </si>
  <si>
    <t>도장재 (붓, 롤러등)로 벽면에 시공</t>
  </si>
  <si>
    <t>도장공사 검측서</t>
  </si>
  <si>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</si>
  <si>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</si>
  <si>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</si>
  <si>
    <t>● 도장 도막 두께 및 색상 균일성 기준</t>
  </si>
  <si>
    <t>9000-4-35</t>
  </si>
  <si>
    <t>인테리어 및 무대공사</t>
  </si>
  <si>
    <t>내부 선반, 주방가구, 설치작업 등 내부 인테리어 및 무대공사</t>
  </si>
  <si>
    <t>추가로 발생되는 건축공사에 적합한 자재 반입, 검수 및 시공</t>
  </si>
  <si>
    <t>각 공종 검측서</t>
  </si>
  <si>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</si>
  <si>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</si>
  <si>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</si>
  <si>
    <t>● 내부 인테리어 설계 도서 준수</t>
  </si>
  <si>
    <t>9000-4-36</t>
  </si>
  <si>
    <t>준공전 건축 인허가</t>
  </si>
  <si>
    <t>관련법에 따라 준공전 건축인허가 완료</t>
  </si>
  <si>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</si>
  <si>
    <t>인허가 신고 / 승인 문서</t>
  </si>
  <si>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</si>
  <si>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</si>
  <si>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</si>
  <si>
    <t>● 관련 법규(건축법, 하수도법 등) 준수</t>
  </si>
  <si>
    <t>9000-4-37</t>
  </si>
  <si>
    <t>소방시설공사 완공검사</t>
  </si>
  <si>
    <t>소방시설 완공검사 신청</t>
  </si>
  <si>
    <t>현장 -&gt; 관할소방서 및 지자체 소방시설공사법 제14조
- 서식: 별지 제17호 서식
- 제출후 처리기간 3일 이내</t>
  </si>
  <si>
    <t>소방시설 완공검사 증명서</t>
  </si>
  <si>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</si>
  <si>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</si>
  <si>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</si>
  <si>
    <t>● 소방시설공사법 제14조</t>
  </si>
  <si>
    <t>9000-4-38</t>
  </si>
  <si>
    <t>승강기 설치 신고서 제출</t>
  </si>
  <si>
    <t>승강기 설치 신고</t>
  </si>
  <si>
    <t>현장 -&gt; 승강기 안전공단, 승강기 안전관리법 제27조
- 서식: 별지 제22호 서식
- 제출후 처리기간 7일 이내</t>
  </si>
  <si>
    <t>승강기 설치 신고필증</t>
  </si>
  <si>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</si>
  <si>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</si>
  <si>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</si>
  <si>
    <t>● 승강기 안전관리법 제27조</t>
  </si>
  <si>
    <t>9000-4-39</t>
  </si>
  <si>
    <t>저수조 설치현황 신고서 제출</t>
  </si>
  <si>
    <t>저수조 청소 신고</t>
  </si>
  <si>
    <t>현장 -&gt; 저수조업체 -&gt; 관할지자체, 수도법 제33조(위생상의 조치)
- 서식: 별지 제12호 서식</t>
  </si>
  <si>
    <t>저수조 설치 신고필증</t>
  </si>
  <si>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</si>
  <si>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</si>
  <si>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</si>
  <si>
    <t>● 수도법 제33조</t>
  </si>
  <si>
    <t>9000-4-40</t>
  </si>
  <si>
    <t>오수처리시설 / 정화조 설치 신고서 제출</t>
  </si>
  <si>
    <t>정화조 및 오수 처리시설 신고</t>
  </si>
  <si>
    <t>현장 -&gt; 관할지자체, 하수도법 제34조
- 서식: 별지 제13호 서식
- 제출후 처리기간 5일 이내</t>
  </si>
  <si>
    <t>오수처리시설/정화조 설치 신고필증</t>
  </si>
  <si>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</si>
  <si>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</si>
  <si>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</si>
  <si>
    <t>● 하수도법 제34조</t>
  </si>
  <si>
    <t>9000-4-41</t>
  </si>
  <si>
    <t>전기사용전 검사</t>
  </si>
  <si>
    <t>전기사용전 검사 신청</t>
  </si>
  <si>
    <t>현장 -&gt; 한국전기안전공사, 전기안전관리법 제9조(사용전검사)
- 서식: 별지 제4호 서식</t>
  </si>
  <si>
    <t>전기사용전 검사 필증</t>
  </si>
  <si>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</si>
  <si>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</si>
  <si>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</si>
  <si>
    <t>● 전기안전관리법 제9조</t>
  </si>
  <si>
    <t>9000-4-42</t>
  </si>
  <si>
    <t>승강기 설치검사</t>
  </si>
  <si>
    <t>승강기 설치검사 신청</t>
  </si>
  <si>
    <t>현장 -&gt; 한국승강기안전공단, 승강기 안전관리법 제28조(승강기 설치)
- 서식: 별지 제23호 서식
- 제출후 처리기간 15일 이내</t>
  </si>
  <si>
    <t>승강기 사용필증, 합격증보고서</t>
  </si>
  <si>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</si>
  <si>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</si>
  <si>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</si>
  <si>
    <t>● 승강기 안전관리법 제28조</t>
  </si>
  <si>
    <t>9000-4-43</t>
  </si>
  <si>
    <t>배수설비 설치 신고서 제출</t>
  </si>
  <si>
    <t>배수설비 사용 신청</t>
  </si>
  <si>
    <t>현장 -&gt; 관할지자체/하수도법 제27조/별지 제7호 서식/제출후 처리기간 7일 이내</t>
  </si>
  <si>
    <t>배수설비 사용필증</t>
  </si>
  <si>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</si>
  <si>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</si>
  <si>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</si>
  <si>
    <t>● 하수도법 제27조</t>
  </si>
  <si>
    <t>9000-4-44</t>
  </si>
  <si>
    <t>정보통신공사 사용전검사</t>
  </si>
  <si>
    <t>정보통신 설치 사용전 검사신청</t>
  </si>
  <si>
    <t>현장 -&gt; 관할지자체, 정보통신공사업 시행령 제36조
- 서식: 해당 법 별지 제9호 서식
- 제출후 처리기간 14일 이내</t>
  </si>
  <si>
    <t>정보통신사용전 검사필증</t>
  </si>
  <si>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</si>
  <si>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</si>
  <si>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</si>
  <si>
    <t>● 정보통신공사업 시행령 제36조</t>
  </si>
  <si>
    <t>9000-4-45</t>
  </si>
  <si>
    <t>오수처리시설 / 정화조 준공검사</t>
  </si>
  <si>
    <t>정화조 사용 신청</t>
  </si>
  <si>
    <t>현장 -&gt; 관할지자체, 하수도법 제37조
- 서식: 해당 법 별지 제15호 서식
- 제출후 처리기간 5일 이내</t>
  </si>
  <si>
    <t>오수처리시설 / 정화조 준공필증</t>
  </si>
  <si>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</si>
  <si>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</si>
  <si>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</si>
  <si>
    <t>● 하수도법 제37조</t>
  </si>
  <si>
    <t>9000-4-46</t>
  </si>
  <si>
    <t>급수공사 신청서 제출</t>
  </si>
  <si>
    <t>급수 사용 신청</t>
  </si>
  <si>
    <t>현장 -&gt; 관할지자체, 수도 조례 시행규칙
- 서식: 해당 법 별지 제1호 서식</t>
  </si>
  <si>
    <t>급수 사용허가 문서</t>
  </si>
  <si>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</si>
  <si>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</si>
  <si>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</si>
  <si>
    <t>● 수도 조례 시행규칙</t>
  </si>
  <si>
    <t>9000-4-47</t>
  </si>
  <si>
    <t>업무대행 건축사 사용승인 검사</t>
  </si>
  <si>
    <t>건축사</t>
  </si>
  <si>
    <t>업무대행 건축사 확인후 사용승인</t>
  </si>
  <si>
    <t>현장 -&gt; 관할지자체, 건축법시행령 제20조(현장조사검사 및 확인 업무대행)
- 서식: 해당 법 별지 제17호 서식</t>
  </si>
  <si>
    <t>건축물 사용승인 알림 [공문]</t>
  </si>
  <si>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</si>
  <si>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</si>
  <si>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</si>
  <si>
    <t>● 건축법시행령 제20조</t>
  </si>
  <si>
    <t>9000-4-48</t>
  </si>
  <si>
    <t>건축물 사용승인 신청</t>
  </si>
  <si>
    <t>현장 -&gt; 관할지자체, 건축법 제22조(건축물의 사용승인)
- 서식: 해당 법 별지 제17호 서식
- 제출후 처리기간 7일 이내</t>
  </si>
  <si>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</si>
  <si>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</si>
  <si>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</si>
  <si>
    <t>● 건축법 제22조</t>
  </si>
  <si>
    <t>9000-4-49</t>
  </si>
  <si>
    <t>건축물대장 등재</t>
  </si>
  <si>
    <t>현장 및 지자체</t>
  </si>
  <si>
    <t>현장 -&gt; 관할지자체 -&gt; 관할지자체, 건축물대장의 기재 12조, 처리기간 7일 이내</t>
  </si>
  <si>
    <t>건축물 대장 등재 확인</t>
  </si>
  <si>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</si>
  <si>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</si>
  <si>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</si>
  <si>
    <t>● 건축물대장의 기재 및 관리 등에 관한 규칙 제12조</t>
  </si>
  <si>
    <t>9000-4-50</t>
  </si>
  <si>
    <t>후속 구조물 인계</t>
  </si>
  <si>
    <t>유지관리기관에 인계</t>
  </si>
  <si>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</si>
  <si>
    <t>유지관리기관 인수인계서, 건축 인허가 서류, 준공도서</t>
  </si>
  <si>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</si>
  <si>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</si>
  <si>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</si>
  <si>
    <t>● 인수인계 및 시설물 유지관리 기준 준수</t>
  </si>
  <si>
    <t>신호분야</t>
  </si>
  <si>
    <t>설계적정성 및 시공성 검토
설계오류 확인 및 수량, 내역의 오류확인</t>
  </si>
  <si>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</si>
  <si>
    <t>회의록, 설계검토보고서</t>
  </si>
  <si>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</si>
  <si>
    <t>1) 입찰 요구사항 상의 기술 스펙 및 자재 규격을 시방서와 사전 대조하십시오.
2) 분산형 CBI 및 선로전환기 용량의 현장 시공성 및 원가 Risk를 철저히 검토하여 승인을 획득하십시오.</t>
  </si>
  <si>
    <t>1) 입찰 안내서 상의 SIL 4 등급 및 무선지연(≤100ms) 사양이 설계 도서에 반영되었는가?
2) 철도 표준 자재(KRS) 규격 및 매립 선로전환기 전환력(4.5~6.0kN) 기준을 적격 확인하였는가?</t>
  </si>
  <si>
    <t>착수준비 KOM</t>
  </si>
  <si>
    <t>신호(트램신호, 도로신호)공사 발주 전 착수수립
신호공사 발주전략 수립
발주조건 CP 사항 검토</t>
  </si>
  <si>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</si>
  <si>
    <t>본사 외주/수행/협의 부서, 착수 KOM 결과보고서, 현장설명서</t>
  </si>
  <si>
    <t>1) 착수준비 KOM(WBS 9000-1-2) 과업을 위해 신호(트램/도로) 공사 발주전략 수립 및 CP사항 사전 검토를 완료하라.
2) 외주 수급, 신기술자재 확인, 내역 누락 방지 조치 및 SIL 인증보유 적격 업체 Pool을 확정하라.</t>
  </si>
  <si>
    <t>1) 신호공사 발주 전 착수 수립 시 본사 실무 협의를 거쳐 현장 전파 및 시공성 리스크를 점검하십시오.
2) 공정계획, 안전성 SIL 인증, 무상 A/S 및 철도안전법 준수 자재 투입 계획을 사전에 확인하십시오.</t>
  </si>
  <si>
    <t>1) 신호공사 발주 조건 CP 사항 및 하자발생 리스크 사전 검토 수칙을 수행하였는가?
2) 적격 업체 Pool 검토 및 내역 누락 방지 조치, SIL 인증 보유 여부를 확인하였는가?</t>
  </si>
  <si>
    <t>9000-1-3</t>
  </si>
  <si>
    <t>신규공사 수행 시, 선행공정 간섭 및 공종 Risk에 대해 대책 수립</t>
  </si>
  <si>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</si>
  <si>
    <t>Big Room 회의록(지침 전파 서명)</t>
  </si>
  <si>
    <t>1) 착수전 Big Room 회의(WBS 9000-1-3)를 통해 본사 및 각 분야(토목/궤도/전기/건축/기계/통신) 간 시공 인터페이스를 대조하라.
2) 궤도 시공 전 블록아웃, 배수로, 선로전환기, 차축검지기 설치 I/F 항목을 사전 확정하라.</t>
  </si>
  <si>
    <t>1) 신규공사 수행 시 선행공정 간섭 및 공종 Risk 대책 회의를 주관하십시오.
2) 궤도 시공 전 블록아웃 및 선로전환기 설치 I/F에 대해 각 분야 담당자와의 협의록을 작성하십시오.</t>
  </si>
  <si>
    <t>1) 본사 및 분야별(토목/궤도/전기/건축/통신) 세부설계 인터페이스를 검토하였는가?
2) 궤도 시공 전 블록아웃 및 차축검지기 설치 I/F 사전 대책을 수립하였는가?</t>
  </si>
  <si>
    <t>9000-1-4</t>
  </si>
  <si>
    <t>전기 / 통신 / 건축 / 도로 / 궤도 / 차량 등 인터페이스 협의</t>
  </si>
  <si>
    <t>현장 시스템팀</t>
  </si>
  <si>
    <t>완벽한 시스템 조율 및 인터페이스 협의</t>
  </si>
  <si>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</si>
  <si>
    <t>인터페이스 회의록 및 관리대장</t>
  </si>
  <si>
    <t>1) 시스템 조율(WBS 9000-1-4)을 위해 전기/통신/건축/도로/궤도/차량 분야 간 시공 인터페이스를 조율하라.
2) 궤도 시공 전 블록아웃, 배수로, 융설장치, 차축검지기 설치 I/F 승인서를 완수하라.</t>
  </si>
  <si>
    <t>1) 토목/궤도 단계별 시공계획을 확인하고 기계실 배선 및 현장 장치 설치 I/F를 조율하십시오.
2) 차축검지기 및 융설장치 체결 부위의 치수 적정성을 서면으로 확인하십시오.</t>
  </si>
  <si>
    <t>1) 토목/궤도 시공 전 블록아웃 및 배수로 설치 I/F를 사전 확인하였는가?
2) 차량기지 및 본선 선로전환기/차축검지기 체결 인터페이스를 조율하였는가?</t>
  </si>
  <si>
    <t>9000-1-5</t>
  </si>
  <si>
    <t>도로 / 궤도 인터페이스 협의</t>
  </si>
  <si>
    <t>선로선형 설계를 위한 사전조정 및 트램 운행 최적화</t>
  </si>
  <si>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</si>
  <si>
    <t>궤도/신호 요구사항 및 회의록</t>
  </si>
  <si>
    <t>1) 도로/궤도 I/F(WBS 9000-1-5) 달성을 위해 선로선형 및 궤도 분기기 통과 요구사항을 검토하라.
2) 도심 매립 궤도용 선로전환기(전환력 4.5~6.0kN, 유격 ≤1.5mm) 설치 조건 및 유관기관 피드백을 반영하라.</t>
  </si>
  <si>
    <t>1) 유관기관 피드백 수렴 및 궤도 분기기 통과 요구사항을 사전 조정하십시오.
2) 도로 교차로 노면 매립 궤도 시공계획과 선로전환기 설치 위치 적정성을 확인하십시오.</t>
  </si>
  <si>
    <t>1) 궤도 분기기 통과 요구사항 및 선로선형 사전조정 결과를 확인하였는가?
2) 노면 매립형 선로전환기(전환력 4.5~6.0kN, 유격 ≤1.5mm) 시공조건을 검토하였는가?</t>
  </si>
  <si>
    <t>9000-1-6</t>
  </si>
  <si>
    <t>시공전 인터페이스 협의</t>
  </si>
  <si>
    <t>시스템의 설계 보완 검토를 진행하고 완벽한 연계를 위한 설계</t>
  </si>
  <si>
    <t>인터페이스 보고서 및 인터페이스 회의록</t>
  </si>
  <si>
    <t>1) 시공전 인터페이스(WBS 9000-1-6)를 통해 시스템 설계 보완 및 연계 방안을 정밀 검토하라.
2) 배관배선 인입구, 구조물 간섭 및 궤도 시공 전 설치 항목을 개시 전 차단하라.</t>
  </si>
  <si>
    <t>1) 시스템 설계 보완검토를 통해 연계 시공 시 발생 가능한 간섭을 사전에 제거하십시오.
2) 궤도 시공 전 블록아웃 및 케이블 인입 배관의 간섭 여부를 정밀 확인하십시오.</t>
  </si>
  <si>
    <t>1) 시스템 설계 보완 검토를 통해 연계 설치 방안을 확정하였는가?
2) 케이블 인입 배관 및 궤도 블록아웃 간섭을 사전 제거하였는가?</t>
  </si>
  <si>
    <t>9000-1-7</t>
  </si>
  <si>
    <t>시스템 장비검토 사전 협의사항 도출 및 검토</t>
  </si>
  <si>
    <t>완벽한 시스템 연계 및 동작성 확보를 위한 가이드라인 제공</t>
  </si>
  <si>
    <t>- 성능보증 기능성 신호자재 단품 Spec 검토
- 제조사 자체 시험 및 인증 확인
- 설치 시공대장 및 제작도서 승인 서명</t>
  </si>
  <si>
    <t>자체 검증서 및 제작도서 승인 서류</t>
  </si>
  <si>
    <t>1) 장비 사전검토(WBS 9000-1-7)를 위해 기능성 신호자재 단품 Spec 및 성능보증 사양을 검토하라.
2) 제조사 자체 시험 성적서, KRS 표준 규격 및 제작도서 승인 서명을 완수하라.</t>
  </si>
  <si>
    <t>1) 신호자재 단품 Spec 검토 및 제조사 자체 시험성적서를 확인하십시오.
2) 제작도서 승인 서명 및 현장 투입 전 성능보증 기능을 검증하십시오.</t>
  </si>
  <si>
    <t>1) 성능보증 기능성 신호자재 단품 Spec 검토를 완료하였는가?
2) 제조사 공장검수 성적서 및 제작도서 승인 서명을 확인하였는가?</t>
  </si>
  <si>
    <t>9000-1-8</t>
  </si>
  <si>
    <t>관제 및 운영사 인터페이스 협의</t>
  </si>
  <si>
    <t>관제 및 운영사 요구사항 사전 반영 및 시공신뢰 확보</t>
  </si>
  <si>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</si>
  <si>
    <t>1) 관제/운영사 I/F(WBS 9000-1-8) 달성을 위해 종합관제실(OCC) 요구사항을 시공 전 반영하라.
2) 철도관제를 위한 관제사 조작반 MMI 및 예비관제 1:1 실시간 DB 동기화를 검증하라.</t>
  </si>
  <si>
    <t>1) 관제 및 운영사 실무 조율을 거쳐 시운전 시 예비사항 및 조작반 화면표시 정보를 도출하십시오.
2) 관제센터 MMI 화면 및 조작반 정보의 실시간 동기화 상태를 확인하십시오.</t>
  </si>
  <si>
    <t>1) 시운전 시 조율사항 및 예비사항 도출을 완료하였는가?
2) 철도관제를 위한 관제사 조작반 MMI 표시 정보를 사전 검토하였는가?</t>
  </si>
  <si>
    <t>9000-1-9</t>
  </si>
  <si>
    <t>자재 / 인원 / 장비 및 투입 사전 검토</t>
  </si>
  <si>
    <t>현장 시스템팀 / 협력사 / 관리감독자</t>
  </si>
  <si>
    <t>자재/인원/장비 투입 계획 수립</t>
  </si>
  <si>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</si>
  <si>
    <t>세부 공정계획 수립 및 보고</t>
  </si>
  <si>
    <t>1) 자재/인원/장비 계획(WBS 9000-1-9) 수립을 위해 현장 수량 기준 투입 계획을 승인하라.
2) 현장 여건 및 궤도 시공계획 맞춤형 투입 schedule 작성 및 수급 조정을 완수하라.</t>
  </si>
  <si>
    <t>1) 현장 여건 및 수량을 기준으로 투입 인원, 장비 계획서를 작성하여 감리단 승인을 받으십시오.
2) 궤도 시공계획과 연계된 자재 반입 및 작업원 투입 스케줄을 조정하십시오.</t>
  </si>
  <si>
    <t>1) 현장 수량 기준 투입 인원 및 장비 계획 규명서를 작성하였는가?
2) 궤도 시공계획 연계 투입 스케줄 감리단 승인을 획득하였는가?</t>
  </si>
  <si>
    <t>9000-1-10</t>
  </si>
  <si>
    <t>장비반입 및 안전교육</t>
  </si>
  <si>
    <t>현장 시스템팀 / 안전팀</t>
  </si>
  <si>
    <t>장비 반입 준비 및 안전교육 완료</t>
  </si>
  <si>
    <t>- 도로 굴착장비, 고속작업 시 사용할 장비, 인양장비등 관련 장비 계획 검토
- 장비 spec 확인, 장비 성능 점검
- 작업원 안전교육 실시</t>
  </si>
  <si>
    <t>측정기록서, 안전교육 결과서</t>
  </si>
  <si>
    <t>1) 장비안전(WBS 9000-1-10) 확보를 위해 굴착/고속작업/인양 장비 Spec 점검 및 성능 검사를 시행하라.
2) 작업원 특별 안전교육 및 위험성평가 이행 확인서를 승인 완수하라.</t>
  </si>
  <si>
    <t>1) 도로 굴착 및 인양 장비 Spec 확인과 장비 성능 점검을 반입 전 수행하십시오.
2) 신호 공사 작업원에 대한 특별 안전교육 및 보호구 착용 상태를 확인하십시오.</t>
  </si>
  <si>
    <t>1) 도로 굴착 및 인양 장비 Spec 점검 및 성능 검사를 완료하였는가?
2) 신호 공사 작업원 특별 안전교육 실시 기록을 확인하였는가?</t>
  </si>
  <si>
    <t>9000-1-11</t>
  </si>
  <si>
    <t>자재 반입 및 검수</t>
  </si>
  <si>
    <t>현장소장 및 발주청/공동감리단</t>
  </si>
  <si>
    <t>공장제품 품질 확보를 위한 자재 검수 및 검사</t>
  </si>
  <si>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</si>
  <si>
    <t>자재검수요청서 / 자재수입검사서</t>
  </si>
  <si>
    <t>1) 자재검수(WBS 9000-1-11) 강화를 위해 자재공급승인원(MAR) 제출 및 공장검수를 시행하라.
2) 반입 자재의 KS/KRS 규격 시험성적서 대조 검수 및 품질 보증을 완수하라.</t>
  </si>
  <si>
    <t>1) 자재공급승인원(MAR) 및 공장검수 계획서를 제출하여 감리단 승인을 획득하십시오.
2) 자재 현지 반입 시 사양서, 시험성적서 및 표준규격 부합 여부를 인수 검수하십시오.</t>
  </si>
  <si>
    <t>1) 자재공급승인원(MAR) 제출 및 공장검수 승인을 획득하였는가?
2) 반입 자재 사양 확인(KS, KRS 표준규격) 및 수량 검수를 시행하였는가?</t>
  </si>
  <si>
    <t>9000-1-12</t>
  </si>
  <si>
    <t>시스템설비 설치 (현장/기능실)</t>
  </si>
  <si>
    <t>현장소장 및 분야별 전담팀</t>
  </si>
  <si>
    <t>현장설비 및 기기실의 자체 최적의 설치작업</t>
  </si>
  <si>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</si>
  <si>
    <t>검사 결과서</t>
  </si>
  <si>
    <t>1) 시스템설비 설치(WBS 9000-1-12)를 위해 기계실 랙 마감 동선 및 승인 자재 상세 사양을 확인하라.
2) 현장 신호기, 선로전환기 기초 볼트 체결 및 도면 일치 여부를 정밀 시공하라.</t>
  </si>
  <si>
    <t>1) 기계실 장치 위치, 마감 동선 및 승인 자재 Serial Number 등록을 확인하십시오.
2) 현장 설치 설비의 규격, 수량 및 도면 일치 여부를 정밀 측정하여 시공하십시오.</t>
  </si>
  <si>
    <t>1) 기계실 장치 위치, 마감 동선 및 승인 자재 사양을 확인하였는가?
2) 현장 신호기/선로전환기 기초 볼트 체결 및 규격 일치 여부를 시공하였는가?</t>
  </si>
  <si>
    <t>9000-1-14</t>
  </si>
  <si>
    <t>시스템 단위시험</t>
  </si>
  <si>
    <t>철도안전법상 신호시스템 규정에 대한 설치 후 현황시험 및 기능 확보</t>
  </si>
  <si>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</si>
  <si>
    <t>자체단독시험 및 시험결과서 (단독단위)</t>
  </si>
  <si>
    <t>1) 단위시험(WBS 9000-1-14) 수행을 위해 철도안전법 규정에 따른 설치 후 단독 현황시험을 시행하라.
2) 신호기, 선로전환기, 전원장치, 차축검지기 개별 ITP/ITC 시험 결과서를 승인 완수하라.</t>
  </si>
  <si>
    <t>1) 자체 단독시험 및 관계부서 공동 시험수행 여부를 확인하십시오.
2) 감리단 승인 점검표(ITP/ITC) 절차에 따라 지상신호장치 단위시험 결과서를 작성하십시오.</t>
  </si>
  <si>
    <t>1) 지상신호장치 및 관계부서 단위시험 결과서를 확인하였는가?
2) 감리단 승인 점검표(ITP/ITC) 절차에 따라 개별 단독 현황시험을 수행하였는가?</t>
  </si>
  <si>
    <t>9000-1-15</t>
  </si>
  <si>
    <t>신호시스템 통합시험</t>
  </si>
  <si>
    <t>신호시스템 단독시험 완료 후 타 분야 연계 및 시설 유효성 확인</t>
  </si>
  <si>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</si>
  <si>
    <t>1) 통합시험(WBS 9000-1-15)을 통해 단독시험 완료 후 관제 ➔ CBI 전자연동장치 통합 연동을 검증하라.
2) 차상-지상 무선(LTE-R) 도로-트램 우선신호 연계 시험 결과표를 승인 완수하라.</t>
  </si>
  <si>
    <t>1) 관제실 및 현장 연동장치 간 인터페이스 통합시험을 시행하십시오.
2) 지상-차상 인터페이스 및 도로/트램 우선신호 무선 연계시험 결과표를 작성하십시오.</t>
  </si>
  <si>
    <t>1) 관제실 및 현장 연동장치 간 인터페이스 시험을 수행하였는가?
2) 지상-차상 인터페이스 및 도로-트램 우선신호 연계 시험을 검증하였는가?</t>
  </si>
  <si>
    <t>9000-1-16</t>
  </si>
  <si>
    <t>공종별 시험</t>
  </si>
  <si>
    <t>철도안전기준에 따른 법정 / 설계기준 / 신기술 / 시운전 등의 요구사항의 적합성 검증</t>
  </si>
  <si>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</si>
  <si>
    <t>공종별 시험 결과보고서</t>
  </si>
  <si>
    <t>1) 공종별 시험(WBS 9000-1-16)을 위해 신호기, 진로표시기, 선로전환기, 차축검지기 현장 동작시험을 시행하라.
2) 신호기계실 전원 2중화 절체 시험 및 관제 CTC 서버 정상 동작 시험을 완수하라.</t>
  </si>
  <si>
    <t>1) 현장설비(신호기 투시거리, 선로전환기 쇄정, 차축검지기) 동작시험을 시행하십시오.
2) 기계실 전원공급장치 이중화 절체 시험 및 관제 서버 정상 동작상태를 확인하십시오.</t>
  </si>
  <si>
    <t>1) 신호기 투시거리/진로표시기 및 선로전환기 쇄정 동작시험을 수행하였는가?
2) 기계실 전원공급장치 이중화 절체 시험 및 관제 서버 동작을 검증하였는가?</t>
  </si>
  <si>
    <t>9000-1-17</t>
  </si>
  <si>
    <t>차량 투입 전 점검</t>
  </si>
  <si>
    <t>현장소장 및 시공전담팀</t>
  </si>
  <si>
    <t>차량 시험운행 전 철저한 안전대책 수립 및 품질성 확보 여부 확인</t>
  </si>
  <si>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</si>
  <si>
    <t>차량 투입 전 점검 결과 보고서</t>
  </si>
  <si>
    <t>1) 차량 투입 전 점검(WBS 9000-1-17)을 통해 연동검사 및 기계실 방재/접지저항 측정을 시행하라.
2) 건축한계/차량한계 이격 정밀 측정 및 전원장치(UPS) 성능을 최종 검증하라.</t>
  </si>
  <si>
    <t>1) 연동검사(설비동작, 진로취급) 및 신호기 시공상태 적정성을 점검하십시오.
2) 건축한계(폭 3.1m/높이 3.8m) 이격 측정 및 기계실 UPS/방재예방 설비를 확인하십시오.</t>
  </si>
  <si>
    <t>1) 연동검사 및 기계실 시스템/UPS 시험을 완료하였는가?
2) 신호기와 건축물 간 건축한계 정밀 측정 및 방재설비를 확인하였는가?</t>
  </si>
  <si>
    <t>9000-1-18</t>
  </si>
  <si>
    <t>차량 시운전</t>
  </si>
  <si>
    <t>철도안전법상 철도기술기준에 적합하게 시운전 수행 여부(철도노선 규정)</t>
  </si>
  <si>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</si>
  <si>
    <t>철도차량 안전성 결과 보고서</t>
  </si>
  <si>
    <t>1) 차량 시운전(WBS 9000-1-18) 수행 시 철도안전법 제26조 형식승인 기준 준수 여부를 검증하라.
2) 속도/제동 테스트, 차상-지상 연계동작 및 열차제어 시스템 기능시험을 완수하라.</t>
  </si>
  <si>
    <t>1) 철도기술기준에 따라 속도/제동 테스트 및 주요기기 제어전원 투입을 검사하십시오.
2) 차상신호장치 지·차상 연계동작시험 및 열차제어 시스템 기능시험을 시행하십시오.</t>
  </si>
  <si>
    <t>1) 철도기술기준 준수 속도/제동 테스트 및 주요기기 검사를 시행하였는가?
2) 차상-지상 연계동작시험 및 차량-신호-통신 I/F 시험을 검증하였는가?</t>
  </si>
  <si>
    <t>9000-1-19</t>
  </si>
  <si>
    <t>운영자 교육시행</t>
  </si>
  <si>
    <t>운영요원(기관사 및 안전관리)을 위한 주행/유지 교육시행</t>
  </si>
  <si>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</si>
  <si>
    <t>운영자훈련 및 기술단계에서 운영지침서</t>
  </si>
  <si>
    <t>1) 운영자 교육(WBS 9000-1-19)을 위해 기관사 및 유지보수 요원 대상 시스템 안전 교육을 시행하라.
2) 장비 제작사에 의한 CTC/CBI/현장설비 조작·정비 기술 교육 완료 이수증을 승인하라.</t>
  </si>
  <si>
    <t>1) 철도차량 안전점검 요령 및 시스템 간 조작 방법에 대한 운영자 교육을 시행하십시오.
2) CTC 서버, 전자연동장치, 현장 신호기/선로전환기 교육 이수 현황을 확인하십시오.</t>
  </si>
  <si>
    <t>1) 기관사 및 유지보수요원 대상 시스템 안전 교육을 시행하였는가?
2) 장비 제작사에 의한 CTC/CBI/현장설비 조작교육을 완료하였는가?</t>
  </si>
  <si>
    <t>9000-1-20</t>
  </si>
  <si>
    <t>사전점검 및 철도기술기준 검토</t>
  </si>
  <si>
    <t>현장소장 및 발주처 / 공동감리단</t>
  </si>
  <si>
    <t>철도종합시험운행에 따른 기능 및 성능 사전검증과 철도종합시험운행의 목적 달성의 적합여부 판정</t>
  </si>
  <si>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</si>
  <si>
    <t>사전점검 결과표 / 철도안전성검토서</t>
  </si>
  <si>
    <t>1) 사전점검(WBS 9000-1-20)을 위해 철도종합시험운행 시행지침 제6조/제8조 검토 수칙을 이행하라.
2) 시설물 시공상태, 기술기준 준수 및 완공 가능 여부 사전점검 체크리스트를 완수하라.</t>
  </si>
  <si>
    <t>1) 철도종합시험운행 시행지침 제6조/제8조에 따라 사전점검 체크리스트를 사전에 준비하십시오.
2) 시설물 시공상태, 기술기준 준수 여부 및 공종별시험 결과보고서를 검토하십시오.</t>
  </si>
  <si>
    <t>1) 철도종합시험운행 시행지침 제6조/제8조 사전점검 체크리스트를 수립하였는가?
2) 철도시설물 시공상태, 기술기준 준수 및 안전성 분석 결과를 검토하였는가?</t>
  </si>
  <si>
    <t>9000-1-21</t>
  </si>
  <si>
    <t>시설물 검증시험</t>
  </si>
  <si>
    <t>시설물검증 노선에 환경에 철도종합시험운행 시행지침에 의거 철도노선 및 관계시설을 검증하여 안전성 확보 여부 판단</t>
  </si>
  <si>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</si>
  <si>
    <t>시설물 검증시험 시험결과 및 승인원, 완료결과보고서</t>
  </si>
  <si>
    <t>1) 시설물 검증(WBS 9000-1-21)을 위해 최고운행속도 증속 시운전을 시행하고 신호 정상동작을 검증하라.
2) 신호설비와 차량 간 연계성 및 철도차량 운행 적합성 검증 결과표를 승인 완수하라.</t>
  </si>
  <si>
    <t>1) 설계 최고운행속도까지 단계별 증속하여 신호시설물 정상 동작 및 안전성을 점검하십시오.
2) 신호설비와 차량 간 연계 적정성 및 철도차량 운행 적합 여부를 서면 판정하십시오.</t>
  </si>
  <si>
    <t>1) 설계 최고운행속도 증속 시운전 시 신호시설물 정상 동작을 확인하였는가?
2) 신호설비와 차량 간 연계성 및 차량 운행 적합성을 검증하였는가?</t>
  </si>
  <si>
    <t>9000-1-22</t>
  </si>
  <si>
    <t>영업 시운전</t>
  </si>
  <si>
    <t>영업 시운전에 의한 수송능력을 파악하고 최종 운영기관과 인터페이스 협의를 통해 시공의 안정성 확보 여부 및 검증</t>
  </si>
  <si>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</si>
  <si>
    <t>영업 시운전 및 가동단계에서 운영지침서 및 최종 제출서(가동시험보고서)</t>
  </si>
  <si>
    <t>1) 영업 시운전(WBS 9000-1-22)을 위해 모의 영업 시나리오 기반 100회 정시 운행 성공률(≥99.8%)을 달성하라.
2) 영업운전과 동일 조건 열차스케줄 및 승무원 노선숙지 등 최종 영업준비를 완수하라.</t>
  </si>
  <si>
    <t>1) 모의 영업 시나리오에 따라 100회 정시 운행 성공률(≥99.8%) 이상을 확보하십시오.
2) 영업운전과 동일한 조건으로 열차운행 스케줄 및 영업설비 최종 점검을 완료하십시오.</t>
  </si>
  <si>
    <t>1) 모의 영업 시나리오 기반 100회 정시 운행 성공률(≥99.8%)을 달성하였는가?
2) 영업운전 동일 조건 행사수송 및 승무원 노선숙지 훈련을 완수하였는가?</t>
  </si>
  <si>
    <t>9000-1-13</t>
  </si>
  <si>
    <t>유지관리 설치</t>
  </si>
  <si>
    <t>관제 관제실의 장비체계 배치 및 설치</t>
  </si>
  <si>
    <t>- 유지 및 보수용 상세 공사 설계배치 확인
- 현장조성 및 유지관리 지침서 이행 여부</t>
  </si>
  <si>
    <t>유지관리 지침 및 관리 이행 보고서</t>
  </si>
  <si>
    <t>1) 유지관리 설치(WBS 9000-1-13)를 위해 관제실 유지보수용 장비 배치 및 상세 공사 설계를 확인하라.
2) 현장조성 및 유지관리 지침서 이행 여부를 확인하고 관제 MMI 보수를 완수하라.</t>
  </si>
  <si>
    <t>1) 관제실 유지 및 보수용 상세 공사 설계 배치를 확인하고 장비를 시공하십시오.
2) 현장 조성 및 유지관리 지침서 이행 여부를 점검하여 서면 보고하십시오.</t>
  </si>
  <si>
    <t>1) 관제실 유지보수용 상세 공사 설계 배치를 확인하였는가?
2) 현장조성 및 유지관리 지침서 이행 여부를 점검 확인하였는가?</t>
  </si>
  <si>
    <t>통신분야</t>
  </si>
  <si>
    <t>설계적정성 및 시공성 검토</t>
  </si>
  <si>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</si>
  <si>
    <t>회의록, 설계검토 보고서</t>
  </si>
  <si>
    <t>1) 정보통신공사업법, KDS 47 철도설계기준 및 입찰안내서 특기시방 준수 여부 사전 검증
2) LTE-R 무선망, 8대 이종 통신시스템, 타공종 간섭 및 리스크 헷지·기회반영 설계변경 승인 표준 적용</t>
  </si>
  <si>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</si>
  <si>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</si>
  <si>
    <t>착수전략 KOM</t>
  </si>
  <si>
    <t>통신설비 공사 발주 전략수립</t>
  </si>
  <si>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</si>
  <si>
    <t>KOM 검토결과서, 현장설명서</t>
  </si>
  <si>
    <t>1) 통신공사 발주 착수 전 입찰조건, 적격 시공업체 Pool 분석 및 8대 현장조건 반영 발주전략 수립
2) 주요 통신 자재 납품 수급 계획 및 시공 적격성 평가를 반영한 발주전략 KOM 보고서 승인 표준 적용</t>
  </si>
  <si>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</si>
  <si>
    <t>1) 통신공사 발주 착수 전 입찰안내서 요구조건 및 현장여건 8대 특기사항을 발주 전략에 반영하였는가?
2) 주요 자재 납품 수급 계획 및 적격 시공업체 평가 기준을 마련하여 발주전략 KOM 승인을 완수하였는가?</t>
  </si>
  <si>
    <t>9000-2-3</t>
  </si>
  <si>
    <t>토목 / 건축 인터페이스 협의</t>
  </si>
  <si>
    <t>통신설비 설치를 위한 요구사항 검토</t>
  </si>
  <si>
    <t>- 자재 반입전/공동구/케이블 인입구 등 확인, 기능실마감 및 출입문 상태</t>
  </si>
  <si>
    <t>1) 토목·건축 구조물 내 통신 관로, 케이블 트레이, 기계실 배치 및 인입 배관 인터페이스 사전 검토
2) 타공종 구조체 타설 전 통신 매립 배관 위치 검증 및 인터페이스 협의록 작성 표준 적용</t>
  </si>
  <si>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</si>
  <si>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</si>
  <si>
    <t>9000-2-4</t>
  </si>
  <si>
    <t>전기 / 신호 / 기계 / PSD / 차량 인터페이스 협의</t>
  </si>
  <si>
    <t>현장 시스템팀 / 통신 협력업체</t>
  </si>
  <si>
    <t>연계분야간 사전조율 및 인터페이스 사항 조율로 재작업 예방</t>
  </si>
  <si>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</si>
  <si>
    <t>1) 전기, 신호, PSD, 차량, 관제 등 이종 시스템 간 전원, 신호선 및 데이터 통신 인터페이스 통합 검토
2) 타공종 간 전자기 적합성(EMC/EMI), 전력 케이블 유도장해 차폐 및 서지 보호 표준 적용</t>
  </si>
  <si>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</si>
  <si>
    <t>1) 96Core 광망[통합 포설] 통신(48C)+전기(2C)+신호(12C)를 OF-SM-96Core×2조 통합 포설로 확정하였는가?
2) KEC 점유율[KEC 33%] 전선관 내부 단면적 점유율 33% 이하 및 ELP ø150mm×6개×2조 배관을 확인하였는가?</t>
  </si>
  <si>
    <t>9000-2-5</t>
  </si>
  <si>
    <t>통신설비 제작사 인터페이스 협의</t>
  </si>
  <si>
    <t>통신설비간 연동방안 검토</t>
  </si>
  <si>
    <t>- 내부 인터페이스 및 인허가사항 확인, 보안성검토 요청서</t>
  </si>
  <si>
    <t>1) 통신 주요 설비(LTE-R, 방송, CCTV, 역무, 관제 등) 제작사 간 프로토콜, 연동 규격 및 인터페이스 검토
2) 제작사 간 데이터 입출력 포맷 및 연동 케이블 사양서 확정 협의록 승인 표준 적용</t>
  </si>
  <si>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</si>
  <si>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</si>
  <si>
    <t>9000-2-6</t>
  </si>
  <si>
    <t>관제 및 운영사 요구사항 사전 반영 및 시공범위 최적화</t>
  </si>
  <si>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</si>
  <si>
    <t>1) 종합관제센터 및 철도운영사 요구조건 반영 관제 화면, 통신 프로토콜 및 비상 제어 인터페이스 검토
2) 관제 서버, 네트워크 스위치 및 운영사 통합 수선 체계 부합성 확인 승인 표준 적용</t>
  </si>
  <si>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</si>
  <si>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</si>
  <si>
    <t>9000-2-7</t>
  </si>
  <si>
    <t>발주처 품질 요구사항 검토</t>
  </si>
  <si>
    <t>발주처 품질관리 기준/검사방안 확인</t>
  </si>
  <si>
    <t>- 감리/감독과 품질검사(ITP/ITC) 항목 검토</t>
  </si>
  <si>
    <t>ITP/ITC</t>
  </si>
  <si>
    <t>1) 발주처 입찰안내서 및 시방서 상의 통신 품질 시험 기준, 자재 승인 및 시험성적서 요구조건 검토
2) 품질시험계획서 수립 및 발주처 승인 품질 기준 준수서 작성 표준 적용</t>
  </si>
  <si>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</si>
  <si>
    <t>1) [품질 계획] 발주처 품질검사 계획서(ITP)와 공사시방서의 품질 기준을 사전 정밀 대조하였는가?
2) [Hold Point] 감리원 현장 직접 입회 검측 항목(Hold Point)을 사전 분류 지정하였는가?</t>
  </si>
  <si>
    <t>9000-2-8</t>
  </si>
  <si>
    <t>자재 / 인원 / 장비 등 투입 사전 검토</t>
  </si>
  <si>
    <t>현장 시스템팀 / 협력업체 / 관리</t>
  </si>
  <si>
    <t>자재 / 인원 / 장비 투입 계획 수립</t>
  </si>
  <si>
    <t>- 현장 여건 및 수량을 기준으로 투입(인원, 장비, 자재) 검토</t>
  </si>
  <si>
    <t>세부 공정계획 수립 및 조율</t>
  </si>
  <si>
    <t>1) 통신 공사 착수 전 전문 인력 기술자격, 자재 투입 일정 및 전용 시험장비/공구 사전 검토
2) 예정공정표 대비 인원·장비 투입 수급 타당성 및 안전 수칙 준수 검토 승인 표준 적용</t>
  </si>
  <si>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</si>
  <si>
    <t>1) [자원 계획] 공정별 통신 인력, 장비 수급 및 자재 수량을 사전 정밀 대조하였는가?
2) [인력 자격] 통신 공종별 특급/고급 기술자 자격증 및 현장 배치 계획을 확인하였는가?</t>
  </si>
  <si>
    <t>9000-2-9</t>
  </si>
  <si>
    <t>착수 전 Big Room 회의</t>
  </si>
  <si>
    <t>통신공사 수행 시, 선행공정 간섭사항 및 각종 Risk에 대한 대책 수립</t>
  </si>
  <si>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</si>
  <si>
    <t>1) 공사 착수 전 발주처, 감리단, 시공사 및 타공종 합동 Big Room 회의를 통한 종합 공정 및 위험요인 검토
2) 간섭사항 사전 도출 및 공종 간 공정 마일스톤 협의록 작성 표준 적용</t>
  </si>
  <si>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</si>
  <si>
    <t>1) [Big Room 체계] 본사/현장/협력사 3자 Big Room 협의체를 구축하고 착수 세부 실행계획을 대조하였는가?
2) [인터페이스] 노반(궤도)/전기/신호/기계/차량 5대 공종 간 관통 경로 및 간섭점을 사전 도출 검출하였는가?</t>
  </si>
  <si>
    <t>9000-2-10</t>
  </si>
  <si>
    <t>통신설비 제작 사양서 작성 / 승인</t>
  </si>
  <si>
    <t>실제 설치되는 통신설비의 사양서를 확정하고 제작 사양서를 작성/승인</t>
  </si>
  <si>
    <t>- 현장여건 및 실시설계계획보고서/포함자재사양서의 요구사항 충족 여부를 확인
- 제작사양서, 제작도면 작성 후 감리단 승인</t>
  </si>
  <si>
    <t>제작사양서, 제작도면</t>
  </si>
  <si>
    <t>1) 통신설비 세부 기술사양서, 랙 배열도(Shop Drawing) 및 전기적/기계적 상세 도면 작성 검토
2) 감리단 및 발주처 승인을 위한 제작사양서 승인 신청서 및 공학적 승인 표준 적용</t>
  </si>
  <si>
    <t>1) 제작도서 상세 검토: 통신 랙 배열도(Shop Drawing), 전원 분배기 용량 및 단위 기기 기술 사양서 정밀 분석
2) 공학적 승인 신청: 발주처 입찰시방과 제작사양서 1:1 대조 검증 및 감리단 공학적 승인 제출 절차 수행</t>
  </si>
  <si>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</si>
  <si>
    <t>9000-2-11</t>
  </si>
  <si>
    <t>시공 계획 수립 / 승인</t>
  </si>
  <si>
    <t>안전/품질이 확보된 시공계획 수립</t>
  </si>
  <si>
    <t>- 공사계획: 예정공정표, 인원/장비/자재투입 계획, 통신자재 설치 절차서 등
- 안전관리: 위험요인/대책, 안전교육/시설/점검 계획 수립
- 품질관리: 품질하자 Risk 및 대책 수립
- 인허가: 자가전기통신설비 설치신고 접수</t>
  </si>
  <si>
    <t>시공계획서&amp;시공상세도, 자가전기통신설비 신고서/계획서</t>
  </si>
  <si>
    <t>1) 통신공사 공정별 상세 시공절차서, 안전관리계획서, 품질관리계획서 및 세부 공정표 수립
2) 통신설비 설치 공법 타당성 및 감리단 시공계획서 승인 제출 표준 적용</t>
  </si>
  <si>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</si>
  <si>
    <t>1) [도서 대조] 기본/실시설계 보고서, 시방서 수치와 현장 통신기계실 실측 치수를 1:1 대조·확인하였는가?
2) [안전 대책] 통신기계실 DC -48V 감전 방지 및 정거장 고소작업 시 안전대/2인1조 작업 대책을 수립하였는가?</t>
  </si>
  <si>
    <t>9000-2-12</t>
  </si>
  <si>
    <t>자재공급원 검토 및 승인</t>
  </si>
  <si>
    <t>통신설비의 시공성과 품질, 기능 확보를 위한 자재 공급원 검토 및 승인</t>
  </si>
  <si>
    <t>- 통신자재제작능력, 유사사례 납품실적 확인
- 성능보증 가능한 통신자재 업체 Pool 검토
- 통신자재 설치 실적 및 설계능력 확인
- 보안성검토 결과 확인</t>
  </si>
  <si>
    <t>자재공급원/제작도서 승인 서류, 보안성검토 결과서</t>
  </si>
  <si>
    <t>1) 통신 주요 자재 및 기기 자재공급원 승인 서류(KS 인증, 시험성적서, 사업자등록증 등) 검토
2) 성능보증이 가능한 복수 자재공급원 승인 서류 수립 및 감리 승인 표준 적용</t>
  </si>
  <si>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</si>
  <si>
    <t>1) [서류 수집] 공장등록증, 사업자등록증, 카탈로그, A/S 확약서 등 6대 필수 제출 서류를 수집·확인하였는가?
2) [사양 대조] 설계도서 수치(KCS 31 10 00)와 자재 카탈로그 규격 간 1:1 대조표를 정확히 작성하였는가?</t>
  </si>
  <si>
    <t>9000-2-13</t>
  </si>
  <si>
    <t>통신설비 공정제작 / 제작사 공장검사</t>
  </si>
  <si>
    <t>제작사양서/제작도면의 일치여부검토 및 현장반입 전 공장 성능검사 확인</t>
  </si>
  <si>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</si>
  <si>
    <t>공장검사 결과보고서 (감리 및 관계기관 입회)</t>
  </si>
  <si>
    <t>1) 통신 기기 제작 공정 진행률 점검 및 공장시험(FAT, Factory Acceptance Test) 절차서 작성
2) 공장 수검 검사, 품질 성능 시험성적서 확인 및 공장검사 합격증명서 발급 표준 적용</t>
  </si>
  <si>
    <t>1) 공장검사(FAT) 준비: 제작사 공장 제작 공정률 점검, FAT 시험절차서 검토 및 검사 입회 일정 수립
2) 입회 검사 실시: 전원 인입, 기능 시험, 방수/내열 공인시험 실측 확인 및 FAT 공장검사 합격증명서 획득</t>
  </si>
  <si>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</si>
  <si>
    <t>9000-2-14</t>
  </si>
  <si>
    <t>본공사 전 선행공정 인수인계 점검</t>
  </si>
  <si>
    <t>통신설비 설치를 위한 현장점검/정리 상태 확인(기능실: 건축,전기/현장: 노반)</t>
  </si>
  <si>
    <t>- 통신설비 설치 시 간섭여부 점검
- 현장 정리상태 점검 (건축마감, 공조, 조명, 전원 등)
- 장비설치를 위한 자체반입구 및 케이블 설치를 위한 공동구/오프닝 위치 확인</t>
  </si>
  <si>
    <t>기록지, 현장점검결과보고서(감리입회)</t>
  </si>
  <si>
    <t>1) 토목·건축 선행 공정 완료 후 통신 기계실, 케이블 트레이, 관로 인수인계 현장 상태 검측
2) 바닥 엑세스플로어, 방화 구획 및 기초 구조체 인수인계 확인서 작성 표준 적용</t>
  </si>
  <si>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</si>
  <si>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</si>
  <si>
    <t>9000-2-15</t>
  </si>
  <si>
    <t>- 자재반입 경로, 적치장소에 대한 사전확인 및 타분야 일정, 간섭사항 협의/확인
- 장비 Spec확인, 장비상태 점검
- 작업원 안전교육 실시</t>
  </si>
  <si>
    <t>안전교육 결과서, 측량기록지</t>
  </si>
  <si>
    <t>1) 통신 시공 장비 및 차량 반입 전 장비 안전점검 및 작업자 특별안전보건교육 실시
2) 장비 반입 허가서 작성 및 안전 교육 이수 수료증 관리 표준 적용</t>
  </si>
  <si>
    <t>1) 장비 안전점검: 고소작업차, 광접속 차량 반입 전 안전 검사 및 작업 장비 반입 신청서 검토
2) 안전 교육 이수: 통신 시공 작업자 대상 특별안전보건교육, 보호구 착용 점검 및 안전 교육 이수 수료 관리</t>
  </si>
  <si>
    <t>1) 화물차 반입 도로의 유효 폭(W≥3.5m) 및 지상 가설재 장애물(0cm) 상태를 확인하였는가?
2) 토목/건축 등 타분야 양중 작업 간섭 여부를 사전 협의하고 양중 시간대를 분리 조율하였는가?</t>
  </si>
  <si>
    <t>9000-2-16</t>
  </si>
  <si>
    <t>공장검사 시행 완료된 자재반입과 현장 입고 검사</t>
  </si>
  <si>
    <t>- 자재 하차 위치 및 반입동선 확인
- 승인된 자재 일치여부 확인(Serial number 등)
- 제품의 규격, 수량 도면과 일치하는지 검토</t>
  </si>
  <si>
    <t>자재검수서</t>
  </si>
  <si>
    <t>1) 현장 반입 통신 자재 및 케이블의 승인 자재 일치성, 수량 및 운반 파손 여부 검수
2) 자재검수 요청서 작성 및 감리 입회 검수 합격 확인 표준 적용</t>
  </si>
  <si>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</si>
  <si>
    <t>1) 시방 대조[도면 및 여건] 자재 하차 위치 및 반입동선 확인 수칙을 사전 대조 확인하였는가?
2) 업체 Pool[적격 업체] 철도/트램 시공 및 영업운행 실적이 입증된 적격 업체 Pool을 검토하였는가?</t>
  </si>
  <si>
    <t>9000-2-17</t>
  </si>
  <si>
    <t>통신설비 반입 및 설치</t>
  </si>
  <si>
    <t>설계에 부합되도록 통신설비 설치</t>
  </si>
  <si>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</si>
  <si>
    <t>1) 통신 기계실 랙 설비, 본선 관로 광케이블 포설 및 역무 통신 기기 수평/수직 시공 설치
2) 케이블 성단, OTDR 접속 및 설비 고정 상태 검측 표준 적용</t>
  </si>
  <si>
    <t>1) 설치 실무 절차: 통신 기계실 랙 고정, 광케이블/UTP 포설, 성단 작업 및 역사 역무 통신 기기 수평/수직 시공
2) 접속 및 검측: OTDR 접속 손실(≤0.05dB) 측정, 랙 전원 인입 배선 정리 및 설비 고정 상태 감리 검측</t>
  </si>
  <si>
    <t>1) 본 시공 착수 전 통신기계실 랙 배선 정돈 및 마킹 표찰 샘플을 감리단과 사전 검측하였는가?
2) 72-Core 광케이블 융착 접속 트레이 정돈 및 접속 손실 샘플 시공 승인을 획득하였는가?</t>
  </si>
  <si>
    <t>9000-2-18</t>
  </si>
  <si>
    <t>관제설비 설치</t>
  </si>
  <si>
    <t>관제설비의 정위치 배치 및 설치</t>
  </si>
  <si>
    <t>- 랙 베이스/케이블 등 설치 위치를 확인하고 설치후에는 도면과 일치 여부를 체크
- 철도 교통관제(구로/대전)와 연동할 수 있게 광전송/열차무선 설비 등을 설치하고 확인</t>
  </si>
  <si>
    <t>1) 종합관제센터 관제 콘솔, 대형 표시장치(DLP/LFD), 관제 서버 및 네트워크 설비 설치
2) 관제 시스템 전원 인입, 배선 정리 및 관제 환경 설치 검측 표준 적용</t>
  </si>
  <si>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</si>
  <si>
    <t>1) OCC 관제실 전면 비디오 월 마운트 거치 프레임 레이저 수평 오차(±1.0mm 이내)를 실측하였는가?
2) 멀티 디스플레이 패널 간 베젤 이격 단차(≤0.5mm) 미세 조율 및 방진 가스켓 부착을 완료하였는가?</t>
  </si>
  <si>
    <t>9000-2-19</t>
  </si>
  <si>
    <t>통신시스템 단위시험</t>
  </si>
  <si>
    <t>통신설비(열차에 설치하는 차상통신 장치 포함)설치 후 전원투입 및 기능검증</t>
  </si>
  <si>
    <t>- ITP/ITC에 따라 시험/검사를 감리 확인</t>
  </si>
  <si>
    <t>감리단 입회검사 및 시험점검표(ITP/ITC)</t>
  </si>
  <si>
    <t>1) 통신 개별 단위 설비(LTE-R, 방송, CCTV, 역무, 전화 등) 전원 투입 및 단독 시험 실시
2) 설비별 단위시험 절차서 준수 및 단독 기능 시험성적서 작성 표준 적용</t>
  </si>
  <si>
    <t>1) 단독 시험 수행: LTE-R 기지국/제어기, 방송, CCTV, 역무, 전화 등 개별 시스템 단위 전원 인입 및 단독 시험
2) 단위성적서 작성: 단위시험 절차서 항목별 성능 측정, 불합격 항목 보완 조치 및 단위시험 성과표 확정</t>
  </si>
  <si>
    <t>1) 통신기계실 LTE-R DU 제어기 및 옥외 RU 무선장치에 단독 전원(220V/48V) 투입 후 부팅 정상 상태를 확인하였는가?
2) RF 파워메터로 무선장치(RU) 송신 출력을 계측하여 표준 규격(43dBm ±0.5dB) 이내임을 검측하였는가?</t>
  </si>
  <si>
    <t>9000-2-20</t>
  </si>
  <si>
    <t>통신시스템 통합시험</t>
  </si>
  <si>
    <t>관제설비를 포함한 통신망 통합 검증</t>
  </si>
  <si>
    <t>- 감리단 입회하에 검사/시험절차대로 수행
1) 관제실/현장설비간 인터페이스 시험
2) 지상 및 차상 인터페이스 시험</t>
  </si>
  <si>
    <t>1) 통신 설비 간 데이터 연동, LTE-R 무선망 백본 이중화 절체 및 종합 네트워크 연동 시험
2) 통합시험 절차서 준수 및 이종 통신 설비 간 상호 연동성 검측 표준 적용</t>
  </si>
  <si>
    <t>1) 연동 시험 수행: 통신 이종 시스템 간 데이터 연동, LTE-R 코어망 백본 이중화 절체 및 종합 네트워크 연동 시험
2) 통합 성과 확인: 관제-현장 장치 간 제어 응답속도 검측, 통합 시험 성과표 작성 및 감리 승인 완료</t>
  </si>
  <si>
    <t>1) 관제센터 메인 방송 서버와 각 정거장 PIS 제어기 간 광전송 유선 인터페이스 통신 상태를 확인하였는가?
2) 관제 콘솔에서 PIS 문구 송출 명령 전송 시 현장 안내표시기 반응 지연 시간(≤0.5초 이내)을 검측하였는가?</t>
  </si>
  <si>
    <t>9000-2-21</t>
  </si>
  <si>
    <t>발주처가 관련 법령, 설계기준, 기술기준, 시방서 등의 요구사항에 적합하도록 설치되었는지를 확인</t>
  </si>
  <si>
    <t>- 철도종합시험운행 시행지침 제6조(공종별시험)에 따라 시행</t>
  </si>
  <si>
    <t>1) 철도 종합시험운행 지침에 의거한 통신 공종별 상세 시운전 시험 절차 수립
2) 공종별 시험 항목 검측, 무선 전계강도 측정 및 시험성적서 확정 표준 적용</t>
  </si>
  <si>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</si>
  <si>
    <t>1) 본선 및 정거장 광배선반(FDF) 포설 광케이블 전체 코어에 대하여 OTDR 전수 측정을 수행하였는가?
2) 광케이블 융착 접속점 접속 손실 수치가 시방 기준(≤0.1dB/접속점 이하)을 통과함을 확인하였는가?</t>
  </si>
  <si>
    <t>9000-2-22</t>
  </si>
  <si>
    <t>발주처가 원활한 차량시운전이 되도록 노반, 건축, 궤도, 전철전력, 통신, 신호 분야를 종합하여 최종 점검</t>
  </si>
  <si>
    <t>- 노반/궤도 시공상태 점검
- 건축한계 및 차량한계 검사
1) 건축한계: 폭(3,600mm) / 높이(5,300mm)
2) 차량한계: 폭(3,200mm) / 높이(4,750mm)
- 전차선, 신호, 통신 작동상태 확인</t>
  </si>
  <si>
    <t>점검 결과보고서</t>
  </si>
  <si>
    <t>1) 본선 트램 차량 투입 전 LTE-R 차상 통신장치, 무선 안테나 및 관제 무선 연동태세 점검
2) 차량 투입 대비 통신 무무선 연동 안전 상태 확인 표준 적용</t>
  </si>
  <si>
    <t>1) 차상 연동 점검: 본선 트램 차량 투입 전 차량 차상 LTE-R 통신장비, 무선 안테나 및 관제 무선 연동태세 실측
2) 투입 안전 승인: 차량 투입 시 무선 통신 끊김 예방 점검 및 차량 투입 전 통신 안전 확인서 작성</t>
  </si>
  <si>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</si>
  <si>
    <t>9000-2-23</t>
  </si>
  <si>
    <t>철도안전법에 따른 철도차량 형식시험</t>
  </si>
  <si>
    <t>- 철도안전법 제26조(철도차량 형식승인)에 따라 이행(주로 본선구간 수행)
- 차량, 신호, 통신 시스템간 인터페이스 시험</t>
  </si>
  <si>
    <t>철도차량 형식승인 결과 보고서</t>
  </si>
  <si>
    <t>1) 트램 차량 본선 주행 시 LTE-R 무선 수신강도(RSSI/RSRP), 핸드오버 및 음성/데이터 통신 검측
2) 주행 중 통신 끊김 여부 및 차상-지상 간 통신 품질 성과표 작성 표준 적용</t>
  </si>
  <si>
    <t>1) 본선 주행 시험: 트램 차량 본선 주행 중 LTE-R 무선 수신강도(RSSI ≥ -95dBm), 핸드오버 성공률(≥99.5%) 실측
2) 주행 통신 검측: 차상-지상 간 CCTV 영상 전송 및 관제 데이터 무선 통신 품질 성과표 최종 확정</t>
  </si>
  <si>
    <t>1) 본선 실 주행 최고 속도 조건에서 LTE-R 차상 단말기 수신 감도(RSSI ≥ -85dBm)를 지속 유지하였는가?
2) 주행 중 LTE-R 기지국 간 이동 시 핸드오버 성공률 100% 및 음성 무선 통화 끊김 0건을 검측하였는가?</t>
  </si>
  <si>
    <t>9000-2-24</t>
  </si>
  <si>
    <t>영업시운전 전에 시설을 운영자를 대상으로 운영 및 유지관리방법에 대해 교육</t>
  </si>
  <si>
    <t>- 통신 시스템 제작사가 만든 매뉴얼로 운영자를 교육
: 관제설비등통신설비 운영/관리방법</t>
  </si>
  <si>
    <t>운영자 교육 결과서</t>
  </si>
  <si>
    <t>1) 시설물 인수인계 전 운영사 운영자 및 유지보수 요원 대상 통신 시스템 운영 교육 실시
2) 교육 교재 작성, 시스템 운용/장해 조치 실습 및 교육 이수 확인서 작성 표준 적용</t>
  </si>
  <si>
    <t>1) 교육 프로그램 실시: 운영사 운영자 및 유지관리 요원 대상 통신 시스템 구조, HMI 운용 및 비상 조치 교육
2) 교육 이수 확정: 현장 실습 교육 수행, 질문/답변 점검 및 운영자 교육 참석 이수 확인서 최종 작성</t>
  </si>
  <si>
    <t>1) 통신 4대 계통(교환, 무선, PIS/PA, CCTV) 제작사 공식 기술 매뉴얼을 수집·구비하였는가?
2) 주요 장비 장애 시 대응할 수 있는 계통별 긴급 비상 조치 매뉴얼 교재를 편찬하였는가?</t>
  </si>
  <si>
    <t>9000-2-25</t>
  </si>
  <si>
    <t>사전점검</t>
  </si>
  <si>
    <t>시설물검증시험의 가능여부를 확인하기 위하여 발주처와 운영자가 합동으로 점검</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</si>
  <si>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</si>
  <si>
    <t>사전점검 결과보고서/승인문서(한국교통안전공단)</t>
  </si>
  <si>
    <t>1) 철도종합시험운행 지침 제8조에 의거한 사전점검계획 수립 및 기술기준 부합성 종합 점검
2) 사전점검 결과 보고서 작성 및 한국교통안전공단 제출 승인 표준 적용</t>
  </si>
  <si>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</si>
  <si>
    <t>1) 철도종합시험운행 시행지침 제8조 규정에 맞춘 사전점검계획서를 작성하였는가?
2) 발주처, 운영기관, 책임감리단 및 현장소장이 포함된 3자 합동 사전점검반을 조직하였는가?</t>
  </si>
  <si>
    <t>9000-2-26</t>
  </si>
  <si>
    <t>발주처는 시설물의 정상작동 상태 등을 확인하기 위해 시설물 검증시험을 수행</t>
  </si>
  <si>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</si>
  <si>
    <t>시설물 검증시험 결과보고서/승인문서(한국교통안전공단)</t>
  </si>
  <si>
    <t>1) 시설물검증시험 계획 수립 및 본선 주행 시험 차량을 이용한 통신 설비 최고속도 성능 검증
2) LTE-R 무선 품질, 관제 데이터 전송률 및 시설물검증 합격 판정 표준 적용</t>
  </si>
  <si>
    <t>1) 최고속도 주행 검증: 시설물검증시험 계획에 따라 시운전 열차를 최고 설계속도로 주행하며 통신 성능 실측
2) 검증 결과 확정: LTE-R 무선망 수신강도, 데이터 전송 지연시간 실측 및 시설물검증시험 합격 판정</t>
  </si>
  <si>
    <t>1) 철도종합시험운행 시행지침 제14조에 따라 시설물검증시험계획을 작성하였는가?
2) 전문기관인 한국교통안전공단으로부터 시설물검증시험계획 적격 승인을 수령하였는가?</t>
  </si>
  <si>
    <t>9000-2-27</t>
  </si>
  <si>
    <t>영업시운전</t>
  </si>
  <si>
    <t>발주처는 영업시운전계획에 따라 열차운행체계를 확인하기 위해 영업시운전을 수행</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</si>
  <si>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</si>
  <si>
    <t>영업시운전 결과보고서/승인문서(한국교통안전공단), 국토부 승인문서</t>
  </si>
  <si>
    <t>1) 실제 영업 조건과 동일한 환경에서의 통신 시스템 연속 가동 및 관제 운용 검증
2) 영업시운전 기간 중 통신 장애 0건 달성 및 시운전 완료 보고서 확정 표준 적용</t>
  </si>
  <si>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</si>
  <si>
    <t>1) 철도종합시험운행 시행지침 제22조에 따른 영업시운전계획을 수립하였는가?
2) 전 정거장 행선안내게시기(PIS) 도착 시각 및 열치 위치 안내 오송출 0건을 달성하였는가?</t>
  </si>
  <si>
    <t>9000-2-28</t>
  </si>
  <si>
    <t>자가용전기통신설비 설치신고</t>
  </si>
  <si>
    <t>시공사</t>
  </si>
  <si>
    <t>자가용전기통신설비의 합법적 설치</t>
  </si>
  <si>
    <t>- 관할 시청/구청에 설치공사 시작 21일 전까지 신고서와 설계도서 제출 (처리기간 15일)</t>
  </si>
  <si>
    <t>자가전기통신설비 설치신고 필증</t>
  </si>
  <si>
    <t>1) 전기통신사업법 제64조에 의거한 자가용전기통신설비 설치신고서 및 설비 개요서 작성
2) 관할 지자체(화성시 등) 제출 및 설치신고 수리증 발급 획득 표준 적용</t>
  </si>
  <si>
    <t>1) 신고 서류 작성: 전기통신사업법 제64조에 따른 자가용전기통신설비 설치신고서 및 통신망 개요도 작성
2) 관할 관청 수리: 관할 지자체(화성시 등) 제출, 현장 서류 검토 수검 및 설치신고 수리증 발급 획득</t>
  </si>
  <si>
    <t>1) 시방 대조[도면 및 여건] • 관련법령: 전기통신사업법 제64조 수칙을 사전 대조 확인하였는가?
2) 업체 Pool[적격 업체] 철도/트램 시공 및 영업운행 실적이 입증된 적격 업체 Pool을 검토하였는가?</t>
  </si>
  <si>
    <t>● 전기통신사업법 제64조</t>
  </si>
  <si>
    <t>9000-2-29</t>
  </si>
  <si>
    <t>LTE-R 무선국허가</t>
  </si>
  <si>
    <t>발주처</t>
  </si>
  <si>
    <t>무선국 설치 후 사용을 위한 법적 허가 취득</t>
  </si>
  <si>
    <t>- 무선국(LTE-R) 설치 후 중앙전파관리소에 신청서, 시설개요서, 공사설계서 제출 (처리기간 14일)</t>
  </si>
  <si>
    <t>무선국허가증</t>
  </si>
  <si>
    <t>1) 전파법 제19조에 의거한 철도무선통신망(LTE-R) 무선국 개설허가 신청서 제출
2) KCA(한국방송통신전파진흥원) 제출 및 무선국 개설허가서 획득 표준 적용</t>
  </si>
  <si>
    <t>1) 허가 신청 절차: 전파법 제19조에 따른 LTE-R 무선국 개설허가 신청서, 안테나 제원표 및 기지국 좌표 작성
2) 무선국 허가 획득: KCA(한국방송통신전파진흥원) 서류 심사 수검 및 무선국 개설허가서 최종 발급</t>
  </si>
  <si>
    <t>1) 철도무선통신망 700MHz 대역(718~728MHz/773~783MHz) 주파수 할당 조건을 확인하였는가?
2) 본선 지상 기지국 안테나 설치 위치, 높이, 이득(dBi) 및 지향각 제원을 조사하였는가?</t>
  </si>
  <si>
    <t>● 전파법 제19조</t>
  </si>
  <si>
    <t>9000-2-30</t>
  </si>
  <si>
    <t>LTE-R 상호운용성 및 보안적합성 검증</t>
  </si>
  <si>
    <t>무선 장비의 보안성 및 타 기관 상호운용성 검증</t>
  </si>
  <si>
    <t>- 한국정보통신기술협회에 시험결과서 제출하여 검증 진행 (처리기간 1개월)</t>
  </si>
  <si>
    <t>상호운용성,보안적합성 시험 인증서</t>
  </si>
  <si>
    <t>1) 국토교통부 지침 및 국가용 보안요구사항에 의거한 LTE-R 상호운용성/보안적합성 검증
2) 국가정보원/KISA 보안 적합성 검증 승인서 및 상호연동 시험 합격 표준 적용</t>
  </si>
  <si>
    <t>1) 검증 시험 절차: 국토교통부 LTE-R 상호운용성 시험 및 국가용 보안요구사항 기반 네트워크 보안적합성 검증
2) 보안 승인 획득: KISA/국가정보원 보안 적합성 검증 수검 및 상호운용성 검증 합격 승인서 획득</t>
  </si>
  <si>
    <t>1) 시방 대조[도면 및 여건] 관련법령: 국가철도공단 표준규격(KRSA) 수칙을 사전 대조 확인하였는가?
2) 업체 Pool[적격 업체] 철도/트램 시공 및 영업운행 실적이 입증된 적격 업체 Pool을 검토하였는가?</t>
  </si>
  <si>
    <t>● 국가철도공단 표준규격(KRSA) 5007-R3 / 5008-R2</t>
  </si>
  <si>
    <t>9000-2-31</t>
  </si>
  <si>
    <t>정보통신사용전검사</t>
  </si>
  <si>
    <t>시공 완료된 정보통신설비의 준공 전 사용 적합성 검증</t>
  </si>
  <si>
    <t>- 관할 시청/구청에 사용전검사 신청서와 준공설계도서 제출 (처리기간 14일)</t>
  </si>
  <si>
    <t>정보통신사용전검사 필증</t>
  </si>
  <si>
    <t>1) 정보통신공사업법 제36조에 의거한 구내 통신 및 정보통신설비 사용전검사 신청
2) 관할 지자체 현장 검측 수검 및 정보통신 사용전검사 필증 획득 표준 적용</t>
  </si>
  <si>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</si>
  <si>
    <t>1) 구내 UTP 랜선 전수에 대해 케이블 테스터 계측 Pass 100%를 달성하였는가?
2) 정거장 승강장 및 관제동 배관 입상부 배관 씰링 및 네임택 표기 상태를 확인하였는가?</t>
  </si>
  <si>
    <t>● 정보통신공사법 제36조</t>
  </si>
  <si>
    <t>9000-2-32</t>
  </si>
  <si>
    <t>LTE-R 무선국 준공검사</t>
  </si>
  <si>
    <t>무선국 전파 특성 검증 및 준공 처리</t>
  </si>
  <si>
    <t>- 한국방송통신전파진흥원에 준공신고서, 안테나전력/주파수편차/불요발사강도 측정표, 안테나 Pattern 도표 제출 (처리기간 14일)</t>
  </si>
  <si>
    <t>LTE-R 무선국 준공검사 확인서</t>
  </si>
  <si>
    <t>1) 전파법 제24조에 의거한 KCA 무선국 준공검사 현장 실측 수검 실시
2) 무선 전계강도 및 준공 상태 검사 합격 후 무선국 준공검사 합격증명서 획득 표준 적용</t>
  </si>
  <si>
    <t>1) KCA 준공검측 수검: 전파법 제24조에 따른 KCA 무선국 준공검사 현장 무선 전계강도 및 스펙트럼 실측
2) 합격 증명 획득: 준공 실측 합격 판정 수검 및 KCA 무선국 준공검사 합격증명서 최종 발급 획득</t>
  </si>
  <si>
    <t>1) 전파법 시행령 제38조 서식에 맞춘 무선국 준공신고서를 KCA에 제출하였는가?
2) 개설허가서 사본, 기지국 시공 내역서 및 안테나 제원표 구비를 완료하였는가?</t>
  </si>
  <si>
    <t>● 전파법 제24조</t>
  </si>
  <si>
    <t>전기분야</t>
  </si>
  <si>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</si>
  <si>
    <t>"전기공사업법, 전기사업법, 한국전기설비규정(KEC), 도로법(점용허가) 및 산업안전보건법 준수 여부를 1:1 검토한다."</t>
  </si>
  <si>
    <t>본 지침서는 동탄트램 전기분야 사업 착공 전설계도서의 기술적·법적 적정성 검토 방법과현장 여건, 타공종 간섭, 공법·장비 시공성(Constructability) 검토 절차를 명확히 제시하여, 시공 위험 요소는 사전에 헷지(H...</t>
  </si>
  <si>
    <t>본 체크리스트는 철도설계기준(KDS 47 00 00) 및 전기사업법에 의거하여,전기 분야 전반(송변전, 전력, 전차선, 배전, 접지, 인허가 등)에 대한 핵심 설계 적정성을 점검하고, 리스크(Risk) 헷지 및 기회(Oppo...</t>
  </si>
  <si>
    <t>9000-3-2</t>
  </si>
  <si>
    <t>노면전차설비 공사 발주 전략수립</t>
  </si>
  <si>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</si>
  <si>
    <t>공정표 대비 노면전차 특수자재(전차선 강성가선, 변압기 등)의 공장 제작/조달 Lead Time을 사전 반영함.</t>
  </si>
  <si>
    <t>본 지침서는 동탄트램 노면전차설비 공사 발주 전설계 및 현장 여건을 정밀 파악하고 8대 현실조건(자재 제작 Lead Time, 철도/경전철 시공 실적 Pool, 예비품, 시공중/후 운전 및 교육지원, 현장 자재창고 임대료, ...</t>
  </si>
  <si>
    <t>본 체크리스트는 동탄트램 노면전차설비 공사 발주 착수 전8대 현실조건(자재 Lead Time, 시공 실적 Pool, 예비품, 시공중/후 교육 및 기술지원, 현장 자재창고 임대료, 가설 전원/용수/청소, 개통 후 상주 기술지원...</t>
  </si>
  <si>
    <t>9000-3-3</t>
  </si>
  <si>
    <t>현장 전철전력팀</t>
  </si>
  <si>
    <t>전력설비 설치를 위한 요구사항 검토</t>
  </si>
  <si>
    <t>- 자재 반출입 동선/공동구/횡단관로/케이블 인입구 등 확인, 기능실마감 및 출입문 
   확인, 토목분야 선시공 자재관련 적정성 여부 확인</t>
  </si>
  <si>
    <t>"정류기, 변압기, ESS 대형 기자재 반입 동선, 출입문 유효 폭/높이(H x W) 및 양중 훅 위치 실측 검증"</t>
  </si>
  <si>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</si>
  <si>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</si>
  <si>
    <t>9000-3-4</t>
  </si>
  <si>
    <t>신호 / 통신 / 기계 / PSD / 차량 인터페이스 협의</t>
  </si>
  <si>
    <t>현장 전철전력팀 / 전기 협력업체</t>
  </si>
  <si>
    <t>연계분야간 사전조율 및 인터페이스 사항 도출로 재작업 예방</t>
  </si>
  <si>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</si>
  <si>
    <t>"신호, 통신, 기계, PSD 및 트램 차량 전력 공급 관로, 배선 용량 및 트레이 타공 누락 사항 정밀 추출"</t>
  </si>
  <si>
    <t>전기분야와 타공종(신호, 통신, 기계, PSD, 트램 차량) 간 인터페이스 설계도서 상 누락 및 협의사항 도출, 관로/배선/트레이/인터록 신호선 사전 조율을 통해 재작업을 원천 예방함</t>
  </si>
  <si>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</si>
  <si>
    <t>9000-3-5</t>
  </si>
  <si>
    <t>전기설비 제작사 인터페이스 협의</t>
  </si>
  <si>
    <t>전기설비간 연동방안 검토</t>
  </si>
  <si>
    <t>- 내부 인터페이스 및 인허가사항 확인</t>
  </si>
  <si>
    <t>인터페이스 회의록 및 관리대장 , 보안성검토 요청서</t>
  </si>
  <si>
    <t>"SCADA RTU, 변전소 GIS, 정류기, ESS 릴레이 간 IEC 61850 및 Modbus 통신 핀 맵/신호 주소 1:1 검증"</t>
  </si>
  <si>
    <t>전기설비(변압기, 정류기, ESS, GIS, SCADA RTU) 제작사 사양 사전 반영, 이종 제작사 간 통신 프로토콜(IEC 61850, Modbus) 핀 맵/제어 랙 치수 조율 및 제작사양서 확정</t>
  </si>
  <si>
    <t>본 체크리스트는 동탄트램 전기분야 시공 착수 전전기설비(변압기, 정류기, ESS, GIS, SCADA RTU) 제작사 사양 사전 반영, 이종 제작사 간 통신 프로토콜(IEC 61850, Modbus) 핀 맵/제어 랙 치수 조...</t>
  </si>
  <si>
    <t>9000-3-6</t>
  </si>
  <si>
    <t>관제 및 운영사 요구사항 사전 반영 및 과업범위 최적화</t>
  </si>
  <si>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</si>
  <si>
    <t>"지자체(수원시, 화성시) 도로교통관제 센터와 트램 우선신호 제어기 간 통신 인터페이스 및 연동 협의"</t>
  </si>
  <si>
    <t>수원시/동탄 도로교통관제 트램 우선신호 연동, 트램관제실(OCC) SCADA MMI 심볼 표준화, 차단기/단로기/접지스위치 안전 인터록 Logic 및 유지보수자 편의 기능 사전 협의</t>
  </si>
  <si>
    <t>본 체크리스트는 동탄트램 전기분야 시공 착수 전수원시/동탄 도로교통관제 트램 우선신호 연동, 트램관제실(OCC) SCADA MMI 심볼 표준화, 차단기/단로기/접지스위치 안전 인터록 Logic 및 유지보수자 편의 기능 사전 ...</t>
  </si>
  <si>
    <t>9000-3-7</t>
  </si>
  <si>
    <t>"감리/감독원 입회 품질검측계획서(ITP: Inspection &amp; Test Plan) 작성 및 Hold Point(필수정지점) / Witness Point(입회점) 구분 명시"</t>
  </si>
  <si>
    <t>감리/감독원 품질검사(ITP/ITC) 항목 검토, Hold Point/Witness Point 입회점 구분 수립, 현장 계측기 교정성적서 관리 및 불합격 자재 48시간 내 반출 통제 수칙</t>
  </si>
  <si>
    <t>본 체크리스트는 동탄트램 전기분야 업무 이행에 대해감리/감독원 품질검사(ITP/ITC) 항목 검토, Hold Point/Witness Point 입회점 구분 수립, 현장 계측기 교정성적서 관리 및 불합격 자재 48시간 내 반...</t>
  </si>
  <si>
    <t>9000-3-8</t>
  </si>
  <si>
    <t>현장 전철전력팀 / 협력업체 / 관리</t>
  </si>
  <si>
    <t>- 현장 여건 및 수량을 기준으로 투입(인력, 장비, 자재)을 검토</t>
  </si>
  <si>
    <t>"변압기, GIS, 정류기, ESS, 전차선 등 주요 전기자재 공장 제작 및 수급 소요 기간(Lead Time 30~60일)을 공정표와 사전 연동 통제"</t>
  </si>
  <si>
    <t>현장 여건 및 공정을 기준으로 주요 자재 Lead Time(30~60일) 사전 발주 검증, 한국전기공사협회 기술자 자격 실물 대조, 고소작업차 안전검사합격증 확인 및 투입계획서 승인</t>
  </si>
  <si>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</si>
  <si>
    <t>9000-3-9</t>
  </si>
  <si>
    <t>인허가 준비</t>
  </si>
  <si>
    <t>현장 전철전력팀 / 협력업체</t>
  </si>
  <si>
    <t>관련법에 따른 인허가 수행</t>
  </si>
  <si>
    <t>- 인허가(전기사용신청, 공사계획신고, 도로점용허가, 도로공사 신고, 전기 사용전검사 등) 추진 계획을 To do list 작성하여 관리</t>
  </si>
  <si>
    <t>인허가 To do list</t>
  </si>
  <si>
    <t>"관할 한전에 수전 용량 계산서, 건축허가서, 22.9kV 수전 단선도 첨부 전기사용신청서 제출(처리기간 1개월) 및 인수점 지중 맨홀 협의"</t>
  </si>
  <si>
    <t>한전 22.9kV 수전 전기사용신청, 지자체 전기 공사계획신고, 도로점용허가(도로법 56조), 도로공사신고(도로교통법 69조) 및 KESC 사용전검사 인허가 To-Do List 추적 관리</t>
  </si>
  <si>
    <t>본 체크리스트는 동탄트램 전기분야 업무 이행에 대해한전 22.9kV 수전 전기사용신청, 지자체 전기 공사계획신고, 도로점용허가(도로법 56조), 도로공사신고(도로교통법 69조) 및 KESC 사용전검사 인허가 To-Do Lis...</t>
  </si>
  <si>
    <t>9000-3-10</t>
  </si>
  <si>
    <t>전철전력공사 수행 시, 선행공정 간섭사항 및 각종 Risk에 대한 대책 수립</t>
  </si>
  <si>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</si>
  <si>
    <t>"노반(궤도), 신호, 통신, 기계, PSD, 차량 인터페이스 및 3D BIM 공간 간섭을 전면 사전 검토한다."</t>
  </si>
  <si>
    <t>본 지침서는 동탄트램 전기분야 실공사 착수 전본사, 현장, 협력사 및 토목/신호/차량 3자 협의체 구축 방법,3D BIM 공종 간섭 조율, 자재 반입 동선/야적장 확보, 타 프로젝트 하자사례 분석 및 안전/민원 Risk He...</t>
  </si>
  <si>
    <t>본 체크리스트는 동탄트램 전기분야 실공사 착수 전본사, 현장, 협력사 및 토목/신호/차량 3자 협의체를 구축하여 3D BIM 공종 간섭, 자재 반입 동선, 타 현장 하자사례 재발방지책 및 Risk Hedge 방안을 확정하기 ...</t>
  </si>
  <si>
    <t>9000-3-11</t>
  </si>
  <si>
    <t>전기설비 제작 사양서 작성 / 승인</t>
  </si>
  <si>
    <t>전기설비의 제작 사양서 작성/승인</t>
  </si>
  <si>
    <t>- 현장여건 및 실시설계도서(보고서,도면,자재사양서)의 요구사항 충족 여부를 확인
- 제작사양서, 제작도면 작성 후 감리단 승인</t>
  </si>
  <si>
    <t>"변압기 용량, 정류기 정격, ESS 배터리 세부 기술사양서 검토 및 시방 규격 1:1 대조 파악"</t>
  </si>
  <si>
    <t>전기설비(변압기, 정류기, ESS, GIS, SCADA) 공장 제작 착수 전 발주처 특기시방서 및 KDS 47 00 00 철도설계기준에 따른 상세 기술사양서 및 공장 제작 승인도면(Shop Drawing) 검토</t>
  </si>
  <si>
    <t>본 체크리스트는 동탄트램 전기분야 전기설비 제작 사양서 작성 / 승인 업무 이행에 대해전기설비(변압기, 정류기, ESS, GIS, SCADA) 공장 제작 착수 전 발주처 특기시방서 및 KDS 47 00 00 철도설계기준에 따...</t>
  </si>
  <si>
    <t>9000-3-12</t>
  </si>
  <si>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</si>
  <si>
    <t>시공계획서&amp;시공상세도</t>
  </si>
  <si>
    <t>"변전기기 반입, Cable Tray 설치, 전차선 지주 입립 시공 순서 및 3D BIM 공정 수립"</t>
  </si>
  <si>
    <t>전기분야 공정별(변전소, 전차선, 케이블 포설) 상세 시공계획서 수립, 예정공정표(Critical Path) 검토, 시공 순서 및 안전/품질 관리대책 수립 후 감리단 공학적 승인 완수</t>
  </si>
  <si>
    <t>본 체크리스트는 동탄트램 전기분야 시공 계획 수립 / 승인 업무 이행에 대해전기분야 공정별(변전소, 전차선, 케이블 포설) 상세 시공계획서 수립, 예정공정표(Critical Path) 검토, 시공 순서 및 안전/품질 관리대책...</t>
  </si>
  <si>
    <t>9000-3-13</t>
  </si>
  <si>
    <t>자재공급원/기자재 제작도서 승인</t>
  </si>
  <si>
    <t>전기설비의 시공성과 품질, 기능 확보를 위한 자재 공급원 검토 및 승인</t>
  </si>
  <si>
    <t>- 전기자재 제작능력, 납품실적 등 확인
- 성능보증이 가능한 복수의 공급원 검토
- 자재공급원 서류 제출후 감리단 승인</t>
  </si>
  <si>
    <t>자재공급원 승인 서류</t>
  </si>
  <si>
    <t>"제조사 공장등록증, 사업자등록증, ISO 품질인증서 및 유사 철도/트램 납품 실적 검증"</t>
  </si>
  <si>
    <t>전기자재 공급원 자격 검증(KS/KC 인증, 공장등록증, 납품실적), 제조사 시험성적서 대조 및 공장 제작 승인도면(Shop Drawing) 감리단 적격 승인 수검</t>
  </si>
  <si>
    <t>본 체크리스트는 동탄트램 전기분야 자재공급원/기자재 제작도서 승인 업무 이행에 대해전기자재 공급원 자격 검증(KS/KC 인증, 공장등록증, 납품실적), 제조사 시험성적서 대조 및 공장 제작 승인도면(Shop Drawing) ...</t>
  </si>
  <si>
    <t>9000-3-14</t>
  </si>
  <si>
    <t>전기설비 공정제작 / 제작사 공장검사</t>
  </si>
  <si>
    <t>제작사양서/제작도면의 일치여부검토 및 현장반입 전 제품 성능검사 확인</t>
  </si>
  <si>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</si>
  <si>
    <t>공장검사 결과보고서(감리/감독 입회)</t>
  </si>
  <si>
    <t>"제작사 부품 조달 현황, 외함 판금/도장 및 내부 배선 조립 공정 공정표 100% 관리"</t>
  </si>
  <si>
    <t>정류기, 변압기, ESS, GIS, SCADA 제작사 공장 공정 제작 관리 및 감리단/발주처 입회 공장시험(FAT: Factory Acceptance Test) 수행과 시험성적서 승인 완수</t>
  </si>
  <si>
    <t>본 체크리스트는 동탄트램 전기분야 전기설비 공정제작 / 제작사 공장검사 업무 이행에 대해정류기, 변압기, ESS, GIS, SCADA 제작사 공장 공정 제작 관리 및 감리단/발주처 입회 공장시험(FAT: Factory Acc...</t>
  </si>
  <si>
    <t>9000-3-15</t>
  </si>
  <si>
    <t>전기설비 설치전 준비상태 확인</t>
  </si>
  <si>
    <t>- 전기설비 설치 시 간섭여부 점검
- 현장 시공상태 확인 (건축, 노반(토목) 등)
- 수배전반, 외함, 변압기 등 자재 반입구 위치 및 운반경로 확인, 케이블 포설을 위한 공동구/개구부 위치 체크</t>
  </si>
  <si>
    <t>"건축 변전실 구조물 완성도, 노반 궤도 시공 상태 및 전기 설치 간섭 여부 정밀 실측"</t>
  </si>
  <si>
    <t>토목, 노반(궤도), 건축 선행 공정 완성도 실측, 변전실/개구부/공동구 간섭 점검, 자재 반입구 및 반입 동선 인수인계 합동 점검 수행</t>
  </si>
  <si>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</si>
  <si>
    <t>9000-3-16</t>
  </si>
  <si>
    <t>"장비 진입 경로 및 적치장 사전확인, 타분야 작업 일정 및 지상/지하 구조물 간섭 협의"</t>
  </si>
  <si>
    <t>고소작업차, 케이블 포설차, 활선 작업 장비 현장 반입 동선/적치장 확인, 장비 Spec 및 안전검사필증 점검, 작업원 특별안전교육 실시</t>
  </si>
  <si>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</si>
  <si>
    <t>9000-3-17</t>
  </si>
  <si>
    <t xml:space="preserve">- 자재 하차 위치 및 반입동선 확인
- 승인된 자재 일치여부 확인(Serial number 등)
- 제품의 규격, 수량 도면과 일치하는지 검수 </t>
  </si>
  <si>
    <t>"자재 하차 통제 구획 설정, 크레인 양중 신호수 배치 및 자재 반입 동선 안전 확보"</t>
  </si>
  <si>
    <t>전기자재 현장 반입 하차 위치/동선 통제, 승인된 자재공급원 일치 여부(Serial No., Serial Tag) 검수, 도면 규격 및 수량 1:1 대조 확인</t>
  </si>
  <si>
    <t>본 체크리스트는 동탄트램 전기분야 자재 반입 및 검수 업무 이행에 대해전기자재 현장 반입 하차 위치/동선 통제, 승인된 자재공급원 일치 여부(Serial No., Serial Tag) 검수, 도면 규격 및 수량 1:1 대조 ...</t>
  </si>
  <si>
    <t>9000-3-18</t>
  </si>
  <si>
    <t>전철전력설비 반입 및 설치</t>
  </si>
  <si>
    <t>설계에 부합되도록 전철전력설비 설치</t>
  </si>
  <si>
    <t>- 시공샘플이 필요한 대상을 감리/감독과 협의하여 선정후 시험시공 실시
- 현장설비, 특고압 케이블, 정거장 전기실 내 특고압반/저압반/변압기 설치
- 전기설비가 도면대로 설치되었는지 확인</t>
  </si>
  <si>
    <t>"감리/감독 협의를 통한 시공 샘플 대상 선정, 시험시공 수행 및 시공 기준서 확정"</t>
  </si>
  <si>
    <t>변전소 수배전반, 정류기, ESS, 특고압반 및 정거장 전기실 기기 반입/설치, 시공 샘플 감리 협의 후 시험시공 및 도면 일치성 최종 검측</t>
  </si>
  <si>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</si>
  <si>
    <t>9000-3-19</t>
  </si>
  <si>
    <t>수전용 케이블 트레이 및 케이블 포설</t>
  </si>
  <si>
    <t>전기실에 전기를 공급하기 위해 한전 책임분계점 전주에서 수전전기실까지 배관/배선을 설치</t>
  </si>
  <si>
    <t>- 한전 책임분계점으로부터 수전 전기실까지 케이블 트레이를 설치
- 트레이 설치완료 후 특고압케이블 포설 및 단말 접속
(책임분계점: 전기안전에 대한 책임을 나누는 기준점/수급지점)</t>
  </si>
  <si>
    <t>"한전 인수점 지중 맨홀부터 수전 전기실까지 Cable Tray 수평도 및 고정 행거 설치"</t>
  </si>
  <si>
    <t>한전 책임분계점으로부터 수전 전기실까지 케이블 트레이 수평/수직 고정 설치, 특고압 케이블 포설 및 단말 접속, 절연저항/내전압 시험 완수</t>
  </si>
  <si>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</si>
  <si>
    <t>9000-3-20</t>
  </si>
  <si>
    <t>수전 및 전기공급(급전)</t>
  </si>
  <si>
    <t>한전으로부터 전기를 인입 후 전기가 필요한 시설들에 순차적으로 전기를 공급</t>
  </si>
  <si>
    <t>- 사용전검사 시행 (사용전검사 필증 수령)
- 전기가합계획 수립 및 한전 가입 요청
- 수전 전 기기별 자체시험 실시
- 수전 이후 기계, 통신, 신호 등 분야별 일정에 따라 전기공급 실시</t>
  </si>
  <si>
    <t>전기사용승인, 수전 결과서</t>
  </si>
  <si>
    <t>"한국전기안전공사 KESC 사용전검사 합격 필증 수령 및 수전 사전 조건 완수"</t>
  </si>
  <si>
    <t>KESC 사용전검사 합격증 수령, 전기가압계획 수립 및 한전 가입 요청, 수전 전 기기별 자체시험 수행 후 통신/신호/기계 공종별 단계적 전기공급(급전) 시행</t>
  </si>
  <si>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</si>
  <si>
    <t>9000-3-21</t>
  </si>
  <si>
    <t>종합연동시험(SCADA) 실시</t>
  </si>
  <si>
    <t>원방제어시스템 구축을 위한 변전/전차선/전력설비의 종합연동시험 실시
* SCADA (Supervisory Control And Data Acquisition): 광범위하고 대용량의 산업설비를 효율적으로 감시 제어하는 원방제어시스템</t>
  </si>
  <si>
    <t xml:space="preserve"> - 감리단 입회하에 시험 절차대로 수행
  1) 종합연동시험 계획서 작성
  2) 트램관제실/현장 기기간 인터페이스 시험
  * 현장기기 감시/제어/계측상태 확인 등</t>
  </si>
  <si>
    <t>종합연동시험 결과보고서</t>
  </si>
  <si>
    <t>"감리단 제출용 SCADA 종합연동시험 계획서, 포인트 맵 및 점검 절차서 작성"</t>
  </si>
  <si>
    <t>책임감리단 입회하에 트램관제실(OCC)과 현장 변전소/정류기/ESS 기기 간 SCADA 원격 감시/제어/계측(DI/DO/AI/AO) 종합연동시험 수행 및 검측 승인</t>
  </si>
  <si>
    <t>본 체크리스트는 동탄트램 전기분야 종합연동시험(SCADA) 실시 업무 이행에 대해책임감리단 입회하에 트램관제실(OCC)과 현장 변전소/정류기/ESS 기기 간 SCADA 원격 감시/제어/계측(DI/DO/AI/AO) 종합연동시험...</t>
  </si>
  <si>
    <t>9000-3-22</t>
  </si>
  <si>
    <t>관련 법령, 설계기준, 기술기준, 시방서 등의 요구사항에 적합하도록 설치되었는지를 확인</t>
  </si>
  <si>
    <t>"철도종합시험운행 시행지침 제6조에 따른 전기 공종별 시험 항목 및 절차서 확정"</t>
  </si>
  <si>
    <t>철도종합시험운행 시행지침 제6조(공종별시험)에 의거하여 변전, 전차선, 전력 설비 공종별 절연, 보호계전기, 통전 시험을 정밀 수행하고 보고서 승인</t>
  </si>
  <si>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</si>
  <si>
    <t>9000-3-23</t>
  </si>
  <si>
    <t>발주처 주관의 차량시운전이 되도록 노반, 건축, 궤도, 전철전력, 통신, 신호분야를 종합하여 최종 점검</t>
  </si>
  <si>
    <t>- 노반/궤도 시공상태 점검
- 건축한계 및 차량한계 검사 [건축한계: 폭(3,600mm)]
- 전차선, 신호, 통신 작동상태 확인
- 차량충전설비, 신호, 통신 작동상태 확인</t>
  </si>
  <si>
    <t>합동점검 결과보고서</t>
  </si>
  <si>
    <t>"궤도 시공 정밀도 확인 및 트램 차량 건축한계(폭 3,600mm) 간섭 여부 레이저 실측"</t>
  </si>
  <si>
    <t>노반/궤도 시공상태 점검, 트램 건축한계(폭 3,600mm) 검사, 전차선 750V DC 가압, 차량충전설비, 신호/통신 작동상태 합동 사전 점검 완수</t>
  </si>
  <si>
    <t>본 체크리스트는 동탄트램 전기분야 차량 투입 전 점검 업무 이행에 대해노반/궤도 시공상태 점검, 트램 건축한계(폭 3,600mm) 검사, 전차선 750V DC 가압, 차량충전설비, 신호/통신 작동상태 합동 사전 점검 완수 관...</t>
  </si>
  <si>
    <t>9000-3-24</t>
  </si>
  <si>
    <t>철도안전법에 따른 철도차량 형식승인</t>
  </si>
  <si>
    <t>- 철도안전법 제26조(철도차량 형식승인)에 따라 이행 (주로 본선구간 수행)
- 차량, 신호, 통신 시스템간 인터페이스 시험</t>
  </si>
  <si>
    <t>"철도안전법 철도차량 형식승인 절차에 따른 본선 구간 전기-차량 시운전 계획 수립"</t>
  </si>
  <si>
    <t>철도안전법 제26조(철도차량 형식승인)에 의거하여 본선 구간 트램 차량, 전차선 전력, 신호, 통신 시스템 간 인터페이스 시험 및 동력 성능 시운전 수행</t>
  </si>
  <si>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</si>
  <si>
    <t>9000-3-25</t>
  </si>
  <si>
    <t>- 전기 제작사가 만든 매뉴얼로 운영자를 교육
: 변전/전력설비 운영/관리방법</t>
  </si>
  <si>
    <t>"전기자재 제작사 작성 운영/유지보수 매뉴얼, 비상 조치 절차서 및 교육 교재 검토"</t>
  </si>
  <si>
    <t>전기설비(변전, 전차선, SCADA, ESS) 제작사 취급 설명 매뉴얼 기반 운영사 및 관제 유지보수자 대상 이론/실습 교육 시행 및 교육 이수증 교부</t>
  </si>
  <si>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</si>
  <si>
    <t>9000-3-26</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</si>
  <si>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</si>
  <si>
    <t>"철도종합시험운행 시행지침 제8조에 의거, 발주처-운영자 합동 사전점검 계획서 수립"</t>
  </si>
  <si>
    <t>철도종합시험운행 시행지침 제8조(사전점검)에 따라 발주처-운영자 합동 사전점검계획 수립, 시설물 검증 가능성 점검 후 7일 이내 한국교통안전공단 제출 완수</t>
  </si>
  <si>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</si>
  <si>
    <t>9000-3-27</t>
  </si>
  <si>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</si>
  <si>
    <t>"시설물검증시험계획을 운영자와 협의 수립하고 한국교통안전공단 전문기관 승인 수검"</t>
  </si>
  <si>
    <t>철도종합시험운행 시행지침 제12조/제13조에 의거 시설물검증시험계획 전문기관 승인, 시설물 정상작동, 안전상태, 차량 운행 적합성 검증 후 7일 내 공단 제출</t>
  </si>
  <si>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</si>
  <si>
    <t>9000-3-28</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</si>
  <si>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</si>
  <si>
    <t>"운영자-발주처 협의 영업시운전계획 수립, 국토부 전문기관(교통안전공단) 승인 완수"</t>
  </si>
  <si>
    <t>철도종합시험운행 시행지침 제22조/제23조에 의거 영업시운전계획 수립/승인, 영업 조건 열차운행, 종사자 업무 숙달 검증 후 결과보고서 공단 제출 및 국토부 보고</t>
  </si>
  <si>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</si>
  <si>
    <t>9000-3-29</t>
  </si>
  <si>
    <t>전기 사용신청</t>
  </si>
  <si>
    <t>합법적인 전기 공급 계약 체결</t>
  </si>
  <si>
    <t>- 관할 한국전력공사에 신청서, 건축허가신청서, 위임장 및 관련서류 제출 (약 1개월 소요)</t>
  </si>
  <si>
    <t>전기사용신청 접수증명서, 시설부담금 고지서</t>
  </si>
  <si>
    <t>"관할 한국전력공사 제출용 전기사용신청서, 변전소 용량 계산서 및 위임장 작성"</t>
  </si>
  <si>
    <t>관할 한국전력공사에 전기사용신청서, 건축허가서, 수전 도면 및 위임장 제출 수속(소요 기간 약 1개월 관리) 및 수전 합의 완수</t>
  </si>
  <si>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</si>
  <si>
    <t>9000-3-30</t>
  </si>
  <si>
    <t>공사계획신고</t>
  </si>
  <si>
    <t>공사 착수 전 법적 신고 이행</t>
  </si>
  <si>
    <t>- 관할 한국전기안전공사에 공사 착수 전에 공사계획서 및 신고서 제출</t>
  </si>
  <si>
    <t>공사계획신고 수리서</t>
  </si>
  <si>
    <t>"전기사업법 시행규칙에 맞춘 공사계획서 및 전기설비 공사계획신고서 정밀 작성"</t>
  </si>
  <si>
    <t>관할 한국전기안전공사에 전기 공사 착수 전 공사계획서, 기술자 자격증, 감리원 배치서 및 도면 제출 수속 완료</t>
  </si>
  <si>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</si>
  <si>
    <t>9000-3-31</t>
  </si>
  <si>
    <t>노면전차선로 적합성 검증</t>
  </si>
  <si>
    <t>노면전차선로 품질 및 기술 적합성 검증</t>
  </si>
  <si>
    <t>- 한국전기철도기술협회에 차량시운전 전까지 수량조서 및 시공도면 제출 (처리기간 15일)</t>
  </si>
  <si>
    <t>전차선로 시공품질 검사증</t>
  </si>
  <si>
    <t>"노면전차선로 지주, 강성 가선, 브래킷 수량조서 및 시공 승인도면(Shop Drawing) 작성"</t>
  </si>
  <si>
    <t>한국전기철도기술협회에 차량 시운전 전까지 수량조서, 시공도면 및 시험성적서 제출(처리기간 15일)하여 적합성 검증 승인 완수</t>
  </si>
  <si>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</si>
  <si>
    <t>9000-3-32</t>
  </si>
  <si>
    <t>전기 사용전검사 (전력/전차선/송변전)</t>
  </si>
  <si>
    <t>준공 전 설비의 안전성 및 안전기준 부합 여부 판정</t>
  </si>
  <si>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</si>
  <si>
    <t>사용전검사 확인증(필증)
※ 송변전의 경우 한국전기안전공사 검사에 시공사 입회</t>
  </si>
  <si>
    <t>"전기설비 설치 완료 후 7일 전 사용전검사신청서, 감리배치서, 단선도, 자재성적서 제출"</t>
  </si>
  <si>
    <t>전기사업법 제63조, 도로법 제56조, 도로교통법 제69조에 의거 한국전기안전공사 사용전검사(7일전 신청), 지자체 도로점용허가(2주전), 경찰서 도로공사신고(3일전) 통합 수검 완료</t>
  </si>
  <si>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</si>
  <si>
    <t>표준서 파일 (HTML)</t>
    <phoneticPr fontId="3" type="noConversion"/>
  </si>
  <si>
    <t>수행지침 파일 (HTML)</t>
    <phoneticPr fontId="3" type="noConversion"/>
  </si>
  <si>
    <t>체크리스트 파일 (HTML)</t>
    <phoneticPr fontId="3" type="noConversion"/>
  </si>
  <si>
    <t>매뉴얼BODY(집행단계-첨부폴더)v8\3.지장물이설\21_도시가스관 이설 공사\표준서\도시가스관 이설 공사_표준서.html</t>
  </si>
  <si>
    <t>매뉴얼BODY(집행단계-첨부폴더)v8\3.지장물이설\21_도시가스관 이설 공사\수행지침\도시가스관 이설 공사_수행지침.html</t>
  </si>
  <si>
    <t>매뉴얼BODY(집행단계-첨부폴더)v8\3.지장물이설\21_도시가스관 이설 공사\체크리스트\도시가스관 이설 공사_체크리스트.html</t>
  </si>
  <si>
    <t>매뉴얼BODY(집행단계-첨부폴더)v8\3.지장물이설\21_신규관로 매설 및 설치\표준서\21_신규관로 매설 및 설치_표준서.html</t>
  </si>
  <si>
    <t>매뉴얼BODY(집행단계-첨부폴더)v8\3.지장물이설\21_신규관로 매설 및 설치\수행지침\수행지침.html</t>
  </si>
  <si>
    <t>매뉴얼BODY(집행단계-첨부폴더)v8\3.지장물이설\21_신규관로 매설 및 설치\체크리스트\신규관로 매설 및 설치_체크리스트.html</t>
  </si>
  <si>
    <t>매뉴얼BODY(집행단계-첨부폴더)v8\3.지장물이설\22_무단수 연결을 위한 시설 설치\표준서\22_무단수 연결을 위한 시설 설치_표준서.html</t>
  </si>
  <si>
    <t>매뉴얼BODY(집행단계-첨부폴더)v8\3.지장물이설\22_무단수 연결을 위한 시설 설치\수행지침\무단수 연결을 위한 시설 설치_수행지침.html</t>
  </si>
  <si>
    <t>매뉴얼BODY(집행단계-첨부폴더)v8\3.지장물이설\22_무단수 연결을 위한 시설 설치\체크리스트\무단수 연결을 위한 시설 설치_체크리스트.html</t>
  </si>
  <si>
    <t>매뉴얼BODY(집행단계-첨부폴더)v8\3.지장물이설\22_지역난방관 이설 공사\표준서\지역난방관 이설 공사_표준서.html</t>
  </si>
  <si>
    <t>매뉴얼BODY(집행단계-첨부폴더)v8\3.지장물이설\22_지역난방관 이설 공사\수행지침\수행지침.html</t>
  </si>
  <si>
    <t>매뉴얼BODY(집행단계-첨부폴더)v8\3.지장물이설\22_지역난방관 이설 공사\체크리스트\지역난방관 이설 공사_체크리스트.html</t>
  </si>
  <si>
    <t>매뉴얼BODY(집행단계-첨부폴더)v8\3.지장물이설\23_신규관로 및 연결관로 접속\표준서\23_신규관로 및 연결관로 접속_표준서.html</t>
  </si>
  <si>
    <t>매뉴얼BODY(집행단계-첨부폴더)v8\3.지장물이설\23_신규관로 및 연결관로 접속\수행지침\수행지침.html</t>
  </si>
  <si>
    <t>매뉴얼BODY(집행단계-첨부폴더)v8\3.지장물이설\23_신규관로 및 연결관로 접속\체크리스트\신규관로 및 연결관로 접속_체크리스트.html</t>
  </si>
  <si>
    <t>매뉴얼BODY(집행단계-첨부폴더)v8\3.지장물이설\23_통신관로 및 케이블 이설 공사\표준서\통신관로 및 케이블 이설 공사_표준서.html</t>
  </si>
  <si>
    <t>매뉴얼BODY(집행단계-첨부폴더)v8\3.지장물이설\23_통신관로 및 케이블 이설 공사\수행지침\수행지침.html</t>
  </si>
  <si>
    <t>매뉴얼BODY(집행단계-첨부폴더)v8\3.지장물이설\23_통신관로 및 케이블 이설 공사\체크리스트\통신관로 및 케이블 이설 공사_체크리스트.html</t>
  </si>
  <si>
    <t>매뉴얼BODY(집행단계-첨부폴더)v8\3.지장물이설\24_기존관로 철거 및 원상복구\표준서\24_기존관로 철거 및 원상복구_표준서.html</t>
  </si>
  <si>
    <t>매뉴얼BODY(집행단계-첨부폴더)v8\3.지장물이설\24_기존관로 철거 및 원상복구\수행지침\기존관로 철거 및 원상복구_수행지침.html</t>
  </si>
  <si>
    <t>매뉴얼BODY(집행단계-첨부폴더)v8\3.지장물이설\24_기존관로 철거 및 원상복구\체크리스트\기존관로 철거 및 원상복구_체크리스트.html</t>
  </si>
  <si>
    <t>매뉴얼BODY(집행단계-첨부폴더)v8\3.지장물이설\24_특고압 전력관로 이설 공사\표준서\특고압 전력관로 이설 공사_표준서.html</t>
  </si>
  <si>
    <t>매뉴얼BODY(집행단계-첨부폴더)v8\3.지장물이설\24_특고압 전력관로 이설 공사\수행지침\수행지침.html</t>
  </si>
  <si>
    <t>매뉴얼BODY(집행단계-첨부폴더)v8\3.지장물이설\24_특고압 전력관로 이설 공사\체크리스트\특고압 전력관로 이설 공사_체크리스트.html</t>
  </si>
  <si>
    <t>매뉴얼BODY(집행단계-첨부폴더)v8\3.지장물이설\25_광역상수관 이설 공사\표준서\25_광역상수관 이설 공사_표준서.html</t>
  </si>
  <si>
    <t>매뉴얼BODY(집행단계-첨부폴더)v8\3.지장물이설\25_광역상수관 이설 공사\수행지침\광역상수관 이설 공사_수행지침.html</t>
  </si>
  <si>
    <t>매뉴얼BODY(집행단계-첨부폴더)v8\3.지장물이설\25_광역상수관 이설 공사\체크리스트\광역상수관 이설 공사_체크리스트.html</t>
  </si>
  <si>
    <t>매뉴얼BODY(집행단계-첨부폴더)v8\3.지장물이설\25_송유관 이설 공사\표준서\송유관 이설 공사_표준서.html</t>
  </si>
  <si>
    <t>매뉴얼BODY(집행단계-첨부폴더)v8\3.지장물이설\25_송유관 이설 공사\수행지침\송유관 이설 공사_수행지침.html</t>
  </si>
  <si>
    <t>매뉴얼BODY(집행단계-첨부폴더)v8\3.지장물이설\25_송유관 이설 공사\체크리스트\송유관 이설 공사_체크리스트.html</t>
  </si>
  <si>
    <t>매뉴얼BODY(집행단계-첨부폴더)v8\3.지장물이설\26_상수도 관로 이설 공사\표준서\26_상수도 관로 이설 공사_표준서.html</t>
  </si>
  <si>
    <t>매뉴얼BODY(집행단계-첨부폴더)v8\3.지장물이설\26_상수도 관로 이설 공사\수행지침\상수도 관로 이설 공사_수행지침.html</t>
  </si>
  <si>
    <t>매뉴얼BODY(집행단계-첨부폴더)v8\3.지장물이설\26_상수도 관로 이설 공사\체크리스트\상수도 관로 이설 공사_체크리스트.html</t>
  </si>
  <si>
    <t>매뉴얼BODY(집행단계-첨부폴더)v8\3.지장물이설\26_상하수도 이설 시공 최종 점검\표준서\상하수도 이설 시공 최종 점검_표준서.html</t>
  </si>
  <si>
    <t>매뉴얼BODY(집행단계-첨부폴더)v8\3.지장물이설\26_상하수도 이설 시공 최종 점검\수행지침\상하수도 이설 시공 최종 점검_수행지침.html</t>
  </si>
  <si>
    <t>매뉴얼BODY(집행단계-첨부폴더)v8\3.지장물이설\26_상하수도 이설 시공 최종 점검\체크리스트\상하수도 이설 시공 최종 점검_체크리스트.html</t>
  </si>
  <si>
    <t>매뉴얼BODY(집행단계-첨부폴더)v8\3.지장물이설\27_위수탁 지하지장물 이설 최종 점검\표준서\위수탁 지하지장물 이설 최종 점검_표준서.html</t>
  </si>
  <si>
    <t>매뉴얼BODY(집행단계-첨부폴더)v8\3.지장물이설\27_위수탁 지하지장물 이설 최종 점검\수행지침\수행지침.html</t>
  </si>
  <si>
    <t>매뉴얼BODY(집행단계-첨부폴더)v8\3.지장물이설\27_위수탁 지하지장물 이설 최종 점검\체크리스트\위수탁 지하지장물 이설 최종 점검_체크리스트.html</t>
  </si>
  <si>
    <t>매뉴얼BODY(집행단계-첨부폴더)v8\3.지장물이설\27_하수도 관로 이설 공사\표준서\27_하수도 관로 이설 공사_표준서.html</t>
  </si>
  <si>
    <t>매뉴얼BODY(집행단계-첨부폴더)v8\3.지장물이설\27_하수도 관로 이설 공사\수행지침\수행지침.html</t>
  </si>
  <si>
    <t>매뉴얼BODY(집행단계-첨부폴더)v8\3.지장물이설\27_하수도 관로 이설 공사\체크리스트\하수도 관로 이설 공사_체크리스트.html</t>
  </si>
  <si>
    <t>매뉴얼BODY(집행단계-첨부폴더)v8\3.지장물이설\28_도시가스관 이설 공사\표준서\28_도시가스관 이설 공사_표준서.html</t>
  </si>
  <si>
    <t>매뉴얼BODY(집행단계-첨부폴더)v8\3.지장물이설\28_도시가스관 이설 공사\수행지침\도시가스관 이설 공사_수행지침.html</t>
  </si>
  <si>
    <t>매뉴얼BODY(집행단계-첨부폴더)v8\3.지장물이설\28_도시가스관 이설 공사\체크리스트\도시가스관 이설 공사_체크리스트.html</t>
  </si>
  <si>
    <t>매뉴얼BODY(집행단계-첨부폴더)v8\3.지장물이설\28_상하수도 이설 정산 금액 검토\표준서\상하수도 이설 정산 금액 검토_표준서.html</t>
  </si>
  <si>
    <t>매뉴얼BODY(집행단계-첨부폴더)v8\3.지장물이설\28_상하수도 이설 정산 금액 검토\수행지침\상하수도 이설 정산 금액 검토_수행지침.html</t>
  </si>
  <si>
    <t>매뉴얼BODY(집행단계-첨부폴더)v8\3.지장물이설\28_상하수도 이설 정산 금액 검토\체크리스트\상하수도 이설 정산 금액 검토_체크리스트.html</t>
  </si>
  <si>
    <t>매뉴얼BODY(집행단계-첨부폴더)v8\3.지장물이설\29_위수탁 처리 정산금액 지급\표준서\위수탁 처리 정산금액 지급_표준서.html</t>
  </si>
  <si>
    <t>매뉴얼BODY(집행단계-첨부폴더)v8\3.지장물이설\29_위수탁 처리 정산금액 지급\수행지침\수행지침.html</t>
  </si>
  <si>
    <t>매뉴얼BODY(집행단계-첨부폴더)v8\3.지장물이설\29_위수탁 처리 정산금액 지급\체크리스트\위수탁 처리 정산금액 지급_체크리스트.html</t>
  </si>
  <si>
    <t>매뉴얼BODY(집행단계-첨부폴더)v8\3.지장물이설\29_지역난방관 이설 공사\표준서\29_지역난방관 이설 공사_표준서.html</t>
  </si>
  <si>
    <t>매뉴얼BODY(집행단계-첨부폴더)v8\3.지장물이설\29_지역난방관 이설 공사\수행지침\수행지침.html</t>
  </si>
  <si>
    <t>매뉴얼BODY(집행단계-첨부폴더)v8\3.지장물이설\29_지역난방관 이설 공사\체크리스트\지역난방관 이설 공사_체크리스트.html</t>
  </si>
  <si>
    <t>매뉴얼BODY(집행단계-첨부폴더)v8\3.지장물이설\30_도급자분_위수탁분 설계변경 정산\표준서\도급자분_위수탁분 설계변경 정산_표준서.html</t>
  </si>
  <si>
    <t>매뉴얼BODY(집행단계-첨부폴더)v8\3.지장물이설\30_도급자분_위수탁분 설계변경 정산\수행지침\도급자분 이설업체 선정(상_하수)_수행지침.html</t>
  </si>
  <si>
    <t>매뉴얼BODY(집행단계-첨부폴더)v8\3.지장물이설\30_도급자분_위수탁분 설계변경 정산\체크리스트\도급자분_위수탁분 설계변경 정산_체크리스트.html</t>
  </si>
  <si>
    <t>매뉴얼BODY(집행단계-첨부폴더)v8\3.지장물이설\30_통신관로 및 케이블 이설 공사\표준서\30_통신관로 및 케이블 이설 공사_표준서.html</t>
  </si>
  <si>
    <t>매뉴얼BODY(집행단계-첨부폴더)v8\3.지장물이설\30_통신관로 및 케이블 이설 공사\수행지침\수행지침.html</t>
  </si>
  <si>
    <t>매뉴얼BODY(집행단계-첨부폴더)v8\3.지장물이설\30_통신관로 및 케이블 이설 공사\체크리스트\통신관로 및 케이블 이설 공사_체크리스트.html</t>
  </si>
  <si>
    <t>매뉴얼BODY(집행단계-첨부폴더)v8\3.지장물이설\31_특고압 전력관로 이설 공사\표준서\31_특고압 전력관로 이설 공사_표준서.html</t>
  </si>
  <si>
    <t>매뉴얼BODY(집행단계-첨부폴더)v8\3.지장물이설\31_특고압 전력관로 이설 공사\수행지침\수행지침.html</t>
  </si>
  <si>
    <t>매뉴얼BODY(집행단계-첨부폴더)v8\3.지장물이설\31_특고압 전력관로 이설 공사\체크리스트\특고압 전력관로 이설 공사_체크리스트.html</t>
  </si>
  <si>
    <t>매뉴얼BODY(집행단계-첨부폴더)v8\3.지장물이설\32_송유관 이설 공사\표준서\32_송유관 이설 공사_표준서.html</t>
  </si>
  <si>
    <t>매뉴얼BODY(집행단계-첨부폴더)v8\3.지장물이설\32_송유관 이설 공사\수행지침\상하수도 이설 시공 최종 점검_수행지침.html</t>
  </si>
  <si>
    <t>매뉴얼BODY(집행단계-첨부폴더)v8\3.지장물이설\32_송유관 이설 공사\체크리스트\상하수도 이설 시공 최종 점검_체크리스트.html</t>
  </si>
  <si>
    <t>매뉴얼BODY(집행단계-첨부폴더)v8\3.지장물이설\33_상하수도 이설 시공 최종 점검\표준서\33_상하수도 이설 시공 최종 점검_표준서.html</t>
  </si>
  <si>
    <t>매뉴얼BODY(집행단계-첨부폴더)v8\3.지장물이설\33_상하수도 이설 시공 최종 점검\수행지침\상하수도 이설 시공 최종 점검_수행지침.html</t>
  </si>
  <si>
    <t>매뉴얼BODY(집행단계-첨부폴더)v8\3.지장물이설\33_상하수도 이설 시공 최종 점검\체크리스트\위수탁 지하지장물 이설 최종 점검_체크리스트.html</t>
  </si>
  <si>
    <t>L2 코드</t>
    <phoneticPr fontId="3" type="noConversion"/>
  </si>
  <si>
    <t>L3 코드</t>
    <phoneticPr fontId="3" type="noConversion"/>
  </si>
  <si>
    <t>L3 대공종명</t>
    <phoneticPr fontId="3" type="noConversion"/>
  </si>
  <si>
    <t>L4 코드</t>
    <phoneticPr fontId="3" type="noConversion"/>
  </si>
  <si>
    <t>일정 (D-Day)</t>
    <phoneticPr fontId="3" type="noConversion"/>
  </si>
  <si>
    <t>작업단위 (Level 4 Task/Activity)</t>
    <phoneticPr fontId="3" type="noConversion"/>
  </si>
  <si>
    <t>주관</t>
    <phoneticPr fontId="3" type="noConversion"/>
  </si>
  <si>
    <t>목적</t>
    <phoneticPr fontId="3" type="noConversion"/>
  </si>
  <si>
    <t>방법</t>
    <phoneticPr fontId="3" type="noConversion"/>
  </si>
  <si>
    <t>산출물(결과)</t>
    <phoneticPr fontId="3" type="noConversion"/>
  </si>
  <si>
    <t>표준서 (Standard) 요약</t>
    <phoneticPr fontId="3" type="noConversion"/>
  </si>
  <si>
    <t>수행지침 (Guideline) 요약</t>
    <phoneticPr fontId="3" type="noConversion"/>
  </si>
  <si>
    <t>체크리스트 (Checklist) 요약</t>
    <phoneticPr fontId="3" type="noConversion"/>
  </si>
  <si>
    <t>비고</t>
    <phoneticPr fontId="3" type="noConversion"/>
  </si>
  <si>
    <t>첨부서류 연계 상세 설계기준</t>
    <phoneticPr fontId="3" type="noConversion"/>
  </si>
  <si>
    <t>집행단계 리스크 체크리스트</t>
    <phoneticPr fontId="3" type="noConversion"/>
  </si>
  <si>
    <t>협력사 시공/공사관리 자문</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</si>
</sst>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4" x14ac:knownFonts="1">
    <font>
      <sz val="11"/>
      <color theme="1"/>
      <name val="맑은 고딕"/>
      <family val="2"/>
      <scheme val="minor"/>
    </font>
    <font>
      <sz val="9"/>
      <name val="맑은 고딕"/>
      <family val="3"/>
      <charset val="129"/>
    </font>
    <font>
      <b/>
      <sz val="10"/>
      <color rgb="FF7F6000"/>
      <name val="맑은 고딕"/>
      <family val="3"/>
      <charset val="129"/>
    </font>
    <font>
      <sz val="8"/>
      <name val="맑은 고딕"/>
      <family val="3"/>
      <charset val="129"/>
      <scheme val="minor"/>
    </font>
    <font>
      <b/>
      <sz val="13"/>
      <color rgb="FFFFFFFF"/>
      <name val="맑은 고딕"/>
      <family val="3"/>
      <charset val="129"/>
    </font>
    <font>
      <b/>
      <sz val="12"/>
      <color rgb="FFFFFFFF"/>
      <name val="맑은 고딕"/>
      <family val="3"/>
      <charset val="129"/>
    </font>
    <font>
      <sz val="12"/>
      <color theme="1"/>
      <name val="맑은 고딕"/>
      <family val="3"/>
      <charset val="129"/>
      <scheme val="minor"/>
    </font>
    <font>
      <sz val="12"/>
      <name val="맑은 고딕"/>
      <family val="3"/>
      <charset val="129"/>
    </font>
    <font>
      <sz val="10"/>
      <color rgb="FF000000"/>
      <name val="맑은 고딕"/>
      <family val="3"/>
      <charset val="129"/>
    </font>
    <font>
      <b/>
      <sz val="10"/>
      <color rgb="FFFFFFFF"/>
      <name val="맑은 고딕"/>
      <family val="3"/>
      <charset val="129"/>
    </font>
    <font>
      <b/>
      <u/>
      <sz val="9"/>
      <color rgb="FF0000FF"/>
      <name val="맑은 고딕"/>
      <family val="3"/>
      <charset val="129"/>
    </font>
    <font>
      <b/>
      <u/>
      <sz val="12"/>
      <color rgb="FF0000FF"/>
      <name val="맑은 고딕"/>
      <family val="3"/>
      <charset val="129"/>
    </font>
    <font>
      <b/>
      <u/>
      <sz val="9"/>
      <color rgb="FF0000FF"/>
      <name val="맑은 고딕"/>
      <family val="2"/>
      <charset val="129"/>
    </font>
    <font>
      <sz val="11"/>
      <color rgb="FF1F1F1F"/>
      <name val="Arial"/>
      <family val="2"/>
    </font>
    <font>
      <b/>
      <sz val="11"/>
      <color rgb="FF1F1F1F"/>
      <name val="Arial"/>
      <family val="2"/>
    </font>
    <font>
      <b/>
      <sz val="18"/>
      <color rgb="FF1F1F1F"/>
      <name val="Arial"/>
      <family val="2"/>
    </font>
    <font>
      <sz val="11"/>
      <color rgb="FFFF0000"/>
      <name val="맑은 고딕"/>
      <family val="3"/>
      <charset val="129"/>
      <scheme val="minor"/>
    </font>
    <font>
      <sz val="11"/>
      <color theme="1"/>
      <name val="맑은 고딕"/>
      <family val="3"/>
      <charset val="129"/>
      <scheme val="minor"/>
    </font>
    <font>
      <sz val="11"/>
      <color rgb="FFFF0000"/>
      <name val="맑은 고딕"/>
      <family val="2"/>
      <scheme val="minor"/>
    </font>
    <font>
      <b/>
      <sz val="15"/>
      <color rgb="FFFFFFFF"/>
      <name val="맑은 고딕"/>
      <family val="3"/>
      <charset val="129"/>
    </font>
    <font>
      <b/>
      <sz val="11"/>
      <color rgb="FF0F2043"/>
      <name val="맑은 고딕"/>
      <family val="3"/>
      <charset val="129"/>
    </font>
    <font>
      <b/>
      <sz val="13"/>
      <color rgb="FF0F2043"/>
      <name val="맑은 고딕"/>
      <family val="3"/>
      <charset val="129"/>
    </font>
    <font>
      <b/>
      <sz val="12"/>
      <color rgb="FF0F2043"/>
      <name val="맑은 고딕"/>
      <family val="3"/>
      <charset val="129"/>
    </font>
    <font>
      <b/>
      <sz val="10"/>
      <color rgb="FFFFFFFF"/>
      <name val="맑은 고딕"/>
      <family val="3"/>
      <charset val="129"/>
    </font>
    <font>
      <sz val="9.5"/>
      <color rgb="FF1E293B"/>
      <name val="맑은 고딕"/>
      <family val="3"/>
      <charset val="129"/>
    </font>
    <font>
      <b/>
      <sz val="9.5"/>
      <color rgb="FF1E293B"/>
      <name val="맑은 고딕"/>
      <family val="3"/>
      <charset val="129"/>
    </font>
    <font>
      <b/>
      <sz val="9.5"/>
      <color rgb="FFFFFFFF"/>
      <name val="맑은 고딕"/>
      <family val="3"/>
      <charset val="129"/>
    </font>
    <font>
      <b/>
      <sz val="13"/>
      <color rgb="FF000000"/>
      <name val="맑은 고딕"/>
      <family val="3"/>
      <charset val="129"/>
    </font>
    <font>
      <b/>
      <sz val="9"/>
      <color rgb="FF000000"/>
      <name val="맑은 고딕"/>
      <family val="3"/>
      <charset val="129"/>
    </font>
    <font>
      <sz val="9"/>
      <color rgb="FF000000"/>
      <name val="맑은 고딕"/>
      <family val="3"/>
      <charset val="129"/>
    </font>
    <font>
      <b/>
      <u/>
      <sz val="9"/>
      <color rgb="FF0000FF"/>
      <name val="맑은 고딕"/>
      <family val="3"/>
      <charset val="129"/>
    </font>
    <font>
      <u/>
      <sz val="11"/>
      <color theme="10"/>
      <name val="맑은 고딕"/>
      <family val="2"/>
      <scheme val="minor"/>
    </font>
    <font>
      <b/>
      <sz val="10"/>
      <color rgb="FFFFFFFF"/>
      <name val="맑은 고딕"/>
      <family val="3"/>
      <charset val="129"/>
    </font>
    <font>
      <b/>
      <sz val="10"/>
      <color rgb="FFFFFFFF"/>
      <name val="맑은 고딕"/>
      <family val="3"/>
      <charset val="129"/>
    </font>
  </fonts>
  <fills count="21">
    <fill>
      <patternFill patternType="none"/>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
      <patternFill patternType="solid">
        <fgColor rgb="FF1E293B"/>
        <bgColor rgb="FF1E293B"/>
      </patternFill>
    </fill>
  </fills>
  <borders count="18">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31" fillId="0" borderId="0"/>
  </cellStyleXfs>
  <cellXfs count="150">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8" borderId="0" xfId="0" applyFont="1" applyFill="1" applyAlignment="1">
      <alignment horizontal="center" vertical="center" wrapText="1"/>
    </xf>
    <xf numFmtId="0" fontId="0" fillId="0" borderId="7" xfId="0" applyBorder="1" applyAlignment="1">
      <alignment horizontal="center" vertical="center" wrapText="1"/>
    </xf>
    <xf numFmtId="0" fontId="0" fillId="0" borderId="7" xfId="0" applyBorder="1" applyAlignment="1">
      <alignment horizontal="left" vertical="top" wrapText="1"/>
    </xf>
    <xf numFmtId="0" fontId="9" fillId="7"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left" vertical="top" wrapText="1"/>
    </xf>
    <xf numFmtId="0" fontId="7" fillId="6" borderId="7" xfId="0" applyFont="1" applyFill="1" applyBorder="1" applyAlignment="1">
      <alignment horizontal="left" vertical="top" wrapText="1"/>
    </xf>
    <xf numFmtId="0" fontId="8" fillId="0" borderId="7" xfId="0" applyFont="1" applyBorder="1" applyAlignment="1">
      <alignment horizontal="left" vertical="top" wrapText="1"/>
    </xf>
    <xf numFmtId="0" fontId="10" fillId="0" borderId="7" xfId="0" applyFont="1" applyBorder="1" applyAlignment="1">
      <alignment horizontal="left" vertical="top" wrapText="1"/>
    </xf>
    <xf numFmtId="0" fontId="5" fillId="8"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8" borderId="0" xfId="0" applyFont="1" applyFill="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11" fillId="0" borderId="7" xfId="0" applyFont="1" applyBorder="1" applyAlignment="1">
      <alignment horizontal="left" vertical="top" wrapText="1"/>
    </xf>
    <xf numFmtId="0" fontId="6" fillId="0" borderId="0" xfId="0" applyFont="1"/>
    <xf numFmtId="0" fontId="12" fillId="0" borderId="7" xfId="0" applyFont="1" applyBorder="1" applyAlignment="1">
      <alignment horizontal="left" vertical="top" wrapText="1"/>
    </xf>
    <xf numFmtId="0" fontId="5" fillId="8" borderId="2" xfId="0" applyFont="1" applyFill="1" applyBorder="1" applyAlignment="1">
      <alignment horizontal="center" vertical="center" wrapText="1"/>
    </xf>
    <xf numFmtId="0" fontId="5" fillId="7" borderId="0" xfId="0" applyFont="1" applyFill="1" applyAlignment="1">
      <alignment horizontal="center" vertical="center" wrapText="1"/>
    </xf>
    <xf numFmtId="0" fontId="5" fillId="7" borderId="2"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9" fillId="9" borderId="2"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1" fillId="2" borderId="2"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3" borderId="2" xfId="0" applyFont="1" applyFill="1" applyBorder="1" applyAlignment="1">
      <alignment horizontal="center" vertical="top" wrapText="1"/>
    </xf>
    <xf numFmtId="0" fontId="1" fillId="3"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8" fillId="0" borderId="7" xfId="0" applyFont="1" applyBorder="1" applyAlignment="1">
      <alignment horizontal="left" vertical="center" wrapText="1"/>
    </xf>
    <xf numFmtId="0" fontId="7" fillId="0" borderId="7" xfId="0" applyFont="1" applyBorder="1" applyAlignment="1">
      <alignment horizontal="left" vertical="center" wrapText="1"/>
    </xf>
    <xf numFmtId="0" fontId="13" fillId="0" borderId="0" xfId="0" applyFont="1" applyAlignment="1">
      <alignment vertical="center" readingOrder="1"/>
    </xf>
    <xf numFmtId="0" fontId="15" fillId="0" borderId="0" xfId="0" applyFont="1" applyAlignment="1">
      <alignment vertical="center" readingOrder="1"/>
    </xf>
    <xf numFmtId="0" fontId="14" fillId="0" borderId="0" xfId="0" applyFont="1" applyAlignment="1">
      <alignment horizontal="left" vertical="center" indent="1" readingOrder="1"/>
    </xf>
    <xf numFmtId="0" fontId="13" fillId="0" borderId="0" xfId="0" applyFont="1" applyAlignment="1">
      <alignment horizontal="left" vertical="center" indent="1" readingOrder="1"/>
    </xf>
    <xf numFmtId="0" fontId="9" fillId="8" borderId="2"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7" fillId="6" borderId="7" xfId="0" applyFont="1" applyFill="1" applyBorder="1" applyAlignment="1">
      <alignment horizontal="center" vertical="center" wrapText="1"/>
    </xf>
    <xf numFmtId="0" fontId="10" fillId="6" borderId="7" xfId="0" applyFont="1" applyFill="1" applyBorder="1" applyAlignment="1">
      <alignment horizontal="left" vertical="top" wrapText="1"/>
    </xf>
    <xf numFmtId="0" fontId="6" fillId="6" borderId="0" xfId="0" applyFont="1" applyFill="1" applyAlignment="1">
      <alignment vertical="center" wrapText="1"/>
    </xf>
    <xf numFmtId="0" fontId="7" fillId="6" borderId="7" xfId="0" applyFont="1" applyFill="1" applyBorder="1" applyAlignment="1">
      <alignment horizontal="lef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2" xfId="0" quotePrefix="1" applyBorder="1" applyAlignment="1">
      <alignment vertical="center" wrapText="1"/>
    </xf>
    <xf numFmtId="0" fontId="17" fillId="0" borderId="2" xfId="0" applyFont="1" applyBorder="1" applyAlignment="1">
      <alignment horizontal="center" vertical="center" wrapText="1"/>
    </xf>
    <xf numFmtId="0" fontId="16" fillId="0" borderId="2" xfId="0" applyFont="1" applyBorder="1" applyAlignment="1">
      <alignment vertical="center" wrapText="1"/>
    </xf>
    <xf numFmtId="0" fontId="5" fillId="8" borderId="12"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6" fillId="0" borderId="2" xfId="0" applyFont="1" applyBorder="1" applyAlignment="1">
      <alignment horizontal="center" vertical="center" wrapText="1"/>
    </xf>
    <xf numFmtId="0" fontId="17" fillId="0" borderId="2" xfId="0" applyFont="1" applyBorder="1" applyAlignment="1">
      <alignment vertical="center" wrapText="1"/>
    </xf>
    <xf numFmtId="0" fontId="9" fillId="8" borderId="12" xfId="0" applyFont="1" applyFill="1" applyBorder="1" applyAlignment="1">
      <alignment horizontal="center" vertical="center" wrapText="1"/>
    </xf>
    <xf numFmtId="0" fontId="6" fillId="0" borderId="7" xfId="0" applyFont="1" applyBorder="1" applyAlignment="1">
      <alignment horizontal="left" vertical="center" wrapText="1"/>
    </xf>
    <xf numFmtId="0" fontId="6" fillId="0" borderId="2" xfId="0" applyFont="1" applyBorder="1" applyAlignment="1">
      <alignment horizontal="left" vertical="center" wrapText="1"/>
    </xf>
    <xf numFmtId="0" fontId="6" fillId="0" borderId="9" xfId="0" applyFont="1" applyBorder="1" applyAlignment="1">
      <alignment horizontal="left" vertical="center" wrapText="1"/>
    </xf>
    <xf numFmtId="0" fontId="11" fillId="0" borderId="7" xfId="0" applyFont="1" applyBorder="1" applyAlignment="1">
      <alignment horizontal="left" vertical="center" wrapText="1"/>
    </xf>
    <xf numFmtId="0" fontId="6" fillId="0" borderId="0" xfId="0" applyFont="1" applyAlignment="1">
      <alignment vertical="center"/>
    </xf>
    <xf numFmtId="0" fontId="18" fillId="0" borderId="2" xfId="0" applyFont="1" applyBorder="1" applyAlignment="1">
      <alignmen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vertical="center"/>
    </xf>
    <xf numFmtId="0" fontId="10" fillId="0" borderId="7" xfId="0" applyFont="1" applyBorder="1" applyAlignment="1">
      <alignment horizontal="left" vertical="center" wrapText="1"/>
    </xf>
    <xf numFmtId="0" fontId="9" fillId="8" borderId="2" xfId="0" applyFont="1" applyFill="1" applyBorder="1" applyAlignment="1">
      <alignment horizontal="center" vertical="top" wrapText="1"/>
    </xf>
    <xf numFmtId="0" fontId="0" fillId="0" borderId="0" xfId="0" applyAlignment="1">
      <alignment vertical="top" wrapText="1"/>
    </xf>
    <xf numFmtId="0" fontId="0" fillId="6" borderId="7" xfId="0" applyFill="1" applyBorder="1" applyAlignment="1">
      <alignment horizontal="left" vertical="center" wrapText="1"/>
    </xf>
    <xf numFmtId="0" fontId="0" fillId="0" borderId="7" xfId="0" quotePrefix="1" applyBorder="1" applyAlignment="1">
      <alignment horizontal="left" vertical="center" wrapText="1"/>
    </xf>
    <xf numFmtId="0" fontId="18" fillId="0" borderId="7" xfId="0" quotePrefix="1" applyFont="1" applyBorder="1" applyAlignment="1">
      <alignment horizontal="left" vertical="center" wrapText="1"/>
    </xf>
    <xf numFmtId="0" fontId="16" fillId="0" borderId="7" xfId="0" applyFont="1" applyBorder="1" applyAlignment="1">
      <alignment horizontal="left" vertical="center" wrapText="1"/>
    </xf>
    <xf numFmtId="0" fontId="16" fillId="0" borderId="7" xfId="0" quotePrefix="1" applyFont="1" applyBorder="1" applyAlignment="1">
      <alignment horizontal="left" vertical="center" wrapText="1"/>
    </xf>
    <xf numFmtId="0" fontId="20" fillId="0" borderId="0" xfId="0" applyFont="1"/>
    <xf numFmtId="0" fontId="22" fillId="0" borderId="0" xfId="0" applyFont="1"/>
    <xf numFmtId="0" fontId="23" fillId="10" borderId="13" xfId="0" applyFont="1" applyFill="1" applyBorder="1" applyAlignment="1">
      <alignment horizontal="center" vertical="center" wrapText="1"/>
    </xf>
    <xf numFmtId="0" fontId="24" fillId="0" borderId="13" xfId="0" applyFont="1" applyBorder="1" applyAlignment="1">
      <alignment horizontal="center" vertical="center" wrapText="1"/>
    </xf>
    <xf numFmtId="0" fontId="24" fillId="0" borderId="13" xfId="0" applyFont="1" applyBorder="1" applyAlignment="1">
      <alignment horizontal="left" vertical="center" wrapText="1"/>
    </xf>
    <xf numFmtId="176" fontId="24" fillId="0" borderId="13" xfId="0" applyNumberFormat="1" applyFont="1" applyBorder="1" applyAlignment="1">
      <alignment horizontal="center" vertical="center" wrapText="1"/>
    </xf>
    <xf numFmtId="0" fontId="24" fillId="13" borderId="13" xfId="0" applyFont="1" applyFill="1" applyBorder="1" applyAlignment="1">
      <alignment horizontal="center" vertical="center" wrapText="1"/>
    </xf>
    <xf numFmtId="0" fontId="24" fillId="13" borderId="13" xfId="0" applyFont="1" applyFill="1" applyBorder="1" applyAlignment="1">
      <alignment horizontal="left" vertical="center" wrapText="1"/>
    </xf>
    <xf numFmtId="176" fontId="24" fillId="13" borderId="13" xfId="0" applyNumberFormat="1" applyFont="1" applyFill="1" applyBorder="1" applyAlignment="1">
      <alignment horizontal="center" vertical="center" wrapText="1"/>
    </xf>
    <xf numFmtId="0" fontId="23" fillId="11" borderId="13" xfId="0" applyFont="1" applyFill="1" applyBorder="1" applyAlignment="1">
      <alignment horizontal="center" vertical="center" wrapText="1"/>
    </xf>
    <xf numFmtId="176" fontId="23" fillId="11" borderId="13" xfId="0" applyNumberFormat="1" applyFont="1" applyFill="1" applyBorder="1" applyAlignment="1">
      <alignment horizontal="center" vertical="center" wrapText="1"/>
    </xf>
    <xf numFmtId="0" fontId="25" fillId="13" borderId="13" xfId="0" applyFont="1" applyFill="1" applyBorder="1" applyAlignment="1">
      <alignment horizontal="center" vertical="center" wrapText="1"/>
    </xf>
    <xf numFmtId="0" fontId="25" fillId="0" borderId="13" xfId="0" applyFont="1" applyBorder="1" applyAlignment="1">
      <alignment horizontal="center" vertical="center" wrapText="1"/>
    </xf>
    <xf numFmtId="0" fontId="23" fillId="14" borderId="13" xfId="0" applyFont="1" applyFill="1" applyBorder="1" applyAlignment="1">
      <alignment horizontal="center" vertical="center" wrapText="1"/>
    </xf>
    <xf numFmtId="0" fontId="27" fillId="0" borderId="0" xfId="0" applyFont="1"/>
    <xf numFmtId="0" fontId="0" fillId="15" borderId="13" xfId="0" applyFill="1" applyBorder="1"/>
    <xf numFmtId="0" fontId="23" fillId="15" borderId="13" xfId="0" applyFont="1" applyFill="1" applyBorder="1" applyAlignment="1">
      <alignment horizontal="center" vertical="center"/>
    </xf>
    <xf numFmtId="0" fontId="28" fillId="0" borderId="13" xfId="0" applyFont="1" applyBorder="1" applyAlignment="1">
      <alignment horizontal="center" vertical="center"/>
    </xf>
    <xf numFmtId="0" fontId="28" fillId="15" borderId="13" xfId="0" applyFont="1" applyFill="1" applyBorder="1" applyAlignment="1">
      <alignment horizontal="center" vertical="center" wrapText="1"/>
    </xf>
    <xf numFmtId="0" fontId="29" fillId="15" borderId="13" xfId="0" applyFont="1" applyFill="1" applyBorder="1" applyAlignment="1">
      <alignment horizontal="center" vertical="center"/>
    </xf>
    <xf numFmtId="0" fontId="29" fillId="0" borderId="13" xfId="0" applyFont="1" applyBorder="1" applyAlignment="1">
      <alignment horizontal="center" vertical="center"/>
    </xf>
    <xf numFmtId="0" fontId="29" fillId="0" borderId="13" xfId="0" applyFont="1" applyBorder="1" applyAlignment="1">
      <alignment horizontal="left" vertical="center" wrapText="1"/>
    </xf>
    <xf numFmtId="0" fontId="29" fillId="0" borderId="13" xfId="0" applyFont="1" applyBorder="1" applyAlignment="1">
      <alignment horizontal="center" vertical="center" wrapText="1"/>
    </xf>
    <xf numFmtId="0" fontId="28" fillId="0" borderId="13" xfId="0" applyFont="1" applyBorder="1" applyAlignment="1">
      <alignment horizontal="left" vertical="center" wrapText="1"/>
    </xf>
    <xf numFmtId="0" fontId="28" fillId="12" borderId="13" xfId="0" applyFont="1" applyFill="1" applyBorder="1" applyAlignment="1">
      <alignment horizontal="center" vertical="center"/>
    </xf>
    <xf numFmtId="0" fontId="28" fillId="12" borderId="13" xfId="0" applyFont="1" applyFill="1" applyBorder="1" applyAlignment="1">
      <alignment horizontal="center" vertical="center" wrapText="1"/>
    </xf>
    <xf numFmtId="0" fontId="29" fillId="12" borderId="13" xfId="0" applyFont="1" applyFill="1" applyBorder="1" applyAlignment="1">
      <alignment horizontal="center" vertical="center"/>
    </xf>
    <xf numFmtId="0" fontId="29" fillId="12" borderId="13" xfId="0" applyFont="1" applyFill="1" applyBorder="1" applyAlignment="1">
      <alignment horizontal="left" vertical="center" wrapText="1"/>
    </xf>
    <xf numFmtId="0" fontId="29" fillId="12" borderId="13" xfId="0" applyFont="1" applyFill="1" applyBorder="1" applyAlignment="1">
      <alignment horizontal="center" vertical="center" wrapText="1"/>
    </xf>
    <xf numFmtId="0" fontId="28" fillId="0" borderId="13" xfId="0" applyFont="1" applyBorder="1" applyAlignment="1">
      <alignment horizontal="center" vertical="center" wrapText="1"/>
    </xf>
    <xf numFmtId="0" fontId="28" fillId="17" borderId="13" xfId="0" applyFont="1" applyFill="1" applyBorder="1" applyAlignment="1">
      <alignment horizontal="center" vertical="center"/>
    </xf>
    <xf numFmtId="0" fontId="28" fillId="17" borderId="13" xfId="0" applyFont="1" applyFill="1" applyBorder="1" applyAlignment="1">
      <alignment horizontal="center" vertical="center" wrapText="1"/>
    </xf>
    <xf numFmtId="0" fontId="29" fillId="17" borderId="13" xfId="0" applyFont="1" applyFill="1" applyBorder="1" applyAlignment="1">
      <alignment horizontal="center" vertical="center"/>
    </xf>
    <xf numFmtId="0" fontId="29" fillId="17" borderId="13" xfId="0" applyFont="1" applyFill="1" applyBorder="1" applyAlignment="1">
      <alignment horizontal="left" vertical="center" wrapText="1"/>
    </xf>
    <xf numFmtId="0" fontId="29" fillId="17" borderId="13" xfId="0" applyFont="1" applyFill="1" applyBorder="1" applyAlignment="1">
      <alignment horizontal="center" vertical="center" wrapText="1"/>
    </xf>
    <xf numFmtId="0" fontId="23" fillId="16" borderId="13" xfId="0" applyFont="1" applyFill="1" applyBorder="1" applyAlignment="1">
      <alignment horizontal="center" vertical="center" wrapText="1"/>
    </xf>
    <xf numFmtId="0" fontId="30" fillId="0" borderId="13" xfId="0" applyFont="1" applyBorder="1" applyAlignment="1">
      <alignment horizontal="center" vertical="center"/>
    </xf>
    <xf numFmtId="0" fontId="30" fillId="12" borderId="13" xfId="0" applyFont="1" applyFill="1" applyBorder="1" applyAlignment="1">
      <alignment horizontal="center" vertical="center"/>
    </xf>
    <xf numFmtId="0" fontId="30" fillId="17" borderId="13" xfId="0" applyFont="1" applyFill="1" applyBorder="1" applyAlignment="1">
      <alignment horizontal="center" vertical="center"/>
    </xf>
    <xf numFmtId="0" fontId="31" fillId="0" borderId="0" xfId="1"/>
    <xf numFmtId="0" fontId="32" fillId="18" borderId="0" xfId="0" applyFont="1" applyFill="1" applyAlignment="1">
      <alignment horizontal="center" vertical="center" wrapText="1"/>
    </xf>
    <xf numFmtId="0" fontId="32" fillId="19" borderId="0" xfId="0" applyFont="1" applyFill="1" applyAlignment="1">
      <alignment horizontal="center" vertical="center" wrapText="1"/>
    </xf>
    <xf numFmtId="0" fontId="0" fillId="0" borderId="17" xfId="0" applyBorder="1" applyAlignment="1">
      <alignment horizontal="center" vertical="center" wrapText="1"/>
    </xf>
    <xf numFmtId="0" fontId="0" fillId="0" borderId="17" xfId="0" applyBorder="1" applyAlignment="1">
      <alignment horizontal="left" vertical="center" wrapText="1"/>
    </xf>
    <xf numFmtId="0" fontId="33" fillId="20" borderId="8" xfId="0" applyFont="1" applyFill="1" applyBorder="1" applyAlignment="1">
      <alignment horizontal="center" vertical="center" wrapText="1"/>
    </xf>
    <xf numFmtId="0" fontId="33" fillId="20" borderId="0" xfId="0" applyFont="1" applyFill="1" applyAlignment="1">
      <alignment horizontal="center" vertical="center" wrapText="1"/>
    </xf>
    <xf numFmtId="0" fontId="2" fillId="5" borderId="5" xfId="0" applyFont="1" applyFill="1" applyBorder="1" applyAlignment="1">
      <alignment horizontal="left" vertical="center" indent="1"/>
    </xf>
    <xf numFmtId="0" fontId="0" fillId="0" borderId="10" xfId="0" applyBorder="1"/>
    <xf numFmtId="0" fontId="0" fillId="0" borderId="11" xfId="0" applyBorder="1"/>
    <xf numFmtId="0" fontId="31" fillId="0" borderId="0" xfId="1"/>
    <xf numFmtId="0" fontId="4" fillId="4" borderId="1" xfId="0" applyFont="1" applyFill="1" applyBorder="1" applyAlignment="1">
      <alignment horizontal="center" vertical="center"/>
    </xf>
    <xf numFmtId="0" fontId="0" fillId="0" borderId="3" xfId="0" applyBorder="1"/>
    <xf numFmtId="0" fontId="0" fillId="0" borderId="4" xfId="0" applyBorder="1"/>
    <xf numFmtId="0" fontId="24" fillId="0" borderId="13" xfId="0" applyFont="1" applyBorder="1" applyAlignment="1">
      <alignment horizontal="left" vertical="center" wrapText="1"/>
    </xf>
    <xf numFmtId="0" fontId="0" fillId="0" borderId="15" xfId="0" applyBorder="1"/>
    <xf numFmtId="0" fontId="0" fillId="0" borderId="14" xfId="0" applyBorder="1"/>
    <xf numFmtId="0" fontId="23" fillId="14" borderId="13" xfId="0" applyFont="1" applyFill="1" applyBorder="1" applyAlignment="1">
      <alignment horizontal="center" vertical="center" wrapText="1"/>
    </xf>
    <xf numFmtId="0" fontId="26" fillId="11" borderId="13" xfId="0" applyFont="1" applyFill="1" applyBorder="1" applyAlignment="1">
      <alignment horizontal="center" vertical="center" wrapText="1"/>
    </xf>
    <xf numFmtId="0" fontId="23" fillId="10" borderId="13" xfId="0" applyFont="1" applyFill="1" applyBorder="1" applyAlignment="1">
      <alignment horizontal="center" vertical="center" wrapText="1"/>
    </xf>
    <xf numFmtId="0" fontId="25" fillId="13" borderId="13" xfId="0" applyFont="1" applyFill="1" applyBorder="1" applyAlignment="1">
      <alignment horizontal="left" vertical="center" wrapText="1"/>
    </xf>
    <xf numFmtId="0" fontId="24" fillId="13" borderId="13" xfId="0" applyFont="1" applyFill="1" applyBorder="1" applyAlignment="1">
      <alignment horizontal="left" vertical="center" wrapText="1"/>
    </xf>
    <xf numFmtId="0" fontId="25" fillId="0" borderId="13" xfId="0" applyFont="1" applyBorder="1" applyAlignment="1">
      <alignment horizontal="left" vertical="center" wrapText="1"/>
    </xf>
    <xf numFmtId="0" fontId="21" fillId="12" borderId="13" xfId="0" applyFont="1" applyFill="1" applyBorder="1" applyAlignment="1">
      <alignment horizontal="center" vertical="center" wrapText="1"/>
    </xf>
    <xf numFmtId="0" fontId="19" fillId="10" borderId="13" xfId="0" applyFont="1" applyFill="1" applyBorder="1" applyAlignment="1">
      <alignment horizontal="center" vertical="center" wrapText="1"/>
    </xf>
    <xf numFmtId="0" fontId="23" fillId="16" borderId="13" xfId="0" applyFont="1" applyFill="1" applyBorder="1" applyAlignment="1">
      <alignment horizontal="left" vertical="center" indent="1"/>
    </xf>
    <xf numFmtId="0" fontId="23" fillId="15" borderId="13" xfId="0" applyFont="1" applyFill="1" applyBorder="1" applyAlignment="1">
      <alignment horizontal="center" vertical="center" wrapText="1"/>
    </xf>
    <xf numFmtId="0" fontId="23" fillId="15" borderId="0" xfId="0" applyFont="1" applyFill="1" applyAlignment="1">
      <alignment horizontal="center" vertical="center" wrapText="1"/>
    </xf>
    <xf numFmtId="0" fontId="0" fillId="0" borderId="0" xfId="0"/>
    <xf numFmtId="0" fontId="0" fillId="0" borderId="16" xfId="0" applyBorder="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2.&#49324;&#51204;&#53664;&#44277;&#49324;\9_&#51064;&#54728;&#44032;%20&#51208;&#52264;%20&#51652;&#54665;\&#49688;&#54665;&#51648;&#52840;\&#51064;&#54728;&#44032;%20&#51208;&#52264;%20&#51652;&#54665;_&#49688;&#54665;&#51648;&#52840;.html" TargetMode="External"/><Relationship Id="rId21" Type="http://schemas.openxmlformats.org/officeDocument/2006/relationships/hyperlink" Target="&#47588;&#45684;&#50620;BODY(&#51665;&#54665;&#45800;&#44228;-&#52392;&#48512;&#54260;&#45908;)v8\2.&#49324;&#51204;&#53664;&#44277;&#49324;\7_&#50857;&#51648;%20&#49324;&#50857;%20Risk%20&#44160;&#53664;\&#52404;&#53356;&#47532;&#49828;&#53944;\&#50857;&#51648;%20&#49324;&#50857;%20Risk%20&#44160;&#53664;_&#52404;&#53356;&#47532;&#49828;&#53944;.html" TargetMode="External"/><Relationship Id="rId42" Type="http://schemas.openxmlformats.org/officeDocument/2006/relationships/hyperlink" Target="&#47588;&#45684;&#50620;BODY(&#51665;&#54665;&#45800;&#44228;-&#52392;&#48512;&#54260;&#45908;)v8\2.&#49324;&#51204;&#53664;&#44277;&#49324;\14_&#50857;&#51648;&#48372;&#49345;%20Risk%20&#54028;&#50501;\&#52404;&#53356;&#47532;&#49828;&#53944;\&#50857;&#51648;&#48372;&#49345;%20Risk%20&#54028;&#50501;_&#52404;&#53356;&#47532;&#49828;&#53944;.html" TargetMode="External"/><Relationship Id="rId47" Type="http://schemas.openxmlformats.org/officeDocument/2006/relationships/hyperlink" Target="&#47588;&#45684;&#50620;BODY(&#51665;&#54665;&#45800;&#44228;-&#52392;&#48512;&#54260;&#45908;)v8\2.&#49324;&#51204;&#53664;&#44277;&#49324;\16_&#49884;&#44277;&#44228;&#54925;%20&#49688;&#47549;\&#49688;&#54665;&#51648;&#52840;\&#49444;&#44228;&#48320;&#44221;%20(&#52265;&#49688;&#51204;)_&#49688;&#54665;&#51648;&#52840;.html" TargetMode="External"/><Relationship Id="rId63" Type="http://schemas.openxmlformats.org/officeDocument/2006/relationships/hyperlink" Target="&#47588;&#45684;&#50620;BODY(&#51665;&#54665;&#45800;&#44228;-&#52392;&#48512;&#54260;&#45908;)v8\2.&#49324;&#51204;&#53664;&#44277;&#49324;\20_&#44368;&#53685;&#44288;&#47532;%20&#48143;%20&#44368;&#53685;&#50504;&#51204;&#49884;&#49444;%20&#49444;&#52824;\&#52404;&#53356;&#47532;&#49828;&#53944;\&#44368;&#53685;&#44288;&#47532;%20&#48143;%20&#44368;&#53685;&#50504;&#51204;&#49884;&#49444;%20&#49444;&#52824;_&#52404;&#53356;&#47532;&#49828;&#53944;.html" TargetMode="External"/><Relationship Id="rId68" Type="http://schemas.openxmlformats.org/officeDocument/2006/relationships/hyperlink" Target="&#47588;&#45684;&#50620;BODY(&#51665;&#54665;&#45800;&#44228;-&#52392;&#48512;&#54260;&#45908;)v8\2.&#49324;&#51204;&#53664;&#44277;&#49324;\22_&#48268;&#47785;_&#48268;&#44540;&#51228;&#44144;\&#49688;&#54665;&#51648;&#52840;\&#48268;&#47785;_&#48268;&#44540;&#51228;&#44144;_&#49688;&#54665;&#51648;&#52840;.html" TargetMode="External"/><Relationship Id="rId84" Type="http://schemas.openxmlformats.org/officeDocument/2006/relationships/hyperlink" Target="&#47588;&#45684;&#50620;BODY(&#51665;&#54665;&#45800;&#44228;-&#52392;&#48512;&#54260;&#45908;)v8\2.&#49324;&#51204;&#53664;&#44277;&#49324;\26_&#53664;&#44277;%20&#44404;&#52265;\&#52404;&#53356;&#47532;&#49828;&#53944;\&#53664;&#44277;%20&#44404;&#52265;_&#52404;&#53356;&#47532;&#49828;&#53944;.html" TargetMode="External"/><Relationship Id="rId89" Type="http://schemas.openxmlformats.org/officeDocument/2006/relationships/hyperlink" Target="&#47588;&#45684;&#50620;BODY(&#51665;&#54665;&#45800;&#44228;-&#52392;&#48512;&#54260;&#45908;)v8\2.&#49324;&#51204;&#53664;&#44277;&#49324;\28_&#49939;&#44592;%20&#48143;%20&#45796;&#51664;_&#54596;&#50836;&#49884;\&#49688;&#54665;&#51648;&#52840;\&#49939;&#44592;%20&#48143;%20&#45796;&#51664;(&#54596;&#50836;&#49884;)_&#49688;&#54665;&#51648;&#52840;.html" TargetMode="External"/><Relationship Id="rId16" Type="http://schemas.openxmlformats.org/officeDocument/2006/relationships/hyperlink" Target="&#47588;&#45684;&#50620;BODY(&#51665;&#54665;&#45800;&#44228;-&#52392;&#48512;&#54260;&#45908;)v8\2.&#49324;&#51204;&#53664;&#44277;&#49324;\6_&#51088;&#51116;&#48156;&#51452;%20&#50836;&#52397;\&#54364;&#51456;&#49436;\&#51088;&#51116;&#48156;&#51452;%20&#50836;&#52397;_&#54364;&#51456;&#49436;.html" TargetMode="External"/><Relationship Id="rId11" Type="http://schemas.openxmlformats.org/officeDocument/2006/relationships/hyperlink" Target="&#47588;&#45684;&#50620;BODY(&#51665;&#54665;&#45800;&#44228;-&#52392;&#48512;&#54260;&#45908;)v8\2.&#49324;&#51204;&#53664;&#44277;&#49324;\4_&#52572;&#44256;&#51032;%20&#54016;%20&#47564;&#46308;&#44592;%20&#51648;&#50896;\&#49688;&#54665;&#51648;&#52840;\&#52572;&#44256;&#51032;%20&#54016;%20&#47564;&#46308;&#44592;%20&#51648;&#50896;_&#49688;&#54665;&#51648;&#52840;.html" TargetMode="External"/><Relationship Id="rId32" Type="http://schemas.openxmlformats.org/officeDocument/2006/relationships/hyperlink" Target="&#47588;&#45684;&#50620;BODY(&#51665;&#54665;&#45800;&#44228;-&#52392;&#48512;&#54260;&#45908;)v8\2.&#49324;&#51204;&#53664;&#44277;&#49324;\11_&#51648;&#51109;&#47932;%20&#44160;&#53664;%20&#48143;%20&#54801;&#51032;\&#49688;&#54665;&#51648;&#52840;\&#51648;&#51109;&#47932;%20&#44160;&#53664;%20&#48143;%20&#54801;&#51032;_&#49688;&#54665;&#51648;&#52840;.html" TargetMode="External"/><Relationship Id="rId37" Type="http://schemas.openxmlformats.org/officeDocument/2006/relationships/hyperlink" Target="&#47588;&#45684;&#50620;BODY(&#51665;&#54665;&#45800;&#44228;-&#52392;&#48512;&#54260;&#45908;)v8\2.&#49324;&#51204;&#53664;&#44277;&#49324;\13_&#48124;&#50896;%20&#51200;&#44048;%20&#45824;&#52293;%20&#49688;&#47549;\&#54364;&#51456;&#49436;\&#48124;&#50896;%20&#51200;&#44048;%20&#45824;&#52293;%20&#49688;&#47549;_&#54364;&#51456;&#49436;.html" TargetMode="External"/><Relationship Id="rId53" Type="http://schemas.openxmlformats.org/officeDocument/2006/relationships/hyperlink" Target="&#47588;&#45684;&#50620;BODY(&#51665;&#54665;&#45800;&#44228;-&#52392;&#48512;&#54260;&#45908;)v8\2.&#49324;&#51204;&#53664;&#44277;&#49324;\18_&#49444;&#44228;&#48320;&#44221;%20(&#52265;&#49688;&#51204;)\&#49688;&#54665;&#51648;&#52840;\&#49444;&#44228;&#48320;&#44221;%20(&#52265;&#49688;&#51204;)_&#49688;&#54665;&#51648;&#52840;.html" TargetMode="External"/><Relationship Id="rId58" Type="http://schemas.openxmlformats.org/officeDocument/2006/relationships/hyperlink" Target="&#47588;&#45684;&#50620;BODY(&#51665;&#54665;&#45800;&#44228;-&#52392;&#48512;&#54260;&#45908;)v8\2.&#49324;&#51204;&#53664;&#44277;&#49324;\19_&#49444;&#44228;&#48320;&#44221;%20&#51648;&#50896;\&#54364;&#51456;&#49436;\&#49444;&#44228;&#48320;&#44221;%20&#51648;&#50896;_&#54364;&#51456;&#49436;.html" TargetMode="External"/><Relationship Id="rId74" Type="http://schemas.openxmlformats.org/officeDocument/2006/relationships/hyperlink" Target="&#47588;&#45684;&#50620;BODY(&#51665;&#54665;&#45800;&#44228;-&#52392;&#48512;&#54260;&#45908;)v8\2.&#49324;&#51204;&#53664;&#44277;&#49324;\23_&#44592;&#51316;&#44396;&#51312;&#47932;_&#51648;&#51109;&#47932;%20&#52376;&#47532;\&#49688;&#54665;&#51648;&#52840;\&#44592;&#51316;&#44396;&#51312;&#47932;%20_%20&#51648;&#51109;&#47932;%20&#52376;&#47532;_&#49688;&#54665;&#51648;&#52840;.html" TargetMode="External"/><Relationship Id="rId79" Type="http://schemas.openxmlformats.org/officeDocument/2006/relationships/hyperlink" Target="&#47588;&#45684;&#50620;BODY(&#51665;&#54665;&#45800;&#44228;-&#52392;&#48512;&#54260;&#45908;)v8\2.&#49324;&#51204;&#53664;&#44277;&#49324;\25_&#48176;&#49688;_&#54872;&#44221;&#49884;&#49444;%20&#49444;&#52824;\&#54364;&#51456;&#49436;\&#48176;&#49688;_&#54872;&#44221;&#49884;&#49444;%20&#49444;&#52824;_&#54364;&#51456;&#49436;.html" TargetMode="External"/><Relationship Id="rId5" Type="http://schemas.openxmlformats.org/officeDocument/2006/relationships/hyperlink" Target="&#47588;&#45684;&#50620;BODY(&#51665;&#54665;&#45800;&#44228;-&#52392;&#48512;&#54260;&#45908;)v8\2.&#49324;&#51204;&#53664;&#44277;&#49324;\2_&#48156;&#51452;&#51204;&#47029;%20KOM\&#49688;&#54665;&#51648;&#52840;\2_&#48156;&#51452;&#51204;&#47029;%20KOM_&#49688;&#54665;&#51648;&#52840;.html" TargetMode="External"/><Relationship Id="rId90" Type="http://schemas.openxmlformats.org/officeDocument/2006/relationships/hyperlink" Target="&#47588;&#45684;&#50620;BODY(&#51665;&#54665;&#45800;&#44228;-&#52392;&#48512;&#54260;&#45908;)v8\2.&#49324;&#51204;&#53664;&#44277;&#49324;\28_&#49939;&#44592;%20&#48143;%20&#45796;&#51664;_&#54596;&#50836;&#49884;\&#52404;&#53356;&#47532;&#49828;&#53944;\&#49939;&#44592;%20&#48143;%20&#45796;&#51664;(&#54596;&#50836;&#49884;)_&#52404;&#53356;&#47532;&#49828;&#53944;.html" TargetMode="External"/><Relationship Id="rId95" Type="http://schemas.openxmlformats.org/officeDocument/2006/relationships/hyperlink" Target="&#47588;&#45684;&#50620;BODY(&#51665;&#54665;&#45800;&#44228;-&#52392;&#48512;&#54260;&#45908;)v8\2.&#49324;&#51204;&#53664;&#44277;&#49324;\30_&#44053;&#54868;&#45432;&#48152;%20&#51064;&#44228;\&#49688;&#54665;&#51648;&#52840;\&#44053;&#54868;&#45432;&#48152;%20&#51064;&#44228;_&#49688;&#54665;&#51648;&#52840;.html" TargetMode="External"/><Relationship Id="rId22" Type="http://schemas.openxmlformats.org/officeDocument/2006/relationships/hyperlink" Target="&#47588;&#45684;&#50620;BODY(&#51665;&#54665;&#45800;&#44228;-&#52392;&#48512;&#54260;&#45908;)v8\2.&#49324;&#51204;&#53664;&#44277;&#49324;\8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2.&#49324;&#51204;&#53664;&#44277;&#49324;\9_&#51064;&#54728;&#44032;%20&#51208;&#52264;%20&#51652;&#54665;\&#52404;&#53356;&#47532;&#49828;&#53944;\&#51064;&#54728;&#44032;%20&#51208;&#52264;%20&#51652;&#54665;_&#52404;&#53356;&#47532;&#49828;&#53944;.html" TargetMode="External"/><Relationship Id="rId43"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48" Type="http://schemas.openxmlformats.org/officeDocument/2006/relationships/hyperlink" Target="&#47588;&#45684;&#50620;BODY(&#51665;&#54665;&#45800;&#44228;-&#52392;&#48512;&#54260;&#45908;)v8\2.&#49324;&#51204;&#53664;&#44277;&#49324;\16_&#49884;&#44277;&#44228;&#54925;%20&#49688;&#47549;\&#52404;&#53356;&#47532;&#49828;&#53944;\&#49444;&#44228;&#48320;&#44221;%20(&#52265;&#49688;&#51204;)_&#52404;&#53356;&#47532;&#49828;&#53944;.html" TargetMode="External"/><Relationship Id="rId64" Type="http://schemas.openxmlformats.org/officeDocument/2006/relationships/hyperlink" Target="&#47588;&#45684;&#50620;BODY(&#51665;&#54665;&#45800;&#44228;-&#52392;&#48512;&#54260;&#45908;)v8\2.&#49324;&#51204;&#53664;&#44277;&#49324;\21_&#51109;&#48708;%20&#44160;&#49688;%20&#51648;&#50896;\&#54364;&#51456;&#49436;\&#51109;&#48708;%20&#44160;&#49688;%20&#51648;&#50896;_&#54364;&#51456;&#49436;.html" TargetMode="External"/><Relationship Id="rId69" Type="http://schemas.openxmlformats.org/officeDocument/2006/relationships/hyperlink" Target="&#47588;&#45684;&#50620;BODY(&#51665;&#54665;&#45800;&#44228;-&#52392;&#48512;&#54260;&#45908;)v8\2.&#49324;&#51204;&#53664;&#44277;&#49324;\22_&#48268;&#47785;_&#48268;&#44540;&#51228;&#44144;\&#52404;&#53356;&#47532;&#49828;&#53944;\&#48268;&#47785;_&#48268;&#44540;&#51228;&#44144;_&#52404;&#53356;&#47532;&#49828;&#53944;.html" TargetMode="External"/><Relationship Id="rId80" Type="http://schemas.openxmlformats.org/officeDocument/2006/relationships/hyperlink" Target="&#47588;&#45684;&#50620;BODY(&#51665;&#54665;&#45800;&#44228;-&#52392;&#48512;&#54260;&#45908;)v8\2.&#49324;&#51204;&#53664;&#44277;&#49324;\25_&#48176;&#49688;_&#54872;&#44221;&#49884;&#49444;%20&#49444;&#52824;\&#49688;&#54665;&#51648;&#52840;\&#48176;&#49688;_&#54872;&#44221;&#49884;&#49444;%20&#49444;&#52824;_&#49688;&#54665;&#51648;&#52840;.html" TargetMode="External"/><Relationship Id="rId85" Type="http://schemas.openxmlformats.org/officeDocument/2006/relationships/hyperlink" Target="&#47588;&#45684;&#50620;BODY(&#51665;&#54665;&#45800;&#44228;-&#52392;&#48512;&#54260;&#45908;)v8\2.&#49324;&#51204;&#53664;&#44277;&#49324;\27_&#45432;&#49345;&#53664;%20&#51648;&#51648;&#47141;%20&#54869;&#51064;\&#54364;&#51456;&#49436;\&#45432;&#49345;&#53664;%20&#51648;&#51648;&#47141;%20&#54869;&#51064;_&#54364;&#51456;&#49436;.html" TargetMode="External"/><Relationship Id="rId3"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12" Type="http://schemas.openxmlformats.org/officeDocument/2006/relationships/hyperlink" Target="&#47588;&#45684;&#50620;BODY(&#51665;&#54665;&#45800;&#44228;-&#52392;&#48512;&#54260;&#45908;)v8\2.&#49324;&#51204;&#53664;&#44277;&#49324;\4_&#52572;&#44256;&#51032;%20&#54016;%20&#47564;&#46308;&#44592;%20&#51648;&#50896;\&#52404;&#53356;&#47532;&#49828;&#53944;\&#52572;&#44256;&#51032;%20&#54016;%20&#47564;&#46308;&#44592;%20&#51648;&#50896;_&#52404;&#53356;&#47532;&#49828;&#53944;.html" TargetMode="External"/><Relationship Id="rId17" Type="http://schemas.openxmlformats.org/officeDocument/2006/relationships/hyperlink" Target="&#47588;&#45684;&#50620;BODY(&#51665;&#54665;&#45800;&#44228;-&#52392;&#48512;&#54260;&#45908;)v8\2.&#49324;&#51204;&#53664;&#44277;&#49324;\6_&#51088;&#51116;&#48156;&#51452;%20&#50836;&#52397;\&#49688;&#54665;&#51648;&#52840;\&#52265;&#49688;&#51204;%20Big%20Room%20&#54924;&#51032;_&#49688;&#54665;&#51648;&#52840;.html" TargetMode="External"/><Relationship Id="rId25" Type="http://schemas.openxmlformats.org/officeDocument/2006/relationships/hyperlink" Target="&#47588;&#45684;&#50620;BODY(&#51665;&#54665;&#45800;&#44228;-&#52392;&#48512;&#54260;&#45908;)v8\2.&#49324;&#51204;&#53664;&#44277;&#49324;\9_&#51064;&#54728;&#44032;%20&#51208;&#52264;%20&#51652;&#54665;\&#54364;&#51456;&#49436;\&#51064;&#54728;&#44032;%20&#51208;&#52264;%20&#51652;&#54665;_&#54364;&#51456;&#49436;.html" TargetMode="External"/><Relationship Id="rId33" Type="http://schemas.openxmlformats.org/officeDocument/2006/relationships/hyperlink" Target="&#47588;&#45684;&#50620;BODY(&#51665;&#54665;&#45800;&#44228;-&#52392;&#48512;&#54260;&#45908;)v8\2.&#49324;&#51204;&#53664;&#44277;&#49324;\11_&#51648;&#51109;&#47932;%20&#44160;&#53664;%20&#48143;%20&#54801;&#51032;\&#52404;&#53356;&#47532;&#49828;&#53944;\&#51648;&#51109;&#47932;%20&#44160;&#53664;%20&#48143;%20&#54801;&#51032;_&#52404;&#53356;&#47532;&#49828;&#53944;.html" TargetMode="External"/><Relationship Id="rId38" Type="http://schemas.openxmlformats.org/officeDocument/2006/relationships/hyperlink" Target="&#47588;&#45684;&#50620;BODY(&#51665;&#54665;&#45800;&#44228;-&#52392;&#48512;&#54260;&#45908;)v8\2.&#49324;&#51204;&#53664;&#44277;&#49324;\13_&#48124;&#50896;%20&#51200;&#44048;%20&#45824;&#52293;%20&#49688;&#47549;\&#49688;&#54665;&#51648;&#52840;\&#48124;&#50896;%20&#51200;&#44048;%20&#45824;&#52293;%20&#49688;&#47549;_&#49688;&#54665;&#51648;&#52840;.html" TargetMode="External"/><Relationship Id="rId46" Type="http://schemas.openxmlformats.org/officeDocument/2006/relationships/hyperlink" Target="&#47588;&#45684;&#50620;BODY(&#51665;&#54665;&#45800;&#44228;-&#52392;&#48512;&#54260;&#45908;)v8\2.&#49324;&#51204;&#53664;&#44277;&#49324;\16_&#49884;&#44277;&#44228;&#54925;%20&#49688;&#47549;\&#54364;&#51456;&#49436;\&#49444;&#44228;&#48320;&#44221;%20(&#52265;&#49688;&#51204;)_&#54364;&#51456;&#49436;.html" TargetMode="External"/><Relationship Id="rId59" Type="http://schemas.openxmlformats.org/officeDocument/2006/relationships/hyperlink" Target="&#47588;&#45684;&#50620;BODY(&#51665;&#54665;&#45800;&#44228;-&#52392;&#48512;&#54260;&#45908;)v8\2.&#49324;&#51204;&#53664;&#44277;&#49324;\19_&#49444;&#44228;&#48320;&#44221;%20&#51648;&#50896;\&#49688;&#54665;&#51648;&#52840;\&#49444;&#44228;&#48320;&#44221;%20&#51648;&#50896;_&#49688;&#54665;&#51648;&#52840;.html" TargetMode="External"/><Relationship Id="rId67" Type="http://schemas.openxmlformats.org/officeDocument/2006/relationships/hyperlink" Target="&#47588;&#45684;&#50620;BODY(&#51665;&#54665;&#45800;&#44228;-&#52392;&#48512;&#54260;&#45908;)v8\2.&#49324;&#51204;&#53664;&#44277;&#49324;\22_&#48268;&#47785;_&#48268;&#44540;&#51228;&#44144;\&#54364;&#51456;&#49436;\&#48268;&#47785;_&#48268;&#44540;&#51228;&#44144;_&#54364;&#51456;&#49436;.html" TargetMode="External"/><Relationship Id="rId20" Type="http://schemas.openxmlformats.org/officeDocument/2006/relationships/hyperlink" Target="&#47588;&#45684;&#50620;BODY(&#51665;&#54665;&#45800;&#44228;-&#52392;&#48512;&#54260;&#45908;)v8\2.&#49324;&#51204;&#53664;&#44277;&#49324;\7_&#50857;&#51648;%20&#49324;&#50857;%20Risk%20&#44160;&#53664;\&#49688;&#54665;&#51648;&#52840;\&#50857;&#51648;%20&#49324;&#50857;%20Risk%20&#44160;&#53664;_&#49688;&#54665;&#51648;&#52840;.html" TargetMode="External"/><Relationship Id="rId41" Type="http://schemas.openxmlformats.org/officeDocument/2006/relationships/hyperlink" Target="&#47588;&#45684;&#50620;BODY(&#51665;&#54665;&#45800;&#44228;-&#52392;&#48512;&#54260;&#45908;)v8\2.&#49324;&#51204;&#53664;&#44277;&#49324;\14_&#50857;&#51648;&#48372;&#49345;%20Risk%20&#54028;&#50501;\&#49688;&#54665;&#51648;&#52840;\&#50857;&#51648;&#48372;&#49345;%20Risk%20&#54028;&#50501;_&#49688;&#54665;&#51648;&#52840;.html" TargetMode="External"/><Relationship Id="rId54" Type="http://schemas.openxmlformats.org/officeDocument/2006/relationships/hyperlink" Target="&#47588;&#45684;&#50620;BODY(&#51665;&#54665;&#45800;&#44228;-&#52392;&#48512;&#54260;&#45908;)v8\2.&#49324;&#51204;&#53664;&#44277;&#49324;\18_&#49444;&#44228;&#48320;&#44221;%20(&#52265;&#49688;&#51204;)\&#52404;&#53356;&#47532;&#49828;&#53944;\&#49444;&#44228;&#48320;&#44221;%20(&#52265;&#49688;&#51204;)_&#52404;&#53356;&#47532;&#49828;&#53944;.html" TargetMode="External"/><Relationship Id="rId62" Type="http://schemas.openxmlformats.org/officeDocument/2006/relationships/hyperlink" Target="&#47588;&#45684;&#50620;BODY(&#51665;&#54665;&#45800;&#44228;-&#52392;&#48512;&#54260;&#45908;)v8\2.&#49324;&#51204;&#53664;&#44277;&#49324;\20_&#44368;&#53685;&#44288;&#47532;%20&#48143;%20&#44368;&#53685;&#50504;&#51204;&#49884;&#49444;%20&#49444;&#52824;\&#49688;&#54665;&#51648;&#52840;\&#44368;&#53685;&#44288;&#47532;%20&#48143;%20&#44368;&#53685;&#50504;&#51204;&#49884;&#49444;%20&#49444;&#52824;_&#49688;&#54665;&#51648;&#52840;.html" TargetMode="External"/><Relationship Id="rId70" Type="http://schemas.openxmlformats.org/officeDocument/2006/relationships/hyperlink" Target="&#47588;&#45684;&#50620;BODY(&#51665;&#54665;&#45800;&#44228;-&#52392;&#48512;&#54260;&#45908;)v8\2.&#49324;&#51204;&#53664;&#44277;&#49324;\23_&#44592;&#51316;&#44396;&#51312;&#47932;%20_%20&#51648;&#51109;&#47932;%20&#52376;&#47532;\&#54364;&#51456;&#49436;\&#44592;&#51316;&#44396;&#51312;&#47932;%20_%20&#51648;&#51109;&#47932;%20&#52376;&#47532;_&#54364;&#51456;&#49436;.html" TargetMode="External"/><Relationship Id="rId75" Type="http://schemas.openxmlformats.org/officeDocument/2006/relationships/hyperlink" Target="&#47588;&#45684;&#50620;BODY(&#51665;&#54665;&#45800;&#44228;-&#52392;&#48512;&#54260;&#45908;)v8\2.&#49324;&#51204;&#53664;&#44277;&#49324;\23_&#44592;&#51316;&#44396;&#51312;&#47932;_&#51648;&#51109;&#47932;%20&#52376;&#47532;\&#52404;&#53356;&#47532;&#49828;&#53944;\&#44592;&#51316;&#44396;&#51312;&#47932;%20_%20&#51648;&#51109;&#47932;%20&#52376;&#47532;_&#52404;&#53356;&#47532;&#49828;&#53944;.html" TargetMode="External"/><Relationship Id="rId83" Type="http://schemas.openxmlformats.org/officeDocument/2006/relationships/hyperlink" Target="&#47588;&#45684;&#50620;BODY(&#51665;&#54665;&#45800;&#44228;-&#52392;&#48512;&#54260;&#45908;)v8\2.&#49324;&#51204;&#53664;&#44277;&#49324;\26_&#53664;&#44277;%20&#44404;&#52265;\&#49688;&#54665;&#51648;&#52840;\&#53664;&#44277;%20&#44404;&#52265;_&#49688;&#54665;&#51648;&#52840;.html" TargetMode="External"/><Relationship Id="rId88" Type="http://schemas.openxmlformats.org/officeDocument/2006/relationships/hyperlink" Target="&#47588;&#45684;&#50620;BODY(&#51665;&#54665;&#45800;&#44228;-&#52392;&#48512;&#54260;&#45908;)v8\2.&#49324;&#51204;&#53664;&#44277;&#49324;\28_&#49939;&#44592;%20&#48143;%20&#45796;&#51664;_&#54596;&#50836;&#49884;\&#54364;&#51456;&#49436;\&#49939;&#44592;%20&#48143;%20&#45796;&#51664;(&#54596;&#50836;&#49884;)_&#54364;&#51456;&#49436;.html" TargetMode="External"/><Relationship Id="rId91" Type="http://schemas.openxmlformats.org/officeDocument/2006/relationships/hyperlink" Target="&#47588;&#45684;&#50620;BODY(&#51665;&#54665;&#45800;&#44228;-&#52392;&#48512;&#54260;&#45908;)v8\2.&#49324;&#51204;&#53664;&#44277;&#49324;\29_&#54788;&#51109;&#51648;&#50896;\&#54364;&#51456;&#49436;\&#54788;&#51109;&#51648;&#50896;_&#54364;&#51456;&#49436;.html" TargetMode="External"/><Relationship Id="rId96" Type="http://schemas.openxmlformats.org/officeDocument/2006/relationships/hyperlink" Target="&#47588;&#45684;&#50620;BODY(&#51665;&#54665;&#45800;&#44228;-&#52392;&#48512;&#54260;&#45908;)v8\2.&#49324;&#51204;&#53664;&#44277;&#49324;\30_&#44053;&#54868;&#45432;&#48152;%20&#51064;&#44228;\&#52404;&#53356;&#47532;&#49828;&#53944;\&#44053;&#54868;&#45432;&#48152;%20&#51064;&#44228;_&#52404;&#53356;&#47532;&#49828;&#53944;.html" TargetMode="External"/><Relationship Id="rId1" Type="http://schemas.openxmlformats.org/officeDocument/2006/relationships/hyperlink" Target="&#47588;&#45684;&#50620;BODY(&#51665;&#54665;&#45800;&#44228;-&#52392;&#48512;&#54260;&#45908;)v8\2.&#49324;&#51204;&#53664;&#44277;&#49324;\1_Site%20Survey\&#54364;&#51456;&#49436;\Site%20Survey_&#54364;&#51456;&#49436;.html" TargetMode="External"/><Relationship Id="rId6" Type="http://schemas.openxmlformats.org/officeDocument/2006/relationships/hyperlink" Target="&#47588;&#45684;&#50620;BODY(&#51665;&#54665;&#45800;&#44228;-&#52392;&#48512;&#54260;&#45908;)v8\2.&#49324;&#51204;&#53664;&#44277;&#49324;\2_&#48156;&#51452;&#51204;&#47029;%20KOM\&#52404;&#53356;&#47532;&#49828;&#53944;\2_&#48156;&#51452;&#51204;&#47029;%20KOM_&#52404;&#53356;&#47532;&#49828;&#53944;.html" TargetMode="External"/><Relationship Id="rId15" Type="http://schemas.openxmlformats.org/officeDocument/2006/relationships/hyperlink" Target="&#47588;&#45684;&#50620;BODY(&#51665;&#54665;&#45800;&#44228;-&#52392;&#48512;&#54260;&#45908;)v8\2.&#49324;&#51204;&#53664;&#44277;&#49324;\5_&#44277;&#49324;&#51473;%20&#44368;&#53685;&#52376;&#47532;&#44228;&#54925;\&#52404;&#53356;&#47532;&#49828;&#53944;\&#44277;&#49324;&#51473;%20&#44368;&#53685;&#52376;&#47532;&#44228;&#54925;_&#52404;&#53356;&#47532;&#49828;&#53944;.html" TargetMode="External"/><Relationship Id="rId23" Type="http://schemas.openxmlformats.org/officeDocument/2006/relationships/hyperlink" Target="&#47588;&#45684;&#50620;BODY(&#51665;&#54665;&#45800;&#44228;-&#52392;&#48512;&#54260;&#45908;)v8\2.&#49324;&#51204;&#53664;&#44277;&#49324;\8_&#52265;&#49688;&#51204;%20Big%20Room%20&#54924;&#51032;\&#49688;&#54665;&#51648;&#52840;\&#52265;&#49688;&#51204;%20Big%20Room%20&#54924;&#51032;_&#49688;&#54665;&#51648;&#52840;.html" TargetMode="External"/><Relationship Id="rId2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6" Type="http://schemas.openxmlformats.org/officeDocument/2006/relationships/hyperlink" Target="&#47588;&#45684;&#50620;BODY(&#51665;&#54665;&#45800;&#44228;-&#52392;&#48512;&#54260;&#45908;)v8\2.&#49324;&#51204;&#53664;&#44277;&#49324;\12_&#44592;&#44277;&#49849;&#45209;%20&#51201;&#51221;&#49457;%20&#44160;&#53664;\&#52404;&#53356;&#47532;&#49828;&#53944;\&#44592;&#44277;&#49849;&#45209;%20&#51201;&#51221;&#49457;%20&#44160;&#53664;_&#52404;&#53356;&#47532;&#49828;&#53944;.html" TargetMode="External"/><Relationship Id="rId49"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57" Type="http://schemas.openxmlformats.org/officeDocument/2006/relationships/hyperlink" Target="&#47588;&#45684;&#50620;BODY(&#51665;&#54665;&#45800;&#44228;-&#52392;&#48512;&#54260;&#45908;)v8\2.&#49324;&#51204;&#53664;&#44277;&#49324;\18_&#49444;&#44228;&#48320;&#44221;_&#52265;&#49688;&#51204;\&#52404;&#53356;&#47532;&#49828;&#53944;\&#54980;&#54665;&#44277;&#51333;%20&#50836;&#44396;&#51312;&#44148;%20&#48152;&#50689;%20&#49444;&#44228;&#48320;&#44221;%20&#44160;&#53664;_&#52404;&#53356;&#47532;&#49828;&#53944;.html" TargetMode="External"/><Relationship Id="rId10" Type="http://schemas.openxmlformats.org/officeDocument/2006/relationships/hyperlink" Target="&#47588;&#45684;&#50620;BODY(&#51665;&#54665;&#45800;&#44228;-&#52392;&#48512;&#54260;&#45908;)v8\2.&#49324;&#51204;&#53664;&#44277;&#49324;\4_&#52572;&#44256;&#51032;%20&#54016;%20&#47564;&#46308;&#44592;%20&#51648;&#50896;\&#54364;&#51456;&#49436;\&#52572;&#44256;&#51032;%20&#54016;%20&#47564;&#46308;&#44592;%20&#51648;&#50896;_&#54364;&#51456;&#49436;.html" TargetMode="External"/><Relationship Id="rId31" Type="http://schemas.openxmlformats.org/officeDocument/2006/relationships/hyperlink" Target="&#47588;&#45684;&#50620;BODY(&#51665;&#54665;&#45800;&#44228;-&#52392;&#48512;&#54260;&#45908;)v8\2.&#49324;&#51204;&#53664;&#44277;&#49324;\11_&#51648;&#51109;&#47932;%20&#44160;&#53664;%20&#48143;%20&#54801;&#51032;\&#54364;&#51456;&#49436;\&#51648;&#51109;&#47932;%20&#44160;&#53664;%20&#48143;%20&#54801;&#51032;_&#54364;&#51456;&#49436;.html" TargetMode="External"/><Relationship Id="rId44"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52" Type="http://schemas.openxmlformats.org/officeDocument/2006/relationships/hyperlink" Target="&#47588;&#45684;&#50620;BODY(&#51665;&#54665;&#45800;&#44228;-&#52392;&#48512;&#54260;&#45908;)v8\2.&#49324;&#51204;&#53664;&#44277;&#49324;\18_&#49444;&#44228;&#48320;&#44221;%20(&#52265;&#49688;&#51204;)\&#54364;&#51456;&#49436;\&#49444;&#44228;&#48320;&#44221;%20(&#52265;&#49688;&#51204;)_&#54364;&#51456;&#49436;.html" TargetMode="External"/><Relationship Id="rId60" Type="http://schemas.openxmlformats.org/officeDocument/2006/relationships/hyperlink" Target="&#47588;&#45684;&#50620;BODY(&#51665;&#54665;&#45800;&#44228;-&#52392;&#48512;&#54260;&#45908;)v8\2.&#49324;&#51204;&#53664;&#44277;&#49324;\19_&#49444;&#44228;&#48320;&#44221;%20&#51648;&#50896;\&#52404;&#53356;&#47532;&#49828;&#53944;\&#49444;&#44228;&#48320;&#44221;%20&#51648;&#50896;_&#52404;&#53356;&#47532;&#49828;&#53944;.html" TargetMode="External"/><Relationship Id="rId65" Type="http://schemas.openxmlformats.org/officeDocument/2006/relationships/hyperlink" Target="&#47588;&#45684;&#50620;BODY(&#51665;&#54665;&#45800;&#44228;-&#52392;&#48512;&#54260;&#45908;)v8\2.&#49324;&#51204;&#53664;&#44277;&#49324;\21_&#51109;&#48708;%20&#44160;&#49688;%20&#51648;&#50896;\&#49688;&#54665;&#51648;&#52840;\&#51109;&#48708;%20&#44160;&#49688;%20&#51648;&#50896;_&#49688;&#54665;&#51648;&#52840;.html" TargetMode="External"/><Relationship Id="rId73" Type="http://schemas.openxmlformats.org/officeDocument/2006/relationships/hyperlink" Target="&#47588;&#45684;&#50620;BODY(&#51665;&#54665;&#45800;&#44228;-&#52392;&#48512;&#54260;&#45908;)v8\2.&#49324;&#51204;&#53664;&#44277;&#49324;\23_&#44592;&#51316;&#44396;&#51312;&#47932;_&#51648;&#51109;&#47932;%20&#52376;&#47532;\&#54364;&#51456;&#49436;\&#44592;&#51316;&#44396;&#51312;&#47932;%20_%20&#51648;&#51109;&#47932;%20&#52376;&#47532;_&#54364;&#51456;&#49436;.html" TargetMode="External"/><Relationship Id="rId78" Type="http://schemas.openxmlformats.org/officeDocument/2006/relationships/hyperlink" Target="&#47588;&#45684;&#50620;BODY(&#51665;&#54665;&#45800;&#44228;-&#52392;&#48512;&#54260;&#45908;)v8\2.&#49324;&#51204;&#53664;&#44277;&#49324;\24_&#51652;&#51077;&#47196;%20&#51312;&#49457;\&#52404;&#53356;&#47532;&#49828;&#53944;\&#51652;&#51077;&#47196;%20&#51312;&#49457;_&#52404;&#53356;&#47532;&#49828;&#53944;.html" TargetMode="External"/><Relationship Id="rId81" Type="http://schemas.openxmlformats.org/officeDocument/2006/relationships/hyperlink" Target="&#47588;&#45684;&#50620;BODY(&#51665;&#54665;&#45800;&#44228;-&#52392;&#48512;&#54260;&#45908;)v8\2.&#49324;&#51204;&#53664;&#44277;&#49324;\25_&#48176;&#49688;_&#54872;&#44221;&#49884;&#49444;%20&#49444;&#52824;\&#52404;&#53356;&#47532;&#49828;&#53944;\&#48176;&#49688;_&#54872;&#44221;&#49884;&#49444;%20&#49444;&#52824;_&#52404;&#53356;&#47532;&#49828;&#53944;.html" TargetMode="External"/><Relationship Id="rId86" Type="http://schemas.openxmlformats.org/officeDocument/2006/relationships/hyperlink" Target="&#47588;&#45684;&#50620;BODY(&#51665;&#54665;&#45800;&#44228;-&#52392;&#48512;&#54260;&#45908;)v8\2.&#49324;&#51204;&#53664;&#44277;&#49324;\27_&#45432;&#49345;&#53664;%20&#51648;&#51648;&#47141;%20&#54869;&#51064;\&#49688;&#54665;&#51648;&#52840;\&#45432;&#49345;&#53664;%20&#51648;&#51648;&#47141;%20&#54869;&#51064;_&#49688;&#54665;&#51648;&#52840;.html" TargetMode="External"/><Relationship Id="rId94" Type="http://schemas.openxmlformats.org/officeDocument/2006/relationships/hyperlink" Target="&#47588;&#45684;&#50620;BODY(&#51665;&#54665;&#45800;&#44228;-&#52392;&#48512;&#54260;&#45908;)v8\2.&#49324;&#51204;&#53664;&#44277;&#49324;\30_&#44053;&#54868;&#45432;&#48152;%20&#51064;&#44228;\&#54364;&#51456;&#49436;\&#44053;&#54868;&#45432;&#48152;%20&#51064;&#44228;_&#54364;&#51456;&#49436;.html" TargetMode="External"/><Relationship Id="rId99" Type="http://schemas.openxmlformats.org/officeDocument/2006/relationships/hyperlink" Target="&#47588;&#45684;&#50620;BODY(&#51665;&#54665;&#45800;&#44228;-&#52392;&#48512;&#54260;&#45908;)v8\2.&#49324;&#51204;&#53664;&#44277;&#49324;\32_Task_32\&#52404;&#53356;&#47532;&#49828;&#53944;\Task_32_&#52404;&#53356;&#47532;&#49828;&#53944;.html" TargetMode="External"/><Relationship Id="rId4" Type="http://schemas.openxmlformats.org/officeDocument/2006/relationships/hyperlink" Target="&#47588;&#45684;&#50620;BODY(&#51665;&#54665;&#45800;&#44228;-&#52392;&#48512;&#54260;&#45908;)v8\2.&#49324;&#51204;&#53664;&#44277;&#49324;\2_&#48156;&#51452;&#51204;&#47029;%20KOM\&#54364;&#51456;&#49436;\2_&#48156;&#51452;&#51204;&#47029;%20KOM_&#54364;&#51456;&#49436;.html" TargetMode="External"/><Relationship Id="rId9" Type="http://schemas.openxmlformats.org/officeDocument/2006/relationships/hyperlink" Target="&#47588;&#45684;&#50620;BODY(&#51665;&#54665;&#45800;&#44228;-&#52392;&#48512;&#54260;&#45908;)v8\2.&#49324;&#51204;&#53664;&#44277;&#49324;\3_Site%20Survey%20Risk%20&#44160;&#53664;\&#52404;&#53356;&#47532;&#49828;&#53944;\Site%20Survey%20Risk%20&#44160;&#53664;_&#52404;&#53356;&#47532;&#49828;&#53944;.html" TargetMode="External"/><Relationship Id="rId13" Type="http://schemas.openxmlformats.org/officeDocument/2006/relationships/hyperlink" Target="&#47588;&#45684;&#50620;BODY(&#51665;&#54665;&#45800;&#44228;-&#52392;&#48512;&#54260;&#45908;)v8\2.&#49324;&#51204;&#53664;&#44277;&#49324;\5_&#44277;&#49324;&#51473;%20&#44368;&#53685;&#52376;&#47532;&#44228;&#54925;\&#54364;&#51456;&#49436;\&#44277;&#49324;&#51473;%20&#44368;&#53685;&#52376;&#47532;&#44228;&#54925;_&#54364;&#51456;&#49436;.html" TargetMode="External"/><Relationship Id="rId18" Type="http://schemas.openxmlformats.org/officeDocument/2006/relationships/hyperlink" Target="&#47588;&#45684;&#50620;BODY(&#51665;&#54665;&#45800;&#44228;-&#52392;&#48512;&#54260;&#45908;)v8\2.&#49324;&#51204;&#53664;&#44277;&#49324;\6_&#51088;&#51116;&#48156;&#51452;%20&#50836;&#52397;\&#52404;&#53356;&#47532;&#49828;&#53944;\&#52265;&#49688;&#51204;%20Big%20Room%20&#54924;&#51032;_&#52404;&#53356;&#47532;&#49828;&#53944;.html" TargetMode="External"/><Relationship Id="rId39" Type="http://schemas.openxmlformats.org/officeDocument/2006/relationships/hyperlink" Target="&#47588;&#45684;&#50620;BODY(&#51665;&#54665;&#45800;&#44228;-&#52392;&#48512;&#54260;&#45908;)v8\2.&#49324;&#51204;&#53664;&#44277;&#49324;\13_&#48124;&#50896;%20&#51200;&#44048;%20&#45824;&#52293;%20&#49688;&#47549;\&#52404;&#53356;&#47532;&#49828;&#53944;\&#48124;&#50896;%20&#51200;&#44048;%20&#45824;&#52293;%20&#49688;&#47549;_&#52404;&#53356;&#47532;&#49828;&#53944;.html" TargetMode="External"/><Relationship Id="rId34" Type="http://schemas.openxmlformats.org/officeDocument/2006/relationships/hyperlink" Target="&#47588;&#45684;&#50620;BODY(&#51665;&#54665;&#45800;&#44228;-&#52392;&#48512;&#54260;&#45908;)v8\2.&#49324;&#51204;&#53664;&#44277;&#49324;\12_&#44592;&#44277;&#49849;&#45209;%20&#51201;&#51221;&#49457;%20&#44160;&#53664;\&#54364;&#51456;&#49436;\&#44592;&#44277;&#49849;&#45209;%20&#51201;&#51221;&#49457;%20&#44160;&#53664;_&#54364;&#51456;&#49436;.html" TargetMode="External"/><Relationship Id="rId50"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55" Type="http://schemas.openxmlformats.org/officeDocument/2006/relationships/hyperlink" Target="&#47588;&#45684;&#50620;BODY(&#51665;&#54665;&#45800;&#44228;-&#52392;&#48512;&#54260;&#45908;)v8\2.&#49324;&#51204;&#53664;&#44277;&#49324;\18_&#49444;&#44228;&#48320;&#44221;_&#52265;&#49688;&#51204;\&#54364;&#51456;&#49436;\&#54980;&#54665;&#44277;&#51333;%20&#50836;&#44396;&#51312;&#44148;%20&#48152;&#50689;%20&#49444;&#44228;&#48320;&#44221;%20&#44160;&#53664;_&#54364;&#51456;&#49436;.html" TargetMode="External"/><Relationship Id="rId76" Type="http://schemas.openxmlformats.org/officeDocument/2006/relationships/hyperlink" Target="&#47588;&#45684;&#50620;BODY(&#51665;&#54665;&#45800;&#44228;-&#52392;&#48512;&#54260;&#45908;)v8\2.&#49324;&#51204;&#53664;&#44277;&#49324;\24_&#51652;&#51077;&#47196;%20&#51312;&#49457;\&#54364;&#51456;&#49436;\&#51652;&#51077;&#47196;%20&#51312;&#49457;_&#54364;&#51456;&#49436;.html" TargetMode="External"/><Relationship Id="rId97" Type="http://schemas.openxmlformats.org/officeDocument/2006/relationships/hyperlink" Target="&#47588;&#45684;&#50620;BODY(&#51665;&#54665;&#45800;&#44228;-&#52392;&#48512;&#54260;&#45908;)v8\2.&#49324;&#51204;&#53664;&#44277;&#49324;\32_Task_32\&#54364;&#51456;&#49436;\Task_32_&#54364;&#51456;&#49436;.html" TargetMode="External"/><Relationship Id="rId7" Type="http://schemas.openxmlformats.org/officeDocument/2006/relationships/hyperlink" Target="&#47588;&#45684;&#50620;BODY(&#51665;&#54665;&#45800;&#44228;-&#52392;&#48512;&#54260;&#45908;)v8\2.&#49324;&#51204;&#53664;&#44277;&#49324;\3_Site%20Survey%20Risk%20&#44160;&#53664;\&#54364;&#51456;&#49436;\Site%20Survey%20Risk%20&#44160;&#53664;_&#54364;&#51456;&#49436;.html" TargetMode="External"/><Relationship Id="rId71" Type="http://schemas.openxmlformats.org/officeDocument/2006/relationships/hyperlink" Target="&#47588;&#45684;&#50620;BODY(&#51665;&#54665;&#45800;&#44228;-&#52392;&#48512;&#54260;&#45908;)v8\2.&#49324;&#51204;&#53664;&#44277;&#49324;\23_&#44592;&#51316;&#44396;&#51312;&#47932;%20_%20&#51648;&#51109;&#47932;%20&#52376;&#47532;\&#49688;&#54665;&#51648;&#52840;\&#44592;&#51316;&#44396;&#51312;&#47932;%20_%20&#51648;&#51109;&#47932;%20&#52376;&#47532;_&#49688;&#54665;&#51648;&#52840;.html" TargetMode="External"/><Relationship Id="rId92" Type="http://schemas.openxmlformats.org/officeDocument/2006/relationships/hyperlink" Target="&#47588;&#45684;&#50620;BODY(&#51665;&#54665;&#45800;&#44228;-&#52392;&#48512;&#54260;&#45908;)v8\2.&#49324;&#51204;&#53664;&#44277;&#49324;\29_&#54788;&#51109;&#51648;&#50896;\&#49688;&#54665;&#51648;&#52840;\&#54788;&#51109;&#51648;&#50896;_&#49688;&#54665;&#51648;&#52840;.html" TargetMode="External"/><Relationship Id="rId2" Type="http://schemas.openxmlformats.org/officeDocument/2006/relationships/hyperlink" Target="&#47588;&#45684;&#50620;BODY(&#51665;&#54665;&#45800;&#44228;-&#52392;&#48512;&#54260;&#45908;)v8\2.&#49324;&#51204;&#53664;&#44277;&#49324;\1_Site%20Survey\&#49688;&#54665;&#51648;&#52840;\Site%20Survey_&#49688;&#54665;&#51648;&#52840;.html" TargetMode="External"/><Relationship Id="rId2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4" Type="http://schemas.openxmlformats.org/officeDocument/2006/relationships/hyperlink" Target="&#47588;&#45684;&#50620;BODY(&#51665;&#54665;&#45800;&#44228;-&#52392;&#48512;&#54260;&#45908;)v8\2.&#49324;&#51204;&#53664;&#44277;&#49324;\8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2.&#49324;&#51204;&#53664;&#44277;&#49324;\14_&#50857;&#51648;&#48372;&#49345;%20Risk%20&#54028;&#50501;\&#54364;&#51456;&#49436;\&#50857;&#51648;&#48372;&#49345;%20Risk%20&#54028;&#50501;_&#54364;&#51456;&#49436;.html" TargetMode="External"/><Relationship Id="rId45"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6" Type="http://schemas.openxmlformats.org/officeDocument/2006/relationships/hyperlink" Target="&#47588;&#45684;&#50620;BODY(&#51665;&#54665;&#45800;&#44228;-&#52392;&#48512;&#54260;&#45908;)v8\2.&#49324;&#51204;&#53664;&#44277;&#49324;\21_&#51109;&#48708;%20&#44160;&#49688;%20&#51648;&#50896;\&#52404;&#53356;&#47532;&#49828;&#53944;\&#51109;&#48708;%20&#44160;&#49688;%20&#51648;&#50896;_&#52404;&#53356;&#47532;&#49828;&#53944;.html" TargetMode="External"/><Relationship Id="rId87" Type="http://schemas.openxmlformats.org/officeDocument/2006/relationships/hyperlink" Target="&#47588;&#45684;&#50620;BODY(&#51665;&#54665;&#45800;&#44228;-&#52392;&#48512;&#54260;&#45908;)v8\2.&#49324;&#51204;&#53664;&#44277;&#49324;\27_&#45432;&#49345;&#53664;%20&#51648;&#51648;&#47141;%20&#54869;&#51064;\&#52404;&#53356;&#47532;&#49828;&#53944;\&#45432;&#49345;&#53664;%20&#51648;&#51648;&#47141;%20&#54869;&#51064;_&#52404;&#53356;&#47532;&#49828;&#53944;.html" TargetMode="External"/><Relationship Id="rId61" Type="http://schemas.openxmlformats.org/officeDocument/2006/relationships/hyperlink" Target="&#47588;&#45684;&#50620;BODY(&#51665;&#54665;&#45800;&#44228;-&#52392;&#48512;&#54260;&#45908;)v8\2.&#49324;&#51204;&#53664;&#44277;&#49324;\20_&#44368;&#53685;&#44288;&#47532;%20&#48143;%20&#44368;&#53685;&#50504;&#51204;&#49884;&#49444;%20&#49444;&#52824;\&#54364;&#51456;&#49436;\&#44368;&#53685;&#44288;&#47532;%20&#48143;%20&#44368;&#53685;&#50504;&#51204;&#49884;&#49444;%20&#49444;&#52824;_&#54364;&#51456;&#49436;.html" TargetMode="External"/><Relationship Id="rId82" Type="http://schemas.openxmlformats.org/officeDocument/2006/relationships/hyperlink" Target="&#47588;&#45684;&#50620;BODY(&#51665;&#54665;&#45800;&#44228;-&#52392;&#48512;&#54260;&#45908;)v8\2.&#49324;&#51204;&#53664;&#44277;&#49324;\26_&#53664;&#44277;%20&#44404;&#52265;\&#54364;&#51456;&#49436;\&#53664;&#44277;%20&#44404;&#52265;_&#54364;&#51456;&#49436;.html" TargetMode="External"/><Relationship Id="rId19" Type="http://schemas.openxmlformats.org/officeDocument/2006/relationships/hyperlink" Target="&#47588;&#45684;&#50620;BODY(&#51665;&#54665;&#45800;&#44228;-&#52392;&#48512;&#54260;&#45908;)v8\2.&#49324;&#51204;&#53664;&#44277;&#49324;\7_&#50857;&#51648;%20&#49324;&#50857;%20Risk%20&#44160;&#53664;\&#54364;&#51456;&#49436;\&#50857;&#51648;%20&#49324;&#50857;%20Risk%20&#44160;&#53664;_&#54364;&#51456;&#49436;.html" TargetMode="External"/><Relationship Id="rId14" Type="http://schemas.openxmlformats.org/officeDocument/2006/relationships/hyperlink" Target="&#47588;&#45684;&#50620;BODY(&#51665;&#54665;&#45800;&#44228;-&#52392;&#48512;&#54260;&#45908;)v8\2.&#49324;&#51204;&#53664;&#44277;&#49324;\5_&#44277;&#49324;&#51473;%20&#44368;&#53685;&#52376;&#47532;&#44228;&#54925;\&#49688;&#54665;&#51648;&#52840;\&#44277;&#49324;&#51473;%20&#44368;&#53685;&#52376;&#47532;&#44228;&#54925;_&#49688;&#54665;&#51648;&#52840;.html" TargetMode="External"/><Relationship Id="rId3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35" Type="http://schemas.openxmlformats.org/officeDocument/2006/relationships/hyperlink" Target="&#47588;&#45684;&#50620;BODY(&#51665;&#54665;&#45800;&#44228;-&#52392;&#48512;&#54260;&#45908;)v8\2.&#49324;&#51204;&#53664;&#44277;&#49324;\12_&#44592;&#44277;&#49849;&#45209;%20&#51201;&#51221;&#49457;%20&#44160;&#53664;\&#49688;&#54665;&#51648;&#52840;\&#44592;&#44277;&#49849;&#45209;%20&#51201;&#51221;&#49457;%20&#44160;&#53664;_&#49688;&#54665;&#51648;&#52840;.html" TargetMode="External"/><Relationship Id="rId56" Type="http://schemas.openxmlformats.org/officeDocument/2006/relationships/hyperlink" Target="&#47588;&#45684;&#50620;BODY(&#51665;&#54665;&#45800;&#44228;-&#52392;&#48512;&#54260;&#45908;)v8\2.&#49324;&#51204;&#53664;&#44277;&#49324;\18_&#49444;&#44228;&#48320;&#44221;_&#52265;&#49688;&#51204;\&#49688;&#54665;&#51648;&#52840;\&#54980;&#54665;&#44277;&#51333;%20&#50836;&#44396;&#51312;&#44148;%20&#48152;&#50689;%20&#49444;&#44228;&#48320;&#44221;%20&#44160;&#53664;_&#49688;&#54665;&#51648;&#52840;.html" TargetMode="External"/><Relationship Id="rId77" Type="http://schemas.openxmlformats.org/officeDocument/2006/relationships/hyperlink" Target="&#47588;&#45684;&#50620;BODY(&#51665;&#54665;&#45800;&#44228;-&#52392;&#48512;&#54260;&#45908;)v8\2.&#49324;&#51204;&#53664;&#44277;&#49324;\24_&#51652;&#51077;&#47196;%20&#51312;&#49457;\&#49688;&#54665;&#51648;&#52840;\&#51652;&#51077;&#47196;%20&#51312;&#49457;_&#49688;&#54665;&#51648;&#52840;.html" TargetMode="External"/><Relationship Id="rId100" Type="http://schemas.openxmlformats.org/officeDocument/2006/relationships/printerSettings" Target="../printerSettings/printerSettings2.bin"/><Relationship Id="rId8" Type="http://schemas.openxmlformats.org/officeDocument/2006/relationships/hyperlink" Target="&#47588;&#45684;&#50620;BODY(&#51665;&#54665;&#45800;&#44228;-&#52392;&#48512;&#54260;&#45908;)v8\2.&#49324;&#51204;&#53664;&#44277;&#49324;\3_Site%20Survey%20Risk%20&#44160;&#53664;\&#49688;&#54665;&#51648;&#52840;\Site%20Survey%20Risk%20&#44160;&#53664;_&#49688;&#54665;&#51648;&#52840;.html" TargetMode="External"/><Relationship Id="rId51"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2" Type="http://schemas.openxmlformats.org/officeDocument/2006/relationships/hyperlink" Target="&#47588;&#45684;&#50620;BODY(&#51665;&#54665;&#45800;&#44228;-&#52392;&#48512;&#54260;&#45908;)v8\2.&#49324;&#51204;&#53664;&#44277;&#49324;\23_&#44592;&#51316;&#44396;&#51312;&#47932;%20_%20&#51648;&#51109;&#47932;%20&#52376;&#47532;\&#52404;&#53356;&#47532;&#49828;&#53944;\&#44592;&#51316;&#44396;&#51312;&#47932;%20_%20&#51648;&#51109;&#47932;%20&#52376;&#47532;_&#52404;&#53356;&#47532;&#49828;&#53944;.html" TargetMode="External"/><Relationship Id="rId93"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Relationship Id="rId98" Type="http://schemas.openxmlformats.org/officeDocument/2006/relationships/hyperlink" Target="&#47588;&#45684;&#50620;BODY(&#51665;&#54665;&#45800;&#44228;-&#52392;&#48512;&#54260;&#45908;)v8\2.&#49324;&#51204;&#53664;&#44277;&#49324;\32_Task_32\&#49688;&#54665;&#51648;&#52840;\Task_32_&#49688;&#54665;&#51648;&#52840;.html"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3.&#51648;&#51109;&#47932;&#51060;&#49444;\21_&#46020;&#49884;&#44032;&#49828;&#44288;%20&#51060;&#49444;%20&#44277;&#49324;\&#52404;&#53356;&#47532;&#49828;&#53944;\&#46020;&#49884;&#44032;&#49828;&#44288;%20&#51060;&#49444;%20&#44277;&#49324;_&#52404;&#53356;&#47532;&#49828;&#53944;.html" TargetMode="External"/><Relationship Id="rId21" Type="http://schemas.openxmlformats.org/officeDocument/2006/relationships/hyperlink" Target="&#47588;&#45684;&#50620;BODY(&#51665;&#54665;&#45800;&#44228;-&#52392;&#48512;&#54260;&#45908;)v8\3.&#51648;&#51109;&#47932;&#51060;&#49444;\5_&#51648;&#51109;&#47932;%20&#51312;&#49324;%20(&#50948;&#53441;&#44592;&#44288;%20&#54633;&#46041;)\&#52404;&#53356;&#47532;&#49828;&#53944;\5_&#51648;&#51109;&#47932;%20&#51312;&#49324;%20(&#50948;&#53441;&#44592;&#44288;%20&#54633;&#46041;)_&#52404;&#53356;&#47532;&#49828;&#53944;.html" TargetMode="External"/><Relationship Id="rId42" Type="http://schemas.openxmlformats.org/officeDocument/2006/relationships/hyperlink" Target="&#47588;&#45684;&#50620;BODY(&#51665;&#54665;&#45800;&#44228;-&#52392;&#48512;&#54260;&#45908;)v8\3.&#51648;&#51109;&#47932;&#51060;&#49444;\8_&#52265;&#49688;&#51204;%20Big%20Room%20&#54924;&#51032;\&#52404;&#53356;&#47532;&#49828;&#53944;\8_&#52265;&#49688;&#51204;%20Big%20Room%20&#54924;&#51032;_&#52404;&#53356;&#47532;&#49828;&#53944;.html" TargetMode="External"/><Relationship Id="rId63" Type="http://schemas.openxmlformats.org/officeDocument/2006/relationships/hyperlink" Target="&#47588;&#45684;&#50620;BODY(&#51665;&#54665;&#45800;&#44228;-&#52392;&#48512;&#54260;&#45908;)v8\3.&#51648;&#51109;&#47932;&#51060;&#49444;\12_&#50857;&#51648;&#48372;&#49345;%20Risk%20&#54028;&#50501;\&#52404;&#53356;&#47532;&#49828;&#53944;\12_&#50857;&#51648;&#48372;&#49345;%20Risk%20&#54028;&#50501;_&#52404;&#53356;&#47532;&#49828;&#53944;.html" TargetMode="External"/><Relationship Id="rId84" Type="http://schemas.openxmlformats.org/officeDocument/2006/relationships/hyperlink" Target="&#47588;&#45684;&#50620;BODY(&#51665;&#54665;&#45800;&#44228;-&#52392;&#48512;&#54260;&#45908;)v8\3.&#51648;&#51109;&#47932;&#51060;&#49444;\15_&#49345;&#54616;&#49688;&#46020;%20&#51060;&#49444;&#44228;&#54925;%20&#49892;&#51221;&#48372;&#44256;\&#52404;&#53356;&#47532;&#49828;&#53944;\&#49345;&#54616;&#49688;&#46020;%20&#51060;&#49444;&#44228;&#54925;%20&#49892;&#51221;&#48372;&#44256;_&#52404;&#53356;&#47532;&#49828;&#53944;.html" TargetMode="External"/><Relationship Id="rId138" Type="http://schemas.openxmlformats.org/officeDocument/2006/relationships/hyperlink" Target="&#47588;&#45684;&#50620;BODY(&#51665;&#54665;&#45800;&#44228;-&#52392;&#48512;&#54260;&#45908;)v8\3.&#51648;&#51109;&#47932;&#51060;&#49444;\24_&#53945;&#44256;&#50517;%20&#51204;&#47141;&#44288;&#47196;%20&#51060;&#49444;%20&#44277;&#49324;\&#52404;&#53356;&#47532;&#49828;&#53944;\&#53945;&#44256;&#50517;%20&#51204;&#47141;&#44288;&#47196;%20&#51060;&#49444;%20&#44277;&#49324;_&#52404;&#53356;&#47532;&#49828;&#53944;.html" TargetMode="External"/><Relationship Id="rId159" Type="http://schemas.openxmlformats.org/officeDocument/2006/relationships/hyperlink" Target="&#47588;&#45684;&#50620;BODY(&#51665;&#54665;&#45800;&#44228;-&#52392;&#48512;&#54260;&#45908;)v8\3.&#51648;&#51109;&#47932;&#51060;&#49444;\28_&#46020;&#49884;&#44032;&#49828;&#44288;%20&#51060;&#49444;%20&#44277;&#49324;\&#52404;&#53356;&#47532;&#49828;&#53944;\&#46020;&#49884;&#44032;&#49828;&#44288;%20&#51060;&#49444;%20&#44277;&#49324;_&#52404;&#53356;&#47532;&#49828;&#53944;.html" TargetMode="External"/><Relationship Id="rId170"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107" Type="http://schemas.openxmlformats.org/officeDocument/2006/relationships/hyperlink" Target="&#47588;&#45684;&#50620;BODY(&#51665;&#54665;&#45800;&#44228;-&#52392;&#48512;&#54260;&#45908;)v8\3.&#51648;&#51109;&#47932;&#51060;&#49444;\19_&#51460;&#46384;&#44592;(GPR)&#47484;%20&#53685;&#54620;%20&#44592;&#51316;%20&#51648;&#51109;&#47932;%20&#47588;&#49444;%20&#54869;&#51064;\&#49688;&#54665;&#51648;&#52840;\&#49688;&#54665;&#51648;&#52840;.html" TargetMode="External"/><Relationship Id="rId11" Type="http://schemas.openxmlformats.org/officeDocument/2006/relationships/hyperlink" Target="&#47588;&#45684;&#50620;BODY(&#51665;&#54665;&#45800;&#44228;-&#52392;&#48512;&#54260;&#45908;)v8\3.&#51648;&#51109;&#47932;&#51060;&#49444;\3_&#51648;&#51109;&#47932;%20&#51060;&#49444;%20&#50836;&#52397;%20(&#50948;&#49688;&#53441;&#44256;)\&#49688;&#54665;&#51648;&#52840;\3_&#51648;&#51109;&#47932;%20&#51060;&#49444;%20&#50836;&#52397;%20(&#50948;&#49688;&#53441;&#44256;)_&#49688;&#54665;&#51648;&#52840;.html" TargetMode="External"/><Relationship Id="rId32" Type="http://schemas.openxmlformats.org/officeDocument/2006/relationships/hyperlink" Target="&#47588;&#45684;&#50620;BODY(&#51665;&#54665;&#45800;&#44228;-&#52392;&#48512;&#54260;&#45908;)v8\3.&#51648;&#51109;&#47932;&#51060;&#49444;\7_&#50948;&#49688;&#53441;%20&#51648;&#51109;&#47932;%20&#51060;&#49444;%20&#49444;&#44228;\&#49688;&#54665;&#51648;&#52840;\&#49688;&#54665;&#51648;&#52840;.html" TargetMode="External"/><Relationship Id="rId53" Type="http://schemas.openxmlformats.org/officeDocument/2006/relationships/hyperlink" Target="&#47588;&#45684;&#50620;BODY(&#51665;&#54665;&#45800;&#44228;-&#52392;&#48512;&#54260;&#45908;)v8\3.&#51648;&#51109;&#47932;&#51060;&#49444;\10_&#46020;&#47196;&#51216;&#50857;_&#44404;&#52265;&#54665;&#50948;%20&#51064;&#54728;&#44032;\&#49688;&#54665;&#51648;&#52840;\&#46020;&#47196;&#51216;&#50857;_&#44404;&#52265;&#54665;&#50948;%20&#51064;&#54728;&#44032;_&#49688;&#54665;&#51648;&#52840;.html" TargetMode="External"/><Relationship Id="rId74" Type="http://schemas.openxmlformats.org/officeDocument/2006/relationships/hyperlink" Target="&#47588;&#45684;&#50620;BODY(&#51665;&#54665;&#45800;&#44228;-&#52392;&#48512;&#54260;&#45908;)v8\3.&#51648;&#51109;&#47932;&#51060;&#49444;\14_&#49888;&#44508;&#44288;&#47196;%20&#47588;&#49444;%20&#48143;%20&#49444;&#52824;\&#49688;&#54665;&#51648;&#52840;\&#49688;&#54665;&#51648;&#52840;.html" TargetMode="External"/><Relationship Id="rId128" Type="http://schemas.openxmlformats.org/officeDocument/2006/relationships/hyperlink" Target="&#47588;&#45684;&#50620;BODY(&#51665;&#54665;&#45800;&#44228;-&#52392;&#48512;&#54260;&#45908;)v8\3.&#51648;&#51109;&#47932;&#51060;&#49444;\23_&#49888;&#44508;&#44288;&#47196;%20&#48143;%20&#50672;&#44208;&#44288;&#47196;%20&#51217;&#49549;\&#49688;&#54665;&#51648;&#52840;\&#49688;&#54665;&#51648;&#52840;.html" TargetMode="External"/><Relationship Id="rId149" Type="http://schemas.openxmlformats.org/officeDocument/2006/relationships/hyperlink" Target="&#47588;&#45684;&#50620;BODY(&#51665;&#54665;&#45800;&#44228;-&#52392;&#48512;&#54260;&#45908;)v8\3.&#51648;&#51109;&#47932;&#51060;&#49444;\26_&#49345;&#54616;&#49688;&#46020;%20&#51060;&#49444;%20&#49884;&#44277;%20&#52572;&#51333;%20&#51216;&#44160;\&#49688;&#54665;&#51648;&#52840;\&#49345;&#54616;&#49688;&#46020;%20&#51060;&#49444;%20&#49884;&#44277;%20&#52572;&#51333;%20&#51216;&#44160;_&#49688;&#54665;&#51648;&#52840;.html" TargetMode="External"/><Relationship Id="rId5" Type="http://schemas.openxmlformats.org/officeDocument/2006/relationships/hyperlink" Target="&#47588;&#45684;&#50620;BODY(&#51665;&#54665;&#45800;&#44228;-&#52392;&#48512;&#54260;&#45908;)v8\3.&#51648;&#51109;&#47932;&#51060;&#49444;\2_&#48156;&#51452;&#51204;&#47029;%20KOM%20(&#46020;&#44553;&#51648;&#48516;)\&#49688;&#54665;&#51648;&#52840;\2_&#48156;&#51452;&#51204;&#47029;%20KOM%20(&#46020;&#44553;&#51648;&#48516;)_&#49688;&#54665;&#51648;&#52840;.html" TargetMode="External"/><Relationship Id="rId95" Type="http://schemas.openxmlformats.org/officeDocument/2006/relationships/hyperlink" Target="&#47588;&#45684;&#50620;BODY(&#51665;&#54665;&#45800;&#44228;-&#52392;&#48512;&#54260;&#45908;)v8\3.&#51648;&#51109;&#47932;&#51060;&#49444;\17_&#46020;&#47196;&#51216;&#50857;_&#44404;&#52265;&#54665;&#50948;%20&#51064;&#54728;&#44032;\&#49688;&#54665;&#51648;&#52840;\&#46020;&#47196;&#51216;&#50857;_&#44404;&#52265;&#54665;&#50948;%20&#51064;&#54728;&#44032;_&#49688;&#54665;&#51648;&#52840;.html" TargetMode="External"/><Relationship Id="rId160" Type="http://schemas.openxmlformats.org/officeDocument/2006/relationships/hyperlink" Target="&#47588;&#45684;&#50620;BODY(&#51665;&#54665;&#45800;&#44228;-&#52392;&#48512;&#54260;&#45908;)v8\3.&#51648;&#51109;&#47932;&#51060;&#49444;\28_&#49345;&#54616;&#49688;&#46020;%20&#51060;&#49444;%20&#51221;&#49328;%20&#44552;&#50529;%20&#44160;&#53664;\&#54364;&#51456;&#49436;\&#49345;&#54616;&#49688;&#46020;%20&#51060;&#49444;%20&#51221;&#49328;%20&#44552;&#50529;%20&#44160;&#53664;_&#54364;&#51456;&#49436;.html" TargetMode="External"/><Relationship Id="rId181" Type="http://schemas.openxmlformats.org/officeDocument/2006/relationships/hyperlink" Target="&#47588;&#45684;&#50620;BODY(&#51665;&#54665;&#45800;&#44228;-&#52392;&#48512;&#54260;&#45908;)v8\3.&#51648;&#51109;&#47932;&#51060;&#49444;\33_&#49345;&#54616;&#49688;&#46020;%20&#51060;&#49444;%20&#49884;&#44277;%20&#52572;&#51333;%20&#51216;&#44160;\&#54364;&#51456;&#49436;\33_&#49345;&#54616;&#49688;&#46020;%20&#51060;&#49444;%20&#49884;&#44277;%20&#52572;&#51333;%20&#51216;&#44160;_&#54364;&#51456;&#49436;.html" TargetMode="External"/><Relationship Id="rId22" Type="http://schemas.openxmlformats.org/officeDocument/2006/relationships/hyperlink" Target="&#47588;&#45684;&#50620;BODY(&#51665;&#54665;&#45800;&#44228;-&#52392;&#48512;&#54260;&#45908;)v8\3.&#51648;&#51109;&#47932;&#51060;&#49444;\5_&#52265;&#49688;&#51204;%20Big%20Room%20&#54924;&#51032;\&#54364;&#51456;&#49436;\&#52265;&#49688;&#51204;%20Big%20Room%20&#54924;&#51032;_&#54364;&#51456;&#49436;.html" TargetMode="External"/><Relationship Id="rId43" Type="http://schemas.openxmlformats.org/officeDocument/2006/relationships/hyperlink" Target="&#47588;&#45684;&#50620;BODY(&#51665;&#54665;&#45800;&#44228;-&#52392;&#48512;&#54260;&#45908;)v8\3.&#51648;&#51109;&#47932;&#51060;&#49444;\9_&#50948;&#49688;&#53441;%20&#44228;&#50557;%20&#52404;&#44208;\&#54364;&#51456;&#49436;\&#50948;&#49688;&#53441;%20&#44228;&#50557;%20&#52404;&#44208;_&#54364;&#51456;&#49436;.html" TargetMode="External"/><Relationship Id="rId64" Type="http://schemas.openxmlformats.org/officeDocument/2006/relationships/hyperlink" Target="&#47588;&#45684;&#50620;BODY(&#51665;&#54665;&#45800;&#44228;-&#52392;&#48512;&#54260;&#45908;)v8\3.&#51648;&#51109;&#47932;&#51060;&#49444;\12_&#51460;&#46384;&#44592;(GPR)&#47484;%20&#53685;&#54620;%20&#44592;&#51316;%20&#51648;&#51109;&#47932;%20&#47588;&#49444;%20&#54869;&#51064;\&#54364;&#51456;&#49436;\&#51460;&#46384;&#44592;(GPR)&#47484;%20&#53685;&#54620;%20&#44592;&#51316;%20&#51648;&#51109;&#47932;%20&#47588;&#49444;%20&#54869;&#51064;_&#54364;&#51456;&#49436;.html" TargetMode="External"/><Relationship Id="rId118" Type="http://schemas.openxmlformats.org/officeDocument/2006/relationships/hyperlink" Target="&#47588;&#45684;&#50620;BODY(&#51665;&#54665;&#45800;&#44228;-&#52392;&#48512;&#54260;&#45908;)v8\3.&#51648;&#51109;&#47932;&#51060;&#49444;\21_&#49888;&#44508;&#44288;&#47196;%20&#47588;&#49444;%20&#48143;%20&#49444;&#52824;\&#54364;&#51456;&#49436;\21_&#49888;&#44508;&#44288;&#47196;%20&#47588;&#49444;%20&#48143;%20&#49444;&#52824;_&#54364;&#51456;&#49436;.html" TargetMode="External"/><Relationship Id="rId139" Type="http://schemas.openxmlformats.org/officeDocument/2006/relationships/hyperlink" Target="&#47588;&#45684;&#50620;BODY(&#51665;&#54665;&#45800;&#44228;-&#52392;&#48512;&#54260;&#45908;)v8\3.&#51648;&#51109;&#47932;&#51060;&#49444;\25_&#44305;&#50669;&#49345;&#49688;&#44288;%20&#51060;&#49444;%20&#44277;&#49324;\&#54364;&#51456;&#49436;\25_&#44305;&#50669;&#49345;&#49688;&#44288;%20&#51060;&#49444;%20&#44277;&#49324;_&#54364;&#51456;&#49436;.html" TargetMode="External"/><Relationship Id="rId85" Type="http://schemas.openxmlformats.org/officeDocument/2006/relationships/hyperlink" Target="&#47588;&#45684;&#50620;BODY(&#51665;&#54665;&#45800;&#44228;-&#52392;&#48512;&#54260;&#45908;)v8\3.&#51648;&#51109;&#47932;&#51060;&#49444;\16_&#49888;&#44508;&#44288;&#47196;%20&#48143;%20&#50672;&#44208;&#44288;&#47196;%20&#51217;&#49549;\&#54364;&#51456;&#49436;\&#49888;&#44508;&#44288;&#47196;%20&#48143;%20&#50672;&#44208;&#44288;&#47196;%20&#51217;&#49549;_&#54364;&#51456;&#49436;.html" TargetMode="External"/><Relationship Id="rId150" Type="http://schemas.openxmlformats.org/officeDocument/2006/relationships/hyperlink" Target="&#47588;&#45684;&#50620;BODY(&#51665;&#54665;&#45800;&#44228;-&#52392;&#48512;&#54260;&#45908;)v8\3.&#51648;&#51109;&#47932;&#51060;&#49444;\26_&#49345;&#54616;&#49688;&#46020;%20&#51060;&#49444;%20&#49884;&#44277;%20&#52572;&#51333;%20&#51216;&#44160;\&#52404;&#53356;&#47532;&#49828;&#53944;\&#49345;&#54616;&#49688;&#46020;%20&#51060;&#49444;%20&#49884;&#44277;%20&#52572;&#51333;%20&#51216;&#44160;_&#52404;&#53356;&#47532;&#49828;&#53944;.html" TargetMode="External"/><Relationship Id="rId171"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12" Type="http://schemas.openxmlformats.org/officeDocument/2006/relationships/hyperlink" Target="&#47588;&#45684;&#50620;BODY(&#51665;&#54665;&#45800;&#44228;-&#52392;&#48512;&#54260;&#45908;)v8\3.&#51648;&#51109;&#47932;&#51060;&#49444;\3_&#51648;&#51109;&#47932;%20&#51060;&#49444;%20&#50836;&#52397;%20(&#50948;&#49688;&#53441;&#44256;)\&#52404;&#53356;&#47532;&#49828;&#53944;\3_&#51648;&#51109;&#47932;%20&#51060;&#49444;%20&#50836;&#52397;%20(&#50948;&#49688;&#53441;&#44256;)_&#52404;&#53356;&#47532;&#49828;&#53944;.html" TargetMode="External"/><Relationship Id="rId33" Type="http://schemas.openxmlformats.org/officeDocument/2006/relationships/hyperlink" Target="&#47588;&#45684;&#50620;BODY(&#51665;&#54665;&#45800;&#44228;-&#52392;&#48512;&#54260;&#45908;)v8\3.&#51648;&#51109;&#47932;&#51060;&#49444;\7_&#50948;&#49688;&#53441;%20&#51648;&#51109;&#47932;%20&#51060;&#49444;%20&#49444;&#44228;\&#52404;&#53356;&#47532;&#49828;&#53944;\&#50948;&#49688;&#53441;%20&#51648;&#51109;&#47932;%20&#51060;&#49444;%20&#49444;&#44228;_&#52404;&#53356;&#47532;&#49828;&#53944;.html" TargetMode="External"/><Relationship Id="rId108" Type="http://schemas.openxmlformats.org/officeDocument/2006/relationships/hyperlink" Target="&#47588;&#45684;&#50620;BODY(&#51665;&#54665;&#45800;&#44228;-&#52392;&#48512;&#54260;&#45908;)v8\3.&#51648;&#51109;&#47932;&#51060;&#49444;\19_&#51460;&#46384;&#44592;(GPR)&#47484;%20&#53685;&#54620;%20&#44592;&#51316;%20&#51648;&#51109;&#47932;%20&#47588;&#49444;%20&#54869;&#51064;\&#52404;&#53356;&#47532;&#49828;&#53944;\&#51460;&#46384;&#44592;(GPR)&#47484;%20&#53685;&#54620;%20&#44592;&#51316;%20&#51648;&#51109;&#47932;%20&#47588;&#49444;%20&#54869;&#51064;_&#52404;&#53356;&#47532;&#49828;&#53944;.html" TargetMode="External"/><Relationship Id="rId129" Type="http://schemas.openxmlformats.org/officeDocument/2006/relationships/hyperlink" Target="&#47588;&#45684;&#50620;BODY(&#51665;&#54665;&#45800;&#44228;-&#52392;&#48512;&#54260;&#45908;)v8\3.&#51648;&#51109;&#47932;&#51060;&#49444;\23_&#49888;&#44508;&#44288;&#47196;%20&#48143;%20&#50672;&#44208;&#44288;&#47196;%20&#51217;&#49549;\&#52404;&#53356;&#47532;&#49828;&#53944;\&#49888;&#44508;&#44288;&#47196;%20&#48143;%20&#50672;&#44208;&#44288;&#47196;%20&#51217;&#49549;_&#52404;&#53356;&#47532;&#49828;&#53944;.html" TargetMode="External"/><Relationship Id="rId54" Type="http://schemas.openxmlformats.org/officeDocument/2006/relationships/hyperlink" Target="&#47588;&#45684;&#50620;BODY(&#51665;&#54665;&#45800;&#44228;-&#52392;&#48512;&#54260;&#45908;)v8\3.&#51648;&#51109;&#47932;&#51060;&#49444;\10_&#46020;&#47196;&#51216;&#50857;_&#44404;&#52265;&#54665;&#50948;%20&#51064;&#54728;&#44032;\&#52404;&#53356;&#47532;&#49828;&#53944;\&#46020;&#47196;&#51216;&#50857;_&#44404;&#52265;&#54665;&#50948;%20&#51064;&#54728;&#44032;_&#52404;&#53356;&#47532;&#49828;&#53944;.html" TargetMode="External"/><Relationship Id="rId75" Type="http://schemas.openxmlformats.org/officeDocument/2006/relationships/hyperlink" Target="&#47588;&#45684;&#50620;BODY(&#51665;&#54665;&#45800;&#44228;-&#52392;&#48512;&#54260;&#45908;)v8\3.&#51648;&#51109;&#47932;&#51060;&#49444;\14_&#49888;&#44508;&#44288;&#47196;%20&#47588;&#49444;%20&#48143;%20&#49444;&#52824;\&#52404;&#53356;&#47532;&#49828;&#53944;\&#49888;&#44508;&#44288;&#47196;%20&#47588;&#49444;%20&#48143;%20&#49444;&#52824;_&#52404;&#53356;&#47532;&#49828;&#53944;.html" TargetMode="External"/><Relationship Id="rId96" Type="http://schemas.openxmlformats.org/officeDocument/2006/relationships/hyperlink" Target="&#47588;&#45684;&#50620;BODY(&#51665;&#54665;&#45800;&#44228;-&#52392;&#48512;&#54260;&#45908;)v8\3.&#51648;&#51109;&#47932;&#51060;&#49444;\17_&#46020;&#47196;&#51216;&#50857;_&#44404;&#52265;&#54665;&#50948;%20&#51064;&#54728;&#44032;\&#52404;&#53356;&#47532;&#49828;&#53944;\&#46020;&#47196;&#51216;&#50857;_&#44404;&#52265;&#54665;&#50948;%20&#51064;&#54728;&#44032;_&#52404;&#53356;&#47532;&#49828;&#53944;.html" TargetMode="External"/><Relationship Id="rId140" Type="http://schemas.openxmlformats.org/officeDocument/2006/relationships/hyperlink" Target="&#47588;&#45684;&#50620;BODY(&#51665;&#54665;&#45800;&#44228;-&#52392;&#48512;&#54260;&#45908;)v8\3.&#51648;&#51109;&#47932;&#51060;&#49444;\25_&#44305;&#50669;&#49345;&#49688;&#44288;%20&#51060;&#49444;%20&#44277;&#49324;\&#49688;&#54665;&#51648;&#52840;\&#44305;&#50669;&#49345;&#49688;&#44288;%20&#51060;&#49444;%20&#44277;&#49324;_&#49688;&#54665;&#51648;&#52840;.html" TargetMode="External"/><Relationship Id="rId161" Type="http://schemas.openxmlformats.org/officeDocument/2006/relationships/hyperlink" Target="&#47588;&#45684;&#50620;BODY(&#51665;&#54665;&#45800;&#44228;-&#52392;&#48512;&#54260;&#45908;)v8\3.&#51648;&#51109;&#47932;&#51060;&#49444;\28_&#49345;&#54616;&#49688;&#46020;%20&#51060;&#49444;%20&#51221;&#49328;%20&#44552;&#50529;%20&#44160;&#53664;\&#49688;&#54665;&#51648;&#52840;\&#49345;&#54616;&#49688;&#46020;%20&#51060;&#49444;%20&#51221;&#49328;%20&#44552;&#50529;%20&#44160;&#53664;_&#49688;&#54665;&#51648;&#52840;.html" TargetMode="External"/><Relationship Id="rId182" Type="http://schemas.openxmlformats.org/officeDocument/2006/relationships/hyperlink" Target="&#47588;&#45684;&#50620;BODY(&#51665;&#54665;&#45800;&#44228;-&#52392;&#48512;&#54260;&#45908;)v8\3.&#51648;&#51109;&#47932;&#51060;&#49444;\33_&#49345;&#54616;&#49688;&#46020;%20&#51060;&#49444;%20&#49884;&#44277;%20&#52572;&#51333;%20&#51216;&#44160;\&#49688;&#54665;&#51648;&#52840;\&#49345;&#54616;&#49688;&#46020;%20&#51060;&#49444;%20&#49884;&#44277;%20&#52572;&#51333;%20&#51216;&#44160;_&#49688;&#54665;&#51648;&#52840;.html" TargetMode="External"/><Relationship Id="rId6" Type="http://schemas.openxmlformats.org/officeDocument/2006/relationships/hyperlink" Target="&#47588;&#45684;&#50620;BODY(&#51665;&#54665;&#45800;&#44228;-&#52392;&#48512;&#54260;&#45908;)v8\3.&#51648;&#51109;&#47932;&#51060;&#49444;\2_&#48156;&#51452;&#51204;&#47029;%20KOM%20(&#46020;&#44553;&#51648;&#48516;)\&#52404;&#53356;&#47532;&#49828;&#53944;\2_&#48156;&#51452;&#51204;&#47029;%20KOM%20(&#46020;&#44553;&#51648;&#48516;)_&#52404;&#53356;&#47532;&#49828;&#53944;.html" TargetMode="External"/><Relationship Id="rId23" Type="http://schemas.openxmlformats.org/officeDocument/2006/relationships/hyperlink" Target="&#47588;&#45684;&#50620;BODY(&#51665;&#54665;&#45800;&#44228;-&#52392;&#48512;&#54260;&#45908;)v8\3.&#51648;&#51109;&#47932;&#51060;&#49444;\5_&#52265;&#49688;&#51204;%20Big%20Room%20&#54924;&#51032;\&#49688;&#54665;&#51648;&#52840;\&#49688;&#54665;&#51648;&#52840;.html" TargetMode="External"/><Relationship Id="rId119" Type="http://schemas.openxmlformats.org/officeDocument/2006/relationships/hyperlink" Target="&#47588;&#45684;&#50620;BODY(&#51665;&#54665;&#45800;&#44228;-&#52392;&#48512;&#54260;&#45908;)v8\3.&#51648;&#51109;&#47932;&#51060;&#49444;\21_&#49888;&#44508;&#44288;&#47196;%20&#47588;&#49444;%20&#48143;%20&#49444;&#52824;\&#49688;&#54665;&#51648;&#52840;\&#49688;&#54665;&#51648;&#52840;.html" TargetMode="External"/><Relationship Id="rId44" Type="http://schemas.openxmlformats.org/officeDocument/2006/relationships/hyperlink" Target="&#47588;&#45684;&#50620;BODY(&#51665;&#54665;&#45800;&#44228;-&#52392;&#48512;&#54260;&#45908;)v8\3.&#51648;&#51109;&#47932;&#51060;&#49444;\9_&#50948;&#49688;&#53441;%20&#44228;&#50557;%20&#52404;&#44208;\&#49688;&#54665;&#51648;&#52840;\&#49688;&#54665;&#51648;&#52840;.html" TargetMode="External"/><Relationship Id="rId60" Type="http://schemas.openxmlformats.org/officeDocument/2006/relationships/hyperlink" Target="&#47588;&#45684;&#50620;BODY(&#51665;&#54665;&#45800;&#44228;-&#52392;&#48512;&#54260;&#45908;)v8\3.&#51648;&#51109;&#47932;&#51060;&#49444;\11_&#48124;&#50896;%20&#51200;&#44048;%20&#45824;&#52293;%20&#49688;&#47549;\&#52404;&#53356;&#47532;&#49828;&#53944;\11_&#48124;&#50896;%20&#51200;&#44048;%20&#45824;&#52293;%20&#49688;&#47549;_&#52404;&#53356;&#47532;&#49828;&#53944;.html" TargetMode="External"/><Relationship Id="rId65" Type="http://schemas.openxmlformats.org/officeDocument/2006/relationships/hyperlink" Target="&#47588;&#45684;&#50620;BODY(&#51665;&#54665;&#45800;&#44228;-&#52392;&#48512;&#54260;&#45908;)v8\3.&#51648;&#51109;&#47932;&#51060;&#49444;\12_&#51460;&#46384;&#44592;(GPR)&#47484;%20&#53685;&#54620;%20&#44592;&#51316;%20&#51648;&#51109;&#47932;%20&#47588;&#49444;%20&#54869;&#51064;\&#49688;&#54665;&#51648;&#52840;\&#49688;&#54665;&#51648;&#52840;.html" TargetMode="External"/><Relationship Id="rId81" Type="http://schemas.openxmlformats.org/officeDocument/2006/relationships/hyperlink" Target="&#47588;&#45684;&#50620;BODY(&#51665;&#54665;&#45800;&#44228;-&#52392;&#48512;&#54260;&#45908;)v8\3.&#51648;&#51109;&#47932;&#51060;&#49444;\15_&#47924;&#45800;&#49688;%20&#50672;&#44208;&#51012;%20&#50948;&#54620;%20&#49884;&#49444;%20&#49444;&#52824;\&#52404;&#53356;&#47532;&#49828;&#53944;\&#47924;&#45800;&#49688;%20&#50672;&#44208;&#51012;%20&#50948;&#54620;%20&#49884;&#49444;%20&#49444;&#52824;_&#52404;&#53356;&#47532;&#49828;&#53944;.html" TargetMode="External"/><Relationship Id="rId86" Type="http://schemas.openxmlformats.org/officeDocument/2006/relationships/hyperlink" Target="&#47588;&#45684;&#50620;BODY(&#51665;&#54665;&#45800;&#44228;-&#52392;&#48512;&#54260;&#45908;)v8\3.&#51648;&#51109;&#47932;&#51060;&#49444;\16_&#49888;&#44508;&#44288;&#47196;%20&#48143;%20&#50672;&#44208;&#44288;&#47196;%20&#51217;&#49549;\&#49688;&#54665;&#51648;&#52840;\&#49688;&#54665;&#51648;&#52840;.html" TargetMode="External"/><Relationship Id="rId130" Type="http://schemas.openxmlformats.org/officeDocument/2006/relationships/hyperlink" Target="&#47588;&#45684;&#50620;BODY(&#51665;&#54665;&#45800;&#44228;-&#52392;&#48512;&#54260;&#45908;)v8\3.&#51648;&#51109;&#47932;&#51060;&#49444;\23_&#53685;&#49888;&#44288;&#47196;%20&#48143;%20&#52992;&#51060;&#48660;%20&#51060;&#49444;%20&#44277;&#49324;\&#54364;&#51456;&#49436;\&#53685;&#49888;&#44288;&#47196;%20&#48143;%20&#52992;&#51060;&#48660;%20&#51060;&#49444;%20&#44277;&#49324;_&#54364;&#51456;&#49436;.html" TargetMode="External"/><Relationship Id="rId135" Type="http://schemas.openxmlformats.org/officeDocument/2006/relationships/hyperlink" Target="&#47588;&#45684;&#50620;BODY(&#51665;&#54665;&#45800;&#44228;-&#52392;&#48512;&#54260;&#45908;)v8\3.&#51648;&#51109;&#47932;&#51060;&#49444;\24_&#44592;&#51316;&#44288;&#47196;%20&#52384;&#44144;%20&#48143;%20&#50896;&#49345;&#48373;&#44396;\&#52404;&#53356;&#47532;&#49828;&#53944;\&#44592;&#51316;&#44288;&#47196;%20&#52384;&#44144;%20&#48143;%20&#50896;&#49345;&#48373;&#44396;_&#52404;&#53356;&#47532;&#49828;&#53944;.html" TargetMode="External"/><Relationship Id="rId151" Type="http://schemas.openxmlformats.org/officeDocument/2006/relationships/hyperlink" Target="&#47588;&#45684;&#50620;BODY(&#51665;&#54665;&#45800;&#44228;-&#52392;&#48512;&#54260;&#45908;)v8\3.&#51648;&#51109;&#47932;&#51060;&#49444;\27_&#50948;&#49688;&#53441;%20&#51648;&#54616;&#51648;&#51109;&#47932;%20&#51060;&#49444;%20&#52572;&#51333;%20&#51216;&#44160;\&#54364;&#51456;&#49436;\&#50948;&#49688;&#53441;%20&#51648;&#54616;&#51648;&#51109;&#47932;%20&#51060;&#49444;%20&#52572;&#51333;%20&#51216;&#44160;_&#54364;&#51456;&#49436;.html" TargetMode="External"/><Relationship Id="rId156" Type="http://schemas.openxmlformats.org/officeDocument/2006/relationships/hyperlink" Target="&#47588;&#45684;&#50620;BODY(&#51665;&#54665;&#45800;&#44228;-&#52392;&#48512;&#54260;&#45908;)v8\3.&#51648;&#51109;&#47932;&#51060;&#49444;\27_&#54616;&#49688;&#46020;%20&#44288;&#47196;%20&#51060;&#49444;%20&#44277;&#49324;\&#52404;&#53356;&#47532;&#49828;&#53944;\&#54616;&#49688;&#46020;%20&#44288;&#47196;%20&#51060;&#49444;%20&#44277;&#49324;_&#52404;&#53356;&#47532;&#49828;&#53944;.html" TargetMode="External"/><Relationship Id="rId177" Type="http://schemas.openxmlformats.org/officeDocument/2006/relationships/hyperlink" Target="&#47588;&#45684;&#50620;BODY(&#51665;&#54665;&#45800;&#44228;-&#52392;&#48512;&#54260;&#45908;)v8\3.&#51648;&#51109;&#47932;&#51060;&#49444;\31_&#53945;&#44256;&#50517;%20&#51204;&#47141;&#44288;&#47196;%20&#51060;&#49444;%20&#44277;&#49324;\&#52404;&#53356;&#47532;&#49828;&#53944;\&#53945;&#44256;&#50517;%20&#51204;&#47141;&#44288;&#47196;%20&#51060;&#49444;%20&#44277;&#49324;_&#52404;&#53356;&#47532;&#49828;&#53944;.html" TargetMode="External"/><Relationship Id="rId172" Type="http://schemas.openxmlformats.org/officeDocument/2006/relationships/hyperlink" Target="&#47588;&#45684;&#50620;BODY(&#51665;&#54665;&#45800;&#44228;-&#52392;&#48512;&#54260;&#45908;)v8\3.&#51648;&#51109;&#47932;&#51060;&#49444;\30_&#53685;&#49888;&#44288;&#47196;%20&#48143;%20&#52992;&#51060;&#48660;%20&#51060;&#49444;%20&#44277;&#49324;\&#54364;&#51456;&#49436;\30_&#53685;&#49888;&#44288;&#47196;%20&#48143;%20&#52992;&#51060;&#48660;%20&#51060;&#49444;%20&#44277;&#49324;_&#54364;&#51456;&#49436;.html" TargetMode="External"/><Relationship Id="rId13" Type="http://schemas.openxmlformats.org/officeDocument/2006/relationships/hyperlink" Target="&#47588;&#45684;&#50620;BODY(&#51665;&#54665;&#45800;&#44228;-&#52392;&#48512;&#54260;&#45908;)v8\3.&#51648;&#51109;&#47932;&#51060;&#49444;\4_&#46020;&#44553;&#51088;&#48516;%20&#51060;&#49444;&#50629;&#52404;%20&#49440;&#51221;(&#49345;_&#54616;&#49688;)\&#54364;&#51456;&#49436;\4_&#46020;&#44553;&#51088;&#48516;%20&#51060;&#49444;&#50629;&#52404;%20&#49440;&#51221;(&#49345;_&#54616;&#49688;)_&#54364;&#51456;&#49436;.html" TargetMode="External"/><Relationship Id="rId18" Type="http://schemas.openxmlformats.org/officeDocument/2006/relationships/hyperlink" Target="&#47588;&#45684;&#50620;BODY(&#51665;&#54665;&#45800;&#44228;-&#52392;&#48512;&#54260;&#45908;)v8\3.&#51648;&#51109;&#47932;&#51060;&#49444;\4_&#52572;&#44256;&#51032;%20&#54016;%20&#47564;&#46308;&#44592;%20&#51648;&#50896;\&#52404;&#53356;&#47532;&#49828;&#53944;\&#52572;&#44256;&#51032;%20&#54016;%20&#47564;&#46308;&#44592;%20&#51648;&#50896;_&#52404;&#53356;&#47532;&#49828;&#53944;.html" TargetMode="External"/><Relationship Id="rId39" Type="http://schemas.openxmlformats.org/officeDocument/2006/relationships/hyperlink" Target="&#47588;&#45684;&#50620;BODY(&#51665;&#54665;&#45800;&#44228;-&#52392;&#48512;&#54260;&#45908;)v8\3.&#51648;&#51109;&#47932;&#51060;&#49444;\8_&#49345;&#54616;&#49688;&#46020;%20&#51060;&#49444;&#44228;&#54925;%20&#49892;&#51221;&#48372;&#44256;\&#52404;&#53356;&#47532;&#49828;&#53944;\&#49345;&#54616;&#49688;&#46020;%20&#51060;&#49444;&#44228;&#54925;%20&#49892;&#51221;&#48372;&#44256;_&#52404;&#53356;&#47532;&#49828;&#53944;.html" TargetMode="External"/><Relationship Id="rId109" Type="http://schemas.openxmlformats.org/officeDocument/2006/relationships/hyperlink" Target="&#47588;&#45684;&#50620;BODY(&#51665;&#54665;&#45800;&#44228;-&#52392;&#48512;&#54260;&#45908;)v8\3.&#51648;&#51109;&#47932;&#51060;&#49444;\20_&#51060;&#49444;%20&#50948;&#52824;%20&#53664;&#44277;%20&#44404;&#52265;\&#54364;&#51456;&#49436;\20_&#51060;&#49444;%20&#50948;&#52824;%20&#53664;&#44277;%20&#44404;&#52265;_&#54364;&#51456;&#49436;.html" TargetMode="External"/><Relationship Id="rId34" Type="http://schemas.openxmlformats.org/officeDocument/2006/relationships/hyperlink" Target="&#47588;&#45684;&#50620;BODY(&#51665;&#54665;&#45800;&#44228;-&#52392;&#48512;&#54260;&#45908;)v8\3.&#51648;&#51109;&#47932;&#51060;&#49444;\7_&#52572;&#44256;&#51032;%20&#54016;%20&#47564;&#46308;&#44592;%20&#51648;&#50896;\&#54364;&#51456;&#49436;\7_&#52572;&#44256;&#51032;%20&#54016;%20&#47564;&#46308;&#44592;%20&#51648;&#50896;_&#54364;&#51456;&#49436;.html" TargetMode="External"/><Relationship Id="rId50" Type="http://schemas.openxmlformats.org/officeDocument/2006/relationships/hyperlink" Target="&#47588;&#45684;&#50620;BODY(&#51665;&#54665;&#45800;&#44228;-&#52392;&#48512;&#54260;&#45908;)v8\3.&#51648;&#51109;&#47932;&#51060;&#49444;\10_&#44368;&#53685;&#52376;&#47532;&#45824;&#52293;%20&#54801;&#51032;%20&#48143;%20&#49849;&#51064;\&#49688;&#54665;&#51648;&#52840;\10_&#44368;&#53685;&#52376;&#47532;&#45824;&#52293;%20&#54801;&#51032;%20&#48143;%20&#49849;&#51064;_&#49688;&#54665;&#51648;&#52840;.html" TargetMode="External"/><Relationship Id="rId55" Type="http://schemas.openxmlformats.org/officeDocument/2006/relationships/hyperlink" Target="&#47588;&#45684;&#50620;BODY(&#51665;&#54665;&#45800;&#44228;-&#52392;&#48512;&#54260;&#45908;)v8\3.&#51648;&#51109;&#47932;&#51060;&#49444;\11_&#44368;&#53685;&#53685;&#51228;%20&#48143;%20&#44368;&#53685;&#50504;&#51204;&#49884;&#49444;%20&#49444;&#52824;\&#54364;&#51456;&#49436;\&#44368;&#53685;&#53685;&#51228;%20&#48143;%20&#44368;&#53685;&#50504;&#51204;&#49884;&#49444;%20&#49444;&#52824;_&#54364;&#51456;&#49436;.html" TargetMode="External"/><Relationship Id="rId76" Type="http://schemas.openxmlformats.org/officeDocument/2006/relationships/hyperlink" Target="&#47588;&#45684;&#50620;BODY(&#51665;&#54665;&#45800;&#44228;-&#52392;&#48512;&#54260;&#45908;)v8\3.&#51648;&#51109;&#47932;&#51060;&#49444;\14_&#50948;&#49688;&#53441;%20&#51648;&#51109;&#47932;%20&#51060;&#49444;%20&#49444;&#44228;\&#54364;&#51456;&#49436;\14_&#50948;&#49688;&#53441;%20&#51648;&#51109;&#47932;%20&#51060;&#49444;%20&#49444;&#44228;_&#54364;&#51456;&#49436;.html" TargetMode="External"/><Relationship Id="rId97" Type="http://schemas.openxmlformats.org/officeDocument/2006/relationships/hyperlink" Target="&#47588;&#45684;&#50620;BODY(&#51665;&#54665;&#45800;&#44228;-&#52392;&#48512;&#54260;&#45908;)v8\3.&#51648;&#51109;&#47932;&#51060;&#49444;\18_&#44305;&#50669;&#49345;&#49688;&#44288;%20&#51060;&#49444;%20&#44277;&#49324;\&#54364;&#51456;&#49436;\&#44305;&#50669;&#49345;&#49688;&#44288;%20&#51060;&#49444;%20&#44277;&#49324;_&#54364;&#51456;&#49436;.html" TargetMode="External"/><Relationship Id="rId104" Type="http://schemas.openxmlformats.org/officeDocument/2006/relationships/hyperlink" Target="&#47588;&#45684;&#50620;BODY(&#51665;&#54665;&#45800;&#44228;-&#52392;&#48512;&#54260;&#45908;)v8\3.&#51648;&#51109;&#47932;&#51060;&#49444;\19_&#49345;&#49688;&#46020;%20&#44288;&#47196;%20&#51060;&#49444;%20&#44277;&#49324;\&#49688;&#54665;&#51648;&#52840;\&#49345;&#49688;&#46020;%20&#44288;&#47196;%20&#51060;&#49444;%20&#44277;&#49324;_&#49688;&#54665;&#51648;&#52840;.html" TargetMode="External"/><Relationship Id="rId120" Type="http://schemas.openxmlformats.org/officeDocument/2006/relationships/hyperlink" Target="&#47588;&#45684;&#50620;BODY(&#51665;&#54665;&#45800;&#44228;-&#52392;&#48512;&#54260;&#45908;)v8\3.&#51648;&#51109;&#47932;&#51060;&#49444;\21_&#49888;&#44508;&#44288;&#47196;%20&#47588;&#49444;%20&#48143;%20&#49444;&#52824;\&#52404;&#53356;&#47532;&#49828;&#53944;\&#49888;&#44508;&#44288;&#47196;%20&#47588;&#49444;%20&#48143;%20&#49444;&#52824;_&#52404;&#53356;&#47532;&#49828;&#53944;.html" TargetMode="External"/><Relationship Id="rId125" Type="http://schemas.openxmlformats.org/officeDocument/2006/relationships/hyperlink" Target="&#47588;&#45684;&#50620;BODY(&#51665;&#54665;&#45800;&#44228;-&#52392;&#48512;&#54260;&#45908;)v8\3.&#51648;&#51109;&#47932;&#51060;&#49444;\22_&#51648;&#50669;&#45212;&#48169;&#44288;%20&#51060;&#49444;%20&#44277;&#49324;\&#49688;&#54665;&#51648;&#52840;\&#49688;&#54665;&#51648;&#52840;.html" TargetMode="External"/><Relationship Id="rId141" Type="http://schemas.openxmlformats.org/officeDocument/2006/relationships/hyperlink" Target="&#47588;&#45684;&#50620;BODY(&#51665;&#54665;&#45800;&#44228;-&#52392;&#48512;&#54260;&#45908;)v8\3.&#51648;&#51109;&#47932;&#51060;&#49444;\25_&#44305;&#50669;&#49345;&#49688;&#44288;%20&#51060;&#49444;%20&#44277;&#49324;\&#52404;&#53356;&#47532;&#49828;&#53944;\&#44305;&#50669;&#49345;&#49688;&#44288;%20&#51060;&#49444;%20&#44277;&#49324;_&#52404;&#53356;&#47532;&#49828;&#53944;.html" TargetMode="External"/><Relationship Id="rId146" Type="http://schemas.openxmlformats.org/officeDocument/2006/relationships/hyperlink" Target="&#47588;&#45684;&#50620;BODY(&#51665;&#54665;&#45800;&#44228;-&#52392;&#48512;&#54260;&#45908;)v8\3.&#51648;&#51109;&#47932;&#51060;&#49444;\26_&#49345;&#49688;&#46020;%20&#44288;&#47196;%20&#51060;&#49444;%20&#44277;&#49324;\&#49688;&#54665;&#51648;&#52840;\&#49345;&#49688;&#46020;%20&#44288;&#47196;%20&#51060;&#49444;%20&#44277;&#49324;_&#49688;&#54665;&#51648;&#52840;.html" TargetMode="External"/><Relationship Id="rId167" Type="http://schemas.openxmlformats.org/officeDocument/2006/relationships/hyperlink" Target="&#47588;&#45684;&#50620;BODY(&#51665;&#54665;&#45800;&#44228;-&#52392;&#48512;&#54260;&#45908;)v8\3.&#51648;&#51109;&#47932;&#51060;&#49444;\29_&#51648;&#50669;&#45212;&#48169;&#44288;%20&#51060;&#49444;%20&#44277;&#49324;\&#49688;&#54665;&#51648;&#52840;\&#49688;&#54665;&#51648;&#52840;.html" TargetMode="External"/><Relationship Id="rId7" Type="http://schemas.openxmlformats.org/officeDocument/2006/relationships/hyperlink" Target="&#47588;&#45684;&#50620;BODY(&#51665;&#54665;&#45800;&#44228;-&#52392;&#48512;&#54260;&#45908;)v8\3.&#51648;&#51109;&#47932;&#51060;&#49444;\2_&#48156;&#51452;&#51204;&#51201;%20KOM%20(&#46020;&#44553;&#51648;&#48516;)\&#54364;&#51456;&#49436;\&#48156;&#51452;&#51204;&#51201;%20KOM%20(&#46020;&#44553;&#51648;&#48516;)_&#54364;&#51456;&#49436;.html" TargetMode="External"/><Relationship Id="rId71" Type="http://schemas.openxmlformats.org/officeDocument/2006/relationships/hyperlink" Target="&#47588;&#45684;&#50620;BODY(&#51665;&#54665;&#45800;&#44228;-&#52392;&#48512;&#54260;&#45908;)v8\3.&#51648;&#51109;&#47932;&#51060;&#49444;\13_&#51060;&#49444;%20&#50948;&#52824;%20&#53664;&#44277;%20&#44404;&#52265;\&#49688;&#54665;&#51648;&#52840;\&#49688;&#54665;&#51648;&#52840;.html" TargetMode="External"/><Relationship Id="rId92" Type="http://schemas.openxmlformats.org/officeDocument/2006/relationships/hyperlink" Target="&#47588;&#45684;&#50620;BODY(&#51665;&#54665;&#45800;&#44228;-&#52392;&#48512;&#54260;&#45908;)v8\3.&#51648;&#51109;&#47932;&#51060;&#49444;\17_&#44592;&#51316;&#44288;&#47196;%20&#52384;&#44144;%20&#48143;%20&#50896;&#49345;&#48373;&#44396;\&#49688;&#54665;&#51648;&#52840;\&#44592;&#51316;&#44288;&#47196;%20&#52384;&#44144;%20&#48143;%20&#50896;&#49345;&#48373;&#44396;_&#49688;&#54665;&#51648;&#52840;.html" TargetMode="External"/><Relationship Id="rId162" Type="http://schemas.openxmlformats.org/officeDocument/2006/relationships/hyperlink" Target="&#47588;&#45684;&#50620;BODY(&#51665;&#54665;&#45800;&#44228;-&#52392;&#48512;&#54260;&#45908;)v8\3.&#51648;&#51109;&#47932;&#51060;&#49444;\28_&#49345;&#54616;&#49688;&#46020;%20&#51060;&#49444;%20&#51221;&#49328;%20&#44552;&#50529;%20&#44160;&#53664;\&#52404;&#53356;&#47532;&#49828;&#53944;\&#49345;&#54616;&#49688;&#46020;%20&#51060;&#49444;%20&#51221;&#49328;%20&#44552;&#50529;%20&#44160;&#53664;_&#52404;&#53356;&#47532;&#49828;&#53944;.html" TargetMode="External"/><Relationship Id="rId183" Type="http://schemas.openxmlformats.org/officeDocument/2006/relationships/hyperlink" Target="&#47588;&#45684;&#50620;BODY(&#51665;&#54665;&#45800;&#44228;-&#52392;&#48512;&#54260;&#45908;)v8\3.&#51648;&#51109;&#47932;&#51060;&#49444;\33_&#49345;&#54616;&#49688;&#46020;%20&#51060;&#49444;%20&#49884;&#44277;%20&#52572;&#51333;%20&#51216;&#44160;\&#52404;&#53356;&#47532;&#49828;&#53944;\&#50948;&#49688;&#53441;%20&#51648;&#54616;&#51648;&#51109;&#47932;%20&#51060;&#49444;%20&#52572;&#51333;%20&#51216;&#44160;_&#52404;&#53356;&#47532;&#49828;&#53944;.html" TargetMode="External"/><Relationship Id="rId2" Type="http://schemas.openxmlformats.org/officeDocument/2006/relationships/hyperlink" Target="&#47588;&#45684;&#50620;BODY(&#51665;&#54665;&#45800;&#44228;-&#52392;&#48512;&#54260;&#45908;)v8\3.&#51648;&#51109;&#47932;&#51060;&#49444;\1_Site%20Survey%20Risk%20&#44160;&#53664;\&#49688;&#54665;&#51648;&#52840;\1_Site%20Survey%20Risk%20&#44160;&#53664;_&#49688;&#54665;&#51648;&#52840;.html" TargetMode="External"/><Relationship Id="rId29" Type="http://schemas.openxmlformats.org/officeDocument/2006/relationships/hyperlink" Target="&#47588;&#45684;&#50620;BODY(&#51665;&#54665;&#45800;&#44228;-&#52392;&#48512;&#54260;&#45908;)v8\3.&#51648;&#51109;&#47932;&#51060;&#49444;\6_&#51648;&#51109;&#47932;%20&#51060;&#49444;%20&#44228;&#54925;%20&#49688;&#47549;\&#49688;&#54665;&#51648;&#52840;\&#49688;&#54665;&#51648;&#52840;.html" TargetMode="External"/><Relationship Id="rId24" Type="http://schemas.openxmlformats.org/officeDocument/2006/relationships/hyperlink" Target="&#47588;&#45684;&#50620;BODY(&#51665;&#54665;&#45800;&#44228;-&#52392;&#48512;&#54260;&#45908;)v8\3.&#51648;&#51109;&#47932;&#51060;&#49444;\5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3.&#51648;&#51109;&#47932;&#51060;&#49444;\8_&#52265;&#49688;&#51204;%20Big%20Room%20&#54924;&#51032;\&#54364;&#51456;&#49436;\8_&#52265;&#49688;&#51204;%20Big%20Room%20&#54924;&#51032;_&#54364;&#51456;&#49436;.html" TargetMode="External"/><Relationship Id="rId45" Type="http://schemas.openxmlformats.org/officeDocument/2006/relationships/hyperlink" Target="&#47588;&#45684;&#50620;BODY(&#51665;&#54665;&#45800;&#44228;-&#52392;&#48512;&#54260;&#45908;)v8\3.&#51648;&#51109;&#47932;&#51060;&#49444;\9_&#50948;&#49688;&#53441;%20&#44228;&#50557;%20&#52404;&#44208;\&#52404;&#53356;&#47532;&#49828;&#53944;\&#50948;&#49688;&#53441;%20&#44228;&#50557;%20&#52404;&#44208;_&#52404;&#53356;&#47532;&#49828;&#53944;.html" TargetMode="External"/><Relationship Id="rId66" Type="http://schemas.openxmlformats.org/officeDocument/2006/relationships/hyperlink" Target="&#47588;&#45684;&#50620;BODY(&#51665;&#54665;&#45800;&#44228;-&#52392;&#48512;&#54260;&#45908;)v8\3.&#51648;&#51109;&#47932;&#51060;&#49444;\12_&#51460;&#46384;&#44592;(GPR)&#47484;%20&#53685;&#54620;%20&#44592;&#51316;%20&#51648;&#51109;&#47932;%20&#47588;&#49444;%20&#54869;&#51064;\&#52404;&#53356;&#47532;&#49828;&#53944;\&#51460;&#46384;&#44592;(GPR)&#47484;%20&#53685;&#54620;%20&#44592;&#51316;%20&#51648;&#51109;&#47932;%20&#47588;&#49444;%20&#54869;&#51064;_&#52404;&#53356;&#47532;&#49828;&#53944;.html" TargetMode="External"/><Relationship Id="rId87" Type="http://schemas.openxmlformats.org/officeDocument/2006/relationships/hyperlink" Target="&#47588;&#45684;&#50620;BODY(&#51665;&#54665;&#45800;&#44228;-&#52392;&#48512;&#54260;&#45908;)v8\3.&#51648;&#51109;&#47932;&#51060;&#49444;\16_&#49888;&#44508;&#44288;&#47196;%20&#48143;%20&#50672;&#44208;&#44288;&#47196;%20&#51217;&#49549;\&#52404;&#53356;&#47532;&#49828;&#53944;\&#49888;&#44508;&#44288;&#47196;%20&#48143;%20&#50672;&#44208;&#44288;&#47196;%20&#51217;&#49549;_&#52404;&#53356;&#47532;&#49828;&#53944;.html" TargetMode="External"/><Relationship Id="rId110" Type="http://schemas.openxmlformats.org/officeDocument/2006/relationships/hyperlink" Target="&#47588;&#45684;&#50620;BODY(&#51665;&#54665;&#45800;&#44228;-&#52392;&#48512;&#54260;&#45908;)v8\3.&#51648;&#51109;&#47932;&#51060;&#49444;\20_&#51060;&#49444;%20&#50948;&#52824;%20&#53664;&#44277;%20&#44404;&#52265;\&#49688;&#54665;&#51648;&#52840;\&#49688;&#54665;&#51648;&#52840;.html" TargetMode="External"/><Relationship Id="rId115" Type="http://schemas.openxmlformats.org/officeDocument/2006/relationships/hyperlink" Target="&#47588;&#45684;&#50620;BODY(&#51665;&#54665;&#45800;&#44228;-&#52392;&#48512;&#54260;&#45908;)v8\3.&#51648;&#51109;&#47932;&#51060;&#49444;\21_&#46020;&#49884;&#44032;&#49828;&#44288;%20&#51060;&#49444;%20&#44277;&#49324;\&#54364;&#51456;&#49436;\&#46020;&#49884;&#44032;&#49828;&#44288;%20&#51060;&#49444;%20&#44277;&#49324;_&#54364;&#51456;&#49436;.html" TargetMode="External"/><Relationship Id="rId131" Type="http://schemas.openxmlformats.org/officeDocument/2006/relationships/hyperlink" Target="&#47588;&#45684;&#50620;BODY(&#51665;&#54665;&#45800;&#44228;-&#52392;&#48512;&#54260;&#45908;)v8\3.&#51648;&#51109;&#47932;&#51060;&#49444;\23_&#53685;&#49888;&#44288;&#47196;%20&#48143;%20&#52992;&#51060;&#48660;%20&#51060;&#49444;%20&#44277;&#49324;\&#49688;&#54665;&#51648;&#52840;\&#49688;&#54665;&#51648;&#52840;.html" TargetMode="External"/><Relationship Id="rId136" Type="http://schemas.openxmlformats.org/officeDocument/2006/relationships/hyperlink" Target="&#47588;&#45684;&#50620;BODY(&#51665;&#54665;&#45800;&#44228;-&#52392;&#48512;&#54260;&#45908;)v8\3.&#51648;&#51109;&#47932;&#51060;&#49444;\24_&#53945;&#44256;&#50517;%20&#51204;&#47141;&#44288;&#47196;%20&#51060;&#49444;%20&#44277;&#49324;\&#54364;&#51456;&#49436;\&#53945;&#44256;&#50517;%20&#51204;&#47141;&#44288;&#47196;%20&#51060;&#49444;%20&#44277;&#49324;_&#54364;&#51456;&#49436;.html" TargetMode="External"/><Relationship Id="rId157" Type="http://schemas.openxmlformats.org/officeDocument/2006/relationships/hyperlink" Target="&#47588;&#45684;&#50620;BODY(&#51665;&#54665;&#45800;&#44228;-&#52392;&#48512;&#54260;&#45908;)v8\3.&#51648;&#51109;&#47932;&#51060;&#49444;\28_&#46020;&#49884;&#44032;&#49828;&#44288;%20&#51060;&#49444;%20&#44277;&#49324;\&#54364;&#51456;&#49436;\28_&#46020;&#49884;&#44032;&#49828;&#44288;%20&#51060;&#49444;%20&#44277;&#49324;_&#54364;&#51456;&#49436;.html" TargetMode="External"/><Relationship Id="rId178" Type="http://schemas.openxmlformats.org/officeDocument/2006/relationships/hyperlink" Target="&#47588;&#45684;&#50620;BODY(&#51665;&#54665;&#45800;&#44228;-&#52392;&#48512;&#54260;&#45908;)v8\3.&#51648;&#51109;&#47932;&#51060;&#49444;\32_&#49569;&#50976;&#44288;%20&#51060;&#49444;%20&#44277;&#49324;\&#54364;&#51456;&#49436;\32_&#49569;&#50976;&#44288;%20&#51060;&#49444;%20&#44277;&#49324;_&#54364;&#51456;&#49436;.html" TargetMode="External"/><Relationship Id="rId61" Type="http://schemas.openxmlformats.org/officeDocument/2006/relationships/hyperlink" Target="&#47588;&#45684;&#50620;BODY(&#51665;&#54665;&#45800;&#44228;-&#52392;&#48512;&#54260;&#45908;)v8\3.&#51648;&#51109;&#47932;&#51060;&#49444;\12_&#50857;&#51648;&#48372;&#49345;%20Risk%20&#54028;&#50501;\&#54364;&#51456;&#49436;\12_&#50857;&#51648;&#48372;&#49345;%20Risk%20&#54028;&#50501;_&#54364;&#51456;&#49436;.html" TargetMode="External"/><Relationship Id="rId82" Type="http://schemas.openxmlformats.org/officeDocument/2006/relationships/hyperlink" Target="&#47588;&#45684;&#50620;BODY(&#51665;&#54665;&#45800;&#44228;-&#52392;&#48512;&#54260;&#45908;)v8\3.&#51648;&#51109;&#47932;&#51060;&#49444;\15_&#49345;&#54616;&#49688;&#46020;%20&#51060;&#49444;&#44228;&#54925;%20&#49892;&#51221;&#48372;&#44256;\&#54364;&#51456;&#49436;\15_&#49345;&#54616;&#49688;&#46020;%20&#51060;&#49444;&#44228;&#54925;%20&#49892;&#51221;&#48372;&#44256;_&#54364;&#51456;&#49436;.html" TargetMode="External"/><Relationship Id="rId152" Type="http://schemas.openxmlformats.org/officeDocument/2006/relationships/hyperlink" Target="&#47588;&#45684;&#50620;BODY(&#51665;&#54665;&#45800;&#44228;-&#52392;&#48512;&#54260;&#45908;)v8\3.&#51648;&#51109;&#47932;&#51060;&#49444;\27_&#50948;&#49688;&#53441;%20&#51648;&#54616;&#51648;&#51109;&#47932;%20&#51060;&#49444;%20&#52572;&#51333;%20&#51216;&#44160;\&#49688;&#54665;&#51648;&#52840;\&#49688;&#54665;&#51648;&#52840;.html" TargetMode="External"/><Relationship Id="rId173" Type="http://schemas.openxmlformats.org/officeDocument/2006/relationships/hyperlink" Target="&#47588;&#45684;&#50620;BODY(&#51665;&#54665;&#45800;&#44228;-&#52392;&#48512;&#54260;&#45908;)v8\3.&#51648;&#51109;&#47932;&#51060;&#49444;\30_&#53685;&#49888;&#44288;&#47196;%20&#48143;%20&#52992;&#51060;&#48660;%20&#51060;&#49444;%20&#44277;&#49324;\&#49688;&#54665;&#51648;&#52840;\&#49688;&#54665;&#51648;&#52840;.html" TargetMode="External"/><Relationship Id="rId19" Type="http://schemas.openxmlformats.org/officeDocument/2006/relationships/hyperlink" Target="&#47588;&#45684;&#50620;BODY(&#51665;&#54665;&#45800;&#44228;-&#52392;&#48512;&#54260;&#45908;)v8\3.&#51648;&#51109;&#47932;&#51060;&#49444;\5_&#51648;&#51109;&#47932;%20&#51312;&#49324;%20(&#50948;&#53441;&#44592;&#44288;%20&#54633;&#46041;)\&#54364;&#51456;&#49436;\5_&#51648;&#51109;&#47932;%20&#51312;&#49324;%20(&#50948;&#53441;&#44592;&#44288;%20&#54633;&#46041;)_&#54364;&#51456;&#49436;.html" TargetMode="External"/><Relationship Id="rId14" Type="http://schemas.openxmlformats.org/officeDocument/2006/relationships/hyperlink" Target="&#47588;&#45684;&#50620;BODY(&#51665;&#54665;&#45800;&#44228;-&#52392;&#48512;&#54260;&#45908;)v8\3.&#51648;&#51109;&#47932;&#51060;&#49444;\4_&#46020;&#44553;&#51088;&#48516;%20&#51060;&#49444;&#50629;&#52404;%20&#49440;&#51221;(&#49345;_&#54616;&#49688;)\&#49688;&#54665;&#51648;&#52840;\4_&#46020;&#44553;&#51088;&#48516;%20&#51060;&#49444;&#50629;&#52404;%20&#49440;&#51221;(&#49345;_&#54616;&#49688;)_&#49688;&#54665;&#51648;&#52840;.html" TargetMode="External"/><Relationship Id="rId30" Type="http://schemas.openxmlformats.org/officeDocument/2006/relationships/hyperlink" Target="&#47588;&#45684;&#50620;BODY(&#51665;&#54665;&#45800;&#44228;-&#52392;&#48512;&#54260;&#45908;)v8\3.&#51648;&#51109;&#47932;&#51060;&#49444;\6_&#51648;&#51109;&#47932;%20&#51060;&#49444;%20&#44228;&#54925;%20&#49688;&#47549;\&#52404;&#53356;&#47532;&#49828;&#53944;\&#51648;&#51109;&#47932;%20&#51060;&#49444;%20&#44228;&#54925;%20&#49688;&#47549;_&#52404;&#53356;&#47532;&#49828;&#53944;.html" TargetMode="External"/><Relationship Id="rId35" Type="http://schemas.openxmlformats.org/officeDocument/2006/relationships/hyperlink" Target="&#47588;&#45684;&#50620;BODY(&#51665;&#54665;&#45800;&#44228;-&#52392;&#48512;&#54260;&#45908;)v8\3.&#51648;&#51109;&#47932;&#51060;&#49444;\7_&#52572;&#44256;&#51032;%20&#54016;%20&#47564;&#46308;&#44592;%20&#51648;&#50896;\&#49688;&#54665;&#51648;&#52840;\7_&#52572;&#44256;&#51032;%20&#54016;%20&#47564;&#46308;&#44592;%20&#51648;&#50896;_&#49688;&#54665;&#51648;&#52840;.html" TargetMode="External"/><Relationship Id="rId56" Type="http://schemas.openxmlformats.org/officeDocument/2006/relationships/hyperlink" Target="&#47588;&#45684;&#50620;BODY(&#51665;&#54665;&#45800;&#44228;-&#52392;&#48512;&#54260;&#45908;)v8\3.&#51648;&#51109;&#47932;&#51060;&#49444;\11_&#44368;&#53685;&#53685;&#51228;%20&#48143;%20&#44368;&#53685;&#50504;&#51204;&#49884;&#49444;%20&#49444;&#52824;\&#49688;&#54665;&#51648;&#52840;\&#44368;&#53685;&#53685;&#51228;%20&#48143;%20&#44368;&#53685;&#50504;&#51204;&#49884;&#49444;%20&#49444;&#52824;_&#49688;&#54665;&#51648;&#52840;.html" TargetMode="External"/><Relationship Id="rId77" Type="http://schemas.openxmlformats.org/officeDocument/2006/relationships/hyperlink" Target="&#47588;&#45684;&#50620;BODY(&#51665;&#54665;&#45800;&#44228;-&#52392;&#48512;&#54260;&#45908;)v8\3.&#51648;&#51109;&#47932;&#51060;&#49444;\14_&#50948;&#49688;&#53441;%20&#51648;&#51109;&#47932;%20&#51060;&#49444;%20&#49444;&#44228;\&#49688;&#54665;&#51648;&#52840;\&#49688;&#54665;&#51648;&#52840;.html" TargetMode="External"/><Relationship Id="rId100" Type="http://schemas.openxmlformats.org/officeDocument/2006/relationships/hyperlink" Target="&#47588;&#45684;&#50620;BODY(&#51665;&#54665;&#45800;&#44228;-&#52392;&#48512;&#54260;&#45908;)v8\3.&#51648;&#51109;&#47932;&#51060;&#49444;\18_&#44368;&#53685;&#53685;&#51228;%20&#48143;%20&#44368;&#53685;&#50504;&#51204;&#49884;&#49444;%20&#49444;&#52824;\&#54364;&#51456;&#49436;\18_&#44368;&#53685;&#53685;&#51228;%20&#48143;%20&#44368;&#53685;&#50504;&#51204;&#49884;&#49444;%20&#49444;&#52824;_&#54364;&#51456;&#49436;.html" TargetMode="External"/><Relationship Id="rId105" Type="http://schemas.openxmlformats.org/officeDocument/2006/relationships/hyperlink" Target="&#47588;&#45684;&#50620;BODY(&#51665;&#54665;&#45800;&#44228;-&#52392;&#48512;&#54260;&#45908;)v8\3.&#51648;&#51109;&#47932;&#51060;&#49444;\19_&#49345;&#49688;&#46020;%20&#44288;&#47196;%20&#51060;&#49444;%20&#44277;&#49324;\&#52404;&#53356;&#47532;&#49828;&#53944;\&#49345;&#49688;&#46020;%20&#44288;&#47196;%20&#51060;&#49444;%20&#44277;&#49324;_&#52404;&#53356;&#47532;&#49828;&#53944;.html" TargetMode="External"/><Relationship Id="rId126" Type="http://schemas.openxmlformats.org/officeDocument/2006/relationships/hyperlink" Target="&#47588;&#45684;&#50620;BODY(&#51665;&#54665;&#45800;&#44228;-&#52392;&#48512;&#54260;&#45908;)v8\3.&#51648;&#51109;&#47932;&#51060;&#49444;\22_&#51648;&#50669;&#45212;&#48169;&#44288;%20&#51060;&#49444;%20&#44277;&#49324;\&#52404;&#53356;&#47532;&#49828;&#53944;\&#51648;&#50669;&#45212;&#48169;&#44288;%20&#51060;&#49444;%20&#44277;&#49324;_&#52404;&#53356;&#47532;&#49828;&#53944;.html" TargetMode="External"/><Relationship Id="rId147" Type="http://schemas.openxmlformats.org/officeDocument/2006/relationships/hyperlink" Target="&#47588;&#45684;&#50620;BODY(&#51665;&#54665;&#45800;&#44228;-&#52392;&#48512;&#54260;&#45908;)v8\3.&#51648;&#51109;&#47932;&#51060;&#49444;\26_&#49345;&#49688;&#46020;%20&#44288;&#47196;%20&#51060;&#49444;%20&#44277;&#49324;\&#52404;&#53356;&#47532;&#49828;&#53944;\&#49345;&#49688;&#46020;%20&#44288;&#47196;%20&#51060;&#49444;%20&#44277;&#49324;_&#52404;&#53356;&#47532;&#49828;&#53944;.html" TargetMode="External"/><Relationship Id="rId168" Type="http://schemas.openxmlformats.org/officeDocument/2006/relationships/hyperlink" Target="&#47588;&#45684;&#50620;BODY(&#51665;&#54665;&#45800;&#44228;-&#52392;&#48512;&#54260;&#45908;)v8\3.&#51648;&#51109;&#47932;&#51060;&#49444;\29_&#51648;&#50669;&#45212;&#48169;&#44288;%20&#51060;&#49444;%20&#44277;&#49324;\&#52404;&#53356;&#47532;&#49828;&#53944;\&#51648;&#50669;&#45212;&#48169;&#44288;%20&#51060;&#49444;%20&#44277;&#49324;_&#52404;&#53356;&#47532;&#49828;&#53944;.html" TargetMode="External"/><Relationship Id="rId8" Type="http://schemas.openxmlformats.org/officeDocument/2006/relationships/hyperlink" Target="&#47588;&#45684;&#50620;BODY(&#51665;&#54665;&#45800;&#44228;-&#52392;&#48512;&#54260;&#45908;)v8\3.&#51648;&#51109;&#47932;&#51060;&#49444;\2_&#48156;&#51452;&#51204;&#51201;%20KOM%20(&#46020;&#44553;&#51648;&#48516;)\&#49688;&#54665;&#51648;&#52840;\&#48156;&#51452;&#51204;&#51201;%20KOM%20(&#46020;&#44553;&#51648;&#48516;)_&#49688;&#54665;&#51648;&#52840;.html" TargetMode="External"/><Relationship Id="rId51" Type="http://schemas.openxmlformats.org/officeDocument/2006/relationships/hyperlink" Target="&#47588;&#45684;&#50620;BODY(&#51665;&#54665;&#45800;&#44228;-&#52392;&#48512;&#54260;&#45908;)v8\3.&#51648;&#51109;&#47932;&#51060;&#49444;\10_&#44368;&#53685;&#52376;&#47532;&#45824;&#52293;%20&#54801;&#51032;%20&#48143;%20&#49849;&#51064;\&#52404;&#53356;&#47532;&#49828;&#53944;\10_&#44368;&#53685;&#52376;&#47532;&#45824;&#52293;%20&#54801;&#51032;%20&#48143;%20&#49849;&#51064;_&#52404;&#53356;&#47532;&#49828;&#53944;.html" TargetMode="External"/><Relationship Id="rId72" Type="http://schemas.openxmlformats.org/officeDocument/2006/relationships/hyperlink" Target="&#47588;&#45684;&#50620;BODY(&#51665;&#54665;&#45800;&#44228;-&#52392;&#48512;&#54260;&#45908;)v8\3.&#51648;&#51109;&#47932;&#51060;&#49444;\13_&#51060;&#49444;%20&#50948;&#52824;%20&#53664;&#44277;%20&#44404;&#52265;\&#52404;&#53356;&#47532;&#49828;&#53944;\&#51060;&#49444;%20&#50948;&#52824;%20&#53664;&#44277;%20&#44404;&#52265;_&#52404;&#53356;&#47532;&#49828;&#53944;.html" TargetMode="External"/><Relationship Id="rId93" Type="http://schemas.openxmlformats.org/officeDocument/2006/relationships/hyperlink" Target="&#47588;&#45684;&#50620;BODY(&#51665;&#54665;&#45800;&#44228;-&#52392;&#48512;&#54260;&#45908;)v8\3.&#51648;&#51109;&#47932;&#51060;&#49444;\17_&#44592;&#51316;&#44288;&#47196;%20&#52384;&#44144;%20&#48143;%20&#50896;&#49345;&#48373;&#44396;\&#52404;&#53356;&#47532;&#49828;&#53944;\&#44592;&#51316;&#44288;&#47196;%20&#52384;&#44144;%20&#48143;%20&#50896;&#49345;&#48373;&#44396;_&#52404;&#53356;&#47532;&#49828;&#53944;.html" TargetMode="External"/><Relationship Id="rId98" Type="http://schemas.openxmlformats.org/officeDocument/2006/relationships/hyperlink" Target="&#47588;&#45684;&#50620;BODY(&#51665;&#54665;&#45800;&#44228;-&#52392;&#48512;&#54260;&#45908;)v8\3.&#51648;&#51109;&#47932;&#51060;&#49444;\18_&#44305;&#50669;&#49345;&#49688;&#44288;%20&#51060;&#49444;%20&#44277;&#49324;\&#49688;&#54665;&#51648;&#52840;\&#44305;&#50669;&#49345;&#49688;&#44288;%20&#51060;&#49444;%20&#44277;&#49324;_&#49688;&#54665;&#51648;&#52840;.html" TargetMode="External"/><Relationship Id="rId121" Type="http://schemas.openxmlformats.org/officeDocument/2006/relationships/hyperlink" Target="&#47588;&#45684;&#50620;BODY(&#51665;&#54665;&#45800;&#44228;-&#52392;&#48512;&#54260;&#45908;)v8\3.&#51648;&#51109;&#47932;&#51060;&#49444;\22_&#47924;&#45800;&#49688;%20&#50672;&#44208;&#51012;%20&#50948;&#54620;%20&#49884;&#49444;%20&#49444;&#52824;\&#54364;&#51456;&#49436;\22_&#47924;&#45800;&#49688;%20&#50672;&#44208;&#51012;%20&#50948;&#54620;%20&#49884;&#49444;%20&#49444;&#52824;_&#54364;&#51456;&#49436;.html" TargetMode="External"/><Relationship Id="rId142" Type="http://schemas.openxmlformats.org/officeDocument/2006/relationships/hyperlink" Target="&#47588;&#45684;&#50620;BODY(&#51665;&#54665;&#45800;&#44228;-&#52392;&#48512;&#54260;&#45908;)v8\3.&#51648;&#51109;&#47932;&#51060;&#49444;\25_&#49569;&#50976;&#44288;%20&#51060;&#49444;%20&#44277;&#49324;\&#54364;&#51456;&#49436;\&#49569;&#50976;&#44288;%20&#51060;&#49444;%20&#44277;&#49324;_&#54364;&#51456;&#49436;.html" TargetMode="External"/><Relationship Id="rId163" Type="http://schemas.openxmlformats.org/officeDocument/2006/relationships/hyperlink" Target="&#47588;&#45684;&#50620;BODY(&#51665;&#54665;&#45800;&#44228;-&#52392;&#48512;&#54260;&#45908;)v8\3.&#51648;&#51109;&#47932;&#51060;&#49444;\29_&#50948;&#49688;&#53441;%20&#52376;&#47532;%20&#51221;&#49328;&#44552;&#50529;%20&#51648;&#44553;\&#54364;&#51456;&#49436;\&#50948;&#49688;&#53441;%20&#52376;&#47532;%20&#51221;&#49328;&#44552;&#50529;%20&#51648;&#44553;_&#54364;&#51456;&#49436;.html" TargetMode="External"/><Relationship Id="rId184" Type="http://schemas.openxmlformats.org/officeDocument/2006/relationships/printerSettings" Target="../printerSettings/printerSettings3.bin"/><Relationship Id="rId3" Type="http://schemas.openxmlformats.org/officeDocument/2006/relationships/hyperlink" Target="&#47588;&#45684;&#50620;BODY(&#51665;&#54665;&#45800;&#44228;-&#52392;&#48512;&#54260;&#45908;)v8\3.&#51648;&#51109;&#47932;&#51060;&#49444;\1_Site%20Survey%20Risk%20&#44160;&#53664;\&#52404;&#53356;&#47532;&#49828;&#53944;\1_Site%20Survey%20Risk%20&#44160;&#53664;_&#52404;&#53356;&#47532;&#49828;&#53944;.html" TargetMode="External"/><Relationship Id="rId25" Type="http://schemas.openxmlformats.org/officeDocument/2006/relationships/hyperlink" Target="&#47588;&#45684;&#50620;BODY(&#51665;&#54665;&#45800;&#44228;-&#52392;&#48512;&#54260;&#45908;)v8\3.&#51648;&#51109;&#47932;&#51060;&#49444;\6_&#44288;&#47532;&#44592;&#44288;(&#47569;&#51008;&#47932;&#49324;&#50629;&#49548;)%20&#54801;&#51032;\&#54364;&#51456;&#49436;\&#44288;&#47532;&#44592;&#44288;(&#47569;&#51008;&#47932;&#49324;&#50629;&#49548;)%20&#54801;&#51032;_&#54364;&#51456;&#49436;.html" TargetMode="External"/><Relationship Id="rId46" Type="http://schemas.openxmlformats.org/officeDocument/2006/relationships/hyperlink" Target="&#47588;&#45684;&#50620;BODY(&#51665;&#54665;&#45800;&#44228;-&#52392;&#48512;&#54260;&#45908;)v8\3.&#51648;&#51109;&#47932;&#51060;&#49444;\9_&#51064;&#54728;&#44032;%20&#51208;&#52264;%20&#51652;&#54665;\&#54364;&#51456;&#49436;\9_&#51064;&#54728;&#44032;%20&#51208;&#52264;%20&#51652;&#54665;_&#54364;&#51456;&#49436;.html" TargetMode="External"/><Relationship Id="rId67" Type="http://schemas.openxmlformats.org/officeDocument/2006/relationships/hyperlink" Target="&#47588;&#45684;&#50620;BODY(&#51665;&#54665;&#45800;&#44228;-&#52392;&#48512;&#54260;&#45908;)v8\3.&#51648;&#51109;&#47932;&#51060;&#49444;\13_&#44288;&#47532;&#44592;&#44288;(&#47569;&#51008;&#47932;&#49324;&#50629;&#49548;)%20&#54801;&#51032;\&#54364;&#51456;&#49436;\13_&#44288;&#47532;&#44592;&#44288;(&#47569;&#51008;&#47932;&#49324;&#50629;&#49548;)%20&#54801;&#51032;_&#54364;&#51456;&#49436;.html" TargetMode="External"/><Relationship Id="rId116" Type="http://schemas.openxmlformats.org/officeDocument/2006/relationships/hyperlink" Target="&#47588;&#45684;&#50620;BODY(&#51665;&#54665;&#45800;&#44228;-&#52392;&#48512;&#54260;&#45908;)v8\3.&#51648;&#51109;&#47932;&#51060;&#49444;\21_&#46020;&#49884;&#44032;&#49828;&#44288;%20&#51060;&#49444;%20&#44277;&#49324;\&#49688;&#54665;&#51648;&#52840;\&#46020;&#49884;&#44032;&#49828;&#44288;%20&#51060;&#49444;%20&#44277;&#49324;_&#49688;&#54665;&#51648;&#52840;.html" TargetMode="External"/><Relationship Id="rId137" Type="http://schemas.openxmlformats.org/officeDocument/2006/relationships/hyperlink" Target="&#47588;&#45684;&#50620;BODY(&#51665;&#54665;&#45800;&#44228;-&#52392;&#48512;&#54260;&#45908;)v8\3.&#51648;&#51109;&#47932;&#51060;&#49444;\24_&#53945;&#44256;&#50517;%20&#51204;&#47141;&#44288;&#47196;%20&#51060;&#49444;%20&#44277;&#49324;\&#49688;&#54665;&#51648;&#52840;\&#49688;&#54665;&#51648;&#52840;.html" TargetMode="External"/><Relationship Id="rId158" Type="http://schemas.openxmlformats.org/officeDocument/2006/relationships/hyperlink" Target="&#47588;&#45684;&#50620;BODY(&#51665;&#54665;&#45800;&#44228;-&#52392;&#48512;&#54260;&#45908;)v8\3.&#51648;&#51109;&#47932;&#51060;&#49444;\28_&#46020;&#49884;&#44032;&#49828;&#44288;%20&#51060;&#49444;%20&#44277;&#49324;\&#49688;&#54665;&#51648;&#52840;\&#46020;&#49884;&#44032;&#49828;&#44288;%20&#51060;&#49444;%20&#44277;&#49324;_&#49688;&#54665;&#51648;&#52840;.html" TargetMode="External"/><Relationship Id="rId20" Type="http://schemas.openxmlformats.org/officeDocument/2006/relationships/hyperlink" Target="&#47588;&#45684;&#50620;BODY(&#51665;&#54665;&#45800;&#44228;-&#52392;&#48512;&#54260;&#45908;)v8\3.&#51648;&#51109;&#47932;&#51060;&#49444;\5_&#51648;&#51109;&#47932;%20&#51312;&#49324;%20(&#50948;&#53441;&#44592;&#44288;%20&#54633;&#46041;)\&#49688;&#54665;&#51648;&#52840;\5_&#51648;&#51109;&#47932;%20&#51312;&#49324;%20(&#50948;&#53441;&#44592;&#44288;%20&#54633;&#46041;)_&#49688;&#54665;&#51648;&#52840;.html" TargetMode="External"/><Relationship Id="rId41" Type="http://schemas.openxmlformats.org/officeDocument/2006/relationships/hyperlink" Target="&#47588;&#45684;&#50620;BODY(&#51665;&#54665;&#45800;&#44228;-&#52392;&#48512;&#54260;&#45908;)v8\3.&#51648;&#51109;&#47932;&#51060;&#49444;\8_&#52265;&#49688;&#51204;%20Big%20Room%20&#54924;&#51032;\&#49688;&#54665;&#51648;&#52840;\8_&#52265;&#49688;&#51204;%20Big%20Room%20&#54924;&#51032;_&#49688;&#54665;&#51648;&#52840;.html" TargetMode="External"/><Relationship Id="rId62" Type="http://schemas.openxmlformats.org/officeDocument/2006/relationships/hyperlink" Target="&#47588;&#45684;&#50620;BODY(&#51665;&#54665;&#45800;&#44228;-&#52392;&#48512;&#54260;&#45908;)v8\3.&#51648;&#51109;&#47932;&#51060;&#49444;\12_&#50857;&#51648;&#48372;&#49345;%20Risk%20&#54028;&#50501;\&#49688;&#54665;&#51648;&#52840;\12_&#50857;&#51648;&#48372;&#49345;%20Risk%20&#54028;&#50501;_&#49688;&#54665;&#51648;&#52840;.html" TargetMode="External"/><Relationship Id="rId83" Type="http://schemas.openxmlformats.org/officeDocument/2006/relationships/hyperlink" Target="&#47588;&#45684;&#50620;BODY(&#51665;&#54665;&#45800;&#44228;-&#52392;&#48512;&#54260;&#45908;)v8\3.&#51648;&#51109;&#47932;&#51060;&#49444;\15_&#49345;&#54616;&#49688;&#46020;%20&#51060;&#49444;&#44228;&#54925;%20&#49892;&#51221;&#48372;&#44256;\&#49688;&#54665;&#51648;&#52840;\&#49345;&#54616;&#49688;&#46020;%20&#51060;&#49444;&#44228;&#54925;%20&#49892;&#51221;&#48372;&#44256;_&#49688;&#54665;&#51648;&#52840;.html" TargetMode="External"/><Relationship Id="rId88" Type="http://schemas.openxmlformats.org/officeDocument/2006/relationships/hyperlink" Target="&#47588;&#45684;&#50620;BODY(&#51665;&#54665;&#45800;&#44228;-&#52392;&#48512;&#54260;&#45908;)v8\3.&#51648;&#51109;&#47932;&#51060;&#49444;\16_&#50948;&#49688;&#53441;%20&#44228;&#50557;%20&#52404;&#44208;\&#54364;&#51456;&#49436;\16_&#50948;&#49688;&#53441;%20&#44228;&#50557;%20&#52404;&#44208;_&#54364;&#51456;&#49436;.html" TargetMode="External"/><Relationship Id="rId111" Type="http://schemas.openxmlformats.org/officeDocument/2006/relationships/hyperlink" Target="&#47588;&#45684;&#50620;BODY(&#51665;&#54665;&#45800;&#44228;-&#52392;&#48512;&#54260;&#45908;)v8\3.&#51648;&#51109;&#47932;&#51060;&#49444;\20_&#51060;&#49444;%20&#50948;&#52824;%20&#53664;&#44277;%20&#44404;&#52265;\&#52404;&#53356;&#47532;&#49828;&#53944;\&#51060;&#49444;%20&#50948;&#52824;%20&#53664;&#44277;%20&#44404;&#52265;_&#52404;&#53356;&#47532;&#49828;&#53944;.html" TargetMode="External"/><Relationship Id="rId132" Type="http://schemas.openxmlformats.org/officeDocument/2006/relationships/hyperlink" Target="&#47588;&#45684;&#50620;BODY(&#51665;&#54665;&#45800;&#44228;-&#52392;&#48512;&#54260;&#45908;)v8\3.&#51648;&#51109;&#47932;&#51060;&#49444;\23_&#53685;&#49888;&#44288;&#47196;%20&#48143;%20&#52992;&#51060;&#48660;%20&#51060;&#49444;%20&#44277;&#49324;\&#52404;&#53356;&#47532;&#49828;&#53944;\&#53685;&#49888;&#44288;&#47196;%20&#48143;%20&#52992;&#51060;&#48660;%20&#51060;&#49444;%20&#44277;&#49324;_&#52404;&#53356;&#47532;&#49828;&#53944;.html" TargetMode="External"/><Relationship Id="rId153" Type="http://schemas.openxmlformats.org/officeDocument/2006/relationships/hyperlink" Target="&#47588;&#45684;&#50620;BODY(&#51665;&#54665;&#45800;&#44228;-&#52392;&#48512;&#54260;&#45908;)v8\3.&#51648;&#51109;&#47932;&#51060;&#49444;\27_&#50948;&#49688;&#53441;%20&#51648;&#54616;&#51648;&#51109;&#47932;%20&#51060;&#49444;%20&#52572;&#51333;%20&#51216;&#44160;\&#52404;&#53356;&#47532;&#49828;&#53944;\&#50948;&#49688;&#53441;%20&#51648;&#54616;&#51648;&#51109;&#47932;%20&#51060;&#49444;%20&#52572;&#51333;%20&#51216;&#44160;_&#52404;&#53356;&#47532;&#49828;&#53944;.html" TargetMode="External"/><Relationship Id="rId174" Type="http://schemas.openxmlformats.org/officeDocument/2006/relationships/hyperlink" Target="&#47588;&#45684;&#50620;BODY(&#51665;&#54665;&#45800;&#44228;-&#52392;&#48512;&#54260;&#45908;)v8\3.&#51648;&#51109;&#47932;&#51060;&#49444;\30_&#53685;&#49888;&#44288;&#47196;%20&#48143;%20&#52992;&#51060;&#48660;%20&#51060;&#49444;%20&#44277;&#49324;\&#52404;&#53356;&#47532;&#49828;&#53944;\&#53685;&#49888;&#44288;&#47196;%20&#48143;%20&#52992;&#51060;&#48660;%20&#51060;&#49444;%20&#44277;&#49324;_&#52404;&#53356;&#47532;&#49828;&#53944;.html" TargetMode="External"/><Relationship Id="rId179" Type="http://schemas.openxmlformats.org/officeDocument/2006/relationships/hyperlink" Target="&#47588;&#45684;&#50620;BODY(&#51665;&#54665;&#45800;&#44228;-&#52392;&#48512;&#54260;&#45908;)v8\3.&#51648;&#51109;&#47932;&#51060;&#49444;\32_&#49569;&#50976;&#44288;%20&#51060;&#49444;%20&#44277;&#49324;\&#49688;&#54665;&#51648;&#52840;\&#49345;&#54616;&#49688;&#46020;%20&#51060;&#49444;%20&#49884;&#44277;%20&#52572;&#51333;%20&#51216;&#44160;_&#49688;&#54665;&#51648;&#52840;.html" TargetMode="External"/><Relationship Id="rId15" Type="http://schemas.openxmlformats.org/officeDocument/2006/relationships/hyperlink" Target="&#47588;&#45684;&#50620;BODY(&#51665;&#54665;&#45800;&#44228;-&#52392;&#48512;&#54260;&#45908;)v8\3.&#51648;&#51109;&#47932;&#51060;&#49444;\4_&#46020;&#44553;&#51088;&#48516;%20&#51060;&#49444;&#50629;&#52404;%20&#49440;&#51221;(&#49345;_&#54616;&#49688;)\&#52404;&#53356;&#47532;&#49828;&#53944;\4_&#46020;&#44553;&#51088;&#48516;%20&#51060;&#49444;&#50629;&#52404;%20&#49440;&#51221;(&#49345;_&#54616;&#49688;)_&#52404;&#53356;&#47532;&#49828;&#53944;.html" TargetMode="External"/><Relationship Id="rId36" Type="http://schemas.openxmlformats.org/officeDocument/2006/relationships/hyperlink" Target="&#47588;&#45684;&#50620;BODY(&#51665;&#54665;&#45800;&#44228;-&#52392;&#48512;&#54260;&#45908;)v8\3.&#51648;&#51109;&#47932;&#51060;&#49444;\7_&#52572;&#44256;&#51032;%20&#54016;%20&#47564;&#46308;&#44592;%20&#51648;&#50896;\&#52404;&#53356;&#47532;&#49828;&#53944;\7_&#52572;&#44256;&#51032;%20&#54016;%20&#47564;&#46308;&#44592;%20&#51648;&#50896;_&#52404;&#53356;&#47532;&#49828;&#53944;.html" TargetMode="External"/><Relationship Id="rId57" Type="http://schemas.openxmlformats.org/officeDocument/2006/relationships/hyperlink" Target="&#47588;&#45684;&#50620;BODY(&#51665;&#54665;&#45800;&#44228;-&#52392;&#48512;&#54260;&#45908;)v8\3.&#51648;&#51109;&#47932;&#51060;&#49444;\11_&#44368;&#53685;&#53685;&#51228;%20&#48143;%20&#44368;&#53685;&#50504;&#51204;&#49884;&#49444;%20&#49444;&#52824;\&#52404;&#53356;&#47532;&#49828;&#53944;\&#44368;&#53685;&#53685;&#51228;%20&#48143;%20&#44368;&#53685;&#50504;&#51204;&#49884;&#49444;%20&#49444;&#52824;_&#52404;&#53356;&#47532;&#49828;&#53944;.html" TargetMode="External"/><Relationship Id="rId106" Type="http://schemas.openxmlformats.org/officeDocument/2006/relationships/hyperlink" Target="&#47588;&#45684;&#50620;BODY(&#51665;&#54665;&#45800;&#44228;-&#52392;&#48512;&#54260;&#45908;)v8\3.&#51648;&#51109;&#47932;&#51060;&#49444;\19_&#51460;&#46384;&#44592;(GPR)&#47484;%20&#53685;&#54620;%20&#44592;&#51316;%20&#51648;&#51109;&#47932;%20&#47588;&#49444;%20&#54869;&#51064;\&#54364;&#51456;&#49436;\19_&#51460;&#46384;&#44592;(GPR)&#47484;%20&#53685;&#54620;%20&#44592;&#51316;%20&#51648;&#51109;&#47932;%20&#47588;&#49444;%20&#54869;&#51064;_&#54364;&#51456;&#49436;.html" TargetMode="External"/><Relationship Id="rId127" Type="http://schemas.openxmlformats.org/officeDocument/2006/relationships/hyperlink" Target="&#47588;&#45684;&#50620;BODY(&#51665;&#54665;&#45800;&#44228;-&#52392;&#48512;&#54260;&#45908;)v8\3.&#51648;&#51109;&#47932;&#51060;&#49444;\23_&#49888;&#44508;&#44288;&#47196;%20&#48143;%20&#50672;&#44208;&#44288;&#47196;%20&#51217;&#49549;\&#54364;&#51456;&#49436;\23_&#49888;&#44508;&#44288;&#47196;%20&#48143;%20&#50672;&#44208;&#44288;&#47196;%20&#51217;&#49549;_&#54364;&#51456;&#49436;.html" TargetMode="External"/><Relationship Id="rId10" Type="http://schemas.openxmlformats.org/officeDocument/2006/relationships/hyperlink" Target="&#47588;&#45684;&#50620;BODY(&#51665;&#54665;&#45800;&#44228;-&#52392;&#48512;&#54260;&#45908;)v8\3.&#51648;&#51109;&#47932;&#51060;&#49444;\3_&#51648;&#51109;&#47932;%20&#51060;&#49444;%20&#50836;&#52397;%20(&#50948;&#49688;&#53441;&#44256;)\&#54364;&#51456;&#49436;\3_&#51648;&#51109;&#47932;%20&#51060;&#49444;%20&#50836;&#52397;%20(&#50948;&#49688;&#53441;&#44256;)_&#54364;&#51456;&#49436;.html" TargetMode="External"/><Relationship Id="rId31" Type="http://schemas.openxmlformats.org/officeDocument/2006/relationships/hyperlink" Target="&#47588;&#45684;&#50620;BODY(&#51665;&#54665;&#45800;&#44228;-&#52392;&#48512;&#54260;&#45908;)v8\3.&#51648;&#51109;&#47932;&#51060;&#49444;\7_&#50948;&#49688;&#53441;%20&#51648;&#51109;&#47932;%20&#51060;&#49444;%20&#49444;&#44228;\&#54364;&#51456;&#49436;\&#50948;&#49688;&#53441;%20&#51648;&#51109;&#47932;%20&#51060;&#49444;%20&#49444;&#44228;_&#54364;&#51456;&#49436;.html" TargetMode="External"/><Relationship Id="rId52" Type="http://schemas.openxmlformats.org/officeDocument/2006/relationships/hyperlink" Target="&#47588;&#45684;&#50620;BODY(&#51665;&#54665;&#45800;&#44228;-&#52392;&#48512;&#54260;&#45908;)v8\3.&#51648;&#51109;&#47932;&#51060;&#49444;\10_&#46020;&#47196;&#51216;&#50857;_&#44404;&#52265;&#54665;&#50948;%20&#51064;&#54728;&#44032;\&#54364;&#51456;&#49436;\&#46020;&#47196;&#51216;&#50857;_&#44404;&#52265;&#54665;&#50948;%20&#51064;&#54728;&#44032;_&#54364;&#51456;&#49436;.html" TargetMode="External"/><Relationship Id="rId73" Type="http://schemas.openxmlformats.org/officeDocument/2006/relationships/hyperlink" Target="&#47588;&#45684;&#50620;BODY(&#51665;&#54665;&#45800;&#44228;-&#52392;&#48512;&#54260;&#45908;)v8\3.&#51648;&#51109;&#47932;&#51060;&#49444;\14_&#49888;&#44508;&#44288;&#47196;%20&#47588;&#49444;%20&#48143;%20&#49444;&#52824;\&#54364;&#51456;&#49436;\&#49888;&#44508;&#44288;&#47196;%20&#47588;&#49444;%20&#48143;%20&#49444;&#52824;_&#54364;&#51456;&#49436;.html" TargetMode="External"/><Relationship Id="rId78" Type="http://schemas.openxmlformats.org/officeDocument/2006/relationships/hyperlink" Target="&#47588;&#45684;&#50620;BODY(&#51665;&#54665;&#45800;&#44228;-&#52392;&#48512;&#54260;&#45908;)v8\3.&#51648;&#51109;&#47932;&#51060;&#49444;\14_&#50948;&#49688;&#53441;%20&#51648;&#51109;&#47932;%20&#51060;&#49444;%20&#49444;&#44228;\&#52404;&#53356;&#47532;&#49828;&#53944;\&#50948;&#49688;&#53441;%20&#51648;&#51109;&#47932;%20&#51060;&#49444;%20&#49444;&#44228;_&#52404;&#53356;&#47532;&#49828;&#53944;.html" TargetMode="External"/><Relationship Id="rId94" Type="http://schemas.openxmlformats.org/officeDocument/2006/relationships/hyperlink" Target="&#47588;&#45684;&#50620;BODY(&#51665;&#54665;&#45800;&#44228;-&#52392;&#48512;&#54260;&#45908;)v8\3.&#51648;&#51109;&#47932;&#51060;&#49444;\17_&#46020;&#47196;&#51216;&#50857;_&#44404;&#52265;&#54665;&#50948;%20&#51064;&#54728;&#44032;\&#54364;&#51456;&#49436;\17_&#46020;&#47196;&#51216;&#50857;_&#44404;&#52265;&#54665;&#50948;%20&#51064;&#54728;&#44032;_&#54364;&#51456;&#49436;.html" TargetMode="External"/><Relationship Id="rId99" Type="http://schemas.openxmlformats.org/officeDocument/2006/relationships/hyperlink" Target="&#47588;&#45684;&#50620;BODY(&#51665;&#54665;&#45800;&#44228;-&#52392;&#48512;&#54260;&#45908;)v8\3.&#51648;&#51109;&#47932;&#51060;&#49444;\18_&#44305;&#50669;&#49345;&#49688;&#44288;%20&#51060;&#49444;%20&#44277;&#49324;\&#52404;&#53356;&#47532;&#49828;&#53944;\&#44305;&#50669;&#49345;&#49688;&#44288;%20&#51060;&#49444;%20&#44277;&#49324;_&#52404;&#53356;&#47532;&#49828;&#53944;.html" TargetMode="External"/><Relationship Id="rId101" Type="http://schemas.openxmlformats.org/officeDocument/2006/relationships/hyperlink" Target="&#47588;&#45684;&#50620;BODY(&#51665;&#54665;&#45800;&#44228;-&#52392;&#48512;&#54260;&#45908;)v8\3.&#51648;&#51109;&#47932;&#51060;&#49444;\18_&#44368;&#53685;&#53685;&#51228;%20&#48143;%20&#44368;&#53685;&#50504;&#51204;&#49884;&#49444;%20&#49444;&#52824;\&#49688;&#54665;&#51648;&#52840;\&#44368;&#53685;&#53685;&#51228;%20&#48143;%20&#44368;&#53685;&#50504;&#51204;&#49884;&#49444;%20&#49444;&#52824;_&#49688;&#54665;&#51648;&#52840;.html" TargetMode="External"/><Relationship Id="rId122" Type="http://schemas.openxmlformats.org/officeDocument/2006/relationships/hyperlink" Target="&#47588;&#45684;&#50620;BODY(&#51665;&#54665;&#45800;&#44228;-&#52392;&#48512;&#54260;&#45908;)v8\3.&#51648;&#51109;&#47932;&#51060;&#49444;\22_&#47924;&#45800;&#49688;%20&#50672;&#44208;&#51012;%20&#50948;&#54620;%20&#49884;&#49444;%20&#49444;&#52824;\&#49688;&#54665;&#51648;&#52840;\&#47924;&#45800;&#49688;%20&#50672;&#44208;&#51012;%20&#50948;&#54620;%20&#49884;&#49444;%20&#49444;&#52824;_&#49688;&#54665;&#51648;&#52840;.html" TargetMode="External"/><Relationship Id="rId143" Type="http://schemas.openxmlformats.org/officeDocument/2006/relationships/hyperlink" Target="&#47588;&#45684;&#50620;BODY(&#51665;&#54665;&#45800;&#44228;-&#52392;&#48512;&#54260;&#45908;)v8\3.&#51648;&#51109;&#47932;&#51060;&#49444;\25_&#49569;&#50976;&#44288;%20&#51060;&#49444;%20&#44277;&#49324;\&#49688;&#54665;&#51648;&#52840;\&#49569;&#50976;&#44288;%20&#51060;&#49444;%20&#44277;&#49324;_&#49688;&#54665;&#51648;&#52840;.html" TargetMode="External"/><Relationship Id="rId148" Type="http://schemas.openxmlformats.org/officeDocument/2006/relationships/hyperlink" Target="&#47588;&#45684;&#50620;BODY(&#51665;&#54665;&#45800;&#44228;-&#52392;&#48512;&#54260;&#45908;)v8\3.&#51648;&#51109;&#47932;&#51060;&#49444;\26_&#49345;&#54616;&#49688;&#46020;%20&#51060;&#49444;%20&#49884;&#44277;%20&#52572;&#51333;%20&#51216;&#44160;\&#54364;&#51456;&#49436;\&#49345;&#54616;&#49688;&#46020;%20&#51060;&#49444;%20&#49884;&#44277;%20&#52572;&#51333;%20&#51216;&#44160;_&#54364;&#51456;&#49436;.html" TargetMode="External"/><Relationship Id="rId164" Type="http://schemas.openxmlformats.org/officeDocument/2006/relationships/hyperlink" Target="&#47588;&#45684;&#50620;BODY(&#51665;&#54665;&#45800;&#44228;-&#52392;&#48512;&#54260;&#45908;)v8\3.&#51648;&#51109;&#47932;&#51060;&#49444;\29_&#50948;&#49688;&#53441;%20&#52376;&#47532;%20&#51221;&#49328;&#44552;&#50529;%20&#51648;&#44553;\&#49688;&#54665;&#51648;&#52840;\&#49688;&#54665;&#51648;&#52840;.html" TargetMode="External"/><Relationship Id="rId169"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4" Type="http://schemas.openxmlformats.org/officeDocument/2006/relationships/hyperlink" Target="&#47588;&#45684;&#50620;BODY(&#51665;&#54665;&#45800;&#44228;-&#52392;&#48512;&#54260;&#45908;)v8\3.&#51648;&#51109;&#47932;&#51060;&#49444;\2_&#48156;&#51452;&#51204;&#47029;%20KOM%20(&#46020;&#44553;&#51648;&#48516;)\&#54364;&#51456;&#49436;\2_&#48156;&#51452;&#51204;&#47029;%20KOM%20(&#46020;&#44553;&#51648;&#48516;)_&#54364;&#51456;&#49436;.html" TargetMode="External"/><Relationship Id="rId9" Type="http://schemas.openxmlformats.org/officeDocument/2006/relationships/hyperlink" Target="&#47588;&#45684;&#50620;BODY(&#51665;&#54665;&#45800;&#44228;-&#52392;&#48512;&#54260;&#45908;)v8\3.&#51648;&#51109;&#47932;&#51060;&#49444;\2_&#48156;&#51452;&#51204;&#51201;%20KOM%20(&#46020;&#44553;&#51648;&#48516;)\&#52404;&#53356;&#47532;&#49828;&#53944;\&#48156;&#51452;&#51204;&#51201;%20KOM%20(&#46020;&#44553;&#51648;&#48516;)_&#52404;&#53356;&#47532;&#49828;&#53944;.html" TargetMode="External"/><Relationship Id="rId180" Type="http://schemas.openxmlformats.org/officeDocument/2006/relationships/hyperlink" Target="&#47588;&#45684;&#50620;BODY(&#51665;&#54665;&#45800;&#44228;-&#52392;&#48512;&#54260;&#45908;)v8\3.&#51648;&#51109;&#47932;&#51060;&#49444;\32_&#49569;&#50976;&#44288;%20&#51060;&#49444;%20&#44277;&#49324;\&#52404;&#53356;&#47532;&#49828;&#53944;\&#49345;&#54616;&#49688;&#46020;%20&#51060;&#49444;%20&#49884;&#44277;%20&#52572;&#51333;%20&#51216;&#44160;_&#52404;&#53356;&#47532;&#49828;&#53944;.html" TargetMode="External"/><Relationship Id="rId26" Type="http://schemas.openxmlformats.org/officeDocument/2006/relationships/hyperlink" Target="&#47588;&#45684;&#50620;BODY(&#51665;&#54665;&#45800;&#44228;-&#52392;&#48512;&#54260;&#45908;)v8\3.&#51648;&#51109;&#47932;&#51060;&#49444;\6_&#44288;&#47532;&#44592;&#44288;(&#47569;&#51008;&#47932;&#49324;&#50629;&#49548;)%20&#54801;&#51032;\&#49688;&#54665;&#51648;&#52840;\&#44288;&#47532;&#44592;&#44288;(&#47569;&#51008;&#47932;&#49324;&#50629;&#49548;)%20&#54801;&#51032;_&#49688;&#54665;&#51648;&#52840;.html" TargetMode="External"/><Relationship Id="rId47" Type="http://schemas.openxmlformats.org/officeDocument/2006/relationships/hyperlink" Target="&#47588;&#45684;&#50620;BODY(&#51665;&#54665;&#45800;&#44228;-&#52392;&#48512;&#54260;&#45908;)v8\3.&#51648;&#51109;&#47932;&#51060;&#49444;\9_&#51064;&#54728;&#44032;%20&#51208;&#52264;%20&#51652;&#54665;\&#49688;&#54665;&#51648;&#52840;\9_&#51064;&#54728;&#44032;%20&#51208;&#52264;%20&#51652;&#54665;_&#49688;&#54665;&#51648;&#52840;.html" TargetMode="External"/><Relationship Id="rId68" Type="http://schemas.openxmlformats.org/officeDocument/2006/relationships/hyperlink" Target="&#47588;&#45684;&#50620;BODY(&#51665;&#54665;&#45800;&#44228;-&#52392;&#48512;&#54260;&#45908;)v8\3.&#51648;&#51109;&#47932;&#51060;&#49444;\13_&#44288;&#47532;&#44592;&#44288;(&#47569;&#51008;&#47932;&#49324;&#50629;&#49548;)%20&#54801;&#51032;\&#49688;&#54665;&#51648;&#52840;\&#44288;&#47532;&#44592;&#44288;(&#47569;&#51008;&#47932;&#49324;&#50629;&#49548;)%20&#54801;&#51032;_&#49688;&#54665;&#51648;&#52840;.html" TargetMode="External"/><Relationship Id="rId89" Type="http://schemas.openxmlformats.org/officeDocument/2006/relationships/hyperlink" Target="&#47588;&#45684;&#50620;BODY(&#51665;&#54665;&#45800;&#44228;-&#52392;&#48512;&#54260;&#45908;)v8\3.&#51648;&#51109;&#47932;&#51060;&#49444;\16_&#50948;&#49688;&#53441;%20&#44228;&#50557;%20&#52404;&#44208;\&#49688;&#54665;&#51648;&#52840;\&#49688;&#54665;&#51648;&#52840;.html" TargetMode="External"/><Relationship Id="rId112" Type="http://schemas.openxmlformats.org/officeDocument/2006/relationships/hyperlink" Target="&#47588;&#45684;&#50620;BODY(&#51665;&#54665;&#45800;&#44228;-&#52392;&#48512;&#54260;&#45908;)v8\3.&#51648;&#51109;&#47932;&#51060;&#49444;\20_&#54616;&#49688;&#46020;%20&#44288;&#47196;%20&#51060;&#49444;%20&#44277;&#49324;\&#54364;&#51456;&#49436;\&#54616;&#49688;&#46020;%20&#44288;&#47196;%20&#51060;&#49444;%20&#44277;&#49324;_&#54364;&#51456;&#49436;.html" TargetMode="External"/><Relationship Id="rId133" Type="http://schemas.openxmlformats.org/officeDocument/2006/relationships/hyperlink" Target="&#47588;&#45684;&#50620;BODY(&#51665;&#54665;&#45800;&#44228;-&#52392;&#48512;&#54260;&#45908;)v8\3.&#51648;&#51109;&#47932;&#51060;&#49444;\24_&#44592;&#51316;&#44288;&#47196;%20&#52384;&#44144;%20&#48143;%20&#50896;&#49345;&#48373;&#44396;\&#54364;&#51456;&#49436;\24_&#44592;&#51316;&#44288;&#47196;%20&#52384;&#44144;%20&#48143;%20&#50896;&#49345;&#48373;&#44396;_&#54364;&#51456;&#49436;.html" TargetMode="External"/><Relationship Id="rId154" Type="http://schemas.openxmlformats.org/officeDocument/2006/relationships/hyperlink" Target="&#47588;&#45684;&#50620;BODY(&#51665;&#54665;&#45800;&#44228;-&#52392;&#48512;&#54260;&#45908;)v8\3.&#51648;&#51109;&#47932;&#51060;&#49444;\27_&#54616;&#49688;&#46020;%20&#44288;&#47196;%20&#51060;&#49444;%20&#44277;&#49324;\&#54364;&#51456;&#49436;\27_&#54616;&#49688;&#46020;%20&#44288;&#47196;%20&#51060;&#49444;%20&#44277;&#49324;_&#54364;&#51456;&#49436;.html" TargetMode="External"/><Relationship Id="rId175" Type="http://schemas.openxmlformats.org/officeDocument/2006/relationships/hyperlink" Target="&#47588;&#45684;&#50620;BODY(&#51665;&#54665;&#45800;&#44228;-&#52392;&#48512;&#54260;&#45908;)v8\3.&#51648;&#51109;&#47932;&#51060;&#49444;\31_&#53945;&#44256;&#50517;%20&#51204;&#47141;&#44288;&#47196;%20&#51060;&#49444;%20&#44277;&#49324;\&#54364;&#51456;&#49436;\31_&#53945;&#44256;&#50517;%20&#51204;&#47141;&#44288;&#47196;%20&#51060;&#49444;%20&#44277;&#49324;_&#54364;&#51456;&#49436;.html" TargetMode="External"/><Relationship Id="rId16" Type="http://schemas.openxmlformats.org/officeDocument/2006/relationships/hyperlink" Target="&#47588;&#45684;&#50620;BODY(&#51665;&#54665;&#45800;&#44228;-&#52392;&#48512;&#54260;&#45908;)v8\3.&#51648;&#51109;&#47932;&#51060;&#49444;\4_&#52572;&#44256;&#51032;%20&#54016;%20&#47564;&#46308;&#44592;%20&#51648;&#50896;\&#54364;&#51456;&#49436;\&#52572;&#44256;&#51032;%20&#54016;%20&#47564;&#46308;&#44592;%20&#51648;&#50896;_&#54364;&#51456;&#49436;.html" TargetMode="External"/><Relationship Id="rId37" Type="http://schemas.openxmlformats.org/officeDocument/2006/relationships/hyperlink" Target="&#47588;&#45684;&#50620;BODY(&#51665;&#54665;&#45800;&#44228;-&#52392;&#48512;&#54260;&#45908;)v8\3.&#51648;&#51109;&#47932;&#51060;&#49444;\8_&#49345;&#54616;&#49688;&#46020;%20&#51060;&#49444;&#44228;&#54925;%20&#49892;&#51221;&#48372;&#44256;\&#54364;&#51456;&#49436;\&#49345;&#54616;&#49688;&#46020;%20&#51060;&#49444;&#44228;&#54925;%20&#49892;&#51221;&#48372;&#44256;_&#54364;&#51456;&#49436;.html" TargetMode="External"/><Relationship Id="rId58" Type="http://schemas.openxmlformats.org/officeDocument/2006/relationships/hyperlink" Target="&#47588;&#45684;&#50620;BODY(&#51665;&#54665;&#45800;&#44228;-&#52392;&#48512;&#54260;&#45908;)v8\3.&#51648;&#51109;&#47932;&#51060;&#49444;\11_&#48124;&#50896;%20&#51200;&#44048;%20&#45824;&#52293;%20&#49688;&#47549;\&#54364;&#51456;&#49436;\11_&#48124;&#50896;%20&#51200;&#44048;%20&#45824;&#52293;%20&#49688;&#47549;_&#54364;&#51456;&#49436;.html" TargetMode="External"/><Relationship Id="rId79" Type="http://schemas.openxmlformats.org/officeDocument/2006/relationships/hyperlink" Target="&#47588;&#45684;&#50620;BODY(&#51665;&#54665;&#45800;&#44228;-&#52392;&#48512;&#54260;&#45908;)v8\3.&#51648;&#51109;&#47932;&#51060;&#49444;\15_&#47924;&#45800;&#49688;%20&#50672;&#44208;&#51012;%20&#50948;&#54620;%20&#49884;&#49444;%20&#49444;&#52824;\&#54364;&#51456;&#49436;\&#47924;&#45800;&#49688;%20&#50672;&#44208;&#51012;%20&#50948;&#54620;%20&#49884;&#49444;%20&#49444;&#52824;_&#54364;&#51456;&#49436;.html" TargetMode="External"/><Relationship Id="rId102" Type="http://schemas.openxmlformats.org/officeDocument/2006/relationships/hyperlink" Target="&#47588;&#45684;&#50620;BODY(&#51665;&#54665;&#45800;&#44228;-&#52392;&#48512;&#54260;&#45908;)v8\3.&#51648;&#51109;&#47932;&#51060;&#49444;\18_&#44368;&#53685;&#53685;&#51228;%20&#48143;%20&#44368;&#53685;&#50504;&#51204;&#49884;&#49444;%20&#49444;&#52824;\&#52404;&#53356;&#47532;&#49828;&#53944;\&#44368;&#53685;&#53685;&#51228;%20&#48143;%20&#44368;&#53685;&#50504;&#51204;&#49884;&#49444;%20&#49444;&#52824;_&#52404;&#53356;&#47532;&#49828;&#53944;.html" TargetMode="External"/><Relationship Id="rId123" Type="http://schemas.openxmlformats.org/officeDocument/2006/relationships/hyperlink" Target="&#47588;&#45684;&#50620;BODY(&#51665;&#54665;&#45800;&#44228;-&#52392;&#48512;&#54260;&#45908;)v8\3.&#51648;&#51109;&#47932;&#51060;&#49444;\22_&#47924;&#45800;&#49688;%20&#50672;&#44208;&#51012;%20&#50948;&#54620;%20&#49884;&#49444;%20&#49444;&#52824;\&#52404;&#53356;&#47532;&#49828;&#53944;\&#47924;&#45800;&#49688;%20&#50672;&#44208;&#51012;%20&#50948;&#54620;%20&#49884;&#49444;%20&#49444;&#52824;_&#52404;&#53356;&#47532;&#49828;&#53944;.html" TargetMode="External"/><Relationship Id="rId144" Type="http://schemas.openxmlformats.org/officeDocument/2006/relationships/hyperlink" Target="&#47588;&#45684;&#50620;BODY(&#51665;&#54665;&#45800;&#44228;-&#52392;&#48512;&#54260;&#45908;)v8\3.&#51648;&#51109;&#47932;&#51060;&#49444;\25_&#49569;&#50976;&#44288;%20&#51060;&#49444;%20&#44277;&#49324;\&#52404;&#53356;&#47532;&#49828;&#53944;\&#49569;&#50976;&#44288;%20&#51060;&#49444;%20&#44277;&#49324;_&#52404;&#53356;&#47532;&#49828;&#53944;.html" TargetMode="External"/><Relationship Id="rId90" Type="http://schemas.openxmlformats.org/officeDocument/2006/relationships/hyperlink" Target="&#47588;&#45684;&#50620;BODY(&#51665;&#54665;&#45800;&#44228;-&#52392;&#48512;&#54260;&#45908;)v8\3.&#51648;&#51109;&#47932;&#51060;&#49444;\16_&#50948;&#49688;&#53441;%20&#44228;&#50557;%20&#52404;&#44208;\&#52404;&#53356;&#47532;&#49828;&#53944;\&#50948;&#49688;&#53441;%20&#44228;&#50557;%20&#52404;&#44208;_&#52404;&#53356;&#47532;&#49828;&#53944;.html" TargetMode="External"/><Relationship Id="rId165" Type="http://schemas.openxmlformats.org/officeDocument/2006/relationships/hyperlink" Target="&#47588;&#45684;&#50620;BODY(&#51665;&#54665;&#45800;&#44228;-&#52392;&#48512;&#54260;&#45908;)v8\3.&#51648;&#51109;&#47932;&#51060;&#49444;\29_&#50948;&#49688;&#53441;%20&#52376;&#47532;%20&#51221;&#49328;&#44552;&#50529;%20&#51648;&#44553;\&#52404;&#53356;&#47532;&#49828;&#53944;\&#50948;&#49688;&#53441;%20&#52376;&#47532;%20&#51221;&#49328;&#44552;&#50529;%20&#51648;&#44553;_&#52404;&#53356;&#47532;&#49828;&#53944;.html" TargetMode="External"/><Relationship Id="rId27" Type="http://schemas.openxmlformats.org/officeDocument/2006/relationships/hyperlink" Target="&#47588;&#45684;&#50620;BODY(&#51665;&#54665;&#45800;&#44228;-&#52392;&#48512;&#54260;&#45908;)v8\3.&#51648;&#51109;&#47932;&#51060;&#49444;\6_&#44288;&#47532;&#44592;&#44288;(&#47569;&#51008;&#47932;&#49324;&#50629;&#49548;)%20&#54801;&#51032;\&#52404;&#53356;&#47532;&#49828;&#53944;\&#44288;&#47532;&#44592;&#44288;(&#47569;&#51008;&#47932;&#49324;&#50629;&#49548;)%20&#54801;&#51032;_&#52404;&#53356;&#47532;&#49828;&#53944;.html" TargetMode="External"/><Relationship Id="rId48" Type="http://schemas.openxmlformats.org/officeDocument/2006/relationships/hyperlink" Target="&#47588;&#45684;&#50620;BODY(&#51665;&#54665;&#45800;&#44228;-&#52392;&#48512;&#54260;&#45908;)v8\3.&#51648;&#51109;&#47932;&#51060;&#49444;\9_&#51064;&#54728;&#44032;%20&#51208;&#52264;%20&#51652;&#54665;\&#52404;&#53356;&#47532;&#49828;&#53944;\9_&#51064;&#54728;&#44032;%20&#51208;&#52264;%20&#51652;&#54665;_&#52404;&#53356;&#47532;&#49828;&#53944;.html" TargetMode="External"/><Relationship Id="rId69" Type="http://schemas.openxmlformats.org/officeDocument/2006/relationships/hyperlink" Target="&#47588;&#45684;&#50620;BODY(&#51665;&#54665;&#45800;&#44228;-&#52392;&#48512;&#54260;&#45908;)v8\3.&#51648;&#51109;&#47932;&#51060;&#49444;\13_&#44288;&#47532;&#44592;&#44288;(&#47569;&#51008;&#47932;&#49324;&#50629;&#49548;)%20&#54801;&#51032;\&#52404;&#53356;&#47532;&#49828;&#53944;\&#44288;&#47532;&#44592;&#44288;(&#47569;&#51008;&#47932;&#49324;&#50629;&#49548;)%20&#54801;&#51032;_&#52404;&#53356;&#47532;&#49828;&#53944;.html" TargetMode="External"/><Relationship Id="rId113" Type="http://schemas.openxmlformats.org/officeDocument/2006/relationships/hyperlink" Target="&#47588;&#45684;&#50620;BODY(&#51665;&#54665;&#45800;&#44228;-&#52392;&#48512;&#54260;&#45908;)v8\3.&#51648;&#51109;&#47932;&#51060;&#49444;\20_&#54616;&#49688;&#46020;%20&#44288;&#47196;%20&#51060;&#49444;%20&#44277;&#49324;\&#49688;&#54665;&#51648;&#52840;\&#49688;&#54665;&#51648;&#52840;.html" TargetMode="External"/><Relationship Id="rId134" Type="http://schemas.openxmlformats.org/officeDocument/2006/relationships/hyperlink" Target="&#47588;&#45684;&#50620;BODY(&#51665;&#54665;&#45800;&#44228;-&#52392;&#48512;&#54260;&#45908;)v8\3.&#51648;&#51109;&#47932;&#51060;&#49444;\24_&#44592;&#51316;&#44288;&#47196;%20&#52384;&#44144;%20&#48143;%20&#50896;&#49345;&#48373;&#44396;\&#49688;&#54665;&#51648;&#52840;\&#44592;&#51316;&#44288;&#47196;%20&#52384;&#44144;%20&#48143;%20&#50896;&#49345;&#48373;&#44396;_&#49688;&#54665;&#51648;&#52840;.html" TargetMode="External"/><Relationship Id="rId80" Type="http://schemas.openxmlformats.org/officeDocument/2006/relationships/hyperlink" Target="&#47588;&#45684;&#50620;BODY(&#51665;&#54665;&#45800;&#44228;-&#52392;&#48512;&#54260;&#45908;)v8\3.&#51648;&#51109;&#47932;&#51060;&#49444;\15_&#47924;&#45800;&#49688;%20&#50672;&#44208;&#51012;%20&#50948;&#54620;%20&#49884;&#49444;%20&#49444;&#52824;\&#49688;&#54665;&#51648;&#52840;\&#47924;&#45800;&#49688;%20&#50672;&#44208;&#51012;%20&#50948;&#54620;%20&#49884;&#49444;%20&#49444;&#52824;_&#49688;&#54665;&#51648;&#52840;.html" TargetMode="External"/><Relationship Id="rId155" Type="http://schemas.openxmlformats.org/officeDocument/2006/relationships/hyperlink" Target="&#47588;&#45684;&#50620;BODY(&#51665;&#54665;&#45800;&#44228;-&#52392;&#48512;&#54260;&#45908;)v8\3.&#51648;&#51109;&#47932;&#51060;&#49444;\27_&#54616;&#49688;&#46020;%20&#44288;&#47196;%20&#51060;&#49444;%20&#44277;&#49324;\&#49688;&#54665;&#51648;&#52840;\&#49688;&#54665;&#51648;&#52840;.html" TargetMode="External"/><Relationship Id="rId176" Type="http://schemas.openxmlformats.org/officeDocument/2006/relationships/hyperlink" Target="&#47588;&#45684;&#50620;BODY(&#51665;&#54665;&#45800;&#44228;-&#52392;&#48512;&#54260;&#45908;)v8\3.&#51648;&#51109;&#47932;&#51060;&#49444;\31_&#53945;&#44256;&#50517;%20&#51204;&#47141;&#44288;&#47196;%20&#51060;&#49444;%20&#44277;&#49324;\&#49688;&#54665;&#51648;&#52840;\&#49688;&#54665;&#51648;&#52840;.html" TargetMode="External"/><Relationship Id="rId17" Type="http://schemas.openxmlformats.org/officeDocument/2006/relationships/hyperlink" Target="&#47588;&#45684;&#50620;BODY(&#51665;&#54665;&#45800;&#44228;-&#52392;&#48512;&#54260;&#45908;)v8\3.&#51648;&#51109;&#47932;&#51060;&#49444;\4_&#52572;&#44256;&#51032;%20&#54016;%20&#47564;&#46308;&#44592;%20&#51648;&#50896;\&#49688;&#54665;&#51648;&#52840;\&#49688;&#54665;&#51648;&#52840;.html" TargetMode="External"/><Relationship Id="rId38" Type="http://schemas.openxmlformats.org/officeDocument/2006/relationships/hyperlink" Target="&#47588;&#45684;&#50620;BODY(&#51665;&#54665;&#45800;&#44228;-&#52392;&#48512;&#54260;&#45908;)v8\3.&#51648;&#51109;&#47932;&#51060;&#49444;\8_&#49345;&#54616;&#49688;&#46020;%20&#51060;&#49444;&#44228;&#54925;%20&#49892;&#51221;&#48372;&#44256;\&#49688;&#54665;&#51648;&#52840;\&#49345;&#54616;&#49688;&#46020;%20&#51060;&#49444;&#44228;&#54925;%20&#49892;&#51221;&#48372;&#44256;_&#49688;&#54665;&#51648;&#52840;.html" TargetMode="External"/><Relationship Id="rId59" Type="http://schemas.openxmlformats.org/officeDocument/2006/relationships/hyperlink" Target="&#47588;&#45684;&#50620;BODY(&#51665;&#54665;&#45800;&#44228;-&#52392;&#48512;&#54260;&#45908;)v8\3.&#51648;&#51109;&#47932;&#51060;&#49444;\11_&#48124;&#50896;%20&#51200;&#44048;%20&#45824;&#52293;%20&#49688;&#47549;\&#49688;&#54665;&#51648;&#52840;\11_&#48124;&#50896;%20&#51200;&#44048;%20&#45824;&#52293;%20&#49688;&#47549;_&#49688;&#54665;&#51648;&#52840;.html" TargetMode="External"/><Relationship Id="rId103" Type="http://schemas.openxmlformats.org/officeDocument/2006/relationships/hyperlink" Target="&#47588;&#45684;&#50620;BODY(&#51665;&#54665;&#45800;&#44228;-&#52392;&#48512;&#54260;&#45908;)v8\3.&#51648;&#51109;&#47932;&#51060;&#49444;\19_&#49345;&#49688;&#46020;%20&#44288;&#47196;%20&#51060;&#49444;%20&#44277;&#49324;\&#54364;&#51456;&#49436;\&#49345;&#49688;&#46020;%20&#44288;&#47196;%20&#51060;&#49444;%20&#44277;&#49324;_&#54364;&#51456;&#49436;.html" TargetMode="External"/><Relationship Id="rId124" Type="http://schemas.openxmlformats.org/officeDocument/2006/relationships/hyperlink" Target="&#47588;&#45684;&#50620;BODY(&#51665;&#54665;&#45800;&#44228;-&#52392;&#48512;&#54260;&#45908;)v8\3.&#51648;&#51109;&#47932;&#51060;&#49444;\22_&#51648;&#50669;&#45212;&#48169;&#44288;%20&#51060;&#49444;%20&#44277;&#49324;\&#54364;&#51456;&#49436;\&#51648;&#50669;&#45212;&#48169;&#44288;%20&#51060;&#49444;%20&#44277;&#49324;_&#54364;&#51456;&#49436;.html" TargetMode="External"/><Relationship Id="rId70" Type="http://schemas.openxmlformats.org/officeDocument/2006/relationships/hyperlink" Target="&#47588;&#45684;&#50620;BODY(&#51665;&#54665;&#45800;&#44228;-&#52392;&#48512;&#54260;&#45908;)v8\3.&#51648;&#51109;&#47932;&#51060;&#49444;\13_&#51060;&#49444;%20&#50948;&#52824;%20&#53664;&#44277;%20&#44404;&#52265;\&#54364;&#51456;&#49436;\&#51060;&#49444;%20&#50948;&#52824;%20&#53664;&#44277;%20&#44404;&#52265;_&#54364;&#51456;&#49436;.html" TargetMode="External"/><Relationship Id="rId91" Type="http://schemas.openxmlformats.org/officeDocument/2006/relationships/hyperlink" Target="&#47588;&#45684;&#50620;BODY(&#51665;&#54665;&#45800;&#44228;-&#52392;&#48512;&#54260;&#45908;)v8\3.&#51648;&#51109;&#47932;&#51060;&#49444;\17_&#44592;&#51316;&#44288;&#47196;%20&#52384;&#44144;%20&#48143;%20&#50896;&#49345;&#48373;&#44396;\&#54364;&#51456;&#49436;\&#44592;&#51316;&#44288;&#47196;%20&#52384;&#44144;%20&#48143;%20&#50896;&#49345;&#48373;&#44396;_&#54364;&#51456;&#49436;.html" TargetMode="External"/><Relationship Id="rId145" Type="http://schemas.openxmlformats.org/officeDocument/2006/relationships/hyperlink" Target="&#47588;&#45684;&#50620;BODY(&#51665;&#54665;&#45800;&#44228;-&#52392;&#48512;&#54260;&#45908;)v8\3.&#51648;&#51109;&#47932;&#51060;&#49444;\26_&#49345;&#49688;&#46020;%20&#44288;&#47196;%20&#51060;&#49444;%20&#44277;&#49324;\&#54364;&#51456;&#49436;\26_&#49345;&#49688;&#46020;%20&#44288;&#47196;%20&#51060;&#49444;%20&#44277;&#49324;_&#54364;&#51456;&#49436;.html" TargetMode="External"/><Relationship Id="rId166" Type="http://schemas.openxmlformats.org/officeDocument/2006/relationships/hyperlink" Target="&#47588;&#45684;&#50620;BODY(&#51665;&#54665;&#45800;&#44228;-&#52392;&#48512;&#54260;&#45908;)v8\3.&#51648;&#51109;&#47932;&#51060;&#49444;\29_&#51648;&#50669;&#45212;&#48169;&#44288;%20&#51060;&#49444;%20&#44277;&#49324;\&#54364;&#51456;&#49436;\29_&#51648;&#50669;&#45212;&#48169;&#44288;%20&#51060;&#49444;%20&#44277;&#49324;_&#54364;&#51456;&#49436;.html" TargetMode="External"/><Relationship Id="rId1" Type="http://schemas.openxmlformats.org/officeDocument/2006/relationships/hyperlink" Target="&#47588;&#45684;&#50620;BODY(&#51665;&#54665;&#45800;&#44228;-&#52392;&#48512;&#54260;&#45908;)v8\3.&#51648;&#51109;&#47932;&#51060;&#49444;\1_Site%20Survey%20Risk%20&#44160;&#53664;\&#54364;&#51456;&#49436;\1_Site%20Survey%20Risk%20&#44160;&#53664;_&#54364;&#51456;&#49436;.html" TargetMode="External"/><Relationship Id="rId28" Type="http://schemas.openxmlformats.org/officeDocument/2006/relationships/hyperlink" Target="&#47588;&#45684;&#50620;BODY(&#51665;&#54665;&#45800;&#44228;-&#52392;&#48512;&#54260;&#45908;)v8\3.&#51648;&#51109;&#47932;&#51060;&#49444;\6_&#51648;&#51109;&#47932;%20&#51060;&#49444;%20&#44228;&#54925;%20&#49688;&#47549;\&#54364;&#51456;&#49436;\&#51648;&#51109;&#47932;%20&#51060;&#49444;%20&#44228;&#54925;%20&#49688;&#47549;_&#54364;&#51456;&#49436;.html" TargetMode="External"/><Relationship Id="rId49" Type="http://schemas.openxmlformats.org/officeDocument/2006/relationships/hyperlink" Target="&#47588;&#45684;&#50620;BODY(&#51665;&#54665;&#45800;&#44228;-&#52392;&#48512;&#54260;&#45908;)v8\3.&#51648;&#51109;&#47932;&#51060;&#49444;\10_&#44368;&#53685;&#52376;&#47532;&#45824;&#52293;%20&#54801;&#51032;%20&#48143;%20&#49849;&#51064;\&#54364;&#51456;&#49436;\10_&#44368;&#53685;&#52376;&#47532;&#45824;&#52293;%20&#54801;&#51032;%20&#48143;%20&#49849;&#51064;_&#54364;&#51456;&#49436;.html" TargetMode="External"/><Relationship Id="rId114" Type="http://schemas.openxmlformats.org/officeDocument/2006/relationships/hyperlink" Target="&#47588;&#45684;&#50620;BODY(&#51665;&#54665;&#45800;&#44228;-&#52392;&#48512;&#54260;&#45908;)v8\3.&#51648;&#51109;&#47932;&#51060;&#49444;\20_&#54616;&#49688;&#46020;%20&#44288;&#47196;%20&#51060;&#49444;%20&#44277;&#49324;\&#52404;&#53356;&#47532;&#49828;&#53944;\&#54616;&#49688;&#46020;%20&#44288;&#47196;%20&#51060;&#49444;%20&#44277;&#49324;_&#52404;&#53356;&#47532;&#49828;&#53944;.html"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21" Type="http://schemas.openxmlformats.org/officeDocument/2006/relationships/hyperlink" Target="&#47588;&#45684;&#50620;BODY(&#51665;&#54665;&#45800;&#44228;-&#52392;&#48512;&#54260;&#45908;)v8\4.&#49345;&#48512;&#44053;&#54868;&#45432;&#48152;\7_&#52572;&#44256;&#51032;%20&#54016;%20&#47564;&#46308;&#44592;%20&#51648;&#50896;\&#52404;&#53356;&#47532;&#49828;&#53944;\&#52572;&#44256;&#51032;%20&#54016;%20&#47564;&#46308;&#44592;%20&#51648;&#50896;_&#52404;&#53356;&#47532;&#49828;&#53944;.html" TargetMode="External"/><Relationship Id="rId42" Type="http://schemas.openxmlformats.org/officeDocument/2006/relationships/hyperlink" Target="&#47588;&#45684;&#50620;BODY(&#51665;&#54665;&#45800;&#44228;-&#52392;&#48512;&#54260;&#45908;)v8\4.&#49345;&#48512;&#44053;&#54868;&#45432;&#48152;\14_&#49884;&#44277;%20&#44228;&#54925;%20&#49688;&#47549;\&#52404;&#53356;&#47532;&#49828;&#53944;\&#49884;&#44277;%20&#44228;&#54925;%20&#49688;&#47549;_&#52404;&#53356;&#47532;&#49828;&#53944;.html" TargetMode="External"/><Relationship Id="rId47"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63" Type="http://schemas.openxmlformats.org/officeDocument/2006/relationships/hyperlink" Target="&#47588;&#45684;&#50620;BODY(&#51665;&#54665;&#45800;&#44228;-&#52392;&#48512;&#54260;&#45908;)v8\4.&#49345;&#48512;&#44053;&#54868;&#45432;&#48152;\21_&#44508;&#51456;&#53952;%20&#49444;&#52824;\&#52404;&#53356;&#47532;&#49828;&#53944;\&#44508;&#51456;&#53952;%20&#49444;&#52824;_&#52404;&#53356;&#47532;&#49828;&#53944;.html" TargetMode="External"/><Relationship Id="rId68" Type="http://schemas.openxmlformats.org/officeDocument/2006/relationships/hyperlink" Target="&#47588;&#45684;&#50620;BODY(&#51665;&#54665;&#45800;&#44228;-&#52392;&#48512;&#54260;&#45908;)v8\4.&#49345;&#48512;&#44053;&#54868;&#45432;&#48152;\23_&#48268;&#44060;&#51228;&#44540;_&#54364;&#53664;&#51228;&#44144;\&#49688;&#54665;&#51648;&#52840;\&#48268;&#44060;&#51228;&#44540;_&#54364;&#53664;&#51228;&#44144;_&#49688;&#54665;&#51648;&#52840;.html" TargetMode="External"/><Relationship Id="rId84" Type="http://schemas.openxmlformats.org/officeDocument/2006/relationships/hyperlink" Target="&#47588;&#45684;&#50620;BODY(&#51665;&#54665;&#45800;&#44228;-&#52392;&#48512;&#54260;&#45908;)v8\4.&#49345;&#48512;&#44053;&#54868;&#45432;&#48152;\28_&#49345;&#48512;&#45432;&#48152;%20&#49884;&#44277;\&#52404;&#53356;&#47532;&#49828;&#53944;\&#49345;&#48512;&#45432;&#48152;%20&#49884;&#44277;_&#52404;&#53356;&#47532;&#49828;&#53944;.html" TargetMode="External"/><Relationship Id="rId89" Type="http://schemas.openxmlformats.org/officeDocument/2006/relationships/hyperlink" Target="&#47588;&#45684;&#50620;BODY(&#51665;&#54665;&#45800;&#44228;-&#52392;&#48512;&#54260;&#45908;)v8\4.&#49345;&#48512;&#44053;&#54868;&#45432;&#48152;\30_&#53664;&#44277;%20&#50976;&#46041;&#50868;&#48152;_&#49324;&#53664;\&#49688;&#54665;&#51648;&#52840;\&#53664;&#44277;%20&#50976;&#46041;&#50868;&#48152;_&#49324;&#53664;_&#49688;&#54665;&#51648;&#52840;.html" TargetMode="External"/><Relationship Id="rId16" Type="http://schemas.openxmlformats.org/officeDocument/2006/relationships/hyperlink" Target="&#47588;&#45684;&#50620;BODY(&#51665;&#54665;&#45800;&#44228;-&#52392;&#48512;&#54260;&#45908;)v8\4.&#49345;&#48512;&#44053;&#54868;&#45432;&#48152;\6_&#50857;&#51648;&#48372;&#49345;RISK%20&#44160;&#53664;\&#54364;&#51456;&#49436;\&#50857;&#51648;&#48372;&#49345;RISK%20&#44160;&#53664;_&#54364;&#51456;&#49436;.html" TargetMode="External"/><Relationship Id="rId107"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11"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32"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37" Type="http://schemas.openxmlformats.org/officeDocument/2006/relationships/hyperlink" Target="&#47588;&#45684;&#50620;BODY(&#51665;&#54665;&#45800;&#44228;-&#52392;&#48512;&#54260;&#45908;)v8\4.&#49345;&#48512;&#44053;&#54868;&#45432;&#48152;\13_&#51089;&#49688;&#51204;%20Big%20Room%20&#54924;&#51032;\&#54364;&#51456;&#49436;\&#51089;&#49688;&#51204;%20Big%20Room%20&#54924;&#51032;_&#54364;&#51456;&#49436;.html" TargetMode="External"/><Relationship Id="rId53"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58" Type="http://schemas.openxmlformats.org/officeDocument/2006/relationships/hyperlink" Target="&#47588;&#45684;&#50620;BODY(&#51665;&#54665;&#45800;&#44228;-&#52392;&#48512;&#54260;&#45908;)v8\4.&#49345;&#48512;&#44053;&#54868;&#45432;&#48152;\20_&#49440;&#47196;%20&#51333;_&#54945;&#45800;%20&#48143;%20&#50857;&#51648;&#44221;&#44228;&#52769;&#47049;\&#54364;&#51456;&#49436;\&#49440;&#47196;%20&#51333;_&#54945;&#45800;%20&#48143;%20&#50857;&#51648;&#44221;&#44228;&#52769;&#47049;_&#54364;&#51456;&#49436;.html" TargetMode="External"/><Relationship Id="rId74" Type="http://schemas.openxmlformats.org/officeDocument/2006/relationships/hyperlink" Target="&#47588;&#45684;&#50620;BODY(&#51665;&#54665;&#45800;&#44228;-&#52392;&#48512;&#54260;&#45908;)v8\4.&#49345;&#48512;&#44053;&#54868;&#45432;&#48152;\25_&#51652;&#51077;&#47196;%20&#51312;&#49457;\&#49688;&#54665;&#51648;&#52840;\&#51652;&#51077;&#47196;%20&#51312;&#49457;_&#49688;&#54665;&#51648;&#52840;.html" TargetMode="External"/><Relationship Id="rId79" Type="http://schemas.openxmlformats.org/officeDocument/2006/relationships/hyperlink" Target="&#47588;&#45684;&#50620;BODY(&#51665;&#54665;&#45800;&#44228;-&#52392;&#48512;&#54260;&#45908;)v8\4.&#49345;&#48512;&#44053;&#54868;&#45432;&#48152;\27_&#54616;&#48512;&#45432;&#48152;%20&#49884;&#44277;\&#54364;&#51456;&#49436;\&#54616;&#48512;&#45432;&#48152;%20&#49884;&#44277;_&#54364;&#51456;&#49436;.html" TargetMode="External"/><Relationship Id="rId102" Type="http://schemas.openxmlformats.org/officeDocument/2006/relationships/hyperlink" Target="&#47588;&#45684;&#50620;BODY(&#51665;&#54665;&#45800;&#44228;-&#52392;&#48512;&#54260;&#45908;)v8\4.&#49345;&#48512;&#44053;&#54868;&#45432;&#48152;\34_&#48169;&#52824;&#44592;&#44036;%20&#54869;&#48372;\&#52404;&#53356;&#47532;&#49828;&#53944;\&#48169;&#52824;&#44592;&#44036;%20&#54869;&#48372;_&#52404;&#53356;&#47532;&#49828;&#53944;.html" TargetMode="External"/><Relationship Id="rId5"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90" Type="http://schemas.openxmlformats.org/officeDocument/2006/relationships/hyperlink" Target="&#47588;&#45684;&#50620;BODY(&#51665;&#54665;&#45800;&#44228;-&#52392;&#48512;&#54260;&#45908;)v8\4.&#49345;&#48512;&#44053;&#54868;&#45432;&#48152;\30_&#53664;&#44277;%20&#50976;&#46041;&#50868;&#48152;_&#49324;&#53664;\&#52404;&#53356;&#47532;&#49828;&#53944;\&#53664;&#44277;%20&#50976;&#46041;&#50868;&#48152;_&#49324;&#53664;_&#52404;&#53356;&#47532;&#49828;&#53944;.html" TargetMode="External"/><Relationship Id="rId95"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20&#49884;&#44277;_&#49688;&#54665;&#51648;&#52840;.html" TargetMode="External"/><Relationship Id="rId22" Type="http://schemas.openxmlformats.org/officeDocument/2006/relationships/hyperlink" Target="&#47588;&#45684;&#50620;BODY(&#51665;&#54665;&#45800;&#44228;-&#52392;&#48512;&#54260;&#45908;)v8\4.&#49345;&#48512;&#44053;&#54868;&#45432;&#48152;\8_&#50672;&#50557;&#51648;&#48152;%20&#52376;&#47532;&#44277;&#48277;%20&#44160;&#53664;(&#54596;&#50836;&#49884;)\&#54364;&#51456;&#49436;\&#50672;&#50557;&#51648;&#48152;%20&#52376;&#47532;&#44277;&#48277;%20&#44160;&#53664;_&#54364;&#51456;&#49436;.html" TargetMode="External"/><Relationship Id="rId27" Type="http://schemas.openxmlformats.org/officeDocument/2006/relationships/hyperlink" Target="&#47588;&#45684;&#50620;BODY(&#51665;&#54665;&#45800;&#44228;-&#52392;&#48512;&#54260;&#45908;)v8\4.&#49345;&#48512;&#44053;&#54868;&#45432;&#48152;\9_&#53664;&#44277;%20&#50976;&#46041;&#54364;%20&#54869;&#51064;\&#52404;&#53356;&#47532;&#49828;&#53944;\&#53664;&#44277;%20&#50976;&#46041;&#54364;%20&#54869;&#51064;_&#52404;&#53356;&#47532;&#49828;&#53944;.html" TargetMode="External"/><Relationship Id="rId43" Type="http://schemas.openxmlformats.org/officeDocument/2006/relationships/hyperlink" Target="&#47588;&#45684;&#50620;BODY(&#51665;&#54665;&#45800;&#44228;-&#52392;&#48512;&#54260;&#45908;)v8\4.&#49345;&#48512;&#44053;&#54868;&#45432;&#48152;\15_&#49324;&#53664;&#51109;_&#53664;&#52712;&#51109;%20&#49440;&#51221;%20&#44160;&#53664;(&#54596;&#50836;&#49884;)\&#54364;&#51456;&#49436;\&#49324;&#53664;&#51109;_&#53664;&#52712;&#51109;%20&#49440;&#51221;%20&#44160;&#53664;_&#54364;&#51456;&#49436;.html" TargetMode="External"/><Relationship Id="rId48" Type="http://schemas.openxmlformats.org/officeDocument/2006/relationships/hyperlink" Target="&#47588;&#45684;&#50620;BODY(&#51665;&#54665;&#45800;&#44228;-&#52392;&#48512;&#54260;&#45908;)v8\4.&#49345;&#48512;&#44053;&#54868;&#45432;&#48152;\16_&#44277;&#49324;&#49324;&#51204;&#51456;&#48708;\&#52404;&#53356;&#47532;&#49828;&#53944;\&#44277;&#49324;&#49324;&#51204;&#51456;&#48708;_&#52404;&#53356;&#47532;&#49828;&#53944;.html" TargetMode="External"/><Relationship Id="rId64" Type="http://schemas.openxmlformats.org/officeDocument/2006/relationships/hyperlink" Target="&#47588;&#45684;&#50620;BODY(&#51665;&#54665;&#45800;&#44228;-&#52392;&#48512;&#54260;&#45908;)v8\4.&#49345;&#48512;&#44053;&#54868;&#45432;&#48152;\22_&#51456;&#48708;&#48176;&#49688;\&#54364;&#51456;&#49436;\&#51456;&#48708;&#48176;&#49688;_&#54364;&#51456;&#49436;.html" TargetMode="External"/><Relationship Id="rId69" Type="http://schemas.openxmlformats.org/officeDocument/2006/relationships/hyperlink" Target="&#47588;&#45684;&#50620;BODY(&#51665;&#54665;&#45800;&#44228;-&#52392;&#48512;&#54260;&#45908;)v8\4.&#49345;&#48512;&#44053;&#54868;&#45432;&#48152;\23_&#48268;&#44060;&#51228;&#44540;_&#54364;&#53664;&#51228;&#44144;\&#52404;&#53356;&#47532;&#49828;&#53944;\&#48268;&#44060;&#51228;&#44540;_&#54364;&#53664;&#51228;&#44144;_&#52404;&#53356;&#47532;&#49828;&#53944;.html" TargetMode="External"/><Relationship Id="rId80"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85" Type="http://schemas.openxmlformats.org/officeDocument/2006/relationships/hyperlink" Target="&#47588;&#45684;&#50620;BODY(&#51665;&#54665;&#45800;&#44228;-&#52392;&#48512;&#54260;&#45908;)v8\4.&#49345;&#48512;&#44053;&#54868;&#45432;&#48152;\29_&#44053;&#54868;&#45432;&#48152;%20&#49884;&#44277;\&#54364;&#51456;&#49436;\&#44053;&#54868;&#45432;&#48152;%20&#49884;&#44277;_&#54364;&#51456;&#49436;.html" TargetMode="External"/><Relationship Id="rId12" Type="http://schemas.openxmlformats.org/officeDocument/2006/relationships/hyperlink" Target="&#47588;&#45684;&#50620;BODY(&#51665;&#54665;&#45800;&#44228;-&#52392;&#48512;&#54260;&#45908;)v8\4.&#49345;&#48512;&#44053;&#54868;&#45432;&#48152;\4_&#52265;&#49688;&#51204;%20&#52769;&#47049;%20Data%20&#54869;&#51064;\&#52404;&#53356;&#47532;&#49828;&#53944;\&#52265;&#49688;&#51204;%20&#52769;&#47049;%20Data%20&#54869;&#51064;_&#52404;&#53356;&#47532;&#49828;&#53944;.html" TargetMode="External"/><Relationship Id="rId17"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33" Type="http://schemas.openxmlformats.org/officeDocument/2006/relationships/hyperlink" Target="&#47588;&#45684;&#50620;BODY(&#51665;&#54665;&#45800;&#44228;-&#52392;&#48512;&#54260;&#45908;)v8\4.&#49345;&#48512;&#44053;&#54868;&#45432;&#48152;\11_&#54224;&#44592;&#47932;&#52376;&#47532;&#44228;&#54925;%20&#49688;&#47549;\&#52404;&#53356;&#47532;&#49828;&#53944;\&#54224;&#44592;&#47932;&#52376;&#47532;&#44228;&#54925;%20&#49688;&#47549;_&#52404;&#53356;&#47532;&#49828;&#53944;.html" TargetMode="External"/><Relationship Id="rId38"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59" Type="http://schemas.openxmlformats.org/officeDocument/2006/relationships/hyperlink" Target="&#47588;&#45684;&#50620;BODY(&#51665;&#54665;&#45800;&#44228;-&#52392;&#48512;&#54260;&#45908;)v8\4.&#49345;&#48512;&#44053;&#54868;&#45432;&#48152;\20_&#49440;&#47196;%20&#51333;_&#54945;&#45800;%20&#48143;%20&#50857;&#51648;&#44221;&#44228;&#52769;&#47049;\&#49688;&#54665;&#51648;&#52840;\&#49440;&#47196;%20&#51333;_&#54945;&#45800;%20&#48143;%20&#50857;&#51648;&#44221;&#44228;&#52769;&#47049;_&#49688;&#54665;&#51648;&#52840;.html" TargetMode="External"/><Relationship Id="rId103" Type="http://schemas.openxmlformats.org/officeDocument/2006/relationships/hyperlink" Target="&#47588;&#45684;&#50620;BODY(&#51665;&#54665;&#45800;&#44228;-&#52392;&#48512;&#54260;&#45908;)v8\4.&#49345;&#48512;&#44053;&#54868;&#45432;&#48152;\35_&#53664;&#44277;&#47560;&#47924;&#47532;\&#54364;&#51456;&#49436;\&#53664;&#44277;&#47560;&#47924;&#47532;_&#54364;&#51456;&#49436;.html" TargetMode="External"/><Relationship Id="rId108" Type="http://schemas.openxmlformats.org/officeDocument/2006/relationships/hyperlink" Target="&#47588;&#45684;&#50620;BODY(&#51665;&#54665;&#45800;&#44228;-&#52392;&#48512;&#54260;&#45908;)v8\4.&#49345;&#48512;&#44053;&#54868;&#45432;&#48152;\36_&#53664;&#44277;%20&#47560;&#47924;&#47532;&#47732;%20&#51064;&#44228;\&#52404;&#53356;&#47532;&#49828;&#53944;\&#53664;&#44277;%20&#47560;&#47924;&#47532;&#47732;%20&#51064;&#44228;_&#52404;&#53356;&#47532;&#49828;&#53944;.html" TargetMode="External"/><Relationship Id="rId54" Type="http://schemas.openxmlformats.org/officeDocument/2006/relationships/hyperlink" Target="&#47588;&#45684;&#50620;BODY(&#51665;&#54665;&#45800;&#44228;-&#52392;&#48512;&#54260;&#45908;)v8\4.&#49345;&#48512;&#44053;&#54868;&#45432;&#48152;\18_&#49939;&#44592;&#51116;&#47308;%20&#44160;&#49324;\&#52404;&#53356;&#47532;&#49828;&#53944;\&#49939;&#44592;&#51116;&#47308;%20&#44160;&#49324;_&#52404;&#53356;&#47532;&#49828;&#53944;.html" TargetMode="External"/><Relationship Id="rId70" Type="http://schemas.openxmlformats.org/officeDocument/2006/relationships/hyperlink" Target="&#47588;&#45684;&#50620;BODY(&#51665;&#54665;&#45800;&#44228;-&#52392;&#48512;&#54260;&#45908;)v8\4.&#49345;&#48512;&#44053;&#54868;&#45432;&#48152;\24_&#44396;&#51312;&#47932;%20&#48143;%20&#51648;&#51109;&#47932;%20&#51228;&#44144;\&#54364;&#51456;&#49436;\&#44396;&#51312;&#47932;%20&#48143;%20&#51648;&#51109;&#47932;%20&#51228;&#44144;_&#54364;&#51456;&#49436;.html" TargetMode="External"/><Relationship Id="rId75" Type="http://schemas.openxmlformats.org/officeDocument/2006/relationships/hyperlink" Target="&#47588;&#45684;&#50620;BODY(&#51665;&#54665;&#45800;&#44228;-&#52392;&#48512;&#54260;&#45908;)v8\4.&#49345;&#48512;&#44053;&#54868;&#45432;&#48152;\25_&#51652;&#51077;&#47196;%20&#51312;&#49457;\&#52404;&#53356;&#47532;&#49828;&#53944;\&#51652;&#51077;&#47196;%20&#51312;&#49457;_&#52404;&#53356;&#47532;&#49828;&#53944;.html" TargetMode="External"/><Relationship Id="rId91" Type="http://schemas.openxmlformats.org/officeDocument/2006/relationships/hyperlink" Target="&#47588;&#45684;&#50620;BODY(&#51665;&#54665;&#45800;&#44228;-&#52392;&#48512;&#54260;&#45908;)v8\4.&#49345;&#48512;&#44053;&#54868;&#45432;&#48152;\31_&#50672;&#50557;&#51648;&#48152;&#52376;&#47532;(&#54596;&#50836;&#49884;)\&#54364;&#51456;&#49436;\&#50672;&#50557;&#51648;&#48152;&#52376;&#47532;_&#54364;&#51456;&#49436;.html" TargetMode="External"/><Relationship Id="rId96"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51208;&#49457;&#53664;&#44221;&#44228;&#48512;%20&#48176;&#49688;&#44396;&#51312;&#47932;%20&#49884;&#44277;_&#52404;&#53356;&#47532;&#49828;&#53944;.html" TargetMode="External"/><Relationship Id="rId1" Type="http://schemas.openxmlformats.org/officeDocument/2006/relationships/hyperlink" Target="&#47588;&#45684;&#50620;BODY(&#51665;&#54665;&#45800;&#44228;-&#52392;&#48512;&#54260;&#45908;)v8\4.&#49345;&#48512;&#44053;&#54868;&#45432;&#48152;\1_&#51648;&#48152;&#51312;&#49324;%20&#49345;&#49464;&#44160;&#53664;\&#54364;&#51456;&#49436;\&#51648;&#48152;&#51312;&#49324;%20&#49345;&#49464;&#44160;&#53664;_&#54364;&#51456;&#49436;.html" TargetMode="External"/><Relationship Id="rId6" Type="http://schemas.openxmlformats.org/officeDocument/2006/relationships/hyperlink" Target="&#47588;&#45684;&#50620;BODY(&#51665;&#54665;&#45800;&#44228;-&#52392;&#48512;&#54260;&#45908;)v8\4.&#49345;&#48512;&#44053;&#54868;&#45432;&#48152;\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4.&#49345;&#48512;&#44053;&#54868;&#45432;&#48152;\5_&#51648;&#51109;&#47932;&#51060;&#49444;%20&#54801;&#51032;\&#52404;&#53356;&#47532;&#49828;&#53944;\&#51648;&#51109;&#47932;&#51060;&#49444;%20&#54801;&#51032;_&#52404;&#53356;&#47532;&#49828;&#53944;.html" TargetMode="External"/><Relationship Id="rId23"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_&#49688;&#54665;&#51648;&#52840;.html" TargetMode="External"/><Relationship Id="rId28" Type="http://schemas.openxmlformats.org/officeDocument/2006/relationships/hyperlink" Target="&#47588;&#45684;&#50620;BODY(&#51665;&#54665;&#45800;&#44228;-&#52392;&#48512;&#54260;&#45908;)v8\4.&#49345;&#48512;&#44053;&#54868;&#45432;&#48152;\10_&#44592;&#44277;&#49849;&#45209;%20&#51201;&#51221;&#49457;%20&#44160;&#53664;\&#54364;&#51456;&#49436;\&#44592;&#44277;&#49849;&#45209;%20&#51201;&#51221;&#49457;%20&#44160;&#53664;_&#54364;&#51456;&#49436;.html" TargetMode="External"/><Relationship Id="rId36" Type="http://schemas.openxmlformats.org/officeDocument/2006/relationships/hyperlink" Target="&#47588;&#45684;&#50620;BODY(&#51665;&#54665;&#45800;&#44228;-&#52392;&#48512;&#54260;&#45908;)v8\4.&#49345;&#48512;&#44053;&#54868;&#45432;&#48152;\12_&#52384;&#46020;&#50868;&#54665;&#54801;&#51032;(&#54596;&#50836;&#49884;)\&#52404;&#53356;&#47532;&#49828;&#53944;\&#52384;&#46020;&#50868;&#54665;&#54801;&#51032;_&#52404;&#53356;&#47532;&#49828;&#53944;.html" TargetMode="External"/><Relationship Id="rId49" Type="http://schemas.openxmlformats.org/officeDocument/2006/relationships/hyperlink" Target="&#47588;&#45684;&#50620;BODY(&#51665;&#54665;&#45800;&#44228;-&#52392;&#48512;&#54260;&#45908;)v8\4.&#49345;&#48512;&#44053;&#54868;&#45432;&#48152;\17_&#51076;&#49884;&#48176;&#49688;&#49884;&#49444;\&#54364;&#51456;&#49436;\&#51076;&#49884;&#48176;&#49688;&#49884;&#49444;_&#54364;&#51456;&#49436;.html" TargetMode="External"/><Relationship Id="rId57" Type="http://schemas.openxmlformats.org/officeDocument/2006/relationships/hyperlink" Target="&#47588;&#45684;&#50620;BODY(&#51665;&#54665;&#45800;&#44228;-&#52392;&#48512;&#54260;&#45908;)v8\4.&#49345;&#48512;&#44053;&#54868;&#45432;&#48152;\19_&#51109;&#48708;%20&#44160;&#49688;%20&#51648;&#50896;\&#52404;&#53356;&#47532;&#49828;&#53944;\&#51109;&#48708;%20&#44160;&#49688;%20&#51648;&#50896;_&#52404;&#53356;&#47532;&#49828;&#53944;.html" TargetMode="External"/><Relationship Id="rId106" Type="http://schemas.openxmlformats.org/officeDocument/2006/relationships/hyperlink" Target="&#47588;&#45684;&#50620;BODY(&#51665;&#54665;&#45800;&#44228;-&#52392;&#48512;&#54260;&#45908;)v8\4.&#49345;&#48512;&#44053;&#54868;&#45432;&#48152;\36_&#53664;&#44277;%20&#47560;&#47924;&#47532;&#47732;%20&#51064;&#44228;\&#54364;&#51456;&#49436;\&#53664;&#44277;%20&#47560;&#47924;&#47532;&#47732;%20&#51064;&#44228;_&#54364;&#51456;&#49436;.html" TargetMode="External"/><Relationship Id="rId10" Type="http://schemas.openxmlformats.org/officeDocument/2006/relationships/hyperlink" Target="&#47588;&#45684;&#50620;BODY(&#51665;&#54665;&#45800;&#44228;-&#52392;&#48512;&#54260;&#45908;)v8\4.&#49345;&#48512;&#44053;&#54868;&#45432;&#48152;\4_&#52265;&#49688;&#51204;%20&#52769;&#47049;%20Data%20&#54869;&#51064;\&#54364;&#51456;&#49436;\&#52265;&#49688;&#51204;%20&#52769;&#47049;%20Data%20&#54869;&#51064;_&#54364;&#51456;&#49436;.html" TargetMode="External"/><Relationship Id="rId31" Type="http://schemas.openxmlformats.org/officeDocument/2006/relationships/hyperlink" Target="&#47588;&#45684;&#50620;BODY(&#51665;&#54665;&#45800;&#44228;-&#52392;&#48512;&#54260;&#45908;)v8\4.&#49345;&#48512;&#44053;&#54868;&#45432;&#48152;\11_&#54224;&#44592;&#47932;&#52376;&#47532;&#44228;&#54925;%20&#49688;&#47549;\&#54364;&#51456;&#49436;\&#54224;&#44592;&#47932;&#52376;&#47532;&#44228;&#54925;%20&#49688;&#47549;_&#54364;&#51456;&#49436;.html" TargetMode="External"/><Relationship Id="rId44" Type="http://schemas.openxmlformats.org/officeDocument/2006/relationships/hyperlink" Target="&#47588;&#45684;&#50620;BODY(&#51665;&#54665;&#45800;&#44228;-&#52392;&#48512;&#54260;&#45908;)v8\4.&#49345;&#48512;&#44053;&#54868;&#45432;&#48152;\15_&#49324;&#53664;&#51109;_&#53664;&#52712;&#51109;%20&#49440;&#51221;%20&#44160;&#53664;(&#54596;&#50836;&#49884;)\&#49688;&#54665;&#51648;&#52840;\&#49324;&#53664;&#51109;_&#53664;&#52712;&#51109;%20&#49440;&#51221;%20&#44160;&#53664;_&#49688;&#54665;&#51648;&#52840;.html" TargetMode="External"/><Relationship Id="rId52" Type="http://schemas.openxmlformats.org/officeDocument/2006/relationships/hyperlink" Target="&#47588;&#45684;&#50620;BODY(&#51665;&#54665;&#45800;&#44228;-&#52392;&#48512;&#54260;&#45908;)v8\4.&#49345;&#48512;&#44053;&#54868;&#45432;&#48152;\18_&#49939;&#44592;&#51116;&#47308;%20&#44160;&#49324;\&#54364;&#51456;&#49436;\&#49939;&#44592;&#51116;&#47308;%20&#44160;&#49324;_&#54364;&#51456;&#49436;.html" TargetMode="External"/><Relationship Id="rId60" Type="http://schemas.openxmlformats.org/officeDocument/2006/relationships/hyperlink" Target="&#47588;&#45684;&#50620;BODY(&#51665;&#54665;&#45800;&#44228;-&#52392;&#48512;&#54260;&#45908;)v8\4.&#49345;&#48512;&#44053;&#54868;&#45432;&#48152;\20_&#49440;&#47196;%20&#51333;_&#54945;&#45800;%20&#48143;%20&#50857;&#51648;&#44221;&#44228;&#52769;&#47049;\&#52404;&#53356;&#47532;&#49828;&#53944;\&#49440;&#47196;%20&#51333;_&#54945;&#45800;%20&#48143;%20&#50857;&#51648;&#44221;&#44228;&#52769;&#47049;_&#52404;&#53356;&#47532;&#49828;&#53944;.html" TargetMode="External"/><Relationship Id="rId65" Type="http://schemas.openxmlformats.org/officeDocument/2006/relationships/hyperlink" Target="&#47588;&#45684;&#50620;BODY(&#51665;&#54665;&#45800;&#44228;-&#52392;&#48512;&#54260;&#45908;)v8\4.&#49345;&#48512;&#44053;&#54868;&#45432;&#48152;\22_&#51456;&#48708;&#48176;&#49688;\&#49688;&#54665;&#51648;&#52840;\&#51456;&#48708;&#48176;&#49688;_&#49688;&#54665;&#51648;&#52840;.html" TargetMode="External"/><Relationship Id="rId73" Type="http://schemas.openxmlformats.org/officeDocument/2006/relationships/hyperlink" Target="&#47588;&#45684;&#50620;BODY(&#51665;&#54665;&#45800;&#44228;-&#52392;&#48512;&#54260;&#45908;)v8\4.&#49345;&#48512;&#44053;&#54868;&#45432;&#48152;\25_&#51652;&#51077;&#47196;%20&#51312;&#49457;\&#54364;&#51456;&#49436;\&#51652;&#51077;&#47196;%20&#51312;&#49457;_&#54364;&#51456;&#49436;.html" TargetMode="External"/><Relationship Id="rId78" Type="http://schemas.openxmlformats.org/officeDocument/2006/relationships/hyperlink" Target="&#47588;&#45684;&#50620;BODY(&#51665;&#54665;&#45800;&#44228;-&#52392;&#48512;&#54260;&#45908;)v8\4.&#49345;&#48512;&#44053;&#54868;&#45432;&#48152;\26_&#45432;&#48152;&#49939;&#44592;\&#52404;&#53356;&#47532;&#49828;&#53944;\&#45432;&#48152;&#49939;&#44592;_&#52404;&#53356;&#47532;&#49828;&#53944;.html" TargetMode="External"/><Relationship Id="rId81" Type="http://schemas.openxmlformats.org/officeDocument/2006/relationships/hyperlink" Target="&#47588;&#45684;&#50620;BODY(&#51665;&#54665;&#45800;&#44228;-&#52392;&#48512;&#54260;&#45908;)v8\4.&#49345;&#48512;&#44053;&#54868;&#45432;&#48152;\27_&#54616;&#48512;&#45432;&#48152;%20&#49884;&#44277;\&#52404;&#53356;&#47532;&#49828;&#53944;\&#54616;&#48512;&#45432;&#48152;%20&#49884;&#44277;_&#52404;&#53356;&#47532;&#49828;&#53944;.html" TargetMode="External"/><Relationship Id="rId86" Type="http://schemas.openxmlformats.org/officeDocument/2006/relationships/hyperlink" Target="&#47588;&#45684;&#50620;BODY(&#51665;&#54665;&#45800;&#44228;-&#52392;&#48512;&#54260;&#45908;)v8\4.&#49345;&#48512;&#44053;&#54868;&#45432;&#48152;\29_&#44053;&#54868;&#45432;&#48152;%20&#49884;&#44277;\&#49688;&#54665;&#51648;&#52840;\&#44053;&#54868;&#45432;&#48152;%20&#49884;&#44277;_&#49688;&#54665;&#51648;&#52840;.html" TargetMode="External"/><Relationship Id="rId94" Type="http://schemas.openxmlformats.org/officeDocument/2006/relationships/hyperlink" Target="&#47588;&#45684;&#50620;BODY(&#51665;&#54665;&#45800;&#44228;-&#52392;&#48512;&#54260;&#45908;)v8\4.&#49345;&#48512;&#44053;&#54868;&#45432;&#48152;\32_&#51208;&#49457;&#53664;&#44221;&#44228;&#48512;%20&#48176;&#49688;&#44396;&#51312;&#47932;(&#47609;&#50516;&#44144;)%20&#49884;&#44277;\&#54364;&#51456;&#49436;\&#51208;&#49457;&#53664;&#44221;&#44228;&#48512;%20&#48176;&#49688;&#44396;&#51312;&#47932;%20&#49884;&#44277;_&#54364;&#51456;&#49436;.html" TargetMode="External"/><Relationship Id="rId99" Type="http://schemas.openxmlformats.org/officeDocument/2006/relationships/hyperlink" Target="&#47588;&#45684;&#50620;BODY(&#51665;&#54665;&#45800;&#44228;-&#52392;&#48512;&#54260;&#45908;)v8\4.&#49345;&#48512;&#44053;&#54868;&#45432;&#48152;\33_&#50516;&#49437;&#49939;&#44592;\&#52404;&#53356;&#47532;&#49828;&#53944;\&#50516;&#49437;&#49939;&#44592;_&#52404;&#53356;&#47532;&#49828;&#53944;.html" TargetMode="External"/><Relationship Id="rId101" Type="http://schemas.openxmlformats.org/officeDocument/2006/relationships/hyperlink" Target="&#47588;&#45684;&#50620;BODY(&#51665;&#54665;&#45800;&#44228;-&#52392;&#48512;&#54260;&#45908;)v8\4.&#49345;&#48512;&#44053;&#54868;&#45432;&#48152;\34_&#48169;&#52824;&#44592;&#44036;%20&#54869;&#48372;\&#49688;&#54665;&#51648;&#52840;\&#48169;&#52824;&#44592;&#44036;%20&#54869;&#48372;_&#49688;&#54665;&#51648;&#52840;.html" TargetMode="External"/><Relationship Id="rId4" Type="http://schemas.openxmlformats.org/officeDocument/2006/relationships/hyperlink" Target="&#47588;&#45684;&#50620;BODY(&#51665;&#54665;&#45800;&#44228;-&#52392;&#48512;&#54260;&#45908;)v8\4.&#49345;&#48512;&#44053;&#54868;&#45432;&#48152;\2_&#48156;&#51452;&#51204;&#47029;%20KOM\&#54364;&#51456;&#49436;\&#48156;&#51452;&#51204;&#47029;%20KOM_&#54364;&#51456;&#49436;.html" TargetMode="External"/><Relationship Id="rId9"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52384;&#46020;&#48372;&#54840;&#51648;&#44396;%20&#54665;&#50948;&#49888;&#44256;_&#52404;&#53356;&#47532;&#49828;&#53944;.html" TargetMode="External"/><Relationship Id="rId13" Type="http://schemas.openxmlformats.org/officeDocument/2006/relationships/hyperlink" Target="&#47588;&#45684;&#50620;BODY(&#51665;&#54665;&#45800;&#44228;-&#52392;&#48512;&#54260;&#45908;)v8\4.&#49345;&#48512;&#44053;&#54868;&#45432;&#48152;\5_&#51648;&#51109;&#47932;&#51060;&#49444;%20&#54801;&#51032;\&#54364;&#51456;&#49436;\&#51648;&#51109;&#47932;&#51060;&#49444;%20&#54801;&#51032;_&#54364;&#51456;&#49436;.html" TargetMode="External"/><Relationship Id="rId18" Type="http://schemas.openxmlformats.org/officeDocument/2006/relationships/hyperlink" Target="&#47588;&#45684;&#50620;BODY(&#51665;&#54665;&#45800;&#44228;-&#52392;&#48512;&#54260;&#45908;)v8\4.&#49345;&#48512;&#44053;&#54868;&#45432;&#48152;\6_&#50857;&#51648;&#48372;&#49345;RISK%20&#44160;&#53664;\&#52404;&#53356;&#47532;&#49828;&#53944;\&#50857;&#51648;&#48372;&#49345;RISK%20&#44160;&#53664;_&#52404;&#53356;&#47532;&#49828;&#53944;.html" TargetMode="External"/><Relationship Id="rId39" Type="http://schemas.openxmlformats.org/officeDocument/2006/relationships/hyperlink" Target="&#47588;&#45684;&#50620;BODY(&#51665;&#54665;&#45800;&#44228;-&#52392;&#48512;&#54260;&#45908;)v8\4.&#49345;&#48512;&#44053;&#54868;&#45432;&#48152;\13_&#51089;&#49688;&#51204;%20Big%20Room%20&#54924;&#51032;\&#52404;&#53356;&#47532;&#49828;&#53944;\&#51089;&#49688;&#51204;%20Big%20Room%20&#54924;&#51032;_&#52404;&#53356;&#47532;&#49828;&#53944;.html" TargetMode="External"/><Relationship Id="rId109" Type="http://schemas.openxmlformats.org/officeDocument/2006/relationships/printerSettings" Target="../printerSettings/printerSettings4.bin"/><Relationship Id="rId34" Type="http://schemas.openxmlformats.org/officeDocument/2006/relationships/hyperlink" Target="&#47588;&#45684;&#50620;BODY(&#51665;&#54665;&#45800;&#44228;-&#52392;&#48512;&#54260;&#45908;)v8\4.&#49345;&#48512;&#44053;&#54868;&#45432;&#48152;\12_&#52384;&#46020;&#50868;&#54665;&#54801;&#51032;(&#54596;&#50836;&#49884;)\&#54364;&#51456;&#49436;\&#52384;&#46020;&#50868;&#54665;&#54801;&#51032;_&#54364;&#51456;&#49436;.html" TargetMode="External"/><Relationship Id="rId50"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55" Type="http://schemas.openxmlformats.org/officeDocument/2006/relationships/hyperlink" Target="&#47588;&#45684;&#50620;BODY(&#51665;&#54665;&#45800;&#44228;-&#52392;&#48512;&#54260;&#45908;)v8\4.&#49345;&#48512;&#44053;&#54868;&#45432;&#48152;\19_&#51109;&#48708;%20&#44160;&#49688;%20&#51648;&#50896;\&#54364;&#51456;&#49436;\&#51109;&#48708;%20&#44160;&#49688;%20&#51648;&#50896;_&#54364;&#51456;&#49436;.html" TargetMode="External"/><Relationship Id="rId76" Type="http://schemas.openxmlformats.org/officeDocument/2006/relationships/hyperlink" Target="&#47588;&#45684;&#50620;BODY(&#51665;&#54665;&#45800;&#44228;-&#52392;&#48512;&#54260;&#45908;)v8\4.&#49345;&#48512;&#44053;&#54868;&#45432;&#48152;\26_&#45432;&#48152;&#49939;&#44592;\&#54364;&#51456;&#49436;\&#45432;&#48152;&#49939;&#44592;_&#54364;&#51456;&#49436;.html" TargetMode="External"/><Relationship Id="rId97" Type="http://schemas.openxmlformats.org/officeDocument/2006/relationships/hyperlink" Target="&#47588;&#45684;&#50620;BODY(&#51665;&#54665;&#45800;&#44228;-&#52392;&#48512;&#54260;&#45908;)v8\4.&#49345;&#48512;&#44053;&#54868;&#45432;&#48152;\33_&#50516;&#49437;&#49939;&#44592;\&#54364;&#51456;&#49436;\&#50516;&#49437;&#49939;&#44592;_&#54364;&#51456;&#49436;.html" TargetMode="External"/><Relationship Id="rId104" Type="http://schemas.openxmlformats.org/officeDocument/2006/relationships/hyperlink" Target="&#47588;&#45684;&#50620;BODY(&#51665;&#54665;&#45800;&#44228;-&#52392;&#48512;&#54260;&#45908;)v8\4.&#49345;&#48512;&#44053;&#54868;&#45432;&#48152;\35_&#53664;&#44277;&#47560;&#47924;&#47532;\&#49688;&#54665;&#51648;&#52840;\&#53664;&#44277;&#47560;&#47924;&#47532;_&#49688;&#54665;&#51648;&#52840;.html" TargetMode="External"/><Relationship Id="rId7" Type="http://schemas.openxmlformats.org/officeDocument/2006/relationships/hyperlink" Target="&#47588;&#45684;&#50620;BODY(&#51665;&#54665;&#45800;&#44228;-&#52392;&#48512;&#54260;&#45908;)v8\4.&#49345;&#48512;&#44053;&#54868;&#45432;&#48152;\3_&#52384;&#46020;&#48372;&#54840;&#51648;&#44396;&#50640;&#49436;&#51032;%20&#54665;&#50948;&#49888;&#44256;(&#54596;&#50836;&#49884;)\&#54364;&#51456;&#49436;\&#52384;&#46020;&#48372;&#54840;&#51648;&#44396;%20&#54665;&#50948;&#49888;&#44256;_&#54364;&#51456;&#49436;.html" TargetMode="External"/><Relationship Id="rId71" Type="http://schemas.openxmlformats.org/officeDocument/2006/relationships/hyperlink" Target="&#47588;&#45684;&#50620;BODY(&#51665;&#54665;&#45800;&#44228;-&#52392;&#48512;&#54260;&#45908;)v8\4.&#49345;&#48512;&#44053;&#54868;&#45432;&#48152;\24_&#44396;&#51312;&#47932;%20&#48143;%20&#51648;&#51109;&#47932;%20&#51228;&#44144;\&#49688;&#54665;&#51648;&#52840;\&#44396;&#51312;&#47932;%20&#48143;%20&#51648;&#51109;&#47932;%20&#51228;&#44144;_&#49688;&#54665;&#51648;&#52840;.html" TargetMode="External"/><Relationship Id="rId92" Type="http://schemas.openxmlformats.org/officeDocument/2006/relationships/hyperlink" Target="&#47588;&#45684;&#50620;BODY(&#51665;&#54665;&#45800;&#44228;-&#52392;&#48512;&#54260;&#45908;)v8\4.&#49345;&#48512;&#44053;&#54868;&#45432;&#48152;\31_&#50672;&#50557;&#51648;&#48152;&#52376;&#47532;(&#54596;&#50836;&#49884;)\&#49688;&#54665;&#51648;&#52840;\&#50672;&#50557;&#51648;&#48152;&#52376;&#47532;_&#49688;&#54665;&#51648;&#52840;.html" TargetMode="External"/><Relationship Id="rId2"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29"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24" Type="http://schemas.openxmlformats.org/officeDocument/2006/relationships/hyperlink" Target="&#47588;&#45684;&#50620;BODY(&#51665;&#54665;&#45800;&#44228;-&#52392;&#48512;&#54260;&#45908;)v8\4.&#49345;&#48512;&#44053;&#54868;&#45432;&#48152;\8_&#50672;&#50557;&#51648;&#48152;%20&#52376;&#47532;&#44277;&#48277;%20&#44160;&#53664;(&#54596;&#50836;&#49884;)\&#52404;&#53356;&#47532;&#49828;&#53944;\&#50672;&#50557;&#51648;&#48152;%20&#52376;&#47532;&#44277;&#48277;%20&#44160;&#53664;_&#52404;&#53356;&#47532;&#49828;&#53944;.html" TargetMode="External"/><Relationship Id="rId40" Type="http://schemas.openxmlformats.org/officeDocument/2006/relationships/hyperlink" Target="&#47588;&#45684;&#50620;BODY(&#51665;&#54665;&#45800;&#44228;-&#52392;&#48512;&#54260;&#45908;)v8\4.&#49345;&#48512;&#44053;&#54868;&#45432;&#48152;\14_&#49884;&#44277;%20&#44228;&#54925;%20&#49688;&#47549;\&#54364;&#51456;&#49436;\&#49884;&#44277;%20&#44228;&#54925;%20&#49688;&#47549;_&#54364;&#51456;&#49436;.html" TargetMode="External"/><Relationship Id="rId45" Type="http://schemas.openxmlformats.org/officeDocument/2006/relationships/hyperlink" Target="&#47588;&#45684;&#50620;BODY(&#51665;&#54665;&#45800;&#44228;-&#52392;&#48512;&#54260;&#45908;)v8\4.&#49345;&#48512;&#44053;&#54868;&#45432;&#48152;\15_&#49324;&#53664;&#51109;_&#53664;&#52712;&#51109;%20&#49440;&#51221;%20&#44160;&#53664;(&#54596;&#50836;&#49884;)\&#52404;&#53356;&#47532;&#49828;&#53944;\&#49324;&#53664;&#51109;_&#53664;&#52712;&#51109;%20&#49440;&#51221;%20&#44160;&#53664;_&#52404;&#53356;&#47532;&#49828;&#53944;.html" TargetMode="External"/><Relationship Id="rId66" Type="http://schemas.openxmlformats.org/officeDocument/2006/relationships/hyperlink" Target="&#47588;&#45684;&#50620;BODY(&#51665;&#54665;&#45800;&#44228;-&#52392;&#48512;&#54260;&#45908;)v8\4.&#49345;&#48512;&#44053;&#54868;&#45432;&#48152;\22_&#51456;&#48708;&#48176;&#49688;\&#52404;&#53356;&#47532;&#49828;&#53944;\&#51456;&#48708;&#48176;&#49688;_&#52404;&#53356;&#47532;&#49828;&#53944;.html" TargetMode="External"/><Relationship Id="rId87" Type="http://schemas.openxmlformats.org/officeDocument/2006/relationships/hyperlink" Target="&#47588;&#45684;&#50620;BODY(&#51665;&#54665;&#45800;&#44228;-&#52392;&#48512;&#54260;&#45908;)v8\4.&#49345;&#48512;&#44053;&#54868;&#45432;&#48152;\29_&#44053;&#54868;&#45432;&#48152;%20&#49884;&#44277;\&#52404;&#53356;&#47532;&#49828;&#53944;\&#44053;&#54868;&#45432;&#48152;%20&#49884;&#44277;_&#52404;&#53356;&#47532;&#49828;&#53944;.html" TargetMode="External"/><Relationship Id="rId61" Type="http://schemas.openxmlformats.org/officeDocument/2006/relationships/hyperlink" Target="&#47588;&#45684;&#50620;BODY(&#51665;&#54665;&#45800;&#44228;-&#52392;&#48512;&#54260;&#45908;)v8\4.&#49345;&#48512;&#44053;&#54868;&#45432;&#48152;\21_&#44508;&#51456;&#53952;%20&#49444;&#52824;\&#54364;&#51456;&#49436;\&#44508;&#51456;&#53952;%20&#49444;&#52824;_&#54364;&#51456;&#49436;.html" TargetMode="External"/><Relationship Id="rId82" Type="http://schemas.openxmlformats.org/officeDocument/2006/relationships/hyperlink" Target="&#47588;&#45684;&#50620;BODY(&#51665;&#54665;&#45800;&#44228;-&#52392;&#48512;&#54260;&#45908;)v8\4.&#49345;&#48512;&#44053;&#54868;&#45432;&#48152;\28_&#49345;&#48512;&#45432;&#48152;%20&#49884;&#44277;\&#54364;&#51456;&#49436;\&#49345;&#48512;&#45432;&#48152;%20&#49884;&#44277;_&#54364;&#51456;&#49436;.html" TargetMode="External"/><Relationship Id="rId19" Type="http://schemas.openxmlformats.org/officeDocument/2006/relationships/hyperlink" Target="&#47588;&#45684;&#50620;BODY(&#51665;&#54665;&#45800;&#44228;-&#52392;&#48512;&#54260;&#45908;)v8\4.&#49345;&#48512;&#44053;&#54868;&#45432;&#48152;\7_&#52572;&#44256;&#51032;%20&#54016;%20&#47564;&#46308;&#44592;%20&#51648;&#50896;\&#54364;&#51456;&#49436;\&#52572;&#44256;&#51032;%20&#54016;%20&#47564;&#46308;&#44592;%20&#51648;&#50896;_&#54364;&#51456;&#49436;.html" TargetMode="External"/><Relationship Id="rId14"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30" Type="http://schemas.openxmlformats.org/officeDocument/2006/relationships/hyperlink" Target="&#47588;&#45684;&#50620;BODY(&#51665;&#54665;&#45800;&#44228;-&#52392;&#48512;&#54260;&#45908;)v8\4.&#49345;&#48512;&#44053;&#54868;&#45432;&#48152;\10_&#44592;&#44277;&#49849;&#45209;%20&#51201;&#51221;&#49457;%20&#44160;&#53664;\&#52404;&#53356;&#47532;&#49828;&#53944;\&#44592;&#44277;&#49849;&#45209;%20&#51201;&#51221;&#49457;%20&#44160;&#53664;_&#52404;&#53356;&#47532;&#49828;&#53944;.html" TargetMode="External"/><Relationship Id="rId35" Type="http://schemas.openxmlformats.org/officeDocument/2006/relationships/hyperlink" Target="&#47588;&#45684;&#50620;BODY(&#51665;&#54665;&#45800;&#44228;-&#52392;&#48512;&#54260;&#45908;)v8\4.&#49345;&#48512;&#44053;&#54868;&#45432;&#48152;\12_&#52384;&#46020;&#50868;&#54665;&#54801;&#51032;(&#54596;&#50836;&#49884;)\&#49688;&#54665;&#51648;&#52840;\&#52384;&#46020;&#50868;&#54665;&#54801;&#51032;_&#49688;&#54665;&#51648;&#52840;.html" TargetMode="External"/><Relationship Id="rId56"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77" Type="http://schemas.openxmlformats.org/officeDocument/2006/relationships/hyperlink" Target="&#47588;&#45684;&#50620;BODY(&#51665;&#54665;&#45800;&#44228;-&#52392;&#48512;&#54260;&#45908;)v8\4.&#49345;&#48512;&#44053;&#54868;&#45432;&#48152;\26_&#45432;&#48152;&#49939;&#44592;\&#49688;&#54665;&#51648;&#52840;\&#45432;&#48152;&#49939;&#44592;_&#49688;&#54665;&#51648;&#52840;.html" TargetMode="External"/><Relationship Id="rId100" Type="http://schemas.openxmlformats.org/officeDocument/2006/relationships/hyperlink" Target="&#47588;&#45684;&#50620;BODY(&#51665;&#54665;&#45800;&#44228;-&#52392;&#48512;&#54260;&#45908;)v8\4.&#49345;&#48512;&#44053;&#54868;&#45432;&#48152;\34_&#48169;&#52824;&#44592;&#44036;%20&#54869;&#48372;\&#54364;&#51456;&#49436;\&#48169;&#52824;&#44592;&#44036;%20&#54869;&#48372;_&#54364;&#51456;&#49436;.html" TargetMode="External"/><Relationship Id="rId105" Type="http://schemas.openxmlformats.org/officeDocument/2006/relationships/hyperlink" Target="&#47588;&#45684;&#50620;BODY(&#51665;&#54665;&#45800;&#44228;-&#52392;&#48512;&#54260;&#45908;)v8\4.&#49345;&#48512;&#44053;&#54868;&#45432;&#48152;\35_&#53664;&#44277;&#47560;&#47924;&#47532;\&#52404;&#53356;&#47532;&#49828;&#53944;\&#53664;&#44277;&#47560;&#47924;&#47532;_&#52404;&#53356;&#47532;&#49828;&#53944;.html" TargetMode="External"/><Relationship Id="rId8"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20&#54665;&#50948;&#49888;&#44256;_&#49688;&#54665;&#51648;&#52840;.html" TargetMode="External"/><Relationship Id="rId51" Type="http://schemas.openxmlformats.org/officeDocument/2006/relationships/hyperlink" Target="&#47588;&#45684;&#50620;BODY(&#51665;&#54665;&#45800;&#44228;-&#52392;&#48512;&#54260;&#45908;)v8\4.&#49345;&#48512;&#44053;&#54868;&#45432;&#48152;\17_&#51076;&#49884;&#48176;&#49688;&#49884;&#49444;\&#52404;&#53356;&#47532;&#49828;&#53944;\&#51076;&#49884;&#48176;&#49688;&#49884;&#49444;_&#52404;&#53356;&#47532;&#49828;&#53944;.html" TargetMode="External"/><Relationship Id="rId72" Type="http://schemas.openxmlformats.org/officeDocument/2006/relationships/hyperlink" Target="&#47588;&#45684;&#50620;BODY(&#51665;&#54665;&#45800;&#44228;-&#52392;&#48512;&#54260;&#45908;)v8\4.&#49345;&#48512;&#44053;&#54868;&#45432;&#48152;\24_&#44396;&#51312;&#47932;%20&#48143;%20&#51648;&#51109;&#47932;%20&#51228;&#44144;\&#52404;&#53356;&#47532;&#49828;&#53944;\&#44396;&#51312;&#47932;%20&#48143;%20&#51648;&#51109;&#47932;%20&#51228;&#44144;_&#52404;&#53356;&#47532;&#49828;&#53944;.html" TargetMode="External"/><Relationship Id="rId93" Type="http://schemas.openxmlformats.org/officeDocument/2006/relationships/hyperlink" Target="&#47588;&#45684;&#50620;BODY(&#51665;&#54665;&#45800;&#44228;-&#52392;&#48512;&#54260;&#45908;)v8\4.&#49345;&#48512;&#44053;&#54868;&#45432;&#48152;\31_&#50672;&#50557;&#51648;&#48152;&#52376;&#47532;(&#54596;&#50836;&#49884;)\&#52404;&#53356;&#47532;&#49828;&#53944;\&#50672;&#50557;&#51648;&#48152;&#52376;&#47532;_&#52404;&#53356;&#47532;&#49828;&#53944;.html" TargetMode="External"/><Relationship Id="rId98" Type="http://schemas.openxmlformats.org/officeDocument/2006/relationships/hyperlink" Target="&#47588;&#45684;&#50620;BODY(&#51665;&#54665;&#45800;&#44228;-&#52392;&#48512;&#54260;&#45908;)v8\4.&#49345;&#48512;&#44053;&#54868;&#45432;&#48152;\33_&#50516;&#49437;&#49939;&#44592;\&#49688;&#54665;&#51648;&#52840;\&#50516;&#49437;&#49939;&#44592;_&#49688;&#54665;&#51648;&#52840;.html" TargetMode="External"/><Relationship Id="rId3"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 Id="rId25" Type="http://schemas.openxmlformats.org/officeDocument/2006/relationships/hyperlink" Target="&#47588;&#45684;&#50620;BODY(&#51665;&#54665;&#45800;&#44228;-&#52392;&#48512;&#54260;&#45908;)v8\4.&#49345;&#48512;&#44053;&#54868;&#45432;&#48152;\9_&#53664;&#44277;%20&#50976;&#46041;&#54364;%20&#54869;&#51064;\&#54364;&#51456;&#49436;\&#53664;&#44277;%20&#50976;&#46041;&#54364;%20&#54869;&#51064;_&#54364;&#51456;&#49436;.html" TargetMode="External"/><Relationship Id="rId46" Type="http://schemas.openxmlformats.org/officeDocument/2006/relationships/hyperlink" Target="&#47588;&#45684;&#50620;BODY(&#51665;&#54665;&#45800;&#44228;-&#52392;&#48512;&#54260;&#45908;)v8\4.&#49345;&#48512;&#44053;&#54868;&#45432;&#48152;\16_&#44277;&#49324;&#49324;&#51204;&#51456;&#48708;\&#54364;&#51456;&#49436;\&#44277;&#49324;&#49324;&#51204;&#51456;&#48708;_&#54364;&#51456;&#49436;.html" TargetMode="External"/><Relationship Id="rId67" Type="http://schemas.openxmlformats.org/officeDocument/2006/relationships/hyperlink" Target="&#47588;&#45684;&#50620;BODY(&#51665;&#54665;&#45800;&#44228;-&#52392;&#48512;&#54260;&#45908;)v8\4.&#49345;&#48512;&#44053;&#54868;&#45432;&#48152;\23_&#48268;&#44060;&#51228;&#44540;_&#54364;&#53664;&#51228;&#44144;\&#54364;&#51456;&#49436;\&#48268;&#44060;&#51228;&#44540;_&#54364;&#53664;&#51228;&#44144;_&#54364;&#51456;&#49436;.html" TargetMode="External"/><Relationship Id="rId20"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41"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62" Type="http://schemas.openxmlformats.org/officeDocument/2006/relationships/hyperlink" Target="&#47588;&#45684;&#50620;BODY(&#51665;&#54665;&#45800;&#44228;-&#52392;&#48512;&#54260;&#45908;)v8\4.&#49345;&#48512;&#44053;&#54868;&#45432;&#48152;\21_&#44508;&#51456;&#53952;%20&#49444;&#52824;\&#49688;&#54665;&#51648;&#52840;\&#44508;&#51456;&#53952;%20&#49444;&#52824;_&#49688;&#54665;&#51648;&#52840;.html" TargetMode="External"/><Relationship Id="rId83" Type="http://schemas.openxmlformats.org/officeDocument/2006/relationships/hyperlink" Target="&#47588;&#45684;&#50620;BODY(&#51665;&#54665;&#45800;&#44228;-&#52392;&#48512;&#54260;&#45908;)v8\4.&#49345;&#48512;&#44053;&#54868;&#45432;&#48152;\28_&#49345;&#48512;&#45432;&#48152;%20&#49884;&#44277;\&#49688;&#54665;&#51648;&#52840;\&#49345;&#48512;&#45432;&#48152;%20&#49884;&#44277;_&#49688;&#54665;&#51648;&#52840;.html" TargetMode="External"/><Relationship Id="rId88" Type="http://schemas.openxmlformats.org/officeDocument/2006/relationships/hyperlink" Target="&#47588;&#45684;&#50620;BODY(&#51665;&#54665;&#45800;&#44228;-&#52392;&#48512;&#54260;&#45908;)v8\4.&#49345;&#48512;&#44053;&#54868;&#45432;&#48152;\30_&#53664;&#44277;%20&#50976;&#46041;&#50868;&#48152;_&#49324;&#53664;\&#54364;&#51456;&#49436;\&#53664;&#44277;%20&#50976;&#46041;&#50868;&#48152;_&#49324;&#53664;_&#54364;&#51456;&#49436;.html"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47588;&#45684;&#50620;BODY(&#51665;&#54665;&#45800;&#44228;-&#52392;&#48512;&#54260;&#45908;)v8\5.&#53080;&#53356;&#47532;&#53944;&#46020;&#49345;\5_&#52572;&#44256;&#51032;%20&#54016;%20&#47564;&#46308;&#44592;%20&#51648;&#50896;\&#54364;&#51456;&#49436;\&#52572;&#44256;&#51032;%20&#54016;%20&#47564;&#46308;&#44592;%20&#51648;&#50896;_&#54364;&#51456;&#49436;.html" TargetMode="External"/><Relationship Id="rId18" Type="http://schemas.openxmlformats.org/officeDocument/2006/relationships/hyperlink" Target="&#47588;&#45684;&#50620;BODY(&#51665;&#54665;&#45800;&#44228;-&#52392;&#48512;&#54260;&#45908;)v8\5.&#53080;&#53356;&#47532;&#53944;&#46020;&#49345;\6_&#53080;&#53356;&#47532;&#53944;%20&#53440;&#49444;&#48169;&#48277;_&#44228;&#54925;%20&#44160;&#53664;\&#52404;&#53356;&#47532;&#49828;&#53944;\&#53080;&#53356;&#47532;&#53944;%20&#53440;&#49444;&#48169;&#48277;_&#44228;&#54925;%20&#44160;&#53664;_&#52404;&#53356;&#47532;&#49828;&#53944;.html" TargetMode="External"/><Relationship Id="rId26" Type="http://schemas.openxmlformats.org/officeDocument/2006/relationships/hyperlink" Target="&#47588;&#45684;&#50620;BODY(&#51665;&#54665;&#45800;&#44228;-&#52392;&#48512;&#54260;&#45908;)v8\5.&#53080;&#53356;&#47532;&#53944;&#46020;&#49345;\9_&#51088;&#51116;&#51312;&#45804;&#44228;&#54925;%20&#44160;&#53664;\&#49688;&#54665;&#51648;&#52840;\&#51088;&#51116;&#51312;&#45804;&#44228;&#54925;%20&#44160;&#53664;_&#49688;&#54665;&#51648;&#52840;.html" TargetMode="External"/><Relationship Id="rId21" Type="http://schemas.openxmlformats.org/officeDocument/2006/relationships/hyperlink" Target="&#47588;&#45684;&#50620;BODY(&#51665;&#54665;&#45800;&#44228;-&#52392;&#48512;&#54260;&#45908;)v8\5.&#53080;&#53356;&#47532;&#53944;&#46020;&#49345;\7_&#51089;&#49688;&#51204;%20Big%20Room%20&#54924;&#51032;\&#52404;&#53356;&#47532;&#49828;&#53944;\&#51089;&#49688;&#51204;%20Big%20Room%20&#54924;&#51032;_&#52404;&#53356;&#47532;&#49828;&#53944;.html" TargetMode="External"/><Relationship Id="rId34" Type="http://schemas.openxmlformats.org/officeDocument/2006/relationships/hyperlink" Target="&#47588;&#45684;&#50620;BODY(&#51665;&#54665;&#45800;&#44228;-&#52392;&#48512;&#54260;&#45908;)v8\5.&#53080;&#53356;&#47532;&#53944;&#46020;&#49345;\12_&#51088;&#51116;%20&#48152;&#51077;\&#54364;&#51456;&#49436;\&#51088;&#51116;%20&#48152;&#51077;_&#54364;&#51456;&#49436;.html" TargetMode="External"/><Relationship Id="rId7" Type="http://schemas.openxmlformats.org/officeDocument/2006/relationships/hyperlink" Target="&#47588;&#45684;&#50620;BODY(&#51665;&#54665;&#45800;&#44228;-&#52392;&#48512;&#54260;&#45908;)v8\5.&#53080;&#53356;&#47532;&#53944;&#46020;&#49345;\3_&#47112;&#51068;%20&#50857;&#51217;&#51109;%20&#49440;&#51221;\&#54364;&#51456;&#49436;\&#47112;&#51068;%20&#50857;&#51217;&#51109;%20&#49440;&#51221;_&#54364;&#51456;&#49436;.html" TargetMode="External"/><Relationship Id="rId12" Type="http://schemas.openxmlformats.org/officeDocument/2006/relationships/hyperlink" Target="&#47588;&#45684;&#50620;BODY(&#51665;&#54665;&#45800;&#44228;-&#52392;&#48512;&#54260;&#45908;)v8\5.&#53080;&#53356;&#47532;&#53944;&#46020;&#49345;\4_&#48156;&#51452;&#51204;&#47029;%20KOM\&#52404;&#53356;&#47532;&#49828;&#53944;\&#48156;&#51452;&#51204;&#47029;%20KOM_&#52404;&#53356;&#47532;&#49828;&#53944;.html" TargetMode="External"/><Relationship Id="rId17" Type="http://schemas.openxmlformats.org/officeDocument/2006/relationships/hyperlink" Target="&#47588;&#45684;&#50620;BODY(&#51665;&#54665;&#45800;&#44228;-&#52392;&#48512;&#54260;&#45908;)v8\5.&#53080;&#53356;&#47532;&#53944;&#46020;&#49345;\6_&#53080;&#53356;&#47532;&#53944;%20&#53440;&#49444;&#48169;&#48277;_&#44228;&#54925;%20&#44160;&#53664;\&#49688;&#54665;&#51648;&#52840;\&#53080;&#53356;&#47532;&#53944;%20&#53440;&#49444;&#48169;&#48277;_&#44228;&#54925;%20&#44160;&#53664;_&#49688;&#54665;&#51648;&#52840;.html" TargetMode="External"/><Relationship Id="rId25" Type="http://schemas.openxmlformats.org/officeDocument/2006/relationships/hyperlink" Target="&#47588;&#45684;&#50620;BODY(&#51665;&#54665;&#45800;&#44228;-&#52392;&#48512;&#54260;&#45908;)v8\5.&#53080;&#53356;&#47532;&#53944;&#46020;&#49345;\9_&#51088;&#51116;&#51312;&#45804;&#44228;&#54925;%20&#44160;&#53664;\&#54364;&#51456;&#49436;\&#51088;&#51116;&#51312;&#45804;&#44228;&#54925;%20&#44160;&#53664;_&#54364;&#51456;&#49436;.html" TargetMode="External"/><Relationship Id="rId33" Type="http://schemas.openxmlformats.org/officeDocument/2006/relationships/hyperlink" Target="&#47588;&#45684;&#50620;BODY(&#51665;&#54665;&#45800;&#44228;-&#52392;&#48512;&#54260;&#45908;)v8\5.&#53080;&#53356;&#47532;&#53944;&#46020;&#49345;\11_&#49884;&#44277;&#44228;&#54925;%20&#49688;&#47549;\&#52404;&#53356;&#47532;&#49828;&#53944;\&#49884;&#44277;&#44228;&#54925;%20&#49688;&#47549;_&#52404;&#53356;&#47532;&#49828;&#53944;.html" TargetMode="External"/><Relationship Id="rId2" Type="http://schemas.openxmlformats.org/officeDocument/2006/relationships/hyperlink" Target="&#47588;&#45684;&#50620;BODY(&#51665;&#54665;&#45800;&#44228;-&#52392;&#48512;&#54260;&#45908;)v8\5.&#53080;&#53356;&#47532;&#53944;&#46020;&#49345;\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5.&#53080;&#53356;&#47532;&#53944;&#46020;&#49345;\6_&#53080;&#53356;&#47532;&#53944;%20&#53440;&#49444;&#48169;&#48277;_&#44228;&#54925;%20&#44160;&#53664;\&#54364;&#51456;&#49436;\&#53080;&#53356;&#47532;&#53944;%20&#53440;&#49444;&#48169;&#48277;_&#44228;&#54925;%20&#44160;&#53664;_&#54364;&#51456;&#49436;.html" TargetMode="External"/><Relationship Id="rId20" Type="http://schemas.openxmlformats.org/officeDocument/2006/relationships/hyperlink" Target="&#47588;&#45684;&#50620;BODY(&#51665;&#54665;&#45800;&#44228;-&#52392;&#48512;&#54260;&#45908;)v8\5.&#53080;&#53356;&#47532;&#53944;&#46020;&#49345;\7_&#51089;&#49688;&#51204;%20Big%20Room%20&#54924;&#51032;\&#49688;&#54665;&#51648;&#52840;\&#51089;&#49688;&#51204;%20Big%20Room%20&#54924;&#51032;_&#49688;&#54665;&#51648;&#52840;.html" TargetMode="External"/><Relationship Id="rId29"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1" Type="http://schemas.openxmlformats.org/officeDocument/2006/relationships/hyperlink" Target="&#47588;&#45684;&#50620;BODY(&#51665;&#54665;&#45800;&#44228;-&#52392;&#48512;&#54260;&#45908;)v8\5.&#53080;&#53356;&#47532;&#53944;&#46020;&#49345;\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5.&#53080;&#53356;&#47532;&#53944;&#46020;&#49345;\2_&#51088;&#51116;%20&#50556;&#51201;&#51109;%20&#49440;&#51221;\&#52404;&#53356;&#47532;&#49828;&#53944;\&#51088;&#51116;%20&#50556;&#51201;&#51109;%20&#49440;&#51221;_&#52404;&#53356;&#47532;&#49828;&#53944;.html" TargetMode="External"/><Relationship Id="rId11" Type="http://schemas.openxmlformats.org/officeDocument/2006/relationships/hyperlink" Target="&#47588;&#45684;&#50620;BODY(&#51665;&#54665;&#45800;&#44228;-&#52392;&#48512;&#54260;&#45908;)v8\5.&#53080;&#53356;&#47532;&#53944;&#46020;&#49345;\4_&#48156;&#51452;&#51204;&#47029;%20KOM\&#49688;&#54665;&#51648;&#52840;\&#48156;&#51452;&#51204;&#47029;%20KOM_&#49688;&#54665;&#51648;&#52840;.html" TargetMode="External"/><Relationship Id="rId24" Type="http://schemas.openxmlformats.org/officeDocument/2006/relationships/hyperlink" Target="&#47588;&#45684;&#50620;BODY(&#51665;&#54665;&#45800;&#44228;-&#52392;&#48512;&#54260;&#45908;)v8\5.&#53080;&#53356;&#47532;&#53944;&#46020;&#49345;\8_&#51109;&#48708;,&#51088;&#51116;%20&#48152;&#51077;&#47196;_&#48152;&#51077;&#44396;%20&#44036;&#49453;%20&#44160;&#53664;\&#52404;&#53356;&#47532;&#49828;&#53944;\&#51109;&#48708;,&#51088;&#51116;%20&#48152;&#51077;&#47196;_&#48152;&#51077;&#44396;%20&#44036;&#49453;%20&#44160;&#53664;_&#52404;&#53356;&#47532;&#49828;&#53944;.html" TargetMode="External"/><Relationship Id="rId32" Type="http://schemas.openxmlformats.org/officeDocument/2006/relationships/hyperlink" Target="&#47588;&#45684;&#50620;BODY(&#51665;&#54665;&#45800;&#44228;-&#52392;&#48512;&#54260;&#45908;)v8\5.&#53080;&#53356;&#47532;&#53944;&#46020;&#49345;\11_&#49884;&#44277;&#44228;&#54925;%20&#49688;&#47549;\&#49688;&#54665;&#51648;&#52840;\11_&#49884;&#44277;&#44228;&#54925;%20&#49688;&#47549;_&#49688;&#54665;&#51648;&#52840;.html" TargetMode="External"/><Relationship Id="rId37" Type="http://schemas.openxmlformats.org/officeDocument/2006/relationships/printerSettings" Target="../printerSettings/printerSettings5.bin"/><Relationship Id="rId5" Type="http://schemas.openxmlformats.org/officeDocument/2006/relationships/hyperlink" Target="&#47588;&#45684;&#50620;BODY(&#51665;&#54665;&#45800;&#44228;-&#52392;&#48512;&#54260;&#45908;)v8\5.&#53080;&#53356;&#47532;&#53944;&#46020;&#49345;\2_&#51088;&#51116;%20&#50556;&#51201;&#51109;%20&#49440;&#51221;\&#49688;&#54665;&#51648;&#52840;\&#51088;&#51116;%20&#50556;&#51201;&#51109;%20&#49440;&#51221;_&#49688;&#54665;&#51648;&#52840;.html" TargetMode="External"/><Relationship Id="rId15" Type="http://schemas.openxmlformats.org/officeDocument/2006/relationships/hyperlink" Target="&#47588;&#45684;&#50620;BODY(&#51665;&#54665;&#45800;&#44228;-&#52392;&#48512;&#54260;&#45908;)v8\5.&#53080;&#53356;&#47532;&#53944;&#46020;&#49345;\5_&#52572;&#44256;&#51032;%20&#54016;%20&#47564;&#46308;&#44592;%20&#51648;&#50896;\&#52404;&#53356;&#47532;&#49828;&#53944;\&#52572;&#44256;&#51032;%20&#54016;%20&#47564;&#46308;&#44592;%20&#51648;&#50896;_&#52404;&#53356;&#47532;&#49828;&#53944;.html" TargetMode="External"/><Relationship Id="rId23" Type="http://schemas.openxmlformats.org/officeDocument/2006/relationships/hyperlink" Target="&#47588;&#45684;&#50620;BODY(&#51665;&#54665;&#45800;&#44228;-&#52392;&#48512;&#54260;&#45908;)v8\5.&#53080;&#53356;&#47532;&#53944;&#46020;&#49345;\8_&#51109;&#48708;,&#51088;&#51116;%20&#48152;&#51077;&#47196;_&#48152;&#51077;&#44396;%20&#44036;&#49453;%20&#44160;&#53664;\&#49688;&#54665;&#51648;&#52840;\&#51109;&#48708;,&#51088;&#51116;%20&#48152;&#51077;&#47196;_&#48152;&#51077;&#44396;%20&#44036;&#49453;%20&#44160;&#53664;_&#49688;&#54665;&#51648;&#52840;.html" TargetMode="External"/><Relationship Id="rId28"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36" Type="http://schemas.openxmlformats.org/officeDocument/2006/relationships/hyperlink" Target="&#47588;&#45684;&#50620;BODY(&#51665;&#54665;&#45800;&#44228;-&#52392;&#48512;&#54260;&#45908;)v8\5.&#53080;&#53356;&#47532;&#53944;&#46020;&#49345;\12_&#51088;&#51116;%20&#48152;&#51077;\&#52404;&#53356;&#47532;&#49828;&#53944;\&#51088;&#51116;%20&#48152;&#51077;_&#52404;&#53356;&#47532;&#49828;&#53944;.html" TargetMode="External"/><Relationship Id="rId10" Type="http://schemas.openxmlformats.org/officeDocument/2006/relationships/hyperlink" Target="&#47588;&#45684;&#50620;BODY(&#51665;&#54665;&#45800;&#44228;-&#52392;&#48512;&#54260;&#45908;)v8\5.&#53080;&#53356;&#47532;&#53944;&#46020;&#49345;\4_&#48156;&#51452;&#51204;&#47029;%20KOM\&#54364;&#51456;&#49436;\&#48156;&#51452;&#51204;&#47029;%20KOM_&#54364;&#51456;&#49436;.html" TargetMode="External"/><Relationship Id="rId19" Type="http://schemas.openxmlformats.org/officeDocument/2006/relationships/hyperlink" Target="&#47588;&#45684;&#50620;BODY(&#51665;&#54665;&#45800;&#44228;-&#52392;&#48512;&#54260;&#45908;)v8\5.&#53080;&#53356;&#47532;&#53944;&#46020;&#49345;\7_&#51089;&#49688;&#51204;%20Big%20Room%20&#54924;&#51032;\&#54364;&#51456;&#49436;\&#51089;&#49688;&#51204;%20Big%20Room%20&#54924;&#51032;_&#54364;&#51456;&#49436;.html" TargetMode="External"/><Relationship Id="rId31" Type="http://schemas.openxmlformats.org/officeDocument/2006/relationships/hyperlink" Target="&#47588;&#45684;&#50620;BODY(&#51665;&#54665;&#45800;&#44228;-&#52392;&#48512;&#54260;&#45908;)v8\5.&#53080;&#53356;&#47532;&#53944;&#46020;&#49345;\11_&#49884;&#44277;&#44228;&#54925;%20&#49688;&#47549;\&#54364;&#51456;&#49436;\&#49884;&#44277;&#44228;&#54925;%20&#49688;&#47549;_&#54364;&#51456;&#49436;.html" TargetMode="External"/><Relationship Id="rId4" Type="http://schemas.openxmlformats.org/officeDocument/2006/relationships/hyperlink" Target="&#47588;&#45684;&#50620;BODY(&#51665;&#54665;&#45800;&#44228;-&#52392;&#48512;&#54260;&#45908;)v8\5.&#53080;&#53356;&#47532;&#53944;&#46020;&#49345;\2_&#51088;&#51116;%20&#50556;&#51201;&#51109;%20&#49440;&#51221;\&#54364;&#51456;&#49436;\&#51088;&#51116;%20&#50556;&#51201;&#51109;%20&#49440;&#51221;_&#54364;&#51456;&#49436;.html" TargetMode="External"/><Relationship Id="rId9" Type="http://schemas.openxmlformats.org/officeDocument/2006/relationships/hyperlink" Target="&#47588;&#45684;&#50620;BODY(&#51665;&#54665;&#45800;&#44228;-&#52392;&#48512;&#54260;&#45908;)v8\5.&#53080;&#53356;&#47532;&#53944;&#46020;&#49345;\3_&#47112;&#51068;%20&#50857;&#51217;&#51109;%20&#49440;&#51221;\&#52404;&#53356;&#47532;&#49828;&#53944;\&#47112;&#51068;%20&#50857;&#51217;&#51109;%20&#49440;&#51221;_&#52404;&#53356;&#47532;&#49828;&#53944;.html" TargetMode="External"/><Relationship Id="rId14" Type="http://schemas.openxmlformats.org/officeDocument/2006/relationships/hyperlink" Target="&#47588;&#45684;&#50620;BODY(&#51665;&#54665;&#45800;&#44228;-&#52392;&#48512;&#54260;&#45908;)v8\5.&#53080;&#53356;&#47532;&#53944;&#46020;&#49345;\5_&#52572;&#44256;&#51032;%20&#54016;%20&#47564;&#46308;&#44592;%20&#51648;&#50896;\&#49688;&#54665;&#51648;&#52840;\&#52572;&#44256;&#51032;%20&#54016;%20&#47564;&#46308;&#44592;%20&#51648;&#50896;_&#49688;&#54665;&#51648;&#52840;.html" TargetMode="External"/><Relationship Id="rId22" Type="http://schemas.openxmlformats.org/officeDocument/2006/relationships/hyperlink" Target="&#47588;&#45684;&#50620;BODY(&#51665;&#54665;&#45800;&#44228;-&#52392;&#48512;&#54260;&#45908;)v8\5.&#53080;&#53356;&#47532;&#53944;&#46020;&#49345;\8_&#51109;&#48708;,&#51088;&#51116;%20&#48152;&#51077;&#47196;_&#48152;&#51077;&#44396;%20&#44036;&#49453;%20&#44160;&#53664;\&#54364;&#51456;&#49436;\&#51109;&#48708;,&#51088;&#51116;%20&#48152;&#51077;&#47196;_&#48152;&#51077;&#44396;%20&#44036;&#49453;%20&#44160;&#53664;_&#54364;&#51456;&#49436;.html" TargetMode="External"/><Relationship Id="rId27" Type="http://schemas.openxmlformats.org/officeDocument/2006/relationships/hyperlink" Target="&#47588;&#45684;&#50620;BODY(&#51665;&#54665;&#45800;&#44228;-&#52392;&#48512;&#54260;&#45908;)v8\5.&#53080;&#53356;&#47532;&#53944;&#46020;&#49345;\9_&#51088;&#51116;&#51312;&#45804;&#44228;&#54925;%20&#44160;&#53664;\&#52404;&#53356;&#47532;&#49828;&#53944;\&#51088;&#51116;&#51312;&#45804;&#44228;&#54925;%20&#44160;&#53664;_&#52404;&#53356;&#47532;&#49828;&#53944;.html" TargetMode="External"/><Relationship Id="rId30"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5" Type="http://schemas.openxmlformats.org/officeDocument/2006/relationships/hyperlink" Target="&#47588;&#45684;&#50620;BODY(&#51665;&#54665;&#45800;&#44228;-&#52392;&#48512;&#54260;&#45908;)v8\5.&#53080;&#53356;&#47532;&#53944;&#46020;&#49345;\12_&#51088;&#51116;%20&#48152;&#51077;\&#49688;&#54665;&#51648;&#52840;\&#51088;&#51116;%20&#48152;&#51077;_&#49688;&#54665;&#51648;&#52840;.html" TargetMode="External"/><Relationship Id="rId8" Type="http://schemas.openxmlformats.org/officeDocument/2006/relationships/hyperlink" Target="&#47588;&#45684;&#50620;BODY(&#51665;&#54665;&#45800;&#44228;-&#52392;&#48512;&#54260;&#45908;)v8\5.&#53080;&#53356;&#47532;&#53944;&#46020;&#49345;\3_&#47112;&#51068;%20&#50857;&#51217;&#51109;%20&#49440;&#51221;\&#49688;&#54665;&#51648;&#52840;\&#47112;&#51068;%20&#50857;&#51217;&#51109;%20&#49440;&#51221;_&#49688;&#54665;&#51648;&#52840;.html" TargetMode="External"/><Relationship Id="rId3" Type="http://schemas.openxmlformats.org/officeDocument/2006/relationships/hyperlink" Target="&#47588;&#45684;&#50620;BODY(&#51665;&#54665;&#45800;&#44228;-&#52392;&#48512;&#54260;&#45908;)v8\5.&#53080;&#53356;&#47532;&#53944;&#46020;&#49345;\1_&#49444;&#44228;&#51201;&#51221;&#49457;%20&#44160;&#53664;\&#52404;&#53356;&#47532;&#49828;&#53944;\&#49444;&#44228;&#51201;&#51221;&#49457;%20&#44160;&#53664;_&#52404;&#53356;&#47532;&#49828;&#53944;.html"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6.&#44148;&#52629;\39_&#51200;&#49688;&#51312;%20&#49444;&#52824;&#54788;&#54889;%20&#49888;&#44256;&#49436;%20&#51228;&#52636;\&#52404;&#53356;&#47532;&#49828;&#53944;\&#51200;&#49688;&#51312;%20&#49444;&#52824;&#54788;&#54889;%20&#49888;&#44256;&#49436;%20&#51228;&#52636;_&#52404;&#53356;&#47532;&#49828;&#53944;.html" TargetMode="External"/><Relationship Id="rId21"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2404;&#53356;&#47532;&#49828;&#53944;\&#51221;&#48372;&#53685;&#49888;&#44277;&#49324;%20&#52265;&#44277;&#51204;%20&#49444;&#44228;&#46020;%20&#54869;&#51064;%20(&#49888;&#52397;&#49436;%20&#51228;&#52636;%20&#48143;%20&#44208;&#44284;%20&#51217;&#49688;)_&#52404;&#53356;&#47532;&#49828;&#53944;.html" TargetMode="External"/><Relationship Id="rId42" Type="http://schemas.openxmlformats.org/officeDocument/2006/relationships/hyperlink" Target="&#47588;&#45684;&#50620;BODY(&#51665;&#54665;&#45800;&#44228;-&#52392;&#48512;&#54260;&#45908;)v8\6.&#44148;&#52629;\14_&#52769;&#47049;,%20&#51088;&#51116;_&#51109;&#48708;%20&#48152;&#51077;,%20&#50504;&#51204;&#44368;&#50977;\&#52404;&#53356;&#47532;&#49828;&#53944;\&#52769;&#47049;,%20&#51088;&#51116;_&#51109;&#48708;%20&#48152;&#51077;,%20&#50504;&#51204;&#44368;&#50977;_&#52404;&#53356;&#47532;&#49828;&#53944;.html" TargetMode="External"/><Relationship Id="rId63" Type="http://schemas.openxmlformats.org/officeDocument/2006/relationships/hyperlink" Target="&#47588;&#45684;&#50620;BODY(&#51665;&#54665;&#45800;&#44228;-&#52392;&#48512;&#54260;&#45908;)v8\6.&#44148;&#52629;\21_&#44592;&#52488;~&#49345;&#48512;&#49836;&#46972;&#48652;%20&#44396;&#51312;&#47932;%20&#49884;&#44277;\&#52404;&#53356;&#47532;&#49828;&#53944;\&#44592;&#52488;~&#49345;&#48512;&#49836;&#46972;&#48652;%20&#44396;&#51312;&#47932;%20&#49884;&#44277;_&#52404;&#53356;&#47532;&#49828;&#53944;.html" TargetMode="External"/><Relationship Id="rId84" Type="http://schemas.openxmlformats.org/officeDocument/2006/relationships/hyperlink" Target="&#47588;&#45684;&#50620;BODY(&#51665;&#54665;&#45800;&#44228;-&#52392;&#48512;&#54260;&#45908;)v8\6.&#44148;&#52629;\28_&#44148;&#52629;%20&#45236;&#48512;%20&#48143;%20&#47560;&#44048;&#44277;&#49324;\&#52404;&#53356;&#47532;&#49828;&#53944;\&#44148;&#52629;%20&#45236;&#48512;%20&#48143;%20&#47560;&#44048;&#44277;&#49324;_&#52404;&#53356;&#47532;&#49828;&#53944;.html" TargetMode="External"/><Relationship Id="rId138" Type="http://schemas.openxmlformats.org/officeDocument/2006/relationships/hyperlink" Target="&#47588;&#45684;&#50620;BODY(&#51665;&#54665;&#45800;&#44228;-&#52392;&#48512;&#54260;&#45908;)v8\6.&#44148;&#52629;\46_&#44553;&#49688;&#44277;&#49324;%20&#49888;&#52397;&#49436;%20&#51228;&#52636;\&#52404;&#53356;&#47532;&#49828;&#53944;\&#44553;&#49688;&#44277;&#49324;%20&#49888;&#52397;&#49436;%20&#51228;&#52636;_&#52404;&#53356;&#47532;&#49828;&#53944;.html" TargetMode="External"/><Relationship Id="rId107" Type="http://schemas.openxmlformats.org/officeDocument/2006/relationships/hyperlink" Target="&#47588;&#45684;&#50620;BODY(&#51665;&#54665;&#45800;&#44228;-&#52392;&#48512;&#54260;&#45908;)v8\6.&#44148;&#52629;\36_&#51456;&#44277;&#51204;%20&#44148;&#52629;%20&#51064;&#54728;&#44032;\&#49688;&#54665;&#51648;&#52840;\&#51456;&#44277;&#51204;%20&#44148;&#52629;%20&#51064;&#54728;&#44032;_&#49688;&#54665;&#51648;&#52840;.html" TargetMode="External"/><Relationship Id="rId11" Type="http://schemas.openxmlformats.org/officeDocument/2006/relationships/hyperlink" Target="&#47588;&#45684;&#50620;BODY(&#51665;&#54665;&#45800;&#44228;-&#52392;&#48512;&#54260;&#45908;)v8\6.&#44148;&#52629;\4_&#44148;&#52629;&#54728;&#44032;%20&#50836;&#52397;\&#49688;&#54665;&#51648;&#52840;\&#44148;&#52629;&#54728;&#44032;%20&#50836;&#52397;_&#49688;&#54665;&#51648;&#52840;.html" TargetMode="External"/><Relationship Id="rId32" Type="http://schemas.openxmlformats.org/officeDocument/2006/relationships/hyperlink" Target="&#47588;&#45684;&#50620;BODY(&#51665;&#54665;&#45800;&#44228;-&#52392;&#48512;&#54260;&#45908;)v8\6.&#44148;&#52629;\11_&#51088;&#51116;&#44277;&#44553;&#50896;&#49849;&#51064;%20&#48143;%20&#51088;&#51116;&#48156;&#51452;\&#49688;&#54665;&#51648;&#52840;\&#51088;&#51116;&#44277;&#44553;&#50896;&#49849;&#51064;%20&#48143;%20&#51088;&#51116;&#48156;&#51452;_&#49688;&#54665;&#51648;&#52840;.html" TargetMode="External"/><Relationship Id="rId53" Type="http://schemas.openxmlformats.org/officeDocument/2006/relationships/hyperlink" Target="&#47588;&#45684;&#50620;BODY(&#51665;&#54665;&#45800;&#44228;-&#52392;&#48512;&#54260;&#45908;)v8\6.&#44148;&#52629;\18_&#51064;&#53552;&#54168;&#51060;&#49828;%20&#54924;&#51032;(&#47588;&#51452;)\&#49688;&#54665;&#51648;&#52840;\&#51064;&#53552;&#54168;&#51060;&#49828;%20&#54924;&#51032;(&#47588;&#51452;)_&#49688;&#54665;&#51648;&#52840;.html" TargetMode="External"/><Relationship Id="rId74" Type="http://schemas.openxmlformats.org/officeDocument/2006/relationships/hyperlink" Target="&#47588;&#45684;&#50620;BODY(&#51665;&#54665;&#45800;&#44228;-&#52392;&#48512;&#54260;&#45908;)v8\6.&#44148;&#52629;\25_&#44144;&#54392;&#51665;%20&#51312;&#47549;\&#49688;&#54665;&#51648;&#52840;\&#44144;&#54392;&#51665;%20&#51312;&#47549;_&#49688;&#54665;&#51648;&#52840;.html" TargetMode="External"/><Relationship Id="rId128" Type="http://schemas.openxmlformats.org/officeDocument/2006/relationships/hyperlink" Target="&#47588;&#45684;&#50620;BODY(&#51665;&#54665;&#45800;&#44228;-&#52392;&#48512;&#54260;&#45908;)v8\6.&#44148;&#52629;\43_&#48176;&#49688;&#49444;&#48708;%20&#49444;&#52824;%20&#49888;&#44256;&#49436;%20&#51228;&#52636;\&#49688;&#54665;&#51648;&#52840;\&#48176;&#49688;&#49444;&#48708;%20&#49444;&#52824;%20&#49888;&#44256;&#49436;%20&#51228;&#52636;_&#49688;&#54665;&#51648;&#52840;.html" TargetMode="External"/><Relationship Id="rId149" Type="http://schemas.openxmlformats.org/officeDocument/2006/relationships/hyperlink" Target="&#47588;&#45684;&#50620;BODY(&#51665;&#54665;&#45800;&#44228;-&#52392;&#48512;&#54260;&#45908;)v8\6.&#44148;&#52629;\50_&#54980;&#49549;%20&#44396;&#51312;&#47932;%20&#51064;&#44228;\&#49688;&#54665;&#51648;&#52840;\&#54980;&#49549;%20&#44396;&#51312;&#47932;%20&#51064;&#44228;_&#49688;&#54665;&#51648;&#52840;.html" TargetMode="External"/><Relationship Id="rId5" Type="http://schemas.openxmlformats.org/officeDocument/2006/relationships/hyperlink" Target="&#47588;&#45684;&#50620;BODY(&#51665;&#54665;&#45800;&#44228;-&#52392;&#48512;&#54260;&#45908;)v8\6.&#44148;&#52629;\2_&#48156;&#51452;&#51204;&#47029;%20KOM\&#49688;&#54665;&#51648;&#52840;\&#48156;&#51452;&#51204;&#47029;%20KOM_&#49688;&#54665;&#51648;&#52840;.html" TargetMode="External"/><Relationship Id="rId95" Type="http://schemas.openxmlformats.org/officeDocument/2006/relationships/hyperlink" Target="&#47588;&#45684;&#50620;BODY(&#51665;&#54665;&#45800;&#44228;-&#52392;&#48512;&#54260;&#45908;)v8\6.&#44148;&#52629;\32_&#48120;&#51109;%20&#48143;%20&#53440;&#51068;&#44277;&#49324;\&#49688;&#54665;&#51648;&#52840;\&#48120;&#51109;%20&#48143;%20&#53440;&#51068;&#44277;&#49324;_&#49688;&#54665;&#51648;&#52840;.html" TargetMode="External"/><Relationship Id="rId22" Type="http://schemas.openxmlformats.org/officeDocument/2006/relationships/hyperlink" Target="&#47588;&#45684;&#50620;BODY(&#51665;&#54665;&#45800;&#44228;-&#52392;&#48512;&#54260;&#45908;)v8\6.&#44148;&#52629;\8_&#49440;&#54665;&#44277;&#51333;%20&#51064;&#49688;&#49324;&#54637;%20&#54869;&#51064;\&#54364;&#51456;&#49436;\&#49440;&#54665;&#44277;&#51333;%20&#51064;&#49688;&#49324;&#54637;%20&#54869;&#51064;_&#54364;&#51456;&#49436;.html" TargetMode="External"/><Relationship Id="rId27" Type="http://schemas.openxmlformats.org/officeDocument/2006/relationships/hyperlink" Target="&#47588;&#45684;&#50620;BODY(&#51665;&#54665;&#45800;&#44228;-&#52392;&#48512;&#54260;&#45908;)v8\6.&#44148;&#52629;\9_&#51064;&#53552;&#54168;&#51060;&#49828;%20&#49324;&#54637;%20&#44160;&#53664;%20&#48143;%20&#51648;&#50896;\&#52404;&#53356;&#47532;&#49828;&#53944;\&#51064;&#53552;&#54168;&#51060;&#49828;%20&#49324;&#54637;%20&#44160;&#53664;%20&#48143;%20&#51648;&#50896;_&#52404;&#53356;&#47532;&#49828;&#53944;.html" TargetMode="External"/><Relationship Id="rId43" Type="http://schemas.openxmlformats.org/officeDocument/2006/relationships/hyperlink" Target="&#47588;&#45684;&#50620;BODY(&#51665;&#54665;&#45800;&#44228;-&#52392;&#48512;&#54260;&#45908;)v8\6.&#44148;&#52629;\15_&#51088;&#51116;%20&#44160;&#49688;\&#54364;&#51456;&#49436;\&#51088;&#51116;%20&#44160;&#49688;_&#54364;&#51456;&#49436;.html" TargetMode="External"/><Relationship Id="rId48" Type="http://schemas.openxmlformats.org/officeDocument/2006/relationships/hyperlink" Target="&#47588;&#45684;&#50620;BODY(&#51665;&#54665;&#45800;&#44228;-&#52392;&#48512;&#54260;&#45908;)v8\6.&#44148;&#52629;\16_&#53552;&#54028;&#44592;_&#51648;&#48152;%20&#51221;&#47532;\&#52404;&#53356;&#47532;&#49828;&#53944;\&#53552;&#54028;&#44592;_&#51648;&#48152;%20&#51221;&#47532;_&#52404;&#53356;&#47532;&#49828;&#53944;.html" TargetMode="External"/><Relationship Id="rId64" Type="http://schemas.openxmlformats.org/officeDocument/2006/relationships/hyperlink" Target="&#47588;&#45684;&#50620;BODY(&#51665;&#54665;&#45800;&#44228;-&#52392;&#48512;&#54260;&#45908;)v8\6.&#44148;&#52629;\22_&#52384;&#44540;%20&#44032;&#44277;\&#54364;&#51456;&#49436;\&#52384;&#44540;%20&#44032;&#44277;_&#54364;&#51456;&#49436;.html" TargetMode="External"/><Relationship Id="rId69" Type="http://schemas.openxmlformats.org/officeDocument/2006/relationships/hyperlink" Target="&#47588;&#45684;&#50620;BODY(&#51665;&#54665;&#45800;&#44228;-&#52392;&#48512;&#54260;&#45908;)v8\6.&#44148;&#52629;\23_&#51089;&#50629;&#48156;&#54032;,%20&#48708;&#44228;%20&#48143;%20&#46041;&#48148;&#47532;%20&#49444;&#52824;\&#52404;&#53356;&#47532;&#49828;&#53944;\&#51089;&#50629;&#48156;&#54032;,%20&#48708;&#44228;%20&#48143;%20&#46041;&#48148;&#47532;%20&#49444;&#52824;_&#52404;&#53356;&#47532;&#49828;&#53944;.html" TargetMode="External"/><Relationship Id="rId113" Type="http://schemas.openxmlformats.org/officeDocument/2006/relationships/hyperlink" Target="&#47588;&#45684;&#50620;BODY(&#51665;&#54665;&#45800;&#44228;-&#52392;&#48512;&#54260;&#45908;)v8\6.&#44148;&#52629;\38_&#49849;&#44053;&#44592;%20&#49444;&#52824;%20&#49888;&#44256;&#49436;%20&#51228;&#52636;\&#49688;&#54665;&#51648;&#52840;\&#49849;&#44053;&#44592;%20&#49444;&#52824;%20&#49888;&#44256;&#49436;%20&#51228;&#52636;_&#49688;&#54665;&#51648;&#52840;.html" TargetMode="External"/><Relationship Id="rId118"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34" Type="http://schemas.openxmlformats.org/officeDocument/2006/relationships/hyperlink" Target="&#47588;&#45684;&#50620;BODY(&#51665;&#54665;&#45800;&#44228;-&#52392;&#48512;&#54260;&#45908;)v8\6.&#44148;&#52629;\45_&#50724;&#49688;&#52376;&#47532;&#49884;&#49444;%20_%20&#51221;&#54868;&#51312;%20&#51456;&#44277;&#44160;&#49324;\&#49688;&#54665;&#51648;&#52840;\&#50724;&#49688;&#52376;&#47532;&#49884;&#49444;%20_%20&#51221;&#54868;&#51312;%20&#51456;&#44277;&#44160;&#49324;_&#49688;&#54665;&#51648;&#52840;.html" TargetMode="External"/><Relationship Id="rId139" Type="http://schemas.openxmlformats.org/officeDocument/2006/relationships/hyperlink" Target="&#47588;&#45684;&#50620;BODY(&#51665;&#54665;&#45800;&#44228;-&#52392;&#48512;&#54260;&#45908;)v8\6.&#44148;&#52629;\47_&#50629;&#47924;&#45824;&#54665;%20&#44148;&#52629;&#49324;%20&#49324;&#50857;&#49849;&#51064;%20&#44160;&#49324;\&#54364;&#51456;&#49436;\&#50629;&#47924;&#45824;&#54665;%20&#44148;&#52629;&#49324;%20&#49324;&#50857;&#49849;&#51064;%20&#44160;&#49324;_&#54364;&#51456;&#49436;.html" TargetMode="External"/><Relationship Id="rId80" Type="http://schemas.openxmlformats.org/officeDocument/2006/relationships/hyperlink" Target="&#47588;&#45684;&#50620;BODY(&#51665;&#54665;&#45800;&#44228;-&#52392;&#48512;&#54260;&#45908;)v8\6.&#44148;&#52629;\27_&#44144;&#54392;&#51665;%20&#54644;&#52404;\&#49688;&#54665;&#51648;&#52840;\&#44144;&#54392;&#51665;%20&#54644;&#52404;_&#49688;&#54665;&#51648;&#52840;.html" TargetMode="External"/><Relationship Id="rId85" Type="http://schemas.openxmlformats.org/officeDocument/2006/relationships/hyperlink" Target="&#47588;&#45684;&#50620;BODY(&#51665;&#54665;&#45800;&#44228;-&#52392;&#48512;&#54260;&#45908;)v8\6.&#44148;&#52629;\29_&#52285;&#54840;,&#50976;&#47532;%20&#48143;%20&#44552;&#49549;&#51648;&#48533;&#44277;&#49324;\&#54364;&#51456;&#49436;\&#52285;&#54840;,&#50976;&#47532;%20&#48143;%20&#44552;&#49549;&#51648;&#48533;&#44277;&#49324;_&#54364;&#51456;&#49436;.html" TargetMode="External"/><Relationship Id="rId150" Type="http://schemas.openxmlformats.org/officeDocument/2006/relationships/hyperlink" Target="&#47588;&#45684;&#50620;BODY(&#51665;&#54665;&#45800;&#44228;-&#52392;&#48512;&#54260;&#45908;)v8\6.&#44148;&#52629;\50_&#54980;&#49549;%20&#44396;&#51312;&#47932;%20&#51064;&#44228;\&#52404;&#53356;&#47532;&#49828;&#53944;\&#54980;&#49549;%20&#44396;&#51312;&#47932;%20&#51064;&#44228;_&#52404;&#53356;&#47532;&#49828;&#53944;.html" TargetMode="External"/><Relationship Id="rId12" Type="http://schemas.openxmlformats.org/officeDocument/2006/relationships/hyperlink" Target="&#47588;&#45684;&#50620;BODY(&#51665;&#54665;&#45800;&#44228;-&#52392;&#48512;&#54260;&#45908;)v8\6.&#44148;&#52629;\4_&#44148;&#52629;&#54728;&#44032;%20&#50836;&#52397;\&#52404;&#53356;&#47532;&#49828;&#53944;\&#44148;&#52629;&#54728;&#44032;%20&#50836;&#52397;_&#52404;&#53356;&#47532;&#49828;&#53944;.html" TargetMode="External"/><Relationship Id="rId17" Type="http://schemas.openxmlformats.org/officeDocument/2006/relationships/hyperlink" Target="&#47588;&#45684;&#50620;BODY(&#51665;&#54665;&#45800;&#44228;-&#52392;&#48512;&#54260;&#45908;)v8\6.&#44148;&#52629;\6_&#49548;&#48169;&#49884;&#49444;&#44277;&#49324;%20&#52265;&#44277;%20&#49888;&#44256;&#49436;%20&#51228;&#52636;\&#49688;&#54665;&#51648;&#52840;\&#49548;&#48169;&#49884;&#49444;&#44277;&#49324;%20&#52265;&#44277;%20&#49888;&#44256;&#49436;%20&#51228;&#52636;_&#49688;&#54665;&#51648;&#52840;.html" TargetMode="External"/><Relationship Id="rId33" Type="http://schemas.openxmlformats.org/officeDocument/2006/relationships/hyperlink" Target="&#47588;&#45684;&#50620;BODY(&#51665;&#54665;&#45800;&#44228;-&#52392;&#48512;&#54260;&#45908;)v8\6.&#44148;&#52629;\11_&#51088;&#51116;&#44277;&#44553;&#50896;&#49849;&#51064;%20&#48143;%20&#51088;&#51116;&#48156;&#51452;\&#52404;&#53356;&#47532;&#49828;&#53944;\&#51088;&#51116;&#44277;&#44553;&#50896;&#49849;&#51064;%20&#48143;%20&#51088;&#51116;&#48156;&#51452;_&#52404;&#53356;&#47532;&#49828;&#53944;.html" TargetMode="External"/><Relationship Id="rId38" Type="http://schemas.openxmlformats.org/officeDocument/2006/relationships/hyperlink" Target="&#47588;&#45684;&#50620;BODY(&#51665;&#54665;&#45800;&#44228;-&#52392;&#48512;&#54260;&#45908;)v8\6.&#44148;&#52629;\13_&#49884;&#44277;&#44228;&#54925;%20&#49688;&#47549;_&#49849;&#51064;\&#49688;&#54665;&#51648;&#52840;\&#49884;&#44277;&#44228;&#54925;%20&#49688;&#47549;_&#49849;&#51064;_&#49688;&#54665;&#51648;&#52840;.html" TargetMode="External"/><Relationship Id="rId59" Type="http://schemas.openxmlformats.org/officeDocument/2006/relationships/hyperlink" Target="&#47588;&#45684;&#50620;BODY(&#51665;&#54665;&#45800;&#44228;-&#52392;&#48512;&#54260;&#45908;)v8\6.&#44148;&#52629;\20_&#51064;&#53552;&#54168;&#51060;&#49828;%20&#44033;%20&#44277;&#51333;&#48324;%20Issue%20(&#53664;&#47785;&#48516;&#50556;)\&#49688;&#54665;&#51648;&#52840;\&#51064;&#53552;&#54168;&#51060;&#49828;%20&#44033;%20&#44277;&#51333;&#48324;%20Issue%20(&#53664;&#47785;&#48516;&#50556;)_&#49688;&#54665;&#51648;&#52840;.html" TargetMode="External"/><Relationship Id="rId103" Type="http://schemas.openxmlformats.org/officeDocument/2006/relationships/hyperlink" Target="&#47588;&#45684;&#50620;BODY(&#51665;&#54665;&#45800;&#44228;-&#52392;&#48512;&#54260;&#45908;)v8\6.&#44148;&#52629;\35_&#51064;&#53580;&#47532;&#50612;%20&#48143;%20&#47924;&#45824;&#44277;&#49324;\&#54364;&#51456;&#49436;\&#51064;&#53580;&#47532;&#50612;%20&#48143;%20&#47924;&#45824;&#44277;&#49324;_&#54364;&#51456;&#49436;.html" TargetMode="External"/><Relationship Id="rId108" Type="http://schemas.openxmlformats.org/officeDocument/2006/relationships/hyperlink" Target="&#47588;&#45684;&#50620;BODY(&#51665;&#54665;&#45800;&#44228;-&#52392;&#48512;&#54260;&#45908;)v8\6.&#44148;&#52629;\36_&#51456;&#44277;&#51204;%20&#44148;&#52629;%20&#51064;&#54728;&#44032;\&#52404;&#53356;&#47532;&#49828;&#53944;\&#51456;&#44277;&#51204;%20&#44148;&#52629;%20&#51064;&#54728;&#44032;_&#52404;&#53356;&#47532;&#49828;&#53944;.html" TargetMode="External"/><Relationship Id="rId124" Type="http://schemas.openxmlformats.org/officeDocument/2006/relationships/hyperlink" Target="&#47588;&#45684;&#50620;BODY(&#51665;&#54665;&#45800;&#44228;-&#52392;&#48512;&#54260;&#45908;)v8\6.&#44148;&#52629;\42_&#49849;&#44053;&#44592;%20&#49444;&#52824;&#44160;&#49324;\&#54364;&#51456;&#49436;\&#49849;&#44053;&#44592;%20&#49444;&#52824;&#44160;&#49324;_&#54364;&#51456;&#49436;.html" TargetMode="External"/><Relationship Id="rId129" Type="http://schemas.openxmlformats.org/officeDocument/2006/relationships/hyperlink" Target="&#47588;&#45684;&#50620;BODY(&#51665;&#54665;&#45800;&#44228;-&#52392;&#48512;&#54260;&#45908;)v8\6.&#44148;&#52629;\43_&#48176;&#49688;&#49444;&#48708;%20&#49444;&#52824;%20&#49888;&#44256;&#49436;%20&#51228;&#52636;\&#52404;&#53356;&#47532;&#49828;&#53944;\&#48176;&#49688;&#49444;&#48708;%20&#49444;&#52824;%20&#49888;&#44256;&#49436;%20&#51228;&#52636;_&#52404;&#53356;&#47532;&#49828;&#53944;.html" TargetMode="External"/><Relationship Id="rId54" Type="http://schemas.openxmlformats.org/officeDocument/2006/relationships/hyperlink" Target="&#47588;&#45684;&#50620;BODY(&#51665;&#54665;&#45800;&#44228;-&#52392;&#48512;&#54260;&#45908;)v8\6.&#44148;&#52629;\18_&#51064;&#53552;&#54168;&#51060;&#49828;%20&#54924;&#51032;(&#47588;&#51452;)\&#52404;&#53356;&#47532;&#49828;&#53944;\&#51064;&#53552;&#54168;&#51060;&#49828;%20&#54924;&#51032;(&#47588;&#51452;)_&#52404;&#53356;&#47532;&#49828;&#53944;.html" TargetMode="External"/><Relationship Id="rId70" Type="http://schemas.openxmlformats.org/officeDocument/2006/relationships/hyperlink" Target="&#47588;&#45684;&#50620;BODY(&#51665;&#54665;&#45800;&#44228;-&#52392;&#48512;&#54260;&#45908;)v8\6.&#44148;&#52629;\24_&#52384;&#44540;%20&#51312;&#47549;\&#54364;&#51456;&#49436;\&#52384;&#44540;%20&#51312;&#47549;_&#54364;&#51456;&#49436;.html" TargetMode="External"/><Relationship Id="rId75" Type="http://schemas.openxmlformats.org/officeDocument/2006/relationships/hyperlink" Target="&#47588;&#45684;&#50620;BODY(&#51665;&#54665;&#45800;&#44228;-&#52392;&#48512;&#54260;&#45908;)v8\6.&#44148;&#52629;\25_&#44144;&#54392;&#51665;%20&#51312;&#47549;\&#52404;&#53356;&#47532;&#49828;&#53944;\&#44144;&#54392;&#51665;%20&#51312;&#47549;_&#52404;&#53356;&#47532;&#49828;&#53944;.html" TargetMode="External"/><Relationship Id="rId91" Type="http://schemas.openxmlformats.org/officeDocument/2006/relationships/hyperlink" Target="&#47588;&#45684;&#50620;BODY(&#51665;&#54665;&#45800;&#44228;-&#52392;&#48512;&#54260;&#45908;)v8\6.&#44148;&#52629;\31_&#45236;&#48512;%20&#48169;&#49688;&#44277;&#49324;\&#54364;&#51456;&#49436;\&#45236;&#48512;%20&#48169;&#49688;&#44277;&#49324;_&#54364;&#51456;&#49436;.html" TargetMode="External"/><Relationship Id="rId96" Type="http://schemas.openxmlformats.org/officeDocument/2006/relationships/hyperlink" Target="&#47588;&#45684;&#50620;BODY(&#51665;&#54665;&#45800;&#44228;-&#52392;&#48512;&#54260;&#45908;)v8\6.&#44148;&#52629;\32_&#48120;&#51109;%20&#48143;%20&#53440;&#51068;&#44277;&#49324;\&#52404;&#53356;&#47532;&#49828;&#53944;\&#48120;&#51109;%20&#48143;%20&#53440;&#51068;&#44277;&#49324;_&#52404;&#53356;&#47532;&#49828;&#53944;.html" TargetMode="External"/><Relationship Id="rId140" Type="http://schemas.openxmlformats.org/officeDocument/2006/relationships/hyperlink" Target="&#47588;&#45684;&#50620;BODY(&#51665;&#54665;&#45800;&#44228;-&#52392;&#48512;&#54260;&#45908;)v8\6.&#44148;&#52629;\47_&#50629;&#47924;&#45824;&#54665;%20&#44148;&#52629;&#49324;%20&#49324;&#50857;&#49849;&#51064;%20&#44160;&#49324;\&#49688;&#54665;&#51648;&#52840;\&#50629;&#47924;&#45824;&#54665;%20&#44148;&#52629;&#49324;%20&#49324;&#50857;&#49849;&#51064;%20&#44160;&#49324;_&#49688;&#54665;&#51648;&#52840;.html" TargetMode="External"/><Relationship Id="rId145" Type="http://schemas.openxmlformats.org/officeDocument/2006/relationships/hyperlink" Target="&#47588;&#45684;&#50620;BODY(&#51665;&#54665;&#45800;&#44228;-&#52392;&#48512;&#54260;&#45908;)v8\6.&#44148;&#52629;\49_&#44148;&#52629;&#47932;&#45824;&#51109;%20&#46321;&#51116;\&#54364;&#51456;&#49436;\&#44148;&#52629;&#47932;&#45824;&#51109;%20&#46321;&#51116;_&#54364;&#51456;&#49436;.html" TargetMode="External"/><Relationship Id="rId1" Type="http://schemas.openxmlformats.org/officeDocument/2006/relationships/hyperlink" Target="&#47588;&#45684;&#50620;BODY(&#51665;&#54665;&#45800;&#44228;-&#52392;&#48512;&#54260;&#45908;)v8\6.&#44148;&#52629;\1_&#49444;&#44228;%20&#51201;&#51221;&#49457;%20&#44160;&#53664;\&#54364;&#51456;&#49436;\&#49444;&#44228;%20&#51201;&#51221;&#49457;%20&#44160;&#53664;_&#54364;&#51456;&#49436;.html" TargetMode="External"/><Relationship Id="rId6" Type="http://schemas.openxmlformats.org/officeDocument/2006/relationships/hyperlink" Target="&#47588;&#45684;&#50620;BODY(&#51665;&#54665;&#45800;&#44228;-&#52392;&#48512;&#54260;&#45908;)v8\6.&#44148;&#52629;\2_&#48156;&#51452;&#51204;&#47029;%20KOM\&#52404;&#53356;&#47532;&#49828;&#53944;\&#48156;&#51452;&#51204;&#47029;%20KOM_&#52404;&#53356;&#47532;&#49828;&#53944;.html" TargetMode="External"/><Relationship Id="rId23" Type="http://schemas.openxmlformats.org/officeDocument/2006/relationships/hyperlink" Target="&#47588;&#45684;&#50620;BODY(&#51665;&#54665;&#45800;&#44228;-&#52392;&#48512;&#54260;&#45908;)v8\6.&#44148;&#52629;\8_&#49440;&#54665;&#44277;&#51333;%20&#51064;&#49688;&#49324;&#54637;%20&#54869;&#51064;\&#49688;&#54665;&#51648;&#52840;\&#49440;&#54665;&#44277;&#51333;%20&#51064;&#49688;&#49324;&#54637;%20&#54869;&#51064;_&#49688;&#54665;&#51648;&#52840;.html" TargetMode="External"/><Relationship Id="rId28" Type="http://schemas.openxmlformats.org/officeDocument/2006/relationships/hyperlink" Target="&#47588;&#45684;&#50620;BODY(&#51665;&#54665;&#45800;&#44228;-&#52392;&#48512;&#54260;&#45908;)v8\6.&#44148;&#52629;\10_&#54408;&#51656;_&#50504;&#51204;%20LL%20&#44277;&#50976;\&#54364;&#51456;&#49436;\&#54408;&#51656;_&#50504;&#51204;%20LL%20&#44277;&#50976;_&#54364;&#51456;&#49436;.html" TargetMode="External"/><Relationship Id="rId49" Type="http://schemas.openxmlformats.org/officeDocument/2006/relationships/hyperlink" Target="&#47588;&#45684;&#50620;BODY(&#51665;&#54665;&#45800;&#44228;-&#52392;&#48512;&#54260;&#45908;)v8\6.&#44148;&#52629;\17_&#48148;&#45797;(&#48260;&#47548;)%20&#53080;&#53356;&#47532;&#53944;%20&#53440;&#49444;\&#54364;&#51456;&#49436;\&#48148;&#45797;(&#48260;&#47548;)%20&#53080;&#53356;&#47532;&#53944;%20&#53440;&#49444;_&#54364;&#51456;&#49436;.html" TargetMode="External"/><Relationship Id="rId114" Type="http://schemas.openxmlformats.org/officeDocument/2006/relationships/hyperlink" Target="&#47588;&#45684;&#50620;BODY(&#51665;&#54665;&#45800;&#44228;-&#52392;&#48512;&#54260;&#45908;)v8\6.&#44148;&#52629;\38_&#49849;&#44053;&#44592;%20&#49444;&#52824;%20&#49888;&#44256;&#49436;%20&#51228;&#52636;\&#52404;&#53356;&#47532;&#49828;&#53944;\&#49849;&#44053;&#44592;%20&#49444;&#52824;%20&#49888;&#44256;&#49436;%20&#51228;&#52636;_&#52404;&#53356;&#47532;&#49828;&#53944;.html" TargetMode="External"/><Relationship Id="rId119"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44" Type="http://schemas.openxmlformats.org/officeDocument/2006/relationships/hyperlink" Target="&#47588;&#45684;&#50620;BODY(&#51665;&#54665;&#45800;&#44228;-&#52392;&#48512;&#54260;&#45908;)v8\6.&#44148;&#52629;\15_&#51088;&#51116;%20&#44160;&#49688;\&#49688;&#54665;&#51648;&#52840;\&#51088;&#51116;%20&#44160;&#49688;_&#49688;&#54665;&#51648;&#52840;.html" TargetMode="External"/><Relationship Id="rId60" Type="http://schemas.openxmlformats.org/officeDocument/2006/relationships/hyperlink" Target="&#47588;&#45684;&#50620;BODY(&#51665;&#54665;&#45800;&#44228;-&#52392;&#48512;&#54260;&#45908;)v8\6.&#44148;&#52629;\20_&#51064;&#53552;&#54168;&#51060;&#49828;%20&#44033;%20&#44277;&#51333;&#48324;%20Issue%20(&#53664;&#47785;&#48516;&#50556;)\&#52404;&#53356;&#47532;&#49828;&#53944;\&#51064;&#53552;&#54168;&#51060;&#49828;%20&#44033;%20&#44277;&#51333;&#48324;%20Issue%20(&#53664;&#47785;&#48516;&#50556;)_&#52404;&#53356;&#47532;&#49828;&#53944;.html" TargetMode="External"/><Relationship Id="rId65" Type="http://schemas.openxmlformats.org/officeDocument/2006/relationships/hyperlink" Target="&#47588;&#45684;&#50620;BODY(&#51665;&#54665;&#45800;&#44228;-&#52392;&#48512;&#54260;&#45908;)v8\6.&#44148;&#52629;\22_&#52384;&#44540;%20&#44032;&#44277;\&#49688;&#54665;&#51648;&#52840;\&#52384;&#44540;%20&#44032;&#44277;_&#49688;&#54665;&#51648;&#52840;.html" TargetMode="External"/><Relationship Id="rId81" Type="http://schemas.openxmlformats.org/officeDocument/2006/relationships/hyperlink" Target="&#47588;&#45684;&#50620;BODY(&#51665;&#54665;&#45800;&#44228;-&#52392;&#48512;&#54260;&#45908;)v8\6.&#44148;&#52629;\27_&#44144;&#54392;&#51665;%20&#54644;&#52404;\&#52404;&#53356;&#47532;&#49828;&#53944;\&#44144;&#54392;&#51665;%20&#54644;&#52404;_&#52404;&#53356;&#47532;&#49828;&#53944;.html" TargetMode="External"/><Relationship Id="rId86" Type="http://schemas.openxmlformats.org/officeDocument/2006/relationships/hyperlink" Target="&#47588;&#45684;&#50620;BODY(&#51665;&#54665;&#45800;&#44228;-&#52392;&#48512;&#54260;&#45908;)v8\6.&#44148;&#52629;\29_&#52285;&#54840;,&#50976;&#47532;%20&#48143;%20&#44552;&#49549;&#51648;&#48533;&#44277;&#49324;\&#49688;&#54665;&#51648;&#52840;\&#52285;&#54840;,&#50976;&#47532;%20&#48143;%20&#44552;&#49549;&#51648;&#48533;&#44277;&#49324;_&#49688;&#54665;&#51648;&#52840;.html" TargetMode="External"/><Relationship Id="rId130" Type="http://schemas.openxmlformats.org/officeDocument/2006/relationships/hyperlink" Target="&#47588;&#45684;&#50620;BODY(&#51665;&#54665;&#45800;&#44228;-&#52392;&#48512;&#54260;&#45908;)v8\6.&#44148;&#52629;\44_&#51221;&#48372;&#53685;&#49888;&#44277;&#49324;%20&#49324;&#50857;&#51204;&#44160;&#49324;\&#54364;&#51456;&#49436;\&#51221;&#48372;&#53685;&#49888;&#44277;&#49324;%20&#49324;&#50857;&#51204;&#44160;&#49324;_&#54364;&#51456;&#49436;.html" TargetMode="External"/><Relationship Id="rId135" Type="http://schemas.openxmlformats.org/officeDocument/2006/relationships/hyperlink" Target="&#47588;&#45684;&#50620;BODY(&#51665;&#54665;&#45800;&#44228;-&#52392;&#48512;&#54260;&#45908;)v8\6.&#44148;&#52629;\45_&#50724;&#49688;&#52376;&#47532;&#49884;&#49444;%20_%20&#51221;&#54868;&#51312;%20&#51456;&#44277;&#44160;&#49324;\&#52404;&#53356;&#47532;&#49828;&#53944;\&#50724;&#49688;&#52376;&#47532;&#49884;&#49444;%20_%20&#51221;&#54868;&#51312;%20&#51456;&#44277;&#44160;&#49324;_&#52404;&#53356;&#47532;&#49828;&#53944;.html" TargetMode="External"/><Relationship Id="rId151" Type="http://schemas.openxmlformats.org/officeDocument/2006/relationships/printerSettings" Target="../printerSettings/printerSettings6.bin"/><Relationship Id="rId13" Type="http://schemas.openxmlformats.org/officeDocument/2006/relationships/hyperlink" Target="&#47588;&#45684;&#50620;BODY(&#51665;&#54665;&#45800;&#44228;-&#52392;&#48512;&#54260;&#45908;)v8\6.&#44148;&#52629;\5_&#52265;&#44277;&#49888;&#44256;&#49436;%20&#51228;&#52636;\&#54364;&#51456;&#49436;\&#52265;&#44277;&#49888;&#44256;&#49436;%20&#51228;&#52636;_&#54364;&#51456;&#49436;.html" TargetMode="External"/><Relationship Id="rId18" Type="http://schemas.openxmlformats.org/officeDocument/2006/relationships/hyperlink" Target="&#47588;&#45684;&#50620;BODY(&#51665;&#54665;&#45800;&#44228;-&#52392;&#48512;&#54260;&#45908;)v8\6.&#44148;&#52629;\6_&#49548;&#48169;&#49884;&#49444;&#44277;&#49324;%20&#52265;&#44277;%20&#49888;&#44256;&#49436;%20&#51228;&#52636;\&#52404;&#53356;&#47532;&#49828;&#53944;\&#49548;&#48169;&#49884;&#49444;&#44277;&#49324;%20&#52265;&#44277;%20&#49888;&#44256;&#49436;%20&#51228;&#52636;_&#52404;&#53356;&#47532;&#49828;&#53944;.html" TargetMode="External"/><Relationship Id="rId39" Type="http://schemas.openxmlformats.org/officeDocument/2006/relationships/hyperlink" Target="&#47588;&#45684;&#50620;BODY(&#51665;&#54665;&#45800;&#44228;-&#52392;&#48512;&#54260;&#45908;)v8\6.&#44148;&#52629;\13_&#49884;&#44277;&#44228;&#54925;%20&#49688;&#47549;_&#49849;&#51064;\&#52404;&#53356;&#47532;&#49828;&#53944;\&#49884;&#44277;&#44228;&#54925;%20&#49688;&#47549;_&#49849;&#51064;_&#52404;&#53356;&#47532;&#49828;&#53944;.html" TargetMode="External"/><Relationship Id="rId109" Type="http://schemas.openxmlformats.org/officeDocument/2006/relationships/hyperlink" Target="&#47588;&#45684;&#50620;BODY(&#51665;&#54665;&#45800;&#44228;-&#52392;&#48512;&#54260;&#45908;)v8\6.&#44148;&#52629;\37_&#49548;&#48169;&#49884;&#49444;&#44277;&#49324;%20&#50756;&#44277;&#44160;&#49324;\&#54364;&#51456;&#49436;\&#49548;&#48169;&#49884;&#49444;&#44277;&#49324;%20&#50756;&#44277;&#44160;&#49324;_&#54364;&#51456;&#49436;.html" TargetMode="External"/><Relationship Id="rId34" Type="http://schemas.openxmlformats.org/officeDocument/2006/relationships/hyperlink" Target="&#47588;&#45684;&#50620;BODY(&#51665;&#54665;&#45800;&#44228;-&#52392;&#48512;&#54260;&#45908;)v8\6.&#44148;&#52629;\12_&#52265;&#49688;&#51204;%20Big%20Room%20&#54924;&#51032;\&#54364;&#51456;&#49436;\&#52265;&#49688;&#51204;%20Big%20Room%20&#54924;&#51032;_&#54364;&#51456;&#49436;.html" TargetMode="External"/><Relationship Id="rId50" Type="http://schemas.openxmlformats.org/officeDocument/2006/relationships/hyperlink" Target="&#47588;&#45684;&#50620;BODY(&#51665;&#54665;&#45800;&#44228;-&#52392;&#48512;&#54260;&#45908;)v8\6.&#44148;&#52629;\17_&#48148;&#45797;(&#48260;&#47548;)%20&#53080;&#53356;&#47532;&#53944;%20&#53440;&#49444;\&#49688;&#54665;&#51648;&#52840;\&#48148;&#45797;(&#48260;&#47548;)%20&#53080;&#53356;&#47532;&#53944;%20&#53440;&#49444;_&#49688;&#54665;&#51648;&#52840;.html" TargetMode="External"/><Relationship Id="rId55" Type="http://schemas.openxmlformats.org/officeDocument/2006/relationships/hyperlink" Target="&#47588;&#45684;&#50620;BODY(&#51665;&#54665;&#45800;&#44228;-&#52392;&#48512;&#54260;&#45908;)v8\6.&#44148;&#52629;\19_&#51064;&#53552;&#54168;&#51060;&#49828;%20&#44033;%20&#44277;&#51333;&#48324;%20Issue%20(&#44592;&#44228;,%20&#51204;&#44592;,%20&#53685;&#49888;&#48516;&#50556;)\&#54364;&#51456;&#49436;\&#51064;&#53552;&#54168;&#51060;&#49828;%20&#44033;%20&#44277;&#51333;&#48324;%20Issue%20(&#44592;&#44228;,%20&#51204;&#44592;,%20&#53685;&#49888;&#48516;&#50556;)_&#54364;&#51456;&#49436;.html" TargetMode="External"/><Relationship Id="rId76" Type="http://schemas.openxmlformats.org/officeDocument/2006/relationships/hyperlink" Target="&#47588;&#45684;&#50620;BODY(&#51665;&#54665;&#45800;&#44228;-&#52392;&#48512;&#54260;&#45908;)v8\6.&#44148;&#52629;\26_&#53080;&#53356;&#47532;&#53944;%20&#53440;&#49444;%20&#48143;%20&#45796;&#51664;\&#54364;&#51456;&#49436;\&#53080;&#53356;&#47532;&#53944;%20&#53440;&#49444;%20&#48143;%20&#45796;&#51664;_&#54364;&#51456;&#49436;.html" TargetMode="External"/><Relationship Id="rId97" Type="http://schemas.openxmlformats.org/officeDocument/2006/relationships/hyperlink" Target="&#47588;&#45684;&#50620;BODY(&#51665;&#54665;&#45800;&#44228;-&#52392;&#48512;&#54260;&#45908;)v8\6.&#44148;&#52629;\33_&#49688;&#51109;%20&#48143;%20&#51105;&#52384;&#47932;&#44277;&#49324;\&#54364;&#51456;&#49436;\&#49688;&#51109;%20&#48143;%20&#51105;&#52384;&#47932;&#44277;&#49324;_&#54364;&#51456;&#49436;.html" TargetMode="External"/><Relationship Id="rId104" Type="http://schemas.openxmlformats.org/officeDocument/2006/relationships/hyperlink" Target="&#47588;&#45684;&#50620;BODY(&#51665;&#54665;&#45800;&#44228;-&#52392;&#48512;&#54260;&#45908;)v8\6.&#44148;&#52629;\35_&#51064;&#53580;&#47532;&#50612;%20&#48143;%20&#47924;&#45824;&#44277;&#49324;\&#49688;&#54665;&#51648;&#52840;\&#51064;&#53580;&#47532;&#50612;%20&#48143;%20&#47924;&#45824;&#44277;&#49324;_&#49688;&#54665;&#51648;&#52840;.html" TargetMode="External"/><Relationship Id="rId120"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125" Type="http://schemas.openxmlformats.org/officeDocument/2006/relationships/hyperlink" Target="&#47588;&#45684;&#50620;BODY(&#51665;&#54665;&#45800;&#44228;-&#52392;&#48512;&#54260;&#45908;)v8\6.&#44148;&#52629;\42_&#49849;&#44053;&#44592;%20&#49444;&#52824;&#44160;&#49324;\&#49688;&#54665;&#51648;&#52840;\&#49849;&#44053;&#44592;%20&#49444;&#52824;&#44160;&#49324;_&#49688;&#54665;&#51648;&#52840;.html" TargetMode="External"/><Relationship Id="rId141" Type="http://schemas.openxmlformats.org/officeDocument/2006/relationships/hyperlink" Target="&#47588;&#45684;&#50620;BODY(&#51665;&#54665;&#45800;&#44228;-&#52392;&#48512;&#54260;&#45908;)v8\6.&#44148;&#52629;\47_&#50629;&#47924;&#45824;&#54665;%20&#44148;&#52629;&#49324;%20&#49324;&#50857;&#49849;&#51064;%20&#44160;&#49324;\&#52404;&#53356;&#47532;&#49828;&#53944;\&#50629;&#47924;&#45824;&#54665;%20&#44148;&#52629;&#49324;%20&#49324;&#50857;&#49849;&#51064;%20&#44160;&#49324;_&#52404;&#53356;&#47532;&#49828;&#53944;.html" TargetMode="External"/><Relationship Id="rId146" Type="http://schemas.openxmlformats.org/officeDocument/2006/relationships/hyperlink" Target="&#47588;&#45684;&#50620;BODY(&#51665;&#54665;&#45800;&#44228;-&#52392;&#48512;&#54260;&#45908;)v8\6.&#44148;&#52629;\49_&#44148;&#52629;&#47932;&#45824;&#51109;%20&#46321;&#51116;\&#49688;&#54665;&#51648;&#52840;\&#44148;&#52629;&#47932;&#45824;&#51109;%20&#46321;&#51116;_&#49688;&#54665;&#51648;&#52840;.html" TargetMode="External"/><Relationship Id="rId7" Type="http://schemas.openxmlformats.org/officeDocument/2006/relationships/hyperlink" Target="&#47588;&#45684;&#50620;BODY(&#51665;&#54665;&#45800;&#44228;-&#52392;&#48512;&#54260;&#45908;)v8\6.&#44148;&#52629;\3_&#52265;&#44277;&#51204;%20&#44148;&#52629;%20&#51064;&#54728;&#44032;\&#54364;&#51456;&#49436;\&#52265;&#44277;&#51204;%20&#44148;&#52629;%20&#51064;&#54728;&#44032;_&#54364;&#51456;&#49436;.html" TargetMode="External"/><Relationship Id="rId71" Type="http://schemas.openxmlformats.org/officeDocument/2006/relationships/hyperlink" Target="&#47588;&#45684;&#50620;BODY(&#51665;&#54665;&#45800;&#44228;-&#52392;&#48512;&#54260;&#45908;)v8\6.&#44148;&#52629;\24_&#52384;&#44540;%20&#51312;&#47549;\&#49688;&#54665;&#51648;&#52840;\&#52384;&#44540;%20&#51312;&#47549;_&#49688;&#54665;&#51648;&#52840;.html" TargetMode="External"/><Relationship Id="rId92" Type="http://schemas.openxmlformats.org/officeDocument/2006/relationships/hyperlink" Target="&#47588;&#45684;&#50620;BODY(&#51665;&#54665;&#45800;&#44228;-&#52392;&#48512;&#54260;&#45908;)v8\6.&#44148;&#52629;\31_&#45236;&#48512;%20&#48169;&#49688;&#44277;&#49324;\&#49688;&#54665;&#51648;&#52840;\&#45236;&#48512;%20&#48169;&#49688;&#44277;&#49324;_&#49688;&#54665;&#51648;&#52840;.html" TargetMode="External"/><Relationship Id="rId2" Type="http://schemas.openxmlformats.org/officeDocument/2006/relationships/hyperlink" Target="&#47588;&#45684;&#50620;BODY(&#51665;&#54665;&#45800;&#44228;-&#52392;&#48512;&#54260;&#45908;)v8\6.&#44148;&#52629;\1_&#49444;&#44228;%20&#51201;&#51221;&#49457;%20&#44160;&#53664;\&#49688;&#54665;&#51648;&#52840;\&#49444;&#44228;%20&#51201;&#51221;&#49457;%20&#44160;&#53664;_&#49688;&#54665;&#51648;&#52840;.html" TargetMode="External"/><Relationship Id="rId29" Type="http://schemas.openxmlformats.org/officeDocument/2006/relationships/hyperlink" Target="&#47588;&#45684;&#50620;BODY(&#51665;&#54665;&#45800;&#44228;-&#52392;&#48512;&#54260;&#45908;)v8\6.&#44148;&#52629;\10_&#54408;&#51656;_&#50504;&#51204;%20LL%20&#44277;&#50976;\&#49688;&#54665;&#51648;&#52840;\&#54408;&#51656;_&#50504;&#51204;%20LL%20&#44277;&#50976;_&#49688;&#54665;&#51648;&#52840;.html" TargetMode="External"/><Relationship Id="rId24" Type="http://schemas.openxmlformats.org/officeDocument/2006/relationships/hyperlink" Target="&#47588;&#45684;&#50620;BODY(&#51665;&#54665;&#45800;&#44228;-&#52392;&#48512;&#54260;&#45908;)v8\6.&#44148;&#52629;\8_&#49440;&#54665;&#44277;&#51333;%20&#51064;&#49688;&#49324;&#54637;%20&#54869;&#51064;\&#52404;&#53356;&#47532;&#49828;&#53944;\&#49440;&#54665;&#44277;&#51333;%20&#51064;&#49688;&#49324;&#54637;%20&#54869;&#51064;_&#52404;&#53356;&#47532;&#49828;&#53944;.html" TargetMode="External"/><Relationship Id="rId40" Type="http://schemas.openxmlformats.org/officeDocument/2006/relationships/hyperlink" Target="&#47588;&#45684;&#50620;BODY(&#51665;&#54665;&#45800;&#44228;-&#52392;&#48512;&#54260;&#45908;)v8\6.&#44148;&#52629;\14_&#52769;&#47049;,%20&#51088;&#51116;_&#51109;&#48708;%20&#48152;&#51077;,%20&#50504;&#51204;&#44368;&#50977;\&#54364;&#51456;&#49436;\&#52769;&#47049;,%20&#51088;&#51116;_&#51109;&#48708;%20&#48152;&#51077;,%20&#50504;&#51204;&#44368;&#50977;_&#54364;&#51456;&#49436;.html" TargetMode="External"/><Relationship Id="rId45" Type="http://schemas.openxmlformats.org/officeDocument/2006/relationships/hyperlink" Target="&#47588;&#45684;&#50620;BODY(&#51665;&#54665;&#45800;&#44228;-&#52392;&#48512;&#54260;&#45908;)v8\6.&#44148;&#52629;\15_&#51088;&#51116;%20&#44160;&#49688;\&#52404;&#53356;&#47532;&#49828;&#53944;\&#51088;&#51116;%20&#44160;&#49688;_&#52404;&#53356;&#47532;&#49828;&#53944;.html" TargetMode="External"/><Relationship Id="rId66" Type="http://schemas.openxmlformats.org/officeDocument/2006/relationships/hyperlink" Target="&#47588;&#45684;&#50620;BODY(&#51665;&#54665;&#45800;&#44228;-&#52392;&#48512;&#54260;&#45908;)v8\6.&#44148;&#52629;\22_&#52384;&#44540;%20&#44032;&#44277;\&#52404;&#53356;&#47532;&#49828;&#53944;\&#52384;&#44540;%20&#44032;&#44277;_&#52404;&#53356;&#47532;&#49828;&#53944;.html" TargetMode="External"/><Relationship Id="rId87" Type="http://schemas.openxmlformats.org/officeDocument/2006/relationships/hyperlink" Target="&#47588;&#45684;&#50620;BODY(&#51665;&#54665;&#45800;&#44228;-&#52392;&#48512;&#54260;&#45908;)v8\6.&#44148;&#52629;\29_&#52285;&#54840;,&#50976;&#47532;%20&#48143;%20&#44552;&#49549;&#51648;&#48533;&#44277;&#49324;\&#52404;&#53356;&#47532;&#49828;&#53944;\&#52285;&#54840;,&#50976;&#47532;%20&#48143;%20&#44552;&#49549;&#51648;&#48533;&#44277;&#49324;_&#52404;&#53356;&#47532;&#49828;&#53944;.html" TargetMode="External"/><Relationship Id="rId110" Type="http://schemas.openxmlformats.org/officeDocument/2006/relationships/hyperlink" Target="&#47588;&#45684;&#50620;BODY(&#51665;&#54665;&#45800;&#44228;-&#52392;&#48512;&#54260;&#45908;)v8\6.&#44148;&#52629;\37_&#49548;&#48169;&#49884;&#49444;&#44277;&#49324;%20&#50756;&#44277;&#44160;&#49324;\&#49688;&#54665;&#51648;&#52840;\&#49548;&#48169;&#49884;&#49444;&#44277;&#49324;%20&#50756;&#44277;&#44160;&#49324;_&#49688;&#54665;&#51648;&#52840;.html" TargetMode="External"/><Relationship Id="rId115" Type="http://schemas.openxmlformats.org/officeDocument/2006/relationships/hyperlink" Target="&#47588;&#45684;&#50620;BODY(&#51665;&#54665;&#45800;&#44228;-&#52392;&#48512;&#54260;&#45908;)v8\6.&#44148;&#52629;\39_&#51200;&#49688;&#51312;%20&#49444;&#52824;&#54788;&#54889;%20&#49888;&#44256;&#49436;%20&#51228;&#52636;\&#54364;&#51456;&#49436;\&#51200;&#49688;&#51312;%20&#49444;&#52824;&#54788;&#54889;%20&#49888;&#44256;&#49436;%20&#51228;&#52636;_&#54364;&#51456;&#49436;.html" TargetMode="External"/><Relationship Id="rId131" Type="http://schemas.openxmlformats.org/officeDocument/2006/relationships/hyperlink" Target="&#47588;&#45684;&#50620;BODY(&#51665;&#54665;&#45800;&#44228;-&#52392;&#48512;&#54260;&#45908;)v8\6.&#44148;&#52629;\44_&#51221;&#48372;&#53685;&#49888;&#44277;&#49324;%20&#49324;&#50857;&#51204;&#44160;&#49324;\&#49688;&#54665;&#51648;&#52840;\&#51221;&#48372;&#53685;&#49888;&#44277;&#49324;%20&#49324;&#50857;&#51204;&#44160;&#49324;_&#49688;&#54665;&#51648;&#52840;.html" TargetMode="External"/><Relationship Id="rId136" Type="http://schemas.openxmlformats.org/officeDocument/2006/relationships/hyperlink" Target="&#47588;&#45684;&#50620;BODY(&#51665;&#54665;&#45800;&#44228;-&#52392;&#48512;&#54260;&#45908;)v8\6.&#44148;&#52629;\46_&#44553;&#49688;&#44277;&#49324;%20&#49888;&#52397;&#49436;%20&#51228;&#52636;\&#54364;&#51456;&#49436;\&#44553;&#49688;&#44277;&#49324;%20&#49888;&#52397;&#49436;%20&#51228;&#52636;_&#54364;&#51456;&#49436;.html" TargetMode="External"/><Relationship Id="rId61" Type="http://schemas.openxmlformats.org/officeDocument/2006/relationships/hyperlink" Target="&#47588;&#45684;&#50620;BODY(&#51665;&#54665;&#45800;&#44228;-&#52392;&#48512;&#54260;&#45908;)v8\6.&#44148;&#52629;\21_&#44592;&#52488;~&#49345;&#48512;&#49836;&#46972;&#48652;%20&#44396;&#51312;&#47932;%20&#49884;&#44277;\&#54364;&#51456;&#49436;\&#44592;&#52488;~&#49345;&#48512;&#49836;&#46972;&#48652;%20&#44396;&#51312;&#47932;%20&#49884;&#44277;_&#54364;&#51456;&#49436;.html" TargetMode="External"/><Relationship Id="rId82" Type="http://schemas.openxmlformats.org/officeDocument/2006/relationships/hyperlink" Target="&#47588;&#45684;&#50620;BODY(&#51665;&#54665;&#45800;&#44228;-&#52392;&#48512;&#54260;&#45908;)v8\6.&#44148;&#52629;\28_&#44148;&#52629;%20&#45236;&#48512;%20&#48143;%20&#47560;&#44048;&#44277;&#49324;\&#54364;&#51456;&#49436;\&#44148;&#52629;%20&#45236;&#48512;%20&#48143;%20&#47560;&#44048;&#44277;&#49324;_&#54364;&#51456;&#49436;.html" TargetMode="External"/><Relationship Id="rId19"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4364;&#51456;&#49436;\&#51221;&#48372;&#53685;&#49888;&#44277;&#49324;%20&#52265;&#44277;&#51204;%20&#49444;&#44228;&#46020;%20&#54869;&#51064;%20(&#49888;&#52397;&#49436;%20&#51228;&#52636;%20&#48143;%20&#44208;&#44284;%20&#51217;&#49688;)_&#54364;&#51456;&#49436;.html" TargetMode="External"/><Relationship Id="rId14" Type="http://schemas.openxmlformats.org/officeDocument/2006/relationships/hyperlink" Target="&#47588;&#45684;&#50620;BODY(&#51665;&#54665;&#45800;&#44228;-&#52392;&#48512;&#54260;&#45908;)v8\6.&#44148;&#52629;\5_&#52265;&#44277;&#49888;&#44256;&#49436;%20&#51228;&#52636;\&#49688;&#54665;&#51648;&#52840;\&#52265;&#44277;&#49888;&#44256;&#49436;%20&#51228;&#52636;_&#49688;&#54665;&#51648;&#52840;.html" TargetMode="External"/><Relationship Id="rId30" Type="http://schemas.openxmlformats.org/officeDocument/2006/relationships/hyperlink" Target="&#47588;&#45684;&#50620;BODY(&#51665;&#54665;&#45800;&#44228;-&#52392;&#48512;&#54260;&#45908;)v8\6.&#44148;&#52629;\10_&#54408;&#51656;_&#50504;&#51204;%20LL%20&#44277;&#50976;\&#52404;&#53356;&#47532;&#49828;&#53944;\&#54408;&#51656;_&#50504;&#51204;%20LL%20&#44277;&#50976;_&#52404;&#53356;&#47532;&#49828;&#53944;.html" TargetMode="External"/><Relationship Id="rId35" Type="http://schemas.openxmlformats.org/officeDocument/2006/relationships/hyperlink" Target="&#47588;&#45684;&#50620;BODY(&#51665;&#54665;&#45800;&#44228;-&#52392;&#48512;&#54260;&#45908;)v8\6.&#44148;&#52629;\12_&#52265;&#49688;&#51204;%20Big%20Room%20&#54924;&#51032;\&#49688;&#54665;&#51648;&#52840;\&#52265;&#49688;&#51204;%20Big%20Room%20&#54924;&#51032;_&#49688;&#54665;&#51648;&#52840;.html" TargetMode="External"/><Relationship Id="rId56" Type="http://schemas.openxmlformats.org/officeDocument/2006/relationships/hyperlink" Target="&#47588;&#45684;&#50620;BODY(&#51665;&#54665;&#45800;&#44228;-&#52392;&#48512;&#54260;&#45908;)v8\6.&#44148;&#52629;\19_&#51064;&#53552;&#54168;&#51060;&#49828;%20&#44033;%20&#44277;&#51333;&#48324;%20Issue%20(&#44592;&#44228;,%20&#51204;&#44592;,%20&#53685;&#49888;&#48516;&#50556;)\&#49688;&#54665;&#51648;&#52840;\&#51064;&#53552;&#54168;&#51060;&#49828;%20&#44033;%20&#44277;&#51333;&#48324;%20Issue%20(&#44592;&#44228;,%20&#51204;&#44592;,%20&#53685;&#49888;&#48516;&#50556;)_&#49688;&#54665;&#51648;&#52840;.html" TargetMode="External"/><Relationship Id="rId77" Type="http://schemas.openxmlformats.org/officeDocument/2006/relationships/hyperlink" Target="&#47588;&#45684;&#50620;BODY(&#51665;&#54665;&#45800;&#44228;-&#52392;&#48512;&#54260;&#45908;)v8\6.&#44148;&#52629;\26_&#53080;&#53356;&#47532;&#53944;%20&#53440;&#49444;%20&#48143;%20&#45796;&#51664;\&#49688;&#54665;&#51648;&#52840;\&#53080;&#53356;&#47532;&#53944;%20&#53440;&#49444;%20&#48143;%20&#45796;&#51664;_&#49688;&#54665;&#51648;&#52840;.html" TargetMode="External"/><Relationship Id="rId100" Type="http://schemas.openxmlformats.org/officeDocument/2006/relationships/hyperlink" Target="&#47588;&#45684;&#50620;BODY(&#51665;&#54665;&#45800;&#44228;-&#52392;&#48512;&#54260;&#45908;)v8\6.&#44148;&#52629;\34_&#46020;&#51109;&#44277;&#49324;\&#54364;&#51456;&#49436;\&#46020;&#51109;&#44277;&#49324;_&#54364;&#51456;&#49436;.html" TargetMode="External"/><Relationship Id="rId105" Type="http://schemas.openxmlformats.org/officeDocument/2006/relationships/hyperlink" Target="&#47588;&#45684;&#50620;BODY(&#51665;&#54665;&#45800;&#44228;-&#52392;&#48512;&#54260;&#45908;)v8\6.&#44148;&#52629;\35_&#51064;&#53580;&#47532;&#50612;%20&#48143;%20&#47924;&#45824;&#44277;&#49324;\&#52404;&#53356;&#47532;&#49828;&#53944;\&#51064;&#53580;&#47532;&#50612;%20&#48143;%20&#47924;&#45824;&#44277;&#49324;_&#52404;&#53356;&#47532;&#49828;&#53944;.html" TargetMode="External"/><Relationship Id="rId126" Type="http://schemas.openxmlformats.org/officeDocument/2006/relationships/hyperlink" Target="&#47588;&#45684;&#50620;BODY(&#51665;&#54665;&#45800;&#44228;-&#52392;&#48512;&#54260;&#45908;)v8\6.&#44148;&#52629;\42_&#49849;&#44053;&#44592;%20&#49444;&#52824;&#44160;&#49324;\&#52404;&#53356;&#47532;&#49828;&#53944;\&#49849;&#44053;&#44592;%20&#49444;&#52824;&#44160;&#49324;_&#52404;&#53356;&#47532;&#49828;&#53944;.html" TargetMode="External"/><Relationship Id="rId147" Type="http://schemas.openxmlformats.org/officeDocument/2006/relationships/hyperlink" Target="&#47588;&#45684;&#50620;BODY(&#51665;&#54665;&#45800;&#44228;-&#52392;&#48512;&#54260;&#45908;)v8\6.&#44148;&#52629;\49_&#44148;&#52629;&#47932;&#45824;&#51109;%20&#46321;&#51116;\&#52404;&#53356;&#47532;&#49828;&#53944;\&#44148;&#52629;&#47932;&#45824;&#51109;%20&#46321;&#51116;_&#52404;&#53356;&#47532;&#49828;&#53944;.html" TargetMode="External"/><Relationship Id="rId8" Type="http://schemas.openxmlformats.org/officeDocument/2006/relationships/hyperlink" Target="&#47588;&#45684;&#50620;BODY(&#51665;&#54665;&#45800;&#44228;-&#52392;&#48512;&#54260;&#45908;)v8\6.&#44148;&#52629;\3_&#52265;&#44277;&#51204;%20&#44148;&#52629;%20&#51064;&#54728;&#44032;\&#49688;&#54665;&#51648;&#52840;\&#52265;&#44277;&#51204;%20&#44148;&#52629;%20&#51064;&#54728;&#44032;_&#49688;&#54665;&#51648;&#52840;.html" TargetMode="External"/><Relationship Id="rId51" Type="http://schemas.openxmlformats.org/officeDocument/2006/relationships/hyperlink" Target="&#47588;&#45684;&#50620;BODY(&#51665;&#54665;&#45800;&#44228;-&#52392;&#48512;&#54260;&#45908;)v8\6.&#44148;&#52629;\17_&#48148;&#45797;(&#48260;&#47548;)%20&#53080;&#53356;&#47532;&#53944;%20&#53440;&#49444;\&#52404;&#53356;&#47532;&#49828;&#53944;\&#48148;&#45797;(&#48260;&#47548;)%20&#53080;&#53356;&#47532;&#53944;%20&#53440;&#49444;_&#52404;&#53356;&#47532;&#49828;&#53944;.html" TargetMode="External"/><Relationship Id="rId72" Type="http://schemas.openxmlformats.org/officeDocument/2006/relationships/hyperlink" Target="&#47588;&#45684;&#50620;BODY(&#51665;&#54665;&#45800;&#44228;-&#52392;&#48512;&#54260;&#45908;)v8\6.&#44148;&#52629;\24_&#52384;&#44540;%20&#51312;&#47549;\&#52404;&#53356;&#47532;&#49828;&#53944;\&#52384;&#44540;%20&#51312;&#47549;_&#52404;&#53356;&#47532;&#49828;&#53944;.html" TargetMode="External"/><Relationship Id="rId93" Type="http://schemas.openxmlformats.org/officeDocument/2006/relationships/hyperlink" Target="&#47588;&#45684;&#50620;BODY(&#51665;&#54665;&#45800;&#44228;-&#52392;&#48512;&#54260;&#45908;)v8\6.&#44148;&#52629;\31_&#45236;&#48512;%20&#48169;&#49688;&#44277;&#49324;\&#52404;&#53356;&#47532;&#49828;&#53944;\&#45236;&#48512;%20&#48169;&#49688;&#44277;&#49324;_&#52404;&#53356;&#47532;&#49828;&#53944;.html" TargetMode="External"/><Relationship Id="rId98" Type="http://schemas.openxmlformats.org/officeDocument/2006/relationships/hyperlink" Target="&#47588;&#45684;&#50620;BODY(&#51665;&#54665;&#45800;&#44228;-&#52392;&#48512;&#54260;&#45908;)v8\6.&#44148;&#52629;\33_&#49688;&#51109;%20&#48143;%20&#51105;&#52384;&#47932;&#44277;&#49324;\&#49688;&#54665;&#51648;&#52840;\&#49688;&#51109;%20&#48143;%20&#51105;&#52384;&#47932;&#44277;&#49324;_&#49688;&#54665;&#51648;&#52840;.html" TargetMode="External"/><Relationship Id="rId121" Type="http://schemas.openxmlformats.org/officeDocument/2006/relationships/hyperlink" Target="&#47588;&#45684;&#50620;BODY(&#51665;&#54665;&#45800;&#44228;-&#52392;&#48512;&#54260;&#45908;)v8\6.&#44148;&#52629;\41_&#51204;&#44592;&#49324;&#50857;&#51204;%20&#44160;&#49324;\&#54364;&#51456;&#49436;\&#51204;&#44592;&#49324;&#50857;&#51204;%20&#44160;&#49324;_&#54364;&#51456;&#49436;.html" TargetMode="External"/><Relationship Id="rId142" Type="http://schemas.openxmlformats.org/officeDocument/2006/relationships/hyperlink" Target="&#47588;&#45684;&#50620;BODY(&#51665;&#54665;&#45800;&#44228;-&#52392;&#48512;&#54260;&#45908;)v8\6.&#44148;&#52629;\48_&#44148;&#52629;&#47932;%20&#49324;&#50857;&#49849;&#51064;%20&#49888;&#52397;\&#54364;&#51456;&#49436;\&#44148;&#52629;&#47932;%20&#49324;&#50857;&#49849;&#51064;%20&#49888;&#52397;_&#54364;&#51456;&#49436;.html" TargetMode="External"/><Relationship Id="rId3" Type="http://schemas.openxmlformats.org/officeDocument/2006/relationships/hyperlink" Target="&#47588;&#45684;&#50620;BODY(&#51665;&#54665;&#45800;&#44228;-&#52392;&#48512;&#54260;&#45908;)v8\6.&#44148;&#52629;\1_&#49444;&#44228;%20&#51201;&#51221;&#49457;%20&#44160;&#53664;\&#52404;&#53356;&#47532;&#49828;&#53944;\&#49444;&#44228;%20&#51201;&#51221;&#49457;%20&#44160;&#53664;_&#52404;&#53356;&#47532;&#49828;&#53944;.html" TargetMode="External"/><Relationship Id="rId25" Type="http://schemas.openxmlformats.org/officeDocument/2006/relationships/hyperlink" Target="&#47588;&#45684;&#50620;BODY(&#51665;&#54665;&#45800;&#44228;-&#52392;&#48512;&#54260;&#45908;)v8\6.&#44148;&#52629;\9_&#51064;&#53552;&#54168;&#51060;&#49828;%20&#49324;&#54637;%20&#44160;&#53664;%20&#48143;%20&#51648;&#50896;\&#54364;&#51456;&#49436;\&#51064;&#53552;&#54168;&#51060;&#49828;%20&#49324;&#54637;%20&#44160;&#53664;%20&#48143;%20&#51648;&#50896;_&#54364;&#51456;&#49436;.html" TargetMode="External"/><Relationship Id="rId46" Type="http://schemas.openxmlformats.org/officeDocument/2006/relationships/hyperlink" Target="&#47588;&#45684;&#50620;BODY(&#51665;&#54665;&#45800;&#44228;-&#52392;&#48512;&#54260;&#45908;)v8\6.&#44148;&#52629;\16_&#53552;&#54028;&#44592;_&#51648;&#48152;%20&#51221;&#47532;\&#54364;&#51456;&#49436;\&#53552;&#54028;&#44592;_&#51648;&#48152;%20&#51221;&#47532;_&#54364;&#51456;&#49436;.html" TargetMode="External"/><Relationship Id="rId67" Type="http://schemas.openxmlformats.org/officeDocument/2006/relationships/hyperlink" Target="&#47588;&#45684;&#50620;BODY(&#51665;&#54665;&#45800;&#44228;-&#52392;&#48512;&#54260;&#45908;)v8\6.&#44148;&#52629;\23_&#51089;&#50629;&#48156;&#54032;,%20&#48708;&#44228;%20&#48143;%20&#46041;&#48148;&#47532;%20&#49444;&#52824;\&#54364;&#51456;&#49436;\&#51089;&#50629;&#48156;&#54032;,%20&#48708;&#44228;%20&#48143;%20&#46041;&#48148;&#47532;%20&#49444;&#52824;_&#54364;&#51456;&#49436;.html" TargetMode="External"/><Relationship Id="rId116" Type="http://schemas.openxmlformats.org/officeDocument/2006/relationships/hyperlink" Target="&#47588;&#45684;&#50620;BODY(&#51665;&#54665;&#45800;&#44228;-&#52392;&#48512;&#54260;&#45908;)v8\6.&#44148;&#52629;\39_&#51200;&#49688;&#51312;%20&#49444;&#52824;&#54788;&#54889;%20&#49888;&#44256;&#49436;%20&#51228;&#52636;\&#49688;&#54665;&#51648;&#52840;\&#51200;&#49688;&#51312;%20&#49444;&#52824;&#54788;&#54889;%20&#49888;&#44256;&#49436;%20&#51228;&#52636;_&#49688;&#54665;&#51648;&#52840;.html" TargetMode="External"/><Relationship Id="rId137" Type="http://schemas.openxmlformats.org/officeDocument/2006/relationships/hyperlink" Target="&#47588;&#45684;&#50620;BODY(&#51665;&#54665;&#45800;&#44228;-&#52392;&#48512;&#54260;&#45908;)v8\6.&#44148;&#52629;\46_&#44553;&#49688;&#44277;&#49324;%20&#49888;&#52397;&#49436;%20&#51228;&#52636;\&#49688;&#54665;&#51648;&#52840;\&#44553;&#49688;&#44277;&#49324;%20&#49888;&#52397;&#49436;%20&#51228;&#52636;_&#49688;&#54665;&#51648;&#52840;.html" TargetMode="External"/><Relationship Id="rId20"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49688;&#54665;&#51648;&#52840;\&#51221;&#48372;&#53685;&#49888;&#44277;&#49324;%20&#52265;&#44277;&#51204;%20&#49444;&#44228;&#46020;%20&#54869;&#51064;%20(&#49888;&#52397;&#49436;%20&#51228;&#52636;%20&#48143;%20&#44208;&#44284;%20&#51217;&#49688;)_&#49688;&#54665;&#51648;&#52840;.html" TargetMode="External"/><Relationship Id="rId41" Type="http://schemas.openxmlformats.org/officeDocument/2006/relationships/hyperlink" Target="&#47588;&#45684;&#50620;BODY(&#51665;&#54665;&#45800;&#44228;-&#52392;&#48512;&#54260;&#45908;)v8\6.&#44148;&#52629;\14_&#52769;&#47049;,%20&#51088;&#51116;_&#51109;&#48708;%20&#48152;&#51077;,%20&#50504;&#51204;&#44368;&#50977;\&#49688;&#54665;&#51648;&#52840;\&#52769;&#47049;,%20&#51088;&#51116;_&#51109;&#48708;%20&#48152;&#51077;,%20&#50504;&#51204;&#44368;&#50977;_&#49688;&#54665;&#51648;&#52840;.html" TargetMode="External"/><Relationship Id="rId62" Type="http://schemas.openxmlformats.org/officeDocument/2006/relationships/hyperlink" Target="&#47588;&#45684;&#50620;BODY(&#51665;&#54665;&#45800;&#44228;-&#52392;&#48512;&#54260;&#45908;)v8\6.&#44148;&#52629;\21_&#44592;&#52488;~&#49345;&#48512;&#49836;&#46972;&#48652;%20&#44396;&#51312;&#47932;%20&#49884;&#44277;\&#49688;&#54665;&#51648;&#52840;\&#44592;&#52488;~&#49345;&#48512;&#49836;&#46972;&#48652;%20&#44396;&#51312;&#47932;%20&#49884;&#44277;_&#49688;&#54665;&#51648;&#52840;.html" TargetMode="External"/><Relationship Id="rId83" Type="http://schemas.openxmlformats.org/officeDocument/2006/relationships/hyperlink" Target="&#47588;&#45684;&#50620;BODY(&#51665;&#54665;&#45800;&#44228;-&#52392;&#48512;&#54260;&#45908;)v8\6.&#44148;&#52629;\28_&#44148;&#52629;%20&#45236;&#48512;%20&#48143;%20&#47560;&#44048;&#44277;&#49324;\&#49688;&#54665;&#51648;&#52840;\&#44148;&#52629;%20&#45236;&#48512;%20&#48143;%20&#47560;&#44048;&#44277;&#49324;_&#49688;&#54665;&#51648;&#52840;.html" TargetMode="External"/><Relationship Id="rId88" Type="http://schemas.openxmlformats.org/officeDocument/2006/relationships/hyperlink" Target="&#47588;&#45684;&#50620;BODY(&#51665;&#54665;&#45800;&#44228;-&#52392;&#48512;&#54260;&#45908;)v8\6.&#44148;&#52629;\30_&#51312;&#51201;&#44277;&#49324;\&#54364;&#51456;&#49436;\&#51312;&#51201;&#44277;&#49324;_&#54364;&#51456;&#49436;.html" TargetMode="External"/><Relationship Id="rId111" Type="http://schemas.openxmlformats.org/officeDocument/2006/relationships/hyperlink" Target="&#47588;&#45684;&#50620;BODY(&#51665;&#54665;&#45800;&#44228;-&#52392;&#48512;&#54260;&#45908;)v8\6.&#44148;&#52629;\37_&#49548;&#48169;&#49884;&#49444;&#44277;&#49324;%20&#50756;&#44277;&#44160;&#49324;\&#52404;&#53356;&#47532;&#49828;&#53944;\&#49548;&#48169;&#49884;&#49444;&#44277;&#49324;%20&#50756;&#44277;&#44160;&#49324;_&#52404;&#53356;&#47532;&#49828;&#53944;.html" TargetMode="External"/><Relationship Id="rId132" Type="http://schemas.openxmlformats.org/officeDocument/2006/relationships/hyperlink" Target="&#47588;&#45684;&#50620;BODY(&#51665;&#54665;&#45800;&#44228;-&#52392;&#48512;&#54260;&#45908;)v8\6.&#44148;&#52629;\44_&#51221;&#48372;&#53685;&#49888;&#44277;&#49324;%20&#49324;&#50857;&#51204;&#44160;&#49324;\&#52404;&#53356;&#47532;&#49828;&#53944;\&#51221;&#48372;&#53685;&#49888;&#44277;&#49324;%20&#49324;&#50857;&#51204;&#44160;&#49324;_&#52404;&#53356;&#47532;&#49828;&#53944;.html" TargetMode="External"/><Relationship Id="rId15" Type="http://schemas.openxmlformats.org/officeDocument/2006/relationships/hyperlink" Target="&#47588;&#45684;&#50620;BODY(&#51665;&#54665;&#45800;&#44228;-&#52392;&#48512;&#54260;&#45908;)v8\6.&#44148;&#52629;\5_&#52265;&#44277;&#49888;&#44256;&#49436;%20&#51228;&#52636;\&#52404;&#53356;&#47532;&#49828;&#53944;\&#52265;&#44277;&#49888;&#44256;&#49436;%20&#51228;&#52636;_&#52404;&#53356;&#47532;&#49828;&#53944;.html" TargetMode="External"/><Relationship Id="rId36" Type="http://schemas.openxmlformats.org/officeDocument/2006/relationships/hyperlink" Target="&#47588;&#45684;&#50620;BODY(&#51665;&#54665;&#45800;&#44228;-&#52392;&#48512;&#54260;&#45908;)v8\6.&#44148;&#52629;\12_&#52265;&#49688;&#51204;%20Big%20Room%20&#54924;&#51032;\&#52404;&#53356;&#47532;&#49828;&#53944;\&#52265;&#49688;&#51204;%20Big%20Room%20&#54924;&#51032;_&#52404;&#53356;&#47532;&#49828;&#53944;.html" TargetMode="External"/><Relationship Id="rId57" Type="http://schemas.openxmlformats.org/officeDocument/2006/relationships/hyperlink" Target="&#47588;&#45684;&#50620;BODY(&#51665;&#54665;&#45800;&#44228;-&#52392;&#48512;&#54260;&#45908;)v8\6.&#44148;&#52629;\19_&#51064;&#53552;&#54168;&#51060;&#49828;%20&#44033;%20&#44277;&#51333;&#48324;%20Issue%20(&#44592;&#44228;,%20&#51204;&#44592;,%20&#53685;&#49888;&#48516;&#50556;)\&#52404;&#53356;&#47532;&#49828;&#53944;\&#51064;&#53552;&#54168;&#51060;&#49828;%20&#44033;%20&#44277;&#51333;&#48324;%20Issue%20(&#44592;&#44228;,%20&#51204;&#44592;,%20&#53685;&#49888;&#48516;&#50556;)_&#52404;&#53356;&#47532;&#49828;&#53944;.html" TargetMode="External"/><Relationship Id="rId106" Type="http://schemas.openxmlformats.org/officeDocument/2006/relationships/hyperlink" Target="&#47588;&#45684;&#50620;BODY(&#51665;&#54665;&#45800;&#44228;-&#52392;&#48512;&#54260;&#45908;)v8\6.&#44148;&#52629;\36_&#51456;&#44277;&#51204;%20&#44148;&#52629;%20&#51064;&#54728;&#44032;\&#54364;&#51456;&#49436;\&#51456;&#44277;&#51204;%20&#44148;&#52629;%20&#51064;&#54728;&#44032;_&#54364;&#51456;&#49436;.html" TargetMode="External"/><Relationship Id="rId127" Type="http://schemas.openxmlformats.org/officeDocument/2006/relationships/hyperlink" Target="&#47588;&#45684;&#50620;BODY(&#51665;&#54665;&#45800;&#44228;-&#52392;&#48512;&#54260;&#45908;)v8\6.&#44148;&#52629;\43_&#48176;&#49688;&#49444;&#48708;%20&#49444;&#52824;%20&#49888;&#44256;&#49436;%20&#51228;&#52636;\&#54364;&#51456;&#49436;\&#48176;&#49688;&#49444;&#48708;%20&#49444;&#52824;%20&#49888;&#44256;&#49436;%20&#51228;&#52636;_&#54364;&#51456;&#49436;.html" TargetMode="External"/><Relationship Id="rId10" Type="http://schemas.openxmlformats.org/officeDocument/2006/relationships/hyperlink" Target="&#47588;&#45684;&#50620;BODY(&#51665;&#54665;&#45800;&#44228;-&#52392;&#48512;&#54260;&#45908;)v8\6.&#44148;&#52629;\4_&#44148;&#52629;&#54728;&#44032;%20&#50836;&#52397;\&#54364;&#51456;&#49436;\&#44148;&#52629;&#54728;&#44032;%20&#50836;&#52397;_&#54364;&#51456;&#49436;.html" TargetMode="External"/><Relationship Id="rId31" Type="http://schemas.openxmlformats.org/officeDocument/2006/relationships/hyperlink" Target="&#47588;&#45684;&#50620;BODY(&#51665;&#54665;&#45800;&#44228;-&#52392;&#48512;&#54260;&#45908;)v8\6.&#44148;&#52629;\11_&#51088;&#51116;&#44277;&#44553;&#50896;&#49849;&#51064;%20&#48143;%20&#51088;&#51116;&#48156;&#51452;\&#54364;&#51456;&#49436;\&#51088;&#51116;&#44277;&#44553;&#50896;&#49849;&#51064;%20&#48143;%20&#51088;&#51116;&#48156;&#51452;_&#54364;&#51456;&#49436;.html" TargetMode="External"/><Relationship Id="rId52" Type="http://schemas.openxmlformats.org/officeDocument/2006/relationships/hyperlink" Target="&#47588;&#45684;&#50620;BODY(&#51665;&#54665;&#45800;&#44228;-&#52392;&#48512;&#54260;&#45908;)v8\6.&#44148;&#52629;\18_&#51064;&#53552;&#54168;&#51060;&#49828;%20&#54924;&#51032;(&#47588;&#51452;)\&#54364;&#51456;&#49436;\&#51064;&#53552;&#54168;&#51060;&#49828;%20&#54924;&#51032;(&#47588;&#51452;)_&#54364;&#51456;&#49436;.html" TargetMode="External"/><Relationship Id="rId73" Type="http://schemas.openxmlformats.org/officeDocument/2006/relationships/hyperlink" Target="&#47588;&#45684;&#50620;BODY(&#51665;&#54665;&#45800;&#44228;-&#52392;&#48512;&#54260;&#45908;)v8\6.&#44148;&#52629;\25_&#44144;&#54392;&#51665;%20&#51312;&#47549;\&#54364;&#51456;&#49436;\&#44144;&#54392;&#51665;%20&#51312;&#47549;_&#54364;&#51456;&#49436;.html" TargetMode="External"/><Relationship Id="rId78" Type="http://schemas.openxmlformats.org/officeDocument/2006/relationships/hyperlink" Target="&#47588;&#45684;&#50620;BODY(&#51665;&#54665;&#45800;&#44228;-&#52392;&#48512;&#54260;&#45908;)v8\6.&#44148;&#52629;\26_&#53080;&#53356;&#47532;&#53944;%20&#53440;&#49444;%20&#48143;%20&#45796;&#51664;\&#52404;&#53356;&#47532;&#49828;&#53944;\&#53080;&#53356;&#47532;&#53944;%20&#53440;&#49444;%20&#48143;%20&#45796;&#51664;_&#52404;&#53356;&#47532;&#49828;&#53944;.html" TargetMode="External"/><Relationship Id="rId94" Type="http://schemas.openxmlformats.org/officeDocument/2006/relationships/hyperlink" Target="&#47588;&#45684;&#50620;BODY(&#51665;&#54665;&#45800;&#44228;-&#52392;&#48512;&#54260;&#45908;)v8\6.&#44148;&#52629;\32_&#48120;&#51109;%20&#48143;%20&#53440;&#51068;&#44277;&#49324;\&#54364;&#51456;&#49436;\&#48120;&#51109;%20&#48143;%20&#53440;&#51068;&#44277;&#49324;_&#54364;&#51456;&#49436;.html" TargetMode="External"/><Relationship Id="rId99" Type="http://schemas.openxmlformats.org/officeDocument/2006/relationships/hyperlink" Target="&#47588;&#45684;&#50620;BODY(&#51665;&#54665;&#45800;&#44228;-&#52392;&#48512;&#54260;&#45908;)v8\6.&#44148;&#52629;\33_&#49688;&#51109;%20&#48143;%20&#51105;&#52384;&#47932;&#44277;&#49324;\&#52404;&#53356;&#47532;&#49828;&#53944;\&#49688;&#51109;%20&#48143;%20&#51105;&#52384;&#47932;&#44277;&#49324;_&#52404;&#53356;&#47532;&#49828;&#53944;.html" TargetMode="External"/><Relationship Id="rId101" Type="http://schemas.openxmlformats.org/officeDocument/2006/relationships/hyperlink" Target="&#47588;&#45684;&#50620;BODY(&#51665;&#54665;&#45800;&#44228;-&#52392;&#48512;&#54260;&#45908;)v8\6.&#44148;&#52629;\34_&#46020;&#51109;&#44277;&#49324;\&#49688;&#54665;&#51648;&#52840;\&#46020;&#51109;&#44277;&#49324;_&#49688;&#54665;&#51648;&#52840;.html" TargetMode="External"/><Relationship Id="rId122" Type="http://schemas.openxmlformats.org/officeDocument/2006/relationships/hyperlink" Target="&#47588;&#45684;&#50620;BODY(&#51665;&#54665;&#45800;&#44228;-&#52392;&#48512;&#54260;&#45908;)v8\6.&#44148;&#52629;\41_&#51204;&#44592;&#49324;&#50857;&#51204;%20&#44160;&#49324;\&#49688;&#54665;&#51648;&#52840;\&#51204;&#44592;&#49324;&#50857;&#51204;%20&#44160;&#49324;_&#49688;&#54665;&#51648;&#52840;.html" TargetMode="External"/><Relationship Id="rId143" Type="http://schemas.openxmlformats.org/officeDocument/2006/relationships/hyperlink" Target="&#47588;&#45684;&#50620;BODY(&#51665;&#54665;&#45800;&#44228;-&#52392;&#48512;&#54260;&#45908;)v8\6.&#44148;&#52629;\48_&#44148;&#52629;&#47932;%20&#49324;&#50857;&#49849;&#51064;%20&#49888;&#52397;\&#49688;&#54665;&#51648;&#52840;\&#44148;&#52629;&#47932;%20&#49324;&#50857;&#49849;&#51064;%20&#49888;&#52397;_&#49688;&#54665;&#51648;&#52840;.html" TargetMode="External"/><Relationship Id="rId148" Type="http://schemas.openxmlformats.org/officeDocument/2006/relationships/hyperlink" Target="&#47588;&#45684;&#50620;BODY(&#51665;&#54665;&#45800;&#44228;-&#52392;&#48512;&#54260;&#45908;)v8\6.&#44148;&#52629;\50_&#54980;&#49549;%20&#44396;&#51312;&#47932;%20&#51064;&#44228;\&#54364;&#51456;&#49436;\&#54980;&#49549;%20&#44396;&#51312;&#47932;%20&#51064;&#44228;_&#54364;&#51456;&#49436;.html" TargetMode="External"/><Relationship Id="rId4" Type="http://schemas.openxmlformats.org/officeDocument/2006/relationships/hyperlink" Target="&#47588;&#45684;&#50620;BODY(&#51665;&#54665;&#45800;&#44228;-&#52392;&#48512;&#54260;&#45908;)v8\6.&#44148;&#52629;\2_&#48156;&#51452;&#51204;&#47029;%20KOM\&#54364;&#51456;&#49436;\&#48156;&#51452;&#51204;&#47029;%20KOM_&#54364;&#51456;&#49436;.html" TargetMode="External"/><Relationship Id="rId9" Type="http://schemas.openxmlformats.org/officeDocument/2006/relationships/hyperlink" Target="&#47588;&#45684;&#50620;BODY(&#51665;&#54665;&#45800;&#44228;-&#52392;&#48512;&#54260;&#45908;)v8\6.&#44148;&#52629;\3_&#52265;&#44277;&#51204;%20&#44148;&#52629;%20&#51064;&#54728;&#44032;\&#52404;&#53356;&#47532;&#49828;&#53944;\&#52265;&#44277;&#51204;%20&#44148;&#52629;%20&#51064;&#54728;&#44032;_&#52404;&#53356;&#47532;&#49828;&#53944;.html" TargetMode="External"/><Relationship Id="rId26" Type="http://schemas.openxmlformats.org/officeDocument/2006/relationships/hyperlink" Target="&#47588;&#45684;&#50620;BODY(&#51665;&#54665;&#45800;&#44228;-&#52392;&#48512;&#54260;&#45908;)v8\6.&#44148;&#52629;\9_&#51064;&#53552;&#54168;&#51060;&#49828;%20&#49324;&#54637;%20&#44160;&#53664;%20&#48143;%20&#51648;&#50896;\&#49688;&#54665;&#51648;&#52840;\&#51064;&#53552;&#54168;&#51060;&#49828;%20&#49324;&#54637;%20&#44160;&#53664;%20&#48143;%20&#51648;&#50896;_&#49688;&#54665;&#51648;&#52840;.html" TargetMode="External"/><Relationship Id="rId47" Type="http://schemas.openxmlformats.org/officeDocument/2006/relationships/hyperlink" Target="&#47588;&#45684;&#50620;BODY(&#51665;&#54665;&#45800;&#44228;-&#52392;&#48512;&#54260;&#45908;)v8\6.&#44148;&#52629;\16_&#53552;&#54028;&#44592;_&#51648;&#48152;%20&#51221;&#47532;\&#49688;&#54665;&#51648;&#52840;\&#53552;&#54028;&#44592;_&#51648;&#48152;%20&#51221;&#47532;_&#49688;&#54665;&#51648;&#52840;.html" TargetMode="External"/><Relationship Id="rId68" Type="http://schemas.openxmlformats.org/officeDocument/2006/relationships/hyperlink" Target="&#47588;&#45684;&#50620;BODY(&#51665;&#54665;&#45800;&#44228;-&#52392;&#48512;&#54260;&#45908;)v8\6.&#44148;&#52629;\23_&#51089;&#50629;&#48156;&#54032;,%20&#48708;&#44228;%20&#48143;%20&#46041;&#48148;&#47532;%20&#49444;&#52824;\&#49688;&#54665;&#51648;&#52840;\&#51089;&#50629;&#48156;&#54032;,%20&#48708;&#44228;%20&#48143;%20&#46041;&#48148;&#47532;%20&#49444;&#52824;_&#49688;&#54665;&#51648;&#52840;.html" TargetMode="External"/><Relationship Id="rId89" Type="http://schemas.openxmlformats.org/officeDocument/2006/relationships/hyperlink" Target="&#47588;&#45684;&#50620;BODY(&#51665;&#54665;&#45800;&#44228;-&#52392;&#48512;&#54260;&#45908;)v8\6.&#44148;&#52629;\30_&#51312;&#51201;&#44277;&#49324;\&#49688;&#54665;&#51648;&#52840;\&#51312;&#51201;&#44277;&#49324;_&#49688;&#54665;&#51648;&#52840;.html" TargetMode="External"/><Relationship Id="rId112" Type="http://schemas.openxmlformats.org/officeDocument/2006/relationships/hyperlink" Target="&#47588;&#45684;&#50620;BODY(&#51665;&#54665;&#45800;&#44228;-&#52392;&#48512;&#54260;&#45908;)v8\6.&#44148;&#52629;\38_&#49849;&#44053;&#44592;%20&#49444;&#52824;%20&#49888;&#44256;&#49436;%20&#51228;&#52636;\&#54364;&#51456;&#49436;\&#49849;&#44053;&#44592;%20&#49444;&#52824;%20&#49888;&#44256;&#49436;%20&#51228;&#52636;_&#54364;&#51456;&#49436;.html" TargetMode="External"/><Relationship Id="rId133" Type="http://schemas.openxmlformats.org/officeDocument/2006/relationships/hyperlink" Target="&#47588;&#45684;&#50620;BODY(&#51665;&#54665;&#45800;&#44228;-&#52392;&#48512;&#54260;&#45908;)v8\6.&#44148;&#52629;\45_&#50724;&#49688;&#52376;&#47532;&#49884;&#49444;%20_%20&#51221;&#54868;&#51312;%20&#51456;&#44277;&#44160;&#49324;\&#54364;&#51456;&#49436;\&#50724;&#49688;&#52376;&#47532;&#49884;&#49444;%20_%20&#51221;&#54868;&#51312;%20&#51456;&#44277;&#44160;&#49324;_&#54364;&#51456;&#49436;.html" TargetMode="External"/><Relationship Id="rId16" Type="http://schemas.openxmlformats.org/officeDocument/2006/relationships/hyperlink" Target="&#47588;&#45684;&#50620;BODY(&#51665;&#54665;&#45800;&#44228;-&#52392;&#48512;&#54260;&#45908;)v8\6.&#44148;&#52629;\6_&#49548;&#48169;&#49884;&#49444;&#44277;&#49324;%20&#52265;&#44277;%20&#49888;&#44256;&#49436;%20&#51228;&#52636;\&#54364;&#51456;&#49436;\&#49548;&#48169;&#49884;&#49444;&#44277;&#49324;%20&#52265;&#44277;%20&#49888;&#44256;&#49436;%20&#51228;&#52636;_&#54364;&#51456;&#49436;.html" TargetMode="External"/><Relationship Id="rId37" Type="http://schemas.openxmlformats.org/officeDocument/2006/relationships/hyperlink" Target="&#47588;&#45684;&#50620;BODY(&#51665;&#54665;&#45800;&#44228;-&#52392;&#48512;&#54260;&#45908;)v8\6.&#44148;&#52629;\13_&#49884;&#44277;&#44228;&#54925;%20&#49688;&#47549;_&#49849;&#51064;\&#54364;&#51456;&#49436;\&#49884;&#44277;&#44228;&#54925;%20&#49688;&#47549;_&#49849;&#51064;_&#54364;&#51456;&#49436;.html" TargetMode="External"/><Relationship Id="rId58" Type="http://schemas.openxmlformats.org/officeDocument/2006/relationships/hyperlink" Target="&#47588;&#45684;&#50620;BODY(&#51665;&#54665;&#45800;&#44228;-&#52392;&#48512;&#54260;&#45908;)v8\6.&#44148;&#52629;\20_&#51064;&#53552;&#54168;&#51060;&#49828;%20&#44033;%20&#44277;&#51333;&#48324;%20Issue%20(&#53664;&#47785;&#48516;&#50556;)\&#54364;&#51456;&#49436;\&#51064;&#53552;&#54168;&#51060;&#49828;%20&#44033;%20&#44277;&#51333;&#48324;%20Issue%20(&#53664;&#47785;&#48516;&#50556;)_&#54364;&#51456;&#49436;.html" TargetMode="External"/><Relationship Id="rId79" Type="http://schemas.openxmlformats.org/officeDocument/2006/relationships/hyperlink" Target="&#47588;&#45684;&#50620;BODY(&#51665;&#54665;&#45800;&#44228;-&#52392;&#48512;&#54260;&#45908;)v8\6.&#44148;&#52629;\27_&#44144;&#54392;&#51665;%20&#54644;&#52404;\&#54364;&#51456;&#49436;\&#44144;&#54392;&#51665;%20&#54644;&#52404;_&#54364;&#51456;&#49436;.html" TargetMode="External"/><Relationship Id="rId102" Type="http://schemas.openxmlformats.org/officeDocument/2006/relationships/hyperlink" Target="&#47588;&#45684;&#50620;BODY(&#51665;&#54665;&#45800;&#44228;-&#52392;&#48512;&#54260;&#45908;)v8\6.&#44148;&#52629;\34_&#46020;&#51109;&#44277;&#49324;\&#52404;&#53356;&#47532;&#49828;&#53944;\&#46020;&#51109;&#44277;&#49324;_&#52404;&#53356;&#47532;&#49828;&#53944;.html" TargetMode="External"/><Relationship Id="rId123" Type="http://schemas.openxmlformats.org/officeDocument/2006/relationships/hyperlink" Target="&#47588;&#45684;&#50620;BODY(&#51665;&#54665;&#45800;&#44228;-&#52392;&#48512;&#54260;&#45908;)v8\6.&#44148;&#52629;\41_&#51204;&#44592;&#49324;&#50857;&#51204;%20&#44160;&#49324;\&#52404;&#53356;&#47532;&#49828;&#53944;\&#51204;&#44592;&#49324;&#50857;&#51204;%20&#44160;&#49324;_&#52404;&#53356;&#47532;&#49828;&#53944;.html" TargetMode="External"/><Relationship Id="rId144" Type="http://schemas.openxmlformats.org/officeDocument/2006/relationships/hyperlink" Target="&#47588;&#45684;&#50620;BODY(&#51665;&#54665;&#45800;&#44228;-&#52392;&#48512;&#54260;&#45908;)v8\6.&#44148;&#52629;\48_&#44148;&#52629;&#47932;%20&#49324;&#50857;&#49849;&#51064;%20&#49888;&#52397;\&#52404;&#53356;&#47532;&#49828;&#53944;\&#44148;&#52629;&#47932;%20&#49324;&#50857;&#49849;&#51064;%20&#49888;&#52397;_&#52404;&#53356;&#47532;&#49828;&#53944;.html" TargetMode="External"/><Relationship Id="rId90" Type="http://schemas.openxmlformats.org/officeDocument/2006/relationships/hyperlink" Target="&#47588;&#45684;&#50620;BODY(&#51665;&#54665;&#45800;&#44228;-&#52392;&#48512;&#54260;&#45908;)v8\6.&#44148;&#52629;\30_&#51312;&#51201;&#44277;&#49324;\&#52404;&#53356;&#47532;&#49828;&#53944;\&#51312;&#51201;&#44277;&#49324;_&#52404;&#53356;&#47532;&#49828;&#53944;.html"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7.&#49888;&#54840;&#48516;&#50556;\9_&#51088;&#51116;%20_%20&#51064;&#50896;%20_%20&#51109;&#48708;%20&#48143;%20&#53804;&#51077;%20&#49324;&#51204;%20&#44160;&#53664;\&#49688;&#54665;&#51648;&#52840;\LTE-R_&#47924;&#49440;_AP&#47484;_&#53685;&#54620;_&#49888;&#54840;_&#51228;&#50612;_&#45936;&#51060;&#53552;_&#49569;&#49688;&#49888;_&#47112;&#48296;_&#49345;&#49464;&#51208;&#52264;&#49436;.html" TargetMode="External"/><Relationship Id="rId21" Type="http://schemas.openxmlformats.org/officeDocument/2006/relationships/hyperlink" Target="&#47588;&#45684;&#50620;BODY(&#51665;&#54665;&#45800;&#44228;-&#52392;&#48512;&#54260;&#45908;)v8\7.&#49888;&#54840;&#48516;&#50556;\7_&#49884;&#49828;&#53596;%20&#51109;&#48708;&#44160;&#53664;%20&#49324;&#51204;%20&#54801;&#51032;&#49324;&#54637;%20&#46020;&#52636;%20&#48143;%20&#44160;&#53664;\&#52404;&#53356;&#47532;&#49828;&#53944;\&#49884;&#49828;&#53596;%20&#51109;&#48708;&#44160;&#53664;%20&#49324;&#51204;%20&#54801;&#51032;&#49324;&#54637;%20&#46020;&#52636;%20&#48143;%20&#44160;&#53664;_&#52404;&#53356;&#47532;&#49828;&#53944;.html" TargetMode="External"/><Relationship Id="rId34" Type="http://schemas.openxmlformats.org/officeDocument/2006/relationships/hyperlink" Target="&#47588;&#45684;&#50620;BODY(&#51665;&#54665;&#45800;&#44228;-&#52392;&#48512;&#54260;&#45908;)v8\7.&#49888;&#54840;&#48516;&#50556;\12_&#49884;&#49828;&#53596;&#49444;&#48708;%20&#49444;&#52824;%20(&#54788;&#51109;_&#44592;&#45733;&#49892;)\&#54364;&#51456;&#49436;\&#49884;&#49828;&#53596;&#49444;&#48708;%20&#49444;&#52824;%20(&#54788;&#51109;_&#44592;&#45733;&#49892;)_&#54364;&#51456;&#49436;.html" TargetMode="External"/><Relationship Id="rId42" Type="http://schemas.openxmlformats.org/officeDocument/2006/relationships/hyperlink" Target="&#47588;&#45684;&#50620;BODY(&#51665;&#54665;&#45800;&#44228;-&#52392;&#48512;&#54260;&#45908;)v8\7.&#49888;&#54840;&#48516;&#50556;\14_&#49888;&#54840;&#49884;&#49828;&#53596;%20&#53685;&#54633;&#49884;&#54744;\&#52404;&#53356;&#47532;&#49828;&#53944;\&#49888;&#54840;&#49884;&#49828;&#53596;%20&#53685;&#54633;&#49884;&#54744;_&#52404;&#53356;&#47532;&#49828;&#53944;.html" TargetMode="External"/><Relationship Id="rId47" Type="http://schemas.openxmlformats.org/officeDocument/2006/relationships/hyperlink" Target="&#47588;&#45684;&#50620;BODY(&#51665;&#54665;&#45800;&#44228;-&#52392;&#48512;&#54260;&#45908;)v8\7.&#49888;&#54840;&#48516;&#50556;\16_&#52264;&#47049;%20&#53804;&#51077;%20&#51204;%20&#51216;&#44160;\&#49688;&#54665;&#51648;&#52840;\LTE-R_&#47924;&#49440;_AP&#47484;_&#53685;&#54620;_&#49888;&#54840;_&#51228;&#50612;_&#45936;&#51060;&#53552;_&#49569;&#49688;&#49888;_&#47112;&#48296;_&#49345;&#49464;&#51208;&#52264;&#49436;.html" TargetMode="External"/><Relationship Id="rId50" Type="http://schemas.openxmlformats.org/officeDocument/2006/relationships/hyperlink" Target="&#47588;&#45684;&#50620;BODY(&#51665;&#54665;&#45800;&#44228;-&#52392;&#48512;&#54260;&#45908;)v8\7.&#49888;&#54840;&#48516;&#50556;\17_&#52264;&#47049;%20&#49884;&#50868;&#51204;\&#49688;&#54665;&#51648;&#52840;\LTE-R_&#47924;&#49440;_AP&#47484;_&#53685;&#54620;_&#49888;&#54840;_&#51228;&#50612;_&#45936;&#51060;&#53552;_&#49569;&#49688;&#49888;_&#47112;&#48296;_&#49345;&#49464;&#51208;&#52264;&#49436;.html" TargetMode="External"/><Relationship Id="rId55" Type="http://schemas.openxmlformats.org/officeDocument/2006/relationships/hyperlink" Target="&#47588;&#45684;&#50620;BODY(&#51665;&#54665;&#45800;&#44228;-&#52392;&#48512;&#54260;&#45908;)v8\7.&#49888;&#54840;&#48516;&#50556;\19_&#49324;&#51204;&#51216;&#44160;%20&#48143;%20&#52384;&#46020;&#44592;&#49696;&#44592;&#51456;%20&#44160;&#53664;\&#54364;&#51456;&#49436;\&#49324;&#51204;&#51216;&#44160;%20&#48143;%20&#52384;&#46020;&#44592;&#49696;&#44592;&#51456;%20&#44160;&#53664;_&#54364;&#51456;&#49436;.html" TargetMode="External"/><Relationship Id="rId63" Type="http://schemas.openxmlformats.org/officeDocument/2006/relationships/hyperlink" Target="&#47588;&#45684;&#50620;BODY(&#51665;&#54665;&#45800;&#44228;-&#52392;&#48512;&#54260;&#45908;)v8\7.&#49888;&#54840;&#48516;&#50556;\21_&#50689;&#50629;%20&#49884;&#50868;&#51204;\&#52404;&#53356;&#47532;&#49828;&#53944;\&#50689;&#50629;%20&#49884;&#50868;&#51204;_&#52404;&#53356;&#47532;&#49828;&#53944;.html" TargetMode="External"/><Relationship Id="rId7" Type="http://schemas.openxmlformats.org/officeDocument/2006/relationships/hyperlink" Target="&#47588;&#45684;&#50620;BODY(&#51665;&#54665;&#45800;&#44228;-&#52392;&#48512;&#54260;&#45908;)v8\7.&#49888;&#54840;&#48516;&#50556;\3_&#52265;&#49688;&#51204;%20Big%20Room%20&#54924;&#51032;\&#54364;&#51456;&#49436;\&#52265;&#49688;&#51204;%20Big%20Room%20&#54924;&#51032;_&#54364;&#51456;&#49436;.html" TargetMode="External"/><Relationship Id="rId2" Type="http://schemas.openxmlformats.org/officeDocument/2006/relationships/hyperlink" Target="&#47588;&#45684;&#50620;BODY(&#51665;&#54665;&#45800;&#44228;-&#52392;&#48512;&#54260;&#45908;)v8\7.&#49888;&#54840;&#48516;&#50556;\1_&#49444;&#44228;&#51201;&#51221;&#49457;%20&#44160;&#53664;\&#49688;&#54665;&#51648;&#52840;\LTE-R_&#47924;&#49440;_AP&#47484;_&#53685;&#54620;_&#49888;&#54840;_&#51228;&#50612;_&#45936;&#51060;&#53552;_&#49569;&#49688;&#49888;_&#47112;&#48296;_&#49345;&#49464;&#51208;&#52264;&#49436;.html" TargetMode="External"/><Relationship Id="rId16" Type="http://schemas.openxmlformats.org/officeDocument/2006/relationships/hyperlink" Target="&#47588;&#45684;&#50620;BODY(&#51665;&#54665;&#45800;&#44228;-&#52392;&#48512;&#54260;&#45908;)v8\7.&#49888;&#54840;&#48516;&#50556;\6_&#49884;&#44277;&#51204;%20&#51064;&#53552;&#54168;&#51060;&#49828;%20&#54801;&#51032;\&#54364;&#51456;&#49436;\&#49884;&#44277;&#51204;%20&#51064;&#53552;&#54168;&#51060;&#49828;%20&#54801;&#51032;_&#54364;&#51456;&#49436;.html" TargetMode="External"/><Relationship Id="rId29" Type="http://schemas.openxmlformats.org/officeDocument/2006/relationships/hyperlink" Target="&#47588;&#45684;&#50620;BODY(&#51665;&#54665;&#45800;&#44228;-&#52392;&#48512;&#54260;&#45908;)v8\7.&#49888;&#54840;&#48516;&#50556;\10_&#51109;&#48708;&#48152;&#51077;%20&#48143;%20&#50504;&#51204;&#44368;&#50977;\&#49688;&#54665;&#51648;&#52840;\LTE-R_&#47924;&#49440;_AP&#47484;_&#53685;&#54620;_&#49888;&#54840;_&#51228;&#50612;_&#45936;&#51060;&#53552;_&#49569;&#49688;&#49888;_&#47112;&#48296;_&#49345;&#49464;&#51208;&#52264;&#49436;.html" TargetMode="External"/><Relationship Id="rId11" Type="http://schemas.openxmlformats.org/officeDocument/2006/relationships/hyperlink" Target="&#47588;&#45684;&#50620;BODY(&#51665;&#54665;&#45800;&#44228;-&#52392;&#48512;&#54260;&#45908;)v8\7.&#49888;&#54840;&#48516;&#50556;\4_&#51204;&#44592;%20_%20&#53685;&#49888;%20_%20PSD%20_%20&#52264;&#47049;%20&#51064;&#53552;&#54168;&#51060;&#49828;%20&#54801;&#51032;\&#49688;&#54665;&#51648;&#52840;\LTE-R_&#47924;&#49440;_AP&#47484;_&#53685;&#54620;_&#49888;&#54840;_&#51228;&#50612;_&#45936;&#51060;&#53552;_&#49569;&#49688;&#49888;_&#47112;&#48296;_&#49345;&#49464;&#51208;&#52264;&#49436;.html" TargetMode="External"/><Relationship Id="rId24" Type="http://schemas.openxmlformats.org/officeDocument/2006/relationships/hyperlink" Target="&#47588;&#45684;&#50620;BODY(&#51665;&#54665;&#45800;&#44228;-&#52392;&#48512;&#54260;&#45908;)v8\7.&#49888;&#54840;&#48516;&#50556;\8_&#44288;&#51228;%20&#48143;%20&#50868;&#50689;&#49324;%20&#51064;&#53552;&#54168;&#51060;&#49828;%20&#54801;&#51032;\&#52404;&#53356;&#47532;&#49828;&#53944;\&#44288;&#51228;%20&#48143;%20&#50868;&#50689;&#49324;%20&#51064;&#53552;&#54168;&#51060;&#49828;%20&#54801;&#51032;_&#52404;&#53356;&#47532;&#49828;&#53944;.html" TargetMode="External"/><Relationship Id="rId32" Type="http://schemas.openxmlformats.org/officeDocument/2006/relationships/hyperlink" Target="&#47588;&#45684;&#50620;BODY(&#51665;&#54665;&#45800;&#44228;-&#52392;&#48512;&#54260;&#45908;)v8\7.&#49888;&#54840;&#48516;&#50556;\11_&#51088;&#51116;%20&#48152;&#51077;%20&#48143;%20&#44160;&#49688;\&#49688;&#54665;&#51648;&#52840;\LTE-R_&#47924;&#49440;_AP&#47484;_&#53685;&#54620;_&#49888;&#54840;_&#51228;&#50612;_&#45936;&#51060;&#53552;_&#49569;&#49688;&#49888;_&#47112;&#48296;_&#49345;&#49464;&#51208;&#52264;&#49436;.html" TargetMode="External"/><Relationship Id="rId37" Type="http://schemas.openxmlformats.org/officeDocument/2006/relationships/hyperlink" Target="&#47588;&#45684;&#50620;BODY(&#51665;&#54665;&#45800;&#44228;-&#52392;&#48512;&#54260;&#45908;)v8\7.&#49888;&#54840;&#48516;&#50556;\13_&#49884;&#49828;&#53596;%20&#45800;&#50948;&#49884;&#54744;\&#54364;&#51456;&#49436;\&#49884;&#49828;&#53596;%20&#45800;&#50948;&#49884;&#54744;_&#54364;&#51456;&#49436;.html" TargetMode="External"/><Relationship Id="rId40" Type="http://schemas.openxmlformats.org/officeDocument/2006/relationships/hyperlink" Target="&#47588;&#45684;&#50620;BODY(&#51665;&#54665;&#45800;&#44228;-&#52392;&#48512;&#54260;&#45908;)v8\7.&#49888;&#54840;&#48516;&#50556;\14_&#49888;&#54840;&#49884;&#49828;&#53596;%20&#53685;&#54633;&#49884;&#54744;\&#54364;&#51456;&#49436;\&#49888;&#54840;&#49884;&#49828;&#53596;%20&#53685;&#54633;&#49884;&#54744;_&#54364;&#51456;&#49436;.html" TargetMode="External"/><Relationship Id="rId45" Type="http://schemas.openxmlformats.org/officeDocument/2006/relationships/hyperlink" Target="&#47588;&#45684;&#50620;BODY(&#51665;&#54665;&#45800;&#44228;-&#52392;&#48512;&#54260;&#45908;)v8\7.&#49888;&#54840;&#48516;&#50556;\15_&#44277;&#51333;&#48324;%20&#49884;&#54744;\&#52404;&#53356;&#47532;&#49828;&#53944;\&#44277;&#51333;&#48324;%20&#49884;&#54744;_&#52404;&#53356;&#47532;&#49828;&#53944;.html" TargetMode="External"/><Relationship Id="rId53" Type="http://schemas.openxmlformats.org/officeDocument/2006/relationships/hyperlink" Target="&#47588;&#45684;&#50620;BODY(&#51665;&#54665;&#45800;&#44228;-&#52392;&#48512;&#54260;&#45908;)v8\7.&#49888;&#54840;&#48516;&#50556;\18_&#50868;&#50689;&#51088;%20&#44368;&#50977;&#49884;&#54665;\&#49688;&#54665;&#51648;&#52840;\LTE-R_&#47924;&#49440;_AP&#47484;_&#53685;&#54620;_&#49888;&#54840;_&#51228;&#50612;_&#45936;&#51060;&#53552;_&#49569;&#49688;&#49888;_&#47112;&#48296;_&#49345;&#49464;&#51208;&#52264;&#49436;.html" TargetMode="External"/><Relationship Id="rId58" Type="http://schemas.openxmlformats.org/officeDocument/2006/relationships/hyperlink" Target="&#47588;&#45684;&#50620;BODY(&#51665;&#54665;&#45800;&#44228;-&#52392;&#48512;&#54260;&#45908;)v8\7.&#49888;&#54840;&#48516;&#50556;\20_&#49884;&#49444;&#47932;%20&#44160;&#51613;&#49884;&#54744;\&#54364;&#51456;&#49436;\&#49884;&#49444;&#47932;%20&#44160;&#51613;&#49884;&#54744;_&#54364;&#51456;&#49436;.html" TargetMode="External"/><Relationship Id="rId66" Type="http://schemas.openxmlformats.org/officeDocument/2006/relationships/hyperlink" Target="&#47588;&#45684;&#50620;BODY(&#51665;&#54665;&#45800;&#44228;-&#52392;&#48512;&#54260;&#45908;)v8\7.&#49888;&#54840;&#48516;&#50556;\22_&#50976;&#51648;&#44288;&#47532;%20&#49444;&#52824;\&#52404;&#53356;&#47532;&#49828;&#53944;\&#50976;&#51648;&#44288;&#47532;%20&#49444;&#52824;_&#52404;&#53356;&#47532;&#49828;&#53944;.html" TargetMode="External"/><Relationship Id="rId5" Type="http://schemas.openxmlformats.org/officeDocument/2006/relationships/hyperlink" Target="&#47588;&#45684;&#50620;BODY(&#51665;&#54665;&#45800;&#44228;-&#52392;&#48512;&#54260;&#45908;)v8\7.&#49888;&#54840;&#48516;&#50556;\2_&#52265;&#49688;&#51456;&#48708;%20KOM\&#49688;&#54665;&#51648;&#52840;\LTE-R_&#47924;&#49440;_AP&#47484;_&#53685;&#54620;_&#49888;&#54840;_&#51228;&#50612;_&#45936;&#51060;&#53552;_&#49569;&#49688;&#49888;_&#47112;&#48296;_&#49345;&#49464;&#51208;&#52264;&#49436;.html" TargetMode="External"/><Relationship Id="rId61" Type="http://schemas.openxmlformats.org/officeDocument/2006/relationships/hyperlink" Target="&#47588;&#45684;&#50620;BODY(&#51665;&#54665;&#45800;&#44228;-&#52392;&#48512;&#54260;&#45908;)v8\7.&#49888;&#54840;&#48516;&#50556;\21_&#50689;&#50629;%20&#49884;&#50868;&#51204;\&#54364;&#51456;&#49436;\&#50689;&#50629;%20&#49884;&#50868;&#51204;_&#54364;&#51456;&#49436;.html" TargetMode="External"/><Relationship Id="rId19" Type="http://schemas.openxmlformats.org/officeDocument/2006/relationships/hyperlink" Target="&#47588;&#45684;&#50620;BODY(&#51665;&#54665;&#45800;&#44228;-&#52392;&#48512;&#54260;&#45908;)v8\7.&#49888;&#54840;&#48516;&#50556;\7_&#49884;&#49828;&#53596;%20&#51109;&#48708;&#44160;&#53664;%20&#49324;&#51204;%20&#54801;&#51032;&#49324;&#54637;%20&#46020;&#52636;%20&#48143;%20&#44160;&#53664;\&#54364;&#51456;&#49436;\&#49884;&#49828;&#53596;%20&#51109;&#48708;&#44160;&#53664;%20&#49324;&#51204;%20&#54801;&#51032;&#49324;&#54637;%20&#46020;&#52636;%20&#48143;%20&#44160;&#53664;_&#54364;&#51456;&#49436;.html" TargetMode="External"/><Relationship Id="rId14" Type="http://schemas.openxmlformats.org/officeDocument/2006/relationships/hyperlink" Target="&#47588;&#45684;&#50620;BODY(&#51665;&#54665;&#45800;&#44228;-&#52392;&#48512;&#54260;&#45908;)v8\7.&#49888;&#54840;&#48516;&#50556;\5_&#46020;&#47196;%20_%20&#44452;&#46020;%20&#51064;&#53552;&#54168;&#51060;&#49828;%20&#54801;&#51032;\&#49688;&#54665;&#51648;&#52840;\LTE-R_&#47924;&#49440;_AP&#47484;_&#53685;&#54620;_&#49888;&#54840;_&#51228;&#50612;_&#45936;&#51060;&#53552;_&#49569;&#49688;&#49888;_&#47112;&#48296;_&#49345;&#49464;&#51208;&#52264;&#49436;.html" TargetMode="External"/><Relationship Id="rId22" Type="http://schemas.openxmlformats.org/officeDocument/2006/relationships/hyperlink" Target="&#47588;&#45684;&#50620;BODY(&#51665;&#54665;&#45800;&#44228;-&#52392;&#48512;&#54260;&#45908;)v8\7.&#49888;&#54840;&#48516;&#50556;\8_&#44288;&#51228;%20&#48143;%20&#50868;&#50689;&#49324;%20&#51064;&#53552;&#54168;&#51060;&#49828;%20&#54801;&#51032;\&#54364;&#51456;&#49436;\&#44288;&#51228;%20&#48143;%20&#50868;&#50689;&#49324;%20&#51064;&#53552;&#54168;&#51060;&#49828;%20&#54801;&#51032;_&#54364;&#51456;&#49436;.html" TargetMode="External"/><Relationship Id="rId27" Type="http://schemas.openxmlformats.org/officeDocument/2006/relationships/hyperlink" Target="&#47588;&#45684;&#50620;BODY(&#51665;&#54665;&#45800;&#44228;-&#52392;&#48512;&#54260;&#45908;)v8\7.&#49888;&#54840;&#48516;&#50556;\9_&#51088;&#51116;%20_%20&#51064;&#50896;%20_%20&#51109;&#48708;%20&#48143;%20&#53804;&#51077;%20&#49324;&#51204;%20&#44160;&#53664;\&#52404;&#53356;&#47532;&#49828;&#53944;\&#51088;&#51116;%20_%20&#51064;&#50896;%20_%20&#51109;&#48708;%20&#48143;%20&#53804;&#51077;%20&#49324;&#51204;%20&#44160;&#53664;_&#52404;&#53356;&#47532;&#49828;&#53944;.html" TargetMode="External"/><Relationship Id="rId30" Type="http://schemas.openxmlformats.org/officeDocument/2006/relationships/hyperlink" Target="&#47588;&#45684;&#50620;BODY(&#51665;&#54665;&#45800;&#44228;-&#52392;&#48512;&#54260;&#45908;)v8\7.&#49888;&#54840;&#48516;&#50556;\10_&#51109;&#48708;&#48152;&#51077;%20&#48143;%20&#50504;&#51204;&#44368;&#50977;\&#52404;&#53356;&#47532;&#49828;&#53944;\&#51109;&#48708;&#48152;&#51077;%20&#48143;%20&#50504;&#51204;&#44368;&#50977;_&#52404;&#53356;&#47532;&#49828;&#53944;.html" TargetMode="External"/><Relationship Id="rId35" Type="http://schemas.openxmlformats.org/officeDocument/2006/relationships/hyperlink" Target="&#47588;&#45684;&#50620;BODY(&#51665;&#54665;&#45800;&#44228;-&#52392;&#48512;&#54260;&#45908;)v8\7.&#49888;&#54840;&#48516;&#50556;\12_&#49884;&#49828;&#53596;&#49444;&#48708;%20&#49444;&#52824;%20(&#54788;&#51109;_&#44592;&#45733;&#49892;)\&#49688;&#54665;&#51648;&#52840;\LTE-R_&#47924;&#49440;_AP&#47484;_&#53685;&#54620;_&#49888;&#54840;_&#51228;&#50612;_&#45936;&#51060;&#53552;_&#49569;&#49688;&#49888;_&#47112;&#48296;_&#49345;&#49464;&#51208;&#52264;&#49436;.html" TargetMode="External"/><Relationship Id="rId43" Type="http://schemas.openxmlformats.org/officeDocument/2006/relationships/hyperlink" Target="&#47588;&#45684;&#50620;BODY(&#51665;&#54665;&#45800;&#44228;-&#52392;&#48512;&#54260;&#45908;)v8\7.&#49888;&#54840;&#48516;&#50556;\15_&#44277;&#51333;&#48324;%20&#49884;&#54744;\&#54364;&#51456;&#49436;\&#44277;&#51333;&#48324;%20&#49884;&#54744;_&#54364;&#51456;&#49436;.html" TargetMode="External"/><Relationship Id="rId48" Type="http://schemas.openxmlformats.org/officeDocument/2006/relationships/hyperlink" Target="&#47588;&#45684;&#50620;BODY(&#51665;&#54665;&#45800;&#44228;-&#52392;&#48512;&#54260;&#45908;)v8\7.&#49888;&#54840;&#48516;&#50556;\16_&#52264;&#47049;%20&#53804;&#51077;%20&#51204;%20&#51216;&#44160;\&#52404;&#53356;&#47532;&#49828;&#53944;\&#52264;&#47049;%20&#53804;&#51077;%20&#51204;%20&#51216;&#44160;_&#52404;&#53356;&#47532;&#49828;&#53944;.html" TargetMode="External"/><Relationship Id="rId56" Type="http://schemas.openxmlformats.org/officeDocument/2006/relationships/hyperlink" Target="&#47588;&#45684;&#50620;BODY(&#51665;&#54665;&#45800;&#44228;-&#52392;&#48512;&#54260;&#45908;)v8\7.&#49888;&#54840;&#48516;&#50556;\19_&#49324;&#51204;&#51216;&#44160;%20&#48143;%20&#52384;&#46020;&#44592;&#49696;&#44592;&#51456;%20&#44160;&#53664;\&#49688;&#54665;&#51648;&#52840;\LTE-R_&#47924;&#49440;_AP&#47484;_&#53685;&#54620;_&#49888;&#54840;_&#51228;&#50612;_&#45936;&#51060;&#53552;_&#49569;&#49688;&#49888;_&#47112;&#48296;_&#49345;&#49464;&#51208;&#52264;&#49436;.html" TargetMode="External"/><Relationship Id="rId64" Type="http://schemas.openxmlformats.org/officeDocument/2006/relationships/hyperlink" Target="&#47588;&#45684;&#50620;BODY(&#51665;&#54665;&#45800;&#44228;-&#52392;&#48512;&#54260;&#45908;)v8\7.&#49888;&#54840;&#48516;&#50556;\22_&#50976;&#51648;&#44288;&#47532;%20&#49444;&#52824;\&#54364;&#51456;&#49436;\&#50976;&#51648;&#44288;&#47532;%20&#49444;&#52824;_&#54364;&#51456;&#49436;.html" TargetMode="External"/><Relationship Id="rId8" Type="http://schemas.openxmlformats.org/officeDocument/2006/relationships/hyperlink" Target="&#47588;&#45684;&#50620;BODY(&#51665;&#54665;&#45800;&#44228;-&#52392;&#48512;&#54260;&#45908;)v8\7.&#49888;&#54840;&#48516;&#50556;\3_&#52265;&#49688;&#51204;%20Big%20Room%20&#54924;&#51032;\&#49688;&#54665;&#51648;&#52840;\LTE-R_&#47924;&#49440;_AP&#47484;_&#53685;&#54620;_&#49888;&#54840;_&#51228;&#50612;_&#45936;&#51060;&#53552;_&#49569;&#49688;&#49888;_&#47112;&#48296;_&#49345;&#49464;&#51208;&#52264;&#49436;.html" TargetMode="External"/><Relationship Id="rId51" Type="http://schemas.openxmlformats.org/officeDocument/2006/relationships/hyperlink" Target="&#47588;&#45684;&#50620;BODY(&#51665;&#54665;&#45800;&#44228;-&#52392;&#48512;&#54260;&#45908;)v8\7.&#49888;&#54840;&#48516;&#50556;\17_&#52264;&#47049;%20&#49884;&#50868;&#51204;\&#52404;&#53356;&#47532;&#49828;&#53944;\&#52264;&#47049;%20&#49884;&#50868;&#51204;_&#52404;&#53356;&#47532;&#49828;&#53944;.html" TargetMode="External"/><Relationship Id="rId3" Type="http://schemas.openxmlformats.org/officeDocument/2006/relationships/hyperlink" Target="&#47588;&#45684;&#50620;BODY(&#51665;&#54665;&#45800;&#44228;-&#52392;&#48512;&#54260;&#45908;)v8\7.&#49888;&#54840;&#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7.&#49888;&#54840;&#48516;&#50556;\4_&#51204;&#44592;%20_%20&#53685;&#49888;%20_%20PSD%20_%20&#52264;&#47049;%20&#51064;&#53552;&#54168;&#51060;&#49828;%20&#54801;&#51032;\&#52404;&#53356;&#47532;&#49828;&#53944;\&#51204;&#44592;%20_%20&#53685;&#49888;%20_%20PSD%20_%20&#52264;&#47049;%20&#51064;&#53552;&#54168;&#51060;&#49828;%20&#54801;&#51032;_&#52404;&#53356;&#47532;&#49828;&#53944;.html" TargetMode="External"/><Relationship Id="rId17" Type="http://schemas.openxmlformats.org/officeDocument/2006/relationships/hyperlink" Target="&#47588;&#45684;&#50620;BODY(&#51665;&#54665;&#45800;&#44228;-&#52392;&#48512;&#54260;&#45908;)v8\7.&#49888;&#54840;&#48516;&#50556;\6_&#49884;&#44277;&#51204;%20&#51064;&#53552;&#54168;&#51060;&#49828;%20&#54801;&#51032;\&#49688;&#54665;&#51648;&#52840;\LTE-R_&#47924;&#49440;_AP&#47484;_&#53685;&#54620;_&#49888;&#54840;_&#51228;&#50612;_&#45936;&#51060;&#53552;_&#49569;&#49688;&#49888;_&#47112;&#48296;_&#49345;&#49464;&#51208;&#52264;&#49436;.html" TargetMode="External"/><Relationship Id="rId25" Type="http://schemas.openxmlformats.org/officeDocument/2006/relationships/hyperlink" Target="&#47588;&#45684;&#50620;BODY(&#51665;&#54665;&#45800;&#44228;-&#52392;&#48512;&#54260;&#45908;)v8\7.&#49888;&#54840;&#48516;&#50556;\9_&#51088;&#51116;%20_%20&#51064;&#50896;%20_%20&#51109;&#48708;%20&#48143;%20&#53804;&#51077;%20&#49324;&#51204;%20&#44160;&#53664;\&#54364;&#51456;&#49436;\&#51088;&#51116;%20_%20&#51064;&#50896;%20_%20&#51109;&#48708;%20&#48143;%20&#53804;&#51077;%20&#49324;&#51204;%20&#44160;&#53664;_&#54364;&#51456;&#49436;.html" TargetMode="External"/><Relationship Id="rId33" Type="http://schemas.openxmlformats.org/officeDocument/2006/relationships/hyperlink" Target="&#47588;&#45684;&#50620;BODY(&#51665;&#54665;&#45800;&#44228;-&#52392;&#48512;&#54260;&#45908;)v8\7.&#49888;&#54840;&#48516;&#50556;\11_&#51088;&#51116;%20&#48152;&#51077;%20&#48143;%20&#44160;&#49688;\&#52404;&#53356;&#47532;&#49828;&#53944;\&#51088;&#51116;%20&#48152;&#51077;%20&#48143;%20&#44160;&#49688;_&#52404;&#53356;&#47532;&#49828;&#53944;.html" TargetMode="External"/><Relationship Id="rId38" Type="http://schemas.openxmlformats.org/officeDocument/2006/relationships/hyperlink" Target="&#47588;&#45684;&#50620;BODY(&#51665;&#54665;&#45800;&#44228;-&#52392;&#48512;&#54260;&#45908;)v8\7.&#49888;&#54840;&#48516;&#50556;\13_&#49884;&#49828;&#53596;%20&#45800;&#50948;&#49884;&#54744;\&#49688;&#54665;&#51648;&#52840;\CBI_IO_&#47540;&#47112;&#51060;_&#47784;&#46280;_&#46041;&#51089;_&#49345;&#53468;_&#44160;&#52769;_&#49345;&#49464;&#51208;&#52264;&#49436;.html" TargetMode="External"/><Relationship Id="rId46" Type="http://schemas.openxmlformats.org/officeDocument/2006/relationships/hyperlink" Target="&#47588;&#45684;&#50620;BODY(&#51665;&#54665;&#45800;&#44228;-&#52392;&#48512;&#54260;&#45908;)v8\7.&#49888;&#54840;&#48516;&#50556;\16_&#52264;&#47049;%20&#53804;&#51077;%20&#51204;%20&#51216;&#44160;\&#54364;&#51456;&#49436;\&#52264;&#47049;%20&#53804;&#51077;%20&#51204;%20&#51216;&#44160;_&#54364;&#51456;&#49436;.html" TargetMode="External"/><Relationship Id="rId59" Type="http://schemas.openxmlformats.org/officeDocument/2006/relationships/hyperlink" Target="&#47588;&#45684;&#50620;BODY(&#51665;&#54665;&#45800;&#44228;-&#52392;&#48512;&#54260;&#45908;)v8\7.&#49888;&#54840;&#48516;&#50556;\20_&#49884;&#49444;&#47932;%20&#44160;&#51613;&#49884;&#54744;\&#49688;&#54665;&#51648;&#52840;\LTE-R_&#47924;&#49440;_AP&#47484;_&#53685;&#54620;_&#49888;&#54840;_&#51228;&#50612;_&#45936;&#51060;&#53552;_&#49569;&#49688;&#49888;_&#47112;&#48296;_&#49345;&#49464;&#51208;&#52264;&#49436;.html" TargetMode="External"/><Relationship Id="rId67" Type="http://schemas.openxmlformats.org/officeDocument/2006/relationships/printerSettings" Target="../printerSettings/printerSettings7.bin"/><Relationship Id="rId20" Type="http://schemas.openxmlformats.org/officeDocument/2006/relationships/hyperlink" Target="&#47588;&#45684;&#50620;BODY(&#51665;&#54665;&#45800;&#44228;-&#52392;&#48512;&#54260;&#45908;)v8\7.&#49888;&#54840;&#48516;&#50556;\7_&#49884;&#49828;&#53596;%20&#51109;&#48708;&#44160;&#53664;%20&#49324;&#51204;%20&#54801;&#51032;&#49324;&#54637;%20&#46020;&#52636;%20&#48143;%20&#44160;&#53664;\&#49688;&#54665;&#51648;&#52840;\CBI_CPU_2&#51473;&#54868;_&#51208;&#52404;_&#48152;&#51025;_&#49549;&#46020;(&#8804;0.5&#52488;)_&#44160;&#53664;_&#49345;&#49464;&#51208;&#52264;&#49436;.html" TargetMode="External"/><Relationship Id="rId41" Type="http://schemas.openxmlformats.org/officeDocument/2006/relationships/hyperlink" Target="&#47588;&#45684;&#50620;BODY(&#51665;&#54665;&#45800;&#44228;-&#52392;&#48512;&#54260;&#45908;)v8\7.&#49888;&#54840;&#48516;&#50556;\14_&#49888;&#54840;&#49884;&#49828;&#53596;%20&#53685;&#54633;&#49884;&#54744;\&#49688;&#54665;&#51648;&#52840;\LTE-R_&#47924;&#49440;_AP&#47484;_&#53685;&#54620;_&#49888;&#54840;_&#51228;&#50612;_&#45936;&#51060;&#53552;_&#49569;&#49688;&#49888;_&#47112;&#48296;_&#49345;&#49464;&#51208;&#52264;&#49436;.html" TargetMode="External"/><Relationship Id="rId54" Type="http://schemas.openxmlformats.org/officeDocument/2006/relationships/hyperlink" Target="&#47588;&#45684;&#50620;BODY(&#51665;&#54665;&#45800;&#44228;-&#52392;&#48512;&#54260;&#45908;)v8\7.&#49888;&#54840;&#48516;&#50556;\18_&#50868;&#50689;&#51088;%20&#44368;&#50977;&#49884;&#54665;\&#52404;&#53356;&#47532;&#49828;&#53944;\&#50868;&#50689;&#51088;%20&#44368;&#50977;&#49884;&#54665;_&#52404;&#53356;&#47532;&#49828;&#53944;.html" TargetMode="External"/><Relationship Id="rId62" Type="http://schemas.openxmlformats.org/officeDocument/2006/relationships/hyperlink" Target="&#47588;&#45684;&#50620;BODY(&#51665;&#54665;&#45800;&#44228;-&#52392;&#48512;&#54260;&#45908;)v8\7.&#49888;&#54840;&#48516;&#50556;\21_&#50689;&#50629;%20&#49884;&#50868;&#51204;\&#49688;&#54665;&#51648;&#52840;\LTE-R_&#47924;&#49440;_AP&#47484;_&#53685;&#54620;_&#49888;&#54840;_&#51228;&#50612;_&#45936;&#51060;&#53552;_&#49569;&#49688;&#49888;_&#47112;&#48296;_&#49345;&#49464;&#51208;&#52264;&#49436;.html" TargetMode="External"/><Relationship Id="rId1" Type="http://schemas.openxmlformats.org/officeDocument/2006/relationships/hyperlink" Target="&#47588;&#45684;&#50620;BODY(&#51665;&#54665;&#45800;&#44228;-&#52392;&#48512;&#54260;&#45908;)v8\7.&#49888;&#54840;&#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7.&#49888;&#54840;&#48516;&#50556;\2_&#52265;&#49688;&#51456;&#48708;%20KOM\&#52404;&#53356;&#47532;&#49828;&#53944;\&#52265;&#49688;&#51456;&#48708;%20KOM_&#52404;&#53356;&#47532;&#49828;&#53944;.html" TargetMode="External"/><Relationship Id="rId15" Type="http://schemas.openxmlformats.org/officeDocument/2006/relationships/hyperlink" Target="&#47588;&#45684;&#50620;BODY(&#51665;&#54665;&#45800;&#44228;-&#52392;&#48512;&#54260;&#45908;)v8\7.&#49888;&#54840;&#48516;&#50556;\5_&#46020;&#47196;%20_%20&#44452;&#46020;%20&#51064;&#53552;&#54168;&#51060;&#49828;%20&#54801;&#51032;\&#52404;&#53356;&#47532;&#49828;&#53944;\&#46020;&#47196;%20_%20&#44452;&#46020;%20&#51064;&#53552;&#54168;&#51060;&#49828;%20&#54801;&#51032;_&#52404;&#53356;&#47532;&#49828;&#53944;.html" TargetMode="External"/><Relationship Id="rId23" Type="http://schemas.openxmlformats.org/officeDocument/2006/relationships/hyperlink" Target="&#47588;&#45684;&#50620;BODY(&#51665;&#54665;&#45800;&#44228;-&#52392;&#48512;&#54260;&#45908;)v8\7.&#49888;&#54840;&#48516;&#50556;\8_&#44288;&#51228;%20&#48143;%20&#50868;&#50689;&#49324;%20&#51064;&#53552;&#54168;&#51060;&#49828;%20&#54801;&#51032;\&#49688;&#54665;&#51648;&#52840;\LTE-R_&#47924;&#49440;_AP&#47484;_&#53685;&#54620;_&#49888;&#54840;_&#51228;&#50612;_&#45936;&#51060;&#53552;_&#49569;&#49688;&#49888;_&#47112;&#48296;_&#49345;&#49464;&#51208;&#52264;&#49436;.html" TargetMode="External"/><Relationship Id="rId28" Type="http://schemas.openxmlformats.org/officeDocument/2006/relationships/hyperlink" Target="&#47588;&#45684;&#50620;BODY(&#51665;&#54665;&#45800;&#44228;-&#52392;&#48512;&#54260;&#45908;)v8\7.&#49888;&#54840;&#48516;&#50556;\10_&#51109;&#48708;&#48152;&#51077;%20&#48143;%20&#50504;&#51204;&#44368;&#50977;\&#54364;&#51456;&#49436;\&#51109;&#48708;&#48152;&#51077;%20&#48143;%20&#50504;&#51204;&#44368;&#50977;_&#54364;&#51456;&#49436;.html" TargetMode="External"/><Relationship Id="rId36" Type="http://schemas.openxmlformats.org/officeDocument/2006/relationships/hyperlink" Target="&#47588;&#45684;&#50620;BODY(&#51665;&#54665;&#45800;&#44228;-&#52392;&#48512;&#54260;&#45908;)v8\7.&#49888;&#54840;&#48516;&#50556;\12_&#49884;&#49828;&#53596;&#49444;&#48708;%20&#49444;&#52824;%20(&#54788;&#51109;_&#44592;&#45733;&#49892;)\&#52404;&#53356;&#47532;&#49828;&#53944;\&#49884;&#49828;&#53596;&#49444;&#48708;%20&#49444;&#52824;%20(&#54788;&#51109;_&#44592;&#45733;&#49892;)_&#52404;&#53356;&#47532;&#49828;&#53944;.html" TargetMode="External"/><Relationship Id="rId49" Type="http://schemas.openxmlformats.org/officeDocument/2006/relationships/hyperlink" Target="&#47588;&#45684;&#50620;BODY(&#51665;&#54665;&#45800;&#44228;-&#52392;&#48512;&#54260;&#45908;)v8\7.&#49888;&#54840;&#48516;&#50556;\17_&#52264;&#47049;%20&#49884;&#50868;&#51204;\&#54364;&#51456;&#49436;\&#52264;&#47049;%20&#49884;&#50868;&#51204;_&#54364;&#51456;&#49436;.html" TargetMode="External"/><Relationship Id="rId57" Type="http://schemas.openxmlformats.org/officeDocument/2006/relationships/hyperlink" Target="&#47588;&#45684;&#50620;BODY(&#51665;&#54665;&#45800;&#44228;-&#52392;&#48512;&#54260;&#45908;)v8\7.&#49888;&#54840;&#48516;&#50556;\19_&#49324;&#51204;&#51216;&#44160;%20&#48143;%20&#52384;&#46020;&#44592;&#49696;&#44592;&#51456;%20&#44160;&#53664;\&#52404;&#53356;&#47532;&#49828;&#53944;\&#49324;&#51204;&#51216;&#44160;%20&#48143;%20&#52384;&#46020;&#44592;&#49696;&#44592;&#51456;%20&#44160;&#53664;_&#52404;&#53356;&#47532;&#49828;&#53944;.html" TargetMode="External"/><Relationship Id="rId10" Type="http://schemas.openxmlformats.org/officeDocument/2006/relationships/hyperlink" Target="&#47588;&#45684;&#50620;BODY(&#51665;&#54665;&#45800;&#44228;-&#52392;&#48512;&#54260;&#45908;)v8\7.&#49888;&#54840;&#48516;&#50556;\4_&#51204;&#44592;%20_%20&#53685;&#49888;%20_%20PSD%20_%20&#52264;&#47049;%20&#51064;&#53552;&#54168;&#51060;&#49828;%20&#54801;&#51032;\&#54364;&#51456;&#49436;\&#51204;&#44592;%20_%20&#53685;&#49888;%20_%20PSD%20_%20&#52264;&#47049;%20&#51064;&#53552;&#54168;&#51060;&#49828;%20&#54801;&#51032;_&#54364;&#51456;&#49436;.html" TargetMode="External"/><Relationship Id="rId31" Type="http://schemas.openxmlformats.org/officeDocument/2006/relationships/hyperlink" Target="&#47588;&#45684;&#50620;BODY(&#51665;&#54665;&#45800;&#44228;-&#52392;&#48512;&#54260;&#45908;)v8\7.&#49888;&#54840;&#48516;&#50556;\11_&#51088;&#51116;%20&#48152;&#51077;%20&#48143;%20&#44160;&#49688;\&#54364;&#51456;&#49436;\&#51088;&#51116;%20&#48152;&#51077;%20&#48143;%20&#44160;&#49688;_&#54364;&#51456;&#49436;.html" TargetMode="External"/><Relationship Id="rId44" Type="http://schemas.openxmlformats.org/officeDocument/2006/relationships/hyperlink" Target="&#47588;&#45684;&#50620;BODY(&#51665;&#54665;&#45800;&#44228;-&#52392;&#48512;&#54260;&#45908;)v8\7.&#49888;&#54840;&#48516;&#50556;\15_&#44277;&#51333;&#48324;%20&#49884;&#54744;\&#49688;&#54665;&#51648;&#52840;\LTE-R_&#47924;&#49440;_AP&#47484;_&#53685;&#54620;_&#49888;&#54840;_&#51228;&#50612;_&#45936;&#51060;&#53552;_&#49569;&#49688;&#49888;_&#47112;&#48296;_&#49345;&#49464;&#51208;&#52264;&#49436;.html" TargetMode="External"/><Relationship Id="rId52" Type="http://schemas.openxmlformats.org/officeDocument/2006/relationships/hyperlink" Target="&#47588;&#45684;&#50620;BODY(&#51665;&#54665;&#45800;&#44228;-&#52392;&#48512;&#54260;&#45908;)v8\7.&#49888;&#54840;&#48516;&#50556;\18_&#50868;&#50689;&#51088;%20&#44368;&#50977;&#49884;&#54665;\&#54364;&#51456;&#49436;\&#50868;&#50689;&#51088;%20&#44368;&#50977;&#49884;&#54665;_&#54364;&#51456;&#49436;.html" TargetMode="External"/><Relationship Id="rId60" Type="http://schemas.openxmlformats.org/officeDocument/2006/relationships/hyperlink" Target="&#47588;&#45684;&#50620;BODY(&#51665;&#54665;&#45800;&#44228;-&#52392;&#48512;&#54260;&#45908;)v8\7.&#49888;&#54840;&#48516;&#50556;\20_&#49884;&#49444;&#47932;%20&#44160;&#51613;&#49884;&#54744;\&#52404;&#53356;&#47532;&#49828;&#53944;\&#49884;&#49444;&#47932;%20&#44160;&#51613;&#49884;&#54744;_&#52404;&#53356;&#47532;&#49828;&#53944;.html" TargetMode="External"/><Relationship Id="rId65" Type="http://schemas.openxmlformats.org/officeDocument/2006/relationships/hyperlink" Target="&#47588;&#45684;&#50620;BODY(&#51665;&#54665;&#45800;&#44228;-&#52392;&#48512;&#54260;&#45908;)v8\7.&#49888;&#54840;&#48516;&#50556;\22_&#50976;&#51648;&#44288;&#47532;%20&#49444;&#52824;\&#49688;&#54665;&#51648;&#52840;\LTE-R_&#47924;&#49440;_AP&#47484;_&#53685;&#54620;_&#49888;&#54840;_&#51228;&#50612;_&#45936;&#51060;&#53552;_&#49569;&#49688;&#49888;_&#47112;&#48296;_&#49345;&#49464;&#51208;&#52264;&#49436;.html" TargetMode="External"/><Relationship Id="rId4" Type="http://schemas.openxmlformats.org/officeDocument/2006/relationships/hyperlink" Target="&#47588;&#45684;&#50620;BODY(&#51665;&#54665;&#45800;&#44228;-&#52392;&#48512;&#54260;&#45908;)v8\7.&#49888;&#54840;&#48516;&#50556;\2_&#52265;&#49688;&#51456;&#48708;%20KOM\&#54364;&#51456;&#49436;\&#52265;&#49688;&#51456;&#48708;%20KOM_&#54364;&#51456;&#49436;.html" TargetMode="External"/><Relationship Id="rId9" Type="http://schemas.openxmlformats.org/officeDocument/2006/relationships/hyperlink" Target="&#47588;&#45684;&#50620;BODY(&#51665;&#54665;&#45800;&#44228;-&#52392;&#48512;&#54260;&#45908;)v8\7.&#49888;&#54840;&#48516;&#50556;\3_&#52265;&#49688;&#51204;%20Big%20Room%20&#54924;&#51032;\&#52404;&#53356;&#47532;&#49828;&#53944;\&#52265;&#49688;&#51204;%20Big%20Room%20&#54924;&#51032;_&#52404;&#53356;&#47532;&#49828;&#53944;.html" TargetMode="External"/><Relationship Id="rId13" Type="http://schemas.openxmlformats.org/officeDocument/2006/relationships/hyperlink" Target="&#47588;&#45684;&#50620;BODY(&#51665;&#54665;&#45800;&#44228;-&#52392;&#48512;&#54260;&#45908;)v8\7.&#49888;&#54840;&#48516;&#50556;\5_&#46020;&#47196;%20_%20&#44452;&#46020;%20&#51064;&#53552;&#54168;&#51060;&#49828;%20&#54801;&#51032;\&#54364;&#51456;&#49436;\&#46020;&#47196;%20_%20&#44452;&#46020;%20&#51064;&#53552;&#54168;&#51060;&#49828;%20&#54801;&#51032;_&#54364;&#51456;&#49436;.html" TargetMode="External"/><Relationship Id="rId18" Type="http://schemas.openxmlformats.org/officeDocument/2006/relationships/hyperlink" Target="&#47588;&#45684;&#50620;BODY(&#51665;&#54665;&#45800;&#44228;-&#52392;&#48512;&#54260;&#45908;)v8\7.&#49888;&#54840;&#48516;&#50556;\6_&#49884;&#44277;&#51204;%20&#51064;&#53552;&#54168;&#51060;&#49828;%20&#54801;&#51032;\&#52404;&#53356;&#47532;&#49828;&#53944;\&#49884;&#44277;&#51204;%20&#51064;&#53552;&#54168;&#51060;&#49828;%20&#54801;&#51032;_&#52404;&#53356;&#47532;&#49828;&#53944;.html" TargetMode="External"/><Relationship Id="rId39" Type="http://schemas.openxmlformats.org/officeDocument/2006/relationships/hyperlink" Target="&#47588;&#45684;&#50620;BODY(&#51665;&#54665;&#45800;&#44228;-&#52392;&#48512;&#54260;&#45908;)v8\7.&#49888;&#54840;&#48516;&#50556;\13_&#49884;&#49828;&#53596;%20&#45800;&#50948;&#49884;&#54744;\&#52404;&#53356;&#47532;&#49828;&#53944;\&#49884;&#49828;&#53596;%20&#45800;&#50948;&#49884;&#54744;_&#52404;&#53356;&#47532;&#49828;&#53944;.html"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9.&#53685;&#49888;&#48516;&#50556;\8_&#51088;&#51116;%20&#51064;&#47141;%20&#51109;&#48708;%20&#46321;%20&#53804;&#51077;%20&#49324;&#51204;%20&#44160;&#53664;\&#49688;&#54665;&#51648;&#52840;\&#51088;&#51116;%20&#51064;&#47141;%20&#51109;&#48708;%20&#46321;%20&#53804;&#51077;%20&#49324;&#51204;%20&#44160;&#53664;_&#49688;&#54665;&#51648;&#52840;.html" TargetMode="External"/><Relationship Id="rId21" Type="http://schemas.openxmlformats.org/officeDocument/2006/relationships/hyperlink" Target="&#47588;&#45684;&#50620;BODY(&#51665;&#54665;&#45800;&#44228;-&#52392;&#48512;&#54260;&#45908;)v8\9.&#53685;&#49888;&#48516;&#50556;\7_&#48156;&#51452;&#52376;%20&#54408;&#51656;%20&#50836;&#44396;&#49324;&#54637;%20&#44160;&#53664;\&#52404;&#53356;&#47532;&#49828;&#53944;\9000-2-7_&#48156;&#51452;&#52376;%20&#54408;&#51656;%20&#50836;&#44396;&#49324;&#54637;%20&#44160;&#53664;_&#52404;&#53356;&#47532;&#49828;&#53944;.html" TargetMode="External"/><Relationship Id="rId42" Type="http://schemas.openxmlformats.org/officeDocument/2006/relationships/hyperlink" Target="&#47588;&#45684;&#50620;BODY(&#51665;&#54665;&#45800;&#44228;-&#52392;&#48512;&#54260;&#45908;)v8\9.&#53685;&#49888;&#48516;&#50556;\13_&#53685;&#49888;&#49444;&#48708;%20&#44277;&#51221;&#51228;&#51089;%20_%20&#51228;&#51089;&#49324;%20&#44277;&#51109;&#44160;&#49324;\&#52404;&#53356;&#47532;&#49828;&#53944;\9000-2-13_&#53685;&#49888;&#49444;&#48708;%20&#44277;&#51221;&#51228;&#51089;%20_%20&#51228;&#51089;&#49324;%20&#44277;&#51109;&#44160;&#49324;_&#52404;&#53356;&#47532;&#49828;&#53944;.html" TargetMode="External"/><Relationship Id="rId47" Type="http://schemas.openxmlformats.org/officeDocument/2006/relationships/hyperlink" Target="&#47588;&#45684;&#50620;BODY(&#51665;&#54665;&#45800;&#44228;-&#52392;&#48512;&#54260;&#45908;)v8\9.&#53685;&#49888;&#48516;&#50556;\15_&#51109;&#48708;&#48152;&#51077;%20&#48143;%20&#50504;&#51204;&#44368;&#50977;\&#49688;&#54665;&#51648;&#52840;\&#51109;&#48708;&#48152;&#51077;%20&#48143;%20&#50504;&#51204;&#44368;&#50977;_&#49688;&#54665;&#51648;&#52840;.html" TargetMode="External"/><Relationship Id="rId63" Type="http://schemas.openxmlformats.org/officeDocument/2006/relationships/hyperlink" Target="&#47588;&#45684;&#50620;BODY(&#51665;&#54665;&#45800;&#44228;-&#52392;&#48512;&#54260;&#45908;)v8\9.&#53685;&#49888;&#48516;&#50556;\20_&#53685;&#49888;&#49884;&#49828;&#53596;%20&#53685;&#54633;&#49884;&#54744;\&#52404;&#53356;&#47532;&#49828;&#53944;\9000-2-20_&#53685;&#49888;&#49884;&#49828;&#53596;%20&#53685;&#54633;&#49884;&#54744;_&#52404;&#53356;&#47532;&#49828;&#53944;.html" TargetMode="External"/><Relationship Id="rId68" Type="http://schemas.openxmlformats.org/officeDocument/2006/relationships/hyperlink" Target="&#47588;&#45684;&#50620;BODY(&#51665;&#54665;&#45800;&#44228;-&#52392;&#48512;&#54260;&#45908;)v8\9.&#53685;&#49888;&#48516;&#50556;\22_&#52264;&#47049;%20&#53804;&#51077;%20&#51204;%20&#51216;&#44160;\&#49688;&#54665;&#51648;&#52840;\&#52264;&#47049;%20&#53804;&#51077;%20&#51204;%20&#51216;&#44160;_&#49688;&#54665;&#51648;&#52840;.html" TargetMode="External"/><Relationship Id="rId84"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Relationship Id="rId89" Type="http://schemas.openxmlformats.org/officeDocument/2006/relationships/hyperlink" Target="&#47588;&#45684;&#50620;BODY(&#51665;&#54665;&#45800;&#44228;-&#52392;&#48512;&#54260;&#45908;)v8\9.&#53685;&#49888;&#48516;&#50556;\29_LTE-R%20&#47924;&#49440;&#44397;%20&#54728;&#44032;\&#49688;&#54665;&#51648;&#52840;\LTE-R%20&#47924;&#49440;&#44397;%20&#54728;&#44032;_&#49688;&#54665;&#51648;&#52840;.html" TargetMode="External"/><Relationship Id="rId16" Type="http://schemas.openxmlformats.org/officeDocument/2006/relationships/hyperlink" Target="&#47588;&#45684;&#50620;BODY(&#51665;&#54665;&#45800;&#44228;-&#52392;&#48512;&#54260;&#45908;)v8\9.&#53685;&#49888;&#48516;&#50556;\6_&#44288;&#51228;%20&#48143;%20&#50868;&#50689;&#49324;%20&#51064;&#53552;&#54168;&#51060;&#49828;%20&#54801;&#51032;\&#54364;&#51456;&#49436;\&#44288;&#51228;%20&#48143;%20&#50868;&#50689;&#49324;%20&#51064;&#53552;&#54168;&#51060;&#49828;%20&#54801;&#51032;_&#54364;&#51456;&#49436;.html" TargetMode="External"/><Relationship Id="rId11" Type="http://schemas.openxmlformats.org/officeDocument/2006/relationships/hyperlink" Target="&#47588;&#45684;&#50620;BODY(&#51665;&#54665;&#45800;&#44228;-&#52392;&#48512;&#54260;&#45908;)v8\9.&#53685;&#49888;&#48516;&#50556;\4_&#51204;&#44592;%20_%20&#49888;&#54840;%20_%20&#44592;&#44228;%20_%20PSD%20_%20&#52264;&#47049;%20&#51064;&#53552;&#54168;&#51060;&#49828;%20&#54801;&#51032;\&#49688;&#54665;&#51648;&#52840;\&#51204;&#44592;%20_%20&#49888;&#54840;%20_%20&#44592;&#44228;%20_%20PSD%20_%20&#52264;&#47049;%20&#51064;&#53552;&#54168;&#51060;&#49828;%20&#54801;&#51032;_&#49688;&#54665;&#51648;&#52840;.html" TargetMode="External"/><Relationship Id="rId32"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37" Type="http://schemas.openxmlformats.org/officeDocument/2006/relationships/hyperlink" Target="&#47588;&#45684;&#50620;BODY(&#51665;&#54665;&#45800;&#44228;-&#52392;&#48512;&#54260;&#45908;)v8\9.&#53685;&#49888;&#48516;&#50556;\12_&#51088;&#51116;&#44277;&#44553;&#50896;%20&#44160;&#53664;%20&#48143;%20&#49849;&#51064;\&#54364;&#51456;&#49436;\&#51088;&#51116;&#44277;&#44553;&#50896;%20&#44160;&#53664;%20&#48143;%20&#49849;&#51064;_&#54364;&#51456;&#49436;.html" TargetMode="External"/><Relationship Id="rId53" Type="http://schemas.openxmlformats.org/officeDocument/2006/relationships/hyperlink" Target="&#47588;&#45684;&#50620;BODY(&#51665;&#54665;&#45800;&#44228;-&#52392;&#48512;&#54260;&#45908;)v8\9.&#53685;&#49888;&#48516;&#50556;\17_&#53685;&#49888;&#49444;&#48708;%20&#48152;&#51077;%20&#48143;%20&#49444;&#52824;\&#49688;&#54665;&#51648;&#52840;\&#53685;&#49888;&#49444;&#48708;%20&#48152;&#51077;%20&#48143;%20&#49444;&#52824;_&#49688;&#54665;&#51648;&#52840;.html" TargetMode="External"/><Relationship Id="rId58" Type="http://schemas.openxmlformats.org/officeDocument/2006/relationships/hyperlink" Target="&#47588;&#45684;&#50620;BODY(&#51665;&#54665;&#45800;&#44228;-&#52392;&#48512;&#54260;&#45908;)v8\9.&#53685;&#49888;&#48516;&#50556;\19_&#53685;&#49888;&#49884;&#49828;&#53596;%20&#45800;&#50948;&#49884;&#54744;\&#54364;&#51456;&#49436;\&#53685;&#49888;&#49884;&#49828;&#53596;%20&#45800;&#50948;&#49884;&#54744;_&#54364;&#51456;&#49436;.html" TargetMode="External"/><Relationship Id="rId74" Type="http://schemas.openxmlformats.org/officeDocument/2006/relationships/hyperlink" Target="&#47588;&#45684;&#50620;BODY(&#51665;&#54665;&#45800;&#44228;-&#52392;&#48512;&#54260;&#45908;)v8\9.&#53685;&#49888;&#48516;&#50556;\24_&#50868;&#50689;&#51088;%20&#44368;&#50977;&#49884;&#54665;\&#49688;&#54665;&#51648;&#52840;\&#50868;&#50689;&#51088;%20&#44368;&#50977;&#49884;&#54665;_&#49688;&#54665;&#51648;&#52840;.html" TargetMode="External"/><Relationship Id="rId79" Type="http://schemas.openxmlformats.org/officeDocument/2006/relationships/hyperlink" Target="&#47588;&#45684;&#50620;BODY(&#51665;&#54665;&#45800;&#44228;-&#52392;&#48512;&#54260;&#45908;)v8\9.&#53685;&#49888;&#48516;&#50556;\26_&#49884;&#49444;&#47932;%20&#44160;&#51613;&#49884;&#54744;\&#54364;&#51456;&#49436;\&#49884;&#49444;&#47932;%20&#44160;&#51613;&#49884;&#54744;_&#54364;&#51456;&#49436;.html" TargetMode="External"/><Relationship Id="rId5" Type="http://schemas.openxmlformats.org/officeDocument/2006/relationships/hyperlink" Target="&#47588;&#45684;&#50620;BODY(&#51665;&#54665;&#45800;&#44228;-&#52392;&#48512;&#54260;&#45908;)v8\9.&#53685;&#49888;&#48516;&#50556;\2_&#52265;&#49688;&#51204;&#47029;%20KOM\&#49688;&#54665;&#51648;&#52840;\&#48156;&#51452;&#51204;&#47029;%20KOM_&#49688;&#54665;&#51648;&#52840;.html" TargetMode="External"/><Relationship Id="rId90" Type="http://schemas.openxmlformats.org/officeDocument/2006/relationships/hyperlink" Target="&#47588;&#45684;&#50620;BODY(&#51665;&#54665;&#45800;&#44228;-&#52392;&#48512;&#54260;&#45908;)v8\9.&#53685;&#49888;&#48516;&#50556;\29_LTE-R%20&#47924;&#49440;&#44397;%20&#54728;&#44032;\&#52404;&#53356;&#47532;&#49828;&#53944;\LTE-R%20&#47924;&#49440;&#44397;%20&#54728;&#44032;_&#52404;&#53356;&#47532;&#49828;&#53944;.html" TargetMode="External"/><Relationship Id="rId95" Type="http://schemas.openxmlformats.org/officeDocument/2006/relationships/hyperlink" Target="&#47588;&#45684;&#50620;BODY(&#51665;&#54665;&#45800;&#44228;-&#52392;&#48512;&#54260;&#45908;)v8\9.&#53685;&#49888;&#48516;&#50556;\30_LTE-R%20&#49345;&#54840;&#50868;&#50857;&#49457;%20&#48143;%20&#48372;&#50504;&#51201;&#54633;&#49457;%20&#44160;&#51613;\&#49688;&#54665;&#51648;&#52840;\LTE-R%20&#49345;&#54840;&#50868;&#50857;&#49457;%20&#48143;%20&#48372;&#50504;&#51201;&#54633;&#49457;%20&#44160;&#51613;_&#49688;&#54665;&#51648;&#52840;.html" TargetMode="External"/><Relationship Id="rId22" Type="http://schemas.openxmlformats.org/officeDocument/2006/relationships/hyperlink" Target="&#47588;&#45684;&#50620;BODY(&#51665;&#54665;&#45800;&#44228;-&#52392;&#48512;&#54260;&#45908;)v8\9.&#53685;&#49888;&#48516;&#50556;\8_&#51088;&#51116;%20_%20&#51064;&#50896;%20_%20&#51109;&#48708;%20&#46321;%20&#53804;&#51077;%20&#49324;&#51204;%20&#44160;&#53664;\&#54364;&#51456;&#49436;\&#51088;&#51116;%20&#51064;&#47141;%20&#51109;&#48708;%20&#46321;%20&#53804;&#51077;%20&#49324;&#51204;%20&#44160;&#53664;_&#54364;&#51456;&#49436;.html" TargetMode="External"/><Relationship Id="rId27" Type="http://schemas.openxmlformats.org/officeDocument/2006/relationships/hyperlink" Target="&#47588;&#45684;&#50620;BODY(&#51665;&#54665;&#45800;&#44228;-&#52392;&#48512;&#54260;&#45908;)v8\9.&#53685;&#49888;&#48516;&#50556;\8_&#51088;&#51116;%20&#51064;&#47141;%20&#51109;&#48708;%20&#46321;%20&#53804;&#51077;%20&#49324;&#51204;%20&#44160;&#53664;\&#52404;&#53356;&#47532;&#49828;&#53944;\&#51088;&#51116;%20&#51064;&#47141;%20&#51109;&#48708;%20&#46321;%20&#53804;&#51077;%20&#49324;&#51204;%20&#44160;&#53664;_&#52404;&#53356;&#47532;&#49828;&#53944;.html" TargetMode="External"/><Relationship Id="rId43" Type="http://schemas.openxmlformats.org/officeDocument/2006/relationships/hyperlink" Target="&#47588;&#45684;&#50620;BODY(&#51665;&#54665;&#45800;&#44228;-&#52392;&#48512;&#54260;&#45908;)v8\9.&#53685;&#49888;&#48516;&#50556;\14_&#48376;&#44277;&#49324;%20&#51204;%20&#49440;&#54665;&#44277;&#51221;%20&#51064;&#49688;&#51064;&#44228;%20&#51216;&#44160;\&#54364;&#51456;&#49436;\&#48376;&#44277;&#49324;%20&#51204;%20&#49440;&#54665;&#44277;&#51221;%20&#51064;&#49688;&#51064;&#44228;%20&#51216;&#44160;_&#54364;&#51456;&#49436;.html" TargetMode="External"/><Relationship Id="rId48" Type="http://schemas.openxmlformats.org/officeDocument/2006/relationships/hyperlink" Target="&#47588;&#45684;&#50620;BODY(&#51665;&#54665;&#45800;&#44228;-&#52392;&#48512;&#54260;&#45908;)v8\9.&#53685;&#49888;&#48516;&#50556;\15_&#51109;&#48708;&#48152;&#51077;%20&#48143;%20&#50504;&#51204;&#44368;&#50977;\&#52404;&#53356;&#47532;&#49828;&#53944;\9000-2-15_&#51109;&#48708;&#48152;&#51077;%20&#48143;%20&#50504;&#51204;&#44368;&#50977;_&#52404;&#53356;&#47532;&#49828;&#53944;.html" TargetMode="External"/><Relationship Id="rId64" Type="http://schemas.openxmlformats.org/officeDocument/2006/relationships/hyperlink" Target="&#47588;&#45684;&#50620;BODY(&#51665;&#54665;&#45800;&#44228;-&#52392;&#48512;&#54260;&#45908;)v8\9.&#53685;&#49888;&#48516;&#50556;\21_&#44277;&#51333;&#48324;%20&#49884;&#54744;\&#54364;&#51456;&#49436;\9000-2-21_&#44277;&#51333;&#48324;%20&#49884;&#54744;_&#54364;&#51456;&#49436;.html" TargetMode="External"/><Relationship Id="rId69" Type="http://schemas.openxmlformats.org/officeDocument/2006/relationships/hyperlink" Target="&#47588;&#45684;&#50620;BODY(&#51665;&#54665;&#45800;&#44228;-&#52392;&#48512;&#54260;&#45908;)v8\9.&#53685;&#49888;&#48516;&#50556;\22_&#52264;&#47049;%20&#53804;&#51077;%20&#51204;%20&#51216;&#44160;\&#52404;&#53356;&#47532;&#49828;&#53944;\9000-2-22_&#52264;&#47049;%20&#53804;&#51077;%20&#51204;%20&#51216;&#44160;_&#52404;&#53356;&#47532;&#49828;&#53944;.html" TargetMode="External"/><Relationship Id="rId80" Type="http://schemas.openxmlformats.org/officeDocument/2006/relationships/hyperlink" Target="&#47588;&#45684;&#50620;BODY(&#51665;&#54665;&#45800;&#44228;-&#52392;&#48512;&#54260;&#45908;)v8\9.&#53685;&#49888;&#48516;&#50556;\26_&#49884;&#49444;&#47932;%20&#44160;&#51613;&#49884;&#54744;\&#49688;&#54665;&#51648;&#52840;\&#49884;&#49444;&#47932;%20&#44160;&#51613;&#49884;&#54744;_&#49688;&#54665;&#51648;&#52840;.html" TargetMode="External"/><Relationship Id="rId85" Type="http://schemas.openxmlformats.org/officeDocument/2006/relationships/hyperlink" Target="&#47588;&#45684;&#50620;BODY(&#51665;&#54665;&#45800;&#44228;-&#52392;&#48512;&#54260;&#45908;)v8\9.&#53685;&#49888;&#48516;&#50556;\28_&#51088;&#44032;&#50857;&#51204;&#44592;&#53685;&#49888;&#49444;&#48708;%20&#49444;&#52824;&#49888;&#44256;\&#54364;&#51456;&#49436;\&#51088;&#44032;&#50857;&#51204;&#44592;&#53685;&#49888;&#49444;&#48708;%20&#49444;&#52824;&#49888;&#44256;_&#54364;&#51456;&#49436;.html" TargetMode="External"/><Relationship Id="rId3" Type="http://schemas.openxmlformats.org/officeDocument/2006/relationships/hyperlink" Target="&#47588;&#45684;&#50620;BODY(&#51665;&#54665;&#45800;&#44228;-&#52392;&#48512;&#54260;&#45908;)v8\9.&#53685;&#49888;&#48516;&#50556;\1_&#49444;&#44228;&#51201;&#51221;&#49457;%20&#44160;&#53664;\&#52404;&#53356;&#47532;&#49828;&#53944;\9000-2-1_&#49444;&#44228;&#51201;&#51221;&#49457;%20&#44160;&#53664;_&#52404;&#53356;&#47532;&#49828;&#53944;.html" TargetMode="External"/><Relationship Id="rId12" Type="http://schemas.openxmlformats.org/officeDocument/2006/relationships/hyperlink" Target="&#47588;&#45684;&#50620;BODY(&#51665;&#54665;&#45800;&#44228;-&#52392;&#48512;&#54260;&#45908;)v8\9.&#53685;&#49888;&#48516;&#50556;\4_&#51204;&#44592;%20_%20&#49888;&#54840;%20_%20&#44592;&#44228;%20_%20PSD%20_%20&#52264;&#47049;%20&#51064;&#53552;&#54168;&#51060;&#49828;%20&#54801;&#51032;\&#52404;&#53356;&#47532;&#49828;&#53944;\9000-2-4_&#51204;&#44592;%20_%20&#49888;&#54840;%20_%20&#44592;&#44228;%20_%20PSD%20_%20&#52264;&#47049;%20&#51064;&#53552;&#54168;&#51060;&#49828;%20&#54801;&#51032;_&#52404;&#53356;&#47532;&#49828;&#53944;.html" TargetMode="External"/><Relationship Id="rId17" Type="http://schemas.openxmlformats.org/officeDocument/2006/relationships/hyperlink" Target="&#47588;&#45684;&#50620;BODY(&#51665;&#54665;&#45800;&#44228;-&#52392;&#48512;&#54260;&#45908;)v8\9.&#53685;&#49888;&#48516;&#50556;\6_&#44288;&#51228;%20&#48143;%20&#50868;&#50689;&#49324;%20&#51064;&#53552;&#54168;&#51060;&#49828;%20&#54801;&#51032;\&#49688;&#54665;&#51648;&#52840;\&#44288;&#51228;%20&#48143;%20&#50868;&#50689;&#49324;%20&#51064;&#53552;&#54168;&#51060;&#49828;%20&#54801;&#51032;_&#49688;&#54665;&#51648;&#52840;.html" TargetMode="External"/><Relationship Id="rId25" Type="http://schemas.openxmlformats.org/officeDocument/2006/relationships/hyperlink" Target="&#47588;&#45684;&#50620;BODY(&#51665;&#54665;&#45800;&#44228;-&#52392;&#48512;&#54260;&#45908;)v8\9.&#53685;&#49888;&#48516;&#50556;\8_&#51088;&#51116;%20&#51064;&#47141;%20&#51109;&#48708;%20&#46321;%20&#53804;&#51077;%20&#49324;&#51204;%20&#44160;&#53664;\&#54364;&#51456;&#49436;\&#51088;&#51116;%20&#51064;&#47141;%20&#51109;&#48708;%20&#46321;%20&#53804;&#51077;%20&#49324;&#51204;%20&#44160;&#53664;_&#54364;&#51456;&#49436;.html" TargetMode="External"/><Relationship Id="rId33"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38" Type="http://schemas.openxmlformats.org/officeDocument/2006/relationships/hyperlink" Target="&#47588;&#45684;&#50620;BODY(&#51665;&#54665;&#45800;&#44228;-&#52392;&#48512;&#54260;&#45908;)v8\9.&#53685;&#49888;&#48516;&#50556;\12_&#51088;&#51116;&#44277;&#44553;&#50896;%20&#44160;&#53664;%20&#48143;%20&#49849;&#51064;\&#49688;&#54665;&#51648;&#52840;\&#51088;&#51116;&#44277;&#44553;&#50896;%20&#44160;&#53664;%20&#48143;%20&#49849;&#51064;_&#49688;&#54665;&#51648;&#52840;.html" TargetMode="External"/><Relationship Id="rId46" Type="http://schemas.openxmlformats.org/officeDocument/2006/relationships/hyperlink" Target="&#47588;&#45684;&#50620;BODY(&#51665;&#54665;&#45800;&#44228;-&#52392;&#48512;&#54260;&#45908;)v8\9.&#53685;&#49888;&#48516;&#50556;\15_&#51109;&#48708;&#48152;&#51077;%20&#48143;%20&#50504;&#51204;&#44368;&#50977;\&#54364;&#51456;&#49436;\&#51109;&#48708;&#48152;&#51077;%20&#48143;%20&#50504;&#51204;&#44368;&#50977;_&#54364;&#51456;&#49436;.html" TargetMode="External"/><Relationship Id="rId59" Type="http://schemas.openxmlformats.org/officeDocument/2006/relationships/hyperlink" Target="&#47588;&#45684;&#50620;BODY(&#51665;&#54665;&#45800;&#44228;-&#52392;&#48512;&#54260;&#45908;)v8\9.&#53685;&#49888;&#48516;&#50556;\19_&#53685;&#49888;&#49884;&#49828;&#53596;%20&#45800;&#50948;&#49884;&#54744;\&#49688;&#54665;&#51648;&#52840;\&#53685;&#49888;&#49884;&#49828;&#53596;%20&#45800;&#50948;&#49884;&#54744;_&#49688;&#54665;&#51648;&#52840;.html" TargetMode="External"/><Relationship Id="rId67" Type="http://schemas.openxmlformats.org/officeDocument/2006/relationships/hyperlink" Target="&#47588;&#45684;&#50620;BODY(&#51665;&#54665;&#45800;&#44228;-&#52392;&#48512;&#54260;&#45908;)v8\9.&#53685;&#49888;&#48516;&#50556;\22_&#52264;&#47049;%20&#53804;&#51077;%20&#51204;%20&#51216;&#44160;\&#54364;&#51456;&#49436;\&#52264;&#47049;%20&#53804;&#51077;%20&#51204;%20&#51216;&#44160;_&#54364;&#51456;&#49436;.html" TargetMode="External"/><Relationship Id="rId20" Type="http://schemas.openxmlformats.org/officeDocument/2006/relationships/hyperlink" Target="&#47588;&#45684;&#50620;BODY(&#51665;&#54665;&#45800;&#44228;-&#52392;&#48512;&#54260;&#45908;)v8\9.&#53685;&#49888;&#48516;&#50556;\7_&#48156;&#51452;&#52376;%20&#54408;&#51656;%20&#50836;&#44396;&#49324;&#54637;%20&#44160;&#53664;\&#49688;&#54665;&#51648;&#52840;\&#48156;&#51452;&#52376;%20&#54408;&#51656;%20&#50836;&#44396;&#49324;&#54637;%20&#44160;&#53664;_&#49688;&#54665;&#51648;&#52840;.html" TargetMode="External"/><Relationship Id="rId41" Type="http://schemas.openxmlformats.org/officeDocument/2006/relationships/hyperlink" Target="&#47588;&#45684;&#50620;BODY(&#51665;&#54665;&#45800;&#44228;-&#52392;&#48512;&#54260;&#45908;)v8\9.&#53685;&#49888;&#48516;&#50556;\13_&#53685;&#49888;&#49444;&#48708;%20&#44277;&#51221;&#51228;&#51089;%20_%20&#51228;&#51089;&#49324;%20&#44277;&#51109;&#44160;&#49324;\&#49688;&#54665;&#51648;&#52840;\&#53685;&#49888;&#49444;&#48708;%20&#44277;&#51221;&#51228;&#51089;%20_%20&#51228;&#51089;&#49324;%20&#44277;&#51109;&#44160;&#49324;_&#49688;&#54665;&#51648;&#52840;.html" TargetMode="External"/><Relationship Id="rId54" Type="http://schemas.openxmlformats.org/officeDocument/2006/relationships/hyperlink" Target="&#47588;&#45684;&#50620;BODY(&#51665;&#54665;&#45800;&#44228;-&#52392;&#48512;&#54260;&#45908;)v8\9.&#53685;&#49888;&#48516;&#50556;\17_&#53685;&#49888;&#49444;&#48708;%20&#48152;&#51077;%20&#48143;%20&#49444;&#52824;\&#52404;&#53356;&#47532;&#49828;&#53944;\9000-2-17_&#53685;&#49888;&#49444;&#48708;%20&#48152;&#51077;%20&#48143;%20&#49444;&#52824;_&#52404;&#53356;&#47532;&#49828;&#53944;.html" TargetMode="External"/><Relationship Id="rId62" Type="http://schemas.openxmlformats.org/officeDocument/2006/relationships/hyperlink" Target="&#47588;&#45684;&#50620;BODY(&#51665;&#54665;&#45800;&#44228;-&#52392;&#48512;&#54260;&#45908;)v8\9.&#53685;&#49888;&#48516;&#50556;\20_&#53685;&#49888;&#49884;&#49828;&#53596;%20&#53685;&#54633;&#49884;&#54744;\&#49688;&#54665;&#51648;&#52840;\&#53685;&#49888;&#49884;&#49828;&#53596;%20&#53685;&#54633;&#49884;&#54744;_&#49688;&#54665;&#51648;&#52840;.html" TargetMode="External"/><Relationship Id="rId70" Type="http://schemas.openxmlformats.org/officeDocument/2006/relationships/hyperlink" Target="&#47588;&#45684;&#50620;BODY(&#51665;&#54665;&#45800;&#44228;-&#52392;&#48512;&#54260;&#45908;)v8\9.&#53685;&#49888;&#48516;&#50556;\23_&#52264;&#47049;%20&#49884;&#50868;&#51204;\&#54364;&#51456;&#49436;\9000-2-23_&#52264;&#47049;%20&#49884;&#50868;&#51204;_&#54364;&#51456;&#49436;.html" TargetMode="External"/><Relationship Id="rId75" Type="http://schemas.openxmlformats.org/officeDocument/2006/relationships/hyperlink" Target="&#47588;&#45684;&#50620;BODY(&#51665;&#54665;&#45800;&#44228;-&#52392;&#48512;&#54260;&#45908;)v8\9.&#53685;&#49888;&#48516;&#50556;\24_&#50868;&#50689;&#51088;%20&#44368;&#50977;&#49884;&#54665;\&#52404;&#53356;&#47532;&#49828;&#53944;\9000-2-24_&#50868;&#50689;&#51088;%20&#44368;&#50977;&#49884;&#54665;_&#52404;&#53356;&#47532;&#49828;&#53944;.html" TargetMode="External"/><Relationship Id="rId83"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Relationship Id="rId88" Type="http://schemas.openxmlformats.org/officeDocument/2006/relationships/hyperlink" Target="&#47588;&#45684;&#50620;BODY(&#51665;&#54665;&#45800;&#44228;-&#52392;&#48512;&#54260;&#45908;)v8\9.&#53685;&#49888;&#48516;&#50556;\29_LTE-R%20&#47924;&#49440;&#44397;%20&#54728;&#44032;\&#54364;&#51456;&#49436;\LTE-R%20&#47924;&#49440;&#44397;%20&#54728;&#44032;_&#54364;&#51456;&#49436;.html" TargetMode="External"/><Relationship Id="rId91" Type="http://schemas.openxmlformats.org/officeDocument/2006/relationships/hyperlink" Target="&#47588;&#45684;&#50620;BODY(&#51665;&#54665;&#45800;&#44228;-&#52392;&#48512;&#54260;&#45908;)v8\9.&#53685;&#49888;&#48516;&#50556;\29_LTE-R%20&#47924;&#49440;&#44397;&#54728;&#44032;\&#54364;&#51456;&#49436;\LTE-R%20&#47924;&#49440;&#44397;&#54728;&#44032;_&#54364;&#51456;&#49436;.html" TargetMode="External"/><Relationship Id="rId96" Type="http://schemas.openxmlformats.org/officeDocument/2006/relationships/hyperlink" Target="&#47588;&#45684;&#50620;BODY(&#51665;&#54665;&#45800;&#44228;-&#52392;&#48512;&#54260;&#45908;)v8\9.&#53685;&#49888;&#48516;&#50556;\30_LTE-R%20&#49345;&#54840;&#50868;&#50857;&#49457;%20&#48143;%20&#48372;&#50504;&#51201;&#54633;&#49457;%20&#44160;&#51613;\&#52404;&#53356;&#47532;&#49828;&#53944;\9000-2-30_LTE-R%20&#49345;&#54840;&#50868;&#50857;&#49457;%20&#48143;%20&#48372;&#50504;&#51201;&#54633;&#49457;%20&#44160;&#51613;_&#52404;&#53356;&#47532;&#49828;&#53944;.html" TargetMode="External"/><Relationship Id="rId1" Type="http://schemas.openxmlformats.org/officeDocument/2006/relationships/hyperlink" Target="&#47588;&#45684;&#50620;BODY(&#51665;&#54665;&#45800;&#44228;-&#52392;&#48512;&#54260;&#45908;)v8\9.&#53685;&#49888;&#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9.&#53685;&#49888;&#48516;&#50556;\2_&#52265;&#49688;&#51204;&#47029;%20KOM\&#52404;&#53356;&#47532;&#49828;&#53944;\&#48156;&#51452;&#51204;&#47029;%20KOM_&#52404;&#53356;&#47532;&#49828;&#53944;.html" TargetMode="External"/><Relationship Id="rId15" Type="http://schemas.openxmlformats.org/officeDocument/2006/relationships/hyperlink" Target="&#47588;&#45684;&#50620;BODY(&#51665;&#54665;&#45800;&#44228;-&#52392;&#48512;&#54260;&#45908;)v8\9.&#53685;&#49888;&#48516;&#50556;\5_&#53685;&#49888;&#49444;&#48708;%20&#51228;&#51089;&#49324;%20&#51064;&#53552;&#54168;&#51060;&#49828;%20&#54801;&#51032;\&#52404;&#53356;&#47532;&#49828;&#53944;\9000-2-5_&#53685;&#49888;&#49444;&#48708;%20&#51228;&#51089;&#49324;%20&#51064;&#53552;&#54168;&#51060;&#49828;%20&#54801;&#51032;_&#52404;&#53356;&#47532;&#49828;&#53944;.html" TargetMode="External"/><Relationship Id="rId23" Type="http://schemas.openxmlformats.org/officeDocument/2006/relationships/hyperlink" Target="&#47588;&#45684;&#50620;BODY(&#51665;&#54665;&#45800;&#44228;-&#52392;&#48512;&#54260;&#45908;)v8\9.&#53685;&#49888;&#48516;&#50556;\8_&#51088;&#51116;%20_%20&#51064;&#50896;%20_%20&#51109;&#48708;%20&#46321;%20&#53804;&#51077;%20&#49324;&#51204;%20&#44160;&#53664;\&#49688;&#54665;&#51648;&#52840;\&#51088;&#51116;%20&#51064;&#47141;%20&#51109;&#48708;%20&#46321;%20&#53804;&#51077;%20&#49324;&#51204;%20&#44160;&#53664;_&#49688;&#54665;&#51648;&#52840;.html" TargetMode="External"/><Relationship Id="rId28" Type="http://schemas.openxmlformats.org/officeDocument/2006/relationships/hyperlink" Target="&#47588;&#45684;&#50620;BODY(&#51665;&#54665;&#45800;&#44228;-&#52392;&#48512;&#54260;&#45908;)v8\9.&#53685;&#49888;&#48516;&#50556;\9_&#52265;&#49688;%20&#51204;%20Big%20Room%20&#54924;&#51032;\&#54364;&#51456;&#49436;\&#52265;&#49688;%20&#51204;%20Big%20Room%20&#54924;&#51032;_&#54364;&#51456;&#49436;.html" TargetMode="External"/><Relationship Id="rId36" Type="http://schemas.openxmlformats.org/officeDocument/2006/relationships/hyperlink" Target="&#47588;&#45684;&#50620;BODY(&#51665;&#54665;&#45800;&#44228;-&#52392;&#48512;&#54260;&#45908;)v8\9.&#53685;&#49888;&#48516;&#50556;\11_&#49884;&#44277;%20&#44228;&#54925;%20&#49688;&#47549;%20_%20&#49849;&#51064;\&#52404;&#53356;&#47532;&#49828;&#53944;\9000-2-11_&#49884;&#44277;%20&#44228;&#54925;%20&#49688;&#47549;%20_%20&#49849;&#51064;_&#52404;&#53356;&#47532;&#49828;&#53944;.html" TargetMode="External"/><Relationship Id="rId49" Type="http://schemas.openxmlformats.org/officeDocument/2006/relationships/hyperlink" Target="&#47588;&#45684;&#50620;BODY(&#51665;&#54665;&#45800;&#44228;-&#52392;&#48512;&#54260;&#45908;)v8\9.&#53685;&#49888;&#48516;&#50556;\16_&#51088;&#51116;%20&#48152;&#51077;%20&#48143;%20&#44160;&#49688;\&#54364;&#51456;&#49436;\&#51088;&#51116;%20&#48152;&#51077;%20&#48143;%20&#44160;&#49688;_&#54364;&#51456;&#49436;.html" TargetMode="External"/><Relationship Id="rId57" Type="http://schemas.openxmlformats.org/officeDocument/2006/relationships/hyperlink" Target="&#47588;&#45684;&#50620;BODY(&#51665;&#54665;&#45800;&#44228;-&#52392;&#48512;&#54260;&#45908;)v8\9.&#53685;&#49888;&#48516;&#50556;\18_&#44288;&#51228;&#49444;&#48708;%20&#49444;&#52824;\&#52404;&#53356;&#47532;&#49828;&#53944;\9000-2-18_&#44288;&#51228;&#49444;&#48708;%20&#49444;&#52824;_&#52404;&#53356;&#47532;&#49828;&#53944;.html" TargetMode="External"/><Relationship Id="rId10" Type="http://schemas.openxmlformats.org/officeDocument/2006/relationships/hyperlink" Target="&#47588;&#45684;&#50620;BODY(&#51665;&#54665;&#45800;&#44228;-&#52392;&#48512;&#54260;&#45908;)v8\9.&#53685;&#49888;&#48516;&#50556;\4_&#51204;&#44592;%20_%20&#49888;&#54840;%20_%20&#44592;&#44228;%20_%20PSD%20_%20&#52264;&#47049;%20&#51064;&#53552;&#54168;&#51060;&#49828;%20&#54801;&#51032;\&#54364;&#51456;&#49436;\&#51204;&#44592;%20_%20&#49888;&#54840;%20_%20&#44592;&#44228;%20_%20PSD%20_%20&#52264;&#47049;%20&#51064;&#53552;&#54168;&#51060;&#49828;%20&#54801;&#51032;_&#54364;&#51456;&#49436;.html" TargetMode="External"/><Relationship Id="rId31"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44" Type="http://schemas.openxmlformats.org/officeDocument/2006/relationships/hyperlink" Target="&#47588;&#45684;&#50620;BODY(&#51665;&#54665;&#45800;&#44228;-&#52392;&#48512;&#54260;&#45908;)v8\9.&#53685;&#49888;&#48516;&#50556;\14_&#48376;&#44277;&#49324;%20&#51204;%20&#49440;&#54665;&#44277;&#51221;%20&#51064;&#49688;&#51064;&#44228;%20&#51216;&#44160;\&#49688;&#54665;&#51648;&#52840;\&#48376;&#44277;&#49324;%20&#51204;%20&#49440;&#54665;&#44277;&#51221;%20&#51064;&#49688;&#51064;&#44228;%20&#51216;&#44160;_&#49688;&#54665;&#51648;&#52840;.html" TargetMode="External"/><Relationship Id="rId52" Type="http://schemas.openxmlformats.org/officeDocument/2006/relationships/hyperlink" Target="&#47588;&#45684;&#50620;BODY(&#51665;&#54665;&#45800;&#44228;-&#52392;&#48512;&#54260;&#45908;)v8\9.&#53685;&#49888;&#48516;&#50556;\17_&#53685;&#49888;&#49444;&#48708;%20&#48152;&#51077;%20&#48143;%20&#49444;&#52824;\&#54364;&#51456;&#49436;\&#53685;&#49888;&#49444;&#48708;%20&#48152;&#51077;%20&#48143;%20&#49444;&#52824;_&#54364;&#51456;&#49436;.html" TargetMode="External"/><Relationship Id="rId60" Type="http://schemas.openxmlformats.org/officeDocument/2006/relationships/hyperlink" Target="&#47588;&#45684;&#50620;BODY(&#51665;&#54665;&#45800;&#44228;-&#52392;&#48512;&#54260;&#45908;)v8\9.&#53685;&#49888;&#48516;&#50556;\19_&#53685;&#49888;&#49884;&#49828;&#53596;%20&#45800;&#50948;&#49884;&#54744;\&#52404;&#53356;&#47532;&#49828;&#53944;\9000-2-19_&#53685;&#49888;&#49884;&#49828;&#53596;%20&#45800;&#50948;&#49884;&#54744;_&#52404;&#53356;&#47532;&#49828;&#53944;.html" TargetMode="External"/><Relationship Id="rId65" Type="http://schemas.openxmlformats.org/officeDocument/2006/relationships/hyperlink" Target="&#47588;&#45684;&#50620;BODY(&#51665;&#54665;&#45800;&#44228;-&#52392;&#48512;&#54260;&#45908;)v8\9.&#53685;&#49888;&#48516;&#50556;\21_&#44277;&#51333;&#48324;%20&#49884;&#54744;\&#49688;&#54665;&#51648;&#52840;\&#44277;&#51333;&#48324;%20&#49884;&#54744;_&#49688;&#54665;&#51648;&#52840;.html" TargetMode="External"/><Relationship Id="rId73" Type="http://schemas.openxmlformats.org/officeDocument/2006/relationships/hyperlink" Target="&#47588;&#45684;&#50620;BODY(&#51665;&#54665;&#45800;&#44228;-&#52392;&#48512;&#54260;&#45908;)v8\9.&#53685;&#49888;&#48516;&#50556;\24_&#50868;&#50689;&#51088;%20&#44368;&#50977;&#49884;&#54665;\&#54364;&#51456;&#49436;\&#50868;&#50689;&#51088;%20&#44368;&#50977;&#49884;&#54665;_&#54364;&#51456;&#49436;.html" TargetMode="External"/><Relationship Id="rId78"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Relationship Id="rId81" Type="http://schemas.openxmlformats.org/officeDocument/2006/relationships/hyperlink" Target="&#47588;&#45684;&#50620;BODY(&#51665;&#54665;&#45800;&#44228;-&#52392;&#48512;&#54260;&#45908;)v8\9.&#53685;&#49888;&#48516;&#50556;\26_&#49884;&#49444;&#47932;%20&#44160;&#51613;&#49884;&#54744;\&#52404;&#53356;&#47532;&#49828;&#53944;\9000-2-26_&#49884;&#49444;&#47932;%20&#44160;&#51613;&#49884;&#54744;_&#52404;&#53356;&#47532;&#49828;&#53944;.html" TargetMode="External"/><Relationship Id="rId86" Type="http://schemas.openxmlformats.org/officeDocument/2006/relationships/hyperlink" Target="&#47588;&#45684;&#50620;BODY(&#51665;&#54665;&#45800;&#44228;-&#52392;&#48512;&#54260;&#45908;)v8\9.&#53685;&#49888;&#48516;&#50556;\28_&#51088;&#44032;&#50857;&#51204;&#44592;&#53685;&#49888;&#49444;&#48708;%20&#49444;&#52824;&#49888;&#44256;\&#49688;&#54665;&#51648;&#52840;\&#51088;&#44032;&#50857;&#51204;&#44592;&#53685;&#49888;&#49444;&#48708;%20&#49444;&#52824;&#49888;&#44256;_&#49688;&#54665;&#51648;&#52840;.html" TargetMode="External"/><Relationship Id="rId94" Type="http://schemas.openxmlformats.org/officeDocument/2006/relationships/hyperlink" Target="&#47588;&#45684;&#50620;BODY(&#51665;&#54665;&#45800;&#44228;-&#52392;&#48512;&#54260;&#45908;)v8\9.&#53685;&#49888;&#48516;&#50556;\30_LTE-R%20&#49345;&#54840;&#50868;&#50857;&#49457;%20&#48143;%20&#48372;&#50504;&#51201;&#54633;&#49457;%20&#44160;&#51613;\&#54364;&#51456;&#49436;\LTE-R%20&#49345;&#54840;&#50868;&#50857;&#49457;%20&#48143;%20&#48372;&#50504;&#51201;&#54633;&#49457;%20&#44160;&#51613;_&#54364;&#51456;&#49436;.html" TargetMode="External"/><Relationship Id="rId4" Type="http://schemas.openxmlformats.org/officeDocument/2006/relationships/hyperlink" Target="&#47588;&#45684;&#50620;BODY(&#51665;&#54665;&#45800;&#44228;-&#52392;&#48512;&#54260;&#45908;)v8\9.&#53685;&#49888;&#48516;&#50556;\2_&#52265;&#49688;&#51204;&#47029;%20KOM\&#54364;&#51456;&#49436;\&#48156;&#51452;&#51204;&#47029;%20KOM_&#54364;&#51456;&#49436;.html" TargetMode="External"/><Relationship Id="rId9" Type="http://schemas.openxmlformats.org/officeDocument/2006/relationships/hyperlink" Target="&#47588;&#45684;&#50620;BODY(&#51665;&#54665;&#45800;&#44228;-&#52392;&#48512;&#54260;&#45908;)v8\9.&#53685;&#49888;&#48516;&#50556;\3_&#53664;&#47785;%20_%20&#44148;&#52629;%20&#51064;&#53552;&#54168;&#51060;&#49828;%20&#54801;&#51032;\&#52404;&#53356;&#47532;&#49828;&#53944;\9000-2-3_&#53664;&#47785;%20_%20&#44148;&#52629;%20&#51064;&#53552;&#54168;&#51060;&#49828;%20&#54801;&#51032;_&#52404;&#53356;&#47532;&#49828;&#53944;.html" TargetMode="External"/><Relationship Id="rId13" Type="http://schemas.openxmlformats.org/officeDocument/2006/relationships/hyperlink" Target="&#47588;&#45684;&#50620;BODY(&#51665;&#54665;&#45800;&#44228;-&#52392;&#48512;&#54260;&#45908;)v8\9.&#53685;&#49888;&#48516;&#50556;\5_&#53685;&#49888;&#49444;&#48708;%20&#51228;&#51089;&#49324;%20&#51064;&#53552;&#54168;&#51060;&#49828;%20&#54801;&#51032;\&#54364;&#51456;&#49436;\&#53685;&#49888;&#49444;&#48708;%20&#51228;&#51089;&#49324;%20&#51064;&#53552;&#54168;&#51060;&#49828;%20&#54801;&#51032;_&#54364;&#51456;&#49436;.html" TargetMode="External"/><Relationship Id="rId18" Type="http://schemas.openxmlformats.org/officeDocument/2006/relationships/hyperlink" Target="&#47588;&#45684;&#50620;BODY(&#51665;&#54665;&#45800;&#44228;-&#52392;&#48512;&#54260;&#45908;)v8\9.&#53685;&#49888;&#48516;&#50556;\6_&#44288;&#51228;%20&#48143;%20&#50868;&#50689;&#49324;%20&#51064;&#53552;&#54168;&#51060;&#49828;%20&#54801;&#51032;\&#52404;&#53356;&#47532;&#49828;&#53944;\9000-2-6_&#44288;&#51228;%20&#48143;%20&#50868;&#50689;&#49324;%20&#51064;&#53552;&#54168;&#51060;&#49828;%20&#54801;&#51032;_&#52404;&#53356;&#47532;&#49828;&#53944;.html" TargetMode="External"/><Relationship Id="rId39" Type="http://schemas.openxmlformats.org/officeDocument/2006/relationships/hyperlink" Target="&#47588;&#45684;&#50620;BODY(&#51665;&#54665;&#45800;&#44228;-&#52392;&#48512;&#54260;&#45908;)v8\9.&#53685;&#49888;&#48516;&#50556;\12_&#51088;&#51116;&#44277;&#44553;&#50896;%20&#44160;&#53664;%20&#48143;%20&#49849;&#51064;\&#52404;&#53356;&#47532;&#49828;&#53944;\9000-2-12_&#51088;&#51116;&#44277;&#44553;&#50896;%20&#44160;&#53664;%20&#48143;%20&#49849;&#51064;_&#52404;&#53356;&#47532;&#49828;&#53944;.html" TargetMode="External"/><Relationship Id="rId34" Type="http://schemas.openxmlformats.org/officeDocument/2006/relationships/hyperlink" Target="&#47588;&#45684;&#50620;BODY(&#51665;&#54665;&#45800;&#44228;-&#52392;&#48512;&#54260;&#45908;)v8\9.&#53685;&#49888;&#48516;&#50556;\11_&#49884;&#44277;%20&#44228;&#54925;%20&#49688;&#47549;%20_%20&#49849;&#51064;\&#54364;&#51456;&#49436;\&#49884;&#44277;%20&#44228;&#54925;%20&#49688;&#47549;%20_%20&#49849;&#51064;_&#54364;&#51456;&#49436;.html" TargetMode="External"/><Relationship Id="rId50" Type="http://schemas.openxmlformats.org/officeDocument/2006/relationships/hyperlink" Target="&#47588;&#45684;&#50620;BODY(&#51665;&#54665;&#45800;&#44228;-&#52392;&#48512;&#54260;&#45908;)v8\9.&#53685;&#49888;&#48516;&#50556;\16_&#51088;&#51116;%20&#48152;&#51077;%20&#48143;%20&#44160;&#49688;\&#49688;&#54665;&#51648;&#52840;\&#51088;&#51116;%20&#48152;&#51077;%20&#48143;%20&#44160;&#49688;_&#49688;&#54665;&#51648;&#52840;.html" TargetMode="External"/><Relationship Id="rId55" Type="http://schemas.openxmlformats.org/officeDocument/2006/relationships/hyperlink" Target="&#47588;&#45684;&#50620;BODY(&#51665;&#54665;&#45800;&#44228;-&#52392;&#48512;&#54260;&#45908;)v8\9.&#53685;&#49888;&#48516;&#50556;\18_&#44288;&#51228;&#49444;&#48708;%20&#49444;&#52824;\&#54364;&#51456;&#49436;\&#44288;&#51228;&#49444;&#48708;%20&#49444;&#52824;_&#54364;&#51456;&#49436;.html" TargetMode="External"/><Relationship Id="rId76" Type="http://schemas.openxmlformats.org/officeDocument/2006/relationships/hyperlink" Target="&#47588;&#45684;&#50620;BODY(&#51665;&#54665;&#45800;&#44228;-&#52392;&#48512;&#54260;&#45908;)v8\9.&#53685;&#49888;&#48516;&#50556;\25_&#49324;&#51204;&#51216;&#44160;\&#54364;&#51456;&#49436;\9000-2-25_&#49324;&#51204;&#51216;&#44160;_&#54364;&#51456;&#49436;.html" TargetMode="External"/><Relationship Id="rId97" Type="http://schemas.openxmlformats.org/officeDocument/2006/relationships/printerSettings" Target="../printerSettings/printerSettings8.bin"/><Relationship Id="rId7" Type="http://schemas.openxmlformats.org/officeDocument/2006/relationships/hyperlink" Target="&#47588;&#45684;&#50620;BODY(&#51665;&#54665;&#45800;&#44228;-&#52392;&#48512;&#54260;&#45908;)v8\9.&#53685;&#49888;&#48516;&#50556;\3_&#53664;&#47785;%20_%20&#44148;&#52629;%20&#51064;&#53552;&#54168;&#51060;&#49828;%20&#54801;&#51032;\&#54364;&#51456;&#49436;\&#53664;&#47785;%20_%20&#44148;&#52629;%20&#51064;&#53552;&#54168;&#51060;&#49828;%20&#54801;&#51032;_&#54364;&#51456;&#49436;.html" TargetMode="External"/><Relationship Id="rId71" Type="http://schemas.openxmlformats.org/officeDocument/2006/relationships/hyperlink" Target="&#47588;&#45684;&#50620;BODY(&#51665;&#54665;&#45800;&#44228;-&#52392;&#48512;&#54260;&#45908;)v8\9.&#53685;&#49888;&#48516;&#50556;\23_&#52264;&#47049;%20&#49884;&#50868;&#51204;\&#49688;&#54665;&#51648;&#52840;\&#52264;&#47049;%20&#49884;&#50868;&#51204;_&#49688;&#54665;&#51648;&#52840;.html" TargetMode="External"/><Relationship Id="rId92" Type="http://schemas.openxmlformats.org/officeDocument/2006/relationships/hyperlink" Target="&#47588;&#45684;&#50620;BODY(&#51665;&#54665;&#45800;&#44228;-&#52392;&#48512;&#54260;&#45908;)v8\9.&#53685;&#49888;&#48516;&#50556;\29_LTE-R%20&#47924;&#49440;&#44397;&#54728;&#44032;\&#49688;&#54665;&#51648;&#52840;\LTE-R%20&#47924;&#49440;&#44397;&#54728;&#44032;_&#49688;&#54665;&#51648;&#52840;.html" TargetMode="External"/><Relationship Id="rId2" Type="http://schemas.openxmlformats.org/officeDocument/2006/relationships/hyperlink" Target="&#47588;&#45684;&#50620;BODY(&#51665;&#54665;&#45800;&#44228;-&#52392;&#48512;&#54260;&#45908;)v8\9.&#53685;&#49888;&#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9.&#53685;&#49888;&#48516;&#50556;\9_&#52265;&#49688;%20&#51204;%20Big%20Room%20&#54924;&#51032;\&#49688;&#54665;&#51648;&#52840;\&#52265;&#49688;%20&#51204;%20Big%20Room%20&#54924;&#51032;_&#49688;&#54665;&#51648;&#52840;.html" TargetMode="External"/><Relationship Id="rId24" Type="http://schemas.openxmlformats.org/officeDocument/2006/relationships/hyperlink" Target="&#47588;&#45684;&#50620;BODY(&#51665;&#54665;&#45800;&#44228;-&#52392;&#48512;&#54260;&#45908;)v8\9.&#53685;&#49888;&#48516;&#50556;\8_&#51088;&#51116;%20_%20&#51064;&#50896;%20_%20&#51109;&#48708;%20&#46321;%20&#53804;&#51077;%20&#49324;&#51204;%20&#44160;&#53664;\&#52404;&#53356;&#47532;&#49828;&#53944;\&#51088;&#51116;%20&#51064;&#47141;%20&#51109;&#48708;%20&#46321;%20&#53804;&#51077;%20&#49324;&#51204;%20&#44160;&#53664;_&#52404;&#53356;&#47532;&#49828;&#53944;.html" TargetMode="External"/><Relationship Id="rId40" Type="http://schemas.openxmlformats.org/officeDocument/2006/relationships/hyperlink" Target="&#47588;&#45684;&#50620;BODY(&#51665;&#54665;&#45800;&#44228;-&#52392;&#48512;&#54260;&#45908;)v8\9.&#53685;&#49888;&#48516;&#50556;\13_&#53685;&#49888;&#49444;&#48708;%20&#44277;&#51221;&#51228;&#51089;%20_%20&#51228;&#51089;&#49324;%20&#44277;&#51109;&#44160;&#49324;\&#54364;&#51456;&#49436;\&#53685;&#49888;&#49444;&#48708;%20&#44277;&#51221;&#51228;&#51089;%20_%20&#51228;&#51089;&#49324;%20&#44277;&#51109;&#44160;&#49324;_&#54364;&#51456;&#49436;.html" TargetMode="External"/><Relationship Id="rId45" Type="http://schemas.openxmlformats.org/officeDocument/2006/relationships/hyperlink" Target="&#47588;&#45684;&#50620;BODY(&#51665;&#54665;&#45800;&#44228;-&#52392;&#48512;&#54260;&#45908;)v8\9.&#53685;&#49888;&#48516;&#50556;\14_&#48376;&#44277;&#49324;%20&#51204;%20&#49440;&#54665;&#44277;&#51221;%20&#51064;&#49688;&#51064;&#44228;%20&#51216;&#44160;\&#52404;&#53356;&#47532;&#49828;&#53944;\9000-2-14_&#48376;&#44277;&#49324;%20&#51204;%20&#49440;&#54665;&#44277;&#51221;%20&#51064;&#49688;&#51064;&#44228;%20&#51216;&#44160;_&#52404;&#53356;&#47532;&#49828;&#53944;.html" TargetMode="External"/><Relationship Id="rId66" Type="http://schemas.openxmlformats.org/officeDocument/2006/relationships/hyperlink" Target="&#47588;&#45684;&#50620;BODY(&#51665;&#54665;&#45800;&#44228;-&#52392;&#48512;&#54260;&#45908;)v8\9.&#53685;&#49888;&#48516;&#50556;\21_&#44277;&#51333;&#48324;%20&#49884;&#54744;\&#52404;&#53356;&#47532;&#49828;&#53944;\9000-2-21_&#44277;&#51333;&#48324;%20&#49884;&#54744;_&#52404;&#53356;&#47532;&#49828;&#53944;.html" TargetMode="External"/><Relationship Id="rId87" Type="http://schemas.openxmlformats.org/officeDocument/2006/relationships/hyperlink" Target="&#47588;&#45684;&#50620;BODY(&#51665;&#54665;&#45800;&#44228;-&#52392;&#48512;&#54260;&#45908;)v8\9.&#53685;&#49888;&#48516;&#50556;\28_&#51088;&#44032;&#50857;&#51204;&#44592;&#53685;&#49888;&#49444;&#48708;%20&#49444;&#52824;&#49888;&#44256;\&#52404;&#53356;&#47532;&#49828;&#53944;\9000-2-28_&#51088;&#44032;&#50857;&#51204;&#44592;&#53685;&#49888;&#49444;&#48708;%20&#49444;&#52824;&#49888;&#44256;_&#52404;&#53356;&#47532;&#49828;&#53944;.html" TargetMode="External"/><Relationship Id="rId61" Type="http://schemas.openxmlformats.org/officeDocument/2006/relationships/hyperlink" Target="&#47588;&#45684;&#50620;BODY(&#51665;&#54665;&#45800;&#44228;-&#52392;&#48512;&#54260;&#45908;)v8\9.&#53685;&#49888;&#48516;&#50556;\20_&#53685;&#49888;&#49884;&#49828;&#53596;%20&#53685;&#54633;&#49884;&#54744;\&#54364;&#51456;&#49436;\&#53685;&#49888;&#49884;&#49828;&#53596;%20&#53685;&#54633;&#49884;&#54744;_&#54364;&#51456;&#49436;.html" TargetMode="External"/><Relationship Id="rId82" Type="http://schemas.openxmlformats.org/officeDocument/2006/relationships/hyperlink" Target="&#47588;&#45684;&#50620;BODY(&#51665;&#54665;&#45800;&#44228;-&#52392;&#48512;&#54260;&#45908;)v8\9.&#53685;&#49888;&#48516;&#50556;\27_&#50689;&#50629;&#49884;&#50868;&#51204;\&#54364;&#51456;&#49436;\9000-2-27_&#50689;&#50629;&#49884;&#50868;&#51204;_&#54364;&#51456;&#49436;.html" TargetMode="External"/><Relationship Id="rId19" Type="http://schemas.openxmlformats.org/officeDocument/2006/relationships/hyperlink" Target="&#47588;&#45684;&#50620;BODY(&#51665;&#54665;&#45800;&#44228;-&#52392;&#48512;&#54260;&#45908;)v8\9.&#53685;&#49888;&#48516;&#50556;\7_&#48156;&#51452;&#52376;%20&#54408;&#51656;%20&#50836;&#44396;&#49324;&#54637;%20&#44160;&#53664;\&#54364;&#51456;&#49436;\&#48156;&#51452;&#52376;%20&#54408;&#51656;%20&#50836;&#44396;&#49324;&#54637;%20&#44160;&#53664;_&#54364;&#51456;&#49436;.html" TargetMode="External"/><Relationship Id="rId14" Type="http://schemas.openxmlformats.org/officeDocument/2006/relationships/hyperlink" Target="&#47588;&#45684;&#50620;BODY(&#51665;&#54665;&#45800;&#44228;-&#52392;&#48512;&#54260;&#45908;)v8\9.&#53685;&#49888;&#48516;&#50556;\5_&#53685;&#49888;&#49444;&#48708;%20&#51228;&#51089;&#49324;%20&#51064;&#53552;&#54168;&#51060;&#49828;%20&#54801;&#51032;\&#49688;&#54665;&#51648;&#52840;\&#53685;&#49888;&#49444;&#48708;%20&#51228;&#51089;&#49324;%20&#51064;&#53552;&#54168;&#51060;&#49828;%20&#54801;&#51032;_&#49688;&#54665;&#51648;&#52840;.html" TargetMode="External"/><Relationship Id="rId30" Type="http://schemas.openxmlformats.org/officeDocument/2006/relationships/hyperlink" Target="&#47588;&#45684;&#50620;BODY(&#51665;&#54665;&#45800;&#44228;-&#52392;&#48512;&#54260;&#45908;)v8\9.&#53685;&#49888;&#48516;&#50556;\9_&#52265;&#49688;%20&#51204;%20Big%20Room%20&#54924;&#51032;\&#52404;&#53356;&#47532;&#49828;&#53944;\9000-2-9_&#52265;&#49688;%20&#51204;%20Big%20Room%20&#54924;&#51032;_&#52404;&#53356;&#47532;&#49828;&#53944;.html" TargetMode="External"/><Relationship Id="rId35" Type="http://schemas.openxmlformats.org/officeDocument/2006/relationships/hyperlink" Target="&#47588;&#45684;&#50620;BODY(&#51665;&#54665;&#45800;&#44228;-&#52392;&#48512;&#54260;&#45908;)v8\9.&#53685;&#49888;&#48516;&#50556;\11_&#49884;&#44277;%20&#44228;&#54925;%20&#49688;&#47549;%20_%20&#49849;&#51064;\&#49688;&#54665;&#51648;&#52840;\&#49884;&#44277;%20&#44228;&#54925;%20&#49688;&#47549;%20_%20&#49849;&#51064;_&#49688;&#54665;&#51648;&#52840;.html" TargetMode="External"/><Relationship Id="rId56" Type="http://schemas.openxmlformats.org/officeDocument/2006/relationships/hyperlink" Target="&#47588;&#45684;&#50620;BODY(&#51665;&#54665;&#45800;&#44228;-&#52392;&#48512;&#54260;&#45908;)v8\9.&#53685;&#49888;&#48516;&#50556;\18_&#44288;&#51228;&#49444;&#48708;%20&#49444;&#52824;\&#49688;&#54665;&#51648;&#52840;\&#44288;&#51228;&#49444;&#48708;%20&#49444;&#52824;_&#49688;&#54665;&#51648;&#52840;.html" TargetMode="External"/><Relationship Id="rId77" Type="http://schemas.openxmlformats.org/officeDocument/2006/relationships/hyperlink" Target="&#47588;&#45684;&#50620;BODY(&#51665;&#54665;&#45800;&#44228;-&#52392;&#48512;&#54260;&#45908;)v8\9.&#53685;&#49888;&#48516;&#50556;\25_&#49324;&#51204;&#51216;&#44160;\&#49688;&#54665;&#51648;&#52840;\9000-2-25_&#49324;&#51204;&#51216;&#44160;_&#49688;&#54665;&#51648;&#52840;.html" TargetMode="External"/><Relationship Id="rId8" Type="http://schemas.openxmlformats.org/officeDocument/2006/relationships/hyperlink" Target="&#47588;&#45684;&#50620;BODY(&#51665;&#54665;&#45800;&#44228;-&#52392;&#48512;&#54260;&#45908;)v8\9.&#53685;&#49888;&#48516;&#50556;\3_&#53664;&#47785;%20_%20&#44148;&#52629;%20&#51064;&#53552;&#54168;&#51060;&#49828;%20&#54801;&#51032;\&#49688;&#54665;&#51648;&#52840;\&#53664;&#47785;%20_%20&#44148;&#52629;%20&#51064;&#53552;&#54168;&#51060;&#49828;%20&#54801;&#51032;_&#49688;&#54665;&#51648;&#52840;.html" TargetMode="External"/><Relationship Id="rId51" Type="http://schemas.openxmlformats.org/officeDocument/2006/relationships/hyperlink" Target="&#47588;&#45684;&#50620;BODY(&#51665;&#54665;&#45800;&#44228;-&#52392;&#48512;&#54260;&#45908;)v8\9.&#53685;&#49888;&#48516;&#50556;\16_&#51088;&#51116;%20&#48152;&#51077;%20&#48143;%20&#44160;&#49688;\&#52404;&#53356;&#47532;&#49828;&#53944;\9000-2-16_&#51088;&#51116;%20&#48152;&#51077;%20&#48143;%20&#44160;&#49688;_&#52404;&#53356;&#47532;&#49828;&#53944;.html" TargetMode="External"/><Relationship Id="rId72" Type="http://schemas.openxmlformats.org/officeDocument/2006/relationships/hyperlink" Target="&#47588;&#45684;&#50620;BODY(&#51665;&#54665;&#45800;&#44228;-&#52392;&#48512;&#54260;&#45908;)v8\9.&#53685;&#49888;&#48516;&#50556;\23_&#52264;&#47049;%20&#49884;&#50868;&#51204;\&#52404;&#53356;&#47532;&#49828;&#53944;\9000-2-23_&#52264;&#47049;%20&#49884;&#50868;&#51204;_&#52404;&#53356;&#47532;&#49828;&#53944;.html" TargetMode="External"/><Relationship Id="rId93" Type="http://schemas.openxmlformats.org/officeDocument/2006/relationships/hyperlink" Target="&#47588;&#45684;&#50620;BODY(&#51665;&#54665;&#45800;&#44228;-&#52392;&#48512;&#54260;&#45908;)v8\9.&#53685;&#49888;&#48516;&#50556;\29_LTE-R%20&#47924;&#49440;&#44397;&#54728;&#44032;\&#52404;&#53356;&#47532;&#49828;&#53944;\9000-2-29_LTE-R%20&#47924;&#49440;&#44397;&#54728;&#44032;_&#52404;&#53356;&#47532;&#49828;&#53944;.html"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8.&#51204;&#44592;&#48516;&#50556;\9_&#51064;&#54728;&#44032;%20&#51456;&#48708;\&#49688;&#54665;&#51648;&#52840;\&#51064;&#54728;&#44032;%20&#51456;&#48708;_&#49688;&#54665;&#51648;&#52840;.html" TargetMode="External"/><Relationship Id="rId21" Type="http://schemas.openxmlformats.org/officeDocument/2006/relationships/hyperlink" Target="&#47588;&#45684;&#50620;BODY(&#51665;&#54665;&#45800;&#44228;-&#52392;&#48512;&#54260;&#45908;)v8\8.&#51204;&#44592;&#48516;&#50556;\7_&#48156;&#51452;&#52376;%20&#54408;&#51656;%20&#50836;&#44396;&#49324;&#54637;%20&#44160;&#53664;\&#52404;&#53356;&#47532;&#49828;&#53944;\&#48156;&#51452;&#52376;%20&#54408;&#51656;%20&#50836;&#44396;&#49324;&#54637;%20&#44160;&#53664;_&#52404;&#53356;&#47532;&#49828;&#53944;.html" TargetMode="External"/><Relationship Id="rId42" Type="http://schemas.openxmlformats.org/officeDocument/2006/relationships/hyperlink" Target="&#47588;&#45684;&#50620;BODY(&#51665;&#54665;&#45800;&#44228;-&#52392;&#48512;&#54260;&#45908;)v8\8.&#51204;&#44592;&#48516;&#50556;\14_&#51204;&#44592;&#49444;&#48708;%20&#44277;&#51221;&#51228;&#51089;%20_%20&#51228;&#51089;&#49324;%20&#44277;&#51109;&#44160;&#49324;\&#52404;&#53356;&#47532;&#49828;&#53944;\&#51204;&#44592;&#49444;&#48708;%20&#44277;&#51221;&#51228;&#51089;%20_%20&#51228;&#51089;&#49324;%20&#44277;&#51109;&#44160;&#49324;_&#52404;&#53356;&#47532;&#49828;&#53944;.html" TargetMode="External"/><Relationship Id="rId47" Type="http://schemas.openxmlformats.org/officeDocument/2006/relationships/hyperlink" Target="&#47588;&#45684;&#50620;BODY(&#51665;&#54665;&#45800;&#44228;-&#52392;&#48512;&#54260;&#45908;)v8\8.&#51204;&#44592;&#48516;&#50556;\16_&#51109;&#48708;&#48152;&#51077;%20&#48143;%20&#50504;&#51204;&#44368;&#50977;\&#49688;&#54665;&#51648;&#52840;\&#51109;&#48708;&#48152;&#51077;%20&#48143;%20&#50504;&#51204;&#44368;&#50977;_&#49688;&#54665;&#51648;&#52840;.html" TargetMode="External"/><Relationship Id="rId63" Type="http://schemas.openxmlformats.org/officeDocument/2006/relationships/hyperlink" Target="&#47588;&#45684;&#50620;BODY(&#51665;&#54665;&#45800;&#44228;-&#52392;&#48512;&#54260;&#45908;)v8\8.&#51204;&#44592;&#48516;&#50556;\21_&#51333;&#54633;&#50672;&#46041;&#49884;&#54744;(SCADA)%20&#49892;&#49884;\&#52404;&#53356;&#47532;&#49828;&#53944;\&#51333;&#54633;&#50672;&#46041;&#49884;&#54744;(SCADA)%20&#49892;&#49884;_&#52404;&#53356;&#47532;&#49828;&#53944;.html" TargetMode="External"/><Relationship Id="rId68" Type="http://schemas.openxmlformats.org/officeDocument/2006/relationships/hyperlink" Target="&#47588;&#45684;&#50620;BODY(&#51665;&#54665;&#45800;&#44228;-&#52392;&#48512;&#54260;&#45908;)v8\8.&#51204;&#44592;&#48516;&#50556;\23_&#52264;&#47049;%20&#53804;&#51077;%20&#51204;%20&#51216;&#44160;\&#49688;&#54665;&#51648;&#52840;\&#52264;&#47049;%20&#53804;&#51077;%20&#51204;%20&#51216;&#44160;_&#49688;&#54665;&#51648;&#52840;.html" TargetMode="External"/><Relationship Id="rId84"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Relationship Id="rId89"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Relationship Id="rId16" Type="http://schemas.openxmlformats.org/officeDocument/2006/relationships/hyperlink" Target="&#47588;&#45684;&#50620;BODY(&#51665;&#54665;&#45800;&#44228;-&#52392;&#48512;&#54260;&#45908;)v8\8.&#51204;&#44592;&#48516;&#50556;\6_&#44288;&#51228;%20&#48143;%20&#50868;&#50689;&#49324;%20&#51064;&#53552;&#54168;&#51060;&#49828;%20&#54801;&#51032;\&#54364;&#51456;&#49436;\&#44288;&#51228;%20&#48143;%20&#50868;&#50689;&#49324;%20&#51064;&#53552;&#54168;&#51060;&#49828;%20&#54801;&#51032;_&#54364;&#51456;&#49436;.html" TargetMode="External"/><Relationship Id="rId11" Type="http://schemas.openxmlformats.org/officeDocument/2006/relationships/hyperlink" Target="&#47588;&#45684;&#50620;BODY(&#51665;&#54665;&#45800;&#44228;-&#52392;&#48512;&#54260;&#45908;)v8\8.&#51204;&#44592;&#48516;&#50556;\4_&#49888;&#54840;%20_%20&#53685;&#49888;%20_%20&#44592;&#44228;%20_%20PSD%20_%20&#52264;&#47049;%20&#51064;&#53552;&#54168;&#51060;&#49828;%20&#54801;&#51032;\&#49688;&#54665;&#51648;&#52840;\&#49888;&#54840;%20_%20&#53685;&#49888;%20_%20&#44592;&#44228;%20_%20PSD%20_%20&#52264;&#47049;%20&#51064;&#53552;&#54168;&#51060;&#49828;%20&#54801;&#51032;_&#49688;&#54665;&#51648;&#52840;.html" TargetMode="External"/><Relationship Id="rId32"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37" Type="http://schemas.openxmlformats.org/officeDocument/2006/relationships/hyperlink" Target="&#47588;&#45684;&#50620;BODY(&#51665;&#54665;&#45800;&#44228;-&#52392;&#48512;&#54260;&#45908;)v8\8.&#51204;&#44592;&#48516;&#50556;\13_&#51088;&#51116;&#44277;&#44553;&#50896;_&#44592;&#51088;&#51116;%20&#51228;&#51089;&#46020;&#49436;%20&#49849;&#51064;\&#54364;&#51456;&#49436;\&#51088;&#51116;&#44277;&#44553;&#50896;_&#44592;&#51088;&#51116;%20&#51228;&#51089;&#46020;&#49436;%20&#49849;&#51064;_&#54364;&#51456;&#49436;.html" TargetMode="External"/><Relationship Id="rId53" Type="http://schemas.openxmlformats.org/officeDocument/2006/relationships/hyperlink" Target="&#47588;&#45684;&#50620;BODY(&#51665;&#54665;&#45800;&#44228;-&#52392;&#48512;&#54260;&#45908;)v8\8.&#51204;&#44592;&#48516;&#50556;\18_&#51204;&#52384;&#51204;&#47141;&#49444;&#48708;%20&#48152;&#51077;%20&#48143;%20&#49444;&#52824;\&#49688;&#54665;&#51648;&#52840;\&#51204;&#52384;&#51204;&#47141;&#49444;&#48708;%20&#48152;&#51077;%20&#48143;%20&#49444;&#52824;_&#49688;&#54665;&#51648;&#52840;.html" TargetMode="External"/><Relationship Id="rId58" Type="http://schemas.openxmlformats.org/officeDocument/2006/relationships/hyperlink" Target="&#47588;&#45684;&#50620;BODY(&#51665;&#54665;&#45800;&#44228;-&#52392;&#48512;&#54260;&#45908;)v8\8.&#51204;&#44592;&#48516;&#50556;\20_&#49688;&#51204;%20&#48143;%20&#51204;&#44592;&#44277;&#44553;(&#44553;&#51204;)\&#54364;&#51456;&#49436;\&#49688;&#51204;%20&#48143;%20&#51204;&#44592;&#44277;&#44553;(&#44553;&#51204;)_&#54364;&#51456;&#49436;.html" TargetMode="External"/><Relationship Id="rId74" Type="http://schemas.openxmlformats.org/officeDocument/2006/relationships/hyperlink" Target="&#47588;&#45684;&#50620;BODY(&#51665;&#54665;&#45800;&#44228;-&#52392;&#48512;&#54260;&#45908;)v8\8.&#51204;&#44592;&#48516;&#50556;\25_&#50868;&#50689;&#51088;%20&#44368;&#50977;&#49884;&#54665;\&#49688;&#54665;&#51648;&#52840;\&#50868;&#50689;&#51088;%20&#44368;&#50977;&#49884;&#54665;_&#49688;&#54665;&#51648;&#52840;.html" TargetMode="External"/><Relationship Id="rId79" Type="http://schemas.openxmlformats.org/officeDocument/2006/relationships/hyperlink" Target="&#47588;&#45684;&#50620;BODY(&#51665;&#54665;&#45800;&#44228;-&#52392;&#48512;&#54260;&#45908;)v8\8.&#51204;&#44592;&#48516;&#50556;\27_&#49884;&#49444;&#47932;%20&#44160;&#51613;&#49884;&#54744;\&#54364;&#51456;&#49436;\&#49884;&#49444;&#47932;%20&#44160;&#51613;&#49884;&#54744;_&#54364;&#51456;&#49436;.html" TargetMode="External"/><Relationship Id="rId5" Type="http://schemas.openxmlformats.org/officeDocument/2006/relationships/hyperlink" Target="&#47588;&#45684;&#50620;BODY(&#51665;&#54665;&#45800;&#44228;-&#52392;&#48512;&#54260;&#45908;)v8\8.&#51204;&#44592;&#48516;&#50556;\2_&#48156;&#51452;&#51204;&#47029;%20KOM\&#49688;&#54665;&#51648;&#52840;\&#48156;&#51452;&#51204;&#47029;%20KOM_&#49688;&#54665;&#51648;&#52840;.html" TargetMode="External"/><Relationship Id="rId90"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Relationship Id="rId95" Type="http://schemas.openxmlformats.org/officeDocument/2006/relationships/hyperlink" Target="&#47588;&#45684;&#50620;BODY(&#51665;&#54665;&#45800;&#44228;-&#52392;&#48512;&#54260;&#45908;)v8\8.&#51204;&#44592;&#48516;&#50556;\32_&#51204;&#44592;%20&#49324;&#50857;&#51204;&#44160;&#49324;%20(&#51204;&#47141;_&#51204;&#52264;&#49440;_&#49569;&#48320;&#51204;)\&#49688;&#54665;&#51648;&#52840;\&#51204;&#44592;%20&#49324;&#50857;&#51204;&#44160;&#49324;%20(&#51204;&#47141;_&#51204;&#52264;&#49440;_&#49569;&#48320;&#51204;)_&#49688;&#54665;&#51648;&#52840;.html" TargetMode="External"/><Relationship Id="rId22" Type="http://schemas.openxmlformats.org/officeDocument/2006/relationships/hyperlink" Target="&#47588;&#45684;&#50620;BODY(&#51665;&#54665;&#45800;&#44228;-&#52392;&#48512;&#54260;&#45908;)v8\8.&#51204;&#44592;&#48516;&#50556;\8_&#51088;&#51116;%20_%20&#51064;&#50896;%20_%20&#51109;&#48708;%20&#46321;%20&#53804;&#51077;%20&#49324;&#51204;%20&#44160;&#53664;\&#54364;&#51456;&#49436;\&#51088;&#51116;%20_%20&#51064;&#50896;%20_%20&#51109;&#48708;%20&#46321;%20&#53804;&#51077;%20&#49324;&#51204;%20&#44160;&#53664;_&#54364;&#51456;&#49436;.html" TargetMode="External"/><Relationship Id="rId27" Type="http://schemas.openxmlformats.org/officeDocument/2006/relationships/hyperlink" Target="&#47588;&#45684;&#50620;BODY(&#51665;&#54665;&#45800;&#44228;-&#52392;&#48512;&#54260;&#45908;)v8\8.&#51204;&#44592;&#48516;&#50556;\9_&#51064;&#54728;&#44032;%20&#51456;&#48708;\&#52404;&#53356;&#47532;&#49828;&#53944;\&#51064;&#54728;&#44032;%20&#51456;&#48708;_&#52404;&#53356;&#47532;&#49828;&#53944;.html" TargetMode="External"/><Relationship Id="rId43" Type="http://schemas.openxmlformats.org/officeDocument/2006/relationships/hyperlink" Target="&#47588;&#45684;&#50620;BODY(&#51665;&#54665;&#45800;&#44228;-&#52392;&#48512;&#54260;&#45908;)v8\8.&#51204;&#44592;&#48516;&#50556;\15_&#48376;&#44277;&#49324;%20&#51204;%20&#49440;&#54665;&#44277;&#51221;%20&#51064;&#49688;&#51064;&#44228;%20&#51216;&#44160;\&#54364;&#51456;&#49436;\&#48376;&#44277;&#49324;%20&#51204;%20&#49440;&#54665;&#44277;&#51221;%20&#51064;&#49688;&#51064;&#44228;%20&#51216;&#44160;_&#54364;&#51456;&#49436;.html" TargetMode="External"/><Relationship Id="rId48" Type="http://schemas.openxmlformats.org/officeDocument/2006/relationships/hyperlink" Target="&#47588;&#45684;&#50620;BODY(&#51665;&#54665;&#45800;&#44228;-&#52392;&#48512;&#54260;&#45908;)v8\8.&#51204;&#44592;&#48516;&#50556;\16_&#51109;&#48708;&#48152;&#51077;%20&#48143;%20&#50504;&#51204;&#44368;&#50977;\&#52404;&#53356;&#47532;&#49828;&#53944;\&#51109;&#48708;&#48152;&#51077;%20&#48143;%20&#50504;&#51204;&#44368;&#50977;_&#52404;&#53356;&#47532;&#49828;&#53944;.html" TargetMode="External"/><Relationship Id="rId64" Type="http://schemas.openxmlformats.org/officeDocument/2006/relationships/hyperlink" Target="&#47588;&#45684;&#50620;BODY(&#51665;&#54665;&#45800;&#44228;-&#52392;&#48512;&#54260;&#45908;)v8\8.&#51204;&#44592;&#48516;&#50556;\22_&#44277;&#51333;&#48324;%20&#49884;&#54744;\&#54364;&#51456;&#49436;\&#44277;&#51333;&#48324;%20&#49884;&#54744;_&#54364;&#51456;&#49436;.html" TargetMode="External"/><Relationship Id="rId69" Type="http://schemas.openxmlformats.org/officeDocument/2006/relationships/hyperlink" Target="&#47588;&#45684;&#50620;BODY(&#51665;&#54665;&#45800;&#44228;-&#52392;&#48512;&#54260;&#45908;)v8\8.&#51204;&#44592;&#48516;&#50556;\23_&#52264;&#47049;%20&#53804;&#51077;%20&#51204;%20&#51216;&#44160;\&#52404;&#53356;&#47532;&#49828;&#53944;\&#52264;&#47049;%20&#53804;&#51077;%20&#51204;%20&#51216;&#44160;_&#52404;&#53356;&#47532;&#49828;&#53944;.html" TargetMode="External"/><Relationship Id="rId80" Type="http://schemas.openxmlformats.org/officeDocument/2006/relationships/hyperlink" Target="&#47588;&#45684;&#50620;BODY(&#51665;&#54665;&#45800;&#44228;-&#52392;&#48512;&#54260;&#45908;)v8\8.&#51204;&#44592;&#48516;&#50556;\27_&#49884;&#49444;&#47932;%20&#44160;&#51613;&#49884;&#54744;\&#49688;&#54665;&#51648;&#52840;\&#49884;&#49444;&#47932;%20&#44160;&#51613;&#49884;&#54744;_&#49688;&#54665;&#51648;&#52840;.html" TargetMode="External"/><Relationship Id="rId85"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 Id="rId3" Type="http://schemas.openxmlformats.org/officeDocument/2006/relationships/hyperlink" Target="&#47588;&#45684;&#50620;BODY(&#51665;&#54665;&#45800;&#44228;-&#52392;&#48512;&#54260;&#45908;)v8\8.&#51204;&#44592;&#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8.&#51204;&#44592;&#48516;&#50556;\4_&#49888;&#54840;%20_%20&#53685;&#49888;%20_%20&#44592;&#44228;%20_%20PSD%20_%20&#52264;&#47049;%20&#51064;&#53552;&#54168;&#51060;&#49828;%20&#54801;&#51032;\&#52404;&#53356;&#47532;&#49828;&#53944;\&#49888;&#54840;%20_%20&#53685;&#49888;%20_%20&#44592;&#44228;%20_%20PSD%20_%20&#52264;&#47049;%20&#51064;&#53552;&#54168;&#51060;&#49828;%20&#54801;&#51032;_&#52404;&#53356;&#47532;&#49828;&#53944;.html" TargetMode="External"/><Relationship Id="rId17" Type="http://schemas.openxmlformats.org/officeDocument/2006/relationships/hyperlink" Target="&#47588;&#45684;&#50620;BODY(&#51665;&#54665;&#45800;&#44228;-&#52392;&#48512;&#54260;&#45908;)v8\8.&#51204;&#44592;&#48516;&#50556;\6_&#44288;&#51228;%20&#48143;%20&#50868;&#50689;&#49324;%20&#51064;&#53552;&#54168;&#51060;&#49828;%20&#54801;&#51032;\&#49688;&#54665;&#51648;&#52840;\&#44288;&#51228;%20&#48143;%20&#50868;&#50689;&#49324;%20&#51064;&#53552;&#54168;&#51060;&#49828;%20&#54801;&#51032;_&#49688;&#54665;&#51648;&#52840;.html" TargetMode="External"/><Relationship Id="rId25" Type="http://schemas.openxmlformats.org/officeDocument/2006/relationships/hyperlink" Target="&#47588;&#45684;&#50620;BODY(&#51665;&#54665;&#45800;&#44228;-&#52392;&#48512;&#54260;&#45908;)v8\8.&#51204;&#44592;&#48516;&#50556;\9_&#51064;&#54728;&#44032;%20&#51456;&#48708;\&#54364;&#51456;&#49436;\&#51064;&#54728;&#44032;%20&#51456;&#48708;_&#54364;&#51456;&#49436;.html" TargetMode="External"/><Relationship Id="rId33"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38" Type="http://schemas.openxmlformats.org/officeDocument/2006/relationships/hyperlink" Target="&#47588;&#45684;&#50620;BODY(&#51665;&#54665;&#45800;&#44228;-&#52392;&#48512;&#54260;&#45908;)v8\8.&#51204;&#44592;&#48516;&#50556;\13_&#51088;&#51116;&#44277;&#44553;&#50896;_&#44592;&#51088;&#51116;%20&#51228;&#51089;&#46020;&#49436;%20&#49849;&#51064;\&#49688;&#54665;&#51648;&#52840;\&#51088;&#51116;&#44277;&#44553;&#50896;_&#44592;&#51088;&#51116;%20&#51228;&#51089;&#46020;&#49436;%20&#49849;&#51064;_&#49688;&#54665;&#51648;&#52840;.html" TargetMode="External"/><Relationship Id="rId46" Type="http://schemas.openxmlformats.org/officeDocument/2006/relationships/hyperlink" Target="&#47588;&#45684;&#50620;BODY(&#51665;&#54665;&#45800;&#44228;-&#52392;&#48512;&#54260;&#45908;)v8\8.&#51204;&#44592;&#48516;&#50556;\16_&#51109;&#48708;&#48152;&#51077;%20&#48143;%20&#50504;&#51204;&#44368;&#50977;\&#54364;&#51456;&#49436;\&#51109;&#48708;&#48152;&#51077;%20&#48143;%20&#50504;&#51204;&#44368;&#50977;_&#54364;&#51456;&#49436;.html" TargetMode="External"/><Relationship Id="rId59" Type="http://schemas.openxmlformats.org/officeDocument/2006/relationships/hyperlink" Target="&#47588;&#45684;&#50620;BODY(&#51665;&#54665;&#45800;&#44228;-&#52392;&#48512;&#54260;&#45908;)v8\8.&#51204;&#44592;&#48516;&#50556;\20_&#49688;&#51204;%20&#48143;%20&#51204;&#44592;&#44277;&#44553;(&#44553;&#51204;)\&#49688;&#54665;&#51648;&#52840;\&#49688;&#51204;%20&#48143;%20&#51204;&#44592;&#44277;&#44553;(&#44553;&#51204;)_&#49688;&#54665;&#51648;&#52840;.html" TargetMode="External"/><Relationship Id="rId67" Type="http://schemas.openxmlformats.org/officeDocument/2006/relationships/hyperlink" Target="&#47588;&#45684;&#50620;BODY(&#51665;&#54665;&#45800;&#44228;-&#52392;&#48512;&#54260;&#45908;)v8\8.&#51204;&#44592;&#48516;&#50556;\23_&#52264;&#47049;%20&#53804;&#51077;%20&#51204;%20&#51216;&#44160;\&#54364;&#51456;&#49436;\&#52264;&#47049;%20&#53804;&#51077;%20&#51204;%20&#51216;&#44160;_&#54364;&#51456;&#49436;.html" TargetMode="External"/><Relationship Id="rId20" Type="http://schemas.openxmlformats.org/officeDocument/2006/relationships/hyperlink" Target="&#47588;&#45684;&#50620;BODY(&#51665;&#54665;&#45800;&#44228;-&#52392;&#48512;&#54260;&#45908;)v8\8.&#51204;&#44592;&#48516;&#50556;\7_&#48156;&#51452;&#52376;%20&#54408;&#51656;%20&#50836;&#44396;&#49324;&#54637;%20&#44160;&#53664;\&#49688;&#54665;&#51648;&#52840;\&#48156;&#51452;&#52376;%20&#54408;&#51656;%20&#50836;&#44396;&#49324;&#54637;%20&#44160;&#53664;_&#49688;&#54665;&#51648;&#52840;.html" TargetMode="External"/><Relationship Id="rId41" Type="http://schemas.openxmlformats.org/officeDocument/2006/relationships/hyperlink" Target="&#47588;&#45684;&#50620;BODY(&#51665;&#54665;&#45800;&#44228;-&#52392;&#48512;&#54260;&#45908;)v8\8.&#51204;&#44592;&#48516;&#50556;\14_&#51204;&#44592;&#49444;&#48708;%20&#44277;&#51221;&#51228;&#51089;%20_%20&#51228;&#51089;&#49324;%20&#44277;&#51109;&#44160;&#49324;\&#49688;&#54665;&#51648;&#52840;\&#51204;&#44592;&#49444;&#48708;%20&#44277;&#51221;&#51228;&#51089;%20_%20&#51228;&#51089;&#49324;%20&#44277;&#51109;&#44160;&#49324;_&#49688;&#54665;&#51648;&#52840;.html" TargetMode="External"/><Relationship Id="rId54" Type="http://schemas.openxmlformats.org/officeDocument/2006/relationships/hyperlink" Target="&#47588;&#45684;&#50620;BODY(&#51665;&#54665;&#45800;&#44228;-&#52392;&#48512;&#54260;&#45908;)v8\8.&#51204;&#44592;&#48516;&#50556;\18_&#51204;&#52384;&#51204;&#47141;&#49444;&#48708;%20&#48152;&#51077;%20&#48143;%20&#49444;&#52824;\&#52404;&#53356;&#47532;&#49828;&#53944;\&#51204;&#52384;&#51204;&#47141;&#49444;&#48708;%20&#48152;&#51077;%20&#48143;%20&#49444;&#52824;_&#52404;&#53356;&#47532;&#49828;&#53944;.html" TargetMode="External"/><Relationship Id="rId62" Type="http://schemas.openxmlformats.org/officeDocument/2006/relationships/hyperlink" Target="&#47588;&#45684;&#50620;BODY(&#51665;&#54665;&#45800;&#44228;-&#52392;&#48512;&#54260;&#45908;)v8\8.&#51204;&#44592;&#48516;&#50556;\21_&#51333;&#54633;&#50672;&#46041;&#49884;&#54744;(SCADA)%20&#49892;&#49884;\&#49688;&#54665;&#51648;&#52840;\&#51333;&#54633;&#50672;&#46041;&#49884;&#54744;(SCADA)%20&#49892;&#49884;_&#49688;&#54665;&#51648;&#52840;.html" TargetMode="External"/><Relationship Id="rId70" Type="http://schemas.openxmlformats.org/officeDocument/2006/relationships/hyperlink" Target="&#47588;&#45684;&#50620;BODY(&#51665;&#54665;&#45800;&#44228;-&#52392;&#48512;&#54260;&#45908;)v8\8.&#51204;&#44592;&#48516;&#50556;\24_&#52264;&#47049;%20&#49884;&#50868;&#51204;\&#54364;&#51456;&#49436;\&#52264;&#47049;%20&#49884;&#50868;&#51204;_&#54364;&#51456;&#49436;.html" TargetMode="External"/><Relationship Id="rId75" Type="http://schemas.openxmlformats.org/officeDocument/2006/relationships/hyperlink" Target="&#47588;&#45684;&#50620;BODY(&#51665;&#54665;&#45800;&#44228;-&#52392;&#48512;&#54260;&#45908;)v8\8.&#51204;&#44592;&#48516;&#50556;\25_&#50868;&#50689;&#51088;%20&#44368;&#50977;&#49884;&#54665;\&#52404;&#53356;&#47532;&#49828;&#53944;\&#50868;&#50689;&#51088;%20&#44368;&#50977;&#49884;&#54665;_&#52404;&#53356;&#47532;&#49828;&#53944;.html" TargetMode="External"/><Relationship Id="rId83" Type="http://schemas.openxmlformats.org/officeDocument/2006/relationships/hyperlink" Target="&#47588;&#45684;&#50620;BODY(&#51665;&#54665;&#45800;&#44228;-&#52392;&#48512;&#54260;&#45908;)v8\8.&#51204;&#44592;&#48516;&#50556;\28_&#50689;&#50629;&#49884;&#50868;&#51204;\&#49688;&#54665;&#51648;&#52840;\&#50689;&#50629;&#49884;&#50868;&#51204;_&#49688;&#54665;&#51648;&#52840;.html" TargetMode="External"/><Relationship Id="rId88" Type="http://schemas.openxmlformats.org/officeDocument/2006/relationships/hyperlink" Target="&#47588;&#45684;&#50620;BODY(&#51665;&#54665;&#45800;&#44228;-&#52392;&#48512;&#54260;&#45908;)v8\8.&#51204;&#44592;&#48516;&#50556;\30_&#44277;&#49324;&#44228;&#54925;&#49888;&#44256;\&#54364;&#51456;&#49436;\&#44277;&#49324;&#44228;&#54925;&#49888;&#44256;_&#54364;&#51456;&#49436;.html" TargetMode="External"/><Relationship Id="rId91" Type="http://schemas.openxmlformats.org/officeDocument/2006/relationships/hyperlink" Target="&#47588;&#45684;&#50620;BODY(&#51665;&#54665;&#45800;&#44228;-&#52392;&#48512;&#54260;&#45908;)v8\8.&#51204;&#44592;&#48516;&#50556;\31_&#51204;&#52264;&#49440;&#47196;%20&#51201;&#54633;&#49457;%20&#44160;&#51613;\&#54364;&#51456;&#49436;\&#51204;&#52264;&#49440;&#47196;%20&#51201;&#54633;&#49457;%20&#44160;&#51613;_&#54364;&#51456;&#49436;.html" TargetMode="External"/><Relationship Id="rId96" Type="http://schemas.openxmlformats.org/officeDocument/2006/relationships/hyperlink" Target="&#47588;&#45684;&#50620;BODY(&#51665;&#54665;&#45800;&#44228;-&#52392;&#48512;&#54260;&#45908;)v8\8.&#51204;&#44592;&#48516;&#50556;\32_&#51204;&#44592;%20&#49324;&#50857;&#51204;&#44160;&#49324;%20(&#51204;&#47141;_&#51204;&#52264;&#49440;_&#49569;&#48320;&#51204;)\&#52404;&#53356;&#47532;&#49828;&#53944;\&#51204;&#44592;%20&#49324;&#50857;&#51204;&#44160;&#49324;%20(&#51204;&#47141;_&#51204;&#52264;&#49440;_&#49569;&#48320;&#51204;)_&#52404;&#53356;&#47532;&#49828;&#53944;.html" TargetMode="External"/><Relationship Id="rId1" Type="http://schemas.openxmlformats.org/officeDocument/2006/relationships/hyperlink" Target="&#47588;&#45684;&#50620;BODY(&#51665;&#54665;&#45800;&#44228;-&#52392;&#48512;&#54260;&#45908;)v8\8.&#51204;&#44592;&#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8.&#51204;&#44592;&#48516;&#50556;\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8.&#51204;&#44592;&#48516;&#50556;\5_&#51204;&#44592;&#49444;&#48708;%20&#51228;&#51089;&#49324;%20&#51064;&#53552;&#54168;&#51060;&#49828;%20&#54801;&#51032;\&#52404;&#53356;&#47532;&#49828;&#53944;\&#51204;&#44592;&#49444;&#48708;%20&#51228;&#51089;&#49324;%20&#51064;&#53552;&#54168;&#51060;&#49828;%20&#54801;&#51032;_&#52404;&#53356;&#47532;&#49828;&#53944;.html" TargetMode="External"/><Relationship Id="rId23" Type="http://schemas.openxmlformats.org/officeDocument/2006/relationships/hyperlink" Target="&#47588;&#45684;&#50620;BODY(&#51665;&#54665;&#45800;&#44228;-&#52392;&#48512;&#54260;&#45908;)v8\8.&#51204;&#44592;&#48516;&#50556;\8_&#51088;&#51116;%20_%20&#51064;&#50896;%20_%20&#51109;&#48708;%20&#46321;%20&#53804;&#51077;%20&#49324;&#51204;%20&#44160;&#53664;\&#49688;&#54665;&#51648;&#52840;\&#51088;&#51116;%20_%20&#51064;&#50896;%20_%20&#51109;&#48708;%20&#46321;%20&#53804;&#51077;%20&#49324;&#51204;%20&#44160;&#53664;_&#49688;&#54665;&#51648;&#52840;.html" TargetMode="External"/><Relationship Id="rId28" Type="http://schemas.openxmlformats.org/officeDocument/2006/relationships/hyperlink" Target="&#47588;&#45684;&#50620;BODY(&#51665;&#54665;&#45800;&#44228;-&#52392;&#48512;&#54260;&#45908;)v8\8.&#51204;&#44592;&#48516;&#50556;\10_&#52265;&#49688;%20&#51204;%20Big%20Room%20&#54924;&#51032;\&#54364;&#51456;&#49436;\&#52265;&#49688;%20&#51204;%20Big%20Room%20&#54924;&#51032;_&#54364;&#51456;&#49436;.html" TargetMode="External"/><Relationship Id="rId36" Type="http://schemas.openxmlformats.org/officeDocument/2006/relationships/hyperlink" Target="&#47588;&#45684;&#50620;BODY(&#51665;&#54665;&#45800;&#44228;-&#52392;&#48512;&#54260;&#45908;)v8\8.&#51204;&#44592;&#48516;&#50556;\12_&#49884;&#44277;%20&#44228;&#54925;%20&#49688;&#47549;%20_%20&#49849;&#51064;\&#52404;&#53356;&#47532;&#49828;&#53944;\&#49884;&#44277;%20&#44228;&#54925;%20&#49688;&#47549;%20_%20&#49849;&#51064;_&#52404;&#53356;&#47532;&#49828;&#53944;.html" TargetMode="External"/><Relationship Id="rId49" Type="http://schemas.openxmlformats.org/officeDocument/2006/relationships/hyperlink" Target="&#47588;&#45684;&#50620;BODY(&#51665;&#54665;&#45800;&#44228;-&#52392;&#48512;&#54260;&#45908;)v8\8.&#51204;&#44592;&#48516;&#50556;\17_&#51088;&#51116;%20&#48152;&#51077;%20&#48143;%20&#44160;&#49688;\&#54364;&#51456;&#49436;\&#51088;&#51116;%20&#48152;&#51077;%20&#48143;%20&#44160;&#49688;_&#54364;&#51456;&#49436;.html" TargetMode="External"/><Relationship Id="rId57" Type="http://schemas.openxmlformats.org/officeDocument/2006/relationships/hyperlink" Target="&#47588;&#45684;&#50620;BODY(&#51665;&#54665;&#45800;&#44228;-&#52392;&#48512;&#54260;&#45908;)v8\8.&#51204;&#44592;&#48516;&#50556;\19_&#49688;&#51204;&#50857;%20&#52992;&#51060;&#48660;%20&#53944;&#47112;&#51060;%20&#48143;%20&#52992;&#51060;&#48660;%20&#54252;&#49444;\&#52404;&#53356;&#47532;&#49828;&#53944;\&#49688;&#51204;&#50857;%20&#52992;&#51060;&#48660;%20&#53944;&#47112;&#51060;%20&#48143;%20&#52992;&#51060;&#48660;%20&#54252;&#49444;_&#52404;&#53356;&#47532;&#49828;&#53944;.html" TargetMode="External"/><Relationship Id="rId10" Type="http://schemas.openxmlformats.org/officeDocument/2006/relationships/hyperlink" Target="&#47588;&#45684;&#50620;BODY(&#51665;&#54665;&#45800;&#44228;-&#52392;&#48512;&#54260;&#45908;)v8\8.&#51204;&#44592;&#48516;&#50556;\4_&#49888;&#54840;%20_%20&#53685;&#49888;%20_%20&#44592;&#44228;%20_%20PSD%20_%20&#52264;&#47049;%20&#51064;&#53552;&#54168;&#51060;&#49828;%20&#54801;&#51032;\&#54364;&#51456;&#49436;\&#49888;&#54840;%20_%20&#53685;&#49888;%20_%20&#44592;&#44228;%20_%20PSD%20_%20&#52264;&#47049;%20&#51064;&#53552;&#54168;&#51060;&#49828;%20&#54801;&#51032;_&#54364;&#51456;&#49436;.html" TargetMode="External"/><Relationship Id="rId31"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44" Type="http://schemas.openxmlformats.org/officeDocument/2006/relationships/hyperlink" Target="&#47588;&#45684;&#50620;BODY(&#51665;&#54665;&#45800;&#44228;-&#52392;&#48512;&#54260;&#45908;)v8\8.&#51204;&#44592;&#48516;&#50556;\15_&#48376;&#44277;&#49324;%20&#51204;%20&#49440;&#54665;&#44277;&#51221;%20&#51064;&#49688;&#51064;&#44228;%20&#51216;&#44160;\&#49688;&#54665;&#51648;&#52840;\&#48376;&#44277;&#49324;%20&#51204;%20&#49440;&#54665;&#44277;&#51221;%20&#51064;&#49688;&#51064;&#44228;%20&#51216;&#44160;_&#49688;&#54665;&#51648;&#52840;.html" TargetMode="External"/><Relationship Id="rId52" Type="http://schemas.openxmlformats.org/officeDocument/2006/relationships/hyperlink" Target="&#47588;&#45684;&#50620;BODY(&#51665;&#54665;&#45800;&#44228;-&#52392;&#48512;&#54260;&#45908;)v8\8.&#51204;&#44592;&#48516;&#50556;\18_&#51204;&#52384;&#51204;&#47141;&#49444;&#48708;%20&#48152;&#51077;%20&#48143;%20&#49444;&#52824;\&#54364;&#51456;&#49436;\&#51204;&#52384;&#51204;&#47141;&#49444;&#48708;%20&#48152;&#51077;%20&#48143;%20&#49444;&#52824;_&#54364;&#51456;&#49436;.html" TargetMode="External"/><Relationship Id="rId60" Type="http://schemas.openxmlformats.org/officeDocument/2006/relationships/hyperlink" Target="&#47588;&#45684;&#50620;BODY(&#51665;&#54665;&#45800;&#44228;-&#52392;&#48512;&#54260;&#45908;)v8\8.&#51204;&#44592;&#48516;&#50556;\20_&#49688;&#51204;%20&#48143;%20&#51204;&#44592;&#44277;&#44553;(&#44553;&#51204;)\&#52404;&#53356;&#47532;&#49828;&#53944;\&#49688;&#51204;%20&#48143;%20&#51204;&#44592;&#44277;&#44553;(&#44553;&#51204;)_&#52404;&#53356;&#47532;&#49828;&#53944;.html" TargetMode="External"/><Relationship Id="rId65" Type="http://schemas.openxmlformats.org/officeDocument/2006/relationships/hyperlink" Target="&#47588;&#45684;&#50620;BODY(&#51665;&#54665;&#45800;&#44228;-&#52392;&#48512;&#54260;&#45908;)v8\8.&#51204;&#44592;&#48516;&#50556;\22_&#44277;&#51333;&#48324;%20&#49884;&#54744;\&#49688;&#54665;&#51648;&#52840;\&#44277;&#51333;&#48324;%20&#49884;&#54744;_&#49688;&#54665;&#51648;&#52840;.html" TargetMode="External"/><Relationship Id="rId73" Type="http://schemas.openxmlformats.org/officeDocument/2006/relationships/hyperlink" Target="&#47588;&#45684;&#50620;BODY(&#51665;&#54665;&#45800;&#44228;-&#52392;&#48512;&#54260;&#45908;)v8\8.&#51204;&#44592;&#48516;&#50556;\25_&#50868;&#50689;&#51088;%20&#44368;&#50977;&#49884;&#54665;\&#54364;&#51456;&#49436;\&#50868;&#50689;&#51088;%20&#44368;&#50977;&#49884;&#54665;_&#54364;&#51456;&#49436;.html" TargetMode="External"/><Relationship Id="rId78" Type="http://schemas.openxmlformats.org/officeDocument/2006/relationships/hyperlink" Target="&#47588;&#45684;&#50620;BODY(&#51665;&#54665;&#45800;&#44228;-&#52392;&#48512;&#54260;&#45908;)v8\8.&#51204;&#44592;&#48516;&#50556;\26_&#49324;&#51204;&#51216;&#44160;\&#52404;&#53356;&#47532;&#49828;&#53944;\&#49324;&#51204;&#51216;&#44160;_&#52404;&#53356;&#47532;&#49828;&#53944;.html" TargetMode="External"/><Relationship Id="rId81" Type="http://schemas.openxmlformats.org/officeDocument/2006/relationships/hyperlink" Target="&#47588;&#45684;&#50620;BODY(&#51665;&#54665;&#45800;&#44228;-&#52392;&#48512;&#54260;&#45908;)v8\8.&#51204;&#44592;&#48516;&#50556;\27_&#49884;&#49444;&#47932;%20&#44160;&#51613;&#49884;&#54744;\&#52404;&#53356;&#47532;&#49828;&#53944;\&#49884;&#49444;&#47932;%20&#44160;&#51613;&#49884;&#54744;_&#52404;&#53356;&#47532;&#49828;&#53944;.html" TargetMode="External"/><Relationship Id="rId86"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94" Type="http://schemas.openxmlformats.org/officeDocument/2006/relationships/hyperlink" Target="&#47588;&#45684;&#50620;BODY(&#51665;&#54665;&#45800;&#44228;-&#52392;&#48512;&#54260;&#45908;)v8\8.&#51204;&#44592;&#48516;&#50556;\32_&#51204;&#44592;%20&#49324;&#50857;&#51204;&#44160;&#49324;%20(&#51204;&#47141;_&#51204;&#52264;&#49440;_&#49569;&#48320;&#51204;)\&#54364;&#51456;&#49436;\&#51204;&#44592;%20&#49324;&#50857;&#51204;&#44160;&#49324;%20(&#51204;&#47141;_&#51204;&#52264;&#49440;_&#49569;&#48320;&#51204;)_&#54364;&#51456;&#49436;.html" TargetMode="External"/><Relationship Id="rId4" Type="http://schemas.openxmlformats.org/officeDocument/2006/relationships/hyperlink" Target="&#47588;&#45684;&#50620;BODY(&#51665;&#54665;&#45800;&#44228;-&#52392;&#48512;&#54260;&#45908;)v8\8.&#51204;&#44592;&#48516;&#50556;\2_&#48156;&#51452;&#51204;&#47029;%20KOM\&#54364;&#51456;&#49436;\&#48156;&#51452;&#51204;&#47029;%20KOM_&#54364;&#51456;&#49436;.html" TargetMode="External"/><Relationship Id="rId9" Type="http://schemas.openxmlformats.org/officeDocument/2006/relationships/hyperlink" Target="&#47588;&#45684;&#50620;BODY(&#51665;&#54665;&#45800;&#44228;-&#52392;&#48512;&#54260;&#45908;)v8\8.&#51204;&#44592;&#48516;&#50556;\3_&#53664;&#47785;%20_%20&#44148;&#52629;%20&#51064;&#53552;&#54168;&#51060;&#49828;%20&#54801;&#51032;\&#52404;&#53356;&#47532;&#49828;&#53944;\&#53664;&#47785;%20_%20&#44148;&#52629;%20&#51064;&#53552;&#54168;&#51060;&#49828;%20&#54801;&#51032;_&#52404;&#53356;&#47532;&#49828;&#53944;.html" TargetMode="External"/><Relationship Id="rId13" Type="http://schemas.openxmlformats.org/officeDocument/2006/relationships/hyperlink" Target="&#47588;&#45684;&#50620;BODY(&#51665;&#54665;&#45800;&#44228;-&#52392;&#48512;&#54260;&#45908;)v8\8.&#51204;&#44592;&#48516;&#50556;\5_&#51204;&#44592;&#49444;&#48708;%20&#51228;&#51089;&#49324;%20&#51064;&#53552;&#54168;&#51060;&#49828;%20&#54801;&#51032;\&#54364;&#51456;&#49436;\&#51204;&#44592;&#49444;&#48708;%20&#51228;&#51089;&#49324;%20&#51064;&#53552;&#54168;&#51060;&#49828;%20&#54801;&#51032;_&#54364;&#51456;&#49436;.html" TargetMode="External"/><Relationship Id="rId18" Type="http://schemas.openxmlformats.org/officeDocument/2006/relationships/hyperlink" Target="&#47588;&#45684;&#50620;BODY(&#51665;&#54665;&#45800;&#44228;-&#52392;&#48512;&#54260;&#45908;)v8\8.&#51204;&#44592;&#48516;&#50556;\6_&#44288;&#51228;%20&#48143;%20&#50868;&#50689;&#49324;%20&#51064;&#53552;&#54168;&#51060;&#49828;%20&#54801;&#51032;\&#52404;&#53356;&#47532;&#49828;&#53944;\&#44288;&#51228;%20&#48143;%20&#50868;&#50689;&#49324;%20&#51064;&#53552;&#54168;&#51060;&#49828;%20&#54801;&#51032;_&#52404;&#53356;&#47532;&#49828;&#53944;.html" TargetMode="External"/><Relationship Id="rId39" Type="http://schemas.openxmlformats.org/officeDocument/2006/relationships/hyperlink" Target="&#47588;&#45684;&#50620;BODY(&#51665;&#54665;&#45800;&#44228;-&#52392;&#48512;&#54260;&#45908;)v8\8.&#51204;&#44592;&#48516;&#50556;\13_&#51088;&#51116;&#44277;&#44553;&#50896;_&#44592;&#51088;&#51116;%20&#51228;&#51089;&#46020;&#49436;%20&#49849;&#51064;\&#52404;&#53356;&#47532;&#49828;&#53944;\&#51088;&#51116;&#44277;&#44553;&#50896;_&#44592;&#51088;&#51116;%20&#51228;&#51089;&#46020;&#49436;%20&#49849;&#51064;_&#52404;&#53356;&#47532;&#49828;&#53944;.html" TargetMode="External"/><Relationship Id="rId34" Type="http://schemas.openxmlformats.org/officeDocument/2006/relationships/hyperlink" Target="&#47588;&#45684;&#50620;BODY(&#51665;&#54665;&#45800;&#44228;-&#52392;&#48512;&#54260;&#45908;)v8\8.&#51204;&#44592;&#48516;&#50556;\12_&#49884;&#44277;%20&#44228;&#54925;%20&#49688;&#47549;%20_%20&#49849;&#51064;\&#54364;&#51456;&#49436;\&#49884;&#44277;%20&#44228;&#54925;%20&#49688;&#47549;%20_%20&#49849;&#51064;_&#54364;&#51456;&#49436;.html" TargetMode="External"/><Relationship Id="rId50" Type="http://schemas.openxmlformats.org/officeDocument/2006/relationships/hyperlink" Target="&#47588;&#45684;&#50620;BODY(&#51665;&#54665;&#45800;&#44228;-&#52392;&#48512;&#54260;&#45908;)v8\8.&#51204;&#44592;&#48516;&#50556;\17_&#51088;&#51116;%20&#48152;&#51077;%20&#48143;%20&#44160;&#49688;\&#49688;&#54665;&#51648;&#52840;\&#51088;&#51116;%20&#48152;&#51077;%20&#48143;%20&#44160;&#49688;_&#49688;&#54665;&#51648;&#52840;.html" TargetMode="External"/><Relationship Id="rId55" Type="http://schemas.openxmlformats.org/officeDocument/2006/relationships/hyperlink" Target="&#47588;&#45684;&#50620;BODY(&#51665;&#54665;&#45800;&#44228;-&#52392;&#48512;&#54260;&#45908;)v8\8.&#51204;&#44592;&#48516;&#50556;\19_&#49688;&#51204;&#50857;%20&#52992;&#51060;&#48660;%20&#53944;&#47112;&#51060;%20&#48143;%20&#52992;&#51060;&#48660;%20&#54252;&#49444;\&#54364;&#51456;&#49436;\&#49688;&#51204;&#50857;%20&#52992;&#51060;&#48660;%20&#53944;&#47112;&#51060;%20&#48143;%20&#52992;&#51060;&#48660;%20&#54252;&#49444;_&#54364;&#51456;&#49436;.html" TargetMode="External"/><Relationship Id="rId76" Type="http://schemas.openxmlformats.org/officeDocument/2006/relationships/hyperlink" Target="&#47588;&#45684;&#50620;BODY(&#51665;&#54665;&#45800;&#44228;-&#52392;&#48512;&#54260;&#45908;)v8\8.&#51204;&#44592;&#48516;&#50556;\26_&#49324;&#51204;&#51216;&#44160;\&#54364;&#51456;&#49436;\&#49324;&#51204;&#51216;&#44160;_&#54364;&#51456;&#49436;.html" TargetMode="External"/><Relationship Id="rId97" Type="http://schemas.openxmlformats.org/officeDocument/2006/relationships/printerSettings" Target="../printerSettings/printerSettings9.bin"/><Relationship Id="rId7" Type="http://schemas.openxmlformats.org/officeDocument/2006/relationships/hyperlink" Target="&#47588;&#45684;&#50620;BODY(&#51665;&#54665;&#45800;&#44228;-&#52392;&#48512;&#54260;&#45908;)v8\8.&#51204;&#44592;&#48516;&#50556;\3_&#53664;&#47785;%20_%20&#44148;&#52629;%20&#51064;&#53552;&#54168;&#51060;&#49828;%20&#54801;&#51032;\&#54364;&#51456;&#49436;\&#53664;&#47785;%20_%20&#44148;&#52629;%20&#51064;&#53552;&#54168;&#51060;&#49828;%20&#54801;&#51032;_&#54364;&#51456;&#49436;.html" TargetMode="External"/><Relationship Id="rId71" Type="http://schemas.openxmlformats.org/officeDocument/2006/relationships/hyperlink" Target="&#47588;&#45684;&#50620;BODY(&#51665;&#54665;&#45800;&#44228;-&#52392;&#48512;&#54260;&#45908;)v8\8.&#51204;&#44592;&#48516;&#50556;\24_&#52264;&#47049;%20&#49884;&#50868;&#51204;\&#49688;&#54665;&#51648;&#52840;\&#52264;&#47049;%20&#49884;&#50868;&#51204;_&#49688;&#54665;&#51648;&#52840;.html" TargetMode="External"/><Relationship Id="rId92" Type="http://schemas.openxmlformats.org/officeDocument/2006/relationships/hyperlink" Target="&#47588;&#45684;&#50620;BODY(&#51665;&#54665;&#45800;&#44228;-&#52392;&#48512;&#54260;&#45908;)v8\8.&#51204;&#44592;&#48516;&#50556;\31_&#51204;&#52264;&#49440;&#47196;%20&#51201;&#54633;&#49457;%20&#44160;&#51613;\&#49688;&#54665;&#51648;&#52840;\&#51204;&#52264;&#49440;&#47196;%20&#51201;&#54633;&#49457;%20&#44160;&#51613;_&#49688;&#54665;&#51648;&#52840;.html" TargetMode="External"/><Relationship Id="rId2" Type="http://schemas.openxmlformats.org/officeDocument/2006/relationships/hyperlink" Target="&#47588;&#45684;&#50620;BODY(&#51665;&#54665;&#45800;&#44228;-&#52392;&#48512;&#54260;&#45908;)v8\8.&#51204;&#44592;&#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8.&#51204;&#44592;&#48516;&#50556;\10_&#52265;&#49688;%20&#51204;%20Big%20Room%20&#54924;&#51032;\&#49688;&#54665;&#51648;&#52840;\&#52265;&#49688;%20&#51204;%20Big%20Room%20&#54924;&#51032;_&#49688;&#54665;&#51648;&#52840;.html" TargetMode="External"/><Relationship Id="rId24" Type="http://schemas.openxmlformats.org/officeDocument/2006/relationships/hyperlink" Target="&#47588;&#45684;&#50620;BODY(&#51665;&#54665;&#45800;&#44228;-&#52392;&#48512;&#54260;&#45908;)v8\8.&#51204;&#44592;&#48516;&#50556;\8_&#51088;&#51116;%20_%20&#51064;&#50896;%20_%20&#51109;&#48708;%20&#46321;%20&#53804;&#51077;%20&#49324;&#51204;%20&#44160;&#53664;\&#52404;&#53356;&#47532;&#49828;&#53944;\&#51088;&#51116;%20_%20&#51064;&#50896;%20_%20&#51109;&#48708;%20&#46321;%20&#53804;&#51077;%20&#49324;&#51204;%20&#44160;&#53664;_&#52404;&#53356;&#47532;&#49828;&#53944;.html" TargetMode="External"/><Relationship Id="rId40" Type="http://schemas.openxmlformats.org/officeDocument/2006/relationships/hyperlink" Target="&#47588;&#45684;&#50620;BODY(&#51665;&#54665;&#45800;&#44228;-&#52392;&#48512;&#54260;&#45908;)v8\8.&#51204;&#44592;&#48516;&#50556;\14_&#51204;&#44592;&#49444;&#48708;%20&#44277;&#51221;&#51228;&#51089;%20_%20&#51228;&#51089;&#49324;%20&#44277;&#51109;&#44160;&#49324;\&#54364;&#51456;&#49436;\&#51204;&#44592;&#49444;&#48708;%20&#44277;&#51221;&#51228;&#51089;%20_%20&#51228;&#51089;&#49324;%20&#44277;&#51109;&#44160;&#49324;_&#54364;&#51456;&#49436;.html" TargetMode="External"/><Relationship Id="rId45" Type="http://schemas.openxmlformats.org/officeDocument/2006/relationships/hyperlink" Target="&#47588;&#45684;&#50620;BODY(&#51665;&#54665;&#45800;&#44228;-&#52392;&#48512;&#54260;&#45908;)v8\8.&#51204;&#44592;&#48516;&#50556;\15_&#48376;&#44277;&#49324;%20&#51204;%20&#49440;&#54665;&#44277;&#51221;%20&#51064;&#49688;&#51064;&#44228;%20&#51216;&#44160;\&#52404;&#53356;&#47532;&#49828;&#53944;\&#48376;&#44277;&#49324;%20&#51204;%20&#49440;&#54665;&#44277;&#51221;%20&#51064;&#49688;&#51064;&#44228;%20&#51216;&#44160;_&#52404;&#53356;&#47532;&#49828;&#53944;.html" TargetMode="External"/><Relationship Id="rId66" Type="http://schemas.openxmlformats.org/officeDocument/2006/relationships/hyperlink" Target="&#47588;&#45684;&#50620;BODY(&#51665;&#54665;&#45800;&#44228;-&#52392;&#48512;&#54260;&#45908;)v8\8.&#51204;&#44592;&#48516;&#50556;\22_&#44277;&#51333;&#48324;%20&#49884;&#54744;\&#52404;&#53356;&#47532;&#49828;&#53944;\&#44277;&#51333;&#48324;%20&#49884;&#54744;_&#52404;&#53356;&#47532;&#49828;&#53944;.html" TargetMode="External"/><Relationship Id="rId87"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61" Type="http://schemas.openxmlformats.org/officeDocument/2006/relationships/hyperlink" Target="&#47588;&#45684;&#50620;BODY(&#51665;&#54665;&#45800;&#44228;-&#52392;&#48512;&#54260;&#45908;)v8\8.&#51204;&#44592;&#48516;&#50556;\21_&#51333;&#54633;&#50672;&#46041;&#49884;&#54744;(SCADA)%20&#49892;&#49884;\&#54364;&#51456;&#49436;\&#51333;&#54633;&#50672;&#46041;&#49884;&#54744;(SCADA)%20&#49892;&#49884;_&#54364;&#51456;&#49436;.html" TargetMode="External"/><Relationship Id="rId82" Type="http://schemas.openxmlformats.org/officeDocument/2006/relationships/hyperlink" Target="&#47588;&#45684;&#50620;BODY(&#51665;&#54665;&#45800;&#44228;-&#52392;&#48512;&#54260;&#45908;)v8\8.&#51204;&#44592;&#48516;&#50556;\28_&#50689;&#50629;&#49884;&#50868;&#51204;\&#54364;&#51456;&#49436;\&#50689;&#50629;&#49884;&#50868;&#51204;_&#54364;&#51456;&#49436;.html" TargetMode="External"/><Relationship Id="rId19" Type="http://schemas.openxmlformats.org/officeDocument/2006/relationships/hyperlink" Target="&#47588;&#45684;&#50620;BODY(&#51665;&#54665;&#45800;&#44228;-&#52392;&#48512;&#54260;&#45908;)v8\8.&#51204;&#44592;&#48516;&#50556;\7_&#48156;&#51452;&#52376;%20&#54408;&#51656;%20&#50836;&#44396;&#49324;&#54637;%20&#44160;&#53664;\&#54364;&#51456;&#49436;\&#48156;&#51452;&#52376;%20&#54408;&#51656;%20&#50836;&#44396;&#49324;&#54637;%20&#44160;&#53664;_&#54364;&#51456;&#49436;.html" TargetMode="External"/><Relationship Id="rId14" Type="http://schemas.openxmlformats.org/officeDocument/2006/relationships/hyperlink" Target="&#47588;&#45684;&#50620;BODY(&#51665;&#54665;&#45800;&#44228;-&#52392;&#48512;&#54260;&#45908;)v8\8.&#51204;&#44592;&#48516;&#50556;\5_&#51204;&#44592;&#49444;&#48708;%20&#51228;&#51089;&#49324;%20&#51064;&#53552;&#54168;&#51060;&#49828;%20&#54801;&#51032;\&#49688;&#54665;&#51648;&#52840;\&#51204;&#44592;&#49444;&#48708;%20&#51228;&#51089;&#49324;%20&#51064;&#53552;&#54168;&#51060;&#49828;%20&#54801;&#51032;_&#49688;&#54665;&#51648;&#52840;.html" TargetMode="External"/><Relationship Id="rId30" Type="http://schemas.openxmlformats.org/officeDocument/2006/relationships/hyperlink" Target="&#47588;&#45684;&#50620;BODY(&#51665;&#54665;&#45800;&#44228;-&#52392;&#48512;&#54260;&#45908;)v8\8.&#51204;&#44592;&#48516;&#50556;\10_&#52265;&#49688;%20&#51204;%20Big%20Room%20&#54924;&#51032;\&#52404;&#53356;&#47532;&#49828;&#53944;\&#52265;&#49688;%20&#51204;%20Big%20Room%20&#54924;&#51032;_&#52404;&#53356;&#47532;&#49828;&#53944;.html" TargetMode="External"/><Relationship Id="rId35" Type="http://schemas.openxmlformats.org/officeDocument/2006/relationships/hyperlink" Target="&#47588;&#45684;&#50620;BODY(&#51665;&#54665;&#45800;&#44228;-&#52392;&#48512;&#54260;&#45908;)v8\8.&#51204;&#44592;&#48516;&#50556;\12_&#49884;&#44277;%20&#44228;&#54925;%20&#49688;&#47549;%20_%20&#49849;&#51064;\&#49688;&#54665;&#51648;&#52840;\&#49884;&#44277;%20&#44228;&#54925;%20&#49688;&#47549;%20_%20&#49849;&#51064;_&#49688;&#54665;&#51648;&#52840;.html" TargetMode="External"/><Relationship Id="rId56" Type="http://schemas.openxmlformats.org/officeDocument/2006/relationships/hyperlink" Target="&#47588;&#45684;&#50620;BODY(&#51665;&#54665;&#45800;&#44228;-&#52392;&#48512;&#54260;&#45908;)v8\8.&#51204;&#44592;&#48516;&#50556;\19_&#49688;&#51204;&#50857;%20&#52992;&#51060;&#48660;%20&#53944;&#47112;&#51060;%20&#48143;%20&#52992;&#51060;&#48660;%20&#54252;&#49444;\&#49688;&#54665;&#51648;&#52840;\&#49688;&#51204;&#50857;%20&#52992;&#51060;&#48660;%20&#53944;&#47112;&#51060;%20&#48143;%20&#52992;&#51060;&#48660;%20&#54252;&#49444;_&#49688;&#54665;&#51648;&#52840;.html" TargetMode="External"/><Relationship Id="rId77" Type="http://schemas.openxmlformats.org/officeDocument/2006/relationships/hyperlink" Target="&#47588;&#45684;&#50620;BODY(&#51665;&#54665;&#45800;&#44228;-&#52392;&#48512;&#54260;&#45908;)v8\8.&#51204;&#44592;&#48516;&#50556;\26_&#49324;&#51204;&#51216;&#44160;\&#49688;&#54665;&#51648;&#52840;\&#49324;&#51204;&#51216;&#44160;_&#49688;&#54665;&#51648;&#52840;.html" TargetMode="External"/><Relationship Id="rId8" Type="http://schemas.openxmlformats.org/officeDocument/2006/relationships/hyperlink" Target="&#47588;&#45684;&#50620;BODY(&#51665;&#54665;&#45800;&#44228;-&#52392;&#48512;&#54260;&#45908;)v8\8.&#51204;&#44592;&#48516;&#50556;\3_&#53664;&#47785;%20_%20&#44148;&#52629;%20&#51064;&#53552;&#54168;&#51060;&#49828;%20&#54801;&#51032;\&#49688;&#54665;&#51648;&#52840;\&#53664;&#47785;%20_%20&#44148;&#52629;%20&#51064;&#53552;&#54168;&#51060;&#49828;%20&#54801;&#51032;_&#49688;&#54665;&#51648;&#52840;.html" TargetMode="External"/><Relationship Id="rId51" Type="http://schemas.openxmlformats.org/officeDocument/2006/relationships/hyperlink" Target="&#47588;&#45684;&#50620;BODY(&#51665;&#54665;&#45800;&#44228;-&#52392;&#48512;&#54260;&#45908;)v8\8.&#51204;&#44592;&#48516;&#50556;\17_&#51088;&#51116;%20&#48152;&#51077;%20&#48143;%20&#44160;&#49688;\&#52404;&#53356;&#47532;&#49828;&#53944;\&#51088;&#51116;%20&#48152;&#51077;%20&#48143;%20&#44160;&#49688;_&#52404;&#53356;&#47532;&#49828;&#53944;.html" TargetMode="External"/><Relationship Id="rId72" Type="http://schemas.openxmlformats.org/officeDocument/2006/relationships/hyperlink" Target="&#47588;&#45684;&#50620;BODY(&#51665;&#54665;&#45800;&#44228;-&#52392;&#48512;&#54260;&#45908;)v8\8.&#51204;&#44592;&#48516;&#50556;\24_&#52264;&#47049;%20&#49884;&#50868;&#51204;\&#52404;&#53356;&#47532;&#49828;&#53944;\&#52264;&#47049;%20&#49884;&#50868;&#51204;_&#52404;&#53356;&#47532;&#49828;&#53944;.html" TargetMode="External"/><Relationship Id="rId93" Type="http://schemas.openxmlformats.org/officeDocument/2006/relationships/hyperlink" Target="&#47588;&#45684;&#50620;BODY(&#51665;&#54665;&#45800;&#44228;-&#52392;&#48512;&#54260;&#45908;)v8\8.&#51204;&#44592;&#48516;&#50556;\31_&#51204;&#52264;&#49440;&#47196;%20&#51201;&#54633;&#49457;%20&#44160;&#51613;\&#52404;&#53356;&#47532;&#49828;&#53944;\&#51204;&#52264;&#49440;&#47196;%20&#51201;&#54633;&#49457;%20&#44160;&#51613;_&#52404;&#53356;&#47532;&#49828;&#53944;.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M36"/>
  <sheetViews>
    <sheetView workbookViewId="0"/>
  </sheetViews>
  <sheetFormatPr defaultRowHeight="17.399999999999999" x14ac:dyDescent="0.4"/>
  <cols>
    <col min="1" max="1" width="4" customWidth="1"/>
    <col min="2" max="2" width="10" customWidth="1"/>
    <col min="3" max="3" width="14" customWidth="1"/>
    <col min="4" max="4" width="22" customWidth="1"/>
    <col min="5" max="5" width="14" customWidth="1"/>
    <col min="6" max="10" width="16" customWidth="1"/>
    <col min="11" max="11" width="14" customWidth="1"/>
    <col min="12" max="12" width="22" customWidth="1"/>
    <col min="13" max="13" width="4" customWidth="1"/>
  </cols>
  <sheetData>
    <row r="2" spans="2:13" ht="42" customHeight="1" x14ac:dyDescent="0.4">
      <c r="B2" s="144" t="s">
        <v>575</v>
      </c>
      <c r="C2" s="135"/>
      <c r="D2" s="135"/>
      <c r="E2" s="135"/>
      <c r="F2" s="135"/>
      <c r="G2" s="135"/>
      <c r="H2" s="135"/>
      <c r="I2" s="135"/>
      <c r="J2" s="135"/>
      <c r="K2" s="135"/>
      <c r="L2" s="135"/>
      <c r="M2" s="136"/>
    </row>
    <row r="4" spans="2:13" x14ac:dyDescent="0.4">
      <c r="B4" s="81" t="s">
        <v>576</v>
      </c>
    </row>
    <row r="6" spans="2:13" ht="22.05" customHeight="1" x14ac:dyDescent="0.4">
      <c r="B6" s="138" t="s">
        <v>577</v>
      </c>
      <c r="C6" s="136"/>
      <c r="D6" s="138" t="s">
        <v>578</v>
      </c>
      <c r="E6" s="136"/>
      <c r="F6" s="138" t="s">
        <v>579</v>
      </c>
      <c r="G6" s="136"/>
      <c r="H6" s="138" t="s">
        <v>580</v>
      </c>
      <c r="I6" s="136"/>
      <c r="J6" s="138" t="s">
        <v>581</v>
      </c>
      <c r="K6" s="136"/>
      <c r="L6" s="138" t="s">
        <v>582</v>
      </c>
      <c r="M6" s="136"/>
    </row>
    <row r="7" spans="2:13" ht="28.05" customHeight="1" x14ac:dyDescent="0.4">
      <c r="B7" s="143" t="str">
        <f>E21&amp;" 개"</f>
        <v>233 개</v>
      </c>
      <c r="C7" s="136"/>
      <c r="D7" s="143" t="str">
        <f>F21&amp;" 개 (100%)"</f>
        <v>263 개 (100%)</v>
      </c>
      <c r="E7" s="136"/>
      <c r="F7" s="143" t="str">
        <f>G21&amp;" 개 (100%)"</f>
        <v>263 개 (100%)</v>
      </c>
      <c r="G7" s="136"/>
      <c r="H7" s="143" t="str">
        <f>H21&amp;" 개 (100%)"</f>
        <v>263 개 (100%)</v>
      </c>
      <c r="I7" s="136"/>
      <c r="J7" s="143" t="str">
        <f>I21&amp;" 개 (100%)"</f>
        <v>233 개 (100%)</v>
      </c>
      <c r="K7" s="136"/>
      <c r="L7" s="143" t="str">
        <f>J21&amp;" 개 (87.8%)"</f>
        <v>231 개 (87.8%)</v>
      </c>
      <c r="M7" s="136"/>
    </row>
    <row r="10" spans="2:13" ht="19.2" customHeight="1" x14ac:dyDescent="0.45">
      <c r="B10" s="82" t="s">
        <v>583</v>
      </c>
    </row>
    <row r="12" spans="2:13" ht="28.05" customHeight="1" x14ac:dyDescent="0.4">
      <c r="B12" s="83" t="s">
        <v>584</v>
      </c>
      <c r="C12" s="83" t="s">
        <v>585</v>
      </c>
      <c r="D12" s="83" t="s">
        <v>586</v>
      </c>
      <c r="E12" s="83" t="s">
        <v>587</v>
      </c>
      <c r="F12" s="83" t="s">
        <v>588</v>
      </c>
      <c r="G12" s="83" t="s">
        <v>589</v>
      </c>
      <c r="H12" s="83" t="s">
        <v>590</v>
      </c>
      <c r="I12" s="83" t="s">
        <v>591</v>
      </c>
      <c r="J12" s="83" t="s">
        <v>592</v>
      </c>
      <c r="K12" s="83" t="s">
        <v>593</v>
      </c>
      <c r="L12" s="83" t="s">
        <v>594</v>
      </c>
    </row>
    <row r="13" spans="2:13" ht="24" customHeight="1" x14ac:dyDescent="0.4">
      <c r="B13" s="84">
        <v>1</v>
      </c>
      <c r="C13" s="84" t="s">
        <v>595</v>
      </c>
      <c r="D13" s="85" t="s">
        <v>596</v>
      </c>
      <c r="E13" s="84">
        <f>COUNTA(사전토공사!F2:F31)</f>
        <v>0</v>
      </c>
      <c r="F13" s="84">
        <f>COUNTA(사전토공사!K2:K31)</f>
        <v>30</v>
      </c>
      <c r="G13" s="84">
        <f>COUNTA(사전토공사!M2:M31)</f>
        <v>30</v>
      </c>
      <c r="H13" s="84">
        <f>COUNTA(사전토공사!O2:O31)</f>
        <v>30</v>
      </c>
      <c r="I13" s="84">
        <f>COUNTA(사전토공사!F2:F31)</f>
        <v>0</v>
      </c>
      <c r="J13" s="84">
        <f>COUNTA(사전토공사!S2:S31)</f>
        <v>30</v>
      </c>
      <c r="K13" s="86">
        <f t="shared" ref="K13:K20" si="0">IF(E13&gt;0, F13/E13, 1)</f>
        <v>1</v>
      </c>
      <c r="L13" s="84" t="s">
        <v>597</v>
      </c>
    </row>
    <row r="14" spans="2:13" ht="24" customHeight="1" x14ac:dyDescent="0.4">
      <c r="B14" s="87">
        <v>2</v>
      </c>
      <c r="C14" s="87" t="s">
        <v>595</v>
      </c>
      <c r="D14" s="88" t="s">
        <v>598</v>
      </c>
      <c r="E14" s="87">
        <f>COUNTA(지장물이설!F2:F39)</f>
        <v>38</v>
      </c>
      <c r="F14" s="87">
        <f>COUNTA(지장물이설!K2:K39)</f>
        <v>38</v>
      </c>
      <c r="G14" s="87">
        <f>COUNTA(지장물이설!M2:M39)</f>
        <v>38</v>
      </c>
      <c r="H14" s="87">
        <f>COUNTA(지장물이설!O2:O39)</f>
        <v>38</v>
      </c>
      <c r="I14" s="87">
        <f>COUNTA(지장물이설!F2:F39)</f>
        <v>38</v>
      </c>
      <c r="J14" s="87">
        <f>COUNTA(지장물이설!S2:S39)</f>
        <v>38</v>
      </c>
      <c r="K14" s="89">
        <f t="shared" si="0"/>
        <v>1</v>
      </c>
      <c r="L14" s="87" t="s">
        <v>597</v>
      </c>
    </row>
    <row r="15" spans="2:13" ht="24" customHeight="1" x14ac:dyDescent="0.4">
      <c r="B15" s="84">
        <v>3</v>
      </c>
      <c r="C15" s="84" t="s">
        <v>595</v>
      </c>
      <c r="D15" s="85" t="s">
        <v>599</v>
      </c>
      <c r="E15" s="84">
        <f>COUNTA(상부강화노반!F2:F37)</f>
        <v>36</v>
      </c>
      <c r="F15" s="84">
        <f>COUNTA(상부강화노반!K2:K37)</f>
        <v>36</v>
      </c>
      <c r="G15" s="84">
        <f>COUNTA(상부강화노반!M2:M37)</f>
        <v>36</v>
      </c>
      <c r="H15" s="84">
        <f>COUNTA(상부강화노반!O2:O37)</f>
        <v>36</v>
      </c>
      <c r="I15" s="84">
        <f>COUNTA(상부강화노반!F2:F37)</f>
        <v>36</v>
      </c>
      <c r="J15" s="84">
        <f>COUNTA(상부강화노반!S2:S37)</f>
        <v>36</v>
      </c>
      <c r="K15" s="86">
        <f t="shared" si="0"/>
        <v>1</v>
      </c>
      <c r="L15" s="84" t="s">
        <v>597</v>
      </c>
    </row>
    <row r="16" spans="2:13" ht="24" customHeight="1" x14ac:dyDescent="0.4">
      <c r="B16" s="87">
        <v>4</v>
      </c>
      <c r="C16" s="87" t="s">
        <v>600</v>
      </c>
      <c r="D16" s="88" t="s">
        <v>601</v>
      </c>
      <c r="E16" s="87">
        <f>COUNTA(콘크리트도상!F2:F24)</f>
        <v>23</v>
      </c>
      <c r="F16" s="87">
        <f>COUNTA(콘크리트도상!K2:K24)</f>
        <v>23</v>
      </c>
      <c r="G16" s="87">
        <f>COUNTA(콘크리트도상!M2:M24)</f>
        <v>23</v>
      </c>
      <c r="H16" s="87">
        <f>COUNTA(콘크리트도상!O2:O24)</f>
        <v>23</v>
      </c>
      <c r="I16" s="87">
        <f>COUNTA(콘크리트도상!F2:F24)</f>
        <v>23</v>
      </c>
      <c r="J16" s="87">
        <f>COUNTA(콘크리트도상!S2:S24)</f>
        <v>23</v>
      </c>
      <c r="K16" s="89">
        <f t="shared" si="0"/>
        <v>1</v>
      </c>
      <c r="L16" s="87" t="s">
        <v>597</v>
      </c>
    </row>
    <row r="17" spans="2:12" ht="24" customHeight="1" x14ac:dyDescent="0.4">
      <c r="B17" s="84">
        <v>5</v>
      </c>
      <c r="C17" s="84" t="s">
        <v>602</v>
      </c>
      <c r="D17" s="85" t="s">
        <v>492</v>
      </c>
      <c r="E17" s="84">
        <f>COUNTA(건축!E2:E51)</f>
        <v>50</v>
      </c>
      <c r="F17" s="84">
        <f>COUNTA(건축!J2:J51)</f>
        <v>50</v>
      </c>
      <c r="G17" s="84">
        <f>COUNTA(건축!L2:L51)</f>
        <v>50</v>
      </c>
      <c r="H17" s="84">
        <f>COUNTA(건축!N2:N51)</f>
        <v>50</v>
      </c>
      <c r="I17" s="84">
        <f>COUNTA(건축!E2:E51)</f>
        <v>50</v>
      </c>
      <c r="J17" s="84">
        <f>COUNTA(건축!R2:R51)</f>
        <v>50</v>
      </c>
      <c r="K17" s="86">
        <f t="shared" si="0"/>
        <v>1</v>
      </c>
      <c r="L17" s="84" t="s">
        <v>597</v>
      </c>
    </row>
    <row r="18" spans="2:12" ht="24" customHeight="1" x14ac:dyDescent="0.4">
      <c r="B18" s="87">
        <v>6</v>
      </c>
      <c r="C18" s="87" t="s">
        <v>603</v>
      </c>
      <c r="D18" s="88" t="s">
        <v>351</v>
      </c>
      <c r="E18" s="87">
        <f>COUNTA(신호!E2:E23)</f>
        <v>22</v>
      </c>
      <c r="F18" s="87">
        <f>COUNTA(신호!J2:J23)</f>
        <v>22</v>
      </c>
      <c r="G18" s="87">
        <f>COUNTA(신호!L2:L23)</f>
        <v>22</v>
      </c>
      <c r="H18" s="87">
        <f>COUNTA(신호!N2:N23)</f>
        <v>22</v>
      </c>
      <c r="I18" s="87">
        <f>COUNTA(신호!E2:E23)</f>
        <v>22</v>
      </c>
      <c r="J18" s="87">
        <f>COUNTA(신호!R2:R23)</f>
        <v>22</v>
      </c>
      <c r="K18" s="89">
        <f t="shared" si="0"/>
        <v>1</v>
      </c>
      <c r="L18" s="87" t="s">
        <v>597</v>
      </c>
    </row>
    <row r="19" spans="2:12" ht="24" customHeight="1" x14ac:dyDescent="0.4">
      <c r="B19" s="84">
        <v>7</v>
      </c>
      <c r="C19" s="84" t="s">
        <v>603</v>
      </c>
      <c r="D19" s="85" t="s">
        <v>366</v>
      </c>
      <c r="E19" s="84">
        <f>COUNTA(통신!E2:E33)</f>
        <v>32</v>
      </c>
      <c r="F19" s="84">
        <f>COUNTA(통신!J2:J33)</f>
        <v>32</v>
      </c>
      <c r="G19" s="84">
        <f>COUNTA(통신!L2:L33)</f>
        <v>32</v>
      </c>
      <c r="H19" s="84">
        <f>COUNTA(통신!N2:N33)</f>
        <v>32</v>
      </c>
      <c r="I19" s="84">
        <f>COUNTA(통신!E2:E33)</f>
        <v>32</v>
      </c>
      <c r="J19" s="84">
        <f>COUNTA(통신!R2:R33)</f>
        <v>32</v>
      </c>
      <c r="K19" s="86">
        <f t="shared" si="0"/>
        <v>1</v>
      </c>
      <c r="L19" s="84" t="s">
        <v>597</v>
      </c>
    </row>
    <row r="20" spans="2:12" ht="24" customHeight="1" x14ac:dyDescent="0.4">
      <c r="B20" s="87">
        <v>8</v>
      </c>
      <c r="C20" s="87" t="s">
        <v>603</v>
      </c>
      <c r="D20" s="88" t="s">
        <v>335</v>
      </c>
      <c r="E20" s="87">
        <f>COUNTA(전기!E2:E33)</f>
        <v>32</v>
      </c>
      <c r="F20" s="87">
        <f>COUNTA(전기!J2:J33)</f>
        <v>32</v>
      </c>
      <c r="G20" s="87">
        <f>COUNTA(전기!L2:L33)</f>
        <v>32</v>
      </c>
      <c r="H20" s="87">
        <f>COUNTA(전기!N2:N33)</f>
        <v>32</v>
      </c>
      <c r="I20" s="87">
        <f>COUNTA(전기!E2:E33)</f>
        <v>32</v>
      </c>
      <c r="J20" s="87">
        <f>COUNTA(전기!R2:R33)</f>
        <v>0</v>
      </c>
      <c r="K20" s="89">
        <f t="shared" si="0"/>
        <v>1</v>
      </c>
      <c r="L20" s="87" t="s">
        <v>604</v>
      </c>
    </row>
    <row r="21" spans="2:12" ht="25.95" customHeight="1" x14ac:dyDescent="0.4">
      <c r="B21" s="90" t="s">
        <v>605</v>
      </c>
      <c r="C21" s="90" t="s">
        <v>606</v>
      </c>
      <c r="D21" s="90" t="s">
        <v>607</v>
      </c>
      <c r="E21" s="90">
        <f t="shared" ref="E21:J21" si="1">SUM(E13:E20)</f>
        <v>233</v>
      </c>
      <c r="F21" s="90">
        <f t="shared" si="1"/>
        <v>263</v>
      </c>
      <c r="G21" s="90">
        <f t="shared" si="1"/>
        <v>263</v>
      </c>
      <c r="H21" s="90">
        <f t="shared" si="1"/>
        <v>263</v>
      </c>
      <c r="I21" s="90">
        <f t="shared" si="1"/>
        <v>233</v>
      </c>
      <c r="J21" s="90">
        <f t="shared" si="1"/>
        <v>231</v>
      </c>
      <c r="K21" s="91">
        <f>AVERAGE(K13:K20)</f>
        <v>1</v>
      </c>
      <c r="L21" s="90" t="s">
        <v>608</v>
      </c>
    </row>
    <row r="23" spans="2:12" ht="19.2" customHeight="1" x14ac:dyDescent="0.45">
      <c r="B23" s="82" t="s">
        <v>609</v>
      </c>
    </row>
    <row r="25" spans="2:12" ht="25.95" customHeight="1" x14ac:dyDescent="0.4">
      <c r="B25" s="139" t="s">
        <v>610</v>
      </c>
      <c r="C25" s="136"/>
      <c r="D25" s="139" t="s">
        <v>611</v>
      </c>
      <c r="E25" s="135"/>
      <c r="F25" s="135"/>
      <c r="G25" s="135"/>
      <c r="H25" s="135"/>
      <c r="I25" s="135"/>
      <c r="J25" s="135"/>
      <c r="K25" s="136"/>
      <c r="L25" s="83" t="s">
        <v>612</v>
      </c>
    </row>
    <row r="26" spans="2:12" ht="24" customHeight="1" x14ac:dyDescent="0.4">
      <c r="B26" s="140" t="s">
        <v>613</v>
      </c>
      <c r="C26" s="136"/>
      <c r="D26" s="141" t="s">
        <v>614</v>
      </c>
      <c r="E26" s="135"/>
      <c r="F26" s="135"/>
      <c r="G26" s="135"/>
      <c r="H26" s="135"/>
      <c r="I26" s="135"/>
      <c r="J26" s="135"/>
      <c r="K26" s="136"/>
      <c r="L26" s="92" t="s">
        <v>615</v>
      </c>
    </row>
    <row r="27" spans="2:12" ht="24" customHeight="1" x14ac:dyDescent="0.4">
      <c r="B27" s="142" t="s">
        <v>616</v>
      </c>
      <c r="C27" s="136"/>
      <c r="D27" s="134" t="s">
        <v>617</v>
      </c>
      <c r="E27" s="135"/>
      <c r="F27" s="135"/>
      <c r="G27" s="135"/>
      <c r="H27" s="135"/>
      <c r="I27" s="135"/>
      <c r="J27" s="135"/>
      <c r="K27" s="136"/>
      <c r="L27" s="93" t="s">
        <v>615</v>
      </c>
    </row>
    <row r="28" spans="2:12" ht="24" customHeight="1" x14ac:dyDescent="0.4">
      <c r="B28" s="140" t="s">
        <v>618</v>
      </c>
      <c r="C28" s="136"/>
      <c r="D28" s="141" t="s">
        <v>619</v>
      </c>
      <c r="E28" s="135"/>
      <c r="F28" s="135"/>
      <c r="G28" s="135"/>
      <c r="H28" s="135"/>
      <c r="I28" s="135"/>
      <c r="J28" s="135"/>
      <c r="K28" s="136"/>
      <c r="L28" s="92" t="s">
        <v>615</v>
      </c>
    </row>
    <row r="29" spans="2:12" ht="24" customHeight="1" x14ac:dyDescent="0.4">
      <c r="B29" s="142" t="s">
        <v>620</v>
      </c>
      <c r="C29" s="136"/>
      <c r="D29" s="134" t="s">
        <v>621</v>
      </c>
      <c r="E29" s="135"/>
      <c r="F29" s="135"/>
      <c r="G29" s="135"/>
      <c r="H29" s="135"/>
      <c r="I29" s="135"/>
      <c r="J29" s="135"/>
      <c r="K29" s="136"/>
      <c r="L29" s="93" t="s">
        <v>615</v>
      </c>
    </row>
    <row r="30" spans="2:12" ht="24" customHeight="1" x14ac:dyDescent="0.4">
      <c r="B30" s="140" t="s">
        <v>622</v>
      </c>
      <c r="C30" s="136"/>
      <c r="D30" s="141" t="s">
        <v>623</v>
      </c>
      <c r="E30" s="135"/>
      <c r="F30" s="135"/>
      <c r="G30" s="135"/>
      <c r="H30" s="135"/>
      <c r="I30" s="135"/>
      <c r="J30" s="135"/>
      <c r="K30" s="136"/>
      <c r="L30" s="92" t="s">
        <v>615</v>
      </c>
    </row>
    <row r="32" spans="2:12" ht="19.2" customHeight="1" x14ac:dyDescent="0.45">
      <c r="B32" s="82" t="s">
        <v>624</v>
      </c>
    </row>
    <row r="34" spans="2:12" ht="25.95" customHeight="1" x14ac:dyDescent="0.4">
      <c r="B34" s="94" t="s">
        <v>585</v>
      </c>
      <c r="C34" s="137" t="s">
        <v>625</v>
      </c>
      <c r="D34" s="136"/>
      <c r="E34" s="137" t="s">
        <v>626</v>
      </c>
      <c r="F34" s="135"/>
      <c r="G34" s="135"/>
      <c r="H34" s="135"/>
      <c r="I34" s="135"/>
      <c r="J34" s="135"/>
      <c r="K34" s="136"/>
      <c r="L34" s="94" t="s">
        <v>627</v>
      </c>
    </row>
    <row r="35" spans="2:12" ht="25.95" customHeight="1" x14ac:dyDescent="0.4">
      <c r="B35" s="93" t="s">
        <v>628</v>
      </c>
      <c r="C35" s="142" t="s">
        <v>629</v>
      </c>
      <c r="D35" s="136"/>
      <c r="E35" s="134" t="s">
        <v>630</v>
      </c>
      <c r="F35" s="135"/>
      <c r="G35" s="135"/>
      <c r="H35" s="135"/>
      <c r="I35" s="135"/>
      <c r="J35" s="135"/>
      <c r="K35" s="136"/>
      <c r="L35" s="93" t="s">
        <v>631</v>
      </c>
    </row>
    <row r="36" spans="2:12" ht="25.95" customHeight="1" x14ac:dyDescent="0.4">
      <c r="B36" s="93" t="s">
        <v>632</v>
      </c>
      <c r="C36" s="142" t="s">
        <v>633</v>
      </c>
      <c r="D36" s="136"/>
      <c r="E36" s="134" t="s">
        <v>634</v>
      </c>
      <c r="F36" s="135"/>
      <c r="G36" s="135"/>
      <c r="H36" s="135"/>
      <c r="I36" s="135"/>
      <c r="J36" s="135"/>
      <c r="K36" s="136"/>
      <c r="L36" s="93" t="s">
        <v>635</v>
      </c>
    </row>
  </sheetData>
  <mergeCells count="31">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 ref="C36:D36"/>
    <mergeCell ref="E35:K35"/>
    <mergeCell ref="C34:D34"/>
    <mergeCell ref="L6:M6"/>
    <mergeCell ref="D25:K25"/>
    <mergeCell ref="E34:K34"/>
    <mergeCell ref="D29:K29"/>
    <mergeCell ref="B26:C26"/>
    <mergeCell ref="D28:K28"/>
    <mergeCell ref="B6:C6"/>
    <mergeCell ref="B30:C30"/>
    <mergeCell ref="D30:K30"/>
    <mergeCell ref="B29:C29"/>
    <mergeCell ref="H7:I7"/>
    <mergeCell ref="J7:K7"/>
    <mergeCell ref="B28:C28"/>
  </mergeCells>
  <phoneticPr fontId="3" type="noConversion"/>
  <pageMargins left="0.75" right="0.75" top="1" bottom="1" header="0.5" footer="0.5"/>
  <pageSetup paperSize="8" orientation="landscape"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defaultRowHeight="17.399999999999999" x14ac:dyDescent="0.4"/>
  <cols>
    <col min="1" max="1" width="10" customWidth="1"/>
    <col min="2" max="2" width="14" customWidth="1"/>
    <col min="3" max="3" width="38" customWidth="1"/>
    <col min="4" max="4" width="14" customWidth="1"/>
    <col min="5" max="5" width="44" customWidth="1"/>
    <col min="6" max="6" width="48" customWidth="1"/>
    <col min="7" max="7" width="59.5" customWidth="1"/>
    <col min="8" max="8" width="48" customWidth="1"/>
    <col min="9" max="9" width="14" customWidth="1"/>
    <col min="10" max="11" width="52" customWidth="1"/>
    <col min="12" max="12" width="56" customWidth="1"/>
  </cols>
  <sheetData>
    <row r="1" spans="1:19" ht="30" customHeight="1" thickBot="1" x14ac:dyDescent="0.45">
      <c r="A1" s="131" t="s">
        <v>0</v>
      </c>
      <c r="B1" s="132"/>
      <c r="C1" s="132"/>
      <c r="D1" s="132"/>
      <c r="E1" s="132"/>
      <c r="F1" s="132"/>
      <c r="G1" s="132"/>
      <c r="H1" s="132"/>
      <c r="I1" s="132"/>
      <c r="J1" s="132"/>
      <c r="K1" s="132"/>
      <c r="L1" s="133"/>
    </row>
    <row r="2" spans="1:19" ht="4.95" customHeight="1" x14ac:dyDescent="0.4">
      <c r="K2" s="120"/>
      <c r="L2" s="120"/>
      <c r="M2" s="120"/>
      <c r="N2" s="120"/>
      <c r="O2" s="120"/>
      <c r="P2" s="120"/>
      <c r="Q2" s="120"/>
      <c r="S2" s="120"/>
    </row>
    <row r="3" spans="1:19" ht="36.6" customHeight="1" x14ac:dyDescent="0.4">
      <c r="A3" s="32" t="s">
        <v>1</v>
      </c>
      <c r="B3" s="32" t="s">
        <v>2</v>
      </c>
      <c r="C3" s="32" t="s">
        <v>3</v>
      </c>
      <c r="D3" s="32" t="s">
        <v>4</v>
      </c>
      <c r="E3" s="32" t="s">
        <v>5</v>
      </c>
      <c r="F3" s="32" t="s">
        <v>6</v>
      </c>
      <c r="G3" s="32" t="s">
        <v>7</v>
      </c>
      <c r="H3" s="32" t="s">
        <v>8</v>
      </c>
      <c r="I3" s="32" t="s">
        <v>9</v>
      </c>
      <c r="J3" s="33" t="s">
        <v>10</v>
      </c>
      <c r="K3" s="120" t="s">
        <v>11</v>
      </c>
      <c r="L3" s="120" t="s">
        <v>12</v>
      </c>
      <c r="M3" s="120"/>
      <c r="N3" s="120"/>
      <c r="O3" s="120"/>
      <c r="P3" s="120"/>
      <c r="Q3" s="120"/>
      <c r="S3" s="120"/>
    </row>
    <row r="4" spans="1:19" ht="22.05" customHeight="1" x14ac:dyDescent="0.4">
      <c r="A4" s="127" t="s">
        <v>13</v>
      </c>
      <c r="B4" s="128"/>
      <c r="C4" s="128"/>
      <c r="D4" s="128"/>
      <c r="E4" s="128"/>
      <c r="F4" s="128"/>
      <c r="G4" s="128"/>
      <c r="H4" s="128"/>
      <c r="I4" s="128"/>
      <c r="J4" s="128"/>
      <c r="K4" s="130"/>
      <c r="L4" s="130"/>
      <c r="M4" s="120"/>
      <c r="N4" s="120"/>
      <c r="O4" s="120"/>
      <c r="P4" s="120"/>
      <c r="Q4" s="120"/>
      <c r="S4" s="120"/>
    </row>
    <row r="5" spans="1:19" ht="186" customHeight="1" x14ac:dyDescent="0.4">
      <c r="A5" s="34" t="s">
        <v>14</v>
      </c>
      <c r="B5" s="34" t="s">
        <v>15</v>
      </c>
      <c r="C5" s="35" t="s">
        <v>16</v>
      </c>
      <c r="D5" s="34" t="s">
        <v>17</v>
      </c>
      <c r="E5" s="35" t="s">
        <v>18</v>
      </c>
      <c r="F5" s="35" t="s">
        <v>19</v>
      </c>
      <c r="G5" s="35" t="s">
        <v>20</v>
      </c>
      <c r="H5" s="35" t="s">
        <v>21</v>
      </c>
      <c r="I5" s="35" t="s">
        <v>22</v>
      </c>
      <c r="J5" s="36" t="s">
        <v>23</v>
      </c>
      <c r="K5" s="120" t="s">
        <v>24</v>
      </c>
      <c r="L5" s="120" t="s">
        <v>25</v>
      </c>
      <c r="M5" s="120"/>
      <c r="N5" s="120"/>
      <c r="O5" s="120"/>
      <c r="P5" s="120"/>
      <c r="Q5" s="120"/>
      <c r="S5" s="120"/>
    </row>
    <row r="6" spans="1:19" ht="139.94999999999999" customHeight="1" x14ac:dyDescent="0.4">
      <c r="A6" s="37" t="s">
        <v>14</v>
      </c>
      <c r="B6" s="37" t="s">
        <v>15</v>
      </c>
      <c r="C6" s="38" t="s">
        <v>16</v>
      </c>
      <c r="D6" s="37" t="s">
        <v>26</v>
      </c>
      <c r="E6" s="38" t="s">
        <v>27</v>
      </c>
      <c r="F6" s="38" t="s">
        <v>28</v>
      </c>
      <c r="G6" s="38" t="s">
        <v>29</v>
      </c>
      <c r="H6" s="38" t="s">
        <v>30</v>
      </c>
      <c r="I6" s="38" t="s">
        <v>22</v>
      </c>
      <c r="J6" s="39" t="s">
        <v>23</v>
      </c>
      <c r="K6" s="120" t="s">
        <v>31</v>
      </c>
      <c r="L6" s="120" t="s">
        <v>25</v>
      </c>
      <c r="M6" s="120"/>
      <c r="N6" s="120"/>
      <c r="O6" s="120"/>
      <c r="P6" s="120"/>
      <c r="Q6" s="120"/>
      <c r="S6" s="120"/>
    </row>
    <row r="7" spans="1:19" ht="151.80000000000001" customHeight="1" x14ac:dyDescent="0.4">
      <c r="A7" s="34" t="s">
        <v>14</v>
      </c>
      <c r="B7" s="34" t="s">
        <v>15</v>
      </c>
      <c r="C7" s="35" t="s">
        <v>16</v>
      </c>
      <c r="D7" s="34" t="s">
        <v>32</v>
      </c>
      <c r="E7" s="35" t="s">
        <v>33</v>
      </c>
      <c r="F7" s="35" t="s">
        <v>34</v>
      </c>
      <c r="G7" s="35" t="s">
        <v>35</v>
      </c>
      <c r="H7" s="35" t="s">
        <v>36</v>
      </c>
      <c r="I7" s="35" t="s">
        <v>22</v>
      </c>
      <c r="J7" s="36" t="s">
        <v>23</v>
      </c>
      <c r="K7" s="120" t="s">
        <v>37</v>
      </c>
      <c r="L7" s="120" t="s">
        <v>25</v>
      </c>
      <c r="M7" s="120"/>
      <c r="N7" s="120"/>
      <c r="O7" s="120"/>
      <c r="P7" s="120"/>
      <c r="Q7" s="120"/>
      <c r="S7" s="120"/>
    </row>
    <row r="8" spans="1:19" ht="139.94999999999999" customHeight="1" x14ac:dyDescent="0.4">
      <c r="A8" s="37" t="s">
        <v>14</v>
      </c>
      <c r="B8" s="37" t="s">
        <v>38</v>
      </c>
      <c r="C8" s="38" t="s">
        <v>39</v>
      </c>
      <c r="D8" s="37" t="s">
        <v>40</v>
      </c>
      <c r="E8" s="38" t="s">
        <v>41</v>
      </c>
      <c r="F8" s="38" t="s">
        <v>42</v>
      </c>
      <c r="G8" s="38" t="s">
        <v>43</v>
      </c>
      <c r="H8" s="38" t="s">
        <v>44</v>
      </c>
      <c r="I8" s="38" t="s">
        <v>22</v>
      </c>
      <c r="J8" s="39" t="s">
        <v>45</v>
      </c>
      <c r="K8" s="120" t="s">
        <v>46</v>
      </c>
      <c r="L8" s="120" t="s">
        <v>25</v>
      </c>
      <c r="M8" s="120"/>
      <c r="N8" s="120"/>
      <c r="O8" s="120"/>
      <c r="P8" s="120"/>
      <c r="Q8" s="120"/>
      <c r="S8" s="120"/>
    </row>
    <row r="9" spans="1:19" ht="139.94999999999999" customHeight="1" x14ac:dyDescent="0.4">
      <c r="A9" s="34" t="s">
        <v>14</v>
      </c>
      <c r="B9" s="34" t="s">
        <v>38</v>
      </c>
      <c r="C9" s="35" t="s">
        <v>39</v>
      </c>
      <c r="D9" s="34" t="s">
        <v>47</v>
      </c>
      <c r="E9" s="35" t="s">
        <v>48</v>
      </c>
      <c r="F9" s="35" t="s">
        <v>49</v>
      </c>
      <c r="G9" s="35" t="s">
        <v>50</v>
      </c>
      <c r="H9" s="35" t="s">
        <v>51</v>
      </c>
      <c r="I9" s="35" t="s">
        <v>22</v>
      </c>
      <c r="J9" s="36" t="s">
        <v>23</v>
      </c>
      <c r="K9" s="120" t="s">
        <v>52</v>
      </c>
      <c r="L9" s="120" t="s">
        <v>25</v>
      </c>
      <c r="M9" s="120"/>
      <c r="N9" s="120"/>
      <c r="O9" s="120"/>
      <c r="P9" s="120"/>
      <c r="Q9" s="120"/>
      <c r="S9" s="120"/>
    </row>
    <row r="10" spans="1:19" ht="139.94999999999999" customHeight="1" x14ac:dyDescent="0.4">
      <c r="A10" s="37" t="s">
        <v>14</v>
      </c>
      <c r="B10" s="37" t="s">
        <v>53</v>
      </c>
      <c r="C10" s="38" t="s">
        <v>54</v>
      </c>
      <c r="D10" s="37" t="s">
        <v>55</v>
      </c>
      <c r="E10" s="38" t="s">
        <v>56</v>
      </c>
      <c r="F10" s="38" t="s">
        <v>57</v>
      </c>
      <c r="G10" s="38" t="s">
        <v>58</v>
      </c>
      <c r="H10" s="38" t="s">
        <v>59</v>
      </c>
      <c r="I10" s="38" t="s">
        <v>22</v>
      </c>
      <c r="J10" s="39" t="s">
        <v>23</v>
      </c>
      <c r="K10" s="120" t="s">
        <v>60</v>
      </c>
      <c r="L10" s="120" t="s">
        <v>25</v>
      </c>
      <c r="M10" s="120"/>
      <c r="N10" s="120"/>
      <c r="O10" s="120"/>
      <c r="P10" s="120"/>
      <c r="Q10" s="120"/>
      <c r="S10" s="120"/>
    </row>
    <row r="11" spans="1:19" ht="139.94999999999999" customHeight="1" x14ac:dyDescent="0.4">
      <c r="A11" s="34" t="s">
        <v>14</v>
      </c>
      <c r="B11" s="34" t="s">
        <v>53</v>
      </c>
      <c r="C11" s="35" t="s">
        <v>54</v>
      </c>
      <c r="D11" s="34" t="s">
        <v>61</v>
      </c>
      <c r="E11" s="35" t="s">
        <v>62</v>
      </c>
      <c r="F11" s="35" t="s">
        <v>63</v>
      </c>
      <c r="G11" s="35" t="s">
        <v>64</v>
      </c>
      <c r="H11" s="35" t="s">
        <v>65</v>
      </c>
      <c r="I11" s="35" t="s">
        <v>22</v>
      </c>
      <c r="J11" s="36" t="s">
        <v>23</v>
      </c>
      <c r="K11" s="120" t="s">
        <v>60</v>
      </c>
      <c r="L11" s="120" t="s">
        <v>25</v>
      </c>
      <c r="M11" s="120"/>
      <c r="N11" s="120"/>
      <c r="O11" s="120"/>
      <c r="P11" s="120"/>
      <c r="Q11" s="120"/>
      <c r="S11" s="120"/>
    </row>
    <row r="12" spans="1:19" ht="22.05" customHeight="1" x14ac:dyDescent="0.4">
      <c r="A12" s="127" t="s">
        <v>66</v>
      </c>
      <c r="B12" s="128"/>
      <c r="C12" s="128"/>
      <c r="D12" s="128"/>
      <c r="E12" s="128"/>
      <c r="F12" s="128"/>
      <c r="G12" s="128"/>
      <c r="H12" s="128"/>
      <c r="I12" s="128"/>
      <c r="J12" s="128"/>
      <c r="K12" s="130"/>
      <c r="L12" s="130"/>
      <c r="M12" s="120"/>
      <c r="N12" s="120"/>
      <c r="O12" s="120"/>
      <c r="P12" s="120"/>
      <c r="Q12" s="120"/>
      <c r="S12" s="120"/>
    </row>
    <row r="13" spans="1:19" ht="139.94999999999999" customHeight="1" x14ac:dyDescent="0.4">
      <c r="A13" s="34" t="s">
        <v>67</v>
      </c>
      <c r="B13" s="34" t="s">
        <v>68</v>
      </c>
      <c r="C13" s="35" t="s">
        <v>69</v>
      </c>
      <c r="D13" s="34" t="s">
        <v>70</v>
      </c>
      <c r="E13" s="35" t="s">
        <v>71</v>
      </c>
      <c r="F13" s="35" t="s">
        <v>72</v>
      </c>
      <c r="G13" s="35" t="s">
        <v>73</v>
      </c>
      <c r="H13" s="35" t="s">
        <v>74</v>
      </c>
      <c r="I13" s="35" t="s">
        <v>75</v>
      </c>
      <c r="J13" s="36" t="s">
        <v>23</v>
      </c>
      <c r="K13" s="120" t="s">
        <v>76</v>
      </c>
      <c r="L13" s="120" t="s">
        <v>25</v>
      </c>
      <c r="M13" s="120"/>
      <c r="N13" s="120"/>
      <c r="O13" s="120"/>
      <c r="P13" s="120"/>
      <c r="Q13" s="120"/>
      <c r="S13" s="120"/>
    </row>
    <row r="14" spans="1:19" ht="139.94999999999999" customHeight="1" x14ac:dyDescent="0.4">
      <c r="A14" s="37" t="s">
        <v>67</v>
      </c>
      <c r="B14" s="37" t="s">
        <v>77</v>
      </c>
      <c r="C14" s="38" t="s">
        <v>78</v>
      </c>
      <c r="D14" s="37" t="s">
        <v>79</v>
      </c>
      <c r="E14" s="38" t="s">
        <v>80</v>
      </c>
      <c r="F14" s="38" t="s">
        <v>81</v>
      </c>
      <c r="G14" s="38" t="s">
        <v>82</v>
      </c>
      <c r="H14" s="38" t="s">
        <v>83</v>
      </c>
      <c r="I14" s="38" t="s">
        <v>75</v>
      </c>
      <c r="J14" s="39" t="s">
        <v>23</v>
      </c>
      <c r="K14" s="120" t="s">
        <v>84</v>
      </c>
      <c r="L14" s="120" t="s">
        <v>85</v>
      </c>
      <c r="M14" s="120"/>
      <c r="N14" s="120"/>
      <c r="O14" s="120"/>
      <c r="P14" s="120"/>
      <c r="Q14" s="120"/>
      <c r="S14" s="120"/>
    </row>
    <row r="15" spans="1:19" ht="139.94999999999999" customHeight="1" x14ac:dyDescent="0.4">
      <c r="A15" s="34" t="s">
        <v>67</v>
      </c>
      <c r="B15" s="34" t="s">
        <v>86</v>
      </c>
      <c r="C15" s="35" t="s">
        <v>87</v>
      </c>
      <c r="D15" s="34" t="s">
        <v>88</v>
      </c>
      <c r="E15" s="35" t="s">
        <v>89</v>
      </c>
      <c r="F15" s="35" t="s">
        <v>90</v>
      </c>
      <c r="G15" s="35" t="s">
        <v>91</v>
      </c>
      <c r="H15" s="35" t="s">
        <v>92</v>
      </c>
      <c r="I15" s="35" t="s">
        <v>93</v>
      </c>
      <c r="J15" s="36" t="s">
        <v>23</v>
      </c>
      <c r="K15" s="120" t="s">
        <v>94</v>
      </c>
      <c r="L15" s="120" t="s">
        <v>25</v>
      </c>
      <c r="M15" s="120"/>
      <c r="N15" s="120"/>
      <c r="O15" s="120"/>
      <c r="P15" s="120"/>
      <c r="Q15" s="120"/>
      <c r="S15" s="120"/>
    </row>
    <row r="16" spans="1:19" ht="268.2" customHeight="1" x14ac:dyDescent="0.4">
      <c r="A16" s="37" t="s">
        <v>67</v>
      </c>
      <c r="B16" s="37" t="s">
        <v>95</v>
      </c>
      <c r="C16" s="38" t="s">
        <v>96</v>
      </c>
      <c r="D16" s="37" t="s">
        <v>97</v>
      </c>
      <c r="E16" s="38" t="s">
        <v>98</v>
      </c>
      <c r="F16" s="38" t="s">
        <v>99</v>
      </c>
      <c r="G16" s="38" t="s">
        <v>100</v>
      </c>
      <c r="H16" s="38" t="s">
        <v>101</v>
      </c>
      <c r="I16" s="38" t="s">
        <v>102</v>
      </c>
      <c r="J16" s="39" t="s">
        <v>103</v>
      </c>
      <c r="K16" s="120" t="s">
        <v>104</v>
      </c>
      <c r="L16" s="120" t="s">
        <v>105</v>
      </c>
      <c r="M16" s="120"/>
      <c r="N16" s="120"/>
      <c r="O16" s="120"/>
      <c r="P16" s="120"/>
      <c r="Q16" s="120"/>
      <c r="S16" s="120"/>
    </row>
    <row r="17" spans="1:19" ht="22.05" customHeight="1" x14ac:dyDescent="0.4">
      <c r="A17" s="127" t="s">
        <v>106</v>
      </c>
      <c r="B17" s="128"/>
      <c r="C17" s="128"/>
      <c r="D17" s="128"/>
      <c r="E17" s="128"/>
      <c r="F17" s="128"/>
      <c r="G17" s="128"/>
      <c r="H17" s="128"/>
      <c r="I17" s="128"/>
      <c r="J17" s="128"/>
      <c r="K17" s="130"/>
      <c r="L17" s="130"/>
      <c r="M17" s="120"/>
      <c r="N17" s="120"/>
      <c r="O17" s="120"/>
      <c r="P17" s="120"/>
      <c r="Q17" s="120"/>
      <c r="S17" s="120"/>
    </row>
    <row r="18" spans="1:19" ht="177.6" customHeight="1" x14ac:dyDescent="0.4">
      <c r="A18" s="34" t="s">
        <v>107</v>
      </c>
      <c r="B18" s="34" t="s">
        <v>108</v>
      </c>
      <c r="C18" s="35" t="s">
        <v>109</v>
      </c>
      <c r="D18" s="34" t="s">
        <v>110</v>
      </c>
      <c r="E18" s="35" t="s">
        <v>111</v>
      </c>
      <c r="F18" s="35" t="s">
        <v>112</v>
      </c>
      <c r="G18" s="35" t="s">
        <v>113</v>
      </c>
      <c r="H18" s="35" t="s">
        <v>114</v>
      </c>
      <c r="I18" s="35" t="s">
        <v>115</v>
      </c>
      <c r="J18" s="36" t="s">
        <v>23</v>
      </c>
      <c r="K18" s="120" t="s">
        <v>116</v>
      </c>
      <c r="L18" s="120" t="s">
        <v>25</v>
      </c>
      <c r="M18" s="120"/>
      <c r="N18" s="120"/>
      <c r="O18" s="120"/>
      <c r="P18" s="120"/>
      <c r="Q18" s="120"/>
      <c r="S18" s="120"/>
    </row>
    <row r="19" spans="1:19" ht="139.94999999999999" customHeight="1" x14ac:dyDescent="0.4">
      <c r="A19" s="37" t="s">
        <v>107</v>
      </c>
      <c r="B19" s="37" t="s">
        <v>108</v>
      </c>
      <c r="C19" s="38" t="s">
        <v>109</v>
      </c>
      <c r="D19" s="37" t="s">
        <v>117</v>
      </c>
      <c r="E19" s="38" t="s">
        <v>118</v>
      </c>
      <c r="F19" s="38" t="s">
        <v>119</v>
      </c>
      <c r="G19" s="38" t="s">
        <v>120</v>
      </c>
      <c r="H19" s="38" t="s">
        <v>121</v>
      </c>
      <c r="I19" s="38" t="s">
        <v>75</v>
      </c>
      <c r="J19" s="39" t="s">
        <v>23</v>
      </c>
      <c r="K19" s="120" t="s">
        <v>122</v>
      </c>
      <c r="L19" s="120" t="s">
        <v>25</v>
      </c>
      <c r="M19" s="120"/>
      <c r="N19" s="120"/>
      <c r="O19" s="120"/>
      <c r="P19" s="120"/>
      <c r="Q19" s="120"/>
      <c r="S19" s="120"/>
    </row>
    <row r="20" spans="1:19" ht="139.94999999999999" customHeight="1" x14ac:dyDescent="0.4">
      <c r="A20" s="34" t="s">
        <v>107</v>
      </c>
      <c r="B20" s="34" t="s">
        <v>108</v>
      </c>
      <c r="C20" s="35" t="s">
        <v>109</v>
      </c>
      <c r="D20" s="34" t="s">
        <v>123</v>
      </c>
      <c r="E20" s="35" t="s">
        <v>124</v>
      </c>
      <c r="F20" s="35" t="s">
        <v>125</v>
      </c>
      <c r="G20" s="35" t="s">
        <v>126</v>
      </c>
      <c r="H20" s="35" t="s">
        <v>127</v>
      </c>
      <c r="I20" s="35" t="s">
        <v>115</v>
      </c>
      <c r="J20" s="36" t="s">
        <v>23</v>
      </c>
      <c r="K20" s="120" t="s">
        <v>128</v>
      </c>
      <c r="L20" s="120" t="s">
        <v>25</v>
      </c>
      <c r="M20" s="120"/>
      <c r="N20" s="120"/>
      <c r="O20" s="120"/>
      <c r="P20" s="120"/>
      <c r="Q20" s="120"/>
      <c r="S20" s="120"/>
    </row>
    <row r="21" spans="1:19" ht="139.94999999999999" customHeight="1" x14ac:dyDescent="0.4">
      <c r="A21" s="37" t="s">
        <v>107</v>
      </c>
      <c r="B21" s="37" t="s">
        <v>129</v>
      </c>
      <c r="C21" s="38" t="s">
        <v>130</v>
      </c>
      <c r="D21" s="37" t="s">
        <v>131</v>
      </c>
      <c r="E21" s="38" t="s">
        <v>132</v>
      </c>
      <c r="F21" s="38" t="s">
        <v>133</v>
      </c>
      <c r="G21" s="38" t="s">
        <v>134</v>
      </c>
      <c r="H21" s="38" t="s">
        <v>135</v>
      </c>
      <c r="I21" s="38" t="s">
        <v>136</v>
      </c>
      <c r="J21" s="39" t="s">
        <v>23</v>
      </c>
      <c r="K21" s="120" t="s">
        <v>137</v>
      </c>
      <c r="L21" s="120" t="s">
        <v>25</v>
      </c>
      <c r="M21" s="120"/>
      <c r="N21" s="120"/>
      <c r="O21" s="120"/>
      <c r="P21" s="120"/>
      <c r="Q21" s="120"/>
      <c r="S21" s="120"/>
    </row>
    <row r="22" spans="1:19" ht="139.94999999999999" customHeight="1" x14ac:dyDescent="0.4">
      <c r="A22" s="34" t="s">
        <v>107</v>
      </c>
      <c r="B22" s="34" t="s">
        <v>129</v>
      </c>
      <c r="C22" s="35" t="s">
        <v>130</v>
      </c>
      <c r="D22" s="34" t="s">
        <v>138</v>
      </c>
      <c r="E22" s="35" t="s">
        <v>139</v>
      </c>
      <c r="F22" s="35" t="s">
        <v>140</v>
      </c>
      <c r="G22" s="35" t="s">
        <v>141</v>
      </c>
      <c r="H22" s="35" t="s">
        <v>142</v>
      </c>
      <c r="I22" s="35" t="s">
        <v>75</v>
      </c>
      <c r="J22" s="36" t="s">
        <v>23</v>
      </c>
      <c r="K22" s="120" t="s">
        <v>143</v>
      </c>
      <c r="L22" s="120" t="s">
        <v>25</v>
      </c>
      <c r="M22" s="120"/>
      <c r="N22" s="120"/>
      <c r="O22" s="120"/>
      <c r="P22" s="120"/>
      <c r="Q22" s="120"/>
      <c r="S22" s="120"/>
    </row>
    <row r="23" spans="1:19" ht="139.94999999999999" customHeight="1" x14ac:dyDescent="0.4">
      <c r="A23" s="37" t="s">
        <v>107</v>
      </c>
      <c r="B23" s="37" t="s">
        <v>144</v>
      </c>
      <c r="C23" s="38" t="s">
        <v>145</v>
      </c>
      <c r="D23" s="37" t="s">
        <v>146</v>
      </c>
      <c r="E23" s="38" t="s">
        <v>147</v>
      </c>
      <c r="F23" s="38" t="s">
        <v>148</v>
      </c>
      <c r="G23" s="38" t="s">
        <v>149</v>
      </c>
      <c r="H23" s="38" t="s">
        <v>150</v>
      </c>
      <c r="I23" s="38" t="s">
        <v>75</v>
      </c>
      <c r="J23" s="39" t="s">
        <v>151</v>
      </c>
      <c r="K23" s="120" t="s">
        <v>152</v>
      </c>
      <c r="L23" s="120" t="s">
        <v>153</v>
      </c>
      <c r="M23" s="120"/>
      <c r="N23" s="120"/>
      <c r="O23" s="120"/>
      <c r="P23" s="120"/>
      <c r="Q23" s="120"/>
      <c r="S23" s="120"/>
    </row>
    <row r="24" spans="1:19" ht="139.94999999999999" customHeight="1" x14ac:dyDescent="0.4">
      <c r="A24" s="34" t="s">
        <v>107</v>
      </c>
      <c r="B24" s="34" t="s">
        <v>144</v>
      </c>
      <c r="C24" s="35" t="s">
        <v>145</v>
      </c>
      <c r="D24" s="34" t="s">
        <v>154</v>
      </c>
      <c r="E24" s="35" t="s">
        <v>155</v>
      </c>
      <c r="F24" s="35" t="s">
        <v>156</v>
      </c>
      <c r="G24" s="35" t="s">
        <v>157</v>
      </c>
      <c r="H24" s="35" t="s">
        <v>158</v>
      </c>
      <c r="I24" s="35" t="s">
        <v>75</v>
      </c>
      <c r="J24" s="36" t="s">
        <v>159</v>
      </c>
      <c r="K24" s="120" t="s">
        <v>160</v>
      </c>
      <c r="L24" s="120" t="s">
        <v>161</v>
      </c>
      <c r="M24" s="120"/>
      <c r="N24" s="120"/>
      <c r="O24" s="120"/>
      <c r="P24" s="120"/>
      <c r="Q24" s="120"/>
      <c r="S24" s="120"/>
    </row>
    <row r="25" spans="1:19" ht="139.94999999999999" customHeight="1" x14ac:dyDescent="0.4">
      <c r="A25" s="37" t="s">
        <v>107</v>
      </c>
      <c r="B25" s="37" t="s">
        <v>162</v>
      </c>
      <c r="C25" s="38" t="s">
        <v>163</v>
      </c>
      <c r="D25" s="37" t="s">
        <v>164</v>
      </c>
      <c r="E25" s="38" t="s">
        <v>165</v>
      </c>
      <c r="F25" s="38" t="s">
        <v>166</v>
      </c>
      <c r="G25" s="38" t="s">
        <v>167</v>
      </c>
      <c r="H25" s="38" t="s">
        <v>168</v>
      </c>
      <c r="I25" s="38" t="s">
        <v>169</v>
      </c>
      <c r="J25" s="39" t="s">
        <v>170</v>
      </c>
      <c r="K25" s="120" t="s">
        <v>171</v>
      </c>
      <c r="L25" s="120" t="s">
        <v>25</v>
      </c>
      <c r="M25" s="120"/>
      <c r="N25" s="120"/>
      <c r="O25" s="120"/>
      <c r="P25" s="120"/>
      <c r="Q25" s="120"/>
      <c r="S25" s="120"/>
    </row>
    <row r="26" spans="1:19" ht="139.94999999999999" customHeight="1" x14ac:dyDescent="0.4">
      <c r="A26" s="34" t="s">
        <v>107</v>
      </c>
      <c r="B26" s="34" t="s">
        <v>162</v>
      </c>
      <c r="C26" s="35" t="s">
        <v>163</v>
      </c>
      <c r="D26" s="34" t="s">
        <v>172</v>
      </c>
      <c r="E26" s="35" t="s">
        <v>173</v>
      </c>
      <c r="F26" s="35" t="s">
        <v>174</v>
      </c>
      <c r="G26" s="35" t="s">
        <v>175</v>
      </c>
      <c r="H26" s="35" t="s">
        <v>176</v>
      </c>
      <c r="I26" s="35" t="s">
        <v>169</v>
      </c>
      <c r="J26" s="36" t="s">
        <v>177</v>
      </c>
      <c r="K26" s="120" t="s">
        <v>178</v>
      </c>
      <c r="L26" s="120" t="s">
        <v>25</v>
      </c>
      <c r="M26" s="120"/>
      <c r="N26" s="120"/>
      <c r="O26" s="120"/>
      <c r="P26" s="120"/>
      <c r="Q26" s="120"/>
      <c r="S26" s="120"/>
    </row>
    <row r="27" spans="1:19" ht="139.94999999999999" customHeight="1" x14ac:dyDescent="0.4">
      <c r="A27" s="37" t="s">
        <v>107</v>
      </c>
      <c r="B27" s="37" t="s">
        <v>179</v>
      </c>
      <c r="C27" s="38" t="s">
        <v>180</v>
      </c>
      <c r="D27" s="37" t="s">
        <v>181</v>
      </c>
      <c r="E27" s="38" t="s">
        <v>182</v>
      </c>
      <c r="F27" s="38" t="s">
        <v>183</v>
      </c>
      <c r="G27" s="38" t="s">
        <v>184</v>
      </c>
      <c r="H27" s="38" t="s">
        <v>185</v>
      </c>
      <c r="I27" s="38" t="s">
        <v>75</v>
      </c>
      <c r="J27" s="39" t="s">
        <v>23</v>
      </c>
      <c r="K27" s="120" t="s">
        <v>186</v>
      </c>
      <c r="L27" s="120" t="s">
        <v>25</v>
      </c>
      <c r="M27" s="120"/>
      <c r="N27" s="120"/>
      <c r="O27" s="120"/>
      <c r="P27" s="120"/>
      <c r="Q27" s="120"/>
      <c r="S27" s="120"/>
    </row>
    <row r="28" spans="1:19" ht="139.94999999999999" customHeight="1" x14ac:dyDescent="0.4">
      <c r="A28" s="34" t="s">
        <v>107</v>
      </c>
      <c r="B28" s="34" t="s">
        <v>179</v>
      </c>
      <c r="C28" s="35" t="s">
        <v>180</v>
      </c>
      <c r="D28" s="34" t="s">
        <v>187</v>
      </c>
      <c r="E28" s="35" t="s">
        <v>188</v>
      </c>
      <c r="F28" s="35" t="s">
        <v>189</v>
      </c>
      <c r="G28" s="35" t="s">
        <v>190</v>
      </c>
      <c r="H28" s="35" t="s">
        <v>191</v>
      </c>
      <c r="I28" s="35" t="s">
        <v>75</v>
      </c>
      <c r="J28" s="36" t="s">
        <v>23</v>
      </c>
      <c r="K28" s="120" t="s">
        <v>192</v>
      </c>
      <c r="L28" s="120" t="s">
        <v>25</v>
      </c>
      <c r="M28" s="120"/>
      <c r="N28" s="120"/>
      <c r="O28" s="120"/>
      <c r="P28" s="120"/>
      <c r="Q28" s="120"/>
      <c r="S28" s="120"/>
    </row>
    <row r="29" spans="1:19" ht="139.94999999999999" customHeight="1" x14ac:dyDescent="0.4">
      <c r="A29" s="37" t="s">
        <v>107</v>
      </c>
      <c r="B29" s="37" t="s">
        <v>193</v>
      </c>
      <c r="C29" s="38" t="s">
        <v>194</v>
      </c>
      <c r="D29" s="37" t="s">
        <v>195</v>
      </c>
      <c r="E29" s="38" t="s">
        <v>196</v>
      </c>
      <c r="F29" s="38" t="s">
        <v>197</v>
      </c>
      <c r="G29" s="38" t="s">
        <v>198</v>
      </c>
      <c r="H29" s="38" t="s">
        <v>199</v>
      </c>
      <c r="I29" s="38" t="s">
        <v>169</v>
      </c>
      <c r="J29" s="39" t="s">
        <v>23</v>
      </c>
      <c r="K29" s="120" t="s">
        <v>200</v>
      </c>
      <c r="L29" s="120" t="s">
        <v>25</v>
      </c>
      <c r="M29" s="120"/>
      <c r="N29" s="120"/>
      <c r="O29" s="120"/>
      <c r="P29" s="120"/>
      <c r="Q29" s="120"/>
      <c r="S29" s="120"/>
    </row>
    <row r="30" spans="1:19" ht="139.94999999999999" customHeight="1" x14ac:dyDescent="0.4">
      <c r="A30" s="34" t="s">
        <v>107</v>
      </c>
      <c r="B30" s="34" t="s">
        <v>193</v>
      </c>
      <c r="C30" s="35" t="s">
        <v>194</v>
      </c>
      <c r="D30" s="34" t="s">
        <v>201</v>
      </c>
      <c r="E30" s="35" t="s">
        <v>202</v>
      </c>
      <c r="F30" s="35" t="s">
        <v>203</v>
      </c>
      <c r="G30" s="35" t="s">
        <v>204</v>
      </c>
      <c r="H30" s="35" t="s">
        <v>205</v>
      </c>
      <c r="I30" s="35" t="s">
        <v>169</v>
      </c>
      <c r="J30" s="36" t="s">
        <v>23</v>
      </c>
      <c r="K30" s="120" t="s">
        <v>206</v>
      </c>
      <c r="L30" s="120" t="s">
        <v>25</v>
      </c>
      <c r="M30" s="120"/>
      <c r="N30" s="120"/>
      <c r="O30" s="120"/>
      <c r="P30" s="120"/>
      <c r="Q30" s="120"/>
      <c r="S30" s="120"/>
    </row>
    <row r="31" spans="1:19" ht="139.94999999999999" customHeight="1" x14ac:dyDescent="0.4">
      <c r="A31" s="37" t="s">
        <v>107</v>
      </c>
      <c r="B31" s="37" t="s">
        <v>193</v>
      </c>
      <c r="C31" s="38" t="s">
        <v>194</v>
      </c>
      <c r="D31" s="37" t="s">
        <v>207</v>
      </c>
      <c r="E31" s="38" t="s">
        <v>208</v>
      </c>
      <c r="F31" s="38" t="s">
        <v>209</v>
      </c>
      <c r="G31" s="38" t="s">
        <v>210</v>
      </c>
      <c r="H31" s="38" t="s">
        <v>211</v>
      </c>
      <c r="I31" s="38" t="s">
        <v>169</v>
      </c>
      <c r="J31" s="39" t="s">
        <v>23</v>
      </c>
      <c r="K31" s="120" t="s">
        <v>212</v>
      </c>
      <c r="L31" s="120" t="s">
        <v>25</v>
      </c>
      <c r="M31" s="120"/>
      <c r="N31" s="120"/>
      <c r="O31" s="120"/>
      <c r="P31" s="120"/>
      <c r="Q31" s="120"/>
      <c r="S31" s="120"/>
    </row>
    <row r="32" spans="1:19" ht="22.05" customHeight="1" x14ac:dyDescent="0.4">
      <c r="A32" s="127" t="s">
        <v>213</v>
      </c>
      <c r="B32" s="128"/>
      <c r="C32" s="128"/>
      <c r="D32" s="128"/>
      <c r="E32" s="128"/>
      <c r="F32" s="128"/>
      <c r="G32" s="128"/>
      <c r="H32" s="128"/>
      <c r="I32" s="128"/>
      <c r="J32" s="128"/>
      <c r="K32" s="130"/>
      <c r="L32" s="130"/>
      <c r="M32" s="120"/>
      <c r="N32" s="120"/>
      <c r="O32" s="120"/>
      <c r="P32" s="120"/>
      <c r="Q32" s="120"/>
      <c r="S32" s="120"/>
    </row>
    <row r="33" spans="1:19" ht="139.94999999999999" customHeight="1" x14ac:dyDescent="0.4">
      <c r="A33" s="34" t="s">
        <v>214</v>
      </c>
      <c r="B33" s="34" t="s">
        <v>215</v>
      </c>
      <c r="C33" s="35" t="s">
        <v>216</v>
      </c>
      <c r="D33" s="34" t="s">
        <v>217</v>
      </c>
      <c r="E33" s="35" t="s">
        <v>218</v>
      </c>
      <c r="F33" s="35" t="s">
        <v>219</v>
      </c>
      <c r="G33" s="35" t="s">
        <v>220</v>
      </c>
      <c r="H33" s="35" t="s">
        <v>221</v>
      </c>
      <c r="I33" s="35" t="s">
        <v>115</v>
      </c>
      <c r="J33" s="36" t="s">
        <v>23</v>
      </c>
      <c r="K33" s="120" t="s">
        <v>222</v>
      </c>
      <c r="L33" s="120" t="s">
        <v>25</v>
      </c>
      <c r="M33" s="120"/>
      <c r="N33" s="120"/>
      <c r="O33" s="120"/>
      <c r="P33" s="120"/>
      <c r="Q33" s="120"/>
      <c r="S33" s="120"/>
    </row>
    <row r="34" spans="1:19" ht="139.94999999999999" customHeight="1" x14ac:dyDescent="0.4">
      <c r="A34" s="37" t="s">
        <v>214</v>
      </c>
      <c r="B34" s="37" t="s">
        <v>223</v>
      </c>
      <c r="C34" s="38" t="s">
        <v>224</v>
      </c>
      <c r="D34" s="37" t="s">
        <v>225</v>
      </c>
      <c r="E34" s="38" t="s">
        <v>226</v>
      </c>
      <c r="F34" s="38" t="s">
        <v>227</v>
      </c>
      <c r="G34" s="38" t="s">
        <v>228</v>
      </c>
      <c r="H34" s="38" t="s">
        <v>229</v>
      </c>
      <c r="I34" s="38" t="s">
        <v>136</v>
      </c>
      <c r="J34" s="39" t="s">
        <v>23</v>
      </c>
      <c r="K34" s="120" t="s">
        <v>230</v>
      </c>
      <c r="L34" s="120" t="s">
        <v>25</v>
      </c>
      <c r="M34" s="120"/>
      <c r="N34" s="120"/>
      <c r="O34" s="120"/>
      <c r="P34" s="120"/>
      <c r="Q34" s="120"/>
      <c r="S34" s="120"/>
    </row>
    <row r="35" spans="1:19" ht="139.94999999999999" customHeight="1" x14ac:dyDescent="0.4">
      <c r="A35" s="34" t="s">
        <v>214</v>
      </c>
      <c r="B35" s="34" t="s">
        <v>231</v>
      </c>
      <c r="C35" s="35" t="s">
        <v>232</v>
      </c>
      <c r="D35" s="34" t="s">
        <v>233</v>
      </c>
      <c r="E35" s="35" t="s">
        <v>234</v>
      </c>
      <c r="F35" s="35" t="s">
        <v>235</v>
      </c>
      <c r="G35" s="35" t="s">
        <v>236</v>
      </c>
      <c r="H35" s="35" t="s">
        <v>237</v>
      </c>
      <c r="I35" s="35" t="s">
        <v>75</v>
      </c>
      <c r="J35" s="36" t="s">
        <v>23</v>
      </c>
      <c r="K35" s="120" t="s">
        <v>238</v>
      </c>
      <c r="L35" s="120" t="s">
        <v>25</v>
      </c>
      <c r="M35" s="120"/>
      <c r="N35" s="120"/>
      <c r="O35" s="120"/>
      <c r="P35" s="120"/>
      <c r="Q35" s="120"/>
      <c r="S35" s="120"/>
    </row>
    <row r="36" spans="1:19" ht="139.94999999999999" customHeight="1" x14ac:dyDescent="0.4">
      <c r="A36" s="37" t="s">
        <v>214</v>
      </c>
      <c r="B36" s="37" t="s">
        <v>239</v>
      </c>
      <c r="C36" s="38" t="s">
        <v>240</v>
      </c>
      <c r="D36" s="37" t="s">
        <v>241</v>
      </c>
      <c r="E36" s="38" t="s">
        <v>242</v>
      </c>
      <c r="F36" s="38" t="s">
        <v>243</v>
      </c>
      <c r="G36" s="38" t="s">
        <v>244</v>
      </c>
      <c r="H36" s="38" t="s">
        <v>245</v>
      </c>
      <c r="I36" s="38" t="s">
        <v>75</v>
      </c>
      <c r="J36" s="39" t="s">
        <v>23</v>
      </c>
      <c r="K36" s="120" t="s">
        <v>246</v>
      </c>
      <c r="L36" s="120" t="s">
        <v>25</v>
      </c>
      <c r="M36" s="120"/>
      <c r="N36" s="120"/>
      <c r="O36" s="120"/>
      <c r="P36" s="120"/>
      <c r="Q36" s="120"/>
      <c r="S36" s="120"/>
    </row>
    <row r="37" spans="1:19" ht="139.94999999999999" customHeight="1" x14ac:dyDescent="0.4">
      <c r="A37" s="34" t="s">
        <v>214</v>
      </c>
      <c r="B37" s="34" t="s">
        <v>247</v>
      </c>
      <c r="C37" s="35" t="s">
        <v>248</v>
      </c>
      <c r="D37" s="34" t="s">
        <v>249</v>
      </c>
      <c r="E37" s="35" t="s">
        <v>250</v>
      </c>
      <c r="F37" s="35" t="s">
        <v>251</v>
      </c>
      <c r="G37" s="35" t="s">
        <v>252</v>
      </c>
      <c r="H37" s="35" t="s">
        <v>253</v>
      </c>
      <c r="I37" s="35" t="s">
        <v>169</v>
      </c>
      <c r="J37" s="36" t="s">
        <v>23</v>
      </c>
      <c r="K37" s="120" t="s">
        <v>254</v>
      </c>
      <c r="L37" s="120" t="s">
        <v>25</v>
      </c>
      <c r="M37" s="120"/>
      <c r="N37" s="120"/>
      <c r="O37" s="120"/>
      <c r="P37" s="120"/>
      <c r="Q37" s="120"/>
      <c r="S37" s="120"/>
    </row>
    <row r="38" spans="1:19" ht="139.94999999999999" customHeight="1" x14ac:dyDescent="0.4">
      <c r="A38" s="37" t="s">
        <v>214</v>
      </c>
      <c r="B38" s="37" t="s">
        <v>247</v>
      </c>
      <c r="C38" s="38" t="s">
        <v>248</v>
      </c>
      <c r="D38" s="37" t="s">
        <v>255</v>
      </c>
      <c r="E38" s="38" t="s">
        <v>256</v>
      </c>
      <c r="F38" s="38" t="s">
        <v>257</v>
      </c>
      <c r="G38" s="38" t="s">
        <v>258</v>
      </c>
      <c r="H38" s="38" t="s">
        <v>259</v>
      </c>
      <c r="I38" s="38" t="s">
        <v>169</v>
      </c>
      <c r="J38" s="39" t="s">
        <v>260</v>
      </c>
      <c r="K38" s="120" t="s">
        <v>261</v>
      </c>
      <c r="L38" s="120" t="s">
        <v>25</v>
      </c>
      <c r="M38" s="120"/>
      <c r="N38" s="120"/>
      <c r="O38" s="120"/>
      <c r="P38" s="120"/>
      <c r="Q38" s="120"/>
      <c r="S38" s="120"/>
    </row>
    <row r="39" spans="1:19" ht="139.94999999999999" customHeight="1" x14ac:dyDescent="0.4">
      <c r="A39" s="34" t="s">
        <v>214</v>
      </c>
      <c r="B39" s="34" t="s">
        <v>262</v>
      </c>
      <c r="C39" s="35" t="s">
        <v>263</v>
      </c>
      <c r="D39" s="34" t="s">
        <v>264</v>
      </c>
      <c r="E39" s="35" t="s">
        <v>265</v>
      </c>
      <c r="F39" s="35" t="s">
        <v>266</v>
      </c>
      <c r="G39" s="35" t="s">
        <v>267</v>
      </c>
      <c r="H39" s="35" t="s">
        <v>268</v>
      </c>
      <c r="I39" s="35" t="s">
        <v>75</v>
      </c>
      <c r="J39" s="36" t="s">
        <v>23</v>
      </c>
      <c r="K39" s="120" t="s">
        <v>269</v>
      </c>
      <c r="L39" s="120" t="s">
        <v>270</v>
      </c>
      <c r="M39" s="120"/>
      <c r="N39" s="120"/>
      <c r="O39" s="120"/>
      <c r="P39" s="120"/>
      <c r="Q39" s="120"/>
      <c r="S39" s="120"/>
    </row>
    <row r="40" spans="1:19" ht="139.94999999999999" customHeight="1" x14ac:dyDescent="0.4">
      <c r="A40" s="37" t="s">
        <v>214</v>
      </c>
      <c r="B40" s="37" t="s">
        <v>271</v>
      </c>
      <c r="C40" s="38" t="s">
        <v>272</v>
      </c>
      <c r="D40" s="37" t="s">
        <v>273</v>
      </c>
      <c r="E40" s="38" t="s">
        <v>274</v>
      </c>
      <c r="F40" s="38" t="s">
        <v>275</v>
      </c>
      <c r="G40" s="38" t="s">
        <v>276</v>
      </c>
      <c r="H40" s="38" t="s">
        <v>277</v>
      </c>
      <c r="I40" s="38" t="s">
        <v>75</v>
      </c>
      <c r="J40" s="39" t="s">
        <v>23</v>
      </c>
      <c r="K40" s="120" t="s">
        <v>278</v>
      </c>
      <c r="L40" s="120" t="s">
        <v>279</v>
      </c>
      <c r="M40" s="120"/>
      <c r="N40" s="120"/>
      <c r="O40" s="120"/>
      <c r="P40" s="120"/>
      <c r="Q40" s="120"/>
      <c r="S40" s="120"/>
    </row>
    <row r="41" spans="1:19" ht="139.94999999999999" customHeight="1" x14ac:dyDescent="0.4">
      <c r="A41" s="34" t="s">
        <v>214</v>
      </c>
      <c r="B41" s="34" t="s">
        <v>271</v>
      </c>
      <c r="C41" s="35" t="s">
        <v>272</v>
      </c>
      <c r="D41" s="34" t="s">
        <v>280</v>
      </c>
      <c r="E41" s="35" t="s">
        <v>281</v>
      </c>
      <c r="F41" s="35" t="s">
        <v>282</v>
      </c>
      <c r="G41" s="35" t="s">
        <v>283</v>
      </c>
      <c r="H41" s="35" t="s">
        <v>284</v>
      </c>
      <c r="I41" s="35" t="s">
        <v>75</v>
      </c>
      <c r="J41" s="36" t="s">
        <v>285</v>
      </c>
      <c r="K41" s="120" t="s">
        <v>286</v>
      </c>
      <c r="L41" s="120" t="s">
        <v>287</v>
      </c>
      <c r="M41" s="120"/>
      <c r="N41" s="120"/>
      <c r="O41" s="120"/>
      <c r="P41" s="120"/>
      <c r="Q41" s="120"/>
      <c r="S41" s="120"/>
    </row>
    <row r="42" spans="1:19" ht="139.94999999999999" customHeight="1" x14ac:dyDescent="0.4">
      <c r="A42" s="37" t="s">
        <v>214</v>
      </c>
      <c r="B42" s="37" t="s">
        <v>271</v>
      </c>
      <c r="C42" s="38" t="s">
        <v>272</v>
      </c>
      <c r="D42" s="37" t="s">
        <v>288</v>
      </c>
      <c r="E42" s="38" t="s">
        <v>289</v>
      </c>
      <c r="F42" s="38" t="s">
        <v>290</v>
      </c>
      <c r="G42" s="38" t="s">
        <v>291</v>
      </c>
      <c r="H42" s="38" t="s">
        <v>292</v>
      </c>
      <c r="I42" s="38" t="s">
        <v>75</v>
      </c>
      <c r="J42" s="39" t="s">
        <v>23</v>
      </c>
      <c r="K42" s="120" t="s">
        <v>293</v>
      </c>
      <c r="L42" s="120" t="s">
        <v>294</v>
      </c>
      <c r="M42" s="120"/>
      <c r="N42" s="120"/>
      <c r="O42" s="120"/>
      <c r="P42" s="120"/>
      <c r="Q42" s="120"/>
      <c r="S42" s="120"/>
    </row>
    <row r="43" spans="1:19" ht="139.94999999999999" customHeight="1" x14ac:dyDescent="0.4">
      <c r="A43" s="34" t="s">
        <v>214</v>
      </c>
      <c r="B43" s="34" t="s">
        <v>271</v>
      </c>
      <c r="C43" s="35" t="s">
        <v>272</v>
      </c>
      <c r="D43" s="34" t="s">
        <v>295</v>
      </c>
      <c r="E43" s="35" t="s">
        <v>296</v>
      </c>
      <c r="F43" s="35" t="s">
        <v>297</v>
      </c>
      <c r="G43" s="35" t="s">
        <v>298</v>
      </c>
      <c r="H43" s="35" t="s">
        <v>299</v>
      </c>
      <c r="I43" s="35" t="s">
        <v>75</v>
      </c>
      <c r="J43" s="36" t="s">
        <v>23</v>
      </c>
      <c r="K43" s="120" t="s">
        <v>300</v>
      </c>
      <c r="L43" s="120" t="s">
        <v>25</v>
      </c>
      <c r="M43" s="120"/>
      <c r="N43" s="120"/>
      <c r="O43" s="120"/>
      <c r="P43" s="120"/>
      <c r="Q43" s="120"/>
      <c r="S43" s="120"/>
    </row>
    <row r="44" spans="1:19" ht="139.94999999999999" customHeight="1" x14ac:dyDescent="0.4">
      <c r="A44" s="37" t="s">
        <v>214</v>
      </c>
      <c r="B44" s="37" t="s">
        <v>301</v>
      </c>
      <c r="C44" s="38" t="s">
        <v>302</v>
      </c>
      <c r="D44" s="37" t="s">
        <v>303</v>
      </c>
      <c r="E44" s="38" t="s">
        <v>304</v>
      </c>
      <c r="F44" s="38" t="s">
        <v>305</v>
      </c>
      <c r="G44" s="38" t="s">
        <v>306</v>
      </c>
      <c r="H44" s="38" t="s">
        <v>307</v>
      </c>
      <c r="I44" s="38" t="s">
        <v>169</v>
      </c>
      <c r="J44" s="39" t="s">
        <v>23</v>
      </c>
      <c r="K44" s="120" t="s">
        <v>308</v>
      </c>
      <c r="L44" s="120" t="s">
        <v>309</v>
      </c>
      <c r="M44" s="120"/>
      <c r="N44" s="120"/>
      <c r="O44" s="120"/>
      <c r="P44" s="120"/>
      <c r="Q44" s="120"/>
      <c r="S44" s="120"/>
    </row>
    <row r="45" spans="1:19" ht="139.94999999999999" customHeight="1" x14ac:dyDescent="0.4">
      <c r="A45" s="34" t="s">
        <v>214</v>
      </c>
      <c r="B45" s="34" t="s">
        <v>310</v>
      </c>
      <c r="C45" s="35" t="s">
        <v>311</v>
      </c>
      <c r="D45" s="34" t="s">
        <v>312</v>
      </c>
      <c r="E45" s="35" t="s">
        <v>313</v>
      </c>
      <c r="F45" s="35" t="s">
        <v>314</v>
      </c>
      <c r="G45" s="35" t="s">
        <v>315</v>
      </c>
      <c r="H45" s="35" t="s">
        <v>316</v>
      </c>
      <c r="I45" s="35" t="s">
        <v>169</v>
      </c>
      <c r="J45" s="36" t="s">
        <v>23</v>
      </c>
      <c r="K45" s="120" t="s">
        <v>317</v>
      </c>
      <c r="L45" s="120" t="s">
        <v>318</v>
      </c>
      <c r="M45" s="120"/>
      <c r="N45" s="120"/>
      <c r="O45" s="120"/>
      <c r="P45" s="120"/>
      <c r="Q45" s="120"/>
      <c r="S45" s="120"/>
    </row>
    <row r="46" spans="1:19" ht="139.94999999999999" customHeight="1" x14ac:dyDescent="0.4">
      <c r="A46" s="37" t="s">
        <v>214</v>
      </c>
      <c r="B46" s="37" t="s">
        <v>319</v>
      </c>
      <c r="C46" s="38" t="s">
        <v>320</v>
      </c>
      <c r="D46" s="37" t="s">
        <v>321</v>
      </c>
      <c r="E46" s="38" t="s">
        <v>322</v>
      </c>
      <c r="F46" s="38" t="s">
        <v>323</v>
      </c>
      <c r="G46" s="38" t="s">
        <v>324</v>
      </c>
      <c r="H46" s="38" t="s">
        <v>325</v>
      </c>
      <c r="I46" s="38" t="s">
        <v>169</v>
      </c>
      <c r="J46" s="39" t="s">
        <v>23</v>
      </c>
      <c r="K46" s="120" t="s">
        <v>326</v>
      </c>
      <c r="L46" s="120" t="s">
        <v>327</v>
      </c>
      <c r="M46" s="120"/>
      <c r="N46" s="120"/>
      <c r="O46" s="120"/>
      <c r="P46" s="120"/>
      <c r="Q46" s="120"/>
      <c r="S46" s="120"/>
    </row>
    <row r="47" spans="1:19" ht="139.94999999999999" customHeight="1" x14ac:dyDescent="0.4">
      <c r="A47" s="34" t="s">
        <v>214</v>
      </c>
      <c r="B47" s="34" t="s">
        <v>328</v>
      </c>
      <c r="C47" s="35" t="s">
        <v>329</v>
      </c>
      <c r="D47" s="34" t="s">
        <v>330</v>
      </c>
      <c r="E47" s="35" t="s">
        <v>331</v>
      </c>
      <c r="F47" s="35" t="s">
        <v>332</v>
      </c>
      <c r="G47" s="35" t="s">
        <v>333</v>
      </c>
      <c r="H47" s="35" t="s">
        <v>334</v>
      </c>
      <c r="I47" s="35" t="s">
        <v>335</v>
      </c>
      <c r="J47" s="36" t="s">
        <v>23</v>
      </c>
      <c r="K47" s="120" t="s">
        <v>336</v>
      </c>
      <c r="L47" s="120" t="s">
        <v>25</v>
      </c>
      <c r="M47" s="120"/>
      <c r="N47" s="120"/>
      <c r="O47" s="120"/>
      <c r="P47" s="120"/>
      <c r="Q47" s="120"/>
      <c r="S47" s="120"/>
    </row>
    <row r="48" spans="1:19" ht="139.94999999999999" customHeight="1" x14ac:dyDescent="0.4">
      <c r="A48" s="37" t="s">
        <v>214</v>
      </c>
      <c r="B48" s="37" t="s">
        <v>328</v>
      </c>
      <c r="C48" s="38" t="s">
        <v>329</v>
      </c>
      <c r="D48" s="37" t="s">
        <v>337</v>
      </c>
      <c r="E48" s="38" t="s">
        <v>338</v>
      </c>
      <c r="F48" s="38" t="s">
        <v>339</v>
      </c>
      <c r="G48" s="38" t="s">
        <v>340</v>
      </c>
      <c r="H48" s="38" t="s">
        <v>341</v>
      </c>
      <c r="I48" s="38" t="s">
        <v>335</v>
      </c>
      <c r="J48" s="39" t="s">
        <v>342</v>
      </c>
      <c r="K48" s="120" t="s">
        <v>343</v>
      </c>
      <c r="L48" s="120" t="s">
        <v>25</v>
      </c>
      <c r="M48" s="120"/>
      <c r="N48" s="120"/>
      <c r="O48" s="120"/>
      <c r="P48" s="120"/>
      <c r="Q48" s="120"/>
      <c r="S48" s="120"/>
    </row>
    <row r="49" spans="1:19" ht="139.94999999999999" customHeight="1" x14ac:dyDescent="0.4">
      <c r="A49" s="34" t="s">
        <v>214</v>
      </c>
      <c r="B49" s="34" t="s">
        <v>344</v>
      </c>
      <c r="C49" s="35" t="s">
        <v>345</v>
      </c>
      <c r="D49" s="34" t="s">
        <v>346</v>
      </c>
      <c r="E49" s="35" t="s">
        <v>347</v>
      </c>
      <c r="F49" s="35" t="s">
        <v>348</v>
      </c>
      <c r="G49" s="35" t="s">
        <v>349</v>
      </c>
      <c r="H49" s="35" t="s">
        <v>350</v>
      </c>
      <c r="I49" s="35" t="s">
        <v>351</v>
      </c>
      <c r="J49" s="36" t="s">
        <v>23</v>
      </c>
      <c r="K49" s="120" t="s">
        <v>352</v>
      </c>
      <c r="L49" s="120" t="s">
        <v>25</v>
      </c>
      <c r="M49" s="120"/>
      <c r="N49" s="120"/>
      <c r="O49" s="120"/>
      <c r="P49" s="120"/>
      <c r="Q49" s="120"/>
      <c r="S49" s="120"/>
    </row>
    <row r="50" spans="1:19" ht="139.94999999999999" customHeight="1" x14ac:dyDescent="0.4">
      <c r="A50" s="37" t="s">
        <v>214</v>
      </c>
      <c r="B50" s="37" t="s">
        <v>344</v>
      </c>
      <c r="C50" s="38" t="s">
        <v>345</v>
      </c>
      <c r="D50" s="37" t="s">
        <v>353</v>
      </c>
      <c r="E50" s="38" t="s">
        <v>354</v>
      </c>
      <c r="F50" s="38" t="s">
        <v>355</v>
      </c>
      <c r="G50" s="38" t="s">
        <v>356</v>
      </c>
      <c r="H50" s="38" t="s">
        <v>357</v>
      </c>
      <c r="I50" s="38" t="s">
        <v>351</v>
      </c>
      <c r="J50" s="39" t="s">
        <v>23</v>
      </c>
      <c r="K50" s="120" t="s">
        <v>358</v>
      </c>
      <c r="L50" s="120" t="s">
        <v>25</v>
      </c>
      <c r="M50" s="120"/>
      <c r="N50" s="120"/>
      <c r="O50" s="120"/>
      <c r="P50" s="120"/>
      <c r="Q50" s="120"/>
      <c r="S50" s="120"/>
    </row>
    <row r="51" spans="1:19" ht="139.94999999999999" customHeight="1" x14ac:dyDescent="0.4">
      <c r="A51" s="34" t="s">
        <v>214</v>
      </c>
      <c r="B51" s="34" t="s">
        <v>359</v>
      </c>
      <c r="C51" s="35" t="s">
        <v>360</v>
      </c>
      <c r="D51" s="34" t="s">
        <v>361</v>
      </c>
      <c r="E51" s="35" t="s">
        <v>362</v>
      </c>
      <c r="F51" s="35" t="s">
        <v>363</v>
      </c>
      <c r="G51" s="35" t="s">
        <v>364</v>
      </c>
      <c r="H51" s="35" t="s">
        <v>365</v>
      </c>
      <c r="I51" s="35" t="s">
        <v>366</v>
      </c>
      <c r="J51" s="36" t="s">
        <v>23</v>
      </c>
      <c r="K51" s="120" t="s">
        <v>367</v>
      </c>
      <c r="L51" s="120" t="s">
        <v>25</v>
      </c>
      <c r="M51" s="120"/>
      <c r="N51" s="120"/>
      <c r="O51" s="120"/>
      <c r="P51" s="120"/>
      <c r="Q51" s="120"/>
      <c r="S51" s="120"/>
    </row>
    <row r="52" spans="1:19" ht="22.05" customHeight="1" x14ac:dyDescent="0.4">
      <c r="A52" s="127" t="s">
        <v>368</v>
      </c>
      <c r="B52" s="128"/>
      <c r="C52" s="128"/>
      <c r="D52" s="128"/>
      <c r="E52" s="128"/>
      <c r="F52" s="128"/>
      <c r="G52" s="128"/>
      <c r="H52" s="128"/>
      <c r="I52" s="128"/>
      <c r="J52" s="128"/>
      <c r="K52" s="128"/>
      <c r="L52" s="130"/>
      <c r="N52" s="120"/>
      <c r="P52" s="120"/>
    </row>
    <row r="53" spans="1:19" ht="139.94999999999999" customHeight="1" x14ac:dyDescent="0.4">
      <c r="A53" s="34" t="s">
        <v>369</v>
      </c>
      <c r="B53" s="34" t="s">
        <v>370</v>
      </c>
      <c r="C53" s="35" t="s">
        <v>371</v>
      </c>
      <c r="D53" s="34" t="s">
        <v>372</v>
      </c>
      <c r="E53" s="35" t="s">
        <v>373</v>
      </c>
      <c r="F53" s="35" t="s">
        <v>374</v>
      </c>
      <c r="G53" s="35" t="s">
        <v>375</v>
      </c>
      <c r="H53" s="35" t="s">
        <v>376</v>
      </c>
      <c r="I53" s="35" t="s">
        <v>115</v>
      </c>
      <c r="J53" s="36" t="s">
        <v>23</v>
      </c>
      <c r="K53" s="36" t="s">
        <v>377</v>
      </c>
      <c r="L53" s="120" t="s">
        <v>25</v>
      </c>
      <c r="N53" s="120"/>
      <c r="P53" s="120"/>
    </row>
    <row r="54" spans="1:19" ht="139.94999999999999" customHeight="1" x14ac:dyDescent="0.4">
      <c r="A54" s="37" t="s">
        <v>369</v>
      </c>
      <c r="B54" s="37" t="s">
        <v>378</v>
      </c>
      <c r="C54" s="38" t="s">
        <v>379</v>
      </c>
      <c r="D54" s="37" t="s">
        <v>380</v>
      </c>
      <c r="E54" s="38" t="s">
        <v>381</v>
      </c>
      <c r="F54" s="38" t="s">
        <v>382</v>
      </c>
      <c r="G54" s="38" t="s">
        <v>383</v>
      </c>
      <c r="H54" s="38" t="s">
        <v>384</v>
      </c>
      <c r="I54" s="38" t="s">
        <v>136</v>
      </c>
      <c r="J54" s="39" t="s">
        <v>23</v>
      </c>
      <c r="K54" s="39" t="s">
        <v>385</v>
      </c>
      <c r="L54" s="120" t="s">
        <v>25</v>
      </c>
      <c r="N54" s="120"/>
      <c r="P54" s="120"/>
    </row>
    <row r="55" spans="1:19" ht="139.94999999999999" customHeight="1" x14ac:dyDescent="0.4">
      <c r="A55" s="34" t="s">
        <v>369</v>
      </c>
      <c r="B55" s="34" t="s">
        <v>386</v>
      </c>
      <c r="C55" s="35" t="s">
        <v>387</v>
      </c>
      <c r="D55" s="34" t="s">
        <v>388</v>
      </c>
      <c r="E55" s="35" t="s">
        <v>389</v>
      </c>
      <c r="F55" s="35" t="s">
        <v>390</v>
      </c>
      <c r="G55" s="35" t="s">
        <v>391</v>
      </c>
      <c r="H55" s="35" t="s">
        <v>392</v>
      </c>
      <c r="I55" s="35" t="s">
        <v>75</v>
      </c>
      <c r="J55" s="36" t="s">
        <v>23</v>
      </c>
      <c r="K55" s="36" t="s">
        <v>393</v>
      </c>
      <c r="L55" s="120" t="s">
        <v>25</v>
      </c>
      <c r="N55" s="120"/>
      <c r="P55" s="120"/>
    </row>
    <row r="56" spans="1:19" ht="139.94999999999999" customHeight="1" x14ac:dyDescent="0.4">
      <c r="A56" s="37" t="s">
        <v>369</v>
      </c>
      <c r="B56" s="37" t="s">
        <v>394</v>
      </c>
      <c r="C56" s="38" t="s">
        <v>395</v>
      </c>
      <c r="D56" s="37" t="s">
        <v>396</v>
      </c>
      <c r="E56" s="38" t="s">
        <v>397</v>
      </c>
      <c r="F56" s="38" t="s">
        <v>398</v>
      </c>
      <c r="G56" s="38" t="s">
        <v>399</v>
      </c>
      <c r="H56" s="38" t="s">
        <v>400</v>
      </c>
      <c r="I56" s="38" t="s">
        <v>75</v>
      </c>
      <c r="J56" s="39" t="s">
        <v>23</v>
      </c>
      <c r="K56" s="39" t="s">
        <v>401</v>
      </c>
      <c r="L56" s="120" t="s">
        <v>25</v>
      </c>
      <c r="N56" s="120"/>
      <c r="P56" s="120"/>
    </row>
    <row r="57" spans="1:19" ht="139.94999999999999" customHeight="1" x14ac:dyDescent="0.4">
      <c r="A57" s="34" t="s">
        <v>369</v>
      </c>
      <c r="B57" s="34" t="s">
        <v>402</v>
      </c>
      <c r="C57" s="35" t="s">
        <v>403</v>
      </c>
      <c r="D57" s="34" t="s">
        <v>404</v>
      </c>
      <c r="E57" s="35" t="s">
        <v>405</v>
      </c>
      <c r="F57" s="35" t="s">
        <v>406</v>
      </c>
      <c r="G57" s="35" t="s">
        <v>407</v>
      </c>
      <c r="H57" s="35" t="s">
        <v>408</v>
      </c>
      <c r="I57" s="35" t="s">
        <v>169</v>
      </c>
      <c r="J57" s="36" t="s">
        <v>23</v>
      </c>
      <c r="K57" s="36" t="s">
        <v>409</v>
      </c>
      <c r="L57" s="120" t="s">
        <v>25</v>
      </c>
      <c r="N57" s="120"/>
      <c r="P57" s="120"/>
    </row>
    <row r="58" spans="1:19" ht="139.94999999999999" customHeight="1" x14ac:dyDescent="0.4">
      <c r="A58" s="37" t="s">
        <v>369</v>
      </c>
      <c r="B58" s="37" t="s">
        <v>410</v>
      </c>
      <c r="C58" s="38" t="s">
        <v>411</v>
      </c>
      <c r="D58" s="37" t="s">
        <v>412</v>
      </c>
      <c r="E58" s="38" t="s">
        <v>413</v>
      </c>
      <c r="F58" s="38" t="s">
        <v>414</v>
      </c>
      <c r="G58" s="38" t="s">
        <v>415</v>
      </c>
      <c r="H58" s="38" t="s">
        <v>416</v>
      </c>
      <c r="I58" s="38" t="s">
        <v>75</v>
      </c>
      <c r="J58" s="39" t="s">
        <v>23</v>
      </c>
      <c r="K58" s="39" t="s">
        <v>417</v>
      </c>
      <c r="L58" s="120" t="s">
        <v>25</v>
      </c>
      <c r="N58" s="120"/>
      <c r="P58" s="120"/>
    </row>
    <row r="59" spans="1:19" ht="139.94999999999999" customHeight="1" x14ac:dyDescent="0.4">
      <c r="A59" s="34" t="s">
        <v>369</v>
      </c>
      <c r="B59" s="34" t="s">
        <v>418</v>
      </c>
      <c r="C59" s="35" t="s">
        <v>419</v>
      </c>
      <c r="D59" s="34" t="s">
        <v>420</v>
      </c>
      <c r="E59" s="35" t="s">
        <v>421</v>
      </c>
      <c r="F59" s="35" t="s">
        <v>422</v>
      </c>
      <c r="G59" s="35" t="s">
        <v>423</v>
      </c>
      <c r="H59" s="35" t="s">
        <v>424</v>
      </c>
      <c r="I59" s="35" t="s">
        <v>169</v>
      </c>
      <c r="J59" s="36" t="s">
        <v>23</v>
      </c>
      <c r="K59" s="36" t="s">
        <v>60</v>
      </c>
      <c r="L59" s="120" t="s">
        <v>25</v>
      </c>
      <c r="N59" s="120"/>
      <c r="P59" s="120"/>
    </row>
    <row r="60" spans="1:19" ht="139.94999999999999" customHeight="1" x14ac:dyDescent="0.4">
      <c r="A60" s="37" t="s">
        <v>369</v>
      </c>
      <c r="B60" s="37" t="s">
        <v>425</v>
      </c>
      <c r="C60" s="38" t="s">
        <v>426</v>
      </c>
      <c r="D60" s="37" t="s">
        <v>427</v>
      </c>
      <c r="E60" s="38" t="s">
        <v>428</v>
      </c>
      <c r="F60" s="38" t="s">
        <v>429</v>
      </c>
      <c r="G60" s="38" t="s">
        <v>430</v>
      </c>
      <c r="H60" s="38" t="s">
        <v>431</v>
      </c>
      <c r="I60" s="38" t="s">
        <v>169</v>
      </c>
      <c r="J60" s="39" t="s">
        <v>23</v>
      </c>
      <c r="K60" s="39" t="s">
        <v>60</v>
      </c>
      <c r="L60" s="120" t="s">
        <v>25</v>
      </c>
      <c r="N60" s="120"/>
      <c r="P60" s="120"/>
    </row>
    <row r="61" spans="1:19" ht="139.94999999999999" customHeight="1" x14ac:dyDescent="0.4">
      <c r="A61" s="34" t="s">
        <v>369</v>
      </c>
      <c r="B61" s="34" t="s">
        <v>432</v>
      </c>
      <c r="C61" s="35" t="s">
        <v>433</v>
      </c>
      <c r="D61" s="34" t="s">
        <v>434</v>
      </c>
      <c r="E61" s="35" t="s">
        <v>435</v>
      </c>
      <c r="F61" s="35" t="s">
        <v>436</v>
      </c>
      <c r="G61" s="35" t="s">
        <v>437</v>
      </c>
      <c r="H61" s="35" t="s">
        <v>438</v>
      </c>
      <c r="I61" s="35" t="s">
        <v>439</v>
      </c>
      <c r="J61" s="36" t="s">
        <v>23</v>
      </c>
      <c r="K61" s="36" t="s">
        <v>60</v>
      </c>
      <c r="L61" s="120" t="s">
        <v>25</v>
      </c>
      <c r="N61" s="120"/>
      <c r="P61" s="120"/>
    </row>
    <row r="62" spans="1:19" ht="139.94999999999999" customHeight="1" x14ac:dyDescent="0.4">
      <c r="A62" s="37" t="s">
        <v>369</v>
      </c>
      <c r="B62" s="37" t="s">
        <v>440</v>
      </c>
      <c r="C62" s="38" t="s">
        <v>441</v>
      </c>
      <c r="D62" s="37" t="s">
        <v>442</v>
      </c>
      <c r="E62" s="38" t="s">
        <v>443</v>
      </c>
      <c r="F62" s="38" t="s">
        <v>444</v>
      </c>
      <c r="G62" s="38" t="s">
        <v>445</v>
      </c>
      <c r="H62" s="38" t="s">
        <v>446</v>
      </c>
      <c r="I62" s="38" t="s">
        <v>447</v>
      </c>
      <c r="J62" s="39" t="s">
        <v>23</v>
      </c>
      <c r="K62" s="39" t="s">
        <v>60</v>
      </c>
      <c r="L62" s="120" t="s">
        <v>25</v>
      </c>
      <c r="N62" s="120"/>
      <c r="P62" s="120"/>
    </row>
    <row r="63" spans="1:19" ht="139.94999999999999" customHeight="1" x14ac:dyDescent="0.4">
      <c r="A63" s="34" t="s">
        <v>369</v>
      </c>
      <c r="B63" s="34" t="s">
        <v>440</v>
      </c>
      <c r="C63" s="35" t="s">
        <v>441</v>
      </c>
      <c r="D63" s="34" t="s">
        <v>448</v>
      </c>
      <c r="E63" s="35" t="s">
        <v>449</v>
      </c>
      <c r="F63" s="35" t="s">
        <v>450</v>
      </c>
      <c r="G63" s="35" t="s">
        <v>451</v>
      </c>
      <c r="H63" s="35" t="s">
        <v>452</v>
      </c>
      <c r="I63" s="35" t="s">
        <v>447</v>
      </c>
      <c r="J63" s="36" t="s">
        <v>23</v>
      </c>
      <c r="K63" s="36" t="s">
        <v>60</v>
      </c>
      <c r="L63" s="36" t="s">
        <v>25</v>
      </c>
    </row>
    <row r="64" spans="1:19" ht="22.05" customHeight="1" x14ac:dyDescent="0.4">
      <c r="A64" s="127" t="s">
        <v>453</v>
      </c>
      <c r="B64" s="128"/>
      <c r="C64" s="128"/>
      <c r="D64" s="128"/>
      <c r="E64" s="128"/>
      <c r="F64" s="128"/>
      <c r="G64" s="128"/>
      <c r="H64" s="128"/>
      <c r="I64" s="128"/>
      <c r="J64" s="128"/>
      <c r="K64" s="128"/>
      <c r="L64" s="129"/>
    </row>
    <row r="65" spans="1:12" ht="139.94999999999999" customHeight="1" x14ac:dyDescent="0.4">
      <c r="A65" s="34" t="s">
        <v>454</v>
      </c>
      <c r="B65" s="34" t="s">
        <v>455</v>
      </c>
      <c r="C65" s="35" t="s">
        <v>456</v>
      </c>
      <c r="D65" s="34" t="s">
        <v>457</v>
      </c>
      <c r="E65" s="35" t="s">
        <v>458</v>
      </c>
      <c r="F65" s="35" t="s">
        <v>459</v>
      </c>
      <c r="G65" s="35" t="s">
        <v>460</v>
      </c>
      <c r="H65" s="35" t="s">
        <v>461</v>
      </c>
      <c r="I65" s="35" t="s">
        <v>75</v>
      </c>
      <c r="J65" s="36" t="s">
        <v>462</v>
      </c>
      <c r="K65" s="36" t="s">
        <v>60</v>
      </c>
      <c r="L65" s="36" t="s">
        <v>25</v>
      </c>
    </row>
    <row r="66" spans="1:12" ht="139.94999999999999" customHeight="1" x14ac:dyDescent="0.4">
      <c r="A66" s="37" t="s">
        <v>454</v>
      </c>
      <c r="B66" s="37" t="s">
        <v>455</v>
      </c>
      <c r="C66" s="38" t="s">
        <v>456</v>
      </c>
      <c r="D66" s="37" t="s">
        <v>463</v>
      </c>
      <c r="E66" s="38" t="s">
        <v>464</v>
      </c>
      <c r="F66" s="38" t="s">
        <v>465</v>
      </c>
      <c r="G66" s="38" t="s">
        <v>466</v>
      </c>
      <c r="H66" s="38" t="s">
        <v>467</v>
      </c>
      <c r="I66" s="38" t="s">
        <v>75</v>
      </c>
      <c r="J66" s="39" t="s">
        <v>23</v>
      </c>
      <c r="K66" s="39" t="s">
        <v>60</v>
      </c>
      <c r="L66" s="39" t="s">
        <v>25</v>
      </c>
    </row>
    <row r="67" spans="1:12" ht="139.94999999999999" customHeight="1" x14ac:dyDescent="0.4">
      <c r="A67" s="34" t="s">
        <v>454</v>
      </c>
      <c r="B67" s="34" t="s">
        <v>468</v>
      </c>
      <c r="C67" s="35" t="s">
        <v>469</v>
      </c>
      <c r="D67" s="34" t="s">
        <v>470</v>
      </c>
      <c r="E67" s="35" t="s">
        <v>471</v>
      </c>
      <c r="F67" s="35" t="s">
        <v>472</v>
      </c>
      <c r="G67" s="35" t="s">
        <v>473</v>
      </c>
      <c r="H67" s="35" t="s">
        <v>474</v>
      </c>
      <c r="I67" s="35" t="s">
        <v>475</v>
      </c>
      <c r="J67" s="36" t="s">
        <v>476</v>
      </c>
      <c r="K67" s="36" t="s">
        <v>477</v>
      </c>
      <c r="L67" s="36" t="s">
        <v>478</v>
      </c>
    </row>
    <row r="68" spans="1:12" ht="139.94999999999999" customHeight="1" x14ac:dyDescent="0.4">
      <c r="A68" s="37" t="s">
        <v>454</v>
      </c>
      <c r="B68" s="37" t="s">
        <v>468</v>
      </c>
      <c r="C68" s="38" t="s">
        <v>469</v>
      </c>
      <c r="D68" s="37" t="s">
        <v>479</v>
      </c>
      <c r="E68" s="38" t="s">
        <v>480</v>
      </c>
      <c r="F68" s="38" t="s">
        <v>481</v>
      </c>
      <c r="G68" s="38" t="s">
        <v>482</v>
      </c>
      <c r="H68" s="38" t="s">
        <v>483</v>
      </c>
      <c r="I68" s="38" t="s">
        <v>475</v>
      </c>
      <c r="J68" s="39" t="s">
        <v>23</v>
      </c>
      <c r="K68" s="39" t="s">
        <v>484</v>
      </c>
      <c r="L68" s="39" t="s">
        <v>25</v>
      </c>
    </row>
    <row r="69" spans="1:12" ht="139.94999999999999" customHeight="1" x14ac:dyDescent="0.4">
      <c r="A69" s="34" t="s">
        <v>454</v>
      </c>
      <c r="B69" s="34" t="s">
        <v>485</v>
      </c>
      <c r="C69" s="35" t="s">
        <v>486</v>
      </c>
      <c r="D69" s="34" t="s">
        <v>487</v>
      </c>
      <c r="E69" s="35" t="s">
        <v>488</v>
      </c>
      <c r="F69" s="35" t="s">
        <v>489</v>
      </c>
      <c r="G69" s="35" t="s">
        <v>490</v>
      </c>
      <c r="H69" s="35" t="s">
        <v>491</v>
      </c>
      <c r="I69" s="35" t="s">
        <v>492</v>
      </c>
      <c r="J69" s="36" t="s">
        <v>23</v>
      </c>
      <c r="K69" s="36" t="s">
        <v>493</v>
      </c>
      <c r="L69" s="36" t="s">
        <v>25</v>
      </c>
    </row>
    <row r="70" spans="1:12" ht="139.94999999999999" customHeight="1" x14ac:dyDescent="0.4">
      <c r="A70" s="37" t="s">
        <v>454</v>
      </c>
      <c r="B70" s="37" t="s">
        <v>494</v>
      </c>
      <c r="C70" s="38" t="s">
        <v>495</v>
      </c>
      <c r="D70" s="37" t="s">
        <v>496</v>
      </c>
      <c r="E70" s="38" t="s">
        <v>497</v>
      </c>
      <c r="F70" s="38" t="s">
        <v>498</v>
      </c>
      <c r="G70" s="38" t="s">
        <v>499</v>
      </c>
      <c r="H70" s="38" t="s">
        <v>500</v>
      </c>
      <c r="I70" s="38" t="s">
        <v>501</v>
      </c>
      <c r="J70" s="39" t="s">
        <v>23</v>
      </c>
      <c r="K70" s="39" t="s">
        <v>502</v>
      </c>
      <c r="L70" s="39" t="s">
        <v>25</v>
      </c>
    </row>
    <row r="71" spans="1:12" ht="139.94999999999999" customHeight="1" x14ac:dyDescent="0.4">
      <c r="A71" s="34" t="s">
        <v>454</v>
      </c>
      <c r="B71" s="34" t="s">
        <v>503</v>
      </c>
      <c r="C71" s="35" t="s">
        <v>504</v>
      </c>
      <c r="D71" s="34" t="s">
        <v>505</v>
      </c>
      <c r="E71" s="35" t="s">
        <v>506</v>
      </c>
      <c r="F71" s="35" t="s">
        <v>507</v>
      </c>
      <c r="G71" s="35" t="s">
        <v>508</v>
      </c>
      <c r="H71" s="35" t="s">
        <v>509</v>
      </c>
      <c r="I71" s="35" t="s">
        <v>510</v>
      </c>
      <c r="J71" s="36" t="s">
        <v>23</v>
      </c>
      <c r="K71" s="36" t="s">
        <v>511</v>
      </c>
      <c r="L71" s="36" t="s">
        <v>25</v>
      </c>
    </row>
    <row r="72" spans="1:12" ht="139.94999999999999" customHeight="1" x14ac:dyDescent="0.4">
      <c r="A72" s="37" t="s">
        <v>454</v>
      </c>
      <c r="B72" s="37" t="s">
        <v>503</v>
      </c>
      <c r="C72" s="38" t="s">
        <v>504</v>
      </c>
      <c r="D72" s="37" t="s">
        <v>512</v>
      </c>
      <c r="E72" s="38" t="s">
        <v>513</v>
      </c>
      <c r="F72" s="38" t="s">
        <v>514</v>
      </c>
      <c r="G72" s="38" t="s">
        <v>515</v>
      </c>
      <c r="H72" s="38" t="s">
        <v>516</v>
      </c>
      <c r="I72" s="38" t="s">
        <v>510</v>
      </c>
      <c r="J72" s="39" t="s">
        <v>23</v>
      </c>
      <c r="K72" s="39" t="s">
        <v>517</v>
      </c>
      <c r="L72" s="39" t="s">
        <v>25</v>
      </c>
    </row>
    <row r="73" spans="1:12" ht="22.05" customHeight="1" x14ac:dyDescent="0.4">
      <c r="A73" s="127" t="s">
        <v>518</v>
      </c>
      <c r="B73" s="128"/>
      <c r="C73" s="128"/>
      <c r="D73" s="128"/>
      <c r="E73" s="128"/>
      <c r="F73" s="128"/>
      <c r="G73" s="128"/>
      <c r="H73" s="128"/>
      <c r="I73" s="128"/>
      <c r="J73" s="128"/>
      <c r="K73" s="128"/>
      <c r="L73" s="129"/>
    </row>
    <row r="74" spans="1:12" ht="139.94999999999999" customHeight="1" x14ac:dyDescent="0.4">
      <c r="A74" s="34" t="s">
        <v>519</v>
      </c>
      <c r="B74" s="34" t="s">
        <v>520</v>
      </c>
      <c r="C74" s="35" t="s">
        <v>521</v>
      </c>
      <c r="D74" s="34" t="s">
        <v>522</v>
      </c>
      <c r="E74" s="35" t="s">
        <v>523</v>
      </c>
      <c r="F74" s="35" t="s">
        <v>524</v>
      </c>
      <c r="G74" s="35" t="s">
        <v>525</v>
      </c>
      <c r="H74" s="35" t="s">
        <v>526</v>
      </c>
      <c r="I74" s="35" t="s">
        <v>527</v>
      </c>
      <c r="J74" s="36" t="s">
        <v>23</v>
      </c>
      <c r="K74" s="36" t="s">
        <v>528</v>
      </c>
      <c r="L74" s="36" t="s">
        <v>25</v>
      </c>
    </row>
    <row r="75" spans="1:12" ht="139.94999999999999" customHeight="1" x14ac:dyDescent="0.4">
      <c r="A75" s="37" t="s">
        <v>519</v>
      </c>
      <c r="B75" s="37" t="s">
        <v>520</v>
      </c>
      <c r="C75" s="38" t="s">
        <v>521</v>
      </c>
      <c r="D75" s="37" t="s">
        <v>529</v>
      </c>
      <c r="E75" s="38" t="s">
        <v>530</v>
      </c>
      <c r="F75" s="38" t="s">
        <v>531</v>
      </c>
      <c r="G75" s="38" t="s">
        <v>532</v>
      </c>
      <c r="H75" s="38" t="s">
        <v>533</v>
      </c>
      <c r="I75" s="38" t="s">
        <v>527</v>
      </c>
      <c r="J75" s="39" t="s">
        <v>23</v>
      </c>
      <c r="K75" s="39" t="s">
        <v>534</v>
      </c>
      <c r="L75" s="39" t="s">
        <v>25</v>
      </c>
    </row>
    <row r="76" spans="1:12" ht="139.94999999999999" customHeight="1" x14ac:dyDescent="0.4">
      <c r="A76" s="34" t="s">
        <v>519</v>
      </c>
      <c r="B76" s="34" t="s">
        <v>535</v>
      </c>
      <c r="C76" s="35" t="s">
        <v>536</v>
      </c>
      <c r="D76" s="34" t="s">
        <v>537</v>
      </c>
      <c r="E76" s="35" t="s">
        <v>538</v>
      </c>
      <c r="F76" s="35" t="s">
        <v>539</v>
      </c>
      <c r="G76" s="35" t="s">
        <v>540</v>
      </c>
      <c r="H76" s="35" t="s">
        <v>541</v>
      </c>
      <c r="I76" s="35" t="s">
        <v>93</v>
      </c>
      <c r="J76" s="36" t="s">
        <v>23</v>
      </c>
      <c r="K76" s="36" t="s">
        <v>542</v>
      </c>
      <c r="L76" s="36" t="s">
        <v>25</v>
      </c>
    </row>
    <row r="77" spans="1:12" ht="139.94999999999999" customHeight="1" x14ac:dyDescent="0.4">
      <c r="A77" s="37" t="s">
        <v>519</v>
      </c>
      <c r="B77" s="37" t="s">
        <v>535</v>
      </c>
      <c r="C77" s="38" t="s">
        <v>536</v>
      </c>
      <c r="D77" s="37" t="s">
        <v>543</v>
      </c>
      <c r="E77" s="38" t="s">
        <v>544</v>
      </c>
      <c r="F77" s="38" t="s">
        <v>545</v>
      </c>
      <c r="G77" s="38" t="s">
        <v>546</v>
      </c>
      <c r="H77" s="38" t="s">
        <v>547</v>
      </c>
      <c r="I77" s="38" t="s">
        <v>93</v>
      </c>
      <c r="J77" s="39" t="s">
        <v>23</v>
      </c>
      <c r="K77" s="39" t="s">
        <v>548</v>
      </c>
      <c r="L77" s="39" t="s">
        <v>25</v>
      </c>
    </row>
    <row r="78" spans="1:12" ht="139.94999999999999" customHeight="1" x14ac:dyDescent="0.4">
      <c r="A78" s="34" t="s">
        <v>519</v>
      </c>
      <c r="B78" s="34" t="s">
        <v>549</v>
      </c>
      <c r="C78" s="35" t="s">
        <v>550</v>
      </c>
      <c r="D78" s="34" t="s">
        <v>551</v>
      </c>
      <c r="E78" s="35" t="s">
        <v>552</v>
      </c>
      <c r="F78" s="35" t="s">
        <v>553</v>
      </c>
      <c r="G78" s="35" t="s">
        <v>554</v>
      </c>
      <c r="H78" s="35" t="s">
        <v>555</v>
      </c>
      <c r="I78" s="35" t="s">
        <v>556</v>
      </c>
      <c r="J78" s="36" t="s">
        <v>23</v>
      </c>
      <c r="K78" s="36" t="s">
        <v>557</v>
      </c>
      <c r="L78" s="36" t="s">
        <v>25</v>
      </c>
    </row>
    <row r="79" spans="1:12" ht="139.94999999999999" customHeight="1" x14ac:dyDescent="0.4">
      <c r="A79" s="37" t="s">
        <v>519</v>
      </c>
      <c r="B79" s="37" t="s">
        <v>558</v>
      </c>
      <c r="C79" s="38" t="s">
        <v>559</v>
      </c>
      <c r="D79" s="37" t="s">
        <v>560</v>
      </c>
      <c r="E79" s="38" t="s">
        <v>561</v>
      </c>
      <c r="F79" s="38" t="s">
        <v>562</v>
      </c>
      <c r="G79" s="38" t="s">
        <v>563</v>
      </c>
      <c r="H79" s="38" t="s">
        <v>564</v>
      </c>
      <c r="I79" s="38" t="s">
        <v>565</v>
      </c>
      <c r="J79" s="39" t="s">
        <v>23</v>
      </c>
      <c r="K79" s="39" t="s">
        <v>566</v>
      </c>
      <c r="L79" s="39" t="s">
        <v>25</v>
      </c>
    </row>
    <row r="80" spans="1:12" ht="139.94999999999999" customHeight="1" x14ac:dyDescent="0.4">
      <c r="A80" s="34" t="s">
        <v>519</v>
      </c>
      <c r="B80" s="34" t="s">
        <v>567</v>
      </c>
      <c r="C80" s="35" t="s">
        <v>568</v>
      </c>
      <c r="D80" s="34" t="s">
        <v>569</v>
      </c>
      <c r="E80" s="35" t="s">
        <v>570</v>
      </c>
      <c r="F80" s="35" t="s">
        <v>571</v>
      </c>
      <c r="G80" s="35" t="s">
        <v>572</v>
      </c>
      <c r="H80" s="35" t="s">
        <v>573</v>
      </c>
      <c r="I80" s="35" t="s">
        <v>565</v>
      </c>
      <c r="J80" s="36" t="s">
        <v>23</v>
      </c>
      <c r="K80" s="36" t="s">
        <v>574</v>
      </c>
      <c r="L80" s="36" t="s">
        <v>25</v>
      </c>
    </row>
  </sheetData>
  <autoFilter ref="A3:P88" xr:uid="{00000000-0009-0000-0000-000001000000}"/>
  <mergeCells count="8">
    <mergeCell ref="A73:L73"/>
    <mergeCell ref="A64:L64"/>
    <mergeCell ref="A52:L52"/>
    <mergeCell ref="A1:L1"/>
    <mergeCell ref="A32:L32"/>
    <mergeCell ref="A17:L17"/>
    <mergeCell ref="A12:L12"/>
    <mergeCell ref="A4:L4"/>
  </mergeCells>
  <phoneticPr fontId="3" type="noConversion"/>
  <printOptions horizontalCentered="1"/>
  <pageMargins left="0.74803149606299213" right="0.74803149606299213" top="0.98425196850393704" bottom="0.98425196850393704" header="0.51181102362204722" footer="0.51181102362204722"/>
  <pageSetup paperSize="8" scale="36" orientation="landscape" verticalDpi="0" r:id="rId1"/>
  <rowBreaks count="1" manualBreakCount="1">
    <brk id="71"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Q37"/>
  <sheetViews>
    <sheetView workbookViewId="0"/>
  </sheetViews>
  <sheetFormatPr defaultRowHeight="17.399999999999999" x14ac:dyDescent="0.4"/>
  <cols>
    <col min="1" max="2" width="10" customWidth="1"/>
    <col min="3" max="3" width="16" customWidth="1"/>
    <col min="4" max="4" width="12" customWidth="1"/>
    <col min="5" max="5" width="16" customWidth="1"/>
    <col min="6" max="6" width="28" customWidth="1"/>
    <col min="7" max="7" width="24" customWidth="1"/>
    <col min="8" max="8" width="26" customWidth="1"/>
    <col min="9" max="9" width="32" customWidth="1"/>
    <col min="10" max="10" width="55" customWidth="1"/>
    <col min="11" max="11" width="32" customWidth="1"/>
    <col min="12" max="12" width="35" customWidth="1"/>
    <col min="13" max="13" width="22" customWidth="1"/>
    <col min="14" max="14" width="40" customWidth="1"/>
    <col min="15" max="15" width="22" customWidth="1"/>
    <col min="16" max="16" width="40" customWidth="1"/>
    <col min="17" max="17" width="22" customWidth="1"/>
  </cols>
  <sheetData>
    <row r="1" spans="1:17" ht="28.05" customHeight="1" x14ac:dyDescent="0.4">
      <c r="A1" s="116" t="s">
        <v>1</v>
      </c>
      <c r="B1" s="116" t="s">
        <v>2</v>
      </c>
      <c r="C1" s="116" t="s">
        <v>3</v>
      </c>
      <c r="D1" s="116" t="s">
        <v>4</v>
      </c>
      <c r="E1" s="116" t="s">
        <v>636</v>
      </c>
      <c r="F1" s="116" t="s">
        <v>5</v>
      </c>
      <c r="G1" s="116" t="s">
        <v>637</v>
      </c>
      <c r="H1" s="116" t="s">
        <v>638</v>
      </c>
      <c r="I1" s="116" t="s">
        <v>639</v>
      </c>
      <c r="J1" s="116" t="s">
        <v>640</v>
      </c>
      <c r="K1" s="116" t="s">
        <v>641</v>
      </c>
      <c r="L1" s="116" t="s">
        <v>642</v>
      </c>
      <c r="M1" s="116" t="s">
        <v>643</v>
      </c>
      <c r="N1" s="116" t="s">
        <v>644</v>
      </c>
      <c r="O1" s="116" t="s">
        <v>645</v>
      </c>
      <c r="P1" s="116" t="s">
        <v>646</v>
      </c>
      <c r="Q1" s="116" t="s">
        <v>647</v>
      </c>
    </row>
    <row r="2" spans="1:17" ht="45" customHeight="1" x14ac:dyDescent="0.4">
      <c r="A2" s="98" t="s">
        <v>519</v>
      </c>
      <c r="B2" s="98" t="s">
        <v>648</v>
      </c>
      <c r="C2" s="98" t="s">
        <v>649</v>
      </c>
      <c r="D2" s="98" t="s">
        <v>650</v>
      </c>
      <c r="E2" s="101" t="s">
        <v>651</v>
      </c>
      <c r="F2" s="110" t="s">
        <v>652</v>
      </c>
      <c r="G2" s="103" t="s">
        <v>653</v>
      </c>
      <c r="H2" s="103" t="s">
        <v>654</v>
      </c>
      <c r="I2" s="102" t="s">
        <v>655</v>
      </c>
      <c r="J2" s="102" t="s">
        <v>656</v>
      </c>
      <c r="K2" s="110" t="s">
        <v>657</v>
      </c>
      <c r="L2" s="102" t="s">
        <v>658</v>
      </c>
      <c r="M2" s="117" t="str">
        <f t="shared" ref="M2:M37" si="0">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N2" s="102" t="s">
        <v>659</v>
      </c>
      <c r="O2" s="117" t="str">
        <f t="shared" ref="O2:O37" si="1">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P2" s="102" t="s">
        <v>660</v>
      </c>
      <c r="Q2" s="117" t="str">
        <f t="shared" ref="Q2:Q37" si="2">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row>
    <row r="3" spans="1:17" ht="45" customHeight="1" x14ac:dyDescent="0.4">
      <c r="A3" s="105" t="s">
        <v>519</v>
      </c>
      <c r="B3" s="105" t="s">
        <v>648</v>
      </c>
      <c r="C3" s="105" t="s">
        <v>649</v>
      </c>
      <c r="D3" s="105" t="s">
        <v>661</v>
      </c>
      <c r="E3" s="107" t="s">
        <v>651</v>
      </c>
      <c r="F3" s="106" t="s">
        <v>662</v>
      </c>
      <c r="G3" s="109" t="s">
        <v>653</v>
      </c>
      <c r="H3" s="109" t="s">
        <v>663</v>
      </c>
      <c r="I3" s="108" t="s">
        <v>664</v>
      </c>
      <c r="J3" s="108" t="s">
        <v>665</v>
      </c>
      <c r="K3" s="106" t="s">
        <v>666</v>
      </c>
      <c r="L3" s="108" t="s">
        <v>667</v>
      </c>
      <c r="M3" s="118" t="str">
        <f t="shared" si="0"/>
        <v>👉 [클릭] 표준서 열기 📄</v>
      </c>
      <c r="N3" s="108" t="s">
        <v>668</v>
      </c>
      <c r="O3" s="118" t="str">
        <f t="shared" si="1"/>
        <v>👉 [클릭] 수행지침 열기 📄</v>
      </c>
      <c r="P3" s="108" t="s">
        <v>669</v>
      </c>
      <c r="Q3" s="118" t="str">
        <f t="shared" si="2"/>
        <v>👉 [클릭] 체크리스트 열기 📄</v>
      </c>
    </row>
    <row r="4" spans="1:17" ht="45" customHeight="1" x14ac:dyDescent="0.4">
      <c r="A4" s="98" t="s">
        <v>519</v>
      </c>
      <c r="B4" s="98" t="s">
        <v>648</v>
      </c>
      <c r="C4" s="98" t="s">
        <v>649</v>
      </c>
      <c r="D4" s="98" t="s">
        <v>670</v>
      </c>
      <c r="E4" s="101" t="s">
        <v>651</v>
      </c>
      <c r="F4" s="110" t="s">
        <v>671</v>
      </c>
      <c r="G4" s="103" t="s">
        <v>663</v>
      </c>
      <c r="H4" s="103" t="s">
        <v>653</v>
      </c>
      <c r="I4" s="102" t="s">
        <v>672</v>
      </c>
      <c r="J4" s="102" t="s">
        <v>673</v>
      </c>
      <c r="K4" s="110" t="s">
        <v>674</v>
      </c>
      <c r="L4" s="102" t="s">
        <v>675</v>
      </c>
      <c r="M4" s="117" t="str">
        <f t="shared" si="0"/>
        <v>👉 [클릭] 표준서 열기 📄</v>
      </c>
      <c r="N4" s="102" t="s">
        <v>676</v>
      </c>
      <c r="O4" s="117" t="str">
        <f t="shared" si="1"/>
        <v>👉 [클릭] 수행지침 열기 📄</v>
      </c>
      <c r="P4" s="102" t="s">
        <v>677</v>
      </c>
      <c r="Q4" s="117" t="str">
        <f t="shared" si="2"/>
        <v>👉 [클릭] 체크리스트 열기 📄</v>
      </c>
    </row>
    <row r="5" spans="1:17" ht="45" customHeight="1" x14ac:dyDescent="0.4">
      <c r="A5" s="105" t="s">
        <v>519</v>
      </c>
      <c r="B5" s="105" t="s">
        <v>648</v>
      </c>
      <c r="C5" s="105" t="s">
        <v>649</v>
      </c>
      <c r="D5" s="105" t="s">
        <v>678</v>
      </c>
      <c r="E5" s="107" t="s">
        <v>679</v>
      </c>
      <c r="F5" s="106" t="s">
        <v>680</v>
      </c>
      <c r="G5" s="109" t="s">
        <v>663</v>
      </c>
      <c r="H5" s="109" t="s">
        <v>605</v>
      </c>
      <c r="I5" s="108" t="s">
        <v>681</v>
      </c>
      <c r="J5" s="108" t="s">
        <v>682</v>
      </c>
      <c r="K5" s="106" t="s">
        <v>683</v>
      </c>
      <c r="L5" s="108" t="s">
        <v>684</v>
      </c>
      <c r="M5" s="118" t="str">
        <f t="shared" si="0"/>
        <v>👉 [클릭] 표준서 열기 📄</v>
      </c>
      <c r="N5" s="108" t="s">
        <v>685</v>
      </c>
      <c r="O5" s="118" t="str">
        <f t="shared" si="1"/>
        <v>👉 [클릭] 수행지침 열기 📄</v>
      </c>
      <c r="P5" s="108" t="s">
        <v>686</v>
      </c>
      <c r="Q5" s="118" t="str">
        <f t="shared" si="2"/>
        <v>👉 [클릭] 체크리스트 열기 📄</v>
      </c>
    </row>
    <row r="6" spans="1:17" ht="45" customHeight="1" x14ac:dyDescent="0.4">
      <c r="A6" s="98" t="s">
        <v>519</v>
      </c>
      <c r="B6" s="98" t="s">
        <v>648</v>
      </c>
      <c r="C6" s="98" t="s">
        <v>649</v>
      </c>
      <c r="D6" s="98" t="s">
        <v>687</v>
      </c>
      <c r="E6" s="101" t="s">
        <v>679</v>
      </c>
      <c r="F6" s="110" t="s">
        <v>688</v>
      </c>
      <c r="G6" s="103" t="s">
        <v>689</v>
      </c>
      <c r="H6" s="103" t="s">
        <v>663</v>
      </c>
      <c r="I6" s="102" t="s">
        <v>690</v>
      </c>
      <c r="J6" s="102" t="s">
        <v>691</v>
      </c>
      <c r="K6" s="110" t="s">
        <v>692</v>
      </c>
      <c r="L6" s="102" t="s">
        <v>693</v>
      </c>
      <c r="M6" s="117" t="str">
        <f t="shared" si="0"/>
        <v>👉 [클릭] 표준서 열기 📄</v>
      </c>
      <c r="N6" s="102" t="s">
        <v>694</v>
      </c>
      <c r="O6" s="117" t="str">
        <f t="shared" si="1"/>
        <v>👉 [클릭] 수행지침 열기 📄</v>
      </c>
      <c r="P6" s="102" t="s">
        <v>695</v>
      </c>
      <c r="Q6" s="117" t="str">
        <f t="shared" si="2"/>
        <v>👉 [클릭] 체크리스트 열기 📄</v>
      </c>
    </row>
    <row r="7" spans="1:17" ht="28.05" customHeight="1" x14ac:dyDescent="0.4">
      <c r="A7" s="105" t="s">
        <v>519</v>
      </c>
      <c r="B7" s="105" t="s">
        <v>648</v>
      </c>
      <c r="C7" s="105" t="s">
        <v>649</v>
      </c>
      <c r="D7" s="105" t="s">
        <v>696</v>
      </c>
      <c r="E7" s="107" t="s">
        <v>697</v>
      </c>
      <c r="F7" s="106" t="s">
        <v>698</v>
      </c>
      <c r="G7" s="109" t="s">
        <v>699</v>
      </c>
      <c r="H7" s="109" t="s">
        <v>700</v>
      </c>
      <c r="I7" s="108" t="s">
        <v>701</v>
      </c>
      <c r="J7" s="108" t="s">
        <v>702</v>
      </c>
      <c r="K7" s="106" t="s">
        <v>703</v>
      </c>
      <c r="L7" s="108" t="s">
        <v>704</v>
      </c>
      <c r="M7" s="118" t="str">
        <f t="shared" si="0"/>
        <v>👉 [클릭] 표준서 열기 📄</v>
      </c>
      <c r="N7" s="108" t="s">
        <v>702</v>
      </c>
      <c r="O7" s="118" t="str">
        <f t="shared" si="1"/>
        <v>👉 [클릭] 수행지침 열기 📄</v>
      </c>
      <c r="P7" s="108" t="s">
        <v>705</v>
      </c>
      <c r="Q7" s="118" t="str">
        <f t="shared" si="2"/>
        <v>👉 [클릭] 체크리스트 열기 📄</v>
      </c>
    </row>
    <row r="8" spans="1:17" ht="45" customHeight="1" x14ac:dyDescent="0.4">
      <c r="A8" s="98" t="s">
        <v>519</v>
      </c>
      <c r="B8" s="98" t="s">
        <v>648</v>
      </c>
      <c r="C8" s="98" t="s">
        <v>649</v>
      </c>
      <c r="D8" s="98" t="s">
        <v>706</v>
      </c>
      <c r="E8" s="101" t="s">
        <v>707</v>
      </c>
      <c r="F8" s="110" t="s">
        <v>708</v>
      </c>
      <c r="G8" s="103" t="s">
        <v>709</v>
      </c>
      <c r="H8" s="103" t="s">
        <v>710</v>
      </c>
      <c r="I8" s="102" t="s">
        <v>711</v>
      </c>
      <c r="J8" s="102" t="s">
        <v>712</v>
      </c>
      <c r="K8" s="110" t="s">
        <v>713</v>
      </c>
      <c r="L8" s="102" t="s">
        <v>714</v>
      </c>
      <c r="M8" s="117" t="str">
        <f t="shared" si="0"/>
        <v>👉 [클릭] 표준서 열기 📄</v>
      </c>
      <c r="N8" s="102" t="s">
        <v>715</v>
      </c>
      <c r="O8" s="117" t="str">
        <f t="shared" si="1"/>
        <v>👉 [클릭] 수행지침 열기 📄</v>
      </c>
      <c r="P8" s="102" t="s">
        <v>716</v>
      </c>
      <c r="Q8" s="117" t="str">
        <f t="shared" si="2"/>
        <v>👉 [클릭] 체크리스트 열기 📄</v>
      </c>
    </row>
    <row r="9" spans="1:17" ht="28.05" customHeight="1" x14ac:dyDescent="0.4">
      <c r="A9" s="105" t="s">
        <v>519</v>
      </c>
      <c r="B9" s="105" t="s">
        <v>648</v>
      </c>
      <c r="C9" s="105" t="s">
        <v>649</v>
      </c>
      <c r="D9" s="105" t="s">
        <v>717</v>
      </c>
      <c r="E9" s="107" t="s">
        <v>718</v>
      </c>
      <c r="F9" s="106" t="s">
        <v>719</v>
      </c>
      <c r="G9" s="109" t="s">
        <v>710</v>
      </c>
      <c r="H9" s="109" t="s">
        <v>709</v>
      </c>
      <c r="I9" s="108" t="s">
        <v>720</v>
      </c>
      <c r="J9" s="108" t="s">
        <v>721</v>
      </c>
      <c r="K9" s="106" t="s">
        <v>722</v>
      </c>
      <c r="L9" s="108" t="s">
        <v>723</v>
      </c>
      <c r="M9" s="118" t="str">
        <f t="shared" si="0"/>
        <v>👉 [클릭] 표준서 열기 📄</v>
      </c>
      <c r="N9" s="108" t="s">
        <v>721</v>
      </c>
      <c r="O9" s="118" t="str">
        <f t="shared" si="1"/>
        <v>👉 [클릭] 수행지침 열기 📄</v>
      </c>
      <c r="P9" s="108" t="s">
        <v>724</v>
      </c>
      <c r="Q9" s="118" t="str">
        <f t="shared" si="2"/>
        <v>👉 [클릭] 체크리스트 열기 📄</v>
      </c>
    </row>
    <row r="10" spans="1:17" ht="28.05" customHeight="1" x14ac:dyDescent="0.4">
      <c r="A10" s="98" t="s">
        <v>519</v>
      </c>
      <c r="B10" s="98" t="s">
        <v>648</v>
      </c>
      <c r="C10" s="98" t="s">
        <v>649</v>
      </c>
      <c r="D10" s="98" t="s">
        <v>725</v>
      </c>
      <c r="E10" s="101" t="s">
        <v>726</v>
      </c>
      <c r="F10" s="110" t="s">
        <v>727</v>
      </c>
      <c r="G10" s="103" t="s">
        <v>728</v>
      </c>
      <c r="H10" s="103" t="s">
        <v>663</v>
      </c>
      <c r="I10" s="102" t="s">
        <v>729</v>
      </c>
      <c r="J10" s="102" t="s">
        <v>730</v>
      </c>
      <c r="K10" s="110" t="s">
        <v>731</v>
      </c>
      <c r="L10" s="102" t="s">
        <v>732</v>
      </c>
      <c r="M10" s="117" t="str">
        <f t="shared" si="0"/>
        <v>👉 [클릭] 표준서 열기 📄</v>
      </c>
      <c r="N10" s="102" t="s">
        <v>730</v>
      </c>
      <c r="O10" s="117" t="str">
        <f t="shared" si="1"/>
        <v>👉 [클릭] 수행지침 열기 📄</v>
      </c>
      <c r="P10" s="102" t="s">
        <v>733</v>
      </c>
      <c r="Q10" s="117" t="str">
        <f t="shared" si="2"/>
        <v>👉 [클릭] 체크리스트 열기 📄</v>
      </c>
    </row>
    <row r="11" spans="1:17" ht="28.05" customHeight="1" x14ac:dyDescent="0.4">
      <c r="A11" s="105" t="s">
        <v>519</v>
      </c>
      <c r="B11" s="105" t="s">
        <v>648</v>
      </c>
      <c r="C11" s="105" t="s">
        <v>649</v>
      </c>
      <c r="D11" s="105" t="s">
        <v>734</v>
      </c>
      <c r="E11" s="107" t="s">
        <v>735</v>
      </c>
      <c r="F11" s="106" t="s">
        <v>736</v>
      </c>
      <c r="G11" s="109" t="s">
        <v>728</v>
      </c>
      <c r="H11" s="109" t="s">
        <v>663</v>
      </c>
      <c r="I11" s="108" t="s">
        <v>737</v>
      </c>
      <c r="J11" s="108" t="s">
        <v>738</v>
      </c>
      <c r="K11" s="106" t="s">
        <v>739</v>
      </c>
      <c r="L11" s="108" t="s">
        <v>740</v>
      </c>
      <c r="M11" s="118" t="str">
        <f t="shared" si="0"/>
        <v>👉 [클릭] 표준서 열기 📄</v>
      </c>
      <c r="N11" s="108" t="s">
        <v>738</v>
      </c>
      <c r="O11" s="118" t="str">
        <f t="shared" si="1"/>
        <v>👉 [클릭] 수행지침 열기 📄</v>
      </c>
      <c r="P11" s="108" t="s">
        <v>741</v>
      </c>
      <c r="Q11" s="118" t="str">
        <f t="shared" si="2"/>
        <v>👉 [클릭] 체크리스트 열기 📄</v>
      </c>
    </row>
    <row r="12" spans="1:17" ht="45" customHeight="1" x14ac:dyDescent="0.4">
      <c r="A12" s="98" t="s">
        <v>519</v>
      </c>
      <c r="B12" s="98" t="s">
        <v>648</v>
      </c>
      <c r="C12" s="98" t="s">
        <v>649</v>
      </c>
      <c r="D12" s="98" t="s">
        <v>742</v>
      </c>
      <c r="E12" s="101" t="s">
        <v>743</v>
      </c>
      <c r="F12" s="110" t="s">
        <v>744</v>
      </c>
      <c r="G12" s="103" t="s">
        <v>663</v>
      </c>
      <c r="H12" s="103" t="s">
        <v>745</v>
      </c>
      <c r="I12" s="102" t="s">
        <v>746</v>
      </c>
      <c r="J12" s="102" t="s">
        <v>747</v>
      </c>
      <c r="K12" s="110" t="s">
        <v>748</v>
      </c>
      <c r="L12" s="102" t="s">
        <v>749</v>
      </c>
      <c r="M12" s="117" t="str">
        <f t="shared" si="0"/>
        <v>👉 [클릭] 표준서 열기 📄</v>
      </c>
      <c r="N12" s="102" t="s">
        <v>750</v>
      </c>
      <c r="O12" s="117" t="str">
        <f t="shared" si="1"/>
        <v>👉 [클릭] 수행지침 열기 📄</v>
      </c>
      <c r="P12" s="102" t="s">
        <v>751</v>
      </c>
      <c r="Q12" s="117" t="str">
        <f t="shared" si="2"/>
        <v>👉 [클릭] 체크리스트 열기 📄</v>
      </c>
    </row>
    <row r="13" spans="1:17" ht="28.05" customHeight="1" x14ac:dyDescent="0.4">
      <c r="A13" s="105" t="s">
        <v>519</v>
      </c>
      <c r="B13" s="105" t="s">
        <v>648</v>
      </c>
      <c r="C13" s="105" t="s">
        <v>649</v>
      </c>
      <c r="D13" s="105" t="s">
        <v>752</v>
      </c>
      <c r="E13" s="107" t="s">
        <v>753</v>
      </c>
      <c r="F13" s="106" t="s">
        <v>754</v>
      </c>
      <c r="G13" s="109" t="s">
        <v>755</v>
      </c>
      <c r="H13" s="109" t="s">
        <v>663</v>
      </c>
      <c r="I13" s="108" t="s">
        <v>756</v>
      </c>
      <c r="J13" s="108" t="s">
        <v>757</v>
      </c>
      <c r="K13" s="106" t="s">
        <v>758</v>
      </c>
      <c r="L13" s="108" t="s">
        <v>759</v>
      </c>
      <c r="M13" s="118" t="str">
        <f t="shared" si="0"/>
        <v>👉 [클릭] 표준서 열기 📄</v>
      </c>
      <c r="N13" s="108" t="s">
        <v>757</v>
      </c>
      <c r="O13" s="118" t="str">
        <f t="shared" si="1"/>
        <v>👉 [클릭] 수행지침 열기 📄</v>
      </c>
      <c r="P13" s="108" t="s">
        <v>760</v>
      </c>
      <c r="Q13" s="118" t="str">
        <f t="shared" si="2"/>
        <v>👉 [클릭] 체크리스트 열기 📄</v>
      </c>
    </row>
    <row r="14" spans="1:17" ht="45" customHeight="1" x14ac:dyDescent="0.4">
      <c r="A14" s="98" t="s">
        <v>519</v>
      </c>
      <c r="B14" s="98" t="s">
        <v>648</v>
      </c>
      <c r="C14" s="98" t="s">
        <v>649</v>
      </c>
      <c r="D14" s="98" t="s">
        <v>761</v>
      </c>
      <c r="E14" s="101" t="s">
        <v>762</v>
      </c>
      <c r="F14" s="110" t="s">
        <v>763</v>
      </c>
      <c r="G14" s="103" t="s">
        <v>745</v>
      </c>
      <c r="H14" s="103" t="s">
        <v>663</v>
      </c>
      <c r="I14" s="102" t="s">
        <v>764</v>
      </c>
      <c r="J14" s="102" t="s">
        <v>765</v>
      </c>
      <c r="K14" s="110" t="s">
        <v>766</v>
      </c>
      <c r="L14" s="102" t="s">
        <v>767</v>
      </c>
      <c r="M14" s="117" t="str">
        <f t="shared" si="0"/>
        <v>👉 [클릭] 표준서 열기 📄</v>
      </c>
      <c r="N14" s="102" t="s">
        <v>768</v>
      </c>
      <c r="O14" s="117" t="str">
        <f t="shared" si="1"/>
        <v>👉 [클릭] 수행지침 열기 📄</v>
      </c>
      <c r="P14" s="102" t="s">
        <v>769</v>
      </c>
      <c r="Q14" s="117" t="str">
        <f t="shared" si="2"/>
        <v>👉 [클릭] 체크리스트 열기 📄</v>
      </c>
    </row>
    <row r="15" spans="1:17" ht="45" customHeight="1" x14ac:dyDescent="0.4">
      <c r="A15" s="105" t="s">
        <v>519</v>
      </c>
      <c r="B15" s="105" t="s">
        <v>648</v>
      </c>
      <c r="C15" s="105" t="s">
        <v>649</v>
      </c>
      <c r="D15" s="105" t="s">
        <v>770</v>
      </c>
      <c r="E15" s="107" t="s">
        <v>771</v>
      </c>
      <c r="F15" s="106" t="s">
        <v>772</v>
      </c>
      <c r="G15" s="109" t="s">
        <v>663</v>
      </c>
      <c r="H15" s="109" t="s">
        <v>773</v>
      </c>
      <c r="I15" s="108" t="s">
        <v>774</v>
      </c>
      <c r="J15" s="108" t="s">
        <v>775</v>
      </c>
      <c r="K15" s="106" t="s">
        <v>739</v>
      </c>
      <c r="L15" s="108" t="s">
        <v>776</v>
      </c>
      <c r="M15" s="118" t="str">
        <f t="shared" si="0"/>
        <v>👉 [클릭] 표준서 열기 📄</v>
      </c>
      <c r="N15" s="108" t="s">
        <v>777</v>
      </c>
      <c r="O15" s="118" t="str">
        <f t="shared" si="1"/>
        <v>👉 [클릭] 수행지침 열기 📄</v>
      </c>
      <c r="P15" s="108" t="s">
        <v>778</v>
      </c>
      <c r="Q15" s="118" t="str">
        <f t="shared" si="2"/>
        <v>👉 [클릭] 체크리스트 열기 📄</v>
      </c>
    </row>
    <row r="16" spans="1:17" ht="45" customHeight="1" x14ac:dyDescent="0.4">
      <c r="A16" s="98" t="s">
        <v>519</v>
      </c>
      <c r="B16" s="98" t="s">
        <v>648</v>
      </c>
      <c r="C16" s="98" t="s">
        <v>649</v>
      </c>
      <c r="D16" s="98" t="s">
        <v>779</v>
      </c>
      <c r="E16" s="101" t="s">
        <v>780</v>
      </c>
      <c r="F16" s="110" t="s">
        <v>781</v>
      </c>
      <c r="G16" s="103" t="s">
        <v>745</v>
      </c>
      <c r="H16" s="103" t="s">
        <v>663</v>
      </c>
      <c r="I16" s="102" t="s">
        <v>782</v>
      </c>
      <c r="J16" s="102" t="s">
        <v>783</v>
      </c>
      <c r="K16" s="110" t="s">
        <v>784</v>
      </c>
      <c r="L16" s="102" t="s">
        <v>785</v>
      </c>
      <c r="M16" s="117" t="str">
        <f t="shared" si="0"/>
        <v>👉 [클릭] 표준서 열기 📄</v>
      </c>
      <c r="N16" s="102" t="s">
        <v>786</v>
      </c>
      <c r="O16" s="117" t="str">
        <f t="shared" si="1"/>
        <v>👉 [클릭] 수행지침 열기 📄</v>
      </c>
      <c r="P16" s="102" t="s">
        <v>787</v>
      </c>
      <c r="Q16" s="117" t="str">
        <f t="shared" si="2"/>
        <v>👉 [클릭] 체크리스트 열기 📄</v>
      </c>
    </row>
    <row r="17" spans="1:17" ht="45" customHeight="1" x14ac:dyDescent="0.4">
      <c r="A17" s="105" t="s">
        <v>519</v>
      </c>
      <c r="B17" s="105" t="s">
        <v>648</v>
      </c>
      <c r="C17" s="105" t="s">
        <v>649</v>
      </c>
      <c r="D17" s="105" t="s">
        <v>788</v>
      </c>
      <c r="E17" s="107" t="s">
        <v>789</v>
      </c>
      <c r="F17" s="106" t="s">
        <v>790</v>
      </c>
      <c r="G17" s="109" t="s">
        <v>755</v>
      </c>
      <c r="H17" s="109" t="s">
        <v>791</v>
      </c>
      <c r="I17" s="108" t="s">
        <v>792</v>
      </c>
      <c r="J17" s="108" t="s">
        <v>793</v>
      </c>
      <c r="K17" s="106" t="s">
        <v>794</v>
      </c>
      <c r="L17" s="108" t="s">
        <v>795</v>
      </c>
      <c r="M17" s="118" t="str">
        <f t="shared" si="0"/>
        <v>👉 [클릭] 표준서 열기 📄</v>
      </c>
      <c r="N17" s="108" t="s">
        <v>796</v>
      </c>
      <c r="O17" s="118" t="str">
        <f t="shared" si="1"/>
        <v>👉 [클릭] 수행지침 열기 📄</v>
      </c>
      <c r="P17" s="108" t="s">
        <v>797</v>
      </c>
      <c r="Q17" s="118" t="str">
        <f t="shared" si="2"/>
        <v>👉 [클릭] 체크리스트 열기 📄</v>
      </c>
    </row>
    <row r="18" spans="1:17" ht="45" customHeight="1" x14ac:dyDescent="0.4">
      <c r="A18" s="98" t="s">
        <v>519</v>
      </c>
      <c r="B18" s="98" t="s">
        <v>648</v>
      </c>
      <c r="C18" s="98" t="s">
        <v>649</v>
      </c>
      <c r="D18" s="98" t="s">
        <v>798</v>
      </c>
      <c r="E18" s="101" t="s">
        <v>799</v>
      </c>
      <c r="F18" s="110" t="s">
        <v>800</v>
      </c>
      <c r="G18" s="103" t="s">
        <v>801</v>
      </c>
      <c r="H18" s="103" t="s">
        <v>663</v>
      </c>
      <c r="I18" s="102" t="s">
        <v>802</v>
      </c>
      <c r="J18" s="102" t="s">
        <v>803</v>
      </c>
      <c r="K18" s="110" t="s">
        <v>804</v>
      </c>
      <c r="L18" s="102" t="s">
        <v>805</v>
      </c>
      <c r="M18" s="117" t="str">
        <f t="shared" si="0"/>
        <v>👉 [클릭] 표준서 열기 📄</v>
      </c>
      <c r="N18" s="102" t="s">
        <v>806</v>
      </c>
      <c r="O18" s="117" t="str">
        <f t="shared" si="1"/>
        <v>👉 [클릭] 수행지침 열기 📄</v>
      </c>
      <c r="P18" s="102" t="s">
        <v>807</v>
      </c>
      <c r="Q18" s="117" t="str">
        <f t="shared" si="2"/>
        <v>👉 [클릭] 체크리스트 열기 📄</v>
      </c>
    </row>
    <row r="19" spans="1:17" ht="45" customHeight="1" x14ac:dyDescent="0.4">
      <c r="A19" s="105" t="s">
        <v>519</v>
      </c>
      <c r="B19" s="105" t="s">
        <v>648</v>
      </c>
      <c r="C19" s="105" t="s">
        <v>649</v>
      </c>
      <c r="D19" s="105" t="s">
        <v>808</v>
      </c>
      <c r="E19" s="107" t="s">
        <v>799</v>
      </c>
      <c r="F19" s="106" t="s">
        <v>809</v>
      </c>
      <c r="G19" s="109" t="s">
        <v>663</v>
      </c>
      <c r="H19" s="109" t="s">
        <v>801</v>
      </c>
      <c r="I19" s="108" t="s">
        <v>810</v>
      </c>
      <c r="J19" s="108" t="s">
        <v>811</v>
      </c>
      <c r="K19" s="106" t="s">
        <v>812</v>
      </c>
      <c r="L19" s="108" t="s">
        <v>813</v>
      </c>
      <c r="M19" s="118" t="str">
        <f t="shared" si="0"/>
        <v>👉 [클릭] 표준서 열기 📄</v>
      </c>
      <c r="N19" s="108" t="s">
        <v>814</v>
      </c>
      <c r="O19" s="118" t="str">
        <f t="shared" si="1"/>
        <v>👉 [클릭] 수행지침 열기 📄</v>
      </c>
      <c r="P19" s="108" t="s">
        <v>815</v>
      </c>
      <c r="Q19" s="118" t="str">
        <f t="shared" si="2"/>
        <v>👉 [클릭] 체크리스트 열기 📄</v>
      </c>
    </row>
    <row r="20" spans="1:17" ht="45" customHeight="1" x14ac:dyDescent="0.4">
      <c r="A20" s="98" t="s">
        <v>519</v>
      </c>
      <c r="B20" s="98" t="s">
        <v>648</v>
      </c>
      <c r="C20" s="98" t="s">
        <v>649</v>
      </c>
      <c r="D20" s="98" t="s">
        <v>816</v>
      </c>
      <c r="E20" s="101" t="s">
        <v>817</v>
      </c>
      <c r="F20" s="110" t="s">
        <v>818</v>
      </c>
      <c r="G20" s="103" t="s">
        <v>663</v>
      </c>
      <c r="H20" s="103" t="s">
        <v>819</v>
      </c>
      <c r="I20" s="102" t="s">
        <v>820</v>
      </c>
      <c r="J20" s="102" t="s">
        <v>821</v>
      </c>
      <c r="K20" s="110" t="s">
        <v>822</v>
      </c>
      <c r="L20" s="102" t="s">
        <v>823</v>
      </c>
      <c r="M20" s="117" t="str">
        <f t="shared" si="0"/>
        <v>👉 [클릭] 표준서 열기 📄</v>
      </c>
      <c r="N20" s="102" t="s">
        <v>824</v>
      </c>
      <c r="O20" s="117" t="str">
        <f t="shared" si="1"/>
        <v>👉 [클릭] 수행지침 열기 📄</v>
      </c>
      <c r="P20" s="102" t="s">
        <v>825</v>
      </c>
      <c r="Q20" s="117" t="str">
        <f t="shared" si="2"/>
        <v>👉 [클릭] 체크리스트 열기 📄</v>
      </c>
    </row>
    <row r="21" spans="1:17" ht="45" customHeight="1" x14ac:dyDescent="0.4">
      <c r="A21" s="105" t="s">
        <v>519</v>
      </c>
      <c r="B21" s="105" t="s">
        <v>648</v>
      </c>
      <c r="C21" s="105" t="s">
        <v>649</v>
      </c>
      <c r="D21" s="105" t="s">
        <v>826</v>
      </c>
      <c r="E21" s="107" t="s">
        <v>827</v>
      </c>
      <c r="F21" s="106" t="s">
        <v>828</v>
      </c>
      <c r="G21" s="109" t="s">
        <v>663</v>
      </c>
      <c r="H21" s="109" t="s">
        <v>801</v>
      </c>
      <c r="I21" s="108" t="s">
        <v>829</v>
      </c>
      <c r="J21" s="108" t="s">
        <v>830</v>
      </c>
      <c r="K21" s="106" t="s">
        <v>831</v>
      </c>
      <c r="L21" s="108" t="s">
        <v>832</v>
      </c>
      <c r="M21" s="118" t="str">
        <f t="shared" si="0"/>
        <v>👉 [클릭] 표준서 열기 📄</v>
      </c>
      <c r="N21" s="108" t="s">
        <v>833</v>
      </c>
      <c r="O21" s="118" t="str">
        <f t="shared" si="1"/>
        <v>👉 [클릭] 수행지침 열기 📄</v>
      </c>
      <c r="P21" s="108" t="s">
        <v>834</v>
      </c>
      <c r="Q21" s="118" t="str">
        <f t="shared" si="2"/>
        <v>👉 [클릭] 체크리스트 열기 📄</v>
      </c>
    </row>
    <row r="22" spans="1:17" ht="45" customHeight="1" x14ac:dyDescent="0.4">
      <c r="A22" s="98" t="s">
        <v>519</v>
      </c>
      <c r="B22" s="98" t="s">
        <v>648</v>
      </c>
      <c r="C22" s="98" t="s">
        <v>649</v>
      </c>
      <c r="D22" s="98" t="s">
        <v>835</v>
      </c>
      <c r="E22" s="101" t="s">
        <v>836</v>
      </c>
      <c r="F22" s="110" t="s">
        <v>837</v>
      </c>
      <c r="G22" s="103" t="s">
        <v>838</v>
      </c>
      <c r="H22" s="103" t="s">
        <v>839</v>
      </c>
      <c r="I22" s="102" t="s">
        <v>840</v>
      </c>
      <c r="J22" s="102" t="s">
        <v>841</v>
      </c>
      <c r="K22" s="110" t="s">
        <v>605</v>
      </c>
      <c r="L22" s="102" t="s">
        <v>842</v>
      </c>
      <c r="M22" s="117" t="str">
        <f t="shared" si="0"/>
        <v>👉 [클릭] 표준서 열기 📄</v>
      </c>
      <c r="N22" s="102" t="s">
        <v>843</v>
      </c>
      <c r="O22" s="117" t="str">
        <f t="shared" si="1"/>
        <v>👉 [클릭] 수행지침 열기 📄</v>
      </c>
      <c r="P22" s="102" t="s">
        <v>844</v>
      </c>
      <c r="Q22" s="117" t="str">
        <f t="shared" si="2"/>
        <v>👉 [클릭] 체크리스트 열기 📄</v>
      </c>
    </row>
    <row r="23" spans="1:17" ht="45" customHeight="1" x14ac:dyDescent="0.4">
      <c r="A23" s="105" t="s">
        <v>519</v>
      </c>
      <c r="B23" s="105" t="s">
        <v>648</v>
      </c>
      <c r="C23" s="105" t="s">
        <v>649</v>
      </c>
      <c r="D23" s="105" t="s">
        <v>845</v>
      </c>
      <c r="E23" s="107" t="s">
        <v>836</v>
      </c>
      <c r="F23" s="106" t="s">
        <v>846</v>
      </c>
      <c r="G23" s="109" t="s">
        <v>847</v>
      </c>
      <c r="H23" s="109" t="s">
        <v>848</v>
      </c>
      <c r="I23" s="108" t="s">
        <v>802</v>
      </c>
      <c r="J23" s="108" t="s">
        <v>803</v>
      </c>
      <c r="K23" s="106" t="s">
        <v>804</v>
      </c>
      <c r="L23" s="108" t="s">
        <v>805</v>
      </c>
      <c r="M23" s="118" t="str">
        <f t="shared" si="0"/>
        <v>👉 [클릭] 표준서 열기 📄</v>
      </c>
      <c r="N23" s="108" t="s">
        <v>806</v>
      </c>
      <c r="O23" s="118" t="str">
        <f t="shared" si="1"/>
        <v>👉 [클릭] 수행지침 열기 📄</v>
      </c>
      <c r="P23" s="108" t="s">
        <v>849</v>
      </c>
      <c r="Q23" s="118" t="str">
        <f t="shared" si="2"/>
        <v>👉 [클릭] 체크리스트 열기 📄</v>
      </c>
    </row>
    <row r="24" spans="1:17" ht="28.05" customHeight="1" x14ac:dyDescent="0.4">
      <c r="A24" s="98" t="s">
        <v>519</v>
      </c>
      <c r="B24" s="98" t="s">
        <v>648</v>
      </c>
      <c r="C24" s="98" t="s">
        <v>649</v>
      </c>
      <c r="D24" s="98" t="s">
        <v>850</v>
      </c>
      <c r="E24" s="101" t="s">
        <v>851</v>
      </c>
      <c r="F24" s="110" t="s">
        <v>852</v>
      </c>
      <c r="G24" s="103" t="s">
        <v>710</v>
      </c>
      <c r="H24" s="103" t="s">
        <v>605</v>
      </c>
      <c r="I24" s="102" t="s">
        <v>853</v>
      </c>
      <c r="J24" s="102" t="s">
        <v>854</v>
      </c>
      <c r="K24" s="110" t="s">
        <v>855</v>
      </c>
      <c r="L24" s="102" t="s">
        <v>856</v>
      </c>
      <c r="M24" s="117" t="str">
        <f t="shared" si="0"/>
        <v>👉 [클릭] 표준서 열기 📄</v>
      </c>
      <c r="N24" s="102" t="s">
        <v>854</v>
      </c>
      <c r="O24" s="117" t="str">
        <f t="shared" si="1"/>
        <v>👉 [클릭] 수행지침 열기 📄</v>
      </c>
      <c r="P24" s="102" t="s">
        <v>857</v>
      </c>
      <c r="Q24" s="117" t="str">
        <f t="shared" si="2"/>
        <v>👉 [클릭] 체크리스트 열기 📄</v>
      </c>
    </row>
    <row r="25" spans="1:17" ht="28.05" customHeight="1" x14ac:dyDescent="0.4">
      <c r="A25" s="105" t="s">
        <v>519</v>
      </c>
      <c r="B25" s="105" t="s">
        <v>648</v>
      </c>
      <c r="C25" s="105" t="s">
        <v>649</v>
      </c>
      <c r="D25" s="105" t="s">
        <v>858</v>
      </c>
      <c r="E25" s="107" t="s">
        <v>859</v>
      </c>
      <c r="F25" s="106" t="s">
        <v>860</v>
      </c>
      <c r="G25" s="109" t="s">
        <v>861</v>
      </c>
      <c r="H25" s="109" t="s">
        <v>862</v>
      </c>
      <c r="I25" s="108" t="s">
        <v>863</v>
      </c>
      <c r="J25" s="108" t="s">
        <v>864</v>
      </c>
      <c r="K25" s="106" t="s">
        <v>865</v>
      </c>
      <c r="L25" s="108" t="s">
        <v>866</v>
      </c>
      <c r="M25" s="118" t="str">
        <f t="shared" si="0"/>
        <v>👉 [클릭] 표준서 열기 📄</v>
      </c>
      <c r="N25" s="108" t="s">
        <v>864</v>
      </c>
      <c r="O25" s="118" t="str">
        <f t="shared" si="1"/>
        <v>👉 [클릭] 수행지침 열기 📄</v>
      </c>
      <c r="P25" s="108" t="s">
        <v>867</v>
      </c>
      <c r="Q25" s="118" t="str">
        <f t="shared" si="2"/>
        <v>👉 [클릭] 체크리스트 열기 📄</v>
      </c>
    </row>
    <row r="26" spans="1:17" ht="45" customHeight="1" x14ac:dyDescent="0.4">
      <c r="A26" s="111" t="s">
        <v>519</v>
      </c>
      <c r="B26" s="111" t="s">
        <v>648</v>
      </c>
      <c r="C26" s="111" t="s">
        <v>649</v>
      </c>
      <c r="D26" s="111" t="s">
        <v>868</v>
      </c>
      <c r="E26" s="113" t="s">
        <v>869</v>
      </c>
      <c r="F26" s="112" t="s">
        <v>870</v>
      </c>
      <c r="G26" s="115" t="s">
        <v>745</v>
      </c>
      <c r="H26" s="115" t="s">
        <v>871</v>
      </c>
      <c r="I26" s="114" t="s">
        <v>872</v>
      </c>
      <c r="J26" s="114" t="s">
        <v>873</v>
      </c>
      <c r="K26" s="112" t="s">
        <v>874</v>
      </c>
      <c r="L26" s="114" t="s">
        <v>875</v>
      </c>
      <c r="M26" s="119" t="str">
        <f t="shared" si="0"/>
        <v>👉 [클릭] 표준서 열기 📄</v>
      </c>
      <c r="N26" s="114" t="s">
        <v>876</v>
      </c>
      <c r="O26" s="119" t="str">
        <f t="shared" si="1"/>
        <v>👉 [클릭] 수행지침 열기 📄</v>
      </c>
      <c r="P26" s="114" t="s">
        <v>877</v>
      </c>
      <c r="Q26" s="119" t="str">
        <f t="shared" si="2"/>
        <v>👉 [클릭] 체크리스트 열기 📄</v>
      </c>
    </row>
    <row r="27" spans="1:17" ht="45" customHeight="1" x14ac:dyDescent="0.4">
      <c r="A27" s="111" t="s">
        <v>519</v>
      </c>
      <c r="B27" s="111" t="s">
        <v>648</v>
      </c>
      <c r="C27" s="111" t="s">
        <v>649</v>
      </c>
      <c r="D27" s="111" t="s">
        <v>878</v>
      </c>
      <c r="E27" s="113" t="s">
        <v>879</v>
      </c>
      <c r="F27" s="112" t="s">
        <v>880</v>
      </c>
      <c r="G27" s="115" t="s">
        <v>755</v>
      </c>
      <c r="H27" s="115" t="s">
        <v>871</v>
      </c>
      <c r="I27" s="114" t="s">
        <v>881</v>
      </c>
      <c r="J27" s="114" t="s">
        <v>882</v>
      </c>
      <c r="K27" s="112" t="s">
        <v>883</v>
      </c>
      <c r="L27" s="114" t="s">
        <v>884</v>
      </c>
      <c r="M27" s="119" t="str">
        <f t="shared" si="0"/>
        <v>👉 [클릭] 표준서 열기 📄</v>
      </c>
      <c r="N27" s="114" t="s">
        <v>885</v>
      </c>
      <c r="O27" s="119" t="str">
        <f t="shared" si="1"/>
        <v>👉 [클릭] 수행지침 열기 📄</v>
      </c>
      <c r="P27" s="114" t="s">
        <v>886</v>
      </c>
      <c r="Q27" s="119" t="str">
        <f t="shared" si="2"/>
        <v>👉 [클릭] 체크리스트 열기 📄</v>
      </c>
    </row>
    <row r="28" spans="1:17" ht="45" customHeight="1" x14ac:dyDescent="0.4">
      <c r="A28" s="98" t="s">
        <v>519</v>
      </c>
      <c r="B28" s="98" t="s">
        <v>648</v>
      </c>
      <c r="C28" s="98" t="s">
        <v>649</v>
      </c>
      <c r="D28" s="98" t="s">
        <v>887</v>
      </c>
      <c r="E28" s="101" t="s">
        <v>888</v>
      </c>
      <c r="F28" s="110" t="s">
        <v>889</v>
      </c>
      <c r="G28" s="103" t="s">
        <v>663</v>
      </c>
      <c r="H28" s="103" t="s">
        <v>890</v>
      </c>
      <c r="I28" s="102" t="s">
        <v>891</v>
      </c>
      <c r="J28" s="102" t="s">
        <v>892</v>
      </c>
      <c r="K28" s="110" t="s">
        <v>893</v>
      </c>
      <c r="L28" s="102" t="s">
        <v>894</v>
      </c>
      <c r="M28" s="117" t="str">
        <f t="shared" si="0"/>
        <v>👉 [클릭] 표준서 열기 📄</v>
      </c>
      <c r="N28" s="102" t="s">
        <v>895</v>
      </c>
      <c r="O28" s="117" t="str">
        <f t="shared" si="1"/>
        <v>👉 [클릭] 수행지침 열기 📄</v>
      </c>
      <c r="P28" s="102" t="s">
        <v>896</v>
      </c>
      <c r="Q28" s="117" t="str">
        <f t="shared" si="2"/>
        <v>👉 [클릭] 체크리스트 열기 📄</v>
      </c>
    </row>
    <row r="29" spans="1:17" ht="28.05" customHeight="1" x14ac:dyDescent="0.4">
      <c r="A29" s="105" t="s">
        <v>519</v>
      </c>
      <c r="B29" s="105" t="s">
        <v>648</v>
      </c>
      <c r="C29" s="105" t="s">
        <v>649</v>
      </c>
      <c r="D29" s="105" t="s">
        <v>897</v>
      </c>
      <c r="E29" s="107" t="s">
        <v>888</v>
      </c>
      <c r="F29" s="106" t="s">
        <v>898</v>
      </c>
      <c r="G29" s="109" t="s">
        <v>663</v>
      </c>
      <c r="H29" s="109" t="s">
        <v>890</v>
      </c>
      <c r="I29" s="108" t="s">
        <v>881</v>
      </c>
      <c r="J29" s="108" t="s">
        <v>899</v>
      </c>
      <c r="K29" s="106" t="s">
        <v>900</v>
      </c>
      <c r="L29" s="108" t="s">
        <v>901</v>
      </c>
      <c r="M29" s="118" t="str">
        <f t="shared" si="0"/>
        <v>👉 [클릭] 표준서 열기 📄</v>
      </c>
      <c r="N29" s="108" t="s">
        <v>899</v>
      </c>
      <c r="O29" s="118" t="str">
        <f t="shared" si="1"/>
        <v>👉 [클릭] 수행지침 열기 📄</v>
      </c>
      <c r="P29" s="108" t="s">
        <v>902</v>
      </c>
      <c r="Q29" s="118" t="str">
        <f t="shared" si="2"/>
        <v>👉 [클릭] 체크리스트 열기 📄</v>
      </c>
    </row>
    <row r="30" spans="1:17" ht="45" customHeight="1" x14ac:dyDescent="0.4">
      <c r="A30" s="98" t="s">
        <v>519</v>
      </c>
      <c r="B30" s="98" t="s">
        <v>648</v>
      </c>
      <c r="C30" s="98" t="s">
        <v>649</v>
      </c>
      <c r="D30" s="98" t="s">
        <v>903</v>
      </c>
      <c r="E30" s="101" t="s">
        <v>904</v>
      </c>
      <c r="F30" s="110" t="s">
        <v>905</v>
      </c>
      <c r="G30" s="103" t="s">
        <v>861</v>
      </c>
      <c r="H30" s="103" t="s">
        <v>862</v>
      </c>
      <c r="I30" s="102" t="s">
        <v>906</v>
      </c>
      <c r="J30" s="102" t="s">
        <v>907</v>
      </c>
      <c r="K30" s="110" t="s">
        <v>908</v>
      </c>
      <c r="L30" s="102" t="s">
        <v>909</v>
      </c>
      <c r="M30" s="117" t="str">
        <f t="shared" si="0"/>
        <v>👉 [클릭] 표준서 열기 📄</v>
      </c>
      <c r="N30" s="102" t="s">
        <v>910</v>
      </c>
      <c r="O30" s="117" t="str">
        <f t="shared" si="1"/>
        <v>👉 [클릭] 수행지침 열기 📄</v>
      </c>
      <c r="P30" s="102" t="s">
        <v>911</v>
      </c>
      <c r="Q30" s="117" t="str">
        <f t="shared" si="2"/>
        <v>👉 [클릭] 체크리스트 열기 📄</v>
      </c>
    </row>
    <row r="31" spans="1:17" ht="28.05" customHeight="1" x14ac:dyDescent="0.4">
      <c r="A31" s="105" t="s">
        <v>519</v>
      </c>
      <c r="B31" s="105" t="s">
        <v>648</v>
      </c>
      <c r="C31" s="105" t="s">
        <v>649</v>
      </c>
      <c r="D31" s="105" t="s">
        <v>912</v>
      </c>
      <c r="E31" s="107" t="s">
        <v>913</v>
      </c>
      <c r="F31" s="106" t="s">
        <v>914</v>
      </c>
      <c r="G31" s="109" t="s">
        <v>663</v>
      </c>
      <c r="H31" s="109" t="s">
        <v>915</v>
      </c>
      <c r="I31" s="108" t="s">
        <v>916</v>
      </c>
      <c r="J31" s="108" t="s">
        <v>917</v>
      </c>
      <c r="K31" s="106" t="s">
        <v>918</v>
      </c>
      <c r="L31" s="108" t="s">
        <v>919</v>
      </c>
      <c r="M31" s="118" t="str">
        <f t="shared" si="0"/>
        <v>👉 [클릭] 표준서 열기 📄</v>
      </c>
      <c r="N31" s="108" t="s">
        <v>917</v>
      </c>
      <c r="O31" s="118" t="str">
        <f t="shared" si="1"/>
        <v>👉 [클릭] 수행지침 열기 📄</v>
      </c>
      <c r="P31" s="108" t="s">
        <v>920</v>
      </c>
      <c r="Q31" s="118" t="str">
        <f t="shared" si="2"/>
        <v>👉 [클릭] 체크리스트 열기 📄</v>
      </c>
    </row>
    <row r="32" spans="1:17" ht="28.05" customHeight="1" x14ac:dyDescent="0.4">
      <c r="A32" s="98" t="s">
        <v>519</v>
      </c>
      <c r="B32" s="98" t="s">
        <v>648</v>
      </c>
      <c r="C32" s="98" t="s">
        <v>649</v>
      </c>
      <c r="D32" s="98" t="s">
        <v>921</v>
      </c>
      <c r="E32" s="101" t="s">
        <v>913</v>
      </c>
      <c r="F32" s="110" t="s">
        <v>922</v>
      </c>
      <c r="G32" s="103" t="s">
        <v>663</v>
      </c>
      <c r="H32" s="103" t="s">
        <v>915</v>
      </c>
      <c r="I32" s="102" t="s">
        <v>923</v>
      </c>
      <c r="J32" s="102" t="s">
        <v>924</v>
      </c>
      <c r="K32" s="110" t="s">
        <v>925</v>
      </c>
      <c r="L32" s="102" t="s">
        <v>926</v>
      </c>
      <c r="M32" s="117" t="str">
        <f t="shared" si="0"/>
        <v>👉 [클릭] 표준서 열기 📄</v>
      </c>
      <c r="N32" s="102" t="s">
        <v>924</v>
      </c>
      <c r="O32" s="117" t="str">
        <f t="shared" si="1"/>
        <v>👉 [클릭] 수행지침 열기 📄</v>
      </c>
      <c r="P32" s="102" t="s">
        <v>927</v>
      </c>
      <c r="Q32" s="117" t="str">
        <f t="shared" si="2"/>
        <v>👉 [클릭] 체크리스트 열기 📄</v>
      </c>
    </row>
    <row r="33" spans="1:17" ht="28.05" customHeight="1" x14ac:dyDescent="0.4">
      <c r="A33" s="105" t="s">
        <v>519</v>
      </c>
      <c r="B33" s="105" t="s">
        <v>648</v>
      </c>
      <c r="C33" s="105" t="s">
        <v>649</v>
      </c>
      <c r="D33" s="105" t="s">
        <v>928</v>
      </c>
      <c r="E33" s="107" t="s">
        <v>913</v>
      </c>
      <c r="F33" s="106" t="s">
        <v>929</v>
      </c>
      <c r="G33" s="109" t="s">
        <v>861</v>
      </c>
      <c r="H33" s="109" t="s">
        <v>915</v>
      </c>
      <c r="I33" s="108" t="s">
        <v>930</v>
      </c>
      <c r="J33" s="108" t="s">
        <v>931</v>
      </c>
      <c r="K33" s="106" t="s">
        <v>932</v>
      </c>
      <c r="L33" s="108" t="s">
        <v>933</v>
      </c>
      <c r="M33" s="118" t="str">
        <f t="shared" si="0"/>
        <v>👉 [클릭] 표준서 열기 📄</v>
      </c>
      <c r="N33" s="108" t="s">
        <v>931</v>
      </c>
      <c r="O33" s="118" t="str">
        <f t="shared" si="1"/>
        <v>👉 [클릭] 수행지침 열기 📄</v>
      </c>
      <c r="P33" s="108" t="s">
        <v>934</v>
      </c>
      <c r="Q33" s="118" t="str">
        <f t="shared" si="2"/>
        <v>👉 [클릭] 체크리스트 열기 📄</v>
      </c>
    </row>
    <row r="34" spans="1:17" ht="45" customHeight="1" x14ac:dyDescent="0.4">
      <c r="A34" s="98" t="s">
        <v>519</v>
      </c>
      <c r="B34" s="98" t="s">
        <v>648</v>
      </c>
      <c r="C34" s="98" t="s">
        <v>649</v>
      </c>
      <c r="D34" s="98" t="s">
        <v>935</v>
      </c>
      <c r="E34" s="101" t="s">
        <v>913</v>
      </c>
      <c r="F34" s="110" t="s">
        <v>936</v>
      </c>
      <c r="G34" s="103" t="s">
        <v>861</v>
      </c>
      <c r="H34" s="103" t="s">
        <v>838</v>
      </c>
      <c r="I34" s="102" t="s">
        <v>937</v>
      </c>
      <c r="J34" s="102" t="s">
        <v>938</v>
      </c>
      <c r="K34" s="110" t="s">
        <v>939</v>
      </c>
      <c r="L34" s="102" t="s">
        <v>940</v>
      </c>
      <c r="M34" s="117" t="str">
        <f t="shared" si="0"/>
        <v>👉 [클릭] 표준서 열기 📄</v>
      </c>
      <c r="N34" s="102" t="s">
        <v>941</v>
      </c>
      <c r="O34" s="117" t="str">
        <f t="shared" si="1"/>
        <v>👉 [클릭] 수행지침 열기 📄</v>
      </c>
      <c r="P34" s="102" t="s">
        <v>942</v>
      </c>
      <c r="Q34" s="117" t="str">
        <f t="shared" si="2"/>
        <v>👉 [클릭] 체크리스트 열기 📄</v>
      </c>
    </row>
    <row r="35" spans="1:17" ht="28.05" customHeight="1" x14ac:dyDescent="0.4">
      <c r="A35" s="105" t="s">
        <v>519</v>
      </c>
      <c r="B35" s="105" t="s">
        <v>648</v>
      </c>
      <c r="C35" s="105" t="s">
        <v>649</v>
      </c>
      <c r="D35" s="105" t="s">
        <v>943</v>
      </c>
      <c r="E35" s="107" t="s">
        <v>913</v>
      </c>
      <c r="F35" s="106" t="s">
        <v>944</v>
      </c>
      <c r="G35" s="109" t="s">
        <v>862</v>
      </c>
      <c r="H35" s="109" t="s">
        <v>861</v>
      </c>
      <c r="I35" s="108" t="s">
        <v>945</v>
      </c>
      <c r="J35" s="108" t="s">
        <v>946</v>
      </c>
      <c r="K35" s="106" t="s">
        <v>947</v>
      </c>
      <c r="L35" s="108" t="s">
        <v>948</v>
      </c>
      <c r="M35" s="118" t="str">
        <f t="shared" si="0"/>
        <v>👉 [클릭] 표준서 열기 📄</v>
      </c>
      <c r="N35" s="108" t="s">
        <v>946</v>
      </c>
      <c r="O35" s="118" t="str">
        <f t="shared" si="1"/>
        <v>👉 [클릭] 수행지침 열기 📄</v>
      </c>
      <c r="P35" s="108" t="s">
        <v>949</v>
      </c>
      <c r="Q35" s="118" t="str">
        <f t="shared" si="2"/>
        <v>👉 [클릭] 체크리스트 열기 📄</v>
      </c>
    </row>
    <row r="36" spans="1:17" ht="45" customHeight="1" x14ac:dyDescent="0.4">
      <c r="A36" s="98" t="s">
        <v>519</v>
      </c>
      <c r="B36" s="98" t="s">
        <v>648</v>
      </c>
      <c r="C36" s="98" t="s">
        <v>649</v>
      </c>
      <c r="D36" s="98" t="s">
        <v>950</v>
      </c>
      <c r="E36" s="101" t="s">
        <v>913</v>
      </c>
      <c r="F36" s="110" t="s">
        <v>951</v>
      </c>
      <c r="G36" s="103" t="s">
        <v>728</v>
      </c>
      <c r="H36" s="103" t="s">
        <v>838</v>
      </c>
      <c r="I36" s="102" t="s">
        <v>952</v>
      </c>
      <c r="J36" s="102" t="s">
        <v>953</v>
      </c>
      <c r="K36" s="110" t="s">
        <v>954</v>
      </c>
      <c r="L36" s="102" t="s">
        <v>955</v>
      </c>
      <c r="M36" s="117" t="str">
        <f t="shared" si="0"/>
        <v>👉 [클릭] 표준서 열기 📄</v>
      </c>
      <c r="N36" s="102" t="s">
        <v>956</v>
      </c>
      <c r="O36" s="117" t="str">
        <f t="shared" si="1"/>
        <v>👉 [클릭] 수행지침 열기 📄</v>
      </c>
      <c r="P36" s="102" t="s">
        <v>957</v>
      </c>
      <c r="Q36" s="117" t="str">
        <f t="shared" si="2"/>
        <v>👉 [클릭] 체크리스트 열기 📄</v>
      </c>
    </row>
    <row r="37" spans="1:17" ht="28.05" customHeight="1" x14ac:dyDescent="0.4">
      <c r="A37" s="105" t="s">
        <v>519</v>
      </c>
      <c r="B37" s="105" t="s">
        <v>648</v>
      </c>
      <c r="C37" s="105" t="s">
        <v>649</v>
      </c>
      <c r="D37" s="105" t="s">
        <v>958</v>
      </c>
      <c r="E37" s="107" t="s">
        <v>913</v>
      </c>
      <c r="F37" s="106" t="s">
        <v>959</v>
      </c>
      <c r="G37" s="109" t="s">
        <v>960</v>
      </c>
      <c r="H37" s="109" t="s">
        <v>838</v>
      </c>
      <c r="I37" s="108" t="s">
        <v>961</v>
      </c>
      <c r="J37" s="108" t="s">
        <v>962</v>
      </c>
      <c r="K37" s="106" t="s">
        <v>963</v>
      </c>
      <c r="L37" s="108" t="s">
        <v>964</v>
      </c>
      <c r="M37" s="118" t="str">
        <f t="shared" si="0"/>
        <v>👉 [클릭] 표준서 열기 📄</v>
      </c>
      <c r="N37" s="108" t="s">
        <v>962</v>
      </c>
      <c r="O37" s="118" t="str">
        <f t="shared" si="1"/>
        <v>👉 [클릭] 수행지침 열기 📄</v>
      </c>
      <c r="P37" s="108" t="s">
        <v>965</v>
      </c>
      <c r="Q37" s="118" t="str">
        <f t="shared" si="2"/>
        <v>👉 [클릭] 체크리스트 열기 📄</v>
      </c>
    </row>
  </sheetData>
  <phoneticPr fontId="3"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40"/>
  <sheetViews>
    <sheetView workbookViewId="0"/>
  </sheetViews>
  <sheetFormatPr defaultRowHeight="17.399999999999999" x14ac:dyDescent="0.4"/>
  <cols>
    <col min="1" max="1" width="6" customWidth="1"/>
    <col min="2" max="2" width="26" customWidth="1"/>
    <col min="3" max="4" width="12" customWidth="1"/>
    <col min="5" max="5" width="32" customWidth="1"/>
    <col min="6" max="6" width="55" customWidth="1"/>
    <col min="7" max="7" width="24" customWidth="1"/>
    <col min="8" max="8" width="26" customWidth="1"/>
    <col min="9" max="9" width="30" customWidth="1"/>
    <col min="10" max="11" width="10" customWidth="1"/>
  </cols>
  <sheetData>
    <row r="1" spans="1:11" ht="28.05" customHeight="1" x14ac:dyDescent="0.45">
      <c r="A1" s="95" t="s">
        <v>966</v>
      </c>
      <c r="B1" s="96"/>
      <c r="C1" s="96"/>
    </row>
    <row r="2" spans="1:11" x14ac:dyDescent="0.4">
      <c r="A2" s="147" t="s">
        <v>967</v>
      </c>
      <c r="B2" s="146" t="s">
        <v>968</v>
      </c>
      <c r="C2" s="146" t="s">
        <v>969</v>
      </c>
      <c r="D2" s="136"/>
      <c r="E2" s="147" t="s">
        <v>970</v>
      </c>
      <c r="F2" s="147" t="s">
        <v>971</v>
      </c>
      <c r="G2" s="147" t="s">
        <v>972</v>
      </c>
      <c r="H2" s="147" t="s">
        <v>638</v>
      </c>
      <c r="I2" s="147" t="s">
        <v>973</v>
      </c>
      <c r="J2" s="147" t="s">
        <v>589</v>
      </c>
      <c r="K2" s="147" t="s">
        <v>588</v>
      </c>
    </row>
    <row r="3" spans="1:11" x14ac:dyDescent="0.4">
      <c r="A3" s="148"/>
      <c r="B3" s="149"/>
      <c r="C3" s="97" t="s">
        <v>974</v>
      </c>
      <c r="D3" s="97" t="s">
        <v>975</v>
      </c>
      <c r="E3" s="148"/>
      <c r="F3" s="148"/>
      <c r="G3" s="148"/>
      <c r="H3" s="148"/>
      <c r="I3" s="148"/>
      <c r="J3" s="148"/>
      <c r="K3" s="148"/>
    </row>
    <row r="4" spans="1:11" ht="19.95" customHeight="1" x14ac:dyDescent="0.4">
      <c r="A4" s="145" t="s">
        <v>976</v>
      </c>
      <c r="B4" s="135"/>
      <c r="C4" s="135"/>
      <c r="D4" s="135"/>
      <c r="E4" s="135"/>
      <c r="F4" s="135"/>
      <c r="G4" s="135"/>
      <c r="H4" s="135"/>
      <c r="I4" s="135"/>
      <c r="J4" s="135"/>
      <c r="K4" s="136"/>
    </row>
    <row r="5" spans="1:11" ht="42" customHeight="1" x14ac:dyDescent="0.4">
      <c r="A5" s="98"/>
      <c r="B5" s="99" t="s">
        <v>652</v>
      </c>
      <c r="C5" s="100" t="s">
        <v>651</v>
      </c>
      <c r="D5" s="101"/>
      <c r="E5" s="102" t="s">
        <v>655</v>
      </c>
      <c r="F5" s="102" t="s">
        <v>656</v>
      </c>
      <c r="G5" s="103" t="s">
        <v>653</v>
      </c>
      <c r="H5" s="103" t="s">
        <v>654</v>
      </c>
      <c r="I5" s="104" t="s">
        <v>657</v>
      </c>
      <c r="J5" s="117" t="str">
        <f t="shared" ref="J5:J40" si="0">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K5" s="117" t="str">
        <f t="shared" ref="K5:K40" si="1">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row>
    <row r="6" spans="1:11" ht="42" customHeight="1" x14ac:dyDescent="0.4">
      <c r="A6" s="98"/>
      <c r="B6" s="99" t="s">
        <v>662</v>
      </c>
      <c r="C6" s="100" t="s">
        <v>651</v>
      </c>
      <c r="D6" s="101"/>
      <c r="E6" s="102" t="s">
        <v>664</v>
      </c>
      <c r="F6" s="102" t="s">
        <v>665</v>
      </c>
      <c r="G6" s="103" t="s">
        <v>653</v>
      </c>
      <c r="H6" s="103" t="s">
        <v>663</v>
      </c>
      <c r="I6" s="104" t="s">
        <v>666</v>
      </c>
      <c r="J6" s="117" t="str">
        <f t="shared" si="0"/>
        <v>👉 [클릭] 수행지침 열기 📄</v>
      </c>
      <c r="K6" s="117" t="str">
        <f t="shared" si="1"/>
        <v>👉 [클릭] 표준서 열기 📄</v>
      </c>
    </row>
    <row r="7" spans="1:11" ht="42" customHeight="1" x14ac:dyDescent="0.4">
      <c r="A7" s="98" t="s">
        <v>977</v>
      </c>
      <c r="B7" s="99" t="s">
        <v>671</v>
      </c>
      <c r="C7" s="100" t="s">
        <v>651</v>
      </c>
      <c r="D7" s="101"/>
      <c r="E7" s="102" t="s">
        <v>672</v>
      </c>
      <c r="F7" s="102" t="s">
        <v>673</v>
      </c>
      <c r="G7" s="103" t="s">
        <v>663</v>
      </c>
      <c r="H7" s="103" t="s">
        <v>653</v>
      </c>
      <c r="I7" s="104" t="s">
        <v>674</v>
      </c>
      <c r="J7" s="117" t="str">
        <f t="shared" si="0"/>
        <v>👉 [클릭] 수행지침 열기 📄</v>
      </c>
      <c r="K7" s="117" t="str">
        <f t="shared" si="1"/>
        <v>👉 [클릭] 표준서 열기 📄</v>
      </c>
    </row>
    <row r="8" spans="1:11" ht="42" customHeight="1" x14ac:dyDescent="0.4">
      <c r="A8" s="98" t="s">
        <v>978</v>
      </c>
      <c r="B8" s="99" t="s">
        <v>680</v>
      </c>
      <c r="C8" s="100" t="s">
        <v>679</v>
      </c>
      <c r="D8" s="101"/>
      <c r="E8" s="102" t="s">
        <v>681</v>
      </c>
      <c r="F8" s="102" t="s">
        <v>682</v>
      </c>
      <c r="G8" s="103" t="s">
        <v>663</v>
      </c>
      <c r="H8" s="103" t="s">
        <v>605</v>
      </c>
      <c r="I8" s="104" t="s">
        <v>683</v>
      </c>
      <c r="J8" s="117" t="str">
        <f t="shared" si="0"/>
        <v>👉 [클릭] 수행지침 열기 📄</v>
      </c>
      <c r="K8" s="117" t="str">
        <f t="shared" si="1"/>
        <v>👉 [클릭] 표준서 열기 📄</v>
      </c>
    </row>
    <row r="9" spans="1:11" ht="42" customHeight="1" x14ac:dyDescent="0.4">
      <c r="A9" s="98" t="s">
        <v>979</v>
      </c>
      <c r="B9" s="99" t="s">
        <v>688</v>
      </c>
      <c r="C9" s="100" t="s">
        <v>679</v>
      </c>
      <c r="D9" s="101"/>
      <c r="E9" s="102" t="s">
        <v>690</v>
      </c>
      <c r="F9" s="102" t="s">
        <v>691</v>
      </c>
      <c r="G9" s="103" t="s">
        <v>689</v>
      </c>
      <c r="H9" s="103" t="s">
        <v>663</v>
      </c>
      <c r="I9" s="104" t="s">
        <v>692</v>
      </c>
      <c r="J9" s="117" t="str">
        <f t="shared" si="0"/>
        <v>👉 [클릭] 수행지침 열기 📄</v>
      </c>
      <c r="K9" s="117" t="str">
        <f t="shared" si="1"/>
        <v>👉 [클릭] 표준서 열기 📄</v>
      </c>
    </row>
    <row r="10" spans="1:11" ht="25.95" customHeight="1" x14ac:dyDescent="0.4">
      <c r="A10" s="98"/>
      <c r="B10" s="99" t="s">
        <v>698</v>
      </c>
      <c r="C10" s="100" t="s">
        <v>980</v>
      </c>
      <c r="D10" s="101" t="s">
        <v>981</v>
      </c>
      <c r="E10" s="102" t="s">
        <v>701</v>
      </c>
      <c r="F10" s="102" t="s">
        <v>702</v>
      </c>
      <c r="G10" s="103" t="s">
        <v>699</v>
      </c>
      <c r="H10" s="103" t="s">
        <v>700</v>
      </c>
      <c r="I10" s="104" t="s">
        <v>703</v>
      </c>
      <c r="J10" s="117" t="str">
        <f t="shared" si="0"/>
        <v>👉 [클릭] 수행지침 열기 📄</v>
      </c>
      <c r="K10" s="117" t="str">
        <f t="shared" si="1"/>
        <v>👉 [클릭] 표준서 열기 📄</v>
      </c>
    </row>
    <row r="11" spans="1:11" ht="42" customHeight="1" x14ac:dyDescent="0.4">
      <c r="A11" s="98"/>
      <c r="B11" s="99" t="s">
        <v>708</v>
      </c>
      <c r="C11" s="100" t="s">
        <v>981</v>
      </c>
      <c r="D11" s="101" t="s">
        <v>982</v>
      </c>
      <c r="E11" s="102" t="s">
        <v>711</v>
      </c>
      <c r="F11" s="102" t="s">
        <v>712</v>
      </c>
      <c r="G11" s="103" t="s">
        <v>709</v>
      </c>
      <c r="H11" s="103" t="s">
        <v>710</v>
      </c>
      <c r="I11" s="104" t="s">
        <v>713</v>
      </c>
      <c r="J11" s="117" t="str">
        <f t="shared" si="0"/>
        <v>👉 [클릭] 수행지침 열기 📄</v>
      </c>
      <c r="K11" s="117" t="str">
        <f t="shared" si="1"/>
        <v>👉 [클릭] 표준서 열기 📄</v>
      </c>
    </row>
    <row r="12" spans="1:11" ht="25.95" customHeight="1" x14ac:dyDescent="0.4">
      <c r="A12" s="98" t="s">
        <v>983</v>
      </c>
      <c r="B12" s="110" t="s">
        <v>719</v>
      </c>
      <c r="C12" s="101" t="s">
        <v>982</v>
      </c>
      <c r="D12" s="101" t="s">
        <v>984</v>
      </c>
      <c r="E12" s="102" t="s">
        <v>720</v>
      </c>
      <c r="F12" s="102" t="s">
        <v>721</v>
      </c>
      <c r="G12" s="103" t="s">
        <v>710</v>
      </c>
      <c r="H12" s="103" t="s">
        <v>709</v>
      </c>
      <c r="I12" s="104" t="s">
        <v>722</v>
      </c>
      <c r="J12" s="117" t="str">
        <f t="shared" si="0"/>
        <v>👉 [클릭] 수행지침 열기 📄</v>
      </c>
      <c r="K12" s="117" t="str">
        <f t="shared" si="1"/>
        <v>👉 [클릭] 표준서 열기 📄</v>
      </c>
    </row>
    <row r="13" spans="1:11" ht="25.95" customHeight="1" x14ac:dyDescent="0.4">
      <c r="A13" s="98" t="s">
        <v>985</v>
      </c>
      <c r="B13" s="110" t="s">
        <v>727</v>
      </c>
      <c r="C13" s="101" t="s">
        <v>984</v>
      </c>
      <c r="D13" s="101" t="s">
        <v>986</v>
      </c>
      <c r="E13" s="102" t="s">
        <v>729</v>
      </c>
      <c r="F13" s="102" t="s">
        <v>730</v>
      </c>
      <c r="G13" s="103" t="s">
        <v>728</v>
      </c>
      <c r="H13" s="103" t="s">
        <v>663</v>
      </c>
      <c r="I13" s="104" t="s">
        <v>731</v>
      </c>
      <c r="J13" s="117" t="str">
        <f t="shared" si="0"/>
        <v>👉 [클릭] 수행지침 열기 📄</v>
      </c>
      <c r="K13" s="117" t="str">
        <f t="shared" si="1"/>
        <v>👉 [클릭] 표준서 열기 📄</v>
      </c>
    </row>
    <row r="14" spans="1:11" ht="25.95" customHeight="1" x14ac:dyDescent="0.4">
      <c r="A14" s="98"/>
      <c r="B14" s="110" t="s">
        <v>736</v>
      </c>
      <c r="C14" s="101" t="s">
        <v>986</v>
      </c>
      <c r="D14" s="101" t="s">
        <v>987</v>
      </c>
      <c r="E14" s="102" t="s">
        <v>737</v>
      </c>
      <c r="F14" s="102" t="s">
        <v>738</v>
      </c>
      <c r="G14" s="103" t="s">
        <v>728</v>
      </c>
      <c r="H14" s="103" t="s">
        <v>663</v>
      </c>
      <c r="I14" s="104" t="s">
        <v>739</v>
      </c>
      <c r="J14" s="117" t="str">
        <f t="shared" si="0"/>
        <v>👉 [클릭] 수행지침 열기 📄</v>
      </c>
      <c r="K14" s="117" t="str">
        <f t="shared" si="1"/>
        <v>👉 [클릭] 표준서 열기 📄</v>
      </c>
    </row>
    <row r="15" spans="1:11" ht="42" customHeight="1" x14ac:dyDescent="0.4">
      <c r="A15" s="98" t="s">
        <v>988</v>
      </c>
      <c r="B15" s="110" t="s">
        <v>744</v>
      </c>
      <c r="C15" s="101" t="s">
        <v>986</v>
      </c>
      <c r="D15" s="101" t="s">
        <v>989</v>
      </c>
      <c r="E15" s="102" t="s">
        <v>746</v>
      </c>
      <c r="F15" s="102" t="s">
        <v>747</v>
      </c>
      <c r="G15" s="103" t="s">
        <v>663</v>
      </c>
      <c r="H15" s="103" t="s">
        <v>745</v>
      </c>
      <c r="I15" s="104" t="s">
        <v>748</v>
      </c>
      <c r="J15" s="117" t="str">
        <f t="shared" si="0"/>
        <v>👉 [클릭] 수행지침 열기 📄</v>
      </c>
      <c r="K15" s="117" t="str">
        <f t="shared" si="1"/>
        <v>👉 [클릭] 표준서 열기 📄</v>
      </c>
    </row>
    <row r="16" spans="1:11" ht="25.95" customHeight="1" x14ac:dyDescent="0.4">
      <c r="A16" s="98" t="s">
        <v>990</v>
      </c>
      <c r="B16" s="110" t="s">
        <v>754</v>
      </c>
      <c r="C16" s="101" t="s">
        <v>989</v>
      </c>
      <c r="D16" s="101" t="s">
        <v>991</v>
      </c>
      <c r="E16" s="102" t="s">
        <v>756</v>
      </c>
      <c r="F16" s="102" t="s">
        <v>757</v>
      </c>
      <c r="G16" s="103" t="s">
        <v>755</v>
      </c>
      <c r="H16" s="103" t="s">
        <v>663</v>
      </c>
      <c r="I16" s="104" t="s">
        <v>758</v>
      </c>
      <c r="J16" s="117" t="str">
        <f t="shared" si="0"/>
        <v>👉 [클릭] 수행지침 열기 📄</v>
      </c>
      <c r="K16" s="117" t="str">
        <f t="shared" si="1"/>
        <v>👉 [클릭] 표준서 열기 📄</v>
      </c>
    </row>
    <row r="17" spans="1:11" ht="42" customHeight="1" x14ac:dyDescent="0.4">
      <c r="A17" s="98"/>
      <c r="B17" s="110" t="s">
        <v>763</v>
      </c>
      <c r="C17" s="101" t="s">
        <v>986</v>
      </c>
      <c r="D17" s="101" t="s">
        <v>992</v>
      </c>
      <c r="E17" s="102" t="s">
        <v>764</v>
      </c>
      <c r="F17" s="102" t="s">
        <v>765</v>
      </c>
      <c r="G17" s="103" t="s">
        <v>745</v>
      </c>
      <c r="H17" s="103" t="s">
        <v>663</v>
      </c>
      <c r="I17" s="104" t="s">
        <v>766</v>
      </c>
      <c r="J17" s="117" t="str">
        <f t="shared" si="0"/>
        <v>👉 [클릭] 수행지침 열기 📄</v>
      </c>
      <c r="K17" s="117" t="str">
        <f t="shared" si="1"/>
        <v>👉 [클릭] 표준서 열기 📄</v>
      </c>
    </row>
    <row r="18" spans="1:11" ht="42" customHeight="1" x14ac:dyDescent="0.4">
      <c r="A18" s="98"/>
      <c r="B18" s="110" t="s">
        <v>772</v>
      </c>
      <c r="C18" s="101" t="s">
        <v>991</v>
      </c>
      <c r="D18" s="101" t="s">
        <v>992</v>
      </c>
      <c r="E18" s="102" t="s">
        <v>774</v>
      </c>
      <c r="F18" s="102" t="s">
        <v>775</v>
      </c>
      <c r="G18" s="103" t="s">
        <v>663</v>
      </c>
      <c r="H18" s="103" t="s">
        <v>773</v>
      </c>
      <c r="I18" s="104" t="s">
        <v>739</v>
      </c>
      <c r="J18" s="117" t="str">
        <f t="shared" si="0"/>
        <v>👉 [클릭] 수행지침 열기 📄</v>
      </c>
      <c r="K18" s="117" t="str">
        <f t="shared" si="1"/>
        <v>👉 [클릭] 표준서 열기 📄</v>
      </c>
    </row>
    <row r="19" spans="1:11" ht="42" customHeight="1" x14ac:dyDescent="0.4">
      <c r="A19" s="98" t="s">
        <v>993</v>
      </c>
      <c r="B19" s="110" t="s">
        <v>781</v>
      </c>
      <c r="C19" s="101" t="s">
        <v>992</v>
      </c>
      <c r="D19" s="101" t="s">
        <v>994</v>
      </c>
      <c r="E19" s="102" t="s">
        <v>782</v>
      </c>
      <c r="F19" s="102" t="s">
        <v>783</v>
      </c>
      <c r="G19" s="103" t="s">
        <v>745</v>
      </c>
      <c r="H19" s="103" t="s">
        <v>663</v>
      </c>
      <c r="I19" s="104" t="s">
        <v>784</v>
      </c>
      <c r="J19" s="117" t="str">
        <f t="shared" si="0"/>
        <v>👉 [클릭] 수행지침 열기 📄</v>
      </c>
      <c r="K19" s="117" t="str">
        <f t="shared" si="1"/>
        <v>👉 [클릭] 표준서 열기 📄</v>
      </c>
    </row>
    <row r="20" spans="1:11" ht="42" customHeight="1" x14ac:dyDescent="0.4">
      <c r="A20" s="98" t="s">
        <v>995</v>
      </c>
      <c r="B20" s="110" t="s">
        <v>790</v>
      </c>
      <c r="C20" s="101" t="s">
        <v>994</v>
      </c>
      <c r="D20" s="101" t="s">
        <v>996</v>
      </c>
      <c r="E20" s="102" t="s">
        <v>792</v>
      </c>
      <c r="F20" s="102" t="s">
        <v>793</v>
      </c>
      <c r="G20" s="103" t="s">
        <v>755</v>
      </c>
      <c r="H20" s="103" t="s">
        <v>791</v>
      </c>
      <c r="I20" s="104" t="s">
        <v>794</v>
      </c>
      <c r="J20" s="117" t="str">
        <f t="shared" si="0"/>
        <v>👉 [클릭] 수행지침 열기 📄</v>
      </c>
      <c r="K20" s="117" t="str">
        <f t="shared" si="1"/>
        <v>👉 [클릭] 표준서 열기 📄</v>
      </c>
    </row>
    <row r="21" spans="1:11" ht="42" customHeight="1" x14ac:dyDescent="0.4">
      <c r="A21" s="98"/>
      <c r="B21" s="110" t="s">
        <v>800</v>
      </c>
      <c r="C21" s="101" t="s">
        <v>996</v>
      </c>
      <c r="D21" s="101" t="s">
        <v>997</v>
      </c>
      <c r="E21" s="102" t="s">
        <v>802</v>
      </c>
      <c r="F21" s="102" t="s">
        <v>803</v>
      </c>
      <c r="G21" s="103" t="s">
        <v>801</v>
      </c>
      <c r="H21" s="103" t="s">
        <v>663</v>
      </c>
      <c r="I21" s="104" t="s">
        <v>804</v>
      </c>
      <c r="J21" s="117" t="str">
        <f t="shared" si="0"/>
        <v>👉 [클릭] 수행지침 열기 📄</v>
      </c>
      <c r="K21" s="117" t="str">
        <f t="shared" si="1"/>
        <v>👉 [클릭] 표준서 열기 📄</v>
      </c>
    </row>
    <row r="22" spans="1:11" ht="42" customHeight="1" x14ac:dyDescent="0.4">
      <c r="A22" s="98" t="s">
        <v>998</v>
      </c>
      <c r="B22" s="110" t="s">
        <v>809</v>
      </c>
      <c r="C22" s="101" t="s">
        <v>996</v>
      </c>
      <c r="D22" s="101" t="s">
        <v>997</v>
      </c>
      <c r="E22" s="102" t="s">
        <v>810</v>
      </c>
      <c r="F22" s="102" t="s">
        <v>811</v>
      </c>
      <c r="G22" s="103" t="s">
        <v>663</v>
      </c>
      <c r="H22" s="103" t="s">
        <v>801</v>
      </c>
      <c r="I22" s="104" t="s">
        <v>812</v>
      </c>
      <c r="J22" s="117" t="str">
        <f t="shared" si="0"/>
        <v>👉 [클릭] 수행지침 열기 📄</v>
      </c>
      <c r="K22" s="117" t="str">
        <f t="shared" si="1"/>
        <v>👉 [클릭] 표준서 열기 📄</v>
      </c>
    </row>
    <row r="23" spans="1:11" ht="42" customHeight="1" x14ac:dyDescent="0.4">
      <c r="A23" s="98"/>
      <c r="B23" s="110" t="s">
        <v>818</v>
      </c>
      <c r="C23" s="101" t="s">
        <v>997</v>
      </c>
      <c r="D23" s="101" t="s">
        <v>999</v>
      </c>
      <c r="E23" s="102" t="s">
        <v>820</v>
      </c>
      <c r="F23" s="102" t="s">
        <v>821</v>
      </c>
      <c r="G23" s="103" t="s">
        <v>663</v>
      </c>
      <c r="H23" s="103" t="s">
        <v>819</v>
      </c>
      <c r="I23" s="104" t="s">
        <v>822</v>
      </c>
      <c r="J23" s="117" t="str">
        <f t="shared" si="0"/>
        <v>👉 [클릭] 수행지침 열기 📄</v>
      </c>
      <c r="K23" s="117" t="str">
        <f t="shared" si="1"/>
        <v>👉 [클릭] 표준서 열기 📄</v>
      </c>
    </row>
    <row r="24" spans="1:11" ht="42" customHeight="1" x14ac:dyDescent="0.4">
      <c r="A24" s="98" t="s">
        <v>1000</v>
      </c>
      <c r="B24" s="110" t="s">
        <v>828</v>
      </c>
      <c r="C24" s="101" t="s">
        <v>997</v>
      </c>
      <c r="D24" s="101" t="s">
        <v>1001</v>
      </c>
      <c r="E24" s="102" t="s">
        <v>829</v>
      </c>
      <c r="F24" s="102" t="s">
        <v>830</v>
      </c>
      <c r="G24" s="103" t="s">
        <v>663</v>
      </c>
      <c r="H24" s="103" t="s">
        <v>801</v>
      </c>
      <c r="I24" s="104" t="s">
        <v>831</v>
      </c>
      <c r="J24" s="117" t="str">
        <f t="shared" si="0"/>
        <v>👉 [클릭] 수행지침 열기 📄</v>
      </c>
      <c r="K24" s="117" t="str">
        <f t="shared" si="1"/>
        <v>👉 [클릭] 표준서 열기 📄</v>
      </c>
    </row>
    <row r="25" spans="1:11" ht="42" customHeight="1" x14ac:dyDescent="0.4">
      <c r="A25" s="98"/>
      <c r="B25" s="110" t="s">
        <v>837</v>
      </c>
      <c r="C25" s="101" t="s">
        <v>1001</v>
      </c>
      <c r="D25" s="101" t="s">
        <v>1002</v>
      </c>
      <c r="E25" s="102" t="s">
        <v>840</v>
      </c>
      <c r="F25" s="102" t="s">
        <v>841</v>
      </c>
      <c r="G25" s="103" t="s">
        <v>838</v>
      </c>
      <c r="H25" s="103" t="s">
        <v>839</v>
      </c>
      <c r="I25" s="104" t="s">
        <v>605</v>
      </c>
      <c r="J25" s="117" t="str">
        <f t="shared" si="0"/>
        <v>👉 [클릭] 수행지침 열기 📄</v>
      </c>
      <c r="K25" s="117" t="str">
        <f t="shared" si="1"/>
        <v>👉 [클릭] 표준서 열기 📄</v>
      </c>
    </row>
    <row r="26" spans="1:11" ht="42" customHeight="1" x14ac:dyDescent="0.4">
      <c r="A26" s="98"/>
      <c r="B26" s="110" t="s">
        <v>846</v>
      </c>
      <c r="C26" s="101" t="s">
        <v>1001</v>
      </c>
      <c r="D26" s="101" t="s">
        <v>1002</v>
      </c>
      <c r="E26" s="102" t="s">
        <v>802</v>
      </c>
      <c r="F26" s="102" t="s">
        <v>803</v>
      </c>
      <c r="G26" s="103" t="s">
        <v>847</v>
      </c>
      <c r="H26" s="103" t="s">
        <v>848</v>
      </c>
      <c r="I26" s="104" t="s">
        <v>804</v>
      </c>
      <c r="J26" s="117" t="str">
        <f t="shared" si="0"/>
        <v>👉 [클릭] 수행지침 열기 📄</v>
      </c>
      <c r="K26" s="117" t="str">
        <f t="shared" si="1"/>
        <v>👉 [클릭] 표준서 열기 📄</v>
      </c>
    </row>
    <row r="27" spans="1:11" ht="25.95" customHeight="1" x14ac:dyDescent="0.4">
      <c r="A27" s="98"/>
      <c r="B27" s="110" t="s">
        <v>852</v>
      </c>
      <c r="C27" s="101" t="s">
        <v>1002</v>
      </c>
      <c r="D27" s="101" t="s">
        <v>1003</v>
      </c>
      <c r="E27" s="102" t="s">
        <v>853</v>
      </c>
      <c r="F27" s="102" t="s">
        <v>854</v>
      </c>
      <c r="G27" s="103" t="s">
        <v>710</v>
      </c>
      <c r="H27" s="103" t="s">
        <v>605</v>
      </c>
      <c r="I27" s="104" t="s">
        <v>855</v>
      </c>
      <c r="J27" s="117" t="str">
        <f t="shared" si="0"/>
        <v>👉 [클릭] 수행지침 열기 📄</v>
      </c>
      <c r="K27" s="117" t="str">
        <f t="shared" si="1"/>
        <v>👉 [클릭] 표준서 열기 📄</v>
      </c>
    </row>
    <row r="28" spans="1:11" ht="25.95" customHeight="1" x14ac:dyDescent="0.4">
      <c r="A28" s="98" t="s">
        <v>1004</v>
      </c>
      <c r="B28" s="110" t="s">
        <v>860</v>
      </c>
      <c r="C28" s="101" t="s">
        <v>1005</v>
      </c>
      <c r="D28" s="101" t="s">
        <v>1006</v>
      </c>
      <c r="E28" s="102" t="s">
        <v>863</v>
      </c>
      <c r="F28" s="102" t="s">
        <v>864</v>
      </c>
      <c r="G28" s="103" t="s">
        <v>861</v>
      </c>
      <c r="H28" s="103" t="s">
        <v>862</v>
      </c>
      <c r="I28" s="104" t="s">
        <v>865</v>
      </c>
      <c r="J28" s="117" t="str">
        <f t="shared" si="0"/>
        <v>👉 [클릭] 수행지침 열기 📄</v>
      </c>
      <c r="K28" s="117" t="str">
        <f t="shared" si="1"/>
        <v>👉 [클릭] 표준서 열기 📄</v>
      </c>
    </row>
    <row r="29" spans="1:11" ht="42" customHeight="1" x14ac:dyDescent="0.4">
      <c r="A29" s="98" t="s">
        <v>1007</v>
      </c>
      <c r="B29" s="110" t="s">
        <v>870</v>
      </c>
      <c r="C29" s="101" t="s">
        <v>1006</v>
      </c>
      <c r="D29" s="101" t="s">
        <v>1008</v>
      </c>
      <c r="E29" s="102" t="s">
        <v>872</v>
      </c>
      <c r="F29" s="102" t="s">
        <v>873</v>
      </c>
      <c r="G29" s="103" t="s">
        <v>745</v>
      </c>
      <c r="H29" s="103" t="s">
        <v>871</v>
      </c>
      <c r="I29" s="104" t="s">
        <v>874</v>
      </c>
      <c r="J29" s="117" t="str">
        <f t="shared" si="0"/>
        <v>👉 [클릭] 수행지침 열기 📄</v>
      </c>
      <c r="K29" s="117" t="str">
        <f t="shared" si="1"/>
        <v>👉 [클릭] 표준서 열기 📄</v>
      </c>
    </row>
    <row r="30" spans="1:11" ht="42" customHeight="1" x14ac:dyDescent="0.4">
      <c r="A30" s="98" t="s">
        <v>1009</v>
      </c>
      <c r="B30" s="110" t="s">
        <v>880</v>
      </c>
      <c r="C30" s="101" t="s">
        <v>1008</v>
      </c>
      <c r="D30" s="101" t="s">
        <v>1010</v>
      </c>
      <c r="E30" s="102" t="s">
        <v>881</v>
      </c>
      <c r="F30" s="102" t="s">
        <v>882</v>
      </c>
      <c r="G30" s="103" t="s">
        <v>755</v>
      </c>
      <c r="H30" s="103" t="s">
        <v>871</v>
      </c>
      <c r="I30" s="104" t="s">
        <v>883</v>
      </c>
      <c r="J30" s="117" t="str">
        <f t="shared" si="0"/>
        <v>👉 [클릭] 수행지침 열기 📄</v>
      </c>
      <c r="K30" s="117" t="str">
        <f t="shared" si="1"/>
        <v>👉 [클릭] 표준서 열기 📄</v>
      </c>
    </row>
    <row r="31" spans="1:11" ht="42" customHeight="1" x14ac:dyDescent="0.4">
      <c r="A31" s="98"/>
      <c r="B31" s="110" t="s">
        <v>889</v>
      </c>
      <c r="C31" s="101" t="s">
        <v>1010</v>
      </c>
      <c r="D31" s="101" t="s">
        <v>1011</v>
      </c>
      <c r="E31" s="102" t="s">
        <v>891</v>
      </c>
      <c r="F31" s="102" t="s">
        <v>892</v>
      </c>
      <c r="G31" s="103" t="s">
        <v>663</v>
      </c>
      <c r="H31" s="103" t="s">
        <v>890</v>
      </c>
      <c r="I31" s="104" t="s">
        <v>893</v>
      </c>
      <c r="J31" s="117" t="str">
        <f t="shared" si="0"/>
        <v>👉 [클릭] 수행지침 열기 📄</v>
      </c>
      <c r="K31" s="117" t="str">
        <f t="shared" si="1"/>
        <v>👉 [클릭] 표준서 열기 📄</v>
      </c>
    </row>
    <row r="32" spans="1:11" ht="25.95" customHeight="1" x14ac:dyDescent="0.4">
      <c r="A32" s="98" t="s">
        <v>1012</v>
      </c>
      <c r="B32" s="110" t="s">
        <v>898</v>
      </c>
      <c r="C32" s="101" t="s">
        <v>1010</v>
      </c>
      <c r="D32" s="101" t="s">
        <v>1011</v>
      </c>
      <c r="E32" s="102" t="s">
        <v>881</v>
      </c>
      <c r="F32" s="102" t="s">
        <v>899</v>
      </c>
      <c r="G32" s="103" t="s">
        <v>663</v>
      </c>
      <c r="H32" s="103" t="s">
        <v>890</v>
      </c>
      <c r="I32" s="104" t="s">
        <v>900</v>
      </c>
      <c r="J32" s="117" t="str">
        <f t="shared" si="0"/>
        <v>👉 [클릭] 수행지침 열기 📄</v>
      </c>
      <c r="K32" s="117" t="str">
        <f t="shared" si="1"/>
        <v>👉 [클릭] 표준서 열기 📄</v>
      </c>
    </row>
    <row r="33" spans="1:11" ht="42" customHeight="1" x14ac:dyDescent="0.4">
      <c r="A33" s="98" t="s">
        <v>1013</v>
      </c>
      <c r="B33" s="110" t="s">
        <v>905</v>
      </c>
      <c r="C33" s="101" t="s">
        <v>1011</v>
      </c>
      <c r="D33" s="101" t="s">
        <v>1014</v>
      </c>
      <c r="E33" s="102" t="s">
        <v>906</v>
      </c>
      <c r="F33" s="102" t="s">
        <v>907</v>
      </c>
      <c r="G33" s="103" t="s">
        <v>861</v>
      </c>
      <c r="H33" s="103" t="s">
        <v>862</v>
      </c>
      <c r="I33" s="104" t="s">
        <v>908</v>
      </c>
      <c r="J33" s="117" t="str">
        <f t="shared" si="0"/>
        <v>👉 [클릭] 수행지침 열기 📄</v>
      </c>
      <c r="K33" s="117" t="str">
        <f t="shared" si="1"/>
        <v>👉 [클릭] 표준서 열기 📄</v>
      </c>
    </row>
    <row r="34" spans="1:11" ht="25.95" customHeight="1" x14ac:dyDescent="0.4">
      <c r="A34" s="98" t="s">
        <v>1015</v>
      </c>
      <c r="B34" s="110" t="s">
        <v>914</v>
      </c>
      <c r="C34" s="101" t="s">
        <v>605</v>
      </c>
      <c r="D34" s="101" t="s">
        <v>605</v>
      </c>
      <c r="E34" s="102" t="s">
        <v>916</v>
      </c>
      <c r="F34" s="102" t="s">
        <v>917</v>
      </c>
      <c r="G34" s="103" t="s">
        <v>663</v>
      </c>
      <c r="H34" s="103" t="s">
        <v>915</v>
      </c>
      <c r="I34" s="104" t="s">
        <v>918</v>
      </c>
      <c r="J34" s="117" t="str">
        <f t="shared" si="0"/>
        <v>👉 [클릭] 수행지침 열기 📄</v>
      </c>
      <c r="K34" s="117" t="str">
        <f t="shared" si="1"/>
        <v>👉 [클릭] 표준서 열기 📄</v>
      </c>
    </row>
    <row r="35" spans="1:11" ht="25.95" customHeight="1" x14ac:dyDescent="0.4">
      <c r="A35" s="98" t="s">
        <v>1016</v>
      </c>
      <c r="B35" s="110" t="s">
        <v>922</v>
      </c>
      <c r="C35" s="101" t="s">
        <v>605</v>
      </c>
      <c r="D35" s="101" t="s">
        <v>605</v>
      </c>
      <c r="E35" s="102" t="s">
        <v>923</v>
      </c>
      <c r="F35" s="102" t="s">
        <v>924</v>
      </c>
      <c r="G35" s="103" t="s">
        <v>663</v>
      </c>
      <c r="H35" s="103" t="s">
        <v>915</v>
      </c>
      <c r="I35" s="104" t="s">
        <v>925</v>
      </c>
      <c r="J35" s="117" t="str">
        <f t="shared" si="0"/>
        <v>👉 [클릭] 수행지침 열기 📄</v>
      </c>
      <c r="K35" s="117" t="str">
        <f t="shared" si="1"/>
        <v>👉 [클릭] 표준서 열기 📄</v>
      </c>
    </row>
    <row r="36" spans="1:11" ht="25.95" customHeight="1" x14ac:dyDescent="0.4">
      <c r="A36" s="98" t="s">
        <v>1017</v>
      </c>
      <c r="B36" s="110" t="s">
        <v>929</v>
      </c>
      <c r="C36" s="101" t="s">
        <v>605</v>
      </c>
      <c r="D36" s="101" t="s">
        <v>605</v>
      </c>
      <c r="E36" s="102" t="s">
        <v>930</v>
      </c>
      <c r="F36" s="102" t="s">
        <v>931</v>
      </c>
      <c r="G36" s="103" t="s">
        <v>861</v>
      </c>
      <c r="H36" s="103" t="s">
        <v>915</v>
      </c>
      <c r="I36" s="104" t="s">
        <v>932</v>
      </c>
      <c r="J36" s="117" t="str">
        <f t="shared" si="0"/>
        <v>👉 [클릭] 수행지침 열기 📄</v>
      </c>
      <c r="K36" s="117" t="str">
        <f t="shared" si="1"/>
        <v>👉 [클릭] 표준서 열기 📄</v>
      </c>
    </row>
    <row r="37" spans="1:11" ht="42" customHeight="1" x14ac:dyDescent="0.4">
      <c r="A37" s="98"/>
      <c r="B37" s="110" t="s">
        <v>936</v>
      </c>
      <c r="C37" s="101" t="s">
        <v>605</v>
      </c>
      <c r="D37" s="101" t="s">
        <v>605</v>
      </c>
      <c r="E37" s="102" t="s">
        <v>937</v>
      </c>
      <c r="F37" s="102" t="s">
        <v>938</v>
      </c>
      <c r="G37" s="103" t="s">
        <v>861</v>
      </c>
      <c r="H37" s="103" t="s">
        <v>838</v>
      </c>
      <c r="I37" s="104" t="s">
        <v>939</v>
      </c>
      <c r="J37" s="117" t="str">
        <f t="shared" si="0"/>
        <v>👉 [클릭] 수행지침 열기 📄</v>
      </c>
      <c r="K37" s="117" t="str">
        <f t="shared" si="1"/>
        <v>👉 [클릭] 표준서 열기 📄</v>
      </c>
    </row>
    <row r="38" spans="1:11" ht="25.95" customHeight="1" x14ac:dyDescent="0.4">
      <c r="A38" s="98"/>
      <c r="B38" s="110" t="s">
        <v>944</v>
      </c>
      <c r="C38" s="101" t="s">
        <v>605</v>
      </c>
      <c r="D38" s="101" t="s">
        <v>605</v>
      </c>
      <c r="E38" s="102" t="s">
        <v>945</v>
      </c>
      <c r="F38" s="102" t="s">
        <v>946</v>
      </c>
      <c r="G38" s="103" t="s">
        <v>862</v>
      </c>
      <c r="H38" s="103" t="s">
        <v>861</v>
      </c>
      <c r="I38" s="104" t="s">
        <v>947</v>
      </c>
      <c r="J38" s="117" t="str">
        <f t="shared" si="0"/>
        <v>👉 [클릭] 수행지침 열기 📄</v>
      </c>
      <c r="K38" s="117" t="str">
        <f t="shared" si="1"/>
        <v>👉 [클릭] 표준서 열기 📄</v>
      </c>
    </row>
    <row r="39" spans="1:11" ht="42" customHeight="1" x14ac:dyDescent="0.4">
      <c r="A39" s="98"/>
      <c r="B39" s="110" t="s">
        <v>951</v>
      </c>
      <c r="C39" s="101" t="s">
        <v>605</v>
      </c>
      <c r="D39" s="101" t="s">
        <v>605</v>
      </c>
      <c r="E39" s="102" t="s">
        <v>952</v>
      </c>
      <c r="F39" s="102" t="s">
        <v>953</v>
      </c>
      <c r="G39" s="103" t="s">
        <v>728</v>
      </c>
      <c r="H39" s="103" t="s">
        <v>838</v>
      </c>
      <c r="I39" s="104" t="s">
        <v>954</v>
      </c>
      <c r="J39" s="117" t="str">
        <f t="shared" si="0"/>
        <v>👉 [클릭] 수행지침 열기 📄</v>
      </c>
      <c r="K39" s="117" t="str">
        <f t="shared" si="1"/>
        <v>👉 [클릭] 표준서 열기 📄</v>
      </c>
    </row>
    <row r="40" spans="1:11" ht="25.95" customHeight="1" x14ac:dyDescent="0.4">
      <c r="A40" s="98" t="s">
        <v>1018</v>
      </c>
      <c r="B40" s="110" t="s">
        <v>959</v>
      </c>
      <c r="C40" s="101" t="s">
        <v>605</v>
      </c>
      <c r="D40" s="101" t="s">
        <v>605</v>
      </c>
      <c r="E40" s="102" t="s">
        <v>961</v>
      </c>
      <c r="F40" s="102" t="s">
        <v>962</v>
      </c>
      <c r="G40" s="103" t="s">
        <v>960</v>
      </c>
      <c r="H40" s="103" t="s">
        <v>838</v>
      </c>
      <c r="I40" s="104" t="s">
        <v>963</v>
      </c>
      <c r="J40" s="117" t="str">
        <f t="shared" si="0"/>
        <v>👉 [클릭] 수행지침 열기 📄</v>
      </c>
      <c r="K40" s="117" t="str">
        <f t="shared" si="1"/>
        <v>👉 [클릭] 표준서 열기 📄</v>
      </c>
    </row>
  </sheetData>
  <mergeCells count="11">
    <mergeCell ref="A4:K4"/>
    <mergeCell ref="C2:D2"/>
    <mergeCell ref="I2:I3"/>
    <mergeCell ref="K2:K3"/>
    <mergeCell ref="B2:B3"/>
    <mergeCell ref="A2:A3"/>
    <mergeCell ref="F2:F3"/>
    <mergeCell ref="E2:E3"/>
    <mergeCell ref="J2:J3"/>
    <mergeCell ref="H2:H3"/>
    <mergeCell ref="G2:G3"/>
  </mergeCells>
  <phoneticPr fontId="3"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W62"/>
  <sheetViews>
    <sheetView tabSelected="1" view="pageBreakPreview" zoomScale="55" zoomScaleNormal="55" zoomScaleSheetLayoutView="55" workbookViewId="0">
      <selection activeCell="E5" sqref="E5"/>
    </sheetView>
  </sheetViews>
  <sheetFormatPr defaultRowHeight="19.2" x14ac:dyDescent="0.4"/>
  <cols>
    <col min="1" max="1" width="10" style="3" customWidth="1"/>
    <col min="2" max="2" width="12" customWidth="1"/>
    <col min="3" max="3" width="12" style="3" customWidth="1"/>
    <col min="4" max="4" width="12" style="4" customWidth="1"/>
    <col min="5" max="5" width="10" style="4" customWidth="1"/>
    <col min="6" max="6" width="10" style="5" customWidth="1"/>
    <col min="7" max="7" width="15" style="3" customWidth="1"/>
    <col min="8" max="8" width="28" style="3" customWidth="1"/>
    <col min="9" max="9" width="14" style="3" customWidth="1"/>
    <col min="10" max="11" width="35" style="3" customWidth="1"/>
    <col min="12" max="12" width="12" style="3" customWidth="1"/>
    <col min="13" max="13" width="35" style="4" customWidth="1"/>
    <col min="14" max="14" width="35" style="3" customWidth="1"/>
    <col min="15" max="15" width="24" customWidth="1"/>
    <col min="16" max="16" width="35" customWidth="1"/>
    <col min="17" max="17" width="24" style="3" customWidth="1"/>
    <col min="18" max="18" width="35" customWidth="1"/>
    <col min="19" max="19" width="24" customWidth="1"/>
    <col min="20" max="20" width="15" style="3" customWidth="1"/>
    <col min="21" max="21" width="30" customWidth="1"/>
    <col min="22" max="22" width="28" customWidth="1"/>
    <col min="23" max="23" width="25" customWidth="1"/>
    <col min="24" max="35" width="15" style="3" customWidth="1"/>
    <col min="36" max="70" width="8.796875" style="3" customWidth="1"/>
    <col min="71" max="16384" width="8.796875" style="3"/>
  </cols>
  <sheetData>
    <row r="1" spans="1:23" ht="46.8" customHeight="1" x14ac:dyDescent="0.4">
      <c r="A1" s="121" t="s">
        <v>1</v>
      </c>
      <c r="B1" s="121" t="s">
        <v>2</v>
      </c>
      <c r="C1" s="121" t="s">
        <v>3</v>
      </c>
      <c r="D1" s="121" t="s">
        <v>4</v>
      </c>
      <c r="E1" s="121" t="s">
        <v>1019</v>
      </c>
      <c r="F1" s="121" t="s">
        <v>1020</v>
      </c>
      <c r="G1" s="121" t="s">
        <v>636</v>
      </c>
      <c r="H1" s="121" t="s">
        <v>5</v>
      </c>
      <c r="I1" s="121" t="s">
        <v>637</v>
      </c>
      <c r="J1" s="121" t="s">
        <v>639</v>
      </c>
      <c r="K1" s="121" t="s">
        <v>640</v>
      </c>
      <c r="L1" s="121" t="s">
        <v>1021</v>
      </c>
      <c r="M1" s="121" t="s">
        <v>641</v>
      </c>
      <c r="N1" s="121" t="s">
        <v>642</v>
      </c>
      <c r="O1" s="122" t="s">
        <v>3108</v>
      </c>
      <c r="P1" s="121" t="s">
        <v>644</v>
      </c>
      <c r="Q1" s="122" t="s">
        <v>3109</v>
      </c>
      <c r="R1" s="121" t="s">
        <v>646</v>
      </c>
      <c r="S1" s="122" t="s">
        <v>3110</v>
      </c>
      <c r="T1" s="121" t="s">
        <v>1022</v>
      </c>
      <c r="U1" s="121" t="s">
        <v>1023</v>
      </c>
      <c r="V1" s="121" t="s">
        <v>1024</v>
      </c>
      <c r="W1" s="121" t="s">
        <v>1025</v>
      </c>
    </row>
    <row r="2" spans="1:23" ht="90" customHeight="1" x14ac:dyDescent="0.4">
      <c r="A2" s="123" t="s">
        <v>519</v>
      </c>
      <c r="B2" s="123" t="s">
        <v>567</v>
      </c>
      <c r="C2" s="123" t="s">
        <v>596</v>
      </c>
      <c r="D2" s="123" t="s">
        <v>569</v>
      </c>
      <c r="E2" s="123"/>
      <c r="F2" s="123"/>
      <c r="G2" s="123" t="s">
        <v>1026</v>
      </c>
      <c r="H2" s="124" t="s">
        <v>1027</v>
      </c>
      <c r="I2" s="123" t="s">
        <v>839</v>
      </c>
      <c r="J2" s="124" t="s">
        <v>1028</v>
      </c>
      <c r="K2" s="120" t="s">
        <v>1029</v>
      </c>
      <c r="L2" s="120"/>
      <c r="M2" s="120" t="s">
        <v>1030</v>
      </c>
      <c r="N2" s="120" t="s">
        <v>1028</v>
      </c>
      <c r="O2" s="120" t="s">
        <v>1031</v>
      </c>
      <c r="P2" s="120" t="s">
        <v>1029</v>
      </c>
      <c r="Q2" s="120" t="s">
        <v>1032</v>
      </c>
      <c r="R2" s="124" t="s">
        <v>1030</v>
      </c>
      <c r="S2" s="120" t="s">
        <v>1033</v>
      </c>
      <c r="T2" s="124"/>
      <c r="U2" s="124" t="s">
        <v>1034</v>
      </c>
      <c r="V2" s="123" t="s">
        <v>1035</v>
      </c>
      <c r="W2" s="124"/>
    </row>
    <row r="3" spans="1:23" ht="125.4" customHeight="1" x14ac:dyDescent="0.4">
      <c r="A3" s="123" t="s">
        <v>519</v>
      </c>
      <c r="B3" s="123" t="s">
        <v>567</v>
      </c>
      <c r="C3" s="123" t="s">
        <v>596</v>
      </c>
      <c r="D3" s="123" t="s">
        <v>1036</v>
      </c>
      <c r="E3" s="123"/>
      <c r="F3" s="123"/>
      <c r="G3" s="123" t="s">
        <v>1037</v>
      </c>
      <c r="H3" s="124" t="s">
        <v>1038</v>
      </c>
      <c r="I3" s="123" t="s">
        <v>861</v>
      </c>
      <c r="J3" s="124" t="s">
        <v>1039</v>
      </c>
      <c r="K3" s="120" t="s">
        <v>1040</v>
      </c>
      <c r="L3" s="120"/>
      <c r="M3" s="120" t="s">
        <v>1041</v>
      </c>
      <c r="N3" s="120" t="s">
        <v>1039</v>
      </c>
      <c r="O3" s="120" t="s">
        <v>1031</v>
      </c>
      <c r="P3" s="120" t="s">
        <v>1040</v>
      </c>
      <c r="Q3" s="120" t="s">
        <v>1032</v>
      </c>
      <c r="R3" s="124" t="s">
        <v>1041</v>
      </c>
      <c r="S3" s="120" t="s">
        <v>1033</v>
      </c>
      <c r="T3" s="124"/>
      <c r="U3" s="124" t="s">
        <v>1042</v>
      </c>
      <c r="V3" s="123" t="s">
        <v>1035</v>
      </c>
      <c r="W3" s="124"/>
    </row>
    <row r="4" spans="1:23" ht="110.4" customHeight="1" x14ac:dyDescent="0.4">
      <c r="A4" s="123" t="s">
        <v>519</v>
      </c>
      <c r="B4" s="123" t="s">
        <v>567</v>
      </c>
      <c r="C4" s="123" t="s">
        <v>596</v>
      </c>
      <c r="D4" s="123" t="s">
        <v>1043</v>
      </c>
      <c r="E4" s="123"/>
      <c r="F4" s="123"/>
      <c r="G4" s="123" t="s">
        <v>1044</v>
      </c>
      <c r="H4" s="124" t="s">
        <v>1045</v>
      </c>
      <c r="I4" s="123" t="s">
        <v>1046</v>
      </c>
      <c r="J4" s="124" t="s">
        <v>1047</v>
      </c>
      <c r="K4" s="120" t="s">
        <v>1048</v>
      </c>
      <c r="L4" s="120"/>
      <c r="M4" s="120" t="s">
        <v>1049</v>
      </c>
      <c r="N4" s="120" t="s">
        <v>1047</v>
      </c>
      <c r="O4" s="120" t="s">
        <v>1031</v>
      </c>
      <c r="P4" s="120" t="s">
        <v>1048</v>
      </c>
      <c r="Q4" s="120" t="s">
        <v>1032</v>
      </c>
      <c r="R4" s="124" t="s">
        <v>1049</v>
      </c>
      <c r="S4" s="120" t="s">
        <v>1033</v>
      </c>
      <c r="T4" s="124"/>
      <c r="U4" s="124" t="s">
        <v>1050</v>
      </c>
      <c r="V4" s="123" t="s">
        <v>1035</v>
      </c>
      <c r="W4" s="124"/>
    </row>
    <row r="5" spans="1:23" ht="96" customHeight="1" x14ac:dyDescent="0.4">
      <c r="A5" s="123" t="s">
        <v>519</v>
      </c>
      <c r="B5" s="123" t="s">
        <v>567</v>
      </c>
      <c r="C5" s="123" t="s">
        <v>596</v>
      </c>
      <c r="D5" s="123" t="s">
        <v>1051</v>
      </c>
      <c r="E5" s="123"/>
      <c r="F5" s="123"/>
      <c r="G5" s="123" t="s">
        <v>1052</v>
      </c>
      <c r="H5" s="124" t="s">
        <v>1053</v>
      </c>
      <c r="I5" s="123" t="s">
        <v>1054</v>
      </c>
      <c r="J5" s="124" t="s">
        <v>1055</v>
      </c>
      <c r="K5" s="120" t="s">
        <v>1056</v>
      </c>
      <c r="L5" s="120"/>
      <c r="M5" s="120" t="s">
        <v>1057</v>
      </c>
      <c r="N5" s="120" t="s">
        <v>1055</v>
      </c>
      <c r="O5" s="120" t="s">
        <v>1031</v>
      </c>
      <c r="P5" s="120" t="s">
        <v>1056</v>
      </c>
      <c r="Q5" s="120" t="s">
        <v>1032</v>
      </c>
      <c r="R5" s="124" t="s">
        <v>1057</v>
      </c>
      <c r="S5" s="120" t="s">
        <v>1033</v>
      </c>
      <c r="T5" s="124"/>
      <c r="U5" s="124" t="s">
        <v>1058</v>
      </c>
      <c r="V5" s="123" t="s">
        <v>1035</v>
      </c>
      <c r="W5" s="124"/>
    </row>
    <row r="6" spans="1:23" ht="134.4" customHeight="1" x14ac:dyDescent="0.4">
      <c r="A6" s="123" t="s">
        <v>519</v>
      </c>
      <c r="B6" s="123" t="s">
        <v>567</v>
      </c>
      <c r="C6" s="123" t="s">
        <v>596</v>
      </c>
      <c r="D6" s="123" t="s">
        <v>1059</v>
      </c>
      <c r="E6" s="123"/>
      <c r="F6" s="123"/>
      <c r="G6" s="123" t="s">
        <v>1060</v>
      </c>
      <c r="H6" s="124" t="s">
        <v>1061</v>
      </c>
      <c r="I6" s="123" t="s">
        <v>839</v>
      </c>
      <c r="J6" s="124" t="s">
        <v>1062</v>
      </c>
      <c r="K6" s="120" t="s">
        <v>1063</v>
      </c>
      <c r="L6" s="120"/>
      <c r="M6" s="120" t="s">
        <v>1064</v>
      </c>
      <c r="N6" s="120" t="s">
        <v>1062</v>
      </c>
      <c r="O6" s="120" t="s">
        <v>1031</v>
      </c>
      <c r="P6" s="120" t="s">
        <v>1063</v>
      </c>
      <c r="Q6" s="120" t="s">
        <v>1032</v>
      </c>
      <c r="R6" s="124" t="s">
        <v>1064</v>
      </c>
      <c r="S6" s="120" t="s">
        <v>1033</v>
      </c>
      <c r="T6" s="124"/>
      <c r="U6" s="124" t="s">
        <v>1065</v>
      </c>
      <c r="V6" s="123" t="s">
        <v>1035</v>
      </c>
      <c r="W6" s="124"/>
    </row>
    <row r="7" spans="1:23" ht="96" customHeight="1" x14ac:dyDescent="0.4">
      <c r="A7" s="123" t="s">
        <v>519</v>
      </c>
      <c r="B7" s="123" t="s">
        <v>567</v>
      </c>
      <c r="C7" s="123" t="s">
        <v>596</v>
      </c>
      <c r="D7" s="123" t="s">
        <v>1066</v>
      </c>
      <c r="E7" s="123"/>
      <c r="F7" s="123"/>
      <c r="G7" s="123" t="s">
        <v>1067</v>
      </c>
      <c r="H7" s="124" t="s">
        <v>1068</v>
      </c>
      <c r="I7" s="123" t="s">
        <v>838</v>
      </c>
      <c r="J7" s="124" t="s">
        <v>1069</v>
      </c>
      <c r="K7" s="120" t="s">
        <v>1070</v>
      </c>
      <c r="L7" s="120"/>
      <c r="M7" s="120" t="s">
        <v>1071</v>
      </c>
      <c r="N7" s="120" t="s">
        <v>1069</v>
      </c>
      <c r="O7" s="120" t="s">
        <v>1031</v>
      </c>
      <c r="P7" s="120" t="s">
        <v>1070</v>
      </c>
      <c r="Q7" s="120" t="s">
        <v>1032</v>
      </c>
      <c r="R7" s="124" t="s">
        <v>1071</v>
      </c>
      <c r="S7" s="120" t="s">
        <v>1033</v>
      </c>
      <c r="T7" s="124"/>
      <c r="U7" s="124"/>
      <c r="V7" s="123" t="s">
        <v>1035</v>
      </c>
      <c r="W7" s="124"/>
    </row>
    <row r="8" spans="1:23" ht="115.2" customHeight="1" x14ac:dyDescent="0.4">
      <c r="A8" s="123" t="s">
        <v>519</v>
      </c>
      <c r="B8" s="123" t="s">
        <v>567</v>
      </c>
      <c r="C8" s="123" t="s">
        <v>596</v>
      </c>
      <c r="D8" s="123" t="s">
        <v>1072</v>
      </c>
      <c r="E8" s="123"/>
      <c r="F8" s="123"/>
      <c r="G8" s="123" t="s">
        <v>1073</v>
      </c>
      <c r="H8" s="124" t="s">
        <v>1074</v>
      </c>
      <c r="I8" s="123" t="s">
        <v>1075</v>
      </c>
      <c r="J8" s="124" t="s">
        <v>1076</v>
      </c>
      <c r="K8" s="120" t="s">
        <v>1077</v>
      </c>
      <c r="L8" s="120"/>
      <c r="M8" s="120" t="s">
        <v>1078</v>
      </c>
      <c r="N8" s="120" t="s">
        <v>1076</v>
      </c>
      <c r="O8" s="120" t="s">
        <v>1031</v>
      </c>
      <c r="P8" s="120" t="s">
        <v>1077</v>
      </c>
      <c r="Q8" s="120" t="s">
        <v>1032</v>
      </c>
      <c r="R8" s="124" t="s">
        <v>1078</v>
      </c>
      <c r="S8" s="120" t="s">
        <v>1033</v>
      </c>
      <c r="T8" s="124"/>
      <c r="U8" s="124" t="s">
        <v>1079</v>
      </c>
      <c r="V8" s="123" t="s">
        <v>1035</v>
      </c>
      <c r="W8" s="124"/>
    </row>
    <row r="9" spans="1:23" ht="172.8" customHeight="1" x14ac:dyDescent="0.4">
      <c r="A9" s="123" t="s">
        <v>519</v>
      </c>
      <c r="B9" s="123" t="s">
        <v>567</v>
      </c>
      <c r="C9" s="123" t="s">
        <v>596</v>
      </c>
      <c r="D9" s="123" t="s">
        <v>1080</v>
      </c>
      <c r="E9" s="123"/>
      <c r="F9" s="123"/>
      <c r="G9" s="123" t="s">
        <v>996</v>
      </c>
      <c r="H9" s="124" t="s">
        <v>1081</v>
      </c>
      <c r="I9" s="123" t="s">
        <v>861</v>
      </c>
      <c r="J9" s="124" t="s">
        <v>1082</v>
      </c>
      <c r="K9" s="120" t="s">
        <v>1083</v>
      </c>
      <c r="L9" s="120"/>
      <c r="M9" s="120" t="s">
        <v>1084</v>
      </c>
      <c r="N9" s="120" t="s">
        <v>1082</v>
      </c>
      <c r="O9" s="120" t="s">
        <v>1031</v>
      </c>
      <c r="P9" s="120" t="s">
        <v>1083</v>
      </c>
      <c r="Q9" s="120" t="s">
        <v>1032</v>
      </c>
      <c r="R9" s="124" t="s">
        <v>1084</v>
      </c>
      <c r="S9" s="120" t="s">
        <v>1033</v>
      </c>
      <c r="T9" s="124"/>
      <c r="U9" s="124" t="s">
        <v>1085</v>
      </c>
      <c r="V9" s="123" t="s">
        <v>1035</v>
      </c>
      <c r="W9" s="124"/>
    </row>
    <row r="10" spans="1:23" ht="115.2" customHeight="1" x14ac:dyDescent="0.4">
      <c r="A10" s="123" t="s">
        <v>519</v>
      </c>
      <c r="B10" s="123" t="s">
        <v>567</v>
      </c>
      <c r="C10" s="123" t="s">
        <v>596</v>
      </c>
      <c r="D10" s="123" t="s">
        <v>1086</v>
      </c>
      <c r="E10" s="123"/>
      <c r="F10" s="123"/>
      <c r="G10" s="123" t="s">
        <v>997</v>
      </c>
      <c r="H10" s="124" t="s">
        <v>1087</v>
      </c>
      <c r="I10" s="123" t="s">
        <v>838</v>
      </c>
      <c r="J10" s="124" t="s">
        <v>1088</v>
      </c>
      <c r="K10" s="120" t="s">
        <v>1089</v>
      </c>
      <c r="L10" s="120"/>
      <c r="M10" s="120" t="s">
        <v>1090</v>
      </c>
      <c r="N10" s="120" t="s">
        <v>1088</v>
      </c>
      <c r="O10" s="120" t="s">
        <v>1031</v>
      </c>
      <c r="P10" s="120" t="s">
        <v>1089</v>
      </c>
      <c r="Q10" s="120" t="s">
        <v>1032</v>
      </c>
      <c r="R10" s="124" t="s">
        <v>1090</v>
      </c>
      <c r="S10" s="120" t="s">
        <v>1033</v>
      </c>
      <c r="T10" s="124"/>
      <c r="U10" s="124" t="s">
        <v>1091</v>
      </c>
      <c r="V10" s="123" t="s">
        <v>1035</v>
      </c>
      <c r="W10" s="124"/>
    </row>
    <row r="11" spans="1:23" ht="96" customHeight="1" x14ac:dyDescent="0.4">
      <c r="A11" s="123" t="s">
        <v>519</v>
      </c>
      <c r="B11" s="123" t="s">
        <v>567</v>
      </c>
      <c r="C11" s="123" t="s">
        <v>596</v>
      </c>
      <c r="D11" s="123" t="s">
        <v>1092</v>
      </c>
      <c r="E11" s="123"/>
      <c r="F11" s="123"/>
      <c r="G11" s="123" t="s">
        <v>997</v>
      </c>
      <c r="H11" s="124" t="s">
        <v>1093</v>
      </c>
      <c r="I11" s="123" t="s">
        <v>838</v>
      </c>
      <c r="J11" s="124" t="s">
        <v>1094</v>
      </c>
      <c r="K11" s="120" t="s">
        <v>1095</v>
      </c>
      <c r="L11" s="120"/>
      <c r="M11" s="120" t="s">
        <v>1096</v>
      </c>
      <c r="N11" s="120" t="s">
        <v>1094</v>
      </c>
      <c r="O11" s="120" t="s">
        <v>1031</v>
      </c>
      <c r="P11" s="120" t="s">
        <v>1095</v>
      </c>
      <c r="Q11" s="120" t="s">
        <v>1032</v>
      </c>
      <c r="R11" s="124" t="s">
        <v>1096</v>
      </c>
      <c r="S11" s="120" t="s">
        <v>1033</v>
      </c>
      <c r="T11" s="124"/>
      <c r="U11" s="124" t="s">
        <v>1097</v>
      </c>
      <c r="V11" s="123" t="s">
        <v>1035</v>
      </c>
      <c r="W11" s="124"/>
    </row>
    <row r="12" spans="1:23" ht="115.2" customHeight="1" x14ac:dyDescent="0.4">
      <c r="A12" s="123" t="s">
        <v>519</v>
      </c>
      <c r="B12" s="123" t="s">
        <v>567</v>
      </c>
      <c r="C12" s="123" t="s">
        <v>596</v>
      </c>
      <c r="D12" s="123" t="s">
        <v>1098</v>
      </c>
      <c r="E12" s="123"/>
      <c r="F12" s="123"/>
      <c r="G12" s="123" t="s">
        <v>997</v>
      </c>
      <c r="H12" s="124" t="s">
        <v>1099</v>
      </c>
      <c r="I12" s="123" t="s">
        <v>1100</v>
      </c>
      <c r="J12" s="124" t="s">
        <v>1101</v>
      </c>
      <c r="K12" s="120" t="s">
        <v>1102</v>
      </c>
      <c r="L12" s="120"/>
      <c r="M12" s="120" t="s">
        <v>1103</v>
      </c>
      <c r="N12" s="120" t="s">
        <v>1101</v>
      </c>
      <c r="O12" s="120" t="s">
        <v>1031</v>
      </c>
      <c r="P12" s="120" t="s">
        <v>1102</v>
      </c>
      <c r="Q12" s="120" t="s">
        <v>1032</v>
      </c>
      <c r="R12" s="124" t="s">
        <v>1103</v>
      </c>
      <c r="S12" s="120" t="s">
        <v>1033</v>
      </c>
      <c r="T12" s="124"/>
      <c r="U12" s="124" t="s">
        <v>1104</v>
      </c>
      <c r="V12" s="123" t="s">
        <v>1035</v>
      </c>
      <c r="W12" s="124"/>
    </row>
    <row r="13" spans="1:23" ht="96" customHeight="1" x14ac:dyDescent="0.4">
      <c r="A13" s="123" t="s">
        <v>519</v>
      </c>
      <c r="B13" s="123" t="s">
        <v>567</v>
      </c>
      <c r="C13" s="123" t="s">
        <v>596</v>
      </c>
      <c r="D13" s="123" t="s">
        <v>1105</v>
      </c>
      <c r="E13" s="123"/>
      <c r="F13" s="123"/>
      <c r="G13" s="123" t="s">
        <v>997</v>
      </c>
      <c r="H13" s="124" t="s">
        <v>1106</v>
      </c>
      <c r="I13" s="123" t="s">
        <v>838</v>
      </c>
      <c r="J13" s="124" t="s">
        <v>1107</v>
      </c>
      <c r="K13" s="120" t="s">
        <v>1108</v>
      </c>
      <c r="L13" s="120"/>
      <c r="M13" s="120" t="s">
        <v>1109</v>
      </c>
      <c r="N13" s="120" t="s">
        <v>1107</v>
      </c>
      <c r="O13" s="120" t="s">
        <v>1031</v>
      </c>
      <c r="P13" s="120" t="s">
        <v>1108</v>
      </c>
      <c r="Q13" s="120" t="s">
        <v>1032</v>
      </c>
      <c r="R13" s="124" t="s">
        <v>1109</v>
      </c>
      <c r="S13" s="120" t="s">
        <v>1033</v>
      </c>
      <c r="T13" s="124"/>
      <c r="U13" s="124" t="s">
        <v>1110</v>
      </c>
      <c r="V13" s="123" t="s">
        <v>1035</v>
      </c>
      <c r="W13" s="124"/>
    </row>
    <row r="14" spans="1:23" ht="96" customHeight="1" x14ac:dyDescent="0.4">
      <c r="A14" s="123" t="s">
        <v>519</v>
      </c>
      <c r="B14" s="123" t="s">
        <v>567</v>
      </c>
      <c r="C14" s="123" t="s">
        <v>596</v>
      </c>
      <c r="D14" s="123" t="s">
        <v>1111</v>
      </c>
      <c r="E14" s="123"/>
      <c r="F14" s="123"/>
      <c r="G14" s="123" t="s">
        <v>997</v>
      </c>
      <c r="H14" s="124" t="s">
        <v>1112</v>
      </c>
      <c r="I14" s="123" t="s">
        <v>1113</v>
      </c>
      <c r="J14" s="124" t="s">
        <v>1114</v>
      </c>
      <c r="K14" s="120" t="s">
        <v>1115</v>
      </c>
      <c r="L14" s="120"/>
      <c r="M14" s="120" t="s">
        <v>1116</v>
      </c>
      <c r="N14" s="120" t="s">
        <v>1114</v>
      </c>
      <c r="O14" s="120" t="s">
        <v>1031</v>
      </c>
      <c r="P14" s="120" t="s">
        <v>1115</v>
      </c>
      <c r="Q14" s="120" t="s">
        <v>1032</v>
      </c>
      <c r="R14" s="124" t="s">
        <v>1116</v>
      </c>
      <c r="S14" s="120" t="s">
        <v>1033</v>
      </c>
      <c r="T14" s="124"/>
      <c r="U14" s="124" t="s">
        <v>1117</v>
      </c>
      <c r="V14" s="123" t="s">
        <v>1035</v>
      </c>
      <c r="W14" s="124"/>
    </row>
    <row r="15" spans="1:23" ht="96" customHeight="1" x14ac:dyDescent="0.4">
      <c r="A15" s="123" t="s">
        <v>519</v>
      </c>
      <c r="B15" s="123" t="s">
        <v>567</v>
      </c>
      <c r="C15" s="123" t="s">
        <v>596</v>
      </c>
      <c r="D15" s="123" t="s">
        <v>1118</v>
      </c>
      <c r="E15" s="123"/>
      <c r="F15" s="123"/>
      <c r="G15" s="123" t="s">
        <v>997</v>
      </c>
      <c r="H15" s="124" t="s">
        <v>1119</v>
      </c>
      <c r="I15" s="123" t="s">
        <v>838</v>
      </c>
      <c r="J15" s="124" t="s">
        <v>1120</v>
      </c>
      <c r="K15" s="120" t="s">
        <v>1121</v>
      </c>
      <c r="L15" s="120"/>
      <c r="M15" s="120" t="s">
        <v>1122</v>
      </c>
      <c r="N15" s="120" t="s">
        <v>1120</v>
      </c>
      <c r="O15" s="120" t="s">
        <v>1031</v>
      </c>
      <c r="P15" s="120" t="s">
        <v>1121</v>
      </c>
      <c r="Q15" s="120" t="s">
        <v>1032</v>
      </c>
      <c r="R15" s="124" t="s">
        <v>1122</v>
      </c>
      <c r="S15" s="120" t="s">
        <v>1033</v>
      </c>
      <c r="T15" s="124"/>
      <c r="U15" s="124" t="s">
        <v>1123</v>
      </c>
      <c r="V15" s="123" t="s">
        <v>1035</v>
      </c>
      <c r="W15" s="124"/>
    </row>
    <row r="16" spans="1:23" ht="96" customHeight="1" x14ac:dyDescent="0.4">
      <c r="A16" s="123" t="s">
        <v>519</v>
      </c>
      <c r="B16" s="123" t="s">
        <v>567</v>
      </c>
      <c r="C16" s="123" t="s">
        <v>596</v>
      </c>
      <c r="D16" s="123" t="s">
        <v>1124</v>
      </c>
      <c r="E16" s="123"/>
      <c r="F16" s="123"/>
      <c r="G16" s="123" t="s">
        <v>997</v>
      </c>
      <c r="H16" s="124" t="s">
        <v>1125</v>
      </c>
      <c r="I16" s="123" t="s">
        <v>1126</v>
      </c>
      <c r="J16" s="124" t="s">
        <v>1127</v>
      </c>
      <c r="K16" s="120" t="s">
        <v>1128</v>
      </c>
      <c r="L16" s="120"/>
      <c r="M16" s="120" t="s">
        <v>1129</v>
      </c>
      <c r="N16" s="120" t="s">
        <v>1127</v>
      </c>
      <c r="O16" s="120" t="s">
        <v>1031</v>
      </c>
      <c r="P16" s="120" t="s">
        <v>1128</v>
      </c>
      <c r="Q16" s="120" t="s">
        <v>1032</v>
      </c>
      <c r="R16" s="124" t="s">
        <v>1129</v>
      </c>
      <c r="S16" s="120" t="s">
        <v>1033</v>
      </c>
      <c r="T16" s="124"/>
      <c r="U16" s="124" t="s">
        <v>1130</v>
      </c>
      <c r="V16" s="123" t="s">
        <v>1035</v>
      </c>
      <c r="W16" s="124"/>
    </row>
    <row r="17" spans="1:23" ht="96" customHeight="1" x14ac:dyDescent="0.4">
      <c r="A17" s="123" t="s">
        <v>519</v>
      </c>
      <c r="B17" s="123" t="s">
        <v>567</v>
      </c>
      <c r="C17" s="123" t="s">
        <v>596</v>
      </c>
      <c r="D17" s="123" t="s">
        <v>1131</v>
      </c>
      <c r="E17" s="123"/>
      <c r="F17" s="123"/>
      <c r="G17" s="123" t="s">
        <v>997</v>
      </c>
      <c r="H17" s="124" t="s">
        <v>1132</v>
      </c>
      <c r="I17" s="123" t="s">
        <v>839</v>
      </c>
      <c r="J17" s="124" t="s">
        <v>1133</v>
      </c>
      <c r="K17" s="120" t="s">
        <v>1134</v>
      </c>
      <c r="L17" s="120"/>
      <c r="M17" s="120" t="s">
        <v>1135</v>
      </c>
      <c r="N17" s="120" t="s">
        <v>1133</v>
      </c>
      <c r="O17" s="120" t="s">
        <v>1031</v>
      </c>
      <c r="P17" s="120" t="s">
        <v>1134</v>
      </c>
      <c r="Q17" s="120" t="s">
        <v>1032</v>
      </c>
      <c r="R17" s="124" t="s">
        <v>1135</v>
      </c>
      <c r="S17" s="120" t="s">
        <v>1033</v>
      </c>
      <c r="T17" s="124"/>
      <c r="U17" s="124" t="s">
        <v>1136</v>
      </c>
      <c r="V17" s="123" t="s">
        <v>1035</v>
      </c>
      <c r="W17" s="124"/>
    </row>
    <row r="18" spans="1:23" ht="96" customHeight="1" x14ac:dyDescent="0.4">
      <c r="A18" s="123" t="s">
        <v>519</v>
      </c>
      <c r="B18" s="123" t="s">
        <v>567</v>
      </c>
      <c r="C18" s="123" t="s">
        <v>596</v>
      </c>
      <c r="D18" s="123" t="s">
        <v>1137</v>
      </c>
      <c r="E18" s="123"/>
      <c r="F18" s="123"/>
      <c r="G18" s="123" t="s">
        <v>997</v>
      </c>
      <c r="H18" s="124" t="s">
        <v>1138</v>
      </c>
      <c r="I18" s="123" t="s">
        <v>1100</v>
      </c>
      <c r="J18" s="124" t="s">
        <v>1139</v>
      </c>
      <c r="K18" s="120" t="s">
        <v>1140</v>
      </c>
      <c r="L18" s="120"/>
      <c r="M18" s="120" t="s">
        <v>1141</v>
      </c>
      <c r="N18" s="120" t="s">
        <v>1139</v>
      </c>
      <c r="O18" s="120" t="s">
        <v>1031</v>
      </c>
      <c r="P18" s="120" t="s">
        <v>1140</v>
      </c>
      <c r="Q18" s="120" t="s">
        <v>1032</v>
      </c>
      <c r="R18" s="124" t="s">
        <v>1141</v>
      </c>
      <c r="S18" s="120" t="s">
        <v>1033</v>
      </c>
      <c r="T18" s="124"/>
      <c r="U18" s="124" t="s">
        <v>1142</v>
      </c>
      <c r="V18" s="123" t="s">
        <v>1035</v>
      </c>
      <c r="W18" s="124"/>
    </row>
    <row r="19" spans="1:23" ht="96" customHeight="1" x14ac:dyDescent="0.4">
      <c r="A19" s="123" t="s">
        <v>519</v>
      </c>
      <c r="B19" s="123" t="s">
        <v>567</v>
      </c>
      <c r="C19" s="123" t="s">
        <v>596</v>
      </c>
      <c r="D19" s="123" t="s">
        <v>1143</v>
      </c>
      <c r="E19" s="123"/>
      <c r="F19" s="123"/>
      <c r="G19" s="123" t="s">
        <v>997</v>
      </c>
      <c r="H19" s="124" t="s">
        <v>1144</v>
      </c>
      <c r="I19" s="123" t="s">
        <v>1100</v>
      </c>
      <c r="J19" s="124" t="s">
        <v>1145</v>
      </c>
      <c r="K19" s="120" t="s">
        <v>1146</v>
      </c>
      <c r="L19" s="120"/>
      <c r="M19" s="120" t="s">
        <v>1147</v>
      </c>
      <c r="N19" s="120" t="s">
        <v>1145</v>
      </c>
      <c r="O19" s="120" t="s">
        <v>1031</v>
      </c>
      <c r="P19" s="120" t="s">
        <v>1146</v>
      </c>
      <c r="Q19" s="120" t="s">
        <v>1032</v>
      </c>
      <c r="R19" s="124" t="s">
        <v>1147</v>
      </c>
      <c r="S19" s="120" t="s">
        <v>1033</v>
      </c>
      <c r="T19" s="124"/>
      <c r="U19" s="124" t="s">
        <v>1148</v>
      </c>
      <c r="V19" s="123" t="s">
        <v>1035</v>
      </c>
      <c r="W19" s="124"/>
    </row>
    <row r="20" spans="1:23" ht="96" customHeight="1" x14ac:dyDescent="0.4">
      <c r="A20" s="123" t="s">
        <v>519</v>
      </c>
      <c r="B20" s="123" t="s">
        <v>567</v>
      </c>
      <c r="C20" s="123" t="s">
        <v>596</v>
      </c>
      <c r="D20" s="123" t="s">
        <v>1149</v>
      </c>
      <c r="E20" s="123"/>
      <c r="F20" s="123"/>
      <c r="G20" s="123" t="s">
        <v>997</v>
      </c>
      <c r="H20" s="124" t="s">
        <v>1150</v>
      </c>
      <c r="I20" s="123" t="s">
        <v>862</v>
      </c>
      <c r="J20" s="124" t="s">
        <v>1151</v>
      </c>
      <c r="K20" s="120" t="s">
        <v>1152</v>
      </c>
      <c r="L20" s="120"/>
      <c r="M20" s="120" t="s">
        <v>1153</v>
      </c>
      <c r="N20" s="120" t="s">
        <v>1151</v>
      </c>
      <c r="O20" s="120" t="s">
        <v>1031</v>
      </c>
      <c r="P20" s="120" t="s">
        <v>1152</v>
      </c>
      <c r="Q20" s="120" t="s">
        <v>1032</v>
      </c>
      <c r="R20" s="124" t="s">
        <v>1153</v>
      </c>
      <c r="S20" s="120" t="s">
        <v>1033</v>
      </c>
      <c r="T20" s="124"/>
      <c r="U20" s="124" t="s">
        <v>1154</v>
      </c>
      <c r="V20" s="123" t="s">
        <v>1035</v>
      </c>
      <c r="W20" s="124"/>
    </row>
    <row r="21" spans="1:23" ht="96" customHeight="1" x14ac:dyDescent="0.4">
      <c r="A21" s="123" t="s">
        <v>519</v>
      </c>
      <c r="B21" s="123" t="s">
        <v>567</v>
      </c>
      <c r="C21" s="123" t="s">
        <v>596</v>
      </c>
      <c r="D21" s="123" t="s">
        <v>1155</v>
      </c>
      <c r="E21" s="123"/>
      <c r="F21" s="123"/>
      <c r="G21" s="123" t="s">
        <v>999</v>
      </c>
      <c r="H21" s="124" t="s">
        <v>1156</v>
      </c>
      <c r="I21" s="123" t="s">
        <v>839</v>
      </c>
      <c r="J21" s="124" t="s">
        <v>1157</v>
      </c>
      <c r="K21" s="120" t="s">
        <v>1158</v>
      </c>
      <c r="L21" s="120"/>
      <c r="M21" s="120" t="s">
        <v>1159</v>
      </c>
      <c r="N21" s="120" t="s">
        <v>1157</v>
      </c>
      <c r="O21" s="120" t="s">
        <v>1031</v>
      </c>
      <c r="P21" s="120" t="s">
        <v>1158</v>
      </c>
      <c r="Q21" s="120" t="s">
        <v>1032</v>
      </c>
      <c r="R21" s="124" t="s">
        <v>1159</v>
      </c>
      <c r="S21" s="120" t="s">
        <v>1033</v>
      </c>
      <c r="T21" s="124"/>
      <c r="U21" s="124" t="s">
        <v>1160</v>
      </c>
      <c r="V21" s="123" t="s">
        <v>1035</v>
      </c>
      <c r="W21" s="124"/>
    </row>
    <row r="22" spans="1:23" ht="96" customHeight="1" x14ac:dyDescent="0.4">
      <c r="A22" s="123" t="s">
        <v>519</v>
      </c>
      <c r="B22" s="123" t="s">
        <v>567</v>
      </c>
      <c r="C22" s="123" t="s">
        <v>596</v>
      </c>
      <c r="D22" s="123" t="s">
        <v>1161</v>
      </c>
      <c r="E22" s="123"/>
      <c r="F22" s="123"/>
      <c r="G22" s="123" t="s">
        <v>1162</v>
      </c>
      <c r="H22" s="124" t="s">
        <v>1163</v>
      </c>
      <c r="I22" s="123" t="s">
        <v>1164</v>
      </c>
      <c r="J22" s="124" t="s">
        <v>1165</v>
      </c>
      <c r="K22" s="120" t="s">
        <v>1166</v>
      </c>
      <c r="L22" s="120"/>
      <c r="M22" s="120" t="s">
        <v>1167</v>
      </c>
      <c r="N22" s="120" t="s">
        <v>1165</v>
      </c>
      <c r="O22" s="120" t="s">
        <v>1031</v>
      </c>
      <c r="P22" s="120" t="s">
        <v>1166</v>
      </c>
      <c r="Q22" s="120" t="s">
        <v>1032</v>
      </c>
      <c r="R22" s="124" t="s">
        <v>1167</v>
      </c>
      <c r="S22" s="120" t="s">
        <v>1033</v>
      </c>
      <c r="T22" s="124"/>
      <c r="U22" s="124" t="s">
        <v>1168</v>
      </c>
      <c r="V22" s="123" t="s">
        <v>1035</v>
      </c>
      <c r="W22" s="124"/>
    </row>
    <row r="23" spans="1:23" ht="96" customHeight="1" x14ac:dyDescent="0.4">
      <c r="A23" s="123" t="s">
        <v>519</v>
      </c>
      <c r="B23" s="123" t="s">
        <v>567</v>
      </c>
      <c r="C23" s="123" t="s">
        <v>596</v>
      </c>
      <c r="D23" s="123" t="s">
        <v>1169</v>
      </c>
      <c r="E23" s="123"/>
      <c r="F23" s="123"/>
      <c r="G23" s="123" t="s">
        <v>1170</v>
      </c>
      <c r="H23" s="124" t="s">
        <v>1171</v>
      </c>
      <c r="I23" s="123" t="s">
        <v>839</v>
      </c>
      <c r="J23" s="124" t="s">
        <v>1172</v>
      </c>
      <c r="K23" s="120" t="s">
        <v>1173</v>
      </c>
      <c r="L23" s="120"/>
      <c r="M23" s="120" t="s">
        <v>1174</v>
      </c>
      <c r="N23" s="120" t="s">
        <v>1172</v>
      </c>
      <c r="O23" s="120" t="s">
        <v>1031</v>
      </c>
      <c r="P23" s="120" t="s">
        <v>1173</v>
      </c>
      <c r="Q23" s="120" t="s">
        <v>1032</v>
      </c>
      <c r="R23" s="124" t="s">
        <v>1174</v>
      </c>
      <c r="S23" s="120" t="s">
        <v>1033</v>
      </c>
      <c r="T23" s="124"/>
      <c r="U23" s="124" t="s">
        <v>1175</v>
      </c>
      <c r="V23" s="123" t="s">
        <v>1035</v>
      </c>
      <c r="W23" s="124"/>
    </row>
    <row r="24" spans="1:23" ht="96" customHeight="1" x14ac:dyDescent="0.4">
      <c r="A24" s="123" t="s">
        <v>519</v>
      </c>
      <c r="B24" s="123" t="s">
        <v>567</v>
      </c>
      <c r="C24" s="123" t="s">
        <v>596</v>
      </c>
      <c r="D24" s="123" t="s">
        <v>1176</v>
      </c>
      <c r="E24" s="123"/>
      <c r="F24" s="123"/>
      <c r="G24" s="123" t="s">
        <v>1177</v>
      </c>
      <c r="H24" s="124" t="s">
        <v>1178</v>
      </c>
      <c r="I24" s="123" t="s">
        <v>1179</v>
      </c>
      <c r="J24" s="124" t="s">
        <v>1180</v>
      </c>
      <c r="K24" s="120" t="s">
        <v>1181</v>
      </c>
      <c r="L24" s="120"/>
      <c r="M24" s="120" t="s">
        <v>1182</v>
      </c>
      <c r="N24" s="120" t="s">
        <v>1180</v>
      </c>
      <c r="O24" s="120" t="s">
        <v>1031</v>
      </c>
      <c r="P24" s="120" t="s">
        <v>1181</v>
      </c>
      <c r="Q24" s="120" t="s">
        <v>1032</v>
      </c>
      <c r="R24" s="124" t="s">
        <v>1182</v>
      </c>
      <c r="S24" s="120" t="s">
        <v>1033</v>
      </c>
      <c r="T24" s="124"/>
      <c r="U24" s="124" t="s">
        <v>1183</v>
      </c>
      <c r="V24" s="123" t="s">
        <v>1035</v>
      </c>
      <c r="W24" s="124"/>
    </row>
    <row r="25" spans="1:23" ht="96" customHeight="1" x14ac:dyDescent="0.4">
      <c r="A25" s="123" t="s">
        <v>519</v>
      </c>
      <c r="B25" s="123" t="s">
        <v>567</v>
      </c>
      <c r="C25" s="123" t="s">
        <v>596</v>
      </c>
      <c r="D25" s="123" t="s">
        <v>1184</v>
      </c>
      <c r="E25" s="123"/>
      <c r="F25" s="123"/>
      <c r="G25" s="123" t="s">
        <v>1170</v>
      </c>
      <c r="H25" s="124" t="s">
        <v>1185</v>
      </c>
      <c r="I25" s="123" t="s">
        <v>839</v>
      </c>
      <c r="J25" s="124" t="s">
        <v>1186</v>
      </c>
      <c r="K25" s="120" t="s">
        <v>1187</v>
      </c>
      <c r="L25" s="120"/>
      <c r="M25" s="120" t="s">
        <v>1188</v>
      </c>
      <c r="N25" s="120" t="s">
        <v>1186</v>
      </c>
      <c r="O25" s="120" t="s">
        <v>1031</v>
      </c>
      <c r="P25" s="120" t="s">
        <v>1187</v>
      </c>
      <c r="Q25" s="120" t="s">
        <v>1032</v>
      </c>
      <c r="R25" s="124" t="s">
        <v>1188</v>
      </c>
      <c r="S25" s="120" t="s">
        <v>1033</v>
      </c>
      <c r="T25" s="124"/>
      <c r="U25" s="124" t="s">
        <v>1189</v>
      </c>
      <c r="V25" s="123" t="s">
        <v>1035</v>
      </c>
      <c r="W25" s="124"/>
    </row>
    <row r="26" spans="1:23" ht="96" customHeight="1" x14ac:dyDescent="0.4">
      <c r="A26" s="123" t="s">
        <v>519</v>
      </c>
      <c r="B26" s="123" t="s">
        <v>567</v>
      </c>
      <c r="C26" s="123" t="s">
        <v>596</v>
      </c>
      <c r="D26" s="123" t="s">
        <v>1190</v>
      </c>
      <c r="E26" s="123"/>
      <c r="F26" s="123"/>
      <c r="G26" s="123" t="s">
        <v>1170</v>
      </c>
      <c r="H26" s="124" t="s">
        <v>1191</v>
      </c>
      <c r="I26" s="123" t="s">
        <v>839</v>
      </c>
      <c r="J26" s="124" t="s">
        <v>1192</v>
      </c>
      <c r="K26" s="120" t="s">
        <v>1193</v>
      </c>
      <c r="L26" s="120"/>
      <c r="M26" s="120" t="s">
        <v>1194</v>
      </c>
      <c r="N26" s="120" t="s">
        <v>1192</v>
      </c>
      <c r="O26" s="120" t="s">
        <v>1031</v>
      </c>
      <c r="P26" s="120" t="s">
        <v>1193</v>
      </c>
      <c r="Q26" s="120" t="s">
        <v>1032</v>
      </c>
      <c r="R26" s="124" t="s">
        <v>1194</v>
      </c>
      <c r="S26" s="120" t="s">
        <v>1033</v>
      </c>
      <c r="T26" s="124"/>
      <c r="U26" s="124" t="s">
        <v>1195</v>
      </c>
      <c r="V26" s="123" t="s">
        <v>1035</v>
      </c>
      <c r="W26" s="124"/>
    </row>
    <row r="27" spans="1:23" ht="96" customHeight="1" x14ac:dyDescent="0.4">
      <c r="A27" s="123" t="s">
        <v>519</v>
      </c>
      <c r="B27" s="123" t="s">
        <v>567</v>
      </c>
      <c r="C27" s="123" t="s">
        <v>596</v>
      </c>
      <c r="D27" s="123" t="s">
        <v>1196</v>
      </c>
      <c r="E27" s="123"/>
      <c r="F27" s="123"/>
      <c r="G27" s="123" t="s">
        <v>1170</v>
      </c>
      <c r="H27" s="124" t="s">
        <v>1197</v>
      </c>
      <c r="I27" s="123" t="s">
        <v>839</v>
      </c>
      <c r="J27" s="124" t="s">
        <v>1198</v>
      </c>
      <c r="K27" s="120" t="s">
        <v>1199</v>
      </c>
      <c r="L27" s="120"/>
      <c r="M27" s="120" t="s">
        <v>1200</v>
      </c>
      <c r="N27" s="120" t="s">
        <v>1198</v>
      </c>
      <c r="O27" s="120" t="s">
        <v>1031</v>
      </c>
      <c r="P27" s="120" t="s">
        <v>1199</v>
      </c>
      <c r="Q27" s="120" t="s">
        <v>1032</v>
      </c>
      <c r="R27" s="124" t="s">
        <v>1200</v>
      </c>
      <c r="S27" s="120" t="s">
        <v>1033</v>
      </c>
      <c r="T27" s="124"/>
      <c r="U27" s="124" t="s">
        <v>1201</v>
      </c>
      <c r="V27" s="123" t="s">
        <v>1035</v>
      </c>
      <c r="W27" s="124"/>
    </row>
    <row r="28" spans="1:23" ht="96" customHeight="1" x14ac:dyDescent="0.4">
      <c r="A28" s="123" t="s">
        <v>519</v>
      </c>
      <c r="B28" s="123" t="s">
        <v>567</v>
      </c>
      <c r="C28" s="123" t="s">
        <v>596</v>
      </c>
      <c r="D28" s="123" t="s">
        <v>1202</v>
      </c>
      <c r="E28" s="123"/>
      <c r="F28" s="123"/>
      <c r="G28" s="123" t="s">
        <v>1170</v>
      </c>
      <c r="H28" s="124" t="s">
        <v>1203</v>
      </c>
      <c r="I28" s="123" t="s">
        <v>1204</v>
      </c>
      <c r="J28" s="124" t="s">
        <v>1205</v>
      </c>
      <c r="K28" s="120" t="s">
        <v>1206</v>
      </c>
      <c r="L28" s="120"/>
      <c r="M28" s="120" t="s">
        <v>1207</v>
      </c>
      <c r="N28" s="120" t="s">
        <v>1205</v>
      </c>
      <c r="O28" s="120" t="s">
        <v>1031</v>
      </c>
      <c r="P28" s="120" t="s">
        <v>1206</v>
      </c>
      <c r="Q28" s="120" t="s">
        <v>1032</v>
      </c>
      <c r="R28" s="124" t="s">
        <v>1207</v>
      </c>
      <c r="S28" s="120" t="s">
        <v>1033</v>
      </c>
      <c r="T28" s="124"/>
      <c r="U28" s="124" t="s">
        <v>1208</v>
      </c>
      <c r="V28" s="123" t="s">
        <v>1035</v>
      </c>
      <c r="W28" s="124"/>
    </row>
    <row r="29" spans="1:23" ht="96" customHeight="1" x14ac:dyDescent="0.4">
      <c r="A29" s="123" t="s">
        <v>519</v>
      </c>
      <c r="B29" s="123" t="s">
        <v>567</v>
      </c>
      <c r="C29" s="123" t="s">
        <v>596</v>
      </c>
      <c r="D29" s="123" t="s">
        <v>1209</v>
      </c>
      <c r="E29" s="123"/>
      <c r="F29" s="123"/>
      <c r="G29" s="123" t="s">
        <v>1170</v>
      </c>
      <c r="H29" s="124" t="s">
        <v>1210</v>
      </c>
      <c r="I29" s="123" t="s">
        <v>839</v>
      </c>
      <c r="J29" s="124" t="s">
        <v>1211</v>
      </c>
      <c r="K29" s="120" t="s">
        <v>1212</v>
      </c>
      <c r="L29" s="120"/>
      <c r="M29" s="120" t="s">
        <v>1213</v>
      </c>
      <c r="N29" s="120" t="s">
        <v>1211</v>
      </c>
      <c r="O29" s="120" t="s">
        <v>1031</v>
      </c>
      <c r="P29" s="120" t="s">
        <v>1212</v>
      </c>
      <c r="Q29" s="120" t="s">
        <v>1032</v>
      </c>
      <c r="R29" s="124" t="s">
        <v>1213</v>
      </c>
      <c r="S29" s="120" t="s">
        <v>1033</v>
      </c>
      <c r="T29" s="124"/>
      <c r="U29" s="124" t="s">
        <v>1214</v>
      </c>
      <c r="V29" s="123" t="s">
        <v>1035</v>
      </c>
      <c r="W29" s="124"/>
    </row>
    <row r="30" spans="1:23" ht="96" customHeight="1" x14ac:dyDescent="0.4">
      <c r="A30" s="123" t="s">
        <v>519</v>
      </c>
      <c r="B30" s="123" t="s">
        <v>567</v>
      </c>
      <c r="C30" s="123" t="s">
        <v>596</v>
      </c>
      <c r="D30" s="123" t="s">
        <v>1215</v>
      </c>
      <c r="E30" s="123"/>
      <c r="F30" s="123"/>
      <c r="G30" s="123" t="s">
        <v>1216</v>
      </c>
      <c r="H30" s="124" t="s">
        <v>1217</v>
      </c>
      <c r="I30" s="123" t="s">
        <v>1218</v>
      </c>
      <c r="J30" s="124" t="s">
        <v>1219</v>
      </c>
      <c r="K30" s="120" t="s">
        <v>1220</v>
      </c>
      <c r="L30" s="120"/>
      <c r="M30" s="120" t="s">
        <v>1221</v>
      </c>
      <c r="N30" s="120" t="s">
        <v>1219</v>
      </c>
      <c r="O30" s="120" t="s">
        <v>1031</v>
      </c>
      <c r="P30" s="120" t="s">
        <v>1220</v>
      </c>
      <c r="Q30" s="120" t="s">
        <v>1032</v>
      </c>
      <c r="R30" s="124" t="s">
        <v>1221</v>
      </c>
      <c r="S30" s="120" t="s">
        <v>1033</v>
      </c>
      <c r="T30" s="124"/>
      <c r="U30" s="124" t="s">
        <v>1222</v>
      </c>
      <c r="V30" s="123" t="s">
        <v>1035</v>
      </c>
      <c r="W30" s="124"/>
    </row>
    <row r="31" spans="1:23" ht="96" customHeight="1" x14ac:dyDescent="0.4">
      <c r="A31" s="123" t="s">
        <v>519</v>
      </c>
      <c r="B31" s="123" t="s">
        <v>567</v>
      </c>
      <c r="C31" s="123" t="s">
        <v>596</v>
      </c>
      <c r="D31" s="123" t="s">
        <v>1223</v>
      </c>
      <c r="E31" s="123"/>
      <c r="F31" s="123"/>
      <c r="G31" s="123" t="s">
        <v>1216</v>
      </c>
      <c r="H31" s="124" t="s">
        <v>1224</v>
      </c>
      <c r="I31" s="123" t="s">
        <v>1225</v>
      </c>
      <c r="J31" s="124" t="s">
        <v>1226</v>
      </c>
      <c r="K31" s="120" t="s">
        <v>1227</v>
      </c>
      <c r="L31" s="120"/>
      <c r="M31" s="120" t="s">
        <v>1228</v>
      </c>
      <c r="N31" s="120" t="s">
        <v>1226</v>
      </c>
      <c r="O31" s="120" t="s">
        <v>1031</v>
      </c>
      <c r="P31" s="120" t="s">
        <v>1227</v>
      </c>
      <c r="Q31" s="120" t="s">
        <v>1032</v>
      </c>
      <c r="R31" s="124" t="s">
        <v>1228</v>
      </c>
      <c r="S31" s="120" t="s">
        <v>1033</v>
      </c>
      <c r="T31" s="124"/>
      <c r="U31" s="124" t="s">
        <v>1229</v>
      </c>
      <c r="V31" s="123" t="s">
        <v>1035</v>
      </c>
      <c r="W31" s="124"/>
    </row>
    <row r="32" spans="1:23" x14ac:dyDescent="0.4">
      <c r="A32" s="123"/>
      <c r="B32" s="123"/>
      <c r="C32" s="123"/>
      <c r="D32" s="123"/>
      <c r="E32" s="123"/>
      <c r="F32" s="123"/>
      <c r="G32" s="123"/>
      <c r="H32" s="124"/>
      <c r="I32" s="123"/>
      <c r="J32" s="124"/>
      <c r="K32" s="120"/>
      <c r="L32" s="120"/>
      <c r="M32" s="120"/>
      <c r="N32" s="120"/>
      <c r="O32" s="120" t="s">
        <v>1031</v>
      </c>
      <c r="P32" s="120"/>
      <c r="Q32" s="120" t="s">
        <v>1032</v>
      </c>
      <c r="R32" s="124"/>
      <c r="S32" s="120" t="s">
        <v>1033</v>
      </c>
      <c r="T32" s="124"/>
      <c r="U32" s="124"/>
      <c r="V32" s="123"/>
      <c r="W32" s="124"/>
    </row>
    <row r="33" spans="1:23" x14ac:dyDescent="0.4">
      <c r="A33" s="123"/>
      <c r="B33" s="123"/>
      <c r="C33" s="123"/>
      <c r="D33" s="123"/>
      <c r="E33" s="123"/>
      <c r="F33" s="123"/>
      <c r="G33" s="123"/>
      <c r="H33" s="124"/>
      <c r="I33" s="123"/>
      <c r="J33" s="124"/>
      <c r="K33" s="120"/>
      <c r="L33" s="120"/>
      <c r="M33" s="120"/>
      <c r="N33" s="120"/>
      <c r="O33" s="120" t="s">
        <v>1031</v>
      </c>
      <c r="P33" s="120"/>
      <c r="Q33" s="120" t="s">
        <v>1032</v>
      </c>
      <c r="R33" s="124"/>
      <c r="S33" s="120" t="s">
        <v>1033</v>
      </c>
      <c r="T33" s="124"/>
      <c r="U33" s="124"/>
      <c r="V33" s="123"/>
      <c r="W33" s="124"/>
    </row>
    <row r="34" spans="1:23" x14ac:dyDescent="0.4">
      <c r="A34" s="123"/>
      <c r="B34" s="123"/>
      <c r="C34" s="123"/>
      <c r="D34" s="123"/>
      <c r="E34" s="123"/>
      <c r="F34" s="123"/>
      <c r="G34" s="123"/>
      <c r="H34" s="124"/>
      <c r="I34" s="123"/>
      <c r="J34" s="124"/>
      <c r="K34" s="120"/>
      <c r="L34" s="120"/>
      <c r="M34" s="120"/>
      <c r="N34" s="120"/>
      <c r="O34" s="120" t="s">
        <v>1031</v>
      </c>
      <c r="P34" s="120"/>
      <c r="Q34" s="120" t="s">
        <v>1032</v>
      </c>
      <c r="R34" s="124"/>
      <c r="S34" s="120" t="s">
        <v>1033</v>
      </c>
      <c r="T34" s="124"/>
      <c r="U34" s="124"/>
      <c r="V34" s="123"/>
      <c r="W34" s="124"/>
    </row>
    <row r="35" spans="1:23" x14ac:dyDescent="0.4">
      <c r="A35" s="123"/>
      <c r="B35" s="123"/>
      <c r="C35" s="123"/>
      <c r="D35" s="123"/>
      <c r="E35" s="123"/>
      <c r="F35" s="123"/>
      <c r="G35" s="123"/>
      <c r="H35" s="124"/>
      <c r="I35" s="123"/>
      <c r="J35" s="124"/>
      <c r="K35" s="120"/>
      <c r="L35" s="120"/>
      <c r="M35" s="120"/>
      <c r="N35" s="120"/>
      <c r="O35" s="120" t="s">
        <v>1031</v>
      </c>
      <c r="P35" s="120"/>
      <c r="Q35" t="s">
        <v>1032</v>
      </c>
      <c r="R35" s="124"/>
      <c r="S35" t="s">
        <v>1033</v>
      </c>
      <c r="T35" s="124"/>
      <c r="U35" s="124"/>
      <c r="V35" s="123"/>
      <c r="W35" s="124"/>
    </row>
    <row r="36" spans="1:23" x14ac:dyDescent="0.4">
      <c r="A36" s="123"/>
      <c r="B36" s="123"/>
      <c r="C36" s="123"/>
      <c r="D36" s="123"/>
      <c r="E36" s="123"/>
      <c r="F36" s="123"/>
      <c r="G36" s="123"/>
      <c r="H36" s="124"/>
      <c r="I36" s="123"/>
      <c r="J36" s="124"/>
      <c r="K36" s="120"/>
      <c r="L36" s="120"/>
      <c r="M36" s="120"/>
      <c r="N36" s="120"/>
      <c r="O36" s="120" t="s">
        <v>1031</v>
      </c>
      <c r="P36" s="120"/>
      <c r="Q36" t="s">
        <v>1032</v>
      </c>
      <c r="R36" s="124"/>
      <c r="S36" t="s">
        <v>1033</v>
      </c>
      <c r="T36" s="124"/>
      <c r="U36" s="124"/>
      <c r="V36" s="123"/>
      <c r="W36" s="124"/>
    </row>
    <row r="37" spans="1:23" x14ac:dyDescent="0.4">
      <c r="A37" s="123"/>
      <c r="B37" s="123"/>
      <c r="C37" s="123"/>
      <c r="D37" s="123"/>
      <c r="E37" s="123"/>
      <c r="F37" s="123"/>
      <c r="G37" s="123"/>
      <c r="H37" s="124"/>
      <c r="I37" s="123"/>
      <c r="J37" s="124"/>
      <c r="K37" s="120"/>
      <c r="L37" s="120"/>
      <c r="M37" s="120"/>
      <c r="N37" s="120"/>
      <c r="O37" s="120" t="s">
        <v>1031</v>
      </c>
      <c r="P37" s="120"/>
      <c r="Q37" t="s">
        <v>1032</v>
      </c>
      <c r="R37" s="124"/>
      <c r="S37" t="s">
        <v>1033</v>
      </c>
      <c r="T37" s="124"/>
      <c r="U37" s="124"/>
      <c r="V37" s="123"/>
      <c r="W37" s="124"/>
    </row>
    <row r="38" spans="1:23" x14ac:dyDescent="0.4">
      <c r="A38" s="123"/>
      <c r="B38" s="123"/>
      <c r="C38" s="123"/>
      <c r="D38" s="123"/>
      <c r="E38" s="123"/>
      <c r="F38" s="123"/>
      <c r="G38" s="123"/>
      <c r="H38" s="124"/>
      <c r="I38" s="123"/>
      <c r="J38" s="124"/>
      <c r="K38" s="120"/>
      <c r="L38" s="120"/>
      <c r="M38" s="120"/>
      <c r="N38" s="120"/>
      <c r="O38" s="120" t="s">
        <v>1031</v>
      </c>
      <c r="P38" s="120"/>
      <c r="Q38" t="s">
        <v>1032</v>
      </c>
      <c r="R38" s="124"/>
      <c r="S38" t="s">
        <v>1033</v>
      </c>
      <c r="T38" s="124"/>
      <c r="U38" s="124"/>
      <c r="V38" s="123"/>
      <c r="W38" s="124"/>
    </row>
    <row r="39" spans="1:23" x14ac:dyDescent="0.4">
      <c r="A39" s="123"/>
      <c r="B39" s="123"/>
      <c r="C39" s="123"/>
      <c r="D39" s="123"/>
      <c r="E39" s="123"/>
      <c r="F39" s="123"/>
      <c r="G39" s="123"/>
      <c r="H39" s="124"/>
      <c r="I39" s="123"/>
      <c r="J39" s="124"/>
      <c r="K39" s="120"/>
      <c r="L39" s="120"/>
      <c r="M39" s="120"/>
      <c r="N39" s="120"/>
      <c r="O39" s="120" t="s">
        <v>1031</v>
      </c>
      <c r="P39" s="120"/>
      <c r="Q39" t="s">
        <v>1032</v>
      </c>
      <c r="R39" s="124"/>
      <c r="S39" t="s">
        <v>1033</v>
      </c>
      <c r="T39" s="124"/>
      <c r="U39" s="124"/>
      <c r="V39" s="123"/>
      <c r="W39" s="124"/>
    </row>
    <row r="40" spans="1:23" x14ac:dyDescent="0.4">
      <c r="A40" s="123"/>
      <c r="B40" s="123"/>
      <c r="C40" s="123"/>
      <c r="D40" s="123"/>
      <c r="E40" s="123"/>
      <c r="F40" s="123"/>
      <c r="G40" s="123"/>
      <c r="H40" s="124"/>
      <c r="I40" s="123"/>
      <c r="J40" s="124"/>
      <c r="K40" s="120"/>
      <c r="L40" s="120"/>
      <c r="M40" s="120"/>
      <c r="N40" s="120"/>
      <c r="O40" s="120" t="s">
        <v>1031</v>
      </c>
      <c r="P40" s="120"/>
      <c r="Q40" t="s">
        <v>1032</v>
      </c>
      <c r="R40" s="124"/>
      <c r="S40" t="s">
        <v>1033</v>
      </c>
      <c r="T40" s="124"/>
      <c r="U40" s="124"/>
      <c r="V40" s="123"/>
      <c r="W40" s="124"/>
    </row>
    <row r="41" spans="1:23" x14ac:dyDescent="0.4">
      <c r="A41" s="123"/>
      <c r="B41" s="123"/>
      <c r="C41" s="123"/>
      <c r="D41" s="123"/>
      <c r="E41" s="123"/>
      <c r="F41" s="123"/>
      <c r="G41" s="123"/>
      <c r="H41" s="124"/>
      <c r="I41" s="123"/>
      <c r="J41" s="124"/>
      <c r="K41" s="120"/>
      <c r="L41" s="120"/>
      <c r="M41" s="120"/>
      <c r="N41" s="120"/>
      <c r="O41" s="120" t="s">
        <v>1031</v>
      </c>
      <c r="P41" s="120"/>
      <c r="Q41" t="s">
        <v>1032</v>
      </c>
      <c r="R41" s="124"/>
      <c r="S41" t="s">
        <v>1033</v>
      </c>
      <c r="T41" s="124"/>
      <c r="U41" s="124"/>
      <c r="V41" s="123"/>
      <c r="W41" s="124"/>
    </row>
    <row r="42" spans="1:23" x14ac:dyDescent="0.4">
      <c r="A42" s="123"/>
      <c r="B42" s="123"/>
      <c r="C42" s="123"/>
      <c r="D42" s="123"/>
      <c r="E42" s="123"/>
      <c r="F42" s="123"/>
      <c r="G42" s="123"/>
      <c r="H42" s="124"/>
      <c r="I42" s="123"/>
      <c r="J42" s="124"/>
      <c r="K42" s="120"/>
      <c r="L42" s="120"/>
      <c r="M42" s="120"/>
      <c r="N42" s="120"/>
      <c r="O42" s="120" t="s">
        <v>1031</v>
      </c>
      <c r="P42" s="120"/>
      <c r="Q42" t="s">
        <v>1032</v>
      </c>
      <c r="R42" s="124"/>
      <c r="S42" t="s">
        <v>1033</v>
      </c>
      <c r="T42" s="124"/>
      <c r="U42" s="124"/>
      <c r="V42" s="123"/>
      <c r="W42" s="124"/>
    </row>
    <row r="43" spans="1:23" x14ac:dyDescent="0.4">
      <c r="A43" s="123"/>
      <c r="B43" s="123"/>
      <c r="C43" s="123"/>
      <c r="D43" s="123"/>
      <c r="E43" s="123"/>
      <c r="F43" s="123"/>
      <c r="G43" s="123"/>
      <c r="H43" s="124"/>
      <c r="I43" s="123"/>
      <c r="J43" s="124"/>
      <c r="K43" s="120"/>
      <c r="L43" s="120"/>
      <c r="M43" s="120"/>
      <c r="N43" s="120"/>
      <c r="O43" s="120" t="s">
        <v>1031</v>
      </c>
      <c r="P43" s="120"/>
      <c r="Q43" t="s">
        <v>1032</v>
      </c>
      <c r="R43" s="124"/>
      <c r="S43" t="s">
        <v>1033</v>
      </c>
      <c r="T43" s="124"/>
      <c r="U43" s="124"/>
      <c r="V43" s="123"/>
      <c r="W43" s="124"/>
    </row>
    <row r="44" spans="1:23" x14ac:dyDescent="0.4">
      <c r="A44" s="123"/>
      <c r="B44" s="123"/>
      <c r="C44" s="123"/>
      <c r="D44" s="123"/>
      <c r="E44" s="123"/>
      <c r="F44" s="123"/>
      <c r="G44" s="123"/>
      <c r="H44" s="124"/>
      <c r="I44" s="123"/>
      <c r="J44" s="124"/>
      <c r="K44" s="120"/>
      <c r="L44" s="120"/>
      <c r="M44" s="120"/>
      <c r="N44" s="120"/>
      <c r="O44" s="120" t="s">
        <v>1031</v>
      </c>
      <c r="P44" s="120"/>
      <c r="Q44" t="s">
        <v>1032</v>
      </c>
      <c r="R44" s="124"/>
      <c r="S44" t="s">
        <v>1033</v>
      </c>
      <c r="T44" s="124"/>
      <c r="U44" s="124"/>
      <c r="V44" s="123"/>
      <c r="W44" s="124"/>
    </row>
    <row r="45" spans="1:23" x14ac:dyDescent="0.4">
      <c r="A45" s="123"/>
      <c r="B45" s="123"/>
      <c r="C45" s="123"/>
      <c r="D45" s="123"/>
      <c r="E45" s="123"/>
      <c r="F45" s="123"/>
      <c r="G45" s="123"/>
      <c r="H45" s="124"/>
      <c r="I45" s="123"/>
      <c r="J45" s="124"/>
      <c r="K45" s="120"/>
      <c r="L45" s="120"/>
      <c r="M45" s="120"/>
      <c r="N45" s="120"/>
      <c r="O45" s="120" t="s">
        <v>1031</v>
      </c>
      <c r="P45" s="120"/>
      <c r="Q45" t="s">
        <v>1032</v>
      </c>
      <c r="R45" s="124"/>
      <c r="S45" t="s">
        <v>1033</v>
      </c>
      <c r="T45" s="124"/>
      <c r="U45" s="124"/>
      <c r="V45" s="123"/>
      <c r="W45" s="124"/>
    </row>
    <row r="46" spans="1:23" x14ac:dyDescent="0.4">
      <c r="A46" s="123"/>
      <c r="B46" s="123"/>
      <c r="C46" s="123"/>
      <c r="D46" s="123"/>
      <c r="E46" s="123"/>
      <c r="F46" s="123"/>
      <c r="G46" s="123"/>
      <c r="H46" s="124"/>
      <c r="I46" s="123"/>
      <c r="J46" s="124"/>
      <c r="K46" s="120"/>
      <c r="L46" s="120"/>
      <c r="M46" s="120"/>
      <c r="N46" s="120"/>
      <c r="O46" s="120" t="s">
        <v>1031</v>
      </c>
      <c r="P46" s="120"/>
      <c r="Q46" t="s">
        <v>1032</v>
      </c>
      <c r="R46" s="124"/>
      <c r="S46" t="s">
        <v>1033</v>
      </c>
      <c r="T46" s="124"/>
      <c r="U46" s="124"/>
      <c r="V46" s="123"/>
      <c r="W46" s="124"/>
    </row>
    <row r="47" spans="1:23" x14ac:dyDescent="0.4">
      <c r="A47" s="123"/>
      <c r="B47" s="123"/>
      <c r="C47" s="123"/>
      <c r="D47" s="123"/>
      <c r="E47" s="123"/>
      <c r="F47" s="123"/>
      <c r="G47" s="123"/>
      <c r="H47" s="124"/>
      <c r="I47" s="123"/>
      <c r="J47" s="124"/>
      <c r="K47" s="120"/>
      <c r="L47" s="120"/>
      <c r="M47" s="120"/>
      <c r="N47" s="120"/>
      <c r="O47" s="120" t="s">
        <v>1031</v>
      </c>
      <c r="P47" s="120"/>
      <c r="Q47" t="s">
        <v>1032</v>
      </c>
      <c r="R47" s="124"/>
      <c r="S47" t="s">
        <v>1033</v>
      </c>
      <c r="T47" s="124"/>
      <c r="U47" s="124"/>
      <c r="V47" s="123"/>
      <c r="W47" s="124"/>
    </row>
    <row r="48" spans="1:23" x14ac:dyDescent="0.4">
      <c r="A48" s="123"/>
      <c r="B48" s="123"/>
      <c r="C48" s="123"/>
      <c r="D48" s="123"/>
      <c r="E48" s="123"/>
      <c r="F48" s="123"/>
      <c r="G48" s="123"/>
      <c r="H48" s="124"/>
      <c r="I48" s="123"/>
      <c r="J48" s="124"/>
      <c r="K48" s="120"/>
      <c r="L48" s="120"/>
      <c r="M48" s="120"/>
      <c r="N48" s="120"/>
      <c r="O48" s="120" t="s">
        <v>1031</v>
      </c>
      <c r="P48" s="120"/>
      <c r="Q48" t="s">
        <v>1032</v>
      </c>
      <c r="R48" s="124"/>
      <c r="S48" t="s">
        <v>1033</v>
      </c>
      <c r="T48" s="124"/>
      <c r="U48" s="124"/>
      <c r="V48" s="123"/>
      <c r="W48" s="124"/>
    </row>
    <row r="49" spans="1:23" x14ac:dyDescent="0.4">
      <c r="A49" s="123"/>
      <c r="B49" s="123"/>
      <c r="C49" s="123"/>
      <c r="D49" s="123"/>
      <c r="E49" s="123"/>
      <c r="F49" s="123"/>
      <c r="G49" s="123"/>
      <c r="H49" s="124"/>
      <c r="I49" s="123"/>
      <c r="J49" s="124"/>
      <c r="K49" s="120"/>
      <c r="L49" s="120"/>
      <c r="M49" s="120"/>
      <c r="N49" s="120"/>
      <c r="O49" s="120" t="s">
        <v>1031</v>
      </c>
      <c r="P49" s="120"/>
      <c r="Q49" t="s">
        <v>1032</v>
      </c>
      <c r="R49" s="124"/>
      <c r="S49" t="s">
        <v>1033</v>
      </c>
      <c r="T49" s="124"/>
      <c r="U49" s="124"/>
      <c r="V49" s="123"/>
      <c r="W49" s="124"/>
    </row>
    <row r="50" spans="1:23" x14ac:dyDescent="0.4">
      <c r="A50" s="123"/>
      <c r="B50" s="123"/>
      <c r="C50" s="123"/>
      <c r="D50" s="123"/>
      <c r="E50" s="123"/>
      <c r="F50" s="123"/>
      <c r="G50" s="123"/>
      <c r="H50" s="124"/>
      <c r="I50" s="123"/>
      <c r="J50" s="124"/>
      <c r="K50" s="120"/>
      <c r="L50" s="120"/>
      <c r="M50" s="120"/>
      <c r="N50" s="120"/>
      <c r="O50" s="120" t="s">
        <v>1031</v>
      </c>
      <c r="P50" s="120"/>
      <c r="Q50" t="s">
        <v>1032</v>
      </c>
      <c r="R50" s="124"/>
      <c r="S50" t="s">
        <v>1033</v>
      </c>
      <c r="T50" s="124"/>
      <c r="U50" s="124"/>
      <c r="V50" s="123"/>
      <c r="W50" s="124"/>
    </row>
    <row r="51" spans="1:23" x14ac:dyDescent="0.4">
      <c r="A51" s="123"/>
      <c r="B51" s="123"/>
      <c r="C51" s="123"/>
      <c r="D51" s="123"/>
      <c r="E51" s="123"/>
      <c r="F51" s="123"/>
      <c r="G51" s="123"/>
      <c r="H51" s="124"/>
      <c r="I51" s="123"/>
      <c r="J51" s="124"/>
      <c r="K51" s="120"/>
      <c r="L51" s="120"/>
      <c r="M51" s="120"/>
      <c r="N51" s="120"/>
      <c r="O51" s="120" t="s">
        <v>1031</v>
      </c>
      <c r="P51" s="120"/>
      <c r="Q51" t="s">
        <v>1032</v>
      </c>
      <c r="R51" s="124"/>
      <c r="S51" t="s">
        <v>1033</v>
      </c>
      <c r="T51" s="124"/>
      <c r="U51" s="124"/>
      <c r="V51" s="123"/>
      <c r="W51" s="124"/>
    </row>
    <row r="52" spans="1:23" x14ac:dyDescent="0.4">
      <c r="L52" s="120"/>
      <c r="N52" s="120"/>
      <c r="P52" s="120"/>
    </row>
    <row r="53" spans="1:23" x14ac:dyDescent="0.4">
      <c r="L53" s="120"/>
      <c r="N53" s="120"/>
      <c r="P53" s="120"/>
    </row>
    <row r="54" spans="1:23" x14ac:dyDescent="0.4">
      <c r="L54" s="120"/>
      <c r="N54" s="120"/>
      <c r="P54" s="120"/>
    </row>
    <row r="55" spans="1:23" x14ac:dyDescent="0.4">
      <c r="L55" s="120"/>
      <c r="N55" s="120"/>
      <c r="P55" s="120"/>
    </row>
    <row r="56" spans="1:23" x14ac:dyDescent="0.4">
      <c r="L56" s="120"/>
      <c r="N56" s="120"/>
      <c r="P56" s="120"/>
    </row>
    <row r="57" spans="1:23" x14ac:dyDescent="0.4">
      <c r="L57" s="120"/>
      <c r="N57" s="120"/>
      <c r="P57" s="120"/>
    </row>
    <row r="58" spans="1:23" x14ac:dyDescent="0.4">
      <c r="L58" s="120"/>
      <c r="N58" s="120"/>
      <c r="P58" s="120"/>
    </row>
    <row r="59" spans="1:23" x14ac:dyDescent="0.4">
      <c r="L59" s="120"/>
      <c r="N59" s="120"/>
      <c r="P59" s="120"/>
    </row>
    <row r="60" spans="1:23" x14ac:dyDescent="0.4">
      <c r="L60" s="120"/>
      <c r="N60" s="120"/>
      <c r="P60" s="120"/>
    </row>
    <row r="61" spans="1:23" x14ac:dyDescent="0.4">
      <c r="L61" s="120"/>
      <c r="N61" s="120"/>
      <c r="P61" s="120"/>
    </row>
    <row r="62" spans="1:23" x14ac:dyDescent="0.4">
      <c r="L62" s="120"/>
      <c r="N62" s="120"/>
      <c r="P62" s="120"/>
    </row>
  </sheetData>
  <phoneticPr fontId="3" type="noConversion"/>
  <hyperlinks>
    <hyperlink ref="O2" r:id="rId1" display="매뉴얼BODY(집행단계-첨부폴더)v8\2.사전토공사\1_Site Survey\표준서\Site Survey_표준서.html" xr:uid="{C82DC11A-991D-4F10-9C3F-A3E579B72736}"/>
    <hyperlink ref="Q2" r:id="rId2" display="매뉴얼BODY(집행단계-첨부폴더)v8\2.사전토공사\1_Site Survey\수행지침\Site Survey_수행지침.html" xr:uid="{8DE79A9B-D680-445E-9363-21C5CE633BE0}"/>
    <hyperlink ref="S2" r:id="rId3" display="매뉴얼BODY(집행단계-첨부폴더)v8\2.사전토공사\1_Site Survey\체크리스트\Site Survey_체크리스트.html" xr:uid="{02C71C95-33FD-4249-A7FE-0231E4A99D75}"/>
    <hyperlink ref="O3" r:id="rId4" display="매뉴얼BODY(집행단계-첨부폴더)v8\2.사전토공사\2_발주전략 KOM\표준서\2_발주전략 KOM_표준서.html" xr:uid="{C43F5D3E-73B4-437F-A1C3-544E41744F48}"/>
    <hyperlink ref="Q3" r:id="rId5" display="매뉴얼BODY(집행단계-첨부폴더)v8\2.사전토공사\2_발주전략 KOM\수행지침\2_발주전략 KOM_수행지침.html" xr:uid="{B1EE028F-F519-4BCD-88FB-14CFFBC1F46F}"/>
    <hyperlink ref="S3" r:id="rId6" display="매뉴얼BODY(집행단계-첨부폴더)v8\2.사전토공사\2_발주전략 KOM\체크리스트\2_발주전략 KOM_체크리스트.html" xr:uid="{8D22B2ED-C6FD-4DC7-BFFA-35915DD02836}"/>
    <hyperlink ref="O4" r:id="rId7" display="매뉴얼BODY(집행단계-첨부폴더)v8\2.사전토공사\3_Site Survey Risk 검토\표준서\Site Survey Risk 검토_표준서.html" xr:uid="{7AC55962-9B39-4883-9F3F-F2AFF7480F2E}"/>
    <hyperlink ref="Q4" r:id="rId8" display="매뉴얼BODY(집행단계-첨부폴더)v8\2.사전토공사\3_Site Survey Risk 검토\수행지침\Site Survey Risk 검토_수행지침.html" xr:uid="{12A7ADFB-A39C-4C9A-87FE-5E0F044E9A3F}"/>
    <hyperlink ref="S4" r:id="rId9" display="매뉴얼BODY(집행단계-첨부폴더)v8\2.사전토공사\3_Site Survey Risk 검토\체크리스트\Site Survey Risk 검토_체크리스트.html" xr:uid="{0532747A-7D17-4589-879B-57811FDEA9E1}"/>
    <hyperlink ref="O5" r:id="rId10" display="매뉴얼BODY(집행단계-첨부폴더)v8\2.사전토공사\4_최고의 팀 만들기 지원\표준서\최고의 팀 만들기 지원_표준서.html" xr:uid="{795468E0-1790-4C92-890C-34BB51123521}"/>
    <hyperlink ref="Q5" r:id="rId11" display="매뉴얼BODY(집행단계-첨부폴더)v8\2.사전토공사\4_최고의 팀 만들기 지원\수행지침\최고의 팀 만들기 지원_수행지침.html" xr:uid="{A8301410-F0E4-448D-A7A9-9F70729ED80E}"/>
    <hyperlink ref="S5" r:id="rId12" display="매뉴얼BODY(집행단계-첨부폴더)v8\2.사전토공사\4_최고의 팀 만들기 지원\체크리스트\최고의 팀 만들기 지원_체크리스트.html" xr:uid="{FD198733-6D7D-4FE1-86D7-1987612F27F5}"/>
    <hyperlink ref="O6" r:id="rId13" display="매뉴얼BODY(집행단계-첨부폴더)v8\2.사전토공사\5_공사중 교통처리계획\표준서\공사중 교통처리계획_표준서.html" xr:uid="{F1B1A531-9EC8-4037-B943-9831C5FA5D83}"/>
    <hyperlink ref="Q6" r:id="rId14" display="매뉴얼BODY(집행단계-첨부폴더)v8\2.사전토공사\5_공사중 교통처리계획\수행지침\공사중 교통처리계획_수행지침.html" xr:uid="{F9113220-C54C-48AF-93FB-F4E08C69FCA3}"/>
    <hyperlink ref="S6" r:id="rId15" display="매뉴얼BODY(집행단계-첨부폴더)v8\2.사전토공사\5_공사중 교통처리계획\체크리스트\공사중 교통처리계획_체크리스트.html" xr:uid="{16A486AD-218D-4331-9B4A-C2B19E11C1C8}"/>
    <hyperlink ref="O7" r:id="rId16" display="매뉴얼BODY(집행단계-첨부폴더)v8\2.사전토공사\6_자재발주 요청\표준서\자재발주 요청_표준서.html" xr:uid="{C23445A3-125C-4FD6-B1E6-BF286C0BE851}"/>
    <hyperlink ref="Q7" r:id="rId17" display="매뉴얼BODY(집행단계-첨부폴더)v8\2.사전토공사\6_자재발주 요청\수행지침\착수전 Big Room 회의_수행지침.html" xr:uid="{8F73CEFF-F928-4A8D-8FB7-8A501C0BFAC6}"/>
    <hyperlink ref="S7" r:id="rId18" display="매뉴얼BODY(집행단계-첨부폴더)v8\2.사전토공사\6_자재발주 요청\체크리스트\착수전 Big Room 회의_체크리스트.html" xr:uid="{9C554A4B-E8F7-4F8F-ADFE-D92910E6B856}"/>
    <hyperlink ref="O8" r:id="rId19" display="매뉴얼BODY(집행단계-첨부폴더)v8\2.사전토공사\7_용지 사용 Risk 검토\표준서\용지 사용 Risk 검토_표준서.html" xr:uid="{DC14E99E-C88F-4165-8BF3-C6206B0D92F0}"/>
    <hyperlink ref="Q8" r:id="rId20" display="매뉴얼BODY(집행단계-첨부폴더)v8\2.사전토공사\7_용지 사용 Risk 검토\수행지침\용지 사용 Risk 검토_수행지침.html" xr:uid="{81FB1F5B-A1C0-41AF-9421-F79DCFC1886C}"/>
    <hyperlink ref="S8" r:id="rId21" display="매뉴얼BODY(집행단계-첨부폴더)v8\2.사전토공사\7_용지 사용 Risk 검토\체크리스트\용지 사용 Risk 검토_체크리스트.html" xr:uid="{1D10FE69-40A4-45B6-BDF9-739D04A043AA}"/>
    <hyperlink ref="O9" r:id="rId22" display="매뉴얼BODY(집행단계-첨부폴더)v8\2.사전토공사\8_착수전 Big Room 회의\표준서\착수전 Big Room 회의_표준서.html" xr:uid="{A4915BA0-C96C-412B-9BF0-44F3E09B43D6}"/>
    <hyperlink ref="Q9" r:id="rId23" display="매뉴얼BODY(집행단계-첨부폴더)v8\2.사전토공사\8_착수전 Big Room 회의\수행지침\착수전 Big Room 회의_수행지침.html" xr:uid="{B7A3A84C-6F90-44FE-BB3F-8F64CC8A8D1F}"/>
    <hyperlink ref="S9" r:id="rId24" display="매뉴얼BODY(집행단계-첨부폴더)v8\2.사전토공사\8_착수전 Big Room 회의\체크리스트\착수전 Big Room 회의_체크리스트.html" xr:uid="{D842DFE1-0F8D-434F-92E1-363B672CA137}"/>
    <hyperlink ref="O10" r:id="rId25" display="매뉴얼BODY(집행단계-첨부폴더)v8\2.사전토공사\9_인허가 절차 진행\표준서\인허가 절차 진행_표준서.html" xr:uid="{AE5C7698-159B-4A36-B1C7-69DE95D1FEBC}"/>
    <hyperlink ref="Q10" r:id="rId26" display="매뉴얼BODY(집행단계-첨부폴더)v8\2.사전토공사\9_인허가 절차 진행\수행지침\인허가 절차 진행_수행지침.html" xr:uid="{599145C0-2F12-401B-A3DE-B0F54B11997E}"/>
    <hyperlink ref="S10" r:id="rId27" display="매뉴얼BODY(집행단계-첨부폴더)v8\2.사전토공사\9_인허가 절차 진행\체크리스트\인허가 절차 진행_체크리스트.html" xr:uid="{C90BB689-05A1-4C4D-9B3F-16E96A7B03D9}"/>
    <hyperlink ref="O11" r:id="rId28" display="매뉴얼BODY(집행단계-첨부폴더)v8\2.사전토공사\10_교통처리대책 협의 및 승인\표준서\교통처리대책 협의 및 승인_표준서.html" xr:uid="{B42876E0-E676-4B90-8BC1-20FAE7EB614A}"/>
    <hyperlink ref="Q11" r:id="rId29" display="매뉴얼BODY(집행단계-첨부폴더)v8\2.사전토공사\10_교통처리대책 협의 및 승인\수행지침\교통처리대책 협의 및 승인_수행지침.html" xr:uid="{BAB33238-75E6-40EE-8496-1A12E85A0C48}"/>
    <hyperlink ref="S11" r:id="rId30" display="매뉴얼BODY(집행단계-첨부폴더)v8\2.사전토공사\10_교통처리대책 협의 및 승인\체크리스트\교통처리대책 협의 및 승인_체크리스트.html" xr:uid="{6228E1A1-1A6C-4D07-B3D2-E614C42762F7}"/>
    <hyperlink ref="O12" r:id="rId31" display="매뉴얼BODY(집행단계-첨부폴더)v8\2.사전토공사\11_지장물 검토 및 협의\표준서\지장물 검토 및 협의_표준서.html" xr:uid="{E3B534B7-1119-47B8-83F3-3A0713CFAD93}"/>
    <hyperlink ref="Q12" r:id="rId32" display="매뉴얼BODY(집행단계-첨부폴더)v8\2.사전토공사\11_지장물 검토 및 협의\수행지침\지장물 검토 및 협의_수행지침.html" xr:uid="{73F05967-540A-41E2-889C-75D640A09BB4}"/>
    <hyperlink ref="S12" r:id="rId33" display="매뉴얼BODY(집행단계-첨부폴더)v8\2.사전토공사\11_지장물 검토 및 협의\체크리스트\지장물 검토 및 협의_체크리스트.html" xr:uid="{E0F17D6E-6BC8-4DAB-8739-3017B36AEB9C}"/>
    <hyperlink ref="O13" r:id="rId34" display="매뉴얼BODY(집행단계-첨부폴더)v8\2.사전토공사\12_기공승낙 적정성 검토\표준서\기공승낙 적정성 검토_표준서.html" xr:uid="{3001D879-7675-403F-985E-A87FCFC5E686}"/>
    <hyperlink ref="Q13" r:id="rId35" display="매뉴얼BODY(집행단계-첨부폴더)v8\2.사전토공사\12_기공승낙 적정성 검토\수행지침\기공승낙 적정성 검토_수행지침.html" xr:uid="{C01D2A1C-8B8B-480F-A31B-902DE90E0D1C}"/>
    <hyperlink ref="S13" r:id="rId36" display="매뉴얼BODY(집행단계-첨부폴더)v8\2.사전토공사\12_기공승낙 적정성 검토\체크리스트\기공승낙 적정성 검토_체크리스트.html" xr:uid="{140CE65F-B070-4B3A-AF47-8E7D3539E35D}"/>
    <hyperlink ref="O14" r:id="rId37" display="매뉴얼BODY(집행단계-첨부폴더)v8\2.사전토공사\13_민원 저감 대책 수립\표준서\민원 저감 대책 수립_표준서.html" xr:uid="{3BF006A8-AA72-4390-B44B-73BE856291B4}"/>
    <hyperlink ref="Q14" r:id="rId38" display="매뉴얼BODY(집행단계-첨부폴더)v8\2.사전토공사\13_민원 저감 대책 수립\수행지침\민원 저감 대책 수립_수행지침.html" xr:uid="{C914513D-D8BD-4E32-AD90-14A26A1D2B40}"/>
    <hyperlink ref="S14" r:id="rId39" display="매뉴얼BODY(집행단계-첨부폴더)v8\2.사전토공사\13_민원 저감 대책 수립\체크리스트\민원 저감 대책 수립_체크리스트.html" xr:uid="{F43000B8-B032-4560-93A1-A879A557BB5C}"/>
    <hyperlink ref="O15" r:id="rId40" display="매뉴얼BODY(집행단계-첨부폴더)v8\2.사전토공사\14_용지보상 Risk 파악\표준서\용지보상 Risk 파악_표준서.html" xr:uid="{6EEF4A29-B1DC-464B-A425-B884CFBBCD8B}"/>
    <hyperlink ref="Q15" r:id="rId41" display="매뉴얼BODY(집행단계-첨부폴더)v8\2.사전토공사\14_용지보상 Risk 파악\수행지침\용지보상 Risk 파악_수행지침.html" xr:uid="{C10A925D-C0F1-4E9D-B19E-46042AC702ED}"/>
    <hyperlink ref="S15" r:id="rId42" display="매뉴얼BODY(집행단계-첨부폴더)v8\2.사전토공사\14_용지보상 Risk 파악\체크리스트\용지보상 Risk 파악_체크리스트.html" xr:uid="{7ADC8789-BB0A-4CC3-9681-6347C0F9B4AC}"/>
    <hyperlink ref="O16" r:id="rId43" display="매뉴얼BODY(집행단계-첨부폴더)v8\2.사전토공사\15_시공계획서 검토 지원\표준서\시공계획서 검토 지원_표준서.html" xr:uid="{A213AA2C-E2CC-4DFB-89DA-3C4F79EAC03F}"/>
    <hyperlink ref="Q16" r:id="rId44" display="매뉴얼BODY(집행단계-첨부폴더)v8\2.사전토공사\15_시공계획서 검토 지원\수행지침\시공계획서 검토 지원_수행지침.html" xr:uid="{01EEBDA7-81DE-40FF-9920-4A90D08A9EE6}"/>
    <hyperlink ref="S16" r:id="rId45" display="매뉴얼BODY(집행단계-첨부폴더)v8\2.사전토공사\15_시공계획서 검토 지원\체크리스트\시공계획서 검토 지원_체크리스트.html" xr:uid="{819A0D19-7DB7-479F-B633-CDB74FEB2408}"/>
    <hyperlink ref="O17" r:id="rId46" display="매뉴얼BODY(집행단계-첨부폴더)v8\2.사전토공사\16_시공계획 수립\표준서\설계변경 (착수전)_표준서.html" xr:uid="{2F31F141-6CC4-412F-8B29-31388DF6AAEE}"/>
    <hyperlink ref="Q17" r:id="rId47" display="매뉴얼BODY(집행단계-첨부폴더)v8\2.사전토공사\16_시공계획 수립\수행지침\설계변경 (착수전)_수행지침.html" xr:uid="{69E57AE7-FEE4-48CF-8900-B87519F930D3}"/>
    <hyperlink ref="S17" r:id="rId48" display="매뉴얼BODY(집행단계-첨부폴더)v8\2.사전토공사\16_시공계획 수립\체크리스트\설계변경 (착수전)_체크리스트.html" xr:uid="{9BEC8C4A-0966-4626-9A6A-ED22A83C498F}"/>
    <hyperlink ref="O18" r:id="rId49" display="매뉴얼BODY(집행단계-첨부폴더)v8\2.사전토공사\17_후행공종 요구조건 반영 설계변경 검토\표준서\후행공종 요구조건 반영 설계변경 검토_표준서.html" xr:uid="{1F2E10BB-F764-471D-A239-56D299530826}"/>
    <hyperlink ref="Q18" r:id="rId50" display="매뉴얼BODY(집행단계-첨부폴더)v8\2.사전토공사\17_후행공종 요구조건 반영 설계변경 검토\수행지침\후행공종 요구조건 반영 설계변경 검토_수행지침.html" xr:uid="{70574246-EDAC-41C8-8868-E2A943B93A4C}"/>
    <hyperlink ref="S18" r:id="rId51" display="매뉴얼BODY(집행단계-첨부폴더)v8\2.사전토공사\17_후행공종 요구조건 반영 설계변경 검토\체크리스트\후행공종 요구조건 반영 설계변경 검토_체크리스트.html" xr:uid="{1D0B5AA6-BE33-4F60-BBA2-1B618FB6ED99}"/>
    <hyperlink ref="O19" r:id="rId52" display="매뉴얼BODY(집행단계-첨부폴더)v8\2.사전토공사\18_설계변경 (착수전)\표준서\설계변경 (착수전)_표준서.html" xr:uid="{1736CFD9-D568-4487-AF43-E7986701D14B}"/>
    <hyperlink ref="Q19" r:id="rId53" display="매뉴얼BODY(집행단계-첨부폴더)v8\2.사전토공사\18_설계변경 (착수전)\수행지침\설계변경 (착수전)_수행지침.html" xr:uid="{B35FF638-5499-46F7-AE31-F68A6B3447F1}"/>
    <hyperlink ref="S19" r:id="rId54" display="매뉴얼BODY(집행단계-첨부폴더)v8\2.사전토공사\18_설계변경 (착수전)\체크리스트\설계변경 (착수전)_체크리스트.html" xr:uid="{8C7D0ABE-7EA0-4884-8939-E8DB0640EBD0}"/>
    <hyperlink ref="O20" r:id="rId55" display="매뉴얼BODY(집행단계-첨부폴더)v8\2.사전토공사\18_설계변경_착수전\표준서\후행공종 요구조건 반영 설계변경 검토_표준서.html" xr:uid="{9DD9DEE9-9521-4C02-8AF5-0DB4128B9771}"/>
    <hyperlink ref="Q20" r:id="rId56" display="매뉴얼BODY(집행단계-첨부폴더)v8\2.사전토공사\18_설계변경_착수전\수행지침\후행공종 요구조건 반영 설계변경 검토_수행지침.html" xr:uid="{4D8BE9F0-F066-41A3-B10E-01D53D1A5B59}"/>
    <hyperlink ref="S20" r:id="rId57" display="매뉴얼BODY(집행단계-첨부폴더)v8\2.사전토공사\18_설계변경_착수전\체크리스트\후행공종 요구조건 반영 설계변경 검토_체크리스트.html" xr:uid="{D4EA655F-5241-4CDE-8BAD-AEB337A53E10}"/>
    <hyperlink ref="O21" r:id="rId58" display="매뉴얼BODY(집행단계-첨부폴더)v8\2.사전토공사\19_설계변경 지원\표준서\설계변경 지원_표준서.html" xr:uid="{2206D5B1-1209-43EA-AC4A-012432A86D0E}"/>
    <hyperlink ref="Q21" r:id="rId59" display="매뉴얼BODY(집행단계-첨부폴더)v8\2.사전토공사\19_설계변경 지원\수행지침\설계변경 지원_수행지침.html" xr:uid="{EA44BFB0-0634-4FE5-9842-BF55C827D46F}"/>
    <hyperlink ref="S21" r:id="rId60" display="매뉴얼BODY(집행단계-첨부폴더)v8\2.사전토공사\19_설계변경 지원\체크리스트\설계변경 지원_체크리스트.html" xr:uid="{894FAC73-1E50-49F5-88C8-F8E00CCA74D7}"/>
    <hyperlink ref="O22" r:id="rId61" display="매뉴얼BODY(집행단계-첨부폴더)v8\2.사전토공사\20_교통관리 및 교통안전시설 설치\표준서\교통관리 및 교통안전시설 설치_표준서.html" xr:uid="{3310AD51-B817-4934-B6B1-976557A6AAFC}"/>
    <hyperlink ref="Q22" r:id="rId62" display="매뉴얼BODY(집행단계-첨부폴더)v8\2.사전토공사\20_교통관리 및 교통안전시설 설치\수행지침\교통관리 및 교통안전시설 설치_수행지침.html" xr:uid="{79993781-E046-4A43-80BF-F8FD3B4DBFEA}"/>
    <hyperlink ref="S22" r:id="rId63" display="매뉴얼BODY(집행단계-첨부폴더)v8\2.사전토공사\20_교통관리 및 교통안전시설 설치\체크리스트\교통관리 및 교통안전시설 설치_체크리스트.html" xr:uid="{239B2FA0-59E2-48C6-896F-2E66EEFC0472}"/>
    <hyperlink ref="O23" r:id="rId64" display="매뉴얼BODY(집행단계-첨부폴더)v8\2.사전토공사\21_장비 검수 지원\표준서\장비 검수 지원_표준서.html" xr:uid="{8FFD2F46-ABBF-499E-8B83-1E13A5F8138D}"/>
    <hyperlink ref="Q23" r:id="rId65" display="매뉴얼BODY(집행단계-첨부폴더)v8\2.사전토공사\21_장비 검수 지원\수행지침\장비 검수 지원_수행지침.html" xr:uid="{060EC4F0-8C42-4AA1-8CF3-B5C5FC6DC74C}"/>
    <hyperlink ref="S23" r:id="rId66" display="매뉴얼BODY(집행단계-첨부폴더)v8\2.사전토공사\21_장비 검수 지원\체크리스트\장비 검수 지원_체크리스트.html" xr:uid="{1434FC27-36D5-402A-8158-2D267689A16F}"/>
    <hyperlink ref="O24" r:id="rId67" display="매뉴얼BODY(집행단계-첨부폴더)v8\2.사전토공사\22_벌목_벌근제거\표준서\벌목_벌근제거_표준서.html" xr:uid="{E54CC6BE-CC5C-4069-AF4A-D5BBCBE9FC52}"/>
    <hyperlink ref="Q24" r:id="rId68" display="매뉴얼BODY(집행단계-첨부폴더)v8\2.사전토공사\22_벌목_벌근제거\수행지침\벌목_벌근제거_수행지침.html" xr:uid="{5406347C-11B8-4DE2-A7B6-84D9D845E1C4}"/>
    <hyperlink ref="S24" r:id="rId69" display="매뉴얼BODY(집행단계-첨부폴더)v8\2.사전토공사\22_벌목_벌근제거\체크리스트\벌목_벌근제거_체크리스트.html" xr:uid="{6ADBE539-D4AA-4F9D-98B8-D4E6769F9754}"/>
    <hyperlink ref="O25" r:id="rId70" display="매뉴얼BODY(집행단계-첨부폴더)v8\2.사전토공사\23_기존구조물 _ 지장물 처리\표준서\기존구조물 _ 지장물 처리_표준서.html" xr:uid="{4562A406-2D7F-4A20-8229-F272CB71B3DA}"/>
    <hyperlink ref="Q25" r:id="rId71" display="매뉴얼BODY(집행단계-첨부폴더)v8\2.사전토공사\23_기존구조물 _ 지장물 처리\수행지침\기존구조물 _ 지장물 처리_수행지침.html" xr:uid="{FFDDD562-D291-42F5-B627-744D0B7F0C76}"/>
    <hyperlink ref="S25" r:id="rId72" display="매뉴얼BODY(집행단계-첨부폴더)v8\2.사전토공사\23_기존구조물 _ 지장물 처리\체크리스트\기존구조물 _ 지장물 처리_체크리스트.html" xr:uid="{EE83B940-0F49-4746-9F56-02FE7CA44439}"/>
    <hyperlink ref="O26" r:id="rId73" display="매뉴얼BODY(집행단계-첨부폴더)v8\2.사전토공사\23_기존구조물_지장물 처리\표준서\기존구조물 _ 지장물 처리_표준서.html" xr:uid="{0D3E1093-E566-48AC-A71B-574C499895B7}"/>
    <hyperlink ref="Q26" r:id="rId74" display="매뉴얼BODY(집행단계-첨부폴더)v8\2.사전토공사\23_기존구조물_지장물 처리\수행지침\기존구조물 _ 지장물 처리_수행지침.html" xr:uid="{A6B83974-F035-43CE-A939-0C6514A22345}"/>
    <hyperlink ref="S26" r:id="rId75" display="매뉴얼BODY(집행단계-첨부폴더)v8\2.사전토공사\23_기존구조물_지장물 처리\체크리스트\기존구조물 _ 지장물 처리_체크리스트.html" xr:uid="{BCF8680B-ACCD-41DF-BA10-7F9C68048472}"/>
    <hyperlink ref="O27" r:id="rId76" display="매뉴얼BODY(집행단계-첨부폴더)v8\2.사전토공사\24_진입로 조성\표준서\진입로 조성_표준서.html" xr:uid="{6CFC3F40-4258-4CEF-8074-FD21D70A9C26}"/>
    <hyperlink ref="Q27" r:id="rId77" display="매뉴얼BODY(집행단계-첨부폴더)v8\2.사전토공사\24_진입로 조성\수행지침\진입로 조성_수행지침.html" xr:uid="{6C1558D3-8CF9-4170-B30E-D1488608A78C}"/>
    <hyperlink ref="S27" r:id="rId78" display="매뉴얼BODY(집행단계-첨부폴더)v8\2.사전토공사\24_진입로 조성\체크리스트\진입로 조성_체크리스트.html" xr:uid="{A8CCE4C2-8FE1-4BAE-87C5-F339DD887D7A}"/>
    <hyperlink ref="O28" r:id="rId79" display="매뉴얼BODY(집행단계-첨부폴더)v8\2.사전토공사\25_배수_환경시설 설치\표준서\배수_환경시설 설치_표준서.html" xr:uid="{B1567797-2697-4F71-A8F7-0A470313D317}"/>
    <hyperlink ref="Q28" r:id="rId80" display="매뉴얼BODY(집행단계-첨부폴더)v8\2.사전토공사\25_배수_환경시설 설치\수행지침\배수_환경시설 설치_수행지침.html" xr:uid="{11DF5AF7-4472-4166-BE0B-A6E8A0E26BEF}"/>
    <hyperlink ref="S28" r:id="rId81" display="매뉴얼BODY(집행단계-첨부폴더)v8\2.사전토공사\25_배수_환경시설 설치\체크리스트\배수_환경시설 설치_체크리스트.html" xr:uid="{D8784271-BF7D-4ADD-AA61-1383A8C0A639}"/>
    <hyperlink ref="O29" r:id="rId82" display="매뉴얼BODY(집행단계-첨부폴더)v8\2.사전토공사\26_토공 굴착\표준서\토공 굴착_표준서.html" xr:uid="{5215A9F4-80B5-4201-B481-338707DD2B03}"/>
    <hyperlink ref="Q29" r:id="rId83" display="매뉴얼BODY(집행단계-첨부폴더)v8\2.사전토공사\26_토공 굴착\수행지침\토공 굴착_수행지침.html" xr:uid="{B5CD9F6C-BEA1-4019-9E64-B714D476F08A}"/>
    <hyperlink ref="S29" r:id="rId84" display="매뉴얼BODY(집행단계-첨부폴더)v8\2.사전토공사\26_토공 굴착\체크리스트\토공 굴착_체크리스트.html" xr:uid="{5EF8EA17-FB1E-44E9-9027-1556BB044BD8}"/>
    <hyperlink ref="O30" r:id="rId85" display="매뉴얼BODY(집행단계-첨부폴더)v8\2.사전토공사\27_노상토 지지력 확인\표준서\노상토 지지력 확인_표준서.html" xr:uid="{AA0217CC-5CB5-435C-8E9B-6F58A23548B3}"/>
    <hyperlink ref="Q30" r:id="rId86" display="매뉴얼BODY(집행단계-첨부폴더)v8\2.사전토공사\27_노상토 지지력 확인\수행지침\노상토 지지력 확인_수행지침.html" xr:uid="{FCA111D4-075D-4170-92FC-6EC91EFEE602}"/>
    <hyperlink ref="S30" r:id="rId87" display="매뉴얼BODY(집행단계-첨부폴더)v8\2.사전토공사\27_노상토 지지력 확인\체크리스트\노상토 지지력 확인_체크리스트.html" xr:uid="{F1AC3BD0-03C6-44EF-AF6B-AD49C4944B55}"/>
    <hyperlink ref="O31" r:id="rId88" display="매뉴얼BODY(집행단계-첨부폴더)v8\2.사전토공사\28_쌓기 및 다짐_필요시\표준서\쌓기 및 다짐(필요시)_표준서.html" xr:uid="{C5DFDDE4-29B6-4B68-8F36-4C1B4DE64534}"/>
    <hyperlink ref="Q31" r:id="rId89" display="매뉴얼BODY(집행단계-첨부폴더)v8\2.사전토공사\28_쌓기 및 다짐_필요시\수행지침\쌓기 및 다짐(필요시)_수행지침.html" xr:uid="{EE8D77AD-D157-48F1-ADF9-B89759FAC1D3}"/>
    <hyperlink ref="S31" r:id="rId90" display="매뉴얼BODY(집행단계-첨부폴더)v8\2.사전토공사\28_쌓기 및 다짐_필요시\체크리스트\쌓기 및 다짐(필요시)_체크리스트.html" xr:uid="{56A01BE8-5B8F-4FF6-9BB4-DF364B3EB4BF}"/>
    <hyperlink ref="O32" r:id="rId91" display="매뉴얼BODY(집행단계-첨부폴더)v8\2.사전토공사\29_현장지원\표준서\현장지원_표준서.html" xr:uid="{A985653E-558B-4CD2-A60C-51B31CE43414}"/>
    <hyperlink ref="Q32" r:id="rId92" display="매뉴얼BODY(집행단계-첨부폴더)v8\2.사전토공사\29_현장지원\수행지침\현장지원_수행지침.html" xr:uid="{D88D515F-6E8F-4DA2-A3CB-3399A05BDB34}"/>
    <hyperlink ref="S32" r:id="rId93" display="매뉴얼BODY(집행단계-첨부폴더)v8\2.사전토공사\29_현장지원\체크리스트\현장지원_체크리스트.html" xr:uid="{87A1E49C-E48D-4EB6-B676-A2A21A876324}"/>
    <hyperlink ref="O33" r:id="rId94" display="매뉴얼BODY(집행단계-첨부폴더)v8\2.사전토공사\30_강화노반 인계\표준서\강화노반 인계_표준서.html" xr:uid="{4FA9FE4B-4070-4942-965D-0D762EE6E66D}"/>
    <hyperlink ref="Q33" r:id="rId95" display="매뉴얼BODY(집행단계-첨부폴더)v8\2.사전토공사\30_강화노반 인계\수행지침\강화노반 인계_수행지침.html" xr:uid="{BA165AC2-0450-4DEC-A7F7-48A7E6A40A97}"/>
    <hyperlink ref="S33" r:id="rId96" display="매뉴얼BODY(집행단계-첨부폴더)v8\2.사전토공사\30_강화노반 인계\체크리스트\강화노반 인계_체크리스트.html" xr:uid="{CA1D6111-7527-4E79-B675-2F58CDD2F9A0}"/>
    <hyperlink ref="O34" r:id="rId97" display="매뉴얼BODY(집행단계-첨부폴더)v8\2.사전토공사\32_Task_32\표준서\Task_32_표준서.html" xr:uid="{D81CD79E-17C0-4B30-8F66-9F2B3DE3F580}"/>
    <hyperlink ref="Q34" r:id="rId98" display="매뉴얼BODY(집행단계-첨부폴더)v8\2.사전토공사\32_Task_32\수행지침\Task_32_수행지침.html" xr:uid="{14DCECF8-204C-4156-B625-EEC113AC5997}"/>
    <hyperlink ref="S34" r:id="rId99" display="매뉴얼BODY(집행단계-첨부폴더)v8\2.사전토공사\32_Task_32\체크리스트\Task_32_체크리스트.html" xr:uid="{40371C05-236B-46ED-BD32-F1AF8761EBF3}"/>
  </hyperlinks>
  <printOptions horizontalCentered="1"/>
  <pageMargins left="0.74803149606299213" right="0.74803149606299213" top="0.98425196850393704" bottom="0.98425196850393704" header="0.51181102362204722" footer="0.51181102362204722"/>
  <pageSetup paperSize="8" scale="33" orientation="landscape" verticalDpi="0" r:id="rId1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T62"/>
  <sheetViews>
    <sheetView view="pageBreakPreview" topLeftCell="H12" zoomScale="55" zoomScaleNormal="55" zoomScaleSheetLayoutView="55" workbookViewId="0">
      <selection activeCell="O15" sqref="O15"/>
    </sheetView>
  </sheetViews>
  <sheetFormatPr defaultRowHeight="19.2" x14ac:dyDescent="0.4"/>
  <cols>
    <col min="1" max="2" width="8.796875" style="3" customWidth="1"/>
    <col min="3" max="3" width="18.59765625" style="3" customWidth="1"/>
    <col min="4" max="4" width="16" style="4" customWidth="1"/>
    <col min="5" max="5" width="12.296875" style="4" bestFit="1" customWidth="1"/>
    <col min="6" max="6" width="34.09765625" style="5" customWidth="1"/>
    <col min="7" max="7" width="32.59765625" style="3" customWidth="1"/>
    <col min="8" max="8" width="36.3984375" style="3" customWidth="1"/>
    <col min="9" max="9" width="37.59765625" style="3" customWidth="1"/>
    <col min="10" max="10" width="31.796875" style="3" customWidth="1"/>
    <col min="11" max="11" width="43.69921875" style="47" customWidth="1"/>
    <col min="12" max="12" width="11.5" style="3" customWidth="1"/>
    <col min="13" max="13" width="56.296875" style="47" customWidth="1"/>
    <col min="14" max="14" width="9.5" style="3" customWidth="1"/>
    <col min="15" max="15" width="46.69921875" style="49" customWidth="1"/>
    <col min="16" max="16" width="9.19921875" customWidth="1"/>
    <col min="17" max="17" width="16.5" style="3" customWidth="1"/>
    <col min="18" max="18" width="45" customWidth="1"/>
    <col min="19" max="19" width="22" customWidth="1"/>
    <col min="20" max="35" width="22" style="3" customWidth="1"/>
    <col min="36" max="63" width="8.796875" style="3" customWidth="1"/>
    <col min="64"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46" t="s">
        <v>642</v>
      </c>
      <c r="L1" s="6" t="s">
        <v>3108</v>
      </c>
      <c r="M1" s="46" t="s">
        <v>644</v>
      </c>
      <c r="N1" s="6" t="s">
        <v>3109</v>
      </c>
      <c r="O1" s="46" t="s">
        <v>646</v>
      </c>
      <c r="P1" s="12" t="s">
        <v>3110</v>
      </c>
      <c r="Q1" s="9" t="s">
        <v>1022</v>
      </c>
      <c r="R1" s="9" t="s">
        <v>1023</v>
      </c>
      <c r="S1" s="9" t="s">
        <v>1024</v>
      </c>
      <c r="T1" s="9" t="s">
        <v>1025</v>
      </c>
    </row>
    <row r="2" spans="1:20" ht="90" customHeight="1" x14ac:dyDescent="0.4">
      <c r="A2" s="13" t="s">
        <v>67</v>
      </c>
      <c r="B2" s="13" t="s">
        <v>68</v>
      </c>
      <c r="C2" s="14" t="s">
        <v>1230</v>
      </c>
      <c r="D2" s="13" t="s">
        <v>70</v>
      </c>
      <c r="E2" s="13" t="s">
        <v>1231</v>
      </c>
      <c r="F2" s="15" t="s">
        <v>1045</v>
      </c>
      <c r="G2" s="13" t="s">
        <v>1046</v>
      </c>
      <c r="H2" s="14" t="s">
        <v>1232</v>
      </c>
      <c r="I2" s="14" t="s">
        <v>1233</v>
      </c>
      <c r="J2" s="14" t="s">
        <v>1234</v>
      </c>
      <c r="K2" s="16" t="s">
        <v>1232</v>
      </c>
      <c r="L2" s="120" t="str">
        <f>HYPERLINK("C:\Users\sskjh\antigravity\01_전문업무_및_엔지니어링\11_현장_프로젝트\01_동탄트램\08.메뉴얼 및 평면도\최종\02_메뉴얼 공종프로섹스(집행단계)\매뉴얼BODY(집행단계-첨부폴더)v8\3.지장물이설\1_Site Survey Risk 검토\표준서\1_Site Survey Risk 검토_표준서.html","👉 [클릭] 표준서 열기 📄")</f>
        <v>👉 [클릭] 표준서 열기 📄</v>
      </c>
      <c r="M2" s="16" t="s">
        <v>1233</v>
      </c>
      <c r="N2" s="120" t="str">
        <f>HYPERLINK("C:\Users\sskjh\antigravity\01_전문업무_및_엔지니어링\11_현장_프로젝트\01_동탄트램\08.메뉴얼 및 평면도\최종\02_메뉴얼 공종프로섹스(집행단계)\매뉴얼BODY(집행단계-첨부폴더)v8\3.지장물이설\1_Site Survey Risk 검토\수행지침\1_Site Survey Risk 검토_수행지침.html","👉 [클릭] 수행지침 열기 📄")</f>
        <v>👉 [클릭] 수행지침 열기 📄</v>
      </c>
      <c r="O2" s="40" t="s">
        <v>1234</v>
      </c>
      <c r="P2" s="120" t="str">
        <f>HYPERLINK("C:\Users\sskjh\antigravity\01_전문업무_및_엔지니어링\11_현장_프로젝트\01_동탄트램\08.메뉴얼 및 평면도\최종\02_메뉴얼 공종프로섹스(집행단계)\매뉴얼BODY(집행단계-첨부폴더)v8\3.지장물이설\1_Site Survey Risk 검토\체크리스트\1_Site Survey Risk 검토_체크리스트.html","👉 [클릭] 체크리스트 열기 📄")</f>
        <v>👉 [클릭] 체크리스트 열기 📄</v>
      </c>
      <c r="Q2" s="13"/>
      <c r="R2" s="14" t="s">
        <v>1235</v>
      </c>
      <c r="S2" s="17" t="s">
        <v>1236</v>
      </c>
      <c r="T2" s="14" t="s">
        <v>1237</v>
      </c>
    </row>
    <row r="3" spans="1:20" ht="125.4" customHeight="1" x14ac:dyDescent="0.4">
      <c r="A3" s="13" t="s">
        <v>67</v>
      </c>
      <c r="B3" s="13" t="s">
        <v>68</v>
      </c>
      <c r="C3" s="14" t="s">
        <v>1230</v>
      </c>
      <c r="D3" s="13" t="s">
        <v>1238</v>
      </c>
      <c r="E3" s="13" t="s">
        <v>1239</v>
      </c>
      <c r="F3" s="15" t="s">
        <v>1240</v>
      </c>
      <c r="G3" s="13" t="s">
        <v>861</v>
      </c>
      <c r="H3" s="14" t="s">
        <v>1241</v>
      </c>
      <c r="I3" s="14" t="s">
        <v>1242</v>
      </c>
      <c r="J3" s="14" t="s">
        <v>1243</v>
      </c>
      <c r="K3" s="14" t="s">
        <v>1241</v>
      </c>
      <c r="L3" s="120" t="str">
        <f>HYPERLINK("C:\Users\sskjh\antigravity\01_전문업무_및_엔지니어링\11_현장_프로젝트\01_동탄트램\08.메뉴얼 및 평면도\최종\02_메뉴얼 공종프로섹스(집행단계)\매뉴얼BODY(집행단계-첨부폴더)v8\3.지장물이설\2_발주전략 KOM (도급지분)\표준서\2_발주전략 KOM (도급지분)_표준서.html","👉 [클릭] 표준서 열기 📄")</f>
        <v>👉 [클릭] 표준서 열기 📄</v>
      </c>
      <c r="M3" s="14" t="s">
        <v>1242</v>
      </c>
      <c r="N3" s="120" t="str">
        <f>HYPERLINK("C:\Users\sskjh\antigravity\01_전문업무_및_엔지니어링\11_현장_프로젝트\01_동탄트램\08.메뉴얼 및 평면도\최종\02_메뉴얼 공종프로섹스(집행단계)\매뉴얼BODY(집행단계-첨부폴더)v8\3.지장물이설\2_발주전략 KOM (도급지분)\수행지침\2_발주전략 KOM (도급지분)_수행지침.html","👉 [클릭] 수행지침 열기 📄")</f>
        <v>👉 [클릭] 수행지침 열기 📄</v>
      </c>
      <c r="O3" s="41" t="s">
        <v>1243</v>
      </c>
      <c r="P3" s="120" t="str">
        <f>HYPERLINK("C:\Users\sskjh\antigravity\01_전문업무_및_엔지니어링\11_현장_프로젝트\01_동탄트램\08.메뉴얼 및 평면도\최종\02_메뉴얼 공종프로섹스(집행단계)\매뉴얼BODY(집행단계-첨부폴더)v8\3.지장물이설\2_발주전략 KOM (도급지분)\체크리스트\2_발주전략 KOM (도급지분)_체크리스트.html","👉 [클릭] 체크리스트 열기 📄")</f>
        <v>👉 [클릭] 체크리스트 열기 📄</v>
      </c>
      <c r="Q3" s="13"/>
      <c r="R3" s="14" t="s">
        <v>1244</v>
      </c>
      <c r="S3" s="17" t="s">
        <v>1245</v>
      </c>
      <c r="T3" s="14" t="s">
        <v>1246</v>
      </c>
    </row>
    <row r="4" spans="1:20" ht="110.4" customHeight="1" x14ac:dyDescent="0.4">
      <c r="A4" s="13" t="s">
        <v>67</v>
      </c>
      <c r="B4" s="13" t="s">
        <v>68</v>
      </c>
      <c r="C4" s="14" t="s">
        <v>1230</v>
      </c>
      <c r="D4" s="13" t="s">
        <v>1247</v>
      </c>
      <c r="E4" s="13" t="s">
        <v>1239</v>
      </c>
      <c r="F4" s="15" t="s">
        <v>1248</v>
      </c>
      <c r="G4" s="13" t="s">
        <v>1249</v>
      </c>
      <c r="H4" s="14" t="s">
        <v>1250</v>
      </c>
      <c r="I4" s="14" t="s">
        <v>1251</v>
      </c>
      <c r="J4" s="14" t="s">
        <v>1252</v>
      </c>
      <c r="K4" s="14" t="s">
        <v>1250</v>
      </c>
      <c r="L4"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4" s="14" t="s">
        <v>1251</v>
      </c>
      <c r="N4"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4" s="41" t="s">
        <v>1252</v>
      </c>
      <c r="P4"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4" s="13"/>
      <c r="R4" s="14" t="s">
        <v>1253</v>
      </c>
      <c r="S4" s="17" t="s">
        <v>1254</v>
      </c>
      <c r="T4" s="14" t="s">
        <v>1255</v>
      </c>
    </row>
    <row r="5" spans="1:20" ht="96" customHeight="1" x14ac:dyDescent="0.4">
      <c r="A5" s="13" t="s">
        <v>67</v>
      </c>
      <c r="B5" s="13" t="s">
        <v>68</v>
      </c>
      <c r="C5" s="14" t="s">
        <v>1230</v>
      </c>
      <c r="D5" s="13" t="s">
        <v>1256</v>
      </c>
      <c r="E5" s="13" t="s">
        <v>1257</v>
      </c>
      <c r="F5" s="15" t="s">
        <v>1258</v>
      </c>
      <c r="G5" s="13" t="s">
        <v>861</v>
      </c>
      <c r="H5" s="14" t="s">
        <v>1259</v>
      </c>
      <c r="I5" s="14" t="s">
        <v>1260</v>
      </c>
      <c r="J5" s="14" t="s">
        <v>1261</v>
      </c>
      <c r="K5" s="14" t="s">
        <v>1259</v>
      </c>
      <c r="L5" s="120"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5" s="14" t="s">
        <v>1260</v>
      </c>
      <c r="N5" s="120"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5" s="41" t="s">
        <v>1261</v>
      </c>
      <c r="P5" s="120"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Q5" s="13"/>
      <c r="R5" s="14" t="s">
        <v>1262</v>
      </c>
      <c r="S5" s="17" t="s">
        <v>1263</v>
      </c>
      <c r="T5" s="14" t="s">
        <v>1264</v>
      </c>
    </row>
    <row r="6" spans="1:20" ht="134.4" customHeight="1" x14ac:dyDescent="0.4">
      <c r="A6" s="13" t="s">
        <v>67</v>
      </c>
      <c r="B6" s="13" t="s">
        <v>68</v>
      </c>
      <c r="C6" s="14" t="s">
        <v>1230</v>
      </c>
      <c r="D6" s="13" t="s">
        <v>1265</v>
      </c>
      <c r="E6" s="13" t="s">
        <v>1266</v>
      </c>
      <c r="F6" s="15" t="s">
        <v>1267</v>
      </c>
      <c r="G6" s="13" t="s">
        <v>839</v>
      </c>
      <c r="H6" s="14" t="s">
        <v>1268</v>
      </c>
      <c r="I6" s="14" t="s">
        <v>1269</v>
      </c>
      <c r="J6" s="14" t="s">
        <v>1270</v>
      </c>
      <c r="K6" s="14" t="s">
        <v>1268</v>
      </c>
      <c r="L6" s="120" t="str">
        <f>HYPERLINK("C:\Users\sskjh\antigravity\01_전문업무_및_엔지니어링\11_현장_프로젝트\01_동탄트램\08.메뉴얼 및 평면도\최종\02_메뉴얼 공종프로섹스(집행단계)\매뉴얼BODY(집행단계-첨부폴더)v8\3.지장물이설\5_지장물 조사 (위탁기관 합동)\표준서\5_지장물 조사 (위탁기관 합동)_표준서.html","👉 [클릭] 표준서 열기 📄")</f>
        <v>👉 [클릭] 표준서 열기 📄</v>
      </c>
      <c r="M6" s="14" t="s">
        <v>1269</v>
      </c>
      <c r="N6" s="120" t="str">
        <f>HYPERLINK("C:\Users\sskjh\antigravity\01_전문업무_및_엔지니어링\11_현장_프로젝트\01_동탄트램\08.메뉴얼 및 평면도\최종\02_메뉴얼 공종프로섹스(집행단계)\매뉴얼BODY(집행단계-첨부폴더)v8\3.지장물이설\5_지장물 조사 (위탁기관 합동)\수행지침\5_지장물 조사 (위탁기관 합동)_수행지침.html","👉 [클릭] 수행지침 열기 📄")</f>
        <v>👉 [클릭] 수행지침 열기 📄</v>
      </c>
      <c r="O6" s="41" t="s">
        <v>1270</v>
      </c>
      <c r="P6" s="120" t="str">
        <f>HYPERLINK("C:\Users\sskjh\antigravity\01_전문업무_및_엔지니어링\11_현장_프로젝트\01_동탄트램\08.메뉴얼 및 평면도\최종\02_메뉴얼 공종프로섹스(집행단계)\매뉴얼BODY(집행단계-첨부폴더)v8\3.지장물이설\5_지장물 조사 (위탁기관 합동)\체크리스트\5_지장물 조사 (위탁기관 합동)_체크리스트.html","👉 [클릭] 체크리스트 열기 📄")</f>
        <v>👉 [클릭] 체크리스트 열기 📄</v>
      </c>
      <c r="Q6" s="13"/>
      <c r="R6" s="14" t="s">
        <v>1271</v>
      </c>
      <c r="S6" s="17" t="s">
        <v>1272</v>
      </c>
      <c r="T6" s="14" t="s">
        <v>1273</v>
      </c>
    </row>
    <row r="7" spans="1:20" ht="96" customHeight="1" x14ac:dyDescent="0.4">
      <c r="A7" s="13" t="s">
        <v>67</v>
      </c>
      <c r="B7" s="13" t="s">
        <v>68</v>
      </c>
      <c r="C7" s="14" t="s">
        <v>1230</v>
      </c>
      <c r="D7" s="13" t="s">
        <v>1274</v>
      </c>
      <c r="E7" s="13" t="s">
        <v>1275</v>
      </c>
      <c r="F7" s="15" t="s">
        <v>1276</v>
      </c>
      <c r="G7" s="13" t="s">
        <v>839</v>
      </c>
      <c r="H7" s="14" t="s">
        <v>1277</v>
      </c>
      <c r="I7" s="14" t="s">
        <v>1278</v>
      </c>
      <c r="J7" s="14" t="s">
        <v>1279</v>
      </c>
      <c r="K7" s="14" t="s">
        <v>1277</v>
      </c>
      <c r="L7"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7" s="14" t="s">
        <v>1278</v>
      </c>
      <c r="N7"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7" s="41" t="s">
        <v>1279</v>
      </c>
      <c r="P7"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7" s="13"/>
      <c r="R7" s="14" t="s">
        <v>1280</v>
      </c>
      <c r="S7" s="17" t="s">
        <v>1281</v>
      </c>
      <c r="T7" s="14" t="s">
        <v>1282</v>
      </c>
    </row>
    <row r="8" spans="1:20" ht="115.2" customHeight="1" x14ac:dyDescent="0.4">
      <c r="A8" s="13" t="s">
        <v>67</v>
      </c>
      <c r="B8" s="13" t="s">
        <v>68</v>
      </c>
      <c r="C8" s="14" t="s">
        <v>1230</v>
      </c>
      <c r="D8" s="13" t="s">
        <v>1283</v>
      </c>
      <c r="E8" s="13" t="s">
        <v>1284</v>
      </c>
      <c r="F8" s="15" t="s">
        <v>1053</v>
      </c>
      <c r="G8" s="13" t="s">
        <v>1054</v>
      </c>
      <c r="H8" s="14" t="s">
        <v>1285</v>
      </c>
      <c r="I8" s="14" t="s">
        <v>1286</v>
      </c>
      <c r="J8" s="14" t="s">
        <v>1287</v>
      </c>
      <c r="K8" s="14" t="s">
        <v>1285</v>
      </c>
      <c r="L8" s="120" t="str">
        <f>HYPERLINK("C:\Users\sskjh\antigravity\01_전문업무_및_엔지니어링\11_현장_프로젝트\01_동탄트램\08.메뉴얼 및 평면도\최종\02_메뉴얼 공종프로섹스(집행단계)\매뉴얼BODY(집행단계-첨부폴더)v8\3.지장물이설\4_최고의 팀 만들기 지원\표준서\최고의 팀 만들기 지원_표준서.html","👉 [클릭] 표준서 열기 📄")</f>
        <v>👉 [클릭] 표준서 열기 📄</v>
      </c>
      <c r="M8" s="14" t="s">
        <v>1286</v>
      </c>
      <c r="N8" s="120" t="str">
        <f>HYPERLINK("C:\Users\sskjh\antigravity\01_전문업무_및_엔지니어링\11_현장_프로젝트\01_동탄트램\08.메뉴얼 및 평면도\최종\02_메뉴얼 공종프로섹스(집행단계)\매뉴얼BODY(집행단계-첨부폴더)v8\3.지장물이설\4_최고의 팀 만들기 지원\수행지침\수행지침.html","👉 [클릭] 수행지침 열기 📄")</f>
        <v>👉 [클릭] 수행지침 열기 📄</v>
      </c>
      <c r="O8" s="41" t="s">
        <v>1287</v>
      </c>
      <c r="P8" s="120" t="str">
        <f>HYPERLINK("C:\Users\sskjh\antigravity\01_전문업무_및_엔지니어링\11_현장_프로젝트\01_동탄트램\08.메뉴얼 및 평면도\최종\02_메뉴얼 공종프로섹스(집행단계)\매뉴얼BODY(집행단계-첨부폴더)v8\3.지장물이설\4_최고의 팀 만들기 지원\체크리스트\최고의 팀 만들기 지원_체크리스트.html","👉 [클릭] 체크리스트 열기 📄")</f>
        <v>👉 [클릭] 체크리스트 열기 📄</v>
      </c>
      <c r="Q8" s="13"/>
      <c r="R8" s="14" t="s">
        <v>1288</v>
      </c>
      <c r="S8" s="17" t="s">
        <v>1289</v>
      </c>
      <c r="T8" s="14" t="s">
        <v>1290</v>
      </c>
    </row>
    <row r="9" spans="1:20" ht="172.8" customHeight="1" x14ac:dyDescent="0.4">
      <c r="A9" s="13" t="s">
        <v>67</v>
      </c>
      <c r="B9" s="13" t="s">
        <v>68</v>
      </c>
      <c r="C9" s="14" t="s">
        <v>1230</v>
      </c>
      <c r="D9" s="13" t="s">
        <v>1291</v>
      </c>
      <c r="E9" s="13" t="s">
        <v>1292</v>
      </c>
      <c r="F9" s="15" t="s">
        <v>1081</v>
      </c>
      <c r="G9" s="13" t="s">
        <v>861</v>
      </c>
      <c r="H9" s="14" t="s">
        <v>1293</v>
      </c>
      <c r="I9" s="14" t="s">
        <v>1294</v>
      </c>
      <c r="J9" s="14" t="s">
        <v>1295</v>
      </c>
      <c r="K9" s="14" t="s">
        <v>1293</v>
      </c>
      <c r="L9" s="120" t="str">
        <f>HYPERLINK("C:\Users\sskjh\antigravity\01_전문업무_및_엔지니어링\11_현장_프로젝트\01_동탄트램\08.메뉴얼 및 평면도\최종\02_메뉴얼 공종프로섹스(집행단계)\매뉴얼BODY(집행단계-첨부폴더)v8\3.지장물이설\5_착수전 Big Room 회의\표준서\착수전 Big Room 회의_표준서.html","👉 [클릭] 표준서 열기 📄")</f>
        <v>👉 [클릭] 표준서 열기 📄</v>
      </c>
      <c r="M9" s="14" t="s">
        <v>1294</v>
      </c>
      <c r="N9" s="120" t="str">
        <f>HYPERLINK("C:\Users\sskjh\antigravity\01_전문업무_및_엔지니어링\11_현장_프로젝트\01_동탄트램\08.메뉴얼 및 평면도\최종\02_메뉴얼 공종프로섹스(집행단계)\매뉴얼BODY(집행단계-첨부폴더)v8\3.지장물이설\5_착수전 Big Room 회의\수행지침\수행지침.html","👉 [클릭] 수행지침 열기 📄")</f>
        <v>👉 [클릭] 수행지침 열기 📄</v>
      </c>
      <c r="O9" s="41" t="s">
        <v>1295</v>
      </c>
      <c r="P9" s="120" t="str">
        <f>HYPERLINK("C:\Users\sskjh\antigravity\01_전문업무_및_엔지니어링\11_현장_프로젝트\01_동탄트램\08.메뉴얼 및 평면도\최종\02_메뉴얼 공종프로섹스(집행단계)\매뉴얼BODY(집행단계-첨부폴더)v8\3.지장물이설\5_착수전 Big Room 회의\체크리스트\착수전 Big Room 회의_체크리스트.html","👉 [클릭] 체크리스트 열기 📄")</f>
        <v>👉 [클릭] 체크리스트 열기 📄</v>
      </c>
      <c r="Q9" s="13"/>
      <c r="R9" s="14" t="s">
        <v>1296</v>
      </c>
      <c r="S9" s="17" t="s">
        <v>1297</v>
      </c>
      <c r="T9" s="14" t="s">
        <v>1298</v>
      </c>
    </row>
    <row r="10" spans="1:20" ht="115.2" customHeight="1" x14ac:dyDescent="0.4">
      <c r="A10" s="13" t="s">
        <v>67</v>
      </c>
      <c r="B10" s="13" t="s">
        <v>1299</v>
      </c>
      <c r="C10" s="14" t="s">
        <v>1300</v>
      </c>
      <c r="D10" s="13" t="s">
        <v>1301</v>
      </c>
      <c r="E10" s="13" t="s">
        <v>994</v>
      </c>
      <c r="F10" s="15" t="s">
        <v>1087</v>
      </c>
      <c r="G10" s="13" t="s">
        <v>838</v>
      </c>
      <c r="H10" s="14" t="s">
        <v>1302</v>
      </c>
      <c r="I10" s="14" t="s">
        <v>1089</v>
      </c>
      <c r="J10" s="14" t="s">
        <v>1303</v>
      </c>
      <c r="K10" s="14" t="s">
        <v>1302</v>
      </c>
      <c r="L10" s="120" t="str">
        <f>HYPERLINK("C:\Users\sskjh\antigravity\01_전문업무_및_엔지니어링\11_현장_프로젝트\01_동탄트램\08.메뉴얼 및 평면도\최종\02_메뉴얼 공종프로섹스(집행단계)\매뉴얼BODY(집행단계-첨부폴더)v8\3.지장물이설\9_인허가 절차 진행\표준서\9_인허가 절차 진행_표준서.html","👉 [클릭] 표준서 열기 📄")</f>
        <v>👉 [클릭] 표준서 열기 📄</v>
      </c>
      <c r="M10" s="14" t="s">
        <v>1089</v>
      </c>
      <c r="N10" s="120" t="str">
        <f>HYPERLINK("C:\Users\sskjh\antigravity\01_전문업무_및_엔지니어링\11_현장_프로젝트\01_동탄트램\08.메뉴얼 및 평면도\최종\02_메뉴얼 공종프로섹스(집행단계)\매뉴얼BODY(집행단계-첨부폴더)v8\3.지장물이설\9_인허가 절차 진행\수행지침\9_인허가 절차 진행_수행지침.html","👉 [클릭] 수행지침 열기 📄")</f>
        <v>👉 [클릭] 수행지침 열기 📄</v>
      </c>
      <c r="O10" s="41" t="s">
        <v>1303</v>
      </c>
      <c r="P10" s="120" t="str">
        <f>HYPERLINK("C:\Users\sskjh\antigravity\01_전문업무_및_엔지니어링\11_현장_프로젝트\01_동탄트램\08.메뉴얼 및 평면도\최종\02_메뉴얼 공종프로섹스(집행단계)\매뉴얼BODY(집행단계-첨부폴더)v8\3.지장물이설\9_인허가 절차 진행\체크리스트\9_인허가 절차 진행_체크리스트.html","👉 [클릭] 체크리스트 열기 📄")</f>
        <v>👉 [클릭] 체크리스트 열기 📄</v>
      </c>
      <c r="Q10" s="13"/>
      <c r="R10" s="14" t="s">
        <v>1304</v>
      </c>
      <c r="S10" s="17" t="s">
        <v>1305</v>
      </c>
      <c r="T10" s="14" t="s">
        <v>1306</v>
      </c>
    </row>
    <row r="11" spans="1:20" ht="96" customHeight="1" x14ac:dyDescent="0.4">
      <c r="A11" s="13" t="s">
        <v>67</v>
      </c>
      <c r="B11" s="13" t="s">
        <v>1299</v>
      </c>
      <c r="C11" s="14" t="s">
        <v>1300</v>
      </c>
      <c r="D11" s="13" t="s">
        <v>1307</v>
      </c>
      <c r="E11" s="13" t="s">
        <v>1308</v>
      </c>
      <c r="F11" s="15" t="s">
        <v>1093</v>
      </c>
      <c r="G11" s="13" t="s">
        <v>1309</v>
      </c>
      <c r="H11" s="14" t="s">
        <v>1310</v>
      </c>
      <c r="I11" s="14" t="s">
        <v>1311</v>
      </c>
      <c r="J11" s="14" t="s">
        <v>1312</v>
      </c>
      <c r="K11" s="14" t="s">
        <v>1310</v>
      </c>
      <c r="L11" s="120" t="str">
        <f>HYPERLINK("C:\Users\sskjh\antigravity\01_전문업무_및_엔지니어링\11_현장_프로젝트\01_동탄트램\08.메뉴얼 및 평면도\최종\02_메뉴얼 공종프로섹스(집행단계)\매뉴얼BODY(집행단계-첨부폴더)v8\3.지장물이설\10_교통처리대책 협의 및 승인\표준서\10_교통처리대책 협의 및 승인_표준서.html","👉 [클릭] 표준서 열기 📄")</f>
        <v>👉 [클릭] 표준서 열기 📄</v>
      </c>
      <c r="M11" s="14" t="s">
        <v>1311</v>
      </c>
      <c r="N11" s="120" t="str">
        <f>HYPERLINK("C:\Users\sskjh\antigravity\01_전문업무_및_엔지니어링\11_현장_프로젝트\01_동탄트램\08.메뉴얼 및 평면도\최종\02_메뉴얼 공종프로섹스(집행단계)\매뉴얼BODY(집행단계-첨부폴더)v8\3.지장물이설\10_교통처리대책 협의 및 승인\수행지침\10_교통처리대책 협의 및 승인_수행지침.html","👉 [클릭] 수행지침 열기 📄")</f>
        <v>👉 [클릭] 수행지침 열기 📄</v>
      </c>
      <c r="O11" s="41" t="s">
        <v>1312</v>
      </c>
      <c r="P11" s="120" t="str">
        <f>HYPERLINK("C:\Users\sskjh\antigravity\01_전문업무_및_엔지니어링\11_현장_프로젝트\01_동탄트램\08.메뉴얼 및 평면도\최종\02_메뉴얼 공종프로섹스(집행단계)\매뉴얼BODY(집행단계-첨부폴더)v8\3.지장물이설\10_교통처리대책 협의 및 승인\체크리스트\10_교통처리대책 협의 및 승인_체크리스트.html","👉 [클릭] 체크리스트 열기 📄")</f>
        <v>👉 [클릭] 체크리스트 열기 📄</v>
      </c>
      <c r="Q11" s="13"/>
      <c r="R11" s="14" t="s">
        <v>1313</v>
      </c>
      <c r="S11" s="17" t="s">
        <v>1314</v>
      </c>
      <c r="T11" s="14" t="s">
        <v>1315</v>
      </c>
    </row>
    <row r="12" spans="1:20" ht="115.2" customHeight="1" x14ac:dyDescent="0.4">
      <c r="A12" s="13" t="s">
        <v>67</v>
      </c>
      <c r="B12" s="13" t="s">
        <v>1299</v>
      </c>
      <c r="C12" s="14" t="s">
        <v>1300</v>
      </c>
      <c r="D12" s="13" t="s">
        <v>1316</v>
      </c>
      <c r="E12" s="13" t="s">
        <v>996</v>
      </c>
      <c r="F12" s="15" t="s">
        <v>1112</v>
      </c>
      <c r="G12" s="13" t="s">
        <v>1317</v>
      </c>
      <c r="H12" s="14" t="s">
        <v>1318</v>
      </c>
      <c r="I12" s="14" t="s">
        <v>1115</v>
      </c>
      <c r="J12" s="14" t="s">
        <v>1319</v>
      </c>
      <c r="K12" s="14" t="s">
        <v>1318</v>
      </c>
      <c r="L12" s="120" t="str">
        <f>HYPERLINK("C:\Users\sskjh\antigravity\01_전문업무_및_엔지니어링\11_현장_프로젝트\01_동탄트램\08.메뉴얼 및 평면도\최종\02_메뉴얼 공종프로섹스(집행단계)\매뉴얼BODY(집행단계-첨부폴더)v8\3.지장물이설\11_민원 저감 대책 수립\표준서\11_민원 저감 대책 수립_표준서.html","👉 [클릭] 표준서 열기 📄")</f>
        <v>👉 [클릭] 표준서 열기 📄</v>
      </c>
      <c r="M12" s="14" t="s">
        <v>1115</v>
      </c>
      <c r="N12" s="120" t="str">
        <f>HYPERLINK("C:\Users\sskjh\antigravity\01_전문업무_및_엔지니어링\11_현장_프로젝트\01_동탄트램\08.메뉴얼 및 평면도\최종\02_메뉴얼 공종프로섹스(집행단계)\매뉴얼BODY(집행단계-첨부폴더)v8\3.지장물이설\11_민원 저감 대책 수립\수행지침\11_민원 저감 대책 수립_수행지침.html","👉 [클릭] 수행지침 열기 📄")</f>
        <v>👉 [클릭] 수행지침 열기 📄</v>
      </c>
      <c r="O12" s="41" t="s">
        <v>1319</v>
      </c>
      <c r="P12" s="120" t="str">
        <f>HYPERLINK("C:\Users\sskjh\antigravity\01_전문업무_및_엔지니어링\11_현장_프로젝트\01_동탄트램\08.메뉴얼 및 평면도\최종\02_메뉴얼 공종프로섹스(집행단계)\매뉴얼BODY(집행단계-첨부폴더)v8\3.지장물이설\11_민원 저감 대책 수립\체크리스트\11_민원 저감 대책 수립_체크리스트.html","👉 [클릭] 체크리스트 열기 📄")</f>
        <v>👉 [클릭] 체크리스트 열기 📄</v>
      </c>
      <c r="Q12" s="13"/>
      <c r="R12" s="14" t="s">
        <v>1320</v>
      </c>
      <c r="S12" s="17" t="s">
        <v>1321</v>
      </c>
      <c r="T12" s="14" t="s">
        <v>1322</v>
      </c>
    </row>
    <row r="13" spans="1:20" ht="96" customHeight="1" x14ac:dyDescent="0.4">
      <c r="A13" s="13" t="s">
        <v>67</v>
      </c>
      <c r="B13" s="13" t="s">
        <v>1299</v>
      </c>
      <c r="C13" s="14" t="s">
        <v>1300</v>
      </c>
      <c r="D13" s="13" t="s">
        <v>1323</v>
      </c>
      <c r="E13" s="13" t="s">
        <v>1324</v>
      </c>
      <c r="F13" s="15" t="s">
        <v>1119</v>
      </c>
      <c r="G13" s="13" t="s">
        <v>1325</v>
      </c>
      <c r="H13" s="14" t="s">
        <v>1326</v>
      </c>
      <c r="I13" s="14" t="s">
        <v>1327</v>
      </c>
      <c r="J13" s="14" t="s">
        <v>1078</v>
      </c>
      <c r="K13" s="14" t="s">
        <v>1326</v>
      </c>
      <c r="L13" s="120" t="str">
        <f>HYPERLINK("C:\Users\sskjh\antigravity\01_전문업무_및_엔지니어링\11_현장_프로젝트\01_동탄트램\08.메뉴얼 및 평면도\최종\02_메뉴얼 공종프로섹스(집행단계)\매뉴얼BODY(집행단계-첨부폴더)v8\3.지장물이설\12_용지보상 Risk 파악\표준서\12_용지보상 Risk 파악_표준서.html","👉 [클릭] 표준서 열기 📄")</f>
        <v>👉 [클릭] 표준서 열기 📄</v>
      </c>
      <c r="M13" s="14" t="s">
        <v>1327</v>
      </c>
      <c r="N13" s="120" t="str">
        <f>HYPERLINK("C:\Users\sskjh\antigravity\01_전문업무_및_엔지니어링\11_현장_프로젝트\01_동탄트램\08.메뉴얼 및 평면도\최종\02_메뉴얼 공종프로섹스(집행단계)\매뉴얼BODY(집행단계-첨부폴더)v8\3.지장물이설\12_용지보상 Risk 파악\수행지침\12_용지보상 Risk 파악_수행지침.html","👉 [클릭] 수행지침 열기 📄")</f>
        <v>👉 [클릭] 수행지침 열기 📄</v>
      </c>
      <c r="O13" s="41" t="s">
        <v>1078</v>
      </c>
      <c r="P13" s="120" t="str">
        <f>HYPERLINK("C:\Users\sskjh\antigravity\01_전문업무_및_엔지니어링\11_현장_프로젝트\01_동탄트램\08.메뉴얼 및 평면도\최종\02_메뉴얼 공종프로섹스(집행단계)\매뉴얼BODY(집행단계-첨부폴더)v8\3.지장물이설\12_용지보상 Risk 파악\체크리스트\12_용지보상 Risk 파악_체크리스트.html","👉 [클릭] 체크리스트 열기 📄")</f>
        <v>👉 [클릭] 체크리스트 열기 📄</v>
      </c>
      <c r="Q13" s="13"/>
      <c r="R13" s="14" t="s">
        <v>1328</v>
      </c>
      <c r="S13" s="17" t="s">
        <v>1329</v>
      </c>
      <c r="T13" s="14" t="s">
        <v>1330</v>
      </c>
    </row>
    <row r="14" spans="1:20" ht="96" customHeight="1" x14ac:dyDescent="0.4">
      <c r="A14" s="13" t="s">
        <v>67</v>
      </c>
      <c r="B14" s="13" t="s">
        <v>77</v>
      </c>
      <c r="C14" s="14" t="s">
        <v>1331</v>
      </c>
      <c r="D14" s="13" t="s">
        <v>79</v>
      </c>
      <c r="E14" s="13" t="s">
        <v>996</v>
      </c>
      <c r="F14" s="15" t="s">
        <v>1332</v>
      </c>
      <c r="G14" s="13" t="s">
        <v>838</v>
      </c>
      <c r="H14" s="14" t="s">
        <v>1333</v>
      </c>
      <c r="I14" s="14" t="s">
        <v>1334</v>
      </c>
      <c r="J14" s="14" t="s">
        <v>1335</v>
      </c>
      <c r="K14" s="14" t="s">
        <v>1333</v>
      </c>
      <c r="L14" s="120" t="str">
        <f>HYPERLINK("C:\Users\sskjh\antigravity\01_전문업무_및_엔지니어링\11_현장_프로젝트\01_동탄트램\08.메뉴얼 및 평면도\최종\02_메뉴얼 공종프로섹스(집행단계)\매뉴얼BODY(집행단계-첨부폴더)v8\3.지장물이설\13_관리기관(맑은물사업소) 협의\표준서\13_관리기관(맑은물사업소) 협의_표준서.html","👉 [클릭] 표준서 열기 📄")</f>
        <v>👉 [클릭] 표준서 열기 📄</v>
      </c>
      <c r="M14" s="14" t="s">
        <v>1334</v>
      </c>
      <c r="N14" s="120"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협의\수행지침\관리기관(맑은물사업소) 협의_수행지침.html","👉 [클릭] 수행지침 열기 📄")</f>
        <v>👉 [클릭] 수행지침 열기 📄</v>
      </c>
      <c r="O14" s="41" t="s">
        <v>1335</v>
      </c>
      <c r="P14" s="120"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협의\체크리스트\관리기관(맑은물사업소) 협의_체크리스트.html","👉 [클릭] 체크리스트 열기 📄")</f>
        <v>👉 [클릭] 체크리스트 열기 📄</v>
      </c>
      <c r="Q14" s="13"/>
      <c r="R14" s="14" t="s">
        <v>1336</v>
      </c>
      <c r="S14" s="26" t="s">
        <v>1337</v>
      </c>
      <c r="T14" s="14" t="s">
        <v>1338</v>
      </c>
    </row>
    <row r="15" spans="1:20" ht="96" customHeight="1" x14ac:dyDescent="0.4">
      <c r="A15" s="13" t="s">
        <v>67</v>
      </c>
      <c r="B15" s="13" t="s">
        <v>77</v>
      </c>
      <c r="C15" s="14" t="s">
        <v>1331</v>
      </c>
      <c r="D15" s="13" t="s">
        <v>1339</v>
      </c>
      <c r="E15" s="13" t="s">
        <v>996</v>
      </c>
      <c r="F15" s="15" t="s">
        <v>1340</v>
      </c>
      <c r="G15" s="13" t="s">
        <v>1341</v>
      </c>
      <c r="H15" s="14" t="s">
        <v>1342</v>
      </c>
      <c r="I15" s="14" t="s">
        <v>1343</v>
      </c>
      <c r="J15" s="14" t="s">
        <v>1344</v>
      </c>
      <c r="K15" s="14" t="s">
        <v>1342</v>
      </c>
      <c r="L15"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15" s="14" t="s">
        <v>1343</v>
      </c>
      <c r="N15"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15" s="41" t="s">
        <v>1344</v>
      </c>
      <c r="P15"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15" s="13"/>
      <c r="R15" s="14" t="s">
        <v>1345</v>
      </c>
      <c r="S15" s="17" t="s">
        <v>1346</v>
      </c>
      <c r="T15" s="14" t="s">
        <v>1347</v>
      </c>
    </row>
    <row r="16" spans="1:20" ht="96" customHeight="1" x14ac:dyDescent="0.4">
      <c r="A16" s="13" t="s">
        <v>67</v>
      </c>
      <c r="B16" s="13" t="s">
        <v>77</v>
      </c>
      <c r="C16" s="14" t="s">
        <v>1331</v>
      </c>
      <c r="D16" s="13" t="s">
        <v>1348</v>
      </c>
      <c r="E16" s="13" t="s">
        <v>997</v>
      </c>
      <c r="F16" s="15" t="s">
        <v>1349</v>
      </c>
      <c r="G16" s="13" t="s">
        <v>838</v>
      </c>
      <c r="H16" s="14" t="s">
        <v>1350</v>
      </c>
      <c r="I16" s="14" t="s">
        <v>1351</v>
      </c>
      <c r="J16" s="14" t="s">
        <v>1352</v>
      </c>
      <c r="K16" s="14" t="s">
        <v>1350</v>
      </c>
      <c r="L16"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16" s="14" t="s">
        <v>1351</v>
      </c>
      <c r="N16"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16" s="41" t="s">
        <v>1352</v>
      </c>
      <c r="P16"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Q16" s="13"/>
      <c r="R16" s="14" t="s">
        <v>1353</v>
      </c>
      <c r="S16" s="17" t="s">
        <v>1354</v>
      </c>
      <c r="T16" s="14" t="s">
        <v>1355</v>
      </c>
    </row>
    <row r="17" spans="1:20" ht="96" customHeight="1" x14ac:dyDescent="0.4">
      <c r="A17" s="13" t="s">
        <v>67</v>
      </c>
      <c r="B17" s="13" t="s">
        <v>77</v>
      </c>
      <c r="C17" s="14" t="s">
        <v>1331</v>
      </c>
      <c r="D17" s="13" t="s">
        <v>1356</v>
      </c>
      <c r="E17" s="13" t="s">
        <v>1357</v>
      </c>
      <c r="F17" s="15" t="s">
        <v>1358</v>
      </c>
      <c r="G17" s="13" t="s">
        <v>1359</v>
      </c>
      <c r="H17" s="14" t="s">
        <v>1360</v>
      </c>
      <c r="I17" s="14" t="s">
        <v>1361</v>
      </c>
      <c r="J17" s="14" t="s">
        <v>1362</v>
      </c>
      <c r="K17" s="14" t="s">
        <v>1360</v>
      </c>
      <c r="L17" s="120" t="str">
        <f>HYPERLINK("C:\Users\sskjh\antigravity\01_전문업무_및_엔지니어링\11_현장_프로젝트\01_동탄트램\08.메뉴얼 및 평면도\최종\02_메뉴얼 공종프로섹스(집행단계)\매뉴얼BODY(집행단계-첨부폴더)v8\3.지장물이설\16_위수탁 계약 체결\표준서\16_위수탁 계약 체결_표준서.html","👉 [클릭] 표준서 열기 📄")</f>
        <v>👉 [클릭] 표준서 열기 📄</v>
      </c>
      <c r="M17" s="14" t="s">
        <v>1361</v>
      </c>
      <c r="N17" s="120" t="str">
        <f>HYPERLINK("C:\Users\sskjh\antigravity\01_전문업무_및_엔지니어링\11_현장_프로젝트\01_동탄트램\08.메뉴얼 및 평면도\최종\02_메뉴얼 공종프로섹스(집행단계)\매뉴얼BODY(집행단계-첨부폴더)v8\3.지장물이설\16_위수탁 계약 체결\수행지침\수행지침.html","👉 [클릭] 수행지침 열기 📄")</f>
        <v>👉 [클릭] 수행지침 열기 📄</v>
      </c>
      <c r="O17" s="41" t="s">
        <v>1362</v>
      </c>
      <c r="P17" s="120" t="str">
        <f>HYPERLINK("C:\Users\sskjh\antigravity\01_전문업무_및_엔지니어링\11_현장_프로젝트\01_동탄트램\08.메뉴얼 및 평면도\최종\02_메뉴얼 공종프로섹스(집행단계)\매뉴얼BODY(집행단계-첨부폴더)v8\3.지장물이설\16_위수탁 계약 체결\체크리스트\위수탁 계약 체결_체크리스트.html","👉 [클릭] 체크리스트 열기 📄")</f>
        <v>👉 [클릭] 체크리스트 열기 📄</v>
      </c>
      <c r="Q17" s="13"/>
      <c r="R17" s="14" t="s">
        <v>1363</v>
      </c>
      <c r="S17" s="17" t="s">
        <v>1364</v>
      </c>
      <c r="T17" s="14" t="s">
        <v>1365</v>
      </c>
    </row>
    <row r="18" spans="1:20" ht="96" customHeight="1" x14ac:dyDescent="0.4">
      <c r="A18" s="13" t="s">
        <v>67</v>
      </c>
      <c r="B18" s="13" t="s">
        <v>86</v>
      </c>
      <c r="C18" s="14" t="s">
        <v>1366</v>
      </c>
      <c r="D18" s="13" t="s">
        <v>88</v>
      </c>
      <c r="E18" s="13" t="s">
        <v>1005</v>
      </c>
      <c r="F18" s="15" t="s">
        <v>1367</v>
      </c>
      <c r="G18" s="13" t="s">
        <v>1100</v>
      </c>
      <c r="H18" s="14" t="s">
        <v>1368</v>
      </c>
      <c r="I18" s="14" t="s">
        <v>1369</v>
      </c>
      <c r="J18" s="14" t="s">
        <v>1370</v>
      </c>
      <c r="K18" s="14" t="s">
        <v>1368</v>
      </c>
      <c r="L18" s="120" t="str">
        <f>HYPERLINK("C:\Users\sskjh\antigravity\01_전문업무_및_엔지니어링\11_현장_프로젝트\01_동탄트램\08.메뉴얼 및 평면도\최종\02_메뉴얼 공종프로섹스(집행단계)\매뉴얼BODY(집행단계-첨부폴더)v8\3.지장물이설\10_도로점용_굴착행위 인허가\표준서\도로점용_굴착행위 인허가_표준서.html","👉 [클릭] 표준서 열기 📄")</f>
        <v>👉 [클릭] 표준서 열기 📄</v>
      </c>
      <c r="M18" s="14" t="s">
        <v>1369</v>
      </c>
      <c r="N18" s="120" t="str">
        <f>HYPERLINK("C:\Users\sskjh\antigravity\01_전문업무_및_엔지니어링\11_현장_프로젝트\01_동탄트램\08.메뉴얼 및 평면도\최종\02_메뉴얼 공종프로섹스(집행단계)\매뉴얼BODY(집행단계-첨부폴더)v8\3.지장물이설\10_도로점용_굴착행위 인허가\수행지침\도로점용_굴착행위 인허가_수행지침.html","👉 [클릭] 수행지침 열기 📄")</f>
        <v>👉 [클릭] 수행지침 열기 📄</v>
      </c>
      <c r="O18" s="41" t="s">
        <v>1370</v>
      </c>
      <c r="P18" s="120" t="str">
        <f>HYPERLINK("C:\Users\sskjh\antigravity\01_전문업무_및_엔지니어링\11_현장_프로젝트\01_동탄트램\08.메뉴얼 및 평면도\최종\02_메뉴얼 공종프로섹스(집행단계)\매뉴얼BODY(집행단계-첨부폴더)v8\3.지장물이설\10_도로점용_굴착행위 인허가\체크리스트\도로점용_굴착행위 인허가_체크리스트.html","👉 [클릭] 체크리스트 열기 📄")</f>
        <v>👉 [클릭] 체크리스트 열기 📄</v>
      </c>
      <c r="Q18" s="13"/>
      <c r="R18" s="14" t="s">
        <v>1371</v>
      </c>
      <c r="S18" s="17" t="s">
        <v>1372</v>
      </c>
      <c r="T18" s="14" t="s">
        <v>1373</v>
      </c>
    </row>
    <row r="19" spans="1:20" ht="96" customHeight="1" x14ac:dyDescent="0.4">
      <c r="A19" s="13" t="s">
        <v>67</v>
      </c>
      <c r="B19" s="13" t="s">
        <v>86</v>
      </c>
      <c r="C19" s="14" t="s">
        <v>1366</v>
      </c>
      <c r="D19" s="13" t="s">
        <v>1374</v>
      </c>
      <c r="E19" s="13" t="s">
        <v>1005</v>
      </c>
      <c r="F19" s="15" t="s">
        <v>1375</v>
      </c>
      <c r="G19" s="13" t="s">
        <v>1376</v>
      </c>
      <c r="H19" s="14" t="s">
        <v>1377</v>
      </c>
      <c r="I19" s="14" t="s">
        <v>1378</v>
      </c>
      <c r="J19" s="14" t="s">
        <v>1379</v>
      </c>
      <c r="K19" s="14" t="s">
        <v>1377</v>
      </c>
      <c r="L19" s="120"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설치\표준서\교통통제 및 교통안전시설 설치_표준서.html","👉 [클릭] 표준서 열기 📄")</f>
        <v>👉 [클릭] 표준서 열기 📄</v>
      </c>
      <c r="M19" s="14" t="s">
        <v>1378</v>
      </c>
      <c r="N19" s="120"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설치\수행지침\교통통제 및 교통안전시설 설치_수행지침.html","👉 [클릭] 수행지침 열기 📄")</f>
        <v>👉 [클릭] 수행지침 열기 📄</v>
      </c>
      <c r="O19" s="41" t="s">
        <v>1379</v>
      </c>
      <c r="P19" s="120"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설치\체크리스트\교통통제 및 교통안전시설 설치_체크리스트.html","👉 [클릭] 체크리스트 열기 📄")</f>
        <v>👉 [클릭] 체크리스트 열기 📄</v>
      </c>
      <c r="Q19" s="13"/>
      <c r="R19" s="14" t="s">
        <v>1380</v>
      </c>
      <c r="S19" s="17" t="s">
        <v>1381</v>
      </c>
      <c r="T19" s="14" t="s">
        <v>1382</v>
      </c>
    </row>
    <row r="20" spans="1:20" ht="96" customHeight="1" x14ac:dyDescent="0.4">
      <c r="A20" s="13" t="s">
        <v>67</v>
      </c>
      <c r="B20" s="13" t="s">
        <v>86</v>
      </c>
      <c r="C20" s="14" t="s">
        <v>1366</v>
      </c>
      <c r="D20" s="13" t="s">
        <v>1383</v>
      </c>
      <c r="E20" s="13" t="s">
        <v>1384</v>
      </c>
      <c r="F20" s="15" t="s">
        <v>1385</v>
      </c>
      <c r="G20" s="13" t="s">
        <v>1100</v>
      </c>
      <c r="H20" s="14" t="s">
        <v>1386</v>
      </c>
      <c r="I20" s="14" t="s">
        <v>1387</v>
      </c>
      <c r="J20" s="14" t="s">
        <v>1388</v>
      </c>
      <c r="K20" s="14" t="s">
        <v>1386</v>
      </c>
      <c r="L20" s="120"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확인\표준서\줄따기(GPR)를 통한 기존 지장물 매설 확인_표준서.html","👉 [클릭] 표준서 열기 📄")</f>
        <v>👉 [클릭] 표준서 열기 📄</v>
      </c>
      <c r="M20" s="14" t="s">
        <v>1387</v>
      </c>
      <c r="N20" s="120"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확인\수행지침\수행지침.html","👉 [클릭] 수행지침 열기 📄")</f>
        <v>👉 [클릭] 수행지침 열기 📄</v>
      </c>
      <c r="O20" s="41" t="s">
        <v>1388</v>
      </c>
      <c r="P20" s="120"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확인\체크리스트\줄따기(GPR)를 통한 기존 지장물 매설 확인_체크리스트.html","👉 [클릭] 체크리스트 열기 📄")</f>
        <v>👉 [클릭] 체크리스트 열기 📄</v>
      </c>
      <c r="Q20" s="13"/>
      <c r="R20" s="14" t="s">
        <v>1389</v>
      </c>
      <c r="S20" s="17" t="s">
        <v>1390</v>
      </c>
      <c r="T20" s="14" t="s">
        <v>1391</v>
      </c>
    </row>
    <row r="21" spans="1:20" ht="96" customHeight="1" x14ac:dyDescent="0.4">
      <c r="A21" s="13" t="s">
        <v>67</v>
      </c>
      <c r="B21" s="13" t="s">
        <v>86</v>
      </c>
      <c r="C21" s="14" t="s">
        <v>1366</v>
      </c>
      <c r="D21" s="13" t="s">
        <v>1392</v>
      </c>
      <c r="E21" s="13" t="s">
        <v>1393</v>
      </c>
      <c r="F21" s="15" t="s">
        <v>1394</v>
      </c>
      <c r="G21" s="13" t="s">
        <v>839</v>
      </c>
      <c r="H21" s="14" t="s">
        <v>1395</v>
      </c>
      <c r="I21" s="14" t="s">
        <v>1396</v>
      </c>
      <c r="J21" s="14" t="s">
        <v>1397</v>
      </c>
      <c r="K21" s="14" t="s">
        <v>1395</v>
      </c>
      <c r="L21" s="120" t="str">
        <f>HYPERLINK("C:\Users\sskjh\antigravity\01_전문업무_및_엔지니어링\11_현장_프로젝트\01_동탄트램\08.메뉴얼 및 평면도\최종\02_메뉴얼 공종프로섹스(집행단계)\매뉴얼BODY(집행단계-첨부폴더)v8\3.지장물이설\13_이설 위치 토공 굴착\표준서\이설 위치 토공 굴착_표준서.html","👉 [클릭] 표준서 열기 📄")</f>
        <v>👉 [클릭] 표준서 열기 📄</v>
      </c>
      <c r="M21" s="14" t="s">
        <v>1396</v>
      </c>
      <c r="N21" s="120" t="str">
        <f>HYPERLINK("C:\Users\sskjh\antigravity\01_전문업무_및_엔지니어링\11_현장_프로젝트\01_동탄트램\08.메뉴얼 및 평면도\최종\02_메뉴얼 공종프로섹스(집행단계)\매뉴얼BODY(집행단계-첨부폴더)v8\3.지장물이설\13_이설 위치 토공 굴착\수행지침\수행지침.html","👉 [클릭] 수행지침 열기 📄")</f>
        <v>👉 [클릭] 수행지침 열기 📄</v>
      </c>
      <c r="O21" s="41" t="s">
        <v>1397</v>
      </c>
      <c r="P21" s="120" t="str">
        <f>HYPERLINK("C:\Users\sskjh\antigravity\01_전문업무_및_엔지니어링\11_현장_프로젝트\01_동탄트램\08.메뉴얼 및 평면도\최종\02_메뉴얼 공종프로섹스(집행단계)\매뉴얼BODY(집행단계-첨부폴더)v8\3.지장물이설\13_이설 위치 토공 굴착\체크리스트\이설 위치 토공 굴착_체크리스트.html","👉 [클릭] 체크리스트 열기 📄")</f>
        <v>👉 [클릭] 체크리스트 열기 📄</v>
      </c>
      <c r="Q21" s="13"/>
      <c r="R21" s="14" t="s">
        <v>1398</v>
      </c>
      <c r="S21" s="17" t="s">
        <v>1399</v>
      </c>
      <c r="T21" s="14" t="s">
        <v>1400</v>
      </c>
    </row>
    <row r="22" spans="1:20" ht="96" customHeight="1" x14ac:dyDescent="0.4">
      <c r="A22" s="13" t="s">
        <v>67</v>
      </c>
      <c r="B22" s="13" t="s">
        <v>86</v>
      </c>
      <c r="C22" s="14" t="s">
        <v>1366</v>
      </c>
      <c r="D22" s="13" t="s">
        <v>1401</v>
      </c>
      <c r="E22" s="13" t="s">
        <v>1402</v>
      </c>
      <c r="F22" s="15" t="s">
        <v>1403</v>
      </c>
      <c r="G22" s="13" t="s">
        <v>1404</v>
      </c>
      <c r="H22" s="14" t="s">
        <v>1405</v>
      </c>
      <c r="I22" s="14" t="s">
        <v>1406</v>
      </c>
      <c r="J22" s="14" t="s">
        <v>1407</v>
      </c>
      <c r="K22" s="14" t="s">
        <v>1405</v>
      </c>
      <c r="L22" s="120"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2" s="14" t="s">
        <v>1406</v>
      </c>
      <c r="N22" s="120"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2" s="41" t="s">
        <v>1407</v>
      </c>
      <c r="P22" s="120"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2" s="13"/>
      <c r="R22" s="14" t="s">
        <v>1408</v>
      </c>
      <c r="S22" s="17" t="s">
        <v>1409</v>
      </c>
      <c r="T22" s="14" t="s">
        <v>1410</v>
      </c>
    </row>
    <row r="23" spans="1:20" ht="96" customHeight="1" x14ac:dyDescent="0.4">
      <c r="A23" s="13" t="s">
        <v>67</v>
      </c>
      <c r="B23" s="13" t="s">
        <v>86</v>
      </c>
      <c r="C23" s="14" t="s">
        <v>1366</v>
      </c>
      <c r="D23" s="13" t="s">
        <v>1411</v>
      </c>
      <c r="E23" s="13" t="s">
        <v>1412</v>
      </c>
      <c r="F23" s="15" t="s">
        <v>1413</v>
      </c>
      <c r="G23" s="13" t="s">
        <v>1414</v>
      </c>
      <c r="H23" s="14" t="s">
        <v>1415</v>
      </c>
      <c r="I23" s="14" t="s">
        <v>1416</v>
      </c>
      <c r="J23" s="14" t="s">
        <v>1417</v>
      </c>
      <c r="K23" s="14" t="s">
        <v>1415</v>
      </c>
      <c r="L23" s="120"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설치\표준서\무단수 연결을 위한 시설 설치_표준서.html","👉 [클릭] 표준서 열기 📄")</f>
        <v>👉 [클릭] 표준서 열기 📄</v>
      </c>
      <c r="M23" s="14" t="s">
        <v>1416</v>
      </c>
      <c r="N23" s="120"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설치\수행지침\무단수 연결을 위한 시설 설치_수행지침.html","👉 [클릭] 수행지침 열기 📄")</f>
        <v>👉 [클릭] 수행지침 열기 📄</v>
      </c>
      <c r="O23" s="41" t="s">
        <v>1417</v>
      </c>
      <c r="P23" s="120"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설치\체크리스트\무단수 연결을 위한 시설 설치_체크리스트.html","👉 [클릭] 체크리스트 열기 📄")</f>
        <v>👉 [클릭] 체크리스트 열기 📄</v>
      </c>
      <c r="Q23" s="13"/>
      <c r="R23" s="14" t="s">
        <v>1418</v>
      </c>
      <c r="S23" s="17" t="s">
        <v>1419</v>
      </c>
      <c r="T23" s="14" t="s">
        <v>1420</v>
      </c>
    </row>
    <row r="24" spans="1:20" ht="96" customHeight="1" x14ac:dyDescent="0.4">
      <c r="A24" s="13" t="s">
        <v>67</v>
      </c>
      <c r="B24" s="13" t="s">
        <v>86</v>
      </c>
      <c r="C24" s="14" t="s">
        <v>1366</v>
      </c>
      <c r="D24" s="13" t="s">
        <v>1421</v>
      </c>
      <c r="E24" s="13" t="s">
        <v>1422</v>
      </c>
      <c r="F24" s="15" t="s">
        <v>1423</v>
      </c>
      <c r="G24" s="13" t="s">
        <v>839</v>
      </c>
      <c r="H24" s="14" t="s">
        <v>1424</v>
      </c>
      <c r="I24" s="14" t="s">
        <v>1425</v>
      </c>
      <c r="J24" s="14" t="s">
        <v>1426</v>
      </c>
      <c r="K24" s="14" t="s">
        <v>1424</v>
      </c>
      <c r="L24" s="120"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4" s="14" t="s">
        <v>1425</v>
      </c>
      <c r="N24" s="120"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4" s="41" t="s">
        <v>1426</v>
      </c>
      <c r="P24" s="120"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4" s="13"/>
      <c r="R24" s="14" t="s">
        <v>1427</v>
      </c>
      <c r="S24" s="17" t="s">
        <v>1428</v>
      </c>
      <c r="T24" s="14" t="s">
        <v>1429</v>
      </c>
    </row>
    <row r="25" spans="1:20" ht="96" customHeight="1" x14ac:dyDescent="0.4">
      <c r="A25" s="13" t="s">
        <v>67</v>
      </c>
      <c r="B25" s="13" t="s">
        <v>86</v>
      </c>
      <c r="C25" s="14" t="s">
        <v>1366</v>
      </c>
      <c r="D25" s="13" t="s">
        <v>1430</v>
      </c>
      <c r="E25" s="13" t="s">
        <v>1431</v>
      </c>
      <c r="F25" s="15" t="s">
        <v>1432</v>
      </c>
      <c r="G25" s="13" t="s">
        <v>839</v>
      </c>
      <c r="H25" s="14" t="s">
        <v>1433</v>
      </c>
      <c r="I25" s="14" t="s">
        <v>1434</v>
      </c>
      <c r="J25" s="14" t="s">
        <v>1435</v>
      </c>
      <c r="K25" s="14" t="s">
        <v>1433</v>
      </c>
      <c r="L25" s="120" t="str">
        <f>HYPERLINK("C:\Users\sskjh\antigravity\01_전문업무_및_엔지니어링\11_현장_프로젝트\01_동탄트램\08.메뉴얼 및 평면도\최종\02_메뉴얼 공종프로섹스(집행단계)\매뉴얼BODY(집행단계-첨부폴더)v8\3.지장물이설\17_기존관로 철거 및 원상복구\표준서\기존관로 철거 및 원상복구_표준서.html","👉 [클릭] 표준서 열기 📄")</f>
        <v>👉 [클릭] 표준서 열기 📄</v>
      </c>
      <c r="M25" s="14" t="s">
        <v>1434</v>
      </c>
      <c r="N25" s="120" t="str">
        <f>HYPERLINK("C:\Users\sskjh\antigravity\01_전문업무_및_엔지니어링\11_현장_프로젝트\01_동탄트램\08.메뉴얼 및 평면도\최종\02_메뉴얼 공종프로섹스(집행단계)\매뉴얼BODY(집행단계-첨부폴더)v8\3.지장물이설\17_기존관로 철거 및 원상복구\수행지침\기존관로 철거 및 원상복구_수행지침.html","👉 [클릭] 수행지침 열기 📄")</f>
        <v>👉 [클릭] 수행지침 열기 📄</v>
      </c>
      <c r="O25" s="41" t="s">
        <v>1435</v>
      </c>
      <c r="P25" s="120" t="str">
        <f>HYPERLINK("C:\Users\sskjh\antigravity\01_전문업무_및_엔지니어링\11_현장_프로젝트\01_동탄트램\08.메뉴얼 및 평면도\최종\02_메뉴얼 공종프로섹스(집행단계)\매뉴얼BODY(집행단계-첨부폴더)v8\3.지장물이설\17_기존관로 철거 및 원상복구\체크리스트\기존관로 철거 및 원상복구_체크리스트.html","👉 [클릭] 체크리스트 열기 📄")</f>
        <v>👉 [클릭] 체크리스트 열기 📄</v>
      </c>
      <c r="Q25" s="13"/>
      <c r="R25" s="14" t="s">
        <v>1436</v>
      </c>
      <c r="S25" s="17" t="s">
        <v>1437</v>
      </c>
      <c r="T25" s="14" t="s">
        <v>1438</v>
      </c>
    </row>
    <row r="26" spans="1:20" ht="96" customHeight="1" x14ac:dyDescent="0.4">
      <c r="A26" s="13" t="s">
        <v>67</v>
      </c>
      <c r="B26" s="13" t="s">
        <v>95</v>
      </c>
      <c r="C26" s="14" t="s">
        <v>1439</v>
      </c>
      <c r="D26" s="13" t="s">
        <v>97</v>
      </c>
      <c r="E26" s="13" t="s">
        <v>1440</v>
      </c>
      <c r="F26" s="15" t="s">
        <v>1441</v>
      </c>
      <c r="G26" s="13" t="s">
        <v>1442</v>
      </c>
      <c r="H26" s="14" t="s">
        <v>1443</v>
      </c>
      <c r="I26" s="14" t="s">
        <v>1444</v>
      </c>
      <c r="J26" s="14" t="s">
        <v>1445</v>
      </c>
      <c r="K26" s="14" t="s">
        <v>1443</v>
      </c>
      <c r="L26" s="120" t="str">
        <f>HYPERLINK("C:\Users\sskjh\antigravity\01_전문업무_및_엔지니어링\11_현장_프로젝트\01_동탄트램\08.메뉴얼 및 평면도\최종\02_메뉴얼 공종프로섹스(집행단계)\매뉴얼BODY(집행단계-첨부폴더)v8\3.지장물이설\18_광역상수관 이설 공사\표준서\광역상수관 이설 공사_표준서.html","👉 [클릭] 표준서 열기 📄")</f>
        <v>👉 [클릭] 표준서 열기 📄</v>
      </c>
      <c r="M26" s="14" t="s">
        <v>1444</v>
      </c>
      <c r="N26" s="120" t="str">
        <f>HYPERLINK("C:\Users\sskjh\antigravity\01_전문업무_및_엔지니어링\11_현장_프로젝트\01_동탄트램\08.메뉴얼 및 평면도\최종\02_메뉴얼 공종프로섹스(집행단계)\매뉴얼BODY(집행단계-첨부폴더)v8\3.지장물이설\18_광역상수관 이설 공사\수행지침\광역상수관 이설 공사_수행지침.html","👉 [클릭] 수행지침 열기 📄")</f>
        <v>👉 [클릭] 수행지침 열기 📄</v>
      </c>
      <c r="O26" s="41" t="s">
        <v>1445</v>
      </c>
      <c r="P26" s="120" t="str">
        <f>HYPERLINK("C:\Users\sskjh\antigravity\01_전문업무_및_엔지니어링\11_현장_프로젝트\01_동탄트램\08.메뉴얼 및 평면도\최종\02_메뉴얼 공종프로섹스(집행단계)\매뉴얼BODY(집행단계-첨부폴더)v8\3.지장물이설\18_광역상수관 이설 공사\체크리스트\광역상수관 이설 공사_체크리스트.html","👉 [클릭] 체크리스트 열기 📄")</f>
        <v>👉 [클릭] 체크리스트 열기 📄</v>
      </c>
      <c r="Q26" s="13"/>
      <c r="R26" s="14" t="s">
        <v>1446</v>
      </c>
      <c r="S26" s="17" t="s">
        <v>1447</v>
      </c>
      <c r="T26" s="14" t="s">
        <v>1448</v>
      </c>
    </row>
    <row r="27" spans="1:20" ht="96" customHeight="1" x14ac:dyDescent="0.4">
      <c r="A27" s="13" t="s">
        <v>67</v>
      </c>
      <c r="B27" s="13" t="s">
        <v>95</v>
      </c>
      <c r="C27" s="14" t="s">
        <v>1439</v>
      </c>
      <c r="D27" s="13" t="s">
        <v>1449</v>
      </c>
      <c r="E27" s="13" t="s">
        <v>1450</v>
      </c>
      <c r="F27" s="15" t="s">
        <v>1451</v>
      </c>
      <c r="G27" s="13" t="s">
        <v>1452</v>
      </c>
      <c r="H27" s="14" t="s">
        <v>1453</v>
      </c>
      <c r="I27" s="14" t="s">
        <v>1454</v>
      </c>
      <c r="J27" s="14" t="s">
        <v>1455</v>
      </c>
      <c r="K27" s="14" t="s">
        <v>1453</v>
      </c>
      <c r="L27" s="120" t="str">
        <f>HYPERLINK("C:\Users\sskjh\antigravity\01_전문업무_및_엔지니어링\11_현장_프로젝트\01_동탄트램\08.메뉴얼 및 평면도\최종\02_메뉴얼 공종프로섹스(집행단계)\매뉴얼BODY(집행단계-첨부폴더)v8\3.지장물이설\19_상수도 관로 이설 공사\표준서\상수도 관로 이설 공사_표준서.html","👉 [클릭] 표준서 열기 📄")</f>
        <v>👉 [클릭] 표준서 열기 📄</v>
      </c>
      <c r="M27" s="14" t="s">
        <v>1454</v>
      </c>
      <c r="N27" s="120" t="str">
        <f>HYPERLINK("C:\Users\sskjh\antigravity\01_전문업무_및_엔지니어링\11_현장_프로젝트\01_동탄트램\08.메뉴얼 및 평면도\최종\02_메뉴얼 공종프로섹스(집행단계)\매뉴얼BODY(집행단계-첨부폴더)v8\3.지장물이설\19_상수도 관로 이설 공사\수행지침\상수도 관로 이설 공사_수행지침.html","👉 [클릭] 수행지침 열기 📄")</f>
        <v>👉 [클릭] 수행지침 열기 📄</v>
      </c>
      <c r="O27" s="41" t="s">
        <v>1455</v>
      </c>
      <c r="P27" s="120" t="str">
        <f>HYPERLINK("C:\Users\sskjh\antigravity\01_전문업무_및_엔지니어링\11_현장_프로젝트\01_동탄트램\08.메뉴얼 및 평면도\최종\02_메뉴얼 공종프로섹스(집행단계)\매뉴얼BODY(집행단계-첨부폴더)v8\3.지장물이설\19_상수도 관로 이설 공사\체크리스트\상수도 관로 이설 공사_체크리스트.html","👉 [클릭] 체크리스트 열기 📄")</f>
        <v>👉 [클릭] 체크리스트 열기 📄</v>
      </c>
      <c r="Q27" s="13"/>
      <c r="R27" s="14" t="s">
        <v>1456</v>
      </c>
      <c r="S27" s="17" t="s">
        <v>1457</v>
      </c>
      <c r="T27" s="14" t="s">
        <v>1458</v>
      </c>
    </row>
    <row r="28" spans="1:20" ht="96" customHeight="1" x14ac:dyDescent="0.4">
      <c r="A28" s="13" t="s">
        <v>67</v>
      </c>
      <c r="B28" s="13" t="s">
        <v>95</v>
      </c>
      <c r="C28" s="14" t="s">
        <v>1439</v>
      </c>
      <c r="D28" s="13" t="s">
        <v>1459</v>
      </c>
      <c r="E28" s="13" t="s">
        <v>1460</v>
      </c>
      <c r="F28" s="15" t="s">
        <v>1461</v>
      </c>
      <c r="G28" s="13" t="s">
        <v>1452</v>
      </c>
      <c r="H28" s="14" t="s">
        <v>1462</v>
      </c>
      <c r="I28" s="14" t="s">
        <v>1463</v>
      </c>
      <c r="J28" s="14" t="s">
        <v>1464</v>
      </c>
      <c r="K28" s="14" t="s">
        <v>1462</v>
      </c>
      <c r="L28" s="120" t="str">
        <f>HYPERLINK("C:\Users\sskjh\antigravity\01_전문업무_및_엔지니어링\11_현장_프로젝트\01_동탄트램\08.메뉴얼 및 평면도\최종\02_메뉴얼 공종프로섹스(집행단계)\매뉴얼BODY(집행단계-첨부폴더)v8\3.지장물이설\20_하수도 관로 이설 공사\표준서\하수도 관로 이설 공사_표준서.html","👉 [클릭] 표준서 열기 📄")</f>
        <v>👉 [클릭] 표준서 열기 📄</v>
      </c>
      <c r="M28" s="14" t="s">
        <v>1463</v>
      </c>
      <c r="N28" s="120" t="str">
        <f>HYPERLINK("C:\Users\sskjh\antigravity\01_전문업무_및_엔지니어링\11_현장_프로젝트\01_동탄트램\08.메뉴얼 및 평면도\최종\02_메뉴얼 공종프로섹스(집행단계)\매뉴얼BODY(집행단계-첨부폴더)v8\3.지장물이설\20_하수도 관로 이설 공사\수행지침\수행지침.html","👉 [클릭] 수행지침 열기 📄")</f>
        <v>👉 [클릭] 수행지침 열기 📄</v>
      </c>
      <c r="O28" s="41" t="s">
        <v>1464</v>
      </c>
      <c r="P28" s="120" t="str">
        <f>HYPERLINK("C:\Users\sskjh\antigravity\01_전문업무_및_엔지니어링\11_현장_프로젝트\01_동탄트램\08.메뉴얼 및 평면도\최종\02_메뉴얼 공종프로섹스(집행단계)\매뉴얼BODY(집행단계-첨부폴더)v8\3.지장물이설\20_하수도 관로 이설 공사\체크리스트\하수도 관로 이설 공사_체크리스트.html","👉 [클릭] 체크리스트 열기 📄")</f>
        <v>👉 [클릭] 체크리스트 열기 📄</v>
      </c>
      <c r="Q28" s="13"/>
      <c r="R28" s="14" t="s">
        <v>1465</v>
      </c>
      <c r="S28" s="17" t="s">
        <v>1466</v>
      </c>
      <c r="T28" s="14" t="s">
        <v>1467</v>
      </c>
    </row>
    <row r="29" spans="1:20" ht="96" customHeight="1" x14ac:dyDescent="0.4">
      <c r="A29" s="13" t="s">
        <v>67</v>
      </c>
      <c r="B29" s="13" t="s">
        <v>95</v>
      </c>
      <c r="C29" s="14" t="s">
        <v>1439</v>
      </c>
      <c r="D29" s="13" t="s">
        <v>1468</v>
      </c>
      <c r="E29" s="13" t="s">
        <v>1469</v>
      </c>
      <c r="F29" s="15" t="s">
        <v>1470</v>
      </c>
      <c r="G29" s="13" t="s">
        <v>1471</v>
      </c>
      <c r="H29" s="14" t="s">
        <v>1472</v>
      </c>
      <c r="I29" s="14" t="s">
        <v>1473</v>
      </c>
      <c r="J29" s="14" t="s">
        <v>1474</v>
      </c>
      <c r="K29" s="14" t="s">
        <v>1472</v>
      </c>
      <c r="L29" s="120" t="str">
        <f>HYPERLINK("C:\Users\sskjh\antigravity\01_전문업무_및_엔지니어링\11_현장_프로젝트\01_동탄트램\08.메뉴얼 및 평면도\최종\02_메뉴얼 공종프로섹스(집행단계)\매뉴얼BODY(집행단계-첨부폴더)v8\3.지장물이설\21_도시가스관 이설 공사\표준서\도시가스관 이설 공사_표준서.html","👉 [클릭] 표준서 열기 📄")</f>
        <v>👉 [클릭] 표준서 열기 📄</v>
      </c>
      <c r="M29" s="14" t="s">
        <v>1473</v>
      </c>
      <c r="N29" s="120" t="str">
        <f>HYPERLINK("C:\Users\sskjh\antigravity\01_전문업무_및_엔지니어링\11_현장_프로젝트\01_동탄트램\08.메뉴얼 및 평면도\최종\02_메뉴얼 공종프로섹스(집행단계)\매뉴얼BODY(집행단계-첨부폴더)v8\3.지장물이설\21_도시가스관 이설 공사\수행지침\도시가스관 이설 공사_수행지침.html","👉 [클릭] 수행지침 열기 📄")</f>
        <v>👉 [클릭] 수행지침 열기 📄</v>
      </c>
      <c r="O29" s="41" t="s">
        <v>1474</v>
      </c>
      <c r="P29" s="120" t="str">
        <f>HYPERLINK("C:\Users\sskjh\antigravity\01_전문업무_및_엔지니어링\11_현장_프로젝트\01_동탄트램\08.메뉴얼 및 평면도\최종\02_메뉴얼 공종프로섹스(집행단계)\매뉴얼BODY(집행단계-첨부폴더)v8\3.지장물이설\21_도시가스관 이설 공사\체크리스트\도시가스관 이설 공사_체크리스트.html","👉 [클릭] 체크리스트 열기 📄")</f>
        <v>👉 [클릭] 체크리스트 열기 📄</v>
      </c>
      <c r="Q29" s="13"/>
      <c r="R29" s="14" t="s">
        <v>1475</v>
      </c>
      <c r="S29" s="17" t="s">
        <v>1476</v>
      </c>
      <c r="T29" s="14" t="s">
        <v>1477</v>
      </c>
    </row>
    <row r="30" spans="1:20" ht="96" customHeight="1" x14ac:dyDescent="0.4">
      <c r="A30" s="13" t="s">
        <v>67</v>
      </c>
      <c r="B30" s="13" t="s">
        <v>95</v>
      </c>
      <c r="C30" s="14" t="s">
        <v>1439</v>
      </c>
      <c r="D30" s="13" t="s">
        <v>1478</v>
      </c>
      <c r="E30" s="13" t="s">
        <v>1006</v>
      </c>
      <c r="F30" s="15" t="s">
        <v>1479</v>
      </c>
      <c r="G30" s="13" t="s">
        <v>1480</v>
      </c>
      <c r="H30" s="14" t="s">
        <v>1481</v>
      </c>
      <c r="I30" s="14" t="s">
        <v>1482</v>
      </c>
      <c r="J30" s="14" t="s">
        <v>1483</v>
      </c>
      <c r="K30" s="14" t="s">
        <v>1481</v>
      </c>
      <c r="L30" s="120" t="str">
        <f>HYPERLINK("C:\Users\sskjh\antigravity\01_전문업무_및_엔지니어링\11_현장_프로젝트\01_동탄트램\08.메뉴얼 및 평면도\최종\02_메뉴얼 공종프로섹스(집행단계)\매뉴얼BODY(집행단계-첨부폴더)v8\3.지장물이설\22_지역난방관 이설 공사\표준서\지역난방관 이설 공사_표준서.html","👉 [클릭] 표준서 열기 📄")</f>
        <v>👉 [클릭] 표준서 열기 📄</v>
      </c>
      <c r="M30" s="14" t="s">
        <v>1482</v>
      </c>
      <c r="N30" s="120" t="str">
        <f>HYPERLINK("C:\Users\sskjh\antigravity\01_전문업무_및_엔지니어링\11_현장_프로젝트\01_동탄트램\08.메뉴얼 및 평면도\최종\02_메뉴얼 공종프로섹스(집행단계)\매뉴얼BODY(집행단계-첨부폴더)v8\3.지장물이설\22_지역난방관 이설 공사\수행지침\수행지침.html","👉 [클릭] 수행지침 열기 📄")</f>
        <v>👉 [클릭] 수행지침 열기 📄</v>
      </c>
      <c r="O30" s="41" t="s">
        <v>1483</v>
      </c>
      <c r="P30" s="120" t="str">
        <f>HYPERLINK("C:\Users\sskjh\antigravity\01_전문업무_및_엔지니어링\11_현장_프로젝트\01_동탄트램\08.메뉴얼 및 평면도\최종\02_메뉴얼 공종프로섹스(집행단계)\매뉴얼BODY(집행단계-첨부폴더)v8\3.지장물이설\22_지역난방관 이설 공사\체크리스트\지역난방관 이설 공사_체크리스트.html","👉 [클릭] 체크리스트 열기 📄")</f>
        <v>👉 [클릭] 체크리스트 열기 📄</v>
      </c>
      <c r="Q30" s="13"/>
      <c r="R30" s="14" t="s">
        <v>1484</v>
      </c>
      <c r="S30" s="17" t="s">
        <v>1485</v>
      </c>
      <c r="T30" s="14" t="s">
        <v>1486</v>
      </c>
    </row>
    <row r="31" spans="1:20" ht="96" customHeight="1" x14ac:dyDescent="0.4">
      <c r="A31" s="13" t="s">
        <v>67</v>
      </c>
      <c r="B31" s="13" t="s">
        <v>95</v>
      </c>
      <c r="C31" s="14" t="s">
        <v>1439</v>
      </c>
      <c r="D31" s="13" t="s">
        <v>1487</v>
      </c>
      <c r="E31" s="13" t="s">
        <v>1488</v>
      </c>
      <c r="F31" s="15" t="s">
        <v>1489</v>
      </c>
      <c r="G31" s="13" t="s">
        <v>1490</v>
      </c>
      <c r="H31" s="14" t="s">
        <v>1491</v>
      </c>
      <c r="I31" s="14" t="s">
        <v>1492</v>
      </c>
      <c r="J31" s="14" t="s">
        <v>1493</v>
      </c>
      <c r="K31" s="14" t="s">
        <v>1491</v>
      </c>
      <c r="L31" s="120"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공사\표준서\통신관로 및 케이블 이설 공사_표준서.html","👉 [클릭] 표준서 열기 📄")</f>
        <v>👉 [클릭] 표준서 열기 📄</v>
      </c>
      <c r="M31" s="14" t="s">
        <v>1492</v>
      </c>
      <c r="N31" s="120"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공사\수행지침\수행지침.html","👉 [클릭] 수행지침 열기 📄")</f>
        <v>👉 [클릭] 수행지침 열기 📄</v>
      </c>
      <c r="O31" s="41" t="s">
        <v>1493</v>
      </c>
      <c r="P31" s="120"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공사\체크리스트\통신관로 및 케이블 이설 공사_체크리스트.html","👉 [클릭] 체크리스트 열기 📄")</f>
        <v>👉 [클릭] 체크리스트 열기 📄</v>
      </c>
      <c r="Q31" s="13"/>
      <c r="R31" s="14" t="s">
        <v>1494</v>
      </c>
      <c r="S31" s="17" t="s">
        <v>1495</v>
      </c>
      <c r="T31" s="14" t="s">
        <v>1496</v>
      </c>
    </row>
    <row r="32" spans="1:20" ht="76.8" customHeight="1" x14ac:dyDescent="0.4">
      <c r="A32" s="3" t="s">
        <v>67</v>
      </c>
      <c r="B32" s="3" t="s">
        <v>95</v>
      </c>
      <c r="C32" s="3" t="s">
        <v>1439</v>
      </c>
      <c r="D32" s="4" t="s">
        <v>1497</v>
      </c>
      <c r="E32" s="4" t="s">
        <v>1498</v>
      </c>
      <c r="F32" s="5" t="s">
        <v>1499</v>
      </c>
      <c r="G32" s="3" t="s">
        <v>1500</v>
      </c>
      <c r="H32" s="3" t="s">
        <v>1501</v>
      </c>
      <c r="I32" s="3" t="s">
        <v>1502</v>
      </c>
      <c r="J32" s="3" t="s">
        <v>1503</v>
      </c>
      <c r="K32" s="47" t="s">
        <v>1501</v>
      </c>
      <c r="L32" s="120" t="str">
        <f>HYPERLINK("C:\Users\sskjh\antigravity\01_전문업무_및_엔지니어링\11_현장_프로젝트\01_동탄트램\08.메뉴얼 및 평면도\최종\02_메뉴얼 공종프로섹스(집행단계)\매뉴얼BODY(집행단계-첨부폴더)v8\3.지장물이설\24_특고압 전력관로 이설 공사\표준서\특고압 전력관로 이설 공사_표준서.html","👉 [클릭] 표준서 열기 📄")</f>
        <v>👉 [클릭] 표준서 열기 📄</v>
      </c>
      <c r="M32" s="47" t="s">
        <v>1502</v>
      </c>
      <c r="N32" s="120" t="str">
        <f>HYPERLINK("C:\Users\sskjh\antigravity\01_전문업무_및_엔지니어링\11_현장_프로젝트\01_동탄트램\08.메뉴얼 및 평면도\최종\02_메뉴얼 공종프로섹스(집행단계)\매뉴얼BODY(집행단계-첨부폴더)v8\3.지장물이설\24_특고압 전력관로 이설 공사\수행지침\수행지침.html","👉 [클릭] 수행지침 열기 📄")</f>
        <v>👉 [클릭] 수행지침 열기 📄</v>
      </c>
      <c r="O32" s="48" t="s">
        <v>1503</v>
      </c>
      <c r="P32" s="120" t="str">
        <f>HYPERLINK("C:\Users\sskjh\antigravity\01_전문업무_및_엔지니어링\11_현장_프로젝트\01_동탄트램\08.메뉴얼 및 평면도\최종\02_메뉴얼 공종프로섹스(집행단계)\매뉴얼BODY(집행단계-첨부폴더)v8\3.지장물이설\24_특고압 전력관로 이설 공사\체크리스트\특고압 전력관로 이설 공사_체크리스트.html","👉 [클릭] 체크리스트 열기 📄")</f>
        <v>👉 [클릭] 체크리스트 열기 📄</v>
      </c>
      <c r="R32" t="s">
        <v>1504</v>
      </c>
      <c r="S32" t="s">
        <v>1505</v>
      </c>
      <c r="T32" s="3" t="s">
        <v>1506</v>
      </c>
    </row>
    <row r="33" spans="1:20" ht="82.8" customHeight="1" x14ac:dyDescent="0.4">
      <c r="A33" s="3" t="s">
        <v>67</v>
      </c>
      <c r="B33" s="3" t="s">
        <v>1507</v>
      </c>
      <c r="C33" s="3" t="s">
        <v>1508</v>
      </c>
      <c r="D33" s="4" t="s">
        <v>1509</v>
      </c>
      <c r="E33" s="4" t="s">
        <v>1510</v>
      </c>
      <c r="F33" s="5" t="s">
        <v>1511</v>
      </c>
      <c r="G33" s="3" t="s">
        <v>1512</v>
      </c>
      <c r="H33" s="3" t="s">
        <v>1513</v>
      </c>
      <c r="I33" s="3" t="s">
        <v>1514</v>
      </c>
      <c r="J33" s="3" t="s">
        <v>1515</v>
      </c>
      <c r="K33" s="47" t="s">
        <v>1513</v>
      </c>
      <c r="L33"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3" s="47" t="s">
        <v>1514</v>
      </c>
      <c r="N33"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3" s="48" t="s">
        <v>1515</v>
      </c>
      <c r="P33"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3" t="s">
        <v>1516</v>
      </c>
      <c r="S33" t="s">
        <v>1517</v>
      </c>
      <c r="T33" s="3" t="s">
        <v>1518</v>
      </c>
    </row>
    <row r="34" spans="1:20" ht="57.6" customHeight="1" x14ac:dyDescent="0.4">
      <c r="A34" s="3" t="s">
        <v>67</v>
      </c>
      <c r="B34" s="3" t="s">
        <v>1507</v>
      </c>
      <c r="C34" s="3" t="s">
        <v>1508</v>
      </c>
      <c r="D34" s="4" t="s">
        <v>1519</v>
      </c>
      <c r="E34" s="4" t="s">
        <v>1520</v>
      </c>
      <c r="F34" s="5" t="s">
        <v>1521</v>
      </c>
      <c r="G34" s="3" t="s">
        <v>1522</v>
      </c>
      <c r="H34" s="3" t="s">
        <v>1523</v>
      </c>
      <c r="I34" s="3" t="s">
        <v>1524</v>
      </c>
      <c r="J34" s="3" t="s">
        <v>1525</v>
      </c>
      <c r="K34" s="47" t="s">
        <v>1523</v>
      </c>
      <c r="L34"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34" s="47" t="s">
        <v>1524</v>
      </c>
      <c r="N34"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34" s="48" t="s">
        <v>1525</v>
      </c>
      <c r="P34" s="120"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R34" t="s">
        <v>1526</v>
      </c>
      <c r="S34" t="s">
        <v>1527</v>
      </c>
      <c r="T34" s="3" t="s">
        <v>1528</v>
      </c>
    </row>
    <row r="35" spans="1:20" ht="69.599999999999994" customHeight="1" x14ac:dyDescent="0.4">
      <c r="A35" s="3" t="s">
        <v>67</v>
      </c>
      <c r="B35" s="3" t="s">
        <v>1507</v>
      </c>
      <c r="C35" s="3" t="s">
        <v>1508</v>
      </c>
      <c r="D35" s="4" t="s">
        <v>1529</v>
      </c>
      <c r="E35" s="4" t="s">
        <v>1530</v>
      </c>
      <c r="F35" s="5" t="s">
        <v>1531</v>
      </c>
      <c r="G35" s="3" t="s">
        <v>838</v>
      </c>
      <c r="H35" s="3" t="s">
        <v>1532</v>
      </c>
      <c r="I35" s="3" t="s">
        <v>1533</v>
      </c>
      <c r="J35" s="3" t="s">
        <v>1534</v>
      </c>
      <c r="K35" s="47" t="s">
        <v>1532</v>
      </c>
      <c r="L35"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5" s="47" t="s">
        <v>1533</v>
      </c>
      <c r="N35"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5" s="48" t="s">
        <v>1534</v>
      </c>
      <c r="P35" s="120"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5" t="s">
        <v>1535</v>
      </c>
      <c r="S35" t="s">
        <v>1536</v>
      </c>
      <c r="T35" s="3" t="s">
        <v>1537</v>
      </c>
    </row>
    <row r="36" spans="1:20" ht="57.6" customHeight="1" x14ac:dyDescent="0.4">
      <c r="A36" s="3" t="s">
        <v>67</v>
      </c>
      <c r="B36" s="3" t="s">
        <v>1507</v>
      </c>
      <c r="C36" s="3" t="s">
        <v>1508</v>
      </c>
      <c r="D36" s="4" t="s">
        <v>1538</v>
      </c>
      <c r="E36" s="4" t="s">
        <v>1539</v>
      </c>
      <c r="F36" s="5" t="s">
        <v>1540</v>
      </c>
      <c r="G36" s="3" t="s">
        <v>1359</v>
      </c>
      <c r="H36" s="3" t="s">
        <v>1541</v>
      </c>
      <c r="I36" s="3" t="s">
        <v>1542</v>
      </c>
      <c r="J36" s="3" t="s">
        <v>1543</v>
      </c>
      <c r="K36" s="47" t="s">
        <v>1541</v>
      </c>
      <c r="L36" s="120" t="str">
        <f>HYPERLINK("C:\Users\sskjh\antigravity\01_전문업무_및_엔지니어링\11_현장_프로젝트\01_동탄트램\08.메뉴얼 및 평면도\최종\02_메뉴얼 공종프로섹스(집행단계)\매뉴얼BODY(집행단계-첨부폴더)v8\3.지장물이설\29_위수탁 처리 정산금액 지급\표준서\위수탁 처리 정산금액 지급_표준서.html","👉 [클릭] 표준서 열기 📄")</f>
        <v>👉 [클릭] 표준서 열기 📄</v>
      </c>
      <c r="M36" s="47" t="s">
        <v>1542</v>
      </c>
      <c r="N36" s="120" t="str">
        <f>HYPERLINK("C:\Users\sskjh\antigravity\01_전문업무_및_엔지니어링\11_현장_프로젝트\01_동탄트램\08.메뉴얼 및 평면도\최종\02_메뉴얼 공종프로섹스(집행단계)\매뉴얼BODY(집행단계-첨부폴더)v8\3.지장물이설\29_위수탁 처리 정산금액 지급\수행지침\수행지침.html","👉 [클릭] 수행지침 열기 📄")</f>
        <v>👉 [클릭] 수행지침 열기 📄</v>
      </c>
      <c r="O36" s="48" t="s">
        <v>1543</v>
      </c>
      <c r="P36" s="120" t="str">
        <f>HYPERLINK("C:\Users\sskjh\antigravity\01_전문업무_및_엔지니어링\11_현장_프로젝트\01_동탄트램\08.메뉴얼 및 평면도\최종\02_메뉴얼 공종프로섹스(집행단계)\매뉴얼BODY(집행단계-첨부폴더)v8\3.지장물이설\29_위수탁 처리 정산금액 지급\체크리스트\위수탁 처리 정산금액 지급_체크리스트.html","👉 [클릭] 체크리스트 열기 📄")</f>
        <v>👉 [클릭] 체크리스트 열기 📄</v>
      </c>
      <c r="R36" t="s">
        <v>1544</v>
      </c>
      <c r="S36" t="s">
        <v>1545</v>
      </c>
      <c r="T36" s="3" t="s">
        <v>1546</v>
      </c>
    </row>
    <row r="37" spans="1:20" ht="69.599999999999994" customHeight="1" x14ac:dyDescent="0.4">
      <c r="A37" s="3" t="s">
        <v>67</v>
      </c>
      <c r="B37" s="3" t="s">
        <v>1507</v>
      </c>
      <c r="C37" s="3" t="s">
        <v>1508</v>
      </c>
      <c r="D37" s="4" t="s">
        <v>1547</v>
      </c>
      <c r="E37" s="4" t="s">
        <v>1548</v>
      </c>
      <c r="F37" s="5" t="s">
        <v>1549</v>
      </c>
      <c r="G37" s="3" t="s">
        <v>1550</v>
      </c>
      <c r="H37" s="3" t="s">
        <v>1551</v>
      </c>
      <c r="I37" s="3" t="s">
        <v>1552</v>
      </c>
      <c r="J37" s="3" t="s">
        <v>1553</v>
      </c>
      <c r="K37" s="47" t="s">
        <v>1551</v>
      </c>
      <c r="L37" s="120"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37" s="47" t="s">
        <v>1552</v>
      </c>
      <c r="N37" s="120"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37" s="48" t="s">
        <v>1553</v>
      </c>
      <c r="P37" s="120"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R37" t="s">
        <v>1554</v>
      </c>
      <c r="S37" t="s">
        <v>1555</v>
      </c>
      <c r="T37" s="3" t="s">
        <v>1556</v>
      </c>
    </row>
    <row r="38" spans="1:20" ht="84" customHeight="1" x14ac:dyDescent="0.4">
      <c r="A38" s="3" t="s">
        <v>67</v>
      </c>
      <c r="B38" s="3" t="s">
        <v>1557</v>
      </c>
      <c r="C38" s="3" t="s">
        <v>1558</v>
      </c>
      <c r="D38" s="4" t="s">
        <v>1559</v>
      </c>
      <c r="E38" s="4" t="s">
        <v>1560</v>
      </c>
      <c r="F38" s="5" t="s">
        <v>1561</v>
      </c>
      <c r="G38" s="3" t="s">
        <v>1562</v>
      </c>
      <c r="H38" s="3" t="s">
        <v>1563</v>
      </c>
      <c r="I38" s="3" t="s">
        <v>1564</v>
      </c>
      <c r="J38" s="3" t="s">
        <v>1565</v>
      </c>
      <c r="K38" s="47" t="s">
        <v>1563</v>
      </c>
      <c r="L38" s="120"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사항\표준서\38_공사전 선행공종에서 인수받을 사항_표준서.html","👉 [클릭] 표준서 열기 📄")</f>
        <v>👉 [클릭] 표준서 열기 📄</v>
      </c>
      <c r="M38" s="47" t="s">
        <v>1564</v>
      </c>
      <c r="N38" s="120"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사항\수행지침\공사전 선행공종에서 인수받을 사항_수행지침.html","👉 [클릭] 수행지침 열기 📄")</f>
        <v>👉 [클릭] 수행지침 열기 📄</v>
      </c>
      <c r="O38" s="48" t="s">
        <v>1565</v>
      </c>
      <c r="P38" s="120"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사항\체크리스트\공사중 챙겨야할 후행공종의 요구사항_체크리스트.html","👉 [클릭] 체크리스트 열기 📄")</f>
        <v>👉 [클릭] 체크리스트 열기 📄</v>
      </c>
      <c r="R38" t="s">
        <v>1566</v>
      </c>
      <c r="S38" t="s">
        <v>1567</v>
      </c>
      <c r="T38" s="3" t="s">
        <v>1568</v>
      </c>
    </row>
    <row r="39" spans="1:20" ht="76.8" customHeight="1" x14ac:dyDescent="0.4">
      <c r="A39" s="3" t="s">
        <v>67</v>
      </c>
      <c r="B39" s="3" t="s">
        <v>1557</v>
      </c>
      <c r="C39" s="3" t="s">
        <v>1558</v>
      </c>
      <c r="D39" s="4" t="s">
        <v>1569</v>
      </c>
      <c r="E39" s="4" t="s">
        <v>1008</v>
      </c>
      <c r="F39" s="5" t="s">
        <v>1570</v>
      </c>
      <c r="G39" s="3" t="s">
        <v>1571</v>
      </c>
      <c r="H39" s="3" t="s">
        <v>1572</v>
      </c>
      <c r="I39" s="3" t="s">
        <v>1573</v>
      </c>
      <c r="J39" s="3" t="s">
        <v>1574</v>
      </c>
      <c r="K39" s="47" t="s">
        <v>1572</v>
      </c>
      <c r="L39" s="120"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요구사항\표준서\39_공사중 챙겨야할 후행공종의 요구사항_표준서.html","👉 [클릭] 표준서 열기 📄")</f>
        <v>👉 [클릭] 표준서 열기 📄</v>
      </c>
      <c r="M39" s="47" t="s">
        <v>1573</v>
      </c>
      <c r="N39" s="120"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요구사항\수행지침\39_공사중 챙겨야할 후행공종의 요구사항_수행지침.html","👉 [클릭] 수행지침 열기 📄")</f>
        <v>👉 [클릭] 수행지침 열기 📄</v>
      </c>
      <c r="O39" s="48" t="s">
        <v>1574</v>
      </c>
      <c r="P39" s="120"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요구사항\체크리스트\39_공사중 챙겨야할 후행공종의 요구사항_체크리스트.html","👉 [클릭] 체크리스트 열기 📄")</f>
        <v>👉 [클릭] 체크리스트 열기 📄</v>
      </c>
      <c r="R39" t="s">
        <v>1575</v>
      </c>
      <c r="S39" t="s">
        <v>1576</v>
      </c>
      <c r="T39" s="3" t="s">
        <v>1577</v>
      </c>
    </row>
    <row r="40" spans="1:20" x14ac:dyDescent="0.4">
      <c r="L40" s="120" t="s">
        <v>3111</v>
      </c>
      <c r="N40" s="120" t="s">
        <v>3112</v>
      </c>
      <c r="P40" s="120" t="s">
        <v>3113</v>
      </c>
    </row>
    <row r="41" spans="1:20" x14ac:dyDescent="0.4">
      <c r="L41" s="120" t="s">
        <v>3114</v>
      </c>
      <c r="N41" s="120" t="s">
        <v>3115</v>
      </c>
      <c r="P41" s="120" t="s">
        <v>3116</v>
      </c>
    </row>
    <row r="42" spans="1:20" x14ac:dyDescent="0.4">
      <c r="L42" s="120" t="s">
        <v>3117</v>
      </c>
      <c r="N42" s="120" t="s">
        <v>3118</v>
      </c>
      <c r="P42" s="120" t="s">
        <v>3119</v>
      </c>
    </row>
    <row r="43" spans="1:20" x14ac:dyDescent="0.4">
      <c r="G43" s="42"/>
      <c r="L43" s="120" t="s">
        <v>3120</v>
      </c>
      <c r="N43" s="120" t="s">
        <v>3121</v>
      </c>
      <c r="P43" s="120" t="s">
        <v>3122</v>
      </c>
    </row>
    <row r="44" spans="1:20" x14ac:dyDescent="0.4">
      <c r="G44" s="42"/>
      <c r="L44" s="120" t="s">
        <v>3123</v>
      </c>
      <c r="N44" s="120" t="s">
        <v>3124</v>
      </c>
      <c r="P44" s="120" t="s">
        <v>3125</v>
      </c>
    </row>
    <row r="45" spans="1:20" ht="22.8" customHeight="1" x14ac:dyDescent="0.4">
      <c r="G45" s="43"/>
      <c r="L45" s="120" t="s">
        <v>3126</v>
      </c>
      <c r="N45" s="120" t="s">
        <v>3127</v>
      </c>
      <c r="P45" s="120" t="s">
        <v>3128</v>
      </c>
    </row>
    <row r="46" spans="1:20" x14ac:dyDescent="0.4">
      <c r="G46" s="42"/>
      <c r="L46" s="120" t="s">
        <v>3129</v>
      </c>
      <c r="N46" s="120" t="s">
        <v>3130</v>
      </c>
      <c r="P46" s="120" t="s">
        <v>3131</v>
      </c>
    </row>
    <row r="47" spans="1:20" x14ac:dyDescent="0.4">
      <c r="G47" s="44"/>
      <c r="L47" s="120" t="s">
        <v>3132</v>
      </c>
      <c r="N47" s="120" t="s">
        <v>3133</v>
      </c>
      <c r="P47" s="120" t="s">
        <v>3134</v>
      </c>
    </row>
    <row r="48" spans="1:20" x14ac:dyDescent="0.4">
      <c r="G48" s="44"/>
      <c r="L48" s="120" t="s">
        <v>3135</v>
      </c>
      <c r="N48" s="120" t="s">
        <v>3136</v>
      </c>
      <c r="P48" s="120" t="s">
        <v>3137</v>
      </c>
    </row>
    <row r="49" spans="7:16" ht="22.8" customHeight="1" x14ac:dyDescent="0.4">
      <c r="G49" s="43"/>
      <c r="L49" s="120" t="s">
        <v>3138</v>
      </c>
      <c r="N49" s="120" t="s">
        <v>3139</v>
      </c>
      <c r="P49" s="120" t="s">
        <v>3140</v>
      </c>
    </row>
    <row r="50" spans="7:16" x14ac:dyDescent="0.4">
      <c r="G50" s="42"/>
      <c r="L50" s="120" t="s">
        <v>3141</v>
      </c>
      <c r="N50" s="120" t="s">
        <v>3142</v>
      </c>
      <c r="P50" s="120" t="s">
        <v>3143</v>
      </c>
    </row>
    <row r="51" spans="7:16" x14ac:dyDescent="0.4">
      <c r="G51" s="44"/>
      <c r="L51" s="120" t="s">
        <v>3144</v>
      </c>
      <c r="N51" s="120" t="s">
        <v>3145</v>
      </c>
      <c r="P51" s="120" t="s">
        <v>3146</v>
      </c>
    </row>
    <row r="52" spans="7:16" x14ac:dyDescent="0.4">
      <c r="G52" s="44"/>
      <c r="L52" s="120" t="s">
        <v>3147</v>
      </c>
      <c r="N52" s="120" t="s">
        <v>3148</v>
      </c>
      <c r="P52" s="120" t="s">
        <v>3149</v>
      </c>
    </row>
    <row r="53" spans="7:16" ht="22.8" customHeight="1" x14ac:dyDescent="0.4">
      <c r="G53" s="43"/>
      <c r="L53" s="120" t="s">
        <v>3150</v>
      </c>
      <c r="N53" s="120" t="s">
        <v>3151</v>
      </c>
      <c r="P53" s="120" t="s">
        <v>3152</v>
      </c>
    </row>
    <row r="54" spans="7:16" x14ac:dyDescent="0.4">
      <c r="G54" s="42"/>
      <c r="L54" s="120" t="s">
        <v>3153</v>
      </c>
      <c r="N54" s="120" t="s">
        <v>3154</v>
      </c>
      <c r="P54" s="120" t="s">
        <v>3155</v>
      </c>
    </row>
    <row r="55" spans="7:16" x14ac:dyDescent="0.4">
      <c r="G55" s="44"/>
      <c r="L55" s="120" t="s">
        <v>3156</v>
      </c>
      <c r="N55" s="120" t="s">
        <v>3157</v>
      </c>
      <c r="P55" s="120" t="s">
        <v>3158</v>
      </c>
    </row>
    <row r="56" spans="7:16" x14ac:dyDescent="0.4">
      <c r="G56" s="44"/>
      <c r="L56" s="120" t="s">
        <v>3159</v>
      </c>
      <c r="N56" s="120" t="s">
        <v>3160</v>
      </c>
      <c r="P56" s="120" t="s">
        <v>3161</v>
      </c>
    </row>
    <row r="57" spans="7:16" ht="22.8" customHeight="1" x14ac:dyDescent="0.4">
      <c r="G57" s="43"/>
      <c r="L57" s="120" t="s">
        <v>3162</v>
      </c>
      <c r="N57" s="120" t="s">
        <v>3163</v>
      </c>
      <c r="P57" s="120" t="s">
        <v>3164</v>
      </c>
    </row>
    <row r="58" spans="7:16" x14ac:dyDescent="0.4">
      <c r="G58" s="42"/>
      <c r="L58" s="120" t="s">
        <v>3165</v>
      </c>
      <c r="N58" s="120" t="s">
        <v>3166</v>
      </c>
      <c r="P58" s="120" t="s">
        <v>3167</v>
      </c>
    </row>
    <row r="59" spans="7:16" x14ac:dyDescent="0.4">
      <c r="G59" s="44"/>
      <c r="L59" s="120" t="s">
        <v>3168</v>
      </c>
      <c r="N59" s="120" t="s">
        <v>3169</v>
      </c>
      <c r="P59" s="120" t="s">
        <v>3170</v>
      </c>
    </row>
    <row r="60" spans="7:16" x14ac:dyDescent="0.4">
      <c r="G60" s="44"/>
      <c r="L60" s="120" t="s">
        <v>3171</v>
      </c>
      <c r="N60" s="120" t="s">
        <v>3172</v>
      </c>
      <c r="P60" s="120" t="s">
        <v>3173</v>
      </c>
    </row>
    <row r="61" spans="7:16" x14ac:dyDescent="0.4">
      <c r="G61" s="44"/>
      <c r="L61" s="120" t="s">
        <v>3174</v>
      </c>
      <c r="N61" s="120" t="s">
        <v>3175</v>
      </c>
      <c r="P61" s="120" t="s">
        <v>3176</v>
      </c>
    </row>
    <row r="62" spans="7:16" x14ac:dyDescent="0.4">
      <c r="G62" s="45"/>
      <c r="L62" s="120" t="s">
        <v>3177</v>
      </c>
      <c r="N62" s="120" t="s">
        <v>3178</v>
      </c>
      <c r="P62" s="120" t="s">
        <v>3179</v>
      </c>
    </row>
  </sheetData>
  <phoneticPr fontId="3" type="noConversion"/>
  <hyperlinks>
    <hyperlink ref="L2" r:id="rId1" display="매뉴얼BODY(집행단계-첨부폴더)v8\3.지장물이설\1_Site Survey Risk 검토\표준서\1_Site Survey Risk 검토_표준서.html" xr:uid="{872822FC-E415-40C2-88E4-95E826FD8133}"/>
    <hyperlink ref="N2" r:id="rId2" display="매뉴얼BODY(집행단계-첨부폴더)v8\3.지장물이설\1_Site Survey Risk 검토\수행지침\1_Site Survey Risk 검토_수행지침.html" xr:uid="{28E9AD27-9709-441D-A13F-BC9F0B7D84ED}"/>
    <hyperlink ref="P2" r:id="rId3" display="매뉴얼BODY(집행단계-첨부폴더)v8\3.지장물이설\1_Site Survey Risk 검토\체크리스트\1_Site Survey Risk 검토_체크리스트.html" xr:uid="{37DCF8F3-2CED-4645-82F0-6EBBF405EE1E}"/>
    <hyperlink ref="L3" r:id="rId4" display="매뉴얼BODY(집행단계-첨부폴더)v8\3.지장물이설\2_발주전략 KOM (도급지분)\표준서\2_발주전략 KOM (도급지분)_표준서.html" xr:uid="{638895EB-513D-42F7-A1BE-EEC299E561A6}"/>
    <hyperlink ref="N3" r:id="rId5" display="매뉴얼BODY(집행단계-첨부폴더)v8\3.지장물이설\2_발주전략 KOM (도급지분)\수행지침\2_발주전략 KOM (도급지분)_수행지침.html" xr:uid="{594B6A32-624E-4E22-A5E7-395BE87C3EFE}"/>
    <hyperlink ref="P3" r:id="rId6" display="매뉴얼BODY(집행단계-첨부폴더)v8\3.지장물이설\2_발주전략 KOM (도급지분)\체크리스트\2_발주전략 KOM (도급지분)_체크리스트.html" xr:uid="{A9B43460-59D0-4BCC-B07B-E2120279B16D}"/>
    <hyperlink ref="L4" r:id="rId7" display="매뉴얼BODY(집행단계-첨부폴더)v8\3.지장물이설\2_발주전적 KOM (도급지분)\표준서\발주전적 KOM (도급지분)_표준서.html" xr:uid="{A37084B4-37C4-4CB2-A428-0572EF7536D4}"/>
    <hyperlink ref="N4" r:id="rId8" display="매뉴얼BODY(집행단계-첨부폴더)v8\3.지장물이설\2_발주전적 KOM (도급지분)\수행지침\발주전적 KOM (도급지분)_수행지침.html" xr:uid="{B1EA3223-3A99-4CE9-B600-6D31FB95FB99}"/>
    <hyperlink ref="P4" r:id="rId9" display="매뉴얼BODY(집행단계-첨부폴더)v8\3.지장물이설\2_발주전적 KOM (도급지분)\체크리스트\발주전적 KOM (도급지분)_체크리스트.html" xr:uid="{AFBB7645-CCC0-4C92-AF9B-4E1E795336A7}"/>
    <hyperlink ref="L5" r:id="rId10" display="매뉴얼BODY(집행단계-첨부폴더)v8\3.지장물이설\3_지장물 이설 요청 (위수탁고)\표준서\3_지장물 이설 요청 (위수탁고)_표준서.html" xr:uid="{B5684CB9-294A-47F7-94A0-5ACF2C3C6EDA}"/>
    <hyperlink ref="N5" r:id="rId11" display="매뉴얼BODY(집행단계-첨부폴더)v8\3.지장물이설\3_지장물 이설 요청 (위수탁고)\수행지침\3_지장물 이설 요청 (위수탁고)_수행지침.html" xr:uid="{DDC8B491-9DDB-44B9-B9C1-7EA02936E7DB}"/>
    <hyperlink ref="P5" r:id="rId12" display="매뉴얼BODY(집행단계-첨부폴더)v8\3.지장물이설\3_지장물 이설 요청 (위수탁고)\체크리스트\3_지장물 이설 요청 (위수탁고)_체크리스트.html" xr:uid="{293137B3-98BF-4214-B797-3F051DEB66DF}"/>
    <hyperlink ref="L6" r:id="rId13" display="매뉴얼BODY(집행단계-첨부폴더)v8\3.지장물이설\4_도급자분 이설업체 선정(상_하수)\표준서\4_도급자분 이설업체 선정(상_하수)_표준서.html" xr:uid="{D888EA40-B4FA-4F82-8451-68867B7DE16C}"/>
    <hyperlink ref="N6" r:id="rId14" display="매뉴얼BODY(집행단계-첨부폴더)v8\3.지장물이설\4_도급자분 이설업체 선정(상_하수)\수행지침\4_도급자분 이설업체 선정(상_하수)_수행지침.html" xr:uid="{5122C811-37C2-4E9E-A22E-803EAD0217E9}"/>
    <hyperlink ref="P6" r:id="rId15" display="매뉴얼BODY(집행단계-첨부폴더)v8\3.지장물이설\4_도급자분 이설업체 선정(상_하수)\체크리스트\4_도급자분 이설업체 선정(상_하수)_체크리스트.html" xr:uid="{2E51D027-5378-45F7-B85D-00136DFD6E4C}"/>
    <hyperlink ref="L7" r:id="rId16" display="매뉴얼BODY(집행단계-첨부폴더)v8\3.지장물이설\4_최고의 팀 만들기 지원\표준서\최고의 팀 만들기 지원_표준서.html" xr:uid="{E0190B0F-E9C1-45E3-B599-113D537A969F}"/>
    <hyperlink ref="N7" r:id="rId17" display="매뉴얼BODY(집행단계-첨부폴더)v8\3.지장물이설\4_최고의 팀 만들기 지원\수행지침\수행지침.html" xr:uid="{7E7DDC68-231F-4CA5-838B-F3B982AC7E24}"/>
    <hyperlink ref="P7" r:id="rId18" display="매뉴얼BODY(집행단계-첨부폴더)v8\3.지장물이설\4_최고의 팀 만들기 지원\체크리스트\최고의 팀 만들기 지원_체크리스트.html" xr:uid="{AAEF5A2B-2102-43AB-8D69-16BEAA7F1A78}"/>
    <hyperlink ref="L8" r:id="rId19" display="매뉴얼BODY(집행단계-첨부폴더)v8\3.지장물이설\5_지장물 조사 (위탁기관 합동)\표준서\5_지장물 조사 (위탁기관 합동)_표준서.html" xr:uid="{C1455D6A-0AD6-449C-A632-8D8AE3DE3740}"/>
    <hyperlink ref="N8" r:id="rId20" display="매뉴얼BODY(집행단계-첨부폴더)v8\3.지장물이설\5_지장물 조사 (위탁기관 합동)\수행지침\5_지장물 조사 (위탁기관 합동)_수행지침.html" xr:uid="{04A0FCB9-1FF4-4B78-AE18-51B28D955CD5}"/>
    <hyperlink ref="P8" r:id="rId21" display="매뉴얼BODY(집행단계-첨부폴더)v8\3.지장물이설\5_지장물 조사 (위탁기관 합동)\체크리스트\5_지장물 조사 (위탁기관 합동)_체크리스트.html" xr:uid="{554D95AA-2EAA-48C7-A63B-1B08EE856B87}"/>
    <hyperlink ref="L9" r:id="rId22" display="매뉴얼BODY(집행단계-첨부폴더)v8\3.지장물이설\5_착수전 Big Room 회의\표준서\착수전 Big Room 회의_표준서.html" xr:uid="{2FC6198D-783E-4CEB-B79E-0C4045081CCE}"/>
    <hyperlink ref="N9" r:id="rId23" display="매뉴얼BODY(집행단계-첨부폴더)v8\3.지장물이설\5_착수전 Big Room 회의\수행지침\수행지침.html" xr:uid="{733AE5B9-5D66-4AE0-9575-BD361795DDE4}"/>
    <hyperlink ref="P9" r:id="rId24" display="매뉴얼BODY(집행단계-첨부폴더)v8\3.지장물이설\5_착수전 Big Room 회의\체크리스트\착수전 Big Room 회의_체크리스트.html" xr:uid="{A522825B-CE11-493E-8AED-3864E2A8EF08}"/>
    <hyperlink ref="L10" r:id="rId25" display="매뉴얼BODY(집행단계-첨부폴더)v8\3.지장물이설\6_관리기관(맑은물사업소) 협의\표준서\관리기관(맑은물사업소) 협의_표준서.html" xr:uid="{7CBF397B-C2D8-4551-B8E9-A0B9E1E0BC8C}"/>
    <hyperlink ref="N10" r:id="rId26" display="매뉴얼BODY(집행단계-첨부폴더)v8\3.지장물이설\6_관리기관(맑은물사업소) 협의\수행지침\관리기관(맑은물사업소) 협의_수행지침.html" xr:uid="{83B987A4-AF1A-49D9-932B-C64A24B99B02}"/>
    <hyperlink ref="P10" r:id="rId27" display="매뉴얼BODY(집행단계-첨부폴더)v8\3.지장물이설\6_관리기관(맑은물사업소) 협의\체크리스트\관리기관(맑은물사업소) 협의_체크리스트.html" xr:uid="{F8FAB607-4533-4065-BAD8-AF99EF155440}"/>
    <hyperlink ref="L11" r:id="rId28" display="매뉴얼BODY(집행단계-첨부폴더)v8\3.지장물이설\6_지장물 이설 계획 수립\표준서\지장물 이설 계획 수립_표준서.html" xr:uid="{AF29056F-7489-458F-B6C2-F441AC83962E}"/>
    <hyperlink ref="N11" r:id="rId29" display="매뉴얼BODY(집행단계-첨부폴더)v8\3.지장물이설\6_지장물 이설 계획 수립\수행지침\수행지침.html" xr:uid="{8FF0E1BF-AF86-4385-9E78-B96DD282724C}"/>
    <hyperlink ref="P11" r:id="rId30" display="매뉴얼BODY(집행단계-첨부폴더)v8\3.지장물이설\6_지장물 이설 계획 수립\체크리스트\지장물 이설 계획 수립_체크리스트.html" xr:uid="{6A683B67-FE4E-4206-88B7-90FA596025B5}"/>
    <hyperlink ref="L12" r:id="rId31" display="매뉴얼BODY(집행단계-첨부폴더)v8\3.지장물이설\7_위수탁 지장물 이설 설계\표준서\위수탁 지장물 이설 설계_표준서.html" xr:uid="{58D96CE7-C5FC-4E81-9C5D-57E1BAF2D528}"/>
    <hyperlink ref="N12" r:id="rId32" display="매뉴얼BODY(집행단계-첨부폴더)v8\3.지장물이설\7_위수탁 지장물 이설 설계\수행지침\수행지침.html" xr:uid="{38BD49DE-3B3C-4667-AB9F-FBBDF75569F8}"/>
    <hyperlink ref="P12" r:id="rId33" display="매뉴얼BODY(집행단계-첨부폴더)v8\3.지장물이설\7_위수탁 지장물 이설 설계\체크리스트\위수탁 지장물 이설 설계_체크리스트.html" xr:uid="{A2C64145-F97F-4661-90DC-AD66A7EC36BF}"/>
    <hyperlink ref="L13" r:id="rId34" display="매뉴얼BODY(집행단계-첨부폴더)v8\3.지장물이설\7_최고의 팀 만들기 지원\표준서\7_최고의 팀 만들기 지원_표준서.html" xr:uid="{F769EAFC-9369-436B-B266-99FAB3BA983D}"/>
    <hyperlink ref="N13" r:id="rId35" display="매뉴얼BODY(집행단계-첨부폴더)v8\3.지장물이설\7_최고의 팀 만들기 지원\수행지침\7_최고의 팀 만들기 지원_수행지침.html" xr:uid="{A1A91CD8-08FC-4C3A-AEC8-8AA7BBA6869E}"/>
    <hyperlink ref="P13" r:id="rId36" display="매뉴얼BODY(집행단계-첨부폴더)v8\3.지장물이설\7_최고의 팀 만들기 지원\체크리스트\7_최고의 팀 만들기 지원_체크리스트.html" xr:uid="{D6B55907-A792-474C-88BD-DA7023AC7BCB}"/>
    <hyperlink ref="L14" r:id="rId37" display="매뉴얼BODY(집행단계-첨부폴더)v8\3.지장물이설\8_상하수도 이설계획 실정보고\표준서\상하수도 이설계획 실정보고_표준서.html" xr:uid="{397FE68F-7FB4-41CF-8FE9-4623E9F0E945}"/>
    <hyperlink ref="N14" r:id="rId38" display="매뉴얼BODY(집행단계-첨부폴더)v8\3.지장물이설\8_상하수도 이설계획 실정보고\수행지침\상하수도 이설계획 실정보고_수행지침.html" xr:uid="{9C84FEFC-4432-463D-9221-025A931BE101}"/>
    <hyperlink ref="P14" r:id="rId39" display="매뉴얼BODY(집행단계-첨부폴더)v8\3.지장물이설\8_상하수도 이설계획 실정보고\체크리스트\상하수도 이설계획 실정보고_체크리스트.html" xr:uid="{7DD1FA08-02F3-4F83-BC87-0E05366886F1}"/>
    <hyperlink ref="L15" r:id="rId40" display="매뉴얼BODY(집행단계-첨부폴더)v8\3.지장물이설\8_착수전 Big Room 회의\표준서\8_착수전 Big Room 회의_표준서.html" xr:uid="{8BE7B55F-DF50-4036-A616-018D507C6C42}"/>
    <hyperlink ref="N15" r:id="rId41" display="매뉴얼BODY(집행단계-첨부폴더)v8\3.지장물이설\8_착수전 Big Room 회의\수행지침\8_착수전 Big Room 회의_수행지침.html" xr:uid="{1954371C-E147-4084-B4E4-A0ABCABBE601}"/>
    <hyperlink ref="P15" r:id="rId42" display="매뉴얼BODY(집행단계-첨부폴더)v8\3.지장물이설\8_착수전 Big Room 회의\체크리스트\8_착수전 Big Room 회의_체크리스트.html" xr:uid="{A49CBF7E-301A-4A59-A9C9-F653B50B6ACA}"/>
    <hyperlink ref="L16" r:id="rId43" display="매뉴얼BODY(집행단계-첨부폴더)v8\3.지장물이설\9_위수탁 계약 체결\표준서\위수탁 계약 체결_표준서.html" xr:uid="{AE3BD1DB-A52A-4A08-9054-FBE8EBD63E2A}"/>
    <hyperlink ref="N16" r:id="rId44" display="매뉴얼BODY(집행단계-첨부폴더)v8\3.지장물이설\9_위수탁 계약 체결\수행지침\수행지침.html" xr:uid="{1FB5D15E-C627-483A-B7BF-488BE4674FC2}"/>
    <hyperlink ref="P16" r:id="rId45" display="매뉴얼BODY(집행단계-첨부폴더)v8\3.지장물이설\9_위수탁 계약 체결\체크리스트\위수탁 계약 체결_체크리스트.html" xr:uid="{3A391BB5-EA6E-41E2-99D8-24CA5A8CB062}"/>
    <hyperlink ref="L17" r:id="rId46" display="매뉴얼BODY(집행단계-첨부폴더)v8\3.지장물이설\9_인허가 절차 진행\표준서\9_인허가 절차 진행_표준서.html" xr:uid="{E1E754F1-9BC3-4F1C-A82C-389550ABF4F2}"/>
    <hyperlink ref="N17" r:id="rId47" display="매뉴얼BODY(집행단계-첨부폴더)v8\3.지장물이설\9_인허가 절차 진행\수행지침\9_인허가 절차 진행_수행지침.html" xr:uid="{9830FCBB-E7D7-4B93-835A-8F9A0D04D95B}"/>
    <hyperlink ref="P17" r:id="rId48" display="매뉴얼BODY(집행단계-첨부폴더)v8\3.지장물이설\9_인허가 절차 진행\체크리스트\9_인허가 절차 진행_체크리스트.html" xr:uid="{E816F3BA-3F6A-482C-85E4-C47EFD025010}"/>
    <hyperlink ref="L18" r:id="rId49" display="매뉴얼BODY(집행단계-첨부폴더)v8\3.지장물이설\10_교통처리대책 협의 및 승인\표준서\10_교통처리대책 협의 및 승인_표준서.html" xr:uid="{63730E82-52F7-4D35-94A2-AEA36C9F67FA}"/>
    <hyperlink ref="N18" r:id="rId50" display="매뉴얼BODY(집행단계-첨부폴더)v8\3.지장물이설\10_교통처리대책 협의 및 승인\수행지침\10_교통처리대책 협의 및 승인_수행지침.html" xr:uid="{E15BC10D-5540-4A93-B270-F1AECAAD6251}"/>
    <hyperlink ref="P18" r:id="rId51" display="매뉴얼BODY(집행단계-첨부폴더)v8\3.지장물이설\10_교통처리대책 협의 및 승인\체크리스트\10_교통처리대책 협의 및 승인_체크리스트.html" xr:uid="{9AA10C7D-0A9F-4644-870C-73900CD11394}"/>
    <hyperlink ref="L19" r:id="rId52" display="매뉴얼BODY(집행단계-첨부폴더)v8\3.지장물이설\10_도로점용_굴착행위 인허가\표준서\도로점용_굴착행위 인허가_표준서.html" xr:uid="{EA6B5666-5F80-43B6-91FA-EC44679CFA5E}"/>
    <hyperlink ref="N19" r:id="rId53" display="매뉴얼BODY(집행단계-첨부폴더)v8\3.지장물이설\10_도로점용_굴착행위 인허가\수행지침\도로점용_굴착행위 인허가_수행지침.html" xr:uid="{D6B25E06-6D88-4C99-BE3C-06FD80A98922}"/>
    <hyperlink ref="P19" r:id="rId54" display="매뉴얼BODY(집행단계-첨부폴더)v8\3.지장물이설\10_도로점용_굴착행위 인허가\체크리스트\도로점용_굴착행위 인허가_체크리스트.html" xr:uid="{67ED0676-49E3-489A-A8BB-BAFB7A482B23}"/>
    <hyperlink ref="L20" r:id="rId55" display="매뉴얼BODY(집행단계-첨부폴더)v8\3.지장물이설\11_교통통제 및 교통안전시설 설치\표준서\교통통제 및 교통안전시설 설치_표준서.html" xr:uid="{689A528C-1FAF-4FCE-BAD6-560B7DE7C3FD}"/>
    <hyperlink ref="N20" r:id="rId56" display="매뉴얼BODY(집행단계-첨부폴더)v8\3.지장물이설\11_교통통제 및 교통안전시설 설치\수행지침\교통통제 및 교통안전시설 설치_수행지침.html" xr:uid="{E393057E-185B-415E-B7D0-C8CE8E55702E}"/>
    <hyperlink ref="P20" r:id="rId57" display="매뉴얼BODY(집행단계-첨부폴더)v8\3.지장물이설\11_교통통제 및 교통안전시설 설치\체크리스트\교통통제 및 교통안전시설 설치_체크리스트.html" xr:uid="{D6F7EBF1-98E0-4032-A0A8-11475B3FD075}"/>
    <hyperlink ref="L21" r:id="rId58" display="매뉴얼BODY(집행단계-첨부폴더)v8\3.지장물이설\11_민원 저감 대책 수립\표준서\11_민원 저감 대책 수립_표준서.html" xr:uid="{750BEA05-6E15-4475-8907-CDA3D5531009}"/>
    <hyperlink ref="N21" r:id="rId59" display="매뉴얼BODY(집행단계-첨부폴더)v8\3.지장물이설\11_민원 저감 대책 수립\수행지침\11_민원 저감 대책 수립_수행지침.html" xr:uid="{728A152C-BDC0-40B8-AA44-B14796810C25}"/>
    <hyperlink ref="P21" r:id="rId60" display="매뉴얼BODY(집행단계-첨부폴더)v8\3.지장물이설\11_민원 저감 대책 수립\체크리스트\11_민원 저감 대책 수립_체크리스트.html" xr:uid="{97CAC672-7C8B-4EB9-A84A-730EE9EB5752}"/>
    <hyperlink ref="L22" r:id="rId61" display="매뉴얼BODY(집행단계-첨부폴더)v8\3.지장물이설\12_용지보상 Risk 파악\표준서\12_용지보상 Risk 파악_표준서.html" xr:uid="{06FD6AC7-459A-4EE2-928E-EB9D71A28065}"/>
    <hyperlink ref="N22" r:id="rId62" display="매뉴얼BODY(집행단계-첨부폴더)v8\3.지장물이설\12_용지보상 Risk 파악\수행지침\12_용지보상 Risk 파악_수행지침.html" xr:uid="{7B4501FB-1127-41B0-AE69-8D1187DB9021}"/>
    <hyperlink ref="P22" r:id="rId63" display="매뉴얼BODY(집행단계-첨부폴더)v8\3.지장물이설\12_용지보상 Risk 파악\체크리스트\12_용지보상 Risk 파악_체크리스트.html" xr:uid="{896B432E-11E0-42D1-B2DF-B40315E6BA6B}"/>
    <hyperlink ref="L23" r:id="rId64" display="매뉴얼BODY(집행단계-첨부폴더)v8\3.지장물이설\12_줄따기(GPR)를 통한 기존 지장물 매설 확인\표준서\줄따기(GPR)를 통한 기존 지장물 매설 확인_표준서.html" xr:uid="{BBC1EF10-B20B-4578-85B1-1856687CABAC}"/>
    <hyperlink ref="N23" r:id="rId65" display="매뉴얼BODY(집행단계-첨부폴더)v8\3.지장물이설\12_줄따기(GPR)를 통한 기존 지장물 매설 확인\수행지침\수행지침.html" xr:uid="{FC6057E6-5A96-4BE7-82E7-A90E66182DBC}"/>
    <hyperlink ref="P23" r:id="rId66" display="매뉴얼BODY(집행단계-첨부폴더)v8\3.지장물이설\12_줄따기(GPR)를 통한 기존 지장물 매설 확인\체크리스트\줄따기(GPR)를 통한 기존 지장물 매설 확인_체크리스트.html" xr:uid="{09DA892D-0A74-40AC-B75F-B71349D10052}"/>
    <hyperlink ref="L24" r:id="rId67" display="매뉴얼BODY(집행단계-첨부폴더)v8\3.지장물이설\13_관리기관(맑은물사업소) 협의\표준서\13_관리기관(맑은물사업소) 협의_표준서.html" xr:uid="{8603FC02-DE38-493E-B953-7ED1487D72BE}"/>
    <hyperlink ref="N24" r:id="rId68" display="매뉴얼BODY(집행단계-첨부폴더)v8\3.지장물이설\13_관리기관(맑은물사업소) 협의\수행지침\관리기관(맑은물사업소) 협의_수행지침.html" xr:uid="{209F76B4-B014-4989-9526-719C468DD6BC}"/>
    <hyperlink ref="P24" r:id="rId69" display="매뉴얼BODY(집행단계-첨부폴더)v8\3.지장물이설\13_관리기관(맑은물사업소) 협의\체크리스트\관리기관(맑은물사업소) 협의_체크리스트.html" xr:uid="{E38543E2-9344-4F20-B879-0FBE9B0EBDAC}"/>
    <hyperlink ref="L25" r:id="rId70" display="매뉴얼BODY(집행단계-첨부폴더)v8\3.지장물이설\13_이설 위치 토공 굴착\표준서\이설 위치 토공 굴착_표준서.html" xr:uid="{A6A92087-8C9F-47D1-8388-6B91B3FBBB8E}"/>
    <hyperlink ref="N25" r:id="rId71" display="매뉴얼BODY(집행단계-첨부폴더)v8\3.지장물이설\13_이설 위치 토공 굴착\수행지침\수행지침.html" xr:uid="{CF1A05CC-86ED-418C-A209-EA1D60019D62}"/>
    <hyperlink ref="P25" r:id="rId72" display="매뉴얼BODY(집행단계-첨부폴더)v8\3.지장물이설\13_이설 위치 토공 굴착\체크리스트\이설 위치 토공 굴착_체크리스트.html" xr:uid="{6AB8D52A-E0E4-4687-A454-9CAE7E1A0E0B}"/>
    <hyperlink ref="L26" r:id="rId73" display="매뉴얼BODY(집행단계-첨부폴더)v8\3.지장물이설\14_신규관로 매설 및 설치\표준서\신규관로 매설 및 설치_표준서.html" xr:uid="{8E7B59CF-D99A-4DF6-9C33-D44E9B5B8135}"/>
    <hyperlink ref="N26" r:id="rId74" display="매뉴얼BODY(집행단계-첨부폴더)v8\3.지장물이설\14_신규관로 매설 및 설치\수행지침\수행지침.html" xr:uid="{C9CA3F35-6EF3-4AAB-A0D1-AAD50E1ED89D}"/>
    <hyperlink ref="P26" r:id="rId75" display="매뉴얼BODY(집행단계-첨부폴더)v8\3.지장물이설\14_신규관로 매설 및 설치\체크리스트\신규관로 매설 및 설치_체크리스트.html" xr:uid="{434E31B5-A8A9-4056-89CF-6656F24A260E}"/>
    <hyperlink ref="L27" r:id="rId76" display="매뉴얼BODY(집행단계-첨부폴더)v8\3.지장물이설\14_위수탁 지장물 이설 설계\표준서\14_위수탁 지장물 이설 설계_표준서.html" xr:uid="{C7AC84A2-8A14-40F7-90E9-2C8CA673F01E}"/>
    <hyperlink ref="N27" r:id="rId77" display="매뉴얼BODY(집행단계-첨부폴더)v8\3.지장물이설\14_위수탁 지장물 이설 설계\수행지침\수행지침.html" xr:uid="{D3DC53B1-8F17-4BE8-B715-E5B49017B2F7}"/>
    <hyperlink ref="P27" r:id="rId78" display="매뉴얼BODY(집행단계-첨부폴더)v8\3.지장물이설\14_위수탁 지장물 이설 설계\체크리스트\위수탁 지장물 이설 설계_체크리스트.html" xr:uid="{C3AF58BE-C87C-4A2D-92A4-F9FADE0CB4ED}"/>
    <hyperlink ref="L28" r:id="rId79" display="매뉴얼BODY(집행단계-첨부폴더)v8\3.지장물이설\15_무단수 연결을 위한 시설 설치\표준서\무단수 연결을 위한 시설 설치_표준서.html" xr:uid="{9D16F835-51FE-433A-94C9-C91FB722B09A}"/>
    <hyperlink ref="N28" r:id="rId80" display="매뉴얼BODY(집행단계-첨부폴더)v8\3.지장물이설\15_무단수 연결을 위한 시설 설치\수행지침\무단수 연결을 위한 시설 설치_수행지침.html" xr:uid="{5B3AEC1A-3A8D-4258-BEBE-0BB8146AA50B}"/>
    <hyperlink ref="P28" r:id="rId81" display="매뉴얼BODY(집행단계-첨부폴더)v8\3.지장물이설\15_무단수 연결을 위한 시설 설치\체크리스트\무단수 연결을 위한 시설 설치_체크리스트.html" xr:uid="{378B9109-51D3-415D-8B08-4348DC06E305}"/>
    <hyperlink ref="L29" r:id="rId82" display="매뉴얼BODY(집행단계-첨부폴더)v8\3.지장물이설\15_상하수도 이설계획 실정보고\표준서\15_상하수도 이설계획 실정보고_표준서.html" xr:uid="{FA6C1E56-AB91-44FA-BE46-B33C67B3A547}"/>
    <hyperlink ref="N29" r:id="rId83" display="매뉴얼BODY(집행단계-첨부폴더)v8\3.지장물이설\15_상하수도 이설계획 실정보고\수행지침\상하수도 이설계획 실정보고_수행지침.html" xr:uid="{17E31B57-0534-434C-B3AB-A7A0BD58F817}"/>
    <hyperlink ref="P29" r:id="rId84" display="매뉴얼BODY(집행단계-첨부폴더)v8\3.지장물이설\15_상하수도 이설계획 실정보고\체크리스트\상하수도 이설계획 실정보고_체크리스트.html" xr:uid="{979DA9F5-F204-40E8-A4CF-6CDFE0C8818C}"/>
    <hyperlink ref="L30" r:id="rId85" display="매뉴얼BODY(집행단계-첨부폴더)v8\3.지장물이설\16_신규관로 및 연결관로 접속\표준서\신규관로 및 연결관로 접속_표준서.html" xr:uid="{17AE07E6-1D51-4C64-84A4-550A8DF99EAF}"/>
    <hyperlink ref="N30" r:id="rId86" display="매뉴얼BODY(집행단계-첨부폴더)v8\3.지장물이설\16_신규관로 및 연결관로 접속\수행지침\수행지침.html" xr:uid="{CF2B3D02-E1BB-4C3A-A3BC-4DA1FD490302}"/>
    <hyperlink ref="P30" r:id="rId87" display="매뉴얼BODY(집행단계-첨부폴더)v8\3.지장물이설\16_신규관로 및 연결관로 접속\체크리스트\신규관로 및 연결관로 접속_체크리스트.html" xr:uid="{26F52170-6849-4097-8CB1-50DC1C2C948B}"/>
    <hyperlink ref="L31" r:id="rId88" display="매뉴얼BODY(집행단계-첨부폴더)v8\3.지장물이설\16_위수탁 계약 체결\표준서\16_위수탁 계약 체결_표준서.html" xr:uid="{A71B7EF9-3E86-4064-9F7D-7C4C3AFEF994}"/>
    <hyperlink ref="N31" r:id="rId89" display="매뉴얼BODY(집행단계-첨부폴더)v8\3.지장물이설\16_위수탁 계약 체결\수행지침\수행지침.html" xr:uid="{F84184B1-247D-4E3B-A95E-13687EF9FFF7}"/>
    <hyperlink ref="P31" r:id="rId90" display="매뉴얼BODY(집행단계-첨부폴더)v8\3.지장물이설\16_위수탁 계약 체결\체크리스트\위수탁 계약 체결_체크리스트.html" xr:uid="{48A34945-EA92-48BF-989A-1643B4F219A5}"/>
    <hyperlink ref="L32" r:id="rId91" display="매뉴얼BODY(집행단계-첨부폴더)v8\3.지장물이설\17_기존관로 철거 및 원상복구\표준서\기존관로 철거 및 원상복구_표준서.html" xr:uid="{86FCB372-D8AB-40D4-AF86-F2ACE2936F3B}"/>
    <hyperlink ref="N32" r:id="rId92" display="매뉴얼BODY(집행단계-첨부폴더)v8\3.지장물이설\17_기존관로 철거 및 원상복구\수행지침\기존관로 철거 및 원상복구_수행지침.html" xr:uid="{157BC945-247E-4607-AFBD-AACC1A2959E0}"/>
    <hyperlink ref="P32" r:id="rId93" display="매뉴얼BODY(집행단계-첨부폴더)v8\3.지장물이설\17_기존관로 철거 및 원상복구\체크리스트\기존관로 철거 및 원상복구_체크리스트.html" xr:uid="{1702505C-41EB-4D25-867B-25BB4FDD8DE8}"/>
    <hyperlink ref="L33" r:id="rId94" display="매뉴얼BODY(집행단계-첨부폴더)v8\3.지장물이설\17_도로점용_굴착행위 인허가\표준서\17_도로점용_굴착행위 인허가_표준서.html" xr:uid="{45746EE8-1E39-498B-B508-BBAF6902717D}"/>
    <hyperlink ref="N33" r:id="rId95" display="매뉴얼BODY(집행단계-첨부폴더)v8\3.지장물이설\17_도로점용_굴착행위 인허가\수행지침\도로점용_굴착행위 인허가_수행지침.html" xr:uid="{1609D9CF-D9B4-4236-B1F2-318620CF9E35}"/>
    <hyperlink ref="P33" r:id="rId96" display="매뉴얼BODY(집행단계-첨부폴더)v8\3.지장물이설\17_도로점용_굴착행위 인허가\체크리스트\도로점용_굴착행위 인허가_체크리스트.html" xr:uid="{E3CF8CEC-390E-45D8-A258-027C00C84C73}"/>
    <hyperlink ref="L34" r:id="rId97" display="매뉴얼BODY(집행단계-첨부폴더)v8\3.지장물이설\18_광역상수관 이설 공사\표준서\광역상수관 이설 공사_표준서.html" xr:uid="{CA932A71-3BC3-4226-AD0B-094147BF5E4A}"/>
    <hyperlink ref="N34" r:id="rId98" display="매뉴얼BODY(집행단계-첨부폴더)v8\3.지장물이설\18_광역상수관 이설 공사\수행지침\광역상수관 이설 공사_수행지침.html" xr:uid="{488E9F3E-0F64-4DE5-B851-8728FA41EF20}"/>
    <hyperlink ref="P34" r:id="rId99" display="매뉴얼BODY(집행단계-첨부폴더)v8\3.지장물이설\18_광역상수관 이설 공사\체크리스트\광역상수관 이설 공사_체크리스트.html" xr:uid="{6445E4B9-08C6-4BFC-B8C4-0FAF80469FF1}"/>
    <hyperlink ref="L35" r:id="rId100" display="매뉴얼BODY(집행단계-첨부폴더)v8\3.지장물이설\18_교통통제 및 교통안전시설 설치\표준서\18_교통통제 및 교통안전시설 설치_표준서.html" xr:uid="{174498A0-D564-443A-9C52-2A1D0D6B7B96}"/>
    <hyperlink ref="N35" r:id="rId101" display="매뉴얼BODY(집행단계-첨부폴더)v8\3.지장물이설\18_교통통제 및 교통안전시설 설치\수행지침\교통통제 및 교통안전시설 설치_수행지침.html" xr:uid="{A2B4C3EE-3EF4-4E85-8C43-266AEE9D4ACD}"/>
    <hyperlink ref="P35" r:id="rId102" display="매뉴얼BODY(집행단계-첨부폴더)v8\3.지장물이설\18_교통통제 및 교통안전시설 설치\체크리스트\교통통제 및 교통안전시설 설치_체크리스트.html" xr:uid="{8B72A24F-FF4E-4EC0-9282-D01EED1564E7}"/>
    <hyperlink ref="L36" r:id="rId103" display="매뉴얼BODY(집행단계-첨부폴더)v8\3.지장물이설\19_상수도 관로 이설 공사\표준서\상수도 관로 이설 공사_표준서.html" xr:uid="{E016B1CB-1076-4165-AEDD-653E057AABC9}"/>
    <hyperlink ref="N36" r:id="rId104" display="매뉴얼BODY(집행단계-첨부폴더)v8\3.지장물이설\19_상수도 관로 이설 공사\수행지침\상수도 관로 이설 공사_수행지침.html" xr:uid="{721A6DC8-05D9-4628-9A3A-B5FD588F5CB3}"/>
    <hyperlink ref="P36" r:id="rId105" display="매뉴얼BODY(집행단계-첨부폴더)v8\3.지장물이설\19_상수도 관로 이설 공사\체크리스트\상수도 관로 이설 공사_체크리스트.html" xr:uid="{D0BFF224-85EC-4C9C-B330-E9D175987938}"/>
    <hyperlink ref="L37" r:id="rId106" display="매뉴얼BODY(집행단계-첨부폴더)v8\3.지장물이설\19_줄따기(GPR)를 통한 기존 지장물 매설 확인\표준서\19_줄따기(GPR)를 통한 기존 지장물 매설 확인_표준서.html" xr:uid="{316297F5-DFAA-436D-BA00-DF8426AF1E4C}"/>
    <hyperlink ref="N37" r:id="rId107" display="매뉴얼BODY(집행단계-첨부폴더)v8\3.지장물이설\19_줄따기(GPR)를 통한 기존 지장물 매설 확인\수행지침\수행지침.html" xr:uid="{442A82E5-411C-41B6-9CE9-C7C097662D61}"/>
    <hyperlink ref="P37" r:id="rId108" display="매뉴얼BODY(집행단계-첨부폴더)v8\3.지장물이설\19_줄따기(GPR)를 통한 기존 지장물 매설 확인\체크리스트\줄따기(GPR)를 통한 기존 지장물 매설 확인_체크리스트.html" xr:uid="{697EA9B5-42A6-477F-9366-715E1A4BEF71}"/>
    <hyperlink ref="L38" r:id="rId109" display="매뉴얼BODY(집행단계-첨부폴더)v8\3.지장물이설\20_이설 위치 토공 굴착\표준서\20_이설 위치 토공 굴착_표준서.html" xr:uid="{54B121A4-8C17-4772-8BB7-C3A1438C94B5}"/>
    <hyperlink ref="N38" r:id="rId110" display="매뉴얼BODY(집행단계-첨부폴더)v8\3.지장물이설\20_이설 위치 토공 굴착\수행지침\수행지침.html" xr:uid="{BB50B220-C83A-4FE9-96F0-87EC2CABCB1B}"/>
    <hyperlink ref="P38" r:id="rId111" display="매뉴얼BODY(집행단계-첨부폴더)v8\3.지장물이설\20_이설 위치 토공 굴착\체크리스트\이설 위치 토공 굴착_체크리스트.html" xr:uid="{56FE123E-6E01-4064-B5C4-5631D2A703E2}"/>
    <hyperlink ref="L39" r:id="rId112" display="매뉴얼BODY(집행단계-첨부폴더)v8\3.지장물이설\20_하수도 관로 이설 공사\표준서\하수도 관로 이설 공사_표준서.html" xr:uid="{08857765-1F85-489F-92C7-FD75878DC85F}"/>
    <hyperlink ref="N39" r:id="rId113" display="매뉴얼BODY(집행단계-첨부폴더)v8\3.지장물이설\20_하수도 관로 이설 공사\수행지침\수행지침.html" xr:uid="{9BC6A448-F64B-4709-B007-40D1F88BC175}"/>
    <hyperlink ref="P39" r:id="rId114" display="매뉴얼BODY(집행단계-첨부폴더)v8\3.지장물이설\20_하수도 관로 이설 공사\체크리스트\하수도 관로 이설 공사_체크리스트.html" xr:uid="{2B2D8A2F-33F5-49AD-BAA9-7796320F9082}"/>
    <hyperlink ref="L40" r:id="rId115" xr:uid="{C6F79AF2-7FDC-4DF0-A161-60DE9DAB166A}"/>
    <hyperlink ref="N40" r:id="rId116" xr:uid="{702BCA0D-DB14-41A1-9307-871DF535A52D}"/>
    <hyperlink ref="P40" r:id="rId117" xr:uid="{3B003790-25D5-40BC-A4D7-083E4A0C0393}"/>
    <hyperlink ref="L41" r:id="rId118" xr:uid="{7A4121A7-F8C9-4CEA-A037-2B02DB7689C7}"/>
    <hyperlink ref="N41" r:id="rId119" xr:uid="{7CB8C0EA-ECE8-4F13-80DB-2AD1A63481B3}"/>
    <hyperlink ref="P41" r:id="rId120" xr:uid="{66C3490E-0A90-4505-841E-6DCAC8930893}"/>
    <hyperlink ref="L42" r:id="rId121" xr:uid="{F5415673-32F7-430F-8A62-1D15E14A1787}"/>
    <hyperlink ref="N42" r:id="rId122" xr:uid="{839652A8-0C54-415F-9D09-97B4A73DDD0C}"/>
    <hyperlink ref="P42" r:id="rId123" xr:uid="{81EBCC25-3FFF-42E5-94E7-1DEA43063E06}"/>
    <hyperlink ref="L43" r:id="rId124" xr:uid="{16576D6D-6829-4727-92F4-0B4914FF37C3}"/>
    <hyperlink ref="N43" r:id="rId125" xr:uid="{B9C4863F-3BD4-448C-995C-0A6FD198D16C}"/>
    <hyperlink ref="P43" r:id="rId126" xr:uid="{7877F064-BF79-445E-9B48-75CD53CD0753}"/>
    <hyperlink ref="L44" r:id="rId127" xr:uid="{C9A1115B-3970-4485-BA69-B3356FECB064}"/>
    <hyperlink ref="N44" r:id="rId128" xr:uid="{D76124C2-8D67-4AB9-A1E3-A8C97A6A0DE1}"/>
    <hyperlink ref="P44" r:id="rId129" xr:uid="{7AE957C0-4D80-4203-805D-FB2B0C6F17E6}"/>
    <hyperlink ref="L45" r:id="rId130" xr:uid="{991D7B51-3BF9-41A7-9851-4CB5E2EF1ECD}"/>
    <hyperlink ref="N45" r:id="rId131" xr:uid="{315B951D-5A62-423C-89E1-670A0B332446}"/>
    <hyperlink ref="P45" r:id="rId132" xr:uid="{6FAE8E24-3BC3-44C2-B51F-FB63FBA652DC}"/>
    <hyperlink ref="L46" r:id="rId133" xr:uid="{067C6B67-BBEB-410B-981B-0BAD9AC74CE8}"/>
    <hyperlink ref="N46" r:id="rId134" xr:uid="{37C81A80-EC4A-4464-BB43-60ABF543F2BE}"/>
    <hyperlink ref="P46" r:id="rId135" xr:uid="{7DEC2D4C-3BD1-4593-9438-0DFDCDCEE7DE}"/>
    <hyperlink ref="L47" r:id="rId136" xr:uid="{DC70AEA0-76C3-477C-AC7E-A24D596E6760}"/>
    <hyperlink ref="N47" r:id="rId137" xr:uid="{F8C80776-8717-420C-8982-FDAAE5A08FEB}"/>
    <hyperlink ref="P47" r:id="rId138" xr:uid="{4D07FDA8-1388-4782-9CF3-38CA2602925B}"/>
    <hyperlink ref="L48" r:id="rId139" xr:uid="{A229A646-8DDF-4B1F-8FD0-33D92A2B4EE9}"/>
    <hyperlink ref="N48" r:id="rId140" xr:uid="{32DD4D9B-E357-4E3A-91C8-8AFC7A8AC29E}"/>
    <hyperlink ref="P48" r:id="rId141" xr:uid="{7594F815-B2DF-4BEF-8D22-EE58A05E687B}"/>
    <hyperlink ref="L49" r:id="rId142" xr:uid="{73A04316-4AFE-42E7-AB99-31EA36D9DBE6}"/>
    <hyperlink ref="N49" r:id="rId143" xr:uid="{E042CB57-C23F-4A66-B4C6-DE59822C42B1}"/>
    <hyperlink ref="P49" r:id="rId144" xr:uid="{0F49C3D4-9C1F-4E64-9811-E260189BA232}"/>
    <hyperlink ref="L50" r:id="rId145" xr:uid="{7E151BEA-F4F8-4B77-80B6-5EC6C31C7FCD}"/>
    <hyperlink ref="N50" r:id="rId146" xr:uid="{EBB5A4FC-B1D2-45F1-81F9-8DAF1F585BA3}"/>
    <hyperlink ref="P50" r:id="rId147" xr:uid="{877561D3-8D28-4803-B31F-C35840816469}"/>
    <hyperlink ref="L51" r:id="rId148" xr:uid="{9A30326F-5508-47A2-8802-A79DF4D54219}"/>
    <hyperlink ref="N51" r:id="rId149" xr:uid="{0D9C382E-03CA-497F-A828-D5DEF226ABFD}"/>
    <hyperlink ref="P51" r:id="rId150" xr:uid="{8005D1F9-7D4B-4081-AFF5-3E567BF8D7A8}"/>
    <hyperlink ref="L52" r:id="rId151" xr:uid="{9AA43BD9-FC93-4E27-82E4-34428DBD8397}"/>
    <hyperlink ref="N52" r:id="rId152" xr:uid="{4B8C7A04-FF0A-45C7-878B-371290098D35}"/>
    <hyperlink ref="P52" r:id="rId153" xr:uid="{65B0CDF0-9AC7-411F-9EA3-E22F4990D3C1}"/>
    <hyperlink ref="L53" r:id="rId154" xr:uid="{7CEFC5E6-DA87-4146-ADE2-96A5E8F91BBE}"/>
    <hyperlink ref="N53" r:id="rId155" xr:uid="{986B2652-E6FE-4441-BDD7-92408D6379E5}"/>
    <hyperlink ref="P53" r:id="rId156" xr:uid="{4C3D7E77-E37E-4BD6-A852-1D6D8040B075}"/>
    <hyperlink ref="L54" r:id="rId157" xr:uid="{68D82590-5DAC-4BE3-B262-D9BBCB13BC56}"/>
    <hyperlink ref="N54" r:id="rId158" xr:uid="{9BD1E358-F43D-44AE-B5BC-E85D5ACA35AE}"/>
    <hyperlink ref="P54" r:id="rId159" xr:uid="{2B299C0A-BB1F-4E0F-B1A1-FD56D4970D56}"/>
    <hyperlink ref="L55" r:id="rId160" xr:uid="{273250B0-57EE-4FD7-B3BB-039807F43EA9}"/>
    <hyperlink ref="N55" r:id="rId161" xr:uid="{210242E9-35E2-4C8A-846B-EEBD42326097}"/>
    <hyperlink ref="P55" r:id="rId162" xr:uid="{0C10820E-2B27-4B36-A889-10BA1524D953}"/>
    <hyperlink ref="L56" r:id="rId163" xr:uid="{237A1563-2A89-4E4D-A36C-58CFD45B5080}"/>
    <hyperlink ref="N56" r:id="rId164" xr:uid="{1F703FB9-56F1-4DD9-B8FC-CE18AE29E8DA}"/>
    <hyperlink ref="P56" r:id="rId165" xr:uid="{D13A5A18-B93A-435F-B475-9A75D0172011}"/>
    <hyperlink ref="L57" r:id="rId166" xr:uid="{93F7D861-EB34-42FB-B583-E338667CCCA2}"/>
    <hyperlink ref="N57" r:id="rId167" xr:uid="{05619899-408C-4A6C-8229-8D1A87230518}"/>
    <hyperlink ref="P57" r:id="rId168" xr:uid="{C095CEF3-8C1C-4527-9482-D1C9C34EA138}"/>
    <hyperlink ref="L58" r:id="rId169" xr:uid="{70F14318-8C4C-4582-B562-B189CBDEAEBA}"/>
    <hyperlink ref="N58" r:id="rId170" xr:uid="{E0D463FF-32D3-4DE9-AFD8-EF4BAC617B50}"/>
    <hyperlink ref="P58" r:id="rId171" xr:uid="{D9CB3461-FF7E-4694-B8C7-6B9181B2FA24}"/>
    <hyperlink ref="L59" r:id="rId172" xr:uid="{0FACB6EF-ED10-4E93-9AEC-ECB8361DA70B}"/>
    <hyperlink ref="N59" r:id="rId173" xr:uid="{8AD1715F-B292-43AB-82FF-32FB80E2106C}"/>
    <hyperlink ref="P59" r:id="rId174" xr:uid="{9990433C-B684-42EC-A13D-4FB14E4EAC48}"/>
    <hyperlink ref="L60" r:id="rId175" xr:uid="{7B19AC69-8CFC-45B9-B45B-A5EB545A139C}"/>
    <hyperlink ref="N60" r:id="rId176" xr:uid="{76771BC5-B895-4058-BB9F-C5B288B9337E}"/>
    <hyperlink ref="P60" r:id="rId177" xr:uid="{F41FFFAB-4B50-45CD-8AAA-D1496C828039}"/>
    <hyperlink ref="L61" r:id="rId178" xr:uid="{1E3907E8-3FF8-43C5-B466-E06335B4D1F7}"/>
    <hyperlink ref="N61" r:id="rId179" xr:uid="{4644C9E3-FACE-418D-B800-CAA1ADB3F8B6}"/>
    <hyperlink ref="P61" r:id="rId180" xr:uid="{FFB9676B-7347-4090-A894-E10759330C67}"/>
    <hyperlink ref="L62" r:id="rId181" xr:uid="{A7A44AC3-5080-41E6-9D1C-1982BAE8E2DD}"/>
    <hyperlink ref="N62" r:id="rId182" xr:uid="{B5D05A42-B309-4C4A-9E4B-A2015B405422}"/>
    <hyperlink ref="P62" r:id="rId183" xr:uid="{775D61B6-9956-4155-91D7-A70286C433E5}"/>
  </hyperlinks>
  <printOptions horizontalCentered="1"/>
  <pageMargins left="0.74803149606299213" right="0.74803149606299213" top="0.98425196850393704" bottom="0.98425196850393704" header="0.51181102362204722" footer="0.51181102362204722"/>
  <pageSetup paperSize="8" scale="37" orientation="landscape" verticalDpi="0" r:id="rId184"/>
  <rowBreaks count="1" manualBreakCount="1">
    <brk id="17" max="16" man="1"/>
  </rowBreaks>
  <colBreaks count="1" manualBreakCount="1">
    <brk id="17"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defaultRowHeight="19.2" x14ac:dyDescent="0.45"/>
  <cols>
    <col min="1" max="2" width="8.796875" style="3" customWidth="1"/>
    <col min="3" max="3" width="17.09765625" style="4" customWidth="1"/>
    <col min="4" max="4" width="16" style="4" customWidth="1"/>
    <col min="5" max="5" width="23.296875" style="5" customWidth="1"/>
    <col min="6" max="6" width="26.09765625" style="4" customWidth="1"/>
    <col min="7" max="7" width="21.09765625" style="4" customWidth="1"/>
    <col min="8" max="8" width="51.59765625" style="3" customWidth="1"/>
    <col min="9" max="9" width="60.796875" style="4" customWidth="1"/>
    <col min="10" max="10" width="24" style="3" customWidth="1"/>
    <col min="11" max="11" width="45" style="3" customWidth="1"/>
    <col min="12" max="12" width="14.3984375" style="3" customWidth="1"/>
    <col min="13" max="13" width="45" style="3" customWidth="1"/>
    <col min="14" max="14" width="15.5" style="3" customWidth="1"/>
    <col min="15" max="15" width="24" style="3" customWidth="1"/>
    <col min="16" max="16" width="11.8984375" style="3" customWidth="1"/>
    <col min="17" max="17" width="24" style="3" customWidth="1"/>
    <col min="18" max="18" width="45" style="3" customWidth="1"/>
    <col min="19" max="19" width="24" style="25" customWidth="1"/>
    <col min="20" max="35" width="45" style="3" customWidth="1"/>
    <col min="36" max="70" width="8.796875" style="3" customWidth="1"/>
    <col min="71" max="16384" width="8.796875" style="3"/>
  </cols>
  <sheetData>
    <row r="1" spans="1:20" s="4" customFormat="1" ht="76.8" customHeight="1" x14ac:dyDescent="0.4">
      <c r="A1" s="18" t="s">
        <v>3180</v>
      </c>
      <c r="B1" s="18" t="s">
        <v>3181</v>
      </c>
      <c r="C1" s="18" t="s">
        <v>3182</v>
      </c>
      <c r="D1" s="18" t="s">
        <v>3183</v>
      </c>
      <c r="E1" s="18" t="s">
        <v>3184</v>
      </c>
      <c r="F1" s="18" t="s">
        <v>3185</v>
      </c>
      <c r="G1" s="18" t="s">
        <v>3186</v>
      </c>
      <c r="H1" s="18" t="s">
        <v>3187</v>
      </c>
      <c r="I1" s="18" t="s">
        <v>3188</v>
      </c>
      <c r="J1" s="18" t="s">
        <v>3189</v>
      </c>
      <c r="K1" s="18" t="s">
        <v>3190</v>
      </c>
      <c r="L1" s="19" t="s">
        <v>3108</v>
      </c>
      <c r="M1" s="18" t="s">
        <v>3191</v>
      </c>
      <c r="N1" s="19" t="s">
        <v>3109</v>
      </c>
      <c r="O1" s="125" t="s">
        <v>3192</v>
      </c>
      <c r="P1" s="19" t="s">
        <v>3110</v>
      </c>
      <c r="Q1" s="125" t="s">
        <v>3193</v>
      </c>
      <c r="R1" s="20" t="s">
        <v>3194</v>
      </c>
      <c r="S1" s="126" t="s">
        <v>3195</v>
      </c>
      <c r="T1" s="20" t="s">
        <v>3196</v>
      </c>
    </row>
    <row r="2" spans="1:20" ht="118.8" customHeight="1" x14ac:dyDescent="0.4">
      <c r="A2" s="21" t="s">
        <v>519</v>
      </c>
      <c r="B2" s="21" t="s">
        <v>1578</v>
      </c>
      <c r="C2" s="21" t="s">
        <v>599</v>
      </c>
      <c r="D2" s="21" t="s">
        <v>1579</v>
      </c>
      <c r="E2" s="21" t="s">
        <v>992</v>
      </c>
      <c r="F2" s="21" t="s">
        <v>1580</v>
      </c>
      <c r="G2" s="21" t="s">
        <v>839</v>
      </c>
      <c r="H2" s="22" t="s">
        <v>1581</v>
      </c>
      <c r="I2" s="22" t="s">
        <v>1582</v>
      </c>
      <c r="J2" s="22" t="s">
        <v>1583</v>
      </c>
      <c r="K2" s="22" t="s">
        <v>1581</v>
      </c>
      <c r="L2" s="120" t="str">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M2" s="22" t="s">
        <v>1582</v>
      </c>
      <c r="N2" s="120" t="str">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O2" t="s">
        <v>1031</v>
      </c>
      <c r="P2" s="120" t="str">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c r="Q2" t="s">
        <v>1032</v>
      </c>
      <c r="R2" s="23" t="s">
        <v>1584</v>
      </c>
      <c r="S2" t="s">
        <v>1033</v>
      </c>
      <c r="T2" s="14"/>
    </row>
    <row r="3" spans="1:20" ht="166.2" customHeight="1" x14ac:dyDescent="0.4">
      <c r="A3" s="21" t="s">
        <v>519</v>
      </c>
      <c r="B3" s="21" t="s">
        <v>1578</v>
      </c>
      <c r="C3" s="21" t="s">
        <v>599</v>
      </c>
      <c r="D3" s="21" t="s">
        <v>1585</v>
      </c>
      <c r="E3" s="21" t="s">
        <v>1586</v>
      </c>
      <c r="F3" s="21" t="s">
        <v>1038</v>
      </c>
      <c r="G3" s="21" t="s">
        <v>861</v>
      </c>
      <c r="H3" s="22" t="s">
        <v>1587</v>
      </c>
      <c r="I3" s="22" t="s">
        <v>1588</v>
      </c>
      <c r="J3" s="22" t="s">
        <v>1589</v>
      </c>
      <c r="K3" s="22" t="s">
        <v>1587</v>
      </c>
      <c r="L3" s="120" t="str">
        <f>HYPERLINK("C:\Users\sskjh\antigravity\01_전문업무_및_엔지니어링\11_현장_프로젝트\01_동탄트램\08.메뉴얼 및 평면도\최종\02_메뉴얼 공종프로섹스(집행단계)\매뉴얼BODY(집행단계-첨부폴더)v8\4.상부강화노반\2_발주전략 KOM\표준서\2_발주전략 KOM_표준서.html","👉 [클릭] 표준서 열기 📄")</f>
        <v>👉 [클릭] 표준서 열기 📄</v>
      </c>
      <c r="M3" s="22" t="s">
        <v>1588</v>
      </c>
      <c r="N3" s="120" t="str">
        <f>HYPERLINK("C:\Users\sskjh\antigravity\01_전문업무_및_엔지니어링\11_현장_프로젝트\01_동탄트램\08.메뉴얼 및 평면도\최종\02_메뉴얼 공종프로섹스(집행단계)\매뉴얼BODY(집행단계-첨부폴더)v8\4.상부강화노반\2_발주전략 KOM\수행지침\발주전략 KOM_수행지침.html","👉 [클릭] 수행지침 열기 📄")</f>
        <v>👉 [클릭] 수행지침 열기 📄</v>
      </c>
      <c r="O3" t="s">
        <v>1031</v>
      </c>
      <c r="P3" s="120" t="str">
        <f>HYPERLINK("C:\Users\sskjh\antigravity\01_전문업무_및_엔지니어링\11_현장_프로젝트\01_동탄트램\08.메뉴얼 및 평면도\최종\02_메뉴얼 공종프로섹스(집행단계)\매뉴얼BODY(집행단계-첨부폴더)v8\4.상부강화노반\2_발주전략 KOM\체크리스트\2_발주전략 KOM_체크리스트.html","👉 [클릭] 체크리스트 열기 📄")</f>
        <v>👉 [클릭] 체크리스트 열기 📄</v>
      </c>
      <c r="Q3" t="s">
        <v>1032</v>
      </c>
      <c r="R3" s="23" t="s">
        <v>1590</v>
      </c>
      <c r="S3" t="s">
        <v>1033</v>
      </c>
      <c r="T3" s="14"/>
    </row>
    <row r="4" spans="1:20" ht="96" customHeight="1" x14ac:dyDescent="0.4">
      <c r="A4" s="21" t="s">
        <v>519</v>
      </c>
      <c r="B4" s="21" t="s">
        <v>1578</v>
      </c>
      <c r="C4" s="21" t="s">
        <v>599</v>
      </c>
      <c r="D4" s="21" t="s">
        <v>1591</v>
      </c>
      <c r="E4" s="21" t="s">
        <v>1044</v>
      </c>
      <c r="F4" s="21" t="s">
        <v>1592</v>
      </c>
      <c r="G4" s="21" t="s">
        <v>839</v>
      </c>
      <c r="H4" s="22" t="s">
        <v>1593</v>
      </c>
      <c r="I4" s="22" t="s">
        <v>1594</v>
      </c>
      <c r="J4" s="22" t="s">
        <v>1595</v>
      </c>
      <c r="K4" s="22" t="s">
        <v>1593</v>
      </c>
      <c r="L4" s="120"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행위신고(필요시)\표준서\3_철도보호지구에서의 행위신고(필요시)_표준서.html","👉 [클릭] 표준서 열기 📄")</f>
        <v>👉 [클릭] 표준서 열기 📄</v>
      </c>
      <c r="M4" s="22" t="s">
        <v>1594</v>
      </c>
      <c r="N4" s="120"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행위신고(필요시)\수행지침\철도보호지구에서의 행위신고(필요시)_수행지침.html","👉 [클릭] 수행지침 열기 📄")</f>
        <v>👉 [클릭] 수행지침 열기 📄</v>
      </c>
      <c r="O4" t="s">
        <v>1031</v>
      </c>
      <c r="P4" s="120"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행위신고(필요시)\체크리스트\3_철도보호지구에서의 행위신고(필요시)_체크리스트.html","👉 [클릭] 체크리스트 열기 📄")</f>
        <v>👉 [클릭] 체크리스트 열기 📄</v>
      </c>
      <c r="Q4" t="s">
        <v>1032</v>
      </c>
      <c r="R4" s="23" t="s">
        <v>1596</v>
      </c>
      <c r="S4" t="s">
        <v>1033</v>
      </c>
      <c r="T4" s="14"/>
    </row>
    <row r="5" spans="1:20" ht="96" customHeight="1" x14ac:dyDescent="0.4">
      <c r="A5" s="21" t="s">
        <v>519</v>
      </c>
      <c r="B5" s="21" t="s">
        <v>1578</v>
      </c>
      <c r="C5" s="21" t="s">
        <v>599</v>
      </c>
      <c r="D5" s="21" t="s">
        <v>1597</v>
      </c>
      <c r="E5" s="21" t="s">
        <v>1598</v>
      </c>
      <c r="F5" s="21" t="s">
        <v>1599</v>
      </c>
      <c r="G5" s="21" t="s">
        <v>839</v>
      </c>
      <c r="H5" s="22" t="s">
        <v>1600</v>
      </c>
      <c r="I5" s="22" t="s">
        <v>1601</v>
      </c>
      <c r="J5" s="22" t="s">
        <v>1602</v>
      </c>
      <c r="K5" s="22" t="s">
        <v>1600</v>
      </c>
      <c r="L5" s="120" t="str">
        <f>HYPERLINK("C:\Users\sskjh\antigravity\01_전문업무_및_엔지니어링\11_현장_프로젝트\01_동탄트램\08.메뉴얼 및 평면도\최종\02_메뉴얼 공종프로섹스(집행단계)\매뉴얼BODY(집행단계-첨부폴더)v8\4.상부강화노반\4_착수전 측량 Data 확인\표준서\4_착수전 측량 Data 확인_표준서.html","👉 [클릭] 표준서 열기 📄")</f>
        <v>👉 [클릭] 표준서 열기 📄</v>
      </c>
      <c r="M5" s="22" t="s">
        <v>1601</v>
      </c>
      <c r="N5" s="120" t="str">
        <f>HYPERLINK("C:\Users\sskjh\antigravity\01_전문업무_및_엔지니어링\11_현장_프로젝트\01_동탄트램\08.메뉴얼 및 평면도\최종\02_메뉴얼 공종프로섹스(집행단계)\매뉴얼BODY(집행단계-첨부폴더)v8\4.상부강화노반\4_착수전 측량 Data 확인\수행지침\착수전 측량 Data 확인_수행지침.html","👉 [클릭] 수행지침 열기 📄")</f>
        <v>👉 [클릭] 수행지침 열기 📄</v>
      </c>
      <c r="O5" t="s">
        <v>1031</v>
      </c>
      <c r="P5" s="120" t="str">
        <f>HYPERLINK("C:\Users\sskjh\antigravity\01_전문업무_및_엔지니어링\11_현장_프로젝트\01_동탄트램\08.메뉴얼 및 평면도\최종\02_메뉴얼 공종프로섹스(집행단계)\매뉴얼BODY(집행단계-첨부폴더)v8\4.상부강화노반\4_착수전 측량 Data 확인\체크리스트\4_착수전 측량 Data 확인_체크리스트.html","👉 [클릭] 체크리스트 열기 📄")</f>
        <v>👉 [클릭] 체크리스트 열기 📄</v>
      </c>
      <c r="Q5" t="s">
        <v>1032</v>
      </c>
      <c r="R5" s="23" t="s">
        <v>1603</v>
      </c>
      <c r="S5" t="s">
        <v>1033</v>
      </c>
      <c r="T5" s="14"/>
    </row>
    <row r="6" spans="1:20" ht="96" customHeight="1" x14ac:dyDescent="0.4">
      <c r="A6" s="21" t="s">
        <v>519</v>
      </c>
      <c r="B6" s="21" t="s">
        <v>1578</v>
      </c>
      <c r="C6" s="21" t="s">
        <v>599</v>
      </c>
      <c r="D6" s="21" t="s">
        <v>1604</v>
      </c>
      <c r="E6" s="21" t="s">
        <v>1073</v>
      </c>
      <c r="F6" s="21" t="s">
        <v>1605</v>
      </c>
      <c r="G6" s="21" t="s">
        <v>839</v>
      </c>
      <c r="H6" s="22" t="s">
        <v>1606</v>
      </c>
      <c r="I6" s="22" t="s">
        <v>1607</v>
      </c>
      <c r="J6" s="22" t="s">
        <v>1608</v>
      </c>
      <c r="K6" s="22" t="s">
        <v>1606</v>
      </c>
      <c r="L6" s="120" t="str">
        <f>HYPERLINK("C:\Users\sskjh\antigravity\01_전문업무_및_엔지니어링\11_현장_프로젝트\01_동탄트램\08.메뉴얼 및 평면도\최종\02_메뉴얼 공종프로섹스(집행단계)\매뉴얼BODY(집행단계-첨부폴더)v8\4.상부강화노반\5_지장물이설 협의\표준서\5_지장물이설 협의_표준서.html","👉 [클릭] 표준서 열기 📄")</f>
        <v>👉 [클릭] 표준서 열기 📄</v>
      </c>
      <c r="M6" s="22" t="s">
        <v>1607</v>
      </c>
      <c r="N6" s="120" t="str">
        <f>HYPERLINK("C:\Users\sskjh\antigravity\01_전문업무_및_엔지니어링\11_현장_프로젝트\01_동탄트램\08.메뉴얼 및 평면도\최종\02_메뉴얼 공종프로섹스(집행단계)\매뉴얼BODY(집행단계-첨부폴더)v8\4.상부강화노반\5_지장물이설 협의\수행지침\지장물이설 협의_수행지침.html","👉 [클릭] 수행지침 열기 📄")</f>
        <v>👉 [클릭] 수행지침 열기 📄</v>
      </c>
      <c r="O6" t="s">
        <v>1031</v>
      </c>
      <c r="P6" s="120" t="str">
        <f>HYPERLINK("C:\Users\sskjh\antigravity\01_전문업무_및_엔지니어링\11_현장_프로젝트\01_동탄트램\08.메뉴얼 및 평면도\최종\02_메뉴얼 공종프로섹스(집행단계)\매뉴얼BODY(집행단계-첨부폴더)v8\4.상부강화노반\5_지장물이설 협의\체크리스트\5_지장물이설 협의_체크리스트.html","👉 [클릭] 체크리스트 열기 📄")</f>
        <v>👉 [클릭] 체크리스트 열기 📄</v>
      </c>
      <c r="Q6" t="s">
        <v>1032</v>
      </c>
      <c r="R6" s="23" t="s">
        <v>1609</v>
      </c>
      <c r="S6" t="s">
        <v>1033</v>
      </c>
      <c r="T6" s="14"/>
    </row>
    <row r="7" spans="1:20" ht="96" customHeight="1" x14ac:dyDescent="0.4">
      <c r="A7" s="21" t="s">
        <v>519</v>
      </c>
      <c r="B7" s="21" t="s">
        <v>1578</v>
      </c>
      <c r="C7" s="21" t="s">
        <v>599</v>
      </c>
      <c r="D7" s="21" t="s">
        <v>1610</v>
      </c>
      <c r="E7" s="21" t="s">
        <v>1073</v>
      </c>
      <c r="F7" s="21" t="s">
        <v>1611</v>
      </c>
      <c r="G7" s="21" t="s">
        <v>839</v>
      </c>
      <c r="H7" s="22" t="s">
        <v>1612</v>
      </c>
      <c r="I7" s="22" t="s">
        <v>1613</v>
      </c>
      <c r="J7" s="22" t="s">
        <v>1078</v>
      </c>
      <c r="K7" s="22" t="s">
        <v>1612</v>
      </c>
      <c r="L7" s="120" t="str">
        <f>HYPERLINK("C:\Users\sskjh\antigravity\01_전문업무_및_엔지니어링\11_현장_프로젝트\01_동탄트램\08.메뉴얼 및 평면도\최종\02_메뉴얼 공종프로섹스(집행단계)\매뉴얼BODY(집행단계-첨부폴더)v8\4.상부강화노반\6_용지보상RISK 검토\표준서\6_용지보상RISK 검토_표준서.html","👉 [클릭] 표준서 열기 📄")</f>
        <v>👉 [클릭] 표준서 열기 📄</v>
      </c>
      <c r="M7" s="22" t="s">
        <v>1613</v>
      </c>
      <c r="N7" s="120" t="str">
        <f>HYPERLINK("C:\Users\sskjh\antigravity\01_전문업무_및_엔지니어링\11_현장_프로젝트\01_동탄트램\08.메뉴얼 및 평면도\최종\02_메뉴얼 공종프로섹스(집행단계)\매뉴얼BODY(집행단계-첨부폴더)v8\4.상부강화노반\6_용지보상RISK 검토\수행지침\용지보상RISK 검토_수행지침.html","👉 [클릭] 수행지침 열기 📄")</f>
        <v>👉 [클릭] 수행지침 열기 📄</v>
      </c>
      <c r="O7" t="s">
        <v>1031</v>
      </c>
      <c r="P7" s="120" t="str">
        <f>HYPERLINK("C:\Users\sskjh\antigravity\01_전문업무_및_엔지니어링\11_현장_프로젝트\01_동탄트램\08.메뉴얼 및 평면도\최종\02_메뉴얼 공종프로섹스(집행단계)\매뉴얼BODY(집행단계-첨부폴더)v8\4.상부강화노반\6_용지보상RISK 검토\체크리스트\6_용지보상RISK 검토_체크리스트.html","👉 [클릭] 체크리스트 열기 📄")</f>
        <v>👉 [클릭] 체크리스트 열기 📄</v>
      </c>
      <c r="Q7" t="s">
        <v>1032</v>
      </c>
      <c r="R7" s="23" t="s">
        <v>1614</v>
      </c>
      <c r="S7" t="s">
        <v>1033</v>
      </c>
      <c r="T7" s="14"/>
    </row>
    <row r="8" spans="1:20" ht="96" customHeight="1" x14ac:dyDescent="0.4">
      <c r="A8" s="21" t="s">
        <v>519</v>
      </c>
      <c r="B8" s="21" t="s">
        <v>1578</v>
      </c>
      <c r="C8" s="21" t="s">
        <v>599</v>
      </c>
      <c r="D8" s="21" t="s">
        <v>1615</v>
      </c>
      <c r="E8" s="21" t="s">
        <v>1052</v>
      </c>
      <c r="F8" s="21" t="s">
        <v>1053</v>
      </c>
      <c r="G8" s="21" t="s">
        <v>839</v>
      </c>
      <c r="H8" s="22" t="s">
        <v>1616</v>
      </c>
      <c r="I8" s="22" t="s">
        <v>1617</v>
      </c>
      <c r="J8" s="22" t="s">
        <v>1618</v>
      </c>
      <c r="K8" s="22" t="s">
        <v>1616</v>
      </c>
      <c r="L8" s="120" t="str">
        <f>HYPERLINK("C:\Users\sskjh\antigravity\01_전문업무_및_엔지니어링\11_현장_프로젝트\01_동탄트램\08.메뉴얼 및 평면도\최종\02_메뉴얼 공종프로섹스(집행단계)\매뉴얼BODY(집행단계-첨부폴더)v8\4.상부강화노반\7_최고의 팀 만들기 지원\표준서\7_최고의 팀 만들기 지원_표준서.html","👉 [클릭] 표준서 열기 📄")</f>
        <v>👉 [클릭] 표준서 열기 📄</v>
      </c>
      <c r="M8" s="22" t="s">
        <v>1617</v>
      </c>
      <c r="N8" s="120" t="str">
        <f>HYPERLINK("C:\Users\sskjh\antigravity\01_전문업무_및_엔지니어링\11_현장_프로젝트\01_동탄트램\08.메뉴얼 및 평면도\최종\02_메뉴얼 공종프로섹스(집행단계)\매뉴얼BODY(집행단계-첨부폴더)v8\4.상부강화노반\7_최고의 팀 만들기 지원\수행지침\최고의 팀 만들기 지원_수행지침.html","👉 [클릭] 수행지침 열기 📄")</f>
        <v>👉 [클릭] 수행지침 열기 📄</v>
      </c>
      <c r="O8" t="s">
        <v>1031</v>
      </c>
      <c r="P8" s="120" t="str">
        <f>HYPERLINK("C:\Users\sskjh\antigravity\01_전문업무_및_엔지니어링\11_현장_프로젝트\01_동탄트램\08.메뉴얼 및 평면도\최종\02_메뉴얼 공종프로섹스(집행단계)\매뉴얼BODY(집행단계-첨부폴더)v8\4.상부강화노반\7_최고의 팀 만들기 지원\체크리스트\7_최고의 팀 만들기 지원_체크리스트.html","👉 [클릭] 체크리스트 열기 📄")</f>
        <v>👉 [클릭] 체크리스트 열기 📄</v>
      </c>
      <c r="Q8" t="s">
        <v>1032</v>
      </c>
      <c r="R8" s="23" t="s">
        <v>1619</v>
      </c>
      <c r="S8" t="s">
        <v>1033</v>
      </c>
      <c r="T8" s="14"/>
    </row>
    <row r="9" spans="1:20" ht="96" customHeight="1" x14ac:dyDescent="0.4">
      <c r="A9" s="21" t="s">
        <v>519</v>
      </c>
      <c r="B9" s="21" t="s">
        <v>1578</v>
      </c>
      <c r="C9" s="21" t="s">
        <v>599</v>
      </c>
      <c r="D9" s="21" t="s">
        <v>1620</v>
      </c>
      <c r="E9" s="21" t="s">
        <v>1621</v>
      </c>
      <c r="F9" s="21" t="s">
        <v>1622</v>
      </c>
      <c r="G9" s="21" t="s">
        <v>839</v>
      </c>
      <c r="H9" s="22" t="s">
        <v>1623</v>
      </c>
      <c r="I9" s="22" t="s">
        <v>1624</v>
      </c>
      <c r="J9" s="22" t="s">
        <v>1625</v>
      </c>
      <c r="K9" s="22" t="s">
        <v>1623</v>
      </c>
      <c r="L9" s="120"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9" s="22" t="s">
        <v>1624</v>
      </c>
      <c r="N9" s="120"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9" t="s">
        <v>1031</v>
      </c>
      <c r="P9" s="120"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9" t="s">
        <v>1032</v>
      </c>
      <c r="R9" s="23" t="s">
        <v>1626</v>
      </c>
      <c r="S9" t="s">
        <v>1033</v>
      </c>
      <c r="T9" s="14"/>
    </row>
    <row r="10" spans="1:20" ht="96" customHeight="1" x14ac:dyDescent="0.4">
      <c r="A10" s="21" t="s">
        <v>519</v>
      </c>
      <c r="B10" s="21" t="s">
        <v>1578</v>
      </c>
      <c r="C10" s="21" t="s">
        <v>599</v>
      </c>
      <c r="D10" s="21" t="s">
        <v>1627</v>
      </c>
      <c r="E10" s="21" t="s">
        <v>1628</v>
      </c>
      <c r="F10" s="21" t="s">
        <v>1629</v>
      </c>
      <c r="G10" s="21" t="s">
        <v>839</v>
      </c>
      <c r="H10" s="22" t="s">
        <v>1630</v>
      </c>
      <c r="I10" s="22" t="s">
        <v>1631</v>
      </c>
      <c r="J10" s="22" t="s">
        <v>1632</v>
      </c>
      <c r="K10" s="22" t="s">
        <v>1630</v>
      </c>
      <c r="L10" s="120"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10" s="22" t="s">
        <v>1631</v>
      </c>
      <c r="N10" s="120"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10" t="s">
        <v>1031</v>
      </c>
      <c r="P10" s="120"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10" t="s">
        <v>1032</v>
      </c>
      <c r="R10" s="23" t="s">
        <v>1633</v>
      </c>
      <c r="S10" t="s">
        <v>1033</v>
      </c>
      <c r="T10" s="14"/>
    </row>
    <row r="11" spans="1:20" ht="96" customHeight="1" x14ac:dyDescent="0.4">
      <c r="A11" s="21" t="s">
        <v>519</v>
      </c>
      <c r="B11" s="21" t="s">
        <v>1578</v>
      </c>
      <c r="C11" s="21" t="s">
        <v>599</v>
      </c>
      <c r="D11" s="21" t="s">
        <v>1634</v>
      </c>
      <c r="E11" s="21" t="s">
        <v>1635</v>
      </c>
      <c r="F11" s="21" t="s">
        <v>1106</v>
      </c>
      <c r="G11" s="21" t="s">
        <v>839</v>
      </c>
      <c r="H11" s="22" t="s">
        <v>1636</v>
      </c>
      <c r="I11" s="22" t="s">
        <v>1637</v>
      </c>
      <c r="J11" s="22" t="s">
        <v>1638</v>
      </c>
      <c r="K11" s="22" t="s">
        <v>1636</v>
      </c>
      <c r="L11" s="120" t="str">
        <f>HYPERLINK("C:\Users\sskjh\antigravity\01_전문업무_및_엔지니어링\11_현장_프로젝트\01_동탄트램\08.메뉴얼 및 평면도\최종\02_메뉴얼 공종프로섹스(집행단계)\매뉴얼BODY(집행단계-첨부폴더)v8\4.상부강화노반\10_기공승낙 적정성 검토\표준서\10_기공승낙 적정성 검토_표준서.html","👉 [클릭] 표준서 열기 📄")</f>
        <v>👉 [클릭] 표준서 열기 📄</v>
      </c>
      <c r="M11" s="22" t="s">
        <v>1637</v>
      </c>
      <c r="N11" s="120" t="str">
        <f>HYPERLINK("C:\Users\sskjh\antigravity\01_전문업무_및_엔지니어링\11_현장_프로젝트\01_동탄트램\08.메뉴얼 및 평면도\최종\02_메뉴얼 공종프로섹스(집행단계)\매뉴얼BODY(집행단계-첨부폴더)v8\4.상부강화노반\10_기공승낙 적정성 검토\수행지침\기공승낙 적정성 검토_수행지침.html","👉 [클릭] 수행지침 열기 📄")</f>
        <v>👉 [클릭] 수행지침 열기 📄</v>
      </c>
      <c r="O11" t="s">
        <v>1031</v>
      </c>
      <c r="P11" s="120" t="str">
        <f>HYPERLINK("C:\Users\sskjh\antigravity\01_전문업무_및_엔지니어링\11_현장_프로젝트\01_동탄트램\08.메뉴얼 및 평면도\최종\02_메뉴얼 공종프로섹스(집행단계)\매뉴얼BODY(집행단계-첨부폴더)v8\4.상부강화노반\10_기공승낙 적정성 검토\체크리스트\10_기공승낙 적정성 검토_체크리스트.html","👉 [클릭] 체크리스트 열기 📄")</f>
        <v>👉 [클릭] 체크리스트 열기 📄</v>
      </c>
      <c r="Q11" t="s">
        <v>1032</v>
      </c>
      <c r="R11" s="23" t="s">
        <v>1639</v>
      </c>
      <c r="S11" t="s">
        <v>1033</v>
      </c>
      <c r="T11" s="14"/>
    </row>
    <row r="12" spans="1:20" ht="96" customHeight="1" x14ac:dyDescent="0.4">
      <c r="A12" s="21" t="s">
        <v>519</v>
      </c>
      <c r="B12" s="21" t="s">
        <v>1578</v>
      </c>
      <c r="C12" s="21" t="s">
        <v>599</v>
      </c>
      <c r="D12" s="21" t="s">
        <v>1640</v>
      </c>
      <c r="E12" s="21" t="s">
        <v>1641</v>
      </c>
      <c r="F12" s="21" t="s">
        <v>1642</v>
      </c>
      <c r="G12" s="21" t="s">
        <v>839</v>
      </c>
      <c r="H12" s="22" t="s">
        <v>1643</v>
      </c>
      <c r="I12" s="22" t="s">
        <v>1644</v>
      </c>
      <c r="J12" s="22" t="s">
        <v>1645</v>
      </c>
      <c r="K12" s="22" t="s">
        <v>1643</v>
      </c>
      <c r="L12" s="120" t="str">
        <f>HYPERLINK("C:\Users\sskjh\antigravity\01_전문업무_및_엔지니어링\11_현장_프로젝트\01_동탄트램\08.메뉴얼 및 평면도\최종\02_메뉴얼 공종프로섹스(집행단계)\매뉴얼BODY(집행단계-첨부폴더)v8\4.상부강화노반\11_폐기물처리계획 수립\표준서\11_폐기물처리계획 수립_표준서.html","👉 [클릭] 표준서 열기 📄")</f>
        <v>👉 [클릭] 표준서 열기 📄</v>
      </c>
      <c r="M12" s="22" t="s">
        <v>1644</v>
      </c>
      <c r="N12" s="120" t="str">
        <f>HYPERLINK("C:\Users\sskjh\antigravity\01_전문업무_및_엔지니어링\11_현장_프로젝트\01_동탄트램\08.메뉴얼 및 평면도\최종\02_메뉴얼 공종프로섹스(집행단계)\매뉴얼BODY(집행단계-첨부폴더)v8\4.상부강화노반\11_폐기물처리계획 수립\수행지침\폐기물처리계획 수립_수행지침.html","👉 [클릭] 수행지침 열기 📄")</f>
        <v>👉 [클릭] 수행지침 열기 📄</v>
      </c>
      <c r="O12" t="s">
        <v>1031</v>
      </c>
      <c r="P12" s="120" t="str">
        <f>HYPERLINK("C:\Users\sskjh\antigravity\01_전문업무_및_엔지니어링\11_현장_프로젝트\01_동탄트램\08.메뉴얼 및 평면도\최종\02_메뉴얼 공종프로섹스(집행단계)\매뉴얼BODY(집행단계-첨부폴더)v8\4.상부강화노반\11_폐기물처리계획 수립\체크리스트\11_폐기물처리계획 수립_체크리스트.html","👉 [클릭] 체크리스트 열기 📄")</f>
        <v>👉 [클릭] 체크리스트 열기 📄</v>
      </c>
      <c r="Q12" t="s">
        <v>1032</v>
      </c>
      <c r="R12" s="23" t="s">
        <v>1646</v>
      </c>
      <c r="S12" t="s">
        <v>1033</v>
      </c>
      <c r="T12" s="14"/>
    </row>
    <row r="13" spans="1:20" ht="96" customHeight="1" x14ac:dyDescent="0.4">
      <c r="A13" s="21" t="s">
        <v>519</v>
      </c>
      <c r="B13" s="21" t="s">
        <v>1578</v>
      </c>
      <c r="C13" s="21" t="s">
        <v>599</v>
      </c>
      <c r="D13" s="21" t="s">
        <v>1647</v>
      </c>
      <c r="E13" s="21" t="s">
        <v>1641</v>
      </c>
      <c r="F13" s="21" t="s">
        <v>1648</v>
      </c>
      <c r="G13" s="21" t="s">
        <v>839</v>
      </c>
      <c r="H13" s="22" t="s">
        <v>1649</v>
      </c>
      <c r="I13" s="22" t="s">
        <v>1650</v>
      </c>
      <c r="J13" s="22" t="s">
        <v>1651</v>
      </c>
      <c r="K13" s="22" t="s">
        <v>1649</v>
      </c>
      <c r="L13" s="120" t="str">
        <f>HYPERLINK("C:\Users\sskjh\antigravity\01_전문업무_및_엔지니어링\11_현장_프로젝트\01_동탄트램\08.메뉴얼 및 평면도\최종\02_메뉴얼 공종프로섹스(집행단계)\매뉴얼BODY(집행단계-첨부폴더)v8\4.상부강화노반\12_철도운행협의(필요시)\표준서\12_철도운행협의(필요시)_표준서.html","👉 [클릭] 표준서 열기 📄")</f>
        <v>👉 [클릭] 표준서 열기 📄</v>
      </c>
      <c r="M13" s="22" t="s">
        <v>1650</v>
      </c>
      <c r="N13" s="120" t="str">
        <f>HYPERLINK("C:\Users\sskjh\antigravity\01_전문업무_및_엔지니어링\11_현장_프로젝트\01_동탄트램\08.메뉴얼 및 평면도\최종\02_메뉴얼 공종프로섹스(집행단계)\매뉴얼BODY(집행단계-첨부폴더)v8\4.상부강화노반\12_철도운행협의(필요시)\수행지침\철도운행협의(필요시)_수행지침.html","👉 [클릭] 수행지침 열기 📄")</f>
        <v>👉 [클릭] 수행지침 열기 📄</v>
      </c>
      <c r="O13" t="s">
        <v>1031</v>
      </c>
      <c r="P13" s="120" t="str">
        <f>HYPERLINK("C:\Users\sskjh\antigravity\01_전문업무_및_엔지니어링\11_현장_프로젝트\01_동탄트램\08.메뉴얼 및 평면도\최종\02_메뉴얼 공종프로섹스(집행단계)\매뉴얼BODY(집행단계-첨부폴더)v8\4.상부강화노반\12_철도운행협의(필요시)\체크리스트\12_철도운행협의(필요시)_체크리스트.html","👉 [클릭] 체크리스트 열기 📄")</f>
        <v>👉 [클릭] 체크리스트 열기 📄</v>
      </c>
      <c r="Q13" t="s">
        <v>1032</v>
      </c>
      <c r="R13" s="23" t="s">
        <v>1652</v>
      </c>
      <c r="S13" t="s">
        <v>1033</v>
      </c>
      <c r="T13" s="14"/>
    </row>
    <row r="14" spans="1:20" ht="134.4" customHeight="1" x14ac:dyDescent="0.4">
      <c r="A14" s="21" t="s">
        <v>519</v>
      </c>
      <c r="B14" s="21" t="s">
        <v>1578</v>
      </c>
      <c r="C14" s="21" t="s">
        <v>599</v>
      </c>
      <c r="D14" s="21" t="s">
        <v>1653</v>
      </c>
      <c r="E14" s="21" t="s">
        <v>996</v>
      </c>
      <c r="F14" s="21" t="s">
        <v>1654</v>
      </c>
      <c r="G14" s="21" t="s">
        <v>839</v>
      </c>
      <c r="H14" s="22" t="s">
        <v>1655</v>
      </c>
      <c r="I14" s="22" t="s">
        <v>1656</v>
      </c>
      <c r="J14" s="22" t="s">
        <v>1657</v>
      </c>
      <c r="K14" s="22" t="s">
        <v>1655</v>
      </c>
      <c r="L14" s="120" t="str">
        <f>HYPERLINK("C:\Users\sskjh\antigravity\01_전문업무_및_엔지니어링\11_현장_프로젝트\01_동탄트램\08.메뉴얼 및 평면도\최종\02_메뉴얼 공종프로섹스(집행단계)\매뉴얼BODY(집행단계-첨부폴더)v8\4.상부강화노반\13_작수전 Big Room 회의\표준서\13_작수전 Big Room 회의_표준서.html","👉 [클릭] 표준서 열기 📄")</f>
        <v>👉 [클릭] 표준서 열기 📄</v>
      </c>
      <c r="M14" s="22" t="s">
        <v>1656</v>
      </c>
      <c r="N14" s="120" t="str">
        <f>HYPERLINK("C:\Users\sskjh\antigravity\01_전문업무_및_엔지니어링\11_현장_프로젝트\01_동탄트램\08.메뉴얼 및 평면도\최종\02_메뉴얼 공종프로섹스(집행단계)\매뉴얼BODY(집행단계-첨부폴더)v8\4.상부강화노반\13_작수전 Big Room 회의\수행지침\작수전 Big Room 회의_수행지침.html","👉 [클릭] 수행지침 열기 📄")</f>
        <v>👉 [클릭] 수행지침 열기 📄</v>
      </c>
      <c r="O14" t="s">
        <v>1031</v>
      </c>
      <c r="P14" s="120" t="str">
        <f>HYPERLINK("C:\Users\sskjh\antigravity\01_전문업무_및_엔지니어링\11_현장_프로젝트\01_동탄트램\08.메뉴얼 및 평면도\최종\02_메뉴얼 공종프로섹스(집행단계)\매뉴얼BODY(집행단계-첨부폴더)v8\4.상부강화노반\13_작수전 Big Room 회의\체크리스트\13_작수전 Big Room 회의_체크리스트.html","👉 [클릭] 체크리스트 열기 📄")</f>
        <v>👉 [클릭] 체크리스트 열기 📄</v>
      </c>
      <c r="Q14" t="s">
        <v>1032</v>
      </c>
      <c r="R14" s="23" t="s">
        <v>1658</v>
      </c>
      <c r="S14" t="s">
        <v>1033</v>
      </c>
      <c r="T14" s="14"/>
    </row>
    <row r="15" spans="1:20" ht="96" customHeight="1" x14ac:dyDescent="0.4">
      <c r="A15" s="21" t="s">
        <v>519</v>
      </c>
      <c r="B15" s="21" t="s">
        <v>1578</v>
      </c>
      <c r="C15" s="21" t="s">
        <v>599</v>
      </c>
      <c r="D15" s="21" t="s">
        <v>1659</v>
      </c>
      <c r="E15" s="21" t="s">
        <v>997</v>
      </c>
      <c r="F15" s="21" t="s">
        <v>1660</v>
      </c>
      <c r="G15" s="21" t="s">
        <v>839</v>
      </c>
      <c r="H15" s="22" t="s">
        <v>1661</v>
      </c>
      <c r="I15" s="22" t="s">
        <v>1662</v>
      </c>
      <c r="J15" s="22" t="s">
        <v>1663</v>
      </c>
      <c r="K15" s="22" t="s">
        <v>1661</v>
      </c>
      <c r="L15" s="120" t="str">
        <f>HYPERLINK("C:\Users\sskjh\antigravity\01_전문업무_및_엔지니어링\11_현장_프로젝트\01_동탄트램\08.메뉴얼 및 평면도\최종\02_메뉴얼 공종프로섹스(집행단계)\매뉴얼BODY(집행단계-첨부폴더)v8\4.상부강화노반\14_시공 계획 수립\표준서\14_시공 계획 수립_표준서.html","👉 [클릭] 표준서 열기 📄")</f>
        <v>👉 [클릭] 표준서 열기 📄</v>
      </c>
      <c r="M15" s="22" t="s">
        <v>1662</v>
      </c>
      <c r="N15" s="120" t="str">
        <f>HYPERLINK("C:\Users\sskjh\antigravity\01_전문업무_및_엔지니어링\11_현장_프로젝트\01_동탄트램\08.메뉴얼 및 평면도\최종\02_메뉴얼 공종프로섹스(집행단계)\매뉴얼BODY(집행단계-첨부폴더)v8\4.상부강화노반\14_시공 계획 수립\수행지침\시공 계획 수립_수행지침.html","👉 [클릭] 수행지침 열기 📄")</f>
        <v>👉 [클릭] 수행지침 열기 📄</v>
      </c>
      <c r="O15" t="s">
        <v>1031</v>
      </c>
      <c r="P15" s="120" t="str">
        <f>HYPERLINK("C:\Users\sskjh\antigravity\01_전문업무_및_엔지니어링\11_현장_프로젝트\01_동탄트램\08.메뉴얼 및 평면도\최종\02_메뉴얼 공종프로섹스(집행단계)\매뉴얼BODY(집행단계-첨부폴더)v8\4.상부강화노반\14_시공 계획 수립\체크리스트\14_시공 계획 수립_체크리스트.html","👉 [클릭] 체크리스트 열기 📄")</f>
        <v>👉 [클릭] 체크리스트 열기 📄</v>
      </c>
      <c r="Q15" t="s">
        <v>1032</v>
      </c>
      <c r="R15" s="23" t="s">
        <v>1664</v>
      </c>
      <c r="S15" t="s">
        <v>1033</v>
      </c>
      <c r="T15" s="14"/>
    </row>
    <row r="16" spans="1:20" ht="96" customHeight="1" x14ac:dyDescent="0.4">
      <c r="A16" s="21" t="s">
        <v>519</v>
      </c>
      <c r="B16" s="21" t="s">
        <v>1578</v>
      </c>
      <c r="C16" s="21" t="s">
        <v>599</v>
      </c>
      <c r="D16" s="21" t="s">
        <v>1665</v>
      </c>
      <c r="E16" s="21" t="s">
        <v>1635</v>
      </c>
      <c r="F16" s="21" t="s">
        <v>1666</v>
      </c>
      <c r="G16" s="21" t="s">
        <v>839</v>
      </c>
      <c r="H16" s="22" t="s">
        <v>1667</v>
      </c>
      <c r="I16" s="22" t="s">
        <v>1668</v>
      </c>
      <c r="J16" s="22" t="s">
        <v>1669</v>
      </c>
      <c r="K16" s="22" t="s">
        <v>1667</v>
      </c>
      <c r="L16" s="120"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확인\표준서\폐기물처리계획 수립_표준서.html","👉 [클릭] 표준서 열기 📄")</f>
        <v>👉 [클릭] 표준서 열기 📄</v>
      </c>
      <c r="M16" s="22" t="s">
        <v>1668</v>
      </c>
      <c r="N16" s="120"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확인\수행지침\폐기물처리계획 수립_수행지침.html","👉 [클릭] 수행지침 열기 📄")</f>
        <v>👉 [클릭] 수행지침 열기 📄</v>
      </c>
      <c r="O16" t="s">
        <v>1031</v>
      </c>
      <c r="P16" s="120"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확인\체크리스트\폐기물처리계획 수립_체크리스트.html","👉 [클릭] 체크리스트 열기 📄")</f>
        <v>👉 [클릭] 체크리스트 열기 📄</v>
      </c>
      <c r="Q16" t="s">
        <v>1032</v>
      </c>
      <c r="R16" s="23" t="s">
        <v>1670</v>
      </c>
      <c r="S16" t="s">
        <v>1033</v>
      </c>
      <c r="T16" s="14"/>
    </row>
    <row r="17" spans="1:20" ht="96" customHeight="1" x14ac:dyDescent="0.4">
      <c r="A17" s="21" t="s">
        <v>519</v>
      </c>
      <c r="B17" s="21" t="s">
        <v>1578</v>
      </c>
      <c r="C17" s="21" t="s">
        <v>599</v>
      </c>
      <c r="D17" s="21" t="s">
        <v>1671</v>
      </c>
      <c r="E17" s="21" t="s">
        <v>999</v>
      </c>
      <c r="F17" s="21" t="s">
        <v>1672</v>
      </c>
      <c r="G17" s="21" t="s">
        <v>839</v>
      </c>
      <c r="H17" s="22" t="s">
        <v>1673</v>
      </c>
      <c r="I17" s="22" t="s">
        <v>1674</v>
      </c>
      <c r="J17" s="22" t="s">
        <v>1675</v>
      </c>
      <c r="K17" s="22" t="s">
        <v>1673</v>
      </c>
      <c r="L17" s="120" t="str">
        <f>HYPERLINK("C:\Users\sskjh\antigravity\01_전문업무_및_엔지니어링\11_현장_프로젝트\01_동탄트램\08.메뉴얼 및 평면도\최종\02_메뉴얼 공종프로섹스(집행단계)\매뉴얼BODY(집행단계-첨부폴더)v8\4.상부강화노반\16_공사사전준비\표준서\16_공사사전준비_표준서.html","👉 [클릭] 표준서 열기 📄")</f>
        <v>👉 [클릭] 표준서 열기 📄</v>
      </c>
      <c r="M17" s="22" t="s">
        <v>1674</v>
      </c>
      <c r="N17" s="120" t="str">
        <f>HYPERLINK("C:\Users\sskjh\antigravity\01_전문업무_및_엔지니어링\11_현장_프로젝트\01_동탄트램\08.메뉴얼 및 평면도\최종\02_메뉴얼 공종프로섹스(집행단계)\매뉴얼BODY(집행단계-첨부폴더)v8\4.상부강화노반\16_공사사전준비\수행지침\공사사전준비_수행지침.html","👉 [클릭] 수행지침 열기 📄")</f>
        <v>👉 [클릭] 수행지침 열기 📄</v>
      </c>
      <c r="O17" t="s">
        <v>1031</v>
      </c>
      <c r="P17" s="120" t="str">
        <f>HYPERLINK("C:\Users\sskjh\antigravity\01_전문업무_및_엔지니어링\11_현장_프로젝트\01_동탄트램\08.메뉴얼 및 평면도\최종\02_메뉴얼 공종프로섹스(집행단계)\매뉴얼BODY(집행단계-첨부폴더)v8\4.상부강화노반\16_공사사전준비\체크리스트\16_공사사전준비_체크리스트.html","👉 [클릭] 체크리스트 열기 📄")</f>
        <v>👉 [클릭] 체크리스트 열기 📄</v>
      </c>
      <c r="Q17" t="s">
        <v>1032</v>
      </c>
      <c r="R17" s="23" t="s">
        <v>1676</v>
      </c>
      <c r="S17" t="s">
        <v>1033</v>
      </c>
      <c r="T17" s="14"/>
    </row>
    <row r="18" spans="1:20" ht="96" customHeight="1" x14ac:dyDescent="0.4">
      <c r="A18" s="21" t="s">
        <v>519</v>
      </c>
      <c r="B18" s="21" t="s">
        <v>1578</v>
      </c>
      <c r="C18" s="21" t="s">
        <v>599</v>
      </c>
      <c r="D18" s="21" t="s">
        <v>1677</v>
      </c>
      <c r="E18" s="21" t="s">
        <v>1678</v>
      </c>
      <c r="F18" s="21" t="s">
        <v>1679</v>
      </c>
      <c r="G18" s="21" t="s">
        <v>839</v>
      </c>
      <c r="H18" s="22" t="s">
        <v>1680</v>
      </c>
      <c r="I18" s="22" t="s">
        <v>1311</v>
      </c>
      <c r="J18" s="22" t="s">
        <v>1312</v>
      </c>
      <c r="K18" s="22" t="s">
        <v>1680</v>
      </c>
      <c r="L18" s="120" t="str">
        <f>HYPERLINK("C:\Users\sskjh\antigravity\01_전문업무_및_엔지니어링\11_현장_프로젝트\01_동탄트램\08.메뉴얼 및 평면도\최종\02_메뉴얼 공종프로섹스(집행단계)\매뉴얼BODY(집행단계-첨부폴더)v8\4.상부강화노반\17_임시배수시설\표준서\17_임시배수시설_표준서.html","👉 [클릭] 표준서 열기 📄")</f>
        <v>👉 [클릭] 표준서 열기 📄</v>
      </c>
      <c r="M18" s="22" t="s">
        <v>1311</v>
      </c>
      <c r="N18" s="120" t="str">
        <f>HYPERLINK("C:\Users\sskjh\antigravity\01_전문업무_및_엔지니어링\11_현장_프로젝트\01_동탄트램\08.메뉴얼 및 평면도\최종\02_메뉴얼 공종프로섹스(집행단계)\매뉴얼BODY(집행단계-첨부폴더)v8\4.상부강화노반\17_임시배수시설\수행지침\임시배수시설_수행지침.html","👉 [클릭] 수행지침 열기 📄")</f>
        <v>👉 [클릭] 수행지침 열기 📄</v>
      </c>
      <c r="O18" t="s">
        <v>1031</v>
      </c>
      <c r="P18" s="120" t="str">
        <f>HYPERLINK("C:\Users\sskjh\antigravity\01_전문업무_및_엔지니어링\11_현장_프로젝트\01_동탄트램\08.메뉴얼 및 평면도\최종\02_메뉴얼 공종프로섹스(집행단계)\매뉴얼BODY(집행단계-첨부폴더)v8\4.상부강화노반\17_임시배수시설\체크리스트\17_임시배수시설_체크리스트.html","👉 [클릭] 체크리스트 열기 📄")</f>
        <v>👉 [클릭] 체크리스트 열기 📄</v>
      </c>
      <c r="Q18" t="s">
        <v>1032</v>
      </c>
      <c r="R18" s="23" t="s">
        <v>1681</v>
      </c>
      <c r="S18" t="s">
        <v>1033</v>
      </c>
      <c r="T18" s="14"/>
    </row>
    <row r="19" spans="1:20" ht="96" customHeight="1" x14ac:dyDescent="0.4">
      <c r="A19" s="21" t="s">
        <v>519</v>
      </c>
      <c r="B19" s="21" t="s">
        <v>1578</v>
      </c>
      <c r="C19" s="21" t="s">
        <v>599</v>
      </c>
      <c r="D19" s="21" t="s">
        <v>1682</v>
      </c>
      <c r="E19" s="21" t="s">
        <v>1683</v>
      </c>
      <c r="F19" s="21" t="s">
        <v>1684</v>
      </c>
      <c r="G19" s="21" t="s">
        <v>839</v>
      </c>
      <c r="H19" s="22" t="s">
        <v>1685</v>
      </c>
      <c r="I19" s="22" t="s">
        <v>1686</v>
      </c>
      <c r="J19" s="22" t="s">
        <v>1687</v>
      </c>
      <c r="K19" s="22" t="s">
        <v>1685</v>
      </c>
      <c r="L19" s="120" t="str">
        <f>HYPERLINK("C:\Users\sskjh\antigravity\01_전문업무_및_엔지니어링\11_현장_프로젝트\01_동탄트램\08.메뉴얼 및 평면도\최종\02_메뉴얼 공종프로섹스(집행단계)\매뉴얼BODY(집행단계-첨부폴더)v8\4.상부강화노반\18_쌓기재료 검사\표준서\18_쌓기재료 검사_표준서.html","👉 [클릭] 표준서 열기 📄")</f>
        <v>👉 [클릭] 표준서 열기 📄</v>
      </c>
      <c r="M19" s="22" t="s">
        <v>1686</v>
      </c>
      <c r="N19" s="120" t="str">
        <f>HYPERLINK("C:\Users\sskjh\antigravity\01_전문업무_및_엔지니어링\11_현장_프로젝트\01_동탄트램\08.메뉴얼 및 평면도\최종\02_메뉴얼 공종프로섹스(집행단계)\매뉴얼BODY(집행단계-첨부폴더)v8\4.상부강화노반\18_쌓기재료 검사\수행지침\쌓기재료 검사_수행지침.html","👉 [클릭] 수행지침 열기 📄")</f>
        <v>👉 [클릭] 수행지침 열기 📄</v>
      </c>
      <c r="O19" t="s">
        <v>1031</v>
      </c>
      <c r="P19" s="120" t="str">
        <f>HYPERLINK("C:\Users\sskjh\antigravity\01_전문업무_및_엔지니어링\11_현장_프로젝트\01_동탄트램\08.메뉴얼 및 평면도\최종\02_메뉴얼 공종프로섹스(집행단계)\매뉴얼BODY(집행단계-첨부폴더)v8\4.상부강화노반\18_쌓기재료 검사\체크리스트\18_쌓기재료 검사_체크리스트.html","👉 [클릭] 체크리스트 열기 📄")</f>
        <v>👉 [클릭] 체크리스트 열기 📄</v>
      </c>
      <c r="Q19" t="s">
        <v>1032</v>
      </c>
      <c r="R19" s="23" t="s">
        <v>1688</v>
      </c>
      <c r="S19" t="s">
        <v>1033</v>
      </c>
      <c r="T19" s="14"/>
    </row>
    <row r="20" spans="1:20" ht="96" customHeight="1" x14ac:dyDescent="0.4">
      <c r="A20" s="21" t="s">
        <v>519</v>
      </c>
      <c r="B20" s="21" t="s">
        <v>1578</v>
      </c>
      <c r="C20" s="21" t="s">
        <v>599</v>
      </c>
      <c r="D20" s="21" t="s">
        <v>1689</v>
      </c>
      <c r="E20" s="21" t="s">
        <v>1162</v>
      </c>
      <c r="F20" s="21" t="s">
        <v>1163</v>
      </c>
      <c r="G20" s="21" t="s">
        <v>839</v>
      </c>
      <c r="H20" s="22" t="s">
        <v>1690</v>
      </c>
      <c r="I20" s="22" t="s">
        <v>1691</v>
      </c>
      <c r="J20" s="22" t="s">
        <v>1692</v>
      </c>
      <c r="K20" s="22" t="s">
        <v>1690</v>
      </c>
      <c r="L20" s="120" t="str">
        <f>HYPERLINK("C:\Users\sskjh\antigravity\01_전문업무_및_엔지니어링\11_현장_프로젝트\01_동탄트램\08.메뉴얼 및 평면도\최종\02_메뉴얼 공종프로섹스(집행단계)\매뉴얼BODY(집행단계-첨부폴더)v8\4.상부강화노반\19_장비 검수 지원\표준서\19_장비 검수 지원_표준서.html","👉 [클릭] 표준서 열기 📄")</f>
        <v>👉 [클릭] 표준서 열기 📄</v>
      </c>
      <c r="M20" s="22" t="s">
        <v>1691</v>
      </c>
      <c r="N20" s="120" t="str">
        <f>HYPERLINK("C:\Users\sskjh\antigravity\01_전문업무_및_엔지니어링\11_현장_프로젝트\01_동탄트램\08.메뉴얼 및 평면도\최종\02_메뉴얼 공종프로섹스(집행단계)\매뉴얼BODY(집행단계-첨부폴더)v8\4.상부강화노반\19_장비 검수 지원\수행지침\장비 검수 지원_수행지침.html","👉 [클릭] 수행지침 열기 📄")</f>
        <v>👉 [클릭] 수행지침 열기 📄</v>
      </c>
      <c r="O20" t="s">
        <v>1031</v>
      </c>
      <c r="P20" s="120" t="str">
        <f>HYPERLINK("C:\Users\sskjh\antigravity\01_전문업무_및_엔지니어링\11_현장_프로젝트\01_동탄트램\08.메뉴얼 및 평면도\최종\02_메뉴얼 공종프로섹스(집행단계)\매뉴얼BODY(집행단계-첨부폴더)v8\4.상부강화노반\19_장비 검수 지원\체크리스트\19_장비 검수 지원_체크리스트.html","👉 [클릭] 체크리스트 열기 📄")</f>
        <v>👉 [클릭] 체크리스트 열기 📄</v>
      </c>
      <c r="Q20" t="s">
        <v>1032</v>
      </c>
      <c r="R20" s="23" t="s">
        <v>1693</v>
      </c>
      <c r="S20" t="s">
        <v>1033</v>
      </c>
      <c r="T20" s="14"/>
    </row>
    <row r="21" spans="1:20" ht="96" customHeight="1" x14ac:dyDescent="0.4">
      <c r="A21" s="21" t="s">
        <v>519</v>
      </c>
      <c r="B21" s="21" t="s">
        <v>1578</v>
      </c>
      <c r="C21" s="21" t="s">
        <v>599</v>
      </c>
      <c r="D21" s="21" t="s">
        <v>1694</v>
      </c>
      <c r="E21" s="21" t="s">
        <v>1695</v>
      </c>
      <c r="F21" s="21" t="s">
        <v>1696</v>
      </c>
      <c r="G21" s="21" t="s">
        <v>839</v>
      </c>
      <c r="H21" s="22" t="s">
        <v>1697</v>
      </c>
      <c r="I21" s="22" t="s">
        <v>1698</v>
      </c>
      <c r="J21" s="22" t="s">
        <v>1699</v>
      </c>
      <c r="K21" s="22" t="s">
        <v>1697</v>
      </c>
      <c r="L21" s="120"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용지경계측량\표준서\20_선로 종_횡단 및 용지경계측량_표준서.html","👉 [클릭] 표준서 열기 📄")</f>
        <v>👉 [클릭] 표준서 열기 📄</v>
      </c>
      <c r="M21" s="22" t="s">
        <v>1698</v>
      </c>
      <c r="N21" s="120"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용지경계측량\수행지침\선로 종_횡단 및 용지경계측량_수행지침.html","👉 [클릭] 수행지침 열기 📄")</f>
        <v>👉 [클릭] 수행지침 열기 📄</v>
      </c>
      <c r="O21" t="s">
        <v>1031</v>
      </c>
      <c r="P21" s="120"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용지경계측량\체크리스트\20_선로 종_횡단 및 용지경계측량_체크리스트.html","👉 [클릭] 체크리스트 열기 📄")</f>
        <v>👉 [클릭] 체크리스트 열기 📄</v>
      </c>
      <c r="Q21" t="s">
        <v>1032</v>
      </c>
      <c r="R21" s="23" t="s">
        <v>1700</v>
      </c>
      <c r="S21" t="s">
        <v>1033</v>
      </c>
      <c r="T21" s="14"/>
    </row>
    <row r="22" spans="1:20" ht="115.2" customHeight="1" x14ac:dyDescent="0.4">
      <c r="A22" s="21" t="s">
        <v>519</v>
      </c>
      <c r="B22" s="21" t="s">
        <v>1578</v>
      </c>
      <c r="C22" s="21" t="s">
        <v>599</v>
      </c>
      <c r="D22" s="21" t="s">
        <v>1701</v>
      </c>
      <c r="E22" s="21" t="s">
        <v>1695</v>
      </c>
      <c r="F22" s="21" t="s">
        <v>1702</v>
      </c>
      <c r="G22" s="21" t="s">
        <v>839</v>
      </c>
      <c r="H22" s="22" t="s">
        <v>1703</v>
      </c>
      <c r="I22" s="22" t="s">
        <v>1704</v>
      </c>
      <c r="J22" s="22" t="s">
        <v>1705</v>
      </c>
      <c r="K22" s="22" t="s">
        <v>1703</v>
      </c>
      <c r="L22" s="120" t="str">
        <f>HYPERLINK("C:\Users\sskjh\antigravity\01_전문업무_및_엔지니어링\11_현장_프로젝트\01_동탄트램\08.메뉴얼 및 평면도\최종\02_메뉴얼 공종프로섹스(집행단계)\매뉴얼BODY(집행단계-첨부폴더)v8\4.상부강화노반\21_규준틀 설치\표준서\21_규준틀 설치_표준서.html","👉 [클릭] 표준서 열기 📄")</f>
        <v>👉 [클릭] 표준서 열기 📄</v>
      </c>
      <c r="M22" s="22" t="s">
        <v>1704</v>
      </c>
      <c r="N22" s="120" t="str">
        <f>HYPERLINK("C:\Users\sskjh\antigravity\01_전문업무_및_엔지니어링\11_현장_프로젝트\01_동탄트램\08.메뉴얼 및 평면도\최종\02_메뉴얼 공종프로섹스(집행단계)\매뉴얼BODY(집행단계-첨부폴더)v8\4.상부강화노반\21_규준틀 설치\수행지침\21_규준틀 설치_수행지침.html","👉 [클릭] 수행지침 열기 📄")</f>
        <v>👉 [클릭] 수행지침 열기 📄</v>
      </c>
      <c r="O22" t="s">
        <v>1031</v>
      </c>
      <c r="P22" s="120" t="str">
        <f>HYPERLINK("C:\Users\sskjh\antigravity\01_전문업무_및_엔지니어링\11_현장_프로젝트\01_동탄트램\08.메뉴얼 및 평면도\최종\02_메뉴얼 공종프로섹스(집행단계)\매뉴얼BODY(집행단계-첨부폴더)v8\4.상부강화노반\21_규준틀 설치\체크리스트\21_규준틀 설치_체크리스트.html","👉 [클릭] 체크리스트 열기 📄")</f>
        <v>👉 [클릭] 체크리스트 열기 📄</v>
      </c>
      <c r="Q22" t="s">
        <v>1032</v>
      </c>
      <c r="R22" s="23" t="s">
        <v>1706</v>
      </c>
      <c r="S22" t="s">
        <v>1033</v>
      </c>
      <c r="T22" s="14"/>
    </row>
    <row r="23" spans="1:20" ht="115.2" customHeight="1" x14ac:dyDescent="0.4">
      <c r="A23" s="21" t="s">
        <v>519</v>
      </c>
      <c r="B23" s="21" t="s">
        <v>1578</v>
      </c>
      <c r="C23" s="21" t="s">
        <v>599</v>
      </c>
      <c r="D23" s="21" t="s">
        <v>1707</v>
      </c>
      <c r="E23" s="21" t="s">
        <v>1708</v>
      </c>
      <c r="F23" s="21" t="s">
        <v>1709</v>
      </c>
      <c r="G23" s="21" t="s">
        <v>839</v>
      </c>
      <c r="H23" s="22" t="s">
        <v>1710</v>
      </c>
      <c r="I23" s="22" t="s">
        <v>1711</v>
      </c>
      <c r="J23" s="22" t="s">
        <v>1712</v>
      </c>
      <c r="K23" s="22" t="s">
        <v>1710</v>
      </c>
      <c r="L23" s="120" t="str">
        <f>HYPERLINK("C:\Users\sskjh\antigravity\01_전문업무_및_엔지니어링\11_현장_프로젝트\01_동탄트램\08.메뉴얼 및 평면도\최종\02_메뉴얼 공종프로섹스(집행단계)\매뉴얼BODY(집행단계-첨부폴더)v8\4.상부강화노반\22_준비배수\표준서\22_준비배수_표준서.html","👉 [클릭] 표준서 열기 📄")</f>
        <v>👉 [클릭] 표준서 열기 📄</v>
      </c>
      <c r="M23" s="22" t="s">
        <v>1711</v>
      </c>
      <c r="N23" s="120" t="str">
        <f>HYPERLINK("C:\Users\sskjh\antigravity\01_전문업무_및_엔지니어링\11_현장_프로젝트\01_동탄트램\08.메뉴얼 및 평면도\최종\02_메뉴얼 공종프로섹스(집행단계)\매뉴얼BODY(집행단계-첨부폴더)v8\4.상부강화노반\22_준비배수\수행지침\22_준비배수_수행지침.html","👉 [클릭] 수행지침 열기 📄")</f>
        <v>👉 [클릭] 수행지침 열기 📄</v>
      </c>
      <c r="O23" t="s">
        <v>1031</v>
      </c>
      <c r="P23" s="120" t="str">
        <f>HYPERLINK("C:\Users\sskjh\antigravity\01_전문업무_및_엔지니어링\11_현장_프로젝트\01_동탄트램\08.메뉴얼 및 평면도\최종\02_메뉴얼 공종프로섹스(집행단계)\매뉴얼BODY(집행단계-첨부폴더)v8\4.상부강화노반\22_준비배수\체크리스트\22_준비배수_체크리스트.html","👉 [클릭] 체크리스트 열기 📄")</f>
        <v>👉 [클릭] 체크리스트 열기 📄</v>
      </c>
      <c r="Q23" t="s">
        <v>1032</v>
      </c>
      <c r="R23" s="23" t="s">
        <v>1713</v>
      </c>
      <c r="S23" t="s">
        <v>1033</v>
      </c>
      <c r="T23" s="14"/>
    </row>
    <row r="24" spans="1:20" ht="115.2" customHeight="1" x14ac:dyDescent="0.4">
      <c r="A24" s="21" t="s">
        <v>519</v>
      </c>
      <c r="B24" s="21" t="s">
        <v>1578</v>
      </c>
      <c r="C24" s="21" t="s">
        <v>599</v>
      </c>
      <c r="D24" s="21" t="s">
        <v>1714</v>
      </c>
      <c r="E24" s="21" t="s">
        <v>1177</v>
      </c>
      <c r="F24" s="21" t="s">
        <v>1715</v>
      </c>
      <c r="G24" s="21" t="s">
        <v>839</v>
      </c>
      <c r="H24" s="22" t="s">
        <v>1716</v>
      </c>
      <c r="I24" s="22" t="s">
        <v>1717</v>
      </c>
      <c r="J24" s="22" t="s">
        <v>1718</v>
      </c>
      <c r="K24" s="22" t="s">
        <v>1716</v>
      </c>
      <c r="L24" s="120" t="str">
        <f>HYPERLINK("C:\Users\sskjh\antigravity\01_전문업무_및_엔지니어링\11_현장_프로젝트\01_동탄트램\08.메뉴얼 및 평면도\최종\02_메뉴얼 공종프로섹스(집행단계)\매뉴얼BODY(집행단계-첨부폴더)v8\4.상부강화노반\21_벌개제근 및 표토 깎기\표준서\벌개제근 및 표토 깎기_표준서.html","👉 [클릭] 표준서 열기 📄")</f>
        <v>👉 [클릭] 표준서 열기 📄</v>
      </c>
      <c r="M24" s="22" t="s">
        <v>1717</v>
      </c>
      <c r="N24" s="120" t="str">
        <f>HYPERLINK("C:\Users\sskjh\antigravity\01_전문업무_및_엔지니어링\11_현장_프로젝트\01_동탄트램\08.메뉴얼 및 평면도\최종\02_메뉴얼 공종프로섹스(집행단계)\매뉴얼BODY(집행단계-첨부폴더)v8\4.상부강화노반\21_벌개제근 및 표토 깎기\수행지침\규준틀 설치_수행지침.html","👉 [클릭] 수행지침 열기 📄")</f>
        <v>👉 [클릭] 수행지침 열기 📄</v>
      </c>
      <c r="O24" t="s">
        <v>1031</v>
      </c>
      <c r="P24" s="120" t="str">
        <f>HYPERLINK("C:\Users\sskjh\antigravity\01_전문업무_및_엔지니어링\11_현장_프로젝트\01_동탄트램\08.메뉴얼 및 평면도\최종\02_메뉴얼 공종프로섹스(집행단계)\매뉴얼BODY(집행단계-첨부폴더)v8\4.상부강화노반\21_벌개제근 및 표토 깎기\체크리스트\규준틀 설치_체크리스트.html","👉 [클릭] 체크리스트 열기 📄")</f>
        <v>👉 [클릭] 체크리스트 열기 📄</v>
      </c>
      <c r="Q24" t="s">
        <v>1032</v>
      </c>
      <c r="R24" s="23" t="s">
        <v>1719</v>
      </c>
      <c r="S24" t="s">
        <v>1033</v>
      </c>
      <c r="T24" s="14"/>
    </row>
    <row r="25" spans="1:20" ht="115.2" customHeight="1" x14ac:dyDescent="0.4">
      <c r="A25" s="21" t="s">
        <v>519</v>
      </c>
      <c r="B25" s="21" t="s">
        <v>1578</v>
      </c>
      <c r="C25" s="21" t="s">
        <v>599</v>
      </c>
      <c r="D25" s="21" t="s">
        <v>1720</v>
      </c>
      <c r="E25" s="21" t="s">
        <v>1170</v>
      </c>
      <c r="F25" s="21" t="s">
        <v>1721</v>
      </c>
      <c r="G25" s="21" t="s">
        <v>839</v>
      </c>
      <c r="H25" s="22" t="s">
        <v>1722</v>
      </c>
      <c r="I25" s="22" t="s">
        <v>1723</v>
      </c>
      <c r="J25" s="22" t="s">
        <v>1724</v>
      </c>
      <c r="K25" s="22" t="s">
        <v>1722</v>
      </c>
      <c r="L25" s="120" t="str">
        <f>HYPERLINK("C:\Users\sskjh\antigravity\01_전문업무_및_엔지니어링\11_현장_프로젝트\01_동탄트램\08.메뉴얼 및 평면도\최종\02_메뉴얼 공종프로섹스(집행단계)\매뉴얼BODY(집행단계-첨부폴더)v8\4.상부강화노반\24_구조물 및 지장물 제거\표준서\24_구조물 및 지장물 제거_표준서.html","👉 [클릭] 표준서 열기 📄")</f>
        <v>👉 [클릭] 표준서 열기 📄</v>
      </c>
      <c r="M25" s="22" t="s">
        <v>1723</v>
      </c>
      <c r="N25" s="120" t="str">
        <f>HYPERLINK("C:\Users\sskjh\antigravity\01_전문업무_및_엔지니어링\11_현장_프로젝트\01_동탄트램\08.메뉴얼 및 평면도\최종\02_메뉴얼 공종프로섹스(집행단계)\매뉴얼BODY(집행단계-첨부폴더)v8\4.상부강화노반\24_구조물 및 지장물 제거\수행지침\24_구조물 및 지장물 제거_수행지침.html","👉 [클릭] 수행지침 열기 📄")</f>
        <v>👉 [클릭] 수행지침 열기 📄</v>
      </c>
      <c r="O25" t="s">
        <v>1031</v>
      </c>
      <c r="P25" s="120" t="str">
        <f>HYPERLINK("C:\Users\sskjh\antigravity\01_전문업무_및_엔지니어링\11_현장_프로젝트\01_동탄트램\08.메뉴얼 및 평면도\최종\02_메뉴얼 공종프로섹스(집행단계)\매뉴얼BODY(집행단계-첨부폴더)v8\4.상부강화노반\24_구조물 및 지장물 제거\체크리스트\24_구조물 및 지장물 제거_체크리스트.html","👉 [클릭] 체크리스트 열기 📄")</f>
        <v>👉 [클릭] 체크리스트 열기 📄</v>
      </c>
      <c r="Q25" t="s">
        <v>1032</v>
      </c>
      <c r="R25" s="23" t="s">
        <v>1725</v>
      </c>
      <c r="S25" t="s">
        <v>1033</v>
      </c>
      <c r="T25" s="14"/>
    </row>
    <row r="26" spans="1:20" ht="115.2" customHeight="1" x14ac:dyDescent="0.4">
      <c r="A26" s="21" t="s">
        <v>519</v>
      </c>
      <c r="B26" s="21" t="s">
        <v>1578</v>
      </c>
      <c r="C26" s="21" t="s">
        <v>599</v>
      </c>
      <c r="D26" s="21" t="s">
        <v>1726</v>
      </c>
      <c r="E26" s="21" t="s">
        <v>1170</v>
      </c>
      <c r="F26" s="21" t="s">
        <v>1185</v>
      </c>
      <c r="G26" s="21" t="s">
        <v>839</v>
      </c>
      <c r="H26" s="22" t="s">
        <v>1727</v>
      </c>
      <c r="I26" s="22" t="s">
        <v>1728</v>
      </c>
      <c r="J26" s="22" t="s">
        <v>1729</v>
      </c>
      <c r="K26" s="22" t="s">
        <v>1727</v>
      </c>
      <c r="L26" s="120" t="str">
        <f>HYPERLINK("C:\Users\sskjh\antigravity\01_전문업무_및_엔지니어링\11_현장_프로젝트\01_동탄트램\08.메뉴얼 및 평면도\최종\02_메뉴얼 공종프로섹스(집행단계)\매뉴얼BODY(집행단계-첨부폴더)v8\4.상부강화노반\25_진입로 조성\표준서\25_진입로 조성_표준서.html","👉 [클릭] 표준서 열기 📄")</f>
        <v>👉 [클릭] 표준서 열기 📄</v>
      </c>
      <c r="M26" s="22" t="s">
        <v>1728</v>
      </c>
      <c r="N26" s="120" t="str">
        <f>HYPERLINK("C:\Users\sskjh\antigravity\01_전문업무_및_엔지니어링\11_현장_프로젝트\01_동탄트램\08.메뉴얼 및 평면도\최종\02_메뉴얼 공종프로섹스(집행단계)\매뉴얼BODY(집행단계-첨부폴더)v8\4.상부강화노반\25_진입로 조성\수행지침\25_진입로 조성_수행지침.html","👉 [클릭] 수행지침 열기 📄")</f>
        <v>👉 [클릭] 수행지침 열기 📄</v>
      </c>
      <c r="O26" t="s">
        <v>1031</v>
      </c>
      <c r="P26" s="120" t="str">
        <f>HYPERLINK("C:\Users\sskjh\antigravity\01_전문업무_및_엔지니어링\11_현장_프로젝트\01_동탄트램\08.메뉴얼 및 평면도\최종\02_메뉴얼 공종프로섹스(집행단계)\매뉴얼BODY(집행단계-첨부폴더)v8\4.상부강화노반\25_진입로 조성\체크리스트\25_진입로 조성_체크리스트.html","👉 [클릭] 체크리스트 열기 📄")</f>
        <v>👉 [클릭] 체크리스트 열기 📄</v>
      </c>
      <c r="Q26" t="s">
        <v>1032</v>
      </c>
      <c r="R26" s="23" t="s">
        <v>1730</v>
      </c>
      <c r="S26" t="s">
        <v>1033</v>
      </c>
      <c r="T26" s="14"/>
    </row>
    <row r="27" spans="1:20" ht="115.2" customHeight="1" x14ac:dyDescent="0.4">
      <c r="A27" s="21" t="s">
        <v>519</v>
      </c>
      <c r="B27" s="21" t="s">
        <v>1578</v>
      </c>
      <c r="C27" s="21" t="s">
        <v>599</v>
      </c>
      <c r="D27" s="21" t="s">
        <v>1731</v>
      </c>
      <c r="E27" s="21" t="s">
        <v>1732</v>
      </c>
      <c r="F27" s="21" t="s">
        <v>1733</v>
      </c>
      <c r="G27" s="21" t="s">
        <v>839</v>
      </c>
      <c r="H27" s="22" t="s">
        <v>1734</v>
      </c>
      <c r="I27" s="22" t="s">
        <v>1735</v>
      </c>
      <c r="J27" s="22" t="s">
        <v>1736</v>
      </c>
      <c r="K27" s="22" t="s">
        <v>1734</v>
      </c>
      <c r="L27" s="120"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다짐\표준서\노상(하부노반) 쌓기 및 다짐_표준서.html","👉 [클릭] 표준서 열기 📄")</f>
        <v>👉 [클릭] 표준서 열기 📄</v>
      </c>
      <c r="M27" s="22" t="s">
        <v>1735</v>
      </c>
      <c r="N27" s="120"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다짐\수행지침\노상(하부노반) 쌓기 및 다짐_수행지침.html","👉 [클릭] 수행지침 열기 📄")</f>
        <v>👉 [클릭] 수행지침 열기 📄</v>
      </c>
      <c r="O27" t="s">
        <v>1031</v>
      </c>
      <c r="P27" s="120"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다짐\체크리스트\노상(하부노반) 쌓기 및 다짐_체크리스트.html","👉 [클릭] 체크리스트 열기 📄")</f>
        <v>👉 [클릭] 체크리스트 열기 📄</v>
      </c>
      <c r="Q27" t="s">
        <v>1032</v>
      </c>
      <c r="R27" s="23" t="s">
        <v>1737</v>
      </c>
      <c r="S27" t="s">
        <v>1033</v>
      </c>
      <c r="T27" s="14"/>
    </row>
    <row r="28" spans="1:20" ht="115.2" customHeight="1" x14ac:dyDescent="0.4">
      <c r="A28" s="21" t="s">
        <v>519</v>
      </c>
      <c r="B28" s="21" t="s">
        <v>1578</v>
      </c>
      <c r="C28" s="21" t="s">
        <v>599</v>
      </c>
      <c r="D28" s="21" t="s">
        <v>1738</v>
      </c>
      <c r="E28" s="21" t="s">
        <v>1732</v>
      </c>
      <c r="F28" s="21" t="s">
        <v>1739</v>
      </c>
      <c r="G28" s="21" t="s">
        <v>839</v>
      </c>
      <c r="H28" s="22" t="s">
        <v>1740</v>
      </c>
      <c r="I28" s="22" t="s">
        <v>1741</v>
      </c>
      <c r="J28" s="22" t="s">
        <v>1742</v>
      </c>
      <c r="K28" s="22" t="s">
        <v>1740</v>
      </c>
      <c r="L28" s="120" t="str">
        <f>HYPERLINK("C:\Users\sskjh\antigravity\01_전문업무_및_엔지니어링\11_현장_프로젝트\01_동탄트램\08.메뉴얼 및 평면도\최종\02_메뉴얼 공종프로섹스(집행단계)\매뉴얼BODY(집행단계-첨부폴더)v8\4.상부강화노반\21_하부노반 검측\표준서\규준틀 설치_표준서.html","👉 [클릭] 표준서 열기 📄")</f>
        <v>👉 [클릭] 표준서 열기 📄</v>
      </c>
      <c r="M28" s="22" t="s">
        <v>1741</v>
      </c>
      <c r="N28" s="120" t="str">
        <f>HYPERLINK("C:\Users\sskjh\antigravity\01_전문업무_및_엔지니어링\11_현장_프로젝트\01_동탄트램\08.메뉴얼 및 평면도\최종\02_메뉴얼 공종프로섹스(집행단계)\매뉴얼BODY(집행단계-첨부폴더)v8\4.상부강화노반\21_하부노반 검측\수행지침\규준틀 설치_수행지침.html","👉 [클릭] 수행지침 열기 📄")</f>
        <v>👉 [클릭] 수행지침 열기 📄</v>
      </c>
      <c r="O28" t="s">
        <v>1031</v>
      </c>
      <c r="P28" s="120" t="str">
        <f>HYPERLINK("C:\Users\sskjh\antigravity\01_전문업무_및_엔지니어링\11_현장_프로젝트\01_동탄트램\08.메뉴얼 및 평면도\최종\02_메뉴얼 공종프로섹스(집행단계)\매뉴얼BODY(집행단계-첨부폴더)v8\4.상부강화노반\21_하부노반 검측\체크리스트\규준틀 설치_체크리스트.html","👉 [클릭] 체크리스트 열기 📄")</f>
        <v>👉 [클릭] 체크리스트 열기 📄</v>
      </c>
      <c r="Q28" t="s">
        <v>1032</v>
      </c>
      <c r="R28" s="23" t="s">
        <v>1743</v>
      </c>
      <c r="S28" t="s">
        <v>1033</v>
      </c>
      <c r="T28" s="14"/>
    </row>
    <row r="29" spans="1:20" ht="115.2" customHeight="1" x14ac:dyDescent="0.4">
      <c r="A29" s="21" t="s">
        <v>519</v>
      </c>
      <c r="B29" s="21" t="s">
        <v>1578</v>
      </c>
      <c r="C29" s="21" t="s">
        <v>599</v>
      </c>
      <c r="D29" s="21" t="s">
        <v>1744</v>
      </c>
      <c r="E29" s="21" t="s">
        <v>1732</v>
      </c>
      <c r="F29" s="21" t="s">
        <v>1745</v>
      </c>
      <c r="G29" s="21" t="s">
        <v>839</v>
      </c>
      <c r="H29" s="22" t="s">
        <v>1746</v>
      </c>
      <c r="I29" s="22" t="s">
        <v>1747</v>
      </c>
      <c r="J29" s="22" t="s">
        <v>1748</v>
      </c>
      <c r="K29" s="22" t="s">
        <v>1746</v>
      </c>
      <c r="L29" s="120"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포함)\표준서\준비배수_표준서.html","👉 [클릭] 표준서 열기 📄")</f>
        <v>👉 [클릭] 표준서 열기 📄</v>
      </c>
      <c r="M29" s="22" t="s">
        <v>1747</v>
      </c>
      <c r="N29" s="120"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포함)\수행지침\준비배수_수행지침.html","👉 [클릭] 수행지침 열기 📄")</f>
        <v>👉 [클릭] 수행지침 열기 📄</v>
      </c>
      <c r="O29" t="s">
        <v>1031</v>
      </c>
      <c r="P29" s="120"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포함)\체크리스트\준비배수_체크리스트.html","👉 [클릭] 체크리스트 열기 📄")</f>
        <v>👉 [클릭] 체크리스트 열기 📄</v>
      </c>
      <c r="Q29" t="s">
        <v>1032</v>
      </c>
      <c r="R29" s="23" t="s">
        <v>1749</v>
      </c>
      <c r="S29" t="s">
        <v>1033</v>
      </c>
      <c r="T29" s="14"/>
    </row>
    <row r="30" spans="1:20" ht="115.2" customHeight="1" x14ac:dyDescent="0.4">
      <c r="A30" s="21" t="s">
        <v>519</v>
      </c>
      <c r="B30" s="21" t="s">
        <v>1578</v>
      </c>
      <c r="C30" s="21" t="s">
        <v>599</v>
      </c>
      <c r="D30" s="21" t="s">
        <v>1750</v>
      </c>
      <c r="E30" s="21" t="s">
        <v>1732</v>
      </c>
      <c r="F30" s="21" t="s">
        <v>1751</v>
      </c>
      <c r="G30" s="21" t="s">
        <v>839</v>
      </c>
      <c r="H30" s="22" t="s">
        <v>1752</v>
      </c>
      <c r="I30" s="22" t="s">
        <v>1753</v>
      </c>
      <c r="J30" s="22" t="s">
        <v>1754</v>
      </c>
      <c r="K30" s="22" t="s">
        <v>1752</v>
      </c>
      <c r="L30" s="120" t="str">
        <f>HYPERLINK("C:\Users\sskjh\antigravity\01_전문업무_및_엔지니어링\11_현장_프로젝트\01_동탄트램\08.메뉴얼 및 평면도\최종\02_메뉴얼 공종프로섹스(집행단계)\매뉴얼BODY(집행단계-첨부폴더)v8\4.상부강화노반\23_상부강화노반 시공\표준서\강화노반 시공_표준서.html","👉 [클릭] 표준서 열기 📄")</f>
        <v>👉 [클릭] 표준서 열기 📄</v>
      </c>
      <c r="M30" s="22" t="s">
        <v>1753</v>
      </c>
      <c r="N30" s="120" t="str">
        <f>HYPERLINK("C:\Users\sskjh\antigravity\01_전문업무_및_엔지니어링\11_현장_프로젝트\01_동탄트램\08.메뉴얼 및 평면도\최종\02_메뉴얼 공종프로섹스(집행단계)\매뉴얼BODY(집행단계-첨부폴더)v8\4.상부강화노반\23_상부강화노반 시공\수행지침\강화노반 시공_수행지침.html","👉 [클릭] 수행지침 열기 📄")</f>
        <v>👉 [클릭] 수행지침 열기 📄</v>
      </c>
      <c r="O30" t="s">
        <v>1031</v>
      </c>
      <c r="P30" s="120" t="str">
        <f>HYPERLINK("C:\Users\sskjh\antigravity\01_전문업무_및_엔지니어링\11_현장_프로젝트\01_동탄트램\08.메뉴얼 및 평면도\최종\02_메뉴얼 공종프로섹스(집행단계)\매뉴얼BODY(집행단계-첨부폴더)v8\4.상부강화노반\23_상부강화노반 시공\체크리스트\강화노반 시공_체크리스트.html","👉 [클릭] 체크리스트 열기 📄")</f>
        <v>👉 [클릭] 체크리스트 열기 📄</v>
      </c>
      <c r="Q30" t="s">
        <v>1032</v>
      </c>
      <c r="R30" s="23" t="s">
        <v>1755</v>
      </c>
      <c r="S30" t="s">
        <v>1033</v>
      </c>
      <c r="T30" s="14"/>
    </row>
    <row r="31" spans="1:20" ht="115.2" customHeight="1" x14ac:dyDescent="0.4">
      <c r="A31" s="21" t="s">
        <v>519</v>
      </c>
      <c r="B31" s="21" t="s">
        <v>1578</v>
      </c>
      <c r="C31" s="21" t="s">
        <v>599</v>
      </c>
      <c r="D31" s="21" t="s">
        <v>1756</v>
      </c>
      <c r="E31" s="21" t="s">
        <v>1757</v>
      </c>
      <c r="F31" s="21" t="s">
        <v>1758</v>
      </c>
      <c r="G31" s="21" t="s">
        <v>839</v>
      </c>
      <c r="H31" s="22" t="s">
        <v>1759</v>
      </c>
      <c r="I31" s="22" t="s">
        <v>1760</v>
      </c>
      <c r="J31" s="22" t="s">
        <v>1761</v>
      </c>
      <c r="K31" s="22" t="s">
        <v>1759</v>
      </c>
      <c r="L31" s="120"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31" s="22" t="s">
        <v>1760</v>
      </c>
      <c r="N31" s="120"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31" t="s">
        <v>1031</v>
      </c>
      <c r="P31" s="120"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31" t="s">
        <v>1032</v>
      </c>
      <c r="R31" s="23" t="s">
        <v>1762</v>
      </c>
      <c r="S31" t="s">
        <v>1033</v>
      </c>
      <c r="T31" s="14"/>
    </row>
    <row r="32" spans="1:20" ht="115.2" customHeight="1" x14ac:dyDescent="0.4">
      <c r="A32" s="21" t="s">
        <v>519</v>
      </c>
      <c r="B32" s="21" t="s">
        <v>1578</v>
      </c>
      <c r="C32" s="21" t="s">
        <v>599</v>
      </c>
      <c r="D32" s="21" t="s">
        <v>1763</v>
      </c>
      <c r="E32" s="21" t="s">
        <v>1764</v>
      </c>
      <c r="F32" s="21" t="s">
        <v>1765</v>
      </c>
      <c r="G32" s="21" t="s">
        <v>839</v>
      </c>
      <c r="H32" s="22" t="s">
        <v>1766</v>
      </c>
      <c r="I32" s="22" t="s">
        <v>1767</v>
      </c>
      <c r="J32" s="22" t="s">
        <v>1768</v>
      </c>
      <c r="K32" s="22" t="s">
        <v>1766</v>
      </c>
      <c r="L32" s="120"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32" s="22" t="s">
        <v>1767</v>
      </c>
      <c r="N32" s="120"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32" t="s">
        <v>1031</v>
      </c>
      <c r="P32" s="120"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32" t="s">
        <v>1032</v>
      </c>
      <c r="R32" s="23" t="s">
        <v>1769</v>
      </c>
      <c r="S32" t="s">
        <v>1033</v>
      </c>
      <c r="T32" s="14"/>
    </row>
    <row r="33" spans="1:20" ht="115.2" customHeight="1" x14ac:dyDescent="0.4">
      <c r="A33" s="21" t="s">
        <v>519</v>
      </c>
      <c r="B33" s="21" t="s">
        <v>1578</v>
      </c>
      <c r="C33" s="21" t="s">
        <v>599</v>
      </c>
      <c r="D33" s="21" t="s">
        <v>1770</v>
      </c>
      <c r="E33" s="21" t="s">
        <v>1757</v>
      </c>
      <c r="F33" s="21" t="s">
        <v>1771</v>
      </c>
      <c r="G33" s="21" t="s">
        <v>839</v>
      </c>
      <c r="H33" s="22" t="s">
        <v>1772</v>
      </c>
      <c r="I33" s="22" t="s">
        <v>1773</v>
      </c>
      <c r="J33" s="22" t="s">
        <v>1774</v>
      </c>
      <c r="K33" s="22" t="s">
        <v>1772</v>
      </c>
      <c r="L33" s="120"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시공\표준서\32_절성토경계부 배수구조물(맹암거) 시공_표준서.html","👉 [클릭] 표준서 열기 📄")</f>
        <v>👉 [클릭] 표준서 열기 📄</v>
      </c>
      <c r="M33" s="22" t="s">
        <v>1773</v>
      </c>
      <c r="N33" s="120"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시공\수행지침\절성토경계부 배수구조물(맹암거) 시공_수행지침.html","👉 [클릭] 수행지침 열기 📄")</f>
        <v>👉 [클릭] 수행지침 열기 📄</v>
      </c>
      <c r="O33" t="s">
        <v>1031</v>
      </c>
      <c r="P33" s="120"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시공\체크리스트\32_절성토경계부 배수구조물(맹암거) 시공_체크리스트.html","👉 [클릭] 체크리스트 열기 📄")</f>
        <v>👉 [클릭] 체크리스트 열기 📄</v>
      </c>
      <c r="Q33" t="s">
        <v>1032</v>
      </c>
      <c r="R33" s="23" t="s">
        <v>1775</v>
      </c>
      <c r="S33" t="s">
        <v>1033</v>
      </c>
      <c r="T33" s="14"/>
    </row>
    <row r="34" spans="1:20" ht="115.2" customHeight="1" x14ac:dyDescent="0.4">
      <c r="A34" s="21" t="s">
        <v>519</v>
      </c>
      <c r="B34" s="21" t="s">
        <v>1578</v>
      </c>
      <c r="C34" s="21" t="s">
        <v>599</v>
      </c>
      <c r="D34" s="21" t="s">
        <v>1776</v>
      </c>
      <c r="E34" s="21" t="s">
        <v>1757</v>
      </c>
      <c r="F34" s="21" t="s">
        <v>1777</v>
      </c>
      <c r="G34" s="21" t="s">
        <v>839</v>
      </c>
      <c r="H34" s="22" t="s">
        <v>1778</v>
      </c>
      <c r="I34" s="22" t="s">
        <v>1779</v>
      </c>
      <c r="J34" s="22" t="s">
        <v>1780</v>
      </c>
      <c r="K34" s="22" t="s">
        <v>1778</v>
      </c>
      <c r="L34" s="120" t="str">
        <f>HYPERLINK("C:\Users\sskjh\antigravity\01_전문업무_및_엔지니어링\11_현장_프로젝트\01_동탄트램\08.메뉴얼 및 평면도\최종\02_메뉴얼 공종프로섹스(집행단계)\매뉴얼BODY(집행단계-첨부폴더)v8\4.상부강화노반\33_암석쌓기\표준서\33_암석쌓기_표준서.html","👉 [클릭] 표준서 열기 📄")</f>
        <v>👉 [클릭] 표준서 열기 📄</v>
      </c>
      <c r="M34" s="22" t="s">
        <v>1779</v>
      </c>
      <c r="N34" s="120" t="str">
        <f>HYPERLINK("C:\Users\sskjh\antigravity\01_전문업무_및_엔지니어링\11_현장_프로젝트\01_동탄트램\08.메뉴얼 및 평면도\최종\02_메뉴얼 공종프로섹스(집행단계)\매뉴얼BODY(집행단계-첨부폴더)v8\4.상부강화노반\33_암석쌓기\수행지침\33_암석쌓기_수행지침.html","👉 [클릭] 수행지침 열기 📄")</f>
        <v>👉 [클릭] 수행지침 열기 📄</v>
      </c>
      <c r="O34" t="s">
        <v>1031</v>
      </c>
      <c r="P34" s="120" t="str">
        <f>HYPERLINK("C:\Users\sskjh\antigravity\01_전문업무_및_엔지니어링\11_현장_프로젝트\01_동탄트램\08.메뉴얼 및 평면도\최종\02_메뉴얼 공종프로섹스(집행단계)\매뉴얼BODY(집행단계-첨부폴더)v8\4.상부강화노반\33_암석쌓기\체크리스트\33_암석쌓기_체크리스트.html","👉 [클릭] 체크리스트 열기 📄")</f>
        <v>👉 [클릭] 체크리스트 열기 📄</v>
      </c>
      <c r="Q34" t="s">
        <v>1032</v>
      </c>
      <c r="R34" s="23" t="s">
        <v>1781</v>
      </c>
      <c r="S34" t="s">
        <v>1033</v>
      </c>
      <c r="T34" s="14"/>
    </row>
    <row r="35" spans="1:20" ht="115.2" customHeight="1" x14ac:dyDescent="0.4">
      <c r="A35" s="21" t="s">
        <v>519</v>
      </c>
      <c r="B35" s="21" t="s">
        <v>1578</v>
      </c>
      <c r="C35" s="21" t="s">
        <v>599</v>
      </c>
      <c r="D35" s="21" t="s">
        <v>1782</v>
      </c>
      <c r="E35" s="21" t="s">
        <v>1757</v>
      </c>
      <c r="F35" s="21" t="s">
        <v>1783</v>
      </c>
      <c r="G35" s="21" t="s">
        <v>839</v>
      </c>
      <c r="H35" s="22" t="s">
        <v>1784</v>
      </c>
      <c r="I35" s="22" t="s">
        <v>1785</v>
      </c>
      <c r="J35" s="22" t="s">
        <v>1786</v>
      </c>
      <c r="K35" s="22" t="s">
        <v>1784</v>
      </c>
      <c r="L35" s="120" t="str">
        <f>HYPERLINK("C:\Users\sskjh\antigravity\01_전문업무_및_엔지니어링\11_현장_프로젝트\01_동탄트램\08.메뉴얼 및 평면도\최종\02_메뉴얼 공종프로섹스(집행단계)\매뉴얼BODY(집행단계-첨부폴더)v8\4.상부강화노반\34_방치기간 확보\표준서\34_방치기간 확보_표준서.html","👉 [클릭] 표준서 열기 📄")</f>
        <v>👉 [클릭] 표준서 열기 📄</v>
      </c>
      <c r="M35" s="22" t="s">
        <v>1785</v>
      </c>
      <c r="N35" s="120" t="str">
        <f>HYPERLINK("C:\Users\sskjh\antigravity\01_전문업무_및_엔지니어링\11_현장_프로젝트\01_동탄트램\08.메뉴얼 및 평면도\최종\02_메뉴얼 공종프로섹스(집행단계)\매뉴얼BODY(집행단계-첨부폴더)v8\4.상부강화노반\34_방치기간 확보\수행지침\34_방치기간 확보_수행지침.html","👉 [클릭] 수행지침 열기 📄")</f>
        <v>👉 [클릭] 수행지침 열기 📄</v>
      </c>
      <c r="O35" t="s">
        <v>1031</v>
      </c>
      <c r="P35" s="120" t="str">
        <f>HYPERLINK("C:\Users\sskjh\antigravity\01_전문업무_및_엔지니어링\11_현장_프로젝트\01_동탄트램\08.메뉴얼 및 평면도\최종\02_메뉴얼 공종프로섹스(집행단계)\매뉴얼BODY(집행단계-첨부폴더)v8\4.상부강화노반\34_방치기간 확보\체크리스트\34_방치기간 확보_체크리스트.html","👉 [클릭] 체크리스트 열기 📄")</f>
        <v>👉 [클릭] 체크리스트 열기 📄</v>
      </c>
      <c r="Q35" t="s">
        <v>1032</v>
      </c>
      <c r="R35" s="23" t="s">
        <v>1787</v>
      </c>
      <c r="S35" t="s">
        <v>1033</v>
      </c>
      <c r="T35" s="14"/>
    </row>
    <row r="36" spans="1:20" ht="115.2" customHeight="1" x14ac:dyDescent="0.4">
      <c r="A36" s="21" t="s">
        <v>519</v>
      </c>
      <c r="B36" s="21" t="s">
        <v>1578</v>
      </c>
      <c r="C36" s="21" t="s">
        <v>599</v>
      </c>
      <c r="D36" s="21" t="s">
        <v>1788</v>
      </c>
      <c r="E36" s="21" t="s">
        <v>1789</v>
      </c>
      <c r="F36" s="21" t="s">
        <v>1790</v>
      </c>
      <c r="G36" s="21" t="s">
        <v>839</v>
      </c>
      <c r="H36" s="22" t="s">
        <v>1791</v>
      </c>
      <c r="I36" s="22" t="s">
        <v>1792</v>
      </c>
      <c r="J36" s="22" t="s">
        <v>1793</v>
      </c>
      <c r="K36" s="22" t="s">
        <v>1791</v>
      </c>
      <c r="L36" s="120"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6" s="22" t="s">
        <v>1792</v>
      </c>
      <c r="N36" s="120"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6" t="s">
        <v>1031</v>
      </c>
      <c r="P36" s="120"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6" t="s">
        <v>1032</v>
      </c>
      <c r="R36" s="23" t="s">
        <v>1794</v>
      </c>
      <c r="S36" t="s">
        <v>1033</v>
      </c>
      <c r="T36" s="14"/>
    </row>
    <row r="37" spans="1:20" ht="96" customHeight="1" x14ac:dyDescent="0.4">
      <c r="A37" s="21" t="s">
        <v>519</v>
      </c>
      <c r="B37" s="21" t="s">
        <v>1578</v>
      </c>
      <c r="C37" s="21" t="s">
        <v>599</v>
      </c>
      <c r="D37" s="21" t="s">
        <v>1795</v>
      </c>
      <c r="E37" s="21" t="s">
        <v>1789</v>
      </c>
      <c r="F37" s="21" t="s">
        <v>1796</v>
      </c>
      <c r="G37" s="21" t="s">
        <v>839</v>
      </c>
      <c r="H37" s="22" t="s">
        <v>1797</v>
      </c>
      <c r="I37" s="22" t="s">
        <v>1798</v>
      </c>
      <c r="J37" s="22" t="s">
        <v>1799</v>
      </c>
      <c r="K37" s="22" t="s">
        <v>1797</v>
      </c>
      <c r="L37" s="120"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7" s="22" t="s">
        <v>1798</v>
      </c>
      <c r="N37" s="120"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7" t="s">
        <v>1031</v>
      </c>
      <c r="P37" s="120"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7" t="s">
        <v>1032</v>
      </c>
      <c r="R37" s="23" t="s">
        <v>1800</v>
      </c>
      <c r="S37" t="s">
        <v>1033</v>
      </c>
      <c r="T37" s="14"/>
    </row>
  </sheetData>
  <phoneticPr fontId="3" type="noConversion"/>
  <hyperlinks>
    <hyperlink ref="L2" r:id="rId1" display="매뉴얼BODY(집행단계-첨부폴더)v8\4.상부강화노반\1_지반조사 상세검토\표준서\지반조사 상세검토_표준서.html" xr:uid="{5DA54FE0-338A-4DF3-A7C2-FA2BC38AD37E}"/>
    <hyperlink ref="N2" r:id="rId2" display="매뉴얼BODY(집행단계-첨부폴더)v8\4.상부강화노반\1_지반조사 상세검토\수행지침\지반조사 상세검토_수행지침.html" xr:uid="{0257C8C0-C7DD-4814-821D-EE0B4308E1CA}"/>
    <hyperlink ref="P2" r:id="rId3" display="매뉴얼BODY(집행단계-첨부폴더)v8\4.상부강화노반\1_지반조사 상세검토\체크리스트\지반조사 상세검토_체크리스트.html" xr:uid="{23CD14C8-6DF3-41BD-B787-B60B4F03D506}"/>
    <hyperlink ref="L3" r:id="rId4" display="매뉴얼BODY(집행단계-첨부폴더)v8\4.상부강화노반\2_발주전략 KOM\표준서\발주전략 KOM_표준서.html" xr:uid="{1C642489-D4F3-4BB3-8044-12466FA9236E}"/>
    <hyperlink ref="N3" r:id="rId5" display="매뉴얼BODY(집행단계-첨부폴더)v8\4.상부강화노반\2_발주전략 KOM\수행지침\발주전략 KOM_수행지침.html" xr:uid="{A8631F83-C4BC-42F9-B8F1-4765673FDF87}"/>
    <hyperlink ref="P3" r:id="rId6" display="매뉴얼BODY(집행단계-첨부폴더)v8\4.상부강화노반\2_발주전략 KOM\체크리스트\발주전략 KOM_체크리스트.html" xr:uid="{00F59ED9-396D-45A5-B4E0-467659D1A801}"/>
    <hyperlink ref="L4" r:id="rId7" display="매뉴얼BODY(집행단계-첨부폴더)v8\4.상부강화노반\3_철도보호지구에서의 행위신고(필요시)\표준서\철도보호지구 행위신고_표준서.html" xr:uid="{A14DD16B-0551-486E-B5D8-3E38BDA96BFE}"/>
    <hyperlink ref="N4" r:id="rId8" display="매뉴얼BODY(집행단계-첨부폴더)v8\4.상부강화노반\3_철도보호지구에서의 행위신고(필요시)\수행지침\철도보호지구 행위신고_수행지침.html" xr:uid="{BA519274-6DBB-4DAA-B8B0-B5BCFCDEE8B2}"/>
    <hyperlink ref="P4" r:id="rId9" display="매뉴얼BODY(집행단계-첨부폴더)v8\4.상부강화노반\3_철도보호지구에서의 행위신고(필요시)\체크리스트\철도보호지구 행위신고_체크리스트.html" xr:uid="{6328CAC9-5EC7-4CC5-9035-412FE6407850}"/>
    <hyperlink ref="L5" r:id="rId10" display="매뉴얼BODY(집행단계-첨부폴더)v8\4.상부강화노반\4_착수전 측량 Data 확인\표준서\착수전 측량 Data 확인_표준서.html" xr:uid="{927742A7-E520-4A52-A945-0C3BA3606861}"/>
    <hyperlink ref="N5" r:id="rId11" display="매뉴얼BODY(집행단계-첨부폴더)v8\4.상부강화노반\4_착수전 측량 Data 확인\수행지침\착수전 측량 Data 확인_수행지침.html" xr:uid="{43CB115D-3491-4B48-B78E-142ED6A52E1E}"/>
    <hyperlink ref="P5" r:id="rId12" display="매뉴얼BODY(집행단계-첨부폴더)v8\4.상부강화노반\4_착수전 측량 Data 확인\체크리스트\착수전 측량 Data 확인_체크리스트.html" xr:uid="{373AC4A4-D027-4584-9B11-E67160AEB880}"/>
    <hyperlink ref="L6" r:id="rId13" display="매뉴얼BODY(집행단계-첨부폴더)v8\4.상부강화노반\5_지장물이설 협의\표준서\지장물이설 협의_표준서.html" xr:uid="{441A2BF7-EF71-42F5-BBED-4555E3E9DF72}"/>
    <hyperlink ref="N6" r:id="rId14" display="매뉴얼BODY(집행단계-첨부폴더)v8\4.상부강화노반\5_지장물이설 협의\수행지침\지장물이설 협의_수행지침.html" xr:uid="{7170C8A4-89C2-447F-B656-7507DE97F32B}"/>
    <hyperlink ref="P6" r:id="rId15" display="매뉴얼BODY(집행단계-첨부폴더)v8\4.상부강화노반\5_지장물이설 협의\체크리스트\지장물이설 협의_체크리스트.html" xr:uid="{96C1A49A-F8E2-484A-A5F1-6C5933B21E8B}"/>
    <hyperlink ref="L7" r:id="rId16" display="매뉴얼BODY(집행단계-첨부폴더)v8\4.상부강화노반\6_용지보상RISK 검토\표준서\용지보상RISK 검토_표준서.html" xr:uid="{2AB08204-DE0A-42DA-AD70-F15566A0A190}"/>
    <hyperlink ref="N7" r:id="rId17" display="매뉴얼BODY(집행단계-첨부폴더)v8\4.상부강화노반\6_용지보상RISK 검토\수행지침\용지보상RISK 검토_수행지침.html" xr:uid="{FEE7DCAF-3B70-4531-AB23-589156ACCB09}"/>
    <hyperlink ref="P7" r:id="rId18" display="매뉴얼BODY(집행단계-첨부폴더)v8\4.상부강화노반\6_용지보상RISK 검토\체크리스트\용지보상RISK 검토_체크리스트.html" xr:uid="{DA3D6296-5107-4956-8B98-8F672BE5784D}"/>
    <hyperlink ref="L8" r:id="rId19" display="매뉴얼BODY(집행단계-첨부폴더)v8\4.상부강화노반\7_최고의 팀 만들기 지원\표준서\최고의 팀 만들기 지원_표준서.html" xr:uid="{9379E545-6594-45B0-8889-4643DC362B44}"/>
    <hyperlink ref="N8" r:id="rId20" display="매뉴얼BODY(집행단계-첨부폴더)v8\4.상부강화노반\7_최고의 팀 만들기 지원\수행지침\최고의 팀 만들기 지원_수행지침.html" xr:uid="{EDF1FB4C-5D86-40BD-9E6B-77112707ED14}"/>
    <hyperlink ref="P8" r:id="rId21" display="매뉴얼BODY(집행단계-첨부폴더)v8\4.상부강화노반\7_최고의 팀 만들기 지원\체크리스트\최고의 팀 만들기 지원_체크리스트.html" xr:uid="{0C00625E-8B06-4391-A749-FC6BECEB2231}"/>
    <hyperlink ref="L9" r:id="rId22" display="매뉴얼BODY(집행단계-첨부폴더)v8\4.상부강화노반\8_연약지반 처리공법 검토(필요시)\표준서\연약지반 처리공법 검토_표준서.html" xr:uid="{5D9B0D71-D26E-43BF-8053-5E15B0BADE7B}"/>
    <hyperlink ref="N9" r:id="rId23" display="매뉴얼BODY(집행단계-첨부폴더)v8\4.상부강화노반\8_연약지반 처리공법 검토(필요시)\수행지침\연약지반 처리공법 검토_수행지침.html" xr:uid="{D6A538CB-A9F5-48DE-B388-051158715675}"/>
    <hyperlink ref="P9" r:id="rId24" display="매뉴얼BODY(집행단계-첨부폴더)v8\4.상부강화노반\8_연약지반 처리공법 검토(필요시)\체크리스트\연약지반 처리공법 검토_체크리스트.html" xr:uid="{C53F530F-46DF-4813-9D19-AE8DAC12FA11}"/>
    <hyperlink ref="L10" r:id="rId25" display="매뉴얼BODY(집행단계-첨부폴더)v8\4.상부강화노반\9_토공 유동표 확인\표준서\토공 유동표 확인_표준서.html" xr:uid="{A2B8DE6C-3DE5-4187-AF57-9B9D0DD4B27C}"/>
    <hyperlink ref="N10" r:id="rId26" display="매뉴얼BODY(집행단계-첨부폴더)v8\4.상부강화노반\9_토공 유동표 확인\수행지침\토공 유동표 확인_수행지침.html" xr:uid="{337A2AD2-A6C6-43D5-85C5-85E9AB546F0B}"/>
    <hyperlink ref="P10" r:id="rId27" display="매뉴얼BODY(집행단계-첨부폴더)v8\4.상부강화노반\9_토공 유동표 확인\체크리스트\토공 유동표 확인_체크리스트.html" xr:uid="{CB605C99-1F50-4617-B206-479EE2C37B72}"/>
    <hyperlink ref="L11" r:id="rId28" display="매뉴얼BODY(집행단계-첨부폴더)v8\4.상부강화노반\10_기공승낙 적정성 검토\표준서\기공승낙 적정성 검토_표준서.html" xr:uid="{65F807EB-2E1B-4CE2-B0F2-F865C4E5C1E8}"/>
    <hyperlink ref="N11" r:id="rId29" display="매뉴얼BODY(집행단계-첨부폴더)v8\4.상부강화노반\10_기공승낙 적정성 검토\수행지침\기공승낙 적정성 검토_수행지침.html" xr:uid="{AC8D8299-9CF1-4863-9214-1938846B122E}"/>
    <hyperlink ref="P11" r:id="rId30" display="매뉴얼BODY(집행단계-첨부폴더)v8\4.상부강화노반\10_기공승낙 적정성 검토\체크리스트\기공승낙 적정성 검토_체크리스트.html" xr:uid="{6EF51039-9A01-44C3-AF6F-13ABBD9204EE}"/>
    <hyperlink ref="L12" r:id="rId31" display="매뉴얼BODY(집행단계-첨부폴더)v8\4.상부강화노반\11_폐기물처리계획 수립\표준서\폐기물처리계획 수립_표준서.html" xr:uid="{A1F44F80-8636-4D4D-9A6E-BAD5E3457CCA}"/>
    <hyperlink ref="N12" r:id="rId32" display="매뉴얼BODY(집행단계-첨부폴더)v8\4.상부강화노반\11_폐기물처리계획 수립\수행지침\폐기물처리계획 수립_수행지침.html" xr:uid="{7B40E553-4AA4-442C-AD04-600B3105C538}"/>
    <hyperlink ref="P12" r:id="rId33" display="매뉴얼BODY(집행단계-첨부폴더)v8\4.상부강화노반\11_폐기물처리계획 수립\체크리스트\폐기물처리계획 수립_체크리스트.html" xr:uid="{CDBAB064-B048-4A9E-B667-47D986FC5C6B}"/>
    <hyperlink ref="L13" r:id="rId34" display="매뉴얼BODY(집행단계-첨부폴더)v8\4.상부강화노반\12_철도운행협의(필요시)\표준서\철도운행협의_표준서.html" xr:uid="{9CC808FC-923E-4536-888C-B3E2E1798E35}"/>
    <hyperlink ref="N13" r:id="rId35" display="매뉴얼BODY(집행단계-첨부폴더)v8\4.상부강화노반\12_철도운행협의(필요시)\수행지침\철도운행협의_수행지침.html" xr:uid="{BF30A27B-E5CD-4054-A5A6-CFF2C41C70F3}"/>
    <hyperlink ref="P13" r:id="rId36" display="매뉴얼BODY(집행단계-첨부폴더)v8\4.상부강화노반\12_철도운행협의(필요시)\체크리스트\철도운행협의_체크리스트.html" xr:uid="{3ADB1D60-1286-4F97-A6E6-B7B79378D869}"/>
    <hyperlink ref="L14" r:id="rId37" display="매뉴얼BODY(집행단계-첨부폴더)v8\4.상부강화노반\13_작수전 Big Room 회의\표준서\작수전 Big Room 회의_표준서.html" xr:uid="{8C98BA92-9D85-4920-BDCA-108C11622EA2}"/>
    <hyperlink ref="N14" r:id="rId38" display="매뉴얼BODY(집행단계-첨부폴더)v8\4.상부강화노반\13_작수전 Big Room 회의\수행지침\작수전 Big Room 회의_수행지침.html" xr:uid="{D44845A7-2B33-433F-A449-92949B2800C3}"/>
    <hyperlink ref="P14" r:id="rId39" display="매뉴얼BODY(집행단계-첨부폴더)v8\4.상부강화노반\13_작수전 Big Room 회의\체크리스트\작수전 Big Room 회의_체크리스트.html" xr:uid="{A31A8843-D812-4F45-9D07-15A148C78513}"/>
    <hyperlink ref="L15" r:id="rId40" display="매뉴얼BODY(집행단계-첨부폴더)v8\4.상부강화노반\14_시공 계획 수립\표준서\시공 계획 수립_표준서.html" xr:uid="{72523A6B-86AA-403F-9281-80912AFE0917}"/>
    <hyperlink ref="N15" r:id="rId41" display="매뉴얼BODY(집행단계-첨부폴더)v8\4.상부강화노반\14_시공 계획 수립\수행지침\시공 계획 수립_수행지침.html" xr:uid="{C0B3ECD1-9E63-4654-B560-757D11DD0444}"/>
    <hyperlink ref="P15" r:id="rId42" display="매뉴얼BODY(집행단계-첨부폴더)v8\4.상부강화노반\14_시공 계획 수립\체크리스트\시공 계획 수립_체크리스트.html" xr:uid="{AA84E373-6094-4074-A429-940651FE9161}"/>
    <hyperlink ref="L16" r:id="rId43" display="매뉴얼BODY(집행단계-첨부폴더)v8\4.상부강화노반\15_사토장_토취장 선정 검토(필요시)\표준서\사토장_토취장 선정 검토_표준서.html" xr:uid="{43356790-735A-4F51-A2F5-7B7565E2767B}"/>
    <hyperlink ref="N16" r:id="rId44" display="매뉴얼BODY(집행단계-첨부폴더)v8\4.상부강화노반\15_사토장_토취장 선정 검토(필요시)\수행지침\사토장_토취장 선정 검토_수행지침.html" xr:uid="{8F578DB3-56D2-49D0-8EE2-ED4E2B0C4351}"/>
    <hyperlink ref="P16" r:id="rId45" display="매뉴얼BODY(집행단계-첨부폴더)v8\4.상부강화노반\15_사토장_토취장 선정 검토(필요시)\체크리스트\사토장_토취장 선정 검토_체크리스트.html" xr:uid="{981B483C-0C68-4322-837F-30F3F5C6A630}"/>
    <hyperlink ref="L17" r:id="rId46" display="매뉴얼BODY(집행단계-첨부폴더)v8\4.상부강화노반\16_공사사전준비\표준서\공사사전준비_표준서.html" xr:uid="{D3F0AC41-C333-47ED-BD5B-80CA01114783}"/>
    <hyperlink ref="N17" r:id="rId47" display="매뉴얼BODY(집행단계-첨부폴더)v8\4.상부강화노반\16_공사사전준비\수행지침\공사사전준비_수행지침.html" xr:uid="{32657897-87D6-405C-B472-C4F89D9AC853}"/>
    <hyperlink ref="P17" r:id="rId48" display="매뉴얼BODY(집행단계-첨부폴더)v8\4.상부강화노반\16_공사사전준비\체크리스트\공사사전준비_체크리스트.html" xr:uid="{8DB0D43D-3A15-446C-802A-EFB5306161B0}"/>
    <hyperlink ref="L18" r:id="rId49" display="매뉴얼BODY(집행단계-첨부폴더)v8\4.상부강화노반\17_임시배수시설\표준서\임시배수시설_표준서.html" xr:uid="{94E00F87-C5CB-46F0-9734-918E56FCF0A4}"/>
    <hyperlink ref="N18" r:id="rId50" display="매뉴얼BODY(집행단계-첨부폴더)v8\4.상부강화노반\17_임시배수시설\수행지침\임시배수시설_수행지침.html" xr:uid="{6B54013F-0D97-4E62-9013-E6BA9AB4010C}"/>
    <hyperlink ref="P18" r:id="rId51" display="매뉴얼BODY(집행단계-첨부폴더)v8\4.상부강화노반\17_임시배수시설\체크리스트\임시배수시설_체크리스트.html" xr:uid="{B3678B51-4314-4894-AD3B-1F82536397AC}"/>
    <hyperlink ref="L19" r:id="rId52" display="매뉴얼BODY(집행단계-첨부폴더)v8\4.상부강화노반\18_쌓기재료 검사\표준서\쌓기재료 검사_표준서.html" xr:uid="{91B46E8C-28D7-48A7-9419-874F9D3D3581}"/>
    <hyperlink ref="N19" r:id="rId53" display="매뉴얼BODY(집행단계-첨부폴더)v8\4.상부강화노반\18_쌓기재료 검사\수행지침\쌓기재료 검사_수행지침.html" xr:uid="{9C73152C-CEC4-4B17-8655-8C04CBCC7B13}"/>
    <hyperlink ref="P19" r:id="rId54" display="매뉴얼BODY(집행단계-첨부폴더)v8\4.상부강화노반\18_쌓기재료 검사\체크리스트\쌓기재료 검사_체크리스트.html" xr:uid="{CA19D0A1-592C-4272-8E0E-969B1D03F39B}"/>
    <hyperlink ref="L20" r:id="rId55" display="매뉴얼BODY(집행단계-첨부폴더)v8\4.상부강화노반\19_장비 검수 지원\표준서\장비 검수 지원_표준서.html" xr:uid="{DE470458-6C2C-4439-85A1-5F40A97BBAAD}"/>
    <hyperlink ref="N20" r:id="rId56" display="매뉴얼BODY(집행단계-첨부폴더)v8\4.상부강화노반\19_장비 검수 지원\수행지침\장비 검수 지원_수행지침.html" xr:uid="{20422BBA-C95B-4C4A-A810-142335F42494}"/>
    <hyperlink ref="P20" r:id="rId57" display="매뉴얼BODY(집행단계-첨부폴더)v8\4.상부강화노반\19_장비 검수 지원\체크리스트\장비 검수 지원_체크리스트.html" xr:uid="{526A46D1-E0E8-45D2-A0EF-EB16AF4D03C0}"/>
    <hyperlink ref="L21" r:id="rId58" display="매뉴얼BODY(집행단계-첨부폴더)v8\4.상부강화노반\20_선로 종_횡단 및 용지경계측량\표준서\선로 종_횡단 및 용지경계측량_표준서.html" xr:uid="{718B1B1A-2CCE-4718-838A-15BF4297FD22}"/>
    <hyperlink ref="N21" r:id="rId59" display="매뉴얼BODY(집행단계-첨부폴더)v8\4.상부강화노반\20_선로 종_횡단 및 용지경계측량\수행지침\선로 종_횡단 및 용지경계측량_수행지침.html" xr:uid="{C3C51907-BB52-4E42-8D90-C9DA08F652BB}"/>
    <hyperlink ref="P21" r:id="rId60" display="매뉴얼BODY(집행단계-첨부폴더)v8\4.상부강화노반\20_선로 종_횡단 및 용지경계측량\체크리스트\선로 종_횡단 및 용지경계측량_체크리스트.html" xr:uid="{2454C349-4DD5-46CE-AA83-91BE4FD7928F}"/>
    <hyperlink ref="L22" r:id="rId61" display="매뉴얼BODY(집행단계-첨부폴더)v8\4.상부강화노반\21_규준틀 설치\표준서\규준틀 설치_표준서.html" xr:uid="{4FA804A1-16E3-4B73-90B6-57806E9048CA}"/>
    <hyperlink ref="N22" r:id="rId62" display="매뉴얼BODY(집행단계-첨부폴더)v8\4.상부강화노반\21_규준틀 설치\수행지침\규준틀 설치_수행지침.html" xr:uid="{9140964B-DB8E-49D1-8D5C-3282A0EC3AC4}"/>
    <hyperlink ref="P22" r:id="rId63" display="매뉴얼BODY(집행단계-첨부폴더)v8\4.상부강화노반\21_규준틀 설치\체크리스트\규준틀 설치_체크리스트.html" xr:uid="{835B672B-EDEB-4094-A2AF-E4512A01A7D9}"/>
    <hyperlink ref="L23" r:id="rId64" display="매뉴얼BODY(집행단계-첨부폴더)v8\4.상부강화노반\22_준비배수\표준서\준비배수_표준서.html" xr:uid="{93C81D6A-7593-45E6-B95C-F8A1336C1CC9}"/>
    <hyperlink ref="N23" r:id="rId65" display="매뉴얼BODY(집행단계-첨부폴더)v8\4.상부강화노반\22_준비배수\수행지침\준비배수_수행지침.html" xr:uid="{5E3DE050-BF0F-449A-AA6D-8EDCB798B8F5}"/>
    <hyperlink ref="P23" r:id="rId66" display="매뉴얼BODY(집행단계-첨부폴더)v8\4.상부강화노반\22_준비배수\체크리스트\준비배수_체크리스트.html" xr:uid="{5B53D61F-EFBE-4F42-A0FA-0BDB4F2A150D}"/>
    <hyperlink ref="L24" r:id="rId67" display="매뉴얼BODY(집행단계-첨부폴더)v8\4.상부강화노반\23_벌개제근_표토제거\표준서\벌개제근_표토제거_표준서.html" xr:uid="{74A129EC-CA4F-48AA-88D8-1E04B1EDB403}"/>
    <hyperlink ref="N24" r:id="rId68" display="매뉴얼BODY(집행단계-첨부폴더)v8\4.상부강화노반\23_벌개제근_표토제거\수행지침\벌개제근_표토제거_수행지침.html" xr:uid="{7E243279-964C-4804-B0CC-74E650C7433F}"/>
    <hyperlink ref="P24" r:id="rId69" display="매뉴얼BODY(집행단계-첨부폴더)v8\4.상부강화노반\23_벌개제근_표토제거\체크리스트\벌개제근_표토제거_체크리스트.html" xr:uid="{030D382A-38FC-4114-886E-3BEA876472D8}"/>
    <hyperlink ref="L25" r:id="rId70" display="매뉴얼BODY(집행단계-첨부폴더)v8\4.상부강화노반\24_구조물 및 지장물 제거\표준서\구조물 및 지장물 제거_표준서.html" xr:uid="{BA384027-B381-4C60-92FE-FE9CB264FD3D}"/>
    <hyperlink ref="N25" r:id="rId71" display="매뉴얼BODY(집행단계-첨부폴더)v8\4.상부강화노반\24_구조물 및 지장물 제거\수행지침\구조물 및 지장물 제거_수행지침.html" xr:uid="{A34E7CC2-EBC0-4DFA-92EB-B7C412A9B467}"/>
    <hyperlink ref="P25" r:id="rId72" display="매뉴얼BODY(집행단계-첨부폴더)v8\4.상부강화노반\24_구조물 및 지장물 제거\체크리스트\구조물 및 지장물 제거_체크리스트.html" xr:uid="{60077004-812F-4105-86CE-D9D34309185F}"/>
    <hyperlink ref="L26" r:id="rId73" display="매뉴얼BODY(집행단계-첨부폴더)v8\4.상부강화노반\25_진입로 조성\표준서\진입로 조성_표준서.html" xr:uid="{6132519C-7ED1-4E57-9322-6919623B8EF5}"/>
    <hyperlink ref="N26" r:id="rId74" display="매뉴얼BODY(집행단계-첨부폴더)v8\4.상부강화노반\25_진입로 조성\수행지침\진입로 조성_수행지침.html" xr:uid="{30B12648-386F-4DCA-9E29-29FB0E4F345C}"/>
    <hyperlink ref="P26" r:id="rId75" display="매뉴얼BODY(집행단계-첨부폴더)v8\4.상부강화노반\25_진입로 조성\체크리스트\진입로 조성_체크리스트.html" xr:uid="{CD0F698B-9CE3-483F-BD49-1EDD7BAF74F9}"/>
    <hyperlink ref="L27" r:id="rId76" display="매뉴얼BODY(집행단계-첨부폴더)v8\4.상부강화노반\26_노반쌓기\표준서\노반쌓기_표준서.html" xr:uid="{D09D16F8-266C-49CF-818F-30A714EB7A39}"/>
    <hyperlink ref="N27" r:id="rId77" display="매뉴얼BODY(집행단계-첨부폴더)v8\4.상부강화노반\26_노반쌓기\수행지침\노반쌓기_수행지침.html" xr:uid="{4DF66151-95D2-4DEC-84BF-7266D248289A}"/>
    <hyperlink ref="P27" r:id="rId78" display="매뉴얼BODY(집행단계-첨부폴더)v8\4.상부강화노반\26_노반쌓기\체크리스트\노반쌓기_체크리스트.html" xr:uid="{ED29FF43-934C-4D0A-8110-8C5E2FC349E1}"/>
    <hyperlink ref="L28" r:id="rId79" display="매뉴얼BODY(집행단계-첨부폴더)v8\4.상부강화노반\27_하부노반 시공\표준서\하부노반 시공_표준서.html" xr:uid="{9231C928-5981-4AEC-9E13-BFD09D55D1C3}"/>
    <hyperlink ref="N28" r:id="rId80" display="매뉴얼BODY(집행단계-첨부폴더)v8\4.상부강화노반\27_하부노반 시공\수행지침\하부노반 시공_수행지침.html" xr:uid="{97E0AE90-97B8-4159-86B3-49A74DF89A0F}"/>
    <hyperlink ref="P28" r:id="rId81" display="매뉴얼BODY(집행단계-첨부폴더)v8\4.상부강화노반\27_하부노반 시공\체크리스트\하부노반 시공_체크리스트.html" xr:uid="{280F8EBC-5937-43EE-933A-64111FF5898A}"/>
    <hyperlink ref="L29" r:id="rId82" display="매뉴얼BODY(집행단계-첨부폴더)v8\4.상부강화노반\28_상부노반 시공\표준서\상부노반 시공_표준서.html" xr:uid="{64A5E03E-3959-4D63-A27E-332BAD0D32FC}"/>
    <hyperlink ref="N29" r:id="rId83" display="매뉴얼BODY(집행단계-첨부폴더)v8\4.상부강화노반\28_상부노반 시공\수행지침\상부노반 시공_수행지침.html" xr:uid="{603242E3-B6D7-46AA-A069-D540864F3D8A}"/>
    <hyperlink ref="P29" r:id="rId84" display="매뉴얼BODY(집행단계-첨부폴더)v8\4.상부강화노반\28_상부노반 시공\체크리스트\상부노반 시공_체크리스트.html" xr:uid="{76C30C60-FF07-4CB3-84F4-587E7C6F8A09}"/>
    <hyperlink ref="L30" r:id="rId85" display="매뉴얼BODY(집행단계-첨부폴더)v8\4.상부강화노반\29_강화노반 시공\표준서\강화노반 시공_표준서.html" xr:uid="{B5516FCE-5FD5-4534-9274-C5089E7CA6A3}"/>
    <hyperlink ref="N30" r:id="rId86" display="매뉴얼BODY(집행단계-첨부폴더)v8\4.상부강화노반\29_강화노반 시공\수행지침\강화노반 시공_수행지침.html" xr:uid="{0FA47773-33D0-46F6-AB44-1C450D269F09}"/>
    <hyperlink ref="P30" r:id="rId87" display="매뉴얼BODY(집행단계-첨부폴더)v8\4.상부강화노반\29_강화노반 시공\체크리스트\강화노반 시공_체크리스트.html" xr:uid="{13AC19DC-11D7-49A1-819E-650379F215F5}"/>
    <hyperlink ref="L31" r:id="rId88" display="매뉴얼BODY(집행단계-첨부폴더)v8\4.상부강화노반\30_토공 유동운반_사토\표준서\토공 유동운반_사토_표준서.html" xr:uid="{863A6544-134B-48F1-9250-FBE526D17468}"/>
    <hyperlink ref="N31" r:id="rId89" display="매뉴얼BODY(집행단계-첨부폴더)v8\4.상부강화노반\30_토공 유동운반_사토\수행지침\토공 유동운반_사토_수행지침.html" xr:uid="{0603341E-D480-4E44-BDAB-4FC8C2598649}"/>
    <hyperlink ref="P31" r:id="rId90" display="매뉴얼BODY(집행단계-첨부폴더)v8\4.상부강화노반\30_토공 유동운반_사토\체크리스트\토공 유동운반_사토_체크리스트.html" xr:uid="{4B8C922B-F88F-4BB3-A71F-D66BEF8585BA}"/>
    <hyperlink ref="L32" r:id="rId91" display="매뉴얼BODY(집행단계-첨부폴더)v8\4.상부강화노반\31_연약지반처리(필요시)\표준서\연약지반처리_표준서.html" xr:uid="{5A927EB0-FD57-4205-819D-CDEB6503AC74}"/>
    <hyperlink ref="N32" r:id="rId92" display="매뉴얼BODY(집행단계-첨부폴더)v8\4.상부강화노반\31_연약지반처리(필요시)\수행지침\연약지반처리_수행지침.html" xr:uid="{C51B1B1C-072A-40D5-B7DF-3A848E1A5A65}"/>
    <hyperlink ref="P32" r:id="rId93" display="매뉴얼BODY(집행단계-첨부폴더)v8\4.상부강화노반\31_연약지반처리(필요시)\체크리스트\연약지반처리_체크리스트.html" xr:uid="{C3A42A7F-AF45-4235-BAC1-D0893F3BBA71}"/>
    <hyperlink ref="L33" r:id="rId94" display="매뉴얼BODY(집행단계-첨부폴더)v8\4.상부강화노반\32_절성토경계부 배수구조물(맹암거) 시공\표준서\절성토경계부 배수구조물 시공_표준서.html" xr:uid="{1FF706A9-65BA-4AC2-8240-DA5A455265F5}"/>
    <hyperlink ref="N33" r:id="rId95" display="매뉴얼BODY(집행단계-첨부폴더)v8\4.상부강화노반\32_절성토경계부 배수구조물(맹암거) 시공\수행지침\절성토경계부 배수구조물 시공_수행지침.html" xr:uid="{CADABC9E-0C15-4D10-B7A3-4D352C193C25}"/>
    <hyperlink ref="P33" r:id="rId96" display="매뉴얼BODY(집행단계-첨부폴더)v8\4.상부강화노반\32_절성토경계부 배수구조물(맹암거) 시공\체크리스트\절성토경계부 배수구조물 시공_체크리스트.html" xr:uid="{C197C5BD-246F-46DB-8CBF-36EB70C723BE}"/>
    <hyperlink ref="L34" r:id="rId97" display="매뉴얼BODY(집행단계-첨부폴더)v8\4.상부강화노반\33_암석쌓기\표준서\암석쌓기_표준서.html" xr:uid="{27A830B7-D4AB-4F0C-BE84-7504263D5A54}"/>
    <hyperlink ref="N34" r:id="rId98" display="매뉴얼BODY(집행단계-첨부폴더)v8\4.상부강화노반\33_암석쌓기\수행지침\암석쌓기_수행지침.html" xr:uid="{051F274C-5B9B-44E4-B7D5-5543A1057472}"/>
    <hyperlink ref="P34" r:id="rId99" display="매뉴얼BODY(집행단계-첨부폴더)v8\4.상부강화노반\33_암석쌓기\체크리스트\암석쌓기_체크리스트.html" xr:uid="{52727DA3-4850-4663-B757-0CF9D3E74386}"/>
    <hyperlink ref="L35" r:id="rId100" display="매뉴얼BODY(집행단계-첨부폴더)v8\4.상부강화노반\34_방치기간 확보\표준서\방치기간 확보_표준서.html" xr:uid="{DA69E4C6-E983-427F-BA86-7FC231FD9CD8}"/>
    <hyperlink ref="N35" r:id="rId101" display="매뉴얼BODY(집행단계-첨부폴더)v8\4.상부강화노반\34_방치기간 확보\수행지침\방치기간 확보_수행지침.html" xr:uid="{51ACC357-FC96-44B8-8EA6-52EDD27BA135}"/>
    <hyperlink ref="P35" r:id="rId102" display="매뉴얼BODY(집행단계-첨부폴더)v8\4.상부강화노반\34_방치기간 확보\체크리스트\방치기간 확보_체크리스트.html" xr:uid="{7B978D4D-15B3-41E4-B009-6766A3704FFF}"/>
    <hyperlink ref="L36" r:id="rId103" display="매뉴얼BODY(집행단계-첨부폴더)v8\4.상부강화노반\35_토공마무리\표준서\토공마무리_표준서.html" xr:uid="{1C43D21E-FA15-41DA-8979-A7A71158D6BC}"/>
    <hyperlink ref="N36" r:id="rId104" display="매뉴얼BODY(집행단계-첨부폴더)v8\4.상부강화노반\35_토공마무리\수행지침\토공마무리_수행지침.html" xr:uid="{46C404B9-8668-4314-8704-C246AB60A8B5}"/>
    <hyperlink ref="P36" r:id="rId105" display="매뉴얼BODY(집행단계-첨부폴더)v8\4.상부강화노반\35_토공마무리\체크리스트\토공마무리_체크리스트.html" xr:uid="{1F38C524-69B6-493E-A81F-DC1A5681B3A7}"/>
    <hyperlink ref="L37" r:id="rId106" display="매뉴얼BODY(집행단계-첨부폴더)v8\4.상부강화노반\36_토공 마무리면 인계\표준서\토공 마무리면 인계_표준서.html" xr:uid="{AA4E8987-8805-4BC4-83F5-8E803ED961AE}"/>
    <hyperlink ref="N37" r:id="rId107" display="매뉴얼BODY(집행단계-첨부폴더)v8\4.상부강화노반\36_토공 마무리면 인계\수행지침\토공 마무리면 인계_수행지침.html" xr:uid="{68F77FD7-688C-44F3-8C85-426590E7B828}"/>
    <hyperlink ref="P37" r:id="rId108" display="매뉴얼BODY(집행단계-첨부폴더)v8\4.상부강화노반\36_토공 마무리면 인계\체크리스트\토공 마무리면 인계_체크리스트.html" xr:uid="{74F42321-5623-433C-8A0E-C058C755D84D}"/>
  </hyperlinks>
  <printOptions horizontalCentered="1"/>
  <pageMargins left="0.74803149606299213" right="0.74803149606299213" top="0.98425196850393704" bottom="0.98425196850393704" header="0.51181102362204722" footer="0.51181102362204722"/>
  <pageSetup paperSize="8" scale="34" orientation="landscape" verticalDpi="0" r:id="rId10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defaultColWidth="11.8984375" defaultRowHeight="19.2" x14ac:dyDescent="0.4"/>
  <cols>
    <col min="1" max="3" width="11.8984375" style="3" customWidth="1"/>
    <col min="4" max="4" width="15" style="4" customWidth="1"/>
    <col min="5" max="5" width="14.3984375" style="5" customWidth="1"/>
    <col min="6" max="6" width="17.19921875" style="4" customWidth="1"/>
    <col min="7" max="7" width="14.3984375" style="4" customWidth="1"/>
    <col min="8" max="8" width="24.19921875" style="3" customWidth="1"/>
    <col min="9" max="9" width="79.09765625" style="4" customWidth="1"/>
    <col min="10" max="10" width="19.8984375" style="4" customWidth="1"/>
    <col min="11" max="11" width="39.59765625" style="3" customWidth="1"/>
    <col min="12" max="12" width="11.8984375" style="3" customWidth="1"/>
    <col min="13" max="13" width="40.8984375" style="3" customWidth="1"/>
    <col min="14" max="14" width="11.59765625" style="3" customWidth="1"/>
    <col min="15" max="15" width="32.796875" style="3" bestFit="1" customWidth="1"/>
    <col min="16" max="16" width="12.296875" customWidth="1"/>
    <col min="17" max="17" width="11.8984375" style="3" hidden="1" customWidth="1"/>
    <col min="18" max="19" width="11.8984375" customWidth="1"/>
    <col min="20" max="52" width="11.8984375" style="3" customWidth="1"/>
    <col min="53" max="16384" width="11.89843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3108</v>
      </c>
      <c r="M1" s="7" t="s">
        <v>644</v>
      </c>
      <c r="N1" s="6" t="s">
        <v>3109</v>
      </c>
      <c r="O1" s="7" t="s">
        <v>646</v>
      </c>
      <c r="P1" s="8" t="s">
        <v>3110</v>
      </c>
      <c r="Q1" s="9" t="s">
        <v>1022</v>
      </c>
      <c r="R1" s="9" t="s">
        <v>1023</v>
      </c>
      <c r="S1" s="9" t="s">
        <v>1024</v>
      </c>
      <c r="T1" s="9" t="s">
        <v>1025</v>
      </c>
    </row>
    <row r="2" spans="1:20" ht="96" customHeight="1" x14ac:dyDescent="0.4">
      <c r="A2" s="13" t="s">
        <v>519</v>
      </c>
      <c r="B2" s="13" t="s">
        <v>1801</v>
      </c>
      <c r="C2" s="41" t="s">
        <v>1802</v>
      </c>
      <c r="D2" s="13" t="s">
        <v>1803</v>
      </c>
      <c r="E2" s="13" t="s">
        <v>1804</v>
      </c>
      <c r="F2" s="13" t="s">
        <v>1805</v>
      </c>
      <c r="G2" s="13" t="s">
        <v>861</v>
      </c>
      <c r="H2" s="14" t="s">
        <v>1806</v>
      </c>
      <c r="I2" s="14" t="s">
        <v>1807</v>
      </c>
      <c r="J2" s="14" t="s">
        <v>1808</v>
      </c>
      <c r="K2" s="14" t="s">
        <v>1809</v>
      </c>
      <c r="L2" s="120" t="str">
        <f>HYPERLINK("C:\Users\sskjh\antigravity\01_전문업무_및_엔지니어링\11_현장_프로젝트\01_동탄트램\08.메뉴얼 및 평면도\최종\02_메뉴얼 공종프로섹스(집행단계)\매뉴얼BODY(집행단계-첨부폴더)v8\5.콘크리트도상\1_설계적정성 검토\표준서\설계적정성 검토_표준서.html","👉 [클릭] 표준서 열기 📄")</f>
        <v>👉 [클릭] 표준서 열기 📄</v>
      </c>
      <c r="M2" s="14" t="s">
        <v>1810</v>
      </c>
      <c r="N2" s="120" t="str">
        <f>HYPERLINK("C:\Users\sskjh\antigravity\01_전문업무_및_엔지니어링\11_현장_프로젝트\01_동탄트램\08.메뉴얼 및 평면도\최종\02_메뉴얼 공종프로섹스(집행단계)\매뉴얼BODY(집행단계-첨부폴더)v8\5.콘크리트도상\1_설계적정성 검토\수행지침\설계적정성 검토_수행지침.html","👉 [클릭] 수행지침 열기 📄")</f>
        <v>👉 [클릭] 수행지침 열기 📄</v>
      </c>
      <c r="O2" s="14" t="s">
        <v>1811</v>
      </c>
      <c r="P2" s="120" t="str">
        <f>HYPERLINK("C:\Users\sskjh\antigravity\01_전문업무_및_엔지니어링\11_현장_프로젝트\01_동탄트램\08.메뉴얼 및 평면도\최종\02_메뉴얼 공종프로섹스(집행단계)\매뉴얼BODY(집행단계-첨부폴더)v8\5.콘크리트도상\1_설계적정성 검토\체크리스트\설계적정성 검토_체크리스트.html","👉 [클릭] 체크리스트 열기 📄")</f>
        <v>👉 [클릭] 체크리스트 열기 📄</v>
      </c>
      <c r="Q2" s="13"/>
      <c r="R2" s="14" t="s">
        <v>1812</v>
      </c>
      <c r="S2" s="17" t="s">
        <v>1035</v>
      </c>
      <c r="T2" s="14"/>
    </row>
    <row r="3" spans="1:20" ht="96" customHeight="1" x14ac:dyDescent="0.4">
      <c r="A3" s="13" t="s">
        <v>519</v>
      </c>
      <c r="B3" s="13" t="s">
        <v>1801</v>
      </c>
      <c r="C3" s="41" t="s">
        <v>1802</v>
      </c>
      <c r="D3" s="13" t="s">
        <v>1813</v>
      </c>
      <c r="E3" s="13" t="s">
        <v>1814</v>
      </c>
      <c r="F3" s="13" t="s">
        <v>1815</v>
      </c>
      <c r="G3" s="13" t="s">
        <v>838</v>
      </c>
      <c r="H3" s="14" t="s">
        <v>1816</v>
      </c>
      <c r="I3" s="14" t="s">
        <v>1817</v>
      </c>
      <c r="J3" s="14" t="s">
        <v>1818</v>
      </c>
      <c r="K3" s="14" t="s">
        <v>1819</v>
      </c>
      <c r="L3" s="120" t="str">
        <f>HYPERLINK("C:\Users\sskjh\antigravity\01_전문업무_및_엔지니어링\11_현장_프로젝트\01_동탄트램\08.메뉴얼 및 평면도\최종\02_메뉴얼 공종프로섹스(집행단계)\매뉴얼BODY(집행단계-첨부폴더)v8\5.콘크리트도상\2_자재 야적장 선정\표준서\자재 야적장 선정_표준서.html","👉 [클릭] 표준서 열기 📄")</f>
        <v>👉 [클릭] 표준서 열기 📄</v>
      </c>
      <c r="M3" s="14" t="s">
        <v>1820</v>
      </c>
      <c r="N3" s="120" t="str">
        <f>HYPERLINK("C:\Users\sskjh\antigravity\01_전문업무_및_엔지니어링\11_현장_프로젝트\01_동탄트램\08.메뉴얼 및 평면도\최종\02_메뉴얼 공종프로섹스(집행단계)\매뉴얼BODY(집행단계-첨부폴더)v8\5.콘크리트도상\2_자재 야적장 선정\수행지침\자재 야적장 선정_수행지침.html","👉 [클릭] 수행지침 열기 📄")</f>
        <v>👉 [클릭] 수행지침 열기 📄</v>
      </c>
      <c r="O3" s="14" t="s">
        <v>1821</v>
      </c>
      <c r="P3" s="120" t="str">
        <f>HYPERLINK("C:\Users\sskjh\antigravity\01_전문업무_및_엔지니어링\11_현장_프로젝트\01_동탄트램\08.메뉴얼 및 평면도\최종\02_메뉴얼 공종프로섹스(집행단계)\매뉴얼BODY(집행단계-첨부폴더)v8\5.콘크리트도상\2_자재 야적장 선정\체크리스트\자재 야적장 선정_체크리스트.html","👉 [클릭] 체크리스트 열기 📄")</f>
        <v>👉 [클릭] 체크리스트 열기 📄</v>
      </c>
      <c r="Q3" s="13"/>
      <c r="R3" s="14" t="s">
        <v>1822</v>
      </c>
      <c r="S3" s="17" t="s">
        <v>1035</v>
      </c>
      <c r="T3" s="14"/>
    </row>
    <row r="4" spans="1:20" ht="96" customHeight="1" x14ac:dyDescent="0.4">
      <c r="A4" s="13" t="s">
        <v>519</v>
      </c>
      <c r="B4" s="13" t="s">
        <v>1801</v>
      </c>
      <c r="C4" s="41" t="s">
        <v>1802</v>
      </c>
      <c r="D4" s="13" t="s">
        <v>1823</v>
      </c>
      <c r="E4" s="13" t="s">
        <v>1814</v>
      </c>
      <c r="F4" s="13" t="s">
        <v>1824</v>
      </c>
      <c r="G4" s="13" t="s">
        <v>838</v>
      </c>
      <c r="H4" s="14" t="s">
        <v>1825</v>
      </c>
      <c r="I4" s="14" t="s">
        <v>1826</v>
      </c>
      <c r="J4" s="14" t="s">
        <v>1827</v>
      </c>
      <c r="K4" s="14" t="s">
        <v>1828</v>
      </c>
      <c r="L4" s="120"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4" s="14" t="s">
        <v>1829</v>
      </c>
      <c r="N4" s="120"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4" s="14" t="s">
        <v>1830</v>
      </c>
      <c r="P4" s="120"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4" s="13"/>
      <c r="R4" s="14" t="s">
        <v>1831</v>
      </c>
      <c r="S4" s="17" t="s">
        <v>1035</v>
      </c>
      <c r="T4" s="14"/>
    </row>
    <row r="5" spans="1:20" ht="134.4" customHeight="1" x14ac:dyDescent="0.4">
      <c r="A5" s="13" t="s">
        <v>519</v>
      </c>
      <c r="B5" s="13" t="s">
        <v>1801</v>
      </c>
      <c r="C5" s="41" t="s">
        <v>1802</v>
      </c>
      <c r="D5" s="13" t="s">
        <v>1832</v>
      </c>
      <c r="E5" s="13" t="s">
        <v>1026</v>
      </c>
      <c r="F5" s="13" t="s">
        <v>1038</v>
      </c>
      <c r="G5" s="13" t="s">
        <v>838</v>
      </c>
      <c r="H5" s="14" t="s">
        <v>1833</v>
      </c>
      <c r="I5" s="14" t="s">
        <v>1834</v>
      </c>
      <c r="J5" s="14" t="s">
        <v>1835</v>
      </c>
      <c r="K5" s="14" t="s">
        <v>1836</v>
      </c>
      <c r="L5" s="120" t="str">
        <f>HYPERLINK("C:\Users\sskjh\antigravity\01_전문업무_및_엔지니어링\11_현장_프로젝트\01_동탄트램\08.메뉴얼 및 평면도\최종\02_메뉴얼 공종프로섹스(집행단계)\매뉴얼BODY(집행단계-첨부폴더)v8\5.콘크리트도상\4_발주전략 KOM\표준서\발주전략 KOM_표준서.html","👉 [클릭] 표준서 열기 📄")</f>
        <v>👉 [클릭] 표준서 열기 📄</v>
      </c>
      <c r="M5" s="14" t="s">
        <v>1837</v>
      </c>
      <c r="N5" s="120" t="str">
        <f>HYPERLINK("C:\Users\sskjh\antigravity\01_전문업무_및_엔지니어링\11_현장_프로젝트\01_동탄트램\08.메뉴얼 및 평면도\최종\02_메뉴얼 공종프로섹스(집행단계)\매뉴얼BODY(집행단계-첨부폴더)v8\5.콘크리트도상\4_발주전략 KOM\수행지침\발주전략 KOM_수행지침.html","👉 [클릭] 수행지침 열기 📄")</f>
        <v>👉 [클릭] 수행지침 열기 📄</v>
      </c>
      <c r="O5" s="14" t="s">
        <v>1838</v>
      </c>
      <c r="P5" s="120" t="str">
        <f>HYPERLINK("C:\Users\sskjh\antigravity\01_전문업무_및_엔지니어링\11_현장_프로젝트\01_동탄트램\08.메뉴얼 및 평면도\최종\02_메뉴얼 공종프로섹스(집행단계)\매뉴얼BODY(집행단계-첨부폴더)v8\5.콘크리트도상\4_발주전략 KOM\체크리스트\발주전략 KOM_체크리스트.html","👉 [클릭] 체크리스트 열기 📄")</f>
        <v>👉 [클릭] 체크리스트 열기 📄</v>
      </c>
      <c r="Q5" s="13"/>
      <c r="R5" s="14" t="s">
        <v>1839</v>
      </c>
      <c r="S5" s="17" t="s">
        <v>1035</v>
      </c>
      <c r="T5" s="14"/>
    </row>
    <row r="6" spans="1:20" ht="96" customHeight="1" x14ac:dyDescent="0.4">
      <c r="A6" s="13" t="s">
        <v>519</v>
      </c>
      <c r="B6" s="13" t="s">
        <v>1801</v>
      </c>
      <c r="C6" s="41" t="s">
        <v>1802</v>
      </c>
      <c r="D6" s="13" t="s">
        <v>1840</v>
      </c>
      <c r="E6" s="13" t="s">
        <v>1841</v>
      </c>
      <c r="F6" s="13" t="s">
        <v>1053</v>
      </c>
      <c r="G6" s="13" t="s">
        <v>1054</v>
      </c>
      <c r="H6" s="14" t="s">
        <v>1842</v>
      </c>
      <c r="I6" s="14" t="s">
        <v>1843</v>
      </c>
      <c r="J6" s="14" t="s">
        <v>1844</v>
      </c>
      <c r="K6" s="14" t="s">
        <v>1845</v>
      </c>
      <c r="L6" s="120" t="str">
        <f>HYPERLINK("C:\Users\sskjh\antigravity\01_전문업무_및_엔지니어링\11_현장_프로젝트\01_동탄트램\08.메뉴얼 및 평면도\최종\02_메뉴얼 공종프로섹스(집행단계)\매뉴얼BODY(집행단계-첨부폴더)v8\5.콘크리트도상\5_최고의 팀 만들기 지원\표준서\최고의 팀 만들기 지원_표준서.html","👉 [클릭] 표준서 열기 📄")</f>
        <v>👉 [클릭] 표준서 열기 📄</v>
      </c>
      <c r="M6" s="14" t="s">
        <v>1846</v>
      </c>
      <c r="N6" s="120" t="str">
        <f>HYPERLINK("C:\Users\sskjh\antigravity\01_전문업무_및_엔지니어링\11_현장_프로젝트\01_동탄트램\08.메뉴얼 및 평면도\최종\02_메뉴얼 공종프로섹스(집행단계)\매뉴얼BODY(집행단계-첨부폴더)v8\5.콘크리트도상\5_최고의 팀 만들기 지원\수행지침\최고의 팀 만들기 지원_수행지침.html","👉 [클릭] 수행지침 열기 📄")</f>
        <v>👉 [클릭] 수행지침 열기 📄</v>
      </c>
      <c r="O6" s="14" t="s">
        <v>1847</v>
      </c>
      <c r="P6" s="120" t="str">
        <f>HYPERLINK("C:\Users\sskjh\antigravity\01_전문업무_및_엔지니어링\11_현장_프로젝트\01_동탄트램\08.메뉴얼 및 평면도\최종\02_메뉴얼 공종프로섹스(집행단계)\매뉴얼BODY(집행단계-첨부폴더)v8\5.콘크리트도상\5_최고의 팀 만들기 지원\체크리스트\최고의 팀 만들기 지원_체크리스트.html","👉 [클릭] 체크리스트 열기 📄")</f>
        <v>👉 [클릭] 체크리스트 열기 📄</v>
      </c>
      <c r="Q6" s="13"/>
      <c r="R6" s="14" t="s">
        <v>1848</v>
      </c>
      <c r="S6" s="17" t="s">
        <v>1035</v>
      </c>
      <c r="T6" s="14"/>
    </row>
    <row r="7" spans="1:20" ht="76.8" customHeight="1" x14ac:dyDescent="0.4">
      <c r="A7" s="13" t="s">
        <v>519</v>
      </c>
      <c r="B7" s="13" t="s">
        <v>1801</v>
      </c>
      <c r="C7" s="41" t="s">
        <v>1802</v>
      </c>
      <c r="D7" s="13" t="s">
        <v>1849</v>
      </c>
      <c r="E7" s="13" t="s">
        <v>1850</v>
      </c>
      <c r="F7" s="13" t="s">
        <v>1851</v>
      </c>
      <c r="G7" s="13" t="s">
        <v>839</v>
      </c>
      <c r="H7" s="14" t="s">
        <v>1852</v>
      </c>
      <c r="I7" s="14" t="s">
        <v>1853</v>
      </c>
      <c r="J7" s="14" t="s">
        <v>1854</v>
      </c>
      <c r="K7" s="14" t="s">
        <v>1855</v>
      </c>
      <c r="L7" s="120" t="str">
        <f>HYPERLINK("C:\Users\sskjh\antigravity\01_전문업무_및_엔지니어링\11_현장_프로젝트\01_동탄트램\08.메뉴얼 및 평면도\최종\02_메뉴얼 공종프로섹스(집행단계)\매뉴얼BODY(집행단계-첨부폴더)v8\5.콘크리트도상\14_[HBS] 콘크리트 타설 및 양생\표준서\14_[HBS] 콘크리트 타설 및 양생_표준서.html","👉 [클릭] 표준서 열기 📄")</f>
        <v>👉 [클릭] 표준서 열기 📄</v>
      </c>
      <c r="M7" s="14" t="s">
        <v>1856</v>
      </c>
      <c r="N7" s="120"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양생\수행지침\[HBS] 콘크리트 타설 및 양생_수행지침.html","👉 [클릭] 수행지침 열기 📄")</f>
        <v>👉 [클릭] 수행지침 열기 📄</v>
      </c>
      <c r="O7" s="14" t="s">
        <v>1857</v>
      </c>
      <c r="P7" s="120"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양생\체크리스트\14_[HBS] 콘크리트 타설 및 양생_체크리스트.html","👉 [클릭] 체크리스트 열기 📄")</f>
        <v>👉 [클릭] 체크리스트 열기 📄</v>
      </c>
      <c r="Q7" s="13"/>
      <c r="R7" s="14" t="s">
        <v>1858</v>
      </c>
      <c r="S7" s="17" t="s">
        <v>1035</v>
      </c>
      <c r="T7" s="14"/>
    </row>
    <row r="8" spans="1:20" ht="219.6" customHeight="1" x14ac:dyDescent="0.4">
      <c r="A8" s="13" t="s">
        <v>519</v>
      </c>
      <c r="B8" s="13" t="s">
        <v>1801</v>
      </c>
      <c r="C8" s="41" t="s">
        <v>1802</v>
      </c>
      <c r="D8" s="13" t="s">
        <v>1859</v>
      </c>
      <c r="E8" s="13" t="s">
        <v>1292</v>
      </c>
      <c r="F8" s="13" t="s">
        <v>1654</v>
      </c>
      <c r="G8" s="13" t="s">
        <v>861</v>
      </c>
      <c r="H8" s="14" t="s">
        <v>1860</v>
      </c>
      <c r="I8" s="14" t="s">
        <v>1861</v>
      </c>
      <c r="J8" s="14" t="s">
        <v>1862</v>
      </c>
      <c r="K8" s="14" t="s">
        <v>1863</v>
      </c>
      <c r="L8" s="120" t="str">
        <f>HYPERLINK("C:\Users\sskjh\antigravity\01_전문업무_및_엔지니어링\11_현장_프로젝트\01_동탄트램\08.메뉴얼 및 평면도\최종\02_메뉴얼 공종프로섹스(집행단계)\매뉴얼BODY(집행단계-첨부폴더)v8\5.콘크리트도상\7_작수전 Big Room 회의\표준서\작수전 Big Room 회의_표준서.html","👉 [클릭] 표준서 열기 📄")</f>
        <v>👉 [클릭] 표준서 열기 📄</v>
      </c>
      <c r="M8" s="14" t="s">
        <v>1864</v>
      </c>
      <c r="N8" s="120" t="str">
        <f>HYPERLINK("C:\Users\sskjh\antigravity\01_전문업무_및_엔지니어링\11_현장_프로젝트\01_동탄트램\08.메뉴얼 및 평면도\최종\02_메뉴얼 공종프로섹스(집행단계)\매뉴얼BODY(집행단계-첨부폴더)v8\5.콘크리트도상\7_작수전 Big Room 회의\수행지침\작수전 Big Room 회의_수행지침.html","👉 [클릭] 수행지침 열기 📄")</f>
        <v>👉 [클릭] 수행지침 열기 📄</v>
      </c>
      <c r="O8" s="14" t="s">
        <v>1865</v>
      </c>
      <c r="P8" s="120" t="str">
        <f>HYPERLINK("C:\Users\sskjh\antigravity\01_전문업무_및_엔지니어링\11_현장_프로젝트\01_동탄트램\08.메뉴얼 및 평면도\최종\02_메뉴얼 공종프로섹스(집행단계)\매뉴얼BODY(집행단계-첨부폴더)v8\5.콘크리트도상\7_작수전 Big Room 회의\체크리스트\작수전 Big Room 회의_체크리스트.html","👉 [클릭] 체크리스트 열기 📄")</f>
        <v>👉 [클릭] 체크리스트 열기 📄</v>
      </c>
      <c r="Q8" s="13"/>
      <c r="R8" s="14" t="s">
        <v>1866</v>
      </c>
      <c r="S8" s="17" t="s">
        <v>1035</v>
      </c>
      <c r="T8" s="14"/>
    </row>
    <row r="9" spans="1:20" ht="76.8" customHeight="1" x14ac:dyDescent="0.4">
      <c r="A9" s="13" t="s">
        <v>519</v>
      </c>
      <c r="B9" s="13" t="s">
        <v>1801</v>
      </c>
      <c r="C9" s="41" t="s">
        <v>1802</v>
      </c>
      <c r="D9" s="13" t="s">
        <v>1867</v>
      </c>
      <c r="E9" s="13" t="s">
        <v>1292</v>
      </c>
      <c r="F9" s="13" t="s">
        <v>1868</v>
      </c>
      <c r="G9" s="13" t="s">
        <v>1869</v>
      </c>
      <c r="H9" s="14" t="s">
        <v>1870</v>
      </c>
      <c r="I9" s="14" t="s">
        <v>1871</v>
      </c>
      <c r="J9" s="14" t="s">
        <v>1872</v>
      </c>
      <c r="K9" s="14" t="s">
        <v>1873</v>
      </c>
      <c r="L9" s="120"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검토\표준서\장비,자재 반입로_반입구 간섭 검토_표준서.html","👉 [클릭] 표준서 열기 📄")</f>
        <v>👉 [클릭] 표준서 열기 📄</v>
      </c>
      <c r="M9" s="14" t="s">
        <v>1874</v>
      </c>
      <c r="N9" s="120"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검토\수행지침\장비,자재 반입로_반입구 간섭 검토_수행지침.html","👉 [클릭] 수행지침 열기 📄")</f>
        <v>👉 [클릭] 수행지침 열기 📄</v>
      </c>
      <c r="O9" s="14" t="s">
        <v>1875</v>
      </c>
      <c r="P9" s="120"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검토\체크리스트\장비,자재 반입로_반입구 간섭 검토_체크리스트.html","👉 [클릭] 체크리스트 열기 📄")</f>
        <v>👉 [클릭] 체크리스트 열기 📄</v>
      </c>
      <c r="Q9" s="13"/>
      <c r="R9" s="14" t="s">
        <v>1876</v>
      </c>
      <c r="S9" s="17" t="s">
        <v>1035</v>
      </c>
      <c r="T9" s="14"/>
    </row>
    <row r="10" spans="1:20" ht="76.8" customHeight="1" x14ac:dyDescent="0.4">
      <c r="A10" s="13" t="s">
        <v>519</v>
      </c>
      <c r="B10" s="13" t="s">
        <v>1801</v>
      </c>
      <c r="C10" s="41" t="s">
        <v>1802</v>
      </c>
      <c r="D10" s="13" t="s">
        <v>1877</v>
      </c>
      <c r="E10" s="13" t="s">
        <v>1292</v>
      </c>
      <c r="F10" s="13" t="s">
        <v>1878</v>
      </c>
      <c r="G10" s="13" t="s">
        <v>1879</v>
      </c>
      <c r="H10" s="14" t="s">
        <v>1880</v>
      </c>
      <c r="I10" s="14" t="s">
        <v>1881</v>
      </c>
      <c r="J10" s="14" t="s">
        <v>1882</v>
      </c>
      <c r="K10" s="14" t="s">
        <v>1883</v>
      </c>
      <c r="L10" s="120" t="str">
        <f>HYPERLINK("C:\Users\sskjh\antigravity\01_전문업무_및_엔지니어링\11_현장_프로젝트\01_동탄트램\08.메뉴얼 및 평면도\최종\02_메뉴얼 공종프로섹스(집행단계)\매뉴얼BODY(집행단계-첨부폴더)v8\5.콘크리트도상\9_자재조달계획 검토\표준서\자재조달계획 검토_표준서.html","👉 [클릭] 표준서 열기 📄")</f>
        <v>👉 [클릭] 표준서 열기 📄</v>
      </c>
      <c r="M10" s="14" t="s">
        <v>1884</v>
      </c>
      <c r="N10" s="120" t="str">
        <f>HYPERLINK("C:\Users\sskjh\antigravity\01_전문업무_및_엔지니어링\11_현장_프로젝트\01_동탄트램\08.메뉴얼 및 평면도\최종\02_메뉴얼 공종프로섹스(집행단계)\매뉴얼BODY(집행단계-첨부폴더)v8\5.콘크리트도상\9_자재조달계획 검토\수행지침\자재조달계획 검토_수행지침.html","👉 [클릭] 수행지침 열기 📄")</f>
        <v>👉 [클릭] 수행지침 열기 📄</v>
      </c>
      <c r="O10" s="14" t="s">
        <v>1885</v>
      </c>
      <c r="P10" s="120" t="str">
        <f>HYPERLINK("C:\Users\sskjh\antigravity\01_전문업무_및_엔지니어링\11_현장_프로젝트\01_동탄트램\08.메뉴얼 및 평면도\최종\02_메뉴얼 공종프로섹스(집행단계)\매뉴얼BODY(집행단계-첨부폴더)v8\5.콘크리트도상\9_자재조달계획 검토\체크리스트\자재조달계획 검토_체크리스트.html","👉 [클릭] 체크리스트 열기 📄")</f>
        <v>👉 [클릭] 체크리스트 열기 📄</v>
      </c>
      <c r="Q10" s="13"/>
      <c r="R10" s="14" t="s">
        <v>1886</v>
      </c>
      <c r="S10" s="17" t="s">
        <v>1035</v>
      </c>
      <c r="T10" s="14"/>
    </row>
    <row r="11" spans="1:20" ht="57.6" customHeight="1" x14ac:dyDescent="0.4">
      <c r="A11" s="13" t="s">
        <v>519</v>
      </c>
      <c r="B11" s="13" t="s">
        <v>1801</v>
      </c>
      <c r="C11" s="41" t="s">
        <v>1802</v>
      </c>
      <c r="D11" s="13" t="s">
        <v>1887</v>
      </c>
      <c r="E11" s="13" t="s">
        <v>1888</v>
      </c>
      <c r="F11" s="13" t="s">
        <v>1889</v>
      </c>
      <c r="G11" s="13" t="s">
        <v>838</v>
      </c>
      <c r="H11" s="14" t="s">
        <v>1890</v>
      </c>
      <c r="I11" s="14" t="s">
        <v>1891</v>
      </c>
      <c r="J11" s="14" t="s">
        <v>1892</v>
      </c>
      <c r="K11" s="14" t="s">
        <v>1893</v>
      </c>
      <c r="L11" s="120" t="str">
        <f>HYPERLINK("C:\Users\sskjh\antigravity\01_전문업무_및_엔지니어링\11_현장_프로젝트\01_동탄트램\08.메뉴얼 및 평면도\최종\02_메뉴얼 공종프로섹스(집행단계)\매뉴얼BODY(집행단계-첨부폴더)v8\5.콘크리트도상\10_자재 발주 요청\표준서\자재 발주 요청_표준서.html","👉 [클릭] 표준서 열기 📄")</f>
        <v>👉 [클릭] 표준서 열기 📄</v>
      </c>
      <c r="M11" s="14" t="s">
        <v>1894</v>
      </c>
      <c r="N11" s="120" t="str">
        <f>HYPERLINK("C:\Users\sskjh\antigravity\01_전문업무_및_엔지니어링\11_현장_프로젝트\01_동탄트램\08.메뉴얼 및 평면도\최종\02_메뉴얼 공종프로섹스(집행단계)\매뉴얼BODY(집행단계-첨부폴더)v8\5.콘크리트도상\10_자재 발주 요청\수행지침\자재 발주 요청_수행지침.html","👉 [클릭] 수행지침 열기 📄")</f>
        <v>👉 [클릭] 수행지침 열기 📄</v>
      </c>
      <c r="O11" s="14" t="s">
        <v>1895</v>
      </c>
      <c r="P11" s="120" t="str">
        <f>HYPERLINK("C:\Users\sskjh\antigravity\01_전문업무_및_엔지니어링\11_현장_프로젝트\01_동탄트램\08.메뉴얼 및 평면도\최종\02_메뉴얼 공종프로섹스(집행단계)\매뉴얼BODY(집행단계-첨부폴더)v8\5.콘크리트도상\10_자재 발주 요청\체크리스트\자재 발주 요청_체크리스트.html","👉 [클릭] 체크리스트 열기 📄")</f>
        <v>👉 [클릭] 체크리스트 열기 📄</v>
      </c>
      <c r="Q11" s="13"/>
      <c r="R11" s="14" t="s">
        <v>1896</v>
      </c>
      <c r="S11" s="17" t="s">
        <v>1035</v>
      </c>
      <c r="T11" s="14"/>
    </row>
    <row r="12" spans="1:20" ht="88.8" customHeight="1" x14ac:dyDescent="0.4">
      <c r="A12" s="13" t="s">
        <v>519</v>
      </c>
      <c r="B12" s="13" t="s">
        <v>1801</v>
      </c>
      <c r="C12" s="41" t="s">
        <v>1802</v>
      </c>
      <c r="D12" s="13" t="s">
        <v>1897</v>
      </c>
      <c r="E12" s="13" t="s">
        <v>1898</v>
      </c>
      <c r="F12" s="13" t="s">
        <v>1132</v>
      </c>
      <c r="G12" s="13" t="s">
        <v>1899</v>
      </c>
      <c r="H12" s="14" t="s">
        <v>1900</v>
      </c>
      <c r="I12" s="14" t="s">
        <v>1901</v>
      </c>
      <c r="J12" s="14" t="s">
        <v>1902</v>
      </c>
      <c r="K12" s="14" t="s">
        <v>1903</v>
      </c>
      <c r="L12" s="120" t="str">
        <f>HYPERLINK("C:\Users\sskjh\antigravity\01_전문업무_및_엔지니어링\11_현장_프로젝트\01_동탄트램\08.메뉴얼 및 평면도\최종\02_메뉴얼 공종프로섹스(집행단계)\매뉴얼BODY(집행단계-첨부폴더)v8\5.콘크리트도상\11_시공계획 수립\표준서\시공계획 수립_표준서.html","👉 [클릭] 표준서 열기 📄")</f>
        <v>👉 [클릭] 표준서 열기 📄</v>
      </c>
      <c r="M12" s="14" t="s">
        <v>1904</v>
      </c>
      <c r="N12" s="120" t="str">
        <f>HYPERLINK("C:\Users\sskjh\antigravity\01_전문업무_및_엔지니어링\11_현장_프로젝트\01_동탄트램\08.메뉴얼 및 평면도\최종\02_메뉴얼 공종프로섹스(집행단계)\매뉴얼BODY(집행단계-첨부폴더)v8\5.콘크리트도상\11_시공계획 수립\수행지침\11_시공계획 수립_수행지침.html","👉 [클릭] 수행지침 열기 📄")</f>
        <v>👉 [클릭] 수행지침 열기 📄</v>
      </c>
      <c r="O12" s="14" t="s">
        <v>1905</v>
      </c>
      <c r="P12" s="120" t="str">
        <f>HYPERLINK("C:\Users\sskjh\antigravity\01_전문업무_및_엔지니어링\11_현장_프로젝트\01_동탄트램\08.메뉴얼 및 평면도\최종\02_메뉴얼 공종프로섹스(집행단계)\매뉴얼BODY(집행단계-첨부폴더)v8\5.콘크리트도상\11_시공계획 수립\체크리스트\시공계획 수립_체크리스트.html","👉 [클릭] 체크리스트 열기 📄")</f>
        <v>👉 [클릭] 체크리스트 열기 📄</v>
      </c>
      <c r="Q12" s="13"/>
      <c r="R12" s="14" t="s">
        <v>1906</v>
      </c>
      <c r="S12" s="17" t="s">
        <v>1035</v>
      </c>
      <c r="T12" s="14"/>
    </row>
    <row r="13" spans="1:20" ht="110.4" customHeight="1" x14ac:dyDescent="0.4">
      <c r="A13" s="13" t="s">
        <v>519</v>
      </c>
      <c r="B13" s="13" t="s">
        <v>1801</v>
      </c>
      <c r="C13" s="41" t="s">
        <v>1802</v>
      </c>
      <c r="D13" s="13" t="s">
        <v>1907</v>
      </c>
      <c r="E13" s="13" t="s">
        <v>1908</v>
      </c>
      <c r="F13" s="13" t="s">
        <v>1909</v>
      </c>
      <c r="G13" s="13" t="s">
        <v>1910</v>
      </c>
      <c r="H13" s="14" t="s">
        <v>1911</v>
      </c>
      <c r="I13" s="14" t="s">
        <v>1912</v>
      </c>
      <c r="J13" s="14" t="s">
        <v>1913</v>
      </c>
      <c r="K13" s="14" t="s">
        <v>1914</v>
      </c>
      <c r="L13" s="120" t="str">
        <f>HYPERLINK("C:\Users\sskjh\antigravity\01_전문업무_및_엔지니어링\11_현장_프로젝트\01_동탄트램\08.메뉴얼 및 평면도\최종\02_메뉴얼 공종프로섹스(집행단계)\매뉴얼BODY(집행단계-첨부폴더)v8\5.콘크리트도상\12_자재 반입\표준서\자재 반입_표준서.html","👉 [클릭] 표준서 열기 📄")</f>
        <v>👉 [클릭] 표준서 열기 📄</v>
      </c>
      <c r="M13" s="14" t="s">
        <v>1915</v>
      </c>
      <c r="N13" s="120" t="str">
        <f>HYPERLINK("C:\Users\sskjh\antigravity\01_전문업무_및_엔지니어링\11_현장_프로젝트\01_동탄트램\08.메뉴얼 및 평면도\최종\02_메뉴얼 공종프로섹스(집행단계)\매뉴얼BODY(집행단계-첨부폴더)v8\5.콘크리트도상\12_자재 반입\수행지침\자재 반입_수행지침.html","👉 [클릭] 수행지침 열기 📄")</f>
        <v>👉 [클릭] 수행지침 열기 📄</v>
      </c>
      <c r="O13" s="14" t="s">
        <v>1916</v>
      </c>
      <c r="P13" s="120" t="str">
        <f>HYPERLINK("C:\Users\sskjh\antigravity\01_전문업무_및_엔지니어링\11_현장_프로젝트\01_동탄트램\08.메뉴얼 및 평면도\최종\02_메뉴얼 공종프로섹스(집행단계)\매뉴얼BODY(집행단계-첨부폴더)v8\5.콘크리트도상\12_자재 반입\체크리스트\자재 반입_체크리스트.html","👉 [클릭] 체크리스트 열기 📄")</f>
        <v>👉 [클릭] 체크리스트 열기 📄</v>
      </c>
      <c r="Q13" s="13"/>
      <c r="R13" s="14" t="s">
        <v>1917</v>
      </c>
      <c r="S13" s="17" t="s">
        <v>1035</v>
      </c>
      <c r="T13" s="14"/>
    </row>
    <row r="14" spans="1:20" ht="86.4" customHeight="1" x14ac:dyDescent="0.4">
      <c r="A14" s="13" t="s">
        <v>519</v>
      </c>
      <c r="B14" s="13" t="s">
        <v>1801</v>
      </c>
      <c r="C14" s="41" t="s">
        <v>1802</v>
      </c>
      <c r="D14" s="13" t="s">
        <v>1918</v>
      </c>
      <c r="E14" s="13" t="s">
        <v>1919</v>
      </c>
      <c r="F14" s="13" t="s">
        <v>1920</v>
      </c>
      <c r="G14" s="13" t="s">
        <v>839</v>
      </c>
      <c r="H14" s="14" t="s">
        <v>1921</v>
      </c>
      <c r="I14" s="14" t="s">
        <v>1922</v>
      </c>
      <c r="J14" s="14" t="s">
        <v>1923</v>
      </c>
      <c r="K14" s="14" t="s">
        <v>1924</v>
      </c>
      <c r="L14" t="s">
        <v>605</v>
      </c>
      <c r="M14" s="14" t="s">
        <v>1925</v>
      </c>
      <c r="N14" t="s">
        <v>605</v>
      </c>
      <c r="O14" s="14" t="s">
        <v>1926</v>
      </c>
      <c r="P14" t="s">
        <v>605</v>
      </c>
      <c r="Q14" s="13"/>
      <c r="R14" s="14" t="s">
        <v>1927</v>
      </c>
      <c r="S14" s="17" t="s">
        <v>1035</v>
      </c>
      <c r="T14" s="14"/>
    </row>
    <row r="15" spans="1:20" ht="76.8" customHeight="1" x14ac:dyDescent="0.4">
      <c r="A15" s="13" t="s">
        <v>519</v>
      </c>
      <c r="B15" s="13" t="s">
        <v>1801</v>
      </c>
      <c r="C15" s="41" t="s">
        <v>1802</v>
      </c>
      <c r="D15" s="13" t="s">
        <v>1928</v>
      </c>
      <c r="E15" s="13" t="s">
        <v>1929</v>
      </c>
      <c r="F15" s="13" t="s">
        <v>1930</v>
      </c>
      <c r="G15" s="13" t="s">
        <v>839</v>
      </c>
      <c r="H15" s="14" t="s">
        <v>1931</v>
      </c>
      <c r="I15" s="14" t="s">
        <v>1932</v>
      </c>
      <c r="J15" s="14" t="s">
        <v>1933</v>
      </c>
      <c r="K15" s="14" t="s">
        <v>1934</v>
      </c>
      <c r="L15" t="s">
        <v>605</v>
      </c>
      <c r="M15" s="14" t="s">
        <v>1935</v>
      </c>
      <c r="N15" t="s">
        <v>605</v>
      </c>
      <c r="O15" s="14" t="s">
        <v>1936</v>
      </c>
      <c r="P15" t="s">
        <v>605</v>
      </c>
      <c r="Q15" s="13"/>
      <c r="R15" s="14" t="s">
        <v>1937</v>
      </c>
      <c r="S15" s="17" t="s">
        <v>1035</v>
      </c>
      <c r="T15" s="14"/>
    </row>
    <row r="16" spans="1:20" ht="76.8" customHeight="1" x14ac:dyDescent="0.4">
      <c r="A16" s="13" t="s">
        <v>519</v>
      </c>
      <c r="B16" s="13" t="s">
        <v>1801</v>
      </c>
      <c r="C16" s="41" t="s">
        <v>1802</v>
      </c>
      <c r="D16" s="13" t="s">
        <v>1938</v>
      </c>
      <c r="E16" s="13" t="s">
        <v>1939</v>
      </c>
      <c r="F16" s="13" t="s">
        <v>1940</v>
      </c>
      <c r="G16" s="13" t="s">
        <v>839</v>
      </c>
      <c r="H16" s="14" t="s">
        <v>1941</v>
      </c>
      <c r="I16" s="14" t="s">
        <v>1942</v>
      </c>
      <c r="J16" s="14" t="s">
        <v>1943</v>
      </c>
      <c r="K16" s="14" t="s">
        <v>1944</v>
      </c>
      <c r="L16" t="s">
        <v>605</v>
      </c>
      <c r="M16" s="14" t="s">
        <v>1945</v>
      </c>
      <c r="N16" t="s">
        <v>605</v>
      </c>
      <c r="O16" s="14" t="s">
        <v>1946</v>
      </c>
      <c r="P16" t="s">
        <v>605</v>
      </c>
      <c r="Q16" s="13"/>
      <c r="R16" s="14" t="s">
        <v>1947</v>
      </c>
      <c r="S16" s="17" t="s">
        <v>1035</v>
      </c>
      <c r="T16" s="14"/>
    </row>
    <row r="17" spans="1:20" ht="76.8" customHeight="1" x14ac:dyDescent="0.4">
      <c r="A17" s="13" t="s">
        <v>519</v>
      </c>
      <c r="B17" s="13" t="s">
        <v>1801</v>
      </c>
      <c r="C17" s="41" t="s">
        <v>1802</v>
      </c>
      <c r="D17" s="13" t="s">
        <v>1948</v>
      </c>
      <c r="E17" s="13" t="s">
        <v>1949</v>
      </c>
      <c r="F17" s="13" t="s">
        <v>1950</v>
      </c>
      <c r="G17" s="13" t="s">
        <v>839</v>
      </c>
      <c r="H17" s="14" t="s">
        <v>1951</v>
      </c>
      <c r="I17" s="14" t="s">
        <v>1952</v>
      </c>
      <c r="J17" s="14" t="s">
        <v>1953</v>
      </c>
      <c r="K17" s="14" t="s">
        <v>1954</v>
      </c>
      <c r="L17" t="s">
        <v>605</v>
      </c>
      <c r="M17" s="14" t="s">
        <v>1955</v>
      </c>
      <c r="N17" t="s">
        <v>605</v>
      </c>
      <c r="O17" s="14" t="s">
        <v>1956</v>
      </c>
      <c r="P17" t="s">
        <v>605</v>
      </c>
      <c r="Q17" s="13"/>
      <c r="R17" s="14" t="s">
        <v>1957</v>
      </c>
      <c r="S17" s="17" t="s">
        <v>1035</v>
      </c>
      <c r="T17" s="14"/>
    </row>
    <row r="18" spans="1:20" ht="76.8" customHeight="1" x14ac:dyDescent="0.4">
      <c r="A18" s="13" t="s">
        <v>519</v>
      </c>
      <c r="B18" s="13" t="s">
        <v>1801</v>
      </c>
      <c r="C18" s="41" t="s">
        <v>1802</v>
      </c>
      <c r="D18" s="13" t="s">
        <v>1958</v>
      </c>
      <c r="E18" s="13" t="s">
        <v>1959</v>
      </c>
      <c r="F18" s="13" t="s">
        <v>1960</v>
      </c>
      <c r="G18" s="13" t="s">
        <v>839</v>
      </c>
      <c r="H18" s="14" t="s">
        <v>1961</v>
      </c>
      <c r="I18" s="14" t="s">
        <v>1962</v>
      </c>
      <c r="J18" s="14" t="s">
        <v>1963</v>
      </c>
      <c r="K18" s="14" t="s">
        <v>1964</v>
      </c>
      <c r="L18" t="s">
        <v>605</v>
      </c>
      <c r="M18" s="14" t="s">
        <v>1965</v>
      </c>
      <c r="N18" t="s">
        <v>605</v>
      </c>
      <c r="O18" s="14" t="s">
        <v>1966</v>
      </c>
      <c r="P18" t="s">
        <v>605</v>
      </c>
      <c r="Q18" s="13"/>
      <c r="R18" s="14" t="s">
        <v>1967</v>
      </c>
      <c r="S18" s="17" t="s">
        <v>1035</v>
      </c>
      <c r="T18" s="14"/>
    </row>
    <row r="19" spans="1:20" ht="76.8" customHeight="1" x14ac:dyDescent="0.4">
      <c r="A19" s="13" t="s">
        <v>519</v>
      </c>
      <c r="B19" s="13" t="s">
        <v>1801</v>
      </c>
      <c r="C19" s="41" t="s">
        <v>1802</v>
      </c>
      <c r="D19" s="13" t="s">
        <v>1968</v>
      </c>
      <c r="E19" s="13" t="s">
        <v>1969</v>
      </c>
      <c r="F19" s="13" t="s">
        <v>1970</v>
      </c>
      <c r="G19" s="13" t="s">
        <v>839</v>
      </c>
      <c r="H19" s="14" t="s">
        <v>1971</v>
      </c>
      <c r="I19" s="14" t="s">
        <v>1972</v>
      </c>
      <c r="J19" s="14" t="s">
        <v>1973</v>
      </c>
      <c r="K19" s="14" t="s">
        <v>1974</v>
      </c>
      <c r="L19" t="s">
        <v>605</v>
      </c>
      <c r="M19" s="14" t="s">
        <v>1975</v>
      </c>
      <c r="N19" t="s">
        <v>605</v>
      </c>
      <c r="O19" s="14" t="s">
        <v>1976</v>
      </c>
      <c r="P19" t="s">
        <v>605</v>
      </c>
      <c r="Q19" s="13"/>
      <c r="R19" s="14" t="s">
        <v>1977</v>
      </c>
      <c r="S19" s="17" t="s">
        <v>1035</v>
      </c>
      <c r="T19" s="14"/>
    </row>
    <row r="20" spans="1:20" ht="96" customHeight="1" x14ac:dyDescent="0.4">
      <c r="A20" s="13" t="s">
        <v>519</v>
      </c>
      <c r="B20" s="13" t="s">
        <v>1801</v>
      </c>
      <c r="C20" s="41" t="s">
        <v>1802</v>
      </c>
      <c r="D20" s="13" t="s">
        <v>1978</v>
      </c>
      <c r="E20" s="13" t="s">
        <v>1979</v>
      </c>
      <c r="F20" s="13" t="s">
        <v>1980</v>
      </c>
      <c r="G20" s="13" t="s">
        <v>839</v>
      </c>
      <c r="H20" s="14" t="s">
        <v>1981</v>
      </c>
      <c r="I20" s="14" t="s">
        <v>1982</v>
      </c>
      <c r="J20" s="14" t="s">
        <v>1983</v>
      </c>
      <c r="K20" s="14" t="s">
        <v>1984</v>
      </c>
      <c r="L20" t="s">
        <v>605</v>
      </c>
      <c r="M20" s="14" t="s">
        <v>1985</v>
      </c>
      <c r="N20" t="s">
        <v>605</v>
      </c>
      <c r="O20" s="14" t="s">
        <v>1986</v>
      </c>
      <c r="P20" t="s">
        <v>605</v>
      </c>
      <c r="Q20" s="13"/>
      <c r="R20" s="14" t="s">
        <v>1987</v>
      </c>
      <c r="S20" s="17" t="s">
        <v>1035</v>
      </c>
      <c r="T20" s="14"/>
    </row>
    <row r="21" spans="1:20" ht="96" customHeight="1" x14ac:dyDescent="0.4">
      <c r="A21" s="13" t="s">
        <v>519</v>
      </c>
      <c r="B21" s="13" t="s">
        <v>1801</v>
      </c>
      <c r="C21" s="41" t="s">
        <v>1802</v>
      </c>
      <c r="D21" s="13" t="s">
        <v>1988</v>
      </c>
      <c r="E21" s="13" t="s">
        <v>1989</v>
      </c>
      <c r="F21" s="13" t="s">
        <v>1990</v>
      </c>
      <c r="G21" s="13" t="s">
        <v>839</v>
      </c>
      <c r="H21" s="14" t="s">
        <v>1991</v>
      </c>
      <c r="I21" s="14" t="s">
        <v>1992</v>
      </c>
      <c r="J21" s="14" t="s">
        <v>1993</v>
      </c>
      <c r="K21" s="14" t="s">
        <v>1994</v>
      </c>
      <c r="L21" t="s">
        <v>605</v>
      </c>
      <c r="M21" s="14" t="s">
        <v>1995</v>
      </c>
      <c r="N21" t="s">
        <v>605</v>
      </c>
      <c r="O21" s="14" t="s">
        <v>1996</v>
      </c>
      <c r="P21" t="s">
        <v>605</v>
      </c>
      <c r="Q21" s="13"/>
      <c r="R21" s="14" t="s">
        <v>1997</v>
      </c>
      <c r="S21" s="17" t="s">
        <v>1035</v>
      </c>
      <c r="T21" s="14"/>
    </row>
    <row r="22" spans="1:20" ht="96" customHeight="1" x14ac:dyDescent="0.4">
      <c r="A22" s="13" t="s">
        <v>519</v>
      </c>
      <c r="B22" s="13" t="s">
        <v>1801</v>
      </c>
      <c r="C22" s="41" t="s">
        <v>1802</v>
      </c>
      <c r="D22" s="13" t="s">
        <v>1998</v>
      </c>
      <c r="E22" s="13" t="s">
        <v>1999</v>
      </c>
      <c r="F22" s="13" t="s">
        <v>2000</v>
      </c>
      <c r="G22" s="13" t="s">
        <v>839</v>
      </c>
      <c r="H22" s="14" t="s">
        <v>2001</v>
      </c>
      <c r="I22" s="14" t="s">
        <v>2002</v>
      </c>
      <c r="J22" s="14" t="s">
        <v>2003</v>
      </c>
      <c r="K22" s="14" t="s">
        <v>2004</v>
      </c>
      <c r="L22" t="s">
        <v>605</v>
      </c>
      <c r="M22" s="14" t="s">
        <v>2005</v>
      </c>
      <c r="N22" t="s">
        <v>605</v>
      </c>
      <c r="O22" s="14" t="s">
        <v>2006</v>
      </c>
      <c r="P22" t="s">
        <v>605</v>
      </c>
      <c r="Q22" s="13"/>
      <c r="R22" s="14" t="s">
        <v>2007</v>
      </c>
      <c r="S22" s="17" t="s">
        <v>1035</v>
      </c>
      <c r="T22" s="14"/>
    </row>
    <row r="23" spans="1:20" ht="96" customHeight="1" x14ac:dyDescent="0.4">
      <c r="A23" s="13" t="s">
        <v>519</v>
      </c>
      <c r="B23" s="13" t="s">
        <v>1801</v>
      </c>
      <c r="C23" s="41" t="s">
        <v>1802</v>
      </c>
      <c r="D23" s="13" t="s">
        <v>2008</v>
      </c>
      <c r="E23" s="13" t="s">
        <v>2009</v>
      </c>
      <c r="F23" s="13" t="s">
        <v>2010</v>
      </c>
      <c r="G23" s="13" t="s">
        <v>839</v>
      </c>
      <c r="H23" s="14" t="s">
        <v>2011</v>
      </c>
      <c r="I23" s="14" t="s">
        <v>2012</v>
      </c>
      <c r="J23" s="14" t="s">
        <v>2013</v>
      </c>
      <c r="K23" s="14" t="s">
        <v>2014</v>
      </c>
      <c r="L23" t="s">
        <v>605</v>
      </c>
      <c r="M23" s="14" t="s">
        <v>2015</v>
      </c>
      <c r="N23" t="s">
        <v>605</v>
      </c>
      <c r="O23" s="14" t="s">
        <v>2016</v>
      </c>
      <c r="P23" t="s">
        <v>605</v>
      </c>
      <c r="Q23" s="13"/>
      <c r="R23" s="14" t="s">
        <v>2017</v>
      </c>
      <c r="S23" s="17" t="s">
        <v>1035</v>
      </c>
      <c r="T23" s="14"/>
    </row>
    <row r="24" spans="1:20" s="52" customFormat="1" ht="96" customHeight="1" x14ac:dyDescent="0.4">
      <c r="A24" s="50" t="s">
        <v>519</v>
      </c>
      <c r="B24" s="50" t="s">
        <v>1801</v>
      </c>
      <c r="C24" s="53" t="s">
        <v>1802</v>
      </c>
      <c r="D24" s="50" t="s">
        <v>2018</v>
      </c>
      <c r="E24" s="50" t="s">
        <v>1216</v>
      </c>
      <c r="F24" s="50" t="s">
        <v>2019</v>
      </c>
      <c r="G24" s="50" t="s">
        <v>2020</v>
      </c>
      <c r="H24" s="15" t="s">
        <v>2021</v>
      </c>
      <c r="I24" s="15" t="s">
        <v>2022</v>
      </c>
      <c r="J24" s="15" t="s">
        <v>2023</v>
      </c>
      <c r="K24" s="15" t="s">
        <v>2024</v>
      </c>
      <c r="L24" t="s">
        <v>605</v>
      </c>
      <c r="M24" s="15" t="s">
        <v>2025</v>
      </c>
      <c r="N24" t="s">
        <v>605</v>
      </c>
      <c r="O24" s="15" t="s">
        <v>2026</v>
      </c>
      <c r="P24" t="s">
        <v>605</v>
      </c>
      <c r="Q24" s="50"/>
      <c r="R24" s="15" t="s">
        <v>2027</v>
      </c>
      <c r="S24" s="51" t="s">
        <v>1035</v>
      </c>
      <c r="T24" s="15"/>
    </row>
  </sheetData>
  <phoneticPr fontId="3" type="noConversion"/>
  <hyperlinks>
    <hyperlink ref="L2" r:id="rId1" display="매뉴얼BODY(집행단계-첨부폴더)v8\5.콘크리트도상\1_설계적정성 검토\표준서\설계적정성 검토_표준서.html" xr:uid="{FAE636ED-82EB-40FE-BB5B-D50F8E6784C8}"/>
    <hyperlink ref="N2" r:id="rId2" display="매뉴얼BODY(집행단계-첨부폴더)v8\5.콘크리트도상\1_설계적정성 검토\수행지침\설계적정성 검토_수행지침.html" xr:uid="{9202479E-D582-46FD-92F5-5878A63167F3}"/>
    <hyperlink ref="P2" r:id="rId3" display="매뉴얼BODY(집행단계-첨부폴더)v8\5.콘크리트도상\1_설계적정성 검토\체크리스트\설계적정성 검토_체크리스트.html" xr:uid="{65E8A6BD-B570-490D-BC00-9D44262BD3D2}"/>
    <hyperlink ref="L3" r:id="rId4" display="매뉴얼BODY(집행단계-첨부폴더)v8\5.콘크리트도상\2_자재 야적장 선정\표준서\자재 야적장 선정_표준서.html" xr:uid="{16B83ED9-CF95-4F98-91F4-8EDE14781EA5}"/>
    <hyperlink ref="N3" r:id="rId5" display="매뉴얼BODY(집행단계-첨부폴더)v8\5.콘크리트도상\2_자재 야적장 선정\수행지침\자재 야적장 선정_수행지침.html" xr:uid="{221943DE-61FD-4F29-9460-B97EB4176796}"/>
    <hyperlink ref="P3" r:id="rId6" display="매뉴얼BODY(집행단계-첨부폴더)v8\5.콘크리트도상\2_자재 야적장 선정\체크리스트\자재 야적장 선정_체크리스트.html" xr:uid="{4D507FA3-EC81-4A41-A0EC-CD2DE6AFE5D9}"/>
    <hyperlink ref="L4" r:id="rId7" display="매뉴얼BODY(집행단계-첨부폴더)v8\5.콘크리트도상\3_레일 용접장 선정\표준서\레일 용접장 선정_표준서.html" xr:uid="{A0329810-AE29-4E72-A9BD-7A7174333DF9}"/>
    <hyperlink ref="N4" r:id="rId8" display="매뉴얼BODY(집행단계-첨부폴더)v8\5.콘크리트도상\3_레일 용접장 선정\수행지침\레일 용접장 선정_수행지침.html" xr:uid="{DA1459C1-E221-4D7B-96B0-26DE87E9FEF2}"/>
    <hyperlink ref="P4" r:id="rId9" display="매뉴얼BODY(집행단계-첨부폴더)v8\5.콘크리트도상\3_레일 용접장 선정\체크리스트\레일 용접장 선정_체크리스트.html" xr:uid="{0D3F69EA-1B15-44D4-9F55-9261EDF47D57}"/>
    <hyperlink ref="L5" r:id="rId10" display="매뉴얼BODY(집행단계-첨부폴더)v8\5.콘크리트도상\4_발주전략 KOM\표준서\발주전략 KOM_표준서.html" xr:uid="{763603FA-4076-47C2-B1D4-C8DF37D29436}"/>
    <hyperlink ref="N5" r:id="rId11" display="매뉴얼BODY(집행단계-첨부폴더)v8\5.콘크리트도상\4_발주전략 KOM\수행지침\발주전략 KOM_수행지침.html" xr:uid="{600F0654-EA4F-44B5-BFDB-4F7C10B13358}"/>
    <hyperlink ref="P5" r:id="rId12" display="매뉴얼BODY(집행단계-첨부폴더)v8\5.콘크리트도상\4_발주전략 KOM\체크리스트\발주전략 KOM_체크리스트.html" xr:uid="{245CB6D6-05B4-4073-B27A-F875D5B4C2B0}"/>
    <hyperlink ref="L6" r:id="rId13" display="매뉴얼BODY(집행단계-첨부폴더)v8\5.콘크리트도상\5_최고의 팀 만들기 지원\표준서\최고의 팀 만들기 지원_표준서.html" xr:uid="{12A94B4A-5F2F-4AC9-BBB9-76E40EB6B9B3}"/>
    <hyperlink ref="N6" r:id="rId14" display="매뉴얼BODY(집행단계-첨부폴더)v8\5.콘크리트도상\5_최고의 팀 만들기 지원\수행지침\최고의 팀 만들기 지원_수행지침.html" xr:uid="{BFE8E8E3-FF86-48DF-8419-F33F143B5D2F}"/>
    <hyperlink ref="P6" r:id="rId15" display="매뉴얼BODY(집행단계-첨부폴더)v8\5.콘크리트도상\5_최고의 팀 만들기 지원\체크리스트\최고의 팀 만들기 지원_체크리스트.html" xr:uid="{53791354-501C-41BA-8388-3788FD9037DC}"/>
    <hyperlink ref="L7" r:id="rId16" display="매뉴얼BODY(집행단계-첨부폴더)v8\5.콘크리트도상\6_콘크리트 타설방법_계획 검토\표준서\콘크리트 타설방법_계획 검토_표준서.html" xr:uid="{D435F32F-02FD-44C5-A720-141DE3AB995F}"/>
    <hyperlink ref="N7" r:id="rId17" display="매뉴얼BODY(집행단계-첨부폴더)v8\5.콘크리트도상\6_콘크리트 타설방법_계획 검토\수행지침\콘크리트 타설방법_계획 검토_수행지침.html" xr:uid="{57506451-E6B4-4821-BD2A-02F74545E9EA}"/>
    <hyperlink ref="P7" r:id="rId18" display="매뉴얼BODY(집행단계-첨부폴더)v8\5.콘크리트도상\6_콘크리트 타설방법_계획 검토\체크리스트\콘크리트 타설방법_계획 검토_체크리스트.html" xr:uid="{DDF5A1F0-FD30-49A7-85DD-49DD677A92F4}"/>
    <hyperlink ref="L8" r:id="rId19" display="매뉴얼BODY(집행단계-첨부폴더)v8\5.콘크리트도상\7_작수전 Big Room 회의\표준서\작수전 Big Room 회의_표준서.html" xr:uid="{7A41A01D-2498-451E-9845-17F3E1C76584}"/>
    <hyperlink ref="N8" r:id="rId20" display="매뉴얼BODY(집행단계-첨부폴더)v8\5.콘크리트도상\7_작수전 Big Room 회의\수행지침\작수전 Big Room 회의_수행지침.html" xr:uid="{C5AA7F89-3646-416E-BD2A-767EDA6D4143}"/>
    <hyperlink ref="P8" r:id="rId21" display="매뉴얼BODY(집행단계-첨부폴더)v8\5.콘크리트도상\7_작수전 Big Room 회의\체크리스트\작수전 Big Room 회의_체크리스트.html" xr:uid="{3B76FE55-7C24-4B76-B9E1-5089C7D4B3B2}"/>
    <hyperlink ref="L9" r:id="rId22" display="매뉴얼BODY(집행단계-첨부폴더)v8\5.콘크리트도상\8_장비,자재 반입로_반입구 간섭 검토\표준서\장비,자재 반입로_반입구 간섭 검토_표준서.html" xr:uid="{3B90EE66-A1EC-4EF2-A77C-CB62CD1D43C2}"/>
    <hyperlink ref="N9" r:id="rId23" display="매뉴얼BODY(집행단계-첨부폴더)v8\5.콘크리트도상\8_장비,자재 반입로_반입구 간섭 검토\수행지침\장비,자재 반입로_반입구 간섭 검토_수행지침.html" xr:uid="{F34284C3-EE13-457B-9367-DD54857D2EAB}"/>
    <hyperlink ref="P9" r:id="rId24" display="매뉴얼BODY(집행단계-첨부폴더)v8\5.콘크리트도상\8_장비,자재 반입로_반입구 간섭 검토\체크리스트\장비,자재 반입로_반입구 간섭 검토_체크리스트.html" xr:uid="{D32FC0D7-0C59-41F0-9FF3-8C58308C308B}"/>
    <hyperlink ref="L10" r:id="rId25" display="매뉴얼BODY(집행단계-첨부폴더)v8\5.콘크리트도상\9_자재조달계획 검토\표준서\자재조달계획 검토_표준서.html" xr:uid="{97A9E932-466A-4616-9637-2649F1E111F2}"/>
    <hyperlink ref="N10" r:id="rId26" display="매뉴얼BODY(집행단계-첨부폴더)v8\5.콘크리트도상\9_자재조달계획 검토\수행지침\자재조달계획 검토_수행지침.html" xr:uid="{746A4A76-96FF-49DA-8F64-F5FA5F969349}"/>
    <hyperlink ref="P10" r:id="rId27" display="매뉴얼BODY(집행단계-첨부폴더)v8\5.콘크리트도상\9_자재조달계획 검토\체크리스트\자재조달계획 검토_체크리스트.html" xr:uid="{76C64FB0-78BC-4D28-B23E-AF88970EC85B}"/>
    <hyperlink ref="L11" r:id="rId28" display="매뉴얼BODY(집행단계-첨부폴더)v8\5.콘크리트도상\10_자재 발주 요청\표준서\자재 발주 요청_표준서.html" xr:uid="{29BB7CA5-E6B6-4075-92CE-7C230A027519}"/>
    <hyperlink ref="N11" r:id="rId29" display="매뉴얼BODY(집행단계-첨부폴더)v8\5.콘크리트도상\10_자재 발주 요청\수행지침\자재 발주 요청_수행지침.html" xr:uid="{01D7C9E2-EFFB-45EB-BB95-C2F6017E2B09}"/>
    <hyperlink ref="P11" r:id="rId30" display="매뉴얼BODY(집행단계-첨부폴더)v8\5.콘크리트도상\10_자재 발주 요청\체크리스트\자재 발주 요청_체크리스트.html" xr:uid="{6E049AAC-2005-4181-B3AA-4A66D26E01E9}"/>
    <hyperlink ref="L12" r:id="rId31" display="매뉴얼BODY(집행단계-첨부폴더)v8\5.콘크리트도상\11_시공계획 수립\표준서\시공계획 수립_표준서.html" xr:uid="{54313733-2BCE-4170-84B6-B9AA1B998BBD}"/>
    <hyperlink ref="N12" r:id="rId32" display="매뉴얼BODY(집행단계-첨부폴더)v8\5.콘크리트도상\11_시공계획 수립\수행지침\11_시공계획 수립_수행지침.html" xr:uid="{A560DAB2-4FF5-4E31-B9DB-4C6BF64DE4C2}"/>
    <hyperlink ref="P12" r:id="rId33" display="매뉴얼BODY(집행단계-첨부폴더)v8\5.콘크리트도상\11_시공계획 수립\체크리스트\시공계획 수립_체크리스트.html" xr:uid="{75A92254-6420-4DA3-A86B-FEA0FD0BA276}"/>
    <hyperlink ref="L13" r:id="rId34" display="매뉴얼BODY(집행단계-첨부폴더)v8\5.콘크리트도상\12_자재 반입\표준서\자재 반입_표준서.html" xr:uid="{D6517154-21E6-437F-A22C-D99F1022314D}"/>
    <hyperlink ref="N13" r:id="rId35" display="매뉴얼BODY(집행단계-첨부폴더)v8\5.콘크리트도상\12_자재 반입\수행지침\자재 반입_수행지침.html" xr:uid="{3F220C83-0428-433B-B720-76AFF079FEC7}"/>
    <hyperlink ref="P13" r:id="rId36" display="매뉴얼BODY(집행단계-첨부폴더)v8\5.콘크리트도상\12_자재 반입\체크리스트\자재 반입_체크리스트.html" xr:uid="{2B3EB348-9565-40F0-AAEE-9EEF9A684457}"/>
  </hyperlinks>
  <printOptions horizontalCentered="1"/>
  <pageMargins left="0.74803149606299213" right="0.74803149606299213" top="0.98425196850393704" bottom="0.98425196850393704" header="0.51181102362204722" footer="0.51181102362204722"/>
  <pageSetup paperSize="8" scale="47" orientation="landscape" verticalDpi="0" r:id="rId3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defaultRowHeight="19.2" x14ac:dyDescent="0.45"/>
  <cols>
    <col min="1" max="1" width="8.796875" style="3" customWidth="1"/>
    <col min="2" max="2" width="11.296875" style="3" customWidth="1"/>
    <col min="3" max="3" width="14.59765625" style="3" customWidth="1"/>
    <col min="4" max="4" width="16" style="4" customWidth="1"/>
    <col min="5" max="5" width="34.69921875" style="4" customWidth="1"/>
    <col min="6" max="6" width="21.69921875" style="4" customWidth="1"/>
    <col min="7" max="7" width="32.59765625" style="4" customWidth="1"/>
    <col min="8" max="8" width="72.296875" style="3" customWidth="1"/>
    <col min="9" max="9" width="41.69921875" style="3" customWidth="1"/>
    <col min="10" max="10" width="50" style="3" customWidth="1"/>
    <col min="11" max="11" width="16.19921875" style="25" customWidth="1"/>
    <col min="12" max="12" width="49.796875" style="25" customWidth="1"/>
    <col min="13" max="13" width="12.19921875" style="3" customWidth="1"/>
    <col min="14" max="14" width="45" style="3" customWidth="1"/>
    <col min="15" max="15" width="13.69921875" style="25" customWidth="1"/>
    <col min="16" max="16" width="23.3984375" style="3" customWidth="1"/>
    <col min="17" max="17" width="45" style="25" customWidth="1"/>
    <col min="18" max="18" width="22" style="25" customWidth="1"/>
    <col min="19" max="35" width="45" style="3" customWidth="1"/>
    <col min="36" max="70" width="8.796875" style="3" customWidth="1"/>
    <col min="71" max="16384" width="8.796875" style="3"/>
  </cols>
  <sheetData>
    <row r="1" spans="1:19" ht="38.4" customHeight="1" x14ac:dyDescent="0.4">
      <c r="A1" s="27" t="s">
        <v>1</v>
      </c>
      <c r="B1" s="27" t="s">
        <v>2</v>
      </c>
      <c r="C1" s="27" t="s">
        <v>3</v>
      </c>
      <c r="D1" s="27" t="s">
        <v>4</v>
      </c>
      <c r="E1" s="27" t="s">
        <v>5</v>
      </c>
      <c r="F1" s="27" t="s">
        <v>637</v>
      </c>
      <c r="G1" s="27" t="s">
        <v>639</v>
      </c>
      <c r="H1" s="27" t="s">
        <v>640</v>
      </c>
      <c r="I1" s="27" t="s">
        <v>641</v>
      </c>
      <c r="J1" s="27" t="s">
        <v>642</v>
      </c>
      <c r="K1" s="28" t="s">
        <v>3108</v>
      </c>
      <c r="L1" s="27" t="s">
        <v>644</v>
      </c>
      <c r="M1" s="28" t="s">
        <v>3109</v>
      </c>
      <c r="N1" s="27" t="s">
        <v>646</v>
      </c>
      <c r="O1" s="29" t="s">
        <v>3110</v>
      </c>
      <c r="P1" s="20" t="s">
        <v>1022</v>
      </c>
      <c r="Q1" s="20" t="s">
        <v>1023</v>
      </c>
      <c r="R1" s="20" t="s">
        <v>1024</v>
      </c>
      <c r="S1" s="20" t="s">
        <v>1025</v>
      </c>
    </row>
    <row r="2" spans="1:19" ht="115.2" customHeight="1" x14ac:dyDescent="0.4">
      <c r="A2" s="30" t="s">
        <v>519</v>
      </c>
      <c r="B2" s="30" t="s">
        <v>558</v>
      </c>
      <c r="C2" s="64" t="s">
        <v>492</v>
      </c>
      <c r="D2" s="30" t="s">
        <v>560</v>
      </c>
      <c r="E2" s="64" t="s">
        <v>2028</v>
      </c>
      <c r="F2" s="30" t="s">
        <v>838</v>
      </c>
      <c r="G2" s="31" t="s">
        <v>2029</v>
      </c>
      <c r="H2" s="31" t="s">
        <v>2030</v>
      </c>
      <c r="I2" s="31" t="s">
        <v>2031</v>
      </c>
      <c r="J2" s="31" t="s">
        <v>2032</v>
      </c>
      <c r="K2" s="120" t="str">
        <f>HYPERLINK("C:\Users\sskjh\antigravity\01_전문업무_및_엔지니어링\11_현장_프로젝트\01_동탄트램\08.메뉴얼 및 평면도\최종\02_메뉴얼 공종프로섹스(집행단계)\매뉴얼BODY(집행단계-첨부폴더)v8\6.건축\1_설계 적정성 검토\표준서\설계 적정성 검토_표준서.html","👉 [클릭] 표준서 열기 📄")</f>
        <v>👉 [클릭] 표준서 열기 📄</v>
      </c>
      <c r="L2" s="31" t="s">
        <v>2033</v>
      </c>
      <c r="M2" s="120" t="str">
        <f>HYPERLINK("C:\Users\sskjh\antigravity\01_전문업무_및_엔지니어링\11_현장_프로젝트\01_동탄트램\08.메뉴얼 및 평면도\최종\02_메뉴얼 공종프로섹스(집행단계)\매뉴얼BODY(집행단계-첨부폴더)v8\6.건축\1_설계 적정성 검토\수행지침\설계 적정성 검토_수행지침.html","👉 [클릭] 수행지침 열기 📄")</f>
        <v>👉 [클릭] 수행지침 열기 📄</v>
      </c>
      <c r="N2" s="31" t="s">
        <v>2034</v>
      </c>
      <c r="O2" s="120" t="str">
        <f>HYPERLINK("C:\Users\sskjh\antigravity\01_전문업무_및_엔지니어링\11_현장_프로젝트\01_동탄트램\08.메뉴얼 및 평면도\최종\02_메뉴얼 공종프로섹스(집행단계)\매뉴얼BODY(집행단계-첨부폴더)v8\6.건축\1_설계 적정성 검토\체크리스트\설계 적정성 검토_체크리스트.html","👉 [클릭] 체크리스트 열기 📄")</f>
        <v>👉 [클릭] 체크리스트 열기 📄</v>
      </c>
      <c r="P2" s="30"/>
      <c r="Q2" s="31" t="s">
        <v>2035</v>
      </c>
      <c r="R2" s="24" t="s">
        <v>1035</v>
      </c>
      <c r="S2" s="31"/>
    </row>
    <row r="3" spans="1:19" ht="115.2" customHeight="1" x14ac:dyDescent="0.4">
      <c r="A3" s="30" t="s">
        <v>519</v>
      </c>
      <c r="B3" s="30" t="s">
        <v>558</v>
      </c>
      <c r="C3" s="64" t="s">
        <v>492</v>
      </c>
      <c r="D3" s="30" t="s">
        <v>2036</v>
      </c>
      <c r="E3" s="64" t="s">
        <v>1038</v>
      </c>
      <c r="F3" s="30" t="s">
        <v>861</v>
      </c>
      <c r="G3" s="31" t="s">
        <v>2037</v>
      </c>
      <c r="H3" s="31" t="s">
        <v>2038</v>
      </c>
      <c r="I3" s="31" t="s">
        <v>2039</v>
      </c>
      <c r="J3" s="31" t="s">
        <v>2040</v>
      </c>
      <c r="K3" s="120" t="str">
        <f>HYPERLINK("C:\Users\sskjh\antigravity\01_전문업무_및_엔지니어링\11_현장_프로젝트\01_동탄트램\08.메뉴얼 및 평면도\최종\02_메뉴얼 공종프로섹스(집행단계)\매뉴얼BODY(집행단계-첨부폴더)v8\6.건축\2_발주전략 KOM\표준서\발주전략 KOM_표준서.html","👉 [클릭] 표준서 열기 📄")</f>
        <v>👉 [클릭] 표준서 열기 📄</v>
      </c>
      <c r="L3" s="31" t="s">
        <v>2041</v>
      </c>
      <c r="M3" s="120" t="str">
        <f>HYPERLINK("C:\Users\sskjh\antigravity\01_전문업무_및_엔지니어링\11_현장_프로젝트\01_동탄트램\08.메뉴얼 및 평면도\최종\02_메뉴얼 공종프로섹스(집행단계)\매뉴얼BODY(집행단계-첨부폴더)v8\6.건축\2_발주전략 KOM\수행지침\발주전략 KOM_수행지침.html","👉 [클릭] 수행지침 열기 📄")</f>
        <v>👉 [클릭] 수행지침 열기 📄</v>
      </c>
      <c r="N3" s="31" t="s">
        <v>2042</v>
      </c>
      <c r="O3" s="120" t="str">
        <f>HYPERLINK("C:\Users\sskjh\antigravity\01_전문업무_및_엔지니어링\11_현장_프로젝트\01_동탄트램\08.메뉴얼 및 평면도\최종\02_메뉴얼 공종프로섹스(집행단계)\매뉴얼BODY(집행단계-첨부폴더)v8\6.건축\2_발주전략 KOM\체크리스트\발주전략 KOM_체크리스트.html","👉 [클릭] 체크리스트 열기 📄")</f>
        <v>👉 [클릭] 체크리스트 열기 📄</v>
      </c>
      <c r="P3" s="30"/>
      <c r="Q3" s="31" t="s">
        <v>2043</v>
      </c>
      <c r="R3" s="24" t="s">
        <v>1035</v>
      </c>
      <c r="S3" s="31"/>
    </row>
    <row r="4" spans="1:19" ht="115.2" customHeight="1" x14ac:dyDescent="0.4">
      <c r="A4" s="30" t="s">
        <v>519</v>
      </c>
      <c r="B4" s="30" t="s">
        <v>558</v>
      </c>
      <c r="C4" s="64" t="s">
        <v>492</v>
      </c>
      <c r="D4" s="30" t="s">
        <v>2044</v>
      </c>
      <c r="E4" s="64" t="s">
        <v>2045</v>
      </c>
      <c r="F4" s="30" t="s">
        <v>861</v>
      </c>
      <c r="G4" s="31" t="s">
        <v>2046</v>
      </c>
      <c r="H4" s="31" t="s">
        <v>2047</v>
      </c>
      <c r="I4" s="31" t="s">
        <v>2048</v>
      </c>
      <c r="J4" s="31" t="s">
        <v>2049</v>
      </c>
      <c r="K4" s="120" t="str">
        <f>HYPERLINK("C:\Users\sskjh\antigravity\01_전문업무_및_엔지니어링\11_현장_프로젝트\01_동탄트램\08.메뉴얼 및 평면도\최종\02_메뉴얼 공종프로섹스(집행단계)\매뉴얼BODY(집행단계-첨부폴더)v8\6.건축\3_착공전 건축 인허가\표준서\착공전 건축 인허가_표준서.html","👉 [클릭] 표준서 열기 📄")</f>
        <v>👉 [클릭] 표준서 열기 📄</v>
      </c>
      <c r="L4" s="31" t="s">
        <v>2050</v>
      </c>
      <c r="M4" s="120" t="str">
        <f>HYPERLINK("C:\Users\sskjh\antigravity\01_전문업무_및_엔지니어링\11_현장_프로젝트\01_동탄트램\08.메뉴얼 및 평면도\최종\02_메뉴얼 공종프로섹스(집행단계)\매뉴얼BODY(집행단계-첨부폴더)v8\6.건축\3_착공전 건축 인허가\수행지침\착공전 건축 인허가_수행지침.html","👉 [클릭] 수행지침 열기 📄")</f>
        <v>👉 [클릭] 수행지침 열기 📄</v>
      </c>
      <c r="N4" s="31" t="s">
        <v>2051</v>
      </c>
      <c r="O4" s="120" t="str">
        <f>HYPERLINK("C:\Users\sskjh\antigravity\01_전문업무_및_엔지니어링\11_현장_프로젝트\01_동탄트램\08.메뉴얼 및 평면도\최종\02_메뉴얼 공종프로섹스(집행단계)\매뉴얼BODY(집행단계-첨부폴더)v8\6.건축\3_착공전 건축 인허가\체크리스트\착공전 건축 인허가_체크리스트.html","👉 [클릭] 체크리스트 열기 📄")</f>
        <v>👉 [클릭] 체크리스트 열기 📄</v>
      </c>
      <c r="P4" s="30"/>
      <c r="Q4" s="31" t="s">
        <v>2052</v>
      </c>
      <c r="R4" s="24" t="s">
        <v>1035</v>
      </c>
      <c r="S4" s="31"/>
    </row>
    <row r="5" spans="1:19" ht="112.2" customHeight="1" x14ac:dyDescent="0.4">
      <c r="A5" s="30" t="s">
        <v>519</v>
      </c>
      <c r="B5" s="30" t="s">
        <v>558</v>
      </c>
      <c r="C5" s="64" t="s">
        <v>492</v>
      </c>
      <c r="D5" s="30" t="s">
        <v>2053</v>
      </c>
      <c r="E5" s="64" t="s">
        <v>2054</v>
      </c>
      <c r="F5" s="30" t="s">
        <v>2055</v>
      </c>
      <c r="G5" s="31" t="s">
        <v>2056</v>
      </c>
      <c r="H5" s="31" t="s">
        <v>2057</v>
      </c>
      <c r="I5" s="31" t="s">
        <v>2058</v>
      </c>
      <c r="J5" s="31" t="s">
        <v>2059</v>
      </c>
      <c r="K5" s="120" t="str">
        <f>HYPERLINK("C:\Users\sskjh\antigravity\01_전문업무_및_엔지니어링\11_현장_프로젝트\01_동탄트램\08.메뉴얼 및 평면도\최종\02_메뉴얼 공종프로섹스(집행단계)\매뉴얼BODY(집행단계-첨부폴더)v8\6.건축\4_건축허가 요청\표준서\건축허가 요청_표준서.html","👉 [클릭] 표준서 열기 📄")</f>
        <v>👉 [클릭] 표준서 열기 📄</v>
      </c>
      <c r="L5" s="31" t="s">
        <v>2060</v>
      </c>
      <c r="M5" s="120" t="str">
        <f>HYPERLINK("C:\Users\sskjh\antigravity\01_전문업무_및_엔지니어링\11_현장_프로젝트\01_동탄트램\08.메뉴얼 및 평면도\최종\02_메뉴얼 공종프로섹스(집행단계)\매뉴얼BODY(집행단계-첨부폴더)v8\6.건축\4_건축허가 요청\수행지침\건축허가 요청_수행지침.html","👉 [클릭] 수행지침 열기 📄")</f>
        <v>👉 [클릭] 수행지침 열기 📄</v>
      </c>
      <c r="N5" s="31" t="s">
        <v>2061</v>
      </c>
      <c r="O5" s="120" t="str">
        <f>HYPERLINK("C:\Users\sskjh\antigravity\01_전문업무_및_엔지니어링\11_현장_프로젝트\01_동탄트램\08.메뉴얼 및 평면도\최종\02_메뉴얼 공종프로섹스(집행단계)\매뉴얼BODY(집행단계-첨부폴더)v8\6.건축\4_건축허가 요청\체크리스트\건축허가 요청_체크리스트.html","👉 [클릭] 체크리스트 열기 📄")</f>
        <v>👉 [클릭] 체크리스트 열기 📄</v>
      </c>
      <c r="P5" s="30"/>
      <c r="Q5" s="31" t="s">
        <v>2062</v>
      </c>
      <c r="R5" s="24" t="s">
        <v>1035</v>
      </c>
      <c r="S5" s="31"/>
    </row>
    <row r="6" spans="1:19" ht="115.2" customHeight="1" x14ac:dyDescent="0.4">
      <c r="A6" s="30" t="s">
        <v>519</v>
      </c>
      <c r="B6" s="30" t="s">
        <v>558</v>
      </c>
      <c r="C6" s="64" t="s">
        <v>492</v>
      </c>
      <c r="D6" s="30" t="s">
        <v>2063</v>
      </c>
      <c r="E6" s="64" t="s">
        <v>2064</v>
      </c>
      <c r="F6" s="30" t="s">
        <v>2065</v>
      </c>
      <c r="G6" s="31" t="s">
        <v>2064</v>
      </c>
      <c r="H6" s="31" t="s">
        <v>2066</v>
      </c>
      <c r="I6" s="31" t="s">
        <v>2067</v>
      </c>
      <c r="J6" s="31" t="s">
        <v>2068</v>
      </c>
      <c r="K6" s="120" t="str">
        <f>HYPERLINK("C:\Users\sskjh\antigravity\01_전문업무_및_엔지니어링\11_현장_프로젝트\01_동탄트램\08.메뉴얼 및 평면도\최종\02_메뉴얼 공종프로섹스(집행단계)\매뉴얼BODY(집행단계-첨부폴더)v8\6.건축\5_착공신고서 제출\표준서\착공신고서 제출_표준서.html","👉 [클릭] 표준서 열기 📄")</f>
        <v>👉 [클릭] 표준서 열기 📄</v>
      </c>
      <c r="L6" s="31" t="s">
        <v>2069</v>
      </c>
      <c r="M6" s="120" t="str">
        <f>HYPERLINK("C:\Users\sskjh\antigravity\01_전문업무_및_엔지니어링\11_현장_프로젝트\01_동탄트램\08.메뉴얼 및 평면도\최종\02_메뉴얼 공종프로섹스(집행단계)\매뉴얼BODY(집행단계-첨부폴더)v8\6.건축\5_착공신고서 제출\수행지침\착공신고서 제출_수행지침.html","👉 [클릭] 수행지침 열기 📄")</f>
        <v>👉 [클릭] 수행지침 열기 📄</v>
      </c>
      <c r="N6" s="31" t="s">
        <v>2070</v>
      </c>
      <c r="O6" s="120" t="str">
        <f>HYPERLINK("C:\Users\sskjh\antigravity\01_전문업무_및_엔지니어링\11_현장_프로젝트\01_동탄트램\08.메뉴얼 및 평면도\최종\02_메뉴얼 공종프로섹스(집행단계)\매뉴얼BODY(집행단계-첨부폴더)v8\6.건축\5_착공신고서 제출\체크리스트\착공신고서 제출_체크리스트.html","👉 [클릭] 체크리스트 열기 📄")</f>
        <v>👉 [클릭] 체크리스트 열기 📄</v>
      </c>
      <c r="P6" s="30"/>
      <c r="Q6" s="31" t="s">
        <v>2071</v>
      </c>
      <c r="R6" s="24" t="s">
        <v>1035</v>
      </c>
      <c r="S6" s="31"/>
    </row>
    <row r="7" spans="1:19" ht="115.2" customHeight="1" x14ac:dyDescent="0.4">
      <c r="A7" s="30" t="s">
        <v>519</v>
      </c>
      <c r="B7" s="30" t="s">
        <v>558</v>
      </c>
      <c r="C7" s="64" t="s">
        <v>492</v>
      </c>
      <c r="D7" s="30" t="s">
        <v>2072</v>
      </c>
      <c r="E7" s="64" t="s">
        <v>2073</v>
      </c>
      <c r="F7" s="30" t="s">
        <v>861</v>
      </c>
      <c r="G7" s="31" t="s">
        <v>2074</v>
      </c>
      <c r="H7" s="31" t="s">
        <v>2075</v>
      </c>
      <c r="I7" s="31" t="s">
        <v>2076</v>
      </c>
      <c r="J7" s="31" t="s">
        <v>2077</v>
      </c>
      <c r="K7" s="120"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7" s="31" t="s">
        <v>2078</v>
      </c>
      <c r="M7" s="120"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7" s="31" t="s">
        <v>2079</v>
      </c>
      <c r="O7" s="120"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7" s="30"/>
      <c r="Q7" s="31" t="s">
        <v>2080</v>
      </c>
      <c r="R7" s="24" t="s">
        <v>1035</v>
      </c>
      <c r="S7" s="31"/>
    </row>
    <row r="8" spans="1:19" ht="115.2" customHeight="1" x14ac:dyDescent="0.4">
      <c r="A8" s="30" t="s">
        <v>519</v>
      </c>
      <c r="B8" s="30" t="s">
        <v>558</v>
      </c>
      <c r="C8" s="64" t="s">
        <v>492</v>
      </c>
      <c r="D8" s="30" t="s">
        <v>2081</v>
      </c>
      <c r="E8" s="64" t="s">
        <v>2082</v>
      </c>
      <c r="F8" s="30" t="s">
        <v>861</v>
      </c>
      <c r="G8" s="31" t="s">
        <v>2083</v>
      </c>
      <c r="H8" s="31" t="s">
        <v>2084</v>
      </c>
      <c r="I8" s="31" t="s">
        <v>2085</v>
      </c>
      <c r="J8" s="31" t="s">
        <v>2086</v>
      </c>
      <c r="K8" s="120"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8" s="31" t="s">
        <v>2087</v>
      </c>
      <c r="M8" s="120"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8" s="31" t="s">
        <v>2088</v>
      </c>
      <c r="O8" s="120"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8" s="30"/>
      <c r="Q8" s="31" t="s">
        <v>2089</v>
      </c>
      <c r="R8" s="24" t="s">
        <v>1035</v>
      </c>
      <c r="S8" s="31"/>
    </row>
    <row r="9" spans="1:19" ht="96" customHeight="1" x14ac:dyDescent="0.4">
      <c r="A9" s="30" t="s">
        <v>519</v>
      </c>
      <c r="B9" s="30" t="s">
        <v>558</v>
      </c>
      <c r="C9" s="64" t="s">
        <v>492</v>
      </c>
      <c r="D9" s="30" t="s">
        <v>2090</v>
      </c>
      <c r="E9" s="64" t="s">
        <v>2091</v>
      </c>
      <c r="F9" s="30" t="s">
        <v>1869</v>
      </c>
      <c r="G9" s="31" t="s">
        <v>2092</v>
      </c>
      <c r="H9" s="31" t="s">
        <v>2093</v>
      </c>
      <c r="I9" s="31" t="s">
        <v>2094</v>
      </c>
      <c r="J9" s="31" t="s">
        <v>2095</v>
      </c>
      <c r="K9" s="120" t="str">
        <f>HYPERLINK("C:\Users\sskjh\antigravity\01_전문업무_및_엔지니어링\11_현장_프로젝트\01_동탄트램\08.메뉴얼 및 평면도\최종\02_메뉴얼 공종프로섹스(집행단계)\매뉴얼BODY(집행단계-첨부폴더)v8\6.건축\8_선행공종 인수사항 확인\표준서\선행공종 인수사항 확인_표준서.html","👉 [클릭] 표준서 열기 📄")</f>
        <v>👉 [클릭] 표준서 열기 📄</v>
      </c>
      <c r="L9" s="31" t="s">
        <v>2096</v>
      </c>
      <c r="M9" s="120" t="str">
        <f>HYPERLINK("C:\Users\sskjh\antigravity\01_전문업무_및_엔지니어링\11_현장_프로젝트\01_동탄트램\08.메뉴얼 및 평면도\최종\02_메뉴얼 공종프로섹스(집행단계)\매뉴얼BODY(집행단계-첨부폴더)v8\6.건축\8_선행공종 인수사항 확인\수행지침\선행공종 인수사항 확인_수행지침.html","👉 [클릭] 수행지침 열기 📄")</f>
        <v>👉 [클릭] 수행지침 열기 📄</v>
      </c>
      <c r="N9" s="31" t="s">
        <v>2097</v>
      </c>
      <c r="O9" s="120" t="str">
        <f>HYPERLINK("C:\Users\sskjh\antigravity\01_전문업무_및_엔지니어링\11_현장_프로젝트\01_동탄트램\08.메뉴얼 및 평면도\최종\02_메뉴얼 공종프로섹스(집행단계)\매뉴얼BODY(집행단계-첨부폴더)v8\6.건축\8_선행공종 인수사항 확인\체크리스트\선행공종 인수사항 확인_체크리스트.html","👉 [클릭] 체크리스트 열기 📄")</f>
        <v>👉 [클릭] 체크리스트 열기 📄</v>
      </c>
      <c r="P9" s="30"/>
      <c r="Q9" s="31" t="s">
        <v>2098</v>
      </c>
      <c r="R9" s="24" t="s">
        <v>1035</v>
      </c>
      <c r="S9" s="31"/>
    </row>
    <row r="10" spans="1:19" ht="96" customHeight="1" x14ac:dyDescent="0.4">
      <c r="A10" s="30" t="s">
        <v>519</v>
      </c>
      <c r="B10" s="30" t="s">
        <v>558</v>
      </c>
      <c r="C10" s="64" t="s">
        <v>492</v>
      </c>
      <c r="D10" s="30" t="s">
        <v>2099</v>
      </c>
      <c r="E10" s="64" t="s">
        <v>2100</v>
      </c>
      <c r="F10" s="30" t="s">
        <v>2101</v>
      </c>
      <c r="G10" s="31" t="s">
        <v>2102</v>
      </c>
      <c r="H10" s="31" t="s">
        <v>2103</v>
      </c>
      <c r="I10" s="31" t="s">
        <v>2104</v>
      </c>
      <c r="J10" s="31" t="s">
        <v>2105</v>
      </c>
      <c r="K10" s="120"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0" s="31" t="s">
        <v>2106</v>
      </c>
      <c r="M10" s="120"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0" s="31" t="s">
        <v>2107</v>
      </c>
      <c r="O10" s="120"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0" s="30"/>
      <c r="Q10" s="31" t="s">
        <v>2108</v>
      </c>
      <c r="R10" s="24" t="s">
        <v>1035</v>
      </c>
      <c r="S10" s="31"/>
    </row>
    <row r="11" spans="1:19" ht="115.2" customHeight="1" x14ac:dyDescent="0.4">
      <c r="A11" s="30" t="s">
        <v>519</v>
      </c>
      <c r="B11" s="30" t="s">
        <v>558</v>
      </c>
      <c r="C11" s="64" t="s">
        <v>492</v>
      </c>
      <c r="D11" s="30" t="s">
        <v>2109</v>
      </c>
      <c r="E11" s="64" t="s">
        <v>2110</v>
      </c>
      <c r="F11" s="30" t="s">
        <v>2111</v>
      </c>
      <c r="G11" s="31" t="s">
        <v>2112</v>
      </c>
      <c r="H11" s="31" t="s">
        <v>2113</v>
      </c>
      <c r="I11" s="31" t="s">
        <v>2114</v>
      </c>
      <c r="J11" s="31" t="s">
        <v>2115</v>
      </c>
      <c r="K11" s="120" t="str">
        <f>HYPERLINK("C:\Users\sskjh\antigravity\01_전문업무_및_엔지니어링\11_현장_프로젝트\01_동탄트램\08.메뉴얼 및 평면도\최종\02_메뉴얼 공종프로섹스(집행단계)\매뉴얼BODY(집행단계-첨부폴더)v8\6.건축\10_품질_안전 LL 공유\표준서\품질_안전 LL 공유_표준서.html","👉 [클릭] 표준서 열기 📄")</f>
        <v>👉 [클릭] 표준서 열기 📄</v>
      </c>
      <c r="L11" s="31" t="s">
        <v>2116</v>
      </c>
      <c r="M11" s="120" t="str">
        <f>HYPERLINK("C:\Users\sskjh\antigravity\01_전문업무_및_엔지니어링\11_현장_프로젝트\01_동탄트램\08.메뉴얼 및 평면도\최종\02_메뉴얼 공종프로섹스(집행단계)\매뉴얼BODY(집행단계-첨부폴더)v8\6.건축\10_품질_안전 LL 공유\수행지침\품질_안전 LL 공유_수행지침.html","👉 [클릭] 수행지침 열기 📄")</f>
        <v>👉 [클릭] 수행지침 열기 📄</v>
      </c>
      <c r="N11" s="31" t="s">
        <v>2117</v>
      </c>
      <c r="O11" s="120" t="str">
        <f>HYPERLINK("C:\Users\sskjh\antigravity\01_전문업무_및_엔지니어링\11_현장_프로젝트\01_동탄트램\08.메뉴얼 및 평면도\최종\02_메뉴얼 공종프로섹스(집행단계)\매뉴얼BODY(집행단계-첨부폴더)v8\6.건축\10_품질_안전 LL 공유\체크리스트\품질_안전 LL 공유_체크리스트.html","👉 [클릭] 체크리스트 열기 📄")</f>
        <v>👉 [클릭] 체크리스트 열기 📄</v>
      </c>
      <c r="P11" s="30"/>
      <c r="Q11" s="31" t="s">
        <v>2118</v>
      </c>
      <c r="R11" s="24" t="s">
        <v>1035</v>
      </c>
      <c r="S11" s="31"/>
    </row>
    <row r="12" spans="1:19" ht="175.2" customHeight="1" x14ac:dyDescent="0.4">
      <c r="A12" s="30" t="s">
        <v>519</v>
      </c>
      <c r="B12" s="30" t="s">
        <v>558</v>
      </c>
      <c r="C12" s="64" t="s">
        <v>492</v>
      </c>
      <c r="D12" s="30" t="s">
        <v>2119</v>
      </c>
      <c r="E12" s="64" t="s">
        <v>2120</v>
      </c>
      <c r="F12" s="30" t="s">
        <v>838</v>
      </c>
      <c r="G12" s="31" t="s">
        <v>2121</v>
      </c>
      <c r="H12" s="31" t="s">
        <v>2122</v>
      </c>
      <c r="I12" s="31" t="s">
        <v>2123</v>
      </c>
      <c r="J12" s="31" t="s">
        <v>2124</v>
      </c>
      <c r="K12" s="120" t="str">
        <f>HYPERLINK("C:\Users\sskjh\antigravity\01_전문업무_및_엔지니어링\11_현장_프로젝트\01_동탄트램\08.메뉴얼 및 평면도\최종\02_메뉴얼 공종프로섹스(집행단계)\매뉴얼BODY(집행단계-첨부폴더)v8\6.건축\11_자재공급원승인 및 자재발주\표준서\자재공급원승인 및 자재발주_표준서.html","👉 [클릭] 표준서 열기 📄")</f>
        <v>👉 [클릭] 표준서 열기 📄</v>
      </c>
      <c r="L12" s="31" t="s">
        <v>2125</v>
      </c>
      <c r="M12" s="120" t="str">
        <f>HYPERLINK("C:\Users\sskjh\antigravity\01_전문업무_및_엔지니어링\11_현장_프로젝트\01_동탄트램\08.메뉴얼 및 평면도\최종\02_메뉴얼 공종프로섹스(집행단계)\매뉴얼BODY(집행단계-첨부폴더)v8\6.건축\11_자재공급원승인 및 자재발주\수행지침\자재공급원승인 및 자재발주_수행지침.html","👉 [클릭] 수행지침 열기 📄")</f>
        <v>👉 [클릭] 수행지침 열기 📄</v>
      </c>
      <c r="N12" s="31" t="s">
        <v>2126</v>
      </c>
      <c r="O12" s="120" t="str">
        <f>HYPERLINK("C:\Users\sskjh\antigravity\01_전문업무_및_엔지니어링\11_현장_프로젝트\01_동탄트램\08.메뉴얼 및 평면도\최종\02_메뉴얼 공종프로섹스(집행단계)\매뉴얼BODY(집행단계-첨부폴더)v8\6.건축\11_자재공급원승인 및 자재발주\체크리스트\자재공급원승인 및 자재발주_체크리스트.html","👉 [클릭] 체크리스트 열기 📄")</f>
        <v>👉 [클릭] 체크리스트 열기 📄</v>
      </c>
      <c r="P12" s="30"/>
      <c r="Q12" s="31" t="s">
        <v>2127</v>
      </c>
      <c r="R12" s="24" t="s">
        <v>1035</v>
      </c>
      <c r="S12" s="31"/>
    </row>
    <row r="13" spans="1:19" ht="211.2" customHeight="1" x14ac:dyDescent="0.4">
      <c r="A13" s="30" t="s">
        <v>519</v>
      </c>
      <c r="B13" s="30" t="s">
        <v>558</v>
      </c>
      <c r="C13" s="64" t="s">
        <v>492</v>
      </c>
      <c r="D13" s="30" t="s">
        <v>2128</v>
      </c>
      <c r="E13" s="64" t="s">
        <v>1081</v>
      </c>
      <c r="F13" s="30" t="s">
        <v>861</v>
      </c>
      <c r="G13" s="31" t="s">
        <v>2129</v>
      </c>
      <c r="H13" s="31" t="s">
        <v>2130</v>
      </c>
      <c r="I13" s="31" t="s">
        <v>2131</v>
      </c>
      <c r="J13" s="31" t="s">
        <v>2132</v>
      </c>
      <c r="K13" s="120" t="str">
        <f>HYPERLINK("C:\Users\sskjh\antigravity\01_전문업무_및_엔지니어링\11_현장_프로젝트\01_동탄트램\08.메뉴얼 및 평면도\최종\02_메뉴얼 공종프로섹스(집행단계)\매뉴얼BODY(집행단계-첨부폴더)v8\6.건축\12_착수전 Big Room 회의\표준서\착수전 Big Room 회의_표준서.html","👉 [클릭] 표준서 열기 📄")</f>
        <v>👉 [클릭] 표준서 열기 📄</v>
      </c>
      <c r="L13" s="31" t="s">
        <v>2133</v>
      </c>
      <c r="M13" s="120" t="str">
        <f>HYPERLINK("C:\Users\sskjh\antigravity\01_전문업무_및_엔지니어링\11_현장_프로젝트\01_동탄트램\08.메뉴얼 및 평면도\최종\02_메뉴얼 공종프로섹스(집행단계)\매뉴얼BODY(집행단계-첨부폴더)v8\6.건축\12_착수전 Big Room 회의\수행지침\착수전 Big Room 회의_수행지침.html","👉 [클릭] 수행지침 열기 📄")</f>
        <v>👉 [클릭] 수행지침 열기 📄</v>
      </c>
      <c r="N13" s="31" t="s">
        <v>2134</v>
      </c>
      <c r="O13" s="120" t="str">
        <f>HYPERLINK("C:\Users\sskjh\antigravity\01_전문업무_및_엔지니어링\11_현장_프로젝트\01_동탄트램\08.메뉴얼 및 평면도\최종\02_메뉴얼 공종프로섹스(집행단계)\매뉴얼BODY(집행단계-첨부폴더)v8\6.건축\12_착수전 Big Room 회의\체크리스트\착수전 Big Room 회의_체크리스트.html","👉 [클릭] 체크리스트 열기 📄")</f>
        <v>👉 [클릭] 체크리스트 열기 📄</v>
      </c>
      <c r="P13" s="30"/>
      <c r="Q13" s="31" t="s">
        <v>2135</v>
      </c>
      <c r="R13" s="24" t="s">
        <v>1035</v>
      </c>
      <c r="S13" s="31"/>
    </row>
    <row r="14" spans="1:19" ht="115.2" customHeight="1" x14ac:dyDescent="0.4">
      <c r="A14" s="30" t="s">
        <v>519</v>
      </c>
      <c r="B14" s="30" t="s">
        <v>558</v>
      </c>
      <c r="C14" s="64" t="s">
        <v>492</v>
      </c>
      <c r="D14" s="30" t="s">
        <v>2136</v>
      </c>
      <c r="E14" s="64" t="s">
        <v>2137</v>
      </c>
      <c r="F14" s="30" t="s">
        <v>861</v>
      </c>
      <c r="G14" s="31" t="s">
        <v>2138</v>
      </c>
      <c r="H14" s="31" t="s">
        <v>2139</v>
      </c>
      <c r="I14" s="31" t="s">
        <v>2140</v>
      </c>
      <c r="J14" s="31" t="s">
        <v>2141</v>
      </c>
      <c r="K14" s="120" t="str">
        <f>HYPERLINK("C:\Users\sskjh\antigravity\01_전문업무_및_엔지니어링\11_현장_프로젝트\01_동탄트램\08.메뉴얼 및 평면도\최종\02_메뉴얼 공종프로섹스(집행단계)\매뉴얼BODY(집행단계-첨부폴더)v8\6.건축\13_시공계획 수립_승인\표준서\시공계획 수립_승인_표준서.html","👉 [클릭] 표준서 열기 📄")</f>
        <v>👉 [클릭] 표준서 열기 📄</v>
      </c>
      <c r="L14" s="31" t="s">
        <v>2142</v>
      </c>
      <c r="M14" s="120" t="str">
        <f>HYPERLINK("C:\Users\sskjh\antigravity\01_전문업무_및_엔지니어링\11_현장_프로젝트\01_동탄트램\08.메뉴얼 및 평면도\최종\02_메뉴얼 공종프로섹스(집행단계)\매뉴얼BODY(집행단계-첨부폴더)v8\6.건축\13_시공계획 수립_승인\수행지침\시공계획 수립_승인_수행지침.html","👉 [클릭] 수행지침 열기 📄")</f>
        <v>👉 [클릭] 수행지침 열기 📄</v>
      </c>
      <c r="N14" s="31" t="s">
        <v>2143</v>
      </c>
      <c r="O14" s="120" t="str">
        <f>HYPERLINK("C:\Users\sskjh\antigravity\01_전문업무_및_엔지니어링\11_현장_프로젝트\01_동탄트램\08.메뉴얼 및 평면도\최종\02_메뉴얼 공종프로섹스(집행단계)\매뉴얼BODY(집행단계-첨부폴더)v8\6.건축\13_시공계획 수립_승인\체크리스트\시공계획 수립_승인_체크리스트.html","👉 [클릭] 체크리스트 열기 📄")</f>
        <v>👉 [클릭] 체크리스트 열기 📄</v>
      </c>
      <c r="P14" s="30"/>
      <c r="Q14" s="31" t="s">
        <v>2144</v>
      </c>
      <c r="R14" s="24" t="s">
        <v>1035</v>
      </c>
      <c r="S14" s="31"/>
    </row>
    <row r="15" spans="1:19" ht="115.2" customHeight="1" x14ac:dyDescent="0.4">
      <c r="A15" s="30" t="s">
        <v>519</v>
      </c>
      <c r="B15" s="30" t="s">
        <v>558</v>
      </c>
      <c r="C15" s="64" t="s">
        <v>492</v>
      </c>
      <c r="D15" s="30" t="s">
        <v>2145</v>
      </c>
      <c r="E15" s="64" t="s">
        <v>2146</v>
      </c>
      <c r="F15" s="30" t="s">
        <v>861</v>
      </c>
      <c r="G15" s="31" t="s">
        <v>2147</v>
      </c>
      <c r="H15" s="31" t="s">
        <v>2148</v>
      </c>
      <c r="I15" s="31" t="s">
        <v>2149</v>
      </c>
      <c r="J15" s="31" t="s">
        <v>2150</v>
      </c>
      <c r="K15" s="120" t="str">
        <f>HYPERLINK("C:\Users\sskjh\antigravity\01_전문업무_및_엔지니어링\11_현장_프로젝트\01_동탄트램\08.메뉴얼 및 평면도\최종\02_메뉴얼 공종프로섹스(집행단계)\매뉴얼BODY(집행단계-첨부폴더)v8\6.건축\14_측량, 자재_장비 반입, 안전교육\표준서\측량, 자재_장비 반입, 안전교육_표준서.html","👉 [클릭] 표준서 열기 📄")</f>
        <v>👉 [클릭] 표준서 열기 📄</v>
      </c>
      <c r="L15" s="31" t="s">
        <v>2151</v>
      </c>
      <c r="M15" s="120" t="str">
        <f>HYPERLINK("C:\Users\sskjh\antigravity\01_전문업무_및_엔지니어링\11_현장_프로젝트\01_동탄트램\08.메뉴얼 및 평면도\최종\02_메뉴얼 공종프로섹스(집행단계)\매뉴얼BODY(집행단계-첨부폴더)v8\6.건축\14_측량, 자재_장비 반입, 안전교육\수행지침\측량, 자재_장비 반입, 안전교육_수행지침.html","👉 [클릭] 수행지침 열기 📄")</f>
        <v>👉 [클릭] 수행지침 열기 📄</v>
      </c>
      <c r="N15" s="31" t="s">
        <v>2152</v>
      </c>
      <c r="O15" s="120" t="str">
        <f>HYPERLINK("C:\Users\sskjh\antigravity\01_전문업무_및_엔지니어링\11_현장_프로젝트\01_동탄트램\08.메뉴얼 및 평면도\최종\02_메뉴얼 공종프로섹스(집행단계)\매뉴얼BODY(집행단계-첨부폴더)v8\6.건축\14_측량, 자재_장비 반입, 안전교육\체크리스트\측량, 자재_장비 반입, 안전교육_체크리스트.html","👉 [클릭] 체크리스트 열기 📄")</f>
        <v>👉 [클릭] 체크리스트 열기 📄</v>
      </c>
      <c r="P15" s="30"/>
      <c r="Q15" s="31" t="s">
        <v>2153</v>
      </c>
      <c r="R15" s="24" t="s">
        <v>1035</v>
      </c>
      <c r="S15" s="31"/>
    </row>
    <row r="16" spans="1:19" ht="115.2" customHeight="1" x14ac:dyDescent="0.4">
      <c r="A16" s="30" t="s">
        <v>519</v>
      </c>
      <c r="B16" s="30" t="s">
        <v>558</v>
      </c>
      <c r="C16" s="64" t="s">
        <v>492</v>
      </c>
      <c r="D16" s="30" t="s">
        <v>2154</v>
      </c>
      <c r="E16" s="64" t="s">
        <v>2155</v>
      </c>
      <c r="F16" s="30" t="s">
        <v>2156</v>
      </c>
      <c r="G16" s="31" t="s">
        <v>2157</v>
      </c>
      <c r="H16" s="31" t="s">
        <v>2158</v>
      </c>
      <c r="I16" s="31" t="s">
        <v>2159</v>
      </c>
      <c r="J16" s="31" t="s">
        <v>2160</v>
      </c>
      <c r="K16" s="120" t="str">
        <f>HYPERLINK("C:\Users\sskjh\antigravity\01_전문업무_및_엔지니어링\11_현장_프로젝트\01_동탄트램\08.메뉴얼 및 평면도\최종\02_메뉴얼 공종프로섹스(집행단계)\매뉴얼BODY(집행단계-첨부폴더)v8\6.건축\15_자재 검수\표준서\자재 검수_표준서.html","👉 [클릭] 표준서 열기 📄")</f>
        <v>👉 [클릭] 표준서 열기 📄</v>
      </c>
      <c r="L16" s="31" t="s">
        <v>2161</v>
      </c>
      <c r="M16" s="120" t="str">
        <f>HYPERLINK("C:\Users\sskjh\antigravity\01_전문업무_및_엔지니어링\11_현장_프로젝트\01_동탄트램\08.메뉴얼 및 평면도\최종\02_메뉴얼 공종프로섹스(집행단계)\매뉴얼BODY(집행단계-첨부폴더)v8\6.건축\15_자재 검수\수행지침\자재 검수_수행지침.html","👉 [클릭] 수행지침 열기 📄")</f>
        <v>👉 [클릭] 수행지침 열기 📄</v>
      </c>
      <c r="N16" s="31" t="s">
        <v>2162</v>
      </c>
      <c r="O16" s="120" t="str">
        <f>HYPERLINK("C:\Users\sskjh\antigravity\01_전문업무_및_엔지니어링\11_현장_프로젝트\01_동탄트램\08.메뉴얼 및 평면도\최종\02_메뉴얼 공종프로섹스(집행단계)\매뉴얼BODY(집행단계-첨부폴더)v8\6.건축\15_자재 검수\체크리스트\자재 검수_체크리스트.html","👉 [클릭] 체크리스트 열기 📄")</f>
        <v>👉 [클릭] 체크리스트 열기 📄</v>
      </c>
      <c r="P16" s="30"/>
      <c r="Q16" s="31" t="s">
        <v>2163</v>
      </c>
      <c r="R16" s="24" t="s">
        <v>1035</v>
      </c>
      <c r="S16" s="31"/>
    </row>
    <row r="17" spans="1:19" ht="96" customHeight="1" x14ac:dyDescent="0.4">
      <c r="A17" s="30" t="s">
        <v>519</v>
      </c>
      <c r="B17" s="30" t="s">
        <v>558</v>
      </c>
      <c r="C17" s="64" t="s">
        <v>492</v>
      </c>
      <c r="D17" s="30" t="s">
        <v>2164</v>
      </c>
      <c r="E17" s="64" t="s">
        <v>2165</v>
      </c>
      <c r="F17" s="30" t="s">
        <v>861</v>
      </c>
      <c r="G17" s="31" t="s">
        <v>2166</v>
      </c>
      <c r="H17" s="31" t="s">
        <v>2167</v>
      </c>
      <c r="I17" s="31" t="s">
        <v>2168</v>
      </c>
      <c r="J17" s="31" t="s">
        <v>2169</v>
      </c>
      <c r="K17" s="120" t="str">
        <f>HYPERLINK("C:\Users\sskjh\antigravity\01_전문업무_및_엔지니어링\11_현장_프로젝트\01_동탄트램\08.메뉴얼 및 평면도\최종\02_메뉴얼 공종프로섹스(집행단계)\매뉴얼BODY(집행단계-첨부폴더)v8\6.건축\16_터파기_지반 정리\표준서\터파기_지반 정리_표준서.html","👉 [클릭] 표준서 열기 📄")</f>
        <v>👉 [클릭] 표준서 열기 📄</v>
      </c>
      <c r="L17" s="31" t="s">
        <v>2170</v>
      </c>
      <c r="M17" s="120" t="str">
        <f>HYPERLINK("C:\Users\sskjh\antigravity\01_전문업무_및_엔지니어링\11_현장_프로젝트\01_동탄트램\08.메뉴얼 및 평면도\최종\02_메뉴얼 공종프로섹스(집행단계)\매뉴얼BODY(집행단계-첨부폴더)v8\6.건축\16_터파기_지반 정리\수행지침\터파기_지반 정리_수행지침.html","👉 [클릭] 수행지침 열기 📄")</f>
        <v>👉 [클릭] 수행지침 열기 📄</v>
      </c>
      <c r="N17" s="31" t="s">
        <v>2171</v>
      </c>
      <c r="O17" s="120" t="str">
        <f>HYPERLINK("C:\Users\sskjh\antigravity\01_전문업무_및_엔지니어링\11_현장_프로젝트\01_동탄트램\08.메뉴얼 및 평면도\최종\02_메뉴얼 공종프로섹스(집행단계)\매뉴얼BODY(집행단계-첨부폴더)v8\6.건축\16_터파기_지반 정리\체크리스트\터파기_지반 정리_체크리스트.html","👉 [클릭] 체크리스트 열기 📄")</f>
        <v>👉 [클릭] 체크리스트 열기 📄</v>
      </c>
      <c r="P17" s="30"/>
      <c r="Q17" s="31" t="s">
        <v>2172</v>
      </c>
      <c r="R17" s="24" t="s">
        <v>1035</v>
      </c>
      <c r="S17" s="31"/>
    </row>
    <row r="18" spans="1:19" ht="115.2" customHeight="1" x14ac:dyDescent="0.4">
      <c r="A18" s="30" t="s">
        <v>519</v>
      </c>
      <c r="B18" s="30" t="s">
        <v>558</v>
      </c>
      <c r="C18" s="64" t="s">
        <v>492</v>
      </c>
      <c r="D18" s="30" t="s">
        <v>2173</v>
      </c>
      <c r="E18" s="64" t="s">
        <v>2174</v>
      </c>
      <c r="F18" s="30" t="s">
        <v>861</v>
      </c>
      <c r="G18" s="31" t="s">
        <v>2175</v>
      </c>
      <c r="H18" s="31" t="s">
        <v>2176</v>
      </c>
      <c r="I18" s="31" t="s">
        <v>2177</v>
      </c>
      <c r="J18" s="31" t="s">
        <v>2178</v>
      </c>
      <c r="K18" s="120"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18" s="31" t="s">
        <v>2179</v>
      </c>
      <c r="M18" s="120"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18" s="31" t="s">
        <v>2180</v>
      </c>
      <c r="O18" s="120"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18" s="30"/>
      <c r="Q18" s="31" t="s">
        <v>2181</v>
      </c>
      <c r="R18" s="24" t="s">
        <v>1035</v>
      </c>
      <c r="S18" s="31"/>
    </row>
    <row r="19" spans="1:19" ht="115.2" customHeight="1" x14ac:dyDescent="0.4">
      <c r="A19" s="30" t="s">
        <v>519</v>
      </c>
      <c r="B19" s="30" t="s">
        <v>558</v>
      </c>
      <c r="C19" s="64" t="s">
        <v>492</v>
      </c>
      <c r="D19" s="30" t="s">
        <v>2182</v>
      </c>
      <c r="E19" s="64" t="s">
        <v>2183</v>
      </c>
      <c r="F19" s="30" t="s">
        <v>861</v>
      </c>
      <c r="G19" s="31" t="s">
        <v>2184</v>
      </c>
      <c r="H19" s="31" t="s">
        <v>2185</v>
      </c>
      <c r="I19" s="31" t="s">
        <v>2186</v>
      </c>
      <c r="J19" s="31" t="s">
        <v>2187</v>
      </c>
      <c r="K19" s="120"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9" s="31" t="s">
        <v>2188</v>
      </c>
      <c r="M19" s="120"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9" s="31" t="s">
        <v>2189</v>
      </c>
      <c r="O19" s="120"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9" s="30"/>
      <c r="Q19" s="31" t="s">
        <v>2190</v>
      </c>
      <c r="R19" s="24" t="s">
        <v>1035</v>
      </c>
      <c r="S19" s="31"/>
    </row>
    <row r="20" spans="1:19" ht="115.2" customHeight="1" x14ac:dyDescent="0.4">
      <c r="A20" s="30" t="s">
        <v>519</v>
      </c>
      <c r="B20" s="30" t="s">
        <v>558</v>
      </c>
      <c r="C20" s="64" t="s">
        <v>492</v>
      </c>
      <c r="D20" s="30" t="s">
        <v>2191</v>
      </c>
      <c r="E20" s="64" t="s">
        <v>2192</v>
      </c>
      <c r="F20" s="30" t="s">
        <v>861</v>
      </c>
      <c r="G20" s="31" t="s">
        <v>2193</v>
      </c>
      <c r="H20" s="31" t="s">
        <v>2194</v>
      </c>
      <c r="I20" s="31" t="s">
        <v>2186</v>
      </c>
      <c r="J20" s="31" t="s">
        <v>2195</v>
      </c>
      <c r="K20" s="120"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0" s="31" t="s">
        <v>2196</v>
      </c>
      <c r="M20" s="120"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0" s="31" t="s">
        <v>2197</v>
      </c>
      <c r="O20" s="120"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0" s="30"/>
      <c r="Q20" s="31" t="s">
        <v>2198</v>
      </c>
      <c r="R20" s="24" t="s">
        <v>1035</v>
      </c>
      <c r="S20" s="31"/>
    </row>
    <row r="21" spans="1:19" ht="115.2" customHeight="1" x14ac:dyDescent="0.4">
      <c r="A21" s="30" t="s">
        <v>519</v>
      </c>
      <c r="B21" s="30" t="s">
        <v>558</v>
      </c>
      <c r="C21" s="64" t="s">
        <v>492</v>
      </c>
      <c r="D21" s="30" t="s">
        <v>2199</v>
      </c>
      <c r="E21" s="64" t="s">
        <v>2200</v>
      </c>
      <c r="F21" s="30" t="s">
        <v>861</v>
      </c>
      <c r="G21" s="31" t="s">
        <v>2201</v>
      </c>
      <c r="H21" s="31" t="s">
        <v>2202</v>
      </c>
      <c r="I21" s="31" t="s">
        <v>2203</v>
      </c>
      <c r="J21" s="31" t="s">
        <v>2204</v>
      </c>
      <c r="K21" s="120"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1" s="31" t="s">
        <v>2205</v>
      </c>
      <c r="M21" s="120"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1" s="31" t="s">
        <v>2206</v>
      </c>
      <c r="O21" s="120"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1" s="30"/>
      <c r="Q21" s="31" t="s">
        <v>2207</v>
      </c>
      <c r="R21" s="24" t="s">
        <v>1035</v>
      </c>
      <c r="S21" s="31"/>
    </row>
    <row r="22" spans="1:19" ht="96" customHeight="1" x14ac:dyDescent="0.4">
      <c r="A22" s="30" t="s">
        <v>519</v>
      </c>
      <c r="B22" s="30" t="s">
        <v>558</v>
      </c>
      <c r="C22" s="64" t="s">
        <v>492</v>
      </c>
      <c r="D22" s="30" t="s">
        <v>2208</v>
      </c>
      <c r="E22" s="64" t="s">
        <v>2209</v>
      </c>
      <c r="F22" s="30" t="s">
        <v>861</v>
      </c>
      <c r="G22" s="31" t="s">
        <v>2210</v>
      </c>
      <c r="H22" s="31" t="s">
        <v>2211</v>
      </c>
      <c r="I22" s="31" t="s">
        <v>2212</v>
      </c>
      <c r="J22" s="31" t="s">
        <v>2213</v>
      </c>
      <c r="K22" s="120" t="str">
        <f>HYPERLINK("C:\Users\sskjh\antigravity\01_전문업무_및_엔지니어링\11_현장_프로젝트\01_동탄트램\08.메뉴얼 및 평면도\최종\02_메뉴얼 공종프로섹스(집행단계)\매뉴얼BODY(집행단계-첨부폴더)v8\6.건축\21_기초~상부슬라브 구조물 시공\표준서\기초~상부슬라브 구조물 시공_표준서.html","👉 [클릭] 표준서 열기 📄")</f>
        <v>👉 [클릭] 표준서 열기 📄</v>
      </c>
      <c r="L22" s="31" t="s">
        <v>2214</v>
      </c>
      <c r="M22" s="120" t="str">
        <f>HYPERLINK("C:\Users\sskjh\antigravity\01_전문업무_및_엔지니어링\11_현장_프로젝트\01_동탄트램\08.메뉴얼 및 평면도\최종\02_메뉴얼 공종프로섹스(집행단계)\매뉴얼BODY(집행단계-첨부폴더)v8\6.건축\21_기초~상부슬라브 구조물 시공\수행지침\기초~상부슬라브 구조물 시공_수행지침.html","👉 [클릭] 수행지침 열기 📄")</f>
        <v>👉 [클릭] 수행지침 열기 📄</v>
      </c>
      <c r="N22" s="31" t="s">
        <v>2215</v>
      </c>
      <c r="O22" s="120" t="str">
        <f>HYPERLINK("C:\Users\sskjh\antigravity\01_전문업무_및_엔지니어링\11_현장_프로젝트\01_동탄트램\08.메뉴얼 및 평면도\최종\02_메뉴얼 공종프로섹스(집행단계)\매뉴얼BODY(집행단계-첨부폴더)v8\6.건축\21_기초~상부슬라브 구조물 시공\체크리스트\기초~상부슬라브 구조물 시공_체크리스트.html","👉 [클릭] 체크리스트 열기 📄")</f>
        <v>👉 [클릭] 체크리스트 열기 📄</v>
      </c>
      <c r="P22" s="30"/>
      <c r="Q22" s="31" t="s">
        <v>2216</v>
      </c>
      <c r="R22" s="24" t="s">
        <v>1035</v>
      </c>
      <c r="S22" s="31"/>
    </row>
    <row r="23" spans="1:19" ht="96" customHeight="1" x14ac:dyDescent="0.4">
      <c r="A23" s="30" t="s">
        <v>519</v>
      </c>
      <c r="B23" s="30" t="s">
        <v>558</v>
      </c>
      <c r="C23" s="64" t="s">
        <v>492</v>
      </c>
      <c r="D23" s="30" t="s">
        <v>2217</v>
      </c>
      <c r="E23" s="64" t="s">
        <v>2218</v>
      </c>
      <c r="F23" s="30" t="s">
        <v>861</v>
      </c>
      <c r="G23" s="31" t="s">
        <v>2219</v>
      </c>
      <c r="H23" s="31" t="s">
        <v>2220</v>
      </c>
      <c r="I23" s="31" t="s">
        <v>2221</v>
      </c>
      <c r="J23" s="31" t="s">
        <v>2222</v>
      </c>
      <c r="K23" s="120" t="str">
        <f>HYPERLINK("C:\Users\sskjh\antigravity\01_전문업무_및_엔지니어링\11_현장_프로젝트\01_동탄트램\08.메뉴얼 및 평면도\최종\02_메뉴얼 공종프로섹스(집행단계)\매뉴얼BODY(집행단계-첨부폴더)v8\6.건축\22_철근 가공\표준서\철근 가공_표준서.html","👉 [클릭] 표준서 열기 📄")</f>
        <v>👉 [클릭] 표준서 열기 📄</v>
      </c>
      <c r="L23" s="31" t="s">
        <v>2223</v>
      </c>
      <c r="M23" s="120" t="str">
        <f>HYPERLINK("C:\Users\sskjh\antigravity\01_전문업무_및_엔지니어링\11_현장_프로젝트\01_동탄트램\08.메뉴얼 및 평면도\최종\02_메뉴얼 공종프로섹스(집행단계)\매뉴얼BODY(집행단계-첨부폴더)v8\6.건축\22_철근 가공\수행지침\철근 가공_수행지침.html","👉 [클릭] 수행지침 열기 📄")</f>
        <v>👉 [클릭] 수행지침 열기 📄</v>
      </c>
      <c r="N23" s="31" t="s">
        <v>2224</v>
      </c>
      <c r="O23" s="120" t="str">
        <f>HYPERLINK("C:\Users\sskjh\antigravity\01_전문업무_및_엔지니어링\11_현장_프로젝트\01_동탄트램\08.메뉴얼 및 평면도\최종\02_메뉴얼 공종프로섹스(집행단계)\매뉴얼BODY(집행단계-첨부폴더)v8\6.건축\22_철근 가공\체크리스트\철근 가공_체크리스트.html","👉 [클릭] 체크리스트 열기 📄")</f>
        <v>👉 [클릭] 체크리스트 열기 📄</v>
      </c>
      <c r="P23" s="30"/>
      <c r="Q23" s="31" t="s">
        <v>2225</v>
      </c>
      <c r="R23" s="24" t="s">
        <v>1035</v>
      </c>
      <c r="S23" s="31"/>
    </row>
    <row r="24" spans="1:19" ht="96" customHeight="1" x14ac:dyDescent="0.4">
      <c r="A24" s="30" t="s">
        <v>519</v>
      </c>
      <c r="B24" s="30" t="s">
        <v>558</v>
      </c>
      <c r="C24" s="64" t="s">
        <v>492</v>
      </c>
      <c r="D24" s="30" t="s">
        <v>2226</v>
      </c>
      <c r="E24" s="64" t="s">
        <v>2227</v>
      </c>
      <c r="F24" s="30" t="s">
        <v>861</v>
      </c>
      <c r="G24" s="31" t="s">
        <v>2228</v>
      </c>
      <c r="H24" s="31" t="s">
        <v>2229</v>
      </c>
      <c r="I24" s="31" t="s">
        <v>2230</v>
      </c>
      <c r="J24" s="31" t="s">
        <v>2231</v>
      </c>
      <c r="K24" s="120" t="str">
        <f>HYPERLINK("C:\Users\sskjh\antigravity\01_전문업무_및_엔지니어링\11_현장_프로젝트\01_동탄트램\08.메뉴얼 및 평면도\최종\02_메뉴얼 공종프로섹스(집행단계)\매뉴얼BODY(집행단계-첨부폴더)v8\6.건축\23_작업발판, 비계 및 동바리 설치\표준서\작업발판, 비계 및 동바리 설치_표준서.html","👉 [클릭] 표준서 열기 📄")</f>
        <v>👉 [클릭] 표준서 열기 📄</v>
      </c>
      <c r="L24" s="31" t="s">
        <v>2232</v>
      </c>
      <c r="M24" s="120" t="str">
        <f>HYPERLINK("C:\Users\sskjh\antigravity\01_전문업무_및_엔지니어링\11_현장_프로젝트\01_동탄트램\08.메뉴얼 및 평면도\최종\02_메뉴얼 공종프로섹스(집행단계)\매뉴얼BODY(집행단계-첨부폴더)v8\6.건축\23_작업발판, 비계 및 동바리 설치\수행지침\작업발판, 비계 및 동바리 설치_수행지침.html","👉 [클릭] 수행지침 열기 📄")</f>
        <v>👉 [클릭] 수행지침 열기 📄</v>
      </c>
      <c r="N24" s="31" t="s">
        <v>2233</v>
      </c>
      <c r="O24" s="120" t="str">
        <f>HYPERLINK("C:\Users\sskjh\antigravity\01_전문업무_및_엔지니어링\11_현장_프로젝트\01_동탄트램\08.메뉴얼 및 평면도\최종\02_메뉴얼 공종프로섹스(집행단계)\매뉴얼BODY(집행단계-첨부폴더)v8\6.건축\23_작업발판, 비계 및 동바리 설치\체크리스트\작업발판, 비계 및 동바리 설치_체크리스트.html","👉 [클릭] 체크리스트 열기 📄")</f>
        <v>👉 [클릭] 체크리스트 열기 📄</v>
      </c>
      <c r="P24" s="30"/>
      <c r="Q24" s="31" t="s">
        <v>2234</v>
      </c>
      <c r="R24" s="24" t="s">
        <v>1035</v>
      </c>
      <c r="S24" s="31"/>
    </row>
    <row r="25" spans="1:19" ht="96" customHeight="1" x14ac:dyDescent="0.4">
      <c r="A25" s="30" t="s">
        <v>519</v>
      </c>
      <c r="B25" s="30" t="s">
        <v>558</v>
      </c>
      <c r="C25" s="64" t="s">
        <v>492</v>
      </c>
      <c r="D25" s="30" t="s">
        <v>2235</v>
      </c>
      <c r="E25" s="64" t="s">
        <v>2236</v>
      </c>
      <c r="F25" s="30" t="s">
        <v>861</v>
      </c>
      <c r="G25" s="31" t="s">
        <v>2237</v>
      </c>
      <c r="H25" s="31" t="s">
        <v>2238</v>
      </c>
      <c r="I25" s="31" t="s">
        <v>2239</v>
      </c>
      <c r="J25" s="31" t="s">
        <v>2240</v>
      </c>
      <c r="K25" s="120" t="str">
        <f>HYPERLINK("C:\Users\sskjh\antigravity\01_전문업무_및_엔지니어링\11_현장_프로젝트\01_동탄트램\08.메뉴얼 및 평면도\최종\02_메뉴얼 공종프로섹스(집행단계)\매뉴얼BODY(집행단계-첨부폴더)v8\6.건축\24_철근 조립\표준서\철근 조립_표준서.html","👉 [클릭] 표준서 열기 📄")</f>
        <v>👉 [클릭] 표준서 열기 📄</v>
      </c>
      <c r="L25" s="31" t="s">
        <v>2241</v>
      </c>
      <c r="M25" s="120" t="str">
        <f>HYPERLINK("C:\Users\sskjh\antigravity\01_전문업무_및_엔지니어링\11_현장_프로젝트\01_동탄트램\08.메뉴얼 및 평면도\최종\02_메뉴얼 공종프로섹스(집행단계)\매뉴얼BODY(집행단계-첨부폴더)v8\6.건축\24_철근 조립\수행지침\철근 조립_수행지침.html","👉 [클릭] 수행지침 열기 📄")</f>
        <v>👉 [클릭] 수행지침 열기 📄</v>
      </c>
      <c r="N25" s="31" t="s">
        <v>2242</v>
      </c>
      <c r="O25" s="120" t="str">
        <f>HYPERLINK("C:\Users\sskjh\antigravity\01_전문업무_및_엔지니어링\11_현장_프로젝트\01_동탄트램\08.메뉴얼 및 평면도\최종\02_메뉴얼 공종프로섹스(집행단계)\매뉴얼BODY(집행단계-첨부폴더)v8\6.건축\24_철근 조립\체크리스트\철근 조립_체크리스트.html","👉 [클릭] 체크리스트 열기 📄")</f>
        <v>👉 [클릭] 체크리스트 열기 📄</v>
      </c>
      <c r="P25" s="30"/>
      <c r="Q25" s="31" t="s">
        <v>2243</v>
      </c>
      <c r="R25" s="24" t="s">
        <v>1035</v>
      </c>
      <c r="S25" s="31"/>
    </row>
    <row r="26" spans="1:19" ht="96" customHeight="1" x14ac:dyDescent="0.4">
      <c r="A26" s="30" t="s">
        <v>519</v>
      </c>
      <c r="B26" s="30" t="s">
        <v>558</v>
      </c>
      <c r="C26" s="64" t="s">
        <v>492</v>
      </c>
      <c r="D26" s="30" t="s">
        <v>2244</v>
      </c>
      <c r="E26" s="64" t="s">
        <v>2245</v>
      </c>
      <c r="F26" s="30" t="s">
        <v>861</v>
      </c>
      <c r="G26" s="31" t="s">
        <v>2246</v>
      </c>
      <c r="H26" s="31" t="s">
        <v>2247</v>
      </c>
      <c r="I26" s="31" t="s">
        <v>2248</v>
      </c>
      <c r="J26" s="31" t="s">
        <v>2249</v>
      </c>
      <c r="K26" s="120" t="str">
        <f>HYPERLINK("C:\Users\sskjh\antigravity\01_전문업무_및_엔지니어링\11_현장_프로젝트\01_동탄트램\08.메뉴얼 및 평면도\최종\02_메뉴얼 공종프로섹스(집행단계)\매뉴얼BODY(집행단계-첨부폴더)v8\6.건축\25_거푸집 조립\표준서\거푸집 조립_표준서.html","👉 [클릭] 표준서 열기 📄")</f>
        <v>👉 [클릭] 표준서 열기 📄</v>
      </c>
      <c r="L26" s="31" t="s">
        <v>2250</v>
      </c>
      <c r="M26" s="120" t="str">
        <f>HYPERLINK("C:\Users\sskjh\antigravity\01_전문업무_및_엔지니어링\11_현장_프로젝트\01_동탄트램\08.메뉴얼 및 평면도\최종\02_메뉴얼 공종프로섹스(집행단계)\매뉴얼BODY(집행단계-첨부폴더)v8\6.건축\25_거푸집 조립\수행지침\거푸집 조립_수행지침.html","👉 [클릭] 수행지침 열기 📄")</f>
        <v>👉 [클릭] 수행지침 열기 📄</v>
      </c>
      <c r="N26" s="31" t="s">
        <v>2251</v>
      </c>
      <c r="O26" s="120" t="str">
        <f>HYPERLINK("C:\Users\sskjh\antigravity\01_전문업무_및_엔지니어링\11_현장_프로젝트\01_동탄트램\08.메뉴얼 및 평면도\최종\02_메뉴얼 공종프로섹스(집행단계)\매뉴얼BODY(집행단계-첨부폴더)v8\6.건축\25_거푸집 조립\체크리스트\거푸집 조립_체크리스트.html","👉 [클릭] 체크리스트 열기 📄")</f>
        <v>👉 [클릭] 체크리스트 열기 📄</v>
      </c>
      <c r="P26" s="30"/>
      <c r="Q26" s="31" t="s">
        <v>2252</v>
      </c>
      <c r="R26" s="24" t="s">
        <v>1035</v>
      </c>
      <c r="S26" s="31"/>
    </row>
    <row r="27" spans="1:19" ht="96" customHeight="1" x14ac:dyDescent="0.4">
      <c r="A27" s="30" t="s">
        <v>519</v>
      </c>
      <c r="B27" s="30" t="s">
        <v>558</v>
      </c>
      <c r="C27" s="64" t="s">
        <v>492</v>
      </c>
      <c r="D27" s="30" t="s">
        <v>2253</v>
      </c>
      <c r="E27" s="64" t="s">
        <v>2254</v>
      </c>
      <c r="F27" s="30" t="s">
        <v>861</v>
      </c>
      <c r="G27" s="31" t="s">
        <v>2255</v>
      </c>
      <c r="H27" s="31" t="s">
        <v>2256</v>
      </c>
      <c r="I27" s="31" t="s">
        <v>2257</v>
      </c>
      <c r="J27" s="31" t="s">
        <v>2258</v>
      </c>
      <c r="K27" s="120"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27" s="31" t="s">
        <v>2259</v>
      </c>
      <c r="M27" s="120"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27" s="31" t="s">
        <v>2260</v>
      </c>
      <c r="O27" s="120"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27" s="30"/>
      <c r="Q27" s="31" t="s">
        <v>2261</v>
      </c>
      <c r="R27" s="24" t="s">
        <v>1035</v>
      </c>
      <c r="S27" s="31"/>
    </row>
    <row r="28" spans="1:19" ht="115.2" customHeight="1" x14ac:dyDescent="0.4">
      <c r="A28" s="30" t="s">
        <v>519</v>
      </c>
      <c r="B28" s="30" t="s">
        <v>558</v>
      </c>
      <c r="C28" s="64" t="s">
        <v>492</v>
      </c>
      <c r="D28" s="30" t="s">
        <v>2262</v>
      </c>
      <c r="E28" s="64" t="s">
        <v>2263</v>
      </c>
      <c r="F28" s="30" t="s">
        <v>861</v>
      </c>
      <c r="G28" s="31" t="s">
        <v>2264</v>
      </c>
      <c r="H28" s="31" t="s">
        <v>2265</v>
      </c>
      <c r="I28" s="31" t="s">
        <v>2266</v>
      </c>
      <c r="J28" s="31" t="s">
        <v>2267</v>
      </c>
      <c r="K28" s="120" t="str">
        <f>HYPERLINK("C:\Users\sskjh\antigravity\01_전문업무_및_엔지니어링\11_현장_프로젝트\01_동탄트램\08.메뉴얼 및 평면도\최종\02_메뉴얼 공종프로섹스(집행단계)\매뉴얼BODY(집행단계-첨부폴더)v8\6.건축\27_거푸집 해체\표준서\거푸집 해체_표준서.html","👉 [클릭] 표준서 열기 📄")</f>
        <v>👉 [클릭] 표준서 열기 📄</v>
      </c>
      <c r="L28" s="31" t="s">
        <v>2268</v>
      </c>
      <c r="M28" s="120" t="str">
        <f>HYPERLINK("C:\Users\sskjh\antigravity\01_전문업무_및_엔지니어링\11_현장_프로젝트\01_동탄트램\08.메뉴얼 및 평면도\최종\02_메뉴얼 공종프로섹스(집행단계)\매뉴얼BODY(집행단계-첨부폴더)v8\6.건축\27_거푸집 해체\수행지침\거푸집 해체_수행지침.html","👉 [클릭] 수행지침 열기 📄")</f>
        <v>👉 [클릭] 수행지침 열기 📄</v>
      </c>
      <c r="N28" s="31" t="s">
        <v>2269</v>
      </c>
      <c r="O28" s="120" t="str">
        <f>HYPERLINK("C:\Users\sskjh\antigravity\01_전문업무_및_엔지니어링\11_현장_프로젝트\01_동탄트램\08.메뉴얼 및 평면도\최종\02_메뉴얼 공종프로섹스(집행단계)\매뉴얼BODY(집행단계-첨부폴더)v8\6.건축\27_거푸집 해체\체크리스트\거푸집 해체_체크리스트.html","👉 [클릭] 체크리스트 열기 📄")</f>
        <v>👉 [클릭] 체크리스트 열기 📄</v>
      </c>
      <c r="P28" s="30"/>
      <c r="Q28" s="31" t="s">
        <v>2270</v>
      </c>
      <c r="R28" s="24" t="s">
        <v>1035</v>
      </c>
      <c r="S28" s="31"/>
    </row>
    <row r="29" spans="1:19" ht="115.2" customHeight="1" x14ac:dyDescent="0.4">
      <c r="A29" s="30" t="s">
        <v>519</v>
      </c>
      <c r="B29" s="30" t="s">
        <v>558</v>
      </c>
      <c r="C29" s="64" t="s">
        <v>492</v>
      </c>
      <c r="D29" s="30" t="s">
        <v>2271</v>
      </c>
      <c r="E29" s="64" t="s">
        <v>2272</v>
      </c>
      <c r="F29" s="30" t="s">
        <v>861</v>
      </c>
      <c r="G29" s="31" t="s">
        <v>2273</v>
      </c>
      <c r="H29" s="31" t="s">
        <v>2274</v>
      </c>
      <c r="I29" s="31" t="s">
        <v>2275</v>
      </c>
      <c r="J29" s="31" t="s">
        <v>2276</v>
      </c>
      <c r="K29" s="120" t="str">
        <f>HYPERLINK("C:\Users\sskjh\antigravity\01_전문업무_및_엔지니어링\11_현장_프로젝트\01_동탄트램\08.메뉴얼 및 평면도\최종\02_메뉴얼 공종프로섹스(집행단계)\매뉴얼BODY(집행단계-첨부폴더)v8\6.건축\28_건축 내부 및 마감공사\표준서\건축 내부 및 마감공사_표준서.html","👉 [클릭] 표준서 열기 📄")</f>
        <v>👉 [클릭] 표준서 열기 📄</v>
      </c>
      <c r="L29" s="31" t="s">
        <v>2277</v>
      </c>
      <c r="M29" s="120" t="str">
        <f>HYPERLINK("C:\Users\sskjh\antigravity\01_전문업무_및_엔지니어링\11_현장_프로젝트\01_동탄트램\08.메뉴얼 및 평면도\최종\02_메뉴얼 공종프로섹스(집행단계)\매뉴얼BODY(집행단계-첨부폴더)v8\6.건축\28_건축 내부 및 마감공사\수행지침\건축 내부 및 마감공사_수행지침.html","👉 [클릭] 수행지침 열기 📄")</f>
        <v>👉 [클릭] 수행지침 열기 📄</v>
      </c>
      <c r="N29" s="31" t="s">
        <v>2278</v>
      </c>
      <c r="O29" s="120" t="str">
        <f>HYPERLINK("C:\Users\sskjh\antigravity\01_전문업무_및_엔지니어링\11_현장_프로젝트\01_동탄트램\08.메뉴얼 및 평면도\최종\02_메뉴얼 공종프로섹스(집행단계)\매뉴얼BODY(집행단계-첨부폴더)v8\6.건축\28_건축 내부 및 마감공사\체크리스트\건축 내부 및 마감공사_체크리스트.html","👉 [클릭] 체크리스트 열기 📄")</f>
        <v>👉 [클릭] 체크리스트 열기 📄</v>
      </c>
      <c r="P29" s="30"/>
      <c r="Q29" s="31" t="s">
        <v>2279</v>
      </c>
      <c r="R29" s="24" t="s">
        <v>1035</v>
      </c>
      <c r="S29" s="31"/>
    </row>
    <row r="30" spans="1:19" ht="115.2" customHeight="1" x14ac:dyDescent="0.4">
      <c r="A30" s="30" t="s">
        <v>519</v>
      </c>
      <c r="B30" s="30" t="s">
        <v>558</v>
      </c>
      <c r="C30" s="64" t="s">
        <v>492</v>
      </c>
      <c r="D30" s="30" t="s">
        <v>2280</v>
      </c>
      <c r="E30" s="64" t="s">
        <v>2281</v>
      </c>
      <c r="F30" s="30" t="s">
        <v>861</v>
      </c>
      <c r="G30" s="31" t="s">
        <v>2282</v>
      </c>
      <c r="H30" s="31" t="s">
        <v>2283</v>
      </c>
      <c r="I30" s="31" t="s">
        <v>2284</v>
      </c>
      <c r="J30" s="31" t="s">
        <v>2285</v>
      </c>
      <c r="K30" s="120" t="str">
        <f>HYPERLINK("C:\Users\sskjh\antigravity\01_전문업무_및_엔지니어링\11_현장_프로젝트\01_동탄트램\08.메뉴얼 및 평면도\최종\02_메뉴얼 공종프로섹스(집행단계)\매뉴얼BODY(집행단계-첨부폴더)v8\6.건축\29_창호,유리 및 금속지붕공사\표준서\창호,유리 및 금속지붕공사_표준서.html","👉 [클릭] 표준서 열기 📄")</f>
        <v>👉 [클릭] 표준서 열기 📄</v>
      </c>
      <c r="L30" s="31" t="s">
        <v>2286</v>
      </c>
      <c r="M30" s="120" t="str">
        <f>HYPERLINK("C:\Users\sskjh\antigravity\01_전문업무_및_엔지니어링\11_현장_프로젝트\01_동탄트램\08.메뉴얼 및 평면도\최종\02_메뉴얼 공종프로섹스(집행단계)\매뉴얼BODY(집행단계-첨부폴더)v8\6.건축\29_창호,유리 및 금속지붕공사\수행지침\창호,유리 및 금속지붕공사_수행지침.html","👉 [클릭] 수행지침 열기 📄")</f>
        <v>👉 [클릭] 수행지침 열기 📄</v>
      </c>
      <c r="N30" s="31" t="s">
        <v>2287</v>
      </c>
      <c r="O30" s="120" t="str">
        <f>HYPERLINK("C:\Users\sskjh\antigravity\01_전문업무_및_엔지니어링\11_현장_프로젝트\01_동탄트램\08.메뉴얼 및 평면도\최종\02_메뉴얼 공종프로섹스(집행단계)\매뉴얼BODY(집행단계-첨부폴더)v8\6.건축\29_창호,유리 및 금속지붕공사\체크리스트\창호,유리 및 금속지붕공사_체크리스트.html","👉 [클릭] 체크리스트 열기 📄")</f>
        <v>👉 [클릭] 체크리스트 열기 📄</v>
      </c>
      <c r="P30" s="30"/>
      <c r="Q30" s="31" t="s">
        <v>2288</v>
      </c>
      <c r="R30" s="24" t="s">
        <v>1035</v>
      </c>
      <c r="S30" s="31"/>
    </row>
    <row r="31" spans="1:19" ht="96" customHeight="1" x14ac:dyDescent="0.4">
      <c r="A31" s="30" t="s">
        <v>519</v>
      </c>
      <c r="B31" s="30" t="s">
        <v>558</v>
      </c>
      <c r="C31" s="64" t="s">
        <v>492</v>
      </c>
      <c r="D31" s="30" t="s">
        <v>2289</v>
      </c>
      <c r="E31" s="64" t="s">
        <v>2290</v>
      </c>
      <c r="F31" s="30" t="s">
        <v>861</v>
      </c>
      <c r="G31" s="31" t="s">
        <v>2291</v>
      </c>
      <c r="H31" s="31" t="s">
        <v>2292</v>
      </c>
      <c r="I31" s="31" t="s">
        <v>2293</v>
      </c>
      <c r="J31" s="31" t="s">
        <v>2294</v>
      </c>
      <c r="K31" s="120" t="str">
        <f>HYPERLINK("C:\Users\sskjh\antigravity\01_전문업무_및_엔지니어링\11_현장_프로젝트\01_동탄트램\08.메뉴얼 및 평면도\최종\02_메뉴얼 공종프로섹스(집행단계)\매뉴얼BODY(집행단계-첨부폴더)v8\6.건축\30_조적공사\표준서\조적공사_표준서.html","👉 [클릭] 표준서 열기 📄")</f>
        <v>👉 [클릭] 표준서 열기 📄</v>
      </c>
      <c r="L31" s="31" t="s">
        <v>2295</v>
      </c>
      <c r="M31" s="120" t="str">
        <f>HYPERLINK("C:\Users\sskjh\antigravity\01_전문업무_및_엔지니어링\11_현장_프로젝트\01_동탄트램\08.메뉴얼 및 평면도\최종\02_메뉴얼 공종프로섹스(집행단계)\매뉴얼BODY(집행단계-첨부폴더)v8\6.건축\30_조적공사\수행지침\조적공사_수행지침.html","👉 [클릭] 수행지침 열기 📄")</f>
        <v>👉 [클릭] 수행지침 열기 📄</v>
      </c>
      <c r="N31" s="31" t="s">
        <v>2296</v>
      </c>
      <c r="O31" s="120" t="str">
        <f>HYPERLINK("C:\Users\sskjh\antigravity\01_전문업무_및_엔지니어링\11_현장_프로젝트\01_동탄트램\08.메뉴얼 및 평면도\최종\02_메뉴얼 공종프로섹스(집행단계)\매뉴얼BODY(집행단계-첨부폴더)v8\6.건축\30_조적공사\체크리스트\조적공사_체크리스트.html","👉 [클릭] 체크리스트 열기 📄")</f>
        <v>👉 [클릭] 체크리스트 열기 📄</v>
      </c>
      <c r="P31" s="30"/>
      <c r="Q31" s="31" t="s">
        <v>2297</v>
      </c>
      <c r="R31" s="24" t="s">
        <v>1035</v>
      </c>
      <c r="S31" s="31"/>
    </row>
    <row r="32" spans="1:19" ht="115.2" customHeight="1" x14ac:dyDescent="0.4">
      <c r="A32" s="30" t="s">
        <v>519</v>
      </c>
      <c r="B32" s="30" t="s">
        <v>558</v>
      </c>
      <c r="C32" s="64" t="s">
        <v>492</v>
      </c>
      <c r="D32" s="30" t="s">
        <v>2298</v>
      </c>
      <c r="E32" s="64" t="s">
        <v>2299</v>
      </c>
      <c r="F32" s="30" t="s">
        <v>861</v>
      </c>
      <c r="G32" s="31" t="s">
        <v>2300</v>
      </c>
      <c r="H32" s="31" t="s">
        <v>2301</v>
      </c>
      <c r="I32" s="31" t="s">
        <v>2302</v>
      </c>
      <c r="J32" s="31" t="s">
        <v>2303</v>
      </c>
      <c r="K32" s="120" t="str">
        <f>HYPERLINK("C:\Users\sskjh\antigravity\01_전문업무_및_엔지니어링\11_현장_프로젝트\01_동탄트램\08.메뉴얼 및 평면도\최종\02_메뉴얼 공종프로섹스(집행단계)\매뉴얼BODY(집행단계-첨부폴더)v8\6.건축\31_내부 방수공사\표준서\내부 방수공사_표준서.html","👉 [클릭] 표준서 열기 📄")</f>
        <v>👉 [클릭] 표준서 열기 📄</v>
      </c>
      <c r="L32" s="31" t="s">
        <v>2304</v>
      </c>
      <c r="M32" s="120" t="str">
        <f>HYPERLINK("C:\Users\sskjh\antigravity\01_전문업무_및_엔지니어링\11_현장_프로젝트\01_동탄트램\08.메뉴얼 및 평면도\최종\02_메뉴얼 공종프로섹스(집행단계)\매뉴얼BODY(집행단계-첨부폴더)v8\6.건축\31_내부 방수공사\수행지침\내부 방수공사_수행지침.html","👉 [클릭] 수행지침 열기 📄")</f>
        <v>👉 [클릭] 수행지침 열기 📄</v>
      </c>
      <c r="N32" s="31" t="s">
        <v>2305</v>
      </c>
      <c r="O32" s="120" t="str">
        <f>HYPERLINK("C:\Users\sskjh\antigravity\01_전문업무_및_엔지니어링\11_현장_프로젝트\01_동탄트램\08.메뉴얼 및 평면도\최종\02_메뉴얼 공종프로섹스(집행단계)\매뉴얼BODY(집행단계-첨부폴더)v8\6.건축\31_내부 방수공사\체크리스트\내부 방수공사_체크리스트.html","👉 [클릭] 체크리스트 열기 📄")</f>
        <v>👉 [클릭] 체크리스트 열기 📄</v>
      </c>
      <c r="P32" s="30"/>
      <c r="Q32" s="31" t="s">
        <v>2306</v>
      </c>
      <c r="R32" s="24" t="s">
        <v>1035</v>
      </c>
      <c r="S32" s="31"/>
    </row>
    <row r="33" spans="1:19" ht="96" customHeight="1" x14ac:dyDescent="0.4">
      <c r="A33" s="30" t="s">
        <v>519</v>
      </c>
      <c r="B33" s="30" t="s">
        <v>558</v>
      </c>
      <c r="C33" s="64" t="s">
        <v>492</v>
      </c>
      <c r="D33" s="30" t="s">
        <v>2307</v>
      </c>
      <c r="E33" s="64" t="s">
        <v>2308</v>
      </c>
      <c r="F33" s="30" t="s">
        <v>861</v>
      </c>
      <c r="G33" s="31" t="s">
        <v>2309</v>
      </c>
      <c r="H33" s="31" t="s">
        <v>2310</v>
      </c>
      <c r="I33" s="31" t="s">
        <v>2311</v>
      </c>
      <c r="J33" s="31" t="s">
        <v>2312</v>
      </c>
      <c r="K33" s="120" t="str">
        <f>HYPERLINK("C:\Users\sskjh\antigravity\01_전문업무_및_엔지니어링\11_현장_프로젝트\01_동탄트램\08.메뉴얼 및 평면도\최종\02_메뉴얼 공종프로섹스(집행단계)\매뉴얼BODY(집행단계-첨부폴더)v8\6.건축\32_미장 및 타일공사\표준서\미장 및 타일공사_표준서.html","👉 [클릭] 표준서 열기 📄")</f>
        <v>👉 [클릭] 표준서 열기 📄</v>
      </c>
      <c r="L33" s="31" t="s">
        <v>2313</v>
      </c>
      <c r="M33" s="120" t="str">
        <f>HYPERLINK("C:\Users\sskjh\antigravity\01_전문업무_및_엔지니어링\11_현장_프로젝트\01_동탄트램\08.메뉴얼 및 평면도\최종\02_메뉴얼 공종프로섹스(집행단계)\매뉴얼BODY(집행단계-첨부폴더)v8\6.건축\32_미장 및 타일공사\수행지침\미장 및 타일공사_수행지침.html","👉 [클릭] 수행지침 열기 📄")</f>
        <v>👉 [클릭] 수행지침 열기 📄</v>
      </c>
      <c r="N33" s="31" t="s">
        <v>2314</v>
      </c>
      <c r="O33" s="120" t="str">
        <f>HYPERLINK("C:\Users\sskjh\antigravity\01_전문업무_및_엔지니어링\11_현장_프로젝트\01_동탄트램\08.메뉴얼 및 평면도\최종\02_메뉴얼 공종프로섹스(집행단계)\매뉴얼BODY(집행단계-첨부폴더)v8\6.건축\32_미장 및 타일공사\체크리스트\미장 및 타일공사_체크리스트.html","👉 [클릭] 체크리스트 열기 📄")</f>
        <v>👉 [클릭] 체크리스트 열기 📄</v>
      </c>
      <c r="P33" s="30"/>
      <c r="Q33" s="31" t="s">
        <v>2315</v>
      </c>
      <c r="R33" s="24" t="s">
        <v>1035</v>
      </c>
      <c r="S33" s="31"/>
    </row>
    <row r="34" spans="1:19" ht="96" customHeight="1" x14ac:dyDescent="0.4">
      <c r="A34" s="30" t="s">
        <v>519</v>
      </c>
      <c r="B34" s="30" t="s">
        <v>558</v>
      </c>
      <c r="C34" s="64" t="s">
        <v>492</v>
      </c>
      <c r="D34" s="30" t="s">
        <v>2316</v>
      </c>
      <c r="E34" s="64" t="s">
        <v>2317</v>
      </c>
      <c r="F34" s="30" t="s">
        <v>861</v>
      </c>
      <c r="G34" s="31" t="s">
        <v>2318</v>
      </c>
      <c r="H34" s="31" t="s">
        <v>2319</v>
      </c>
      <c r="I34" s="31" t="s">
        <v>2320</v>
      </c>
      <c r="J34" s="31" t="s">
        <v>2321</v>
      </c>
      <c r="K34" s="120" t="str">
        <f>HYPERLINK("C:\Users\sskjh\antigravity\01_전문업무_및_엔지니어링\11_현장_프로젝트\01_동탄트램\08.메뉴얼 및 평면도\최종\02_메뉴얼 공종프로섹스(집행단계)\매뉴얼BODY(집행단계-첨부폴더)v8\6.건축\33_수장 및 잡철물공사\표준서\수장 및 잡철물공사_표준서.html","👉 [클릭] 표준서 열기 📄")</f>
        <v>👉 [클릭] 표준서 열기 📄</v>
      </c>
      <c r="L34" s="31" t="s">
        <v>2322</v>
      </c>
      <c r="M34" s="120" t="str">
        <f>HYPERLINK("C:\Users\sskjh\antigravity\01_전문업무_및_엔지니어링\11_현장_프로젝트\01_동탄트램\08.메뉴얼 및 평면도\최종\02_메뉴얼 공종프로섹스(집행단계)\매뉴얼BODY(집행단계-첨부폴더)v8\6.건축\33_수장 및 잡철물공사\수행지침\수장 및 잡철물공사_수행지침.html","👉 [클릭] 수행지침 열기 📄")</f>
        <v>👉 [클릭] 수행지침 열기 📄</v>
      </c>
      <c r="N34" s="31" t="s">
        <v>2323</v>
      </c>
      <c r="O34" s="120" t="str">
        <f>HYPERLINK("C:\Users\sskjh\antigravity\01_전문업무_및_엔지니어링\11_현장_프로젝트\01_동탄트램\08.메뉴얼 및 평면도\최종\02_메뉴얼 공종프로섹스(집행단계)\매뉴얼BODY(집행단계-첨부폴더)v8\6.건축\33_수장 및 잡철물공사\체크리스트\수장 및 잡철물공사_체크리스트.html","👉 [클릭] 체크리스트 열기 📄")</f>
        <v>👉 [클릭] 체크리스트 열기 📄</v>
      </c>
      <c r="P34" s="30"/>
      <c r="Q34" s="31" t="s">
        <v>2324</v>
      </c>
      <c r="R34" s="24" t="s">
        <v>1035</v>
      </c>
      <c r="S34" s="31"/>
    </row>
    <row r="35" spans="1:19" ht="115.2" customHeight="1" x14ac:dyDescent="0.4">
      <c r="A35" s="30" t="s">
        <v>519</v>
      </c>
      <c r="B35" s="30" t="s">
        <v>558</v>
      </c>
      <c r="C35" s="64" t="s">
        <v>492</v>
      </c>
      <c r="D35" s="30" t="s">
        <v>2325</v>
      </c>
      <c r="E35" s="64" t="s">
        <v>2326</v>
      </c>
      <c r="F35" s="30" t="s">
        <v>861</v>
      </c>
      <c r="G35" s="31" t="s">
        <v>2327</v>
      </c>
      <c r="H35" s="31" t="s">
        <v>2328</v>
      </c>
      <c r="I35" s="31" t="s">
        <v>2329</v>
      </c>
      <c r="J35" s="31" t="s">
        <v>2330</v>
      </c>
      <c r="K35" s="120" t="str">
        <f>HYPERLINK("C:\Users\sskjh\antigravity\01_전문업무_및_엔지니어링\11_현장_프로젝트\01_동탄트램\08.메뉴얼 및 평면도\최종\02_메뉴얼 공종프로섹스(집행단계)\매뉴얼BODY(집행단계-첨부폴더)v8\6.건축\34_도장공사\표준서\도장공사_표준서.html","👉 [클릭] 표준서 열기 📄")</f>
        <v>👉 [클릭] 표준서 열기 📄</v>
      </c>
      <c r="L35" s="31" t="s">
        <v>2331</v>
      </c>
      <c r="M35" s="120" t="str">
        <f>HYPERLINK("C:\Users\sskjh\antigravity\01_전문업무_및_엔지니어링\11_현장_프로젝트\01_동탄트램\08.메뉴얼 및 평면도\최종\02_메뉴얼 공종프로섹스(집행단계)\매뉴얼BODY(집행단계-첨부폴더)v8\6.건축\34_도장공사\수행지침\도장공사_수행지침.html","👉 [클릭] 수행지침 열기 📄")</f>
        <v>👉 [클릭] 수행지침 열기 📄</v>
      </c>
      <c r="N35" s="31" t="s">
        <v>2332</v>
      </c>
      <c r="O35" s="120" t="str">
        <f>HYPERLINK("C:\Users\sskjh\antigravity\01_전문업무_및_엔지니어링\11_현장_프로젝트\01_동탄트램\08.메뉴얼 및 평면도\최종\02_메뉴얼 공종프로섹스(집행단계)\매뉴얼BODY(집행단계-첨부폴더)v8\6.건축\34_도장공사\체크리스트\도장공사_체크리스트.html","👉 [클릭] 체크리스트 열기 📄")</f>
        <v>👉 [클릭] 체크리스트 열기 📄</v>
      </c>
      <c r="P35" s="30"/>
      <c r="Q35" s="31" t="s">
        <v>2333</v>
      </c>
      <c r="R35" s="24" t="s">
        <v>1035</v>
      </c>
      <c r="S35" s="31"/>
    </row>
    <row r="36" spans="1:19" ht="115.2" customHeight="1" x14ac:dyDescent="0.4">
      <c r="A36" s="30" t="s">
        <v>519</v>
      </c>
      <c r="B36" s="30" t="s">
        <v>558</v>
      </c>
      <c r="C36" s="64" t="s">
        <v>492</v>
      </c>
      <c r="D36" s="30" t="s">
        <v>2334</v>
      </c>
      <c r="E36" s="64" t="s">
        <v>2335</v>
      </c>
      <c r="F36" s="30" t="s">
        <v>861</v>
      </c>
      <c r="G36" s="31" t="s">
        <v>2336</v>
      </c>
      <c r="H36" s="31" t="s">
        <v>2337</v>
      </c>
      <c r="I36" s="31" t="s">
        <v>2338</v>
      </c>
      <c r="J36" s="31" t="s">
        <v>2339</v>
      </c>
      <c r="K36" s="120" t="str">
        <f>HYPERLINK("C:\Users\sskjh\antigravity\01_전문업무_및_엔지니어링\11_현장_프로젝트\01_동탄트램\08.메뉴얼 및 평면도\최종\02_메뉴얼 공종프로섹스(집행단계)\매뉴얼BODY(집행단계-첨부폴더)v8\6.건축\35_인테리어 및 무대공사\표준서\인테리어 및 무대공사_표준서.html","👉 [클릭] 표준서 열기 📄")</f>
        <v>👉 [클릭] 표준서 열기 📄</v>
      </c>
      <c r="L36" s="31" t="s">
        <v>2340</v>
      </c>
      <c r="M36" s="120" t="str">
        <f>HYPERLINK("C:\Users\sskjh\antigravity\01_전문업무_및_엔지니어링\11_현장_프로젝트\01_동탄트램\08.메뉴얼 및 평면도\최종\02_메뉴얼 공종프로섹스(집행단계)\매뉴얼BODY(집행단계-첨부폴더)v8\6.건축\35_인테리어 및 무대공사\수행지침\인테리어 및 무대공사_수행지침.html","👉 [클릭] 수행지침 열기 📄")</f>
        <v>👉 [클릭] 수행지침 열기 📄</v>
      </c>
      <c r="N36" s="31" t="s">
        <v>2341</v>
      </c>
      <c r="O36" s="120" t="str">
        <f>HYPERLINK("C:\Users\sskjh\antigravity\01_전문업무_및_엔지니어링\11_현장_프로젝트\01_동탄트램\08.메뉴얼 및 평면도\최종\02_메뉴얼 공종프로섹스(집행단계)\매뉴얼BODY(집행단계-첨부폴더)v8\6.건축\35_인테리어 및 무대공사\체크리스트\인테리어 및 무대공사_체크리스트.html","👉 [클릭] 체크리스트 열기 📄")</f>
        <v>👉 [클릭] 체크리스트 열기 📄</v>
      </c>
      <c r="P36" s="30"/>
      <c r="Q36" s="31" t="s">
        <v>2342</v>
      </c>
      <c r="R36" s="24" t="s">
        <v>1035</v>
      </c>
      <c r="S36" s="31"/>
    </row>
    <row r="37" spans="1:19" ht="115.2" customHeight="1" x14ac:dyDescent="0.4">
      <c r="A37" s="30" t="s">
        <v>519</v>
      </c>
      <c r="B37" s="30" t="s">
        <v>558</v>
      </c>
      <c r="C37" s="64" t="s">
        <v>492</v>
      </c>
      <c r="D37" s="30" t="s">
        <v>2343</v>
      </c>
      <c r="E37" s="64" t="s">
        <v>2344</v>
      </c>
      <c r="F37" s="30" t="s">
        <v>861</v>
      </c>
      <c r="G37" s="31" t="s">
        <v>2345</v>
      </c>
      <c r="H37" s="31" t="s">
        <v>2346</v>
      </c>
      <c r="I37" s="31" t="s">
        <v>2347</v>
      </c>
      <c r="J37" s="31" t="s">
        <v>2348</v>
      </c>
      <c r="K37" s="120" t="str">
        <f>HYPERLINK("C:\Users\sskjh\antigravity\01_전문업무_및_엔지니어링\11_현장_프로젝트\01_동탄트램\08.메뉴얼 및 평면도\최종\02_메뉴얼 공종프로섹스(집행단계)\매뉴얼BODY(집행단계-첨부폴더)v8\6.건축\36_준공전 건축 인허가\표준서\준공전 건축 인허가_표준서.html","👉 [클릭] 표준서 열기 📄")</f>
        <v>👉 [클릭] 표준서 열기 📄</v>
      </c>
      <c r="L37" s="31" t="s">
        <v>2349</v>
      </c>
      <c r="M37" s="120" t="str">
        <f>HYPERLINK("C:\Users\sskjh\antigravity\01_전문업무_및_엔지니어링\11_현장_프로젝트\01_동탄트램\08.메뉴얼 및 평면도\최종\02_메뉴얼 공종프로섹스(집행단계)\매뉴얼BODY(집행단계-첨부폴더)v8\6.건축\36_준공전 건축 인허가\수행지침\준공전 건축 인허가_수행지침.html","👉 [클릭] 수행지침 열기 📄")</f>
        <v>👉 [클릭] 수행지침 열기 📄</v>
      </c>
      <c r="N37" s="31" t="s">
        <v>2350</v>
      </c>
      <c r="O37" s="120" t="str">
        <f>HYPERLINK("C:\Users\sskjh\antigravity\01_전문업무_및_엔지니어링\11_현장_프로젝트\01_동탄트램\08.메뉴얼 및 평면도\최종\02_메뉴얼 공종프로섹스(집행단계)\매뉴얼BODY(집행단계-첨부폴더)v8\6.건축\36_준공전 건축 인허가\체크리스트\준공전 건축 인허가_체크리스트.html","👉 [클릭] 체크리스트 열기 📄")</f>
        <v>👉 [클릭] 체크리스트 열기 📄</v>
      </c>
      <c r="P37" s="30"/>
      <c r="Q37" s="31" t="s">
        <v>2351</v>
      </c>
      <c r="R37" s="24" t="s">
        <v>1035</v>
      </c>
      <c r="S37" s="31"/>
    </row>
    <row r="38" spans="1:19" ht="134.4" customHeight="1" x14ac:dyDescent="0.4">
      <c r="A38" s="30" t="s">
        <v>519</v>
      </c>
      <c r="B38" s="30" t="s">
        <v>558</v>
      </c>
      <c r="C38" s="64" t="s">
        <v>492</v>
      </c>
      <c r="D38" s="30" t="s">
        <v>2352</v>
      </c>
      <c r="E38" s="64" t="s">
        <v>2353</v>
      </c>
      <c r="F38" s="30" t="s">
        <v>861</v>
      </c>
      <c r="G38" s="31" t="s">
        <v>2354</v>
      </c>
      <c r="H38" s="31" t="s">
        <v>2355</v>
      </c>
      <c r="I38" s="31" t="s">
        <v>2356</v>
      </c>
      <c r="J38" s="31" t="s">
        <v>2357</v>
      </c>
      <c r="K38" s="120"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38" s="31" t="s">
        <v>2358</v>
      </c>
      <c r="M38" s="120"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38" s="31" t="s">
        <v>2359</v>
      </c>
      <c r="O38" s="120"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38" s="30"/>
      <c r="Q38" s="31" t="s">
        <v>2360</v>
      </c>
      <c r="R38" s="24" t="s">
        <v>1035</v>
      </c>
      <c r="S38" s="31"/>
    </row>
    <row r="39" spans="1:19" ht="115.2" customHeight="1" x14ac:dyDescent="0.4">
      <c r="A39" s="30" t="s">
        <v>519</v>
      </c>
      <c r="B39" s="30" t="s">
        <v>558</v>
      </c>
      <c r="C39" s="64" t="s">
        <v>492</v>
      </c>
      <c r="D39" s="30" t="s">
        <v>2361</v>
      </c>
      <c r="E39" s="64" t="s">
        <v>2362</v>
      </c>
      <c r="F39" s="30" t="s">
        <v>861</v>
      </c>
      <c r="G39" s="31" t="s">
        <v>2363</v>
      </c>
      <c r="H39" s="31" t="s">
        <v>2364</v>
      </c>
      <c r="I39" s="31" t="s">
        <v>2365</v>
      </c>
      <c r="J39" s="31" t="s">
        <v>2366</v>
      </c>
      <c r="K39" s="120"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39" s="31" t="s">
        <v>2367</v>
      </c>
      <c r="M39" s="120"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39" s="31" t="s">
        <v>2368</v>
      </c>
      <c r="O39" s="120"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39" s="30"/>
      <c r="Q39" s="31" t="s">
        <v>2369</v>
      </c>
      <c r="R39" s="24" t="s">
        <v>1035</v>
      </c>
      <c r="S39" s="31"/>
    </row>
    <row r="40" spans="1:19" ht="115.2" customHeight="1" x14ac:dyDescent="0.4">
      <c r="A40" s="30" t="s">
        <v>519</v>
      </c>
      <c r="B40" s="30" t="s">
        <v>558</v>
      </c>
      <c r="C40" s="64" t="s">
        <v>492</v>
      </c>
      <c r="D40" s="30" t="s">
        <v>2370</v>
      </c>
      <c r="E40" s="64" t="s">
        <v>2371</v>
      </c>
      <c r="F40" s="30" t="s">
        <v>861</v>
      </c>
      <c r="G40" s="31" t="s">
        <v>2372</v>
      </c>
      <c r="H40" s="31" t="s">
        <v>2373</v>
      </c>
      <c r="I40" s="31" t="s">
        <v>2374</v>
      </c>
      <c r="J40" s="31" t="s">
        <v>2375</v>
      </c>
      <c r="K40" s="120" t="str">
        <f>HYPERLINK("C:\Users\sskjh\antigravity\01_전문업무_및_엔지니어링\11_현장_프로젝트\01_동탄트램\08.메뉴얼 및 평면도\최종\02_메뉴얼 공종프로섹스(집행단계)\매뉴얼BODY(집행단계-첨부폴더)v8\6.건축\39_저수조 설치현황 신고서 제출\표준서\저수조 설치현황 신고서 제출_표준서.html","👉 [클릭] 표준서 열기 📄")</f>
        <v>👉 [클릭] 표준서 열기 📄</v>
      </c>
      <c r="L40" s="31" t="s">
        <v>2376</v>
      </c>
      <c r="M40" s="120" t="str">
        <f>HYPERLINK("C:\Users\sskjh\antigravity\01_전문업무_및_엔지니어링\11_현장_프로젝트\01_동탄트램\08.메뉴얼 및 평면도\최종\02_메뉴얼 공종프로섹스(집행단계)\매뉴얼BODY(집행단계-첨부폴더)v8\6.건축\39_저수조 설치현황 신고서 제출\수행지침\저수조 설치현황 신고서 제출_수행지침.html","👉 [클릭] 수행지침 열기 📄")</f>
        <v>👉 [클릭] 수행지침 열기 📄</v>
      </c>
      <c r="N40" s="31" t="s">
        <v>2377</v>
      </c>
      <c r="O40" s="120" t="str">
        <f>HYPERLINK("C:\Users\sskjh\antigravity\01_전문업무_및_엔지니어링\11_현장_프로젝트\01_동탄트램\08.메뉴얼 및 평면도\최종\02_메뉴얼 공종프로섹스(집행단계)\매뉴얼BODY(집행단계-첨부폴더)v8\6.건축\39_저수조 설치현황 신고서 제출\체크리스트\저수조 설치현황 신고서 제출_체크리스트.html","👉 [클릭] 체크리스트 열기 📄")</f>
        <v>👉 [클릭] 체크리스트 열기 📄</v>
      </c>
      <c r="P40" s="30"/>
      <c r="Q40" s="31" t="s">
        <v>2378</v>
      </c>
      <c r="R40" s="24" t="s">
        <v>1035</v>
      </c>
      <c r="S40" s="31"/>
    </row>
    <row r="41" spans="1:19" ht="115.2" customHeight="1" x14ac:dyDescent="0.4">
      <c r="A41" s="30" t="s">
        <v>519</v>
      </c>
      <c r="B41" s="30" t="s">
        <v>558</v>
      </c>
      <c r="C41" s="64" t="s">
        <v>492</v>
      </c>
      <c r="D41" s="30" t="s">
        <v>2379</v>
      </c>
      <c r="E41" s="64" t="s">
        <v>2380</v>
      </c>
      <c r="F41" s="30" t="s">
        <v>861</v>
      </c>
      <c r="G41" s="31" t="s">
        <v>2381</v>
      </c>
      <c r="H41" s="31" t="s">
        <v>2382</v>
      </c>
      <c r="I41" s="31" t="s">
        <v>2383</v>
      </c>
      <c r="J41" s="31" t="s">
        <v>2384</v>
      </c>
      <c r="K41" s="120"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1" s="31" t="s">
        <v>2385</v>
      </c>
      <c r="M41" s="120"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1" s="31" t="s">
        <v>2386</v>
      </c>
      <c r="O41" s="120"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1" s="30"/>
      <c r="Q41" s="31" t="s">
        <v>2387</v>
      </c>
      <c r="R41" s="24" t="s">
        <v>1035</v>
      </c>
      <c r="S41" s="31"/>
    </row>
    <row r="42" spans="1:19" ht="115.2" customHeight="1" x14ac:dyDescent="0.4">
      <c r="A42" s="30" t="s">
        <v>519</v>
      </c>
      <c r="B42" s="30" t="s">
        <v>558</v>
      </c>
      <c r="C42" s="64" t="s">
        <v>492</v>
      </c>
      <c r="D42" s="30" t="s">
        <v>2388</v>
      </c>
      <c r="E42" s="64" t="s">
        <v>2389</v>
      </c>
      <c r="F42" s="30" t="s">
        <v>861</v>
      </c>
      <c r="G42" s="31" t="s">
        <v>2390</v>
      </c>
      <c r="H42" s="31" t="s">
        <v>2391</v>
      </c>
      <c r="I42" s="31" t="s">
        <v>2392</v>
      </c>
      <c r="J42" s="31" t="s">
        <v>2393</v>
      </c>
      <c r="K42" s="120" t="str">
        <f>HYPERLINK("C:\Users\sskjh\antigravity\01_전문업무_및_엔지니어링\11_현장_프로젝트\01_동탄트램\08.메뉴얼 및 평면도\최종\02_메뉴얼 공종프로섹스(집행단계)\매뉴얼BODY(집행단계-첨부폴더)v8\6.건축\41_전기사용전 검사\표준서\전기사용전 검사_표준서.html","👉 [클릭] 표준서 열기 📄")</f>
        <v>👉 [클릭] 표준서 열기 📄</v>
      </c>
      <c r="L42" s="31" t="s">
        <v>2394</v>
      </c>
      <c r="M42" s="120" t="str">
        <f>HYPERLINK("C:\Users\sskjh\antigravity\01_전문업무_및_엔지니어링\11_현장_프로젝트\01_동탄트램\08.메뉴얼 및 평면도\최종\02_메뉴얼 공종프로섹스(집행단계)\매뉴얼BODY(집행단계-첨부폴더)v8\6.건축\41_전기사용전 검사\수행지침\전기사용전 검사_수행지침.html","👉 [클릭] 수행지침 열기 📄")</f>
        <v>👉 [클릭] 수행지침 열기 📄</v>
      </c>
      <c r="N42" s="31" t="s">
        <v>2395</v>
      </c>
      <c r="O42" s="120" t="str">
        <f>HYPERLINK("C:\Users\sskjh\antigravity\01_전문업무_및_엔지니어링\11_현장_프로젝트\01_동탄트램\08.메뉴얼 및 평면도\최종\02_메뉴얼 공종프로섹스(집행단계)\매뉴얼BODY(집행단계-첨부폴더)v8\6.건축\41_전기사용전 검사\체크리스트\전기사용전 검사_체크리스트.html","👉 [클릭] 체크리스트 열기 📄")</f>
        <v>👉 [클릭] 체크리스트 열기 📄</v>
      </c>
      <c r="P42" s="30"/>
      <c r="Q42" s="31" t="s">
        <v>2396</v>
      </c>
      <c r="R42" s="24" t="s">
        <v>1035</v>
      </c>
      <c r="S42" s="31"/>
    </row>
    <row r="43" spans="1:19" ht="115.2" customHeight="1" x14ac:dyDescent="0.4">
      <c r="A43" s="30" t="s">
        <v>519</v>
      </c>
      <c r="B43" s="30" t="s">
        <v>558</v>
      </c>
      <c r="C43" s="64" t="s">
        <v>492</v>
      </c>
      <c r="D43" s="30" t="s">
        <v>2397</v>
      </c>
      <c r="E43" s="64" t="s">
        <v>2398</v>
      </c>
      <c r="F43" s="30" t="s">
        <v>861</v>
      </c>
      <c r="G43" s="31" t="s">
        <v>2399</v>
      </c>
      <c r="H43" s="31" t="s">
        <v>2400</v>
      </c>
      <c r="I43" s="31" t="s">
        <v>2401</v>
      </c>
      <c r="J43" s="31" t="s">
        <v>2402</v>
      </c>
      <c r="K43" s="120"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43" s="31" t="s">
        <v>2403</v>
      </c>
      <c r="M43" s="120"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43" s="31" t="s">
        <v>2404</v>
      </c>
      <c r="O43" s="120"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43" s="30"/>
      <c r="Q43" s="31" t="s">
        <v>2405</v>
      </c>
      <c r="R43" s="24" t="s">
        <v>1035</v>
      </c>
      <c r="S43" s="31"/>
    </row>
    <row r="44" spans="1:19" ht="115.2" customHeight="1" x14ac:dyDescent="0.4">
      <c r="A44" s="30" t="s">
        <v>519</v>
      </c>
      <c r="B44" s="30" t="s">
        <v>558</v>
      </c>
      <c r="C44" s="64" t="s">
        <v>492</v>
      </c>
      <c r="D44" s="30" t="s">
        <v>2406</v>
      </c>
      <c r="E44" s="64" t="s">
        <v>2407</v>
      </c>
      <c r="F44" s="30" t="s">
        <v>861</v>
      </c>
      <c r="G44" s="31" t="s">
        <v>2408</v>
      </c>
      <c r="H44" s="31" t="s">
        <v>2409</v>
      </c>
      <c r="I44" s="31" t="s">
        <v>2410</v>
      </c>
      <c r="J44" s="31" t="s">
        <v>2411</v>
      </c>
      <c r="K44" s="120" t="str">
        <f>HYPERLINK("C:\Users\sskjh\antigravity\01_전문업무_및_엔지니어링\11_현장_프로젝트\01_동탄트램\08.메뉴얼 및 평면도\최종\02_메뉴얼 공종프로섹스(집행단계)\매뉴얼BODY(집행단계-첨부폴더)v8\6.건축\43_배수설비 설치 신고서 제출\표준서\배수설비 설치 신고서 제출_표준서.html","👉 [클릭] 표준서 열기 📄")</f>
        <v>👉 [클릭] 표준서 열기 📄</v>
      </c>
      <c r="L44" s="31" t="s">
        <v>2412</v>
      </c>
      <c r="M44" s="120" t="str">
        <f>HYPERLINK("C:\Users\sskjh\antigravity\01_전문업무_및_엔지니어링\11_현장_프로젝트\01_동탄트램\08.메뉴얼 및 평면도\최종\02_메뉴얼 공종프로섹스(집행단계)\매뉴얼BODY(집행단계-첨부폴더)v8\6.건축\43_배수설비 설치 신고서 제출\수행지침\배수설비 설치 신고서 제출_수행지침.html","👉 [클릭] 수행지침 열기 📄")</f>
        <v>👉 [클릭] 수행지침 열기 📄</v>
      </c>
      <c r="N44" s="31" t="s">
        <v>2413</v>
      </c>
      <c r="O44" s="120" t="str">
        <f>HYPERLINK("C:\Users\sskjh\antigravity\01_전문업무_및_엔지니어링\11_현장_프로젝트\01_동탄트램\08.메뉴얼 및 평면도\최종\02_메뉴얼 공종프로섹스(집행단계)\매뉴얼BODY(집행단계-첨부폴더)v8\6.건축\43_배수설비 설치 신고서 제출\체크리스트\배수설비 설치 신고서 제출_체크리스트.html","👉 [클릭] 체크리스트 열기 📄")</f>
        <v>👉 [클릭] 체크리스트 열기 📄</v>
      </c>
      <c r="P44" s="30"/>
      <c r="Q44" s="31" t="s">
        <v>2414</v>
      </c>
      <c r="R44" s="24" t="s">
        <v>1035</v>
      </c>
      <c r="S44" s="31"/>
    </row>
    <row r="45" spans="1:19" ht="96" customHeight="1" x14ac:dyDescent="0.4">
      <c r="A45" s="30" t="s">
        <v>519</v>
      </c>
      <c r="B45" s="30" t="s">
        <v>558</v>
      </c>
      <c r="C45" s="64" t="s">
        <v>492</v>
      </c>
      <c r="D45" s="30" t="s">
        <v>2415</v>
      </c>
      <c r="E45" s="64" t="s">
        <v>2416</v>
      </c>
      <c r="F45" s="30" t="s">
        <v>861</v>
      </c>
      <c r="G45" s="31" t="s">
        <v>2417</v>
      </c>
      <c r="H45" s="31" t="s">
        <v>2418</v>
      </c>
      <c r="I45" s="31" t="s">
        <v>2419</v>
      </c>
      <c r="J45" s="31" t="s">
        <v>2420</v>
      </c>
      <c r="K45" s="120"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45" s="31" t="s">
        <v>2421</v>
      </c>
      <c r="M45" s="120"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45" s="31" t="s">
        <v>2422</v>
      </c>
      <c r="O45" s="120"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45" s="30"/>
      <c r="Q45" s="31" t="s">
        <v>2423</v>
      </c>
      <c r="R45" s="24" t="s">
        <v>1035</v>
      </c>
      <c r="S45" s="31"/>
    </row>
    <row r="46" spans="1:19" ht="115.2" customHeight="1" x14ac:dyDescent="0.4">
      <c r="A46" s="30" t="s">
        <v>519</v>
      </c>
      <c r="B46" s="30" t="s">
        <v>558</v>
      </c>
      <c r="C46" s="64" t="s">
        <v>492</v>
      </c>
      <c r="D46" s="30" t="s">
        <v>2424</v>
      </c>
      <c r="E46" s="64" t="s">
        <v>2425</v>
      </c>
      <c r="F46" s="30" t="s">
        <v>861</v>
      </c>
      <c r="G46" s="31" t="s">
        <v>2426</v>
      </c>
      <c r="H46" s="31" t="s">
        <v>2427</v>
      </c>
      <c r="I46" s="31" t="s">
        <v>2428</v>
      </c>
      <c r="J46" s="31" t="s">
        <v>2429</v>
      </c>
      <c r="K46" s="120"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6" s="31" t="s">
        <v>2430</v>
      </c>
      <c r="M46" s="120"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6" s="31" t="s">
        <v>2431</v>
      </c>
      <c r="O46" s="120"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6" s="30"/>
      <c r="Q46" s="31" t="s">
        <v>2432</v>
      </c>
      <c r="R46" s="24" t="s">
        <v>1035</v>
      </c>
      <c r="S46" s="31"/>
    </row>
    <row r="47" spans="1:19" ht="115.2" customHeight="1" x14ac:dyDescent="0.4">
      <c r="A47" s="30" t="s">
        <v>519</v>
      </c>
      <c r="B47" s="30" t="s">
        <v>558</v>
      </c>
      <c r="C47" s="64" t="s">
        <v>492</v>
      </c>
      <c r="D47" s="30" t="s">
        <v>2433</v>
      </c>
      <c r="E47" s="64" t="s">
        <v>2434</v>
      </c>
      <c r="F47" s="30" t="s">
        <v>861</v>
      </c>
      <c r="G47" s="31" t="s">
        <v>2435</v>
      </c>
      <c r="H47" s="31" t="s">
        <v>2436</v>
      </c>
      <c r="I47" s="31" t="s">
        <v>2437</v>
      </c>
      <c r="J47" s="31" t="s">
        <v>2438</v>
      </c>
      <c r="K47" s="120" t="str">
        <f>HYPERLINK("C:\Users\sskjh\antigravity\01_전문업무_및_엔지니어링\11_현장_프로젝트\01_동탄트램\08.메뉴얼 및 평면도\최종\02_메뉴얼 공종프로섹스(집행단계)\매뉴얼BODY(집행단계-첨부폴더)v8\6.건축\46_급수공사 신청서 제출\표준서\급수공사 신청서 제출_표준서.html","👉 [클릭] 표준서 열기 📄")</f>
        <v>👉 [클릭] 표준서 열기 📄</v>
      </c>
      <c r="L47" s="31" t="s">
        <v>2439</v>
      </c>
      <c r="M47" s="120" t="str">
        <f>HYPERLINK("C:\Users\sskjh\antigravity\01_전문업무_및_엔지니어링\11_현장_프로젝트\01_동탄트램\08.메뉴얼 및 평면도\최종\02_메뉴얼 공종프로섹스(집행단계)\매뉴얼BODY(집행단계-첨부폴더)v8\6.건축\46_급수공사 신청서 제출\수행지침\급수공사 신청서 제출_수행지침.html","👉 [클릭] 수행지침 열기 📄")</f>
        <v>👉 [클릭] 수행지침 열기 📄</v>
      </c>
      <c r="N47" s="31" t="s">
        <v>2440</v>
      </c>
      <c r="O47" s="120" t="str">
        <f>HYPERLINK("C:\Users\sskjh\antigravity\01_전문업무_및_엔지니어링\11_현장_프로젝트\01_동탄트램\08.메뉴얼 및 평면도\최종\02_메뉴얼 공종프로섹스(집행단계)\매뉴얼BODY(집행단계-첨부폴더)v8\6.건축\46_급수공사 신청서 제출\체크리스트\급수공사 신청서 제출_체크리스트.html","👉 [클릭] 체크리스트 열기 📄")</f>
        <v>👉 [클릭] 체크리스트 열기 📄</v>
      </c>
      <c r="P47" s="30"/>
      <c r="Q47" s="31" t="s">
        <v>2441</v>
      </c>
      <c r="R47" s="24" t="s">
        <v>1035</v>
      </c>
      <c r="S47" s="31"/>
    </row>
    <row r="48" spans="1:19" ht="115.2" customHeight="1" x14ac:dyDescent="0.4">
      <c r="A48" s="30" t="s">
        <v>519</v>
      </c>
      <c r="B48" s="30" t="s">
        <v>558</v>
      </c>
      <c r="C48" s="64" t="s">
        <v>492</v>
      </c>
      <c r="D48" s="30" t="s">
        <v>2442</v>
      </c>
      <c r="E48" s="64" t="s">
        <v>2443</v>
      </c>
      <c r="F48" s="30" t="s">
        <v>2444</v>
      </c>
      <c r="G48" s="31" t="s">
        <v>2445</v>
      </c>
      <c r="H48" s="31" t="s">
        <v>2446</v>
      </c>
      <c r="I48" s="31" t="s">
        <v>2447</v>
      </c>
      <c r="J48" s="31" t="s">
        <v>2448</v>
      </c>
      <c r="K48" s="120" t="str">
        <f>HYPERLINK("C:\Users\sskjh\antigravity\01_전문업무_및_엔지니어링\11_현장_프로젝트\01_동탄트램\08.메뉴얼 및 평면도\최종\02_메뉴얼 공종프로섹스(집행단계)\매뉴얼BODY(집행단계-첨부폴더)v8\6.건축\47_업무대행 건축사 사용승인 검사\표준서\업무대행 건축사 사용승인 검사_표준서.html","👉 [클릭] 표준서 열기 📄")</f>
        <v>👉 [클릭] 표준서 열기 📄</v>
      </c>
      <c r="L48" s="31" t="s">
        <v>2449</v>
      </c>
      <c r="M48" s="120" t="str">
        <f>HYPERLINK("C:\Users\sskjh\antigravity\01_전문업무_및_엔지니어링\11_현장_프로젝트\01_동탄트램\08.메뉴얼 및 평면도\최종\02_메뉴얼 공종프로섹스(집행단계)\매뉴얼BODY(집행단계-첨부폴더)v8\6.건축\47_업무대행 건축사 사용승인 검사\수행지침\업무대행 건축사 사용승인 검사_수행지침.html","👉 [클릭] 수행지침 열기 📄")</f>
        <v>👉 [클릭] 수행지침 열기 📄</v>
      </c>
      <c r="N48" s="31" t="s">
        <v>2450</v>
      </c>
      <c r="O48" s="120" t="str">
        <f>HYPERLINK("C:\Users\sskjh\antigravity\01_전문업무_및_엔지니어링\11_현장_프로젝트\01_동탄트램\08.메뉴얼 및 평면도\최종\02_메뉴얼 공종프로섹스(집행단계)\매뉴얼BODY(집행단계-첨부폴더)v8\6.건축\47_업무대행 건축사 사용승인 검사\체크리스트\업무대행 건축사 사용승인 검사_체크리스트.html","👉 [클릭] 체크리스트 열기 📄")</f>
        <v>👉 [클릭] 체크리스트 열기 📄</v>
      </c>
      <c r="P48" s="30"/>
      <c r="Q48" s="31" t="s">
        <v>2451</v>
      </c>
      <c r="R48" s="24" t="s">
        <v>1035</v>
      </c>
      <c r="S48" s="31"/>
    </row>
    <row r="49" spans="1:19" ht="115.2" customHeight="1" x14ac:dyDescent="0.4">
      <c r="A49" s="30" t="s">
        <v>519</v>
      </c>
      <c r="B49" s="30" t="s">
        <v>558</v>
      </c>
      <c r="C49" s="64" t="s">
        <v>492</v>
      </c>
      <c r="D49" s="30" t="s">
        <v>2452</v>
      </c>
      <c r="E49" s="64" t="s">
        <v>2453</v>
      </c>
      <c r="F49" s="30" t="s">
        <v>861</v>
      </c>
      <c r="G49" s="31" t="s">
        <v>2453</v>
      </c>
      <c r="H49" s="31" t="s">
        <v>2454</v>
      </c>
      <c r="I49" s="31" t="s">
        <v>2447</v>
      </c>
      <c r="J49" s="31" t="s">
        <v>2455</v>
      </c>
      <c r="K49" s="120" t="str">
        <f>HYPERLINK("C:\Users\sskjh\antigravity\01_전문업무_및_엔지니어링\11_현장_프로젝트\01_동탄트램\08.메뉴얼 및 평면도\최종\02_메뉴얼 공종프로섹스(집행단계)\매뉴얼BODY(집행단계-첨부폴더)v8\6.건축\48_건축물 사용승인 신청\표준서\건축물 사용승인 신청_표준서.html","👉 [클릭] 표준서 열기 📄")</f>
        <v>👉 [클릭] 표준서 열기 📄</v>
      </c>
      <c r="L49" s="31" t="s">
        <v>2456</v>
      </c>
      <c r="M49" s="120" t="str">
        <f>HYPERLINK("C:\Users\sskjh\antigravity\01_전문업무_및_엔지니어링\11_현장_프로젝트\01_동탄트램\08.메뉴얼 및 평면도\최종\02_메뉴얼 공종프로섹스(집행단계)\매뉴얼BODY(집행단계-첨부폴더)v8\6.건축\48_건축물 사용승인 신청\수행지침\건축물 사용승인 신청_수행지침.html","👉 [클릭] 수행지침 열기 📄")</f>
        <v>👉 [클릭] 수행지침 열기 📄</v>
      </c>
      <c r="N49" s="31" t="s">
        <v>2457</v>
      </c>
      <c r="O49" s="120" t="str">
        <f>HYPERLINK("C:\Users\sskjh\antigravity\01_전문업무_및_엔지니어링\11_현장_프로젝트\01_동탄트램\08.메뉴얼 및 평면도\최종\02_메뉴얼 공종프로섹스(집행단계)\매뉴얼BODY(집행단계-첨부폴더)v8\6.건축\48_건축물 사용승인 신청\체크리스트\건축물 사용승인 신청_체크리스트.html","👉 [클릭] 체크리스트 열기 📄")</f>
        <v>👉 [클릭] 체크리스트 열기 📄</v>
      </c>
      <c r="P49" s="30"/>
      <c r="Q49" s="31" t="s">
        <v>2458</v>
      </c>
      <c r="R49" s="24" t="s">
        <v>1035</v>
      </c>
      <c r="S49" s="31"/>
    </row>
    <row r="50" spans="1:19" ht="115.2" customHeight="1" x14ac:dyDescent="0.4">
      <c r="A50" s="30" t="s">
        <v>519</v>
      </c>
      <c r="B50" s="30" t="s">
        <v>558</v>
      </c>
      <c r="C50" s="64" t="s">
        <v>492</v>
      </c>
      <c r="D50" s="30" t="s">
        <v>2459</v>
      </c>
      <c r="E50" s="64" t="s">
        <v>2460</v>
      </c>
      <c r="F50" s="30" t="s">
        <v>2461</v>
      </c>
      <c r="G50" s="31" t="s">
        <v>2460</v>
      </c>
      <c r="H50" s="31" t="s">
        <v>2462</v>
      </c>
      <c r="I50" s="31" t="s">
        <v>2463</v>
      </c>
      <c r="J50" s="31" t="s">
        <v>2464</v>
      </c>
      <c r="K50" s="120" t="str">
        <f>HYPERLINK("C:\Users\sskjh\antigravity\01_전문업무_및_엔지니어링\11_현장_프로젝트\01_동탄트램\08.메뉴얼 및 평면도\최종\02_메뉴얼 공종프로섹스(집행단계)\매뉴얼BODY(집행단계-첨부폴더)v8\6.건축\49_건축물대장 등재\표준서\건축물대장 등재_표준서.html","👉 [클릭] 표준서 열기 📄")</f>
        <v>👉 [클릭] 표준서 열기 📄</v>
      </c>
      <c r="L50" s="31" t="s">
        <v>2465</v>
      </c>
      <c r="M50" s="120" t="str">
        <f>HYPERLINK("C:\Users\sskjh\antigravity\01_전문업무_및_엔지니어링\11_현장_프로젝트\01_동탄트램\08.메뉴얼 및 평면도\최종\02_메뉴얼 공종프로섹스(집행단계)\매뉴얼BODY(집행단계-첨부폴더)v8\6.건축\49_건축물대장 등재\수행지침\건축물대장 등재_수행지침.html","👉 [클릭] 수행지침 열기 📄")</f>
        <v>👉 [클릭] 수행지침 열기 📄</v>
      </c>
      <c r="N50" s="31" t="s">
        <v>2466</v>
      </c>
      <c r="O50" s="120" t="str">
        <f>HYPERLINK("C:\Users\sskjh\antigravity\01_전문업무_및_엔지니어링\11_현장_프로젝트\01_동탄트램\08.메뉴얼 및 평면도\최종\02_메뉴얼 공종프로섹스(집행단계)\매뉴얼BODY(집행단계-첨부폴더)v8\6.건축\49_건축물대장 등재\체크리스트\건축물대장 등재_체크리스트.html","👉 [클릭] 체크리스트 열기 📄")</f>
        <v>👉 [클릭] 체크리스트 열기 📄</v>
      </c>
      <c r="P50" s="30"/>
      <c r="Q50" s="31" t="s">
        <v>2467</v>
      </c>
      <c r="R50" s="24" t="s">
        <v>1035</v>
      </c>
      <c r="S50" s="31"/>
    </row>
    <row r="51" spans="1:19" ht="134.4" customHeight="1" x14ac:dyDescent="0.4">
      <c r="A51" s="30" t="s">
        <v>519</v>
      </c>
      <c r="B51" s="30" t="s">
        <v>558</v>
      </c>
      <c r="C51" s="64" t="s">
        <v>492</v>
      </c>
      <c r="D51" s="30" t="s">
        <v>2468</v>
      </c>
      <c r="E51" s="64" t="s">
        <v>2469</v>
      </c>
      <c r="F51" s="30" t="s">
        <v>861</v>
      </c>
      <c r="G51" s="31" t="s">
        <v>2470</v>
      </c>
      <c r="H51" s="31" t="s">
        <v>2471</v>
      </c>
      <c r="I51" s="31" t="s">
        <v>2472</v>
      </c>
      <c r="J51" s="31" t="s">
        <v>2473</v>
      </c>
      <c r="K51" s="120" t="str">
        <f>HYPERLINK("C:\Users\sskjh\antigravity\01_전문업무_및_엔지니어링\11_현장_프로젝트\01_동탄트램\08.메뉴얼 및 평면도\최종\02_메뉴얼 공종프로섹스(집행단계)\매뉴얼BODY(집행단계-첨부폴더)v8\6.건축\50_후속 구조물 인계\표준서\후속 구조물 인계_표준서.html","👉 [클릭] 표준서 열기 📄")</f>
        <v>👉 [클릭] 표준서 열기 📄</v>
      </c>
      <c r="L51" s="31" t="s">
        <v>2474</v>
      </c>
      <c r="M51" s="120" t="str">
        <f>HYPERLINK("C:\Users\sskjh\antigravity\01_전문업무_및_엔지니어링\11_현장_프로젝트\01_동탄트램\08.메뉴얼 및 평면도\최종\02_메뉴얼 공종프로섹스(집행단계)\매뉴얼BODY(집행단계-첨부폴더)v8\6.건축\50_후속 구조물 인계\수행지침\후속 구조물 인계_수행지침.html","👉 [클릭] 수행지침 열기 📄")</f>
        <v>👉 [클릭] 수행지침 열기 📄</v>
      </c>
      <c r="N51" s="31" t="s">
        <v>2475</v>
      </c>
      <c r="O51" s="120" t="str">
        <f>HYPERLINK("C:\Users\sskjh\antigravity\01_전문업무_및_엔지니어링\11_현장_프로젝트\01_동탄트램\08.메뉴얼 및 평면도\최종\02_메뉴얼 공종프로섹스(집행단계)\매뉴얼BODY(집행단계-첨부폴더)v8\6.건축\50_후속 구조물 인계\체크리스트\후속 구조물 인계_체크리스트.html","👉 [클릭] 체크리스트 열기 📄")</f>
        <v>👉 [클릭] 체크리스트 열기 📄</v>
      </c>
      <c r="P51" s="30"/>
      <c r="Q51" s="31" t="s">
        <v>2476</v>
      </c>
      <c r="R51" s="24" t="s">
        <v>1035</v>
      </c>
      <c r="S51" s="31"/>
    </row>
  </sheetData>
  <phoneticPr fontId="3" type="noConversion"/>
  <hyperlinks>
    <hyperlink ref="K2" r:id="rId1" display="매뉴얼BODY(집행단계-첨부폴더)v8\6.건축\1_설계 적정성 검토\표준서\설계 적정성 검토_표준서.html" xr:uid="{602DCE7C-81C9-4B6E-AFC3-F37DA8F1E841}"/>
    <hyperlink ref="M2" r:id="rId2" display="매뉴얼BODY(집행단계-첨부폴더)v8\6.건축\1_설계 적정성 검토\수행지침\설계 적정성 검토_수행지침.html" xr:uid="{5D4C6052-DC9F-4AD6-AC9D-55108DBC683E}"/>
    <hyperlink ref="O2" r:id="rId3" display="매뉴얼BODY(집행단계-첨부폴더)v8\6.건축\1_설계 적정성 검토\체크리스트\설계 적정성 검토_체크리스트.html" xr:uid="{B4CCCC69-BEC5-4765-AB4A-E6FC0075C001}"/>
    <hyperlink ref="K3" r:id="rId4" display="매뉴얼BODY(집행단계-첨부폴더)v8\6.건축\2_발주전략 KOM\표준서\발주전략 KOM_표준서.html" xr:uid="{08649C79-3243-4EB7-AE92-63A1C81B3F01}"/>
    <hyperlink ref="M3" r:id="rId5" display="매뉴얼BODY(집행단계-첨부폴더)v8\6.건축\2_발주전략 KOM\수행지침\발주전략 KOM_수행지침.html" xr:uid="{9031AFAC-D3F0-4A1E-939D-8DE9DB2CA121}"/>
    <hyperlink ref="O3" r:id="rId6" display="매뉴얼BODY(집행단계-첨부폴더)v8\6.건축\2_발주전략 KOM\체크리스트\발주전략 KOM_체크리스트.html" xr:uid="{77194FC6-E371-4971-BFB4-1D2E541B6445}"/>
    <hyperlink ref="K4" r:id="rId7" display="매뉴얼BODY(집행단계-첨부폴더)v8\6.건축\3_착공전 건축 인허가\표준서\착공전 건축 인허가_표준서.html" xr:uid="{33C4FC49-C2C6-4A80-9513-6FE76A6BF28F}"/>
    <hyperlink ref="M4" r:id="rId8" display="매뉴얼BODY(집행단계-첨부폴더)v8\6.건축\3_착공전 건축 인허가\수행지침\착공전 건축 인허가_수행지침.html" xr:uid="{84EBA225-2649-47F5-AF80-A3ABB062C567}"/>
    <hyperlink ref="O4" r:id="rId9" display="매뉴얼BODY(집행단계-첨부폴더)v8\6.건축\3_착공전 건축 인허가\체크리스트\착공전 건축 인허가_체크리스트.html" xr:uid="{2FD20895-D377-40FA-9B1E-5FBFD4ABCAEB}"/>
    <hyperlink ref="K5" r:id="rId10" display="매뉴얼BODY(집행단계-첨부폴더)v8\6.건축\4_건축허가 요청\표준서\건축허가 요청_표준서.html" xr:uid="{D87912FB-5599-4221-86A8-7432428CE29E}"/>
    <hyperlink ref="M5" r:id="rId11" display="매뉴얼BODY(집행단계-첨부폴더)v8\6.건축\4_건축허가 요청\수행지침\건축허가 요청_수행지침.html" xr:uid="{4D1DB36B-0AB7-40F8-9167-5693638C313C}"/>
    <hyperlink ref="O5" r:id="rId12" display="매뉴얼BODY(집행단계-첨부폴더)v8\6.건축\4_건축허가 요청\체크리스트\건축허가 요청_체크리스트.html" xr:uid="{9191DAF1-FEBE-4393-ABE7-63122162BF96}"/>
    <hyperlink ref="K6" r:id="rId13" display="매뉴얼BODY(집행단계-첨부폴더)v8\6.건축\5_착공신고서 제출\표준서\착공신고서 제출_표준서.html" xr:uid="{E7D44087-E9C8-4DF1-92A3-BA79AAC2B907}"/>
    <hyperlink ref="M6" r:id="rId14" display="매뉴얼BODY(집행단계-첨부폴더)v8\6.건축\5_착공신고서 제출\수행지침\착공신고서 제출_수행지침.html" xr:uid="{43DF873F-0961-4F58-AC40-D7D751F44EFE}"/>
    <hyperlink ref="O6" r:id="rId15" display="매뉴얼BODY(집행단계-첨부폴더)v8\6.건축\5_착공신고서 제출\체크리스트\착공신고서 제출_체크리스트.html" xr:uid="{4C2611A5-C5EA-43F9-8CAF-40C15B77CB73}"/>
    <hyperlink ref="K7" r:id="rId16" display="매뉴얼BODY(집행단계-첨부폴더)v8\6.건축\6_소방시설공사 착공 신고서 제출\표준서\소방시설공사 착공 신고서 제출_표준서.html" xr:uid="{A91F2F6E-E6A2-4829-BF01-3CCECB05C965}"/>
    <hyperlink ref="M7" r:id="rId17" display="매뉴얼BODY(집행단계-첨부폴더)v8\6.건축\6_소방시설공사 착공 신고서 제출\수행지침\소방시설공사 착공 신고서 제출_수행지침.html" xr:uid="{D52B0CE1-333D-4D9C-884C-21F31A8E1781}"/>
    <hyperlink ref="O7" r:id="rId18" display="매뉴얼BODY(집행단계-첨부폴더)v8\6.건축\6_소방시설공사 착공 신고서 제출\체크리스트\소방시설공사 착공 신고서 제출_체크리스트.html" xr:uid="{6A8CFBF3-B42C-4C5F-8A1D-468D99F5B409}"/>
    <hyperlink ref="K8" r:id="rId19" display="매뉴얼BODY(집행단계-첨부폴더)v8\6.건축\7_정보통신공사 착공전 설계도 확인 (신청서 제출 및 결과 접수)\표준서\정보통신공사 착공전 설계도 확인 (신청서 제출 및 결과 접수)_표준서.html" xr:uid="{13C4C910-CD63-4510-95E0-9BDB1754A2D5}"/>
    <hyperlink ref="M8" r:id="rId20" display="매뉴얼BODY(집행단계-첨부폴더)v8\6.건축\7_정보통신공사 착공전 설계도 확인 (신청서 제출 및 결과 접수)\수행지침\정보통신공사 착공전 설계도 확인 (신청서 제출 및 결과 접수)_수행지침.html" xr:uid="{F80B451E-89E1-43B6-84EA-0AA15F542F2F}"/>
    <hyperlink ref="O8" r:id="rId21" display="매뉴얼BODY(집행단계-첨부폴더)v8\6.건축\7_정보통신공사 착공전 설계도 확인 (신청서 제출 및 결과 접수)\체크리스트\정보통신공사 착공전 설계도 확인 (신청서 제출 및 결과 접수)_체크리스트.html" xr:uid="{42850B53-0BA0-4525-B190-2F44E96AE7C5}"/>
    <hyperlink ref="K9" r:id="rId22" display="매뉴얼BODY(집행단계-첨부폴더)v8\6.건축\8_선행공종 인수사항 확인\표준서\선행공종 인수사항 확인_표준서.html" xr:uid="{07C7C64D-C8E0-482C-B46C-4D63509515A8}"/>
    <hyperlink ref="M9" r:id="rId23" display="매뉴얼BODY(집행단계-첨부폴더)v8\6.건축\8_선행공종 인수사항 확인\수행지침\선행공종 인수사항 확인_수행지침.html" xr:uid="{D447F06B-87A0-4636-B05D-E134DFB4BFC9}"/>
    <hyperlink ref="O9" r:id="rId24" display="매뉴얼BODY(집행단계-첨부폴더)v8\6.건축\8_선행공종 인수사항 확인\체크리스트\선행공종 인수사항 확인_체크리스트.html" xr:uid="{79B06990-3036-45D7-8985-91431849DE59}"/>
    <hyperlink ref="K10" r:id="rId25" display="매뉴얼BODY(집행단계-첨부폴더)v8\6.건축\9_인터페이스 사항 검토 및 지원\표준서\인터페이스 사항 검토 및 지원_표준서.html" xr:uid="{93BF0189-7B3B-40A3-8260-D2F9FF7D5C58}"/>
    <hyperlink ref="M10" r:id="rId26" display="매뉴얼BODY(집행단계-첨부폴더)v8\6.건축\9_인터페이스 사항 검토 및 지원\수행지침\인터페이스 사항 검토 및 지원_수행지침.html" xr:uid="{35FF6395-F8C6-47C4-91C0-3F41635B94C8}"/>
    <hyperlink ref="O10" r:id="rId27" display="매뉴얼BODY(집행단계-첨부폴더)v8\6.건축\9_인터페이스 사항 검토 및 지원\체크리스트\인터페이스 사항 검토 및 지원_체크리스트.html" xr:uid="{1A8B2DC8-AE51-4BBD-B9CB-A442763C1F9F}"/>
    <hyperlink ref="K11" r:id="rId28" display="매뉴얼BODY(집행단계-첨부폴더)v8\6.건축\10_품질_안전 LL 공유\표준서\품질_안전 LL 공유_표준서.html" xr:uid="{B4F8CBC7-B77C-4C75-81D8-45EC57507F9D}"/>
    <hyperlink ref="M11" r:id="rId29" display="매뉴얼BODY(집행단계-첨부폴더)v8\6.건축\10_품질_안전 LL 공유\수행지침\품질_안전 LL 공유_수행지침.html" xr:uid="{7F389AB2-94F1-4E1C-A252-F0376118701D}"/>
    <hyperlink ref="O11" r:id="rId30" display="매뉴얼BODY(집행단계-첨부폴더)v8\6.건축\10_품질_안전 LL 공유\체크리스트\품질_안전 LL 공유_체크리스트.html" xr:uid="{09D6C981-B8C0-4971-A27F-38CE766D861D}"/>
    <hyperlink ref="K12" r:id="rId31" display="매뉴얼BODY(집행단계-첨부폴더)v8\6.건축\11_자재공급원승인 및 자재발주\표준서\자재공급원승인 및 자재발주_표준서.html" xr:uid="{3C9D6B19-6FFE-48F6-ABC6-928E63AD2DC4}"/>
    <hyperlink ref="M12" r:id="rId32" display="매뉴얼BODY(집행단계-첨부폴더)v8\6.건축\11_자재공급원승인 및 자재발주\수행지침\자재공급원승인 및 자재발주_수행지침.html" xr:uid="{9CB9663D-2D62-4948-8FE8-C0594DBE68C0}"/>
    <hyperlink ref="O12" r:id="rId33" display="매뉴얼BODY(집행단계-첨부폴더)v8\6.건축\11_자재공급원승인 및 자재발주\체크리스트\자재공급원승인 및 자재발주_체크리스트.html" xr:uid="{3060A42F-2F22-421D-8D41-C2A3A742F460}"/>
    <hyperlink ref="K13" r:id="rId34" display="매뉴얼BODY(집행단계-첨부폴더)v8\6.건축\12_착수전 Big Room 회의\표준서\착수전 Big Room 회의_표준서.html" xr:uid="{2416510C-F0AE-4A72-8EC9-87FBE5DE7C2E}"/>
    <hyperlink ref="M13" r:id="rId35" display="매뉴얼BODY(집행단계-첨부폴더)v8\6.건축\12_착수전 Big Room 회의\수행지침\착수전 Big Room 회의_수행지침.html" xr:uid="{694753B4-D0BF-4FF4-89DC-EFAF59699C24}"/>
    <hyperlink ref="O13" r:id="rId36" display="매뉴얼BODY(집행단계-첨부폴더)v8\6.건축\12_착수전 Big Room 회의\체크리스트\착수전 Big Room 회의_체크리스트.html" xr:uid="{D53185B4-374E-4664-BC24-72E2D433F3CA}"/>
    <hyperlink ref="K14" r:id="rId37" display="매뉴얼BODY(집행단계-첨부폴더)v8\6.건축\13_시공계획 수립_승인\표준서\시공계획 수립_승인_표준서.html" xr:uid="{D9DA639B-732C-45DE-92E0-B6FA5BF03490}"/>
    <hyperlink ref="M14" r:id="rId38" display="매뉴얼BODY(집행단계-첨부폴더)v8\6.건축\13_시공계획 수립_승인\수행지침\시공계획 수립_승인_수행지침.html" xr:uid="{98A751B0-198D-403A-8F48-72BFF3FAF243}"/>
    <hyperlink ref="O14" r:id="rId39" display="매뉴얼BODY(집행단계-첨부폴더)v8\6.건축\13_시공계획 수립_승인\체크리스트\시공계획 수립_승인_체크리스트.html" xr:uid="{0A35B278-D51B-4C38-BA4B-9F367789D211}"/>
    <hyperlink ref="K15" r:id="rId40" display="매뉴얼BODY(집행단계-첨부폴더)v8\6.건축\14_측량, 자재_장비 반입, 안전교육\표준서\측량, 자재_장비 반입, 안전교육_표준서.html" xr:uid="{B24FF60F-694A-46A6-A23F-D0213F217D71}"/>
    <hyperlink ref="M15" r:id="rId41" display="매뉴얼BODY(집행단계-첨부폴더)v8\6.건축\14_측량, 자재_장비 반입, 안전교육\수행지침\측량, 자재_장비 반입, 안전교육_수행지침.html" xr:uid="{C6BB894A-5929-4CEF-91A5-04F16749A259}"/>
    <hyperlink ref="O15" r:id="rId42" display="매뉴얼BODY(집행단계-첨부폴더)v8\6.건축\14_측량, 자재_장비 반입, 안전교육\체크리스트\측량, 자재_장비 반입, 안전교육_체크리스트.html" xr:uid="{6C7AB180-C7CD-4D3C-9D8A-CFE637C32862}"/>
    <hyperlink ref="K16" r:id="rId43" display="매뉴얼BODY(집행단계-첨부폴더)v8\6.건축\15_자재 검수\표준서\자재 검수_표준서.html" xr:uid="{FCE687E2-5F05-4D40-AA19-A8A4CA18A5A9}"/>
    <hyperlink ref="M16" r:id="rId44" display="매뉴얼BODY(집행단계-첨부폴더)v8\6.건축\15_자재 검수\수행지침\자재 검수_수행지침.html" xr:uid="{08285DD4-D1D2-4D1F-B66D-ED73790262C2}"/>
    <hyperlink ref="O16" r:id="rId45" display="매뉴얼BODY(집행단계-첨부폴더)v8\6.건축\15_자재 검수\체크리스트\자재 검수_체크리스트.html" xr:uid="{BF82C468-7173-4EC8-8D22-A0805759C1DC}"/>
    <hyperlink ref="K17" r:id="rId46" display="매뉴얼BODY(집행단계-첨부폴더)v8\6.건축\16_터파기_지반 정리\표준서\터파기_지반 정리_표준서.html" xr:uid="{85888C30-3516-4667-836D-1FED52428FB9}"/>
    <hyperlink ref="M17" r:id="rId47" display="매뉴얼BODY(집행단계-첨부폴더)v8\6.건축\16_터파기_지반 정리\수행지침\터파기_지반 정리_수행지침.html" xr:uid="{F68F4BF3-741F-4E60-A038-38F24CC5D736}"/>
    <hyperlink ref="O17" r:id="rId48" display="매뉴얼BODY(집행단계-첨부폴더)v8\6.건축\16_터파기_지반 정리\체크리스트\터파기_지반 정리_체크리스트.html" xr:uid="{BA46A600-2015-45F1-AFDC-EA871180DC72}"/>
    <hyperlink ref="K18" r:id="rId49" display="매뉴얼BODY(집행단계-첨부폴더)v8\6.건축\17_바닥(버림) 콘크리트 타설\표준서\바닥(버림) 콘크리트 타설_표준서.html" xr:uid="{9853277C-ABEE-4404-B5A4-B631B415A3DD}"/>
    <hyperlink ref="M18" r:id="rId50" display="매뉴얼BODY(집행단계-첨부폴더)v8\6.건축\17_바닥(버림) 콘크리트 타설\수행지침\바닥(버림) 콘크리트 타설_수행지침.html" xr:uid="{67F69387-B442-49A3-949A-E558E216F2B3}"/>
    <hyperlink ref="O18" r:id="rId51" display="매뉴얼BODY(집행단계-첨부폴더)v8\6.건축\17_바닥(버림) 콘크리트 타설\체크리스트\바닥(버림) 콘크리트 타설_체크리스트.html" xr:uid="{5A46FE78-4962-49DB-BF53-A36183092959}"/>
    <hyperlink ref="K19" r:id="rId52" display="매뉴얼BODY(집행단계-첨부폴더)v8\6.건축\18_인터페이스 회의(매주)\표준서\인터페이스 회의(매주)_표준서.html" xr:uid="{DF6A9CB2-CFC6-4957-A084-C4EB2FADD055}"/>
    <hyperlink ref="M19" r:id="rId53" display="매뉴얼BODY(집행단계-첨부폴더)v8\6.건축\18_인터페이스 회의(매주)\수행지침\인터페이스 회의(매주)_수행지침.html" xr:uid="{1B352D86-AD17-4B87-8AA8-B43609C7DCE2}"/>
    <hyperlink ref="O19" r:id="rId54" display="매뉴얼BODY(집행단계-첨부폴더)v8\6.건축\18_인터페이스 회의(매주)\체크리스트\인터페이스 회의(매주)_체크리스트.html" xr:uid="{8ECF179C-090B-48CA-8EE2-3648A8B479D6}"/>
    <hyperlink ref="K20" r:id="rId55" display="매뉴얼BODY(집행단계-첨부폴더)v8\6.건축\19_인터페이스 각 공종별 Issue (기계, 전기, 통신분야)\표준서\인터페이스 각 공종별 Issue (기계, 전기, 통신분야)_표준서.html" xr:uid="{4941CFE3-DDBF-4B0F-8C8F-F2C0FF029A10}"/>
    <hyperlink ref="M20" r:id="rId56" display="매뉴얼BODY(집행단계-첨부폴더)v8\6.건축\19_인터페이스 각 공종별 Issue (기계, 전기, 통신분야)\수행지침\인터페이스 각 공종별 Issue (기계, 전기, 통신분야)_수행지침.html" xr:uid="{AA45E6A2-5909-45E7-BBA9-0047EBDE7B18}"/>
    <hyperlink ref="O20" r:id="rId57" display="매뉴얼BODY(집행단계-첨부폴더)v8\6.건축\19_인터페이스 각 공종별 Issue (기계, 전기, 통신분야)\체크리스트\인터페이스 각 공종별 Issue (기계, 전기, 통신분야)_체크리스트.html" xr:uid="{FB4B8043-AABF-4DDD-8D56-43E6F5367831}"/>
    <hyperlink ref="K21" r:id="rId58" display="매뉴얼BODY(집행단계-첨부폴더)v8\6.건축\20_인터페이스 각 공종별 Issue (토목분야)\표준서\인터페이스 각 공종별 Issue (토목분야)_표준서.html" xr:uid="{8F45CE8C-D253-43E6-8AF9-BFC446189C8F}"/>
    <hyperlink ref="M21" r:id="rId59" display="매뉴얼BODY(집행단계-첨부폴더)v8\6.건축\20_인터페이스 각 공종별 Issue (토목분야)\수행지침\인터페이스 각 공종별 Issue (토목분야)_수행지침.html" xr:uid="{5AAD86DF-BEBB-471F-B0D2-4CE8397D042D}"/>
    <hyperlink ref="O21" r:id="rId60" display="매뉴얼BODY(집행단계-첨부폴더)v8\6.건축\20_인터페이스 각 공종별 Issue (토목분야)\체크리스트\인터페이스 각 공종별 Issue (토목분야)_체크리스트.html" xr:uid="{3C4B46CC-AB6B-4DB0-AF09-CA7A34D9DFCB}"/>
    <hyperlink ref="K22" r:id="rId61" display="매뉴얼BODY(집행단계-첨부폴더)v8\6.건축\21_기초~상부슬라브 구조물 시공\표준서\기초~상부슬라브 구조물 시공_표준서.html" xr:uid="{FFFC7771-C9A9-4888-9035-0666FB870ADF}"/>
    <hyperlink ref="M22" r:id="rId62" display="매뉴얼BODY(집행단계-첨부폴더)v8\6.건축\21_기초~상부슬라브 구조물 시공\수행지침\기초~상부슬라브 구조물 시공_수행지침.html" xr:uid="{E516FF39-4C24-4C7C-B8C7-94DA2795C4F2}"/>
    <hyperlink ref="O22" r:id="rId63" display="매뉴얼BODY(집행단계-첨부폴더)v8\6.건축\21_기초~상부슬라브 구조물 시공\체크리스트\기초~상부슬라브 구조물 시공_체크리스트.html" xr:uid="{F0306E43-F042-41D9-A7FB-88CE77F84C3E}"/>
    <hyperlink ref="K23" r:id="rId64" display="매뉴얼BODY(집행단계-첨부폴더)v8\6.건축\22_철근 가공\표준서\철근 가공_표준서.html" xr:uid="{8A11EE30-5A37-4B26-9A76-34C12950B0BA}"/>
    <hyperlink ref="M23" r:id="rId65" display="매뉴얼BODY(집행단계-첨부폴더)v8\6.건축\22_철근 가공\수행지침\철근 가공_수행지침.html" xr:uid="{4628B2F9-3815-4A9F-80B4-88D9F0D576CC}"/>
    <hyperlink ref="O23" r:id="rId66" display="매뉴얼BODY(집행단계-첨부폴더)v8\6.건축\22_철근 가공\체크리스트\철근 가공_체크리스트.html" xr:uid="{3FAF66B1-7883-4DCD-A8BA-CF638C3B6BF8}"/>
    <hyperlink ref="K24" r:id="rId67" display="매뉴얼BODY(집행단계-첨부폴더)v8\6.건축\23_작업발판, 비계 및 동바리 설치\표준서\작업발판, 비계 및 동바리 설치_표준서.html" xr:uid="{A35A411A-1865-475D-9AC4-7F5C351194AF}"/>
    <hyperlink ref="M24" r:id="rId68" display="매뉴얼BODY(집행단계-첨부폴더)v8\6.건축\23_작업발판, 비계 및 동바리 설치\수행지침\작업발판, 비계 및 동바리 설치_수행지침.html" xr:uid="{F68C0D8B-5135-416A-9AB0-771FF757E552}"/>
    <hyperlink ref="O24" r:id="rId69" display="매뉴얼BODY(집행단계-첨부폴더)v8\6.건축\23_작업발판, 비계 및 동바리 설치\체크리스트\작업발판, 비계 및 동바리 설치_체크리스트.html" xr:uid="{5D96B890-2B9D-4C76-B6C5-A208A1D81542}"/>
    <hyperlink ref="K25" r:id="rId70" display="매뉴얼BODY(집행단계-첨부폴더)v8\6.건축\24_철근 조립\표준서\철근 조립_표준서.html" xr:uid="{A5980E3A-0E42-4B09-AAF9-87D6CDAEC433}"/>
    <hyperlink ref="M25" r:id="rId71" display="매뉴얼BODY(집행단계-첨부폴더)v8\6.건축\24_철근 조립\수행지침\철근 조립_수행지침.html" xr:uid="{0E06F7F8-5032-4093-BAD4-77D74D09723E}"/>
    <hyperlink ref="O25" r:id="rId72" display="매뉴얼BODY(집행단계-첨부폴더)v8\6.건축\24_철근 조립\체크리스트\철근 조립_체크리스트.html" xr:uid="{EB6B1BF6-4135-466B-A09A-25D029D9DB63}"/>
    <hyperlink ref="K26" r:id="rId73" display="매뉴얼BODY(집행단계-첨부폴더)v8\6.건축\25_거푸집 조립\표준서\거푸집 조립_표준서.html" xr:uid="{65F9489C-AD7A-48B0-A1C9-5AABD09EDA42}"/>
    <hyperlink ref="M26" r:id="rId74" display="매뉴얼BODY(집행단계-첨부폴더)v8\6.건축\25_거푸집 조립\수행지침\거푸집 조립_수행지침.html" xr:uid="{72450466-ADA8-4BBC-9B50-117189E3E262}"/>
    <hyperlink ref="O26" r:id="rId75" display="매뉴얼BODY(집행단계-첨부폴더)v8\6.건축\25_거푸집 조립\체크리스트\거푸집 조립_체크리스트.html" xr:uid="{C4AAAA3E-C024-484C-96B6-3DF1C8192C5C}"/>
    <hyperlink ref="K27" r:id="rId76" display="매뉴얼BODY(집행단계-첨부폴더)v8\6.건축\26_콘크리트 타설 및 다짐\표준서\콘크리트 타설 및 다짐_표준서.html" xr:uid="{7D44A109-1032-491A-B81F-3C65139BFF34}"/>
    <hyperlink ref="M27" r:id="rId77" display="매뉴얼BODY(집행단계-첨부폴더)v8\6.건축\26_콘크리트 타설 및 다짐\수행지침\콘크리트 타설 및 다짐_수행지침.html" xr:uid="{7E52D093-E6E7-480F-9068-76922A306855}"/>
    <hyperlink ref="O27" r:id="rId78" display="매뉴얼BODY(집행단계-첨부폴더)v8\6.건축\26_콘크리트 타설 및 다짐\체크리스트\콘크리트 타설 및 다짐_체크리스트.html" xr:uid="{B50CAE8F-2FDD-4EF2-B43B-BCC7B7550B24}"/>
    <hyperlink ref="K28" r:id="rId79" display="매뉴얼BODY(집행단계-첨부폴더)v8\6.건축\27_거푸집 해체\표준서\거푸집 해체_표준서.html" xr:uid="{CBBDF22F-8C70-4BF5-B545-529618439EB9}"/>
    <hyperlink ref="M28" r:id="rId80" display="매뉴얼BODY(집행단계-첨부폴더)v8\6.건축\27_거푸집 해체\수행지침\거푸집 해체_수행지침.html" xr:uid="{8C57B2D2-AFD4-47D6-8497-93E08C0A6BD4}"/>
    <hyperlink ref="O28" r:id="rId81" display="매뉴얼BODY(집행단계-첨부폴더)v8\6.건축\27_거푸집 해체\체크리스트\거푸집 해체_체크리스트.html" xr:uid="{96BCAB16-4A21-4BE1-90FB-6A3DF3057AB0}"/>
    <hyperlink ref="K29" r:id="rId82" display="매뉴얼BODY(집행단계-첨부폴더)v8\6.건축\28_건축 내부 및 마감공사\표준서\건축 내부 및 마감공사_표준서.html" xr:uid="{C5376F82-724C-4E2A-B6E0-ACC7CD950684}"/>
    <hyperlink ref="M29" r:id="rId83" display="매뉴얼BODY(집행단계-첨부폴더)v8\6.건축\28_건축 내부 및 마감공사\수행지침\건축 내부 및 마감공사_수행지침.html" xr:uid="{71842077-16C9-41C6-A281-BD0A798AC489}"/>
    <hyperlink ref="O29" r:id="rId84" display="매뉴얼BODY(집행단계-첨부폴더)v8\6.건축\28_건축 내부 및 마감공사\체크리스트\건축 내부 및 마감공사_체크리스트.html" xr:uid="{1A878523-5492-4FD0-9E93-B14E2D676FF2}"/>
    <hyperlink ref="K30" r:id="rId85" display="매뉴얼BODY(집행단계-첨부폴더)v8\6.건축\29_창호,유리 및 금속지붕공사\표준서\창호,유리 및 금속지붕공사_표준서.html" xr:uid="{7074A2AA-E8BD-4EDB-9460-CA1158BDE81D}"/>
    <hyperlink ref="M30" r:id="rId86" display="매뉴얼BODY(집행단계-첨부폴더)v8\6.건축\29_창호,유리 및 금속지붕공사\수행지침\창호,유리 및 금속지붕공사_수행지침.html" xr:uid="{845B4791-10BC-4470-BD43-51C2A065C982}"/>
    <hyperlink ref="O30" r:id="rId87" display="매뉴얼BODY(집행단계-첨부폴더)v8\6.건축\29_창호,유리 및 금속지붕공사\체크리스트\창호,유리 및 금속지붕공사_체크리스트.html" xr:uid="{28A32D67-F5BF-4156-9A95-F34A034085F9}"/>
    <hyperlink ref="K31" r:id="rId88" display="매뉴얼BODY(집행단계-첨부폴더)v8\6.건축\30_조적공사\표준서\조적공사_표준서.html" xr:uid="{E257F000-98F9-4B8A-BE2B-14C9BDB99431}"/>
    <hyperlink ref="M31" r:id="rId89" display="매뉴얼BODY(집행단계-첨부폴더)v8\6.건축\30_조적공사\수행지침\조적공사_수행지침.html" xr:uid="{FB130499-2B5C-42B1-A099-A07C68126C2C}"/>
    <hyperlink ref="O31" r:id="rId90" display="매뉴얼BODY(집행단계-첨부폴더)v8\6.건축\30_조적공사\체크리스트\조적공사_체크리스트.html" xr:uid="{D0867FD1-AFF1-4199-92F3-94B9A1B02D75}"/>
    <hyperlink ref="K32" r:id="rId91" display="매뉴얼BODY(집행단계-첨부폴더)v8\6.건축\31_내부 방수공사\표준서\내부 방수공사_표준서.html" xr:uid="{5B6D9CA3-3780-414F-987D-B8BD5E53835A}"/>
    <hyperlink ref="M32" r:id="rId92" display="매뉴얼BODY(집행단계-첨부폴더)v8\6.건축\31_내부 방수공사\수행지침\내부 방수공사_수행지침.html" xr:uid="{B289CC6E-73D4-412C-8304-58F86899089C}"/>
    <hyperlink ref="O32" r:id="rId93" display="매뉴얼BODY(집행단계-첨부폴더)v8\6.건축\31_내부 방수공사\체크리스트\내부 방수공사_체크리스트.html" xr:uid="{881D5E94-85C7-4FCB-8F6D-7E836C608145}"/>
    <hyperlink ref="K33" r:id="rId94" display="매뉴얼BODY(집행단계-첨부폴더)v8\6.건축\32_미장 및 타일공사\표준서\미장 및 타일공사_표준서.html" xr:uid="{6F5F6788-0102-4F16-B6EB-9D8095393D01}"/>
    <hyperlink ref="M33" r:id="rId95" display="매뉴얼BODY(집행단계-첨부폴더)v8\6.건축\32_미장 및 타일공사\수행지침\미장 및 타일공사_수행지침.html" xr:uid="{F59D20D2-5EB9-4DCB-A3AD-FE2C0DF402B7}"/>
    <hyperlink ref="O33" r:id="rId96" display="매뉴얼BODY(집행단계-첨부폴더)v8\6.건축\32_미장 및 타일공사\체크리스트\미장 및 타일공사_체크리스트.html" xr:uid="{75BDAE3C-10D9-4580-9ADD-79133B404C11}"/>
    <hyperlink ref="K34" r:id="rId97" display="매뉴얼BODY(집행단계-첨부폴더)v8\6.건축\33_수장 및 잡철물공사\표준서\수장 및 잡철물공사_표준서.html" xr:uid="{890A0ACC-6689-423B-9D1F-05C087CE44C9}"/>
    <hyperlink ref="M34" r:id="rId98" display="매뉴얼BODY(집행단계-첨부폴더)v8\6.건축\33_수장 및 잡철물공사\수행지침\수장 및 잡철물공사_수행지침.html" xr:uid="{07375151-37BB-4E01-8F39-8AB051A23D18}"/>
    <hyperlink ref="O34" r:id="rId99" display="매뉴얼BODY(집행단계-첨부폴더)v8\6.건축\33_수장 및 잡철물공사\체크리스트\수장 및 잡철물공사_체크리스트.html" xr:uid="{BFCD9A34-2B0B-4B29-80D4-2CC6A56A386E}"/>
    <hyperlink ref="K35" r:id="rId100" display="매뉴얼BODY(집행단계-첨부폴더)v8\6.건축\34_도장공사\표준서\도장공사_표준서.html" xr:uid="{57840410-16EE-4997-8A4F-FFAF9288026A}"/>
    <hyperlink ref="M35" r:id="rId101" display="매뉴얼BODY(집행단계-첨부폴더)v8\6.건축\34_도장공사\수행지침\도장공사_수행지침.html" xr:uid="{92DD3A04-A431-47EC-932B-CDCB318AF6FE}"/>
    <hyperlink ref="O35" r:id="rId102" display="매뉴얼BODY(집행단계-첨부폴더)v8\6.건축\34_도장공사\체크리스트\도장공사_체크리스트.html" xr:uid="{4906DAF3-2CD1-451D-9EB0-BA1FF321A2A6}"/>
    <hyperlink ref="K36" r:id="rId103" display="매뉴얼BODY(집행단계-첨부폴더)v8\6.건축\35_인테리어 및 무대공사\표준서\인테리어 및 무대공사_표준서.html" xr:uid="{C7778B9F-2C7A-4628-81A0-C2E0EA1497AD}"/>
    <hyperlink ref="M36" r:id="rId104" display="매뉴얼BODY(집행단계-첨부폴더)v8\6.건축\35_인테리어 및 무대공사\수행지침\인테리어 및 무대공사_수행지침.html" xr:uid="{40449A0E-5A4B-4FB8-9738-8FB58182D249}"/>
    <hyperlink ref="O36" r:id="rId105" display="매뉴얼BODY(집행단계-첨부폴더)v8\6.건축\35_인테리어 및 무대공사\체크리스트\인테리어 및 무대공사_체크리스트.html" xr:uid="{D6D40632-275D-4BB0-BFF7-FF49D511192B}"/>
    <hyperlink ref="K37" r:id="rId106" display="매뉴얼BODY(집행단계-첨부폴더)v8\6.건축\36_준공전 건축 인허가\표준서\준공전 건축 인허가_표준서.html" xr:uid="{AAC06085-37E6-4F45-8188-0718278F51A7}"/>
    <hyperlink ref="M37" r:id="rId107" display="매뉴얼BODY(집행단계-첨부폴더)v8\6.건축\36_준공전 건축 인허가\수행지침\준공전 건축 인허가_수행지침.html" xr:uid="{BD8462FE-69B8-40A0-A363-1567025B0B92}"/>
    <hyperlink ref="O37" r:id="rId108" display="매뉴얼BODY(집행단계-첨부폴더)v8\6.건축\36_준공전 건축 인허가\체크리스트\준공전 건축 인허가_체크리스트.html" xr:uid="{3061D884-1AF7-4E09-B30B-4AEF08979126}"/>
    <hyperlink ref="K38" r:id="rId109" display="매뉴얼BODY(집행단계-첨부폴더)v8\6.건축\37_소방시설공사 완공검사\표준서\소방시설공사 완공검사_표준서.html" xr:uid="{3865C418-6E39-482E-9866-1C9AD4418A8D}"/>
    <hyperlink ref="M38" r:id="rId110" display="매뉴얼BODY(집행단계-첨부폴더)v8\6.건축\37_소방시설공사 완공검사\수행지침\소방시설공사 완공검사_수행지침.html" xr:uid="{0AD05348-401E-4780-A1B2-2361F787A6D8}"/>
    <hyperlink ref="O38" r:id="rId111" display="매뉴얼BODY(집행단계-첨부폴더)v8\6.건축\37_소방시설공사 완공검사\체크리스트\소방시설공사 완공검사_체크리스트.html" xr:uid="{A435B4AE-24F7-41D0-9133-A97856C7DBCA}"/>
    <hyperlink ref="K39" r:id="rId112" display="매뉴얼BODY(집행단계-첨부폴더)v8\6.건축\38_승강기 설치 신고서 제출\표준서\승강기 설치 신고서 제출_표준서.html" xr:uid="{60A23051-2689-4DE6-A208-82EC38488F4F}"/>
    <hyperlink ref="M39" r:id="rId113" display="매뉴얼BODY(집행단계-첨부폴더)v8\6.건축\38_승강기 설치 신고서 제출\수행지침\승강기 설치 신고서 제출_수행지침.html" xr:uid="{8E5C26B8-2E67-4B4D-8A9B-FE49EB887D75}"/>
    <hyperlink ref="O39" r:id="rId114" display="매뉴얼BODY(집행단계-첨부폴더)v8\6.건축\38_승강기 설치 신고서 제출\체크리스트\승강기 설치 신고서 제출_체크리스트.html" xr:uid="{10FFD697-1591-4E3C-A5B9-A1C876D215CE}"/>
    <hyperlink ref="K40" r:id="rId115" display="매뉴얼BODY(집행단계-첨부폴더)v8\6.건축\39_저수조 설치현황 신고서 제출\표준서\저수조 설치현황 신고서 제출_표준서.html" xr:uid="{DFCCB34E-8849-4499-A660-2D894DF3D440}"/>
    <hyperlink ref="M40" r:id="rId116" display="매뉴얼BODY(집행단계-첨부폴더)v8\6.건축\39_저수조 설치현황 신고서 제출\수행지침\저수조 설치현황 신고서 제출_수행지침.html" xr:uid="{08EB2224-8A76-414F-A54F-1009A5CDB9C5}"/>
    <hyperlink ref="O40" r:id="rId117" display="매뉴얼BODY(집행단계-첨부폴더)v8\6.건축\39_저수조 설치현황 신고서 제출\체크리스트\저수조 설치현황 신고서 제출_체크리스트.html" xr:uid="{43102150-5A2A-4EA6-A908-2EB142C18D9E}"/>
    <hyperlink ref="K41" r:id="rId118" display="매뉴얼BODY(집행단계-첨부폴더)v8\6.건축\40_오수처리시설 _ 정화조 설치 신고서 제출\표준서\오수처리시설 _ 정화조 설치 신고서 제출_표준서.html" xr:uid="{40701468-1780-49CD-A4AB-B782DE4708AF}"/>
    <hyperlink ref="M41" r:id="rId119" display="매뉴얼BODY(집행단계-첨부폴더)v8\6.건축\40_오수처리시설 _ 정화조 설치 신고서 제출\수행지침\오수처리시설 _ 정화조 설치 신고서 제출_수행지침.html" xr:uid="{24B752E9-5069-424E-BFC0-D4B9F6085611}"/>
    <hyperlink ref="O41" r:id="rId120" display="매뉴얼BODY(집행단계-첨부폴더)v8\6.건축\40_오수처리시설 _ 정화조 설치 신고서 제출\체크리스트\오수처리시설 _ 정화조 설치 신고서 제출_체크리스트.html" xr:uid="{0E0D8C01-3DE7-4129-A124-AADF476962CA}"/>
    <hyperlink ref="K42" r:id="rId121" display="매뉴얼BODY(집행단계-첨부폴더)v8\6.건축\41_전기사용전 검사\표준서\전기사용전 검사_표준서.html" xr:uid="{44A8007E-AA93-4906-AC4A-EEEA5DD261AB}"/>
    <hyperlink ref="M42" r:id="rId122" display="매뉴얼BODY(집행단계-첨부폴더)v8\6.건축\41_전기사용전 검사\수행지침\전기사용전 검사_수행지침.html" xr:uid="{8DE35691-4269-43E0-BC96-DC17341A2F53}"/>
    <hyperlink ref="O42" r:id="rId123" display="매뉴얼BODY(집행단계-첨부폴더)v8\6.건축\41_전기사용전 검사\체크리스트\전기사용전 검사_체크리스트.html" xr:uid="{5B5EB9BA-4EB0-41AE-911D-CCA35B7870AF}"/>
    <hyperlink ref="K43" r:id="rId124" display="매뉴얼BODY(집행단계-첨부폴더)v8\6.건축\42_승강기 설치검사\표준서\승강기 설치검사_표준서.html" xr:uid="{9950EAC4-AF1F-4D64-855B-3762C8622C91}"/>
    <hyperlink ref="M43" r:id="rId125" display="매뉴얼BODY(집행단계-첨부폴더)v8\6.건축\42_승강기 설치검사\수행지침\승강기 설치검사_수행지침.html" xr:uid="{EAA449F4-85A5-4DB0-A71D-16B722593A7E}"/>
    <hyperlink ref="O43" r:id="rId126" display="매뉴얼BODY(집행단계-첨부폴더)v8\6.건축\42_승강기 설치검사\체크리스트\승강기 설치검사_체크리스트.html" xr:uid="{317F61F3-D634-4333-BF0D-D59E05C6602D}"/>
    <hyperlink ref="K44" r:id="rId127" display="매뉴얼BODY(집행단계-첨부폴더)v8\6.건축\43_배수설비 설치 신고서 제출\표준서\배수설비 설치 신고서 제출_표준서.html" xr:uid="{BF221361-64CC-4637-B629-7E02D54C33C4}"/>
    <hyperlink ref="M44" r:id="rId128" display="매뉴얼BODY(집행단계-첨부폴더)v8\6.건축\43_배수설비 설치 신고서 제출\수행지침\배수설비 설치 신고서 제출_수행지침.html" xr:uid="{EE2EC398-B2E4-4587-A5FD-84F9CF3C4E33}"/>
    <hyperlink ref="O44" r:id="rId129" display="매뉴얼BODY(집행단계-첨부폴더)v8\6.건축\43_배수설비 설치 신고서 제출\체크리스트\배수설비 설치 신고서 제출_체크리스트.html" xr:uid="{A119C5A2-541F-45AF-B0FE-1D979C10FE58}"/>
    <hyperlink ref="K45" r:id="rId130" display="매뉴얼BODY(집행단계-첨부폴더)v8\6.건축\44_정보통신공사 사용전검사\표준서\정보통신공사 사용전검사_표준서.html" xr:uid="{6D9C4F9F-F00F-4E39-AE52-60BB698AEA3E}"/>
    <hyperlink ref="M45" r:id="rId131" display="매뉴얼BODY(집행단계-첨부폴더)v8\6.건축\44_정보통신공사 사용전검사\수행지침\정보통신공사 사용전검사_수행지침.html" xr:uid="{DAD2D3DE-0E6D-41F8-85A8-CA77D9A72BD4}"/>
    <hyperlink ref="O45" r:id="rId132" display="매뉴얼BODY(집행단계-첨부폴더)v8\6.건축\44_정보통신공사 사용전검사\체크리스트\정보통신공사 사용전검사_체크리스트.html" xr:uid="{1144F50A-0C7A-429D-8548-E1AD0A153361}"/>
    <hyperlink ref="K46" r:id="rId133" display="매뉴얼BODY(집행단계-첨부폴더)v8\6.건축\45_오수처리시설 _ 정화조 준공검사\표준서\오수처리시설 _ 정화조 준공검사_표준서.html" xr:uid="{DE169A5B-D890-407B-9A21-A3CB5347C67A}"/>
    <hyperlink ref="M46" r:id="rId134" display="매뉴얼BODY(집행단계-첨부폴더)v8\6.건축\45_오수처리시설 _ 정화조 준공검사\수행지침\오수처리시설 _ 정화조 준공검사_수행지침.html" xr:uid="{05078D21-E324-420F-9D34-D33C645ED267}"/>
    <hyperlink ref="O46" r:id="rId135" display="매뉴얼BODY(집행단계-첨부폴더)v8\6.건축\45_오수처리시설 _ 정화조 준공검사\체크리스트\오수처리시설 _ 정화조 준공검사_체크리스트.html" xr:uid="{CF3C5D8D-3496-4B08-8D57-5585849A70D3}"/>
    <hyperlink ref="K47" r:id="rId136" display="매뉴얼BODY(집행단계-첨부폴더)v8\6.건축\46_급수공사 신청서 제출\표준서\급수공사 신청서 제출_표준서.html" xr:uid="{C61359FB-AFA3-4982-BE60-898E398CBEB0}"/>
    <hyperlink ref="M47" r:id="rId137" display="매뉴얼BODY(집행단계-첨부폴더)v8\6.건축\46_급수공사 신청서 제출\수행지침\급수공사 신청서 제출_수행지침.html" xr:uid="{34A7F2DF-15C8-4F0B-A32E-90B57EA7B4BB}"/>
    <hyperlink ref="O47" r:id="rId138" display="매뉴얼BODY(집행단계-첨부폴더)v8\6.건축\46_급수공사 신청서 제출\체크리스트\급수공사 신청서 제출_체크리스트.html" xr:uid="{B4C26716-6C32-4517-832F-B86217AC27C9}"/>
    <hyperlink ref="K48" r:id="rId139" display="매뉴얼BODY(집행단계-첨부폴더)v8\6.건축\47_업무대행 건축사 사용승인 검사\표준서\업무대행 건축사 사용승인 검사_표준서.html" xr:uid="{7EC4DE8B-0B84-42FB-9BBB-E8D0F9CB1142}"/>
    <hyperlink ref="M48" r:id="rId140" display="매뉴얼BODY(집행단계-첨부폴더)v8\6.건축\47_업무대행 건축사 사용승인 검사\수행지침\업무대행 건축사 사용승인 검사_수행지침.html" xr:uid="{41CB06F8-514D-4953-95DF-8B429564453C}"/>
    <hyperlink ref="O48" r:id="rId141" display="매뉴얼BODY(집행단계-첨부폴더)v8\6.건축\47_업무대행 건축사 사용승인 검사\체크리스트\업무대행 건축사 사용승인 검사_체크리스트.html" xr:uid="{983F9E96-6466-474E-B73C-4EAAC66DE39F}"/>
    <hyperlink ref="K49" r:id="rId142" display="매뉴얼BODY(집행단계-첨부폴더)v8\6.건축\48_건축물 사용승인 신청\표준서\건축물 사용승인 신청_표준서.html" xr:uid="{C4427A2B-71AD-44E8-AA3A-EC036AE86604}"/>
    <hyperlink ref="M49" r:id="rId143" display="매뉴얼BODY(집행단계-첨부폴더)v8\6.건축\48_건축물 사용승인 신청\수행지침\건축물 사용승인 신청_수행지침.html" xr:uid="{CAECA155-6582-492A-AE6F-8ECEA551353C}"/>
    <hyperlink ref="O49" r:id="rId144" display="매뉴얼BODY(집행단계-첨부폴더)v8\6.건축\48_건축물 사용승인 신청\체크리스트\건축물 사용승인 신청_체크리스트.html" xr:uid="{AE97F5B0-B04A-40A5-B77C-017153030537}"/>
    <hyperlink ref="K50" r:id="rId145" display="매뉴얼BODY(집행단계-첨부폴더)v8\6.건축\49_건축물대장 등재\표준서\건축물대장 등재_표준서.html" xr:uid="{20AB099F-9245-44AD-91A1-67F5F97A1FDA}"/>
    <hyperlink ref="M50" r:id="rId146" display="매뉴얼BODY(집행단계-첨부폴더)v8\6.건축\49_건축물대장 등재\수행지침\건축물대장 등재_수행지침.html" xr:uid="{9303B164-6F3C-4D34-A387-83181D61B63C}"/>
    <hyperlink ref="O50" r:id="rId147" display="매뉴얼BODY(집행단계-첨부폴더)v8\6.건축\49_건축물대장 등재\체크리스트\건축물대장 등재_체크리스트.html" xr:uid="{EE56E214-5833-45C1-AD07-A66C3F1B8F22}"/>
    <hyperlink ref="K51" r:id="rId148" display="매뉴얼BODY(집행단계-첨부폴더)v8\6.건축\50_후속 구조물 인계\표준서\후속 구조물 인계_표준서.html" xr:uid="{7418BE56-94D1-4CA3-AF1A-C0D922612436}"/>
    <hyperlink ref="M51" r:id="rId149" display="매뉴얼BODY(집행단계-첨부폴더)v8\6.건축\50_후속 구조물 인계\수행지침\후속 구조물 인계_수행지침.html" xr:uid="{4414C7A9-C946-4904-91DD-F379A864A270}"/>
    <hyperlink ref="O51" r:id="rId150" display="매뉴얼BODY(집행단계-첨부폴더)v8\6.건축\50_후속 구조물 인계\체크리스트\후속 구조물 인계_체크리스트.html" xr:uid="{127E2EED-A630-4BBD-92BA-D71C35D7F3A7}"/>
  </hyperlinks>
  <printOptions horizontalCentered="1"/>
  <pageMargins left="0.74803149606299213" right="0.74803149606299213" top="0.98425196850393704" bottom="0.98425196850393704" header="0.51181102362204722" footer="0.51181102362204722"/>
  <pageSetup paperSize="8" scale="35" orientation="landscape" verticalDpi="0" r:id="rId151"/>
  <colBreaks count="1" manualBreakCount="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FF00"/>
  </sheetPr>
  <dimension ref="A1:S23"/>
  <sheetViews>
    <sheetView view="pageBreakPreview" zoomScale="55" zoomScaleNormal="70" zoomScaleSheetLayoutView="55" workbookViewId="0">
      <selection activeCell="C3" sqref="C3"/>
    </sheetView>
  </sheetViews>
  <sheetFormatPr defaultRowHeight="17.399999999999999" x14ac:dyDescent="0.4"/>
  <cols>
    <col min="1" max="3" width="8.796875" style="1" customWidth="1"/>
    <col min="4" max="4" width="16" style="2" customWidth="1"/>
    <col min="5" max="5" width="23" style="2" customWidth="1"/>
    <col min="6" max="6" width="20.19921875" style="2" customWidth="1"/>
    <col min="7" max="7" width="38.3984375" style="2" customWidth="1"/>
    <col min="8" max="8" width="55.59765625" style="75" customWidth="1"/>
    <col min="9" max="9" width="16.59765625" style="2" customWidth="1"/>
    <col min="10" max="10" width="48.8984375" style="75" customWidth="1"/>
    <col min="11" max="11" width="14.19921875" style="1" customWidth="1"/>
    <col min="12" max="12" width="62.59765625" style="75" customWidth="1"/>
    <col min="13" max="13" width="12.19921875" style="1" customWidth="1"/>
    <col min="14" max="14" width="53.796875" style="75" customWidth="1"/>
    <col min="15" max="15" width="15.09765625" style="72" customWidth="1"/>
    <col min="16" max="16" width="18" style="1" customWidth="1"/>
    <col min="17" max="17" width="45" style="72" customWidth="1"/>
    <col min="18" max="18" width="22" style="72" customWidth="1"/>
    <col min="19" max="35" width="45" style="1" customWidth="1"/>
    <col min="36" max="70" width="8.796875" style="1" customWidth="1"/>
    <col min="71" max="16384" width="8.796875" style="1"/>
  </cols>
  <sheetData>
    <row r="1" spans="1:19" ht="31.2" customHeight="1" x14ac:dyDescent="0.4">
      <c r="A1" s="7" t="s">
        <v>1</v>
      </c>
      <c r="B1" s="7" t="s">
        <v>2</v>
      </c>
      <c r="C1" s="7" t="s">
        <v>3</v>
      </c>
      <c r="D1" s="7" t="s">
        <v>4</v>
      </c>
      <c r="E1" s="7" t="s">
        <v>5</v>
      </c>
      <c r="F1" s="7" t="s">
        <v>637</v>
      </c>
      <c r="G1" s="7" t="s">
        <v>639</v>
      </c>
      <c r="H1" s="74" t="s">
        <v>640</v>
      </c>
      <c r="I1" s="7" t="s">
        <v>641</v>
      </c>
      <c r="J1" s="74" t="s">
        <v>642</v>
      </c>
      <c r="K1" s="6" t="s">
        <v>3108</v>
      </c>
      <c r="L1" s="74" t="s">
        <v>644</v>
      </c>
      <c r="M1" s="6" t="s">
        <v>3109</v>
      </c>
      <c r="N1" s="74" t="s">
        <v>646</v>
      </c>
      <c r="O1" s="8" t="s">
        <v>3110</v>
      </c>
      <c r="P1" s="9" t="s">
        <v>1022</v>
      </c>
      <c r="Q1" s="9" t="s">
        <v>1023</v>
      </c>
      <c r="R1" s="9" t="s">
        <v>1024</v>
      </c>
      <c r="S1" s="9" t="s">
        <v>1025</v>
      </c>
    </row>
    <row r="2" spans="1:19" ht="203.4" customHeight="1" x14ac:dyDescent="0.4">
      <c r="A2" s="10" t="s">
        <v>519</v>
      </c>
      <c r="B2" s="10" t="s">
        <v>520</v>
      </c>
      <c r="C2" s="71" t="s">
        <v>2477</v>
      </c>
      <c r="D2" s="10" t="s">
        <v>522</v>
      </c>
      <c r="E2" s="76" t="s">
        <v>1805</v>
      </c>
      <c r="F2" s="10" t="s">
        <v>838</v>
      </c>
      <c r="G2" s="71" t="s">
        <v>2478</v>
      </c>
      <c r="H2" s="77" t="s">
        <v>2479</v>
      </c>
      <c r="I2" s="71" t="s">
        <v>2480</v>
      </c>
      <c r="J2" s="11" t="s">
        <v>2481</v>
      </c>
      <c r="K2" s="120" t="str">
        <f>HYPERLINK("C:\Users\sskjh\antigravity\01_전문업무_및_엔지니어링\11_현장_프로젝트\01_동탄트램\08.메뉴얼 및 평면도\최종\02_메뉴얼 공종프로섹스(집행단계)\매뉴얼BODY(집행단계-첨부폴더)v8\7.신호분야\1_설계적정성 검토\표준서\설계적정성 검토_표준서.html","👉 [클릭] 표준서 열기 📄")</f>
        <v>👉 [클릭] 표준서 열기 📄</v>
      </c>
      <c r="L2" s="11" t="s">
        <v>2482</v>
      </c>
      <c r="M2" s="120" t="str">
        <f t="shared" ref="M2:M23" si="0">HYPERLINK("C:\Users\sskjh\antigravity\01_전문업무_및_엔지니어링\11_현장_프로젝트\01_동탄트램\08.메뉴얼 및 평면도\최종\02_메뉴얼 공종프로섹스(집행단계)\매뉴얼BODY(집행단계-첨부폴더)v8\7.신호분야\1_설계적정성 검토\수행지침\설계적정성 검토_수행지침.html","👉 [클릭] 수행지침 열기 📄")</f>
        <v>👉 [클릭] 수행지침 열기 📄</v>
      </c>
      <c r="N2" s="11" t="s">
        <v>2483</v>
      </c>
      <c r="O2" s="120" t="str">
        <f>HYPERLINK("C:\Users\sskjh\antigravity\01_전문업무_및_엔지니어링\11_현장_프로젝트\01_동탄트램\08.메뉴얼 및 평면도\최종\02_메뉴얼 공종프로섹스(집행단계)\매뉴얼BODY(집행단계-첨부폴더)v8\7.신호분야\1_설계적정성 검토\체크리스트\설계적정성 검토_체크리스트.html","👉 [클릭] 체크리스트 열기 📄")</f>
        <v>👉 [클릭] 체크리스트 열기 📄</v>
      </c>
      <c r="P2" s="10"/>
      <c r="Q2" s="71" t="s">
        <v>23</v>
      </c>
      <c r="R2" s="73" t="s">
        <v>1035</v>
      </c>
      <c r="S2" s="71"/>
    </row>
    <row r="3" spans="1:19" ht="139.80000000000001" customHeight="1" x14ac:dyDescent="0.4">
      <c r="A3" s="10" t="s">
        <v>519</v>
      </c>
      <c r="B3" s="10" t="s">
        <v>520</v>
      </c>
      <c r="C3" s="71" t="s">
        <v>2477</v>
      </c>
      <c r="D3" s="10" t="s">
        <v>529</v>
      </c>
      <c r="E3" s="76" t="s">
        <v>2484</v>
      </c>
      <c r="F3" s="10" t="s">
        <v>861</v>
      </c>
      <c r="G3" s="71" t="s">
        <v>2485</v>
      </c>
      <c r="H3" s="78" t="s">
        <v>2486</v>
      </c>
      <c r="I3" s="71" t="s">
        <v>2487</v>
      </c>
      <c r="J3" s="11" t="s">
        <v>2488</v>
      </c>
      <c r="K3" s="120" t="str">
        <f>HYPERLINK("C:\Users\sskjh\antigravity\01_전문업무_및_엔지니어링\11_현장_프로젝트\01_동탄트램\08.메뉴얼 및 평면도\최종\02_메뉴얼 공종프로섹스(집행단계)\매뉴얼BODY(집행단계-첨부폴더)v8\7.신호분야\2_착수준비 KOM\표준서\착수준비 KOM_표준서.html","👉 [클릭] 표준서 열기 📄")</f>
        <v>👉 [클릭] 표준서 열기 📄</v>
      </c>
      <c r="L3" s="11" t="s">
        <v>2489</v>
      </c>
      <c r="M3" s="120" t="str">
        <f t="shared" si="0"/>
        <v>👉 [클릭] 수행지침 열기 📄</v>
      </c>
      <c r="N3" s="11" t="s">
        <v>2490</v>
      </c>
      <c r="O3" s="120" t="str">
        <f>HYPERLINK("C:\Users\sskjh\antigravity\01_전문업무_및_엔지니어링\11_현장_프로젝트\01_동탄트램\08.메뉴얼 및 평면도\최종\02_메뉴얼 공종프로섹스(집행단계)\매뉴얼BODY(집행단계-첨부폴더)v8\7.신호분야\2_착수준비 KOM\체크리스트\착수준비 KOM_체크리스트.html","👉 [클릭] 체크리스트 열기 📄")</f>
        <v>👉 [클릭] 체크리스트 열기 📄</v>
      </c>
      <c r="P3" s="10"/>
      <c r="Q3" s="71"/>
      <c r="R3" s="73" t="s">
        <v>1035</v>
      </c>
      <c r="S3" s="71"/>
    </row>
    <row r="4" spans="1:19" ht="221.4" customHeight="1" x14ac:dyDescent="0.4">
      <c r="A4" s="10" t="s">
        <v>519</v>
      </c>
      <c r="B4" s="10" t="s">
        <v>520</v>
      </c>
      <c r="C4" s="71" t="s">
        <v>2477</v>
      </c>
      <c r="D4" s="10" t="s">
        <v>2491</v>
      </c>
      <c r="E4" s="76" t="s">
        <v>1081</v>
      </c>
      <c r="F4" s="10" t="s">
        <v>861</v>
      </c>
      <c r="G4" s="71" t="s">
        <v>2492</v>
      </c>
      <c r="H4" s="79" t="s">
        <v>2493</v>
      </c>
      <c r="I4" s="71" t="s">
        <v>2494</v>
      </c>
      <c r="J4" s="11" t="s">
        <v>2495</v>
      </c>
      <c r="K4" s="120" t="str">
        <f>HYPERLINK("C:\Users\sskjh\antigravity\01_전문업무_및_엔지니어링\11_현장_프로젝트\01_동탄트램\08.메뉴얼 및 평면도\최종\02_메뉴얼 공종프로섹스(집행단계)\매뉴얼BODY(집행단계-첨부폴더)v8\7.신호분야\3_착수전 Big Room 회의\표준서\착수전 Big Room 회의_표준서.html","👉 [클릭] 표준서 열기 📄")</f>
        <v>👉 [클릭] 표준서 열기 📄</v>
      </c>
      <c r="L4" s="11" t="s">
        <v>2496</v>
      </c>
      <c r="M4" s="120" t="str">
        <f t="shared" si="0"/>
        <v>👉 [클릭] 수행지침 열기 📄</v>
      </c>
      <c r="N4" s="11" t="s">
        <v>2497</v>
      </c>
      <c r="O4" s="120" t="str">
        <f>HYPERLINK("C:\Users\sskjh\antigravity\01_전문업무_및_엔지니어링\11_현장_프로젝트\01_동탄트램\08.메뉴얼 및 평면도\최종\02_메뉴얼 공종프로섹스(집행단계)\매뉴얼BODY(집행단계-첨부폴더)v8\7.신호분야\3_착수전 Big Room 회의\체크리스트\착수전 Big Room 회의_체크리스트.html","👉 [클릭] 체크리스트 열기 📄")</f>
        <v>👉 [클릭] 체크리스트 열기 📄</v>
      </c>
      <c r="P4" s="10"/>
      <c r="Q4" s="71"/>
      <c r="R4" s="73" t="s">
        <v>1035</v>
      </c>
      <c r="S4" s="71"/>
    </row>
    <row r="5" spans="1:19" ht="187.2" customHeight="1" x14ac:dyDescent="0.4">
      <c r="A5" s="10" t="s">
        <v>519</v>
      </c>
      <c r="B5" s="10" t="s">
        <v>520</v>
      </c>
      <c r="C5" s="71" t="s">
        <v>2477</v>
      </c>
      <c r="D5" s="10" t="s">
        <v>2498</v>
      </c>
      <c r="E5" s="76" t="s">
        <v>2499</v>
      </c>
      <c r="F5" s="10" t="s">
        <v>2500</v>
      </c>
      <c r="G5" s="71" t="s">
        <v>2501</v>
      </c>
      <c r="H5" s="80" t="s">
        <v>2502</v>
      </c>
      <c r="I5" s="71" t="s">
        <v>2503</v>
      </c>
      <c r="J5" s="11" t="s">
        <v>2504</v>
      </c>
      <c r="K5" s="120"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협의\표준서\전기 _ 통신 _ PSD _ 차량 인터페이스 협의_표준서.html","👉 [클릭] 표준서 열기 📄")</f>
        <v>👉 [클릭] 표준서 열기 📄</v>
      </c>
      <c r="L5" s="11" t="s">
        <v>2505</v>
      </c>
      <c r="M5" s="120" t="str">
        <f t="shared" si="0"/>
        <v>👉 [클릭] 수행지침 열기 📄</v>
      </c>
      <c r="N5" s="11" t="s">
        <v>2506</v>
      </c>
      <c r="O5" s="120"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협의\체크리스트\전기 _ 통신 _ PSD _ 차량 인터페이스 협의_체크리스트.html","👉 [클릭] 체크리스트 열기 📄")</f>
        <v>👉 [클릭] 체크리스트 열기 📄</v>
      </c>
      <c r="P5" s="10"/>
      <c r="Q5" s="71"/>
      <c r="R5" s="73" t="s">
        <v>1035</v>
      </c>
      <c r="S5" s="71"/>
    </row>
    <row r="6" spans="1:19" ht="104.4" customHeight="1" x14ac:dyDescent="0.4">
      <c r="A6" s="10" t="s">
        <v>519</v>
      </c>
      <c r="B6" s="10" t="s">
        <v>520</v>
      </c>
      <c r="C6" s="71" t="s">
        <v>2477</v>
      </c>
      <c r="D6" s="10" t="s">
        <v>2507</v>
      </c>
      <c r="E6" s="76" t="s">
        <v>2508</v>
      </c>
      <c r="F6" s="10" t="s">
        <v>2500</v>
      </c>
      <c r="G6" s="71" t="s">
        <v>2509</v>
      </c>
      <c r="H6" s="77" t="s">
        <v>2510</v>
      </c>
      <c r="I6" s="71" t="s">
        <v>2511</v>
      </c>
      <c r="J6" s="11" t="s">
        <v>2512</v>
      </c>
      <c r="K6" s="120" t="str">
        <f>HYPERLINK("C:\Users\sskjh\antigravity\01_전문업무_및_엔지니어링\11_현장_프로젝트\01_동탄트램\08.메뉴얼 및 평면도\최종\02_메뉴얼 공종프로섹스(집행단계)\매뉴얼BODY(집행단계-첨부폴더)v8\7.신호분야\5_도로 _ 궤도 인터페이스 협의\표준서\도로 _ 궤도 인터페이스 협의_표준서.html","👉 [클릭] 표준서 열기 📄")</f>
        <v>👉 [클릭] 표준서 열기 📄</v>
      </c>
      <c r="L6" s="11" t="s">
        <v>2513</v>
      </c>
      <c r="M6" s="120" t="str">
        <f t="shared" si="0"/>
        <v>👉 [클릭] 수행지침 열기 📄</v>
      </c>
      <c r="N6" s="11" t="s">
        <v>2514</v>
      </c>
      <c r="O6" s="120" t="str">
        <f>HYPERLINK("C:\Users\sskjh\antigravity\01_전문업무_및_엔지니어링\11_현장_프로젝트\01_동탄트램\08.메뉴얼 및 평면도\최종\02_메뉴얼 공종프로섹스(집행단계)\매뉴얼BODY(집행단계-첨부폴더)v8\7.신호분야\5_도로 _ 궤도 인터페이스 협의\체크리스트\도로 _ 궤도 인터페이스 협의_체크리스트.html","👉 [클릭] 체크리스트 열기 📄")</f>
        <v>👉 [클릭] 체크리스트 열기 📄</v>
      </c>
      <c r="P6" s="10"/>
      <c r="Q6" s="71"/>
      <c r="R6" s="73" t="s">
        <v>1035</v>
      </c>
      <c r="S6" s="71"/>
    </row>
    <row r="7" spans="1:19" ht="133.80000000000001" customHeight="1" x14ac:dyDescent="0.4">
      <c r="A7" s="10" t="s">
        <v>519</v>
      </c>
      <c r="B7" s="10" t="s">
        <v>520</v>
      </c>
      <c r="C7" s="71" t="s">
        <v>2477</v>
      </c>
      <c r="D7" s="10" t="s">
        <v>2515</v>
      </c>
      <c r="E7" s="76" t="s">
        <v>2516</v>
      </c>
      <c r="F7" s="10" t="s">
        <v>2500</v>
      </c>
      <c r="G7" s="71" t="s">
        <v>2517</v>
      </c>
      <c r="H7" s="78" t="s">
        <v>2502</v>
      </c>
      <c r="I7" s="71" t="s">
        <v>2518</v>
      </c>
      <c r="J7" s="11" t="s">
        <v>2519</v>
      </c>
      <c r="K7" s="120" t="str">
        <f>HYPERLINK("C:\Users\sskjh\antigravity\01_전문업무_및_엔지니어링\11_현장_프로젝트\01_동탄트램\08.메뉴얼 및 평면도\최종\02_메뉴얼 공종프로섹스(집행단계)\매뉴얼BODY(집행단계-첨부폴더)v8\7.신호분야\6_시공전 인터페이스 협의\표준서\시공전 인터페이스 협의_표준서.html","👉 [클릭] 표준서 열기 📄")</f>
        <v>👉 [클릭] 표준서 열기 📄</v>
      </c>
      <c r="L7" s="11" t="s">
        <v>2520</v>
      </c>
      <c r="M7" s="120" t="str">
        <f t="shared" si="0"/>
        <v>👉 [클릭] 수행지침 열기 📄</v>
      </c>
      <c r="N7" s="11" t="s">
        <v>2521</v>
      </c>
      <c r="O7" s="120" t="str">
        <f>HYPERLINK("C:\Users\sskjh\antigravity\01_전문업무_및_엔지니어링\11_현장_프로젝트\01_동탄트램\08.메뉴얼 및 평면도\최종\02_메뉴얼 공종프로섹스(집행단계)\매뉴얼BODY(집행단계-첨부폴더)v8\7.신호분야\6_시공전 인터페이스 협의\체크리스트\시공전 인터페이스 협의_체크리스트.html","👉 [클릭] 체크리스트 열기 📄")</f>
        <v>👉 [클릭] 체크리스트 열기 📄</v>
      </c>
      <c r="P7" s="10"/>
      <c r="Q7" s="71"/>
      <c r="R7" s="73" t="s">
        <v>1035</v>
      </c>
      <c r="S7" s="71"/>
    </row>
    <row r="8" spans="1:19" ht="127.8" customHeight="1" x14ac:dyDescent="0.4">
      <c r="A8" s="10" t="s">
        <v>519</v>
      </c>
      <c r="B8" s="10" t="s">
        <v>520</v>
      </c>
      <c r="C8" s="71" t="s">
        <v>2477</v>
      </c>
      <c r="D8" s="10" t="s">
        <v>2522</v>
      </c>
      <c r="E8" s="76" t="s">
        <v>2523</v>
      </c>
      <c r="F8" s="10" t="s">
        <v>2500</v>
      </c>
      <c r="G8" s="71" t="s">
        <v>2524</v>
      </c>
      <c r="H8" s="71" t="s">
        <v>2525</v>
      </c>
      <c r="I8" s="71" t="s">
        <v>2526</v>
      </c>
      <c r="J8" s="11" t="s">
        <v>2527</v>
      </c>
      <c r="K8" s="120"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검토\표준서\시스템 장비검토 사전 협의사항 도출 및 검토_표준서.html","👉 [클릭] 표준서 열기 📄")</f>
        <v>👉 [클릭] 표준서 열기 📄</v>
      </c>
      <c r="L8" s="11" t="s">
        <v>2528</v>
      </c>
      <c r="M8" s="120" t="str">
        <f t="shared" si="0"/>
        <v>👉 [클릭] 수행지침 열기 📄</v>
      </c>
      <c r="N8" s="11" t="s">
        <v>2529</v>
      </c>
      <c r="O8" s="120"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검토\체크리스트\시스템 장비검토 사전 협의사항 도출 및 검토_체크리스트.html","👉 [클릭] 체크리스트 열기 📄")</f>
        <v>👉 [클릭] 체크리스트 열기 📄</v>
      </c>
      <c r="P8" s="10"/>
      <c r="Q8" s="71"/>
      <c r="R8" s="73" t="s">
        <v>1035</v>
      </c>
      <c r="S8" s="71"/>
    </row>
    <row r="9" spans="1:19" ht="104.4" customHeight="1" x14ac:dyDescent="0.4">
      <c r="A9" s="10" t="s">
        <v>519</v>
      </c>
      <c r="B9" s="10" t="s">
        <v>520</v>
      </c>
      <c r="C9" s="71" t="s">
        <v>2477</v>
      </c>
      <c r="D9" s="10" t="s">
        <v>2530</v>
      </c>
      <c r="E9" s="76" t="s">
        <v>2531</v>
      </c>
      <c r="F9" s="10" t="s">
        <v>2500</v>
      </c>
      <c r="G9" s="71" t="s">
        <v>2532</v>
      </c>
      <c r="H9" s="77" t="s">
        <v>2533</v>
      </c>
      <c r="I9" s="71" t="s">
        <v>2503</v>
      </c>
      <c r="J9" s="11" t="s">
        <v>2534</v>
      </c>
      <c r="K9" s="120"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협의\표준서\관제 및 운영사 인터페이스 협의_표준서.html","👉 [클릭] 표준서 열기 📄")</f>
        <v>👉 [클릭] 표준서 열기 📄</v>
      </c>
      <c r="L9" s="11" t="s">
        <v>2535</v>
      </c>
      <c r="M9" s="120" t="str">
        <f t="shared" si="0"/>
        <v>👉 [클릭] 수행지침 열기 📄</v>
      </c>
      <c r="N9" s="11" t="s">
        <v>2536</v>
      </c>
      <c r="O9" s="120"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협의\체크리스트\관제 및 운영사 인터페이스 협의_체크리스트.html","👉 [클릭] 체크리스트 열기 📄")</f>
        <v>👉 [클릭] 체크리스트 열기 📄</v>
      </c>
      <c r="P9" s="10"/>
      <c r="Q9" s="71"/>
      <c r="R9" s="73" t="s">
        <v>1035</v>
      </c>
      <c r="S9" s="71"/>
    </row>
    <row r="10" spans="1:19" ht="104.4" customHeight="1" x14ac:dyDescent="0.4">
      <c r="A10" s="10" t="s">
        <v>519</v>
      </c>
      <c r="B10" s="10" t="s">
        <v>520</v>
      </c>
      <c r="C10" s="71" t="s">
        <v>2477</v>
      </c>
      <c r="D10" s="10" t="s">
        <v>2537</v>
      </c>
      <c r="E10" s="76" t="s">
        <v>2538</v>
      </c>
      <c r="F10" s="10" t="s">
        <v>2539</v>
      </c>
      <c r="G10" s="71" t="s">
        <v>2540</v>
      </c>
      <c r="H10" s="71" t="s">
        <v>2541</v>
      </c>
      <c r="I10" s="71" t="s">
        <v>2542</v>
      </c>
      <c r="J10" s="11" t="s">
        <v>2543</v>
      </c>
      <c r="K10" s="120"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검토\표준서\자재 _ 인원 _ 장비 및 투입 사전 검토_표준서.html","👉 [클릭] 표준서 열기 📄")</f>
        <v>👉 [클릭] 표준서 열기 📄</v>
      </c>
      <c r="L10" s="11" t="s">
        <v>2544</v>
      </c>
      <c r="M10" s="120" t="str">
        <f t="shared" si="0"/>
        <v>👉 [클릭] 수행지침 열기 📄</v>
      </c>
      <c r="N10" s="11" t="s">
        <v>2545</v>
      </c>
      <c r="O10" s="120"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검토\체크리스트\자재 _ 인원 _ 장비 및 투입 사전 검토_체크리스트.html","👉 [클릭] 체크리스트 열기 📄")</f>
        <v>👉 [클릭] 체크리스트 열기 📄</v>
      </c>
      <c r="P10" s="10"/>
      <c r="Q10" s="71"/>
      <c r="R10" s="73" t="s">
        <v>1035</v>
      </c>
      <c r="S10" s="71"/>
    </row>
    <row r="11" spans="1:19" ht="104.4" customHeight="1" x14ac:dyDescent="0.4">
      <c r="A11" s="10" t="s">
        <v>519</v>
      </c>
      <c r="B11" s="10" t="s">
        <v>520</v>
      </c>
      <c r="C11" s="71" t="s">
        <v>2477</v>
      </c>
      <c r="D11" s="10" t="s">
        <v>2546</v>
      </c>
      <c r="E11" s="76" t="s">
        <v>2547</v>
      </c>
      <c r="F11" s="10" t="s">
        <v>2548</v>
      </c>
      <c r="G11" s="71" t="s">
        <v>2549</v>
      </c>
      <c r="H11" s="77" t="s">
        <v>2550</v>
      </c>
      <c r="I11" s="71" t="s">
        <v>2551</v>
      </c>
      <c r="J11" s="11" t="s">
        <v>2552</v>
      </c>
      <c r="K11" s="120" t="str">
        <f>HYPERLINK("C:\Users\sskjh\antigravity\01_전문업무_및_엔지니어링\11_현장_프로젝트\01_동탄트램\08.메뉴얼 및 평면도\최종\02_메뉴얼 공종프로섹스(집행단계)\매뉴얼BODY(집행단계-첨부폴더)v8\7.신호분야\10_장비반입 및 안전교육\표준서\장비반입 및 안전교육_표준서.html","👉 [클릭] 표준서 열기 📄")</f>
        <v>👉 [클릭] 표준서 열기 📄</v>
      </c>
      <c r="L11" s="11" t="s">
        <v>2553</v>
      </c>
      <c r="M11" s="120" t="str">
        <f t="shared" si="0"/>
        <v>👉 [클릭] 수행지침 열기 📄</v>
      </c>
      <c r="N11" s="11" t="s">
        <v>2554</v>
      </c>
      <c r="O11" s="120" t="str">
        <f>HYPERLINK("C:\Users\sskjh\antigravity\01_전문업무_및_엔지니어링\11_현장_프로젝트\01_동탄트램\08.메뉴얼 및 평면도\최종\02_메뉴얼 공종프로섹스(집행단계)\매뉴얼BODY(집행단계-첨부폴더)v8\7.신호분야\10_장비반입 및 안전교육\체크리스트\장비반입 및 안전교육_체크리스트.html","👉 [클릭] 체크리스트 열기 📄")</f>
        <v>👉 [클릭] 체크리스트 열기 📄</v>
      </c>
      <c r="P11" s="10"/>
      <c r="Q11" s="71"/>
      <c r="R11" s="73" t="s">
        <v>1035</v>
      </c>
      <c r="S11" s="71"/>
    </row>
    <row r="12" spans="1:19" ht="104.4" customHeight="1" x14ac:dyDescent="0.4">
      <c r="A12" s="10" t="s">
        <v>519</v>
      </c>
      <c r="B12" s="10" t="s">
        <v>520</v>
      </c>
      <c r="C12" s="71" t="s">
        <v>2477</v>
      </c>
      <c r="D12" s="10" t="s">
        <v>2555</v>
      </c>
      <c r="E12" s="76" t="s">
        <v>2556</v>
      </c>
      <c r="F12" s="10" t="s">
        <v>2557</v>
      </c>
      <c r="G12" s="71" t="s">
        <v>2558</v>
      </c>
      <c r="H12" s="77" t="s">
        <v>2559</v>
      </c>
      <c r="I12" s="71" t="s">
        <v>2560</v>
      </c>
      <c r="J12" s="11" t="s">
        <v>2561</v>
      </c>
      <c r="K12" s="120" t="str">
        <f>HYPERLINK("C:\Users\sskjh\antigravity\01_전문업무_및_엔지니어링\11_현장_프로젝트\01_동탄트램\08.메뉴얼 및 평면도\최종\02_메뉴얼 공종프로섹스(집행단계)\매뉴얼BODY(집행단계-첨부폴더)v8\7.신호분야\11_자재 반입 및 검수\표준서\자재 반입 및 검수_표준서.html","👉 [클릭] 표준서 열기 📄")</f>
        <v>👉 [클릭] 표준서 열기 📄</v>
      </c>
      <c r="L12" s="11" t="s">
        <v>2562</v>
      </c>
      <c r="M12" s="120" t="str">
        <f t="shared" si="0"/>
        <v>👉 [클릭] 수행지침 열기 📄</v>
      </c>
      <c r="N12" s="11" t="s">
        <v>2563</v>
      </c>
      <c r="O12" s="120" t="str">
        <f>HYPERLINK("C:\Users\sskjh\antigravity\01_전문업무_및_엔지니어링\11_현장_프로젝트\01_동탄트램\08.메뉴얼 및 평면도\최종\02_메뉴얼 공종프로섹스(집행단계)\매뉴얼BODY(집행단계-첨부폴더)v8\7.신호분야\11_자재 반입 및 검수\체크리스트\자재 반입 및 검수_체크리스트.html","👉 [클릭] 체크리스트 열기 📄")</f>
        <v>👉 [클릭] 체크리스트 열기 📄</v>
      </c>
      <c r="P12" s="10"/>
      <c r="Q12" s="71"/>
      <c r="R12" s="73" t="s">
        <v>1035</v>
      </c>
      <c r="S12" s="71"/>
    </row>
    <row r="13" spans="1:19" ht="104.4" customHeight="1" x14ac:dyDescent="0.4">
      <c r="A13" s="10" t="s">
        <v>519</v>
      </c>
      <c r="B13" s="10" t="s">
        <v>520</v>
      </c>
      <c r="C13" s="71" t="s">
        <v>2477</v>
      </c>
      <c r="D13" s="10" t="s">
        <v>2564</v>
      </c>
      <c r="E13" s="76" t="s">
        <v>2565</v>
      </c>
      <c r="F13" s="10" t="s">
        <v>2566</v>
      </c>
      <c r="G13" s="71" t="s">
        <v>2567</v>
      </c>
      <c r="H13" s="71" t="s">
        <v>2568</v>
      </c>
      <c r="I13" s="71" t="s">
        <v>2569</v>
      </c>
      <c r="J13" s="11" t="s">
        <v>2570</v>
      </c>
      <c r="K13" s="120" t="str">
        <f>HYPERLINK("C:\Users\sskjh\antigravity\01_전문업무_및_엔지니어링\11_현장_프로젝트\01_동탄트램\08.메뉴얼 및 평면도\최종\02_메뉴얼 공종프로섹스(집행단계)\매뉴얼BODY(집행단계-첨부폴더)v8\7.신호분야\12_시스템설비 설치 (현장_기능실)\표준서\시스템설비 설치 (현장_기능실)_표준서.html","👉 [클릭] 표준서 열기 📄")</f>
        <v>👉 [클릭] 표준서 열기 📄</v>
      </c>
      <c r="L13" s="11" t="s">
        <v>2571</v>
      </c>
      <c r="M13" s="120" t="str">
        <f t="shared" si="0"/>
        <v>👉 [클릭] 수행지침 열기 📄</v>
      </c>
      <c r="N13" s="11" t="s">
        <v>2572</v>
      </c>
      <c r="O13" s="120" t="str">
        <f>HYPERLINK("C:\Users\sskjh\antigravity\01_전문업무_및_엔지니어링\11_현장_프로젝트\01_동탄트램\08.메뉴얼 및 평면도\최종\02_메뉴얼 공종프로섹스(집행단계)\매뉴얼BODY(집행단계-첨부폴더)v8\7.신호분야\12_시스템설비 설치 (현장_기능실)\체크리스트\시스템설비 설치 (현장_기능실)_체크리스트.html","👉 [클릭] 체크리스트 열기 📄")</f>
        <v>👉 [클릭] 체크리스트 열기 📄</v>
      </c>
      <c r="P13" s="10"/>
      <c r="Q13" s="71" t="s">
        <v>23</v>
      </c>
      <c r="R13" s="73" t="s">
        <v>1035</v>
      </c>
      <c r="S13" s="71"/>
    </row>
    <row r="14" spans="1:19" ht="104.4" customHeight="1" x14ac:dyDescent="0.4">
      <c r="A14" s="10" t="s">
        <v>519</v>
      </c>
      <c r="B14" s="10" t="s">
        <v>520</v>
      </c>
      <c r="C14" s="71" t="s">
        <v>2477</v>
      </c>
      <c r="D14" s="10" t="s">
        <v>2573</v>
      </c>
      <c r="E14" s="76" t="s">
        <v>2574</v>
      </c>
      <c r="F14" s="10" t="s">
        <v>2500</v>
      </c>
      <c r="G14" s="71" t="s">
        <v>2575</v>
      </c>
      <c r="H14" s="77" t="s">
        <v>2576</v>
      </c>
      <c r="I14" s="71" t="s">
        <v>2577</v>
      </c>
      <c r="J14" s="11" t="s">
        <v>2578</v>
      </c>
      <c r="K14" s="120" t="str">
        <f>HYPERLINK("C:\Users\sskjh\antigravity\01_전문업무_및_엔지니어링\11_현장_프로젝트\01_동탄트램\08.메뉴얼 및 평면도\최종\02_메뉴얼 공종프로섹스(집행단계)\매뉴얼BODY(집행단계-첨부폴더)v8\7.신호분야\13_시스템 단위시험\표준서\시스템 단위시험_표준서.html","👉 [클릭] 표준서 열기 📄")</f>
        <v>👉 [클릭] 표준서 열기 📄</v>
      </c>
      <c r="L14" s="11" t="s">
        <v>2579</v>
      </c>
      <c r="M14" s="120" t="str">
        <f t="shared" si="0"/>
        <v>👉 [클릭] 수행지침 열기 📄</v>
      </c>
      <c r="N14" s="11" t="s">
        <v>2580</v>
      </c>
      <c r="O14" s="120" t="str">
        <f>HYPERLINK("C:\Users\sskjh\antigravity\01_전문업무_및_엔지니어링\11_현장_프로젝트\01_동탄트램\08.메뉴얼 및 평면도\최종\02_메뉴얼 공종프로섹스(집행단계)\매뉴얼BODY(집행단계-첨부폴더)v8\7.신호분야\13_시스템 단위시험\체크리스트\시스템 단위시험_체크리스트.html","👉 [클릭] 체크리스트 열기 📄")</f>
        <v>👉 [클릭] 체크리스트 열기 📄</v>
      </c>
      <c r="P14" s="10"/>
      <c r="Q14" s="71" t="s">
        <v>23</v>
      </c>
      <c r="R14" s="73" t="s">
        <v>1035</v>
      </c>
      <c r="S14" s="71"/>
    </row>
    <row r="15" spans="1:19" ht="104.4" customHeight="1" x14ac:dyDescent="0.4">
      <c r="A15" s="10" t="s">
        <v>519</v>
      </c>
      <c r="B15" s="10" t="s">
        <v>520</v>
      </c>
      <c r="C15" s="71" t="s">
        <v>2477</v>
      </c>
      <c r="D15" s="10" t="s">
        <v>2581</v>
      </c>
      <c r="E15" s="76" t="s">
        <v>2582</v>
      </c>
      <c r="F15" s="10" t="s">
        <v>2500</v>
      </c>
      <c r="G15" s="71" t="s">
        <v>2583</v>
      </c>
      <c r="H15" s="77" t="s">
        <v>2584</v>
      </c>
      <c r="I15" s="71" t="s">
        <v>2577</v>
      </c>
      <c r="J15" s="11" t="s">
        <v>2585</v>
      </c>
      <c r="K15" s="120" t="str">
        <f>HYPERLINK("C:\Users\sskjh\antigravity\01_전문업무_및_엔지니어링\11_현장_프로젝트\01_동탄트램\08.메뉴얼 및 평면도\최종\02_메뉴얼 공종프로섹스(집행단계)\매뉴얼BODY(집행단계-첨부폴더)v8\7.신호분야\14_신호시스템 통합시험\표준서\신호시스템 통합시험_표준서.html","👉 [클릭] 표준서 열기 📄")</f>
        <v>👉 [클릭] 표준서 열기 📄</v>
      </c>
      <c r="L15" s="11" t="s">
        <v>2586</v>
      </c>
      <c r="M15" s="120" t="str">
        <f t="shared" si="0"/>
        <v>👉 [클릭] 수행지침 열기 📄</v>
      </c>
      <c r="N15" s="11" t="s">
        <v>2587</v>
      </c>
      <c r="O15" s="120" t="str">
        <f>HYPERLINK("C:\Users\sskjh\antigravity\01_전문업무_및_엔지니어링\11_현장_프로젝트\01_동탄트램\08.메뉴얼 및 평면도\최종\02_메뉴얼 공종프로섹스(집행단계)\매뉴얼BODY(집행단계-첨부폴더)v8\7.신호분야\14_신호시스템 통합시험\체크리스트\신호시스템 통합시험_체크리스트.html","👉 [클릭] 체크리스트 열기 📄")</f>
        <v>👉 [클릭] 체크리스트 열기 📄</v>
      </c>
      <c r="P15" s="10"/>
      <c r="Q15" s="71" t="s">
        <v>23</v>
      </c>
      <c r="R15" s="73" t="s">
        <v>1035</v>
      </c>
      <c r="S15" s="71"/>
    </row>
    <row r="16" spans="1:19" ht="104.4" customHeight="1" x14ac:dyDescent="0.4">
      <c r="A16" s="10" t="s">
        <v>519</v>
      </c>
      <c r="B16" s="10" t="s">
        <v>520</v>
      </c>
      <c r="C16" s="71" t="s">
        <v>2477</v>
      </c>
      <c r="D16" s="10" t="s">
        <v>2588</v>
      </c>
      <c r="E16" s="76" t="s">
        <v>2589</v>
      </c>
      <c r="F16" s="10" t="s">
        <v>2500</v>
      </c>
      <c r="G16" s="71" t="s">
        <v>2590</v>
      </c>
      <c r="H16" s="77" t="s">
        <v>2591</v>
      </c>
      <c r="I16" s="71" t="s">
        <v>2592</v>
      </c>
      <c r="J16" s="11" t="s">
        <v>2593</v>
      </c>
      <c r="K16" s="120" t="str">
        <f>HYPERLINK("C:\Users\sskjh\antigravity\01_전문업무_및_엔지니어링\11_현장_프로젝트\01_동탄트램\08.메뉴얼 및 평면도\최종\02_메뉴얼 공종프로섹스(집행단계)\매뉴얼BODY(집행단계-첨부폴더)v8\7.신호분야\15_공종별 시험\표준서\공종별 시험_표준서.html","👉 [클릭] 표준서 열기 📄")</f>
        <v>👉 [클릭] 표준서 열기 📄</v>
      </c>
      <c r="L16" s="11" t="s">
        <v>2594</v>
      </c>
      <c r="M16" s="120" t="str">
        <f t="shared" si="0"/>
        <v>👉 [클릭] 수행지침 열기 📄</v>
      </c>
      <c r="N16" s="11" t="s">
        <v>2595</v>
      </c>
      <c r="O16" s="120" t="str">
        <f>HYPERLINK("C:\Users\sskjh\antigravity\01_전문업무_및_엔지니어링\11_현장_프로젝트\01_동탄트램\08.메뉴얼 및 평면도\최종\02_메뉴얼 공종프로섹스(집행단계)\매뉴얼BODY(집행단계-첨부폴더)v8\7.신호분야\15_공종별 시험\체크리스트\공종별 시험_체크리스트.html","👉 [클릭] 체크리스트 열기 📄")</f>
        <v>👉 [클릭] 체크리스트 열기 📄</v>
      </c>
      <c r="P16" s="10"/>
      <c r="Q16" s="71" t="s">
        <v>23</v>
      </c>
      <c r="R16" s="73" t="s">
        <v>1035</v>
      </c>
      <c r="S16" s="71"/>
    </row>
    <row r="17" spans="1:19" ht="104.4" customHeight="1" x14ac:dyDescent="0.4">
      <c r="A17" s="10" t="s">
        <v>519</v>
      </c>
      <c r="B17" s="10" t="s">
        <v>520</v>
      </c>
      <c r="C17" s="71" t="s">
        <v>2477</v>
      </c>
      <c r="D17" s="10" t="s">
        <v>2596</v>
      </c>
      <c r="E17" s="76" t="s">
        <v>2597</v>
      </c>
      <c r="F17" s="10" t="s">
        <v>2598</v>
      </c>
      <c r="G17" s="71" t="s">
        <v>2599</v>
      </c>
      <c r="H17" s="77" t="s">
        <v>2600</v>
      </c>
      <c r="I17" s="71" t="s">
        <v>2601</v>
      </c>
      <c r="J17" s="11" t="s">
        <v>2602</v>
      </c>
      <c r="K17" s="120" t="str">
        <f>HYPERLINK("C:\Users\sskjh\antigravity\01_전문업무_및_엔지니어링\11_현장_프로젝트\01_동탄트램\08.메뉴얼 및 평면도\최종\02_메뉴얼 공종프로섹스(집행단계)\매뉴얼BODY(집행단계-첨부폴더)v8\7.신호분야\16_차량 투입 전 점검\표준서\차량 투입 전 점검_표준서.html","👉 [클릭] 표준서 열기 📄")</f>
        <v>👉 [클릭] 표준서 열기 📄</v>
      </c>
      <c r="L17" s="11" t="s">
        <v>2603</v>
      </c>
      <c r="M17" s="120" t="str">
        <f t="shared" si="0"/>
        <v>👉 [클릭] 수행지침 열기 📄</v>
      </c>
      <c r="N17" s="11" t="s">
        <v>2604</v>
      </c>
      <c r="O17" s="120" t="str">
        <f>HYPERLINK("C:\Users\sskjh\antigravity\01_전문업무_및_엔지니어링\11_현장_프로젝트\01_동탄트램\08.메뉴얼 및 평면도\최종\02_메뉴얼 공종프로섹스(집행단계)\매뉴얼BODY(집행단계-첨부폴더)v8\7.신호분야\16_차량 투입 전 점검\체크리스트\차량 투입 전 점검_체크리스트.html","👉 [클릭] 체크리스트 열기 📄")</f>
        <v>👉 [클릭] 체크리스트 열기 📄</v>
      </c>
      <c r="P17" s="10"/>
      <c r="Q17" s="71" t="s">
        <v>23</v>
      </c>
      <c r="R17" s="73" t="s">
        <v>1035</v>
      </c>
      <c r="S17" s="71"/>
    </row>
    <row r="18" spans="1:19" ht="104.4" customHeight="1" x14ac:dyDescent="0.4">
      <c r="A18" s="10" t="s">
        <v>519</v>
      </c>
      <c r="B18" s="10" t="s">
        <v>520</v>
      </c>
      <c r="C18" s="71" t="s">
        <v>2477</v>
      </c>
      <c r="D18" s="10" t="s">
        <v>2605</v>
      </c>
      <c r="E18" s="76" t="s">
        <v>2606</v>
      </c>
      <c r="F18" s="10" t="s">
        <v>2500</v>
      </c>
      <c r="G18" s="71" t="s">
        <v>2607</v>
      </c>
      <c r="H18" s="77" t="s">
        <v>2608</v>
      </c>
      <c r="I18" s="71" t="s">
        <v>2609</v>
      </c>
      <c r="J18" s="11" t="s">
        <v>2610</v>
      </c>
      <c r="K18" s="120" t="str">
        <f>HYPERLINK("C:\Users\sskjh\antigravity\01_전문업무_및_엔지니어링\11_현장_프로젝트\01_동탄트램\08.메뉴얼 및 평면도\최종\02_메뉴얼 공종프로섹스(집행단계)\매뉴얼BODY(집행단계-첨부폴더)v8\7.신호분야\17_차량 시운전\표준서\차량 시운전_표준서.html","👉 [클릭] 표준서 열기 📄")</f>
        <v>👉 [클릭] 표준서 열기 📄</v>
      </c>
      <c r="L18" s="11" t="s">
        <v>2611</v>
      </c>
      <c r="M18" s="120" t="str">
        <f t="shared" si="0"/>
        <v>👉 [클릭] 수행지침 열기 📄</v>
      </c>
      <c r="N18" s="11" t="s">
        <v>2612</v>
      </c>
      <c r="O18" s="120" t="str">
        <f>HYPERLINK("C:\Users\sskjh\antigravity\01_전문업무_및_엔지니어링\11_현장_프로젝트\01_동탄트램\08.메뉴얼 및 평면도\최종\02_메뉴얼 공종프로섹스(집행단계)\매뉴얼BODY(집행단계-첨부폴더)v8\7.신호분야\17_차량 시운전\체크리스트\차량 시운전_체크리스트.html","👉 [클릭] 체크리스트 열기 📄")</f>
        <v>👉 [클릭] 체크리스트 열기 📄</v>
      </c>
      <c r="P18" s="10"/>
      <c r="Q18" s="71" t="s">
        <v>23</v>
      </c>
      <c r="R18" s="73" t="s">
        <v>1035</v>
      </c>
      <c r="S18" s="71"/>
    </row>
    <row r="19" spans="1:19" ht="104.4" customHeight="1" x14ac:dyDescent="0.4">
      <c r="A19" s="10" t="s">
        <v>519</v>
      </c>
      <c r="B19" s="10" t="s">
        <v>520</v>
      </c>
      <c r="C19" s="71" t="s">
        <v>2477</v>
      </c>
      <c r="D19" s="10" t="s">
        <v>2613</v>
      </c>
      <c r="E19" s="76" t="s">
        <v>2614</v>
      </c>
      <c r="F19" s="10" t="s">
        <v>2500</v>
      </c>
      <c r="G19" s="71" t="s">
        <v>2615</v>
      </c>
      <c r="H19" s="77" t="s">
        <v>2616</v>
      </c>
      <c r="I19" s="71" t="s">
        <v>2617</v>
      </c>
      <c r="J19" s="11" t="s">
        <v>2618</v>
      </c>
      <c r="K19" s="120" t="str">
        <f>HYPERLINK("C:\Users\sskjh\antigravity\01_전문업무_및_엔지니어링\11_현장_프로젝트\01_동탄트램\08.메뉴얼 및 평면도\최종\02_메뉴얼 공종프로섹스(집행단계)\매뉴얼BODY(집행단계-첨부폴더)v8\7.신호분야\18_운영자 교육시행\표준서\운영자 교육시행_표준서.html","👉 [클릭] 표준서 열기 📄")</f>
        <v>👉 [클릭] 표준서 열기 📄</v>
      </c>
      <c r="L19" s="11" t="s">
        <v>2619</v>
      </c>
      <c r="M19" s="120" t="str">
        <f t="shared" si="0"/>
        <v>👉 [클릭] 수행지침 열기 📄</v>
      </c>
      <c r="N19" s="11" t="s">
        <v>2620</v>
      </c>
      <c r="O19" s="120" t="str">
        <f>HYPERLINK("C:\Users\sskjh\antigravity\01_전문업무_및_엔지니어링\11_현장_프로젝트\01_동탄트램\08.메뉴얼 및 평면도\최종\02_메뉴얼 공종프로섹스(집행단계)\매뉴얼BODY(집행단계-첨부폴더)v8\7.신호분야\18_운영자 교육시행\체크리스트\운영자 교육시행_체크리스트.html","👉 [클릭] 체크리스트 열기 📄")</f>
        <v>👉 [클릭] 체크리스트 열기 📄</v>
      </c>
      <c r="P19" s="10"/>
      <c r="Q19" s="71" t="s">
        <v>23</v>
      </c>
      <c r="R19" s="73" t="s">
        <v>1035</v>
      </c>
      <c r="S19" s="71"/>
    </row>
    <row r="20" spans="1:19" ht="104.4" customHeight="1" x14ac:dyDescent="0.4">
      <c r="A20" s="10" t="s">
        <v>519</v>
      </c>
      <c r="B20" s="10" t="s">
        <v>520</v>
      </c>
      <c r="C20" s="71" t="s">
        <v>2477</v>
      </c>
      <c r="D20" s="10" t="s">
        <v>2621</v>
      </c>
      <c r="E20" s="76" t="s">
        <v>2622</v>
      </c>
      <c r="F20" s="10" t="s">
        <v>2623</v>
      </c>
      <c r="G20" s="71" t="s">
        <v>2624</v>
      </c>
      <c r="H20" s="77" t="s">
        <v>2625</v>
      </c>
      <c r="I20" s="71" t="s">
        <v>2626</v>
      </c>
      <c r="J20" s="11" t="s">
        <v>2627</v>
      </c>
      <c r="K20" s="120"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검토\표준서\사전점검 및 철도기술기준 검토_표준서.html","👉 [클릭] 표준서 열기 📄")</f>
        <v>👉 [클릭] 표준서 열기 📄</v>
      </c>
      <c r="L20" s="11" t="s">
        <v>2628</v>
      </c>
      <c r="M20" s="120" t="str">
        <f t="shared" si="0"/>
        <v>👉 [클릭] 수행지침 열기 📄</v>
      </c>
      <c r="N20" s="11" t="s">
        <v>2629</v>
      </c>
      <c r="O20" s="120"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검토\체크리스트\사전점검 및 철도기술기준 검토_체크리스트.html","👉 [클릭] 체크리스트 열기 📄")</f>
        <v>👉 [클릭] 체크리스트 열기 📄</v>
      </c>
      <c r="P20" s="10"/>
      <c r="Q20" s="71" t="s">
        <v>23</v>
      </c>
      <c r="R20" s="73" t="s">
        <v>1035</v>
      </c>
      <c r="S20" s="71"/>
    </row>
    <row r="21" spans="1:19" ht="104.4" customHeight="1" x14ac:dyDescent="0.4">
      <c r="A21" s="10" t="s">
        <v>519</v>
      </c>
      <c r="B21" s="10" t="s">
        <v>520</v>
      </c>
      <c r="C21" s="71" t="s">
        <v>2477</v>
      </c>
      <c r="D21" s="10" t="s">
        <v>2630</v>
      </c>
      <c r="E21" s="76" t="s">
        <v>2631</v>
      </c>
      <c r="F21" s="10" t="s">
        <v>2623</v>
      </c>
      <c r="G21" s="71" t="s">
        <v>2632</v>
      </c>
      <c r="H21" s="77" t="s">
        <v>2633</v>
      </c>
      <c r="I21" s="71" t="s">
        <v>2634</v>
      </c>
      <c r="J21" s="11" t="s">
        <v>2635</v>
      </c>
      <c r="K21" s="120" t="str">
        <f>HYPERLINK("C:\Users\sskjh\antigravity\01_전문업무_및_엔지니어링\11_현장_프로젝트\01_동탄트램\08.메뉴얼 및 평면도\최종\02_메뉴얼 공종프로섹스(집행단계)\매뉴얼BODY(집행단계-첨부폴더)v8\7.신호분야\20_시설물 검증시험\표준서\시설물 검증시험_표준서.html","👉 [클릭] 표준서 열기 📄")</f>
        <v>👉 [클릭] 표준서 열기 📄</v>
      </c>
      <c r="L21" s="11" t="s">
        <v>2636</v>
      </c>
      <c r="M21" s="120" t="str">
        <f t="shared" si="0"/>
        <v>👉 [클릭] 수행지침 열기 📄</v>
      </c>
      <c r="N21" s="11" t="s">
        <v>2637</v>
      </c>
      <c r="O21" s="120" t="str">
        <f>HYPERLINK("C:\Users\sskjh\antigravity\01_전문업무_및_엔지니어링\11_현장_프로젝트\01_동탄트램\08.메뉴얼 및 평면도\최종\02_메뉴얼 공종프로섹스(집행단계)\매뉴얼BODY(집행단계-첨부폴더)v8\7.신호분야\20_시설물 검증시험\체크리스트\시설물 검증시험_체크리스트.html","👉 [클릭] 체크리스트 열기 📄")</f>
        <v>👉 [클릭] 체크리스트 열기 📄</v>
      </c>
      <c r="P21" s="10"/>
      <c r="Q21" s="71" t="s">
        <v>23</v>
      </c>
      <c r="R21" s="73" t="s">
        <v>1035</v>
      </c>
      <c r="S21" s="71"/>
    </row>
    <row r="22" spans="1:19" ht="104.4" customHeight="1" x14ac:dyDescent="0.4">
      <c r="A22" s="10" t="s">
        <v>519</v>
      </c>
      <c r="B22" s="10" t="s">
        <v>520</v>
      </c>
      <c r="C22" s="71" t="s">
        <v>2477</v>
      </c>
      <c r="D22" s="10" t="s">
        <v>2638</v>
      </c>
      <c r="E22" s="76" t="s">
        <v>2639</v>
      </c>
      <c r="F22" s="10" t="s">
        <v>2623</v>
      </c>
      <c r="G22" s="71" t="s">
        <v>2640</v>
      </c>
      <c r="H22" s="77" t="s">
        <v>2641</v>
      </c>
      <c r="I22" s="71" t="s">
        <v>2642</v>
      </c>
      <c r="J22" s="11" t="s">
        <v>2643</v>
      </c>
      <c r="K22" s="120" t="str">
        <f>HYPERLINK("C:\Users\sskjh\antigravity\01_전문업무_및_엔지니어링\11_현장_프로젝트\01_동탄트램\08.메뉴얼 및 평면도\최종\02_메뉴얼 공종프로섹스(집행단계)\매뉴얼BODY(집행단계-첨부폴더)v8\7.신호분야\21_영업 시운전\표준서\영업 시운전_표준서.html","👉 [클릭] 표준서 열기 📄")</f>
        <v>👉 [클릭] 표준서 열기 📄</v>
      </c>
      <c r="L22" s="11" t="s">
        <v>2644</v>
      </c>
      <c r="M22" s="120" t="str">
        <f t="shared" si="0"/>
        <v>👉 [클릭] 수행지침 열기 📄</v>
      </c>
      <c r="N22" s="11" t="s">
        <v>2645</v>
      </c>
      <c r="O22" s="120" t="str">
        <f>HYPERLINK("C:\Users\sskjh\antigravity\01_전문업무_및_엔지니어링\11_현장_프로젝트\01_동탄트램\08.메뉴얼 및 평면도\최종\02_메뉴얼 공종프로섹스(집행단계)\매뉴얼BODY(집행단계-첨부폴더)v8\7.신호분야\21_영업 시운전\체크리스트\영업 시운전_체크리스트.html","👉 [클릭] 체크리스트 열기 📄")</f>
        <v>👉 [클릭] 체크리스트 열기 📄</v>
      </c>
      <c r="P22" s="10"/>
      <c r="Q22" s="71" t="s">
        <v>23</v>
      </c>
      <c r="R22" s="73" t="s">
        <v>1035</v>
      </c>
      <c r="S22" s="71"/>
    </row>
    <row r="23" spans="1:19" ht="104.4" customHeight="1" x14ac:dyDescent="0.4">
      <c r="A23" s="10" t="s">
        <v>519</v>
      </c>
      <c r="B23" s="10" t="s">
        <v>520</v>
      </c>
      <c r="C23" s="71" t="s">
        <v>2477</v>
      </c>
      <c r="D23" s="10" t="s">
        <v>2646</v>
      </c>
      <c r="E23" s="76" t="s">
        <v>2647</v>
      </c>
      <c r="F23" s="10" t="s">
        <v>861</v>
      </c>
      <c r="G23" s="71" t="s">
        <v>2648</v>
      </c>
      <c r="H23" s="71" t="s">
        <v>2649</v>
      </c>
      <c r="I23" s="71" t="s">
        <v>2650</v>
      </c>
      <c r="J23" s="11" t="s">
        <v>2651</v>
      </c>
      <c r="K23" s="120" t="str">
        <f>HYPERLINK("C:\Users\sskjh\antigravity\01_전문업무_및_엔지니어링\11_현장_프로젝트\01_동탄트램\08.메뉴얼 및 평면도\최종\02_메뉴얼 공종프로섹스(집행단계)\매뉴얼BODY(집행단계-첨부폴더)v8\7.신호분야\22_유지관리 설치\표준서\유지관리 설치_표준서.html","👉 [클릭] 표준서 열기 📄")</f>
        <v>👉 [클릭] 표준서 열기 📄</v>
      </c>
      <c r="L23" s="11" t="s">
        <v>2652</v>
      </c>
      <c r="M23" s="120" t="str">
        <f t="shared" si="0"/>
        <v>👉 [클릭] 수행지침 열기 📄</v>
      </c>
      <c r="N23" s="11" t="s">
        <v>2653</v>
      </c>
      <c r="O23" s="120" t="str">
        <f>HYPERLINK("C:\Users\sskjh\antigravity\01_전문업무_및_엔지니어링\11_현장_프로젝트\01_동탄트램\08.메뉴얼 및 평면도\최종\02_메뉴얼 공종프로섹스(집행단계)\매뉴얼BODY(집행단계-첨부폴더)v8\7.신호분야\22_유지관리 설치\체크리스트\유지관리 설치_체크리스트.html","👉 [클릭] 체크리스트 열기 📄")</f>
        <v>👉 [클릭] 체크리스트 열기 📄</v>
      </c>
      <c r="P23" s="10"/>
      <c r="Q23" s="71" t="s">
        <v>23</v>
      </c>
      <c r="R23" s="73" t="s">
        <v>1035</v>
      </c>
      <c r="S23" s="71"/>
    </row>
  </sheetData>
  <phoneticPr fontId="3" type="noConversion"/>
  <hyperlinks>
    <hyperlink ref="K2" r:id="rId1" display="매뉴얼BODY(집행단계-첨부폴더)v8\7.신호분야\1_설계적정성 검토\표준서\설계적정성 검토_표준서.html" xr:uid="{3F3E2595-6CFF-4A57-A78E-2C70AE7FA776}"/>
    <hyperlink ref="M2" r:id="rId2" display="매뉴얼BODY(집행단계-첨부폴더)v8\7.신호분야\1_설계적정성 검토\수행지침\LTE-R_무선_AP를_통한_신호_제어_데이터_송수신_레벨_상세절차서.html" xr:uid="{B6D90C49-ED56-4FAE-99FB-B990C04BA0C9}"/>
    <hyperlink ref="O2" r:id="rId3" display="매뉴얼BODY(집행단계-첨부폴더)v8\7.신호분야\1_설계적정성 검토\체크리스트\설계적정성 검토_체크리스트.html" xr:uid="{C0241F3C-E62A-4F96-B74F-462BBA058F0A}"/>
    <hyperlink ref="K3" r:id="rId4" display="매뉴얼BODY(집행단계-첨부폴더)v8\7.신호분야\2_착수준비 KOM\표준서\착수준비 KOM_표준서.html" xr:uid="{141203FD-B6CD-4B3B-AA7E-8E618E60D2DA}"/>
    <hyperlink ref="M3" r:id="rId5" display="매뉴얼BODY(집행단계-첨부폴더)v8\7.신호분야\2_착수준비 KOM\수행지침\LTE-R_무선_AP를_통한_신호_제어_데이터_송수신_레벨_상세절차서.html" xr:uid="{467EC243-2236-402A-8A3D-353C5818F5A5}"/>
    <hyperlink ref="O3" r:id="rId6" display="매뉴얼BODY(집행단계-첨부폴더)v8\7.신호분야\2_착수준비 KOM\체크리스트\착수준비 KOM_체크리스트.html" xr:uid="{F8EAD73A-21A4-436E-B75D-ADDC5B207E79}"/>
    <hyperlink ref="K4" r:id="rId7" display="매뉴얼BODY(집행단계-첨부폴더)v8\7.신호분야\3_착수전 Big Room 회의\표준서\착수전 Big Room 회의_표준서.html" xr:uid="{A340293F-0D3E-4909-816F-F4BA5725BF39}"/>
    <hyperlink ref="M4" r:id="rId8" display="매뉴얼BODY(집행단계-첨부폴더)v8\7.신호분야\3_착수전 Big Room 회의\수행지침\LTE-R_무선_AP를_통한_신호_제어_데이터_송수신_레벨_상세절차서.html" xr:uid="{6865F8DF-B13F-4920-886A-9F16B2554BA0}"/>
    <hyperlink ref="O4" r:id="rId9" display="매뉴얼BODY(집행단계-첨부폴더)v8\7.신호분야\3_착수전 Big Room 회의\체크리스트\착수전 Big Room 회의_체크리스트.html" xr:uid="{7BB5E378-C576-45AF-80E0-DC7ABE7F0FB5}"/>
    <hyperlink ref="K5" r:id="rId10" display="매뉴얼BODY(집행단계-첨부폴더)v8\7.신호분야\4_전기 _ 통신 _ PSD _ 차량 인터페이스 협의\표준서\전기 _ 통신 _ PSD _ 차량 인터페이스 협의_표준서.html" xr:uid="{62709CE9-F9DA-4418-9BD8-CB453A7759BB}"/>
    <hyperlink ref="M5" r:id="rId11" display="매뉴얼BODY(집행단계-첨부폴더)v8\7.신호분야\4_전기 _ 통신 _ PSD _ 차량 인터페이스 협의\수행지침\LTE-R_무선_AP를_통한_신호_제어_데이터_송수신_레벨_상세절차서.html" xr:uid="{36C9525B-B6F7-4134-ABBC-A8CCA801D854}"/>
    <hyperlink ref="O5" r:id="rId12" display="매뉴얼BODY(집행단계-첨부폴더)v8\7.신호분야\4_전기 _ 통신 _ PSD _ 차량 인터페이스 협의\체크리스트\전기 _ 통신 _ PSD _ 차량 인터페이스 협의_체크리스트.html" xr:uid="{C9297DF0-CAB3-402D-89E7-75B394B476B9}"/>
    <hyperlink ref="K6" r:id="rId13" display="매뉴얼BODY(집행단계-첨부폴더)v8\7.신호분야\5_도로 _ 궤도 인터페이스 협의\표준서\도로 _ 궤도 인터페이스 협의_표준서.html" xr:uid="{6FF513D1-3C18-42E4-84A7-24F87F835C60}"/>
    <hyperlink ref="M6" r:id="rId14" display="매뉴얼BODY(집행단계-첨부폴더)v8\7.신호분야\5_도로 _ 궤도 인터페이스 협의\수행지침\LTE-R_무선_AP를_통한_신호_제어_데이터_송수신_레벨_상세절차서.html" xr:uid="{9EBCC690-FCF7-4C20-ABF0-5F2A0BE7A61D}"/>
    <hyperlink ref="O6" r:id="rId15" display="매뉴얼BODY(집행단계-첨부폴더)v8\7.신호분야\5_도로 _ 궤도 인터페이스 협의\체크리스트\도로 _ 궤도 인터페이스 협의_체크리스트.html" xr:uid="{6EECFF0F-BED8-4F75-9DCF-7190C493E055}"/>
    <hyperlink ref="K7" r:id="rId16" display="매뉴얼BODY(집행단계-첨부폴더)v8\7.신호분야\6_시공전 인터페이스 협의\표준서\시공전 인터페이스 협의_표준서.html" xr:uid="{F2560EFA-5F1F-4F0F-8FDA-FDCCAA2716B0}"/>
    <hyperlink ref="M7" r:id="rId17" display="매뉴얼BODY(집행단계-첨부폴더)v8\7.신호분야\6_시공전 인터페이스 협의\수행지침\LTE-R_무선_AP를_통한_신호_제어_데이터_송수신_레벨_상세절차서.html" xr:uid="{E4CD2D15-090C-4CFE-B5CE-DB2E33DF6E14}"/>
    <hyperlink ref="O7" r:id="rId18" display="매뉴얼BODY(집행단계-첨부폴더)v8\7.신호분야\6_시공전 인터페이스 협의\체크리스트\시공전 인터페이스 협의_체크리스트.html" xr:uid="{DF673C6F-F232-4B2A-AF5C-7DD5D7A3B159}"/>
    <hyperlink ref="K8" r:id="rId19" display="매뉴얼BODY(집행단계-첨부폴더)v8\7.신호분야\7_시스템 장비검토 사전 협의사항 도출 및 검토\표준서\시스템 장비검토 사전 협의사항 도출 및 검토_표준서.html" xr:uid="{CAD80F5E-AF9C-4E3C-A484-B356AC241B78}"/>
    <hyperlink ref="M8" r:id="rId20" display="매뉴얼BODY(집행단계-첨부폴더)v8\7.신호분야\7_시스템 장비검토 사전 협의사항 도출 및 검토\수행지침\CBI_CPU_2중화_절체_반응_속도(≤0.5초)_검토_상세절차서.html" xr:uid="{0836142B-7F56-41AD-9AF1-3FFCF8C605C3}"/>
    <hyperlink ref="O8" r:id="rId21" display="매뉴얼BODY(집행단계-첨부폴더)v8\7.신호분야\7_시스템 장비검토 사전 협의사항 도출 및 검토\체크리스트\시스템 장비검토 사전 협의사항 도출 및 검토_체크리스트.html" xr:uid="{EBD2E278-CE94-4443-B33F-DA5E9710E5B0}"/>
    <hyperlink ref="K9" r:id="rId22" display="매뉴얼BODY(집행단계-첨부폴더)v8\7.신호분야\8_관제 및 운영사 인터페이스 협의\표준서\관제 및 운영사 인터페이스 협의_표준서.html" xr:uid="{FA6E75ED-E07F-4E27-B5A1-C4F8AC768A2C}"/>
    <hyperlink ref="M9" r:id="rId23" display="매뉴얼BODY(집행단계-첨부폴더)v8\7.신호분야\8_관제 및 운영사 인터페이스 협의\수행지침\LTE-R_무선_AP를_통한_신호_제어_데이터_송수신_레벨_상세절차서.html" xr:uid="{B33849E3-8531-4983-B6A9-77FE08B20940}"/>
    <hyperlink ref="O9" r:id="rId24" display="매뉴얼BODY(집행단계-첨부폴더)v8\7.신호분야\8_관제 및 운영사 인터페이스 협의\체크리스트\관제 및 운영사 인터페이스 협의_체크리스트.html" xr:uid="{A48E1A78-76ED-46D5-9A34-4147251CC3F3}"/>
    <hyperlink ref="K10" r:id="rId25" display="매뉴얼BODY(집행단계-첨부폴더)v8\7.신호분야\9_자재 _ 인원 _ 장비 및 투입 사전 검토\표준서\자재 _ 인원 _ 장비 및 투입 사전 검토_표준서.html" xr:uid="{55A162E1-A194-40F0-B0CC-6FCE1858652F}"/>
    <hyperlink ref="M10" r:id="rId26" display="매뉴얼BODY(집행단계-첨부폴더)v8\7.신호분야\9_자재 _ 인원 _ 장비 및 투입 사전 검토\수행지침\LTE-R_무선_AP를_통한_신호_제어_데이터_송수신_레벨_상세절차서.html" xr:uid="{66ADE795-8519-4339-8681-7A6CA06BC013}"/>
    <hyperlink ref="O10" r:id="rId27" display="매뉴얼BODY(집행단계-첨부폴더)v8\7.신호분야\9_자재 _ 인원 _ 장비 및 투입 사전 검토\체크리스트\자재 _ 인원 _ 장비 및 투입 사전 검토_체크리스트.html" xr:uid="{69AD1CF2-29DB-4ACF-BB17-A2DAA87813CC}"/>
    <hyperlink ref="K11" r:id="rId28" display="매뉴얼BODY(집행단계-첨부폴더)v8\7.신호분야\10_장비반입 및 안전교육\표준서\장비반입 및 안전교육_표준서.html" xr:uid="{024E664C-C707-4E65-8E1D-3FC38012C85B}"/>
    <hyperlink ref="M11" r:id="rId29" display="매뉴얼BODY(집행단계-첨부폴더)v8\7.신호분야\10_장비반입 및 안전교육\수행지침\LTE-R_무선_AP를_통한_신호_제어_데이터_송수신_레벨_상세절차서.html" xr:uid="{4964C169-CF97-4F5C-BB9B-177C7EE033D4}"/>
    <hyperlink ref="O11" r:id="rId30" display="매뉴얼BODY(집행단계-첨부폴더)v8\7.신호분야\10_장비반입 및 안전교육\체크리스트\장비반입 및 안전교육_체크리스트.html" xr:uid="{4C5470BD-E878-4A75-9624-76066A94DEC3}"/>
    <hyperlink ref="K12" r:id="rId31" display="매뉴얼BODY(집행단계-첨부폴더)v8\7.신호분야\11_자재 반입 및 검수\표준서\자재 반입 및 검수_표준서.html" xr:uid="{23CFD16E-BA9E-4BEB-B138-4E8D94115A06}"/>
    <hyperlink ref="M12" r:id="rId32" display="매뉴얼BODY(집행단계-첨부폴더)v8\7.신호분야\11_자재 반입 및 검수\수행지침\LTE-R_무선_AP를_통한_신호_제어_데이터_송수신_레벨_상세절차서.html" xr:uid="{7753FC63-12E6-4747-BB1C-FAC12DFE7931}"/>
    <hyperlink ref="O12" r:id="rId33" display="매뉴얼BODY(집행단계-첨부폴더)v8\7.신호분야\11_자재 반입 및 검수\체크리스트\자재 반입 및 검수_체크리스트.html" xr:uid="{63688A66-7EDB-495F-9C16-2F99B2782570}"/>
    <hyperlink ref="K13" r:id="rId34" display="매뉴얼BODY(집행단계-첨부폴더)v8\7.신호분야\12_시스템설비 설치 (현장_기능실)\표준서\시스템설비 설치 (현장_기능실)_표준서.html" xr:uid="{EB461264-8010-4217-B0CA-200B2652CD70}"/>
    <hyperlink ref="M13" r:id="rId35" display="매뉴얼BODY(집행단계-첨부폴더)v8\7.신호분야\12_시스템설비 설치 (현장_기능실)\수행지침\LTE-R_무선_AP를_통한_신호_제어_데이터_송수신_레벨_상세절차서.html" xr:uid="{9E84D3A0-D89A-4308-95E3-5CEA17991A43}"/>
    <hyperlink ref="O13" r:id="rId36" display="매뉴얼BODY(집행단계-첨부폴더)v8\7.신호분야\12_시스템설비 설치 (현장_기능실)\체크리스트\시스템설비 설치 (현장_기능실)_체크리스트.html" xr:uid="{9B360461-E8A8-45A0-85D6-8E054BDE1A62}"/>
    <hyperlink ref="K14" r:id="rId37" display="매뉴얼BODY(집행단계-첨부폴더)v8\7.신호분야\13_시스템 단위시험\표준서\시스템 단위시험_표준서.html" xr:uid="{4AC993DC-549C-4999-AE8F-30FA86419467}"/>
    <hyperlink ref="M14" r:id="rId38" display="매뉴얼BODY(집행단계-첨부폴더)v8\7.신호분야\13_시스템 단위시험\수행지침\CBI_IO_릴레이_모듈_동작_상태_검측_상세절차서.html" xr:uid="{4B151BB7-579C-4653-852C-C4840E276E2B}"/>
    <hyperlink ref="O14" r:id="rId39" display="매뉴얼BODY(집행단계-첨부폴더)v8\7.신호분야\13_시스템 단위시험\체크리스트\시스템 단위시험_체크리스트.html" xr:uid="{C0A40ADB-B128-4020-87FF-D2D4C62AA976}"/>
    <hyperlink ref="K15" r:id="rId40" display="매뉴얼BODY(집행단계-첨부폴더)v8\7.신호분야\14_신호시스템 통합시험\표준서\신호시스템 통합시험_표준서.html" xr:uid="{502A756A-9F63-46D0-B241-1065CBF05778}"/>
    <hyperlink ref="M15" r:id="rId41" display="매뉴얼BODY(집행단계-첨부폴더)v8\7.신호분야\14_신호시스템 통합시험\수행지침\LTE-R_무선_AP를_통한_신호_제어_데이터_송수신_레벨_상세절차서.html" xr:uid="{2D4DF388-ABB2-4236-A06E-5ADC42CE581F}"/>
    <hyperlink ref="O15" r:id="rId42" display="매뉴얼BODY(집행단계-첨부폴더)v8\7.신호분야\14_신호시스템 통합시험\체크리스트\신호시스템 통합시험_체크리스트.html" xr:uid="{BEA8D9A8-234C-4C1F-A175-FE5A881C5AAD}"/>
    <hyperlink ref="K16" r:id="rId43" display="매뉴얼BODY(집행단계-첨부폴더)v8\7.신호분야\15_공종별 시험\표준서\공종별 시험_표준서.html" xr:uid="{0ED6B756-74EA-414B-A637-1CF517C3EE65}"/>
    <hyperlink ref="M16" r:id="rId44" display="매뉴얼BODY(집행단계-첨부폴더)v8\7.신호분야\15_공종별 시험\수행지침\LTE-R_무선_AP를_통한_신호_제어_데이터_송수신_레벨_상세절차서.html" xr:uid="{4DD4D61E-E460-4A35-A226-7FA35EE5B124}"/>
    <hyperlink ref="O16" r:id="rId45" display="매뉴얼BODY(집행단계-첨부폴더)v8\7.신호분야\15_공종별 시험\체크리스트\공종별 시험_체크리스트.html" xr:uid="{748A57C8-DAFB-4292-8BB2-BA2E22A1A1FA}"/>
    <hyperlink ref="K17" r:id="rId46" display="매뉴얼BODY(집행단계-첨부폴더)v8\7.신호분야\16_차량 투입 전 점검\표준서\차량 투입 전 점검_표준서.html" xr:uid="{AA8EBEE8-8814-48BF-8420-749D3E39F6B3}"/>
    <hyperlink ref="M17" r:id="rId47" display="매뉴얼BODY(집행단계-첨부폴더)v8\7.신호분야\16_차량 투입 전 점검\수행지침\LTE-R_무선_AP를_통한_신호_제어_데이터_송수신_레벨_상세절차서.html" xr:uid="{C1948597-C0E2-4134-BD0F-9B389FF6D359}"/>
    <hyperlink ref="O17" r:id="rId48" display="매뉴얼BODY(집행단계-첨부폴더)v8\7.신호분야\16_차량 투입 전 점검\체크리스트\차량 투입 전 점검_체크리스트.html" xr:uid="{56474784-2F8C-45AE-AACB-B4DC5D398567}"/>
    <hyperlink ref="K18" r:id="rId49" display="매뉴얼BODY(집행단계-첨부폴더)v8\7.신호분야\17_차량 시운전\표준서\차량 시운전_표준서.html" xr:uid="{F2F34B0E-0F81-4A30-8F19-E84F3F084B33}"/>
    <hyperlink ref="M18" r:id="rId50" display="매뉴얼BODY(집행단계-첨부폴더)v8\7.신호분야\17_차량 시운전\수행지침\LTE-R_무선_AP를_통한_신호_제어_데이터_송수신_레벨_상세절차서.html" xr:uid="{C85AAEEA-0378-4181-ABFB-99C4F885C5C1}"/>
    <hyperlink ref="O18" r:id="rId51" display="매뉴얼BODY(집행단계-첨부폴더)v8\7.신호분야\17_차량 시운전\체크리스트\차량 시운전_체크리스트.html" xr:uid="{4358BB29-7C38-4D12-A5E0-DF1B85C34440}"/>
    <hyperlink ref="K19" r:id="rId52" display="매뉴얼BODY(집행단계-첨부폴더)v8\7.신호분야\18_운영자 교육시행\표준서\운영자 교육시행_표준서.html" xr:uid="{E5673046-703A-4377-84C4-7EA66C7E57E2}"/>
    <hyperlink ref="M19" r:id="rId53" display="매뉴얼BODY(집행단계-첨부폴더)v8\7.신호분야\18_운영자 교육시행\수행지침\LTE-R_무선_AP를_통한_신호_제어_데이터_송수신_레벨_상세절차서.html" xr:uid="{8E5D69E5-DDB1-4A0C-95E0-4D1B774DAE4C}"/>
    <hyperlink ref="O19" r:id="rId54" display="매뉴얼BODY(집행단계-첨부폴더)v8\7.신호분야\18_운영자 교육시행\체크리스트\운영자 교육시행_체크리스트.html" xr:uid="{882F9FFF-0219-4A87-858F-4099409AA6DA}"/>
    <hyperlink ref="K20" r:id="rId55" display="매뉴얼BODY(집행단계-첨부폴더)v8\7.신호분야\19_사전점검 및 철도기술기준 검토\표준서\사전점검 및 철도기술기준 검토_표준서.html" xr:uid="{10D8204B-05C9-4A15-BB16-7FD46E9AD9E7}"/>
    <hyperlink ref="M20" r:id="rId56" display="매뉴얼BODY(집행단계-첨부폴더)v8\7.신호분야\19_사전점검 및 철도기술기준 검토\수행지침\LTE-R_무선_AP를_통한_신호_제어_데이터_송수신_레벨_상세절차서.html" xr:uid="{91B4ED81-874A-4814-8EFF-218244F7D631}"/>
    <hyperlink ref="O20" r:id="rId57" display="매뉴얼BODY(집행단계-첨부폴더)v8\7.신호분야\19_사전점검 및 철도기술기준 검토\체크리스트\사전점검 및 철도기술기준 검토_체크리스트.html" xr:uid="{FE4F1784-B5FA-4383-96C3-58DF1D855163}"/>
    <hyperlink ref="K21" r:id="rId58" display="매뉴얼BODY(집행단계-첨부폴더)v8\7.신호분야\20_시설물 검증시험\표준서\시설물 검증시험_표준서.html" xr:uid="{18079E6C-45E8-4AB6-89FC-9AC6ABBAF65E}"/>
    <hyperlink ref="M21" r:id="rId59" display="매뉴얼BODY(집행단계-첨부폴더)v8\7.신호분야\20_시설물 검증시험\수행지침\LTE-R_무선_AP를_통한_신호_제어_데이터_송수신_레벨_상세절차서.html" xr:uid="{80329DD4-CB60-4223-8B48-291F4C283D37}"/>
    <hyperlink ref="O21" r:id="rId60" display="매뉴얼BODY(집행단계-첨부폴더)v8\7.신호분야\20_시설물 검증시험\체크리스트\시설물 검증시험_체크리스트.html" xr:uid="{94AF5D7E-3926-4C23-B79E-A2AD0FD8CB5D}"/>
    <hyperlink ref="K22" r:id="rId61" display="매뉴얼BODY(집행단계-첨부폴더)v8\7.신호분야\21_영업 시운전\표준서\영업 시운전_표준서.html" xr:uid="{36D358CF-C44B-4CF7-AD30-ACE860A3FBBF}"/>
    <hyperlink ref="M22" r:id="rId62" display="매뉴얼BODY(집행단계-첨부폴더)v8\7.신호분야\21_영업 시운전\수행지침\LTE-R_무선_AP를_통한_신호_제어_데이터_송수신_레벨_상세절차서.html" xr:uid="{539BDE93-AE96-4B33-BDAA-6E6CEC5C8844}"/>
    <hyperlink ref="O22" r:id="rId63" display="매뉴얼BODY(집행단계-첨부폴더)v8\7.신호분야\21_영업 시운전\체크리스트\영업 시운전_체크리스트.html" xr:uid="{E0F8F102-81B0-4049-BCF1-AD3048B59DD9}"/>
    <hyperlink ref="K23" r:id="rId64" display="매뉴얼BODY(집행단계-첨부폴더)v8\7.신호분야\22_유지관리 설치\표준서\유지관리 설치_표준서.html" xr:uid="{8B3537A6-E1D4-4F34-A610-8BDC5578356E}"/>
    <hyperlink ref="M23" r:id="rId65" display="매뉴얼BODY(집행단계-첨부폴더)v8\7.신호분야\22_유지관리 설치\수행지침\LTE-R_무선_AP를_통한_신호_제어_데이터_송수신_레벨_상세절차서.html" xr:uid="{C27E5846-C08E-4543-8042-06541D7D3B0B}"/>
    <hyperlink ref="O23" r:id="rId66" display="매뉴얼BODY(집행단계-첨부폴더)v8\7.신호분야\22_유지관리 설치\체크리스트\유지관리 설치_체크리스트.html" xr:uid="{5AF9C676-8355-4762-A273-AA3CA79A656E}"/>
  </hyperlinks>
  <printOptions horizontalCentered="1"/>
  <pageMargins left="0.74803149606299213" right="0.74803149606299213" top="0.98425196850393704" bottom="0.98425196850393704" header="0.51181102362204722" footer="0.51181102362204722"/>
  <pageSetup paperSize="8" scale="38" orientation="landscape" verticalDpi="0" r:id="rId6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FF00"/>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defaultRowHeight="19.2" x14ac:dyDescent="0.4"/>
  <cols>
    <col min="1" max="2" width="9" style="4" bestFit="1" customWidth="1"/>
    <col min="3" max="3" width="13.19921875" style="4" bestFit="1" customWidth="1"/>
    <col min="4" max="4" width="11.19921875" style="4" bestFit="1" customWidth="1"/>
    <col min="5" max="5" width="30.3984375" style="4" customWidth="1"/>
    <col min="6" max="6" width="21.69921875" style="4" customWidth="1"/>
    <col min="7" max="7" width="32.59765625" style="3" customWidth="1"/>
    <col min="8" max="8" width="73.09765625" style="3" customWidth="1"/>
    <col min="9" max="9" width="19.3984375" style="4" customWidth="1"/>
    <col min="10" max="10" width="53" style="3" customWidth="1"/>
    <col min="11" max="11" width="14.69921875" style="3" customWidth="1"/>
    <col min="12" max="12" width="45" style="3" customWidth="1"/>
    <col min="13" max="13" width="14.5" style="3" customWidth="1"/>
    <col min="14" max="14" width="45" style="3" customWidth="1"/>
    <col min="15" max="15" width="16.09765625" style="68" customWidth="1"/>
    <col min="16" max="16" width="15.796875" style="3" customWidth="1"/>
    <col min="17" max="17" width="45" style="68" customWidth="1"/>
    <col min="18" max="18" width="22" style="68" customWidth="1"/>
    <col min="19" max="35" width="45" style="3" customWidth="1"/>
    <col min="36" max="70" width="8.796875" style="3" customWidth="1"/>
    <col min="71" max="16384" width="8.796875" style="3"/>
  </cols>
  <sheetData>
    <row r="1" spans="1:19" ht="57.6" customHeight="1" x14ac:dyDescent="0.4">
      <c r="A1" s="27" t="s">
        <v>1</v>
      </c>
      <c r="B1" s="27" t="s">
        <v>2</v>
      </c>
      <c r="C1" s="27" t="s">
        <v>3</v>
      </c>
      <c r="D1" s="27" t="s">
        <v>4</v>
      </c>
      <c r="E1" s="27" t="s">
        <v>5</v>
      </c>
      <c r="F1" s="27" t="s">
        <v>637</v>
      </c>
      <c r="G1" s="27" t="s">
        <v>639</v>
      </c>
      <c r="H1" s="59" t="s">
        <v>640</v>
      </c>
      <c r="I1" s="59" t="s">
        <v>641</v>
      </c>
      <c r="J1" s="59" t="s">
        <v>642</v>
      </c>
      <c r="K1" s="28" t="s">
        <v>3108</v>
      </c>
      <c r="L1" s="59" t="s">
        <v>644</v>
      </c>
      <c r="M1" s="28" t="s">
        <v>3109</v>
      </c>
      <c r="N1" s="59" t="s">
        <v>646</v>
      </c>
      <c r="O1" s="60" t="s">
        <v>3110</v>
      </c>
      <c r="P1" s="20" t="s">
        <v>1022</v>
      </c>
      <c r="Q1" s="20" t="s">
        <v>1023</v>
      </c>
      <c r="R1" s="20" t="s">
        <v>1024</v>
      </c>
      <c r="S1" s="20" t="s">
        <v>1025</v>
      </c>
    </row>
    <row r="2" spans="1:19" ht="199.2" customHeight="1" x14ac:dyDescent="0.4">
      <c r="A2" s="55" t="s">
        <v>519</v>
      </c>
      <c r="B2" s="55" t="s">
        <v>535</v>
      </c>
      <c r="C2" s="55" t="s">
        <v>2654</v>
      </c>
      <c r="D2" s="55" t="s">
        <v>537</v>
      </c>
      <c r="E2" s="55" t="s">
        <v>1805</v>
      </c>
      <c r="F2" s="55" t="s">
        <v>838</v>
      </c>
      <c r="G2" s="54" t="s">
        <v>2655</v>
      </c>
      <c r="H2" s="56" t="s">
        <v>2656</v>
      </c>
      <c r="I2" s="55" t="s">
        <v>2657</v>
      </c>
      <c r="J2" s="65" t="s">
        <v>2658</v>
      </c>
      <c r="K2" s="120" t="str">
        <f>HYPERLINK("C:\Users\sskjh\antigravity\01_전문업무_및_엔지니어링\11_현장_프로젝트\01_동탄트램\08.메뉴얼 및 평면도\최종\02_메뉴얼 공종프로섹스(집행단계)\매뉴얼BODY(집행단계-첨부폴더)v8\9.통신분야\1_설계적정성 검토\표준서\설계적정성 검토_표준서.html","👉 [클릭] 표준서 열기 📄")</f>
        <v>👉 [클릭] 표준서 열기 📄</v>
      </c>
      <c r="L2" s="65" t="s">
        <v>2659</v>
      </c>
      <c r="M2" s="120" t="str">
        <f>HYPERLINK("C:\Users\sskjh\antigravity\01_전문업무_및_엔지니어링\11_현장_프로젝트\01_동탄트램\08.메뉴얼 및 평면도\최종\02_메뉴얼 공종프로섹스(집행단계)\매뉴얼BODY(집행단계-첨부폴더)v8\9.통신분야\1_설계적정성 검토\수행지침\설계적정성 검토_수행지침.html","👉 [클릭] 수행지침 열기 📄")</f>
        <v>👉 [클릭] 수행지침 열기 📄</v>
      </c>
      <c r="N2" s="65" t="s">
        <v>2660</v>
      </c>
      <c r="O2" s="120" t="str">
        <f>HYPERLINK("C:\Users\sskjh\antigravity\01_전문업무_및_엔지니어링\11_현장_프로젝트\01_동탄트램\08.메뉴얼 및 평면도\최종\02_메뉴얼 공종프로섹스(집행단계)\매뉴얼BODY(집행단계-첨부폴더)v8\9.통신분야\1_설계적정성 검토\체크리스트\9000-2-1_설계적정성 검토_체크리스트.html","👉 [클릭] 체크리스트 열기 📄")</f>
        <v>👉 [클릭] 체크리스트 열기 📄</v>
      </c>
      <c r="P2" s="61"/>
      <c r="Q2" s="66" t="s">
        <v>23</v>
      </c>
      <c r="R2" s="67" t="s">
        <v>1035</v>
      </c>
      <c r="S2" s="64"/>
    </row>
    <row r="3" spans="1:19" ht="219.6" customHeight="1" x14ac:dyDescent="0.4">
      <c r="A3" s="57" t="s">
        <v>519</v>
      </c>
      <c r="B3" s="57" t="s">
        <v>535</v>
      </c>
      <c r="C3" s="57" t="s">
        <v>2654</v>
      </c>
      <c r="D3" s="57" t="s">
        <v>543</v>
      </c>
      <c r="E3" s="57" t="s">
        <v>2661</v>
      </c>
      <c r="F3" s="55" t="s">
        <v>861</v>
      </c>
      <c r="G3" s="54" t="s">
        <v>2662</v>
      </c>
      <c r="H3" s="56" t="s">
        <v>2663</v>
      </c>
      <c r="I3" s="55" t="s">
        <v>2664</v>
      </c>
      <c r="J3" s="65" t="s">
        <v>2665</v>
      </c>
      <c r="K3" s="120" t="str">
        <f>HYPERLINK("C:\Users\sskjh\antigravity\01_전문업무_및_엔지니어링\11_현장_프로젝트\01_동탄트램\08.메뉴얼 및 평면도\최종\02_메뉴얼 공종프로섹스(집행단계)\매뉴얼BODY(집행단계-첨부폴더)v8\9.통신분야\2_착수전략 KOM\표준서\발주전략 KOM_표준서.html","👉 [클릭] 표준서 열기 📄")</f>
        <v>👉 [클릭] 표준서 열기 📄</v>
      </c>
      <c r="L3" s="65" t="s">
        <v>2666</v>
      </c>
      <c r="M3" s="120" t="str">
        <f>HYPERLINK("C:\Users\sskjh\antigravity\01_전문업무_및_엔지니어링\11_현장_프로젝트\01_동탄트램\08.메뉴얼 및 평면도\최종\02_메뉴얼 공종프로섹스(집행단계)\매뉴얼BODY(집행단계-첨부폴더)v8\9.통신분야\2_착수전략 KOM\수행지침\발주전략 KOM_수행지침.html","👉 [클릭] 수행지침 열기 📄")</f>
        <v>👉 [클릭] 수행지침 열기 📄</v>
      </c>
      <c r="N3" s="65" t="s">
        <v>2667</v>
      </c>
      <c r="O3" s="120" t="str">
        <f>HYPERLINK("C:\Users\sskjh\antigravity\01_전문업무_및_엔지니어링\11_현장_프로젝트\01_동탄트램\08.메뉴얼 및 평면도\최종\02_메뉴얼 공종프로섹스(집행단계)\매뉴얼BODY(집행단계-첨부폴더)v8\9.통신분야\2_착수전략 KOM\체크리스트\발주전략 KOM_체크리스트.html","👉 [클릭] 체크리스트 열기 📄")</f>
        <v>👉 [클릭] 체크리스트 열기 📄</v>
      </c>
      <c r="P3" s="61"/>
      <c r="Q3" s="66" t="s">
        <v>23</v>
      </c>
      <c r="R3" s="67" t="s">
        <v>1035</v>
      </c>
      <c r="S3" s="64"/>
    </row>
    <row r="4" spans="1:19" ht="133.80000000000001" customHeight="1" x14ac:dyDescent="0.4">
      <c r="A4" s="55" t="s">
        <v>519</v>
      </c>
      <c r="B4" s="55" t="s">
        <v>535</v>
      </c>
      <c r="C4" s="55" t="s">
        <v>2654</v>
      </c>
      <c r="D4" s="55" t="s">
        <v>2668</v>
      </c>
      <c r="E4" s="55" t="s">
        <v>2669</v>
      </c>
      <c r="F4" s="55" t="s">
        <v>2500</v>
      </c>
      <c r="G4" s="54" t="s">
        <v>2670</v>
      </c>
      <c r="H4" s="56" t="s">
        <v>2671</v>
      </c>
      <c r="I4" s="55" t="s">
        <v>2503</v>
      </c>
      <c r="J4" s="65" t="s">
        <v>2672</v>
      </c>
      <c r="K4" s="120" t="str">
        <f>HYPERLINK("C:\Users\sskjh\antigravity\01_전문업무_및_엔지니어링\11_현장_프로젝트\01_동탄트램\08.메뉴얼 및 평면도\최종\02_메뉴얼 공종프로섹스(집행단계)\매뉴얼BODY(집행단계-첨부폴더)v8\9.통신분야\3_토목 _ 건축 인터페이스 협의\표준서\토목 _ 건축 인터페이스 협의_표준서.html","👉 [클릭] 표준서 열기 📄")</f>
        <v>👉 [클릭] 표준서 열기 📄</v>
      </c>
      <c r="L4" s="65" t="s">
        <v>2673</v>
      </c>
      <c r="M4" s="120" t="str">
        <f>HYPERLINK("C:\Users\sskjh\antigravity\01_전문업무_및_엔지니어링\11_현장_프로젝트\01_동탄트램\08.메뉴얼 및 평면도\최종\02_메뉴얼 공종프로섹스(집행단계)\매뉴얼BODY(집행단계-첨부폴더)v8\9.통신분야\3_토목 _ 건축 인터페이스 협의\수행지침\토목 _ 건축 인터페이스 협의_수행지침.html","👉 [클릭] 수행지침 열기 📄")</f>
        <v>👉 [클릭] 수행지침 열기 📄</v>
      </c>
      <c r="N4" s="65" t="s">
        <v>2674</v>
      </c>
      <c r="O4" s="120" t="str">
        <f>HYPERLINK("C:\Users\sskjh\antigravity\01_전문업무_및_엔지니어링\11_현장_프로젝트\01_동탄트램\08.메뉴얼 및 평면도\최종\02_메뉴얼 공종프로섹스(집행단계)\매뉴얼BODY(집행단계-첨부폴더)v8\9.통신분야\3_토목 _ 건축 인터페이스 협의\체크리스트\9000-2-3_토목 _ 건축 인터페이스 협의_체크리스트.html","👉 [클릭] 체크리스트 열기 📄")</f>
        <v>👉 [클릭] 체크리스트 열기 📄</v>
      </c>
      <c r="P4" s="61"/>
      <c r="Q4" s="66" t="s">
        <v>23</v>
      </c>
      <c r="R4" s="67" t="s">
        <v>1035</v>
      </c>
      <c r="S4" s="64"/>
    </row>
    <row r="5" spans="1:19" ht="133.80000000000001" customHeight="1" x14ac:dyDescent="0.4">
      <c r="A5" s="55" t="s">
        <v>519</v>
      </c>
      <c r="B5" s="55" t="s">
        <v>535</v>
      </c>
      <c r="C5" s="55" t="s">
        <v>2654</v>
      </c>
      <c r="D5" s="55" t="s">
        <v>2675</v>
      </c>
      <c r="E5" s="55" t="s">
        <v>2676</v>
      </c>
      <c r="F5" s="55" t="s">
        <v>2677</v>
      </c>
      <c r="G5" s="54" t="s">
        <v>2678</v>
      </c>
      <c r="H5" s="56" t="s">
        <v>2679</v>
      </c>
      <c r="I5" s="55" t="s">
        <v>2503</v>
      </c>
      <c r="J5" s="65" t="s">
        <v>2680</v>
      </c>
      <c r="K5" s="12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협의\표준서\전기 _ 신호 _ 기계 _ PSD _ 차량 인터페이스 협의_표준서.html","👉 [클릭] 표준서 열기 📄")</f>
        <v>👉 [클릭] 표준서 열기 📄</v>
      </c>
      <c r="L5" s="65" t="s">
        <v>2681</v>
      </c>
      <c r="M5" s="12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협의\수행지침\전기 _ 신호 _ 기계 _ PSD _ 차량 인터페이스 협의_수행지침.html","👉 [클릭] 수행지침 열기 📄")</f>
        <v>👉 [클릭] 수행지침 열기 📄</v>
      </c>
      <c r="N5" s="65" t="s">
        <v>2682</v>
      </c>
      <c r="O5" s="12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협의\체크리스트\9000-2-4_전기 _ 신호 _ 기계 _ PSD _ 차량 인터페이스 협의_체크리스트.html","👉 [클릭] 체크리스트 열기 📄")</f>
        <v>👉 [클릭] 체크리스트 열기 📄</v>
      </c>
      <c r="P5" s="61"/>
      <c r="Q5" s="66" t="s">
        <v>23</v>
      </c>
      <c r="R5" s="67" t="s">
        <v>1035</v>
      </c>
      <c r="S5" s="64"/>
    </row>
    <row r="6" spans="1:19" ht="133.80000000000001" customHeight="1" x14ac:dyDescent="0.4">
      <c r="A6" s="55" t="s">
        <v>519</v>
      </c>
      <c r="B6" s="55" t="s">
        <v>535</v>
      </c>
      <c r="C6" s="55" t="s">
        <v>2654</v>
      </c>
      <c r="D6" s="55" t="s">
        <v>2683</v>
      </c>
      <c r="E6" s="55" t="s">
        <v>2684</v>
      </c>
      <c r="F6" s="55" t="s">
        <v>2500</v>
      </c>
      <c r="G6" s="54" t="s">
        <v>2685</v>
      </c>
      <c r="H6" s="56" t="s">
        <v>2686</v>
      </c>
      <c r="I6" s="55" t="s">
        <v>2503</v>
      </c>
      <c r="J6" s="65" t="s">
        <v>2687</v>
      </c>
      <c r="K6"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6" s="65" t="s">
        <v>2688</v>
      </c>
      <c r="M6"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6" s="65" t="s">
        <v>2689</v>
      </c>
      <c r="O6"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6" s="61"/>
      <c r="Q6" s="66" t="s">
        <v>23</v>
      </c>
      <c r="R6" s="67" t="s">
        <v>1035</v>
      </c>
      <c r="S6" s="64"/>
    </row>
    <row r="7" spans="1:19" ht="145.19999999999999" customHeight="1" x14ac:dyDescent="0.4">
      <c r="A7" s="55" t="s">
        <v>519</v>
      </c>
      <c r="B7" s="55" t="s">
        <v>535</v>
      </c>
      <c r="C7" s="55" t="s">
        <v>2654</v>
      </c>
      <c r="D7" s="55" t="s">
        <v>2690</v>
      </c>
      <c r="E7" s="55" t="s">
        <v>2531</v>
      </c>
      <c r="F7" s="55" t="s">
        <v>2677</v>
      </c>
      <c r="G7" s="54" t="s">
        <v>2691</v>
      </c>
      <c r="H7" s="56" t="s">
        <v>2692</v>
      </c>
      <c r="I7" s="55" t="s">
        <v>2503</v>
      </c>
      <c r="J7" s="65" t="s">
        <v>2693</v>
      </c>
      <c r="K7" s="120"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협의\표준서\관제 및 운영사 인터페이스 협의_표준서.html","👉 [클릭] 표준서 열기 📄")</f>
        <v>👉 [클릭] 표준서 열기 📄</v>
      </c>
      <c r="L7" s="65" t="s">
        <v>2694</v>
      </c>
      <c r="M7" s="120"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협의\수행지침\관제 및 운영사 인터페이스 협의_수행지침.html","👉 [클릭] 수행지침 열기 📄")</f>
        <v>👉 [클릭] 수행지침 열기 📄</v>
      </c>
      <c r="N7" s="65" t="s">
        <v>2695</v>
      </c>
      <c r="O7" s="120"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협의\체크리스트\9000-2-6_관제 및 운영사 인터페이스 협의_체크리스트.html","👉 [클릭] 체크리스트 열기 📄")</f>
        <v>👉 [클릭] 체크리스트 열기 📄</v>
      </c>
      <c r="P7" s="61"/>
      <c r="Q7" s="66" t="s">
        <v>23</v>
      </c>
      <c r="R7" s="67" t="s">
        <v>1035</v>
      </c>
      <c r="S7" s="64"/>
    </row>
    <row r="8" spans="1:19" ht="115.2" customHeight="1" x14ac:dyDescent="0.4">
      <c r="A8" s="55" t="s">
        <v>519</v>
      </c>
      <c r="B8" s="55" t="s">
        <v>535</v>
      </c>
      <c r="C8" s="55" t="s">
        <v>2654</v>
      </c>
      <c r="D8" s="55" t="s">
        <v>2696</v>
      </c>
      <c r="E8" s="55" t="s">
        <v>2697</v>
      </c>
      <c r="F8" s="55" t="s">
        <v>2500</v>
      </c>
      <c r="G8" s="54" t="s">
        <v>2698</v>
      </c>
      <c r="H8" s="54" t="s">
        <v>2699</v>
      </c>
      <c r="I8" s="55" t="s">
        <v>2700</v>
      </c>
      <c r="J8" s="65" t="s">
        <v>2701</v>
      </c>
      <c r="K8" s="120" t="str">
        <f>HYPERLINK("C:\Users\sskjh\antigravity\01_전문업무_및_엔지니어링\11_현장_프로젝트\01_동탄트램\08.메뉴얼 및 평면도\최종\02_메뉴얼 공종프로섹스(집행단계)\매뉴얼BODY(집행단계-첨부폴더)v8\9.통신분야\7_발주처 품질 요구사항 검토\표준서\발주처 품질 요구사항 검토_표준서.html","👉 [클릭] 표준서 열기 📄")</f>
        <v>👉 [클릭] 표준서 열기 📄</v>
      </c>
      <c r="L8" s="65" t="s">
        <v>2702</v>
      </c>
      <c r="M8" s="120" t="str">
        <f>HYPERLINK("C:\Users\sskjh\antigravity\01_전문업무_및_엔지니어링\11_현장_프로젝트\01_동탄트램\08.메뉴얼 및 평면도\최종\02_메뉴얼 공종프로섹스(집행단계)\매뉴얼BODY(집행단계-첨부폴더)v8\9.통신분야\7_발주처 품질 요구사항 검토\수행지침\발주처 품질 요구사항 검토_수행지침.html","👉 [클릭] 수행지침 열기 📄")</f>
        <v>👉 [클릭] 수행지침 열기 📄</v>
      </c>
      <c r="N8" s="65" t="s">
        <v>2703</v>
      </c>
      <c r="O8" s="120" t="str">
        <f>HYPERLINK("C:\Users\sskjh\antigravity\01_전문업무_및_엔지니어링\11_현장_프로젝트\01_동탄트램\08.메뉴얼 및 평면도\최종\02_메뉴얼 공종프로섹스(집행단계)\매뉴얼BODY(집행단계-첨부폴더)v8\9.통신분야\7_발주처 품질 요구사항 검토\체크리스트\9000-2-7_발주처 품질 요구사항 검토_체크리스트.html","👉 [클릭] 체크리스트 열기 📄")</f>
        <v>👉 [클릭] 체크리스트 열기 📄</v>
      </c>
      <c r="P8" s="61"/>
      <c r="Q8" s="66" t="s">
        <v>23</v>
      </c>
      <c r="R8" s="67" t="s">
        <v>1035</v>
      </c>
      <c r="S8" s="64"/>
    </row>
    <row r="9" spans="1:19" ht="115.2" customHeight="1" x14ac:dyDescent="0.4">
      <c r="A9" s="55" t="s">
        <v>519</v>
      </c>
      <c r="B9" s="55" t="s">
        <v>535</v>
      </c>
      <c r="C9" s="55" t="s">
        <v>2654</v>
      </c>
      <c r="D9" s="55" t="s">
        <v>2704</v>
      </c>
      <c r="E9" s="55" t="s">
        <v>2705</v>
      </c>
      <c r="F9" s="55" t="s">
        <v>2706</v>
      </c>
      <c r="G9" s="54" t="s">
        <v>2707</v>
      </c>
      <c r="H9" s="56" t="s">
        <v>2708</v>
      </c>
      <c r="I9" s="55" t="s">
        <v>2709</v>
      </c>
      <c r="J9" s="65" t="s">
        <v>2710</v>
      </c>
      <c r="K9" s="12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검토\표준서\자재 인력 장비 등 투입 사전 검토_표준서.html","👉 [클릭] 표준서 열기 📄")</f>
        <v>👉 [클릭] 표준서 열기 📄</v>
      </c>
      <c r="L9" s="65" t="s">
        <v>2711</v>
      </c>
      <c r="M9" s="12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검토\수행지침\자재 인력 장비 등 투입 사전 검토_수행지침.html","👉 [클릭] 수행지침 열기 📄")</f>
        <v>👉 [클릭] 수행지침 열기 📄</v>
      </c>
      <c r="N9" s="65" t="s">
        <v>2712</v>
      </c>
      <c r="O9" s="12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검토\체크리스트\자재 인력 장비 등 투입 사전 검토_체크리스트.html","👉 [클릭] 체크리스트 열기 📄")</f>
        <v>👉 [클릭] 체크리스트 열기 📄</v>
      </c>
      <c r="P9" s="61"/>
      <c r="Q9" s="66" t="s">
        <v>23</v>
      </c>
      <c r="R9" s="67" t="s">
        <v>1035</v>
      </c>
      <c r="S9" s="64"/>
    </row>
    <row r="10" spans="1:19" ht="210.6" customHeight="1" x14ac:dyDescent="0.4">
      <c r="A10" s="55" t="s">
        <v>519</v>
      </c>
      <c r="B10" s="55" t="s">
        <v>535</v>
      </c>
      <c r="C10" s="55" t="s">
        <v>2654</v>
      </c>
      <c r="D10" s="55" t="s">
        <v>2713</v>
      </c>
      <c r="E10" s="55" t="s">
        <v>2714</v>
      </c>
      <c r="F10" s="55" t="s">
        <v>861</v>
      </c>
      <c r="G10" s="54" t="s">
        <v>2715</v>
      </c>
      <c r="H10" s="56" t="s">
        <v>2716</v>
      </c>
      <c r="I10" s="55" t="s">
        <v>2131</v>
      </c>
      <c r="J10" s="65" t="s">
        <v>2717</v>
      </c>
      <c r="K10" s="120" t="str">
        <f>HYPERLINK("C:\Users\sskjh\antigravity\01_전문업무_및_엔지니어링\11_현장_프로젝트\01_동탄트램\08.메뉴얼 및 평면도\최종\02_메뉴얼 공종프로섹스(집행단계)\매뉴얼BODY(집행단계-첨부폴더)v8\9.통신분야\9_착수 전 Big Room 회의\표준서\착수 전 Big Room 회의_표준서.html","👉 [클릭] 표준서 열기 📄")</f>
        <v>👉 [클릭] 표준서 열기 📄</v>
      </c>
      <c r="L10" s="65" t="s">
        <v>2718</v>
      </c>
      <c r="M10" s="120" t="str">
        <f>HYPERLINK("C:\Users\sskjh\antigravity\01_전문업무_및_엔지니어링\11_현장_프로젝트\01_동탄트램\08.메뉴얼 및 평면도\최종\02_메뉴얼 공종프로섹스(집행단계)\매뉴얼BODY(집행단계-첨부폴더)v8\9.통신분야\9_착수 전 Big Room 회의\수행지침\착수 전 Big Room 회의_수행지침.html","👉 [클릭] 수행지침 열기 📄")</f>
        <v>👉 [클릭] 수행지침 열기 📄</v>
      </c>
      <c r="N10" s="65" t="s">
        <v>2719</v>
      </c>
      <c r="O10" s="120" t="str">
        <f>HYPERLINK("C:\Users\sskjh\antigravity\01_전문업무_및_엔지니어링\11_현장_프로젝트\01_동탄트램\08.메뉴얼 및 평면도\최종\02_메뉴얼 공종프로섹스(집행단계)\매뉴얼BODY(집행단계-첨부폴더)v8\9.통신분야\9_착수 전 Big Room 회의\체크리스트\9000-2-9_착수 전 Big Room 회의_체크리스트.html","👉 [클릭] 체크리스트 열기 📄")</f>
        <v>👉 [클릭] 체크리스트 열기 📄</v>
      </c>
      <c r="P10" s="61"/>
      <c r="Q10" s="66" t="s">
        <v>23</v>
      </c>
      <c r="R10" s="67" t="s">
        <v>1035</v>
      </c>
      <c r="S10" s="64"/>
    </row>
    <row r="11" spans="1:19" ht="115.2" customHeight="1" x14ac:dyDescent="0.4">
      <c r="A11" s="55" t="s">
        <v>519</v>
      </c>
      <c r="B11" s="55" t="s">
        <v>535</v>
      </c>
      <c r="C11" s="55" t="s">
        <v>2654</v>
      </c>
      <c r="D11" s="55" t="s">
        <v>2720</v>
      </c>
      <c r="E11" s="55" t="s">
        <v>2721</v>
      </c>
      <c r="F11" s="55" t="s">
        <v>2500</v>
      </c>
      <c r="G11" s="54" t="s">
        <v>2722</v>
      </c>
      <c r="H11" s="56" t="s">
        <v>2723</v>
      </c>
      <c r="I11" s="55" t="s">
        <v>2724</v>
      </c>
      <c r="J11" s="65" t="s">
        <v>2725</v>
      </c>
      <c r="K11"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1" s="65" t="s">
        <v>2726</v>
      </c>
      <c r="M11"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1" s="65" t="s">
        <v>2727</v>
      </c>
      <c r="O11"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1" s="61"/>
      <c r="Q11" s="66" t="s">
        <v>23</v>
      </c>
      <c r="R11" s="67" t="s">
        <v>1035</v>
      </c>
      <c r="S11" s="64"/>
    </row>
    <row r="12" spans="1:19" ht="115.2" customHeight="1" x14ac:dyDescent="0.4">
      <c r="A12" s="55" t="s">
        <v>519</v>
      </c>
      <c r="B12" s="55" t="s">
        <v>535</v>
      </c>
      <c r="C12" s="55" t="s">
        <v>2654</v>
      </c>
      <c r="D12" s="55" t="s">
        <v>2728</v>
      </c>
      <c r="E12" s="55" t="s">
        <v>2729</v>
      </c>
      <c r="F12" s="55" t="s">
        <v>2500</v>
      </c>
      <c r="G12" s="54" t="s">
        <v>2730</v>
      </c>
      <c r="H12" s="54" t="s">
        <v>2731</v>
      </c>
      <c r="I12" s="55" t="s">
        <v>2732</v>
      </c>
      <c r="J12" s="65" t="s">
        <v>2733</v>
      </c>
      <c r="K12" s="120" t="str">
        <f>HYPERLINK("C:\Users\sskjh\antigravity\01_전문업무_및_엔지니어링\11_현장_프로젝트\01_동탄트램\08.메뉴얼 및 평면도\최종\02_메뉴얼 공종프로섹스(집행단계)\매뉴얼BODY(집행단계-첨부폴더)v8\9.통신분야\11_시공 계획 수립 _ 승인\표준서\시공 계획 수립 _ 승인_표준서.html","👉 [클릭] 표준서 열기 📄")</f>
        <v>👉 [클릭] 표준서 열기 📄</v>
      </c>
      <c r="L12" s="65" t="s">
        <v>2734</v>
      </c>
      <c r="M12" s="120" t="str">
        <f>HYPERLINK("C:\Users\sskjh\antigravity\01_전문업무_및_엔지니어링\11_현장_프로젝트\01_동탄트램\08.메뉴얼 및 평면도\최종\02_메뉴얼 공종프로섹스(집행단계)\매뉴얼BODY(집행단계-첨부폴더)v8\9.통신분야\11_시공 계획 수립 _ 승인\수행지침\시공 계획 수립 _ 승인_수행지침.html","👉 [클릭] 수행지침 열기 📄")</f>
        <v>👉 [클릭] 수행지침 열기 📄</v>
      </c>
      <c r="N12" s="65" t="s">
        <v>2735</v>
      </c>
      <c r="O12" s="120" t="str">
        <f>HYPERLINK("C:\Users\sskjh\antigravity\01_전문업무_및_엔지니어링\11_현장_프로젝트\01_동탄트램\08.메뉴얼 및 평면도\최종\02_메뉴얼 공종프로섹스(집행단계)\매뉴얼BODY(집행단계-첨부폴더)v8\9.통신분야\11_시공 계획 수립 _ 승인\체크리스트\9000-2-11_시공 계획 수립 _ 승인_체크리스트.html","👉 [클릭] 체크리스트 열기 📄")</f>
        <v>👉 [클릭] 체크리스트 열기 📄</v>
      </c>
      <c r="P12" s="61"/>
      <c r="Q12" s="66" t="s">
        <v>23</v>
      </c>
      <c r="R12" s="67" t="s">
        <v>1035</v>
      </c>
      <c r="S12" s="64"/>
    </row>
    <row r="13" spans="1:19" ht="115.2" customHeight="1" x14ac:dyDescent="0.4">
      <c r="A13" s="55" t="s">
        <v>519</v>
      </c>
      <c r="B13" s="55" t="s">
        <v>535</v>
      </c>
      <c r="C13" s="55" t="s">
        <v>2654</v>
      </c>
      <c r="D13" s="55" t="s">
        <v>2736</v>
      </c>
      <c r="E13" s="55" t="s">
        <v>2737</v>
      </c>
      <c r="F13" s="55" t="s">
        <v>2500</v>
      </c>
      <c r="G13" s="54" t="s">
        <v>2738</v>
      </c>
      <c r="H13" s="54" t="s">
        <v>2739</v>
      </c>
      <c r="I13" s="55" t="s">
        <v>2740</v>
      </c>
      <c r="J13" s="65" t="s">
        <v>2741</v>
      </c>
      <c r="K13" s="120" t="str">
        <f>HYPERLINK("C:\Users\sskjh\antigravity\01_전문업무_및_엔지니어링\11_현장_프로젝트\01_동탄트램\08.메뉴얼 및 평면도\최종\02_메뉴얼 공종프로섹스(집행단계)\매뉴얼BODY(집행단계-첨부폴더)v8\9.통신분야\12_자재공급원 검토 및 승인\표준서\자재공급원 검토 및 승인_표준서.html","👉 [클릭] 표준서 열기 📄")</f>
        <v>👉 [클릭] 표준서 열기 📄</v>
      </c>
      <c r="L13" s="65" t="s">
        <v>2742</v>
      </c>
      <c r="M13" s="120" t="str">
        <f>HYPERLINK("C:\Users\sskjh\antigravity\01_전문업무_및_엔지니어링\11_현장_프로젝트\01_동탄트램\08.메뉴얼 및 평면도\최종\02_메뉴얼 공종프로섹스(집행단계)\매뉴얼BODY(집행단계-첨부폴더)v8\9.통신분야\12_자재공급원 검토 및 승인\수행지침\자재공급원 검토 및 승인_수행지침.html","👉 [클릭] 수행지침 열기 📄")</f>
        <v>👉 [클릭] 수행지침 열기 📄</v>
      </c>
      <c r="N13" s="65" t="s">
        <v>2743</v>
      </c>
      <c r="O13" s="120" t="str">
        <f>HYPERLINK("C:\Users\sskjh\antigravity\01_전문업무_및_엔지니어링\11_현장_프로젝트\01_동탄트램\08.메뉴얼 및 평면도\최종\02_메뉴얼 공종프로섹스(집행단계)\매뉴얼BODY(집행단계-첨부폴더)v8\9.통신분야\12_자재공급원 검토 및 승인\체크리스트\9000-2-12_자재공급원 검토 및 승인_체크리스트.html","👉 [클릭] 체크리스트 열기 📄")</f>
        <v>👉 [클릭] 체크리스트 열기 📄</v>
      </c>
      <c r="P13" s="61"/>
      <c r="Q13" s="66" t="s">
        <v>23</v>
      </c>
      <c r="R13" s="67" t="s">
        <v>1035</v>
      </c>
      <c r="S13" s="64"/>
    </row>
    <row r="14" spans="1:19" ht="192" customHeight="1" x14ac:dyDescent="0.4">
      <c r="A14" s="55" t="s">
        <v>519</v>
      </c>
      <c r="B14" s="55" t="s">
        <v>535</v>
      </c>
      <c r="C14" s="55" t="s">
        <v>2654</v>
      </c>
      <c r="D14" s="55" t="s">
        <v>2744</v>
      </c>
      <c r="E14" s="55" t="s">
        <v>2745</v>
      </c>
      <c r="F14" s="55" t="s">
        <v>2500</v>
      </c>
      <c r="G14" s="54" t="s">
        <v>2746</v>
      </c>
      <c r="H14" s="54" t="s">
        <v>2747</v>
      </c>
      <c r="I14" s="55" t="s">
        <v>2748</v>
      </c>
      <c r="J14" s="65" t="s">
        <v>2749</v>
      </c>
      <c r="K14"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4" s="65" t="s">
        <v>2750</v>
      </c>
      <c r="M14"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4" s="65" t="s">
        <v>2751</v>
      </c>
      <c r="O14"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4" s="61"/>
      <c r="Q14" s="66" t="s">
        <v>23</v>
      </c>
      <c r="R14" s="67" t="s">
        <v>1035</v>
      </c>
      <c r="S14" s="64"/>
    </row>
    <row r="15" spans="1:19" ht="115.2" customHeight="1" x14ac:dyDescent="0.4">
      <c r="A15" s="55" t="s">
        <v>519</v>
      </c>
      <c r="B15" s="55" t="s">
        <v>535</v>
      </c>
      <c r="C15" s="55" t="s">
        <v>2654</v>
      </c>
      <c r="D15" s="55" t="s">
        <v>2752</v>
      </c>
      <c r="E15" s="55" t="s">
        <v>2753</v>
      </c>
      <c r="F15" s="55" t="s">
        <v>2500</v>
      </c>
      <c r="G15" s="54" t="s">
        <v>2754</v>
      </c>
      <c r="H15" s="54" t="s">
        <v>2755</v>
      </c>
      <c r="I15" s="55" t="s">
        <v>2756</v>
      </c>
      <c r="J15" s="65" t="s">
        <v>2757</v>
      </c>
      <c r="K15" s="120"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점검\표준서\본공사 전 선행공정 인수인계 점검_표준서.html","👉 [클릭] 표준서 열기 📄")</f>
        <v>👉 [클릭] 표준서 열기 📄</v>
      </c>
      <c r="L15" s="65" t="s">
        <v>2758</v>
      </c>
      <c r="M15" s="120"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점검\수행지침\본공사 전 선행공정 인수인계 점검_수행지침.html","👉 [클릭] 수행지침 열기 📄")</f>
        <v>👉 [클릭] 수행지침 열기 📄</v>
      </c>
      <c r="N15" s="65" t="s">
        <v>2759</v>
      </c>
      <c r="O15" s="120"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점검\체크리스트\9000-2-14_본공사 전 선행공정 인수인계 점검_체크리스트.html","👉 [클릭] 체크리스트 열기 📄")</f>
        <v>👉 [클릭] 체크리스트 열기 📄</v>
      </c>
      <c r="P15" s="61"/>
      <c r="Q15" s="66" t="s">
        <v>23</v>
      </c>
      <c r="R15" s="67" t="s">
        <v>1035</v>
      </c>
      <c r="S15" s="64"/>
    </row>
    <row r="16" spans="1:19" ht="115.2" customHeight="1" x14ac:dyDescent="0.4">
      <c r="A16" s="55" t="s">
        <v>519</v>
      </c>
      <c r="B16" s="55" t="s">
        <v>535</v>
      </c>
      <c r="C16" s="55" t="s">
        <v>2654</v>
      </c>
      <c r="D16" s="55" t="s">
        <v>2760</v>
      </c>
      <c r="E16" s="55" t="s">
        <v>2547</v>
      </c>
      <c r="F16" s="55" t="s">
        <v>2548</v>
      </c>
      <c r="G16" s="54" t="s">
        <v>2549</v>
      </c>
      <c r="H16" s="54" t="s">
        <v>2761</v>
      </c>
      <c r="I16" s="55" t="s">
        <v>2762</v>
      </c>
      <c r="J16" s="65" t="s">
        <v>2763</v>
      </c>
      <c r="K16" s="120" t="str">
        <f>HYPERLINK("C:\Users\sskjh\antigravity\01_전문업무_및_엔지니어링\11_현장_프로젝트\01_동탄트램\08.메뉴얼 및 평면도\최종\02_메뉴얼 공종프로섹스(집행단계)\매뉴얼BODY(집행단계-첨부폴더)v8\9.통신분야\15_장비반입 및 안전교육\표준서\장비반입 및 안전교육_표준서.html","👉 [클릭] 표준서 열기 📄")</f>
        <v>👉 [클릭] 표준서 열기 📄</v>
      </c>
      <c r="L16" s="65" t="s">
        <v>2764</v>
      </c>
      <c r="M16" s="120" t="str">
        <f>HYPERLINK("C:\Users\sskjh\antigravity\01_전문업무_및_엔지니어링\11_현장_프로젝트\01_동탄트램\08.메뉴얼 및 평면도\최종\02_메뉴얼 공종프로섹스(집행단계)\매뉴얼BODY(집행단계-첨부폴더)v8\9.통신분야\15_장비반입 및 안전교육\수행지침\장비반입 및 안전교육_수행지침.html","👉 [클릭] 수행지침 열기 📄")</f>
        <v>👉 [클릭] 수행지침 열기 📄</v>
      </c>
      <c r="N16" s="65" t="s">
        <v>2765</v>
      </c>
      <c r="O16" s="120" t="str">
        <f>HYPERLINK("C:\Users\sskjh\antigravity\01_전문업무_및_엔지니어링\11_현장_프로젝트\01_동탄트램\08.메뉴얼 및 평면도\최종\02_메뉴얼 공종프로섹스(집행단계)\매뉴얼BODY(집행단계-첨부폴더)v8\9.통신분야\15_장비반입 및 안전교육\체크리스트\9000-2-15_장비반입 및 안전교육_체크리스트.html","👉 [클릭] 체크리스트 열기 📄")</f>
        <v>👉 [클릭] 체크리스트 열기 📄</v>
      </c>
      <c r="P16" s="61"/>
      <c r="Q16" s="66" t="s">
        <v>23</v>
      </c>
      <c r="R16" s="67" t="s">
        <v>1035</v>
      </c>
      <c r="S16" s="64"/>
    </row>
    <row r="17" spans="1:19" ht="115.2" customHeight="1" x14ac:dyDescent="0.4">
      <c r="A17" s="55" t="s">
        <v>519</v>
      </c>
      <c r="B17" s="55" t="s">
        <v>535</v>
      </c>
      <c r="C17" s="55" t="s">
        <v>2654</v>
      </c>
      <c r="D17" s="55" t="s">
        <v>2766</v>
      </c>
      <c r="E17" s="55" t="s">
        <v>2556</v>
      </c>
      <c r="F17" s="55" t="s">
        <v>2557</v>
      </c>
      <c r="G17" s="54" t="s">
        <v>2767</v>
      </c>
      <c r="H17" s="54" t="s">
        <v>2768</v>
      </c>
      <c r="I17" s="55" t="s">
        <v>2769</v>
      </c>
      <c r="J17" s="65" t="s">
        <v>2770</v>
      </c>
      <c r="K17" s="120" t="str">
        <f>HYPERLINK("C:\Users\sskjh\antigravity\01_전문업무_및_엔지니어링\11_현장_프로젝트\01_동탄트램\08.메뉴얼 및 평면도\최종\02_메뉴얼 공종프로섹스(집행단계)\매뉴얼BODY(집행단계-첨부폴더)v8\9.통신분야\16_자재 반입 및 검수\표준서\자재 반입 및 검수_표준서.html","👉 [클릭] 표준서 열기 📄")</f>
        <v>👉 [클릭] 표준서 열기 📄</v>
      </c>
      <c r="L17" s="65" t="s">
        <v>2771</v>
      </c>
      <c r="M17" s="120" t="str">
        <f>HYPERLINK("C:\Users\sskjh\antigravity\01_전문업무_및_엔지니어링\11_현장_프로젝트\01_동탄트램\08.메뉴얼 및 평면도\최종\02_메뉴얼 공종프로섹스(집행단계)\매뉴얼BODY(집행단계-첨부폴더)v8\9.통신분야\16_자재 반입 및 검수\수행지침\자재 반입 및 검수_수행지침.html","👉 [클릭] 수행지침 열기 📄")</f>
        <v>👉 [클릭] 수행지침 열기 📄</v>
      </c>
      <c r="N17" s="65" t="s">
        <v>2772</v>
      </c>
      <c r="O17" s="120" t="str">
        <f>HYPERLINK("C:\Users\sskjh\antigravity\01_전문업무_및_엔지니어링\11_현장_프로젝트\01_동탄트램\08.메뉴얼 및 평면도\최종\02_메뉴얼 공종프로섹스(집행단계)\매뉴얼BODY(집행단계-첨부폴더)v8\9.통신분야\16_자재 반입 및 검수\체크리스트\9000-2-16_자재 반입 및 검수_체크리스트.html","👉 [클릭] 체크리스트 열기 📄")</f>
        <v>👉 [클릭] 체크리스트 열기 📄</v>
      </c>
      <c r="P17" s="61"/>
      <c r="Q17" s="66" t="s">
        <v>23</v>
      </c>
      <c r="R17" s="67" t="s">
        <v>1035</v>
      </c>
      <c r="S17" s="64"/>
    </row>
    <row r="18" spans="1:19" ht="115.2" customHeight="1" x14ac:dyDescent="0.4">
      <c r="A18" s="55" t="s">
        <v>519</v>
      </c>
      <c r="B18" s="55" t="s">
        <v>535</v>
      </c>
      <c r="C18" s="55" t="s">
        <v>2654</v>
      </c>
      <c r="D18" s="55" t="s">
        <v>2773</v>
      </c>
      <c r="E18" s="55" t="s">
        <v>2774</v>
      </c>
      <c r="F18" s="55" t="s">
        <v>2566</v>
      </c>
      <c r="G18" s="54" t="s">
        <v>2775</v>
      </c>
      <c r="H18" s="56" t="s">
        <v>2776</v>
      </c>
      <c r="I18" s="55" t="s">
        <v>2177</v>
      </c>
      <c r="J18" s="65" t="s">
        <v>2777</v>
      </c>
      <c r="K18"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8" s="65" t="s">
        <v>2778</v>
      </c>
      <c r="M18"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8" s="65" t="s">
        <v>2779</v>
      </c>
      <c r="O18" s="120"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8" s="61"/>
      <c r="Q18" s="66" t="s">
        <v>23</v>
      </c>
      <c r="R18" s="67" t="s">
        <v>1035</v>
      </c>
      <c r="S18" s="64"/>
    </row>
    <row r="19" spans="1:19" ht="115.2" customHeight="1" x14ac:dyDescent="0.4">
      <c r="A19" s="55" t="s">
        <v>519</v>
      </c>
      <c r="B19" s="55" t="s">
        <v>535</v>
      </c>
      <c r="C19" s="55" t="s">
        <v>2654</v>
      </c>
      <c r="D19" s="55" t="s">
        <v>2780</v>
      </c>
      <c r="E19" s="55" t="s">
        <v>2781</v>
      </c>
      <c r="F19" s="55" t="s">
        <v>861</v>
      </c>
      <c r="G19" s="54" t="s">
        <v>2782</v>
      </c>
      <c r="H19" s="56" t="s">
        <v>2783</v>
      </c>
      <c r="I19" s="55" t="s">
        <v>2177</v>
      </c>
      <c r="J19" s="65" t="s">
        <v>2784</v>
      </c>
      <c r="K19" s="120" t="str">
        <f>HYPERLINK("C:\Users\sskjh\antigravity\01_전문업무_및_엔지니어링\11_현장_프로젝트\01_동탄트램\08.메뉴얼 및 평면도\최종\02_메뉴얼 공종프로섹스(집행단계)\매뉴얼BODY(집행단계-첨부폴더)v8\9.통신분야\18_관제설비 설치\표준서\관제설비 설치_표준서.html","👉 [클릭] 표준서 열기 📄")</f>
        <v>👉 [클릭] 표준서 열기 📄</v>
      </c>
      <c r="L19" s="65" t="s">
        <v>2785</v>
      </c>
      <c r="M19" s="120" t="str">
        <f>HYPERLINK("C:\Users\sskjh\antigravity\01_전문업무_및_엔지니어링\11_현장_프로젝트\01_동탄트램\08.메뉴얼 및 평면도\최종\02_메뉴얼 공종프로섹스(집행단계)\매뉴얼BODY(집행단계-첨부폴더)v8\9.통신분야\18_관제설비 설치\수행지침\관제설비 설치_수행지침.html","👉 [클릭] 수행지침 열기 📄")</f>
        <v>👉 [클릭] 수행지침 열기 📄</v>
      </c>
      <c r="N19" s="65" t="s">
        <v>2786</v>
      </c>
      <c r="O19" s="120" t="str">
        <f>HYPERLINK("C:\Users\sskjh\antigravity\01_전문업무_및_엔지니어링\11_현장_프로젝트\01_동탄트램\08.메뉴얼 및 평면도\최종\02_메뉴얼 공종프로섹스(집행단계)\매뉴얼BODY(집행단계-첨부폴더)v8\9.통신분야\18_관제설비 설치\체크리스트\9000-2-18_관제설비 설치_체크리스트.html","👉 [클릭] 체크리스트 열기 📄")</f>
        <v>👉 [클릭] 체크리스트 열기 📄</v>
      </c>
      <c r="P19" s="61"/>
      <c r="Q19" s="66" t="s">
        <v>23</v>
      </c>
      <c r="R19" s="67" t="s">
        <v>1035</v>
      </c>
      <c r="S19" s="64"/>
    </row>
    <row r="20" spans="1:19" ht="115.2" customHeight="1" x14ac:dyDescent="0.4">
      <c r="A20" s="55" t="s">
        <v>519</v>
      </c>
      <c r="B20" s="55" t="s">
        <v>535</v>
      </c>
      <c r="C20" s="55" t="s">
        <v>2654</v>
      </c>
      <c r="D20" s="55" t="s">
        <v>2787</v>
      </c>
      <c r="E20" s="55" t="s">
        <v>2788</v>
      </c>
      <c r="F20" s="55" t="s">
        <v>2500</v>
      </c>
      <c r="G20" s="54" t="s">
        <v>2789</v>
      </c>
      <c r="H20" s="56" t="s">
        <v>2790</v>
      </c>
      <c r="I20" s="55" t="s">
        <v>2791</v>
      </c>
      <c r="J20" s="65" t="s">
        <v>2792</v>
      </c>
      <c r="K20" s="120"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0" s="65" t="s">
        <v>2793</v>
      </c>
      <c r="M20" s="120"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0" s="65" t="s">
        <v>2794</v>
      </c>
      <c r="O20" s="120"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0" s="61"/>
      <c r="Q20" s="66" t="s">
        <v>23</v>
      </c>
      <c r="R20" s="67" t="s">
        <v>1035</v>
      </c>
      <c r="S20" s="64"/>
    </row>
    <row r="21" spans="1:19" ht="115.2" customHeight="1" x14ac:dyDescent="0.4">
      <c r="A21" s="55" t="s">
        <v>519</v>
      </c>
      <c r="B21" s="55" t="s">
        <v>535</v>
      </c>
      <c r="C21" s="55" t="s">
        <v>2654</v>
      </c>
      <c r="D21" s="55" t="s">
        <v>2795</v>
      </c>
      <c r="E21" s="55" t="s">
        <v>2796</v>
      </c>
      <c r="F21" s="55" t="s">
        <v>2500</v>
      </c>
      <c r="G21" s="54" t="s">
        <v>2797</v>
      </c>
      <c r="H21" s="54" t="s">
        <v>2798</v>
      </c>
      <c r="I21" s="55" t="s">
        <v>2791</v>
      </c>
      <c r="J21" s="65" t="s">
        <v>2799</v>
      </c>
      <c r="K21" s="120"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1" s="65" t="s">
        <v>2800</v>
      </c>
      <c r="M21" s="120"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1" s="65" t="s">
        <v>2801</v>
      </c>
      <c r="O21" s="120"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1" s="61"/>
      <c r="Q21" s="66" t="s">
        <v>23</v>
      </c>
      <c r="R21" s="67" t="s">
        <v>1035</v>
      </c>
      <c r="S21" s="64"/>
    </row>
    <row r="22" spans="1:19" ht="115.2" customHeight="1" x14ac:dyDescent="0.4">
      <c r="A22" s="55" t="s">
        <v>519</v>
      </c>
      <c r="B22" s="55" t="s">
        <v>535</v>
      </c>
      <c r="C22" s="55" t="s">
        <v>2654</v>
      </c>
      <c r="D22" s="55" t="s">
        <v>2802</v>
      </c>
      <c r="E22" s="55" t="s">
        <v>2589</v>
      </c>
      <c r="F22" s="55" t="s">
        <v>2500</v>
      </c>
      <c r="G22" s="54" t="s">
        <v>2803</v>
      </c>
      <c r="H22" s="54" t="s">
        <v>2804</v>
      </c>
      <c r="I22" s="55" t="s">
        <v>2592</v>
      </c>
      <c r="J22" s="65" t="s">
        <v>2805</v>
      </c>
      <c r="K22" s="120" t="str">
        <f>HYPERLINK("C:\Users\sskjh\antigravity\01_전문업무_및_엔지니어링\11_현장_프로젝트\01_동탄트램\08.메뉴얼 및 평면도\최종\02_메뉴얼 공종프로섹스(집행단계)\매뉴얼BODY(집행단계-첨부폴더)v8\9.통신분야\21_공종별 시험\표준서\9000-2-21_공종별 시험_표준서.html","👉 [클릭] 표준서 열기 📄")</f>
        <v>👉 [클릭] 표준서 열기 📄</v>
      </c>
      <c r="L22" s="65" t="s">
        <v>2806</v>
      </c>
      <c r="M22" s="120" t="str">
        <f>HYPERLINK("C:\Users\sskjh\antigravity\01_전문업무_및_엔지니어링\11_현장_프로젝트\01_동탄트램\08.메뉴얼 및 평면도\최종\02_메뉴얼 공종프로섹스(집행단계)\매뉴얼BODY(집행단계-첨부폴더)v8\9.통신분야\21_공종별 시험\수행지침\공종별 시험_수행지침.html","👉 [클릭] 수행지침 열기 📄")</f>
        <v>👉 [클릭] 수행지침 열기 📄</v>
      </c>
      <c r="N22" s="65" t="s">
        <v>2807</v>
      </c>
      <c r="O22" s="120" t="str">
        <f>HYPERLINK("C:\Users\sskjh\antigravity\01_전문업무_및_엔지니어링\11_현장_프로젝트\01_동탄트램\08.메뉴얼 및 평면도\최종\02_메뉴얼 공종프로섹스(집행단계)\매뉴얼BODY(집행단계-첨부폴더)v8\9.통신분야\21_공종별 시험\체크리스트\9000-2-21_공종별 시험_체크리스트.html","👉 [클릭] 체크리스트 열기 📄")</f>
        <v>👉 [클릭] 체크리스트 열기 📄</v>
      </c>
      <c r="P22" s="61"/>
      <c r="Q22" s="66" t="s">
        <v>23</v>
      </c>
      <c r="R22" s="67" t="s">
        <v>1035</v>
      </c>
      <c r="S22" s="64"/>
    </row>
    <row r="23" spans="1:19" ht="115.2" customHeight="1" x14ac:dyDescent="0.4">
      <c r="A23" s="55" t="s">
        <v>519</v>
      </c>
      <c r="B23" s="55" t="s">
        <v>535</v>
      </c>
      <c r="C23" s="55" t="s">
        <v>2654</v>
      </c>
      <c r="D23" s="55" t="s">
        <v>2808</v>
      </c>
      <c r="E23" s="55" t="s">
        <v>2597</v>
      </c>
      <c r="F23" s="55" t="s">
        <v>2598</v>
      </c>
      <c r="G23" s="54" t="s">
        <v>2809</v>
      </c>
      <c r="H23" s="56" t="s">
        <v>2810</v>
      </c>
      <c r="I23" s="55" t="s">
        <v>2811</v>
      </c>
      <c r="J23" s="65" t="s">
        <v>2812</v>
      </c>
      <c r="K23" s="120" t="str">
        <f>HYPERLINK("C:\Users\sskjh\antigravity\01_전문업무_및_엔지니어링\11_현장_프로젝트\01_동탄트램\08.메뉴얼 및 평면도\최종\02_메뉴얼 공종프로섹스(집행단계)\매뉴얼BODY(집행단계-첨부폴더)v8\9.통신분야\22_차량 투입 전 점검\표준서\차량 투입 전 점검_표준서.html","👉 [클릭] 표준서 열기 📄")</f>
        <v>👉 [클릭] 표준서 열기 📄</v>
      </c>
      <c r="L23" s="65" t="s">
        <v>2813</v>
      </c>
      <c r="M23" s="120" t="str">
        <f>HYPERLINK("C:\Users\sskjh\antigravity\01_전문업무_및_엔지니어링\11_현장_프로젝트\01_동탄트램\08.메뉴얼 및 평면도\최종\02_메뉴얼 공종프로섹스(집행단계)\매뉴얼BODY(집행단계-첨부폴더)v8\9.통신분야\22_차량 투입 전 점검\수행지침\차량 투입 전 점검_수행지침.html","👉 [클릭] 수행지침 열기 📄")</f>
        <v>👉 [클릭] 수행지침 열기 📄</v>
      </c>
      <c r="N23" s="65" t="s">
        <v>2814</v>
      </c>
      <c r="O23" s="120" t="str">
        <f>HYPERLINK("C:\Users\sskjh\antigravity\01_전문업무_및_엔지니어링\11_현장_프로젝트\01_동탄트램\08.메뉴얼 및 평면도\최종\02_메뉴얼 공종프로섹스(집행단계)\매뉴얼BODY(집행단계-첨부폴더)v8\9.통신분야\22_차량 투입 전 점검\체크리스트\9000-2-22_차량 투입 전 점검_체크리스트.html","👉 [클릭] 체크리스트 열기 📄")</f>
        <v>👉 [클릭] 체크리스트 열기 📄</v>
      </c>
      <c r="P23" s="61"/>
      <c r="Q23" s="66" t="s">
        <v>23</v>
      </c>
      <c r="R23" s="67" t="s">
        <v>1035</v>
      </c>
      <c r="S23" s="64"/>
    </row>
    <row r="24" spans="1:19" ht="115.2" customHeight="1" x14ac:dyDescent="0.4">
      <c r="A24" s="55" t="s">
        <v>519</v>
      </c>
      <c r="B24" s="55" t="s">
        <v>535</v>
      </c>
      <c r="C24" s="55" t="s">
        <v>2654</v>
      </c>
      <c r="D24" s="55" t="s">
        <v>2815</v>
      </c>
      <c r="E24" s="55" t="s">
        <v>2606</v>
      </c>
      <c r="F24" s="55" t="s">
        <v>2500</v>
      </c>
      <c r="G24" s="54" t="s">
        <v>2816</v>
      </c>
      <c r="H24" s="54" t="s">
        <v>2817</v>
      </c>
      <c r="I24" s="55" t="s">
        <v>2818</v>
      </c>
      <c r="J24" s="65" t="s">
        <v>2819</v>
      </c>
      <c r="K24" s="120" t="str">
        <f>HYPERLINK("C:\Users\sskjh\antigravity\01_전문업무_및_엔지니어링\11_현장_프로젝트\01_동탄트램\08.메뉴얼 및 평면도\최종\02_메뉴얼 공종프로섹스(집행단계)\매뉴얼BODY(집행단계-첨부폴더)v8\9.통신분야\23_차량 시운전\표준서\9000-2-23_차량 시운전_표준서.html","👉 [클릭] 표준서 열기 📄")</f>
        <v>👉 [클릭] 표준서 열기 📄</v>
      </c>
      <c r="L24" s="65" t="s">
        <v>2820</v>
      </c>
      <c r="M24" s="120" t="str">
        <f>HYPERLINK("C:\Users\sskjh\antigravity\01_전문업무_및_엔지니어링\11_현장_프로젝트\01_동탄트램\08.메뉴얼 및 평면도\최종\02_메뉴얼 공종프로섹스(집행단계)\매뉴얼BODY(집행단계-첨부폴더)v8\9.통신분야\23_차량 시운전\수행지침\차량 시운전_수행지침.html","👉 [클릭] 수행지침 열기 📄")</f>
        <v>👉 [클릭] 수행지침 열기 📄</v>
      </c>
      <c r="N24" s="65" t="s">
        <v>2821</v>
      </c>
      <c r="O24" s="120" t="str">
        <f>HYPERLINK("C:\Users\sskjh\antigravity\01_전문업무_및_엔지니어링\11_현장_프로젝트\01_동탄트램\08.메뉴얼 및 평면도\최종\02_메뉴얼 공종프로섹스(집행단계)\매뉴얼BODY(집행단계-첨부폴더)v8\9.통신분야\23_차량 시운전\체크리스트\9000-2-23_차량 시운전_체크리스트.html","👉 [클릭] 체크리스트 열기 📄")</f>
        <v>👉 [클릭] 체크리스트 열기 📄</v>
      </c>
      <c r="P24" s="61"/>
      <c r="Q24" s="66" t="s">
        <v>23</v>
      </c>
      <c r="R24" s="67" t="s">
        <v>1035</v>
      </c>
      <c r="S24" s="64"/>
    </row>
    <row r="25" spans="1:19" ht="115.2" customHeight="1" x14ac:dyDescent="0.4">
      <c r="A25" s="55" t="s">
        <v>519</v>
      </c>
      <c r="B25" s="55" t="s">
        <v>535</v>
      </c>
      <c r="C25" s="55" t="s">
        <v>2654</v>
      </c>
      <c r="D25" s="55" t="s">
        <v>2822</v>
      </c>
      <c r="E25" s="55" t="s">
        <v>2614</v>
      </c>
      <c r="F25" s="55" t="s">
        <v>2500</v>
      </c>
      <c r="G25" s="54" t="s">
        <v>2823</v>
      </c>
      <c r="H25" s="54" t="s">
        <v>2824</v>
      </c>
      <c r="I25" s="55" t="s">
        <v>2825</v>
      </c>
      <c r="J25" s="65" t="s">
        <v>2826</v>
      </c>
      <c r="K25" s="120" t="str">
        <f>HYPERLINK("C:\Users\sskjh\antigravity\01_전문업무_및_엔지니어링\11_현장_프로젝트\01_동탄트램\08.메뉴얼 및 평면도\최종\02_메뉴얼 공종프로섹스(집행단계)\매뉴얼BODY(집행단계-첨부폴더)v8\9.통신분야\24_운영자 교육시행\표준서\운영자 교육시행_표준서.html","👉 [클릭] 표준서 열기 📄")</f>
        <v>👉 [클릭] 표준서 열기 📄</v>
      </c>
      <c r="L25" s="65" t="s">
        <v>2827</v>
      </c>
      <c r="M25" s="120" t="str">
        <f>HYPERLINK("C:\Users\sskjh\antigravity\01_전문업무_및_엔지니어링\11_현장_프로젝트\01_동탄트램\08.메뉴얼 및 평면도\최종\02_메뉴얼 공종프로섹스(집행단계)\매뉴얼BODY(집행단계-첨부폴더)v8\9.통신분야\24_운영자 교육시행\수행지침\운영자 교육시행_수행지침.html","👉 [클릭] 수행지침 열기 📄")</f>
        <v>👉 [클릭] 수행지침 열기 📄</v>
      </c>
      <c r="N25" s="65" t="s">
        <v>2828</v>
      </c>
      <c r="O25" s="120" t="str">
        <f>HYPERLINK("C:\Users\sskjh\antigravity\01_전문업무_및_엔지니어링\11_현장_프로젝트\01_동탄트램\08.메뉴얼 및 평면도\최종\02_메뉴얼 공종프로섹스(집행단계)\매뉴얼BODY(집행단계-첨부폴더)v8\9.통신분야\24_운영자 교육시행\체크리스트\9000-2-24_운영자 교육시행_체크리스트.html","👉 [클릭] 체크리스트 열기 📄")</f>
        <v>👉 [클릭] 체크리스트 열기 📄</v>
      </c>
      <c r="P25" s="61"/>
      <c r="Q25" s="66" t="s">
        <v>23</v>
      </c>
      <c r="R25" s="67" t="s">
        <v>1035</v>
      </c>
      <c r="S25" s="64"/>
    </row>
    <row r="26" spans="1:19" ht="115.2" customHeight="1" x14ac:dyDescent="0.4">
      <c r="A26" s="55" t="s">
        <v>519</v>
      </c>
      <c r="B26" s="55" t="s">
        <v>535</v>
      </c>
      <c r="C26" s="55" t="s">
        <v>2654</v>
      </c>
      <c r="D26" s="55" t="s">
        <v>2829</v>
      </c>
      <c r="E26" s="55" t="s">
        <v>2830</v>
      </c>
      <c r="F26" s="55" t="s">
        <v>2623</v>
      </c>
      <c r="G26" s="54" t="s">
        <v>2831</v>
      </c>
      <c r="H26" s="54" t="s">
        <v>2832</v>
      </c>
      <c r="I26" s="55" t="s">
        <v>2833</v>
      </c>
      <c r="J26" s="65" t="s">
        <v>2834</v>
      </c>
      <c r="K26" s="120" t="str">
        <f>HYPERLINK("C:\Users\sskjh\antigravity\01_전문업무_및_엔지니어링\11_현장_프로젝트\01_동탄트램\08.메뉴얼 및 평면도\최종\02_메뉴얼 공종프로섹스(집행단계)\매뉴얼BODY(집행단계-첨부폴더)v8\9.통신분야\25_사전점검\표준서\9000-2-25_사전점검_표준서.html","👉 [클릭] 표준서 열기 📄")</f>
        <v>👉 [클릭] 표준서 열기 📄</v>
      </c>
      <c r="L26" s="65" t="s">
        <v>2835</v>
      </c>
      <c r="M26" s="120" t="str">
        <f>HYPERLINK("C:\Users\sskjh\antigravity\01_전문업무_및_엔지니어링\11_현장_프로젝트\01_동탄트램\08.메뉴얼 및 평면도\최종\02_메뉴얼 공종프로섹스(집행단계)\매뉴얼BODY(집행단계-첨부폴더)v8\9.통신분야\25_사전점검\수행지침\9000-2-25_사전점검_수행지침.html","👉 [클릭] 수행지침 열기 📄")</f>
        <v>👉 [클릭] 수행지침 열기 📄</v>
      </c>
      <c r="N26" s="65" t="s">
        <v>2836</v>
      </c>
      <c r="O26" s="120" t="str">
        <f>HYPERLINK("C:\Users\sskjh\antigravity\01_전문업무_및_엔지니어링\11_현장_프로젝트\01_동탄트램\08.메뉴얼 및 평면도\최종\02_메뉴얼 공종프로섹스(집행단계)\매뉴얼BODY(집행단계-첨부폴더)v8\9.통신분야\25_사전점검\체크리스트\9000-2-25_사전점검_체크리스트.html","👉 [클릭] 체크리스트 열기 📄")</f>
        <v>👉 [클릭] 체크리스트 열기 📄</v>
      </c>
      <c r="P26" s="61"/>
      <c r="Q26" s="66" t="s">
        <v>23</v>
      </c>
      <c r="R26" s="67" t="s">
        <v>1035</v>
      </c>
      <c r="S26" s="64"/>
    </row>
    <row r="27" spans="1:19" ht="153.6" customHeight="1" x14ac:dyDescent="0.4">
      <c r="A27" s="55" t="s">
        <v>519</v>
      </c>
      <c r="B27" s="55" t="s">
        <v>535</v>
      </c>
      <c r="C27" s="55" t="s">
        <v>2654</v>
      </c>
      <c r="D27" s="55" t="s">
        <v>2837</v>
      </c>
      <c r="E27" s="55" t="s">
        <v>2631</v>
      </c>
      <c r="F27" s="55" t="s">
        <v>2623</v>
      </c>
      <c r="G27" s="54" t="s">
        <v>2838</v>
      </c>
      <c r="H27" s="54" t="s">
        <v>2839</v>
      </c>
      <c r="I27" s="55" t="s">
        <v>2840</v>
      </c>
      <c r="J27" s="65" t="s">
        <v>2841</v>
      </c>
      <c r="K27" s="120" t="str">
        <f>HYPERLINK("C:\Users\sskjh\antigravity\01_전문업무_및_엔지니어링\11_현장_프로젝트\01_동탄트램\08.메뉴얼 및 평면도\최종\02_메뉴얼 공종프로섹스(집행단계)\매뉴얼BODY(집행단계-첨부폴더)v8\9.통신분야\26_시설물 검증시험\표준서\시설물 검증시험_표준서.html","👉 [클릭] 표준서 열기 📄")</f>
        <v>👉 [클릭] 표준서 열기 📄</v>
      </c>
      <c r="L27" s="65" t="s">
        <v>2842</v>
      </c>
      <c r="M27" s="120" t="str">
        <f>HYPERLINK("C:\Users\sskjh\antigravity\01_전문업무_및_엔지니어링\11_현장_프로젝트\01_동탄트램\08.메뉴얼 및 평면도\최종\02_메뉴얼 공종프로섹스(집행단계)\매뉴얼BODY(집행단계-첨부폴더)v8\9.통신분야\26_시설물 검증시험\수행지침\시설물 검증시험_수행지침.html","👉 [클릭] 수행지침 열기 📄")</f>
        <v>👉 [클릭] 수행지침 열기 📄</v>
      </c>
      <c r="N27" s="65" t="s">
        <v>2843</v>
      </c>
      <c r="O27" s="120" t="str">
        <f>HYPERLINK("C:\Users\sskjh\antigravity\01_전문업무_및_엔지니어링\11_현장_프로젝트\01_동탄트램\08.메뉴얼 및 평면도\최종\02_메뉴얼 공종프로섹스(집행단계)\매뉴얼BODY(집행단계-첨부폴더)v8\9.통신분야\26_시설물 검증시험\체크리스트\9000-2-26_시설물 검증시험_체크리스트.html","👉 [클릭] 체크리스트 열기 📄")</f>
        <v>👉 [클릭] 체크리스트 열기 📄</v>
      </c>
      <c r="P27" s="61"/>
      <c r="Q27" s="66" t="s">
        <v>23</v>
      </c>
      <c r="R27" s="67" t="s">
        <v>1035</v>
      </c>
      <c r="S27" s="64"/>
    </row>
    <row r="28" spans="1:19" ht="211.2" customHeight="1" x14ac:dyDescent="0.4">
      <c r="A28" s="55" t="s">
        <v>519</v>
      </c>
      <c r="B28" s="55" t="s">
        <v>535</v>
      </c>
      <c r="C28" s="55" t="s">
        <v>2654</v>
      </c>
      <c r="D28" s="55" t="s">
        <v>2844</v>
      </c>
      <c r="E28" s="55" t="s">
        <v>2845</v>
      </c>
      <c r="F28" s="55" t="s">
        <v>2623</v>
      </c>
      <c r="G28" s="54" t="s">
        <v>2846</v>
      </c>
      <c r="H28" s="56" t="s">
        <v>2847</v>
      </c>
      <c r="I28" s="55" t="s">
        <v>2848</v>
      </c>
      <c r="J28" s="65" t="s">
        <v>2849</v>
      </c>
      <c r="K28" s="120" t="str">
        <f>HYPERLINK("C:\Users\sskjh\antigravity\01_전문업무_및_엔지니어링\11_현장_프로젝트\01_동탄트램\08.메뉴얼 및 평면도\최종\02_메뉴얼 공종프로섹스(집행단계)\매뉴얼BODY(집행단계-첨부폴더)v8\9.통신분야\27_영업시운전\표준서\9000-2-27_영업시운전_표준서.html","👉 [클릭] 표준서 열기 📄")</f>
        <v>👉 [클릭] 표준서 열기 📄</v>
      </c>
      <c r="L28" s="65" t="s">
        <v>2850</v>
      </c>
      <c r="M28" s="120" t="str">
        <f>HYPERLINK("C:\Users\sskjh\antigravity\01_전문업무_및_엔지니어링\11_현장_프로젝트\01_동탄트램\08.메뉴얼 및 평면도\최종\02_메뉴얼 공종프로섹스(집행단계)\매뉴얼BODY(집행단계-첨부폴더)v8\9.통신분야\27_영업시운전\수행지침\9000-2-27_영업시운전_수행지침.html","👉 [클릭] 수행지침 열기 📄")</f>
        <v>👉 [클릭] 수행지침 열기 📄</v>
      </c>
      <c r="N28" s="65" t="s">
        <v>2851</v>
      </c>
      <c r="O28" s="120" t="str">
        <f>HYPERLINK("C:\Users\sskjh\antigravity\01_전문업무_및_엔지니어링\11_현장_프로젝트\01_동탄트램\08.메뉴얼 및 평면도\최종\02_메뉴얼 공종프로섹스(집행단계)\매뉴얼BODY(집행단계-첨부폴더)v8\9.통신분야\27_영업시운전\체크리스트\9000-2-27_영업시운전_체크리스트.html","👉 [클릭] 체크리스트 열기 📄")</f>
        <v>👉 [클릭] 체크리스트 열기 📄</v>
      </c>
      <c r="P28" s="61"/>
      <c r="Q28" s="66" t="s">
        <v>23</v>
      </c>
      <c r="R28" s="67" t="s">
        <v>1035</v>
      </c>
      <c r="S28" s="64"/>
    </row>
    <row r="29" spans="1:19" ht="115.2" customHeight="1" x14ac:dyDescent="0.4">
      <c r="A29" s="55" t="s">
        <v>519</v>
      </c>
      <c r="B29" s="55" t="s">
        <v>535</v>
      </c>
      <c r="C29" s="55" t="s">
        <v>2654</v>
      </c>
      <c r="D29" s="55" t="s">
        <v>2852</v>
      </c>
      <c r="E29" s="55" t="s">
        <v>2853</v>
      </c>
      <c r="F29" s="55" t="s">
        <v>2854</v>
      </c>
      <c r="G29" s="54" t="s">
        <v>2855</v>
      </c>
      <c r="H29" s="69" t="s">
        <v>2856</v>
      </c>
      <c r="I29" s="55" t="s">
        <v>2857</v>
      </c>
      <c r="J29" s="65" t="s">
        <v>2858</v>
      </c>
      <c r="K29" s="120" t="str">
        <f>HYPERLINK("C:\Users\sskjh\antigravity\01_전문업무_및_엔지니어링\11_현장_프로젝트\01_동탄트램\08.메뉴얼 및 평면도\최종\02_메뉴얼 공종프로섹스(집행단계)\매뉴얼BODY(집행단계-첨부폴더)v8\9.통신분야\28_자가용전기통신설비 설치신고\표준서\자가용전기통신설비 설치신고_표준서.html","👉 [클릭] 표준서 열기 📄")</f>
        <v>👉 [클릭] 표준서 열기 📄</v>
      </c>
      <c r="L29" s="65" t="s">
        <v>2859</v>
      </c>
      <c r="M29" s="120"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설치신고\수행지침\자가용전기통신설비 설치신고_수행지침.html","👉 [클릭] 수행지침 열기 📄")</f>
        <v>👉 [클릭] 수행지침 열기 📄</v>
      </c>
      <c r="N29" s="65" t="s">
        <v>2860</v>
      </c>
      <c r="O29" s="120"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설치신고\체크리스트\9000-2-28_자가용전기통신설비 설치신고_체크리스트.html","👉 [클릭] 체크리스트 열기 📄")</f>
        <v>👉 [클릭] 체크리스트 열기 📄</v>
      </c>
      <c r="P29" s="61"/>
      <c r="Q29" s="66" t="s">
        <v>2861</v>
      </c>
      <c r="R29" s="67" t="s">
        <v>1035</v>
      </c>
      <c r="S29" s="64"/>
    </row>
    <row r="30" spans="1:19" ht="115.2" customHeight="1" x14ac:dyDescent="0.4">
      <c r="A30" s="55" t="s">
        <v>519</v>
      </c>
      <c r="B30" s="55" t="s">
        <v>535</v>
      </c>
      <c r="C30" s="55" t="s">
        <v>2654</v>
      </c>
      <c r="D30" s="55" t="s">
        <v>2862</v>
      </c>
      <c r="E30" s="55" t="s">
        <v>2863</v>
      </c>
      <c r="F30" s="55" t="s">
        <v>2864</v>
      </c>
      <c r="G30" s="54" t="s">
        <v>2865</v>
      </c>
      <c r="H30" s="58" t="s">
        <v>2866</v>
      </c>
      <c r="I30" s="55" t="s">
        <v>2867</v>
      </c>
      <c r="J30" s="65" t="s">
        <v>2868</v>
      </c>
      <c r="K30" s="120"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0" s="65" t="s">
        <v>2869</v>
      </c>
      <c r="M30" s="120"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0" s="65" t="s">
        <v>2870</v>
      </c>
      <c r="O30" s="120"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0" s="61"/>
      <c r="Q30" s="66" t="s">
        <v>2871</v>
      </c>
      <c r="R30" s="67" t="s">
        <v>1035</v>
      </c>
      <c r="S30" s="64"/>
    </row>
    <row r="31" spans="1:19" ht="115.2" customHeight="1" x14ac:dyDescent="0.4">
      <c r="A31" s="55" t="s">
        <v>519</v>
      </c>
      <c r="B31" s="55" t="s">
        <v>535</v>
      </c>
      <c r="C31" s="55" t="s">
        <v>2654</v>
      </c>
      <c r="D31" s="55" t="s">
        <v>2872</v>
      </c>
      <c r="E31" s="55" t="s">
        <v>2873</v>
      </c>
      <c r="F31" s="55" t="s">
        <v>2854</v>
      </c>
      <c r="G31" s="54" t="s">
        <v>2874</v>
      </c>
      <c r="H31" s="58" t="s">
        <v>2875</v>
      </c>
      <c r="I31" s="55" t="s">
        <v>2876</v>
      </c>
      <c r="J31" s="65" t="s">
        <v>2877</v>
      </c>
      <c r="K31" s="120"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1" s="65" t="s">
        <v>2878</v>
      </c>
      <c r="M31" s="120"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1" s="65" t="s">
        <v>2879</v>
      </c>
      <c r="O31" s="120"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1" s="61"/>
      <c r="Q31" s="66" t="s">
        <v>2880</v>
      </c>
      <c r="R31" s="67" t="s">
        <v>1035</v>
      </c>
      <c r="S31" s="64"/>
    </row>
    <row r="32" spans="1:19" ht="115.2" customHeight="1" x14ac:dyDescent="0.4">
      <c r="A32" s="55" t="s">
        <v>519</v>
      </c>
      <c r="B32" s="55" t="s">
        <v>535</v>
      </c>
      <c r="C32" s="55" t="s">
        <v>2654</v>
      </c>
      <c r="D32" s="55" t="s">
        <v>2881</v>
      </c>
      <c r="E32" s="55" t="s">
        <v>2882</v>
      </c>
      <c r="F32" s="55" t="s">
        <v>2854</v>
      </c>
      <c r="G32" s="54" t="s">
        <v>2883</v>
      </c>
      <c r="H32" s="58" t="s">
        <v>2884</v>
      </c>
      <c r="I32" s="55" t="s">
        <v>2885</v>
      </c>
      <c r="J32" s="65" t="s">
        <v>2886</v>
      </c>
      <c r="K32" s="120" t="str">
        <f>HYPERLINK("C:\Users\sskjh\antigravity\01_전문업무_및_엔지니어링\11_현장_프로젝트\01_동탄트램\08.메뉴얼 및 평면도\최종\02_메뉴얼 공종프로섹스(집행단계)\매뉴얼BODY(집행단계-첨부폴더)v8\9.통신분야\31_정보통신사용전검사\표준서\정보통신사용전검사_표준서.html","👉 [클릭] 표준서 열기 📄")</f>
        <v>👉 [클릭] 표준서 열기 📄</v>
      </c>
      <c r="L32" s="65" t="s">
        <v>2887</v>
      </c>
      <c r="M32" s="120" t="str">
        <f>HYPERLINK("C:\Users\sskjh\antigravity\01_전문업무_및_엔지니어링\11_현장_프로젝트\01_동탄트램\08.메뉴얼 및 평면도\최종\02_메뉴얼 공종프로섹스(집행단계)\매뉴얼BODY(집행단계-첨부폴더)v8\9.통신분야\31_정보통신사용전검사\수행지침\정보통신사용전검사_수행지침.html","👉 [클릭] 수행지침 열기 📄")</f>
        <v>👉 [클릭] 수행지침 열기 📄</v>
      </c>
      <c r="N32" s="65" t="s">
        <v>2888</v>
      </c>
      <c r="O32" s="120" t="str">
        <f>HYPERLINK("C:\Users\sskjh\antigravity\01_전문업무_및_엔지니어링\11_현장_프로젝트\01_동탄트램\08.메뉴얼 및 평면도\최종\02_메뉴얼 공종프로섹스(집행단계)\매뉴얼BODY(집행단계-첨부폴더)v8\9.통신분야\31_정보통신사용전검사\체크리스트\9000-2-31_정보통신사용전검사_체크리스트.html","👉 [클릭] 체크리스트 열기 📄")</f>
        <v>👉 [클릭] 체크리스트 열기 📄</v>
      </c>
      <c r="P32" s="61"/>
      <c r="Q32" s="66" t="s">
        <v>2889</v>
      </c>
      <c r="R32" s="67" t="s">
        <v>1035</v>
      </c>
      <c r="S32" s="64"/>
    </row>
    <row r="33" spans="1:19" ht="115.2" customHeight="1" x14ac:dyDescent="0.4">
      <c r="A33" s="55" t="s">
        <v>519</v>
      </c>
      <c r="B33" s="55" t="s">
        <v>535</v>
      </c>
      <c r="C33" s="55" t="s">
        <v>2654</v>
      </c>
      <c r="D33" s="55" t="s">
        <v>2890</v>
      </c>
      <c r="E33" s="55" t="s">
        <v>2891</v>
      </c>
      <c r="F33" s="55" t="s">
        <v>2864</v>
      </c>
      <c r="G33" s="54" t="s">
        <v>2892</v>
      </c>
      <c r="H33" s="58" t="s">
        <v>2893</v>
      </c>
      <c r="I33" s="55" t="s">
        <v>2894</v>
      </c>
      <c r="J33" s="65" t="s">
        <v>2895</v>
      </c>
      <c r="K33" s="120"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3" s="65" t="s">
        <v>2896</v>
      </c>
      <c r="M33" s="120"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3" s="65" t="s">
        <v>2897</v>
      </c>
      <c r="O33" s="120"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3" s="61"/>
      <c r="Q33" s="66" t="s">
        <v>2898</v>
      </c>
      <c r="R33" s="67" t="s">
        <v>1035</v>
      </c>
      <c r="S33" s="64"/>
    </row>
  </sheetData>
  <phoneticPr fontId="3" type="noConversion"/>
  <hyperlinks>
    <hyperlink ref="K2" r:id="rId1" display="매뉴얼BODY(집행단계-첨부폴더)v8\9.통신분야\1_설계적정성 검토\표준서\설계적정성 검토_표준서.html" xr:uid="{B85C1E80-A932-4CCB-940A-09B8B38E6133}"/>
    <hyperlink ref="M2" r:id="rId2" display="매뉴얼BODY(집행단계-첨부폴더)v8\9.통신분야\1_설계적정성 검토\수행지침\설계적정성 검토_수행지침.html" xr:uid="{22CD2D51-D5F0-4BDD-9668-36851399FF0A}"/>
    <hyperlink ref="O2" r:id="rId3" display="매뉴얼BODY(집행단계-첨부폴더)v8\9.통신분야\1_설계적정성 검토\체크리스트\9000-2-1_설계적정성 검토_체크리스트.html" xr:uid="{93F2804B-68B7-426F-82F6-9976F30CA054}"/>
    <hyperlink ref="K3" r:id="rId4" display="매뉴얼BODY(집행단계-첨부폴더)v8\9.통신분야\2_착수전략 KOM\표준서\발주전략 KOM_표준서.html" xr:uid="{7C7A1114-19FF-4A42-8FDD-7F24D057E628}"/>
    <hyperlink ref="M3" r:id="rId5" display="매뉴얼BODY(집행단계-첨부폴더)v8\9.통신분야\2_착수전략 KOM\수행지침\발주전략 KOM_수행지침.html" xr:uid="{C58F7E76-8653-4237-A321-FA3CD8684AC8}"/>
    <hyperlink ref="O3" r:id="rId6" display="매뉴얼BODY(집행단계-첨부폴더)v8\9.통신분야\2_착수전략 KOM\체크리스트\발주전략 KOM_체크리스트.html" xr:uid="{B85E3377-9AE0-4550-BF33-A38326DF4587}"/>
    <hyperlink ref="K4" r:id="rId7" display="매뉴얼BODY(집행단계-첨부폴더)v8\9.통신분야\3_토목 _ 건축 인터페이스 협의\표준서\토목 _ 건축 인터페이스 협의_표준서.html" xr:uid="{3BAB7C23-CD6D-453F-8142-7B99270E7BEC}"/>
    <hyperlink ref="M4" r:id="rId8" display="매뉴얼BODY(집행단계-첨부폴더)v8\9.통신분야\3_토목 _ 건축 인터페이스 협의\수행지침\토목 _ 건축 인터페이스 협의_수행지침.html" xr:uid="{1FEB8C14-7548-4D9E-8BCF-48435C8B1D25}"/>
    <hyperlink ref="O4" r:id="rId9" display="매뉴얼BODY(집행단계-첨부폴더)v8\9.통신분야\3_토목 _ 건축 인터페이스 협의\체크리스트\9000-2-3_토목 _ 건축 인터페이스 협의_체크리스트.html" xr:uid="{0D70081A-945D-4417-B8A4-6C93046DC7B3}"/>
    <hyperlink ref="K5" r:id="rId10" display="매뉴얼BODY(집행단계-첨부폴더)v8\9.통신분야\4_전기 _ 신호 _ 기계 _ PSD _ 차량 인터페이스 협의\표준서\전기 _ 신호 _ 기계 _ PSD _ 차량 인터페이스 협의_표준서.html" xr:uid="{D68D3A34-E601-49D5-B621-C37CF283A975}"/>
    <hyperlink ref="M5" r:id="rId11" display="매뉴얼BODY(집행단계-첨부폴더)v8\9.통신분야\4_전기 _ 신호 _ 기계 _ PSD _ 차량 인터페이스 협의\수행지침\전기 _ 신호 _ 기계 _ PSD _ 차량 인터페이스 협의_수행지침.html" xr:uid="{E4E41DE4-1B84-48A3-9B4B-FD8D24248FC7}"/>
    <hyperlink ref="O5" r:id="rId12" display="매뉴얼BODY(집행단계-첨부폴더)v8\9.통신분야\4_전기 _ 신호 _ 기계 _ PSD _ 차량 인터페이스 협의\체크리스트\9000-2-4_전기 _ 신호 _ 기계 _ PSD _ 차량 인터페이스 협의_체크리스트.html" xr:uid="{09C142DE-F650-4E8A-AD1A-C49C64FCF032}"/>
    <hyperlink ref="K6" r:id="rId13" display="매뉴얼BODY(집행단계-첨부폴더)v8\9.통신분야\5_통신설비 제작사 인터페이스 협의\표준서\통신설비 제작사 인터페이스 협의_표준서.html" xr:uid="{44C5ECEF-4FE2-49D6-80EA-F7FB4A3EB0ED}"/>
    <hyperlink ref="M6" r:id="rId14" display="매뉴얼BODY(집행단계-첨부폴더)v8\9.통신분야\5_통신설비 제작사 인터페이스 협의\수행지침\통신설비 제작사 인터페이스 협의_수행지침.html" xr:uid="{7933B001-1567-4567-A577-EC880CA59D78}"/>
    <hyperlink ref="O6" r:id="rId15" display="매뉴얼BODY(집행단계-첨부폴더)v8\9.통신분야\5_통신설비 제작사 인터페이스 협의\체크리스트\9000-2-5_통신설비 제작사 인터페이스 협의_체크리스트.html" xr:uid="{3CFD41A5-5BF4-4EEA-A11C-AC1393A274CB}"/>
    <hyperlink ref="K7" r:id="rId16" display="매뉴얼BODY(집행단계-첨부폴더)v8\9.통신분야\6_관제 및 운영사 인터페이스 협의\표준서\관제 및 운영사 인터페이스 협의_표준서.html" xr:uid="{C8DC6896-EF15-4208-A49C-8B573957EF65}"/>
    <hyperlink ref="M7" r:id="rId17" display="매뉴얼BODY(집행단계-첨부폴더)v8\9.통신분야\6_관제 및 운영사 인터페이스 협의\수행지침\관제 및 운영사 인터페이스 협의_수행지침.html" xr:uid="{171A889B-F9BC-47A4-885C-642AA8A3905F}"/>
    <hyperlink ref="O7" r:id="rId18" display="매뉴얼BODY(집행단계-첨부폴더)v8\9.통신분야\6_관제 및 운영사 인터페이스 협의\체크리스트\9000-2-6_관제 및 운영사 인터페이스 협의_체크리스트.html" xr:uid="{39F24E97-A632-4B6E-805E-E295F9905DF0}"/>
    <hyperlink ref="K8" r:id="rId19" display="매뉴얼BODY(집행단계-첨부폴더)v8\9.통신분야\7_발주처 품질 요구사항 검토\표준서\발주처 품질 요구사항 검토_표준서.html" xr:uid="{67E67DC7-9F87-4195-AAF9-230F86B4590E}"/>
    <hyperlink ref="M8" r:id="rId20" display="매뉴얼BODY(집행단계-첨부폴더)v8\9.통신분야\7_발주처 품질 요구사항 검토\수행지침\발주처 품질 요구사항 검토_수행지침.html" xr:uid="{AC4E67E3-55E5-4DCF-B688-D7B7F396E3DE}"/>
    <hyperlink ref="O8" r:id="rId21" display="매뉴얼BODY(집행단계-첨부폴더)v8\9.통신분야\7_발주처 품질 요구사항 검토\체크리스트\9000-2-7_발주처 품질 요구사항 검토_체크리스트.html" xr:uid="{99D2E2D2-7A41-4A44-B3F9-84D8D88DC8F0}"/>
    <hyperlink ref="K9" r:id="rId22" display="매뉴얼BODY(집행단계-첨부폴더)v8\9.통신분야\8_자재 _ 인원 _ 장비 등 투입 사전 검토\표준서\자재 인력 장비 등 투입 사전 검토_표준서.html" xr:uid="{141200A8-4E0D-40BB-82FF-7DCF94769E89}"/>
    <hyperlink ref="M9" r:id="rId23" display="매뉴얼BODY(집행단계-첨부폴더)v8\9.통신분야\8_자재 _ 인원 _ 장비 등 투입 사전 검토\수행지침\자재 인력 장비 등 투입 사전 검토_수행지침.html" xr:uid="{7A8C7B86-82DE-4BE2-BC7C-F1C1CBEC2711}"/>
    <hyperlink ref="O9" r:id="rId24" display="매뉴얼BODY(집행단계-첨부폴더)v8\9.통신분야\8_자재 _ 인원 _ 장비 등 투입 사전 검토\체크리스트\자재 인력 장비 등 투입 사전 검토_체크리스트.html" xr:uid="{3ECFDC67-8533-4B80-9B03-21747F901D85}"/>
    <hyperlink ref="K10" r:id="rId25" display="매뉴얼BODY(집행단계-첨부폴더)v8\9.통신분야\8_자재 인력 장비 등 투입 사전 검토\표준서\자재 인력 장비 등 투입 사전 검토_표준서.html" xr:uid="{5C44E150-4460-4935-87F9-68BAA0FB147A}"/>
    <hyperlink ref="M10" r:id="rId26" display="매뉴얼BODY(집행단계-첨부폴더)v8\9.통신분야\8_자재 인력 장비 등 투입 사전 검토\수행지침\자재 인력 장비 등 투입 사전 검토_수행지침.html" xr:uid="{20F49D6E-4D54-4222-BF84-2E47D30A9989}"/>
    <hyperlink ref="O10" r:id="rId27" display="매뉴얼BODY(집행단계-첨부폴더)v8\9.통신분야\8_자재 인력 장비 등 투입 사전 검토\체크리스트\자재 인력 장비 등 투입 사전 검토_체크리스트.html" xr:uid="{63E0164C-35A7-442D-B6B9-F06523142E8A}"/>
    <hyperlink ref="K11" r:id="rId28" display="매뉴얼BODY(집행단계-첨부폴더)v8\9.통신분야\9_착수 전 Big Room 회의\표준서\착수 전 Big Room 회의_표준서.html" xr:uid="{751386AB-B2F6-4684-9429-D9284AF0A811}"/>
    <hyperlink ref="M11" r:id="rId29" display="매뉴얼BODY(집행단계-첨부폴더)v8\9.통신분야\9_착수 전 Big Room 회의\수행지침\착수 전 Big Room 회의_수행지침.html" xr:uid="{46488291-78B8-43D5-91F5-E6ACADCF05BB}"/>
    <hyperlink ref="O11" r:id="rId30" display="매뉴얼BODY(집행단계-첨부폴더)v8\9.통신분야\9_착수 전 Big Room 회의\체크리스트\9000-2-9_착수 전 Big Room 회의_체크리스트.html" xr:uid="{D185112C-A3E5-4FC7-A44E-582849F1BDDB}"/>
    <hyperlink ref="K12" r:id="rId31" display="매뉴얼BODY(집행단계-첨부폴더)v8\9.통신분야\10_통신설비 제작 사양서 작성 _ 승인\표준서\통신설비 제작 사양서 작성 _ 승인_표준서.html" xr:uid="{61ECA5AC-D881-4D26-926B-235D2E071947}"/>
    <hyperlink ref="M12" r:id="rId32" display="매뉴얼BODY(집행단계-첨부폴더)v8\9.통신분야\10_통신설비 제작 사양서 작성 _ 승인\수행지침\통신설비 제작 사양서 작성 _ 승인_수행지침.html" xr:uid="{A31DAC77-6DAE-4635-BF88-E6E6AD142DBC}"/>
    <hyperlink ref="O12" r:id="rId33" display="매뉴얼BODY(집행단계-첨부폴더)v8\9.통신분야\10_통신설비 제작 사양서 작성 _ 승인\체크리스트\9000-2-10_통신설비 제작 사양서 작성 _ 승인_체크리스트.html" xr:uid="{81620087-F217-4269-B809-14B2CB61E819}"/>
    <hyperlink ref="K13" r:id="rId34" display="매뉴얼BODY(집행단계-첨부폴더)v8\9.통신분야\11_시공 계획 수립 _ 승인\표준서\시공 계획 수립 _ 승인_표준서.html" xr:uid="{55AD8432-A1FD-4BFD-B13B-DE85B6CD2077}"/>
    <hyperlink ref="M13" r:id="rId35" display="매뉴얼BODY(집행단계-첨부폴더)v8\9.통신분야\11_시공 계획 수립 _ 승인\수행지침\시공 계획 수립 _ 승인_수행지침.html" xr:uid="{FA69AD2F-1BEB-4156-AC65-D1FEA977871B}"/>
    <hyperlink ref="O13" r:id="rId36" display="매뉴얼BODY(집행단계-첨부폴더)v8\9.통신분야\11_시공 계획 수립 _ 승인\체크리스트\9000-2-11_시공 계획 수립 _ 승인_체크리스트.html" xr:uid="{A0EAEA86-F1E3-4B7F-AE0B-865FC844488E}"/>
    <hyperlink ref="K14" r:id="rId37" display="매뉴얼BODY(집행단계-첨부폴더)v8\9.통신분야\12_자재공급원 검토 및 승인\표준서\자재공급원 검토 및 승인_표준서.html" xr:uid="{6B5295C4-9269-4795-8F9D-096ADBEF9EF3}"/>
    <hyperlink ref="M14" r:id="rId38" display="매뉴얼BODY(집행단계-첨부폴더)v8\9.통신분야\12_자재공급원 검토 및 승인\수행지침\자재공급원 검토 및 승인_수행지침.html" xr:uid="{C423B8AA-4742-4B23-9853-703F0AE143AC}"/>
    <hyperlink ref="O14" r:id="rId39" display="매뉴얼BODY(집행단계-첨부폴더)v8\9.통신분야\12_자재공급원 검토 및 승인\체크리스트\9000-2-12_자재공급원 검토 및 승인_체크리스트.html" xr:uid="{6B18E8C5-681C-41A2-9445-303745AAE855}"/>
    <hyperlink ref="K15" r:id="rId40" display="매뉴얼BODY(집행단계-첨부폴더)v8\9.통신분야\13_통신설비 공정제작 _ 제작사 공장검사\표준서\통신설비 공정제작 _ 제작사 공장검사_표준서.html" xr:uid="{4FE1CEDB-CE5D-4452-A7DA-0D215EA8CB49}"/>
    <hyperlink ref="M15" r:id="rId41" display="매뉴얼BODY(집행단계-첨부폴더)v8\9.통신분야\13_통신설비 공정제작 _ 제작사 공장검사\수행지침\통신설비 공정제작 _ 제작사 공장검사_수행지침.html" xr:uid="{FA8C8566-C36E-46E7-BB28-FDDD5170CD2E}"/>
    <hyperlink ref="O15" r:id="rId42" display="매뉴얼BODY(집행단계-첨부폴더)v8\9.통신분야\13_통신설비 공정제작 _ 제작사 공장검사\체크리스트\9000-2-13_통신설비 공정제작 _ 제작사 공장검사_체크리스트.html" xr:uid="{0B5EB925-1AD0-48C9-A1FD-7D17B6CA50E7}"/>
    <hyperlink ref="K16" r:id="rId43" display="매뉴얼BODY(집행단계-첨부폴더)v8\9.통신분야\14_본공사 전 선행공정 인수인계 점검\표준서\본공사 전 선행공정 인수인계 점검_표준서.html" xr:uid="{7C46DC8A-8F6B-44AE-B86B-AD5E6CE8EC89}"/>
    <hyperlink ref="M16" r:id="rId44" display="매뉴얼BODY(집행단계-첨부폴더)v8\9.통신분야\14_본공사 전 선행공정 인수인계 점검\수행지침\본공사 전 선행공정 인수인계 점검_수행지침.html" xr:uid="{B618EABD-B6AC-432D-9ED1-A6D91E377B11}"/>
    <hyperlink ref="O16" r:id="rId45" display="매뉴얼BODY(집행단계-첨부폴더)v8\9.통신분야\14_본공사 전 선행공정 인수인계 점검\체크리스트\9000-2-14_본공사 전 선행공정 인수인계 점검_체크리스트.html" xr:uid="{50F7F41F-73BD-4DD2-AA3C-9A3B16C76BCF}"/>
    <hyperlink ref="K17" r:id="rId46" display="매뉴얼BODY(집행단계-첨부폴더)v8\9.통신분야\15_장비반입 및 안전교육\표준서\장비반입 및 안전교육_표준서.html" xr:uid="{E996F410-1BA2-4F50-93D7-633E2E200F7B}"/>
    <hyperlink ref="M17" r:id="rId47" display="매뉴얼BODY(집행단계-첨부폴더)v8\9.통신분야\15_장비반입 및 안전교육\수행지침\장비반입 및 안전교육_수행지침.html" xr:uid="{4D898DBD-C9D0-4269-B6F6-D4E384CA4396}"/>
    <hyperlink ref="O17" r:id="rId48" display="매뉴얼BODY(집행단계-첨부폴더)v8\9.통신분야\15_장비반입 및 안전교육\체크리스트\9000-2-15_장비반입 및 안전교육_체크리스트.html" xr:uid="{6FF73012-B122-48BF-8485-287E63149C13}"/>
    <hyperlink ref="K18" r:id="rId49" display="매뉴얼BODY(집행단계-첨부폴더)v8\9.통신분야\16_자재 반입 및 검수\표준서\자재 반입 및 검수_표준서.html" xr:uid="{1C095172-1DB0-491A-8435-D5F5F71D529D}"/>
    <hyperlink ref="M18" r:id="rId50" display="매뉴얼BODY(집행단계-첨부폴더)v8\9.통신분야\16_자재 반입 및 검수\수행지침\자재 반입 및 검수_수행지침.html" xr:uid="{7114F883-80BC-43E9-B03A-E44C2047D100}"/>
    <hyperlink ref="O18" r:id="rId51" display="매뉴얼BODY(집행단계-첨부폴더)v8\9.통신분야\16_자재 반입 및 검수\체크리스트\9000-2-16_자재 반입 및 검수_체크리스트.html" xr:uid="{D9A96B08-9801-4670-800E-1AF7C40933F4}"/>
    <hyperlink ref="K19" r:id="rId52" display="매뉴얼BODY(집행단계-첨부폴더)v8\9.통신분야\17_통신설비 반입 및 설치\표준서\통신설비 반입 및 설치_표준서.html" xr:uid="{FBA200A0-C015-4E21-B309-D76282DF4C6F}"/>
    <hyperlink ref="M19" r:id="rId53" display="매뉴얼BODY(집행단계-첨부폴더)v8\9.통신분야\17_통신설비 반입 및 설치\수행지침\통신설비 반입 및 설치_수행지침.html" xr:uid="{8A466205-FC1A-434E-8D78-DCC49C13C6F9}"/>
    <hyperlink ref="O19" r:id="rId54" display="매뉴얼BODY(집행단계-첨부폴더)v8\9.통신분야\17_통신설비 반입 및 설치\체크리스트\9000-2-17_통신설비 반입 및 설치_체크리스트.html" xr:uid="{46C89BBE-1725-40AE-9D82-D16F87C8FE90}"/>
    <hyperlink ref="K20" r:id="rId55" display="매뉴얼BODY(집행단계-첨부폴더)v8\9.통신분야\18_관제설비 설치\표준서\관제설비 설치_표준서.html" xr:uid="{D75C84D8-01D1-4FE1-817F-53DD910917D1}"/>
    <hyperlink ref="M20" r:id="rId56" display="매뉴얼BODY(집행단계-첨부폴더)v8\9.통신분야\18_관제설비 설치\수행지침\관제설비 설치_수행지침.html" xr:uid="{63BD4824-CFB6-4AB2-B738-8D68F22203B1}"/>
    <hyperlink ref="O20" r:id="rId57" display="매뉴얼BODY(집행단계-첨부폴더)v8\9.통신분야\18_관제설비 설치\체크리스트\9000-2-18_관제설비 설치_체크리스트.html" xr:uid="{BE248A06-D0CA-47B6-B2A9-EFE626EC9616}"/>
    <hyperlink ref="K21" r:id="rId58" display="매뉴얼BODY(집행단계-첨부폴더)v8\9.통신분야\19_통신시스템 단위시험\표준서\통신시스템 단위시험_표준서.html" xr:uid="{24B474B1-0D08-4294-99E7-0CB757002D52}"/>
    <hyperlink ref="M21" r:id="rId59" display="매뉴얼BODY(집행단계-첨부폴더)v8\9.통신분야\19_통신시스템 단위시험\수행지침\통신시스템 단위시험_수행지침.html" xr:uid="{8FD871A8-1AE0-4E7F-9783-4C8BFE62425B}"/>
    <hyperlink ref="O21" r:id="rId60" display="매뉴얼BODY(집행단계-첨부폴더)v8\9.통신분야\19_통신시스템 단위시험\체크리스트\9000-2-19_통신시스템 단위시험_체크리스트.html" xr:uid="{F66A6C45-54B9-4EC1-A33F-66963D0CD6DA}"/>
    <hyperlink ref="K22" r:id="rId61" display="매뉴얼BODY(집행단계-첨부폴더)v8\9.통신분야\20_통신시스템 통합시험\표준서\통신시스템 통합시험_표준서.html" xr:uid="{603A04DB-8923-47B7-A41A-33FF68D99171}"/>
    <hyperlink ref="M22" r:id="rId62" display="매뉴얼BODY(집행단계-첨부폴더)v8\9.통신분야\20_통신시스템 통합시험\수행지침\통신시스템 통합시험_수행지침.html" xr:uid="{56CBAE26-ACC3-4583-85DF-3D165D058841}"/>
    <hyperlink ref="O22" r:id="rId63" display="매뉴얼BODY(집행단계-첨부폴더)v8\9.통신분야\20_통신시스템 통합시험\체크리스트\9000-2-20_통신시스템 통합시험_체크리스트.html" xr:uid="{BC1B165C-2409-4F27-BF8E-8B6A6F1D1744}"/>
    <hyperlink ref="K23" r:id="rId64" display="매뉴얼BODY(집행단계-첨부폴더)v8\9.통신분야\21_공종별 시험\표준서\9000-2-21_공종별 시험_표준서.html" xr:uid="{2960BC70-650A-43C7-9A8B-B5090F0628DD}"/>
    <hyperlink ref="M23" r:id="rId65" display="매뉴얼BODY(집행단계-첨부폴더)v8\9.통신분야\21_공종별 시험\수행지침\공종별 시험_수행지침.html" xr:uid="{C377C03C-79E9-4815-87D4-288F31188019}"/>
    <hyperlink ref="O23" r:id="rId66" display="매뉴얼BODY(집행단계-첨부폴더)v8\9.통신분야\21_공종별 시험\체크리스트\9000-2-21_공종별 시험_체크리스트.html" xr:uid="{0CB78F19-47D0-41DD-84A9-9C9828CE62B4}"/>
    <hyperlink ref="K24" r:id="rId67" display="매뉴얼BODY(집행단계-첨부폴더)v8\9.통신분야\22_차량 투입 전 점검\표준서\차량 투입 전 점검_표준서.html" xr:uid="{BD9DB1CA-82BE-4C5A-9B99-8DB53556D278}"/>
    <hyperlink ref="M24" r:id="rId68" display="매뉴얼BODY(집행단계-첨부폴더)v8\9.통신분야\22_차량 투입 전 점검\수행지침\차량 투입 전 점검_수행지침.html" xr:uid="{A5098D45-7381-4B8E-87E4-7F7E9E3DA1DB}"/>
    <hyperlink ref="O24" r:id="rId69" display="매뉴얼BODY(집행단계-첨부폴더)v8\9.통신분야\22_차량 투입 전 점검\체크리스트\9000-2-22_차량 투입 전 점검_체크리스트.html" xr:uid="{643290D9-6B49-40B8-A7BB-D8286488D7E8}"/>
    <hyperlink ref="K25" r:id="rId70" display="매뉴얼BODY(집행단계-첨부폴더)v8\9.통신분야\23_차량 시운전\표준서\9000-2-23_차량 시운전_표준서.html" xr:uid="{15021582-BA73-423D-BC00-ABB974D1DBD3}"/>
    <hyperlink ref="M25" r:id="rId71" display="매뉴얼BODY(집행단계-첨부폴더)v8\9.통신분야\23_차량 시운전\수행지침\차량 시운전_수행지침.html" xr:uid="{5D6783B7-81C6-4574-B262-FD2716515115}"/>
    <hyperlink ref="O25" r:id="rId72" display="매뉴얼BODY(집행단계-첨부폴더)v8\9.통신분야\23_차량 시운전\체크리스트\9000-2-23_차량 시운전_체크리스트.html" xr:uid="{87BD95F5-B82B-4561-89AA-857991BC0E36}"/>
    <hyperlink ref="K26" r:id="rId73" display="매뉴얼BODY(집행단계-첨부폴더)v8\9.통신분야\24_운영자 교육시행\표준서\운영자 교육시행_표준서.html" xr:uid="{AFEE5B44-9ED6-4E43-83B6-F6430A057366}"/>
    <hyperlink ref="M26" r:id="rId74" display="매뉴얼BODY(집행단계-첨부폴더)v8\9.통신분야\24_운영자 교육시행\수행지침\운영자 교육시행_수행지침.html" xr:uid="{3A919E84-9E09-4681-AB49-99B668935491}"/>
    <hyperlink ref="O26" r:id="rId75" display="매뉴얼BODY(집행단계-첨부폴더)v8\9.통신분야\24_운영자 교육시행\체크리스트\9000-2-24_운영자 교육시행_체크리스트.html" xr:uid="{98E6CF42-8EF4-447B-8FF9-FD44EF47FBAE}"/>
    <hyperlink ref="K27" r:id="rId76" display="매뉴얼BODY(집행단계-첨부폴더)v8\9.통신분야\25_사전점검\표준서\9000-2-25_사전점검_표준서.html" xr:uid="{0F94C98A-6C2B-40FB-B435-532B1320C2D7}"/>
    <hyperlink ref="M27" r:id="rId77" display="매뉴얼BODY(집행단계-첨부폴더)v8\9.통신분야\25_사전점검\수행지침\9000-2-25_사전점검_수행지침.html" xr:uid="{90E5D7E0-E2D3-4BA1-823F-70FEF30E1AF7}"/>
    <hyperlink ref="O27" r:id="rId78" display="매뉴얼BODY(집행단계-첨부폴더)v8\9.통신분야\25_사전점검\체크리스트\9000-2-25_사전점검_체크리스트.html" xr:uid="{06700C8B-4BB3-47C3-803B-74C6C445411C}"/>
    <hyperlink ref="K28" r:id="rId79" display="매뉴얼BODY(집행단계-첨부폴더)v8\9.통신분야\26_시설물 검증시험\표준서\시설물 검증시험_표준서.html" xr:uid="{7A5C1958-7105-4E9E-A1DE-D71E79FCB4EE}"/>
    <hyperlink ref="M28" r:id="rId80" display="매뉴얼BODY(집행단계-첨부폴더)v8\9.통신분야\26_시설물 검증시험\수행지침\시설물 검증시험_수행지침.html" xr:uid="{1639B190-FCED-49F5-BD39-32F2DAC3C4C9}"/>
    <hyperlink ref="O28" r:id="rId81" display="매뉴얼BODY(집행단계-첨부폴더)v8\9.통신분야\26_시설물 검증시험\체크리스트\9000-2-26_시설물 검증시험_체크리스트.html" xr:uid="{0E6296A9-7152-4B14-AF16-66FD4EAD72C8}"/>
    <hyperlink ref="K29" r:id="rId82" display="매뉴얼BODY(집행단계-첨부폴더)v8\9.통신분야\27_영업시운전\표준서\9000-2-27_영업시운전_표준서.html" xr:uid="{7D1FE645-58B1-4B1D-9C60-DD0E98828A8B}"/>
    <hyperlink ref="M29" r:id="rId83" display="매뉴얼BODY(집행단계-첨부폴더)v8\9.통신분야\27_영업시운전\수행지침\9000-2-27_영업시운전_수행지침.html" xr:uid="{07DE9799-46E6-4987-B839-2A6C6470B32A}"/>
    <hyperlink ref="O29" r:id="rId84" display="매뉴얼BODY(집행단계-첨부폴더)v8\9.통신분야\27_영업시운전\체크리스트\9000-2-27_영업시운전_체크리스트.html" xr:uid="{5D3B07F2-C2C7-47EF-8336-62E072D7F302}"/>
    <hyperlink ref="K30" r:id="rId85" display="매뉴얼BODY(집행단계-첨부폴더)v8\9.통신분야\28_자가용전기통신설비 설치신고\표준서\자가용전기통신설비 설치신고_표준서.html" xr:uid="{BB2079DA-456D-490E-8CA0-65497DD01AB4}"/>
    <hyperlink ref="M30" r:id="rId86" display="매뉴얼BODY(집행단계-첨부폴더)v8\9.통신분야\28_자가용전기통신설비 설치신고\수행지침\자가용전기통신설비 설치신고_수행지침.html" xr:uid="{36B8EE04-2AB9-432B-BE1C-3C2619D48734}"/>
    <hyperlink ref="O30" r:id="rId87" display="매뉴얼BODY(집행단계-첨부폴더)v8\9.통신분야\28_자가용전기통신설비 설치신고\체크리스트\9000-2-28_자가용전기통신설비 설치신고_체크리스트.html" xr:uid="{D6FA9E6E-D28F-4159-89C2-85C7CE78BEDF}"/>
    <hyperlink ref="K31" r:id="rId88" display="매뉴얼BODY(집행단계-첨부폴더)v8\9.통신분야\29_LTE-R 무선국 허가\표준서\LTE-R 무선국 허가_표준서.html" xr:uid="{59995CE7-A428-46C5-B807-0C7CB68E2E6C}"/>
    <hyperlink ref="M31" r:id="rId89" display="매뉴얼BODY(집행단계-첨부폴더)v8\9.통신분야\29_LTE-R 무선국 허가\수행지침\LTE-R 무선국 허가_수행지침.html" xr:uid="{C0474CDA-2903-484A-BADB-8064596D572C}"/>
    <hyperlink ref="O31" r:id="rId90" display="매뉴얼BODY(집행단계-첨부폴더)v8\9.통신분야\29_LTE-R 무선국 허가\체크리스트\LTE-R 무선국 허가_체크리스트.html" xr:uid="{191B6F7D-B17C-41CA-8BA4-1B82FA7809AB}"/>
    <hyperlink ref="K32" r:id="rId91" display="매뉴얼BODY(집행단계-첨부폴더)v8\9.통신분야\29_LTE-R 무선국허가\표준서\LTE-R 무선국허가_표준서.html" xr:uid="{CB41ACF0-10C0-4964-920A-C957767C8FA3}"/>
    <hyperlink ref="M32" r:id="rId92" display="매뉴얼BODY(집행단계-첨부폴더)v8\9.통신분야\29_LTE-R 무선국허가\수행지침\LTE-R 무선국허가_수행지침.html" xr:uid="{BEBC4918-0BF0-407A-AB60-3FA9851587B1}"/>
    <hyperlink ref="O32" r:id="rId93" display="매뉴얼BODY(집행단계-첨부폴더)v8\9.통신분야\29_LTE-R 무선국허가\체크리스트\9000-2-29_LTE-R 무선국허가_체크리스트.html" xr:uid="{BE13BE74-DA60-4374-9704-4F95EBF60937}"/>
    <hyperlink ref="K33" r:id="rId94" display="매뉴얼BODY(집행단계-첨부폴더)v8\9.통신분야\30_LTE-R 상호운용성 및 보안적합성 검증\표준서\LTE-R 상호운용성 및 보안적합성 검증_표준서.html" xr:uid="{DEAA6727-143D-49B8-ABBE-EAFA3D79A728}"/>
    <hyperlink ref="M33" r:id="rId95" display="매뉴얼BODY(집행단계-첨부폴더)v8\9.통신분야\30_LTE-R 상호운용성 및 보안적합성 검증\수행지침\LTE-R 상호운용성 및 보안적합성 검증_수행지침.html" xr:uid="{8B0E35F8-FC3C-475F-B22C-2EB5D4C25371}"/>
    <hyperlink ref="O33" r:id="rId96" display="매뉴얼BODY(집행단계-첨부폴더)v8\9.통신분야\30_LTE-R 상호운용성 및 보안적합성 검증\체크리스트\9000-2-30_LTE-R 상호운용성 및 보안적합성 검증_체크리스트.html" xr:uid="{FEBC6192-A1E7-435F-87F7-8E6FBA066C92}"/>
  </hyperlinks>
  <printOptions horizontalCentered="1"/>
  <pageMargins left="0.74803149606299213" right="0.74803149606299213" top="0.98425196850393704" bottom="0.98425196850393704" header="0.51181102362204722" footer="0.51181102362204722"/>
  <pageSetup paperSize="8" scale="38" orientation="landscape" verticalDpi="0" r:id="rId97"/>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defaultRowHeight="17.399999999999999" x14ac:dyDescent="0.4"/>
  <cols>
    <col min="1" max="3" width="8.796875" style="1" customWidth="1"/>
    <col min="4" max="4" width="16" style="2" customWidth="1"/>
    <col min="5" max="5" width="27.69921875" style="2" customWidth="1"/>
    <col min="6" max="6" width="16.09765625" style="2" customWidth="1"/>
    <col min="7" max="7" width="26" style="1" customWidth="1"/>
    <col min="8" max="8" width="62.8984375" style="1" customWidth="1"/>
    <col min="9" max="9" width="28.69921875" style="1" customWidth="1"/>
    <col min="10" max="10" width="64.59765625" style="1" customWidth="1"/>
    <col min="11" max="11" width="12" style="72" customWidth="1"/>
    <col min="12" max="12" width="50" style="72" customWidth="1"/>
    <col min="13" max="13" width="10.19921875" style="1" customWidth="1"/>
    <col min="14" max="14" width="50.796875" style="1" customWidth="1"/>
    <col min="15" max="15" width="11.19921875" style="72" customWidth="1"/>
    <col min="16" max="16" width="16.69921875" style="1" customWidth="1"/>
    <col min="17" max="35" width="45" style="1" customWidth="1"/>
    <col min="36" max="70" width="8.796875" style="1" customWidth="1"/>
    <col min="71" max="16384" width="8.796875" style="1"/>
  </cols>
  <sheetData>
    <row r="1" spans="1:19" ht="31.2" customHeight="1" x14ac:dyDescent="0.4">
      <c r="A1" s="7" t="s">
        <v>1</v>
      </c>
      <c r="B1" s="7" t="s">
        <v>2</v>
      </c>
      <c r="C1" s="7" t="s">
        <v>3</v>
      </c>
      <c r="D1" s="7" t="s">
        <v>4</v>
      </c>
      <c r="E1" s="7" t="s">
        <v>5</v>
      </c>
      <c r="F1" s="7" t="s">
        <v>637</v>
      </c>
      <c r="G1" s="7" t="s">
        <v>639</v>
      </c>
      <c r="H1" s="7" t="s">
        <v>640</v>
      </c>
      <c r="I1" s="63" t="s">
        <v>641</v>
      </c>
      <c r="J1" s="63" t="s">
        <v>642</v>
      </c>
      <c r="K1" s="6" t="s">
        <v>3108</v>
      </c>
      <c r="L1" s="63" t="s">
        <v>644</v>
      </c>
      <c r="M1" s="6" t="s">
        <v>3109</v>
      </c>
      <c r="N1" s="63" t="s">
        <v>646</v>
      </c>
      <c r="O1" s="6" t="s">
        <v>3110</v>
      </c>
      <c r="P1" s="7" t="s">
        <v>1022</v>
      </c>
      <c r="Q1" s="9" t="s">
        <v>1023</v>
      </c>
      <c r="R1" s="9" t="s">
        <v>1024</v>
      </c>
      <c r="S1" s="9" t="s">
        <v>1025</v>
      </c>
    </row>
    <row r="2" spans="1:19" ht="184.8" customHeight="1" x14ac:dyDescent="0.4">
      <c r="A2" s="55" t="s">
        <v>519</v>
      </c>
      <c r="B2" s="55" t="s">
        <v>549</v>
      </c>
      <c r="C2" s="70" t="s">
        <v>2899</v>
      </c>
      <c r="D2" s="55" t="s">
        <v>551</v>
      </c>
      <c r="E2" s="55" t="s">
        <v>1805</v>
      </c>
      <c r="F2" s="55" t="s">
        <v>838</v>
      </c>
      <c r="G2" s="54" t="s">
        <v>2655</v>
      </c>
      <c r="H2" s="56" t="s">
        <v>2900</v>
      </c>
      <c r="I2" s="54" t="s">
        <v>2657</v>
      </c>
      <c r="J2" s="70" t="s">
        <v>2901</v>
      </c>
      <c r="K2" s="120" t="str">
        <f>HYPERLINK("C:\Users\sskjh\antigravity\01_전문업무_및_엔지니어링\11_현장_프로젝트\01_동탄트램\08.메뉴얼 및 평면도\최종\02_메뉴얼 공종프로섹스(집행단계)\매뉴얼BODY(집행단계-첨부폴더)v8\8.전기분야\1_설계적정성 검토\표준서\설계적정성 검토_표준서.html","👉 [클릭] 표준서 열기 📄")</f>
        <v>👉 [클릭] 표준서 열기 📄</v>
      </c>
      <c r="L2" s="70" t="s">
        <v>2902</v>
      </c>
      <c r="M2" s="120" t="str">
        <f>HYPERLINK("C:\Users\sskjh\antigravity\01_전문업무_및_엔지니어링\11_현장_프로젝트\01_동탄트램\08.메뉴얼 및 평면도\최종\02_메뉴얼 공종프로섹스(집행단계)\매뉴얼BODY(집행단계-첨부폴더)v8\8.전기분야\1_설계적정성 검토\수행지침\설계적정성 검토_수행지침.html","👉 [클릭] 수행지침 열기 📄")</f>
        <v>👉 [클릭] 수행지침 열기 📄</v>
      </c>
      <c r="N2" s="70" t="s">
        <v>2903</v>
      </c>
      <c r="O2" s="120" t="str">
        <f>HYPERLINK("C:\Users\sskjh\antigravity\01_전문업무_및_엔지니어링\11_현장_프로젝트\01_동탄트램\08.메뉴얼 및 평면도\최종\02_메뉴얼 공종프로섹스(집행단계)\매뉴얼BODY(집행단계-첨부폴더)v8\8.전기분야\1_설계적정성 검토\체크리스트\설계적정성 검토_체크리스트.html","👉 [클릭] 체크리스트 열기 📄")</f>
        <v>👉 [클릭] 체크리스트 열기 📄</v>
      </c>
      <c r="P2" s="10"/>
      <c r="Q2" s="71"/>
      <c r="R2" s="71"/>
      <c r="S2" s="71"/>
    </row>
    <row r="3" spans="1:19" ht="245.4" customHeight="1" x14ac:dyDescent="0.4">
      <c r="A3" s="55" t="s">
        <v>519</v>
      </c>
      <c r="B3" s="55" t="s">
        <v>549</v>
      </c>
      <c r="C3" s="70" t="s">
        <v>2899</v>
      </c>
      <c r="D3" s="55" t="s">
        <v>2904</v>
      </c>
      <c r="E3" s="55" t="s">
        <v>1038</v>
      </c>
      <c r="F3" s="55" t="s">
        <v>861</v>
      </c>
      <c r="G3" s="54" t="s">
        <v>2905</v>
      </c>
      <c r="H3" s="56" t="s">
        <v>2906</v>
      </c>
      <c r="I3" s="54" t="s">
        <v>2664</v>
      </c>
      <c r="J3" s="70" t="s">
        <v>2907</v>
      </c>
      <c r="K3" s="120" t="str">
        <f>HYPERLINK("C:\Users\sskjh\antigravity\01_전문업무_및_엔지니어링\11_현장_프로젝트\01_동탄트램\08.메뉴얼 및 평면도\최종\02_메뉴얼 공종프로섹스(집행단계)\매뉴얼BODY(집행단계-첨부폴더)v8\8.전기분야\2_발주전략 KOM\표준서\발주전략 KOM_표준서.html","👉 [클릭] 표준서 열기 📄")</f>
        <v>👉 [클릭] 표준서 열기 📄</v>
      </c>
      <c r="L3" s="70" t="s">
        <v>2908</v>
      </c>
      <c r="M3" s="120" t="str">
        <f>HYPERLINK("C:\Users\sskjh\antigravity\01_전문업무_및_엔지니어링\11_현장_프로젝트\01_동탄트램\08.메뉴얼 및 평면도\최종\02_메뉴얼 공종프로섹스(집행단계)\매뉴얼BODY(집행단계-첨부폴더)v8\8.전기분야\2_발주전략 KOM\수행지침\발주전략 KOM_수행지침.html","👉 [클릭] 수행지침 열기 📄")</f>
        <v>👉 [클릭] 수행지침 열기 📄</v>
      </c>
      <c r="N3" s="70" t="s">
        <v>2909</v>
      </c>
      <c r="O3" s="120" t="str">
        <f>HYPERLINK("C:\Users\sskjh\antigravity\01_전문업무_및_엔지니어링\11_현장_프로젝트\01_동탄트램\08.메뉴얼 및 평면도\최종\02_메뉴얼 공종프로섹스(집행단계)\매뉴얼BODY(집행단계-첨부폴더)v8\8.전기분야\2_발주전략 KOM\체크리스트\발주전략 KOM_체크리스트.html","👉 [클릭] 체크리스트 열기 📄")</f>
        <v>👉 [클릭] 체크리스트 열기 📄</v>
      </c>
      <c r="P3" s="10"/>
      <c r="Q3" s="71"/>
      <c r="R3" s="71"/>
      <c r="S3" s="71"/>
    </row>
    <row r="4" spans="1:19" ht="163.80000000000001" customHeight="1" x14ac:dyDescent="0.4">
      <c r="A4" s="55" t="s">
        <v>519</v>
      </c>
      <c r="B4" s="55" t="s">
        <v>549</v>
      </c>
      <c r="C4" s="70" t="s">
        <v>2899</v>
      </c>
      <c r="D4" s="55" t="s">
        <v>2910</v>
      </c>
      <c r="E4" s="55" t="s">
        <v>2669</v>
      </c>
      <c r="F4" s="55" t="s">
        <v>2911</v>
      </c>
      <c r="G4" s="54" t="s">
        <v>2912</v>
      </c>
      <c r="H4" s="56" t="s">
        <v>2913</v>
      </c>
      <c r="I4" s="54" t="s">
        <v>2503</v>
      </c>
      <c r="J4" s="70" t="s">
        <v>2914</v>
      </c>
      <c r="K4" s="120" t="str">
        <f>HYPERLINK("C:\Users\sskjh\antigravity\01_전문업무_및_엔지니어링\11_현장_프로젝트\01_동탄트램\08.메뉴얼 및 평면도\최종\02_메뉴얼 공종프로섹스(집행단계)\매뉴얼BODY(집행단계-첨부폴더)v8\8.전기분야\3_토목 _ 건축 인터페이스 협의\표준서\토목 _ 건축 인터페이스 협의_표준서.html","👉 [클릭] 표준서 열기 📄")</f>
        <v>👉 [클릭] 표준서 열기 📄</v>
      </c>
      <c r="L4" s="70" t="s">
        <v>2915</v>
      </c>
      <c r="M4" s="120" t="str">
        <f>HYPERLINK("C:\Users\sskjh\antigravity\01_전문업무_및_엔지니어링\11_현장_프로젝트\01_동탄트램\08.메뉴얼 및 평면도\최종\02_메뉴얼 공종프로섹스(집행단계)\매뉴얼BODY(집행단계-첨부폴더)v8\8.전기분야\3_토목 _ 건축 인터페이스 협의\수행지침\토목 _ 건축 인터페이스 협의_수행지침.html","👉 [클릭] 수행지침 열기 📄")</f>
        <v>👉 [클릭] 수행지침 열기 📄</v>
      </c>
      <c r="N4" s="70" t="s">
        <v>2916</v>
      </c>
      <c r="O4" s="120" t="str">
        <f>HYPERLINK("C:\Users\sskjh\antigravity\01_전문업무_및_엔지니어링\11_현장_프로젝트\01_동탄트램\08.메뉴얼 및 평면도\최종\02_메뉴얼 공종프로섹스(집행단계)\매뉴얼BODY(집행단계-첨부폴더)v8\8.전기분야\3_토목 _ 건축 인터페이스 협의\체크리스트\토목 _ 건축 인터페이스 협의_체크리스트.html","👉 [클릭] 체크리스트 열기 📄")</f>
        <v>👉 [클릭] 체크리스트 열기 📄</v>
      </c>
      <c r="P4" s="10"/>
      <c r="Q4" s="71"/>
      <c r="R4" s="71"/>
      <c r="S4" s="71"/>
    </row>
    <row r="5" spans="1:19" ht="139.19999999999999" customHeight="1" x14ac:dyDescent="0.4">
      <c r="A5" s="55" t="s">
        <v>519</v>
      </c>
      <c r="B5" s="55" t="s">
        <v>549</v>
      </c>
      <c r="C5" s="70" t="s">
        <v>2899</v>
      </c>
      <c r="D5" s="55" t="s">
        <v>2917</v>
      </c>
      <c r="E5" s="55" t="s">
        <v>2918</v>
      </c>
      <c r="F5" s="55" t="s">
        <v>2919</v>
      </c>
      <c r="G5" s="54" t="s">
        <v>2920</v>
      </c>
      <c r="H5" s="56" t="s">
        <v>2921</v>
      </c>
      <c r="I5" s="54" t="s">
        <v>2503</v>
      </c>
      <c r="J5" s="70" t="s">
        <v>2922</v>
      </c>
      <c r="K5" s="12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협의\표준서\신호 _ 통신 _ 기계 _ PSD _ 차량 인터페이스 협의_표준서.html","👉 [클릭] 표준서 열기 📄")</f>
        <v>👉 [클릭] 표준서 열기 📄</v>
      </c>
      <c r="L5" s="70" t="s">
        <v>2923</v>
      </c>
      <c r="M5" s="12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협의\수행지침\신호 _ 통신 _ 기계 _ PSD _ 차량 인터페이스 협의_수행지침.html","👉 [클릭] 수행지침 열기 📄")</f>
        <v>👉 [클릭] 수행지침 열기 📄</v>
      </c>
      <c r="N5" s="70" t="s">
        <v>2924</v>
      </c>
      <c r="O5" s="12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협의\체크리스트\신호 _ 통신 _ 기계 _ PSD _ 차량 인터페이스 협의_체크리스트.html","👉 [클릭] 체크리스트 열기 📄")</f>
        <v>👉 [클릭] 체크리스트 열기 📄</v>
      </c>
      <c r="P5" s="10"/>
      <c r="Q5" s="71"/>
      <c r="R5" s="71"/>
      <c r="S5" s="71"/>
    </row>
    <row r="6" spans="1:19" ht="139.19999999999999" customHeight="1" x14ac:dyDescent="0.4">
      <c r="A6" s="55" t="s">
        <v>519</v>
      </c>
      <c r="B6" s="55" t="s">
        <v>549</v>
      </c>
      <c r="C6" s="70" t="s">
        <v>2899</v>
      </c>
      <c r="D6" s="55" t="s">
        <v>2925</v>
      </c>
      <c r="E6" s="55" t="s">
        <v>2926</v>
      </c>
      <c r="F6" s="55" t="s">
        <v>2911</v>
      </c>
      <c r="G6" s="54" t="s">
        <v>2927</v>
      </c>
      <c r="H6" s="54" t="s">
        <v>2928</v>
      </c>
      <c r="I6" s="54" t="s">
        <v>2929</v>
      </c>
      <c r="J6" s="70" t="s">
        <v>2930</v>
      </c>
      <c r="K6"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6" s="70" t="s">
        <v>2931</v>
      </c>
      <c r="M6"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6" s="70" t="s">
        <v>2932</v>
      </c>
      <c r="O6"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6" s="10"/>
      <c r="Q6" s="71"/>
      <c r="R6" s="71"/>
      <c r="S6" s="71"/>
    </row>
    <row r="7" spans="1:19" ht="139.19999999999999" customHeight="1" x14ac:dyDescent="0.4">
      <c r="A7" s="55" t="s">
        <v>519</v>
      </c>
      <c r="B7" s="55" t="s">
        <v>549</v>
      </c>
      <c r="C7" s="70" t="s">
        <v>2899</v>
      </c>
      <c r="D7" s="55" t="s">
        <v>2933</v>
      </c>
      <c r="E7" s="55" t="s">
        <v>2531</v>
      </c>
      <c r="F7" s="55" t="s">
        <v>2919</v>
      </c>
      <c r="G7" s="54" t="s">
        <v>2934</v>
      </c>
      <c r="H7" s="56" t="s">
        <v>2935</v>
      </c>
      <c r="I7" s="54" t="s">
        <v>2503</v>
      </c>
      <c r="J7" s="70" t="s">
        <v>2936</v>
      </c>
      <c r="K7" s="120"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협의\표준서\관제 및 운영사 인터페이스 협의_표준서.html","👉 [클릭] 표준서 열기 📄")</f>
        <v>👉 [클릭] 표준서 열기 📄</v>
      </c>
      <c r="L7" s="70" t="s">
        <v>2937</v>
      </c>
      <c r="M7" s="120"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협의\수행지침\관제 및 운영사 인터페이스 협의_수행지침.html","👉 [클릭] 수행지침 열기 📄")</f>
        <v>👉 [클릭] 수행지침 열기 📄</v>
      </c>
      <c r="N7" s="70" t="s">
        <v>2938</v>
      </c>
      <c r="O7" s="120"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협의\체크리스트\관제 및 운영사 인터페이스 협의_체크리스트.html","👉 [클릭] 체크리스트 열기 📄")</f>
        <v>👉 [클릭] 체크리스트 열기 📄</v>
      </c>
      <c r="P7" s="10"/>
      <c r="Q7" s="71"/>
      <c r="R7" s="71"/>
      <c r="S7" s="71"/>
    </row>
    <row r="8" spans="1:19" ht="139.19999999999999" customHeight="1" x14ac:dyDescent="0.4">
      <c r="A8" s="55" t="s">
        <v>519</v>
      </c>
      <c r="B8" s="55" t="s">
        <v>549</v>
      </c>
      <c r="C8" s="70" t="s">
        <v>2899</v>
      </c>
      <c r="D8" s="55" t="s">
        <v>2939</v>
      </c>
      <c r="E8" s="55" t="s">
        <v>2697</v>
      </c>
      <c r="F8" s="55" t="s">
        <v>2911</v>
      </c>
      <c r="G8" s="54" t="s">
        <v>2698</v>
      </c>
      <c r="H8" s="54" t="s">
        <v>2699</v>
      </c>
      <c r="I8" s="54" t="s">
        <v>2700</v>
      </c>
      <c r="J8" s="70" t="s">
        <v>2940</v>
      </c>
      <c r="K8" s="120" t="str">
        <f>HYPERLINK("C:\Users\sskjh\antigravity\01_전문업무_및_엔지니어링\11_현장_프로젝트\01_동탄트램\08.메뉴얼 및 평면도\최종\02_메뉴얼 공종프로섹스(집행단계)\매뉴얼BODY(집행단계-첨부폴더)v8\8.전기분야\7_발주처 품질 요구사항 검토\표준서\발주처 품질 요구사항 검토_표준서.html","👉 [클릭] 표준서 열기 📄")</f>
        <v>👉 [클릭] 표준서 열기 📄</v>
      </c>
      <c r="L8" s="70" t="s">
        <v>2941</v>
      </c>
      <c r="M8" s="120" t="str">
        <f>HYPERLINK("C:\Users\sskjh\antigravity\01_전문업무_및_엔지니어링\11_현장_프로젝트\01_동탄트램\08.메뉴얼 및 평면도\최종\02_메뉴얼 공종프로섹스(집행단계)\매뉴얼BODY(집행단계-첨부폴더)v8\8.전기분야\7_발주처 품질 요구사항 검토\수행지침\발주처 품질 요구사항 검토_수행지침.html","👉 [클릭] 수행지침 열기 📄")</f>
        <v>👉 [클릭] 수행지침 열기 📄</v>
      </c>
      <c r="N8" s="70" t="s">
        <v>2942</v>
      </c>
      <c r="O8" s="120" t="str">
        <f>HYPERLINK("C:\Users\sskjh\antigravity\01_전문업무_및_엔지니어링\11_현장_프로젝트\01_동탄트램\08.메뉴얼 및 평면도\최종\02_메뉴얼 공종프로섹스(집행단계)\매뉴얼BODY(집행단계-첨부폴더)v8\8.전기분야\7_발주처 품질 요구사항 검토\체크리스트\발주처 품질 요구사항 검토_체크리스트.html","👉 [클릭] 체크리스트 열기 📄")</f>
        <v>👉 [클릭] 체크리스트 열기 📄</v>
      </c>
      <c r="P8" s="10"/>
      <c r="Q8" s="71"/>
      <c r="R8" s="71"/>
      <c r="S8" s="71"/>
    </row>
    <row r="9" spans="1:19" ht="139.19999999999999" customHeight="1" x14ac:dyDescent="0.4">
      <c r="A9" s="55" t="s">
        <v>519</v>
      </c>
      <c r="B9" s="55" t="s">
        <v>549</v>
      </c>
      <c r="C9" s="70" t="s">
        <v>2899</v>
      </c>
      <c r="D9" s="55" t="s">
        <v>2943</v>
      </c>
      <c r="E9" s="55" t="s">
        <v>2705</v>
      </c>
      <c r="F9" s="55" t="s">
        <v>2944</v>
      </c>
      <c r="G9" s="54" t="s">
        <v>2707</v>
      </c>
      <c r="H9" s="56" t="s">
        <v>2945</v>
      </c>
      <c r="I9" s="54" t="s">
        <v>2709</v>
      </c>
      <c r="J9" s="70" t="s">
        <v>2946</v>
      </c>
      <c r="K9" s="12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검토\표준서\자재 _ 인원 _ 장비 등 투입 사전 검토_표준서.html","👉 [클릭] 표준서 열기 📄")</f>
        <v>👉 [클릭] 표준서 열기 📄</v>
      </c>
      <c r="L9" s="70" t="s">
        <v>2947</v>
      </c>
      <c r="M9" s="12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검토\수행지침\자재 _ 인원 _ 장비 등 투입 사전 검토_수행지침.html","👉 [클릭] 수행지침 열기 📄")</f>
        <v>👉 [클릭] 수행지침 열기 📄</v>
      </c>
      <c r="N9" s="70" t="s">
        <v>2948</v>
      </c>
      <c r="O9" s="12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검토\체크리스트\자재 _ 인원 _ 장비 등 투입 사전 검토_체크리스트.html","👉 [클릭] 체크리스트 열기 📄")</f>
        <v>👉 [클릭] 체크리스트 열기 📄</v>
      </c>
      <c r="P9" s="10"/>
      <c r="Q9" s="71"/>
      <c r="R9" s="71"/>
      <c r="S9" s="71"/>
    </row>
    <row r="10" spans="1:19" ht="139.19999999999999" customHeight="1" x14ac:dyDescent="0.4">
      <c r="A10" s="55" t="s">
        <v>519</v>
      </c>
      <c r="B10" s="55" t="s">
        <v>549</v>
      </c>
      <c r="C10" s="70" t="s">
        <v>2899</v>
      </c>
      <c r="D10" s="55" t="s">
        <v>2949</v>
      </c>
      <c r="E10" s="55" t="s">
        <v>2950</v>
      </c>
      <c r="F10" s="55" t="s">
        <v>2951</v>
      </c>
      <c r="G10" s="54" t="s">
        <v>2952</v>
      </c>
      <c r="H10" s="56" t="s">
        <v>2953</v>
      </c>
      <c r="I10" s="54" t="s">
        <v>2954</v>
      </c>
      <c r="J10" s="70" t="s">
        <v>2955</v>
      </c>
      <c r="K10" s="120" t="str">
        <f>HYPERLINK("C:\Users\sskjh\antigravity\01_전문업무_및_엔지니어링\11_현장_프로젝트\01_동탄트램\08.메뉴얼 및 평면도\최종\02_메뉴얼 공종프로섹스(집행단계)\매뉴얼BODY(집행단계-첨부폴더)v8\8.전기분야\9_인허가 준비\표준서\인허가 준비_표준서.html","👉 [클릭] 표준서 열기 📄")</f>
        <v>👉 [클릭] 표준서 열기 📄</v>
      </c>
      <c r="L10" s="70" t="s">
        <v>2956</v>
      </c>
      <c r="M10" s="120" t="str">
        <f>HYPERLINK("C:\Users\sskjh\antigravity\01_전문업무_및_엔지니어링\11_현장_프로젝트\01_동탄트램\08.메뉴얼 및 평면도\최종\02_메뉴얼 공종프로섹스(집행단계)\매뉴얼BODY(집행단계-첨부폴더)v8\8.전기분야\9_인허가 준비\수행지침\인허가 준비_수행지침.html","👉 [클릭] 수행지침 열기 📄")</f>
        <v>👉 [클릭] 수행지침 열기 📄</v>
      </c>
      <c r="N10" s="70" t="s">
        <v>2957</v>
      </c>
      <c r="O10" s="120" t="str">
        <f>HYPERLINK("C:\Users\sskjh\antigravity\01_전문업무_및_엔지니어링\11_현장_프로젝트\01_동탄트램\08.메뉴얼 및 평면도\최종\02_메뉴얼 공종프로섹스(집행단계)\매뉴얼BODY(집행단계-첨부폴더)v8\8.전기분야\9_인허가 준비\체크리스트\인허가 준비_체크리스트.html","👉 [클릭] 체크리스트 열기 📄")</f>
        <v>👉 [클릭] 체크리스트 열기 📄</v>
      </c>
      <c r="P10" s="10"/>
      <c r="Q10" s="71"/>
      <c r="R10" s="71"/>
      <c r="S10" s="71"/>
    </row>
    <row r="11" spans="1:19" ht="226.2" customHeight="1" x14ac:dyDescent="0.4">
      <c r="A11" s="55" t="s">
        <v>519</v>
      </c>
      <c r="B11" s="55" t="s">
        <v>549</v>
      </c>
      <c r="C11" s="70" t="s">
        <v>2899</v>
      </c>
      <c r="D11" s="55" t="s">
        <v>2958</v>
      </c>
      <c r="E11" s="55" t="s">
        <v>2714</v>
      </c>
      <c r="F11" s="55" t="s">
        <v>861</v>
      </c>
      <c r="G11" s="54" t="s">
        <v>2959</v>
      </c>
      <c r="H11" s="54" t="s">
        <v>2960</v>
      </c>
      <c r="I11" s="54" t="s">
        <v>2131</v>
      </c>
      <c r="J11" s="70" t="s">
        <v>2961</v>
      </c>
      <c r="K11" s="120"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11" s="70" t="s">
        <v>2962</v>
      </c>
      <c r="M11" s="120"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11" s="70" t="s">
        <v>2963</v>
      </c>
      <c r="O11" s="120"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11" s="10"/>
      <c r="Q11" s="71"/>
      <c r="R11" s="71"/>
      <c r="S11" s="71"/>
    </row>
    <row r="12" spans="1:19" ht="121.8" customHeight="1" x14ac:dyDescent="0.4">
      <c r="A12" s="55" t="s">
        <v>519</v>
      </c>
      <c r="B12" s="55" t="s">
        <v>549</v>
      </c>
      <c r="C12" s="70" t="s">
        <v>2899</v>
      </c>
      <c r="D12" s="55" t="s">
        <v>2964</v>
      </c>
      <c r="E12" s="55" t="s">
        <v>2965</v>
      </c>
      <c r="F12" s="55" t="s">
        <v>2500</v>
      </c>
      <c r="G12" s="54" t="s">
        <v>2966</v>
      </c>
      <c r="H12" s="54" t="s">
        <v>2967</v>
      </c>
      <c r="I12" s="54" t="s">
        <v>2724</v>
      </c>
      <c r="J12" s="70" t="s">
        <v>2968</v>
      </c>
      <c r="K12"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2" s="70" t="s">
        <v>2969</v>
      </c>
      <c r="M12"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2" s="70" t="s">
        <v>2970</v>
      </c>
      <c r="O12"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2" s="10"/>
      <c r="Q12" s="71"/>
      <c r="R12" s="71"/>
      <c r="S12" s="71"/>
    </row>
    <row r="13" spans="1:19" ht="104.4" customHeight="1" x14ac:dyDescent="0.4">
      <c r="A13" s="55" t="s">
        <v>519</v>
      </c>
      <c r="B13" s="55" t="s">
        <v>549</v>
      </c>
      <c r="C13" s="70" t="s">
        <v>2899</v>
      </c>
      <c r="D13" s="55" t="s">
        <v>2971</v>
      </c>
      <c r="E13" s="55" t="s">
        <v>2729</v>
      </c>
      <c r="F13" s="55" t="s">
        <v>2500</v>
      </c>
      <c r="G13" s="54" t="s">
        <v>2730</v>
      </c>
      <c r="H13" s="56" t="s">
        <v>2972</v>
      </c>
      <c r="I13" s="58" t="s">
        <v>2973</v>
      </c>
      <c r="J13" s="70" t="s">
        <v>2974</v>
      </c>
      <c r="K13" s="120" t="str">
        <f>HYPERLINK("C:\Users\sskjh\antigravity\01_전문업무_및_엔지니어링\11_현장_프로젝트\01_동탄트램\08.메뉴얼 및 평면도\최종\02_메뉴얼 공종프로섹스(집행단계)\매뉴얼BODY(집행단계-첨부폴더)v8\8.전기분야\12_시공 계획 수립 _ 승인\표준서\시공 계획 수립 _ 승인_표준서.html","👉 [클릭] 표준서 열기 📄")</f>
        <v>👉 [클릭] 표준서 열기 📄</v>
      </c>
      <c r="L13" s="70" t="s">
        <v>2975</v>
      </c>
      <c r="M13" s="120" t="str">
        <f>HYPERLINK("C:\Users\sskjh\antigravity\01_전문업무_및_엔지니어링\11_현장_프로젝트\01_동탄트램\08.메뉴얼 및 평면도\최종\02_메뉴얼 공종프로섹스(집행단계)\매뉴얼BODY(집행단계-첨부폴더)v8\8.전기분야\12_시공 계획 수립 _ 승인\수행지침\시공 계획 수립 _ 승인_수행지침.html","👉 [클릭] 수행지침 열기 📄")</f>
        <v>👉 [클릭] 수행지침 열기 📄</v>
      </c>
      <c r="N13" s="70" t="s">
        <v>2976</v>
      </c>
      <c r="O13" s="120" t="str">
        <f>HYPERLINK("C:\Users\sskjh\antigravity\01_전문업무_및_엔지니어링\11_현장_프로젝트\01_동탄트램\08.메뉴얼 및 평면도\최종\02_메뉴얼 공종프로섹스(집행단계)\매뉴얼BODY(집행단계-첨부폴더)v8\8.전기분야\12_시공 계획 수립 _ 승인\체크리스트\시공 계획 수립 _ 승인_체크리스트.html","👉 [클릭] 체크리스트 열기 📄")</f>
        <v>👉 [클릭] 체크리스트 열기 📄</v>
      </c>
      <c r="P13" s="10"/>
      <c r="Q13" s="71"/>
      <c r="R13" s="71"/>
      <c r="S13" s="71"/>
    </row>
    <row r="14" spans="1:19" ht="69.599999999999994" customHeight="1" x14ac:dyDescent="0.4">
      <c r="A14" s="55" t="s">
        <v>519</v>
      </c>
      <c r="B14" s="55" t="s">
        <v>549</v>
      </c>
      <c r="C14" s="70" t="s">
        <v>2899</v>
      </c>
      <c r="D14" s="55" t="s">
        <v>2977</v>
      </c>
      <c r="E14" s="55" t="s">
        <v>2978</v>
      </c>
      <c r="F14" s="55" t="s">
        <v>2500</v>
      </c>
      <c r="G14" s="54" t="s">
        <v>2979</v>
      </c>
      <c r="H14" s="54" t="s">
        <v>2980</v>
      </c>
      <c r="I14" s="54" t="s">
        <v>2981</v>
      </c>
      <c r="J14" s="70" t="s">
        <v>2982</v>
      </c>
      <c r="K14" s="120"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승인\표준서\자재공급원_기자재 제작도서 승인_표준서.html","👉 [클릭] 표준서 열기 📄")</f>
        <v>👉 [클릭] 표준서 열기 📄</v>
      </c>
      <c r="L14" s="70" t="s">
        <v>2983</v>
      </c>
      <c r="M14" s="120"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승인\수행지침\자재공급원_기자재 제작도서 승인_수행지침.html","👉 [클릭] 수행지침 열기 📄")</f>
        <v>👉 [클릭] 수행지침 열기 📄</v>
      </c>
      <c r="N14" s="70" t="s">
        <v>2984</v>
      </c>
      <c r="O14" s="120"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승인\체크리스트\자재공급원_기자재 제작도서 승인_체크리스트.html","👉 [클릭] 체크리스트 열기 📄")</f>
        <v>👉 [클릭] 체크리스트 열기 📄</v>
      </c>
      <c r="P14" s="10"/>
      <c r="Q14" s="71"/>
      <c r="R14" s="71"/>
      <c r="S14" s="71"/>
    </row>
    <row r="15" spans="1:19" ht="191.4" customHeight="1" x14ac:dyDescent="0.4">
      <c r="A15" s="55" t="s">
        <v>519</v>
      </c>
      <c r="B15" s="55" t="s">
        <v>549</v>
      </c>
      <c r="C15" s="70" t="s">
        <v>2899</v>
      </c>
      <c r="D15" s="55" t="s">
        <v>2985</v>
      </c>
      <c r="E15" s="55" t="s">
        <v>2986</v>
      </c>
      <c r="F15" s="55" t="s">
        <v>2500</v>
      </c>
      <c r="G15" s="54" t="s">
        <v>2987</v>
      </c>
      <c r="H15" s="54" t="s">
        <v>2988</v>
      </c>
      <c r="I15" s="54" t="s">
        <v>2989</v>
      </c>
      <c r="J15" s="70" t="s">
        <v>2990</v>
      </c>
      <c r="K15"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5" s="70" t="s">
        <v>2991</v>
      </c>
      <c r="M15"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5" s="70" t="s">
        <v>2992</v>
      </c>
      <c r="O15" s="120"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5" s="10"/>
      <c r="Q15" s="71"/>
      <c r="R15" s="71"/>
      <c r="S15" s="71"/>
    </row>
    <row r="16" spans="1:19" ht="69.599999999999994" customHeight="1" x14ac:dyDescent="0.4">
      <c r="A16" s="55" t="s">
        <v>519</v>
      </c>
      <c r="B16" s="55" t="s">
        <v>549</v>
      </c>
      <c r="C16" s="70" t="s">
        <v>2899</v>
      </c>
      <c r="D16" s="55" t="s">
        <v>2993</v>
      </c>
      <c r="E16" s="55" t="s">
        <v>2753</v>
      </c>
      <c r="F16" s="55" t="s">
        <v>2500</v>
      </c>
      <c r="G16" s="54" t="s">
        <v>2994</v>
      </c>
      <c r="H16" s="54" t="s">
        <v>2995</v>
      </c>
      <c r="I16" s="54" t="s">
        <v>2756</v>
      </c>
      <c r="J16" s="70" t="s">
        <v>2996</v>
      </c>
      <c r="K16" s="120"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점검\표준서\본공사 전 선행공정 인수인계 점검_표준서.html","👉 [클릭] 표준서 열기 📄")</f>
        <v>👉 [클릭] 표준서 열기 📄</v>
      </c>
      <c r="L16" s="70" t="s">
        <v>2997</v>
      </c>
      <c r="M16" s="120"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점검\수행지침\본공사 전 선행공정 인수인계 점검_수행지침.html","👉 [클릭] 수행지침 열기 📄")</f>
        <v>👉 [클릭] 수행지침 열기 📄</v>
      </c>
      <c r="N16" s="70" t="s">
        <v>2998</v>
      </c>
      <c r="O16" s="120"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점검\체크리스트\본공사 전 선행공정 인수인계 점검_체크리스트.html","👉 [클릭] 체크리스트 열기 📄")</f>
        <v>👉 [클릭] 체크리스트 열기 📄</v>
      </c>
      <c r="P16" s="10"/>
      <c r="Q16" s="71"/>
      <c r="R16" s="71"/>
      <c r="S16" s="71"/>
    </row>
    <row r="17" spans="1:19" ht="69.599999999999994" customHeight="1" x14ac:dyDescent="0.4">
      <c r="A17" s="55" t="s">
        <v>519</v>
      </c>
      <c r="B17" s="55" t="s">
        <v>549</v>
      </c>
      <c r="C17" s="70" t="s">
        <v>2899</v>
      </c>
      <c r="D17" s="55" t="s">
        <v>2999</v>
      </c>
      <c r="E17" s="55" t="s">
        <v>2547</v>
      </c>
      <c r="F17" s="55" t="s">
        <v>2548</v>
      </c>
      <c r="G17" s="54" t="s">
        <v>2549</v>
      </c>
      <c r="H17" s="54" t="s">
        <v>2761</v>
      </c>
      <c r="I17" s="54" t="s">
        <v>2762</v>
      </c>
      <c r="J17" s="70" t="s">
        <v>3000</v>
      </c>
      <c r="K17" s="120" t="str">
        <f>HYPERLINK("C:\Users\sskjh\antigravity\01_전문업무_및_엔지니어링\11_현장_프로젝트\01_동탄트램\08.메뉴얼 및 평면도\최종\02_메뉴얼 공종프로섹스(집행단계)\매뉴얼BODY(집행단계-첨부폴더)v8\8.전기분야\16_장비반입 및 안전교육\표준서\장비반입 및 안전교육_표준서.html","👉 [클릭] 표준서 열기 📄")</f>
        <v>👉 [클릭] 표준서 열기 📄</v>
      </c>
      <c r="L17" s="70" t="s">
        <v>3001</v>
      </c>
      <c r="M17" s="120" t="str">
        <f>HYPERLINK("C:\Users\sskjh\antigravity\01_전문업무_및_엔지니어링\11_현장_프로젝트\01_동탄트램\08.메뉴얼 및 평면도\최종\02_메뉴얼 공종프로섹스(집행단계)\매뉴얼BODY(집행단계-첨부폴더)v8\8.전기분야\16_장비반입 및 안전교육\수행지침\장비반입 및 안전교육_수행지침.html","👉 [클릭] 수행지침 열기 📄")</f>
        <v>👉 [클릭] 수행지침 열기 📄</v>
      </c>
      <c r="N17" s="70" t="s">
        <v>3002</v>
      </c>
      <c r="O17" s="120" t="str">
        <f>HYPERLINK("C:\Users\sskjh\antigravity\01_전문업무_및_엔지니어링\11_현장_프로젝트\01_동탄트램\08.메뉴얼 및 평면도\최종\02_메뉴얼 공종프로섹스(집행단계)\매뉴얼BODY(집행단계-첨부폴더)v8\8.전기분야\16_장비반입 및 안전교육\체크리스트\장비반입 및 안전교육_체크리스트.html","👉 [클릭] 체크리스트 열기 📄")</f>
        <v>👉 [클릭] 체크리스트 열기 📄</v>
      </c>
      <c r="P17" s="10"/>
      <c r="Q17" s="71"/>
      <c r="R17" s="71"/>
      <c r="S17" s="71"/>
    </row>
    <row r="18" spans="1:19" ht="69.599999999999994" customHeight="1" x14ac:dyDescent="0.4">
      <c r="A18" s="55" t="s">
        <v>519</v>
      </c>
      <c r="B18" s="55" t="s">
        <v>549</v>
      </c>
      <c r="C18" s="70" t="s">
        <v>2899</v>
      </c>
      <c r="D18" s="55" t="s">
        <v>3003</v>
      </c>
      <c r="E18" s="55" t="s">
        <v>2556</v>
      </c>
      <c r="F18" s="55" t="s">
        <v>2557</v>
      </c>
      <c r="G18" s="54" t="s">
        <v>2767</v>
      </c>
      <c r="H18" s="56" t="s">
        <v>3004</v>
      </c>
      <c r="I18" s="54" t="s">
        <v>2769</v>
      </c>
      <c r="J18" s="70" t="s">
        <v>3005</v>
      </c>
      <c r="K18" s="120" t="str">
        <f>HYPERLINK("C:\Users\sskjh\antigravity\01_전문업무_및_엔지니어링\11_현장_프로젝트\01_동탄트램\08.메뉴얼 및 평면도\최종\02_메뉴얼 공종프로섹스(집행단계)\매뉴얼BODY(집행단계-첨부폴더)v8\8.전기분야\17_자재 반입 및 검수\표준서\자재 반입 및 검수_표준서.html","👉 [클릭] 표준서 열기 📄")</f>
        <v>👉 [클릭] 표준서 열기 📄</v>
      </c>
      <c r="L18" s="70" t="s">
        <v>3006</v>
      </c>
      <c r="M18" s="120" t="str">
        <f>HYPERLINK("C:\Users\sskjh\antigravity\01_전문업무_및_엔지니어링\11_현장_프로젝트\01_동탄트램\08.메뉴얼 및 평면도\최종\02_메뉴얼 공종프로섹스(집행단계)\매뉴얼BODY(집행단계-첨부폴더)v8\8.전기분야\17_자재 반입 및 검수\수행지침\자재 반입 및 검수_수행지침.html","👉 [클릭] 수행지침 열기 📄")</f>
        <v>👉 [클릭] 수행지침 열기 📄</v>
      </c>
      <c r="N18" s="70" t="s">
        <v>3007</v>
      </c>
      <c r="O18" s="120" t="str">
        <f>HYPERLINK("C:\Users\sskjh\antigravity\01_전문업무_및_엔지니어링\11_현장_프로젝트\01_동탄트램\08.메뉴얼 및 평면도\최종\02_메뉴얼 공종프로섹스(집행단계)\매뉴얼BODY(집행단계-첨부폴더)v8\8.전기분야\17_자재 반입 및 검수\체크리스트\자재 반입 및 검수_체크리스트.html","👉 [클릭] 체크리스트 열기 📄")</f>
        <v>👉 [클릭] 체크리스트 열기 📄</v>
      </c>
      <c r="P18" s="10"/>
      <c r="Q18" s="71"/>
      <c r="R18" s="71"/>
      <c r="S18" s="71"/>
    </row>
    <row r="19" spans="1:19" ht="69.599999999999994" customHeight="1" x14ac:dyDescent="0.4">
      <c r="A19" s="55" t="s">
        <v>519</v>
      </c>
      <c r="B19" s="55" t="s">
        <v>549</v>
      </c>
      <c r="C19" s="70" t="s">
        <v>2899</v>
      </c>
      <c r="D19" s="55" t="s">
        <v>3008</v>
      </c>
      <c r="E19" s="55" t="s">
        <v>3009</v>
      </c>
      <c r="F19" s="55" t="s">
        <v>2566</v>
      </c>
      <c r="G19" s="54" t="s">
        <v>3010</v>
      </c>
      <c r="H19" s="56" t="s">
        <v>3011</v>
      </c>
      <c r="I19" s="54" t="s">
        <v>2177</v>
      </c>
      <c r="J19" s="70" t="s">
        <v>3012</v>
      </c>
      <c r="K19" s="120" t="str">
        <f>HYPERLINK("C:\Users\sskjh\antigravity\01_전문업무_및_엔지니어링\11_현장_프로젝트\01_동탄트램\08.메뉴얼 및 평면도\최종\02_메뉴얼 공종프로섹스(집행단계)\매뉴얼BODY(집행단계-첨부폴더)v8\8.전기분야\18_전철전력설비 반입 및 설치\표준서\전철전력설비 반입 및 설치_표준서.html","👉 [클릭] 표준서 열기 📄")</f>
        <v>👉 [클릭] 표준서 열기 📄</v>
      </c>
      <c r="L19" s="70" t="s">
        <v>3013</v>
      </c>
      <c r="M19" s="120" t="str">
        <f>HYPERLINK("C:\Users\sskjh\antigravity\01_전문업무_및_엔지니어링\11_현장_프로젝트\01_동탄트램\08.메뉴얼 및 평면도\최종\02_메뉴얼 공종프로섹스(집행단계)\매뉴얼BODY(집행단계-첨부폴더)v8\8.전기분야\18_전철전력설비 반입 및 설치\수행지침\전철전력설비 반입 및 설치_수행지침.html","👉 [클릭] 수행지침 열기 📄")</f>
        <v>👉 [클릭] 수행지침 열기 📄</v>
      </c>
      <c r="N19" s="70" t="s">
        <v>3014</v>
      </c>
      <c r="O19" s="120" t="str">
        <f>HYPERLINK("C:\Users\sskjh\antigravity\01_전문업무_및_엔지니어링\11_현장_프로젝트\01_동탄트램\08.메뉴얼 및 평면도\최종\02_메뉴얼 공종프로섹스(집행단계)\매뉴얼BODY(집행단계-첨부폴더)v8\8.전기분야\18_전철전력설비 반입 및 설치\체크리스트\전철전력설비 반입 및 설치_체크리스트.html","👉 [클릭] 체크리스트 열기 📄")</f>
        <v>👉 [클릭] 체크리스트 열기 📄</v>
      </c>
      <c r="P19" s="10"/>
      <c r="Q19" s="71"/>
      <c r="R19" s="71"/>
      <c r="S19" s="71"/>
    </row>
    <row r="20" spans="1:19" ht="69.599999999999994" customHeight="1" x14ac:dyDescent="0.4">
      <c r="A20" s="55" t="s">
        <v>519</v>
      </c>
      <c r="B20" s="55" t="s">
        <v>549</v>
      </c>
      <c r="C20" s="70" t="s">
        <v>2899</v>
      </c>
      <c r="D20" s="55" t="s">
        <v>3015</v>
      </c>
      <c r="E20" s="55" t="s">
        <v>3016</v>
      </c>
      <c r="F20" s="55" t="s">
        <v>861</v>
      </c>
      <c r="G20" s="54" t="s">
        <v>3017</v>
      </c>
      <c r="H20" s="54" t="s">
        <v>3018</v>
      </c>
      <c r="I20" s="54" t="s">
        <v>2177</v>
      </c>
      <c r="J20" s="70" t="s">
        <v>3019</v>
      </c>
      <c r="K20" s="120"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포설\표준서\수전용 케이블 트레이 및 케이블 포설_표준서.html","👉 [클릭] 표준서 열기 📄")</f>
        <v>👉 [클릭] 표준서 열기 📄</v>
      </c>
      <c r="L20" s="70" t="s">
        <v>3020</v>
      </c>
      <c r="M20" s="120"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포설\수행지침\수전용 케이블 트레이 및 케이블 포설_수행지침.html","👉 [클릭] 수행지침 열기 📄")</f>
        <v>👉 [클릭] 수행지침 열기 📄</v>
      </c>
      <c r="N20" s="70" t="s">
        <v>3021</v>
      </c>
      <c r="O20" s="120"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포설\체크리스트\수전용 케이블 트레이 및 케이블 포설_체크리스트.html","👉 [클릭] 체크리스트 열기 📄")</f>
        <v>👉 [클릭] 체크리스트 열기 📄</v>
      </c>
      <c r="P20" s="10"/>
      <c r="Q20" s="71"/>
      <c r="R20" s="71"/>
      <c r="S20" s="71"/>
    </row>
    <row r="21" spans="1:19" ht="69.599999999999994" customHeight="1" x14ac:dyDescent="0.4">
      <c r="A21" s="55" t="s">
        <v>519</v>
      </c>
      <c r="B21" s="55" t="s">
        <v>549</v>
      </c>
      <c r="C21" s="70" t="s">
        <v>2899</v>
      </c>
      <c r="D21" s="55" t="s">
        <v>3022</v>
      </c>
      <c r="E21" s="55" t="s">
        <v>3023</v>
      </c>
      <c r="F21" s="55" t="s">
        <v>2500</v>
      </c>
      <c r="G21" s="54" t="s">
        <v>3024</v>
      </c>
      <c r="H21" s="56" t="s">
        <v>3025</v>
      </c>
      <c r="I21" s="54" t="s">
        <v>3026</v>
      </c>
      <c r="J21" s="70" t="s">
        <v>3027</v>
      </c>
      <c r="K21" s="120" t="str">
        <f>HYPERLINK("C:\Users\sskjh\antigravity\01_전문업무_및_엔지니어링\11_현장_프로젝트\01_동탄트램\08.메뉴얼 및 평면도\최종\02_메뉴얼 공종프로섹스(집행단계)\매뉴얼BODY(집행단계-첨부폴더)v8\8.전기분야\20_수전 및 전기공급(급전)\표준서\수전 및 전기공급(급전)_표준서.html","👉 [클릭] 표준서 열기 📄")</f>
        <v>👉 [클릭] 표준서 열기 📄</v>
      </c>
      <c r="L21" s="70" t="s">
        <v>3028</v>
      </c>
      <c r="M21" s="120" t="str">
        <f>HYPERLINK("C:\Users\sskjh\antigravity\01_전문업무_및_엔지니어링\11_현장_프로젝트\01_동탄트램\08.메뉴얼 및 평면도\최종\02_메뉴얼 공종프로섹스(집행단계)\매뉴얼BODY(집행단계-첨부폴더)v8\8.전기분야\20_수전 및 전기공급(급전)\수행지침\수전 및 전기공급(급전)_수행지침.html","👉 [클릭] 수행지침 열기 📄")</f>
        <v>👉 [클릭] 수행지침 열기 📄</v>
      </c>
      <c r="N21" s="70" t="s">
        <v>3029</v>
      </c>
      <c r="O21" s="120" t="str">
        <f>HYPERLINK("C:\Users\sskjh\antigravity\01_전문업무_및_엔지니어링\11_현장_프로젝트\01_동탄트램\08.메뉴얼 및 평면도\최종\02_메뉴얼 공종프로섹스(집행단계)\매뉴얼BODY(집행단계-첨부폴더)v8\8.전기분야\20_수전 및 전기공급(급전)\체크리스트\수전 및 전기공급(급전)_체크리스트.html","👉 [클릭] 체크리스트 열기 📄")</f>
        <v>👉 [클릭] 체크리스트 열기 📄</v>
      </c>
      <c r="P21" s="10"/>
      <c r="Q21" s="71"/>
      <c r="R21" s="71"/>
      <c r="S21" s="71"/>
    </row>
    <row r="22" spans="1:19" ht="69.599999999999994" customHeight="1" x14ac:dyDescent="0.4">
      <c r="A22" s="55" t="s">
        <v>519</v>
      </c>
      <c r="B22" s="55" t="s">
        <v>549</v>
      </c>
      <c r="C22" s="70" t="s">
        <v>2899</v>
      </c>
      <c r="D22" s="55" t="s">
        <v>3030</v>
      </c>
      <c r="E22" s="55" t="s">
        <v>3031</v>
      </c>
      <c r="F22" s="55" t="s">
        <v>2500</v>
      </c>
      <c r="G22" s="58" t="s">
        <v>3032</v>
      </c>
      <c r="H22" s="58" t="s">
        <v>3033</v>
      </c>
      <c r="I22" s="58" t="s">
        <v>3034</v>
      </c>
      <c r="J22" s="70" t="s">
        <v>3035</v>
      </c>
      <c r="K22" s="120" t="str">
        <f>HYPERLINK("C:\Users\sskjh\antigravity\01_전문업무_및_엔지니어링\11_현장_프로젝트\01_동탄트램\08.메뉴얼 및 평면도\최종\02_메뉴얼 공종프로섹스(집행단계)\매뉴얼BODY(집행단계-첨부폴더)v8\8.전기분야\21_종합연동시험(SCADA) 실시\표준서\종합연동시험(SCADA) 실시_표준서.html","👉 [클릭] 표준서 열기 📄")</f>
        <v>👉 [클릭] 표준서 열기 📄</v>
      </c>
      <c r="L22" s="70" t="s">
        <v>3036</v>
      </c>
      <c r="M22" s="120" t="str">
        <f>HYPERLINK("C:\Users\sskjh\antigravity\01_전문업무_및_엔지니어링\11_현장_프로젝트\01_동탄트램\08.메뉴얼 및 평면도\최종\02_메뉴얼 공종프로섹스(집행단계)\매뉴얼BODY(집행단계-첨부폴더)v8\8.전기분야\21_종합연동시험(SCADA) 실시\수행지침\종합연동시험(SCADA) 실시_수행지침.html","👉 [클릭] 수행지침 열기 📄")</f>
        <v>👉 [클릭] 수행지침 열기 📄</v>
      </c>
      <c r="N22" s="70" t="s">
        <v>3037</v>
      </c>
      <c r="O22" s="120" t="str">
        <f>HYPERLINK("C:\Users\sskjh\antigravity\01_전문업무_및_엔지니어링\11_현장_프로젝트\01_동탄트램\08.메뉴얼 및 평면도\최종\02_메뉴얼 공종프로섹스(집행단계)\매뉴얼BODY(집행단계-첨부폴더)v8\8.전기분야\21_종합연동시험(SCADA) 실시\체크리스트\종합연동시험(SCADA) 실시_체크리스트.html","👉 [클릭] 체크리스트 열기 📄")</f>
        <v>👉 [클릭] 체크리스트 열기 📄</v>
      </c>
      <c r="P22" s="10"/>
      <c r="Q22" s="71"/>
      <c r="R22" s="71"/>
      <c r="S22" s="71"/>
    </row>
    <row r="23" spans="1:19" ht="69.599999999999994" customHeight="1" x14ac:dyDescent="0.4">
      <c r="A23" s="55" t="s">
        <v>519</v>
      </c>
      <c r="B23" s="55" t="s">
        <v>549</v>
      </c>
      <c r="C23" s="70" t="s">
        <v>2899</v>
      </c>
      <c r="D23" s="55" t="s">
        <v>3038</v>
      </c>
      <c r="E23" s="55" t="s">
        <v>2589</v>
      </c>
      <c r="F23" s="55" t="s">
        <v>2500</v>
      </c>
      <c r="G23" s="58" t="s">
        <v>3039</v>
      </c>
      <c r="H23" s="54" t="s">
        <v>2804</v>
      </c>
      <c r="I23" s="54" t="s">
        <v>2592</v>
      </c>
      <c r="J23" s="70" t="s">
        <v>3040</v>
      </c>
      <c r="K23" s="120" t="str">
        <f>HYPERLINK("C:\Users\sskjh\antigravity\01_전문업무_및_엔지니어링\11_현장_프로젝트\01_동탄트램\08.메뉴얼 및 평면도\최종\02_메뉴얼 공종프로섹스(집행단계)\매뉴얼BODY(집행단계-첨부폴더)v8\8.전기분야\22_공종별 시험\표준서\공종별 시험_표준서.html","👉 [클릭] 표준서 열기 📄")</f>
        <v>👉 [클릭] 표준서 열기 📄</v>
      </c>
      <c r="L23" s="70" t="s">
        <v>3041</v>
      </c>
      <c r="M23" s="120" t="str">
        <f>HYPERLINK("C:\Users\sskjh\antigravity\01_전문업무_및_엔지니어링\11_현장_프로젝트\01_동탄트램\08.메뉴얼 및 평면도\최종\02_메뉴얼 공종프로섹스(집행단계)\매뉴얼BODY(집행단계-첨부폴더)v8\8.전기분야\22_공종별 시험\수행지침\공종별 시험_수행지침.html","👉 [클릭] 수행지침 열기 📄")</f>
        <v>👉 [클릭] 수행지침 열기 📄</v>
      </c>
      <c r="N23" s="70" t="s">
        <v>3042</v>
      </c>
      <c r="O23" s="120" t="str">
        <f>HYPERLINK("C:\Users\sskjh\antigravity\01_전문업무_및_엔지니어링\11_현장_프로젝트\01_동탄트램\08.메뉴얼 및 평면도\최종\02_메뉴얼 공종프로섹스(집행단계)\매뉴얼BODY(집행단계-첨부폴더)v8\8.전기분야\22_공종별 시험\체크리스트\공종별 시험_체크리스트.html","👉 [클릭] 체크리스트 열기 📄")</f>
        <v>👉 [클릭] 체크리스트 열기 📄</v>
      </c>
      <c r="P23" s="10"/>
      <c r="Q23" s="71"/>
      <c r="R23" s="71"/>
      <c r="S23" s="71"/>
    </row>
    <row r="24" spans="1:19" ht="69.599999999999994" customHeight="1" x14ac:dyDescent="0.4">
      <c r="A24" s="55" t="s">
        <v>519</v>
      </c>
      <c r="B24" s="55" t="s">
        <v>549</v>
      </c>
      <c r="C24" s="70" t="s">
        <v>2899</v>
      </c>
      <c r="D24" s="55" t="s">
        <v>3043</v>
      </c>
      <c r="E24" s="55" t="s">
        <v>2597</v>
      </c>
      <c r="F24" s="55" t="s">
        <v>2598</v>
      </c>
      <c r="G24" s="58" t="s">
        <v>3044</v>
      </c>
      <c r="H24" s="56" t="s">
        <v>3045</v>
      </c>
      <c r="I24" s="58" t="s">
        <v>3046</v>
      </c>
      <c r="J24" s="70" t="s">
        <v>3047</v>
      </c>
      <c r="K24" s="120" t="str">
        <f>HYPERLINK("C:\Users\sskjh\antigravity\01_전문업무_및_엔지니어링\11_현장_프로젝트\01_동탄트램\08.메뉴얼 및 평면도\최종\02_메뉴얼 공종프로섹스(집행단계)\매뉴얼BODY(집행단계-첨부폴더)v8\8.전기분야\23_차량 투입 전 점검\표준서\차량 투입 전 점검_표준서.html","👉 [클릭] 표준서 열기 📄")</f>
        <v>👉 [클릭] 표준서 열기 📄</v>
      </c>
      <c r="L24" s="70" t="s">
        <v>3048</v>
      </c>
      <c r="M24" s="120" t="str">
        <f>HYPERLINK("C:\Users\sskjh\antigravity\01_전문업무_및_엔지니어링\11_현장_프로젝트\01_동탄트램\08.메뉴얼 및 평면도\최종\02_메뉴얼 공종프로섹스(집행단계)\매뉴얼BODY(집행단계-첨부폴더)v8\8.전기분야\23_차량 투입 전 점검\수행지침\차량 투입 전 점검_수행지침.html","👉 [클릭] 수행지침 열기 📄")</f>
        <v>👉 [클릭] 수행지침 열기 📄</v>
      </c>
      <c r="N24" s="70" t="s">
        <v>3049</v>
      </c>
      <c r="O24" s="120" t="str">
        <f>HYPERLINK("C:\Users\sskjh\antigravity\01_전문업무_및_엔지니어링\11_현장_프로젝트\01_동탄트램\08.메뉴얼 및 평면도\최종\02_메뉴얼 공종프로섹스(집행단계)\매뉴얼BODY(집행단계-첨부폴더)v8\8.전기분야\23_차량 투입 전 점검\체크리스트\차량 투입 전 점검_체크리스트.html","👉 [클릭] 체크리스트 열기 📄")</f>
        <v>👉 [클릭] 체크리스트 열기 📄</v>
      </c>
      <c r="P24" s="10"/>
      <c r="Q24" s="71"/>
      <c r="R24" s="71"/>
      <c r="S24" s="71"/>
    </row>
    <row r="25" spans="1:19" ht="69.599999999999994" customHeight="1" x14ac:dyDescent="0.4">
      <c r="A25" s="55" t="s">
        <v>519</v>
      </c>
      <c r="B25" s="55" t="s">
        <v>549</v>
      </c>
      <c r="C25" s="70" t="s">
        <v>2899</v>
      </c>
      <c r="D25" s="55" t="s">
        <v>3050</v>
      </c>
      <c r="E25" s="55" t="s">
        <v>2606</v>
      </c>
      <c r="F25" s="55" t="s">
        <v>2500</v>
      </c>
      <c r="G25" s="54" t="s">
        <v>3051</v>
      </c>
      <c r="H25" s="54" t="s">
        <v>3052</v>
      </c>
      <c r="I25" s="54" t="s">
        <v>2818</v>
      </c>
      <c r="J25" s="70" t="s">
        <v>3053</v>
      </c>
      <c r="K25" s="120" t="str">
        <f>HYPERLINK("C:\Users\sskjh\antigravity\01_전문업무_및_엔지니어링\11_현장_프로젝트\01_동탄트램\08.메뉴얼 및 평면도\최종\02_메뉴얼 공종프로섹스(집행단계)\매뉴얼BODY(집행단계-첨부폴더)v8\8.전기분야\24_차량 시운전\표준서\차량 시운전_표준서.html","👉 [클릭] 표준서 열기 📄")</f>
        <v>👉 [클릭] 표준서 열기 📄</v>
      </c>
      <c r="L25" s="70" t="s">
        <v>3054</v>
      </c>
      <c r="M25" s="120" t="str">
        <f>HYPERLINK("C:\Users\sskjh\antigravity\01_전문업무_및_엔지니어링\11_현장_프로젝트\01_동탄트램\08.메뉴얼 및 평면도\최종\02_메뉴얼 공종프로섹스(집행단계)\매뉴얼BODY(집행단계-첨부폴더)v8\8.전기분야\24_차량 시운전\수행지침\차량 시운전_수행지침.html","👉 [클릭] 수행지침 열기 📄")</f>
        <v>👉 [클릭] 수행지침 열기 📄</v>
      </c>
      <c r="N25" s="70" t="s">
        <v>3055</v>
      </c>
      <c r="O25" s="120" t="str">
        <f>HYPERLINK("C:\Users\sskjh\antigravity\01_전문업무_및_엔지니어링\11_현장_프로젝트\01_동탄트램\08.메뉴얼 및 평면도\최종\02_메뉴얼 공종프로섹스(집행단계)\매뉴얼BODY(집행단계-첨부폴더)v8\8.전기분야\24_차량 시운전\체크리스트\차량 시운전_체크리스트.html","👉 [클릭] 체크리스트 열기 📄")</f>
        <v>👉 [클릭] 체크리스트 열기 📄</v>
      </c>
      <c r="P25" s="10"/>
      <c r="Q25" s="71"/>
      <c r="R25" s="71"/>
      <c r="S25" s="71"/>
    </row>
    <row r="26" spans="1:19" ht="69.599999999999994" customHeight="1" x14ac:dyDescent="0.4">
      <c r="A26" s="55" t="s">
        <v>519</v>
      </c>
      <c r="B26" s="55" t="s">
        <v>549</v>
      </c>
      <c r="C26" s="70" t="s">
        <v>2899</v>
      </c>
      <c r="D26" s="55" t="s">
        <v>3056</v>
      </c>
      <c r="E26" s="55" t="s">
        <v>2614</v>
      </c>
      <c r="F26" s="55" t="s">
        <v>2500</v>
      </c>
      <c r="G26" s="54" t="s">
        <v>2823</v>
      </c>
      <c r="H26" s="54" t="s">
        <v>3057</v>
      </c>
      <c r="I26" s="54" t="s">
        <v>2825</v>
      </c>
      <c r="J26" s="70" t="s">
        <v>3058</v>
      </c>
      <c r="K26" s="120" t="str">
        <f>HYPERLINK("C:\Users\sskjh\antigravity\01_전문업무_및_엔지니어링\11_현장_프로젝트\01_동탄트램\08.메뉴얼 및 평면도\최종\02_메뉴얼 공종프로섹스(집행단계)\매뉴얼BODY(집행단계-첨부폴더)v8\8.전기분야\25_운영자 교육시행\표준서\운영자 교육시행_표준서.html","👉 [클릭] 표준서 열기 📄")</f>
        <v>👉 [클릭] 표준서 열기 📄</v>
      </c>
      <c r="L26" s="70" t="s">
        <v>3059</v>
      </c>
      <c r="M26" s="120" t="str">
        <f>HYPERLINK("C:\Users\sskjh\antigravity\01_전문업무_및_엔지니어링\11_현장_프로젝트\01_동탄트램\08.메뉴얼 및 평면도\최종\02_메뉴얼 공종프로섹스(집행단계)\매뉴얼BODY(집행단계-첨부폴더)v8\8.전기분야\25_운영자 교육시행\수행지침\운영자 교육시행_수행지침.html","👉 [클릭] 수행지침 열기 📄")</f>
        <v>👉 [클릭] 수행지침 열기 📄</v>
      </c>
      <c r="N26" s="70" t="s">
        <v>3060</v>
      </c>
      <c r="O26" s="120" t="str">
        <f>HYPERLINK("C:\Users\sskjh\antigravity\01_전문업무_및_엔지니어링\11_현장_프로젝트\01_동탄트램\08.메뉴얼 및 평면도\최종\02_메뉴얼 공종프로섹스(집행단계)\매뉴얼BODY(집행단계-첨부폴더)v8\8.전기분야\25_운영자 교육시행\체크리스트\운영자 교육시행_체크리스트.html","👉 [클릭] 체크리스트 열기 📄")</f>
        <v>👉 [클릭] 체크리스트 열기 📄</v>
      </c>
      <c r="P26" s="10"/>
      <c r="Q26" s="71"/>
      <c r="R26" s="71"/>
      <c r="S26" s="71"/>
    </row>
    <row r="27" spans="1:19" ht="87" customHeight="1" x14ac:dyDescent="0.4">
      <c r="A27" s="55" t="s">
        <v>519</v>
      </c>
      <c r="B27" s="55" t="s">
        <v>549</v>
      </c>
      <c r="C27" s="70" t="s">
        <v>2899</v>
      </c>
      <c r="D27" s="55" t="s">
        <v>3061</v>
      </c>
      <c r="E27" s="55" t="s">
        <v>2830</v>
      </c>
      <c r="F27" s="55" t="s">
        <v>2623</v>
      </c>
      <c r="G27" s="54" t="s">
        <v>2831</v>
      </c>
      <c r="H27" s="54" t="s">
        <v>3062</v>
      </c>
      <c r="I27" s="54" t="s">
        <v>2833</v>
      </c>
      <c r="J27" s="70" t="s">
        <v>3063</v>
      </c>
      <c r="K27" s="120" t="str">
        <f>HYPERLINK("C:\Users\sskjh\antigravity\01_전문업무_및_엔지니어링\11_현장_프로젝트\01_동탄트램\08.메뉴얼 및 평면도\최종\02_메뉴얼 공종프로섹스(집행단계)\매뉴얼BODY(집행단계-첨부폴더)v8\8.전기분야\26_사전점검\표준서\사전점검_표준서.html","👉 [클릭] 표준서 열기 📄")</f>
        <v>👉 [클릭] 표준서 열기 📄</v>
      </c>
      <c r="L27" s="70" t="s">
        <v>3064</v>
      </c>
      <c r="M27" s="120" t="str">
        <f>HYPERLINK("C:\Users\sskjh\antigravity\01_전문업무_및_엔지니어링\11_현장_프로젝트\01_동탄트램\08.메뉴얼 및 평면도\최종\02_메뉴얼 공종프로섹스(집행단계)\매뉴얼BODY(집행단계-첨부폴더)v8\8.전기분야\26_사전점검\수행지침\사전점검_수행지침.html","👉 [클릭] 수행지침 열기 📄")</f>
        <v>👉 [클릭] 수행지침 열기 📄</v>
      </c>
      <c r="N27" s="70" t="s">
        <v>3065</v>
      </c>
      <c r="O27" s="120" t="str">
        <f>HYPERLINK("C:\Users\sskjh\antigravity\01_전문업무_및_엔지니어링\11_현장_프로젝트\01_동탄트램\08.메뉴얼 및 평면도\최종\02_메뉴얼 공종프로섹스(집행단계)\매뉴얼BODY(집행단계-첨부폴더)v8\8.전기분야\26_사전점검\체크리스트\사전점검_체크리스트.html","👉 [클릭] 체크리스트 열기 📄")</f>
        <v>👉 [클릭] 체크리스트 열기 📄</v>
      </c>
      <c r="P27" s="10"/>
      <c r="Q27" s="71"/>
      <c r="R27" s="71"/>
      <c r="S27" s="71"/>
    </row>
    <row r="28" spans="1:19" ht="139.19999999999999" customHeight="1" x14ac:dyDescent="0.4">
      <c r="A28" s="55" t="s">
        <v>519</v>
      </c>
      <c r="B28" s="55" t="s">
        <v>549</v>
      </c>
      <c r="C28" s="70" t="s">
        <v>2899</v>
      </c>
      <c r="D28" s="55" t="s">
        <v>3066</v>
      </c>
      <c r="E28" s="55" t="s">
        <v>2631</v>
      </c>
      <c r="F28" s="55" t="s">
        <v>2623</v>
      </c>
      <c r="G28" s="54" t="s">
        <v>2838</v>
      </c>
      <c r="H28" s="54" t="s">
        <v>3067</v>
      </c>
      <c r="I28" s="54" t="s">
        <v>2840</v>
      </c>
      <c r="J28" s="70" t="s">
        <v>3068</v>
      </c>
      <c r="K28" s="120" t="str">
        <f>HYPERLINK("C:\Users\sskjh\antigravity\01_전문업무_및_엔지니어링\11_현장_프로젝트\01_동탄트램\08.메뉴얼 및 평면도\최종\02_메뉴얼 공종프로섹스(집행단계)\매뉴얼BODY(집행단계-첨부폴더)v8\8.전기분야\27_시설물 검증시험\표준서\시설물 검증시험_표준서.html","👉 [클릭] 표준서 열기 📄")</f>
        <v>👉 [클릭] 표준서 열기 📄</v>
      </c>
      <c r="L28" s="70" t="s">
        <v>3069</v>
      </c>
      <c r="M28" s="120" t="str">
        <f>HYPERLINK("C:\Users\sskjh\antigravity\01_전문업무_및_엔지니어링\11_현장_프로젝트\01_동탄트램\08.메뉴얼 및 평면도\최종\02_메뉴얼 공종프로섹스(집행단계)\매뉴얼BODY(집행단계-첨부폴더)v8\8.전기분야\27_시설물 검증시험\수행지침\시설물 검증시험_수행지침.html","👉 [클릭] 수행지침 열기 📄")</f>
        <v>👉 [클릭] 수행지침 열기 📄</v>
      </c>
      <c r="N28" s="70" t="s">
        <v>3070</v>
      </c>
      <c r="O28" s="120" t="str">
        <f>HYPERLINK("C:\Users\sskjh\antigravity\01_전문업무_및_엔지니어링\11_현장_프로젝트\01_동탄트램\08.메뉴얼 및 평면도\최종\02_메뉴얼 공종프로섹스(집행단계)\매뉴얼BODY(집행단계-첨부폴더)v8\8.전기분야\27_시설물 검증시험\체크리스트\시설물 검증시험_체크리스트.html","👉 [클릭] 체크리스트 열기 📄")</f>
        <v>👉 [클릭] 체크리스트 열기 📄</v>
      </c>
      <c r="P28" s="10"/>
      <c r="Q28" s="71"/>
      <c r="R28" s="71"/>
      <c r="S28" s="71"/>
    </row>
    <row r="29" spans="1:19" ht="159.6" customHeight="1" x14ac:dyDescent="0.4">
      <c r="A29" s="55" t="s">
        <v>519</v>
      </c>
      <c r="B29" s="55" t="s">
        <v>549</v>
      </c>
      <c r="C29" s="70" t="s">
        <v>2899</v>
      </c>
      <c r="D29" s="55" t="s">
        <v>3071</v>
      </c>
      <c r="E29" s="55" t="s">
        <v>2845</v>
      </c>
      <c r="F29" s="55" t="s">
        <v>2623</v>
      </c>
      <c r="G29" s="54" t="s">
        <v>2846</v>
      </c>
      <c r="H29" s="54" t="s">
        <v>3072</v>
      </c>
      <c r="I29" s="54" t="s">
        <v>2848</v>
      </c>
      <c r="J29" s="70" t="s">
        <v>3073</v>
      </c>
      <c r="K29" s="120" t="str">
        <f>HYPERLINK("C:\Users\sskjh\antigravity\01_전문업무_및_엔지니어링\11_현장_프로젝트\01_동탄트램\08.메뉴얼 및 평면도\최종\02_메뉴얼 공종프로섹스(집행단계)\매뉴얼BODY(집행단계-첨부폴더)v8\8.전기분야\28_영업시운전\표준서\영업시운전_표준서.html","👉 [클릭] 표준서 열기 📄")</f>
        <v>👉 [클릭] 표준서 열기 📄</v>
      </c>
      <c r="L29" s="70" t="s">
        <v>3074</v>
      </c>
      <c r="M29" s="120" t="str">
        <f>HYPERLINK("C:\Users\sskjh\antigravity\01_전문업무_및_엔지니어링\11_현장_프로젝트\01_동탄트램\08.메뉴얼 및 평면도\최종\02_메뉴얼 공종프로섹스(집행단계)\매뉴얼BODY(집행단계-첨부폴더)v8\8.전기분야\28_영업시운전\수행지침\영업시운전_수행지침.html","👉 [클릭] 수행지침 열기 📄")</f>
        <v>👉 [클릭] 수행지침 열기 📄</v>
      </c>
      <c r="N29" s="70" t="s">
        <v>3075</v>
      </c>
      <c r="O29" s="120" t="str">
        <f>HYPERLINK("C:\Users\sskjh\antigravity\01_전문업무_및_엔지니어링\11_현장_프로젝트\01_동탄트램\08.메뉴얼 및 평면도\최종\02_메뉴얼 공종프로섹스(집행단계)\매뉴얼BODY(집행단계-첨부폴더)v8\8.전기분야\28_영업시운전\체크리스트\영업시운전_체크리스트.html","👉 [클릭] 체크리스트 열기 📄")</f>
        <v>👉 [클릭] 체크리스트 열기 📄</v>
      </c>
      <c r="P29" s="10"/>
      <c r="Q29" s="71"/>
      <c r="R29" s="71"/>
      <c r="S29" s="71"/>
    </row>
    <row r="30" spans="1:19" ht="69.599999999999994" customHeight="1" x14ac:dyDescent="0.4">
      <c r="A30" s="55" t="s">
        <v>519</v>
      </c>
      <c r="B30" s="55" t="s">
        <v>549</v>
      </c>
      <c r="C30" s="70" t="s">
        <v>2899</v>
      </c>
      <c r="D30" s="55" t="s">
        <v>3076</v>
      </c>
      <c r="E30" s="55" t="s">
        <v>3077</v>
      </c>
      <c r="F30" s="55" t="s">
        <v>2854</v>
      </c>
      <c r="G30" s="54" t="s">
        <v>3078</v>
      </c>
      <c r="H30" s="54" t="s">
        <v>3079</v>
      </c>
      <c r="I30" s="70" t="s">
        <v>3080</v>
      </c>
      <c r="J30" s="70" t="s">
        <v>3081</v>
      </c>
      <c r="K30" s="120"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0" s="70" t="s">
        <v>3082</v>
      </c>
      <c r="M30" s="120"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0" s="70" t="s">
        <v>3083</v>
      </c>
      <c r="O30" s="120"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0" s="10"/>
      <c r="Q30" s="71"/>
      <c r="R30" s="71"/>
      <c r="S30" s="71"/>
    </row>
    <row r="31" spans="1:19" ht="69.599999999999994" customHeight="1" x14ac:dyDescent="0.4">
      <c r="A31" s="55" t="s">
        <v>519</v>
      </c>
      <c r="B31" s="55" t="s">
        <v>549</v>
      </c>
      <c r="C31" s="70" t="s">
        <v>2899</v>
      </c>
      <c r="D31" s="55" t="s">
        <v>3084</v>
      </c>
      <c r="E31" s="55" t="s">
        <v>3085</v>
      </c>
      <c r="F31" s="55" t="s">
        <v>2854</v>
      </c>
      <c r="G31" s="54" t="s">
        <v>3086</v>
      </c>
      <c r="H31" s="54" t="s">
        <v>3087</v>
      </c>
      <c r="I31" s="70" t="s">
        <v>3088</v>
      </c>
      <c r="J31" s="70" t="s">
        <v>3089</v>
      </c>
      <c r="K31" s="120" t="str">
        <f>HYPERLINK("C:\Users\sskjh\antigravity\01_전문업무_및_엔지니어링\11_현장_프로젝트\01_동탄트램\08.메뉴얼 및 평면도\최종\02_메뉴얼 공종프로섹스(집행단계)\매뉴얼BODY(집행단계-첨부폴더)v8\8.전기분야\30_공사계획신고\표준서\공사계획신고_표준서.html","👉 [클릭] 표준서 열기 📄")</f>
        <v>👉 [클릭] 표준서 열기 📄</v>
      </c>
      <c r="L31" s="70" t="s">
        <v>3090</v>
      </c>
      <c r="M31" s="120" t="str">
        <f>HYPERLINK("C:\Users\sskjh\antigravity\01_전문업무_및_엔지니어링\11_현장_프로젝트\01_동탄트램\08.메뉴얼 및 평면도\최종\02_메뉴얼 공종프로섹스(집행단계)\매뉴얼BODY(집행단계-첨부폴더)v8\8.전기분야\30_공사계획신고\수행지침\공사계획신고_수행지침.html","👉 [클릭] 수행지침 열기 📄")</f>
        <v>👉 [클릭] 수행지침 열기 📄</v>
      </c>
      <c r="N31" s="70" t="s">
        <v>3091</v>
      </c>
      <c r="O31" s="120" t="str">
        <f>HYPERLINK("C:\Users\sskjh\antigravity\01_전문업무_및_엔지니어링\11_현장_프로젝트\01_동탄트램\08.메뉴얼 및 평면도\최종\02_메뉴얼 공종프로섹스(집행단계)\매뉴얼BODY(집행단계-첨부폴더)v8\8.전기분야\30_공사계획신고\체크리스트\공사계획신고_체크리스트.html","👉 [클릭] 체크리스트 열기 📄")</f>
        <v>👉 [클릭] 체크리스트 열기 📄</v>
      </c>
      <c r="P31" s="10"/>
      <c r="Q31" s="71"/>
      <c r="R31" s="71"/>
      <c r="S31" s="71"/>
    </row>
    <row r="32" spans="1:19" ht="69.599999999999994" customHeight="1" x14ac:dyDescent="0.4">
      <c r="A32" s="55" t="s">
        <v>519</v>
      </c>
      <c r="B32" s="55" t="s">
        <v>549</v>
      </c>
      <c r="C32" s="70" t="s">
        <v>2899</v>
      </c>
      <c r="D32" s="55" t="s">
        <v>3092</v>
      </c>
      <c r="E32" s="57" t="s">
        <v>3093</v>
      </c>
      <c r="F32" s="55" t="s">
        <v>2854</v>
      </c>
      <c r="G32" s="62" t="s">
        <v>3094</v>
      </c>
      <c r="H32" s="54" t="s">
        <v>3095</v>
      </c>
      <c r="I32" s="70" t="s">
        <v>3096</v>
      </c>
      <c r="J32" s="70" t="s">
        <v>3097</v>
      </c>
      <c r="K32" s="120"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32" s="70" t="s">
        <v>3098</v>
      </c>
      <c r="M32" s="120"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32" s="70" t="s">
        <v>3099</v>
      </c>
      <c r="O32" s="120"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32" s="10"/>
      <c r="Q32" s="71"/>
      <c r="R32" s="71"/>
      <c r="S32" s="71"/>
    </row>
    <row r="33" spans="1:19" ht="268.2" customHeight="1" x14ac:dyDescent="0.4">
      <c r="A33" s="55" t="s">
        <v>519</v>
      </c>
      <c r="B33" s="55" t="s">
        <v>549</v>
      </c>
      <c r="C33" s="70" t="s">
        <v>2899</v>
      </c>
      <c r="D33" s="55" t="s">
        <v>3100</v>
      </c>
      <c r="E33" s="55" t="s">
        <v>3101</v>
      </c>
      <c r="F33" s="55" t="s">
        <v>2854</v>
      </c>
      <c r="G33" s="54" t="s">
        <v>3102</v>
      </c>
      <c r="H33" s="54" t="s">
        <v>3103</v>
      </c>
      <c r="I33" s="70" t="s">
        <v>3104</v>
      </c>
      <c r="J33" s="70" t="s">
        <v>3105</v>
      </c>
      <c r="K33" s="120"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3" s="70" t="s">
        <v>3106</v>
      </c>
      <c r="M33" s="120"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3" s="70" t="s">
        <v>3107</v>
      </c>
      <c r="O33" s="120"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3" s="10"/>
      <c r="Q33" s="71"/>
      <c r="R33" s="71"/>
      <c r="S33" s="71"/>
    </row>
  </sheetData>
  <phoneticPr fontId="3" type="noConversion"/>
  <hyperlinks>
    <hyperlink ref="K2" r:id="rId1" display="매뉴얼BODY(집행단계-첨부폴더)v8\8.전기분야\1_설계적정성 검토\표준서\설계적정성 검토_표준서.html" xr:uid="{9824E5F3-A387-4DAC-BF20-9F2B68AAEDB1}"/>
    <hyperlink ref="M2" r:id="rId2" display="매뉴얼BODY(집행단계-첨부폴더)v8\8.전기분야\1_설계적정성 검토\수행지침\설계적정성 검토_수행지침.html" xr:uid="{73537B81-5EEC-492B-9AD0-844A883FB2DE}"/>
    <hyperlink ref="O2" r:id="rId3" display="매뉴얼BODY(집행단계-첨부폴더)v8\8.전기분야\1_설계적정성 검토\체크리스트\설계적정성 검토_체크리스트.html" xr:uid="{209CE76A-8E88-40CC-93B1-829955A80763}"/>
    <hyperlink ref="K3" r:id="rId4" display="매뉴얼BODY(집행단계-첨부폴더)v8\8.전기분야\2_발주전략 KOM\표준서\발주전략 KOM_표준서.html" xr:uid="{D88AC9B9-9802-4317-8D43-1C65C572FAFB}"/>
    <hyperlink ref="M3" r:id="rId5" display="매뉴얼BODY(집행단계-첨부폴더)v8\8.전기분야\2_발주전략 KOM\수행지침\발주전략 KOM_수행지침.html" xr:uid="{34E3CC7B-C092-4197-B120-F1BF8A817DB4}"/>
    <hyperlink ref="O3" r:id="rId6" display="매뉴얼BODY(집행단계-첨부폴더)v8\8.전기분야\2_발주전략 KOM\체크리스트\발주전략 KOM_체크리스트.html" xr:uid="{285DCEB6-D936-430A-8C37-9EE671F9AA19}"/>
    <hyperlink ref="K4" r:id="rId7" display="매뉴얼BODY(집행단계-첨부폴더)v8\8.전기분야\3_토목 _ 건축 인터페이스 협의\표준서\토목 _ 건축 인터페이스 협의_표준서.html" xr:uid="{B8869055-EA13-4D9F-A992-8CAAD86E654A}"/>
    <hyperlink ref="M4" r:id="rId8" display="매뉴얼BODY(집행단계-첨부폴더)v8\8.전기분야\3_토목 _ 건축 인터페이스 협의\수행지침\토목 _ 건축 인터페이스 협의_수행지침.html" xr:uid="{446DDB43-6BC9-419C-B013-477F25A12FD5}"/>
    <hyperlink ref="O4" r:id="rId9" display="매뉴얼BODY(집행단계-첨부폴더)v8\8.전기분야\3_토목 _ 건축 인터페이스 협의\체크리스트\토목 _ 건축 인터페이스 협의_체크리스트.html" xr:uid="{F759193D-4961-4E29-978B-F98C000C8222}"/>
    <hyperlink ref="K5" r:id="rId10" display="매뉴얼BODY(집행단계-첨부폴더)v8\8.전기분야\4_신호 _ 통신 _ 기계 _ PSD _ 차량 인터페이스 협의\표준서\신호 _ 통신 _ 기계 _ PSD _ 차량 인터페이스 협의_표준서.html" xr:uid="{5459C5DB-9E46-44A6-B373-5FE28308380C}"/>
    <hyperlink ref="M5" r:id="rId11" display="매뉴얼BODY(집행단계-첨부폴더)v8\8.전기분야\4_신호 _ 통신 _ 기계 _ PSD _ 차량 인터페이스 협의\수행지침\신호 _ 통신 _ 기계 _ PSD _ 차량 인터페이스 협의_수행지침.html" xr:uid="{23CA89B0-2FF5-4B48-80E4-7331AD25B298}"/>
    <hyperlink ref="O5" r:id="rId12" display="매뉴얼BODY(집행단계-첨부폴더)v8\8.전기분야\4_신호 _ 통신 _ 기계 _ PSD _ 차량 인터페이스 협의\체크리스트\신호 _ 통신 _ 기계 _ PSD _ 차량 인터페이스 협의_체크리스트.html" xr:uid="{28928C76-C85E-45DE-8D75-9696C6E73EC2}"/>
    <hyperlink ref="K6" r:id="rId13" display="매뉴얼BODY(집행단계-첨부폴더)v8\8.전기분야\5_전기설비 제작사 인터페이스 협의\표준서\전기설비 제작사 인터페이스 협의_표준서.html" xr:uid="{26E22CC6-04C3-4566-9467-76B4A12C4765}"/>
    <hyperlink ref="M6" r:id="rId14" display="매뉴얼BODY(집행단계-첨부폴더)v8\8.전기분야\5_전기설비 제작사 인터페이스 협의\수행지침\전기설비 제작사 인터페이스 협의_수행지침.html" xr:uid="{28C56C72-EA96-4CAD-AC00-33FCA3F9EDB5}"/>
    <hyperlink ref="O6" r:id="rId15" display="매뉴얼BODY(집행단계-첨부폴더)v8\8.전기분야\5_전기설비 제작사 인터페이스 협의\체크리스트\전기설비 제작사 인터페이스 협의_체크리스트.html" xr:uid="{B9B4F279-711B-4609-B350-12CA5687F7BC}"/>
    <hyperlink ref="K7" r:id="rId16" display="매뉴얼BODY(집행단계-첨부폴더)v8\8.전기분야\6_관제 및 운영사 인터페이스 협의\표준서\관제 및 운영사 인터페이스 협의_표준서.html" xr:uid="{AE0069F7-3646-4CA7-BA53-66A7C88DA79B}"/>
    <hyperlink ref="M7" r:id="rId17" display="매뉴얼BODY(집행단계-첨부폴더)v8\8.전기분야\6_관제 및 운영사 인터페이스 협의\수행지침\관제 및 운영사 인터페이스 협의_수행지침.html" xr:uid="{DC27B872-D3EC-4955-B30C-43EE216BE806}"/>
    <hyperlink ref="O7" r:id="rId18" display="매뉴얼BODY(집행단계-첨부폴더)v8\8.전기분야\6_관제 및 운영사 인터페이스 협의\체크리스트\관제 및 운영사 인터페이스 협의_체크리스트.html" xr:uid="{89427D50-34B4-4A6B-8C29-A66CC205A8D1}"/>
    <hyperlink ref="K8" r:id="rId19" display="매뉴얼BODY(집행단계-첨부폴더)v8\8.전기분야\7_발주처 품질 요구사항 검토\표준서\발주처 품질 요구사항 검토_표준서.html" xr:uid="{53935753-F389-400F-909D-800841BD4D87}"/>
    <hyperlink ref="M8" r:id="rId20" display="매뉴얼BODY(집행단계-첨부폴더)v8\8.전기분야\7_발주처 품질 요구사항 검토\수행지침\발주처 품질 요구사항 검토_수행지침.html" xr:uid="{E51D49F4-CACA-435B-80B6-3D1CEB1DE4C4}"/>
    <hyperlink ref="O8" r:id="rId21" display="매뉴얼BODY(집행단계-첨부폴더)v8\8.전기분야\7_발주처 품질 요구사항 검토\체크리스트\발주처 품질 요구사항 검토_체크리스트.html" xr:uid="{5FB033F3-E045-49E2-8A6B-C41C3BEE8B1F}"/>
    <hyperlink ref="K9" r:id="rId22" display="매뉴얼BODY(집행단계-첨부폴더)v8\8.전기분야\8_자재 _ 인원 _ 장비 등 투입 사전 검토\표준서\자재 _ 인원 _ 장비 등 투입 사전 검토_표준서.html" xr:uid="{8E5AC5B6-389E-439D-BBDC-F57FF1EB563B}"/>
    <hyperlink ref="M9" r:id="rId23" display="매뉴얼BODY(집행단계-첨부폴더)v8\8.전기분야\8_자재 _ 인원 _ 장비 등 투입 사전 검토\수행지침\자재 _ 인원 _ 장비 등 투입 사전 검토_수행지침.html" xr:uid="{BEFA71F2-58FD-43B3-AB3B-D9EE384FFC18}"/>
    <hyperlink ref="O9" r:id="rId24" display="매뉴얼BODY(집행단계-첨부폴더)v8\8.전기분야\8_자재 _ 인원 _ 장비 등 투입 사전 검토\체크리스트\자재 _ 인원 _ 장비 등 투입 사전 검토_체크리스트.html" xr:uid="{2257496F-D30F-4A29-B7BF-582039E31346}"/>
    <hyperlink ref="K10" r:id="rId25" display="매뉴얼BODY(집행단계-첨부폴더)v8\8.전기분야\9_인허가 준비\표준서\인허가 준비_표준서.html" xr:uid="{11480095-986F-426D-A870-580D1025294E}"/>
    <hyperlink ref="M10" r:id="rId26" display="매뉴얼BODY(집행단계-첨부폴더)v8\8.전기분야\9_인허가 준비\수행지침\인허가 준비_수행지침.html" xr:uid="{38C3D689-B09A-494E-A003-BE1DC1DE2EEC}"/>
    <hyperlink ref="O10" r:id="rId27" display="매뉴얼BODY(집행단계-첨부폴더)v8\8.전기분야\9_인허가 준비\체크리스트\인허가 준비_체크리스트.html" xr:uid="{0DD85F7F-DE42-4EA4-99A0-F1C2F32936D1}"/>
    <hyperlink ref="K11" r:id="rId28" display="매뉴얼BODY(집행단계-첨부폴더)v8\8.전기분야\10_착수 전 Big Room 회의\표준서\착수 전 Big Room 회의_표준서.html" xr:uid="{7638FBC0-F41A-48D1-A29D-045BF915544D}"/>
    <hyperlink ref="M11" r:id="rId29" display="매뉴얼BODY(집행단계-첨부폴더)v8\8.전기분야\10_착수 전 Big Room 회의\수행지침\착수 전 Big Room 회의_수행지침.html" xr:uid="{8B8E85BB-0FB1-4612-9A64-8C5DA6E104B5}"/>
    <hyperlink ref="O11" r:id="rId30" display="매뉴얼BODY(집행단계-첨부폴더)v8\8.전기분야\10_착수 전 Big Room 회의\체크리스트\착수 전 Big Room 회의_체크리스트.html" xr:uid="{B452AFE9-1AAB-4455-BC70-83F75F47AE1C}"/>
    <hyperlink ref="K12" r:id="rId31" display="매뉴얼BODY(집행단계-첨부폴더)v8\8.전기분야\11_전기설비 제작 사양서 작성 _ 승인\표준서\전기설비 제작 사양서 작성 _ 승인_표준서.html" xr:uid="{C8D852F2-25BD-42D2-BEDE-1943C03EB76A}"/>
    <hyperlink ref="M12" r:id="rId32" display="매뉴얼BODY(집행단계-첨부폴더)v8\8.전기분야\11_전기설비 제작 사양서 작성 _ 승인\수행지침\전기설비 제작 사양서 작성 _ 승인_수행지침.html" xr:uid="{19183D2C-D1D2-4281-96D9-447FBFDA2D8D}"/>
    <hyperlink ref="O12" r:id="rId33" display="매뉴얼BODY(집행단계-첨부폴더)v8\8.전기분야\11_전기설비 제작 사양서 작성 _ 승인\체크리스트\전기설비 제작 사양서 작성 _ 승인_체크리스트.html" xr:uid="{A03BB5B0-7C18-45DF-A33C-57D33A451295}"/>
    <hyperlink ref="K13" r:id="rId34" display="매뉴얼BODY(집행단계-첨부폴더)v8\8.전기분야\12_시공 계획 수립 _ 승인\표준서\시공 계획 수립 _ 승인_표준서.html" xr:uid="{B00D83CA-5D1E-4D16-82AF-4B4661990CE2}"/>
    <hyperlink ref="M13" r:id="rId35" display="매뉴얼BODY(집행단계-첨부폴더)v8\8.전기분야\12_시공 계획 수립 _ 승인\수행지침\시공 계획 수립 _ 승인_수행지침.html" xr:uid="{CAA8469C-78B4-438A-AF2C-CF1F9AE79FD5}"/>
    <hyperlink ref="O13" r:id="rId36" display="매뉴얼BODY(집행단계-첨부폴더)v8\8.전기분야\12_시공 계획 수립 _ 승인\체크리스트\시공 계획 수립 _ 승인_체크리스트.html" xr:uid="{A3831D61-BA35-4F82-A59D-93BF0628CD08}"/>
    <hyperlink ref="K14" r:id="rId37" display="매뉴얼BODY(집행단계-첨부폴더)v8\8.전기분야\13_자재공급원_기자재 제작도서 승인\표준서\자재공급원_기자재 제작도서 승인_표준서.html" xr:uid="{37C8C728-3718-4AC8-A94C-EF3EA583DC1D}"/>
    <hyperlink ref="M14" r:id="rId38" display="매뉴얼BODY(집행단계-첨부폴더)v8\8.전기분야\13_자재공급원_기자재 제작도서 승인\수행지침\자재공급원_기자재 제작도서 승인_수행지침.html" xr:uid="{8B03A5E1-84DA-47FD-8C3F-074D05C32832}"/>
    <hyperlink ref="O14" r:id="rId39" display="매뉴얼BODY(집행단계-첨부폴더)v8\8.전기분야\13_자재공급원_기자재 제작도서 승인\체크리스트\자재공급원_기자재 제작도서 승인_체크리스트.html" xr:uid="{8BA7A588-1E2F-4A7F-AB37-BD8182BC9F2C}"/>
    <hyperlink ref="K15" r:id="rId40" display="매뉴얼BODY(집행단계-첨부폴더)v8\8.전기분야\14_전기설비 공정제작 _ 제작사 공장검사\표준서\전기설비 공정제작 _ 제작사 공장검사_표준서.html" xr:uid="{E9265759-F49D-4A13-8F33-D93933FB9541}"/>
    <hyperlink ref="M15" r:id="rId41" display="매뉴얼BODY(집행단계-첨부폴더)v8\8.전기분야\14_전기설비 공정제작 _ 제작사 공장검사\수행지침\전기설비 공정제작 _ 제작사 공장검사_수행지침.html" xr:uid="{4BFF081D-941F-441E-9A83-7CEBE66D40A0}"/>
    <hyperlink ref="O15" r:id="rId42" display="매뉴얼BODY(집행단계-첨부폴더)v8\8.전기분야\14_전기설비 공정제작 _ 제작사 공장검사\체크리스트\전기설비 공정제작 _ 제작사 공장검사_체크리스트.html" xr:uid="{D3BD551D-4172-4AAD-A58C-0D7198C5A832}"/>
    <hyperlink ref="K16" r:id="rId43" display="매뉴얼BODY(집행단계-첨부폴더)v8\8.전기분야\15_본공사 전 선행공정 인수인계 점검\표준서\본공사 전 선행공정 인수인계 점검_표준서.html" xr:uid="{665C72BA-B673-4A3F-857B-C197304071FE}"/>
    <hyperlink ref="M16" r:id="rId44" display="매뉴얼BODY(집행단계-첨부폴더)v8\8.전기분야\15_본공사 전 선행공정 인수인계 점검\수행지침\본공사 전 선행공정 인수인계 점검_수행지침.html" xr:uid="{BBECAF69-39DE-481F-882B-42BA37AE6579}"/>
    <hyperlink ref="O16" r:id="rId45" display="매뉴얼BODY(집행단계-첨부폴더)v8\8.전기분야\15_본공사 전 선행공정 인수인계 점검\체크리스트\본공사 전 선행공정 인수인계 점검_체크리스트.html" xr:uid="{BFFF3168-82FF-4692-B1CD-C53B2D42A5C3}"/>
    <hyperlink ref="K17" r:id="rId46" display="매뉴얼BODY(집행단계-첨부폴더)v8\8.전기분야\16_장비반입 및 안전교육\표준서\장비반입 및 안전교육_표준서.html" xr:uid="{36F6D2BC-8485-4BAA-A631-223616E3435F}"/>
    <hyperlink ref="M17" r:id="rId47" display="매뉴얼BODY(집행단계-첨부폴더)v8\8.전기분야\16_장비반입 및 안전교육\수행지침\장비반입 및 안전교육_수행지침.html" xr:uid="{91322A1A-7832-4B55-A990-C84B31B06938}"/>
    <hyperlink ref="O17" r:id="rId48" display="매뉴얼BODY(집행단계-첨부폴더)v8\8.전기분야\16_장비반입 및 안전교육\체크리스트\장비반입 및 안전교육_체크리스트.html" xr:uid="{1DEFEAC8-A44D-4176-B158-58B196F081A3}"/>
    <hyperlink ref="K18" r:id="rId49" display="매뉴얼BODY(집행단계-첨부폴더)v8\8.전기분야\17_자재 반입 및 검수\표준서\자재 반입 및 검수_표준서.html" xr:uid="{54167B3E-8F5F-4D52-B111-D813932E17C2}"/>
    <hyperlink ref="M18" r:id="rId50" display="매뉴얼BODY(집행단계-첨부폴더)v8\8.전기분야\17_자재 반입 및 검수\수행지침\자재 반입 및 검수_수행지침.html" xr:uid="{8D9E402E-337C-48A8-9B43-8913F3AD0228}"/>
    <hyperlink ref="O18" r:id="rId51" display="매뉴얼BODY(집행단계-첨부폴더)v8\8.전기분야\17_자재 반입 및 검수\체크리스트\자재 반입 및 검수_체크리스트.html" xr:uid="{09361F9A-B6DC-4AB3-8A9F-9B8FB0634491}"/>
    <hyperlink ref="K19" r:id="rId52" display="매뉴얼BODY(집행단계-첨부폴더)v8\8.전기분야\18_전철전력설비 반입 및 설치\표준서\전철전력설비 반입 및 설치_표준서.html" xr:uid="{1CAC068B-ADFC-4F08-90C5-DF64AA100967}"/>
    <hyperlink ref="M19" r:id="rId53" display="매뉴얼BODY(집행단계-첨부폴더)v8\8.전기분야\18_전철전력설비 반입 및 설치\수행지침\전철전력설비 반입 및 설치_수행지침.html" xr:uid="{D8FED5C3-4EA3-491B-840B-0883A484B3C3}"/>
    <hyperlink ref="O19" r:id="rId54" display="매뉴얼BODY(집행단계-첨부폴더)v8\8.전기분야\18_전철전력설비 반입 및 설치\체크리스트\전철전력설비 반입 및 설치_체크리스트.html" xr:uid="{72FBEABD-9F1C-4FD4-A855-2E7C36E2C735}"/>
    <hyperlink ref="K20" r:id="rId55" display="매뉴얼BODY(집행단계-첨부폴더)v8\8.전기분야\19_수전용 케이블 트레이 및 케이블 포설\표준서\수전용 케이블 트레이 및 케이블 포설_표준서.html" xr:uid="{4E9F3EA2-628A-4262-8D49-1D2A0EC2CF45}"/>
    <hyperlink ref="M20" r:id="rId56" display="매뉴얼BODY(집행단계-첨부폴더)v8\8.전기분야\19_수전용 케이블 트레이 및 케이블 포설\수행지침\수전용 케이블 트레이 및 케이블 포설_수행지침.html" xr:uid="{E24AEC3D-A409-4153-B574-4EAD030077C5}"/>
    <hyperlink ref="O20" r:id="rId57" display="매뉴얼BODY(집행단계-첨부폴더)v8\8.전기분야\19_수전용 케이블 트레이 및 케이블 포설\체크리스트\수전용 케이블 트레이 및 케이블 포설_체크리스트.html" xr:uid="{E922B843-E80A-48A3-96A3-DF18D9483047}"/>
    <hyperlink ref="K21" r:id="rId58" display="매뉴얼BODY(집행단계-첨부폴더)v8\8.전기분야\20_수전 및 전기공급(급전)\표준서\수전 및 전기공급(급전)_표준서.html" xr:uid="{46B6D5CE-BFC2-4EB8-9B4C-E414CB3943D2}"/>
    <hyperlink ref="M21" r:id="rId59" display="매뉴얼BODY(집행단계-첨부폴더)v8\8.전기분야\20_수전 및 전기공급(급전)\수행지침\수전 및 전기공급(급전)_수행지침.html" xr:uid="{291F8DFF-EDFA-41A2-BB11-02243043D93A}"/>
    <hyperlink ref="O21" r:id="rId60" display="매뉴얼BODY(집행단계-첨부폴더)v8\8.전기분야\20_수전 및 전기공급(급전)\체크리스트\수전 및 전기공급(급전)_체크리스트.html" xr:uid="{5DE6ABA1-4EEC-406C-A17C-1F110EFCB99E}"/>
    <hyperlink ref="K22" r:id="rId61" display="매뉴얼BODY(집행단계-첨부폴더)v8\8.전기분야\21_종합연동시험(SCADA) 실시\표준서\종합연동시험(SCADA) 실시_표준서.html" xr:uid="{881539F0-A589-454A-98B0-BF6B43C79C0B}"/>
    <hyperlink ref="M22" r:id="rId62" display="매뉴얼BODY(집행단계-첨부폴더)v8\8.전기분야\21_종합연동시험(SCADA) 실시\수행지침\종합연동시험(SCADA) 실시_수행지침.html" xr:uid="{D42238B1-E80A-4154-90CD-B8EFC7D63088}"/>
    <hyperlink ref="O22" r:id="rId63" display="매뉴얼BODY(집행단계-첨부폴더)v8\8.전기분야\21_종합연동시험(SCADA) 실시\체크리스트\종합연동시험(SCADA) 실시_체크리스트.html" xr:uid="{69965FE2-D55A-46DE-A358-FCEE04CD97F2}"/>
    <hyperlink ref="K23" r:id="rId64" display="매뉴얼BODY(집행단계-첨부폴더)v8\8.전기분야\22_공종별 시험\표준서\공종별 시험_표준서.html" xr:uid="{6480CD3F-72DA-4C5B-A8AA-5A418D78FF3E}"/>
    <hyperlink ref="M23" r:id="rId65" display="매뉴얼BODY(집행단계-첨부폴더)v8\8.전기분야\22_공종별 시험\수행지침\공종별 시험_수행지침.html" xr:uid="{BA7F0762-6C57-4B8B-85FD-07C6CA445696}"/>
    <hyperlink ref="O23" r:id="rId66" display="매뉴얼BODY(집행단계-첨부폴더)v8\8.전기분야\22_공종별 시험\체크리스트\공종별 시험_체크리스트.html" xr:uid="{644FC87C-36EE-4713-BF83-AFED134E0637}"/>
    <hyperlink ref="K24" r:id="rId67" display="매뉴얼BODY(집행단계-첨부폴더)v8\8.전기분야\23_차량 투입 전 점검\표준서\차량 투입 전 점검_표준서.html" xr:uid="{7FA1B250-0921-45D4-80DA-10F50F0A442B}"/>
    <hyperlink ref="M24" r:id="rId68" display="매뉴얼BODY(집행단계-첨부폴더)v8\8.전기분야\23_차량 투입 전 점검\수행지침\차량 투입 전 점검_수행지침.html" xr:uid="{CABEAEE0-9042-424C-B8F2-AC1DCB5B0E46}"/>
    <hyperlink ref="O24" r:id="rId69" display="매뉴얼BODY(집행단계-첨부폴더)v8\8.전기분야\23_차량 투입 전 점검\체크리스트\차량 투입 전 점검_체크리스트.html" xr:uid="{261712BB-4CB7-4AAB-8756-66D4BFF58070}"/>
    <hyperlink ref="K25" r:id="rId70" display="매뉴얼BODY(집행단계-첨부폴더)v8\8.전기분야\24_차량 시운전\표준서\차량 시운전_표준서.html" xr:uid="{51AAC5A3-E9E5-4703-9A1C-578629E5703D}"/>
    <hyperlink ref="M25" r:id="rId71" display="매뉴얼BODY(집행단계-첨부폴더)v8\8.전기분야\24_차량 시운전\수행지침\차량 시운전_수행지침.html" xr:uid="{1E95C1EA-96B2-4906-9B27-32732A25C911}"/>
    <hyperlink ref="O25" r:id="rId72" display="매뉴얼BODY(집행단계-첨부폴더)v8\8.전기분야\24_차량 시운전\체크리스트\차량 시운전_체크리스트.html" xr:uid="{57ACBF4D-C708-422B-9D85-C5789EA4BFC0}"/>
    <hyperlink ref="K26" r:id="rId73" display="매뉴얼BODY(집행단계-첨부폴더)v8\8.전기분야\25_운영자 교육시행\표준서\운영자 교육시행_표준서.html" xr:uid="{084EA989-F12F-4030-A5AC-B870E83CFF44}"/>
    <hyperlink ref="M26" r:id="rId74" display="매뉴얼BODY(집행단계-첨부폴더)v8\8.전기분야\25_운영자 교육시행\수행지침\운영자 교육시행_수행지침.html" xr:uid="{390159E3-3F34-4B77-8E4A-C53419BF1CB4}"/>
    <hyperlink ref="O26" r:id="rId75" display="매뉴얼BODY(집행단계-첨부폴더)v8\8.전기분야\25_운영자 교육시행\체크리스트\운영자 교육시행_체크리스트.html" xr:uid="{F1C9CDF0-720A-4A54-9BD7-9E0768B17CEE}"/>
    <hyperlink ref="K27" r:id="rId76" display="매뉴얼BODY(집행단계-첨부폴더)v8\8.전기분야\26_사전점검\표준서\사전점검_표준서.html" xr:uid="{9DAC5828-41D8-4D68-8722-C892B57DF060}"/>
    <hyperlink ref="M27" r:id="rId77" display="매뉴얼BODY(집행단계-첨부폴더)v8\8.전기분야\26_사전점검\수행지침\사전점검_수행지침.html" xr:uid="{A5E33B86-3ED9-4D74-92C9-F2E87578D361}"/>
    <hyperlink ref="O27" r:id="rId78" display="매뉴얼BODY(집행단계-첨부폴더)v8\8.전기분야\26_사전점검\체크리스트\사전점검_체크리스트.html" xr:uid="{F12C2200-D129-4288-BA80-8C209CE94AB4}"/>
    <hyperlink ref="K28" r:id="rId79" display="매뉴얼BODY(집행단계-첨부폴더)v8\8.전기분야\27_시설물 검증시험\표준서\시설물 검증시험_표준서.html" xr:uid="{1AA0E521-BF25-4F78-9E43-46B5E9114DF1}"/>
    <hyperlink ref="M28" r:id="rId80" display="매뉴얼BODY(집행단계-첨부폴더)v8\8.전기분야\27_시설물 검증시험\수행지침\시설물 검증시험_수행지침.html" xr:uid="{66525739-2EB5-4840-9A53-890BCCFB014F}"/>
    <hyperlink ref="O28" r:id="rId81" display="매뉴얼BODY(집행단계-첨부폴더)v8\8.전기분야\27_시설물 검증시험\체크리스트\시설물 검증시험_체크리스트.html" xr:uid="{19571BF4-FE41-42C5-833C-CDB491C5BB67}"/>
    <hyperlink ref="K29" r:id="rId82" display="매뉴얼BODY(집행단계-첨부폴더)v8\8.전기분야\28_영업시운전\표준서\영업시운전_표준서.html" xr:uid="{CA3A8318-2F5E-4A24-89FD-6ADB322F9260}"/>
    <hyperlink ref="M29" r:id="rId83" display="매뉴얼BODY(집행단계-첨부폴더)v8\8.전기분야\28_영업시운전\수행지침\영업시운전_수행지침.html" xr:uid="{B1BA979C-D00A-42B2-9D6D-58C330BA9F2B}"/>
    <hyperlink ref="O29" r:id="rId84" display="매뉴얼BODY(집행단계-첨부폴더)v8\8.전기분야\28_영업시운전\체크리스트\영업시운전_체크리스트.html" xr:uid="{2F14B85F-343D-499D-BBC1-617DADCA25FC}"/>
    <hyperlink ref="K30" r:id="rId85" display="매뉴얼BODY(집행단계-첨부폴더)v8\8.전기분야\29_전기 사용신청\표준서\전기 사용신청_표준서.html" xr:uid="{ADA05EB2-5AE3-4A40-B53F-4FB3DCD86A44}"/>
    <hyperlink ref="M30" r:id="rId86" display="매뉴얼BODY(집행단계-첨부폴더)v8\8.전기분야\29_전기 사용신청\수행지침\전기 사용신청_수행지침.html" xr:uid="{AD548ED7-8E0B-4217-856B-0CAE0D9D24CD}"/>
    <hyperlink ref="O30" r:id="rId87" display="매뉴얼BODY(집행단계-첨부폴더)v8\8.전기분야\29_전기 사용신청\체크리스트\전기 사용신청_체크리스트.html" xr:uid="{32E7B5A3-5622-431E-B807-BB06C3FA9F96}"/>
    <hyperlink ref="K31" r:id="rId88" display="매뉴얼BODY(집행단계-첨부폴더)v8\8.전기분야\30_공사계획신고\표준서\공사계획신고_표준서.html" xr:uid="{2AE7355E-1B74-4A40-97F4-B4CD53666136}"/>
    <hyperlink ref="M31" r:id="rId89" display="매뉴얼BODY(집행단계-첨부폴더)v8\8.전기분야\30_공사계획신고\수행지침\공사계획신고_수행지침.html" xr:uid="{6CF8BDC8-84BA-4C12-96B1-A49524C61260}"/>
    <hyperlink ref="O31" r:id="rId90" display="매뉴얼BODY(집행단계-첨부폴더)v8\8.전기분야\30_공사계획신고\체크리스트\공사계획신고_체크리스트.html" xr:uid="{5CBBBB3F-D593-4543-ACCB-C9FDB5822C35}"/>
    <hyperlink ref="K32" r:id="rId91" display="매뉴얼BODY(집행단계-첨부폴더)v8\8.전기분야\31_전차선로 적합성 검증\표준서\전차선로 적합성 검증_표준서.html" xr:uid="{34A35A4C-70AF-4AF1-9B0F-66AF5682BA8C}"/>
    <hyperlink ref="M32" r:id="rId92" display="매뉴얼BODY(집행단계-첨부폴더)v8\8.전기분야\31_전차선로 적합성 검증\수행지침\전차선로 적합성 검증_수행지침.html" xr:uid="{14576F6E-9898-4C5C-89A5-E77B379EDF63}"/>
    <hyperlink ref="O32" r:id="rId93" display="매뉴얼BODY(집행단계-첨부폴더)v8\8.전기분야\31_전차선로 적합성 검증\체크리스트\전차선로 적합성 검증_체크리스트.html" xr:uid="{CEBE406B-504F-4DB0-A3F1-818E8D311807}"/>
    <hyperlink ref="K33" r:id="rId94" display="매뉴얼BODY(집행단계-첨부폴더)v8\8.전기분야\32_전기 사용전검사 (전력_전차선_송변전)\표준서\전기 사용전검사 (전력_전차선_송변전)_표준서.html" xr:uid="{58F56F0E-BD99-4B97-8E6B-B41F08DCC841}"/>
    <hyperlink ref="M33" r:id="rId95" display="매뉴얼BODY(집행단계-첨부폴더)v8\8.전기분야\32_전기 사용전검사 (전력_전차선_송변전)\수행지침\전기 사용전검사 (전력_전차선_송변전)_수행지침.html" xr:uid="{89D60493-74DA-4B2C-ACAA-132CE081271E}"/>
    <hyperlink ref="O33" r:id="rId96" display="매뉴얼BODY(집행단계-첨부폴더)v8\8.전기분야\32_전기 사용전검사 (전력_전차선_송변전)\체크리스트\전기 사용전검사 (전력_전차선_송변전)_체크리스트.html" xr:uid="{6ABB91DF-FB35-4D88-93C7-C5C23B2B79F3}"/>
  </hyperlinks>
  <printOptions horizontalCentered="1"/>
  <pageMargins left="0.74803149606299213" right="0.74803149606299213" top="0.98425196850393704" bottom="0.98425196850393704" header="0.51181102362204722" footer="0.51181102362204722"/>
  <pageSetup paperSize="8" scale="37" orientation="landscape" verticalDpi="0" r:id="rId97"/>
  <rowBreaks count="1" manualBreakCount="1">
    <brk id="28" max="1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view="pageBreakPreview" topLeftCell="A13" zoomScale="115" zoomScaleNormal="85" zoomScaleSheetLayoutView="115" workbookViewId="0">
      <selection activeCell="M25" sqref="M25"/>
    </sheetView>
  </sheetViews>
  <sheetFormatPr defaultRowHeight="17.399999999999999" x14ac:dyDescent="0.4"/>
  <sheetData/>
  <phoneticPr fontId="3" type="noConversion"/>
  <printOptions horizontalCentered="1"/>
  <pageMargins left="0.70866141732283472" right="0.70866141732283472" top="0.74803149606299213" bottom="0.74803149606299213" header="0.31496062992125978" footer="0.31496062992125978"/>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14</vt:i4>
      </vt:variant>
    </vt:vector>
  </HeadingPairs>
  <TitlesOfParts>
    <vt:vector size="27" baseType="lpstr">
      <vt:lpstr>대시보드</vt:lpstr>
      <vt:lpstr>공정매뉴얼</vt:lpstr>
      <vt:lpstr>지반조사</vt:lpstr>
      <vt:lpstr>지반조사(원본서식)</vt:lpstr>
      <vt:lpstr>사전토공사</vt:lpstr>
      <vt:lpstr>지장물이설</vt:lpstr>
      <vt:lpstr>상부강화노반</vt:lpstr>
      <vt:lpstr>콘크리트도상</vt:lpstr>
      <vt:lpstr>건축</vt:lpstr>
      <vt:lpstr>신호</vt:lpstr>
      <vt:lpstr>통신</vt:lpstr>
      <vt:lpstr>전기</vt:lpstr>
      <vt:lpstr>GUIDE</vt:lpstr>
      <vt:lpstr>건축!Print_Area</vt:lpstr>
      <vt:lpstr>공정매뉴얼!Print_Area</vt:lpstr>
      <vt:lpstr>사전토공사!Print_Area</vt:lpstr>
      <vt:lpstr>상부강화노반!Print_Area</vt:lpstr>
      <vt:lpstr>신호!Print_Area</vt:lpstr>
      <vt:lpstr>전기!Print_Area</vt:lpstr>
      <vt:lpstr>지장물이설!Print_Area</vt:lpstr>
      <vt:lpstr>콘크리트도상!Print_Area</vt:lpstr>
      <vt:lpstr>통신!Print_Area</vt:lpstr>
      <vt:lpstr>공정매뉴얼!Print_Titles</vt:lpstr>
      <vt:lpstr>사전토공사!Print_Titles</vt:lpstr>
      <vt:lpstr>신호!Print_Titles</vt:lpstr>
      <vt:lpstr>지장물이설!Print_Titles</vt:lpstr>
      <vt:lpstr>콘크리트도상!Print_Titles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2026-07-25T07:01:45Z</cp:lastPrinted>
  <dcterms:created xsi:type="dcterms:W3CDTF">2026-07-17T08:07:08Z</dcterms:created>
  <dcterms:modified xsi:type="dcterms:W3CDTF">2026-08-14T10:29:27Z</dcterms:modified>
</cp:coreProperties>
</file>