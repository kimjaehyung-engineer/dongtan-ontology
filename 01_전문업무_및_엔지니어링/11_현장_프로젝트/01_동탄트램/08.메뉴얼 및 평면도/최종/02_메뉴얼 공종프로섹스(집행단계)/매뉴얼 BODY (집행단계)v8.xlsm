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현재_통합_문서"/>
  <bookViews>
    <workbookView visibility="visible" minimized="0" showHorizontalScroll="1" showVerticalScroll="1" showSheetTabs="1" xWindow="-108" yWindow="-108" windowWidth="23256" windowHeight="12456" tabRatio="771" firstSheet="0" activeTab="1" autoFilterDateGrouping="1"/>
  </bookViews>
  <sheets>
    <sheet xmlns:r="http://schemas.openxmlformats.org/officeDocument/2006/relationships" name="대시보드" sheetId="1" state="visible" r:id="rId1"/>
    <sheet xmlns:r="http://schemas.openxmlformats.org/officeDocument/2006/relationships" name="공정매뉴얼" sheetId="2" state="visible" r:id="rId2"/>
    <sheet xmlns:r="http://schemas.openxmlformats.org/officeDocument/2006/relationships" name="지반조사" sheetId="3" state="visible" r:id="rId3"/>
    <sheet xmlns:r="http://schemas.openxmlformats.org/officeDocument/2006/relationships" name="지반조사(원본서식)" sheetId="4" state="visible" r:id="rId4"/>
    <sheet xmlns:r="http://schemas.openxmlformats.org/officeDocument/2006/relationships" name="사전토공사" sheetId="5" state="visible" r:id="rId5"/>
    <sheet xmlns:r="http://schemas.openxmlformats.org/officeDocument/2006/relationships" name="지장물이설" sheetId="6" state="visible" r:id="rId6"/>
    <sheet xmlns:r="http://schemas.openxmlformats.org/officeDocument/2006/relationships" name="상부강화노반" sheetId="7" state="visible" r:id="rId7"/>
    <sheet xmlns:r="http://schemas.openxmlformats.org/officeDocument/2006/relationships" name="콘크리트도상" sheetId="8" state="visible" r:id="rId8"/>
    <sheet xmlns:r="http://schemas.openxmlformats.org/officeDocument/2006/relationships" name="건축" sheetId="9" state="visible" r:id="rId9"/>
    <sheet xmlns:r="http://schemas.openxmlformats.org/officeDocument/2006/relationships" name="신호" sheetId="10" state="visible" r:id="rId10"/>
    <sheet xmlns:r="http://schemas.openxmlformats.org/officeDocument/2006/relationships" name="통신" sheetId="11" state="visible" r:id="rId11"/>
    <sheet xmlns:r="http://schemas.openxmlformats.org/officeDocument/2006/relationships" name="전기" sheetId="12" state="visible" r:id="rId12"/>
    <sheet xmlns:r="http://schemas.openxmlformats.org/officeDocument/2006/relationships" name="GUIDE" sheetId="13" state="visible" r:id="rId13"/>
  </sheets>
  <definedNames>
    <definedName name="_xlnm._FilterDatabase" localSheetId="1" hidden="1">'공정매뉴얼'!$A$3:$P$88</definedName>
    <definedName name="_xlnm.Print_Titles" localSheetId="1">'공정매뉴얼'!$3:$3</definedName>
    <definedName name="_xlnm.Print_Area" localSheetId="1">'공정매뉴얼'!$A$1:$I$80</definedName>
    <definedName name="_xlnm.Print_Titles" localSheetId="4">'사전토공사'!$1:$1</definedName>
    <definedName name="_xlnm.Print_Area" localSheetId="4">'사전토공사'!$A$1:$Q$31</definedName>
    <definedName name="_xlnm.Print_Titles" localSheetId="5">'지장물이설'!$1:$1</definedName>
    <definedName name="_xlnm.Print_Area" localSheetId="5">'지장물이설'!$A$1:$Q$39</definedName>
    <definedName name="_xlnm.Print_Area" localSheetId="6">'상부강화노반'!$A$1:$Q$37</definedName>
    <definedName name="_xlnm.Print_Titles" localSheetId="7">'콘크리트도상'!$1:$1</definedName>
    <definedName name="_xlnm.Print_Area" localSheetId="7">'콘크리트도상'!$A$1:$P$24</definedName>
    <definedName name="_xlnm.Print_Area" localSheetId="8">'건축'!$A$1:$P$51</definedName>
    <definedName name="_xlnm.Print_Titles" localSheetId="9">'신호'!$1:$1</definedName>
    <definedName name="_xlnm.Print_Area" localSheetId="9">'신호'!$A$1:$P$23</definedName>
    <definedName name="_xlnm.Print_Area" localSheetId="10">'통신'!$A$1:$P$33</definedName>
    <definedName name="_xlnm.Print_Area" localSheetId="11">'전기'!$A$1:$P$33</definedName>
  </definedNames>
  <calcPr calcId="191029" fullCalcOnLoad="1"/>
</workbook>
</file>

<file path=xl/styles.xml><?xml version="1.0" encoding="utf-8"?>
<styleSheet xmlns="http://schemas.openxmlformats.org/spreadsheetml/2006/main">
  <numFmts count="1">
    <numFmt numFmtId="164" formatCode="0.0%"/>
  </numFmts>
  <fonts count="35">
    <font>
      <name val="맑은 고딕"/>
      <family val="2"/>
      <color theme="1"/>
      <sz val="11"/>
      <scheme val="minor"/>
    </font>
    <font>
      <name val="맑은 고딕"/>
      <charset val="129"/>
      <family val="3"/>
      <sz val="9"/>
    </font>
    <font>
      <name val="맑은 고딕"/>
      <charset val="129"/>
      <family val="3"/>
      <b val="1"/>
      <color rgb="FF7F6000"/>
      <sz val="10"/>
    </font>
    <font>
      <name val="맑은 고딕"/>
      <charset val="129"/>
      <family val="3"/>
      <sz val="8"/>
      <scheme val="minor"/>
    </font>
    <font>
      <name val="맑은 고딕"/>
      <charset val="129"/>
      <family val="3"/>
      <b val="1"/>
      <color rgb="FFFFFFFF"/>
      <sz val="13"/>
    </font>
    <font>
      <name val="맑은 고딕"/>
      <charset val="129"/>
      <family val="3"/>
      <b val="1"/>
      <color rgb="FFFFFFFF"/>
      <sz val="12"/>
    </font>
    <font>
      <name val="맑은 고딕"/>
      <charset val="129"/>
      <family val="3"/>
      <color theme="1"/>
      <sz val="12"/>
      <scheme val="minor"/>
    </font>
    <font>
      <name val="맑은 고딕"/>
      <charset val="129"/>
      <family val="3"/>
      <sz val="12"/>
    </font>
    <font>
      <name val="맑은 고딕"/>
      <charset val="129"/>
      <family val="3"/>
      <color rgb="FF000000"/>
      <sz val="10"/>
    </font>
    <font>
      <name val="맑은 고딕"/>
      <charset val="129"/>
      <family val="3"/>
      <b val="1"/>
      <color rgb="FFFFFFFF"/>
      <sz val="10"/>
    </font>
    <font>
      <name val="맑은 고딕"/>
      <charset val="129"/>
      <family val="3"/>
      <b val="1"/>
      <color rgb="FF0000FF"/>
      <sz val="9"/>
      <u val="single"/>
    </font>
    <font>
      <name val="맑은 고딕"/>
      <charset val="129"/>
      <family val="3"/>
      <b val="1"/>
      <color rgb="FF0000FF"/>
      <sz val="12"/>
      <u val="single"/>
    </font>
    <font>
      <name val="맑은 고딕"/>
      <charset val="129"/>
      <family val="2"/>
      <b val="1"/>
      <color rgb="FF0000FF"/>
      <sz val="9"/>
      <u val="single"/>
    </font>
    <font>
      <name val="Arial"/>
      <family val="2"/>
      <color rgb="FF1F1F1F"/>
      <sz val="11"/>
    </font>
    <font>
      <name val="Arial"/>
      <family val="2"/>
      <b val="1"/>
      <color rgb="FF1F1F1F"/>
      <sz val="11"/>
    </font>
    <font>
      <name val="Arial"/>
      <family val="2"/>
      <b val="1"/>
      <color rgb="FF1F1F1F"/>
      <sz val="18"/>
    </font>
    <font>
      <name val="맑은 고딕"/>
      <charset val="129"/>
      <family val="3"/>
      <color rgb="FFFF0000"/>
      <sz val="11"/>
      <scheme val="minor"/>
    </font>
    <font>
      <name val="맑은 고딕"/>
      <charset val="129"/>
      <family val="3"/>
      <color theme="1"/>
      <sz val="11"/>
      <scheme val="minor"/>
    </font>
    <font>
      <name val="맑은 고딕"/>
      <family val="2"/>
      <color rgb="FFFF0000"/>
      <sz val="11"/>
      <scheme val="minor"/>
    </font>
    <font>
      <name val="맑은 고딕"/>
      <charset val="129"/>
      <family val="3"/>
      <b val="1"/>
      <color rgb="FFFFFFFF"/>
      <sz val="15"/>
    </font>
    <font>
      <name val="맑은 고딕"/>
      <charset val="129"/>
      <family val="3"/>
      <b val="1"/>
      <color rgb="FF0F2043"/>
      <sz val="11"/>
    </font>
    <font>
      <name val="맑은 고딕"/>
      <charset val="129"/>
      <family val="3"/>
      <b val="1"/>
      <color rgb="FF0F2043"/>
      <sz val="13"/>
    </font>
    <font>
      <name val="맑은 고딕"/>
      <charset val="129"/>
      <family val="3"/>
      <b val="1"/>
      <color rgb="FF0F2043"/>
      <sz val="12"/>
    </font>
    <font>
      <name val="맑은 고딕"/>
      <charset val="129"/>
      <family val="3"/>
      <b val="1"/>
      <color rgb="FFFFFFFF"/>
      <sz val="10"/>
    </font>
    <font>
      <name val="맑은 고딕"/>
      <charset val="129"/>
      <family val="3"/>
      <color rgb="FF1E293B"/>
      <sz val="9.5"/>
    </font>
    <font>
      <name val="맑은 고딕"/>
      <charset val="129"/>
      <family val="3"/>
      <b val="1"/>
      <color rgb="FF1E293B"/>
      <sz val="9.5"/>
    </font>
    <font>
      <name val="맑은 고딕"/>
      <charset val="129"/>
      <family val="3"/>
      <b val="1"/>
      <color rgb="FFFFFFFF"/>
      <sz val="9.5"/>
    </font>
    <font>
      <name val="맑은 고딕"/>
      <charset val="129"/>
      <family val="3"/>
      <b val="1"/>
      <color rgb="FF000000"/>
      <sz val="13"/>
    </font>
    <font>
      <name val="맑은 고딕"/>
      <charset val="129"/>
      <family val="3"/>
      <b val="1"/>
      <color rgb="FF000000"/>
      <sz val="9"/>
    </font>
    <font>
      <name val="맑은 고딕"/>
      <charset val="129"/>
      <family val="3"/>
      <color rgb="FF000000"/>
      <sz val="9"/>
    </font>
    <font>
      <name val="맑은 고딕"/>
      <charset val="129"/>
      <family val="3"/>
      <b val="1"/>
      <color rgb="FF0000FF"/>
      <sz val="9"/>
      <u val="single"/>
    </font>
    <font>
      <name val="맑은 고딕"/>
      <family val="2"/>
      <color theme="10"/>
      <sz val="11"/>
      <u val="single"/>
      <scheme val="minor"/>
    </font>
    <font>
      <name val="맑은 고딕"/>
      <charset val="129"/>
      <family val="3"/>
      <b val="1"/>
      <color rgb="FFFFFFFF"/>
      <sz val="10"/>
    </font>
    <font>
      <name val="맑은 고딕"/>
      <charset val="129"/>
      <family val="3"/>
      <b val="1"/>
      <color rgb="FFFFFFFF"/>
      <sz val="10"/>
    </font>
    <font>
      <name val="맑은 고딕"/>
      <color rgb="000563C1"/>
      <sz val="10"/>
      <u val="single"/>
    </font>
  </fonts>
  <fills count="21">
    <fill>
      <patternFill/>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
      <patternFill patternType="solid">
        <fgColor rgb="FF1F4E78"/>
        <bgColor rgb="FF1F4E78"/>
      </patternFill>
    </fill>
    <fill>
      <patternFill patternType="solid">
        <fgColor rgb="FF203764"/>
        <bgColor rgb="FF203764"/>
      </patternFill>
    </fill>
    <fill>
      <patternFill patternType="solid">
        <fgColor rgb="FF1E293B"/>
        <bgColor rgb="FF1E293B"/>
      </patternFill>
    </fill>
  </fills>
  <borders count="26">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
      <left style="thin">
        <color rgb="FFD9D9D9"/>
      </left>
      <right style="thin">
        <color rgb="FFD9D9D9"/>
      </right>
      <top style="thin">
        <color rgb="FFD9D9D9"/>
      </top>
      <bottom style="thin">
        <color rgb="FFD9D9D9"/>
      </bottom>
      <diagonal/>
    </border>
    <border>
      <left/>
      <right/>
      <top style="thin">
        <color rgb="FFCBD5E1"/>
      </top>
      <bottom/>
      <diagonal/>
    </border>
    <border>
      <left/>
      <right style="thin">
        <color rgb="FFCBD5E1"/>
      </right>
      <top style="thin">
        <color rgb="FFCBD5E1"/>
      </top>
      <bottom/>
      <diagonal/>
    </border>
    <border>
      <left/>
      <right/>
      <top style="thin">
        <color rgb="FFBFBFBF"/>
      </top>
      <bottom/>
      <diagonal/>
    </border>
    <border>
      <left/>
      <right style="thin">
        <color rgb="FFBFBFBF"/>
      </right>
      <top style="thin">
        <color rgb="FFBFBFBF"/>
      </top>
      <bottom/>
      <diagonal/>
    </border>
    <border>
      <left/>
      <right/>
      <top style="medium">
        <color auto="1"/>
      </top>
      <bottom/>
      <diagonal/>
    </border>
    <border>
      <left/>
      <right style="medium">
        <color auto="1"/>
      </right>
      <top style="medium">
        <color auto="1"/>
      </top>
      <bottom/>
      <diagonal/>
    </border>
    <border>
      <left style="thin">
        <color rgb="FFCBD5E1"/>
      </left>
      <right/>
      <top/>
      <bottom/>
      <diagonal/>
    </border>
    <border>
      <left style="thin">
        <color rgb="FFCBD5E1"/>
      </left>
      <right style="thin">
        <color rgb="FFCBD5E1"/>
      </right>
      <top/>
      <bottom/>
      <diagonal/>
    </border>
  </borders>
  <cellStyleXfs count="2">
    <xf numFmtId="0" fontId="0" fillId="0" borderId="0"/>
    <xf numFmtId="0" fontId="31" fillId="0" borderId="0"/>
  </cellStyleXfs>
  <cellXfs count="156">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horizontal="center" vertical="center" wrapText="1"/>
    </xf>
    <xf numFmtId="0" fontId="6" fillId="0" borderId="0" applyAlignment="1" pivotButton="0" quotePrefix="0" xfId="0">
      <alignment vertical="center" wrapText="1"/>
    </xf>
    <xf numFmtId="0" fontId="6" fillId="0" borderId="0" applyAlignment="1" pivotButton="0" quotePrefix="0" xfId="0">
      <alignment horizontal="center" vertical="center" wrapText="1"/>
    </xf>
    <xf numFmtId="0" fontId="6" fillId="6" borderId="0" applyAlignment="1" pivotButton="0" quotePrefix="0" xfId="0">
      <alignment horizontal="center" vertical="center" wrapText="1"/>
    </xf>
    <xf numFmtId="0" fontId="9" fillId="7" borderId="0" applyAlignment="1" pivotButton="0" quotePrefix="0" xfId="0">
      <alignment horizontal="center" vertical="center" wrapText="1"/>
    </xf>
    <xf numFmtId="0" fontId="9" fillId="8" borderId="2" applyAlignment="1" pivotButton="0" quotePrefix="0" xfId="0">
      <alignment horizontal="center" vertical="center" wrapText="1"/>
    </xf>
    <xf numFmtId="0" fontId="9" fillId="7" borderId="2" applyAlignment="1" pivotButton="0" quotePrefix="0" xfId="0">
      <alignment horizontal="center" vertical="center" wrapText="1"/>
    </xf>
    <xf numFmtId="0" fontId="9" fillId="8"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0" borderId="7" applyAlignment="1" pivotButton="0" quotePrefix="0" xfId="0">
      <alignment horizontal="left" vertical="top" wrapText="1"/>
    </xf>
    <xf numFmtId="0" fontId="9" fillId="7" borderId="6" applyAlignment="1" pivotButton="0" quotePrefix="0" xfId="0">
      <alignment horizontal="center" vertical="center" wrapText="1"/>
    </xf>
    <xf numFmtId="0" fontId="7" fillId="0" borderId="7" applyAlignment="1" pivotButton="0" quotePrefix="0" xfId="0">
      <alignment horizontal="center" vertical="center" wrapText="1"/>
    </xf>
    <xf numFmtId="0" fontId="7" fillId="0" borderId="7" applyAlignment="1" pivotButton="0" quotePrefix="0" xfId="0">
      <alignment horizontal="left" vertical="top" wrapText="1"/>
    </xf>
    <xf numFmtId="0" fontId="7" fillId="6" borderId="7" applyAlignment="1" pivotButton="0" quotePrefix="0" xfId="0">
      <alignment horizontal="left" vertical="top" wrapText="1"/>
    </xf>
    <xf numFmtId="0" fontId="8" fillId="0" borderId="7" applyAlignment="1" pivotButton="0" quotePrefix="0" xfId="0">
      <alignment horizontal="left" vertical="top" wrapText="1"/>
    </xf>
    <xf numFmtId="0" fontId="10" fillId="0" borderId="7" applyAlignment="1" pivotButton="0" quotePrefix="0" xfId="0">
      <alignment horizontal="left" vertical="top" wrapText="1"/>
    </xf>
    <xf numFmtId="0" fontId="5" fillId="8" borderId="8" applyAlignment="1" pivotButton="0" quotePrefix="0" xfId="0">
      <alignment horizontal="center" vertical="center" wrapText="1"/>
    </xf>
    <xf numFmtId="0" fontId="5" fillId="7" borderId="8" applyAlignment="1" pivotButton="0" quotePrefix="0" xfId="0">
      <alignment horizontal="center" vertical="center" wrapText="1"/>
    </xf>
    <xf numFmtId="0" fontId="5" fillId="8" borderId="0" applyAlignment="1" pivotButton="0" quotePrefix="0" xfId="0">
      <alignment horizontal="center" vertical="center" wrapText="1"/>
    </xf>
    <xf numFmtId="0" fontId="7" fillId="0" borderId="8" applyAlignment="1" pivotButton="0" quotePrefix="0" xfId="0">
      <alignment horizontal="center" vertical="center" wrapText="1"/>
    </xf>
    <xf numFmtId="0" fontId="7" fillId="0" borderId="8" applyAlignment="1" pivotButton="0" quotePrefix="0" xfId="0">
      <alignment horizontal="left" vertical="top" wrapText="1"/>
    </xf>
    <xf numFmtId="0" fontId="7" fillId="0" borderId="9" applyAlignment="1" pivotButton="0" quotePrefix="0" xfId="0">
      <alignment horizontal="left" vertical="top" wrapText="1"/>
    </xf>
    <xf numFmtId="0" fontId="11" fillId="0" borderId="7" applyAlignment="1" pivotButton="0" quotePrefix="0" xfId="0">
      <alignment horizontal="left" vertical="top" wrapText="1"/>
    </xf>
    <xf numFmtId="0" fontId="6" fillId="0" borderId="0" pivotButton="0" quotePrefix="0" xfId="0"/>
    <xf numFmtId="0" fontId="12" fillId="0" borderId="7" applyAlignment="1" pivotButton="0" quotePrefix="0" xfId="0">
      <alignment horizontal="left" vertical="top" wrapText="1"/>
    </xf>
    <xf numFmtId="0" fontId="5" fillId="8" borderId="2" applyAlignment="1" pivotButton="0" quotePrefix="0" xfId="0">
      <alignment horizontal="center" vertical="center" wrapText="1"/>
    </xf>
    <xf numFmtId="0" fontId="5" fillId="7" borderId="0" applyAlignment="1" pivotButton="0" quotePrefix="0" xfId="0">
      <alignment horizontal="center" vertical="center" wrapText="1"/>
    </xf>
    <xf numFmtId="0" fontId="5" fillId="7" borderId="2"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7" applyAlignment="1" pivotButton="0" quotePrefix="0" xfId="0">
      <alignment horizontal="left" vertical="top" wrapText="1"/>
    </xf>
    <xf numFmtId="0" fontId="9" fillId="9" borderId="2" applyAlignment="1" pivotButton="0" quotePrefix="0" xfId="0">
      <alignment horizontal="center" vertical="center" wrapText="1"/>
    </xf>
    <xf numFmtId="0" fontId="9" fillId="4" borderId="5" applyAlignment="1" pivotButton="0" quotePrefix="0" xfId="0">
      <alignment horizontal="center" vertical="center" wrapText="1"/>
    </xf>
    <xf numFmtId="0" fontId="1" fillId="2" borderId="2" applyAlignment="1" pivotButton="0" quotePrefix="0" xfId="0">
      <alignment horizontal="center" vertical="top" wrapText="1"/>
    </xf>
    <xf numFmtId="0" fontId="1" fillId="2" borderId="2" applyAlignment="1" pivotButton="0" quotePrefix="0" xfId="0">
      <alignment horizontal="left" vertical="top" wrapText="1"/>
    </xf>
    <xf numFmtId="0" fontId="1" fillId="2" borderId="5" applyAlignment="1" pivotButton="0" quotePrefix="0" xfId="0">
      <alignment horizontal="left" vertical="top" wrapText="1"/>
    </xf>
    <xf numFmtId="0" fontId="1" fillId="3" borderId="2" applyAlignment="1" pivotButton="0" quotePrefix="0" xfId="0">
      <alignment horizontal="center" vertical="top" wrapText="1"/>
    </xf>
    <xf numFmtId="0" fontId="1" fillId="3" borderId="2" applyAlignment="1" pivotButton="0" quotePrefix="0" xfId="0">
      <alignment horizontal="left" vertical="top" wrapText="1"/>
    </xf>
    <xf numFmtId="0" fontId="1" fillId="3" borderId="5" applyAlignment="1" pivotButton="0" quotePrefix="0" xfId="0">
      <alignment horizontal="left" vertical="top" wrapText="1"/>
    </xf>
    <xf numFmtId="0" fontId="8" fillId="0" borderId="7" applyAlignment="1" pivotButton="0" quotePrefix="0" xfId="0">
      <alignment horizontal="left" vertical="center" wrapText="1"/>
    </xf>
    <xf numFmtId="0" fontId="7" fillId="0" borderId="7" applyAlignment="1" pivotButton="0" quotePrefix="0" xfId="0">
      <alignment horizontal="left" vertical="center" wrapText="1"/>
    </xf>
    <xf numFmtId="0" fontId="13" fillId="0" borderId="0" applyAlignment="1" pivotButton="0" quotePrefix="0" xfId="0">
      <alignment vertical="center" readingOrder="1"/>
    </xf>
    <xf numFmtId="0" fontId="15" fillId="0" borderId="0" applyAlignment="1" pivotButton="0" quotePrefix="0" xfId="0">
      <alignment vertical="center" readingOrder="1"/>
    </xf>
    <xf numFmtId="0" fontId="14" fillId="0" borderId="0" applyAlignment="1" pivotButton="0" quotePrefix="0" xfId="0">
      <alignment horizontal="left" vertical="center" indent="1" readingOrder="1"/>
    </xf>
    <xf numFmtId="0" fontId="13" fillId="0" borderId="0" applyAlignment="1" pivotButton="0" quotePrefix="0" xfId="0">
      <alignment horizontal="left" vertical="center" indent="1" readingOrder="1"/>
    </xf>
    <xf numFmtId="0" fontId="9" fillId="8" borderId="2"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applyAlignment="1" pivotButton="0" quotePrefix="0" xfId="0">
      <alignment horizontal="left" vertical="center" wrapText="1"/>
    </xf>
    <xf numFmtId="0" fontId="0" fillId="0" borderId="0" applyAlignment="1" pivotButton="0" quotePrefix="0" xfId="0">
      <alignment horizontal="left" vertical="center"/>
    </xf>
    <xf numFmtId="0" fontId="7" fillId="6" borderId="7" applyAlignment="1" pivotButton="0" quotePrefix="0" xfId="0">
      <alignment horizontal="center" vertical="center" wrapText="1"/>
    </xf>
    <xf numFmtId="0" fontId="10" fillId="6" borderId="7" applyAlignment="1" pivotButton="0" quotePrefix="0" xfId="0">
      <alignment horizontal="left" vertical="top" wrapText="1"/>
    </xf>
    <xf numFmtId="0" fontId="6" fillId="6" borderId="0" applyAlignment="1" pivotButton="0" quotePrefix="0" xfId="0">
      <alignment vertical="center" wrapText="1"/>
    </xf>
    <xf numFmtId="0" fontId="7" fillId="6" borderId="7" applyAlignment="1" pivotButton="0" quotePrefix="0" xfId="0">
      <alignment horizontal="left" vertical="center" wrapText="1"/>
    </xf>
    <xf numFmtId="0" fontId="0" fillId="0" borderId="2" applyAlignment="1" pivotButton="0" quotePrefix="0" xfId="0">
      <alignment vertical="center" wrapText="1"/>
    </xf>
    <xf numFmtId="0" fontId="0" fillId="0" borderId="2" applyAlignment="1" pivotButton="0" quotePrefix="0" xfId="0">
      <alignment horizontal="center" vertical="center" wrapText="1"/>
    </xf>
    <xf numFmtId="0" fontId="0" fillId="0" borderId="2" applyAlignment="1" pivotButton="0" quotePrefix="1" xfId="0">
      <alignment vertical="center" wrapText="1"/>
    </xf>
    <xf numFmtId="0" fontId="17" fillId="0" borderId="2" applyAlignment="1" pivotButton="0" quotePrefix="0" xfId="0">
      <alignment horizontal="center" vertical="center" wrapText="1"/>
    </xf>
    <xf numFmtId="0" fontId="16" fillId="0" borderId="2" applyAlignment="1" pivotButton="0" quotePrefix="0" xfId="0">
      <alignment vertical="center" wrapText="1"/>
    </xf>
    <xf numFmtId="0" fontId="5" fillId="8" borderId="12" applyAlignment="1" pivotButton="0" quotePrefix="0" xfId="0">
      <alignment horizontal="center" vertical="center" wrapText="1"/>
    </xf>
    <xf numFmtId="0" fontId="5" fillId="7" borderId="12" applyAlignment="1" pivotButton="0" quotePrefix="0" xfId="0">
      <alignment horizontal="center" vertical="center" wrapText="1"/>
    </xf>
    <xf numFmtId="0" fontId="6" fillId="0" borderId="2" applyAlignment="1" pivotButton="0" quotePrefix="0" xfId="0">
      <alignment horizontal="center" vertical="center" wrapText="1"/>
    </xf>
    <xf numFmtId="0" fontId="17" fillId="0" borderId="2" applyAlignment="1" pivotButton="0" quotePrefix="0" xfId="0">
      <alignment vertical="center" wrapText="1"/>
    </xf>
    <xf numFmtId="0" fontId="9" fillId="8" borderId="12" applyAlignment="1" pivotButton="0" quotePrefix="0" xfId="0">
      <alignment horizontal="center" vertical="center" wrapText="1"/>
    </xf>
    <xf numFmtId="0" fontId="6" fillId="0" borderId="7" applyAlignment="1" pivotButton="0" quotePrefix="0" xfId="0">
      <alignment horizontal="left" vertical="center" wrapText="1"/>
    </xf>
    <xf numFmtId="0" fontId="6" fillId="0" borderId="2" applyAlignment="1" pivotButton="0" quotePrefix="0" xfId="0">
      <alignment horizontal="left" vertical="center" wrapText="1"/>
    </xf>
    <xf numFmtId="0" fontId="6" fillId="0" borderId="9" applyAlignment="1" pivotButton="0" quotePrefix="0" xfId="0">
      <alignment horizontal="left" vertical="center" wrapText="1"/>
    </xf>
    <xf numFmtId="0" fontId="11" fillId="0" borderId="7" applyAlignment="1" pivotButton="0" quotePrefix="0" xfId="0">
      <alignment horizontal="left" vertical="center" wrapText="1"/>
    </xf>
    <xf numFmtId="0" fontId="6" fillId="0" borderId="0" applyAlignment="1" pivotButton="0" quotePrefix="0" xfId="0">
      <alignment vertical="center"/>
    </xf>
    <xf numFmtId="0" fontId="18" fillId="0" borderId="2" applyAlignment="1" pivotButton="0" quotePrefix="0" xfId="0">
      <alignment vertical="center" wrapText="1"/>
    </xf>
    <xf numFmtId="0" fontId="0" fillId="0" borderId="2" applyAlignment="1" pivotButton="0" quotePrefix="0" xfId="0">
      <alignment horizontal="left" vertical="center" wrapText="1"/>
    </xf>
    <xf numFmtId="0" fontId="0" fillId="0" borderId="7" applyAlignment="1" pivotButton="0" quotePrefix="0" xfId="0">
      <alignment horizontal="left" vertical="center" wrapText="1"/>
    </xf>
    <xf numFmtId="0" fontId="0" fillId="0" borderId="0" applyAlignment="1" pivotButton="0" quotePrefix="0" xfId="0">
      <alignment vertical="center"/>
    </xf>
    <xf numFmtId="0" fontId="10" fillId="0" borderId="7" applyAlignment="1" pivotButton="0" quotePrefix="0" xfId="0">
      <alignment horizontal="left" vertical="center" wrapText="1"/>
    </xf>
    <xf numFmtId="0" fontId="9" fillId="8" borderId="2" applyAlignment="1" pivotButton="0" quotePrefix="0" xfId="0">
      <alignment horizontal="center" vertical="top" wrapText="1"/>
    </xf>
    <xf numFmtId="0" fontId="0" fillId="0" borderId="0" applyAlignment="1" pivotButton="0" quotePrefix="0" xfId="0">
      <alignment vertical="top" wrapText="1"/>
    </xf>
    <xf numFmtId="0" fontId="0" fillId="6" borderId="7" applyAlignment="1" pivotButton="0" quotePrefix="0" xfId="0">
      <alignment horizontal="left" vertical="center" wrapText="1"/>
    </xf>
    <xf numFmtId="0" fontId="0" fillId="0" borderId="7" applyAlignment="1" pivotButton="0" quotePrefix="1" xfId="0">
      <alignment horizontal="left" vertical="center" wrapText="1"/>
    </xf>
    <xf numFmtId="0" fontId="18" fillId="0" borderId="7" applyAlignment="1" pivotButton="0" quotePrefix="1" xfId="0">
      <alignment horizontal="left" vertical="center" wrapText="1"/>
    </xf>
    <xf numFmtId="0" fontId="16" fillId="0" borderId="7" applyAlignment="1" pivotButton="0" quotePrefix="0" xfId="0">
      <alignment horizontal="left" vertical="center" wrapText="1"/>
    </xf>
    <xf numFmtId="0" fontId="16" fillId="0" borderId="7" applyAlignment="1" pivotButton="0" quotePrefix="1" xfId="0">
      <alignment horizontal="left" vertical="center" wrapText="1"/>
    </xf>
    <xf numFmtId="0" fontId="20" fillId="0" borderId="0" pivotButton="0" quotePrefix="0" xfId="0"/>
    <xf numFmtId="0" fontId="22" fillId="0" borderId="0" pivotButton="0" quotePrefix="0" xfId="0"/>
    <xf numFmtId="0" fontId="23" fillId="10" borderId="13" applyAlignment="1" pivotButton="0" quotePrefix="0" xfId="0">
      <alignment horizontal="center" vertical="center" wrapText="1"/>
    </xf>
    <xf numFmtId="0" fontId="24" fillId="0" borderId="13" applyAlignment="1" pivotButton="0" quotePrefix="0" xfId="0">
      <alignment horizontal="center" vertical="center" wrapText="1"/>
    </xf>
    <xf numFmtId="0" fontId="24" fillId="0" borderId="13" applyAlignment="1" pivotButton="0" quotePrefix="0" xfId="0">
      <alignment horizontal="left" vertical="center" wrapText="1"/>
    </xf>
    <xf numFmtId="164" fontId="24" fillId="0" borderId="13" applyAlignment="1" pivotButton="0" quotePrefix="0" xfId="0">
      <alignment horizontal="center" vertical="center" wrapText="1"/>
    </xf>
    <xf numFmtId="0" fontId="24" fillId="13" borderId="13" applyAlignment="1" pivotButton="0" quotePrefix="0" xfId="0">
      <alignment horizontal="center" vertical="center" wrapText="1"/>
    </xf>
    <xf numFmtId="0" fontId="24" fillId="13" borderId="13" applyAlignment="1" pivotButton="0" quotePrefix="0" xfId="0">
      <alignment horizontal="left" vertical="center" wrapText="1"/>
    </xf>
    <xf numFmtId="164" fontId="24" fillId="13" borderId="13" applyAlignment="1" pivotButton="0" quotePrefix="0" xfId="0">
      <alignment horizontal="center" vertical="center" wrapText="1"/>
    </xf>
    <xf numFmtId="0" fontId="23" fillId="11" borderId="13" applyAlignment="1" pivotButton="0" quotePrefix="0" xfId="0">
      <alignment horizontal="center" vertical="center" wrapText="1"/>
    </xf>
    <xf numFmtId="164" fontId="23" fillId="11" borderId="13" applyAlignment="1" pivotButton="0" quotePrefix="0" xfId="0">
      <alignment horizontal="center" vertical="center" wrapText="1"/>
    </xf>
    <xf numFmtId="0" fontId="25" fillId="13" borderId="13" applyAlignment="1" pivotButton="0" quotePrefix="0" xfId="0">
      <alignment horizontal="center" vertical="center" wrapText="1"/>
    </xf>
    <xf numFmtId="0" fontId="25" fillId="0" borderId="13" applyAlignment="1" pivotButton="0" quotePrefix="0" xfId="0">
      <alignment horizontal="center" vertical="center" wrapText="1"/>
    </xf>
    <xf numFmtId="0" fontId="23" fillId="14" borderId="13" applyAlignment="1" pivotButton="0" quotePrefix="0" xfId="0">
      <alignment horizontal="center" vertical="center" wrapText="1"/>
    </xf>
    <xf numFmtId="0" fontId="27" fillId="0" borderId="0" pivotButton="0" quotePrefix="0" xfId="0"/>
    <xf numFmtId="0" fontId="0" fillId="15" borderId="13" pivotButton="0" quotePrefix="0" xfId="0"/>
    <xf numFmtId="0" fontId="23" fillId="15" borderId="13" applyAlignment="1" pivotButton="0" quotePrefix="0" xfId="0">
      <alignment horizontal="center" vertical="center"/>
    </xf>
    <xf numFmtId="0" fontId="28" fillId="0" borderId="13" applyAlignment="1" pivotButton="0" quotePrefix="0" xfId="0">
      <alignment horizontal="center" vertical="center"/>
    </xf>
    <xf numFmtId="0" fontId="28" fillId="15" borderId="13" applyAlignment="1" pivotButton="0" quotePrefix="0" xfId="0">
      <alignment horizontal="center" vertical="center" wrapText="1"/>
    </xf>
    <xf numFmtId="0" fontId="29" fillId="15" borderId="13" applyAlignment="1" pivotButton="0" quotePrefix="0" xfId="0">
      <alignment horizontal="center" vertical="center"/>
    </xf>
    <xf numFmtId="0" fontId="29" fillId="0" borderId="13" applyAlignment="1" pivotButton="0" quotePrefix="0" xfId="0">
      <alignment horizontal="center" vertical="center"/>
    </xf>
    <xf numFmtId="0" fontId="29" fillId="0" borderId="13" applyAlignment="1" pivotButton="0" quotePrefix="0" xfId="0">
      <alignment horizontal="left" vertical="center" wrapText="1"/>
    </xf>
    <xf numFmtId="0" fontId="29" fillId="0" borderId="13" applyAlignment="1" pivotButton="0" quotePrefix="0" xfId="0">
      <alignment horizontal="center" vertical="center" wrapText="1"/>
    </xf>
    <xf numFmtId="0" fontId="28" fillId="0" borderId="13" applyAlignment="1" pivotButton="0" quotePrefix="0" xfId="0">
      <alignment horizontal="left" vertical="center" wrapText="1"/>
    </xf>
    <xf numFmtId="0" fontId="28" fillId="12" borderId="13" applyAlignment="1" pivotButton="0" quotePrefix="0" xfId="0">
      <alignment horizontal="center" vertical="center"/>
    </xf>
    <xf numFmtId="0" fontId="28" fillId="12" borderId="13" applyAlignment="1" pivotButton="0" quotePrefix="0" xfId="0">
      <alignment horizontal="center" vertical="center" wrapText="1"/>
    </xf>
    <xf numFmtId="0" fontId="29" fillId="12" borderId="13" applyAlignment="1" pivotButton="0" quotePrefix="0" xfId="0">
      <alignment horizontal="center" vertical="center"/>
    </xf>
    <xf numFmtId="0" fontId="29" fillId="12" borderId="13" applyAlignment="1" pivotButton="0" quotePrefix="0" xfId="0">
      <alignment horizontal="left" vertical="center" wrapText="1"/>
    </xf>
    <xf numFmtId="0" fontId="29" fillId="12" borderId="13" applyAlignment="1" pivotButton="0" quotePrefix="0" xfId="0">
      <alignment horizontal="center" vertical="center" wrapText="1"/>
    </xf>
    <xf numFmtId="0" fontId="28" fillId="0" borderId="13" applyAlignment="1" pivotButton="0" quotePrefix="0" xfId="0">
      <alignment horizontal="center" vertical="center" wrapText="1"/>
    </xf>
    <xf numFmtId="0" fontId="28" fillId="17" borderId="13" applyAlignment="1" pivotButton="0" quotePrefix="0" xfId="0">
      <alignment horizontal="center" vertical="center"/>
    </xf>
    <xf numFmtId="0" fontId="28" fillId="17" borderId="13" applyAlignment="1" pivotButton="0" quotePrefix="0" xfId="0">
      <alignment horizontal="center" vertical="center" wrapText="1"/>
    </xf>
    <xf numFmtId="0" fontId="29" fillId="17" borderId="13" applyAlignment="1" pivotButton="0" quotePrefix="0" xfId="0">
      <alignment horizontal="center" vertical="center"/>
    </xf>
    <xf numFmtId="0" fontId="29" fillId="17" borderId="13" applyAlignment="1" pivotButton="0" quotePrefix="0" xfId="0">
      <alignment horizontal="left" vertical="center" wrapText="1"/>
    </xf>
    <xf numFmtId="0" fontId="29" fillId="17" borderId="13" applyAlignment="1" pivotButton="0" quotePrefix="0" xfId="0">
      <alignment horizontal="center" vertical="center" wrapText="1"/>
    </xf>
    <xf numFmtId="0" fontId="23" fillId="16" borderId="13" applyAlignment="1" pivotButton="0" quotePrefix="0" xfId="0">
      <alignment horizontal="center" vertical="center" wrapText="1"/>
    </xf>
    <xf numFmtId="0" fontId="30" fillId="0" borderId="13" applyAlignment="1" pivotButton="0" quotePrefix="0" xfId="0">
      <alignment horizontal="center" vertical="center"/>
    </xf>
    <xf numFmtId="0" fontId="30" fillId="12" borderId="13" applyAlignment="1" pivotButton="0" quotePrefix="0" xfId="0">
      <alignment horizontal="center" vertical="center"/>
    </xf>
    <xf numFmtId="0" fontId="30" fillId="17" borderId="13" applyAlignment="1" pivotButton="0" quotePrefix="0" xfId="0">
      <alignment horizontal="center" vertical="center"/>
    </xf>
    <xf numFmtId="0" fontId="31" fillId="0" borderId="0" pivotButton="0" quotePrefix="0" xfId="1"/>
    <xf numFmtId="0" fontId="32" fillId="18" borderId="0" applyAlignment="1" pivotButton="0" quotePrefix="0" xfId="0">
      <alignment horizontal="center" vertical="center" wrapText="1"/>
    </xf>
    <xf numFmtId="0" fontId="32" fillId="19" borderId="0" applyAlignment="1" pivotButton="0" quotePrefix="0" xfId="0">
      <alignment horizontal="center" vertical="center" wrapText="1"/>
    </xf>
    <xf numFmtId="0" fontId="0" fillId="0" borderId="17" applyAlignment="1" pivotButton="0" quotePrefix="0" xfId="0">
      <alignment horizontal="center" vertical="center" wrapText="1"/>
    </xf>
    <xf numFmtId="0" fontId="0" fillId="0" borderId="17" applyAlignment="1" pivotButton="0" quotePrefix="0" xfId="0">
      <alignment horizontal="left" vertical="center" wrapText="1"/>
    </xf>
    <xf numFmtId="0" fontId="33" fillId="20" borderId="8" applyAlignment="1" pivotButton="0" quotePrefix="0" xfId="0">
      <alignment horizontal="center" vertical="center" wrapText="1"/>
    </xf>
    <xf numFmtId="0" fontId="33" fillId="20" borderId="0" applyAlignment="1" pivotButton="0" quotePrefix="0" xfId="0">
      <alignment horizontal="center" vertical="center" wrapText="1"/>
    </xf>
    <xf numFmtId="0" fontId="2" fillId="5" borderId="5" applyAlignment="1" pivotButton="0" quotePrefix="0" xfId="0">
      <alignment horizontal="left" vertical="center" indent="1"/>
    </xf>
    <xf numFmtId="0" fontId="0" fillId="0" borderId="10" pivotButton="0" quotePrefix="0" xfId="0"/>
    <xf numFmtId="0" fontId="0" fillId="0" borderId="11" pivotButton="0" quotePrefix="0" xfId="0"/>
    <xf numFmtId="0" fontId="31" fillId="0" borderId="0" pivotButton="0" quotePrefix="0" xfId="1"/>
    <xf numFmtId="0" fontId="4" fillId="4" borderId="1" applyAlignment="1" pivotButton="0" quotePrefix="0" xfId="0">
      <alignment horizontal="center" vertical="center"/>
    </xf>
    <xf numFmtId="0" fontId="0" fillId="0" borderId="3" pivotButton="0" quotePrefix="0" xfId="0"/>
    <xf numFmtId="0" fontId="0" fillId="0" borderId="4" pivotButton="0" quotePrefix="0" xfId="0"/>
    <xf numFmtId="0" fontId="24" fillId="0" borderId="13" applyAlignment="1" pivotButton="0" quotePrefix="0" xfId="0">
      <alignment horizontal="left" vertical="center" wrapText="1"/>
    </xf>
    <xf numFmtId="0" fontId="0" fillId="0" borderId="15" pivotButton="0" quotePrefix="0" xfId="0"/>
    <xf numFmtId="0" fontId="0" fillId="0" borderId="14" pivotButton="0" quotePrefix="0" xfId="0"/>
    <xf numFmtId="0" fontId="23" fillId="14" borderId="13" applyAlignment="1" pivotButton="0" quotePrefix="0" xfId="0">
      <alignment horizontal="center" vertical="center" wrapText="1"/>
    </xf>
    <xf numFmtId="0" fontId="26" fillId="11" borderId="13" applyAlignment="1" pivotButton="0" quotePrefix="0" xfId="0">
      <alignment horizontal="center" vertical="center" wrapText="1"/>
    </xf>
    <xf numFmtId="0" fontId="23" fillId="10" borderId="13" applyAlignment="1" pivotButton="0" quotePrefix="0" xfId="0">
      <alignment horizontal="center" vertical="center" wrapText="1"/>
    </xf>
    <xf numFmtId="0" fontId="25" fillId="13" borderId="13" applyAlignment="1" pivotButton="0" quotePrefix="0" xfId="0">
      <alignment horizontal="left" vertical="center" wrapText="1"/>
    </xf>
    <xf numFmtId="0" fontId="24" fillId="13" borderId="13" applyAlignment="1" pivotButton="0" quotePrefix="0" xfId="0">
      <alignment horizontal="left" vertical="center" wrapText="1"/>
    </xf>
    <xf numFmtId="0" fontId="25" fillId="0" borderId="13" applyAlignment="1" pivotButton="0" quotePrefix="0" xfId="0">
      <alignment horizontal="left" vertical="center" wrapText="1"/>
    </xf>
    <xf numFmtId="0" fontId="21" fillId="12" borderId="13" applyAlignment="1" pivotButton="0" quotePrefix="0" xfId="0">
      <alignment horizontal="center" vertical="center" wrapText="1"/>
    </xf>
    <xf numFmtId="0" fontId="19" fillId="10" borderId="13" applyAlignment="1" pivotButton="0" quotePrefix="0" xfId="0">
      <alignment horizontal="center" vertical="center" wrapText="1"/>
    </xf>
    <xf numFmtId="0" fontId="23" fillId="16" borderId="13" applyAlignment="1" pivotButton="0" quotePrefix="0" xfId="0">
      <alignment horizontal="left" vertical="center" indent="1"/>
    </xf>
    <xf numFmtId="0" fontId="23" fillId="15" borderId="13" applyAlignment="1" pivotButton="0" quotePrefix="0" xfId="0">
      <alignment horizontal="center" vertical="center" wrapText="1"/>
    </xf>
    <xf numFmtId="0" fontId="23" fillId="15" borderId="0" applyAlignment="1" pivotButton="0" quotePrefix="0" xfId="0">
      <alignment horizontal="center" vertical="center" wrapText="1"/>
    </xf>
    <xf numFmtId="0" fontId="0" fillId="0" borderId="0" pivotButton="0" quotePrefix="0" xfId="0"/>
    <xf numFmtId="0" fontId="0" fillId="0" borderId="16" pivotButton="0" quotePrefix="0" xfId="0"/>
    <xf numFmtId="164" fontId="24" fillId="0" borderId="13" applyAlignment="1" pivotButton="0" quotePrefix="0" xfId="0">
      <alignment horizontal="center" vertical="center" wrapText="1"/>
    </xf>
    <xf numFmtId="164" fontId="24" fillId="13" borderId="13" applyAlignment="1" pivotButton="0" quotePrefix="0" xfId="0">
      <alignment horizontal="center" vertical="center" wrapText="1"/>
    </xf>
    <xf numFmtId="164" fontId="23" fillId="11" borderId="13" applyAlignment="1" pivotButton="0" quotePrefix="0" xfId="0">
      <alignment horizontal="center" vertical="center" wrapText="1"/>
    </xf>
    <xf numFmtId="0" fontId="34" fillId="0" borderId="0" applyAlignment="1" pivotButton="0" quotePrefix="0" xfId="1">
      <alignment horizontal="center" vertical="center"/>
    </xf>
    <xf numFmtId="0" fontId="34" fillId="0" borderId="0" applyAlignment="1" pivotButton="0" quotePrefix="0" xfId="1">
      <alignment horizontal="center" vertical="center"/>
    </xf>
    <xf numFmtId="0" fontId="34" fillId="0" borderId="0" applyAlignment="1" pivotButton="0" quotePrefix="0" xfId="1">
      <alignment horizontal="center" vertical="center"/>
    </xf>
  </cellXfs>
  <cellStyles count="2">
    <cellStyle name="표준" xfId="0" builtinId="0"/>
    <cellStyle name="하이퍼링크" xfId="1" builtinId="8"/>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styles" Target="styles.xml" Id="rId14"/><Relationship Type="http://schemas.openxmlformats.org/officeDocument/2006/relationships/theme" Target="theme/theme1.xml" Id="rId15"/><Relationship Type="http://schemas.microsoft.com/office/2006/relationships/vbaProject" Target="vbaProject.bin" Id="rId1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1">
    <outlinePr summaryBelow="1" summaryRight="1"/>
    <pageSetUpPr/>
  </sheetPr>
  <dimension ref="B2:M36"/>
  <sheetViews>
    <sheetView workbookViewId="0">
      <selection activeCell="A1" sqref="A1"/>
    </sheetView>
  </sheetViews>
  <sheetFormatPr baseColWidth="8" defaultRowHeight="17.4"/>
  <cols>
    <col width="4" customWidth="1" style="148" min="1" max="1"/>
    <col width="10" customWidth="1" style="148" min="2" max="2"/>
    <col width="14" customWidth="1" style="148" min="3" max="3"/>
    <col width="22" customWidth="1" style="148" min="4" max="4"/>
    <col width="14" customWidth="1" style="148" min="5" max="5"/>
    <col width="16" customWidth="1" style="148" min="6" max="10"/>
    <col width="14" customWidth="1" style="148" min="11" max="11"/>
    <col width="22" customWidth="1" style="148" min="12" max="12"/>
    <col width="4" customWidth="1" style="148" min="13" max="13"/>
  </cols>
  <sheetData>
    <row r="2" ht="42" customHeight="1" s="148">
      <c r="B2" s="144" t="inlineStr">
        <is>
          <t>동탄트램 집행단계 실무 매뉴얼 &amp; 지식 DB 작성 현황 대시보드</t>
        </is>
      </c>
      <c r="C2" s="135" t="n"/>
      <c r="D2" s="135" t="n"/>
      <c r="E2" s="135" t="n"/>
      <c r="F2" s="135" t="n"/>
      <c r="G2" s="135" t="n"/>
      <c r="H2" s="135" t="n"/>
      <c r="I2" s="135" t="n"/>
      <c r="J2" s="135" t="n"/>
      <c r="K2" s="135" t="n"/>
      <c r="L2" s="135" t="n"/>
      <c r="M2" s="136" t="n"/>
    </row>
    <row r="4">
      <c r="B4" s="81" t="inlineStr">
        <is>
          <t>❚ [집행단계 v6] 8대 공종(토목·궤도·건축·신호·통신·전기) 263개 작업단위별 작성 및 DB 연동 현황</t>
        </is>
      </c>
    </row>
    <row r="6" ht="22.05" customHeight="1" s="148">
      <c r="B6" s="138" t="inlineStr">
        <is>
          <t>전체 액티비티</t>
        </is>
      </c>
      <c r="C6" s="136" t="n"/>
      <c r="D6" s="138" t="inlineStr">
        <is>
          <t>표준서 작성</t>
        </is>
      </c>
      <c r="E6" s="136" t="n"/>
      <c r="F6" s="138" t="inlineStr">
        <is>
          <t>수행지침 작성</t>
        </is>
      </c>
      <c r="G6" s="136" t="n"/>
      <c r="H6" s="138" t="inlineStr">
        <is>
          <t>체크리스트 작성</t>
        </is>
      </c>
      <c r="I6" s="136" t="n"/>
      <c r="J6" s="138" t="inlineStr">
        <is>
          <t>상세절차서(HTML) 연동</t>
        </is>
      </c>
      <c r="K6" s="136" t="n"/>
      <c r="L6" s="138" t="inlineStr">
        <is>
          <t>현장 리스크 DB</t>
        </is>
      </c>
      <c r="M6" s="136" t="n"/>
    </row>
    <row r="7" ht="28.05" customHeight="1" s="148">
      <c r="B7" s="143">
        <f>E21&amp;" 개"</f>
        <v/>
      </c>
      <c r="C7" s="136" t="n"/>
      <c r="D7" s="143">
        <f>F21&amp;" 개 (100%)"</f>
        <v/>
      </c>
      <c r="E7" s="136" t="n"/>
      <c r="F7" s="143">
        <f>G21&amp;" 개 (100%)"</f>
        <v/>
      </c>
      <c r="G7" s="136" t="n"/>
      <c r="H7" s="143">
        <f>H21&amp;" 개 (100%)"</f>
        <v/>
      </c>
      <c r="I7" s="136" t="n"/>
      <c r="J7" s="143">
        <f>I21&amp;" 개 (100%)"</f>
        <v/>
      </c>
      <c r="K7" s="136" t="n"/>
      <c r="L7" s="143">
        <f>J21&amp;" 개 (87.8%)"</f>
        <v/>
      </c>
      <c r="M7" s="136" t="n"/>
    </row>
    <row r="10" ht="19.2" customHeight="1" s="148">
      <c r="B10" s="82" t="inlineStr">
        <is>
          <t>❚ 1. 공종별 매뉴얼 및 리스크 DB 작성 현황</t>
        </is>
      </c>
    </row>
    <row r="12" ht="28.05" customHeight="1" s="148">
      <c r="B12" s="139" t="inlineStr">
        <is>
          <t>순번</t>
        </is>
      </c>
      <c r="C12" s="139" t="inlineStr">
        <is>
          <t>구분</t>
        </is>
      </c>
      <c r="D12" s="139" t="inlineStr">
        <is>
          <t>대공종</t>
        </is>
      </c>
      <c r="E12" s="139" t="inlineStr">
        <is>
          <t>작업수 (L4)</t>
        </is>
      </c>
      <c r="F12" s="139" t="inlineStr">
        <is>
          <t>표준서</t>
        </is>
      </c>
      <c r="G12" s="139" t="inlineStr">
        <is>
          <t>수행지침</t>
        </is>
      </c>
      <c r="H12" s="139" t="inlineStr">
        <is>
          <t>체크리스트</t>
        </is>
      </c>
      <c r="I12" s="139" t="inlineStr">
        <is>
          <t>HTML 연동</t>
        </is>
      </c>
      <c r="J12" s="139" t="inlineStr">
        <is>
          <t>리스크 DB</t>
        </is>
      </c>
      <c r="K12" s="139" t="inlineStr">
        <is>
          <t>달성률</t>
        </is>
      </c>
      <c r="L12" s="139" t="inlineStr">
        <is>
          <t>진행 상태</t>
        </is>
      </c>
    </row>
    <row r="13" ht="24" customHeight="1" s="148">
      <c r="B13" s="84" t="n">
        <v>1</v>
      </c>
      <c r="C13" s="84" t="inlineStr">
        <is>
          <t>토목공사</t>
        </is>
      </c>
      <c r="D13" s="134" t="inlineStr">
        <is>
          <t>사전토공사</t>
        </is>
      </c>
      <c r="E13" s="84">
        <f>COUNTA(사전토공사!F2:F31)</f>
        <v/>
      </c>
      <c r="F13" s="84">
        <f>COUNTA(사전토공사!K2:K31)</f>
        <v/>
      </c>
      <c r="G13" s="84">
        <f>COUNTA(사전토공사!M2:M31)</f>
        <v/>
      </c>
      <c r="H13" s="84">
        <f>COUNTA(사전토공사!O2:O31)</f>
        <v/>
      </c>
      <c r="I13" s="84">
        <f>COUNTA(사전토공사!F2:F31)</f>
        <v/>
      </c>
      <c r="J13" s="84">
        <f>COUNTA(사전토공사!S2:S31)</f>
        <v/>
      </c>
      <c r="K13" s="150">
        <f>IF(E13&gt;0, F13/E13, 1)</f>
        <v/>
      </c>
      <c r="L13" s="84" t="inlineStr">
        <is>
          <t>작성 완료</t>
        </is>
      </c>
    </row>
    <row r="14" ht="24" customHeight="1" s="148">
      <c r="B14" s="87" t="n">
        <v>2</v>
      </c>
      <c r="C14" s="87" t="inlineStr">
        <is>
          <t>토목공사</t>
        </is>
      </c>
      <c r="D14" s="141" t="inlineStr">
        <is>
          <t>지장물이설</t>
        </is>
      </c>
      <c r="E14" s="87">
        <f>COUNTA(지장물이설!F2:F39)</f>
        <v/>
      </c>
      <c r="F14" s="87">
        <f>COUNTA(지장물이설!K2:K39)</f>
        <v/>
      </c>
      <c r="G14" s="87">
        <f>COUNTA(지장물이설!M2:M39)</f>
        <v/>
      </c>
      <c r="H14" s="87">
        <f>COUNTA(지장물이설!O2:O39)</f>
        <v/>
      </c>
      <c r="I14" s="87">
        <f>COUNTA(지장물이설!F2:F39)</f>
        <v/>
      </c>
      <c r="J14" s="87">
        <f>COUNTA(지장물이설!S2:S39)</f>
        <v/>
      </c>
      <c r="K14" s="151">
        <f>IF(E14&gt;0, F14/E14, 1)</f>
        <v/>
      </c>
      <c r="L14" s="87" t="inlineStr">
        <is>
          <t>작성 완료</t>
        </is>
      </c>
    </row>
    <row r="15" ht="24" customHeight="1" s="148">
      <c r="B15" s="84" t="n">
        <v>3</v>
      </c>
      <c r="C15" s="84" t="inlineStr">
        <is>
          <t>토목공사</t>
        </is>
      </c>
      <c r="D15" s="134" t="inlineStr">
        <is>
          <t>상부강화노반</t>
        </is>
      </c>
      <c r="E15" s="84">
        <f>COUNTA(상부강화노반!F2:F37)</f>
        <v/>
      </c>
      <c r="F15" s="84">
        <f>COUNTA(상부강화노반!K2:K37)</f>
        <v/>
      </c>
      <c r="G15" s="84">
        <f>COUNTA(상부강화노반!M2:M37)</f>
        <v/>
      </c>
      <c r="H15" s="84">
        <f>COUNTA(상부강화노반!O2:O37)</f>
        <v/>
      </c>
      <c r="I15" s="84">
        <f>COUNTA(상부강화노반!F2:F37)</f>
        <v/>
      </c>
      <c r="J15" s="84">
        <f>COUNTA(상부강화노반!S2:S37)</f>
        <v/>
      </c>
      <c r="K15" s="150">
        <f>IF(E15&gt;0, F15/E15, 1)</f>
        <v/>
      </c>
      <c r="L15" s="84" t="inlineStr">
        <is>
          <t>작성 완료</t>
        </is>
      </c>
    </row>
    <row r="16" ht="24" customHeight="1" s="148">
      <c r="B16" s="87" t="n">
        <v>4</v>
      </c>
      <c r="C16" s="87" t="inlineStr">
        <is>
          <t>궤도공사</t>
        </is>
      </c>
      <c r="D16" s="141" t="inlineStr">
        <is>
          <t>콘크리트도상</t>
        </is>
      </c>
      <c r="E16" s="87">
        <f>COUNTA(콘크리트도상!F2:F24)</f>
        <v/>
      </c>
      <c r="F16" s="87">
        <f>COUNTA(콘크리트도상!K2:K24)</f>
        <v/>
      </c>
      <c r="G16" s="87">
        <f>COUNTA(콘크리트도상!M2:M24)</f>
        <v/>
      </c>
      <c r="H16" s="87">
        <f>COUNTA(콘크리트도상!O2:O24)</f>
        <v/>
      </c>
      <c r="I16" s="87">
        <f>COUNTA(콘크리트도상!F2:F24)</f>
        <v/>
      </c>
      <c r="J16" s="87">
        <f>COUNTA(콘크리트도상!S2:S24)</f>
        <v/>
      </c>
      <c r="K16" s="151">
        <f>IF(E16&gt;0, F16/E16, 1)</f>
        <v/>
      </c>
      <c r="L16" s="87" t="inlineStr">
        <is>
          <t>작성 완료</t>
        </is>
      </c>
    </row>
    <row r="17" ht="24" customHeight="1" s="148">
      <c r="B17" s="84" t="n">
        <v>5</v>
      </c>
      <c r="C17" s="84" t="inlineStr">
        <is>
          <t>건축공사</t>
        </is>
      </c>
      <c r="D17" s="134" t="inlineStr">
        <is>
          <t>건축</t>
        </is>
      </c>
      <c r="E17" s="84">
        <f>COUNTA(건축!E2:E51)</f>
        <v/>
      </c>
      <c r="F17" s="84">
        <f>COUNTA(건축!J2:J51)</f>
        <v/>
      </c>
      <c r="G17" s="84">
        <f>COUNTA(건축!L2:L51)</f>
        <v/>
      </c>
      <c r="H17" s="84">
        <f>COUNTA(건축!N2:N51)</f>
        <v/>
      </c>
      <c r="I17" s="84">
        <f>COUNTA(건축!E2:E51)</f>
        <v/>
      </c>
      <c r="J17" s="84">
        <f>COUNTA(건축!R2:R51)</f>
        <v/>
      </c>
      <c r="K17" s="150">
        <f>IF(E17&gt;0, F17/E17, 1)</f>
        <v/>
      </c>
      <c r="L17" s="84" t="inlineStr">
        <is>
          <t>작성 완료</t>
        </is>
      </c>
    </row>
    <row r="18" ht="24" customHeight="1" s="148">
      <c r="B18" s="87" t="n">
        <v>6</v>
      </c>
      <c r="C18" s="87" t="inlineStr">
        <is>
          <t>시스템공사</t>
        </is>
      </c>
      <c r="D18" s="141" t="inlineStr">
        <is>
          <t>신호</t>
        </is>
      </c>
      <c r="E18" s="87">
        <f>COUNTA(신호!E2:E23)</f>
        <v/>
      </c>
      <c r="F18" s="87">
        <f>COUNTA(신호!J2:J23)</f>
        <v/>
      </c>
      <c r="G18" s="87">
        <f>COUNTA(신호!L2:L23)</f>
        <v/>
      </c>
      <c r="H18" s="87">
        <f>COUNTA(신호!N2:N23)</f>
        <v/>
      </c>
      <c r="I18" s="87">
        <f>COUNTA(신호!E2:E23)</f>
        <v/>
      </c>
      <c r="J18" s="87">
        <f>COUNTA(신호!R2:R23)</f>
        <v/>
      </c>
      <c r="K18" s="151">
        <f>IF(E18&gt;0, F18/E18, 1)</f>
        <v/>
      </c>
      <c r="L18" s="87" t="inlineStr">
        <is>
          <t>작성 완료</t>
        </is>
      </c>
    </row>
    <row r="19" ht="24" customHeight="1" s="148">
      <c r="B19" s="84" t="n">
        <v>7</v>
      </c>
      <c r="C19" s="84" t="inlineStr">
        <is>
          <t>시스템공사</t>
        </is>
      </c>
      <c r="D19" s="134" t="inlineStr">
        <is>
          <t>통신</t>
        </is>
      </c>
      <c r="E19" s="84">
        <f>COUNTA(통신!E2:E33)</f>
        <v/>
      </c>
      <c r="F19" s="84">
        <f>COUNTA(통신!J2:J33)</f>
        <v/>
      </c>
      <c r="G19" s="84">
        <f>COUNTA(통신!L2:L33)</f>
        <v/>
      </c>
      <c r="H19" s="84">
        <f>COUNTA(통신!N2:N33)</f>
        <v/>
      </c>
      <c r="I19" s="84">
        <f>COUNTA(통신!E2:E33)</f>
        <v/>
      </c>
      <c r="J19" s="84">
        <f>COUNTA(통신!R2:R33)</f>
        <v/>
      </c>
      <c r="K19" s="150">
        <f>IF(E19&gt;0, F19/E19, 1)</f>
        <v/>
      </c>
      <c r="L19" s="84" t="inlineStr">
        <is>
          <t>작성 완료</t>
        </is>
      </c>
    </row>
    <row r="20" ht="24" customHeight="1" s="148">
      <c r="B20" s="87" t="n">
        <v>8</v>
      </c>
      <c r="C20" s="87" t="inlineStr">
        <is>
          <t>시스템공사</t>
        </is>
      </c>
      <c r="D20" s="141" t="inlineStr">
        <is>
          <t>전기</t>
        </is>
      </c>
      <c r="E20" s="87">
        <f>COUNTA(전기!E2:E33)</f>
        <v/>
      </c>
      <c r="F20" s="87">
        <f>COUNTA(전기!J2:J33)</f>
        <v/>
      </c>
      <c r="G20" s="87">
        <f>COUNTA(전기!L2:L33)</f>
        <v/>
      </c>
      <c r="H20" s="87">
        <f>COUNTA(전기!N2:N33)</f>
        <v/>
      </c>
      <c r="I20" s="87">
        <f>COUNTA(전기!E2:E33)</f>
        <v/>
      </c>
      <c r="J20" s="87">
        <f>COUNTA(전기!R2:R33)</f>
        <v/>
      </c>
      <c r="K20" s="151">
        <f>IF(E20&gt;0, F20/E20, 1)</f>
        <v/>
      </c>
      <c r="L20" s="87" t="inlineStr">
        <is>
          <t>매뉴얼 완료 (리스크 작성중)</t>
        </is>
      </c>
    </row>
    <row r="21" ht="25.95" customHeight="1" s="148">
      <c r="B21" s="90" t="inlineStr">
        <is>
          <t>-</t>
        </is>
      </c>
      <c r="C21" s="90" t="inlineStr">
        <is>
          <t>합계</t>
        </is>
      </c>
      <c r="D21" s="90" t="inlineStr">
        <is>
          <t>8대 공종 통합</t>
        </is>
      </c>
      <c r="E21" s="90">
        <f>SUM(E13:E20)</f>
        <v/>
      </c>
      <c r="F21" s="90">
        <f>SUM(F13:F20)</f>
        <v/>
      </c>
      <c r="G21" s="90">
        <f>SUM(G13:G20)</f>
        <v/>
      </c>
      <c r="H21" s="90">
        <f>SUM(H13:H20)</f>
        <v/>
      </c>
      <c r="I21" s="90">
        <f>SUM(I13:I20)</f>
        <v/>
      </c>
      <c r="J21" s="90">
        <f>SUM(J13:J20)</f>
        <v/>
      </c>
      <c r="K21" s="152">
        <f>AVERAGE(K13:K20)</f>
        <v/>
      </c>
      <c r="L21" s="90" t="inlineStr">
        <is>
          <t>전 공종 완료</t>
        </is>
      </c>
    </row>
    <row r="23" ht="19.2" customHeight="1" s="148">
      <c r="B23" s="82" t="inlineStr">
        <is>
          <t>❚ 2. 동적 매뉴얼 주요 기능 구현 현황</t>
        </is>
      </c>
    </row>
    <row r="25" ht="25.95" customHeight="1" s="148">
      <c r="B25" s="139" t="inlineStr">
        <is>
          <t>주요 기능</t>
        </is>
      </c>
      <c r="C25" s="136" t="n"/>
      <c r="D25" s="139" t="inlineStr">
        <is>
          <t>핵심 내용 및 구현 현황</t>
        </is>
      </c>
      <c r="E25" s="135" t="n"/>
      <c r="F25" s="135" t="n"/>
      <c r="G25" s="135" t="n"/>
      <c r="H25" s="135" t="n"/>
      <c r="I25" s="135" t="n"/>
      <c r="J25" s="135" t="n"/>
      <c r="K25" s="136" t="n"/>
      <c r="L25" s="139" t="inlineStr">
        <is>
          <t>적용 상태</t>
        </is>
      </c>
    </row>
    <row r="26" ht="24" customHeight="1" s="148">
      <c r="B26" s="140" t="inlineStr">
        <is>
          <t>시공 사진·영상 시각화</t>
        </is>
      </c>
      <c r="C26" s="136" t="n"/>
      <c r="D26" s="141" t="inlineStr">
        <is>
          <t>공종별 현장 시공 사진, 3D BIM 모델 및 품질 시험 동영상 1:1 매핑 완료 (263개 전 작업)</t>
        </is>
      </c>
      <c r="E26" s="135" t="n"/>
      <c r="F26" s="135" t="n"/>
      <c r="G26" s="135" t="n"/>
      <c r="H26" s="135" t="n"/>
      <c r="I26" s="135" t="n"/>
      <c r="J26" s="135" t="n"/>
      <c r="K26" s="136" t="n"/>
      <c r="L26" s="92" t="inlineStr">
        <is>
          <t>구현 완료</t>
        </is>
      </c>
    </row>
    <row r="27" ht="24" customHeight="1" s="148">
      <c r="B27" s="142" t="inlineStr">
        <is>
          <t>전문시방서(KCS) 원문 연동</t>
        </is>
      </c>
      <c r="C27" s="136" t="n"/>
      <c r="D27" s="134" t="inlineStr">
        <is>
          <t>국토교통부 KCS 전문시방서 PDF(1페이지 원문) 및 관련 법령 링크 바로 열기 구현</t>
        </is>
      </c>
      <c r="E27" s="135" t="n"/>
      <c r="F27" s="135" t="n"/>
      <c r="G27" s="135" t="n"/>
      <c r="H27" s="135" t="n"/>
      <c r="I27" s="135" t="n"/>
      <c r="J27" s="135" t="n"/>
      <c r="K27" s="136" t="n"/>
      <c r="L27" s="93" t="inlineStr">
        <is>
          <t>구현 완료</t>
        </is>
      </c>
    </row>
    <row r="28" ht="24" customHeight="1" s="148">
      <c r="B28" s="140" t="inlineStr">
        <is>
          <t>문장별 상세절차서(HTML) 연동</t>
        </is>
      </c>
      <c r="C28" s="136" t="n"/>
      <c r="D28" s="141" t="inlineStr">
        <is>
          <t>체크리스트 각 항목 클릭 시 해당 작업의 1:1 독자 상세절차서(HTML) 즉시 연동</t>
        </is>
      </c>
      <c r="E28" s="135" t="n"/>
      <c r="F28" s="135" t="n"/>
      <c r="G28" s="135" t="n"/>
      <c r="H28" s="135" t="n"/>
      <c r="I28" s="135" t="n"/>
      <c r="J28" s="135" t="n"/>
      <c r="K28" s="136" t="n"/>
      <c r="L28" s="92" t="inlineStr">
        <is>
          <t>구현 완료</t>
        </is>
      </c>
    </row>
    <row r="29" ht="24" customHeight="1" s="148">
      <c r="B29" s="142" t="inlineStr">
        <is>
          <t>단일 화면 패키지 구성</t>
        </is>
      </c>
      <c r="C29" s="136" t="n"/>
      <c r="D29" s="134" t="inlineStr">
        <is>
          <t>1개 작업 단위에 표준서, 수행지침, 체크리스트, 상세절차서를 한 화면에 통합 제공</t>
        </is>
      </c>
      <c r="E29" s="135" t="n"/>
      <c r="F29" s="135" t="n"/>
      <c r="G29" s="135" t="n"/>
      <c r="H29" s="135" t="n"/>
      <c r="I29" s="135" t="n"/>
      <c r="J29" s="135" t="n"/>
      <c r="K29" s="136" t="n"/>
      <c r="L29" s="93" t="inlineStr">
        <is>
          <t>구현 완료</t>
        </is>
      </c>
    </row>
    <row r="30" ht="24" customHeight="1" s="148">
      <c r="B30" s="140" t="inlineStr">
        <is>
          <t>현장 시공 데이터 누적 관리</t>
        </is>
      </c>
      <c r="C30" s="136" t="n"/>
      <c r="D30" s="141" t="inlineStr">
        <is>
          <t>동탄 현장에서 발생하는 시험 성적서, 사진 데이터(v6)를 실시간 누적·업데이트</t>
        </is>
      </c>
      <c r="E30" s="135" t="n"/>
      <c r="F30" s="135" t="n"/>
      <c r="G30" s="135" t="n"/>
      <c r="H30" s="135" t="n"/>
      <c r="I30" s="135" t="n"/>
      <c r="J30" s="135" t="n"/>
      <c r="K30" s="136" t="n"/>
      <c r="L30" s="92" t="inlineStr">
        <is>
          <t>구현 완료</t>
        </is>
      </c>
    </row>
    <row r="32" ht="19.2" customHeight="1" s="148">
      <c r="B32" s="82" t="inlineStr">
        <is>
          <t>❚ 3. 주요 보고 및 향후 추진 계획</t>
        </is>
      </c>
    </row>
    <row r="34" ht="25.95" customHeight="1" s="148">
      <c r="B34" s="137" t="inlineStr">
        <is>
          <t>구분</t>
        </is>
      </c>
      <c r="C34" s="137" t="inlineStr">
        <is>
          <t>보고 안건</t>
        </is>
      </c>
      <c r="D34" s="136" t="n"/>
      <c r="E34" s="137" t="inlineStr">
        <is>
          <t>주요 내용</t>
        </is>
      </c>
      <c r="F34" s="135" t="n"/>
      <c r="G34" s="135" t="n"/>
      <c r="H34" s="135" t="n"/>
      <c r="I34" s="135" t="n"/>
      <c r="J34" s="135" t="n"/>
      <c r="K34" s="136" t="n"/>
      <c r="L34" s="137" t="inlineStr">
        <is>
          <t>진행 상황</t>
        </is>
      </c>
    </row>
    <row r="35" ht="25.95" customHeight="1" s="148">
      <c r="B35" s="93" t="inlineStr">
        <is>
          <t>안건 1</t>
        </is>
      </c>
      <c r="C35" s="142" t="inlineStr">
        <is>
          <t>동탄 현장 기반 매뉴얼 연속 업데이트 승인</t>
        </is>
      </c>
      <c r="D35" s="136" t="n"/>
      <c r="E35" s="134" t="inlineStr">
        <is>
          <t>동탄 현장 실무 데이터를 바탕으로 매뉴얼(v6 ➔ v7)을 지속 보완·운영하는 체계 승인</t>
        </is>
      </c>
      <c r="F35" s="135" t="n"/>
      <c r="G35" s="135" t="n"/>
      <c r="H35" s="135" t="n"/>
      <c r="I35" s="135" t="n"/>
      <c r="J35" s="135" t="n"/>
      <c r="K35" s="136" t="n"/>
      <c r="L35" s="93" t="inlineStr">
        <is>
          <t>승인 완료</t>
        </is>
      </c>
    </row>
    <row r="36" ht="25.95" customHeight="1" s="148">
      <c r="B36" s="93" t="inlineStr">
        <is>
          <t>안건 2</t>
        </is>
      </c>
      <c r="C36" s="142" t="inlineStr">
        <is>
          <t>사내 매뉴얼 시스템 통합 및 자산화</t>
        </is>
      </c>
      <c r="D36" s="136" t="n"/>
      <c r="E36" s="134" t="inlineStr">
        <is>
          <t>완성된 매뉴얼을 사내 표준 시스템에 탑재하여 향후 신규 트램 사업 수주 시 재활용</t>
        </is>
      </c>
      <c r="F36" s="135" t="n"/>
      <c r="G36" s="135" t="n"/>
      <c r="H36" s="135" t="n"/>
      <c r="I36" s="135" t="n"/>
      <c r="J36" s="135" t="n"/>
      <c r="K36" s="136" t="n"/>
      <c r="L36" s="93" t="inlineStr">
        <is>
          <t>추진 중</t>
        </is>
      </c>
    </row>
  </sheetData>
  <mergeCells count="31">
    <mergeCell ref="C34:D34"/>
    <mergeCell ref="B2:M2"/>
    <mergeCell ref="E36:K36"/>
    <mergeCell ref="D26:K26"/>
    <mergeCell ref="L7:M7"/>
    <mergeCell ref="B7:C7"/>
    <mergeCell ref="B25:C25"/>
    <mergeCell ref="F6:G6"/>
    <mergeCell ref="B27:C27"/>
    <mergeCell ref="F7:G7"/>
    <mergeCell ref="C35:D35"/>
    <mergeCell ref="D6:E6"/>
    <mergeCell ref="H6:I6"/>
    <mergeCell ref="J6:K6"/>
    <mergeCell ref="D27:K27"/>
    <mergeCell ref="D7:E7"/>
    <mergeCell ref="B29:C29"/>
    <mergeCell ref="H7:I7"/>
    <mergeCell ref="J7:K7"/>
    <mergeCell ref="B28:C28"/>
    <mergeCell ref="E35:K35"/>
    <mergeCell ref="C36:D36"/>
    <mergeCell ref="D28:K28"/>
    <mergeCell ref="B6:C6"/>
    <mergeCell ref="B30:C30"/>
    <mergeCell ref="D30:K30"/>
    <mergeCell ref="L6:M6"/>
    <mergeCell ref="D25:K25"/>
    <mergeCell ref="E34:K34"/>
    <mergeCell ref="D29:K29"/>
    <mergeCell ref="B26:C26"/>
  </mergeCells>
  <pageMargins left="0.75" right="0.75" top="1" bottom="1" header="0.5" footer="0.5"/>
  <pageSetup orientation="landscape" paperSize="8" verticalDpi="0"/>
</worksheet>
</file>

<file path=xl/worksheets/sheet2.xml><?xml version="1.0" encoding="utf-8"?>
<worksheet xmlns="http://schemas.openxmlformats.org/spreadsheetml/2006/main">
  <sheetPr codeName="Sheet1">
    <outlinePr summaryBelow="1" summaryRight="1"/>
    <pageSetUpPr/>
  </sheetPr>
  <dimension ref="A1:S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baseColWidth="8" defaultRowHeight="17.4"/>
  <cols>
    <col width="10" customWidth="1" style="148" min="1" max="1"/>
    <col width="14" customWidth="1" style="148" min="2" max="2"/>
    <col width="38" customWidth="1" style="148" min="3" max="3"/>
    <col width="14" customWidth="1" style="148" min="4" max="4"/>
    <col width="44" customWidth="1" style="148" min="5" max="5"/>
    <col width="48" customWidth="1" style="148" min="6" max="6"/>
    <col width="59.5" customWidth="1" style="148" min="7" max="7"/>
    <col width="48" customWidth="1" style="148" min="8" max="8"/>
    <col width="14" customWidth="1" style="148" min="9" max="9"/>
    <col width="52" customWidth="1" style="148" min="10" max="11"/>
    <col width="56" customWidth="1" style="148" min="12" max="12"/>
  </cols>
  <sheetData>
    <row r="1" ht="30" customHeight="1" s="148" thickBot="1">
      <c r="A1" s="131" t="inlineStr">
        <is>
          <t>동탄도시철도(트램) 1·2공구 WBS 계층 구조별 표준서·수행지침·체크리스트 상세 매핑표</t>
        </is>
      </c>
      <c r="B1" s="132" t="n"/>
      <c r="C1" s="132" t="n"/>
      <c r="D1" s="132" t="n"/>
      <c r="E1" s="132" t="n"/>
      <c r="F1" s="132" t="n"/>
      <c r="G1" s="132" t="n"/>
      <c r="H1" s="132" t="n"/>
      <c r="I1" s="132" t="n"/>
      <c r="J1" s="132" t="n"/>
      <c r="K1" s="132" t="n"/>
      <c r="L1" s="133" t="n"/>
    </row>
    <row r="2" ht="4.95" customHeight="1" s="148">
      <c r="K2" s="130" t="n"/>
      <c r="L2" s="130" t="n"/>
      <c r="M2" s="130" t="n"/>
      <c r="N2" s="130" t="n"/>
      <c r="O2" s="130" t="n"/>
      <c r="P2" s="130" t="n"/>
      <c r="Q2" s="130" t="n"/>
      <c r="S2" s="130" t="n"/>
    </row>
    <row r="3" ht="36.6" customHeight="1" s="148">
      <c r="A3" s="32" t="inlineStr">
        <is>
          <t>L2 코드</t>
        </is>
      </c>
      <c r="B3" s="32" t="inlineStr">
        <is>
          <t>L3 코드</t>
        </is>
      </c>
      <c r="C3" s="32" t="inlineStr">
        <is>
          <t>L3 대공종명</t>
        </is>
      </c>
      <c r="D3" s="32" t="inlineStr">
        <is>
          <t>L4 코드</t>
        </is>
      </c>
      <c r="E3" s="32" t="inlineStr">
        <is>
          <t>작업단위 (Level 4 Task/Activity)</t>
        </is>
      </c>
      <c r="F3" s="32" t="inlineStr">
        <is>
          <t>표준서 (Standard)
[정량적 절대 기술 기준]</t>
        </is>
      </c>
      <c r="G3" s="32" t="inlineStr">
        <is>
          <t>수행지침 (Guideline)
[작업 절차 및 주의사항]</t>
        </is>
      </c>
      <c r="H3" s="32" t="inlineStr">
        <is>
          <t>체크리스트 (Checklist)
[완료 검측 표준]</t>
        </is>
      </c>
      <c r="I3" s="32" t="inlineStr">
        <is>
          <t>담당 분야</t>
        </is>
      </c>
      <c r="J3" s="33" t="inlineStr">
        <is>
          <t>첨부서류 연계 상세 설계기준
(구조, 토질, 선로 등)</t>
        </is>
      </c>
      <c r="K3" s="130" t="inlineStr">
        <is>
          <t>집행단계 리스크 체크리스트
(260614 트램 표준)</t>
        </is>
      </c>
      <c r="L3" s="130" t="inlineStr">
        <is>
          <t>협력사 시공/공사관리 자문
(정주건설 / 트리폴건설)</t>
        </is>
      </c>
      <c r="M3" s="130" t="n"/>
      <c r="N3" s="130" t="n"/>
      <c r="O3" s="130" t="n"/>
      <c r="P3" s="130" t="n"/>
      <c r="Q3" s="130" t="n"/>
      <c r="S3" s="130" t="n"/>
    </row>
    <row r="4" ht="22.05" customHeight="1" s="148">
      <c r="A4" s="127" t="inlineStr">
        <is>
          <t>1000  행정·인허가 (Project Management &amp; Permitting)</t>
        </is>
      </c>
      <c r="B4" s="128" t="n"/>
      <c r="C4" s="128" t="n"/>
      <c r="D4" s="128" t="n"/>
      <c r="E4" s="128" t="n"/>
      <c r="F4" s="128" t="n"/>
      <c r="G4" s="128" t="n"/>
      <c r="H4" s="128" t="n"/>
      <c r="I4" s="128" t="n"/>
      <c r="J4" s="128" t="n"/>
      <c r="K4" s="128" t="n"/>
      <c r="L4" s="129" t="n"/>
      <c r="M4" s="130" t="n"/>
      <c r="N4" s="130" t="n"/>
      <c r="O4" s="130" t="n"/>
      <c r="P4" s="130" t="n"/>
      <c r="Q4" s="130" t="n"/>
      <c r="S4" s="130" t="n"/>
    </row>
    <row r="5" ht="186" customHeight="1" s="148">
      <c r="A5" s="34" t="inlineStr">
        <is>
          <t>1000</t>
        </is>
      </c>
      <c r="B5" s="34" t="inlineStr">
        <is>
          <t>1000-1</t>
        </is>
      </c>
      <c r="C5" s="35" t="inlineStr">
        <is>
          <t>행정·인허가 준비 및 관계기관 협의</t>
        </is>
      </c>
      <c r="D5" s="34" t="inlineStr">
        <is>
          <t>1000-1-1</t>
        </is>
      </c>
      <c r="E5" s="35" t="inlineStr">
        <is>
          <t>인허가 관련 법령 검토 및 체크리스트 작성</t>
        </is>
      </c>
      <c r="F5" s="35" t="inlineStr">
        <is>
          <t>● 도시철도법 제17조(사업계획승인) 및 국토교통부 도시철도 건설 규칙 수립 요건 준수</t>
        </is>
      </c>
      <c r="G5" s="35" t="inlineStr">
        <is>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is>
      </c>
      <c r="H5" s="35" t="inlineStr">
        <is>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is>
      </c>
      <c r="I5" s="35" t="inlineStr">
        <is>
          <t>행정</t>
        </is>
      </c>
      <c r="J5" s="36" t="inlineStr">
        <is>
          <t>● 관련분야 설계기준서 준수</t>
        </is>
      </c>
      <c r="K5" s="130" t="inlineStr">
        <is>
          <t>● 최신 개정 법령 미반영으로 인허가 승인 보완 지시 및 사업 기간 지연 리스크를 검토하였는가?</t>
        </is>
      </c>
      <c r="L5" s="130" t="inlineStr">
        <is>
          <t>● 협력사 자문 내용 없음 또는 해당사항 없음</t>
        </is>
      </c>
      <c r="M5" s="130" t="n"/>
      <c r="N5" s="130" t="n"/>
      <c r="O5" s="130" t="n"/>
      <c r="P5" s="130" t="n"/>
      <c r="Q5" s="130" t="n"/>
      <c r="S5" s="130" t="n"/>
    </row>
    <row r="6" ht="139.95" customHeight="1" s="148">
      <c r="A6" s="37" t="inlineStr">
        <is>
          <t>1000</t>
        </is>
      </c>
      <c r="B6" s="37" t="inlineStr">
        <is>
          <t>1000-1</t>
        </is>
      </c>
      <c r="C6" s="38" t="inlineStr">
        <is>
          <t>행정·인허가 준비 및 관계기관 협의</t>
        </is>
      </c>
      <c r="D6" s="37" t="inlineStr">
        <is>
          <t>1000-1-2</t>
        </is>
      </c>
      <c r="E6" s="38" t="inlineStr">
        <is>
          <t>관계기관 협의자료 작성 및 공식 공문 발송</t>
        </is>
      </c>
      <c r="F6" s="38" t="inlineStr">
        <is>
          <t>● 행정 효율 지침 및 지자체별 인허가 협의 공문 규격 표준 규정</t>
        </is>
      </c>
      <c r="G6" s="38" t="inlineStr">
        <is>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is>
      </c>
      <c r="H6" s="38" t="inlineStr">
        <is>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is>
      </c>
      <c r="I6" s="38" t="inlineStr">
        <is>
          <t>행정</t>
        </is>
      </c>
      <c r="J6" s="39" t="inlineStr">
        <is>
          <t>● 관련분야 설계기준서 준수</t>
        </is>
      </c>
      <c r="K6" s="130" t="inlineStr">
        <is>
          <t>● 공식 접수 및 대장 기록 누락 자료 제출로 인한 공문 반려 및 재작성 소요(2주 지연) 리스크를 검토하였는가?</t>
        </is>
      </c>
      <c r="L6" s="130" t="inlineStr">
        <is>
          <t>● 협력사 자문 내용 없음 또는 해당사항 없음</t>
        </is>
      </c>
      <c r="M6" s="130" t="n"/>
      <c r="N6" s="130" t="n"/>
      <c r="O6" s="130" t="n"/>
      <c r="P6" s="130" t="n"/>
      <c r="Q6" s="130" t="n"/>
      <c r="S6" s="130" t="n"/>
    </row>
    <row r="7" ht="151.8" customHeight="1" s="148">
      <c r="A7" s="34" t="inlineStr">
        <is>
          <t>1000</t>
        </is>
      </c>
      <c r="B7" s="34" t="inlineStr">
        <is>
          <t>1000-1</t>
        </is>
      </c>
      <c r="C7" s="35" t="inlineStr">
        <is>
          <t>행정·인허가 준비 및 관계기관 협의</t>
        </is>
      </c>
      <c r="D7" s="34" t="inlineStr">
        <is>
          <t>1000-1-3</t>
        </is>
      </c>
      <c r="E7" s="35" t="inlineStr">
        <is>
          <t>관계기관 피드백 분석 및 조치 방안 수립</t>
        </is>
      </c>
      <c r="F7" s="35" t="inlineStr">
        <is>
          <t>● 민원 처리 및 행정절차법상 의견 제출 및 피드백 공식 조치 절차</t>
        </is>
      </c>
      <c r="G7" s="35" t="inlineStr">
        <is>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is>
      </c>
      <c r="H7" s="35" t="inlineStr">
        <is>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is>
      </c>
      <c r="I7" s="35" t="inlineStr">
        <is>
          <t>행정</t>
        </is>
      </c>
      <c r="J7" s="36" t="inlineStr">
        <is>
          <t>● 관련분야 설계기준서 준수</t>
        </is>
      </c>
      <c r="K7" s="130" t="inlineStr">
        <is>
          <t>● 관계기관 보완 요건의 자의적 해석에 따른 부실 보완 및 2차 보완 지시 지연 리스크를 검토하였는가?</t>
        </is>
      </c>
      <c r="L7" s="130" t="inlineStr">
        <is>
          <t>● 협력사 자문 내용 없음 또는 해당사항 없음</t>
        </is>
      </c>
      <c r="M7" s="130" t="n"/>
      <c r="N7" s="130" t="n"/>
      <c r="O7" s="130" t="n"/>
      <c r="P7" s="130" t="n"/>
      <c r="Q7" s="130" t="n"/>
      <c r="S7" s="130" t="n"/>
    </row>
    <row r="8" ht="139.95" customHeight="1" s="148">
      <c r="A8" s="37" t="inlineStr">
        <is>
          <t>1000</t>
        </is>
      </c>
      <c r="B8" s="37" t="inlineStr">
        <is>
          <t>1000-2</t>
        </is>
      </c>
      <c r="C8" s="38" t="inlineStr">
        <is>
          <t>기본설계 도면검토 및 착공신고 처리</t>
        </is>
      </c>
      <c r="D8" s="37" t="inlineStr">
        <is>
          <t>1000-2-1</t>
        </is>
      </c>
      <c r="E8" s="38" t="inlineStr">
        <is>
          <t>기본설계도서 기술검토 및 검토의견서 작성</t>
        </is>
      </c>
      <c r="F8" s="38" t="inlineStr">
        <is>
          <t>● 건설공사 사업관리방식 검토기준 및 업무수행지침 제81조(설계도서 등의 검토)</t>
        </is>
      </c>
      <c r="G8" s="38" t="inlineStr">
        <is>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is>
      </c>
      <c r="H8" s="38" t="inlineStr">
        <is>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is>
      </c>
      <c r="I8" s="38" t="inlineStr">
        <is>
          <t>행정</t>
        </is>
      </c>
      <c r="J8" s="39" t="inlineStr">
        <is>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is>
      </c>
      <c r="K8" s="130" t="inlineStr">
        <is>
          <t>● 종평면 종단 구배 한계값 미충족 도면을 거르지 못하여 궤도 재설계 발생 리스크를 검토하였는가?</t>
        </is>
      </c>
      <c r="L8" s="130" t="inlineStr">
        <is>
          <t>● 협력사 자문 내용 없음 또는 해당사항 없음</t>
        </is>
      </c>
      <c r="M8" s="130" t="n"/>
      <c r="N8" s="130" t="n"/>
      <c r="O8" s="130" t="n"/>
      <c r="P8" s="130" t="n"/>
      <c r="Q8" s="130" t="n"/>
      <c r="S8" s="130" t="n"/>
    </row>
    <row r="9" ht="139.95" customHeight="1" s="148">
      <c r="A9" s="34" t="inlineStr">
        <is>
          <t>1000</t>
        </is>
      </c>
      <c r="B9" s="34" t="inlineStr">
        <is>
          <t>1000-2</t>
        </is>
      </c>
      <c r="C9" s="35" t="inlineStr">
        <is>
          <t>기본설계 도면검토 및 착공신고 처리</t>
        </is>
      </c>
      <c r="D9" s="34" t="inlineStr">
        <is>
          <t>1000-2-2</t>
        </is>
      </c>
      <c r="E9" s="35" t="inlineStr">
        <is>
          <t>착공신고 구비서류 적정성 검토 및 조립</t>
        </is>
      </c>
      <c r="F9" s="35" t="inlineStr">
        <is>
          <t>● 건설기술진흥법 시행규칙 제38조(착공신고 구비서류) 규격 만족 여부</t>
        </is>
      </c>
      <c r="G9" s="35" t="inlineStr">
        <is>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is>
      </c>
      <c r="H9" s="35" t="inlineStr">
        <is>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is>
      </c>
      <c r="I9" s="35" t="inlineStr">
        <is>
          <t>행정</t>
        </is>
      </c>
      <c r="J9" s="36" t="inlineStr">
        <is>
          <t>● 관련분야 설계기준서 준수</t>
        </is>
      </c>
      <c r="K9" s="130" t="inlineStr">
        <is>
          <t>● 선로 기하학 오차(종단구배 급변부 캔트 미반영 등)로 궤도 시공 불가 및 기본계획 변경 리스크를 검토하였는가?</t>
        </is>
      </c>
      <c r="L9" s="130" t="inlineStr">
        <is>
          <t>● 협력사 자문 내용 없음 또는 해당사항 없음</t>
        </is>
      </c>
      <c r="M9" s="130" t="n"/>
      <c r="N9" s="130" t="n"/>
      <c r="O9" s="130" t="n"/>
      <c r="P9" s="130" t="n"/>
      <c r="Q9" s="130" t="n"/>
      <c r="S9" s="130" t="n"/>
    </row>
    <row r="10" ht="139.95" customHeight="1" s="148">
      <c r="A10" s="37" t="inlineStr">
        <is>
          <t>1000</t>
        </is>
      </c>
      <c r="B10" s="37" t="inlineStr">
        <is>
          <t>1000-3</t>
        </is>
      </c>
      <c r="C10" s="38" t="inlineStr">
        <is>
          <t>타공사(SRT, GTX-A 등) 구간 협의 및 간섭 검토</t>
        </is>
      </c>
      <c r="D10" s="37" t="inlineStr">
        <is>
          <t>1000-3-1</t>
        </is>
      </c>
      <c r="E10" s="38" t="inlineStr">
        <is>
          <t>타공사 간섭구간 기술 영향 평가 및 도면 검토</t>
        </is>
      </c>
      <c r="F10" s="38" t="inlineStr">
        <is>
          <t>● 지하안전관리에 관한 특별법(지하안전평가 기준 및 인접 굴착 영향선 검토)</t>
        </is>
      </c>
      <c r="G10" s="38" t="inlineStr">
        <is>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is>
      </c>
      <c r="H10" s="38" t="inlineStr">
        <is>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is>
      </c>
      <c r="I10" s="38" t="inlineStr">
        <is>
          <t>행정</t>
        </is>
      </c>
      <c r="J10" s="39" t="inlineStr">
        <is>
          <t>● 관련분야 설계기준서 준수</t>
        </is>
      </c>
      <c r="K10" s="130" t="inlineStr">
        <is>
          <t>● 해당 공종 리스크 분석 수립 준수</t>
        </is>
      </c>
      <c r="L10" s="130" t="inlineStr">
        <is>
          <t>● 협력사 자문 내용 없음 또는 해당사항 없음</t>
        </is>
      </c>
      <c r="M10" s="130" t="n"/>
      <c r="N10" s="130" t="n"/>
      <c r="O10" s="130" t="n"/>
      <c r="P10" s="130" t="n"/>
      <c r="Q10" s="130" t="n"/>
      <c r="S10" s="130" t="n"/>
    </row>
    <row r="11" ht="139.95" customHeight="1" s="148">
      <c r="A11" s="34" t="inlineStr">
        <is>
          <t>1000</t>
        </is>
      </c>
      <c r="B11" s="34" t="inlineStr">
        <is>
          <t>1000-3</t>
        </is>
      </c>
      <c r="C11" s="35" t="inlineStr">
        <is>
          <t>타공사(SRT, GTX-A 등) 구간 협의 및 간섭 검토</t>
        </is>
      </c>
      <c r="D11" s="34" t="inlineStr">
        <is>
          <t>1000-3-2</t>
        </is>
      </c>
      <c r="E11" s="35" t="inlineStr">
        <is>
          <t>간섭구간 공동 협의회 개최 및 협의록 작성</t>
        </is>
      </c>
      <c r="F11" s="35" t="inlineStr">
        <is>
          <t>● 발주처 인접 공사 안전 관리 가이드라인 및 공구 간 인터페이스 조정 표준</t>
        </is>
      </c>
      <c r="G11" s="35" t="inlineStr">
        <is>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is>
      </c>
      <c r="H11" s="35" t="inlineStr">
        <is>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is>
      </c>
      <c r="I11" s="35" t="inlineStr">
        <is>
          <t>행정</t>
        </is>
      </c>
      <c r="J11" s="36" t="inlineStr">
        <is>
          <t>● 관련분야 설계기준서 준수</t>
        </is>
      </c>
      <c r="K11" s="130" t="inlineStr">
        <is>
          <t>● 해당 공종 리스크 분석 수립 준수</t>
        </is>
      </c>
      <c r="L11" s="130" t="inlineStr">
        <is>
          <t>● 협력사 자문 내용 없음 또는 해당사항 없음</t>
        </is>
      </c>
      <c r="M11" s="130" t="n"/>
      <c r="N11" s="130" t="n"/>
      <c r="O11" s="130" t="n"/>
      <c r="P11" s="130" t="n"/>
      <c r="Q11" s="130" t="n"/>
      <c r="S11" s="130" t="n"/>
    </row>
    <row r="12" ht="22.05" customHeight="1" s="148">
      <c r="A12" s="127" t="inlineStr">
        <is>
          <t>2000  임시설비 및 가설공사 (Temporary &amp; Utility Works)</t>
        </is>
      </c>
      <c r="B12" s="128" t="n"/>
      <c r="C12" s="128" t="n"/>
      <c r="D12" s="128" t="n"/>
      <c r="E12" s="128" t="n"/>
      <c r="F12" s="128" t="n"/>
      <c r="G12" s="128" t="n"/>
      <c r="H12" s="128" t="n"/>
      <c r="I12" s="128" t="n"/>
      <c r="J12" s="128" t="n"/>
      <c r="K12" s="128" t="n"/>
      <c r="L12" s="129" t="n"/>
      <c r="M12" s="130" t="n"/>
      <c r="N12" s="130" t="n"/>
      <c r="O12" s="130" t="n"/>
      <c r="P12" s="130" t="n"/>
      <c r="Q12" s="130" t="n"/>
      <c r="S12" s="130" t="n"/>
    </row>
    <row r="13" ht="139.95" customHeight="1" s="148">
      <c r="A13" s="34" t="inlineStr">
        <is>
          <t>2000</t>
        </is>
      </c>
      <c r="B13" s="34" t="inlineStr">
        <is>
          <t>2000-1</t>
        </is>
      </c>
      <c r="C13" s="35" t="inlineStr">
        <is>
          <t>가설사무소 설치 및 안전·환경 관리 준비</t>
        </is>
      </c>
      <c r="D13" s="34" t="inlineStr">
        <is>
          <t>2000-1-1</t>
        </is>
      </c>
      <c r="E13" s="35" t="inlineStr">
        <is>
          <t>가설현장사무소 부지 확보 및 인허가 신고</t>
        </is>
      </c>
      <c r="F13" s="35" t="inlineStr">
        <is>
          <t>● 건축법 제20조(가설건축물), 지자체 가설건축물 축조 신고 지침 요건</t>
        </is>
      </c>
      <c r="G13" s="35" t="inlineStr">
        <is>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is>
      </c>
      <c r="H13" s="35" t="inlineStr">
        <is>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is>
      </c>
      <c r="I13" s="35" t="inlineStr">
        <is>
          <t>토목</t>
        </is>
      </c>
      <c r="J13" s="36" t="inlineStr">
        <is>
          <t>● 관련분야 설계기준서 준수</t>
        </is>
      </c>
      <c r="K13" s="130" t="inlineStr">
        <is>
          <t>● 가설건축물 설치 승인 지연으로 현장 사무소 개설 연기 및 현장 관리 공백 발생 리스크를 검토하였는가?</t>
        </is>
      </c>
      <c r="L13" s="130" t="inlineStr">
        <is>
          <t>● 협력사 자문 내용 없음 또는 해당사항 없음</t>
        </is>
      </c>
      <c r="M13" s="130" t="n"/>
      <c r="N13" s="130" t="n"/>
      <c r="O13" s="130" t="n"/>
      <c r="P13" s="130" t="n"/>
      <c r="Q13" s="130" t="n"/>
      <c r="S13" s="130" t="n"/>
    </row>
    <row r="14" ht="139.95" customHeight="1" s="148">
      <c r="A14" s="37" t="inlineStr">
        <is>
          <t>2000</t>
        </is>
      </c>
      <c r="B14" s="37" t="inlineStr">
        <is>
          <t>2000-2</t>
        </is>
      </c>
      <c r="C14" s="38" t="inlineStr">
        <is>
          <t>가설도로·가시설 및 공사 진입로 설치</t>
        </is>
      </c>
      <c r="D14" s="37" t="inlineStr">
        <is>
          <t>2000-2-1</t>
        </is>
      </c>
      <c r="E14" s="38" t="inlineStr">
        <is>
          <t>가설도로 개설 및 진입 노면 다짐 시공</t>
        </is>
      </c>
      <c r="F14" s="38" t="inlineStr">
        <is>
          <t>● KCS 11 20 20 (가설공사 도로 및 터파기 다짐 표준시방서)
● 가설도로 기초 지반 최소 허용 지내력 150 kN/m² 이상 확보</t>
        </is>
      </c>
      <c r="G14" s="38" t="inlineStr">
        <is>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is>
      </c>
      <c r="H14" s="38" t="inlineStr">
        <is>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is>
      </c>
      <c r="I14" s="38" t="inlineStr">
        <is>
          <t>토목</t>
        </is>
      </c>
      <c r="J14" s="39" t="inlineStr">
        <is>
          <t>● 관련분야 설계기준서 준수</t>
        </is>
      </c>
      <c r="K14" s="130" t="inlineStr">
        <is>
          <t>● 가설도로 다짐 부족으로 중장비(레미콘, 크레인) 이동 시 지반 함몰 및 장비 전도 리스크를 검토하였는가?</t>
        </is>
      </c>
      <c r="L14" s="130" t="inlineStr">
        <is>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is>
      </c>
      <c r="M14" s="130" t="n"/>
      <c r="N14" s="130" t="n"/>
      <c r="O14" s="130" t="n"/>
      <c r="P14" s="130" t="n"/>
      <c r="Q14" s="130" t="n"/>
      <c r="S14" s="130" t="n"/>
    </row>
    <row r="15" ht="139.95" customHeight="1" s="148">
      <c r="A15" s="34" t="inlineStr">
        <is>
          <t>2000</t>
        </is>
      </c>
      <c r="B15" s="34" t="inlineStr">
        <is>
          <t>2000-3</t>
        </is>
      </c>
      <c r="C15" s="35" t="inlineStr">
        <is>
          <t>유틸리티/전력 가설 및 임시 배관·배선 설치</t>
        </is>
      </c>
      <c r="D15" s="34" t="inlineStr">
        <is>
          <t>2000-3-1</t>
        </is>
      </c>
      <c r="E15" s="35" t="inlineStr">
        <is>
          <t>유틸리티 임시 전력 설비 설치 및 접지 공사</t>
        </is>
      </c>
      <c r="F15" s="35" t="inlineStr">
        <is>
          <t>● 전기설비기술기준(산업부) 및 가설공사 표준시방서(전기)
● 가설 전력 분전반 접지 저항 100Ω 이하 정밀 시공</t>
        </is>
      </c>
      <c r="G15" s="35" t="inlineStr">
        <is>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is>
      </c>
      <c r="H15" s="35" t="inlineStr">
        <is>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15" s="35" t="inlineStr">
        <is>
          <t>토목/전기</t>
        </is>
      </c>
      <c r="J15" s="36" t="inlineStr">
        <is>
          <t>● 관련분야 설계기준서 준수</t>
        </is>
      </c>
      <c r="K15" s="130" t="inlineStr">
        <is>
          <t>● 가설 전기 설비 과과부하 누전으로 현장 화재 발생 및 임시 차단기 오동작 리스크를 검토하였는가?</t>
        </is>
      </c>
      <c r="L15" s="130" t="inlineStr">
        <is>
          <t>● 협력사 자문 내용 없음 또는 해당사항 없음</t>
        </is>
      </c>
      <c r="M15" s="130" t="n"/>
      <c r="N15" s="130" t="n"/>
      <c r="O15" s="130" t="n"/>
      <c r="P15" s="130" t="n"/>
      <c r="Q15" s="130" t="n"/>
      <c r="S15" s="130" t="n"/>
    </row>
    <row r="16" ht="268.2" customHeight="1" s="148">
      <c r="A16" s="37" t="inlineStr">
        <is>
          <t>2000</t>
        </is>
      </c>
      <c r="B16" s="37" t="inlineStr">
        <is>
          <t>2000-4</t>
        </is>
      </c>
      <c r="C16" s="38" t="inlineStr">
        <is>
          <t>교통전환 계획 수립 및 공사 중 교통 관리</t>
        </is>
      </c>
      <c r="D16" s="37" t="inlineStr">
        <is>
          <t>2000-4-1</t>
        </is>
      </c>
      <c r="E16" s="38" t="inlineStr">
        <is>
          <t>우회 교통 차선 도색 및 안전 통제 조치</t>
        </is>
      </c>
      <c r="F16" s="38" t="inlineStr">
        <is>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is>
      </c>
      <c r="G16" s="38" t="inlineStr">
        <is>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is>
      </c>
      <c r="H16" s="38" t="inlineStr">
        <is>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is>
      </c>
      <c r="I16" s="38" t="inlineStr">
        <is>
          <t>토목/교통</t>
        </is>
      </c>
      <c r="J16" s="39" t="inlineStr">
        <is>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is>
      </c>
      <c r="K16" s="130" t="inlineStr">
        <is>
          <t>● 굴착 전환부 야간 경고등 미설치로 민간 차량 가시설 추돌 사고 발생 리스크를 검토하였는가?</t>
        </is>
      </c>
      <c r="L16" s="130" t="inlineStr">
        <is>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is>
      </c>
      <c r="M16" s="130" t="n"/>
      <c r="N16" s="130" t="n"/>
      <c r="O16" s="130" t="n"/>
      <c r="P16" s="130" t="n"/>
      <c r="Q16" s="130" t="n"/>
      <c r="S16" s="130" t="n"/>
    </row>
    <row r="17" ht="22.05" customHeight="1" s="148">
      <c r="A17" s="127" t="inlineStr">
        <is>
          <t>3000  교차로 공사 (Intersection Works)</t>
        </is>
      </c>
      <c r="B17" s="128" t="n"/>
      <c r="C17" s="128" t="n"/>
      <c r="D17" s="128" t="n"/>
      <c r="E17" s="128" t="n"/>
      <c r="F17" s="128" t="n"/>
      <c r="G17" s="128" t="n"/>
      <c r="H17" s="128" t="n"/>
      <c r="I17" s="128" t="n"/>
      <c r="J17" s="128" t="n"/>
      <c r="K17" s="128" t="n"/>
      <c r="L17" s="129" t="n"/>
      <c r="M17" s="130" t="n"/>
      <c r="N17" s="130" t="n"/>
      <c r="O17" s="130" t="n"/>
      <c r="P17" s="130" t="n"/>
      <c r="Q17" s="130" t="n"/>
      <c r="S17" s="130" t="n"/>
    </row>
    <row r="18" ht="177.6" customHeight="1" s="148">
      <c r="A18" s="34" t="inlineStr">
        <is>
          <t>3000</t>
        </is>
      </c>
      <c r="B18" s="34" t="inlineStr">
        <is>
          <t>3000-1</t>
        </is>
      </c>
      <c r="C18" s="35" t="inlineStr">
        <is>
          <t>교차로 구간 지장물 조사 및 인허가 협의</t>
        </is>
      </c>
      <c r="D18" s="34" t="inlineStr">
        <is>
          <t>3000-1-1</t>
        </is>
      </c>
      <c r="E18" s="35" t="inlineStr">
        <is>
          <t>교차로 지하매설물 대장 수집 및 사전계획수립</t>
        </is>
      </c>
      <c r="F18" s="35" t="inlineStr">
        <is>
          <t>● 국토지리정보원 지하정보 통합지도 구축 및 활용 지침 규정</t>
        </is>
      </c>
      <c r="G18" s="35" t="inlineStr">
        <is>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is>
      </c>
      <c r="H18" s="35" t="inlineStr">
        <is>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is>
      </c>
      <c r="I18" s="35" t="inlineStr">
        <is>
          <t>토목/행정</t>
        </is>
      </c>
      <c r="J18" s="36" t="inlineStr">
        <is>
          <t>● 관련분야 설계기준서 준수</t>
        </is>
      </c>
      <c r="K18" s="130" t="inlineStr">
        <is>
          <t>● 지장물 위치 측량 데이터 누락으로 굴착 중 타 기관 지중 설비 오타격 파손 리스크를 검토하였는가?</t>
        </is>
      </c>
      <c r="L18" s="130" t="inlineStr">
        <is>
          <t>● 협력사 자문 내용 없음 또는 해당사항 없음</t>
        </is>
      </c>
      <c r="M18" s="130" t="n"/>
      <c r="N18" s="130" t="n"/>
      <c r="O18" s="130" t="n"/>
      <c r="P18" s="130" t="n"/>
      <c r="Q18" s="130" t="n"/>
      <c r="S18" s="130" t="n"/>
    </row>
    <row r="19" ht="139.95" customHeight="1" s="148">
      <c r="A19" s="37" t="inlineStr">
        <is>
          <t>3000</t>
        </is>
      </c>
      <c r="B19" s="37" t="inlineStr">
        <is>
          <t>3000-1</t>
        </is>
      </c>
      <c r="C19" s="38" t="inlineStr">
        <is>
          <t>교차로 구간 지장물 조사 및 인허가 협의</t>
        </is>
      </c>
      <c r="D19" s="37" t="inlineStr">
        <is>
          <t>3000-1-2</t>
        </is>
      </c>
      <c r="E19" s="38" t="inlineStr">
        <is>
          <t>현장 지하매설물 탐지(GPR) 및 인력 시험 굴착</t>
        </is>
      </c>
      <c r="F19" s="38" t="inlineStr">
        <is>
          <t>● KCS 11 10 10 (지장물 탐사 및 이설 공사 표준시방서)
● 백호우 장비 사용 전 필수 인력 굴착(폭 1.0m, 깊이 2.0m) 선행</t>
        </is>
      </c>
      <c r="G19" s="38" t="inlineStr">
        <is>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is>
      </c>
      <c r="H19" s="38" t="inlineStr">
        <is>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is>
      </c>
      <c r="I19" s="38" t="inlineStr">
        <is>
          <t>토목</t>
        </is>
      </c>
      <c r="J19" s="39" t="inlineStr">
        <is>
          <t>● 관련분야 설계기준서 준수</t>
        </is>
      </c>
      <c r="K19" s="130" t="inlineStr">
        <is>
          <t>● 지하 매설 특수 지장물(고압 한전 가스관) 정밀 탐사 지연으로 후속 토공 착수 무기한 연기 리스크를 검토하였는가?</t>
        </is>
      </c>
      <c r="L19" s="130" t="inlineStr">
        <is>
          <t>● 협력사 자문 내용 없음 또는 해당사항 없음</t>
        </is>
      </c>
      <c r="M19" s="130" t="n"/>
      <c r="N19" s="130" t="n"/>
      <c r="O19" s="130" t="n"/>
      <c r="P19" s="130" t="n"/>
      <c r="Q19" s="130" t="n"/>
      <c r="S19" s="130" t="n"/>
    </row>
    <row r="20" ht="139.95" customHeight="1" s="148">
      <c r="A20" s="34" t="inlineStr">
        <is>
          <t>3000</t>
        </is>
      </c>
      <c r="B20" s="34" t="inlineStr">
        <is>
          <t>3000-1</t>
        </is>
      </c>
      <c r="C20" s="35" t="inlineStr">
        <is>
          <t>교차로 구간 지장물 조사 및 인허가 협의</t>
        </is>
      </c>
      <c r="D20" s="34" t="inlineStr">
        <is>
          <t>3000-1-3</t>
        </is>
      </c>
      <c r="E20" s="35" t="inlineStr">
        <is>
          <t>지장물 관리기관 합동 회의 및 이설 협의서 날인</t>
        </is>
      </c>
      <c r="F20" s="35" t="inlineStr">
        <is>
          <t>● 도로법 시행령 제43조(점용료 및 지장물 이설 비용 정산 기준)</t>
        </is>
      </c>
      <c r="G20" s="35" t="inlineStr">
        <is>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is>
      </c>
      <c r="H20" s="35" t="inlineStr">
        <is>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is>
      </c>
      <c r="I20" s="35" t="inlineStr">
        <is>
          <t>토목/행정</t>
        </is>
      </c>
      <c r="J20" s="36" t="inlineStr">
        <is>
          <t>● 관련분야 설계기준서 준수</t>
        </is>
      </c>
      <c r="K20" s="130" t="inlineStr">
        <is>
          <t>● 지장물 이설 공사비 정산 지연으로 해당 유관 부처 협의 지연 및 행정 조치 보완 리스크를 검토하였는가?</t>
        </is>
      </c>
      <c r="L20" s="130" t="inlineStr">
        <is>
          <t>● 협력사 자문 내용 없음 또는 해당사항 없음</t>
        </is>
      </c>
      <c r="M20" s="130" t="n"/>
      <c r="N20" s="130" t="n"/>
      <c r="O20" s="130" t="n"/>
      <c r="P20" s="130" t="n"/>
      <c r="Q20" s="130" t="n"/>
      <c r="S20" s="130" t="n"/>
    </row>
    <row r="21" ht="139.95" customHeight="1" s="148">
      <c r="A21" s="37" t="inlineStr">
        <is>
          <t>3000</t>
        </is>
      </c>
      <c r="B21" s="37" t="inlineStr">
        <is>
          <t>3000-2</t>
        </is>
      </c>
      <c r="C21" s="38" t="inlineStr">
        <is>
          <t>교차로 지장물 이설 및 방호·보강 공사</t>
        </is>
      </c>
      <c r="D21" s="37" t="inlineStr">
        <is>
          <t>3000-2-1</t>
        </is>
      </c>
      <c r="E21" s="38" t="inlineStr">
        <is>
          <t>교차로 지장물 임시/영구 이설 시공</t>
        </is>
      </c>
      <c r="F21" s="38" t="inlineStr">
        <is>
          <t>● KCS 11 10 15 (상수도 배관 시공 표준시방서)
● 임시 이설 상수도 기밀 수압시험(설계 규정압력의 1.5배, 1시간 유지)</t>
        </is>
      </c>
      <c r="G21" s="38" t="inlineStr">
        <is>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is>
      </c>
      <c r="H21" s="38" t="inlineStr">
        <is>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is>
      </c>
      <c r="I21" s="38" t="inlineStr">
        <is>
          <t>토목/기계</t>
        </is>
      </c>
      <c r="J21" s="39" t="inlineStr">
        <is>
          <t>● 관련분야 설계기준서 준수</t>
        </is>
      </c>
      <c r="K21" s="130" t="inlineStr">
        <is>
          <t>● 임시 이설한 상수도관 연결부 수압 불량으로 누수 발생, 도로 지반 함몰 리스크를 검토하였는가?</t>
        </is>
      </c>
      <c r="L21" s="130" t="inlineStr">
        <is>
          <t>● 협력사 자문 내용 없음 또는 해당사항 없음</t>
        </is>
      </c>
      <c r="M21" s="130" t="n"/>
      <c r="N21" s="130" t="n"/>
      <c r="O21" s="130" t="n"/>
      <c r="P21" s="130" t="n"/>
      <c r="Q21" s="130" t="n"/>
      <c r="S21" s="130" t="n"/>
    </row>
    <row r="22" ht="139.95" customHeight="1" s="148">
      <c r="A22" s="34" t="inlineStr">
        <is>
          <t>3000</t>
        </is>
      </c>
      <c r="B22" s="34" t="inlineStr">
        <is>
          <t>3000-2</t>
        </is>
      </c>
      <c r="C22" s="35" t="inlineStr">
        <is>
          <t>교차로 지장물 이설 및 방호·보강 공사</t>
        </is>
      </c>
      <c r="D22" s="34" t="inlineStr">
        <is>
          <t>3000-2-2</t>
        </is>
      </c>
      <c r="E22" s="35" t="inlineStr">
        <is>
          <t>이설 불가 지장물 방호공(H-Beam 매달기) 시공</t>
        </is>
      </c>
      <c r="F22" s="35" t="inlineStr">
        <is>
          <t>● 건설공사용 가설구조물 설계기준(KDS 21 00 00) 구조 안전율 준수</t>
        </is>
      </c>
      <c r="G22" s="35" t="inlineStr">
        <is>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is>
      </c>
      <c r="H22" s="35" t="inlineStr">
        <is>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is>
      </c>
      <c r="I22" s="35" t="inlineStr">
        <is>
          <t>토목</t>
        </is>
      </c>
      <c r="J22" s="36" t="inlineStr">
        <is>
          <t>● 관련분야 설계기준서 준수</t>
        </is>
      </c>
      <c r="K22" s="130" t="inlineStr">
        <is>
          <t>● 매달기 방호공의 와이어 장력 이완으로 가스관 침하 및 이음부 가스 누출 리스크를 검토하였는가?</t>
        </is>
      </c>
      <c r="L22" s="130" t="inlineStr">
        <is>
          <t>● 협력사 자문 내용 없음 또는 해당사항 없음</t>
        </is>
      </c>
      <c r="M22" s="130" t="n"/>
      <c r="N22" s="130" t="n"/>
      <c r="O22" s="130" t="n"/>
      <c r="P22" s="130" t="n"/>
      <c r="Q22" s="130" t="n"/>
      <c r="S22" s="130" t="n"/>
    </row>
    <row r="23" ht="139.95" customHeight="1" s="148">
      <c r="A23" s="37" t="inlineStr">
        <is>
          <t>3000</t>
        </is>
      </c>
      <c r="B23" s="37" t="inlineStr">
        <is>
          <t>3000-3</t>
        </is>
      </c>
      <c r="C23" s="38" t="inlineStr">
        <is>
          <t>교차로 토공 굴착 및 가시설 설치</t>
        </is>
      </c>
      <c r="D23" s="37" t="inlineStr">
        <is>
          <t>3000-3-1</t>
        </is>
      </c>
      <c r="E23" s="38" t="inlineStr">
        <is>
          <t>교차로 아스팔트 포장 깨기 및 단계별 굴착</t>
        </is>
      </c>
      <c r="F23" s="38" t="inlineStr">
        <is>
          <t>● KCS 11 20 15 (토공사 굴착 표준시방서)
● 굴착 사면 경사면 구배 확보(사질토 1:1.0, 암반 1:0.5)</t>
        </is>
      </c>
      <c r="G23" s="38" t="inlineStr">
        <is>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is>
      </c>
      <c r="H23" s="38" t="inlineStr">
        <is>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is>
      </c>
      <c r="I23" s="38" t="inlineStr">
        <is>
          <t>토목</t>
        </is>
      </c>
      <c r="J23" s="39" t="inlineStr">
        <is>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is>
      </c>
      <c r="K23" s="130" t="inlineStr">
        <is>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is>
      </c>
      <c r="L23" s="130" t="inlineStr">
        <is>
          <t>● [시공순서] 일반구간 선시공 후 교차로 시공이 시공성 면에서 유리하나, 교차로 선시공 시 차량 통행에 의한 레일 파손 우려 대응 필요 (일반 및 교차로 작업조 통합 운영 권장)</t>
        </is>
      </c>
      <c r="M23" s="130" t="n"/>
      <c r="N23" s="130" t="n"/>
      <c r="O23" s="130" t="n"/>
      <c r="P23" s="130" t="n"/>
      <c r="Q23" s="130" t="n"/>
      <c r="S23" s="130" t="n"/>
    </row>
    <row r="24" ht="139.95" customHeight="1" s="148">
      <c r="A24" s="34" t="inlineStr">
        <is>
          <t>3000</t>
        </is>
      </c>
      <c r="B24" s="34" t="inlineStr">
        <is>
          <t>3000-3</t>
        </is>
      </c>
      <c r="C24" s="35" t="inlineStr">
        <is>
          <t>교차로 토공 굴착 및 가시설 설치</t>
        </is>
      </c>
      <c r="D24" s="34" t="inlineStr">
        <is>
          <t>3000-3-2</t>
        </is>
      </c>
      <c r="E24" s="35" t="inlineStr">
        <is>
          <t>교차로 단계별 교통 전환 방호벽 설치 및 노출 지장물 방호</t>
        </is>
      </c>
      <c r="F24" s="35" t="inlineStr">
        <is>
          <t>● KCS 21 20 05 (가설안전시설물) / KCS 11 10 10 (지장물 이설공사)
● 교통 차단 PE 방호벽 물채움 고정 및 노출 매설관 턴버클 매달기 수직 처짐 통제</t>
        </is>
      </c>
      <c r="G24" s="35" t="inlineStr">
        <is>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is>
      </c>
      <c r="H24" s="35" t="inlineStr">
        <is>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is>
      </c>
      <c r="I24" s="35" t="inlineStr">
        <is>
          <t>토목</t>
        </is>
      </c>
      <c r="J24" s="36" t="inlineStr">
        <is>
          <t>● [토질기초] 가시설 흙막이벽 허용 수평변위: 강성 0.002H, 보통 0.0025H, 연성 0.003H (H: 굴착심도)
● [토질기초] 인접 도로 허용 침하량: 25mm 이하</t>
        </is>
      </c>
      <c r="K24" s="130" t="inlineStr">
        <is>
          <t>● 임시 차선 차단 PE 방호벽 전도에 따른 교차로 추돌 사고 발생 및 노출 매설관(가스/상수도) 지탱 부실로 인한 관 처짐 미세 균열 발생</t>
        </is>
      </c>
      <c r="L24" s="130" t="inlineStr">
        <is>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is>
      </c>
      <c r="M24" s="130" t="n"/>
      <c r="N24" s="130" t="n"/>
      <c r="O24" s="130" t="n"/>
      <c r="P24" s="130" t="n"/>
      <c r="Q24" s="130" t="n"/>
      <c r="S24" s="130" t="n"/>
    </row>
    <row r="25" ht="139.95" customHeight="1" s="148">
      <c r="A25" s="37" t="inlineStr">
        <is>
          <t>3000</t>
        </is>
      </c>
      <c r="B25" s="37" t="inlineStr">
        <is>
          <t>3000-4</t>
        </is>
      </c>
      <c r="C25" s="38" t="inlineStr">
        <is>
          <t>교차로 노반·RC-PC 구조물 설치 및 마감 공사</t>
        </is>
      </c>
      <c r="D25" s="37" t="inlineStr">
        <is>
          <t>3000-4-1</t>
        </is>
      </c>
      <c r="E25" s="38" t="inlineStr">
        <is>
          <t>기초 지반 정밀 정리 및 지내력 평판재하시험(PBT)</t>
        </is>
      </c>
      <c r="F25" s="38" t="inlineStr">
        <is>
          <t>● KDS 11 50 15 (얕은기초 설계기준)
● 교차로 노반 하부 기초 허용 지내력(최소 200 kN/m²) 도달 시험</t>
        </is>
      </c>
      <c r="G25" s="38" t="inlineStr">
        <is>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is>
      </c>
      <c r="H25" s="38" t="inlineStr">
        <is>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is>
      </c>
      <c r="I25" s="38" t="inlineStr">
        <is>
          <t>토목/노반</t>
        </is>
      </c>
      <c r="J25" s="39" t="inlineStr">
        <is>
          <t>● [토질기초] 직접기초 허용 지내력 연직지지력 저항계수 0.45 (극한한계상태), 1.0 (사용/극단한계상태)
● [토질기초] 지반의 분류: 전단파속도 Vs 기준 S1(암반) ~ S5(깊고 연약한 지반) 구분 적용</t>
        </is>
      </c>
      <c r="K25" s="130" t="inlineStr">
        <is>
          <t>● 교차로 노반 하부 지반 지내력 부족으로 트램 시공 후 부등 침하 발생(선형 변형) 리스크를 검토하였는가?</t>
        </is>
      </c>
      <c r="L25" s="130" t="inlineStr">
        <is>
          <t>● 협력사 자문 내용 없음 또는 해당사항 없음</t>
        </is>
      </c>
      <c r="M25" s="130" t="n"/>
      <c r="N25" s="130" t="n"/>
      <c r="O25" s="130" t="n"/>
      <c r="P25" s="130" t="n"/>
      <c r="Q25" s="130" t="n"/>
      <c r="S25" s="130" t="n"/>
    </row>
    <row r="26" ht="139.95" customHeight="1" s="148">
      <c r="A26" s="34" t="inlineStr">
        <is>
          <t>3000</t>
        </is>
      </c>
      <c r="B26" s="34" t="inlineStr">
        <is>
          <t>3000-4</t>
        </is>
      </c>
      <c r="C26" s="35" t="inlineStr">
        <is>
          <t>교차로 노반·RC-PC 구조물 설치 및 마감 공사</t>
        </is>
      </c>
      <c r="D26" s="34" t="inlineStr">
        <is>
          <t>3000-4-2</t>
        </is>
      </c>
      <c r="E26" s="35" t="inlineStr">
        <is>
          <t>프리캐스트(PC) 노반 구조물 크레인 정밀 거치</t>
        </is>
      </c>
      <c r="F26" s="35" t="inlineStr">
        <is>
          <t>● KCS 14 20 53 (프리캐스트 콘크리트 공사 표준시방서)
● PC 블록 접합 조인트 채움 무수축 몰탈 규정 강도(최소 30 MPa) 확보</t>
        </is>
      </c>
      <c r="G26" s="35" t="inlineStr">
        <is>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is>
      </c>
      <c r="H26" s="35" t="inlineStr">
        <is>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is>
      </c>
      <c r="I26" s="35" t="inlineStr">
        <is>
          <t>토목/노반</t>
        </is>
      </c>
      <c r="J26" s="36" t="inlineStr">
        <is>
          <t>● [구조분야] 고정하중: 철근콘크리트 24.5 kN/m3, 아스팔트 포장재 22.6 kN/m3 적용
● [구조분야] 트램 활하중: 5량 기준 총중량 632 kN (축중 63.2 kN/축) 적용</t>
        </is>
      </c>
      <c r="K26" s="130" t="inlineStr">
        <is>
          <t>● PC 노반 블록 간 조인트 단차 및 접합 무수축 몰탈 충진 부족으로 차량 진동 시 블록 이탈 리스크를 검토하였는가?</t>
        </is>
      </c>
      <c r="L26" s="130" t="inlineStr">
        <is>
          <t>● 협력사 자문 내용 없음 또는 해당사항 없음</t>
        </is>
      </c>
      <c r="M26" s="130" t="n"/>
      <c r="N26" s="130" t="n"/>
      <c r="O26" s="130" t="n"/>
      <c r="P26" s="130" t="n"/>
      <c r="Q26" s="130" t="n"/>
      <c r="S26" s="130" t="n"/>
    </row>
    <row r="27" ht="139.95" customHeight="1" s="148">
      <c r="A27" s="37" t="inlineStr">
        <is>
          <t>3000</t>
        </is>
      </c>
      <c r="B27" s="37" t="inlineStr">
        <is>
          <t>3000-5</t>
        </is>
      </c>
      <c r="C27" s="38" t="inlineStr">
        <is>
          <t>곡선부 선형설계 및 확폭 공사</t>
        </is>
      </c>
      <c r="D27" s="37" t="inlineStr">
        <is>
          <t>3000-5-1</t>
        </is>
      </c>
      <c r="E27" s="38" t="inlineStr">
        <is>
          <t>트램 곡선 구간 확폭 측량 및 캔트/슬랙 계산</t>
        </is>
      </c>
      <c r="F27" s="38" t="inlineStr">
        <is>
          <t>● 경기도 노면전차 건설 규정 제6조(최소 곡선반경 R25m 이상, 캔트/슬랙 미적용 표준)</t>
        </is>
      </c>
      <c r="G27" s="38" t="inlineStr">
        <is>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is>
      </c>
      <c r="H27" s="38" t="inlineStr">
        <is>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is>
      </c>
      <c r="I27" s="38" t="inlineStr">
        <is>
          <t>토목</t>
        </is>
      </c>
      <c r="J27" s="39" t="inlineStr">
        <is>
          <t>● 관련분야 설계기준서 준수</t>
        </is>
      </c>
      <c r="K27" s="130" t="inlineStr">
        <is>
          <t>● 캔트 부족으로 주행 트램 원심력 이탈 감지 및 비상 제동 동작(승차감 극도로 저하) 리스크를 검토하였는가?</t>
        </is>
      </c>
      <c r="L27" s="130" t="inlineStr">
        <is>
          <t>● 협력사 자문 내용 없음 또는 해당사항 없음</t>
        </is>
      </c>
      <c r="M27" s="130" t="n"/>
      <c r="N27" s="130" t="n"/>
      <c r="O27" s="130" t="n"/>
      <c r="P27" s="130" t="n"/>
      <c r="Q27" s="130" t="n"/>
      <c r="S27" s="130" t="n"/>
    </row>
    <row r="28" ht="139.95" customHeight="1" s="148">
      <c r="A28" s="34" t="inlineStr">
        <is>
          <t>3000</t>
        </is>
      </c>
      <c r="B28" s="34" t="inlineStr">
        <is>
          <t>3000-5</t>
        </is>
      </c>
      <c r="C28" s="35" t="inlineStr">
        <is>
          <t>곡선부 선형설계 및 확폭 공사</t>
        </is>
      </c>
      <c r="D28" s="34" t="inlineStr">
        <is>
          <t>3000-5-2</t>
        </is>
      </c>
      <c r="E28" s="35" t="inlineStr">
        <is>
          <t>확폭 구간 도로 굴착 및 지반 안정 시공</t>
        </is>
      </c>
      <c r="F28" s="35" t="inlineStr">
        <is>
          <t>● KCS 11 20 20 (도로 노상 및 노반 다짐)
● 확폭 경계 지반 시멘트 안정처리(CBR 10% 이상, 다짐도 98% 확보)</t>
        </is>
      </c>
      <c r="G28" s="35" t="inlineStr">
        <is>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is>
      </c>
      <c r="H28" s="35" t="inlineStr">
        <is>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is>
      </c>
      <c r="I28" s="35" t="inlineStr">
        <is>
          <t>토목</t>
        </is>
      </c>
      <c r="J28" s="36" t="inlineStr">
        <is>
          <t>● 관련분야 설계기준서 준수</t>
        </is>
      </c>
      <c r="K28" s="130" t="inlineStr">
        <is>
          <t>● 확폭 접합부 다짐 불량으로 트램 탈선방지 가드레일 설치 구간 지반 균열 발생 리스크를 검토하였는가?</t>
        </is>
      </c>
      <c r="L28" s="130" t="inlineStr">
        <is>
          <t>● 협력사 자문 내용 없음 또는 해당사항 없음</t>
        </is>
      </c>
      <c r="M28" s="130" t="n"/>
      <c r="N28" s="130" t="n"/>
      <c r="O28" s="130" t="n"/>
      <c r="P28" s="130" t="n"/>
      <c r="Q28" s="130" t="n"/>
      <c r="S28" s="130" t="n"/>
    </row>
    <row r="29" ht="139.95" customHeight="1" s="148">
      <c r="A29" s="37" t="inlineStr">
        <is>
          <t>3000</t>
        </is>
      </c>
      <c r="B29" s="37" t="inlineStr">
        <is>
          <t>3000-6</t>
        </is>
      </c>
      <c r="C29" s="38" t="inlineStr">
        <is>
          <t>교차로 신호·표지판 설치 및 도로 마감 공사</t>
        </is>
      </c>
      <c r="D29" s="37" t="inlineStr">
        <is>
          <t>3000-6-1</t>
        </is>
      </c>
      <c r="E29" s="38" t="inlineStr">
        <is>
          <t>교통신호기 지주 건주 및 제어반 결선</t>
        </is>
      </c>
      <c r="F29" s="38" t="inlineStr">
        <is>
          <t>● 경찰청 표준규격 교통신호제어기 규정 준수(LSU, Flash-EXT, PPC 등)</t>
        </is>
      </c>
      <c r="G29" s="38" t="inlineStr">
        <is>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is>
      </c>
      <c r="H29" s="38" t="inlineStr">
        <is>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is>
      </c>
      <c r="I29" s="38" t="inlineStr">
        <is>
          <t>토목/노반</t>
        </is>
      </c>
      <c r="J29" s="39" t="inlineStr">
        <is>
          <t>● 관련분야 설계기준서 준수</t>
        </is>
      </c>
      <c r="K29" s="130" t="inlineStr">
        <is>
          <t>● 수동 결선 오류로 트램 접근 시 교차로 신호 황색 등화 미표시, 일반차량 충돌 리스크를 검토하였는가?</t>
        </is>
      </c>
      <c r="L29" s="130" t="inlineStr">
        <is>
          <t>● 협력사 자문 내용 없음 또는 해당사항 없음</t>
        </is>
      </c>
      <c r="M29" s="130" t="n"/>
      <c r="N29" s="130" t="n"/>
      <c r="O29" s="130" t="n"/>
      <c r="P29" s="130" t="n"/>
      <c r="Q29" s="130" t="n"/>
      <c r="S29" s="130" t="n"/>
    </row>
    <row r="30" ht="139.95" customHeight="1" s="148">
      <c r="A30" s="34" t="inlineStr">
        <is>
          <t>3000</t>
        </is>
      </c>
      <c r="B30" s="34" t="inlineStr">
        <is>
          <t>3000-6</t>
        </is>
      </c>
      <c r="C30" s="35" t="inlineStr">
        <is>
          <t>교차로 신호·표지판 설치 및 도로 마감 공사</t>
        </is>
      </c>
      <c r="D30" s="34" t="inlineStr">
        <is>
          <t>3000-6-2</t>
        </is>
      </c>
      <c r="E30" s="35" t="inlineStr">
        <is>
          <t>도로 표지판 설치 및 트램 전용선 노면 도색</t>
        </is>
      </c>
      <c r="F30" s="35" t="inlineStr">
        <is>
          <t>● 도로표지 제작·설치 지침 및 노면 표시 표준 시방서
● 융착식 차선 도색 두께(최소 1.5mm), 야간 반사 성능 기준(백색 250, 황색 150)</t>
        </is>
      </c>
      <c r="G30" s="35" t="inlineStr">
        <is>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is>
      </c>
      <c r="H30" s="35" t="inlineStr">
        <is>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is>
      </c>
      <c r="I30" s="35" t="inlineStr">
        <is>
          <t>토목/노반</t>
        </is>
      </c>
      <c r="J30" s="36" t="inlineStr">
        <is>
          <t>● 관련분야 설계기준서 준수</t>
        </is>
      </c>
      <c r="K30" s="130" t="inlineStr">
        <is>
          <t>● 차로 도색 두께 부족으로 시공 1개월 만에 페인트 지워짐 발생 및 야간 식별 불가 리스크를 검토하였는가?</t>
        </is>
      </c>
      <c r="L30" s="130" t="inlineStr">
        <is>
          <t>● 협력사 자문 내용 없음 또는 해당사항 없음</t>
        </is>
      </c>
      <c r="M30" s="130" t="n"/>
      <c r="N30" s="130" t="n"/>
      <c r="O30" s="130" t="n"/>
      <c r="P30" s="130" t="n"/>
      <c r="Q30" s="130" t="n"/>
      <c r="S30" s="130" t="n"/>
    </row>
    <row r="31" ht="139.95" customHeight="1" s="148">
      <c r="A31" s="37" t="inlineStr">
        <is>
          <t>3000</t>
        </is>
      </c>
      <c r="B31" s="37" t="inlineStr">
        <is>
          <t>3000-6</t>
        </is>
      </c>
      <c r="C31" s="38" t="inlineStr">
        <is>
          <t>교차로 신호·표지판 설치 및 도로 마감 공사</t>
        </is>
      </c>
      <c r="D31" s="37" t="inlineStr">
        <is>
          <t>3000-6-3</t>
        </is>
      </c>
      <c r="E31" s="38" t="inlineStr">
        <is>
          <t>트램 우선신호 검지기(Loop Coil 등) 매설 시험</t>
        </is>
      </c>
      <c r="F31" s="38" t="inlineStr">
        <is>
          <t>● ITS 사업 시방서(루프검지기 부설공)
● 코일 매설 슬롯 컷팅(폭 10mm, 깊이 50mm), 루프선 절연저항 10MΩ 이상</t>
        </is>
      </c>
      <c r="G31" s="38" t="inlineStr">
        <is>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is>
      </c>
      <c r="H31" s="38" t="inlineStr">
        <is>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is>
      </c>
      <c r="I31" s="38" t="inlineStr">
        <is>
          <t>토목/노반</t>
        </is>
      </c>
      <c r="J31" s="39" t="inlineStr">
        <is>
          <t>● 관련분야 설계기준서 준수</t>
        </is>
      </c>
      <c r="K31" s="130" t="inlineStr">
        <is>
          <t>● 에폭시 충진재 내부 공극 발생으로 노면수 침투, 동절기 동결 팽창으로 루프 검지선 단선 리스크를 검토하였는가?</t>
        </is>
      </c>
      <c r="L31" s="130" t="inlineStr">
        <is>
          <t>● 협력사 자문 내용 없음 또는 해당사항 없음</t>
        </is>
      </c>
      <c r="M31" s="130" t="n"/>
      <c r="N31" s="130" t="n"/>
      <c r="O31" s="130" t="n"/>
      <c r="P31" s="130" t="n"/>
      <c r="Q31" s="130" t="n"/>
      <c r="S31" s="130" t="n"/>
    </row>
    <row r="32" ht="22.05" customHeight="1" s="148">
      <c r="A32" s="127" t="inlineStr">
        <is>
          <t>5000  본선 궤도공사 (Mainline Trackworks)</t>
        </is>
      </c>
      <c r="B32" s="128" t="n"/>
      <c r="C32" s="128" t="n"/>
      <c r="D32" s="128" t="n"/>
      <c r="E32" s="128" t="n"/>
      <c r="F32" s="128" t="n"/>
      <c r="G32" s="128" t="n"/>
      <c r="H32" s="128" t="n"/>
      <c r="I32" s="128" t="n"/>
      <c r="J32" s="128" t="n"/>
      <c r="K32" s="128" t="n"/>
      <c r="L32" s="129" t="n"/>
      <c r="M32" s="130" t="n"/>
      <c r="N32" s="130" t="n"/>
      <c r="O32" s="130" t="n"/>
      <c r="P32" s="130" t="n"/>
      <c r="Q32" s="130" t="n"/>
      <c r="S32" s="130" t="n"/>
    </row>
    <row r="33" ht="139.95" customHeight="1" s="148">
      <c r="A33" s="34" t="inlineStr">
        <is>
          <t>5000</t>
        </is>
      </c>
      <c r="B33" s="34" t="inlineStr">
        <is>
          <t>5000-1</t>
        </is>
      </c>
      <c r="C33" s="35" t="inlineStr">
        <is>
          <t>궤도 구간 지장물 조사 및 인허가 협의</t>
        </is>
      </c>
      <c r="D33" s="34" t="inlineStr">
        <is>
          <t>5000-1-1</t>
        </is>
      </c>
      <c r="E33" s="35" t="inlineStr">
        <is>
          <t>궤도 선형 하부 지하 지장물 GPR 정밀 탐지</t>
        </is>
      </c>
      <c r="F33" s="35" t="inlineStr">
        <is>
          <t>● 지하안전관리에 관한 특별법(지하매설물 정밀 안전성 평가 지침)</t>
        </is>
      </c>
      <c r="G33" s="35" t="inlineStr">
        <is>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is>
      </c>
      <c r="H33" s="35" t="inlineStr">
        <is>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is>
      </c>
      <c r="I33" s="35" t="inlineStr">
        <is>
          <t>토목/행정</t>
        </is>
      </c>
      <c r="J33" s="36" t="inlineStr">
        <is>
          <t>● 관련분야 설계기준서 준수</t>
        </is>
      </c>
      <c r="K33" s="130" t="inlineStr">
        <is>
          <t>● 지중 레이더(GPR) 탐사 생략으로 도로 하부 동공 미발견, 굴착 중 도로 함몰 사고 리스크를 검토하였는가?</t>
        </is>
      </c>
      <c r="L33" s="130" t="inlineStr">
        <is>
          <t>● 협력사 자문 내용 없음 또는 해당사항 없음</t>
        </is>
      </c>
      <c r="M33" s="130" t="n"/>
      <c r="N33" s="130" t="n"/>
      <c r="O33" s="130" t="n"/>
      <c r="P33" s="130" t="n"/>
      <c r="Q33" s="130" t="n"/>
      <c r="S33" s="130" t="n"/>
    </row>
    <row r="34" ht="139.95" customHeight="1" s="148">
      <c r="A34" s="37" t="inlineStr">
        <is>
          <t>5000</t>
        </is>
      </c>
      <c r="B34" s="37" t="inlineStr">
        <is>
          <t>5000-2</t>
        </is>
      </c>
      <c r="C34" s="38" t="inlineStr">
        <is>
          <t>궤도 구간 지장물 이설 공사</t>
        </is>
      </c>
      <c r="D34" s="37" t="inlineStr">
        <is>
          <t>5000-2-1</t>
        </is>
      </c>
      <c r="E34" s="38" t="inlineStr">
        <is>
          <t>궤도 선형 간섭 상수도/전력관 우회 이설</t>
        </is>
      </c>
      <c r="F34" s="38" t="inlineStr">
        <is>
          <t>● KCS 11 10 10 (지장물 이설공사 일반기준)
● 되메우기 재료 층별 포설 및 다짐도 95% 이상 검측</t>
        </is>
      </c>
      <c r="G34" s="38" t="inlineStr">
        <is>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is>
      </c>
      <c r="H34" s="38" t="inlineStr">
        <is>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is>
      </c>
      <c r="I34" s="38" t="inlineStr">
        <is>
          <t>토목/기계</t>
        </is>
      </c>
      <c r="J34" s="39" t="inlineStr">
        <is>
          <t>● 관련분야 설계기준서 준수</t>
        </is>
      </c>
      <c r="K34" s="130" t="inlineStr">
        <is>
          <t>● 지장물 우회 이설 후 되메우기 다짐 부족으로 준공 후 도로 침하 및 크랙 발생 리스크를 검토하였는가?</t>
        </is>
      </c>
      <c r="L34" s="130" t="inlineStr">
        <is>
          <t>● 협력사 자문 내용 없음 또는 해당사항 없음</t>
        </is>
      </c>
      <c r="M34" s="130" t="n"/>
      <c r="N34" s="130" t="n"/>
      <c r="O34" s="130" t="n"/>
      <c r="P34" s="130" t="n"/>
      <c r="Q34" s="130" t="n"/>
      <c r="S34" s="130" t="n"/>
    </row>
    <row r="35" ht="139.95" customHeight="1" s="148">
      <c r="A35" s="34" t="inlineStr">
        <is>
          <t>5000</t>
        </is>
      </c>
      <c r="B35" s="34" t="inlineStr">
        <is>
          <t>5000-3</t>
        </is>
      </c>
      <c r="C35" s="35" t="inlineStr">
        <is>
          <t>궤도 구간 이설 불가 지장물 방호·보강 공사</t>
        </is>
      </c>
      <c r="D35" s="34" t="inlineStr">
        <is>
          <t>5000-3-1</t>
        </is>
      </c>
      <c r="E35" s="35" t="inlineStr">
        <is>
          <t>이설 불가 지장물용 철근콘크리트 보호 슬래브 시공</t>
        </is>
      </c>
      <c r="F35" s="35" t="inlineStr">
        <is>
          <t>● KCS 14 20 10 (콘크리트 일반시방서)
● 보호용 철근 콘크리트 슬래브 설계 강도(24 MPa 이상) 확보</t>
        </is>
      </c>
      <c r="G35" s="35" t="inlineStr">
        <is>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is>
      </c>
      <c r="H35" s="35" t="inlineStr">
        <is>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35" s="35" t="inlineStr">
        <is>
          <t>토목</t>
        </is>
      </c>
      <c r="J35" s="36" t="inlineStr">
        <is>
          <t>● 관련분야 설계기준서 준수</t>
        </is>
      </c>
      <c r="K35" s="130" t="inlineStr">
        <is>
          <t>● 보호 콘크리트 슬래브 두께 미달 및 철근 배근 불량으로 트램 상부 통과 하중 작용 시 파손 리스크를 검토하였는가?</t>
        </is>
      </c>
      <c r="L35" s="130" t="inlineStr">
        <is>
          <t>● 협력사 자문 내용 없음 또는 해당사항 없음</t>
        </is>
      </c>
      <c r="M35" s="130" t="n"/>
      <c r="N35" s="130" t="n"/>
      <c r="O35" s="130" t="n"/>
      <c r="P35" s="130" t="n"/>
      <c r="Q35" s="130" t="n"/>
      <c r="S35" s="130" t="n"/>
    </row>
    <row r="36" ht="139.95" customHeight="1" s="148">
      <c r="A36" s="37" t="inlineStr">
        <is>
          <t>5000</t>
        </is>
      </c>
      <c r="B36" s="37" t="inlineStr">
        <is>
          <t>5000-4</t>
        </is>
      </c>
      <c r="C36" s="38" t="inlineStr">
        <is>
          <t>본선 궤도 구간 토공 굴착 및 노상 정리</t>
        </is>
      </c>
      <c r="D36" s="37" t="inlineStr">
        <is>
          <t>5000-4-1</t>
        </is>
      </c>
      <c r="E36" s="38" t="inlineStr">
        <is>
          <t>궤도 하부 구조물 정밀 굴착 및 레벨 고르기</t>
        </is>
      </c>
      <c r="F36" s="38" t="inlineStr">
        <is>
          <t>● KCS 11 20 15 (토공사 굴착 표준시방서)
● 백호우 정밀 굴착 높이 설계 계획고 오차 ±10mm 이내 관리</t>
        </is>
      </c>
      <c r="G36" s="38" t="inlineStr">
        <is>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is>
      </c>
      <c r="H36" s="38" t="inlineStr">
        <is>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is>
      </c>
      <c r="I36" s="38" t="inlineStr">
        <is>
          <t>토목</t>
        </is>
      </c>
      <c r="J36" s="39" t="inlineStr">
        <is>
          <t>● 관련분야 설계기준서 준수</t>
        </is>
      </c>
      <c r="K36" s="130" t="inlineStr">
        <is>
          <t>● 종단 경사 오차로 계획고보다 낮게 굴착하여 궤도 기초 콘크리트 물량 과다 유입 및 단차 리스크를 검토하였는가?</t>
        </is>
      </c>
      <c r="L36" s="130" t="inlineStr">
        <is>
          <t>● 협력사 자문 내용 없음 또는 해당사항 없음</t>
        </is>
      </c>
      <c r="M36" s="130" t="n"/>
      <c r="N36" s="130" t="n"/>
      <c r="O36" s="130" t="n"/>
      <c r="P36" s="130" t="n"/>
      <c r="Q36" s="130" t="n"/>
      <c r="S36" s="130" t="n"/>
    </row>
    <row r="37" ht="139.95" customHeight="1" s="148">
      <c r="A37" s="34" t="inlineStr">
        <is>
          <t>5000</t>
        </is>
      </c>
      <c r="B37" s="34" t="inlineStr">
        <is>
          <t>5000-5</t>
        </is>
      </c>
      <c r="C37" s="35" t="inlineStr">
        <is>
          <t>본선 노반(H=200mm) 다짐</t>
        </is>
      </c>
      <c r="D37" s="34" t="inlineStr">
        <is>
          <t>5000-5-1</t>
        </is>
      </c>
      <c r="E37" s="35" t="inlineStr">
        <is>
          <t>노반 층다짐 및 진동 롤러 전압 시공</t>
        </is>
      </c>
      <c r="F37" s="35" t="inlineStr">
        <is>
          <t>● KCS 11 20 20 (도로 다짐 및 다짐도 검사)
● 10톤 진동 롤러 층다짐 두께 200mm 단위 포설 및 다짐도 98% 이상 확보</t>
        </is>
      </c>
      <c r="G37" s="35" t="inlineStr">
        <is>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is>
      </c>
      <c r="H37" s="35" t="inlineStr">
        <is>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is>
      </c>
      <c r="I37" s="35" t="inlineStr">
        <is>
          <t>토목/노반</t>
        </is>
      </c>
      <c r="J37" s="36" t="inlineStr">
        <is>
          <t>● 관련분야 설계기준서 준수</t>
        </is>
      </c>
      <c r="K37" s="130" t="inlineStr">
        <is>
          <t>● 다짐 장비 운용 횟수 부족으로 지반 변형률 기준 미달, 주행 시 선로 침하 리스크를 검토하였는가?</t>
        </is>
      </c>
      <c r="L37" s="130" t="inlineStr">
        <is>
          <t>● 협력사 자문 내용 없음 또는 해당사항 없음</t>
        </is>
      </c>
      <c r="M37" s="130" t="n"/>
      <c r="N37" s="130" t="n"/>
      <c r="O37" s="130" t="n"/>
      <c r="P37" s="130" t="n"/>
      <c r="Q37" s="130" t="n"/>
      <c r="S37" s="130" t="n"/>
    </row>
    <row r="38" ht="139.95" customHeight="1" s="148">
      <c r="A38" s="37" t="inlineStr">
        <is>
          <t>5000</t>
        </is>
      </c>
      <c r="B38" s="37" t="inlineStr">
        <is>
          <t>5000-5</t>
        </is>
      </c>
      <c r="C38" s="38" t="inlineStr">
        <is>
          <t>본선 노반(H=200mm) 다짐</t>
        </is>
      </c>
      <c r="D38" s="37" t="inlineStr">
        <is>
          <t>5000-5-2</t>
        </is>
      </c>
      <c r="E38" s="38" t="inlineStr">
        <is>
          <t>토공 노반 품질 검증 및 인수 (토목➔궤도 인계)</t>
        </is>
      </c>
      <c r="F38" s="38" t="inlineStr">
        <is>
          <t>● KDS 11 50 15 (얕은기초 설계기준)
● Ev2 ≥ 80 MPa, Ev2/Ev1 비율 2.3 이하 만족</t>
        </is>
      </c>
      <c r="G38" s="38" t="inlineStr">
        <is>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is>
      </c>
      <c r="H38" s="38" t="inlineStr">
        <is>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is>
      </c>
      <c r="I38" s="38" t="inlineStr">
        <is>
          <t>토목/노반</t>
        </is>
      </c>
      <c r="J38" s="39" t="inlineStr">
        <is>
          <t>● [토질기초] 콘크리트 궤도 하부 허용 잔류침하량: 30.0mm 이하 (성토체 및 궤도구조 25mm, 열차하중 침하 5mm 합산)
● [토질기초] 흙쌓기 속도 기준: 점토층 두터운 이탄질 3.0cm/day, 보통 점토질 5.0cm/day, 얇은 점토층 10.0cm/day 이하</t>
        </is>
      </c>
      <c r="K38" s="130" t="inlineStr">
        <is>
          <t>● 함수비 조율 실패로 강화 노반 다짐도 불량, 궤도 콘크리트 슬래브 균열 전이 리스크를 검토하였는가?</t>
        </is>
      </c>
      <c r="L38" s="130" t="inlineStr">
        <is>
          <t>● 협력사 자문 내용 없음 또는 해당사항 없음</t>
        </is>
      </c>
      <c r="M38" s="130" t="n"/>
      <c r="N38" s="130" t="n"/>
      <c r="O38" s="130" t="n"/>
      <c r="P38" s="130" t="n"/>
      <c r="Q38" s="130" t="n"/>
      <c r="S38" s="130" t="n"/>
    </row>
    <row r="39" ht="139.95" customHeight="1" s="148">
      <c r="A39" s="34" t="inlineStr">
        <is>
          <t>5000</t>
        </is>
      </c>
      <c r="B39" s="34" t="inlineStr">
        <is>
          <t>5000-6</t>
        </is>
      </c>
      <c r="C39" s="35" t="inlineStr">
        <is>
          <t>본선 궤도/노반 매설물 및 기초층 설치</t>
        </is>
      </c>
      <c r="D39" s="34" t="inlineStr">
        <is>
          <t>5000-6-1</t>
        </is>
      </c>
      <c r="E39" s="35" t="inlineStr">
        <is>
          <t>도상안정층(HSB) 시공 및 유도줄눈 설치</t>
        </is>
      </c>
      <c r="F39" s="35" t="inlineStr">
        <is>
          <t>● KCS 14 20 10 (콘크리트 일반시방서)
● fck=18MPa HSB 콘크리트 두께 100mm 확보, 유도줄눈 매 5m 간격 설치</t>
        </is>
      </c>
      <c r="G39" s="35" t="inlineStr">
        <is>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is>
      </c>
      <c r="H39" s="35" t="inlineStr">
        <is>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is>
      </c>
      <c r="I39" s="35" t="inlineStr">
        <is>
          <t>토목</t>
        </is>
      </c>
      <c r="J39" s="36" t="inlineStr">
        <is>
          <t>● 관련분야 설계기준서 준수</t>
        </is>
      </c>
      <c r="K39" s="130" t="inlineStr">
        <is>
          <t>● 무근 콘크리트 타설 시 수평도 오차로 궤도 블록 거치 시 하부 충전재 두께 불균일 리스크를 검토하였는가?</t>
        </is>
      </c>
      <c r="L39" s="130" t="inlineStr">
        <is>
          <t>● [HSB유도줄눈] 보조도상 콘크리트(HSB) 층 매립 시 건조 수축 균열이 상부 도상 콘크리트로 전이되는 것을 막기 위해 매 5m 간격 균열유도줄눈을 반드시 반영할 것</t>
        </is>
      </c>
      <c r="M39" s="130" t="n"/>
      <c r="N39" s="130" t="n"/>
      <c r="O39" s="130" t="n"/>
      <c r="P39" s="130" t="n"/>
      <c r="Q39" s="130" t="n"/>
      <c r="S39" s="130" t="n"/>
    </row>
    <row r="40" ht="139.95" customHeight="1" s="148">
      <c r="A40" s="37" t="inlineStr">
        <is>
          <t>5000</t>
        </is>
      </c>
      <c r="B40" s="37" t="inlineStr">
        <is>
          <t>5000-7</t>
        </is>
      </c>
      <c r="C40" s="38" t="inlineStr">
        <is>
          <t>홈레일(Grooved Rail) 부설 및 검수</t>
        </is>
      </c>
      <c r="D40" s="37" t="inlineStr">
        <is>
          <t>5000-7-1</t>
        </is>
      </c>
      <c r="E40" s="38" t="inlineStr">
        <is>
          <t>반-PC 슬래브 배열 설치 및 스핀들 1차 정렬</t>
        </is>
      </c>
      <c r="F40" s="38" t="inlineStr">
        <is>
          <t>● KCS 14 20 53 (프리캐스트 콘크리트)
● 반-PC 슬래브 판넬 규격 오차 관리 및 거치 레벨 ±5mm 이내</t>
        </is>
      </c>
      <c r="G40" s="38" t="inlineStr">
        <is>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is>
      </c>
      <c r="H40" s="38" t="inlineStr">
        <is>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is>
      </c>
      <c r="I40" s="38" t="inlineStr">
        <is>
          <t>토목</t>
        </is>
      </c>
      <c r="J40" s="39" t="inlineStr">
        <is>
          <t>● 관련분야 설계기준서 준수</t>
        </is>
      </c>
      <c r="K40" s="130" t="inlineStr">
        <is>
          <t>● 그루브레일 밴딩 곡률 반경 오차로 현장 조립 시 선형 뒤틀림 및 궤간 확장 불가 리스크를 검토하였는가? (궤도 곡선 밴딩 [4] 연계)</t>
        </is>
      </c>
      <c r="L40" s="130" t="inlineStr">
        <is>
          <t>● [슬래브적치] 프리캐스트 반-PC 슬래브의 현장 반입 및 적치 시 균일한 수평 지지대를 배치하여 슬래브 자체의 비틀림 변형 및 모서리 깨짐을 사전 방지할 것</t>
        </is>
      </c>
      <c r="M40" s="130" t="n"/>
      <c r="N40" s="130" t="n"/>
      <c r="O40" s="130" t="n"/>
      <c r="P40" s="130" t="n"/>
      <c r="Q40" s="130" t="n"/>
      <c r="S40" s="130" t="n"/>
    </row>
    <row r="41" ht="139.95" customHeight="1" s="148">
      <c r="A41" s="34" t="inlineStr">
        <is>
          <t>5000</t>
        </is>
      </c>
      <c r="B41" s="34" t="inlineStr">
        <is>
          <t>5000-7</t>
        </is>
      </c>
      <c r="C41" s="35" t="inlineStr">
        <is>
          <t>홈레일(Grooved Rail) 부설 및 검수</t>
        </is>
      </c>
      <c r="D41" s="34" t="inlineStr">
        <is>
          <t>5000-7-2</t>
        </is>
      </c>
      <c r="E41" s="35" t="inlineStr">
        <is>
          <t>TCL 거푸집 가설 및 슬래브 정밀 선형 조정</t>
        </is>
      </c>
      <c r="F41" s="35" t="inlineStr">
        <is>
          <t>● KCS 21 10 00 (거푸집공사 표준시방서)
● 슬래브 수평/고저 및 중심선형 정밀 오차 ±2mm 이내</t>
        </is>
      </c>
      <c r="G41" s="35" t="inlineStr">
        <is>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is>
      </c>
      <c r="H41" s="35" t="inlineStr">
        <is>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is>
      </c>
      <c r="I41" s="35" t="inlineStr">
        <is>
          <t>토목</t>
        </is>
      </c>
      <c r="J41" s="36" t="inlineStr">
        <is>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is>
      </c>
      <c r="K41" s="130" t="inlineStr">
        <is>
          <t>● 정밀 측량 생략 및 지지 불량으로 궤간·수평·줄틀림 오차가 허용치(±3mm)를 초과해, 콘크리트 경화 후 도상을 전면 재시공할 리스크를 검토하였는가? (궤도 단면계획 [49])</t>
        </is>
      </c>
      <c r="L41" s="130" t="inlineStr">
        <is>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is>
      </c>
      <c r="M41" s="130" t="n"/>
      <c r="N41" s="130" t="n"/>
      <c r="O41" s="130" t="n"/>
      <c r="P41" s="130" t="n"/>
      <c r="Q41" s="130" t="n"/>
      <c r="S41" s="130" t="n"/>
    </row>
    <row r="42" ht="139.95" customHeight="1" s="148">
      <c r="A42" s="37" t="inlineStr">
        <is>
          <t>5000</t>
        </is>
      </c>
      <c r="B42" s="37" t="inlineStr">
        <is>
          <t>5000-7</t>
        </is>
      </c>
      <c r="C42" s="38" t="inlineStr">
        <is>
          <t>홈레일(Grooved Rail) 부설 및 검수</t>
        </is>
      </c>
      <c r="D42" s="37" t="inlineStr">
        <is>
          <t>5000-7-3</t>
        </is>
      </c>
      <c r="E42" s="38" t="inlineStr">
        <is>
          <t>도상 콘크리트(TCL)층 정밀 타설 및 습윤 양생</t>
        </is>
      </c>
      <c r="F42" s="38" t="inlineStr">
        <is>
          <t>● KCS 14 20 10 (콘크리트 일반시방서)
● fck=30MPa 강도 궤도도상용 콘크리트, 타설 후 최소 7일간 습윤 양생</t>
        </is>
      </c>
      <c r="G42" s="38" t="inlineStr">
        <is>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is>
      </c>
      <c r="H42" s="38" t="inlineStr">
        <is>
          <t>□ 타설 전 바닥면 이물질 청소 상태 및 습윤 상태 확인
□ TCL 콘크리트 슬럼프 및 설계 강도(30MPa) 공시체 시험 결과
□ 살수 장치 가동 상태 및 표면 습윤 양생막 유지 상태</t>
        </is>
      </c>
      <c r="I42" s="38" t="inlineStr">
        <is>
          <t>토목</t>
        </is>
      </c>
      <c r="J42" s="39" t="inlineStr">
        <is>
          <t>● 관련분야 설계기준서 준수</t>
        </is>
      </c>
      <c r="K42" s="130" t="inlineStr">
        <is>
          <t>● 현장 용접 온도 관리 및 연마 불량으로 열처리레일 경도 저하 및 미세 균열이 남아 레일 절손(파단) 사고가 발생할 리스크를 검토하였는가? (급곡선부 마감관리 [56])</t>
        </is>
      </c>
      <c r="L42" s="130" t="inlineStr">
        <is>
          <t>● [수축균열] 궤도 콘크리트(TCL) 타설 시 건조수축 균열 예방 대책을 수립할 것 (위례 현장 fck=30MPa 적용 시 10개소 이상 미세 균열 하자 조치 사례 참고)</t>
        </is>
      </c>
      <c r="M42" s="130" t="n"/>
      <c r="N42" s="130" t="n"/>
      <c r="O42" s="130" t="n"/>
      <c r="P42" s="130" t="n"/>
      <c r="Q42" s="130" t="n"/>
      <c r="S42" s="130" t="n"/>
    </row>
    <row r="43" ht="139.95" customHeight="1" s="148">
      <c r="A43" s="34" t="inlineStr">
        <is>
          <t>5000</t>
        </is>
      </c>
      <c r="B43" s="34" t="inlineStr">
        <is>
          <t>5000-7</t>
        </is>
      </c>
      <c r="C43" s="35" t="inlineStr">
        <is>
          <t>홈레일(Grooved Rail) 부설 및 검수</t>
        </is>
      </c>
      <c r="D43" s="34" t="inlineStr">
        <is>
          <t>5000-7-4</t>
        </is>
      </c>
      <c r="E43" s="35" t="inlineStr">
        <is>
          <t>레일 용접부 그라인딩 및 초음파 비파괴검사(UT)</t>
        </is>
      </c>
      <c r="F43" s="35" t="inlineStr">
        <is>
          <t>● KS B 0817 (초음파 탐상 시험법) 및 레일 용접부 비파괴 검사 규정</t>
        </is>
      </c>
      <c r="G43" s="35" t="inlineStr">
        <is>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is>
      </c>
      <c r="H43" s="35" t="inlineStr">
        <is>
          <t>□ 용접부 평탄성 오차(±0.2mm/1m 스트레이트자) 확인
□ UT 장비 캘리브레이션 및 검사 대상 용접부 일치 여부
□ 탐상 결과 합격 등급 판정 및 리포트 서명 확인</t>
        </is>
      </c>
      <c r="I43" s="35" t="inlineStr">
        <is>
          <t>토목</t>
        </is>
      </c>
      <c r="J43" s="36" t="inlineStr">
        <is>
          <t>● 관련분야 설계기준서 준수</t>
        </is>
      </c>
      <c r="K43" s="130" t="inlineStr">
        <is>
          <t>● 용접부 내부 미세 균열을 UT 검사 누락으로 확인하지 못해 운행 중 레일 단절 사고가 발생할 리스크를 검토하였는가? (궤도 단면계획 [56] 연계)</t>
        </is>
      </c>
      <c r="L43" s="130" t="inlineStr">
        <is>
          <t>● 협력사 자문 내용 없음 또는 해당사항 없음</t>
        </is>
      </c>
      <c r="M43" s="130" t="n"/>
      <c r="N43" s="130" t="n"/>
      <c r="O43" s="130" t="n"/>
      <c r="P43" s="130" t="n"/>
      <c r="Q43" s="130" t="n"/>
      <c r="S43" s="130" t="n"/>
    </row>
    <row r="44" ht="139.95" customHeight="1" s="148">
      <c r="A44" s="37" t="inlineStr">
        <is>
          <t>5000</t>
        </is>
      </c>
      <c r="B44" s="37" t="inlineStr">
        <is>
          <t>5000-8</t>
        </is>
      </c>
      <c r="C44" s="38" t="inlineStr">
        <is>
          <t>본선 포장 마감 및 노반 보정 공사</t>
        </is>
      </c>
      <c r="D44" s="37" t="inlineStr">
        <is>
          <t>5000-8-1</t>
        </is>
      </c>
      <c r="E44" s="38" t="inlineStr">
        <is>
          <t>선로 구간 노면 마감 포장(아스콘/콘크리트/잔디) 시공</t>
        </is>
      </c>
      <c r="F44" s="38" t="inlineStr">
        <is>
          <t>● KCS 44 30 05 (아스팔트 포장공) / KCS 47 20 10 (트램 매립형 포장)
● 도로 상면 높이 단차 ±3mm 이내</t>
        </is>
      </c>
      <c r="G44" s="38" t="inlineStr">
        <is>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is>
      </c>
      <c r="H44" s="38" t="inlineStr">
        <is>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is>
      </c>
      <c r="I44" s="38" t="inlineStr">
        <is>
          <t>토목/노반</t>
        </is>
      </c>
      <c r="J44" s="39" t="inlineStr">
        <is>
          <t>● 관련분야 설계기준서 준수</t>
        </is>
      </c>
      <c r="K44" s="130" t="inlineStr">
        <is>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is>
      </c>
      <c r="L44" s="130" t="inlineStr">
        <is>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is>
      </c>
      <c r="M44" s="130" t="n"/>
      <c r="N44" s="130" t="n"/>
      <c r="O44" s="130" t="n"/>
      <c r="P44" s="130" t="n"/>
      <c r="Q44" s="130" t="n"/>
      <c r="S44" s="130" t="n"/>
    </row>
    <row r="45" ht="139.95" customHeight="1" s="148">
      <c r="A45" s="34" t="inlineStr">
        <is>
          <t>5000</t>
        </is>
      </c>
      <c r="B45" s="34" t="inlineStr">
        <is>
          <t>5000-9</t>
        </is>
      </c>
      <c r="C45" s="35" t="inlineStr">
        <is>
          <t>궤도 인접 일반 차로 및 보도 복구 공사</t>
        </is>
      </c>
      <c r="D45" s="34" t="inlineStr">
        <is>
          <t>5000-9-1</t>
        </is>
      </c>
      <c r="E45" s="35" t="inlineStr">
        <is>
          <t>장대레일 테르밋 용접 및 탄성 액상 수지 주입</t>
        </is>
      </c>
      <c r="F45" s="35" t="inlineStr">
        <is>
          <t>● KCS 47 20 20 (레일용접) / EN 14811 그루브레일 충진 기준
● 수지 경화 경도 및 일체성 확보</t>
        </is>
      </c>
      <c r="G45" s="35" t="inlineStr">
        <is>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is>
      </c>
      <c r="H45" s="35" t="inlineStr">
        <is>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is>
      </c>
      <c r="I45" s="35" t="inlineStr">
        <is>
          <t>토목/노반</t>
        </is>
      </c>
      <c r="J45" s="36" t="inlineStr">
        <is>
          <t>● 관련분야 설계기준서 준수</t>
        </is>
      </c>
      <c r="K45" s="130" t="inlineStr">
        <is>
          <t>● 접합부 마감 불량에 따른 노면수 유입 동결융해 및 GIS 측량 오류로 타 관로 굴착 시 지하 궤도 설비가 훼손될 리스크를 검토하였는가? (도로복구 및 공간정보 [62])</t>
        </is>
      </c>
      <c r="L45" s="130" t="inlineStr">
        <is>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is>
      </c>
      <c r="M45" s="130" t="n"/>
      <c r="N45" s="130" t="n"/>
      <c r="O45" s="130" t="n"/>
      <c r="P45" s="130" t="n"/>
      <c r="Q45" s="130" t="n"/>
      <c r="S45" s="130" t="n"/>
    </row>
    <row r="46" ht="139.95" customHeight="1" s="148">
      <c r="A46" s="37" t="inlineStr">
        <is>
          <t>5000</t>
        </is>
      </c>
      <c r="B46" s="37" t="inlineStr">
        <is>
          <t>5000-10</t>
        </is>
      </c>
      <c r="C46" s="38" t="inlineStr">
        <is>
          <t>배수로 정비 및 도로 부대시설·경관 보정 공사</t>
        </is>
      </c>
      <c r="D46" s="37" t="inlineStr">
        <is>
          <t>5000-10-1</t>
        </is>
      </c>
      <c r="E46" s="38" t="inlineStr">
        <is>
          <t>궤도 최종 검측, 레일 표면 연마 및 시운전</t>
        </is>
      </c>
      <c r="F46" s="38" t="inlineStr">
        <is>
          <t>● KCS 47 20 10 (철도 궤도 정밀 검측) / 궤간 오차 ±1mm, 고저/수평 ±2mm 이내</t>
        </is>
      </c>
      <c r="G46" s="38" t="inlineStr">
        <is>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is>
      </c>
      <c r="H46" s="38" t="inlineStr">
        <is>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is>
      </c>
      <c r="I46" s="38" t="inlineStr">
        <is>
          <t>토목/노반</t>
        </is>
      </c>
      <c r="J46" s="39" t="inlineStr">
        <is>
          <t>● 관련분야 설계기준서 준수</t>
        </is>
      </c>
      <c r="K46" s="130" t="inlineStr">
        <is>
          <t>● 배수 트렌치 횡단 구배 불량으로 트램 레일 홈 내부에 흙먼지가 쌓여 우천 시 물 고임 및 선로 침수 리스크를 검토하였는가?</t>
        </is>
      </c>
      <c r="L46" s="130" t="inlineStr">
        <is>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is>
      </c>
      <c r="M46" s="130" t="n"/>
      <c r="N46" s="130" t="n"/>
      <c r="O46" s="130" t="n"/>
      <c r="P46" s="130" t="n"/>
      <c r="Q46" s="130" t="n"/>
      <c r="S46" s="130" t="n"/>
    </row>
    <row r="47" ht="139.95" customHeight="1" s="148">
      <c r="A47" s="34" t="inlineStr">
        <is>
          <t>5000</t>
        </is>
      </c>
      <c r="B47" s="34" t="inlineStr">
        <is>
          <t>5000-11</t>
        </is>
      </c>
      <c r="C47" s="35" t="inlineStr">
        <is>
          <t>전차선·급전 설비(DC 750V) 설치 및 기능시험</t>
        </is>
      </c>
      <c r="D47" s="34" t="inlineStr">
        <is>
          <t>5000-11-1</t>
        </is>
      </c>
      <c r="E47" s="35" t="inlineStr">
        <is>
          <t>전차선 급전주 기초 앵커 시공 및 지주 건주</t>
        </is>
      </c>
      <c r="F47" s="35" t="inlineStr">
        <is>
          <t>● KCS 47 30 20 (전차선로 지주 공사)
● 지주 기초 콘크리트 28일 압축강도(24 MPa 이상) 확보</t>
        </is>
      </c>
      <c r="G47" s="35" t="inlineStr">
        <is>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is>
      </c>
      <c r="H47" s="35" t="inlineStr">
        <is>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is>
      </c>
      <c r="I47" s="35" t="inlineStr">
        <is>
          <t>전기</t>
        </is>
      </c>
      <c r="J47" s="36" t="inlineStr">
        <is>
          <t>● 관련분야 설계기준서 준수</t>
        </is>
      </c>
      <c r="K47" s="130" t="inlineStr">
        <is>
          <t>● 지주 앵커 볼트 수직도 오차로 전차선 장력 작용 시 지주가 궤도 방향으로 기울어질 리스크를 검토하였는가?</t>
        </is>
      </c>
      <c r="L47" s="130" t="inlineStr">
        <is>
          <t>● 협력사 자문 내용 없음 또는 해당사항 없음</t>
        </is>
      </c>
      <c r="M47" s="130" t="n"/>
      <c r="N47" s="130" t="n"/>
      <c r="O47" s="130" t="n"/>
      <c r="P47" s="130" t="n"/>
      <c r="Q47" s="130" t="n"/>
      <c r="S47" s="130" t="n"/>
    </row>
    <row r="48" ht="139.95" customHeight="1" s="148">
      <c r="A48" s="37" t="inlineStr">
        <is>
          <t>5000</t>
        </is>
      </c>
      <c r="B48" s="37" t="inlineStr">
        <is>
          <t>5000-11</t>
        </is>
      </c>
      <c r="C48" s="38" t="inlineStr">
        <is>
          <t>전차선·급전 설비(DC 750V) 설치 및 기능시험</t>
        </is>
      </c>
      <c r="D48" s="37" t="inlineStr">
        <is>
          <t>5000-11-2</t>
        </is>
      </c>
      <c r="E48" s="38" t="inlineStr">
        <is>
          <t>전차선 가설 및 장력 밸런싱 조정</t>
        </is>
      </c>
      <c r="F48" s="38" t="inlineStr">
        <is>
          <t>● KCS 47 30 30 (전차선 현수 및 장선 가설 공사)
● 팬터그래프 상승방식(충전레일) 전차선 높이 4,500mm ±50mm, 편위량 ±200mm 이내, 장력 20 kN</t>
        </is>
      </c>
      <c r="G48" s="38" t="inlineStr">
        <is>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is>
      </c>
      <c r="H48" s="38" t="inlineStr">
        <is>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48" s="38" t="inlineStr">
        <is>
          <t>전기</t>
        </is>
      </c>
      <c r="J48" s="39" t="inlineStr">
        <is>
          <t>● [전기분야] 트램 차량 공급 전압: DC 750V (무가선 급전방식 원칙)
● [전기분야] 전력공급방식: 하이브리드 방식 [슈퍼캐퍼시터 + LTO 배터리] 적용</t>
        </is>
      </c>
      <c r="K48" s="130" t="inlineStr">
        <is>
          <t>● 장력 조정기 체인 오일 부족으로 와이어 고정, 겨울철 전차선 수축 시 와이어 단선 리스크를 검토하였는가?</t>
        </is>
      </c>
      <c r="L48" s="130" t="inlineStr">
        <is>
          <t>● 협력사 자문 내용 없음 또는 해당사항 없음</t>
        </is>
      </c>
      <c r="M48" s="130" t="n"/>
      <c r="N48" s="130" t="n"/>
      <c r="O48" s="130" t="n"/>
      <c r="P48" s="130" t="n"/>
      <c r="Q48" s="130" t="n"/>
      <c r="S48" s="130" t="n"/>
    </row>
    <row r="49" ht="139.95" customHeight="1" s="148">
      <c r="A49" s="34" t="inlineStr">
        <is>
          <t>5000</t>
        </is>
      </c>
      <c r="B49" s="34" t="inlineStr">
        <is>
          <t>5000-12</t>
        </is>
      </c>
      <c r="C49" s="35" t="inlineStr">
        <is>
          <t>신호·제어 설비(축차계수기 등) 설치 및 시험</t>
        </is>
      </c>
      <c r="D49" s="34" t="inlineStr">
        <is>
          <t>5000-12-1</t>
        </is>
      </c>
      <c r="E49" s="35" t="inlineStr">
        <is>
          <t>축차계수기 휠 센서 레일 가공 설치</t>
        </is>
      </c>
      <c r="F49" s="35" t="inlineStr">
        <is>
          <t>● KCS 47 40 10 (철도 신호 설비 시공 일반 및 축차계수기 설치 기준)</t>
        </is>
      </c>
      <c r="G49" s="35" t="inlineStr">
        <is>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is>
      </c>
      <c r="H49" s="35" t="inlineStr">
        <is>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is>
      </c>
      <c r="I49" s="35" t="inlineStr">
        <is>
          <t>신호</t>
        </is>
      </c>
      <c r="J49" s="36" t="inlineStr">
        <is>
          <t>● 관련분야 설계기준서 준수</t>
        </is>
      </c>
      <c r="K49" s="130" t="inlineStr">
        <is>
          <t>● 레일 웨브 구멍 타공 시 중심선 오차로 휠 센서 장착 높이 불량, 차륜 미인식 오동작 리스크를 검토하였는가?</t>
        </is>
      </c>
      <c r="L49" s="130" t="inlineStr">
        <is>
          <t>● 협력사 자문 내용 없음 또는 해당사항 없음</t>
        </is>
      </c>
      <c r="M49" s="130" t="n"/>
      <c r="N49" s="130" t="n"/>
      <c r="O49" s="130" t="n"/>
      <c r="P49" s="130" t="n"/>
      <c r="Q49" s="130" t="n"/>
      <c r="S49" s="130" t="n"/>
    </row>
    <row r="50" ht="139.95" customHeight="1" s="148">
      <c r="A50" s="37" t="inlineStr">
        <is>
          <t>5000</t>
        </is>
      </c>
      <c r="B50" s="37" t="inlineStr">
        <is>
          <t>5000-12</t>
        </is>
      </c>
      <c r="C50" s="38" t="inlineStr">
        <is>
          <t>신호·제어 설비(축차계수기 등) 설치 및 시험</t>
        </is>
      </c>
      <c r="D50" s="37" t="inlineStr">
        <is>
          <t>5000-12-2</t>
        </is>
      </c>
      <c r="E50" s="38" t="inlineStr">
        <is>
          <t>신호 장비실 제어반 단자대 결선 및 기동 시험</t>
        </is>
      </c>
      <c r="F50" s="38" t="inlineStr">
        <is>
          <t>● KCS 47 40 20 (신호 장비 조립 및 결선 및 제어반 기동 규정)</t>
        </is>
      </c>
      <c r="G50" s="38" t="inlineStr">
        <is>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is>
      </c>
      <c r="H50" s="38" t="inlineStr">
        <is>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is>
      </c>
      <c r="I50" s="38" t="inlineStr">
        <is>
          <t>신호</t>
        </is>
      </c>
      <c r="J50" s="39" t="inlineStr">
        <is>
          <t>● 관련분야 설계기준서 준수</t>
        </is>
      </c>
      <c r="K50" s="130" t="inlineStr">
        <is>
          <t>● 단자 압착 터미널의 심선 전선 압착 불량으로 열차 진동에 의한 통신 단선 리스크를 검토하였는가?</t>
        </is>
      </c>
      <c r="L50" s="130" t="inlineStr">
        <is>
          <t>● 협력사 자문 내용 없음 또는 해당사항 없음</t>
        </is>
      </c>
      <c r="M50" s="130" t="n"/>
      <c r="N50" s="130" t="n"/>
      <c r="O50" s="130" t="n"/>
      <c r="P50" s="130" t="n"/>
      <c r="Q50" s="130" t="n"/>
      <c r="S50" s="130" t="n"/>
    </row>
    <row r="51" ht="139.95" customHeight="1" s="148">
      <c r="A51" s="34" t="inlineStr">
        <is>
          <t>5000</t>
        </is>
      </c>
      <c r="B51" s="34" t="inlineStr">
        <is>
          <t>5000-13</t>
        </is>
      </c>
      <c r="C51" s="35" t="inlineStr">
        <is>
          <t>LTE-R 통신망 및 광케이블(72Core) 구축</t>
        </is>
      </c>
      <c r="D51" s="34" t="inlineStr">
        <is>
          <t>5000-13-1</t>
        </is>
      </c>
      <c r="E51" s="35" t="inlineStr">
        <is>
          <t>관로 내 광케이블 포설 및 접속 광 융착</t>
        </is>
      </c>
      <c r="F51" s="35" t="inlineStr">
        <is>
          <t>● KCS 47 50 10 (철도 정보통신 선로공사)
● 광케이블(72Core) 포설 인장력 2.9 kN 이하, 접속 손실량 Core당 0.1 dB 이하</t>
        </is>
      </c>
      <c r="G51" s="35" t="inlineStr">
        <is>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is>
      </c>
      <c r="H51" s="35" t="inlineStr">
        <is>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is>
      </c>
      <c r="I51" s="35" t="inlineStr">
        <is>
          <t>통신</t>
        </is>
      </c>
      <c r="J51" s="36" t="inlineStr">
        <is>
          <t>● 관련분야 설계기준서 준수</t>
        </is>
      </c>
      <c r="K51" s="130" t="inlineStr">
        <is>
          <t>● 광접속점 코어 정렬 오차로 접속 신호 왜곡 및 통신 불능 리스크를 검토하였는가?</t>
        </is>
      </c>
      <c r="L51" s="130" t="inlineStr">
        <is>
          <t>● 협력사 자문 내용 없음 또는 해당사항 없음</t>
        </is>
      </c>
      <c r="M51" s="130" t="n"/>
      <c r="N51" s="130" t="n"/>
      <c r="O51" s="130" t="n"/>
      <c r="P51" s="130" t="n"/>
      <c r="Q51" s="130" t="n"/>
      <c r="S51" s="130" t="n"/>
    </row>
    <row r="52" ht="22.05" customHeight="1" s="148">
      <c r="A52" s="127" t="inlineStr">
        <is>
          <t>6000  정거장 공사 (Station Construction)</t>
        </is>
      </c>
      <c r="B52" s="128" t="n"/>
      <c r="C52" s="128" t="n"/>
      <c r="D52" s="128" t="n"/>
      <c r="E52" s="128" t="n"/>
      <c r="F52" s="128" t="n"/>
      <c r="G52" s="128" t="n"/>
      <c r="H52" s="128" t="n"/>
      <c r="I52" s="128" t="n"/>
      <c r="J52" s="128" t="n"/>
      <c r="K52" s="128" t="n"/>
      <c r="L52" s="129" t="n"/>
      <c r="N52" s="130" t="n"/>
      <c r="P52" s="130" t="n"/>
    </row>
    <row r="53" ht="139.95" customHeight="1" s="148">
      <c r="A53" s="34" t="inlineStr">
        <is>
          <t>6000</t>
        </is>
      </c>
      <c r="B53" s="34" t="inlineStr">
        <is>
          <t>6000-1</t>
        </is>
      </c>
      <c r="C53" s="35" t="inlineStr">
        <is>
          <t>정거장 구간 지장물 조사 및 인허가 협의</t>
        </is>
      </c>
      <c r="D53" s="34" t="inlineStr">
        <is>
          <t>6000-1-1</t>
        </is>
      </c>
      <c r="E53" s="35" t="inlineStr">
        <is>
          <t>정거장 예정지 정밀 측량 및 매설물 지도 중첩</t>
        </is>
      </c>
      <c r="F53" s="35" t="inlineStr">
        <is>
          <t>● KCS 11 10 10 (지장물 조사공 표준시방 및 매설 정보 분석 규정)</t>
        </is>
      </c>
      <c r="G53" s="35" t="inlineStr">
        <is>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is>
      </c>
      <c r="H53" s="35" t="inlineStr">
        <is>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is>
      </c>
      <c r="I53" s="35" t="inlineStr">
        <is>
          <t>토목/행정</t>
        </is>
      </c>
      <c r="J53" s="36" t="inlineStr">
        <is>
          <t>● 관련분야 설계기준서 준수</t>
        </is>
      </c>
      <c r="K53" s="36" t="inlineStr">
        <is>
          <t>● 정거장 전력 인입관 위치 오인으로 흙막이 파일 항타 시 한전 고압 지중관 파손 리스크를 검토하였는가?</t>
        </is>
      </c>
      <c r="L53" s="130" t="inlineStr">
        <is>
          <t>● 협력사 자문 내용 없음 또는 해당사항 없음</t>
        </is>
      </c>
      <c r="N53" s="130" t="n"/>
      <c r="P53" s="130" t="n"/>
    </row>
    <row r="54" ht="139.95" customHeight="1" s="148">
      <c r="A54" s="37" t="inlineStr">
        <is>
          <t>6000</t>
        </is>
      </c>
      <c r="B54" s="37" t="inlineStr">
        <is>
          <t>6000-2</t>
        </is>
      </c>
      <c r="C54" s="38" t="inlineStr">
        <is>
          <t>정거장 구간 지장물 이설 공사</t>
        </is>
      </c>
      <c r="D54" s="37" t="inlineStr">
        <is>
          <t>6000-2-1</t>
        </is>
      </c>
      <c r="E54" s="38" t="inlineStr">
        <is>
          <t>정거장 기초 간섭 상수도/전력관 이설 시공</t>
        </is>
      </c>
      <c r="F54" s="38" t="inlineStr">
        <is>
          <t>● KCS 11 10 15 (지하시설물 이설공)
● 폴리에틸렌 피복 강관 부설 및 기밀 수압시험(1.5 MPa, 1시간 유지)</t>
        </is>
      </c>
      <c r="G54" s="38" t="inlineStr">
        <is>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is>
      </c>
      <c r="H54" s="38" t="inlineStr">
        <is>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is>
      </c>
      <c r="I54" s="38" t="inlineStr">
        <is>
          <t>토목/기계</t>
        </is>
      </c>
      <c r="J54" s="39" t="inlineStr">
        <is>
          <t>● 관련분야 설계기준서 준수</t>
        </is>
      </c>
      <c r="K54" s="39" t="inlineStr">
        <is>
          <t>● 이설 상수관 조인트부 백호우 버킷 타격으로 이경부 파손 및 매설 후 침하 리스크를 검토하였는가?</t>
        </is>
      </c>
      <c r="L54" s="130" t="inlineStr">
        <is>
          <t>● 협력사 자문 내용 없음 또는 해당사항 없음</t>
        </is>
      </c>
      <c r="N54" s="130" t="n"/>
      <c r="P54" s="130" t="n"/>
    </row>
    <row r="55" ht="139.95" customHeight="1" s="148">
      <c r="A55" s="34" t="inlineStr">
        <is>
          <t>6000</t>
        </is>
      </c>
      <c r="B55" s="34" t="inlineStr">
        <is>
          <t>6000-3</t>
        </is>
      </c>
      <c r="C55" s="35" t="inlineStr">
        <is>
          <t>정거장 구간 이설 불가 지장물 방호·보강 공사</t>
        </is>
      </c>
      <c r="D55" s="34" t="inlineStr">
        <is>
          <t>6000-3-1</t>
        </is>
      </c>
      <c r="E55" s="35" t="inlineStr">
        <is>
          <t>정거장 기초 하부 특수 지장물 콘크리트 슬라브 보강</t>
        </is>
      </c>
      <c r="F55" s="35" t="inlineStr">
        <is>
          <t>● KCS 14 20 10 (콘크리트 일반시방서) 및 지장물 강관 압입 방호 기준</t>
        </is>
      </c>
      <c r="G55" s="35" t="inlineStr">
        <is>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is>
      </c>
      <c r="H55" s="35" t="inlineStr">
        <is>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55" s="35" t="inlineStr">
        <is>
          <t>토목</t>
        </is>
      </c>
      <c r="J55" s="36" t="inlineStr">
        <is>
          <t>● 관련분야 설계기준서 준수</t>
        </is>
      </c>
      <c r="K55" s="36" t="inlineStr">
        <is>
          <t>● 거푸집 측압 보강 불량으로 타설 중 측면이 터져 지장물 파이프 내부로 몰탈 유입 리스크를 검토하였는가?</t>
        </is>
      </c>
      <c r="L55" s="130" t="inlineStr">
        <is>
          <t>● 협력사 자문 내용 없음 또는 해당사항 없음</t>
        </is>
      </c>
      <c r="N55" s="130" t="n"/>
      <c r="P55" s="130" t="n"/>
    </row>
    <row r="56" ht="139.95" customHeight="1" s="148">
      <c r="A56" s="37" t="inlineStr">
        <is>
          <t>6000</t>
        </is>
      </c>
      <c r="B56" s="37" t="inlineStr">
        <is>
          <t>6000-4</t>
        </is>
      </c>
      <c r="C56" s="38" t="inlineStr">
        <is>
          <t>정거장 부지 굴착 토공 및 가시설 설치</t>
        </is>
      </c>
      <c r="D56" s="37" t="inlineStr">
        <is>
          <t>6000-4-1</t>
        </is>
      </c>
      <c r="E56" s="38" t="inlineStr">
        <is>
          <t>정거장 노반 굴착 터파기 및 흙막이 가시설 설치</t>
        </is>
      </c>
      <c r="F56" s="38" t="inlineStr">
        <is>
          <t>● KCS 21 30 00 (가설 흙막이 표준시방 및 가시설 구조 안전 표준)</t>
        </is>
      </c>
      <c r="G56" s="38" t="inlineStr">
        <is>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is>
      </c>
      <c r="H56" s="38" t="inlineStr">
        <is>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is>
      </c>
      <c r="I56" s="38" t="inlineStr">
        <is>
          <t>토목</t>
        </is>
      </c>
      <c r="J56" s="39" t="inlineStr">
        <is>
          <t>● 관련분야 설계기준서 준수</t>
        </is>
      </c>
      <c r="K56" s="39" t="inlineStr">
        <is>
          <t>● 흙막이 벽체 이면 지반 붕괴로 정거장 배후 보도 보블록 침하 및 전신주 기울어짐 리스크를 검토하였는가?</t>
        </is>
      </c>
      <c r="L56" s="130" t="inlineStr">
        <is>
          <t>● 협력사 자문 내용 없음 또는 해당사항 없음</t>
        </is>
      </c>
      <c r="N56" s="130" t="n"/>
      <c r="P56" s="130" t="n"/>
    </row>
    <row r="57" ht="139.95" customHeight="1" s="148">
      <c r="A57" s="34" t="inlineStr">
        <is>
          <t>6000</t>
        </is>
      </c>
      <c r="B57" s="34" t="inlineStr">
        <is>
          <t>6000-5</t>
        </is>
      </c>
      <c r="C57" s="35" t="inlineStr">
        <is>
          <t>정거장 지하구조물 공사 및 기초 보정 공사</t>
        </is>
      </c>
      <c r="D57" s="34" t="inlineStr">
        <is>
          <t>6000-5-1</t>
        </is>
      </c>
      <c r="E57" s="35" t="inlineStr">
        <is>
          <t>정거장 파일 기초 평판재하시험(PBT)</t>
        </is>
      </c>
      <c r="F57" s="35" t="inlineStr">
        <is>
          <t>● KDS 11 50 15 (깊은기초 설계기준 및 파일 지지력 시험 규정)</t>
        </is>
      </c>
      <c r="G57" s="35" t="inlineStr">
        <is>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is>
      </c>
      <c r="H57" s="35" t="inlineStr">
        <is>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is>
      </c>
      <c r="I57" s="35" t="inlineStr">
        <is>
          <t>토목/노반</t>
        </is>
      </c>
      <c r="J57" s="36" t="inlineStr">
        <is>
          <t>● 관련분야 설계기준서 준수</t>
        </is>
      </c>
      <c r="K57" s="36" t="inlineStr">
        <is>
          <t>● 기초 파일 선단 지지력 부족으로 구조물 하중 작용 시 승강장 기울어짐 리스크를 검토하였는가?</t>
        </is>
      </c>
      <c r="L57" s="130" t="inlineStr">
        <is>
          <t>● 협력사 자문 내용 없음 또는 해당사항 없음</t>
        </is>
      </c>
      <c r="N57" s="130" t="n"/>
      <c r="P57" s="130" t="n"/>
    </row>
    <row r="58" ht="139.95" customHeight="1" s="148">
      <c r="A58" s="37" t="inlineStr">
        <is>
          <t>6000</t>
        </is>
      </c>
      <c r="B58" s="37" t="inlineStr">
        <is>
          <t>6000-6</t>
        </is>
      </c>
      <c r="C58" s="38" t="inlineStr">
        <is>
          <t>정거장 승강장 구조물 설치 및 마감 공사</t>
        </is>
      </c>
      <c r="D58" s="37" t="inlineStr">
        <is>
          <t>6000-6-1</t>
        </is>
      </c>
      <c r="E58" s="38" t="inlineStr">
        <is>
          <t>승강장 프리캐스트 콘크리트(PC) 바닥판 거치 시공</t>
        </is>
      </c>
      <c r="F58" s="38" t="inlineStr">
        <is>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is>
      </c>
      <c r="G58" s="38" t="inlineStr">
        <is>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is>
      </c>
      <c r="H58" s="38" t="inlineStr">
        <is>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is>
      </c>
      <c r="I58" s="38" t="inlineStr">
        <is>
          <t>토목</t>
        </is>
      </c>
      <c r="J58" s="39" t="inlineStr">
        <is>
          <t>● 관련분야 설계기준서 준수</t>
        </is>
      </c>
      <c r="K58" s="39" t="inlineStr">
        <is>
          <t>● 크레인 슬링 와이어 장탈착 중 PC판 낙하로 가장자리 파손 및 미세 크랙 방치 후 파손 리스크를 검토하였는가?</t>
        </is>
      </c>
      <c r="L58" s="130" t="inlineStr">
        <is>
          <t>● 협력사 자문 내용 없음 또는 해당사항 없음</t>
        </is>
      </c>
      <c r="N58" s="130" t="n"/>
      <c r="P58" s="130" t="n"/>
    </row>
    <row r="59" ht="139.95" customHeight="1" s="148">
      <c r="A59" s="34" t="inlineStr">
        <is>
          <t>6000</t>
        </is>
      </c>
      <c r="B59" s="34" t="inlineStr">
        <is>
          <t>6000-7</t>
        </is>
      </c>
      <c r="C59" s="35" t="inlineStr">
        <is>
          <t>정거장 조경 시설물 및 도로 마감 공사</t>
        </is>
      </c>
      <c r="D59" s="34" t="inlineStr">
        <is>
          <t>6000-7-1</t>
        </is>
      </c>
      <c r="E59" s="35" t="inlineStr">
        <is>
          <t>정거장 경계석 부설 및 승강장 접속부 도로 포장</t>
        </is>
      </c>
      <c r="F59" s="35" t="inlineStr">
        <is>
          <t>● KCS 44 30 05 (아스팔트 콘크리트 포장공)
● 정거장 경계석 부설 직선 정렬 오차 ±5mm 이내 관리</t>
        </is>
      </c>
      <c r="G59" s="35" t="inlineStr">
        <is>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is>
      </c>
      <c r="H59" s="35" t="inlineStr">
        <is>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is>
      </c>
      <c r="I59" s="35" t="inlineStr">
        <is>
          <t>토목/노반</t>
        </is>
      </c>
      <c r="J59" s="36" t="inlineStr">
        <is>
          <t>● 관련분야 설계기준서 준수</t>
        </is>
      </c>
      <c r="K59" s="36" t="inlineStr">
        <is>
          <t>● 해당 공종 리스크 분석 수립 준수</t>
        </is>
      </c>
      <c r="L59" s="130" t="inlineStr">
        <is>
          <t>● 협력사 자문 내용 없음 또는 해당사항 없음</t>
        </is>
      </c>
      <c r="N59" s="130" t="n"/>
      <c r="P59" s="130" t="n"/>
    </row>
    <row r="60" ht="139.95" customHeight="1" s="148">
      <c r="A60" s="37" t="inlineStr">
        <is>
          <t>6000</t>
        </is>
      </c>
      <c r="B60" s="37" t="inlineStr">
        <is>
          <t>6000-8</t>
        </is>
      </c>
      <c r="C60" s="38" t="inlineStr">
        <is>
          <t>정거장 안내 시스템 및 가이던스 보정 공사</t>
        </is>
      </c>
      <c r="D60" s="37" t="inlineStr">
        <is>
          <t>6000-8-1</t>
        </is>
      </c>
      <c r="E60" s="38" t="inlineStr">
        <is>
          <t>행선안내기 DID 지주 볼트 고정 및 최종 리딩 테스트</t>
        </is>
      </c>
      <c r="F60" s="38" t="inlineStr">
        <is>
          <t>● KCS 47 50 20 (여객 정보 통신 설비)
● 행선안내기 DID 지주 구조 고정 및 앵커볼트 규정 인장 토크 준수</t>
        </is>
      </c>
      <c r="G60" s="38" t="inlineStr">
        <is>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is>
      </c>
      <c r="H60" s="38" t="inlineStr">
        <is>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is>
      </c>
      <c r="I60" s="38" t="inlineStr">
        <is>
          <t>토목/노반</t>
        </is>
      </c>
      <c r="J60" s="39" t="inlineStr">
        <is>
          <t>● 관련분야 설계기준서 준수</t>
        </is>
      </c>
      <c r="K60" s="39" t="inlineStr">
        <is>
          <t>● 해당 공종 리스크 분석 수립 준수</t>
        </is>
      </c>
      <c r="L60" s="130" t="inlineStr">
        <is>
          <t>● 협력사 자문 내용 없음 또는 해당사항 없음</t>
        </is>
      </c>
      <c r="N60" s="130" t="n"/>
      <c r="P60" s="130" t="n"/>
    </row>
    <row r="61" ht="139.95" customHeight="1" s="148">
      <c r="A61" s="34" t="inlineStr">
        <is>
          <t>6000</t>
        </is>
      </c>
      <c r="B61" s="34" t="inlineStr">
        <is>
          <t>6000-9</t>
        </is>
      </c>
      <c r="C61" s="35" t="inlineStr">
        <is>
          <t>정거장 전기·조명·통신·방재 설비 설치 및 시험</t>
        </is>
      </c>
      <c r="D61" s="34" t="inlineStr">
        <is>
          <t>6000-9-1</t>
        </is>
      </c>
      <c r="E61" s="35" t="inlineStr">
        <is>
          <t>정거장 분전반 결선 및 접지 상태 검사</t>
        </is>
      </c>
      <c r="F61" s="35" t="inlineStr">
        <is>
          <t>● 전기설비기술기준(KEC)
● 분전반 메인 차단기 기동 및 접지선(6SQ 이상) 저항 100Ω 이하 확보</t>
        </is>
      </c>
      <c r="G61" s="35" t="inlineStr">
        <is>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is>
      </c>
      <c r="H61" s="35" t="inlineStr">
        <is>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is>
      </c>
      <c r="I61" s="35" t="inlineStr">
        <is>
          <t>전기/통신/방재</t>
        </is>
      </c>
      <c r="J61" s="36" t="inlineStr">
        <is>
          <t>● 관련분야 설계기준서 준수</t>
        </is>
      </c>
      <c r="K61" s="36" t="inlineStr">
        <is>
          <t>● 해당 공종 리스크 분석 수립 준수</t>
        </is>
      </c>
      <c r="L61" s="130" t="inlineStr">
        <is>
          <t>● 협력사 자문 내용 없음 또는 해당사항 없음</t>
        </is>
      </c>
      <c r="N61" s="130" t="n"/>
      <c r="P61" s="130" t="n"/>
    </row>
    <row r="62" ht="139.95" customHeight="1" s="148">
      <c r="A62" s="37" t="inlineStr">
        <is>
          <t>6000</t>
        </is>
      </c>
      <c r="B62" s="37" t="inlineStr">
        <is>
          <t>6000-10</t>
        </is>
      </c>
      <c r="C62" s="38" t="inlineStr">
        <is>
          <t>플랫폼 스크린도어(PSD) 및 CCTV 설치 및 시험</t>
        </is>
      </c>
      <c r="D62" s="37" t="inlineStr">
        <is>
          <t>6000-10-1</t>
        </is>
      </c>
      <c r="E62" s="38" t="inlineStr">
        <is>
          <t>플랫폼 스크린도어(PSD) 포스트 정밀 설치</t>
        </is>
      </c>
      <c r="F62" s="38" t="inlineStr">
        <is>
          <t>● KCS 47 40 10 (신호 및 승강장 안전문 설비)
● 승강장 안전난간 H=1.2m 설치 표준 및 PSD 프레임 고정</t>
        </is>
      </c>
      <c r="G62" s="38" t="inlineStr">
        <is>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is>
      </c>
      <c r="H62" s="38" t="inlineStr">
        <is>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is>
      </c>
      <c r="I62" s="38" t="inlineStr">
        <is>
          <t>전기/통신</t>
        </is>
      </c>
      <c r="J62" s="39" t="inlineStr">
        <is>
          <t>● 관련분야 설계기준서 준수</t>
        </is>
      </c>
      <c r="K62" s="39" t="inlineStr">
        <is>
          <t>● 해당 공종 리스크 분석 수립 준수</t>
        </is>
      </c>
      <c r="L62" s="130" t="inlineStr">
        <is>
          <t>● 협력사 자문 내용 없음 또는 해당사항 없음</t>
        </is>
      </c>
      <c r="N62" s="130" t="n"/>
      <c r="P62" s="130" t="n"/>
    </row>
    <row r="63" ht="139.95" customHeight="1" s="148">
      <c r="A63" s="34" t="inlineStr">
        <is>
          <t>6000</t>
        </is>
      </c>
      <c r="B63" s="34" t="inlineStr">
        <is>
          <t>6000-10</t>
        </is>
      </c>
      <c r="C63" s="35" t="inlineStr">
        <is>
          <t>플랫폼 스크린도어(PSD) 및 CCTV 설치 및 시험</t>
        </is>
      </c>
      <c r="D63" s="34" t="inlineStr">
        <is>
          <t>6000-10-2</t>
        </is>
      </c>
      <c r="E63" s="35" t="inlineStr">
        <is>
          <t>PSD 가동문 모터 조립 및 연동 시운전</t>
        </is>
      </c>
      <c r="F63" s="35" t="inlineStr">
        <is>
          <t>● KS C IEC 62076 (승강장 안전문 설계 및 검사)
● PSD 장애물 검지 기준(두께 10mm), 도어 연동 개폐 시간 싱크 오차 0.5초 이내</t>
        </is>
      </c>
      <c r="G63" s="35" t="inlineStr">
        <is>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is>
      </c>
      <c r="H63" s="35" t="inlineStr">
        <is>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is>
      </c>
      <c r="I63" s="35" t="inlineStr">
        <is>
          <t>전기/통신</t>
        </is>
      </c>
      <c r="J63" s="36" t="inlineStr">
        <is>
          <t>● 관련분야 설계기준서 준수</t>
        </is>
      </c>
      <c r="K63" s="36" t="inlineStr">
        <is>
          <t>● 해당 공종 리스크 분석 수립 준수</t>
        </is>
      </c>
      <c r="L63" s="36" t="inlineStr">
        <is>
          <t>● 협력사 자문 내용 없음 또는 해당사항 없음</t>
        </is>
      </c>
    </row>
    <row r="64" ht="22.05" customHeight="1" s="148">
      <c r="A64" s="127" t="inlineStr">
        <is>
          <t>7000  차량기지 공사 (Depot Construction)</t>
        </is>
      </c>
      <c r="B64" s="128" t="n"/>
      <c r="C64" s="128" t="n"/>
      <c r="D64" s="128" t="n"/>
      <c r="E64" s="128" t="n"/>
      <c r="F64" s="128" t="n"/>
      <c r="G64" s="128" t="n"/>
      <c r="H64" s="128" t="n"/>
      <c r="I64" s="128" t="n"/>
      <c r="J64" s="128" t="n"/>
      <c r="K64" s="128" t="n"/>
      <c r="L64" s="129" t="n"/>
    </row>
    <row r="65" ht="139.95" customHeight="1" s="148">
      <c r="A65" s="34" t="inlineStr">
        <is>
          <t>7000</t>
        </is>
      </c>
      <c r="B65" s="34" t="inlineStr">
        <is>
          <t>7000-1</t>
        </is>
      </c>
      <c r="C65" s="35" t="inlineStr">
        <is>
          <t>차량기지 부지조성 및 노반 토공</t>
        </is>
      </c>
      <c r="D65" s="34" t="inlineStr">
        <is>
          <t>7000-1-1</t>
        </is>
      </c>
      <c r="E65" s="35" t="inlineStr">
        <is>
          <t>차량기지 부지 대규모 성토공 및 지반 다짐</t>
        </is>
      </c>
      <c r="F65" s="35" t="inlineStr">
        <is>
          <t>● KCS 11 20 20 (도로 다짐 및 성토공)
● 대규모 기지 부지 절·성토용 토사 유기물 함량 1% 미만, 다짐도 95% 이상</t>
        </is>
      </c>
      <c r="G65" s="35" t="inlineStr">
        <is>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is>
      </c>
      <c r="H65" s="35" t="inlineStr">
        <is>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is>
      </c>
      <c r="I65" s="35" t="inlineStr">
        <is>
          <t>토목</t>
        </is>
      </c>
      <c r="J65" s="36" t="inlineStr">
        <is>
          <t>● [토질기초] 연약지반 판정기준: 점성토 층두께 10m 이상 시 N치 6 이하, 사질토 N치 15 이하 적용
● [토질기초] 차량기지 대규모 성토 시 허용 잔류침하량 100.0mm 이하 관리 (연약지반 처리 구간)</t>
        </is>
      </c>
      <c r="K65" s="36" t="inlineStr">
        <is>
          <t>● 해당 공종 리스크 분석 수립 준수</t>
        </is>
      </c>
      <c r="L65" s="36" t="inlineStr">
        <is>
          <t>● 협력사 자문 내용 없음 또는 해당사항 없음</t>
        </is>
      </c>
    </row>
    <row r="66" ht="139.95" customHeight="1" s="148">
      <c r="A66" s="37" t="inlineStr">
        <is>
          <t>7000</t>
        </is>
      </c>
      <c r="B66" s="37" t="inlineStr">
        <is>
          <t>7000-1</t>
        </is>
      </c>
      <c r="C66" s="38" t="inlineStr">
        <is>
          <t>차량기지 부지조성 및 노반 토공</t>
        </is>
      </c>
      <c r="D66" s="37" t="inlineStr">
        <is>
          <t>7000-1-2</t>
        </is>
      </c>
      <c r="E66" s="38" t="inlineStr">
        <is>
          <t>연약지반 개량(PBD 등) 배수재 포설 및 모니터링</t>
        </is>
      </c>
      <c r="F66" s="38" t="inlineStr">
        <is>
          <t>● KCS 11 30 10 (연약지반 개량 표준시방)
● PBD 삽입 간격(1.5m 격자), 상부 샌드매트 모래 점토분 함량 5% 이하 제어</t>
        </is>
      </c>
      <c r="G66" s="38" t="inlineStr">
        <is>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is>
      </c>
      <c r="H66" s="38" t="inlineStr">
        <is>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is>
      </c>
      <c r="I66" s="38" t="inlineStr">
        <is>
          <t>토목</t>
        </is>
      </c>
      <c r="J66" s="39" t="inlineStr">
        <is>
          <t>● 관련분야 설계기준서 준수</t>
        </is>
      </c>
      <c r="K66" s="39" t="inlineStr">
        <is>
          <t>● 해당 공종 리스크 분석 수립 준수</t>
        </is>
      </c>
      <c r="L66" s="39" t="inlineStr">
        <is>
          <t>● 협력사 자문 내용 없음 또는 해당사항 없음</t>
        </is>
      </c>
    </row>
    <row r="67" ht="139.95" customHeight="1" s="148">
      <c r="A67" s="34" t="inlineStr">
        <is>
          <t>7000</t>
        </is>
      </c>
      <c r="B67" s="34" t="inlineStr">
        <is>
          <t>7000-2</t>
        </is>
      </c>
      <c r="C67" s="35" t="inlineStr">
        <is>
          <t>유치선·정비선·검수선 궤도 부설 및 분기기 설치</t>
        </is>
      </c>
      <c r="D67" s="34" t="inlineStr">
        <is>
          <t>7000-2-1</t>
        </is>
      </c>
      <c r="E67" s="35" t="inlineStr">
        <is>
          <t>차량기지 내 분기기(Turnout) 정밀 거치</t>
        </is>
      </c>
      <c r="F67" s="35" t="inlineStr">
        <is>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is>
      </c>
      <c r="G67" s="35" t="inlineStr">
        <is>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is>
      </c>
      <c r="H67" s="35" t="inlineStr">
        <is>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is>
      </c>
      <c r="I67" s="35" t="inlineStr">
        <is>
          <t>토목/궤도</t>
        </is>
      </c>
      <c r="J67" s="36" t="inlineStr">
        <is>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is>
      </c>
      <c r="K67" s="36" t="inlineStr">
        <is>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is>
      </c>
      <c r="L67" s="36" t="inlineStr">
        <is>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is>
      </c>
    </row>
    <row r="68" ht="139.95" customHeight="1" s="148">
      <c r="A68" s="37" t="inlineStr">
        <is>
          <t>7000</t>
        </is>
      </c>
      <c r="B68" s="37" t="inlineStr">
        <is>
          <t>7000-2</t>
        </is>
      </c>
      <c r="C68" s="38" t="inlineStr">
        <is>
          <t>유치선·정비선·검수선 궤도 부설 및 분기기 설치</t>
        </is>
      </c>
      <c r="D68" s="37" t="inlineStr">
        <is>
          <t>7000-2-2</t>
        </is>
      </c>
      <c r="E68" s="38" t="inlineStr">
        <is>
          <t>기지 전환기(MJ81 등) 조립 및 전환력 측정 테스트</t>
        </is>
      </c>
      <c r="F68" s="38" t="inlineStr">
        <is>
          <t>● KCS 47 40 20 (철도 신호 전환 설비)
● 레일 용접: 1차(장척화) 및 2차(장대화) 용접 모두 테르밋(Thermit) 용접 적용하여 기지 전 구간 장대화 구현
● 차막이: 유압식 또는 차륜막이식 차막이 및 각종 선로제표 설치 기준 준수</t>
        </is>
      </c>
      <c r="G68" s="38" t="inlineStr">
        <is>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is>
      </c>
      <c r="H68" s="38" t="inlineStr">
        <is>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is>
      </c>
      <c r="I68" s="38" t="inlineStr">
        <is>
          <t>토목/궤도</t>
        </is>
      </c>
      <c r="J68" s="39" t="inlineStr">
        <is>
          <t>● 관련분야 설계기준서 준수</t>
        </is>
      </c>
      <c r="K68" s="39" t="inlineStr">
        <is>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is>
      </c>
      <c r="L68" s="39" t="inlineStr">
        <is>
          <t>● 협력사 자문 내용 없음 또는 해당사항 없음</t>
        </is>
      </c>
    </row>
    <row r="69" ht="139.95" customHeight="1" s="148">
      <c r="A69" s="34" t="inlineStr">
        <is>
          <t>7000</t>
        </is>
      </c>
      <c r="B69" s="34" t="inlineStr">
        <is>
          <t>7000-3</t>
        </is>
      </c>
      <c r="C69" s="35" t="inlineStr">
        <is>
          <t>검수고·관제실·부대건축물 신축 공사</t>
        </is>
      </c>
      <c r="D69" s="34" t="inlineStr">
        <is>
          <t>7000-3-1</t>
        </is>
      </c>
      <c r="E69" s="35" t="inlineStr">
        <is>
          <t>정비고 철골 구조물 기둥 세우기 및 고장력 볼트 조임</t>
        </is>
      </c>
      <c r="F69" s="35" t="inlineStr">
        <is>
          <t>● KCS 14 31 10 (강구조 공사 표준시방)
● 검수고 철골 구조물 기둥 수직도 오차 ±5mm 이내, F10T 고장력 볼트 체결</t>
        </is>
      </c>
      <c r="G69" s="35" t="inlineStr">
        <is>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is>
      </c>
      <c r="H69" s="35" t="inlineStr">
        <is>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is>
      </c>
      <c r="I69" s="35" t="inlineStr">
        <is>
          <t>건축</t>
        </is>
      </c>
      <c r="J69" s="36" t="inlineStr">
        <is>
          <t>● 관련분야 설계기준서 준수</t>
        </is>
      </c>
      <c r="K69" s="36" t="inlineStr">
        <is>
          <t>● 고장력 볼트 1차/2차 토크 조임 누락으로 지붕 트러스 가동 시 기둥 접합부 전단 파손 리스크를 검토하였는가?</t>
        </is>
      </c>
      <c r="L69" s="36" t="inlineStr">
        <is>
          <t>● 협력사 자문 내용 없음 또는 해당사항 없음</t>
        </is>
      </c>
    </row>
    <row r="70" ht="139.95" customHeight="1" s="148">
      <c r="A70" s="37" t="inlineStr">
        <is>
          <t>7000</t>
        </is>
      </c>
      <c r="B70" s="37" t="inlineStr">
        <is>
          <t>7000-4</t>
        </is>
      </c>
      <c r="C70" s="38" t="inlineStr">
        <is>
          <t>차량기지 내 급전·전기·기계 설비 설치</t>
        </is>
      </c>
      <c r="D70" s="37" t="inlineStr">
        <is>
          <t>7000-4-1</t>
        </is>
      </c>
      <c r="E70" s="38" t="inlineStr">
        <is>
          <t>검수고 내 가공 전차선(Rigid Bar) 정밀 가설</t>
        </is>
      </c>
      <c r="F70" s="38" t="inlineStr">
        <is>
          <t>● KCS 47 30 30 (전차선로 현수선 공사)
● 차량기지 내 팬터그래프 상승 충전 가공 강체 전차선(Rigid Bar)
● 알루미늄 T-Bar/리지드 바 수평도 오차 1mm 이내, 조인트 단차 0.1mm 이하 그라인딩</t>
        </is>
      </c>
      <c r="G70" s="38" t="inlineStr">
        <is>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is>
      </c>
      <c r="H70" s="38" t="inlineStr">
        <is>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70" s="38" t="inlineStr">
        <is>
          <t>전기/기계</t>
        </is>
      </c>
      <c r="J70" s="39" t="inlineStr">
        <is>
          <t>● 관련분야 설계기준서 준수</t>
        </is>
      </c>
      <c r="K70" s="39" t="inlineStr">
        <is>
          <t>● 리지드 바 조인트 단차로 팬터그래프 통과 시 스파크 발생 및 탄소판 이상 마모 리스크를 검토하였는가?</t>
        </is>
      </c>
      <c r="L70" s="39" t="inlineStr">
        <is>
          <t>● 협력사 자문 내용 없음 또는 해당사항 없음</t>
        </is>
      </c>
    </row>
    <row r="71" ht="139.95" customHeight="1" s="148">
      <c r="A71" s="34" t="inlineStr">
        <is>
          <t>7000</t>
        </is>
      </c>
      <c r="B71" s="34" t="inlineStr">
        <is>
          <t>7000-5</t>
        </is>
      </c>
      <c r="C71" s="35" t="inlineStr">
        <is>
          <t>세차·세륜 설비 및 외곽 부대시설 설치</t>
        </is>
      </c>
      <c r="D71" s="34" t="inlineStr">
        <is>
          <t>7000-5-1</t>
        </is>
      </c>
      <c r="E71" s="35" t="inlineStr">
        <is>
          <t>자동 세차기 설비 거치 및 급배수관 연결</t>
        </is>
      </c>
      <c r="F71" s="35" t="inlineStr">
        <is>
          <t>● KCS 47 50 30 (차량기지 기계 설비)
● 옥외세척고 자동 세차기 설비 앵커링 고정 표준 준수</t>
        </is>
      </c>
      <c r="G71" s="35" t="inlineStr">
        <is>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is>
      </c>
      <c r="H71" s="35" t="inlineStr">
        <is>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is>
      </c>
      <c r="I71" s="35" t="inlineStr">
        <is>
          <t>기계/토목</t>
        </is>
      </c>
      <c r="J71" s="36" t="inlineStr">
        <is>
          <t>● 관련분야 설계기준서 준수</t>
        </is>
      </c>
      <c r="K71" s="36" t="inlineStr">
        <is>
          <t>● 세차 브러시 작동 압력 실측값 미조정으로 세차 중 트램 측면 유리 스크래치 파손 리스크를 검토하였는가?</t>
        </is>
      </c>
      <c r="L71" s="36" t="inlineStr">
        <is>
          <t>● 협력사 자문 내용 없음 또는 해당사항 없음</t>
        </is>
      </c>
    </row>
    <row r="72" ht="139.95" customHeight="1" s="148">
      <c r="A72" s="37" t="inlineStr">
        <is>
          <t>7000</t>
        </is>
      </c>
      <c r="B72" s="37" t="inlineStr">
        <is>
          <t>7000-5</t>
        </is>
      </c>
      <c r="C72" s="38" t="inlineStr">
        <is>
          <t>세차·세륜 설비 및 외곽 부대시설 설치</t>
        </is>
      </c>
      <c r="D72" s="37" t="inlineStr">
        <is>
          <t>7000-5-2</t>
        </is>
      </c>
      <c r="E72" s="38" t="inlineStr">
        <is>
          <t>세차 폐수 처리조 설비 설치 및 시운전</t>
        </is>
      </c>
      <c r="F72" s="38" t="inlineStr">
        <is>
          <t>● 수질 및 수생태계 보전에 관한 법률
● 세차 폐수 처리 방류수 수질 기준(SS 20ppm 이하, pH 5.8~8.6) 달성</t>
        </is>
      </c>
      <c r="G72" s="38" t="inlineStr">
        <is>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is>
      </c>
      <c r="H72" s="38" t="inlineStr">
        <is>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is>
      </c>
      <c r="I72" s="38" t="inlineStr">
        <is>
          <t>기계/토목</t>
        </is>
      </c>
      <c r="J72" s="39" t="inlineStr">
        <is>
          <t>● 관련분야 설계기준서 준수</t>
        </is>
      </c>
      <c r="K72" s="39" t="inlineStr">
        <is>
          <t>● 폐수 응집제 과소 투입으로 방류수 부유물질(SS) 기준치 초과 지자체 고발 리스크를 검토하였는가?</t>
        </is>
      </c>
      <c r="L72" s="39" t="inlineStr">
        <is>
          <t>● 협력사 자문 내용 없음 또는 해당사항 없음</t>
        </is>
      </c>
    </row>
    <row r="73" ht="22.05" customHeight="1" s="148">
      <c r="A73" s="127" t="inlineStr">
        <is>
          <t>9000  시운전 및 인계 (Commissioning &amp; Handover)</t>
        </is>
      </c>
      <c r="B73" s="128" t="n"/>
      <c r="C73" s="128" t="n"/>
      <c r="D73" s="128" t="n"/>
      <c r="E73" s="128" t="n"/>
      <c r="F73" s="128" t="n"/>
      <c r="G73" s="128" t="n"/>
      <c r="H73" s="128" t="n"/>
      <c r="I73" s="128" t="n"/>
      <c r="J73" s="128" t="n"/>
      <c r="K73" s="128" t="n"/>
      <c r="L73" s="129" t="n"/>
    </row>
    <row r="74" ht="139.95" customHeight="1" s="148">
      <c r="A74" s="34" t="inlineStr">
        <is>
          <t>9000</t>
        </is>
      </c>
      <c r="B74" s="34" t="inlineStr">
        <is>
          <t>9000-1</t>
        </is>
      </c>
      <c r="C74" s="35" t="inlineStr">
        <is>
          <t>시스템 통합 기능시험 및 확인시험</t>
        </is>
      </c>
      <c r="D74" s="34" t="inlineStr">
        <is>
          <t>9000-1-1</t>
        </is>
      </c>
      <c r="E74" s="35" t="inlineStr">
        <is>
          <t>무부하 신호-관제센터 간 패킷 수신 테스트</t>
        </is>
      </c>
      <c r="F74" s="35" t="inlineStr">
        <is>
          <t>● KCS 47 40 10 (신호 제어 시스템 시운전)
● 본선 안테나 무선 신호 RSSI -75dBm 이상 및 패킷 유실률 0.01% 이하</t>
        </is>
      </c>
      <c r="G74" s="35" t="inlineStr">
        <is>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is>
      </c>
      <c r="H74" s="35" t="inlineStr">
        <is>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is>
      </c>
      <c r="I74" s="35" t="inlineStr">
        <is>
          <t>전기/신호/통신</t>
        </is>
      </c>
      <c r="J74" s="36" t="inlineStr">
        <is>
          <t>● 관련분야 설계기준서 준수</t>
        </is>
      </c>
      <c r="K74" s="36" t="inlineStr">
        <is>
          <t>● 무선 AP 패킷 드롭(Packet Drop)으로 운행 중 트램 위치 소실 관제 화면 먹통 리스크를 검토하였는가?</t>
        </is>
      </c>
      <c r="L74" s="36" t="inlineStr">
        <is>
          <t>● 협력사 자문 내용 없음 또는 해당사항 없음</t>
        </is>
      </c>
    </row>
    <row r="75" ht="139.95" customHeight="1" s="148">
      <c r="A75" s="37" t="inlineStr">
        <is>
          <t>9000</t>
        </is>
      </c>
      <c r="B75" s="37" t="inlineStr">
        <is>
          <t>9000-1</t>
        </is>
      </c>
      <c r="C75" s="38" t="inlineStr">
        <is>
          <t>시스템 통합 기능시험 및 확인시험</t>
        </is>
      </c>
      <c r="D75" s="37" t="inlineStr">
        <is>
          <t>9000-1-2</t>
        </is>
      </c>
      <c r="E75" s="38" t="inlineStr">
        <is>
          <t>변전소 통전 수전 및 전차선DC 가압 테스트</t>
        </is>
      </c>
      <c r="F75" s="38" t="inlineStr">
        <is>
          <t>● KCS 47 30 10 (변전 전기 설비 시운전)
● 변전소 DC 출력 전압 정밀도(DC 750V +10%/-15% 이내) 확보</t>
        </is>
      </c>
      <c r="G75" s="38" t="inlineStr">
        <is>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is>
      </c>
      <c r="H75" s="38" t="inlineStr">
        <is>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is>
      </c>
      <c r="I75" s="38" t="inlineStr">
        <is>
          <t>전기/신호/통신</t>
        </is>
      </c>
      <c r="J75" s="39" t="inlineStr">
        <is>
          <t>● 관련분야 설계기준서 준수</t>
        </is>
      </c>
      <c r="K75" s="39" t="inlineStr">
        <is>
          <t>● 보호 계전기 트립 전류 오설정으로 부하 주행 시 전원 차단기 오동작 트립 리스크를 검토하였는가?</t>
        </is>
      </c>
      <c r="L75" s="39" t="inlineStr">
        <is>
          <t>● 협력사 자문 내용 없음 또는 해당사항 없음</t>
        </is>
      </c>
    </row>
    <row r="76" ht="139.95" customHeight="1" s="148">
      <c r="A76" s="34" t="inlineStr">
        <is>
          <t>9000</t>
        </is>
      </c>
      <c r="B76" s="34" t="inlineStr">
        <is>
          <t>9000-2</t>
        </is>
      </c>
      <c r="C76" s="35" t="inlineStr">
        <is>
          <t>기술시운전 계획 수립 및 관련기관 시험 운행</t>
        </is>
      </c>
      <c r="D76" s="34" t="inlineStr">
        <is>
          <t>9000-2-1</t>
        </is>
      </c>
      <c r="E76" s="35" t="inlineStr">
        <is>
          <t>기술시운전 속도별 제동거리 정밀 실측</t>
        </is>
      </c>
      <c r="F76" s="35" t="inlineStr">
        <is>
          <t>● 철도안전법 시행규칙 제42조 및 KSD 24 10 10 (주행안전성 기준) 준수
● 트램 성능 설계 최고속도 70km/h 비상 제동거리 실측</t>
        </is>
      </c>
      <c r="G76" s="35" t="inlineStr">
        <is>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is>
      </c>
      <c r="H76" s="35" t="inlineStr">
        <is>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is>
      </c>
      <c r="I76" s="35" t="inlineStr">
        <is>
          <t>토목/전기</t>
        </is>
      </c>
      <c r="J76" s="36" t="inlineStr">
        <is>
          <t>● 관련분야 설계기준서 준수</t>
        </is>
      </c>
      <c r="K76" s="36" t="inlineStr">
        <is>
          <t>● 우천 시 활주방지장치(WSP) 반응 지연으로 비상 제동거리 설계치 초과, 충돌 위험 리스크를 검토하였는가?</t>
        </is>
      </c>
      <c r="L76" s="36" t="inlineStr">
        <is>
          <t>● 협력사 자문 내용 없음 또는 해당사항 없음</t>
        </is>
      </c>
    </row>
    <row r="77" ht="139.95" customHeight="1" s="148">
      <c r="A77" s="37" t="inlineStr">
        <is>
          <t>9000</t>
        </is>
      </c>
      <c r="B77" s="37" t="inlineStr">
        <is>
          <t>9000-2</t>
        </is>
      </c>
      <c r="C77" s="38" t="inlineStr">
        <is>
          <t>기술시운전 계획 수립 및 관련기관 시험 운행</t>
        </is>
      </c>
      <c r="D77" s="37" t="inlineStr">
        <is>
          <t>9000-2-2</t>
        </is>
      </c>
      <c r="E77" s="38" t="inlineStr">
        <is>
          <t>궤도-차량 동적 거동 승차감 진동 측정</t>
        </is>
      </c>
      <c r="F77" s="38" t="inlineStr">
        <is>
          <t>● ISO 2631 (전신 진동에 대한 인체 노출 평가 기준)
● 궤도-차량 간 주행시 3축 가속도 측정기 기준 승차감 지수 Wz 2.5 이하</t>
        </is>
      </c>
      <c r="G77" s="38" t="inlineStr">
        <is>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is>
      </c>
      <c r="H77" s="38" t="inlineStr">
        <is>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is>
      </c>
      <c r="I77" s="38" t="inlineStr">
        <is>
          <t>토목/전기</t>
        </is>
      </c>
      <c r="J77" s="39" t="inlineStr">
        <is>
          <t>● 관련분야 설계기준서 준수</t>
        </is>
      </c>
      <c r="K77" s="39" t="inlineStr">
        <is>
          <t>● 곡선 진입부 횡가속도 허용치 초과로 승차감 지수 불합격, 재운행 시운전 명령 리스크를 검토하였는가?</t>
        </is>
      </c>
      <c r="L77" s="39" t="inlineStr">
        <is>
          <t>● 협력사 자문 내용 없음 또는 해당사항 없음</t>
        </is>
      </c>
    </row>
    <row r="78" ht="139.95" customHeight="1" s="148">
      <c r="A78" s="34" t="inlineStr">
        <is>
          <t>9000</t>
        </is>
      </c>
      <c r="B78" s="34" t="inlineStr">
        <is>
          <t>9000-3</t>
        </is>
      </c>
      <c r="C78" s="35" t="inlineStr">
        <is>
          <t>영업시운전 및 관련기관 시험 운행</t>
        </is>
      </c>
      <c r="D78" s="34" t="inlineStr">
        <is>
          <t>9000-3-1</t>
        </is>
      </c>
      <c r="E78" s="35" t="inlineStr">
        <is>
          <t>영업시운전 100회 정시 운행(Scheduled Run) 테스트</t>
        </is>
      </c>
      <c r="F78" s="35" t="inlineStr">
        <is>
          <t>● 도시철도법 제19조 및 철도종합시험운행 시행지침
● 모의 영업 시나리오 기반 100회 정시 운행 성공률 99.8% 이상 확보</t>
        </is>
      </c>
      <c r="G78" s="35" t="inlineStr">
        <is>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is>
      </c>
      <c r="H78" s="35" t="inlineStr">
        <is>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is>
      </c>
      <c r="I78" s="35" t="inlineStr">
        <is>
          <t>토목/전기전문</t>
        </is>
      </c>
      <c r="J78" s="36" t="inlineStr">
        <is>
          <t>● 관련분야 설계기준서 준수</t>
        </is>
      </c>
      <c r="K78" s="36" t="inlineStr">
        <is>
          <t>● 정거장 정차 시간 마진 설정 오류로 누적 지연 발생, 피크 시간대 배차 간격 붕괴 리스크를 검토하였는가?</t>
        </is>
      </c>
      <c r="L78" s="36" t="inlineStr">
        <is>
          <t>● 협력사 자문 내용 없음 또는 해당사항 없음</t>
        </is>
      </c>
    </row>
    <row r="79" ht="139.95" customHeight="1" s="148">
      <c r="A79" s="37" t="inlineStr">
        <is>
          <t>9000</t>
        </is>
      </c>
      <c r="B79" s="37" t="inlineStr">
        <is>
          <t>9000-4</t>
        </is>
      </c>
      <c r="C79" s="38" t="inlineStr">
        <is>
          <t>최종 검측 및 준공도서 작성·인계 준비</t>
        </is>
      </c>
      <c r="D79" s="37" t="inlineStr">
        <is>
          <t>9000-4-1</t>
        </is>
      </c>
      <c r="E79" s="38" t="inlineStr">
        <is>
          <t>전 구간 준공도면(As-Built) CAD 실측 정밀 검증</t>
        </is>
      </c>
      <c r="F79" s="38" t="inlineStr">
        <is>
          <t>● KCS 11 10 05 (건설사업 준공 처리 지침)
● As-Built 준공도면 측량 오차 범위(±30mm 이내) 충족</t>
        </is>
      </c>
      <c r="G79" s="38" t="inlineStr">
        <is>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is>
      </c>
      <c r="H79" s="38" t="inlineStr">
        <is>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79" s="38" t="inlineStr">
        <is>
          <t>전기전문</t>
        </is>
      </c>
      <c r="J79" s="39" t="inlineStr">
        <is>
          <t>● 관련분야 설계기준서 준수</t>
        </is>
      </c>
      <c r="K79" s="39" t="inlineStr">
        <is>
          <t>● 지장물 임시 이설 후 최종 복구 도면 미반영으로 타사 타공사 시 이설관 파손 리스크를 검토하였는가?</t>
        </is>
      </c>
      <c r="L79" s="39" t="inlineStr">
        <is>
          <t>● 협력사 자문 내용 없음 또는 해당사항 없음</t>
        </is>
      </c>
    </row>
    <row r="80" ht="139.95" customHeight="1" s="148">
      <c r="A80" s="34" t="inlineStr">
        <is>
          <t>9000</t>
        </is>
      </c>
      <c r="B80" s="34" t="inlineStr">
        <is>
          <t>9000-5</t>
        </is>
      </c>
      <c r="C80" s="35" t="inlineStr">
        <is>
          <t>최종 준공검사 및 운영기관 Handover</t>
        </is>
      </c>
      <c r="D80" s="34" t="inlineStr">
        <is>
          <t>9000-5-1</t>
        </is>
      </c>
      <c r="E80" s="35" t="inlineStr">
        <is>
          <t>최종 운영기관 인계 인수서 날인 및 키 핸드오버</t>
        </is>
      </c>
      <c r="F80" s="35" t="inlineStr">
        <is>
          <t>● 발주처 국유재산 인계인수 지침 및 핸드오버 매뉴얼 규정</t>
        </is>
      </c>
      <c r="G80" s="35" t="inlineStr">
        <is>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is>
      </c>
      <c r="H80" s="35" t="inlineStr">
        <is>
          <t>□ 마스터 키 일체 및 보안 장비 인수인계 대장 대조 완료
□ 예비 부품 실물 확인 및 전산 입력 매칭 확인
□ 최종 인수 서명 날인 원본 서류 3부 분산 보관</t>
        </is>
      </c>
      <c r="I80" s="35" t="inlineStr">
        <is>
          <t>전기전문</t>
        </is>
      </c>
      <c r="J80" s="36" t="inlineStr">
        <is>
          <t>● 관련분야 설계기준서 준수</t>
        </is>
      </c>
      <c r="K80" s="36" t="inlineStr">
        <is>
          <t>● 장비 예비 부품 대장 수량 불일치로 인수거부 발생, 하자 관리 기간 개시 지연 리스크를 검토하였는가?</t>
        </is>
      </c>
      <c r="L80" s="36" t="inlineStr">
        <is>
          <t>● 협력사 자문 내용 없음 또는 해당사항 없음</t>
        </is>
      </c>
    </row>
  </sheetData>
  <autoFilter ref="A3:P88"/>
  <mergeCells count="8">
    <mergeCell ref="A73:L73"/>
    <mergeCell ref="A64:L64"/>
    <mergeCell ref="A52:L52"/>
    <mergeCell ref="A1:L1"/>
    <mergeCell ref="A32:L32"/>
    <mergeCell ref="A17:L17"/>
    <mergeCell ref="A12:L12"/>
    <mergeCell ref="A4:L4"/>
  </mergeCells>
  <printOptions horizontalCentered="1"/>
  <pageMargins left="0.7480314960629921" right="0.7480314960629921" top="0.984251968503937" bottom="0.984251968503937" header="0.5118110236220472" footer="0.5118110236220472"/>
  <pageSetup orientation="landscape" paperSize="8" scale="36" verticalDpi="0"/>
  <rowBreaks count="1" manualBreakCount="1">
    <brk id="71" min="0" max="8" man="1"/>
  </rowBreaks>
</worksheet>
</file>

<file path=xl/worksheets/sheet3.xml><?xml version="1.0" encoding="utf-8"?>
<worksheet xmlns="http://schemas.openxmlformats.org/spreadsheetml/2006/main">
  <sheetPr codeName="Sheet12">
    <outlinePr summaryBelow="1" summaryRight="1"/>
    <pageSetUpPr/>
  </sheetPr>
  <dimension ref="A1:Q37"/>
  <sheetViews>
    <sheetView workbookViewId="0">
      <selection activeCell="A1" sqref="A1"/>
    </sheetView>
  </sheetViews>
  <sheetFormatPr baseColWidth="8" defaultRowHeight="17.4"/>
  <cols>
    <col width="10" customWidth="1" style="148" min="1" max="2"/>
    <col width="16" customWidth="1" style="148" min="3" max="3"/>
    <col width="12" customWidth="1" style="148" min="4" max="4"/>
    <col width="16" customWidth="1" style="148" min="5" max="5"/>
    <col width="28" customWidth="1" style="148" min="6" max="6"/>
    <col width="24" customWidth="1" style="148" min="7" max="7"/>
    <col width="26" customWidth="1" style="148" min="8" max="8"/>
    <col width="32" customWidth="1" style="148" min="9" max="9"/>
    <col width="55" customWidth="1" style="148" min="10" max="10"/>
    <col width="32" customWidth="1" style="148" min="11" max="11"/>
    <col width="35" customWidth="1" style="148" min="12" max="12"/>
    <col width="22" customWidth="1" style="148" min="13" max="13"/>
    <col width="40" customWidth="1" style="148" min="14" max="14"/>
    <col width="22" customWidth="1" style="148" min="15" max="15"/>
    <col width="40" customWidth="1" style="148" min="16" max="16"/>
    <col width="22" customWidth="1" style="148" min="17" max="17"/>
  </cols>
  <sheetData>
    <row r="1" ht="28.05" customHeight="1" s="148">
      <c r="A1" s="116" t="inlineStr">
        <is>
          <t>L2 코드</t>
        </is>
      </c>
      <c r="B1" s="116" t="inlineStr">
        <is>
          <t>L3 코드</t>
        </is>
      </c>
      <c r="C1" s="116" t="inlineStr">
        <is>
          <t>L3 대공종명</t>
        </is>
      </c>
      <c r="D1" s="116" t="inlineStr">
        <is>
          <t>L4 코드</t>
        </is>
      </c>
      <c r="E1" s="116" t="inlineStr">
        <is>
          <t>일정 (D-Day)</t>
        </is>
      </c>
      <c r="F1" s="116" t="inlineStr">
        <is>
          <t>작업단위 (Level 4 Task/Activity)</t>
        </is>
      </c>
      <c r="G1" s="116" t="inlineStr">
        <is>
          <t>주관</t>
        </is>
      </c>
      <c r="H1" s="116" t="inlineStr">
        <is>
          <t>협업부서</t>
        </is>
      </c>
      <c r="I1" s="116" t="inlineStr">
        <is>
          <t>목적</t>
        </is>
      </c>
      <c r="J1" s="116" t="inlineStr">
        <is>
          <t>방법</t>
        </is>
      </c>
      <c r="K1" s="116" t="inlineStr">
        <is>
          <t>산출물(결과)</t>
        </is>
      </c>
      <c r="L1" s="116" t="inlineStr">
        <is>
          <t>표준서 (Standard) 요약</t>
        </is>
      </c>
      <c r="M1" s="116" t="inlineStr">
        <is>
          <t>표준서 파일 (HTML)</t>
        </is>
      </c>
      <c r="N1" s="116" t="inlineStr">
        <is>
          <t>수행지침 (Guideline) 요약</t>
        </is>
      </c>
      <c r="O1" s="116" t="inlineStr">
        <is>
          <t>수행지침 파일 (HTML)</t>
        </is>
      </c>
      <c r="P1" s="116" t="inlineStr">
        <is>
          <t>체크리스트 (Checklist) 요약</t>
        </is>
      </c>
      <c r="Q1" s="116" t="inlineStr">
        <is>
          <t>체크리스트 파일 (HTML)</t>
        </is>
      </c>
    </row>
    <row r="2" ht="45" customHeight="1" s="148">
      <c r="A2" s="98" t="inlineStr">
        <is>
          <t>9000</t>
        </is>
      </c>
      <c r="B2" s="98" t="inlineStr">
        <is>
          <t>9000-0</t>
        </is>
      </c>
      <c r="C2" s="98" t="inlineStr">
        <is>
          <t>사전준비_지반조사</t>
        </is>
      </c>
      <c r="D2" s="98" t="inlineStr">
        <is>
          <t>9000-0-1</t>
        </is>
      </c>
      <c r="E2" s="101" t="inlineStr">
        <is>
          <t>사전영업</t>
        </is>
      </c>
      <c r="F2" s="110" t="inlineStr">
        <is>
          <t>발주처 계획 입수(비공식)</t>
        </is>
      </c>
      <c r="G2" s="103" t="inlineStr">
        <is>
          <t>토목사업팀</t>
        </is>
      </c>
      <c r="H2" s="103" t="inlineStr">
        <is>
          <t>지반조사업체, 외부지질전문가 3인이상</t>
        </is>
      </c>
      <c r="I2" s="102" t="inlineStr">
        <is>
          <t>발주처 기본계획 사전 검토</t>
        </is>
      </c>
      <c r="J2" s="102" t="inlineStr">
        <is>
          <t>• 조사설계 용역 기본계획 도서 확보 여부 확인
• 핵심이슈 (미시추 사유, 지층/암반등급 조정여부 등) 확보 여부 확인
• 사업지 연접 지질/지반조사 자료 확보 여부 확인</t>
        </is>
      </c>
      <c r="K2" s="110" t="inlineStr">
        <is>
          <t>발주처 기본계획 보고서</t>
        </is>
      </c>
      <c r="L2" s="102" t="inlineStr">
        <is>
          <t>발주처 기본계획 사전 검토 | 발주처 기본계획 보고서</t>
        </is>
      </c>
      <c r="M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 s="102" t="inlineStr">
        <is>
          <t>• 조사설계 용역 기본계획 도서 확보 여부 확인 • 핵심이슈 (미시추 사유, 지층/암반등급 조정여부 등) 확보 여부 확인 • 사업지 연접 지질/지반조사 자료 확보 여부 확인</t>
        </is>
      </c>
      <c r="O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 s="102" t="inlineStr">
        <is>
          <t>1) 발주처 계획 입수(비공식) 적정성을 확인하였는가? 2) 발주처 기본계획 보고서 산출물을 확보하였는가?</t>
        </is>
      </c>
      <c r="Q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 ht="45" customHeight="1" s="148">
      <c r="A3" s="105" t="inlineStr">
        <is>
          <t>9000</t>
        </is>
      </c>
      <c r="B3" s="105" t="inlineStr">
        <is>
          <t>9000-0</t>
        </is>
      </c>
      <c r="C3" s="105" t="inlineStr">
        <is>
          <t>사전준비_지반조사</t>
        </is>
      </c>
      <c r="D3" s="105" t="inlineStr">
        <is>
          <t>9000-0-2</t>
        </is>
      </c>
      <c r="E3" s="107" t="inlineStr">
        <is>
          <t>사전영업</t>
        </is>
      </c>
      <c r="F3" s="106" t="inlineStr">
        <is>
          <t>관심프로젝트 선정</t>
        </is>
      </c>
      <c r="G3" s="109" t="inlineStr">
        <is>
          <t>토목사업팀</t>
        </is>
      </c>
      <c r="H3" s="109" t="inlineStr">
        <is>
          <t>포스코스마트엔지니어링팀</t>
        </is>
      </c>
      <c r="I3" s="108" t="inlineStr">
        <is>
          <t>입수된 발주정보 평가를 통한 관심 Project 선정</t>
        </is>
      </c>
      <c r="J3" s="108" t="inlineStr">
        <is>
          <t>• 해당 프로젝트별 발주처/경쟁동향 / 사업성평가 수행
• 기술형입찰 입찰참여 Guide Line으로 해당 프로젝트 평가</t>
        </is>
      </c>
      <c r="K3" s="106" t="inlineStr">
        <is>
          <t>관심사업 List</t>
        </is>
      </c>
      <c r="L3" s="108" t="inlineStr">
        <is>
          <t>입수된 발주정보 평가를 통한 관심 Project 선정 | 관심사업 List</t>
        </is>
      </c>
      <c r="M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 s="108" t="inlineStr">
        <is>
          <t>• 해당 프로젝트별 발주처/경쟁동향 / 사업성평가 수행 • 기술형입찰 입찰참여 Guide Line으로 해당 프로젝트 평가</t>
        </is>
      </c>
      <c r="O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 s="108" t="inlineStr">
        <is>
          <t>1) 관심프로젝트 선정 적정성을 확인하였는가? 2) 관심사업 List 산출물을 확보하였는가?</t>
        </is>
      </c>
      <c r="Q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4" ht="45" customHeight="1" s="148">
      <c r="A4" s="98" t="inlineStr">
        <is>
          <t>9000</t>
        </is>
      </c>
      <c r="B4" s="98" t="inlineStr">
        <is>
          <t>9000-0</t>
        </is>
      </c>
      <c r="C4" s="98" t="inlineStr">
        <is>
          <t>사전준비_지반조사</t>
        </is>
      </c>
      <c r="D4" s="98" t="inlineStr">
        <is>
          <t>9000-0-3</t>
        </is>
      </c>
      <c r="E4" s="101" t="inlineStr">
        <is>
          <t>사전영업</t>
        </is>
      </c>
      <c r="F4" s="110" t="inlineStr">
        <is>
          <t>발주처 지반조사 모니터링</t>
        </is>
      </c>
      <c r="G4" s="103" t="inlineStr">
        <is>
          <t>포스코스마트엔지니어링팀</t>
        </is>
      </c>
      <c r="H4" s="103" t="inlineStr">
        <is>
          <t>토목사업팀</t>
        </is>
      </c>
      <c r="I4" s="102" t="inlineStr">
        <is>
          <t>발주처 지반조사 수립업체 파악</t>
        </is>
      </c>
      <c r="J4" s="102" t="inlineStr">
        <is>
          <t>• 발주처 지반조사업체 확인 후 당사 Pool List와 비교
• 발주처 지반조사 업체 확인팀 Contact Point 확보</t>
        </is>
      </c>
      <c r="K4" s="110" t="inlineStr">
        <is>
          <t>발주처 기본계획 수행 List + Contact Point List</t>
        </is>
      </c>
      <c r="L4" s="102" t="inlineStr">
        <is>
          <t>발주처 지반조사 수립업체 파악 | 발주처 기본계획 수행 List + Contact Point List</t>
        </is>
      </c>
      <c r="M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4" s="102" t="inlineStr">
        <is>
          <t>• 발주처 지반조사업체 확인 후 당사 Pool List와 비교 • 발주처 지반조사 업체 확인팀 Contact Point 확보</t>
        </is>
      </c>
      <c r="O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4" s="102" t="inlineStr">
        <is>
          <t>1) 발주처 지반조사 모니터링 적정성을 확인하였는가? 2) 발주처 기본계획 수행 List + Contact Point List 산출물을 확보하였는가?</t>
        </is>
      </c>
      <c r="Q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5" ht="45" customHeight="1" s="148">
      <c r="A5" s="105" t="inlineStr">
        <is>
          <t>9000</t>
        </is>
      </c>
      <c r="B5" s="105" t="inlineStr">
        <is>
          <t>9000-0</t>
        </is>
      </c>
      <c r="C5" s="105" t="inlineStr">
        <is>
          <t>사전준비_지반조사</t>
        </is>
      </c>
      <c r="D5" s="105" t="inlineStr">
        <is>
          <t>9000-0-4</t>
        </is>
      </c>
      <c r="E5" s="107" t="inlineStr">
        <is>
          <t>매년 1분기</t>
        </is>
      </c>
      <c r="F5" s="106" t="inlineStr">
        <is>
          <t>외부 지질전문가 Pool 관리</t>
        </is>
      </c>
      <c r="G5" s="109" t="inlineStr">
        <is>
          <t>포스코스마트엔지니어링팀</t>
        </is>
      </c>
      <c r="H5" s="109" t="inlineStr">
        <is>
          <t>-</t>
        </is>
      </c>
      <c r="I5" s="108" t="inlineStr">
        <is>
          <t>지반조사 품질향상을 위한 제3자 검증 수행 지반조사 전문가 Pool 관리</t>
        </is>
      </c>
      <c r="J5" s="108" t="inlineStr">
        <is>
          <t>• Academic 전문가와 현장 전문가를 포함한 Pool 구성
• 전문가 Pool의 학력/기술사 등 경력사항(조사 15년) 확인</t>
        </is>
      </c>
      <c r="K5" s="106" t="inlineStr">
        <is>
          <t>외부지질전문가 Pool List</t>
        </is>
      </c>
      <c r="L5" s="108" t="inlineStr">
        <is>
          <t>지반조사 품질향상을 위한 제3자 검증 수행 지반조사 전문가 Pool 관리 | 외부지질전문가 Pool List</t>
        </is>
      </c>
      <c r="M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5" s="108" t="inlineStr">
        <is>
          <t>• Academic 전문가와 현장 전문가를 포함한 Pool 구성 • 전문가 Pool의 학력/기술사 등 경력사항(조사 15년) 확인</t>
        </is>
      </c>
      <c r="O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5" s="108" t="inlineStr">
        <is>
          <t>1) 외부 지질전문가 Pool 관리 적정성을 확인하였는가? 2) 외부지질전문가 Pool List 산출물을 확보하였는가?</t>
        </is>
      </c>
      <c r="Q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6" ht="45" customHeight="1" s="148">
      <c r="A6" s="98" t="inlineStr">
        <is>
          <t>9000</t>
        </is>
      </c>
      <c r="B6" s="98" t="inlineStr">
        <is>
          <t>9000-0</t>
        </is>
      </c>
      <c r="C6" s="98" t="inlineStr">
        <is>
          <t>사전준비_지반조사</t>
        </is>
      </c>
      <c r="D6" s="98" t="inlineStr">
        <is>
          <t>9000-0-5</t>
        </is>
      </c>
      <c r="E6" s="101" t="inlineStr">
        <is>
          <t>매년 1분기</t>
        </is>
      </c>
      <c r="F6" s="110" t="inlineStr">
        <is>
          <t>지반조사 Pool 관리</t>
        </is>
      </c>
      <c r="G6" s="103" t="inlineStr">
        <is>
          <t>외주구매팀</t>
        </is>
      </c>
      <c r="H6" s="103" t="inlineStr">
        <is>
          <t>포스코스마트엔지니어링팀</t>
        </is>
      </c>
      <c r="I6" s="102" t="inlineStr">
        <is>
          <t>발주처 계획 대응 및 개략 지반조사 결과 사전 예측을 위한 업체 관리</t>
        </is>
      </c>
      <c r="J6" s="102" t="inlineStr">
        <is>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is>
      </c>
      <c r="K6" s="110" t="inlineStr">
        <is>
          <t>조사업체 POOL/필요시 Update</t>
        </is>
      </c>
      <c r="L6" s="102" t="inlineStr">
        <is>
          <t>발주처 계획 대응 및 개략 지반조사 결과 사전 예측을 위한 업체 관리 | 조사업체 POOL/필요시 Update</t>
        </is>
      </c>
      <c r="M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6" s="102" t="inlineStr">
        <is>
          <t>• 공공기관별 입찰공고 모니터링 통한 지반조사업체 입찰참여 유치(입찰 공사 여부 확인) • 업체 Pool List 갱신 여부 확인 • 지반조사업체 역량 및 기술수준 평가표 평가 여부 확인 (Pool 갱신 및 신규업체...</t>
        </is>
      </c>
      <c r="O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6" s="102" t="inlineStr">
        <is>
          <t>1) 지반조사 Pool 관리 적정성을 확인하였는가? 2) 조사업체 POOL/필요시 Update 산출물을 확보하였는가?</t>
        </is>
      </c>
      <c r="Q6"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7" ht="28.05" customHeight="1" s="148">
      <c r="A7" s="105" t="inlineStr">
        <is>
          <t>9000</t>
        </is>
      </c>
      <c r="B7" s="105" t="inlineStr">
        <is>
          <t>9000-0</t>
        </is>
      </c>
      <c r="C7" s="105" t="inlineStr">
        <is>
          <t>사전준비_지반조사</t>
        </is>
      </c>
      <c r="D7" s="105" t="inlineStr">
        <is>
          <t>9000-0-6</t>
        </is>
      </c>
      <c r="E7" s="107" t="inlineStr">
        <is>
          <t>D-210 ~ D-180</t>
        </is>
      </c>
      <c r="F7" s="106" t="inlineStr">
        <is>
          <t>기본계획 지반조사 자료 및 R/O 정보 입수</t>
        </is>
      </c>
      <c r="G7" s="109" t="inlineStr">
        <is>
          <t>지반조사 협력업체</t>
        </is>
      </c>
      <c r="H7" s="109" t="inlineStr">
        <is>
          <t>설계 협력업체</t>
        </is>
      </c>
      <c r="I7" s="108" t="inlineStr">
        <is>
          <t>발주처 기본계획 및 지반조사 결과 사전 획득</t>
        </is>
      </c>
      <c r="J7" s="108" t="inlineStr">
        <is>
          <t>• 기본계획 지반조사결과 및 실시설계 Contact을 통한 자료입수</t>
        </is>
      </c>
      <c r="K7" s="106" t="inlineStr">
        <is>
          <t>발주처 기본계획 보고서 및 지반조사 보고서(비공식)</t>
        </is>
      </c>
      <c r="L7" s="108" t="inlineStr">
        <is>
          <t>발주처 기본계획 및 지반조사 결과 사전 획득 | 발주처 기본계획 보고서 및 지반조사 보고서(비공식)</t>
        </is>
      </c>
      <c r="M7"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7" s="108" t="inlineStr">
        <is>
          <t>• 기본계획 지반조사결과 및 실시설계 Contact을 통한 자료입수</t>
        </is>
      </c>
      <c r="O7"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7" s="108" t="inlineStr">
        <is>
          <t>1) 기본계획 지반조사 자료 및 R/O 정보 입수 적정성을 확인하였는가? 2) 발주처 기본계획 보고서 및 지반조사 보고서(비공식) 산출물을 확보하였는가?</t>
        </is>
      </c>
      <c r="Q7"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8" ht="45" customHeight="1" s="148">
      <c r="A8" s="98" t="inlineStr">
        <is>
          <t>9000</t>
        </is>
      </c>
      <c r="B8" s="98" t="inlineStr">
        <is>
          <t>9000-0</t>
        </is>
      </c>
      <c r="C8" s="98" t="inlineStr">
        <is>
          <t>사전준비_지반조사</t>
        </is>
      </c>
      <c r="D8" s="98" t="inlineStr">
        <is>
          <t>9000-0-7</t>
        </is>
      </c>
      <c r="E8" s="101" t="inlineStr">
        <is>
          <t>D-180 ~ D-165</t>
        </is>
      </c>
      <c r="F8" s="110" t="inlineStr">
        <is>
          <t>기본계획 지반조사 R/O 검토 (설계, 공정, 기획)</t>
        </is>
      </c>
      <c r="G8" s="103" t="inlineStr">
        <is>
          <t>포스코스마트엔지니어링팀(설계), 토목수행팀(공정), 토목사업지원팀(기획)</t>
        </is>
      </c>
      <c r="H8" s="103" t="inlineStr">
        <is>
          <t>토목견적팀</t>
        </is>
      </c>
      <c r="I8" s="102" t="inlineStr">
        <is>
          <t>발주처 기본계획 지반조사 문제점 검토</t>
        </is>
      </c>
      <c r="J8" s="102" t="inlineStr">
        <is>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is>
      </c>
      <c r="K8" s="110" t="inlineStr">
        <is>
          <t>기본계획 지반조사 검토서(설계, 공정, 기획)</t>
        </is>
      </c>
      <c r="L8" s="102" t="inlineStr">
        <is>
          <t>발주처 기본계획 지반조사 문제점 검토 | 기본계획 지반조사 검토서(설계, 공정, 기획)</t>
        </is>
      </c>
      <c r="M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8" s="102" t="inlineStr">
        <is>
          <t>• 시추조사 위치, 수량 적정성 검토 • 지질이상 구간 상세 조사 여부 및 적정성 검토 확인 • 미시추 구간 지반 특성 적정성 검토확인 (측점 검토, 위치 및 물량검토) • 인근 사업 지반조사자료 비교 통해 당사 지...</t>
        </is>
      </c>
      <c r="O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8" s="102" t="inlineStr">
        <is>
          <t>1) 기본계획 지반조사 R/O 검토 (설계, 공정, 기획) 적정성을 확인하였는가? 2) 기본계획 지반조사 검토서(설계, 공정, 기획) 산출물을 확보하였는가?</t>
        </is>
      </c>
      <c r="Q8"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9" ht="28.05" customHeight="1" s="148">
      <c r="A9" s="105" t="inlineStr">
        <is>
          <t>9000</t>
        </is>
      </c>
      <c r="B9" s="105" t="inlineStr">
        <is>
          <t>9000-0</t>
        </is>
      </c>
      <c r="C9" s="105" t="inlineStr">
        <is>
          <t>사전준비_지반조사</t>
        </is>
      </c>
      <c r="D9" s="105" t="inlineStr">
        <is>
          <t>9000-0-8</t>
        </is>
      </c>
      <c r="E9" s="107" t="inlineStr">
        <is>
          <t>D-165 ~ D-150</t>
        </is>
      </c>
      <c r="F9" s="106" t="inlineStr">
        <is>
          <t>기본계획 지반조사 R/O 종합검토 (원가)</t>
        </is>
      </c>
      <c r="G9" s="109" t="inlineStr">
        <is>
          <t>토목견적팀</t>
        </is>
      </c>
      <c r="H9" s="109" t="inlineStr">
        <is>
          <t>포스코스마트엔지니어링팀(설계), 토목수행팀(공정), 토목사업지원팀(기획)</t>
        </is>
      </c>
      <c r="I9" s="108" t="inlineStr">
        <is>
          <t>발주처 지반조사 문제점 R/O 분석</t>
        </is>
      </c>
      <c r="J9" s="108" t="inlineStr">
        <is>
          <t>• 발주처 기본계획 지반조사 R/O별 Cost effect 분석</t>
        </is>
      </c>
      <c r="K9" s="106" t="inlineStr">
        <is>
          <t>기본계획 지반조사 개략 검토서</t>
        </is>
      </c>
      <c r="L9" s="108" t="inlineStr">
        <is>
          <t>발주처 지반조사 문제점 R/O 분석 | 기본계획 지반조사 개략 검토서</t>
        </is>
      </c>
      <c r="M9"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9" s="108" t="inlineStr">
        <is>
          <t>• 발주처 기본계획 지반조사 R/O별 Cost effect 분석</t>
        </is>
      </c>
      <c r="O9"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9" s="108" t="inlineStr">
        <is>
          <t>1) 기본계획 지반조사 R/O 종합검토 (원가) 적정성을 확인하였는가? 2) 기본계획 지반조사 개략 검토서 산출물을 확보하였는가?</t>
        </is>
      </c>
      <c r="Q9"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0" ht="28.05" customHeight="1" s="148">
      <c r="A10" s="98" t="inlineStr">
        <is>
          <t>9000</t>
        </is>
      </c>
      <c r="B10" s="98" t="inlineStr">
        <is>
          <t>9000-0</t>
        </is>
      </c>
      <c r="C10" s="98" t="inlineStr">
        <is>
          <t>사전준비_지반조사</t>
        </is>
      </c>
      <c r="D10" s="98" t="inlineStr">
        <is>
          <t>9000-0-9</t>
        </is>
      </c>
      <c r="E10" s="101" t="inlineStr">
        <is>
          <t>D-150 ~ D-135</t>
        </is>
      </c>
      <c r="F10" s="110" t="inlineStr">
        <is>
          <t>지반조사 업체 선정</t>
        </is>
      </c>
      <c r="G10" s="103" t="inlineStr">
        <is>
          <t>일반구매팀</t>
        </is>
      </c>
      <c r="H10" s="103" t="inlineStr">
        <is>
          <t>포스코스마트엔지니어링팀</t>
        </is>
      </c>
      <c r="I10" s="102" t="inlineStr">
        <is>
          <t>지반조사업체 Pool 내 최적의 업체 선정</t>
        </is>
      </c>
      <c r="J10" s="102" t="inlineStr">
        <is>
          <t>• 지반조사업체 Pool/실적 검토 및 공종별 적합성 정합 및 견적 본부 연계 검토</t>
        </is>
      </c>
      <c r="K10" s="110" t="inlineStr">
        <is>
          <t>지반조사 입찰 참여 Pool</t>
        </is>
      </c>
      <c r="L10" s="102" t="inlineStr">
        <is>
          <t>지반조사업체 Pool 내 최적의 업체 선정 | 지반조사 입찰 참여 Pool</t>
        </is>
      </c>
      <c r="M1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0" s="102" t="inlineStr">
        <is>
          <t>• 지반조사업체 Pool/실적 검토 및 공종별 적합성 정합 및 견적 본부 연계 검토</t>
        </is>
      </c>
      <c r="O1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0" s="102" t="inlineStr">
        <is>
          <t>1) 지반조사 업체 선정 적정성을 확인하였는가? 2) 지반조사 입찰 참여 Pool 산출물을 확보하였는가?</t>
        </is>
      </c>
      <c r="Q10"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1" ht="28.05" customHeight="1" s="148">
      <c r="A11" s="105" t="inlineStr">
        <is>
          <t>9000</t>
        </is>
      </c>
      <c r="B11" s="105" t="inlineStr">
        <is>
          <t>9000-0</t>
        </is>
      </c>
      <c r="C11" s="105" t="inlineStr">
        <is>
          <t>사전준비_지반조사</t>
        </is>
      </c>
      <c r="D11" s="105" t="inlineStr">
        <is>
          <t>9000-0-10</t>
        </is>
      </c>
      <c r="E11" s="107" t="inlineStr">
        <is>
          <t>D-135 ~ D-120</t>
        </is>
      </c>
      <c r="F11" s="106" t="inlineStr">
        <is>
          <t>지반조사 업체 계약</t>
        </is>
      </c>
      <c r="G11" s="109" t="inlineStr">
        <is>
          <t>일반구매팀</t>
        </is>
      </c>
      <c r="H11" s="109" t="inlineStr">
        <is>
          <t>포스코스마트엔지니어링팀</t>
        </is>
      </c>
      <c r="I11" s="108" t="inlineStr">
        <is>
          <t>지반조사업체 용역 계약</t>
        </is>
      </c>
      <c r="J11" s="108" t="inlineStr">
        <is>
          <t>• 일반구매시스템을 이용한 용역계약</t>
        </is>
      </c>
      <c r="K11" s="106" t="inlineStr">
        <is>
          <t>지반조사 용역 계약서</t>
        </is>
      </c>
      <c r="L11" s="108" t="inlineStr">
        <is>
          <t>지반조사업체 용역 계약 | 지반조사 용역 계약서</t>
        </is>
      </c>
      <c r="M11"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1" s="108" t="inlineStr">
        <is>
          <t>• 일반구매시스템을 이용한 용역계약</t>
        </is>
      </c>
      <c r="O11"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1" s="108" t="inlineStr">
        <is>
          <t>1) 지반조사 업체 계약 적정성을 확인하였는가? 2) 지반조사 용역 계약서 산출물을 확보하였는가?</t>
        </is>
      </c>
      <c r="Q11"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2" ht="45" customHeight="1" s="148">
      <c r="A12" s="98" t="inlineStr">
        <is>
          <t>9000</t>
        </is>
      </c>
      <c r="B12" s="98" t="inlineStr">
        <is>
          <t>9000-0</t>
        </is>
      </c>
      <c r="C12" s="98" t="inlineStr">
        <is>
          <t>사전준비_지반조사</t>
        </is>
      </c>
      <c r="D12" s="98" t="inlineStr">
        <is>
          <t>9000-0-11</t>
        </is>
      </c>
      <c r="E12" s="101" t="inlineStr">
        <is>
          <t>D-135 ~ D-115</t>
        </is>
      </c>
      <c r="F12" s="110" t="inlineStr">
        <is>
          <t>지반조사 항목, 수량 및 위치검토</t>
        </is>
      </c>
      <c r="G12" s="103" t="inlineStr">
        <is>
          <t>포스코스마트엔지니어링팀</t>
        </is>
      </c>
      <c r="H12" s="103" t="inlineStr">
        <is>
          <t>지반조사업체</t>
        </is>
      </c>
      <c r="I12" s="102" t="inlineStr">
        <is>
          <t>프로젝트 정합에 부합하는 지반조사 항목 사전조사 수행, 위치 선정</t>
        </is>
      </c>
      <c r="J12" s="102" t="inlineStr">
        <is>
          <t>• 현장답사 수행
• 공종별 실시설계에 준하여 수량 및 위치 검토</t>
        </is>
      </c>
      <c r="K12" s="110" t="inlineStr">
        <is>
          <t>지반조사 계획서</t>
        </is>
      </c>
      <c r="L12" s="102" t="inlineStr">
        <is>
          <t>프로젝트 정합에 부합하는 지반조사 항목 사전조사 수행, 위치 선정 | 지반조사 계획서</t>
        </is>
      </c>
      <c r="M1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2" s="102" t="inlineStr">
        <is>
          <t>• 현장답사 수행 • 공종별 실시설계에 준하여 수량 및 위치 검토</t>
        </is>
      </c>
      <c r="O1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2" s="102" t="inlineStr">
        <is>
          <t>1) 지반조사 항목, 수량 및 위치검토 적정성을 확인하였는가? 2) 지반조사 계획서 산출물을 확보하였는가?</t>
        </is>
      </c>
      <c r="Q1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3" ht="28.05" customHeight="1" s="148">
      <c r="A13" s="105" t="inlineStr">
        <is>
          <t>9000</t>
        </is>
      </c>
      <c r="B13" s="105" t="inlineStr">
        <is>
          <t>9000-0</t>
        </is>
      </c>
      <c r="C13" s="105" t="inlineStr">
        <is>
          <t>사전준비_지반조사</t>
        </is>
      </c>
      <c r="D13" s="105" t="inlineStr">
        <is>
          <t>9000-0-12</t>
        </is>
      </c>
      <c r="E13" s="107" t="inlineStr">
        <is>
          <t>D-115 ~ D-105</t>
        </is>
      </c>
      <c r="F13" s="106" t="inlineStr">
        <is>
          <t>지반조사계획 적정성 심사의뢰</t>
        </is>
      </c>
      <c r="G13" s="109" t="inlineStr">
        <is>
          <t>외부지질전문가 3인 이상</t>
        </is>
      </c>
      <c r="H13" s="109" t="inlineStr">
        <is>
          <t>포스코스마트엔지니어링팀</t>
        </is>
      </c>
      <c r="I13" s="108" t="inlineStr">
        <is>
          <t>지반조사 항목, 수량 및 위치 적정성 검토</t>
        </is>
      </c>
      <c r="J13" s="108" t="inlineStr">
        <is>
          <t>• 지반조사 계획서 검토 및 검토</t>
        </is>
      </c>
      <c r="K13" s="106" t="inlineStr">
        <is>
          <t>지반조사계획 의견서</t>
        </is>
      </c>
      <c r="L13" s="108" t="inlineStr">
        <is>
          <t>지반조사 항목, 수량 및 위치 적정성 검토 | 지반조사계획 의견서</t>
        </is>
      </c>
      <c r="M1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3" s="108" t="inlineStr">
        <is>
          <t>• 지반조사 계획서 검토 및 검토</t>
        </is>
      </c>
      <c r="O1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3" s="108" t="inlineStr">
        <is>
          <t>1) 지반조사계획 적정성 심사의뢰 적정성을 확인하였는가? 2) 지반조사계획 의견서 산출물을 확보하였는가?</t>
        </is>
      </c>
      <c r="Q1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4" ht="45" customHeight="1" s="148">
      <c r="A14" s="98" t="inlineStr">
        <is>
          <t>9000</t>
        </is>
      </c>
      <c r="B14" s="98" t="inlineStr">
        <is>
          <t>9000-0</t>
        </is>
      </c>
      <c r="C14" s="98" t="inlineStr">
        <is>
          <t>사전준비_지반조사</t>
        </is>
      </c>
      <c r="D14" s="98" t="inlineStr">
        <is>
          <t>9000-0-13</t>
        </is>
      </c>
      <c r="E14" s="101" t="inlineStr">
        <is>
          <t>D-135 ~ D-100</t>
        </is>
      </c>
      <c r="F14" s="110" t="inlineStr">
        <is>
          <t>지반조사 인허가</t>
        </is>
      </c>
      <c r="G14" s="103" t="inlineStr">
        <is>
          <t>지반조사업체</t>
        </is>
      </c>
      <c r="H14" s="103" t="inlineStr">
        <is>
          <t>포스코스마트엔지니어링팀</t>
        </is>
      </c>
      <c r="I14" s="102" t="inlineStr">
        <is>
          <t>지반조사 수행을 위한 인허가 승인</t>
        </is>
      </c>
      <c r="J14" s="102" t="inlineStr">
        <is>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is>
      </c>
      <c r="K14" s="110" t="inlineStr">
        <is>
          <t>인허가 서류</t>
        </is>
      </c>
      <c r="L14" s="102" t="inlineStr">
        <is>
          <t>지반조사 수행을 위한 인허가 승인 | 인허가 서류</t>
        </is>
      </c>
      <c r="M1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4" s="102" t="inlineStr">
        <is>
          <t>• 산지일시사용 신고(사업계획서, 지형도, 산지일시사용예정실측도, 복구계획서, 복지봉투) • 굴착행위 신고(굴착행위신고서, 위치 또는 평면도, 원상복구계획서, 토지사용 승낙서) • 하천점용 허가(위치도, 이해관계인 ...</t>
        </is>
      </c>
      <c r="O1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4" s="102" t="inlineStr">
        <is>
          <t>1) 지반조사 인허가 적정성을 확인하였는가? 2) 인허가 서류 산출물을 확보하였는가?</t>
        </is>
      </c>
      <c r="Q1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5" ht="45" customHeight="1" s="148">
      <c r="A15" s="105" t="inlineStr">
        <is>
          <t>9000</t>
        </is>
      </c>
      <c r="B15" s="105" t="inlineStr">
        <is>
          <t>9000-0</t>
        </is>
      </c>
      <c r="C15" s="105" t="inlineStr">
        <is>
          <t>사전준비_지반조사</t>
        </is>
      </c>
      <c r="D15" s="105" t="inlineStr">
        <is>
          <t>9000-0-14</t>
        </is>
      </c>
      <c r="E15" s="107" t="inlineStr">
        <is>
          <t>D-105 ~ D-100</t>
        </is>
      </c>
      <c r="F15" s="106" t="inlineStr">
        <is>
          <t>지반조사 항목, 수량 및 위치 보완</t>
        </is>
      </c>
      <c r="G15" s="109" t="inlineStr">
        <is>
          <t>포스코스마트엔지니어링팀</t>
        </is>
      </c>
      <c r="H15" s="109" t="inlineStr">
        <is>
          <t>외부지질전문가 3인 이상, 지반조사업체</t>
        </is>
      </c>
      <c r="I15" s="108" t="inlineStr">
        <is>
          <t>외부지질전문가 의견을 반영한 지반조사 계획 확정</t>
        </is>
      </c>
      <c r="J15" s="108" t="inlineStr">
        <is>
          <t>• 외부지질전문가 지반조사 의견 검토
• 입찰설계 지반조사 계획 보완</t>
        </is>
      </c>
      <c r="K15" s="106" t="inlineStr">
        <is>
          <t>지반조사 용역 계약서</t>
        </is>
      </c>
      <c r="L15" s="108" t="inlineStr">
        <is>
          <t>외부지질전문가 의견을 반영한 지반조사 계획 확정 | 지반조사 용역 계약서</t>
        </is>
      </c>
      <c r="M1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5" s="108" t="inlineStr">
        <is>
          <t>• 외부지질전문가 지반조사 의견 검토 • 입찰설계 지반조사 계획 보완</t>
        </is>
      </c>
      <c r="O1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5" s="108" t="inlineStr">
        <is>
          <t>1) 지반조사 항목, 수량 및 위치 보완 적정성을 확인하였는가? 2) 지반조사 용역 계약서 산출물을 확보하였는가?</t>
        </is>
      </c>
      <c r="Q1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6" ht="45" customHeight="1" s="148">
      <c r="A16" s="98" t="inlineStr">
        <is>
          <t>9000</t>
        </is>
      </c>
      <c r="B16" s="98" t="inlineStr">
        <is>
          <t>9000-0</t>
        </is>
      </c>
      <c r="C16" s="98" t="inlineStr">
        <is>
          <t>사전준비_지반조사</t>
        </is>
      </c>
      <c r="D16" s="98" t="inlineStr">
        <is>
          <t>9000-0-15</t>
        </is>
      </c>
      <c r="E16" s="101" t="inlineStr">
        <is>
          <t>D-100 ~ D-50</t>
        </is>
      </c>
      <c r="F16" s="110" t="inlineStr">
        <is>
          <t>지반조사 수행</t>
        </is>
      </c>
      <c r="G16" s="103" t="inlineStr">
        <is>
          <t>지반조사업체</t>
        </is>
      </c>
      <c r="H16" s="103" t="inlineStr">
        <is>
          <t>포스코스마트엔지니어링팀</t>
        </is>
      </c>
      <c r="I16" s="102" t="inlineStr">
        <is>
          <t>과업구간 지반여건 상세 파악</t>
        </is>
      </c>
      <c r="J16" s="102" t="inlineStr">
        <is>
          <t>• 물리탐사 수행(전기 비저항, 탄성파탐사 등)
• 시추조사 및 현장 시험 수행(공내재하시험, 실내전단시험 등)
• 실내시험 수행(요동시험, 입도시험 등)</t>
        </is>
      </c>
      <c r="K16" s="110" t="inlineStr">
        <is>
          <t>지반조사 보고서, 시추 Core 및 샘플</t>
        </is>
      </c>
      <c r="L16" s="102" t="inlineStr">
        <is>
          <t>과업구간 지반여건 상세 파악 | 지반조사 보고서, 시추 Core 및 샘플</t>
        </is>
      </c>
      <c r="M1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6" s="102" t="inlineStr">
        <is>
          <t>• 물리탐사 수행(전기 비저항, 탄성파탐사 등) • 시추조사 및 현장 시험 수행(공내재하시험, 실내전단시험 등) • 실내시험 수행(요동시험, 입도시험 등)</t>
        </is>
      </c>
      <c r="O1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6" s="102" t="inlineStr">
        <is>
          <t>1) 지반조사 수행 적정성을 확인하였는가? 2) 지반조사 보고서, 시추 Core 및 샘플 산출물을 확보하였는가?</t>
        </is>
      </c>
      <c r="Q16"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7" ht="45" customHeight="1" s="148">
      <c r="A17" s="105" t="inlineStr">
        <is>
          <t>9000</t>
        </is>
      </c>
      <c r="B17" s="105" t="inlineStr">
        <is>
          <t>9000-0</t>
        </is>
      </c>
      <c r="C17" s="105" t="inlineStr">
        <is>
          <t>사전준비_지반조사</t>
        </is>
      </c>
      <c r="D17" s="105" t="inlineStr">
        <is>
          <t>9000-0-16</t>
        </is>
      </c>
      <c r="E17" s="107" t="inlineStr">
        <is>
          <t>D-50 ~ D-40</t>
        </is>
      </c>
      <c r="F17" s="106" t="inlineStr">
        <is>
          <t>지반조사 수렴 결과 분석</t>
        </is>
      </c>
      <c r="G17" s="109" t="inlineStr">
        <is>
          <t>외부지질전문가 3인 이상</t>
        </is>
      </c>
      <c r="H17" s="109" t="inlineStr">
        <is>
          <t>포스코스마트엔지니어링팀, 지반조사업체</t>
        </is>
      </c>
      <c r="I17" s="108" t="inlineStr">
        <is>
          <t>지반조사 결과 오류 및 지반정수의 적합성 검토</t>
        </is>
      </c>
      <c r="J17" s="108" t="inlineStr">
        <is>
          <t>• 입찰설계 지반조사 보고서 검토
• 시추조사 위치 및 심도의 적정성 검토
• 실내시험 결과 등급 적정성 검토
• 실시설계시 추가지반조사 필요구간 검토</t>
        </is>
      </c>
      <c r="K17" s="106" t="inlineStr">
        <is>
          <t>지반조사 결과 분석 의견서</t>
        </is>
      </c>
      <c r="L17" s="108" t="inlineStr">
        <is>
          <t>지반조사 결과 오류 및 지반정수의 적합성 검토 | 지반조사 결과 분석 의견서</t>
        </is>
      </c>
      <c r="M17"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7" s="108" t="inlineStr">
        <is>
          <t>• 입찰설계 지반조사 보고서 검토 • 시추조사 위치 및 심도의 적정성 검토 • 실내시험 결과 등급 적정성 검토 • 실시설계시 추가지반조사 필요구간 검토</t>
        </is>
      </c>
      <c r="O17"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7" s="108" t="inlineStr">
        <is>
          <t>1) 지반조사 수렴 결과 분석 적정성을 확인하였는가? 2) 지반조사 결과 분석 의견서 산출물을 확보하였는가?</t>
        </is>
      </c>
      <c r="Q17"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8" ht="45" customHeight="1" s="148">
      <c r="A18" s="98" t="inlineStr">
        <is>
          <t>9000</t>
        </is>
      </c>
      <c r="B18" s="98" t="inlineStr">
        <is>
          <t>9000-0</t>
        </is>
      </c>
      <c r="C18" s="98" t="inlineStr">
        <is>
          <t>사전준비_지반조사</t>
        </is>
      </c>
      <c r="D18" s="98" t="inlineStr">
        <is>
          <t>9000-0-17</t>
        </is>
      </c>
      <c r="E18" s="101" t="inlineStr">
        <is>
          <t>D-40 ~ D-30</t>
        </is>
      </c>
      <c r="F18" s="110" t="inlineStr">
        <is>
          <t>입찰설계 지반조사 R/O 검토 (설계, 원가, 공정, 기타)</t>
        </is>
      </c>
      <c r="G18" s="103" t="inlineStr">
        <is>
          <t>토목견적팀(원가), 토목수행팀(공정), 토목사업지원팀(기획)</t>
        </is>
      </c>
      <c r="H18" s="103" t="inlineStr">
        <is>
          <t>포스코스마트엔지니어링팀</t>
        </is>
      </c>
      <c r="I18" s="102" t="inlineStr">
        <is>
          <t>입찰설계 지반조사 결과에 따른 직분야 R/O 및 Cost impact 반영 사항 검토</t>
        </is>
      </c>
      <c r="J18" s="102" t="inlineStr">
        <is>
          <t>• 입찰설계 지반조사 결과 분석을 통한 원가 및 공정 영향 검토
• 미시추 구간 평가 및 공정 Risk 반영 사항 검토
• 지반조건을 고려한 발파공법성 여부 검토</t>
        </is>
      </c>
      <c r="K18" s="110" t="inlineStr">
        <is>
          <t>입찰설계 지반조사 검토서(설계, 원가, 공정, 기타)</t>
        </is>
      </c>
      <c r="L18" s="102" t="inlineStr">
        <is>
          <t>입찰설계 지반조사 결과에 따른 직분야 R/O 및 Cost impact 반영 사항 검토 | 입찰설계 지반조사 검토서(설계, 원가, 공정, 기타)</t>
        </is>
      </c>
      <c r="M1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8" s="102" t="inlineStr">
        <is>
          <t>• 입찰설계 지반조사 결과 분석을 통한 원가 및 공정 영향 검토 • 미시추 구간 평가 및 공정 Risk 반영 사항 검토 • 지반조건을 고려한 발파공법성 여부 검토</t>
        </is>
      </c>
      <c r="O1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8" s="102" t="inlineStr">
        <is>
          <t>1) 입찰설계 지반조사 R/O 검토 (설계, 원가, 공정, 기타) 적정성을 확인하였는가? 2) 입찰설계 지반조사 검토서(설계, 원가, 공정, 기타) 산출물을 확보하였는가?</t>
        </is>
      </c>
      <c r="Q18"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9" ht="45" customHeight="1" s="148">
      <c r="A19" s="105" t="inlineStr">
        <is>
          <t>9000</t>
        </is>
      </c>
      <c r="B19" s="105" t="inlineStr">
        <is>
          <t>9000-0</t>
        </is>
      </c>
      <c r="C19" s="105" t="inlineStr">
        <is>
          <t>사전준비_지반조사</t>
        </is>
      </c>
      <c r="D19" s="105" t="inlineStr">
        <is>
          <t>9000-0-18</t>
        </is>
      </c>
      <c r="E19" s="107" t="inlineStr">
        <is>
          <t>D-40 ~ D-30</t>
        </is>
      </c>
      <c r="F19" s="106" t="inlineStr">
        <is>
          <t>지반조사 결과 R/O 종합검토</t>
        </is>
      </c>
      <c r="G19" s="109" t="inlineStr">
        <is>
          <t>포스코스마트엔지니어링팀</t>
        </is>
      </c>
      <c r="H19" s="109" t="inlineStr">
        <is>
          <t>토목견적팀(원가), 토목수행팀(공정), 토목사업지원팀(기획)</t>
        </is>
      </c>
      <c r="I19" s="108" t="inlineStr">
        <is>
          <t>원가 및 공정 검토 결과에 따른 입찰설계 R/O 최종 확정</t>
        </is>
      </c>
      <c r="J19" s="108" t="inlineStr">
        <is>
          <t>• 입찰설계 지반조사 R/O별 Cost effect 분석
• 유사사업 L/L 분석, R/P 검토를 통한 실시설계시 고려사항 검토</t>
        </is>
      </c>
      <c r="K19" s="106" t="inlineStr">
        <is>
          <t>입찰설계 R/O 검토서</t>
        </is>
      </c>
      <c r="L19" s="108" t="inlineStr">
        <is>
          <t>원가 및 공정 검토 결과에 따른 입찰설계 R/O 최종 확정 | 입찰설계 R/O 검토서</t>
        </is>
      </c>
      <c r="M19"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9" s="108" t="inlineStr">
        <is>
          <t>• 입찰설계 지반조사 R/O별 Cost effect 분석 • 유사사업 L/L 분석, R/P 검토를 통한 실시설계시 고려사항 검토</t>
        </is>
      </c>
      <c r="O19"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9" s="108" t="inlineStr">
        <is>
          <t>1) 지반조사 결과 R/O 종합검토 적정성을 확인하였는가? 2) 입찰설계 R/O 검토서 산출물을 확보하였는가?</t>
        </is>
      </c>
      <c r="Q19"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0" ht="45" customHeight="1" s="148">
      <c r="A20" s="98" t="inlineStr">
        <is>
          <t>9000</t>
        </is>
      </c>
      <c r="B20" s="98" t="inlineStr">
        <is>
          <t>9000-0</t>
        </is>
      </c>
      <c r="C20" s="98" t="inlineStr">
        <is>
          <t>사전준비_지반조사</t>
        </is>
      </c>
      <c r="D20" s="98" t="inlineStr">
        <is>
          <t>9000-0-19</t>
        </is>
      </c>
      <c r="E20" s="101" t="inlineStr">
        <is>
          <t>D-30 ~ D-20</t>
        </is>
      </c>
      <c r="F20" s="110" t="inlineStr">
        <is>
          <t>REM 수립</t>
        </is>
      </c>
      <c r="G20" s="103" t="inlineStr">
        <is>
          <t>포스코스마트엔지니어링팀</t>
        </is>
      </c>
      <c r="H20" s="103" t="inlineStr">
        <is>
          <t>토목견적팀, 토목사업지원팀</t>
        </is>
      </c>
      <c r="I20" s="102" t="inlineStr">
        <is>
          <t>REM 차트 작성(회사의 Core Risk, T/C 공정검토 결과, 경쟁사 동향, 발주 경향) 및 보고</t>
        </is>
      </c>
      <c r="J20" s="102" t="inlineStr">
        <is>
          <t>• Risk Profiling/Merge 방안 검토
• 공정 착공성 검토 및 T/C 검토
• 설계차별화 및 Idea Frame 검토</t>
        </is>
      </c>
      <c r="K20" s="110" t="inlineStr">
        <is>
          <t>REM 회의록</t>
        </is>
      </c>
      <c r="L20" s="102" t="inlineStr">
        <is>
          <t>REM 차트 작성(회사의 Core Risk, T/C 공정검토 결과, 경쟁사 동향, 발주 경향) 및 보고 | REM 회의록</t>
        </is>
      </c>
      <c r="M2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0" s="102" t="inlineStr">
        <is>
          <t>• Risk Profiling/Merge 방안 검토 • 공정 착공성 검토 및 T/C 검토 • 설계차별화 및 Idea Frame 검토</t>
        </is>
      </c>
      <c r="O2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0" s="102" t="inlineStr">
        <is>
          <t>1) REM 수립 적정성을 확인하였는가? 2) REM 회의록 산출물을 확보하였는가?</t>
        </is>
      </c>
      <c r="Q20"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1" ht="45" customHeight="1" s="148">
      <c r="A21" s="105" t="inlineStr">
        <is>
          <t>9000</t>
        </is>
      </c>
      <c r="B21" s="105" t="inlineStr">
        <is>
          <t>9000-0</t>
        </is>
      </c>
      <c r="C21" s="105" t="inlineStr">
        <is>
          <t>사전준비_지반조사</t>
        </is>
      </c>
      <c r="D21" s="105" t="inlineStr">
        <is>
          <t>9000-0-20</t>
        </is>
      </c>
      <c r="E21" s="107" t="inlineStr">
        <is>
          <t>D-30 ~ D-15</t>
        </is>
      </c>
      <c r="F21" s="106" t="inlineStr">
        <is>
          <t>추가지반조사 계획 수립</t>
        </is>
      </c>
      <c r="G21" s="109" t="inlineStr">
        <is>
          <t>포스코스마트엔지니어링팀</t>
        </is>
      </c>
      <c r="H21" s="109" t="inlineStr">
        <is>
          <t>토목견적팀(원가), 토목수행팀(공정), 토목사업지원팀(기획)</t>
        </is>
      </c>
      <c r="I21" s="108" t="inlineStr">
        <is>
          <t>R/O 분석 결과에 기반한 추가지반조사 항목 도출</t>
        </is>
      </c>
      <c r="J21" s="108" t="inlineStr">
        <is>
          <t>• 지반조사 수렴 결과 분석보고서 검토
• 지반조사 결과 R/O 종합검토 결과 검토</t>
        </is>
      </c>
      <c r="K21" s="106" t="inlineStr">
        <is>
          <t>추가지반조사 List</t>
        </is>
      </c>
      <c r="L21" s="108" t="inlineStr">
        <is>
          <t>R/O 분석 결과에 기반한 추가지반조사 항목 도출 | 추가지반조사 List</t>
        </is>
      </c>
      <c r="M21"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1" s="108" t="inlineStr">
        <is>
          <t>• 지반조사 수렴 결과 분석보고서 검토 • 지반조사 결과 R/O 종합검토 결과 검토</t>
        </is>
      </c>
      <c r="O21"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1" s="108" t="inlineStr">
        <is>
          <t>1) 추가지반조사 계획 수립 적정성을 확인하였는가? 2) 추가지반조사 List 산출물을 확보하였는가?</t>
        </is>
      </c>
      <c r="Q21"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2" ht="45" customHeight="1" s="148">
      <c r="A22" s="98" t="inlineStr">
        <is>
          <t>9000</t>
        </is>
      </c>
      <c r="B22" s="98" t="inlineStr">
        <is>
          <t>9000-0</t>
        </is>
      </c>
      <c r="C22" s="98" t="inlineStr">
        <is>
          <t>사전준비_지반조사</t>
        </is>
      </c>
      <c r="D22" s="98" t="inlineStr">
        <is>
          <t>9000-0-21</t>
        </is>
      </c>
      <c r="E22" s="101" t="inlineStr">
        <is>
          <t>D-15 ~ D-7</t>
        </is>
      </c>
      <c r="F22" s="110" t="inlineStr">
        <is>
          <t>3D GPR탐사 장비 사양(차량형) 검토</t>
        </is>
      </c>
      <c r="G22" s="103" t="inlineStr">
        <is>
          <t>현장 공무팀</t>
        </is>
      </c>
      <c r="H22" s="103" t="inlineStr">
        <is>
          <t>현장 공사팀</t>
        </is>
      </c>
      <c r="I22" s="102" t="inlineStr">
        <is>
          <t>적정 추가지반조사 규명을 위한 장비 사양 검토</t>
        </is>
      </c>
      <c r="J22" s="102" t="inlineStr">
        <is>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is>
      </c>
      <c r="K22" s="110" t="inlineStr">
        <is>
          <t>-</t>
        </is>
      </c>
      <c r="L22" s="102" t="inlineStr">
        <is>
          <t>적정 추가지반조사 규명을 위한 장비 사양 검토 | -</t>
        </is>
      </c>
      <c r="M2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2" s="102" t="inlineStr">
        <is>
          <t>• 3D GPR탐사 장비 사양(차량형) - 3D Radar(노르웨이)_200~3000Hz, 2.0m~3.0m : 하상도 높음 - MIRA(스웨덴)_400~1300Hz, 1.0m~2.0m : 정밀한 입체 형상 - St...</t>
        </is>
      </c>
      <c r="O2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2" s="102" t="inlineStr">
        <is>
          <t>1) 3D GPR탐사 장비 사양(차량형) 검토 적정성을 확인하였는가? 2) - 산출물을 확보하였는가?</t>
        </is>
      </c>
      <c r="Q2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3" ht="45" customHeight="1" s="148">
      <c r="A23" s="105" t="inlineStr">
        <is>
          <t>9000</t>
        </is>
      </c>
      <c r="B23" s="105" t="inlineStr">
        <is>
          <t>9000-0</t>
        </is>
      </c>
      <c r="C23" s="105" t="inlineStr">
        <is>
          <t>사전준비_지반조사</t>
        </is>
      </c>
      <c r="D23" s="105" t="inlineStr">
        <is>
          <t>9000-0-22</t>
        </is>
      </c>
      <c r="E23" s="107" t="inlineStr">
        <is>
          <t>D-15 ~ D-7</t>
        </is>
      </c>
      <c r="F23" s="106" t="inlineStr">
        <is>
          <t>ECRM 수립</t>
        </is>
      </c>
      <c r="G23" s="109" t="inlineStr">
        <is>
          <t>토목견적팀(원가)</t>
        </is>
      </c>
      <c r="H23" s="109" t="inlineStr">
        <is>
          <t>포스코스마트엔지니어링팀, 토목수행팀, 토목사업지원팀</t>
        </is>
      </c>
      <c r="I23" s="108" t="inlineStr">
        <is>
          <t>입찰설계 지반조사 결과에 따른 직분야 R/O 및 Cost impact 반영 사항 검토</t>
        </is>
      </c>
      <c r="J23" s="108" t="inlineStr">
        <is>
          <t>• 입찰설계 지반조사 결과 분석을 통한 원가 및 공정 영향 검토
• 미시추 구간 평가 및 공정 Risk 반영 사항 검토
• 지반조건을 고려한 발파공법성 여부 검토</t>
        </is>
      </c>
      <c r="K23" s="106" t="inlineStr">
        <is>
          <t>입찰설계 지반조사 검토서(설계, 원가, 공정, 기타)</t>
        </is>
      </c>
      <c r="L23" s="108" t="inlineStr">
        <is>
          <t>입찰설계 지반조사 결과에 따른 직분야 R/O 및 Cost impact 반영 사항 검토 | 입찰설계 지반조사 검토서(설계, 원가, 공정, 기타)</t>
        </is>
      </c>
      <c r="M2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3" s="108" t="inlineStr">
        <is>
          <t>• 입찰설계 지반조사 결과 분석을 통한 원가 및 공정 영향 검토 • 미시추 구간 평가 및 공정 Risk 반영 사항 검토 • 지반조건을 고려한 발파공법성 여부 검토</t>
        </is>
      </c>
      <c r="O2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3" s="108" t="inlineStr">
        <is>
          <t>1) ECRM 수립 적정성을 확인하였는가? 2) 입찰설계 지반조사 검토서(설계, 원가, 공정, 기타) 산출물을 확보하였는가?</t>
        </is>
      </c>
      <c r="Q2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4" ht="28.05" customHeight="1" s="148">
      <c r="A24" s="98" t="inlineStr">
        <is>
          <t>9000</t>
        </is>
      </c>
      <c r="B24" s="98" t="inlineStr">
        <is>
          <t>9000-0</t>
        </is>
      </c>
      <c r="C24" s="98" t="inlineStr">
        <is>
          <t>사전준비_지반조사</t>
        </is>
      </c>
      <c r="D24" s="98" t="inlineStr">
        <is>
          <t>9000-0-23</t>
        </is>
      </c>
      <c r="E24" s="101" t="inlineStr">
        <is>
          <t>D-7 ~ D-0</t>
        </is>
      </c>
      <c r="F24" s="110" t="inlineStr">
        <is>
          <t>최종 Cost 검토 / 입찰</t>
        </is>
      </c>
      <c r="G24" s="103" t="inlineStr">
        <is>
          <t>토목견적팀</t>
        </is>
      </c>
      <c r="H24" s="103" t="inlineStr">
        <is>
          <t>-</t>
        </is>
      </c>
      <c r="I24" s="102" t="inlineStr">
        <is>
          <t>입찰</t>
        </is>
      </c>
      <c r="J24" s="102" t="inlineStr">
        <is>
          <t>• 최종 R/O를 반영한 투찰내역서 작성</t>
        </is>
      </c>
      <c r="K24" s="110" t="inlineStr">
        <is>
          <t>투찰내역서</t>
        </is>
      </c>
      <c r="L24" s="102" t="inlineStr">
        <is>
          <t>입찰 | 투찰내역서</t>
        </is>
      </c>
      <c r="M2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4" s="102" t="inlineStr">
        <is>
          <t>• 최종 R/O를 반영한 투찰내역서 작성</t>
        </is>
      </c>
      <c r="O2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4" s="102" t="inlineStr">
        <is>
          <t>1) 최종 Cost 검토 / 입찰 적정성을 확인하였는가? 2) 투찰내역서 산출물을 확보하였는가?</t>
        </is>
      </c>
      <c r="Q2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5" ht="28.05" customHeight="1" s="148">
      <c r="A25" s="105" t="inlineStr">
        <is>
          <t>9000</t>
        </is>
      </c>
      <c r="B25" s="105" t="inlineStr">
        <is>
          <t>9000-0</t>
        </is>
      </c>
      <c r="C25" s="105" t="inlineStr">
        <is>
          <t>사전준비_지반조사</t>
        </is>
      </c>
      <c r="D25" s="105" t="inlineStr">
        <is>
          <t>9000-0-24</t>
        </is>
      </c>
      <c r="E25" s="107" t="inlineStr">
        <is>
          <t>D+0 ~ D+30</t>
        </is>
      </c>
      <c r="F25" s="106" t="inlineStr">
        <is>
          <t>입찰설계 현장 인수인계</t>
        </is>
      </c>
      <c r="G25" s="109" t="inlineStr">
        <is>
          <t>현장소장</t>
        </is>
      </c>
      <c r="H25" s="109" t="inlineStr">
        <is>
          <t>토목수행팀</t>
        </is>
      </c>
      <c r="I25" s="108" t="inlineStr">
        <is>
          <t>지반조사 포함 전체 R/O 승계자료 인수인계 및 추가지반조사 계획 공유</t>
        </is>
      </c>
      <c r="J25" s="108" t="inlineStr">
        <is>
          <t>• 최종 R/O 결과 및 입찰도서 인출</t>
        </is>
      </c>
      <c r="K25" s="106" t="inlineStr">
        <is>
          <t>인수인계서</t>
        </is>
      </c>
      <c r="L25" s="108" t="inlineStr">
        <is>
          <t>지반조사 포함 전체 R/O 승계자료 인수인계 및 추가지반조사 계획 공유 | 인수인계서</t>
        </is>
      </c>
      <c r="M2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5" s="108" t="inlineStr">
        <is>
          <t>• 최종 R/O 결과 및 입찰도서 인출</t>
        </is>
      </c>
      <c r="O2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5" s="108" t="inlineStr">
        <is>
          <t>1) 입찰설계 현장 인수인계 적정성을 확인하였는가? 2) 인수인계서 산출물을 확보하였는가?</t>
        </is>
      </c>
      <c r="Q2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6" ht="45" customHeight="1" s="148">
      <c r="A26" s="111" t="inlineStr">
        <is>
          <t>9000</t>
        </is>
      </c>
      <c r="B26" s="111" t="inlineStr">
        <is>
          <t>9000-0</t>
        </is>
      </c>
      <c r="C26" s="111" t="inlineStr">
        <is>
          <t>사전준비_지반조사</t>
        </is>
      </c>
      <c r="D26" s="111" t="inlineStr">
        <is>
          <t>9000-0-25</t>
        </is>
      </c>
      <c r="E26" s="113" t="inlineStr">
        <is>
          <t>D+30 ~ D+100</t>
        </is>
      </c>
      <c r="F26" s="112" t="inlineStr">
        <is>
          <t>추가지반조사 수행</t>
        </is>
      </c>
      <c r="G26" s="115" t="inlineStr">
        <is>
          <t>지반조사업체</t>
        </is>
      </c>
      <c r="H26" s="115" t="inlineStr">
        <is>
          <t>현장 공사팀/공무팀, 포스코스마트엔지니어링팀, 토목수행팀</t>
        </is>
      </c>
      <c r="I26" s="114" t="inlineStr">
        <is>
          <t>미시추구간 지반조사 수행을 통한 지반 Risk Hedge</t>
        </is>
      </c>
      <c r="J26" s="114" t="inlineStr">
        <is>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is>
      </c>
      <c r="K26" s="112" t="inlineStr">
        <is>
          <t>추가 지반조사 보고서</t>
        </is>
      </c>
      <c r="L26" s="114" t="inlineStr">
        <is>
          <t>미시추구간 지반조사 수행을 통한 지반 Risk Hedge | 추가 지반조사 보고서</t>
        </is>
      </c>
      <c r="M26" s="119">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6" s="114" t="inlineStr">
        <is>
          <t>• 추가 지반조사 계획 및 시점 확인 - 탄성파탐사/전기비저항탐사 등 물리탐사 추가조사 (현장 및 위치 확인) - 추가시추조사 수행(물리탐사, 시추조사) - 토질 및 암석 실내시험 수행 및 결과분석 확인 - 공종별 ...</t>
        </is>
      </c>
      <c r="O26" s="119">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6" s="114" t="inlineStr">
        <is>
          <t>1) 추가지반조사 수행 적정성을 확인하였는가? 2) 추가 지반조사 보고서 산출물을 확보하였는가?</t>
        </is>
      </c>
      <c r="Q26" s="119">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7" ht="45" customHeight="1" s="148">
      <c r="A27" s="111" t="inlineStr">
        <is>
          <t>9000</t>
        </is>
      </c>
      <c r="B27" s="111" t="inlineStr">
        <is>
          <t>9000-0</t>
        </is>
      </c>
      <c r="C27" s="111" t="inlineStr">
        <is>
          <t>사전준비_지반조사</t>
        </is>
      </c>
      <c r="D27" s="111" t="inlineStr">
        <is>
          <t>9000-0-26</t>
        </is>
      </c>
      <c r="E27" s="113" t="inlineStr">
        <is>
          <t>D+100 ~ D+110</t>
        </is>
      </c>
      <c r="F27" s="112" t="inlineStr">
        <is>
          <t>추가지반조사 결과 분석</t>
        </is>
      </c>
      <c r="G27" s="115" t="inlineStr">
        <is>
          <t>외부지질전문가 3인 이상</t>
        </is>
      </c>
      <c r="H27" s="115" t="inlineStr">
        <is>
          <t>현장 공사팀/공무팀, 포스코스마트엔지니어링팀, 토목수행팀</t>
        </is>
      </c>
      <c r="I27" s="114" t="inlineStr">
        <is>
          <t>추가지반조사 결과에 기반한 최종 R/O 확정</t>
        </is>
      </c>
      <c r="J27" s="114" t="inlineStr">
        <is>
          <t>• 외부전문가 검토 통한 지반특성 최종 Cross-check 확인
• 입찰설계 지반조사 대비 지반특성 변경구간 제원도 확인</t>
        </is>
      </c>
      <c r="K27" s="112" t="inlineStr">
        <is>
          <t>추가 지반조사결과 종합보고서</t>
        </is>
      </c>
      <c r="L27" s="114" t="inlineStr">
        <is>
          <t>추가지반조사 결과에 기반한 최종 R/O 확정 | 추가 지반조사결과 종합보고서</t>
        </is>
      </c>
      <c r="M27" s="119">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7" s="114" t="inlineStr">
        <is>
          <t>• 외부전문가 검토 통한 지반특성 최종 Cross-check 확인 • 입찰설계 지반조사 대비 지반특성 변경구간 제원도 확인</t>
        </is>
      </c>
      <c r="O27" s="119">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7" s="114" t="inlineStr">
        <is>
          <t>1) 추가지반조사 결과 분석 적정성을 확인하였는가? 2) 추가 지반조사결과 종합보고서 산출물을 확보하였는가?</t>
        </is>
      </c>
      <c r="Q27" s="119">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8" ht="45" customHeight="1" s="148">
      <c r="A28" s="98" t="inlineStr">
        <is>
          <t>9000</t>
        </is>
      </c>
      <c r="B28" s="98" t="inlineStr">
        <is>
          <t>9000-0</t>
        </is>
      </c>
      <c r="C28" s="98" t="inlineStr">
        <is>
          <t>사전준비_지반조사</t>
        </is>
      </c>
      <c r="D28" s="98" t="inlineStr">
        <is>
          <t>9000-0-27</t>
        </is>
      </c>
      <c r="E28" s="101" t="inlineStr">
        <is>
          <t>D+110 ~ D+120</t>
        </is>
      </c>
      <c r="F28" s="110" t="inlineStr">
        <is>
          <t>실시설계 지반조사 R/O 검토 (설계, 원가, 공정, 기타)</t>
        </is>
      </c>
      <c r="G28" s="103" t="inlineStr">
        <is>
          <t>포스코스마트엔지니어링팀</t>
        </is>
      </c>
      <c r="H28" s="103" t="inlineStr">
        <is>
          <t>현장 공사팀/품질팀/공무팀, 토목견적팀(원가), 토목수행팀(공정), 토목사업지원팀(기획)</t>
        </is>
      </c>
      <c r="I28" s="102" t="inlineStr">
        <is>
          <t>실시설계 지반조사 결과에 따른 직분야 R/O 및 Cost impact 반영 사항 검토</t>
        </is>
      </c>
      <c r="J28" s="102" t="inlineStr">
        <is>
          <t>• 실시설계 추가지반조사 결과 분석을 통한 원가 및 공정 영향 검토
• 미시추 구간 평가 및 공정 Risk 반영 사항 검토
• 지반조건을 고려한 발파공법성 검토</t>
        </is>
      </c>
      <c r="K28" s="110" t="inlineStr">
        <is>
          <t>실시설계 지반조사 검토서(설계, 원가, 공정, 기타)</t>
        </is>
      </c>
      <c r="L28" s="102" t="inlineStr">
        <is>
          <t>실시설계 지반조사 결과에 따른 직분야 R/O 및 Cost impact 반영 사항 검토 | 실시설계 지반조사 검토서(설계, 원가, 공정, 기타)</t>
        </is>
      </c>
      <c r="M2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8" s="102" t="inlineStr">
        <is>
          <t>• 실시설계 추가지반조사 결과 분석을 통한 원가 및 공정 영향 검토 • 미시추 구간 평가 및 공정 Risk 반영 사항 검토 • 지반조건을 고려한 발파공법성 검토</t>
        </is>
      </c>
      <c r="O2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8" s="102" t="inlineStr">
        <is>
          <t>1) 실시설계 지반조사 R/O 검토 (설계, 원가, 공정, 기타) 적정성을 확인하였는가? 2) 실시설계 지반조사 검토서(설계, 원가, 공정, 기타) 산출물을 확보하였는가?</t>
        </is>
      </c>
      <c r="Q28"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9" ht="28.05" customHeight="1" s="148">
      <c r="A29" s="105" t="inlineStr">
        <is>
          <t>9000</t>
        </is>
      </c>
      <c r="B29" s="105" t="inlineStr">
        <is>
          <t>9000-0</t>
        </is>
      </c>
      <c r="C29" s="105" t="inlineStr">
        <is>
          <t>사전준비_지반조사</t>
        </is>
      </c>
      <c r="D29" s="105" t="inlineStr">
        <is>
          <t>9000-0-28</t>
        </is>
      </c>
      <c r="E29" s="107" t="inlineStr">
        <is>
          <t>D+110 ~ D+120</t>
        </is>
      </c>
      <c r="F29" s="106" t="inlineStr">
        <is>
          <t>실시설계 추가지반조사 결과 검토</t>
        </is>
      </c>
      <c r="G29" s="109" t="inlineStr">
        <is>
          <t>포스코스마트엔지니어링팀</t>
        </is>
      </c>
      <c r="H29" s="109" t="inlineStr">
        <is>
          <t>현장 공사팀/품질팀/공무팀, 토목견적팀(원가), 토목수행팀(공정), 토목사업지원팀(기획)</t>
        </is>
      </c>
      <c r="I29" s="108" t="inlineStr">
        <is>
          <t>추가지반조사 결과에 기반한 최종 R/O 확정</t>
        </is>
      </c>
      <c r="J29" s="108" t="inlineStr">
        <is>
          <t>• 추가지반조사 결과 검토</t>
        </is>
      </c>
      <c r="K29" s="106" t="inlineStr">
        <is>
          <t>실시설계 최종 R/O</t>
        </is>
      </c>
      <c r="L29" s="108" t="inlineStr">
        <is>
          <t>추가지반조사 결과에 기반한 최종 R/O 확정 | 실시설계 최종 R/O</t>
        </is>
      </c>
      <c r="M29"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9" s="108" t="inlineStr">
        <is>
          <t>• 추가지반조사 결과 검토</t>
        </is>
      </c>
      <c r="O29"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9" s="108" t="inlineStr">
        <is>
          <t>1) 실시설계 추가지반조사 결과 검토 적정성을 확인하였는가? 2) 실시설계 최종 R/O 산출물을 확보하였는가?</t>
        </is>
      </c>
      <c r="Q29"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0" ht="45" customHeight="1" s="148">
      <c r="A30" s="98" t="inlineStr">
        <is>
          <t>9000</t>
        </is>
      </c>
      <c r="B30" s="98" t="inlineStr">
        <is>
          <t>9000-0</t>
        </is>
      </c>
      <c r="C30" s="98" t="inlineStr">
        <is>
          <t>사전준비_지반조사</t>
        </is>
      </c>
      <c r="D30" s="98" t="inlineStr">
        <is>
          <t>9000-0-29</t>
        </is>
      </c>
      <c r="E30" s="101" t="inlineStr">
        <is>
          <t>D+120 ~ D+150</t>
        </is>
      </c>
      <c r="F30" s="110" t="inlineStr">
        <is>
          <t>최종 R/O 이행방안 수립</t>
        </is>
      </c>
      <c r="G30" s="103" t="inlineStr">
        <is>
          <t>현장소장</t>
        </is>
      </c>
      <c r="H30" s="103" t="inlineStr">
        <is>
          <t>토목수행팀</t>
        </is>
      </c>
      <c r="I30" s="102" t="inlineStr">
        <is>
          <t>최종 지반조사 결과에 따른 R/O 이행방안 수립</t>
        </is>
      </c>
      <c r="J30" s="102" t="inlineStr">
        <is>
          <t>• Core Risk 및 Hedge 방안 수립
• Opportunity에 따른 본공 상가 추가 개선 방안 수립</t>
        </is>
      </c>
      <c r="K30" s="110" t="inlineStr">
        <is>
          <t>최종 R/O 이행계획서</t>
        </is>
      </c>
      <c r="L30" s="102" t="inlineStr">
        <is>
          <t>최종 지반조사 결과에 따른 R/O 이행방안 수립 | 최종 R/O 이행계획서</t>
        </is>
      </c>
      <c r="M3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0" s="102" t="inlineStr">
        <is>
          <t>• Core Risk 및 Hedge 방안 수립 • Opportunity에 따른 본공 상가 추가 개선 방안 수립</t>
        </is>
      </c>
      <c r="O3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0" s="102" t="inlineStr">
        <is>
          <t>1) 최종 R/O 이행방안 수립 적정성을 확인하였는가? 2) 최종 R/O 이행계획서 산출물을 확보하였는가?</t>
        </is>
      </c>
      <c r="Q30"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1" ht="28.05" customHeight="1" s="148">
      <c r="A31" s="105" t="inlineStr">
        <is>
          <t>9000</t>
        </is>
      </c>
      <c r="B31" s="105" t="inlineStr">
        <is>
          <t>9000-0</t>
        </is>
      </c>
      <c r="C31" s="105" t="inlineStr">
        <is>
          <t>사전준비_지반조사</t>
        </is>
      </c>
      <c r="D31" s="105" t="inlineStr">
        <is>
          <t>9000-0-30</t>
        </is>
      </c>
      <c r="E31" s="107" t="inlineStr">
        <is>
          <t>- ~ -</t>
        </is>
      </c>
      <c r="F31" s="106" t="inlineStr">
        <is>
          <t>외부지질전문가 업무평가</t>
        </is>
      </c>
      <c r="G31" s="109" t="inlineStr">
        <is>
          <t>포스코스마트엔지니어링팀</t>
        </is>
      </c>
      <c r="H31" s="109" t="inlineStr">
        <is>
          <t>현장 공사팀/공무팀</t>
        </is>
      </c>
      <c r="I31" s="108" t="inlineStr">
        <is>
          <t>참여인력 전문성 평가 및 특이사항 기록</t>
        </is>
      </c>
      <c r="J31" s="108" t="inlineStr">
        <is>
          <t>• 외부지질 전문가 업무평가서 작성</t>
        </is>
      </c>
      <c r="K31" s="106" t="inlineStr">
        <is>
          <t>외부지질 전문가 업무평가서</t>
        </is>
      </c>
      <c r="L31" s="108" t="inlineStr">
        <is>
          <t>참여인력 전문성 평가 및 특이사항 기록 | 외부지질 전문가 업무평가서</t>
        </is>
      </c>
      <c r="M31"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1" s="108" t="inlineStr">
        <is>
          <t>• 외부지질 전문가 업무평가서 작성</t>
        </is>
      </c>
      <c r="O31"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1" s="108" t="inlineStr">
        <is>
          <t>1) 외부지질전문가 업무평가 적정성을 확인하였는가? 2) 외부지질 전문가 업무평가서 산출물을 확보하였는가?</t>
        </is>
      </c>
      <c r="Q31"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2" ht="28.05" customHeight="1" s="148">
      <c r="A32" s="98" t="inlineStr">
        <is>
          <t>9000</t>
        </is>
      </c>
      <c r="B32" s="98" t="inlineStr">
        <is>
          <t>9000-0</t>
        </is>
      </c>
      <c r="C32" s="98" t="inlineStr">
        <is>
          <t>사전준비_지반조사</t>
        </is>
      </c>
      <c r="D32" s="98" t="inlineStr">
        <is>
          <t>9000-0-31</t>
        </is>
      </c>
      <c r="E32" s="101" t="inlineStr">
        <is>
          <t>- ~ -</t>
        </is>
      </c>
      <c r="F32" s="110" t="inlineStr">
        <is>
          <t>조사업체 PM 업무평가</t>
        </is>
      </c>
      <c r="G32" s="103" t="inlineStr">
        <is>
          <t>포스코스마트엔지니어링팀</t>
        </is>
      </c>
      <c r="H32" s="103" t="inlineStr">
        <is>
          <t>현장 공사팀/공무팀</t>
        </is>
      </c>
      <c r="I32" s="102" t="inlineStr">
        <is>
          <t>조사업체 PM 전문성 평가 및 특이사항 기록</t>
        </is>
      </c>
      <c r="J32" s="102" t="inlineStr">
        <is>
          <t>• 지반조사 PM 업무평가서 작성</t>
        </is>
      </c>
      <c r="K32" s="110" t="inlineStr">
        <is>
          <t>PM업무평가서</t>
        </is>
      </c>
      <c r="L32" s="102" t="inlineStr">
        <is>
          <t>조사업체 PM 전문성 평가 및 특이사항 기록 | PM업무평가서</t>
        </is>
      </c>
      <c r="M3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2" s="102" t="inlineStr">
        <is>
          <t>• 지반조사 PM 업무평가서 작성</t>
        </is>
      </c>
      <c r="O3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2" s="102" t="inlineStr">
        <is>
          <t>1) 조사업체 PM 업무평가 적정성을 확인하였는가? 2) PM업무평가서 산출물을 확보하였는가?</t>
        </is>
      </c>
      <c r="Q3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3" ht="28.05" customHeight="1" s="148">
      <c r="A33" s="105" t="inlineStr">
        <is>
          <t>9000</t>
        </is>
      </c>
      <c r="B33" s="105" t="inlineStr">
        <is>
          <t>9000-0</t>
        </is>
      </c>
      <c r="C33" s="105" t="inlineStr">
        <is>
          <t>사전준비_지반조사</t>
        </is>
      </c>
      <c r="D33" s="105" t="inlineStr">
        <is>
          <t>9000-0-32</t>
        </is>
      </c>
      <c r="E33" s="107" t="inlineStr">
        <is>
          <t>- ~ -</t>
        </is>
      </c>
      <c r="F33" s="106" t="inlineStr">
        <is>
          <t>지반조사업체 업무평가</t>
        </is>
      </c>
      <c r="G33" s="109" t="inlineStr">
        <is>
          <t>현장소장</t>
        </is>
      </c>
      <c r="H33" s="109" t="inlineStr">
        <is>
          <t>현장 공사팀/공무팀</t>
        </is>
      </c>
      <c r="I33" s="108" t="inlineStr">
        <is>
          <t>조사업체 업무평가 및 특이사항 기록</t>
        </is>
      </c>
      <c r="J33" s="108" t="inlineStr">
        <is>
          <t>• 협력업체 업무평가서</t>
        </is>
      </c>
      <c r="K33" s="106" t="inlineStr">
        <is>
          <t>협력업체 업무평가서</t>
        </is>
      </c>
      <c r="L33" s="108" t="inlineStr">
        <is>
          <t>조사업체 업무평가 및 특이사항 기록 | 협력업체 업무평가서</t>
        </is>
      </c>
      <c r="M3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3" s="108" t="inlineStr">
        <is>
          <t>• 협력업체 업무평가서</t>
        </is>
      </c>
      <c r="O3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3" s="108" t="inlineStr">
        <is>
          <t>1) 지반조사업체 업무평가 적정성을 확인하였는가? 2) 협력업체 업무평가서 산출물을 확보하였는가?</t>
        </is>
      </c>
      <c r="Q3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4" ht="45" customHeight="1" s="148">
      <c r="A34" s="98" t="inlineStr">
        <is>
          <t>9000</t>
        </is>
      </c>
      <c r="B34" s="98" t="inlineStr">
        <is>
          <t>9000-0</t>
        </is>
      </c>
      <c r="C34" s="98" t="inlineStr">
        <is>
          <t>사전준비_지반조사</t>
        </is>
      </c>
      <c r="D34" s="98" t="inlineStr">
        <is>
          <t>9000-0-33</t>
        </is>
      </c>
      <c r="E34" s="101" t="inlineStr">
        <is>
          <t>- ~ -</t>
        </is>
      </c>
      <c r="F34" s="110" t="inlineStr">
        <is>
          <t>설계변경 LL 리포트 작성</t>
        </is>
      </c>
      <c r="G34" s="103" t="inlineStr">
        <is>
          <t>현장소장</t>
        </is>
      </c>
      <c r="H34" s="103" t="inlineStr">
        <is>
          <t>현장 공무팀</t>
        </is>
      </c>
      <c r="I34" s="102" t="inlineStr">
        <is>
          <t>설계변경 사항 기록</t>
        </is>
      </c>
      <c r="J34" s="102" t="inlineStr">
        <is>
          <t>• 설계변경 사유 기록관리
• 예상 R/O대비 설계변경 사항 비교 검토</t>
        </is>
      </c>
      <c r="K34" s="110" t="inlineStr">
        <is>
          <t>LL리포트</t>
        </is>
      </c>
      <c r="L34" s="102" t="inlineStr">
        <is>
          <t>설계변경 사항 기록 | LL리포트</t>
        </is>
      </c>
      <c r="M3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4" s="102" t="inlineStr">
        <is>
          <t>• 설계변경 사유 기록관리 • 예상 R/O대비 설계변경 사항 비교 검토</t>
        </is>
      </c>
      <c r="O3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4" s="102" t="inlineStr">
        <is>
          <t>1) 설계변경 LL 리포트 작성 적정성을 확인하였는가? 2) LL리포트 산출물을 확보하였는가?</t>
        </is>
      </c>
      <c r="Q3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5" ht="28.05" customHeight="1" s="148">
      <c r="A35" s="105" t="inlineStr">
        <is>
          <t>9000</t>
        </is>
      </c>
      <c r="B35" s="105" t="inlineStr">
        <is>
          <t>9000-0</t>
        </is>
      </c>
      <c r="C35" s="105" t="inlineStr">
        <is>
          <t>사전준비_지반조사</t>
        </is>
      </c>
      <c r="D35" s="105" t="inlineStr">
        <is>
          <t>9000-0-34</t>
        </is>
      </c>
      <c r="E35" s="107" t="inlineStr">
        <is>
          <t>- ~ -</t>
        </is>
      </c>
      <c r="F35" s="106" t="inlineStr">
        <is>
          <t>설계변경 LL 리포트 관리</t>
        </is>
      </c>
      <c r="G35" s="109" t="inlineStr">
        <is>
          <t>토목수행팀</t>
        </is>
      </c>
      <c r="H35" s="109" t="inlineStr">
        <is>
          <t>현장소장</t>
        </is>
      </c>
      <c r="I35" s="108" t="inlineStr">
        <is>
          <t>전체 현장 설계변경 사항 기록</t>
        </is>
      </c>
      <c r="J35" s="108" t="inlineStr">
        <is>
          <t>• 현장별 설계변경 LL 리포트 취합 관리</t>
        </is>
      </c>
      <c r="K35" s="106" t="inlineStr">
        <is>
          <t>LL리포트 List</t>
        </is>
      </c>
      <c r="L35" s="108" t="inlineStr">
        <is>
          <t>전체 현장 설계변경 사항 기록 | LL리포트 List</t>
        </is>
      </c>
      <c r="M3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5" s="108" t="inlineStr">
        <is>
          <t>• 현장별 설계변경 LL 리포트 취합 관리</t>
        </is>
      </c>
      <c r="O3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5" s="108" t="inlineStr">
        <is>
          <t>1) 설계변경 LL 리포트 관리 적정성을 확인하였는가? 2) LL리포트 List 산출물을 확보하였는가?</t>
        </is>
      </c>
      <c r="Q3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6" ht="45" customHeight="1" s="148">
      <c r="A36" s="98" t="inlineStr">
        <is>
          <t>9000</t>
        </is>
      </c>
      <c r="B36" s="98" t="inlineStr">
        <is>
          <t>9000-0</t>
        </is>
      </c>
      <c r="C36" s="98" t="inlineStr">
        <is>
          <t>사전준비_지반조사</t>
        </is>
      </c>
      <c r="D36" s="98" t="inlineStr">
        <is>
          <t>9000-0-35</t>
        </is>
      </c>
      <c r="E36" s="101" t="inlineStr">
        <is>
          <t>- ~ -</t>
        </is>
      </c>
      <c r="F36" s="110" t="inlineStr">
        <is>
          <t>지반조사업체 정산계약</t>
        </is>
      </c>
      <c r="G36" s="103" t="inlineStr">
        <is>
          <t>일반구매팀</t>
        </is>
      </c>
      <c r="H36" s="103" t="inlineStr">
        <is>
          <t>현장 공무팀</t>
        </is>
      </c>
      <c r="I36" s="102" t="inlineStr">
        <is>
          <t>지반조사업체 정산</t>
        </is>
      </c>
      <c r="J36" s="102" t="inlineStr">
        <is>
          <t>• 조사도 수량 Check 후 구매시스템 변경계약 수행
• 변경계약 후 정산금 집행</t>
        </is>
      </c>
      <c r="K36" s="110" t="inlineStr">
        <is>
          <t>정산계약서</t>
        </is>
      </c>
      <c r="L36" s="102" t="inlineStr">
        <is>
          <t>지반조사업체 정산 | 정산계약서</t>
        </is>
      </c>
      <c r="M3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6" s="102" t="inlineStr">
        <is>
          <t>• 조사도 수량 Check 후 구매시스템 변경계약 수행 • 변경계약 후 정산금 집행</t>
        </is>
      </c>
      <c r="O3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6" s="102" t="inlineStr">
        <is>
          <t>1) 지반조사업체 정산계약 적정성을 확인하였는가? 2) 정산계약서 산출물을 확보하였는가?</t>
        </is>
      </c>
      <c r="Q36"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7" ht="28.05" customHeight="1" s="148">
      <c r="A37" s="105" t="inlineStr">
        <is>
          <t>9000</t>
        </is>
      </c>
      <c r="B37" s="105" t="inlineStr">
        <is>
          <t>9000-0</t>
        </is>
      </c>
      <c r="C37" s="105" t="inlineStr">
        <is>
          <t>사전준비_지반조사</t>
        </is>
      </c>
      <c r="D37" s="105" t="inlineStr">
        <is>
          <t>9000-0-36</t>
        </is>
      </c>
      <c r="E37" s="107" t="inlineStr">
        <is>
          <t>- ~ -</t>
        </is>
      </c>
      <c r="F37" s="106" t="inlineStr">
        <is>
          <t>매뉴얼 Update</t>
        </is>
      </c>
      <c r="G37" s="109" t="inlineStr">
        <is>
          <t>혁신실장</t>
        </is>
      </c>
      <c r="H37" s="109" t="inlineStr">
        <is>
          <t>현장 공무팀</t>
        </is>
      </c>
      <c r="I37" s="108" t="inlineStr">
        <is>
          <t>지반조사 매뉴얼 Update</t>
        </is>
      </c>
      <c r="J37" s="108" t="inlineStr">
        <is>
          <t>• 매뉴얼 Update 및 개정사항 사내공지</t>
        </is>
      </c>
      <c r="K37" s="106" t="inlineStr">
        <is>
          <t>지반조사 매뉴얼</t>
        </is>
      </c>
      <c r="L37" s="108" t="inlineStr">
        <is>
          <t>지반조사 매뉴얼 Update | 지반조사 매뉴얼</t>
        </is>
      </c>
      <c r="M37"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7" s="108" t="inlineStr">
        <is>
          <t>• 매뉴얼 Update 및 개정사항 사내공지</t>
        </is>
      </c>
      <c r="O37"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7" s="108" t="inlineStr">
        <is>
          <t>1) 매뉴얼 Update 적정성을 확인하였는가? 2) 지반조사 매뉴얼 산출물을 확보하였는가?</t>
        </is>
      </c>
      <c r="Q37"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sheetData>
  <pageMargins left="0.75" right="0.75" top="1" bottom="1" header="0.5" footer="0.5"/>
</worksheet>
</file>

<file path=xl/worksheets/sheet4.xml><?xml version="1.0" encoding="utf-8"?>
<worksheet xmlns="http://schemas.openxmlformats.org/spreadsheetml/2006/main">
  <sheetPr codeName="Sheet13">
    <outlinePr summaryBelow="1" summaryRight="1"/>
    <pageSetUpPr/>
  </sheetPr>
  <dimension ref="A1:K40"/>
  <sheetViews>
    <sheetView workbookViewId="0">
      <selection activeCell="A1" sqref="A1"/>
    </sheetView>
  </sheetViews>
  <sheetFormatPr baseColWidth="8" defaultRowHeight="17.4"/>
  <cols>
    <col width="6" customWidth="1" style="148" min="1" max="1"/>
    <col width="26" customWidth="1" style="148" min="2" max="2"/>
    <col width="12" customWidth="1" style="148" min="3" max="4"/>
    <col width="32" customWidth="1" style="148" min="5" max="5"/>
    <col width="55" customWidth="1" style="148" min="6" max="6"/>
    <col width="24" customWidth="1" style="148" min="7" max="7"/>
    <col width="26" customWidth="1" style="148" min="8" max="8"/>
    <col width="30" customWidth="1" style="148" min="9" max="9"/>
    <col width="10" customWidth="1" style="148" min="10" max="11"/>
  </cols>
  <sheetData>
    <row r="1" ht="28.05" customHeight="1" s="148">
      <c r="A1" s="95" t="inlineStr">
        <is>
          <t>■ 매뉴얼_공통_사전준비_지반조사(기술형)</t>
        </is>
      </c>
      <c r="B1" s="96" t="n"/>
      <c r="C1" s="96" t="n"/>
    </row>
    <row r="2">
      <c r="A2" s="147" t="inlineStr">
        <is>
          <t>No.</t>
        </is>
      </c>
      <c r="B2" s="146" t="inlineStr">
        <is>
          <t>Process</t>
        </is>
      </c>
      <c r="C2" s="146" t="inlineStr">
        <is>
          <t>시점(When)</t>
        </is>
      </c>
      <c r="D2" s="136" t="n"/>
      <c r="E2" s="147" t="inlineStr">
        <is>
          <t>목적(Why)</t>
        </is>
      </c>
      <c r="F2" s="147" t="inlineStr">
        <is>
          <t>Activity
방법(How)</t>
        </is>
      </c>
      <c r="G2" s="147" t="inlineStr">
        <is>
          <t>주관부서(Who)</t>
        </is>
      </c>
      <c r="H2" s="147" t="inlineStr">
        <is>
          <t>협업부서</t>
        </is>
      </c>
      <c r="I2" s="147" t="inlineStr">
        <is>
          <t>산출물(What)</t>
        </is>
      </c>
      <c r="J2" s="147" t="inlineStr">
        <is>
          <t>수행지침</t>
        </is>
      </c>
      <c r="K2" s="147" t="inlineStr">
        <is>
          <t>표준서</t>
        </is>
      </c>
    </row>
    <row r="3">
      <c r="B3" s="149" t="n"/>
      <c r="C3" s="97" t="inlineStr">
        <is>
          <t>Start</t>
        </is>
      </c>
      <c r="D3" s="97" t="inlineStr">
        <is>
          <t>Finish</t>
        </is>
      </c>
    </row>
    <row r="4" ht="19.95" customHeight="1" s="148">
      <c r="A4" s="145" t="inlineStr">
        <is>
          <t>공통_사전준비_지반조사(기술형)</t>
        </is>
      </c>
      <c r="B4" s="135" t="n"/>
      <c r="C4" s="135" t="n"/>
      <c r="D4" s="135" t="n"/>
      <c r="E4" s="135" t="n"/>
      <c r="F4" s="135" t="n"/>
      <c r="G4" s="135" t="n"/>
      <c r="H4" s="135" t="n"/>
      <c r="I4" s="135" t="n"/>
      <c r="J4" s="135" t="n"/>
      <c r="K4" s="136" t="n"/>
    </row>
    <row r="5" ht="42" customHeight="1" s="148">
      <c r="A5" s="98" t="n"/>
      <c r="B5" s="99" t="inlineStr">
        <is>
          <t>발주처 계획 입수(비공식)</t>
        </is>
      </c>
      <c r="C5" s="100" t="inlineStr">
        <is>
          <t>사전영업</t>
        </is>
      </c>
      <c r="D5" s="101" t="n"/>
      <c r="E5" s="102" t="inlineStr">
        <is>
          <t>발주처 기본계획 사전 검토</t>
        </is>
      </c>
      <c r="F5" s="102" t="inlineStr">
        <is>
          <t>• 조사설계 용역 기본계획 도서 확보 여부 확인
• 핵심이슈 (미시추 사유, 지층/암반등급 조정여부 등) 확보 여부 확인
• 사업지 연접 지질/지반조사 자료 확보 여부 확인</t>
        </is>
      </c>
      <c r="G5" s="103" t="inlineStr">
        <is>
          <t>토목사업팀</t>
        </is>
      </c>
      <c r="H5" s="103" t="inlineStr">
        <is>
          <t>지반조사업체, 외부지질전문가 3인이상</t>
        </is>
      </c>
      <c r="I5" s="104" t="inlineStr">
        <is>
          <t>발주처 기본계획 보고서</t>
        </is>
      </c>
      <c r="J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6" ht="42" customHeight="1" s="148">
      <c r="A6" s="98" t="n"/>
      <c r="B6" s="99" t="inlineStr">
        <is>
          <t>관심프로젝트 선정</t>
        </is>
      </c>
      <c r="C6" s="100" t="inlineStr">
        <is>
          <t>사전영업</t>
        </is>
      </c>
      <c r="D6" s="101" t="n"/>
      <c r="E6" s="102" t="inlineStr">
        <is>
          <t>입수된 발주정보 평가를 통한 관심 Project 선정</t>
        </is>
      </c>
      <c r="F6" s="102" t="inlineStr">
        <is>
          <t>• 해당 프로젝트별 발주처/경쟁동향 / 사업성평가 수행
• 기술형입찰 입찰참여 Guide Line으로 해당 프로젝트 평가</t>
        </is>
      </c>
      <c r="G6" s="103" t="inlineStr">
        <is>
          <t>토목사업팀</t>
        </is>
      </c>
      <c r="H6" s="103" t="inlineStr">
        <is>
          <t>포스코스마트엔지니어링팀</t>
        </is>
      </c>
      <c r="I6" s="104" t="inlineStr">
        <is>
          <t>관심사업 List</t>
        </is>
      </c>
      <c r="J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7" ht="42" customHeight="1" s="148">
      <c r="A7" s="98" t="inlineStr">
        <is>
          <t>1</t>
        </is>
      </c>
      <c r="B7" s="99" t="inlineStr">
        <is>
          <t>발주처 지반조사 모니터링</t>
        </is>
      </c>
      <c r="C7" s="100" t="inlineStr">
        <is>
          <t>사전영업</t>
        </is>
      </c>
      <c r="D7" s="101" t="n"/>
      <c r="E7" s="102" t="inlineStr">
        <is>
          <t>발주처 지반조사 수립업체 파악</t>
        </is>
      </c>
      <c r="F7" s="102" t="inlineStr">
        <is>
          <t>• 발주처 지반조사업체 확인 후 당사 Pool List와 비교
• 발주처 지반조사 업체 확인팀 Contact Point 확보</t>
        </is>
      </c>
      <c r="G7" s="103" t="inlineStr">
        <is>
          <t>포스코스마트엔지니어링팀</t>
        </is>
      </c>
      <c r="H7" s="103" t="inlineStr">
        <is>
          <t>토목사업팀</t>
        </is>
      </c>
      <c r="I7" s="104" t="inlineStr">
        <is>
          <t>발주처 기본계획 수행 List + Contact Point List</t>
        </is>
      </c>
      <c r="J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8" ht="42" customHeight="1" s="148">
      <c r="A8" s="98" t="inlineStr">
        <is>
          <t>2</t>
        </is>
      </c>
      <c r="B8" s="99" t="inlineStr">
        <is>
          <t>외부 지질전문가 Pool 관리</t>
        </is>
      </c>
      <c r="C8" s="100" t="inlineStr">
        <is>
          <t>매년 1분기</t>
        </is>
      </c>
      <c r="D8" s="101" t="n"/>
      <c r="E8" s="102" t="inlineStr">
        <is>
          <t>지반조사 품질향상을 위한 제3자 검증 수행 지반조사 전문가 Pool 관리</t>
        </is>
      </c>
      <c r="F8" s="102" t="inlineStr">
        <is>
          <t>• Academic 전문가와 현장 전문가를 포함한 Pool 구성
• 전문가 Pool의 학력/기술사 등 경력사항(조사 15년) 확인</t>
        </is>
      </c>
      <c r="G8" s="103" t="inlineStr">
        <is>
          <t>포스코스마트엔지니어링팀</t>
        </is>
      </c>
      <c r="H8" s="103" t="inlineStr">
        <is>
          <t>-</t>
        </is>
      </c>
      <c r="I8" s="104" t="inlineStr">
        <is>
          <t>외부지질전문가 Pool List</t>
        </is>
      </c>
      <c r="J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9" ht="42" customHeight="1" s="148">
      <c r="A9" s="98" t="inlineStr">
        <is>
          <t>3</t>
        </is>
      </c>
      <c r="B9" s="99" t="inlineStr">
        <is>
          <t>지반조사 Pool 관리</t>
        </is>
      </c>
      <c r="C9" s="100" t="inlineStr">
        <is>
          <t>매년 1분기</t>
        </is>
      </c>
      <c r="D9" s="101" t="n"/>
      <c r="E9" s="102" t="inlineStr">
        <is>
          <t>발주처 계획 대응 및 개략 지반조사 결과 사전 예측을 위한 업체 관리</t>
        </is>
      </c>
      <c r="F9" s="102" t="inlineStr">
        <is>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is>
      </c>
      <c r="G9" s="103" t="inlineStr">
        <is>
          <t>외주구매팀</t>
        </is>
      </c>
      <c r="H9" s="103" t="inlineStr">
        <is>
          <t>포스코스마트엔지니어링팀</t>
        </is>
      </c>
      <c r="I9" s="104" t="inlineStr">
        <is>
          <t>조사업체 POOL/필요시 Update</t>
        </is>
      </c>
      <c r="J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0" ht="25.95" customHeight="1" s="148">
      <c r="A10" s="98" t="n"/>
      <c r="B10" s="99" t="inlineStr">
        <is>
          <t>기본계획 지반조사 자료 및 R/O 정보 입수</t>
        </is>
      </c>
      <c r="C10" s="100" t="inlineStr">
        <is>
          <t>D-210</t>
        </is>
      </c>
      <c r="D10" s="101" t="inlineStr">
        <is>
          <t>D-180</t>
        </is>
      </c>
      <c r="E10" s="102" t="inlineStr">
        <is>
          <t>발주처 기본계획 및 지반조사 결과 사전 획득</t>
        </is>
      </c>
      <c r="F10" s="102" t="inlineStr">
        <is>
          <t>• 기본계획 지반조사결과 및 실시설계 Contact을 통한 자료입수</t>
        </is>
      </c>
      <c r="G10" s="103" t="inlineStr">
        <is>
          <t>지반조사 협력업체</t>
        </is>
      </c>
      <c r="H10" s="103" t="inlineStr">
        <is>
          <t>설계 협력업체</t>
        </is>
      </c>
      <c r="I10" s="104" t="inlineStr">
        <is>
          <t>발주처 기본계획 보고서 및 지반조사 보고서(비공식)</t>
        </is>
      </c>
      <c r="J1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1" ht="42" customHeight="1" s="148">
      <c r="A11" s="98" t="n"/>
      <c r="B11" s="99" t="inlineStr">
        <is>
          <t>기본계획 지반조사 R/O 검토 (설계, 공정, 기획)</t>
        </is>
      </c>
      <c r="C11" s="100" t="inlineStr">
        <is>
          <t>D-180</t>
        </is>
      </c>
      <c r="D11" s="101" t="inlineStr">
        <is>
          <t>D-165</t>
        </is>
      </c>
      <c r="E11" s="102" t="inlineStr">
        <is>
          <t>발주처 기본계획 지반조사 문제점 검토</t>
        </is>
      </c>
      <c r="F11" s="102" t="inlineStr">
        <is>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is>
      </c>
      <c r="G11" s="103" t="inlineStr">
        <is>
          <t>포스코스마트엔지니어링팀(설계), 토목수행팀(공정), 토목사업지원팀(기획)</t>
        </is>
      </c>
      <c r="H11" s="103" t="inlineStr">
        <is>
          <t>토목견적팀</t>
        </is>
      </c>
      <c r="I11" s="104" t="inlineStr">
        <is>
          <t>기본계획 지반조사 검토서(설계, 공정, 기획)</t>
        </is>
      </c>
      <c r="J11"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1"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2" ht="25.95" customHeight="1" s="148">
      <c r="A12" s="98" t="inlineStr">
        <is>
          <t>4</t>
        </is>
      </c>
      <c r="B12" s="110" t="inlineStr">
        <is>
          <t>기본계획 지반조사 R/O 종합검토 (원가)</t>
        </is>
      </c>
      <c r="C12" s="101" t="inlineStr">
        <is>
          <t>D-165</t>
        </is>
      </c>
      <c r="D12" s="101" t="inlineStr">
        <is>
          <t>D-150</t>
        </is>
      </c>
      <c r="E12" s="102" t="inlineStr">
        <is>
          <t>발주처 지반조사 문제점 R/O 분석</t>
        </is>
      </c>
      <c r="F12" s="102" t="inlineStr">
        <is>
          <t>• 발주처 기본계획 지반조사 R/O별 Cost effect 분석</t>
        </is>
      </c>
      <c r="G12" s="103" t="inlineStr">
        <is>
          <t>토목견적팀</t>
        </is>
      </c>
      <c r="H12" s="103" t="inlineStr">
        <is>
          <t>포스코스마트엔지니어링팀(설계), 토목수행팀(공정), 토목사업지원팀(기획)</t>
        </is>
      </c>
      <c r="I12" s="104" t="inlineStr">
        <is>
          <t>기본계획 지반조사 개략 검토서</t>
        </is>
      </c>
      <c r="J1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3" ht="25.95" customHeight="1" s="148">
      <c r="A13" s="98" t="inlineStr">
        <is>
          <t>5</t>
        </is>
      </c>
      <c r="B13" s="110" t="inlineStr">
        <is>
          <t>지반조사 업체 선정</t>
        </is>
      </c>
      <c r="C13" s="101" t="inlineStr">
        <is>
          <t>D-150</t>
        </is>
      </c>
      <c r="D13" s="101" t="inlineStr">
        <is>
          <t>D-135</t>
        </is>
      </c>
      <c r="E13" s="102" t="inlineStr">
        <is>
          <t>지반조사업체 Pool 내 최적의 업체 선정</t>
        </is>
      </c>
      <c r="F13" s="102" t="inlineStr">
        <is>
          <t>• 지반조사업체 Pool/실적 검토 및 공종별 적합성 정합 및 견적 본부 연계 검토</t>
        </is>
      </c>
      <c r="G13" s="103" t="inlineStr">
        <is>
          <t>일반구매팀</t>
        </is>
      </c>
      <c r="H13" s="103" t="inlineStr">
        <is>
          <t>포스코스마트엔지니어링팀</t>
        </is>
      </c>
      <c r="I13" s="104" t="inlineStr">
        <is>
          <t>지반조사 입찰 참여 Pool</t>
        </is>
      </c>
      <c r="J13"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3"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4" ht="25.95" customHeight="1" s="148">
      <c r="A14" s="98" t="n"/>
      <c r="B14" s="110" t="inlineStr">
        <is>
          <t>지반조사 업체 계약</t>
        </is>
      </c>
      <c r="C14" s="101" t="inlineStr">
        <is>
          <t>D-135</t>
        </is>
      </c>
      <c r="D14" s="101" t="inlineStr">
        <is>
          <t>D-120</t>
        </is>
      </c>
      <c r="E14" s="102" t="inlineStr">
        <is>
          <t>지반조사업체 용역 계약</t>
        </is>
      </c>
      <c r="F14" s="102" t="inlineStr">
        <is>
          <t>• 일반구매시스템을 이용한 용역계약</t>
        </is>
      </c>
      <c r="G14" s="103" t="inlineStr">
        <is>
          <t>일반구매팀</t>
        </is>
      </c>
      <c r="H14" s="103" t="inlineStr">
        <is>
          <t>포스코스마트엔지니어링팀</t>
        </is>
      </c>
      <c r="I14" s="104" t="inlineStr">
        <is>
          <t>지반조사 용역 계약서</t>
        </is>
      </c>
      <c r="J1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5" ht="42" customHeight="1" s="148">
      <c r="A15" s="98" t="inlineStr">
        <is>
          <t>6</t>
        </is>
      </c>
      <c r="B15" s="110" t="inlineStr">
        <is>
          <t>지반조사 항목, 수량 및 위치검토</t>
        </is>
      </c>
      <c r="C15" s="101" t="inlineStr">
        <is>
          <t>D-135</t>
        </is>
      </c>
      <c r="D15" s="101" t="inlineStr">
        <is>
          <t>D-115</t>
        </is>
      </c>
      <c r="E15" s="102" t="inlineStr">
        <is>
          <t>프로젝트 정합에 부합하는 지반조사 항목 사전조사 수행, 위치 선정</t>
        </is>
      </c>
      <c r="F15" s="102" t="inlineStr">
        <is>
          <t>• 현장답사 수행
• 공종별 실시설계에 준하여 수량 및 위치 검토</t>
        </is>
      </c>
      <c r="G15" s="103" t="inlineStr">
        <is>
          <t>포스코스마트엔지니어링팀</t>
        </is>
      </c>
      <c r="H15" s="103" t="inlineStr">
        <is>
          <t>지반조사업체</t>
        </is>
      </c>
      <c r="I15" s="104" t="inlineStr">
        <is>
          <t>지반조사 계획서</t>
        </is>
      </c>
      <c r="J1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6" ht="25.95" customHeight="1" s="148">
      <c r="A16" s="98" t="inlineStr">
        <is>
          <t>7</t>
        </is>
      </c>
      <c r="B16" s="110" t="inlineStr">
        <is>
          <t>지반조사계획 적정성 심사의뢰</t>
        </is>
      </c>
      <c r="C16" s="101" t="inlineStr">
        <is>
          <t>D-115</t>
        </is>
      </c>
      <c r="D16" s="101" t="inlineStr">
        <is>
          <t>D-105</t>
        </is>
      </c>
      <c r="E16" s="102" t="inlineStr">
        <is>
          <t>지반조사 항목, 수량 및 위치 적정성 검토</t>
        </is>
      </c>
      <c r="F16" s="102" t="inlineStr">
        <is>
          <t>• 지반조사 계획서 검토 및 검토</t>
        </is>
      </c>
      <c r="G16" s="103" t="inlineStr">
        <is>
          <t>외부지질전문가 3인 이상</t>
        </is>
      </c>
      <c r="H16" s="103" t="inlineStr">
        <is>
          <t>포스코스마트엔지니어링팀</t>
        </is>
      </c>
      <c r="I16" s="104" t="inlineStr">
        <is>
          <t>지반조사계획 의견서</t>
        </is>
      </c>
      <c r="J1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7" ht="42" customHeight="1" s="148">
      <c r="A17" s="98" t="n"/>
      <c r="B17" s="110" t="inlineStr">
        <is>
          <t>지반조사 인허가</t>
        </is>
      </c>
      <c r="C17" s="101" t="inlineStr">
        <is>
          <t>D-135</t>
        </is>
      </c>
      <c r="D17" s="101" t="inlineStr">
        <is>
          <t>D-100</t>
        </is>
      </c>
      <c r="E17" s="102" t="inlineStr">
        <is>
          <t>지반조사 수행을 위한 인허가 승인</t>
        </is>
      </c>
      <c r="F17" s="102" t="inlineStr">
        <is>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is>
      </c>
      <c r="G17" s="103" t="inlineStr">
        <is>
          <t>지반조사업체</t>
        </is>
      </c>
      <c r="H17" s="103" t="inlineStr">
        <is>
          <t>포스코스마트엔지니어링팀</t>
        </is>
      </c>
      <c r="I17" s="104" t="inlineStr">
        <is>
          <t>인허가 서류</t>
        </is>
      </c>
      <c r="J1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8" ht="42" customHeight="1" s="148">
      <c r="A18" s="98" t="n"/>
      <c r="B18" s="110" t="inlineStr">
        <is>
          <t>지반조사 항목, 수량 및 위치 보완</t>
        </is>
      </c>
      <c r="C18" s="101" t="inlineStr">
        <is>
          <t>D-105</t>
        </is>
      </c>
      <c r="D18" s="101" t="inlineStr">
        <is>
          <t>D-100</t>
        </is>
      </c>
      <c r="E18" s="102" t="inlineStr">
        <is>
          <t>외부지질전문가 의견을 반영한 지반조사 계획 확정</t>
        </is>
      </c>
      <c r="F18" s="102" t="inlineStr">
        <is>
          <t>• 외부지질전문가 지반조사 의견 검토
• 입찰설계 지반조사 계획 보완</t>
        </is>
      </c>
      <c r="G18" s="103" t="inlineStr">
        <is>
          <t>포스코스마트엔지니어링팀</t>
        </is>
      </c>
      <c r="H18" s="103" t="inlineStr">
        <is>
          <t>외부지질전문가 3인 이상, 지반조사업체</t>
        </is>
      </c>
      <c r="I18" s="104" t="inlineStr">
        <is>
          <t>지반조사 용역 계약서</t>
        </is>
      </c>
      <c r="J1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9" ht="42" customHeight="1" s="148">
      <c r="A19" s="98" t="inlineStr">
        <is>
          <t>8</t>
        </is>
      </c>
      <c r="B19" s="110" t="inlineStr">
        <is>
          <t>지반조사 수행</t>
        </is>
      </c>
      <c r="C19" s="101" t="inlineStr">
        <is>
          <t>D-100</t>
        </is>
      </c>
      <c r="D19" s="101" t="inlineStr">
        <is>
          <t>D-50</t>
        </is>
      </c>
      <c r="E19" s="102" t="inlineStr">
        <is>
          <t>과업구간 지반여건 상세 파악</t>
        </is>
      </c>
      <c r="F19" s="102" t="inlineStr">
        <is>
          <t>• 물리탐사 수행(전기 비저항, 탄성파탐사 등)
• 시추조사 및 현장 시험 수행(공내재하시험, 실내전단시험 등)
• 실내시험 수행(요동시험, 입도시험 등)</t>
        </is>
      </c>
      <c r="G19" s="103" t="inlineStr">
        <is>
          <t>지반조사업체</t>
        </is>
      </c>
      <c r="H19" s="103" t="inlineStr">
        <is>
          <t>포스코스마트엔지니어링팀</t>
        </is>
      </c>
      <c r="I19" s="104" t="inlineStr">
        <is>
          <t>지반조사 보고서, 시추 Core 및 샘플</t>
        </is>
      </c>
      <c r="J1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0" ht="42" customHeight="1" s="148">
      <c r="A20" s="98" t="inlineStr">
        <is>
          <t>9</t>
        </is>
      </c>
      <c r="B20" s="110" t="inlineStr">
        <is>
          <t>지반조사 수렴 결과 분석</t>
        </is>
      </c>
      <c r="C20" s="101" t="inlineStr">
        <is>
          <t>D-50</t>
        </is>
      </c>
      <c r="D20" s="101" t="inlineStr">
        <is>
          <t>D-40</t>
        </is>
      </c>
      <c r="E20" s="102" t="inlineStr">
        <is>
          <t>지반조사 결과 오류 및 지반정수의 적합성 검토</t>
        </is>
      </c>
      <c r="F20" s="102" t="inlineStr">
        <is>
          <t>• 입찰설계 지반조사 보고서 검토
• 시추조사 위치 및 심도의 적정성 검토
• 실내시험 결과 등급 적정성 검토
• 실시설계시 추가지반조사 필요구간 검토</t>
        </is>
      </c>
      <c r="G20" s="103" t="inlineStr">
        <is>
          <t>외부지질전문가 3인 이상</t>
        </is>
      </c>
      <c r="H20" s="103" t="inlineStr">
        <is>
          <t>포스코스마트엔지니어링팀, 지반조사업체</t>
        </is>
      </c>
      <c r="I20" s="104" t="inlineStr">
        <is>
          <t>지반조사 결과 분석 의견서</t>
        </is>
      </c>
      <c r="J2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1" ht="42" customHeight="1" s="148">
      <c r="A21" s="98" t="n"/>
      <c r="B21" s="110" t="inlineStr">
        <is>
          <t>입찰설계 지반조사 R/O 검토 (설계, 원가, 공정, 기타)</t>
        </is>
      </c>
      <c r="C21" s="101" t="inlineStr">
        <is>
          <t>D-40</t>
        </is>
      </c>
      <c r="D21" s="101" t="inlineStr">
        <is>
          <t>D-30</t>
        </is>
      </c>
      <c r="E21" s="102" t="inlineStr">
        <is>
          <t>입찰설계 지반조사 결과에 따른 직분야 R/O 및 Cost impact 반영 사항 검토</t>
        </is>
      </c>
      <c r="F21" s="102" t="inlineStr">
        <is>
          <t>• 입찰설계 지반조사 결과 분석을 통한 원가 및 공정 영향 검토
• 미시추 구간 평가 및 공정 Risk 반영 사항 검토
• 지반조건을 고려한 발파공법성 여부 검토</t>
        </is>
      </c>
      <c r="G21" s="103" t="inlineStr">
        <is>
          <t>토목견적팀(원가), 토목수행팀(공정), 토목사업지원팀(기획)</t>
        </is>
      </c>
      <c r="H21" s="103" t="inlineStr">
        <is>
          <t>포스코스마트엔지니어링팀</t>
        </is>
      </c>
      <c r="I21" s="104" t="inlineStr">
        <is>
          <t>입찰설계 지반조사 검토서(설계, 원가, 공정, 기타)</t>
        </is>
      </c>
      <c r="J21"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1"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2" ht="42" customHeight="1" s="148">
      <c r="A22" s="98" t="inlineStr">
        <is>
          <t>10</t>
        </is>
      </c>
      <c r="B22" s="110" t="inlineStr">
        <is>
          <t>지반조사 결과 R/O 종합검토</t>
        </is>
      </c>
      <c r="C22" s="101" t="inlineStr">
        <is>
          <t>D-40</t>
        </is>
      </c>
      <c r="D22" s="101" t="inlineStr">
        <is>
          <t>D-30</t>
        </is>
      </c>
      <c r="E22" s="102" t="inlineStr">
        <is>
          <t>원가 및 공정 검토 결과에 따른 입찰설계 R/O 최종 확정</t>
        </is>
      </c>
      <c r="F22" s="102" t="inlineStr">
        <is>
          <t>• 입찰설계 지반조사 R/O별 Cost effect 분석
• 유사사업 L/L 분석, R/P 검토를 통한 실시설계시 고려사항 검토</t>
        </is>
      </c>
      <c r="G22" s="103" t="inlineStr">
        <is>
          <t>포스코스마트엔지니어링팀</t>
        </is>
      </c>
      <c r="H22" s="103" t="inlineStr">
        <is>
          <t>토목견적팀(원가), 토목수행팀(공정), 토목사업지원팀(기획)</t>
        </is>
      </c>
      <c r="I22" s="104" t="inlineStr">
        <is>
          <t>입찰설계 R/O 검토서</t>
        </is>
      </c>
      <c r="J2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3" ht="42" customHeight="1" s="148">
      <c r="A23" s="98" t="n"/>
      <c r="B23" s="110" t="inlineStr">
        <is>
          <t>REM 수립</t>
        </is>
      </c>
      <c r="C23" s="101" t="inlineStr">
        <is>
          <t>D-30</t>
        </is>
      </c>
      <c r="D23" s="101" t="inlineStr">
        <is>
          <t>D-20</t>
        </is>
      </c>
      <c r="E23" s="102" t="inlineStr">
        <is>
          <t>REM 차트 작성(회사의 Core Risk, T/C 공정검토 결과, 경쟁사 동향, 발주 경향) 및 보고</t>
        </is>
      </c>
      <c r="F23" s="102" t="inlineStr">
        <is>
          <t>• Risk Profiling/Merge 방안 검토
• 공정 착공성 검토 및 T/C 검토
• 설계차별화 및 Idea Frame 검토</t>
        </is>
      </c>
      <c r="G23" s="103" t="inlineStr">
        <is>
          <t>포스코스마트엔지니어링팀</t>
        </is>
      </c>
      <c r="H23" s="103" t="inlineStr">
        <is>
          <t>토목견적팀, 토목사업지원팀</t>
        </is>
      </c>
      <c r="I23" s="104" t="inlineStr">
        <is>
          <t>REM 회의록</t>
        </is>
      </c>
      <c r="J23"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3"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4" ht="42" customHeight="1" s="148">
      <c r="A24" s="98" t="inlineStr">
        <is>
          <t>11</t>
        </is>
      </c>
      <c r="B24" s="110" t="inlineStr">
        <is>
          <t>추가지반조사 계획 수립</t>
        </is>
      </c>
      <c r="C24" s="101" t="inlineStr">
        <is>
          <t>D-30</t>
        </is>
      </c>
      <c r="D24" s="101" t="inlineStr">
        <is>
          <t>D-15</t>
        </is>
      </c>
      <c r="E24" s="102" t="inlineStr">
        <is>
          <t>R/O 분석 결과에 기반한 추가지반조사 항목 도출</t>
        </is>
      </c>
      <c r="F24" s="102" t="inlineStr">
        <is>
          <t>• 지반조사 수렴 결과 분석보고서 검토
• 지반조사 결과 R/O 종합검토 결과 검토</t>
        </is>
      </c>
      <c r="G24" s="103" t="inlineStr">
        <is>
          <t>포스코스마트엔지니어링팀</t>
        </is>
      </c>
      <c r="H24" s="103" t="inlineStr">
        <is>
          <t>토목견적팀(원가), 토목수행팀(공정), 토목사업지원팀(기획)</t>
        </is>
      </c>
      <c r="I24" s="104" t="inlineStr">
        <is>
          <t>추가지반조사 List</t>
        </is>
      </c>
      <c r="J2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5" ht="42" customHeight="1" s="148">
      <c r="A25" s="98" t="n"/>
      <c r="B25" s="110" t="inlineStr">
        <is>
          <t>3D GPR탐사 장비 사양(차량형) 검토</t>
        </is>
      </c>
      <c r="C25" s="101" t="inlineStr">
        <is>
          <t>D-15</t>
        </is>
      </c>
      <c r="D25" s="101" t="inlineStr">
        <is>
          <t>D-7</t>
        </is>
      </c>
      <c r="E25" s="102" t="inlineStr">
        <is>
          <t>적정 추가지반조사 규명을 위한 장비 사양 검토</t>
        </is>
      </c>
      <c r="F25" s="102" t="inlineStr">
        <is>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is>
      </c>
      <c r="G25" s="103" t="inlineStr">
        <is>
          <t>현장 공무팀</t>
        </is>
      </c>
      <c r="H25" s="103" t="inlineStr">
        <is>
          <t>현장 공사팀</t>
        </is>
      </c>
      <c r="I25" s="104" t="inlineStr">
        <is>
          <t>-</t>
        </is>
      </c>
      <c r="J2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6" ht="42" customHeight="1" s="148">
      <c r="A26" s="98" t="n"/>
      <c r="B26" s="110" t="inlineStr">
        <is>
          <t>ECRM 수립</t>
        </is>
      </c>
      <c r="C26" s="101" t="inlineStr">
        <is>
          <t>D-15</t>
        </is>
      </c>
      <c r="D26" s="101" t="inlineStr">
        <is>
          <t>D-7</t>
        </is>
      </c>
      <c r="E26" s="102" t="inlineStr">
        <is>
          <t>입찰설계 지반조사 결과에 따른 직분야 R/O 및 Cost impact 반영 사항 검토</t>
        </is>
      </c>
      <c r="F26" s="102" t="inlineStr">
        <is>
          <t>• 입찰설계 지반조사 결과 분석을 통한 원가 및 공정 영향 검토
• 미시추 구간 평가 및 공정 Risk 반영 사항 검토
• 지반조건을 고려한 발파공법성 여부 검토</t>
        </is>
      </c>
      <c r="G26" s="103" t="inlineStr">
        <is>
          <t>토목견적팀(원가)</t>
        </is>
      </c>
      <c r="H26" s="103" t="inlineStr">
        <is>
          <t>포스코스마트엔지니어링팀, 토목수행팀, 토목사업지원팀</t>
        </is>
      </c>
      <c r="I26" s="104" t="inlineStr">
        <is>
          <t>입찰설계 지반조사 검토서(설계, 원가, 공정, 기타)</t>
        </is>
      </c>
      <c r="J2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7" ht="25.95" customHeight="1" s="148">
      <c r="A27" s="98" t="n"/>
      <c r="B27" s="110" t="inlineStr">
        <is>
          <t>최종 Cost 검토 / 입찰</t>
        </is>
      </c>
      <c r="C27" s="101" t="inlineStr">
        <is>
          <t>D-7</t>
        </is>
      </c>
      <c r="D27" s="101" t="inlineStr">
        <is>
          <t>D-0</t>
        </is>
      </c>
      <c r="E27" s="102" t="inlineStr">
        <is>
          <t>입찰</t>
        </is>
      </c>
      <c r="F27" s="102" t="inlineStr">
        <is>
          <t>• 최종 R/O를 반영한 투찰내역서 작성</t>
        </is>
      </c>
      <c r="G27" s="103" t="inlineStr">
        <is>
          <t>토목견적팀</t>
        </is>
      </c>
      <c r="H27" s="103" t="inlineStr">
        <is>
          <t>-</t>
        </is>
      </c>
      <c r="I27" s="104" t="inlineStr">
        <is>
          <t>투찰내역서</t>
        </is>
      </c>
      <c r="J2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8" ht="25.95" customHeight="1" s="148">
      <c r="A28" s="98" t="inlineStr">
        <is>
          <t>12</t>
        </is>
      </c>
      <c r="B28" s="110" t="inlineStr">
        <is>
          <t>입찰설계 현장 인수인계</t>
        </is>
      </c>
      <c r="C28" s="101" t="inlineStr">
        <is>
          <t>D+0</t>
        </is>
      </c>
      <c r="D28" s="101" t="inlineStr">
        <is>
          <t>D+30</t>
        </is>
      </c>
      <c r="E28" s="102" t="inlineStr">
        <is>
          <t>지반조사 포함 전체 R/O 승계자료 인수인계 및 추가지반조사 계획 공유</t>
        </is>
      </c>
      <c r="F28" s="102" t="inlineStr">
        <is>
          <t>• 최종 R/O 결과 및 입찰도서 인출</t>
        </is>
      </c>
      <c r="G28" s="103" t="inlineStr">
        <is>
          <t>현장소장</t>
        </is>
      </c>
      <c r="H28" s="103" t="inlineStr">
        <is>
          <t>토목수행팀</t>
        </is>
      </c>
      <c r="I28" s="104" t="inlineStr">
        <is>
          <t>인수인계서</t>
        </is>
      </c>
      <c r="J2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9" ht="42" customHeight="1" s="148">
      <c r="A29" s="98" t="inlineStr">
        <is>
          <t>13</t>
        </is>
      </c>
      <c r="B29" s="110" t="inlineStr">
        <is>
          <t>추가지반조사 수행</t>
        </is>
      </c>
      <c r="C29" s="101" t="inlineStr">
        <is>
          <t>D+30</t>
        </is>
      </c>
      <c r="D29" s="101" t="inlineStr">
        <is>
          <t>D+100</t>
        </is>
      </c>
      <c r="E29" s="102" t="inlineStr">
        <is>
          <t>미시추구간 지반조사 수행을 통한 지반 Risk Hedge</t>
        </is>
      </c>
      <c r="F29" s="102" t="inlineStr">
        <is>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is>
      </c>
      <c r="G29" s="103" t="inlineStr">
        <is>
          <t>지반조사업체</t>
        </is>
      </c>
      <c r="H29" s="103" t="inlineStr">
        <is>
          <t>현장 공사팀/공무팀, 포스코스마트엔지니어링팀, 토목수행팀</t>
        </is>
      </c>
      <c r="I29" s="104" t="inlineStr">
        <is>
          <t>추가 지반조사 보고서</t>
        </is>
      </c>
      <c r="J2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0" ht="42" customHeight="1" s="148">
      <c r="A30" s="98" t="inlineStr">
        <is>
          <t>14</t>
        </is>
      </c>
      <c r="B30" s="110" t="inlineStr">
        <is>
          <t>추가지반조사 결과 분석</t>
        </is>
      </c>
      <c r="C30" s="101" t="inlineStr">
        <is>
          <t>D+100</t>
        </is>
      </c>
      <c r="D30" s="101" t="inlineStr">
        <is>
          <t>D+110</t>
        </is>
      </c>
      <c r="E30" s="102" t="inlineStr">
        <is>
          <t>추가지반조사 결과에 기반한 최종 R/O 확정</t>
        </is>
      </c>
      <c r="F30" s="102" t="inlineStr">
        <is>
          <t>• 외부전문가 검토 통한 지반특성 최종 Cross-check 확인
• 입찰설계 지반조사 대비 지반특성 변경구간 제원도 확인</t>
        </is>
      </c>
      <c r="G30" s="103" t="inlineStr">
        <is>
          <t>외부지질전문가 3인 이상</t>
        </is>
      </c>
      <c r="H30" s="103" t="inlineStr">
        <is>
          <t>현장 공사팀/공무팀, 포스코스마트엔지니어링팀, 토목수행팀</t>
        </is>
      </c>
      <c r="I30" s="104" t="inlineStr">
        <is>
          <t>추가 지반조사결과 종합보고서</t>
        </is>
      </c>
      <c r="J3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1" ht="42" customHeight="1" s="148">
      <c r="A31" s="98" t="n"/>
      <c r="B31" s="110" t="inlineStr">
        <is>
          <t>실시설계 지반조사 R/O 검토 (설계, 원가, 공정, 기타)</t>
        </is>
      </c>
      <c r="C31" s="101" t="inlineStr">
        <is>
          <t>D+110</t>
        </is>
      </c>
      <c r="D31" s="101" t="inlineStr">
        <is>
          <t>D+120</t>
        </is>
      </c>
      <c r="E31" s="102" t="inlineStr">
        <is>
          <t>실시설계 지반조사 결과에 따른 직분야 R/O 및 Cost impact 반영 사항 검토</t>
        </is>
      </c>
      <c r="F31" s="102" t="inlineStr">
        <is>
          <t>• 실시설계 추가지반조사 결과 분석을 통한 원가 및 공정 영향 검토
• 미시추 구간 평가 및 공정 Risk 반영 사항 검토
• 지반조건을 고려한 발파공법성 검토</t>
        </is>
      </c>
      <c r="G31" s="103" t="inlineStr">
        <is>
          <t>포스코스마트엔지니어링팀</t>
        </is>
      </c>
      <c r="H31" s="103" t="inlineStr">
        <is>
          <t>현장 공사팀/품질팀/공무팀, 토목견적팀(원가), 토목수행팀(공정), 토목사업지원팀(기획)</t>
        </is>
      </c>
      <c r="I31" s="104" t="inlineStr">
        <is>
          <t>실시설계 지반조사 검토서(설계, 원가, 공정, 기타)</t>
        </is>
      </c>
      <c r="J31"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1"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2" ht="25.95" customHeight="1" s="148">
      <c r="A32" s="98" t="inlineStr">
        <is>
          <t>15</t>
        </is>
      </c>
      <c r="B32" s="110" t="inlineStr">
        <is>
          <t>실시설계 추가지반조사 결과 검토</t>
        </is>
      </c>
      <c r="C32" s="101" t="inlineStr">
        <is>
          <t>D+110</t>
        </is>
      </c>
      <c r="D32" s="101" t="inlineStr">
        <is>
          <t>D+120</t>
        </is>
      </c>
      <c r="E32" s="102" t="inlineStr">
        <is>
          <t>추가지반조사 결과에 기반한 최종 R/O 확정</t>
        </is>
      </c>
      <c r="F32" s="102" t="inlineStr">
        <is>
          <t>• 추가지반조사 결과 검토</t>
        </is>
      </c>
      <c r="G32" s="103" t="inlineStr">
        <is>
          <t>포스코스마트엔지니어링팀</t>
        </is>
      </c>
      <c r="H32" s="103" t="inlineStr">
        <is>
          <t>현장 공사팀/품질팀/공무팀, 토목견적팀(원가), 토목수행팀(공정), 토목사업지원팀(기획)</t>
        </is>
      </c>
      <c r="I32" s="104" t="inlineStr">
        <is>
          <t>실시설계 최종 R/O</t>
        </is>
      </c>
      <c r="J3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3" ht="42" customHeight="1" s="148">
      <c r="A33" s="98" t="inlineStr">
        <is>
          <t>16</t>
        </is>
      </c>
      <c r="B33" s="110" t="inlineStr">
        <is>
          <t>최종 R/O 이행방안 수립</t>
        </is>
      </c>
      <c r="C33" s="101" t="inlineStr">
        <is>
          <t>D+120</t>
        </is>
      </c>
      <c r="D33" s="101" t="inlineStr">
        <is>
          <t>D+150</t>
        </is>
      </c>
      <c r="E33" s="102" t="inlineStr">
        <is>
          <t>최종 지반조사 결과에 따른 R/O 이행방안 수립</t>
        </is>
      </c>
      <c r="F33" s="102" t="inlineStr">
        <is>
          <t>• Core Risk 및 Hedge 방안 수립
• Opportunity에 따른 본공 상가 추가 개선 방안 수립</t>
        </is>
      </c>
      <c r="G33" s="103" t="inlineStr">
        <is>
          <t>현장소장</t>
        </is>
      </c>
      <c r="H33" s="103" t="inlineStr">
        <is>
          <t>토목수행팀</t>
        </is>
      </c>
      <c r="I33" s="104" t="inlineStr">
        <is>
          <t>최종 R/O 이행계획서</t>
        </is>
      </c>
      <c r="J33"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3"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4" ht="25.95" customHeight="1" s="148">
      <c r="A34" s="98" t="inlineStr">
        <is>
          <t>17</t>
        </is>
      </c>
      <c r="B34" s="110" t="inlineStr">
        <is>
          <t>외부지질전문가 업무평가</t>
        </is>
      </c>
      <c r="C34" s="101" t="inlineStr">
        <is>
          <t>-</t>
        </is>
      </c>
      <c r="D34" s="101" t="inlineStr">
        <is>
          <t>-</t>
        </is>
      </c>
      <c r="E34" s="102" t="inlineStr">
        <is>
          <t>참여인력 전문성 평가 및 특이사항 기록</t>
        </is>
      </c>
      <c r="F34" s="102" t="inlineStr">
        <is>
          <t>• 외부지질 전문가 업무평가서 작성</t>
        </is>
      </c>
      <c r="G34" s="103" t="inlineStr">
        <is>
          <t>포스코스마트엔지니어링팀</t>
        </is>
      </c>
      <c r="H34" s="103" t="inlineStr">
        <is>
          <t>현장 공사팀/공무팀</t>
        </is>
      </c>
      <c r="I34" s="104" t="inlineStr">
        <is>
          <t>외부지질 전문가 업무평가서</t>
        </is>
      </c>
      <c r="J3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5" ht="25.95" customHeight="1" s="148">
      <c r="A35" s="98" t="inlineStr">
        <is>
          <t>18</t>
        </is>
      </c>
      <c r="B35" s="110" t="inlineStr">
        <is>
          <t>조사업체 PM 업무평가</t>
        </is>
      </c>
      <c r="C35" s="101" t="inlineStr">
        <is>
          <t>-</t>
        </is>
      </c>
      <c r="D35" s="101" t="inlineStr">
        <is>
          <t>-</t>
        </is>
      </c>
      <c r="E35" s="102" t="inlineStr">
        <is>
          <t>조사업체 PM 전문성 평가 및 특이사항 기록</t>
        </is>
      </c>
      <c r="F35" s="102" t="inlineStr">
        <is>
          <t>• 지반조사 PM 업무평가서 작성</t>
        </is>
      </c>
      <c r="G35" s="103" t="inlineStr">
        <is>
          <t>포스코스마트엔지니어링팀</t>
        </is>
      </c>
      <c r="H35" s="103" t="inlineStr">
        <is>
          <t>현장 공사팀/공무팀</t>
        </is>
      </c>
      <c r="I35" s="104" t="inlineStr">
        <is>
          <t>PM업무평가서</t>
        </is>
      </c>
      <c r="J3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6" ht="25.95" customHeight="1" s="148">
      <c r="A36" s="98" t="inlineStr">
        <is>
          <t>19</t>
        </is>
      </c>
      <c r="B36" s="110" t="inlineStr">
        <is>
          <t>지반조사업체 업무평가</t>
        </is>
      </c>
      <c r="C36" s="101" t="inlineStr">
        <is>
          <t>-</t>
        </is>
      </c>
      <c r="D36" s="101" t="inlineStr">
        <is>
          <t>-</t>
        </is>
      </c>
      <c r="E36" s="102" t="inlineStr">
        <is>
          <t>조사업체 업무평가 및 특이사항 기록</t>
        </is>
      </c>
      <c r="F36" s="102" t="inlineStr">
        <is>
          <t>• 협력업체 업무평가서</t>
        </is>
      </c>
      <c r="G36" s="103" t="inlineStr">
        <is>
          <t>현장소장</t>
        </is>
      </c>
      <c r="H36" s="103" t="inlineStr">
        <is>
          <t>현장 공사팀/공무팀</t>
        </is>
      </c>
      <c r="I36" s="104" t="inlineStr">
        <is>
          <t>협력업체 업무평가서</t>
        </is>
      </c>
      <c r="J3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7" ht="42" customHeight="1" s="148">
      <c r="A37" s="98" t="n"/>
      <c r="B37" s="110" t="inlineStr">
        <is>
          <t>설계변경 LL 리포트 작성</t>
        </is>
      </c>
      <c r="C37" s="101" t="inlineStr">
        <is>
          <t>-</t>
        </is>
      </c>
      <c r="D37" s="101" t="inlineStr">
        <is>
          <t>-</t>
        </is>
      </c>
      <c r="E37" s="102" t="inlineStr">
        <is>
          <t>설계변경 사항 기록</t>
        </is>
      </c>
      <c r="F37" s="102" t="inlineStr">
        <is>
          <t>• 설계변경 사유 기록관리
• 예상 R/O대비 설계변경 사항 비교 검토</t>
        </is>
      </c>
      <c r="G37" s="103" t="inlineStr">
        <is>
          <t>현장소장</t>
        </is>
      </c>
      <c r="H37" s="103" t="inlineStr">
        <is>
          <t>현장 공무팀</t>
        </is>
      </c>
      <c r="I37" s="104" t="inlineStr">
        <is>
          <t>LL리포트</t>
        </is>
      </c>
      <c r="J3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8" ht="25.95" customHeight="1" s="148">
      <c r="A38" s="98" t="n"/>
      <c r="B38" s="110" t="inlineStr">
        <is>
          <t>설계변경 LL 리포트 관리</t>
        </is>
      </c>
      <c r="C38" s="101" t="inlineStr">
        <is>
          <t>-</t>
        </is>
      </c>
      <c r="D38" s="101" t="inlineStr">
        <is>
          <t>-</t>
        </is>
      </c>
      <c r="E38" s="102" t="inlineStr">
        <is>
          <t>전체 현장 설계변경 사항 기록</t>
        </is>
      </c>
      <c r="F38" s="102" t="inlineStr">
        <is>
          <t>• 현장별 설계변경 LL 리포트 취합 관리</t>
        </is>
      </c>
      <c r="G38" s="103" t="inlineStr">
        <is>
          <t>토목수행팀</t>
        </is>
      </c>
      <c r="H38" s="103" t="inlineStr">
        <is>
          <t>현장소장</t>
        </is>
      </c>
      <c r="I38" s="104" t="inlineStr">
        <is>
          <t>LL리포트 List</t>
        </is>
      </c>
      <c r="J3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9" ht="42" customHeight="1" s="148">
      <c r="A39" s="98" t="n"/>
      <c r="B39" s="110" t="inlineStr">
        <is>
          <t>지반조사업체 정산계약</t>
        </is>
      </c>
      <c r="C39" s="101" t="inlineStr">
        <is>
          <t>-</t>
        </is>
      </c>
      <c r="D39" s="101" t="inlineStr">
        <is>
          <t>-</t>
        </is>
      </c>
      <c r="E39" s="102" t="inlineStr">
        <is>
          <t>지반조사업체 정산</t>
        </is>
      </c>
      <c r="F39" s="102" t="inlineStr">
        <is>
          <t>• 조사도 수량 Check 후 구매시스템 변경계약 수행
• 변경계약 후 정산금 집행</t>
        </is>
      </c>
      <c r="G39" s="103" t="inlineStr">
        <is>
          <t>일반구매팀</t>
        </is>
      </c>
      <c r="H39" s="103" t="inlineStr">
        <is>
          <t>현장 공무팀</t>
        </is>
      </c>
      <c r="I39" s="104" t="inlineStr">
        <is>
          <t>정산계약서</t>
        </is>
      </c>
      <c r="J3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40" ht="25.95" customHeight="1" s="148">
      <c r="A40" s="98" t="inlineStr">
        <is>
          <t>20</t>
        </is>
      </c>
      <c r="B40" s="110" t="inlineStr">
        <is>
          <t>매뉴얼 Update</t>
        </is>
      </c>
      <c r="C40" s="101" t="inlineStr">
        <is>
          <t>-</t>
        </is>
      </c>
      <c r="D40" s="101" t="inlineStr">
        <is>
          <t>-</t>
        </is>
      </c>
      <c r="E40" s="102" t="inlineStr">
        <is>
          <t>지반조사 매뉴얼 Update</t>
        </is>
      </c>
      <c r="F40" s="102" t="inlineStr">
        <is>
          <t>• 매뉴얼 Update 및 개정사항 사내공지</t>
        </is>
      </c>
      <c r="G40" s="103" t="inlineStr">
        <is>
          <t>혁신실장</t>
        </is>
      </c>
      <c r="H40" s="103" t="inlineStr">
        <is>
          <t>현장 공무팀</t>
        </is>
      </c>
      <c r="I40" s="104" t="inlineStr">
        <is>
          <t>지반조사 매뉴얼</t>
        </is>
      </c>
      <c r="J4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4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sheetData>
  <mergeCells count="11">
    <mergeCell ref="A4:K4"/>
    <mergeCell ref="C2:D2"/>
    <mergeCell ref="I2:I3"/>
    <mergeCell ref="K2:K3"/>
    <mergeCell ref="B2:B3"/>
    <mergeCell ref="A2:A3"/>
    <mergeCell ref="F2:F3"/>
    <mergeCell ref="E2:E3"/>
    <mergeCell ref="J2:J3"/>
    <mergeCell ref="H2:H3"/>
    <mergeCell ref="G2:G3"/>
  </mergeCells>
  <pageMargins left="0.75" right="0.75" top="1" bottom="1" header="0.5" footer="0.5"/>
</worksheet>
</file>

<file path=xl/worksheets/sheet5.xml><?xml version="1.0" encoding="utf-8"?>
<worksheet xmlns="http://schemas.openxmlformats.org/spreadsheetml/2006/main">
  <sheetPr codeName="Sheet2">
    <tabColor rgb="FFFFFF00"/>
    <outlinePr summaryBelow="1" summaryRight="1"/>
    <pageSetUpPr/>
  </sheetPr>
  <dimension ref="A1:W62"/>
  <sheetViews>
    <sheetView tabSelected="1" view="pageBreakPreview" zoomScale="55" zoomScaleNormal="55" zoomScaleSheetLayoutView="55" workbookViewId="0">
      <selection activeCell="E5" sqref="E5"/>
    </sheetView>
  </sheetViews>
  <sheetFormatPr baseColWidth="8" defaultRowHeight="19.2"/>
  <cols>
    <col width="10" customWidth="1" style="3" min="1" max="1"/>
    <col width="12" customWidth="1" style="148" min="2" max="2"/>
    <col width="12" customWidth="1" style="3" min="3" max="3"/>
    <col width="12" customWidth="1" style="4" min="4" max="4"/>
    <col width="10" customWidth="1" style="4" min="5" max="5"/>
    <col width="10" customWidth="1" style="5" min="6" max="6"/>
    <col width="15" customWidth="1" style="3" min="7" max="7"/>
    <col width="28" customWidth="1" style="3" min="8" max="8"/>
    <col width="14" customWidth="1" style="3" min="9" max="9"/>
    <col width="35" customWidth="1" style="3" min="10" max="11"/>
    <col width="12" customWidth="1" style="3" min="12" max="12"/>
    <col width="35" customWidth="1" style="4" min="13" max="13"/>
    <col width="35" customWidth="1" style="3" min="14" max="14"/>
    <col width="24" customWidth="1" style="148" min="15" max="15"/>
    <col width="35" customWidth="1" style="148" min="16" max="16"/>
    <col width="24" customWidth="1" style="3" min="17" max="17"/>
    <col width="35" customWidth="1" style="148" min="18" max="18"/>
    <col width="24" customWidth="1" style="148" min="19" max="19"/>
    <col width="15" customWidth="1" style="3" min="20" max="20"/>
    <col width="30" customWidth="1" style="148" min="21" max="21"/>
    <col width="28" customWidth="1" style="148" min="22" max="22"/>
    <col width="25" customWidth="1" style="148" min="23" max="23"/>
    <col width="15" customWidth="1" style="3" min="24" max="35"/>
    <col width="8.796875" customWidth="1" style="3" min="36" max="70"/>
    <col width="8.796875" customWidth="1" style="3" min="71" max="16384"/>
  </cols>
  <sheetData>
    <row r="1" ht="46.8" customHeight="1" s="148">
      <c r="A1" s="121" t="inlineStr">
        <is>
          <t>L2 코드</t>
        </is>
      </c>
      <c r="B1" s="121" t="inlineStr">
        <is>
          <t>L3 코드</t>
        </is>
      </c>
      <c r="C1" s="121" t="inlineStr">
        <is>
          <t>L3 대공종명</t>
        </is>
      </c>
      <c r="D1" s="121" t="inlineStr">
        <is>
          <t>L4 코드</t>
        </is>
      </c>
      <c r="E1" s="121" t="inlineStr">
        <is>
          <t>선행</t>
        </is>
      </c>
      <c r="F1" s="121" t="inlineStr">
        <is>
          <t>후행</t>
        </is>
      </c>
      <c r="G1" s="121" t="inlineStr">
        <is>
          <t>일정 (D-Day)</t>
        </is>
      </c>
      <c r="H1" s="121" t="inlineStr">
        <is>
          <t>작업단위 (Level 4 Task/Activity)</t>
        </is>
      </c>
      <c r="I1" s="121" t="inlineStr">
        <is>
          <t>주관</t>
        </is>
      </c>
      <c r="J1" s="121" t="inlineStr">
        <is>
          <t>목적</t>
        </is>
      </c>
      <c r="K1" s="121" t="inlineStr">
        <is>
          <t>방법</t>
        </is>
      </c>
      <c r="L1" s="121" t="inlineStr">
        <is>
          <t>참석</t>
        </is>
      </c>
      <c r="M1" s="121" t="inlineStr">
        <is>
          <t>산출물(결과)</t>
        </is>
      </c>
      <c r="N1" s="121" t="inlineStr">
        <is>
          <t>표준서 (Standard) 요약</t>
        </is>
      </c>
      <c r="O1" s="122" t="inlineStr">
        <is>
          <t>표준서 파일 (HTML)</t>
        </is>
      </c>
      <c r="P1" s="121" t="inlineStr">
        <is>
          <t>수행지침 (Guideline) 요약</t>
        </is>
      </c>
      <c r="Q1" s="122" t="inlineStr">
        <is>
          <t>수행지침 파일 (HTML)</t>
        </is>
      </c>
      <c r="R1" s="121" t="inlineStr">
        <is>
          <t>체크리스트 (Checklist) 요약</t>
        </is>
      </c>
      <c r="S1" s="122" t="inlineStr">
        <is>
          <t>체크리스트 파일 (HTML)</t>
        </is>
      </c>
      <c r="T1" s="121" t="inlineStr">
        <is>
          <t>비고</t>
        </is>
      </c>
      <c r="U1" s="121" t="inlineStr">
        <is>
          <t>첨부서류 연계 상세 설계기준</t>
        </is>
      </c>
      <c r="V1" s="121" t="inlineStr">
        <is>
          <t>집행단계 리스크 체크리스트</t>
        </is>
      </c>
      <c r="W1" s="121" t="inlineStr">
        <is>
          <t>협력사 시공/공사관리 자문</t>
        </is>
      </c>
    </row>
    <row r="2" ht="90" customHeight="1" s="148">
      <c r="A2" s="123" t="inlineStr">
        <is>
          <t>9000</t>
        </is>
      </c>
      <c r="B2" s="123" t="inlineStr">
        <is>
          <t>9000-5</t>
        </is>
      </c>
      <c r="C2" s="123" t="inlineStr">
        <is>
          <t>사전토공사</t>
        </is>
      </c>
      <c r="D2" s="123" t="inlineStr">
        <is>
          <t>9000-5-1</t>
        </is>
      </c>
      <c r="E2" s="123" t="n"/>
      <c r="F2" s="123" t="n"/>
      <c r="G2" s="123" t="inlineStr">
        <is>
          <t>D-90 (D-120~D-90)</t>
        </is>
      </c>
      <c r="H2" s="124" t="inlineStr">
        <is>
          <t>Site Survey</t>
        </is>
      </c>
      <c r="I2" s="123" t="inlineStr">
        <is>
          <t>현장 공사팀</t>
        </is>
      </c>
      <c r="J2" s="124" t="inlineStr">
        <is>
          <t>KDS 47 10 00 철도지반 설계기준 | 현장 가설 둔차선, 용지 경계 및 원지반 고저차 3D 레벨 현측 | 토공사 사전 현장 조사 보고서</t>
        </is>
      </c>
      <c r="K2" s="130" t="inlineStr">
        <is>
          <t>1) 현장 가설 도로 및 용지 경계 현측 ➔ 2) 광학 레벨 원지반 고저차 측정 ➔ 3) 진입 도로 장애 요소 매핑 ➔ 4) 현장 조사 보고서 감리 제출</t>
        </is>
      </c>
      <c r="L2" s="130" t="n"/>
      <c r="M2" s="130" t="inlineStr">
        <is>
          <t>가설 도로 폭/구배 현측, 원지반 고저차 레벨 측량 및 3D BIM 도면 오차 점검 (현장 조사 보고서)</t>
        </is>
      </c>
      <c r="N2" s="130" t="inlineStr">
        <is>
          <t>KDS 47 10 00 철도지반 설계기준 | 현장 가설 둔차선, 용지 경계 및 원지반 고저차 3D 레벨 현측 | 토공사 사전 현장 조사 보고서</t>
        </is>
      </c>
      <c r="O2" s="155">
        <f>HYPERLINK("매뉴얼BODY(집행단계-첨부폴더)v8\2.사전토공사\1_Site Survey\표준서\Site Survey_표준서.html", "👉 [클릭] 표준서 열기 📄")</f>
        <v/>
      </c>
      <c r="P2" s="130" t="inlineStr">
        <is>
          <t>1) 현장 가설 도로 및 용지 경계 현측 ➔ 2) 광학 레벨 원지반 고저차 측정 ➔ 3) 진입 도로 장애 요소 매핑 ➔ 4) 현장 조사 보고서 감리 제출</t>
        </is>
      </c>
      <c r="Q2" s="155">
        <f>HYPERLINK("매뉴얼BODY(집행단계-첨부폴더)v8\2.사전토공사\1_Site Survey\수행지침\Site Survey_수행지침.html", "👉 [클릭] 수행지침 열기 📄")</f>
        <v/>
      </c>
      <c r="R2" s="124" t="inlineStr">
        <is>
          <t>가설 도로 폭/구배 현측, 원지반 고저차 레벨 측량 및 3D BIM 도면 오차 점검 (현장 조사 보고서)</t>
        </is>
      </c>
      <c r="S2" s="155">
        <f>HYPERLINK("매뉴얼BODY(집행단계-첨부폴더)v8\2.사전토공사\1_Site Survey\체크리스트\Site Survey_체크리스트.html", "👉 [클릭] 체크리스트 열기 📄")</f>
        <v/>
      </c>
      <c r="T2" s="124" t="n"/>
      <c r="U2" s="124" t="inlineStr">
        <is>
          <t>● 설계도면 및 지적 경계 기준 준수</t>
        </is>
      </c>
      <c r="V2" s="123" t="inlineStr">
        <is>
          <t>1) 👉 [더블클릭] 체크리스트 열기 📄</t>
        </is>
      </c>
      <c r="W2" s="124" t="n"/>
    </row>
    <row r="3" ht="125.4" customHeight="1" s="148">
      <c r="A3" s="123" t="inlineStr">
        <is>
          <t>9000</t>
        </is>
      </c>
      <c r="B3" s="123" t="inlineStr">
        <is>
          <t>9000-5</t>
        </is>
      </c>
      <c r="C3" s="123" t="inlineStr">
        <is>
          <t>사전토공사</t>
        </is>
      </c>
      <c r="D3" s="123" t="inlineStr">
        <is>
          <t>9000-5-2</t>
        </is>
      </c>
      <c r="E3" s="123" t="n"/>
      <c r="F3" s="123" t="n"/>
      <c r="G3" s="123" t="inlineStr">
        <is>
          <t>D-80 (D-120~D-80)</t>
        </is>
      </c>
      <c r="H3" s="124" t="inlineStr">
        <is>
          <t>발주전략 KOM</t>
        </is>
      </c>
      <c r="I3" s="123" t="inlineStr">
        <is>
          <t>현장소장</t>
        </is>
      </c>
      <c r="J3" s="124" t="inlineStr">
        <is>
          <t>KCS 47 10 25 시방 검토 | 사전 토공 토사/암석 깎기 및 성토 시방 규정 | 발주처·감리·시공 3자 킥오프 결재</t>
        </is>
      </c>
      <c r="K3" s="130" t="inlineStr">
        <is>
          <t>1) 사전 토공 시방 요구조건 분석 ➔ 2) 3D BIM 도면 깎기/성토 수량 검증 ➔ 3) 토공 리스크 예비비 수립 ➔ 4) 발주·감리·시공 3자 킥오프 결재</t>
        </is>
      </c>
      <c r="L3" s="130" t="n"/>
      <c r="M3" s="130" t="inlineStr">
        <is>
          <t>KCS 47 10 25 사전 토공 시방 검토, 토사/암석 깎기 수량 산출 및 3D BIM 간섭 zero (3자 킥오프 결재)</t>
        </is>
      </c>
      <c r="N3" s="130" t="inlineStr">
        <is>
          <t>KCS 47 10 25 시방 검토 | 사전 토공 토사/암석 깎기 및 성토 시방 규정 | 발주처·감리·시공 3자 킥오프 결재</t>
        </is>
      </c>
      <c r="O3" s="155">
        <f>HYPERLINK("매뉴얼BODY(집행단계-첨부폴더)v8\2.사전토공사\2_발주전략 KOM\표준서\2_발주전략 KOM_표준서.html", "👉 [클릭] 표준서 열기 📄")</f>
        <v/>
      </c>
      <c r="P3" s="130" t="inlineStr">
        <is>
          <t>1) 사전 토공 시방 요구조건 분석 ➔ 2) 3D BIM 도면 깎기/성토 수량 검증 ➔ 3) 토공 리스크 예비비 수립 ➔ 4) 발주·감리·시공 3자 킥오프 결재</t>
        </is>
      </c>
      <c r="Q3" s="155">
        <f>HYPERLINK("매뉴얼BODY(집행단계-첨부폴더)v8\2.사전토공사\2_발주전략 KOM\수행지침\2_발주전략 KOM_수행지침.html", "👉 [클릭] 수행지침 열기 📄")</f>
        <v/>
      </c>
      <c r="R3" s="124" t="inlineStr">
        <is>
          <t>KCS 47 10 25 사전 토공 시방 검토, 토사/암석 깎기 수량 산출 및 3D BIM 간섭 zero (3자 킥오프 결재)</t>
        </is>
      </c>
      <c r="S3" s="155">
        <f>HYPERLINK("매뉴얼BODY(집행단계-첨부폴더)v8\2.사전토공사\2_발주전략 KOM\체크리스트\2_발주전략 KOM_체크리스트.html", "👉 [클릭] 체크리스트 열기 📄")</f>
        <v/>
      </c>
      <c r="T3" s="124" t="n"/>
      <c r="U3" s="124" t="inlineStr">
        <is>
          <t>● 본사외주부서, 수행부서, 토목국내견적팀, 컴플라이언스RM팀, 토목사업지원팀 협의</t>
        </is>
      </c>
      <c r="V3" s="123" t="inlineStr">
        <is>
          <t>1) 👉 [더블클릭] 체크리스트 열기 📄</t>
        </is>
      </c>
      <c r="W3" s="124" t="n"/>
    </row>
    <row r="4" ht="110.4" customHeight="1" s="148">
      <c r="A4" s="123" t="inlineStr">
        <is>
          <t>9000</t>
        </is>
      </c>
      <c r="B4" s="123" t="inlineStr">
        <is>
          <t>9000-5</t>
        </is>
      </c>
      <c r="C4" s="123" t="inlineStr">
        <is>
          <t>사전토공사</t>
        </is>
      </c>
      <c r="D4" s="123" t="inlineStr">
        <is>
          <t>9000-5-3</t>
        </is>
      </c>
      <c r="E4" s="123" t="n"/>
      <c r="F4" s="123" t="n"/>
      <c r="G4" s="123" t="inlineStr">
        <is>
          <t>D-60 (D-70~D-60)</t>
        </is>
      </c>
      <c r="H4" s="124" t="inlineStr">
        <is>
          <t>Site Survey Risk 검토</t>
        </is>
      </c>
      <c r="I4" s="123" t="inlineStr">
        <is>
          <t>토목국내견적팀</t>
        </is>
      </c>
      <c r="J4" s="124" t="inlineStr">
        <is>
          <t>지하안전법 제23조 | 현장 지장물, 연약 지반 층후 및 사면 붕괴 위험 요소 추출 | 사전 토공 리스크 대책 승인</t>
        </is>
      </c>
      <c r="K4" s="130" t="inlineStr">
        <is>
          <t>1) 지하 매설 지장물 &amp; 연약지반 현출 ➔ 2) 사면 붕괴 위험 구간 추출 ➔ 3) 흙막이 가설재 보강 수립 ➔ 4) 토공 리스크 대책서 감리 승인</t>
        </is>
      </c>
      <c r="L4" s="130" t="n"/>
      <c r="M4" s="130" t="inlineStr">
        <is>
          <t>지중 매설물 탐사, 연약 지반 층후 분석 및 사면 붕괴 위험 구간 흙막이 가설재 보강 수립</t>
        </is>
      </c>
      <c r="N4" s="130" t="inlineStr">
        <is>
          <t>지하안전법 제23조 | 현장 지장물, 연약 지반 층후 및 사면 붕괴 위험 요소 추출 | 사전 토공 리스크 대책 승인</t>
        </is>
      </c>
      <c r="O4" s="155">
        <f>HYPERLINK("매뉴얼BODY(집행단계-첨부폴더)v8\2.사전토공사\3_Site Survey Risk 검토\표준서\Site Survey Risk 검토_표준서.html", "👉 [클릭] 표준서 열기 📄")</f>
        <v/>
      </c>
      <c r="P4" s="130" t="inlineStr">
        <is>
          <t>1) 지하 매설 지장물 &amp; 연약지반 현출 ➔ 2) 사면 붕괴 위험 구간 추출 ➔ 3) 흙막이 가설재 보강 수립 ➔ 4) 토공 리스크 대책서 감리 승인</t>
        </is>
      </c>
      <c r="Q4" s="155">
        <f>HYPERLINK("매뉴얼BODY(집행단계-첨부폴더)v8\2.사전토공사\3_Site Survey Risk 검토\수행지침\Site Survey Risk 검토_수행지침.html", "👉 [클릭] 수행지침 열기 📄")</f>
        <v/>
      </c>
      <c r="R4" s="124" t="inlineStr">
        <is>
          <t>지중 매설물 탐사, 연약 지반 층후 분석 및 사면 붕괴 위험 구간 흙막이 가설재 보강 수립</t>
        </is>
      </c>
      <c r="S4" s="155">
        <f>HYPERLINK("매뉴얼BODY(집행단계-첨부폴더)v8\2.사전토공사\3_Site Survey Risk 검토\체크리스트\Site Survey Risk 검토_체크리스트.html", "👉 [클릭] 체크리스트 열기 📄")</f>
        <v/>
      </c>
      <c r="T4" s="124" t="n"/>
      <c r="U4" s="124" t="inlineStr">
        <is>
          <t>● 실행예산 검토 및 공사 수행 리스크 분석</t>
        </is>
      </c>
      <c r="V4" s="123" t="inlineStr">
        <is>
          <t>1) 👉 [더블클릭] 체크리스트 열기 📄</t>
        </is>
      </c>
      <c r="W4" s="124" t="n"/>
    </row>
    <row r="5" ht="96" customHeight="1" s="148">
      <c r="A5" s="123" t="inlineStr">
        <is>
          <t>9000</t>
        </is>
      </c>
      <c r="B5" s="123" t="inlineStr">
        <is>
          <t>9000-5</t>
        </is>
      </c>
      <c r="C5" s="123" t="inlineStr">
        <is>
          <t>사전토공사</t>
        </is>
      </c>
      <c r="D5" s="123" t="inlineStr">
        <is>
          <t>9000-5-4</t>
        </is>
      </c>
      <c r="E5" s="123" t="n"/>
      <c r="F5" s="123" t="n"/>
      <c r="G5" s="123" t="inlineStr">
        <is>
          <t>D-50 (D-60~D-50)</t>
        </is>
      </c>
      <c r="H5" s="124" t="inlineStr">
        <is>
          <t>최고의 팀 만들기 지원</t>
        </is>
      </c>
      <c r="I5" s="123" t="inlineStr">
        <is>
          <t>외주관리팀</t>
        </is>
      </c>
      <c r="J5" s="124" t="inlineStr">
        <is>
          <t>건산법 상생협력 수칙 | 토공 전문 기술자 1:1 전담 배치 &amp; 3자 주간 소통 회의 | 일일 Safety TBM 100% 이행</t>
        </is>
      </c>
      <c r="K5" s="130" t="inlineStr">
        <is>
          <t>1) 토공 전담 기술자 1:1 배치 ➔ 2) 3자 주간 소통 회의 개최 ➔ 3) 근로자 복지 지원 &amp; Safety TBM ➔ 4) One-Team 조직표 감리 서면 승인</t>
        </is>
      </c>
      <c r="L5" s="130" t="n"/>
      <c r="M5" s="130" t="inlineStr">
        <is>
          <t>토공 전담 기술자 1:1 현장 배치, 발주·감리·시공 3자 주간 소통 회의 및 일일 Safety TBM/음주 측정</t>
        </is>
      </c>
      <c r="N5" s="130" t="inlineStr">
        <is>
          <t>건산법 상생협력 수칙 | 토공 전문 기술자 1:1 전담 배치 &amp; 3자 주간 소통 회의 | 일일 Safety TBM 100% 이행</t>
        </is>
      </c>
      <c r="O5" s="155">
        <f>HYPERLINK("매뉴얼BODY(집행단계-첨부폴더)v8\2.사전토공사\4_최고의 팀 만들기 지원\표준서\최고의 팀 만들기 지원_표준서.html", "👉 [클릭] 표준서 열기 📄")</f>
        <v/>
      </c>
      <c r="P5" s="130" t="inlineStr">
        <is>
          <t>1) 토공 전담 기술자 1:1 배치 ➔ 2) 3자 주간 소통 회의 개최 ➔ 3) 근로자 복지 지원 &amp; Safety TBM ➔ 4) One-Team 조직표 감리 서면 승인</t>
        </is>
      </c>
      <c r="Q5" s="155">
        <f>HYPERLINK("매뉴얼BODY(집행단계-첨부폴더)v8\2.사전토공사\4_최고의 팀 만들기 지원\수행지침\최고의 팀 만들기 지원_수행지침.html", "👉 [클릭] 수행지침 열기 📄")</f>
        <v/>
      </c>
      <c r="R5" s="124" t="inlineStr">
        <is>
          <t>토공 전담 기술자 1:1 현장 배치, 발주·감리·시공 3자 주간 소통 회의 및 일일 Safety TBM/음주 측정</t>
        </is>
      </c>
      <c r="S5" s="155">
        <f>HYPERLINK("매뉴얼BODY(집행단계-첨부폴더)v8\2.사전토공사\4_최고의 팀 만들기 지원\체크리스트\최고의 팀 만들기 지원_체크리스트.html", "👉 [클릭] 체크리스트 열기 📄")</f>
        <v/>
      </c>
      <c r="T5" s="124" t="n"/>
      <c r="U5" s="124" t="inlineStr">
        <is>
          <t>● 외주관리 협력업체 평가 및 선정 기준</t>
        </is>
      </c>
      <c r="V5" s="123" t="inlineStr">
        <is>
          <t>1) 👉 [더블클릭] 체크리스트 열기 📄</t>
        </is>
      </c>
      <c r="W5" s="124" t="n"/>
    </row>
    <row r="6" ht="134.4" customHeight="1" s="148">
      <c r="A6" s="123" t="inlineStr">
        <is>
          <t>9000</t>
        </is>
      </c>
      <c r="B6" s="123" t="inlineStr">
        <is>
          <t>9000-5</t>
        </is>
      </c>
      <c r="C6" s="123" t="inlineStr">
        <is>
          <t>사전토공사</t>
        </is>
      </c>
      <c r="D6" s="123" t="inlineStr">
        <is>
          <t>9000-5-5</t>
        </is>
      </c>
      <c r="E6" s="123" t="n"/>
      <c r="F6" s="123" t="n"/>
      <c r="G6" s="123" t="inlineStr">
        <is>
          <t>D-60 (D-80~D-60)</t>
        </is>
      </c>
      <c r="H6" s="124" t="inlineStr">
        <is>
          <t>공사중 교통처리계획</t>
        </is>
      </c>
      <c r="I6" s="123" t="inlineStr">
        <is>
          <t>현장 공사팀</t>
        </is>
      </c>
      <c r="J6" s="124" t="inlineStr">
        <is>
          <t>도로교통법 제69조 | 동탄경찰서 교통안전 심의 및 우회 차선 설계 | 전담 신호수(2인 2조) &amp; LED 경광등 배치</t>
        </is>
      </c>
      <c r="K6" s="130" t="inlineStr">
        <is>
          <t>1) 교통 우회 차선 &amp; 둔차선 도면 설계 ➔ 2) 동탄경찰서 도로점용 허가 ➔ 3) 전담 신호수(2인 2조) 배치 ➔ 4) 교통소통 대책서 감리 서면 승인</t>
        </is>
      </c>
      <c r="L6" s="130" t="n"/>
      <c r="M6" s="130" t="inlineStr">
        <is>
          <t>동탄경찰서 도로점용 허가, 가설 우회 차선 설계 및 전담 안전 신호수(2인 2조)/LED 경광등 배치</t>
        </is>
      </c>
      <c r="N6" s="130" t="inlineStr">
        <is>
          <t>도로교통법 제69조 | 동탄경찰서 교통안전 심의 및 우회 차선 설계 | 전담 신호수(2인 2조) &amp; LED 경광등 배치</t>
        </is>
      </c>
      <c r="O6" s="155">
        <f>HYPERLINK("매뉴얼BODY(집행단계-첨부폴더)v8\2.사전토공사\5_공사중 교통처리계획\표준서\공사중 교통처리계획_표준서.html", "👉 [클릭] 표준서 열기 📄")</f>
        <v/>
      </c>
      <c r="P6" s="130" t="inlineStr">
        <is>
          <t>1) 교통 우회 차선 &amp; 둔차선 도면 설계 ➔ 2) 동탄경찰서 도로점용 허가 ➔ 3) 전담 신호수(2인 2조) 배치 ➔ 4) 교통소통 대책서 감리 서면 승인</t>
        </is>
      </c>
      <c r="Q6" s="155">
        <f>HYPERLINK("매뉴얼BODY(집행단계-첨부폴더)v8\2.사전토공사\5_공사중 교통처리계획\수행지침\공사중 교통처리계획_수행지침.html", "👉 [클릭] 수행지침 열기 📄")</f>
        <v/>
      </c>
      <c r="R6" s="124" t="inlineStr">
        <is>
          <t>동탄경찰서 도로점용 허가, 가설 우회 차선 설계 및 전담 안전 신호수(2인 2조)/LED 경광등 배치</t>
        </is>
      </c>
      <c r="S6" s="155">
        <f>HYPERLINK("매뉴얼BODY(집행단계-첨부폴더)v8\2.사전토공사\5_공사중 교통처리계획\체크리스트\공사중 교통처리계획_체크리스트.html", "👉 [클릭] 체크리스트 열기 📄")</f>
        <v/>
      </c>
      <c r="T6" s="124" t="n"/>
      <c r="U6" s="124" t="inlineStr">
        <is>
          <t>● 도로교통법 및 관할 지자체 교통 지침 준수</t>
        </is>
      </c>
      <c r="V6" s="123" t="inlineStr">
        <is>
          <t>1) 👉 [더블클릭] 체크리스트 열기 📄</t>
        </is>
      </c>
      <c r="W6" s="124" t="n"/>
    </row>
    <row r="7" ht="96" customHeight="1" s="148">
      <c r="A7" s="123" t="inlineStr">
        <is>
          <t>9000</t>
        </is>
      </c>
      <c r="B7" s="123" t="inlineStr">
        <is>
          <t>9000-5</t>
        </is>
      </c>
      <c r="C7" s="123" t="inlineStr">
        <is>
          <t>사전토공사</t>
        </is>
      </c>
      <c r="D7" s="123" t="inlineStr">
        <is>
          <t>9000-5-6</t>
        </is>
      </c>
      <c r="E7" s="123" t="n"/>
      <c r="F7" s="123" t="n"/>
      <c r="G7" s="123" t="inlineStr">
        <is>
          <t>D-65 (D-65~D-55)</t>
        </is>
      </c>
      <c r="H7" s="124" t="inlineStr">
        <is>
          <t>자재발주 요청</t>
        </is>
      </c>
      <c r="I7" s="123" t="inlineStr">
        <is>
          <t>현장 공무팀</t>
        </is>
      </c>
      <c r="J7" s="124" t="inlineStr">
        <is>
          <t>KCS 47 10 25 자재 시방 | 굴착 장비, 가설 펜스 및 배수관 자재 발주 승인 | 공인시험기관 성적표 수속</t>
        </is>
      </c>
      <c r="K7" s="130" t="inlineStr">
        <is>
          <t>1) 굴착 장비 및 가설 펜스 자재 선정 ➔ 2) 공인시험기관 시험성적서 검수 ➔ 3) 자재 발주 신청서 제출 ➔ 4) 자재 반입 검수 통보서 결재</t>
        </is>
      </c>
      <c r="L7" s="130" t="n"/>
      <c r="M7" s="130" t="inlineStr">
        <is>
          <t>KCS 47 10 25 굴착 장비/가설재 자재 승인, 공인시험기관 시험성적서 검수 및 자재 반입 통보</t>
        </is>
      </c>
      <c r="N7" s="130" t="inlineStr">
        <is>
          <t>KCS 47 10 25 자재 시방 | 굴착 장비, 가설 펜스 및 배수관 자재 발주 승인 | 공인시험기관 성적표 수속</t>
        </is>
      </c>
      <c r="O7" s="155">
        <f>HYPERLINK("매뉴얼BODY(집행단계-첨부폴더)v8\2.사전토공사\6_자재발주 요청\표준서\자재발주 요청_표준서.html", "👉 [클릭] 표준서 열기 📄")</f>
        <v/>
      </c>
      <c r="P7" s="130" t="inlineStr">
        <is>
          <t>1) 굴착 장비 및 가설 펜스 자재 선정 ➔ 2) 공인시험기관 시험성적서 검수 ➔ 3) 자재 발주 신청서 제출 ➔ 4) 자재 반입 검수 통보서 결재</t>
        </is>
      </c>
      <c r="Q7" s="155">
        <f>HYPERLINK("매뉴얼BODY(집행단계-첨부폴더)v8\2.사전토공사\6_자재발주 요청\수행지침\착수전 Big Room 회의_수행지침.html", "👉 [클릭] 수행지침 열기 📄")</f>
        <v/>
      </c>
      <c r="R7" s="124" t="inlineStr">
        <is>
          <t>KCS 47 10 25 굴착 장비/가설재 자재 승인, 공인시험기관 시험성적서 검수 및 자재 반입 통보</t>
        </is>
      </c>
      <c r="S7" s="155">
        <f>HYPERLINK("매뉴얼BODY(집행단계-첨부폴더)v8\2.사전토공사\6_자재발주 요청\체크리스트\착수전 Big Room 회의_체크리스트.html", "👉 [클릭] 체크리스트 열기 📄")</f>
        <v/>
      </c>
      <c r="T7" s="124" t="n"/>
      <c r="U7" s="124" t="n"/>
      <c r="V7" s="123" t="inlineStr">
        <is>
          <t>1) 👉 [더블클릭] 체크리스트 열기 📄</t>
        </is>
      </c>
      <c r="W7" s="124" t="n"/>
    </row>
    <row r="8" ht="115.2" customHeight="1" s="148">
      <c r="A8" s="123" t="inlineStr">
        <is>
          <t>9000</t>
        </is>
      </c>
      <c r="B8" s="123" t="inlineStr">
        <is>
          <t>9000-5</t>
        </is>
      </c>
      <c r="C8" s="123" t="inlineStr">
        <is>
          <t>사전토공사</t>
        </is>
      </c>
      <c r="D8" s="123" t="inlineStr">
        <is>
          <t>9000-5-7</t>
        </is>
      </c>
      <c r="E8" s="123" t="n"/>
      <c r="F8" s="123" t="n"/>
      <c r="G8" s="123" t="inlineStr">
        <is>
          <t>D-40 (D-60~D-40)</t>
        </is>
      </c>
      <c r="H8" s="124" t="inlineStr">
        <is>
          <t>용지 사용 Risk 검토</t>
        </is>
      </c>
      <c r="I8" s="123" t="inlineStr">
        <is>
          <t>토목계약관리팀</t>
        </is>
      </c>
      <c r="J8" s="124" t="inlineStr">
        <is>
          <t>토지보상법 준수 | 미보상 사유지 경계 현출 및 가설 펜스(H=1.8m) 차단 | 3D 우회 토공 동선 마일스톤 연동</t>
        </is>
      </c>
      <c r="K8" s="130" t="inlineStr">
        <is>
          <t>1) 미보상 사유지 경계 현출 ➔ 2) 가설 펜스(H=1.8m) 차단 ➔ 3) 3D 우회 토공 동선 수립 ➔ 4) 용지 보상 리스크 대책 감리 승인</t>
        </is>
      </c>
      <c r="L8" s="130" t="n"/>
      <c r="M8" s="130" t="inlineStr">
        <is>
          <t>미보상 사유지 경계 현출, 가설 펜스(H=1.8m) 차단 및 3D 우회 토공 동선 마일스톤 연동</t>
        </is>
      </c>
      <c r="N8" s="130" t="inlineStr">
        <is>
          <t>토지보상법 준수 | 미보상 사유지 경계 현출 및 가설 펜스(H=1.8m) 차단 | 3D 우회 토공 동선 마일스톤 연동</t>
        </is>
      </c>
      <c r="O8" s="155">
        <f>HYPERLINK("매뉴얼BODY(집행단계-첨부폴더)v8\2.사전토공사\7_용지 사용 Risk 검토\표준서\용지 사용 Risk 검토_표준서.html", "👉 [클릭] 표준서 열기 📄")</f>
        <v/>
      </c>
      <c r="P8" s="130" t="inlineStr">
        <is>
          <t>1) 미보상 사유지 경계 현출 ➔ 2) 가설 펜스(H=1.8m) 차단 ➔ 3) 3D 우회 토공 동선 수립 ➔ 4) 용지 보상 리스크 대책 감리 승인</t>
        </is>
      </c>
      <c r="Q8" s="155">
        <f>HYPERLINK("매뉴얼BODY(집행단계-첨부폴더)v8\2.사전토공사\7_용지 사용 Risk 검토\수행지침\용지 사용 Risk 검토_수행지침.html", "👉 [클릭] 수행지침 열기 📄")</f>
        <v/>
      </c>
      <c r="R8" s="124" t="inlineStr">
        <is>
          <t>미보상 사유지 경계 현출, 가설 펜스(H=1.8m) 차단 및 3D 우회 토공 동선 마일스톤 연동</t>
        </is>
      </c>
      <c r="S8" s="155">
        <f>HYPERLINK("매뉴얼BODY(집행단계-첨부폴더)v8\2.사전토공사\7_용지 사용 Risk 검토\체크리스트\용지 사용 Risk 검토_체크리스트.html", "👉 [클릭] 체크리스트 열기 📄")</f>
        <v/>
      </c>
      <c r="T8" s="124" t="n"/>
      <c r="U8" s="124" t="inlineStr">
        <is>
          <t>● 계약 리스크 방지 및 현장 부지 확보 요건 검토</t>
        </is>
      </c>
      <c r="V8" s="123" t="inlineStr">
        <is>
          <t>1) 👉 [더블클릭] 체크리스트 열기 📄</t>
        </is>
      </c>
      <c r="W8" s="124" t="n"/>
    </row>
    <row r="9" ht="172.8" customHeight="1" s="148">
      <c r="A9" s="123" t="inlineStr">
        <is>
          <t>9000</t>
        </is>
      </c>
      <c r="B9" s="123" t="inlineStr">
        <is>
          <t>9000-5</t>
        </is>
      </c>
      <c r="C9" s="123" t="inlineStr">
        <is>
          <t>사전토공사</t>
        </is>
      </c>
      <c r="D9" s="123" t="inlineStr">
        <is>
          <t>9000-5-8</t>
        </is>
      </c>
      <c r="E9" s="123" t="n"/>
      <c r="F9" s="123" t="n"/>
      <c r="G9" s="123" t="inlineStr">
        <is>
          <t>D-40</t>
        </is>
      </c>
      <c r="H9" s="124" t="inlineStr">
        <is>
          <t>착수전 Big Room 회의</t>
        </is>
      </c>
      <c r="I9" s="123" t="inlineStr">
        <is>
          <t>현장소장</t>
        </is>
      </c>
      <c r="J9" s="124" t="inlineStr">
        <is>
          <t>현장 통합 관리 지침 | 발주처·감리·지자체·시공사 4자 빅룸 회의 | 사전 토공 마일스톤 서명 결재</t>
        </is>
      </c>
      <c r="K9" s="130" t="inlineStr">
        <is>
          <t>1) 4자(발주·감리·지자체·시공) 빅룸 결성 ➔ 2) 사전 토공 마일스톤 연동 ➔ 3) 간섭 리스크 즉시 해소 ➔ 4) 빅룸 회의록 4자 서명 완수</t>
        </is>
      </c>
      <c r="L9" s="130" t="n"/>
      <c r="M9" s="130" t="inlineStr">
        <is>
          <t>4자(발주·감리·지자체·시공) 빅룸 회의 결성, 사전 토공 마일스톤 연동 및 간섭 리스크 서명</t>
        </is>
      </c>
      <c r="N9" s="130" t="inlineStr">
        <is>
          <t>현장 통합 관리 지침 | 발주처·감리·지자체·시공사 4자 빅룸 회의 | 사전 토공 마일스톤 서명 결재</t>
        </is>
      </c>
      <c r="O9" s="155">
        <f>HYPERLINK("매뉴얼BODY(집행단계-첨부폴더)v8\2.사전토공사\8_착수전 Big Room 회의\표준서\착수전 Big Room 회의_표준서.html", "👉 [클릭] 표준서 열기 📄")</f>
        <v/>
      </c>
      <c r="P9" s="130" t="inlineStr">
        <is>
          <t>1) 4자(발주·감리·지자체·시공) 빅룸 결성 ➔ 2) 사전 토공 마일스톤 연동 ➔ 3) 간섭 리스크 즉시 해소 ➔ 4) 빅룸 회의록 4자 서명 완수</t>
        </is>
      </c>
      <c r="Q9" s="155">
        <f>HYPERLINK("매뉴얼BODY(집행단계-첨부폴더)v8\2.사전토공사\8_착수전 Big Room 회의\수행지침\착수전 Big Room 회의_수행지침.html", "👉 [클릭] 수행지침 열기 📄")</f>
        <v/>
      </c>
      <c r="R9" s="124" t="inlineStr">
        <is>
          <t>4자(발주·감리·지자체·시공) 빅룸 회의 결성, 사전 토공 마일스톤 연동 및 간섭 리스크 서명</t>
        </is>
      </c>
      <c r="S9" s="155">
        <f>HYPERLINK("매뉴얼BODY(집행단계-첨부폴더)v8\2.사전토공사\8_착수전 Big Room 회의\체크리스트\착수전 Big Room 회의_체크리스트.html", "👉 [클릭] 체크리스트 열기 📄")</f>
        <v/>
      </c>
      <c r="T9" s="124" t="n"/>
      <c r="U9" s="124" t="inlineStr">
        <is>
          <t>● 본사 유관부서(견적/엔지니어링/공정/품질/안전) 조율</t>
        </is>
      </c>
      <c r="V9" s="123" t="inlineStr">
        <is>
          <t>1) 👉 [더블클릭] 체크리스트 열기 📄</t>
        </is>
      </c>
      <c r="W9" s="124" t="n"/>
    </row>
    <row r="10" ht="115.2" customHeight="1" s="148">
      <c r="A10" s="123" t="inlineStr">
        <is>
          <t>9000</t>
        </is>
      </c>
      <c r="B10" s="123" t="inlineStr">
        <is>
          <t>9000-5</t>
        </is>
      </c>
      <c r="C10" s="123" t="inlineStr">
        <is>
          <t>사전토공사</t>
        </is>
      </c>
      <c r="D10" s="123" t="inlineStr">
        <is>
          <t>9000-5-9</t>
        </is>
      </c>
      <c r="E10" s="123" t="n"/>
      <c r="F10" s="123" t="n"/>
      <c r="G10" s="123" t="inlineStr">
        <is>
          <t>D-30</t>
        </is>
      </c>
      <c r="H10" s="124" t="inlineStr">
        <is>
          <t>인허가 절차 진행</t>
        </is>
      </c>
      <c r="I10" s="123" t="inlineStr">
        <is>
          <t>현장 공무팀</t>
        </is>
      </c>
      <c r="J10" s="124" t="inlineStr">
        <is>
          <t>도로법 및 환경영향평가법 | 지자체 도로점용 허가 및 비산먼지 발생신고 수속 | 법정 인허가 필증 수속</t>
        </is>
      </c>
      <c r="K10" s="130" t="inlineStr">
        <is>
          <t>1) 지자체 도로/하천점용 허가서 작성 ➔ 2) 관련 부서 서류 제출 &amp; 심의 ➔ 3) 보증보험 증권 부착 ➔ 4) 법정 인허가 필증 감리 수속</t>
        </is>
      </c>
      <c r="L10" s="130" t="n"/>
      <c r="M10" s="130" t="inlineStr">
        <is>
          <t>지자체 도로/하천점용 허가서 접수, 비산먼지 발생사업 신고 필증 수속 및 보증보험 제출</t>
        </is>
      </c>
      <c r="N10" s="130" t="inlineStr">
        <is>
          <t>도로법 및 환경영향평가법 | 지자체 도로점용 허가 및 비산먼지 발생신고 수속 | 법정 인허가 필증 수속</t>
        </is>
      </c>
      <c r="O10" s="155">
        <f>HYPERLINK("매뉴얼BODY(집행단계-첨부폴더)v8\2.사전토공사\9_인허가 절차 진행\표준서\인허가 절차 진행_표준서.html", "👉 [클릭] 표준서 열기 📄")</f>
        <v/>
      </c>
      <c r="P10" s="130" t="inlineStr">
        <is>
          <t>1) 지자체 도로/하천점용 허가서 작성 ➔ 2) 관련 부서 서류 제출 &amp; 심의 ➔ 3) 보증보험 증권 부착 ➔ 4) 법정 인허가 필증 감리 수속</t>
        </is>
      </c>
      <c r="Q10" s="155">
        <f>HYPERLINK("매뉴얼BODY(집행단계-첨부폴더)v8\2.사전토공사\9_인허가 절차 진행\수행지침\인허가 절차 진행_수행지침.html", "👉 [클릭] 수행지침 열기 📄")</f>
        <v/>
      </c>
      <c r="R10" s="124" t="inlineStr">
        <is>
          <t>지자체 도로/하천점용 허가서 접수, 비산먼지 발생사업 신고 필증 수속 및 보증보험 제출</t>
        </is>
      </c>
      <c r="S10" s="155">
        <f>HYPERLINK("매뉴얼BODY(집행단계-첨부폴더)v8\2.사전토공사\9_인허가 절차 진행\체크리스트\인허가 절차 진행_체크리스트.html", "👉 [클릭] 체크리스트 열기 📄")</f>
        <v/>
      </c>
      <c r="T10" s="124" t="n"/>
      <c r="U10" s="124" t="inlineStr">
        <is>
          <t>● 관련 인허가 법령 검토</t>
        </is>
      </c>
      <c r="V10" s="123" t="inlineStr">
        <is>
          <t>1) 👉 [더블클릭] 체크리스트 열기 📄</t>
        </is>
      </c>
      <c r="W10" s="124" t="n"/>
    </row>
    <row r="11" ht="96" customHeight="1" s="148">
      <c r="A11" s="123" t="inlineStr">
        <is>
          <t>9000</t>
        </is>
      </c>
      <c r="B11" s="123" t="inlineStr">
        <is>
          <t>9000-5</t>
        </is>
      </c>
      <c r="C11" s="123" t="inlineStr">
        <is>
          <t>사전토공사</t>
        </is>
      </c>
      <c r="D11" s="123" t="inlineStr">
        <is>
          <t>9000-5-10</t>
        </is>
      </c>
      <c r="E11" s="123" t="n"/>
      <c r="F11" s="123" t="n"/>
      <c r="G11" s="123" t="inlineStr">
        <is>
          <t>D-30</t>
        </is>
      </c>
      <c r="H11" s="124" t="inlineStr">
        <is>
          <t>교통처리대책 협의 및 승인</t>
        </is>
      </c>
      <c r="I11" s="123" t="inlineStr">
        <is>
          <t>현장 공무팀</t>
        </is>
      </c>
      <c r="J11" s="124" t="inlineStr">
        <is>
          <t>도로교통법 안전 수칙 | 경찰서 차선 점용 허가 및 가설 둔차선 도로 복구 이행 보증보험 | 교통대책 감리 승인</t>
        </is>
      </c>
      <c r="K11" s="130" t="inlineStr">
        <is>
          <t>1) 경찰서 차선 점용 허가증 수령 ➔ 2) 도로 복구 보증보험 증권 제출 ➔ 3) 전담 신호수 &amp; LED 경광등 배치 ➔ 4) 교통대책서 감리 서면 승인</t>
        </is>
      </c>
      <c r="L11" s="130" t="n"/>
      <c r="M11" s="130" t="inlineStr">
        <is>
          <t>동탄경찰서 차선 점용 허가, 도로 복구 이행 보증보험 제출 및 전담 신호수(2인 2조) 100% 배치</t>
        </is>
      </c>
      <c r="N11" s="130" t="inlineStr">
        <is>
          <t>도로교통법 안전 수칙 | 경찰서 차선 점용 허가 및 가설 둔차선 도로 복구 이행 보증보험 | 교통대책 감리 승인</t>
        </is>
      </c>
      <c r="O11" s="155">
        <f>HYPERLINK("매뉴얼BODY(집행단계-첨부폴더)v8\2.사전토공사\10_교통처리대책 협의 및 승인\표준서\교통처리대책 협의 및 승인_표준서.html", "👉 [클릭] 표준서 열기 📄")</f>
        <v/>
      </c>
      <c r="P11" s="130" t="inlineStr">
        <is>
          <t>1) 경찰서 차선 점용 허가증 수령 ➔ 2) 도로 복구 보증보험 증권 제출 ➔ 3) 전담 신호수 &amp; LED 경광등 배치 ➔ 4) 교통대책서 감리 서면 승인</t>
        </is>
      </c>
      <c r="Q11" s="155">
        <f>HYPERLINK("매뉴얼BODY(집행단계-첨부폴더)v8\2.사전토공사\10_교통처리대책 협의 및 승인\수행지침\교통처리대책 협의 및 승인_수행지침.html", "👉 [클릭] 수행지침 열기 📄")</f>
        <v/>
      </c>
      <c r="R11" s="124" t="inlineStr">
        <is>
          <t>동탄경찰서 차선 점용 허가, 도로 복구 이행 보증보험 제출 및 전담 신호수(2인 2조) 100% 배치</t>
        </is>
      </c>
      <c r="S11" s="155">
        <f>HYPERLINK("매뉴얼BODY(집행단계-첨부폴더)v8\2.사전토공사\10_교통처리대책 협의 및 승인\체크리스트\교통처리대책 협의 및 승인_체크리스트.html", "👉 [클릭] 체크리스트 열기 📄")</f>
        <v/>
      </c>
      <c r="T11" s="124" t="n"/>
      <c r="U11" s="124" t="inlineStr">
        <is>
          <t>● 사토/토취장 인허가 요건 준수</t>
        </is>
      </c>
      <c r="V11" s="123" t="inlineStr">
        <is>
          <t>1) 👉 [더블클릭] 체크리스트 열기 📄</t>
        </is>
      </c>
      <c r="W11" s="124" t="n"/>
    </row>
    <row r="12" ht="115.2" customHeight="1" s="148">
      <c r="A12" s="123" t="inlineStr">
        <is>
          <t>9000</t>
        </is>
      </c>
      <c r="B12" s="123" t="inlineStr">
        <is>
          <t>9000-5</t>
        </is>
      </c>
      <c r="C12" s="123" t="inlineStr">
        <is>
          <t>사전토공사</t>
        </is>
      </c>
      <c r="D12" s="123" t="inlineStr">
        <is>
          <t>9000-5-11</t>
        </is>
      </c>
      <c r="E12" s="123" t="n"/>
      <c r="F12" s="123" t="n"/>
      <c r="G12" s="123" t="inlineStr">
        <is>
          <t>D-30</t>
        </is>
      </c>
      <c r="H12" s="124" t="inlineStr">
        <is>
          <t>지장물 검토 및 협의</t>
        </is>
      </c>
      <c r="I12" s="123" t="inlineStr">
        <is>
          <t>현장 공무팀/공사팀</t>
        </is>
      </c>
      <c r="J12" s="124" t="inlineStr">
        <is>
          <t>지하안전관리에 관한 특별법 | GPR 3D 관로 탐사 &amp; 인력 시탐 줄파기(깊이 1.5m) | 점용기관 현장 입회 이설 방호</t>
        </is>
      </c>
      <c r="K12" s="130" t="inlineStr">
        <is>
          <t>1) GPR 3D 지중 관로 탐사 ➔ 2) 인력 시탐 줄파기(깊이 1.5m) ➔ 3) 관할 점용기관 1:1 현장 입회 ➔ 4) 매달기 방호 &amp; 지장물 서면 승인</t>
        </is>
      </c>
      <c r="L12" s="130" t="n"/>
      <c r="M12" s="130" t="inlineStr">
        <is>
          <t>GPR 3D 관로 탐사, 인력 시탐 줄파기(폭 0.5m, 깊이 1.5m) 및 점용기관 1:1 현장 입회 매달기 방호</t>
        </is>
      </c>
      <c r="N12" s="130" t="inlineStr">
        <is>
          <t>지하안전관리에 관한 특별법 | GPR 3D 관로 탐사 &amp; 인력 시탐 줄파기(깊이 1.5m) | 점용기관 현장 입회 이설 방호</t>
        </is>
      </c>
      <c r="O12" s="155">
        <f>HYPERLINK("매뉴얼BODY(집행단계-첨부폴더)v8\2.사전토공사\11_지장물 검토 및 협의\표준서\지장물 검토 및 협의_표준서.html", "👉 [클릭] 표준서 열기 📄")</f>
        <v/>
      </c>
      <c r="P12" s="130" t="inlineStr">
        <is>
          <t>1) GPR 3D 지중 관로 탐사 ➔ 2) 인력 시탐 줄파기(깊이 1.5m) ➔ 3) 관할 점용기관 1:1 현장 입회 ➔ 4) 매달기 방호 &amp; 지장물 서면 승인</t>
        </is>
      </c>
      <c r="Q12" s="155">
        <f>HYPERLINK("매뉴얼BODY(집행단계-첨부폴더)v8\2.사전토공사\11_지장물 검토 및 협의\수행지침\지장물 검토 및 협의_수행지침.html", "👉 [클릭] 수행지침 열기 📄")</f>
        <v/>
      </c>
      <c r="R12" s="124" t="inlineStr">
        <is>
          <t>GPR 3D 관로 탐사, 인력 시탐 줄파기(폭 0.5m, 깊이 1.5m) 및 점용기관 1:1 현장 입회 매달기 방호</t>
        </is>
      </c>
      <c r="S12" s="155">
        <f>HYPERLINK("매뉴얼BODY(집행단계-첨부폴더)v8\2.사전토공사\11_지장물 검토 및 협의\체크리스트\지장물 검토 및 협의_체크리스트.html", "👉 [클릭] 체크리스트 열기 📄")</f>
        <v/>
      </c>
      <c r="T12" s="124" t="n"/>
      <c r="U12" s="124" t="inlineStr">
        <is>
          <t>● 도로점용 및 지장물 이설 규정 준수</t>
        </is>
      </c>
      <c r="V12" s="123" t="inlineStr">
        <is>
          <t>1) 👉 [더블클릭] 체크리스트 열기 📄</t>
        </is>
      </c>
      <c r="W12" s="124" t="n"/>
    </row>
    <row r="13" ht="96" customHeight="1" s="148">
      <c r="A13" s="123" t="inlineStr">
        <is>
          <t>9000</t>
        </is>
      </c>
      <c r="B13" s="123" t="inlineStr">
        <is>
          <t>9000-5</t>
        </is>
      </c>
      <c r="C13" s="123" t="inlineStr">
        <is>
          <t>사전토공사</t>
        </is>
      </c>
      <c r="D13" s="123" t="inlineStr">
        <is>
          <t>9000-5-12</t>
        </is>
      </c>
      <c r="E13" s="123" t="n"/>
      <c r="F13" s="123" t="n"/>
      <c r="G13" s="123" t="inlineStr">
        <is>
          <t>D-30</t>
        </is>
      </c>
      <c r="H13" s="124" t="inlineStr">
        <is>
          <t>기공승낙 적정성 검토</t>
        </is>
      </c>
      <c r="I13" s="123" t="inlineStr">
        <is>
          <t>현장 공무팀</t>
        </is>
      </c>
      <c r="J13" s="124" t="inlineStr">
        <is>
          <t>국유재산법 및 공유재산법 | 토지 기공승낙서 인허가 확인 및 진입로 점용 범위 실측 | 토지 사용 승인서 결재</t>
        </is>
      </c>
      <c r="K13" s="130" t="inlineStr">
        <is>
          <t>1) 국유지/공유지 기공승낙서 수속 ➔ 2) 진입 도로 점용 범위 실측 ➔ 3) 토지 소유주 사용 협의 ➔ 4) 기공승낙서 감리 서면 승인</t>
        </is>
      </c>
      <c r="L13" s="130" t="n"/>
      <c r="M13" s="130" t="inlineStr">
        <is>
          <t>국유지/공유지 기공승낙서 인허가 검증, 진입 도로 점용 범위 실측 및 토지 사용 승인서 결재</t>
        </is>
      </c>
      <c r="N13" s="130" t="inlineStr">
        <is>
          <t>국유재산법 및 공유재산법 | 토지 기공승낙서 인허가 확인 및 진입로 점용 범위 실측 | 토지 사용 승인서 결재</t>
        </is>
      </c>
      <c r="O13" s="155">
        <f>HYPERLINK("매뉴얼BODY(집행단계-첨부폴더)v8\2.사전토공사\12_기공승낙 적정성 검토\표준서\기공승낙 적정성 검토_표준서.html", "👉 [클릭] 표준서 열기 📄")</f>
        <v/>
      </c>
      <c r="P13" s="130" t="inlineStr">
        <is>
          <t>1) 국유지/공유지 기공승낙서 수속 ➔ 2) 진입 도로 점용 범위 실측 ➔ 3) 토지 소유주 사용 협의 ➔ 4) 기공승낙서 감리 서면 승인</t>
        </is>
      </c>
      <c r="Q13" s="155">
        <f>HYPERLINK("매뉴얼BODY(집행단계-첨부폴더)v8\2.사전토공사\12_기공승낙 적정성 검토\수행지침\기공승낙 적정성 검토_수행지침.html", "👉 [클릭] 수행지침 열기 📄")</f>
        <v/>
      </c>
      <c r="R13" s="124" t="inlineStr">
        <is>
          <t>국유지/공유지 기공승낙서 인허가 검증, 진입 도로 점용 범위 실측 및 토지 사용 승인서 결재</t>
        </is>
      </c>
      <c r="S13" s="155">
        <f>HYPERLINK("매뉴얼BODY(집행단계-첨부폴더)v8\2.사전토공사\12_기공승낙 적정성 검토\체크리스트\기공승낙 적정성 검토_체크리스트.html", "👉 [클릭] 체크리스트 열기 📄")</f>
        <v/>
      </c>
      <c r="T13" s="124" t="n"/>
      <c r="U13" s="124" t="inlineStr">
        <is>
          <t>● 용지 취득 및 기공승낙 법적 검토</t>
        </is>
      </c>
      <c r="V13" s="123" t="inlineStr">
        <is>
          <t>1) 👉 [더블클릭] 체크리스트 열기 📄</t>
        </is>
      </c>
      <c r="W13" s="124" t="n"/>
    </row>
    <row r="14" ht="96" customHeight="1" s="148">
      <c r="A14" s="123" t="inlineStr">
        <is>
          <t>9000</t>
        </is>
      </c>
      <c r="B14" s="123" t="inlineStr">
        <is>
          <t>9000-5</t>
        </is>
      </c>
      <c r="C14" s="123" t="inlineStr">
        <is>
          <t>사전토공사</t>
        </is>
      </c>
      <c r="D14" s="123" t="inlineStr">
        <is>
          <t>9000-5-13</t>
        </is>
      </c>
      <c r="E14" s="123" t="n"/>
      <c r="F14" s="123" t="n"/>
      <c r="G14" s="123" t="inlineStr">
        <is>
          <t>D-30</t>
        </is>
      </c>
      <c r="H14" s="124" t="inlineStr">
        <is>
          <t>민원 저감 대책 수립</t>
        </is>
      </c>
      <c r="I14" s="123" t="inlineStr">
        <is>
          <t>현장 안전팀/공무팀</t>
        </is>
      </c>
      <c r="J14" s="124" t="inlineStr">
        <is>
          <t>소음진동관리법 준수 | 야간 공사 소음 방음벽(H=3m) 및 세륜기(깊이 1.2m) 가동 | 단수/단전 주민 사전 안내</t>
        </is>
      </c>
      <c r="K14" s="130" t="inlineStr">
        <is>
          <t>1) 야간 공사 소음 방음벽(H=3m) 설치 ➔ 2) 세륜기 가동 &amp; 분무 살수 ➔ 3) 단수/단전 사전 주민 공지 ➔ 4) 민원 대응반 서면 승인</t>
        </is>
      </c>
      <c r="L14" s="130" t="n"/>
      <c r="M14" s="130" t="inlineStr">
        <is>
          <t>야간 공사 소음 방음벽(H=3m) 가동, 세륜기(깊이 1.2m) 가동 및 단수/단전 주민 사전 고지</t>
        </is>
      </c>
      <c r="N14" s="130" t="inlineStr">
        <is>
          <t>소음진동관리법 준수 | 야간 공사 소음 방음벽(H=3m) 및 세륜기(깊이 1.2m) 가동 | 단수/단전 주민 사전 안내</t>
        </is>
      </c>
      <c r="O14" s="155">
        <f>HYPERLINK("매뉴얼BODY(집행단계-첨부폴더)v8\2.사전토공사\13_민원 저감 대책 수립\표준서\민원 저감 대책 수립_표준서.html", "👉 [클릭] 표준서 열기 📄")</f>
        <v/>
      </c>
      <c r="P14" s="130" t="inlineStr">
        <is>
          <t>1) 야간 공사 소음 방음벽(H=3m) 설치 ➔ 2) 세륜기 가동 &amp; 분무 살수 ➔ 3) 단수/단전 사전 주민 공지 ➔ 4) 민원 대응반 서면 승인</t>
        </is>
      </c>
      <c r="Q14" s="155">
        <f>HYPERLINK("매뉴얼BODY(집행단계-첨부폴더)v8\2.사전토공사\13_민원 저감 대책 수립\수행지침\민원 저감 대책 수립_수행지침.html", "👉 [클릭] 수행지침 열기 📄")</f>
        <v/>
      </c>
      <c r="R14" s="124" t="inlineStr">
        <is>
          <t>야간 공사 소음 방음벽(H=3m) 가동, 세륜기(깊이 1.2m) 가동 및 단수/단전 주민 사전 고지</t>
        </is>
      </c>
      <c r="S14" s="155">
        <f>HYPERLINK("매뉴얼BODY(집행단계-첨부폴더)v8\2.사전토공사\13_민원 저감 대책 수립\체크리스트\민원 저감 대책 수립_체크리스트.html", "👉 [클릭] 체크리스트 열기 📄")</f>
        <v/>
      </c>
      <c r="T14" s="124" t="n"/>
      <c r="U14" s="124" t="inlineStr">
        <is>
          <t>● 민원 관리 지침 준수</t>
        </is>
      </c>
      <c r="V14" s="123" t="inlineStr">
        <is>
          <t>1) 👉 [더블클릭] 체크리스트 열기 📄</t>
        </is>
      </c>
      <c r="W14" s="124" t="n"/>
    </row>
    <row r="15" ht="96" customHeight="1" s="148">
      <c r="A15" s="123" t="inlineStr">
        <is>
          <t>9000</t>
        </is>
      </c>
      <c r="B15" s="123" t="inlineStr">
        <is>
          <t>9000-5</t>
        </is>
      </c>
      <c r="C15" s="123" t="inlineStr">
        <is>
          <t>사전토공사</t>
        </is>
      </c>
      <c r="D15" s="123" t="inlineStr">
        <is>
          <t>9000-5-14</t>
        </is>
      </c>
      <c r="E15" s="123" t="n"/>
      <c r="F15" s="123" t="n"/>
      <c r="G15" s="123" t="inlineStr">
        <is>
          <t>D-30</t>
        </is>
      </c>
      <c r="H15" s="124" t="inlineStr">
        <is>
          <t>용지보상 Risk 파악</t>
        </is>
      </c>
      <c r="I15" s="123" t="inlineStr">
        <is>
          <t>현장 공무팀</t>
        </is>
      </c>
      <c r="J15" s="124" t="inlineStr">
        <is>
          <t>토지보상법 준수 | 지장물 이설 부지 용지보상 현황 및 점용 경계 실측 | 미보상 사유지 가설 펜스 차단</t>
        </is>
      </c>
      <c r="K15" s="130" t="inlineStr">
        <is>
          <t>1) 미보상 필지 현출 &amp; 지적 대조 ➔ 2) 가설 펜스(H=1.8m) 차단 ➔ 3) 우회 토공 동선 수립 ➔ 4) 용지 보상 대책서 감리 승인</t>
        </is>
      </c>
      <c r="L15" s="130" t="n"/>
      <c r="M15" s="130" t="inlineStr">
        <is>
          <t>미보상 필지 지적 대조, 경계 가설 펜스(H=1.8m) 차단 및 우회 토공 동선 서면 승인</t>
        </is>
      </c>
      <c r="N15" s="130" t="inlineStr">
        <is>
          <t>토지보상법 준수 | 지장물 이설 부지 용지보상 현황 및 점용 경계 실측 | 미보상 사유지 가설 펜스 차단</t>
        </is>
      </c>
      <c r="O15" s="155">
        <f>HYPERLINK("매뉴얼BODY(집행단계-첨부폴더)v8\2.사전토공사\14_용지보상 Risk 파악\표준서\용지보상 Risk 파악_표준서.html", "👉 [클릭] 표준서 열기 📄")</f>
        <v/>
      </c>
      <c r="P15" s="130" t="inlineStr">
        <is>
          <t>1) 미보상 필지 현출 &amp; 지적 대조 ➔ 2) 가설 펜스(H=1.8m) 차단 ➔ 3) 우회 토공 동선 수립 ➔ 4) 용지 보상 대책서 감리 승인</t>
        </is>
      </c>
      <c r="Q15" s="155">
        <f>HYPERLINK("매뉴얼BODY(집행단계-첨부폴더)v8\2.사전토공사\14_용지보상 Risk 파악\수행지침\용지보상 Risk 파악_수행지침.html", "👉 [클릭] 수행지침 열기 📄")</f>
        <v/>
      </c>
      <c r="R15" s="124" t="inlineStr">
        <is>
          <t>미보상 필지 지적 대조, 경계 가설 펜스(H=1.8m) 차단 및 우회 토공 동선 서면 승인</t>
        </is>
      </c>
      <c r="S15" s="155">
        <f>HYPERLINK("매뉴얼BODY(집행단계-첨부폴더)v8\2.사전토공사\14_용지보상 Risk 파악\체크리스트\용지보상 Risk 파악_체크리스트.html", "👉 [클릭] 체크리스트 열기 📄")</f>
        <v/>
      </c>
      <c r="T15" s="124" t="n"/>
      <c r="U15" s="124" t="inlineStr">
        <is>
          <t>● 토지보상법 및 공정 영향 분석</t>
        </is>
      </c>
      <c r="V15" s="123" t="inlineStr">
        <is>
          <t>1) 👉 [더블클릭] 체크리스트 열기 📄</t>
        </is>
      </c>
      <c r="W15" s="124" t="n"/>
    </row>
    <row r="16" ht="96" customHeight="1" s="148">
      <c r="A16" s="123" t="inlineStr">
        <is>
          <t>9000</t>
        </is>
      </c>
      <c r="B16" s="123" t="inlineStr">
        <is>
          <t>9000-5</t>
        </is>
      </c>
      <c r="C16" s="123" t="inlineStr">
        <is>
          <t>사전토공사</t>
        </is>
      </c>
      <c r="D16" s="123" t="inlineStr">
        <is>
          <t>9000-5-15</t>
        </is>
      </c>
      <c r="E16" s="123" t="n"/>
      <c r="F16" s="123" t="n"/>
      <c r="G16" s="123" t="inlineStr">
        <is>
          <t>D-30</t>
        </is>
      </c>
      <c r="H16" s="124" t="inlineStr">
        <is>
          <t>시공계획서 검토 지원</t>
        </is>
      </c>
      <c r="I16" s="123" t="inlineStr">
        <is>
          <t>토목품질팀</t>
        </is>
      </c>
      <c r="J16" s="124" t="inlineStr">
        <is>
          <t>건진법 시행령 제89조 | 사전 토공 시공계획서 표준 8대 목차 검토 | 착공 14일 전 감리 서면 승인</t>
        </is>
      </c>
      <c r="K16" s="130" t="inlineStr">
        <is>
          <t>1) 사전 토공 시공계획서 작성 ➔ 2) 8대 목차 &amp; KCS 수치 명시 ➔ 3) 착공 14일 전 감리단 제출 ➔ 4) 시공계획서 감리 서면 승인</t>
        </is>
      </c>
      <c r="L16" s="130" t="n"/>
      <c r="M16" s="130" t="inlineStr">
        <is>
          <t>사전 토공 시공계획서 표준 8대 목차, KCS 수치 수록 및 착공 14일 전 감리 서면 승인</t>
        </is>
      </c>
      <c r="N16" s="130" t="inlineStr">
        <is>
          <t>건진법 시행령 제89조 | 사전 토공 시공계획서 표준 8대 목차 검토 | 착공 14일 전 감리 서면 승인</t>
        </is>
      </c>
      <c r="O16" s="155">
        <f>HYPERLINK("매뉴얼BODY(집행단계-첨부폴더)v8\2.사전토공사\15_시공계획서 검토 지원\표준서\시공계획서 검토 지원_표준서.html", "👉 [클릭] 표준서 열기 📄")</f>
        <v/>
      </c>
      <c r="P16" s="130" t="inlineStr">
        <is>
          <t>1) 사전 토공 시공계획서 작성 ➔ 2) 8대 목차 &amp; KCS 수치 명시 ➔ 3) 착공 14일 전 감리단 제출 ➔ 4) 시공계획서 감리 서면 승인</t>
        </is>
      </c>
      <c r="Q16" s="155">
        <f>HYPERLINK("매뉴얼BODY(집행단계-첨부폴더)v8\2.사전토공사\15_시공계획서 검토 지원\수행지침\시공계획서 검토 지원_수행지침.html", "👉 [클릭] 수행지침 열기 📄")</f>
        <v/>
      </c>
      <c r="R16" s="124" t="inlineStr">
        <is>
          <t>사전 토공 시공계획서 표준 8대 목차, KCS 수치 수록 및 착공 14일 전 감리 서면 승인</t>
        </is>
      </c>
      <c r="S16" s="155">
        <f>HYPERLINK("매뉴얼BODY(집행단계-첨부폴더)v8\2.사전토공사\15_시공계획서 검토 지원\체크리스트\시공계획서 검토 지원_체크리스트.html", "👉 [클릭] 체크리스트 열기 📄")</f>
        <v/>
      </c>
      <c r="T16" s="124" t="n"/>
      <c r="U16" s="124" t="inlineStr">
        <is>
          <t>● 품질경영 매뉴얼 기준</t>
        </is>
      </c>
      <c r="V16" s="123" t="inlineStr">
        <is>
          <t>1) 👉 [더블클릭] 체크리스트 열기 📄</t>
        </is>
      </c>
      <c r="W16" s="124" t="n"/>
    </row>
    <row r="17" ht="96" customHeight="1" s="148">
      <c r="A17" s="123" t="inlineStr">
        <is>
          <t>9000</t>
        </is>
      </c>
      <c r="B17" s="123" t="inlineStr">
        <is>
          <t>9000-5</t>
        </is>
      </c>
      <c r="C17" s="123" t="inlineStr">
        <is>
          <t>사전토공사</t>
        </is>
      </c>
      <c r="D17" s="123" t="inlineStr">
        <is>
          <t>9000-5-16</t>
        </is>
      </c>
      <c r="E17" s="123" t="n"/>
      <c r="F17" s="123" t="n"/>
      <c r="G17" s="123" t="inlineStr">
        <is>
          <t>D-30</t>
        </is>
      </c>
      <c r="H17" s="124" t="inlineStr">
        <is>
          <t>시공계획 수립</t>
        </is>
      </c>
      <c r="I17" s="123" t="inlineStr">
        <is>
          <t>현장 공사팀</t>
        </is>
      </c>
      <c r="J17" s="124" t="inlineStr">
        <is>
          <t>KCS 47 10 25 토공 시방 | 깎기/성토 토공 유동표 작성 및 3D BIM 도면 대조 | 책임감리원 최종 승인</t>
        </is>
      </c>
      <c r="K17" s="130" t="inlineStr">
        <is>
          <t>1) 토공 깎기/성토 유동표 작성 ➔ 2) 3D BIM 모델 표고 대조 ➔ 3) 사면 안성성 계산서 부착 ➔ 4) 토공 시공계획서 감리 최종 결재</t>
        </is>
      </c>
      <c r="L17" s="130" t="n"/>
      <c r="M17" s="130" t="inlineStr">
        <is>
          <t>토공 깎기/성토 유동표 작성, 3D BIM 모델 표고 대조 및 사면 안전성 계산서 감리 결재</t>
        </is>
      </c>
      <c r="N17" s="130" t="inlineStr">
        <is>
          <t>KCS 47 10 25 토공 시방 | 깎기/성토 토공 유동표 작성 및 3D BIM 도면 대조 | 책임감리원 최종 승인</t>
        </is>
      </c>
      <c r="O17" s="155">
        <f>HYPERLINK("매뉴얼BODY(집행단계-첨부폴더)v8\2.사전토공사\16_시공계획 수립\표준서\설계변경 (착수전)_표준서.html", "👉 [클릭] 표준서 열기 📄")</f>
        <v/>
      </c>
      <c r="P17" s="130" t="inlineStr">
        <is>
          <t>1) 토공 깎기/성토 유동표 작성 ➔ 2) 3D BIM 모델 표고 대조 ➔ 3) 사면 안성성 계산서 부착 ➔ 4) 토공 시공계획서 감리 최종 결재</t>
        </is>
      </c>
      <c r="Q17" s="155">
        <f>HYPERLINK("매뉴얼BODY(집행단계-첨부폴더)v8\2.사전토공사\16_시공계획 수립\수행지침\설계변경 (착수전)_수행지침.html", "👉 [클릭] 수행지침 열기 📄")</f>
        <v/>
      </c>
      <c r="R17" s="124" t="inlineStr">
        <is>
          <t>토공 깎기/성토 유동표 작성, 3D BIM 모델 표고 대조 및 사면 안전성 계산서 감리 결재</t>
        </is>
      </c>
      <c r="S17" s="155">
        <f>HYPERLINK("매뉴얼BODY(집행단계-첨부폴더)v8\2.사전토공사\16_시공계획 수립\체크리스트\설계변경 (착수전)_체크리스트.html", "👉 [클릭] 체크리스트 열기 📄")</f>
        <v/>
      </c>
      <c r="T17" s="124" t="n"/>
      <c r="U17" s="124" t="inlineStr">
        <is>
          <t>● 토공사 표준시방서 준수</t>
        </is>
      </c>
      <c r="V17" s="123" t="inlineStr">
        <is>
          <t>1) 👉 [더블클릭] 체크리스트 열기 📄</t>
        </is>
      </c>
      <c r="W17" s="124" t="n"/>
    </row>
    <row r="18" ht="96" customHeight="1" s="148">
      <c r="A18" s="123" t="inlineStr">
        <is>
          <t>9000</t>
        </is>
      </c>
      <c r="B18" s="123" t="inlineStr">
        <is>
          <t>9000-5</t>
        </is>
      </c>
      <c r="C18" s="123" t="inlineStr">
        <is>
          <t>사전토공사</t>
        </is>
      </c>
      <c r="D18" s="123" t="inlineStr">
        <is>
          <t>9000-5-17</t>
        </is>
      </c>
      <c r="E18" s="123" t="n"/>
      <c r="F18" s="123" t="n"/>
      <c r="G18" s="123" t="inlineStr">
        <is>
          <t>D-30</t>
        </is>
      </c>
      <c r="H18" s="124" t="inlineStr">
        <is>
          <t>후행공종 요구조건 반영 설계변경 검토</t>
        </is>
      </c>
      <c r="I18" s="123" t="inlineStr">
        <is>
          <t>현장 공무팀/공사팀</t>
        </is>
      </c>
      <c r="J18" s="124" t="inlineStr">
        <is>
          <t>건진법 설계변경 수칙 | 궤도/구조물 후행 공종 요구 표고 오차(±10mm) 반영 | 설계변경 실정보고서 작성</t>
        </is>
      </c>
      <c r="K18" s="130" t="inlineStr">
        <is>
          <t>1) 궤도/구조물 후행 요구 조건 수집 ➔ 2) 마무리면 표고 오차(±10mm) 반영 ➔ 3) 설계변경 실정보고서 작성 ➔ 4) 책임감리원 기술 승인</t>
        </is>
      </c>
      <c r="L18" s="130" t="n"/>
      <c r="M18" s="130" t="inlineStr">
        <is>
          <t>궤도/구조물 후행 요구 조건 반영, 마무리면 표고 오차(±10mm) 반영 및 설계변경 실정보고</t>
        </is>
      </c>
      <c r="N18" s="130" t="inlineStr">
        <is>
          <t>건진법 설계변경 수칙 | 궤도/구조물 후행 공종 요구 표고 오차(±10mm) 반영 | 설계변경 실정보고서 작성</t>
        </is>
      </c>
      <c r="O18" s="155">
        <f>HYPERLINK("매뉴얼BODY(집행단계-첨부폴더)v8\2.사전토공사\17_후행공종 요구조건 반영 설계변경 검토\표준서\후행공종 요구조건 반영 설계변경 검토_표준서.html", "👉 [클릭] 표준서 열기 📄")</f>
        <v/>
      </c>
      <c r="P18" s="130" t="inlineStr">
        <is>
          <t>1) 궤도/구조물 후행 요구 조건 수집 ➔ 2) 마무리면 표고 오차(±10mm) 반영 ➔ 3) 설계변경 실정보고서 작성 ➔ 4) 책임감리원 기술 승인</t>
        </is>
      </c>
      <c r="Q18" s="155">
        <f>HYPERLINK("매뉴얼BODY(집행단계-첨부폴더)v8\2.사전토공사\17_후행공종 요구조건 반영 설계변경 검토\수행지침\후행공종 요구조건 반영 설계변경 검토_수행지침.html", "👉 [클릭] 수행지침 열기 📄")</f>
        <v/>
      </c>
      <c r="R18" s="124" t="inlineStr">
        <is>
          <t>궤도/구조물 후행 요구 조건 반영, 마무리면 표고 오차(±10mm) 반영 및 설계변경 실정보고</t>
        </is>
      </c>
      <c r="S18" s="155">
        <f>HYPERLINK("매뉴얼BODY(집행단계-첨부폴더)v8\2.사전토공사\17_후행공종 요구조건 반영 설계변경 검토\체크리스트\후행공종 요구조건 반영 설계변경 검토_체크리스트.html", "👉 [클릭] 체크리스트 열기 📄")</f>
        <v/>
      </c>
      <c r="T18" s="124" t="n"/>
      <c r="U18" s="124" t="inlineStr">
        <is>
          <t>● 인터페이스 조건 만족</t>
        </is>
      </c>
      <c r="V18" s="123" t="inlineStr">
        <is>
          <t>1) 👉 [더블클릭] 체크리스트 열기 📄</t>
        </is>
      </c>
      <c r="W18" s="124" t="n"/>
    </row>
    <row r="19" ht="96" customHeight="1" s="148">
      <c r="A19" s="123" t="inlineStr">
        <is>
          <t>9000</t>
        </is>
      </c>
      <c r="B19" s="123" t="inlineStr">
        <is>
          <t>9000-5</t>
        </is>
      </c>
      <c r="C19" s="123" t="inlineStr">
        <is>
          <t>사전토공사</t>
        </is>
      </c>
      <c r="D19" s="123" t="inlineStr">
        <is>
          <t>9000-5-18</t>
        </is>
      </c>
      <c r="E19" s="123" t="n"/>
      <c r="F19" s="123" t="n"/>
      <c r="G19" s="123" t="inlineStr">
        <is>
          <t>D-30</t>
        </is>
      </c>
      <c r="H19" s="124" t="inlineStr">
        <is>
          <t>설계변경 (착수전)</t>
        </is>
      </c>
      <c r="I19" s="123" t="inlineStr">
        <is>
          <t>현장 공무팀/공사팀</t>
        </is>
      </c>
      <c r="J19" s="124" t="inlineStr">
        <is>
          <t>지방계약법 정산 수칙 | 착수 전 토종 변경 및 수량 증감 실정보고 작성 | 총사업비 변경 승인 수속</t>
        </is>
      </c>
      <c r="K19" s="130" t="inlineStr">
        <is>
          <t>1) 토질 변경 &amp; 수량 증감 실정보고 작성 ➔ 2) 단가 비교표 작성 ➔ 3) 설계변경 도서 제출 ➔ 4) 총사업비 변경 승인 결재</t>
        </is>
      </c>
      <c r="L19" s="130" t="n"/>
      <c r="M19" s="130" t="inlineStr">
        <is>
          <t>토질 변경 &amp; 수량 증감 실정보고서 작성, 단가 비교표 작성 및 총사업비 변경 승인 결재</t>
        </is>
      </c>
      <c r="N19" s="130" t="inlineStr">
        <is>
          <t>지방계약법 정산 수칙 | 착수 전 토종 변경 및 수량 증감 실정보고 작성 | 총사업비 변경 승인 수속</t>
        </is>
      </c>
      <c r="O19" s="155">
        <f>HYPERLINK("매뉴얼BODY(집행단계-첨부폴더)v8\2.사전토공사\18_설계변경 (착수전)\표준서\설계변경 (착수전)_표준서.html", "👉 [클릭] 표준서 열기 📄")</f>
        <v/>
      </c>
      <c r="P19" s="130" t="inlineStr">
        <is>
          <t>1) 토질 변경 &amp; 수량 증감 실정보고 작성 ➔ 2) 단가 비교표 작성 ➔ 3) 설계변경 도서 제출 ➔ 4) 총사업비 변경 승인 결재</t>
        </is>
      </c>
      <c r="Q19" s="155">
        <f>HYPERLINK("매뉴얼BODY(집행단계-첨부폴더)v8\2.사전토공사\18_설계변경 (착수전)\수행지침\설계변경 (착수전)_수행지침.html", "👉 [클릭] 수행지침 열기 📄")</f>
        <v/>
      </c>
      <c r="R19" s="124" t="inlineStr">
        <is>
          <t>토질 변경 &amp; 수량 증감 실정보고서 작성, 단가 비교표 작성 및 총사업비 변경 승인 결재</t>
        </is>
      </c>
      <c r="S19" s="155">
        <f>HYPERLINK("매뉴얼BODY(집행단계-첨부폴더)v8\2.사전토공사\18_설계변경 (착수전)\체크리스트\설계변경 (착수전)_체크리스트.html", "👉 [클릭] 체크리스트 열기 📄")</f>
        <v/>
      </c>
      <c r="T19" s="124" t="n"/>
      <c r="U19" s="124" t="inlineStr">
        <is>
          <t>● 설계변경 절차 규정 준수</t>
        </is>
      </c>
      <c r="V19" s="123" t="inlineStr">
        <is>
          <t>1) 👉 [더블클릭] 체크리스트 열기 📄</t>
        </is>
      </c>
      <c r="W19" s="124" t="n"/>
    </row>
    <row r="20" ht="96" customHeight="1" s="148">
      <c r="A20" s="123" t="inlineStr">
        <is>
          <t>9000</t>
        </is>
      </c>
      <c r="B20" s="123" t="inlineStr">
        <is>
          <t>9000-5</t>
        </is>
      </c>
      <c r="C20" s="123" t="inlineStr">
        <is>
          <t>사전토공사</t>
        </is>
      </c>
      <c r="D20" s="123" t="inlineStr">
        <is>
          <t>9000-5-19</t>
        </is>
      </c>
      <c r="E20" s="123" t="n"/>
      <c r="F20" s="123" t="n"/>
      <c r="G20" s="123" t="inlineStr">
        <is>
          <t>D-30</t>
        </is>
      </c>
      <c r="H20" s="124" t="inlineStr">
        <is>
          <t>설계변경 지원</t>
        </is>
      </c>
      <c r="I20" s="123" t="inlineStr">
        <is>
          <t>토목수행팀</t>
        </is>
      </c>
      <c r="J20" s="124" t="inlineStr">
        <is>
          <t>건진법 설계변경 규정 | 수량 산출서 및 단가 비교표 작성 | 책임감리원 기술 검토 의견서 첨부</t>
        </is>
      </c>
      <c r="K20" s="130" t="inlineStr">
        <is>
          <t>1) 변경 수량 산출서 정밀 집계 ➔ 2) 신규 단가 산정 서류 부착 ➔ 3) 감리단 기술 검토 수속 ➔ 4) 설계변경 제출 서면 결재</t>
        </is>
      </c>
      <c r="L20" s="130" t="n"/>
      <c r="M20" s="130" t="inlineStr">
        <is>
          <t>변경 수량 산출서 정밀 집계, 신규 단가 산정 서류 첨부 및 책임감리원 기술 검토 수속</t>
        </is>
      </c>
      <c r="N20" s="130" t="inlineStr">
        <is>
          <t>건진법 설계변경 규정 | 수량 산출서 및 단가 비교표 작성 | 책임감리원 기술 검토 의견서 첨부</t>
        </is>
      </c>
      <c r="O20" s="155">
        <f>HYPERLINK("매뉴얼BODY(집행단계-첨부폴더)v8\2.사전토공사\18_설계변경_착수전\표준서\후행공종 요구조건 반영 설계변경 검토_표준서.html", "👉 [클릭] 표준서 열기 📄")</f>
        <v/>
      </c>
      <c r="P20" s="130" t="inlineStr">
        <is>
          <t>1) 변경 수량 산출서 정밀 집계 ➔ 2) 신규 단가 산정 서류 부착 ➔ 3) 감리단 기술 검토 수속 ➔ 4) 설계변경 제출 서면 결재</t>
        </is>
      </c>
      <c r="Q20" s="155">
        <f>HYPERLINK("매뉴얼BODY(집행단계-첨부폴더)v8\2.사전토공사\18_설계변경_착수전\수행지침\후행공종 요구조건 반영 설계변경 검토_수행지침.html", "👉 [클릭] 수행지침 열기 📄")</f>
        <v/>
      </c>
      <c r="R20" s="124" t="inlineStr">
        <is>
          <t>변경 수량 산출서 정밀 집계, 신규 단가 산정 서류 첨부 및 책임감리원 기술 검토 수속</t>
        </is>
      </c>
      <c r="S20" s="155">
        <f>HYPERLINK("매뉴얼BODY(집행단계-첨부폴더)v8\2.사전토공사\18_설계변경_착수전\체크리스트\후행공종 요구조건 반영 설계변경 검토_체크리스트.html", "👉 [클릭] 체크리스트 열기 📄")</f>
        <v/>
      </c>
      <c r="T20" s="124" t="n"/>
      <c r="U20" s="124" t="inlineStr">
        <is>
          <t>● 기술 검증 규격 확인</t>
        </is>
      </c>
      <c r="V20" s="123" t="inlineStr">
        <is>
          <t>1) 👉 [더블클릭] 체크리스트 열기 📄</t>
        </is>
      </c>
      <c r="W20" s="124" t="n"/>
    </row>
    <row r="21" ht="96" customHeight="1" s="148">
      <c r="A21" s="123" t="inlineStr">
        <is>
          <t>9000</t>
        </is>
      </c>
      <c r="B21" s="123" t="inlineStr">
        <is>
          <t>9000-5</t>
        </is>
      </c>
      <c r="C21" s="123" t="inlineStr">
        <is>
          <t>사전토공사</t>
        </is>
      </c>
      <c r="D21" s="123" t="inlineStr">
        <is>
          <t>9000-5-20</t>
        </is>
      </c>
      <c r="E21" s="123" t="n"/>
      <c r="F21" s="123" t="n"/>
      <c r="G21" s="123" t="inlineStr">
        <is>
          <t>D-20</t>
        </is>
      </c>
      <c r="H21" s="124" t="inlineStr">
        <is>
          <t>교통관리 및 교통안전시설 설치</t>
        </is>
      </c>
      <c r="I21" s="123" t="inlineStr">
        <is>
          <t>현장 공사팀</t>
        </is>
      </c>
      <c r="J21" s="124" t="inlineStr">
        <is>
          <t>도로교통법 안전 수칙 | 게이트 바리케이트, 야간 LED 경광등 부설 | 전담 안전 신호수(2인 2조) 100% 배치</t>
        </is>
      </c>
      <c r="K21" s="130" t="inlineStr">
        <is>
          <t>1) 게이트 바리케이트 &amp; 경광등 부설 ➔ 2) 우회 차선 표지판 설치 ➔ 3) 전담 신호수(2인 2조) 배치 ➔ 4) 교통 안전 점검 대장 결재</t>
        </is>
      </c>
      <c r="L21" s="130" t="n"/>
      <c r="M21" s="130" t="inlineStr">
        <is>
          <t>게이트 바리케이트/LED 경광등 설치, 우회 차선 표지판 검측 및 전담 신호수(2인 2조) 배치</t>
        </is>
      </c>
      <c r="N21" s="130" t="inlineStr">
        <is>
          <t>도로교통법 안전 수칙 | 게이트 바리케이트, 야간 LED 경광등 부설 | 전담 안전 신호수(2인 2조) 100% 배치</t>
        </is>
      </c>
      <c r="O21" s="155">
        <f>HYPERLINK("매뉴얼BODY(집행단계-첨부폴더)v8\2.사전토공사\19_설계변경 지원\표준서\설계변경 지원_표준서.html", "👉 [클릭] 표준서 열기 📄")</f>
        <v/>
      </c>
      <c r="P21" s="130" t="inlineStr">
        <is>
          <t>1) 게이트 바리케이트 &amp; 경광등 부설 ➔ 2) 우회 차선 표지판 설치 ➔ 3) 전담 신호수(2인 2조) 배치 ➔ 4) 교통 안전 점검 대장 결재</t>
        </is>
      </c>
      <c r="Q21" s="155">
        <f>HYPERLINK("매뉴얼BODY(집행단계-첨부폴더)v8\2.사전토공사\19_설계변경 지원\수행지침\설계변경 지원_수행지침.html", "👉 [클릭] 수행지침 열기 📄")</f>
        <v/>
      </c>
      <c r="R21" s="124" t="inlineStr">
        <is>
          <t>게이트 바리케이트/LED 경광등 설치, 우회 차선 표지판 검측 및 전담 신호수(2인 2조) 배치</t>
        </is>
      </c>
      <c r="S21" s="155">
        <f>HYPERLINK("매뉴얼BODY(집행단계-첨부폴더)v8\2.사전토공사\19_설계변경 지원\체크리스트\설계변경 지원_체크리스트.html", "👉 [클릭] 체크리스트 열기 📄")</f>
        <v/>
      </c>
      <c r="T21" s="124" t="n"/>
      <c r="U21" s="124" t="inlineStr">
        <is>
          <t>● 경찰청 협의사항 및 교통안전시설 설치기준 준수</t>
        </is>
      </c>
      <c r="V21" s="123" t="inlineStr">
        <is>
          <t>1) 👉 [더블클릭] 체크리스트 열기 📄</t>
        </is>
      </c>
      <c r="W21" s="124" t="n"/>
    </row>
    <row r="22" ht="96" customHeight="1" s="148">
      <c r="A22" s="123" t="inlineStr">
        <is>
          <t>9000</t>
        </is>
      </c>
      <c r="B22" s="123" t="inlineStr">
        <is>
          <t>9000-5</t>
        </is>
      </c>
      <c r="C22" s="123" t="inlineStr">
        <is>
          <t>사전토공사</t>
        </is>
      </c>
      <c r="D22" s="123" t="inlineStr">
        <is>
          <t>9000-5-21</t>
        </is>
      </c>
      <c r="E22" s="123" t="n"/>
      <c r="F22" s="123" t="n"/>
      <c r="G22" s="123" t="inlineStr">
        <is>
          <t>D-10</t>
        </is>
      </c>
      <c r="H22" s="124" t="inlineStr">
        <is>
          <t>장비 검수 지원</t>
        </is>
      </c>
      <c r="I22" s="123" t="inlineStr">
        <is>
          <t>기술안전팀</t>
        </is>
      </c>
      <c r="J22" s="124" t="inlineStr">
        <is>
          <t>건설기계관리법 제13조 | 자중 10t+ 굴착기, 덤프 정기검사증 검수 | 후방 센서 점검 및 반입 허가</t>
        </is>
      </c>
      <c r="K22" s="130" t="inlineStr">
        <is>
          <t>1) 10t+ 굴착기/덤프 사양 검수 ➔ 2) 건설기계 정기검사증 점검 ➔ 3) 후방 카메라/경보음 시동 점검 ➔ 4) 장비 반입 승인서 감리 결재</t>
        </is>
      </c>
      <c r="L22" s="130" t="n"/>
      <c r="M22" s="130" t="inlineStr">
        <is>
          <t>자중 10t+ 굴착기/덤프 정기검사증, 후방 카메라/경보음 시동 점검 및 반입 허가 결재</t>
        </is>
      </c>
      <c r="N22" s="130" t="inlineStr">
        <is>
          <t>건설기계관리법 제13조 | 자중 10t+ 굴착기, 덤프 정기검사증 검수 | 후방 센서 점검 및 반입 허가</t>
        </is>
      </c>
      <c r="O22" s="155">
        <f>HYPERLINK("매뉴얼BODY(집행단계-첨부폴더)v8\2.사전토공사\20_교통관리 및 교통안전시설 설치\표준서\교통관리 및 교통안전시설 설치_표준서.html", "👉 [클릭] 표준서 열기 📄")</f>
        <v/>
      </c>
      <c r="P22" s="130" t="inlineStr">
        <is>
          <t>1) 10t+ 굴착기/덤프 사양 검수 ➔ 2) 건설기계 정기검사증 점검 ➔ 3) 후방 카메라/경보음 시동 점검 ➔ 4) 장비 반입 승인서 감리 결재</t>
        </is>
      </c>
      <c r="Q22" s="155">
        <f>HYPERLINK("매뉴얼BODY(집행단계-첨부폴더)v8\2.사전토공사\20_교통관리 및 교통안전시설 설치\수행지침\교통관리 및 교통안전시설 설치_수행지침.html", "👉 [클릭] 수행지침 열기 📄")</f>
        <v/>
      </c>
      <c r="R22" s="124" t="inlineStr">
        <is>
          <t>자중 10t+ 굴착기/덤프 정기검사증, 후방 카메라/경보음 시동 점검 및 반입 허가 결재</t>
        </is>
      </c>
      <c r="S22" s="155">
        <f>HYPERLINK("매뉴얼BODY(집행단계-첨부폴더)v8\2.사전토공사\20_교통관리 및 교통안전시설 설치\체크리스트\교통관리 및 교통안전시설 설치_체크리스트.html", "👉 [클릭] 체크리스트 열기 📄")</f>
        <v/>
      </c>
      <c r="T22" s="124" t="n"/>
      <c r="U22" s="124" t="inlineStr">
        <is>
          <t>● 산업안전보건법 및 건설기계관리법 준수</t>
        </is>
      </c>
      <c r="V22" s="123" t="inlineStr">
        <is>
          <t>1) 👉 [더블클릭] 체크리스트 열기 📄</t>
        </is>
      </c>
      <c r="W22" s="124" t="n"/>
    </row>
    <row r="23" ht="96" customHeight="1" s="148">
      <c r="A23" s="123" t="inlineStr">
        <is>
          <t>9000</t>
        </is>
      </c>
      <c r="B23" s="123" t="inlineStr">
        <is>
          <t>9000-5</t>
        </is>
      </c>
      <c r="C23" s="123" t="inlineStr">
        <is>
          <t>사전토공사</t>
        </is>
      </c>
      <c r="D23" s="123" t="inlineStr">
        <is>
          <t>9000-5-22</t>
        </is>
      </c>
      <c r="E23" s="123" t="n"/>
      <c r="F23" s="123" t="n"/>
      <c r="G23" s="123" t="inlineStr">
        <is>
          <t>D+10~30</t>
        </is>
      </c>
      <c r="H23" s="124" t="inlineStr">
        <is>
          <t>벌목/벌근제거</t>
        </is>
      </c>
      <c r="I23" s="123" t="inlineStr">
        <is>
          <t>현장 공사팀</t>
        </is>
      </c>
      <c r="J23" s="124" t="inlineStr">
        <is>
          <t>KCS 47 10 25 산림 벌목 시방 | 수목 벌목 및 뿌리 제거(벌근) 깊이 30cm 이상 | 임목 폐기물 수속 처리</t>
        </is>
      </c>
      <c r="K23" s="130" t="inlineStr">
        <is>
          <t>1) 현장 지반 수목 벌목 시행 ➔ 2) 뿌리 제거(벌근) 깊이 30cm 굴착 ➔ 3) 임목 폐기물 수속 처리 ➔ 4) 벌목 벌근 성과표 감리 승인</t>
        </is>
      </c>
      <c r="L23" s="130" t="n"/>
      <c r="M23" s="130" t="inlineStr">
        <is>
          <t>현장 수목 벌목 시행, 뿌리 제거(벌근) 깊이 30cm 이상 굴착 및 임목 폐기물 수속 처리</t>
        </is>
      </c>
      <c r="N23" s="130" t="inlineStr">
        <is>
          <t>KCS 47 10 25 산림 벌목 시방 | 수목 벌목 및 뿌리 제거(벌근) 깊이 30cm 이상 | 임목 폐기물 수속 처리</t>
        </is>
      </c>
      <c r="O23" s="155">
        <f>HYPERLINK("매뉴얼BODY(집행단계-첨부폴더)v8\2.사전토공사\21_장비 검수 지원\표준서\장비 검수 지원_표준서.html", "👉 [클릭] 표준서 열기 📄")</f>
        <v/>
      </c>
      <c r="P23" s="130" t="inlineStr">
        <is>
          <t>1) 현장 지반 수목 벌목 시행 ➔ 2) 뿌리 제거(벌근) 깊이 30cm 굴착 ➔ 3) 임목 폐기물 수속 처리 ➔ 4) 벌목 벌근 성과표 감리 승인</t>
        </is>
      </c>
      <c r="Q23" s="155">
        <f>HYPERLINK("매뉴얼BODY(집행단계-첨부폴더)v8\2.사전토공사\21_장비 검수 지원\수행지침\장비 검수 지원_수행지침.html", "👉 [클릭] 수행지침 열기 📄")</f>
        <v/>
      </c>
      <c r="R23" s="124" t="inlineStr">
        <is>
          <t>현장 수목 벌목 시행, 뿌리 제거(벌근) 깊이 30cm 이상 굴착 및 임목 폐기물 수속 처리</t>
        </is>
      </c>
      <c r="S23" s="155">
        <f>HYPERLINK("매뉴얼BODY(집행단계-첨부폴더)v8\2.사전토공사\21_장비 검수 지원\체크리스트\장비 검수 지원_체크리스트.html", "👉 [클릭] 체크리스트 열기 📄")</f>
        <v/>
      </c>
      <c r="T23" s="124" t="n"/>
      <c r="U23" s="124" t="inlineStr">
        <is>
          <t>● 산림자원법 및 환경 기준 준수</t>
        </is>
      </c>
      <c r="V23" s="123" t="inlineStr">
        <is>
          <t>1) 👉 [더블클릭] 체크리스트 열기 📄</t>
        </is>
      </c>
      <c r="W23" s="124" t="n"/>
    </row>
    <row r="24" ht="96" customHeight="1" s="148">
      <c r="A24" s="123" t="inlineStr">
        <is>
          <t>9000</t>
        </is>
      </c>
      <c r="B24" s="123" t="inlineStr">
        <is>
          <t>9000-5</t>
        </is>
      </c>
      <c r="C24" s="123" t="inlineStr">
        <is>
          <t>사전토공사</t>
        </is>
      </c>
      <c r="D24" s="123" t="inlineStr">
        <is>
          <t>9000-5-23</t>
        </is>
      </c>
      <c r="E24" s="123" t="n"/>
      <c r="F24" s="123" t="n"/>
      <c r="G24" s="123" t="inlineStr">
        <is>
          <t>D+10~25</t>
        </is>
      </c>
      <c r="H24" s="124" t="inlineStr">
        <is>
          <t>기존구조물 / 지장물 처리</t>
        </is>
      </c>
      <c r="I24" s="123" t="inlineStr">
        <is>
          <t>현장 공사팀 / 공무팀</t>
        </is>
      </c>
      <c r="J24" s="124" t="inlineStr">
        <is>
          <t>폐기물관리법 준수 | 기존 아스콘/콘크리트 구조물 안전 삭평 철거 | 건설 폐기물 성적표 수속</t>
        </is>
      </c>
      <c r="K24" s="130" t="inlineStr">
        <is>
          <t>1) 기존 아스콘/콘크리트 삭평 철거 ➔ 2) 폐기물 분리 수거 &amp; 적재 ➔ 3) 건설 폐기물 위탁 처리 ➔ 4) 지장물 처리 성과표 감리 승인</t>
        </is>
      </c>
      <c r="L24" s="130" t="n"/>
      <c r="M24" s="130" t="inlineStr">
        <is>
          <t>기존 아스콘/콘크리트 삭평 철거, 건설 폐기물 분리 수거 적재 및 폐기물 성적서 수속</t>
        </is>
      </c>
      <c r="N24" s="130" t="inlineStr">
        <is>
          <t>폐기물관리법 준수 | 기존 아스콘/콘크리트 구조물 안전 삭평 철거 | 건설 폐기물 성적표 수속</t>
        </is>
      </c>
      <c r="O24" s="155">
        <f>HYPERLINK("매뉴얼BODY(집행단계-첨부폴더)v8\2.사전토공사\22_벌목_벌근제거\표준서\벌목_벌근제거_표준서.html", "👉 [클릭] 표준서 열기 📄")</f>
        <v/>
      </c>
      <c r="P24" s="130" t="inlineStr">
        <is>
          <t>1) 기존 아스콘/콘크리트 삭평 철거 ➔ 2) 폐기물 분리 수거 &amp; 적재 ➔ 3) 건설 폐기물 위탁 처리 ➔ 4) 지장물 처리 성과표 감리 승인</t>
        </is>
      </c>
      <c r="Q24" s="155">
        <f>HYPERLINK("매뉴얼BODY(집행단계-첨부폴더)v8\2.사전토공사\22_벌목_벌근제거\수행지침\벌목_벌근제거_수행지침.html", "👉 [클릭] 수행지침 열기 📄")</f>
        <v/>
      </c>
      <c r="R24" s="124" t="inlineStr">
        <is>
          <t>기존 아스콘/콘크리트 삭평 철거, 건설 폐기물 분리 수거 적재 및 폐기물 성적서 수속</t>
        </is>
      </c>
      <c r="S24" s="155">
        <f>HYPERLINK("매뉴얼BODY(집행단계-첨부폴더)v8\2.사전토공사\22_벌목_벌근제거\체크리스트\벌목_벌근제거_체크리스트.html", "👉 [클릭] 체크리스트 열기 📄")</f>
        <v/>
      </c>
      <c r="T24" s="124" t="n"/>
      <c r="U24" s="124" t="inlineStr">
        <is>
          <t>● 지장물 이설 및 철거 규정 준수</t>
        </is>
      </c>
      <c r="V24" s="123" t="inlineStr">
        <is>
          <t>1) 👉 [더블클릭] 체크리스트 열기 📄</t>
        </is>
      </c>
      <c r="W24" s="124" t="n"/>
    </row>
    <row r="25" ht="96" customHeight="1" s="148">
      <c r="A25" s="123" t="inlineStr">
        <is>
          <t>9000</t>
        </is>
      </c>
      <c r="B25" s="123" t="inlineStr">
        <is>
          <t>9000-5</t>
        </is>
      </c>
      <c r="C25" s="123" t="inlineStr">
        <is>
          <t>사전토공사</t>
        </is>
      </c>
      <c r="D25" s="123" t="inlineStr">
        <is>
          <t>9000-5-24</t>
        </is>
      </c>
      <c r="E25" s="123" t="n"/>
      <c r="F25" s="123" t="n"/>
      <c r="G25" s="123" t="inlineStr">
        <is>
          <t>D+10~30</t>
        </is>
      </c>
      <c r="H25" s="124" t="inlineStr">
        <is>
          <t>진입로 조성</t>
        </is>
      </c>
      <c r="I25" s="123" t="inlineStr">
        <is>
          <t>현장 공사팀</t>
        </is>
      </c>
      <c r="J25" s="124" t="inlineStr">
        <is>
          <t>KCS 47 10 25 가설 도로 | 덤프트럭 진입 가설 도로 폭 6m 포설 | 쇄석 골재(두께 20cm) 부설 &amp; 살수</t>
        </is>
      </c>
      <c r="K25" s="130" t="inlineStr">
        <is>
          <t>1) 가설 도로 폭 6m 성토 굴착 ➔ 2) 쇄석 골재(두께 20cm) 부설 ➔ 3) 10t 롤러 다짐 &amp; 살수 ➔ 4) 진입로 조성 성과표 감리 승인</t>
        </is>
      </c>
      <c r="L25" s="130" t="n"/>
      <c r="M25" s="130" t="inlineStr">
        <is>
          <t>가설 도로 폭 6m 성토 굴착, 쇄석 골재(두께 20cm) 부설, 10t 롤러 다짐 및 살수 점검</t>
        </is>
      </c>
      <c r="N25" s="130" t="inlineStr">
        <is>
          <t>KCS 47 10 25 가설 도로 | 덤프트럭 진입 가설 도로 폭 6m 포설 | 쇄석 골재(두께 20cm) 부설 &amp; 살수</t>
        </is>
      </c>
      <c r="O25" s="155">
        <f>HYPERLINK("매뉴얼BODY(집행단계-첨부폴더)v8\2.사전토공사\23_기존구조물 _ 지장물 처리\표준서\기존구조물 _ 지장물 처리_표준서.html", "👉 [클릭] 표준서 열기 📄")</f>
        <v/>
      </c>
      <c r="P25" s="130" t="inlineStr">
        <is>
          <t>1) 가설 도로 폭 6m 성토 굴착 ➔ 2) 쇄석 골재(두께 20cm) 부설 ➔ 3) 10t 롤러 다짐 &amp; 살수 ➔ 4) 진입로 조성 성과표 감리 승인</t>
        </is>
      </c>
      <c r="Q25" s="155">
        <f>HYPERLINK("매뉴얼BODY(집행단계-첨부폴더)v8\2.사전토공사\23_기존구조물 _ 지장물 처리\수행지침\기존구조물 _ 지장물 처리_수행지침.html", "👉 [클릭] 수행지침 열기 📄")</f>
        <v/>
      </c>
      <c r="R25" s="124" t="inlineStr">
        <is>
          <t>가설 도로 폭 6m 성토 굴착, 쇄석 골재(두께 20cm) 부설, 10t 롤러 다짐 및 살수 점검</t>
        </is>
      </c>
      <c r="S25" s="155">
        <f>HYPERLINK("매뉴얼BODY(집행단계-첨부폴더)v8\2.사전토공사\23_기존구조물 _ 지장물 처리\체크리스트\기존구조물 _ 지장물 처리_체크리스트.html", "👉 [클릭] 체크리스트 열기 📄")</f>
        <v/>
      </c>
      <c r="T25" s="124" t="n"/>
      <c r="U25" s="124" t="inlineStr">
        <is>
          <t>● 진입로 종단구배 및 가로 폭 규격 만족</t>
        </is>
      </c>
      <c r="V25" s="123" t="inlineStr">
        <is>
          <t>1) 👉 [더블클릭] 체크리스트 열기 📄</t>
        </is>
      </c>
      <c r="W25" s="124" t="n"/>
    </row>
    <row r="26" ht="96" customHeight="1" s="148">
      <c r="A26" s="123" t="inlineStr">
        <is>
          <t>9000</t>
        </is>
      </c>
      <c r="B26" s="123" t="inlineStr">
        <is>
          <t>9000-5</t>
        </is>
      </c>
      <c r="C26" s="123" t="inlineStr">
        <is>
          <t>사전토공사</t>
        </is>
      </c>
      <c r="D26" s="123" t="inlineStr">
        <is>
          <t>9000-5-25</t>
        </is>
      </c>
      <c r="E26" s="123" t="n"/>
      <c r="F26" s="123" t="n"/>
      <c r="G26" s="123" t="inlineStr">
        <is>
          <t>D+10~30</t>
        </is>
      </c>
      <c r="H26" s="124" t="inlineStr">
        <is>
          <t>배수/환경시설 설치</t>
        </is>
      </c>
      <c r="I26" s="123" t="inlineStr">
        <is>
          <t>현장 공사팀</t>
        </is>
      </c>
      <c r="J26" s="124" t="inlineStr">
        <is>
          <t>KCS 47 10 25 배수 시방 | 가배수로(0.6×0.6m) &amp; 가침사지 설치 | 세륜기(깊이 1.2m) 가동 및 배수 검측</t>
        </is>
      </c>
      <c r="K26" s="130" t="inlineStr">
        <is>
          <t>1) 가배수로(0.6×0.6m) &amp; 가침사지 터파기 ➔ 2) 세륜기(깊이 1.2m) 부설 ➔ 3) 양수 펌프 비치 ➔ 4) 배수 환경 시설 감리 서면 승인</t>
        </is>
      </c>
      <c r="L26" s="130" t="n"/>
      <c r="M26" s="130" t="inlineStr">
        <is>
          <t>가배수로(0.6×0.6m) &amp; 가침사지 설치, 세륜기(깊이 1.2m) 가동 및 수중 양수 펌프 비치</t>
        </is>
      </c>
      <c r="N26" s="130" t="inlineStr">
        <is>
          <t>KCS 47 10 25 배수 시방 | 가배수로(0.6×0.6m) &amp; 가침사지 설치 | 세륜기(깊이 1.2m) 가동 및 배수 검측</t>
        </is>
      </c>
      <c r="O26" s="155">
        <f>HYPERLINK("매뉴얼BODY(집행단계-첨부폴더)v8\2.사전토공사\23_기존구조물_지장물 처리\표준서\기존구조물 _ 지장물 처리_표준서.html", "👉 [클릭] 표준서 열기 📄")</f>
        <v/>
      </c>
      <c r="P26" s="130" t="inlineStr">
        <is>
          <t>1) 가배수로(0.6×0.6m) &amp; 가침사지 터파기 ➔ 2) 세륜기(깊이 1.2m) 부설 ➔ 3) 양수 펌프 비치 ➔ 4) 배수 환경 시설 감리 서면 승인</t>
        </is>
      </c>
      <c r="Q26" s="155">
        <f>HYPERLINK("매뉴얼BODY(집행단계-첨부폴더)v8\2.사전토공사\23_기존구조물_지장물 처리\수행지침\기존구조물 _ 지장물 처리_수행지침.html", "👉 [클릭] 수행지침 열기 📄")</f>
        <v/>
      </c>
      <c r="R26" s="124" t="inlineStr">
        <is>
          <t>가배수로(0.6×0.6m) &amp; 가침사지 설치, 세륜기(깊이 1.2m) 가동 및 수중 양수 펌프 비치</t>
        </is>
      </c>
      <c r="S26" s="155">
        <f>HYPERLINK("매뉴얼BODY(집행단계-첨부폴더)v8\2.사전토공사\23_기존구조물_지장물 처리\체크리스트\기존구조물 _ 지장물 처리_체크리스트.html", "👉 [클릭] 체크리스트 열기 📄")</f>
        <v/>
      </c>
      <c r="T26" s="124" t="n"/>
      <c r="U26" s="124" t="inlineStr">
        <is>
          <t>● 환경보존법 및 비산먼지/침사지 규정 준수</t>
        </is>
      </c>
      <c r="V26" s="123" t="inlineStr">
        <is>
          <t>1) 👉 [더블클릭] 체크리스트 열기 📄</t>
        </is>
      </c>
      <c r="W26" s="124" t="n"/>
    </row>
    <row r="27" ht="96" customHeight="1" s="148">
      <c r="A27" s="123" t="inlineStr">
        <is>
          <t>9000</t>
        </is>
      </c>
      <c r="B27" s="123" t="inlineStr">
        <is>
          <t>9000-5</t>
        </is>
      </c>
      <c r="C27" s="123" t="inlineStr">
        <is>
          <t>사전토공사</t>
        </is>
      </c>
      <c r="D27" s="123" t="inlineStr">
        <is>
          <t>9000-5-26</t>
        </is>
      </c>
      <c r="E27" s="123" t="n"/>
      <c r="F27" s="123" t="n"/>
      <c r="G27" s="123" t="inlineStr">
        <is>
          <t>D+10~30</t>
        </is>
      </c>
      <c r="H27" s="124" t="inlineStr">
        <is>
          <t>토공 굴착</t>
        </is>
      </c>
      <c r="I27" s="123" t="inlineStr">
        <is>
          <t>현장 공사팀</t>
        </is>
      </c>
      <c r="J27" s="124" t="inlineStr">
        <is>
          <t>KCS 47 10 25 굴착 규정 | 3D GPS 굴착기 표고 오차 ±20mm 통제 | 사면 비탈면 경사(1:1.5) 준수</t>
        </is>
      </c>
      <c r="K27" s="130" t="inlineStr">
        <is>
          <t>1) 3D GPS 굴착기 정밀 세팅 ➔ 2) 토사 깎기 &amp; 사면 비탈면(1:1.5) 굴착 ➔ 3) 표고 오차(±20mm) 검측 ➔ 4) 토공 굴착 성과표 감리 승인</t>
        </is>
      </c>
      <c r="L27" s="130" t="n"/>
      <c r="M27" s="130" t="inlineStr">
        <is>
          <t>3D GPS 굴착기 표고 오차 ±20mm 통제, 사면 비탈면 경사(1:1.5 이하) 준수 및 굴착 검측</t>
        </is>
      </c>
      <c r="N27" s="130" t="inlineStr">
        <is>
          <t>KCS 47 10 25 굴착 규정 | 3D GPS 굴착기 표고 오차 ±20mm 통제 | 사면 비탈면 경사(1:1.5) 준수</t>
        </is>
      </c>
      <c r="O27" s="155">
        <f>HYPERLINK("매뉴얼BODY(집행단계-첨부폴더)v8\2.사전토공사\24_진입로 조성\표준서\진입로 조성_표준서.html", "👉 [클릭] 표준서 열기 📄")</f>
        <v/>
      </c>
      <c r="P27" s="130" t="inlineStr">
        <is>
          <t>1) 3D GPS 굴착기 정밀 세팅 ➔ 2) 토사 깎기 &amp; 사면 비탈면(1:1.5) 굴착 ➔ 3) 표고 오차(±20mm) 검측 ➔ 4) 토공 굴착 성과표 감리 승인</t>
        </is>
      </c>
      <c r="Q27" s="155">
        <f>HYPERLINK("매뉴얼BODY(집행단계-첨부폴더)v8\2.사전토공사\24_진입로 조성\수행지침\진입로 조성_수행지침.html", "👉 [클릭] 수행지침 열기 📄")</f>
        <v/>
      </c>
      <c r="R27" s="124" t="inlineStr">
        <is>
          <t>3D GPS 굴착기 표고 오차 ±20mm 통제, 사면 비탈면 경사(1:1.5 이하) 준수 및 굴착 검측</t>
        </is>
      </c>
      <c r="S27" s="155">
        <f>HYPERLINK("매뉴얼BODY(집행단계-첨부폴더)v8\2.사전토공사\24_진입로 조성\체크리스트\진입로 조성_체크리스트.html", "👉 [클릭] 체크리스트 열기 📄")</f>
        <v/>
      </c>
      <c r="T27" s="124" t="n"/>
      <c r="U27" s="124" t="inlineStr">
        <is>
          <t>● 굴착 사면 기울기 및 굴착 공차 한계 준수</t>
        </is>
      </c>
      <c r="V27" s="123" t="inlineStr">
        <is>
          <t>1) 👉 [더블클릭] 체크리스트 열기 📄</t>
        </is>
      </c>
      <c r="W27" s="124" t="n"/>
    </row>
    <row r="28" ht="96" customHeight="1" s="148">
      <c r="A28" s="123" t="inlineStr">
        <is>
          <t>9000</t>
        </is>
      </c>
      <c r="B28" s="123" t="inlineStr">
        <is>
          <t>9000-5</t>
        </is>
      </c>
      <c r="C28" s="123" t="inlineStr">
        <is>
          <t>사전토공사</t>
        </is>
      </c>
      <c r="D28" s="123" t="inlineStr">
        <is>
          <t>9000-5-27</t>
        </is>
      </c>
      <c r="E28" s="123" t="n"/>
      <c r="F28" s="123" t="n"/>
      <c r="G28" s="123" t="inlineStr">
        <is>
          <t>D+10~30</t>
        </is>
      </c>
      <c r="H28" s="124" t="inlineStr">
        <is>
          <t>노상토 지지력 확인</t>
        </is>
      </c>
      <c r="I28" s="123" t="inlineStr">
        <is>
          <t>현장 품질팀</t>
        </is>
      </c>
      <c r="J28" s="124" t="inlineStr">
        <is>
          <t>KS F 2310 규정 준수 | 굴착 바닥 원지반 평판재하시험 K30 ≥ 70 MN/m³ | 덤프트럭 펌핑 연약 지반 점검</t>
        </is>
      </c>
      <c r="K28" s="130" t="inlineStr">
        <is>
          <t>1) 굴착 바닥 원지반 수평 정리 ➔ 2) K30 평판재하시험(≥70 MN/m³) ➔ 3) 덤프트럭 펌핑 연약 지반 점검 ➔ 4) 노상토 지지력 성과표 승인</t>
        </is>
      </c>
      <c r="L28" s="130" t="n"/>
      <c r="M28" s="130" t="inlineStr">
        <is>
          <t>굴착 바닥 평판재하시험 K30 ≥ 70 MN/m³, 덤프트럭 펌핑 연약 지반 점검 및 노상토 승인</t>
        </is>
      </c>
      <c r="N28" s="130" t="inlineStr">
        <is>
          <t>KS F 2310 규정 준수 | 굴착 바닥 원지반 평판재하시험 K30 ≥ 70 MN/m³ | 덤프트럭 펌핑 연약 지반 점검</t>
        </is>
      </c>
      <c r="O28" s="155">
        <f>HYPERLINK("매뉴얼BODY(집행단계-첨부폴더)v8\2.사전토공사\25_배수_환경시설 설치\표준서\배수_환경시설 설치_표준서.html", "👉 [클릭] 표준서 열기 📄")</f>
        <v/>
      </c>
      <c r="P28" s="130" t="inlineStr">
        <is>
          <t>1) 굴착 바닥 원지반 수평 정리 ➔ 2) K30 평판재하시험(≥70 MN/m³) ➔ 3) 덤프트럭 펌핑 연약 지반 점검 ➔ 4) 노상토 지지력 성과표 승인</t>
        </is>
      </c>
      <c r="Q28" s="155">
        <f>HYPERLINK("매뉴얼BODY(집행단계-첨부폴더)v8\2.사전토공사\25_배수_환경시설 설치\수행지침\배수_환경시설 설치_수행지침.html", "👉 [클릭] 수행지침 열기 📄")</f>
        <v/>
      </c>
      <c r="R28" s="124" t="inlineStr">
        <is>
          <t>굴착 바닥 평판재하시험 K30 ≥ 70 MN/m³, 덤프트럭 펌핑 연약 지반 점검 및 노상토 승인</t>
        </is>
      </c>
      <c r="S28" s="155">
        <f>HYPERLINK("매뉴얼BODY(집행단계-첨부폴더)v8\2.사전토공사\25_배수_환경시설 설치\체크리스트\배수_환경시설 설치_체크리스트.html", "👉 [클릭] 체크리스트 열기 📄")</f>
        <v/>
      </c>
      <c r="T28" s="124" t="n"/>
      <c r="U28" s="124" t="inlineStr">
        <is>
          <t>● 강화노반 필요 지지력 규격 만족</t>
        </is>
      </c>
      <c r="V28" s="123" t="inlineStr">
        <is>
          <t>1) 👉 [더블클릭] 체크리스트 열기 📄</t>
        </is>
      </c>
      <c r="W28" s="124" t="n"/>
    </row>
    <row r="29" ht="96" customHeight="1" s="148">
      <c r="A29" s="123" t="inlineStr">
        <is>
          <t>9000</t>
        </is>
      </c>
      <c r="B29" s="123" t="inlineStr">
        <is>
          <t>9000-5</t>
        </is>
      </c>
      <c r="C29" s="123" t="inlineStr">
        <is>
          <t>사전토공사</t>
        </is>
      </c>
      <c r="D29" s="123" t="inlineStr">
        <is>
          <t>9000-5-28</t>
        </is>
      </c>
      <c r="E29" s="123" t="n"/>
      <c r="F29" s="123" t="n"/>
      <c r="G29" s="123" t="inlineStr">
        <is>
          <t>D+10~30</t>
        </is>
      </c>
      <c r="H29" s="124" t="inlineStr">
        <is>
          <t>쌓기 및 다짐(필요시)</t>
        </is>
      </c>
      <c r="I29" s="123" t="inlineStr">
        <is>
          <t>현장 공사팀</t>
        </is>
      </c>
      <c r="J29" s="124" t="inlineStr">
        <is>
          <t>KCS 47 10 25 성토 시방 | 층두께 ≤ 30cm 토사 포설 | 10t 강동 롤러 다짐(들밀도 다짐도 ≥ 90%)</t>
        </is>
      </c>
      <c r="K29" s="130" t="inlineStr">
        <is>
          <t>1) 성토 토사 30cm 층포설 ➔ 2) 살수차 최적함수비 살수 ➔ 3) 10t 강동 롤러 다짐(다짐도≥90%) ➔ 4) 성토 다짐 성과표 감리 승인</t>
        </is>
      </c>
      <c r="L29" s="130" t="n"/>
      <c r="M29" s="130" t="inlineStr">
        <is>
          <t>성토 토사 30cm 층포설, 살수차 최적함수비 OMC 살수 및 10t 롤러 다짐(다짐도 ≥ 90%)</t>
        </is>
      </c>
      <c r="N29" s="130" t="inlineStr">
        <is>
          <t>KCS 47 10 25 성토 시방 | 층두께 ≤ 30cm 토사 포설 | 10t 강동 롤러 다짐(들밀도 다짐도 ≥ 90%)</t>
        </is>
      </c>
      <c r="O29" s="155">
        <f>HYPERLINK("매뉴얼BODY(집행단계-첨부폴더)v8\2.사전토공사\26_토공 굴착\표준서\토공 굴착_표준서.html", "👉 [클릭] 표준서 열기 📄")</f>
        <v/>
      </c>
      <c r="P29" s="130" t="inlineStr">
        <is>
          <t>1) 성토 토사 30cm 층포설 ➔ 2) 살수차 최적함수비 살수 ➔ 3) 10t 강동 롤러 다짐(다짐도≥90%) ➔ 4) 성토 다짐 성과표 감리 승인</t>
        </is>
      </c>
      <c r="Q29" s="155">
        <f>HYPERLINK("매뉴얼BODY(집행단계-첨부폴더)v8\2.사전토공사\26_토공 굴착\수행지침\토공 굴착_수행지침.html", "👉 [클릭] 수행지침 열기 📄")</f>
        <v/>
      </c>
      <c r="R29" s="124" t="inlineStr">
        <is>
          <t>성토 토사 30cm 층포설, 살수차 최적함수비 OMC 살수 및 10t 롤러 다짐(다짐도 ≥ 90%)</t>
        </is>
      </c>
      <c r="S29" s="155">
        <f>HYPERLINK("매뉴얼BODY(집행단계-첨부폴더)v8\2.사전토공사\26_토공 굴착\체크리스트\토공 굴착_체크리스트.html", "👉 [클릭] 체크리스트 열기 📄")</f>
        <v/>
      </c>
      <c r="T29" s="124" t="n"/>
      <c r="U29" s="124" t="inlineStr">
        <is>
          <t>● 다짐도(95% 이상) 규격 준수</t>
        </is>
      </c>
      <c r="V29" s="123" t="inlineStr">
        <is>
          <t>1) 👉 [더블클릭] 체크리스트 열기 📄</t>
        </is>
      </c>
      <c r="W29" s="124" t="n"/>
    </row>
    <row r="30" ht="96" customHeight="1" s="148">
      <c r="A30" s="123" t="inlineStr">
        <is>
          <t>9000</t>
        </is>
      </c>
      <c r="B30" s="123" t="inlineStr">
        <is>
          <t>9000-5</t>
        </is>
      </c>
      <c r="C30" s="123" t="inlineStr">
        <is>
          <t>사전토공사</t>
        </is>
      </c>
      <c r="D30" s="123" t="inlineStr">
        <is>
          <t>9000-5-29</t>
        </is>
      </c>
      <c r="E30" s="123" t="n"/>
      <c r="F30" s="123" t="n"/>
      <c r="G30" s="123" t="inlineStr">
        <is>
          <t>D+75일 이후</t>
        </is>
      </c>
      <c r="H30" s="124" t="inlineStr">
        <is>
          <t>현장지원</t>
        </is>
      </c>
      <c r="I30" s="123" t="inlineStr">
        <is>
          <t>토목수행팀, 토목품질팀, 토목안전팀</t>
        </is>
      </c>
      <c r="J30" s="124" t="inlineStr">
        <is>
          <t>현장 통합 소통 수칙 | 일일 TBM 및 품질/안전 지원 대장 수록 | 감리 입회 검측 서면 승인</t>
        </is>
      </c>
      <c r="K30" s="130" t="inlineStr">
        <is>
          <t>1) 일일 현장 품질/안전 지원 ➔ 2) TBM 및 근로자 교육 ➔ 3) 공정 장애 요소 해소 ➔ 4) 현장 지원 대장 서면 승인</t>
        </is>
      </c>
      <c r="L30" s="130" t="n"/>
      <c r="M30" s="130" t="inlineStr">
        <is>
          <t>일일 현장 품질/안전 지원 대장, TBM 및 근로자 교육 시행 서면 승인</t>
        </is>
      </c>
      <c r="N30" s="130" t="inlineStr">
        <is>
          <t>현장 통합 소통 수칙 | 일일 TBM 및 품질/안전 지원 대장 수록 | 감리 입회 검측 서면 승인</t>
        </is>
      </c>
      <c r="O30" s="155">
        <f>HYPERLINK("매뉴얼BODY(집행단계-첨부폴더)v8\2.사전토공사\27_노상토 지지력 확인\표준서\노상토 지지력 확인_표준서.html", "👉 [클릭] 표준서 열기 📄")</f>
        <v/>
      </c>
      <c r="P30" s="130" t="inlineStr">
        <is>
          <t>1) 일일 현장 품질/안전 지원 ➔ 2) TBM 및 근로자 교육 ➔ 3) 공정 장애 요소 해소 ➔ 4) 현장 지원 대장 서면 승인</t>
        </is>
      </c>
      <c r="Q30" s="155">
        <f>HYPERLINK("매뉴얼BODY(집행단계-첨부폴더)v8\2.사전토공사\27_노상토 지지력 확인\수행지침\노상토 지지력 확인_수행지침.html", "👉 [클릭] 수행지침 열기 📄")</f>
        <v/>
      </c>
      <c r="R30" s="124" t="inlineStr">
        <is>
          <t>일일 현장 품질/안전 지원 대장, TBM 및 근로자 교육 시행 서면 승인</t>
        </is>
      </c>
      <c r="S30" s="155">
        <f>HYPERLINK("매뉴얼BODY(집행단계-첨부폴더)v8\2.사전토공사\27_노상토 지지력 확인\체크리스트\노상토 지지력 확인_체크리스트.html", "👉 [클릭] 체크리스트 열기 📄")</f>
        <v/>
      </c>
      <c r="T30" s="124" t="n"/>
      <c r="U30" s="124" t="inlineStr">
        <is>
          <t>● 본사 정기현장점검 지침 준수</t>
        </is>
      </c>
      <c r="V30" s="123" t="inlineStr">
        <is>
          <t>1) 👉 [더블클릭] 체크리스트 열기 📄</t>
        </is>
      </c>
      <c r="W30" s="124" t="n"/>
    </row>
    <row r="31" ht="96" customHeight="1" s="148">
      <c r="A31" s="123" t="inlineStr">
        <is>
          <t>9000</t>
        </is>
      </c>
      <c r="B31" s="123" t="inlineStr">
        <is>
          <t>9000-5</t>
        </is>
      </c>
      <c r="C31" s="123" t="inlineStr">
        <is>
          <t>사전토공사</t>
        </is>
      </c>
      <c r="D31" s="123" t="inlineStr">
        <is>
          <t>9000-5-30</t>
        </is>
      </c>
      <c r="E31" s="123" t="n"/>
      <c r="F31" s="123" t="n"/>
      <c r="G31" s="123" t="inlineStr">
        <is>
          <t>D+75일 이후</t>
        </is>
      </c>
      <c r="H31" s="124" t="inlineStr">
        <is>
          <t>강화노반 인계</t>
        </is>
      </c>
      <c r="I31" s="123" t="inlineStr">
        <is>
          <t>현장 공사팀 / 품질팀</t>
        </is>
      </c>
      <c r="J31" s="124" t="inlineStr">
        <is>
          <t>KCS 47 10 25 인계인수 수칙 | 토공-강화노반 시공팀 3자 합동 레벨 측량 | 마무리면 인계인수서 서명</t>
        </is>
      </c>
      <c r="K31" s="130" t="inlineStr">
        <is>
          <t>1) 토공-강화노반 시공팀 3자 합동 현측 ➔ 2) 마무리면 레벨 오차(±10mm) 확인 ➔ 3) 인계인수 합의서 서명 ➔ 4) 토공 마무리면 인계 완료</t>
        </is>
      </c>
      <c r="L31" s="130" t="n"/>
      <c r="M31" s="130" t="inlineStr">
        <is>
          <t>토공-강화노반 시공팀 3자 합동 레벨 측량, 마무리면 레벨 오차(±10mm) 인계인수서 서명</t>
        </is>
      </c>
      <c r="N31" s="130" t="inlineStr">
        <is>
          <t>KCS 47 10 25 인계인수 수칙 | 토공-강화노반 시공팀 3자 합동 레벨 측량 | 마무리면 인계인수서 서명</t>
        </is>
      </c>
      <c r="O31" s="155">
        <f>HYPERLINK("매뉴얼BODY(집행단계-첨부폴더)v8\2.사전토공사\28_쌓기 및 다짐_필요시\표준서\쌓기 및 다짐(필요시)_표준서.html", "👉 [클릭] 표준서 열기 📄")</f>
        <v/>
      </c>
      <c r="P31" s="130" t="inlineStr">
        <is>
          <t>1) 토공-강화노반 시공팀 3자 합동 현측 ➔ 2) 마무리면 레벨 오차(±10mm) 확인 ➔ 3) 인계인수 합의서 서명 ➔ 4) 토공 마무리면 인계 완료</t>
        </is>
      </c>
      <c r="Q31" s="155">
        <f>HYPERLINK("매뉴얼BODY(집행단계-첨부폴더)v8\2.사전토공사\28_쌓기 및 다짐_필요시\수행지침\쌓기 및 다짐(필요시)_수행지침.html", "👉 [클릭] 수행지침 열기 📄")</f>
        <v/>
      </c>
      <c r="R31" s="124" t="inlineStr">
        <is>
          <t>토공-강화노반 시공팀 3자 합동 레벨 측량, 마무리면 레벨 오차(±10mm) 인계인수서 서명</t>
        </is>
      </c>
      <c r="S31" s="155">
        <f>HYPERLINK("매뉴얼BODY(집행단계-첨부폴더)v8\2.사전토공사\28_쌓기 및 다짐_필요시\체크리스트\쌓기 및 다짐(필요시)_체크리스트.html", "👉 [클릭] 체크리스트 열기 📄")</f>
        <v/>
      </c>
      <c r="T31" s="124" t="n"/>
      <c r="U31" s="124" t="inlineStr">
        <is>
          <t>● 궤도 부설 구간 허용 오차 한계 확인</t>
        </is>
      </c>
      <c r="V31" s="123" t="inlineStr">
        <is>
          <t>1) 👉 [더블클릭] 체크리스트 열기 📄</t>
        </is>
      </c>
      <c r="W31" s="124" t="n"/>
    </row>
    <row r="32">
      <c r="A32" s="123" t="n"/>
      <c r="B32" s="123" t="n"/>
      <c r="C32" s="123" t="n"/>
      <c r="D32" s="123" t="n"/>
      <c r="E32" s="123" t="n"/>
      <c r="F32" s="123" t="n"/>
      <c r="G32" s="123" t="n"/>
      <c r="H32" s="124" t="n"/>
      <c r="I32" s="123" t="n"/>
      <c r="J32" s="124" t="n"/>
      <c r="K32" s="130" t="n"/>
      <c r="L32" s="130" t="n"/>
      <c r="M32" s="130" t="n"/>
      <c r="N32" s="130" t="n"/>
      <c r="O32" s="155">
        <f>HYPERLINK("매뉴얼BODY(집행단계-첨부폴더)v8\2.사전토공사\29_현장지원\표준서\현장지원_표준서.html", "👉 [클릭] 표준서 열기 📄")</f>
        <v/>
      </c>
      <c r="P32" s="130" t="n"/>
      <c r="Q32" s="155">
        <f>HYPERLINK("매뉴얼BODY(집행단계-첨부폴더)v8\2.사전토공사\29_현장지원\수행지침\현장지원_수행지침.html", "👉 [클릭] 수행지침 열기 📄")</f>
        <v/>
      </c>
      <c r="R32" s="124" t="n"/>
      <c r="S32" s="155">
        <f>HYPERLINK("매뉴얼BODY(집행단계-첨부폴더)v8\2.사전토공사\29_현장지원\체크리스트\현장지원_체크리스트.html", "👉 [클릭] 체크리스트 열기 📄")</f>
        <v/>
      </c>
      <c r="T32" s="124" t="n"/>
      <c r="U32" s="124" t="n"/>
      <c r="V32" s="123" t="n"/>
      <c r="W32" s="124" t="n"/>
    </row>
    <row r="33">
      <c r="A33" s="123" t="n"/>
      <c r="B33" s="123" t="n"/>
      <c r="C33" s="123" t="n"/>
      <c r="D33" s="123" t="n"/>
      <c r="E33" s="123" t="n"/>
      <c r="F33" s="123" t="n"/>
      <c r="G33" s="123" t="n"/>
      <c r="H33" s="124" t="n"/>
      <c r="I33" s="123" t="n"/>
      <c r="J33" s="124" t="n"/>
      <c r="K33" s="130" t="n"/>
      <c r="L33" s="130" t="n"/>
      <c r="M33" s="130" t="n"/>
      <c r="N33" s="130" t="n"/>
      <c r="O33" s="155">
        <f>HYPERLINK("매뉴얼BODY(집행단계-첨부폴더)v8\2.사전토공사\30_강화노반 인계\표준서\강화노반 인계_표준서.html", "👉 [클릭] 표준서 열기 📄")</f>
        <v/>
      </c>
      <c r="P33" s="130" t="n"/>
      <c r="Q33" s="155">
        <f>HYPERLINK("매뉴얼BODY(집행단계-첨부폴더)v8\2.사전토공사\30_강화노반 인계\수행지침\강화노반 인계_수행지침.html", "👉 [클릭] 수행지침 열기 📄")</f>
        <v/>
      </c>
      <c r="R33" s="124" t="n"/>
      <c r="S33" s="155">
        <f>HYPERLINK("매뉴얼BODY(집행단계-첨부폴더)v8\2.사전토공사\30_강화노반 인계\체크리스트\강화노반 인계_체크리스트.html", "👉 [클릭] 체크리스트 열기 📄")</f>
        <v/>
      </c>
      <c r="T33" s="124" t="n"/>
      <c r="U33" s="124" t="n"/>
      <c r="V33" s="123" t="n"/>
      <c r="W33" s="124" t="n"/>
    </row>
    <row r="34">
      <c r="A34" s="123" t="n"/>
      <c r="B34" s="123" t="n"/>
      <c r="C34" s="123" t="n"/>
      <c r="D34" s="123" t="n"/>
      <c r="E34" s="123" t="n"/>
      <c r="F34" s="123" t="n"/>
      <c r="G34" s="123" t="n"/>
      <c r="H34" s="124" t="n"/>
      <c r="I34" s="123" t="n"/>
      <c r="J34" s="124" t="n"/>
      <c r="K34" s="130" t="n"/>
      <c r="L34" s="130" t="n"/>
      <c r="M34" s="130" t="n"/>
      <c r="N34" s="130" t="n"/>
      <c r="O34" s="155">
        <f>HYPERLINK("매뉴얼BODY(집행단계-첨부폴더)v8\2.사전토공사\32_Task_32\표준서\Task_32_표준서.html", "👉 [클릭] 표준서 열기 📄")</f>
        <v/>
      </c>
      <c r="P34" s="130" t="n"/>
      <c r="Q34" s="155">
        <f>HYPERLINK("매뉴얼BODY(집행단계-첨부폴더)v8\2.사전토공사\32_Task_32\수행지침\Task_32_수행지침.html", "👉 [클릭] 수행지침 열기 📄")</f>
        <v/>
      </c>
      <c r="R34" s="124" t="n"/>
      <c r="S34" s="155">
        <f>HYPERLINK("매뉴얼BODY(집행단계-첨부폴더)v8\2.사전토공사\32_Task_32\체크리스트\Task_32_체크리스트.html", "👉 [클릭] 체크리스트 열기 📄")</f>
        <v/>
      </c>
      <c r="T34" s="124" t="n"/>
      <c r="U34" s="124" t="n"/>
      <c r="V34" s="123" t="n"/>
      <c r="W34" s="124" t="n"/>
    </row>
    <row r="35">
      <c r="A35" s="123" t="n"/>
      <c r="B35" s="123" t="n"/>
      <c r="C35" s="123" t="n"/>
      <c r="D35" s="123" t="n"/>
      <c r="E35" s="123" t="n"/>
      <c r="F35" s="123" t="n"/>
      <c r="G35" s="123" t="n"/>
      <c r="H35" s="124" t="n"/>
      <c r="I35" s="123" t="n"/>
      <c r="J35" s="124" t="n"/>
      <c r="K35" s="130" t="n"/>
      <c r="L35" s="130" t="n"/>
      <c r="M35" s="130" t="n"/>
      <c r="N35" s="130" t="n"/>
      <c r="O35" s="130" t="inlineStr">
        <is>
          <t>👉 [클릭] 표준서 열기 📄</t>
        </is>
      </c>
      <c r="P35" s="130" t="n"/>
      <c r="Q35" t="inlineStr">
        <is>
          <t>👉 [클릭] 수행지침 열기 📄</t>
        </is>
      </c>
      <c r="R35" s="124" t="n"/>
      <c r="S35" t="inlineStr">
        <is>
          <t>👉 [클릭] 체크리스트 열기 📄</t>
        </is>
      </c>
      <c r="T35" s="124" t="n"/>
      <c r="U35" s="124" t="n"/>
      <c r="V35" s="123" t="n"/>
      <c r="W35" s="124" t="n"/>
    </row>
    <row r="36">
      <c r="A36" s="123" t="n"/>
      <c r="B36" s="123" t="n"/>
      <c r="C36" s="123" t="n"/>
      <c r="D36" s="123" t="n"/>
      <c r="E36" s="123" t="n"/>
      <c r="F36" s="123" t="n"/>
      <c r="G36" s="123" t="n"/>
      <c r="H36" s="124" t="n"/>
      <c r="I36" s="123" t="n"/>
      <c r="J36" s="124" t="n"/>
      <c r="K36" s="130" t="n"/>
      <c r="L36" s="130" t="n"/>
      <c r="M36" s="130" t="n"/>
      <c r="N36" s="130" t="n"/>
      <c r="O36" s="130" t="inlineStr">
        <is>
          <t>👉 [클릭] 표준서 열기 📄</t>
        </is>
      </c>
      <c r="P36" s="130" t="n"/>
      <c r="Q36" t="inlineStr">
        <is>
          <t>👉 [클릭] 수행지침 열기 📄</t>
        </is>
      </c>
      <c r="R36" s="124" t="n"/>
      <c r="S36" t="inlineStr">
        <is>
          <t>👉 [클릭] 체크리스트 열기 📄</t>
        </is>
      </c>
      <c r="T36" s="124" t="n"/>
      <c r="U36" s="124" t="n"/>
      <c r="V36" s="123" t="n"/>
      <c r="W36" s="124" t="n"/>
    </row>
    <row r="37">
      <c r="A37" s="123" t="n"/>
      <c r="B37" s="123" t="n"/>
      <c r="C37" s="123" t="n"/>
      <c r="D37" s="123" t="n"/>
      <c r="E37" s="123" t="n"/>
      <c r="F37" s="123" t="n"/>
      <c r="G37" s="123" t="n"/>
      <c r="H37" s="124" t="n"/>
      <c r="I37" s="123" t="n"/>
      <c r="J37" s="124" t="n"/>
      <c r="K37" s="130" t="n"/>
      <c r="L37" s="130" t="n"/>
      <c r="M37" s="130" t="n"/>
      <c r="N37" s="130" t="n"/>
      <c r="O37" s="130" t="inlineStr">
        <is>
          <t>👉 [클릭] 표준서 열기 📄</t>
        </is>
      </c>
      <c r="P37" s="130" t="n"/>
      <c r="Q37" t="inlineStr">
        <is>
          <t>👉 [클릭] 수행지침 열기 📄</t>
        </is>
      </c>
      <c r="R37" s="124" t="n"/>
      <c r="S37" t="inlineStr">
        <is>
          <t>👉 [클릭] 체크리스트 열기 📄</t>
        </is>
      </c>
      <c r="T37" s="124" t="n"/>
      <c r="U37" s="124" t="n"/>
      <c r="V37" s="123" t="n"/>
      <c r="W37" s="124" t="n"/>
    </row>
    <row r="38">
      <c r="A38" s="123" t="n"/>
      <c r="B38" s="123" t="n"/>
      <c r="C38" s="123" t="n"/>
      <c r="D38" s="123" t="n"/>
      <c r="E38" s="123" t="n"/>
      <c r="F38" s="123" t="n"/>
      <c r="G38" s="123" t="n"/>
      <c r="H38" s="124" t="n"/>
      <c r="I38" s="123" t="n"/>
      <c r="J38" s="124" t="n"/>
      <c r="K38" s="130" t="n"/>
      <c r="L38" s="130" t="n"/>
      <c r="M38" s="130" t="n"/>
      <c r="N38" s="130" t="n"/>
      <c r="O38" s="130" t="inlineStr">
        <is>
          <t>👉 [클릭] 표준서 열기 📄</t>
        </is>
      </c>
      <c r="P38" s="130" t="n"/>
      <c r="Q38" t="inlineStr">
        <is>
          <t>👉 [클릭] 수행지침 열기 📄</t>
        </is>
      </c>
      <c r="R38" s="124" t="n"/>
      <c r="S38" t="inlineStr">
        <is>
          <t>👉 [클릭] 체크리스트 열기 📄</t>
        </is>
      </c>
      <c r="T38" s="124" t="n"/>
      <c r="U38" s="124" t="n"/>
      <c r="V38" s="123" t="n"/>
      <c r="W38" s="124" t="n"/>
    </row>
    <row r="39">
      <c r="A39" s="123" t="n"/>
      <c r="B39" s="123" t="n"/>
      <c r="C39" s="123" t="n"/>
      <c r="D39" s="123" t="n"/>
      <c r="E39" s="123" t="n"/>
      <c r="F39" s="123" t="n"/>
      <c r="G39" s="123" t="n"/>
      <c r="H39" s="124" t="n"/>
      <c r="I39" s="123" t="n"/>
      <c r="J39" s="124" t="n"/>
      <c r="K39" s="130" t="n"/>
      <c r="L39" s="130" t="n"/>
      <c r="M39" s="130" t="n"/>
      <c r="N39" s="130" t="n"/>
      <c r="O39" s="130" t="inlineStr">
        <is>
          <t>👉 [클릭] 표준서 열기 📄</t>
        </is>
      </c>
      <c r="P39" s="130" t="n"/>
      <c r="Q39" t="inlineStr">
        <is>
          <t>👉 [클릭] 수행지침 열기 📄</t>
        </is>
      </c>
      <c r="R39" s="124" t="n"/>
      <c r="S39" t="inlineStr">
        <is>
          <t>👉 [클릭] 체크리스트 열기 📄</t>
        </is>
      </c>
      <c r="T39" s="124" t="n"/>
      <c r="U39" s="124" t="n"/>
      <c r="V39" s="123" t="n"/>
      <c r="W39" s="124" t="n"/>
    </row>
    <row r="40">
      <c r="A40" s="123" t="n"/>
      <c r="B40" s="123" t="n"/>
      <c r="C40" s="123" t="n"/>
      <c r="D40" s="123" t="n"/>
      <c r="E40" s="123" t="n"/>
      <c r="F40" s="123" t="n"/>
      <c r="G40" s="123" t="n"/>
      <c r="H40" s="124" t="n"/>
      <c r="I40" s="123" t="n"/>
      <c r="J40" s="124" t="n"/>
      <c r="K40" s="130" t="n"/>
      <c r="L40" s="130" t="n"/>
      <c r="M40" s="130" t="n"/>
      <c r="N40" s="130" t="n"/>
      <c r="O40" s="130" t="inlineStr">
        <is>
          <t>👉 [클릭] 표준서 열기 📄</t>
        </is>
      </c>
      <c r="P40" s="130" t="n"/>
      <c r="Q40" t="inlineStr">
        <is>
          <t>👉 [클릭] 수행지침 열기 📄</t>
        </is>
      </c>
      <c r="R40" s="124" t="n"/>
      <c r="S40" t="inlineStr">
        <is>
          <t>👉 [클릭] 체크리스트 열기 📄</t>
        </is>
      </c>
      <c r="T40" s="124" t="n"/>
      <c r="U40" s="124" t="n"/>
      <c r="V40" s="123" t="n"/>
      <c r="W40" s="124" t="n"/>
    </row>
    <row r="41">
      <c r="A41" s="123" t="n"/>
      <c r="B41" s="123" t="n"/>
      <c r="C41" s="123" t="n"/>
      <c r="D41" s="123" t="n"/>
      <c r="E41" s="123" t="n"/>
      <c r="F41" s="123" t="n"/>
      <c r="G41" s="123" t="n"/>
      <c r="H41" s="124" t="n"/>
      <c r="I41" s="123" t="n"/>
      <c r="J41" s="124" t="n"/>
      <c r="K41" s="130" t="n"/>
      <c r="L41" s="130" t="n"/>
      <c r="M41" s="130" t="n"/>
      <c r="N41" s="130" t="n"/>
      <c r="O41" s="130" t="inlineStr">
        <is>
          <t>👉 [클릭] 표준서 열기 📄</t>
        </is>
      </c>
      <c r="P41" s="130" t="n"/>
      <c r="Q41" t="inlineStr">
        <is>
          <t>👉 [클릭] 수행지침 열기 📄</t>
        </is>
      </c>
      <c r="R41" s="124" t="n"/>
      <c r="S41" t="inlineStr">
        <is>
          <t>👉 [클릭] 체크리스트 열기 📄</t>
        </is>
      </c>
      <c r="T41" s="124" t="n"/>
      <c r="U41" s="124" t="n"/>
      <c r="V41" s="123" t="n"/>
      <c r="W41" s="124" t="n"/>
    </row>
    <row r="42">
      <c r="A42" s="123" t="n"/>
      <c r="B42" s="123" t="n"/>
      <c r="C42" s="123" t="n"/>
      <c r="D42" s="123" t="n"/>
      <c r="E42" s="123" t="n"/>
      <c r="F42" s="123" t="n"/>
      <c r="G42" s="123" t="n"/>
      <c r="H42" s="124" t="n"/>
      <c r="I42" s="123" t="n"/>
      <c r="J42" s="124" t="n"/>
      <c r="K42" s="130" t="n"/>
      <c r="L42" s="130" t="n"/>
      <c r="M42" s="130" t="n"/>
      <c r="N42" s="130" t="n"/>
      <c r="O42" s="130" t="inlineStr">
        <is>
          <t>👉 [클릭] 표준서 열기 📄</t>
        </is>
      </c>
      <c r="P42" s="130" t="n"/>
      <c r="Q42" t="inlineStr">
        <is>
          <t>👉 [클릭] 수행지침 열기 📄</t>
        </is>
      </c>
      <c r="R42" s="124" t="n"/>
      <c r="S42" t="inlineStr">
        <is>
          <t>👉 [클릭] 체크리스트 열기 📄</t>
        </is>
      </c>
      <c r="T42" s="124" t="n"/>
      <c r="U42" s="124" t="n"/>
      <c r="V42" s="123" t="n"/>
      <c r="W42" s="124" t="n"/>
    </row>
    <row r="43">
      <c r="A43" s="123" t="n"/>
      <c r="B43" s="123" t="n"/>
      <c r="C43" s="123" t="n"/>
      <c r="D43" s="123" t="n"/>
      <c r="E43" s="123" t="n"/>
      <c r="F43" s="123" t="n"/>
      <c r="G43" s="123" t="n"/>
      <c r="H43" s="124" t="n"/>
      <c r="I43" s="123" t="n"/>
      <c r="J43" s="124" t="n"/>
      <c r="K43" s="130" t="n"/>
      <c r="L43" s="130" t="n"/>
      <c r="M43" s="130" t="n"/>
      <c r="N43" s="130" t="n"/>
      <c r="O43" s="130" t="inlineStr">
        <is>
          <t>👉 [클릭] 표준서 열기 📄</t>
        </is>
      </c>
      <c r="P43" s="130" t="n"/>
      <c r="Q43" t="inlineStr">
        <is>
          <t>👉 [클릭] 수행지침 열기 📄</t>
        </is>
      </c>
      <c r="R43" s="124" t="n"/>
      <c r="S43" t="inlineStr">
        <is>
          <t>👉 [클릭] 체크리스트 열기 📄</t>
        </is>
      </c>
      <c r="T43" s="124" t="n"/>
      <c r="U43" s="124" t="n"/>
      <c r="V43" s="123" t="n"/>
      <c r="W43" s="124" t="n"/>
    </row>
    <row r="44">
      <c r="A44" s="123" t="n"/>
      <c r="B44" s="123" t="n"/>
      <c r="C44" s="123" t="n"/>
      <c r="D44" s="123" t="n"/>
      <c r="E44" s="123" t="n"/>
      <c r="F44" s="123" t="n"/>
      <c r="G44" s="123" t="n"/>
      <c r="H44" s="124" t="n"/>
      <c r="I44" s="123" t="n"/>
      <c r="J44" s="124" t="n"/>
      <c r="K44" s="130" t="n"/>
      <c r="L44" s="130" t="n"/>
      <c r="M44" s="130" t="n"/>
      <c r="N44" s="130" t="n"/>
      <c r="O44" s="130" t="inlineStr">
        <is>
          <t>👉 [클릭] 표준서 열기 📄</t>
        </is>
      </c>
      <c r="P44" s="130" t="n"/>
      <c r="Q44" t="inlineStr">
        <is>
          <t>👉 [클릭] 수행지침 열기 📄</t>
        </is>
      </c>
      <c r="R44" s="124" t="n"/>
      <c r="S44" t="inlineStr">
        <is>
          <t>👉 [클릭] 체크리스트 열기 📄</t>
        </is>
      </c>
      <c r="T44" s="124" t="n"/>
      <c r="U44" s="124" t="n"/>
      <c r="V44" s="123" t="n"/>
      <c r="W44" s="124" t="n"/>
    </row>
    <row r="45">
      <c r="A45" s="123" t="n"/>
      <c r="B45" s="123" t="n"/>
      <c r="C45" s="123" t="n"/>
      <c r="D45" s="123" t="n"/>
      <c r="E45" s="123" t="n"/>
      <c r="F45" s="123" t="n"/>
      <c r="G45" s="123" t="n"/>
      <c r="H45" s="124" t="n"/>
      <c r="I45" s="123" t="n"/>
      <c r="J45" s="124" t="n"/>
      <c r="K45" s="130" t="n"/>
      <c r="L45" s="130" t="n"/>
      <c r="M45" s="130" t="n"/>
      <c r="N45" s="130" t="n"/>
      <c r="O45" s="130" t="inlineStr">
        <is>
          <t>👉 [클릭] 표준서 열기 📄</t>
        </is>
      </c>
      <c r="P45" s="130" t="n"/>
      <c r="Q45" t="inlineStr">
        <is>
          <t>👉 [클릭] 수행지침 열기 📄</t>
        </is>
      </c>
      <c r="R45" s="124" t="n"/>
      <c r="S45" t="inlineStr">
        <is>
          <t>👉 [클릭] 체크리스트 열기 📄</t>
        </is>
      </c>
      <c r="T45" s="124" t="n"/>
      <c r="U45" s="124" t="n"/>
      <c r="V45" s="123" t="n"/>
      <c r="W45" s="124" t="n"/>
    </row>
    <row r="46">
      <c r="A46" s="123" t="n"/>
      <c r="B46" s="123" t="n"/>
      <c r="C46" s="123" t="n"/>
      <c r="D46" s="123" t="n"/>
      <c r="E46" s="123" t="n"/>
      <c r="F46" s="123" t="n"/>
      <c r="G46" s="123" t="n"/>
      <c r="H46" s="124" t="n"/>
      <c r="I46" s="123" t="n"/>
      <c r="J46" s="124" t="n"/>
      <c r="K46" s="130" t="n"/>
      <c r="L46" s="130" t="n"/>
      <c r="M46" s="130" t="n"/>
      <c r="N46" s="130" t="n"/>
      <c r="O46" s="130" t="inlineStr">
        <is>
          <t>👉 [클릭] 표준서 열기 📄</t>
        </is>
      </c>
      <c r="P46" s="130" t="n"/>
      <c r="Q46" t="inlineStr">
        <is>
          <t>👉 [클릭] 수행지침 열기 📄</t>
        </is>
      </c>
      <c r="R46" s="124" t="n"/>
      <c r="S46" t="inlineStr">
        <is>
          <t>👉 [클릭] 체크리스트 열기 📄</t>
        </is>
      </c>
      <c r="T46" s="124" t="n"/>
      <c r="U46" s="124" t="n"/>
      <c r="V46" s="123" t="n"/>
      <c r="W46" s="124" t="n"/>
    </row>
    <row r="47">
      <c r="A47" s="123" t="n"/>
      <c r="B47" s="123" t="n"/>
      <c r="C47" s="123" t="n"/>
      <c r="D47" s="123" t="n"/>
      <c r="E47" s="123" t="n"/>
      <c r="F47" s="123" t="n"/>
      <c r="G47" s="123" t="n"/>
      <c r="H47" s="124" t="n"/>
      <c r="I47" s="123" t="n"/>
      <c r="J47" s="124" t="n"/>
      <c r="K47" s="130" t="n"/>
      <c r="L47" s="130" t="n"/>
      <c r="M47" s="130" t="n"/>
      <c r="N47" s="130" t="n"/>
      <c r="O47" s="130" t="inlineStr">
        <is>
          <t>👉 [클릭] 표준서 열기 📄</t>
        </is>
      </c>
      <c r="P47" s="130" t="n"/>
      <c r="Q47" t="inlineStr">
        <is>
          <t>👉 [클릭] 수행지침 열기 📄</t>
        </is>
      </c>
      <c r="R47" s="124" t="n"/>
      <c r="S47" t="inlineStr">
        <is>
          <t>👉 [클릭] 체크리스트 열기 📄</t>
        </is>
      </c>
      <c r="T47" s="124" t="n"/>
      <c r="U47" s="124" t="n"/>
      <c r="V47" s="123" t="n"/>
      <c r="W47" s="124" t="n"/>
    </row>
    <row r="48">
      <c r="A48" s="123" t="n"/>
      <c r="B48" s="123" t="n"/>
      <c r="C48" s="123" t="n"/>
      <c r="D48" s="123" t="n"/>
      <c r="E48" s="123" t="n"/>
      <c r="F48" s="123" t="n"/>
      <c r="G48" s="123" t="n"/>
      <c r="H48" s="124" t="n"/>
      <c r="I48" s="123" t="n"/>
      <c r="J48" s="124" t="n"/>
      <c r="K48" s="130" t="n"/>
      <c r="L48" s="130" t="n"/>
      <c r="M48" s="130" t="n"/>
      <c r="N48" s="130" t="n"/>
      <c r="O48" s="130" t="inlineStr">
        <is>
          <t>👉 [클릭] 표준서 열기 📄</t>
        </is>
      </c>
      <c r="P48" s="130" t="n"/>
      <c r="Q48" t="inlineStr">
        <is>
          <t>👉 [클릭] 수행지침 열기 📄</t>
        </is>
      </c>
      <c r="R48" s="124" t="n"/>
      <c r="S48" t="inlineStr">
        <is>
          <t>👉 [클릭] 체크리스트 열기 📄</t>
        </is>
      </c>
      <c r="T48" s="124" t="n"/>
      <c r="U48" s="124" t="n"/>
      <c r="V48" s="123" t="n"/>
      <c r="W48" s="124" t="n"/>
    </row>
    <row r="49">
      <c r="A49" s="123" t="n"/>
      <c r="B49" s="123" t="n"/>
      <c r="C49" s="123" t="n"/>
      <c r="D49" s="123" t="n"/>
      <c r="E49" s="123" t="n"/>
      <c r="F49" s="123" t="n"/>
      <c r="G49" s="123" t="n"/>
      <c r="H49" s="124" t="n"/>
      <c r="I49" s="123" t="n"/>
      <c r="J49" s="124" t="n"/>
      <c r="K49" s="130" t="n"/>
      <c r="L49" s="130" t="n"/>
      <c r="M49" s="130" t="n"/>
      <c r="N49" s="130" t="n"/>
      <c r="O49" s="130" t="inlineStr">
        <is>
          <t>👉 [클릭] 표준서 열기 📄</t>
        </is>
      </c>
      <c r="P49" s="130" t="n"/>
      <c r="Q49" t="inlineStr">
        <is>
          <t>👉 [클릭] 수행지침 열기 📄</t>
        </is>
      </c>
      <c r="R49" s="124" t="n"/>
      <c r="S49" t="inlineStr">
        <is>
          <t>👉 [클릭] 체크리스트 열기 📄</t>
        </is>
      </c>
      <c r="T49" s="124" t="n"/>
      <c r="U49" s="124" t="n"/>
      <c r="V49" s="123" t="n"/>
      <c r="W49" s="124" t="n"/>
    </row>
    <row r="50">
      <c r="A50" s="123" t="n"/>
      <c r="B50" s="123" t="n"/>
      <c r="C50" s="123" t="n"/>
      <c r="D50" s="123" t="n"/>
      <c r="E50" s="123" t="n"/>
      <c r="F50" s="123" t="n"/>
      <c r="G50" s="123" t="n"/>
      <c r="H50" s="124" t="n"/>
      <c r="I50" s="123" t="n"/>
      <c r="J50" s="124" t="n"/>
      <c r="K50" s="130" t="n"/>
      <c r="L50" s="130" t="n"/>
      <c r="M50" s="130" t="n"/>
      <c r="N50" s="130" t="n"/>
      <c r="O50" s="130" t="inlineStr">
        <is>
          <t>👉 [클릭] 표준서 열기 📄</t>
        </is>
      </c>
      <c r="P50" s="130" t="n"/>
      <c r="Q50" t="inlineStr">
        <is>
          <t>👉 [클릭] 수행지침 열기 📄</t>
        </is>
      </c>
      <c r="R50" s="124" t="n"/>
      <c r="S50" t="inlineStr">
        <is>
          <t>👉 [클릭] 체크리스트 열기 📄</t>
        </is>
      </c>
      <c r="T50" s="124" t="n"/>
      <c r="U50" s="124" t="n"/>
      <c r="V50" s="123" t="n"/>
      <c r="W50" s="124" t="n"/>
    </row>
    <row r="51">
      <c r="A51" s="123" t="n"/>
      <c r="B51" s="123" t="n"/>
      <c r="C51" s="123" t="n"/>
      <c r="D51" s="123" t="n"/>
      <c r="E51" s="123" t="n"/>
      <c r="F51" s="123" t="n"/>
      <c r="G51" s="123" t="n"/>
      <c r="H51" s="124" t="n"/>
      <c r="I51" s="123" t="n"/>
      <c r="J51" s="124" t="n"/>
      <c r="K51" s="130" t="n"/>
      <c r="L51" s="130" t="n"/>
      <c r="M51" s="130" t="n"/>
      <c r="N51" s="130" t="n"/>
      <c r="O51" s="130" t="inlineStr">
        <is>
          <t>👉 [클릭] 표준서 열기 📄</t>
        </is>
      </c>
      <c r="P51" s="130" t="n"/>
      <c r="Q51" t="inlineStr">
        <is>
          <t>👉 [클릭] 수행지침 열기 📄</t>
        </is>
      </c>
      <c r="R51" s="124" t="n"/>
      <c r="S51" t="inlineStr">
        <is>
          <t>👉 [클릭] 체크리스트 열기 📄</t>
        </is>
      </c>
      <c r="T51" s="124" t="n"/>
      <c r="U51" s="124" t="n"/>
      <c r="V51" s="123" t="n"/>
      <c r="W51" s="124" t="n"/>
    </row>
    <row r="52">
      <c r="L52" s="130" t="n"/>
      <c r="N52" s="130" t="n"/>
      <c r="P52" s="130" t="n"/>
    </row>
    <row r="53">
      <c r="L53" s="130" t="n"/>
      <c r="N53" s="130" t="n"/>
      <c r="P53" s="130" t="n"/>
    </row>
    <row r="54">
      <c r="L54" s="130" t="n"/>
      <c r="N54" s="130" t="n"/>
      <c r="P54" s="130" t="n"/>
    </row>
    <row r="55">
      <c r="L55" s="130" t="n"/>
      <c r="N55" s="130" t="n"/>
      <c r="P55" s="130" t="n"/>
    </row>
    <row r="56">
      <c r="L56" s="130" t="n"/>
      <c r="N56" s="130" t="n"/>
      <c r="P56" s="130" t="n"/>
    </row>
    <row r="57">
      <c r="L57" s="130" t="n"/>
      <c r="N57" s="130" t="n"/>
      <c r="P57" s="130" t="n"/>
    </row>
    <row r="58">
      <c r="L58" s="130" t="n"/>
      <c r="N58" s="130" t="n"/>
      <c r="P58" s="130" t="n"/>
    </row>
    <row r="59">
      <c r="L59" s="130" t="n"/>
      <c r="N59" s="130" t="n"/>
      <c r="P59" s="130" t="n"/>
    </row>
    <row r="60">
      <c r="L60" s="130" t="n"/>
      <c r="N60" s="130" t="n"/>
      <c r="P60" s="130" t="n"/>
    </row>
    <row r="61">
      <c r="L61" s="130" t="n"/>
      <c r="N61" s="130" t="n"/>
      <c r="P61" s="130" t="n"/>
    </row>
    <row r="62">
      <c r="L62" s="130" t="n"/>
      <c r="N62" s="130" t="n"/>
      <c r="P62" s="130" t="n"/>
    </row>
  </sheetData>
  <printOptions horizontalCentered="1"/>
  <pageMargins left="0.7480314960629921" right="0.7480314960629921" top="0.984251968503937" bottom="0.984251968503937" header="0.5118110236220472" footer="0.5118110236220472"/>
  <pageSetup orientation="landscape" paperSize="8" scale="33" verticalDpi="0"/>
</worksheet>
</file>

<file path=xl/worksheets/sheet6.xml><?xml version="1.0" encoding="utf-8"?>
<worksheet xmlns="http://schemas.openxmlformats.org/spreadsheetml/2006/main">
  <sheetPr codeName="Sheet3">
    <tabColor rgb="FFFFFF00"/>
    <outlinePr summaryBelow="1" summaryRight="1"/>
    <pageSetUpPr/>
  </sheetPr>
  <dimension ref="A1:T62"/>
  <sheetViews>
    <sheetView view="pageBreakPreview" topLeftCell="H12" zoomScale="55" zoomScaleNormal="55" zoomScaleSheetLayoutView="55" workbookViewId="0">
      <selection activeCell="O15" sqref="O15"/>
    </sheetView>
  </sheetViews>
  <sheetFormatPr baseColWidth="8" defaultRowHeight="19.2"/>
  <cols>
    <col width="8.796875" customWidth="1" style="3" min="1" max="2"/>
    <col width="18.59765625" customWidth="1" style="3" min="3" max="3"/>
    <col width="16" customWidth="1" style="4" min="4" max="4"/>
    <col width="12.296875" bestFit="1" customWidth="1" style="4" min="5" max="5"/>
    <col width="34.09765625" customWidth="1" style="5" min="6" max="6"/>
    <col width="32.59765625" customWidth="1" style="3" min="7" max="7"/>
    <col width="36.3984375" customWidth="1" style="3" min="8" max="8"/>
    <col width="37.59765625" customWidth="1" style="3" min="9" max="9"/>
    <col width="31.796875" customWidth="1" style="3" min="10" max="10"/>
    <col width="43.69921875" customWidth="1" style="47" min="11" max="11"/>
    <col width="11.5" customWidth="1" style="3" min="12" max="12"/>
    <col width="56.296875" customWidth="1" style="47" min="13" max="13"/>
    <col width="9.5" customWidth="1" style="3" min="14" max="14"/>
    <col width="46.69921875" customWidth="1" style="49" min="15" max="15"/>
    <col width="9.19921875" customWidth="1" style="148" min="16" max="16"/>
    <col width="16.5" customWidth="1" style="3" min="17" max="17"/>
    <col width="45" customWidth="1" style="148" min="18" max="18"/>
    <col width="22" customWidth="1" style="148" min="19" max="19"/>
    <col width="22" customWidth="1" style="3" min="20" max="35"/>
    <col width="8.796875" customWidth="1" style="3" min="36" max="63"/>
    <col width="8.796875" customWidth="1" style="3" min="64" max="16384"/>
  </cols>
  <sheetData>
    <row r="1" ht="46.8" customHeight="1" s="148">
      <c r="A1" s="7" t="inlineStr">
        <is>
          <t>L2 코드</t>
        </is>
      </c>
      <c r="B1" s="7" t="inlineStr">
        <is>
          <t>L3 코드</t>
        </is>
      </c>
      <c r="C1" s="7" t="inlineStr">
        <is>
          <t>L3 대공종명</t>
        </is>
      </c>
      <c r="D1" s="7" t="inlineStr">
        <is>
          <t>L4 코드</t>
        </is>
      </c>
      <c r="E1" s="7" t="inlineStr">
        <is>
          <t>일정 (D-Day)</t>
        </is>
      </c>
      <c r="F1" s="7" t="inlineStr">
        <is>
          <t>작업단위 (Level 4 Task/Activity)</t>
        </is>
      </c>
      <c r="G1" s="7" t="inlineStr">
        <is>
          <t>주관</t>
        </is>
      </c>
      <c r="H1" s="7" t="inlineStr">
        <is>
          <t>목적</t>
        </is>
      </c>
      <c r="I1" s="7" t="inlineStr">
        <is>
          <t>방법</t>
        </is>
      </c>
      <c r="J1" s="7" t="inlineStr">
        <is>
          <t>산출물(결과)</t>
        </is>
      </c>
      <c r="K1" s="46" t="inlineStr">
        <is>
          <t>표준서 (Standard) 요약</t>
        </is>
      </c>
      <c r="L1" s="6" t="inlineStr">
        <is>
          <t>표준서 파일 (HTML)</t>
        </is>
      </c>
      <c r="M1" s="46" t="inlineStr">
        <is>
          <t>수행지침 (Guideline) 요약</t>
        </is>
      </c>
      <c r="N1" s="6" t="inlineStr">
        <is>
          <t>수행지침 파일 (HTML)</t>
        </is>
      </c>
      <c r="O1" s="46" t="inlineStr">
        <is>
          <t>체크리스트 (Checklist) 요약</t>
        </is>
      </c>
      <c r="P1" s="12" t="inlineStr">
        <is>
          <t>체크리스트 파일 (HTML)</t>
        </is>
      </c>
      <c r="Q1" s="9" t="inlineStr">
        <is>
          <t>비고</t>
        </is>
      </c>
      <c r="R1" s="9" t="inlineStr">
        <is>
          <t>첨부서류 연계 상세 설계기준</t>
        </is>
      </c>
      <c r="S1" s="9" t="inlineStr">
        <is>
          <t>집행단계 리스크 체크리스트</t>
        </is>
      </c>
      <c r="T1" s="9" t="inlineStr">
        <is>
          <t>협력사 시공/공사관리 자문</t>
        </is>
      </c>
    </row>
    <row r="2" ht="90" customHeight="1" s="148">
      <c r="A2" s="13" t="inlineStr">
        <is>
          <t>2000</t>
        </is>
      </c>
      <c r="B2" s="13" t="inlineStr">
        <is>
          <t>2000-1</t>
        </is>
      </c>
      <c r="C2" s="14" t="inlineStr">
        <is>
          <t>공통 관리 Key Point &amp; 사전 준비</t>
        </is>
      </c>
      <c r="D2" s="13" t="inlineStr">
        <is>
          <t>2000-1-1</t>
        </is>
      </c>
      <c r="E2" s="13" t="inlineStr">
        <is>
          <t>P-30</t>
        </is>
      </c>
      <c r="F2" s="15" t="inlineStr">
        <is>
          <t>Site Survey Risk 검토</t>
        </is>
      </c>
      <c r="G2" s="13" t="inlineStr">
        <is>
          <t>토목국내견적팀</t>
        </is>
      </c>
      <c r="H2" s="14" t="inlineStr">
        <is>
          <t>지하안전관리에 관한 특별법 제23조 | 현장 지반 조사, GPR 탐사 데이터 및 신설 궤도 간섭 리스크 사전 분석 | 지장물 이설 리스크 관리계획 수립</t>
        </is>
      </c>
      <c r="I2" s="14" t="inlineStr">
        <is>
          <t>1) 지반 조사 주상도 &amp; GPR 데이터 대조 ➔ 2) 신설 궤도 구조물 간섭 관로 추출 ➔ 3) 기관별 이설 우선순위 수립 ➔ 4) 지장물 리스크 보고서 결재</t>
        </is>
      </c>
      <c r="J2" s="14" t="inlineStr">
        <is>
          <t>지반 시추 주상도, GPR 3D 지중 관로 탐사 데이터 대조 및 신설 궤도 구조물 간섭 관로 사전 현출 점검</t>
        </is>
      </c>
      <c r="K2" s="16" t="inlineStr">
        <is>
          <t>지하안전관리에 관한 특별법 제23조 | 현장 지반 조사, GPR 탐사 데이터 및 신설 궤도 간섭 리스크 사전 분석 | 지장물 이설 리스크 관리계획 수립</t>
        </is>
      </c>
      <c r="L2" s="155">
        <f>HYPERLINK("매뉴얼BODY(집행단계-첨부폴더)v8\3.지장물이설\1_Site Survey Risk 검토\표준서\1_Site Survey Risk 검토_표준서.html", "👉 [클릭] 표준서 열기 📄")</f>
        <v/>
      </c>
      <c r="M2" s="16" t="inlineStr">
        <is>
          <t>1) 지반 조사 주상도 &amp; GPR 데이터 대조 ➔ 2) 신설 궤도 구조물 간섭 관로 추출 ➔ 3) 기관별 이설 우선순위 수립 ➔ 4) 지장물 리스크 보고서 결재</t>
        </is>
      </c>
      <c r="N2" s="155">
        <f>HYPERLINK("매뉴얼BODY(집행단계-첨부폴더)v8\3.지장물이설\1_Site Survey Risk 검토\수행지침\1_Site Survey Risk 검토_수행지침.html", "👉 [클릭] 수행지침 열기 📄")</f>
        <v/>
      </c>
      <c r="O2" s="40" t="inlineStr">
        <is>
          <t>지반 시추 주상도, GPR 3D 지중 관로 탐사 데이터 대조 및 신설 궤도 구조물 간섭 관로 사전 현출 점검</t>
        </is>
      </c>
      <c r="P2" s="155">
        <f>HYPERLINK("매뉴얼BODY(집행단계-첨부폴더)v8\3.지장물이설\1_Site Survey Risk 검토\체크리스트\1_Site Survey Risk 검토_체크리스트.html", "👉 [클릭] 체크리스트 열기 📄")</f>
        <v/>
      </c>
      <c r="Q2" s="13" t="n"/>
      <c r="R2" s="14" t="inlineStr">
        <is>
          <t>토목국내견적 지침 및 계약 시방</t>
        </is>
      </c>
      <c r="S2" s="17" t="inlineStr">
        <is>
          <t>설계도서 불일치로 인한 실행예산 초과 리스크 관리</t>
        </is>
      </c>
      <c r="T2" s="14" t="inlineStr">
        <is>
          <t>우수 토공업체 Pool 기술 자문</t>
        </is>
      </c>
    </row>
    <row r="3" ht="125.4" customHeight="1" s="148">
      <c r="A3" s="13" t="inlineStr">
        <is>
          <t>2000</t>
        </is>
      </c>
      <c r="B3" s="13" t="inlineStr">
        <is>
          <t>2000-1</t>
        </is>
      </c>
      <c r="C3" s="14" t="inlineStr">
        <is>
          <t>공통 관리 Key Point &amp; 사전 준비</t>
        </is>
      </c>
      <c r="D3" s="13" t="inlineStr">
        <is>
          <t>2000-1-2</t>
        </is>
      </c>
      <c r="E3" s="13" t="inlineStr">
        <is>
          <t>P+0</t>
        </is>
      </c>
      <c r="F3" s="15" t="inlineStr">
        <is>
          <t>발주전략 KOM (도급지분)</t>
        </is>
      </c>
      <c r="G3" s="13" t="inlineStr">
        <is>
          <t>현장소장</t>
        </is>
      </c>
      <c r="H3" s="14" t="inlineStr">
        <is>
          <t>KCS 47 10 25 시방 준수 | 도급분 지장물 이설 발주 시방서 검토 &amp; 3D BIM 도면 대조 | 발주처·감리·시공 3자 킥오프 미팅 결재</t>
        </is>
      </c>
      <c r="I3" s="14" t="inlineStr">
        <is>
          <t>1) 도급분 이설 시방서 요구조건 검토 ➔ 2) 3D BIM 도면 관로 좌표 대조 ➔ 3) 공기 지연 예비비 수립 ➔ 4) 발주·감리·시공 3자 킥오프 결재</t>
        </is>
      </c>
      <c r="J3" s="14" t="inlineStr">
        <is>
          <t>KCS 47 10 25 시방 요구조건, 도급분 지장물 이설 수량 및 3D BIM 도면 간섭 zero 검증</t>
        </is>
      </c>
      <c r="K3" s="14" t="inlineStr">
        <is>
          <t>KCS 47 10 25 시방 준수 | 도급분 지장물 이설 발주 시방서 검토 &amp; 3D BIM 도면 대조 | 발주처·감리·시공 3자 킥오프 미팅 결재</t>
        </is>
      </c>
      <c r="L3" s="155">
        <f>HYPERLINK("매뉴얼BODY(집행단계-첨부폴더)v8\3.지장물이설\2_발주전략 KOM (도급지분)\표준서\2_발주전략 KOM (도급지분)_표준서.html", "👉 [클릭] 표준서 열기 📄")</f>
        <v/>
      </c>
      <c r="M3" s="14" t="inlineStr">
        <is>
          <t>1) 도급분 이설 시방서 요구조건 검토 ➔ 2) 3D BIM 도면 관로 좌표 대조 ➔ 3) 공기 지연 예비비 수립 ➔ 4) 발주·감리·시공 3자 킥오프 결재</t>
        </is>
      </c>
      <c r="N3" s="155">
        <f>HYPERLINK("매뉴얼BODY(집행단계-첨부폴더)v8\3.지장물이설\2_발주전략 KOM (도급지분)\수행지침\2_발주전략 KOM (도급지분)_수행지침.html", "👉 [클릭] 수행지침 열기 📄")</f>
        <v/>
      </c>
      <c r="O3" s="41" t="inlineStr">
        <is>
          <t>KCS 47 10 25 시방 요구조건, 도급분 지장물 이설 수량 및 3D BIM 도면 간섭 zero 검증</t>
        </is>
      </c>
      <c r="P3" s="155">
        <f>HYPERLINK("매뉴얼BODY(집행단계-첨부폴더)v8\3.지장물이설\2_발주전략 KOM (도급지분)\체크리스트\2_발주전략 KOM (도급지분)_체크리스트.html", "👉 [클릭] 체크리스트 열기 📄")</f>
        <v/>
      </c>
      <c r="Q3" s="13" t="n"/>
      <c r="R3" s="14" t="inlineStr">
        <is>
          <t>CML 토목사무지침 및 도급 계약 시방</t>
        </is>
      </c>
      <c r="S3" s="17" t="inlineStr">
        <is>
          <t>부적격 업체 선정에 따른 공기 지연 리스크 방지</t>
        </is>
      </c>
      <c r="T3" s="14" t="inlineStr">
        <is>
          <t>본사외주부서 및 컴플라이언스RM 자문</t>
        </is>
      </c>
    </row>
    <row r="4" ht="110.4" customHeight="1" s="148">
      <c r="A4" s="13" t="inlineStr">
        <is>
          <t>2000</t>
        </is>
      </c>
      <c r="B4" s="13" t="inlineStr">
        <is>
          <t>2000-1</t>
        </is>
      </c>
      <c r="C4" s="14" t="inlineStr">
        <is>
          <t>공통 관리 Key Point &amp; 사전 준비</t>
        </is>
      </c>
      <c r="D4" s="13" t="inlineStr">
        <is>
          <t>2000-1-3</t>
        </is>
      </c>
      <c r="E4" s="13" t="inlineStr">
        <is>
          <t>P+0</t>
        </is>
      </c>
      <c r="F4" s="15" t="inlineStr">
        <is>
          <t>지장물 이설 요청 (위수탁고)</t>
        </is>
      </c>
      <c r="G4" s="13" t="inlineStr">
        <is>
          <t>공사팀 / 발주기관</t>
        </is>
      </c>
      <c r="H4" s="14" t="inlineStr">
        <is>
          <t>지방계약법 및 관할 점용기관 규정 | 위수탁 지장물 이설 협약서 작성 &amp; 공문 발송 | 기관별 이설 소요 기간 및 예산 확보</t>
        </is>
      </c>
      <c r="I4" s="14" t="inlineStr">
        <is>
          <t>1) 관할 점용기관 이설 요청 공문 작성 ➔ 2) 이설 협약서 정산 조건 수속 ➔ 3) 기관별 이설 소요 기간 협의 ➔ 4) 위수탁 이설 확약 공문 수령</t>
        </is>
      </c>
      <c r="J4" s="14" t="inlineStr">
        <is>
          <t>위수탁 이설 요청 공문 부착, 점용기관 협약 조건 수속 및 이설 예비비 계상 서약</t>
        </is>
      </c>
      <c r="K4" s="14" t="inlineStr">
        <is>
          <t>지방계약법 및 관할 점용기관 규정 | 위수탁 지장물 이설 협약서 작성 &amp; 공문 발송 | 기관별 이설 소요 기간 및 예산 확보</t>
        </is>
      </c>
      <c r="L4" s="155">
        <f>HYPERLINK("매뉴얼BODY(집행단계-첨부폴더)v8\3.지장물이설\2_발주전적 KOM (도급지분)\표준서\발주전적 KOM (도급지분)_표준서.html", "👉 [클릭] 표준서 열기 📄")</f>
        <v/>
      </c>
      <c r="M4" s="14" t="inlineStr">
        <is>
          <t>1) 관할 점용기관 이설 요청 공문 작성 ➔ 2) 이설 협약서 정산 조건 수속 ➔ 3) 기관별 이설 소요 기간 협의 ➔ 4) 위수탁 이설 확약 공문 수령</t>
        </is>
      </c>
      <c r="N4" s="155">
        <f>HYPERLINK("매뉴얼BODY(집행단계-첨부폴더)v8\3.지장물이설\2_발주전적 KOM (도급지분)\수행지침\발주전적 KOM (도급지분)_수행지침.html", "👉 [클릭] 수행지침 열기 📄")</f>
        <v/>
      </c>
      <c r="O4" s="41" t="inlineStr">
        <is>
          <t>위수탁 이설 요청 공문 부착, 점용기관 협약 조건 수속 및 이설 예비비 계상 서약</t>
        </is>
      </c>
      <c r="P4" s="155">
        <f>HYPERLINK("매뉴얼BODY(집행단계-첨부폴더)v8\3.지장물이설\2_발주전적 KOM (도급지분)\체크리스트\발주전적 KOM (도급지분)_체크리스트.html", "👉 [클릭] 체크리스트 열기 📄")</f>
        <v/>
      </c>
      <c r="Q4" s="13" t="n"/>
      <c r="R4" s="14" t="inlineStr">
        <is>
          <t>지자체 위수탁 협약 처리 기준</t>
        </is>
      </c>
      <c r="S4" s="17" t="inlineStr">
        <is>
          <t>위수탁 기관 이설 착수 지연 리스크 관리</t>
        </is>
      </c>
      <c r="T4" s="14" t="inlineStr">
        <is>
          <t>관련 유관기관 전담 자문</t>
        </is>
      </c>
    </row>
    <row r="5" ht="96" customHeight="1" s="148">
      <c r="A5" s="13" t="inlineStr">
        <is>
          <t>2000</t>
        </is>
      </c>
      <c r="B5" s="13" t="inlineStr">
        <is>
          <t>2000-1</t>
        </is>
      </c>
      <c r="C5" s="14" t="inlineStr">
        <is>
          <t>공통 관리 Key Point &amp; 사전 준비</t>
        </is>
      </c>
      <c r="D5" s="13" t="inlineStr">
        <is>
          <t>2000-1-4</t>
        </is>
      </c>
      <c r="E5" s="13" t="inlineStr">
        <is>
          <t>P+5</t>
        </is>
      </c>
      <c r="F5" s="15" t="inlineStr">
        <is>
          <t>도급자분 이설업체 선정(상/하수)</t>
        </is>
      </c>
      <c r="G5" s="13" t="inlineStr">
        <is>
          <t>현장소장</t>
        </is>
      </c>
      <c r="H5" s="14" t="inlineStr">
        <is>
          <t>건설산업기본법 제29조 | 상하수도 설비 전문건설업 면허 및 적정성(≥ 82%) 평가 | 노무비 전용계좌 지정 및 계약 승인</t>
        </is>
      </c>
      <c r="I5" s="14" t="inlineStr">
        <is>
          <t>1) 상하수도 전문건설업 면허 심사 ➔ 2) 하도급 적정성(≥ 82%) 평가 ➔ 3) 노무비 전용계좌 개설 ➔ 4) 하도급 계약 승인 통보서 결재</t>
        </is>
      </c>
      <c r="J5" s="14" t="inlineStr">
        <is>
          <t>상하수도 전문건설업 면허/실적 심사, 하도급 적정성 평가(≥ 82%) 및 노무비 전용계좌 지정</t>
        </is>
      </c>
      <c r="K5" s="14" t="inlineStr">
        <is>
          <t>건설산업기본법 제29조 | 상하수도 설비 전문건설업 면허 및 적정성(≥ 82%) 평가 | 노무비 전용계좌 지정 및 계약 승인</t>
        </is>
      </c>
      <c r="L5" s="155">
        <f>HYPERLINK("매뉴얼BODY(집행단계-첨부폴더)v8\3.지장물이설\3_지장물 이설 요청 (위수탁고)\표준서\3_지장물 이설 요청 (위수탁고)_표준서.html", "👉 [클릭] 표준서 열기 📄")</f>
        <v/>
      </c>
      <c r="M5" s="14" t="inlineStr">
        <is>
          <t>1) 상하수도 전문건설업 면허 심사 ➔ 2) 하도급 적정성(≥ 82%) 평가 ➔ 3) 노무비 전용계좌 개설 ➔ 4) 하도급 계약 승인 통보서 결재</t>
        </is>
      </c>
      <c r="N5" s="155">
        <f>HYPERLINK("매뉴얼BODY(집행단계-첨부폴더)v8\3.지장물이설\3_지장물 이설 요청 (위수탁고)\수행지침\3_지장물 이설 요청 (위수탁고)_수행지침.html", "👉 [클릭] 수행지침 열기 📄")</f>
        <v/>
      </c>
      <c r="O5" s="41" t="inlineStr">
        <is>
          <t>상하수도 전문건설업 면허/실적 심사, 하도급 적정성 평가(≥ 82%) 및 노무비 전용계좌 지정</t>
        </is>
      </c>
      <c r="P5" s="155">
        <f>HYPERLINK("매뉴얼BODY(집행단계-첨부폴더)v8\3.지장물이설\3_지장물 이설 요청 (위수탁고)\체크리스트\3_지장물 이설 요청 (위수탁고)_체크리스트.html", "👉 [클릭] 체크리스트 열기 📄")</f>
        <v/>
      </c>
      <c r="Q5" s="13" t="n"/>
      <c r="R5" s="14" t="inlineStr">
        <is>
          <t>하도급거래 공정화에 관한 법률 및 계약 규정</t>
        </is>
      </c>
      <c r="S5" s="17" t="inlineStr">
        <is>
          <t>저가 하도급으로 인한 부실 시공 리스크 예방</t>
        </is>
      </c>
      <c r="T5" s="14" t="inlineStr">
        <is>
          <t>외주계약팀 전문 자문</t>
        </is>
      </c>
    </row>
    <row r="6" ht="134.4" customHeight="1" s="148">
      <c r="A6" s="13" t="inlineStr">
        <is>
          <t>2000</t>
        </is>
      </c>
      <c r="B6" s="13" t="inlineStr">
        <is>
          <t>2000-1</t>
        </is>
      </c>
      <c r="C6" s="14" t="inlineStr">
        <is>
          <t>공통 관리 Key Point &amp; 사전 준비</t>
        </is>
      </c>
      <c r="D6" s="13" t="inlineStr">
        <is>
          <t>2000-1-5</t>
        </is>
      </c>
      <c r="E6" s="13" t="inlineStr">
        <is>
          <t>P+10</t>
        </is>
      </c>
      <c r="F6" s="15" t="inlineStr">
        <is>
          <t>지장물 조사 (위탁기관 합동)</t>
        </is>
      </c>
      <c r="G6" s="13" t="inlineStr">
        <is>
          <t>현장 공사팀</t>
        </is>
      </c>
      <c r="H6" s="14" t="inlineStr">
        <is>
          <t>지하안전법 수칙 | 한국전력, 도시가스, 수자원공사 1:1 현장 합동 조사 | 매설 위치, 관경(mm), 깊이 3D BIM 매핑</t>
        </is>
      </c>
      <c r="I6" s="14" t="inlineStr">
        <is>
          <t>1) 한전/가스/수자원공사 1:1 현장 입회 ➔ 2) 관로 위치, 관경(mm), 깊이 현측 ➔ 3) 3D BIM 매설 관로 매핑 ➔ 4) 지장물 조사서 감리 서면 승인</t>
        </is>
      </c>
      <c r="J6" s="14" t="inlineStr">
        <is>
          <t>한국전력, 도시가스, 수자원공사 1:1 현장 입회 및 지하 매설물 관경(mm), 심도 깊이 3D BIM 매핑</t>
        </is>
      </c>
      <c r="K6" s="14" t="inlineStr">
        <is>
          <t>지하안전법 수칙 | 한국전력, 도시가스, 수자원공사 1:1 현장 합동 조사 | 매설 위치, 관경(mm), 깊이 3D BIM 매핑</t>
        </is>
      </c>
      <c r="L6" s="155">
        <f>HYPERLINK("매뉴얼BODY(집행단계-첨부폴더)v8\3.지장물이설\4_도급자분 이설업체 선정(상_하수)\표준서\4_도급자분 이설업체 선정(상_하수)_표준서.html", "👉 [클릭] 표준서 열기 📄")</f>
        <v/>
      </c>
      <c r="M6" s="14" t="inlineStr">
        <is>
          <t>1) 한전/가스/수자원공사 1:1 현장 입회 ➔ 2) 관로 위치, 관경(mm), 깊이 현측 ➔ 3) 3D BIM 매설 관로 매핑 ➔ 4) 지장물 조사서 감리 서면 승인</t>
        </is>
      </c>
      <c r="N6" s="155">
        <f>HYPERLINK("매뉴얼BODY(집행단계-첨부폴더)v8\3.지장물이설\4_도급자분 이설업체 선정(상_하수)\수행지침\4_도급자분 이설업체 선정(상_하수)_수행지침.html", "👉 [클릭] 수행지침 열기 📄")</f>
        <v/>
      </c>
      <c r="O6" s="41" t="inlineStr">
        <is>
          <t>한국전력, 도시가스, 수자원공사 1:1 현장 입회 및 지하 매설물 관경(mm), 심도 깊이 3D BIM 매핑</t>
        </is>
      </c>
      <c r="P6" s="155">
        <f>HYPERLINK("매뉴얼BODY(집행단계-첨부폴더)v8\3.지장물이설\4_도급자분 이설업체 선정(상_하수)\체크리스트\4_도급자분 이설업체 선정(상_하수)_체크리스트.html", "👉 [클릭] 체크리스트 열기 📄")</f>
        <v/>
      </c>
      <c r="Q6" s="13" t="n"/>
      <c r="R6" s="14" t="inlineStr">
        <is>
          <t>지하안전관리에 관한 특별법 및 측량 규정</t>
        </is>
      </c>
      <c r="S6" s="17" t="inlineStr">
        <is>
          <t>도면 상이로 인한 신규 지장물 불시 도출 리스크 방지</t>
        </is>
      </c>
      <c r="T6" s="14" t="inlineStr">
        <is>
          <t>지장물 이설업체 및 유관기관 담당자</t>
        </is>
      </c>
    </row>
    <row r="7" ht="96" customHeight="1" s="148">
      <c r="A7" s="13" t="inlineStr">
        <is>
          <t>2000</t>
        </is>
      </c>
      <c r="B7" s="13" t="inlineStr">
        <is>
          <t>2000-1</t>
        </is>
      </c>
      <c r="C7" s="14" t="inlineStr">
        <is>
          <t>공통 관리 Key Point &amp; 사전 준비</t>
        </is>
      </c>
      <c r="D7" s="13" t="inlineStr">
        <is>
          <t>2000-1-6</t>
        </is>
      </c>
      <c r="E7" s="13" t="inlineStr">
        <is>
          <t>P+15</t>
        </is>
      </c>
      <c r="F7" s="15" t="inlineStr">
        <is>
          <t>지장물 이설 계획 수립</t>
        </is>
      </c>
      <c r="G7" s="13" t="inlineStr">
        <is>
          <t>현장 공사팀</t>
        </is>
      </c>
      <c r="H7" s="14" t="inlineStr">
        <is>
          <t>KCS 47 10 25 배수 및 관체 수칙 | 지장물 이설 공정표, 가설 방호 및 교통 우회 계획 수립 | 공사 착수 14일 전 감리 서면 승인</t>
        </is>
      </c>
      <c r="I7" s="14" t="inlineStr">
        <is>
          <t>1) 지장물 이설 공정표 수립 ➔ 2) 가설 매달기 방호 &amp; 우회 차선 설계 ➔ 3) 착공 14일 전 감리단 제출 ➔ 4) 이설 계획서 책임감리원 승인</t>
        </is>
      </c>
      <c r="J7" s="14" t="inlineStr">
        <is>
          <t>지장물 이설 공정표 수립, 가설 매달기 방호/우회 차선 설계 및 착공 14일 전 감리 서면 승인</t>
        </is>
      </c>
      <c r="K7" s="14" t="inlineStr">
        <is>
          <t>KCS 47 10 25 배수 및 관체 수칙 | 지장물 이설 공정표, 가설 방호 및 교통 우회 계획 수립 | 공사 착수 14일 전 감리 서면 승인</t>
        </is>
      </c>
      <c r="L7" s="155">
        <f>HYPERLINK("매뉴얼BODY(집행단계-첨부폴더)v8\3.지장물이설\4_최고의 팀 만들기 지원\표준서\최고의 팀 만들기 지원_표준서.html", "👉 [클릭] 표준서 열기 📄")</f>
        <v/>
      </c>
      <c r="M7" s="14" t="inlineStr">
        <is>
          <t>1) 지장물 이설 공정표 수립 ➔ 2) 가설 매달기 방호 &amp; 우회 차선 설계 ➔ 3) 착공 14일 전 감리단 제출 ➔ 4) 이설 계획서 책임감리원 승인</t>
        </is>
      </c>
      <c r="N7" s="155">
        <f>HYPERLINK("매뉴얼BODY(집행단계-첨부폴더)v8\3.지장물이설\4_최고의 팀 만들기 지원\수행지침\수행지침.html", "👉 [클릭] 수행지침 열기 📄")</f>
        <v/>
      </c>
      <c r="O7" s="41" t="inlineStr">
        <is>
          <t>지장물 이설 공정표 수립, 가설 매달기 방호/우회 차선 설계 및 착공 14일 전 감리 서면 승인</t>
        </is>
      </c>
      <c r="P7" s="155">
        <f>HYPERLINK("매뉴얼BODY(집행단계-첨부폴더)v8\3.지장물이설\4_최고의 팀 만들기 지원\체크리스트\최고의 팀 만들기 지원_체크리스트.html", "👉 [클릭] 체크리스트 열기 📄")</f>
        <v/>
      </c>
      <c r="Q7" s="13" t="n"/>
      <c r="R7" s="14" t="inlineStr">
        <is>
          <t>동탄트램 지장물 이설 종합 지침</t>
        </is>
      </c>
      <c r="S7" s="17" t="inlineStr">
        <is>
          <t>이설 순서 혼선으로 인한 재굴착 리스크 방지</t>
        </is>
      </c>
      <c r="T7" s="14" t="inlineStr">
        <is>
          <t>지장물 전문가 및 공무팀</t>
        </is>
      </c>
    </row>
    <row r="8" ht="115.2" customHeight="1" s="148">
      <c r="A8" s="13" t="inlineStr">
        <is>
          <t>2000</t>
        </is>
      </c>
      <c r="B8" s="13" t="inlineStr">
        <is>
          <t>2000-1</t>
        </is>
      </c>
      <c r="C8" s="14" t="inlineStr">
        <is>
          <t>공통 관리 Key Point &amp; 사전 준비</t>
        </is>
      </c>
      <c r="D8" s="13" t="inlineStr">
        <is>
          <t>2000-1-7</t>
        </is>
      </c>
      <c r="E8" s="13" t="inlineStr">
        <is>
          <t>P+20</t>
        </is>
      </c>
      <c r="F8" s="15" t="inlineStr">
        <is>
          <t>최고의 팀 만들기 지원</t>
        </is>
      </c>
      <c r="G8" s="13" t="inlineStr">
        <is>
          <t>외주관리팀</t>
        </is>
      </c>
      <c r="H8" s="14" t="inlineStr">
        <is>
          <t>건산법 상생협력 규정 | 지장물 전담 기술자 1:1 현장 배치 | 주간 3자 소통 회의 및 일일 TBM/안전교육 시행</t>
        </is>
      </c>
      <c r="I8" s="14" t="inlineStr">
        <is>
          <t>1) 지장물 전담 기술자 1:1 배치 ➔ 2) 3자 주간 소통 회의 개최 ➔ 3) 근로자 환경 개선 &amp; TBM ➔ 4) One-Team 조직표 감리 서면 승인</t>
        </is>
      </c>
      <c r="J8" s="14" t="inlineStr">
        <is>
          <t>지장물 전담 기술자 1:1 현장 배치, 발주·감리·시공 3자 주간 소통 회의 및 일일 TBM/음주 측정(0.00%)</t>
        </is>
      </c>
      <c r="K8" s="14" t="inlineStr">
        <is>
          <t>건산법 상생협력 규정 | 지장물 전담 기술자 1:1 현장 배치 | 주간 3자 소통 회의 및 일일 TBM/안전교육 시행</t>
        </is>
      </c>
      <c r="L8" s="155">
        <f>HYPERLINK("매뉴얼BODY(집행단계-첨부폴더)v8\3.지장물이설\5_지장물 조사 (위탁기관 합동)\표준서\5_지장물 조사 (위탁기관 합동)_표준서.html", "👉 [클릭] 표준서 열기 📄")</f>
        <v/>
      </c>
      <c r="M8" s="14" t="inlineStr">
        <is>
          <t>1) 지장물 전담 기술자 1:1 배치 ➔ 2) 3자 주간 소통 회의 개최 ➔ 3) 근로자 환경 개선 &amp; TBM ➔ 4) One-Team 조직표 감리 서면 승인</t>
        </is>
      </c>
      <c r="N8" s="155">
        <f>HYPERLINK("매뉴얼BODY(집행단계-첨부폴더)v8\3.지장물이설\5_지장물 조사 (위탁기관 합동)\수행지침\5_지장물 조사 (위탁기관 합동)_수행지침.html", "👉 [클릭] 수행지침 열기 📄")</f>
        <v/>
      </c>
      <c r="O8" s="41" t="inlineStr">
        <is>
          <t>지장물 전담 기술자 1:1 현장 배치, 발주·감리·시공 3자 주간 소통 회의 및 일일 TBM/음주 측정(0.00%)</t>
        </is>
      </c>
      <c r="P8" s="155">
        <f>HYPERLINK("매뉴얼BODY(집행단계-첨부폴더)v8\3.지장물이설\5_지장물 조사 (위탁기관 합동)\체크리스트\5_지장물 조사 (위탁기관 합동)_체크리스트.html", "👉 [클릭] 체크리스트 열기 📄")</f>
        <v/>
      </c>
      <c r="Q8" s="13" t="n"/>
      <c r="R8" s="14" t="inlineStr">
        <is>
          <t>외주 하도급 관리 규정</t>
        </is>
      </c>
      <c r="S8" s="17" t="inlineStr">
        <is>
          <t>시공 미숙 작업반 투입으로 인한 사고 리스크 방지</t>
        </is>
      </c>
      <c r="T8" s="14" t="inlineStr">
        <is>
          <t>외주계약 전문 자문</t>
        </is>
      </c>
    </row>
    <row r="9" ht="172.8" customHeight="1" s="148">
      <c r="A9" s="13" t="inlineStr">
        <is>
          <t>2000</t>
        </is>
      </c>
      <c r="B9" s="13" t="inlineStr">
        <is>
          <t>2000-1</t>
        </is>
      </c>
      <c r="C9" s="14" t="inlineStr">
        <is>
          <t>공통 관리 Key Point &amp; 사전 준비</t>
        </is>
      </c>
      <c r="D9" s="13" t="inlineStr">
        <is>
          <t>2000-1-8</t>
        </is>
      </c>
      <c r="E9" s="13" t="inlineStr">
        <is>
          <t>D-60</t>
        </is>
      </c>
      <c r="F9" s="15" t="inlineStr">
        <is>
          <t>착수전 Big Room 회의</t>
        </is>
      </c>
      <c r="G9" s="13" t="inlineStr">
        <is>
          <t>현장소장</t>
        </is>
      </c>
      <c r="H9" s="14" t="inlineStr">
        <is>
          <t>현장 통합 관리 지침 | 발주처·감리·지자체·시공사 합동 빅룸 회의 | 지장물 간섭 Zero 및 마일스톤 연동 확정</t>
        </is>
      </c>
      <c r="I9" s="14" t="inlineStr">
        <is>
          <t>1) 4자(발주·감리·지자체·시공) 빅룸 결성 ➔ 2) 지장물 이설 마일스톤 연동 ➔ 3) 간섭 리스크 즉시 해소 ➔ 4) 빅룸 회의록 4자 서명 완수</t>
        </is>
      </c>
      <c r="J9" s="14" t="inlineStr">
        <is>
          <t>4자(발주·감리·지자체·시공) 빅룸 회의 결성, 지장물 간섭 Zero 및 마일스톤 연동 회의록 서명</t>
        </is>
      </c>
      <c r="K9" s="14" t="inlineStr">
        <is>
          <t>현장 통합 관리 지침 | 발주처·감리·지자체·시공사 합동 빅룸 회의 | 지장물 간섭 Zero 및 마일스톤 연동 확정</t>
        </is>
      </c>
      <c r="L9" s="155">
        <f>HYPERLINK("매뉴얼BODY(집행단계-첨부폴더)v8\3.지장물이설\5_착수전 Big Room 회의\표준서\착수전 Big Room 회의_표준서.html", "👉 [클릭] 표준서 열기 📄")</f>
        <v/>
      </c>
      <c r="M9" s="14" t="inlineStr">
        <is>
          <t>1) 4자(발주·감리·지자체·시공) 빅룸 결성 ➔ 2) 지장물 이설 마일스톤 연동 ➔ 3) 간섭 리스크 즉시 해소 ➔ 4) 빅룸 회의록 4자 서명 완수</t>
        </is>
      </c>
      <c r="N9" s="155">
        <f>HYPERLINK("매뉴얼BODY(집행단계-첨부폴더)v8\3.지장물이설\5_착수전 Big Room 회의\수행지침\수행지침.html", "👉 [클릭] 수행지침 열기 📄")</f>
        <v/>
      </c>
      <c r="O9" s="41" t="inlineStr">
        <is>
          <t>4자(발주·감리·지자체·시공) 빅룸 회의 결성, 지장물 간섭 Zero 및 마일스톤 연동 회의록 서명</t>
        </is>
      </c>
      <c r="P9" s="155">
        <f>HYPERLINK("매뉴얼BODY(집행단계-첨부폴더)v8\3.지장물이설\5_착수전 Big Room 회의\체크리스트\착수전 Big Room 회의_체크리스트.html", "👉 [클릭] 체크리스트 열기 📄")</f>
        <v/>
      </c>
      <c r="Q9" s="13" t="n"/>
      <c r="R9" s="14" t="inlineStr">
        <is>
          <t>동탄트램 사업관리 지침</t>
        </is>
      </c>
      <c r="S9" s="17" t="inlineStr">
        <is>
          <t>유관기관 간 공정 중복으로 인한 중복 굴착 리스크 방지</t>
        </is>
      </c>
      <c r="T9" s="14" t="inlineStr">
        <is>
          <t>유관기관 관리자 및 분야별 전문가</t>
        </is>
      </c>
    </row>
    <row r="10" ht="115.2" customHeight="1" s="148">
      <c r="A10" s="13" t="inlineStr">
        <is>
          <t>2000</t>
        </is>
      </c>
      <c r="B10" s="13" t="inlineStr">
        <is>
          <t>2000-1S</t>
        </is>
      </c>
      <c r="C10" s="14" t="inlineStr">
        <is>
          <t>사전준비: 공동 대응 방안 수립</t>
        </is>
      </c>
      <c r="D10" s="13" t="inlineStr">
        <is>
          <t>2000-1S-1</t>
        </is>
      </c>
      <c r="E10" s="13" t="inlineStr">
        <is>
          <t>D-50</t>
        </is>
      </c>
      <c r="F10" s="15" t="inlineStr">
        <is>
          <t>인허가 절차 진행</t>
        </is>
      </c>
      <c r="G10" s="13" t="inlineStr">
        <is>
          <t>현장 공무팀</t>
        </is>
      </c>
      <c r="H10" s="14" t="inlineStr">
        <is>
          <t>도로법 및 하천법 준수 | 지자체 도로점용 허가 및 하천점용 허가서 접수 | 관련 부서 협의 및 법정 인허가 필증 수속</t>
        </is>
      </c>
      <c r="I10" s="14" t="inlineStr">
        <is>
          <t>1) 지자체 도로/하천점용 허가서 작성 ➔ 2) 관련 부서 서류 제출 &amp; 심의 ➔ 3) 보증보험 증권 부착 ➔ 4) 법정 인허가 필증 감리 수속</t>
        </is>
      </c>
      <c r="J10" s="14" t="inlineStr">
        <is>
          <t>지자체 도로점용 허가 &amp; 하천점용 허가서 수속, 보증보험 증권 제출 및 법정 인허가 필증 검수</t>
        </is>
      </c>
      <c r="K10" s="14" t="inlineStr">
        <is>
          <t>도로법 및 하천법 준수 | 지자체 도로점용 허가 및 하천점용 허가서 접수 | 관련 부서 협의 및 법정 인허가 필증 수속</t>
        </is>
      </c>
      <c r="L10" s="155">
        <f>HYPERLINK("매뉴얼BODY(집행단계-첨부폴더)v8\3.지장물이설\6_관리기관(맑은물사업소) 협의\표준서\관리기관(맑은물사업소) 협의_표준서.html", "👉 [클릭] 표준서 열기 📄")</f>
        <v/>
      </c>
      <c r="M10" s="14" t="inlineStr">
        <is>
          <t>1) 지자체 도로/하천점용 허가서 작성 ➔ 2) 관련 부서 서류 제출 &amp; 심의 ➔ 3) 보증보험 증권 부착 ➔ 4) 법정 인허가 필증 감리 수속</t>
        </is>
      </c>
      <c r="N10" s="155">
        <f>HYPERLINK("매뉴얼BODY(집행단계-첨부폴더)v8\3.지장물이설\6_관리기관(맑은물사업소) 협의\수행지침\관리기관(맑은물사업소) 협의_수행지침.html", "👉 [클릭] 수행지침 열기 📄")</f>
        <v/>
      </c>
      <c r="O10" s="41" t="inlineStr">
        <is>
          <t>지자체 도로점용 허가 &amp; 하천점용 허가서 수속, 보증보험 증권 제출 및 법정 인허가 필증 검수</t>
        </is>
      </c>
      <c r="P10" s="155">
        <f>HYPERLINK("매뉴얼BODY(집행단계-첨부폴더)v8\3.지장물이설\6_관리기관(맑은물사업소) 협의\체크리스트\관리기관(맑은물사업소) 협의_체크리스트.html", "👉 [클릭] 체크리스트 열기 📄")</f>
        <v/>
      </c>
      <c r="Q10" s="13" t="n"/>
      <c r="R10" s="14" t="inlineStr">
        <is>
          <t>인허가 관련 행정법 및 도로법</t>
        </is>
      </c>
      <c r="S10" s="17" t="inlineStr">
        <is>
          <t>인허가 지연으로 인한 공사 중단 리스크 방지</t>
        </is>
      </c>
      <c r="T10" s="14" t="inlineStr">
        <is>
          <t>인허가 전문 자문</t>
        </is>
      </c>
    </row>
    <row r="11" ht="96" customHeight="1" s="148">
      <c r="A11" s="13" t="inlineStr">
        <is>
          <t>2000</t>
        </is>
      </c>
      <c r="B11" s="13" t="inlineStr">
        <is>
          <t>2000-1S</t>
        </is>
      </c>
      <c r="C11" s="14" t="inlineStr">
        <is>
          <t>사전준비: 공동 대응 방안 수립</t>
        </is>
      </c>
      <c r="D11" s="13" t="inlineStr">
        <is>
          <t>2000-1S-2</t>
        </is>
      </c>
      <c r="E11" s="13" t="inlineStr">
        <is>
          <t>D-45</t>
        </is>
      </c>
      <c r="F11" s="15" t="inlineStr">
        <is>
          <t>교통처리대책 협의 및 승인</t>
        </is>
      </c>
      <c r="G11" s="13" t="inlineStr">
        <is>
          <t>현장 공무팀/안전팀</t>
        </is>
      </c>
      <c r="H11" s="14" t="inlineStr">
        <is>
          <t>도로교통법 제69조 | 관할 경찰서 교통안전 심의 및 점용 허가 수령 | 우회 차선 도면 작성 및 안전 신호수 배치</t>
        </is>
      </c>
      <c r="I11" s="14" t="inlineStr">
        <is>
          <t>1) 교통 우회 도면 &amp; 차선 설계 ➔ 2) 동탄경찰서 도로점용 허가 ➔ 3) 전담 신호수(2인 2조) 배치 ➔ 4) 교통소통 대책서 감리 서면 승인</t>
        </is>
      </c>
      <c r="J11" s="14" t="inlineStr">
        <is>
          <t>동탄경찰서 도로점용 허가, 우회 차선 설계 및 전담 안전 신호수(2인 2조)/LED 경광등 배치</t>
        </is>
      </c>
      <c r="K11" s="14" t="inlineStr">
        <is>
          <t>도로교통법 제69조 | 관할 경찰서 교통안전 심의 및 점용 허가 수령 | 우회 차선 도면 작성 및 안전 신호수 배치</t>
        </is>
      </c>
      <c r="L11" s="155">
        <f>HYPERLINK("매뉴얼BODY(집행단계-첨부폴더)v8\3.지장물이설\6_지장물 이설 계획 수립\표준서\지장물 이설 계획 수립_표준서.html", "👉 [클릭] 표준서 열기 📄")</f>
        <v/>
      </c>
      <c r="M11" s="14" t="inlineStr">
        <is>
          <t>1) 교통 우회 도면 &amp; 차선 설계 ➔ 2) 동탄경찰서 도로점용 허가 ➔ 3) 전담 신호수(2인 2조) 배치 ➔ 4) 교통소통 대책서 감리 서면 승인</t>
        </is>
      </c>
      <c r="N11" s="155">
        <f>HYPERLINK("매뉴얼BODY(집행단계-첨부폴더)v8\3.지장물이설\6_지장물 이설 계획 수립\수행지침\수행지침.html", "👉 [클릭] 수행지침 열기 📄")</f>
        <v/>
      </c>
      <c r="O11" s="41" t="inlineStr">
        <is>
          <t>동탄경찰서 도로점용 허가, 우회 차선 설계 및 전담 안전 신호수(2인 2조)/LED 경광등 배치</t>
        </is>
      </c>
      <c r="P11" s="155">
        <f>HYPERLINK("매뉴얼BODY(집행단계-첨부폴더)v8\3.지장물이설\6_지장물 이설 계획 수립\체크리스트\지장물 이설 계획 수립_체크리스트.html", "👉 [클릭] 체크리스트 열기 📄")</f>
        <v/>
      </c>
      <c r="Q11" s="13" t="n"/>
      <c r="R11" s="14" t="inlineStr">
        <is>
          <t>도로교통법 및 교통영향평가 지침</t>
        </is>
      </c>
      <c r="S11" s="17" t="inlineStr">
        <is>
          <t>교통 혼잡민원 및 안전사고 발생 리스크 예방</t>
        </is>
      </c>
      <c r="T11" s="14" t="inlineStr">
        <is>
          <t>교통영향평가 전문 기술자</t>
        </is>
      </c>
    </row>
    <row r="12" ht="115.2" customHeight="1" s="148">
      <c r="A12" s="13" t="inlineStr">
        <is>
          <t>2000</t>
        </is>
      </c>
      <c r="B12" s="13" t="inlineStr">
        <is>
          <t>2000-1S</t>
        </is>
      </c>
      <c r="C12" s="14" t="inlineStr">
        <is>
          <t>사전준비: 공동 대응 방안 수립</t>
        </is>
      </c>
      <c r="D12" s="13" t="inlineStr">
        <is>
          <t>2000-1S-3</t>
        </is>
      </c>
      <c r="E12" s="13" t="inlineStr">
        <is>
          <t>D-40</t>
        </is>
      </c>
      <c r="F12" s="15" t="inlineStr">
        <is>
          <t>민원 저감 대책 수립</t>
        </is>
      </c>
      <c r="G12" s="13" t="inlineStr">
        <is>
          <t>현장 공무팀/민원팀</t>
        </is>
      </c>
      <c r="H12" s="14" t="inlineStr">
        <is>
          <t>대기환경보전법 및 소음진동관리법 | 야간 공사 소음 억제 방음벽(H=3m) 및 세륜기 가동 | 단수/단전 사전 안내 및 민원 대응반 가동</t>
        </is>
      </c>
      <c r="I12" s="14" t="inlineStr">
        <is>
          <t>1) 야간 공사 소음 방음벽(H=3m) 설치 ➔ 2) 세륜기 가동 &amp; 분무 살수 ➔ 3) 단수/단전 사전 주민 공지 ➔ 4) 민원 대응반 서면 승인</t>
        </is>
      </c>
      <c r="J12" s="14" t="inlineStr">
        <is>
          <t>야간 공사 소음 방음벽(H=3m) 가동, 이동식 세륜기(깊이 1.2m) 가동 및 단수 사전 주민 알림</t>
        </is>
      </c>
      <c r="K12" s="14" t="inlineStr">
        <is>
          <t>대기환경보전법 및 소음진동관리법 | 야간 공사 소음 억제 방음벽(H=3m) 및 세륜기 가동 | 단수/단전 사전 안내 및 민원 대응반 가동</t>
        </is>
      </c>
      <c r="L12" s="155">
        <f>HYPERLINK("매뉴얼BODY(집행단계-첨부폴더)v8\3.지장물이설\7_위수탁 지장물 이설 설계\표준서\위수탁 지장물 이설 설계_표준서.html", "👉 [클릭] 표준서 열기 📄")</f>
        <v/>
      </c>
      <c r="M12" s="14" t="inlineStr">
        <is>
          <t>1) 야간 공사 소음 방음벽(H=3m) 설치 ➔ 2) 세륜기 가동 &amp; 분무 살수 ➔ 3) 단수/단전 사전 주민 공지 ➔ 4) 민원 대응반 서면 승인</t>
        </is>
      </c>
      <c r="N12" s="155">
        <f>HYPERLINK("매뉴얼BODY(집행단계-첨부폴더)v8\3.지장물이설\7_위수탁 지장물 이설 설계\수행지침\수행지침.html", "👉 [클릭] 수행지침 열기 📄")</f>
        <v/>
      </c>
      <c r="O12" s="41" t="inlineStr">
        <is>
          <t>야간 공사 소음 방음벽(H=3m) 가동, 이동식 세륜기(깊이 1.2m) 가동 및 단수 사전 주민 알림</t>
        </is>
      </c>
      <c r="P12" s="155">
        <f>HYPERLINK("매뉴얼BODY(집행단계-첨부폴더)v8\3.지장물이설\7_위수탁 지장물 이설 설계\체크리스트\위수탁 지장물 이설 설계_체크리스트.html", "👉 [클릭] 체크리스트 열기 📄")</f>
        <v/>
      </c>
      <c r="Q12" s="13" t="n"/>
      <c r="R12" s="14" t="inlineStr">
        <is>
          <t>환경보전법 및 소음진동관리법</t>
        </is>
      </c>
      <c r="S12" s="17" t="inlineStr">
        <is>
          <t>집단 민원에 따른 현장 봉쇄 및 집회 리스크 방지</t>
        </is>
      </c>
      <c r="T12" s="14" t="inlineStr">
        <is>
          <t>민원 전담 현장 대리인</t>
        </is>
      </c>
    </row>
    <row r="13" ht="96" customHeight="1" s="148">
      <c r="A13" s="13" t="inlineStr">
        <is>
          <t>2000</t>
        </is>
      </c>
      <c r="B13" s="13" t="inlineStr">
        <is>
          <t>2000-1S</t>
        </is>
      </c>
      <c r="C13" s="14" t="inlineStr">
        <is>
          <t>사전준비: 공동 대응 방안 수립</t>
        </is>
      </c>
      <c r="D13" s="13" t="inlineStr">
        <is>
          <t>2000-1S-4</t>
        </is>
      </c>
      <c r="E13" s="13" t="inlineStr">
        <is>
          <t>D-35</t>
        </is>
      </c>
      <c r="F13" s="15" t="inlineStr">
        <is>
          <t>용지보상 Risk 파악</t>
        </is>
      </c>
      <c r="G13" s="13" t="inlineStr">
        <is>
          <t>현장 공무팀 / 토목계약관리팀</t>
        </is>
      </c>
      <c r="H13" s="14" t="inlineStr">
        <is>
          <t>토지보상법 준수 | 지장물 이설 부지 용지보상 현황 및 점용 경계 실측 | 미보상 사유지 가설 펜스 차단 및 우회 동선</t>
        </is>
      </c>
      <c r="I13" s="14" t="inlineStr">
        <is>
          <t>1) 미보상 사유지 경계 현출 ➔ 2) 가설 펜스(H=1.8m) 차단 ➔ 3) 3D 우회 토공 동선 수립 ➔ 4) 용지 보상 리스크 대책 승인</t>
        </is>
      </c>
      <c r="J13" s="14" t="inlineStr">
        <is>
          <t>미보상 사유지 경계 현출, 가설 펜스(H=1.8m) 차단 및 3D 우회 토공 동선 마일스톤 연동</t>
        </is>
      </c>
      <c r="K13" s="14" t="inlineStr">
        <is>
          <t>토지보상법 준수 | 지장물 이설 부지 용지보상 현황 및 점용 경계 실측 | 미보상 사유지 가설 펜스 차단 및 우회 동선</t>
        </is>
      </c>
      <c r="L13" s="155">
        <f>HYPERLINK("매뉴얼BODY(집행단계-첨부폴더)v8\3.지장물이설\7_최고의 팀 만들기 지원\표준서\7_최고의 팀 만들기 지원_표준서.html", "👉 [클릭] 표준서 열기 📄")</f>
        <v/>
      </c>
      <c r="M13" s="14" t="inlineStr">
        <is>
          <t>1) 미보상 사유지 경계 현출 ➔ 2) 가설 펜스(H=1.8m) 차단 ➔ 3) 3D 우회 토공 동선 수립 ➔ 4) 용지 보상 리스크 대책 승인</t>
        </is>
      </c>
      <c r="N13" s="155">
        <f>HYPERLINK("매뉴얼BODY(집행단계-첨부폴더)v8\3.지장물이설\7_최고의 팀 만들기 지원\수행지침\7_최고의 팀 만들기 지원_수행지침.html", "👉 [클릭] 수행지침 열기 📄")</f>
        <v/>
      </c>
      <c r="O13" s="41" t="inlineStr">
        <is>
          <t>미보상 사유지 경계 현출, 가설 펜스(H=1.8m) 차단 및 3D 우회 토공 동선 마일스톤 연동</t>
        </is>
      </c>
      <c r="P13" s="155">
        <f>HYPERLINK("매뉴얼BODY(집행단계-첨부폴더)v8\3.지장물이설\7_최고의 팀 만들기 지원\체크리스트\7_최고의 팀 만들기 지원_체크리스트.html", "👉 [클릭] 체크리스트 열기 📄")</f>
        <v/>
      </c>
      <c r="Q13" s="13" t="n"/>
      <c r="R13" s="14" t="inlineStr">
        <is>
          <t>토지보상법 및 용지 보상 조례</t>
        </is>
      </c>
      <c r="S13" s="17" t="inlineStr">
        <is>
          <t>사유지 무단 침범에 따른 형사 고소 리스크 방지</t>
        </is>
      </c>
      <c r="T13" s="14" t="inlineStr">
        <is>
          <t>토지 보상 전문 행정사 자문</t>
        </is>
      </c>
    </row>
    <row r="14" ht="96" customHeight="1" s="148">
      <c r="A14" s="13" t="inlineStr">
        <is>
          <t>2000</t>
        </is>
      </c>
      <c r="B14" s="13" t="inlineStr">
        <is>
          <t>2000-2</t>
        </is>
      </c>
      <c r="C14" s="14" t="inlineStr">
        <is>
          <t>도급자/위수탁분 설계 및 행정</t>
        </is>
      </c>
      <c r="D14" s="13" t="inlineStr">
        <is>
          <t>2000-2-1</t>
        </is>
      </c>
      <c r="E14" s="13" t="inlineStr">
        <is>
          <t>D-40</t>
        </is>
      </c>
      <c r="F14" s="15" t="inlineStr">
        <is>
          <t>관리기관(맑은물사업소) 협의</t>
        </is>
      </c>
      <c r="G14" s="13" t="inlineStr">
        <is>
          <t>현장 공무팀</t>
        </is>
      </c>
      <c r="H14" s="14" t="inlineStr">
        <is>
          <t>수도법 및 하수도법 규정 | 맑은물사업소 합동 이설 위치 검토 &amp; 수돗물 단수 일정 수협 | 신구관 접속 설계도서 서면 결재</t>
        </is>
      </c>
      <c r="I14" s="14" t="inlineStr">
        <is>
          <t>1) 맑은물사업소 이설 위치 현측 ➔ 2) 단수 일정(최대 6시간) 협의 ➔ 3) 신구관 접속 도면 검토 ➔ 4) 이설 승인 공문 수령</t>
        </is>
      </c>
      <c r="J14" s="14" t="inlineStr">
        <is>
          <t>맑은물사업소 합동 이설 위치 검토, 수돗물 단수 일정(최대 6h) 수협 및 신구관 접속 도면 결재</t>
        </is>
      </c>
      <c r="K14" s="14" t="inlineStr">
        <is>
          <t>수도법 및 하수도법 규정 | 맑은물사업소 합동 이설 위치 검토 &amp; 수돗물 단수 일정 수협 | 신구관 접속 설계도서 서면 결재</t>
        </is>
      </c>
      <c r="L14" s="155">
        <f>HYPERLINK("매뉴얼BODY(집행단계-첨부폴더)v8\3.지장물이설\8_상하수도 이설계획 실정보고\표준서\상하수도 이설계획 실정보고_표준서.html", "👉 [클릭] 표준서 열기 📄")</f>
        <v/>
      </c>
      <c r="M14" s="14" t="inlineStr">
        <is>
          <t>1) 맑은물사업소 이설 위치 현측 ➔ 2) 단수 일정(최대 6시간) 협의 ➔ 3) 신구관 접속 도면 검토 ➔ 4) 이설 승인 공문 수령</t>
        </is>
      </c>
      <c r="N14" s="155">
        <f>HYPERLINK("매뉴얼BODY(집행단계-첨부폴더)v8\3.지장물이설\8_상하수도 이설계획 실정보고\수행지침\상하수도 이설계획 실정보고_수행지침.html", "👉 [클릭] 수행지침 열기 📄")</f>
        <v/>
      </c>
      <c r="O14" s="41" t="inlineStr">
        <is>
          <t>맑은물사업소 합동 이설 위치 검토, 수돗물 단수 일정(최대 6h) 수협 및 신구관 접속 도면 결재</t>
        </is>
      </c>
      <c r="P14" s="155">
        <f>HYPERLINK("매뉴얼BODY(집행단계-첨부폴더)v8\3.지장물이설\8_상하수도 이설계획 실정보고\체크리스트\상하수도 이설계획 실정보고_체크리스트.html", "👉 [클릭] 체크리스트 열기 📄")</f>
        <v/>
      </c>
      <c r="Q14" s="13" t="n"/>
      <c r="R14" s="14" t="inlineStr">
        <is>
          <t>맑은물사업소 상하수도 시설기준</t>
        </is>
      </c>
      <c r="S14" s="26" t="inlineStr">
        <is>
          <t>상하수도 이설 위치 불일치로 인한 재협의 리스크 방지</t>
        </is>
      </c>
      <c r="T14" s="14" t="inlineStr">
        <is>
          <t>상하수도 전문 기술사 자문</t>
        </is>
      </c>
    </row>
    <row r="15" ht="96" customHeight="1" s="148">
      <c r="A15" s="13" t="inlineStr">
        <is>
          <t>2000</t>
        </is>
      </c>
      <c r="B15" s="13" t="inlineStr">
        <is>
          <t>2000-2</t>
        </is>
      </c>
      <c r="C15" s="14" t="inlineStr">
        <is>
          <t>도급자/위수탁분 설계 및 행정</t>
        </is>
      </c>
      <c r="D15" s="13" t="inlineStr">
        <is>
          <t>2000-2-2</t>
        </is>
      </c>
      <c r="E15" s="13" t="inlineStr">
        <is>
          <t>D-40</t>
        </is>
      </c>
      <c r="F15" s="15" t="inlineStr">
        <is>
          <t>위수탁 지장물 이설 설계</t>
        </is>
      </c>
      <c r="G15" s="13" t="inlineStr">
        <is>
          <t>엔지니어링팀/위수탁기관</t>
        </is>
      </c>
      <c r="H15" s="14" t="inlineStr">
        <is>
          <t>지하관로 설계기준 준수 | 위수탁 기관 설계도서 기술 검토 &amp; 3D BIM 간섭 점검 | 총사업비 변경 승인 및 설계 도서 수록</t>
        </is>
      </c>
      <c r="I15" s="14" t="inlineStr">
        <is>
          <t>1) 위수탁 기관 설계도서 수속 ➔ 2) 3D BIM 간섭 리스크 점검 ➔ 3) 총사업비 변경 수량 검증 ➔ 4) 위수탁 설계도서 감리 승인</t>
        </is>
      </c>
      <c r="J15" s="14" t="inlineStr">
        <is>
          <t>위수탁 기관 설계도서 기술 검토, 3D BIM 간섭 리스크 점검 및 총사업비 변경 수량 승인</t>
        </is>
      </c>
      <c r="K15" s="14" t="inlineStr">
        <is>
          <t>지하관로 설계기준 준수 | 위수탁 기관 설계도서 기술 검토 &amp; 3D BIM 간섭 점검 | 총사업비 변경 승인 및 설계 도서 수록</t>
        </is>
      </c>
      <c r="L15" s="155">
        <f>HYPERLINK("매뉴얼BODY(집행단계-첨부폴더)v8\3.지장물이설\8_착수전 Big Room 회의\표준서\8_착수전 Big Room 회의_표준서.html", "👉 [클릭] 표준서 열기 📄")</f>
        <v/>
      </c>
      <c r="M15" s="14" t="inlineStr">
        <is>
          <t>1) 위수탁 기관 설계도서 수속 ➔ 2) 3D BIM 간섭 리스크 점검 ➔ 3) 총사업비 변경 수량 검증 ➔ 4) 위수탁 설계도서 감리 승인</t>
        </is>
      </c>
      <c r="N15" s="155">
        <f>HYPERLINK("매뉴얼BODY(집행단계-첨부폴더)v8\3.지장물이설\8_착수전 Big Room 회의\수행지침\8_착수전 Big Room 회의_수행지침.html", "👉 [클릭] 수행지침 열기 📄")</f>
        <v/>
      </c>
      <c r="O15" s="41" t="inlineStr">
        <is>
          <t>위수탁 기관 설계도서 기술 검토, 3D BIM 간섭 리스크 점검 및 총사업비 변경 수량 승인</t>
        </is>
      </c>
      <c r="P15" s="155">
        <f>HYPERLINK("매뉴얼BODY(집행단계-첨부폴더)v8\3.지장물이설\8_착수전 Big Room 회의\체크리스트\8_착수전 Big Room 회의_체크리스트.html", "👉 [클릭] 체크리스트 열기 📄")</f>
        <v/>
      </c>
      <c r="Q15" s="13" t="n"/>
      <c r="R15" s="14" t="inlineStr">
        <is>
          <t>국가계약법 및 위수탁 설계 기준</t>
        </is>
      </c>
      <c r="S15" s="17" t="inlineStr">
        <is>
          <t>위수탁 분담금 예가 과다 산정 리스크 관리</t>
        </is>
      </c>
      <c r="T15" s="14" t="inlineStr">
        <is>
          <t>위수탁 설계 전문 엔지니어링</t>
        </is>
      </c>
    </row>
    <row r="16" ht="96" customHeight="1" s="148">
      <c r="A16" s="13" t="inlineStr">
        <is>
          <t>2000</t>
        </is>
      </c>
      <c r="B16" s="13" t="inlineStr">
        <is>
          <t>2000-2</t>
        </is>
      </c>
      <c r="C16" s="14" t="inlineStr">
        <is>
          <t>도급자/위수탁분 설계 및 행정</t>
        </is>
      </c>
      <c r="D16" s="13" t="inlineStr">
        <is>
          <t>2000-2-3</t>
        </is>
      </c>
      <c r="E16" s="13" t="inlineStr">
        <is>
          <t>D-30</t>
        </is>
      </c>
      <c r="F16" s="15" t="inlineStr">
        <is>
          <t>상하수도 이설계획 실정보고</t>
        </is>
      </c>
      <c r="G16" s="13" t="inlineStr">
        <is>
          <t>현장 공무팀</t>
        </is>
      </c>
      <c r="H16" s="14" t="inlineStr">
        <is>
          <t>건진법 시행령 규정 | 현장 지장물 현출에 따른 실정보고서 작성 | 공법 변경 및 수량 증감에 대한 책임감리 승인</t>
        </is>
      </c>
      <c r="I16" s="14" t="inlineStr">
        <is>
          <t>1) 현장 지장물 현출 실정보고 작성 ➔ 2) 공법 변경 &amp; 수량 증감 산출 ➔ 3) 기술 검토 의견서 첨부 ➔ 4) 실정보고서 감리 서면 승인</t>
        </is>
      </c>
      <c r="J16" s="14" t="inlineStr">
        <is>
          <t>현장 지장물 현출 실정보고서 작성, 공법 변경 및 수량 증감 산출 책임감리원 승인</t>
        </is>
      </c>
      <c r="K16" s="14" t="inlineStr">
        <is>
          <t>건진법 시행령 규정 | 현장 지장물 현출에 따른 실정보고서 작성 | 공법 변경 및 수량 증감에 대한 책임감리 승인</t>
        </is>
      </c>
      <c r="L16" s="155">
        <f>HYPERLINK("매뉴얼BODY(집행단계-첨부폴더)v8\3.지장물이설\9_위수탁 계약 체결\표준서\위수탁 계약 체결_표준서.html", "👉 [클릭] 표준서 열기 📄")</f>
        <v/>
      </c>
      <c r="M16" s="14" t="inlineStr">
        <is>
          <t>1) 현장 지장물 현출 실정보고 작성 ➔ 2) 공법 변경 &amp; 수량 증감 산출 ➔ 3) 기술 검토 의견서 첨부 ➔ 4) 실정보고서 감리 서면 승인</t>
        </is>
      </c>
      <c r="N16" s="155">
        <f>HYPERLINK("매뉴얼BODY(집행단계-첨부폴더)v8\3.지장물이설\9_위수탁 계약 체결\수행지침\수행지침.html", "👉 [클릭] 수행지침 열기 📄")</f>
        <v/>
      </c>
      <c r="O16" s="41" t="inlineStr">
        <is>
          <t>현장 지장물 현출 실정보고서 작성, 공법 변경 및 수량 증감 산출 책임감리원 승인</t>
        </is>
      </c>
      <c r="P16" s="155">
        <f>HYPERLINK("매뉴얼BODY(집행단계-첨부폴더)v8\3.지장물이설\9_위수탁 계약 체결\체크리스트\위수탁 계약 체결_체크리스트.html", "👉 [클릭] 체크리스트 열기 📄")</f>
        <v/>
      </c>
      <c r="Q16" s="13" t="n"/>
      <c r="R16" s="14" t="inlineStr">
        <is>
          <t>건설기술진흥법 및 계약금액 조정 지침</t>
        </is>
      </c>
      <c r="S16" s="17" t="inlineStr">
        <is>
          <t>실정보고 승인 지연에 따른 변경 금액 누락 방지</t>
        </is>
      </c>
      <c r="T16" s="14" t="inlineStr">
        <is>
          <t>토목 공무 및 정산 전문가</t>
        </is>
      </c>
    </row>
    <row r="17" ht="96" customHeight="1" s="148">
      <c r="A17" s="13" t="inlineStr">
        <is>
          <t>2000</t>
        </is>
      </c>
      <c r="B17" s="13" t="inlineStr">
        <is>
          <t>2000-2</t>
        </is>
      </c>
      <c r="C17" s="14" t="inlineStr">
        <is>
          <t>도급자/위수탁분 설계 및 행정</t>
        </is>
      </c>
      <c r="D17" s="13" t="inlineStr">
        <is>
          <t>2000-2-4</t>
        </is>
      </c>
      <c r="E17" s="13" t="inlineStr">
        <is>
          <t>D-25</t>
        </is>
      </c>
      <c r="F17" s="15" t="inlineStr">
        <is>
          <t>위수탁 계약 체결</t>
        </is>
      </c>
      <c r="G17" s="13" t="inlineStr">
        <is>
          <t>현장 공무팀 / 발주처</t>
        </is>
      </c>
      <c r="H17" s="14" t="inlineStr">
        <is>
          <t>지방자치단체 계약법 | 관할 점용기관과 위수탁 이설 협약서 정산 조건 체결 | 공사비 분담금 및 예비비 계상 합의</t>
        </is>
      </c>
      <c r="I17" s="14" t="inlineStr">
        <is>
          <t>1) 관할 점용기관 협약 조건 수속 ➔ 2) 정산 분담금 &amp; 예비비 협의 ➔ 3) 위수탁 계약서 작성 ➔ 4) 위수탁 이설 계약 체결 승인</t>
        </is>
      </c>
      <c r="J17" s="14" t="inlineStr">
        <is>
          <t>관할 점용기관 위수탁 이설 협약서 체결, 공사비 분담금 및 예비비 계상 합의 서약</t>
        </is>
      </c>
      <c r="K17" s="14" t="inlineStr">
        <is>
          <t>지방자치단체 계약법 | 관할 점용기관과 위수탁 이설 협약서 정산 조건 체결 | 공사비 분담금 및 예비비 계상 합의</t>
        </is>
      </c>
      <c r="L17" s="155">
        <f>HYPERLINK("매뉴얼BODY(집행단계-첨부폴더)v8\3.지장물이설\9_인허가 절차 진행\표준서\9_인허가 절차 진행_표준서.html", "👉 [클릭] 표준서 열기 📄")</f>
        <v/>
      </c>
      <c r="M17" s="14" t="inlineStr">
        <is>
          <t>1) 관할 점용기관 협약 조건 수속 ➔ 2) 정산 분담금 &amp; 예비비 협의 ➔ 3) 위수탁 계약서 작성 ➔ 4) 위수탁 이설 계약 체결 승인</t>
        </is>
      </c>
      <c r="N17" s="155">
        <f>HYPERLINK("매뉴얼BODY(집행단계-첨부폴더)v8\3.지장물이설\9_인허가 절차 진행\수행지침\9_인허가 절차 진행_수행지침.html", "👉 [클릭] 수행지침 열기 📄")</f>
        <v/>
      </c>
      <c r="O17" s="41" t="inlineStr">
        <is>
          <t>관할 점용기관 위수탁 이설 협약서 체결, 공사비 분담금 및 예비비 계상 합의 서약</t>
        </is>
      </c>
      <c r="P17" s="155">
        <f>HYPERLINK("매뉴얼BODY(집행단계-첨부폴더)v8\3.지장물이설\9_인허가 절차 진행\체크리스트\9_인허가 절차 진행_체크리스트.html", "👉 [클릭] 체크리스트 열기 📄")</f>
        <v/>
      </c>
      <c r="Q17" s="13" t="n"/>
      <c r="R17" s="14" t="inlineStr">
        <is>
          <t>지방재정법 및 지자체 계약 조례</t>
        </is>
      </c>
      <c r="S17" s="17" t="inlineStr">
        <is>
          <t>협약 미체결로 인한 시공 후 법적 분쟁 리스크 방지</t>
        </is>
      </c>
      <c r="T17" s="14" t="inlineStr">
        <is>
          <t>법무 및 계약 전담 전문가</t>
        </is>
      </c>
    </row>
    <row r="18" ht="96" customHeight="1" s="148">
      <c r="A18" s="13" t="inlineStr">
        <is>
          <t>2000</t>
        </is>
      </c>
      <c r="B18" s="13" t="inlineStr">
        <is>
          <t>2000-3</t>
        </is>
      </c>
      <c r="C18" s="14" t="inlineStr">
        <is>
          <t>지장물 이설 시공 관리</t>
        </is>
      </c>
      <c r="D18" s="13" t="inlineStr">
        <is>
          <t>2000-3-1</t>
        </is>
      </c>
      <c r="E18" s="13" t="inlineStr">
        <is>
          <t>D+0</t>
        </is>
      </c>
      <c r="F18" s="15" t="inlineStr">
        <is>
          <t>도로점용/굴착행위 인허가</t>
        </is>
      </c>
      <c r="G18" s="13" t="inlineStr">
        <is>
          <t>현장 공무팀/공사팀</t>
        </is>
      </c>
      <c r="H18" s="14" t="inlineStr">
        <is>
          <t>도로법 제61조 준수 | 지자체 도로 굴착 허가 신청서 접수 및 심의 필 | 도로 복구 이행 보증보험 증권 제출</t>
        </is>
      </c>
      <c r="I18" s="14" t="inlineStr">
        <is>
          <t>1) 도로 굴착 허가 신청서 작성 ➔ 2) 지자체 도로굴착 심의 필 ➔ 3) 복구 보증보험 증권 제출 ➔ 4) 도로 굴착 허가증 감리 결재</t>
        </is>
      </c>
      <c r="J18" s="14" t="inlineStr">
        <is>
          <t>지자체 도로 굴착 허가 신청서 접수, 심의 필증 수령 및 도로 복구 보증보험 증권 제출</t>
        </is>
      </c>
      <c r="K18" s="14" t="inlineStr">
        <is>
          <t>도로법 제61조 준수 | 지자체 도로 굴착 허가 신청서 접수 및 심의 필 | 도로 복구 이행 보증보험 증권 제출</t>
        </is>
      </c>
      <c r="L18" s="155">
        <f>HYPERLINK("매뉴얼BODY(집행단계-첨부폴더)v8\3.지장물이설\10_교통처리대책 협의 및 승인\표준서\10_교통처리대책 협의 및 승인_표준서.html", "👉 [클릭] 표준서 열기 📄")</f>
        <v/>
      </c>
      <c r="M18" s="14" t="inlineStr">
        <is>
          <t>1) 도로 굴착 허가 신청서 작성 ➔ 2) 지자체 도로굴착 심의 필 ➔ 3) 복구 보증보험 증권 제출 ➔ 4) 도로 굴착 허가증 감리 결재</t>
        </is>
      </c>
      <c r="N18" s="155">
        <f>HYPERLINK("매뉴얼BODY(집행단계-첨부폴더)v8\3.지장물이설\10_교통처리대책 협의 및 승인\수행지침\10_교통처리대책 협의 및 승인_수행지침.html", "👉 [클릭] 수행지침 열기 📄")</f>
        <v/>
      </c>
      <c r="O18" s="41" t="inlineStr">
        <is>
          <t>지자체 도로 굴착 허가 신청서 접수, 심의 필증 수령 및 도로 복구 보증보험 증권 제출</t>
        </is>
      </c>
      <c r="P18" s="155">
        <f>HYPERLINK("매뉴얼BODY(집행단계-첨부폴더)v8\3.지장물이설\10_교통처리대책 협의 및 승인\체크리스트\10_교통처리대책 협의 및 승인_체크리스트.html", "👉 [클릭] 체크리스트 열기 📄")</f>
        <v/>
      </c>
      <c r="Q18" s="13" t="n"/>
      <c r="R18" s="14" t="inlineStr">
        <is>
          <t>도로법 및 도로석굴착 관리조례</t>
        </is>
      </c>
      <c r="S18" s="17" t="inlineStr">
        <is>
          <t>무단 점용/굴착에 따른 과태료 및 공사중단 리스크 방지</t>
        </is>
      </c>
      <c r="T18" s="14" t="inlineStr">
        <is>
          <t>인허가 전담 행정 자문</t>
        </is>
      </c>
    </row>
    <row r="19" ht="96" customHeight="1" s="148">
      <c r="A19" s="13" t="inlineStr">
        <is>
          <t>2000</t>
        </is>
      </c>
      <c r="B19" s="13" t="inlineStr">
        <is>
          <t>2000-3</t>
        </is>
      </c>
      <c r="C19" s="14" t="inlineStr">
        <is>
          <t>지장물 이설 시공 관리</t>
        </is>
      </c>
      <c r="D19" s="13" t="inlineStr">
        <is>
          <t>2000-3-2</t>
        </is>
      </c>
      <c r="E19" s="13" t="inlineStr">
        <is>
          <t>D+0</t>
        </is>
      </c>
      <c r="F19" s="15" t="inlineStr">
        <is>
          <t>교통통제 및 교통안전시설 설치</t>
        </is>
      </c>
      <c r="G19" s="13" t="inlineStr">
        <is>
          <t>현장 안전팀/공사팀</t>
        </is>
      </c>
      <c r="H19" s="14" t="inlineStr">
        <is>
          <t>도로교통법 안전 수칙 | 게이트 및 굴착 구간 안전 바리케이트, LED 경광등 부설 | 전담 신호수(2인 2조) 100% 현장 배치</t>
        </is>
      </c>
      <c r="I19" s="14" t="inlineStr">
        <is>
          <t>1) 굴착 구간 안전 바리케이트 부설 ➔ 2) 야간 LED 경광등 &amp; 표지판 설치 ➔ 3) 전담 신호수(2인 2조) 배치 ➔ 4) 교통 안전 점검 대장 결재</t>
        </is>
      </c>
      <c r="J19" s="14" t="inlineStr">
        <is>
          <t>굴착 구간 안전 바리케이트 부설, 야간 LED 경광등 설치 및 전담 신호수(2인 2조) 배치</t>
        </is>
      </c>
      <c r="K19" s="14" t="inlineStr">
        <is>
          <t>도로교통법 안전 수칙 | 게이트 및 굴착 구간 안전 바리케이트, LED 경광등 부설 | 전담 신호수(2인 2조) 100% 현장 배치</t>
        </is>
      </c>
      <c r="L19" s="155">
        <f>HYPERLINK("매뉴얼BODY(집행단계-첨부폴더)v8\3.지장물이설\10_도로점용_굴착행위 인허가\표준서\도로점용_굴착행위 인허가_표준서.html", "👉 [클릭] 표준서 열기 📄")</f>
        <v/>
      </c>
      <c r="M19" s="14" t="inlineStr">
        <is>
          <t>1) 굴착 구간 안전 바리케이트 부설 ➔ 2) 야간 LED 경광등 &amp; 표지판 설치 ➔ 3) 전담 신호수(2인 2조) 배치 ➔ 4) 교통 안전 점검 대장 결재</t>
        </is>
      </c>
      <c r="N19" s="155">
        <f>HYPERLINK("매뉴얼BODY(집행단계-첨부폴더)v8\3.지장물이설\10_도로점용_굴착행위 인허가\수행지침\도로점용_굴착행위 인허가_수행지침.html", "👉 [클릭] 수행지침 열기 📄")</f>
        <v/>
      </c>
      <c r="O19" s="41" t="inlineStr">
        <is>
          <t>굴착 구간 안전 바리케이트 부설, 야간 LED 경광등 설치 및 전담 신호수(2인 2조) 배치</t>
        </is>
      </c>
      <c r="P19" s="155">
        <f>HYPERLINK("매뉴얼BODY(집행단계-첨부폴더)v8\3.지장물이설\10_도로점용_굴착행위 인허가\체크리스트\도로점용_굴착행위 인허가_체크리스트.html", "👉 [클릭] 체크리스트 열기 📄")</f>
        <v/>
      </c>
      <c r="Q19" s="13" t="n"/>
      <c r="R19" s="14" t="inlineStr">
        <is>
          <t>도로공사장 교통관리지침 (국토교통부)</t>
        </is>
      </c>
      <c r="S19" s="17" t="inlineStr">
        <is>
          <t>교통사고 및 보행자 민원 발생 리스크 예방</t>
        </is>
      </c>
      <c r="T19" s="14" t="inlineStr">
        <is>
          <t>교통안전 전문 자문</t>
        </is>
      </c>
    </row>
    <row r="20" ht="96" customHeight="1" s="148">
      <c r="A20" s="13" t="inlineStr">
        <is>
          <t>2000</t>
        </is>
      </c>
      <c r="B20" s="13" t="inlineStr">
        <is>
          <t>2000-3</t>
        </is>
      </c>
      <c r="C20" s="14" t="inlineStr">
        <is>
          <t>지장물 이설 시공 관리</t>
        </is>
      </c>
      <c r="D20" s="13" t="inlineStr">
        <is>
          <t>2000-3-3</t>
        </is>
      </c>
      <c r="E20" s="13" t="inlineStr">
        <is>
          <t>D+1</t>
        </is>
      </c>
      <c r="F20" s="15" t="inlineStr">
        <is>
          <t>줄따기(GPR)를 통한 기존 지장물 매설 확인</t>
        </is>
      </c>
      <c r="G20" s="13" t="inlineStr">
        <is>
          <t>현장 공무팀/공사팀</t>
        </is>
      </c>
      <c r="H20" s="14" t="inlineStr">
        <is>
          <t>지하안전법 제23조 | GPR 3D 탐사 후 인력 시탐 줄파기(폭 0.5m, 깊이 1.5m) | 실체 관로 노출 및 위치 표지판 비치</t>
        </is>
      </c>
      <c r="I20" s="14" t="inlineStr">
        <is>
          <t>1) GPR 3D 지중 관로 탐사 ➔ 2) 인력 시탐 줄파기(깊이 1.5m) ➔ 3) 실체 관로 노출 &amp; 위치 매핑 ➔ 4) 지장물 현측표 감리 서면 승인</t>
        </is>
      </c>
      <c r="J20" s="14" t="inlineStr">
        <is>
          <t>GPR 3D 지중 관로 탐사, 인력 시탐 줄파기(폭 0.5m, 깊이 1.5m) 및 실체 관로 노출 매핑</t>
        </is>
      </c>
      <c r="K20" s="14" t="inlineStr">
        <is>
          <t>지하안전법 제23조 | GPR 3D 탐사 후 인력 시탐 줄파기(폭 0.5m, 깊이 1.5m) | 실체 관로 노출 및 위치 표지판 비치</t>
        </is>
      </c>
      <c r="L20" s="155">
        <f>HYPERLINK("매뉴얼BODY(집행단계-첨부폴더)v8\3.지장물이설\11_교통통제 및 교통안전시설 설치\표준서\교통통제 및 교통안전시설 설치_표준서.html", "👉 [클릭] 표준서 열기 📄")</f>
        <v/>
      </c>
      <c r="M20" s="14" t="inlineStr">
        <is>
          <t>1) GPR 3D 지중 관로 탐사 ➔ 2) 인력 시탐 줄파기(깊이 1.5m) ➔ 3) 실체 관로 노출 &amp; 위치 매핑 ➔ 4) 지장물 현측표 감리 서면 승인</t>
        </is>
      </c>
      <c r="N20" s="155">
        <f>HYPERLINK("매뉴얼BODY(집행단계-첨부폴더)v8\3.지장물이설\11_교통통제 및 교통안전시설 설치\수행지침\교통통제 및 교통안전시설 설치_수행지침.html", "👉 [클릭] 수행지침 열기 📄")</f>
        <v/>
      </c>
      <c r="O20" s="41" t="inlineStr">
        <is>
          <t>GPR 3D 지중 관로 탐사, 인력 시탐 줄파기(폭 0.5m, 깊이 1.5m) 및 실체 관로 노출 매핑</t>
        </is>
      </c>
      <c r="P20" s="155">
        <f>HYPERLINK("매뉴얼BODY(집행단계-첨부폴더)v8\3.지장물이설\11_교통통제 및 교통안전시설 설치\체크리스트\교통통제 및 교통안전시설 설치_체크리스트.html", "👉 [클릭] 체크리스트 열기 📄")</f>
        <v/>
      </c>
      <c r="Q20" s="13" t="n"/>
      <c r="R20" s="14" t="inlineStr">
        <is>
          <t>지하안전관리에 관한 특별법 (지하안전법)</t>
        </is>
      </c>
      <c r="S20" s="17" t="inlineStr">
        <is>
          <t>중장비 직접 굴착으로 인한 관로 파손 사고 리스크 방지</t>
        </is>
      </c>
      <c r="T20" s="14" t="inlineStr">
        <is>
          <t>GPR 탐지 및 지하안전 전문 자문</t>
        </is>
      </c>
    </row>
    <row r="21" ht="96" customHeight="1" s="148">
      <c r="A21" s="13" t="inlineStr">
        <is>
          <t>2000</t>
        </is>
      </c>
      <c r="B21" s="13" t="inlineStr">
        <is>
          <t>2000-3</t>
        </is>
      </c>
      <c r="C21" s="14" t="inlineStr">
        <is>
          <t>지장물 이설 시공 관리</t>
        </is>
      </c>
      <c r="D21" s="13" t="inlineStr">
        <is>
          <t>2000-3-4</t>
        </is>
      </c>
      <c r="E21" s="13" t="inlineStr">
        <is>
          <t>D+3</t>
        </is>
      </c>
      <c r="F21" s="15" t="inlineStr">
        <is>
          <t>이설 위치 토공 굴착</t>
        </is>
      </c>
      <c r="G21" s="13" t="inlineStr">
        <is>
          <t>현장 공사팀</t>
        </is>
      </c>
      <c r="H21" s="14" t="inlineStr">
        <is>
          <t>KCS 47 10 25 굴착 시방 | 굴착 사면 비탈면 경사(1:1.5) 준수 및 흙막이 가설재 부설 | 굴착 바닥 원지반 K30 ≥ 70 지비력 검측</t>
        </is>
      </c>
      <c r="I21" s="14" t="inlineStr">
        <is>
          <t>1) 굴착 비탈면 경사(1:1.5) 측량 ➔ 2) 굴착 &amp; 흙막이 가설재 부설 ➔ 3) 바닥 원지반 K30(≥70) 검측 ➔ 4) 굴착 완료 성과표 감리 승인</t>
        </is>
      </c>
      <c r="J21" s="14" t="inlineStr">
        <is>
          <t>굴착 비탈면 경사(1:1.5 이하) 측량, 흙막이 가설재 부설 및 바닥 원지반 K30 ≥ 70 지비력 검측</t>
        </is>
      </c>
      <c r="K21" s="14" t="inlineStr">
        <is>
          <t>KCS 47 10 25 굴착 시방 | 굴착 사면 비탈면 경사(1:1.5) 준수 및 흙막이 가설재 부설 | 굴착 바닥 원지반 K30 ≥ 70 지비력 검측</t>
        </is>
      </c>
      <c r="L21" s="155">
        <f>HYPERLINK("매뉴얼BODY(집행단계-첨부폴더)v8\3.지장물이설\11_민원 저감 대책 수립\표준서\11_민원 저감 대책 수립_표준서.html", "👉 [클릭] 표준서 열기 📄")</f>
        <v/>
      </c>
      <c r="M21" s="14" t="inlineStr">
        <is>
          <t>1) 굴착 비탈면 경사(1:1.5) 측량 ➔ 2) 굴착 &amp; 흙막이 가설재 부설 ➔ 3) 바닥 원지반 K30(≥70) 검측 ➔ 4) 굴착 완료 성과표 감리 승인</t>
        </is>
      </c>
      <c r="N21" s="155">
        <f>HYPERLINK("매뉴얼BODY(집행단계-첨부폴더)v8\3.지장물이설\11_민원 저감 대책 수립\수행지침\11_민원 저감 대책 수립_수행지침.html", "👉 [클릭] 수행지침 열기 📄")</f>
        <v/>
      </c>
      <c r="O21" s="41" t="inlineStr">
        <is>
          <t>굴착 비탈면 경사(1:1.5 이하) 측량, 흙막이 가설재 부설 및 바닥 원지반 K30 ≥ 70 지비력 검측</t>
        </is>
      </c>
      <c r="P21" s="155">
        <f>HYPERLINK("매뉴얼BODY(집행단계-첨부폴더)v8\3.지장물이설\11_민원 저감 대책 수립\체크리스트\11_민원 저감 대책 수립_체크리스트.html", "👉 [클릭] 체크리스트 열기 📄")</f>
        <v/>
      </c>
      <c r="Q21" s="13" t="n"/>
      <c r="R21" s="14" t="inlineStr">
        <is>
          <t>KCS 11 20 00 토공사 표준시방서</t>
        </is>
      </c>
      <c r="S21" s="17" t="inlineStr">
        <is>
          <t>굴착 법면 붕괴 및 인접 도로 침하 리스크 방지</t>
        </is>
      </c>
      <c r="T21" s="14" t="inlineStr">
        <is>
          <t>토질 및 기초 기술사 자문</t>
        </is>
      </c>
    </row>
    <row r="22" ht="96" customHeight="1" s="148">
      <c r="A22" s="13" t="inlineStr">
        <is>
          <t>2000</t>
        </is>
      </c>
      <c r="B22" s="13" t="inlineStr">
        <is>
          <t>2000-3</t>
        </is>
      </c>
      <c r="C22" s="14" t="inlineStr">
        <is>
          <t>지장물 이설 시공 관리</t>
        </is>
      </c>
      <c r="D22" s="13" t="inlineStr">
        <is>
          <t>2000-3-5</t>
        </is>
      </c>
      <c r="E22" s="13" t="inlineStr">
        <is>
          <t>D+5</t>
        </is>
      </c>
      <c r="F22" s="15" t="inlineStr">
        <is>
          <t>신규관로 매설 및 설치</t>
        </is>
      </c>
      <c r="G22" s="13" t="inlineStr">
        <is>
          <t>현장 공사팀 / 전문협력사</t>
        </is>
      </c>
      <c r="H22" s="14" t="inlineStr">
        <is>
          <t>KS 관로 자재 규정 준수 | 신규 상하수도관/가스관 부설 및 모래 기초(두께 10cm) 부설 | 관로 경사(≥ 0.5%) 및 수평 위치 검측</t>
        </is>
      </c>
      <c r="I22" s="14" t="inlineStr">
        <is>
          <t>1) 관로 모래 기초(10cm) 부설 ➔ 2) 신규 상하수도관/가스관 부설 ➔ 3) 관로 종단 구배(≥0.5%) 검측 ➔ 4) 신규 관로 부설 감리 서면 승인</t>
        </is>
      </c>
      <c r="J22" s="14" t="inlineStr">
        <is>
          <t>관로 모래 기초(두께 10cm) 부설, 신규 상하수도관/가스관 부설 및 종단 구배(≥ 0.5%) 검측</t>
        </is>
      </c>
      <c r="K22" s="14" t="inlineStr">
        <is>
          <t>KS 관로 자재 규정 준수 | 신규 상하수도관/가스관 부설 및 모래 기초(두께 10cm) 부설 | 관로 경사(≥ 0.5%) 및 수평 위치 검측</t>
        </is>
      </c>
      <c r="L22" s="155">
        <f>HYPERLINK("매뉴얼BODY(집행단계-첨부폴더)v8\3.지장물이설\12_용지보상 Risk 파악\표준서\12_용지보상 Risk 파악_표준서.html", "👉 [클릭] 표준서 열기 📄")</f>
        <v/>
      </c>
      <c r="M22" s="14" t="inlineStr">
        <is>
          <t>1) 관로 모래 기초(10cm) 부설 ➔ 2) 신규 상하수도관/가스관 부설 ➔ 3) 관로 종단 구배(≥0.5%) 검측 ➔ 4) 신규 관로 부설 감리 서면 승인</t>
        </is>
      </c>
      <c r="N22" s="155">
        <f>HYPERLINK("매뉴얼BODY(집행단계-첨부폴더)v8\3.지장물이설\12_용지보상 Risk 파악\수행지침\12_용지보상 Risk 파악_수행지침.html", "👉 [클릭] 수행지침 열기 📄")</f>
        <v/>
      </c>
      <c r="O22" s="41" t="inlineStr">
        <is>
          <t>관로 모래 기초(두께 10cm) 부설, 신규 상하수도관/가스관 부설 및 종단 구배(≥ 0.5%) 검측</t>
        </is>
      </c>
      <c r="P22" s="155">
        <f>HYPERLINK("매뉴얼BODY(집행단계-첨부폴더)v8\3.지장물이설\12_용지보상 Risk 파악\체크리스트\12_용지보상 Risk 파악_체크리스트.html", "👉 [클릭] 체크리스트 열기 📄")</f>
        <v/>
      </c>
      <c r="Q22" s="13" t="n"/>
      <c r="R22" s="14" t="inlineStr">
        <is>
          <t>상하수도 및 배관공사 표준시방서</t>
        </is>
      </c>
      <c r="S22" s="17" t="inlineStr">
        <is>
          <t>관 이음부 누수 및 침하로 인한 도로 함몰 리스크 예방</t>
        </is>
      </c>
      <c r="T22" s="14" t="inlineStr">
        <is>
          <t>배관 및 관로 시공 전문 자문</t>
        </is>
      </c>
    </row>
    <row r="23" ht="96" customHeight="1" s="148">
      <c r="A23" s="13" t="inlineStr">
        <is>
          <t>2000</t>
        </is>
      </c>
      <c r="B23" s="13" t="inlineStr">
        <is>
          <t>2000-3</t>
        </is>
      </c>
      <c r="C23" s="14" t="inlineStr">
        <is>
          <t>지장물 이설 시공 관리</t>
        </is>
      </c>
      <c r="D23" s="13" t="inlineStr">
        <is>
          <t>2000-3-6</t>
        </is>
      </c>
      <c r="E23" s="13" t="inlineStr">
        <is>
          <t>D+8</t>
        </is>
      </c>
      <c r="F23" s="15" t="inlineStr">
        <is>
          <t>무단수 연결을 위한 시설 설치</t>
        </is>
      </c>
      <c r="G23" s="13" t="inlineStr">
        <is>
          <t>현장 공사팀 / 전문업체</t>
        </is>
      </c>
      <c r="H23" s="14" t="inlineStr">
        <is>
          <t>수도시설 공학 규정 | 무단수 천공기 및 밸브 차단 장치 정밀 세팅 | 수압 시험 및 밸브 가동 상태 시운전 검측</t>
        </is>
      </c>
      <c r="I23" s="14" t="inlineStr">
        <is>
          <t>1) 무단수 천공기 정밀 세팅 ➔ 2) 차단 밸브 &amp; 챔버 설치 ➔ 3) 수압 시험 및 가동 시운전 ➔ 4) 무단수 시설 검측 감리 승인</t>
        </is>
      </c>
      <c r="J23" s="14" t="inlineStr">
        <is>
          <t>무단수 천공기 정밀 세팅, 차단 밸브 &amp; 챔버 설치 및 수압 시험/가동 시운전 검측</t>
        </is>
      </c>
      <c r="K23" s="14" t="inlineStr">
        <is>
          <t>수도시설 공학 규정 | 무단수 천공기 및 밸브 차단 장치 정밀 세팅 | 수압 시험 및 밸브 가동 상태 시운전 검측</t>
        </is>
      </c>
      <c r="L23" s="155">
        <f>HYPERLINK("매뉴얼BODY(집행단계-첨부폴더)v8\3.지장물이설\12_줄따기(GPR)를 통한 기존 지장물 매설 확인\표준서\줄따기(GPR)를 통한 기존 지장물 매설 확인_표준서.html", "👉 [클릭] 표준서 열기 📄")</f>
        <v/>
      </c>
      <c r="M23" s="14" t="inlineStr">
        <is>
          <t>1) 무단수 천공기 정밀 세팅 ➔ 2) 차단 밸브 &amp; 챔버 설치 ➔ 3) 수압 시험 및 가동 시운전 ➔ 4) 무단수 시설 검측 감리 승인</t>
        </is>
      </c>
      <c r="N23" s="155">
        <f>HYPERLINK("매뉴얼BODY(집행단계-첨부폴더)v8\3.지장물이설\12_줄따기(GPR)를 통한 기존 지장물 매설 확인\수행지침\수행지침.html", "👉 [클릭] 수행지침 열기 📄")</f>
        <v/>
      </c>
      <c r="O23" s="41" t="inlineStr">
        <is>
          <t>무단수 천공기 정밀 세팅, 차단 밸브 &amp; 챔버 설치 및 수압 시험/가동 시운전 검측</t>
        </is>
      </c>
      <c r="P23" s="155">
        <f>HYPERLINK("매뉴얼BODY(집행단계-첨부폴더)v8\3.지장물이설\12_줄따기(GPR)를 통한 기존 지장물 매설 확인\체크리스트\줄따기(GPR)를 통한 기존 지장물 매설 확인_체크리스트.html", "👉 [클릭] 체크리스트 열기 📄")</f>
        <v/>
      </c>
      <c r="Q23" s="13" t="n"/>
      <c r="R23" s="14" t="inlineStr">
        <is>
          <t>무단수 공법 기술 시방서</t>
        </is>
      </c>
      <c r="S23" s="17" t="inlineStr">
        <is>
          <t>단수 발생으로 인한 대규모 주민 민원 리스크 방지</t>
        </is>
      </c>
      <c r="T23" s="14" t="inlineStr">
        <is>
          <t>무단수 공법 전문 기술자 자문</t>
        </is>
      </c>
    </row>
    <row r="24" ht="96" customHeight="1" s="148">
      <c r="A24" s="13" t="inlineStr">
        <is>
          <t>2000</t>
        </is>
      </c>
      <c r="B24" s="13" t="inlineStr">
        <is>
          <t>2000-3</t>
        </is>
      </c>
      <c r="C24" s="14" t="inlineStr">
        <is>
          <t>지장물 이설 시공 관리</t>
        </is>
      </c>
      <c r="D24" s="13" t="inlineStr">
        <is>
          <t>2000-3-7</t>
        </is>
      </c>
      <c r="E24" s="13" t="inlineStr">
        <is>
          <t>D+10</t>
        </is>
      </c>
      <c r="F24" s="15" t="inlineStr">
        <is>
          <t>신규관로 및 연결관로 접속</t>
        </is>
      </c>
      <c r="G24" s="13" t="inlineStr">
        <is>
          <t>현장 공사팀</t>
        </is>
      </c>
      <c r="H24" s="14" t="inlineStr">
        <is>
          <t>관로 연결 시방 수칙 | 신구 관로 접속 부위 수압 시험(10kgf/cm², 1시간 유지) | 누수 여부 점검 및 부식 방지 랩핑 부설</t>
        </is>
      </c>
      <c r="I24" s="14" t="inlineStr">
        <is>
          <t>1) 신구 관로 접속 부위 부설 ➔ 2) 수압 시험(10kgf/cm², 1h 유지) ➔ 3) 부식 방지 피복 랩핑 시행 ➔ 4) 관로 접속 검측 성과표 승인</t>
        </is>
      </c>
      <c r="J24" s="14" t="inlineStr">
        <is>
          <t>신구 관로 접속 부위 부설, 수압 시험(10kgf/cm², 1h 유지) 및 부식 방지 피복 랩핑 검측</t>
        </is>
      </c>
      <c r="K24" s="14" t="inlineStr">
        <is>
          <t>관로 연결 시방 수칙 | 신구 관로 접속 부위 수압 시험(10kgf/cm², 1시간 유지) | 누수 여부 점검 및 부식 방지 랩핑 부설</t>
        </is>
      </c>
      <c r="L24" s="155">
        <f>HYPERLINK("매뉴얼BODY(집행단계-첨부폴더)v8\3.지장물이설\13_관리기관(맑은물사업소) 협의\표준서\13_관리기관(맑은물사업소) 협의_표준서.html", "👉 [클릭] 표준서 열기 📄")</f>
        <v/>
      </c>
      <c r="M24" s="14" t="inlineStr">
        <is>
          <t>1) 신구 관로 접속 부위 부설 ➔ 2) 수압 시험(10kgf/cm², 1h 유지) ➔ 3) 부식 방지 피복 랩핑 시행 ➔ 4) 관로 접속 검측 성과표 승인</t>
        </is>
      </c>
      <c r="N24" s="155">
        <f>HYPERLINK("매뉴얼BODY(집행단계-첨부폴더)v8\3.지장물이설\13_관리기관(맑은물사업소) 협의\수행지침\관리기관(맑은물사업소) 협의_수행지침.html", "👉 [클릭] 수행지침 열기 📄")</f>
        <v/>
      </c>
      <c r="O24" s="41" t="inlineStr">
        <is>
          <t>신구 관로 접속 부위 부설, 수압 시험(10kgf/cm², 1h 유지) 및 부식 방지 피복 랩핑 검측</t>
        </is>
      </c>
      <c r="P24" s="155">
        <f>HYPERLINK("매뉴얼BODY(집행단계-첨부폴더)v8\3.지장물이설\13_관리기관(맑은물사업소) 협의\체크리스트\관리기관(맑은물사업소) 협의_체크리스트.html", "👉 [클릭] 체크리스트 열기 📄")</f>
        <v/>
      </c>
      <c r="Q24" s="13" t="n"/>
      <c r="R24" s="14" t="inlineStr">
        <is>
          <t>관로 접속 및 Cut-over 시방서</t>
        </is>
      </c>
      <c r="S24" s="17" t="inlineStr">
        <is>
          <t>접속 부위 압력 파손 및 서비스 전환 실패 리스크 방지</t>
        </is>
      </c>
      <c r="T24" s="14" t="inlineStr">
        <is>
          <t>관로 접속 전문 자문</t>
        </is>
      </c>
    </row>
    <row r="25" ht="96" customHeight="1" s="148">
      <c r="A25" s="13" t="inlineStr">
        <is>
          <t>2000</t>
        </is>
      </c>
      <c r="B25" s="13" t="inlineStr">
        <is>
          <t>2000-3</t>
        </is>
      </c>
      <c r="C25" s="14" t="inlineStr">
        <is>
          <t>지장물 이설 시공 관리</t>
        </is>
      </c>
      <c r="D25" s="13" t="inlineStr">
        <is>
          <t>2000-3-8</t>
        </is>
      </c>
      <c r="E25" s="13" t="inlineStr">
        <is>
          <t>D+15</t>
        </is>
      </c>
      <c r="F25" s="15" t="inlineStr">
        <is>
          <t>기존관로 철거 및 원상복구</t>
        </is>
      </c>
      <c r="G25" s="13" t="inlineStr">
        <is>
          <t>현장 공사팀</t>
        </is>
      </c>
      <c r="H25" s="14" t="inlineStr">
        <is>
          <t>폐기물관리법 준수 | 폐관로 수거 및 토사 30cm 층다짐(다짐도 ≥ 95%) 원상복구 | 아스콘 가포설 및 평탄성 통제</t>
        </is>
      </c>
      <c r="I25" s="14" t="inlineStr">
        <is>
          <t>1) 기존 폐관로 안전 철거/수거 ➔ 2) 토사 30cm 층다짐(다짐도≥95%) ➔ 3) 아스콘 가포설 &amp; 평탄성 검측 ➔ 4) 원상복구 성과표 감리 승인</t>
        </is>
      </c>
      <c r="J25" s="14" t="inlineStr">
        <is>
          <t>기존 폐관로 안전 철거/수거, 토사 30cm 층다짐(다짐도 ≥ 95%) 원상복구 및 아스콘 가포설</t>
        </is>
      </c>
      <c r="K25" s="14" t="inlineStr">
        <is>
          <t>폐기물관리법 준수 | 폐관로 수거 및 토사 30cm 층다짐(다짐도 ≥ 95%) 원상복구 | 아스콘 가포설 및 평탄성 통제</t>
        </is>
      </c>
      <c r="L25" s="155">
        <f>HYPERLINK("매뉴얼BODY(집행단계-첨부폴더)v8\3.지장물이설\13_이설 위치 토공 굴착\표준서\이설 위치 토공 굴착_표준서.html", "👉 [클릭] 표준서 열기 📄")</f>
        <v/>
      </c>
      <c r="M25" s="14" t="inlineStr">
        <is>
          <t>1) 기존 폐관로 안전 철거/수거 ➔ 2) 토사 30cm 층다짐(다짐도≥95%) ➔ 3) 아스콘 가포설 &amp; 평탄성 검측 ➔ 4) 원상복구 성과표 감리 승인</t>
        </is>
      </c>
      <c r="N25" s="155">
        <f>HYPERLINK("매뉴얼BODY(집행단계-첨부폴더)v8\3.지장물이설\13_이설 위치 토공 굴착\수행지침\수행지침.html", "👉 [클릭] 수행지침 열기 📄")</f>
        <v/>
      </c>
      <c r="O25" s="41" t="inlineStr">
        <is>
          <t>기존 폐관로 안전 철거/수거, 토사 30cm 층다짐(다짐도 ≥ 95%) 원상복구 및 아스콘 가포설</t>
        </is>
      </c>
      <c r="P25" s="155">
        <f>HYPERLINK("매뉴얼BODY(집행단계-첨부폴더)v8\3.지장물이설\13_이설 위치 토공 굴착\체크리스트\이설 위치 토공 굴착_체크리스트.html", "👉 [클릭] 체크리스트 열기 📄")</f>
        <v/>
      </c>
      <c r="Q25" s="13" t="n"/>
      <c r="R25" s="14" t="inlineStr">
        <is>
          <t>도로 복구 공사 표준시방서</t>
        </is>
      </c>
      <c r="S25" s="17" t="inlineStr">
        <is>
          <t>복구 포장 부등침하로 인한 포트홀 리스크 방지</t>
        </is>
      </c>
      <c r="T25" s="14" t="inlineStr">
        <is>
          <t>도로 포장 전문 기술자 자문</t>
        </is>
      </c>
    </row>
    <row r="26" ht="96" customHeight="1" s="148">
      <c r="A26" s="13" t="inlineStr">
        <is>
          <t>2000</t>
        </is>
      </c>
      <c r="B26" s="13" t="inlineStr">
        <is>
          <t>2000-4</t>
        </is>
      </c>
      <c r="C26" s="14" t="inlineStr">
        <is>
          <t>주요 지장물 이설 소유자 및 관리특성</t>
        </is>
      </c>
      <c r="D26" s="13" t="inlineStr">
        <is>
          <t>2000-4-1</t>
        </is>
      </c>
      <c r="E26" s="13" t="inlineStr">
        <is>
          <t>D+20</t>
        </is>
      </c>
      <c r="F26" s="15" t="inlineStr">
        <is>
          <t>광역상수관 이설 공사</t>
        </is>
      </c>
      <c r="G26" s="13" t="inlineStr">
        <is>
          <t>공사팀 (협의: 한국수자원공사)</t>
        </is>
      </c>
      <c r="H26" s="14" t="inlineStr">
        <is>
          <t>수도법 규정 준수 | 광역상수관(Ø500mm+) 이설 수압 시험 및 수질 검사 합격 | 한국수자원공사 입회 인수 완료</t>
        </is>
      </c>
      <c r="I26" s="14" t="inlineStr">
        <is>
          <t>1) 광역상수관(Ø500mm+) 부설 ➔ 2) 수압 시험 &amp; 수질 검사 시행 ➔ 3) 한국수자원공사 현장 입회 ➔ 4) 광역상수관 이설 완료 승인</t>
        </is>
      </c>
      <c r="J26" s="14" t="inlineStr">
        <is>
          <t>광역상수관(Ø500mm+) 부설, 수압 시험 및 수질 검사 합격 (한국수자원공사 1:1 입회 검측)</t>
        </is>
      </c>
      <c r="K26" s="14" t="inlineStr">
        <is>
          <t>수도법 규정 준수 | 광역상수관(Ø500mm+) 이설 수압 시험 및 수질 검사 합격 | 한국수자원공사 입회 인수 완료</t>
        </is>
      </c>
      <c r="L26" s="155">
        <f>HYPERLINK("매뉴얼BODY(집행단계-첨부폴더)v8\3.지장물이설\14_신규관로 매설 및 설치\표준서\신규관로 매설 및 설치_표준서.html", "👉 [클릭] 표준서 열기 📄")</f>
        <v/>
      </c>
      <c r="M26" s="14" t="inlineStr">
        <is>
          <t>1) 광역상수관(Ø500mm+) 부설 ➔ 2) 수압 시험 &amp; 수질 검사 시행 ➔ 3) 한국수자원공사 현장 입회 ➔ 4) 광역상수관 이설 완료 승인</t>
        </is>
      </c>
      <c r="N26" s="155">
        <f>HYPERLINK("매뉴얼BODY(집행단계-첨부폴더)v8\3.지장물이설\14_신규관로 매설 및 설치\수행지침\수행지침.html", "👉 [클릭] 수행지침 열기 📄")</f>
        <v/>
      </c>
      <c r="O26" s="41" t="inlineStr">
        <is>
          <t>광역상수관(Ø500mm+) 부설, 수압 시험 및 수질 검사 합격 (한국수자원공사 1:1 입회 검측)</t>
        </is>
      </c>
      <c r="P26" s="155">
        <f>HYPERLINK("매뉴얼BODY(집행단계-첨부폴더)v8\3.지장물이설\14_신규관로 매설 및 설치\체크리스트\신규관로 매설 및 설치_체크리스트.html", "👉 [클릭] 체크리스트 열기 📄")</f>
        <v/>
      </c>
      <c r="Q26" s="13" t="n"/>
      <c r="R26" s="14" t="inlineStr">
        <is>
          <t>한국수자원공사 광역상수도 설계기준</t>
        </is>
      </c>
      <c r="S26" s="17" t="inlineStr">
        <is>
          <t>광역상수도 파손 시 광역 단수 대형 재난 리스크 관리</t>
        </is>
      </c>
      <c r="T26" s="14" t="inlineStr">
        <is>
          <t>수자원공사 전담 기술 자문</t>
        </is>
      </c>
    </row>
    <row r="27" ht="96" customHeight="1" s="148">
      <c r="A27" s="13" t="inlineStr">
        <is>
          <t>2000</t>
        </is>
      </c>
      <c r="B27" s="13" t="inlineStr">
        <is>
          <t>2000-4</t>
        </is>
      </c>
      <c r="C27" s="14" t="inlineStr">
        <is>
          <t>주요 지장물 이설 소유자 및 관리특성</t>
        </is>
      </c>
      <c r="D27" s="13" t="inlineStr">
        <is>
          <t>2000-4-2</t>
        </is>
      </c>
      <c r="E27" s="13" t="inlineStr">
        <is>
          <t>D+22</t>
        </is>
      </c>
      <c r="F27" s="15" t="inlineStr">
        <is>
          <t>상수도 관로 이설 공사</t>
        </is>
      </c>
      <c r="G27" s="13" t="inlineStr">
        <is>
          <t>공사팀 (협의: 맑은물사업소)</t>
        </is>
      </c>
      <c r="H27" s="14" t="inlineStr">
        <is>
          <t>지자체 상수도 시방 | 배수관(Ø200~300mm) 이설, 탁수 퇴수 작업 및 잔류염소 시험 | 맑은물사업소 합동 현측 승인</t>
        </is>
      </c>
      <c r="I27" s="14" t="inlineStr">
        <is>
          <t>1) 배수관(Ø200~300mm) 이설 부설 ➔ 2) 탁수 퇴수 &amp; 잔류염소 시험 ➔ 3) 맑은물사업소 합동 현측 ➔ 4) 상수도 관로 이설 감리 승인</t>
        </is>
      </c>
      <c r="J27" s="14" t="inlineStr">
        <is>
          <t>배수관(Ø200~300mm) 이설, 탁수 퇴수 작업 및 잔류염소 시험 합격 (맑은물사업소 현측)</t>
        </is>
      </c>
      <c r="K27" s="14" t="inlineStr">
        <is>
          <t>지자체 상수도 시방 | 배수관(Ø200~300mm) 이설, 탁수 퇴수 작업 및 잔류염소 시험 | 맑은물사업소 합동 현측 승인</t>
        </is>
      </c>
      <c r="L27" s="155">
        <f>HYPERLINK("매뉴얼BODY(집행단계-첨부폴더)v8\3.지장물이설\14_위수탁 지장물 이설 설계\표준서\14_위수탁 지장물 이설 설계_표준서.html", "👉 [클릭] 표준서 열기 📄")</f>
        <v/>
      </c>
      <c r="M27" s="14" t="inlineStr">
        <is>
          <t>1) 배수관(Ø200~300mm) 이설 부설 ➔ 2) 탁수 퇴수 &amp; 잔류염소 시험 ➔ 3) 맑은물사업소 합동 현측 ➔ 4) 상수도 관로 이설 감리 승인</t>
        </is>
      </c>
      <c r="N27" s="155">
        <f>HYPERLINK("매뉴얼BODY(집행단계-첨부폴더)v8\3.지장물이설\14_위수탁 지장물 이설 설계\수행지침\수행지침.html", "👉 [클릭] 수행지침 열기 📄")</f>
        <v/>
      </c>
      <c r="O27" s="41" t="inlineStr">
        <is>
          <t>배수관(Ø200~300mm) 이설, 탁수 퇴수 작업 및 잔류염소 시험 합격 (맑은물사업소 현측)</t>
        </is>
      </c>
      <c r="P27" s="155">
        <f>HYPERLINK("매뉴얼BODY(집행단계-첨부폴더)v8\3.지장물이설\14_위수탁 지장물 이설 설계\체크리스트\위수탁 지장물 이설 설계_체크리스트.html", "👉 [클릭] 체크리스트 열기 📄")</f>
        <v/>
      </c>
      <c r="Q27" s="13" t="n"/>
      <c r="R27" s="14" t="inlineStr">
        <is>
          <t>상수도 공사 표준시방서</t>
        </is>
      </c>
      <c r="S27" s="17" t="inlineStr">
        <is>
          <t>상수도 수질 오염 및 단수 시간 초과 리스크 방지</t>
        </is>
      </c>
      <c r="T27" s="14" t="inlineStr">
        <is>
          <t>맑은물사업소 상수도 감독관 자문</t>
        </is>
      </c>
    </row>
    <row r="28" ht="96" customHeight="1" s="148">
      <c r="A28" s="13" t="inlineStr">
        <is>
          <t>2000</t>
        </is>
      </c>
      <c r="B28" s="13" t="inlineStr">
        <is>
          <t>2000-4</t>
        </is>
      </c>
      <c r="C28" s="14" t="inlineStr">
        <is>
          <t>주요 지장물 이설 소유자 및 관리특성</t>
        </is>
      </c>
      <c r="D28" s="13" t="inlineStr">
        <is>
          <t>2000-4-3</t>
        </is>
      </c>
      <c r="E28" s="13" t="inlineStr">
        <is>
          <t>D+25</t>
        </is>
      </c>
      <c r="F28" s="15" t="inlineStr">
        <is>
          <t>하수도 관로 이설 공사</t>
        </is>
      </c>
      <c r="G28" s="13" t="inlineStr">
        <is>
          <t>공사팀 (협의: 맑은물사업소)</t>
        </is>
      </c>
      <c r="H28" s="14" t="inlineStr">
        <is>
          <t>하수도정비 기본계획 | 하수관(Ø400mm+) 연결, CCTV 관로 내부 검사 및 통수 담수 시험 | 하수도사업소 현장 인수</t>
        </is>
      </c>
      <c r="I28" s="14" t="inlineStr">
        <is>
          <t>1) 하수관(Ø400mm+) 연결 부설 ➔ 2) CCTV 관로 내부 검사 시행 ➔ 3) 통수 담수 시험 완료 ➔ 4) 하수도 관로 이설 감리 승인</t>
        </is>
      </c>
      <c r="J28" s="14" t="inlineStr">
        <is>
          <t>하수관(Ø400mm+) 연결 부설, CCTV 관로 내부 검사 &amp; 통수 담수 시험 합격 (하수도사업소 인수)</t>
        </is>
      </c>
      <c r="K28" s="14" t="inlineStr">
        <is>
          <t>하수도정비 기본계획 | 하수관(Ø400mm+) 연결, CCTV 관로 내부 검사 및 통수 담수 시험 | 하수도사업소 현장 인수</t>
        </is>
      </c>
      <c r="L28" s="155">
        <f>HYPERLINK("매뉴얼BODY(집행단계-첨부폴더)v8\3.지장물이설\15_무단수 연결을 위한 시설 설치\표준서\무단수 연결을 위한 시설 설치_표준서.html", "👉 [클릭] 표준서 열기 📄")</f>
        <v/>
      </c>
      <c r="M28" s="14" t="inlineStr">
        <is>
          <t>1) 하수관(Ø400mm+) 연결 부설 ➔ 2) CCTV 관로 내부 검사 시행 ➔ 3) 통수 담수 시험 완료 ➔ 4) 하수도 관로 이설 감리 승인</t>
        </is>
      </c>
      <c r="N28" s="155">
        <f>HYPERLINK("매뉴얼BODY(집행단계-첨부폴더)v8\3.지장물이설\15_무단수 연결을 위한 시설 설치\수행지침\무단수 연결을 위한 시설 설치_수행지침.html", "👉 [클릭] 수행지침 열기 📄")</f>
        <v/>
      </c>
      <c r="O28" s="41" t="inlineStr">
        <is>
          <t>하수관(Ø400mm+) 연결 부설, CCTV 관로 내부 검사 &amp; 통수 담수 시험 합격 (하수도사업소 인수)</t>
        </is>
      </c>
      <c r="P28" s="155">
        <f>HYPERLINK("매뉴얼BODY(집행단계-첨부폴더)v8\3.지장물이설\15_무단수 연결을 위한 시설 설치\체크리스트\무단수 연결을 위한 시설 설치_체크리스트.html", "👉 [클릭] 체크리스트 열기 📄")</f>
        <v/>
      </c>
      <c r="Q28" s="13" t="n"/>
      <c r="R28" s="14" t="inlineStr">
        <is>
          <t>하수도 공사 표준시방서</t>
        </is>
      </c>
      <c r="S28" s="17" t="inlineStr">
        <is>
          <t>하수 역류 및 구배 불량으로 인한 관로 침전 리스크 예방</t>
        </is>
      </c>
      <c r="T28" s="14" t="inlineStr">
        <is>
          <t>하수도 정밀 측량 기술자 자문</t>
        </is>
      </c>
    </row>
    <row r="29" ht="96" customHeight="1" s="148">
      <c r="A29" s="13" t="inlineStr">
        <is>
          <t>2000</t>
        </is>
      </c>
      <c r="B29" s="13" t="inlineStr">
        <is>
          <t>2000-4</t>
        </is>
      </c>
      <c r="C29" s="14" t="inlineStr">
        <is>
          <t>주요 지장물 이설 소유자 및 관리특성</t>
        </is>
      </c>
      <c r="D29" s="13" t="inlineStr">
        <is>
          <t>2000-4-4</t>
        </is>
      </c>
      <c r="E29" s="13" t="inlineStr">
        <is>
          <t>D+28</t>
        </is>
      </c>
      <c r="F29" s="15" t="inlineStr">
        <is>
          <t>도시가스관 이설 공사</t>
        </is>
      </c>
      <c r="G29" s="13" t="inlineStr">
        <is>
          <t>공사팀 (협의: 한국가스공사, 삼천리)</t>
        </is>
      </c>
      <c r="H29" s="14" t="inlineStr">
        <is>
          <t>도시가스사업법 규정 | 가스관(중압/아중압) 비파괴검사(RT 100%) 및 기밀 시험 합격 | 도시가스사 1:1 입회 검측</t>
        </is>
      </c>
      <c r="I29" s="14" t="inlineStr">
        <is>
          <t>1) 도시가스관 매설 &amp; 용접 ➔ 2) 비파괴검사(RT 100%) &amp; 기밀 시험 ➔ 3) 도시가스사 1:1 입회 검측 ➔ 4) 가스관 이설 완료 승인</t>
        </is>
      </c>
      <c r="J29" s="14" t="inlineStr">
        <is>
          <t>도시가스관 매설 &amp; 용접, 비파괴검사(RT 100%) 및 기밀 시험 합격 (도시가스사 1:1 입회)</t>
        </is>
      </c>
      <c r="K29" s="14" t="inlineStr">
        <is>
          <t>도시가스사업법 규정 | 가스관(중압/아중압) 비파괴검사(RT 100%) 및 기밀 시험 합격 | 도시가스사 1:1 입회 검측</t>
        </is>
      </c>
      <c r="L29" s="155">
        <f>HYPERLINK("매뉴얼BODY(집행단계-첨부폴더)v8\3.지장물이설\15_상하수도 이설계획 실정보고\표준서\15_상하수도 이설계획 실정보고_표준서.html", "👉 [클릭] 표준서 열기 📄")</f>
        <v/>
      </c>
      <c r="M29" s="14" t="inlineStr">
        <is>
          <t>1) 도시가스관 매설 &amp; 용접 ➔ 2) 비파괴검사(RT 100%) &amp; 기밀 시험 ➔ 3) 도시가스사 1:1 입회 검측 ➔ 4) 가스관 이설 완료 승인</t>
        </is>
      </c>
      <c r="N29" s="155">
        <f>HYPERLINK("매뉴얼BODY(집행단계-첨부폴더)v8\3.지장물이설\15_상하수도 이설계획 실정보고\수행지침\상하수도 이설계획 실정보고_수행지침.html", "👉 [클릭] 수행지침 열기 📄")</f>
        <v/>
      </c>
      <c r="O29" s="41" t="inlineStr">
        <is>
          <t>도시가스관 매설 &amp; 용접, 비파괴검사(RT 100%) 및 기밀 시험 합격 (도시가스사 1:1 입회)</t>
        </is>
      </c>
      <c r="P29" s="155">
        <f>HYPERLINK("매뉴얼BODY(집행단계-첨부폴더)v8\3.지장물이설\15_상하수도 이설계획 실정보고\체크리스트\상하수도 이설계획 실정보고_체크리스트.html", "👉 [클릭] 체크리스트 열기 📄")</f>
        <v/>
      </c>
      <c r="Q29" s="13" t="n"/>
      <c r="R29" s="14" t="inlineStr">
        <is>
          <t>도시가스사업법 및 KGC 가스안전 기준</t>
        </is>
      </c>
      <c r="S29" s="17" t="inlineStr">
        <is>
          <t>가스 누출 및 폭발 대형 안전사고 리스크 방지</t>
        </is>
      </c>
      <c r="T29" s="14" t="inlineStr">
        <is>
          <t>가스안전공사 및 삼천리가스 전문 자문</t>
        </is>
      </c>
    </row>
    <row r="30" ht="96" customHeight="1" s="148">
      <c r="A30" s="13" t="inlineStr">
        <is>
          <t>2000</t>
        </is>
      </c>
      <c r="B30" s="13" t="inlineStr">
        <is>
          <t>2000-4</t>
        </is>
      </c>
      <c r="C30" s="14" t="inlineStr">
        <is>
          <t>주요 지장물 이설 소유자 및 관리특성</t>
        </is>
      </c>
      <c r="D30" s="13" t="inlineStr">
        <is>
          <t>2000-4-5</t>
        </is>
      </c>
      <c r="E30" s="13" t="inlineStr">
        <is>
          <t>D+30</t>
        </is>
      </c>
      <c r="F30" s="15" t="inlineStr">
        <is>
          <t>지역난방관 이설 공사</t>
        </is>
      </c>
      <c r="G30" s="13" t="inlineStr">
        <is>
          <t>공사팀 (협의: 한국지역난방공사)</t>
        </is>
      </c>
      <c r="H30" s="14" t="inlineStr">
        <is>
          <t>집단에너지사업법 규정 | 난방 수송관 100% 비파괴검사 및 보온재 피복 랩핑 검수 | 지역난방공사 시운전 인수</t>
        </is>
      </c>
      <c r="I30" s="14" t="inlineStr">
        <is>
          <t>1) 난방 수송관 매설 &amp; 용접 ➔ 2) 100% 비파괴검사 &amp; 피복 랩핑 ➔ 3) 지역난방공사 시운전 인수 ➔ 4) 지역난방관 이설 감리 승인</t>
        </is>
      </c>
      <c r="J30" s="14" t="inlineStr">
        <is>
          <t>난방 수송관 매설 &amp; 용접, 100% 비파괴검사 및 피복 랩핑 검수 (지역난방공사 인수)</t>
        </is>
      </c>
      <c r="K30" s="14" t="inlineStr">
        <is>
          <t>집단에너지사업법 규정 | 난방 수송관 100% 비파괴검사 및 보온재 피복 랩핑 검수 | 지역난방공사 시운전 인수</t>
        </is>
      </c>
      <c r="L30" s="155">
        <f>HYPERLINK("매뉴얼BODY(집행단계-첨부폴더)v8\3.지장물이설\16_신규관로 및 연결관로 접속\표준서\신규관로 및 연결관로 접속_표준서.html", "👉 [클릭] 표준서 열기 📄")</f>
        <v/>
      </c>
      <c r="M30" s="14" t="inlineStr">
        <is>
          <t>1) 난방 수송관 매설 &amp; 용접 ➔ 2) 100% 비파괴검사 &amp; 피복 랩핑 ➔ 3) 지역난방공사 시운전 인수 ➔ 4) 지역난방관 이설 감리 승인</t>
        </is>
      </c>
      <c r="N30" s="155">
        <f>HYPERLINK("매뉴얼BODY(집행단계-첨부폴더)v8\3.지장물이설\16_신규관로 및 연결관로 접속\수행지침\수행지침.html", "👉 [클릭] 수행지침 열기 📄")</f>
        <v/>
      </c>
      <c r="O30" s="41" t="inlineStr">
        <is>
          <t>난방 수송관 매설 &amp; 용접, 100% 비파괴검사 및 피복 랩핑 검수 (지역난방공사 인수)</t>
        </is>
      </c>
      <c r="P30" s="155">
        <f>HYPERLINK("매뉴얼BODY(집행단계-첨부폴더)v8\3.지장물이설\16_신규관로 및 연결관로 접속\체크리스트\신규관로 및 연결관로 접속_체크리스트.html", "👉 [클릭] 체크리스트 열기 📄")</f>
        <v/>
      </c>
      <c r="Q30" s="13" t="n"/>
      <c r="R30" s="14" t="inlineStr">
        <is>
          <t>한국지역난방공사 열수송관 기술기준</t>
        </is>
      </c>
      <c r="S30" s="17" t="inlineStr">
        <is>
          <t>열수송관 누수 및 난방 공급 중단 리스크 방지</t>
        </is>
      </c>
      <c r="T30" s="14" t="inlineStr">
        <is>
          <t>지역난방공사 열수송관 전문 자문</t>
        </is>
      </c>
    </row>
    <row r="31" ht="96" customHeight="1" s="148">
      <c r="A31" s="13" t="inlineStr">
        <is>
          <t>2000</t>
        </is>
      </c>
      <c r="B31" s="13" t="inlineStr">
        <is>
          <t>2000-4</t>
        </is>
      </c>
      <c r="C31" s="14" t="inlineStr">
        <is>
          <t>주요 지장물 이설 소유자 및 관리특성</t>
        </is>
      </c>
      <c r="D31" s="13" t="inlineStr">
        <is>
          <t>2000-4-6</t>
        </is>
      </c>
      <c r="E31" s="13" t="inlineStr">
        <is>
          <t>D+35</t>
        </is>
      </c>
      <c r="F31" s="15" t="inlineStr">
        <is>
          <t>통신관로 및 케이블 이설 공사</t>
        </is>
      </c>
      <c r="G31" s="13" t="inlineStr">
        <is>
          <t>공사팀 (협의: KT, LGU+, SKT)</t>
        </is>
      </c>
      <c r="H31" s="14" t="inlineStr">
        <is>
          <t>전기통신사업법 준수 | 통신 광케이블 관로 부설 및 절연 저항/광손실 실측 | KT/SKT 통신사 광신호 시험 승인</t>
        </is>
      </c>
      <c r="I31" s="14" t="inlineStr">
        <is>
          <t>1) 통신 광케이블 관로 부설 ➔ 2) 광케이블 포설 &amp; 접속 ➔ 3) 절연저항 &amp; 광손실 시험 ➔ 4) KT/SKT 통신사 광신호 승인</t>
        </is>
      </c>
      <c r="J31" s="14" t="inlineStr">
        <is>
          <t>통신 광케이블 관로 부설, 절연 저항 &amp; 광손실 실측 합격 (KT/SKT 광신호 승인)</t>
        </is>
      </c>
      <c r="K31" s="14" t="inlineStr">
        <is>
          <t>전기통신사업법 준수 | 통신 광케이블 관로 부설 및 절연 저항/광손실 실측 | KT/SKT 통신사 광신호 시험 승인</t>
        </is>
      </c>
      <c r="L31" s="155">
        <f>HYPERLINK("매뉴얼BODY(집행단계-첨부폴더)v8\3.지장물이설\16_위수탁 계약 체결\표준서\16_위수탁 계약 체결_표준서.html", "👉 [클릭] 표준서 열기 📄")</f>
        <v/>
      </c>
      <c r="M31" s="14" t="inlineStr">
        <is>
          <t>1) 통신 광케이블 관로 부설 ➔ 2) 광케이블 포설 &amp; 접속 ➔ 3) 절연저항 &amp; 광손실 시험 ➔ 4) KT/SKT 통신사 광신호 승인</t>
        </is>
      </c>
      <c r="N31" s="155">
        <f>HYPERLINK("매뉴얼BODY(집행단계-첨부폴더)v8\3.지장물이설\16_위수탁 계약 체결\수행지침\수행지침.html", "👉 [클릭] 수행지침 열기 📄")</f>
        <v/>
      </c>
      <c r="O31" s="41" t="inlineStr">
        <is>
          <t>통신 광케이블 관로 부설, 절연 저항 &amp; 광손실 실측 합격 (KT/SKT 광신호 승인)</t>
        </is>
      </c>
      <c r="P31" s="155">
        <f>HYPERLINK("매뉴얼BODY(집행단계-첨부폴더)v8\3.지장물이설\16_위수탁 계약 체결\체크리스트\위수탁 계약 체결_체크리스트.html", "👉 [클릭] 체크리스트 열기 📄")</f>
        <v/>
      </c>
      <c r="Q31" s="13" t="n"/>
      <c r="R31" s="14" t="inlineStr">
        <is>
          <t>정보통신 표준품셈 및 통신관로 공사 기준</t>
        </is>
      </c>
      <c r="S31" s="17" t="inlineStr">
        <is>
          <t>광케이블 절단으로 인한 통신 마비 리스크 방지</t>
        </is>
      </c>
      <c r="T31" s="14" t="inlineStr">
        <is>
          <t>통신 3사 전담 엔지니어 자문</t>
        </is>
      </c>
    </row>
    <row r="32" ht="76.8" customHeight="1" s="148">
      <c r="A32" s="3" t="inlineStr">
        <is>
          <t>2000</t>
        </is>
      </c>
      <c r="B32" s="3" t="inlineStr">
        <is>
          <t>2000-4</t>
        </is>
      </c>
      <c r="C32" s="3" t="inlineStr">
        <is>
          <t>주요 지장물 이설 소유자 및 관리특성</t>
        </is>
      </c>
      <c r="D32" s="4" t="inlineStr">
        <is>
          <t>2000-4-7</t>
        </is>
      </c>
      <c r="E32" s="4" t="inlineStr">
        <is>
          <t>D+40</t>
        </is>
      </c>
      <c r="F32" s="5" t="inlineStr">
        <is>
          <t>특고압 전력관로 이설 공사</t>
        </is>
      </c>
      <c r="G32" s="3" t="inlineStr">
        <is>
          <t>공사팀 (협의: 한국전력공사)</t>
        </is>
      </c>
      <c r="H32" s="3" t="inlineStr">
        <is>
          <t>전기공사업법 규정 | 22.9kV 특고압 전력 관로/맨홀 부설 및 절연내력 시험 | 한전(KEPCO) 현장 입회 휴전 Cut-over</t>
        </is>
      </c>
      <c r="I32" s="3" t="inlineStr">
        <is>
          <t>1) 22.9kV 특고압 관로/맨홀 부설 ➔ 2) 전력 케이블 인입 &amp; 내력 시험 ➔ 3) 한전 입회 휴전 Cut-over ➔ 4) 전력관로 이설 완료 승인</t>
        </is>
      </c>
      <c r="J32" s="3" t="inlineStr">
        <is>
          <t>22.9kV 특고압 관로/맨홀 부설, 절연내력 시험 합격 (한전 KEPCO 입회 휴전 Cut-over)</t>
        </is>
      </c>
      <c r="K32" s="47" t="inlineStr">
        <is>
          <t>전기공사업법 규정 | 22.9kV 특고압 전력 관로/맨홀 부설 및 절연내력 시험 | 한전(KEPCO) 현장 입회 휴전 Cut-over</t>
        </is>
      </c>
      <c r="L32" s="155">
        <f>HYPERLINK("매뉴얼BODY(집행단계-첨부폴더)v8\3.지장물이설\17_기존관로 철거 및 원상복구\표준서\기존관로 철거 및 원상복구_표준서.html", "👉 [클릭] 표준서 열기 📄")</f>
        <v/>
      </c>
      <c r="M32" s="47" t="inlineStr">
        <is>
          <t>1) 22.9kV 특고압 관로/맨홀 부설 ➔ 2) 전력 케이블 인입 &amp; 내력 시험 ➔ 3) 한전 입회 휴전 Cut-over ➔ 4) 전력관로 이설 완료 승인</t>
        </is>
      </c>
      <c r="N32" s="155">
        <f>HYPERLINK("매뉴얼BODY(집행단계-첨부폴더)v8\3.지장물이설\17_기존관로 철거 및 원상복구\수행지침\기존관로 철거 및 원상복구_수행지침.html", "👉 [클릭] 수행지침 열기 📄")</f>
        <v/>
      </c>
      <c r="O32" s="48" t="inlineStr">
        <is>
          <t>22.9kV 특고압 관로/맨홀 부설, 절연내력 시험 합격 (한전 KEPCO 입회 휴전 Cut-over)</t>
        </is>
      </c>
      <c r="P32" s="155">
        <f>HYPERLINK("매뉴얼BODY(집행단계-첨부폴더)v8\3.지장물이설\17_기존관로 철거 및 원상복구\체크리스트\기존관로 철거 및 원상복구_체크리스트.html", "👉 [클릭] 체크리스트 열기 📄")</f>
        <v/>
      </c>
      <c r="R32" t="inlineStr">
        <is>
          <t>한국전력공사 지중배전 건설기준</t>
        </is>
      </c>
      <c r="S32" t="inlineStr">
        <is>
          <t>특고압 케이블 감전 및 아크 단락 사고 리스크 방지</t>
        </is>
      </c>
      <c r="T32" s="3" t="inlineStr">
        <is>
          <t>한전 배전 전문 기술자 자문</t>
        </is>
      </c>
    </row>
    <row r="33" ht="82.8" customHeight="1" s="148">
      <c r="A33" s="3" t="inlineStr">
        <is>
          <t>2000</t>
        </is>
      </c>
      <c r="B33" s="3" t="inlineStr">
        <is>
          <t>2000-5</t>
        </is>
      </c>
      <c r="C33" s="3" t="inlineStr">
        <is>
          <t>최종 점검, 정산 및 설계변경</t>
        </is>
      </c>
      <c r="D33" s="4" t="inlineStr">
        <is>
          <t>2000-5-1</t>
        </is>
      </c>
      <c r="E33" s="4" t="inlineStr">
        <is>
          <t>D+60</t>
        </is>
      </c>
      <c r="F33" s="5" t="inlineStr">
        <is>
          <t>상하수도 이설 시공 최종 점검</t>
        </is>
      </c>
      <c r="G33" s="3" t="inlineStr">
        <is>
          <t>현장 감리원 / 맑은물사업소</t>
        </is>
      </c>
      <c r="H33" s="3" t="inlineStr">
        <is>
          <t>송유관안전관리법 규정 | 송유관 비파괴 NDT 검사 및 초음파 탐상 시험 100% | 대한송유관공사 안전 인계</t>
        </is>
      </c>
      <c r="I33" s="3" t="inlineStr">
        <is>
          <t>1) 송유관 용접 부설 ➔ 2) NDT 비파괴검사 &amp; 초음파 탐상 ➔ 3) 송유관공사 안전 점검 ➔ 4) 송유관 이설 완료 서면 승인</t>
        </is>
      </c>
      <c r="J33" s="3" t="inlineStr">
        <is>
          <t>송유관 용접 부설, NDT 비파괴검사 및 초음파 탐상 시험 100% 합격 (대한송유관공사 인수)</t>
        </is>
      </c>
      <c r="K33" s="47" t="inlineStr">
        <is>
          <t>송유관안전관리법 규정 | 송유관 비파괴 NDT 검사 및 초음파 탐상 시험 100% | 대한송유관공사 안전 인계</t>
        </is>
      </c>
      <c r="L33" s="155">
        <f>HYPERLINK("매뉴얼BODY(집행단계-첨부폴더)v8\3.지장물이설\17_도로점용_굴착행위 인허가\표준서\17_도로점용_굴착행위 인허가_표준서.html", "👉 [클릭] 표준서 열기 📄")</f>
        <v/>
      </c>
      <c r="M33" s="47" t="inlineStr">
        <is>
          <t>1) 송유관 용접 부설 ➔ 2) NDT 비파괴검사 &amp; 초음파 탐상 ➔ 3) 송유관공사 안전 점검 ➔ 4) 송유관 이설 완료 서면 승인</t>
        </is>
      </c>
      <c r="N33" s="155">
        <f>HYPERLINK("매뉴얼BODY(집행단계-첨부폴더)v8\3.지장물이설\17_도로점용_굴착행위 인허가\수행지침\도로점용_굴착행위 인허가_수행지침.html", "👉 [클릭] 수행지침 열기 📄")</f>
        <v/>
      </c>
      <c r="O33" s="48" t="inlineStr">
        <is>
          <t>송유관 용접 부설, NDT 비파괴검사 및 초음파 탐상 시험 100% 합격 (대한송유관공사 인수)</t>
        </is>
      </c>
      <c r="P33" s="155">
        <f>HYPERLINK("매뉴얼BODY(집행단계-첨부폴더)v8\3.지장물이설\17_도로점용_굴착행위 인허가\체크리스트\도로점용_굴착행위 인허가_체크리스트.html", "👉 [클릭] 체크리스트 열기 📄")</f>
        <v/>
      </c>
      <c r="R33" t="inlineStr">
        <is>
          <t>지방자치단체 시설물 인계인수 규정</t>
        </is>
      </c>
      <c r="S33" t="inlineStr">
        <is>
          <t>인계 미비로 인한 시설물 인수 거부 리스크 방지</t>
        </is>
      </c>
      <c r="T33" s="3" t="inlineStr">
        <is>
          <t>맑은물사업소 시설물 인계 전담자</t>
        </is>
      </c>
    </row>
    <row r="34" ht="57.6" customHeight="1" s="148">
      <c r="A34" s="3" t="inlineStr">
        <is>
          <t>2000</t>
        </is>
      </c>
      <c r="B34" s="3" t="inlineStr">
        <is>
          <t>2000-5</t>
        </is>
      </c>
      <c r="C34" s="3" t="inlineStr">
        <is>
          <t>최종 점검, 정산 및 설계변경</t>
        </is>
      </c>
      <c r="D34" s="4" t="inlineStr">
        <is>
          <t>2000-5-2</t>
        </is>
      </c>
      <c r="E34" s="4" t="inlineStr">
        <is>
          <t>D+65</t>
        </is>
      </c>
      <c r="F34" s="5" t="inlineStr">
        <is>
          <t>위수탁 지하지장물 이설 최종 점검</t>
        </is>
      </c>
      <c r="G34" s="3" t="inlineStr">
        <is>
          <t>현장 감리원 / 위수탁기관</t>
        </is>
      </c>
      <c r="H34" s="3" t="inlineStr">
        <is>
          <t>상하수도 총괄 지침 | 신설 관로 수압·수질·CCTV 검사 종합 대장 작성 | 지자체 3자 합동 최종 현현 점검</t>
        </is>
      </c>
      <c r="I34" s="3" t="inlineStr">
        <is>
          <t>1) 신설 관로 종합 현측 ➔ 2) 수압/수질/CCTV 검사 종합 ➔ 3) 지자체 3자 합동 점검 ➔ 4) 상하수도 최종 점검 대장 승인</t>
        </is>
      </c>
      <c r="J34" s="3" t="inlineStr">
        <is>
          <t>신설 관로 종합 현측, 수압/수질/CCTV 검사 종합 대장 작성 및 지자체 3자 합동 점검</t>
        </is>
      </c>
      <c r="K34" s="47" t="inlineStr">
        <is>
          <t>상하수도 총괄 지침 | 신설 관로 수압·수질·CCTV 검사 종합 대장 작성 | 지자체 3자 합동 최종 현현 점검</t>
        </is>
      </c>
      <c r="L34" s="155">
        <f>HYPERLINK("매뉴얼BODY(집행단계-첨부폴더)v8\3.지장물이설\18_광역상수관 이설 공사\표준서\광역상수관 이설 공사_표준서.html", "👉 [클릭] 표준서 열기 📄")</f>
        <v/>
      </c>
      <c r="M34" s="47" t="inlineStr">
        <is>
          <t>1) 신설 관로 종합 현측 ➔ 2) 수압/수질/CCTV 검사 종합 ➔ 3) 지자체 3자 합동 점검 ➔ 4) 상하수도 최종 점검 대장 승인</t>
        </is>
      </c>
      <c r="N34" s="155">
        <f>HYPERLINK("매뉴얼BODY(집행단계-첨부폴더)v8\3.지장물이설\18_광역상수관 이설 공사\수행지침\광역상수관 이설 공사_수행지침.html", "👉 [클릭] 수행지침 열기 📄")</f>
        <v/>
      </c>
      <c r="O34" s="48" t="inlineStr">
        <is>
          <t>신설 관로 종합 현측, 수압/수질/CCTV 검사 종합 대장 작성 및 지자체 3자 합동 점검</t>
        </is>
      </c>
      <c r="P34" s="155">
        <f>HYPERLINK("매뉴얼BODY(집행단계-첨부폴더)v8\3.지장물이설\18_광역상수관 이설 공사\체크리스트\광역상수관 이설 공사_체크리스트.html", "👉 [클릭] 체크리스트 열기 📄")</f>
        <v/>
      </c>
      <c r="R34" t="inlineStr">
        <is>
          <t>위수탁 협약서 및 사후 정산 지침</t>
        </is>
      </c>
      <c r="S34" t="inlineStr">
        <is>
          <t>정산 금액 이견으로 인한 분담금 미지급 리스크 관리</t>
        </is>
      </c>
      <c r="T34" s="3" t="inlineStr">
        <is>
          <t>사후 정산 평가 전문 용역사 자문</t>
        </is>
      </c>
    </row>
    <row r="35" ht="69.59999999999999" customHeight="1" s="148">
      <c r="A35" s="3" t="inlineStr">
        <is>
          <t>2000</t>
        </is>
      </c>
      <c r="B35" s="3" t="inlineStr">
        <is>
          <t>2000-5</t>
        </is>
      </c>
      <c r="C35" s="3" t="inlineStr">
        <is>
          <t>최종 점검, 정산 및 설계변경</t>
        </is>
      </c>
      <c r="D35" s="4" t="inlineStr">
        <is>
          <t>2000-5-3</t>
        </is>
      </c>
      <c r="E35" s="4" t="inlineStr">
        <is>
          <t>D+70</t>
        </is>
      </c>
      <c r="F35" s="5" t="inlineStr">
        <is>
          <t>상하수도 이설 정산 금액 검토</t>
        </is>
      </c>
      <c r="G35" s="3" t="inlineStr">
        <is>
          <t>현장 공무팀</t>
        </is>
      </c>
      <c r="H35" s="3" t="inlineStr">
        <is>
          <t>위수탁 총괄 지침 | 위탁기관 1:1 현장 최종 인수 검측 및 3D BIM 준공 도면 대조 | 지장물 이설 준공 보고서</t>
        </is>
      </c>
      <c r="I35" s="3" t="inlineStr">
        <is>
          <t>1) 위탁기관 1:1 인수 검측 ➔ 2) 3D BIM 준공 도면 대조 ➔ 3) 이설 완료 현장 서명 ➔ 4) 준공 보고서 감리 서면 승인</t>
        </is>
      </c>
      <c r="J35" s="3" t="inlineStr">
        <is>
          <t>위탁기관 1:1 인수 검측, 3D BIM 준공 도면 대조 및 이설 준공 보고서 감리 서면 승인</t>
        </is>
      </c>
      <c r="K35" s="47" t="inlineStr">
        <is>
          <t>위수탁 총괄 지침 | 위탁기관 1:1 현장 최종 인수 검측 및 3D BIM 준공 도면 대조 | 지장물 이설 준공 보고서</t>
        </is>
      </c>
      <c r="L35" s="155">
        <f>HYPERLINK("매뉴얼BODY(집행단계-첨부폴더)v8\3.지장물이설\18_교통통제 및 교통안전시설 설치\표준서\18_교통통제 및 교통안전시설 설치_표준서.html", "👉 [클릭] 표준서 열기 📄")</f>
        <v/>
      </c>
      <c r="M35" s="47" t="inlineStr">
        <is>
          <t>1) 위탁기관 1:1 인수 검측 ➔ 2) 3D BIM 준공 도면 대조 ➔ 3) 이설 완료 현장 서명 ➔ 4) 준공 보고서 감리 서면 승인</t>
        </is>
      </c>
      <c r="N35" s="155">
        <f>HYPERLINK("매뉴얼BODY(집행단계-첨부폴더)v8\3.지장물이설\18_교통통제 및 교통안전시설 설치\수행지침\교통통제 및 교통안전시설 설치_수행지침.html", "👉 [클릭] 수행지침 열기 📄")</f>
        <v/>
      </c>
      <c r="O35" s="48" t="inlineStr">
        <is>
          <t>위탁기관 1:1 인수 검측, 3D BIM 준공 도면 대조 및 이설 준공 보고서 감리 서면 승인</t>
        </is>
      </c>
      <c r="P35" s="155">
        <f>HYPERLINK("매뉴얼BODY(집행단계-첨부폴더)v8\3.지장물이설\18_교통통제 및 교통안전시설 설치\체크리스트\교통통제 및 교통안전시설 설치_체크리스트.html", "👉 [클릭] 체크리스트 열기 📄")</f>
        <v/>
      </c>
      <c r="R35" t="inlineStr">
        <is>
          <t>기획재정부 계약예규 공사계약일반조건</t>
        </is>
      </c>
      <c r="S35" t="inlineStr">
        <is>
          <t>설계변경 절차 미비로 인한 금액 삭감 리스크 방지</t>
        </is>
      </c>
      <c r="T35" s="3" t="inlineStr">
        <is>
          <t>토목 설계변경 및 계약 정산 전문가</t>
        </is>
      </c>
    </row>
    <row r="36" ht="57.6" customHeight="1" s="148">
      <c r="A36" s="3" t="inlineStr">
        <is>
          <t>2000</t>
        </is>
      </c>
      <c r="B36" s="3" t="inlineStr">
        <is>
          <t>2000-5</t>
        </is>
      </c>
      <c r="C36" s="3" t="inlineStr">
        <is>
          <t>최종 점검, 정산 및 설계변경</t>
        </is>
      </c>
      <c r="D36" s="4" t="inlineStr">
        <is>
          <t>2000-5-4</t>
        </is>
      </c>
      <c r="E36" s="4" t="inlineStr">
        <is>
          <t>D+80</t>
        </is>
      </c>
      <c r="F36" s="5" t="inlineStr">
        <is>
          <t>위수탁 처리 정산금액 지급</t>
        </is>
      </c>
      <c r="G36" s="3" t="inlineStr">
        <is>
          <t>현장 공무팀 / 발주처</t>
        </is>
      </c>
      <c r="H36" s="3" t="inlineStr">
        <is>
          <t>지방계약법 정산 수칙 | 실제 실정보고 투입 물량 및 단가 산정 정산서 작성 | 책임감리원 정산 금액 서면 승인</t>
        </is>
      </c>
      <c r="I36" s="3" t="inlineStr">
        <is>
          <t>1) 실정보고 투입 물량 집계 ➔ 2) 정산 단가 산정 서류 작성 ➔ 3) 정산서 감리 기술 검토 ➔ 4) 정산 금액 최종 서면 승인</t>
        </is>
      </c>
      <c r="J36" s="3" t="inlineStr">
        <is>
          <t>실정보고 투입 물량 집계, 정산 단가 산정 서류 작성 및 책임감리원 정산 금액 서면 승인</t>
        </is>
      </c>
      <c r="K36" s="47" t="inlineStr">
        <is>
          <t>지방계약법 정산 수칙 | 실제 실정보고 투입 물량 및 단가 산정 정산서 작성 | 책임감리원 정산 금액 서면 승인</t>
        </is>
      </c>
      <c r="L36" s="155">
        <f>HYPERLINK("매뉴얼BODY(집행단계-첨부폴더)v8\3.지장물이설\19_상수도 관로 이설 공사\표준서\상수도 관로 이설 공사_표준서.html", "👉 [클릭] 표준서 열기 📄")</f>
        <v/>
      </c>
      <c r="M36" s="47" t="inlineStr">
        <is>
          <t>1) 실정보고 투입 물량 집계 ➔ 2) 정산 단가 산정 서류 작성 ➔ 3) 정산서 감리 기술 검토 ➔ 4) 정산 금액 최종 서면 승인</t>
        </is>
      </c>
      <c r="N36" s="155">
        <f>HYPERLINK("매뉴얼BODY(집행단계-첨부폴더)v8\3.지장물이설\19_상수도 관로 이설 공사\수행지침\상수도 관로 이설 공사_수행지침.html", "👉 [클릭] 수행지침 열기 📄")</f>
        <v/>
      </c>
      <c r="O36" s="48" t="inlineStr">
        <is>
          <t>실정보고 투입 물량 집계, 정산 단가 산정 서류 작성 및 책임감리원 정산 금액 서면 승인</t>
        </is>
      </c>
      <c r="P36" s="155">
        <f>HYPERLINK("매뉴얼BODY(집행단계-첨부폴더)v8\3.지장물이설\19_상수도 관로 이설 공사\체크리스트\상수도 관로 이설 공사_체크리스트.html", "👉 [클릭] 체크리스트 열기 📄")</f>
        <v/>
      </c>
      <c r="R36" t="inlineStr">
        <is>
          <t>지방재정법 및 PS 정산 지침</t>
        </is>
      </c>
      <c r="S36" t="inlineStr">
        <is>
          <t>PS 항목 정산 지연 리스크 방지</t>
        </is>
      </c>
      <c r="T36" s="3" t="inlineStr">
        <is>
          <t>발주처 재정 및 정산 담당 자문</t>
        </is>
      </c>
    </row>
    <row r="37" ht="69.59999999999999" customHeight="1" s="148">
      <c r="A37" s="3" t="inlineStr">
        <is>
          <t>2000</t>
        </is>
      </c>
      <c r="B37" s="3" t="inlineStr">
        <is>
          <t>2000-5</t>
        </is>
      </c>
      <c r="C37" s="3" t="inlineStr">
        <is>
          <t>최종 점검, 정산 및 설계변경</t>
        </is>
      </c>
      <c r="D37" s="4" t="inlineStr">
        <is>
          <t>2000-5-5</t>
        </is>
      </c>
      <c r="E37" s="4" t="inlineStr">
        <is>
          <t>D+90</t>
        </is>
      </c>
      <c r="F37" s="5" t="inlineStr">
        <is>
          <t>도급자분/위수탁분 설계변경 정산</t>
        </is>
      </c>
      <c r="G37" s="3" t="inlineStr">
        <is>
          <t>현장 공무팀 / 화성시</t>
        </is>
      </c>
      <c r="H37" s="3" t="inlineStr">
        <is>
          <t>위수탁 정산 규정 | 관할 위탁기관에 최종 정산금 청구서 및 집행 영수증 작성 | 이설 정산금 집행 완료</t>
        </is>
      </c>
      <c r="I37" s="3" t="inlineStr">
        <is>
          <t>1) 위탁기관 정산 청구서 작성 ➔ 2) 증빙 영수증 &amp; 성과표 첨부 ➔ 3) 정산금 지급 수속 ➔ 4) 이설 정산금 집행 완료</t>
        </is>
      </c>
      <c r="J37" s="3" t="inlineStr">
        <is>
          <t>위탁기관 정산 청구서 작성, 증빙 영수증 &amp; 성과표 부착 및 이설 정산금 집행 완료</t>
        </is>
      </c>
      <c r="K37" s="47" t="inlineStr">
        <is>
          <t>위수탁 정산 규정 | 관할 위탁기관에 최종 정산금 청구서 및 집행 영수증 작성 | 이설 정산금 집행 완료</t>
        </is>
      </c>
      <c r="L37" s="155">
        <f>HYPERLINK("매뉴얼BODY(집행단계-첨부폴더)v8\3.지장물이설\19_줄따기(GPR)를 통한 기존 지장물 매설 확인\표준서\19_줄따기(GPR)를 통한 기존 지장물 매설 확인_표준서.html", "👉 [클릭] 표준서 열기 📄")</f>
        <v/>
      </c>
      <c r="M37" s="47" t="inlineStr">
        <is>
          <t>1) 위탁기관 정산 청구서 작성 ➔ 2) 증빙 영수증 &amp; 성과표 첨부 ➔ 3) 정산금 지급 수속 ➔ 4) 이설 정산금 집행 완료</t>
        </is>
      </c>
      <c r="N37" s="155">
        <f>HYPERLINK("매뉴얼BODY(집행단계-첨부폴더)v8\3.지장물이설\19_줄따기(GPR)를 통한 기존 지장물 매설 확인\수행지침\수행지침.html", "👉 [클릭] 수행지침 열기 📄")</f>
        <v/>
      </c>
      <c r="O37" s="48" t="inlineStr">
        <is>
          <t>위탁기관 정산 청구서 작성, 증빙 영수증 &amp; 성과표 부착 및 이설 정산금 집행 완료</t>
        </is>
      </c>
      <c r="P37" s="155">
        <f>HYPERLINK("매뉴얼BODY(집행단계-첨부폴더)v8\3.지장물이설\19_줄따기(GPR)를 통한 기존 지장물 매설 확인\체크리스트\줄따기(GPR)를 통한 기존 지장물 매설 확인_체크리스트.html", "👉 [클릭] 체크리스트 열기 📄")</f>
        <v/>
      </c>
      <c r="R37" t="inlineStr">
        <is>
          <t>국가계약법 및 화성시 도급계약 지침</t>
        </is>
      </c>
      <c r="S37" t="inlineStr">
        <is>
          <t>최종 계약 변경 지연 리스크 관리</t>
        </is>
      </c>
      <c r="T37" s="3" t="inlineStr">
        <is>
          <t>화성시 도급계약 및 준공 정산 전문가</t>
        </is>
      </c>
    </row>
    <row r="38" ht="84" customHeight="1" s="148">
      <c r="A38" s="3" t="inlineStr">
        <is>
          <t>2000</t>
        </is>
      </c>
      <c r="B38" s="3" t="inlineStr">
        <is>
          <t>2000-6</t>
        </is>
      </c>
      <c r="C38" s="3" t="inlineStr">
        <is>
          <t>공사 선행/후행 공종 요구사항 연계</t>
        </is>
      </c>
      <c r="D38" s="4" t="inlineStr">
        <is>
          <t>2000-6-1</t>
        </is>
      </c>
      <c r="E38" s="4" t="inlineStr">
        <is>
          <t>D-90</t>
        </is>
      </c>
      <c r="F38" s="5" t="inlineStr">
        <is>
          <t>공사전 선행공종에서 인수받을 사항</t>
        </is>
      </c>
      <c r="G38" s="3" t="inlineStr">
        <is>
          <t>현장 사업단 / 공무팀</t>
        </is>
      </c>
      <c r="H38" s="3" t="inlineStr">
        <is>
          <t>건진법 설계변경 수칙 | 도급분 및 위수탁분 총사업비 변경 계약 체결 | 발주처 변경 공문 수령 완료</t>
        </is>
      </c>
      <c r="I38" s="3" t="inlineStr">
        <is>
          <t>1) 설계변경 총사업비 산정 ➔ 2) 도급/위수탁 변경 변경 수속 ➔ 3) 발주처 변경 공문 수령 ➔ 4) 설계변경 정산 최종 승인</t>
        </is>
      </c>
      <c r="J38" s="3" t="inlineStr">
        <is>
          <t>설계변경 총사업비 산정, 도급/위수탁 변경 변경 수속 및 발주처 변경 공문 수령</t>
        </is>
      </c>
      <c r="K38" s="47" t="inlineStr">
        <is>
          <t>건진법 설계변경 수칙 | 도급분 및 위수탁분 총사업비 변경 계약 체결 | 발주처 변경 공문 수령 완료</t>
        </is>
      </c>
      <c r="L38" s="155">
        <f>HYPERLINK("매뉴얼BODY(집행단계-첨부폴더)v8\3.지장물이설\20_이설 위치 토공 굴착\표준서\20_이설 위치 토공 굴착_표준서.html", "👉 [클릭] 표준서 열기 📄")</f>
        <v/>
      </c>
      <c r="M38" s="47" t="inlineStr">
        <is>
          <t>1) 설계변경 총사업비 산정 ➔ 2) 도급/위수탁 변경 변경 수속 ➔ 3) 발주처 변경 공문 수령 ➔ 4) 설계변경 정산 최종 승인</t>
        </is>
      </c>
      <c r="N38" s="155">
        <f>HYPERLINK("매뉴얼BODY(집행단계-첨부폴더)v8\3.지장물이설\20_이설 위치 토공 굴착\수행지침\수행지침.html", "👉 [클릭] 수행지침 열기 📄")</f>
        <v/>
      </c>
      <c r="O38" s="48" t="inlineStr">
        <is>
          <t>설계변경 총사업비 산정, 도급/위수탁 변경 변경 수속 및 발주처 변경 공문 수령</t>
        </is>
      </c>
      <c r="P38" s="155">
        <f>HYPERLINK("매뉴얼BODY(집행단계-첨부폴더)v8\3.지장물이설\20_이설 위치 토공 굴착\체크리스트\이설 위치 토공 굴착_체크리스트.html", "👉 [클릭] 체크리스트 열기 📄")</f>
        <v/>
      </c>
      <c r="R38" t="inlineStr">
        <is>
          <t>선후행 공종 인수인계 규정</t>
        </is>
      </c>
      <c r="S38" t="inlineStr">
        <is>
          <t>선행 인수 미비로 인한 이설 중단 리스크 방지</t>
        </is>
      </c>
      <c r="T38" s="3" t="inlineStr">
        <is>
          <t>선행 공종 책임 감리원</t>
        </is>
      </c>
    </row>
    <row r="39" ht="76.8" customHeight="1" s="148">
      <c r="A39" s="3" t="inlineStr">
        <is>
          <t>2000</t>
        </is>
      </c>
      <c r="B39" s="3" t="inlineStr">
        <is>
          <t>2000-6</t>
        </is>
      </c>
      <c r="C39" s="3" t="inlineStr">
        <is>
          <t>공사 선행/후행 공종 요구사항 연계</t>
        </is>
      </c>
      <c r="D39" s="4" t="inlineStr">
        <is>
          <t>2000-6-2</t>
        </is>
      </c>
      <c r="E39" s="4" t="inlineStr">
        <is>
          <t>D+100</t>
        </is>
      </c>
      <c r="F39" s="5" t="inlineStr">
        <is>
          <t>공사중 챙겨야할 후행공종의 요구사항</t>
        </is>
      </c>
      <c r="G39" s="3" t="inlineStr">
        <is>
          <t>현장 공사팀 / 강화노반팀</t>
        </is>
      </c>
      <c r="H39" s="3" t="inlineStr">
        <is>
          <t>공정 간섭 관리 지침 | 선행 토공 및 측량 기준점 성과 인수 대장 작성 | 3자 인계인수서 서명 완료</t>
        </is>
      </c>
      <c r="I39" s="3" t="inlineStr">
        <is>
          <t>1) 선행 토공 &amp; 측량 성과 인수 ➔ 2) 현장 지장물 인계인수 ➔ 3) 3자 합동 현측 실시 ➔ 4) 인계인수서 3자 서명 완료</t>
        </is>
      </c>
      <c r="J39" s="3" t="inlineStr">
        <is>
          <t>선행 토공 및 측량 성과 인수 대장 작성, 3자 합동 현측 및 인계인수서 서명 완료</t>
        </is>
      </c>
      <c r="K39" s="47" t="inlineStr">
        <is>
          <t>공정 간섭 관리 지침 | 선행 토공 및 측량 기준점 성과 인수 대장 작성 | 3자 인계인수서 서명 완료</t>
        </is>
      </c>
      <c r="L39" s="155">
        <f>HYPERLINK("매뉴얼BODY(집행단계-첨부폴더)v8\3.지장물이설\20_하수도 관로 이설 공사\표준서\하수도 관로 이설 공사_표준서.html", "👉 [클릭] 표준서 열기 📄")</f>
        <v/>
      </c>
      <c r="M39" s="47" t="inlineStr">
        <is>
          <t>1) 선행 토공 &amp; 측량 성과 인수 ➔ 2) 현장 지장물 인계인수 ➔ 3) 3자 합동 현측 실시 ➔ 4) 인계인수서 3자 서명 완료</t>
        </is>
      </c>
      <c r="N39" s="155">
        <f>HYPERLINK("매뉴얼BODY(집행단계-첨부폴더)v8\3.지장물이설\20_하수도 관로 이설 공사\수행지침\수행지침.html", "👉 [클릭] 수행지침 열기 📄")</f>
        <v/>
      </c>
      <c r="O39" s="48" t="inlineStr">
        <is>
          <t>선행 토공 및 측량 성과 인수 대장 작성, 3자 합동 현측 및 인계인수서 서명 완료</t>
        </is>
      </c>
      <c r="P39" s="155">
        <f>HYPERLINK("매뉴얼BODY(집행단계-첨부폴더)v8\3.지장물이설\20_하수도 관로 이설 공사\체크리스트\하수도 관로 이설 공사_체크리스트.html", "👉 [클릭] 체크리스트 열기 📄")</f>
        <v/>
      </c>
      <c r="R39" t="inlineStr">
        <is>
          <t>후행 공종 연계 인계 지침</t>
        </is>
      </c>
      <c r="S39" t="inlineStr">
        <is>
          <t>후행 궤도 시공 시 신규 이설 관로 재간섭 리스크 방지</t>
        </is>
      </c>
      <c r="T39" s="3" t="inlineStr">
        <is>
          <t>후행 강화노반 및 궤도 기술사</t>
        </is>
      </c>
    </row>
    <row r="40">
      <c r="L40" s="155">
        <f>HYPERLINK("매뉴얼BODY(집행단계-첨부폴더)v8\3.지장물이설\21_도시가스관 이설 공사\표준서\도시가스관 이설 공사_표준서.html", "👉 [클릭] 표준서 열기 📄")</f>
        <v/>
      </c>
      <c r="N40" s="155">
        <f>HYPERLINK("매뉴얼BODY(집행단계-첨부폴더)v8\3.지장물이설\21_도시가스관 이설 공사\수행지침\도시가스관 이설 공사_수행지침.html", "👉 [클릭] 수행지침 열기 📄")</f>
        <v/>
      </c>
      <c r="P40" s="155">
        <f>HYPERLINK("매뉴얼BODY(집행단계-첨부폴더)v8\3.지장물이설\21_도시가스관 이설 공사\체크리스트\도시가스관 이설 공사_체크리스트.html", "👉 [클릭] 체크리스트 열기 📄")</f>
        <v/>
      </c>
    </row>
    <row r="41">
      <c r="L41" s="155">
        <f>HYPERLINK("매뉴얼BODY(집행단계-첨부폴더)v8\3.지장물이설\21_신규관로 매설 및 설치\표준서\21_신규관로 매설 및 설치_표준서.html", "👉 [클릭] 표준서 열기 📄")</f>
        <v/>
      </c>
      <c r="N41" s="155">
        <f>HYPERLINK("매뉴얼BODY(집행단계-첨부폴더)v8\3.지장물이설\21_신규관로 매설 및 설치\수행지침\수행지침.html", "👉 [클릭] 수행지침 열기 📄")</f>
        <v/>
      </c>
      <c r="P41" s="155">
        <f>HYPERLINK("매뉴얼BODY(집행단계-첨부폴더)v8\3.지장물이설\21_신규관로 매설 및 설치\체크리스트\신규관로 매설 및 설치_체크리스트.html", "👉 [클릭] 체크리스트 열기 📄")</f>
        <v/>
      </c>
    </row>
    <row r="42">
      <c r="L42" s="155">
        <f>HYPERLINK("매뉴얼BODY(집행단계-첨부폴더)v8\3.지장물이설\22_무단수 연결을 위한 시설 설치\표준서\22_무단수 연결을 위한 시설 설치_표준서.html", "👉 [클릭] 표준서 열기 📄")</f>
        <v/>
      </c>
      <c r="N42" s="155">
        <f>HYPERLINK("매뉴얼BODY(집행단계-첨부폴더)v8\3.지장물이설\22_무단수 연결을 위한 시설 설치\수행지침\무단수 연결을 위한 시설 설치_수행지침.html", "👉 [클릭] 수행지침 열기 📄")</f>
        <v/>
      </c>
      <c r="P42" s="155">
        <f>HYPERLINK("매뉴얼BODY(집행단계-첨부폴더)v8\3.지장물이설\22_무단수 연결을 위한 시설 설치\체크리스트\무단수 연결을 위한 시설 설치_체크리스트.html", "👉 [클릭] 체크리스트 열기 📄")</f>
        <v/>
      </c>
    </row>
    <row r="43">
      <c r="G43" s="42" t="n"/>
      <c r="L43" s="155">
        <f>HYPERLINK("매뉴얼BODY(집행단계-첨부폴더)v8\3.지장물이설\22_지역난방관 이설 공사\표준서\지역난방관 이설 공사_표준서.html", "👉 [클릭] 표준서 열기 📄")</f>
        <v/>
      </c>
      <c r="N43" s="155">
        <f>HYPERLINK("매뉴얼BODY(집행단계-첨부폴더)v8\3.지장물이설\22_지역난방관 이설 공사\수행지침\수행지침.html", "👉 [클릭] 수행지침 열기 📄")</f>
        <v/>
      </c>
      <c r="P43" s="155">
        <f>HYPERLINK("매뉴얼BODY(집행단계-첨부폴더)v8\3.지장물이설\22_지역난방관 이설 공사\체크리스트\지역난방관 이설 공사_체크리스트.html", "👉 [클릭] 체크리스트 열기 📄")</f>
        <v/>
      </c>
    </row>
    <row r="44">
      <c r="G44" s="42" t="n"/>
      <c r="L44" s="155">
        <f>HYPERLINK("매뉴얼BODY(집행단계-첨부폴더)v8\3.지장물이설\23_신규관로 및 연결관로 접속\표준서\23_신규관로 및 연결관로 접속_표준서.html", "👉 [클릭] 표준서 열기 📄")</f>
        <v/>
      </c>
      <c r="N44" s="155">
        <f>HYPERLINK("매뉴얼BODY(집행단계-첨부폴더)v8\3.지장물이설\23_신규관로 및 연결관로 접속\수행지침\수행지침.html", "👉 [클릭] 수행지침 열기 📄")</f>
        <v/>
      </c>
      <c r="P44" s="155">
        <f>HYPERLINK("매뉴얼BODY(집행단계-첨부폴더)v8\3.지장물이설\23_신규관로 및 연결관로 접속\체크리스트\신규관로 및 연결관로 접속_체크리스트.html", "👉 [클릭] 체크리스트 열기 📄")</f>
        <v/>
      </c>
    </row>
    <row r="45" ht="22.8" customHeight="1" s="148">
      <c r="G45" s="43" t="n"/>
      <c r="L45" s="155">
        <f>HYPERLINK("매뉴얼BODY(집행단계-첨부폴더)v8\3.지장물이설\23_통신관로 및 케이블 이설 공사\표준서\통신관로 및 케이블 이설 공사_표준서.html", "👉 [클릭] 표준서 열기 📄")</f>
        <v/>
      </c>
      <c r="N45" s="155">
        <f>HYPERLINK("매뉴얼BODY(집행단계-첨부폴더)v8\3.지장물이설\23_통신관로 및 케이블 이설 공사\수행지침\수행지침.html", "👉 [클릭] 수행지침 열기 📄")</f>
        <v/>
      </c>
      <c r="P45" s="155">
        <f>HYPERLINK("매뉴얼BODY(집행단계-첨부폴더)v8\3.지장물이설\23_통신관로 및 케이블 이설 공사\체크리스트\통신관로 및 케이블 이설 공사_체크리스트.html", "👉 [클릭] 체크리스트 열기 📄")</f>
        <v/>
      </c>
    </row>
    <row r="46">
      <c r="G46" s="42" t="n"/>
      <c r="L46" s="155">
        <f>HYPERLINK("매뉴얼BODY(집행단계-첨부폴더)v8\3.지장물이설\24_기존관로 철거 및 원상복구\표준서\24_기존관로 철거 및 원상복구_표준서.html", "👉 [클릭] 표준서 열기 📄")</f>
        <v/>
      </c>
      <c r="N46" s="155">
        <f>HYPERLINK("매뉴얼BODY(집행단계-첨부폴더)v8\3.지장물이설\24_기존관로 철거 및 원상복구\수행지침\기존관로 철거 및 원상복구_수행지침.html", "👉 [클릭] 수행지침 열기 📄")</f>
        <v/>
      </c>
      <c r="P46" s="155">
        <f>HYPERLINK("매뉴얼BODY(집행단계-첨부폴더)v8\3.지장물이설\24_기존관로 철거 및 원상복구\체크리스트\기존관로 철거 및 원상복구_체크리스트.html", "👉 [클릭] 체크리스트 열기 📄")</f>
        <v/>
      </c>
    </row>
    <row r="47">
      <c r="G47" s="44" t="n"/>
      <c r="L47" s="155">
        <f>HYPERLINK("매뉴얼BODY(집행단계-첨부폴더)v8\3.지장물이설\24_특고압 전력관로 이설 공사\표준서\특고압 전력관로 이설 공사_표준서.html", "👉 [클릭] 표준서 열기 📄")</f>
        <v/>
      </c>
      <c r="N47" s="155">
        <f>HYPERLINK("매뉴얼BODY(집행단계-첨부폴더)v8\3.지장물이설\24_특고압 전력관로 이설 공사\수행지침\수행지침.html", "👉 [클릭] 수행지침 열기 📄")</f>
        <v/>
      </c>
      <c r="P47" s="155">
        <f>HYPERLINK("매뉴얼BODY(집행단계-첨부폴더)v8\3.지장물이설\24_특고압 전력관로 이설 공사\체크리스트\특고압 전력관로 이설 공사_체크리스트.html", "👉 [클릭] 체크리스트 열기 📄")</f>
        <v/>
      </c>
    </row>
    <row r="48">
      <c r="G48" s="44" t="n"/>
      <c r="L48" s="155">
        <f>HYPERLINK("매뉴얼BODY(집행단계-첨부폴더)v8\3.지장물이설\25_광역상수관 이설 공사\표준서\25_광역상수관 이설 공사_표준서.html", "👉 [클릭] 표준서 열기 📄")</f>
        <v/>
      </c>
      <c r="N48" s="155">
        <f>HYPERLINK("매뉴얼BODY(집행단계-첨부폴더)v8\3.지장물이설\25_광역상수관 이설 공사\수행지침\광역상수관 이설 공사_수행지침.html", "👉 [클릭] 수행지침 열기 📄")</f>
        <v/>
      </c>
      <c r="P48" s="155">
        <f>HYPERLINK("매뉴얼BODY(집행단계-첨부폴더)v8\3.지장물이설\25_광역상수관 이설 공사\체크리스트\광역상수관 이설 공사_체크리스트.html", "👉 [클릭] 체크리스트 열기 📄")</f>
        <v/>
      </c>
    </row>
    <row r="49" ht="22.8" customHeight="1" s="148">
      <c r="G49" s="43" t="n"/>
      <c r="L49" s="155">
        <f>HYPERLINK("매뉴얼BODY(집행단계-첨부폴더)v8\3.지장물이설\25_송유관 이설 공사\표준서\송유관 이설 공사_표준서.html", "👉 [클릭] 표준서 열기 📄")</f>
        <v/>
      </c>
      <c r="N49" s="155">
        <f>HYPERLINK("매뉴얼BODY(집행단계-첨부폴더)v8\3.지장물이설\25_송유관 이설 공사\수행지침\송유관 이설 공사_수행지침.html", "👉 [클릭] 수행지침 열기 📄")</f>
        <v/>
      </c>
      <c r="P49" s="155">
        <f>HYPERLINK("매뉴얼BODY(집행단계-첨부폴더)v8\3.지장물이설\25_송유관 이설 공사\체크리스트\송유관 이설 공사_체크리스트.html", "👉 [클릭] 체크리스트 열기 📄")</f>
        <v/>
      </c>
    </row>
    <row r="50">
      <c r="G50" s="42" t="n"/>
      <c r="L50" s="155">
        <f>HYPERLINK("매뉴얼BODY(집행단계-첨부폴더)v8\3.지장물이설\26_상수도 관로 이설 공사\표준서\26_상수도 관로 이설 공사_표준서.html", "👉 [클릭] 표준서 열기 📄")</f>
        <v/>
      </c>
      <c r="N50" s="155">
        <f>HYPERLINK("매뉴얼BODY(집행단계-첨부폴더)v8\3.지장물이설\26_상수도 관로 이설 공사\수행지침\상수도 관로 이설 공사_수행지침.html", "👉 [클릭] 수행지침 열기 📄")</f>
        <v/>
      </c>
      <c r="P50" s="155">
        <f>HYPERLINK("매뉴얼BODY(집행단계-첨부폴더)v8\3.지장물이설\26_상수도 관로 이설 공사\체크리스트\상수도 관로 이설 공사_체크리스트.html", "👉 [클릭] 체크리스트 열기 📄")</f>
        <v/>
      </c>
    </row>
    <row r="51">
      <c r="G51" s="44" t="n"/>
      <c r="L51" s="155">
        <f>HYPERLINK("매뉴얼BODY(집행단계-첨부폴더)v8\3.지장물이설\26_상하수도 이설 시공 최종 점검\표준서\상하수도 이설 시공 최종 점검_표준서.html", "👉 [클릭] 표준서 열기 📄")</f>
        <v/>
      </c>
      <c r="N51" s="155">
        <f>HYPERLINK("매뉴얼BODY(집행단계-첨부폴더)v8\3.지장물이설\26_상하수도 이설 시공 최종 점검\수행지침\상하수도 이설 시공 최종 점검_수행지침.html", "👉 [클릭] 수행지침 열기 📄")</f>
        <v/>
      </c>
      <c r="P51" s="155">
        <f>HYPERLINK("매뉴얼BODY(집행단계-첨부폴더)v8\3.지장물이설\26_상하수도 이설 시공 최종 점검\체크리스트\상하수도 이설 시공 최종 점검_체크리스트.html", "👉 [클릭] 체크리스트 열기 📄")</f>
        <v/>
      </c>
    </row>
    <row r="52">
      <c r="G52" s="44" t="n"/>
      <c r="L52" s="155">
        <f>HYPERLINK("매뉴얼BODY(집행단계-첨부폴더)v8\3.지장물이설\27_위수탁 지하지장물 이설 최종 점검\표준서\위수탁 지하지장물 이설 최종 점검_표준서.html", "👉 [클릭] 표준서 열기 📄")</f>
        <v/>
      </c>
      <c r="N52" s="155">
        <f>HYPERLINK("매뉴얼BODY(집행단계-첨부폴더)v8\3.지장물이설\27_위수탁 지하지장물 이설 최종 점검\수행지침\수행지침.html", "👉 [클릭] 수행지침 열기 📄")</f>
        <v/>
      </c>
      <c r="P52" s="155">
        <f>HYPERLINK("매뉴얼BODY(집행단계-첨부폴더)v8\3.지장물이설\27_위수탁 지하지장물 이설 최종 점검\체크리스트\위수탁 지하지장물 이설 최종 점검_체크리스트.html", "👉 [클릭] 체크리스트 열기 📄")</f>
        <v/>
      </c>
    </row>
    <row r="53" ht="22.8" customHeight="1" s="148">
      <c r="G53" s="43" t="n"/>
      <c r="L53" s="155">
        <f>HYPERLINK("매뉴얼BODY(집행단계-첨부폴더)v8\3.지장물이설\27_하수도 관로 이설 공사\표준서\27_하수도 관로 이설 공사_표준서.html", "👉 [클릭] 표준서 열기 📄")</f>
        <v/>
      </c>
      <c r="N53" s="155">
        <f>HYPERLINK("매뉴얼BODY(집행단계-첨부폴더)v8\3.지장물이설\27_하수도 관로 이설 공사\수행지침\수행지침.html", "👉 [클릭] 수행지침 열기 📄")</f>
        <v/>
      </c>
      <c r="P53" s="155">
        <f>HYPERLINK("매뉴얼BODY(집행단계-첨부폴더)v8\3.지장물이설\27_하수도 관로 이설 공사\체크리스트\하수도 관로 이설 공사_체크리스트.html", "👉 [클릭] 체크리스트 열기 📄")</f>
        <v/>
      </c>
    </row>
    <row r="54">
      <c r="G54" s="42" t="n"/>
      <c r="L54" s="155">
        <f>HYPERLINK("매뉴얼BODY(집행단계-첨부폴더)v8\3.지장물이설\28_도시가스관 이설 공사\표준서\28_도시가스관 이설 공사_표준서.html", "👉 [클릭] 표준서 열기 📄")</f>
        <v/>
      </c>
      <c r="N54" s="155">
        <f>HYPERLINK("매뉴얼BODY(집행단계-첨부폴더)v8\3.지장물이설\28_도시가스관 이설 공사\수행지침\도시가스관 이설 공사_수행지침.html", "👉 [클릭] 수행지침 열기 📄")</f>
        <v/>
      </c>
      <c r="P54" s="155">
        <f>HYPERLINK("매뉴얼BODY(집행단계-첨부폴더)v8\3.지장물이설\28_도시가스관 이설 공사\체크리스트\도시가스관 이설 공사_체크리스트.html", "👉 [클릭] 체크리스트 열기 📄")</f>
        <v/>
      </c>
    </row>
    <row r="55">
      <c r="G55" s="44" t="n"/>
      <c r="L55" s="155">
        <f>HYPERLINK("매뉴얼BODY(집행단계-첨부폴더)v8\3.지장물이설\28_상하수도 이설 정산 금액 검토\표준서\상하수도 이설 정산 금액 검토_표준서.html", "👉 [클릭] 표준서 열기 📄")</f>
        <v/>
      </c>
      <c r="N55" s="155">
        <f>HYPERLINK("매뉴얼BODY(집행단계-첨부폴더)v8\3.지장물이설\28_상하수도 이설 정산 금액 검토\수행지침\상하수도 이설 정산 금액 검토_수행지침.html", "👉 [클릭] 수행지침 열기 📄")</f>
        <v/>
      </c>
      <c r="P55" s="155">
        <f>HYPERLINK("매뉴얼BODY(집행단계-첨부폴더)v8\3.지장물이설\28_상하수도 이설 정산 금액 검토\체크리스트\상하수도 이설 정산 금액 검토_체크리스트.html", "👉 [클릭] 체크리스트 열기 📄")</f>
        <v/>
      </c>
    </row>
    <row r="56">
      <c r="G56" s="44" t="n"/>
      <c r="L56" s="155">
        <f>HYPERLINK("매뉴얼BODY(집행단계-첨부폴더)v8\3.지장물이설\29_위수탁 처리 정산금액 지급\표준서\위수탁 처리 정산금액 지급_표준서.html", "👉 [클릭] 표준서 열기 📄")</f>
        <v/>
      </c>
      <c r="N56" s="155">
        <f>HYPERLINK("매뉴얼BODY(집행단계-첨부폴더)v8\3.지장물이설\29_위수탁 처리 정산금액 지급\수행지침\수행지침.html", "👉 [클릭] 수행지침 열기 📄")</f>
        <v/>
      </c>
      <c r="P56" s="155">
        <f>HYPERLINK("매뉴얼BODY(집행단계-첨부폴더)v8\3.지장물이설\29_위수탁 처리 정산금액 지급\체크리스트\위수탁 처리 정산금액 지급_체크리스트.html", "👉 [클릭] 체크리스트 열기 📄")</f>
        <v/>
      </c>
    </row>
    <row r="57" ht="22.8" customHeight="1" s="148">
      <c r="G57" s="43" t="n"/>
      <c r="L57" s="155">
        <f>HYPERLINK("매뉴얼BODY(집행단계-첨부폴더)v8\3.지장물이설\29_지역난방관 이설 공사\표준서\29_지역난방관 이설 공사_표준서.html", "👉 [클릭] 표준서 열기 📄")</f>
        <v/>
      </c>
      <c r="N57" s="155">
        <f>HYPERLINK("매뉴얼BODY(집행단계-첨부폴더)v8\3.지장물이설\29_지역난방관 이설 공사\수행지침\수행지침.html", "👉 [클릭] 수행지침 열기 📄")</f>
        <v/>
      </c>
      <c r="P57" s="155">
        <f>HYPERLINK("매뉴얼BODY(집행단계-첨부폴더)v8\3.지장물이설\29_지역난방관 이설 공사\체크리스트\지역난방관 이설 공사_체크리스트.html", "👉 [클릭] 체크리스트 열기 📄")</f>
        <v/>
      </c>
    </row>
    <row r="58">
      <c r="G58" s="42" t="n"/>
      <c r="L58" s="155">
        <f>HYPERLINK("매뉴얼BODY(집행단계-첨부폴더)v8\3.지장물이설\30_도급자분_위수탁분 설계변경 정산\표준서\도급자분_위수탁분 설계변경 정산_표준서.html", "👉 [클릭] 표준서 열기 📄")</f>
        <v/>
      </c>
      <c r="N58" s="155">
        <f>HYPERLINK("매뉴얼BODY(집행단계-첨부폴더)v8\3.지장물이설\30_도급자분_위수탁분 설계변경 정산\수행지침\도급자분 이설업체 선정(상_하수)_수행지침.html", "👉 [클릭] 수행지침 열기 📄")</f>
        <v/>
      </c>
      <c r="P58" s="155">
        <f>HYPERLINK("매뉴얼BODY(집행단계-첨부폴더)v8\3.지장물이설\30_도급자분_위수탁분 설계변경 정산\체크리스트\도급자분_위수탁분 설계변경 정산_체크리스트.html", "👉 [클릭] 체크리스트 열기 📄")</f>
        <v/>
      </c>
    </row>
    <row r="59">
      <c r="G59" s="44" t="n"/>
      <c r="L59" s="155">
        <f>HYPERLINK("매뉴얼BODY(집행단계-첨부폴더)v8\3.지장물이설\30_통신관로 및 케이블 이설 공사\표준서\30_통신관로 및 케이블 이설 공사_표준서.html", "👉 [클릭] 표준서 열기 📄")</f>
        <v/>
      </c>
      <c r="N59" s="155">
        <f>HYPERLINK("매뉴얼BODY(집행단계-첨부폴더)v8\3.지장물이설\30_통신관로 및 케이블 이설 공사\수행지침\수행지침.html", "👉 [클릭] 수행지침 열기 📄")</f>
        <v/>
      </c>
      <c r="P59" s="155">
        <f>HYPERLINK("매뉴얼BODY(집행단계-첨부폴더)v8\3.지장물이설\30_통신관로 및 케이블 이설 공사\체크리스트\통신관로 및 케이블 이설 공사_체크리스트.html", "👉 [클릭] 체크리스트 열기 📄")</f>
        <v/>
      </c>
    </row>
    <row r="60">
      <c r="G60" s="44" t="n"/>
      <c r="L60" s="155">
        <f>HYPERLINK("매뉴얼BODY(집행단계-첨부폴더)v8\3.지장물이설\31_특고압 전력관로 이설 공사\표준서\31_특고압 전력관로 이설 공사_표준서.html", "👉 [클릭] 표준서 열기 📄")</f>
        <v/>
      </c>
      <c r="N60" s="155">
        <f>HYPERLINK("매뉴얼BODY(집행단계-첨부폴더)v8\3.지장물이설\31_특고압 전력관로 이설 공사\수행지침\수행지침.html", "👉 [클릭] 수행지침 열기 📄")</f>
        <v/>
      </c>
      <c r="P60" s="155">
        <f>HYPERLINK("매뉴얼BODY(집행단계-첨부폴더)v8\3.지장물이설\31_특고압 전력관로 이설 공사\체크리스트\특고압 전력관로 이설 공사_체크리스트.html", "👉 [클릭] 체크리스트 열기 📄")</f>
        <v/>
      </c>
    </row>
    <row r="61">
      <c r="G61" s="44" t="n"/>
      <c r="L61" s="155">
        <f>HYPERLINK("매뉴얼BODY(집행단계-첨부폴더)v8\3.지장물이설\32_송유관 이설 공사\표준서\32_송유관 이설 공사_표준서.html", "👉 [클릭] 표준서 열기 📄")</f>
        <v/>
      </c>
      <c r="N61" s="155">
        <f>HYPERLINK("매뉴얼BODY(집행단계-첨부폴더)v8\3.지장물이설\32_송유관 이설 공사\수행지침\상하수도 이설 시공 최종 점검_수행지침.html", "👉 [클릭] 수행지침 열기 📄")</f>
        <v/>
      </c>
      <c r="P61" s="155">
        <f>HYPERLINK("매뉴얼BODY(집행단계-첨부폴더)v8\3.지장물이설\32_송유관 이설 공사\체크리스트\상하수도 이설 시공 최종 점검_체크리스트.html", "👉 [클릭] 체크리스트 열기 📄")</f>
        <v/>
      </c>
    </row>
    <row r="62">
      <c r="G62" s="45" t="n"/>
      <c r="L62" s="155">
        <f>HYPERLINK("매뉴얼BODY(집행단계-첨부폴더)v8\3.지장물이설\33_상하수도 이설 시공 최종 점검\표준서\33_상하수도 이설 시공 최종 점검_표준서.html", "👉 [클릭] 표준서 열기 📄")</f>
        <v/>
      </c>
      <c r="N62" s="155">
        <f>HYPERLINK("매뉴얼BODY(집행단계-첨부폴더)v8\3.지장물이설\33_상하수도 이설 시공 최종 점검\수행지침\상하수도 이설 시공 최종 점검_수행지침.html", "👉 [클릭] 수행지침 열기 📄")</f>
        <v/>
      </c>
      <c r="P62" s="155">
        <f>HYPERLINK("매뉴얼BODY(집행단계-첨부폴더)v8\3.지장물이설\33_상하수도 이설 시공 최종 점검\체크리스트\위수탁 지하지장물 이설 최종 점검_체크리스트.html", "👉 [클릭] 체크리스트 열기 📄")</f>
        <v/>
      </c>
    </row>
  </sheetData>
  <printOptions horizontalCentered="1"/>
  <pageMargins left="0.7480314960629921" right="0.7480314960629921" top="0.984251968503937" bottom="0.984251968503937" header="0.5118110236220472" footer="0.5118110236220472"/>
  <pageSetup orientation="landscape" paperSize="8" scale="37" verticalDpi="0"/>
  <rowBreaks count="1" manualBreakCount="1">
    <brk id="17" min="0" max="16" man="1"/>
  </rowBreaks>
  <colBreaks count="1" manualBreakCount="1">
    <brk id="17" min="0" max="38" man="1"/>
  </colBreaks>
</worksheet>
</file>

<file path=xl/worksheets/sheet7.xml><?xml version="1.0" encoding="utf-8"?>
<worksheet xmlns="http://schemas.openxmlformats.org/spreadsheetml/2006/main">
  <sheetPr codeName="Sheet4">
    <tabColor rgb="FFFFFF00"/>
    <outlinePr summaryBelow="1" summaryRight="1"/>
    <pageSetUpPr/>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baseColWidth="8" defaultRowHeight="19.2"/>
  <cols>
    <col width="8.796875" customWidth="1" style="3" min="1" max="2"/>
    <col width="17.09765625" customWidth="1" style="4" min="3" max="3"/>
    <col width="16" customWidth="1" style="4" min="4" max="4"/>
    <col width="23.296875" customWidth="1" style="5" min="5" max="5"/>
    <col width="26.09765625" customWidth="1" style="4" min="6" max="6"/>
    <col width="21.09765625" customWidth="1" style="4" min="7" max="7"/>
    <col width="51.59765625" customWidth="1" style="3" min="8" max="8"/>
    <col width="60.796875" customWidth="1" style="4" min="9" max="9"/>
    <col width="24" customWidth="1" style="3" min="10" max="10"/>
    <col width="45" customWidth="1" style="3" min="11" max="11"/>
    <col width="14.3984375" customWidth="1" style="3" min="12" max="12"/>
    <col width="45" customWidth="1" style="3" min="13" max="13"/>
    <col width="15.5" customWidth="1" style="3" min="14" max="14"/>
    <col width="24" customWidth="1" style="3" min="15" max="15"/>
    <col width="11.8984375" customWidth="1" style="3" min="16" max="16"/>
    <col width="24" customWidth="1" style="3" min="17" max="17"/>
    <col width="45" customWidth="1" style="3" min="18" max="18"/>
    <col width="24" customWidth="1" style="25" min="19" max="19"/>
    <col width="45" customWidth="1" style="3" min="20" max="35"/>
    <col width="8.796875" customWidth="1" style="3" min="36" max="70"/>
    <col width="8.796875" customWidth="1" style="3" min="71" max="16384"/>
  </cols>
  <sheetData>
    <row r="1" ht="76.8" customFormat="1" customHeight="1" s="4">
      <c r="A1" s="18" t="inlineStr">
        <is>
          <t>L2 코드</t>
        </is>
      </c>
      <c r="B1" s="18" t="inlineStr">
        <is>
          <t>L3 코드</t>
        </is>
      </c>
      <c r="C1" s="18" t="inlineStr">
        <is>
          <t>L3 대공종명</t>
        </is>
      </c>
      <c r="D1" s="18" t="inlineStr">
        <is>
          <t>L4 코드</t>
        </is>
      </c>
      <c r="E1" s="18" t="inlineStr">
        <is>
          <t>일정 (D-Day)</t>
        </is>
      </c>
      <c r="F1" s="18" t="inlineStr">
        <is>
          <t>작업단위 (Level 4 Task/Activity)</t>
        </is>
      </c>
      <c r="G1" s="18" t="inlineStr">
        <is>
          <t>주관</t>
        </is>
      </c>
      <c r="H1" s="18" t="inlineStr">
        <is>
          <t>목적</t>
        </is>
      </c>
      <c r="I1" s="18" t="inlineStr">
        <is>
          <t>방법</t>
        </is>
      </c>
      <c r="J1" s="18" t="inlineStr">
        <is>
          <t>산출물(결과)</t>
        </is>
      </c>
      <c r="K1" s="18" t="inlineStr">
        <is>
          <t>표준서 (Standard) 요약</t>
        </is>
      </c>
      <c r="L1" s="19" t="inlineStr">
        <is>
          <t>표준서 파일 (HTML)</t>
        </is>
      </c>
      <c r="M1" s="18" t="inlineStr">
        <is>
          <t>수행지침 (Guideline) 요약</t>
        </is>
      </c>
      <c r="N1" s="19" t="inlineStr">
        <is>
          <t>수행지침 파일 (HTML)</t>
        </is>
      </c>
      <c r="O1" s="125" t="inlineStr">
        <is>
          <t>체크리스트 (Checklist) 요약</t>
        </is>
      </c>
      <c r="P1" s="19" t="inlineStr">
        <is>
          <t>체크리스트 파일 (HTML)</t>
        </is>
      </c>
      <c r="Q1" s="125" t="inlineStr">
        <is>
          <t>비고</t>
        </is>
      </c>
      <c r="R1" s="20" t="inlineStr">
        <is>
          <t>첨부서류 연계 상세 설계기준</t>
        </is>
      </c>
      <c r="S1" s="126" t="inlineStr">
        <is>
          <t>집행단계 리스크 체크리스트</t>
        </is>
      </c>
      <c r="T1" s="20" t="inlineStr">
        <is>
          <t>협력사 시공/공사관리 자문</t>
        </is>
      </c>
    </row>
    <row r="2" ht="118.8" customHeight="1" s="148">
      <c r="A2" s="21" t="inlineStr">
        <is>
          <t>9000</t>
        </is>
      </c>
      <c r="B2" s="21" t="inlineStr">
        <is>
          <t>9000-7</t>
        </is>
      </c>
      <c r="C2" s="21" t="inlineStr">
        <is>
          <t>상부강화노반</t>
        </is>
      </c>
      <c r="D2" s="21" t="inlineStr">
        <is>
          <t>9000-7-1</t>
        </is>
      </c>
      <c r="E2" s="21" t="inlineStr">
        <is>
          <t>D-100</t>
        </is>
      </c>
      <c r="F2" s="21" t="inlineStr">
        <is>
          <t>지반조사 상세검토</t>
        </is>
      </c>
      <c r="G2" s="21" t="inlineStr">
        <is>
          <t>현장 공사팀</t>
        </is>
      </c>
      <c r="H2" s="22" t="inlineStr">
        <is>
          <t>KDS 47 10 00 철도지반 설계기준 준수 | 시추 주상도, GPR 3D 매핑 및 N치 &lt; 4 연약지반 층후 경출 | PVD/DCM 개량 공법 확정</t>
        </is>
      </c>
      <c r="I2" s="22" t="inlineStr">
        <is>
          <t>1) 시추 주상도 &amp; GPR 3D 매핑 분석 ➔ 2) N치 &lt; 4 연약지반 심도 경계 추출 ➔ 3) PVD/DCM 개량 공법 검토 ➔ 4) 기술사 서명 지반조사 보고서 감리 승인</t>
        </is>
      </c>
      <c r="J2" s="22" t="inlineStr">
        <is>
          <t>시추 주상도 대조, GPR 지중 탐사 3D 매핑 및 N치 &lt; 4 연약지반 층후 경출 (PVD/DCM 개량 승인)</t>
        </is>
      </c>
      <c r="K2" s="22" t="inlineStr">
        <is>
          <t>KDS 47 10 00 철도지반 설계기준 준수 | 시추 주상도, GPR 3D 매핑 및 N치 &lt; 4 연약지반 층후 경출 | PVD/DCM 개량 공법 확정</t>
        </is>
      </c>
      <c r="L2" s="155">
        <f>HYPERLINK("매뉴얼BODY(집행단계-첨부폴더)v8\4.상부강화노반\1_지반조사 상세검토\표준서\지반조사 상세검토_표준서.html", "👉 [클릭] 표준서 열기 📄")</f>
        <v/>
      </c>
      <c r="M2" s="22" t="inlineStr">
        <is>
          <t>1) 시추 주상도 &amp; GPR 3D 매핑 분석 ➔ 2) N치 &lt; 4 연약지반 심도 경계 추출 ➔ 3) PVD/DCM 개량 공법 검토 ➔ 4) 기술사 서명 지반조사 보고서 감리 승인</t>
        </is>
      </c>
      <c r="N2" s="155">
        <f>HYPERLINK("매뉴얼BODY(집행단계-첨부폴더)v8\4.상부강화노반\1_지반조사 상세검토\수행지침\지반조사 상세검토_수행지침.html", "👉 [클릭] 수행지침 열기 📄")</f>
        <v/>
      </c>
      <c r="O2" t="inlineStr">
        <is>
          <t>👉 [클릭] 표준서 열기 📄</t>
        </is>
      </c>
      <c r="P2" s="155">
        <f>HYPERLINK("매뉴얼BODY(집행단계-첨부폴더)v8\4.상부강화노반\1_지반조사 상세검토\체크리스트\지반조사 상세검토_체크리스트.html", "👉 [클릭] 체크리스트 열기 📄")</f>
        <v/>
      </c>
      <c r="Q2" t="inlineStr">
        <is>
          <t>👉 [클릭] 수행지침 열기 📄</t>
        </is>
      </c>
      <c r="R2" s="23" t="inlineStr">
        <is>
          <t>● 설계 지반 정수 및 지층 상태 적합성 검토</t>
        </is>
      </c>
      <c r="S2" t="inlineStr">
        <is>
          <t>👉 [클릭] 체크리스트 열기 📄</t>
        </is>
      </c>
      <c r="T2" s="14" t="n"/>
    </row>
    <row r="3" ht="166.2" customHeight="1" s="148">
      <c r="A3" s="21" t="inlineStr">
        <is>
          <t>9000</t>
        </is>
      </c>
      <c r="B3" s="21" t="inlineStr">
        <is>
          <t>9000-7</t>
        </is>
      </c>
      <c r="C3" s="21" t="inlineStr">
        <is>
          <t>상부강화노반</t>
        </is>
      </c>
      <c r="D3" s="21" t="inlineStr">
        <is>
          <t>9000-7-2</t>
        </is>
      </c>
      <c r="E3" s="21" t="inlineStr">
        <is>
          <t>D-70</t>
        </is>
      </c>
      <c r="F3" s="21" t="inlineStr">
        <is>
          <t>발주전략 KOM</t>
        </is>
      </c>
      <c r="G3" s="21" t="inlineStr">
        <is>
          <t>현장소장</t>
        </is>
      </c>
      <c r="H3" s="22" t="inlineStr">
        <is>
          <t>KCS 47 10 25 시방 검토 | 쇄석 입도 50mm 및 다짐도 ≥ 95% 명시 | 3D BIM 도면 대조 &amp; 리스크 예비비 수립 킥오프 승인</t>
        </is>
      </c>
      <c r="I3" s="22" t="inlineStr">
        <is>
          <t>1) 발주처 시방서 요구조건 분석 ➔ 2) 3D BIM 도면 표고/구배 검증 ➔ 3) 지장물/용지 리스크 예비비 수립 ➔ 4) 발주·감리·시공 3자 킥오프 결재</t>
        </is>
      </c>
      <c r="J3" s="22" t="inlineStr">
        <is>
          <t>KCS 47 10 25 시방 검토, 쇄석 입도 50mm/다짐도 95% 명시 및 3D BIM 도면 대조 (발주전략 킥오프 결재)</t>
        </is>
      </c>
      <c r="K3" s="22" t="inlineStr">
        <is>
          <t>KCS 47 10 25 시방 검토 | 쇄석 입도 50mm 및 다짐도 ≥ 95% 명시 | 3D BIM 도면 대조 &amp; 리스크 예비비 수립 킥오프 승인</t>
        </is>
      </c>
      <c r="L3" s="155">
        <f>HYPERLINK("매뉴얼BODY(집행단계-첨부폴더)v8\4.상부강화노반\2_발주전략 KOM\표준서\발주전략 KOM_표준서.html", "👉 [클릭] 표준서 열기 📄")</f>
        <v/>
      </c>
      <c r="M3" s="22" t="inlineStr">
        <is>
          <t>1) 발주처 시방서 요구조건 분석 ➔ 2) 3D BIM 도면 표고/구배 검증 ➔ 3) 지장물/용지 리스크 예비비 수립 ➔ 4) 발주·감리·시공 3자 킥오프 결재</t>
        </is>
      </c>
      <c r="N3" s="155">
        <f>HYPERLINK("매뉴얼BODY(집행단계-첨부폴더)v8\4.상부강화노반\2_발주전략 KOM\수행지침\발주전략 KOM_수행지침.html", "👉 [클릭] 수행지침 열기 📄")</f>
        <v/>
      </c>
      <c r="O3" t="inlineStr">
        <is>
          <t>👉 [클릭] 표준서 열기 📄</t>
        </is>
      </c>
      <c r="P3" s="155">
        <f>HYPERLINK("매뉴얼BODY(집행단계-첨부폴더)v8\4.상부강화노반\2_발주전략 KOM\체크리스트\발주전략 KOM_체크리스트.html", "👉 [클릭] 체크리스트 열기 📄")</f>
        <v/>
      </c>
      <c r="Q3" t="inlineStr">
        <is>
          <t>👉 [클릭] 수행지침 열기 📄</t>
        </is>
      </c>
      <c r="R3" s="23" t="inlineStr">
        <is>
          <t>● 본사 유관부서 발주 조달 기준 만족</t>
        </is>
      </c>
      <c r="S3" t="inlineStr">
        <is>
          <t>👉 [클릭] 체크리스트 열기 📄</t>
        </is>
      </c>
      <c r="T3" s="14" t="n"/>
    </row>
    <row r="4" ht="96" customHeight="1" s="148">
      <c r="A4" s="21" t="inlineStr">
        <is>
          <t>9000</t>
        </is>
      </c>
      <c r="B4" s="21" t="inlineStr">
        <is>
          <t>9000-7</t>
        </is>
      </c>
      <c r="C4" s="21" t="inlineStr">
        <is>
          <t>상부강화노반</t>
        </is>
      </c>
      <c r="D4" s="21" t="inlineStr">
        <is>
          <t>9000-7-3</t>
        </is>
      </c>
      <c r="E4" s="21" t="inlineStr">
        <is>
          <t>D-60 (D-70~D-60)</t>
        </is>
      </c>
      <c r="F4" s="21" t="inlineStr">
        <is>
          <t>철도보호지구에서의 행위신고(필요시)</t>
        </is>
      </c>
      <c r="G4" s="21" t="inlineStr">
        <is>
          <t>현장 공사팀</t>
        </is>
      </c>
      <c r="H4" s="22" t="inlineStr">
        <is>
          <t>철도안전법 제45조 준수 | 궤도 중심 30m 법정 경계 측량(오차 ≤ 5mm) | 행위신고서 작성 및 운행선안전관리자 1:1 배치</t>
        </is>
      </c>
      <c r="I4" s="22" t="inlineStr">
        <is>
          <t>1) 궤도 중심 30m 법정 경계 측량 ➔ 2) 행위신고서/안전계획서 접수 ➔ 3) 관할 철도운영기관 기술 심의 ➔ 4) 운행선안전관리자 현장 1:1 배치</t>
        </is>
      </c>
      <c r="J4" s="22" t="inlineStr">
        <is>
          <t>궤도 중심 30m 법정 경계 측량(오차 ≤ 5mm), 행위신고서 접수 및 운행선안전관리자 1:1 현장 배치</t>
        </is>
      </c>
      <c r="K4" s="22" t="inlineStr">
        <is>
          <t>철도안전법 제45조 준수 | 궤도 중심 30m 법정 경계 측량(오차 ≤ 5mm) | 행위신고서 작성 및 운행선안전관리자 1:1 배치</t>
        </is>
      </c>
      <c r="L4" s="155">
        <f>HYPERLINK("매뉴얼BODY(집행단계-첨부폴더)v8\4.상부강화노반\3_철도보호지구에서의 행위신고(필요시)\표준서\철도보호지구 행위신고_표준서.html", "👉 [클릭] 표준서 열기 📄")</f>
        <v/>
      </c>
      <c r="M4" s="22" t="inlineStr">
        <is>
          <t>1) 궤도 중심 30m 법정 경계 측량 ➔ 2) 행위신고서/안전계획서 접수 ➔ 3) 관할 철도운영기관 기술 심의 ➔ 4) 운행선안전관리자 현장 1:1 배치</t>
        </is>
      </c>
      <c r="N4" s="155">
        <f>HYPERLINK("매뉴얼BODY(집행단계-첨부폴더)v8\4.상부강화노반\3_철도보호지구에서의 행위신고(필요시)\수행지침\철도보호지구 행위신고_수행지침.html", "👉 [클릭] 수행지침 열기 📄")</f>
        <v/>
      </c>
      <c r="O4" t="inlineStr">
        <is>
          <t>👉 [클릭] 표준서 열기 📄</t>
        </is>
      </c>
      <c r="P4" s="155">
        <f>HYPERLINK("매뉴얼BODY(집행단계-첨부폴더)v8\4.상부강화노반\3_철도보호지구에서의 행위신고(필요시)\체크리스트\철도보호지구 행위신고_체크리스트.html", "👉 [클릭] 체크리스트 열기 📄")</f>
        <v/>
      </c>
      <c r="Q4" t="inlineStr">
        <is>
          <t>👉 [클릭] 수행지침 열기 📄</t>
        </is>
      </c>
      <c r="R4" s="23" t="inlineStr">
        <is>
          <t>● 철도안전법 제45조</t>
        </is>
      </c>
      <c r="S4" t="inlineStr">
        <is>
          <t>👉 [클릭] 체크리스트 열기 📄</t>
        </is>
      </c>
      <c r="T4" s="14" t="n"/>
    </row>
    <row r="5" ht="96" customHeight="1" s="148">
      <c r="A5" s="21" t="inlineStr">
        <is>
          <t>9000</t>
        </is>
      </c>
      <c r="B5" s="21" t="inlineStr">
        <is>
          <t>9000-7</t>
        </is>
      </c>
      <c r="C5" s="21" t="inlineStr">
        <is>
          <t>상부강화노반</t>
        </is>
      </c>
      <c r="D5" s="21" t="inlineStr">
        <is>
          <t>9000-7-4</t>
        </is>
      </c>
      <c r="E5" s="21" t="inlineStr">
        <is>
          <t>D-35 (D-60~D-35)</t>
        </is>
      </c>
      <c r="F5" s="21" t="inlineStr">
        <is>
          <t>착수전 측량 Data 확인</t>
        </is>
      </c>
      <c r="G5" s="21" t="inlineStr">
        <is>
          <t>현장 공사팀</t>
        </is>
      </c>
      <c r="H5" s="22" t="inlineStr">
        <is>
          <t>공공측량 작업규정 준수 | 국가 CP/TBM 기준점 인수 및 GRS80 수준측량(폐합오차 ≤ 5mm√K) | 현장 인조점 3개소 매설 성과 확보</t>
        </is>
      </c>
      <c r="I5" s="22" t="inlineStr">
        <is>
          <t>1) 국가 CP/TBM 기준점 인수 ➔ 2) GRS80 수준측량(폐합오차 ≤ 5mm√K) ➔ 3) 현장 인조점 3개소 매설 ➔ 4) 측량 성과표 작성 &amp; 3D BIM 승인</t>
        </is>
      </c>
      <c r="J5" s="22" t="inlineStr">
        <is>
          <t>국가 CP/TBM 기준점 인수, GRS80 수준측량(폐합오차 ≤ 5mm√K) 및 현장 인조점 3개소 매설 성과</t>
        </is>
      </c>
      <c r="K5" s="22" t="inlineStr">
        <is>
          <t>공공측량 작업규정 준수 | 국가 CP/TBM 기준점 인수 및 GRS80 수준측량(폐합오차 ≤ 5mm√K) | 현장 인조점 3개소 매설 성과 확보</t>
        </is>
      </c>
      <c r="L5" s="155">
        <f>HYPERLINK("매뉴얼BODY(집행단계-첨부폴더)v8\4.상부강화노반\4_착수전 측량 Data 확인\표준서\착수전 측량 Data 확인_표준서.html", "👉 [클릭] 표준서 열기 📄")</f>
        <v/>
      </c>
      <c r="M5" s="22" t="inlineStr">
        <is>
          <t>1) 국가 CP/TBM 기준점 인수 ➔ 2) GRS80 수준측량(폐합오차 ≤ 5mm√K) ➔ 3) 현장 인조점 3개소 매설 ➔ 4) 측량 성과표 작성 &amp; 3D BIM 승인</t>
        </is>
      </c>
      <c r="N5" s="155">
        <f>HYPERLINK("매뉴얼BODY(집행단계-첨부폴더)v8\4.상부강화노반\4_착수전 측량 Data 확인\수행지침\착수전 측량 Data 확인_수행지침.html", "👉 [클릭] 수행지침 열기 📄")</f>
        <v/>
      </c>
      <c r="O5" t="inlineStr">
        <is>
          <t>👉 [클릭] 표준서 열기 📄</t>
        </is>
      </c>
      <c r="P5" s="155">
        <f>HYPERLINK("매뉴얼BODY(집행단계-첨부폴더)v8\4.상부강화노반\4_착수전 측량 Data 확인\체크리스트\착수전 측량 Data 확인_체크리스트.html", "👉 [클릭] 체크리스트 열기 📄")</f>
        <v/>
      </c>
      <c r="Q5" t="inlineStr">
        <is>
          <t>👉 [클릭] 수행지침 열기 📄</t>
        </is>
      </c>
      <c r="R5" s="23" t="inlineStr">
        <is>
          <t>● 시공측량 기준 공차 만족</t>
        </is>
      </c>
      <c r="S5" t="inlineStr">
        <is>
          <t>👉 [클릭] 체크리스트 열기 📄</t>
        </is>
      </c>
      <c r="T5" s="14" t="n"/>
    </row>
    <row r="6" ht="96" customHeight="1" s="148">
      <c r="A6" s="21" t="inlineStr">
        <is>
          <t>9000</t>
        </is>
      </c>
      <c r="B6" s="21" t="inlineStr">
        <is>
          <t>9000-7</t>
        </is>
      </c>
      <c r="C6" s="21" t="inlineStr">
        <is>
          <t>상부강화노반</t>
        </is>
      </c>
      <c r="D6" s="21" t="inlineStr">
        <is>
          <t>9000-7-5</t>
        </is>
      </c>
      <c r="E6" s="21" t="inlineStr">
        <is>
          <t>D-40 (D-60~D-40)</t>
        </is>
      </c>
      <c r="F6" s="21" t="inlineStr">
        <is>
          <t>지장물이설 협의</t>
        </is>
      </c>
      <c r="G6" s="21" t="inlineStr">
        <is>
          <t>현장 공사팀</t>
        </is>
      </c>
      <c r="H6" s="22" t="inlineStr">
        <is>
          <t>지하안전관리에 관한 특별법 제23조 | GPR 지중 탐사 &amp; 인력 줄파기(깊이 1.5m) | 점용기관 입회 매달기 방호 및 이설 완료 승인</t>
        </is>
      </c>
      <c r="I6" s="22" t="inlineStr">
        <is>
          <t>1) GPR 3D 지중 관로 탐사 ➔ 2) 인력 시탐 줄파기(깊이 1.5m) ➔ 3) 관할 점용기관 1:1 현장 입회 ➔ 4) 매달기 방호 &amp; 지장물 이설 완료 승인</t>
        </is>
      </c>
      <c r="J6" s="22" t="inlineStr">
        <is>
          <t>GPR 3D 관로 탐사, 인력 시탐 줄파기(깊이 1.5m) 및 점용기관 1:1 현장 입회 매달기 방호</t>
        </is>
      </c>
      <c r="K6" s="22" t="inlineStr">
        <is>
          <t>지하안전관리에 관한 특별법 제23조 | GPR 지중 탐사 &amp; 인력 줄파기(깊이 1.5m) | 점용기관 입회 매달기 방호 및 이설 완료 승인</t>
        </is>
      </c>
      <c r="L6" s="155">
        <f>HYPERLINK("매뉴얼BODY(집행단계-첨부폴더)v8\4.상부강화노반\5_지장물이설 협의\표준서\지장물이설 협의_표준서.html", "👉 [클릭] 표준서 열기 📄")</f>
        <v/>
      </c>
      <c r="M6" s="22" t="inlineStr">
        <is>
          <t>1) GPR 3D 지중 관로 탐사 ➔ 2) 인력 시탐 줄파기(깊이 1.5m) ➔ 3) 관할 점용기관 1:1 현장 입회 ➔ 4) 매달기 방호 &amp; 지장물 이설 완료 승인</t>
        </is>
      </c>
      <c r="N6" s="155">
        <f>HYPERLINK("매뉴얼BODY(집행단계-첨부폴더)v8\4.상부강화노반\5_지장물이설 협의\수행지침\지장물이설 협의_수행지침.html", "👉 [클릭] 수행지침 열기 📄")</f>
        <v/>
      </c>
      <c r="O6" t="inlineStr">
        <is>
          <t>👉 [클릭] 표준서 열기 📄</t>
        </is>
      </c>
      <c r="P6" s="155">
        <f>HYPERLINK("매뉴얼BODY(집행단계-첨부폴더)v8\4.상부강화노반\5_지장물이설 협의\체크리스트\지장물이설 협의_체크리스트.html", "👉 [클릭] 체크리스트 열기 📄")</f>
        <v/>
      </c>
      <c r="Q6" t="inlineStr">
        <is>
          <t>👉 [클릭] 수행지침 열기 📄</t>
        </is>
      </c>
      <c r="R6" s="23" t="inlineStr">
        <is>
          <t>● 지장물 이설 관련 인허가 요건</t>
        </is>
      </c>
      <c r="S6" t="inlineStr">
        <is>
          <t>👉 [클릭] 체크리스트 열기 📄</t>
        </is>
      </c>
      <c r="T6" s="14" t="n"/>
    </row>
    <row r="7" ht="96" customHeight="1" s="148">
      <c r="A7" s="21" t="inlineStr">
        <is>
          <t>9000</t>
        </is>
      </c>
      <c r="B7" s="21" t="inlineStr">
        <is>
          <t>9000-7</t>
        </is>
      </c>
      <c r="C7" s="21" t="inlineStr">
        <is>
          <t>상부강화노반</t>
        </is>
      </c>
      <c r="D7" s="21" t="inlineStr">
        <is>
          <t>9000-7-6</t>
        </is>
      </c>
      <c r="E7" s="21" t="inlineStr">
        <is>
          <t>D-40 (D-60~D-40)</t>
        </is>
      </c>
      <c r="F7" s="21" t="inlineStr">
        <is>
          <t>용지보상RISK 검토</t>
        </is>
      </c>
      <c r="G7" s="21" t="inlineStr">
        <is>
          <t>현장 공사팀</t>
        </is>
      </c>
      <c r="H7" s="22" t="inlineStr">
        <is>
          <t>토지보상법 준수 | 미보상 사유지 경계 현출 및 가설 펜스(H=1.8m) 설치 | 3D 우회 토공 동선 수립 및 마일스톤 연동</t>
        </is>
      </c>
      <c r="I7" s="22" t="inlineStr">
        <is>
          <t>1) 미보상 사유지 필지 추출 ➔ 2) 경계 가설 펜스(H=1.8m) 차단 ➔ 3) 3D 우회 토공 동선 수립 ➔ 4) 용지 보상 리스크 대책 감리 승인</t>
        </is>
      </c>
      <c r="J7" s="22" t="inlineStr">
        <is>
          <t>미보상 사유지 경계 현출, 가설 펜스(H=1.8m) 차단 및 3D 우회 토공 동선 마일스톤 연동</t>
        </is>
      </c>
      <c r="K7" s="22" t="inlineStr">
        <is>
          <t>토지보상법 준수 | 미보상 사유지 경계 현출 및 가설 펜스(H=1.8m) 설치 | 3D 우회 토공 동선 수립 및 마일스톤 연동</t>
        </is>
      </c>
      <c r="L7" s="155">
        <f>HYPERLINK("매뉴얼BODY(집행단계-첨부폴더)v8\4.상부강화노반\6_용지보상RISK 검토\표준서\용지보상RISK 검토_표준서.html", "👉 [클릭] 표준서 열기 📄")</f>
        <v/>
      </c>
      <c r="M7" s="22" t="inlineStr">
        <is>
          <t>1) 미보상 사유지 필지 추출 ➔ 2) 경계 가설 펜스(H=1.8m) 차단 ➔ 3) 3D 우회 토공 동선 수립 ➔ 4) 용지 보상 리스크 대책 감리 승인</t>
        </is>
      </c>
      <c r="N7" s="155">
        <f>HYPERLINK("매뉴얼BODY(집행단계-첨부폴더)v8\4.상부강화노반\6_용지보상RISK 검토\수행지침\용지보상RISK 검토_수행지침.html", "👉 [클릭] 수행지침 열기 📄")</f>
        <v/>
      </c>
      <c r="O7" t="inlineStr">
        <is>
          <t>👉 [클릭] 표준서 열기 📄</t>
        </is>
      </c>
      <c r="P7" s="155">
        <f>HYPERLINK("매뉴얼BODY(집행단계-첨부폴더)v8\4.상부강화노반\6_용지보상RISK 검토\체크리스트\용지보상RISK 검토_체크리스트.html", "👉 [클릭] 체크리스트 열기 📄")</f>
        <v/>
      </c>
      <c r="Q7" t="inlineStr">
        <is>
          <t>👉 [클릭] 수행지침 열기 📄</t>
        </is>
      </c>
      <c r="R7" s="23" t="inlineStr">
        <is>
          <t>● 공정 지연 리스크 평가 기준</t>
        </is>
      </c>
      <c r="S7" t="inlineStr">
        <is>
          <t>👉 [클릭] 체크리스트 열기 📄</t>
        </is>
      </c>
      <c r="T7" s="14" t="n"/>
    </row>
    <row r="8" ht="96" customHeight="1" s="148">
      <c r="A8" s="21" t="inlineStr">
        <is>
          <t>9000</t>
        </is>
      </c>
      <c r="B8" s="21" t="inlineStr">
        <is>
          <t>9000-7</t>
        </is>
      </c>
      <c r="C8" s="21" t="inlineStr">
        <is>
          <t>상부강화노반</t>
        </is>
      </c>
      <c r="D8" s="21" t="inlineStr">
        <is>
          <t>9000-7-7</t>
        </is>
      </c>
      <c r="E8" s="21" t="inlineStr">
        <is>
          <t>D-50 (D-60~D-50)</t>
        </is>
      </c>
      <c r="F8" s="21" t="inlineStr">
        <is>
          <t>최고의 팀 만들기 지원</t>
        </is>
      </c>
      <c r="G8" s="21" t="inlineStr">
        <is>
          <t>현장 공사팀</t>
        </is>
      </c>
      <c r="H8" s="22" t="inlineStr">
        <is>
          <t>건산법 상생협력 규정 | 토공 전문 기술자 1:1 전담 배치 | 발주·감리·시공 3자 주간 소통 회의 및 일일 TBM 시행</t>
        </is>
      </c>
      <c r="I8" s="22" t="inlineStr">
        <is>
          <t>1) 전담 기술자 1:1 배치 ➔ 2) 3자 주간 소통 회의 개최 ➔ 3) 근로자 환경 개선 &amp; TBM ➔ 4) One-Team 전담 조직표 서면 승인</t>
        </is>
      </c>
      <c r="J8" s="22" t="inlineStr">
        <is>
          <t>토공 전담 기술자 1:1 배치, 발주·감리·시공 3자 주간 소통 회의 및 일일 TBM/복지 지원</t>
        </is>
      </c>
      <c r="K8" s="22" t="inlineStr">
        <is>
          <t>건산법 상생협력 규정 | 토공 전문 기술자 1:1 전담 배치 | 발주·감리·시공 3자 주간 소통 회의 및 일일 TBM 시행</t>
        </is>
      </c>
      <c r="L8" s="155">
        <f>HYPERLINK("매뉴얼BODY(집행단계-첨부폴더)v8\4.상부강화노반\7_최고의 팀 만들기 지원\표준서\최고의 팀 만들기 지원_표준서.html", "👉 [클릭] 표준서 열기 📄")</f>
        <v/>
      </c>
      <c r="M8" s="22" t="inlineStr">
        <is>
          <t>1) 전담 기술자 1:1 배치 ➔ 2) 3자 주간 소통 회의 개최 ➔ 3) 근로자 환경 개선 &amp; TBM ➔ 4) One-Team 전담 조직표 서면 승인</t>
        </is>
      </c>
      <c r="N8" s="155">
        <f>HYPERLINK("매뉴얼BODY(집행단계-첨부폴더)v8\4.상부강화노반\7_최고의 팀 만들기 지원\수행지침\최고의 팀 만들기 지원_수행지침.html", "👉 [클릭] 수행지침 열기 📄")</f>
        <v/>
      </c>
      <c r="O8" t="inlineStr">
        <is>
          <t>👉 [클릭] 표준서 열기 📄</t>
        </is>
      </c>
      <c r="P8" s="155">
        <f>HYPERLINK("매뉴얼BODY(집행단계-첨부폴더)v8\4.상부강화노반\7_최고의 팀 만들기 지원\체크리스트\최고의 팀 만들기 지원_체크리스트.html", "👉 [클릭] 체크리스트 열기 📄")</f>
        <v/>
      </c>
      <c r="Q8" t="inlineStr">
        <is>
          <t>👉 [클릭] 수행지침 열기 📄</t>
        </is>
      </c>
      <c r="R8" s="23" t="inlineStr">
        <is>
          <t>● 협력사 검증 및 풀(Pool) 운영 기준</t>
        </is>
      </c>
      <c r="S8" t="inlineStr">
        <is>
          <t>👉 [클릭] 체크리스트 열기 📄</t>
        </is>
      </c>
      <c r="T8" s="14" t="n"/>
    </row>
    <row r="9" ht="96" customHeight="1" s="148">
      <c r="A9" s="21" t="inlineStr">
        <is>
          <t>9000</t>
        </is>
      </c>
      <c r="B9" s="21" t="inlineStr">
        <is>
          <t>9000-7</t>
        </is>
      </c>
      <c r="C9" s="21" t="inlineStr">
        <is>
          <t>상부강화노반</t>
        </is>
      </c>
      <c r="D9" s="21" t="inlineStr">
        <is>
          <t>9000-7-8</t>
        </is>
      </c>
      <c r="E9" s="21" t="inlineStr">
        <is>
          <t>D-35 (D-60~D-40)</t>
        </is>
      </c>
      <c r="F9" s="21" t="inlineStr">
        <is>
          <t>연약지반 처리공법 검토(필요시)</t>
        </is>
      </c>
      <c r="G9" s="21" t="inlineStr">
        <is>
          <t>현장 공사팀</t>
        </is>
      </c>
      <c r="H9" s="22" t="inlineStr">
        <is>
          <t>건진법 시행령 제89조 | KCS 47 10 25 다짐 수칙(다짐도 ≥ 95%, K30 ≥ 110) 명시 | 착공 14일 전 책임감리단 기술 승인</t>
        </is>
      </c>
      <c r="I9" s="22" t="inlineStr">
        <is>
          <t>1) 시공계획서 표준 8대 목차 작성 ➔ 2) KCS 47 10 25 수치 명시 ➔ 3) 착공 14일 전 감리단 제출 ➔ 4) 책임감리원 최종 서면 승인</t>
        </is>
      </c>
      <c r="J9" s="22" t="inlineStr">
        <is>
          <t>시공계획서 표준 8대 목차, KCS 47 10 25 다짐 수칙 수록 및 착공 14일 전 감리 서면 승인</t>
        </is>
      </c>
      <c r="K9" s="22" t="inlineStr">
        <is>
          <t>건진법 시행령 제89조 | KCS 47 10 25 다짐 수칙(다짐도 ≥ 95%, K30 ≥ 110) 명시 | 착공 14일 전 책임감리단 기술 승인</t>
        </is>
      </c>
      <c r="L9" s="155">
        <f>HYPERLINK("매뉴얼BODY(집행단계-첨부폴더)v8\4.상부강화노반\8_연약지반 처리공법 검토(필요시)\표준서\연약지반 처리공법 검토_표준서.html", "👉 [클릭] 표준서 열기 📄")</f>
        <v/>
      </c>
      <c r="M9" s="22" t="inlineStr">
        <is>
          <t>1) 시공계획서 표준 8대 목차 작성 ➔ 2) KCS 47 10 25 수치 명시 ➔ 3) 착공 14일 전 감리단 제출 ➔ 4) 책임감리원 최종 서면 승인</t>
        </is>
      </c>
      <c r="N9" s="155">
        <f>HYPERLINK("매뉴얼BODY(집행단계-첨부폴더)v8\4.상부강화노반\8_연약지반 처리공법 검토(필요시)\수행지침\연약지반 처리공법 검토_수행지침.html", "👉 [클릭] 수행지침 열기 📄")</f>
        <v/>
      </c>
      <c r="O9" t="inlineStr">
        <is>
          <t>👉 [클릭] 표준서 열기 📄</t>
        </is>
      </c>
      <c r="P9" s="155">
        <f>HYPERLINK("매뉴얼BODY(집행단계-첨부폴더)v8\4.상부강화노반\8_연약지반 처리공법 검토(필요시)\체크리스트\연약지반 처리공법 검토_체크리스트.html", "👉 [클릭] 체크리스트 열기 📄")</f>
        <v/>
      </c>
      <c r="Q9" t="inlineStr">
        <is>
          <t>👉 [클릭] 수행지침 열기 📄</t>
        </is>
      </c>
      <c r="R9" s="23" t="inlineStr">
        <is>
          <t>● 지반 개량 기술 시방 만족</t>
        </is>
      </c>
      <c r="S9" t="inlineStr">
        <is>
          <t>👉 [클릭] 체크리스트 열기 📄</t>
        </is>
      </c>
      <c r="T9" s="14" t="n"/>
    </row>
    <row r="10" ht="96" customHeight="1" s="148">
      <c r="A10" s="21" t="inlineStr">
        <is>
          <t>9000</t>
        </is>
      </c>
      <c r="B10" s="21" t="inlineStr">
        <is>
          <t>9000-7</t>
        </is>
      </c>
      <c r="C10" s="21" t="inlineStr">
        <is>
          <t>상부강화노반</t>
        </is>
      </c>
      <c r="D10" s="21" t="inlineStr">
        <is>
          <t>9000-7-9</t>
        </is>
      </c>
      <c r="E10" s="21" t="inlineStr">
        <is>
          <t>D-35 (D-45~D-35)</t>
        </is>
      </c>
      <c r="F10" s="21" t="inlineStr">
        <is>
          <t>토공 유동표 확인</t>
        </is>
      </c>
      <c r="G10" s="21" t="inlineStr">
        <is>
          <t>현장 공사팀</t>
        </is>
      </c>
      <c r="H10" s="22" t="inlineStr">
        <is>
          <t>건설근로자법 준수 | 공종별 기술 수첩 및 장비 조종원 면허 1:1 현측 | 일일 음주 측정(0.00%) 및 작업조 조직표 승인</t>
        </is>
      </c>
      <c r="I10" s="22" t="inlineStr">
        <is>
          <t>1) 토공 롤러/그레이더 조종원 자격 검증 ➔ 2) 건설기계 면허증 1:1 대조 ➔ 3) 일일 음주 측정 &amp; Safety TBM ➔ 4) 작업조 편성표 감리 승인</t>
        </is>
      </c>
      <c r="J10" s="22" t="inlineStr">
        <is>
          <t>조종원/기술자 자격 수첩 1:1 대조, 건설기계 면허증 검증 및 일일 음주 측정(0.00%)/TBM</t>
        </is>
      </c>
      <c r="K10" s="22" t="inlineStr">
        <is>
          <t>건설근로자법 준수 | 공종별 기술 수첩 및 장비 조종원 면허 1:1 현측 | 일일 음주 측정(0.00%) 및 작업조 조직표 승인</t>
        </is>
      </c>
      <c r="L10" s="155">
        <f>HYPERLINK("매뉴얼BODY(집행단계-첨부폴더)v8\4.상부강화노반\9_토공 유동표 확인\표준서\토공 유동표 확인_표준서.html", "👉 [클릭] 표준서 열기 📄")</f>
        <v/>
      </c>
      <c r="M10" s="22" t="inlineStr">
        <is>
          <t>1) 토공 롤러/그레이더 조종원 자격 검증 ➔ 2) 건설기계 면허증 1:1 대조 ➔ 3) 일일 음주 측정 &amp; Safety TBM ➔ 4) 작업조 편성표 감리 승인</t>
        </is>
      </c>
      <c r="N10" s="155">
        <f>HYPERLINK("매뉴얼BODY(집행단계-첨부폴더)v8\4.상부강화노반\9_토공 유동표 확인\수행지침\토공 유동표 확인_수행지침.html", "👉 [클릭] 수행지침 열기 📄")</f>
        <v/>
      </c>
      <c r="O10" t="inlineStr">
        <is>
          <t>👉 [클릭] 표준서 열기 📄</t>
        </is>
      </c>
      <c r="P10" s="155">
        <f>HYPERLINK("매뉴얼BODY(집행단계-첨부폴더)v8\4.상부강화노반\9_토공 유동표 확인\체크리스트\토공 유동표 확인_체크리스트.html", "👉 [클릭] 체크리스트 열기 📄")</f>
        <v/>
      </c>
      <c r="Q10" t="inlineStr">
        <is>
          <t>👉 [클릭] 수행지침 열기 📄</t>
        </is>
      </c>
      <c r="R10" s="23" t="inlineStr">
        <is>
          <t>● 건설기계 조합 선정 기준</t>
        </is>
      </c>
      <c r="S10" t="inlineStr">
        <is>
          <t>👉 [클릭] 체크리스트 열기 📄</t>
        </is>
      </c>
      <c r="T10" s="14" t="n"/>
    </row>
    <row r="11" ht="96" customHeight="1" s="148">
      <c r="A11" s="21" t="inlineStr">
        <is>
          <t>9000</t>
        </is>
      </c>
      <c r="B11" s="21" t="inlineStr">
        <is>
          <t>9000-7</t>
        </is>
      </c>
      <c r="C11" s="21" t="inlineStr">
        <is>
          <t>상부강화노반</t>
        </is>
      </c>
      <c r="D11" s="21" t="inlineStr">
        <is>
          <t>9000-7-10</t>
        </is>
      </c>
      <c r="E11" s="21" t="inlineStr">
        <is>
          <t>D-30 (D-50~D-30)</t>
        </is>
      </c>
      <c r="F11" s="21" t="inlineStr">
        <is>
          <t>기공승낙 적정성 검토</t>
        </is>
      </c>
      <c r="G11" s="21" t="inlineStr">
        <is>
          <t>현장 공사팀</t>
        </is>
      </c>
      <c r="H11" s="22" t="inlineStr">
        <is>
          <t>건설기계관리법 제13조 | 자중 10t+ 강동/타이어 롤러 및 3D GPS 모터그레이더 정기검사 검수 | 후방 센서 점검 및 반입 허가</t>
        </is>
      </c>
      <c r="I11" s="22" t="inlineStr">
        <is>
          <t>1) 10t+ 강동/타이어 롤러 사양 확정 ➔ 2) 정기검사증 &amp; 등록증 검수 ➔ 3) 3D GPS 수신기/후방 카메라 점검 ➔ 4) 장비 반입 승인서 감리 결재</t>
        </is>
      </c>
      <c r="J11" s="22" t="inlineStr">
        <is>
          <t>자중 10t+ 강동/타이어 롤러 정기검사증, 3D GPS 수신기/후방 카메라 센서 테스트 및 반입 승인</t>
        </is>
      </c>
      <c r="K11" s="22" t="inlineStr">
        <is>
          <t>건설기계관리법 제13조 | 자중 10t+ 강동/타이어 롤러 및 3D GPS 모터그레이더 정기검사 검수 | 후방 센서 점검 및 반입 허가</t>
        </is>
      </c>
      <c r="L11" s="155">
        <f>HYPERLINK("매뉴얼BODY(집행단계-첨부폴더)v8\4.상부강화노반\10_기공승낙 적정성 검토\표준서\기공승낙 적정성 검토_표준서.html", "👉 [클릭] 표준서 열기 📄")</f>
        <v/>
      </c>
      <c r="M11" s="22" t="inlineStr">
        <is>
          <t>1) 10t+ 강동/타이어 롤러 사양 확정 ➔ 2) 정기검사증 &amp; 등록증 검수 ➔ 3) 3D GPS 수신기/후방 카메라 점검 ➔ 4) 장비 반입 승인서 감리 결재</t>
        </is>
      </c>
      <c r="N11" s="155">
        <f>HYPERLINK("매뉴얼BODY(집행단계-첨부폴더)v8\4.상부강화노반\10_기공승낙 적정성 검토\수행지침\기공승낙 적정성 검토_수행지침.html", "👉 [클릭] 수행지침 열기 📄")</f>
        <v/>
      </c>
      <c r="O11" t="inlineStr">
        <is>
          <t>👉 [클릭] 표준서 열기 📄</t>
        </is>
      </c>
      <c r="P11" s="155">
        <f>HYPERLINK("매뉴얼BODY(집행단계-첨부폴더)v8\4.상부강화노반\10_기공승낙 적정성 검토\체크리스트\기공승낙 적정성 검토_체크리스트.html", "👉 [클릭] 체크리스트 열기 📄")</f>
        <v/>
      </c>
      <c r="Q11" t="inlineStr">
        <is>
          <t>👉 [클릭] 수행지침 열기 📄</t>
        </is>
      </c>
      <c r="R11" s="23" t="inlineStr">
        <is>
          <t>● 토지 사용 동의 및 합의 조건 검토</t>
        </is>
      </c>
      <c r="S11" t="inlineStr">
        <is>
          <t>👉 [클릭] 체크리스트 열기 📄</t>
        </is>
      </c>
      <c r="T11" s="14" t="n"/>
    </row>
    <row r="12" ht="96" customHeight="1" s="148">
      <c r="A12" s="21" t="inlineStr">
        <is>
          <t>9000</t>
        </is>
      </c>
      <c r="B12" s="21" t="inlineStr">
        <is>
          <t>9000-7</t>
        </is>
      </c>
      <c r="C12" s="21" t="inlineStr">
        <is>
          <t>상부강화노반</t>
        </is>
      </c>
      <c r="D12" s="21" t="inlineStr">
        <is>
          <t>9000-7-11</t>
        </is>
      </c>
      <c r="E12" s="21" t="inlineStr">
        <is>
          <t>D-30 (D-40~D-30)</t>
        </is>
      </c>
      <c r="F12" s="21" t="inlineStr">
        <is>
          <t>폐기물처리계획 수립</t>
        </is>
      </c>
      <c r="G12" s="21" t="inlineStr">
        <is>
          <t>현장 공사팀</t>
        </is>
      </c>
      <c r="H12" s="22" t="inlineStr">
        <is>
          <t>KCS 47 10 25 쇄석 입도 규정 | 최대입경 50mm 이하, #200체 통과량 ≤ 5% | 수정다짐 CBR ≥ 30% 성적 산출 및 입도 DB 구축</t>
        </is>
      </c>
      <c r="I12" s="22" t="inlineStr">
        <is>
          <t>1) 석산 공급원 사전 승인 수속 ➔ 2) 쇄석 입도(Dmax 50mm) 체가름 시험 ➔ 3) 수정다짐 CBR(≥30%) 성적 산출 ➔ 4) 노반 재료 입도 DB 감리 승인</t>
        </is>
      </c>
      <c r="J12" s="22" t="inlineStr">
        <is>
          <t>쇄석 최대입경(Dmax ≤ 50mm), #200체 통과량(≤ 5%) 및 수정다짐 CBR(≥ 30%) 성적서 DB</t>
        </is>
      </c>
      <c r="K12" s="22" t="inlineStr">
        <is>
          <t>KCS 47 10 25 쇄석 입도 규정 | 최대입경 50mm 이하, #200체 통과량 ≤ 5% | 수정다짐 CBR ≥ 30% 성적 산출 및 입도 DB 구축</t>
        </is>
      </c>
      <c r="L12" s="155">
        <f>HYPERLINK("매뉴얼BODY(집행단계-첨부폴더)v8\4.상부강화노반\11_폐기물처리계획 수립\표준서\폐기물처리계획 수립_표준서.html", "👉 [클릭] 표준서 열기 📄")</f>
        <v/>
      </c>
      <c r="M12" s="22" t="inlineStr">
        <is>
          <t>1) 석산 공급원 사전 승인 수속 ➔ 2) 쇄석 입도(Dmax 50mm) 체가름 시험 ➔ 3) 수정다짐 CBR(≥30%) 성적 산출 ➔ 4) 노반 재료 입도 DB 감리 승인</t>
        </is>
      </c>
      <c r="N12" s="155">
        <f>HYPERLINK("매뉴얼BODY(집행단계-첨부폴더)v8\4.상부강화노반\11_폐기물처리계획 수립\수행지침\폐기물처리계획 수립_수행지침.html", "👉 [클릭] 수행지침 열기 📄")</f>
        <v/>
      </c>
      <c r="O12" t="inlineStr">
        <is>
          <t>👉 [클릭] 표준서 열기 📄</t>
        </is>
      </c>
      <c r="P12" s="155">
        <f>HYPERLINK("매뉴얼BODY(집행단계-첨부폴더)v8\4.상부강화노반\11_폐기물처리계획 수립\체크리스트\폐기물처리계획 수립_체크리스트.html", "👉 [클릭] 체크리스트 열기 📄")</f>
        <v/>
      </c>
      <c r="Q12" t="inlineStr">
        <is>
          <t>👉 [클릭] 수행지침 열기 📄</t>
        </is>
      </c>
      <c r="R12" s="23" t="inlineStr">
        <is>
          <t>● 폐기물관리법 규정 준수</t>
        </is>
      </c>
      <c r="S12" t="inlineStr">
        <is>
          <t>👉 [클릭] 체크리스트 열기 📄</t>
        </is>
      </c>
      <c r="T12" s="14" t="n"/>
    </row>
    <row r="13" ht="96" customHeight="1" s="148">
      <c r="A13" s="21" t="inlineStr">
        <is>
          <t>9000</t>
        </is>
      </c>
      <c r="B13" s="21" t="inlineStr">
        <is>
          <t>9000-7</t>
        </is>
      </c>
      <c r="C13" s="21" t="inlineStr">
        <is>
          <t>상부강화노반</t>
        </is>
      </c>
      <c r="D13" s="21" t="inlineStr">
        <is>
          <t>9000-7-12</t>
        </is>
      </c>
      <c r="E13" s="21" t="inlineStr">
        <is>
          <t>D-30 (D-40~D-30)</t>
        </is>
      </c>
      <c r="F13" s="21" t="inlineStr">
        <is>
          <t>철도운행협의(필요시)</t>
        </is>
      </c>
      <c r="G13" s="21" t="inlineStr">
        <is>
          <t>현장 공사팀</t>
        </is>
      </c>
      <c r="H13" s="22" t="inlineStr">
        <is>
          <t>토양환경보전법 준수 | 화성시 정식 사토장 인허가 확인 | 최대건조밀도 γd max ≥ 1.90g/cm³ &amp; 토양오염 8개 항목 검사 완수</t>
        </is>
      </c>
      <c r="I13" s="22" t="inlineStr">
        <is>
          <t>1) 화성시 정식 사토장 허가 검증 ➔ 2) γd max ≥ 1.90g/cm³ &amp; 오염 시험 ➔ 3) 덤프 운행 송장 일일 집계 ➔ 4) 사토 계획서 감리 서면 승인</t>
        </is>
      </c>
      <c r="J13" s="22" t="inlineStr">
        <is>
          <t>화성시 정식 사토장 인허가, 최대건조밀도 γd max ≥ 1.90g/cm³ 및 토양오염 8개 항목 검사 합격</t>
        </is>
      </c>
      <c r="K13" s="22" t="inlineStr">
        <is>
          <t>토양환경보전법 준수 | 화성시 정식 사토장 인허가 확인 | 최대건조밀도 γd max ≥ 1.90g/cm³ &amp; 토양오염 8개 항목 검사 완수</t>
        </is>
      </c>
      <c r="L13" s="155">
        <f>HYPERLINK("매뉴얼BODY(집행단계-첨부폴더)v8\4.상부강화노반\12_철도운행협의(필요시)\표준서\철도운행협의_표준서.html", "👉 [클릭] 표준서 열기 📄")</f>
        <v/>
      </c>
      <c r="M13" s="22" t="inlineStr">
        <is>
          <t>1) 화성시 정식 사토장 허가 검증 ➔ 2) γd max ≥ 1.90g/cm³ &amp; 오염 시험 ➔ 3) 덤프 운행 송장 일일 집계 ➔ 4) 사토 계획서 감리 서면 승인</t>
        </is>
      </c>
      <c r="N13" s="155">
        <f>HYPERLINK("매뉴얼BODY(집행단계-첨부폴더)v8\4.상부강화노반\12_철도운행협의(필요시)\수행지침\철도운행협의_수행지침.html", "👉 [클릭] 수행지침 열기 📄")</f>
        <v/>
      </c>
      <c r="O13" t="inlineStr">
        <is>
          <t>👉 [클릭] 표준서 열기 📄</t>
        </is>
      </c>
      <c r="P13" s="155">
        <f>HYPERLINK("매뉴얼BODY(집행단계-첨부폴더)v8\4.상부강화노반\12_철도운행협의(필요시)\체크리스트\철도운행협의_체크리스트.html", "👉 [클릭] 체크리스트 열기 📄")</f>
        <v/>
      </c>
      <c r="Q13" t="inlineStr">
        <is>
          <t>👉 [클릭] 수행지침 열기 📄</t>
        </is>
      </c>
      <c r="R13" s="23" t="inlineStr">
        <is>
          <t>● 철도 안전 및 운행 협의 지침 준수</t>
        </is>
      </c>
      <c r="S13" t="inlineStr">
        <is>
          <t>👉 [클릭] 체크리스트 열기 📄</t>
        </is>
      </c>
      <c r="T13" s="14" t="n"/>
    </row>
    <row r="14" ht="134.4" customHeight="1" s="148">
      <c r="A14" s="21" t="inlineStr">
        <is>
          <t>9000</t>
        </is>
      </c>
      <c r="B14" s="21" t="inlineStr">
        <is>
          <t>9000-7</t>
        </is>
      </c>
      <c r="C14" s="21" t="inlineStr">
        <is>
          <t>상부강화노반</t>
        </is>
      </c>
      <c r="D14" s="21" t="inlineStr">
        <is>
          <t>9000-7-13</t>
        </is>
      </c>
      <c r="E14" s="21" t="inlineStr">
        <is>
          <t>D-40</t>
        </is>
      </c>
      <c r="F14" s="21" t="inlineStr">
        <is>
          <t>작수전 Big Room 회의</t>
        </is>
      </c>
      <c r="G14" s="21" t="inlineStr">
        <is>
          <t>현장 공사팀</t>
        </is>
      </c>
      <c r="H14" s="22" t="inlineStr">
        <is>
          <t>KCS 47 10 25 임시 배수 시방 | 성토 사면 가배수로(0.6×0.6m) &amp; 가침사지 2개소 | HDPE 유공관(Ø200mm, 구배 ≥ 0.5%) 부설</t>
        </is>
      </c>
      <c r="I14" s="22" t="inlineStr">
        <is>
          <t>1) 가배수로(0.6×0.6m) &amp; 가침사지 설계 ➔ 2) HDPE 유공관(Ø200mm) 자재 검수 ➔ 3) 비상 양수 펌프(200L/min) 비치 ➔ 4) 배수 처리 계획서 감리 승인</t>
        </is>
      </c>
      <c r="J14" s="22" t="inlineStr">
        <is>
          <t>성토 사면 가배수로(0.6×0.6m), 가침사지 2개소 및 HDPE 유공관(Ø200mm, 구배 ≥ 0.5%) 설치</t>
        </is>
      </c>
      <c r="K14" s="22" t="inlineStr">
        <is>
          <t>KCS 47 10 25 임시 배수 시방 | 성토 사면 가배수로(0.6×0.6m) &amp; 가침사지 2개소 | HDPE 유공관(Ø200mm, 구배 ≥ 0.5%) 부설</t>
        </is>
      </c>
      <c r="L14" s="155">
        <f>HYPERLINK("매뉴얼BODY(집행단계-첨부폴더)v8\4.상부강화노반\13_작수전 Big Room 회의\표준서\작수전 Big Room 회의_표준서.html", "👉 [클릭] 표준서 열기 📄")</f>
        <v/>
      </c>
      <c r="M14" s="22" t="inlineStr">
        <is>
          <t>1) 가배수로(0.6×0.6m) &amp; 가침사지 설계 ➔ 2) HDPE 유공관(Ø200mm) 자재 검수 ➔ 3) 비상 양수 펌프(200L/min) 비치 ➔ 4) 배수 처리 계획서 감리 승인</t>
        </is>
      </c>
      <c r="N14" s="155">
        <f>HYPERLINK("매뉴얼BODY(집행단계-첨부폴더)v8\4.상부강화노반\13_작수전 Big Room 회의\수행지침\작수전 Big Room 회의_수행지침.html", "👉 [클릭] 수행지침 열기 📄")</f>
        <v/>
      </c>
      <c r="O14" t="inlineStr">
        <is>
          <t>👉 [클릭] 표준서 열기 📄</t>
        </is>
      </c>
      <c r="P14" s="155">
        <f>HYPERLINK("매뉴얼BODY(집행단계-첨부폴더)v8\4.상부강화노반\13_작수전 Big Room 회의\체크리스트\작수전 Big Room 회의_체크리스트.html", "👉 [클릭] 체크리스트 열기 📄")</f>
        <v/>
      </c>
      <c r="Q14" t="inlineStr">
        <is>
          <t>👉 [클릭] 수행지침 열기 📄</t>
        </is>
      </c>
      <c r="R14" s="23" t="inlineStr">
        <is>
          <t>● 토목 및 궤도 인터페이스 관리 지침</t>
        </is>
      </c>
      <c r="S14" t="inlineStr">
        <is>
          <t>👉 [클릭] 체크리스트 열기 📄</t>
        </is>
      </c>
      <c r="T14" s="14" t="n"/>
    </row>
    <row r="15" ht="96" customHeight="1" s="148">
      <c r="A15" s="21" t="inlineStr">
        <is>
          <t>9000</t>
        </is>
      </c>
      <c r="B15" s="21" t="inlineStr">
        <is>
          <t>9000-7</t>
        </is>
      </c>
      <c r="C15" s="21" t="inlineStr">
        <is>
          <t>상부강화노반</t>
        </is>
      </c>
      <c r="D15" s="21" t="inlineStr">
        <is>
          <t>9000-7-14</t>
        </is>
      </c>
      <c r="E15" s="21" t="inlineStr">
        <is>
          <t>D-30</t>
        </is>
      </c>
      <c r="F15" s="21" t="inlineStr">
        <is>
          <t>시공 계획 수립</t>
        </is>
      </c>
      <c r="G15" s="21" t="inlineStr">
        <is>
          <t>현장 공사팀</t>
        </is>
      </c>
      <c r="H15" s="22" t="inlineStr">
        <is>
          <t>건진법 제62조 준수 | 국토안전관리원 전산 적정 심사 필 | CSI 건설공사 안전관리 종합망 전산 등록 및 감리 승인</t>
        </is>
      </c>
      <c r="I15" s="22" t="inlineStr">
        <is>
          <t>1) 건진법 제62조 안전관리계획 작성 ➔ 2) 국토안전관리원 전산 적정 심사 ➔ 3) CSI 안전관리 종합망 등록 ➔ 4) 책임감리원 서면 승인</t>
        </is>
      </c>
      <c r="J15" s="22" t="inlineStr">
        <is>
          <t>건진법 제62조 안전관리계획서 작성, 국토안전관리원 적정 심사 및 CSI 전산망 등록 결재</t>
        </is>
      </c>
      <c r="K15" s="22" t="inlineStr">
        <is>
          <t>건진법 제62조 준수 | 국토안전관리원 전산 적정 심사 필 | CSI 건설공사 안전관리 종합망 전산 등록 및 감리 승인</t>
        </is>
      </c>
      <c r="L15" s="155">
        <f>HYPERLINK("매뉴얼BODY(집행단계-첨부폴더)v8\4.상부강화노반\14_시공 계획 수립\표준서\시공 계획 수립_표준서.html", "👉 [클릭] 표준서 열기 📄")</f>
        <v/>
      </c>
      <c r="M15" s="22" t="inlineStr">
        <is>
          <t>1) 건진법 제62조 안전관리계획 작성 ➔ 2) 국토안전관리원 전산 적정 심사 ➔ 3) CSI 안전관리 종합망 등록 ➔ 4) 책임감리원 서면 승인</t>
        </is>
      </c>
      <c r="N15" s="155">
        <f>HYPERLINK("매뉴얼BODY(집행단계-첨부폴더)v8\4.상부강화노반\14_시공 계획 수립\수행지침\시공 계획 수립_수행지침.html", "👉 [클릭] 수행지침 열기 📄")</f>
        <v/>
      </c>
      <c r="O15" t="inlineStr">
        <is>
          <t>👉 [클릭] 표준서 열기 📄</t>
        </is>
      </c>
      <c r="P15" s="155">
        <f>HYPERLINK("매뉴얼BODY(집행단계-첨부폴더)v8\4.상부강화노반\14_시공 계획 수립\체크리스트\시공 계획 수립_체크리스트.html", "👉 [클릭] 체크리스트 열기 📄")</f>
        <v/>
      </c>
      <c r="Q15" t="inlineStr">
        <is>
          <t>👉 [클릭] 수행지침 열기 📄</t>
        </is>
      </c>
      <c r="R15" s="23" t="inlineStr">
        <is>
          <t>● 시방 기준 및 토공사 지침 준수</t>
        </is>
      </c>
      <c r="S15" t="inlineStr">
        <is>
          <t>👉 [클릭] 체크리스트 열기 📄</t>
        </is>
      </c>
      <c r="T15" s="14" t="n"/>
    </row>
    <row r="16" ht="96" customHeight="1" s="148">
      <c r="A16" s="21" t="inlineStr">
        <is>
          <t>9000</t>
        </is>
      </c>
      <c r="B16" s="21" t="inlineStr">
        <is>
          <t>9000-7</t>
        </is>
      </c>
      <c r="C16" s="21" t="inlineStr">
        <is>
          <t>상부강화노반</t>
        </is>
      </c>
      <c r="D16" s="21" t="inlineStr">
        <is>
          <t>9000-7-15</t>
        </is>
      </c>
      <c r="E16" s="21" t="inlineStr">
        <is>
          <t>D-30 (D-50~D-30)</t>
        </is>
      </c>
      <c r="F16" s="21" t="inlineStr">
        <is>
          <t>사토장/토취장 선정 검토(필요시)</t>
        </is>
      </c>
      <c r="G16" s="21" t="inlineStr">
        <is>
          <t>현장 공사팀</t>
        </is>
      </c>
      <c r="H16" s="22" t="inlineStr">
        <is>
          <t>건진법 제55조 준수 | 노반 다짐도(500m³당 1회), K30(2,000m²당 1회), Ev2(1,000m²당 1회) | 현장 시험실 장비 교정 검수</t>
        </is>
      </c>
      <c r="I16" s="22" t="inlineStr">
        <is>
          <t>1) 다짐도/K30/Ev2 시험 빈도 수립 ➔ 2) 현장 시험실 장비 교정 검수 ➔ 3) 착공 14일 전 감리단 제출 ➔ 4) 품질관리계획서 감리 서면 승인</t>
        </is>
      </c>
      <c r="J16" s="22" t="inlineStr">
        <is>
          <t>노반 다짐도(500m³당 1회), K30(2,000m²당 1회), Ev2(1,000m²당 1회) 시험 빈도 &amp; 장비 교정</t>
        </is>
      </c>
      <c r="K16" s="22" t="inlineStr">
        <is>
          <t>건진법 제55조 준수 | 노반 다짐도(500m³당 1회), K30(2,000m²당 1회), Ev2(1,000m²당 1회) | 현장 시험실 장비 교정 검수</t>
        </is>
      </c>
      <c r="L16" s="155">
        <f>HYPERLINK("매뉴얼BODY(집행단계-첨부폴더)v8\4.상부강화노반\15_사토장_토취장 선정 검토(필요시)\표준서\사토장_토취장 선정 검토_표준서.html", "👉 [클릭] 표준서 열기 📄")</f>
        <v/>
      </c>
      <c r="M16" s="22" t="inlineStr">
        <is>
          <t>1) 다짐도/K30/Ev2 시험 빈도 수립 ➔ 2) 현장 시험실 장비 교정 검수 ➔ 3) 착공 14일 전 감리단 제출 ➔ 4) 품질관리계획서 감리 서면 승인</t>
        </is>
      </c>
      <c r="N16" s="155">
        <f>HYPERLINK("매뉴얼BODY(집행단계-첨부폴더)v8\4.상부강화노반\15_사토장_토취장 선정 검토(필요시)\수행지침\사토장_토취장 선정 검토_수행지침.html", "👉 [클릭] 수행지침 열기 📄")</f>
        <v/>
      </c>
      <c r="O16" t="inlineStr">
        <is>
          <t>👉 [클릭] 표준서 열기 📄</t>
        </is>
      </c>
      <c r="P16" s="155">
        <f>HYPERLINK("매뉴얼BODY(집행단계-첨부폴더)v8\4.상부강화노반\15_사토장_토취장 선정 검토(필요시)\체크리스트\사토장_토취장 선정 검토_체크리스트.html", "👉 [클릭] 체크리스트 열기 📄")</f>
        <v/>
      </c>
      <c r="Q16" t="inlineStr">
        <is>
          <t>👉 [클릭] 수행지침 열기 📄</t>
        </is>
      </c>
      <c r="R16" s="23" t="inlineStr">
        <is>
          <t>● 환경 영향 및 골재 채취 인허가 적합성</t>
        </is>
      </c>
      <c r="S16" t="inlineStr">
        <is>
          <t>👉 [클릭] 체크리스트 열기 📄</t>
        </is>
      </c>
      <c r="T16" s="14" t="n"/>
    </row>
    <row r="17" ht="96" customHeight="1" s="148">
      <c r="A17" s="21" t="inlineStr">
        <is>
          <t>9000</t>
        </is>
      </c>
      <c r="B17" s="21" t="inlineStr">
        <is>
          <t>9000-7</t>
        </is>
      </c>
      <c r="C17" s="21" t="inlineStr">
        <is>
          <t>상부강화노반</t>
        </is>
      </c>
      <c r="D17" s="21" t="inlineStr">
        <is>
          <t>9000-7-16</t>
        </is>
      </c>
      <c r="E17" s="21" t="inlineStr">
        <is>
          <t>D-20</t>
        </is>
      </c>
      <c r="F17" s="21" t="inlineStr">
        <is>
          <t>공사사전준비</t>
        </is>
      </c>
      <c r="G17" s="21" t="inlineStr">
        <is>
          <t>현장 공사팀</t>
        </is>
      </c>
      <c r="H17" s="22" t="inlineStr">
        <is>
          <t>대기환경보전법 제44조 | 지자체 비산먼지 발생사업 신고 필 | 이동식 세륜기(깊이 1.2m) &amp; 가설 방음벽(H=3m) 가동</t>
        </is>
      </c>
      <c r="I17" s="22" t="inlineStr">
        <is>
          <t>1) 세륜기(깊이 1.2m) &amp; 방음벽(3m) 설계 ➔ 2) 지자체 비산먼지 발생신고 ➔ 3) 살수차 1일 3회 살수 ➔ 4) 환경관리계획서 감리 서면 승인</t>
        </is>
      </c>
      <c r="J17" s="22" t="inlineStr">
        <is>
          <t>지자체 비산먼지 발생신고 필증, 이동식 세륜기(깊이 1.2m) &amp; 가설 방음벽(H=3m) 가동 점검</t>
        </is>
      </c>
      <c r="K17" s="22" t="inlineStr">
        <is>
          <t>대기환경보전법 제44조 | 지자체 비산먼지 발생사업 신고 필 | 이동식 세륜기(깊이 1.2m) &amp; 가설 방음벽(H=3m) 가동</t>
        </is>
      </c>
      <c r="L17" s="155">
        <f>HYPERLINK("매뉴얼BODY(집행단계-첨부폴더)v8\4.상부강화노반\16_공사사전준비\표준서\공사사전준비_표준서.html", "👉 [클릭] 표준서 열기 📄")</f>
        <v/>
      </c>
      <c r="M17" s="22" t="inlineStr">
        <is>
          <t>1) 세륜기(깊이 1.2m) &amp; 방음벽(3m) 설계 ➔ 2) 지자체 비산먼지 발생신고 ➔ 3) 살수차 1일 3회 살수 ➔ 4) 환경관리계획서 감리 서면 승인</t>
        </is>
      </c>
      <c r="N17" s="155">
        <f>HYPERLINK("매뉴얼BODY(집행단계-첨부폴더)v8\4.상부강화노반\16_공사사전준비\수행지침\공사사전준비_수행지침.html", "👉 [클릭] 수행지침 열기 📄")</f>
        <v/>
      </c>
      <c r="O17" t="inlineStr">
        <is>
          <t>👉 [클릭] 표준서 열기 📄</t>
        </is>
      </c>
      <c r="P17" s="155">
        <f>HYPERLINK("매뉴얼BODY(집행단계-첨부폴더)v8\4.상부강화노반\16_공사사전준비\체크리스트\공사사전준비_체크리스트.html", "👉 [클릭] 체크리스트 열기 📄")</f>
        <v/>
      </c>
      <c r="Q17" t="inlineStr">
        <is>
          <t>👉 [클릭] 수행지침 열기 📄</t>
        </is>
      </c>
      <c r="R17" s="23" t="inlineStr">
        <is>
          <t>● 리스크 사전 예방 및 통제 기준</t>
        </is>
      </c>
      <c r="S17" t="inlineStr">
        <is>
          <t>👉 [클릭] 체크리스트 열기 📄</t>
        </is>
      </c>
      <c r="T17" s="14" t="n"/>
    </row>
    <row r="18" ht="96" customHeight="1" s="148">
      <c r="A18" s="21" t="inlineStr">
        <is>
          <t>9000</t>
        </is>
      </c>
      <c r="B18" s="21" t="inlineStr">
        <is>
          <t>9000-7</t>
        </is>
      </c>
      <c r="C18" s="21" t="inlineStr">
        <is>
          <t>상부강화노반</t>
        </is>
      </c>
      <c r="D18" s="21" t="inlineStr">
        <is>
          <t>9000-7-17</t>
        </is>
      </c>
      <c r="E18" s="21" t="inlineStr">
        <is>
          <t>D-25 (D-30~D-25)</t>
        </is>
      </c>
      <c r="F18" s="21" t="inlineStr">
        <is>
          <t>임시배수시설</t>
        </is>
      </c>
      <c r="G18" s="21" t="inlineStr">
        <is>
          <t>현장 공사팀</t>
        </is>
      </c>
      <c r="H18" s="22" t="inlineStr">
        <is>
          <t>도로교통법 제69조 | 동탄경찰서 교통안전 심의 및 도로점용 허가 수령 | 전담 안전 신호수(2인 2조) 및 LED 경광등 배치</t>
        </is>
      </c>
      <c r="I18" s="22" t="inlineStr">
        <is>
          <t>1) 교통 우회 도면 &amp; 차선 설계 ➔ 2) 동탄경찰서 도로점용 허가 ➔ 3) 전담 신호수(2인 2조) 배치 ➔ 4) 교통소통 대책서 감리 서면 승인</t>
        </is>
      </c>
      <c r="J18" s="22" t="inlineStr">
        <is>
          <t>동탄경찰서 도로점용 허가, 우회 차선 설계 및 전담 안전 신호수(2인 2조)/LED 경광등 배치</t>
        </is>
      </c>
      <c r="K18" s="22" t="inlineStr">
        <is>
          <t>도로교통법 제69조 | 동탄경찰서 교통안전 심의 및 도로점용 허가 수령 | 전담 안전 신호수(2인 2조) 및 LED 경광등 배치</t>
        </is>
      </c>
      <c r="L18" s="155">
        <f>HYPERLINK("매뉴얼BODY(집행단계-첨부폴더)v8\4.상부강화노반\17_임시배수시설\표준서\임시배수시설_표준서.html", "👉 [클릭] 표준서 열기 📄")</f>
        <v/>
      </c>
      <c r="M18" s="22" t="inlineStr">
        <is>
          <t>1) 교통 우회 도면 &amp; 차선 설계 ➔ 2) 동탄경찰서 도로점용 허가 ➔ 3) 전담 신호수(2인 2조) 배치 ➔ 4) 교통소통 대책서 감리 서면 승인</t>
        </is>
      </c>
      <c r="N18" s="155">
        <f>HYPERLINK("매뉴얼BODY(집행단계-첨부폴더)v8\4.상부강화노반\17_임시배수시설\수행지침\임시배수시설_수행지침.html", "👉 [클릭] 수행지침 열기 📄")</f>
        <v/>
      </c>
      <c r="O18" t="inlineStr">
        <is>
          <t>👉 [클릭] 표준서 열기 📄</t>
        </is>
      </c>
      <c r="P18" s="155">
        <f>HYPERLINK("매뉴얼BODY(집행단계-첨부폴더)v8\4.상부강화노반\17_임시배수시설\체크리스트\임시배수시설_체크리스트.html", "👉 [클릭] 체크리스트 열기 📄")</f>
        <v/>
      </c>
      <c r="Q18" t="inlineStr">
        <is>
          <t>👉 [클릭] 수행지침 열기 📄</t>
        </is>
      </c>
      <c r="R18" s="23" t="inlineStr">
        <is>
          <t>● 비산먼지 및 수질오염 방지 대책 기준</t>
        </is>
      </c>
      <c r="S18" t="inlineStr">
        <is>
          <t>👉 [클릭] 체크리스트 열기 📄</t>
        </is>
      </c>
      <c r="T18" s="14" t="n"/>
    </row>
    <row r="19" ht="96" customHeight="1" s="148">
      <c r="A19" s="21" t="inlineStr">
        <is>
          <t>9000</t>
        </is>
      </c>
      <c r="B19" s="21" t="inlineStr">
        <is>
          <t>9000-7</t>
        </is>
      </c>
      <c r="C19" s="21" t="inlineStr">
        <is>
          <t>상부강화노반</t>
        </is>
      </c>
      <c r="D19" s="21" t="inlineStr">
        <is>
          <t>9000-7-18</t>
        </is>
      </c>
      <c r="E19" s="21" t="inlineStr">
        <is>
          <t>D-10 (D-30~D-10)</t>
        </is>
      </c>
      <c r="F19" s="21" t="inlineStr">
        <is>
          <t>쌓기재료 검사</t>
        </is>
      </c>
      <c r="G19" s="21" t="inlineStr">
        <is>
          <t>현장 공사팀</t>
        </is>
      </c>
      <c r="H19" s="22" t="inlineStr">
        <is>
          <t>건산법 제29조 준수 | 토공 전문건설업 면허 및 하도급율(≥ 82%) 적정성 심사 | 노무비 지급 전용계좌 지정 및 계약 승인</t>
        </is>
      </c>
      <c r="I19" s="22" t="inlineStr">
        <is>
          <t>1) 토공 전문 면허 &amp; 실적 심사 ➔ 2) 하도급 적정성 평가(≥82%) ➔ 3) 노무비 지급 전용계좌 지정 ➔ 4) 하도급 계약 승인 통보서 결재</t>
        </is>
      </c>
      <c r="J19" s="22" t="inlineStr">
        <is>
          <t>토공 전문건설업 면허/실적 심사, 하도급 비율(≥ 82%) 평가 및 노무비 지급 전용계좌 지정</t>
        </is>
      </c>
      <c r="K19" s="22" t="inlineStr">
        <is>
          <t>건산법 제29조 준수 | 토공 전문건설업 면허 및 하도급율(≥ 82%) 적정성 심사 | 노무비 지급 전용계좌 지정 및 계약 승인</t>
        </is>
      </c>
      <c r="L19" s="155">
        <f>HYPERLINK("매뉴얼BODY(집행단계-첨부폴더)v8\4.상부강화노반\18_쌓기재료 검사\표준서\쌓기재료 검사_표준서.html", "👉 [클릭] 표준서 열기 📄")</f>
        <v/>
      </c>
      <c r="M19" s="22" t="inlineStr">
        <is>
          <t>1) 토공 전문 면허 &amp; 실적 심사 ➔ 2) 하도급 적정성 평가(≥82%) ➔ 3) 노무비 지급 전용계좌 지정 ➔ 4) 하도급 계약 승인 통보서 결재</t>
        </is>
      </c>
      <c r="N19" s="155">
        <f>HYPERLINK("매뉴얼BODY(집행단계-첨부폴더)v8\4.상부강화노반\18_쌓기재료 검사\수행지침\쌓기재료 검사_수행지침.html", "👉 [클릭] 수행지침 열기 📄")</f>
        <v/>
      </c>
      <c r="O19" t="inlineStr">
        <is>
          <t>👉 [클릭] 표준서 열기 📄</t>
        </is>
      </c>
      <c r="P19" s="155">
        <f>HYPERLINK("매뉴얼BODY(집행단계-첨부폴더)v8\4.상부강화노반\18_쌓기재료 검사\체크리스트\쌓기재료 검사_체크리스트.html", "👉 [클릭] 체크리스트 열기 📄")</f>
        <v/>
      </c>
      <c r="Q19" t="inlineStr">
        <is>
          <t>👉 [클릭] 수행지침 열기 📄</t>
        </is>
      </c>
      <c r="R19" s="23" t="inlineStr">
        <is>
          <t>● 토공 성토 재료 규격 기준 준수</t>
        </is>
      </c>
      <c r="S19" t="inlineStr">
        <is>
          <t>👉 [클릭] 체크리스트 열기 📄</t>
        </is>
      </c>
      <c r="T19" s="14" t="n"/>
    </row>
    <row r="20" ht="96" customHeight="1" s="148">
      <c r="A20" s="21" t="inlineStr">
        <is>
          <t>9000</t>
        </is>
      </c>
      <c r="B20" s="21" t="inlineStr">
        <is>
          <t>9000-7</t>
        </is>
      </c>
      <c r="C20" s="21" t="inlineStr">
        <is>
          <t>상부강화노반</t>
        </is>
      </c>
      <c r="D20" s="21" t="inlineStr">
        <is>
          <t>9000-7-19</t>
        </is>
      </c>
      <c r="E20" s="21" t="inlineStr">
        <is>
          <t>D-10</t>
        </is>
      </c>
      <c r="F20" s="21" t="inlineStr">
        <is>
          <t>장비 검수 지원</t>
        </is>
      </c>
      <c r="G20" s="21" t="inlineStr">
        <is>
          <t>현장 공사팀</t>
        </is>
      </c>
      <c r="H20" s="22" t="inlineStr">
        <is>
          <t>KCS 47 10 25 자재 검수 | KS F 2527 쇄석골재, HDPE 유공관, 부직포(200g/m²) 공인성적서 | 현장 반입 검수 및 승인 통보</t>
        </is>
      </c>
      <c r="I20" s="22" t="inlineStr">
        <is>
          <t>1) KS F 2527 쇄석/유공관 서류 검토 ➔ 2) 공인시험기관 시험성적서 부착 ➔ 3) 자재 승인 신청서 제출 ➔ 4) 자재 반입 검수 및 승인 결재</t>
        </is>
      </c>
      <c r="J20" s="22" t="inlineStr">
        <is>
          <t>KS F 2527 쇄석골재, HDPE 유공관, 투수성 부직포(200g/m²) 공인성적서 및 현장 반입 검수</t>
        </is>
      </c>
      <c r="K20" s="22" t="inlineStr">
        <is>
          <t>KCS 47 10 25 자재 검수 | KS F 2527 쇄석골재, HDPE 유공관, 부직포(200g/m²) 공인성적서 | 현장 반입 검수 및 승인 통보</t>
        </is>
      </c>
      <c r="L20" s="155">
        <f>HYPERLINK("매뉴얼BODY(집행단계-첨부폴더)v8\4.상부강화노반\19_장비 검수 지원\표준서\장비 검수 지원_표준서.html", "👉 [클릭] 표준서 열기 📄")</f>
        <v/>
      </c>
      <c r="M20" s="22" t="inlineStr">
        <is>
          <t>1) KS F 2527 쇄석/유공관 서류 검토 ➔ 2) 공인시험기관 시험성적서 부착 ➔ 3) 자재 승인 신청서 제출 ➔ 4) 자재 반입 검수 및 승인 결재</t>
        </is>
      </c>
      <c r="N20" s="155">
        <f>HYPERLINK("매뉴얼BODY(집행단계-첨부폴더)v8\4.상부강화노반\19_장비 검수 지원\수행지침\장비 검수 지원_수행지침.html", "👉 [클릭] 수행지침 열기 📄")</f>
        <v/>
      </c>
      <c r="O20" t="inlineStr">
        <is>
          <t>👉 [클릭] 표준서 열기 📄</t>
        </is>
      </c>
      <c r="P20" s="155">
        <f>HYPERLINK("매뉴얼BODY(집행단계-첨부폴더)v8\4.상부강화노반\19_장비 검수 지원\체크리스트\장비 검수 지원_체크리스트.html", "👉 [클릭] 체크리스트 열기 📄")</f>
        <v/>
      </c>
      <c r="Q20" t="inlineStr">
        <is>
          <t>👉 [클릭] 수행지침 열기 📄</t>
        </is>
      </c>
      <c r="R20" s="23" t="inlineStr">
        <is>
          <t>● 다짐 장비 기능 및 안전 상태 검증</t>
        </is>
      </c>
      <c r="S20" t="inlineStr">
        <is>
          <t>👉 [클릭] 체크리스트 열기 📄</t>
        </is>
      </c>
      <c r="T20" s="14" t="n"/>
    </row>
    <row r="21" ht="96" customHeight="1" s="148">
      <c r="A21" s="21" t="inlineStr">
        <is>
          <t>9000</t>
        </is>
      </c>
      <c r="B21" s="21" t="inlineStr">
        <is>
          <t>9000-7</t>
        </is>
      </c>
      <c r="C21" s="21" t="inlineStr">
        <is>
          <t>상부강화노반</t>
        </is>
      </c>
      <c r="D21" s="21" t="inlineStr">
        <is>
          <t>9000-7-20</t>
        </is>
      </c>
      <c r="E21" s="21" t="inlineStr">
        <is>
          <t>D+0~10</t>
        </is>
      </c>
      <c r="F21" s="21" t="inlineStr">
        <is>
          <t>선로 종/횡단 및 용지경계측량</t>
        </is>
      </c>
      <c r="G21" s="21" t="inlineStr">
        <is>
          <t>현장 공사팀</t>
        </is>
      </c>
      <c r="H21" s="22" t="inlineStr">
        <is>
          <t>KCS 47 10 25 현장 시험 수칙 | 50m 시험 구간 쇄석 30cm 부설 | 패스별 침하량 실측(침하 정지 Δh ≤ 1mm) 강동 4회 다짐 확정</t>
        </is>
      </c>
      <c r="I21" s="22" t="inlineStr">
        <is>
          <t>1) 50m 시험 다짐 구간 지정 ➔ 2) 쇄석 30cm 두께 포설 ➔ 3) 패스별 침하량(Δh≤1mm) 측정 ➔ 4) 다짐 횟수(강동 4회) 보고서 승인</t>
        </is>
      </c>
      <c r="J21" s="22" t="inlineStr">
        <is>
          <t>50m 시험 구간 쇄석 30cm 포설, 패스별 침하량(Δh ≤ 1mm) 실측 및 강동 4회 다짐 횟수 확정</t>
        </is>
      </c>
      <c r="K21" s="22" t="inlineStr">
        <is>
          <t>KCS 47 10 25 현장 시험 수칙 | 50m 시험 구간 쇄석 30cm 부설 | 패스별 침하량 실측(침하 정지 Δh ≤ 1mm) 강동 4회 다짐 확정</t>
        </is>
      </c>
      <c r="L21" s="155">
        <f>HYPERLINK("매뉴얼BODY(집행단계-첨부폴더)v8\4.상부강화노반\20_선로 종_횡단 및 용지경계측량\표준서\선로 종_횡단 및 용지경계측량_표준서.html", "👉 [클릭] 표준서 열기 📄")</f>
        <v/>
      </c>
      <c r="M21" s="22" t="inlineStr">
        <is>
          <t>1) 50m 시험 다짐 구간 지정 ➔ 2) 쇄석 30cm 두께 포설 ➔ 3) 패스별 침하량(Δh≤1mm) 측정 ➔ 4) 다짐 횟수(강동 4회) 보고서 승인</t>
        </is>
      </c>
      <c r="N21" s="155">
        <f>HYPERLINK("매뉴얼BODY(집행단계-첨부폴더)v8\4.상부강화노반\20_선로 종_횡단 및 용지경계측량\수행지침\선로 종_횡단 및 용지경계측량_수행지침.html", "👉 [클릭] 수행지침 열기 📄")</f>
        <v/>
      </c>
      <c r="O21" t="inlineStr">
        <is>
          <t>👉 [클릭] 표준서 열기 📄</t>
        </is>
      </c>
      <c r="P21" s="155">
        <f>HYPERLINK("매뉴얼BODY(집행단계-첨부폴더)v8\4.상부강화노반\20_선로 종_횡단 및 용지경계측량\체크리스트\선로 종_횡단 및 용지경계측량_체크리스트.html", "👉 [클릭] 체크리스트 열기 📄")</f>
        <v/>
      </c>
      <c r="Q21" t="inlineStr">
        <is>
          <t>👉 [클릭] 수행지침 열기 📄</t>
        </is>
      </c>
      <c r="R21" s="23" t="inlineStr">
        <is>
          <t>● 선로 측량 정밀도 규격 준수</t>
        </is>
      </c>
      <c r="S21" t="inlineStr">
        <is>
          <t>👉 [클릭] 체크리스트 열기 📄</t>
        </is>
      </c>
      <c r="T21" s="14" t="n"/>
    </row>
    <row r="22" ht="115.2" customHeight="1" s="148">
      <c r="A22" s="21" t="inlineStr">
        <is>
          <t>9000</t>
        </is>
      </c>
      <c r="B22" s="21" t="inlineStr">
        <is>
          <t>9000-7</t>
        </is>
      </c>
      <c r="C22" s="21" t="inlineStr">
        <is>
          <t>상부강화노반</t>
        </is>
      </c>
      <c r="D22" s="21" t="inlineStr">
        <is>
          <t>9000-7-21</t>
        </is>
      </c>
      <c r="E22" s="21" t="inlineStr">
        <is>
          <t>D+0~10</t>
        </is>
      </c>
      <c r="F22" s="21" t="inlineStr">
        <is>
          <t>규준틀 설치</t>
        </is>
      </c>
      <c r="G22" s="21" t="inlineStr">
        <is>
          <t>현장 공사팀</t>
        </is>
      </c>
      <c r="H22" s="22" t="inlineStr">
        <is>
          <t>KCS 47 10 25 원지반 규정 | 유기질 표토(15~30cm) 제거 및 전압 다짐 | 원지반 K30 ≥ 70 MN/m³ 시험 &amp; 덤프트럭 펌핑 점검</t>
        </is>
      </c>
      <c r="I22" s="22" t="inlineStr">
        <is>
          <t>1) 표토(15~30cm) 제거 &amp; 정전압 다짐 ➔ 2) 원지반 표고 레벨 측량 ➔ 3) K30(≥70 MN/m³) &amp; 펌핑 검측 ➔ 4) 원지반 검측 성과표 감리 승인</t>
        </is>
      </c>
      <c r="J22" s="22" t="inlineStr">
        <is>
          <t>유기질 표토(15~30cm) 제거전압 다짐, 원지반 K30 ≥ 70 MN/m³ 평판재하 및 덤프 펌핑 점검</t>
        </is>
      </c>
      <c r="K22" s="22" t="inlineStr">
        <is>
          <t>KCS 47 10 25 원지반 규정 | 유기질 표토(15~30cm) 제거 및 전압 다짐 | 원지반 K30 ≥ 70 MN/m³ 시험 &amp; 덤프트럭 펌핑 점검</t>
        </is>
      </c>
      <c r="L22" s="155">
        <f>HYPERLINK("매뉴얼BODY(집행단계-첨부폴더)v8\4.상부강화노반\21_규준틀 설치\표준서\규준틀 설치_표준서.html", "👉 [클릭] 표준서 열기 📄")</f>
        <v/>
      </c>
      <c r="M22" s="22" t="inlineStr">
        <is>
          <t>1) 표토(15~30cm) 제거 &amp; 정전압 다짐 ➔ 2) 원지반 표고 레벨 측량 ➔ 3) K30(≥70 MN/m³) &amp; 펌핑 검측 ➔ 4) 원지반 검측 성과표 감리 승인</t>
        </is>
      </c>
      <c r="N22" s="155">
        <f>HYPERLINK("매뉴얼BODY(집행단계-첨부폴더)v8\4.상부강화노반\21_규준틀 설치\수행지침\규준틀 설치_수행지침.html", "👉 [클릭] 수행지침 열기 📄")</f>
        <v/>
      </c>
      <c r="O22" t="inlineStr">
        <is>
          <t>👉 [클릭] 표준서 열기 📄</t>
        </is>
      </c>
      <c r="P22" s="155">
        <f>HYPERLINK("매뉴얼BODY(집행단계-첨부폴더)v8\4.상부강화노반\21_규준틀 설치\체크리스트\규준틀 설치_체크리스트.html", "👉 [클릭] 체크리스트 열기 📄")</f>
        <v/>
      </c>
      <c r="Q22" t="inlineStr">
        <is>
          <t>👉 [클릭] 수행지침 열기 📄</t>
        </is>
      </c>
      <c r="R22" s="23" t="inlineStr">
        <is>
          <t>● 규준틀 설치 위치 및 간격 한계 기준</t>
        </is>
      </c>
      <c r="S22" t="inlineStr">
        <is>
          <t>👉 [클릭] 체크리스트 열기 📄</t>
        </is>
      </c>
      <c r="T22" s="14" t="n"/>
    </row>
    <row r="23" ht="115.2" customHeight="1" s="148">
      <c r="A23" s="21" t="inlineStr">
        <is>
          <t>9000</t>
        </is>
      </c>
      <c r="B23" s="21" t="inlineStr">
        <is>
          <t>9000-7</t>
        </is>
      </c>
      <c r="C23" s="21" t="inlineStr">
        <is>
          <t>상부강화노반</t>
        </is>
      </c>
      <c r="D23" s="21" t="inlineStr">
        <is>
          <t>9000-7-22</t>
        </is>
      </c>
      <c r="E23" s="21" t="inlineStr">
        <is>
          <t>D+10~200</t>
        </is>
      </c>
      <c r="F23" s="21" t="inlineStr">
        <is>
          <t>준비배수</t>
        </is>
      </c>
      <c r="G23" s="21" t="inlineStr">
        <is>
          <t>현장 공사팀</t>
        </is>
      </c>
      <c r="H23" s="22" t="inlineStr">
        <is>
          <t>KCS 47 10 25 하부노반 시방 | 토사 층두께 ≤ 30cm 포설 다짐 | 들밀도 다짐도 ≥ 90% (KS F 2311) &amp; K30 ≥ 90 MN/m³ 검측</t>
        </is>
      </c>
      <c r="I23" s="22" t="inlineStr">
        <is>
          <t>1) 하부노반 30cm 층포설 &amp; 다짐 ➔ 2) 들밀도(≥90%) &amp; K30(≥90) 시험 ➔ 3) 마무리면 레벨 오차(±20mm) 검측 ➔ 4) 하부노반 검측서 감리 승인</t>
        </is>
      </c>
      <c r="J23" s="22" t="inlineStr">
        <is>
          <t>토사 층두께 ≤ 30cm 포설 다짐, 들밀도 다짐도 ≥ 90% (KS F 2311) 및 K30 ≥ 90 MN/m³ 검측</t>
        </is>
      </c>
      <c r="K23" s="22" t="inlineStr">
        <is>
          <t>KCS 47 10 25 하부노반 시방 | 토사 층두께 ≤ 30cm 포설 다짐 | 들밀도 다짐도 ≥ 90% (KS F 2311) &amp; K30 ≥ 90 MN/m³ 검측</t>
        </is>
      </c>
      <c r="L23" s="155">
        <f>HYPERLINK("매뉴얼BODY(집행단계-첨부폴더)v8\4.상부강화노반\22_준비배수\표준서\준비배수_표준서.html", "👉 [클릭] 표준서 열기 📄")</f>
        <v/>
      </c>
      <c r="M23" s="22" t="inlineStr">
        <is>
          <t>1) 하부노반 30cm 층포설 &amp; 다짐 ➔ 2) 들밀도(≥90%) &amp; K30(≥90) 시험 ➔ 3) 마무리면 레벨 오차(±20mm) 검측 ➔ 4) 하부노반 검측서 감리 승인</t>
        </is>
      </c>
      <c r="N23" s="155">
        <f>HYPERLINK("매뉴얼BODY(집행단계-첨부폴더)v8\4.상부강화노반\22_준비배수\수행지침\준비배수_수행지침.html", "👉 [클릭] 수행지침 열기 📄")</f>
        <v/>
      </c>
      <c r="O23" t="inlineStr">
        <is>
          <t>👉 [클릭] 표준서 열기 📄</t>
        </is>
      </c>
      <c r="P23" s="155">
        <f>HYPERLINK("매뉴얼BODY(집행단계-첨부폴더)v8\4.상부강화노반\22_준비배수\체크리스트\준비배수_체크리스트.html", "👉 [클릭] 체크리스트 열기 📄")</f>
        <v/>
      </c>
      <c r="Q23" t="inlineStr">
        <is>
          <t>👉 [클릭] 수행지침 열기 📄</t>
        </is>
      </c>
      <c r="R23" s="23" t="inlineStr">
        <is>
          <t>● 지하수 및 지표수 유도 배수 기준</t>
        </is>
      </c>
      <c r="S23" t="inlineStr">
        <is>
          <t>👉 [클릭] 체크리스트 열기 📄</t>
        </is>
      </c>
      <c r="T23" s="14" t="n"/>
    </row>
    <row r="24" ht="115.2" customHeight="1" s="148">
      <c r="A24" s="21" t="inlineStr">
        <is>
          <t>9000</t>
        </is>
      </c>
      <c r="B24" s="21" t="inlineStr">
        <is>
          <t>9000-7</t>
        </is>
      </c>
      <c r="C24" s="21" t="inlineStr">
        <is>
          <t>상부강화노반</t>
        </is>
      </c>
      <c r="D24" s="21" t="inlineStr">
        <is>
          <t>9000-7-23</t>
        </is>
      </c>
      <c r="E24" s="21" t="inlineStr">
        <is>
          <t>D+10~25</t>
        </is>
      </c>
      <c r="F24" s="21" t="inlineStr">
        <is>
          <t>벌개제근/표토제거</t>
        </is>
      </c>
      <c r="G24" s="21" t="inlineStr">
        <is>
          <t>현장 공사팀</t>
        </is>
      </c>
      <c r="H24" s="22" t="inlineStr">
        <is>
          <t>KCS 47 10 25 상부노반 시방 | 토사 30cm 포설 다짐 | 맹암거 투수성 부직포(200g/m²) &amp; HDPE 유공관(Ø200mm) 매몰 검측</t>
        </is>
      </c>
      <c r="I24" s="22" t="inlineStr">
        <is>
          <t>1) 상부노반 토사 30cm 포설 ➔ 2) 맹암거 부직포(200g/m²) 부설 ➔ 3) HDPE 유공관(Ø200mm) 종단 연결 ➔ 4) 상부노반 시공 감리 서면 승인</t>
        </is>
      </c>
      <c r="J24" s="22" t="inlineStr">
        <is>
          <t>상부노반 토사 30cm 포설, 맹암거 투수성 부직포(200g/m²) 및 HDPE 유공관(Ø200mm) 매몰 검측</t>
        </is>
      </c>
      <c r="K24" s="22" t="inlineStr">
        <is>
          <t>KCS 47 10 25 상부노반 시방 | 토사 30cm 포설 다짐 | 맹암거 투수성 부직포(200g/m²) &amp; HDPE 유공관(Ø200mm) 매몰 검측</t>
        </is>
      </c>
      <c r="L24" s="155">
        <f>HYPERLINK("매뉴얼BODY(집행단계-첨부폴더)v8\4.상부강화노반\23_벌개제근_표토제거\표준서\벌개제근_표토제거_표준서.html", "👉 [클릭] 표준서 열기 📄")</f>
        <v/>
      </c>
      <c r="M24" s="22" t="inlineStr">
        <is>
          <t>1) 상부노반 토사 30cm 포설 ➔ 2) 맹암거 부직포(200g/m²) 부설 ➔ 3) HDPE 유공관(Ø200mm) 종단 연결 ➔ 4) 상부노반 시공 감리 서면 승인</t>
        </is>
      </c>
      <c r="N24" s="155">
        <f>HYPERLINK("매뉴얼BODY(집행단계-첨부폴더)v8\4.상부강화노반\23_벌개제근_표토제거\수행지침\벌개제근_표토제거_수행지침.html", "👉 [클릭] 수행지침 열기 📄")</f>
        <v/>
      </c>
      <c r="O24" t="inlineStr">
        <is>
          <t>👉 [클릭] 표준서 열기 📄</t>
        </is>
      </c>
      <c r="P24" s="155">
        <f>HYPERLINK("매뉴얼BODY(집행단계-첨부폴더)v8\4.상부강화노반\23_벌개제근_표토제거\체크리스트\벌개제근_표토제거_체크리스트.html", "👉 [클릭] 체크리스트 열기 📄")</f>
        <v/>
      </c>
      <c r="Q24" t="inlineStr">
        <is>
          <t>👉 [클릭] 수행지침 열기 📄</t>
        </is>
      </c>
      <c r="R24" s="23" t="inlineStr">
        <is>
          <t>● 제거 대상 잔재물 처리 기준</t>
        </is>
      </c>
      <c r="S24" t="inlineStr">
        <is>
          <t>👉 [클릭] 체크리스트 열기 📄</t>
        </is>
      </c>
      <c r="T24" s="14" t="n"/>
    </row>
    <row r="25" ht="115.2" customHeight="1" s="148">
      <c r="A25" s="21" t="inlineStr">
        <is>
          <t>9000</t>
        </is>
      </c>
      <c r="B25" s="21" t="inlineStr">
        <is>
          <t>9000-7</t>
        </is>
      </c>
      <c r="C25" s="21" t="inlineStr">
        <is>
          <t>상부강화노반</t>
        </is>
      </c>
      <c r="D25" s="21" t="inlineStr">
        <is>
          <t>9000-7-24</t>
        </is>
      </c>
      <c r="E25" s="21" t="inlineStr">
        <is>
          <t>D+10~30</t>
        </is>
      </c>
      <c r="F25" s="21" t="inlineStr">
        <is>
          <t>구조물 및 지장물 제거</t>
        </is>
      </c>
      <c r="G25" s="21" t="inlineStr">
        <is>
          <t>현장 공사팀</t>
        </is>
      </c>
      <c r="H25" s="22" t="inlineStr">
        <is>
          <t>KCS 47 10 25 강화노반 쇄석 시방 | 3D GPS 쇄석(50mm) 30cm 포설 | 최적함수비 OMC 살수 &amp; 강동 4회/타이어 2회 다짐 (표고 오차 ±10mm)</t>
        </is>
      </c>
      <c r="I25" s="22" t="inlineStr">
        <is>
          <t>1) 3D GPS 모터그레이더 쇄석(50mm) 30cm 포설 ➔ 2) 살수차 최적함수비 OMC 살수 ➔ 3) 강동 4회 + 타이어 2회 다짐 ➔ 4) 표고 오차(±10mm) 검측 감리 승인</t>
        </is>
      </c>
      <c r="J25" s="22" t="inlineStr">
        <is>
          <t>3D GPS 쇄석(50mm) 30cm 포설, OMC 분무 살수 및 강동 4회/타이어 2회 다짐 (표고 오차 ±10mm)</t>
        </is>
      </c>
      <c r="K25" s="22" t="inlineStr">
        <is>
          <t>KCS 47 10 25 강화노반 쇄석 시방 | 3D GPS 쇄석(50mm) 30cm 포설 | 최적함수비 OMC 살수 &amp; 강동 4회/타이어 2회 다짐 (표고 오차 ±10mm)</t>
        </is>
      </c>
      <c r="L25" s="155">
        <f>HYPERLINK("매뉴얼BODY(집행단계-첨부폴더)v8\4.상부강화노반\24_구조물 및 지장물 제거\표준서\구조물 및 지장물 제거_표준서.html", "👉 [클릭] 표준서 열기 📄")</f>
        <v/>
      </c>
      <c r="M25" s="22" t="inlineStr">
        <is>
          <t>1) 3D GPS 모터그레이더 쇄석(50mm) 30cm 포설 ➔ 2) 살수차 최적함수비 OMC 살수 ➔ 3) 강동 4회 + 타이어 2회 다짐 ➔ 4) 표고 오차(±10mm) 검측 감리 승인</t>
        </is>
      </c>
      <c r="N25" s="155">
        <f>HYPERLINK("매뉴얼BODY(집행단계-첨부폴더)v8\4.상부강화노반\24_구조물 및 지장물 제거\수행지침\구조물 및 지장물 제거_수행지침.html", "👉 [클릭] 수행지침 열기 📄")</f>
        <v/>
      </c>
      <c r="O25" t="inlineStr">
        <is>
          <t>👉 [클릭] 표준서 열기 📄</t>
        </is>
      </c>
      <c r="P25" s="155">
        <f>HYPERLINK("매뉴얼BODY(집행단계-첨부폴더)v8\4.상부강화노반\24_구조물 및 지장물 제거\체크리스트\구조물 및 지장물 제거_체크리스트.html", "👉 [클릭] 체크리스트 열기 📄")</f>
        <v/>
      </c>
      <c r="Q25" t="inlineStr">
        <is>
          <t>👉 [클릭] 수행지침 열기 📄</t>
        </is>
      </c>
      <c r="R25" s="23" t="inlineStr">
        <is>
          <t>● 지장물 철거 및 처리 규정 준수</t>
        </is>
      </c>
      <c r="S25" t="inlineStr">
        <is>
          <t>👉 [클릭] 체크리스트 열기 📄</t>
        </is>
      </c>
      <c r="T25" s="14" t="n"/>
    </row>
    <row r="26" ht="115.2" customHeight="1" s="148">
      <c r="A26" s="21" t="inlineStr">
        <is>
          <t>9000</t>
        </is>
      </c>
      <c r="B26" s="21" t="inlineStr">
        <is>
          <t>9000-7</t>
        </is>
      </c>
      <c r="C26" s="21" t="inlineStr">
        <is>
          <t>상부강화노반</t>
        </is>
      </c>
      <c r="D26" s="21" t="inlineStr">
        <is>
          <t>9000-7-25</t>
        </is>
      </c>
      <c r="E26" s="21" t="inlineStr">
        <is>
          <t>D+10~30</t>
        </is>
      </c>
      <c r="F26" s="21" t="inlineStr">
        <is>
          <t>진입로 조성</t>
        </is>
      </c>
      <c r="G26" s="21" t="inlineStr">
        <is>
          <t>현장 공사팀</t>
        </is>
      </c>
      <c r="H26" s="22" t="inlineStr">
        <is>
          <t>KCS 47 10 25 다짐 검측 수칙 | 노반 들밀도 다짐도 ≥ 95% | K30 ≥ 110 MN/m³ &amp; 동적변형계수 Ev2 ≥ 60 MPa (Ev2/Ev1 ≤ 2.2) 검측</t>
        </is>
      </c>
      <c r="I26" s="22" t="inlineStr">
        <is>
          <t>1) 들밀도 시험(다짐도 ≥ 95%) ➔ 2) K30 평판재하시험(≥ 110 MN/m³) ➔ 3) 동적변형계수 Ev2(≥ 60 MPa) 시험 ➔ 4) 다짐 검측 종합 보고서 승인</t>
        </is>
      </c>
      <c r="J26" s="22" t="inlineStr">
        <is>
          <t>노반 들밀도 다짐도 ≥ 95%, 평판재하 K30 ≥ 110 MN/m³ 및 동적변형계수 Ev2 ≥ 60 MPa (Ev2/Ev1 ≤ 2.2)</t>
        </is>
      </c>
      <c r="K26" s="22" t="inlineStr">
        <is>
          <t>KCS 47 10 25 다짐 검측 수칙 | 노반 들밀도 다짐도 ≥ 95% | K30 ≥ 110 MN/m³ &amp; 동적변형계수 Ev2 ≥ 60 MPa (Ev2/Ev1 ≤ 2.2) 검측</t>
        </is>
      </c>
      <c r="L26" s="155">
        <f>HYPERLINK("매뉴얼BODY(집행단계-첨부폴더)v8\4.상부강화노반\25_진입로 조성\표준서\진입로 조성_표준서.html", "👉 [클릭] 표준서 열기 📄")</f>
        <v/>
      </c>
      <c r="M26" s="22" t="inlineStr">
        <is>
          <t>1) 들밀도 시험(다짐도 ≥ 95%) ➔ 2) K30 평판재하시험(≥ 110 MN/m³) ➔ 3) 동적변형계수 Ev2(≥ 60 MPa) 시험 ➔ 4) 다짐 검측 종합 보고서 승인</t>
        </is>
      </c>
      <c r="N26" s="155">
        <f>HYPERLINK("매뉴얼BODY(집행단계-첨부폴더)v8\4.상부강화노반\25_진입로 조성\수행지침\진입로 조성_수행지침.html", "👉 [클릭] 수행지침 열기 📄")</f>
        <v/>
      </c>
      <c r="O26" t="inlineStr">
        <is>
          <t>👉 [클릭] 표준서 열기 📄</t>
        </is>
      </c>
      <c r="P26" s="155">
        <f>HYPERLINK("매뉴얼BODY(집행단계-첨부폴더)v8\4.상부강화노반\25_진입로 조성\체크리스트\진입로 조성_체크리스트.html", "👉 [클릭] 체크리스트 열기 📄")</f>
        <v/>
      </c>
      <c r="Q26" t="inlineStr">
        <is>
          <t>👉 [클릭] 수행지침 열기 📄</t>
        </is>
      </c>
      <c r="R26" s="23" t="inlineStr">
        <is>
          <t>● 가설 도로 시공 규격 및 배수 조건 준수</t>
        </is>
      </c>
      <c r="S26" t="inlineStr">
        <is>
          <t>👉 [클릭] 체크리스트 열기 📄</t>
        </is>
      </c>
      <c r="T26" s="14" t="n"/>
    </row>
    <row r="27" ht="115.2" customHeight="1" s="148">
      <c r="A27" s="21" t="inlineStr">
        <is>
          <t>9000</t>
        </is>
      </c>
      <c r="B27" s="21" t="inlineStr">
        <is>
          <t>9000-7</t>
        </is>
      </c>
      <c r="C27" s="21" t="inlineStr">
        <is>
          <t>상부강화노반</t>
        </is>
      </c>
      <c r="D27" s="21" t="inlineStr">
        <is>
          <t>9000-7-26</t>
        </is>
      </c>
      <c r="E27" s="21" t="inlineStr">
        <is>
          <t>D+10~180</t>
        </is>
      </c>
      <c r="F27" s="21" t="inlineStr">
        <is>
          <t>노반쌓기</t>
        </is>
      </c>
      <c r="G27" s="21" t="inlineStr">
        <is>
          <t>현장 공사팀</t>
        </is>
      </c>
      <c r="H27" s="22" t="inlineStr">
        <is>
          <t>KS F 2310 규정 준수 | Ø300mm 재하판 산모래 밀착 및 15t 유압 잭 하중 재하 | 1.25mm 침하 P-S 곡선 산출 K30 ≥ 110 MN/m³ 성적서</t>
        </is>
      </c>
      <c r="I27" s="22" t="inlineStr">
        <is>
          <t>1) Ø300mm 재하판 산모래 밀착 ➔ 2) 15t 유압 잭 &amp; 다이얼 게이지 교정 ➔ 3) 1.25mm 침하 P-S 곡선 산출 ➔ 4) K30 ≥ 110 MN/m³ 성적서 승인</t>
        </is>
      </c>
      <c r="J27" s="22" t="inlineStr">
        <is>
          <t>Ø300mm 재하판 산모래 밀착, 15t 유압 잭 재하 및 1.25mm 침하 P-S 곡선 K30 ≥ 110 MN/m³ 성적서</t>
        </is>
      </c>
      <c r="K27" s="22" t="inlineStr">
        <is>
          <t>KS F 2310 규정 준수 | Ø300mm 재하판 산모래 밀착 및 15t 유압 잭 하중 재하 | 1.25mm 침하 P-S 곡선 산출 K30 ≥ 110 MN/m³ 성적서</t>
        </is>
      </c>
      <c r="L27" s="155">
        <f>HYPERLINK("매뉴얼BODY(집행단계-첨부폴더)v8\4.상부강화노반\26_노반쌓기\표준서\노반쌓기_표준서.html", "👉 [클릭] 표준서 열기 📄")</f>
        <v/>
      </c>
      <c r="M27" s="22" t="inlineStr">
        <is>
          <t>1) Ø300mm 재하판 산모래 밀착 ➔ 2) 15t 유압 잭 &amp; 다이얼 게이지 교정 ➔ 3) 1.25mm 침하 P-S 곡선 산출 ➔ 4) K30 ≥ 110 MN/m³ 성적서 승인</t>
        </is>
      </c>
      <c r="N27" s="155">
        <f>HYPERLINK("매뉴얼BODY(집행단계-첨부폴더)v8\4.상부강화노반\26_노반쌓기\수행지침\노반쌓기_수행지침.html", "👉 [클릭] 수행지침 열기 📄")</f>
        <v/>
      </c>
      <c r="O27" t="inlineStr">
        <is>
          <t>👉 [클릭] 표준서 열기 📄</t>
        </is>
      </c>
      <c r="P27" s="155">
        <f>HYPERLINK("매뉴얼BODY(집행단계-첨부폴더)v8\4.상부강화노반\26_노반쌓기\체크리스트\노반쌓기_체크리스트.html", "👉 [클릭] 체크리스트 열기 📄")</f>
        <v/>
      </c>
      <c r="Q27" t="inlineStr">
        <is>
          <t>👉 [클릭] 수행지침 열기 📄</t>
        </is>
      </c>
      <c r="R27" s="23" t="inlineStr">
        <is>
          <t>● 다짐도 및 층두께 규격 준수</t>
        </is>
      </c>
      <c r="S27" t="inlineStr">
        <is>
          <t>👉 [클릭] 체크리스트 열기 📄</t>
        </is>
      </c>
      <c r="T27" s="14" t="n"/>
    </row>
    <row r="28" ht="115.2" customHeight="1" s="148">
      <c r="A28" s="21" t="inlineStr">
        <is>
          <t>9000</t>
        </is>
      </c>
      <c r="B28" s="21" t="inlineStr">
        <is>
          <t>9000-7</t>
        </is>
      </c>
      <c r="C28" s="21" t="inlineStr">
        <is>
          <t>상부강화노반</t>
        </is>
      </c>
      <c r="D28" s="21" t="inlineStr">
        <is>
          <t>9000-7-27</t>
        </is>
      </c>
      <c r="E28" s="21" t="inlineStr">
        <is>
          <t>D+10~180</t>
        </is>
      </c>
      <c r="F28" s="21" t="inlineStr">
        <is>
          <t>하부노반 시공</t>
        </is>
      </c>
      <c r="G28" s="21" t="inlineStr">
        <is>
          <t>현장 공사팀</t>
        </is>
      </c>
      <c r="H28" s="22" t="inlineStr">
        <is>
          <t>DIN 18134 규정 준수 | LWD 동적 평판재하시험 1,000m²당 1회 | 2차 변형계수 Ev2 ≥ 60 MPa &amp; 변형계수 비율 Ev2/Ev1 ≤ 2.2 검측</t>
        </is>
      </c>
      <c r="I28" s="22" t="inlineStr">
        <is>
          <t>1) LWD 동적 평판재하시험기 교정 ➔ 2) 1,000m²당 1회 무작위 시험 ➔ 3) 1차/2차 하중 재하 Ev2/Ev1 산출 ➔ 4) Ev2 ≥ 60 MPa 성적서 감리 승인</t>
        </is>
      </c>
      <c r="J28" s="22" t="inlineStr">
        <is>
          <t>LWD 동적 평판재하시험 1,000m²당 1회, 2차 변형계수 Ev2 ≥ 60 MPa 및 비율 Ev2/Ev1 ≤ 2.2 검측</t>
        </is>
      </c>
      <c r="K28" s="22" t="inlineStr">
        <is>
          <t>DIN 18134 규정 준수 | LWD 동적 평판재하시험 1,000m²당 1회 | 2차 변형계수 Ev2 ≥ 60 MPa &amp; 변형계수 비율 Ev2/Ev1 ≤ 2.2 검측</t>
        </is>
      </c>
      <c r="L28" s="155">
        <f>HYPERLINK("매뉴얼BODY(집행단계-첨부폴더)v8\4.상부강화노반\27_하부노반 시공\표준서\하부노반 시공_표준서.html", "👉 [클릭] 표준서 열기 📄")</f>
        <v/>
      </c>
      <c r="M28" s="22" t="inlineStr">
        <is>
          <t>1) LWD 동적 평판재하시험기 교정 ➔ 2) 1,000m²당 1회 무작위 시험 ➔ 3) 1차/2차 하중 재하 Ev2/Ev1 산출 ➔ 4) Ev2 ≥ 60 MPa 성적서 감리 승인</t>
        </is>
      </c>
      <c r="N28" s="155">
        <f>HYPERLINK("매뉴얼BODY(집행단계-첨부폴더)v8\4.상부강화노반\27_하부노반 시공\수행지침\하부노반 시공_수행지침.html", "👉 [클릭] 수행지침 열기 📄")</f>
        <v/>
      </c>
      <c r="O28" t="inlineStr">
        <is>
          <t>👉 [클릭] 표준서 열기 📄</t>
        </is>
      </c>
      <c r="P28" s="155">
        <f>HYPERLINK("매뉴얼BODY(집행단계-첨부폴더)v8\4.상부강화노반\27_하부노반 시공\체크리스트\하부노반 시공_체크리스트.html", "👉 [클릭] 체크리스트 열기 📄")</f>
        <v/>
      </c>
      <c r="Q28" t="inlineStr">
        <is>
          <t>👉 [클릭] 수행지침 열기 📄</t>
        </is>
      </c>
      <c r="R28" s="23" t="inlineStr">
        <is>
          <t>● 하부노반 재료 규격 및 최대 입경 준수</t>
        </is>
      </c>
      <c r="S28" t="inlineStr">
        <is>
          <t>👉 [클릭] 체크리스트 열기 📄</t>
        </is>
      </c>
      <c r="T28" s="14" t="n"/>
    </row>
    <row r="29" ht="115.2" customHeight="1" s="148">
      <c r="A29" s="21" t="inlineStr">
        <is>
          <t>9000</t>
        </is>
      </c>
      <c r="B29" s="21" t="inlineStr">
        <is>
          <t>9000-7</t>
        </is>
      </c>
      <c r="C29" s="21" t="inlineStr">
        <is>
          <t>상부강화노반</t>
        </is>
      </c>
      <c r="D29" s="21" t="inlineStr">
        <is>
          <t>9000-7-28</t>
        </is>
      </c>
      <c r="E29" s="21" t="inlineStr">
        <is>
          <t>D+10~180</t>
        </is>
      </c>
      <c r="F29" s="21" t="inlineStr">
        <is>
          <t>상부노반 시공</t>
        </is>
      </c>
      <c r="G29" s="21" t="inlineStr">
        <is>
          <t>현장 공사팀</t>
        </is>
      </c>
      <c r="H29" s="22" t="inlineStr">
        <is>
          <t>KCS 47 10 25 평탄성 수칙 | 3m 알루미늄 직선자 20m 간격 연속 측정 | 최대 갭 오차 ±10mm 이내 통제 &amp; 요철 부위 삭평 재다짐</t>
        </is>
      </c>
      <c r="I29" s="22" t="inlineStr">
        <is>
          <t>1) 3m 알루미늄 직선자 교정 ➔ 2) 20m 간격 종횡단 연속 검측 ➔ 3) 갭 오차(±10mm) 요철 삭평/재다짐 ➔ 4) 평탄성 검측 성과표 감리 승인</t>
        </is>
      </c>
      <c r="J29" s="22" t="inlineStr">
        <is>
          <t>3m 알루미늄 직선자 20m 간격 연속 측정, 최대 갭 오차 ±10mm 이내 통제 및 요철 삭평/재다짐</t>
        </is>
      </c>
      <c r="K29" s="22" t="inlineStr">
        <is>
          <t>KCS 47 10 25 평탄성 수칙 | 3m 알루미늄 직선자 20m 간격 연속 측정 | 최대 갭 오차 ±10mm 이내 통제 &amp; 요철 부위 삭평 재다짐</t>
        </is>
      </c>
      <c r="L29" s="155">
        <f>HYPERLINK("매뉴얼BODY(집행단계-첨부폴더)v8\4.상부강화노반\28_상부노반 시공\표준서\상부노반 시공_표준서.html", "👉 [클릭] 표준서 열기 📄")</f>
        <v/>
      </c>
      <c r="M29" s="22" t="inlineStr">
        <is>
          <t>1) 3m 알루미늄 직선자 교정 ➔ 2) 20m 간격 종횡단 연속 검측 ➔ 3) 갭 오차(±10mm) 요철 삭평/재다짐 ➔ 4) 평탄성 검측 성과표 감리 승인</t>
        </is>
      </c>
      <c r="N29" s="155">
        <f>HYPERLINK("매뉴얼BODY(집행단계-첨부폴더)v8\4.상부강화노반\28_상부노반 시공\수행지침\상부노반 시공_수행지침.html", "👉 [클릭] 수행지침 열기 📄")</f>
        <v/>
      </c>
      <c r="O29" t="inlineStr">
        <is>
          <t>👉 [클릭] 표준서 열기 📄</t>
        </is>
      </c>
      <c r="P29" s="155">
        <f>HYPERLINK("매뉴얼BODY(집행단계-첨부폴더)v8\4.상부강화노반\28_상부노반 시공\체크리스트\상부노반 시공_체크리스트.html", "👉 [클릭] 체크리스트 열기 📄")</f>
        <v/>
      </c>
      <c r="Q29" t="inlineStr">
        <is>
          <t>👉 [클릭] 수행지침 열기 📄</t>
        </is>
      </c>
      <c r="R29" s="23" t="inlineStr">
        <is>
          <t>● 상부노반 재료 규격 및 다짐 기준 만족</t>
        </is>
      </c>
      <c r="S29" t="inlineStr">
        <is>
          <t>👉 [클릭] 체크리스트 열기 📄</t>
        </is>
      </c>
      <c r="T29" s="14" t="n"/>
    </row>
    <row r="30" ht="115.2" customHeight="1" s="148">
      <c r="A30" s="21" t="inlineStr">
        <is>
          <t>9000</t>
        </is>
      </c>
      <c r="B30" s="21" t="inlineStr">
        <is>
          <t>9000-7</t>
        </is>
      </c>
      <c r="C30" s="21" t="inlineStr">
        <is>
          <t>상부강화노반</t>
        </is>
      </c>
      <c r="D30" s="21" t="inlineStr">
        <is>
          <t>9000-7-29</t>
        </is>
      </c>
      <c r="E30" s="21" t="inlineStr">
        <is>
          <t>D+10~180</t>
        </is>
      </c>
      <c r="F30" s="21" t="inlineStr">
        <is>
          <t>강화노반 시공</t>
        </is>
      </c>
      <c r="G30" s="21" t="inlineStr">
        <is>
          <t>현장 공사팀</t>
        </is>
      </c>
      <c r="H30" s="22" t="inlineStr">
        <is>
          <t>KCS 47 10 25 측량 지침 | GRS80 광학 토탈스테이션 10m 간격 연속 측량 | 중심선(X,Y) 및 표고(Z) 오차 ±10mm 3D BIM 검측</t>
        </is>
      </c>
      <c r="I30" s="22" t="inlineStr">
        <is>
          <t>1) GRS80 토탈스테이션 정밀 세팅 ➔ 2) 10m 간격 중심선 &amp; 표고 실측 ➔ 3) 3D BIM CAD 좌표(오차 ±10mm) 대조 ➔ 4) 종횡단 성과표 감리 승인</t>
        </is>
      </c>
      <c r="J30" s="22" t="inlineStr">
        <is>
          <t>GRS80 광학 토탈스테이션 10m 간격 측정, 궤도 중심선(X,Y) 및 표고(Z) 오차 ±10mm 3D BIM 검측</t>
        </is>
      </c>
      <c r="K30" s="22" t="inlineStr">
        <is>
          <t>KCS 47 10 25 측량 지침 | GRS80 광학 토탈스테이션 10m 간격 연속 측량 | 중심선(X,Y) 및 표고(Z) 오차 ±10mm 3D BIM 검측</t>
        </is>
      </c>
      <c r="L30" s="155">
        <f>HYPERLINK("매뉴얼BODY(집행단계-첨부폴더)v8\4.상부강화노반\29_강화노반 시공\표준서\강화노반 시공_표준서.html", "👉 [클릭] 표준서 열기 📄")</f>
        <v/>
      </c>
      <c r="M30" s="22" t="inlineStr">
        <is>
          <t>1) GRS80 토탈스테이션 정밀 세팅 ➔ 2) 10m 간격 중심선 &amp; 표고 실측 ➔ 3) 3D BIM CAD 좌표(오차 ±10mm) 대조 ➔ 4) 종횡단 성과표 감리 승인</t>
        </is>
      </c>
      <c r="N30" s="155">
        <f>HYPERLINK("매뉴얼BODY(집행단계-첨부폴더)v8\4.상부강화노반\29_강화노반 시공\수행지침\강화노반 시공_수행지침.html", "👉 [클릭] 수행지침 열기 📄")</f>
        <v/>
      </c>
      <c r="O30" t="inlineStr">
        <is>
          <t>👉 [클릭] 표준서 열기 📄</t>
        </is>
      </c>
      <c r="P30" s="155">
        <f>HYPERLINK("매뉴얼BODY(집행단계-첨부폴더)v8\4.상부강화노반\29_강화노반 시공\체크리스트\강화노반 시공_체크리스트.html", "👉 [클릭] 체크리스트 열기 📄")</f>
        <v/>
      </c>
      <c r="Q30" t="inlineStr">
        <is>
          <t>👉 [클릭] 수행지침 열기 📄</t>
        </is>
      </c>
      <c r="R30" s="23" t="inlineStr">
        <is>
          <t>● 입도조정 쇄석 품질 및 다짐도(98% 이상) 준수</t>
        </is>
      </c>
      <c r="S30" t="inlineStr">
        <is>
          <t>👉 [클릭] 체크리스트 열기 📄</t>
        </is>
      </c>
      <c r="T30" s="14" t="n"/>
    </row>
    <row r="31" ht="115.2" customHeight="1" s="148">
      <c r="A31" s="21" t="inlineStr">
        <is>
          <t>9000</t>
        </is>
      </c>
      <c r="B31" s="21" t="inlineStr">
        <is>
          <t>9000-7</t>
        </is>
      </c>
      <c r="C31" s="21" t="inlineStr">
        <is>
          <t>상부강화노반</t>
        </is>
      </c>
      <c r="D31" s="21" t="inlineStr">
        <is>
          <t>9000-7-30</t>
        </is>
      </c>
      <c r="E31" s="21" t="inlineStr">
        <is>
          <t>D+45~180</t>
        </is>
      </c>
      <c r="F31" s="21" t="inlineStr">
        <is>
          <t>토공 유동운반/사토</t>
        </is>
      </c>
      <c r="G31" s="21" t="inlineStr">
        <is>
          <t>현장 공사팀</t>
        </is>
      </c>
      <c r="H31" s="22" t="inlineStr">
        <is>
          <t>건진법 NCR 조치 절차 | 감리단 부적합 통지서 수령 후 표면 15cm 파쇄 | OMC 살수 재다짐 및 1:1 재검측 NCR 서면 종결 승인</t>
        </is>
      </c>
      <c r="I31" s="22" t="inlineStr">
        <is>
          <t>1) 감리단 NCR 통지서 수령 ➔ 2) 해당 구역 표면 15cm 파쇄 &amp; OMC 재다짐 ➔ 3) 1:1 재검측(다짐도/K30/Ev2) ➔ 4) NCR 조치 결과 보고서 감리 종결 승인</t>
        </is>
      </c>
      <c r="J31" s="22" t="inlineStr">
        <is>
          <t>감리단 부적합(NCR) 수령 후 해당 구역 표면 15cm 파쇄, OMC 살수 재다짐 및 1:1 재검측 서면 종결</t>
        </is>
      </c>
      <c r="K31" s="22" t="inlineStr">
        <is>
          <t>건진법 NCR 조치 절차 | 감리단 부적합 통지서 수령 후 표면 15cm 파쇄 | OMC 살수 재다짐 및 1:1 재검측 NCR 서면 종결 승인</t>
        </is>
      </c>
      <c r="L31" s="155">
        <f>HYPERLINK("매뉴얼BODY(집행단계-첨부폴더)v8\4.상부강화노반\30_토공 유동운반_사토\표준서\토공 유동운반_사토_표준서.html", "👉 [클릭] 표준서 열기 📄")</f>
        <v/>
      </c>
      <c r="M31" s="22" t="inlineStr">
        <is>
          <t>1) 감리단 NCR 통지서 수령 ➔ 2) 해당 구역 표면 15cm 파쇄 &amp; OMC 재다짐 ➔ 3) 1:1 재검측(다짐도/K30/Ev2) ➔ 4) NCR 조치 결과 보고서 감리 종결 승인</t>
        </is>
      </c>
      <c r="N31" s="155">
        <f>HYPERLINK("매뉴얼BODY(집행단계-첨부폴더)v8\4.상부강화노반\30_토공 유동운반_사토\수행지침\토공 유동운반_사토_수행지침.html", "👉 [클릭] 수행지침 열기 📄")</f>
        <v/>
      </c>
      <c r="O31" t="inlineStr">
        <is>
          <t>👉 [클릭] 표준서 열기 📄</t>
        </is>
      </c>
      <c r="P31" s="155">
        <f>HYPERLINK("매뉴얼BODY(집행단계-첨부폴더)v8\4.상부강화노반\30_토공 유동운반_사토\체크리스트\토공 유동운반_사토_체크리스트.html", "👉 [클릭] 체크리스트 열기 📄")</f>
        <v/>
      </c>
      <c r="Q31" t="inlineStr">
        <is>
          <t>👉 [클릭] 수행지침 열기 📄</t>
        </is>
      </c>
      <c r="R31" s="23" t="inlineStr">
        <is>
          <t>● 사토장 운영 및 토량 배분 지침 준수</t>
        </is>
      </c>
      <c r="S31" t="inlineStr">
        <is>
          <t>👉 [클릭] 체크리스트 열기 📄</t>
        </is>
      </c>
      <c r="T31" s="14" t="n"/>
    </row>
    <row r="32" ht="115.2" customHeight="1" s="148">
      <c r="A32" s="21" t="inlineStr">
        <is>
          <t>9000</t>
        </is>
      </c>
      <c r="B32" s="21" t="inlineStr">
        <is>
          <t>9000-7</t>
        </is>
      </c>
      <c r="C32" s="21" t="inlineStr">
        <is>
          <t>상부강화노반</t>
        </is>
      </c>
      <c r="D32" s="21" t="inlineStr">
        <is>
          <t>9000-7-31</t>
        </is>
      </c>
      <c r="E32" s="21" t="inlineStr">
        <is>
          <t>D+45~240</t>
        </is>
      </c>
      <c r="F32" s="21" t="inlineStr">
        <is>
          <t>연약지반처리(필요시)</t>
        </is>
      </c>
      <c r="G32" s="21" t="inlineStr">
        <is>
          <t>현장 공사팀</t>
        </is>
      </c>
      <c r="H32" s="22" t="inlineStr">
        <is>
          <t>KCS 47 10 25 성토 사면 수칙 | 사면 비탈면 경사(1:1.5 이하) 측량 | 사면 다짐도 ≥ 90% 검측 &amp; 식생 거적 덮개(Jute Mat) 부설</t>
        </is>
      </c>
      <c r="I32" s="22" t="inlineStr">
        <is>
          <t>1) 성토 사면 경사(1:1.5 이하) 측량 ➔ 2) 사면 다짐도(≥ 90%) 검측 ➔ 3) 식생 거적(Jute Mat) 30cm 겹침 부설 ➔ 4) 사면 다짐 성과표 감리 승인</t>
        </is>
      </c>
      <c r="J32" s="22" t="inlineStr">
        <is>
          <t>성토 사면 비탈면 경사(1:1.5 이하) 측량, 사면 다짐도 ≥ 90% 검측 및 식생 거적(Jute Mat) 부설</t>
        </is>
      </c>
      <c r="K32" s="22" t="inlineStr">
        <is>
          <t>KCS 47 10 25 성토 사면 수칙 | 사면 비탈면 경사(1:1.5 이하) 측량 | 사면 다짐도 ≥ 90% 검측 &amp; 식생 거적 덮개(Jute Mat) 부설</t>
        </is>
      </c>
      <c r="L32" s="155">
        <f>HYPERLINK("매뉴얼BODY(집행단계-첨부폴더)v8\4.상부강화노반\31_연약지반처리(필요시)\표준서\연약지반처리_표준서.html", "👉 [클릭] 표준서 열기 📄")</f>
        <v/>
      </c>
      <c r="M32" s="22" t="inlineStr">
        <is>
          <t>1) 성토 사면 경사(1:1.5 이하) 측량 ➔ 2) 사면 다짐도(≥ 90%) 검측 ➔ 3) 식생 거적(Jute Mat) 30cm 겹침 부설 ➔ 4) 사면 다짐 성과표 감리 승인</t>
        </is>
      </c>
      <c r="N32" s="155">
        <f>HYPERLINK("매뉴얼BODY(집행단계-첨부폴더)v8\4.상부강화노반\31_연약지반처리(필요시)\수행지침\연약지반처리_수행지침.html", "👉 [클릭] 수행지침 열기 📄")</f>
        <v/>
      </c>
      <c r="O32" t="inlineStr">
        <is>
          <t>👉 [클릭] 표준서 열기 📄</t>
        </is>
      </c>
      <c r="P32" s="155">
        <f>HYPERLINK("매뉴얼BODY(집행단계-첨부폴더)v8\4.상부강화노반\31_연약지반처리(필요시)\체크리스트\연약지반처리_체크리스트.html", "👉 [클릭] 체크리스트 열기 📄")</f>
        <v/>
      </c>
      <c r="Q32" t="inlineStr">
        <is>
          <t>👉 [클릭] 수행지침 열기 📄</t>
        </is>
      </c>
      <c r="R32" s="23" t="inlineStr">
        <is>
          <t>● 개량 공법 규격 및 침하량 관리 기준 준수</t>
        </is>
      </c>
      <c r="S32" t="inlineStr">
        <is>
          <t>👉 [클릭] 체크리스트 열기 📄</t>
        </is>
      </c>
      <c r="T32" s="14" t="n"/>
    </row>
    <row r="33" ht="115.2" customHeight="1" s="148">
      <c r="A33" s="21" t="inlineStr">
        <is>
          <t>9000</t>
        </is>
      </c>
      <c r="B33" s="21" t="inlineStr">
        <is>
          <t>9000-7</t>
        </is>
      </c>
      <c r="C33" s="21" t="inlineStr">
        <is>
          <t>상부강화노반</t>
        </is>
      </c>
      <c r="D33" s="21" t="inlineStr">
        <is>
          <t>9000-7-32</t>
        </is>
      </c>
      <c r="E33" s="21" t="inlineStr">
        <is>
          <t>D+45~180</t>
        </is>
      </c>
      <c r="F33" s="21" t="inlineStr">
        <is>
          <t>절성토경계부 배수구조물(맹암거) 시공</t>
        </is>
      </c>
      <c r="G33" s="21" t="inlineStr">
        <is>
          <t>현장 공사팀</t>
        </is>
      </c>
      <c r="H33" s="22" t="inlineStr">
        <is>
          <t>KCS 47 10 25 노반 배수 시방 | U형 측구(0.4×0.4m, 버림 10cm) 부설 | 집수정 인버트 모타르 사춤, 주철 그레이팅 체결 &amp; 담수 시험</t>
        </is>
      </c>
      <c r="I33" s="22" t="inlineStr">
        <is>
          <t>1) U형 측구 기초 버림(10cm) 타설 ➔ 2) U형 측구(0.4×0.4m) 부설 &amp; 인버트 사춤 ➔ 3) 주철 그레이팅 체결 &amp; 담수 시험 ➔ 4) 배수시설 검측서 감리 승인</t>
        </is>
      </c>
      <c r="J33" s="22" t="inlineStr">
        <is>
          <t>U형 측구(0.4×0.4m, 버림 10cm) 부설, 집수정 인버트 모타르 사춤 및 주철 그레이팅 체결/담수 시험</t>
        </is>
      </c>
      <c r="K33" s="22" t="inlineStr">
        <is>
          <t>KCS 47 10 25 노반 배수 시방 | U형 측구(0.4×0.4m, 버림 10cm) 부설 | 집수정 인버트 모타르 사춤, 주철 그레이팅 체결 &amp; 담수 시험</t>
        </is>
      </c>
      <c r="L33" s="155">
        <f>HYPERLINK("매뉴얼BODY(집행단계-첨부폴더)v8\4.상부강화노반\32_절성토경계부 배수구조물(맹암거) 시공\표준서\절성토경계부 배수구조물 시공_표준서.html", "👉 [클릭] 표준서 열기 📄")</f>
        <v/>
      </c>
      <c r="M33" s="22" t="inlineStr">
        <is>
          <t>1) U형 측구 기초 버림(10cm) 타설 ➔ 2) U형 측구(0.4×0.4m) 부설 &amp; 인버트 사춤 ➔ 3) 주철 그레이팅 체결 &amp; 담수 시험 ➔ 4) 배수시설 검측서 감리 승인</t>
        </is>
      </c>
      <c r="N33" s="155">
        <f>HYPERLINK("매뉴얼BODY(집행단계-첨부폴더)v8\4.상부강화노반\32_절성토경계부 배수구조물(맹암거) 시공\수행지침\절성토경계부 배수구조물 시공_수행지침.html", "👉 [클릭] 수행지침 열기 📄")</f>
        <v/>
      </c>
      <c r="O33" t="inlineStr">
        <is>
          <t>👉 [클릭] 표준서 열기 📄</t>
        </is>
      </c>
      <c r="P33" s="155">
        <f>HYPERLINK("매뉴얼BODY(집행단계-첨부폴더)v8\4.상부강화노반\32_절성토경계부 배수구조물(맹암거) 시공\체크리스트\절성토경계부 배수구조물 시공_체크리스트.html", "👉 [클릭] 체크리스트 열기 📄")</f>
        <v/>
      </c>
      <c r="Q33" t="inlineStr">
        <is>
          <t>👉 [클릭] 수행지침 열기 📄</t>
        </is>
      </c>
      <c r="R33" s="23" t="inlineStr">
        <is>
          <t>● 맹암거 구배 및 필터재료 규격 준수</t>
        </is>
      </c>
      <c r="S33" t="inlineStr">
        <is>
          <t>👉 [클릭] 체크리스트 열기 📄</t>
        </is>
      </c>
      <c r="T33" s="14" t="n"/>
    </row>
    <row r="34" ht="115.2" customHeight="1" s="148">
      <c r="A34" s="21" t="inlineStr">
        <is>
          <t>9000</t>
        </is>
      </c>
      <c r="B34" s="21" t="inlineStr">
        <is>
          <t>9000-7</t>
        </is>
      </c>
      <c r="C34" s="21" t="inlineStr">
        <is>
          <t>상부강화노반</t>
        </is>
      </c>
      <c r="D34" s="21" t="inlineStr">
        <is>
          <t>9000-7-33</t>
        </is>
      </c>
      <c r="E34" s="21" t="inlineStr">
        <is>
          <t>D+45~180</t>
        </is>
      </c>
      <c r="F34" s="21" t="inlineStr">
        <is>
          <t>암석쌓기</t>
        </is>
      </c>
      <c r="G34" s="21" t="inlineStr">
        <is>
          <t>현장 공사팀</t>
        </is>
      </c>
      <c r="H34" s="22" t="inlineStr">
        <is>
          <t>KCS 47 10 25 완성면 관리 규정 | 통제 바리케이트(중장비 진입 100% 차단) | 미세 분무 살수(골재이탈 예방) &amp; 완성면 보호 대장 작성</t>
        </is>
      </c>
      <c r="I34" s="22" t="inlineStr">
        <is>
          <t>1) 완성면 통제 바리케이트 설치 ➔ 2) 미세 분무 살수 &amp; 비닐 덮개 야적 ➔ 3) 일일 완성면 훼손 점검 ➔ 4) 완성면 보호 점검 대장 감리 승인</t>
        </is>
      </c>
      <c r="J34" s="22" t="inlineStr">
        <is>
          <t>통제 바리케이트(중장비 진입 100% 차단), 미세 분무 살수(골재이탈 예방) 및 완성면 보호 대장 작성</t>
        </is>
      </c>
      <c r="K34" s="22" t="inlineStr">
        <is>
          <t>KCS 47 10 25 완성면 관리 규정 | 통제 바리케이트(중장비 진입 100% 차단) | 미세 분무 살수(골재이탈 예방) &amp; 완성면 보호 대장 작성</t>
        </is>
      </c>
      <c r="L34" s="155">
        <f>HYPERLINK("매뉴얼BODY(집행단계-첨부폴더)v8\4.상부강화노반\33_암석쌓기\표준서\암석쌓기_표준서.html", "👉 [클릭] 표준서 열기 📄")</f>
        <v/>
      </c>
      <c r="M34" s="22" t="inlineStr">
        <is>
          <t>1) 완성면 통제 바리케이트 설치 ➔ 2) 미세 분무 살수 &amp; 비닐 덮개 야적 ➔ 3) 일일 완성면 훼손 점검 ➔ 4) 완성면 보호 점검 대장 감리 승인</t>
        </is>
      </c>
      <c r="N34" s="155">
        <f>HYPERLINK("매뉴얼BODY(집행단계-첨부폴더)v8\4.상부강화노반\33_암석쌓기\수행지침\암석쌓기_수행지침.html", "👉 [클릭] 수행지침 열기 📄")</f>
        <v/>
      </c>
      <c r="O34" t="inlineStr">
        <is>
          <t>👉 [클릭] 표준서 열기 📄</t>
        </is>
      </c>
      <c r="P34" s="155">
        <f>HYPERLINK("매뉴얼BODY(집행단계-첨부폴더)v8\4.상부강화노반\33_암석쌓기\체크리스트\암석쌓기_체크리스트.html", "👉 [클릭] 체크리스트 열기 📄")</f>
        <v/>
      </c>
      <c r="Q34" t="inlineStr">
        <is>
          <t>👉 [클릭] 수행지침 열기 📄</t>
        </is>
      </c>
      <c r="R34" s="23" t="inlineStr">
        <is>
          <t>● 암석 최대 치수 및 공극 충전 공법 준수</t>
        </is>
      </c>
      <c r="S34" t="inlineStr">
        <is>
          <t>👉 [클릭] 체크리스트 열기 📄</t>
        </is>
      </c>
      <c r="T34" s="14" t="n"/>
    </row>
    <row r="35" ht="115.2" customHeight="1" s="148">
      <c r="A35" s="21" t="inlineStr">
        <is>
          <t>9000</t>
        </is>
      </c>
      <c r="B35" s="21" t="inlineStr">
        <is>
          <t>9000-7</t>
        </is>
      </c>
      <c r="C35" s="21" t="inlineStr">
        <is>
          <t>상부강화노반</t>
        </is>
      </c>
      <c r="D35" s="21" t="inlineStr">
        <is>
          <t>9000-7-34</t>
        </is>
      </c>
      <c r="E35" s="21" t="inlineStr">
        <is>
          <t>D+45~180</t>
        </is>
      </c>
      <c r="F35" s="21" t="inlineStr">
        <is>
          <t>방치기간 확보</t>
        </is>
      </c>
      <c r="G35" s="21" t="inlineStr">
        <is>
          <t>현장 공사팀</t>
        </is>
      </c>
      <c r="H35" s="22" t="inlineStr">
        <is>
          <t>건진법 시행규칙 공사기록 | 일일 투입 인원, 장비, 성토 물량(m³) 정밀 집계 | CSI 건설공사 관리 시스템 전산 등록 &amp; 감리 일일 직인</t>
        </is>
      </c>
      <c r="I35" s="22" t="inlineStr">
        <is>
          <t>1) 일일 인원/장비/물량 집계 ➔ 2) 품질 시험 성적 &amp; TBM 수록 ➔ 3) CSI 전산 시스템 등록 ➔ 4) 책임감리원 일일 서면 직인 결재</t>
        </is>
      </c>
      <c r="J35" s="22" t="inlineStr">
        <is>
          <t>일일 투입 인원/장비/성토 물량(m³) 집계, CSI 전산 관리 시스템 등록 및 감리 일일 서면 직인</t>
        </is>
      </c>
      <c r="K35" s="22" t="inlineStr">
        <is>
          <t>건진법 시행규칙 공사기록 | 일일 투입 인원, 장비, 성토 물량(m³) 정밀 집계 | CSI 건설공사 관리 시스템 전산 등록 &amp; 감리 일일 직인</t>
        </is>
      </c>
      <c r="L35" s="155">
        <f>HYPERLINK("매뉴얼BODY(집행단계-첨부폴더)v8\4.상부강화노반\34_방치기간 확보\표준서\방치기간 확보_표준서.html", "👉 [클릭] 표준서 열기 📄")</f>
        <v/>
      </c>
      <c r="M35" s="22" t="inlineStr">
        <is>
          <t>1) 일일 인원/장비/물량 집계 ➔ 2) 품질 시험 성적 &amp; TBM 수록 ➔ 3) CSI 전산 시스템 등록 ➔ 4) 책임감리원 일일 서면 직인 결재</t>
        </is>
      </c>
      <c r="N35" s="155">
        <f>HYPERLINK("매뉴얼BODY(집행단계-첨부폴더)v8\4.상부강화노반\34_방치기간 확보\수행지침\방치기간 확보_수행지침.html", "👉 [클릭] 수행지침 열기 📄")</f>
        <v/>
      </c>
      <c r="O35" t="inlineStr">
        <is>
          <t>👉 [클릭] 표준서 열기 📄</t>
        </is>
      </c>
      <c r="P35" s="155">
        <f>HYPERLINK("매뉴얼BODY(집행단계-첨부폴더)v8\4.상부강화노반\34_방치기간 확보\체크리스트\방치기간 확보_체크리스트.html", "👉 [클릭] 체크리스트 열기 📄")</f>
        <v/>
      </c>
      <c r="Q35" t="inlineStr">
        <is>
          <t>👉 [클릭] 수행지침 열기 📄</t>
        </is>
      </c>
      <c r="R35" s="23" t="inlineStr">
        <is>
          <t>● 노반 잔류침하량 수렴 기준 확인</t>
        </is>
      </c>
      <c r="S35" t="inlineStr">
        <is>
          <t>👉 [클릭] 체크리스트 열기 📄</t>
        </is>
      </c>
      <c r="T35" s="14" t="n"/>
    </row>
    <row r="36" ht="115.2" customHeight="1" s="148">
      <c r="A36" s="21" t="inlineStr">
        <is>
          <t>9000</t>
        </is>
      </c>
      <c r="B36" s="21" t="inlineStr">
        <is>
          <t>9000-7</t>
        </is>
      </c>
      <c r="C36" s="21" t="inlineStr">
        <is>
          <t>상부강화노반</t>
        </is>
      </c>
      <c r="D36" s="21" t="inlineStr">
        <is>
          <t>9000-7-35</t>
        </is>
      </c>
      <c r="E36" s="21" t="inlineStr">
        <is>
          <t>D+55~240</t>
        </is>
      </c>
      <c r="F36" s="21" t="inlineStr">
        <is>
          <t>토공마무리</t>
        </is>
      </c>
      <c r="G36" s="21" t="inlineStr">
        <is>
          <t>현장 공사팀</t>
        </is>
      </c>
      <c r="H36" s="22" t="inlineStr">
        <is>
          <t>건진법 &amp; KCS 47 10 25 총괄 수칙 | 공사 착수 24시간 전 검측 요청서 제출 | 책임감리원 1:1 현장 입회 &amp; 16개 체크리스트 서명 대장</t>
        </is>
      </c>
      <c r="I36" s="22" t="inlineStr">
        <is>
          <t>1) 공종별 검측요청서 24시간 전 제출 ➔ 2) 책임감리원 1:1 현장 입회 ➔ 3) 16개 체크리스트 서명 ➔ 4) 검측 총괄 승인 대장 감리 결재</t>
        </is>
      </c>
      <c r="J36" s="22" t="inlineStr">
        <is>
          <t>공사 착수 24시간 전 검측 요청서 제출, 책임감리원 1:1 현장 입회 및 16개 체크리스트 서명 대장</t>
        </is>
      </c>
      <c r="K36" s="22" t="inlineStr">
        <is>
          <t>건진법 &amp; KCS 47 10 25 총괄 수칙 | 공사 착수 24시간 전 검측 요청서 제출 | 책임감리원 1:1 현장 입회 &amp; 16개 체크리스트 서명 대장</t>
        </is>
      </c>
      <c r="L36" s="155">
        <f>HYPERLINK("매뉴얼BODY(집행단계-첨부폴더)v8\4.상부강화노반\35_토공마무리\표준서\토공마무리_표준서.html", "👉 [클릭] 표준서 열기 📄")</f>
        <v/>
      </c>
      <c r="M36" s="22" t="inlineStr">
        <is>
          <t>1) 공종별 검측요청서 24시간 전 제출 ➔ 2) 책임감리원 1:1 현장 입회 ➔ 3) 16개 체크리스트 서명 ➔ 4) 검측 총괄 승인 대장 감리 결재</t>
        </is>
      </c>
      <c r="N36" s="155">
        <f>HYPERLINK("매뉴얼BODY(집행단계-첨부폴더)v8\4.상부강화노반\35_토공마무리\수행지침\토공마무리_수행지침.html", "👉 [클릭] 수행지침 열기 📄")</f>
        <v/>
      </c>
      <c r="O36" t="inlineStr">
        <is>
          <t>👉 [클릭] 표준서 열기 📄</t>
        </is>
      </c>
      <c r="P36" s="155">
        <f>HYPERLINK("매뉴얼BODY(집행단계-첨부폴더)v8\4.상부강화노반\35_토공마무리\체크리스트\토공마무리_체크리스트.html", "👉 [클릭] 체크리스트 열기 📄")</f>
        <v/>
      </c>
      <c r="Q36" t="inlineStr">
        <is>
          <t>👉 [클릭] 수행지침 열기 📄</t>
        </is>
      </c>
      <c r="R36" s="23" t="inlineStr">
        <is>
          <t>● 설계 종횡단 경사 및 평탄성 만족</t>
        </is>
      </c>
      <c r="S36" t="inlineStr">
        <is>
          <t>👉 [클릭] 체크리스트 열기 📄</t>
        </is>
      </c>
      <c r="T36" s="14" t="n"/>
    </row>
    <row r="37" ht="96" customHeight="1" s="148">
      <c r="A37" s="21" t="inlineStr">
        <is>
          <t>9000</t>
        </is>
      </c>
      <c r="B37" s="21" t="inlineStr">
        <is>
          <t>9000-7</t>
        </is>
      </c>
      <c r="C37" s="21" t="inlineStr">
        <is>
          <t>상부강화노반</t>
        </is>
      </c>
      <c r="D37" s="21" t="inlineStr">
        <is>
          <t>9000-7-36</t>
        </is>
      </c>
      <c r="E37" s="21" t="inlineStr">
        <is>
          <t>D+55~240</t>
        </is>
      </c>
      <c r="F37" s="21" t="inlineStr">
        <is>
          <t>토공 마무리면 인계</t>
        </is>
      </c>
      <c r="G37" s="21" t="inlineStr">
        <is>
          <t>현장 공사팀</t>
        </is>
      </c>
      <c r="H37" s="22" t="inlineStr">
        <is>
          <t>KCS 47 10 25 최종 인계인수 | 토공-궤도-감리 3자 합동 현측(표고 ±10mm, K30 ≥ 110) | 인계인수 합의서 서명 및 노반 완공 통보</t>
        </is>
      </c>
      <c r="I37" s="22" t="inlineStr">
        <is>
          <t>1) 3자(토공-궤도-감리) 합동 현측 ➔ 2) 표고(±10mm) &amp; K30(≥110) 재검측 ➔ 3) 인계인수 합의서 3자 서명 ➔ 4) 상부강화노반 최종 완공 통보</t>
        </is>
      </c>
      <c r="J37" s="22" t="inlineStr">
        <is>
          <t>토공-궤도-감리 3자 합동 현측(표고 ±10mm, K30 ≥ 110), 인계인수 합의서 서명 및 완공 통보</t>
        </is>
      </c>
      <c r="K37" s="22" t="inlineStr">
        <is>
          <t>KCS 47 10 25 최종 인계인수 | 토공-궤도-감리 3자 합동 현측(표고 ±10mm, K30 ≥ 110) | 인계인수 합의서 서명 및 노반 완공 통보</t>
        </is>
      </c>
      <c r="L37" s="155">
        <f>HYPERLINK("매뉴얼BODY(집행단계-첨부폴더)v8\4.상부강화노반\36_토공 마무리면 인계\표준서\토공 마무리면 인계_표준서.html", "👉 [클릭] 표준서 열기 📄")</f>
        <v/>
      </c>
      <c r="M37" s="22" t="inlineStr">
        <is>
          <t>1) 3자(토공-궤도-감리) 합동 현측 ➔ 2) 표고(±10mm) &amp; K30(≥110) 재검측 ➔ 3) 인계인수 합의서 3자 서명 ➔ 4) 상부강화노반 최종 완공 통보</t>
        </is>
      </c>
      <c r="N37" s="155">
        <f>HYPERLINK("매뉴얼BODY(집행단계-첨부폴더)v8\4.상부강화노반\36_토공 마무리면 인계\수행지침\토공 마무리면 인계_수행지침.html", "👉 [클릭] 수행지침 열기 📄")</f>
        <v/>
      </c>
      <c r="O37" t="inlineStr">
        <is>
          <t>👉 [클릭] 표준서 열기 📄</t>
        </is>
      </c>
      <c r="P37" s="155">
        <f>HYPERLINK("매뉴얼BODY(집행단계-첨부폴더)v8\4.상부강화노반\36_토공 마무리면 인계\체크리스트\토공 마무리면 인계_체크리스트.html", "👉 [클릭] 체크리스트 열기 📄")</f>
        <v/>
      </c>
      <c r="Q37" t="inlineStr">
        <is>
          <t>👉 [클릭] 수행지침 열기 📄</t>
        </is>
      </c>
      <c r="R37" s="23" t="inlineStr">
        <is>
          <t>● 후속 공종 인도 기준 오차 관리</t>
        </is>
      </c>
      <c r="S37" t="inlineStr">
        <is>
          <t>👉 [클릭] 체크리스트 열기 📄</t>
        </is>
      </c>
      <c r="T37" s="14" t="n"/>
    </row>
  </sheetData>
  <printOptions horizontalCentered="1"/>
  <pageMargins left="0.7480314960629921" right="0.7480314960629921" top="0.984251968503937" bottom="0.984251968503937" header="0.5118110236220472" footer="0.5118110236220472"/>
  <pageSetup orientation="landscape" paperSize="8" scale="34" verticalDpi="0"/>
</worksheet>
</file>

<file path=xl/worksheets/sheet8.xml><?xml version="1.0" encoding="utf-8"?>
<worksheet xmlns="http://schemas.openxmlformats.org/spreadsheetml/2006/main">
  <sheetPr codeName="Sheet5">
    <tabColor rgb="FFFFFF00"/>
    <outlinePr summaryBelow="1" summaryRight="1"/>
    <pageSetUpPr/>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baseColWidth="8" defaultColWidth="11.8984375" defaultRowHeight="19.2"/>
  <cols>
    <col width="11.8984375" customWidth="1" style="3" min="1" max="3"/>
    <col width="15" customWidth="1" style="4" min="4" max="4"/>
    <col width="14.3984375" customWidth="1" style="5" min="5" max="5"/>
    <col width="17.19921875" customWidth="1" style="4" min="6" max="6"/>
    <col width="14.3984375" customWidth="1" style="4" min="7" max="7"/>
    <col width="24.19921875" customWidth="1" style="3" min="8" max="8"/>
    <col width="79.09765625" customWidth="1" style="4" min="9" max="9"/>
    <col width="19.8984375" customWidth="1" style="4" min="10" max="10"/>
    <col width="39.59765625" customWidth="1" style="3" min="11" max="11"/>
    <col width="11.8984375" customWidth="1" style="3" min="12" max="12"/>
    <col width="40.8984375" customWidth="1" style="3" min="13" max="13"/>
    <col width="11.59765625" customWidth="1" style="3" min="14" max="14"/>
    <col width="32.796875" bestFit="1" customWidth="1" style="3" min="15" max="15"/>
    <col width="12.296875" customWidth="1" style="148" min="16" max="16"/>
    <col hidden="1" width="11.8984375" customWidth="1" style="3" min="17" max="17"/>
    <col width="11.8984375" customWidth="1" style="148" min="18" max="19"/>
    <col width="11.8984375" customWidth="1" style="3" min="20" max="52"/>
    <col width="11.8984375" customWidth="1" style="3" min="53" max="16384"/>
  </cols>
  <sheetData>
    <row r="1" ht="46.8" customHeight="1" s="148">
      <c r="A1" s="7" t="inlineStr">
        <is>
          <t>L2 코드</t>
        </is>
      </c>
      <c r="B1" s="7" t="inlineStr">
        <is>
          <t>L3 코드</t>
        </is>
      </c>
      <c r="C1" s="7" t="inlineStr">
        <is>
          <t>L3 대공종명</t>
        </is>
      </c>
      <c r="D1" s="7" t="inlineStr">
        <is>
          <t>L4 코드</t>
        </is>
      </c>
      <c r="E1" s="7" t="inlineStr">
        <is>
          <t>일정 (D-Day)</t>
        </is>
      </c>
      <c r="F1" s="7" t="inlineStr">
        <is>
          <t>작업단위 (Level 4 Task/Activity)</t>
        </is>
      </c>
      <c r="G1" s="7" t="inlineStr">
        <is>
          <t>주관</t>
        </is>
      </c>
      <c r="H1" s="7" t="inlineStr">
        <is>
          <t>목적</t>
        </is>
      </c>
      <c r="I1" s="7" t="inlineStr">
        <is>
          <t>방법</t>
        </is>
      </c>
      <c r="J1" s="7" t="inlineStr">
        <is>
          <t>산출물(결과)</t>
        </is>
      </c>
      <c r="K1" s="7" t="inlineStr">
        <is>
          <t>표준서 (Standard) 요약</t>
        </is>
      </c>
      <c r="L1" s="6" t="inlineStr">
        <is>
          <t>표준서 파일 (HTML)</t>
        </is>
      </c>
      <c r="M1" s="7" t="inlineStr">
        <is>
          <t>수행지침 (Guideline) 요약</t>
        </is>
      </c>
      <c r="N1" s="6" t="inlineStr">
        <is>
          <t>수행지침 파일 (HTML)</t>
        </is>
      </c>
      <c r="O1" s="7" t="inlineStr">
        <is>
          <t>체크리스트 (Checklist) 요약</t>
        </is>
      </c>
      <c r="P1" s="8" t="inlineStr">
        <is>
          <t>체크리스트 파일 (HTML)</t>
        </is>
      </c>
      <c r="Q1" s="9" t="inlineStr">
        <is>
          <t>비고</t>
        </is>
      </c>
      <c r="R1" s="9" t="inlineStr">
        <is>
          <t>첨부서류 연계 상세 설계기준</t>
        </is>
      </c>
      <c r="S1" s="9" t="inlineStr">
        <is>
          <t>집행단계 리스크 체크리스트</t>
        </is>
      </c>
      <c r="T1" s="9" t="inlineStr">
        <is>
          <t>협력사 시공/공사관리 자문</t>
        </is>
      </c>
    </row>
    <row r="2" ht="96" customHeight="1" s="148">
      <c r="A2" s="13" t="inlineStr">
        <is>
          <t>9000</t>
        </is>
      </c>
      <c r="B2" s="13" t="inlineStr">
        <is>
          <t>9000-6</t>
        </is>
      </c>
      <c r="C2" s="41" t="inlineStr">
        <is>
          <t>콘크리트도상분야</t>
        </is>
      </c>
      <c r="D2" s="13" t="inlineStr">
        <is>
          <t>9000-6-1</t>
        </is>
      </c>
      <c r="E2" s="13" t="inlineStr">
        <is>
          <t>D-120 (D-150~D-120)</t>
        </is>
      </c>
      <c r="F2" s="13" t="inlineStr">
        <is>
          <t>설계적정성 검토</t>
        </is>
      </c>
      <c r="G2" s="13" t="inlineStr">
        <is>
          <t>현장소장</t>
        </is>
      </c>
      <c r="H2" s="14" t="inlineStr">
        <is>
          <t>노반부/궤도부 선형 및 종단 일치 등 설계오류 및 누락 확인</t>
        </is>
      </c>
      <c r="I2" s="14" t="inlineStr">
        <is>
          <t>노반부/궤도부 선형 및 종단 도면 및 설계 자료 비교 검토 실시
- 궤도 부속자재(체결구, 침목 등) 소요비 비용 설계반영 확인
- 유사시공사례 Case Study
- 지원: 본사담당팀(설계/수행/품질/외주)</t>
        </is>
      </c>
      <c r="J2" s="14" t="inlineStr">
        <is>
          <t>설계도면 검토서, 선형대조표</t>
        </is>
      </c>
      <c r="K2" s="14" t="inlineStr">
        <is>
          <t>KDS 47 30 00 궤도 설계기준 및 국토교통부 트램 건설 규칙을 엄격히 준수한다. 노반부-궤도부 선형 및 종단 계획고 일치 오차 0mm 검토.</t>
        </is>
      </c>
      <c r="L2" s="155">
        <f>HYPERLINK("매뉴얼BODY(집행단계-첨부폴더)v8\5.콘크리트도상\1_설계적정성 검토\표준서\설계적정성 검토_표준서.html", "👉 [클릭] 표준서 열기 📄")</f>
        <v/>
      </c>
      <c r="M2" s="14" t="inlineStr">
        <is>
          <t>1) 하부 HBS 강화노반 지지력(K70 ≥ 150 MPa/m) 및 평탄성 사전 검측 확인
2) 궤도 정밀 검측: 궤간(1435mm), 캔트(±2mm), 수평(±2mm), 고저(±2mm/10m), 비틀림(1.5mm/3m) 실시간 검측</t>
        </is>
      </c>
      <c r="N2" s="155">
        <f>HYPERLINK("매뉴얼BODY(집행단계-첨부폴더)v8\5.콘크리트도상\1_설계적정성 검토\수행지침\설계적정성 검토_수행지침.html", "👉 [클릭] 수행지침 열기 📄")</f>
        <v/>
      </c>
      <c r="O2" s="14" t="inlineStr">
        <is>
          <t>설계 도면 간섭 검속, 궤도 중심선 계획 표고 대조, 종단 구배 한계치 준수 확인</t>
        </is>
      </c>
      <c r="P2" s="155">
        <f>HYPERLINK("매뉴얼BODY(집행단계-첨부폴더)v8\5.콘크리트도상\1_설계적정성 검토\체크리스트\설계적정성 검토_체크리스트.html", "👉 [클릭] 체크리스트 열기 📄")</f>
        <v/>
      </c>
      <c r="Q2" s="13" t="n"/>
      <c r="R2" s="14" t="inlineStr">
        <is>
          <t>● 노반부 및 궤도 선형 기하학적 설계 기준 일치성</t>
        </is>
      </c>
      <c r="S2" s="17" t="inlineStr">
        <is>
          <t>1) 👉 [더블클릭] 체크리스트 열기 📄</t>
        </is>
      </c>
      <c r="T2" s="14" t="n"/>
    </row>
    <row r="3" ht="96" customHeight="1" s="148">
      <c r="A3" s="13" t="inlineStr">
        <is>
          <t>9000</t>
        </is>
      </c>
      <c r="B3" s="13" t="inlineStr">
        <is>
          <t>9000-6</t>
        </is>
      </c>
      <c r="C3" s="41" t="inlineStr">
        <is>
          <t>콘크리트도상분야</t>
        </is>
      </c>
      <c r="D3" s="13" t="inlineStr">
        <is>
          <t>9000-6-2</t>
        </is>
      </c>
      <c r="E3" s="13" t="inlineStr">
        <is>
          <t>D-100 (D-120~D-100)</t>
        </is>
      </c>
      <c r="F3" s="13" t="inlineStr">
        <is>
          <t>자재 야적장 선정</t>
        </is>
      </c>
      <c r="G3" s="13" t="inlineStr">
        <is>
          <t>현장 공무팀</t>
        </is>
      </c>
      <c r="H3" s="14" t="inlineStr">
        <is>
          <t>콘크리트도상 시공에 필요한 침목, 체결구 등 자재야적 부지 선정</t>
        </is>
      </c>
      <c r="I3" s="14" t="inlineStr">
        <is>
          <t>- 야적장소는 반입자재 및 노반 구조물 파손 방지를 위해 연약지반, 방호벽의 침하 예상부위를 피해서 선정
- 타 분야(전철전력, 송변전, 건축, 신호통신) 간섭사항을 고려하여 동선이 겹치지 않도록 선정</t>
        </is>
      </c>
      <c r="J3" s="14" t="inlineStr">
        <is>
          <t>부지사용계약서, 가설야적장 평면도</t>
        </is>
      </c>
      <c r="K3" s="14" t="inlineStr">
        <is>
          <t>침목, 체결구, 홈레일 등 궤도 주요 자재의 현장 보관 기준 수립. 배수 경사 2% 및 지반 다짐도 95% 이상 야적장 확보.</t>
        </is>
      </c>
      <c r="L3" s="155">
        <f>HYPERLINK("매뉴얼BODY(집행단계-첨부폴더)v8\5.콘크리트도상\2_자재 야적장 선정\표준서\자재 야적장 선정_표준서.html", "👉 [클릭] 표준서 열기 📄")</f>
        <v/>
      </c>
      <c r="M3" s="14" t="inlineStr">
        <is>
          <t>1) 야적 부지 지반재하시험(K70 ≥ 150 MPa/m)을 실시하여 하중 침하 여부 사전 검증
2) 장대레일 운반 트레일러(길이 30m 이상) 회전반경 및 크레인 인양 진입로 확보</t>
        </is>
      </c>
      <c r="N3" s="155">
        <f>HYPERLINK("매뉴얼BODY(집행단계-첨부폴더)v8\5.콘크리트도상\2_자재 야적장 선정\수행지침\자재 야적장 선정_수행지침.html", "👉 [클릭] 수행지침 열기 📄")</f>
        <v/>
      </c>
      <c r="O3" s="14" t="inlineStr">
        <is>
          <t>야적장 지반 다짐도 95% 이상, 배수 경사 2% 이상 확보, 자재 천막 덮개 구비</t>
        </is>
      </c>
      <c r="P3" s="155">
        <f>HYPERLINK("매뉴얼BODY(집행단계-첨부폴더)v8\5.콘크리트도상\2_자재 야적장 선정\체크리스트\자재 야적장 선정_체크리스트.html", "👉 [클릭] 체크리스트 열기 📄")</f>
        <v/>
      </c>
      <c r="Q3" s="13" t="n"/>
      <c r="R3" s="14" t="inlineStr">
        <is>
          <t>● 궤도 자재의 환경 보호 및 보관 관리 지침</t>
        </is>
      </c>
      <c r="S3" s="17" t="inlineStr">
        <is>
          <t>1) 👉 [더블클릭] 체크리스트 열기 📄</t>
        </is>
      </c>
      <c r="T3" s="14" t="n"/>
    </row>
    <row r="4" ht="96" customHeight="1" s="148">
      <c r="A4" s="13" t="inlineStr">
        <is>
          <t>9000</t>
        </is>
      </c>
      <c r="B4" s="13" t="inlineStr">
        <is>
          <t>9000-6</t>
        </is>
      </c>
      <c r="C4" s="41" t="inlineStr">
        <is>
          <t>콘크리트도상분야</t>
        </is>
      </c>
      <c r="D4" s="13" t="inlineStr">
        <is>
          <t>9000-6-3</t>
        </is>
      </c>
      <c r="E4" s="13" t="inlineStr">
        <is>
          <t>D-100 (D-120~D-100)</t>
        </is>
      </c>
      <c r="F4" s="13" t="inlineStr">
        <is>
          <t>레일 용접장 선정</t>
        </is>
      </c>
      <c r="G4" s="13" t="inlineStr">
        <is>
          <t>현장 공무팀</t>
        </is>
      </c>
      <c r="H4" s="14" t="inlineStr">
        <is>
          <t>정척레일 15본을 용접하여 200m 이상의 장대레일 제작하는 작업장을 선정 (타분야 인터페이스 고려)</t>
        </is>
      </c>
      <c r="I4" s="14" t="inlineStr">
        <is>
          <t>- 용접기 설치, 정척레일 및 장대레일 보관장소를 고려, 최소 400m 이상의 공간을 확보하고 장대레일 분출 범위를 고려, 본선 용접장 선정
- 타 분야(전철전력, 송변전, 건축, 신호통신) 인터페이스 간섭사항 고려</t>
        </is>
      </c>
      <c r="J4" s="14" t="inlineStr">
        <is>
          <t>용접장 임시지정서, NDT 검사실 계획서</t>
        </is>
      </c>
      <c r="K4" s="14" t="inlineStr">
        <is>
          <t>EN 14730 테르밋 및 EN 14587 가스압접 용접을 위한 작업 공간 확보. 정척레일(25m)을 200m 장대로 용접하는 평탄 작업대 수평 오차 ±1mm 이내 확보.</t>
        </is>
      </c>
      <c r="L4" s="155">
        <f>HYPERLINK("매뉴얼BODY(집행단계-첨부폴더)v8\5.콘크리트도상\3_레일 용접장 선정\표준서\레일 용접장 선정_표준서.html", "👉 [클릭] 표준서 열기 📄")</f>
        <v/>
      </c>
      <c r="M4" s="14" t="inlineStr">
        <is>
          <t>1) m 장대레일 일직선 이송을 위한 롤러대 기반 수평 정밀 측량 (오차 ±0.5mm/10m 이내)
2) 가스압접/플래시버트 용접용 대용량 전력 및 아세틸렌/산소 가스 안전 저장소 확보</t>
        </is>
      </c>
      <c r="N4" s="155">
        <f>HYPERLINK("매뉴얼BODY(집행단계-첨부폴더)v8\5.콘크리트도상\3_레일 용접장 선정\수행지침\레일 용접장 선정_수행지침.html", "👉 [클릭] 수행지침 열기 📄")</f>
        <v/>
      </c>
      <c r="O4" s="14" t="inlineStr">
        <is>
          <t>용접장 평탄성 오차 ±1mm 이내, 전력 공급 및 방풍 시설 완비, NDT(비파괴) 대기 공간 확보</t>
        </is>
      </c>
      <c r="P4" s="155">
        <f>HYPERLINK("매뉴얼BODY(집행단계-첨부폴더)v8\5.콘크리트도상\3_레일 용접장 선정\체크리스트\레일 용접장 선정_체크리스트.html", "👉 [클릭] 체크리스트 열기 📄")</f>
        <v/>
      </c>
      <c r="Q4" s="13" t="n"/>
      <c r="R4" s="14" t="inlineStr">
        <is>
          <t>● 장대레일 제작장 확보 및 공간 레이아웃 만족</t>
        </is>
      </c>
      <c r="S4" s="17" t="inlineStr">
        <is>
          <t>1) 👉 [더블클릭] 체크리스트 열기 📄</t>
        </is>
      </c>
      <c r="T4" s="14" t="n"/>
    </row>
    <row r="5" ht="134.4" customHeight="1" s="148">
      <c r="A5" s="13" t="inlineStr">
        <is>
          <t>9000</t>
        </is>
      </c>
      <c r="B5" s="13" t="inlineStr">
        <is>
          <t>9000-6</t>
        </is>
      </c>
      <c r="C5" s="41" t="inlineStr">
        <is>
          <t>콘크리트도상분야</t>
        </is>
      </c>
      <c r="D5" s="13" t="inlineStr">
        <is>
          <t>9000-6-4</t>
        </is>
      </c>
      <c r="E5" s="13" t="inlineStr">
        <is>
          <t>D-90 (D-120~D-90)</t>
        </is>
      </c>
      <c r="F5" s="13" t="inlineStr">
        <is>
          <t>발주전략 KOM</t>
        </is>
      </c>
      <c r="G5" s="13" t="inlineStr">
        <is>
          <t>현장 공무팀</t>
        </is>
      </c>
      <c r="H5" s="14" t="inlineStr">
        <is>
          <t>궤도공사 발주전략 수립 / 발주조건 CP적합 여부 검토</t>
        </is>
      </c>
      <c r="I5" s="14" t="inlineStr">
        <is>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is>
      </c>
      <c r="J5" s="14" t="inlineStr">
        <is>
          <t>KOM 의사록, 품질 보증 합의서</t>
        </is>
      </c>
      <c r="K5" s="14" t="inlineStr">
        <is>
          <t>KCS 47 30 00 시방 기준 준수. 궤도 자재 품질 확인서 및 외산 홈레일 조달 리스크 대응 전략 수립.</t>
        </is>
      </c>
      <c r="L5" s="155">
        <f>HYPERLINK("매뉴얼BODY(집행단계-첨부폴더)v8\5.콘크리트도상\4_발주전략 KOM\표준서\발주전략 KOM_표준서.html", "👉 [클릭] 표준서 열기 📄")</f>
        <v/>
      </c>
      <c r="M5" s="14" t="inlineStr">
        <is>
          <t>1) 제조사 공장검사(FAT) 항목 및 궤도 정밀 검측 공차 기준 전파
2) KDS 47 30 00 및 KS 규격 만족 자재 목록 및 세부 발주 물량 확정</t>
        </is>
      </c>
      <c r="N5" s="155">
        <f>HYPERLINK("매뉴얼BODY(집행단계-첨부폴더)v8\5.콘크리트도상\4_발주전략 KOM\수행지침\발주전략 KOM_수행지침.html", "👉 [클릭] 수행지침 열기 📄")</f>
        <v/>
      </c>
      <c r="O5" s="14" t="inlineStr">
        <is>
          <t>품질 요구조건 특기시방서 의결, 외산 홈레일 선적일정 검토, 자재 인도 시점 확약</t>
        </is>
      </c>
      <c r="P5" s="155">
        <f>HYPERLINK("매뉴얼BODY(집행단계-첨부폴더)v8\5.콘크리트도상\4_발주전략 KOM\체크리스트\발주전략 KOM_체크리스트.html", "👉 [클릭] 체크리스트 열기 📄")</f>
        <v/>
      </c>
      <c r="Q5" s="13" t="n"/>
      <c r="R5" s="14" t="inlineStr">
        <is>
          <t>● 본사 외주/수행 부서 및 토목견적팀 협의 지침 준수</t>
        </is>
      </c>
      <c r="S5" s="17" t="inlineStr">
        <is>
          <t>1) 👉 [더블클릭] 체크리스트 열기 📄</t>
        </is>
      </c>
      <c r="T5" s="14" t="n"/>
    </row>
    <row r="6" ht="96" customHeight="1" s="148">
      <c r="A6" s="13" t="inlineStr">
        <is>
          <t>9000</t>
        </is>
      </c>
      <c r="B6" s="13" t="inlineStr">
        <is>
          <t>9000-6</t>
        </is>
      </c>
      <c r="C6" s="41" t="inlineStr">
        <is>
          <t>콘크리트도상분야</t>
        </is>
      </c>
      <c r="D6" s="13" t="inlineStr">
        <is>
          <t>9000-6-5</t>
        </is>
      </c>
      <c r="E6" s="13" t="inlineStr">
        <is>
          <t>D-60 (D-90~D-60)</t>
        </is>
      </c>
      <c r="F6" s="13" t="inlineStr">
        <is>
          <t>최고의 팀 만들기 지원</t>
        </is>
      </c>
      <c r="G6" s="13" t="inlineStr">
        <is>
          <t>외주관리팀</t>
        </is>
      </c>
      <c r="H6" s="14" t="inlineStr">
        <is>
          <t>우수 협력사 및 작업반 선정</t>
        </is>
      </c>
      <c r="I6" s="14" t="inlineStr">
        <is>
          <t>- 동일 환경조건 시공경험 보유 여부 검토
- 투입인원 경력, 현장이해도, 관리역량, 파트너 업체 검증</t>
        </is>
      </c>
      <c r="J6" s="14" t="inlineStr">
        <is>
          <t>협력사 적격성 심사표, 노무안전서약철</t>
        </is>
      </c>
      <c r="K6" s="14" t="inlineStr">
        <is>
          <t>EN ISO 9606-1 용접 자격자 및 궤도 정밀 검측원(Track Master 운용원) 확보 심사 기준.</t>
        </is>
      </c>
      <c r="L6" s="155">
        <f>HYPERLINK("매뉴얼BODY(집행단계-첨부폴더)v8\5.콘크리트도상\5_최고의 팀 만들기 지원\표준서\최고의 팀 만들기 지원_표준서.html", "👉 [클릭] 표준서 열기 📄")</f>
        <v/>
      </c>
      <c r="M6" s="14" t="inlineStr">
        <is>
          <t>1) EN ISO 14730 용접원 자격증 및 광학 측량 기술자 자격 검증
2) 스핀들 게이지 조정, 캔트 달성구배, 테르밋 산화반응 제어 사전 모의 훈련</t>
        </is>
      </c>
      <c r="N6" s="155">
        <f>HYPERLINK("매뉴얼BODY(집행단계-첨부폴더)v8\5.콘크리트도상\5_최고의 팀 만들기 지원\수행지침\최고의 팀 만들기 지원_수행지침.html", "👉 [클릭] 수행지침 열기 📄")</f>
        <v/>
      </c>
      <c r="O6" s="14" t="inlineStr">
        <is>
          <t>용접공 자격증 원본 대조, 정밀 검측 장비 검교정 확인, 궤도 전문 기술사 면허 검토</t>
        </is>
      </c>
      <c r="P6" s="155">
        <f>HYPERLINK("매뉴얼BODY(집행단계-첨부폴더)v8\5.콘크리트도상\5_최고의 팀 만들기 지원\체크리스트\최고의 팀 만들기 지원_체크리스트.html", "👉 [클릭] 체크리스트 열기 📄")</f>
        <v/>
      </c>
      <c r="Q6" s="13" t="n"/>
      <c r="R6" s="14" t="inlineStr">
        <is>
          <t>● 협력업체 역량 평가 및 등록 관리 기준 만족</t>
        </is>
      </c>
      <c r="S6" s="17" t="inlineStr">
        <is>
          <t>1) 👉 [더블클릭] 체크리스트 열기 📄</t>
        </is>
      </c>
      <c r="T6" s="14" t="n"/>
    </row>
    <row r="7" ht="76.8" customHeight="1" s="148">
      <c r="A7" s="13" t="inlineStr">
        <is>
          <t>9000</t>
        </is>
      </c>
      <c r="B7" s="13" t="inlineStr">
        <is>
          <t>9000-6</t>
        </is>
      </c>
      <c r="C7" s="41" t="inlineStr">
        <is>
          <t>콘크리트도상분야</t>
        </is>
      </c>
      <c r="D7" s="13" t="inlineStr">
        <is>
          <t>9000-6-6</t>
        </is>
      </c>
      <c r="E7" s="13" t="inlineStr">
        <is>
          <t>D-70 (D-70~D-60)</t>
        </is>
      </c>
      <c r="F7" s="13" t="inlineStr">
        <is>
          <t>콘크리트 타설방법/계획 검토</t>
        </is>
      </c>
      <c r="G7" s="13" t="inlineStr">
        <is>
          <t>현장 공사팀</t>
        </is>
      </c>
      <c r="H7" s="14" t="inlineStr">
        <is>
          <t>현장여건에 따른 구간/위치별 적정 타설방법 및 계획 검토</t>
        </is>
      </c>
      <c r="I7" s="14" t="inlineStr">
        <is>
          <t>- 펌프카 타설: 공간이 넓거나, 교량 하부에서 타설이 가능한 경우 적용
- 압송관 타설: 교량이나 터널 (L=300~500m)에 적합
- 개조장비 타설: 개조 믹서트럭을 이용하여 타설</t>
        </is>
      </c>
      <c r="J7" s="14" t="inlineStr">
        <is>
          <t>콘크리트 타설공정 계획서, 펌프카 배치도</t>
        </is>
      </c>
      <c r="K7" s="14" t="inlineStr">
        <is>
          <t>KCS 47 30 00 콘크리트 궤도 시방 준수. 펌프카 타설압력에 의한 궤광 변위 방지 지지 계획 수립.</t>
        </is>
      </c>
      <c r="L7" s="155">
        <f>HYPERLINK("매뉴얼BODY(집행단계-첨부폴더)v8\5.콘크리트도상\6_콘크리트 타설방법_계획 검토\표준서\콘크리트 타설방법_계획 검토_표준서.html", "👉 [클릭] 표준서 열기 📄")</f>
        <v/>
      </c>
      <c r="M7" s="14" t="inlineStr">
        <is>
          <t>1) TCL 콘크리트(f_ck ≥ 30 MPa) 및 PST 충전재(f_ck ≥ 45 MPa) 배합 성적서 확인
2) 레미콘 운반시간(60분 이내) 및 펌프카 배치 공간 사전 확보</t>
        </is>
      </c>
      <c r="N7" s="155">
        <f>HYPERLINK("매뉴얼BODY(집행단계-첨부폴더)v8\5.콘크리트도상\6_콘크리트 타설방법_계획 검토\수행지침\콘크리트 타설방법_계획 검토_수행지침.html", "👉 [클릭] 수행지침 열기 📄")</f>
        <v/>
      </c>
      <c r="O7" s="14" t="inlineStr">
        <is>
          <t>구간별 펌프카 배치도 작성, 타설 시 궤광 고정 잭 지지 계획 승인, 콘크리트 슬럼프 품질 확인</t>
        </is>
      </c>
      <c r="P7" s="155">
        <f>HYPERLINK("매뉴얼BODY(집행단계-첨부폴더)v8\5.콘크리트도상\6_콘크리트 타설방법_계획 검토\체크리스트\콘크리트 타설방법_계획 검토_체크리스트.html", "👉 [클릭] 체크리스트 열기 📄")</f>
        <v/>
      </c>
      <c r="Q7" s="13" t="n"/>
      <c r="R7" s="14" t="inlineStr">
        <is>
          <t>● 콘크리트 연속타설 및 콜드조인트 방지 기준</t>
        </is>
      </c>
      <c r="S7" s="17" t="inlineStr">
        <is>
          <t>1) 👉 [더블클릭] 체크리스트 열기 📄</t>
        </is>
      </c>
      <c r="T7" s="14" t="n"/>
    </row>
    <row r="8" ht="219.6" customHeight="1" s="148">
      <c r="A8" s="13" t="inlineStr">
        <is>
          <t>9000</t>
        </is>
      </c>
      <c r="B8" s="13" t="inlineStr">
        <is>
          <t>9000-6</t>
        </is>
      </c>
      <c r="C8" s="41" t="inlineStr">
        <is>
          <t>콘크리트도상분야</t>
        </is>
      </c>
      <c r="D8" s="13" t="inlineStr">
        <is>
          <t>9000-6-7</t>
        </is>
      </c>
      <c r="E8" s="13" t="inlineStr">
        <is>
          <t>D-60</t>
        </is>
      </c>
      <c r="F8" s="13" t="inlineStr">
        <is>
          <t>작수전 Big Room 회의</t>
        </is>
      </c>
      <c r="G8" s="13" t="inlineStr">
        <is>
          <t>현장소장</t>
        </is>
      </c>
      <c r="H8" s="14" t="inlineStr">
        <is>
          <t>궤도공사 수행 시 공정계획 수립 / 수행 시 예상가능한 Risk 검토</t>
        </is>
      </c>
      <c r="I8" s="14" t="inlineStr">
        <is>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is>
      </c>
      <c r="J8" s="14" t="inlineStr">
        <is>
          <t>빅룸 회의록, 인터페이스 대장</t>
        </is>
      </c>
      <c r="K8" s="14" t="inlineStr">
        <is>
          <t>노반-궤도 간 인터페이스, 신호 루프 센서 및 누설 전류(Stray Current) 부식 방지 디오드 접지선 매설 계획 의결.</t>
        </is>
      </c>
      <c r="L8" s="155">
        <f>HYPERLINK("매뉴얼BODY(집행단계-첨부폴더)v8\5.콘크리트도상\7_작수전 Big Room 회의\표준서\작수전 Big Room 회의_표준서.html", "👉 [클릭] 표준서 열기 📄")</f>
        <v/>
      </c>
      <c r="M8" s="14" t="inlineStr">
        <is>
          <t>1) 노반-궤도 인수인계 높이 공차 및 신호 루프센서 위치 취합
2) 도로 매설 궤도 표면과 도로 포장 표면 마감 높이 일치성 확정</t>
        </is>
      </c>
      <c r="N8" s="155">
        <f>HYPERLINK("매뉴얼BODY(집행단계-첨부폴더)v8\5.콘크리트도상\7_작수전 Big Room 회의\수행지침\작수전 Big Room 회의_수행지침.html", "👉 [클릭] 수행지침 열기 📄")</f>
        <v/>
      </c>
      <c r="O8" s="14" t="inlineStr">
        <is>
          <t>신호 센서 매설 위치 철근 간섭 해결, 접지선 용접부 연속성 확인, 부서 합동 서명 날인</t>
        </is>
      </c>
      <c r="P8" s="155">
        <f>HYPERLINK("매뉴얼BODY(집행단계-첨부폴더)v8\5.콘크리트도상\7_작수전 Big Room 회의\체크리스트\작수전 Big Room 회의_체크리스트.html", "👉 [클릭] 체크리스트 열기 📄")</f>
        <v/>
      </c>
      <c r="Q8" s="13" t="n"/>
      <c r="R8" s="14" t="inlineStr">
        <is>
          <t>● 유관 공종(토목, 전기, 신호) 인터페이스 검토</t>
        </is>
      </c>
      <c r="S8" s="17" t="inlineStr">
        <is>
          <t>1) 👉 [더블클릭] 체크리스트 열기 📄</t>
        </is>
      </c>
      <c r="T8" s="14" t="n"/>
    </row>
    <row r="9" ht="76.8" customHeight="1" s="148">
      <c r="A9" s="13" t="inlineStr">
        <is>
          <t>9000</t>
        </is>
      </c>
      <c r="B9" s="13" t="inlineStr">
        <is>
          <t>9000-6</t>
        </is>
      </c>
      <c r="C9" s="41" t="inlineStr">
        <is>
          <t>콘크리트도상분야</t>
        </is>
      </c>
      <c r="D9" s="13" t="inlineStr">
        <is>
          <t>9000-6-8</t>
        </is>
      </c>
      <c r="E9" s="13" t="inlineStr">
        <is>
          <t>D-60</t>
        </is>
      </c>
      <c r="F9" s="13" t="inlineStr">
        <is>
          <t>장비,자재 반입로/반입구 간섭 검토</t>
        </is>
      </c>
      <c r="G9" s="13" t="inlineStr">
        <is>
          <t>현장공사팀</t>
        </is>
      </c>
      <c r="H9" s="14" t="inlineStr">
        <is>
          <t>장비, 자재의 반입로/반입구의 타공종 간섭 검토</t>
        </is>
      </c>
      <c r="I9" s="14" t="inlineStr">
        <is>
          <t>- 자재반입 시 노반 시공 간섭 검토
- 자재반입로/반입구 사용가능 시기 검토</t>
        </is>
      </c>
      <c r="J9" s="14" t="inlineStr">
        <is>
          <t>반입로 시뮬레이션 보고서, 도로점용 허가서</t>
        </is>
      </c>
      <c r="K9" s="14" t="inlineStr">
        <is>
          <t>장대레일 운반 트레일러(길이 25m 이상) 도로 회전 반경 R=15m 확보 및 타공종 가설재 간섭 배제.</t>
        </is>
      </c>
      <c r="L9" s="155">
        <f>HYPERLINK("매뉴얼BODY(집행단계-첨부폴더)v8\5.콘크리트도상\8_장비,자재 반입로_반입구 간섭 검토\표준서\장비,자재 반입로_반입구 간섭 검토_표준서.html", "👉 [클릭] 표준서 열기 📄")</f>
        <v/>
      </c>
      <c r="M9" s="14" t="inlineStr">
        <is>
          <t>1) 상부 신호등/가공전선 이격거리(5m 이상) 및 도로점용 허가 구역 조사
2) 전담 신호수 배치 및 대형 레일 운반 차량 유도</t>
        </is>
      </c>
      <c r="N9" s="155">
        <f>HYPERLINK("매뉴얼BODY(집행단계-첨부폴더)v8\5.콘크리트도상\8_장비,자재 반입로_반입구 간섭 검토\수행지침\장비,자재 반입로_반입구 간섭 검토_수행지침.html", "👉 [클릭] 수행지침 열기 📄")</f>
        <v/>
      </c>
      <c r="O9" s="14" t="inlineStr">
        <is>
          <t>트레일러 회전 시뮬레이션 승인, 가설 비계 간섭 범위 해제, 도로 점용 허가 필증 확인</t>
        </is>
      </c>
      <c r="P9" s="155">
        <f>HYPERLINK("매뉴얼BODY(집행단계-첨부폴더)v8\5.콘크리트도상\8_장비,자재 반입로_반입구 간섭 검토\체크리스트\장비,자재 반입로_반입구 간섭 검토_체크리스트.html", "👉 [클릭] 체크리스트 열기 📄")</f>
        <v/>
      </c>
      <c r="Q9" s="13" t="n"/>
      <c r="R9" s="14" t="inlineStr">
        <is>
          <t>● 궤도 시공 가설 동선 적합성 검토</t>
        </is>
      </c>
      <c r="S9" s="17" t="inlineStr">
        <is>
          <t>1) 👉 [더블클릭] 체크리스트 열기 📄</t>
        </is>
      </c>
      <c r="T9" s="14" t="n"/>
    </row>
    <row r="10" ht="76.8" customHeight="1" s="148">
      <c r="A10" s="13" t="inlineStr">
        <is>
          <t>9000</t>
        </is>
      </c>
      <c r="B10" s="13" t="inlineStr">
        <is>
          <t>9000-6</t>
        </is>
      </c>
      <c r="C10" s="41" t="inlineStr">
        <is>
          <t>콘크리트도상분야</t>
        </is>
      </c>
      <c r="D10" s="13" t="inlineStr">
        <is>
          <t>9000-6-9</t>
        </is>
      </c>
      <c r="E10" s="13" t="inlineStr">
        <is>
          <t>D-60</t>
        </is>
      </c>
      <c r="F10" s="13" t="inlineStr">
        <is>
          <t>자재조달계획 검토</t>
        </is>
      </c>
      <c r="G10" s="13" t="inlineStr">
        <is>
          <t>현장관리팀, 현장공사팀</t>
        </is>
      </c>
      <c r="H10" s="14" t="inlineStr">
        <is>
          <t>외산자재 검수 및 반입일정 검토 / 노반 공정에 따른 반입 시기 검토</t>
        </is>
      </c>
      <c r="I10" s="14" t="inlineStr">
        <is>
          <t>- 외산자재 수량 및 위치, 야적장 규모 등을 고려하여 주문 시기 검토
- 노반 인도 구역 및 규모에 따른 자재 조달계획 수립</t>
        </is>
      </c>
      <c r="J10" s="14" t="inlineStr">
        <is>
          <t>자재수급스케줄표, 조달 승인서</t>
        </is>
      </c>
      <c r="K10" s="14" t="inlineStr">
        <is>
          <t>홈레일, 체결구, 탄성 충전재 등 주요 자재의 해상 운송 및 국내 보관 일정 검토. OMC 품질 시방 확보.</t>
        </is>
      </c>
      <c r="L10" s="155">
        <f>HYPERLINK("매뉴얼BODY(집행단계-첨부폴더)v8\5.콘크리트도상\9_자재조달계획 검토\표준서\자재조달계획 검토_표준서.html", "👉 [클릭] 표준서 열기 📄")</f>
        <v/>
      </c>
      <c r="M10" s="14" t="inlineStr">
        <is>
          <t>1) 특수 홈레일 및 PST 패널 조달 마스터 일정표 검토
2) PST 슬래브 공장 생산 강도 및 홈레일 단면 검수</t>
        </is>
      </c>
      <c r="N10" s="155">
        <f>HYPERLINK("매뉴얼BODY(집행단계-첨부폴더)v8\5.콘크리트도상\9_자재조달계획 검토\수행지침\자재조달계획 검토_수행지침.html", "👉 [클릭] 수행지침 열기 📄")</f>
        <v/>
      </c>
      <c r="O10" s="14" t="inlineStr">
        <is>
          <t>선적 서류 및 통관 승인서 구비, 국내 야적장 2차 보관 상태 점검, 자재 공급 승인서 확인</t>
        </is>
      </c>
      <c r="P10" s="155">
        <f>HYPERLINK("매뉴얼BODY(집행단계-첨부폴더)v8\5.콘크리트도상\9_자재조달계획 검토\체크리스트\자재조달계획 검토_체크리스트.html", "👉 [클릭] 체크리스트 열기 📄")</f>
        <v/>
      </c>
      <c r="Q10" s="13" t="n"/>
      <c r="R10" s="14" t="inlineStr">
        <is>
          <t>● 주요 외산 자재 공급 및 선적 일정 확인</t>
        </is>
      </c>
      <c r="S10" s="17" t="inlineStr">
        <is>
          <t>1) 👉 [더블클릭] 체크리스트 열기 📄</t>
        </is>
      </c>
      <c r="T10" s="14" t="n"/>
    </row>
    <row r="11" ht="57.6" customHeight="1" s="148">
      <c r="A11" s="13" t="inlineStr">
        <is>
          <t>9000</t>
        </is>
      </c>
      <c r="B11" s="13" t="inlineStr">
        <is>
          <t>9000-6</t>
        </is>
      </c>
      <c r="C11" s="41" t="inlineStr">
        <is>
          <t>콘크리트도상분야</t>
        </is>
      </c>
      <c r="D11" s="13" t="inlineStr">
        <is>
          <t>9000-6-10</t>
        </is>
      </c>
      <c r="E11" s="13" t="inlineStr">
        <is>
          <t>D-50 (D-60~50)</t>
        </is>
      </c>
      <c r="F11" s="13" t="inlineStr">
        <is>
          <t>자재 발주 요청</t>
        </is>
      </c>
      <c r="G11" s="13" t="inlineStr">
        <is>
          <t>현장 공무팀</t>
        </is>
      </c>
      <c r="H11" s="14" t="inlineStr">
        <is>
          <t>시공에 필요한 자재 발주</t>
        </is>
      </c>
      <c r="I11" s="14" t="inlineStr">
        <is>
          <t>- 자재 규격 및 반입 일정 계획 수립
- 시공에 필요한 당사 지급자재에 대한 발주 요청
- 지원: GP/SRM팀</t>
        </is>
      </c>
      <c r="J11" s="14" t="inlineStr">
        <is>
          <t>자재청구서, 공급원 승인요청철</t>
        </is>
      </c>
      <c r="K11" s="14" t="inlineStr">
        <is>
          <t>KDS 47 30 00 및 EN 규격 기준 자재 발주서 승인. 공급원 검토 승인 요청서 작성 요령 준수.</t>
        </is>
      </c>
      <c r="L11" s="155">
        <f>HYPERLINK("매뉴얼BODY(집행단계-첨부폴더)v8\5.콘크리트도상\10_자재 발주 요청\표준서\자재 발주 요청_표준서.html", "👉 [클릭] 표준서 열기 📄")</f>
        <v/>
      </c>
      <c r="M11" s="14" t="inlineStr">
        <is>
          <t>1) kg/m 레일, 51R1 홈레일, PST 패널 산출 물량 검증
2) 공장 검사(FAT) 조건 및 성적서 첨부 명시</t>
        </is>
      </c>
      <c r="N11" s="155">
        <f>HYPERLINK("매뉴얼BODY(집행단계-첨부폴더)v8\5.콘크리트도상\10_자재 발주 요청\수행지침\자재 발주 요청_수행지침.html", "👉 [클릭] 수행지침 열기 📄")</f>
        <v/>
      </c>
      <c r="O11" s="14" t="inlineStr">
        <is>
          <t>자재 발주 수량 설계 대조, 공급원 승인 필증 원본 확인, 발주 공문 승인 요청</t>
        </is>
      </c>
      <c r="P11" s="155">
        <f>HYPERLINK("매뉴얼BODY(집행단계-첨부폴더)v8\5.콘크리트도상\10_자재 발주 요청\체크리스트\자재 발주 요청_체크리스트.html", "👉 [클릭] 체크리스트 열기 📄")</f>
        <v/>
      </c>
      <c r="Q11" s="13" t="n"/>
      <c r="R11" s="14" t="inlineStr">
        <is>
          <t>● 조달 지침 및 품질 규격 검토</t>
        </is>
      </c>
      <c r="S11" s="17" t="inlineStr">
        <is>
          <t>1) 👉 [더블클릭] 체크리스트 열기 📄</t>
        </is>
      </c>
      <c r="T11" s="14" t="n"/>
    </row>
    <row r="12" ht="88.8" customHeight="1" s="148">
      <c r="A12" s="13" t="inlineStr">
        <is>
          <t>9000</t>
        </is>
      </c>
      <c r="B12" s="13" t="inlineStr">
        <is>
          <t>9000-6</t>
        </is>
      </c>
      <c r="C12" s="41" t="inlineStr">
        <is>
          <t>콘크리트도상분야</t>
        </is>
      </c>
      <c r="D12" s="13" t="inlineStr">
        <is>
          <t>9000-6-11</t>
        </is>
      </c>
      <c r="E12" s="13" t="inlineStr">
        <is>
          <t>D-30 (D-60~D-30)</t>
        </is>
      </c>
      <c r="F12" s="13" t="inlineStr">
        <is>
          <t>시공계획 수립</t>
        </is>
      </c>
      <c r="G12" s="13" t="inlineStr">
        <is>
          <t>현장 공사팀/공무팀/안전팀/품질팀</t>
        </is>
      </c>
      <c r="H12" s="14" t="inlineStr">
        <is>
          <t>궤도공 전반에 대한 수행 계획 공유</t>
        </is>
      </c>
      <c r="I12" s="14" t="inlineStr">
        <is>
          <t>- 공사 위치, 공사 수행 순서, 공사 수행방법 설명 회의를 통한 공유
- 주요 공정별 시공/안전/장비/자재관련 유의사항 토의
- 문제점 발굴 및 대책 마련 브레인 스토밍</t>
        </is>
      </c>
      <c r="J12" s="14" t="inlineStr">
        <is>
          <t>궤도공사 시공계획서, 안전보건계획서</t>
        </is>
      </c>
      <c r="K12" s="14" t="inlineStr">
        <is>
          <t>콘크리트도상 시공 절차 및 공정 스케줄 작성. 궤간(+3,-1mm), 캔트(±2mm) 관리계획 수립.</t>
        </is>
      </c>
      <c r="L12" s="155">
        <f>HYPERLINK("매뉴얼BODY(집행단계-첨부폴더)v8\5.콘크리트도상\11_시공계획 수립\표준서\시공계획 수립_표준서.html", "👉 [클릭] 표준서 열기 📄")</f>
        <v/>
      </c>
      <c r="M12" s="14" t="inlineStr">
        <is>
          <t>1) HBS 노반 지지력 검증 및 궤도 정밀 CP 측량 시공계획 수립
2) 스핀들 게이지 조정, 테르밋 용접(EN 14730) 및 TCL 콘크리트 타설 수칙 수립</t>
        </is>
      </c>
      <c r="N12" s="155">
        <f>HYPERLINK("매뉴얼BODY(집행단계-첨부폴더)v8\5.콘크리트도상\11_시공계획 수립\수행지침\11_시공계획 수립_수행지침.html", "👉 [클릭] 수행지침 열기 📄")</f>
        <v/>
      </c>
      <c r="O12" s="14" t="inlineStr">
        <is>
          <t>시공계획서 감리단 최종 승인, 선형 관리 한계선 설정 확인, 품질보증계획서 제출</t>
        </is>
      </c>
      <c r="P12" s="155">
        <f>HYPERLINK("매뉴얼BODY(집행단계-첨부폴더)v8\5.콘크리트도상\11_시공계획 수립\체크리스트\시공계획 수립_체크리스트.html", "👉 [클릭] 체크리스트 열기 📄")</f>
        <v/>
      </c>
      <c r="Q12" s="13" t="n"/>
      <c r="R12" s="14" t="inlineStr">
        <is>
          <t>● 궤도 공사 표준시방서 만족</t>
        </is>
      </c>
      <c r="S12" s="17" t="inlineStr">
        <is>
          <t>1) 👉 [더블클릭] 체크리스트 열기 📄</t>
        </is>
      </c>
      <c r="T12" s="14" t="n"/>
    </row>
    <row r="13" ht="110.4" customHeight="1" s="148">
      <c r="A13" s="13" t="inlineStr">
        <is>
          <t>9000</t>
        </is>
      </c>
      <c r="B13" s="13" t="inlineStr">
        <is>
          <t>9000-6</t>
        </is>
      </c>
      <c r="C13" s="41" t="inlineStr">
        <is>
          <t>콘크리트도상분야</t>
        </is>
      </c>
      <c r="D13" s="13" t="inlineStr">
        <is>
          <t>9000-6-12</t>
        </is>
      </c>
      <c r="E13" s="13" t="inlineStr">
        <is>
          <t>D-0 (D-30~D-0)</t>
        </is>
      </c>
      <c r="F13" s="13" t="inlineStr">
        <is>
          <t>자재 반입</t>
        </is>
      </c>
      <c r="G13" s="13" t="inlineStr">
        <is>
          <t>현장 공사팀/자재팀</t>
        </is>
      </c>
      <c r="H13" s="14" t="inlineStr">
        <is>
          <t>매립형 궤도/반-PC슬래브용 주요 자재 반입</t>
        </is>
      </c>
      <c r="I13" s="14" t="inlineStr">
        <is>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is>
      </c>
      <c r="J13" s="14" t="inlineStr">
        <is>
          <t>자재인수검사 대장, 불량재 처리부</t>
        </is>
      </c>
      <c r="K13" s="14" t="inlineStr">
        <is>
          <t>반입 자재의 공장 성적서 대조 및 감리 입회 자재 인수 검사 수행. 변형/균열 자재 전량 반출.</t>
        </is>
      </c>
      <c r="L13" s="155">
        <f>HYPERLINK("매뉴얼BODY(집행단계-첨부폴더)v8\5.콘크리트도상\12_자재 반입\표준서\자재 반입_표준서.html", "👉 [클릭] 표준서 열기 📄")</f>
        <v/>
      </c>
      <c r="M13" s="14" t="inlineStr">
        <is>
          <t>1) 송장, 공장 시험성적서 및 KCS 시방 사양 대조
2) 레일 표면 흠집 및 PST 패널 치수 오차(±2mm) 측정</t>
        </is>
      </c>
      <c r="N13" s="155">
        <f>HYPERLINK("매뉴얼BODY(집행단계-첨부폴더)v8\5.콘크리트도상\12_자재 반입\수행지침\자재 반입_수행지침.html", "👉 [클릭] 수행지침 열기 📄")</f>
        <v/>
      </c>
      <c r="O13" s="14" t="inlineStr">
        <is>
          <t>인수 검서 보고서 감리 서명, 자재 고유 마킹 대조, 손상 자재 반출 대장 기록</t>
        </is>
      </c>
      <c r="P13" s="155">
        <f>HYPERLINK("매뉴얼BODY(집행단계-첨부폴더)v8\5.콘크리트도상\12_자재 반입\체크리스트\자재 반입_체크리스트.html", "👉 [클릭] 체크리스트 열기 📄")</f>
        <v/>
      </c>
      <c r="Q13" s="13" t="n"/>
      <c r="R13" s="14" t="inlineStr">
        <is>
          <t>● 자재 시험성적서 및 외산 자재 수입 적격 증명</t>
        </is>
      </c>
      <c r="S13" s="17" t="inlineStr">
        <is>
          <t>1) 👉 [더블클릭] 체크리스트 열기 📄</t>
        </is>
      </c>
      <c r="T13" s="14" t="n"/>
    </row>
    <row r="14" ht="86.40000000000001" customHeight="1" s="148">
      <c r="A14" s="13" t="inlineStr">
        <is>
          <t>9000</t>
        </is>
      </c>
      <c r="B14" s="13" t="inlineStr">
        <is>
          <t>9000-6</t>
        </is>
      </c>
      <c r="C14" s="41" t="inlineStr">
        <is>
          <t>콘크리트도상분야</t>
        </is>
      </c>
      <c r="D14" s="13" t="inlineStr">
        <is>
          <t>9000-6-13</t>
        </is>
      </c>
      <c r="E14" s="13" t="inlineStr">
        <is>
          <t>D+1 (D-0~D+1)</t>
        </is>
      </c>
      <c r="F14" s="13" t="inlineStr">
        <is>
          <t>[HBS] 강화노반 확인</t>
        </is>
      </c>
      <c r="G14" s="13" t="inlineStr">
        <is>
          <t>현장 공사팀</t>
        </is>
      </c>
      <c r="H14" s="14" t="inlineStr">
        <is>
          <t>기존 도로구간 노상토의 지지력 검증</t>
        </is>
      </c>
      <c r="I14" s="14" t="inlineStr">
        <is>
          <t>- 사전토공사 인수계획서 확인
- 터파기 시행 후 들밀도 시험을 통한 상대다짐도 또는 현장 재하시험을 통한 강화노반변형률 계수 확인
- 배수 상태 점검</t>
        </is>
      </c>
      <c r="J14" s="14" t="inlineStr">
        <is>
          <t>강화노반 인수교차측량 대장, PBT 성적철</t>
        </is>
      </c>
      <c r="K14" s="14" t="inlineStr">
        <is>
          <t>기초 노반 표면의 지지력 검증. 평판재하시험 K30 ≥ 110 MN/m³ 또는 Ev2 ≥ 120 MPa 확인.</t>
        </is>
      </c>
      <c r="L14" t="inlineStr">
        <is>
          <t>-</t>
        </is>
      </c>
      <c r="M14" s="14" t="inlineStr">
        <is>
          <t>1) 노반 공종으로부터 지지력 K70 ≥ 150 MPa/m 성적서 수령
2) 노반 높이 오차(±10mm 이내) 광학 레벨 측량 검증</t>
        </is>
      </c>
      <c r="N14" t="inlineStr">
        <is>
          <t>-</t>
        </is>
      </c>
      <c r="O14" s="14" t="inlineStr">
        <is>
          <t>K30 성적서 원본 대조, 노반 마무리면 요철 제거 상태, 횡단 구배 2.0% 만족 확인</t>
        </is>
      </c>
      <c r="P14" t="inlineStr">
        <is>
          <t>-</t>
        </is>
      </c>
      <c r="Q14" s="13" t="n"/>
      <c r="R14" s="14" t="inlineStr">
        <is>
          <t>● 강화노반 K30 지지력 계수 규격 준수</t>
        </is>
      </c>
      <c r="S14" s="17" t="inlineStr">
        <is>
          <t>1) 👉 [더블클릭] 체크리스트 열기 📄</t>
        </is>
      </c>
      <c r="T14" s="14" t="n"/>
    </row>
    <row r="15" ht="76.8" customHeight="1" s="148">
      <c r="A15" s="13" t="inlineStr">
        <is>
          <t>9000</t>
        </is>
      </c>
      <c r="B15" s="13" t="inlineStr">
        <is>
          <t>9000-6</t>
        </is>
      </c>
      <c r="C15" s="41" t="inlineStr">
        <is>
          <t>콘크리트도상분야</t>
        </is>
      </c>
      <c r="D15" s="13" t="inlineStr">
        <is>
          <t>9000-6-14</t>
        </is>
      </c>
      <c r="E15" s="13" t="inlineStr">
        <is>
          <t>D+15 (D+2~D+15)</t>
        </is>
      </c>
      <c r="F15" s="13" t="inlineStr">
        <is>
          <t>[HBS] 콘크리트 타설 및 양생</t>
        </is>
      </c>
      <c r="G15" s="13" t="inlineStr">
        <is>
          <t>현장 공사팀</t>
        </is>
      </c>
      <c r="H15" s="14" t="inlineStr">
        <is>
          <t>강화노반 상부 기초콘크리트로 TCL, 반-PC 슬래브 안정성 확보</t>
        </is>
      </c>
      <c r="I15" s="14" t="inlineStr">
        <is>
          <t>슬럼프 값 10cm 이하, 압축강도 18Mpa 이상 콘크리트 타설
- 품질확보를 위해 공장과 현장 이격거리 4.8km 이내</t>
        </is>
      </c>
      <c r="J15" s="14" t="inlineStr">
        <is>
          <t>HBR 콘크리트 품질시험표, 양생온도일지</t>
        </is>
      </c>
      <c r="K15" s="14" t="inlineStr">
        <is>
          <t>강화노반 상부 기초콘크리트(HBR) 28일 압축강도 ≥ 21 MPa 확보. 고주파 다짐 및 습윤 양생 7일.</t>
        </is>
      </c>
      <c r="L15" t="inlineStr">
        <is>
          <t>-</t>
        </is>
      </c>
      <c r="M15" s="14" t="inlineStr">
        <is>
          <t>1) 콘크리트 시멘트풀 유출 방지 거푸집 패킹 설치
2) 콜드조인트 방지 연속 타설 및 바이브레이터 밀실 다짐</t>
        </is>
      </c>
      <c r="N15" t="inlineStr">
        <is>
          <t>-</t>
        </is>
      </c>
      <c r="O15" s="14" t="inlineStr">
        <is>
          <t>HBR 강도 시험 성적서, 습윤 부직포 포설 상태, 타설 두께 오차 ±10mm 이내 검속</t>
        </is>
      </c>
      <c r="P15" t="inlineStr">
        <is>
          <t>-</t>
        </is>
      </c>
      <c r="Q15" s="13" t="n"/>
      <c r="R15" s="14" t="inlineStr">
        <is>
          <t>● 기초 콘크리트 압축강도 및 공차 관리</t>
        </is>
      </c>
      <c r="S15" s="17" t="inlineStr">
        <is>
          <t>1) 👉 [더블클릭] 체크리스트 열기 📄</t>
        </is>
      </c>
      <c r="T15" s="14" t="n"/>
    </row>
    <row r="16" ht="76.8" customHeight="1" s="148">
      <c r="A16" s="13" t="inlineStr">
        <is>
          <t>9000</t>
        </is>
      </c>
      <c r="B16" s="13" t="inlineStr">
        <is>
          <t>9000-6</t>
        </is>
      </c>
      <c r="C16" s="41" t="inlineStr">
        <is>
          <t>콘크리트도상분야</t>
        </is>
      </c>
      <c r="D16" s="13" t="inlineStr">
        <is>
          <t>9000-6-15</t>
        </is>
      </c>
      <c r="E16" s="13" t="inlineStr">
        <is>
          <t>D+15 (D+10~D+15)</t>
        </is>
      </c>
      <c r="F16" s="13" t="inlineStr">
        <is>
          <t>[반-PC 슬래브] 패널반입 및 설치</t>
        </is>
      </c>
      <c r="G16" s="13" t="inlineStr">
        <is>
          <t>현장 공사팀</t>
        </is>
      </c>
      <c r="H16" s="14" t="inlineStr">
        <is>
          <t>궤광지지체 구간의 PC 슬래브로 교차로/교량구간 급속시공 필요</t>
        </is>
      </c>
      <c r="I16" s="14" t="inlineStr">
        <is>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is>
      </c>
      <c r="J16" s="14" t="inlineStr">
        <is>
          <t>PC슬래브 거치 수준 실측표, 평탄성 대장</t>
        </is>
      </c>
      <c r="K16" s="14" t="inlineStr">
        <is>
          <t>PC 슬래브 패널 평탄성 오차 ±3mm 이내 거치. 광학 토탈스테이션 연동 정밀 3D 얼라인먼트.</t>
        </is>
      </c>
      <c r="L16" t="inlineStr">
        <is>
          <t>-</t>
        </is>
      </c>
      <c r="M16" s="14" t="inlineStr">
        <is>
          <t>1) 노반 표면 이물질 청소 및 광학 측량기 셋팅
2) 점 인양 빔으로 패널 거치 후 스핀들 게이지 정밀 수평 조정</t>
        </is>
      </c>
      <c r="N16" t="inlineStr">
        <is>
          <t>-</t>
        </is>
      </c>
      <c r="O16" s="14" t="inlineStr">
        <is>
          <t>Screw Jack 레벨 정위치 고정, 3D 광학 실측 좌표 일치, 코너 크랙 육안 검사</t>
        </is>
      </c>
      <c r="P16" t="inlineStr">
        <is>
          <t>-</t>
        </is>
      </c>
      <c r="Q16" s="13" t="n"/>
      <c r="R16" s="14" t="inlineStr">
        <is>
          <t>● PC 슬래브 제작 허용 오차 만족</t>
        </is>
      </c>
      <c r="S16" s="17" t="inlineStr">
        <is>
          <t>1) 👉 [더블클릭] 체크리스트 열기 📄</t>
        </is>
      </c>
      <c r="T16" s="14" t="n"/>
    </row>
    <row r="17" ht="76.8" customHeight="1" s="148">
      <c r="A17" s="13" t="inlineStr">
        <is>
          <t>9000</t>
        </is>
      </c>
      <c r="B17" s="13" t="inlineStr">
        <is>
          <t>9000-6</t>
        </is>
      </c>
      <c r="C17" s="41" t="inlineStr">
        <is>
          <t>콘크리트도상분야</t>
        </is>
      </c>
      <c r="D17" s="13" t="inlineStr">
        <is>
          <t>9000-6-16</t>
        </is>
      </c>
      <c r="E17" s="13" t="inlineStr">
        <is>
          <t>D+16 (D+16~D+16)</t>
        </is>
      </c>
      <c r="F17" s="13" t="inlineStr">
        <is>
          <t>[PST] 전단앵커설치 및 충전재 주입</t>
        </is>
      </c>
      <c r="G17" s="13" t="inlineStr">
        <is>
          <t>현장 공사팀</t>
        </is>
      </c>
      <c r="H17" s="14" t="inlineStr">
        <is>
          <t>HBS, TCL층과 일체화를 위하여 전단앵커를 설치하고 몰탈 충전재 주입</t>
        </is>
      </c>
      <c r="I17" s="14" t="inlineStr">
        <is>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is>
      </c>
      <c r="J17" s="14" t="inlineStr">
        <is>
          <t>앵커 시공인장 시험기록, 그라우트 공시체 강도대장</t>
        </is>
      </c>
      <c r="K17" s="14" t="inlineStr">
        <is>
          <t>전단앵커 구멍 천공 깊이 및 수직도 확보. 무수축 모르타르 그라우트 압축강도 ≥ 30 MPa 충전.</t>
        </is>
      </c>
      <c r="L17" t="inlineStr">
        <is>
          <t>-</t>
        </is>
      </c>
      <c r="M17" s="14" t="inlineStr">
        <is>
          <t>1) 앵커 홀 이물질 제거 및 무수축 그라우트 배합비 확인
2) 음향 탐사로 공기 공동 파악 및 45 MPa 몰드 시험 확인</t>
        </is>
      </c>
      <c r="N17" t="inlineStr">
        <is>
          <t>-</t>
        </is>
      </c>
      <c r="O17" s="14" t="inlineStr">
        <is>
          <t>천공 깊이 측정 게이지 점검, 앵커 인장 강도 확인, 원웨이 주입 배출구 몰탈 오버플로우 확인</t>
        </is>
      </c>
      <c r="P17" t="inlineStr">
        <is>
          <t>-</t>
        </is>
      </c>
      <c r="Q17" s="13" t="n"/>
      <c r="R17" s="14" t="inlineStr">
        <is>
          <t>● 충전 몰탈 품질 및 전단앵커 정착 깊이</t>
        </is>
      </c>
      <c r="S17" s="17" t="inlineStr">
        <is>
          <t>1) 👉 [더블클릭] 체크리스트 열기 📄</t>
        </is>
      </c>
      <c r="T17" s="14" t="n"/>
    </row>
    <row r="18" ht="76.8" customHeight="1" s="148">
      <c r="A18" s="13" t="inlineStr">
        <is>
          <t>9000</t>
        </is>
      </c>
      <c r="B18" s="13" t="inlineStr">
        <is>
          <t>9000-6</t>
        </is>
      </c>
      <c r="C18" s="41" t="inlineStr">
        <is>
          <t>콘크리트도상분야</t>
        </is>
      </c>
      <c r="D18" s="13" t="inlineStr">
        <is>
          <t>9000-6-17</t>
        </is>
      </c>
      <c r="E18" s="13" t="inlineStr">
        <is>
          <t>D+30 (D+17~D+30)</t>
        </is>
      </c>
      <c r="F18" s="13" t="inlineStr">
        <is>
          <t>[TCL] 궤광 및 철근조립</t>
        </is>
      </c>
      <c r="G18" s="13" t="inlineStr">
        <is>
          <t>현장 공사팀</t>
        </is>
      </c>
      <c r="H18" s="14" t="inlineStr">
        <is>
          <t>TCL 철근조립 및 부설시 매립형 궤도를 포함한 궤광의 변위 발생 방지</t>
        </is>
      </c>
      <c r="I18" s="14" t="inlineStr">
        <is>
          <t>임시침목을 이용한 궤광 설치 및 줄틀림, 면틀림, 중심간격 허용오차는 3mm 이내
- 종방향, 횡방향 철근 조립시 2m 간격설치, 철근처짐이 없도록 용접 또는 결속</t>
        </is>
      </c>
      <c r="J18" s="14" t="inlineStr">
        <is>
          <t>철근배근 검측서, 신호 이격 거리표</t>
        </is>
      </c>
      <c r="K18" s="14" t="inlineStr">
        <is>
          <t>1,435mm 표준궤 정밀 유지 타이바 설치. 철근 피복 두께 40mm 확보 및 신호 감선 이격 150mm.</t>
        </is>
      </c>
      <c r="L18" t="inlineStr">
        <is>
          <t>-</t>
        </is>
      </c>
      <c r="M18" s="14" t="inlineStr">
        <is>
          <t>1) CP 광학 레벨기로 궤도 중심선 및 기준 높이 확인
2) 궤간 1,435mm(+3,-1mm) 고정 및 캔트/수평 오차 ±2mm 이내 정밀 정열</t>
        </is>
      </c>
      <c r="N18" t="inlineStr">
        <is>
          <t>-</t>
        </is>
      </c>
      <c r="O18" s="14" t="inlineStr">
        <is>
          <t>철근 결속선 긴장 상태, 타이바 조임 토크 확인, 신호 루프 케이블 배근 이격 확인</t>
        </is>
      </c>
      <c r="P18" t="inlineStr">
        <is>
          <t>-</t>
        </is>
      </c>
      <c r="Q18" s="13" t="n"/>
      <c r="R18" s="14" t="inlineStr">
        <is>
          <t>● 궤도 기하구조 공차(3mm 이내) 관리</t>
        </is>
      </c>
      <c r="S18" s="17" t="inlineStr">
        <is>
          <t>1) 👉 [더블클릭] 체크리스트 열기 📄</t>
        </is>
      </c>
      <c r="T18" s="14" t="n"/>
    </row>
    <row r="19" ht="76.8" customHeight="1" s="148">
      <c r="A19" s="13" t="inlineStr">
        <is>
          <t>9000</t>
        </is>
      </c>
      <c r="B19" s="13" t="inlineStr">
        <is>
          <t>9000-6</t>
        </is>
      </c>
      <c r="C19" s="41" t="inlineStr">
        <is>
          <t>콘크리트도상분야</t>
        </is>
      </c>
      <c r="D19" s="13" t="inlineStr">
        <is>
          <t>9000-6-18</t>
        </is>
      </c>
      <c r="E19" s="13" t="inlineStr">
        <is>
          <t>D+35 (D+31~D+35)</t>
        </is>
      </c>
      <c r="F19" s="13" t="inlineStr">
        <is>
          <t>[TCL] 거푸집 설치</t>
        </is>
      </c>
      <c r="G19" s="13" t="inlineStr">
        <is>
          <t>현장 공사팀</t>
        </is>
      </c>
      <c r="H19" s="14" t="inlineStr">
        <is>
          <t>거푸집 지지대는 철근이 타설압력에 의해 변위가 발생하지 않도록 앵커나 서포트로 고정</t>
        </is>
      </c>
      <c r="I19" s="14" t="inlineStr">
        <is>
          <t>강재거푸집거푸집 반영
- 작업자 이동통로 확보가 되어 있는지 확인하고, 넘어짐 등의 안전사고가 발생하지 않도록 지지대에 별도 식별장치 설치</t>
        </is>
      </c>
      <c r="J19" s="14" t="inlineStr">
        <is>
          <t>거푸집설치 대조표, 박리제 검사철</t>
        </is>
      </c>
      <c r="K19" s="14" t="inlineStr">
        <is>
          <t>타설 측압 대비 서포트 앵커 W=1.0m 간격 고정. 거푸집 수평/수직 처짐 변위 ±2mm 이내 통제.</t>
        </is>
      </c>
      <c r="L19" t="inlineStr">
        <is>
          <t>-</t>
        </is>
      </c>
      <c r="M19" s="14" t="inlineStr">
        <is>
          <t>1) 거푸집 선형 검측표 작성 후 감리원 검측 승인
2) 거푸집 면 이물질 청소 및 환경 친화 박리제 균일 도포</t>
        </is>
      </c>
      <c r="N19" t="inlineStr">
        <is>
          <t>-</t>
        </is>
      </c>
      <c r="O19" s="14" t="inlineStr">
        <is>
          <t>거푸집 지지대 앵커 조임, 박리제 도포 상태, 이음매 틈새 누수 패킹 확인</t>
        </is>
      </c>
      <c r="P19" t="inlineStr">
        <is>
          <t>-</t>
        </is>
      </c>
      <c r="Q19" s="13" t="n"/>
      <c r="R19" s="14" t="inlineStr">
        <is>
          <t>● 가설재 강도 및 안전 난간 기준 준수</t>
        </is>
      </c>
      <c r="S19" s="17" t="inlineStr">
        <is>
          <t>1) 👉 [더블클릭] 체크리스트 열기 📄</t>
        </is>
      </c>
      <c r="T19" s="14" t="n"/>
    </row>
    <row r="20" ht="96" customHeight="1" s="148">
      <c r="A20" s="13" t="inlineStr">
        <is>
          <t>9000</t>
        </is>
      </c>
      <c r="B20" s="13" t="inlineStr">
        <is>
          <t>9000-6</t>
        </is>
      </c>
      <c r="C20" s="41" t="inlineStr">
        <is>
          <t>콘크리트도상분야</t>
        </is>
      </c>
      <c r="D20" s="13" t="inlineStr">
        <is>
          <t>9000-6-19</t>
        </is>
      </c>
      <c r="E20" s="13" t="inlineStr">
        <is>
          <t>D+50 (D+36~D+50)</t>
        </is>
      </c>
      <c r="F20" s="13" t="inlineStr">
        <is>
          <t>[TCL] 콘크리트 타설 및 양생</t>
        </is>
      </c>
      <c r="G20" s="13" t="inlineStr">
        <is>
          <t>현장 공사팀</t>
        </is>
      </c>
      <c r="H20" s="14" t="inlineStr">
        <is>
          <t>TCL은 궤도 부속자재(레일, 고정액상수지 등)가 연결되어 있어, 선형조정 및 연마감 작업이 중요</t>
        </is>
      </c>
      <c r="I20" s="14" t="inlineStr">
        <is>
          <t>슬럼프값은 10cm 이하 타설, 피니셔의 진행 정지시 진동 다짐 장비 중지
- 7일이상 습윤양생 시행, 양생이후 콘크리트 도상내 이물질 청소 및 세척
- 그루브드레일 홈 부분 청소 및 세척, 치수확인</t>
        </is>
      </c>
      <c r="J20" s="14" t="inlineStr">
        <is>
          <t>TCL 콘크리트 품질대장, 게이지 실시간 보정일지</t>
        </is>
      </c>
      <c r="K20" s="14" t="inlineStr">
        <is>
          <t>TCL 도상 콘크리트 강도 ≥ 35 MPa. 타설 중 실시간 궤간척(Gauge Bar) 캔트 오차 ±2mm 보정.</t>
        </is>
      </c>
      <c r="L20" t="inlineStr">
        <is>
          <t>-</t>
        </is>
      </c>
      <c r="M20" s="14" t="inlineStr">
        <is>
          <t>1) 타설 직전 스핀들 궤간/캔트 최종 정열 상태 측량
2) 고주파 다짐 실시 및 타설 중 실시간 궤간/캔트 오차 미세 조율</t>
        </is>
      </c>
      <c r="N20" t="inlineStr">
        <is>
          <t>-</t>
        </is>
      </c>
      <c r="O20" s="14" t="inlineStr">
        <is>
          <t>타설 중 궤간척 실시간 모니터링, 슬럼프 및 공기량 시험, 습윤 양생 부직포 포설 확인</t>
        </is>
      </c>
      <c r="P20" t="inlineStr">
        <is>
          <t>-</t>
        </is>
      </c>
      <c r="Q20" s="13" t="n"/>
      <c r="R20" s="14" t="inlineStr">
        <is>
          <t>● TCL 설계 높이 및 배수구 기울기 준수</t>
        </is>
      </c>
      <c r="S20" s="17" t="inlineStr">
        <is>
          <t>1) 👉 [더블클릭] 체크리스트 열기 📄</t>
        </is>
      </c>
      <c r="T20" s="14" t="n"/>
    </row>
    <row r="21" ht="96" customHeight="1" s="148">
      <c r="A21" s="13" t="inlineStr">
        <is>
          <t>9000</t>
        </is>
      </c>
      <c r="B21" s="13" t="inlineStr">
        <is>
          <t>9000-6</t>
        </is>
      </c>
      <c r="C21" s="41" t="inlineStr">
        <is>
          <t>콘크리트도상분야</t>
        </is>
      </c>
      <c r="D21" s="13" t="inlineStr">
        <is>
          <t>9000-6-20</t>
        </is>
      </c>
      <c r="E21" s="13" t="inlineStr">
        <is>
          <t>D+63 (D-60~D+63)</t>
        </is>
      </c>
      <c r="F21" s="13" t="inlineStr">
        <is>
          <t>[레일용접] 가스 압접</t>
        </is>
      </c>
      <c r="G21" s="13" t="inlineStr">
        <is>
          <t>현장 공사팀</t>
        </is>
      </c>
      <c r="H21" s="14" t="inlineStr">
        <is>
          <t>장대레일 제작을 위해 용접기에서 가스로 레일 단부를 가열한 후, 강한 압력을 가하여 레일을 접합</t>
        </is>
      </c>
      <c r="I21" s="14" t="inlineStr">
        <is>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is>
      </c>
      <c r="J21" s="14" t="inlineStr">
        <is>
          <t>가스압접 시공성적표, UT 비파괴보고서</t>
        </is>
      </c>
      <c r="K21" s="14" t="inlineStr">
        <is>
          <t>EN 14587 규격 준수. 레일 단부 가열(1200℃) 후 압송. 용접부 직선도 1m당 ±0.2mm 이내 정밀 연마.</t>
        </is>
      </c>
      <c r="L21" t="inlineStr">
        <is>
          <t>-</t>
        </is>
      </c>
      <c r="M21" s="14" t="inlineStr">
        <is>
          <t>1) 레일 단면 50mm 녹/기름 제거 및 가스 압접기 압력 교정
2) EN 14587 프로그램에 따라 자동 가열 및 버(Burr) 핫 쉐어링 전단</t>
        </is>
      </c>
      <c r="N21" t="inlineStr">
        <is>
          <t>-</t>
        </is>
      </c>
      <c r="O21" s="14" t="inlineStr">
        <is>
          <t>가스 압접 압력 게이지 확인, 용접부 급랭 방지 덮개 설치, 비파괴 시험(UT) 성적서 결재</t>
        </is>
      </c>
      <c r="P21" t="inlineStr">
        <is>
          <t>-</t>
        </is>
      </c>
      <c r="Q21" s="13" t="n"/>
      <c r="R21" s="14" t="inlineStr">
        <is>
          <t>● 용접부 인장 시험 및 비파괴 검사 규격 만족</t>
        </is>
      </c>
      <c r="S21" s="17" t="inlineStr">
        <is>
          <t>1) 👉 [더블클릭] 체크리스트 열기 📄</t>
        </is>
      </c>
      <c r="T21" s="14" t="n"/>
    </row>
    <row r="22" ht="96" customHeight="1" s="148">
      <c r="A22" s="13" t="inlineStr">
        <is>
          <t>9000</t>
        </is>
      </c>
      <c r="B22" s="13" t="inlineStr">
        <is>
          <t>9000-6</t>
        </is>
      </c>
      <c r="C22" s="41" t="inlineStr">
        <is>
          <t>콘크리트도상분야</t>
        </is>
      </c>
      <c r="D22" s="13" t="inlineStr">
        <is>
          <t>9000-6-21</t>
        </is>
      </c>
      <c r="E22" s="13" t="inlineStr">
        <is>
          <t>D+64 (D+64~D+64)</t>
        </is>
      </c>
      <c r="F22" s="13" t="inlineStr">
        <is>
          <t>[레일용접] 테르밋 용접</t>
        </is>
      </c>
      <c r="G22" s="13" t="inlineStr">
        <is>
          <t>현장 공사팀</t>
        </is>
      </c>
      <c r="H22" s="14" t="inlineStr">
        <is>
          <t>테르밋 용제를 예열된 장대레일 공간에 넣고 용융하여 모든 장대레일을 일체화</t>
        </is>
      </c>
      <c r="I22" s="14" t="inlineStr">
        <is>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is>
      </c>
      <c r="J22" s="14" t="inlineStr">
        <is>
          <t>테르밋 용접일지, MT 자분탐상 보고서</t>
        </is>
      </c>
      <c r="K22" s="14" t="inlineStr">
        <is>
          <t>EN 14730 규격 준수. 도가니 반응 후 슬래그 분리. 직선도 오차 ±0.2mm 이내 및 NDT 100% 합격.</t>
        </is>
      </c>
      <c r="L22" t="inlineStr">
        <is>
          <t>-</t>
        </is>
      </c>
      <c r="M22" s="14" t="inlineStr">
        <is>
          <t>1) 레일 끝단 23~26mm 유격 조정 및 레일 정열 클램프 고정
2) 몰드 밀봉 후 테르밋 소모품點火 반응 주입 및 약 5분 후 유압 전단</t>
        </is>
      </c>
      <c r="N22" t="inlineStr">
        <is>
          <t>-</t>
        </is>
      </c>
      <c r="O22" s="14" t="inlineStr">
        <is>
          <t>테르밋 용제 예열 온도 확인, 도가니 수평 고정, 비파괴 검사(UT/MT) 전수 실시</t>
        </is>
      </c>
      <c r="P22" t="inlineStr">
        <is>
          <t>-</t>
        </is>
      </c>
      <c r="Q22" s="13" t="n"/>
      <c r="R22" s="14" t="inlineStr">
        <is>
          <t>● 테르밋 용접부 비파괴 검사(UT/PT) 및 공차</t>
        </is>
      </c>
      <c r="S22" s="17" t="inlineStr">
        <is>
          <t>1) 👉 [더블클릭] 체크리스트 열기 📄</t>
        </is>
      </c>
      <c r="T22" s="14" t="n"/>
    </row>
    <row r="23" ht="96" customHeight="1" s="148">
      <c r="A23" s="13" t="inlineStr">
        <is>
          <t>9000</t>
        </is>
      </c>
      <c r="B23" s="13" t="inlineStr">
        <is>
          <t>9000-6</t>
        </is>
      </c>
      <c r="C23" s="41" t="inlineStr">
        <is>
          <t>콘크리트도상분야</t>
        </is>
      </c>
      <c r="D23" s="13" t="inlineStr">
        <is>
          <t>9000-6-22</t>
        </is>
      </c>
      <c r="E23" s="13" t="inlineStr">
        <is>
          <t>D+75 (D+71~D+75)</t>
        </is>
      </c>
      <c r="F23" s="13" t="inlineStr">
        <is>
          <t>[레일연마] 레일연마 or 밀링</t>
        </is>
      </c>
      <c r="G23" s="13" t="inlineStr">
        <is>
          <t>현장 공사팀</t>
        </is>
      </c>
      <c r="H23" s="14" t="inlineStr">
        <is>
          <t>레일 연마 or 밀링작업을 통해 선로의 평탄화증을 제거하여 레일 수명 향상 및 운행 안정성 개선</t>
        </is>
      </c>
      <c r="I23" s="14" t="inlineStr">
        <is>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is>
      </c>
      <c r="J23" s="14" t="inlineStr">
        <is>
          <t>선로 평탄성검사 성적표, 조도 실측야장</t>
        </is>
      </c>
      <c r="K23" s="14" t="inlineStr">
        <is>
          <t>레일 마무리면 평탄성 1m 기준 오차 ±0.2mm 이내 밀링. 레일 과열에 의한 열응력 크랙 방지.</t>
        </is>
      </c>
      <c r="L23" t="inlineStr">
        <is>
          <t>-</t>
        </is>
      </c>
      <c r="M23" s="14" t="inlineStr">
        <is>
          <t>1) 조도계로 Ra ≤ 10㎛ 판정 및 레일 연마 검측 승인
2) 장대레일 구간 연마/밀링 장비 점검 및 표면 단차 사전 조사</t>
        </is>
      </c>
      <c r="N23" t="inlineStr">
        <is>
          <t>-</t>
        </is>
      </c>
      <c r="O23" s="14" t="inlineStr">
        <is>
          <t>레일 조도/평탄성 측정 성적서, 절삭유 적정 분사 상태, 마이크로미터 선로 실측</t>
        </is>
      </c>
      <c r="P23" t="inlineStr">
        <is>
          <t>-</t>
        </is>
      </c>
      <c r="Q23" s="13" t="n"/>
      <c r="R23" s="14" t="inlineStr">
        <is>
          <t>● 레일 두부 프로파일 측정 및 평탄도 기준</t>
        </is>
      </c>
      <c r="S23" s="17" t="inlineStr">
        <is>
          <t>1) 👉 [더블클릭] 체크리스트 열기 📄</t>
        </is>
      </c>
      <c r="T23" s="14" t="n"/>
    </row>
    <row r="24" ht="96" customFormat="1" customHeight="1" s="52">
      <c r="A24" s="50" t="inlineStr">
        <is>
          <t>9000</t>
        </is>
      </c>
      <c r="B24" s="50" t="inlineStr">
        <is>
          <t>9000-6</t>
        </is>
      </c>
      <c r="C24" s="53" t="inlineStr">
        <is>
          <t>콘크리트도상분야</t>
        </is>
      </c>
      <c r="D24" s="50" t="inlineStr">
        <is>
          <t>9000-6-23</t>
        </is>
      </c>
      <c r="E24" s="50" t="inlineStr">
        <is>
          <t>D+75일 이후</t>
        </is>
      </c>
      <c r="F24" s="50" t="inlineStr">
        <is>
          <t>후속공사 인수인계</t>
        </is>
      </c>
      <c r="G24" s="50" t="inlineStr">
        <is>
          <t>현장 공사팀/품질팀</t>
        </is>
      </c>
      <c r="H24" s="15" t="inlineStr">
        <is>
          <t>완료구간 후속공사 인수인계</t>
        </is>
      </c>
      <c r="I24" s="15" t="inlineStr">
        <is>
          <t>완료된 궤도 구간에 대해 후속 분야(전기, 신호 등)가 공사를 진행할 수 있도록 인계</t>
        </is>
      </c>
      <c r="J24" s="15" t="inlineStr">
        <is>
          <t>궤도 완공 인수서명부, 절연저항 성적철</t>
        </is>
      </c>
      <c r="K24" s="15" t="inlineStr">
        <is>
          <t>전기/신호/노반 담당자 입회 하에 궤도 회로 절연 저항 ≥ 100MΩ 검속. 준공 도면 일치 서명.</t>
        </is>
      </c>
      <c r="L24" t="inlineStr">
        <is>
          <t>-</t>
        </is>
      </c>
      <c r="M24" s="15" t="inlineStr">
        <is>
          <t>1) 궤도 회로 절연 및 궤간 오차 현장 합동 확인
2) 구간별 NDT 용접 성과표, 강도 성적서 및 궤도 정열표 대조</t>
        </is>
      </c>
      <c r="N24" t="inlineStr">
        <is>
          <t>-</t>
        </is>
      </c>
      <c r="O24" s="15" t="inlineStr">
        <is>
          <t>3자 공동 인수 서명 날인, 절연 저항 테스트 결과표 첨부, CAD 준공 대장 제출</t>
        </is>
      </c>
      <c r="P24" t="inlineStr">
        <is>
          <t>-</t>
        </is>
      </c>
      <c r="Q24" s="50" t="n"/>
      <c r="R24" s="15" t="inlineStr">
        <is>
          <t>● 후속 공종 인수인계 표준 지침</t>
        </is>
      </c>
      <c r="S24" s="51" t="inlineStr">
        <is>
          <t>1) 👉 [더블클릭] 체크리스트 열기 📄</t>
        </is>
      </c>
      <c r="T24" s="15" t="n"/>
    </row>
  </sheetData>
  <printOptions horizontalCentered="1"/>
  <pageMargins left="0.7480314960629921" right="0.7480314960629921" top="0.984251968503937" bottom="0.984251968503937" header="0.5118110236220472" footer="0.5118110236220472"/>
  <pageSetup orientation="landscape" paperSize="8" scale="47" verticalDpi="0"/>
</worksheet>
</file>

<file path=xl/worksheets/sheet9.xml><?xml version="1.0" encoding="utf-8"?>
<worksheet xmlns="http://schemas.openxmlformats.org/spreadsheetml/2006/main">
  <sheetPr codeName="Sheet6">
    <tabColor rgb="FFFFFF00"/>
    <outlinePr summaryBelow="1" summaryRight="1"/>
    <pageSetUpPr/>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baseColWidth="8" defaultRowHeight="19.2"/>
  <cols>
    <col width="8.796875" customWidth="1" style="3" min="1" max="1"/>
    <col width="11.296875" customWidth="1" style="3" min="2" max="2"/>
    <col width="14.59765625" customWidth="1" style="3" min="3" max="3"/>
    <col width="16" customWidth="1" style="4" min="4" max="4"/>
    <col width="34.69921875" customWidth="1" style="4" min="5" max="5"/>
    <col width="21.69921875" customWidth="1" style="4" min="6" max="6"/>
    <col width="32.59765625" customWidth="1" style="4" min="7" max="7"/>
    <col width="72.296875" customWidth="1" style="3" min="8" max="8"/>
    <col width="41.69921875" customWidth="1" style="3" min="9" max="9"/>
    <col width="50" customWidth="1" style="3" min="10" max="10"/>
    <col width="16.19921875" customWidth="1" style="25" min="11" max="11"/>
    <col width="49.796875" customWidth="1" style="25" min="12" max="12"/>
    <col width="12.19921875" customWidth="1" style="3" min="13" max="13"/>
    <col width="45" customWidth="1" style="3" min="14" max="14"/>
    <col width="13.69921875" customWidth="1" style="25" min="15" max="15"/>
    <col width="23.3984375" customWidth="1" style="3" min="16" max="16"/>
    <col width="45" customWidth="1" style="25" min="17" max="17"/>
    <col width="22" customWidth="1" style="25" min="18" max="18"/>
    <col width="45" customWidth="1" style="3" min="19" max="35"/>
    <col width="8.796875" customWidth="1" style="3" min="36" max="70"/>
    <col width="8.796875" customWidth="1" style="3" min="71" max="16384"/>
  </cols>
  <sheetData>
    <row r="1" ht="38.4" customHeight="1" s="148">
      <c r="A1" s="27" t="inlineStr">
        <is>
          <t>L2 코드</t>
        </is>
      </c>
      <c r="B1" s="27" t="inlineStr">
        <is>
          <t>L3 코드</t>
        </is>
      </c>
      <c r="C1" s="27" t="inlineStr">
        <is>
          <t>L3 대공종명</t>
        </is>
      </c>
      <c r="D1" s="27" t="inlineStr">
        <is>
          <t>L4 코드</t>
        </is>
      </c>
      <c r="E1" s="27" t="inlineStr">
        <is>
          <t>작업단위 (Level 4 Task/Activity)</t>
        </is>
      </c>
      <c r="F1" s="27" t="inlineStr">
        <is>
          <t>주관</t>
        </is>
      </c>
      <c r="G1" s="27" t="inlineStr">
        <is>
          <t>목적</t>
        </is>
      </c>
      <c r="H1" s="27" t="inlineStr">
        <is>
          <t>방법</t>
        </is>
      </c>
      <c r="I1" s="27" t="inlineStr">
        <is>
          <t>산출물(결과)</t>
        </is>
      </c>
      <c r="J1" s="27" t="inlineStr">
        <is>
          <t>표준서 (Standard) 요약</t>
        </is>
      </c>
      <c r="K1" s="28" t="inlineStr">
        <is>
          <t>표준서 파일 (HTML)</t>
        </is>
      </c>
      <c r="L1" s="27" t="inlineStr">
        <is>
          <t>수행지침 (Guideline) 요약</t>
        </is>
      </c>
      <c r="M1" s="28" t="inlineStr">
        <is>
          <t>수행지침 파일 (HTML)</t>
        </is>
      </c>
      <c r="N1" s="27" t="inlineStr">
        <is>
          <t>체크리스트 (Checklist) 요약</t>
        </is>
      </c>
      <c r="O1" s="29" t="inlineStr">
        <is>
          <t>체크리스트 파일 (HTML)</t>
        </is>
      </c>
      <c r="P1" s="20" t="inlineStr">
        <is>
          <t>비고</t>
        </is>
      </c>
      <c r="Q1" s="20" t="inlineStr">
        <is>
          <t>첨부서류 연계 상세 설계기준</t>
        </is>
      </c>
      <c r="R1" s="20" t="inlineStr">
        <is>
          <t>집행단계 리스크 체크리스트</t>
        </is>
      </c>
      <c r="S1" s="20" t="inlineStr">
        <is>
          <t>협력사 시공/공사관리 자문</t>
        </is>
      </c>
    </row>
    <row r="2" ht="115.2" customHeight="1" s="148">
      <c r="A2" s="30" t="inlineStr">
        <is>
          <t>9000</t>
        </is>
      </c>
      <c r="B2" s="30" t="inlineStr">
        <is>
          <t>9000-4</t>
        </is>
      </c>
      <c r="C2" s="64" t="inlineStr">
        <is>
          <t>건축</t>
        </is>
      </c>
      <c r="D2" s="30" t="inlineStr">
        <is>
          <t>9000-4-1</t>
        </is>
      </c>
      <c r="E2" s="64" t="inlineStr">
        <is>
          <t>설계 적정성 검토</t>
        </is>
      </c>
      <c r="F2" s="30" t="inlineStr">
        <is>
          <t>현장 공무팀</t>
        </is>
      </c>
      <c r="G2" s="31" t="inlineStr">
        <is>
          <t>건축 설계 오류 및 누락사항 검토</t>
        </is>
      </c>
      <c r="H2" s="31" t="inlineStr">
        <is>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is>
      </c>
      <c r="I2" s="31" t="inlineStr">
        <is>
          <t>설계변경 예상 List, 회의록</t>
        </is>
      </c>
      <c r="J2" s="31" t="inlineStr">
        <is>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is>
      </c>
      <c r="K2" s="155">
        <f>HYPERLINK("매뉴얼BODY(집행단계-첨부폴더)v8\6.건축\1_설계 적정성 검토\표준서\설계 적정성 검토_표준서.html", "👉 [클릭] 표준서 열기 📄")</f>
        <v/>
      </c>
      <c r="L2" s="31" t="inlineStr">
        <is>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is>
      </c>
      <c r="M2" s="155">
        <f>HYPERLINK("매뉴얼BODY(집행단계-첨부폴더)v8\6.건축\1_설계 적정성 검토\수행지침\설계 적정성 검토_수행지침.html", "👉 [클릭] 수행지침 열기 📄")</f>
        <v/>
      </c>
      <c r="N2" s="31" t="inlineStr">
        <is>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is>
      </c>
      <c r="O2" s="155">
        <f>HYPERLINK("매뉴얼BODY(집행단계-첨부폴더)v8\6.건축\1_설계 적정성 검토\체크리스트\설계 적정성 검토_체크리스트.html", "👉 [클릭] 체크리스트 열기 📄")</f>
        <v/>
      </c>
      <c r="P2" s="30" t="n"/>
      <c r="Q2" s="31" t="inlineStr">
        <is>
          <t>● 건축법 및 관련 소방, 정보통신 등 인터페이스 설계기준 준수</t>
        </is>
      </c>
      <c r="R2" s="24" t="inlineStr">
        <is>
          <t>1) 👉 [더블클릭] 체크리스트 열기 📄</t>
        </is>
      </c>
      <c r="S2" s="31" t="n"/>
    </row>
    <row r="3" ht="115.2" customHeight="1" s="148">
      <c r="A3" s="30" t="inlineStr">
        <is>
          <t>9000</t>
        </is>
      </c>
      <c r="B3" s="30" t="inlineStr">
        <is>
          <t>9000-4</t>
        </is>
      </c>
      <c r="C3" s="64" t="inlineStr">
        <is>
          <t>건축</t>
        </is>
      </c>
      <c r="D3" s="30" t="inlineStr">
        <is>
          <t>9000-4-2</t>
        </is>
      </c>
      <c r="E3" s="64" t="inlineStr">
        <is>
          <t>발주전략 KOM</t>
        </is>
      </c>
      <c r="F3" s="30" t="inlineStr">
        <is>
          <t>현장소장</t>
        </is>
      </c>
      <c r="G3" s="31" t="inlineStr">
        <is>
          <t>건축 구조물 및 내부, 마감공사 발주 전략 수립</t>
        </is>
      </c>
      <c r="H3" s="31" t="inlineStr">
        <is>
          <t>- 가시공 B/P 적정성 검토
- 현설조건 검토
- 공법 및 공기 검토
- 예산 적정성 검토
- 현장 여건 및 지반상태(기초, 말뚝등) 검토</t>
        </is>
      </c>
      <c r="I3" s="31" t="inlineStr">
        <is>
          <t>KOM 검토결과서, 현설서</t>
        </is>
      </c>
      <c r="J3" s="31" t="inlineStr">
        <is>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is>
      </c>
      <c r="K3" s="155">
        <f>HYPERLINK("매뉴얼BODY(집행단계-첨부폴더)v8\6.건축\2_발주전략 KOM\표준서\발주전략 KOM_표준서.html", "👉 [클릭] 표준서 열기 📄")</f>
        <v/>
      </c>
      <c r="L3" s="31" t="inlineStr">
        <is>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is>
      </c>
      <c r="M3" s="155">
        <f>HYPERLINK("매뉴얼BODY(집행단계-첨부폴더)v8\6.건축\2_발주전략 KOM\수행지침\발주전략 KOM_수행지침.html", "👉 [클릭] 수행지침 열기 📄")</f>
        <v/>
      </c>
      <c r="N3" s="31" t="inlineStr">
        <is>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is>
      </c>
      <c r="O3" s="155">
        <f>HYPERLINK("매뉴얼BODY(집행단계-첨부폴더)v8\6.건축\2_발주전략 KOM\체크리스트\발주전략 KOM_체크리스트.html", "👉 [클릭] 체크리스트 열기 📄")</f>
        <v/>
      </c>
      <c r="P3" s="30" t="n"/>
      <c r="Q3" s="31" t="inlineStr">
        <is>
          <t>● 본사외주부서, 수행부서, 토목견적팀 협의사항 준수</t>
        </is>
      </c>
      <c r="R3" s="24" t="inlineStr">
        <is>
          <t>1) 👉 [더블클릭] 체크리스트 열기 📄</t>
        </is>
      </c>
      <c r="S3" s="31" t="n"/>
    </row>
    <row r="4" ht="115.2" customHeight="1" s="148">
      <c r="A4" s="30" t="inlineStr">
        <is>
          <t>9000</t>
        </is>
      </c>
      <c r="B4" s="30" t="inlineStr">
        <is>
          <t>9000-4</t>
        </is>
      </c>
      <c r="C4" s="64" t="inlineStr">
        <is>
          <t>건축</t>
        </is>
      </c>
      <c r="D4" s="30" t="inlineStr">
        <is>
          <t>9000-4-3</t>
        </is>
      </c>
      <c r="E4" s="64" t="inlineStr">
        <is>
          <t>착공전 건축 인허가</t>
        </is>
      </c>
      <c r="F4" s="30" t="inlineStr">
        <is>
          <t>현장소장</t>
        </is>
      </c>
      <c r="G4" s="31" t="inlineStr">
        <is>
          <t>관련법에 따라 착수전 건축인허가 추진</t>
        </is>
      </c>
      <c r="H4" s="31" t="inlineStr">
        <is>
          <t>- 건축허가 요청(-&gt;관할 지자체)
- 착공신고서 제출(-&gt;관할 지자체)
- 소방시설공사 착공신고서 제출 (-&gt;관할 소방서)
- 정보통신공사 착공전 설계도 확인(-&gt;관할 지자체)</t>
        </is>
      </c>
      <c r="I4" s="31" t="inlineStr">
        <is>
          <t>인허가 신고/승인 문서</t>
        </is>
      </c>
      <c r="J4" s="31" t="inlineStr">
        <is>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is>
      </c>
      <c r="K4" s="155">
        <f>HYPERLINK("매뉴얼BODY(집행단계-첨부폴더)v8\6.건축\3_착공전 건축 인허가\표준서\착공전 건축 인허가_표준서.html", "👉 [클릭] 표준서 열기 📄")</f>
        <v/>
      </c>
      <c r="L4" s="31" t="inlineStr">
        <is>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is>
      </c>
      <c r="M4" s="155">
        <f>HYPERLINK("매뉴얼BODY(집행단계-첨부폴더)v8\6.건축\3_착공전 건축 인허가\수행지침\착공전 건축 인허가_수행지침.html", "👉 [클릭] 수행지침 열기 📄")</f>
        <v/>
      </c>
      <c r="N4" s="31" t="inlineStr">
        <is>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is>
      </c>
      <c r="O4" s="155">
        <f>HYPERLINK("매뉴얼BODY(집행단계-첨부폴더)v8\6.건축\3_착공전 건축 인허가\체크리스트\착공전 건축 인허가_체크리스트.html", "👉 [클릭] 체크리스트 열기 📄")</f>
        <v/>
      </c>
      <c r="P4" s="30" t="n"/>
      <c r="Q4" s="31" t="inlineStr">
        <is>
          <t>● 건축법, 소방시설공사업법, 정보통신공사업법 규정 준수</t>
        </is>
      </c>
      <c r="R4" s="24" t="inlineStr">
        <is>
          <t>1) 👉 [더블클릭] 체크리스트 열기 📄</t>
        </is>
      </c>
      <c r="S4" s="31" t="n"/>
    </row>
    <row r="5" ht="112.2" customHeight="1" s="148">
      <c r="A5" s="30" t="inlineStr">
        <is>
          <t>9000</t>
        </is>
      </c>
      <c r="B5" s="30" t="inlineStr">
        <is>
          <t>9000-4</t>
        </is>
      </c>
      <c r="C5" s="64" t="inlineStr">
        <is>
          <t>건축</t>
        </is>
      </c>
      <c r="D5" s="30" t="inlineStr">
        <is>
          <t>9000-4-4</t>
        </is>
      </c>
      <c r="E5" s="64" t="inlineStr">
        <is>
          <t>건축허가 요청</t>
        </is>
      </c>
      <c r="F5" s="30" t="inlineStr">
        <is>
          <t>건축설계사, 현장준비팀</t>
        </is>
      </c>
      <c r="G5" s="31" t="inlineStr">
        <is>
          <t>건축허가요청</t>
        </is>
      </c>
      <c r="H5" s="31" t="inlineStr">
        <is>
          <t>건축설계사, 현장준비팀 -&gt; 관할지자체
- 건축법 제11조(건축허가)
- 서식: 별지 제1호의4서식
- 관할지자체(시,군,구) 2일~15일</t>
        </is>
      </c>
      <c r="I5" s="31" t="inlineStr">
        <is>
          <t>건축허가 통보 문서</t>
        </is>
      </c>
      <c r="J5" s="31" t="inlineStr">
        <is>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is>
      </c>
      <c r="K5" s="155">
        <f>HYPERLINK("매뉴얼BODY(집행단계-첨부폴더)v8\6.건축\4_건축허가 요청\표준서\건축허가 요청_표준서.html", "👉 [클릭] 표준서 열기 📄")</f>
        <v/>
      </c>
      <c r="L5" s="31" t="inlineStr">
        <is>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is>
      </c>
      <c r="M5" s="155">
        <f>HYPERLINK("매뉴얼BODY(집행단계-첨부폴더)v8\6.건축\4_건축허가 요청\수행지침\건축허가 요청_수행지침.html", "👉 [클릭] 수행지침 열기 📄")</f>
        <v/>
      </c>
      <c r="N5" s="31" t="inlineStr">
        <is>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is>
      </c>
      <c r="O5" s="155">
        <f>HYPERLINK("매뉴얼BODY(집행단계-첨부폴더)v8\6.건축\4_건축허가 요청\체크리스트\건축허가 요청_체크리스트.html", "👉 [클릭] 체크리스트 열기 📄")</f>
        <v/>
      </c>
      <c r="P5" s="30" t="n"/>
      <c r="Q5" s="31" t="inlineStr">
        <is>
          <t>● 건축법 제11조</t>
        </is>
      </c>
      <c r="R5" s="24" t="inlineStr">
        <is>
          <t>1) 👉 [더블클릭] 체크리스트 열기 📄</t>
        </is>
      </c>
      <c r="S5" s="31" t="n"/>
    </row>
    <row r="6" ht="115.2" customHeight="1" s="148">
      <c r="A6" s="30" t="inlineStr">
        <is>
          <t>9000</t>
        </is>
      </c>
      <c r="B6" s="30" t="inlineStr">
        <is>
          <t>9000-4</t>
        </is>
      </c>
      <c r="C6" s="64" t="inlineStr">
        <is>
          <t>건축</t>
        </is>
      </c>
      <c r="D6" s="30" t="inlineStr">
        <is>
          <t>9000-4-5</t>
        </is>
      </c>
      <c r="E6" s="64" t="inlineStr">
        <is>
          <t>착공신고서 제출</t>
        </is>
      </c>
      <c r="F6" s="30" t="inlineStr">
        <is>
          <t>현장소장, 건축 설계사</t>
        </is>
      </c>
      <c r="G6" s="31" t="inlineStr">
        <is>
          <t>착공신고서 제출</t>
        </is>
      </c>
      <c r="H6" s="31" t="inlineStr">
        <is>
          <t>현장 -&gt; 관할지자체
- 건축법 제21조(착공신고등)
- 서식: 별지 제13호 서식
- 제출후 지자체 처리기간 3일 이내</t>
        </is>
      </c>
      <c r="I6" s="31" t="inlineStr">
        <is>
          <t>착공신고서 승인 통보 문서</t>
        </is>
      </c>
      <c r="J6" s="31" t="inlineStr">
        <is>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is>
      </c>
      <c r="K6" s="155">
        <f>HYPERLINK("매뉴얼BODY(집행단계-첨부폴더)v8\6.건축\5_착공신고서 제출\표준서\착공신고서 제출_표준서.html", "👉 [클릭] 표준서 열기 📄")</f>
        <v/>
      </c>
      <c r="L6" s="31" t="inlineStr">
        <is>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is>
      </c>
      <c r="M6" s="155">
        <f>HYPERLINK("매뉴얼BODY(집행단계-첨부폴더)v8\6.건축\5_착공신고서 제출\수행지침\착공신고서 제출_수행지침.html", "👉 [클릭] 수행지침 열기 📄")</f>
        <v/>
      </c>
      <c r="N6" s="31" t="inlineStr">
        <is>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is>
      </c>
      <c r="O6" s="155">
        <f>HYPERLINK("매뉴얼BODY(집행단계-첨부폴더)v8\6.건축\5_착공신고서 제출\체크리스트\착공신고서 제출_체크리스트.html", "👉 [클릭] 체크리스트 열기 📄")</f>
        <v/>
      </c>
      <c r="P6" s="30" t="n"/>
      <c r="Q6" s="31" t="inlineStr">
        <is>
          <t>● 건축법 제21조</t>
        </is>
      </c>
      <c r="R6" s="24" t="inlineStr">
        <is>
          <t>1) 👉 [더블클릭] 체크리스트 열기 📄</t>
        </is>
      </c>
      <c r="S6" s="31" t="n"/>
    </row>
    <row r="7" ht="115.2" customHeight="1" s="148">
      <c r="A7" s="30" t="inlineStr">
        <is>
          <t>9000</t>
        </is>
      </c>
      <c r="B7" s="30" t="inlineStr">
        <is>
          <t>9000-4</t>
        </is>
      </c>
      <c r="C7" s="64" t="inlineStr">
        <is>
          <t>건축</t>
        </is>
      </c>
      <c r="D7" s="30" t="inlineStr">
        <is>
          <t>9000-4-6</t>
        </is>
      </c>
      <c r="E7" s="64" t="inlineStr">
        <is>
          <t>소방시설공사 착공 신고서 제출</t>
        </is>
      </c>
      <c r="F7" s="30" t="inlineStr">
        <is>
          <t>현장소장</t>
        </is>
      </c>
      <c r="G7" s="31" t="inlineStr">
        <is>
          <t>소방시설공사 착공신고서 제출</t>
        </is>
      </c>
      <c r="H7" s="31" t="inlineStr">
        <is>
          <t>현장 -&gt; 관할소방서, 소방시설공사업법 제13조(착공신고)
- 서식: 별지 제14호 서식
- 제출후 처리기간 2일 이내</t>
        </is>
      </c>
      <c r="I7" s="31" t="inlineStr">
        <is>
          <t>소방시설공사 착공신고필증</t>
        </is>
      </c>
      <c r="J7" s="31" t="inlineStr">
        <is>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is>
      </c>
      <c r="K7" s="155">
        <f>HYPERLINK("매뉴얼BODY(집행단계-첨부폴더)v8\6.건축\6_소방시설공사 착공 신고서 제출\표준서\소방시설공사 착공 신고서 제출_표준서.html", "👉 [클릭] 표준서 열기 📄")</f>
        <v/>
      </c>
      <c r="L7" s="31" t="inlineStr">
        <is>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is>
      </c>
      <c r="M7" s="155">
        <f>HYPERLINK("매뉴얼BODY(집행단계-첨부폴더)v8\6.건축\6_소방시설공사 착공 신고서 제출\수행지침\소방시설공사 착공 신고서 제출_수행지침.html", "👉 [클릭] 수행지침 열기 📄")</f>
        <v/>
      </c>
      <c r="N7" s="31" t="inlineStr">
        <is>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is>
      </c>
      <c r="O7" s="155">
        <f>HYPERLINK("매뉴얼BODY(집행단계-첨부폴더)v8\6.건축\6_소방시설공사 착공 신고서 제출\체크리스트\소방시설공사 착공 신고서 제출_체크리스트.html", "👉 [클릭] 체크리스트 열기 📄")</f>
        <v/>
      </c>
      <c r="P7" s="30" t="n"/>
      <c r="Q7" s="31" t="inlineStr">
        <is>
          <t>● 소방시설공사업법 제13조</t>
        </is>
      </c>
      <c r="R7" s="24" t="inlineStr">
        <is>
          <t>1) 👉 [더블클릭] 체크리스트 열기 📄</t>
        </is>
      </c>
      <c r="S7" s="31" t="n"/>
    </row>
    <row r="8" ht="115.2" customHeight="1" s="148">
      <c r="A8" s="30" t="inlineStr">
        <is>
          <t>9000</t>
        </is>
      </c>
      <c r="B8" s="30" t="inlineStr">
        <is>
          <t>9000-4</t>
        </is>
      </c>
      <c r="C8" s="64" t="inlineStr">
        <is>
          <t>건축</t>
        </is>
      </c>
      <c r="D8" s="30" t="inlineStr">
        <is>
          <t>9000-4-7</t>
        </is>
      </c>
      <c r="E8" s="64" t="inlineStr">
        <is>
          <t>정보통신공사 착공전 설계도 확인 (신청서 제출 및 결과 접수)</t>
        </is>
      </c>
      <c r="F8" s="30" t="inlineStr">
        <is>
          <t>현장소장</t>
        </is>
      </c>
      <c r="G8" s="31" t="inlineStr">
        <is>
          <t>정보통신공사 착공전 설계도 확인 신청 및 제출</t>
        </is>
      </c>
      <c r="H8" s="31" t="inlineStr">
        <is>
          <t>현장 -&gt; 관할지자체, 정보통신공사업법 시행령 제35조의 2
- 서식: 별지 제7호 서식
- 제출후 처리기간 14일 이내</t>
        </is>
      </c>
      <c r="I8" s="31" t="inlineStr">
        <is>
          <t>정보통신공사 착공전 설계도 확인결과 통보서</t>
        </is>
      </c>
      <c r="J8" s="31" t="inlineStr">
        <is>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is>
      </c>
      <c r="K8" s="155">
        <f>HYPERLINK("매뉴얼BODY(집행단계-첨부폴더)v8\6.건축\7_정보통신공사 착공전 설계도 확인 (신청서 제출 및 결과 접수)\표준서\정보통신공사 착공전 설계도 확인 (신청서 제출 및 결과 접수)_표준서.html", "👉 [클릭] 표준서 열기 📄")</f>
        <v/>
      </c>
      <c r="L8" s="31" t="inlineStr">
        <is>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is>
      </c>
      <c r="M8" s="155">
        <f>HYPERLINK("매뉴얼BODY(집행단계-첨부폴더)v8\6.건축\7_정보통신공사 착공전 설계도 확인 (신청서 제출 및 결과 접수)\수행지침\정보통신공사 착공전 설계도 확인 (신청서 제출 및 결과 접수)_수행지침.html", "👉 [클릭] 수행지침 열기 📄")</f>
        <v/>
      </c>
      <c r="N8" s="31" t="inlineStr">
        <is>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is>
      </c>
      <c r="O8" s="155">
        <f>HYPERLINK("매뉴얼BODY(집행단계-첨부폴더)v8\6.건축\7_정보통신공사 착공전 설계도 확인 (신청서 제출 및 결과 접수)\체크리스트\정보통신공사 착공전 설계도 확인 (신청서 제출 및 결과 접수)_체크리스트.html", "👉 [클릭] 체크리스트 열기 📄")</f>
        <v/>
      </c>
      <c r="P8" s="30" t="n"/>
      <c r="Q8" s="31" t="inlineStr">
        <is>
          <t>● 정보통신공사업법 시행령 제35조의 2</t>
        </is>
      </c>
      <c r="R8" s="24" t="inlineStr">
        <is>
          <t>1) 👉 [더블클릭] 체크리스트 열기 📄</t>
        </is>
      </c>
      <c r="S8" s="31" t="n"/>
    </row>
    <row r="9" ht="96" customHeight="1" s="148">
      <c r="A9" s="30" t="inlineStr">
        <is>
          <t>9000</t>
        </is>
      </c>
      <c r="B9" s="30" t="inlineStr">
        <is>
          <t>9000-4</t>
        </is>
      </c>
      <c r="C9" s="64" t="inlineStr">
        <is>
          <t>건축</t>
        </is>
      </c>
      <c r="D9" s="30" t="inlineStr">
        <is>
          <t>9000-4-8</t>
        </is>
      </c>
      <c r="E9" s="64" t="inlineStr">
        <is>
          <t>선행공종 인수사항 확인</t>
        </is>
      </c>
      <c r="F9" s="30" t="inlineStr">
        <is>
          <t>현장공사팀</t>
        </is>
      </c>
      <c r="G9" s="31" t="inlineStr">
        <is>
          <t>선행공종 인수인계</t>
        </is>
      </c>
      <c r="H9" s="31" t="inlineStr">
        <is>
          <t>- 부지경계 측량 확인
- 업체간 현장확인+좌표화 Data 인수
- 지장물, 지반상태, 진입로, 작업장 현황</t>
        </is>
      </c>
      <c r="I9" s="31" t="inlineStr">
        <is>
          <t>회의록, 인수사항 List</t>
        </is>
      </c>
      <c r="J9" s="31" t="inlineStr">
        <is>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is>
      </c>
      <c r="K9" s="155">
        <f>HYPERLINK("매뉴얼BODY(집행단계-첨부폴더)v8\6.건축\8_선행공종 인수사항 확인\표준서\선행공종 인수사항 확인_표준서.html", "👉 [클릭] 표준서 열기 📄")</f>
        <v/>
      </c>
      <c r="L9" s="31" t="inlineStr">
        <is>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is>
      </c>
      <c r="M9" s="155">
        <f>HYPERLINK("매뉴얼BODY(집행단계-첨부폴더)v8\6.건축\8_선행공종 인수사항 확인\수행지침\선행공종 인수사항 확인_수행지침.html", "👉 [클릭] 수행지침 열기 📄")</f>
        <v/>
      </c>
      <c r="N9" s="31" t="inlineStr">
        <is>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is>
      </c>
      <c r="O9" s="155">
        <f>HYPERLINK("매뉴얼BODY(집행단계-첨부폴더)v8\6.건축\8_선행공종 인수사항 확인\체크리스트\선행공종 인수사항 확인_체크리스트.html", "👉 [클릭] 체크리스트 열기 📄")</f>
        <v/>
      </c>
      <c r="P9" s="30" t="n"/>
      <c r="Q9" s="31" t="inlineStr">
        <is>
          <t>● 선행공종(토공, 지반개량 등) 인수 및 좌표 검증</t>
        </is>
      </c>
      <c r="R9" s="24" t="inlineStr">
        <is>
          <t>1) 👉 [더블클릭] 체크리스트 열기 📄</t>
        </is>
      </c>
      <c r="S9" s="31" t="n"/>
    </row>
    <row r="10" ht="96" customHeight="1" s="148">
      <c r="A10" s="30" t="inlineStr">
        <is>
          <t>9000</t>
        </is>
      </c>
      <c r="B10" s="30" t="inlineStr">
        <is>
          <t>9000-4</t>
        </is>
      </c>
      <c r="C10" s="64" t="inlineStr">
        <is>
          <t>건축</t>
        </is>
      </c>
      <c r="D10" s="30" t="inlineStr">
        <is>
          <t>9000-4-9</t>
        </is>
      </c>
      <c r="E10" s="64" t="inlineStr">
        <is>
          <t>인터페이스 사항 검토 및 지원</t>
        </is>
      </c>
      <c r="F10" s="30" t="inlineStr">
        <is>
          <t>토목수행팀 / 현장 공사, 공무 Part</t>
        </is>
      </c>
      <c r="G10" s="31" t="inlineStr">
        <is>
          <t>후행공정 설계오류 및 변경검토</t>
        </is>
      </c>
      <c r="H10" s="31" t="inlineStr">
        <is>
          <t>- 설계도서 검토를 통한 공종간 인터페이스 사항에 대한 사전검토(오픈구 등)
- 유사공종 경험자 현장 지원 파견검토
- 콘크리트 타설전(기계설비, 전기, 통신) 사전 매입해야 할 배관,슬리브위치 타공정 확인</t>
        </is>
      </c>
      <c r="I10" s="31" t="inlineStr">
        <is>
          <t>회의록, 시공상세도</t>
        </is>
      </c>
      <c r="J10" s="31" t="inlineStr">
        <is>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is>
      </c>
      <c r="K10" s="155">
        <f>HYPERLINK("매뉴얼BODY(집행단계-첨부폴더)v8\6.건축\9_인터페이스 사항 검토 및 지원\표준서\인터페이스 사항 검토 및 지원_표준서.html", "👉 [클릭] 표준서 열기 📄")</f>
        <v/>
      </c>
      <c r="L10" s="31" t="inlineStr">
        <is>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is>
      </c>
      <c r="M10" s="155">
        <f>HYPERLINK("매뉴얼BODY(집행단계-첨부폴더)v8\6.건축\9_인터페이스 사항 검토 및 지원\수행지침\인터페이스 사항 검토 및 지원_수행지침.html", "👉 [클릭] 수행지침 열기 📄")</f>
        <v/>
      </c>
      <c r="N10" s="31" t="inlineStr">
        <is>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is>
      </c>
      <c r="O10" s="155">
        <f>HYPERLINK("매뉴얼BODY(집행단계-첨부폴더)v8\6.건축\9_인터페이스 사항 검토 및 지원\체크리스트\인터페이스 사항 검토 및 지원_체크리스트.html", "👉 [클릭] 체크리스트 열기 📄")</f>
        <v/>
      </c>
      <c r="P10" s="30" t="n"/>
      <c r="Q10" s="31" t="inlineStr">
        <is>
          <t>● 공종간 간섭 최소화</t>
        </is>
      </c>
      <c r="R10" s="24" t="inlineStr">
        <is>
          <t>1) 👉 [더블클릭] 체크리스트 열기 📄</t>
        </is>
      </c>
      <c r="S10" s="31" t="n"/>
    </row>
    <row r="11" ht="115.2" customHeight="1" s="148">
      <c r="A11" s="30" t="inlineStr">
        <is>
          <t>9000</t>
        </is>
      </c>
      <c r="B11" s="30" t="inlineStr">
        <is>
          <t>9000-4</t>
        </is>
      </c>
      <c r="C11" s="64" t="inlineStr">
        <is>
          <t>건축</t>
        </is>
      </c>
      <c r="D11" s="30" t="inlineStr">
        <is>
          <t>9000-4-10</t>
        </is>
      </c>
      <c r="E11" s="64" t="inlineStr">
        <is>
          <t>품질/안전 LL 공유</t>
        </is>
      </c>
      <c r="F11" s="30" t="inlineStr">
        <is>
          <t>현장 품질팀, 현장 안전팀</t>
        </is>
      </c>
      <c r="G11" s="31" t="inlineStr">
        <is>
          <t>품질/안전 하자 최소화</t>
        </is>
      </c>
      <c r="H11" s="31" t="inlineStr">
        <is>
          <t>시공시 발생가능 품질, 안전 하자 최소화</t>
        </is>
      </c>
      <c r="I11" s="31" t="inlineStr">
        <is>
          <t>시공계획수립시 반영</t>
        </is>
      </c>
      <c r="J11" s="31" t="inlineStr">
        <is>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is>
      </c>
      <c r="K11" s="155">
        <f>HYPERLINK("매뉴얼BODY(집행단계-첨부폴더)v8\6.건축\10_품질_안전 LL 공유\표준서\품질_안전 LL 공유_표준서.html", "👉 [클릭] 표준서 열기 📄")</f>
        <v/>
      </c>
      <c r="L11" s="31" t="inlineStr">
        <is>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is>
      </c>
      <c r="M11" s="155">
        <f>HYPERLINK("매뉴얼BODY(집행단계-첨부폴더)v8\6.건축\10_품질_안전 LL 공유\수행지침\품질_안전 LL 공유_수행지침.html", "👉 [클릭] 수행지침 열기 📄")</f>
        <v/>
      </c>
      <c r="N11" s="31" t="inlineStr">
        <is>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is>
      </c>
      <c r="O11" s="155">
        <f>HYPERLINK("매뉴얼BODY(집행단계-첨부폴더)v8\6.건축\10_품질_안전 LL 공유\체크리스트\품질_안전 LL 공유_체크리스트.html", "👉 [클릭] 체크리스트 열기 📄")</f>
        <v/>
      </c>
      <c r="P11" s="30" t="n"/>
      <c r="Q11" s="31" t="inlineStr">
        <is>
          <t>● 기존 하자사례 및 Lesson Learned 반영</t>
        </is>
      </c>
      <c r="R11" s="24" t="inlineStr">
        <is>
          <t>1) 👉 [더블클릭] 체크리스트 열기 📄</t>
        </is>
      </c>
      <c r="S11" s="31" t="n"/>
    </row>
    <row r="12" ht="175.2" customHeight="1" s="148">
      <c r="A12" s="30" t="inlineStr">
        <is>
          <t>9000</t>
        </is>
      </c>
      <c r="B12" s="30" t="inlineStr">
        <is>
          <t>9000-4</t>
        </is>
      </c>
      <c r="C12" s="64" t="inlineStr">
        <is>
          <t>건축</t>
        </is>
      </c>
      <c r="D12" s="30" t="inlineStr">
        <is>
          <t>9000-4-11</t>
        </is>
      </c>
      <c r="E12" s="64" t="inlineStr">
        <is>
          <t>자재공급원승인 및 자재발주</t>
        </is>
      </c>
      <c r="F12" s="30" t="inlineStr">
        <is>
          <t>현장 공무팀</t>
        </is>
      </c>
      <c r="G12" s="31" t="inlineStr">
        <is>
          <t>공사에 필요한 자재 발주</t>
        </is>
      </c>
      <c r="H12" s="31" t="inlineStr">
        <is>
          <t>- 자재 규격 및 반입 일정 계획 수립
- 시공에 필요한 당사 지급자재에 대한 발주 요청
- 자재공급원 승인 제출 및 확인</t>
        </is>
      </c>
      <c r="I12" s="31" t="inlineStr">
        <is>
          <t>구매 의뢰 승인, 자재공급원 승인서류</t>
        </is>
      </c>
      <c r="J12" s="31" t="inlineStr">
        <is>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is>
      </c>
      <c r="K12" s="155">
        <f>HYPERLINK("매뉴얼BODY(집행단계-첨부폴더)v8\6.건축\11_자재공급원승인 및 자재발주\표준서\자재공급원승인 및 자재발주_표준서.html", "👉 [클릭] 표준서 열기 📄")</f>
        <v/>
      </c>
      <c r="L12" s="31" t="inlineStr">
        <is>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is>
      </c>
      <c r="M12" s="155">
        <f>HYPERLINK("매뉴얼BODY(집행단계-첨부폴더)v8\6.건축\11_자재공급원승인 및 자재발주\수행지침\자재공급원승인 및 자재발주_수행지침.html", "👉 [클릭] 수행지침 열기 📄")</f>
        <v/>
      </c>
      <c r="N12" s="31" t="inlineStr">
        <is>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is>
      </c>
      <c r="O12" s="155">
        <f>HYPERLINK("매뉴얼BODY(집행단계-첨부폴더)v8\6.건축\11_자재공급원승인 및 자재발주\체크리스트\자재공급원승인 및 자재발주_체크리스트.html", "👉 [클릭] 체크리스트 열기 📄")</f>
        <v/>
      </c>
      <c r="P12" s="30" t="n"/>
      <c r="Q12" s="31" t="inlineStr">
        <is>
          <t>● 자재 규격 및 기준 만족</t>
        </is>
      </c>
      <c r="R12" s="24" t="inlineStr">
        <is>
          <t>1) 👉 [더블클릭] 체크리스트 열기 📄</t>
        </is>
      </c>
      <c r="S12" s="31" t="n"/>
    </row>
    <row r="13" ht="211.2" customHeight="1" s="148">
      <c r="A13" s="30" t="inlineStr">
        <is>
          <t>9000</t>
        </is>
      </c>
      <c r="B13" s="30" t="inlineStr">
        <is>
          <t>9000-4</t>
        </is>
      </c>
      <c r="C13" s="64" t="inlineStr">
        <is>
          <t>건축</t>
        </is>
      </c>
      <c r="D13" s="30" t="inlineStr">
        <is>
          <t>9000-4-12</t>
        </is>
      </c>
      <c r="E13" s="64" t="inlineStr">
        <is>
          <t>착수전 Big Room 회의</t>
        </is>
      </c>
      <c r="F13" s="30" t="inlineStr">
        <is>
          <t>현장소장</t>
        </is>
      </c>
      <c r="G13" s="31" t="inlineStr">
        <is>
          <t>선후행공정 지원사항 도출, 수행시 예상가능 Risk 검토 및 대책 수립</t>
        </is>
      </c>
      <c r="H13" s="31" t="inlineStr">
        <is>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is>
      </c>
      <c r="I13" s="31" t="inlineStr">
        <is>
          <t>Big Room 회의록(참석자 전원 서명)</t>
        </is>
      </c>
      <c r="J13" s="31" t="inlineStr">
        <is>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is>
      </c>
      <c r="K13" s="155">
        <f>HYPERLINK("매뉴얼BODY(집행단계-첨부폴더)v8\6.건축\12_착수전 Big Room 회의\표준서\착수전 Big Room 회의_표준서.html", "👉 [클릭] 표준서 열기 📄")</f>
        <v/>
      </c>
      <c r="L13" s="31" t="inlineStr">
        <is>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is>
      </c>
      <c r="M13" s="155">
        <f>HYPERLINK("매뉴얼BODY(집행단계-첨부폴더)v8\6.건축\12_착수전 Big Room 회의\수행지침\착수전 Big Room 회의_수행지침.html", "👉 [클릭] 수행지침 열기 📄")</f>
        <v/>
      </c>
      <c r="N13" s="31" t="inlineStr">
        <is>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is>
      </c>
      <c r="O13" s="155">
        <f>HYPERLINK("매뉴얼BODY(집행단계-첨부폴더)v8\6.건축\12_착수전 Big Room 회의\체크리스트\착수전 Big Room 회의_체크리스트.html", "👉 [클릭] 체크리스트 열기 📄")</f>
        <v/>
      </c>
      <c r="P13" s="30" t="n"/>
      <c r="Q13" s="31" t="inlineStr">
        <is>
          <t>● 유관부서(견적/엔지니어링/공정/품질/안전) 협의</t>
        </is>
      </c>
      <c r="R13" s="24" t="inlineStr">
        <is>
          <t>1) 👉 [더블클릭] 체크리스트 열기 📄</t>
        </is>
      </c>
      <c r="S13" s="31" t="n"/>
    </row>
    <row r="14" ht="115.2" customHeight="1" s="148">
      <c r="A14" s="30" t="inlineStr">
        <is>
          <t>9000</t>
        </is>
      </c>
      <c r="B14" s="30" t="inlineStr">
        <is>
          <t>9000-4</t>
        </is>
      </c>
      <c r="C14" s="64" t="inlineStr">
        <is>
          <t>건축</t>
        </is>
      </c>
      <c r="D14" s="30" t="inlineStr">
        <is>
          <t>9000-4-13</t>
        </is>
      </c>
      <c r="E14" s="64" t="inlineStr">
        <is>
          <t>시공계획 수립/승인</t>
        </is>
      </c>
      <c r="F14" s="30" t="inlineStr">
        <is>
          <t>현장소장</t>
        </is>
      </c>
      <c r="G14" s="31" t="inlineStr">
        <is>
          <t>인력, 품질이 확보된 시공계획 수립</t>
        </is>
      </c>
      <c r="H14" s="31" t="inlineStr">
        <is>
          <t>- 공사계획: 장비/자재배치, 동선, 인원/장비/자재투입 계획, 공정표, 배수계획 등
- 안전관리: 위험요인/대책, 안전교육/시설/점검 계획 수립
- 품질관리: 품질하자 Risk 및 대책수립
- 환경관리: 소음, 분진 등 환경대책 수립</t>
        </is>
      </c>
      <c r="I14" s="31" t="inlineStr">
        <is>
          <t>(승인)관리시공계획서&amp;시공상세도</t>
        </is>
      </c>
      <c r="J14" s="31" t="inlineStr">
        <is>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is>
      </c>
      <c r="K14" s="155">
        <f>HYPERLINK("매뉴얼BODY(집행단계-첨부폴더)v8\6.건축\13_시공계획 수립_승인\표준서\시공계획 수립_승인_표준서.html", "👉 [클릭] 표준서 열기 📄")</f>
        <v/>
      </c>
      <c r="L14" s="31" t="inlineStr">
        <is>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is>
      </c>
      <c r="M14" s="155">
        <f>HYPERLINK("매뉴얼BODY(집행단계-첨부폴더)v8\6.건축\13_시공계획 수립_승인\수행지침\시공계획 수립_승인_수행지침.html", "👉 [클릭] 수행지침 열기 📄")</f>
        <v/>
      </c>
      <c r="N14" s="31" t="inlineStr">
        <is>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is>
      </c>
      <c r="O14" s="155">
        <f>HYPERLINK("매뉴얼BODY(집행단계-첨부폴더)v8\6.건축\13_시공계획 수립_승인\체크리스트\시공계획 수립_승인_체크리스트.html", "👉 [클릭] 체크리스트 열기 📄")</f>
        <v/>
      </c>
      <c r="P14" s="30" t="n"/>
      <c r="Q14" s="31" t="inlineStr">
        <is>
          <t>● 건설기술진흥법 규정 준수</t>
        </is>
      </c>
      <c r="R14" s="24" t="inlineStr">
        <is>
          <t>1) 👉 [더블클릭] 체크리스트 열기 📄</t>
        </is>
      </c>
      <c r="S14" s="31" t="n"/>
    </row>
    <row r="15" ht="115.2" customHeight="1" s="148">
      <c r="A15" s="30" t="inlineStr">
        <is>
          <t>9000</t>
        </is>
      </c>
      <c r="B15" s="30" t="inlineStr">
        <is>
          <t>9000-4</t>
        </is>
      </c>
      <c r="C15" s="64" t="inlineStr">
        <is>
          <t>건축</t>
        </is>
      </c>
      <c r="D15" s="30" t="inlineStr">
        <is>
          <t>9000-4-14</t>
        </is>
      </c>
      <c r="E15" s="64" t="inlineStr">
        <is>
          <t>측량, 자재/장비 반입, 안전교육</t>
        </is>
      </c>
      <c r="F15" s="30" t="inlineStr">
        <is>
          <t>현장소장</t>
        </is>
      </c>
      <c r="G15" s="31" t="inlineStr">
        <is>
          <t>D-day 전에 공사 준비완료</t>
        </is>
      </c>
      <c r="H15" s="31" t="inlineStr">
        <is>
          <t>- 측량: 측량기준점 설치, 공사위치 마킹
- 자재는 지정된 야적장에 보관
- 장비 Spec확인, 장비안전검사
- 작업원 안전교육 실시</t>
        </is>
      </c>
      <c r="I15" s="31" t="inlineStr">
        <is>
          <t>측량기록지, 안전교육 결과서</t>
        </is>
      </c>
      <c r="J15" s="31" t="inlineStr">
        <is>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is>
      </c>
      <c r="K15" s="155">
        <f>HYPERLINK("매뉴얼BODY(집행단계-첨부폴더)v8\6.건축\14_측량, 자재_장비 반입, 안전교육\표준서\측량, 자재_장비 반입, 안전교육_표준서.html", "👉 [클릭] 표준서 열기 📄")</f>
        <v/>
      </c>
      <c r="L15" s="31" t="inlineStr">
        <is>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is>
      </c>
      <c r="M15" s="155">
        <f>HYPERLINK("매뉴얼BODY(집행단계-첨부폴더)v8\6.건축\14_측량, 자재_장비 반입, 안전교육\수행지침\측량, 자재_장비 반입, 안전교육_수행지침.html", "👉 [클릭] 수행지침 열기 📄")</f>
        <v/>
      </c>
      <c r="N15" s="31" t="inlineStr">
        <is>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is>
      </c>
      <c r="O15" s="155">
        <f>HYPERLINK("매뉴얼BODY(집행단계-첨부폴더)v8\6.건축\14_측량, 자재_장비 반입, 안전교육\체크리스트\측량, 자재_장비 반입, 안전교육_체크리스트.html", "👉 [클릭] 체크리스트 열기 📄")</f>
        <v/>
      </c>
      <c r="P15" s="30" t="n"/>
      <c r="Q15" s="31" t="inlineStr">
        <is>
          <t>● 측량법 및 산업안전보건법 준수</t>
        </is>
      </c>
      <c r="R15" s="24" t="inlineStr">
        <is>
          <t>1) 👉 [더블클릭] 체크리스트 열기 📄</t>
        </is>
      </c>
      <c r="S15" s="31" t="n"/>
    </row>
    <row r="16" ht="115.2" customHeight="1" s="148">
      <c r="A16" s="30" t="inlineStr">
        <is>
          <t>9000</t>
        </is>
      </c>
      <c r="B16" s="30" t="inlineStr">
        <is>
          <t>9000-4</t>
        </is>
      </c>
      <c r="C16" s="64" t="inlineStr">
        <is>
          <t>건축</t>
        </is>
      </c>
      <c r="D16" s="30" t="inlineStr">
        <is>
          <t>9000-4-15</t>
        </is>
      </c>
      <c r="E16" s="64" t="inlineStr">
        <is>
          <t>자재 검수</t>
        </is>
      </c>
      <c r="F16" s="30" t="inlineStr">
        <is>
          <t>현장 자재팀 / 품질팀</t>
        </is>
      </c>
      <c r="G16" s="31" t="inlineStr">
        <is>
          <t>설계/시방기준에 적합한 자재 반입</t>
        </is>
      </c>
      <c r="H16" s="31" t="inlineStr">
        <is>
          <t>- 송장과 실물 확인(규격, 성능, 수량)
- 시방기준에 따른 품질시험 실시
- 훼손, 오반입시 반출조치</t>
        </is>
      </c>
      <c r="I16" s="31" t="inlineStr">
        <is>
          <t>자재검수서, 품질시험 보고서</t>
        </is>
      </c>
      <c r="J16" s="31" t="inlineStr">
        <is>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is>
      </c>
      <c r="K16" s="155">
        <f>HYPERLINK("매뉴얼BODY(집행단계-첨부폴더)v8\6.건축\15_자재 검수\표준서\자재 검수_표준서.html", "👉 [클릭] 표준서 열기 📄")</f>
        <v/>
      </c>
      <c r="L16" s="31" t="inlineStr">
        <is>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is>
      </c>
      <c r="M16" s="155">
        <f>HYPERLINK("매뉴얼BODY(집행단계-첨부폴더)v8\6.건축\15_자재 검수\수행지침\자재 검수_수행지침.html", "👉 [클릭] 수행지침 열기 📄")</f>
        <v/>
      </c>
      <c r="N16" s="31" t="inlineStr">
        <is>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is>
      </c>
      <c r="O16" s="155">
        <f>HYPERLINK("매뉴얼BODY(집행단계-첨부폴더)v8\6.건축\15_자재 검수\체크리스트\자재 검수_체크리스트.html", "👉 [클릭] 체크리스트 열기 📄")</f>
        <v/>
      </c>
      <c r="P16" s="30" t="n"/>
      <c r="Q16" s="31" t="inlineStr">
        <is>
          <t>● KS 규격 및 시방 기준 준수</t>
        </is>
      </c>
      <c r="R16" s="24" t="inlineStr">
        <is>
          <t>1) 👉 [더블클릭] 체크리스트 열기 📄</t>
        </is>
      </c>
      <c r="S16" s="31" t="n"/>
    </row>
    <row r="17" ht="96" customHeight="1" s="148">
      <c r="A17" s="30" t="inlineStr">
        <is>
          <t>9000</t>
        </is>
      </c>
      <c r="B17" s="30" t="inlineStr">
        <is>
          <t>9000-4</t>
        </is>
      </c>
      <c r="C17" s="64" t="inlineStr">
        <is>
          <t>건축</t>
        </is>
      </c>
      <c r="D17" s="30" t="inlineStr">
        <is>
          <t>9000-4-16</t>
        </is>
      </c>
      <c r="E17" s="64" t="inlineStr">
        <is>
          <t>터파기/지반 정리</t>
        </is>
      </c>
      <c r="F17" s="30" t="inlineStr">
        <is>
          <t>현장소장</t>
        </is>
      </c>
      <c r="G17" s="31" t="inlineStr">
        <is>
          <t>구조물 시공을 위한 바닥 확보</t>
        </is>
      </c>
      <c r="H17" s="31" t="inlineStr">
        <is>
          <t>측량을 통한 계획Level, 위치 확인, 바닥 지지력 시험</t>
        </is>
      </c>
      <c r="I17" s="31" t="inlineStr">
        <is>
          <t>측량 성과, 지지력시험성과 보고서</t>
        </is>
      </c>
      <c r="J17" s="31" t="inlineStr">
        <is>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is>
      </c>
      <c r="K17" s="155">
        <f>HYPERLINK("매뉴얼BODY(집행단계-첨부폴더)v8\6.건축\16_터파기_지반 정리\표준서\터파기_지반 정리_표준서.html", "👉 [클릭] 표준서 열기 📄")</f>
        <v/>
      </c>
      <c r="L17" s="31" t="inlineStr">
        <is>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is>
      </c>
      <c r="M17" s="155">
        <f>HYPERLINK("매뉴얼BODY(집행단계-첨부폴더)v8\6.건축\16_터파기_지반 정리\수행지침\터파기_지반 정리_수행지침.html", "👉 [클릭] 수행지침 열기 📄")</f>
        <v/>
      </c>
      <c r="N17" s="31" t="inlineStr">
        <is>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is>
      </c>
      <c r="O17" s="155">
        <f>HYPERLINK("매뉴얼BODY(집행단계-첨부폴더)v8\6.건축\16_터파기_지반 정리\체크리스트\터파기_지반 정리_체크리스트.html", "👉 [클릭] 체크리스트 열기 📄")</f>
        <v/>
      </c>
      <c r="P17" s="30" t="n"/>
      <c r="Q17" s="31" t="inlineStr">
        <is>
          <t>● 지반 지지력 및 굴착 공차 관리 기준</t>
        </is>
      </c>
      <c r="R17" s="24" t="inlineStr">
        <is>
          <t>1) 👉 [더블클릭] 체크리스트 열기 📄</t>
        </is>
      </c>
      <c r="S17" s="31" t="n"/>
    </row>
    <row r="18" ht="115.2" customHeight="1" s="148">
      <c r="A18" s="30" t="inlineStr">
        <is>
          <t>9000</t>
        </is>
      </c>
      <c r="B18" s="30" t="inlineStr">
        <is>
          <t>9000-4</t>
        </is>
      </c>
      <c r="C18" s="64" t="inlineStr">
        <is>
          <t>건축</t>
        </is>
      </c>
      <c r="D18" s="30" t="inlineStr">
        <is>
          <t>9000-4-17</t>
        </is>
      </c>
      <c r="E18" s="64" t="inlineStr">
        <is>
          <t>바닥(버림) 콘크리트 타설</t>
        </is>
      </c>
      <c r="F18" s="30" t="inlineStr">
        <is>
          <t>현장소장</t>
        </is>
      </c>
      <c r="G18" s="31" t="inlineStr">
        <is>
          <t>철근을 깔 수 있는 평탄한 바닥확보</t>
        </is>
      </c>
      <c r="H18" s="31" t="inlineStr">
        <is>
          <t>도면에 따라 거푸집 조립, 버림con't타설, 양생, 거푸집 해체/정리</t>
        </is>
      </c>
      <c r="I18" s="31" t="inlineStr">
        <is>
          <t>검측서</t>
        </is>
      </c>
      <c r="J18" s="31" t="inlineStr">
        <is>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is>
      </c>
      <c r="K18" s="155">
        <f>HYPERLINK("매뉴얼BODY(집행단계-첨부폴더)v8\6.건축\17_바닥(버림) 콘크리트 타설\표준서\바닥(버림) 콘크리트 타설_표준서.html", "👉 [클릭] 표준서 열기 📄")</f>
        <v/>
      </c>
      <c r="L18" s="31" t="inlineStr">
        <is>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is>
      </c>
      <c r="M18" s="155">
        <f>HYPERLINK("매뉴얼BODY(집행단계-첨부폴더)v8\6.건축\17_바닥(버림) 콘크리트 타설\수행지침\바닥(버림) 콘크리트 타설_수행지침.html", "👉 [클릭] 수행지침 열기 📄")</f>
        <v/>
      </c>
      <c r="N18" s="31" t="inlineStr">
        <is>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is>
      </c>
      <c r="O18" s="155">
        <f>HYPERLINK("매뉴얼BODY(집행단계-첨부폴더)v8\6.건축\17_바닥(버림) 콘크리트 타설\체크리스트\바닥(버림) 콘크리트 타설_체크리스트.html", "👉 [클릭] 체크리스트 열기 📄")</f>
        <v/>
      </c>
      <c r="P18" s="30" t="n"/>
      <c r="Q18" s="31" t="inlineStr">
        <is>
          <t>● 버림 콘크리트 두께 및 높이 준수</t>
        </is>
      </c>
      <c r="R18" s="24" t="inlineStr">
        <is>
          <t>1) 👉 [더블클릭] 체크리스트 열기 📄</t>
        </is>
      </c>
      <c r="S18" s="31" t="n"/>
    </row>
    <row r="19" ht="115.2" customHeight="1" s="148">
      <c r="A19" s="30" t="inlineStr">
        <is>
          <t>9000</t>
        </is>
      </c>
      <c r="B19" s="30" t="inlineStr">
        <is>
          <t>9000-4</t>
        </is>
      </c>
      <c r="C19" s="64" t="inlineStr">
        <is>
          <t>건축</t>
        </is>
      </c>
      <c r="D19" s="30" t="inlineStr">
        <is>
          <t>9000-4-18</t>
        </is>
      </c>
      <c r="E19" s="64" t="inlineStr">
        <is>
          <t>인터페이스 회의(매주)</t>
        </is>
      </c>
      <c r="F19" s="30" t="inlineStr">
        <is>
          <t>현장소장</t>
        </is>
      </c>
      <c r="G19" s="31" t="inlineStr">
        <is>
          <t>건축 구조물공사 中, 건축 마감공사 中 인터페이스 협의를 통한 재시공 최소화</t>
        </is>
      </c>
      <c r="H19" s="31" t="inlineStr">
        <is>
          <t>시공중 지속적인 인터페이스(기계, 전기, 통신 등) 회의를 통하여 시공전 계획했던 대로 원활한 선후행공정 시공진행</t>
        </is>
      </c>
      <c r="I19" s="31" t="inlineStr">
        <is>
          <t>인터페이스 회의록</t>
        </is>
      </c>
      <c r="J19" s="31" t="inlineStr">
        <is>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is>
      </c>
      <c r="K19" s="155">
        <f>HYPERLINK("매뉴얼BODY(집행단계-첨부폴더)v8\6.건축\18_인터페이스 회의(매주)\표준서\인터페이스 회의(매주)_표준서.html", "👉 [클릭] 표준서 열기 📄")</f>
        <v/>
      </c>
      <c r="L19" s="31" t="inlineStr">
        <is>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is>
      </c>
      <c r="M19" s="155">
        <f>HYPERLINK("매뉴얼BODY(집행단계-첨부폴더)v8\6.건축\18_인터페이스 회의(매주)\수행지침\인터페이스 회의(매주)_수행지침.html", "👉 [클릭] 수행지침 열기 📄")</f>
        <v/>
      </c>
      <c r="N19" s="31" t="inlineStr">
        <is>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is>
      </c>
      <c r="O19" s="155">
        <f>HYPERLINK("매뉴얼BODY(집행단계-첨부폴더)v8\6.건축\18_인터페이스 회의(매주)\체크리스트\인터페이스 회의(매주)_체크리스트.html", "👉 [클릭] 체크리스트 열기 📄")</f>
        <v/>
      </c>
      <c r="P19" s="30" t="n"/>
      <c r="Q19" s="31" t="inlineStr">
        <is>
          <t>● 공정 조율 및 시공 순서 확인</t>
        </is>
      </c>
      <c r="R19" s="24" t="inlineStr">
        <is>
          <t>1) 👉 [더블클릭] 체크리스트 열기 📄</t>
        </is>
      </c>
      <c r="S19" s="31" t="n"/>
    </row>
    <row r="20" ht="115.2" customHeight="1" s="148">
      <c r="A20" s="30" t="inlineStr">
        <is>
          <t>9000</t>
        </is>
      </c>
      <c r="B20" s="30" t="inlineStr">
        <is>
          <t>9000-4</t>
        </is>
      </c>
      <c r="C20" s="64" t="inlineStr">
        <is>
          <t>건축</t>
        </is>
      </c>
      <c r="D20" s="30" t="inlineStr">
        <is>
          <t>9000-4-19</t>
        </is>
      </c>
      <c r="E20" s="64" t="inlineStr">
        <is>
          <t>인터페이스 각 공종별 Issue (기계, 전기, 통신분야)</t>
        </is>
      </c>
      <c r="F20" s="30" t="inlineStr">
        <is>
          <t>현장소장</t>
        </is>
      </c>
      <c r="G20" s="31" t="inlineStr">
        <is>
          <t>구조물 내,외부 인입공사 사전 인터페이스 회의를 통한 공사간섭 및 Rework방지</t>
        </is>
      </c>
      <c r="H20" s="31" t="inlineStr">
        <is>
          <t>각 해당공종(건축, 기계, 전기) 도면과 건축도면을 비교 및 현장여건 검토를 통한 시공방법 결정, 각종 필증 및 허가관련에 따른 우선순위 시공순서 결정</t>
        </is>
      </c>
      <c r="I20" s="31" t="inlineStr">
        <is>
          <t>인터페이스 회의록</t>
        </is>
      </c>
      <c r="J20" s="31" t="inlineStr">
        <is>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is>
      </c>
      <c r="K20" s="155">
        <f>HYPERLINK("매뉴얼BODY(집행단계-첨부폴더)v8\6.건축\19_인터페이스 각 공종별 Issue (기계, 전기, 통신분야)\표준서\인터페이스 각 공종별 Issue (기계, 전기, 통신분야)_표준서.html", "👉 [클릭] 표준서 열기 📄")</f>
        <v/>
      </c>
      <c r="L20" s="31" t="inlineStr">
        <is>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is>
      </c>
      <c r="M20" s="155">
        <f>HYPERLINK("매뉴얼BODY(집행단계-첨부폴더)v8\6.건축\19_인터페이스 각 공종별 Issue (기계, 전기, 통신분야)\수행지침\인터페이스 각 공종별 Issue (기계, 전기, 통신분야)_수행지침.html", "👉 [클릭] 수행지침 열기 📄")</f>
        <v/>
      </c>
      <c r="N20" s="31" t="inlineStr">
        <is>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is>
      </c>
      <c r="O20" s="155">
        <f>HYPERLINK("매뉴얼BODY(집행단계-첨부폴더)v8\6.건축\19_인터페이스 각 공종별 Issue (기계, 전기, 통신분야)\체크리스트\인터페이스 각 공종별 Issue (기계, 전기, 통신분야)_체크리스트.html", "👉 [클릭] 체크리스트 열기 📄")</f>
        <v/>
      </c>
      <c r="P20" s="30" t="n"/>
      <c r="Q20" s="31" t="inlineStr">
        <is>
          <t>● 타 분야 매입 배관 및 슬리브 사전 확인</t>
        </is>
      </c>
      <c r="R20" s="24" t="inlineStr">
        <is>
          <t>1) 👉 [더블클릭] 체크리스트 열기 📄</t>
        </is>
      </c>
      <c r="S20" s="31" t="n"/>
    </row>
    <row r="21" ht="115.2" customHeight="1" s="148">
      <c r="A21" s="30" t="inlineStr">
        <is>
          <t>9000</t>
        </is>
      </c>
      <c r="B21" s="30" t="inlineStr">
        <is>
          <t>9000-4</t>
        </is>
      </c>
      <c r="C21" s="64" t="inlineStr">
        <is>
          <t>건축</t>
        </is>
      </c>
      <c r="D21" s="30" t="inlineStr">
        <is>
          <t>9000-4-20</t>
        </is>
      </c>
      <c r="E21" s="64" t="inlineStr">
        <is>
          <t>인터페이스 각 공종별 Issue (토목분야)</t>
        </is>
      </c>
      <c r="F21" s="30" t="inlineStr">
        <is>
          <t>현장소장</t>
        </is>
      </c>
      <c r="G21" s="31" t="inlineStr">
        <is>
          <t>건축공사와 토목공사 간섭 예방, 업무 Scope확인을 통한 설계/시공Gray zone제거</t>
        </is>
      </c>
      <c r="H21" s="31" t="inlineStr">
        <is>
          <t>구조물별 외부 배수 설계와 같은 현장 여건을 구성이 되었는지 확인</t>
        </is>
      </c>
      <c r="I21" s="31" t="inlineStr">
        <is>
          <t>회의록</t>
        </is>
      </c>
      <c r="J21" s="31" t="inlineStr">
        <is>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is>
      </c>
      <c r="K21" s="155">
        <f>HYPERLINK("매뉴얼BODY(집행단계-첨부폴더)v8\6.건축\20_인터페이스 각 공종별 Issue (토목분야)\표준서\인터페이스 각 공종별 Issue (토목분야)_표준서.html", "👉 [클릭] 표준서 열기 📄")</f>
        <v/>
      </c>
      <c r="L21" s="31" t="inlineStr">
        <is>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is>
      </c>
      <c r="M21" s="155">
        <f>HYPERLINK("매뉴얼BODY(집행단계-첨부폴더)v8\6.건축\20_인터페이스 각 공종별 Issue (토목분야)\수행지침\인터페이스 각 공종별 Issue (토목분야)_수행지침.html", "👉 [클릭] 수행지침 열기 📄")</f>
        <v/>
      </c>
      <c r="N21" s="31" t="inlineStr">
        <is>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is>
      </c>
      <c r="O21" s="155">
        <f>HYPERLINK("매뉴얼BODY(집행단계-첨부폴더)v8\6.건축\20_인터페이스 각 공종별 Issue (토목분야)\체크리스트\인터페이스 각 공종별 Issue (토목분야)_체크리스트.html", "👉 [클릭] 체크리스트 열기 📄")</f>
        <v/>
      </c>
      <c r="P21" s="30" t="n"/>
      <c r="Q21" s="31" t="inlineStr">
        <is>
          <t>● 토목 외부 우/오수 배수 및 연계 부분 확인</t>
        </is>
      </c>
      <c r="R21" s="24" t="inlineStr">
        <is>
          <t>1) 👉 [더블클릭] 체크리스트 열기 📄</t>
        </is>
      </c>
      <c r="S21" s="31" t="n"/>
    </row>
    <row r="22" ht="96" customHeight="1" s="148">
      <c r="A22" s="30" t="inlineStr">
        <is>
          <t>9000</t>
        </is>
      </c>
      <c r="B22" s="30" t="inlineStr">
        <is>
          <t>9000-4</t>
        </is>
      </c>
      <c r="C22" s="64" t="inlineStr">
        <is>
          <t>건축</t>
        </is>
      </c>
      <c r="D22" s="30" t="inlineStr">
        <is>
          <t>9000-4-21</t>
        </is>
      </c>
      <c r="E22" s="64" t="inlineStr">
        <is>
          <t>기초~상부슬라브 구조물 시공</t>
        </is>
      </c>
      <c r="F22" s="30" t="inlineStr">
        <is>
          <t>현장소장</t>
        </is>
      </c>
      <c r="G22" s="31" t="inlineStr">
        <is>
          <t>기초, 기둥 및 슬라브 구조물 시공</t>
        </is>
      </c>
      <c r="H22" s="31" t="inlineStr">
        <is>
          <t>발주 이후 마감공정 연계, 거푸집 해체 이후 균열조사 및 보수조치 시행</t>
        </is>
      </c>
      <c r="I22" s="31" t="inlineStr">
        <is>
          <t>해당공종 검측서, 각종 품질시험결과 보고서, 마감공종 인수인계서</t>
        </is>
      </c>
      <c r="J22" s="31" t="inlineStr">
        <is>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is>
      </c>
      <c r="K22" s="155">
        <f>HYPERLINK("매뉴얼BODY(집행단계-첨부폴더)v8\6.건축\21_기초~상부슬라브 구조물 시공\표준서\기초~상부슬라브 구조물 시공_표준서.html", "👉 [클릭] 표준서 열기 📄")</f>
        <v/>
      </c>
      <c r="L22" s="31" t="inlineStr">
        <is>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is>
      </c>
      <c r="M22" s="155">
        <f>HYPERLINK("매뉴얼BODY(집행단계-첨부폴더)v8\6.건축\21_기초~상부슬라브 구조물 시공\수행지침\기초~상부슬라브 구조물 시공_수행지침.html", "👉 [클릭] 수행지침 열기 📄")</f>
        <v/>
      </c>
      <c r="N22" s="31" t="inlineStr">
        <is>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is>
      </c>
      <c r="O22" s="155">
        <f>HYPERLINK("매뉴얼BODY(집행단계-첨부폴더)v8\6.건축\21_기초~상부슬라브 구조물 시공\체크리스트\기초~상부슬라브 구조물 시공_체크리스트.html", "👉 [클릭] 체크리스트 열기 📄")</f>
        <v/>
      </c>
      <c r="P22" s="30" t="n"/>
      <c r="Q22" s="31" t="inlineStr">
        <is>
          <t>● 콘크리트 압축강도 및 피복두께 관리</t>
        </is>
      </c>
      <c r="R22" s="24" t="inlineStr">
        <is>
          <t>1) 👉 [더블클릭] 체크리스트 열기 📄</t>
        </is>
      </c>
      <c r="S22" s="31" t="n"/>
    </row>
    <row r="23" ht="96" customHeight="1" s="148">
      <c r="A23" s="30" t="inlineStr">
        <is>
          <t>9000</t>
        </is>
      </c>
      <c r="B23" s="30" t="inlineStr">
        <is>
          <t>9000-4</t>
        </is>
      </c>
      <c r="C23" s="64" t="inlineStr">
        <is>
          <t>건축</t>
        </is>
      </c>
      <c r="D23" s="30" t="inlineStr">
        <is>
          <t>9000-4-22</t>
        </is>
      </c>
      <c r="E23" s="64" t="inlineStr">
        <is>
          <t>철근 가공</t>
        </is>
      </c>
      <c r="F23" s="30" t="inlineStr">
        <is>
          <t>현장소장</t>
        </is>
      </c>
      <c r="G23" s="31" t="inlineStr">
        <is>
          <t>철근을 절곡 및 절단하는 작업</t>
        </is>
      </c>
      <c r="H23" s="31" t="inlineStr">
        <is>
          <t>설계도면과 가공상세가 일치하는지 확인 및 보강부분 시공상세도 확인</t>
        </is>
      </c>
      <c r="I23" s="31" t="inlineStr">
        <is>
          <t>철근 시공상세도</t>
        </is>
      </c>
      <c r="J23" s="31" t="inlineStr">
        <is>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is>
      </c>
      <c r="K23" s="155">
        <f>HYPERLINK("매뉴얼BODY(집행단계-첨부폴더)v8\6.건축\22_철근 가공\표준서\철근 가공_표준서.html", "👉 [클릭] 표준서 열기 📄")</f>
        <v/>
      </c>
      <c r="L23" s="31" t="inlineStr">
        <is>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is>
      </c>
      <c r="M23" s="155">
        <f>HYPERLINK("매뉴얼BODY(집행단계-첨부폴더)v8\6.건축\22_철근 가공\수행지침\철근 가공_수행지침.html", "👉 [클릭] 수행지침 열기 📄")</f>
        <v/>
      </c>
      <c r="N23" s="31" t="inlineStr">
        <is>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is>
      </c>
      <c r="O23" s="155">
        <f>HYPERLINK("매뉴얼BODY(집행단계-첨부폴더)v8\6.건축\22_철근 가공\체크리스트\철근 가공_체크리스트.html", "👉 [클릭] 체크리스트 열기 📄")</f>
        <v/>
      </c>
      <c r="P23" s="30" t="n"/>
      <c r="Q23" s="31" t="inlineStr">
        <is>
          <t>● 철근 가공 치수 허용오차 기준</t>
        </is>
      </c>
      <c r="R23" s="24" t="inlineStr">
        <is>
          <t>1) 👉 [더블클릭] 체크리스트 열기 📄</t>
        </is>
      </c>
      <c r="S23" s="31" t="n"/>
    </row>
    <row r="24" ht="96" customHeight="1" s="148">
      <c r="A24" s="30" t="inlineStr">
        <is>
          <t>9000</t>
        </is>
      </c>
      <c r="B24" s="30" t="inlineStr">
        <is>
          <t>9000-4</t>
        </is>
      </c>
      <c r="C24" s="64" t="inlineStr">
        <is>
          <t>건축</t>
        </is>
      </c>
      <c r="D24" s="30" t="inlineStr">
        <is>
          <t>9000-4-23</t>
        </is>
      </c>
      <c r="E24" s="64" t="inlineStr">
        <is>
          <t>작업발판, 비계 및 동바리 설치</t>
        </is>
      </c>
      <c r="F24" s="30" t="inlineStr">
        <is>
          <t>현장소장</t>
        </is>
      </c>
      <c r="G24" s="31" t="inlineStr">
        <is>
          <t>구조물 시공을 위한 작업발판 및 후속 작업을 위해 비계 및 동바리 설치</t>
        </is>
      </c>
      <c r="H24" s="31" t="inlineStr">
        <is>
          <t>안전난간 및 발판 설치 이후 철근 조립 및 거푸집 설치를 위한 비계 및 동바리 설치</t>
        </is>
      </c>
      <c r="I24" s="31" t="inlineStr">
        <is>
          <t>비계 및 동바리 검측서</t>
        </is>
      </c>
      <c r="J24" s="31" t="inlineStr">
        <is>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is>
      </c>
      <c r="K24" s="155">
        <f>HYPERLINK("매뉴얼BODY(집행단계-첨부폴더)v8\6.건축\23_작업발판, 비계 및 동바리 설치\표준서\작업발판, 비계 및 동바리 설치_표준서.html", "👉 [클릭] 표준서 열기 📄")</f>
        <v/>
      </c>
      <c r="L24" s="31" t="inlineStr">
        <is>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is>
      </c>
      <c r="M24" s="155">
        <f>HYPERLINK("매뉴얼BODY(집행단계-첨부폴더)v8\6.건축\23_작업발판, 비계 및 동바리 설치\수행지침\작업발판, 비계 및 동바리 설치_수행지침.html", "👉 [클릭] 수행지침 열기 📄")</f>
        <v/>
      </c>
      <c r="N24" s="31" t="inlineStr">
        <is>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is>
      </c>
      <c r="O24" s="155">
        <f>HYPERLINK("매뉴얼BODY(집행단계-첨부폴더)v8\6.건축\23_작업발판, 비계 및 동바리 설치\체크리스트\작업발판, 비계 및 동바리 설치_체크리스트.html", "👉 [클릭] 체크리스트 열기 📄")</f>
        <v/>
      </c>
      <c r="P24" s="30" t="n"/>
      <c r="Q24" s="31" t="inlineStr">
        <is>
          <t>● 가설구조물 안전 기준 및 구조 검토</t>
        </is>
      </c>
      <c r="R24" s="24" t="inlineStr">
        <is>
          <t>1) 👉 [더블클릭] 체크리스트 열기 📄</t>
        </is>
      </c>
      <c r="S24" s="31" t="n"/>
    </row>
    <row r="25" ht="96" customHeight="1" s="148">
      <c r="A25" s="30" t="inlineStr">
        <is>
          <t>9000</t>
        </is>
      </c>
      <c r="B25" s="30" t="inlineStr">
        <is>
          <t>9000-4</t>
        </is>
      </c>
      <c r="C25" s="64" t="inlineStr">
        <is>
          <t>건축</t>
        </is>
      </c>
      <c r="D25" s="30" t="inlineStr">
        <is>
          <t>9000-4-24</t>
        </is>
      </c>
      <c r="E25" s="64" t="inlineStr">
        <is>
          <t>철근 조립</t>
        </is>
      </c>
      <c r="F25" s="30" t="inlineStr">
        <is>
          <t>현장소장</t>
        </is>
      </c>
      <c r="G25" s="31" t="inlineStr">
        <is>
          <t>구조물의 뼈대를 형성하도록 철근을 조립</t>
        </is>
      </c>
      <c r="H25" s="31" t="inlineStr">
        <is>
          <t>철근 배근, 철근 조립 및 결속, 철근 이물질 등 검사</t>
        </is>
      </c>
      <c r="I25" s="31" t="inlineStr">
        <is>
          <t>철근 검측서</t>
        </is>
      </c>
      <c r="J25" s="31" t="inlineStr">
        <is>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is>
      </c>
      <c r="K25" s="155">
        <f>HYPERLINK("매뉴얼BODY(집행단계-첨부폴더)v8\6.건축\24_철근 조립\표준서\철근 조립_표준서.html", "👉 [클릭] 표준서 열기 📄")</f>
        <v/>
      </c>
      <c r="L25" s="31" t="inlineStr">
        <is>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is>
      </c>
      <c r="M25" s="155">
        <f>HYPERLINK("매뉴얼BODY(집행단계-첨부폴더)v8\6.건축\24_철근 조립\수행지침\철근 조립_수행지침.html", "👉 [클릭] 수행지침 열기 📄")</f>
        <v/>
      </c>
      <c r="N25" s="31" t="inlineStr">
        <is>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is>
      </c>
      <c r="O25" s="155">
        <f>HYPERLINK("매뉴얼BODY(집행단계-첨부폴더)v8\6.건축\24_철근 조립\체크리스트\철근 조립_체크리스트.html", "👉 [클릭] 체크리스트 열기 📄")</f>
        <v/>
      </c>
      <c r="P25" s="30" t="n"/>
      <c r="Q25" s="31" t="inlineStr">
        <is>
          <t>● 철근 배근 간격 및 결속선 결속 기준</t>
        </is>
      </c>
      <c r="R25" s="24" t="inlineStr">
        <is>
          <t>1) 👉 [더블클릭] 체크리스트 열기 📄</t>
        </is>
      </c>
      <c r="S25" s="31" t="n"/>
    </row>
    <row r="26" ht="96" customHeight="1" s="148">
      <c r="A26" s="30" t="inlineStr">
        <is>
          <t>9000</t>
        </is>
      </c>
      <c r="B26" s="30" t="inlineStr">
        <is>
          <t>9000-4</t>
        </is>
      </c>
      <c r="C26" s="64" t="inlineStr">
        <is>
          <t>건축</t>
        </is>
      </c>
      <c r="D26" s="30" t="inlineStr">
        <is>
          <t>9000-4-25</t>
        </is>
      </c>
      <c r="E26" s="64" t="inlineStr">
        <is>
          <t>거푸집 조립</t>
        </is>
      </c>
      <c r="F26" s="30" t="inlineStr">
        <is>
          <t>현장소장</t>
        </is>
      </c>
      <c r="G26" s="31" t="inlineStr">
        <is>
          <t>콘크리트 타설 후 양생까지 유지하는 가설구조물 설치 작업</t>
        </is>
      </c>
      <c r="H26" s="31" t="inlineStr">
        <is>
          <t>합판, 강재등의 자재를 활용하여 설계도면 형상에 맞게 시공</t>
        </is>
      </c>
      <c r="I26" s="31" t="inlineStr">
        <is>
          <t>거푸집 검측서</t>
        </is>
      </c>
      <c r="J26" s="31" t="inlineStr">
        <is>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is>
      </c>
      <c r="K26" s="155">
        <f>HYPERLINK("매뉴얼BODY(집행단계-첨부폴더)v8\6.건축\25_거푸집 조립\표준서\거푸집 조립_표준서.html", "👉 [클릭] 표준서 열기 📄")</f>
        <v/>
      </c>
      <c r="L26" s="31" t="inlineStr">
        <is>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is>
      </c>
      <c r="M26" s="155">
        <f>HYPERLINK("매뉴얼BODY(집행단계-첨부폴더)v8\6.건축\25_거푸집 조립\수행지침\거푸집 조립_수행지침.html", "👉 [클릭] 수행지침 열기 📄")</f>
        <v/>
      </c>
      <c r="N26" s="31" t="inlineStr">
        <is>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is>
      </c>
      <c r="O26" s="155">
        <f>HYPERLINK("매뉴얼BODY(집행단계-첨부폴더)v8\6.건축\25_거푸집 조립\체크리스트\거푸집 조립_체크리스트.html", "👉 [클릭] 체크리스트 열기 📄")</f>
        <v/>
      </c>
      <c r="P26" s="30" t="n"/>
      <c r="Q26" s="31" t="inlineStr">
        <is>
          <t>● 거푸집 수직/수평도 및 박리제 도포 기준</t>
        </is>
      </c>
      <c r="R26" s="24" t="inlineStr">
        <is>
          <t>1) 👉 [더블클릭] 체크리스트 열기 📄</t>
        </is>
      </c>
      <c r="S26" s="31" t="n"/>
    </row>
    <row r="27" ht="96" customHeight="1" s="148">
      <c r="A27" s="30" t="inlineStr">
        <is>
          <t>9000</t>
        </is>
      </c>
      <c r="B27" s="30" t="inlineStr">
        <is>
          <t>9000-4</t>
        </is>
      </c>
      <c r="C27" s="64" t="inlineStr">
        <is>
          <t>건축</t>
        </is>
      </c>
      <c r="D27" s="30" t="inlineStr">
        <is>
          <t>9000-4-26</t>
        </is>
      </c>
      <c r="E27" s="64" t="inlineStr">
        <is>
          <t>콘크리트 타설 및 다짐</t>
        </is>
      </c>
      <c r="F27" s="30" t="inlineStr">
        <is>
          <t>현장소장</t>
        </is>
      </c>
      <c r="G27" s="31" t="inlineStr">
        <is>
          <t>거푸집에 콘크리트를 붓고 강도발현 까지 밀도와 습도조절 유지</t>
        </is>
      </c>
      <c r="H27" s="31" t="inlineStr">
        <is>
          <t>- 타설과 동시에 적당한 공법으로 다짐, 양생관리
- 마감품질 관련하여, 재료, 균열관리방안
- 상부슬라브 타설시 동바리 변형 확인</t>
        </is>
      </c>
      <c r="I27" s="31" t="inlineStr">
        <is>
          <t>콘크리트 구조물 확보, 타설보고서</t>
        </is>
      </c>
      <c r="J27" s="31" t="inlineStr">
        <is>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is>
      </c>
      <c r="K27" s="155">
        <f>HYPERLINK("매뉴얼BODY(집행단계-첨부폴더)v8\6.건축\26_콘크리트 타설 및 다짐\표준서\콘크리트 타설 및 다짐_표준서.html", "👉 [클릭] 표준서 열기 📄")</f>
        <v/>
      </c>
      <c r="L27" s="31" t="inlineStr">
        <is>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is>
      </c>
      <c r="M27" s="155">
        <f>HYPERLINK("매뉴얼BODY(집행단계-첨부폴더)v8\6.건축\26_콘크리트 타설 및 다짐\수행지침\콘크리트 타설 및 다짐_수행지침.html", "👉 [클릭] 수행지침 열기 📄")</f>
        <v/>
      </c>
      <c r="N27" s="31" t="inlineStr">
        <is>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is>
      </c>
      <c r="O27" s="155">
        <f>HYPERLINK("매뉴얼BODY(집행단계-첨부폴더)v8\6.건축\26_콘크리트 타설 및 다짐\체크리스트\콘크리트 타설 및 다짐_체크리스트.html", "👉 [클릭] 체크리스트 열기 📄")</f>
        <v/>
      </c>
      <c r="P27" s="30" t="n"/>
      <c r="Q27" s="31" t="inlineStr">
        <is>
          <t>● 콘크리트 타설 속도 및 다짐기 사용 기준</t>
        </is>
      </c>
      <c r="R27" s="24" t="inlineStr">
        <is>
          <t>1) 👉 [더블클릭] 체크리스트 열기 📄</t>
        </is>
      </c>
      <c r="S27" s="31" t="n"/>
    </row>
    <row r="28" ht="115.2" customHeight="1" s="148">
      <c r="A28" s="30" t="inlineStr">
        <is>
          <t>9000</t>
        </is>
      </c>
      <c r="B28" s="30" t="inlineStr">
        <is>
          <t>9000-4</t>
        </is>
      </c>
      <c r="C28" s="64" t="inlineStr">
        <is>
          <t>건축</t>
        </is>
      </c>
      <c r="D28" s="30" t="inlineStr">
        <is>
          <t>9000-4-27</t>
        </is>
      </c>
      <c r="E28" s="64" t="inlineStr">
        <is>
          <t>거푸집 해체</t>
        </is>
      </c>
      <c r="F28" s="30" t="inlineStr">
        <is>
          <t>현장소장</t>
        </is>
      </c>
      <c r="G28" s="31" t="inlineStr">
        <is>
          <t>구조물과 거푸집을 분리하는 작업</t>
        </is>
      </c>
      <c r="H28" s="31" t="inlineStr">
        <is>
          <t>구조물에 훼손이 없도록 주의하여 안전하게 해체, 부속자재(핀, 타이, 결속선 등) 제거, 상태 Double Check</t>
        </is>
      </c>
      <c r="I28" s="31" t="inlineStr">
        <is>
          <t>해체 완료</t>
        </is>
      </c>
      <c r="J28" s="31" t="inlineStr">
        <is>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is>
      </c>
      <c r="K28" s="155">
        <f>HYPERLINK("매뉴얼BODY(집행단계-첨부폴더)v8\6.건축\27_거푸집 해체\표준서\거푸집 해체_표준서.html", "👉 [클릭] 표준서 열기 📄")</f>
        <v/>
      </c>
      <c r="L28" s="31" t="inlineStr">
        <is>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is>
      </c>
      <c r="M28" s="155">
        <f>HYPERLINK("매뉴얼BODY(집행단계-첨부폴더)v8\6.건축\27_거푸집 해체\수행지침\거푸집 해체_수행지침.html", "👉 [클릭] 수행지침 열기 📄")</f>
        <v/>
      </c>
      <c r="N28" s="31" t="inlineStr">
        <is>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is>
      </c>
      <c r="O28" s="155">
        <f>HYPERLINK("매뉴얼BODY(집행단계-첨부폴더)v8\6.건축\27_거푸집 해체\체크리스트\거푸집 해체_체크리스트.html", "👉 [클릭] 체크리스트 열기 📄")</f>
        <v/>
      </c>
      <c r="P28" s="30" t="n"/>
      <c r="Q28" s="31" t="inlineStr">
        <is>
          <t>● 거푸집 해체 시 압축강도 기준 준수</t>
        </is>
      </c>
      <c r="R28" s="24" t="inlineStr">
        <is>
          <t>1) 👉 [더블클릭] 체크리스트 열기 📄</t>
        </is>
      </c>
      <c r="S28" s="31" t="n"/>
    </row>
    <row r="29" ht="115.2" customHeight="1" s="148">
      <c r="A29" s="30" t="inlineStr">
        <is>
          <t>9000</t>
        </is>
      </c>
      <c r="B29" s="30" t="inlineStr">
        <is>
          <t>9000-4</t>
        </is>
      </c>
      <c r="C29" s="64" t="inlineStr">
        <is>
          <t>건축</t>
        </is>
      </c>
      <c r="D29" s="30" t="inlineStr">
        <is>
          <t>9000-4-28</t>
        </is>
      </c>
      <c r="E29" s="64" t="inlineStr">
        <is>
          <t>건축 내부 및 마감공사</t>
        </is>
      </c>
      <c r="F29" s="30" t="inlineStr">
        <is>
          <t>현장소장</t>
        </is>
      </c>
      <c r="G29" s="31" t="inlineStr">
        <is>
          <t>건축구조물 완수단계후 방수 및 내부마감공사</t>
        </is>
      </c>
      <c r="H29" s="31" t="inlineStr">
        <is>
          <t>구조물 시공 이후 외벽 방수 진행, 내부 마감공사 연계, 선행공종 균열관리대책 확인</t>
        </is>
      </c>
      <c r="I29" s="31" t="inlineStr">
        <is>
          <t>해당공종 검측서, 품질시험결과 보고서, 마감공종 인수인계서</t>
        </is>
      </c>
      <c r="J29" s="31" t="inlineStr">
        <is>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is>
      </c>
      <c r="K29" s="155">
        <f>HYPERLINK("매뉴얼BODY(집행단계-첨부폴더)v8\6.건축\28_건축 내부 및 마감공사\표준서\건축 내부 및 마감공사_표준서.html", "👉 [클릭] 표준서 열기 📄")</f>
        <v/>
      </c>
      <c r="L29" s="31" t="inlineStr">
        <is>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is>
      </c>
      <c r="M29" s="155">
        <f>HYPERLINK("매뉴얼BODY(집행단계-첨부폴더)v8\6.건축\28_건축 내부 및 마감공사\수행지침\건축 내부 및 마감공사_수행지침.html", "👉 [클릭] 수행지침 열기 📄")</f>
        <v/>
      </c>
      <c r="N29" s="31" t="inlineStr">
        <is>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is>
      </c>
      <c r="O29" s="155">
        <f>HYPERLINK("매뉴얼BODY(집행단계-첨부폴더)v8\6.건축\28_건축 내부 및 마감공사\체크리스트\건축 내부 및 마감공사_체크리스트.html", "👉 [클릭] 체크리스트 열기 📄")</f>
        <v/>
      </c>
      <c r="P29" s="30" t="n"/>
      <c r="Q29" s="31" t="inlineStr">
        <is>
          <t>● 내부 및 외벽 마감 상세 도서 준수</t>
        </is>
      </c>
      <c r="R29" s="24" t="inlineStr">
        <is>
          <t>1) 👉 [더블클릭] 체크리스트 열기 📄</t>
        </is>
      </c>
      <c r="S29" s="31" t="n"/>
    </row>
    <row r="30" ht="115.2" customHeight="1" s="148">
      <c r="A30" s="30" t="inlineStr">
        <is>
          <t>9000</t>
        </is>
      </c>
      <c r="B30" s="30" t="inlineStr">
        <is>
          <t>9000-4</t>
        </is>
      </c>
      <c r="C30" s="64" t="inlineStr">
        <is>
          <t>건축</t>
        </is>
      </c>
      <c r="D30" s="30" t="inlineStr">
        <is>
          <t>9000-4-29</t>
        </is>
      </c>
      <c r="E30" s="64" t="inlineStr">
        <is>
          <t>창호,유리 및 금속지붕공사</t>
        </is>
      </c>
      <c r="F30" s="30" t="inlineStr">
        <is>
          <t>현장소장</t>
        </is>
      </c>
      <c r="G30" s="31" t="inlineStr">
        <is>
          <t>외부, 내부 마감공사 수행 / 건축물 내부로 우수 침투 방지작업</t>
        </is>
      </c>
      <c r="H30" s="31" t="inlineStr">
        <is>
          <t>외벽 마감 공사(금속지붕 공사 / 내부 창호 및 유리 시공)</t>
        </is>
      </c>
      <c r="I30" s="31" t="inlineStr">
        <is>
          <t>시공상세도 및 검측서</t>
        </is>
      </c>
      <c r="J30" s="31" t="inlineStr">
        <is>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is>
      </c>
      <c r="K30" s="155">
        <f>HYPERLINK("매뉴얼BODY(집행단계-첨부폴더)v8\6.건축\29_창호,유리 및 금속지붕공사\표준서\창호,유리 및 금속지붕공사_표준서.html", "👉 [클릭] 표준서 열기 📄")</f>
        <v/>
      </c>
      <c r="L30" s="31" t="inlineStr">
        <is>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is>
      </c>
      <c r="M30" s="155">
        <f>HYPERLINK("매뉴얼BODY(집행단계-첨부폴더)v8\6.건축\29_창호,유리 및 금속지붕공사\수행지침\창호,유리 및 금속지붕공사_수행지침.html", "👉 [클릭] 수행지침 열기 📄")</f>
        <v/>
      </c>
      <c r="N30" s="31" t="inlineStr">
        <is>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is>
      </c>
      <c r="O30" s="155">
        <f>HYPERLINK("매뉴얼BODY(집행단계-첨부폴더)v8\6.건축\29_창호,유리 및 금속지붕공사\체크리스트\창호,유리 및 금속지붕공사_체크리스트.html", "👉 [클릭] 체크리스트 열기 📄")</f>
        <v/>
      </c>
      <c r="P30" s="30" t="n"/>
      <c r="Q30" s="31" t="inlineStr">
        <is>
          <t>● 창호 기밀성 및 수밀성 성능 검증</t>
        </is>
      </c>
      <c r="R30" s="24" t="inlineStr">
        <is>
          <t>1) 👉 [더블클릭] 체크리스트 열기 📄</t>
        </is>
      </c>
      <c r="S30" s="31" t="n"/>
    </row>
    <row r="31" ht="96" customHeight="1" s="148">
      <c r="A31" s="30" t="inlineStr">
        <is>
          <t>9000</t>
        </is>
      </c>
      <c r="B31" s="30" t="inlineStr">
        <is>
          <t>9000-4</t>
        </is>
      </c>
      <c r="C31" s="64" t="inlineStr">
        <is>
          <t>건축</t>
        </is>
      </c>
      <c r="D31" s="30" t="inlineStr">
        <is>
          <t>9000-4-30</t>
        </is>
      </c>
      <c r="E31" s="64" t="inlineStr">
        <is>
          <t>조적공사</t>
        </is>
      </c>
      <c r="F31" s="30" t="inlineStr">
        <is>
          <t>현장소장</t>
        </is>
      </c>
      <c r="G31" s="31" t="inlineStr">
        <is>
          <t>건축물 내부 칸막이 벽체 형성</t>
        </is>
      </c>
      <c r="H31" s="31" t="inlineStr">
        <is>
          <t>시멘트 벽돌 및 블록으로 세대 칸막이 형성 일일 최대 쌓는높이 1.2m(내력벽)</t>
        </is>
      </c>
      <c r="I31" s="31" t="inlineStr">
        <is>
          <t>시멘트 벽돌 및 블록 검측서</t>
        </is>
      </c>
      <c r="J31" s="31" t="inlineStr">
        <is>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is>
      </c>
      <c r="K31" s="155">
        <f>HYPERLINK("매뉴얼BODY(집행단계-첨부폴더)v8\6.건축\30_조적공사\표준서\조적공사_표준서.html", "👉 [클릭] 표준서 열기 📄")</f>
        <v/>
      </c>
      <c r="L31" s="31" t="inlineStr">
        <is>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is>
      </c>
      <c r="M31" s="155">
        <f>HYPERLINK("매뉴얼BODY(집행단계-첨부폴더)v8\6.건축\30_조적공사\수행지침\조적공사_수행지침.html", "👉 [클릭] 수행지침 열기 📄")</f>
        <v/>
      </c>
      <c r="N31" s="31" t="inlineStr">
        <is>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is>
      </c>
      <c r="O31" s="155">
        <f>HYPERLINK("매뉴얼BODY(집행단계-첨부폴더)v8\6.건축\30_조적공사\체크리스트\조적공사_체크리스트.html", "👉 [클릭] 체크리스트 열기 📄")</f>
        <v/>
      </c>
      <c r="P31" s="30" t="n"/>
      <c r="Q31" s="31" t="inlineStr">
        <is>
          <t>● 조적 줄눈 및 쌓기 높이 기준 준수</t>
        </is>
      </c>
      <c r="R31" s="24" t="inlineStr">
        <is>
          <t>1) 👉 [더블클릭] 체크리스트 열기 📄</t>
        </is>
      </c>
      <c r="S31" s="31" t="n"/>
    </row>
    <row r="32" ht="115.2" customHeight="1" s="148">
      <c r="A32" s="30" t="inlineStr">
        <is>
          <t>9000</t>
        </is>
      </c>
      <c r="B32" s="30" t="inlineStr">
        <is>
          <t>9000-4</t>
        </is>
      </c>
      <c r="C32" s="64" t="inlineStr">
        <is>
          <t>건축</t>
        </is>
      </c>
      <c r="D32" s="30" t="inlineStr">
        <is>
          <t>9000-4-31</t>
        </is>
      </c>
      <c r="E32" s="64" t="inlineStr">
        <is>
          <t>내부 방수공사</t>
        </is>
      </c>
      <c r="F32" s="30" t="inlineStr">
        <is>
          <t>현장소장</t>
        </is>
      </c>
      <c r="G32" s="31" t="inlineStr">
        <is>
          <t>건축물 내부에서 물을 사용하는 실(화장실)등에 누수 방지</t>
        </is>
      </c>
      <c r="H32" s="31" t="inlineStr">
        <is>
          <t>구조물 청소 및 바탕정리후 방수공사 시행(코너부 및 드레인 주위 보강방수 실시)</t>
        </is>
      </c>
      <c r="I32" s="31" t="inlineStr">
        <is>
          <t>방수공사 검측서</t>
        </is>
      </c>
      <c r="J32" s="31" t="inlineStr">
        <is>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is>
      </c>
      <c r="K32" s="155">
        <f>HYPERLINK("매뉴얼BODY(집행단계-첨부폴더)v8\6.건축\31_내부 방수공사\표준서\내부 방수공사_표준서.html", "👉 [클릭] 표준서 열기 📄")</f>
        <v/>
      </c>
      <c r="L32" s="31" t="inlineStr">
        <is>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is>
      </c>
      <c r="M32" s="155">
        <f>HYPERLINK("매뉴얼BODY(집행단계-첨부폴더)v8\6.건축\31_내부 방수공사\수행지침\내부 방수공사_수행지침.html", "👉 [클릭] 수행지침 열기 📄")</f>
        <v/>
      </c>
      <c r="N32" s="31" t="inlineStr">
        <is>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is>
      </c>
      <c r="O32" s="155">
        <f>HYPERLINK("매뉴얼BODY(집행단계-첨부폴더)v8\6.건축\31_내부 방수공사\체크리스트\내부 방수공사_체크리스트.html", "👉 [클릭] 체크리스트 열기 📄")</f>
        <v/>
      </c>
      <c r="P32" s="30" t="n"/>
      <c r="Q32" s="31" t="inlineStr">
        <is>
          <t>● 방수층 두께 및 담수테스트(24시간) 기준</t>
        </is>
      </c>
      <c r="R32" s="24" t="inlineStr">
        <is>
          <t>1) 👉 [더블클릭] 체크리스트 열기 📄</t>
        </is>
      </c>
      <c r="S32" s="31" t="n"/>
    </row>
    <row r="33" ht="96" customHeight="1" s="148">
      <c r="A33" s="30" t="inlineStr">
        <is>
          <t>9000</t>
        </is>
      </c>
      <c r="B33" s="30" t="inlineStr">
        <is>
          <t>9000-4</t>
        </is>
      </c>
      <c r="C33" s="64" t="inlineStr">
        <is>
          <t>건축</t>
        </is>
      </c>
      <c r="D33" s="30" t="inlineStr">
        <is>
          <t>9000-4-32</t>
        </is>
      </c>
      <c r="E33" s="64" t="inlineStr">
        <is>
          <t>미장 및 타일공사</t>
        </is>
      </c>
      <c r="F33" s="30" t="inlineStr">
        <is>
          <t>현장소장</t>
        </is>
      </c>
      <c r="G33" s="31" t="inlineStr">
        <is>
          <t>바탕면이 콘크리트나 조적공사 위에 마감공사 수행(초벌, 재벌, 정벌)</t>
        </is>
      </c>
      <c r="H33" s="31" t="inlineStr">
        <is>
          <t>미장공사는 시멘트와 모래(1:3배합)하여 바탕면에 바르는 작업, 타일공사는 벽면 미장후 타일시공</t>
        </is>
      </c>
      <c r="I33" s="31" t="inlineStr">
        <is>
          <t>미장,타일 검측서</t>
        </is>
      </c>
      <c r="J33" s="31" t="inlineStr">
        <is>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is>
      </c>
      <c r="K33" s="155">
        <f>HYPERLINK("매뉴얼BODY(집행단계-첨부폴더)v8\6.건축\32_미장 및 타일공사\표준서\미장 및 타일공사_표준서.html", "👉 [클릭] 표준서 열기 📄")</f>
        <v/>
      </c>
      <c r="L33" s="31" t="inlineStr">
        <is>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is>
      </c>
      <c r="M33" s="155">
        <f>HYPERLINK("매뉴얼BODY(집행단계-첨부폴더)v8\6.건축\32_미장 및 타일공사\수행지침\미장 및 타일공사_수행지침.html", "👉 [클릭] 수행지침 열기 📄")</f>
        <v/>
      </c>
      <c r="N33" s="31" t="inlineStr">
        <is>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is>
      </c>
      <c r="O33" s="155">
        <f>HYPERLINK("매뉴얼BODY(집행단계-첨부폴더)v8\6.건축\32_미장 및 타일공사\체크리스트\미장 및 타일공사_체크리스트.html", "👉 [클릭] 체크리스트 열기 📄")</f>
        <v/>
      </c>
      <c r="P33" s="30" t="n"/>
      <c r="Q33" s="31" t="inlineStr">
        <is>
          <t>● 미장면 평탄성 및 타일 부착 강도 기준</t>
        </is>
      </c>
      <c r="R33" s="24" t="inlineStr">
        <is>
          <t>1) 👉 [더블클릭] 체크리스트 열기 📄</t>
        </is>
      </c>
      <c r="S33" s="31" t="n"/>
    </row>
    <row r="34" ht="96" customHeight="1" s="148">
      <c r="A34" s="30" t="inlineStr">
        <is>
          <t>9000</t>
        </is>
      </c>
      <c r="B34" s="30" t="inlineStr">
        <is>
          <t>9000-4</t>
        </is>
      </c>
      <c r="C34" s="64" t="inlineStr">
        <is>
          <t>건축</t>
        </is>
      </c>
      <c r="D34" s="30" t="inlineStr">
        <is>
          <t>9000-4-33</t>
        </is>
      </c>
      <c r="E34" s="64" t="inlineStr">
        <is>
          <t>수장 및 잡철물공사</t>
        </is>
      </c>
      <c r="F34" s="30" t="inlineStr">
        <is>
          <t>현장소장</t>
        </is>
      </c>
      <c r="G34" s="31" t="inlineStr">
        <is>
          <t>수장공사 : 천정공사, 바닥마감공사, 잡철물 공사 : 도어, 창호 등 설치 공사</t>
        </is>
      </c>
      <c r="H34" s="31" t="inlineStr">
        <is>
          <t>각실의 천정공사(텍스류), 바닥마감공사(비닐계타일),도배공사등을 수행, 잡철물 공사는 각실의 도어, 난간,창호등을 설치하는 공사</t>
        </is>
      </c>
      <c r="I34" s="31" t="inlineStr">
        <is>
          <t>수장 및 잡철물검측서</t>
        </is>
      </c>
      <c r="J34" s="31" t="inlineStr">
        <is>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is>
      </c>
      <c r="K34" s="155">
        <f>HYPERLINK("매뉴얼BODY(집행단계-첨부폴더)v8\6.건축\33_수장 및 잡철물공사\표준서\수장 및 잡철물공사_표준서.html", "👉 [클릭] 표준서 열기 📄")</f>
        <v/>
      </c>
      <c r="L34" s="31" t="inlineStr">
        <is>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is>
      </c>
      <c r="M34" s="155">
        <f>HYPERLINK("매뉴얼BODY(집행단계-첨부폴더)v8\6.건축\33_수장 및 잡철물공사\수행지침\수장 및 잡철물공사_수행지침.html", "👉 [클릭] 수행지침 열기 📄")</f>
        <v/>
      </c>
      <c r="N34" s="31" t="inlineStr">
        <is>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is>
      </c>
      <c r="O34" s="155">
        <f>HYPERLINK("매뉴얼BODY(집행단계-첨부폴더)v8\6.건축\33_수장 및 잡철물공사\체크리스트\수장 및 잡철물공사_체크리스트.html", "👉 [클릭] 체크리스트 열기 📄")</f>
        <v/>
      </c>
      <c r="P34" s="30" t="n"/>
      <c r="Q34" s="31" t="inlineStr">
        <is>
          <t>● 실별 마감 재료 규격 만족</t>
        </is>
      </c>
      <c r="R34" s="24" t="inlineStr">
        <is>
          <t>1) 👉 [더블클릭] 체크리스트 열기 📄</t>
        </is>
      </c>
      <c r="S34" s="31" t="n"/>
    </row>
    <row r="35" ht="115.2" customHeight="1" s="148">
      <c r="A35" s="30" t="inlineStr">
        <is>
          <t>9000</t>
        </is>
      </c>
      <c r="B35" s="30" t="inlineStr">
        <is>
          <t>9000-4</t>
        </is>
      </c>
      <c r="C35" s="64" t="inlineStr">
        <is>
          <t>건축</t>
        </is>
      </c>
      <c r="D35" s="30" t="inlineStr">
        <is>
          <t>9000-4-34</t>
        </is>
      </c>
      <c r="E35" s="64" t="inlineStr">
        <is>
          <t>도장공사</t>
        </is>
      </c>
      <c r="F35" s="30" t="inlineStr">
        <is>
          <t>현장소장</t>
        </is>
      </c>
      <c r="G35" s="31" t="inlineStr">
        <is>
          <t>미장면, 석고보드위에 도장공사 수행</t>
        </is>
      </c>
      <c r="H35" s="31" t="inlineStr">
        <is>
          <t>도장재 (붓, 롤러등)로 벽면에 시공</t>
        </is>
      </c>
      <c r="I35" s="31" t="inlineStr">
        <is>
          <t>도장공사 검측서</t>
        </is>
      </c>
      <c r="J35" s="31" t="inlineStr">
        <is>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is>
      </c>
      <c r="K35" s="155">
        <f>HYPERLINK("매뉴얼BODY(집행단계-첨부폴더)v8\6.건축\34_도장공사\표준서\도장공사_표준서.html", "👉 [클릭] 표준서 열기 📄")</f>
        <v/>
      </c>
      <c r="L35" s="31" t="inlineStr">
        <is>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is>
      </c>
      <c r="M35" s="155">
        <f>HYPERLINK("매뉴얼BODY(집행단계-첨부폴더)v8\6.건축\34_도장공사\수행지침\도장공사_수행지침.html", "👉 [클릭] 수행지침 열기 📄")</f>
        <v/>
      </c>
      <c r="N35" s="31" t="inlineStr">
        <is>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is>
      </c>
      <c r="O35" s="155">
        <f>HYPERLINK("매뉴얼BODY(집행단계-첨부폴더)v8\6.건축\34_도장공사\체크리스트\도장공사_체크리스트.html", "👉 [클릭] 체크리스트 열기 📄")</f>
        <v/>
      </c>
      <c r="P35" s="30" t="n"/>
      <c r="Q35" s="31" t="inlineStr">
        <is>
          <t>● 도장 도막 두께 및 색상 균일성 기준</t>
        </is>
      </c>
      <c r="R35" s="24" t="inlineStr">
        <is>
          <t>1) 👉 [더블클릭] 체크리스트 열기 📄</t>
        </is>
      </c>
      <c r="S35" s="31" t="n"/>
    </row>
    <row r="36" ht="115.2" customHeight="1" s="148">
      <c r="A36" s="30" t="inlineStr">
        <is>
          <t>9000</t>
        </is>
      </c>
      <c r="B36" s="30" t="inlineStr">
        <is>
          <t>9000-4</t>
        </is>
      </c>
      <c r="C36" s="64" t="inlineStr">
        <is>
          <t>건축</t>
        </is>
      </c>
      <c r="D36" s="30" t="inlineStr">
        <is>
          <t>9000-4-35</t>
        </is>
      </c>
      <c r="E36" s="64" t="inlineStr">
        <is>
          <t>인테리어 및 무대공사</t>
        </is>
      </c>
      <c r="F36" s="30" t="inlineStr">
        <is>
          <t>현장소장</t>
        </is>
      </c>
      <c r="G36" s="31" t="inlineStr">
        <is>
          <t>내부 선반, 주방가구, 설치작업 등 내부 인테리어 및 무대공사</t>
        </is>
      </c>
      <c r="H36" s="31" t="inlineStr">
        <is>
          <t>추가로 발생되는 건축공사에 적합한 자재 반입, 검수 및 시공</t>
        </is>
      </c>
      <c r="I36" s="31" t="inlineStr">
        <is>
          <t>각 공종 검측서</t>
        </is>
      </c>
      <c r="J36" s="31" t="inlineStr">
        <is>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is>
      </c>
      <c r="K36" s="155">
        <f>HYPERLINK("매뉴얼BODY(집행단계-첨부폴더)v8\6.건축\35_인테리어 및 무대공사\표준서\인테리어 및 무대공사_표준서.html", "👉 [클릭] 표준서 열기 📄")</f>
        <v/>
      </c>
      <c r="L36" s="31" t="inlineStr">
        <is>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is>
      </c>
      <c r="M36" s="155">
        <f>HYPERLINK("매뉴얼BODY(집행단계-첨부폴더)v8\6.건축\35_인테리어 및 무대공사\수행지침\인테리어 및 무대공사_수행지침.html", "👉 [클릭] 수행지침 열기 📄")</f>
        <v/>
      </c>
      <c r="N36" s="31" t="inlineStr">
        <is>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is>
      </c>
      <c r="O36" s="155">
        <f>HYPERLINK("매뉴얼BODY(집행단계-첨부폴더)v8\6.건축\35_인테리어 및 무대공사\체크리스트\인테리어 및 무대공사_체크리스트.html", "👉 [클릭] 체크리스트 열기 📄")</f>
        <v/>
      </c>
      <c r="P36" s="30" t="n"/>
      <c r="Q36" s="31" t="inlineStr">
        <is>
          <t>● 내부 인테리어 설계 도서 준수</t>
        </is>
      </c>
      <c r="R36" s="24" t="inlineStr">
        <is>
          <t>1) 👉 [더블클릭] 체크리스트 열기 📄</t>
        </is>
      </c>
      <c r="S36" s="31" t="n"/>
    </row>
    <row r="37" ht="115.2" customHeight="1" s="148">
      <c r="A37" s="30" t="inlineStr">
        <is>
          <t>9000</t>
        </is>
      </c>
      <c r="B37" s="30" t="inlineStr">
        <is>
          <t>9000-4</t>
        </is>
      </c>
      <c r="C37" s="64" t="inlineStr">
        <is>
          <t>건축</t>
        </is>
      </c>
      <c r="D37" s="30" t="inlineStr">
        <is>
          <t>9000-4-36</t>
        </is>
      </c>
      <c r="E37" s="64" t="inlineStr">
        <is>
          <t>준공전 건축 인허가</t>
        </is>
      </c>
      <c r="F37" s="30" t="inlineStr">
        <is>
          <t>현장소장</t>
        </is>
      </c>
      <c r="G37" s="31" t="inlineStr">
        <is>
          <t>관련법에 따라 준공전 건축인허가 완료</t>
        </is>
      </c>
      <c r="H37" s="31" t="inlineStr">
        <is>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is>
      </c>
      <c r="I37" s="31" t="inlineStr">
        <is>
          <t>인허가 신고 / 승인 문서</t>
        </is>
      </c>
      <c r="J37" s="31" t="inlineStr">
        <is>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is>
      </c>
      <c r="K37" s="155">
        <f>HYPERLINK("매뉴얼BODY(집행단계-첨부폴더)v8\6.건축\36_준공전 건축 인허가\표준서\준공전 건축 인허가_표준서.html", "👉 [클릭] 표준서 열기 📄")</f>
        <v/>
      </c>
      <c r="L37" s="31" t="inlineStr">
        <is>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is>
      </c>
      <c r="M37" s="155">
        <f>HYPERLINK("매뉴얼BODY(집행단계-첨부폴더)v8\6.건축\36_준공전 건축 인허가\수행지침\준공전 건축 인허가_수행지침.html", "👉 [클릭] 수행지침 열기 📄")</f>
        <v/>
      </c>
      <c r="N37" s="31" t="inlineStr">
        <is>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is>
      </c>
      <c r="O37" s="155">
        <f>HYPERLINK("매뉴얼BODY(집행단계-첨부폴더)v8\6.건축\36_준공전 건축 인허가\체크리스트\준공전 건축 인허가_체크리스트.html", "👉 [클릭] 체크리스트 열기 📄")</f>
        <v/>
      </c>
      <c r="P37" s="30" t="n"/>
      <c r="Q37" s="31" t="inlineStr">
        <is>
          <t>● 관련 법규(건축법, 하수도법 등) 준수</t>
        </is>
      </c>
      <c r="R37" s="24" t="inlineStr">
        <is>
          <t>1) 👉 [더블클릭] 체크리스트 열기 📄</t>
        </is>
      </c>
      <c r="S37" s="31" t="n"/>
    </row>
    <row r="38" ht="134.4" customHeight="1" s="148">
      <c r="A38" s="30" t="inlineStr">
        <is>
          <t>9000</t>
        </is>
      </c>
      <c r="B38" s="30" t="inlineStr">
        <is>
          <t>9000-4</t>
        </is>
      </c>
      <c r="C38" s="64" t="inlineStr">
        <is>
          <t>건축</t>
        </is>
      </c>
      <c r="D38" s="30" t="inlineStr">
        <is>
          <t>9000-4-37</t>
        </is>
      </c>
      <c r="E38" s="64" t="inlineStr">
        <is>
          <t>소방시설공사 완공검사</t>
        </is>
      </c>
      <c r="F38" s="30" t="inlineStr">
        <is>
          <t>현장소장</t>
        </is>
      </c>
      <c r="G38" s="31" t="inlineStr">
        <is>
          <t>소방시설 완공검사 신청</t>
        </is>
      </c>
      <c r="H38" s="31" t="inlineStr">
        <is>
          <t>현장 -&gt; 관할소방서 및 지자체 소방시설공사법 제14조
- 서식: 별지 제17호 서식
- 제출후 처리기간 3일 이내</t>
        </is>
      </c>
      <c r="I38" s="31" t="inlineStr">
        <is>
          <t>소방시설 완공검사 증명서</t>
        </is>
      </c>
      <c r="J38" s="31" t="inlineStr">
        <is>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is>
      </c>
      <c r="K38" s="155">
        <f>HYPERLINK("매뉴얼BODY(집행단계-첨부폴더)v8\6.건축\37_소방시설공사 완공검사\표준서\소방시설공사 완공검사_표준서.html", "👉 [클릭] 표준서 열기 📄")</f>
        <v/>
      </c>
      <c r="L38" s="31" t="inlineStr">
        <is>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is>
      </c>
      <c r="M38" s="155">
        <f>HYPERLINK("매뉴얼BODY(집행단계-첨부폴더)v8\6.건축\37_소방시설공사 완공검사\수행지침\소방시설공사 완공검사_수행지침.html", "👉 [클릭] 수행지침 열기 📄")</f>
        <v/>
      </c>
      <c r="N38" s="31" t="inlineStr">
        <is>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is>
      </c>
      <c r="O38" s="155">
        <f>HYPERLINK("매뉴얼BODY(집행단계-첨부폴더)v8\6.건축\37_소방시설공사 완공검사\체크리스트\소방시설공사 완공검사_체크리스트.html", "👉 [클릭] 체크리스트 열기 📄")</f>
        <v/>
      </c>
      <c r="P38" s="30" t="n"/>
      <c r="Q38" s="31" t="inlineStr">
        <is>
          <t>● 소방시설공사법 제14조</t>
        </is>
      </c>
      <c r="R38" s="24" t="inlineStr">
        <is>
          <t>1) 👉 [더블클릭] 체크리스트 열기 📄</t>
        </is>
      </c>
      <c r="S38" s="31" t="n"/>
    </row>
    <row r="39" ht="115.2" customHeight="1" s="148">
      <c r="A39" s="30" t="inlineStr">
        <is>
          <t>9000</t>
        </is>
      </c>
      <c r="B39" s="30" t="inlineStr">
        <is>
          <t>9000-4</t>
        </is>
      </c>
      <c r="C39" s="64" t="inlineStr">
        <is>
          <t>건축</t>
        </is>
      </c>
      <c r="D39" s="30" t="inlineStr">
        <is>
          <t>9000-4-38</t>
        </is>
      </c>
      <c r="E39" s="64" t="inlineStr">
        <is>
          <t>승강기 설치 신고서 제출</t>
        </is>
      </c>
      <c r="F39" s="30" t="inlineStr">
        <is>
          <t>현장소장</t>
        </is>
      </c>
      <c r="G39" s="31" t="inlineStr">
        <is>
          <t>승강기 설치 신고</t>
        </is>
      </c>
      <c r="H39" s="31" t="inlineStr">
        <is>
          <t>현장 -&gt; 승강기 안전공단, 승강기 안전관리법 제27조
- 서식: 별지 제22호 서식
- 제출후 처리기간 7일 이내</t>
        </is>
      </c>
      <c r="I39" s="31" t="inlineStr">
        <is>
          <t>승강기 설치 신고필증</t>
        </is>
      </c>
      <c r="J39" s="31" t="inlineStr">
        <is>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is>
      </c>
      <c r="K39" s="155">
        <f>HYPERLINK("매뉴얼BODY(집행단계-첨부폴더)v8\6.건축\38_승강기 설치 신고서 제출\표준서\승강기 설치 신고서 제출_표준서.html", "👉 [클릭] 표준서 열기 📄")</f>
        <v/>
      </c>
      <c r="L39" s="31" t="inlineStr">
        <is>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is>
      </c>
      <c r="M39" s="155">
        <f>HYPERLINK("매뉴얼BODY(집행단계-첨부폴더)v8\6.건축\38_승강기 설치 신고서 제출\수행지침\승강기 설치 신고서 제출_수행지침.html", "👉 [클릭] 수행지침 열기 📄")</f>
        <v/>
      </c>
      <c r="N39" s="31" t="inlineStr">
        <is>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is>
      </c>
      <c r="O39" s="155">
        <f>HYPERLINK("매뉴얼BODY(집행단계-첨부폴더)v8\6.건축\38_승강기 설치 신고서 제출\체크리스트\승강기 설치 신고서 제출_체크리스트.html", "👉 [클릭] 체크리스트 열기 📄")</f>
        <v/>
      </c>
      <c r="P39" s="30" t="n"/>
      <c r="Q39" s="31" t="inlineStr">
        <is>
          <t>● 승강기 안전관리법 제27조</t>
        </is>
      </c>
      <c r="R39" s="24" t="inlineStr">
        <is>
          <t>1) 👉 [더블클릭] 체크리스트 열기 📄</t>
        </is>
      </c>
      <c r="S39" s="31" t="n"/>
    </row>
    <row r="40" ht="115.2" customHeight="1" s="148">
      <c r="A40" s="30" t="inlineStr">
        <is>
          <t>9000</t>
        </is>
      </c>
      <c r="B40" s="30" t="inlineStr">
        <is>
          <t>9000-4</t>
        </is>
      </c>
      <c r="C40" s="64" t="inlineStr">
        <is>
          <t>건축</t>
        </is>
      </c>
      <c r="D40" s="30" t="inlineStr">
        <is>
          <t>9000-4-39</t>
        </is>
      </c>
      <c r="E40" s="64" t="inlineStr">
        <is>
          <t>저수조 설치현황 신고서 제출</t>
        </is>
      </c>
      <c r="F40" s="30" t="inlineStr">
        <is>
          <t>현장소장</t>
        </is>
      </c>
      <c r="G40" s="31" t="inlineStr">
        <is>
          <t>저수조 청소 신고</t>
        </is>
      </c>
      <c r="H40" s="31" t="inlineStr">
        <is>
          <t>현장 -&gt; 저수조업체 -&gt; 관할지자체, 수도법 제33조(위생상의 조치)
- 서식: 별지 제12호 서식</t>
        </is>
      </c>
      <c r="I40" s="31" t="inlineStr">
        <is>
          <t>저수조 설치 신고필증</t>
        </is>
      </c>
      <c r="J40" s="31" t="inlineStr">
        <is>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is>
      </c>
      <c r="K40" s="155">
        <f>HYPERLINK("매뉴얼BODY(집행단계-첨부폴더)v8\6.건축\39_저수조 설치현황 신고서 제출\표준서\저수조 설치현황 신고서 제출_표준서.html", "👉 [클릭] 표준서 열기 📄")</f>
        <v/>
      </c>
      <c r="L40" s="31" t="inlineStr">
        <is>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is>
      </c>
      <c r="M40" s="155">
        <f>HYPERLINK("매뉴얼BODY(집행단계-첨부폴더)v8\6.건축\39_저수조 설치현황 신고서 제출\수행지침\저수조 설치현황 신고서 제출_수행지침.html", "👉 [클릭] 수행지침 열기 📄")</f>
        <v/>
      </c>
      <c r="N40" s="31" t="inlineStr">
        <is>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is>
      </c>
      <c r="O40" s="155">
        <f>HYPERLINK("매뉴얼BODY(집행단계-첨부폴더)v8\6.건축\39_저수조 설치현황 신고서 제출\체크리스트\저수조 설치현황 신고서 제출_체크리스트.html", "👉 [클릭] 체크리스트 열기 📄")</f>
        <v/>
      </c>
      <c r="P40" s="30" t="n"/>
      <c r="Q40" s="31" t="inlineStr">
        <is>
          <t>● 수도법 제33조</t>
        </is>
      </c>
      <c r="R40" s="24" t="inlineStr">
        <is>
          <t>1) 👉 [더블클릭] 체크리스트 열기 📄</t>
        </is>
      </c>
      <c r="S40" s="31" t="n"/>
    </row>
    <row r="41" ht="115.2" customHeight="1" s="148">
      <c r="A41" s="30" t="inlineStr">
        <is>
          <t>9000</t>
        </is>
      </c>
      <c r="B41" s="30" t="inlineStr">
        <is>
          <t>9000-4</t>
        </is>
      </c>
      <c r="C41" s="64" t="inlineStr">
        <is>
          <t>건축</t>
        </is>
      </c>
      <c r="D41" s="30" t="inlineStr">
        <is>
          <t>9000-4-40</t>
        </is>
      </c>
      <c r="E41" s="64" t="inlineStr">
        <is>
          <t>오수처리시설 / 정화조 설치 신고서 제출</t>
        </is>
      </c>
      <c r="F41" s="30" t="inlineStr">
        <is>
          <t>현장소장</t>
        </is>
      </c>
      <c r="G41" s="31" t="inlineStr">
        <is>
          <t>정화조 및 오수 처리시설 신고</t>
        </is>
      </c>
      <c r="H41" s="31" t="inlineStr">
        <is>
          <t>현장 -&gt; 관할지자체, 하수도법 제34조
- 서식: 별지 제13호 서식
- 제출후 처리기간 5일 이내</t>
        </is>
      </c>
      <c r="I41" s="31" t="inlineStr">
        <is>
          <t>오수처리시설/정화조 설치 신고필증</t>
        </is>
      </c>
      <c r="J41" s="31" t="inlineStr">
        <is>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is>
      </c>
      <c r="K41" s="155">
        <f>HYPERLINK("매뉴얼BODY(집행단계-첨부폴더)v8\6.건축\40_오수처리시설 _ 정화조 설치 신고서 제출\표준서\오수처리시설 _ 정화조 설치 신고서 제출_표준서.html", "👉 [클릭] 표준서 열기 📄")</f>
        <v/>
      </c>
      <c r="L41" s="31" t="inlineStr">
        <is>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is>
      </c>
      <c r="M41" s="155">
        <f>HYPERLINK("매뉴얼BODY(집행단계-첨부폴더)v8\6.건축\40_오수처리시설 _ 정화조 설치 신고서 제출\수행지침\오수처리시설 _ 정화조 설치 신고서 제출_수행지침.html", "👉 [클릭] 수행지침 열기 📄")</f>
        <v/>
      </c>
      <c r="N41" s="31" t="inlineStr">
        <is>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is>
      </c>
      <c r="O41" s="155">
        <f>HYPERLINK("매뉴얼BODY(집행단계-첨부폴더)v8\6.건축\40_오수처리시설 _ 정화조 설치 신고서 제출\체크리스트\오수처리시설 _ 정화조 설치 신고서 제출_체크리스트.html", "👉 [클릭] 체크리스트 열기 📄")</f>
        <v/>
      </c>
      <c r="P41" s="30" t="n"/>
      <c r="Q41" s="31" t="inlineStr">
        <is>
          <t>● 하수도법 제34조</t>
        </is>
      </c>
      <c r="R41" s="24" t="inlineStr">
        <is>
          <t>1) 👉 [더블클릭] 체크리스트 열기 📄</t>
        </is>
      </c>
      <c r="S41" s="31" t="n"/>
    </row>
    <row r="42" ht="115.2" customHeight="1" s="148">
      <c r="A42" s="30" t="inlineStr">
        <is>
          <t>9000</t>
        </is>
      </c>
      <c r="B42" s="30" t="inlineStr">
        <is>
          <t>9000-4</t>
        </is>
      </c>
      <c r="C42" s="64" t="inlineStr">
        <is>
          <t>건축</t>
        </is>
      </c>
      <c r="D42" s="30" t="inlineStr">
        <is>
          <t>9000-4-41</t>
        </is>
      </c>
      <c r="E42" s="64" t="inlineStr">
        <is>
          <t>전기사용전 검사</t>
        </is>
      </c>
      <c r="F42" s="30" t="inlineStr">
        <is>
          <t>현장소장</t>
        </is>
      </c>
      <c r="G42" s="31" t="inlineStr">
        <is>
          <t>전기사용전 검사 신청</t>
        </is>
      </c>
      <c r="H42" s="31" t="inlineStr">
        <is>
          <t>현장 -&gt; 한국전기안전공사, 전기안전관리법 제9조(사용전검사)
- 서식: 별지 제4호 서식</t>
        </is>
      </c>
      <c r="I42" s="31" t="inlineStr">
        <is>
          <t>전기사용전 검사 필증</t>
        </is>
      </c>
      <c r="J42" s="31" t="inlineStr">
        <is>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is>
      </c>
      <c r="K42" s="155">
        <f>HYPERLINK("매뉴얼BODY(집행단계-첨부폴더)v8\6.건축\41_전기사용전 검사\표준서\전기사용전 검사_표준서.html", "👉 [클릭] 표준서 열기 📄")</f>
        <v/>
      </c>
      <c r="L42" s="31" t="inlineStr">
        <is>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is>
      </c>
      <c r="M42" s="155">
        <f>HYPERLINK("매뉴얼BODY(집행단계-첨부폴더)v8\6.건축\41_전기사용전 검사\수행지침\전기사용전 검사_수행지침.html", "👉 [클릭] 수행지침 열기 📄")</f>
        <v/>
      </c>
      <c r="N42" s="31" t="inlineStr">
        <is>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is>
      </c>
      <c r="O42" s="155">
        <f>HYPERLINK("매뉴얼BODY(집행단계-첨부폴더)v8\6.건축\41_전기사용전 검사\체크리스트\전기사용전 검사_체크리스트.html", "👉 [클릭] 체크리스트 열기 📄")</f>
        <v/>
      </c>
      <c r="P42" s="30" t="n"/>
      <c r="Q42" s="31" t="inlineStr">
        <is>
          <t>● 전기안전관리법 제9조</t>
        </is>
      </c>
      <c r="R42" s="24" t="inlineStr">
        <is>
          <t>1) 👉 [더블클릭] 체크리스트 열기 📄</t>
        </is>
      </c>
      <c r="S42" s="31" t="n"/>
    </row>
    <row r="43" ht="115.2" customHeight="1" s="148">
      <c r="A43" s="30" t="inlineStr">
        <is>
          <t>9000</t>
        </is>
      </c>
      <c r="B43" s="30" t="inlineStr">
        <is>
          <t>9000-4</t>
        </is>
      </c>
      <c r="C43" s="64" t="inlineStr">
        <is>
          <t>건축</t>
        </is>
      </c>
      <c r="D43" s="30" t="inlineStr">
        <is>
          <t>9000-4-42</t>
        </is>
      </c>
      <c r="E43" s="64" t="inlineStr">
        <is>
          <t>승강기 설치검사</t>
        </is>
      </c>
      <c r="F43" s="30" t="inlineStr">
        <is>
          <t>현장소장</t>
        </is>
      </c>
      <c r="G43" s="31" t="inlineStr">
        <is>
          <t>승강기 설치검사 신청</t>
        </is>
      </c>
      <c r="H43" s="31" t="inlineStr">
        <is>
          <t>현장 -&gt; 한국승강기안전공단, 승강기 안전관리법 제28조(승강기 설치)
- 서식: 별지 제23호 서식
- 제출후 처리기간 15일 이내</t>
        </is>
      </c>
      <c r="I43" s="31" t="inlineStr">
        <is>
          <t>승강기 사용필증, 합격증보고서</t>
        </is>
      </c>
      <c r="J43" s="31" t="inlineStr">
        <is>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is>
      </c>
      <c r="K43" s="155">
        <f>HYPERLINK("매뉴얼BODY(집행단계-첨부폴더)v8\6.건축\42_승강기 설치검사\표준서\승강기 설치검사_표준서.html", "👉 [클릭] 표준서 열기 📄")</f>
        <v/>
      </c>
      <c r="L43" s="31" t="inlineStr">
        <is>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is>
      </c>
      <c r="M43" s="155">
        <f>HYPERLINK("매뉴얼BODY(집행단계-첨부폴더)v8\6.건축\42_승강기 설치검사\수행지침\승강기 설치검사_수행지침.html", "👉 [클릭] 수행지침 열기 📄")</f>
        <v/>
      </c>
      <c r="N43" s="31" t="inlineStr">
        <is>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is>
      </c>
      <c r="O43" s="155">
        <f>HYPERLINK("매뉴얼BODY(집행단계-첨부폴더)v8\6.건축\42_승강기 설치검사\체크리스트\승강기 설치검사_체크리스트.html", "👉 [클릭] 체크리스트 열기 📄")</f>
        <v/>
      </c>
      <c r="P43" s="30" t="n"/>
      <c r="Q43" s="31" t="inlineStr">
        <is>
          <t>● 승강기 안전관리법 제28조</t>
        </is>
      </c>
      <c r="R43" s="24" t="inlineStr">
        <is>
          <t>1) 👉 [더블클릭] 체크리스트 열기 📄</t>
        </is>
      </c>
      <c r="S43" s="31" t="n"/>
    </row>
    <row r="44" ht="115.2" customHeight="1" s="148">
      <c r="A44" s="30" t="inlineStr">
        <is>
          <t>9000</t>
        </is>
      </c>
      <c r="B44" s="30" t="inlineStr">
        <is>
          <t>9000-4</t>
        </is>
      </c>
      <c r="C44" s="64" t="inlineStr">
        <is>
          <t>건축</t>
        </is>
      </c>
      <c r="D44" s="30" t="inlineStr">
        <is>
          <t>9000-4-43</t>
        </is>
      </c>
      <c r="E44" s="64" t="inlineStr">
        <is>
          <t>배수설비 설치 신고서 제출</t>
        </is>
      </c>
      <c r="F44" s="30" t="inlineStr">
        <is>
          <t>현장소장</t>
        </is>
      </c>
      <c r="G44" s="31" t="inlineStr">
        <is>
          <t>배수설비 사용 신청</t>
        </is>
      </c>
      <c r="H44" s="31" t="inlineStr">
        <is>
          <t>현장 -&gt; 관할지자체/하수도법 제27조/별지 제7호 서식/제출후 처리기간 7일 이내</t>
        </is>
      </c>
      <c r="I44" s="31" t="inlineStr">
        <is>
          <t>배수설비 사용필증</t>
        </is>
      </c>
      <c r="J44" s="31" t="inlineStr">
        <is>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is>
      </c>
      <c r="K44" s="155">
        <f>HYPERLINK("매뉴얼BODY(집행단계-첨부폴더)v8\6.건축\43_배수설비 설치 신고서 제출\표준서\배수설비 설치 신고서 제출_표준서.html", "👉 [클릭] 표준서 열기 📄")</f>
        <v/>
      </c>
      <c r="L44" s="31" t="inlineStr">
        <is>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is>
      </c>
      <c r="M44" s="155">
        <f>HYPERLINK("매뉴얼BODY(집행단계-첨부폴더)v8\6.건축\43_배수설비 설치 신고서 제출\수행지침\배수설비 설치 신고서 제출_수행지침.html", "👉 [클릭] 수행지침 열기 📄")</f>
        <v/>
      </c>
      <c r="N44" s="31" t="inlineStr">
        <is>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is>
      </c>
      <c r="O44" s="155">
        <f>HYPERLINK("매뉴얼BODY(집행단계-첨부폴더)v8\6.건축\43_배수설비 설치 신고서 제출\체크리스트\배수설비 설치 신고서 제출_체크리스트.html", "👉 [클릭] 체크리스트 열기 📄")</f>
        <v/>
      </c>
      <c r="P44" s="30" t="n"/>
      <c r="Q44" s="31" t="inlineStr">
        <is>
          <t>● 하수도법 제27조</t>
        </is>
      </c>
      <c r="R44" s="24" t="inlineStr">
        <is>
          <t>1) 👉 [더블클릭] 체크리스트 열기 📄</t>
        </is>
      </c>
      <c r="S44" s="31" t="n"/>
    </row>
    <row r="45" ht="96" customHeight="1" s="148">
      <c r="A45" s="30" t="inlineStr">
        <is>
          <t>9000</t>
        </is>
      </c>
      <c r="B45" s="30" t="inlineStr">
        <is>
          <t>9000-4</t>
        </is>
      </c>
      <c r="C45" s="64" t="inlineStr">
        <is>
          <t>건축</t>
        </is>
      </c>
      <c r="D45" s="30" t="inlineStr">
        <is>
          <t>9000-4-44</t>
        </is>
      </c>
      <c r="E45" s="64" t="inlineStr">
        <is>
          <t>정보통신공사 사용전검사</t>
        </is>
      </c>
      <c r="F45" s="30" t="inlineStr">
        <is>
          <t>현장소장</t>
        </is>
      </c>
      <c r="G45" s="31" t="inlineStr">
        <is>
          <t>정보통신 설치 사용전 검사신청</t>
        </is>
      </c>
      <c r="H45" s="31" t="inlineStr">
        <is>
          <t>현장 -&gt; 관할지자체, 정보통신공사업 시행령 제36조
- 서식: 해당 법 별지 제9호 서식
- 제출후 처리기간 14일 이내</t>
        </is>
      </c>
      <c r="I45" s="31" t="inlineStr">
        <is>
          <t>정보통신사용전 검사필증</t>
        </is>
      </c>
      <c r="J45" s="31" t="inlineStr">
        <is>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is>
      </c>
      <c r="K45" s="155">
        <f>HYPERLINK("매뉴얼BODY(집행단계-첨부폴더)v8\6.건축\44_정보통신공사 사용전검사\표준서\정보통신공사 사용전검사_표준서.html", "👉 [클릭] 표준서 열기 📄")</f>
        <v/>
      </c>
      <c r="L45" s="31" t="inlineStr">
        <is>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is>
      </c>
      <c r="M45" s="155">
        <f>HYPERLINK("매뉴얼BODY(집행단계-첨부폴더)v8\6.건축\44_정보통신공사 사용전검사\수행지침\정보통신공사 사용전검사_수행지침.html", "👉 [클릭] 수행지침 열기 📄")</f>
        <v/>
      </c>
      <c r="N45" s="31" t="inlineStr">
        <is>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is>
      </c>
      <c r="O45" s="155">
        <f>HYPERLINK("매뉴얼BODY(집행단계-첨부폴더)v8\6.건축\44_정보통신공사 사용전검사\체크리스트\정보통신공사 사용전검사_체크리스트.html", "👉 [클릭] 체크리스트 열기 📄")</f>
        <v/>
      </c>
      <c r="P45" s="30" t="n"/>
      <c r="Q45" s="31" t="inlineStr">
        <is>
          <t>● 정보통신공사업 시행령 제36조</t>
        </is>
      </c>
      <c r="R45" s="24" t="inlineStr">
        <is>
          <t>1) 👉 [더블클릭] 체크리스트 열기 📄</t>
        </is>
      </c>
      <c r="S45" s="31" t="n"/>
    </row>
    <row r="46" ht="115.2" customHeight="1" s="148">
      <c r="A46" s="30" t="inlineStr">
        <is>
          <t>9000</t>
        </is>
      </c>
      <c r="B46" s="30" t="inlineStr">
        <is>
          <t>9000-4</t>
        </is>
      </c>
      <c r="C46" s="64" t="inlineStr">
        <is>
          <t>건축</t>
        </is>
      </c>
      <c r="D46" s="30" t="inlineStr">
        <is>
          <t>9000-4-45</t>
        </is>
      </c>
      <c r="E46" s="64" t="inlineStr">
        <is>
          <t>오수처리시설 / 정화조 준공검사</t>
        </is>
      </c>
      <c r="F46" s="30" t="inlineStr">
        <is>
          <t>현장소장</t>
        </is>
      </c>
      <c r="G46" s="31" t="inlineStr">
        <is>
          <t>정화조 사용 신청</t>
        </is>
      </c>
      <c r="H46" s="31" t="inlineStr">
        <is>
          <t>현장 -&gt; 관할지자체, 하수도법 제37조
- 서식: 해당 법 별지 제15호 서식
- 제출후 처리기간 5일 이내</t>
        </is>
      </c>
      <c r="I46" s="31" t="inlineStr">
        <is>
          <t>오수처리시설 / 정화조 준공필증</t>
        </is>
      </c>
      <c r="J46" s="31" t="inlineStr">
        <is>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is>
      </c>
      <c r="K46" s="155">
        <f>HYPERLINK("매뉴얼BODY(집행단계-첨부폴더)v8\6.건축\45_오수처리시설 _ 정화조 준공검사\표준서\오수처리시설 _ 정화조 준공검사_표준서.html", "👉 [클릭] 표준서 열기 📄")</f>
        <v/>
      </c>
      <c r="L46" s="31" t="inlineStr">
        <is>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is>
      </c>
      <c r="M46" s="155">
        <f>HYPERLINK("매뉴얼BODY(집행단계-첨부폴더)v8\6.건축\45_오수처리시설 _ 정화조 준공검사\수행지침\오수처리시설 _ 정화조 준공검사_수행지침.html", "👉 [클릭] 수행지침 열기 📄")</f>
        <v/>
      </c>
      <c r="N46" s="31" t="inlineStr">
        <is>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is>
      </c>
      <c r="O46" s="155">
        <f>HYPERLINK("매뉴얼BODY(집행단계-첨부폴더)v8\6.건축\45_오수처리시설 _ 정화조 준공검사\체크리스트\오수처리시설 _ 정화조 준공검사_체크리스트.html", "👉 [클릭] 체크리스트 열기 📄")</f>
        <v/>
      </c>
      <c r="P46" s="30" t="n"/>
      <c r="Q46" s="31" t="inlineStr">
        <is>
          <t>● 하수도법 제37조</t>
        </is>
      </c>
      <c r="R46" s="24" t="inlineStr">
        <is>
          <t>1) 👉 [더블클릭] 체크리스트 열기 📄</t>
        </is>
      </c>
      <c r="S46" s="31" t="n"/>
    </row>
    <row r="47" ht="115.2" customHeight="1" s="148">
      <c r="A47" s="30" t="inlineStr">
        <is>
          <t>9000</t>
        </is>
      </c>
      <c r="B47" s="30" t="inlineStr">
        <is>
          <t>9000-4</t>
        </is>
      </c>
      <c r="C47" s="64" t="inlineStr">
        <is>
          <t>건축</t>
        </is>
      </c>
      <c r="D47" s="30" t="inlineStr">
        <is>
          <t>9000-4-46</t>
        </is>
      </c>
      <c r="E47" s="64" t="inlineStr">
        <is>
          <t>급수공사 신청서 제출</t>
        </is>
      </c>
      <c r="F47" s="30" t="inlineStr">
        <is>
          <t>현장소장</t>
        </is>
      </c>
      <c r="G47" s="31" t="inlineStr">
        <is>
          <t>급수 사용 신청</t>
        </is>
      </c>
      <c r="H47" s="31" t="inlineStr">
        <is>
          <t>현장 -&gt; 관할지자체, 수도 조례 시행규칙
- 서식: 해당 법 별지 제1호 서식</t>
        </is>
      </c>
      <c r="I47" s="31" t="inlineStr">
        <is>
          <t>급수 사용허가 문서</t>
        </is>
      </c>
      <c r="J47" s="31" t="inlineStr">
        <is>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is>
      </c>
      <c r="K47" s="155">
        <f>HYPERLINK("매뉴얼BODY(집행단계-첨부폴더)v8\6.건축\46_급수공사 신청서 제출\표준서\급수공사 신청서 제출_표준서.html", "👉 [클릭] 표준서 열기 📄")</f>
        <v/>
      </c>
      <c r="L47" s="31" t="inlineStr">
        <is>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is>
      </c>
      <c r="M47" s="155">
        <f>HYPERLINK("매뉴얼BODY(집행단계-첨부폴더)v8\6.건축\46_급수공사 신청서 제출\수행지침\급수공사 신청서 제출_수행지침.html", "👉 [클릭] 수행지침 열기 📄")</f>
        <v/>
      </c>
      <c r="N47" s="31" t="inlineStr">
        <is>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is>
      </c>
      <c r="O47" s="155">
        <f>HYPERLINK("매뉴얼BODY(집행단계-첨부폴더)v8\6.건축\46_급수공사 신청서 제출\체크리스트\급수공사 신청서 제출_체크리스트.html", "👉 [클릭] 체크리스트 열기 📄")</f>
        <v/>
      </c>
      <c r="P47" s="30" t="n"/>
      <c r="Q47" s="31" t="inlineStr">
        <is>
          <t>● 수도 조례 시행규칙</t>
        </is>
      </c>
      <c r="R47" s="24" t="inlineStr">
        <is>
          <t>1) 👉 [더블클릭] 체크리스트 열기 📄</t>
        </is>
      </c>
      <c r="S47" s="31" t="n"/>
    </row>
    <row r="48" ht="115.2" customHeight="1" s="148">
      <c r="A48" s="30" t="inlineStr">
        <is>
          <t>9000</t>
        </is>
      </c>
      <c r="B48" s="30" t="inlineStr">
        <is>
          <t>9000-4</t>
        </is>
      </c>
      <c r="C48" s="64" t="inlineStr">
        <is>
          <t>건축</t>
        </is>
      </c>
      <c r="D48" s="30" t="inlineStr">
        <is>
          <t>9000-4-47</t>
        </is>
      </c>
      <c r="E48" s="64" t="inlineStr">
        <is>
          <t>업무대행 건축사 사용승인 검사</t>
        </is>
      </c>
      <c r="F48" s="30" t="inlineStr">
        <is>
          <t>건축사</t>
        </is>
      </c>
      <c r="G48" s="31" t="inlineStr">
        <is>
          <t>업무대행 건축사 확인후 사용승인</t>
        </is>
      </c>
      <c r="H48" s="31" t="inlineStr">
        <is>
          <t>현장 -&gt; 관할지자체, 건축법시행령 제20조(현장조사검사 및 확인 업무대행)
- 서식: 해당 법 별지 제17호 서식</t>
        </is>
      </c>
      <c r="I48" s="31" t="inlineStr">
        <is>
          <t>건축물 사용승인 알림 [공문]</t>
        </is>
      </c>
      <c r="J48" s="31" t="inlineStr">
        <is>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is>
      </c>
      <c r="K48" s="155">
        <f>HYPERLINK("매뉴얼BODY(집행단계-첨부폴더)v8\6.건축\47_업무대행 건축사 사용승인 검사\표준서\업무대행 건축사 사용승인 검사_표준서.html", "👉 [클릭] 표준서 열기 📄")</f>
        <v/>
      </c>
      <c r="L48" s="31" t="inlineStr">
        <is>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is>
      </c>
      <c r="M48" s="155">
        <f>HYPERLINK("매뉴얼BODY(집행단계-첨부폴더)v8\6.건축\47_업무대행 건축사 사용승인 검사\수행지침\업무대행 건축사 사용승인 검사_수행지침.html", "👉 [클릭] 수행지침 열기 📄")</f>
        <v/>
      </c>
      <c r="N48" s="31" t="inlineStr">
        <is>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is>
      </c>
      <c r="O48" s="155">
        <f>HYPERLINK("매뉴얼BODY(집행단계-첨부폴더)v8\6.건축\47_업무대행 건축사 사용승인 검사\체크리스트\업무대행 건축사 사용승인 검사_체크리스트.html", "👉 [클릭] 체크리스트 열기 📄")</f>
        <v/>
      </c>
      <c r="P48" s="30" t="n"/>
      <c r="Q48" s="31" t="inlineStr">
        <is>
          <t>● 건축법시행령 제20조</t>
        </is>
      </c>
      <c r="R48" s="24" t="inlineStr">
        <is>
          <t>1) 👉 [더블클릭] 체크리스트 열기 📄</t>
        </is>
      </c>
      <c r="S48" s="31" t="n"/>
    </row>
    <row r="49" ht="115.2" customHeight="1" s="148">
      <c r="A49" s="30" t="inlineStr">
        <is>
          <t>9000</t>
        </is>
      </c>
      <c r="B49" s="30" t="inlineStr">
        <is>
          <t>9000-4</t>
        </is>
      </c>
      <c r="C49" s="64" t="inlineStr">
        <is>
          <t>건축</t>
        </is>
      </c>
      <c r="D49" s="30" t="inlineStr">
        <is>
          <t>9000-4-48</t>
        </is>
      </c>
      <c r="E49" s="64" t="inlineStr">
        <is>
          <t>건축물 사용승인 신청</t>
        </is>
      </c>
      <c r="F49" s="30" t="inlineStr">
        <is>
          <t>현장소장</t>
        </is>
      </c>
      <c r="G49" s="31" t="inlineStr">
        <is>
          <t>건축물 사용승인 신청</t>
        </is>
      </c>
      <c r="H49" s="31" t="inlineStr">
        <is>
          <t>현장 -&gt; 관할지자체, 건축법 제22조(건축물의 사용승인)
- 서식: 해당 법 별지 제17호 서식
- 제출후 처리기간 7일 이내</t>
        </is>
      </c>
      <c r="I49" s="31" t="inlineStr">
        <is>
          <t>건축물 사용승인 알림 [공문]</t>
        </is>
      </c>
      <c r="J49" s="31" t="inlineStr">
        <is>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is>
      </c>
      <c r="K49" s="155">
        <f>HYPERLINK("매뉴얼BODY(집행단계-첨부폴더)v8\6.건축\48_건축물 사용승인 신청\표준서\건축물 사용승인 신청_표준서.html", "👉 [클릭] 표준서 열기 📄")</f>
        <v/>
      </c>
      <c r="L49" s="31" t="inlineStr">
        <is>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is>
      </c>
      <c r="M49" s="155">
        <f>HYPERLINK("매뉴얼BODY(집행단계-첨부폴더)v8\6.건축\48_건축물 사용승인 신청\수행지침\건축물 사용승인 신청_수행지침.html", "👉 [클릭] 수행지침 열기 📄")</f>
        <v/>
      </c>
      <c r="N49" s="31" t="inlineStr">
        <is>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is>
      </c>
      <c r="O49" s="155">
        <f>HYPERLINK("매뉴얼BODY(집행단계-첨부폴더)v8\6.건축\48_건축물 사용승인 신청\체크리스트\건축물 사용승인 신청_체크리스트.html", "👉 [클릭] 체크리스트 열기 📄")</f>
        <v/>
      </c>
      <c r="P49" s="30" t="n"/>
      <c r="Q49" s="31" t="inlineStr">
        <is>
          <t>● 건축법 제22조</t>
        </is>
      </c>
      <c r="R49" s="24" t="inlineStr">
        <is>
          <t>1) 👉 [더블클릭] 체크리스트 열기 📄</t>
        </is>
      </c>
      <c r="S49" s="31" t="n"/>
    </row>
    <row r="50" ht="115.2" customHeight="1" s="148">
      <c r="A50" s="30" t="inlineStr">
        <is>
          <t>9000</t>
        </is>
      </c>
      <c r="B50" s="30" t="inlineStr">
        <is>
          <t>9000-4</t>
        </is>
      </c>
      <c r="C50" s="64" t="inlineStr">
        <is>
          <t>건축</t>
        </is>
      </c>
      <c r="D50" s="30" t="inlineStr">
        <is>
          <t>9000-4-49</t>
        </is>
      </c>
      <c r="E50" s="64" t="inlineStr">
        <is>
          <t>건축물대장 등재</t>
        </is>
      </c>
      <c r="F50" s="30" t="inlineStr">
        <is>
          <t>현장 및 지자체</t>
        </is>
      </c>
      <c r="G50" s="31" t="inlineStr">
        <is>
          <t>건축물대장 등재</t>
        </is>
      </c>
      <c r="H50" s="31" t="inlineStr">
        <is>
          <t>현장 -&gt; 관할지자체 -&gt; 관할지자체, 건축물대장의 기재 12조, 처리기간 7일 이내</t>
        </is>
      </c>
      <c r="I50" s="31" t="inlineStr">
        <is>
          <t>건축물 대장 등재 확인</t>
        </is>
      </c>
      <c r="J50" s="31" t="inlineStr">
        <is>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is>
      </c>
      <c r="K50" s="155">
        <f>HYPERLINK("매뉴얼BODY(집행단계-첨부폴더)v8\6.건축\49_건축물대장 등재\표준서\건축물대장 등재_표준서.html", "👉 [클릭] 표준서 열기 📄")</f>
        <v/>
      </c>
      <c r="L50" s="31" t="inlineStr">
        <is>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is>
      </c>
      <c r="M50" s="155">
        <f>HYPERLINK("매뉴얼BODY(집행단계-첨부폴더)v8\6.건축\49_건축물대장 등재\수행지침\건축물대장 등재_수행지침.html", "👉 [클릭] 수행지침 열기 📄")</f>
        <v/>
      </c>
      <c r="N50" s="31" t="inlineStr">
        <is>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is>
      </c>
      <c r="O50" s="155">
        <f>HYPERLINK("매뉴얼BODY(집행단계-첨부폴더)v8\6.건축\49_건축물대장 등재\체크리스트\건축물대장 등재_체크리스트.html", "👉 [클릭] 체크리스트 열기 📄")</f>
        <v/>
      </c>
      <c r="P50" s="30" t="n"/>
      <c r="Q50" s="31" t="inlineStr">
        <is>
          <t>● 건축물대장의 기재 및 관리 등에 관한 규칙 제12조</t>
        </is>
      </c>
      <c r="R50" s="24" t="inlineStr">
        <is>
          <t>1) 👉 [더블클릭] 체크리스트 열기 📄</t>
        </is>
      </c>
      <c r="S50" s="31" t="n"/>
    </row>
    <row r="51" ht="134.4" customHeight="1" s="148">
      <c r="A51" s="30" t="inlineStr">
        <is>
          <t>9000</t>
        </is>
      </c>
      <c r="B51" s="30" t="inlineStr">
        <is>
          <t>9000-4</t>
        </is>
      </c>
      <c r="C51" s="64" t="inlineStr">
        <is>
          <t>건축</t>
        </is>
      </c>
      <c r="D51" s="30" t="inlineStr">
        <is>
          <t>9000-4-50</t>
        </is>
      </c>
      <c r="E51" s="64" t="inlineStr">
        <is>
          <t>후속 구조물 인계</t>
        </is>
      </c>
      <c r="F51" s="30" t="inlineStr">
        <is>
          <t>현장소장</t>
        </is>
      </c>
      <c r="G51" s="31" t="inlineStr">
        <is>
          <t>유지관리기관에 인계</t>
        </is>
      </c>
      <c r="H51" s="31" t="inlineStr">
        <is>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is>
      </c>
      <c r="I51" s="31" t="inlineStr">
        <is>
          <t>유지관리기관 인수인계서, 건축 인허가 서류, 준공도서</t>
        </is>
      </c>
      <c r="J51" s="31" t="inlineStr">
        <is>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is>
      </c>
      <c r="K51" s="155">
        <f>HYPERLINK("매뉴얼BODY(집행단계-첨부폴더)v8\6.건축\50_후속 구조물 인계\표준서\후속 구조물 인계_표준서.html", "👉 [클릭] 표준서 열기 📄")</f>
        <v/>
      </c>
      <c r="L51" s="31" t="inlineStr">
        <is>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is>
      </c>
      <c r="M51" s="155">
        <f>HYPERLINK("매뉴얼BODY(집행단계-첨부폴더)v8\6.건축\50_후속 구조물 인계\수행지침\후속 구조물 인계_수행지침.html", "👉 [클릭] 수행지침 열기 📄")</f>
        <v/>
      </c>
      <c r="N51" s="31" t="inlineStr">
        <is>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is>
      </c>
      <c r="O51" s="155">
        <f>HYPERLINK("매뉴얼BODY(집행단계-첨부폴더)v8\6.건축\50_후속 구조물 인계\체크리스트\후속 구조물 인계_체크리스트.html", "👉 [클릭] 체크리스트 열기 📄")</f>
        <v/>
      </c>
      <c r="P51" s="30" t="n"/>
      <c r="Q51" s="31" t="inlineStr">
        <is>
          <t>● 인수인계 및 시설물 유지관리 기준 준수</t>
        </is>
      </c>
      <c r="R51" s="24" t="inlineStr">
        <is>
          <t>1) 👉 [더블클릭] 체크리스트 열기 📄</t>
        </is>
      </c>
      <c r="S51" s="31" t="n"/>
    </row>
  </sheetData>
  <printOptions horizontalCentered="1"/>
  <pageMargins left="0.7480314960629921" right="0.7480314960629921" top="0.984251968503937" bottom="0.984251968503937" header="0.5118110236220472" footer="0.5118110236220472"/>
  <pageSetup orientation="landscape" paperSize="8" scale="35" verticalDpi="0"/>
  <colBreaks count="1" manualBreakCount="1">
    <brk id="16" min="0" max="1048575" man="1"/>
  </colBreaks>
</worksheet>
</file>

<file path=xl/worksheets/sheet10.xml><?xml version="1.0" encoding="utf-8"?>
<worksheet xmlns="http://schemas.openxmlformats.org/spreadsheetml/2006/main">
  <sheetPr codeName="Sheet7">
    <tabColor rgb="FFFFFF00"/>
    <outlinePr summaryBelow="1" summaryRight="1"/>
    <pageSetUpPr/>
  </sheetPr>
  <dimension ref="A1:S23"/>
  <sheetViews>
    <sheetView view="pageBreakPreview" zoomScale="55" zoomScaleNormal="70" zoomScaleSheetLayoutView="55" workbookViewId="0">
      <selection activeCell="C3" sqref="C3"/>
    </sheetView>
  </sheetViews>
  <sheetFormatPr baseColWidth="8" defaultRowHeight="17.4"/>
  <cols>
    <col width="8.796875" customWidth="1" style="1" min="1" max="3"/>
    <col width="16" customWidth="1" style="2" min="4" max="4"/>
    <col width="23" customWidth="1" style="2" min="5" max="5"/>
    <col width="20.19921875" customWidth="1" style="2" min="6" max="6"/>
    <col width="38.3984375" customWidth="1" style="2" min="7" max="7"/>
    <col width="55.59765625" customWidth="1" style="75" min="8" max="8"/>
    <col width="16.59765625" customWidth="1" style="2" min="9" max="9"/>
    <col width="48.8984375" customWidth="1" style="75" min="10" max="10"/>
    <col width="14.19921875" customWidth="1" style="1" min="11" max="11"/>
    <col width="62.59765625" customWidth="1" style="75" min="12" max="12"/>
    <col width="12.19921875" customWidth="1" style="1" min="13" max="13"/>
    <col width="53.796875" customWidth="1" style="75" min="14" max="14"/>
    <col width="15.09765625" customWidth="1" style="72" min="15" max="15"/>
    <col width="18" customWidth="1" style="1" min="16" max="16"/>
    <col width="45" customWidth="1" style="72" min="17" max="17"/>
    <col width="22" customWidth="1" style="72" min="18" max="18"/>
    <col width="45" customWidth="1" style="1" min="19" max="35"/>
    <col width="8.796875" customWidth="1" style="1" min="36" max="70"/>
    <col width="8.796875" customWidth="1" style="1" min="71" max="16384"/>
  </cols>
  <sheetData>
    <row r="1" ht="31.2" customHeight="1" s="148">
      <c r="A1" s="7" t="inlineStr">
        <is>
          <t>L2 코드</t>
        </is>
      </c>
      <c r="B1" s="7" t="inlineStr">
        <is>
          <t>L3 코드</t>
        </is>
      </c>
      <c r="C1" s="7" t="inlineStr">
        <is>
          <t>L3 대공종명</t>
        </is>
      </c>
      <c r="D1" s="7" t="inlineStr">
        <is>
          <t>L4 코드</t>
        </is>
      </c>
      <c r="E1" s="7" t="inlineStr">
        <is>
          <t>작업단위 (Level 4 Task/Activity)</t>
        </is>
      </c>
      <c r="F1" s="7" t="inlineStr">
        <is>
          <t>주관</t>
        </is>
      </c>
      <c r="G1" s="7" t="inlineStr">
        <is>
          <t>목적</t>
        </is>
      </c>
      <c r="H1" s="74" t="inlineStr">
        <is>
          <t>방법</t>
        </is>
      </c>
      <c r="I1" s="7" t="inlineStr">
        <is>
          <t>산출물(결과)</t>
        </is>
      </c>
      <c r="J1" s="74" t="inlineStr">
        <is>
          <t>표준서 (Standard) 요약</t>
        </is>
      </c>
      <c r="K1" s="6" t="inlineStr">
        <is>
          <t>표준서 파일 (HTML)</t>
        </is>
      </c>
      <c r="L1" s="74" t="inlineStr">
        <is>
          <t>수행지침 (Guideline) 요약</t>
        </is>
      </c>
      <c r="M1" s="6" t="inlineStr">
        <is>
          <t>수행지침 파일 (HTML)</t>
        </is>
      </c>
      <c r="N1" s="74" t="inlineStr">
        <is>
          <t>체크리스트 (Checklist) 요약</t>
        </is>
      </c>
      <c r="O1" s="8" t="inlineStr">
        <is>
          <t>체크리스트 파일 (HTML)</t>
        </is>
      </c>
      <c r="P1" s="9" t="inlineStr">
        <is>
          <t>비고</t>
        </is>
      </c>
      <c r="Q1" s="9" t="inlineStr">
        <is>
          <t>첨부서류 연계 상세 설계기준</t>
        </is>
      </c>
      <c r="R1" s="9" t="inlineStr">
        <is>
          <t>집행단계 리스크 체크리스트</t>
        </is>
      </c>
      <c r="S1" s="9" t="inlineStr">
        <is>
          <t>협력사 시공/공사관리 자문</t>
        </is>
      </c>
    </row>
    <row r="2" ht="203.4" customHeight="1" s="148">
      <c r="A2" s="10" t="inlineStr">
        <is>
          <t>9000</t>
        </is>
      </c>
      <c r="B2" s="10" t="inlineStr">
        <is>
          <t>9000-1</t>
        </is>
      </c>
      <c r="C2" s="71" t="inlineStr">
        <is>
          <t>신호분야</t>
        </is>
      </c>
      <c r="D2" s="10" t="inlineStr">
        <is>
          <t>9000-1-1</t>
        </is>
      </c>
      <c r="E2" s="76" t="inlineStr">
        <is>
          <t>설계적정성 검토</t>
        </is>
      </c>
      <c r="F2" s="10" t="inlineStr">
        <is>
          <t>현장 공무팀</t>
        </is>
      </c>
      <c r="G2" s="71" t="inlineStr">
        <is>
          <t>설계적정성 및 시공성 검토
설계오류 확인 및 수량, 내역의 오류확인</t>
        </is>
      </c>
      <c r="H2" s="77" t="inlineStr">
        <is>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is>
      </c>
      <c r="I2" s="71" t="inlineStr">
        <is>
          <t>회의록, 설계검토보고서</t>
        </is>
      </c>
      <c r="J2" s="11" t="inlineStr">
        <is>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is>
      </c>
      <c r="K2" s="155">
        <f>HYPERLINK("매뉴얼BODY(집행단계-첨부폴더)v8\7.신호분야\1_설계적정성 검토\표준서\설계적정성 검토_표준서.html", "👉 [클릭] 표준서 열기 📄")</f>
        <v/>
      </c>
      <c r="L2" s="11" t="inlineStr">
        <is>
          <t>1) 입찰 요구사항 상의 기술 스펙 및 자재 규격을 시방서와 사전 대조하십시오.
2) 분산형 CBI 및 선로전환기 용량의 현장 시공성 및 원가 Risk를 철저히 검토하여 승인을 획득하십시오.</t>
        </is>
      </c>
      <c r="M2" s="155">
        <f>HYPERLINK("매뉴얼BODY(집행단계-첨부폴더)v8\7.신호분야\1_설계적정성 검토\수행지침\LTE-R_무선_AP를_통한_신호_제어_데이터_송수신_레벨_상세절차서.html", "👉 [클릭] 수행지침 열기 📄")</f>
        <v/>
      </c>
      <c r="N2" s="11" t="inlineStr">
        <is>
          <t>1) 입찰 안내서 상의 SIL 4 등급 및 무선지연(≤100ms) 사양이 설계 도서에 반영되었는가?
2) 철도 표준 자재(KRS) 규격 및 매립 선로전환기 전환력(4.5~6.0kN) 기준을 적격 확인하였는가?</t>
        </is>
      </c>
      <c r="O2" s="155">
        <f>HYPERLINK("매뉴얼BODY(집행단계-첨부폴더)v8\7.신호분야\1_설계적정성 검토\체크리스트\설계적정성 검토_체크리스트.html", "👉 [클릭] 체크리스트 열기 📄")</f>
        <v/>
      </c>
      <c r="P2" s="10" t="n"/>
      <c r="Q2" s="71" t="inlineStr">
        <is>
          <t>● 관련분야 설계기준서 준수</t>
        </is>
      </c>
      <c r="R2" s="73" t="inlineStr">
        <is>
          <t>1) 👉 [더블클릭] 체크리스트 열기 📄</t>
        </is>
      </c>
      <c r="S2" s="71" t="n"/>
    </row>
    <row r="3" ht="139.8" customHeight="1" s="148">
      <c r="A3" s="10" t="inlineStr">
        <is>
          <t>9000</t>
        </is>
      </c>
      <c r="B3" s="10" t="inlineStr">
        <is>
          <t>9000-1</t>
        </is>
      </c>
      <c r="C3" s="71" t="inlineStr">
        <is>
          <t>신호분야</t>
        </is>
      </c>
      <c r="D3" s="10" t="inlineStr">
        <is>
          <t>9000-1-2</t>
        </is>
      </c>
      <c r="E3" s="76" t="inlineStr">
        <is>
          <t>착수준비 KOM</t>
        </is>
      </c>
      <c r="F3" s="10" t="inlineStr">
        <is>
          <t>현장소장</t>
        </is>
      </c>
      <c r="G3" s="71" t="inlineStr">
        <is>
          <t>신호(트램신호, 도로신호)공사 발주 전 착수수립
신호공사 발주전략 수립
발주조건 CP 사항 검토</t>
        </is>
      </c>
      <c r="H3" s="78" t="inlineStr">
        <is>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is>
      </c>
      <c r="I3" s="71" t="inlineStr">
        <is>
          <t>본사 외주/수행/협의 부서, 착수 KOM 결과보고서, 현장설명서</t>
        </is>
      </c>
      <c r="J3" s="11" t="inlineStr">
        <is>
          <t>1) 착수준비 KOM(WBS 9000-1-2) 과업을 위해 신호(트램/도로) 공사 발주전략 수립 및 CP사항 사전 검토를 완료하라.
2) 외주 수급, 신기술자재 확인, 내역 누락 방지 조치 및 SIL 인증보유 적격 업체 Pool을 확정하라.</t>
        </is>
      </c>
      <c r="K3" s="155">
        <f>HYPERLINK("매뉴얼BODY(집행단계-첨부폴더)v8\7.신호분야\2_착수준비 KOM\표준서\착수준비 KOM_표준서.html", "👉 [클릭] 표준서 열기 📄")</f>
        <v/>
      </c>
      <c r="L3" s="11" t="inlineStr">
        <is>
          <t>1) 신호공사 발주 전 착수 수립 시 본사 실무 협의를 거쳐 현장 전파 및 시공성 리스크를 점검하십시오.
2) 공정계획, 안전성 SIL 인증, 무상 A/S 및 철도안전법 준수 자재 투입 계획을 사전에 확인하십시오.</t>
        </is>
      </c>
      <c r="M3" s="155">
        <f>HYPERLINK("매뉴얼BODY(집행단계-첨부폴더)v8\7.신호분야\2_착수준비 KOM\수행지침\LTE-R_무선_AP를_통한_신호_제어_데이터_송수신_레벨_상세절차서.html", "👉 [클릭] 수행지침 열기 📄")</f>
        <v/>
      </c>
      <c r="N3" s="11" t="inlineStr">
        <is>
          <t>1) 신호공사 발주 조건 CP 사항 및 하자발생 리스크 사전 검토 수칙을 수행하였는가?
2) 적격 업체 Pool 검토 및 내역 누락 방지 조치, SIL 인증 보유 여부를 확인하였는가?</t>
        </is>
      </c>
      <c r="O3" s="155">
        <f>HYPERLINK("매뉴얼BODY(집행단계-첨부폴더)v8\7.신호분야\2_착수준비 KOM\체크리스트\착수준비 KOM_체크리스트.html", "👉 [클릭] 체크리스트 열기 📄")</f>
        <v/>
      </c>
      <c r="P3" s="10" t="n"/>
      <c r="Q3" s="71" t="n"/>
      <c r="R3" s="73" t="inlineStr">
        <is>
          <t>1) 👉 [더블클릭] 체크리스트 열기 📄</t>
        </is>
      </c>
      <c r="S3" s="71" t="n"/>
    </row>
    <row r="4" ht="221.4" customHeight="1" s="148">
      <c r="A4" s="10" t="inlineStr">
        <is>
          <t>9000</t>
        </is>
      </c>
      <c r="B4" s="10" t="inlineStr">
        <is>
          <t>9000-1</t>
        </is>
      </c>
      <c r="C4" s="71" t="inlineStr">
        <is>
          <t>신호분야</t>
        </is>
      </c>
      <c r="D4" s="10" t="inlineStr">
        <is>
          <t>9000-1-3</t>
        </is>
      </c>
      <c r="E4" s="76" t="inlineStr">
        <is>
          <t>착수전 Big Room 회의</t>
        </is>
      </c>
      <c r="F4" s="10" t="inlineStr">
        <is>
          <t>현장소장</t>
        </is>
      </c>
      <c r="G4" s="71" t="inlineStr">
        <is>
          <t>신규공사 수행 시, 선행공정 간섭 및 공종 Risk에 대해 대책 수립</t>
        </is>
      </c>
      <c r="H4" s="79" t="inlineStr">
        <is>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is>
      </c>
      <c r="I4" s="71" t="inlineStr">
        <is>
          <t>Big Room 회의록(지침 전파 서명)</t>
        </is>
      </c>
      <c r="J4" s="11" t="inlineStr">
        <is>
          <t>1) 착수전 Big Room 회의(WBS 9000-1-3)를 통해 본사 및 각 분야(토목/궤도/전기/건축/기계/통신) 간 시공 인터페이스를 대조하라.
2) 궤도 시공 전 블록아웃, 배수로, 선로전환기, 차축검지기 설치 I/F 항목을 사전 확정하라.</t>
        </is>
      </c>
      <c r="K4" s="155">
        <f>HYPERLINK("매뉴얼BODY(집행단계-첨부폴더)v8\7.신호분야\3_착수전 Big Room 회의\표준서\착수전 Big Room 회의_표준서.html", "👉 [클릭] 표준서 열기 📄")</f>
        <v/>
      </c>
      <c r="L4" s="11" t="inlineStr">
        <is>
          <t>1) 신규공사 수행 시 선행공정 간섭 및 공종 Risk 대책 회의를 주관하십시오.
2) 궤도 시공 전 블록아웃 및 선로전환기 설치 I/F에 대해 각 분야 담당자와의 협의록을 작성하십시오.</t>
        </is>
      </c>
      <c r="M4" s="155">
        <f>HYPERLINK("매뉴얼BODY(집행단계-첨부폴더)v8\7.신호분야\3_착수전 Big Room 회의\수행지침\LTE-R_무선_AP를_통한_신호_제어_데이터_송수신_레벨_상세절차서.html", "👉 [클릭] 수행지침 열기 📄")</f>
        <v/>
      </c>
      <c r="N4" s="11" t="inlineStr">
        <is>
          <t>1) 본사 및 분야별(토목/궤도/전기/건축/통신) 세부설계 인터페이스를 검토하였는가?
2) 궤도 시공 전 블록아웃 및 차축검지기 설치 I/F 사전 대책을 수립하였는가?</t>
        </is>
      </c>
      <c r="O4" s="155">
        <f>HYPERLINK("매뉴얼BODY(집행단계-첨부폴더)v8\7.신호분야\3_착수전 Big Room 회의\체크리스트\착수전 Big Room 회의_체크리스트.html", "👉 [클릭] 체크리스트 열기 📄")</f>
        <v/>
      </c>
      <c r="P4" s="10" t="n"/>
      <c r="Q4" s="71" t="n"/>
      <c r="R4" s="73" t="inlineStr">
        <is>
          <t>1) 👉 [더블클릭] 체크리스트 열기 📄</t>
        </is>
      </c>
      <c r="S4" s="71" t="n"/>
    </row>
    <row r="5" ht="187.2" customHeight="1" s="148">
      <c r="A5" s="10" t="inlineStr">
        <is>
          <t>9000</t>
        </is>
      </c>
      <c r="B5" s="10" t="inlineStr">
        <is>
          <t>9000-1</t>
        </is>
      </c>
      <c r="C5" s="71" t="inlineStr">
        <is>
          <t>신호분야</t>
        </is>
      </c>
      <c r="D5" s="10" t="inlineStr">
        <is>
          <t>9000-1-4</t>
        </is>
      </c>
      <c r="E5" s="76" t="inlineStr">
        <is>
          <t>전기 / 통신 / 건축 / 도로 / 궤도 / 차량 등 인터페이스 협의</t>
        </is>
      </c>
      <c r="F5" s="10" t="inlineStr">
        <is>
          <t>현장 시스템팀</t>
        </is>
      </c>
      <c r="G5" s="71" t="inlineStr">
        <is>
          <t>완벽한 시스템 조율 및 인터페이스 협의</t>
        </is>
      </c>
      <c r="H5" s="80" t="inlineStr">
        <is>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is>
      </c>
      <c r="I5" s="71" t="inlineStr">
        <is>
          <t>인터페이스 회의록 및 관리대장</t>
        </is>
      </c>
      <c r="J5" s="11" t="inlineStr">
        <is>
          <t>1) 시스템 조율(WBS 9000-1-4)을 위해 전기/통신/건축/도로/궤도/차량 분야 간 시공 인터페이스를 조율하라.
2) 궤도 시공 전 블록아웃, 배수로, 융설장치, 차축검지기 설치 I/F 승인서를 완수하라.</t>
        </is>
      </c>
      <c r="K5" s="155">
        <f>HYPERLINK("매뉴얼BODY(집행단계-첨부폴더)v8\7.신호분야\4_전기 _ 통신 _ PSD _ 차량 인터페이스 협의\표준서\전기 _ 통신 _ PSD _ 차량 인터페이스 협의_표준서.html", "👉 [클릭] 표준서 열기 📄")</f>
        <v/>
      </c>
      <c r="L5" s="11" t="inlineStr">
        <is>
          <t>1) 토목/궤도 단계별 시공계획을 확인하고 기계실 배선 및 현장 장치 설치 I/F를 조율하십시오.
2) 차축검지기 및 융설장치 체결 부위의 치수 적정성을 서면으로 확인하십시오.</t>
        </is>
      </c>
      <c r="M5" s="155">
        <f>HYPERLINK("매뉴얼BODY(집행단계-첨부폴더)v8\7.신호분야\4_전기 _ 통신 _ PSD _ 차량 인터페이스 협의\수행지침\LTE-R_무선_AP를_통한_신호_제어_데이터_송수신_레벨_상세절차서.html", "👉 [클릭] 수행지침 열기 📄")</f>
        <v/>
      </c>
      <c r="N5" s="11" t="inlineStr">
        <is>
          <t>1) 토목/궤도 시공 전 블록아웃 및 배수로 설치 I/F를 사전 확인하였는가?
2) 차량기지 및 본선 선로전환기/차축검지기 체결 인터페이스를 조율하였는가?</t>
        </is>
      </c>
      <c r="O5" s="155">
        <f>HYPERLINK("매뉴얼BODY(집행단계-첨부폴더)v8\7.신호분야\4_전기 _ 통신 _ PSD _ 차량 인터페이스 협의\체크리스트\전기 _ 통신 _ PSD _ 차량 인터페이스 협의_체크리스트.html", "👉 [클릭] 체크리스트 열기 📄")</f>
        <v/>
      </c>
      <c r="P5" s="10" t="n"/>
      <c r="Q5" s="71" t="n"/>
      <c r="R5" s="73" t="inlineStr">
        <is>
          <t>1) 👉 [더블클릭] 체크리스트 열기 📄</t>
        </is>
      </c>
      <c r="S5" s="71" t="n"/>
    </row>
    <row r="6" ht="104.4" customHeight="1" s="148">
      <c r="A6" s="10" t="inlineStr">
        <is>
          <t>9000</t>
        </is>
      </c>
      <c r="B6" s="10" t="inlineStr">
        <is>
          <t>9000-1</t>
        </is>
      </c>
      <c r="C6" s="71" t="inlineStr">
        <is>
          <t>신호분야</t>
        </is>
      </c>
      <c r="D6" s="10" t="inlineStr">
        <is>
          <t>9000-1-5</t>
        </is>
      </c>
      <c r="E6" s="76" t="inlineStr">
        <is>
          <t>도로 / 궤도 인터페이스 협의</t>
        </is>
      </c>
      <c r="F6" s="10" t="inlineStr">
        <is>
          <t>현장 시스템팀</t>
        </is>
      </c>
      <c r="G6" s="71" t="inlineStr">
        <is>
          <t>선로선형 설계를 위한 사전조정 및 트램 운행 최적화</t>
        </is>
      </c>
      <c r="H6" s="77" t="inlineStr">
        <is>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is>
      </c>
      <c r="I6" s="71" t="inlineStr">
        <is>
          <t>궤도/신호 요구사항 및 회의록</t>
        </is>
      </c>
      <c r="J6" s="11" t="inlineStr">
        <is>
          <t>1) 도로/궤도 I/F(WBS 9000-1-5) 달성을 위해 선로선형 및 궤도 분기기 통과 요구사항을 검토하라.
2) 도심 매립 궤도용 선로전환기(전환력 4.5~6.0kN, 유격 ≤1.5mm) 설치 조건 및 유관기관 피드백을 반영하라.</t>
        </is>
      </c>
      <c r="K6" s="155">
        <f>HYPERLINK("매뉴얼BODY(집행단계-첨부폴더)v8\7.신호분야\5_도로 _ 궤도 인터페이스 협의\표준서\도로 _ 궤도 인터페이스 협의_표준서.html", "👉 [클릭] 표준서 열기 📄")</f>
        <v/>
      </c>
      <c r="L6" s="11" t="inlineStr">
        <is>
          <t>1) 유관기관 피드백 수렴 및 궤도 분기기 통과 요구사항을 사전 조정하십시오.
2) 도로 교차로 노면 매립 궤도 시공계획과 선로전환기 설치 위치 적정성을 확인하십시오.</t>
        </is>
      </c>
      <c r="M6" s="155">
        <f>HYPERLINK("매뉴얼BODY(집행단계-첨부폴더)v8\7.신호분야\5_도로 _ 궤도 인터페이스 협의\수행지침\LTE-R_무선_AP를_통한_신호_제어_데이터_송수신_레벨_상세절차서.html", "👉 [클릭] 수행지침 열기 📄")</f>
        <v/>
      </c>
      <c r="N6" s="11" t="inlineStr">
        <is>
          <t>1) 궤도 분기기 통과 요구사항 및 선로선형 사전조정 결과를 확인하였는가?
2) 노면 매립형 선로전환기(전환력 4.5~6.0kN, 유격 ≤1.5mm) 시공조건을 검토하였는가?</t>
        </is>
      </c>
      <c r="O6" s="155">
        <f>HYPERLINK("매뉴얼BODY(집행단계-첨부폴더)v8\7.신호분야\5_도로 _ 궤도 인터페이스 협의\체크리스트\도로 _ 궤도 인터페이스 협의_체크리스트.html", "👉 [클릭] 체크리스트 열기 📄")</f>
        <v/>
      </c>
      <c r="P6" s="10" t="n"/>
      <c r="Q6" s="71" t="n"/>
      <c r="R6" s="73" t="inlineStr">
        <is>
          <t>1) 👉 [더블클릭] 체크리스트 열기 📄</t>
        </is>
      </c>
      <c r="S6" s="71" t="n"/>
    </row>
    <row r="7" ht="133.8" customHeight="1" s="148">
      <c r="A7" s="10" t="inlineStr">
        <is>
          <t>9000</t>
        </is>
      </c>
      <c r="B7" s="10" t="inlineStr">
        <is>
          <t>9000-1</t>
        </is>
      </c>
      <c r="C7" s="71" t="inlineStr">
        <is>
          <t>신호분야</t>
        </is>
      </c>
      <c r="D7" s="10" t="inlineStr">
        <is>
          <t>9000-1-6</t>
        </is>
      </c>
      <c r="E7" s="76" t="inlineStr">
        <is>
          <t>시공전 인터페이스 협의</t>
        </is>
      </c>
      <c r="F7" s="10" t="inlineStr">
        <is>
          <t>현장 시스템팀</t>
        </is>
      </c>
      <c r="G7" s="71" t="inlineStr">
        <is>
          <t>시스템의 설계 보완 검토를 진행하고 완벽한 연계를 위한 설계</t>
        </is>
      </c>
      <c r="H7" s="78" t="inlineStr">
        <is>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is>
      </c>
      <c r="I7" s="71" t="inlineStr">
        <is>
          <t>인터페이스 보고서 및 인터페이스 회의록</t>
        </is>
      </c>
      <c r="J7" s="11" t="inlineStr">
        <is>
          <t>1) 시공전 인터페이스(WBS 9000-1-6)를 통해 시스템 설계 보완 및 연계 방안을 정밀 검토하라.
2) 배관배선 인입구, 구조물 간섭 및 궤도 시공 전 설치 항목을 개시 전 차단하라.</t>
        </is>
      </c>
      <c r="K7" s="155">
        <f>HYPERLINK("매뉴얼BODY(집행단계-첨부폴더)v8\7.신호분야\6_시공전 인터페이스 협의\표준서\시공전 인터페이스 협의_표준서.html", "👉 [클릭] 표준서 열기 📄")</f>
        <v/>
      </c>
      <c r="L7" s="11" t="inlineStr">
        <is>
          <t>1) 시스템 설계 보완검토를 통해 연계 시공 시 발생 가능한 간섭을 사전에 제거하십시오.
2) 궤도 시공 전 블록아웃 및 케이블 인입 배관의 간섭 여부를 정밀 확인하십시오.</t>
        </is>
      </c>
      <c r="M7" s="155">
        <f>HYPERLINK("매뉴얼BODY(집행단계-첨부폴더)v8\7.신호분야\6_시공전 인터페이스 협의\수행지침\LTE-R_무선_AP를_통한_신호_제어_데이터_송수신_레벨_상세절차서.html", "👉 [클릭] 수행지침 열기 📄")</f>
        <v/>
      </c>
      <c r="N7" s="11" t="inlineStr">
        <is>
          <t>1) 시스템 설계 보완 검토를 통해 연계 설치 방안을 확정하였는가?
2) 케이블 인입 배관 및 궤도 블록아웃 간섭을 사전 제거하였는가?</t>
        </is>
      </c>
      <c r="O7" s="155">
        <f>HYPERLINK("매뉴얼BODY(집행단계-첨부폴더)v8\7.신호분야\6_시공전 인터페이스 협의\체크리스트\시공전 인터페이스 협의_체크리스트.html", "👉 [클릭] 체크리스트 열기 📄")</f>
        <v/>
      </c>
      <c r="P7" s="10" t="n"/>
      <c r="Q7" s="71" t="n"/>
      <c r="R7" s="73" t="inlineStr">
        <is>
          <t>1) 👉 [더블클릭] 체크리스트 열기 📄</t>
        </is>
      </c>
      <c r="S7" s="71" t="n"/>
    </row>
    <row r="8" ht="127.8" customHeight="1" s="148">
      <c r="A8" s="10" t="inlineStr">
        <is>
          <t>9000</t>
        </is>
      </c>
      <c r="B8" s="10" t="inlineStr">
        <is>
          <t>9000-1</t>
        </is>
      </c>
      <c r="C8" s="71" t="inlineStr">
        <is>
          <t>신호분야</t>
        </is>
      </c>
      <c r="D8" s="10" t="inlineStr">
        <is>
          <t>9000-1-7</t>
        </is>
      </c>
      <c r="E8" s="76" t="inlineStr">
        <is>
          <t>시스템 장비검토 사전 협의사항 도출 및 검토</t>
        </is>
      </c>
      <c r="F8" s="10" t="inlineStr">
        <is>
          <t>현장 시스템팀</t>
        </is>
      </c>
      <c r="G8" s="71" t="inlineStr">
        <is>
          <t>완벽한 시스템 연계 및 동작성 확보를 위한 가이드라인 제공</t>
        </is>
      </c>
      <c r="H8" s="71" t="inlineStr">
        <is>
          <t>- 성능보증 기능성 신호자재 단품 Spec 검토
- 제조사 자체 시험 및 인증 확인
- 설치 시공대장 및 제작도서 승인 서명</t>
        </is>
      </c>
      <c r="I8" s="71" t="inlineStr">
        <is>
          <t>자체 검증서 및 제작도서 승인 서류</t>
        </is>
      </c>
      <c r="J8" s="11" t="inlineStr">
        <is>
          <t>1) 장비 사전검토(WBS 9000-1-7)를 위해 기능성 신호자재 단품 Spec 및 성능보증 사양을 검토하라.
2) 제조사 자체 시험 성적서, KRS 표준 규격 및 제작도서 승인 서명을 완수하라.</t>
        </is>
      </c>
      <c r="K8" s="155">
        <f>HYPERLINK("매뉴얼BODY(집행단계-첨부폴더)v8\7.신호분야\7_시스템 장비검토 사전 협의사항 도출 및 검토\표준서\시스템 장비검토 사전 협의사항 도출 및 검토_표준서.html", "👉 [클릭] 표준서 열기 📄")</f>
        <v/>
      </c>
      <c r="L8" s="11" t="inlineStr">
        <is>
          <t>1) 신호자재 단품 Spec 검토 및 제조사 자체 시험성적서를 확인하십시오.
2) 제작도서 승인 서명 및 현장 투입 전 성능보증 기능을 검증하십시오.</t>
        </is>
      </c>
      <c r="M8" s="155">
        <f>HYPERLINK("매뉴얼BODY(집행단계-첨부폴더)v8\7.신호분야\7_시스템 장비검토 사전 협의사항 도출 및 검토\수행지침\CBI_CPU_2중화_절체_반응_속도(≤0.5초)_검토_상세절차서.html", "👉 [클릭] 수행지침 열기 📄")</f>
        <v/>
      </c>
      <c r="N8" s="11" t="inlineStr">
        <is>
          <t>1) 성능보증 기능성 신호자재 단품 Spec 검토를 완료하였는가?
2) 제조사 공장검수 성적서 및 제작도서 승인 서명을 확인하였는가?</t>
        </is>
      </c>
      <c r="O8" s="155">
        <f>HYPERLINK("매뉴얼BODY(집행단계-첨부폴더)v8\7.신호분야\7_시스템 장비검토 사전 협의사항 도출 및 검토\체크리스트\시스템 장비검토 사전 협의사항 도출 및 검토_체크리스트.html", "👉 [클릭] 체크리스트 열기 📄")</f>
        <v/>
      </c>
      <c r="P8" s="10" t="n"/>
      <c r="Q8" s="71" t="n"/>
      <c r="R8" s="73" t="inlineStr">
        <is>
          <t>1) 👉 [더블클릭] 체크리스트 열기 📄</t>
        </is>
      </c>
      <c r="S8" s="71" t="n"/>
    </row>
    <row r="9" ht="104.4" customHeight="1" s="148">
      <c r="A9" s="10" t="inlineStr">
        <is>
          <t>9000</t>
        </is>
      </c>
      <c r="B9" s="10" t="inlineStr">
        <is>
          <t>9000-1</t>
        </is>
      </c>
      <c r="C9" s="71" t="inlineStr">
        <is>
          <t>신호분야</t>
        </is>
      </c>
      <c r="D9" s="10" t="inlineStr">
        <is>
          <t>9000-1-8</t>
        </is>
      </c>
      <c r="E9" s="76" t="inlineStr">
        <is>
          <t>관제 및 운영사 인터페이스 협의</t>
        </is>
      </c>
      <c r="F9" s="10" t="inlineStr">
        <is>
          <t>현장 시스템팀</t>
        </is>
      </c>
      <c r="G9" s="71" t="inlineStr">
        <is>
          <t>관제 및 운영사 요구사항 사전 반영 및 시공신뢰 확보</t>
        </is>
      </c>
      <c r="H9" s="77" t="inlineStr">
        <is>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is>
      </c>
      <c r="I9" s="71" t="inlineStr">
        <is>
          <t>인터페이스 회의록 및 관리대장</t>
        </is>
      </c>
      <c r="J9" s="11" t="inlineStr">
        <is>
          <t>1) 관제/운영사 I/F(WBS 9000-1-8) 달성을 위해 종합관제실(OCC) 요구사항을 시공 전 반영하라.
2) 철도관제를 위한 관제사 조작반 MMI 및 예비관제 1:1 실시간 DB 동기화를 검증하라.</t>
        </is>
      </c>
      <c r="K9" s="155">
        <f>HYPERLINK("매뉴얼BODY(집행단계-첨부폴더)v8\7.신호분야\8_관제 및 운영사 인터페이스 협의\표준서\관제 및 운영사 인터페이스 협의_표준서.html", "👉 [클릭] 표준서 열기 📄")</f>
        <v/>
      </c>
      <c r="L9" s="11" t="inlineStr">
        <is>
          <t>1) 관제 및 운영사 실무 조율을 거쳐 시운전 시 예비사항 및 조작반 화면표시 정보를 도출하십시오.
2) 관제센터 MMI 화면 및 조작반 정보의 실시간 동기화 상태를 확인하십시오.</t>
        </is>
      </c>
      <c r="M9" s="155">
        <f>HYPERLINK("매뉴얼BODY(집행단계-첨부폴더)v8\7.신호분야\8_관제 및 운영사 인터페이스 협의\수행지침\LTE-R_무선_AP를_통한_신호_제어_데이터_송수신_레벨_상세절차서.html", "👉 [클릭] 수행지침 열기 📄")</f>
        <v/>
      </c>
      <c r="N9" s="11" t="inlineStr">
        <is>
          <t>1) 시운전 시 조율사항 및 예비사항 도출을 완료하였는가?
2) 철도관제를 위한 관제사 조작반 MMI 표시 정보를 사전 검토하였는가?</t>
        </is>
      </c>
      <c r="O9" s="155">
        <f>HYPERLINK("매뉴얼BODY(집행단계-첨부폴더)v8\7.신호분야\8_관제 및 운영사 인터페이스 협의\체크리스트\관제 및 운영사 인터페이스 협의_체크리스트.html", "👉 [클릭] 체크리스트 열기 📄")</f>
        <v/>
      </c>
      <c r="P9" s="10" t="n"/>
      <c r="Q9" s="71" t="n"/>
      <c r="R9" s="73" t="inlineStr">
        <is>
          <t>1) 👉 [더블클릭] 체크리스트 열기 📄</t>
        </is>
      </c>
      <c r="S9" s="71" t="n"/>
    </row>
    <row r="10" ht="104.4" customHeight="1" s="148">
      <c r="A10" s="10" t="inlineStr">
        <is>
          <t>9000</t>
        </is>
      </c>
      <c r="B10" s="10" t="inlineStr">
        <is>
          <t>9000-1</t>
        </is>
      </c>
      <c r="C10" s="71" t="inlineStr">
        <is>
          <t>신호분야</t>
        </is>
      </c>
      <c r="D10" s="10" t="inlineStr">
        <is>
          <t>9000-1-9</t>
        </is>
      </c>
      <c r="E10" s="76" t="inlineStr">
        <is>
          <t>자재 / 인원 / 장비 및 투입 사전 검토</t>
        </is>
      </c>
      <c r="F10" s="10" t="inlineStr">
        <is>
          <t>현장 시스템팀 / 협력사 / 관리감독자</t>
        </is>
      </c>
      <c r="G10" s="71" t="inlineStr">
        <is>
          <t>자재/인원/장비 투입 계획 수립</t>
        </is>
      </c>
      <c r="H10" s="71" t="inlineStr">
        <is>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is>
      </c>
      <c r="I10" s="71" t="inlineStr">
        <is>
          <t>세부 공정계획 수립 및 보고</t>
        </is>
      </c>
      <c r="J10" s="11" t="inlineStr">
        <is>
          <t>1) 자재/인원/장비 계획(WBS 9000-1-9) 수립을 위해 현장 수량 기준 투입 계획을 승인하라.
2) 현장 여건 및 궤도 시공계획 맞춤형 투입 schedule 작성 및 수급 조정을 완수하라.</t>
        </is>
      </c>
      <c r="K10" s="155">
        <f>HYPERLINK("매뉴얼BODY(집행단계-첨부폴더)v8\7.신호분야\9_자재 _ 인원 _ 장비 및 투입 사전 검토\표준서\자재 _ 인원 _ 장비 및 투입 사전 검토_표준서.html", "👉 [클릭] 표준서 열기 📄")</f>
        <v/>
      </c>
      <c r="L10" s="11" t="inlineStr">
        <is>
          <t>1) 현장 여건 및 수량을 기준으로 투입 인원, 장비 계획서를 작성하여 감리단 승인을 받으십시오.
2) 궤도 시공계획과 연계된 자재 반입 및 작업원 투입 스케줄을 조정하십시오.</t>
        </is>
      </c>
      <c r="M10" s="155">
        <f>HYPERLINK("매뉴얼BODY(집행단계-첨부폴더)v8\7.신호분야\9_자재 _ 인원 _ 장비 및 투입 사전 검토\수행지침\LTE-R_무선_AP를_통한_신호_제어_데이터_송수신_레벨_상세절차서.html", "👉 [클릭] 수행지침 열기 📄")</f>
        <v/>
      </c>
      <c r="N10" s="11" t="inlineStr">
        <is>
          <t>1) 현장 수량 기준 투입 인원 및 장비 계획 규명서를 작성하였는가?
2) 궤도 시공계획 연계 투입 스케줄 감리단 승인을 획득하였는가?</t>
        </is>
      </c>
      <c r="O10" s="155">
        <f>HYPERLINK("매뉴얼BODY(집행단계-첨부폴더)v8\7.신호분야\9_자재 _ 인원 _ 장비 및 투입 사전 검토\체크리스트\자재 _ 인원 _ 장비 및 투입 사전 검토_체크리스트.html", "👉 [클릭] 체크리스트 열기 📄")</f>
        <v/>
      </c>
      <c r="P10" s="10" t="n"/>
      <c r="Q10" s="71" t="n"/>
      <c r="R10" s="73" t="inlineStr">
        <is>
          <t>1) 👉 [더블클릭] 체크리스트 열기 📄</t>
        </is>
      </c>
      <c r="S10" s="71" t="n"/>
    </row>
    <row r="11" ht="104.4" customHeight="1" s="148">
      <c r="A11" s="10" t="inlineStr">
        <is>
          <t>9000</t>
        </is>
      </c>
      <c r="B11" s="10" t="inlineStr">
        <is>
          <t>9000-1</t>
        </is>
      </c>
      <c r="C11" s="71" t="inlineStr">
        <is>
          <t>신호분야</t>
        </is>
      </c>
      <c r="D11" s="10" t="inlineStr">
        <is>
          <t>9000-1-10</t>
        </is>
      </c>
      <c r="E11" s="76" t="inlineStr">
        <is>
          <t>장비반입 및 안전교육</t>
        </is>
      </c>
      <c r="F11" s="10" t="inlineStr">
        <is>
          <t>현장 시스템팀 / 안전팀</t>
        </is>
      </c>
      <c r="G11" s="71" t="inlineStr">
        <is>
          <t>장비 반입 준비 및 안전교육 완료</t>
        </is>
      </c>
      <c r="H11" s="77" t="inlineStr">
        <is>
          <t>- 도로 굴착장비, 고속작업 시 사용할 장비, 인양장비등 관련 장비 계획 검토
- 장비 spec 확인, 장비 성능 점검
- 작업원 안전교육 실시</t>
        </is>
      </c>
      <c r="I11" s="71" t="inlineStr">
        <is>
          <t>측정기록서, 안전교육 결과서</t>
        </is>
      </c>
      <c r="J11" s="11" t="inlineStr">
        <is>
          <t>1) 장비안전(WBS 9000-1-10) 확보를 위해 굴착/고속작업/인양 장비 Spec 점검 및 성능 검사를 시행하라.
2) 작업원 특별 안전교육 및 위험성평가 이행 확인서를 승인 완수하라.</t>
        </is>
      </c>
      <c r="K11" s="155">
        <f>HYPERLINK("매뉴얼BODY(집행단계-첨부폴더)v8\7.신호분야\10_장비반입 및 안전교육\표준서\장비반입 및 안전교육_표준서.html", "👉 [클릭] 표준서 열기 📄")</f>
        <v/>
      </c>
      <c r="L11" s="11" t="inlineStr">
        <is>
          <t>1) 도로 굴착 및 인양 장비 Spec 확인과 장비 성능 점검을 반입 전 수행하십시오.
2) 신호 공사 작업원에 대한 특별 안전교육 및 보호구 착용 상태를 확인하십시오.</t>
        </is>
      </c>
      <c r="M11" s="155">
        <f>HYPERLINK("매뉴얼BODY(집행단계-첨부폴더)v8\7.신호분야\10_장비반입 및 안전교육\수행지침\LTE-R_무선_AP를_통한_신호_제어_데이터_송수신_레벨_상세절차서.html", "👉 [클릭] 수행지침 열기 📄")</f>
        <v/>
      </c>
      <c r="N11" s="11" t="inlineStr">
        <is>
          <t>1) 도로 굴착 및 인양 장비 Spec 점검 및 성능 검사를 완료하였는가?
2) 신호 공사 작업원 특별 안전교육 실시 기록을 확인하였는가?</t>
        </is>
      </c>
      <c r="O11" s="155">
        <f>HYPERLINK("매뉴얼BODY(집행단계-첨부폴더)v8\7.신호분야\10_장비반입 및 안전교육\체크리스트\장비반입 및 안전교육_체크리스트.html", "👉 [클릭] 체크리스트 열기 📄")</f>
        <v/>
      </c>
      <c r="P11" s="10" t="n"/>
      <c r="Q11" s="71" t="n"/>
      <c r="R11" s="73" t="inlineStr">
        <is>
          <t>1) 👉 [더블클릭] 체크리스트 열기 📄</t>
        </is>
      </c>
      <c r="S11" s="71" t="n"/>
    </row>
    <row r="12" ht="104.4" customHeight="1" s="148">
      <c r="A12" s="10" t="inlineStr">
        <is>
          <t>9000</t>
        </is>
      </c>
      <c r="B12" s="10" t="inlineStr">
        <is>
          <t>9000-1</t>
        </is>
      </c>
      <c r="C12" s="71" t="inlineStr">
        <is>
          <t>신호분야</t>
        </is>
      </c>
      <c r="D12" s="10" t="inlineStr">
        <is>
          <t>9000-1-11</t>
        </is>
      </c>
      <c r="E12" s="76" t="inlineStr">
        <is>
          <t>자재 반입 및 검수</t>
        </is>
      </c>
      <c r="F12" s="10" t="inlineStr">
        <is>
          <t>현장소장 및 발주청/공동감리단</t>
        </is>
      </c>
      <c r="G12" s="71" t="inlineStr">
        <is>
          <t>공장제품 품질 확보를 위한 자재 검수 및 검사</t>
        </is>
      </c>
      <c r="H12" s="77" t="inlineStr">
        <is>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is>
      </c>
      <c r="I12" s="71" t="inlineStr">
        <is>
          <t>자재검수요청서 / 자재수입검사서</t>
        </is>
      </c>
      <c r="J12" s="11" t="inlineStr">
        <is>
          <t>1) 자재검수(WBS 9000-1-11) 강화를 위해 자재공급승인원(MAR) 제출 및 공장검수를 시행하라.
2) 반입 자재의 KS/KRS 규격 시험성적서 대조 검수 및 품질 보증을 완수하라.</t>
        </is>
      </c>
      <c r="K12" s="155">
        <f>HYPERLINK("매뉴얼BODY(집행단계-첨부폴더)v8\7.신호분야\11_자재 반입 및 검수\표준서\자재 반입 및 검수_표준서.html", "👉 [클릭] 표준서 열기 📄")</f>
        <v/>
      </c>
      <c r="L12" s="11" t="inlineStr">
        <is>
          <t>1) 자재공급승인원(MAR) 및 공장검수 계획서를 제출하여 감리단 승인을 획득하십시오.
2) 자재 현지 반입 시 사양서, 시험성적서 및 표준규격 부합 여부를 인수 검수하십시오.</t>
        </is>
      </c>
      <c r="M12" s="155">
        <f>HYPERLINK("매뉴얼BODY(집행단계-첨부폴더)v8\7.신호분야\11_자재 반입 및 검수\수행지침\LTE-R_무선_AP를_통한_신호_제어_데이터_송수신_레벨_상세절차서.html", "👉 [클릭] 수행지침 열기 📄")</f>
        <v/>
      </c>
      <c r="N12" s="11" t="inlineStr">
        <is>
          <t>1) 자재공급승인원(MAR) 제출 및 공장검수 승인을 획득하였는가?
2) 반입 자재 사양 확인(KS, KRS 표준규격) 및 수량 검수를 시행하였는가?</t>
        </is>
      </c>
      <c r="O12" s="155">
        <f>HYPERLINK("매뉴얼BODY(집행단계-첨부폴더)v8\7.신호분야\11_자재 반입 및 검수\체크리스트\자재 반입 및 검수_체크리스트.html", "👉 [클릭] 체크리스트 열기 📄")</f>
        <v/>
      </c>
      <c r="P12" s="10" t="n"/>
      <c r="Q12" s="71" t="n"/>
      <c r="R12" s="73" t="inlineStr">
        <is>
          <t>1) 👉 [더블클릭] 체크리스트 열기 📄</t>
        </is>
      </c>
      <c r="S12" s="71" t="n"/>
    </row>
    <row r="13" ht="104.4" customHeight="1" s="148">
      <c r="A13" s="10" t="inlineStr">
        <is>
          <t>9000</t>
        </is>
      </c>
      <c r="B13" s="10" t="inlineStr">
        <is>
          <t>9000-1</t>
        </is>
      </c>
      <c r="C13" s="71" t="inlineStr">
        <is>
          <t>신호분야</t>
        </is>
      </c>
      <c r="D13" s="10" t="inlineStr">
        <is>
          <t>9000-1-12</t>
        </is>
      </c>
      <c r="E13" s="76" t="inlineStr">
        <is>
          <t>시스템설비 설치 (현장/기능실)</t>
        </is>
      </c>
      <c r="F13" s="10" t="inlineStr">
        <is>
          <t>현장소장 및 분야별 전담팀</t>
        </is>
      </c>
      <c r="G13" s="71" t="inlineStr">
        <is>
          <t>현장설비 및 기기실의 자체 최적의 설치작업</t>
        </is>
      </c>
      <c r="H13" s="71" t="inlineStr">
        <is>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is>
      </c>
      <c r="I13" s="71" t="inlineStr">
        <is>
          <t>검사 결과서</t>
        </is>
      </c>
      <c r="J13" s="11" t="inlineStr">
        <is>
          <t>1) 시스템설비 설치(WBS 9000-1-12)를 위해 기계실 랙 마감 동선 및 승인 자재 상세 사양을 확인하라.
2) 현장 신호기, 선로전환기 기초 볼트 체결 및 도면 일치 여부를 정밀 시공하라.</t>
        </is>
      </c>
      <c r="K13" s="155">
        <f>HYPERLINK("매뉴얼BODY(집행단계-첨부폴더)v8\7.신호분야\12_시스템설비 설치 (현장_기능실)\표준서\시스템설비 설치 (현장_기능실)_표준서.html", "👉 [클릭] 표준서 열기 📄")</f>
        <v/>
      </c>
      <c r="L13" s="11" t="inlineStr">
        <is>
          <t>1) 기계실 장치 위치, 마감 동선 및 승인 자재 Serial Number 등록을 확인하십시오.
2) 현장 설치 설비의 규격, 수량 및 도면 일치 여부를 정밀 측정하여 시공하십시오.</t>
        </is>
      </c>
      <c r="M13" s="155">
        <f>HYPERLINK("매뉴얼BODY(집행단계-첨부폴더)v8\7.신호분야\12_시스템설비 설치 (현장_기능실)\수행지침\LTE-R_무선_AP를_통한_신호_제어_데이터_송수신_레벨_상세절차서.html", "👉 [클릭] 수행지침 열기 📄")</f>
        <v/>
      </c>
      <c r="N13" s="11" t="inlineStr">
        <is>
          <t>1) 기계실 장치 위치, 마감 동선 및 승인 자재 사양을 확인하였는가?
2) 현장 신호기/선로전환기 기초 볼트 체결 및 규격 일치 여부를 시공하였는가?</t>
        </is>
      </c>
      <c r="O13" s="155">
        <f>HYPERLINK("매뉴얼BODY(집행단계-첨부폴더)v8\7.신호분야\12_시스템설비 설치 (현장_기능실)\체크리스트\시스템설비 설치 (현장_기능실)_체크리스트.html", "👉 [클릭] 체크리스트 열기 📄")</f>
        <v/>
      </c>
      <c r="P13" s="10" t="n"/>
      <c r="Q13" s="71" t="inlineStr">
        <is>
          <t>● 관련분야 설계기준서 준수</t>
        </is>
      </c>
      <c r="R13" s="73" t="inlineStr">
        <is>
          <t>1) 👉 [더블클릭] 체크리스트 열기 📄</t>
        </is>
      </c>
      <c r="S13" s="71" t="n"/>
    </row>
    <row r="14" ht="104.4" customHeight="1" s="148">
      <c r="A14" s="10" t="inlineStr">
        <is>
          <t>9000</t>
        </is>
      </c>
      <c r="B14" s="10" t="inlineStr">
        <is>
          <t>9000-1</t>
        </is>
      </c>
      <c r="C14" s="71" t="inlineStr">
        <is>
          <t>신호분야</t>
        </is>
      </c>
      <c r="D14" s="10" t="inlineStr">
        <is>
          <t>9000-1-14</t>
        </is>
      </c>
      <c r="E14" s="76" t="inlineStr">
        <is>
          <t>시스템 단위시험</t>
        </is>
      </c>
      <c r="F14" s="10" t="inlineStr">
        <is>
          <t>현장 시스템팀</t>
        </is>
      </c>
      <c r="G14" s="71" t="inlineStr">
        <is>
          <t>철도안전법상 신호시스템 규정에 대한 설치 후 현황시험 및 기능 확보</t>
        </is>
      </c>
      <c r="H14" s="77" t="inlineStr">
        <is>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is>
      </c>
      <c r="I14" s="71" t="inlineStr">
        <is>
          <t>자체단독시험 및 시험결과서 (단독단위)</t>
        </is>
      </c>
      <c r="J14" s="11" t="inlineStr">
        <is>
          <t>1) 단위시험(WBS 9000-1-14) 수행을 위해 철도안전법 규정에 따른 설치 후 단독 현황시험을 시행하라.
2) 신호기, 선로전환기, 전원장치, 차축검지기 개별 ITP/ITC 시험 결과서를 승인 완수하라.</t>
        </is>
      </c>
      <c r="K14" s="155">
        <f>HYPERLINK("매뉴얼BODY(집행단계-첨부폴더)v8\7.신호분야\13_시스템 단위시험\표준서\시스템 단위시험_표준서.html", "👉 [클릭] 표준서 열기 📄")</f>
        <v/>
      </c>
      <c r="L14" s="11" t="inlineStr">
        <is>
          <t>1) 자체 단독시험 및 관계부서 공동 시험수행 여부를 확인하십시오.
2) 감리단 승인 점검표(ITP/ITC) 절차에 따라 지상신호장치 단위시험 결과서를 작성하십시오.</t>
        </is>
      </c>
      <c r="M14" s="155">
        <f>HYPERLINK("매뉴얼BODY(집행단계-첨부폴더)v8\7.신호분야\13_시스템 단위시험\수행지침\CBI_IO_릴레이_모듈_동작_상태_검측_상세절차서.html", "👉 [클릭] 수행지침 열기 📄")</f>
        <v/>
      </c>
      <c r="N14" s="11" t="inlineStr">
        <is>
          <t>1) 지상신호장치 및 관계부서 단위시험 결과서를 확인하였는가?
2) 감리단 승인 점검표(ITP/ITC) 절차에 따라 개별 단독 현황시험을 수행하였는가?</t>
        </is>
      </c>
      <c r="O14" s="155">
        <f>HYPERLINK("매뉴얼BODY(집행단계-첨부폴더)v8\7.신호분야\13_시스템 단위시험\체크리스트\시스템 단위시험_체크리스트.html", "👉 [클릭] 체크리스트 열기 📄")</f>
        <v/>
      </c>
      <c r="P14" s="10" t="n"/>
      <c r="Q14" s="71" t="inlineStr">
        <is>
          <t>● 관련분야 설계기준서 준수</t>
        </is>
      </c>
      <c r="R14" s="73" t="inlineStr">
        <is>
          <t>1) 👉 [더블클릭] 체크리스트 열기 📄</t>
        </is>
      </c>
      <c r="S14" s="71" t="n"/>
    </row>
    <row r="15" ht="104.4" customHeight="1" s="148">
      <c r="A15" s="10" t="inlineStr">
        <is>
          <t>9000</t>
        </is>
      </c>
      <c r="B15" s="10" t="inlineStr">
        <is>
          <t>9000-1</t>
        </is>
      </c>
      <c r="C15" s="71" t="inlineStr">
        <is>
          <t>신호분야</t>
        </is>
      </c>
      <c r="D15" s="10" t="inlineStr">
        <is>
          <t>9000-1-15</t>
        </is>
      </c>
      <c r="E15" s="76" t="inlineStr">
        <is>
          <t>신호시스템 통합시험</t>
        </is>
      </c>
      <c r="F15" s="10" t="inlineStr">
        <is>
          <t>현장 시스템팀</t>
        </is>
      </c>
      <c r="G15" s="71" t="inlineStr">
        <is>
          <t>신호시스템 단독시험 완료 후 타 분야 연계 및 시설 유효성 확인</t>
        </is>
      </c>
      <c r="H15" s="77" t="inlineStr">
        <is>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is>
      </c>
      <c r="I15" s="71" t="inlineStr">
        <is>
          <t>자체단독시험 및 시험결과서 (단독단위)</t>
        </is>
      </c>
      <c r="J15" s="11" t="inlineStr">
        <is>
          <t>1) 통합시험(WBS 9000-1-15)을 통해 단독시험 완료 후 관제 ➔ CBI 전자연동장치 통합 연동을 검증하라.
2) 차상-지상 무선(LTE-R) 도로-트램 우선신호 연계 시험 결과표를 승인 완수하라.</t>
        </is>
      </c>
      <c r="K15" s="155">
        <f>HYPERLINK("매뉴얼BODY(집행단계-첨부폴더)v8\7.신호분야\14_신호시스템 통합시험\표준서\신호시스템 통합시험_표준서.html", "👉 [클릭] 표준서 열기 📄")</f>
        <v/>
      </c>
      <c r="L15" s="11" t="inlineStr">
        <is>
          <t>1) 관제실 및 현장 연동장치 간 인터페이스 통합시험을 시행하십시오.
2) 지상-차상 인터페이스 및 도로/트램 우선신호 무선 연계시험 결과표를 작성하십시오.</t>
        </is>
      </c>
      <c r="M15" s="155">
        <f>HYPERLINK("매뉴얼BODY(집행단계-첨부폴더)v8\7.신호분야\14_신호시스템 통합시험\수행지침\LTE-R_무선_AP를_통한_신호_제어_데이터_송수신_레벨_상세절차서.html", "👉 [클릭] 수행지침 열기 📄")</f>
        <v/>
      </c>
      <c r="N15" s="11" t="inlineStr">
        <is>
          <t>1) 관제실 및 현장 연동장치 간 인터페이스 시험을 수행하였는가?
2) 지상-차상 인터페이스 및 도로-트램 우선신호 연계 시험을 검증하였는가?</t>
        </is>
      </c>
      <c r="O15" s="155">
        <f>HYPERLINK("매뉴얼BODY(집행단계-첨부폴더)v8\7.신호분야\14_신호시스템 통합시험\체크리스트\신호시스템 통합시험_체크리스트.html", "👉 [클릭] 체크리스트 열기 📄")</f>
        <v/>
      </c>
      <c r="P15" s="10" t="n"/>
      <c r="Q15" s="71" t="inlineStr">
        <is>
          <t>● 관련분야 설계기준서 준수</t>
        </is>
      </c>
      <c r="R15" s="73" t="inlineStr">
        <is>
          <t>1) 👉 [더블클릭] 체크리스트 열기 📄</t>
        </is>
      </c>
      <c r="S15" s="71" t="n"/>
    </row>
    <row r="16" ht="104.4" customHeight="1" s="148">
      <c r="A16" s="10" t="inlineStr">
        <is>
          <t>9000</t>
        </is>
      </c>
      <c r="B16" s="10" t="inlineStr">
        <is>
          <t>9000-1</t>
        </is>
      </c>
      <c r="C16" s="71" t="inlineStr">
        <is>
          <t>신호분야</t>
        </is>
      </c>
      <c r="D16" s="10" t="inlineStr">
        <is>
          <t>9000-1-16</t>
        </is>
      </c>
      <c r="E16" s="76" t="inlineStr">
        <is>
          <t>공종별 시험</t>
        </is>
      </c>
      <c r="F16" s="10" t="inlineStr">
        <is>
          <t>현장 시스템팀</t>
        </is>
      </c>
      <c r="G16" s="71" t="inlineStr">
        <is>
          <t>철도안전기준에 따른 법정 / 설계기준 / 신기술 / 시운전 등의 요구사항의 적합성 검증</t>
        </is>
      </c>
      <c r="H16" s="77" t="inlineStr">
        <is>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is>
      </c>
      <c r="I16" s="71" t="inlineStr">
        <is>
          <t>공종별 시험 결과보고서</t>
        </is>
      </c>
      <c r="J16" s="11" t="inlineStr">
        <is>
          <t>1) 공종별 시험(WBS 9000-1-16)을 위해 신호기, 진로표시기, 선로전환기, 차축검지기 현장 동작시험을 시행하라.
2) 신호기계실 전원 2중화 절체 시험 및 관제 CTC 서버 정상 동작 시험을 완수하라.</t>
        </is>
      </c>
      <c r="K16" s="155">
        <f>HYPERLINK("매뉴얼BODY(집행단계-첨부폴더)v8\7.신호분야\15_공종별 시험\표준서\공종별 시험_표준서.html", "👉 [클릭] 표준서 열기 📄")</f>
        <v/>
      </c>
      <c r="L16" s="11" t="inlineStr">
        <is>
          <t>1) 현장설비(신호기 투시거리, 선로전환기 쇄정, 차축검지기) 동작시험을 시행하십시오.
2) 기계실 전원공급장치 이중화 절체 시험 및 관제 서버 정상 동작상태를 확인하십시오.</t>
        </is>
      </c>
      <c r="M16" s="155">
        <f>HYPERLINK("매뉴얼BODY(집행단계-첨부폴더)v8\7.신호분야\15_공종별 시험\수행지침\LTE-R_무선_AP를_통한_신호_제어_데이터_송수신_레벨_상세절차서.html", "👉 [클릭] 수행지침 열기 📄")</f>
        <v/>
      </c>
      <c r="N16" s="11" t="inlineStr">
        <is>
          <t>1) 신호기 투시거리/진로표시기 및 선로전환기 쇄정 동작시험을 수행하였는가?
2) 기계실 전원공급장치 이중화 절체 시험 및 관제 서버 동작을 검증하였는가?</t>
        </is>
      </c>
      <c r="O16" s="155">
        <f>HYPERLINK("매뉴얼BODY(집행단계-첨부폴더)v8\7.신호분야\15_공종별 시험\체크리스트\공종별 시험_체크리스트.html", "👉 [클릭] 체크리스트 열기 📄")</f>
        <v/>
      </c>
      <c r="P16" s="10" t="n"/>
      <c r="Q16" s="71" t="inlineStr">
        <is>
          <t>● 관련분야 설계기준서 준수</t>
        </is>
      </c>
      <c r="R16" s="73" t="inlineStr">
        <is>
          <t>1) 👉 [더블클릭] 체크리스트 열기 📄</t>
        </is>
      </c>
      <c r="S16" s="71" t="n"/>
    </row>
    <row r="17" ht="104.4" customHeight="1" s="148">
      <c r="A17" s="10" t="inlineStr">
        <is>
          <t>9000</t>
        </is>
      </c>
      <c r="B17" s="10" t="inlineStr">
        <is>
          <t>9000-1</t>
        </is>
      </c>
      <c r="C17" s="71" t="inlineStr">
        <is>
          <t>신호분야</t>
        </is>
      </c>
      <c r="D17" s="10" t="inlineStr">
        <is>
          <t>9000-1-17</t>
        </is>
      </c>
      <c r="E17" s="76" t="inlineStr">
        <is>
          <t>차량 투입 전 점검</t>
        </is>
      </c>
      <c r="F17" s="10" t="inlineStr">
        <is>
          <t>현장소장 및 시공전담팀</t>
        </is>
      </c>
      <c r="G17" s="71" t="inlineStr">
        <is>
          <t>차량 시험운행 전 철저한 안전대책 수립 및 품질성 확보 여부 확인</t>
        </is>
      </c>
      <c r="H17" s="77" t="inlineStr">
        <is>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is>
      </c>
      <c r="I17" s="71" t="inlineStr">
        <is>
          <t>차량 투입 전 점검 결과 보고서</t>
        </is>
      </c>
      <c r="J17" s="11" t="inlineStr">
        <is>
          <t>1) 차량 투입 전 점검(WBS 9000-1-17)을 통해 연동검사 및 기계실 방재/접지저항 측정을 시행하라.
2) 건축한계/차량한계 이격 정밀 측정 및 전원장치(UPS) 성능을 최종 검증하라.</t>
        </is>
      </c>
      <c r="K17" s="155">
        <f>HYPERLINK("매뉴얼BODY(집행단계-첨부폴더)v8\7.신호분야\16_차량 투입 전 점검\표준서\차량 투입 전 점검_표준서.html", "👉 [클릭] 표준서 열기 📄")</f>
        <v/>
      </c>
      <c r="L17" s="11" t="inlineStr">
        <is>
          <t>1) 연동검사(설비동작, 진로취급) 및 신호기 시공상태 적정성을 점검하십시오.
2) 건축한계(폭 3.1m/높이 3.8m) 이격 측정 및 기계실 UPS/방재예방 설비를 확인하십시오.</t>
        </is>
      </c>
      <c r="M17" s="155">
        <f>HYPERLINK("매뉴얼BODY(집행단계-첨부폴더)v8\7.신호분야\16_차량 투입 전 점검\수행지침\LTE-R_무선_AP를_통한_신호_제어_데이터_송수신_레벨_상세절차서.html", "👉 [클릭] 수행지침 열기 📄")</f>
        <v/>
      </c>
      <c r="N17" s="11" t="inlineStr">
        <is>
          <t>1) 연동검사 및 기계실 시스템/UPS 시험을 완료하였는가?
2) 신호기와 건축물 간 건축한계 정밀 측정 및 방재설비를 확인하였는가?</t>
        </is>
      </c>
      <c r="O17" s="155">
        <f>HYPERLINK("매뉴얼BODY(집행단계-첨부폴더)v8\7.신호분야\16_차량 투입 전 점검\체크리스트\차량 투입 전 점검_체크리스트.html", "👉 [클릭] 체크리스트 열기 📄")</f>
        <v/>
      </c>
      <c r="P17" s="10" t="n"/>
      <c r="Q17" s="71" t="inlineStr">
        <is>
          <t>● 관련분야 설계기준서 준수</t>
        </is>
      </c>
      <c r="R17" s="73" t="inlineStr">
        <is>
          <t>1) 👉 [더블클릭] 체크리스트 열기 📄</t>
        </is>
      </c>
      <c r="S17" s="71" t="n"/>
    </row>
    <row r="18" ht="104.4" customHeight="1" s="148">
      <c r="A18" s="10" t="inlineStr">
        <is>
          <t>9000</t>
        </is>
      </c>
      <c r="B18" s="10" t="inlineStr">
        <is>
          <t>9000-1</t>
        </is>
      </c>
      <c r="C18" s="71" t="inlineStr">
        <is>
          <t>신호분야</t>
        </is>
      </c>
      <c r="D18" s="10" t="inlineStr">
        <is>
          <t>9000-1-18</t>
        </is>
      </c>
      <c r="E18" s="76" t="inlineStr">
        <is>
          <t>차량 시운전</t>
        </is>
      </c>
      <c r="F18" s="10" t="inlineStr">
        <is>
          <t>현장 시스템팀</t>
        </is>
      </c>
      <c r="G18" s="71" t="inlineStr">
        <is>
          <t>철도안전법상 철도기술기준에 적합하게 시운전 수행 여부(철도노선 규정)</t>
        </is>
      </c>
      <c r="H18" s="77" t="inlineStr">
        <is>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is>
      </c>
      <c r="I18" s="71" t="inlineStr">
        <is>
          <t>철도차량 안전성 결과 보고서</t>
        </is>
      </c>
      <c r="J18" s="11" t="inlineStr">
        <is>
          <t>1) 차량 시운전(WBS 9000-1-18) 수행 시 철도안전법 제26조 형식승인 기준 준수 여부를 검증하라.
2) 속도/제동 테스트, 차상-지상 연계동작 및 열차제어 시스템 기능시험을 완수하라.</t>
        </is>
      </c>
      <c r="K18" s="155">
        <f>HYPERLINK("매뉴얼BODY(집행단계-첨부폴더)v8\7.신호분야\17_차량 시운전\표준서\차량 시운전_표준서.html", "👉 [클릭] 표준서 열기 📄")</f>
        <v/>
      </c>
      <c r="L18" s="11" t="inlineStr">
        <is>
          <t>1) 철도기술기준에 따라 속도/제동 테스트 및 주요기기 제어전원 투입을 검사하십시오.
2) 차상신호장치 지·차상 연계동작시험 및 열차제어 시스템 기능시험을 시행하십시오.</t>
        </is>
      </c>
      <c r="M18" s="155">
        <f>HYPERLINK("매뉴얼BODY(집행단계-첨부폴더)v8\7.신호분야\17_차량 시운전\수행지침\LTE-R_무선_AP를_통한_신호_제어_데이터_송수신_레벨_상세절차서.html", "👉 [클릭] 수행지침 열기 📄")</f>
        <v/>
      </c>
      <c r="N18" s="11" t="inlineStr">
        <is>
          <t>1) 철도기술기준 준수 속도/제동 테스트 및 주요기기 검사를 시행하였는가?
2) 차상-지상 연계동작시험 및 차량-신호-통신 I/F 시험을 검증하였는가?</t>
        </is>
      </c>
      <c r="O18" s="155">
        <f>HYPERLINK("매뉴얼BODY(집행단계-첨부폴더)v8\7.신호분야\17_차량 시운전\체크리스트\차량 시운전_체크리스트.html", "👉 [클릭] 체크리스트 열기 📄")</f>
        <v/>
      </c>
      <c r="P18" s="10" t="n"/>
      <c r="Q18" s="71" t="inlineStr">
        <is>
          <t>● 관련분야 설계기준서 준수</t>
        </is>
      </c>
      <c r="R18" s="73" t="inlineStr">
        <is>
          <t>1) 👉 [더블클릭] 체크리스트 열기 📄</t>
        </is>
      </c>
      <c r="S18" s="71" t="n"/>
    </row>
    <row r="19" ht="104.4" customHeight="1" s="148">
      <c r="A19" s="10" t="inlineStr">
        <is>
          <t>9000</t>
        </is>
      </c>
      <c r="B19" s="10" t="inlineStr">
        <is>
          <t>9000-1</t>
        </is>
      </c>
      <c r="C19" s="71" t="inlineStr">
        <is>
          <t>신호분야</t>
        </is>
      </c>
      <c r="D19" s="10" t="inlineStr">
        <is>
          <t>9000-1-19</t>
        </is>
      </c>
      <c r="E19" s="76" t="inlineStr">
        <is>
          <t>운영자 교육시행</t>
        </is>
      </c>
      <c r="F19" s="10" t="inlineStr">
        <is>
          <t>현장 시스템팀</t>
        </is>
      </c>
      <c r="G19" s="71" t="inlineStr">
        <is>
          <t>운영요원(기관사 및 안전관리)을 위한 주행/유지 교육시행</t>
        </is>
      </c>
      <c r="H19" s="77" t="inlineStr">
        <is>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is>
      </c>
      <c r="I19" s="71" t="inlineStr">
        <is>
          <t>운영자훈련 및 기술단계에서 운영지침서</t>
        </is>
      </c>
      <c r="J19" s="11" t="inlineStr">
        <is>
          <t>1) 운영자 교육(WBS 9000-1-19)을 위해 기관사 및 유지보수 요원 대상 시스템 안전 교육을 시행하라.
2) 장비 제작사에 의한 CTC/CBI/현장설비 조작·정비 기술 교육 완료 이수증을 승인하라.</t>
        </is>
      </c>
      <c r="K19" s="155">
        <f>HYPERLINK("매뉴얼BODY(집행단계-첨부폴더)v8\7.신호분야\18_운영자 교육시행\표준서\운영자 교육시행_표준서.html", "👉 [클릭] 표준서 열기 📄")</f>
        <v/>
      </c>
      <c r="L19" s="11" t="inlineStr">
        <is>
          <t>1) 철도차량 안전점검 요령 및 시스템 간 조작 방법에 대한 운영자 교육을 시행하십시오.
2) CTC 서버, 전자연동장치, 현장 신호기/선로전환기 교육 이수 현황을 확인하십시오.</t>
        </is>
      </c>
      <c r="M19" s="155">
        <f>HYPERLINK("매뉴얼BODY(집행단계-첨부폴더)v8\7.신호분야\18_운영자 교육시행\수행지침\LTE-R_무선_AP를_통한_신호_제어_데이터_송수신_레벨_상세절차서.html", "👉 [클릭] 수행지침 열기 📄")</f>
        <v/>
      </c>
      <c r="N19" s="11" t="inlineStr">
        <is>
          <t>1) 기관사 및 유지보수요원 대상 시스템 안전 교육을 시행하였는가?
2) 장비 제작사에 의한 CTC/CBI/현장설비 조작교육을 완료하였는가?</t>
        </is>
      </c>
      <c r="O19" s="155">
        <f>HYPERLINK("매뉴얼BODY(집행단계-첨부폴더)v8\7.신호분야\18_운영자 교육시행\체크리스트\운영자 교육시행_체크리스트.html", "👉 [클릭] 체크리스트 열기 📄")</f>
        <v/>
      </c>
      <c r="P19" s="10" t="n"/>
      <c r="Q19" s="71" t="inlineStr">
        <is>
          <t>● 관련분야 설계기준서 준수</t>
        </is>
      </c>
      <c r="R19" s="73" t="inlineStr">
        <is>
          <t>1) 👉 [더블클릭] 체크리스트 열기 📄</t>
        </is>
      </c>
      <c r="S19" s="71" t="n"/>
    </row>
    <row r="20" ht="104.4" customHeight="1" s="148">
      <c r="A20" s="10" t="inlineStr">
        <is>
          <t>9000</t>
        </is>
      </c>
      <c r="B20" s="10" t="inlineStr">
        <is>
          <t>9000-1</t>
        </is>
      </c>
      <c r="C20" s="71" t="inlineStr">
        <is>
          <t>신호분야</t>
        </is>
      </c>
      <c r="D20" s="10" t="inlineStr">
        <is>
          <t>9000-1-20</t>
        </is>
      </c>
      <c r="E20" s="76" t="inlineStr">
        <is>
          <t>사전점검 및 철도기술기준 검토</t>
        </is>
      </c>
      <c r="F20" s="10" t="inlineStr">
        <is>
          <t>현장소장 및 발주처 / 공동감리단</t>
        </is>
      </c>
      <c r="G20" s="71" t="inlineStr">
        <is>
          <t>철도종합시험운행에 따른 기능 및 성능 사전검증과 철도종합시험운행의 목적 달성의 적합여부 판정</t>
        </is>
      </c>
      <c r="H20" s="77" t="inlineStr">
        <is>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is>
      </c>
      <c r="I20" s="71" t="inlineStr">
        <is>
          <t>사전점검 결과표 / 철도안전성검토서</t>
        </is>
      </c>
      <c r="J20" s="11" t="inlineStr">
        <is>
          <t>1) 사전점검(WBS 9000-1-20)을 위해 철도종합시험운행 시행지침 제6조/제8조 검토 수칙을 이행하라.
2) 시설물 시공상태, 기술기준 준수 및 완공 가능 여부 사전점검 체크리스트를 완수하라.</t>
        </is>
      </c>
      <c r="K20" s="155">
        <f>HYPERLINK("매뉴얼BODY(집행단계-첨부폴더)v8\7.신호분야\19_사전점검 및 철도기술기준 검토\표준서\사전점검 및 철도기술기준 검토_표준서.html", "👉 [클릭] 표준서 열기 📄")</f>
        <v/>
      </c>
      <c r="L20" s="11" t="inlineStr">
        <is>
          <t>1) 철도종합시험운행 시행지침 제6조/제8조에 따라 사전점검 체크리스트를 사전에 준비하십시오.
2) 시설물 시공상태, 기술기준 준수 여부 및 공종별시험 결과보고서를 검토하십시오.</t>
        </is>
      </c>
      <c r="M20" s="155">
        <f>HYPERLINK("매뉴얼BODY(집행단계-첨부폴더)v8\7.신호분야\19_사전점검 및 철도기술기준 검토\수행지침\LTE-R_무선_AP를_통한_신호_제어_데이터_송수신_레벨_상세절차서.html", "👉 [클릭] 수행지침 열기 📄")</f>
        <v/>
      </c>
      <c r="N20" s="11" t="inlineStr">
        <is>
          <t>1) 철도종합시험운행 시행지침 제6조/제8조 사전점검 체크리스트를 수립하였는가?
2) 철도시설물 시공상태, 기술기준 준수 및 안전성 분석 결과를 검토하였는가?</t>
        </is>
      </c>
      <c r="O20" s="155">
        <f>HYPERLINK("매뉴얼BODY(집행단계-첨부폴더)v8\7.신호분야\19_사전점검 및 철도기술기준 검토\체크리스트\사전점검 및 철도기술기준 검토_체크리스트.html", "👉 [클릭] 체크리스트 열기 📄")</f>
        <v/>
      </c>
      <c r="P20" s="10" t="n"/>
      <c r="Q20" s="71" t="inlineStr">
        <is>
          <t>● 관련분야 설계기준서 준수</t>
        </is>
      </c>
      <c r="R20" s="73" t="inlineStr">
        <is>
          <t>1) 👉 [더블클릭] 체크리스트 열기 📄</t>
        </is>
      </c>
      <c r="S20" s="71" t="n"/>
    </row>
    <row r="21" ht="104.4" customHeight="1" s="148">
      <c r="A21" s="10" t="inlineStr">
        <is>
          <t>9000</t>
        </is>
      </c>
      <c r="B21" s="10" t="inlineStr">
        <is>
          <t>9000-1</t>
        </is>
      </c>
      <c r="C21" s="71" t="inlineStr">
        <is>
          <t>신호분야</t>
        </is>
      </c>
      <c r="D21" s="10" t="inlineStr">
        <is>
          <t>9000-1-21</t>
        </is>
      </c>
      <c r="E21" s="76" t="inlineStr">
        <is>
          <t>시설물 검증시험</t>
        </is>
      </c>
      <c r="F21" s="10" t="inlineStr">
        <is>
          <t>현장소장 및 발주처 / 공동감리단</t>
        </is>
      </c>
      <c r="G21" s="71" t="inlineStr">
        <is>
          <t>시설물검증 노선에 환경에 철도종합시험운행 시행지침에 의거 철도노선 및 관계시설을 검증하여 안전성 확보 여부 판단</t>
        </is>
      </c>
      <c r="H21" s="77" t="inlineStr">
        <is>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is>
      </c>
      <c r="I21" s="71" t="inlineStr">
        <is>
          <t>시설물 검증시험 시험결과 및 승인원, 완료결과보고서</t>
        </is>
      </c>
      <c r="J21" s="11" t="inlineStr">
        <is>
          <t>1) 시설물 검증(WBS 9000-1-21)을 위해 최고운행속도 증속 시운전을 시행하고 신호 정상동작을 검증하라.
2) 신호설비와 차량 간 연계성 및 철도차량 운행 적합성 검증 결과표를 승인 완수하라.</t>
        </is>
      </c>
      <c r="K21" s="155">
        <f>HYPERLINK("매뉴얼BODY(집행단계-첨부폴더)v8\7.신호분야\20_시설물 검증시험\표준서\시설물 검증시험_표준서.html", "👉 [클릭] 표준서 열기 📄")</f>
        <v/>
      </c>
      <c r="L21" s="11" t="inlineStr">
        <is>
          <t>1) 설계 최고운행속도까지 단계별 증속하여 신호시설물 정상 동작 및 안전성을 점검하십시오.
2) 신호설비와 차량 간 연계 적정성 및 철도차량 운행 적합 여부를 서면 판정하십시오.</t>
        </is>
      </c>
      <c r="M21" s="155">
        <f>HYPERLINK("매뉴얼BODY(집행단계-첨부폴더)v8\7.신호분야\20_시설물 검증시험\수행지침\LTE-R_무선_AP를_통한_신호_제어_데이터_송수신_레벨_상세절차서.html", "👉 [클릭] 수행지침 열기 📄")</f>
        <v/>
      </c>
      <c r="N21" s="11" t="inlineStr">
        <is>
          <t>1) 설계 최고운행속도 증속 시운전 시 신호시설물 정상 동작을 확인하였는가?
2) 신호설비와 차량 간 연계성 및 차량 운행 적합성을 검증하였는가?</t>
        </is>
      </c>
      <c r="O21" s="155">
        <f>HYPERLINK("매뉴얼BODY(집행단계-첨부폴더)v8\7.신호분야\20_시설물 검증시험\체크리스트\시설물 검증시험_체크리스트.html", "👉 [클릭] 체크리스트 열기 📄")</f>
        <v/>
      </c>
      <c r="P21" s="10" t="n"/>
      <c r="Q21" s="71" t="inlineStr">
        <is>
          <t>● 관련분야 설계기준서 준수</t>
        </is>
      </c>
      <c r="R21" s="73" t="inlineStr">
        <is>
          <t>1) 👉 [더블클릭] 체크리스트 열기 📄</t>
        </is>
      </c>
      <c r="S21" s="71" t="n"/>
    </row>
    <row r="22" ht="104.4" customHeight="1" s="148">
      <c r="A22" s="10" t="inlineStr">
        <is>
          <t>9000</t>
        </is>
      </c>
      <c r="B22" s="10" t="inlineStr">
        <is>
          <t>9000-1</t>
        </is>
      </c>
      <c r="C22" s="71" t="inlineStr">
        <is>
          <t>신호분야</t>
        </is>
      </c>
      <c r="D22" s="10" t="inlineStr">
        <is>
          <t>9000-1-22</t>
        </is>
      </c>
      <c r="E22" s="76" t="inlineStr">
        <is>
          <t>영업 시운전</t>
        </is>
      </c>
      <c r="F22" s="10" t="inlineStr">
        <is>
          <t>현장소장 및 발주처 / 공동감리단</t>
        </is>
      </c>
      <c r="G22" s="71" t="inlineStr">
        <is>
          <t>영업 시운전에 의한 수송능력을 파악하고 최종 운영기관과 인터페이스 협의를 통해 시공의 안정성 확보 여부 및 검증</t>
        </is>
      </c>
      <c r="H22" s="77" t="inlineStr">
        <is>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is>
      </c>
      <c r="I22" s="71" t="inlineStr">
        <is>
          <t>영업 시운전 및 가동단계에서 운영지침서 및 최종 제출서(가동시험보고서)</t>
        </is>
      </c>
      <c r="J22" s="11" t="inlineStr">
        <is>
          <t>1) 영업 시운전(WBS 9000-1-22)을 위해 모의 영업 시나리오 기반 100회 정시 운행 성공률(≥99.8%)을 달성하라.
2) 영업운전과 동일 조건 열차스케줄 및 승무원 노선숙지 등 최종 영업준비를 완수하라.</t>
        </is>
      </c>
      <c r="K22" s="155">
        <f>HYPERLINK("매뉴얼BODY(집행단계-첨부폴더)v8\7.신호분야\21_영업 시운전\표준서\영업 시운전_표준서.html", "👉 [클릭] 표준서 열기 📄")</f>
        <v/>
      </c>
      <c r="L22" s="11" t="inlineStr">
        <is>
          <t>1) 모의 영업 시나리오에 따라 100회 정시 운행 성공률(≥99.8%) 이상을 확보하십시오.
2) 영업운전과 동일한 조건으로 열차운행 스케줄 및 영업설비 최종 점검을 완료하십시오.</t>
        </is>
      </c>
      <c r="M22" s="155">
        <f>HYPERLINK("매뉴얼BODY(집행단계-첨부폴더)v8\7.신호분야\21_영업 시운전\수행지침\LTE-R_무선_AP를_통한_신호_제어_데이터_송수신_레벨_상세절차서.html", "👉 [클릭] 수행지침 열기 📄")</f>
        <v/>
      </c>
      <c r="N22" s="11" t="inlineStr">
        <is>
          <t>1) 모의 영업 시나리오 기반 100회 정시 운행 성공률(≥99.8%)을 달성하였는가?
2) 영업운전 동일 조건 행사수송 및 승무원 노선숙지 훈련을 완수하였는가?</t>
        </is>
      </c>
      <c r="O22" s="155">
        <f>HYPERLINK("매뉴얼BODY(집행단계-첨부폴더)v8\7.신호분야\21_영업 시운전\체크리스트\영업 시운전_체크리스트.html", "👉 [클릭] 체크리스트 열기 📄")</f>
        <v/>
      </c>
      <c r="P22" s="10" t="n"/>
      <c r="Q22" s="71" t="inlineStr">
        <is>
          <t>● 관련분야 설계기준서 준수</t>
        </is>
      </c>
      <c r="R22" s="73" t="inlineStr">
        <is>
          <t>1) 👉 [더블클릭] 체크리스트 열기 📄</t>
        </is>
      </c>
      <c r="S22" s="71" t="n"/>
    </row>
    <row r="23" ht="104.4" customHeight="1" s="148">
      <c r="A23" s="10" t="inlineStr">
        <is>
          <t>9000</t>
        </is>
      </c>
      <c r="B23" s="10" t="inlineStr">
        <is>
          <t>9000-1</t>
        </is>
      </c>
      <c r="C23" s="71" t="inlineStr">
        <is>
          <t>신호분야</t>
        </is>
      </c>
      <c r="D23" s="10" t="inlineStr">
        <is>
          <t>9000-1-13</t>
        </is>
      </c>
      <c r="E23" s="76" t="inlineStr">
        <is>
          <t>유지관리 설치</t>
        </is>
      </c>
      <c r="F23" s="10" t="inlineStr">
        <is>
          <t>현장소장</t>
        </is>
      </c>
      <c r="G23" s="71" t="inlineStr">
        <is>
          <t>관제 관제실의 장비체계 배치 및 설치</t>
        </is>
      </c>
      <c r="H23" s="71" t="inlineStr">
        <is>
          <t>- 유지 및 보수용 상세 공사 설계배치 확인
- 현장조성 및 유지관리 지침서 이행 여부</t>
        </is>
      </c>
      <c r="I23" s="71" t="inlineStr">
        <is>
          <t>유지관리 지침 및 관리 이행 보고서</t>
        </is>
      </c>
      <c r="J23" s="11" t="inlineStr">
        <is>
          <t>1) 유지관리 설치(WBS 9000-1-13)를 위해 관제실 유지보수용 장비 배치 및 상세 공사 설계를 확인하라.
2) 현장조성 및 유지관리 지침서 이행 여부를 확인하고 관제 MMI 보수를 완수하라.</t>
        </is>
      </c>
      <c r="K23" s="155">
        <f>HYPERLINK("매뉴얼BODY(집행단계-첨부폴더)v8\7.신호분야\22_유지관리 설치\표준서\유지관리 설치_표준서.html", "👉 [클릭] 표준서 열기 📄")</f>
        <v/>
      </c>
      <c r="L23" s="11" t="inlineStr">
        <is>
          <t>1) 관제실 유지 및 보수용 상세 공사 설계 배치를 확인하고 장비를 시공하십시오.
2) 현장 조성 및 유지관리 지침서 이행 여부를 점검하여 서면 보고하십시오.</t>
        </is>
      </c>
      <c r="M23" s="155">
        <f>HYPERLINK("매뉴얼BODY(집행단계-첨부폴더)v8\7.신호분야\22_유지관리 설치\수행지침\LTE-R_무선_AP를_통한_신호_제어_데이터_송수신_레벨_상세절차서.html", "👉 [클릭] 수행지침 열기 📄")</f>
        <v/>
      </c>
      <c r="N23" s="11" t="inlineStr">
        <is>
          <t>1) 관제실 유지보수용 상세 공사 설계 배치를 확인하였는가?
2) 현장조성 및 유지관리 지침서 이행 여부를 점검 확인하였는가?</t>
        </is>
      </c>
      <c r="O23" s="155">
        <f>HYPERLINK("매뉴얼BODY(집행단계-첨부폴더)v8\7.신호분야\22_유지관리 설치\체크리스트\유지관리 설치_체크리스트.html", "👉 [클릭] 체크리스트 열기 📄")</f>
        <v/>
      </c>
      <c r="P23" s="10" t="n"/>
      <c r="Q23" s="71" t="inlineStr">
        <is>
          <t>● 관련분야 설계기준서 준수</t>
        </is>
      </c>
      <c r="R23" s="73" t="inlineStr">
        <is>
          <t>1) 👉 [더블클릭] 체크리스트 열기 📄</t>
        </is>
      </c>
      <c r="S23" s="71" t="n"/>
    </row>
  </sheetData>
  <printOptions horizontalCentered="1"/>
  <pageMargins left="0.7480314960629921" right="0.7480314960629921" top="0.984251968503937" bottom="0.984251968503937" header="0.5118110236220472" footer="0.5118110236220472"/>
  <pageSetup orientation="landscape" paperSize="8" scale="38" verticalDpi="0"/>
</worksheet>
</file>

<file path=xl/worksheets/sheet11.xml><?xml version="1.0" encoding="utf-8"?>
<worksheet xmlns="http://schemas.openxmlformats.org/spreadsheetml/2006/main">
  <sheetPr codeName="Sheet8">
    <tabColor rgb="FFFFFF00"/>
    <outlinePr summaryBelow="1" summaryRight="1"/>
    <pageSetUpPr/>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baseColWidth="8" defaultRowHeight="19.2"/>
  <cols>
    <col width="9" bestFit="1" customWidth="1" style="4" min="1" max="2"/>
    <col width="13.19921875" bestFit="1" customWidth="1" style="4" min="3" max="3"/>
    <col width="11.19921875" bestFit="1" customWidth="1" style="4" min="4" max="4"/>
    <col width="30.3984375" customWidth="1" style="4" min="5" max="5"/>
    <col width="21.69921875" customWidth="1" style="4" min="6" max="6"/>
    <col width="32.59765625" customWidth="1" style="3" min="7" max="7"/>
    <col width="73.09765625" customWidth="1" style="3" min="8" max="8"/>
    <col width="19.3984375" customWidth="1" style="4" min="9" max="9"/>
    <col width="53" customWidth="1" style="3" min="10" max="10"/>
    <col width="14.69921875" customWidth="1" style="3" min="11" max="11"/>
    <col width="45" customWidth="1" style="3" min="12" max="12"/>
    <col width="14.5" customWidth="1" style="3" min="13" max="13"/>
    <col width="45" customWidth="1" style="3" min="14" max="14"/>
    <col width="16.09765625" customWidth="1" style="68" min="15" max="15"/>
    <col width="15.796875" customWidth="1" style="3" min="16" max="16"/>
    <col width="45" customWidth="1" style="68" min="17" max="17"/>
    <col width="22" customWidth="1" style="68" min="18" max="18"/>
    <col width="45" customWidth="1" style="3" min="19" max="35"/>
    <col width="8.796875" customWidth="1" style="3" min="36" max="70"/>
    <col width="8.796875" customWidth="1" style="3" min="71" max="16384"/>
  </cols>
  <sheetData>
    <row r="1" ht="57.6" customHeight="1" s="148">
      <c r="A1" s="27" t="inlineStr">
        <is>
          <t>L2 코드</t>
        </is>
      </c>
      <c r="B1" s="27" t="inlineStr">
        <is>
          <t>L3 코드</t>
        </is>
      </c>
      <c r="C1" s="27" t="inlineStr">
        <is>
          <t>L3 대공종명</t>
        </is>
      </c>
      <c r="D1" s="27" t="inlineStr">
        <is>
          <t>L4 코드</t>
        </is>
      </c>
      <c r="E1" s="27" t="inlineStr">
        <is>
          <t>작업단위 (Level 4 Task/Activity)</t>
        </is>
      </c>
      <c r="F1" s="27" t="inlineStr">
        <is>
          <t>주관</t>
        </is>
      </c>
      <c r="G1" s="27" t="inlineStr">
        <is>
          <t>목적</t>
        </is>
      </c>
      <c r="H1" s="59" t="inlineStr">
        <is>
          <t>방법</t>
        </is>
      </c>
      <c r="I1" s="59" t="inlineStr">
        <is>
          <t>산출물(결과)</t>
        </is>
      </c>
      <c r="J1" s="59" t="inlineStr">
        <is>
          <t>표준서 (Standard) 요약</t>
        </is>
      </c>
      <c r="K1" s="28" t="inlineStr">
        <is>
          <t>표준서 파일 (HTML)</t>
        </is>
      </c>
      <c r="L1" s="59" t="inlineStr">
        <is>
          <t>수행지침 (Guideline) 요약</t>
        </is>
      </c>
      <c r="M1" s="28" t="inlineStr">
        <is>
          <t>수행지침 파일 (HTML)</t>
        </is>
      </c>
      <c r="N1" s="59" t="inlineStr">
        <is>
          <t>체크리스트 (Checklist) 요약</t>
        </is>
      </c>
      <c r="O1" s="60" t="inlineStr">
        <is>
          <t>체크리스트 파일 (HTML)</t>
        </is>
      </c>
      <c r="P1" s="20" t="inlineStr">
        <is>
          <t>비고</t>
        </is>
      </c>
      <c r="Q1" s="20" t="inlineStr">
        <is>
          <t>첨부서류 연계 상세 설계기준</t>
        </is>
      </c>
      <c r="R1" s="20" t="inlineStr">
        <is>
          <t>집행단계 리스크 체크리스트</t>
        </is>
      </c>
      <c r="S1" s="20" t="inlineStr">
        <is>
          <t>협력사 시공/공사관리 자문</t>
        </is>
      </c>
    </row>
    <row r="2" ht="199.2" customHeight="1" s="148">
      <c r="A2" s="55" t="inlineStr">
        <is>
          <t>9000</t>
        </is>
      </c>
      <c r="B2" s="55" t="inlineStr">
        <is>
          <t>9000-2</t>
        </is>
      </c>
      <c r="C2" s="55" t="inlineStr">
        <is>
          <t>통신분야</t>
        </is>
      </c>
      <c r="D2" s="55" t="inlineStr">
        <is>
          <t>9000-2-1</t>
        </is>
      </c>
      <c r="E2" s="55" t="inlineStr">
        <is>
          <t>설계적정성 검토</t>
        </is>
      </c>
      <c r="F2" s="55" t="inlineStr">
        <is>
          <t>현장 공무팀</t>
        </is>
      </c>
      <c r="G2" s="54" t="inlineStr">
        <is>
          <t>설계적정성 및 시공성 검토</t>
        </is>
      </c>
      <c r="H2" s="56" t="inlineStr">
        <is>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is>
      </c>
      <c r="I2" s="55" t="inlineStr">
        <is>
          <t>회의록, 설계검토 보고서</t>
        </is>
      </c>
      <c r="J2" s="65" t="inlineStr">
        <is>
          <t>1) 정보통신공사업법, KDS 47 철도설계기준 및 입찰안내서 특기시방 준수 여부 사전 검증
2) LTE-R 무선망, 8대 이종 통신시스템, 타공종 간섭 및 리스크 헷지·기회반영 설계변경 승인 표준 적용</t>
        </is>
      </c>
      <c r="K2" s="155">
        <f>HYPERLINK("매뉴얼BODY(집행단계-첨부폴더)v8\9.통신분야\1_설계적정성 검토\표준서\설계적정성 검토_표준서.html", "👉 [클릭] 표준서 열기 📄")</f>
        <v/>
      </c>
      <c r="L2" s="65" t="inlineStr">
        <is>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is>
      </c>
      <c r="M2" s="155">
        <f>HYPERLINK("매뉴얼BODY(집행단계-첨부폴더)v8\9.통신분야\1_설계적정성 검토\수행지침\설계적정성 검토_수행지침.html", "👉 [클릭] 수행지침 열기 📄")</f>
        <v/>
      </c>
      <c r="N2" s="65" t="inlineStr">
        <is>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is>
      </c>
      <c r="O2" s="155">
        <f>HYPERLINK("매뉴얼BODY(집행단계-첨부폴더)v8\9.통신분야\1_설계적정성 검토\체크리스트\9000-2-1_설계적정성 검토_체크리스트.html", "👉 [클릭] 체크리스트 열기 📄")</f>
        <v/>
      </c>
      <c r="P2" s="61" t="n"/>
      <c r="Q2" s="66" t="inlineStr">
        <is>
          <t>● 관련분야 설계기준서 준수</t>
        </is>
      </c>
      <c r="R2" s="67" t="inlineStr">
        <is>
          <t>1) 👉 [더블클릭] 체크리스트 열기 📄</t>
        </is>
      </c>
      <c r="S2" s="64" t="n"/>
    </row>
    <row r="3" ht="219.6" customHeight="1" s="148">
      <c r="A3" s="57" t="inlineStr">
        <is>
          <t>9000</t>
        </is>
      </c>
      <c r="B3" s="57" t="inlineStr">
        <is>
          <t>9000-2</t>
        </is>
      </c>
      <c r="C3" s="57" t="inlineStr">
        <is>
          <t>통신분야</t>
        </is>
      </c>
      <c r="D3" s="57" t="inlineStr">
        <is>
          <t>9000-2-2</t>
        </is>
      </c>
      <c r="E3" s="57" t="inlineStr">
        <is>
          <t>착수전략 KOM</t>
        </is>
      </c>
      <c r="F3" s="55" t="inlineStr">
        <is>
          <t>현장소장</t>
        </is>
      </c>
      <c r="G3" s="54" t="inlineStr">
        <is>
          <t>통신설비 공사 발주 전략수립</t>
        </is>
      </c>
      <c r="H3" s="56" t="inlineStr">
        <is>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is>
      </c>
      <c r="I3" s="55" t="inlineStr">
        <is>
          <t>KOM 검토결과서, 현장설명서</t>
        </is>
      </c>
      <c r="J3" s="65" t="inlineStr">
        <is>
          <t>1) 통신공사 발주 착수 전 입찰조건, 적격 시공업체 Pool 분석 및 8대 현장조건 반영 발주전략 수립
2) 주요 통신 자재 납품 수급 계획 및 시공 적격성 평가를 반영한 발주전략 KOM 보고서 승인 표준 적용</t>
        </is>
      </c>
      <c r="K3" s="155">
        <f>HYPERLINK("매뉴얼BODY(집행단계-첨부폴더)v8\9.통신분야\2_착수전략 KOM\표준서\발주전략 KOM_표준서.html", "👉 [클릭] 표준서 열기 📄")</f>
        <v/>
      </c>
      <c r="L3" s="65" t="inlineStr">
        <is>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is>
      </c>
      <c r="M3" s="155">
        <f>HYPERLINK("매뉴얼BODY(집행단계-첨부폴더)v8\9.통신분야\2_착수전략 KOM\수행지침\발주전략 KOM_수행지침.html", "👉 [클릭] 수행지침 열기 📄")</f>
        <v/>
      </c>
      <c r="N3" s="65" t="inlineStr">
        <is>
          <t>1) 통신공사 발주 착수 전 입찰안내서 요구조건 및 현장여건 8대 특기사항을 발주 전략에 반영하였는가?
2) 주요 자재 납품 수급 계획 및 적격 시공업체 평가 기준을 마련하여 발주전략 KOM 승인을 완수하였는가?</t>
        </is>
      </c>
      <c r="O3" s="155">
        <f>HYPERLINK("매뉴얼BODY(집행단계-첨부폴더)v8\9.통신분야\2_착수전략 KOM\체크리스트\발주전략 KOM_체크리스트.html", "👉 [클릭] 체크리스트 열기 📄")</f>
        <v/>
      </c>
      <c r="P3" s="61" t="n"/>
      <c r="Q3" s="66" t="inlineStr">
        <is>
          <t>● 관련분야 설계기준서 준수</t>
        </is>
      </c>
      <c r="R3" s="67" t="inlineStr">
        <is>
          <t>1) 👉 [더블클릭] 체크리스트 열기 📄</t>
        </is>
      </c>
      <c r="S3" s="64" t="n"/>
    </row>
    <row r="4" ht="133.8" customHeight="1" s="148">
      <c r="A4" s="55" t="inlineStr">
        <is>
          <t>9000</t>
        </is>
      </c>
      <c r="B4" s="55" t="inlineStr">
        <is>
          <t>9000-2</t>
        </is>
      </c>
      <c r="C4" s="55" t="inlineStr">
        <is>
          <t>통신분야</t>
        </is>
      </c>
      <c r="D4" s="55" t="inlineStr">
        <is>
          <t>9000-2-3</t>
        </is>
      </c>
      <c r="E4" s="55" t="inlineStr">
        <is>
          <t>토목 / 건축 인터페이스 협의</t>
        </is>
      </c>
      <c r="F4" s="55" t="inlineStr">
        <is>
          <t>현장 시스템팀</t>
        </is>
      </c>
      <c r="G4" s="54" t="inlineStr">
        <is>
          <t>통신설비 설치를 위한 요구사항 검토</t>
        </is>
      </c>
      <c r="H4" s="56" t="inlineStr">
        <is>
          <t>- 자재 반입전/공동구/케이블 인입구 등 확인, 기능실마감 및 출입문 상태</t>
        </is>
      </c>
      <c r="I4" s="55" t="inlineStr">
        <is>
          <t>인터페이스 회의록 및 관리대장</t>
        </is>
      </c>
      <c r="J4" s="65" t="inlineStr">
        <is>
          <t>1) 토목·건축 구조물 내 통신 관로, 케이블 트레이, 기계실 배치 및 인입 배관 인터페이스 사전 검토
2) 타공종 구조체 타설 전 통신 매립 배관 위치 검증 및 인터페이스 협의록 작성 표준 적용</t>
        </is>
      </c>
      <c r="K4" s="155">
        <f>HYPERLINK("매뉴얼BODY(집행단계-첨부폴더)v8\9.통신분야\3_토목 _ 건축 인터페이스 협의\표준서\토목 _ 건축 인터페이스 협의_표준서.html", "👉 [클릭] 표준서 열기 📄")</f>
        <v/>
      </c>
      <c r="L4" s="65" t="inlineStr">
        <is>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is>
      </c>
      <c r="M4" s="155">
        <f>HYPERLINK("매뉴얼BODY(집행단계-첨부폴더)v8\9.통신분야\3_토목 _ 건축 인터페이스 협의\수행지침\토목 _ 건축 인터페이스 협의_수행지침.html", "👉 [클릭] 수행지침 열기 📄")</f>
        <v/>
      </c>
      <c r="N4" s="65" t="inlineStr">
        <is>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is>
      </c>
      <c r="O4" s="155">
        <f>HYPERLINK("매뉴얼BODY(집행단계-첨부폴더)v8\9.통신분야\3_토목 _ 건축 인터페이스 협의\체크리스트\9000-2-3_토목 _ 건축 인터페이스 협의_체크리스트.html", "👉 [클릭] 체크리스트 열기 📄")</f>
        <v/>
      </c>
      <c r="P4" s="61" t="n"/>
      <c r="Q4" s="66" t="inlineStr">
        <is>
          <t>● 관련분야 설계기준서 준수</t>
        </is>
      </c>
      <c r="R4" s="67" t="inlineStr">
        <is>
          <t>1) 👉 [더블클릭] 체크리스트 열기 📄</t>
        </is>
      </c>
      <c r="S4" s="64" t="n"/>
    </row>
    <row r="5" ht="133.8" customHeight="1" s="148">
      <c r="A5" s="55" t="inlineStr">
        <is>
          <t>9000</t>
        </is>
      </c>
      <c r="B5" s="55" t="inlineStr">
        <is>
          <t>9000-2</t>
        </is>
      </c>
      <c r="C5" s="55" t="inlineStr">
        <is>
          <t>통신분야</t>
        </is>
      </c>
      <c r="D5" s="55" t="inlineStr">
        <is>
          <t>9000-2-4</t>
        </is>
      </c>
      <c r="E5" s="55" t="inlineStr">
        <is>
          <t>전기 / 신호 / 기계 / PSD / 차량 인터페이스 협의</t>
        </is>
      </c>
      <c r="F5" s="55" t="inlineStr">
        <is>
          <t>현장 시스템팀 / 통신 협력업체</t>
        </is>
      </c>
      <c r="G5" s="54" t="inlineStr">
        <is>
          <t>연계분야간 사전조율 및 인터페이스 사항 조율로 재작업 예방</t>
        </is>
      </c>
      <c r="H5" s="56" t="inlineStr">
        <is>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is>
      </c>
      <c r="I5" s="55" t="inlineStr">
        <is>
          <t>인터페이스 회의록 및 관리대장</t>
        </is>
      </c>
      <c r="J5" s="65" t="inlineStr">
        <is>
          <t>1) 전기, 신호, PSD, 차량, 관제 등 이종 시스템 간 전원, 신호선 및 데이터 통신 인터페이스 통합 검토
2) 타공종 간 전자기 적합성(EMC/EMI), 전력 케이블 유도장해 차폐 및 서지 보호 표준 적용</t>
        </is>
      </c>
      <c r="K5" s="155">
        <f>HYPERLINK("매뉴얼BODY(집행단계-첨부폴더)v8\9.통신분야\4_전기 _ 신호 _ 기계 _ PSD _ 차량 인터페이스 협의\표준서\전기 _ 신호 _ 기계 _ PSD _ 차량 인터페이스 협의_표준서.html", "👉 [클릭] 표준서 열기 📄")</f>
        <v/>
      </c>
      <c r="L5" s="65" t="inlineStr">
        <is>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is>
      </c>
      <c r="M5" s="155">
        <f>HYPERLINK("매뉴얼BODY(집행단계-첨부폴더)v8\9.통신분야\4_전기 _ 신호 _ 기계 _ PSD _ 차량 인터페이스 협의\수행지침\전기 _ 신호 _ 기계 _ PSD _ 차량 인터페이스 협의_수행지침.html", "👉 [클릭] 수행지침 열기 📄")</f>
        <v/>
      </c>
      <c r="N5" s="65" t="inlineStr">
        <is>
          <t>1) 96Core 광망[통합 포설] 통신(48C)+전기(2C)+신호(12C)를 OF-SM-96Core×2조 통합 포설로 확정하였는가?
2) KEC 점유율[KEC 33%] 전선관 내부 단면적 점유율 33% 이하 및 ELP ø150mm×6개×2조 배관을 확인하였는가?</t>
        </is>
      </c>
      <c r="O5" s="155">
        <f>HYPERLINK("매뉴얼BODY(집행단계-첨부폴더)v8\9.통신분야\4_전기 _ 신호 _ 기계 _ PSD _ 차량 인터페이스 협의\체크리스트\9000-2-4_전기 _ 신호 _ 기계 _ PSD _ 차량 인터페이스 협의_체크리스트.html", "👉 [클릭] 체크리스트 열기 📄")</f>
        <v/>
      </c>
      <c r="P5" s="61" t="n"/>
      <c r="Q5" s="66" t="inlineStr">
        <is>
          <t>● 관련분야 설계기준서 준수</t>
        </is>
      </c>
      <c r="R5" s="67" t="inlineStr">
        <is>
          <t>1) 👉 [더블클릭] 체크리스트 열기 📄</t>
        </is>
      </c>
      <c r="S5" s="64" t="n"/>
    </row>
    <row r="6" ht="133.8" customHeight="1" s="148">
      <c r="A6" s="55" t="inlineStr">
        <is>
          <t>9000</t>
        </is>
      </c>
      <c r="B6" s="55" t="inlineStr">
        <is>
          <t>9000-2</t>
        </is>
      </c>
      <c r="C6" s="55" t="inlineStr">
        <is>
          <t>통신분야</t>
        </is>
      </c>
      <c r="D6" s="55" t="inlineStr">
        <is>
          <t>9000-2-5</t>
        </is>
      </c>
      <c r="E6" s="55" t="inlineStr">
        <is>
          <t>통신설비 제작사 인터페이스 협의</t>
        </is>
      </c>
      <c r="F6" s="55" t="inlineStr">
        <is>
          <t>현장 시스템팀</t>
        </is>
      </c>
      <c r="G6" s="54" t="inlineStr">
        <is>
          <t>통신설비간 연동방안 검토</t>
        </is>
      </c>
      <c r="H6" s="56" t="inlineStr">
        <is>
          <t>- 내부 인터페이스 및 인허가사항 확인, 보안성검토 요청서</t>
        </is>
      </c>
      <c r="I6" s="55" t="inlineStr">
        <is>
          <t>인터페이스 회의록 및 관리대장</t>
        </is>
      </c>
      <c r="J6" s="65" t="inlineStr">
        <is>
          <t>1) 통신 주요 설비(LTE-R, 방송, CCTV, 역무, 관제 등) 제작사 간 프로토콜, 연동 규격 및 인터페이스 검토
2) 제작사 간 데이터 입출력 포맷 및 연동 케이블 사양서 확정 협의록 승인 표준 적용</t>
        </is>
      </c>
      <c r="K6" s="155">
        <f>HYPERLINK("매뉴얼BODY(집행단계-첨부폴더)v8\9.통신분야\5_통신설비 제작사 인터페이스 협의\표준서\통신설비 제작사 인터페이스 협의_표준서.html", "👉 [클릭] 표준서 열기 📄")</f>
        <v/>
      </c>
      <c r="L6" s="65" t="inlineStr">
        <is>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is>
      </c>
      <c r="M6" s="155">
        <f>HYPERLINK("매뉴얼BODY(집행단계-첨부폴더)v8\9.통신분야\5_통신설비 제작사 인터페이스 협의\수행지침\통신설비 제작사 인터페이스 협의_수행지침.html", "👉 [클릭] 수행지침 열기 📄")</f>
        <v/>
      </c>
      <c r="N6" s="65" t="inlineStr">
        <is>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is>
      </c>
      <c r="O6" s="155">
        <f>HYPERLINK("매뉴얼BODY(집행단계-첨부폴더)v8\9.통신분야\5_통신설비 제작사 인터페이스 협의\체크리스트\9000-2-5_통신설비 제작사 인터페이스 협의_체크리스트.html", "👉 [클릭] 체크리스트 열기 📄")</f>
        <v/>
      </c>
      <c r="P6" s="61" t="n"/>
      <c r="Q6" s="66" t="inlineStr">
        <is>
          <t>● 관련분야 설계기준서 준수</t>
        </is>
      </c>
      <c r="R6" s="67" t="inlineStr">
        <is>
          <t>1) 👉 [더블클릭] 체크리스트 열기 📄</t>
        </is>
      </c>
      <c r="S6" s="64" t="n"/>
    </row>
    <row r="7" ht="145.2" customHeight="1" s="148">
      <c r="A7" s="55" t="inlineStr">
        <is>
          <t>9000</t>
        </is>
      </c>
      <c r="B7" s="55" t="inlineStr">
        <is>
          <t>9000-2</t>
        </is>
      </c>
      <c r="C7" s="55" t="inlineStr">
        <is>
          <t>통신분야</t>
        </is>
      </c>
      <c r="D7" s="55" t="inlineStr">
        <is>
          <t>9000-2-6</t>
        </is>
      </c>
      <c r="E7" s="55" t="inlineStr">
        <is>
          <t>관제 및 운영사 인터페이스 협의</t>
        </is>
      </c>
      <c r="F7" s="55" t="inlineStr">
        <is>
          <t>현장 시스템팀 / 통신 협력업체</t>
        </is>
      </c>
      <c r="G7" s="54" t="inlineStr">
        <is>
          <t>관제 및 운영사 요구사항 사전 반영 및 시공범위 최적화</t>
        </is>
      </c>
      <c r="H7" s="56" t="inlineStr">
        <is>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is>
      </c>
      <c r="I7" s="55" t="inlineStr">
        <is>
          <t>인터페이스 회의록 및 관리대장</t>
        </is>
      </c>
      <c r="J7" s="65" t="inlineStr">
        <is>
          <t>1) 종합관제센터 및 철도운영사 요구조건 반영 관제 화면, 통신 프로토콜 및 비상 제어 인터페이스 검토
2) 관제 서버, 네트워크 스위치 및 운영사 통합 수선 체계 부합성 확인 승인 표준 적용</t>
        </is>
      </c>
      <c r="K7" s="155">
        <f>HYPERLINK("매뉴얼BODY(집행단계-첨부폴더)v8\9.통신분야\6_관제 및 운영사 인터페이스 협의\표준서\관제 및 운영사 인터페이스 협의_표준서.html", "👉 [클릭] 표준서 열기 📄")</f>
        <v/>
      </c>
      <c r="L7" s="65" t="inlineStr">
        <is>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is>
      </c>
      <c r="M7" s="155">
        <f>HYPERLINK("매뉴얼BODY(집행단계-첨부폴더)v8\9.통신분야\6_관제 및 운영사 인터페이스 협의\수행지침\관제 및 운영사 인터페이스 협의_수행지침.html", "👉 [클릭] 수행지침 열기 📄")</f>
        <v/>
      </c>
      <c r="N7" s="65" t="inlineStr">
        <is>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is>
      </c>
      <c r="O7" s="155">
        <f>HYPERLINK("매뉴얼BODY(집행단계-첨부폴더)v8\9.통신분야\6_관제 및 운영사 인터페이스 협의\체크리스트\9000-2-6_관제 및 운영사 인터페이스 협의_체크리스트.html", "👉 [클릭] 체크리스트 열기 📄")</f>
        <v/>
      </c>
      <c r="P7" s="61" t="n"/>
      <c r="Q7" s="66" t="inlineStr">
        <is>
          <t>● 관련분야 설계기준서 준수</t>
        </is>
      </c>
      <c r="R7" s="67" t="inlineStr">
        <is>
          <t>1) 👉 [더블클릭] 체크리스트 열기 📄</t>
        </is>
      </c>
      <c r="S7" s="64" t="n"/>
    </row>
    <row r="8" ht="115.2" customHeight="1" s="148">
      <c r="A8" s="55" t="inlineStr">
        <is>
          <t>9000</t>
        </is>
      </c>
      <c r="B8" s="55" t="inlineStr">
        <is>
          <t>9000-2</t>
        </is>
      </c>
      <c r="C8" s="55" t="inlineStr">
        <is>
          <t>통신분야</t>
        </is>
      </c>
      <c r="D8" s="55" t="inlineStr">
        <is>
          <t>9000-2-7</t>
        </is>
      </c>
      <c r="E8" s="55" t="inlineStr">
        <is>
          <t>발주처 품질 요구사항 검토</t>
        </is>
      </c>
      <c r="F8" s="55" t="inlineStr">
        <is>
          <t>현장 시스템팀</t>
        </is>
      </c>
      <c r="G8" s="54" t="inlineStr">
        <is>
          <t>발주처 품질관리 기준/검사방안 확인</t>
        </is>
      </c>
      <c r="H8" s="54" t="inlineStr">
        <is>
          <t>- 감리/감독과 품질검사(ITP/ITC) 항목 검토</t>
        </is>
      </c>
      <c r="I8" s="55" t="inlineStr">
        <is>
          <t>ITP/ITC</t>
        </is>
      </c>
      <c r="J8" s="65" t="inlineStr">
        <is>
          <t>1) 발주처 입찰안내서 및 시방서 상의 통신 품질 시험 기준, 자재 승인 및 시험성적서 요구조건 검토
2) 품질시험계획서 수립 및 발주처 승인 품질 기준 준수서 작성 표준 적용</t>
        </is>
      </c>
      <c r="K8" s="155">
        <f>HYPERLINK("매뉴얼BODY(집행단계-첨부폴더)v8\9.통신분야\7_발주처 품질 요구사항 검토\표준서\발주처 품질 요구사항 검토_표준서.html", "👉 [클릭] 표준서 열기 📄")</f>
        <v/>
      </c>
      <c r="L8" s="65" t="inlineStr">
        <is>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is>
      </c>
      <c r="M8" s="155">
        <f>HYPERLINK("매뉴얼BODY(집행단계-첨부폴더)v8\9.통신분야\7_발주처 품질 요구사항 검토\수행지침\발주처 품질 요구사항 검토_수행지침.html", "👉 [클릭] 수행지침 열기 📄")</f>
        <v/>
      </c>
      <c r="N8" s="65" t="inlineStr">
        <is>
          <t>1) [품질 계획] 발주처 품질검사 계획서(ITP)와 공사시방서의 품질 기준을 사전 정밀 대조하였는가?
2) [Hold Point] 감리원 현장 직접 입회 검측 항목(Hold Point)을 사전 분류 지정하였는가?</t>
        </is>
      </c>
      <c r="O8" s="155">
        <f>HYPERLINK("매뉴얼BODY(집행단계-첨부폴더)v8\9.통신분야\7_발주처 품질 요구사항 검토\체크리스트\9000-2-7_발주처 품질 요구사항 검토_체크리스트.html", "👉 [클릭] 체크리스트 열기 📄")</f>
        <v/>
      </c>
      <c r="P8" s="61" t="n"/>
      <c r="Q8" s="66" t="inlineStr">
        <is>
          <t>● 관련분야 설계기준서 준수</t>
        </is>
      </c>
      <c r="R8" s="67" t="inlineStr">
        <is>
          <t>1) 👉 [더블클릭] 체크리스트 열기 📄</t>
        </is>
      </c>
      <c r="S8" s="64" t="n"/>
    </row>
    <row r="9" ht="115.2" customHeight="1" s="148">
      <c r="A9" s="55" t="inlineStr">
        <is>
          <t>9000</t>
        </is>
      </c>
      <c r="B9" s="55" t="inlineStr">
        <is>
          <t>9000-2</t>
        </is>
      </c>
      <c r="C9" s="55" t="inlineStr">
        <is>
          <t>통신분야</t>
        </is>
      </c>
      <c r="D9" s="55" t="inlineStr">
        <is>
          <t>9000-2-8</t>
        </is>
      </c>
      <c r="E9" s="55" t="inlineStr">
        <is>
          <t>자재 / 인원 / 장비 등 투입 사전 검토</t>
        </is>
      </c>
      <c r="F9" s="55" t="inlineStr">
        <is>
          <t>현장 시스템팀 / 협력업체 / 관리</t>
        </is>
      </c>
      <c r="G9" s="54" t="inlineStr">
        <is>
          <t>자재 / 인원 / 장비 투입 계획 수립</t>
        </is>
      </c>
      <c r="H9" s="56" t="inlineStr">
        <is>
          <t>- 현장 여건 및 수량을 기준으로 투입(인원, 장비, 자재) 검토</t>
        </is>
      </c>
      <c r="I9" s="55" t="inlineStr">
        <is>
          <t>세부 공정계획 수립 및 조율</t>
        </is>
      </c>
      <c r="J9" s="65" t="inlineStr">
        <is>
          <t>1) 통신 공사 착수 전 전문 인력 기술자격, 자재 투입 일정 및 전용 시험장비/공구 사전 검토
2) 예정공정표 대비 인원·장비 투입 수급 타당성 및 안전 수칙 준수 검토 승인 표준 적용</t>
        </is>
      </c>
      <c r="K9" s="155">
        <f>HYPERLINK("매뉴얼BODY(집행단계-첨부폴더)v8\9.통신분야\8_자재 _ 인원 _ 장비 등 투입 사전 검토\표준서\자재 인력 장비 등 투입 사전 검토_표준서.html", "👉 [클릭] 표준서 열기 📄")</f>
        <v/>
      </c>
      <c r="L9" s="65" t="inlineStr">
        <is>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is>
      </c>
      <c r="M9" s="155">
        <f>HYPERLINK("매뉴얼BODY(집행단계-첨부폴더)v8\9.통신분야\8_자재 _ 인원 _ 장비 등 투입 사전 검토\수행지침\자재 인력 장비 등 투입 사전 검토_수행지침.html", "👉 [클릭] 수행지침 열기 📄")</f>
        <v/>
      </c>
      <c r="N9" s="65" t="inlineStr">
        <is>
          <t>1) [자원 계획] 공정별 통신 인력, 장비 수급 및 자재 수량을 사전 정밀 대조하였는가?
2) [인력 자격] 통신 공종별 특급/고급 기술자 자격증 및 현장 배치 계획을 확인하였는가?</t>
        </is>
      </c>
      <c r="O9" s="155">
        <f>HYPERLINK("매뉴얼BODY(집행단계-첨부폴더)v8\9.통신분야\8_자재 _ 인원 _ 장비 등 투입 사전 검토\체크리스트\자재 인력 장비 등 투입 사전 검토_체크리스트.html", "👉 [클릭] 체크리스트 열기 📄")</f>
        <v/>
      </c>
      <c r="P9" s="61" t="n"/>
      <c r="Q9" s="66" t="inlineStr">
        <is>
          <t>● 관련분야 설계기준서 준수</t>
        </is>
      </c>
      <c r="R9" s="67" t="inlineStr">
        <is>
          <t>1) 👉 [더블클릭] 체크리스트 열기 📄</t>
        </is>
      </c>
      <c r="S9" s="64" t="n"/>
    </row>
    <row r="10" ht="210.6" customHeight="1" s="148">
      <c r="A10" s="55" t="inlineStr">
        <is>
          <t>9000</t>
        </is>
      </c>
      <c r="B10" s="55" t="inlineStr">
        <is>
          <t>9000-2</t>
        </is>
      </c>
      <c r="C10" s="55" t="inlineStr">
        <is>
          <t>통신분야</t>
        </is>
      </c>
      <c r="D10" s="55" t="inlineStr">
        <is>
          <t>9000-2-9</t>
        </is>
      </c>
      <c r="E10" s="55" t="inlineStr">
        <is>
          <t>착수 전 Big Room 회의</t>
        </is>
      </c>
      <c r="F10" s="55" t="inlineStr">
        <is>
          <t>현장소장</t>
        </is>
      </c>
      <c r="G10" s="54" t="inlineStr">
        <is>
          <t>통신공사 수행 시, 선행공정 간섭사항 및 각종 Risk에 대한 대책 수립</t>
        </is>
      </c>
      <c r="H10" s="56" t="inlineStr">
        <is>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is>
      </c>
      <c r="I10" s="55" t="inlineStr">
        <is>
          <t>Big Room 회의록(참석자 전원 서명)</t>
        </is>
      </c>
      <c r="J10" s="65" t="inlineStr">
        <is>
          <t>1) 공사 착수 전 발주처, 감리단, 시공사 및 타공종 합동 Big Room 회의를 통한 종합 공정 및 위험요인 검토
2) 간섭사항 사전 도출 및 공종 간 공정 마일스톤 협의록 작성 표준 적용</t>
        </is>
      </c>
      <c r="K10" s="155">
        <f>HYPERLINK("매뉴얼BODY(집행단계-첨부폴더)v8\9.통신분야\8_자재 인력 장비 등 투입 사전 검토\표준서\자재 인력 장비 등 투입 사전 검토_표준서.html", "👉 [클릭] 표준서 열기 📄")</f>
        <v/>
      </c>
      <c r="L10" s="65" t="inlineStr">
        <is>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is>
      </c>
      <c r="M10" s="155">
        <f>HYPERLINK("매뉴얼BODY(집행단계-첨부폴더)v8\9.통신분야\8_자재 인력 장비 등 투입 사전 검토\수행지침\자재 인력 장비 등 투입 사전 검토_수행지침.html", "👉 [클릭] 수행지침 열기 📄")</f>
        <v/>
      </c>
      <c r="N10" s="65" t="inlineStr">
        <is>
          <t>1) [Big Room 체계] 본사/현장/협력사 3자 Big Room 협의체를 구축하고 착수 세부 실행계획을 대조하였는가?
2) [인터페이스] 노반(궤도)/전기/신호/기계/차량 5대 공종 간 관통 경로 및 간섭점을 사전 도출 검출하였는가?</t>
        </is>
      </c>
      <c r="O10" s="155">
        <f>HYPERLINK("매뉴얼BODY(집행단계-첨부폴더)v8\9.통신분야\8_자재 인력 장비 등 투입 사전 검토\체크리스트\자재 인력 장비 등 투입 사전 검토_체크리스트.html", "👉 [클릭] 체크리스트 열기 📄")</f>
        <v/>
      </c>
      <c r="P10" s="61" t="n"/>
      <c r="Q10" s="66" t="inlineStr">
        <is>
          <t>● 관련분야 설계기준서 준수</t>
        </is>
      </c>
      <c r="R10" s="67" t="inlineStr">
        <is>
          <t>1) 👉 [더블클릭] 체크리스트 열기 📄</t>
        </is>
      </c>
      <c r="S10" s="64" t="n"/>
    </row>
    <row r="11" ht="115.2" customHeight="1" s="148">
      <c r="A11" s="55" t="inlineStr">
        <is>
          <t>9000</t>
        </is>
      </c>
      <c r="B11" s="55" t="inlineStr">
        <is>
          <t>9000-2</t>
        </is>
      </c>
      <c r="C11" s="55" t="inlineStr">
        <is>
          <t>통신분야</t>
        </is>
      </c>
      <c r="D11" s="55" t="inlineStr">
        <is>
          <t>9000-2-10</t>
        </is>
      </c>
      <c r="E11" s="55" t="inlineStr">
        <is>
          <t>통신설비 제작 사양서 작성 / 승인</t>
        </is>
      </c>
      <c r="F11" s="55" t="inlineStr">
        <is>
          <t>현장 시스템팀</t>
        </is>
      </c>
      <c r="G11" s="54" t="inlineStr">
        <is>
          <t>실제 설치되는 통신설비의 사양서를 확정하고 제작 사양서를 작성/승인</t>
        </is>
      </c>
      <c r="H11" s="56" t="inlineStr">
        <is>
          <t>- 현장여건 및 실시설계계획보고서/포함자재사양서의 요구사항 충족 여부를 확인
- 제작사양서, 제작도면 작성 후 감리단 승인</t>
        </is>
      </c>
      <c r="I11" s="55" t="inlineStr">
        <is>
          <t>제작사양서, 제작도면</t>
        </is>
      </c>
      <c r="J11" s="65" t="inlineStr">
        <is>
          <t>1) 통신설비 세부 기술사양서, 랙 배열도(Shop Drawing) 및 전기적/기계적 상세 도면 작성 검토
2) 감리단 및 발주처 승인을 위한 제작사양서 승인 신청서 및 공학적 승인 표준 적용</t>
        </is>
      </c>
      <c r="K11" s="155">
        <f>HYPERLINK("매뉴얼BODY(집행단계-첨부폴더)v8\9.통신분야\9_착수 전 Big Room 회의\표준서\착수 전 Big Room 회의_표준서.html", "👉 [클릭] 표준서 열기 📄")</f>
        <v/>
      </c>
      <c r="L11" s="65" t="inlineStr">
        <is>
          <t>1) 제작도서 상세 검토: 통신 랙 배열도(Shop Drawing), 전원 분배기 용량 및 단위 기기 기술 사양서 정밀 분석
2) 공학적 승인 신청: 발주처 입찰시방과 제작사양서 1:1 대조 검증 및 감리단 공학적 승인 제출 절차 수행</t>
        </is>
      </c>
      <c r="M11" s="155">
        <f>HYPERLINK("매뉴얼BODY(집행단계-첨부폴더)v8\9.통신분야\9_착수 전 Big Room 회의\수행지침\착수 전 Big Room 회의_수행지침.html", "👉 [클릭] 수행지침 열기 📄")</f>
        <v/>
      </c>
      <c r="N11" s="65" t="inlineStr">
        <is>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is>
      </c>
      <c r="O11" s="155">
        <f>HYPERLINK("매뉴얼BODY(집행단계-첨부폴더)v8\9.통신분야\9_착수 전 Big Room 회의\체크리스트\9000-2-9_착수 전 Big Room 회의_체크리스트.html", "👉 [클릭] 체크리스트 열기 📄")</f>
        <v/>
      </c>
      <c r="P11" s="61" t="n"/>
      <c r="Q11" s="66" t="inlineStr">
        <is>
          <t>● 관련분야 설계기준서 준수</t>
        </is>
      </c>
      <c r="R11" s="67" t="inlineStr">
        <is>
          <t>1) 👉 [더블클릭] 체크리스트 열기 📄</t>
        </is>
      </c>
      <c r="S11" s="64" t="n"/>
    </row>
    <row r="12" ht="115.2" customHeight="1" s="148">
      <c r="A12" s="55" t="inlineStr">
        <is>
          <t>9000</t>
        </is>
      </c>
      <c r="B12" s="55" t="inlineStr">
        <is>
          <t>9000-2</t>
        </is>
      </c>
      <c r="C12" s="55" t="inlineStr">
        <is>
          <t>통신분야</t>
        </is>
      </c>
      <c r="D12" s="55" t="inlineStr">
        <is>
          <t>9000-2-11</t>
        </is>
      </c>
      <c r="E12" s="55" t="inlineStr">
        <is>
          <t>시공 계획 수립 / 승인</t>
        </is>
      </c>
      <c r="F12" s="55" t="inlineStr">
        <is>
          <t>현장 시스템팀</t>
        </is>
      </c>
      <c r="G12" s="54" t="inlineStr">
        <is>
          <t>안전/품질이 확보된 시공계획 수립</t>
        </is>
      </c>
      <c r="H12" s="54" t="inlineStr">
        <is>
          <t>- 공사계획: 예정공정표, 인원/장비/자재투입 계획, 통신자재 설치 절차서 등
- 안전관리: 위험요인/대책, 안전교육/시설/점검 계획 수립
- 품질관리: 품질하자 Risk 및 대책 수립
- 인허가: 자가전기통신설비 설치신고 접수</t>
        </is>
      </c>
      <c r="I12" s="55" t="inlineStr">
        <is>
          <t>시공계획서&amp;시공상세도, 자가전기통신설비 신고서/계획서</t>
        </is>
      </c>
      <c r="J12" s="65" t="inlineStr">
        <is>
          <t>1) 통신공사 공정별 상세 시공절차서, 안전관리계획서, 품질관리계획서 및 세부 공정표 수립
2) 통신설비 설치 공법 타당성 및 감리단 시공계획서 승인 제출 표준 적용</t>
        </is>
      </c>
      <c r="K12" s="155">
        <f>HYPERLINK("매뉴얼BODY(집행단계-첨부폴더)v8\9.통신분야\10_통신설비 제작 사양서 작성 _ 승인\표준서\통신설비 제작 사양서 작성 _ 승인_표준서.html", "👉 [클릭] 표준서 열기 📄")</f>
        <v/>
      </c>
      <c r="L12" s="65" t="inlineStr">
        <is>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is>
      </c>
      <c r="M12" s="155">
        <f>HYPERLINK("매뉴얼BODY(집행단계-첨부폴더)v8\9.통신분야\10_통신설비 제작 사양서 작성 _ 승인\수행지침\통신설비 제작 사양서 작성 _ 승인_수행지침.html", "👉 [클릭] 수행지침 열기 📄")</f>
        <v/>
      </c>
      <c r="N12" s="65" t="inlineStr">
        <is>
          <t>1) [도서 대조] 기본/실시설계 보고서, 시방서 수치와 현장 통신기계실 실측 치수를 1:1 대조·확인하였는가?
2) [안전 대책] 통신기계실 DC -48V 감전 방지 및 정거장 고소작업 시 안전대/2인1조 작업 대책을 수립하였는가?</t>
        </is>
      </c>
      <c r="O12" s="155">
        <f>HYPERLINK("매뉴얼BODY(집행단계-첨부폴더)v8\9.통신분야\10_통신설비 제작 사양서 작성 _ 승인\체크리스트\9000-2-10_통신설비 제작 사양서 작성 _ 승인_체크리스트.html", "👉 [클릭] 체크리스트 열기 📄")</f>
        <v/>
      </c>
      <c r="P12" s="61" t="n"/>
      <c r="Q12" s="66" t="inlineStr">
        <is>
          <t>● 관련분야 설계기준서 준수</t>
        </is>
      </c>
      <c r="R12" s="67" t="inlineStr">
        <is>
          <t>1) 👉 [더블클릭] 체크리스트 열기 📄</t>
        </is>
      </c>
      <c r="S12" s="64" t="n"/>
    </row>
    <row r="13" ht="115.2" customHeight="1" s="148">
      <c r="A13" s="55" t="inlineStr">
        <is>
          <t>9000</t>
        </is>
      </c>
      <c r="B13" s="55" t="inlineStr">
        <is>
          <t>9000-2</t>
        </is>
      </c>
      <c r="C13" s="55" t="inlineStr">
        <is>
          <t>통신분야</t>
        </is>
      </c>
      <c r="D13" s="55" t="inlineStr">
        <is>
          <t>9000-2-12</t>
        </is>
      </c>
      <c r="E13" s="55" t="inlineStr">
        <is>
          <t>자재공급원 검토 및 승인</t>
        </is>
      </c>
      <c r="F13" s="55" t="inlineStr">
        <is>
          <t>현장 시스템팀</t>
        </is>
      </c>
      <c r="G13" s="54" t="inlineStr">
        <is>
          <t>통신설비의 시공성과 품질, 기능 확보를 위한 자재 공급원 검토 및 승인</t>
        </is>
      </c>
      <c r="H13" s="54" t="inlineStr">
        <is>
          <t>- 통신자재제작능력, 유사사례 납품실적 확인
- 성능보증 가능한 통신자재 업체 Pool 검토
- 통신자재 설치 실적 및 설계능력 확인
- 보안성검토 결과 확인</t>
        </is>
      </c>
      <c r="I13" s="55" t="inlineStr">
        <is>
          <t>자재공급원/제작도서 승인 서류, 보안성검토 결과서</t>
        </is>
      </c>
      <c r="J13" s="65" t="inlineStr">
        <is>
          <t>1) 통신 주요 자재 및 기기 자재공급원 승인 서류(KS 인증, 시험성적서, 사업자등록증 등) 검토
2) 성능보증이 가능한 복수 자재공급원 승인 서류 수립 및 감리 승인 표준 적용</t>
        </is>
      </c>
      <c r="K13" s="155">
        <f>HYPERLINK("매뉴얼BODY(집행단계-첨부폴더)v8\9.통신분야\11_시공 계획 수립 _ 승인\표준서\시공 계획 수립 _ 승인_표준서.html", "👉 [클릭] 표준서 열기 📄")</f>
        <v/>
      </c>
      <c r="L13" s="65" t="inlineStr">
        <is>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is>
      </c>
      <c r="M13" s="155">
        <f>HYPERLINK("매뉴얼BODY(집행단계-첨부폴더)v8\9.통신분야\11_시공 계획 수립 _ 승인\수행지침\시공 계획 수립 _ 승인_수행지침.html", "👉 [클릭] 수행지침 열기 📄")</f>
        <v/>
      </c>
      <c r="N13" s="65" t="inlineStr">
        <is>
          <t>1) [서류 수집] 공장등록증, 사업자등록증, 카탈로그, A/S 확약서 등 6대 필수 제출 서류를 수집·확인하였는가?
2) [사양 대조] 설계도서 수치(KCS 31 10 00)와 자재 카탈로그 규격 간 1:1 대조표를 정확히 작성하였는가?</t>
        </is>
      </c>
      <c r="O13" s="155">
        <f>HYPERLINK("매뉴얼BODY(집행단계-첨부폴더)v8\9.통신분야\11_시공 계획 수립 _ 승인\체크리스트\9000-2-11_시공 계획 수립 _ 승인_체크리스트.html", "👉 [클릭] 체크리스트 열기 📄")</f>
        <v/>
      </c>
      <c r="P13" s="61" t="n"/>
      <c r="Q13" s="66" t="inlineStr">
        <is>
          <t>● 관련분야 설계기준서 준수</t>
        </is>
      </c>
      <c r="R13" s="67" t="inlineStr">
        <is>
          <t>1) 👉 [더블클릭] 체크리스트 열기 📄</t>
        </is>
      </c>
      <c r="S13" s="64" t="n"/>
    </row>
    <row r="14" ht="192" customHeight="1" s="148">
      <c r="A14" s="55" t="inlineStr">
        <is>
          <t>9000</t>
        </is>
      </c>
      <c r="B14" s="55" t="inlineStr">
        <is>
          <t>9000-2</t>
        </is>
      </c>
      <c r="C14" s="55" t="inlineStr">
        <is>
          <t>통신분야</t>
        </is>
      </c>
      <c r="D14" s="55" t="inlineStr">
        <is>
          <t>9000-2-13</t>
        </is>
      </c>
      <c r="E14" s="55" t="inlineStr">
        <is>
          <t>통신설비 공정제작 / 제작사 공장검사</t>
        </is>
      </c>
      <c r="F14" s="55" t="inlineStr">
        <is>
          <t>현장 시스템팀</t>
        </is>
      </c>
      <c r="G14" s="54" t="inlineStr">
        <is>
          <t>제작사양서/제작도면의 일치여부검토 및 현장반입 전 공장 성능검사 확인</t>
        </is>
      </c>
      <c r="H14" s="54" t="inlineStr">
        <is>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is>
      </c>
      <c r="I14" s="55" t="inlineStr">
        <is>
          <t>공장검사 결과보고서 (감리 및 관계기관 입회)</t>
        </is>
      </c>
      <c r="J14" s="65" t="inlineStr">
        <is>
          <t>1) 통신 기기 제작 공정 진행률 점검 및 공장시험(FAT, Factory Acceptance Test) 절차서 작성
2) 공장 수검 검사, 품질 성능 시험성적서 확인 및 공장검사 합격증명서 발급 표준 적용</t>
        </is>
      </c>
      <c r="K14" s="155">
        <f>HYPERLINK("매뉴얼BODY(집행단계-첨부폴더)v8\9.통신분야\12_자재공급원 검토 및 승인\표준서\자재공급원 검토 및 승인_표준서.html", "👉 [클릭] 표준서 열기 📄")</f>
        <v/>
      </c>
      <c r="L14" s="65" t="inlineStr">
        <is>
          <t>1) 공장검사(FAT) 준비: 제작사 공장 제작 공정률 점검, FAT 시험절차서 검토 및 검사 입회 일정 수립
2) 입회 검사 실시: 전원 인입, 기능 시험, 방수/내열 공인시험 실측 확인 및 FAT 공장검사 합격증명서 획득</t>
        </is>
      </c>
      <c r="M14" s="155">
        <f>HYPERLINK("매뉴얼BODY(집행단계-첨부폴더)v8\9.통신분야\12_자재공급원 검토 및 승인\수행지침\자재공급원 검토 및 승인_수행지침.html", "👉 [클릭] 수행지침 열기 📄")</f>
        <v/>
      </c>
      <c r="N14" s="65" t="inlineStr">
        <is>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is>
      </c>
      <c r="O14" s="155">
        <f>HYPERLINK("매뉴얼BODY(집행단계-첨부폴더)v8\9.통신분야\12_자재공급원 검토 및 승인\체크리스트\9000-2-12_자재공급원 검토 및 승인_체크리스트.html", "👉 [클릭] 체크리스트 열기 📄")</f>
        <v/>
      </c>
      <c r="P14" s="61" t="n"/>
      <c r="Q14" s="66" t="inlineStr">
        <is>
          <t>● 관련분야 설계기준서 준수</t>
        </is>
      </c>
      <c r="R14" s="67" t="inlineStr">
        <is>
          <t>1) 👉 [더블클릭] 체크리스트 열기 📄</t>
        </is>
      </c>
      <c r="S14" s="64" t="n"/>
    </row>
    <row r="15" ht="115.2" customHeight="1" s="148">
      <c r="A15" s="55" t="inlineStr">
        <is>
          <t>9000</t>
        </is>
      </c>
      <c r="B15" s="55" t="inlineStr">
        <is>
          <t>9000-2</t>
        </is>
      </c>
      <c r="C15" s="55" t="inlineStr">
        <is>
          <t>통신분야</t>
        </is>
      </c>
      <c r="D15" s="55" t="inlineStr">
        <is>
          <t>9000-2-14</t>
        </is>
      </c>
      <c r="E15" s="55" t="inlineStr">
        <is>
          <t>본공사 전 선행공정 인수인계 점검</t>
        </is>
      </c>
      <c r="F15" s="55" t="inlineStr">
        <is>
          <t>현장 시스템팀</t>
        </is>
      </c>
      <c r="G15" s="54" t="inlineStr">
        <is>
          <t>통신설비 설치를 위한 현장점검/정리 상태 확인(기능실: 건축,전기/현장: 노반)</t>
        </is>
      </c>
      <c r="H15" s="54" t="inlineStr">
        <is>
          <t>- 통신설비 설치 시 간섭여부 점검
- 현장 정리상태 점검 (건축마감, 공조, 조명, 전원 등)
- 장비설치를 위한 자체반입구 및 케이블 설치를 위한 공동구/오프닝 위치 확인</t>
        </is>
      </c>
      <c r="I15" s="55" t="inlineStr">
        <is>
          <t>기록지, 현장점검결과보고서(감리입회)</t>
        </is>
      </c>
      <c r="J15" s="65" t="inlineStr">
        <is>
          <t>1) 토목·건축 선행 공정 완료 후 통신 기계실, 케이블 트레이, 관로 인수인계 현장 상태 검측
2) 바닥 엑세스플로어, 방화 구획 및 기초 구조체 인수인계 확인서 작성 표준 적용</t>
        </is>
      </c>
      <c r="K15" s="155">
        <f>HYPERLINK("매뉴얼BODY(집행단계-첨부폴더)v8\9.통신분야\13_통신설비 공정제작 _ 제작사 공장검사\표준서\통신설비 공정제작 _ 제작사 공장검사_표준서.html", "👉 [클릭] 표준서 열기 📄")</f>
        <v/>
      </c>
      <c r="L15" s="65" t="inlineStr">
        <is>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is>
      </c>
      <c r="M15" s="155">
        <f>HYPERLINK("매뉴얼BODY(집행단계-첨부폴더)v8\9.통신분야\13_통신설비 공정제작 _ 제작사 공장검사\수행지침\통신설비 공정제작 _ 제작사 공장검사_수행지침.html", "👉 [클릭] 수행지침 열기 📄")</f>
        <v/>
      </c>
      <c r="N15" s="65" t="inlineStr">
        <is>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is>
      </c>
      <c r="O15" s="155">
        <f>HYPERLINK("매뉴얼BODY(집행단계-첨부폴더)v8\9.통신분야\13_통신설비 공정제작 _ 제작사 공장검사\체크리스트\9000-2-13_통신설비 공정제작 _ 제작사 공장검사_체크리스트.html", "👉 [클릭] 체크리스트 열기 📄")</f>
        <v/>
      </c>
      <c r="P15" s="61" t="n"/>
      <c r="Q15" s="66" t="inlineStr">
        <is>
          <t>● 관련분야 설계기준서 준수</t>
        </is>
      </c>
      <c r="R15" s="67" t="inlineStr">
        <is>
          <t>1) 👉 [더블클릭] 체크리스트 열기 📄</t>
        </is>
      </c>
      <c r="S15" s="64" t="n"/>
    </row>
    <row r="16" ht="115.2" customHeight="1" s="148">
      <c r="A16" s="55" t="inlineStr">
        <is>
          <t>9000</t>
        </is>
      </c>
      <c r="B16" s="55" t="inlineStr">
        <is>
          <t>9000-2</t>
        </is>
      </c>
      <c r="C16" s="55" t="inlineStr">
        <is>
          <t>통신분야</t>
        </is>
      </c>
      <c r="D16" s="55" t="inlineStr">
        <is>
          <t>9000-2-15</t>
        </is>
      </c>
      <c r="E16" s="55" t="inlineStr">
        <is>
          <t>장비반입 및 안전교육</t>
        </is>
      </c>
      <c r="F16" s="55" t="inlineStr">
        <is>
          <t>현장 시스템팀 / 안전팀</t>
        </is>
      </c>
      <c r="G16" s="54" t="inlineStr">
        <is>
          <t>장비 반입 준비 및 안전교육 완료</t>
        </is>
      </c>
      <c r="H16" s="54" t="inlineStr">
        <is>
          <t>- 자재반입 경로, 적치장소에 대한 사전확인 및 타분야 일정, 간섭사항 협의/확인
- 장비 Spec확인, 장비상태 점검
- 작업원 안전교육 실시</t>
        </is>
      </c>
      <c r="I16" s="55" t="inlineStr">
        <is>
          <t>안전교육 결과서, 측량기록지</t>
        </is>
      </c>
      <c r="J16" s="65" t="inlineStr">
        <is>
          <t>1) 통신 시공 장비 및 차량 반입 전 장비 안전점검 및 작업자 특별안전보건교육 실시
2) 장비 반입 허가서 작성 및 안전 교육 이수 수료증 관리 표준 적용</t>
        </is>
      </c>
      <c r="K16" s="155">
        <f>HYPERLINK("매뉴얼BODY(집행단계-첨부폴더)v8\9.통신분야\14_본공사 전 선행공정 인수인계 점검\표준서\본공사 전 선행공정 인수인계 점검_표준서.html", "👉 [클릭] 표준서 열기 📄")</f>
        <v/>
      </c>
      <c r="L16" s="65" t="inlineStr">
        <is>
          <t>1) 장비 안전점검: 고소작업차, 광접속 차량 반입 전 안전 검사 및 작업 장비 반입 신청서 검토
2) 안전 교육 이수: 통신 시공 작업자 대상 특별안전보건교육, 보호구 착용 점검 및 안전 교육 이수 수료 관리</t>
        </is>
      </c>
      <c r="M16" s="155">
        <f>HYPERLINK("매뉴얼BODY(집행단계-첨부폴더)v8\9.통신분야\14_본공사 전 선행공정 인수인계 점검\수행지침\본공사 전 선행공정 인수인계 점검_수행지침.html", "👉 [클릭] 수행지침 열기 📄")</f>
        <v/>
      </c>
      <c r="N16" s="65" t="inlineStr">
        <is>
          <t>1) 화물차 반입 도로의 유효 폭(W≥3.5m) 및 지상 가설재 장애물(0cm) 상태를 확인하였는가?
2) 토목/건축 등 타분야 양중 작업 간섭 여부를 사전 협의하고 양중 시간대를 분리 조율하였는가?</t>
        </is>
      </c>
      <c r="O16" s="155">
        <f>HYPERLINK("매뉴얼BODY(집행단계-첨부폴더)v8\9.통신분야\14_본공사 전 선행공정 인수인계 점검\체크리스트\9000-2-14_본공사 전 선행공정 인수인계 점검_체크리스트.html", "👉 [클릭] 체크리스트 열기 📄")</f>
        <v/>
      </c>
      <c r="P16" s="61" t="n"/>
      <c r="Q16" s="66" t="inlineStr">
        <is>
          <t>● 관련분야 설계기준서 준수</t>
        </is>
      </c>
      <c r="R16" s="67" t="inlineStr">
        <is>
          <t>1) 👉 [더블클릭] 체크리스트 열기 📄</t>
        </is>
      </c>
      <c r="S16" s="64" t="n"/>
    </row>
    <row r="17" ht="115.2" customHeight="1" s="148">
      <c r="A17" s="55" t="inlineStr">
        <is>
          <t>9000</t>
        </is>
      </c>
      <c r="B17" s="55" t="inlineStr">
        <is>
          <t>9000-2</t>
        </is>
      </c>
      <c r="C17" s="55" t="inlineStr">
        <is>
          <t>통신분야</t>
        </is>
      </c>
      <c r="D17" s="55" t="inlineStr">
        <is>
          <t>9000-2-16</t>
        </is>
      </c>
      <c r="E17" s="55" t="inlineStr">
        <is>
          <t>자재 반입 및 검수</t>
        </is>
      </c>
      <c r="F17" s="55" t="inlineStr">
        <is>
          <t>현장소장 및 발주청/공동감리단</t>
        </is>
      </c>
      <c r="G17" s="54" t="inlineStr">
        <is>
          <t>공장검사 시행 완료된 자재반입과 현장 입고 검사</t>
        </is>
      </c>
      <c r="H17" s="54" t="inlineStr">
        <is>
          <t>- 자재 하차 위치 및 반입동선 확인
- 승인된 자재 일치여부 확인(Serial number 등)
- 제품의 규격, 수량 도면과 일치하는지 검토</t>
        </is>
      </c>
      <c r="I17" s="55" t="inlineStr">
        <is>
          <t>자재검수서</t>
        </is>
      </c>
      <c r="J17" s="65" t="inlineStr">
        <is>
          <t>1) 현장 반입 통신 자재 및 케이블의 승인 자재 일치성, 수량 및 운반 파손 여부 검수
2) 자재검수 요청서 작성 및 감리 입회 검수 합격 확인 표준 적용</t>
        </is>
      </c>
      <c r="K17" s="155">
        <f>HYPERLINK("매뉴얼BODY(집행단계-첨부폴더)v8\9.통신분야\15_장비반입 및 안전교육\표준서\장비반입 및 안전교육_표준서.html", "👉 [클릭] 표준서 열기 📄")</f>
        <v/>
      </c>
      <c r="L17" s="65" t="inlineStr">
        <is>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is>
      </c>
      <c r="M17" s="155">
        <f>HYPERLINK("매뉴얼BODY(집행단계-첨부폴더)v8\9.통신분야\15_장비반입 및 안전교육\수행지침\장비반입 및 안전교육_수행지침.html", "👉 [클릭] 수행지침 열기 📄")</f>
        <v/>
      </c>
      <c r="N17" s="65" t="inlineStr">
        <is>
          <t>1) 시방 대조[도면 및 여건] 자재 하차 위치 및 반입동선 확인 수칙을 사전 대조 확인하였는가?
2) 업체 Pool[적격 업체] 철도/트램 시공 및 영업운행 실적이 입증된 적격 업체 Pool을 검토하였는가?</t>
        </is>
      </c>
      <c r="O17" s="155">
        <f>HYPERLINK("매뉴얼BODY(집행단계-첨부폴더)v8\9.통신분야\15_장비반입 및 안전교육\체크리스트\9000-2-15_장비반입 및 안전교육_체크리스트.html", "👉 [클릭] 체크리스트 열기 📄")</f>
        <v/>
      </c>
      <c r="P17" s="61" t="n"/>
      <c r="Q17" s="66" t="inlineStr">
        <is>
          <t>● 관련분야 설계기준서 준수</t>
        </is>
      </c>
      <c r="R17" s="67" t="inlineStr">
        <is>
          <t>1) 👉 [더블클릭] 체크리스트 열기 📄</t>
        </is>
      </c>
      <c r="S17" s="64" t="n"/>
    </row>
    <row r="18" ht="115.2" customHeight="1" s="148">
      <c r="A18" s="55" t="inlineStr">
        <is>
          <t>9000</t>
        </is>
      </c>
      <c r="B18" s="55" t="inlineStr">
        <is>
          <t>9000-2</t>
        </is>
      </c>
      <c r="C18" s="55" t="inlineStr">
        <is>
          <t>통신분야</t>
        </is>
      </c>
      <c r="D18" s="55" t="inlineStr">
        <is>
          <t>9000-2-17</t>
        </is>
      </c>
      <c r="E18" s="55" t="inlineStr">
        <is>
          <t>통신설비 반입 및 설치</t>
        </is>
      </c>
      <c r="F18" s="55" t="inlineStr">
        <is>
          <t>현장소장 및 분야별 전담팀</t>
        </is>
      </c>
      <c r="G18" s="54" t="inlineStr">
        <is>
          <t>설계에 부합되도록 통신설비 설치</t>
        </is>
      </c>
      <c r="H18" s="56" t="inlineStr">
        <is>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is>
      </c>
      <c r="I18" s="55" t="inlineStr">
        <is>
          <t>검측서</t>
        </is>
      </c>
      <c r="J18" s="65" t="inlineStr">
        <is>
          <t>1) 통신 기계실 랙 설비, 본선 관로 광케이블 포설 및 역무 통신 기기 수평/수직 시공 설치
2) 케이블 성단, OTDR 접속 및 설비 고정 상태 검측 표준 적용</t>
        </is>
      </c>
      <c r="K18" s="155">
        <f>HYPERLINK("매뉴얼BODY(집행단계-첨부폴더)v8\9.통신분야\16_자재 반입 및 검수\표준서\자재 반입 및 검수_표준서.html", "👉 [클릭] 표준서 열기 📄")</f>
        <v/>
      </c>
      <c r="L18" s="65" t="inlineStr">
        <is>
          <t>1) 설치 실무 절차: 통신 기계실 랙 고정, 광케이블/UTP 포설, 성단 작업 및 역사 역무 통신 기기 수평/수직 시공
2) 접속 및 검측: OTDR 접속 손실(≤0.05dB) 측정, 랙 전원 인입 배선 정리 및 설비 고정 상태 감리 검측</t>
        </is>
      </c>
      <c r="M18" s="155">
        <f>HYPERLINK("매뉴얼BODY(집행단계-첨부폴더)v8\9.통신분야\16_자재 반입 및 검수\수행지침\자재 반입 및 검수_수행지침.html", "👉 [클릭] 수행지침 열기 📄")</f>
        <v/>
      </c>
      <c r="N18" s="65" t="inlineStr">
        <is>
          <t>1) 본 시공 착수 전 통신기계실 랙 배선 정돈 및 마킹 표찰 샘플을 감리단과 사전 검측하였는가?
2) 72-Core 광케이블 융착 접속 트레이 정돈 및 접속 손실 샘플 시공 승인을 획득하였는가?</t>
        </is>
      </c>
      <c r="O18" s="155">
        <f>HYPERLINK("매뉴얼BODY(집행단계-첨부폴더)v8\9.통신분야\16_자재 반입 및 검수\체크리스트\9000-2-16_자재 반입 및 검수_체크리스트.html", "👉 [클릭] 체크리스트 열기 📄")</f>
        <v/>
      </c>
      <c r="P18" s="61" t="n"/>
      <c r="Q18" s="66" t="inlineStr">
        <is>
          <t>● 관련분야 설계기준서 준수</t>
        </is>
      </c>
      <c r="R18" s="67" t="inlineStr">
        <is>
          <t>1) 👉 [더블클릭] 체크리스트 열기 📄</t>
        </is>
      </c>
      <c r="S18" s="64" t="n"/>
    </row>
    <row r="19" ht="115.2" customHeight="1" s="148">
      <c r="A19" s="55" t="inlineStr">
        <is>
          <t>9000</t>
        </is>
      </c>
      <c r="B19" s="55" t="inlineStr">
        <is>
          <t>9000-2</t>
        </is>
      </c>
      <c r="C19" s="55" t="inlineStr">
        <is>
          <t>통신분야</t>
        </is>
      </c>
      <c r="D19" s="55" t="inlineStr">
        <is>
          <t>9000-2-18</t>
        </is>
      </c>
      <c r="E19" s="55" t="inlineStr">
        <is>
          <t>관제설비 설치</t>
        </is>
      </c>
      <c r="F19" s="55" t="inlineStr">
        <is>
          <t>현장소장</t>
        </is>
      </c>
      <c r="G19" s="54" t="inlineStr">
        <is>
          <t>관제설비의 정위치 배치 및 설치</t>
        </is>
      </c>
      <c r="H19" s="56" t="inlineStr">
        <is>
          <t>- 랙 베이스/케이블 등 설치 위치를 확인하고 설치후에는 도면과 일치 여부를 체크
- 철도 교통관제(구로/대전)와 연동할 수 있게 광전송/열차무선 설비 등을 설치하고 확인</t>
        </is>
      </c>
      <c r="I19" s="55" t="inlineStr">
        <is>
          <t>검측서</t>
        </is>
      </c>
      <c r="J19" s="65" t="inlineStr">
        <is>
          <t>1) 종합관제센터 관제 콘솔, 대형 표시장치(DLP/LFD), 관제 서버 및 네트워크 설비 설치
2) 관제 시스템 전원 인입, 배선 정리 및 관제 환경 설치 검측 표준 적용</t>
        </is>
      </c>
      <c r="K19" s="155">
        <f>HYPERLINK("매뉴얼BODY(집행단계-첨부폴더)v8\9.통신분야\17_통신설비 반입 및 설치\표준서\통신설비 반입 및 설치_표준서.html", "👉 [클릭] 표준서 열기 📄")</f>
        <v/>
      </c>
      <c r="L19" s="65" t="inlineStr">
        <is>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is>
      </c>
      <c r="M19" s="155">
        <f>HYPERLINK("매뉴얼BODY(집행단계-첨부폴더)v8\9.통신분야\17_통신설비 반입 및 설치\수행지침\통신설비 반입 및 설치_수행지침.html", "👉 [클릭] 수행지침 열기 📄")</f>
        <v/>
      </c>
      <c r="N19" s="65" t="inlineStr">
        <is>
          <t>1) OCC 관제실 전면 비디오 월 마운트 거치 프레임 레이저 수평 오차(±1.0mm 이내)를 실측하였는가?
2) 멀티 디스플레이 패널 간 베젤 이격 단차(≤0.5mm) 미세 조율 및 방진 가스켓 부착을 완료하였는가?</t>
        </is>
      </c>
      <c r="O19" s="155">
        <f>HYPERLINK("매뉴얼BODY(집행단계-첨부폴더)v8\9.통신분야\17_통신설비 반입 및 설치\체크리스트\9000-2-17_통신설비 반입 및 설치_체크리스트.html", "👉 [클릭] 체크리스트 열기 📄")</f>
        <v/>
      </c>
      <c r="P19" s="61" t="n"/>
      <c r="Q19" s="66" t="inlineStr">
        <is>
          <t>● 관련분야 설계기준서 준수</t>
        </is>
      </c>
      <c r="R19" s="67" t="inlineStr">
        <is>
          <t>1) 👉 [더블클릭] 체크리스트 열기 📄</t>
        </is>
      </c>
      <c r="S19" s="64" t="n"/>
    </row>
    <row r="20" ht="115.2" customHeight="1" s="148">
      <c r="A20" s="55" t="inlineStr">
        <is>
          <t>9000</t>
        </is>
      </c>
      <c r="B20" s="55" t="inlineStr">
        <is>
          <t>9000-2</t>
        </is>
      </c>
      <c r="C20" s="55" t="inlineStr">
        <is>
          <t>통신분야</t>
        </is>
      </c>
      <c r="D20" s="55" t="inlineStr">
        <is>
          <t>9000-2-19</t>
        </is>
      </c>
      <c r="E20" s="55" t="inlineStr">
        <is>
          <t>통신시스템 단위시험</t>
        </is>
      </c>
      <c r="F20" s="55" t="inlineStr">
        <is>
          <t>현장 시스템팀</t>
        </is>
      </c>
      <c r="G20" s="54" t="inlineStr">
        <is>
          <t>통신설비(열차에 설치하는 차상통신 장치 포함)설치 후 전원투입 및 기능검증</t>
        </is>
      </c>
      <c r="H20" s="56" t="inlineStr">
        <is>
          <t>- ITP/ITC에 따라 시험/검사를 감리 확인</t>
        </is>
      </c>
      <c r="I20" s="55" t="inlineStr">
        <is>
          <t>감리단 입회검사 및 시험점검표(ITP/ITC)</t>
        </is>
      </c>
      <c r="J20" s="65" t="inlineStr">
        <is>
          <t>1) 통신 개별 단위 설비(LTE-R, 방송, CCTV, 역무, 전화 등) 전원 투입 및 단독 시험 실시
2) 설비별 단위시험 절차서 준수 및 단독 기능 시험성적서 작성 표준 적용</t>
        </is>
      </c>
      <c r="K20" s="155">
        <f>HYPERLINK("매뉴얼BODY(집행단계-첨부폴더)v8\9.통신분야\18_관제설비 설치\표준서\관제설비 설치_표준서.html", "👉 [클릭] 표준서 열기 📄")</f>
        <v/>
      </c>
      <c r="L20" s="65" t="inlineStr">
        <is>
          <t>1) 단독 시험 수행: LTE-R 기지국/제어기, 방송, CCTV, 역무, 전화 등 개별 시스템 단위 전원 인입 및 단독 시험
2) 단위성적서 작성: 단위시험 절차서 항목별 성능 측정, 불합격 항목 보완 조치 및 단위시험 성과표 확정</t>
        </is>
      </c>
      <c r="M20" s="155">
        <f>HYPERLINK("매뉴얼BODY(집행단계-첨부폴더)v8\9.통신분야\18_관제설비 설치\수행지침\관제설비 설치_수행지침.html", "👉 [클릭] 수행지침 열기 📄")</f>
        <v/>
      </c>
      <c r="N20" s="65" t="inlineStr">
        <is>
          <t>1) 통신기계실 LTE-R DU 제어기 및 옥외 RU 무선장치에 단독 전원(220V/48V) 투입 후 부팅 정상 상태를 확인하였는가?
2) RF 파워메터로 무선장치(RU) 송신 출력을 계측하여 표준 규격(43dBm ±0.5dB) 이내임을 검측하였는가?</t>
        </is>
      </c>
      <c r="O20" s="155">
        <f>HYPERLINK("매뉴얼BODY(집행단계-첨부폴더)v8\9.통신분야\18_관제설비 설치\체크리스트\9000-2-18_관제설비 설치_체크리스트.html", "👉 [클릭] 체크리스트 열기 📄")</f>
        <v/>
      </c>
      <c r="P20" s="61" t="n"/>
      <c r="Q20" s="66" t="inlineStr">
        <is>
          <t>● 관련분야 설계기준서 준수</t>
        </is>
      </c>
      <c r="R20" s="67" t="inlineStr">
        <is>
          <t>1) 👉 [더블클릭] 체크리스트 열기 📄</t>
        </is>
      </c>
      <c r="S20" s="64" t="n"/>
    </row>
    <row r="21" ht="115.2" customHeight="1" s="148">
      <c r="A21" s="55" t="inlineStr">
        <is>
          <t>9000</t>
        </is>
      </c>
      <c r="B21" s="55" t="inlineStr">
        <is>
          <t>9000-2</t>
        </is>
      </c>
      <c r="C21" s="55" t="inlineStr">
        <is>
          <t>통신분야</t>
        </is>
      </c>
      <c r="D21" s="55" t="inlineStr">
        <is>
          <t>9000-2-20</t>
        </is>
      </c>
      <c r="E21" s="55" t="inlineStr">
        <is>
          <t>통신시스템 통합시험</t>
        </is>
      </c>
      <c r="F21" s="55" t="inlineStr">
        <is>
          <t>현장 시스템팀</t>
        </is>
      </c>
      <c r="G21" s="54" t="inlineStr">
        <is>
          <t>관제설비를 포함한 통신망 통합 검증</t>
        </is>
      </c>
      <c r="H21" s="54" t="inlineStr">
        <is>
          <t>- 감리단 입회하에 검사/시험절차대로 수행
1) 관제실/현장설비간 인터페이스 시험
2) 지상 및 차상 인터페이스 시험</t>
        </is>
      </c>
      <c r="I21" s="55" t="inlineStr">
        <is>
          <t>감리단 입회검사 및 시험점검표(ITP/ITC)</t>
        </is>
      </c>
      <c r="J21" s="65" t="inlineStr">
        <is>
          <t>1) 통신 설비 간 데이터 연동, LTE-R 무선망 백본 이중화 절체 및 종합 네트워크 연동 시험
2) 통합시험 절차서 준수 및 이종 통신 설비 간 상호 연동성 검측 표준 적용</t>
        </is>
      </c>
      <c r="K21" s="155">
        <f>HYPERLINK("매뉴얼BODY(집행단계-첨부폴더)v8\9.통신분야\19_통신시스템 단위시험\표준서\통신시스템 단위시험_표준서.html", "👉 [클릭] 표준서 열기 📄")</f>
        <v/>
      </c>
      <c r="L21" s="65" t="inlineStr">
        <is>
          <t>1) 연동 시험 수행: 통신 이종 시스템 간 데이터 연동, LTE-R 코어망 백본 이중화 절체 및 종합 네트워크 연동 시험
2) 통합 성과 확인: 관제-현장 장치 간 제어 응답속도 검측, 통합 시험 성과표 작성 및 감리 승인 완료</t>
        </is>
      </c>
      <c r="M21" s="155">
        <f>HYPERLINK("매뉴얼BODY(집행단계-첨부폴더)v8\9.통신분야\19_통신시스템 단위시험\수행지침\통신시스템 단위시험_수행지침.html", "👉 [클릭] 수행지침 열기 📄")</f>
        <v/>
      </c>
      <c r="N21" s="65" t="inlineStr">
        <is>
          <t>1) 관제센터 메인 방송 서버와 각 정거장 PIS 제어기 간 광전송 유선 인터페이스 통신 상태를 확인하였는가?
2) 관제 콘솔에서 PIS 문구 송출 명령 전송 시 현장 안내표시기 반응 지연 시간(≤0.5초 이내)을 검측하였는가?</t>
        </is>
      </c>
      <c r="O21" s="155">
        <f>HYPERLINK("매뉴얼BODY(집행단계-첨부폴더)v8\9.통신분야\19_통신시스템 단위시험\체크리스트\9000-2-19_통신시스템 단위시험_체크리스트.html", "👉 [클릭] 체크리스트 열기 📄")</f>
        <v/>
      </c>
      <c r="P21" s="61" t="n"/>
      <c r="Q21" s="66" t="inlineStr">
        <is>
          <t>● 관련분야 설계기준서 준수</t>
        </is>
      </c>
      <c r="R21" s="67" t="inlineStr">
        <is>
          <t>1) 👉 [더블클릭] 체크리스트 열기 📄</t>
        </is>
      </c>
      <c r="S21" s="64" t="n"/>
    </row>
    <row r="22" ht="115.2" customHeight="1" s="148">
      <c r="A22" s="55" t="inlineStr">
        <is>
          <t>9000</t>
        </is>
      </c>
      <c r="B22" s="55" t="inlineStr">
        <is>
          <t>9000-2</t>
        </is>
      </c>
      <c r="C22" s="55" t="inlineStr">
        <is>
          <t>통신분야</t>
        </is>
      </c>
      <c r="D22" s="55" t="inlineStr">
        <is>
          <t>9000-2-21</t>
        </is>
      </c>
      <c r="E22" s="55" t="inlineStr">
        <is>
          <t>공종별 시험</t>
        </is>
      </c>
      <c r="F22" s="55" t="inlineStr">
        <is>
          <t>현장 시스템팀</t>
        </is>
      </c>
      <c r="G22" s="54" t="inlineStr">
        <is>
          <t>발주처가 관련 법령, 설계기준, 기술기준, 시방서 등의 요구사항에 적합하도록 설치되었는지를 확인</t>
        </is>
      </c>
      <c r="H22" s="54" t="inlineStr">
        <is>
          <t>- 철도종합시험운행 시행지침 제6조(공종별시험)에 따라 시행</t>
        </is>
      </c>
      <c r="I22" s="55" t="inlineStr">
        <is>
          <t>공종별 시험 결과보고서</t>
        </is>
      </c>
      <c r="J22" s="65" t="inlineStr">
        <is>
          <t>1) 철도 종합시험운행 지침에 의거한 통신 공종별 상세 시운전 시험 절차 수립
2) 공종별 시험 항목 검측, 무선 전계강도 측정 및 시험성적서 확정 표준 적용</t>
        </is>
      </c>
      <c r="K22" s="155">
        <f>HYPERLINK("매뉴얼BODY(집행단계-첨부폴더)v8\9.통신분야\20_통신시스템 통합시험\표준서\통신시스템 통합시험_표준서.html", "👉 [클릭] 표준서 열기 📄")</f>
        <v/>
      </c>
      <c r="L22" s="65" t="inlineStr">
        <is>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is>
      </c>
      <c r="M22" s="155">
        <f>HYPERLINK("매뉴얼BODY(집행단계-첨부폴더)v8\9.통신분야\20_통신시스템 통합시험\수행지침\통신시스템 통합시험_수행지침.html", "👉 [클릭] 수행지침 열기 📄")</f>
        <v/>
      </c>
      <c r="N22" s="65" t="inlineStr">
        <is>
          <t>1) 본선 및 정거장 광배선반(FDF) 포설 광케이블 전체 코어에 대하여 OTDR 전수 측정을 수행하였는가?
2) 광케이블 융착 접속점 접속 손실 수치가 시방 기준(≤0.1dB/접속점 이하)을 통과함을 확인하였는가?</t>
        </is>
      </c>
      <c r="O22" s="155">
        <f>HYPERLINK("매뉴얼BODY(집행단계-첨부폴더)v8\9.통신분야\20_통신시스템 통합시험\체크리스트\9000-2-20_통신시스템 통합시험_체크리스트.html", "👉 [클릭] 체크리스트 열기 📄")</f>
        <v/>
      </c>
      <c r="P22" s="61" t="n"/>
      <c r="Q22" s="66" t="inlineStr">
        <is>
          <t>● 관련분야 설계기준서 준수</t>
        </is>
      </c>
      <c r="R22" s="67" t="inlineStr">
        <is>
          <t>1) 👉 [더블클릭] 체크리스트 열기 📄</t>
        </is>
      </c>
      <c r="S22" s="64" t="n"/>
    </row>
    <row r="23" ht="115.2" customHeight="1" s="148">
      <c r="A23" s="55" t="inlineStr">
        <is>
          <t>9000</t>
        </is>
      </c>
      <c r="B23" s="55" t="inlineStr">
        <is>
          <t>9000-2</t>
        </is>
      </c>
      <c r="C23" s="55" t="inlineStr">
        <is>
          <t>통신분야</t>
        </is>
      </c>
      <c r="D23" s="55" t="inlineStr">
        <is>
          <t>9000-2-22</t>
        </is>
      </c>
      <c r="E23" s="55" t="inlineStr">
        <is>
          <t>차량 투입 전 점검</t>
        </is>
      </c>
      <c r="F23" s="55" t="inlineStr">
        <is>
          <t>현장소장 및 시공전담팀</t>
        </is>
      </c>
      <c r="G23" s="54" t="inlineStr">
        <is>
          <t>발주처가 원활한 차량시운전이 되도록 노반, 건축, 궤도, 전철전력, 통신, 신호 분야를 종합하여 최종 점검</t>
        </is>
      </c>
      <c r="H23" s="56" t="inlineStr">
        <is>
          <t>- 노반/궤도 시공상태 점검
- 건축한계 및 차량한계 검사
1) 건축한계: 폭(3,600mm) / 높이(5,300mm)
2) 차량한계: 폭(3,200mm) / 높이(4,750mm)
- 전차선, 신호, 통신 작동상태 확인</t>
        </is>
      </c>
      <c r="I23" s="55" t="inlineStr">
        <is>
          <t>점검 결과보고서</t>
        </is>
      </c>
      <c r="J23" s="65" t="inlineStr">
        <is>
          <t>1) 본선 트램 차량 투입 전 LTE-R 차상 통신장치, 무선 안테나 및 관제 무선 연동태세 점검
2) 차량 투입 대비 통신 무무선 연동 안전 상태 확인 표준 적용</t>
        </is>
      </c>
      <c r="K23" s="155">
        <f>HYPERLINK("매뉴얼BODY(집행단계-첨부폴더)v8\9.통신분야\21_공종별 시험\표준서\9000-2-21_공종별 시험_표준서.html", "👉 [클릭] 표준서 열기 📄")</f>
        <v/>
      </c>
      <c r="L23" s="65" t="inlineStr">
        <is>
          <t>1) 차상 연동 점검: 본선 트램 차량 투입 전 차량 차상 LTE-R 통신장비, 무선 안테나 및 관제 무선 연동태세 실측
2) 투입 안전 승인: 차량 투입 시 무선 통신 끊김 예방 점검 및 차량 투입 전 통신 안전 확인서 작성</t>
        </is>
      </c>
      <c r="M23" s="155">
        <f>HYPERLINK("매뉴얼BODY(집행단계-첨부폴더)v8\9.통신분야\21_공종별 시험\수행지침\공종별 시험_수행지침.html", "👉 [클릭] 수행지침 열기 📄")</f>
        <v/>
      </c>
      <c r="N23" s="65" t="inlineStr">
        <is>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is>
      </c>
      <c r="O23" s="155">
        <f>HYPERLINK("매뉴얼BODY(집행단계-첨부폴더)v8\9.통신분야\21_공종별 시험\체크리스트\9000-2-21_공종별 시험_체크리스트.html", "👉 [클릭] 체크리스트 열기 📄")</f>
        <v/>
      </c>
      <c r="P23" s="61" t="n"/>
      <c r="Q23" s="66" t="inlineStr">
        <is>
          <t>● 관련분야 설계기준서 준수</t>
        </is>
      </c>
      <c r="R23" s="67" t="inlineStr">
        <is>
          <t>1) 👉 [더블클릭] 체크리스트 열기 📄</t>
        </is>
      </c>
      <c r="S23" s="64" t="n"/>
    </row>
    <row r="24" ht="115.2" customHeight="1" s="148">
      <c r="A24" s="55" t="inlineStr">
        <is>
          <t>9000</t>
        </is>
      </c>
      <c r="B24" s="55" t="inlineStr">
        <is>
          <t>9000-2</t>
        </is>
      </c>
      <c r="C24" s="55" t="inlineStr">
        <is>
          <t>통신분야</t>
        </is>
      </c>
      <c r="D24" s="55" t="inlineStr">
        <is>
          <t>9000-2-23</t>
        </is>
      </c>
      <c r="E24" s="55" t="inlineStr">
        <is>
          <t>차량 시운전</t>
        </is>
      </c>
      <c r="F24" s="55" t="inlineStr">
        <is>
          <t>현장 시스템팀</t>
        </is>
      </c>
      <c r="G24" s="54" t="inlineStr">
        <is>
          <t>철도안전법에 따른 철도차량 형식시험</t>
        </is>
      </c>
      <c r="H24" s="54" t="inlineStr">
        <is>
          <t>- 철도안전법 제26조(철도차량 형식승인)에 따라 이행(주로 본선구간 수행)
- 차량, 신호, 통신 시스템간 인터페이스 시험</t>
        </is>
      </c>
      <c r="I24" s="55" t="inlineStr">
        <is>
          <t>철도차량 형식승인 결과 보고서</t>
        </is>
      </c>
      <c r="J24" s="65" t="inlineStr">
        <is>
          <t>1) 트램 차량 본선 주행 시 LTE-R 무선 수신강도(RSSI/RSRP), 핸드오버 및 음성/데이터 통신 검측
2) 주행 중 통신 끊김 여부 및 차상-지상 간 통신 품질 성과표 작성 표준 적용</t>
        </is>
      </c>
      <c r="K24" s="155">
        <f>HYPERLINK("매뉴얼BODY(집행단계-첨부폴더)v8\9.통신분야\22_차량 투입 전 점검\표준서\차량 투입 전 점검_표준서.html", "👉 [클릭] 표준서 열기 📄")</f>
        <v/>
      </c>
      <c r="L24" s="65" t="inlineStr">
        <is>
          <t>1) 본선 주행 시험: 트램 차량 본선 주행 중 LTE-R 무선 수신강도(RSSI ≥ -95dBm), 핸드오버 성공률(≥99.5%) 실측
2) 주행 통신 검측: 차상-지상 간 CCTV 영상 전송 및 관제 데이터 무선 통신 품질 성과표 최종 확정</t>
        </is>
      </c>
      <c r="M24" s="155">
        <f>HYPERLINK("매뉴얼BODY(집행단계-첨부폴더)v8\9.통신분야\22_차량 투입 전 점검\수행지침\차량 투입 전 점검_수행지침.html", "👉 [클릭] 수행지침 열기 📄")</f>
        <v/>
      </c>
      <c r="N24" s="65" t="inlineStr">
        <is>
          <t>1) 본선 실 주행 최고 속도 조건에서 LTE-R 차상 단말기 수신 감도(RSSI ≥ -85dBm)를 지속 유지하였는가?
2) 주행 중 LTE-R 기지국 간 이동 시 핸드오버 성공률 100% 및 음성 무선 통화 끊김 0건을 검측하였는가?</t>
        </is>
      </c>
      <c r="O24" s="155">
        <f>HYPERLINK("매뉴얼BODY(집행단계-첨부폴더)v8\9.통신분야\22_차량 투입 전 점검\체크리스트\9000-2-22_차량 투입 전 점검_체크리스트.html", "👉 [클릭] 체크리스트 열기 📄")</f>
        <v/>
      </c>
      <c r="P24" s="61" t="n"/>
      <c r="Q24" s="66" t="inlineStr">
        <is>
          <t>● 관련분야 설계기준서 준수</t>
        </is>
      </c>
      <c r="R24" s="67" t="inlineStr">
        <is>
          <t>1) 👉 [더블클릭] 체크리스트 열기 📄</t>
        </is>
      </c>
      <c r="S24" s="64" t="n"/>
    </row>
    <row r="25" ht="115.2" customHeight="1" s="148">
      <c r="A25" s="55" t="inlineStr">
        <is>
          <t>9000</t>
        </is>
      </c>
      <c r="B25" s="55" t="inlineStr">
        <is>
          <t>9000-2</t>
        </is>
      </c>
      <c r="C25" s="55" t="inlineStr">
        <is>
          <t>통신분야</t>
        </is>
      </c>
      <c r="D25" s="55" t="inlineStr">
        <is>
          <t>9000-2-24</t>
        </is>
      </c>
      <c r="E25" s="55" t="inlineStr">
        <is>
          <t>운영자 교육시행</t>
        </is>
      </c>
      <c r="F25" s="55" t="inlineStr">
        <is>
          <t>현장 시스템팀</t>
        </is>
      </c>
      <c r="G25" s="54" t="inlineStr">
        <is>
          <t>영업시운전 전에 시설을 운영자를 대상으로 운영 및 유지관리방법에 대해 교육</t>
        </is>
      </c>
      <c r="H25" s="54" t="inlineStr">
        <is>
          <t>- 통신 시스템 제작사가 만든 매뉴얼로 운영자를 교육
: 관제설비등통신설비 운영/관리방법</t>
        </is>
      </c>
      <c r="I25" s="55" t="inlineStr">
        <is>
          <t>운영자 교육 결과서</t>
        </is>
      </c>
      <c r="J25" s="65" t="inlineStr">
        <is>
          <t>1) 시설물 인수인계 전 운영사 운영자 및 유지보수 요원 대상 통신 시스템 운영 교육 실시
2) 교육 교재 작성, 시스템 운용/장해 조치 실습 및 교육 이수 확인서 작성 표준 적용</t>
        </is>
      </c>
      <c r="K25" s="155">
        <f>HYPERLINK("매뉴얼BODY(집행단계-첨부폴더)v8\9.통신분야\23_차량 시운전\표준서\9000-2-23_차량 시운전_표준서.html", "👉 [클릭] 표준서 열기 📄")</f>
        <v/>
      </c>
      <c r="L25" s="65" t="inlineStr">
        <is>
          <t>1) 교육 프로그램 실시: 운영사 운영자 및 유지관리 요원 대상 통신 시스템 구조, HMI 운용 및 비상 조치 교육
2) 교육 이수 확정: 현장 실습 교육 수행, 질문/답변 점검 및 운영자 교육 참석 이수 확인서 최종 작성</t>
        </is>
      </c>
      <c r="M25" s="155">
        <f>HYPERLINK("매뉴얼BODY(집행단계-첨부폴더)v8\9.통신분야\23_차량 시운전\수행지침\차량 시운전_수행지침.html", "👉 [클릭] 수행지침 열기 📄")</f>
        <v/>
      </c>
      <c r="N25" s="65" t="inlineStr">
        <is>
          <t>1) 통신 4대 계통(교환, 무선, PIS/PA, CCTV) 제작사 공식 기술 매뉴얼을 수집·구비하였는가?
2) 주요 장비 장애 시 대응할 수 있는 계통별 긴급 비상 조치 매뉴얼 교재를 편찬하였는가?</t>
        </is>
      </c>
      <c r="O25" s="155">
        <f>HYPERLINK("매뉴얼BODY(집행단계-첨부폴더)v8\9.통신분야\23_차량 시운전\체크리스트\9000-2-23_차량 시운전_체크리스트.html", "👉 [클릭] 체크리스트 열기 📄")</f>
        <v/>
      </c>
      <c r="P25" s="61" t="n"/>
      <c r="Q25" s="66" t="inlineStr">
        <is>
          <t>● 관련분야 설계기준서 준수</t>
        </is>
      </c>
      <c r="R25" s="67" t="inlineStr">
        <is>
          <t>1) 👉 [더블클릭] 체크리스트 열기 📄</t>
        </is>
      </c>
      <c r="S25" s="64" t="n"/>
    </row>
    <row r="26" ht="115.2" customHeight="1" s="148">
      <c r="A26" s="55" t="inlineStr">
        <is>
          <t>9000</t>
        </is>
      </c>
      <c r="B26" s="55" t="inlineStr">
        <is>
          <t>9000-2</t>
        </is>
      </c>
      <c r="C26" s="55" t="inlineStr">
        <is>
          <t>통신분야</t>
        </is>
      </c>
      <c r="D26" s="55" t="inlineStr">
        <is>
          <t>9000-2-25</t>
        </is>
      </c>
      <c r="E26" s="55" t="inlineStr">
        <is>
          <t>사전점검</t>
        </is>
      </c>
      <c r="F26" s="55" t="inlineStr">
        <is>
          <t>현장소장 및 발주처 / 공동감리단</t>
        </is>
      </c>
      <c r="G26" s="54" t="inlineStr">
        <is>
          <t>시설물검증시험의 가능여부를 확인하기 위하여 발주처와 운영자가 합동으로 점검</t>
        </is>
      </c>
      <c r="H26" s="54" t="inlineStr">
        <is>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is>
      </c>
      <c r="I26" s="55" t="inlineStr">
        <is>
          <t>사전점검 결과보고서/승인문서(한국교통안전공단)</t>
        </is>
      </c>
      <c r="J26" s="65" t="inlineStr">
        <is>
          <t>1) 철도종합시험운행 지침 제8조에 의거한 사전점검계획 수립 및 기술기준 부합성 종합 점검
2) 사전점검 결과 보고서 작성 및 한국교통안전공단 제출 승인 표준 적용</t>
        </is>
      </c>
      <c r="K26" s="155">
        <f>HYPERLINK("매뉴얼BODY(집행단계-첨부폴더)v8\9.통신분야\24_운영자 교육시행\표준서\운영자 교육시행_표준서.html", "👉 [클릭] 표준서 열기 📄")</f>
        <v/>
      </c>
      <c r="L26" s="65" t="inlineStr">
        <is>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is>
      </c>
      <c r="M26" s="155">
        <f>HYPERLINK("매뉴얼BODY(집행단계-첨부폴더)v8\9.통신분야\24_운영자 교육시행\수행지침\운영자 교육시행_수행지침.html", "👉 [클릭] 수행지침 열기 📄")</f>
        <v/>
      </c>
      <c r="N26" s="65" t="inlineStr">
        <is>
          <t>1) 철도종합시험운행 시행지침 제8조 규정에 맞춘 사전점검계획서를 작성하였는가?
2) 발주처, 운영기관, 책임감리단 및 현장소장이 포함된 3자 합동 사전점검반을 조직하였는가?</t>
        </is>
      </c>
      <c r="O26" s="155">
        <f>HYPERLINK("매뉴얼BODY(집행단계-첨부폴더)v8\9.통신분야\24_운영자 교육시행\체크리스트\9000-2-24_운영자 교육시행_체크리스트.html", "👉 [클릭] 체크리스트 열기 📄")</f>
        <v/>
      </c>
      <c r="P26" s="61" t="n"/>
      <c r="Q26" s="66" t="inlineStr">
        <is>
          <t>● 관련분야 설계기준서 준수</t>
        </is>
      </c>
      <c r="R26" s="67" t="inlineStr">
        <is>
          <t>1) 👉 [더블클릭] 체크리스트 열기 📄</t>
        </is>
      </c>
      <c r="S26" s="64" t="n"/>
    </row>
    <row r="27" ht="153.6" customHeight="1" s="148">
      <c r="A27" s="55" t="inlineStr">
        <is>
          <t>9000</t>
        </is>
      </c>
      <c r="B27" s="55" t="inlineStr">
        <is>
          <t>9000-2</t>
        </is>
      </c>
      <c r="C27" s="55" t="inlineStr">
        <is>
          <t>통신분야</t>
        </is>
      </c>
      <c r="D27" s="55" t="inlineStr">
        <is>
          <t>9000-2-26</t>
        </is>
      </c>
      <c r="E27" s="55" t="inlineStr">
        <is>
          <t>시설물 검증시험</t>
        </is>
      </c>
      <c r="F27" s="55" t="inlineStr">
        <is>
          <t>현장소장 및 발주처 / 공동감리단</t>
        </is>
      </c>
      <c r="G27" s="54" t="inlineStr">
        <is>
          <t>발주처는 시설물의 정상작동 상태 등을 확인하기 위해 시설물 검증시험을 수행</t>
        </is>
      </c>
      <c r="H27" s="54" t="inlineStr">
        <is>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is>
      </c>
      <c r="I27" s="55" t="inlineStr">
        <is>
          <t>시설물 검증시험 결과보고서/승인문서(한국교통안전공단)</t>
        </is>
      </c>
      <c r="J27" s="65" t="inlineStr">
        <is>
          <t>1) 시설물검증시험 계획 수립 및 본선 주행 시험 차량을 이용한 통신 설비 최고속도 성능 검증
2) LTE-R 무선 품질, 관제 데이터 전송률 및 시설물검증 합격 판정 표준 적용</t>
        </is>
      </c>
      <c r="K27" s="155">
        <f>HYPERLINK("매뉴얼BODY(집행단계-첨부폴더)v8\9.통신분야\25_사전점검\표준서\9000-2-25_사전점검_표준서.html", "👉 [클릭] 표준서 열기 📄")</f>
        <v/>
      </c>
      <c r="L27" s="65" t="inlineStr">
        <is>
          <t>1) 최고속도 주행 검증: 시설물검증시험 계획에 따라 시운전 열차를 최고 설계속도로 주행하며 통신 성능 실측
2) 검증 결과 확정: LTE-R 무선망 수신강도, 데이터 전송 지연시간 실측 및 시설물검증시험 합격 판정</t>
        </is>
      </c>
      <c r="M27" s="155">
        <f>HYPERLINK("매뉴얼BODY(집행단계-첨부폴더)v8\9.통신분야\25_사전점검\수행지침\9000-2-25_사전점검_수행지침.html", "👉 [클릭] 수행지침 열기 📄")</f>
        <v/>
      </c>
      <c r="N27" s="65" t="inlineStr">
        <is>
          <t>1) 철도종합시험운행 시행지침 제14조에 따라 시설물검증시험계획을 작성하였는가?
2) 전문기관인 한국교통안전공단으로부터 시설물검증시험계획 적격 승인을 수령하였는가?</t>
        </is>
      </c>
      <c r="O27" s="155">
        <f>HYPERLINK("매뉴얼BODY(집행단계-첨부폴더)v8\9.통신분야\25_사전점검\체크리스트\9000-2-25_사전점검_체크리스트.html", "👉 [클릭] 체크리스트 열기 📄")</f>
        <v/>
      </c>
      <c r="P27" s="61" t="n"/>
      <c r="Q27" s="66" t="inlineStr">
        <is>
          <t>● 관련분야 설계기준서 준수</t>
        </is>
      </c>
      <c r="R27" s="67" t="inlineStr">
        <is>
          <t>1) 👉 [더블클릭] 체크리스트 열기 📄</t>
        </is>
      </c>
      <c r="S27" s="64" t="n"/>
    </row>
    <row r="28" ht="211.2" customHeight="1" s="148">
      <c r="A28" s="55" t="inlineStr">
        <is>
          <t>9000</t>
        </is>
      </c>
      <c r="B28" s="55" t="inlineStr">
        <is>
          <t>9000-2</t>
        </is>
      </c>
      <c r="C28" s="55" t="inlineStr">
        <is>
          <t>통신분야</t>
        </is>
      </c>
      <c r="D28" s="55" t="inlineStr">
        <is>
          <t>9000-2-27</t>
        </is>
      </c>
      <c r="E28" s="55" t="inlineStr">
        <is>
          <t>영업시운전</t>
        </is>
      </c>
      <c r="F28" s="55" t="inlineStr">
        <is>
          <t>현장소장 및 발주처 / 공동감리단</t>
        </is>
      </c>
      <c r="G28" s="54" t="inlineStr">
        <is>
          <t>발주처는 영업시운전계획에 따라 열차운행체계를 확인하기 위해 영업시운전을 수행</t>
        </is>
      </c>
      <c r="H28" s="56" t="inlineStr">
        <is>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is>
      </c>
      <c r="I28" s="55" t="inlineStr">
        <is>
          <t>영업시운전 결과보고서/승인문서(한국교통안전공단), 국토부 승인문서</t>
        </is>
      </c>
      <c r="J28" s="65" t="inlineStr">
        <is>
          <t>1) 실제 영업 조건과 동일한 환경에서의 통신 시스템 연속 가동 및 관제 운용 검증
2) 영업시운전 기간 중 통신 장애 0건 달성 및 시운전 완료 보고서 확정 표준 적용</t>
        </is>
      </c>
      <c r="K28" s="155">
        <f>HYPERLINK("매뉴얼BODY(집행단계-첨부폴더)v8\9.통신분야\26_시설물 검증시험\표준서\시설물 검증시험_표준서.html", "👉 [클릭] 표준서 열기 📄")</f>
        <v/>
      </c>
      <c r="L28" s="65" t="inlineStr">
        <is>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is>
      </c>
      <c r="M28" s="155">
        <f>HYPERLINK("매뉴얼BODY(집행단계-첨부폴더)v8\9.통신분야\26_시설물 검증시험\수행지침\시설물 검증시험_수행지침.html", "👉 [클릭] 수행지침 열기 📄")</f>
        <v/>
      </c>
      <c r="N28" s="65" t="inlineStr">
        <is>
          <t>1) 철도종합시험운행 시행지침 제22조에 따른 영업시운전계획을 수립하였는가?
2) 전 정거장 행선안내게시기(PIS) 도착 시각 및 열치 위치 안내 오송출 0건을 달성하였는가?</t>
        </is>
      </c>
      <c r="O28" s="155">
        <f>HYPERLINK("매뉴얼BODY(집행단계-첨부폴더)v8\9.통신분야\26_시설물 검증시험\체크리스트\9000-2-26_시설물 검증시험_체크리스트.html", "👉 [클릭] 체크리스트 열기 📄")</f>
        <v/>
      </c>
      <c r="P28" s="61" t="n"/>
      <c r="Q28" s="66" t="inlineStr">
        <is>
          <t>● 관련분야 설계기준서 준수</t>
        </is>
      </c>
      <c r="R28" s="67" t="inlineStr">
        <is>
          <t>1) 👉 [더블클릭] 체크리스트 열기 📄</t>
        </is>
      </c>
      <c r="S28" s="64" t="n"/>
    </row>
    <row r="29" ht="115.2" customHeight="1" s="148">
      <c r="A29" s="55" t="inlineStr">
        <is>
          <t>9000</t>
        </is>
      </c>
      <c r="B29" s="55" t="inlineStr">
        <is>
          <t>9000-2</t>
        </is>
      </c>
      <c r="C29" s="55" t="inlineStr">
        <is>
          <t>통신분야</t>
        </is>
      </c>
      <c r="D29" s="55" t="inlineStr">
        <is>
          <t>9000-2-28</t>
        </is>
      </c>
      <c r="E29" s="55" t="inlineStr">
        <is>
          <t>자가용전기통신설비 설치신고</t>
        </is>
      </c>
      <c r="F29" s="55" t="inlineStr">
        <is>
          <t>시공사</t>
        </is>
      </c>
      <c r="G29" s="54" t="inlineStr">
        <is>
          <t>자가용전기통신설비의 합법적 설치</t>
        </is>
      </c>
      <c r="H29" s="69" t="inlineStr">
        <is>
          <t>- 관할 시청/구청에 설치공사 시작 21일 전까지 신고서와 설계도서 제출 (처리기간 15일)</t>
        </is>
      </c>
      <c r="I29" s="55" t="inlineStr">
        <is>
          <t>자가전기통신설비 설치신고 필증</t>
        </is>
      </c>
      <c r="J29" s="65" t="inlineStr">
        <is>
          <t>1) 전기통신사업법 제64조에 의거한 자가용전기통신설비 설치신고서 및 설비 개요서 작성
2) 관할 지자체(화성시 등) 제출 및 설치신고 수리증 발급 획득 표준 적용</t>
        </is>
      </c>
      <c r="K29" s="155">
        <f>HYPERLINK("매뉴얼BODY(집행단계-첨부폴더)v8\9.통신분야\27_영업시운전\표준서\9000-2-27_영업시운전_표준서.html", "👉 [클릭] 표준서 열기 📄")</f>
        <v/>
      </c>
      <c r="L29" s="65" t="inlineStr">
        <is>
          <t>1) 신고 서류 작성: 전기통신사업법 제64조에 따른 자가용전기통신설비 설치신고서 및 통신망 개요도 작성
2) 관할 관청 수리: 관할 지자체(화성시 등) 제출, 현장 서류 검토 수검 및 설치신고 수리증 발급 획득</t>
        </is>
      </c>
      <c r="M29" s="155">
        <f>HYPERLINK("매뉴얼BODY(집행단계-첨부폴더)v8\9.통신분야\27_영업시운전\수행지침\9000-2-27_영업시운전_수행지침.html", "👉 [클릭] 수행지침 열기 📄")</f>
        <v/>
      </c>
      <c r="N29" s="65" t="inlineStr">
        <is>
          <t>1) 시방 대조[도면 및 여건] • 관련법령: 전기통신사업법 제64조 수칙을 사전 대조 확인하였는가?
2) 업체 Pool[적격 업체] 철도/트램 시공 및 영업운행 실적이 입증된 적격 업체 Pool을 검토하였는가?</t>
        </is>
      </c>
      <c r="O29" s="155">
        <f>HYPERLINK("매뉴얼BODY(집행단계-첨부폴더)v8\9.통신분야\27_영업시운전\체크리스트\9000-2-27_영업시운전_체크리스트.html", "👉 [클릭] 체크리스트 열기 📄")</f>
        <v/>
      </c>
      <c r="P29" s="61" t="n"/>
      <c r="Q29" s="66" t="inlineStr">
        <is>
          <t>● 전기통신사업법 제64조</t>
        </is>
      </c>
      <c r="R29" s="67" t="inlineStr">
        <is>
          <t>1) 👉 [더블클릭] 체크리스트 열기 📄</t>
        </is>
      </c>
      <c r="S29" s="64" t="n"/>
    </row>
    <row r="30" ht="115.2" customHeight="1" s="148">
      <c r="A30" s="55" t="inlineStr">
        <is>
          <t>9000</t>
        </is>
      </c>
      <c r="B30" s="55" t="inlineStr">
        <is>
          <t>9000-2</t>
        </is>
      </c>
      <c r="C30" s="55" t="inlineStr">
        <is>
          <t>통신분야</t>
        </is>
      </c>
      <c r="D30" s="55" t="inlineStr">
        <is>
          <t>9000-2-29</t>
        </is>
      </c>
      <c r="E30" s="55" t="inlineStr">
        <is>
          <t>LTE-R 무선국허가</t>
        </is>
      </c>
      <c r="F30" s="55" t="inlineStr">
        <is>
          <t>발주처</t>
        </is>
      </c>
      <c r="G30" s="54" t="inlineStr">
        <is>
          <t>무선국 설치 후 사용을 위한 법적 허가 취득</t>
        </is>
      </c>
      <c r="H30" s="58" t="inlineStr">
        <is>
          <t>- 무선국(LTE-R) 설치 후 중앙전파관리소에 신청서, 시설개요서, 공사설계서 제출 (처리기간 14일)</t>
        </is>
      </c>
      <c r="I30" s="55" t="inlineStr">
        <is>
          <t>무선국허가증</t>
        </is>
      </c>
      <c r="J30" s="65" t="inlineStr">
        <is>
          <t>1) 전파법 제19조에 의거한 철도무선통신망(LTE-R) 무선국 개설허가 신청서 제출
2) KCA(한국방송통신전파진흥원) 제출 및 무선국 개설허가서 획득 표준 적용</t>
        </is>
      </c>
      <c r="K30" s="155">
        <f>HYPERLINK("매뉴얼BODY(집행단계-첨부폴더)v8\9.통신분야\28_자가용전기통신설비 설치신고\표준서\자가용전기통신설비 설치신고_표준서.html", "👉 [클릭] 표준서 열기 📄")</f>
        <v/>
      </c>
      <c r="L30" s="65" t="inlineStr">
        <is>
          <t>1) 허가 신청 절차: 전파법 제19조에 따른 LTE-R 무선국 개설허가 신청서, 안테나 제원표 및 기지국 좌표 작성
2) 무선국 허가 획득: KCA(한국방송통신전파진흥원) 서류 심사 수검 및 무선국 개설허가서 최종 발급</t>
        </is>
      </c>
      <c r="M30" s="155">
        <f>HYPERLINK("매뉴얼BODY(집행단계-첨부폴더)v8\9.통신분야\28_자가용전기통신설비 설치신고\수행지침\자가용전기통신설비 설치신고_수행지침.html", "👉 [클릭] 수행지침 열기 📄")</f>
        <v/>
      </c>
      <c r="N30" s="65" t="inlineStr">
        <is>
          <t>1) 철도무선통신망 700MHz 대역(718~728MHz/773~783MHz) 주파수 할당 조건을 확인하였는가?
2) 본선 지상 기지국 안테나 설치 위치, 높이, 이득(dBi) 및 지향각 제원을 조사하였는가?</t>
        </is>
      </c>
      <c r="O30" s="155">
        <f>HYPERLINK("매뉴얼BODY(집행단계-첨부폴더)v8\9.통신분야\28_자가용전기통신설비 설치신고\체크리스트\9000-2-28_자가용전기통신설비 설치신고_체크리스트.html", "👉 [클릭] 체크리스트 열기 📄")</f>
        <v/>
      </c>
      <c r="P30" s="61" t="n"/>
      <c r="Q30" s="66" t="inlineStr">
        <is>
          <t>● 전파법 제19조</t>
        </is>
      </c>
      <c r="R30" s="67" t="inlineStr">
        <is>
          <t>1) 👉 [더블클릭] 체크리스트 열기 📄</t>
        </is>
      </c>
      <c r="S30" s="64" t="n"/>
    </row>
    <row r="31" ht="115.2" customHeight="1" s="148">
      <c r="A31" s="55" t="inlineStr">
        <is>
          <t>9000</t>
        </is>
      </c>
      <c r="B31" s="55" t="inlineStr">
        <is>
          <t>9000-2</t>
        </is>
      </c>
      <c r="C31" s="55" t="inlineStr">
        <is>
          <t>통신분야</t>
        </is>
      </c>
      <c r="D31" s="55" t="inlineStr">
        <is>
          <t>9000-2-30</t>
        </is>
      </c>
      <c r="E31" s="55" t="inlineStr">
        <is>
          <t>LTE-R 상호운용성 및 보안적합성 검증</t>
        </is>
      </c>
      <c r="F31" s="55" t="inlineStr">
        <is>
          <t>시공사</t>
        </is>
      </c>
      <c r="G31" s="54" t="inlineStr">
        <is>
          <t>무선 장비의 보안성 및 타 기관 상호운용성 검증</t>
        </is>
      </c>
      <c r="H31" s="58" t="inlineStr">
        <is>
          <t>- 한국정보통신기술협회에 시험결과서 제출하여 검증 진행 (처리기간 1개월)</t>
        </is>
      </c>
      <c r="I31" s="55" t="inlineStr">
        <is>
          <t>상호운용성,보안적합성 시험 인증서</t>
        </is>
      </c>
      <c r="J31" s="65" t="inlineStr">
        <is>
          <t>1) 국토교통부 지침 및 국가용 보안요구사항에 의거한 LTE-R 상호운용성/보안적합성 검증
2) 국가정보원/KISA 보안 적합성 검증 승인서 및 상호연동 시험 합격 표준 적용</t>
        </is>
      </c>
      <c r="K31" s="155">
        <f>HYPERLINK("매뉴얼BODY(집행단계-첨부폴더)v8\9.통신분야\29_LTE-R 무선국 허가\표준서\LTE-R 무선국 허가_표준서.html", "👉 [클릭] 표준서 열기 📄")</f>
        <v/>
      </c>
      <c r="L31" s="65" t="inlineStr">
        <is>
          <t>1) 검증 시험 절차: 국토교통부 LTE-R 상호운용성 시험 및 국가용 보안요구사항 기반 네트워크 보안적합성 검증
2) 보안 승인 획득: KISA/국가정보원 보안 적합성 검증 수검 및 상호운용성 검증 합격 승인서 획득</t>
        </is>
      </c>
      <c r="M31" s="155">
        <f>HYPERLINK("매뉴얼BODY(집행단계-첨부폴더)v8\9.통신분야\29_LTE-R 무선국 허가\수행지침\LTE-R 무선국 허가_수행지침.html", "👉 [클릭] 수행지침 열기 📄")</f>
        <v/>
      </c>
      <c r="N31" s="65" t="inlineStr">
        <is>
          <t>1) 시방 대조[도면 및 여건] 관련법령: 국가철도공단 표준규격(KRSA) 수칙을 사전 대조 확인하였는가?
2) 업체 Pool[적격 업체] 철도/트램 시공 및 영업운행 실적이 입증된 적격 업체 Pool을 검토하였는가?</t>
        </is>
      </c>
      <c r="O31" s="155">
        <f>HYPERLINK("매뉴얼BODY(집행단계-첨부폴더)v8\9.통신분야\29_LTE-R 무선국 허가\체크리스트\LTE-R 무선국 허가_체크리스트.html", "👉 [클릭] 체크리스트 열기 📄")</f>
        <v/>
      </c>
      <c r="P31" s="61" t="n"/>
      <c r="Q31" s="66" t="inlineStr">
        <is>
          <t>● 국가철도공단 표준규격(KRSA) 5007-R3 / 5008-R2</t>
        </is>
      </c>
      <c r="R31" s="67" t="inlineStr">
        <is>
          <t>1) 👉 [더블클릭] 체크리스트 열기 📄</t>
        </is>
      </c>
      <c r="S31" s="64" t="n"/>
    </row>
    <row r="32" ht="115.2" customHeight="1" s="148">
      <c r="A32" s="55" t="inlineStr">
        <is>
          <t>9000</t>
        </is>
      </c>
      <c r="B32" s="55" t="inlineStr">
        <is>
          <t>9000-2</t>
        </is>
      </c>
      <c r="C32" s="55" t="inlineStr">
        <is>
          <t>통신분야</t>
        </is>
      </c>
      <c r="D32" s="55" t="inlineStr">
        <is>
          <t>9000-2-31</t>
        </is>
      </c>
      <c r="E32" s="55" t="inlineStr">
        <is>
          <t>정보통신사용전검사</t>
        </is>
      </c>
      <c r="F32" s="55" t="inlineStr">
        <is>
          <t>시공사</t>
        </is>
      </c>
      <c r="G32" s="54" t="inlineStr">
        <is>
          <t>시공 완료된 정보통신설비의 준공 전 사용 적합성 검증</t>
        </is>
      </c>
      <c r="H32" s="58" t="inlineStr">
        <is>
          <t>- 관할 시청/구청에 사용전검사 신청서와 준공설계도서 제출 (처리기간 14일)</t>
        </is>
      </c>
      <c r="I32" s="55" t="inlineStr">
        <is>
          <t>정보통신사용전검사 필증</t>
        </is>
      </c>
      <c r="J32" s="65" t="inlineStr">
        <is>
          <t>1) 정보통신공사업법 제36조에 의거한 구내 통신 및 정보통신설비 사용전검사 신청
2) 관할 지자체 현장 검측 수검 및 정보통신 사용전검사 필증 획득 표준 적용</t>
        </is>
      </c>
      <c r="K32" s="155">
        <f>HYPERLINK("매뉴얼BODY(집행단계-첨부폴더)v8\9.통신분야\29_LTE-R 무선국허가\표준서\LTE-R 무선국허가_표준서.html", "👉 [클릭] 표준서 열기 📄")</f>
        <v/>
      </c>
      <c r="L32" s="65" t="inlineStr">
        <is>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is>
      </c>
      <c r="M32" s="155">
        <f>HYPERLINK("매뉴얼BODY(집행단계-첨부폴더)v8\9.통신분야\29_LTE-R 무선국허가\수행지침\LTE-R 무선국허가_수행지침.html", "👉 [클릭] 수행지침 열기 📄")</f>
        <v/>
      </c>
      <c r="N32" s="65" t="inlineStr">
        <is>
          <t>1) 구내 UTP 랜선 전수에 대해 케이블 테스터 계측 Pass 100%를 달성하였는가?
2) 정거장 승강장 및 관제동 배관 입상부 배관 씰링 및 네임택 표기 상태를 확인하였는가?</t>
        </is>
      </c>
      <c r="O32" s="155">
        <f>HYPERLINK("매뉴얼BODY(집행단계-첨부폴더)v8\9.통신분야\29_LTE-R 무선국허가\체크리스트\9000-2-29_LTE-R 무선국허가_체크리스트.html", "👉 [클릭] 체크리스트 열기 📄")</f>
        <v/>
      </c>
      <c r="P32" s="61" t="n"/>
      <c r="Q32" s="66" t="inlineStr">
        <is>
          <t>● 정보통신공사법 제36조</t>
        </is>
      </c>
      <c r="R32" s="67" t="inlineStr">
        <is>
          <t>1) 👉 [더블클릭] 체크리스트 열기 📄</t>
        </is>
      </c>
      <c r="S32" s="64" t="n"/>
    </row>
    <row r="33" ht="115.2" customHeight="1" s="148">
      <c r="A33" s="55" t="inlineStr">
        <is>
          <t>9000</t>
        </is>
      </c>
      <c r="B33" s="55" t="inlineStr">
        <is>
          <t>9000-2</t>
        </is>
      </c>
      <c r="C33" s="55" t="inlineStr">
        <is>
          <t>통신분야</t>
        </is>
      </c>
      <c r="D33" s="55" t="inlineStr">
        <is>
          <t>9000-2-32</t>
        </is>
      </c>
      <c r="E33" s="55" t="inlineStr">
        <is>
          <t>LTE-R 무선국 준공검사</t>
        </is>
      </c>
      <c r="F33" s="55" t="inlineStr">
        <is>
          <t>발주처</t>
        </is>
      </c>
      <c r="G33" s="54" t="inlineStr">
        <is>
          <t>무선국 전파 특성 검증 및 준공 처리</t>
        </is>
      </c>
      <c r="H33" s="58" t="inlineStr">
        <is>
          <t>- 한국방송통신전파진흥원에 준공신고서, 안테나전력/주파수편차/불요발사강도 측정표, 안테나 Pattern 도표 제출 (처리기간 14일)</t>
        </is>
      </c>
      <c r="I33" s="55" t="inlineStr">
        <is>
          <t>LTE-R 무선국 준공검사 확인서</t>
        </is>
      </c>
      <c r="J33" s="65" t="inlineStr">
        <is>
          <t>1) 전파법 제24조에 의거한 KCA 무선국 준공검사 현장 실측 수검 실시
2) 무선 전계강도 및 준공 상태 검사 합격 후 무선국 준공검사 합격증명서 획득 표준 적용</t>
        </is>
      </c>
      <c r="K33" s="155">
        <f>HYPERLINK("매뉴얼BODY(집행단계-첨부폴더)v8\9.통신분야\30_LTE-R 상호운용성 및 보안적합성 검증\표준서\LTE-R 상호운용성 및 보안적합성 검증_표준서.html", "👉 [클릭] 표준서 열기 📄")</f>
        <v/>
      </c>
      <c r="L33" s="65" t="inlineStr">
        <is>
          <t>1) KCA 준공검측 수검: 전파법 제24조에 따른 KCA 무선국 준공검사 현장 무선 전계강도 및 스펙트럼 실측
2) 합격 증명 획득: 준공 실측 합격 판정 수검 및 KCA 무선국 준공검사 합격증명서 최종 발급 획득</t>
        </is>
      </c>
      <c r="M33" s="155">
        <f>HYPERLINK("매뉴얼BODY(집행단계-첨부폴더)v8\9.통신분야\30_LTE-R 상호운용성 및 보안적합성 검증\수행지침\LTE-R 상호운용성 및 보안적합성 검증_수행지침.html", "👉 [클릭] 수행지침 열기 📄")</f>
        <v/>
      </c>
      <c r="N33" s="65" t="inlineStr">
        <is>
          <t>1) 전파법 시행령 제38조 서식에 맞춘 무선국 준공신고서를 KCA에 제출하였는가?
2) 개설허가서 사본, 기지국 시공 내역서 및 안테나 제원표 구비를 완료하였는가?</t>
        </is>
      </c>
      <c r="O33" s="155">
        <f>HYPERLINK("매뉴얼BODY(집행단계-첨부폴더)v8\9.통신분야\30_LTE-R 상호운용성 및 보안적합성 검증\체크리스트\9000-2-30_LTE-R 상호운용성 및 보안적합성 검증_체크리스트.html", "👉 [클릭] 체크리스트 열기 📄")</f>
        <v/>
      </c>
      <c r="P33" s="61" t="n"/>
      <c r="Q33" s="66" t="inlineStr">
        <is>
          <t>● 전파법 제24조</t>
        </is>
      </c>
      <c r="R33" s="67" t="inlineStr">
        <is>
          <t>1) 👉 [더블클릭] 체크리스트 열기 📄</t>
        </is>
      </c>
      <c r="S33" s="64" t="n"/>
    </row>
  </sheetData>
  <printOptions horizontalCentered="1"/>
  <pageMargins left="0.7480314960629921" right="0.7480314960629921" top="0.984251968503937" bottom="0.984251968503937" header="0.5118110236220472" footer="0.5118110236220472"/>
  <pageSetup orientation="landscape" paperSize="8" scale="38" verticalDpi="0"/>
</worksheet>
</file>

<file path=xl/worksheets/sheet12.xml><?xml version="1.0" encoding="utf-8"?>
<worksheet xmlns="http://schemas.openxmlformats.org/spreadsheetml/2006/main">
  <sheetPr codeName="Sheet9">
    <tabColor rgb="FFFFFF00"/>
    <outlinePr summaryBelow="1" summaryRight="1"/>
    <pageSetUpPr/>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baseColWidth="8" defaultRowHeight="17.4"/>
  <cols>
    <col width="8.796875" customWidth="1" style="1" min="1" max="3"/>
    <col width="16" customWidth="1" style="2" min="4" max="4"/>
    <col width="27.69921875" customWidth="1" style="2" min="5" max="5"/>
    <col width="16.09765625" customWidth="1" style="2" min="6" max="6"/>
    <col width="26" customWidth="1" style="1" min="7" max="7"/>
    <col width="62.8984375" customWidth="1" style="1" min="8" max="8"/>
    <col width="28.69921875" customWidth="1" style="1" min="9" max="9"/>
    <col width="64.59765625" customWidth="1" style="1" min="10" max="10"/>
    <col width="12" customWidth="1" style="72" min="11" max="11"/>
    <col width="50" customWidth="1" style="72" min="12" max="12"/>
    <col width="10.19921875" customWidth="1" style="1" min="13" max="13"/>
    <col width="50.796875" customWidth="1" style="1" min="14" max="14"/>
    <col width="11.19921875" customWidth="1" style="72" min="15" max="15"/>
    <col width="16.69921875" customWidth="1" style="1" min="16" max="16"/>
    <col width="45" customWidth="1" style="1" min="17" max="35"/>
    <col width="8.796875" customWidth="1" style="1" min="36" max="70"/>
    <col width="8.796875" customWidth="1" style="1" min="71" max="16384"/>
  </cols>
  <sheetData>
    <row r="1" ht="31.2" customHeight="1" s="148">
      <c r="A1" s="7" t="inlineStr">
        <is>
          <t>L2 코드</t>
        </is>
      </c>
      <c r="B1" s="7" t="inlineStr">
        <is>
          <t>L3 코드</t>
        </is>
      </c>
      <c r="C1" s="7" t="inlineStr">
        <is>
          <t>L3 대공종명</t>
        </is>
      </c>
      <c r="D1" s="7" t="inlineStr">
        <is>
          <t>L4 코드</t>
        </is>
      </c>
      <c r="E1" s="7" t="inlineStr">
        <is>
          <t>작업단위 (Level 4 Task/Activity)</t>
        </is>
      </c>
      <c r="F1" s="7" t="inlineStr">
        <is>
          <t>주관</t>
        </is>
      </c>
      <c r="G1" s="7" t="inlineStr">
        <is>
          <t>목적</t>
        </is>
      </c>
      <c r="H1" s="7" t="inlineStr">
        <is>
          <t>방법</t>
        </is>
      </c>
      <c r="I1" s="63" t="inlineStr">
        <is>
          <t>산출물(결과)</t>
        </is>
      </c>
      <c r="J1" s="63" t="inlineStr">
        <is>
          <t>표준서 (Standard) 요약</t>
        </is>
      </c>
      <c r="K1" s="6" t="inlineStr">
        <is>
          <t>표준서 파일 (HTML)</t>
        </is>
      </c>
      <c r="L1" s="63" t="inlineStr">
        <is>
          <t>수행지침 (Guideline) 요약</t>
        </is>
      </c>
      <c r="M1" s="6" t="inlineStr">
        <is>
          <t>수행지침 파일 (HTML)</t>
        </is>
      </c>
      <c r="N1" s="63" t="inlineStr">
        <is>
          <t>체크리스트 (Checklist) 요약</t>
        </is>
      </c>
      <c r="O1" s="6" t="inlineStr">
        <is>
          <t>체크리스트 파일 (HTML)</t>
        </is>
      </c>
      <c r="P1" s="7" t="inlineStr">
        <is>
          <t>비고</t>
        </is>
      </c>
      <c r="Q1" s="9" t="inlineStr">
        <is>
          <t>첨부서류 연계 상세 설계기준</t>
        </is>
      </c>
      <c r="R1" s="9" t="inlineStr">
        <is>
          <t>집행단계 리스크 체크리스트</t>
        </is>
      </c>
      <c r="S1" s="9" t="inlineStr">
        <is>
          <t>협력사 시공/공사관리 자문</t>
        </is>
      </c>
    </row>
    <row r="2" ht="184.8" customHeight="1" s="148">
      <c r="A2" s="55" t="inlineStr">
        <is>
          <t>9000</t>
        </is>
      </c>
      <c r="B2" s="55" t="inlineStr">
        <is>
          <t>9000-3</t>
        </is>
      </c>
      <c r="C2" s="70" t="inlineStr">
        <is>
          <t>전기분야</t>
        </is>
      </c>
      <c r="D2" s="55" t="inlineStr">
        <is>
          <t>9000-3-1</t>
        </is>
      </c>
      <c r="E2" s="55" t="inlineStr">
        <is>
          <t>설계적정성 검토</t>
        </is>
      </c>
      <c r="F2" s="55" t="inlineStr">
        <is>
          <t>현장 공무팀</t>
        </is>
      </c>
      <c r="G2" s="54" t="inlineStr">
        <is>
          <t>설계적정성 및 시공성 검토</t>
        </is>
      </c>
      <c r="H2" s="56" t="inlineStr">
        <is>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is>
      </c>
      <c r="I2" s="54" t="inlineStr">
        <is>
          <t>회의록, 설계검토 보고서</t>
        </is>
      </c>
      <c r="J2" s="70" t="inlineStr">
        <is>
          <t>"전기공사업법, 전기사업법, 한국전기설비규정(KEC), 도로법(점용허가) 및 산업안전보건법 준수 여부를 1:1 검토한다."</t>
        </is>
      </c>
      <c r="K2" s="155">
        <f>HYPERLINK("매뉴얼BODY(집행단계-첨부폴더)v8\8.전기분야\1_설계적정성 검토\표준서\설계적정성 검토_표준서.html", "👉 [클릭] 표준서 열기 📄")</f>
        <v/>
      </c>
      <c r="L2" s="70" t="inlineStr">
        <is>
          <t>본 지침서는 동탄트램 전기분야 사업 착공 전설계도서의 기술적·법적 적정성 검토 방법과현장 여건, 타공종 간섭, 공법·장비 시공성(Constructability) 검토 절차를 명확히 제시하여, 시공 위험 요소는 사전에 헷지(H...</t>
        </is>
      </c>
      <c r="M2" s="155">
        <f>HYPERLINK("매뉴얼BODY(집행단계-첨부폴더)v8\8.전기분야\1_설계적정성 검토\수행지침\설계적정성 검토_수행지침.html", "👉 [클릭] 수행지침 열기 📄")</f>
        <v/>
      </c>
      <c r="N2" s="70" t="inlineStr">
        <is>
          <t>본 체크리스트는 철도설계기준(KDS 47 00 00) 및 전기사업법에 의거하여,전기 분야 전반(송변전, 전력, 전차선, 배전, 접지, 인허가 등)에 대한 핵심 설계 적정성을 점검하고, 리스크(Risk) 헷지 및 기회(Oppo...</t>
        </is>
      </c>
      <c r="O2" s="155">
        <f>HYPERLINK("매뉴얼BODY(집행단계-첨부폴더)v8\8.전기분야\1_설계적정성 검토\체크리스트\설계적정성 검토_체크리스트.html", "👉 [클릭] 체크리스트 열기 📄")</f>
        <v/>
      </c>
      <c r="P2" s="10" t="n"/>
      <c r="Q2" s="71" t="n"/>
      <c r="R2" s="71" t="n"/>
      <c r="S2" s="71" t="n"/>
    </row>
    <row r="3" ht="245.4" customHeight="1" s="148">
      <c r="A3" s="55" t="inlineStr">
        <is>
          <t>9000</t>
        </is>
      </c>
      <c r="B3" s="55" t="inlineStr">
        <is>
          <t>9000-3</t>
        </is>
      </c>
      <c r="C3" s="70" t="inlineStr">
        <is>
          <t>전기분야</t>
        </is>
      </c>
      <c r="D3" s="55" t="inlineStr">
        <is>
          <t>9000-3-2</t>
        </is>
      </c>
      <c r="E3" s="55" t="inlineStr">
        <is>
          <t>발주전략 KOM</t>
        </is>
      </c>
      <c r="F3" s="55" t="inlineStr">
        <is>
          <t>현장소장</t>
        </is>
      </c>
      <c r="G3" s="54" t="inlineStr">
        <is>
          <t>노면전차설비 공사 발주 전략수립</t>
        </is>
      </c>
      <c r="H3" s="56" t="inlineStr">
        <is>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is>
      </c>
      <c r="I3" s="54" t="inlineStr">
        <is>
          <t>KOM 검토결과서, 현장설명서</t>
        </is>
      </c>
      <c r="J3" s="70" t="inlineStr">
        <is>
          <t>공정표 대비 노면전차 특수자재(전차선 강성가선, 변압기 등)의 공장 제작/조달 Lead Time을 사전 반영함.</t>
        </is>
      </c>
      <c r="K3" s="155">
        <f>HYPERLINK("매뉴얼BODY(집행단계-첨부폴더)v8\8.전기분야\2_발주전략 KOM\표준서\발주전략 KOM_표준서.html", "👉 [클릭] 표준서 열기 📄")</f>
        <v/>
      </c>
      <c r="L3" s="70" t="inlineStr">
        <is>
          <t>본 지침서는 동탄트램 노면전차설비 공사 발주 전설계 및 현장 여건을 정밀 파악하고 8대 현실조건(자재 제작 Lead Time, 철도/경전철 시공 실적 Pool, 예비품, 시공중/후 운전 및 교육지원, 현장 자재창고 임대료, ...</t>
        </is>
      </c>
      <c r="M3" s="155">
        <f>HYPERLINK("매뉴얼BODY(집행단계-첨부폴더)v8\8.전기분야\2_발주전략 KOM\수행지침\발주전략 KOM_수행지침.html", "👉 [클릭] 수행지침 열기 📄")</f>
        <v/>
      </c>
      <c r="N3" s="70" t="inlineStr">
        <is>
          <t>본 체크리스트는 동탄트램 노면전차설비 공사 발주 착수 전8대 현실조건(자재 Lead Time, 시공 실적 Pool, 예비품, 시공중/후 교육 및 기술지원, 현장 자재창고 임대료, 가설 전원/용수/청소, 개통 후 상주 기술지원...</t>
        </is>
      </c>
      <c r="O3" s="155">
        <f>HYPERLINK("매뉴얼BODY(집행단계-첨부폴더)v8\8.전기분야\2_발주전략 KOM\체크리스트\발주전략 KOM_체크리스트.html", "👉 [클릭] 체크리스트 열기 📄")</f>
        <v/>
      </c>
      <c r="P3" s="10" t="n"/>
      <c r="Q3" s="71" t="n"/>
      <c r="R3" s="71" t="n"/>
      <c r="S3" s="71" t="n"/>
    </row>
    <row r="4" ht="163.8" customHeight="1" s="148">
      <c r="A4" s="55" t="inlineStr">
        <is>
          <t>9000</t>
        </is>
      </c>
      <c r="B4" s="55" t="inlineStr">
        <is>
          <t>9000-3</t>
        </is>
      </c>
      <c r="C4" s="70" t="inlineStr">
        <is>
          <t>전기분야</t>
        </is>
      </c>
      <c r="D4" s="55" t="inlineStr">
        <is>
          <t>9000-3-3</t>
        </is>
      </c>
      <c r="E4" s="55" t="inlineStr">
        <is>
          <t>토목 / 건축 인터페이스 협의</t>
        </is>
      </c>
      <c r="F4" s="55" t="inlineStr">
        <is>
          <t>현장 전철전력팀</t>
        </is>
      </c>
      <c r="G4" s="54" t="inlineStr">
        <is>
          <t>전력설비 설치를 위한 요구사항 검토</t>
        </is>
      </c>
      <c r="H4" s="56" t="inlineStr">
        <is>
          <t>- 자재 반출입 동선/공동구/횡단관로/케이블 인입구 등 확인, 기능실마감 및 출입문 
   확인, 토목분야 선시공 자재관련 적정성 여부 확인</t>
        </is>
      </c>
      <c r="I4" s="54" t="inlineStr">
        <is>
          <t>인터페이스 회의록 및 관리대장</t>
        </is>
      </c>
      <c r="J4" s="70" t="inlineStr">
        <is>
          <t>"정류기, 변압기, ESS 대형 기자재 반입 동선, 출입문 유효 폭/높이(H x W) 및 양중 훅 위치 실측 검증"</t>
        </is>
      </c>
      <c r="K4" s="155">
        <f>HYPERLINK("매뉴얼BODY(집행단계-첨부폴더)v8\8.전기분야\3_토목 _ 건축 인터페이스 협의\표준서\토목 _ 건축 인터페이스 협의_표준서.html", "👉 [클릭] 표준서 열기 📄")</f>
        <v/>
      </c>
      <c r="L4" s="70" t="inlineStr">
        <is>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is>
      </c>
      <c r="M4" s="155">
        <f>HYPERLINK("매뉴얼BODY(집행단계-첨부폴더)v8\8.전기분야\3_토목 _ 건축 인터페이스 협의\수행지침\토목 _ 건축 인터페이스 협의_수행지침.html", "👉 [클릭] 수행지침 열기 📄")</f>
        <v/>
      </c>
      <c r="N4" s="70" t="inlineStr">
        <is>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is>
      </c>
      <c r="O4" s="155">
        <f>HYPERLINK("매뉴얼BODY(집행단계-첨부폴더)v8\8.전기분야\3_토목 _ 건축 인터페이스 협의\체크리스트\토목 _ 건축 인터페이스 협의_체크리스트.html", "👉 [클릭] 체크리스트 열기 📄")</f>
        <v/>
      </c>
      <c r="P4" s="10" t="n"/>
      <c r="Q4" s="71" t="n"/>
      <c r="R4" s="71" t="n"/>
      <c r="S4" s="71" t="n"/>
    </row>
    <row r="5" ht="139.2" customHeight="1" s="148">
      <c r="A5" s="55" t="inlineStr">
        <is>
          <t>9000</t>
        </is>
      </c>
      <c r="B5" s="55" t="inlineStr">
        <is>
          <t>9000-3</t>
        </is>
      </c>
      <c r="C5" s="70" t="inlineStr">
        <is>
          <t>전기분야</t>
        </is>
      </c>
      <c r="D5" s="55" t="inlineStr">
        <is>
          <t>9000-3-4</t>
        </is>
      </c>
      <c r="E5" s="55" t="inlineStr">
        <is>
          <t>신호 / 통신 / 기계 / PSD / 차량 인터페이스 협의</t>
        </is>
      </c>
      <c r="F5" s="55" t="inlineStr">
        <is>
          <t>현장 전철전력팀 / 전기 협력업체</t>
        </is>
      </c>
      <c r="G5" s="54" t="inlineStr">
        <is>
          <t>연계분야간 사전조율 및 인터페이스 사항 도출로 재작업 예방</t>
        </is>
      </c>
      <c r="H5" s="56" t="inlineStr">
        <is>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is>
      </c>
      <c r="I5" s="54" t="inlineStr">
        <is>
          <t>인터페이스 회의록 및 관리대장</t>
        </is>
      </c>
      <c r="J5" s="70" t="inlineStr">
        <is>
          <t>"신호, 통신, 기계, PSD 및 트램 차량 전력 공급 관로, 배선 용량 및 트레이 타공 누락 사항 정밀 추출"</t>
        </is>
      </c>
      <c r="K5" s="155">
        <f>HYPERLINK("매뉴얼BODY(집행단계-첨부폴더)v8\8.전기분야\4_신호 _ 통신 _ 기계 _ PSD _ 차량 인터페이스 협의\표준서\신호 _ 통신 _ 기계 _ PSD _ 차량 인터페이스 협의_표준서.html", "👉 [클릭] 표준서 열기 📄")</f>
        <v/>
      </c>
      <c r="L5" s="70" t="inlineStr">
        <is>
          <t>전기분야와 타공종(신호, 통신, 기계, PSD, 트램 차량) 간 인터페이스 설계도서 상 누락 및 협의사항 도출, 관로/배선/트레이/인터록 신호선 사전 조율을 통해 재작업을 원천 예방함</t>
        </is>
      </c>
      <c r="M5" s="155">
        <f>HYPERLINK("매뉴얼BODY(집행단계-첨부폴더)v8\8.전기분야\4_신호 _ 통신 _ 기계 _ PSD _ 차량 인터페이스 협의\수행지침\신호 _ 통신 _ 기계 _ PSD _ 차량 인터페이스 협의_수행지침.html", "👉 [클릭] 수행지침 열기 📄")</f>
        <v/>
      </c>
      <c r="N5" s="70" t="inlineStr">
        <is>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is>
      </c>
      <c r="O5" s="155">
        <f>HYPERLINK("매뉴얼BODY(집행단계-첨부폴더)v8\8.전기분야\4_신호 _ 통신 _ 기계 _ PSD _ 차량 인터페이스 협의\체크리스트\신호 _ 통신 _ 기계 _ PSD _ 차량 인터페이스 협의_체크리스트.html", "👉 [클릭] 체크리스트 열기 📄")</f>
        <v/>
      </c>
      <c r="P5" s="10" t="n"/>
      <c r="Q5" s="71" t="n"/>
      <c r="R5" s="71" t="n"/>
      <c r="S5" s="71" t="n"/>
    </row>
    <row r="6" ht="139.2" customHeight="1" s="148">
      <c r="A6" s="55" t="inlineStr">
        <is>
          <t>9000</t>
        </is>
      </c>
      <c r="B6" s="55" t="inlineStr">
        <is>
          <t>9000-3</t>
        </is>
      </c>
      <c r="C6" s="70" t="inlineStr">
        <is>
          <t>전기분야</t>
        </is>
      </c>
      <c r="D6" s="55" t="inlineStr">
        <is>
          <t>9000-3-5</t>
        </is>
      </c>
      <c r="E6" s="55" t="inlineStr">
        <is>
          <t>전기설비 제작사 인터페이스 협의</t>
        </is>
      </c>
      <c r="F6" s="55" t="inlineStr">
        <is>
          <t>현장 전철전력팀</t>
        </is>
      </c>
      <c r="G6" s="54" t="inlineStr">
        <is>
          <t>전기설비간 연동방안 검토</t>
        </is>
      </c>
      <c r="H6" s="54" t="inlineStr">
        <is>
          <t>- 내부 인터페이스 및 인허가사항 확인</t>
        </is>
      </c>
      <c r="I6" s="54" t="inlineStr">
        <is>
          <t>인터페이스 회의록 및 관리대장 , 보안성검토 요청서</t>
        </is>
      </c>
      <c r="J6" s="70" t="inlineStr">
        <is>
          <t>"SCADA RTU, 변전소 GIS, 정류기, ESS 릴레이 간 IEC 61850 및 Modbus 통신 핀 맵/신호 주소 1:1 검증"</t>
        </is>
      </c>
      <c r="K6" s="155">
        <f>HYPERLINK("매뉴얼BODY(집행단계-첨부폴더)v8\8.전기분야\5_전기설비 제작사 인터페이스 협의\표준서\전기설비 제작사 인터페이스 협의_표준서.html", "👉 [클릭] 표준서 열기 📄")</f>
        <v/>
      </c>
      <c r="L6" s="70" t="inlineStr">
        <is>
          <t>전기설비(변압기, 정류기, ESS, GIS, SCADA RTU) 제작사 사양 사전 반영, 이종 제작사 간 통신 프로토콜(IEC 61850, Modbus) 핀 맵/제어 랙 치수 조율 및 제작사양서 확정</t>
        </is>
      </c>
      <c r="M6" s="155">
        <f>HYPERLINK("매뉴얼BODY(집행단계-첨부폴더)v8\8.전기분야\5_전기설비 제작사 인터페이스 협의\수행지침\전기설비 제작사 인터페이스 협의_수행지침.html", "👉 [클릭] 수행지침 열기 📄")</f>
        <v/>
      </c>
      <c r="N6" s="70" t="inlineStr">
        <is>
          <t>본 체크리스트는 동탄트램 전기분야 시공 착수 전전기설비(변압기, 정류기, ESS, GIS, SCADA RTU) 제작사 사양 사전 반영, 이종 제작사 간 통신 프로토콜(IEC 61850, Modbus) 핀 맵/제어 랙 치수 조...</t>
        </is>
      </c>
      <c r="O6" s="155">
        <f>HYPERLINK("매뉴얼BODY(집행단계-첨부폴더)v8\8.전기분야\5_전기설비 제작사 인터페이스 협의\체크리스트\전기설비 제작사 인터페이스 협의_체크리스트.html", "👉 [클릭] 체크리스트 열기 📄")</f>
        <v/>
      </c>
      <c r="P6" s="10" t="n"/>
      <c r="Q6" s="71" t="n"/>
      <c r="R6" s="71" t="n"/>
      <c r="S6" s="71" t="n"/>
    </row>
    <row r="7" ht="139.2" customHeight="1" s="148">
      <c r="A7" s="55" t="inlineStr">
        <is>
          <t>9000</t>
        </is>
      </c>
      <c r="B7" s="55" t="inlineStr">
        <is>
          <t>9000-3</t>
        </is>
      </c>
      <c r="C7" s="70" t="inlineStr">
        <is>
          <t>전기분야</t>
        </is>
      </c>
      <c r="D7" s="55" t="inlineStr">
        <is>
          <t>9000-3-6</t>
        </is>
      </c>
      <c r="E7" s="55" t="inlineStr">
        <is>
          <t>관제 및 운영사 인터페이스 협의</t>
        </is>
      </c>
      <c r="F7" s="55" t="inlineStr">
        <is>
          <t>현장 전철전력팀 / 전기 협력업체</t>
        </is>
      </c>
      <c r="G7" s="54" t="inlineStr">
        <is>
          <t>관제 및 운영사 요구사항 사전 반영 및 과업범위 최적화</t>
        </is>
      </c>
      <c r="H7" s="56" t="inlineStr">
        <is>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is>
      </c>
      <c r="I7" s="54" t="inlineStr">
        <is>
          <t>인터페이스 회의록 및 관리대장</t>
        </is>
      </c>
      <c r="J7" s="70" t="inlineStr">
        <is>
          <t>"지자체(수원시, 화성시) 도로교통관제 센터와 트램 우선신호 제어기 간 통신 인터페이스 및 연동 협의"</t>
        </is>
      </c>
      <c r="K7" s="155">
        <f>HYPERLINK("매뉴얼BODY(집행단계-첨부폴더)v8\8.전기분야\6_관제 및 운영사 인터페이스 협의\표준서\관제 및 운영사 인터페이스 협의_표준서.html", "👉 [클릭] 표준서 열기 📄")</f>
        <v/>
      </c>
      <c r="L7" s="70" t="inlineStr">
        <is>
          <t>수원시/동탄 도로교통관제 트램 우선신호 연동, 트램관제실(OCC) SCADA MMI 심볼 표준화, 차단기/단로기/접지스위치 안전 인터록 Logic 및 유지보수자 편의 기능 사전 협의</t>
        </is>
      </c>
      <c r="M7" s="155">
        <f>HYPERLINK("매뉴얼BODY(집행단계-첨부폴더)v8\8.전기분야\6_관제 및 운영사 인터페이스 협의\수행지침\관제 및 운영사 인터페이스 협의_수행지침.html", "👉 [클릭] 수행지침 열기 📄")</f>
        <v/>
      </c>
      <c r="N7" s="70" t="inlineStr">
        <is>
          <t>본 체크리스트는 동탄트램 전기분야 시공 착수 전수원시/동탄 도로교통관제 트램 우선신호 연동, 트램관제실(OCC) SCADA MMI 심볼 표준화, 차단기/단로기/접지스위치 안전 인터록 Logic 및 유지보수자 편의 기능 사전 ...</t>
        </is>
      </c>
      <c r="O7" s="155">
        <f>HYPERLINK("매뉴얼BODY(집행단계-첨부폴더)v8\8.전기분야\6_관제 및 운영사 인터페이스 협의\체크리스트\관제 및 운영사 인터페이스 협의_체크리스트.html", "👉 [클릭] 체크리스트 열기 📄")</f>
        <v/>
      </c>
      <c r="P7" s="10" t="n"/>
      <c r="Q7" s="71" t="n"/>
      <c r="R7" s="71" t="n"/>
      <c r="S7" s="71" t="n"/>
    </row>
    <row r="8" ht="139.2" customHeight="1" s="148">
      <c r="A8" s="55" t="inlineStr">
        <is>
          <t>9000</t>
        </is>
      </c>
      <c r="B8" s="55" t="inlineStr">
        <is>
          <t>9000-3</t>
        </is>
      </c>
      <c r="C8" s="70" t="inlineStr">
        <is>
          <t>전기분야</t>
        </is>
      </c>
      <c r="D8" s="55" t="inlineStr">
        <is>
          <t>9000-3-7</t>
        </is>
      </c>
      <c r="E8" s="55" t="inlineStr">
        <is>
          <t>발주처 품질 요구사항 검토</t>
        </is>
      </c>
      <c r="F8" s="55" t="inlineStr">
        <is>
          <t>현장 전철전력팀</t>
        </is>
      </c>
      <c r="G8" s="54" t="inlineStr">
        <is>
          <t>발주처 품질관리 기준/검사방안 확인</t>
        </is>
      </c>
      <c r="H8" s="54" t="inlineStr">
        <is>
          <t>- 감리/감독과 품질검사(ITP/ITC) 항목 검토</t>
        </is>
      </c>
      <c r="I8" s="54" t="inlineStr">
        <is>
          <t>ITP/ITC</t>
        </is>
      </c>
      <c r="J8" s="70" t="inlineStr">
        <is>
          <t>"감리/감독원 입회 품질검측계획서(ITP: Inspection &amp; Test Plan) 작성 및 Hold Point(필수정지점) / Witness Point(입회점) 구분 명시"</t>
        </is>
      </c>
      <c r="K8" s="155">
        <f>HYPERLINK("매뉴얼BODY(집행단계-첨부폴더)v8\8.전기분야\7_발주처 품질 요구사항 검토\표준서\발주처 품질 요구사항 검토_표준서.html", "👉 [클릭] 표준서 열기 📄")</f>
        <v/>
      </c>
      <c r="L8" s="70" t="inlineStr">
        <is>
          <t>감리/감독원 품질검사(ITP/ITC) 항목 검토, Hold Point/Witness Point 입회점 구분 수립, 현장 계측기 교정성적서 관리 및 불합격 자재 48시간 내 반출 통제 수칙</t>
        </is>
      </c>
      <c r="M8" s="155">
        <f>HYPERLINK("매뉴얼BODY(집행단계-첨부폴더)v8\8.전기분야\7_발주처 품질 요구사항 검토\수행지침\발주처 품질 요구사항 검토_수행지침.html", "👉 [클릭] 수행지침 열기 📄")</f>
        <v/>
      </c>
      <c r="N8" s="70" t="inlineStr">
        <is>
          <t>본 체크리스트는 동탄트램 전기분야 업무 이행에 대해감리/감독원 품질검사(ITP/ITC) 항목 검토, Hold Point/Witness Point 입회점 구분 수립, 현장 계측기 교정성적서 관리 및 불합격 자재 48시간 내 반...</t>
        </is>
      </c>
      <c r="O8" s="155">
        <f>HYPERLINK("매뉴얼BODY(집행단계-첨부폴더)v8\8.전기분야\7_발주처 품질 요구사항 검토\체크리스트\발주처 품질 요구사항 검토_체크리스트.html", "👉 [클릭] 체크리스트 열기 📄")</f>
        <v/>
      </c>
      <c r="P8" s="10" t="n"/>
      <c r="Q8" s="71" t="n"/>
      <c r="R8" s="71" t="n"/>
      <c r="S8" s="71" t="n"/>
    </row>
    <row r="9" ht="139.2" customHeight="1" s="148">
      <c r="A9" s="55" t="inlineStr">
        <is>
          <t>9000</t>
        </is>
      </c>
      <c r="B9" s="55" t="inlineStr">
        <is>
          <t>9000-3</t>
        </is>
      </c>
      <c r="C9" s="70" t="inlineStr">
        <is>
          <t>전기분야</t>
        </is>
      </c>
      <c r="D9" s="55" t="inlineStr">
        <is>
          <t>9000-3-8</t>
        </is>
      </c>
      <c r="E9" s="55" t="inlineStr">
        <is>
          <t>자재 / 인원 / 장비 등 투입 사전 검토</t>
        </is>
      </c>
      <c r="F9" s="55" t="inlineStr">
        <is>
          <t>현장 전철전력팀 / 협력업체 / 관리</t>
        </is>
      </c>
      <c r="G9" s="54" t="inlineStr">
        <is>
          <t>자재 / 인원 / 장비 투입 계획 수립</t>
        </is>
      </c>
      <c r="H9" s="56" t="inlineStr">
        <is>
          <t>- 현장 여건 및 수량을 기준으로 투입(인력, 장비, 자재)을 검토</t>
        </is>
      </c>
      <c r="I9" s="54" t="inlineStr">
        <is>
          <t>세부 공정계획 수립 및 조율</t>
        </is>
      </c>
      <c r="J9" s="70" t="inlineStr">
        <is>
          <t>"변압기, GIS, 정류기, ESS, 전차선 등 주요 전기자재 공장 제작 및 수급 소요 기간(Lead Time 30~60일)을 공정표와 사전 연동 통제"</t>
        </is>
      </c>
      <c r="K9" s="155">
        <f>HYPERLINK("매뉴얼BODY(집행단계-첨부폴더)v8\8.전기분야\8_자재 _ 인원 _ 장비 등 투입 사전 검토\표준서\자재 _ 인원 _ 장비 등 투입 사전 검토_표준서.html", "👉 [클릭] 표준서 열기 📄")</f>
        <v/>
      </c>
      <c r="L9" s="70" t="inlineStr">
        <is>
          <t>현장 여건 및 공정을 기준으로 주요 자재 Lead Time(30~60일) 사전 발주 검증, 한국전기공사협회 기술자 자격 실물 대조, 고소작업차 안전검사합격증 확인 및 투입계획서 승인</t>
        </is>
      </c>
      <c r="M9" s="155">
        <f>HYPERLINK("매뉴얼BODY(집행단계-첨부폴더)v8\8.전기분야\8_자재 _ 인원 _ 장비 등 투입 사전 검토\수행지침\자재 _ 인원 _ 장비 등 투입 사전 검토_수행지침.html", "👉 [클릭] 수행지침 열기 📄")</f>
        <v/>
      </c>
      <c r="N9" s="70" t="inlineStr">
        <is>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is>
      </c>
      <c r="O9" s="155">
        <f>HYPERLINK("매뉴얼BODY(집행단계-첨부폴더)v8\8.전기분야\8_자재 _ 인원 _ 장비 등 투입 사전 검토\체크리스트\자재 _ 인원 _ 장비 등 투입 사전 검토_체크리스트.html", "👉 [클릭] 체크리스트 열기 📄")</f>
        <v/>
      </c>
      <c r="P9" s="10" t="n"/>
      <c r="Q9" s="71" t="n"/>
      <c r="R9" s="71" t="n"/>
      <c r="S9" s="71" t="n"/>
    </row>
    <row r="10" ht="139.2" customHeight="1" s="148">
      <c r="A10" s="55" t="inlineStr">
        <is>
          <t>9000</t>
        </is>
      </c>
      <c r="B10" s="55" t="inlineStr">
        <is>
          <t>9000-3</t>
        </is>
      </c>
      <c r="C10" s="70" t="inlineStr">
        <is>
          <t>전기분야</t>
        </is>
      </c>
      <c r="D10" s="55" t="inlineStr">
        <is>
          <t>9000-3-9</t>
        </is>
      </c>
      <c r="E10" s="55" t="inlineStr">
        <is>
          <t>인허가 준비</t>
        </is>
      </c>
      <c r="F10" s="55" t="inlineStr">
        <is>
          <t>현장 전철전력팀 / 협력업체</t>
        </is>
      </c>
      <c r="G10" s="54" t="inlineStr">
        <is>
          <t>관련법에 따른 인허가 수행</t>
        </is>
      </c>
      <c r="H10" s="56" t="inlineStr">
        <is>
          <t>- 인허가(전기사용신청, 공사계획신고, 도로점용허가, 도로공사 신고, 전기 사용전검사 등) 추진 계획을 To do list 작성하여 관리</t>
        </is>
      </c>
      <c r="I10" s="54" t="inlineStr">
        <is>
          <t>인허가 To do list</t>
        </is>
      </c>
      <c r="J10" s="70" t="inlineStr">
        <is>
          <t>"관할 한전에 수전 용량 계산서, 건축허가서, 22.9kV 수전 단선도 첨부 전기사용신청서 제출(처리기간 1개월) 및 인수점 지중 맨홀 협의"</t>
        </is>
      </c>
      <c r="K10" s="155">
        <f>HYPERLINK("매뉴얼BODY(집행단계-첨부폴더)v8\8.전기분야\9_인허가 준비\표준서\인허가 준비_표준서.html", "👉 [클릭] 표준서 열기 📄")</f>
        <v/>
      </c>
      <c r="L10" s="70" t="inlineStr">
        <is>
          <t>한전 22.9kV 수전 전기사용신청, 지자체 전기 공사계획신고, 도로점용허가(도로법 56조), 도로공사신고(도로교통법 69조) 및 KESC 사용전검사 인허가 To-Do List 추적 관리</t>
        </is>
      </c>
      <c r="M10" s="155">
        <f>HYPERLINK("매뉴얼BODY(집행단계-첨부폴더)v8\8.전기분야\9_인허가 준비\수행지침\인허가 준비_수행지침.html", "👉 [클릭] 수행지침 열기 📄")</f>
        <v/>
      </c>
      <c r="N10" s="70" t="inlineStr">
        <is>
          <t>본 체크리스트는 동탄트램 전기분야 업무 이행에 대해한전 22.9kV 수전 전기사용신청, 지자체 전기 공사계획신고, 도로점용허가(도로법 56조), 도로공사신고(도로교통법 69조) 및 KESC 사용전검사 인허가 To-Do Lis...</t>
        </is>
      </c>
      <c r="O10" s="155">
        <f>HYPERLINK("매뉴얼BODY(집행단계-첨부폴더)v8\8.전기분야\9_인허가 준비\체크리스트\인허가 준비_체크리스트.html", "👉 [클릭] 체크리스트 열기 📄")</f>
        <v/>
      </c>
      <c r="P10" s="10" t="n"/>
      <c r="Q10" s="71" t="n"/>
      <c r="R10" s="71" t="n"/>
      <c r="S10" s="71" t="n"/>
    </row>
    <row r="11" ht="226.2" customHeight="1" s="148">
      <c r="A11" s="55" t="inlineStr">
        <is>
          <t>9000</t>
        </is>
      </c>
      <c r="B11" s="55" t="inlineStr">
        <is>
          <t>9000-3</t>
        </is>
      </c>
      <c r="C11" s="70" t="inlineStr">
        <is>
          <t>전기분야</t>
        </is>
      </c>
      <c r="D11" s="55" t="inlineStr">
        <is>
          <t>9000-3-10</t>
        </is>
      </c>
      <c r="E11" s="55" t="inlineStr">
        <is>
          <t>착수 전 Big Room 회의</t>
        </is>
      </c>
      <c r="F11" s="55" t="inlineStr">
        <is>
          <t>현장소장</t>
        </is>
      </c>
      <c r="G11" s="54" t="inlineStr">
        <is>
          <t>전철전력공사 수행 시, 선행공정 간섭사항 및 각종 Risk에 대한 대책 수립</t>
        </is>
      </c>
      <c r="H11" s="54" t="inlineStr">
        <is>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is>
      </c>
      <c r="I11" s="54" t="inlineStr">
        <is>
          <t>Big Room 회의록(참석자 전원 서명)</t>
        </is>
      </c>
      <c r="J11" s="70" t="inlineStr">
        <is>
          <t>"노반(궤도), 신호, 통신, 기계, PSD, 차량 인터페이스 및 3D BIM 공간 간섭을 전면 사전 검토한다."</t>
        </is>
      </c>
      <c r="K11" s="155">
        <f>HYPERLINK("매뉴얼BODY(집행단계-첨부폴더)v8\8.전기분야\10_착수 전 Big Room 회의\표준서\착수 전 Big Room 회의_표준서.html", "👉 [클릭] 표준서 열기 📄")</f>
        <v/>
      </c>
      <c r="L11" s="70" t="inlineStr">
        <is>
          <t>본 지침서는 동탄트램 전기분야 실공사 착수 전본사, 현장, 협력사 및 토목/신호/차량 3자 협의체 구축 방법,3D BIM 공종 간섭 조율, 자재 반입 동선/야적장 확보, 타 프로젝트 하자사례 분석 및 안전/민원 Risk He...</t>
        </is>
      </c>
      <c r="M11" s="155">
        <f>HYPERLINK("매뉴얼BODY(집행단계-첨부폴더)v8\8.전기분야\10_착수 전 Big Room 회의\수행지침\착수 전 Big Room 회의_수행지침.html", "👉 [클릭] 수행지침 열기 📄")</f>
        <v/>
      </c>
      <c r="N11" s="70" t="inlineStr">
        <is>
          <t>본 체크리스트는 동탄트램 전기분야 실공사 착수 전본사, 현장, 협력사 및 토목/신호/차량 3자 협의체를 구축하여 3D BIM 공종 간섭, 자재 반입 동선, 타 현장 하자사례 재발방지책 및 Risk Hedge 방안을 확정하기 ...</t>
        </is>
      </c>
      <c r="O11" s="155">
        <f>HYPERLINK("매뉴얼BODY(집행단계-첨부폴더)v8\8.전기분야\10_착수 전 Big Room 회의\체크리스트\착수 전 Big Room 회의_체크리스트.html", "👉 [클릭] 체크리스트 열기 📄")</f>
        <v/>
      </c>
      <c r="P11" s="10" t="n"/>
      <c r="Q11" s="71" t="n"/>
      <c r="R11" s="71" t="n"/>
      <c r="S11" s="71" t="n"/>
    </row>
    <row r="12" ht="121.8" customHeight="1" s="148">
      <c r="A12" s="55" t="inlineStr">
        <is>
          <t>9000</t>
        </is>
      </c>
      <c r="B12" s="55" t="inlineStr">
        <is>
          <t>9000-3</t>
        </is>
      </c>
      <c r="C12" s="70" t="inlineStr">
        <is>
          <t>전기분야</t>
        </is>
      </c>
      <c r="D12" s="55" t="inlineStr">
        <is>
          <t>9000-3-11</t>
        </is>
      </c>
      <c r="E12" s="55" t="inlineStr">
        <is>
          <t>전기설비 제작 사양서 작성 / 승인</t>
        </is>
      </c>
      <c r="F12" s="55" t="inlineStr">
        <is>
          <t>현장 시스템팀</t>
        </is>
      </c>
      <c r="G12" s="54" t="inlineStr">
        <is>
          <t>전기설비의 제작 사양서 작성/승인</t>
        </is>
      </c>
      <c r="H12" s="54" t="inlineStr">
        <is>
          <t>- 현장여건 및 실시설계도서(보고서,도면,자재사양서)의 요구사항 충족 여부를 확인
- 제작사양서, 제작도면 작성 후 감리단 승인</t>
        </is>
      </c>
      <c r="I12" s="54" t="inlineStr">
        <is>
          <t>제작사양서, 제작도면</t>
        </is>
      </c>
      <c r="J12" s="70" t="inlineStr">
        <is>
          <t>"변압기 용량, 정류기 정격, ESS 배터리 세부 기술사양서 검토 및 시방 규격 1:1 대조 파악"</t>
        </is>
      </c>
      <c r="K12" s="155">
        <f>HYPERLINK("매뉴얼BODY(집행단계-첨부폴더)v8\8.전기분야\11_전기설비 제작 사양서 작성 _ 승인\표준서\전기설비 제작 사양서 작성 _ 승인_표준서.html", "👉 [클릭] 표준서 열기 📄")</f>
        <v/>
      </c>
      <c r="L12" s="70" t="inlineStr">
        <is>
          <t>전기설비(변압기, 정류기, ESS, GIS, SCADA) 공장 제작 착수 전 발주처 특기시방서 및 KDS 47 00 00 철도설계기준에 따른 상세 기술사양서 및 공장 제작 승인도면(Shop Drawing) 검토</t>
        </is>
      </c>
      <c r="M12" s="155">
        <f>HYPERLINK("매뉴얼BODY(집행단계-첨부폴더)v8\8.전기분야\11_전기설비 제작 사양서 작성 _ 승인\수행지침\전기설비 제작 사양서 작성 _ 승인_수행지침.html", "👉 [클릭] 수행지침 열기 📄")</f>
        <v/>
      </c>
      <c r="N12" s="70" t="inlineStr">
        <is>
          <t>본 체크리스트는 동탄트램 전기분야 전기설비 제작 사양서 작성 / 승인 업무 이행에 대해전기설비(변압기, 정류기, ESS, GIS, SCADA) 공장 제작 착수 전 발주처 특기시방서 및 KDS 47 00 00 철도설계기준에 따...</t>
        </is>
      </c>
      <c r="O12" s="155">
        <f>HYPERLINK("매뉴얼BODY(집행단계-첨부폴더)v8\8.전기분야\11_전기설비 제작 사양서 작성 _ 승인\체크리스트\전기설비 제작 사양서 작성 _ 승인_체크리스트.html", "👉 [클릭] 체크리스트 열기 📄")</f>
        <v/>
      </c>
      <c r="P12" s="10" t="n"/>
      <c r="Q12" s="71" t="n"/>
      <c r="R12" s="71" t="n"/>
      <c r="S12" s="71" t="n"/>
    </row>
    <row r="13" ht="104.4" customHeight="1" s="148">
      <c r="A13" s="55" t="inlineStr">
        <is>
          <t>9000</t>
        </is>
      </c>
      <c r="B13" s="55" t="inlineStr">
        <is>
          <t>9000-3</t>
        </is>
      </c>
      <c r="C13" s="70" t="inlineStr">
        <is>
          <t>전기분야</t>
        </is>
      </c>
      <c r="D13" s="55" t="inlineStr">
        <is>
          <t>9000-3-12</t>
        </is>
      </c>
      <c r="E13" s="55" t="inlineStr">
        <is>
          <t>시공 계획 수립 / 승인</t>
        </is>
      </c>
      <c r="F13" s="55" t="inlineStr">
        <is>
          <t>현장 시스템팀</t>
        </is>
      </c>
      <c r="G13" s="54" t="inlineStr">
        <is>
          <t>안전/품질이 확보된 시공계획 수립</t>
        </is>
      </c>
      <c r="H13" s="56" t="inlineStr">
        <is>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is>
      </c>
      <c r="I13" s="58" t="inlineStr">
        <is>
          <t>시공계획서&amp;시공상세도</t>
        </is>
      </c>
      <c r="J13" s="70" t="inlineStr">
        <is>
          <t>"변전기기 반입, Cable Tray 설치, 전차선 지주 입립 시공 순서 및 3D BIM 공정 수립"</t>
        </is>
      </c>
      <c r="K13" s="155">
        <f>HYPERLINK("매뉴얼BODY(집행단계-첨부폴더)v8\8.전기분야\12_시공 계획 수립 _ 승인\표준서\시공 계획 수립 _ 승인_표준서.html", "👉 [클릭] 표준서 열기 📄")</f>
        <v/>
      </c>
      <c r="L13" s="70" t="inlineStr">
        <is>
          <t>전기분야 공정별(변전소, 전차선, 케이블 포설) 상세 시공계획서 수립, 예정공정표(Critical Path) 검토, 시공 순서 및 안전/품질 관리대책 수립 후 감리단 공학적 승인 완수</t>
        </is>
      </c>
      <c r="M13" s="155">
        <f>HYPERLINK("매뉴얼BODY(집행단계-첨부폴더)v8\8.전기분야\12_시공 계획 수립 _ 승인\수행지침\시공 계획 수립 _ 승인_수행지침.html", "👉 [클릭] 수행지침 열기 📄")</f>
        <v/>
      </c>
      <c r="N13" s="70" t="inlineStr">
        <is>
          <t>본 체크리스트는 동탄트램 전기분야 시공 계획 수립 / 승인 업무 이행에 대해전기분야 공정별(변전소, 전차선, 케이블 포설) 상세 시공계획서 수립, 예정공정표(Critical Path) 검토, 시공 순서 및 안전/품질 관리대책...</t>
        </is>
      </c>
      <c r="O13" s="155">
        <f>HYPERLINK("매뉴얼BODY(집행단계-첨부폴더)v8\8.전기분야\12_시공 계획 수립 _ 승인\체크리스트\시공 계획 수립 _ 승인_체크리스트.html", "👉 [클릭] 체크리스트 열기 📄")</f>
        <v/>
      </c>
      <c r="P13" s="10" t="n"/>
      <c r="Q13" s="71" t="n"/>
      <c r="R13" s="71" t="n"/>
      <c r="S13" s="71" t="n"/>
    </row>
    <row r="14" ht="69.59999999999999" customHeight="1" s="148">
      <c r="A14" s="55" t="inlineStr">
        <is>
          <t>9000</t>
        </is>
      </c>
      <c r="B14" s="55" t="inlineStr">
        <is>
          <t>9000-3</t>
        </is>
      </c>
      <c r="C14" s="70" t="inlineStr">
        <is>
          <t>전기분야</t>
        </is>
      </c>
      <c r="D14" s="55" t="inlineStr">
        <is>
          <t>9000-3-13</t>
        </is>
      </c>
      <c r="E14" s="55" t="inlineStr">
        <is>
          <t>자재공급원/기자재 제작도서 승인</t>
        </is>
      </c>
      <c r="F14" s="55" t="inlineStr">
        <is>
          <t>현장 시스템팀</t>
        </is>
      </c>
      <c r="G14" s="54" t="inlineStr">
        <is>
          <t>전기설비의 시공성과 품질, 기능 확보를 위한 자재 공급원 검토 및 승인</t>
        </is>
      </c>
      <c r="H14" s="54" t="inlineStr">
        <is>
          <t>- 전기자재 제작능력, 납품실적 등 확인
- 성능보증이 가능한 복수의 공급원 검토
- 자재공급원 서류 제출후 감리단 승인</t>
        </is>
      </c>
      <c r="I14" s="54" t="inlineStr">
        <is>
          <t>자재공급원 승인 서류</t>
        </is>
      </c>
      <c r="J14" s="70" t="inlineStr">
        <is>
          <t>"제조사 공장등록증, 사업자등록증, ISO 품질인증서 및 유사 철도/트램 납품 실적 검증"</t>
        </is>
      </c>
      <c r="K14" s="155">
        <f>HYPERLINK("매뉴얼BODY(집행단계-첨부폴더)v8\8.전기분야\13_자재공급원_기자재 제작도서 승인\표준서\자재공급원_기자재 제작도서 승인_표준서.html", "👉 [클릭] 표준서 열기 📄")</f>
        <v/>
      </c>
      <c r="L14" s="70" t="inlineStr">
        <is>
          <t>전기자재 공급원 자격 검증(KS/KC 인증, 공장등록증, 납품실적), 제조사 시험성적서 대조 및 공장 제작 승인도면(Shop Drawing) 감리단 적격 승인 수검</t>
        </is>
      </c>
      <c r="M14" s="155">
        <f>HYPERLINK("매뉴얼BODY(집행단계-첨부폴더)v8\8.전기분야\13_자재공급원_기자재 제작도서 승인\수행지침\자재공급원_기자재 제작도서 승인_수행지침.html", "👉 [클릭] 수행지침 열기 📄")</f>
        <v/>
      </c>
      <c r="N14" s="70" t="inlineStr">
        <is>
          <t>본 체크리스트는 동탄트램 전기분야 자재공급원/기자재 제작도서 승인 업무 이행에 대해전기자재 공급원 자격 검증(KS/KC 인증, 공장등록증, 납품실적), 제조사 시험성적서 대조 및 공장 제작 승인도면(Shop Drawing) ...</t>
        </is>
      </c>
      <c r="O14" s="155">
        <f>HYPERLINK("매뉴얼BODY(집행단계-첨부폴더)v8\8.전기분야\13_자재공급원_기자재 제작도서 승인\체크리스트\자재공급원_기자재 제작도서 승인_체크리스트.html", "👉 [클릭] 체크리스트 열기 📄")</f>
        <v/>
      </c>
      <c r="P14" s="10" t="n"/>
      <c r="Q14" s="71" t="n"/>
      <c r="R14" s="71" t="n"/>
      <c r="S14" s="71" t="n"/>
    </row>
    <row r="15" ht="191.4" customHeight="1" s="148">
      <c r="A15" s="55" t="inlineStr">
        <is>
          <t>9000</t>
        </is>
      </c>
      <c r="B15" s="55" t="inlineStr">
        <is>
          <t>9000-3</t>
        </is>
      </c>
      <c r="C15" s="70" t="inlineStr">
        <is>
          <t>전기분야</t>
        </is>
      </c>
      <c r="D15" s="55" t="inlineStr">
        <is>
          <t>9000-3-14</t>
        </is>
      </c>
      <c r="E15" s="55" t="inlineStr">
        <is>
          <t>전기설비 공정제작 / 제작사 공장검사</t>
        </is>
      </c>
      <c r="F15" s="55" t="inlineStr">
        <is>
          <t>현장 시스템팀</t>
        </is>
      </c>
      <c r="G15" s="54" t="inlineStr">
        <is>
          <t>제작사양서/제작도면의 일치여부검토 및 현장반입 전 제품 성능검사 확인</t>
        </is>
      </c>
      <c r="H15" s="54" t="inlineStr">
        <is>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is>
      </c>
      <c r="I15" s="54" t="inlineStr">
        <is>
          <t>공장검사 결과보고서(감리/감독 입회)</t>
        </is>
      </c>
      <c r="J15" s="70" t="inlineStr">
        <is>
          <t>"제작사 부품 조달 현황, 외함 판금/도장 및 내부 배선 조립 공정 공정표 100% 관리"</t>
        </is>
      </c>
      <c r="K15" s="155">
        <f>HYPERLINK("매뉴얼BODY(집행단계-첨부폴더)v8\8.전기분야\14_전기설비 공정제작 _ 제작사 공장검사\표준서\전기설비 공정제작 _ 제작사 공장검사_표준서.html", "👉 [클릭] 표준서 열기 📄")</f>
        <v/>
      </c>
      <c r="L15" s="70" t="inlineStr">
        <is>
          <t>정류기, 변압기, ESS, GIS, SCADA 제작사 공장 공정 제작 관리 및 감리단/발주처 입회 공장시험(FAT: Factory Acceptance Test) 수행과 시험성적서 승인 완수</t>
        </is>
      </c>
      <c r="M15" s="155">
        <f>HYPERLINK("매뉴얼BODY(집행단계-첨부폴더)v8\8.전기분야\14_전기설비 공정제작 _ 제작사 공장검사\수행지침\전기설비 공정제작 _ 제작사 공장검사_수행지침.html", "👉 [클릭] 수행지침 열기 📄")</f>
        <v/>
      </c>
      <c r="N15" s="70" t="inlineStr">
        <is>
          <t>본 체크리스트는 동탄트램 전기분야 전기설비 공정제작 / 제작사 공장검사 업무 이행에 대해정류기, 변압기, ESS, GIS, SCADA 제작사 공장 공정 제작 관리 및 감리단/발주처 입회 공장시험(FAT: Factory Acc...</t>
        </is>
      </c>
      <c r="O15" s="155">
        <f>HYPERLINK("매뉴얼BODY(집행단계-첨부폴더)v8\8.전기분야\14_전기설비 공정제작 _ 제작사 공장검사\체크리스트\전기설비 공정제작 _ 제작사 공장검사_체크리스트.html", "👉 [클릭] 체크리스트 열기 📄")</f>
        <v/>
      </c>
      <c r="P15" s="10" t="n"/>
      <c r="Q15" s="71" t="n"/>
      <c r="R15" s="71" t="n"/>
      <c r="S15" s="71" t="n"/>
    </row>
    <row r="16" ht="69.59999999999999" customHeight="1" s="148">
      <c r="A16" s="55" t="inlineStr">
        <is>
          <t>9000</t>
        </is>
      </c>
      <c r="B16" s="55" t="inlineStr">
        <is>
          <t>9000-3</t>
        </is>
      </c>
      <c r="C16" s="70" t="inlineStr">
        <is>
          <t>전기분야</t>
        </is>
      </c>
      <c r="D16" s="55" t="inlineStr">
        <is>
          <t>9000-3-15</t>
        </is>
      </c>
      <c r="E16" s="55" t="inlineStr">
        <is>
          <t>본공사 전 선행공정 인수인계 점검</t>
        </is>
      </c>
      <c r="F16" s="55" t="inlineStr">
        <is>
          <t>현장 시스템팀</t>
        </is>
      </c>
      <c r="G16" s="54" t="inlineStr">
        <is>
          <t>전기설비 설치전 준비상태 확인</t>
        </is>
      </c>
      <c r="H16" s="54" t="inlineStr">
        <is>
          <t>- 전기설비 설치 시 간섭여부 점검
- 현장 시공상태 확인 (건축, 노반(토목) 등)
- 수배전반, 외함, 변압기 등 자재 반입구 위치 및 운반경로 확인, 케이블 포설을 위한 공동구/개구부 위치 체크</t>
        </is>
      </c>
      <c r="I16" s="54" t="inlineStr">
        <is>
          <t>기록지, 현장점검결과보고서(감리입회)</t>
        </is>
      </c>
      <c r="J16" s="70" t="inlineStr">
        <is>
          <t>"건축 변전실 구조물 완성도, 노반 궤도 시공 상태 및 전기 설치 간섭 여부 정밀 실측"</t>
        </is>
      </c>
      <c r="K16" s="155">
        <f>HYPERLINK("매뉴얼BODY(집행단계-첨부폴더)v8\8.전기분야\15_본공사 전 선행공정 인수인계 점검\표준서\본공사 전 선행공정 인수인계 점검_표준서.html", "👉 [클릭] 표준서 열기 📄")</f>
        <v/>
      </c>
      <c r="L16" s="70" t="inlineStr">
        <is>
          <t>토목, 노반(궤도), 건축 선행 공정 완성도 실측, 변전실/개구부/공동구 간섭 점검, 자재 반입구 및 반입 동선 인수인계 합동 점검 수행</t>
        </is>
      </c>
      <c r="M16" s="155">
        <f>HYPERLINK("매뉴얼BODY(집행단계-첨부폴더)v8\8.전기분야\15_본공사 전 선행공정 인수인계 점검\수행지침\본공사 전 선행공정 인수인계 점검_수행지침.html", "👉 [클릭] 수행지침 열기 📄")</f>
        <v/>
      </c>
      <c r="N16" s="70" t="inlineStr">
        <is>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is>
      </c>
      <c r="O16" s="155">
        <f>HYPERLINK("매뉴얼BODY(집행단계-첨부폴더)v8\8.전기분야\15_본공사 전 선행공정 인수인계 점검\체크리스트\본공사 전 선행공정 인수인계 점검_체크리스트.html", "👉 [클릭] 체크리스트 열기 📄")</f>
        <v/>
      </c>
      <c r="P16" s="10" t="n"/>
      <c r="Q16" s="71" t="n"/>
      <c r="R16" s="71" t="n"/>
      <c r="S16" s="71" t="n"/>
    </row>
    <row r="17" ht="69.59999999999999" customHeight="1" s="148">
      <c r="A17" s="55" t="inlineStr">
        <is>
          <t>9000</t>
        </is>
      </c>
      <c r="B17" s="55" t="inlineStr">
        <is>
          <t>9000-3</t>
        </is>
      </c>
      <c r="C17" s="70" t="inlineStr">
        <is>
          <t>전기분야</t>
        </is>
      </c>
      <c r="D17" s="55" t="inlineStr">
        <is>
          <t>9000-3-16</t>
        </is>
      </c>
      <c r="E17" s="55" t="inlineStr">
        <is>
          <t>장비반입 및 안전교육</t>
        </is>
      </c>
      <c r="F17" s="55" t="inlineStr">
        <is>
          <t>현장 시스템팀 / 안전팀</t>
        </is>
      </c>
      <c r="G17" s="54" t="inlineStr">
        <is>
          <t>장비 반입 준비 및 안전교육 완료</t>
        </is>
      </c>
      <c r="H17" s="54" t="inlineStr">
        <is>
          <t>- 자재반입 경로, 적치장소에 대한 사전확인 및 타분야 일정, 간섭사항 협의/확인
- 장비 Spec확인, 장비상태 점검
- 작업원 안전교육 실시</t>
        </is>
      </c>
      <c r="I17" s="54" t="inlineStr">
        <is>
          <t>안전교육 결과서, 측량기록지</t>
        </is>
      </c>
      <c r="J17" s="70" t="inlineStr">
        <is>
          <t>"장비 진입 경로 및 적치장 사전확인, 타분야 작업 일정 및 지상/지하 구조물 간섭 협의"</t>
        </is>
      </c>
      <c r="K17" s="155">
        <f>HYPERLINK("매뉴얼BODY(집행단계-첨부폴더)v8\8.전기분야\16_장비반입 및 안전교육\표준서\장비반입 및 안전교육_표준서.html", "👉 [클릭] 표준서 열기 📄")</f>
        <v/>
      </c>
      <c r="L17" s="70" t="inlineStr">
        <is>
          <t>고소작업차, 케이블 포설차, 활선 작업 장비 현장 반입 동선/적치장 확인, 장비 Spec 및 안전검사필증 점검, 작업원 특별안전교육 실시</t>
        </is>
      </c>
      <c r="M17" s="155">
        <f>HYPERLINK("매뉴얼BODY(집행단계-첨부폴더)v8\8.전기분야\16_장비반입 및 안전교육\수행지침\장비반입 및 안전교육_수행지침.html", "👉 [클릭] 수행지침 열기 📄")</f>
        <v/>
      </c>
      <c r="N17" s="70" t="inlineStr">
        <is>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is>
      </c>
      <c r="O17" s="155">
        <f>HYPERLINK("매뉴얼BODY(집행단계-첨부폴더)v8\8.전기분야\16_장비반입 및 안전교육\체크리스트\장비반입 및 안전교육_체크리스트.html", "👉 [클릭] 체크리스트 열기 📄")</f>
        <v/>
      </c>
      <c r="P17" s="10" t="n"/>
      <c r="Q17" s="71" t="n"/>
      <c r="R17" s="71" t="n"/>
      <c r="S17" s="71" t="n"/>
    </row>
    <row r="18" ht="69.59999999999999" customHeight="1" s="148">
      <c r="A18" s="55" t="inlineStr">
        <is>
          <t>9000</t>
        </is>
      </c>
      <c r="B18" s="55" t="inlineStr">
        <is>
          <t>9000-3</t>
        </is>
      </c>
      <c r="C18" s="70" t="inlineStr">
        <is>
          <t>전기분야</t>
        </is>
      </c>
      <c r="D18" s="55" t="inlineStr">
        <is>
          <t>9000-3-17</t>
        </is>
      </c>
      <c r="E18" s="55" t="inlineStr">
        <is>
          <t>자재 반입 및 검수</t>
        </is>
      </c>
      <c r="F18" s="55" t="inlineStr">
        <is>
          <t>현장소장 및 발주청/공동감리단</t>
        </is>
      </c>
      <c r="G18" s="54" t="inlineStr">
        <is>
          <t>공장검사 시행 완료된 자재반입과 현장 입고 검사</t>
        </is>
      </c>
      <c r="H18" s="56" t="inlineStr">
        <is>
          <t xml:space="preserve">- 자재 하차 위치 및 반입동선 확인
- 승인된 자재 일치여부 확인(Serial number 등)
- 제품의 규격, 수량 도면과 일치하는지 검수 </t>
        </is>
      </c>
      <c r="I18" s="54" t="inlineStr">
        <is>
          <t>자재검수서</t>
        </is>
      </c>
      <c r="J18" s="70" t="inlineStr">
        <is>
          <t>"자재 하차 통제 구획 설정, 크레인 양중 신호수 배치 및 자재 반입 동선 안전 확보"</t>
        </is>
      </c>
      <c r="K18" s="155">
        <f>HYPERLINK("매뉴얼BODY(집행단계-첨부폴더)v8\8.전기분야\17_자재 반입 및 검수\표준서\자재 반입 및 검수_표준서.html", "👉 [클릭] 표준서 열기 📄")</f>
        <v/>
      </c>
      <c r="L18" s="70" t="inlineStr">
        <is>
          <t>전기자재 현장 반입 하차 위치/동선 통제, 승인된 자재공급원 일치 여부(Serial No., Serial Tag) 검수, 도면 규격 및 수량 1:1 대조 확인</t>
        </is>
      </c>
      <c r="M18" s="155">
        <f>HYPERLINK("매뉴얼BODY(집행단계-첨부폴더)v8\8.전기분야\17_자재 반입 및 검수\수행지침\자재 반입 및 검수_수행지침.html", "👉 [클릭] 수행지침 열기 📄")</f>
        <v/>
      </c>
      <c r="N18" s="70" t="inlineStr">
        <is>
          <t>본 체크리스트는 동탄트램 전기분야 자재 반입 및 검수 업무 이행에 대해전기자재 현장 반입 하차 위치/동선 통제, 승인된 자재공급원 일치 여부(Serial No., Serial Tag) 검수, 도면 규격 및 수량 1:1 대조 ...</t>
        </is>
      </c>
      <c r="O18" s="155">
        <f>HYPERLINK("매뉴얼BODY(집행단계-첨부폴더)v8\8.전기분야\17_자재 반입 및 검수\체크리스트\자재 반입 및 검수_체크리스트.html", "👉 [클릭] 체크리스트 열기 📄")</f>
        <v/>
      </c>
      <c r="P18" s="10" t="n"/>
      <c r="Q18" s="71" t="n"/>
      <c r="R18" s="71" t="n"/>
      <c r="S18" s="71" t="n"/>
    </row>
    <row r="19" ht="69.59999999999999" customHeight="1" s="148">
      <c r="A19" s="55" t="inlineStr">
        <is>
          <t>9000</t>
        </is>
      </c>
      <c r="B19" s="55" t="inlineStr">
        <is>
          <t>9000-3</t>
        </is>
      </c>
      <c r="C19" s="70" t="inlineStr">
        <is>
          <t>전기분야</t>
        </is>
      </c>
      <c r="D19" s="55" t="inlineStr">
        <is>
          <t>9000-3-18</t>
        </is>
      </c>
      <c r="E19" s="55" t="inlineStr">
        <is>
          <t>전철전력설비 반입 및 설치</t>
        </is>
      </c>
      <c r="F19" s="55" t="inlineStr">
        <is>
          <t>현장소장 및 분야별 전담팀</t>
        </is>
      </c>
      <c r="G19" s="54" t="inlineStr">
        <is>
          <t>설계에 부합되도록 전철전력설비 설치</t>
        </is>
      </c>
      <c r="H19" s="56" t="inlineStr">
        <is>
          <t>- 시공샘플이 필요한 대상을 감리/감독과 협의하여 선정후 시험시공 실시
- 현장설비, 특고압 케이블, 정거장 전기실 내 특고압반/저압반/변압기 설치
- 전기설비가 도면대로 설치되었는지 확인</t>
        </is>
      </c>
      <c r="I19" s="54" t="inlineStr">
        <is>
          <t>검측서</t>
        </is>
      </c>
      <c r="J19" s="70" t="inlineStr">
        <is>
          <t>"감리/감독 협의를 통한 시공 샘플 대상 선정, 시험시공 수행 및 시공 기준서 확정"</t>
        </is>
      </c>
      <c r="K19" s="155">
        <f>HYPERLINK("매뉴얼BODY(집행단계-첨부폴더)v8\8.전기분야\18_전철전력설비 반입 및 설치\표준서\전철전력설비 반입 및 설치_표준서.html", "👉 [클릭] 표준서 열기 📄")</f>
        <v/>
      </c>
      <c r="L19" s="70" t="inlineStr">
        <is>
          <t>변전소 수배전반, 정류기, ESS, 특고압반 및 정거장 전기실 기기 반입/설치, 시공 샘플 감리 협의 후 시험시공 및 도면 일치성 최종 검측</t>
        </is>
      </c>
      <c r="M19" s="155">
        <f>HYPERLINK("매뉴얼BODY(집행단계-첨부폴더)v8\8.전기분야\18_전철전력설비 반입 및 설치\수행지침\전철전력설비 반입 및 설치_수행지침.html", "👉 [클릭] 수행지침 열기 📄")</f>
        <v/>
      </c>
      <c r="N19" s="70" t="inlineStr">
        <is>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is>
      </c>
      <c r="O19" s="155">
        <f>HYPERLINK("매뉴얼BODY(집행단계-첨부폴더)v8\8.전기분야\18_전철전력설비 반입 및 설치\체크리스트\전철전력설비 반입 및 설치_체크리스트.html", "👉 [클릭] 체크리스트 열기 📄")</f>
        <v/>
      </c>
      <c r="P19" s="10" t="n"/>
      <c r="Q19" s="71" t="n"/>
      <c r="R19" s="71" t="n"/>
      <c r="S19" s="71" t="n"/>
    </row>
    <row r="20" ht="69.59999999999999" customHeight="1" s="148">
      <c r="A20" s="55" t="inlineStr">
        <is>
          <t>9000</t>
        </is>
      </c>
      <c r="B20" s="55" t="inlineStr">
        <is>
          <t>9000-3</t>
        </is>
      </c>
      <c r="C20" s="70" t="inlineStr">
        <is>
          <t>전기분야</t>
        </is>
      </c>
      <c r="D20" s="55" t="inlineStr">
        <is>
          <t>9000-3-19</t>
        </is>
      </c>
      <c r="E20" s="55" t="inlineStr">
        <is>
          <t>수전용 케이블 트레이 및 케이블 포설</t>
        </is>
      </c>
      <c r="F20" s="55" t="inlineStr">
        <is>
          <t>현장소장</t>
        </is>
      </c>
      <c r="G20" s="54" t="inlineStr">
        <is>
          <t>전기실에 전기를 공급하기 위해 한전 책임분계점 전주에서 수전전기실까지 배관/배선을 설치</t>
        </is>
      </c>
      <c r="H20" s="54" t="inlineStr">
        <is>
          <t>- 한전 책임분계점으로부터 수전 전기실까지 케이블 트레이를 설치
- 트레이 설치완료 후 특고압케이블 포설 및 단말 접속
(책임분계점: 전기안전에 대한 책임을 나누는 기준점/수급지점)</t>
        </is>
      </c>
      <c r="I20" s="54" t="inlineStr">
        <is>
          <t>검측서</t>
        </is>
      </c>
      <c r="J20" s="70" t="inlineStr">
        <is>
          <t>"한전 인수점 지중 맨홀부터 수전 전기실까지 Cable Tray 수평도 및 고정 행거 설치"</t>
        </is>
      </c>
      <c r="K20" s="155">
        <f>HYPERLINK("매뉴얼BODY(집행단계-첨부폴더)v8\8.전기분야\19_수전용 케이블 트레이 및 케이블 포설\표준서\수전용 케이블 트레이 및 케이블 포설_표준서.html", "👉 [클릭] 표준서 열기 📄")</f>
        <v/>
      </c>
      <c r="L20" s="70" t="inlineStr">
        <is>
          <t>한전 책임분계점으로부터 수전 전기실까지 케이블 트레이 수평/수직 고정 설치, 특고압 케이블 포설 및 단말 접속, 절연저항/내전압 시험 완수</t>
        </is>
      </c>
      <c r="M20" s="155">
        <f>HYPERLINK("매뉴얼BODY(집행단계-첨부폴더)v8\8.전기분야\19_수전용 케이블 트레이 및 케이블 포설\수행지침\수전용 케이블 트레이 및 케이블 포설_수행지침.html", "👉 [클릭] 수행지침 열기 📄")</f>
        <v/>
      </c>
      <c r="N20" s="70" t="inlineStr">
        <is>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is>
      </c>
      <c r="O20" s="155">
        <f>HYPERLINK("매뉴얼BODY(집행단계-첨부폴더)v8\8.전기분야\19_수전용 케이블 트레이 및 케이블 포설\체크리스트\수전용 케이블 트레이 및 케이블 포설_체크리스트.html", "👉 [클릭] 체크리스트 열기 📄")</f>
        <v/>
      </c>
      <c r="P20" s="10" t="n"/>
      <c r="Q20" s="71" t="n"/>
      <c r="R20" s="71" t="n"/>
      <c r="S20" s="71" t="n"/>
    </row>
    <row r="21" ht="69.59999999999999" customHeight="1" s="148">
      <c r="A21" s="55" t="inlineStr">
        <is>
          <t>9000</t>
        </is>
      </c>
      <c r="B21" s="55" t="inlineStr">
        <is>
          <t>9000-3</t>
        </is>
      </c>
      <c r="C21" s="70" t="inlineStr">
        <is>
          <t>전기분야</t>
        </is>
      </c>
      <c r="D21" s="55" t="inlineStr">
        <is>
          <t>9000-3-20</t>
        </is>
      </c>
      <c r="E21" s="55" t="inlineStr">
        <is>
          <t>수전 및 전기공급(급전)</t>
        </is>
      </c>
      <c r="F21" s="55" t="inlineStr">
        <is>
          <t>현장 시스템팀</t>
        </is>
      </c>
      <c r="G21" s="54" t="inlineStr">
        <is>
          <t>한전으로부터 전기를 인입 후 전기가 필요한 시설들에 순차적으로 전기를 공급</t>
        </is>
      </c>
      <c r="H21" s="56" t="inlineStr">
        <is>
          <t>- 사용전검사 시행 (사용전검사 필증 수령)
- 전기가합계획 수립 및 한전 가입 요청
- 수전 전 기기별 자체시험 실시
- 수전 이후 기계, 통신, 신호 등 분야별 일정에 따라 전기공급 실시</t>
        </is>
      </c>
      <c r="I21" s="54" t="inlineStr">
        <is>
          <t>전기사용승인, 수전 결과서</t>
        </is>
      </c>
      <c r="J21" s="70" t="inlineStr">
        <is>
          <t>"한국전기안전공사 KESC 사용전검사 합격 필증 수령 및 수전 사전 조건 완수"</t>
        </is>
      </c>
      <c r="K21" s="155">
        <f>HYPERLINK("매뉴얼BODY(집행단계-첨부폴더)v8\8.전기분야\20_수전 및 전기공급(급전)\표준서\수전 및 전기공급(급전)_표준서.html", "👉 [클릭] 표준서 열기 📄")</f>
        <v/>
      </c>
      <c r="L21" s="70" t="inlineStr">
        <is>
          <t>KESC 사용전검사 합격증 수령, 전기가압계획 수립 및 한전 가입 요청, 수전 전 기기별 자체시험 수행 후 통신/신호/기계 공종별 단계적 전기공급(급전) 시행</t>
        </is>
      </c>
      <c r="M21" s="155">
        <f>HYPERLINK("매뉴얼BODY(집행단계-첨부폴더)v8\8.전기분야\20_수전 및 전기공급(급전)\수행지침\수전 및 전기공급(급전)_수행지침.html", "👉 [클릭] 수행지침 열기 📄")</f>
        <v/>
      </c>
      <c r="N21" s="70" t="inlineStr">
        <is>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is>
      </c>
      <c r="O21" s="155">
        <f>HYPERLINK("매뉴얼BODY(집행단계-첨부폴더)v8\8.전기분야\20_수전 및 전기공급(급전)\체크리스트\수전 및 전기공급(급전)_체크리스트.html", "👉 [클릭] 체크리스트 열기 📄")</f>
        <v/>
      </c>
      <c r="P21" s="10" t="n"/>
      <c r="Q21" s="71" t="n"/>
      <c r="R21" s="71" t="n"/>
      <c r="S21" s="71" t="n"/>
    </row>
    <row r="22" ht="69.59999999999999" customHeight="1" s="148">
      <c r="A22" s="55" t="inlineStr">
        <is>
          <t>9000</t>
        </is>
      </c>
      <c r="B22" s="55" t="inlineStr">
        <is>
          <t>9000-3</t>
        </is>
      </c>
      <c r="C22" s="70" t="inlineStr">
        <is>
          <t>전기분야</t>
        </is>
      </c>
      <c r="D22" s="55" t="inlineStr">
        <is>
          <t>9000-3-21</t>
        </is>
      </c>
      <c r="E22" s="55" t="inlineStr">
        <is>
          <t>종합연동시험(SCADA) 실시</t>
        </is>
      </c>
      <c r="F22" s="55" t="inlineStr">
        <is>
          <t>현장 시스템팀</t>
        </is>
      </c>
      <c r="G22" s="58" t="inlineStr">
        <is>
          <t>원방제어시스템 구축을 위한 변전/전차선/전력설비의 종합연동시험 실시
* SCADA (Supervisory Control And Data Acquisition): 광범위하고 대용량의 산업설비를 효율적으로 감시 제어하는 원방제어시스템</t>
        </is>
      </c>
      <c r="H22" s="58" t="inlineStr">
        <is>
          <t xml:space="preserve"> - 감리단 입회하에 시험 절차대로 수행
  1) 종합연동시험 계획서 작성
  2) 트램관제실/현장 기기간 인터페이스 시험
  * 현장기기 감시/제어/계측상태 확인 등</t>
        </is>
      </c>
      <c r="I22" s="58" t="inlineStr">
        <is>
          <t>종합연동시험 결과보고서</t>
        </is>
      </c>
      <c r="J22" s="70" t="inlineStr">
        <is>
          <t>"감리단 제출용 SCADA 종합연동시험 계획서, 포인트 맵 및 점검 절차서 작성"</t>
        </is>
      </c>
      <c r="K22" s="155">
        <f>HYPERLINK("매뉴얼BODY(집행단계-첨부폴더)v8\8.전기분야\21_종합연동시험(SCADA) 실시\표준서\종합연동시험(SCADA) 실시_표준서.html", "👉 [클릭] 표준서 열기 📄")</f>
        <v/>
      </c>
      <c r="L22" s="70" t="inlineStr">
        <is>
          <t>책임감리단 입회하에 트램관제실(OCC)과 현장 변전소/정류기/ESS 기기 간 SCADA 원격 감시/제어/계측(DI/DO/AI/AO) 종합연동시험 수행 및 검측 승인</t>
        </is>
      </c>
      <c r="M22" s="155">
        <f>HYPERLINK("매뉴얼BODY(집행단계-첨부폴더)v8\8.전기분야\21_종합연동시험(SCADA) 실시\수행지침\종합연동시험(SCADA) 실시_수행지침.html", "👉 [클릭] 수행지침 열기 📄")</f>
        <v/>
      </c>
      <c r="N22" s="70" t="inlineStr">
        <is>
          <t>본 체크리스트는 동탄트램 전기분야 종합연동시험(SCADA) 실시 업무 이행에 대해책임감리단 입회하에 트램관제실(OCC)과 현장 변전소/정류기/ESS 기기 간 SCADA 원격 감시/제어/계측(DI/DO/AI/AO) 종합연동시험...</t>
        </is>
      </c>
      <c r="O22" s="155">
        <f>HYPERLINK("매뉴얼BODY(집행단계-첨부폴더)v8\8.전기분야\21_종합연동시험(SCADA) 실시\체크리스트\종합연동시험(SCADA) 실시_체크리스트.html", "👉 [클릭] 체크리스트 열기 📄")</f>
        <v/>
      </c>
      <c r="P22" s="10" t="n"/>
      <c r="Q22" s="71" t="n"/>
      <c r="R22" s="71" t="n"/>
      <c r="S22" s="71" t="n"/>
    </row>
    <row r="23" ht="69.59999999999999" customHeight="1" s="148">
      <c r="A23" s="55" t="inlineStr">
        <is>
          <t>9000</t>
        </is>
      </c>
      <c r="B23" s="55" t="inlineStr">
        <is>
          <t>9000-3</t>
        </is>
      </c>
      <c r="C23" s="70" t="inlineStr">
        <is>
          <t>전기분야</t>
        </is>
      </c>
      <c r="D23" s="55" t="inlineStr">
        <is>
          <t>9000-3-22</t>
        </is>
      </c>
      <c r="E23" s="55" t="inlineStr">
        <is>
          <t>공종별 시험</t>
        </is>
      </c>
      <c r="F23" s="55" t="inlineStr">
        <is>
          <t>현장 시스템팀</t>
        </is>
      </c>
      <c r="G23" s="58" t="inlineStr">
        <is>
          <t>관련 법령, 설계기준, 기술기준, 시방서 등의 요구사항에 적합하도록 설치되었는지를 확인</t>
        </is>
      </c>
      <c r="H23" s="54" t="inlineStr">
        <is>
          <t>- 철도종합시험운행 시행지침 제6조(공종별시험)에 따라 시행</t>
        </is>
      </c>
      <c r="I23" s="54" t="inlineStr">
        <is>
          <t>공종별 시험 결과보고서</t>
        </is>
      </c>
      <c r="J23" s="70" t="inlineStr">
        <is>
          <t>"철도종합시험운행 시행지침 제6조에 따른 전기 공종별 시험 항목 및 절차서 확정"</t>
        </is>
      </c>
      <c r="K23" s="155">
        <f>HYPERLINK("매뉴얼BODY(집행단계-첨부폴더)v8\8.전기분야\22_공종별 시험\표준서\공종별 시험_표준서.html", "👉 [클릭] 표준서 열기 📄")</f>
        <v/>
      </c>
      <c r="L23" s="70" t="inlineStr">
        <is>
          <t>철도종합시험운행 시행지침 제6조(공종별시험)에 의거하여 변전, 전차선, 전력 설비 공종별 절연, 보호계전기, 통전 시험을 정밀 수행하고 보고서 승인</t>
        </is>
      </c>
      <c r="M23" s="155">
        <f>HYPERLINK("매뉴얼BODY(집행단계-첨부폴더)v8\8.전기분야\22_공종별 시험\수행지침\공종별 시험_수행지침.html", "👉 [클릭] 수행지침 열기 📄")</f>
        <v/>
      </c>
      <c r="N23" s="70" t="inlineStr">
        <is>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is>
      </c>
      <c r="O23" s="155">
        <f>HYPERLINK("매뉴얼BODY(집행단계-첨부폴더)v8\8.전기분야\22_공종별 시험\체크리스트\공종별 시험_체크리스트.html", "👉 [클릭] 체크리스트 열기 📄")</f>
        <v/>
      </c>
      <c r="P23" s="10" t="n"/>
      <c r="Q23" s="71" t="n"/>
      <c r="R23" s="71" t="n"/>
      <c r="S23" s="71" t="n"/>
    </row>
    <row r="24" ht="69.59999999999999" customHeight="1" s="148">
      <c r="A24" s="55" t="inlineStr">
        <is>
          <t>9000</t>
        </is>
      </c>
      <c r="B24" s="55" t="inlineStr">
        <is>
          <t>9000-3</t>
        </is>
      </c>
      <c r="C24" s="70" t="inlineStr">
        <is>
          <t>전기분야</t>
        </is>
      </c>
      <c r="D24" s="55" t="inlineStr">
        <is>
          <t>9000-3-23</t>
        </is>
      </c>
      <c r="E24" s="55" t="inlineStr">
        <is>
          <t>차량 투입 전 점검</t>
        </is>
      </c>
      <c r="F24" s="55" t="inlineStr">
        <is>
          <t>현장소장 및 시공전담팀</t>
        </is>
      </c>
      <c r="G24" s="58" t="inlineStr">
        <is>
          <t>발주처 주관의 차량시운전이 되도록 노반, 건축, 궤도, 전철전력, 통신, 신호분야를 종합하여 최종 점검</t>
        </is>
      </c>
      <c r="H24" s="56" t="inlineStr">
        <is>
          <t>- 노반/궤도 시공상태 점검
- 건축한계 및 차량한계 검사 [건축한계: 폭(3,600mm)]
- 전차선, 신호, 통신 작동상태 확인
- 차량충전설비, 신호, 통신 작동상태 확인</t>
        </is>
      </c>
      <c r="I24" s="58" t="inlineStr">
        <is>
          <t>합동점검 결과보고서</t>
        </is>
      </c>
      <c r="J24" s="70" t="inlineStr">
        <is>
          <t>"궤도 시공 정밀도 확인 및 트램 차량 건축한계(폭 3,600mm) 간섭 여부 레이저 실측"</t>
        </is>
      </c>
      <c r="K24" s="155">
        <f>HYPERLINK("매뉴얼BODY(집행단계-첨부폴더)v8\8.전기분야\23_차량 투입 전 점검\표준서\차량 투입 전 점검_표준서.html", "👉 [클릭] 표준서 열기 📄")</f>
        <v/>
      </c>
      <c r="L24" s="70" t="inlineStr">
        <is>
          <t>노반/궤도 시공상태 점검, 트램 건축한계(폭 3,600mm) 검사, 전차선 750V DC 가압, 차량충전설비, 신호/통신 작동상태 합동 사전 점검 완수</t>
        </is>
      </c>
      <c r="M24" s="155">
        <f>HYPERLINK("매뉴얼BODY(집행단계-첨부폴더)v8\8.전기분야\23_차량 투입 전 점검\수행지침\차량 투입 전 점검_수행지침.html", "👉 [클릭] 수행지침 열기 📄")</f>
        <v/>
      </c>
      <c r="N24" s="70" t="inlineStr">
        <is>
          <t>본 체크리스트는 동탄트램 전기분야 차량 투입 전 점검 업무 이행에 대해노반/궤도 시공상태 점검, 트램 건축한계(폭 3,600mm) 검사, 전차선 750V DC 가압, 차량충전설비, 신호/통신 작동상태 합동 사전 점검 완수 관...</t>
        </is>
      </c>
      <c r="O24" s="155">
        <f>HYPERLINK("매뉴얼BODY(집행단계-첨부폴더)v8\8.전기분야\23_차량 투입 전 점검\체크리스트\차량 투입 전 점검_체크리스트.html", "👉 [클릭] 체크리스트 열기 📄")</f>
        <v/>
      </c>
      <c r="P24" s="10" t="n"/>
      <c r="Q24" s="71" t="n"/>
      <c r="R24" s="71" t="n"/>
      <c r="S24" s="71" t="n"/>
    </row>
    <row r="25" ht="69.59999999999999" customHeight="1" s="148">
      <c r="A25" s="55" t="inlineStr">
        <is>
          <t>9000</t>
        </is>
      </c>
      <c r="B25" s="55" t="inlineStr">
        <is>
          <t>9000-3</t>
        </is>
      </c>
      <c r="C25" s="70" t="inlineStr">
        <is>
          <t>전기분야</t>
        </is>
      </c>
      <c r="D25" s="55" t="inlineStr">
        <is>
          <t>9000-3-24</t>
        </is>
      </c>
      <c r="E25" s="55" t="inlineStr">
        <is>
          <t>차량 시운전</t>
        </is>
      </c>
      <c r="F25" s="55" t="inlineStr">
        <is>
          <t>현장 시스템팀</t>
        </is>
      </c>
      <c r="G25" s="54" t="inlineStr">
        <is>
          <t>철도안전법에 따른 철도차량 형식승인</t>
        </is>
      </c>
      <c r="H25" s="54" t="inlineStr">
        <is>
          <t>- 철도안전법 제26조(철도차량 형식승인)에 따라 이행 (주로 본선구간 수행)
- 차량, 신호, 통신 시스템간 인터페이스 시험</t>
        </is>
      </c>
      <c r="I25" s="54" t="inlineStr">
        <is>
          <t>철도차량 형식승인 결과 보고서</t>
        </is>
      </c>
      <c r="J25" s="70" t="inlineStr">
        <is>
          <t>"철도안전법 철도차량 형식승인 절차에 따른 본선 구간 전기-차량 시운전 계획 수립"</t>
        </is>
      </c>
      <c r="K25" s="155">
        <f>HYPERLINK("매뉴얼BODY(집행단계-첨부폴더)v8\8.전기분야\24_차량 시운전\표준서\차량 시운전_표준서.html", "👉 [클릭] 표준서 열기 📄")</f>
        <v/>
      </c>
      <c r="L25" s="70" t="inlineStr">
        <is>
          <t>철도안전법 제26조(철도차량 형식승인)에 의거하여 본선 구간 트램 차량, 전차선 전력, 신호, 통신 시스템 간 인터페이스 시험 및 동력 성능 시운전 수행</t>
        </is>
      </c>
      <c r="M25" s="155">
        <f>HYPERLINK("매뉴얼BODY(집행단계-첨부폴더)v8\8.전기분야\24_차량 시운전\수행지침\차량 시운전_수행지침.html", "👉 [클릭] 수행지침 열기 📄")</f>
        <v/>
      </c>
      <c r="N25" s="70" t="inlineStr">
        <is>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is>
      </c>
      <c r="O25" s="155">
        <f>HYPERLINK("매뉴얼BODY(집행단계-첨부폴더)v8\8.전기분야\24_차량 시운전\체크리스트\차량 시운전_체크리스트.html", "👉 [클릭] 체크리스트 열기 📄")</f>
        <v/>
      </c>
      <c r="P25" s="10" t="n"/>
      <c r="Q25" s="71" t="n"/>
      <c r="R25" s="71" t="n"/>
      <c r="S25" s="71" t="n"/>
    </row>
    <row r="26" ht="69.59999999999999" customHeight="1" s="148">
      <c r="A26" s="55" t="inlineStr">
        <is>
          <t>9000</t>
        </is>
      </c>
      <c r="B26" s="55" t="inlineStr">
        <is>
          <t>9000-3</t>
        </is>
      </c>
      <c r="C26" s="70" t="inlineStr">
        <is>
          <t>전기분야</t>
        </is>
      </c>
      <c r="D26" s="55" t="inlineStr">
        <is>
          <t>9000-3-25</t>
        </is>
      </c>
      <c r="E26" s="55" t="inlineStr">
        <is>
          <t>운영자 교육시행</t>
        </is>
      </c>
      <c r="F26" s="55" t="inlineStr">
        <is>
          <t>현장 시스템팀</t>
        </is>
      </c>
      <c r="G26" s="54" t="inlineStr">
        <is>
          <t>영업시운전 전에 시설을 운영자를 대상으로 운영 및 유지관리방법에 대해 교육</t>
        </is>
      </c>
      <c r="H26" s="54" t="inlineStr">
        <is>
          <t>- 전기 제작사가 만든 매뉴얼로 운영자를 교육
: 변전/전력설비 운영/관리방법</t>
        </is>
      </c>
      <c r="I26" s="54" t="inlineStr">
        <is>
          <t>운영자 교육 결과서</t>
        </is>
      </c>
      <c r="J26" s="70" t="inlineStr">
        <is>
          <t>"전기자재 제작사 작성 운영/유지보수 매뉴얼, 비상 조치 절차서 및 교육 교재 검토"</t>
        </is>
      </c>
      <c r="K26" s="155">
        <f>HYPERLINK("매뉴얼BODY(집행단계-첨부폴더)v8\8.전기분야\25_운영자 교육시행\표준서\운영자 교육시행_표준서.html", "👉 [클릭] 표준서 열기 📄")</f>
        <v/>
      </c>
      <c r="L26" s="70" t="inlineStr">
        <is>
          <t>전기설비(변전, 전차선, SCADA, ESS) 제작사 취급 설명 매뉴얼 기반 운영사 및 관제 유지보수자 대상 이론/실습 교육 시행 및 교육 이수증 교부</t>
        </is>
      </c>
      <c r="M26" s="155">
        <f>HYPERLINK("매뉴얼BODY(집행단계-첨부폴더)v8\8.전기분야\25_운영자 교육시행\수행지침\운영자 교육시행_수행지침.html", "👉 [클릭] 수행지침 열기 📄")</f>
        <v/>
      </c>
      <c r="N26" s="70" t="inlineStr">
        <is>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is>
      </c>
      <c r="O26" s="155">
        <f>HYPERLINK("매뉴얼BODY(집행단계-첨부폴더)v8\8.전기분야\25_운영자 교육시행\체크리스트\운영자 교육시행_체크리스트.html", "👉 [클릭] 체크리스트 열기 📄")</f>
        <v/>
      </c>
      <c r="P26" s="10" t="n"/>
      <c r="Q26" s="71" t="n"/>
      <c r="R26" s="71" t="n"/>
      <c r="S26" s="71" t="n"/>
    </row>
    <row r="27" ht="87" customHeight="1" s="148">
      <c r="A27" s="55" t="inlineStr">
        <is>
          <t>9000</t>
        </is>
      </c>
      <c r="B27" s="55" t="inlineStr">
        <is>
          <t>9000-3</t>
        </is>
      </c>
      <c r="C27" s="70" t="inlineStr">
        <is>
          <t>전기분야</t>
        </is>
      </c>
      <c r="D27" s="55" t="inlineStr">
        <is>
          <t>9000-3-26</t>
        </is>
      </c>
      <c r="E27" s="55" t="inlineStr">
        <is>
          <t>사전점검</t>
        </is>
      </c>
      <c r="F27" s="55" t="inlineStr">
        <is>
          <t>현장소장 및 발주처 / 공동감리단</t>
        </is>
      </c>
      <c r="G27" s="54" t="inlineStr">
        <is>
          <t>시설물검증시험의 가능여부를 확인하기 위하여 발주처와 운영자가 합동으로 점검</t>
        </is>
      </c>
      <c r="H27" s="54" t="inlineStr">
        <is>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is>
      </c>
      <c r="I27" s="54" t="inlineStr">
        <is>
          <t>사전점검 결과보고서/승인문서(한국교통안전공단)</t>
        </is>
      </c>
      <c r="J27" s="70" t="inlineStr">
        <is>
          <t>"철도종합시험운행 시행지침 제8조에 의거, 발주처-운영자 합동 사전점검 계획서 수립"</t>
        </is>
      </c>
      <c r="K27" s="155">
        <f>HYPERLINK("매뉴얼BODY(집행단계-첨부폴더)v8\8.전기분야\26_사전점검\표준서\사전점검_표준서.html", "👉 [클릭] 표준서 열기 📄")</f>
        <v/>
      </c>
      <c r="L27" s="70" t="inlineStr">
        <is>
          <t>철도종합시험운행 시행지침 제8조(사전점검)에 따라 발주처-운영자 합동 사전점검계획 수립, 시설물 검증 가능성 점검 후 7일 이내 한국교통안전공단 제출 완수</t>
        </is>
      </c>
      <c r="M27" s="155">
        <f>HYPERLINK("매뉴얼BODY(집행단계-첨부폴더)v8\8.전기분야\26_사전점검\수행지침\사전점검_수행지침.html", "👉 [클릭] 수행지침 열기 📄")</f>
        <v/>
      </c>
      <c r="N27" s="70" t="inlineStr">
        <is>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is>
      </c>
      <c r="O27" s="155">
        <f>HYPERLINK("매뉴얼BODY(집행단계-첨부폴더)v8\8.전기분야\26_사전점검\체크리스트\사전점검_체크리스트.html", "👉 [클릭] 체크리스트 열기 📄")</f>
        <v/>
      </c>
      <c r="P27" s="10" t="n"/>
      <c r="Q27" s="71" t="n"/>
      <c r="R27" s="71" t="n"/>
      <c r="S27" s="71" t="n"/>
    </row>
    <row r="28" ht="139.2" customHeight="1" s="148">
      <c r="A28" s="55" t="inlineStr">
        <is>
          <t>9000</t>
        </is>
      </c>
      <c r="B28" s="55" t="inlineStr">
        <is>
          <t>9000-3</t>
        </is>
      </c>
      <c r="C28" s="70" t="inlineStr">
        <is>
          <t>전기분야</t>
        </is>
      </c>
      <c r="D28" s="55" t="inlineStr">
        <is>
          <t>9000-3-27</t>
        </is>
      </c>
      <c r="E28" s="55" t="inlineStr">
        <is>
          <t>시설물 검증시험</t>
        </is>
      </c>
      <c r="F28" s="55" t="inlineStr">
        <is>
          <t>현장소장 및 발주처 / 공동감리단</t>
        </is>
      </c>
      <c r="G28" s="54" t="inlineStr">
        <is>
          <t>발주처는 시설물의 정상작동 상태 등을 확인하기 위해 시설물 검증시험을 수행</t>
        </is>
      </c>
      <c r="H28" s="54" t="inlineStr">
        <is>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is>
      </c>
      <c r="I28" s="54" t="inlineStr">
        <is>
          <t>시설물 검증시험 결과보고서/승인문서(한국교통안전공단)</t>
        </is>
      </c>
      <c r="J28" s="70" t="inlineStr">
        <is>
          <t>"시설물검증시험계획을 운영자와 협의 수립하고 한국교통안전공단 전문기관 승인 수검"</t>
        </is>
      </c>
      <c r="K28" s="155">
        <f>HYPERLINK("매뉴얼BODY(집행단계-첨부폴더)v8\8.전기분야\27_시설물 검증시험\표준서\시설물 검증시험_표준서.html", "👉 [클릭] 표준서 열기 📄")</f>
        <v/>
      </c>
      <c r="L28" s="70" t="inlineStr">
        <is>
          <t>철도종합시험운행 시행지침 제12조/제13조에 의거 시설물검증시험계획 전문기관 승인, 시설물 정상작동, 안전상태, 차량 운행 적합성 검증 후 7일 내 공단 제출</t>
        </is>
      </c>
      <c r="M28" s="155">
        <f>HYPERLINK("매뉴얼BODY(집행단계-첨부폴더)v8\8.전기분야\27_시설물 검증시험\수행지침\시설물 검증시험_수행지침.html", "👉 [클릭] 수행지침 열기 📄")</f>
        <v/>
      </c>
      <c r="N28" s="70" t="inlineStr">
        <is>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is>
      </c>
      <c r="O28" s="155">
        <f>HYPERLINK("매뉴얼BODY(집행단계-첨부폴더)v8\8.전기분야\27_시설물 검증시험\체크리스트\시설물 검증시험_체크리스트.html", "👉 [클릭] 체크리스트 열기 📄")</f>
        <v/>
      </c>
      <c r="P28" s="10" t="n"/>
      <c r="Q28" s="71" t="n"/>
      <c r="R28" s="71" t="n"/>
      <c r="S28" s="71" t="n"/>
    </row>
    <row r="29" ht="159.6" customHeight="1" s="148">
      <c r="A29" s="55" t="inlineStr">
        <is>
          <t>9000</t>
        </is>
      </c>
      <c r="B29" s="55" t="inlineStr">
        <is>
          <t>9000-3</t>
        </is>
      </c>
      <c r="C29" s="70" t="inlineStr">
        <is>
          <t>전기분야</t>
        </is>
      </c>
      <c r="D29" s="55" t="inlineStr">
        <is>
          <t>9000-3-28</t>
        </is>
      </c>
      <c r="E29" s="55" t="inlineStr">
        <is>
          <t>영업시운전</t>
        </is>
      </c>
      <c r="F29" s="55" t="inlineStr">
        <is>
          <t>현장소장 및 발주처 / 공동감리단</t>
        </is>
      </c>
      <c r="G29" s="54" t="inlineStr">
        <is>
          <t>발주처는 영업시운전계획에 따라 열차운행체계를 확인하기 위해 영업시운전을 수행</t>
        </is>
      </c>
      <c r="H29" s="54" t="inlineStr">
        <is>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is>
      </c>
      <c r="I29" s="54" t="inlineStr">
        <is>
          <t>영업시운전 결과보고서/승인문서(한국교통안전공단), 국토부 승인문서</t>
        </is>
      </c>
      <c r="J29" s="70" t="inlineStr">
        <is>
          <t>"운영자-발주처 협의 영업시운전계획 수립, 국토부 전문기관(교통안전공단) 승인 완수"</t>
        </is>
      </c>
      <c r="K29" s="155">
        <f>HYPERLINK("매뉴얼BODY(집행단계-첨부폴더)v8\8.전기분야\28_영업시운전\표준서\영업시운전_표준서.html", "👉 [클릭] 표준서 열기 📄")</f>
        <v/>
      </c>
      <c r="L29" s="70" t="inlineStr">
        <is>
          <t>철도종합시험운행 시행지침 제22조/제23조에 의거 영업시운전계획 수립/승인, 영업 조건 열차운행, 종사자 업무 숙달 검증 후 결과보고서 공단 제출 및 국토부 보고</t>
        </is>
      </c>
      <c r="M29" s="155">
        <f>HYPERLINK("매뉴얼BODY(집행단계-첨부폴더)v8\8.전기분야\28_영업시운전\수행지침\영업시운전_수행지침.html", "👉 [클릭] 수행지침 열기 📄")</f>
        <v/>
      </c>
      <c r="N29" s="70" t="inlineStr">
        <is>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is>
      </c>
      <c r="O29" s="155">
        <f>HYPERLINK("매뉴얼BODY(집행단계-첨부폴더)v8\8.전기분야\28_영업시운전\체크리스트\영업시운전_체크리스트.html", "👉 [클릭] 체크리스트 열기 📄")</f>
        <v/>
      </c>
      <c r="P29" s="10" t="n"/>
      <c r="Q29" s="71" t="n"/>
      <c r="R29" s="71" t="n"/>
      <c r="S29" s="71" t="n"/>
    </row>
    <row r="30" ht="69.59999999999999" customHeight="1" s="148">
      <c r="A30" s="55" t="inlineStr">
        <is>
          <t>9000</t>
        </is>
      </c>
      <c r="B30" s="55" t="inlineStr">
        <is>
          <t>9000-3</t>
        </is>
      </c>
      <c r="C30" s="70" t="inlineStr">
        <is>
          <t>전기분야</t>
        </is>
      </c>
      <c r="D30" s="55" t="inlineStr">
        <is>
          <t>9000-3-29</t>
        </is>
      </c>
      <c r="E30" s="55" t="inlineStr">
        <is>
          <t>전기 사용신청</t>
        </is>
      </c>
      <c r="F30" s="55" t="inlineStr">
        <is>
          <t>시공사</t>
        </is>
      </c>
      <c r="G30" s="54" t="inlineStr">
        <is>
          <t>합법적인 전기 공급 계약 체결</t>
        </is>
      </c>
      <c r="H30" s="54" t="inlineStr">
        <is>
          <t>- 관할 한국전력공사에 신청서, 건축허가신청서, 위임장 및 관련서류 제출 (약 1개월 소요)</t>
        </is>
      </c>
      <c r="I30" s="70" t="inlineStr">
        <is>
          <t>전기사용신청 접수증명서, 시설부담금 고지서</t>
        </is>
      </c>
      <c r="J30" s="70" t="inlineStr">
        <is>
          <t>"관할 한국전력공사 제출용 전기사용신청서, 변전소 용량 계산서 및 위임장 작성"</t>
        </is>
      </c>
      <c r="K30" s="155">
        <f>HYPERLINK("매뉴얼BODY(집행단계-첨부폴더)v8\8.전기분야\29_전기 사용신청\표준서\전기 사용신청_표준서.html", "👉 [클릭] 표준서 열기 📄")</f>
        <v/>
      </c>
      <c r="L30" s="70" t="inlineStr">
        <is>
          <t>관할 한국전력공사에 전기사용신청서, 건축허가서, 수전 도면 및 위임장 제출 수속(소요 기간 약 1개월 관리) 및 수전 합의 완수</t>
        </is>
      </c>
      <c r="M30" s="155">
        <f>HYPERLINK("매뉴얼BODY(집행단계-첨부폴더)v8\8.전기분야\29_전기 사용신청\수행지침\전기 사용신청_수행지침.html", "👉 [클릭] 수행지침 열기 📄")</f>
        <v/>
      </c>
      <c r="N30" s="70" t="inlineStr">
        <is>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is>
      </c>
      <c r="O30" s="155">
        <f>HYPERLINK("매뉴얼BODY(집행단계-첨부폴더)v8\8.전기분야\29_전기 사용신청\체크리스트\전기 사용신청_체크리스트.html", "👉 [클릭] 체크리스트 열기 📄")</f>
        <v/>
      </c>
      <c r="P30" s="10" t="n"/>
      <c r="Q30" s="71" t="n"/>
      <c r="R30" s="71" t="n"/>
      <c r="S30" s="71" t="n"/>
    </row>
    <row r="31" ht="69.59999999999999" customHeight="1" s="148">
      <c r="A31" s="55" t="inlineStr">
        <is>
          <t>9000</t>
        </is>
      </c>
      <c r="B31" s="55" t="inlineStr">
        <is>
          <t>9000-3</t>
        </is>
      </c>
      <c r="C31" s="70" t="inlineStr">
        <is>
          <t>전기분야</t>
        </is>
      </c>
      <c r="D31" s="55" t="inlineStr">
        <is>
          <t>9000-3-30</t>
        </is>
      </c>
      <c r="E31" s="55" t="inlineStr">
        <is>
          <t>공사계획신고</t>
        </is>
      </c>
      <c r="F31" s="55" t="inlineStr">
        <is>
          <t>시공사</t>
        </is>
      </c>
      <c r="G31" s="54" t="inlineStr">
        <is>
          <t>공사 착수 전 법적 신고 이행</t>
        </is>
      </c>
      <c r="H31" s="54" t="inlineStr">
        <is>
          <t>- 관할 한국전기안전공사에 공사 착수 전에 공사계획서 및 신고서 제출</t>
        </is>
      </c>
      <c r="I31" s="70" t="inlineStr">
        <is>
          <t>공사계획신고 수리서</t>
        </is>
      </c>
      <c r="J31" s="70" t="inlineStr">
        <is>
          <t>"전기사업법 시행규칙에 맞춘 공사계획서 및 전기설비 공사계획신고서 정밀 작성"</t>
        </is>
      </c>
      <c r="K31" s="155">
        <f>HYPERLINK("매뉴얼BODY(집행단계-첨부폴더)v8\8.전기분야\30_공사계획신고\표준서\공사계획신고_표준서.html", "👉 [클릭] 표준서 열기 📄")</f>
        <v/>
      </c>
      <c r="L31" s="70" t="inlineStr">
        <is>
          <t>관할 한국전기안전공사에 전기 공사 착수 전 공사계획서, 기술자 자격증, 감리원 배치서 및 도면 제출 수속 완료</t>
        </is>
      </c>
      <c r="M31" s="155">
        <f>HYPERLINK("매뉴얼BODY(집행단계-첨부폴더)v8\8.전기분야\30_공사계획신고\수행지침\공사계획신고_수행지침.html", "👉 [클릭] 수행지침 열기 📄")</f>
        <v/>
      </c>
      <c r="N31" s="70" t="inlineStr">
        <is>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is>
      </c>
      <c r="O31" s="155">
        <f>HYPERLINK("매뉴얼BODY(집행단계-첨부폴더)v8\8.전기분야\30_공사계획신고\체크리스트\공사계획신고_체크리스트.html", "👉 [클릭] 체크리스트 열기 📄")</f>
        <v/>
      </c>
      <c r="P31" s="10" t="n"/>
      <c r="Q31" s="71" t="n"/>
      <c r="R31" s="71" t="n"/>
      <c r="S31" s="71" t="n"/>
    </row>
    <row r="32" ht="69.59999999999999" customHeight="1" s="148">
      <c r="A32" s="55" t="inlineStr">
        <is>
          <t>9000</t>
        </is>
      </c>
      <c r="B32" s="55" t="inlineStr">
        <is>
          <t>9000-3</t>
        </is>
      </c>
      <c r="C32" s="70" t="inlineStr">
        <is>
          <t>전기분야</t>
        </is>
      </c>
      <c r="D32" s="55" t="inlineStr">
        <is>
          <t>9000-3-31</t>
        </is>
      </c>
      <c r="E32" s="57" t="inlineStr">
        <is>
          <t>노면전차선로 적합성 검증</t>
        </is>
      </c>
      <c r="F32" s="55" t="inlineStr">
        <is>
          <t>시공사</t>
        </is>
      </c>
      <c r="G32" s="62" t="inlineStr">
        <is>
          <t>노면전차선로 품질 및 기술 적합성 검증</t>
        </is>
      </c>
      <c r="H32" s="54" t="inlineStr">
        <is>
          <t>- 한국전기철도기술협회에 차량시운전 전까지 수량조서 및 시공도면 제출 (처리기간 15일)</t>
        </is>
      </c>
      <c r="I32" s="70" t="inlineStr">
        <is>
          <t>전차선로 시공품질 검사증</t>
        </is>
      </c>
      <c r="J32" s="70" t="inlineStr">
        <is>
          <t>"노면전차선로 지주, 강성 가선, 브래킷 수량조서 및 시공 승인도면(Shop Drawing) 작성"</t>
        </is>
      </c>
      <c r="K32" s="155">
        <f>HYPERLINK("매뉴얼BODY(집행단계-첨부폴더)v8\8.전기분야\31_전차선로 적합성 검증\표준서\전차선로 적합성 검증_표준서.html", "👉 [클릭] 표준서 열기 📄")</f>
        <v/>
      </c>
      <c r="L32" s="70" t="inlineStr">
        <is>
          <t>한국전기철도기술협회에 차량 시운전 전까지 수량조서, 시공도면 및 시험성적서 제출(처리기간 15일)하여 적합성 검증 승인 완수</t>
        </is>
      </c>
      <c r="M32" s="155">
        <f>HYPERLINK("매뉴얼BODY(집행단계-첨부폴더)v8\8.전기분야\31_전차선로 적합성 검증\수행지침\전차선로 적합성 검증_수행지침.html", "👉 [클릭] 수행지침 열기 📄")</f>
        <v/>
      </c>
      <c r="N32" s="70" t="inlineStr">
        <is>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is>
      </c>
      <c r="O32" s="155">
        <f>HYPERLINK("매뉴얼BODY(집행단계-첨부폴더)v8\8.전기분야\31_전차선로 적합성 검증\체크리스트\전차선로 적합성 검증_체크리스트.html", "👉 [클릭] 체크리스트 열기 📄")</f>
        <v/>
      </c>
      <c r="P32" s="10" t="n"/>
      <c r="Q32" s="71" t="n"/>
      <c r="R32" s="71" t="n"/>
      <c r="S32" s="71" t="n"/>
    </row>
    <row r="33" ht="268.2" customHeight="1" s="148">
      <c r="A33" s="55" t="inlineStr">
        <is>
          <t>9000</t>
        </is>
      </c>
      <c r="B33" s="55" t="inlineStr">
        <is>
          <t>9000-3</t>
        </is>
      </c>
      <c r="C33" s="70" t="inlineStr">
        <is>
          <t>전기분야</t>
        </is>
      </c>
      <c r="D33" s="55" t="inlineStr">
        <is>
          <t>9000-3-32</t>
        </is>
      </c>
      <c r="E33" s="55" t="inlineStr">
        <is>
          <t>전기 사용전검사 (전력/전차선/송변전)</t>
        </is>
      </c>
      <c r="F33" s="55" t="inlineStr">
        <is>
          <t>시공사</t>
        </is>
      </c>
      <c r="G33" s="54" t="inlineStr">
        <is>
          <t>준공 전 설비의 안전성 및 안전기준 부합 여부 판정</t>
        </is>
      </c>
      <c r="H33" s="54" t="inlineStr">
        <is>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is>
      </c>
      <c r="I33" s="70" t="inlineStr">
        <is>
          <t>사용전검사 확인증(필증)
※ 송변전의 경우 한국전기안전공사 검사에 시공사 입회</t>
        </is>
      </c>
      <c r="J33" s="70" t="inlineStr">
        <is>
          <t>"전기설비 설치 완료 후 7일 전 사용전검사신청서, 감리배치서, 단선도, 자재성적서 제출"</t>
        </is>
      </c>
      <c r="K33" s="155">
        <f>HYPERLINK("매뉴얼BODY(집행단계-첨부폴더)v8\8.전기분야\32_전기 사용전검사 (전력_전차선_송변전)\표준서\전기 사용전검사 (전력_전차선_송변전)_표준서.html", "👉 [클릭] 표준서 열기 📄")</f>
        <v/>
      </c>
      <c r="L33" s="70" t="inlineStr">
        <is>
          <t>전기사업법 제63조, 도로법 제56조, 도로교통법 제69조에 의거 한국전기안전공사 사용전검사(7일전 신청), 지자체 도로점용허가(2주전), 경찰서 도로공사신고(3일전) 통합 수검 완료</t>
        </is>
      </c>
      <c r="M33" s="155">
        <f>HYPERLINK("매뉴얼BODY(집행단계-첨부폴더)v8\8.전기분야\32_전기 사용전검사 (전력_전차선_송변전)\수행지침\전기 사용전검사 (전력_전차선_송변전)_수행지침.html", "👉 [클릭] 수행지침 열기 📄")</f>
        <v/>
      </c>
      <c r="N33" s="70" t="inlineStr">
        <is>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is>
      </c>
      <c r="O33" s="155">
        <f>HYPERLINK("매뉴얼BODY(집행단계-첨부폴더)v8\8.전기분야\32_전기 사용전검사 (전력_전차선_송변전)\체크리스트\전기 사용전검사 (전력_전차선_송변전)_체크리스트.html", "👉 [클릭] 체크리스트 열기 📄")</f>
        <v/>
      </c>
      <c r="P33" s="10" t="n"/>
      <c r="Q33" s="71" t="n"/>
      <c r="R33" s="71" t="n"/>
      <c r="S33" s="71" t="n"/>
    </row>
  </sheetData>
  <printOptions horizontalCentered="1"/>
  <pageMargins left="0.7480314960629921" right="0.7480314960629921" top="0.984251968503937" bottom="0.984251968503937" header="0.5118110236220472" footer="0.5118110236220472"/>
  <pageSetup orientation="landscape" paperSize="8" scale="37" verticalDpi="0"/>
  <rowBreaks count="1" manualBreakCount="1">
    <brk id="28" min="0" max="15" man="1"/>
  </rowBreaks>
</worksheet>
</file>

<file path=xl/worksheets/sheet13.xml><?xml version="1.0" encoding="utf-8"?>
<worksheet xmlns="http://schemas.openxmlformats.org/spreadsheetml/2006/main">
  <sheetPr codeName="Sheet10">
    <outlinePr summaryBelow="1" summaryRight="1"/>
    <pageSetUpPr/>
  </sheetPr>
  <dimension ref="A1:A1"/>
  <sheetViews>
    <sheetView view="pageBreakPreview" topLeftCell="A13" zoomScale="115" zoomScaleNormal="85" zoomScaleSheetLayoutView="115" workbookViewId="0">
      <selection activeCell="M25" sqref="M25"/>
    </sheetView>
  </sheetViews>
  <sheetFormatPr baseColWidth="8" defaultRowHeight="17.4"/>
  <sheetData/>
  <printOptions horizontalCentered="1"/>
  <pageMargins left="0.7086614173228347" right="0.7086614173228347" top="0.7480314960629921" bottom="0.7480314960629921" header="0.3149606299212598" footer="0.3149606299212598"/>
  <pageSetup orientation="landscape" paperSize="9"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2026-07-17T08:07:08Z</dcterms:created>
  <dcterms:modified xmlns:dcterms="http://purl.org/dc/terms/" xmlns:xsi="http://www.w3.org/2001/XMLSchema-instance" xsi:type="dcterms:W3CDTF">2026-08-14T10:39:39Z</dcterms:modified>
  <cp:lastModifiedBy>재형 김</cp:lastModifiedBy>
  <cp:lastPrinted>2026-07-25T07:01:45Z</cp:lastPrinted>
</cp:coreProperties>
</file>