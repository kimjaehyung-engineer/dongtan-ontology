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771" firstSheet="0" activeTab="9" autoFilterDateGrouping="1"/>
  </bookViews>
  <sheets>
    <sheet xmlns:r="http://schemas.openxmlformats.org/officeDocument/2006/relationships" name="지반조사" sheetId="1" state="visible" r:id="rId1"/>
    <sheet xmlns:r="http://schemas.openxmlformats.org/officeDocument/2006/relationships" name="사전토공사" sheetId="2" state="visible" r:id="rId2"/>
    <sheet xmlns:r="http://schemas.openxmlformats.org/officeDocument/2006/relationships" name="지장물이설" sheetId="3" state="visible" r:id="rId3"/>
    <sheet xmlns:r="http://schemas.openxmlformats.org/officeDocument/2006/relationships" name="상부강화노반" sheetId="4" state="visible" r:id="rId4"/>
    <sheet xmlns:r="http://schemas.openxmlformats.org/officeDocument/2006/relationships" name="콘크리트도상" sheetId="5" state="visible" r:id="rId5"/>
    <sheet xmlns:r="http://schemas.openxmlformats.org/officeDocument/2006/relationships" name="건축" sheetId="6" state="visible" r:id="rId6"/>
    <sheet xmlns:r="http://schemas.openxmlformats.org/officeDocument/2006/relationships" name="신호" sheetId="7" state="visible" r:id="rId7"/>
    <sheet xmlns:r="http://schemas.openxmlformats.org/officeDocument/2006/relationships" name="전기" sheetId="8" state="visible" r:id="rId8"/>
    <sheet xmlns:r="http://schemas.openxmlformats.org/officeDocument/2006/relationships" name="통신" sheetId="9" state="visible" r:id="rId9"/>
    <sheet xmlns:r="http://schemas.openxmlformats.org/officeDocument/2006/relationships" name="기계" sheetId="10" state="visible" r:id="rId10"/>
    <sheet xmlns:r="http://schemas.openxmlformats.org/officeDocument/2006/relationships" name="철도종합시운전" sheetId="11" state="visible" r:id="rId11"/>
  </sheets>
  <definedNames>
    <definedName name="_xlnm.Print_Area" localSheetId="0">'지반조사'!$A$1:$T$37</definedName>
    <definedName name="_xlnm.Print_Titles" localSheetId="1">'사전토공사'!$1:$1</definedName>
    <definedName name="_xlnm.Print_Area" localSheetId="1">'사전토공사'!$A$1:$T$32</definedName>
    <definedName name="_xlnm.Print_Titles" localSheetId="2">'지장물이설'!$1:$1</definedName>
    <definedName name="_xlnm.Print_Area" localSheetId="2">'지장물이설'!$A$1:$S$39</definedName>
    <definedName name="_xlnm.Print_Area" localSheetId="3">'상부강화노반'!$A$1:$S$37</definedName>
    <definedName name="_xlnm.Print_Titles" localSheetId="4">'콘크리트도상'!$1:$1</definedName>
    <definedName name="_xlnm.Print_Area" localSheetId="4">'콘크리트도상'!$A$1:$R$24</definedName>
    <definedName name="_xlnm.Print_Area" localSheetId="5">'건축'!$A$1:$S$51</definedName>
    <definedName name="_xlnm.Print_Titles" localSheetId="6">'신호'!$1:$1</definedName>
    <definedName name="_xlnm.Print_Area" localSheetId="6">'신호'!$A$1:$S$23</definedName>
    <definedName name="_xlnm.Print_Area" localSheetId="7">'전기'!$A$1:$S$33</definedName>
    <definedName name="_xlnm.Print_Area" localSheetId="8">'통신'!$A$1:$S$33</definedName>
  </definedNames>
  <calcPr calcId="191029" fullCalcOnLoad="1"/>
</workbook>
</file>

<file path=xl/styles.xml><?xml version="1.0" encoding="utf-8"?>
<styleSheet xmlns="http://schemas.openxmlformats.org/spreadsheetml/2006/main">
  <numFmts count="1">
    <numFmt numFmtId="164" formatCode="yyyy/m/d;@"/>
  </numFmts>
  <fonts count="27">
    <font>
      <name val="맑은 고딕"/>
      <family val="2"/>
      <color theme="1"/>
      <sz val="11"/>
      <scheme val="minor"/>
    </font>
    <font>
      <name val="맑은 고딕"/>
      <charset val="129"/>
      <family val="3"/>
      <sz val="8"/>
      <scheme val="minor"/>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charset val="129"/>
      <family val="3"/>
      <sz val="12"/>
      <scheme val="minor"/>
    </font>
    <font>
      <name val="맑은 고딕"/>
      <family val="2"/>
      <sz val="11"/>
      <scheme val="minor"/>
    </font>
    <font>
      <name val="맑은 고딕"/>
      <charset val="129"/>
      <family val="3"/>
      <sz val="11"/>
      <scheme val="minor"/>
    </font>
    <font>
      <name val="맑은 고딕"/>
      <charset val="129"/>
      <family val="3"/>
      <color rgb="FF0563C1"/>
      <sz val="9"/>
      <u val="single"/>
    </font>
    <font>
      <name val="맑은 고딕"/>
      <charset val="129"/>
      <family val="3"/>
      <b val="1"/>
      <color rgb="FF047857"/>
      <sz val="10"/>
      <u val="single"/>
    </font>
    <font>
      <name val="맑은 고딕"/>
      <charset val="129"/>
      <family val="3"/>
      <b val="1"/>
      <color rgb="FF0284C7"/>
      <sz val="10"/>
      <u val="single"/>
    </font>
    <font>
      <name val="맑은 고딕"/>
      <charset val="129"/>
      <family val="3"/>
      <b val="1"/>
      <color rgb="FFD97706"/>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s>
  <fills count="7">
    <fill>
      <patternFill/>
    </fill>
    <fill>
      <patternFill patternType="gray125"/>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001E293B"/>
        <bgColor rgb="001E293B"/>
      </patternFill>
    </fill>
    <fill>
      <patternFill patternType="solid">
        <fgColor rgb="00F8FAFC"/>
        <bgColor rgb="00F8FAFC"/>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style="thin">
        <color auto="1"/>
      </left>
      <right style="thin">
        <color auto="1"/>
      </right>
      <top style="thin">
        <color auto="1"/>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07">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0" applyAlignment="1" pivotButton="0" quotePrefix="0" xfId="0">
      <alignment horizontal="center" vertical="center" wrapText="1"/>
    </xf>
    <xf numFmtId="0" fontId="0" fillId="0" borderId="3" applyAlignment="1" pivotButton="0" quotePrefix="0" xfId="0">
      <alignment horizontal="center" vertical="center" wrapText="1"/>
    </xf>
    <xf numFmtId="0" fontId="6" fillId="3" borderId="2" applyAlignment="1" pivotButton="0" quotePrefix="0" xfId="0">
      <alignment horizontal="center" vertical="center" wrapText="1"/>
    </xf>
    <xf numFmtId="0" fontId="2"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0" applyAlignment="1" pivotButton="0" quotePrefix="0" xfId="0">
      <alignment horizontal="center" vertical="center" wrapText="1"/>
    </xf>
    <xf numFmtId="0" fontId="2" fillId="3" borderId="1" applyAlignment="1" pivotButton="0" quotePrefix="0" xfId="0">
      <alignment horizontal="center" vertical="center" wrapText="1"/>
    </xf>
    <xf numFmtId="0" fontId="6" fillId="4" borderId="1" applyAlignment="1" pivotButton="0" quotePrefix="0" xfId="0">
      <alignment horizontal="left"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2" fillId="0" borderId="1" applyAlignment="1" pivotButton="0" quotePrefix="0" xfId="0">
      <alignment vertical="center" wrapText="1"/>
    </xf>
    <xf numFmtId="0" fontId="2" fillId="4" borderId="5" applyAlignment="1" pivotButton="0" quotePrefix="0" xfId="0">
      <alignment horizontal="center" vertical="center" wrapText="1"/>
    </xf>
    <xf numFmtId="0" fontId="2" fillId="3" borderId="5" applyAlignment="1" pivotButton="0" quotePrefix="0" xfId="0">
      <alignment horizontal="center" vertical="center" wrapText="1"/>
    </xf>
    <xf numFmtId="0" fontId="3" fillId="0" borderId="1" applyAlignment="1" pivotButton="0" quotePrefix="0" xfId="0">
      <alignment horizontal="center" vertical="center" wrapText="1"/>
    </xf>
    <xf numFmtId="0" fontId="13" fillId="0" borderId="1" applyAlignment="1" pivotButton="0" quotePrefix="0" xfId="0">
      <alignment vertical="center" wrapText="1"/>
    </xf>
    <xf numFmtId="0" fontId="6" fillId="4" borderId="5" applyAlignment="1" pivotButton="0" quotePrefix="0" xfId="0">
      <alignment horizontal="center" vertical="center" wrapText="1"/>
    </xf>
    <xf numFmtId="0" fontId="3" fillId="0" borderId="3" applyAlignment="1" pivotButton="0" quotePrefix="0" xfId="0">
      <alignment horizontal="left" vertical="center" wrapText="1"/>
    </xf>
    <xf numFmtId="0" fontId="3" fillId="0" borderId="1" applyAlignment="1" pivotButton="0" quotePrefix="0" xfId="0">
      <alignment horizontal="left" vertical="center" wrapText="1"/>
    </xf>
    <xf numFmtId="0" fontId="3" fillId="0" borderId="0" applyAlignment="1" pivotButton="0" quotePrefix="0" xfId="0">
      <alignment vertical="center"/>
    </xf>
    <xf numFmtId="0" fontId="0" fillId="0" borderId="1" applyAlignment="1" pivotButton="0" quotePrefix="0" xfId="0">
      <alignment horizontal="left" vertical="center" wrapText="1"/>
    </xf>
    <xf numFmtId="0" fontId="0" fillId="0" borderId="3" applyAlignment="1" pivotButton="0" quotePrefix="0" xfId="0">
      <alignment horizontal="left" vertical="center" wrapText="1"/>
    </xf>
    <xf numFmtId="0" fontId="0" fillId="0" borderId="0" applyAlignment="1" pivotButton="0" quotePrefix="0" xfId="0">
      <alignment vertical="center"/>
    </xf>
    <xf numFmtId="0" fontId="6" fillId="4" borderId="1" applyAlignment="1" pivotButton="0" quotePrefix="0" xfId="0">
      <alignment horizontal="center" vertical="top" wrapText="1"/>
    </xf>
    <xf numFmtId="0" fontId="0" fillId="0" borderId="0" applyAlignment="1" pivotButton="0" quotePrefix="0" xfId="0">
      <alignment vertical="top" wrapText="1"/>
    </xf>
    <xf numFmtId="0" fontId="15" fillId="0" borderId="1" applyAlignment="1" pivotButton="0" quotePrefix="1" xfId="0">
      <alignment vertical="center" wrapText="1"/>
    </xf>
    <xf numFmtId="0" fontId="15" fillId="0" borderId="1" applyAlignment="1" pivotButton="0" quotePrefix="0" xfId="0">
      <alignment vertical="center" wrapText="1"/>
    </xf>
    <xf numFmtId="0" fontId="16" fillId="0" borderId="1" applyAlignment="1" pivotButton="0" quotePrefix="0" xfId="0">
      <alignment vertical="center" wrapText="1"/>
    </xf>
    <xf numFmtId="0" fontId="4" fillId="2" borderId="1" applyAlignment="1" pivotButton="0" quotePrefix="0" xfId="0">
      <alignment horizontal="center" vertical="center" wrapText="1"/>
    </xf>
    <xf numFmtId="0" fontId="16" fillId="0" borderId="1" applyAlignment="1" pivotButton="0" quotePrefix="1" xfId="0">
      <alignment horizontal="left" vertical="center" wrapText="1"/>
    </xf>
    <xf numFmtId="0" fontId="0" fillId="0" borderId="1" applyAlignment="1" pivotButton="0" quotePrefix="0" xfId="0">
      <alignment horizontal="left" vertical="top" wrapText="1"/>
    </xf>
    <xf numFmtId="0" fontId="15" fillId="0" borderId="1" applyAlignment="1" pivotButton="0" quotePrefix="1" xfId="0">
      <alignment horizontal="left" vertical="center" wrapText="1"/>
    </xf>
    <xf numFmtId="0" fontId="16"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3" fillId="0" borderId="1" applyAlignment="1" pivotButton="0" quotePrefix="0" xfId="0">
      <alignment vertical="center" wrapText="1"/>
    </xf>
    <xf numFmtId="0" fontId="3" fillId="0" borderId="1" applyAlignment="1" pivotButton="0" quotePrefix="0" xfId="0">
      <alignment horizontal="left" vertical="top" wrapText="1"/>
    </xf>
    <xf numFmtId="0" fontId="14" fillId="0" borderId="1" applyAlignment="1" pivotButton="0" quotePrefix="0" xfId="0">
      <alignment horizontal="left" vertical="top" wrapText="1"/>
    </xf>
    <xf numFmtId="0" fontId="3" fillId="2" borderId="1" applyAlignment="1" pivotButton="0" quotePrefix="0" xfId="0">
      <alignment horizontal="center" vertical="center" wrapText="1"/>
    </xf>
    <xf numFmtId="0" fontId="3" fillId="0" borderId="1" pivotButton="0" quotePrefix="0" xfId="0"/>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horizontal="left" vertical="top" wrapText="1"/>
    </xf>
    <xf numFmtId="0" fontId="7" fillId="0" borderId="1" applyAlignment="1" pivotButton="0" quotePrefix="0" xfId="0">
      <alignment horizontal="left" vertical="top" wrapText="1"/>
    </xf>
    <xf numFmtId="0" fontId="4" fillId="2" borderId="1" applyAlignment="1" pivotButton="0" quotePrefix="0" xfId="0">
      <alignment horizontal="left" vertical="center" wrapText="1"/>
    </xf>
    <xf numFmtId="0" fontId="4" fillId="2" borderId="1" applyAlignment="1" pivotButton="0" quotePrefix="0" xfId="0">
      <alignment horizontal="left" vertical="top" wrapText="1"/>
    </xf>
    <xf numFmtId="0" fontId="3" fillId="2" borderId="1" applyAlignment="1" pivotButton="0" quotePrefix="0" xfId="0">
      <alignment vertical="center" wrapText="1"/>
    </xf>
    <xf numFmtId="0" fontId="0" fillId="0" borderId="1" pivotButton="0" quotePrefix="0" xfId="0"/>
    <xf numFmtId="0" fontId="5" fillId="0" borderId="1" applyAlignment="1" pivotButton="0" quotePrefix="0" xfId="0">
      <alignment horizontal="left" vertical="top" wrapText="1"/>
    </xf>
    <xf numFmtId="0" fontId="5" fillId="0" borderId="1" applyAlignment="1" pivotButton="0" quotePrefix="0" xfId="0">
      <alignment horizontal="left" vertical="center" wrapText="1"/>
    </xf>
    <xf numFmtId="0" fontId="8" fillId="0" borderId="1" applyAlignment="1" pivotButton="0" quotePrefix="0" xfId="0">
      <alignment horizontal="left" vertical="top" wrapText="1"/>
    </xf>
    <xf numFmtId="0" fontId="14" fillId="0" borderId="1" applyAlignment="1" pivotButton="0" quotePrefix="0" xfId="0">
      <alignment vertical="center" wrapText="1"/>
    </xf>
    <xf numFmtId="0" fontId="9" fillId="0" borderId="1" applyAlignment="1" pivotButton="0" quotePrefix="0" xfId="0">
      <alignment vertical="center" readingOrder="1"/>
    </xf>
    <xf numFmtId="0" fontId="0" fillId="0" borderId="1" applyAlignment="1" pivotButton="0" quotePrefix="0" xfId="0">
      <alignment horizontal="left" vertical="center"/>
    </xf>
    <xf numFmtId="0" fontId="11" fillId="0" borderId="1" applyAlignment="1" pivotButton="0" quotePrefix="0" xfId="0">
      <alignment vertical="center" readingOrder="1"/>
    </xf>
    <xf numFmtId="0" fontId="10" fillId="0" borderId="1" applyAlignment="1" pivotButton="0" quotePrefix="0" xfId="0">
      <alignment horizontal="left" vertical="center" indent="1" readingOrder="1"/>
    </xf>
    <xf numFmtId="0" fontId="9" fillId="0" borderId="1" applyAlignment="1" pivotButton="0" quotePrefix="0" xfId="0">
      <alignment horizontal="left" vertical="center" indent="1" readingOrder="1"/>
    </xf>
    <xf numFmtId="14"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0" fillId="0" borderId="0" applyAlignment="1" pivotButton="0" quotePrefix="0" xfId="0">
      <alignment horizontal="center"/>
    </xf>
    <xf numFmtId="0" fontId="0" fillId="0" borderId="0" applyAlignment="1" pivotButton="0" quotePrefix="0" xfId="0">
      <alignment horizontal="left"/>
    </xf>
    <xf numFmtId="0" fontId="17" fillId="0" borderId="1" applyAlignment="1" pivotButton="0" quotePrefix="0" xfId="0">
      <alignment horizontal="center" vertical="center" wrapText="1"/>
    </xf>
    <xf numFmtId="0" fontId="17" fillId="0" borderId="1" applyAlignment="1" pivotButton="0" quotePrefix="0" xfId="0">
      <alignment horizontal="left" vertical="top" wrapText="1"/>
    </xf>
    <xf numFmtId="0" fontId="17" fillId="0" borderId="1" pivotButton="0" quotePrefix="0" xfId="0"/>
    <xf numFmtId="0" fontId="17" fillId="2" borderId="1" applyAlignment="1" pivotButton="0" quotePrefix="0" xfId="0">
      <alignment horizontal="center" vertical="center" wrapText="1"/>
    </xf>
    <xf numFmtId="0" fontId="17" fillId="2" borderId="1" applyAlignment="1" pivotButton="0" quotePrefix="0" xfId="0">
      <alignment horizontal="left" vertical="top" wrapText="1"/>
    </xf>
    <xf numFmtId="0" fontId="17" fillId="0" borderId="3" applyAlignment="1" pivotButton="0" quotePrefix="0" xfId="0">
      <alignment horizontal="left" vertical="center" wrapText="1"/>
    </xf>
    <xf numFmtId="0" fontId="17" fillId="0" borderId="4" applyAlignment="1" pivotButton="0" quotePrefix="0" xfId="0">
      <alignment horizontal="left" vertical="center" wrapText="1"/>
    </xf>
    <xf numFmtId="0" fontId="18" fillId="0" borderId="1" applyAlignment="1" pivotButton="0" quotePrefix="0" xfId="0">
      <alignment horizontal="center" vertical="center"/>
    </xf>
    <xf numFmtId="0" fontId="19" fillId="0" borderId="1" applyAlignment="1" pivotButton="0" quotePrefix="0" xfId="0">
      <alignment horizontal="center" vertical="center"/>
    </xf>
    <xf numFmtId="0" fontId="20" fillId="0" borderId="1" applyAlignment="1" pivotButton="0" quotePrefix="0" xfId="0">
      <alignment horizontal="center" vertical="center"/>
    </xf>
    <xf numFmtId="0" fontId="18"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0" fillId="0" borderId="4" applyAlignment="1" pivotButton="0" quotePrefix="0" xfId="0">
      <alignment horizontal="center" vertical="center"/>
    </xf>
    <xf numFmtId="0" fontId="18"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0" borderId="0" applyAlignment="1" pivotButton="0" quotePrefix="0" xfId="0">
      <alignment horizontal="center" vertical="center" wrapText="1"/>
    </xf>
    <xf numFmtId="164" fontId="4" fillId="0" borderId="1" applyAlignment="1" pivotButton="0" quotePrefix="0" xfId="0">
      <alignment horizontal="center" vertical="center" wrapText="1"/>
    </xf>
    <xf numFmtId="0" fontId="21" fillId="5" borderId="6" applyAlignment="1" pivotButton="0" quotePrefix="0" xfId="0">
      <alignment horizontal="center" vertical="center"/>
    </xf>
    <xf numFmtId="0" fontId="22" fillId="0" borderId="6" applyAlignment="1" pivotButton="0" quotePrefix="0" xfId="0">
      <alignment horizontal="center" vertical="center"/>
    </xf>
    <xf numFmtId="164" fontId="22" fillId="0" borderId="6" applyAlignment="1" pivotButton="0" quotePrefix="0" xfId="0">
      <alignment horizontal="center" vertical="center"/>
    </xf>
    <xf numFmtId="0" fontId="23" fillId="0" borderId="6" applyAlignment="1" pivotButton="0" quotePrefix="0" xfId="0">
      <alignment horizontal="center" vertical="center"/>
    </xf>
    <xf numFmtId="164" fontId="23" fillId="0" borderId="6" applyAlignment="1" pivotButton="0" quotePrefix="0" xfId="0">
      <alignment horizontal="center" vertical="center"/>
    </xf>
    <xf numFmtId="0" fontId="22" fillId="0" borderId="6" applyAlignment="1" pivotButton="0" quotePrefix="0" xfId="0">
      <alignment horizontal="left" vertical="center" wrapText="1"/>
    </xf>
    <xf numFmtId="0" fontId="23" fillId="2" borderId="6" applyAlignment="1" pivotButton="0" quotePrefix="0" xfId="0">
      <alignment horizontal="left" vertical="center" wrapText="1"/>
    </xf>
    <xf numFmtId="0" fontId="23" fillId="0" borderId="6" applyAlignment="1" pivotButton="0" quotePrefix="0" xfId="0">
      <alignment horizontal="left" vertical="center" wrapText="1"/>
    </xf>
    <xf numFmtId="0" fontId="24" fillId="0" borderId="6" applyAlignment="1" pivotButton="0" quotePrefix="0" xfId="0">
      <alignment horizontal="center" vertical="center"/>
    </xf>
    <xf numFmtId="0" fontId="25" fillId="0" borderId="6" applyAlignment="1" pivotButton="0" quotePrefix="0" xfId="0">
      <alignment horizontal="center" vertical="center"/>
    </xf>
    <xf numFmtId="0" fontId="26" fillId="0" borderId="6" applyAlignment="1" pivotButton="0" quotePrefix="0" xfId="0">
      <alignment horizontal="center" vertical="center"/>
    </xf>
    <xf numFmtId="0" fontId="22" fillId="6" borderId="6" applyAlignment="1" pivotButton="0" quotePrefix="0" xfId="0">
      <alignment horizontal="center" vertical="center"/>
    </xf>
    <xf numFmtId="164" fontId="22" fillId="6" borderId="6" applyAlignment="1" pivotButton="0" quotePrefix="0" xfId="0">
      <alignment horizontal="center" vertical="center"/>
    </xf>
    <xf numFmtId="164" fontId="23" fillId="6" borderId="6" applyAlignment="1" pivotButton="0" quotePrefix="0" xfId="0">
      <alignment horizontal="center" vertical="center"/>
    </xf>
    <xf numFmtId="0" fontId="22" fillId="6" borderId="6" applyAlignment="1" pivotButton="0" quotePrefix="0" xfId="0">
      <alignment horizontal="left" vertical="center" wrapText="1"/>
    </xf>
    <xf numFmtId="0" fontId="23" fillId="6" borderId="6" applyAlignment="1" pivotButton="0" quotePrefix="0" xfId="0">
      <alignment horizontal="center" vertical="center"/>
    </xf>
    <xf numFmtId="0" fontId="23" fillId="6" borderId="6" applyAlignment="1" pivotButton="0" quotePrefix="0" xfId="0">
      <alignment horizontal="left" vertical="center" wrapText="1"/>
    </xf>
    <xf numFmtId="0" fontId="24" fillId="6" borderId="6" applyAlignment="1" pivotButton="0" quotePrefix="0" xfId="0">
      <alignment horizontal="center" vertical="center"/>
    </xf>
    <xf numFmtId="0" fontId="25" fillId="6" borderId="6" applyAlignment="1" pivotButton="0" quotePrefix="0" xfId="0">
      <alignment horizontal="center" vertical="center"/>
    </xf>
    <xf numFmtId="0" fontId="26" fillId="6" borderId="6" applyAlignment="1" pivotButton="0" quotePrefix="0" xfId="0">
      <alignment horizontal="center" vertical="center"/>
    </xf>
    <xf numFmtId="14" fontId="23" fillId="6" borderId="6" applyAlignment="1" pivotButton="0" quotePrefix="0" xfId="0">
      <alignment horizontal="center" vertical="center"/>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EB%B6%84%EC%95%BC%EB%B3%84%EC%84%A4%EA%B3%84%EA%B8%B0%EC%A4%80%28%EC%84%A4%EA%B3%84%EC%82%AC%EC%A0%95%EB%A6%AC%29/%EB%8F%84%EB%A1%9C%EA%B3%B5%EC%82%AC%EC%9E%A5%20%EA%B5%90%ED%86%B5%EA%B4%80%EB%A6%AC%EC%A7%80%EC%B9%A8%20%EC%A0%84%EB%AC%B8.pdf" TargetMode="External" Id="rId1"/><Relationship Type="http://schemas.openxmlformats.org/officeDocument/2006/relationships/hyperlink" Target="2.%EC%82%AC%EC%A0%84%ED%86%A0%EA%B3%B5%EC%82%AC/1_Site%20Survey/%EC%B2%B4%ED%81%AC%EB%A6%AC%EC%8A%A4%ED%8A%B8/Site%20Survey_%EC%B2%B4%ED%81%AC%EB%A6%AC%EC%8A%A4%ED%8A%B8.html" TargetMode="External" Id="rId2"/><Relationship Type="http://schemas.openxmlformats.org/officeDocument/2006/relationships/hyperlink" Target="%EB%B6%84%EC%95%BC%EB%B3%84%EC%84%A4%EA%B3%84%EA%B8%B0%EC%A4%80%28%EC%84%A4%EA%B3%84%EC%82%AC%EC%A0%95%EB%A6%AC%29/%EB%8F%84%EB%A1%9C%EA%B3%B5%EC%82%AC%EC%9E%A5%20%EA%B5%90%ED%86%B5%EA%B4%80%EB%A6%AC%EC%A7%80%EC%B9%A8%20%EC%A0%84%EB%AC%B8.pdf" TargetMode="External" Id="rId3"/><Relationship Type="http://schemas.openxmlformats.org/officeDocument/2006/relationships/hyperlink" Target="2.%EC%82%AC%EC%A0%84%ED%86%A0%EA%B3%B5%EC%82%AC/5_%EA%B3%B5%EC%82%AC%EC%A4%91%20%EA%B5%90%ED%86%B5%EC%B2%98%EB%A6%AC%EA%B3%84%ED%9A%8D/%EC%B2%B4%ED%81%AC%EB%A6%AC%EC%8A%A4%ED%8A%B8/%EA%B3%B5%EC%82%AC%EC%A4%91%20%EA%B5%90%ED%86%B5%EC%B2%98%EB%A6%AC%EA%B3%84%ED%9A%8D_%EC%B2%B4%ED%81%AC%EB%A6%AC%EC%8A%A4%ED%8A%B8.html" TargetMode="External" Id="rId4"/><Relationship Type="http://schemas.openxmlformats.org/officeDocument/2006/relationships/hyperlink" Target="%EB%B6%84%EC%95%BC%EB%B3%84%EC%84%A4%EA%B3%84%EA%B8%B0%EC%A4%80%28%EC%84%A4%EA%B3%84%EC%82%AC%EC%A0%95%EB%A6%AC%29/%EB%8F%84%EB%A1%9C%EA%B3%B5%EC%82%AC%EC%9E%A5%20%EA%B5%90%ED%86%B5%EA%B4%80%EB%A6%AC%EC%A7%80%EC%B9%A8%20%EC%A0%84%EB%AC%B8.pdf" TargetMode="External" Id="rId5"/><Relationship Type="http://schemas.openxmlformats.org/officeDocument/2006/relationships/hyperlink" Target="2.%EC%82%AC%EC%A0%84%ED%86%A0%EA%B3%B5%EC%82%AC/3_Site%20Survey%20Risk%20%EA%B2%80%ED%86%A0/%EC%B2%B4%ED%81%AC%EB%A6%AC%EC%8A%A4%ED%8A%B8/Site%20Survey%20Risk%20%EA%B2%80%ED%86%A0_%EC%B2%B4%ED%81%AC%EB%A6%AC%EC%8A%A4%ED%8A%B8.html" TargetMode="External" Id="rId6"/><Relationship Type="http://schemas.openxmlformats.org/officeDocument/2006/relationships/hyperlink" Target="%EB%B6%84%EC%95%BC%EB%B3%84%EC%84%A4%EA%B3%84%EA%B8%B0%EC%A4%80%28%EC%84%A4%EA%B3%84%EC%82%AC%EC%A0%95%EB%A6%AC%29/%EB%8F%84%EB%A1%9C%EA%B3%B5%EC%82%AC%EC%9E%A5%20%EA%B5%90%ED%86%B5%EA%B4%80%EB%A6%AC%EC%A7%80%EC%B9%A8%20%EC%A0%84%EB%AC%B8.pdf" TargetMode="External" Id="rId7"/><Relationship Type="http://schemas.openxmlformats.org/officeDocument/2006/relationships/hyperlink" Target="2.%EC%82%AC%EC%A0%84%ED%86%A0%EA%B3%B5%EC%82%AC/4_%EC%B5%9C%EA%B3%A0%EC%9D%98%20%ED%8C%80%20%EB%A7%8C%EB%93%A4%EA%B8%B0%20%EC%A7%80%EC%9B%90/%EC%B2%B4%ED%81%AC%EB%A6%AC%EC%8A%A4%ED%8A%B8/%EC%B5%9C%EA%B3%A0%EC%9D%98%20%ED%8C%80%20%EB%A7%8C%EB%93%A4%EA%B8%B0%20%EC%A7%80%EC%9B%90_%EC%B2%B4%ED%81%AC%EB%A6%AC%EC%8A%A4%ED%8A%B8.html" TargetMode="External" Id="rId8"/><Relationship Type="http://schemas.openxmlformats.org/officeDocument/2006/relationships/hyperlink" Target="%EB%B6%84%EC%95%BC%EB%B3%84%EC%84%A4%EA%B3%84%EA%B8%B0%EC%A4%80%28%EC%84%A4%EA%B3%84%EC%82%AC%EC%A0%95%EB%A6%AC%29/%EB%8F%84%EB%A1%9C%EA%B3%B5%EC%82%AC%EC%9E%A5%20%EA%B5%90%ED%86%B5%EA%B4%80%EB%A6%AC%EC%A7%80%EC%B9%A8%20%EC%A0%84%EB%AC%B8.pdf" TargetMode="External" Id="rId9"/><Relationship Type="http://schemas.openxmlformats.org/officeDocument/2006/relationships/hyperlink" Target="2.%EC%82%AC%EC%A0%84%ED%86%A0%EA%B3%B5%EC%82%AC/2_%EB%B0%9C%EC%A3%BC%EC%A0%84%EB%9E%B5%20KOM/%EC%B2%B4%ED%81%AC%EB%A6%AC%EC%8A%A4%ED%8A%B8/2_%EB%B0%9C%EC%A3%BC%EC%A0%84%EB%9E%B5%20KOM_%EC%B2%B4%ED%81%AC%EB%A6%AC%EC%8A%A4%ED%8A%B8.html" TargetMode="External" Id="rId10"/><Relationship Type="http://schemas.openxmlformats.org/officeDocument/2006/relationships/hyperlink" Target="%EB%B6%84%EC%95%BC%EB%B3%84%EC%84%A4%EA%B3%84%EA%B8%B0%EC%A4%80%28%EC%84%A4%EA%B3%84%EC%82%AC%EC%A0%95%EB%A6%AC%29/%EB%8F%84%EB%A1%9C%EA%B3%B5%EC%82%AC%EC%9E%A5%20%EA%B5%90%ED%86%B5%EA%B4%80%EB%A6%AC%EC%A7%80%EC%B9%A8%20%EC%A0%84%EB%AC%B8.pdf" TargetMode="External" Id="rId11"/><Relationship Type="http://schemas.openxmlformats.org/officeDocument/2006/relationships/hyperlink" Target="2.%EC%82%AC%EC%A0%84%ED%86%A0%EA%B3%B5%EC%82%AC/8_%EC%B0%A9%EC%88%98%EC%A0%84%20Big%20Room%20%ED%9A%8C%EC%9D%98/%EC%B2%B4%ED%81%AC%EB%A6%AC%EC%8A%A4%ED%8A%B8/%EC%B0%A9%EC%88%98%EC%A0%84%20Big%20Room%20%ED%9A%8C%EC%9D%98_%EC%B2%B4%ED%81%AC%EB%A6%AC%EC%8A%A4%ED%8A%B8.html" TargetMode="External" Id="rId12"/><Relationship Type="http://schemas.openxmlformats.org/officeDocument/2006/relationships/hyperlink" Target="%EB%B6%84%EC%95%BC%EB%B3%84%EC%84%A4%EA%B3%84%EA%B8%B0%EC%A4%80%28%EC%84%A4%EA%B3%84%EC%82%AC%EC%A0%95%EB%A6%AC%29/%EB%8F%84%EB%A1%9C%EA%B3%B5%EC%82%AC%EC%9E%A5%20%EA%B5%90%ED%86%B5%EA%B4%80%EB%A6%AC%EC%A7%80%EC%B9%A8%20%EC%A0%84%EB%AC%B8.pdf" TargetMode="External" Id="rId13"/><Relationship Type="http://schemas.openxmlformats.org/officeDocument/2006/relationships/hyperlink" Target="2.%EC%82%AC%EC%A0%84%ED%86%A0%EA%B3%B5%EC%82%AC/6_%EC%9E%90%EC%9E%AC%EB%B0%9C%EC%A3%BC%20%EC%9A%94%EC%B2%AD/%EC%B2%B4%ED%81%AC%EB%A6%AC%EC%8A%A4%ED%8A%B8/%EC%B0%A9%EC%88%98%EC%A0%84%20Big%20Room%20%ED%9A%8C%EC%9D%98_%EC%B2%B4%ED%81%AC%EB%A6%AC%EC%8A%A4%ED%8A%B8.html" TargetMode="External" Id="rId14"/><Relationship Type="http://schemas.openxmlformats.org/officeDocument/2006/relationships/hyperlink" Target="%EB%B6%84%EC%95%BC%EB%B3%84%EC%84%A4%EA%B3%84%EA%B8%B0%EC%A4%80%28%EC%84%A4%EA%B3%84%EC%82%AC%EC%A0%95%EB%A6%AC%29/%EB%8F%84%EB%A1%9C%EA%B3%B5%EC%82%AC%EC%9E%A5%20%EA%B5%90%ED%86%B5%EA%B4%80%EB%A6%AC%EC%A7%80%EC%B9%A8%20%EC%A0%84%EB%AC%B8.pdf" TargetMode="External" Id="rId15"/><Relationship Type="http://schemas.openxmlformats.org/officeDocument/2006/relationships/hyperlink" Target="2.%EC%82%AC%EC%A0%84%ED%86%A0%EA%B3%B5%EC%82%AC/7_%EC%9A%A9%EC%A7%80%20%EC%82%AC%EC%9A%A9%20Risk%20%EA%B2%80%ED%86%A0/%EC%B2%B4%ED%81%AC%EB%A6%AC%EC%8A%A4%ED%8A%B8/%EC%9A%A9%EC%A7%80%20%EC%82%AC%EC%9A%A9%20Risk%20%EA%B2%80%ED%86%A0_%EC%B2%B4%ED%81%AC%EB%A6%AC%EC%8A%A4%ED%8A%B8.html" TargetMode="External" Id="rId16"/><Relationship Type="http://schemas.openxmlformats.org/officeDocument/2006/relationships/hyperlink" Target="%EB%B6%84%EC%95%BC%EB%B3%84%EC%84%A4%EA%B3%84%EA%B8%B0%EC%A4%80%28%EC%84%A4%EA%B3%84%EC%82%AC%EC%A0%95%EB%A6%AC%29/%EB%8F%84%EB%A1%9C%EA%B3%B5%EC%82%AC%EC%9E%A5%20%EA%B5%90%ED%86%B5%EA%B4%80%EB%A6%AC%EC%A7%80%EC%B9%A8%20%EC%A0%84%EB%AC%B8.pdf" TargetMode="External" Id="rId17"/><Relationship Type="http://schemas.openxmlformats.org/officeDocument/2006/relationships/hyperlink" Target="2.%EC%82%AC%EC%A0%84%ED%86%A0%EA%B3%B5%EC%82%AC/9_%EC%9D%B8%ED%97%88%EA%B0%80%20%EC%A0%88%EC%B0%A8%20%EC%A7%84%ED%96%89/%EC%B2%B4%ED%81%AC%EB%A6%AC%EC%8A%A4%ED%8A%B8/%EC%9D%B8%ED%97%88%EA%B0%80%20%EC%A0%88%EC%B0%A8%20%EC%A7%84%ED%96%89_%EC%B2%B4%ED%81%AC%EB%A6%AC%EC%8A%A4%ED%8A%B8.html" TargetMode="External" Id="rId18"/><Relationship Type="http://schemas.openxmlformats.org/officeDocument/2006/relationships/hyperlink" Target="%EB%B6%84%EC%95%BC%EB%B3%84%EC%84%A4%EA%B3%84%EA%B8%B0%EC%A4%80%28%EC%84%A4%EA%B3%84%EC%82%AC%EC%A0%95%EB%A6%AC%29/%EB%8F%84%EB%A1%9C%EA%B3%B5%EC%82%AC%EC%9E%A5%20%EA%B5%90%ED%86%B5%EA%B4%80%EB%A6%AC%EC%A7%80%EC%B9%A8%20%EC%A0%84%EB%AC%B8.pdf" TargetMode="External" Id="rId19"/><Relationship Type="http://schemas.openxmlformats.org/officeDocument/2006/relationships/hyperlink" Target="2.%EC%82%AC%EC%A0%84%ED%86%A0%EA%B3%B5%EC%82%AC/10_%EA%B5%90%ED%86%B5%EC%B2%98%EB%A6%AC%EB%8C%80%EC%B1%85%20%ED%98%91%EC%9D%98%20%EB%B0%8F%20%EC%8A%B9%EC%9D%B8/%EC%B2%B4%ED%81%AC%EB%A6%AC%EC%8A%A4%ED%8A%B8/%EA%B5%90%ED%86%B5%EC%B2%98%EB%A6%AC%EB%8C%80%EC%B1%85%20%ED%98%91%EC%9D%98%20%EB%B0%8F%20%EC%8A%B9%EC%9D%B8_%EC%B2%B4%ED%81%AC%EB%A6%AC%EC%8A%A4%ED%8A%B8.html" TargetMode="External" Id="rId20"/><Relationship Type="http://schemas.openxmlformats.org/officeDocument/2006/relationships/hyperlink" Target="%EB%B6%84%EC%95%BC%EB%B3%84%EC%84%A4%EA%B3%84%EA%B8%B0%EC%A4%80%28%EC%84%A4%EA%B3%84%EC%82%AC%EC%A0%95%EB%A6%AC%29/%EB%8F%84%EB%A1%9C%EA%B3%B5%EC%82%AC%EC%9E%A5%20%EA%B5%90%ED%86%B5%EA%B4%80%EB%A6%AC%EC%A7%80%EC%B9%A8%20%EC%A0%84%EB%AC%B8.pdf" TargetMode="External" Id="rId21"/><Relationship Type="http://schemas.openxmlformats.org/officeDocument/2006/relationships/hyperlink" Target="2.%EC%82%AC%EC%A0%84%ED%86%A0%EA%B3%B5%EC%82%AC/11_%EC%A7%80%EC%9E%A5%EB%AC%BC%20%EA%B2%80%ED%86%A0%20%EB%B0%8F%20%ED%98%91%EC%9D%98/%EC%B2%B4%ED%81%AC%EB%A6%AC%EC%8A%A4%ED%8A%B8/%EC%A7%80%EC%9E%A5%EB%AC%BC%20%EA%B2%80%ED%86%A0%20%EB%B0%8F%20%ED%98%91%EC%9D%98_%EC%B2%B4%ED%81%AC%EB%A6%AC%EC%8A%A4%ED%8A%B8.html" TargetMode="External" Id="rId22"/><Relationship Type="http://schemas.openxmlformats.org/officeDocument/2006/relationships/hyperlink" Target="%EB%B6%84%EC%95%BC%EB%B3%84%EC%84%A4%EA%B3%84%EA%B8%B0%EC%A4%80%28%EC%84%A4%EA%B3%84%EC%82%AC%EC%A0%95%EB%A6%AC%29/%EB%8F%84%EB%A1%9C%EA%B3%B5%EC%82%AC%EC%9E%A5%20%EA%B5%90%ED%86%B5%EA%B4%80%EB%A6%AC%EC%A7%80%EC%B9%A8%20%EC%A0%84%EB%AC%B8.pdf" TargetMode="External" Id="rId23"/><Relationship Type="http://schemas.openxmlformats.org/officeDocument/2006/relationships/hyperlink" Target="2.%EC%82%AC%EC%A0%84%ED%86%A0%EA%B3%B5%EC%82%AC/12_%EA%B8%B0%EA%B3%B5%EC%8A%B9%EB%82%99%20%EC%A0%81%EC%A0%95%EC%84%B1%20%EA%B2%80%ED%86%A0/%EC%B2%B4%ED%81%AC%EB%A6%AC%EC%8A%A4%ED%8A%B8/%EA%B8%B0%EA%B3%B5%EC%8A%B9%EB%82%99%20%EC%A0%81%EC%A0%95%EC%84%B1%20%EA%B2%80%ED%86%A0_%EC%B2%B4%ED%81%AC%EB%A6%AC%EC%8A%A4%ED%8A%B8.html" TargetMode="External" Id="rId24"/><Relationship Type="http://schemas.openxmlformats.org/officeDocument/2006/relationships/hyperlink" Target="%EB%B6%84%EC%95%BC%EB%B3%84%EC%84%A4%EA%B3%84%EA%B8%B0%EC%A4%80%28%EC%84%A4%EA%B3%84%EC%82%AC%EC%A0%95%EB%A6%AC%29/%EB%8F%84%EB%A1%9C%EA%B3%B5%EC%82%AC%EC%9E%A5%20%EA%B5%90%ED%86%B5%EA%B4%80%EB%A6%AC%EC%A7%80%EC%B9%A8%20%EC%A0%84%EB%AC%B8.pdf" TargetMode="External" Id="rId25"/><Relationship Type="http://schemas.openxmlformats.org/officeDocument/2006/relationships/hyperlink" Target="2.%EC%82%AC%EC%A0%84%ED%86%A0%EA%B3%B5%EC%82%AC/13_%EB%AF%BC%EC%9B%90%20%EC%A0%80%EA%B0%90%20%EB%8C%80%EC%B1%85%20%EC%88%98%EB%A6%BD/%EC%B2%B4%ED%81%AC%EB%A6%AC%EC%8A%A4%ED%8A%B8/%EB%AF%BC%EC%9B%90%20%EC%A0%80%EA%B0%90%20%EB%8C%80%EC%B1%85%20%EC%88%98%EB%A6%BD_%EC%B2%B4%ED%81%AC%EB%A6%AC%EC%8A%A4%ED%8A%B8.html" TargetMode="External" Id="rId26"/><Relationship Type="http://schemas.openxmlformats.org/officeDocument/2006/relationships/hyperlink" Target="%EB%B6%84%EC%95%BC%EB%B3%84%EC%84%A4%EA%B3%84%EA%B8%B0%EC%A4%80%28%EC%84%A4%EA%B3%84%EC%82%AC%EC%A0%95%EB%A6%AC%29/%EB%8F%84%EB%A1%9C%EA%B3%B5%EC%82%AC%EC%9E%A5%20%EA%B5%90%ED%86%B5%EA%B4%80%EB%A6%AC%EC%A7%80%EC%B9%A8%20%EC%A0%84%EB%AC%B8.pdf" TargetMode="External" Id="rId27"/><Relationship Type="http://schemas.openxmlformats.org/officeDocument/2006/relationships/hyperlink" Target="2.%EC%82%AC%EC%A0%84%ED%86%A0%EA%B3%B5%EC%82%AC/14_%EC%9A%A9%EC%A7%80%EB%B3%B4%EC%83%81%20Risk%20%ED%8C%8C%EC%95%85/%EC%B2%B4%ED%81%AC%EB%A6%AC%EC%8A%A4%ED%8A%B8/%EC%9A%A9%EC%A7%80%EB%B3%B4%EC%83%81%20Risk%20%ED%8C%8C%EC%95%85_%EC%B2%B4%ED%81%AC%EB%A6%AC%EC%8A%A4%ED%8A%B8.html" TargetMode="External" Id="rId28"/><Relationship Type="http://schemas.openxmlformats.org/officeDocument/2006/relationships/hyperlink" Target="%EB%B6%84%EC%95%BC%EB%B3%84%EC%84%A4%EA%B3%84%EA%B8%B0%EC%A4%80%28%EC%84%A4%EA%B3%84%EC%82%AC%EC%A0%95%EB%A6%AC%29/%EB%8F%84%EB%A1%9C%EA%B3%B5%EC%82%AC%EC%9E%A5%20%EA%B5%90%ED%86%B5%EA%B4%80%EB%A6%AC%EC%A7%80%EC%B9%A8%20%EC%A0%84%EB%AC%B8.pdf" TargetMode="External" Id="rId29"/><Relationship Type="http://schemas.openxmlformats.org/officeDocument/2006/relationships/hyperlink" Target="2.%EC%82%AC%EC%A0%84%ED%86%A0%EA%B3%B5%EC%82%AC/15_%EC%8B%9C%EA%B3%B5%EA%B3%84%ED%9A%8D%EC%84%9C%20%EA%B2%80%ED%86%A0%20%EC%A7%80%EC%9B%90/%EC%B2%B4%ED%81%AC%EB%A6%AC%EC%8A%A4%ED%8A%B8/%EC%8B%9C%EA%B3%B5%EA%B3%84%ED%9A%8D%EC%84%9C%20%EA%B2%80%ED%86%A0%20%EC%A7%80%EC%9B%90_%EC%B2%B4%ED%81%AC%EB%A6%AC%EC%8A%A4%ED%8A%B8.html" TargetMode="External" Id="rId30"/><Relationship Type="http://schemas.openxmlformats.org/officeDocument/2006/relationships/hyperlink" Target="%EB%B6%84%EC%95%BC%EB%B3%84%EC%84%A4%EA%B3%84%EA%B8%B0%EC%A4%80%28%EC%84%A4%EA%B3%84%EC%82%AC%EC%A0%95%EB%A6%AC%29/%EB%8F%84%EB%A1%9C%EA%B3%B5%EC%82%AC%EC%9E%A5%20%EA%B5%90%ED%86%B5%EA%B4%80%EB%A6%AC%EC%A7%80%EC%B9%A8%20%EC%A0%84%EB%AC%B8.pdf" TargetMode="External" Id="rId31"/><Relationship Type="http://schemas.openxmlformats.org/officeDocument/2006/relationships/hyperlink" Target="2.%EC%82%AC%EC%A0%84%ED%86%A0%EA%B3%B5%EC%82%AC/18_%EC%84%A4%EA%B3%84%EB%B3%80%EA%B2%BD%20%28%EC%B0%A9%EC%88%98%EC%A0%84%29/%EC%B2%B4%ED%81%AC%EB%A6%AC%EC%8A%A4%ED%8A%B8/%EC%84%A4%EA%B3%84%EB%B3%80%EA%B2%BD%20%28%EC%B0%A9%EC%88%98%EC%A0%84%29_%EC%B2%B4%ED%81%AC%EB%A6%AC%EC%8A%A4%ED%8A%B8.html" TargetMode="External" Id="rId32"/><Relationship Type="http://schemas.openxmlformats.org/officeDocument/2006/relationships/hyperlink" Target="%EB%B6%84%EC%95%BC%EB%B3%84%EC%84%A4%EA%B3%84%EA%B8%B0%EC%A4%80%28%EC%84%A4%EA%B3%84%EC%82%AC%EC%A0%95%EB%A6%AC%29/%EB%8F%84%EB%A1%9C%EA%B3%B5%EC%82%AC%EC%9E%A5%20%EA%B5%90%ED%86%B5%EA%B4%80%EB%A6%AC%EC%A7%80%EC%B9%A8%20%EC%A0%84%EB%AC%B8.pdf" TargetMode="External" Id="rId33"/><Relationship Type="http://schemas.openxmlformats.org/officeDocument/2006/relationships/hyperlink" Target="2.%EC%82%AC%EC%A0%84%ED%86%A0%EA%B3%B5%EC%82%AC/16_%EC%8B%9C%EA%B3%B5%EA%B3%84%ED%9A%8D%20%EC%88%98%EB%A6%BD/%EC%B2%B4%ED%81%AC%EB%A6%AC%EC%8A%A4%ED%8A%B8/%EC%84%A4%EA%B3%84%EB%B3%80%EA%B2%BD%20%28%EC%B0%A9%EC%88%98%EC%A0%84%29_%EC%B2%B4%ED%81%AC%EB%A6%AC%EC%8A%A4%ED%8A%B8.html" TargetMode="External" Id="rId34"/><Relationship Type="http://schemas.openxmlformats.org/officeDocument/2006/relationships/hyperlink" Target="%EB%B6%84%EC%95%BC%EB%B3%84%EC%84%A4%EA%B3%84%EA%B8%B0%EC%A4%80%28%EC%84%A4%EA%B3%84%EC%82%AC%EC%A0%95%EB%A6%AC%29/%EB%8F%84%EB%A1%9C%EA%B3%B5%EC%82%AC%EC%9E%A5%20%EA%B5%90%ED%86%B5%EA%B4%80%EB%A6%AC%EC%A7%80%EC%B9%A8%20%EC%A0%84%EB%AC%B8.pdf" TargetMode="External" Id="rId35"/><Relationship Type="http://schemas.openxmlformats.org/officeDocument/2006/relationships/hyperlink" Target="2.%EC%82%AC%EC%A0%84%ED%86%A0%EA%B3%B5%EC%82%AC/17_%ED%9B%84%ED%96%89%EA%B3%B5%EC%A2%85%20%EC%9A%94%EA%B5%AC%EC%A1%B0%EA%B1%B4%20%EB%B0%98%EC%98%81%20%EC%84%A4%EA%B3%84%EB%B3%80%EA%B2%BD%20%EA%B2%80%ED%86%A0/%EC%B2%B4%ED%81%AC%EB%A6%AC%EC%8A%A4%ED%8A%B8/%ED%9B%84%ED%96%89%EA%B3%B5%EC%A2%85%20%EC%9A%94%EA%B5%AC%EC%A1%B0%EA%B1%B4%20%EB%B0%98%EC%98%81%20%EC%84%A4%EA%B3%84%EB%B3%80%EA%B2%BD%20%EA%B2%80%ED%86%A0_%EC%B2%B4%ED%81%AC%EB%A6%AC%EC%8A%A4%ED%8A%B8.html" TargetMode="External" Id="rId36"/><Relationship Type="http://schemas.openxmlformats.org/officeDocument/2006/relationships/hyperlink" Target="%EB%B6%84%EC%95%BC%EB%B3%84%EC%84%A4%EA%B3%84%EA%B8%B0%EC%A4%80%28%EC%84%A4%EA%B3%84%EC%82%AC%EC%A0%95%EB%A6%AC%29/%EB%8F%84%EB%A1%9C%EA%B3%B5%EC%82%AC%EC%9E%A5%20%EA%B5%90%ED%86%B5%EA%B4%80%EB%A6%AC%EC%A7%80%EC%B9%A8%20%EC%A0%84%EB%AC%B8.pdf" TargetMode="External" Id="rId37"/><Relationship Type="http://schemas.openxmlformats.org/officeDocument/2006/relationships/hyperlink" Target="2.%EC%82%AC%EC%A0%84%ED%86%A0%EA%B3%B5%EC%82%AC/19_%EC%84%A4%EA%B3%84%EB%B3%80%EA%B2%BD%20%EC%A7%80%EC%9B%90/%EC%B2%B4%ED%81%AC%EB%A6%AC%EC%8A%A4%ED%8A%B8/%EC%84%A4%EA%B3%84%EB%B3%80%EA%B2%BD%20%EC%A7%80%EC%9B%90_%EC%B2%B4%ED%81%AC%EB%A6%AC%EC%8A%A4%ED%8A%B8.html" TargetMode="External" Id="rId38"/><Relationship Type="http://schemas.openxmlformats.org/officeDocument/2006/relationships/hyperlink" Target="%EB%B6%84%EC%95%BC%EB%B3%84%EC%84%A4%EA%B3%84%EA%B8%B0%EC%A4%80%28%EC%84%A4%EA%B3%84%EC%82%AC%EC%A0%95%EB%A6%AC%29/%EB%8F%84%EB%A1%9C%EA%B3%B5%EC%82%AC%EC%9E%A5%20%EA%B5%90%ED%86%B5%EA%B4%80%EB%A6%AC%EC%A7%80%EC%B9%A8%20%EC%A0%84%EB%AC%B8.pdf" TargetMode="External" Id="rId39"/><Relationship Type="http://schemas.openxmlformats.org/officeDocument/2006/relationships/hyperlink" Target="2.%EC%82%AC%EC%A0%84%ED%86%A0%EA%B3%B5%EC%82%AC/20_%EA%B5%90%ED%86%B5%EA%B4%80%EB%A6%AC%20%EB%B0%8F%20%EA%B5%90%ED%86%B5%EC%95%88%EC%A0%84%EC%8B%9C%EC%84%A4%20%EC%84%A4%EC%B9%98/%EC%B2%B4%ED%81%AC%EB%A6%AC%EC%8A%A4%ED%8A%B8/%EA%B5%90%ED%86%B5%EA%B4%80%EB%A6%AC%20%EB%B0%8F%20%EA%B5%90%ED%86%B5%EC%95%88%EC%A0%84%EC%8B%9C%EC%84%A4%20%EC%84%A4%EC%B9%98_%EC%B2%B4%ED%81%AC%EB%A6%AC%EC%8A%A4%ED%8A%B8.html" TargetMode="External" Id="rId40"/><Relationship Type="http://schemas.openxmlformats.org/officeDocument/2006/relationships/hyperlink" Target="%EB%B6%84%EC%95%BC%EB%B3%84%EC%84%A4%EA%B3%84%EA%B8%B0%EC%A4%80%28%EC%84%A4%EA%B3%84%EC%82%AC%EC%A0%95%EB%A6%AC%29/%EB%8F%84%EB%A1%9C%EA%B3%B5%EC%82%AC%EC%9E%A5%20%EA%B5%90%ED%86%B5%EA%B4%80%EB%A6%AC%EC%A7%80%EC%B9%A8%20%EC%A0%84%EB%AC%B8.pdf" TargetMode="External" Id="rId41"/><Relationship Type="http://schemas.openxmlformats.org/officeDocument/2006/relationships/hyperlink" Target="2.%EC%82%AC%EC%A0%84%ED%86%A0%EA%B3%B5%EC%82%AC/21_%EC%9E%A5%EB%B9%84%20%EA%B2%80%EC%88%98%20%EC%A7%80%EC%9B%90/%EC%B2%B4%ED%81%AC%EB%A6%AC%EC%8A%A4%ED%8A%B8/%EC%9E%A5%EB%B9%84%20%EA%B2%80%EC%88%98%20%EC%A7%80%EC%9B%90_%EC%B2%B4%ED%81%AC%EB%A6%AC%EC%8A%A4%ED%8A%B8.html" TargetMode="External" Id="rId42"/><Relationship Type="http://schemas.openxmlformats.org/officeDocument/2006/relationships/hyperlink" Target="%EB%B6%84%EC%95%BC%EB%B3%84%EC%84%A4%EA%B3%84%EA%B8%B0%EC%A4%80%28%EC%84%A4%EA%B3%84%EC%82%AC%EC%A0%95%EB%A6%AC%29/%EB%8F%84%EB%A1%9C%EA%B3%B5%EC%82%AC%EC%9E%A5%20%EA%B5%90%ED%86%B5%EA%B4%80%EB%A6%AC%EC%A7%80%EC%B9%A8%20%EC%A0%84%EB%AC%B8.pdf" TargetMode="External" Id="rId43"/><Relationship Type="http://schemas.openxmlformats.org/officeDocument/2006/relationships/hyperlink" Target="2.%EC%82%AC%EC%A0%84%ED%86%A0%EA%B3%B5%EC%82%AC/21_%EC%9E%A5%EB%B9%84%20%EA%B2%80%EC%88%98%20%EC%A7%80%EC%9B%90/%EC%B2%B4%ED%81%AC%EB%A6%AC%EC%8A%A4%ED%8A%B8/%EC%9E%A5%EB%B9%84%20%EA%B2%80%EC%88%98%20%EC%A7%80%EC%9B%90_%EC%B2%B4%ED%81%AC%EB%A6%AC%EC%8A%A4%ED%8A%B8.html" TargetMode="External" Id="rId44"/><Relationship Type="http://schemas.openxmlformats.org/officeDocument/2006/relationships/hyperlink" Target="%EB%B6%84%EC%95%BC%EB%B3%84%EC%84%A4%EA%B3%84%EA%B8%B0%EC%A4%80%28%EC%84%A4%EA%B3%84%EC%82%AC%EC%A0%95%EB%A6%AC%29/%EB%8F%84%EB%A1%9C%EA%B3%B5%EC%82%AC%EC%9E%A5%20%EA%B5%90%ED%86%B5%EA%B4%80%EB%A6%AC%EC%A7%80%EC%B9%A8%20%EC%A0%84%EB%AC%B8.pdf" TargetMode="External" Id="rId45"/><Relationship Type="http://schemas.openxmlformats.org/officeDocument/2006/relationships/hyperlink" Target="2.%EC%82%AC%EC%A0%84%ED%86%A0%EA%B3%B5%EC%82%AC/22_%EB%B2%8C%EB%AA%A9_%EB%B2%8C%EA%B7%BC%EC%A0%9C%EA%B1%B0/%EC%B2%B4%ED%81%AC%EB%A6%AC%EC%8A%A4%ED%8A%B8/%EB%B2%8C%EB%AA%A9_%EB%B2%8C%EA%B7%BC%EC%A0%9C%EA%B1%B0_%EC%B2%B4%ED%81%AC%EB%A6%AC%EC%8A%A4%ED%8A%B8.html" TargetMode="External" Id="rId46"/><Relationship Type="http://schemas.openxmlformats.org/officeDocument/2006/relationships/hyperlink" Target="%EB%B6%84%EC%95%BC%EB%B3%84%EC%84%A4%EA%B3%84%EA%B8%B0%EC%A4%80%28%EC%84%A4%EA%B3%84%EC%82%AC%EC%A0%95%EB%A6%AC%29/%EB%8F%84%EB%A1%9C%EA%B3%B5%EC%82%AC%EC%9E%A5%20%EA%B5%90%ED%86%B5%EA%B4%80%EB%A6%AC%EC%A7%80%EC%B9%A8%20%EC%A0%84%EB%AC%B8.pdf" TargetMode="External" Id="rId47"/><Relationship Type="http://schemas.openxmlformats.org/officeDocument/2006/relationships/hyperlink" Target="2.%EC%82%AC%EC%A0%84%ED%86%A0%EA%B3%B5%EC%82%AC/23_%EA%B8%B0%EC%A1%B4%EA%B5%AC%EC%A1%B0%EB%AC%BC%20_%20%EC%A7%80%EC%9E%A5%EB%AC%BC%20%EC%B2%98%EB%A6%AC/%EC%B2%B4%ED%81%AC%EB%A6%AC%EC%8A%A4%ED%8A%B8/%EA%B8%B0%EC%A1%B4%EA%B5%AC%EC%A1%B0%EB%AC%BC%20_%20%EC%A7%80%EC%9E%A5%EB%AC%BC%20%EC%B2%98%EB%A6%AC_%EC%B2%B4%ED%81%AC%EB%A6%AC%EC%8A%A4%ED%8A%B8.html" TargetMode="External" Id="rId48"/><Relationship Type="http://schemas.openxmlformats.org/officeDocument/2006/relationships/hyperlink" Target="%EB%B6%84%EC%95%BC%EB%B3%84%EC%84%A4%EA%B3%84%EA%B8%B0%EC%A4%80%28%EC%84%A4%EA%B3%84%EC%82%AC%EC%A0%95%EB%A6%AC%29/%EB%8F%84%EB%A1%9C%EA%B3%B5%EC%82%AC%EC%9E%A5%20%EA%B5%90%ED%86%B5%EA%B4%80%EB%A6%AC%EC%A7%80%EC%B9%A8%20%EC%A0%84%EB%AC%B8.pdf" TargetMode="External" Id="rId49"/><Relationship Type="http://schemas.openxmlformats.org/officeDocument/2006/relationships/hyperlink" Target="2.%EC%82%AC%EC%A0%84%ED%86%A0%EA%B3%B5%EC%82%AC/24_%EC%A7%84%EC%9E%85%EB%A1%9C%20%EC%A1%B0%EC%84%B1/%EC%B2%B4%ED%81%AC%EB%A6%AC%EC%8A%A4%ED%8A%B8/%EC%A7%84%EC%9E%85%EB%A1%9C%20%EC%A1%B0%EC%84%B1_%EC%B2%B4%ED%81%AC%EB%A6%AC%EC%8A%A4%ED%8A%B8.html" TargetMode="External" Id="rId50"/><Relationship Type="http://schemas.openxmlformats.org/officeDocument/2006/relationships/hyperlink" Target="%EB%B6%84%EC%95%BC%EB%B3%84%EC%84%A4%EA%B3%84%EA%B8%B0%EC%A4%80%28%EC%84%A4%EA%B3%84%EC%82%AC%EC%A0%95%EB%A6%AC%29/%EB%8F%84%EB%A1%9C%EA%B3%B5%EC%82%AC%EC%9E%A5%20%EA%B5%90%ED%86%B5%EA%B4%80%EB%A6%AC%EC%A7%80%EC%B9%A8%20%EC%A0%84%EB%AC%B8.pdf" TargetMode="External" Id="rId51"/><Relationship Type="http://schemas.openxmlformats.org/officeDocument/2006/relationships/hyperlink" Target="2.%EC%82%AC%EC%A0%84%ED%86%A0%EA%B3%B5%EC%82%AC/25_%EB%B0%B0%EC%88%98_%ED%99%98%EA%B2%BD%EC%8B%9C%EC%84%A4%20%EC%84%A4%EC%B9%98/%EC%B2%B4%ED%81%AC%EB%A6%AC%EC%8A%A4%ED%8A%B8/%EB%B0%B0%EC%88%98_%ED%99%98%EA%B2%BD%EC%8B%9C%EC%84%A4%20%EC%84%A4%EC%B9%98_%EC%B2%B4%ED%81%AC%EB%A6%AC%EC%8A%A4%ED%8A%B8.html" TargetMode="External" Id="rId52"/><Relationship Type="http://schemas.openxmlformats.org/officeDocument/2006/relationships/hyperlink" Target="%EB%B6%84%EC%95%BC%EB%B3%84%EC%84%A4%EA%B3%84%EA%B8%B0%EC%A4%80%28%EC%84%A4%EA%B3%84%EC%82%AC%EC%A0%95%EB%A6%AC%29/%EB%8F%84%EB%A1%9C%EA%B3%B5%EC%82%AC%EC%9E%A5%20%EA%B5%90%ED%86%B5%EA%B4%80%EB%A6%AC%EC%A7%80%EC%B9%A8%20%EC%A0%84%EB%AC%B8.pdf" TargetMode="External" Id="rId53"/><Relationship Type="http://schemas.openxmlformats.org/officeDocument/2006/relationships/hyperlink" Target="2.%EC%82%AC%EC%A0%84%ED%86%A0%EA%B3%B5%EC%82%AC/26_%ED%86%A0%EA%B3%B5%20%EA%B5%B4%EC%B0%A9/%EC%B2%B4%ED%81%AC%EB%A6%AC%EC%8A%A4%ED%8A%B8/%ED%86%A0%EA%B3%B5%20%EA%B5%B4%EC%B0%A9_%EC%B2%B4%ED%81%AC%EB%A6%AC%EC%8A%A4%ED%8A%B8.html" TargetMode="External" Id="rId54"/><Relationship Type="http://schemas.openxmlformats.org/officeDocument/2006/relationships/hyperlink" Target="%EB%B6%84%EC%95%BC%EB%B3%84%EC%84%A4%EA%B3%84%EA%B8%B0%EC%A4%80%28%EC%84%A4%EA%B3%84%EC%82%AC%EC%A0%95%EB%A6%AC%29/%EB%8F%84%EB%A1%9C%EA%B3%B5%EC%82%AC%EC%9E%A5%20%EA%B5%90%ED%86%B5%EA%B4%80%EB%A6%AC%EC%A7%80%EC%B9%A8%20%EC%A0%84%EB%AC%B8.pdf" TargetMode="External" Id="rId55"/><Relationship Type="http://schemas.openxmlformats.org/officeDocument/2006/relationships/hyperlink" Target="2.%EC%82%AC%EC%A0%84%ED%86%A0%EA%B3%B5%EC%82%AC/27_%EB%85%B8%EC%83%81%ED%86%A0%20%EC%A7%80%EC%A7%80%EB%A0%A5%20%ED%99%95%EC%9D%B8/%EC%B2%B4%ED%81%AC%EB%A6%AC%EC%8A%A4%ED%8A%B8/%EB%85%B8%EC%83%81%ED%86%A0%20%EC%A7%80%EC%A7%80%EB%A0%A5%20%ED%99%95%EC%9D%B8_%EC%B2%B4%ED%81%AC%EB%A6%AC%EC%8A%A4%ED%8A%B8.html" TargetMode="External" Id="rId56"/><Relationship Type="http://schemas.openxmlformats.org/officeDocument/2006/relationships/hyperlink" Target="%EB%B6%84%EC%95%BC%EB%B3%84%EC%84%A4%EA%B3%84%EA%B8%B0%EC%A4%80%28%EC%84%A4%EA%B3%84%EC%82%AC%EC%A0%95%EB%A6%AC%29/%EB%8F%84%EB%A1%9C%EA%B3%B5%EC%82%AC%EC%9E%A5%20%EA%B5%90%ED%86%B5%EA%B4%80%EB%A6%AC%EC%A7%80%EC%B9%A8%20%EC%A0%84%EB%AC%B8.pdf" TargetMode="External" Id="rId57"/><Relationship Type="http://schemas.openxmlformats.org/officeDocument/2006/relationships/hyperlink" Target="2.%EC%82%AC%EC%A0%84%ED%86%A0%EA%B3%B5%EC%82%AC/28_%EC%8C%93%EA%B8%B0%20%EB%B0%8F%20%EB%8B%A4%EC%A7%90_%ED%95%84%EC%9A%94%EC%8B%9C/%EC%B2%B4%ED%81%AC%EB%A6%AC%EC%8A%A4%ED%8A%B8/%EC%8C%93%EA%B8%B0%20%EB%B0%8F%20%EB%8B%A4%EC%A7%90%28%ED%95%84%EC%9A%94%EC%8B%9C%29_%EC%B2%B4%ED%81%AC%EB%A6%AC%EC%8A%A4%ED%8A%B8.html" TargetMode="External" Id="rId58"/><Relationship Type="http://schemas.openxmlformats.org/officeDocument/2006/relationships/hyperlink" Target="%EB%B6%84%EC%95%BC%EB%B3%84%EC%84%A4%EA%B3%84%EA%B8%B0%EC%A4%80%28%EC%84%A4%EA%B3%84%EC%82%AC%EC%A0%95%EB%A6%AC%29/%EB%8F%84%EB%A1%9C%EA%B3%B5%EC%82%AC%EC%9E%A5%20%EA%B5%90%ED%86%B5%EA%B4%80%EB%A6%AC%EC%A7%80%EC%B9%A8%20%EC%A0%84%EB%AC%B8.pdf" TargetMode="External" Id="rId59"/><Relationship Type="http://schemas.openxmlformats.org/officeDocument/2006/relationships/hyperlink" Target="2.%EC%82%AC%EC%A0%84%ED%86%A0%EA%B3%B5%EC%82%AC/29_%ED%98%84%EC%9E%A5%EC%A7%80%EC%9B%90/%EC%B2%B4%ED%81%AC%EB%A6%AC%EC%8A%A4%ED%8A%B8/%ED%98%84%EC%9E%A5%EC%A7%80%EC%9B%90_%EC%B2%B4%ED%81%AC%EB%A6%AC%EC%8A%A4%ED%8A%B8.html" TargetMode="External" Id="rId60"/><Relationship Type="http://schemas.openxmlformats.org/officeDocument/2006/relationships/hyperlink" Target="%EB%B6%84%EC%95%BC%EB%B3%84%EC%84%A4%EA%B3%84%EA%B8%B0%EC%A4%80%28%EC%84%A4%EA%B3%84%EC%82%AC%EC%A0%95%EB%A6%AC%29/%EB%8F%84%EB%A1%9C%EA%B3%B5%EC%82%AC%EC%9E%A5%20%EA%B5%90%ED%86%B5%EA%B4%80%EB%A6%AC%EC%A7%80%EC%B9%A8%20%EC%A0%84%EB%AC%B8.pdf" TargetMode="External" Id="rId61"/><Relationship Type="http://schemas.openxmlformats.org/officeDocument/2006/relationships/hyperlink" Target="2.%EC%82%AC%EC%A0%84%ED%86%A0%EA%B3%B5%EC%82%AC/30_%EA%B0%95%ED%99%94%EB%85%B8%EB%B0%98%20%EC%9D%B8%EA%B3%84/%EC%B2%B4%ED%81%AC%EB%A6%AC%EC%8A%A4%ED%8A%B8/%EA%B0%95%ED%99%94%EB%85%B8%EB%B0%98%20%EC%9D%B8%EA%B3%84_%EC%B2%B4%ED%81%AC%EB%A6%AC%EC%8A%A4%ED%8A%B8.html" TargetMode="External" Id="rId62"/></Relationships>
</file>

<file path=xl/worksheets/_rels/sheet3.xml.rels><Relationships xmlns="http://schemas.openxmlformats.org/package/2006/relationships"><Relationship Type="http://schemas.openxmlformats.org/officeDocument/2006/relationships/hyperlink" Target="%EB%B6%84%EC%95%BC%EB%B3%84%EC%84%A4%EA%B3%84%EA%B8%B0%EC%A4%80%28%EC%84%A4%EA%B3%84%EC%82%AC%EC%A0%95%EB%A6%AC%29/%EB%8F%84%EB%A1%9C%EA%B3%B5%EC%82%AC%EC%9E%A5%20%EA%B5%90%ED%86%B5%EA%B4%80%EB%A6%AC%EC%A7%80%EC%B9%A8%20%EC%A0%84%EB%AC%B8.pdf" TargetMode="External" Id="rId1"/><Relationship Type="http://schemas.openxmlformats.org/officeDocument/2006/relationships/hyperlink" Target="%EB%B6%84%EC%95%BC%EB%B3%84%EC%84%A4%EA%B3%84%EA%B8%B0%EC%A4%80%28%EC%84%A4%EA%B3%84%EC%82%AC%EC%A0%95%EB%A6%AC%29/%EB%8F%84%EB%A1%9C%EA%B3%B5%EC%82%AC%EC%9E%A5%20%EA%B5%90%ED%86%B5%EA%B4%80%EB%A6%AC%EC%A7%80%EC%B9%A8%20%EC%A0%84%EB%AC%B8.pdf" TargetMode="External" Id="rId2"/><Relationship Type="http://schemas.openxmlformats.org/officeDocument/2006/relationships/hyperlink" Target="%EB%B6%84%EC%95%BC%EB%B3%84%EC%84%A4%EA%B3%84%EA%B8%B0%EC%A4%80%28%EC%84%A4%EA%B3%84%EC%82%AC%EC%A0%95%EB%A6%AC%29/%EB%8F%84%EB%A1%9C%EA%B3%B5%EC%82%AC%EC%9E%A5%20%EA%B5%90%ED%86%B5%EA%B4%80%EB%A6%AC%EC%A7%80%EC%B9%A8%20%EC%A0%84%EB%AC%B8.pdf" TargetMode="External" Id="rId3"/><Relationship Type="http://schemas.openxmlformats.org/officeDocument/2006/relationships/hyperlink" Target="%EB%B6%84%EC%95%BC%EB%B3%84%EC%84%A4%EA%B3%84%EA%B8%B0%EC%A4%80%28%EC%84%A4%EA%B3%84%EC%82%AC%EC%A0%95%EB%A6%AC%29/%EB%8F%84%EB%A1%9C%EA%B3%B5%EC%82%AC%EC%9E%A5%20%EA%B5%90%ED%86%B5%EA%B4%80%EB%A6%AC%EC%A7%80%EC%B9%A8%20%EC%A0%84%EB%AC%B8.pdf" TargetMode="External" Id="rId4"/><Relationship Type="http://schemas.openxmlformats.org/officeDocument/2006/relationships/hyperlink" Target="%EB%B6%84%EC%95%BC%EB%B3%84%EC%84%A4%EA%B3%84%EA%B8%B0%EC%A4%80%28%EC%84%A4%EA%B3%84%EC%82%AC%EC%A0%95%EB%A6%AC%29/%EB%8F%84%EB%A1%9C%EA%B3%B5%EC%82%AC%EC%9E%A5%20%EA%B5%90%ED%86%B5%EA%B4%80%EB%A6%AC%EC%A7%80%EC%B9%A8%20%EC%A0%84%EB%AC%B8.pdf" TargetMode="External" Id="rId5"/><Relationship Type="http://schemas.openxmlformats.org/officeDocument/2006/relationships/hyperlink" Target="%EB%B6%84%EC%95%BC%EB%B3%84%EC%84%A4%EA%B3%84%EA%B8%B0%EC%A4%80%28%EC%84%A4%EA%B3%84%EC%82%AC%EC%A0%95%EB%A6%AC%29/%EB%8F%84%EB%A1%9C%EA%B3%B5%EC%82%AC%EC%9E%A5%20%EA%B5%90%ED%86%B5%EA%B4%80%EB%A6%AC%EC%A7%80%EC%B9%A8%20%EC%A0%84%EB%AC%B8.pdf" TargetMode="External" Id="rId6"/><Relationship Type="http://schemas.openxmlformats.org/officeDocument/2006/relationships/hyperlink" Target="%EB%B6%84%EC%95%BC%EB%B3%84%EC%84%A4%EA%B3%84%EA%B8%B0%EC%A4%80%28%EC%84%A4%EA%B3%84%EC%82%AC%EC%A0%95%EB%A6%AC%29/%EB%8F%84%EB%A1%9C%EA%B3%B5%EC%82%AC%EC%9E%A5%20%EA%B5%90%ED%86%B5%EA%B4%80%EB%A6%AC%EC%A7%80%EC%B9%A8%20%EC%A0%84%EB%AC%B8.pdf" TargetMode="External" Id="rId7"/><Relationship Type="http://schemas.openxmlformats.org/officeDocument/2006/relationships/hyperlink" Target="%EB%B6%84%EC%95%BC%EB%B3%84%EC%84%A4%EA%B3%84%EA%B8%B0%EC%A4%80%28%EC%84%A4%EA%B3%84%EC%82%AC%EC%A0%95%EB%A6%AC%29/%EB%8F%84%EB%A1%9C%EA%B3%B5%EC%82%AC%EC%9E%A5%20%EA%B5%90%ED%86%B5%EA%B4%80%EB%A6%AC%EC%A7%80%EC%B9%A8%20%EC%A0%84%EB%AC%B8.pdf" TargetMode="External" Id="rId8"/><Relationship Type="http://schemas.openxmlformats.org/officeDocument/2006/relationships/hyperlink" Target="%EB%B6%84%EC%95%BC%EB%B3%84%EC%84%A4%EA%B3%84%EA%B8%B0%EC%A4%80%28%EC%84%A4%EA%B3%84%EC%82%AC%EC%A0%95%EB%A6%AC%29/%EB%8F%84%EB%A1%9C%EA%B3%B5%EC%82%AC%EC%9E%A5%20%EA%B5%90%ED%86%B5%EA%B4%80%EB%A6%AC%EC%A7%80%EC%B9%A8%20%EC%A0%84%EB%AC%B8.pdf" TargetMode="External" Id="rId9"/><Relationship Type="http://schemas.openxmlformats.org/officeDocument/2006/relationships/hyperlink" Target="%EB%B6%84%EC%95%BC%EB%B3%84%EC%84%A4%EA%B3%84%EA%B8%B0%EC%A4%80%28%EC%84%A4%EA%B3%84%EC%82%AC%EC%A0%95%EB%A6%AC%29/%EB%8F%84%EB%A1%9C%EA%B3%B5%EC%82%AC%EC%9E%A5%20%EA%B5%90%ED%86%B5%EA%B4%80%EB%A6%AC%EC%A7%80%EC%B9%A8%20%EC%A0%84%EB%AC%B8.pdf" TargetMode="External" Id="rId10"/><Relationship Type="http://schemas.openxmlformats.org/officeDocument/2006/relationships/hyperlink" Target="%EB%B6%84%EC%95%BC%EB%B3%84%EC%84%A4%EA%B3%84%EA%B8%B0%EC%A4%80%28%EC%84%A4%EA%B3%84%EC%82%AC%EC%A0%95%EB%A6%AC%29/%EB%8F%84%EB%A1%9C%EA%B3%B5%EC%82%AC%EC%9E%A5%20%EA%B5%90%ED%86%B5%EA%B4%80%EB%A6%AC%EC%A7%80%EC%B9%A8%20%EC%A0%84%EB%AC%B8.pdf" TargetMode="External" Id="rId11"/><Relationship Type="http://schemas.openxmlformats.org/officeDocument/2006/relationships/hyperlink" Target="%EB%B6%84%EC%95%BC%EB%B3%84%EC%84%A4%EA%B3%84%EA%B8%B0%EC%A4%80%28%EC%84%A4%EA%B3%84%EC%82%AC%EC%A0%95%EB%A6%AC%29/%EB%8F%84%EB%A1%9C%EA%B3%B5%EC%82%AC%EC%9E%A5%20%EA%B5%90%ED%86%B5%EA%B4%80%EB%A6%AC%EC%A7%80%EC%B9%A8%20%EC%A0%84%EB%AC%B8.pdf" TargetMode="External" Id="rId12"/><Relationship Type="http://schemas.openxmlformats.org/officeDocument/2006/relationships/hyperlink" Target="%EB%B6%84%EC%95%BC%EB%B3%84%EC%84%A4%EA%B3%84%EA%B8%B0%EC%A4%80%28%EC%84%A4%EA%B3%84%EC%82%AC%EC%A0%95%EB%A6%AC%29/%EB%8F%84%EB%A1%9C%EA%B3%B5%EC%82%AC%EC%9E%A5%20%EA%B5%90%ED%86%B5%EA%B4%80%EB%A6%AC%EC%A7%80%EC%B9%A8%20%EC%A0%84%EB%AC%B8.pdf" TargetMode="External" Id="rId13"/><Relationship Type="http://schemas.openxmlformats.org/officeDocument/2006/relationships/hyperlink" Target="%EB%B6%84%EC%95%BC%EB%B3%84%EC%84%A4%EA%B3%84%EA%B8%B0%EC%A4%80%28%EC%84%A4%EA%B3%84%EC%82%AC%EC%A0%95%EB%A6%AC%29/%EB%8F%84%EB%A1%9C%EA%B3%B5%EC%82%AC%EC%9E%A5%20%EA%B5%90%ED%86%B5%EA%B4%80%EB%A6%AC%EC%A7%80%EC%B9%A8%20%EC%A0%84%EB%AC%B8.pdf" TargetMode="External" Id="rId14"/><Relationship Type="http://schemas.openxmlformats.org/officeDocument/2006/relationships/hyperlink" Target="%EB%B6%84%EC%95%BC%EB%B3%84%EC%84%A4%EA%B3%84%EA%B8%B0%EC%A4%80%28%EC%84%A4%EA%B3%84%EC%82%AC%EC%A0%95%EB%A6%AC%29/%EB%8F%84%EB%A1%9C%EA%B3%B5%EC%82%AC%EC%9E%A5%20%EA%B5%90%ED%86%B5%EA%B4%80%EB%A6%AC%EC%A7%80%EC%B9%A8%20%EC%A0%84%EB%AC%B8.pdf" TargetMode="External" Id="rId15"/><Relationship Type="http://schemas.openxmlformats.org/officeDocument/2006/relationships/hyperlink" Target="%EB%B6%84%EC%95%BC%EB%B3%84%EC%84%A4%EA%B3%84%EA%B8%B0%EC%A4%80%28%EC%84%A4%EA%B3%84%EC%82%AC%EC%A0%95%EB%A6%AC%29/%EB%8F%84%EB%A1%9C%EA%B3%B5%EC%82%AC%EC%9E%A5%20%EA%B5%90%ED%86%B5%EA%B4%80%EB%A6%AC%EC%A7%80%EC%B9%A8%20%EC%A0%84%EB%AC%B8.pdf" TargetMode="External" Id="rId16"/><Relationship Type="http://schemas.openxmlformats.org/officeDocument/2006/relationships/hyperlink" Target="%EB%B6%84%EC%95%BC%EB%B3%84%EC%84%A4%EA%B3%84%EA%B8%B0%EC%A4%80%28%EC%84%A4%EA%B3%84%EC%82%AC%EC%A0%95%EB%A6%AC%29/%EB%8F%84%EB%A1%9C%EA%B3%B5%EC%82%AC%EC%9E%A5%20%EA%B5%90%ED%86%B5%EA%B4%80%EB%A6%AC%EC%A7%80%EC%B9%A8%20%EC%A0%84%EB%AC%B8.pdf" TargetMode="External" Id="rId17"/><Relationship Type="http://schemas.openxmlformats.org/officeDocument/2006/relationships/hyperlink" Target="%EB%B6%84%EC%95%BC%EB%B3%84%EC%84%A4%EA%B3%84%EA%B8%B0%EC%A4%80%28%EC%84%A4%EA%B3%84%EC%82%AC%EC%A0%95%EB%A6%AC%29/%EB%8F%84%EB%A1%9C%EA%B3%B5%EC%82%AC%EC%9E%A5%20%EA%B5%90%ED%86%B5%EA%B4%80%EB%A6%AC%EC%A7%80%EC%B9%A8%20%EC%A0%84%EB%AC%B8.pdf" TargetMode="External" Id="rId18"/><Relationship Type="http://schemas.openxmlformats.org/officeDocument/2006/relationships/hyperlink" Target="%EB%B6%84%EC%95%BC%EB%B3%84%EC%84%A4%EA%B3%84%EA%B8%B0%EC%A4%80%28%EC%84%A4%EA%B3%84%EC%82%AC%EC%A0%95%EB%A6%AC%29/%EB%8F%84%EB%A1%9C%EA%B3%B5%EC%82%AC%EC%9E%A5%20%EA%B5%90%ED%86%B5%EA%B4%80%EB%A6%AC%EC%A7%80%EC%B9%A8%20%EC%A0%84%EB%AC%B8.pdf" TargetMode="External" Id="rId19"/><Relationship Type="http://schemas.openxmlformats.org/officeDocument/2006/relationships/hyperlink" Target="%EB%B6%84%EC%95%BC%EB%B3%84%EC%84%A4%EA%B3%84%EA%B8%B0%EC%A4%80%28%EC%84%A4%EA%B3%84%EC%82%AC%EC%A0%95%EB%A6%AC%29/%EB%8F%84%EB%A1%9C%EA%B3%B5%EC%82%AC%EC%9E%A5%20%EA%B5%90%ED%86%B5%EA%B4%80%EB%A6%AC%EC%A7%80%EC%B9%A8%20%EC%A0%84%EB%AC%B8.pdf" TargetMode="External" Id="rId20"/><Relationship Type="http://schemas.openxmlformats.org/officeDocument/2006/relationships/hyperlink" Target="%EB%B6%84%EC%95%BC%EB%B3%84%EC%84%A4%EA%B3%84%EA%B8%B0%EC%A4%80%28%EC%84%A4%EA%B3%84%EC%82%AC%EC%A0%95%EB%A6%AC%29/%EB%8F%84%EB%A1%9C%EA%B3%B5%EC%82%AC%EC%9E%A5%20%EA%B5%90%ED%86%B5%EA%B4%80%EB%A6%AC%EC%A7%80%EC%B9%A8%20%EC%A0%84%EB%AC%B8.pdf" TargetMode="External" Id="rId21"/><Relationship Type="http://schemas.openxmlformats.org/officeDocument/2006/relationships/hyperlink" Target="%EB%B6%84%EC%95%BC%EB%B3%84%EC%84%A4%EA%B3%84%EA%B8%B0%EC%A4%80%28%EC%84%A4%EA%B3%84%EC%82%AC%EC%A0%95%EB%A6%AC%29/%EB%8F%84%EB%A1%9C%EA%B3%B5%EC%82%AC%EC%9E%A5%20%EA%B5%90%ED%86%B5%EA%B4%80%EB%A6%AC%EC%A7%80%EC%B9%A8%20%EC%A0%84%EB%AC%B8.pdf" TargetMode="External" Id="rId22"/><Relationship Type="http://schemas.openxmlformats.org/officeDocument/2006/relationships/hyperlink" Target="%EB%B6%84%EC%95%BC%EB%B3%84%EC%84%A4%EA%B3%84%EA%B8%B0%EC%A4%80%28%EC%84%A4%EA%B3%84%EC%82%AC%EC%A0%95%EB%A6%AC%29/%EB%8F%84%EB%A1%9C%EA%B3%B5%EC%82%AC%EC%9E%A5%20%EA%B5%90%ED%86%B5%EA%B4%80%EB%A6%AC%EC%A7%80%EC%B9%A8%20%EC%A0%84%EB%AC%B8.pdf" TargetMode="External" Id="rId23"/><Relationship Type="http://schemas.openxmlformats.org/officeDocument/2006/relationships/hyperlink" Target="%EB%B6%84%EC%95%BC%EB%B3%84%EC%84%A4%EA%B3%84%EA%B8%B0%EC%A4%80%28%EC%84%A4%EA%B3%84%EC%82%AC%EC%A0%95%EB%A6%AC%29/%EB%8F%84%EB%A1%9C%EA%B3%B5%EC%82%AC%EC%9E%A5%20%EA%B5%90%ED%86%B5%EA%B4%80%EB%A6%AC%EC%A7%80%EC%B9%A8%20%EC%A0%84%EB%AC%B8.pdf" TargetMode="External" Id="rId24"/><Relationship Type="http://schemas.openxmlformats.org/officeDocument/2006/relationships/hyperlink" Target="%EB%B6%84%EC%95%BC%EB%B3%84%EC%84%A4%EA%B3%84%EA%B8%B0%EC%A4%80%28%EC%84%A4%EA%B3%84%EC%82%AC%EC%A0%95%EB%A6%AC%29/%EB%8F%84%EB%A1%9C%EA%B3%B5%EC%82%AC%EC%9E%A5%20%EA%B5%90%ED%86%B5%EA%B4%80%EB%A6%AC%EC%A7%80%EC%B9%A8%20%EC%A0%84%EB%AC%B8.pdf" TargetMode="External" Id="rId25"/><Relationship Type="http://schemas.openxmlformats.org/officeDocument/2006/relationships/hyperlink" Target="%EB%B6%84%EC%95%BC%EB%B3%84%EC%84%A4%EA%B3%84%EA%B8%B0%EC%A4%80%28%EC%84%A4%EA%B3%84%EC%82%AC%EC%A0%95%EB%A6%AC%29/%EB%8F%84%EB%A1%9C%EA%B3%B5%EC%82%AC%EC%9E%A5%20%EA%B5%90%ED%86%B5%EA%B4%80%EB%A6%AC%EC%A7%80%EC%B9%A8%20%EC%A0%84%EB%AC%B8.pdf" TargetMode="External" Id="rId26"/><Relationship Type="http://schemas.openxmlformats.org/officeDocument/2006/relationships/hyperlink" Target="%EB%B6%84%EC%95%BC%EB%B3%84%EC%84%A4%EA%B3%84%EA%B8%B0%EC%A4%80%28%EC%84%A4%EA%B3%84%EC%82%AC%EC%A0%95%EB%A6%AC%29/%EB%8F%84%EB%A1%9C%EA%B3%B5%EC%82%AC%EC%9E%A5%20%EA%B5%90%ED%86%B5%EA%B4%80%EB%A6%AC%EC%A7%80%EC%B9%A8%20%EC%A0%84%EB%AC%B8.pdf" TargetMode="External" Id="rId27"/><Relationship Type="http://schemas.openxmlformats.org/officeDocument/2006/relationships/hyperlink" Target="%EB%B6%84%EC%95%BC%EB%B3%84%EC%84%A4%EA%B3%84%EA%B8%B0%EC%A4%80%28%EC%84%A4%EA%B3%84%EC%82%AC%EC%A0%95%EB%A6%AC%29/%EB%8F%84%EB%A1%9C%EA%B3%B5%EC%82%AC%EC%9E%A5%20%EA%B5%90%ED%86%B5%EA%B4%80%EB%A6%AC%EC%A7%80%EC%B9%A8%20%EC%A0%84%EB%AC%B8.pdf" TargetMode="External" Id="rId28"/><Relationship Type="http://schemas.openxmlformats.org/officeDocument/2006/relationships/hyperlink" Target="%EB%B6%84%EC%95%BC%EB%B3%84%EC%84%A4%EA%B3%84%EA%B8%B0%EC%A4%80%28%EC%84%A4%EA%B3%84%EC%82%AC%EC%A0%95%EB%A6%AC%29/%EB%8F%84%EB%A1%9C%EA%B3%B5%EC%82%AC%EC%9E%A5%20%EA%B5%90%ED%86%B5%EA%B4%80%EB%A6%AC%EC%A7%80%EC%B9%A8%20%EC%A0%84%EB%AC%B8.pdf" TargetMode="External" Id="rId29"/><Relationship Type="http://schemas.openxmlformats.org/officeDocument/2006/relationships/hyperlink" Target="%EB%B6%84%EC%95%BC%EB%B3%84%EC%84%A4%EA%B3%84%EA%B8%B0%EC%A4%80%28%EC%84%A4%EA%B3%84%EC%82%AC%EC%A0%95%EB%A6%AC%29/%EB%8F%84%EB%A1%9C%EA%B3%B5%EC%82%AC%EC%9E%A5%20%EA%B5%90%ED%86%B5%EA%B4%80%EB%A6%AC%EC%A7%80%EC%B9%A8%20%EC%A0%84%EB%AC%B8.pdf" TargetMode="External" Id="rId30"/><Relationship Type="http://schemas.openxmlformats.org/officeDocument/2006/relationships/hyperlink" Target="%EB%B6%84%EC%95%BC%EB%B3%84%EC%84%A4%EA%B3%84%EA%B8%B0%EC%A4%80%28%EC%84%A4%EA%B3%84%EC%82%AC%EC%A0%95%EB%A6%AC%29/%EB%8F%84%EB%A1%9C%EA%B3%B5%EC%82%AC%EC%9E%A5%20%EA%B5%90%ED%86%B5%EA%B4%80%EB%A6%AC%EC%A7%80%EC%B9%A8%20%EC%A0%84%EB%AC%B8.pdf" TargetMode="External" Id="rId31"/><Relationship Type="http://schemas.openxmlformats.org/officeDocument/2006/relationships/hyperlink" Target="%EB%B6%84%EC%95%BC%EB%B3%84%EC%84%A4%EA%B3%84%EA%B8%B0%EC%A4%80%28%EC%84%A4%EA%B3%84%EC%82%AC%EC%A0%95%EB%A6%AC%29/%EB%8F%84%EB%A1%9C%EA%B3%B5%EC%82%AC%EC%9E%A5%20%EA%B5%90%ED%86%B5%EA%B4%80%EB%A6%AC%EC%A7%80%EC%B9%A8%20%EC%A0%84%EB%AC%B8.pdf" TargetMode="External" Id="rId32"/><Relationship Type="http://schemas.openxmlformats.org/officeDocument/2006/relationships/hyperlink" Target="%EB%B6%84%EC%95%BC%EB%B3%84%EC%84%A4%EA%B3%84%EA%B8%B0%EC%A4%80%28%EC%84%A4%EA%B3%84%EC%82%AC%EC%A0%95%EB%A6%AC%29/%EB%8F%84%EB%A1%9C%EA%B3%B5%EC%82%AC%EC%9E%A5%20%EA%B5%90%ED%86%B5%EA%B4%80%EB%A6%AC%EC%A7%80%EC%B9%A8%20%EC%A0%84%EB%AC%B8.pdf" TargetMode="External" Id="rId33"/><Relationship Type="http://schemas.openxmlformats.org/officeDocument/2006/relationships/hyperlink" Target="%EB%B6%84%EC%95%BC%EB%B3%84%EC%84%A4%EA%B3%84%EA%B8%B0%EC%A4%80%28%EC%84%A4%EA%B3%84%EC%82%AC%EC%A0%95%EB%A6%AC%29/%EB%8F%84%EB%A1%9C%EA%B3%B5%EC%82%AC%EC%9E%A5%20%EA%B5%90%ED%86%B5%EA%B4%80%EB%A6%AC%EC%A7%80%EC%B9%A8%20%EC%A0%84%EB%AC%B8.pdf" TargetMode="External" Id="rId34"/><Relationship Type="http://schemas.openxmlformats.org/officeDocument/2006/relationships/hyperlink" Target="%EB%B6%84%EC%95%BC%EB%B3%84%EC%84%A4%EA%B3%84%EA%B8%B0%EC%A4%80%28%EC%84%A4%EA%B3%84%EC%82%AC%EC%A0%95%EB%A6%AC%29/%EB%8F%84%EB%A1%9C%EA%B3%B5%EC%82%AC%EC%9E%A5%20%EA%B5%90%ED%86%B5%EA%B4%80%EB%A6%AC%EC%A7%80%EC%B9%A8%20%EC%A0%84%EB%AC%B8.pdf" TargetMode="External" Id="rId35"/><Relationship Type="http://schemas.openxmlformats.org/officeDocument/2006/relationships/hyperlink" Target="%EB%B6%84%EC%95%BC%EB%B3%84%EC%84%A4%EA%B3%84%EA%B8%B0%EC%A4%80%28%EC%84%A4%EA%B3%84%EC%82%AC%EC%A0%95%EB%A6%AC%29/%EB%8F%84%EB%A1%9C%EA%B3%B5%EC%82%AC%EC%9E%A5%20%EA%B5%90%ED%86%B5%EA%B4%80%EB%A6%AC%EC%A7%80%EC%B9%A8%20%EC%A0%84%EB%AC%B8.pdf" TargetMode="External" Id="rId36"/><Relationship Type="http://schemas.openxmlformats.org/officeDocument/2006/relationships/hyperlink" Target="%EB%B6%84%EC%95%BC%EB%B3%84%EC%84%A4%EA%B3%84%EA%B8%B0%EC%A4%80%28%EC%84%A4%EA%B3%84%EC%82%AC%EC%A0%95%EB%A6%AC%29/%EB%8F%84%EB%A1%9C%EA%B3%B5%EC%82%AC%EC%9E%A5%20%EA%B5%90%ED%86%B5%EA%B4%80%EB%A6%AC%EC%A7%80%EC%B9%A8%20%EC%A0%84%EB%AC%B8.pdf" TargetMode="External" Id="rId37"/><Relationship Type="http://schemas.openxmlformats.org/officeDocument/2006/relationships/hyperlink" Target="%EB%B6%84%EC%95%BC%EB%B3%84%EC%84%A4%EA%B3%84%EA%B8%B0%EC%A4%80%28%EC%84%A4%EA%B3%84%EC%82%AC%EC%A0%95%EB%A6%AC%29/%EB%8F%84%EB%A1%9C%EA%B3%B5%EC%82%AC%EC%9E%A5%20%EA%B5%90%ED%86%B5%EA%B4%80%EB%A6%AC%EC%A7%80%EC%B9%A8%20%EC%A0%84%EB%AC%B8.pdf" TargetMode="External" Id="rId38"/></Relationships>
</file>

<file path=xl/worksheets/_rels/sheet5.xml.rels><Relationships xmlns="http://schemas.openxmlformats.org/package/2006/relationships"><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1"/><Relationship Type="http://schemas.openxmlformats.org/officeDocument/2006/relationships/hyperlink" Target="5.%EC%BD%98%ED%81%AC%EB%A6%AC%ED%8A%B8%EB%8F%84%EC%83%81/1_%EC%84%A4%EA%B3%84%EC%A0%81%EC%A0%95%EC%84%B1%20%EA%B2%80%ED%86%A0/%EC%B2%B4%ED%81%AC%EB%A6%AC%EC%8A%A4%ED%8A%B8/%EC%84%A4%EA%B3%84%EC%A0%81%EC%A0%95%EC%84%B1%20%EA%B2%80%ED%86%A0_%EC%B2%B4%ED%81%AC%EB%A6%AC%EC%8A%A4%ED%8A%B8.html" TargetMode="External" Id="rId2"/><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3"/><Relationship Type="http://schemas.openxmlformats.org/officeDocument/2006/relationships/hyperlink" Target="5.%EC%BD%98%ED%81%AC%EB%A6%AC%ED%8A%B8%EB%8F%84%EC%83%81/2_%EC%9E%90%EC%9E%AC%20%EC%95%BC%EC%A0%81%EC%9E%A5%20%EC%84%A0%EC%A0%95/%EC%B2%B4%ED%81%AC%EB%A6%AC%EC%8A%A4%ED%8A%B8/%EC%9E%90%EC%9E%AC%20%EC%95%BC%EC%A0%81%EC%9E%A5%20%EC%84%A0%EC%A0%95_%EC%B2%B4%ED%81%AC%EB%A6%AC%EC%8A%A4%ED%8A%B8.html" TargetMode="External" Id="rId4"/><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5"/><Relationship Type="http://schemas.openxmlformats.org/officeDocument/2006/relationships/hyperlink" Target="5.%EC%BD%98%ED%81%AC%EB%A6%AC%ED%8A%B8%EB%8F%84%EC%83%81/3_%EB%A0%88%EC%9D%BC%20%EC%9A%A9%EC%A0%91%EC%9E%A5%20%EC%84%A0%EC%A0%95/%EC%B2%B4%ED%81%AC%EB%A6%AC%EC%8A%A4%ED%8A%B8/%EB%A0%88%EC%9D%BC%20%EC%9A%A9%EC%A0%91%EC%9E%A5%20%EC%84%A0%EC%A0%95_%EC%B2%B4%ED%81%AC%EB%A6%AC%EC%8A%A4%ED%8A%B8.html" TargetMode="External" Id="rId6"/><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7"/><Relationship Type="http://schemas.openxmlformats.org/officeDocument/2006/relationships/hyperlink" Target="5.%EC%BD%98%ED%81%AC%EB%A6%AC%ED%8A%B8%EB%8F%84%EC%83%81/4_%EB%B0%9C%EC%A3%BC%EC%A0%84%EB%9E%B5%20KOM/%EC%B2%B4%ED%81%AC%EB%A6%AC%EC%8A%A4%ED%8A%B8/%EB%B0%9C%EC%A3%BC%EC%A0%84%EB%9E%B5%20KOM_%EC%B2%B4%ED%81%AC%EB%A6%AC%EC%8A%A4%ED%8A%B8.html" TargetMode="External" Id="rId8"/><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9"/><Relationship Type="http://schemas.openxmlformats.org/officeDocument/2006/relationships/hyperlink" Target="5.%EC%BD%98%ED%81%AC%EB%A6%AC%ED%8A%B8%EB%8F%84%EC%83%81/5_%EC%B5%9C%EA%B3%A0%EC%9D%98%20%ED%8C%80%20%EB%A7%8C%EB%93%A4%EA%B8%B0%20%EC%A7%80%EC%9B%90/%EC%B2%B4%ED%81%AC%EB%A6%AC%EC%8A%A4%ED%8A%B8/%EC%B5%9C%EA%B3%A0%EC%9D%98%20%ED%8C%80%20%EB%A7%8C%EB%93%A4%EA%B8%B0%20%EC%A7%80%EC%9B%90_%EC%B2%B4%ED%81%AC%EB%A6%AC%EC%8A%A4%ED%8A%B8.html" TargetMode="External" Id="rId10"/><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11"/><Relationship Type="http://schemas.openxmlformats.org/officeDocument/2006/relationships/hyperlink" Target="5.%EC%BD%98%ED%81%AC%EB%A6%AC%ED%8A%B8%EB%8F%84%EC%83%81/6_%EC%BD%98%ED%81%AC%EB%A6%AC%ED%8A%B8%20%ED%83%80%EC%84%A4%EB%B0%A9%EB%B2%95_%EA%B3%84%ED%9A%8D%20%EA%B2%80%ED%86%A0/%EC%B2%B4%ED%81%AC%EB%A6%AC%EC%8A%A4%ED%8A%B8/%EC%BD%98%ED%81%AC%EB%A6%AC%ED%8A%B8%20%ED%83%80%EC%84%A4%EB%B0%A9%EB%B2%95_%EA%B3%84%ED%9A%8D%20%EA%B2%80%ED%86%A0_%EC%B2%B4%ED%81%AC%EB%A6%AC%EC%8A%A4%ED%8A%B8.html" TargetMode="External" Id="rId12"/><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13"/><Relationship Type="http://schemas.openxmlformats.org/officeDocument/2006/relationships/hyperlink" Target="5.%EC%BD%98%ED%81%AC%EB%A6%AC%ED%8A%B8%EB%8F%84%EC%83%81/7_%EC%9E%91%EC%88%98%EC%A0%84%20Big%20Room%20%ED%9A%8C%EC%9D%98/%EC%B2%B4%ED%81%AC%EB%A6%AC%EC%8A%A4%ED%8A%B8/%EC%9E%91%EC%88%98%EC%A0%84%20Big%20Room%20%ED%9A%8C%EC%9D%98_%EC%B2%B4%ED%81%AC%EB%A6%AC%EC%8A%A4%ED%8A%B8.html" TargetMode="External" Id="rId14"/><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15"/><Relationship Type="http://schemas.openxmlformats.org/officeDocument/2006/relationships/hyperlink" Target="5.%EC%BD%98%ED%81%AC%EB%A6%AC%ED%8A%B8%EB%8F%84%EC%83%81/8_%EC%9E%A5%EB%B9%84%2C%EC%9E%90%EC%9E%AC%20%EB%B0%98%EC%9E%85%EB%A1%9C_%EB%B0%98%EC%9E%85%EA%B5%AC%20%EA%B0%84%EC%84%AD%20%EA%B2%80%ED%86%A0/%EC%B2%B4%ED%81%AC%EB%A6%AC%EC%8A%A4%ED%8A%B8/%EC%9E%A5%EB%B9%84%2C%EC%9E%90%EC%9E%AC%20%EB%B0%98%EC%9E%85%EB%A1%9C_%EB%B0%98%EC%9E%85%EA%B5%AC%20%EA%B0%84%EC%84%AD%20%EA%B2%80%ED%86%A0_%EC%B2%B4%ED%81%AC%EB%A6%AC%EC%8A%A4%ED%8A%B8.html" TargetMode="External" Id="rId16"/><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17"/><Relationship Type="http://schemas.openxmlformats.org/officeDocument/2006/relationships/hyperlink" Target="5.%EC%BD%98%ED%81%AC%EB%A6%AC%ED%8A%B8%EB%8F%84%EC%83%81/9_%EC%9E%90%EC%9E%AC%EC%A1%B0%EB%8B%AC%EA%B3%84%ED%9A%8D%20%EA%B2%80%ED%86%A0/%EC%B2%B4%ED%81%AC%EB%A6%AC%EC%8A%A4%ED%8A%B8/%EC%9E%90%EC%9E%AC%EC%A1%B0%EB%8B%AC%EA%B3%84%ED%9A%8D%20%EA%B2%80%ED%86%A0_%EC%B2%B4%ED%81%AC%EB%A6%AC%EC%8A%A4%ED%8A%B8.html" TargetMode="External" Id="rId18"/><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19"/><Relationship Type="http://schemas.openxmlformats.org/officeDocument/2006/relationships/hyperlink" Target="5.%EC%BD%98%ED%81%AC%EB%A6%AC%ED%8A%B8%EB%8F%84%EC%83%81/10_%EC%9E%90%EC%9E%AC%20%EB%B0%9C%EC%A3%BC%20%EC%9A%94%EC%B2%AD/%EC%B2%B4%ED%81%AC%EB%A6%AC%EC%8A%A4%ED%8A%B8/%EC%9E%90%EC%9E%AC%20%EB%B0%9C%EC%A3%BC%20%EC%9A%94%EC%B2%AD_%EC%B2%B4%ED%81%AC%EB%A6%AC%EC%8A%A4%ED%8A%B8.html" TargetMode="External" Id="rId20"/><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21"/><Relationship Type="http://schemas.openxmlformats.org/officeDocument/2006/relationships/hyperlink" Target="5.%EC%BD%98%ED%81%AC%EB%A6%AC%ED%8A%B8%EB%8F%84%EC%83%81/11_%EC%8B%9C%EA%B3%B5%EA%B3%84%ED%9A%8D%20%EC%88%98%EB%A6%BD/%EC%B2%B4%ED%81%AC%EB%A6%AC%EC%8A%A4%ED%8A%B8/%EC%8B%9C%EA%B3%B5%EA%B3%84%ED%9A%8D%20%EC%88%98%EB%A6%BD_%EC%B2%B4%ED%81%AC%EB%A6%AC%EC%8A%A4%ED%8A%B8.html" TargetMode="External" Id="rId22"/><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23"/><Relationship Type="http://schemas.openxmlformats.org/officeDocument/2006/relationships/hyperlink" Target="5.%EC%BD%98%ED%81%AC%EB%A6%AC%ED%8A%B8%EB%8F%84%EC%83%81/12_%EC%9E%90%EC%9E%AC%20%EB%B0%98%EC%9E%85/%EC%B2%B4%ED%81%AC%EB%A6%AC%EC%8A%A4%ED%8A%B8/%EC%9E%90%EC%9E%AC%20%EB%B0%98%EC%9E%85_%EC%B2%B4%ED%81%AC%EB%A6%AC%EC%8A%A4%ED%8A%B8.html" TargetMode="External" Id="rId24"/><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25"/><Relationship Type="http://schemas.openxmlformats.org/officeDocument/2006/relationships/hyperlink" Target="5.%EC%BD%98%ED%81%AC%EB%A6%AC%ED%8A%B8%EB%8F%84%EC%83%81/13_%5BHBS%5D%20%EA%B0%95%ED%99%94%EB%85%B8%EB%B0%98%20%ED%99%95%EC%9D%B8/%EC%B2%B4%ED%81%AC%EB%A6%AC%EC%8A%A4%ED%8A%B8/13_%5BHBS%5D%20%EA%B0%95%ED%99%94%EB%85%B8%EB%B0%98%20%ED%99%95%EC%9D%B8_%EC%B2%B4%ED%81%AC%EB%A6%AC%EC%8A%A4%ED%8A%B8.html" TargetMode="External" Id="rId26"/><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27"/><Relationship Type="http://schemas.openxmlformats.org/officeDocument/2006/relationships/hyperlink" Target="5.%EC%BD%98%ED%81%AC%EB%A6%AC%ED%8A%B8%EB%8F%84%EC%83%81/14_%5BHBS%5D%20%EC%BD%98%ED%81%AC%EB%A6%AC%ED%8A%B8%20%ED%83%80%EC%84%A4%20%EB%B0%8F%20%EC%96%91%EC%83%9D/%EC%B2%B4%ED%81%AC%EB%A6%AC%EC%8A%A4%ED%8A%B8/14_%5BHBS%5D%20%EC%BD%98%ED%81%AC%EB%A6%AC%ED%8A%B8%20%ED%83%80%EC%84%A4%20%EB%B0%8F%20%EC%96%91%EC%83%9D_%EC%B2%B4%ED%81%AC%EB%A6%AC%EC%8A%A4%ED%8A%B8.html" TargetMode="External" Id="rId28"/><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29"/><Relationship Type="http://schemas.openxmlformats.org/officeDocument/2006/relationships/hyperlink" Target="5.%EC%BD%98%ED%81%AC%EB%A6%AC%ED%8A%B8%EB%8F%84%EC%83%81/15_%5B%EB%B0%98-PC%20%EC%8A%AC%EB%9E%98%EB%B8%8C%5D%20%ED%8C%A8%EB%84%90%EB%B0%98%EC%9E%85%20%EB%B0%8F%20%EC%84%A4%EC%B9%98/%EC%B2%B4%ED%81%AC%EB%A6%AC%EC%8A%A4%ED%8A%B8/15_%5B%EB%B0%98-PC%20%EC%8A%AC%EB%9E%98%EB%B8%8C%5D%20%ED%8C%A8%EB%84%90%EB%B0%98%EC%9E%85%20%EB%B0%8F%20%EC%84%A4%EC%B9%98_%EC%B2%B4%ED%81%AC%EB%A6%AC%EC%8A%A4%ED%8A%B8.html" TargetMode="External" Id="rId30"/><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31"/><Relationship Type="http://schemas.openxmlformats.org/officeDocument/2006/relationships/hyperlink" Target="5.%EC%BD%98%ED%81%AC%EB%A6%AC%ED%8A%B8%EB%8F%84%EC%83%81/16_%5BPST%5D%20%EC%A0%84%EB%8B%A8%EC%95%B5%EC%BB%A4%EC%84%A4%EC%B9%98%20%EB%B0%8F%20%EC%B6%A9%EC%A0%84%EC%9E%AC%20%EC%A3%BC%EC%9E%85/%EC%B2%B4%ED%81%AC%EB%A6%AC%EC%8A%A4%ED%8A%B8/16_%5BPST%5D%20%EC%A0%84%EB%8B%A8%EC%95%B5%EC%BB%A4%EC%84%A4%EC%B9%98%20%EB%B0%8F%20%EC%B6%A9%EC%A0%84%EC%9E%AC%20%EC%A3%BC%EC%9E%85_%EC%B2%B4%ED%81%AC%EB%A6%AC%EC%8A%A4%ED%8A%B8.html" TargetMode="External" Id="rId32"/><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33"/><Relationship Type="http://schemas.openxmlformats.org/officeDocument/2006/relationships/hyperlink" Target="5.%EC%BD%98%ED%81%AC%EB%A6%AC%ED%8A%B8%EB%8F%84%EC%83%81/17_%5BTCL%5D%20%EA%B6%A4%EA%B4%91%20%EB%B0%8F%20%EC%B2%A0%EA%B7%BC%20%EC%A1%B0%EB%A6%BD/%EC%B2%B4%ED%81%AC%EB%A6%AC%EC%8A%A4%ED%8A%B8/%5BTCL%5D%20%EA%B6%A4%EA%B4%91%20%EB%B0%8F%20%EC%B2%A0%EA%B7%BC%20%EC%A1%B0%EB%A6%BD_%EC%B2%B4%ED%81%AC%EB%A6%AC%EC%8A%A4%ED%8A%B8.html" TargetMode="External" Id="rId34"/><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35"/><Relationship Type="http://schemas.openxmlformats.org/officeDocument/2006/relationships/hyperlink" Target="5.%EC%BD%98%ED%81%AC%EB%A6%AC%ED%8A%B8%EB%8F%84%EC%83%81/18_%5BTCL%5D%20%EA%B1%B0%ED%91%B8%EC%A7%91%20%EC%84%A4%EC%B9%98/%EC%B2%B4%ED%81%AC%EB%A6%AC%EC%8A%A4%ED%8A%B8/%5BTCL%5D%20%EA%B1%B0%ED%91%B8%EC%A7%91%EC%84%A4%EC%B9%98_%EC%B2%B4%ED%81%AC%EB%A6%AC%EC%8A%A4%ED%8A%B8.html" TargetMode="External" Id="rId36"/><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37"/><Relationship Type="http://schemas.openxmlformats.org/officeDocument/2006/relationships/hyperlink" Target="5.%EC%BD%98%ED%81%AC%EB%A6%AC%ED%8A%B8%EB%8F%84%EC%83%81/19_%5BTCL%5D%20%EC%BD%98%ED%81%AC%EB%A6%AC%ED%8A%B8%20%ED%83%80%EC%84%A4%20%EB%B0%8F%20%EC%96%91%EC%83%9D/%EC%B2%B4%ED%81%AC%EB%A6%AC%EC%8A%A4%ED%8A%B8/%5BTCL%5D%20%EC%BD%98%ED%81%AC%EB%A6%AC%ED%8A%B8%ED%83%80%EC%84%A4%EB%B0%8F%EC%96%91%EC%83%9D_%EC%B2%B4%ED%81%AC%EB%A6%AC%EC%8A%A4%ED%8A%B8.html" TargetMode="External" Id="rId38"/><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39"/><Relationship Type="http://schemas.openxmlformats.org/officeDocument/2006/relationships/hyperlink" Target="5.%EC%BD%98%ED%81%AC%EB%A6%AC%ED%8A%B8%EB%8F%84%EC%83%81/20_%5B%EB%A0%88%EC%9D%BC%EC%9A%A9%EC%A0%91%5D%20%EA%B0%80%EC%8A%A4%20%EC%95%95%EC%A0%91/%EC%B2%B4%ED%81%AC%EB%A6%AC%EC%8A%A4%ED%8A%B8/%5B%EB%A0%88%EC%9D%BC%EC%9A%A9%EC%A0%91%5D%20%EA%B0%80%EC%8A%A4%EC%95%95%EC%A0%91_%EC%B2%B4%ED%81%AC%EB%A6%AC%EC%8A%A4%ED%8A%B8.html" TargetMode="External" Id="rId40"/><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41"/><Relationship Type="http://schemas.openxmlformats.org/officeDocument/2006/relationships/hyperlink" Target="5.%EC%BD%98%ED%81%AC%EB%A6%AC%ED%8A%B8%EB%8F%84%EC%83%81/21_%5B%EB%A0%88%EC%9D%BC%EC%9A%A9%EC%A0%91%5D%20%ED%85%8C%EB%A5%B4%EB%B0%8B%20%EC%9A%A9%EC%A0%91/%EC%B2%B4%ED%81%AC%EB%A6%AC%EC%8A%A4%ED%8A%B8/%5B%EB%A0%88%EC%9D%BC%EC%9A%A9%EC%A0%91%5D%20%ED%85%8C%EB%A5%B4%EB%B0%8B%EC%9A%A9%EC%A0%91_%EC%B2%B4%ED%81%AC%EB%A6%AC%EC%8A%A4%ED%8A%B8.html" TargetMode="External" Id="rId42"/><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43"/><Relationship Type="http://schemas.openxmlformats.org/officeDocument/2006/relationships/hyperlink" Target="5.%EC%BD%98%ED%81%AC%EB%A6%AC%ED%8A%B8%EB%8F%84%EC%83%81/22_%5B%EB%A0%88%EC%9D%BC%EC%97%B0%EB%A7%88%5D%20%EB%A0%88%EC%9D%BC%EC%97%B0%EB%A7%88%20or%20%EB%B0%80%EB%A7%81/%EC%B2%B4%ED%81%AC%EB%A6%AC%EC%8A%A4%ED%8A%B8/%5B%EB%A0%88%EC%9D%BC%EC%97%B0%EB%A7%88%5D%20%EB%A0%88%EC%9D%BC%EC%97%B0%EB%A7%88%20or%20%EB%B0%80%EB%A7%81_%EC%B2%B4%ED%81%AC%EB%A6%AC%EC%8A%A4%ED%8A%B8.html" TargetMode="External" Id="rId44"/><Relationship Type="http://schemas.openxmlformats.org/officeDocument/2006/relationships/hyperlink" Target="%EB%B6%84%EC%95%BC%EB%B3%84%EC%84%A4%EA%B3%84%EA%B8%B0%EC%A4%80%28%EC%84%A4%EA%B3%84%EC%82%AC%EC%A0%95%EB%A6%AC%29/%EC%B2%A0%EB%8F%84%EA%B3%84%ED%9A%8D%EB%B6%84%EC%95%BC%20%EC%84%A0%EB%A1%9C%20%EC%84%A4%EA%B3%84%EA%B8%B0%EC%A4%80%20%EA%B2%80%ED%86%A0.pdf" TargetMode="External" Id="rId45"/><Relationship Type="http://schemas.openxmlformats.org/officeDocument/2006/relationships/hyperlink" Target="5.%EC%BD%98%ED%81%AC%EB%A6%AC%ED%8A%B8%EB%8F%84%EC%83%81/23_%ED%9B%84%EC%86%8D%EA%B3%B5%EC%82%AC%20%EC%9D%B8%EC%88%98%EC%9D%B8%EA%B3%84/%EC%B2%B4%ED%81%AC%EB%A6%AC%EC%8A%A4%ED%8A%B8/%ED%9B%84%EC%86%8D%EA%B3%B5%EC%82%AC%20%EC%9D%B8%EC%88%98%EC%9D%B8%EA%B3%84_%EC%B2%B4%ED%81%AC%EB%A6%AC%EC%8A%A4%ED%8A%B8.html" TargetMode="External" Id="rId46"/></Relationships>
</file>

<file path=xl/worksheets/_rels/sheet6.xml.rels><Relationships xmlns="http://schemas.openxmlformats.org/package/2006/relationships"><Relationship Type="http://schemas.openxmlformats.org/officeDocument/2006/relationships/hyperlink" Target="%EB%B6%84%EC%95%BC%EB%B3%84%EC%84%A4%EA%B3%84%EA%B8%B0%EC%A4%80%28%EC%84%A4%EA%B3%84%EC%82%AC%EC%A0%95%EB%A6%AC%29/%EA%B5%AC%EC%A1%B0%EB%B6%84%EC%95%BC%20%EC%84%A4%EA%B3%84%EA%B8%B0%EC%A4%80%20%EA%B2%80%ED%86%A0.pdf" TargetMode="External" Id="rId1"/><Relationship Type="http://schemas.openxmlformats.org/officeDocument/2006/relationships/hyperlink" Target="6.%EA%B1%B4%EC%B6%95/1_%EC%84%A4%EA%B3%84%20%EC%A0%81%EC%A0%95%EC%84%B1%20%EA%B2%80%ED%86%A0/%EC%B2%B4%ED%81%AC%EB%A6%AC%EC%8A%A4%ED%8A%B8/%EC%84%A4%EA%B3%84%20%EC%A0%81%EC%A0%95%EC%84%B1%20%EA%B2%80%ED%86%A0_%EC%B2%B4%ED%81%AC%EB%A6%AC%EC%8A%A4%ED%8A%B8.html" TargetMode="External" Id="rId2"/><Relationship Type="http://schemas.openxmlformats.org/officeDocument/2006/relationships/hyperlink" Target="%EB%B6%84%EC%95%BC%EB%B3%84%EC%84%A4%EA%B3%84%EA%B8%B0%EC%A4%80%28%EC%84%A4%EA%B3%84%EC%82%AC%EC%A0%95%EB%A6%AC%29/%EA%B5%AC%EC%A1%B0%EB%B6%84%EC%95%BC%20%EC%84%A4%EA%B3%84%EA%B8%B0%EC%A4%80%20%EA%B2%80%ED%86%A0.pdf" TargetMode="External" Id="rId3"/><Relationship Type="http://schemas.openxmlformats.org/officeDocument/2006/relationships/hyperlink" Target="6.%EA%B1%B4%EC%B6%95/2_%EB%B0%9C%EC%A3%BC%EC%A0%84%EB%9E%B5%20KOM/%EC%B2%B4%ED%81%AC%EB%A6%AC%EC%8A%A4%ED%8A%B8/%EB%B0%9C%EC%A3%BC%EC%A0%84%EB%9E%B5%20KOM_%EC%B2%B4%ED%81%AC%EB%A6%AC%EC%8A%A4%ED%8A%B8.html" TargetMode="External" Id="rId4"/><Relationship Type="http://schemas.openxmlformats.org/officeDocument/2006/relationships/hyperlink" Target="%EB%B6%84%EC%95%BC%EB%B3%84%EC%84%A4%EA%B3%84%EA%B8%B0%EC%A4%80%28%EC%84%A4%EA%B3%84%EC%82%AC%EC%A0%95%EB%A6%AC%29/%EA%B5%AC%EC%A1%B0%EB%B6%84%EC%95%BC%20%EC%84%A4%EA%B3%84%EA%B8%B0%EC%A4%80%20%EA%B2%80%ED%86%A0.pdf" TargetMode="External" Id="rId5"/><Relationship Type="http://schemas.openxmlformats.org/officeDocument/2006/relationships/hyperlink" Target="6.%EA%B1%B4%EC%B6%95/3_%EC%B0%A9%EA%B3%B5%EC%A0%84%20%EA%B1%B4%EC%B6%95%20%EC%9D%B8%ED%97%88%EA%B0%80/%EC%B2%B4%ED%81%AC%EB%A6%AC%EC%8A%A4%ED%8A%B8/%EC%B0%A9%EA%B3%B5%EC%A0%84%20%EA%B1%B4%EC%B6%95%20%EC%9D%B8%ED%97%88%EA%B0%80_%EC%B2%B4%ED%81%AC%EB%A6%AC%EC%8A%A4%ED%8A%B8.html" TargetMode="External" Id="rId6"/><Relationship Type="http://schemas.openxmlformats.org/officeDocument/2006/relationships/hyperlink" Target="%EB%B6%84%EC%95%BC%EB%B3%84%EC%84%A4%EA%B3%84%EA%B8%B0%EC%A4%80%28%EC%84%A4%EA%B3%84%EC%82%AC%EC%A0%95%EB%A6%AC%29/%EA%B5%AC%EC%A1%B0%EB%B6%84%EC%95%BC%20%EC%84%A4%EA%B3%84%EA%B8%B0%EC%A4%80%20%EA%B2%80%ED%86%A0.pdf" TargetMode="External" Id="rId7"/><Relationship Type="http://schemas.openxmlformats.org/officeDocument/2006/relationships/hyperlink" Target="6.%EA%B1%B4%EC%B6%95/4_%EA%B1%B4%EC%B6%95%ED%97%88%EA%B0%80%20%EC%9A%94%EC%B2%AD/%EC%B2%B4%ED%81%AC%EB%A6%AC%EC%8A%A4%ED%8A%B8/%EA%B1%B4%EC%B6%95%ED%97%88%EA%B0%80%20%EC%9A%94%EC%B2%AD_%EC%B2%B4%ED%81%AC%EB%A6%AC%EC%8A%A4%ED%8A%B8.html" TargetMode="External" Id="rId8"/><Relationship Type="http://schemas.openxmlformats.org/officeDocument/2006/relationships/hyperlink" Target="%EB%B6%84%EC%95%BC%EB%B3%84%EC%84%A4%EA%B3%84%EA%B8%B0%EC%A4%80%28%EC%84%A4%EA%B3%84%EC%82%AC%EC%A0%95%EB%A6%AC%29/%EA%B5%AC%EC%A1%B0%EB%B6%84%EC%95%BC%20%EC%84%A4%EA%B3%84%EA%B8%B0%EC%A4%80%20%EA%B2%80%ED%86%A0.pdf" TargetMode="External" Id="rId9"/><Relationship Type="http://schemas.openxmlformats.org/officeDocument/2006/relationships/hyperlink" Target="6.%EA%B1%B4%EC%B6%95/5_%EC%B0%A9%EA%B3%B5%EC%8B%A0%EA%B3%A0%EC%84%9C%20%EC%A0%9C%EC%B6%9C/%EC%B2%B4%ED%81%AC%EB%A6%AC%EC%8A%A4%ED%8A%B8/%EC%B0%A9%EA%B3%B5%EC%8B%A0%EA%B3%A0%EC%84%9C%20%EC%A0%9C%EC%B6%9C_%EC%B2%B4%ED%81%AC%EB%A6%AC%EC%8A%A4%ED%8A%B8.html" TargetMode="External" Id="rId10"/><Relationship Type="http://schemas.openxmlformats.org/officeDocument/2006/relationships/hyperlink" Target="%EB%B6%84%EC%95%BC%EB%B3%84%EC%84%A4%EA%B3%84%EA%B8%B0%EC%A4%80%28%EC%84%A4%EA%B3%84%EC%82%AC%EC%A0%95%EB%A6%AC%29/%EA%B5%AC%EC%A1%B0%EB%B6%84%EC%95%BC%20%EC%84%A4%EA%B3%84%EA%B8%B0%EC%A4%80%20%EA%B2%80%ED%86%A0.pdf" TargetMode="External" Id="rId11"/><Relationship Type="http://schemas.openxmlformats.org/officeDocument/2006/relationships/hyperlink" Target="6.%EA%B1%B4%EC%B6%95/6_%EC%86%8C%EB%B0%A9%EC%8B%9C%EC%84%A4%EA%B3%B5%EC%82%AC%20%EC%B0%A9%EA%B3%B5%20%EC%8B%A0%EA%B3%A0%EC%84%9C%20%EC%A0%9C%EC%B6%9C/%EC%B2%B4%ED%81%AC%EB%A6%AC%EC%8A%A4%ED%8A%B8/%EC%86%8C%EB%B0%A9%EC%8B%9C%EC%84%A4%EA%B3%B5%EC%82%AC%20%EC%B0%A9%EA%B3%B5%20%EC%8B%A0%EA%B3%A0%EC%84%9C%20%EC%A0%9C%EC%B6%9C_%EC%B2%B4%ED%81%AC%EB%A6%AC%EC%8A%A4%ED%8A%B8.html" TargetMode="External" Id="rId12"/><Relationship Type="http://schemas.openxmlformats.org/officeDocument/2006/relationships/hyperlink" Target="%EB%B6%84%EC%95%BC%EB%B3%84%EC%84%A4%EA%B3%84%EA%B8%B0%EC%A4%80%28%EC%84%A4%EA%B3%84%EC%82%AC%EC%A0%95%EB%A6%AC%29/%EA%B5%AC%EC%A1%B0%EB%B6%84%EC%95%BC%20%EC%84%A4%EA%B3%84%EA%B8%B0%EC%A4%80%20%EA%B2%80%ED%86%A0.pdf" TargetMode="External" Id="rId13"/><Relationship Type="http://schemas.openxmlformats.org/officeDocument/2006/relationships/hyperlink" Target="6.%EA%B1%B4%EC%B6%95/7_%EC%A0%95%EB%B3%B4%ED%86%B5%EC%8B%A0%EA%B3%B5%EC%82%AC%20%EC%B0%A9%EA%B3%B5%EC%A0%84%20%EC%84%A4%EA%B3%84%EB%8F%84%20%ED%99%95%EC%9D%B8%20%28%EC%8B%A0%EC%B2%AD%EC%84%9C%20%EC%A0%9C%EC%B6%9C%20%EB%B0%8F%20%EA%B2%B0%EA%B3%BC%20%EC%A0%91%EC%88%98%29/%EC%B2%B4%ED%81%AC%EB%A6%AC%EC%8A%A4%ED%8A%B8/%EC%A0%95%EB%B3%B4%ED%86%B5%EC%8B%A0%EA%B3%B5%EC%82%AC%20%EC%B0%A9%EA%B3%B5%EC%A0%84%20%EC%84%A4%EA%B3%84%EB%8F%84%20%ED%99%95%EC%9D%B8%20%28%EC%8B%A0%EC%B2%AD%EC%84%9C%20%EC%A0%9C%EC%B6%9C%20%EB%B0%8F%20%EA%B2%B0%EA%B3%BC%20%EC%A0%91%EC%88%98%29_%EC%B2%B4%ED%81%AC%EB%A6%AC%EC%8A%A4%ED%8A%B8.html" TargetMode="External" Id="rId14"/><Relationship Type="http://schemas.openxmlformats.org/officeDocument/2006/relationships/hyperlink" Target="%EB%B6%84%EC%95%BC%EB%B3%84%EC%84%A4%EA%B3%84%EA%B8%B0%EC%A4%80%28%EC%84%A4%EA%B3%84%EC%82%AC%EC%A0%95%EB%A6%AC%29/%EA%B5%AC%EC%A1%B0%EB%B6%84%EC%95%BC%20%EC%84%A4%EA%B3%84%EA%B8%B0%EC%A4%80%20%EA%B2%80%ED%86%A0.pdf" TargetMode="External" Id="rId15"/><Relationship Type="http://schemas.openxmlformats.org/officeDocument/2006/relationships/hyperlink" Target="6.%EA%B1%B4%EC%B6%95/8_%EC%84%A0%ED%96%89%EA%B3%B5%EC%A2%85%20%EC%9D%B8%EC%88%98%EC%82%AC%ED%95%AD%20%ED%99%95%EC%9D%B8/%EC%B2%B4%ED%81%AC%EB%A6%AC%EC%8A%A4%ED%8A%B8/%EC%84%A0%ED%96%89%EA%B3%B5%EC%A2%85%20%EC%9D%B8%EC%88%98%EC%82%AC%ED%95%AD%20%ED%99%95%EC%9D%B8_%EC%B2%B4%ED%81%AC%EB%A6%AC%EC%8A%A4%ED%8A%B8.html" TargetMode="External" Id="rId16"/><Relationship Type="http://schemas.openxmlformats.org/officeDocument/2006/relationships/hyperlink" Target="%EB%B6%84%EC%95%BC%EB%B3%84%EC%84%A4%EA%B3%84%EA%B8%B0%EC%A4%80%28%EC%84%A4%EA%B3%84%EC%82%AC%EC%A0%95%EB%A6%AC%29/%EA%B5%AC%EC%A1%B0%EB%B6%84%EC%95%BC%20%EC%84%A4%EA%B3%84%EA%B8%B0%EC%A4%80%20%EA%B2%80%ED%86%A0.pdf" TargetMode="External" Id="rId17"/><Relationship Type="http://schemas.openxmlformats.org/officeDocument/2006/relationships/hyperlink" Target="6.%EA%B1%B4%EC%B6%95/9_%EC%9D%B8%ED%84%B0%ED%8E%98%EC%9D%B4%EC%8A%A4%20%EC%82%AC%ED%95%AD%20%EA%B2%80%ED%86%A0%20%EB%B0%8F%20%EC%A7%80%EC%9B%90/%EC%B2%B4%ED%81%AC%EB%A6%AC%EC%8A%A4%ED%8A%B8/%EC%9D%B8%ED%84%B0%ED%8E%98%EC%9D%B4%EC%8A%A4%20%EC%82%AC%ED%95%AD%20%EA%B2%80%ED%86%A0%20%EB%B0%8F%20%EC%A7%80%EC%9B%90_%EC%B2%B4%ED%81%AC%EB%A6%AC%EC%8A%A4%ED%8A%B8.html" TargetMode="External" Id="rId18"/><Relationship Type="http://schemas.openxmlformats.org/officeDocument/2006/relationships/hyperlink" Target="%EB%B6%84%EC%95%BC%EB%B3%84%EC%84%A4%EA%B3%84%EA%B8%B0%EC%A4%80%28%EC%84%A4%EA%B3%84%EC%82%AC%EC%A0%95%EB%A6%AC%29/%EA%B5%AC%EC%A1%B0%EB%B6%84%EC%95%BC%20%EC%84%A4%EA%B3%84%EA%B8%B0%EC%A4%80%20%EA%B2%80%ED%86%A0.pdf" TargetMode="External" Id="rId19"/><Relationship Type="http://schemas.openxmlformats.org/officeDocument/2006/relationships/hyperlink" Target="6.%EA%B1%B4%EC%B6%95/10_%ED%92%88%EC%A7%88_%EC%95%88%EC%A0%84%20LL%20%EA%B3%B5%EC%9C%A0/%EC%B2%B4%ED%81%AC%EB%A6%AC%EC%8A%A4%ED%8A%B8/%ED%92%88%EC%A7%88_%EC%95%88%EC%A0%84%20LL%20%EA%B3%B5%EC%9C%A0_%EC%B2%B4%ED%81%AC%EB%A6%AC%EC%8A%A4%ED%8A%B8.html" TargetMode="External" Id="rId20"/><Relationship Type="http://schemas.openxmlformats.org/officeDocument/2006/relationships/hyperlink" Target="%EB%B6%84%EC%95%BC%EB%B3%84%EC%84%A4%EA%B3%84%EA%B8%B0%EC%A4%80%28%EC%84%A4%EA%B3%84%EC%82%AC%EC%A0%95%EB%A6%AC%29/%EA%B5%AC%EC%A1%B0%EB%B6%84%EC%95%BC%20%EC%84%A4%EA%B3%84%EA%B8%B0%EC%A4%80%20%EA%B2%80%ED%86%A0.pdf" TargetMode="External" Id="rId21"/><Relationship Type="http://schemas.openxmlformats.org/officeDocument/2006/relationships/hyperlink" Target="6.%EA%B1%B4%EC%B6%95/11_%EC%9E%90%EC%9E%AC%EA%B3%B5%EA%B8%89%EC%9B%90%EC%8A%B9%EC%9D%B8%20%EB%B0%8F%20%EC%9E%90%EC%9E%AC%EB%B0%9C%EC%A3%BC/%EC%B2%B4%ED%81%AC%EB%A6%AC%EC%8A%A4%ED%8A%B8/%EC%9E%90%EC%9E%AC%EA%B3%B5%EA%B8%89%EC%9B%90%EC%8A%B9%EC%9D%B8%20%EB%B0%8F%20%EC%9E%90%EC%9E%AC%EB%B0%9C%EC%A3%BC_%EC%B2%B4%ED%81%AC%EB%A6%AC%EC%8A%A4%ED%8A%B8.html" TargetMode="External" Id="rId22"/><Relationship Type="http://schemas.openxmlformats.org/officeDocument/2006/relationships/hyperlink" Target="%EB%B6%84%EC%95%BC%EB%B3%84%EC%84%A4%EA%B3%84%EA%B8%B0%EC%A4%80%28%EC%84%A4%EA%B3%84%EC%82%AC%EC%A0%95%EB%A6%AC%29/%EA%B5%AC%EC%A1%B0%EB%B6%84%EC%95%BC%20%EC%84%A4%EA%B3%84%EA%B8%B0%EC%A4%80%20%EA%B2%80%ED%86%A0.pdf" TargetMode="External" Id="rId23"/><Relationship Type="http://schemas.openxmlformats.org/officeDocument/2006/relationships/hyperlink" Target="6.%EA%B1%B4%EC%B6%95/12_%EC%B0%A9%EC%88%98%EC%A0%84%20Big%20Room%20%ED%9A%8C%EC%9D%98/%EC%B2%B4%ED%81%AC%EB%A6%AC%EC%8A%A4%ED%8A%B8/%EC%B0%A9%EC%88%98%EC%A0%84%20Big%20Room%20%ED%9A%8C%EC%9D%98_%EC%B2%B4%ED%81%AC%EB%A6%AC%EC%8A%A4%ED%8A%B8.html" TargetMode="External" Id="rId24"/><Relationship Type="http://schemas.openxmlformats.org/officeDocument/2006/relationships/hyperlink" Target="%EB%B6%84%EC%95%BC%EB%B3%84%EC%84%A4%EA%B3%84%EA%B8%B0%EC%A4%80%28%EC%84%A4%EA%B3%84%EC%82%AC%EC%A0%95%EB%A6%AC%29/%EA%B5%AC%EC%A1%B0%EB%B6%84%EC%95%BC%20%EC%84%A4%EA%B3%84%EA%B8%B0%EC%A4%80%20%EA%B2%80%ED%86%A0.pdf" TargetMode="External" Id="rId25"/><Relationship Type="http://schemas.openxmlformats.org/officeDocument/2006/relationships/hyperlink" Target="6.%EA%B1%B4%EC%B6%95/13_%EC%8B%9C%EA%B3%B5%EA%B3%84%ED%9A%8D%20%EC%88%98%EB%A6%BD_%EC%8A%B9%EC%9D%B8/%EC%B2%B4%ED%81%AC%EB%A6%AC%EC%8A%A4%ED%8A%B8/%EC%8B%9C%EA%B3%B5%EA%B3%84%ED%9A%8D%20%EC%88%98%EB%A6%BD_%EC%8A%B9%EC%9D%B8_%EC%B2%B4%ED%81%AC%EB%A6%AC%EC%8A%A4%ED%8A%B8.html" TargetMode="External" Id="rId26"/><Relationship Type="http://schemas.openxmlformats.org/officeDocument/2006/relationships/hyperlink" Target="%EB%B6%84%EC%95%BC%EB%B3%84%EC%84%A4%EA%B3%84%EA%B8%B0%EC%A4%80%28%EC%84%A4%EA%B3%84%EC%82%AC%EC%A0%95%EB%A6%AC%29/%EA%B5%AC%EC%A1%B0%EB%B6%84%EC%95%BC%20%EC%84%A4%EA%B3%84%EA%B8%B0%EC%A4%80%20%EA%B2%80%ED%86%A0.pdf" TargetMode="External" Id="rId27"/><Relationship Type="http://schemas.openxmlformats.org/officeDocument/2006/relationships/hyperlink" Target="6.%EA%B1%B4%EC%B6%95/14_%EC%B8%A1%EB%9F%89%2C%20%EC%9E%90%EC%9E%AC_%EC%9E%A5%EB%B9%84%20%EB%B0%98%EC%9E%85%2C%20%EC%95%88%EC%A0%84%EA%B5%90%EC%9C%A1/%EC%B2%B4%ED%81%AC%EB%A6%AC%EC%8A%A4%ED%8A%B8/%EC%B8%A1%EB%9F%89%2C%20%EC%9E%90%EC%9E%AC_%EC%9E%A5%EB%B9%84%20%EB%B0%98%EC%9E%85%2C%20%EC%95%88%EC%A0%84%EA%B5%90%EC%9C%A1_%EC%B2%B4%ED%81%AC%EB%A6%AC%EC%8A%A4%ED%8A%B8.html" TargetMode="External" Id="rId28"/><Relationship Type="http://schemas.openxmlformats.org/officeDocument/2006/relationships/hyperlink" Target="%EB%B6%84%EC%95%BC%EB%B3%84%EC%84%A4%EA%B3%84%EA%B8%B0%EC%A4%80%28%EC%84%A4%EA%B3%84%EC%82%AC%EC%A0%95%EB%A6%AC%29/%EA%B5%AC%EC%A1%B0%EB%B6%84%EC%95%BC%20%EC%84%A4%EA%B3%84%EA%B8%B0%EC%A4%80%20%EA%B2%80%ED%86%A0.pdf" TargetMode="External" Id="rId29"/><Relationship Type="http://schemas.openxmlformats.org/officeDocument/2006/relationships/hyperlink" Target="6.%EA%B1%B4%EC%B6%95/15_%EC%9E%90%EC%9E%AC%20%EA%B2%80%EC%88%98/%EC%B2%B4%ED%81%AC%EB%A6%AC%EC%8A%A4%ED%8A%B8/%EC%9E%90%EC%9E%AC%20%EA%B2%80%EC%88%98_%EC%B2%B4%ED%81%AC%EB%A6%AC%EC%8A%A4%ED%8A%B8.html" TargetMode="External" Id="rId30"/><Relationship Type="http://schemas.openxmlformats.org/officeDocument/2006/relationships/hyperlink" Target="%EB%B6%84%EC%95%BC%EB%B3%84%EC%84%A4%EA%B3%84%EA%B8%B0%EC%A4%80%28%EC%84%A4%EA%B3%84%EC%82%AC%EC%A0%95%EB%A6%AC%29/%EA%B5%AC%EC%A1%B0%EB%B6%84%EC%95%BC%20%EC%84%A4%EA%B3%84%EA%B8%B0%EC%A4%80%20%EA%B2%80%ED%86%A0.pdf" TargetMode="External" Id="rId31"/><Relationship Type="http://schemas.openxmlformats.org/officeDocument/2006/relationships/hyperlink" Target="6.%EA%B1%B4%EC%B6%95/16_%ED%84%B0%ED%8C%8C%EA%B8%B0_%EC%A7%80%EB%B0%98%20%EC%A0%95%EB%A6%AC/%EC%B2%B4%ED%81%AC%EB%A6%AC%EC%8A%A4%ED%8A%B8/%ED%84%B0%ED%8C%8C%EA%B8%B0_%EC%A7%80%EB%B0%98%20%EC%A0%95%EB%A6%AC_%EC%B2%B4%ED%81%AC%EB%A6%AC%EC%8A%A4%ED%8A%B8.html" TargetMode="External" Id="rId32"/><Relationship Type="http://schemas.openxmlformats.org/officeDocument/2006/relationships/hyperlink" Target="%EB%B6%84%EC%95%BC%EB%B3%84%EC%84%A4%EA%B3%84%EA%B8%B0%EC%A4%80%28%EC%84%A4%EA%B3%84%EC%82%AC%EC%A0%95%EB%A6%AC%29/%EA%B5%AC%EC%A1%B0%EB%B6%84%EC%95%BC%20%EC%84%A4%EA%B3%84%EA%B8%B0%EC%A4%80%20%EA%B2%80%ED%86%A0.pdf" TargetMode="External" Id="rId33"/><Relationship Type="http://schemas.openxmlformats.org/officeDocument/2006/relationships/hyperlink" Target="6.%EA%B1%B4%EC%B6%95/17_%EB%B0%94%EB%8B%A5%28%EB%B2%84%EB%A6%BC%29%20%EC%BD%98%ED%81%AC%EB%A6%AC%ED%8A%B8%20%ED%83%80%EC%84%A4/%EC%B2%B4%ED%81%AC%EB%A6%AC%EC%8A%A4%ED%8A%B8/%EB%B0%94%EB%8B%A5%28%EB%B2%84%EB%A6%BC%29%20%EC%BD%98%ED%81%AC%EB%A6%AC%ED%8A%B8%20%ED%83%80%EC%84%A4_%EC%B2%B4%ED%81%AC%EB%A6%AC%EC%8A%A4%ED%8A%B8.html" TargetMode="External" Id="rId34"/><Relationship Type="http://schemas.openxmlformats.org/officeDocument/2006/relationships/hyperlink" Target="%EB%B6%84%EC%95%BC%EB%B3%84%EC%84%A4%EA%B3%84%EA%B8%B0%EC%A4%80%28%EC%84%A4%EA%B3%84%EC%82%AC%EC%A0%95%EB%A6%AC%29/%EA%B5%AC%EC%A1%B0%EB%B6%84%EC%95%BC%20%EC%84%A4%EA%B3%84%EA%B8%B0%EC%A4%80%20%EA%B2%80%ED%86%A0.pdf" TargetMode="External" Id="rId35"/><Relationship Type="http://schemas.openxmlformats.org/officeDocument/2006/relationships/hyperlink" Target="6.%EA%B1%B4%EC%B6%95/18_%EC%9D%B8%ED%84%B0%ED%8E%98%EC%9D%B4%EC%8A%A4%20%ED%9A%8C%EC%9D%98%28%EB%A7%A4%EC%A3%BC%29/%EC%B2%B4%ED%81%AC%EB%A6%AC%EC%8A%A4%ED%8A%B8/%EC%9D%B8%ED%84%B0%ED%8E%98%EC%9D%B4%EC%8A%A4%20%ED%9A%8C%EC%9D%98%28%EB%A7%A4%EC%A3%BC%29_%EC%B2%B4%ED%81%AC%EB%A6%AC%EC%8A%A4%ED%8A%B8.html" TargetMode="External" Id="rId36"/><Relationship Type="http://schemas.openxmlformats.org/officeDocument/2006/relationships/hyperlink" Target="%EB%B6%84%EC%95%BC%EB%B3%84%EC%84%A4%EA%B3%84%EA%B8%B0%EC%A4%80%28%EC%84%A4%EA%B3%84%EC%82%AC%EC%A0%95%EB%A6%AC%29/%EA%B5%AC%EC%A1%B0%EB%B6%84%EC%95%BC%20%EC%84%A4%EA%B3%84%EA%B8%B0%EC%A4%80%20%EA%B2%80%ED%86%A0.pdf" TargetMode="External" Id="rId37"/><Relationship Type="http://schemas.openxmlformats.org/officeDocument/2006/relationships/hyperlink" Target="6.%EA%B1%B4%EC%B6%95/19_%EC%9D%B8%ED%84%B0%ED%8E%98%EC%9D%B4%EC%8A%A4%20%EA%B0%81%20%EA%B3%B5%EC%A2%85%EB%B3%84%20Issue%20%28%EA%B8%B0%EA%B3%84%2C%20%EC%A0%84%EA%B8%B0%2C%20%ED%86%B5%EC%8B%A0%EB%B6%84%EC%95%BC%29/%EC%B2%B4%ED%81%AC%EB%A6%AC%EC%8A%A4%ED%8A%B8/%EC%9D%B8%ED%84%B0%ED%8E%98%EC%9D%B4%EC%8A%A4%20%EA%B0%81%20%EA%B3%B5%EC%A2%85%EB%B3%84%20Issue%20%28%EA%B8%B0%EA%B3%84%2C%20%EC%A0%84%EA%B8%B0%2C%20%ED%86%B5%EC%8B%A0%EB%B6%84%EC%95%BC%29_%EC%B2%B4%ED%81%AC%EB%A6%AC%EC%8A%A4%ED%8A%B8.html" TargetMode="External" Id="rId38"/><Relationship Type="http://schemas.openxmlformats.org/officeDocument/2006/relationships/hyperlink" Target="%EB%B6%84%EC%95%BC%EB%B3%84%EC%84%A4%EA%B3%84%EA%B8%B0%EC%A4%80%28%EC%84%A4%EA%B3%84%EC%82%AC%EC%A0%95%EB%A6%AC%29/%EA%B5%AC%EC%A1%B0%EB%B6%84%EC%95%BC%20%EC%84%A4%EA%B3%84%EA%B8%B0%EC%A4%80%20%EA%B2%80%ED%86%A0.pdf" TargetMode="External" Id="rId39"/><Relationship Type="http://schemas.openxmlformats.org/officeDocument/2006/relationships/hyperlink" Target="6.%EA%B1%B4%EC%B6%95/20_%EC%9D%B8%ED%84%B0%ED%8E%98%EC%9D%B4%EC%8A%A4%20%EA%B0%81%20%EA%B3%B5%EC%A2%85%EB%B3%84%20Issue%20%28%ED%86%A0%EB%AA%A9%EB%B6%84%EC%95%BC%29/%EC%B2%B4%ED%81%AC%EB%A6%AC%EC%8A%A4%ED%8A%B8/%EC%9D%B8%ED%84%B0%ED%8E%98%EC%9D%B4%EC%8A%A4%20%EA%B0%81%20%EA%B3%B5%EC%A2%85%EB%B3%84%20Issue%20%28%ED%86%A0%EB%AA%A9%EB%B6%84%EC%95%BC%29_%EC%B2%B4%ED%81%AC%EB%A6%AC%EC%8A%A4%ED%8A%B8.html" TargetMode="External" Id="rId40"/><Relationship Type="http://schemas.openxmlformats.org/officeDocument/2006/relationships/hyperlink" Target="%EB%B6%84%EC%95%BC%EB%B3%84%EC%84%A4%EA%B3%84%EA%B8%B0%EC%A4%80%28%EC%84%A4%EA%B3%84%EC%82%AC%EC%A0%95%EB%A6%AC%29/%EA%B5%AC%EC%A1%B0%EB%B6%84%EC%95%BC%20%EC%84%A4%EA%B3%84%EA%B8%B0%EC%A4%80%20%EA%B2%80%ED%86%A0.pdf" TargetMode="External" Id="rId41"/><Relationship Type="http://schemas.openxmlformats.org/officeDocument/2006/relationships/hyperlink" Target="6.%EA%B1%B4%EC%B6%95/21_%EA%B8%B0%EC%B4%88~%EC%83%81%EB%B6%80%EC%8A%AC%EB%9D%BC%EB%B8%8C%20%EA%B5%AC%EC%A1%B0%EB%AC%BC%20%EC%8B%9C%EA%B3%B5/%EC%B2%B4%ED%81%AC%EB%A6%AC%EC%8A%A4%ED%8A%B8/%EA%B8%B0%EC%B4%88~%EC%83%81%EB%B6%80%EC%8A%AC%EB%9D%BC%EB%B8%8C%20%EA%B5%AC%EC%A1%B0%EB%AC%BC%20%EC%8B%9C%EA%B3%B5_%EC%B2%B4%ED%81%AC%EB%A6%AC%EC%8A%A4%ED%8A%B8.html" TargetMode="External" Id="rId42"/><Relationship Type="http://schemas.openxmlformats.org/officeDocument/2006/relationships/hyperlink" Target="%EB%B6%84%EC%95%BC%EB%B3%84%EC%84%A4%EA%B3%84%EA%B8%B0%EC%A4%80%28%EC%84%A4%EA%B3%84%EC%82%AC%EC%A0%95%EB%A6%AC%29/%EA%B5%AC%EC%A1%B0%EB%B6%84%EC%95%BC%20%EC%84%A4%EA%B3%84%EA%B8%B0%EC%A4%80%20%EA%B2%80%ED%86%A0.pdf" TargetMode="External" Id="rId43"/><Relationship Type="http://schemas.openxmlformats.org/officeDocument/2006/relationships/hyperlink" Target="6.%EA%B1%B4%EC%B6%95/22_%EC%B2%A0%EA%B7%BC%20%EA%B0%80%EA%B3%B5/%EC%B2%B4%ED%81%AC%EB%A6%AC%EC%8A%A4%ED%8A%B8/%EC%B2%A0%EA%B7%BC%20%EA%B0%80%EA%B3%B5_%EC%B2%B4%ED%81%AC%EB%A6%AC%EC%8A%A4%ED%8A%B8.html" TargetMode="External" Id="rId44"/><Relationship Type="http://schemas.openxmlformats.org/officeDocument/2006/relationships/hyperlink" Target="%EB%B6%84%EC%95%BC%EB%B3%84%EC%84%A4%EA%B3%84%EA%B8%B0%EC%A4%80%28%EC%84%A4%EA%B3%84%EC%82%AC%EC%A0%95%EB%A6%AC%29/%EA%B5%AC%EC%A1%B0%EB%B6%84%EC%95%BC%20%EC%84%A4%EA%B3%84%EA%B8%B0%EC%A4%80%20%EA%B2%80%ED%86%A0.pdf" TargetMode="External" Id="rId45"/><Relationship Type="http://schemas.openxmlformats.org/officeDocument/2006/relationships/hyperlink" Target="6.%EA%B1%B4%EC%B6%95/23_%EC%9E%91%EC%97%85%EB%B0%9C%ED%8C%90%2C%20%EB%B9%84%EA%B3%84%20%EB%B0%8F%20%EB%8F%99%EB%B0%94%EB%A6%AC%20%EC%84%A4%EC%B9%98/%EC%B2%B4%ED%81%AC%EB%A6%AC%EC%8A%A4%ED%8A%B8/%EC%9E%91%EC%97%85%EB%B0%9C%ED%8C%90%2C%20%EB%B9%84%EA%B3%84%20%EB%B0%8F%20%EB%8F%99%EB%B0%94%EB%A6%AC%20%EC%84%A4%EC%B9%98_%EC%B2%B4%ED%81%AC%EB%A6%AC%EC%8A%A4%ED%8A%B8.html" TargetMode="External" Id="rId46"/><Relationship Type="http://schemas.openxmlformats.org/officeDocument/2006/relationships/hyperlink" Target="%EB%B6%84%EC%95%BC%EB%B3%84%EC%84%A4%EA%B3%84%EA%B8%B0%EC%A4%80%28%EC%84%A4%EA%B3%84%EC%82%AC%EC%A0%95%EB%A6%AC%29/%EA%B5%AC%EC%A1%B0%EB%B6%84%EC%95%BC%20%EC%84%A4%EA%B3%84%EA%B8%B0%EC%A4%80%20%EA%B2%80%ED%86%A0.pdf" TargetMode="External" Id="rId47"/><Relationship Type="http://schemas.openxmlformats.org/officeDocument/2006/relationships/hyperlink" Target="6.%EA%B1%B4%EC%B6%95/24_%EC%B2%A0%EA%B7%BC%20%EC%A1%B0%EB%A6%BD/%EC%B2%B4%ED%81%AC%EB%A6%AC%EC%8A%A4%ED%8A%B8/%EC%B2%A0%EA%B7%BC%20%EC%A1%B0%EB%A6%BD_%EC%B2%B4%ED%81%AC%EB%A6%AC%EC%8A%A4%ED%8A%B8.html" TargetMode="External" Id="rId48"/><Relationship Type="http://schemas.openxmlformats.org/officeDocument/2006/relationships/hyperlink" Target="%EB%B6%84%EC%95%BC%EB%B3%84%EC%84%A4%EA%B3%84%EA%B8%B0%EC%A4%80%28%EC%84%A4%EA%B3%84%EC%82%AC%EC%A0%95%EB%A6%AC%29/%EA%B5%AC%EC%A1%B0%EB%B6%84%EC%95%BC%20%EC%84%A4%EA%B3%84%EA%B8%B0%EC%A4%80%20%EA%B2%80%ED%86%A0.pdf" TargetMode="External" Id="rId49"/><Relationship Type="http://schemas.openxmlformats.org/officeDocument/2006/relationships/hyperlink" Target="6.%EA%B1%B4%EC%B6%95/25_%EA%B1%B0%ED%91%B8%EC%A7%91%20%EC%A1%B0%EB%A6%BD/%EC%B2%B4%ED%81%AC%EB%A6%AC%EC%8A%A4%ED%8A%B8/%EA%B1%B0%ED%91%B8%EC%A7%91%20%EC%A1%B0%EB%A6%BD_%EC%B2%B4%ED%81%AC%EB%A6%AC%EC%8A%A4%ED%8A%B8.html" TargetMode="External" Id="rId50"/><Relationship Type="http://schemas.openxmlformats.org/officeDocument/2006/relationships/hyperlink" Target="%EB%B6%84%EC%95%BC%EB%B3%84%EC%84%A4%EA%B3%84%EA%B8%B0%EC%A4%80%28%EC%84%A4%EA%B3%84%EC%82%AC%EC%A0%95%EB%A6%AC%29/%EA%B5%AC%EC%A1%B0%EB%B6%84%EC%95%BC%20%EC%84%A4%EA%B3%84%EA%B8%B0%EC%A4%80%20%EA%B2%80%ED%86%A0.pdf" TargetMode="External" Id="rId51"/><Relationship Type="http://schemas.openxmlformats.org/officeDocument/2006/relationships/hyperlink" Target="6.%EA%B1%B4%EC%B6%95/26_%EC%BD%98%ED%81%AC%EB%A6%AC%ED%8A%B8%20%ED%83%80%EC%84%A4%20%EB%B0%8F%20%EB%8B%A4%EC%A7%90/%EC%B2%B4%ED%81%AC%EB%A6%AC%EC%8A%A4%ED%8A%B8/%EC%BD%98%ED%81%AC%EB%A6%AC%ED%8A%B8%20%ED%83%80%EC%84%A4%20%EB%B0%8F%20%EB%8B%A4%EC%A7%90_%EC%B2%B4%ED%81%AC%EB%A6%AC%EC%8A%A4%ED%8A%B8.html" TargetMode="External" Id="rId52"/><Relationship Type="http://schemas.openxmlformats.org/officeDocument/2006/relationships/hyperlink" Target="%EB%B6%84%EC%95%BC%EB%B3%84%EC%84%A4%EA%B3%84%EA%B8%B0%EC%A4%80%28%EC%84%A4%EA%B3%84%EC%82%AC%EC%A0%95%EB%A6%AC%29/%EA%B5%AC%EC%A1%B0%EB%B6%84%EC%95%BC%20%EC%84%A4%EA%B3%84%EA%B8%B0%EC%A4%80%20%EA%B2%80%ED%86%A0.pdf" TargetMode="External" Id="rId53"/><Relationship Type="http://schemas.openxmlformats.org/officeDocument/2006/relationships/hyperlink" Target="6.%EA%B1%B4%EC%B6%95/27_%EA%B1%B0%ED%91%B8%EC%A7%91%20%ED%95%B4%EC%B2%B4/%EC%B2%B4%ED%81%AC%EB%A6%AC%EC%8A%A4%ED%8A%B8/%EA%B1%B0%ED%91%B8%EC%A7%91%20%ED%95%B4%EC%B2%B4_%EC%B2%B4%ED%81%AC%EB%A6%AC%EC%8A%A4%ED%8A%B8.html" TargetMode="External" Id="rId54"/><Relationship Type="http://schemas.openxmlformats.org/officeDocument/2006/relationships/hyperlink" Target="%EB%B6%84%EC%95%BC%EB%B3%84%EC%84%A4%EA%B3%84%EA%B8%B0%EC%A4%80%28%EC%84%A4%EA%B3%84%EC%82%AC%EC%A0%95%EB%A6%AC%29/%EA%B5%AC%EC%A1%B0%EB%B6%84%EC%95%BC%20%EC%84%A4%EA%B3%84%EA%B8%B0%EC%A4%80%20%EA%B2%80%ED%86%A0.pdf" TargetMode="External" Id="rId55"/><Relationship Type="http://schemas.openxmlformats.org/officeDocument/2006/relationships/hyperlink" Target="6.%EA%B1%B4%EC%B6%95/28_%EA%B1%B4%EC%B6%95%20%EB%82%B4%EB%B6%80%20%EB%B0%8F%20%EB%A7%88%EA%B0%90%EA%B3%B5%EC%82%AC/%EC%B2%B4%ED%81%AC%EB%A6%AC%EC%8A%A4%ED%8A%B8/%EA%B1%B4%EC%B6%95%20%EB%82%B4%EB%B6%80%20%EB%B0%8F%20%EB%A7%88%EA%B0%90%EA%B3%B5%EC%82%AC_%EC%B2%B4%ED%81%AC%EB%A6%AC%EC%8A%A4%ED%8A%B8.html" TargetMode="External" Id="rId56"/><Relationship Type="http://schemas.openxmlformats.org/officeDocument/2006/relationships/hyperlink" Target="%EB%B6%84%EC%95%BC%EB%B3%84%EC%84%A4%EA%B3%84%EA%B8%B0%EC%A4%80%28%EC%84%A4%EA%B3%84%EC%82%AC%EC%A0%95%EB%A6%AC%29/%EA%B5%AC%EC%A1%B0%EB%B6%84%EC%95%BC%20%EC%84%A4%EA%B3%84%EA%B8%B0%EC%A4%80%20%EA%B2%80%ED%86%A0.pdf" TargetMode="External" Id="rId57"/><Relationship Type="http://schemas.openxmlformats.org/officeDocument/2006/relationships/hyperlink" Target="6.%EA%B1%B4%EC%B6%95/29_%EC%B0%BD%ED%98%B8%2C%EC%9C%A0%EB%A6%AC%20%EB%B0%8F%20%EA%B8%88%EC%86%8D%EC%A7%80%EB%B6%95%EA%B3%B5%EC%82%AC/%EC%B2%B4%ED%81%AC%EB%A6%AC%EC%8A%A4%ED%8A%B8/%EC%B0%BD%ED%98%B8%2C%EC%9C%A0%EB%A6%AC%20%EB%B0%8F%20%EA%B8%88%EC%86%8D%EC%A7%80%EB%B6%95%EA%B3%B5%EC%82%AC_%EC%B2%B4%ED%81%AC%EB%A6%AC%EC%8A%A4%ED%8A%B8.html" TargetMode="External" Id="rId58"/><Relationship Type="http://schemas.openxmlformats.org/officeDocument/2006/relationships/hyperlink" Target="%EB%B6%84%EC%95%BC%EB%B3%84%EC%84%A4%EA%B3%84%EA%B8%B0%EC%A4%80%28%EC%84%A4%EA%B3%84%EC%82%AC%EC%A0%95%EB%A6%AC%29/%EA%B5%AC%EC%A1%B0%EB%B6%84%EC%95%BC%20%EC%84%A4%EA%B3%84%EA%B8%B0%EC%A4%80%20%EA%B2%80%ED%86%A0.pdf" TargetMode="External" Id="rId59"/><Relationship Type="http://schemas.openxmlformats.org/officeDocument/2006/relationships/hyperlink" Target="6.%EA%B1%B4%EC%B6%95/30_%EC%A1%B0%EC%A0%81%EA%B3%B5%EC%82%AC/%EC%B2%B4%ED%81%AC%EB%A6%AC%EC%8A%A4%ED%8A%B8/%EC%A1%B0%EC%A0%81%EA%B3%B5%EC%82%AC_%EC%B2%B4%ED%81%AC%EB%A6%AC%EC%8A%A4%ED%8A%B8.html" TargetMode="External" Id="rId60"/><Relationship Type="http://schemas.openxmlformats.org/officeDocument/2006/relationships/hyperlink" Target="%EB%B6%84%EC%95%BC%EB%B3%84%EC%84%A4%EA%B3%84%EA%B8%B0%EC%A4%80%28%EC%84%A4%EA%B3%84%EC%82%AC%EC%A0%95%EB%A6%AC%29/%EA%B5%AC%EC%A1%B0%EB%B6%84%EC%95%BC%20%EC%84%A4%EA%B3%84%EA%B8%B0%EC%A4%80%20%EA%B2%80%ED%86%A0.pdf" TargetMode="External" Id="rId61"/><Relationship Type="http://schemas.openxmlformats.org/officeDocument/2006/relationships/hyperlink" Target="6.%EA%B1%B4%EC%B6%95/31_%EB%82%B4%EB%B6%80%20%EB%B0%A9%EC%88%98%EA%B3%B5%EC%82%AC/%EC%B2%B4%ED%81%AC%EB%A6%AC%EC%8A%A4%ED%8A%B8/%EB%82%B4%EB%B6%80%20%EB%B0%A9%EC%88%98%EA%B3%B5%EC%82%AC_%EC%B2%B4%ED%81%AC%EB%A6%AC%EC%8A%A4%ED%8A%B8.html" TargetMode="External" Id="rId62"/><Relationship Type="http://schemas.openxmlformats.org/officeDocument/2006/relationships/hyperlink" Target="%EB%B6%84%EC%95%BC%EB%B3%84%EC%84%A4%EA%B3%84%EA%B8%B0%EC%A4%80%28%EC%84%A4%EA%B3%84%EC%82%AC%EC%A0%95%EB%A6%AC%29/%EA%B5%AC%EC%A1%B0%EB%B6%84%EC%95%BC%20%EC%84%A4%EA%B3%84%EA%B8%B0%EC%A4%80%20%EA%B2%80%ED%86%A0.pdf" TargetMode="External" Id="rId63"/><Relationship Type="http://schemas.openxmlformats.org/officeDocument/2006/relationships/hyperlink" Target="6.%EA%B1%B4%EC%B6%95/32_%EB%AF%B8%EC%9E%A5%20%EB%B0%8F%20%ED%83%80%EC%9D%BC%EA%B3%B5%EC%82%AC/%EC%B2%B4%ED%81%AC%EB%A6%AC%EC%8A%A4%ED%8A%B8/%EB%AF%B8%EC%9E%A5%20%EB%B0%8F%20%ED%83%80%EC%9D%BC%EA%B3%B5%EC%82%AC_%EC%B2%B4%ED%81%AC%EB%A6%AC%EC%8A%A4%ED%8A%B8.html" TargetMode="External" Id="rId64"/><Relationship Type="http://schemas.openxmlformats.org/officeDocument/2006/relationships/hyperlink" Target="%EB%B6%84%EC%95%BC%EB%B3%84%EC%84%A4%EA%B3%84%EA%B8%B0%EC%A4%80%28%EC%84%A4%EA%B3%84%EC%82%AC%EC%A0%95%EB%A6%AC%29/%EA%B5%AC%EC%A1%B0%EB%B6%84%EC%95%BC%20%EC%84%A4%EA%B3%84%EA%B8%B0%EC%A4%80%20%EA%B2%80%ED%86%A0.pdf" TargetMode="External" Id="rId65"/><Relationship Type="http://schemas.openxmlformats.org/officeDocument/2006/relationships/hyperlink" Target="6.%EA%B1%B4%EC%B6%95/33_%EC%88%98%EC%9E%A5%20%EB%B0%8F%20%EC%9E%A1%EC%B2%A0%EB%AC%BC%EA%B3%B5%EC%82%AC/%EC%B2%B4%ED%81%AC%EB%A6%AC%EC%8A%A4%ED%8A%B8/%EC%88%98%EC%9E%A5%20%EB%B0%8F%20%EC%9E%A1%EC%B2%A0%EB%AC%BC%EA%B3%B5%EC%82%AC_%EC%B2%B4%ED%81%AC%EB%A6%AC%EC%8A%A4%ED%8A%B8.html" TargetMode="External" Id="rId66"/><Relationship Type="http://schemas.openxmlformats.org/officeDocument/2006/relationships/hyperlink" Target="%EB%B6%84%EC%95%BC%EB%B3%84%EC%84%A4%EA%B3%84%EA%B8%B0%EC%A4%80%28%EC%84%A4%EA%B3%84%EC%82%AC%EC%A0%95%EB%A6%AC%29/%EA%B5%AC%EC%A1%B0%EB%B6%84%EC%95%BC%20%EC%84%A4%EA%B3%84%EA%B8%B0%EC%A4%80%20%EA%B2%80%ED%86%A0.pdf" TargetMode="External" Id="rId67"/><Relationship Type="http://schemas.openxmlformats.org/officeDocument/2006/relationships/hyperlink" Target="6.%EA%B1%B4%EC%B6%95/34_%EB%8F%84%EC%9E%A5%EA%B3%B5%EC%82%AC/%EC%B2%B4%ED%81%AC%EB%A6%AC%EC%8A%A4%ED%8A%B8/%EB%8F%84%EC%9E%A5%EA%B3%B5%EC%82%AC_%EC%B2%B4%ED%81%AC%EB%A6%AC%EC%8A%A4%ED%8A%B8.html" TargetMode="External" Id="rId68"/><Relationship Type="http://schemas.openxmlformats.org/officeDocument/2006/relationships/hyperlink" Target="%EB%B6%84%EC%95%BC%EB%B3%84%EC%84%A4%EA%B3%84%EA%B8%B0%EC%A4%80%28%EC%84%A4%EA%B3%84%EC%82%AC%EC%A0%95%EB%A6%AC%29/%EA%B5%AC%EC%A1%B0%EB%B6%84%EC%95%BC%20%EC%84%A4%EA%B3%84%EA%B8%B0%EC%A4%80%20%EA%B2%80%ED%86%A0.pdf" TargetMode="External" Id="rId69"/><Relationship Type="http://schemas.openxmlformats.org/officeDocument/2006/relationships/hyperlink" Target="6.%EA%B1%B4%EC%B6%95/35_%EC%9D%B8%ED%85%8C%EB%A6%AC%EC%96%B4%20%EB%B0%8F%20%EB%AC%B4%EB%8C%80%EA%B3%B5%EC%82%AC/%EC%B2%B4%ED%81%AC%EB%A6%AC%EC%8A%A4%ED%8A%B8/%EC%9D%B8%ED%85%8C%EB%A6%AC%EC%96%B4%20%EB%B0%8F%20%EB%AC%B4%EB%8C%80%EA%B3%B5%EC%82%AC_%EC%B2%B4%ED%81%AC%EB%A6%AC%EC%8A%A4%ED%8A%B8.html" TargetMode="External" Id="rId70"/><Relationship Type="http://schemas.openxmlformats.org/officeDocument/2006/relationships/hyperlink" Target="%EB%B6%84%EC%95%BC%EB%B3%84%EC%84%A4%EA%B3%84%EA%B8%B0%EC%A4%80%28%EC%84%A4%EA%B3%84%EC%82%AC%EC%A0%95%EB%A6%AC%29/%EA%B5%AC%EC%A1%B0%EB%B6%84%EC%95%BC%20%EC%84%A4%EA%B3%84%EA%B8%B0%EC%A4%80%20%EA%B2%80%ED%86%A0.pdf" TargetMode="External" Id="rId71"/><Relationship Type="http://schemas.openxmlformats.org/officeDocument/2006/relationships/hyperlink" Target="6.%EA%B1%B4%EC%B6%95/36_%EC%A4%80%EA%B3%B5%EC%A0%84%20%EA%B1%B4%EC%B6%95%20%EC%9D%B8%ED%97%88%EA%B0%80/%EC%B2%B4%ED%81%AC%EB%A6%AC%EC%8A%A4%ED%8A%B8/%EC%A4%80%EA%B3%B5%EC%A0%84%20%EA%B1%B4%EC%B6%95%20%EC%9D%B8%ED%97%88%EA%B0%80_%EC%B2%B4%ED%81%AC%EB%A6%AC%EC%8A%A4%ED%8A%B8.html" TargetMode="External" Id="rId72"/><Relationship Type="http://schemas.openxmlformats.org/officeDocument/2006/relationships/hyperlink" Target="%EB%B6%84%EC%95%BC%EB%B3%84%EC%84%A4%EA%B3%84%EA%B8%B0%EC%A4%80%28%EC%84%A4%EA%B3%84%EC%82%AC%EC%A0%95%EB%A6%AC%29/%EA%B5%AC%EC%A1%B0%EB%B6%84%EC%95%BC%20%EC%84%A4%EA%B3%84%EA%B8%B0%EC%A4%80%20%EA%B2%80%ED%86%A0.pdf" TargetMode="External" Id="rId73"/><Relationship Type="http://schemas.openxmlformats.org/officeDocument/2006/relationships/hyperlink" Target="6.%EA%B1%B4%EC%B6%95/37_%EC%86%8C%EB%B0%A9%EC%8B%9C%EC%84%A4%EA%B3%B5%EC%82%AC%20%EC%99%84%EA%B3%B5%EA%B2%80%EC%82%AC/%EC%B2%B4%ED%81%AC%EB%A6%AC%EC%8A%A4%ED%8A%B8/%EC%86%8C%EB%B0%A9%EC%8B%9C%EC%84%A4%EA%B3%B5%EC%82%AC%20%EC%99%84%EA%B3%B5%EA%B2%80%EC%82%AC_%EC%B2%B4%ED%81%AC%EB%A6%AC%EC%8A%A4%ED%8A%B8.html" TargetMode="External" Id="rId74"/><Relationship Type="http://schemas.openxmlformats.org/officeDocument/2006/relationships/hyperlink" Target="%EB%B6%84%EC%95%BC%EB%B3%84%EC%84%A4%EA%B3%84%EA%B8%B0%EC%A4%80%28%EC%84%A4%EA%B3%84%EC%82%AC%EC%A0%95%EB%A6%AC%29/%EA%B5%AC%EC%A1%B0%EB%B6%84%EC%95%BC%20%EC%84%A4%EA%B3%84%EA%B8%B0%EC%A4%80%20%EA%B2%80%ED%86%A0.pdf" TargetMode="External" Id="rId75"/><Relationship Type="http://schemas.openxmlformats.org/officeDocument/2006/relationships/hyperlink" Target="6.%EA%B1%B4%EC%B6%95/38_%EC%8A%B9%EA%B0%95%EA%B8%B0%20%EC%84%A4%EC%B9%98%20%EC%8B%A0%EA%B3%A0%EC%84%9C%20%EC%A0%9C%EC%B6%9C/%EC%B2%B4%ED%81%AC%EB%A6%AC%EC%8A%A4%ED%8A%B8/%EC%8A%B9%EA%B0%95%EA%B8%B0%20%EC%84%A4%EC%B9%98%20%EC%8B%A0%EA%B3%A0%EC%84%9C%20%EC%A0%9C%EC%B6%9C_%EC%B2%B4%ED%81%AC%EB%A6%AC%EC%8A%A4%ED%8A%B8.html" TargetMode="External" Id="rId76"/><Relationship Type="http://schemas.openxmlformats.org/officeDocument/2006/relationships/hyperlink" Target="%EB%B6%84%EC%95%BC%EB%B3%84%EC%84%A4%EA%B3%84%EA%B8%B0%EC%A4%80%28%EC%84%A4%EA%B3%84%EC%82%AC%EC%A0%95%EB%A6%AC%29/%EA%B5%AC%EC%A1%B0%EB%B6%84%EC%95%BC%20%EC%84%A4%EA%B3%84%EA%B8%B0%EC%A4%80%20%EA%B2%80%ED%86%A0.pdf" TargetMode="External" Id="rId77"/><Relationship Type="http://schemas.openxmlformats.org/officeDocument/2006/relationships/hyperlink" Target="6.%EA%B1%B4%EC%B6%95/39_%EC%A0%80%EC%88%98%EC%A1%B0%20%EC%84%A4%EC%B9%98%ED%98%84%ED%99%A9%20%EC%8B%A0%EA%B3%A0%EC%84%9C%20%EC%A0%9C%EC%B6%9C/%EC%B2%B4%ED%81%AC%EB%A6%AC%EC%8A%A4%ED%8A%B8/%EC%A0%80%EC%88%98%EC%A1%B0%20%EC%84%A4%EC%B9%98%ED%98%84%ED%99%A9%20%EC%8B%A0%EA%B3%A0%EC%84%9C%20%EC%A0%9C%EC%B6%9C_%EC%B2%B4%ED%81%AC%EB%A6%AC%EC%8A%A4%ED%8A%B8.html" TargetMode="External" Id="rId78"/><Relationship Type="http://schemas.openxmlformats.org/officeDocument/2006/relationships/hyperlink" Target="%EB%B6%84%EC%95%BC%EB%B3%84%EC%84%A4%EA%B3%84%EA%B8%B0%EC%A4%80%28%EC%84%A4%EA%B3%84%EC%82%AC%EC%A0%95%EB%A6%AC%29/%EA%B5%AC%EC%A1%B0%EB%B6%84%EC%95%BC%20%EC%84%A4%EA%B3%84%EA%B8%B0%EC%A4%80%20%EA%B2%80%ED%86%A0.pdf" TargetMode="External" Id="rId79"/><Relationship Type="http://schemas.openxmlformats.org/officeDocument/2006/relationships/hyperlink" Target="6.%EA%B1%B4%EC%B6%95/40_%EC%98%A4%EC%88%98%EC%B2%98%EB%A6%AC%EC%8B%9C%EC%84%A4%20_%20%EC%A0%95%ED%99%94%EC%A1%B0%20%EC%84%A4%EC%B9%98%20%EC%8B%A0%EA%B3%A0%EC%84%9C%20%EC%A0%9C%EC%B6%9C/%EC%B2%B4%ED%81%AC%EB%A6%AC%EC%8A%A4%ED%8A%B8/%EC%98%A4%EC%88%98%EC%B2%98%EB%A6%AC%EC%8B%9C%EC%84%A4%20_%20%EC%A0%95%ED%99%94%EC%A1%B0%20%EC%84%A4%EC%B9%98%20%EC%8B%A0%EA%B3%A0%EC%84%9C%20%EC%A0%9C%EC%B6%9C_%EC%B2%B4%ED%81%AC%EB%A6%AC%EC%8A%A4%ED%8A%B8.html" TargetMode="External" Id="rId80"/><Relationship Type="http://schemas.openxmlformats.org/officeDocument/2006/relationships/hyperlink" Target="%EB%B6%84%EC%95%BC%EB%B3%84%EC%84%A4%EA%B3%84%EA%B8%B0%EC%A4%80%28%EC%84%A4%EA%B3%84%EC%82%AC%EC%A0%95%EB%A6%AC%29/%EA%B5%AC%EC%A1%B0%EB%B6%84%EC%95%BC%20%EC%84%A4%EA%B3%84%EA%B8%B0%EC%A4%80%20%EA%B2%80%ED%86%A0.pdf" TargetMode="External" Id="rId81"/><Relationship Type="http://schemas.openxmlformats.org/officeDocument/2006/relationships/hyperlink" Target="6.%EA%B1%B4%EC%B6%95/41_%EC%A0%84%EA%B8%B0%EC%82%AC%EC%9A%A9%EC%A0%84%20%EA%B2%80%EC%82%AC/%EC%B2%B4%ED%81%AC%EB%A6%AC%EC%8A%A4%ED%8A%B8/%EC%A0%84%EA%B8%B0%EC%82%AC%EC%9A%A9%EC%A0%84%20%EA%B2%80%EC%82%AC_%EC%B2%B4%ED%81%AC%EB%A6%AC%EC%8A%A4%ED%8A%B8.html" TargetMode="External" Id="rId82"/><Relationship Type="http://schemas.openxmlformats.org/officeDocument/2006/relationships/hyperlink" Target="%EB%B6%84%EC%95%BC%EB%B3%84%EC%84%A4%EA%B3%84%EA%B8%B0%EC%A4%80%28%EC%84%A4%EA%B3%84%EC%82%AC%EC%A0%95%EB%A6%AC%29/%EA%B5%AC%EC%A1%B0%EB%B6%84%EC%95%BC%20%EC%84%A4%EA%B3%84%EA%B8%B0%EC%A4%80%20%EA%B2%80%ED%86%A0.pdf" TargetMode="External" Id="rId83"/><Relationship Type="http://schemas.openxmlformats.org/officeDocument/2006/relationships/hyperlink" Target="6.%EA%B1%B4%EC%B6%95/42_%EC%8A%B9%EA%B0%95%EA%B8%B0%20%EC%84%A4%EC%B9%98%EA%B2%80%EC%82%AC/%EC%B2%B4%ED%81%AC%EB%A6%AC%EC%8A%A4%ED%8A%B8/%EC%8A%B9%EA%B0%95%EA%B8%B0%20%EC%84%A4%EC%B9%98%EA%B2%80%EC%82%AC_%EC%B2%B4%ED%81%AC%EB%A6%AC%EC%8A%A4%ED%8A%B8.html" TargetMode="External" Id="rId84"/><Relationship Type="http://schemas.openxmlformats.org/officeDocument/2006/relationships/hyperlink" Target="%EB%B6%84%EC%95%BC%EB%B3%84%EC%84%A4%EA%B3%84%EA%B8%B0%EC%A4%80%28%EC%84%A4%EA%B3%84%EC%82%AC%EC%A0%95%EB%A6%AC%29/%EA%B5%AC%EC%A1%B0%EB%B6%84%EC%95%BC%20%EC%84%A4%EA%B3%84%EA%B8%B0%EC%A4%80%20%EA%B2%80%ED%86%A0.pdf" TargetMode="External" Id="rId85"/><Relationship Type="http://schemas.openxmlformats.org/officeDocument/2006/relationships/hyperlink" Target="6.%EA%B1%B4%EC%B6%95/43_%EB%B0%B0%EC%88%98%EC%84%A4%EB%B9%84%20%EC%84%A4%EC%B9%98%20%EC%8B%A0%EA%B3%A0%EC%84%9C%20%EC%A0%9C%EC%B6%9C/%EC%B2%B4%ED%81%AC%EB%A6%AC%EC%8A%A4%ED%8A%B8/%EB%B0%B0%EC%88%98%EC%84%A4%EB%B9%84%20%EC%84%A4%EC%B9%98%20%EC%8B%A0%EA%B3%A0%EC%84%9C%20%EC%A0%9C%EC%B6%9C_%EC%B2%B4%ED%81%AC%EB%A6%AC%EC%8A%A4%ED%8A%B8.html" TargetMode="External" Id="rId86"/><Relationship Type="http://schemas.openxmlformats.org/officeDocument/2006/relationships/hyperlink" Target="%EB%B6%84%EC%95%BC%EB%B3%84%EC%84%A4%EA%B3%84%EA%B8%B0%EC%A4%80%28%EC%84%A4%EA%B3%84%EC%82%AC%EC%A0%95%EB%A6%AC%29/%EA%B5%AC%EC%A1%B0%EB%B6%84%EC%95%BC%20%EC%84%A4%EA%B3%84%EA%B8%B0%EC%A4%80%20%EA%B2%80%ED%86%A0.pdf" TargetMode="External" Id="rId87"/><Relationship Type="http://schemas.openxmlformats.org/officeDocument/2006/relationships/hyperlink" Target="6.%EA%B1%B4%EC%B6%95/44_%EC%A0%95%EB%B3%B4%ED%86%B5%EC%8B%A0%EA%B3%B5%EC%82%AC%20%EC%82%AC%EC%9A%A9%EC%A0%84%EA%B2%80%EC%82%AC/%EC%B2%B4%ED%81%AC%EB%A6%AC%EC%8A%A4%ED%8A%B8/%EC%A0%95%EB%B3%B4%ED%86%B5%EC%8B%A0%EA%B3%B5%EC%82%AC%20%EC%82%AC%EC%9A%A9%EC%A0%84%EA%B2%80%EC%82%AC_%EC%B2%B4%ED%81%AC%EB%A6%AC%EC%8A%A4%ED%8A%B8.html" TargetMode="External" Id="rId88"/><Relationship Type="http://schemas.openxmlformats.org/officeDocument/2006/relationships/hyperlink" Target="%EB%B6%84%EC%95%BC%EB%B3%84%EC%84%A4%EA%B3%84%EA%B8%B0%EC%A4%80%28%EC%84%A4%EA%B3%84%EC%82%AC%EC%A0%95%EB%A6%AC%29/%EA%B5%AC%EC%A1%B0%EB%B6%84%EC%95%BC%20%EC%84%A4%EA%B3%84%EA%B8%B0%EC%A4%80%20%EA%B2%80%ED%86%A0.pdf" TargetMode="External" Id="rId89"/><Relationship Type="http://schemas.openxmlformats.org/officeDocument/2006/relationships/hyperlink" Target="6.%EA%B1%B4%EC%B6%95/45_%EC%98%A4%EC%88%98%EC%B2%98%EB%A6%AC%EC%8B%9C%EC%84%A4%20_%20%EC%A0%95%ED%99%94%EC%A1%B0%20%EC%A4%80%EA%B3%B5%EA%B2%80%EC%82%AC/%EC%B2%B4%ED%81%AC%EB%A6%AC%EC%8A%A4%ED%8A%B8/%EC%98%A4%EC%88%98%EC%B2%98%EB%A6%AC%EC%8B%9C%EC%84%A4%20_%20%EC%A0%95%ED%99%94%EC%A1%B0%20%EC%A4%80%EA%B3%B5%EA%B2%80%EC%82%AC_%EC%B2%B4%ED%81%AC%EB%A6%AC%EC%8A%A4%ED%8A%B8.html" TargetMode="External" Id="rId90"/><Relationship Type="http://schemas.openxmlformats.org/officeDocument/2006/relationships/hyperlink" Target="%EB%B6%84%EC%95%BC%EB%B3%84%EC%84%A4%EA%B3%84%EA%B8%B0%EC%A4%80%28%EC%84%A4%EA%B3%84%EC%82%AC%EC%A0%95%EB%A6%AC%29/%EA%B5%AC%EC%A1%B0%EB%B6%84%EC%95%BC%20%EC%84%A4%EA%B3%84%EA%B8%B0%EC%A4%80%20%EA%B2%80%ED%86%A0.pdf" TargetMode="External" Id="rId91"/><Relationship Type="http://schemas.openxmlformats.org/officeDocument/2006/relationships/hyperlink" Target="6.%EA%B1%B4%EC%B6%95/46_%EA%B8%89%EC%88%98%EA%B3%B5%EC%82%AC%20%EC%8B%A0%EC%B2%AD%EC%84%9C%20%EC%A0%9C%EC%B6%9C/%EC%B2%B4%ED%81%AC%EB%A6%AC%EC%8A%A4%ED%8A%B8/%EA%B8%89%EC%88%98%EA%B3%B5%EC%82%AC%20%EC%8B%A0%EC%B2%AD%EC%84%9C%20%EC%A0%9C%EC%B6%9C_%EC%B2%B4%ED%81%AC%EB%A6%AC%EC%8A%A4%ED%8A%B8.html" TargetMode="External" Id="rId92"/><Relationship Type="http://schemas.openxmlformats.org/officeDocument/2006/relationships/hyperlink" Target="%EB%B6%84%EC%95%BC%EB%B3%84%EC%84%A4%EA%B3%84%EA%B8%B0%EC%A4%80%28%EC%84%A4%EA%B3%84%EC%82%AC%EC%A0%95%EB%A6%AC%29/%EA%B5%AC%EC%A1%B0%EB%B6%84%EC%95%BC%20%EC%84%A4%EA%B3%84%EA%B8%B0%EC%A4%80%20%EA%B2%80%ED%86%A0.pdf" TargetMode="External" Id="rId93"/><Relationship Type="http://schemas.openxmlformats.org/officeDocument/2006/relationships/hyperlink" Target="6.%EA%B1%B4%EC%B6%95/47_%EC%97%85%EB%AC%B4%EB%8C%80%ED%96%89%20%EA%B1%B4%EC%B6%95%EC%82%AC%20%EC%82%AC%EC%9A%A9%EC%8A%B9%EC%9D%B8%20%EA%B2%80%EC%82%AC/%EC%B2%B4%ED%81%AC%EB%A6%AC%EC%8A%A4%ED%8A%B8/%EC%97%85%EB%AC%B4%EB%8C%80%ED%96%89%20%EA%B1%B4%EC%B6%95%EC%82%AC%20%EC%82%AC%EC%9A%A9%EC%8A%B9%EC%9D%B8%20%EA%B2%80%EC%82%AC_%EC%B2%B4%ED%81%AC%EB%A6%AC%EC%8A%A4%ED%8A%B8.html" TargetMode="External" Id="rId94"/><Relationship Type="http://schemas.openxmlformats.org/officeDocument/2006/relationships/hyperlink" Target="%EB%B6%84%EC%95%BC%EB%B3%84%EC%84%A4%EA%B3%84%EA%B8%B0%EC%A4%80%28%EC%84%A4%EA%B3%84%EC%82%AC%EC%A0%95%EB%A6%AC%29/%EA%B5%AC%EC%A1%B0%EB%B6%84%EC%95%BC%20%EC%84%A4%EA%B3%84%EA%B8%B0%EC%A4%80%20%EA%B2%80%ED%86%A0.pdf" TargetMode="External" Id="rId95"/><Relationship Type="http://schemas.openxmlformats.org/officeDocument/2006/relationships/hyperlink" Target="6.%EA%B1%B4%EC%B6%95/48_%EA%B1%B4%EC%B6%95%EB%AC%BC%20%EC%82%AC%EC%9A%A9%EC%8A%B9%EC%9D%B8%20%EC%8B%A0%EC%B2%AD/%EC%B2%B4%ED%81%AC%EB%A6%AC%EC%8A%A4%ED%8A%B8/%EA%B1%B4%EC%B6%95%EB%AC%BC%20%EC%82%AC%EC%9A%A9%EC%8A%B9%EC%9D%B8%20%EC%8B%A0%EC%B2%AD_%EC%B2%B4%ED%81%AC%EB%A6%AC%EC%8A%A4%ED%8A%B8.html" TargetMode="External" Id="rId96"/><Relationship Type="http://schemas.openxmlformats.org/officeDocument/2006/relationships/hyperlink" Target="%EB%B6%84%EC%95%BC%EB%B3%84%EC%84%A4%EA%B3%84%EA%B8%B0%EC%A4%80%28%EC%84%A4%EA%B3%84%EC%82%AC%EC%A0%95%EB%A6%AC%29/%EA%B5%AC%EC%A1%B0%EB%B6%84%EC%95%BC%20%EC%84%A4%EA%B3%84%EA%B8%B0%EC%A4%80%20%EA%B2%80%ED%86%A0.pdf" TargetMode="External" Id="rId97"/><Relationship Type="http://schemas.openxmlformats.org/officeDocument/2006/relationships/hyperlink" Target="6.%EA%B1%B4%EC%B6%95/49_%EA%B1%B4%EC%B6%95%EB%AC%BC%EB%8C%80%EC%9E%A5%20%EB%93%B1%EC%9E%AC/%EC%B2%B4%ED%81%AC%EB%A6%AC%EC%8A%A4%ED%8A%B8/%EA%B1%B4%EC%B6%95%EB%AC%BC%EB%8C%80%EC%9E%A5%20%EB%93%B1%EC%9E%AC_%EC%B2%B4%ED%81%AC%EB%A6%AC%EC%8A%A4%ED%8A%B8.html" TargetMode="External" Id="rId98"/><Relationship Type="http://schemas.openxmlformats.org/officeDocument/2006/relationships/hyperlink" Target="%EB%B6%84%EC%95%BC%EB%B3%84%EC%84%A4%EA%B3%84%EA%B8%B0%EC%A4%80%28%EC%84%A4%EA%B3%84%EC%82%AC%EC%A0%95%EB%A6%AC%29/%EA%B5%AC%EC%A1%B0%EB%B6%84%EC%95%BC%20%EC%84%A4%EA%B3%84%EA%B8%B0%EC%A4%80%20%EA%B2%80%ED%86%A0.pdf" TargetMode="External" Id="rId99"/><Relationship Type="http://schemas.openxmlformats.org/officeDocument/2006/relationships/hyperlink" Target="6.%EA%B1%B4%EC%B6%95/50_%ED%9B%84%EC%86%8D%20%EA%B5%AC%EC%A1%B0%EB%AC%BC%20%EC%9D%B8%EA%B3%84/%EC%B2%B4%ED%81%AC%EB%A6%AC%EC%8A%A4%ED%8A%B8/%ED%9B%84%EC%86%8D%20%EA%B5%AC%EC%A1%B0%EB%AC%BC%20%EC%9D%B8%EA%B3%84_%EC%B2%B4%ED%81%AC%EB%A6%AC%EC%8A%A4%ED%8A%B8.html" TargetMode="External" Id="rId100"/></Relationships>
</file>

<file path=xl/worksheets/_rels/sheet7.xml.rels><Relationships xmlns="http://schemas.openxmlformats.org/package/2006/relationships"><Relationship Type="http://schemas.openxmlformats.org/officeDocument/2006/relationships/hyperlink" Target="%EB%B6%84%EC%95%BC%EB%B3%84%EC%84%A4%EA%B3%84%EA%B8%B0%EC%A4%80%28%EC%84%A4%EA%B3%84%EC%82%AC%EC%A0%95%EB%A6%AC%29/%EC%A0%84%EA%B8%B0%EB%B6%84%EC%95%BC%20%EC%84%A4%EA%B3%84%EA%B8%B0%EC%A4%80%20%EA%B2%80%ED%86%A0.pdf" TargetMode="External" Id="rId1"/><Relationship Type="http://schemas.openxmlformats.org/officeDocument/2006/relationships/hyperlink" Target="7.%EC%8B%A0%ED%98%B8%EB%B6%84%EC%95%BC/1_%EC%84%A4%EA%B3%84%EC%A0%81%EC%A0%95%EC%84%B1%20%EA%B2%80%ED%86%A0/%EC%B2%B4%ED%81%AC%EB%A6%AC%EC%8A%A4%ED%8A%B8/%EC%84%A4%EA%B3%84%EC%A0%81%EC%A0%95%EC%84%B1%20%EA%B2%80%ED%86%A0_%EC%B2%B4%ED%81%AC%EB%A6%AC%EC%8A%A4%ED%8A%B8.html" TargetMode="External" Id="rId2"/><Relationship Type="http://schemas.openxmlformats.org/officeDocument/2006/relationships/hyperlink" Target="%EB%B6%84%EC%95%BC%EB%B3%84%EC%84%A4%EA%B3%84%EA%B8%B0%EC%A4%80%28%EC%84%A4%EA%B3%84%EC%82%AC%EC%A0%95%EB%A6%AC%29/%EC%A0%84%EA%B8%B0%EB%B6%84%EC%95%BC%20%EC%84%A4%EA%B3%84%EA%B8%B0%EC%A4%80%20%EA%B2%80%ED%86%A0.pdf" TargetMode="External" Id="rId3"/><Relationship Type="http://schemas.openxmlformats.org/officeDocument/2006/relationships/hyperlink" Target="7.%EC%8B%A0%ED%98%B8%EB%B6%84%EC%95%BC/2_%EC%B0%A9%EC%88%98%EC%A4%80%EB%B9%84%20KOM/%EC%B2%B4%ED%81%AC%EB%A6%AC%EC%8A%A4%ED%8A%B8/%EC%B0%A9%EC%88%98%EC%A4%80%EB%B9%84%20KOM_%EC%B2%B4%ED%81%AC%EB%A6%AC%EC%8A%A4%ED%8A%B8.html" TargetMode="External" Id="rId4"/><Relationship Type="http://schemas.openxmlformats.org/officeDocument/2006/relationships/hyperlink" Target="%EB%B6%84%EC%95%BC%EB%B3%84%EC%84%A4%EA%B3%84%EA%B8%B0%EC%A4%80%28%EC%84%A4%EA%B3%84%EC%82%AC%EC%A0%95%EB%A6%AC%29/%EC%A0%84%EA%B8%B0%EB%B6%84%EC%95%BC%20%EC%84%A4%EA%B3%84%EA%B8%B0%EC%A4%80%20%EA%B2%80%ED%86%A0.pdf" TargetMode="External" Id="rId5"/><Relationship Type="http://schemas.openxmlformats.org/officeDocument/2006/relationships/hyperlink" Target="7.%EC%8B%A0%ED%98%B8%EB%B6%84%EC%95%BC/3_%EC%B0%A9%EC%88%98%EC%A0%84%20Big%20Room%20%ED%9A%8C%EC%9D%98/%EC%B2%B4%ED%81%AC%EB%A6%AC%EC%8A%A4%ED%8A%B8/%EC%B0%A9%EC%88%98%EC%A0%84%20Big%20Room%20%ED%9A%8C%EC%9D%98_%EC%B2%B4%ED%81%AC%EB%A6%AC%EC%8A%A4%ED%8A%B8.html" TargetMode="External" Id="rId6"/><Relationship Type="http://schemas.openxmlformats.org/officeDocument/2006/relationships/hyperlink" Target="%EB%B6%84%EC%95%BC%EB%B3%84%EC%84%A4%EA%B3%84%EA%B8%B0%EC%A4%80%28%EC%84%A4%EA%B3%84%EC%82%AC%EC%A0%95%EB%A6%AC%29/%EC%A0%84%EA%B8%B0%EB%B6%84%EC%95%BC%20%EC%84%A4%EA%B3%84%EA%B8%B0%EC%A4%80%20%EA%B2%80%ED%86%A0.pdf" TargetMode="External" Id="rId7"/><Relationship Type="http://schemas.openxmlformats.org/officeDocument/2006/relationships/hyperlink" Target="7.%EC%8B%A0%ED%98%B8%EB%B6%84%EC%95%BC/4_%EC%A0%84%EA%B8%B0%20_%20%ED%86%B5%EC%8B%A0%20_%20PSD%20_%20%EC%B0%A8%EB%9F%89%20%EC%9D%B8%ED%84%B0%ED%8E%98%EC%9D%B4%EC%8A%A4%20%ED%98%91%EC%9D%98/%EC%B2%B4%ED%81%AC%EB%A6%AC%EC%8A%A4%ED%8A%B8/%EC%A0%84%EA%B8%B0%20_%20%ED%86%B5%EC%8B%A0%20_%20PSD%20_%20%EC%B0%A8%EB%9F%89%20%EC%9D%B8%ED%84%B0%ED%8E%98%EC%9D%B4%EC%8A%A4%20%ED%98%91%EC%9D%98_%EC%B2%B4%ED%81%AC%EB%A6%AC%EC%8A%A4%ED%8A%B8.html" TargetMode="External" Id="rId8"/><Relationship Type="http://schemas.openxmlformats.org/officeDocument/2006/relationships/hyperlink" Target="%EB%B6%84%EC%95%BC%EB%B3%84%EC%84%A4%EA%B3%84%EA%B8%B0%EC%A4%80%28%EC%84%A4%EA%B3%84%EC%82%AC%EC%A0%95%EB%A6%AC%29/%EC%A0%84%EA%B8%B0%EB%B6%84%EC%95%BC%20%EC%84%A4%EA%B3%84%EA%B8%B0%EC%A4%80%20%EA%B2%80%ED%86%A0.pdf" TargetMode="External" Id="rId9"/><Relationship Type="http://schemas.openxmlformats.org/officeDocument/2006/relationships/hyperlink" Target="7.%EC%8B%A0%ED%98%B8%EB%B6%84%EC%95%BC/5_%EB%8F%84%EB%A1%9C%20_%20%EA%B6%A4%EB%8F%84%20%EC%9D%B8%ED%84%B0%ED%8E%98%EC%9D%B4%EC%8A%A4%20%ED%98%91%EC%9D%98/%EC%B2%B4%ED%81%AC%EB%A6%AC%EC%8A%A4%ED%8A%B8/%EB%8F%84%EB%A1%9C%20_%20%EA%B6%A4%EB%8F%84%20%EC%9D%B8%ED%84%B0%ED%8E%98%EC%9D%B4%EC%8A%A4%20%ED%98%91%EC%9D%98_%EC%B2%B4%ED%81%AC%EB%A6%AC%EC%8A%A4%ED%8A%B8.html" TargetMode="External" Id="rId10"/><Relationship Type="http://schemas.openxmlformats.org/officeDocument/2006/relationships/hyperlink" Target="%EB%B6%84%EC%95%BC%EB%B3%84%EC%84%A4%EA%B3%84%EA%B8%B0%EC%A4%80%28%EC%84%A4%EA%B3%84%EC%82%AC%EC%A0%95%EB%A6%AC%29/%EC%A0%84%EA%B8%B0%EB%B6%84%EC%95%BC%20%EC%84%A4%EA%B3%84%EA%B8%B0%EC%A4%80%20%EA%B2%80%ED%86%A0.pdf" TargetMode="External" Id="rId11"/><Relationship Type="http://schemas.openxmlformats.org/officeDocument/2006/relationships/hyperlink" Target="7.%EC%8B%A0%ED%98%B8%EB%B6%84%EC%95%BC/6_%EC%8B%9C%EA%B3%B5%EC%A0%84%20%EC%9D%B8%ED%84%B0%ED%8E%98%EC%9D%B4%EC%8A%A4%20%ED%98%91%EC%9D%98/%EC%B2%B4%ED%81%AC%EB%A6%AC%EC%8A%A4%ED%8A%B8/%EC%8B%9C%EA%B3%B5%EC%A0%84%20%EC%9D%B8%ED%84%B0%ED%8E%98%EC%9D%B4%EC%8A%A4%20%ED%98%91%EC%9D%98_%EC%B2%B4%ED%81%AC%EB%A6%AC%EC%8A%A4%ED%8A%B8.html" TargetMode="External" Id="rId12"/><Relationship Type="http://schemas.openxmlformats.org/officeDocument/2006/relationships/hyperlink" Target="%EB%B6%84%EC%95%BC%EB%B3%84%EC%84%A4%EA%B3%84%EA%B8%B0%EC%A4%80%28%EC%84%A4%EA%B3%84%EC%82%AC%EC%A0%95%EB%A6%AC%29/%EC%A0%84%EA%B8%B0%EB%B6%84%EC%95%BC%20%EC%84%A4%EA%B3%84%EA%B8%B0%EC%A4%80%20%EA%B2%80%ED%86%A0.pdf" TargetMode="External" Id="rId13"/><Relationship Type="http://schemas.openxmlformats.org/officeDocument/2006/relationships/hyperlink" Target="7.%EC%8B%A0%ED%98%B8%EB%B6%84%EC%95%BC/7_%EC%8B%9C%EC%8A%A4%ED%85%9C%20%EC%9E%A5%EB%B9%84%EA%B2%80%ED%86%A0%20%EC%82%AC%EC%A0%84%20%ED%98%91%EC%9D%98%EC%82%AC%ED%95%AD%20%EB%8F%84%EC%B6%9C%20%EB%B0%8F%20%EA%B2%80%ED%86%A0/%EC%B2%B4%ED%81%AC%EB%A6%AC%EC%8A%A4%ED%8A%B8/%EC%8B%9C%EC%8A%A4%ED%85%9C%20%EC%9E%A5%EB%B9%84%EA%B2%80%ED%86%A0%20%EC%82%AC%EC%A0%84%20%ED%98%91%EC%9D%98%EC%82%AC%ED%95%AD%20%EB%8F%84%EC%B6%9C%20%EB%B0%8F%20%EA%B2%80%ED%86%A0_%EC%B2%B4%ED%81%AC%EB%A6%AC%EC%8A%A4%ED%8A%B8.html" TargetMode="External" Id="rId14"/><Relationship Type="http://schemas.openxmlformats.org/officeDocument/2006/relationships/hyperlink" Target="%EB%B6%84%EC%95%BC%EB%B3%84%EC%84%A4%EA%B3%84%EA%B8%B0%EC%A4%80%28%EC%84%A4%EA%B3%84%EC%82%AC%EC%A0%95%EB%A6%AC%29/%EC%A0%84%EA%B8%B0%EB%B6%84%EC%95%BC%20%EC%84%A4%EA%B3%84%EA%B8%B0%EC%A4%80%20%EA%B2%80%ED%86%A0.pdf" TargetMode="External" Id="rId15"/><Relationship Type="http://schemas.openxmlformats.org/officeDocument/2006/relationships/hyperlink" Target="7.%EC%8B%A0%ED%98%B8%EB%B6%84%EC%95%BC/8_%EA%B4%80%EC%A0%9C%20%EB%B0%8F%20%EC%9A%B4%EC%98%81%EC%82%AC%20%EC%9D%B8%ED%84%B0%ED%8E%98%EC%9D%B4%EC%8A%A4%20%ED%98%91%EC%9D%98/%EC%B2%B4%ED%81%AC%EB%A6%AC%EC%8A%A4%ED%8A%B8/%EA%B4%80%EC%A0%9C%20%EB%B0%8F%20%EC%9A%B4%EC%98%81%EC%82%AC%20%EC%9D%B8%ED%84%B0%ED%8E%98%EC%9D%B4%EC%8A%A4%20%ED%98%91%EC%9D%98_%EC%B2%B4%ED%81%AC%EB%A6%AC%EC%8A%A4%ED%8A%B8.html" TargetMode="External" Id="rId16"/><Relationship Type="http://schemas.openxmlformats.org/officeDocument/2006/relationships/hyperlink" Target="%EB%B6%84%EC%95%BC%EB%B3%84%EC%84%A4%EA%B3%84%EA%B8%B0%EC%A4%80%28%EC%84%A4%EA%B3%84%EC%82%AC%EC%A0%95%EB%A6%AC%29/%EC%A0%84%EA%B8%B0%EB%B6%84%EC%95%BC%20%EC%84%A4%EA%B3%84%EA%B8%B0%EC%A4%80%20%EA%B2%80%ED%86%A0.pdf" TargetMode="External" Id="rId17"/><Relationship Type="http://schemas.openxmlformats.org/officeDocument/2006/relationships/hyperlink" Target="7.%EC%8B%A0%ED%98%B8%EB%B6%84%EC%95%BC/9_%EC%9E%90%EC%9E%AC%20_%20%EC%9D%B8%EC%9B%90%20_%20%EC%9E%A5%EB%B9%84%20%EB%B0%8F%20%ED%88%AC%EC%9E%85%20%EC%82%AC%EC%A0%84%20%EA%B2%80%ED%86%A0/%EC%B2%B4%ED%81%AC%EB%A6%AC%EC%8A%A4%ED%8A%B8/%EC%9E%90%EC%9E%AC%20_%20%EC%9D%B8%EC%9B%90%20_%20%EC%9E%A5%EB%B9%84%20%EB%B0%8F%20%ED%88%AC%EC%9E%85%20%EC%82%AC%EC%A0%84%20%EA%B2%80%ED%86%A0_%EC%B2%B4%ED%81%AC%EB%A6%AC%EC%8A%A4%ED%8A%B8.html" TargetMode="External" Id="rId18"/><Relationship Type="http://schemas.openxmlformats.org/officeDocument/2006/relationships/hyperlink" Target="%EB%B6%84%EC%95%BC%EB%B3%84%EC%84%A4%EA%B3%84%EA%B8%B0%EC%A4%80%28%EC%84%A4%EA%B3%84%EC%82%AC%EC%A0%95%EB%A6%AC%29/%EC%A0%84%EA%B8%B0%EB%B6%84%EC%95%BC%20%EC%84%A4%EA%B3%84%EA%B8%B0%EC%A4%80%20%EA%B2%80%ED%86%A0.pdf" TargetMode="External" Id="rId19"/><Relationship Type="http://schemas.openxmlformats.org/officeDocument/2006/relationships/hyperlink" Target="7.%EC%8B%A0%ED%98%B8%EB%B6%84%EC%95%BC/10_%EC%9E%A5%EB%B9%84%EB%B0%98%EC%9E%85%20%EB%B0%8F%20%EC%95%88%EC%A0%84%EA%B5%90%EC%9C%A1/%EC%B2%B4%ED%81%AC%EB%A6%AC%EC%8A%A4%ED%8A%B8/%EC%9E%A5%EB%B9%84%EB%B0%98%EC%9E%85%20%EB%B0%8F%20%EC%95%88%EC%A0%84%EA%B5%90%EC%9C%A1_%EC%B2%B4%ED%81%AC%EB%A6%AC%EC%8A%A4%ED%8A%B8.html" TargetMode="External" Id="rId20"/><Relationship Type="http://schemas.openxmlformats.org/officeDocument/2006/relationships/hyperlink" Target="%EB%B6%84%EC%95%BC%EB%B3%84%EC%84%A4%EA%B3%84%EA%B8%B0%EC%A4%80%28%EC%84%A4%EA%B3%84%EC%82%AC%EC%A0%95%EB%A6%AC%29/%EC%A0%84%EA%B8%B0%EB%B6%84%EC%95%BC%20%EC%84%A4%EA%B3%84%EA%B8%B0%EC%A4%80%20%EA%B2%80%ED%86%A0.pdf" TargetMode="External" Id="rId21"/><Relationship Type="http://schemas.openxmlformats.org/officeDocument/2006/relationships/hyperlink" Target="7.%EC%8B%A0%ED%98%B8%EB%B6%84%EC%95%BC/11_%EC%9E%90%EC%9E%AC%20%EB%B0%98%EC%9E%85%20%EB%B0%8F%20%EA%B2%80%EC%88%98/%EC%B2%B4%ED%81%AC%EB%A6%AC%EC%8A%A4%ED%8A%B8/%EC%9E%90%EC%9E%AC%20%EB%B0%98%EC%9E%85%20%EB%B0%8F%20%EA%B2%80%EC%88%98_%EC%B2%B4%ED%81%AC%EB%A6%AC%EC%8A%A4%ED%8A%B8.html" TargetMode="External" Id="rId22"/><Relationship Type="http://schemas.openxmlformats.org/officeDocument/2006/relationships/hyperlink" Target="%EB%B6%84%EC%95%BC%EB%B3%84%EC%84%A4%EA%B3%84%EA%B8%B0%EC%A4%80%28%EC%84%A4%EA%B3%84%EC%82%AC%EC%A0%95%EB%A6%AC%29/%EC%A0%84%EA%B8%B0%EB%B6%84%EC%95%BC%20%EC%84%A4%EA%B3%84%EA%B8%B0%EC%A4%80%20%EA%B2%80%ED%86%A0.pdf" TargetMode="External" Id="rId23"/><Relationship Type="http://schemas.openxmlformats.org/officeDocument/2006/relationships/hyperlink" Target="7.%EC%8B%A0%ED%98%B8%EB%B6%84%EC%95%BC/12_%EC%8B%9C%EC%8A%A4%ED%85%9C%EC%84%A4%EB%B9%84%20%EC%84%A4%EC%B9%98%20%28%ED%98%84%EC%9E%A5_%EA%B8%B0%EB%8A%A5%EC%8B%A4%29/%EC%B2%B4%ED%81%AC%EB%A6%AC%EC%8A%A4%ED%8A%B8/%EC%8B%9C%EC%8A%A4%ED%85%9C%EC%84%A4%EB%B9%84%20%EC%84%A4%EC%B9%98%20%28%ED%98%84%EC%9E%A5_%EA%B8%B0%EB%8A%A5%EC%8B%A4%29_%EC%B2%B4%ED%81%AC%EB%A6%AC%EC%8A%A4%ED%8A%B8.html" TargetMode="External" Id="rId24"/><Relationship Type="http://schemas.openxmlformats.org/officeDocument/2006/relationships/hyperlink" Target="%EB%B6%84%EC%95%BC%EB%B3%84%EC%84%A4%EA%B3%84%EA%B8%B0%EC%A4%80%28%EC%84%A4%EA%B3%84%EC%82%AC%EC%A0%95%EB%A6%AC%29/%EC%A0%84%EA%B8%B0%EB%B6%84%EC%95%BC%20%EC%84%A4%EA%B3%84%EA%B8%B0%EC%A4%80%20%EA%B2%80%ED%86%A0.pdf" TargetMode="External" Id="rId25"/><Relationship Type="http://schemas.openxmlformats.org/officeDocument/2006/relationships/hyperlink" Target="7.%EC%8B%A0%ED%98%B8%EB%B6%84%EC%95%BC/14_%EC%8B%A0%ED%98%B8%EC%8B%9C%EC%8A%A4%ED%85%9C%20%ED%86%B5%ED%95%A9%EC%8B%9C%ED%97%98/%EC%B2%B4%ED%81%AC%EB%A6%AC%EC%8A%A4%ED%8A%B8/%EC%8B%A0%ED%98%B8%EC%8B%9C%EC%8A%A4%ED%85%9C%20%ED%86%B5%ED%95%A9%EC%8B%9C%ED%97%98_%EC%B2%B4%ED%81%AC%EB%A6%AC%EC%8A%A4%ED%8A%B8.html" TargetMode="External" Id="rId26"/><Relationship Type="http://schemas.openxmlformats.org/officeDocument/2006/relationships/hyperlink" Target="%EB%B6%84%EC%95%BC%EB%B3%84%EC%84%A4%EA%B3%84%EA%B8%B0%EC%A4%80%28%EC%84%A4%EA%B3%84%EC%82%AC%EC%A0%95%EB%A6%AC%29/%EC%A0%84%EA%B8%B0%EB%B6%84%EC%95%BC%20%EC%84%A4%EA%B3%84%EA%B8%B0%EC%A4%80%20%EA%B2%80%ED%86%A0.pdf" TargetMode="External" Id="rId27"/><Relationship Type="http://schemas.openxmlformats.org/officeDocument/2006/relationships/hyperlink" Target="7.%EC%8B%A0%ED%98%B8%EB%B6%84%EC%95%BC/15_%EA%B3%B5%EC%A2%85%EB%B3%84%20%EC%8B%9C%ED%97%98/%EC%B2%B4%ED%81%AC%EB%A6%AC%EC%8A%A4%ED%8A%B8/%EA%B3%B5%EC%A2%85%EB%B3%84%20%EC%8B%9C%ED%97%98_%EC%B2%B4%ED%81%AC%EB%A6%AC%EC%8A%A4%ED%8A%B8.html" TargetMode="External" Id="rId28"/><Relationship Type="http://schemas.openxmlformats.org/officeDocument/2006/relationships/hyperlink" Target="%EB%B6%84%EC%95%BC%EB%B3%84%EC%84%A4%EA%B3%84%EA%B8%B0%EC%A4%80%28%EC%84%A4%EA%B3%84%EC%82%AC%EC%A0%95%EB%A6%AC%29/%EC%A0%84%EA%B8%B0%EB%B6%84%EC%95%BC%20%EC%84%A4%EA%B3%84%EA%B8%B0%EC%A4%80%20%EA%B2%80%ED%86%A0.pdf" TargetMode="External" Id="rId29"/><Relationship Type="http://schemas.openxmlformats.org/officeDocument/2006/relationships/hyperlink" Target="7.%EC%8B%A0%ED%98%B8%EB%B6%84%EC%95%BC/16_%EC%B0%A8%EB%9F%89%20%ED%88%AC%EC%9E%85%20%EC%A0%84%20%EC%A0%90%EA%B2%80/%EC%B2%B4%ED%81%AC%EB%A6%AC%EC%8A%A4%ED%8A%B8/%EC%B0%A8%EB%9F%89%20%ED%88%AC%EC%9E%85%20%EC%A0%84%20%EC%A0%90%EA%B2%80_%EC%B2%B4%ED%81%AC%EB%A6%AC%EC%8A%A4%ED%8A%B8.html" TargetMode="External" Id="rId30"/><Relationship Type="http://schemas.openxmlformats.org/officeDocument/2006/relationships/hyperlink" Target="%EB%B6%84%EC%95%BC%EB%B3%84%EC%84%A4%EA%B3%84%EA%B8%B0%EC%A4%80%28%EC%84%A4%EA%B3%84%EC%82%AC%EC%A0%95%EB%A6%AC%29/%EC%A0%84%EA%B8%B0%EB%B6%84%EC%95%BC%20%EC%84%A4%EA%B3%84%EA%B8%B0%EC%A4%80%20%EA%B2%80%ED%86%A0.pdf" TargetMode="External" Id="rId31"/><Relationship Type="http://schemas.openxmlformats.org/officeDocument/2006/relationships/hyperlink" Target="7.%EC%8B%A0%ED%98%B8%EB%B6%84%EC%95%BC/17_%EC%B0%A8%EB%9F%89%20%EC%8B%9C%EC%9A%B4%EC%A0%84/%EC%B2%B4%ED%81%AC%EB%A6%AC%EC%8A%A4%ED%8A%B8/%EC%B0%A8%EB%9F%89%20%EC%8B%9C%EC%9A%B4%EC%A0%84_%EC%B2%B4%ED%81%AC%EB%A6%AC%EC%8A%A4%ED%8A%B8.html" TargetMode="External" Id="rId32"/><Relationship Type="http://schemas.openxmlformats.org/officeDocument/2006/relationships/hyperlink" Target="%EB%B6%84%EC%95%BC%EB%B3%84%EC%84%A4%EA%B3%84%EA%B8%B0%EC%A4%80%28%EC%84%A4%EA%B3%84%EC%82%AC%EC%A0%95%EB%A6%AC%29/%EC%A0%84%EA%B8%B0%EB%B6%84%EC%95%BC%20%EC%84%A4%EA%B3%84%EA%B8%B0%EC%A4%80%20%EA%B2%80%ED%86%A0.pdf" TargetMode="External" Id="rId33"/><Relationship Type="http://schemas.openxmlformats.org/officeDocument/2006/relationships/hyperlink" Target="7.%EC%8B%A0%ED%98%B8%EB%B6%84%EC%95%BC/18_%EC%9A%B4%EC%98%81%EC%9E%90%20%EA%B5%90%EC%9C%A1%EC%8B%9C%ED%96%89/%EC%B2%B4%ED%81%AC%EB%A6%AC%EC%8A%A4%ED%8A%B8/%EC%9A%B4%EC%98%81%EC%9E%90%20%EA%B5%90%EC%9C%A1%EC%8B%9C%ED%96%89_%EC%B2%B4%ED%81%AC%EB%A6%AC%EC%8A%A4%ED%8A%B8.html" TargetMode="External" Id="rId34"/><Relationship Type="http://schemas.openxmlformats.org/officeDocument/2006/relationships/hyperlink" Target="%EB%B6%84%EC%95%BC%EB%B3%84%EC%84%A4%EA%B3%84%EA%B8%B0%EC%A4%80%28%EC%84%A4%EA%B3%84%EC%82%AC%EC%A0%95%EB%A6%AC%29/%EC%A0%84%EA%B8%B0%EB%B6%84%EC%95%BC%20%EC%84%A4%EA%B3%84%EA%B8%B0%EC%A4%80%20%EA%B2%80%ED%86%A0.pdf" TargetMode="External" Id="rId35"/><Relationship Type="http://schemas.openxmlformats.org/officeDocument/2006/relationships/hyperlink" Target="7.%EC%8B%A0%ED%98%B8%EB%B6%84%EC%95%BC/19_%EC%82%AC%EC%A0%84%EC%A0%90%EA%B2%80%20%EB%B0%8F%20%EC%B2%A0%EB%8F%84%EA%B8%B0%EC%88%A0%EA%B8%B0%EC%A4%80%20%EA%B2%80%ED%86%A0/%EC%B2%B4%ED%81%AC%EB%A6%AC%EC%8A%A4%ED%8A%B8/%EC%82%AC%EC%A0%84%EC%A0%90%EA%B2%80%20%EB%B0%8F%20%EC%B2%A0%EB%8F%84%EA%B8%B0%EC%88%A0%EA%B8%B0%EC%A4%80%20%EA%B2%80%ED%86%A0_%EC%B2%B4%ED%81%AC%EB%A6%AC%EC%8A%A4%ED%8A%B8.html" TargetMode="External" Id="rId36"/><Relationship Type="http://schemas.openxmlformats.org/officeDocument/2006/relationships/hyperlink" Target="%EB%B6%84%EC%95%BC%EB%B3%84%EC%84%A4%EA%B3%84%EA%B8%B0%EC%A4%80%28%EC%84%A4%EA%B3%84%EC%82%AC%EC%A0%95%EB%A6%AC%29/%EC%A0%84%EA%B8%B0%EB%B6%84%EC%95%BC%20%EC%84%A4%EA%B3%84%EA%B8%B0%EC%A4%80%20%EA%B2%80%ED%86%A0.pdf" TargetMode="External" Id="rId37"/><Relationship Type="http://schemas.openxmlformats.org/officeDocument/2006/relationships/hyperlink" Target="7.%EC%8B%A0%ED%98%B8%EB%B6%84%EC%95%BC/20_%EC%8B%9C%EC%84%A4%EB%AC%BC%20%EA%B2%80%EC%A6%9D%EC%8B%9C%ED%97%98/%EC%B2%B4%ED%81%AC%EB%A6%AC%EC%8A%A4%ED%8A%B8/%EC%8B%9C%EC%84%A4%EB%AC%BC%20%EA%B2%80%EC%A6%9D%EC%8B%9C%ED%97%98_%EC%B2%B4%ED%81%AC%EB%A6%AC%EC%8A%A4%ED%8A%B8.html" TargetMode="External" Id="rId38"/><Relationship Type="http://schemas.openxmlformats.org/officeDocument/2006/relationships/hyperlink" Target="%EB%B6%84%EC%95%BC%EB%B3%84%EC%84%A4%EA%B3%84%EA%B8%B0%EC%A4%80%28%EC%84%A4%EA%B3%84%EC%82%AC%EC%A0%95%EB%A6%AC%29/%EC%A0%84%EA%B8%B0%EB%B6%84%EC%95%BC%20%EC%84%A4%EA%B3%84%EA%B8%B0%EC%A4%80%20%EA%B2%80%ED%86%A0.pdf" TargetMode="External" Id="rId39"/><Relationship Type="http://schemas.openxmlformats.org/officeDocument/2006/relationships/hyperlink" Target="7.%EC%8B%A0%ED%98%B8%EB%B6%84%EC%95%BC/21_%EC%98%81%EC%97%85%20%EC%8B%9C%EC%9A%B4%EC%A0%84/%EC%B2%B4%ED%81%AC%EB%A6%AC%EC%8A%A4%ED%8A%B8/%EC%98%81%EC%97%85%20%EC%8B%9C%EC%9A%B4%EC%A0%84_%EC%B2%B4%ED%81%AC%EB%A6%AC%EC%8A%A4%ED%8A%B8.html" TargetMode="External" Id="rId40"/><Relationship Type="http://schemas.openxmlformats.org/officeDocument/2006/relationships/hyperlink" Target="%EB%B6%84%EC%95%BC%EB%B3%84%EC%84%A4%EA%B3%84%EA%B8%B0%EC%A4%80%28%EC%84%A4%EA%B3%84%EC%82%AC%EC%A0%95%EB%A6%AC%29/%EC%A0%84%EA%B8%B0%EB%B6%84%EC%95%BC%20%EC%84%A4%EA%B3%84%EA%B8%B0%EC%A4%80%20%EA%B2%80%ED%86%A0.pdf" TargetMode="External" Id="rId41"/><Relationship Type="http://schemas.openxmlformats.org/officeDocument/2006/relationships/hyperlink" Target="7.%EC%8B%A0%ED%98%B8%EB%B6%84%EC%95%BC/22_%EC%9C%A0%EC%A7%80%EA%B4%80%EB%A6%AC%20%EC%84%A4%EC%B9%98/%EC%B2%B4%ED%81%AC%EB%A6%AC%EC%8A%A4%ED%8A%B8/%EC%9C%A0%EC%A7%80%EA%B4%80%EB%A6%AC%20%EC%84%A4%EC%B9%98_%EC%B2%B4%ED%81%AC%EB%A6%AC%EC%8A%A4%ED%8A%B8.html" TargetMode="External" Id="rId42"/><Relationship Type="http://schemas.openxmlformats.org/officeDocument/2006/relationships/hyperlink" Target="%EB%B6%84%EC%95%BC%EB%B3%84%EC%84%A4%EA%B3%84%EA%B8%B0%EC%A4%80%28%EC%84%A4%EA%B3%84%EC%82%AC%EC%A0%95%EB%A6%AC%29/%EC%A0%84%EA%B8%B0%EB%B6%84%EC%95%BC%20%EC%84%A4%EA%B3%84%EA%B8%B0%EC%A4%80%20%EA%B2%80%ED%86%A0.pdf" TargetMode="External" Id="rId43"/><Relationship Type="http://schemas.openxmlformats.org/officeDocument/2006/relationships/hyperlink" Target="7.%EC%8B%A0%ED%98%B8%EB%B6%84%EC%95%BC/13_%EC%8B%9C%EC%8A%A4%ED%85%9C%20%EB%8B%A8%EC%9C%84%EC%8B%9C%ED%97%98/%EC%B2%B4%ED%81%AC%EB%A6%AC%EC%8A%A4%ED%8A%B8/%EC%8B%9C%EC%8A%A4%ED%85%9C%20%EB%8B%A8%EC%9C%84%EC%8B%9C%ED%97%98_%EC%B2%B4%ED%81%AC%EB%A6%AC%EC%8A%A4%ED%8A%B8.html" TargetMode="External" Id="rId44"/></Relationships>
</file>

<file path=xl/worksheets/_rels/sheet8.xml.rels><Relationships xmlns="http://schemas.openxmlformats.org/package/2006/relationships"><Relationship Type="http://schemas.openxmlformats.org/officeDocument/2006/relationships/hyperlink" Target="%EB%B6%84%EC%95%BC%EB%B3%84%EC%84%A4%EA%B3%84%EA%B8%B0%EC%A4%80%28%EC%84%A4%EA%B3%84%EC%82%AC%EC%A0%95%EB%A6%AC%29/%EC%A0%84%EA%B8%B0%EB%B6%84%EC%95%BC%20%EC%84%A4%EA%B3%84%EA%B8%B0%EC%A4%80%20%EA%B2%80%ED%86%A0.pdf" TargetMode="External" Id="rId1"/><Relationship Type="http://schemas.openxmlformats.org/officeDocument/2006/relationships/hyperlink" Target="8.%EC%A0%84%EA%B8%B0%EB%B6%84%EC%95%BC/1_%EC%84%A4%EA%B3%84%EC%A0%81%EC%A0%95%EC%84%B1%20%EA%B2%80%ED%86%A0/%EC%B2%B4%ED%81%AC%EB%A6%AC%EC%8A%A4%ED%8A%B8/%EC%84%A4%EA%B3%84%EC%A0%81%EC%A0%95%EC%84%B1%20%EA%B2%80%ED%86%A0_%EC%B2%B4%ED%81%AC%EB%A6%AC%EC%8A%A4%ED%8A%B8.html" TargetMode="External" Id="rId2"/><Relationship Type="http://schemas.openxmlformats.org/officeDocument/2006/relationships/hyperlink" Target="%EB%B6%84%EC%95%BC%EB%B3%84%EC%84%A4%EA%B3%84%EA%B8%B0%EC%A4%80%28%EC%84%A4%EA%B3%84%EC%82%AC%EC%A0%95%EB%A6%AC%29/%EC%A0%84%EA%B8%B0%EB%B6%84%EC%95%BC%20%EC%84%A4%EA%B3%84%EA%B8%B0%EC%A4%80%20%EA%B2%80%ED%86%A0.pdf" TargetMode="External" Id="rId3"/><Relationship Type="http://schemas.openxmlformats.org/officeDocument/2006/relationships/hyperlink" Target="8.%EC%A0%84%EA%B8%B0%EB%B6%84%EC%95%BC/2_%EB%B0%9C%EC%A3%BC%EC%A0%84%EB%9E%B5%20KOM/%EC%B2%B4%ED%81%AC%EB%A6%AC%EC%8A%A4%ED%8A%B8/%EB%B0%9C%EC%A3%BC%EC%A0%84%EB%9E%B5%20KOM_%EC%B2%B4%ED%81%AC%EB%A6%AC%EC%8A%A4%ED%8A%B8.html" TargetMode="External" Id="rId4"/><Relationship Type="http://schemas.openxmlformats.org/officeDocument/2006/relationships/hyperlink" Target="%EB%B6%84%EC%95%BC%EB%B3%84%EC%84%A4%EA%B3%84%EA%B8%B0%EC%A4%80%28%EC%84%A4%EA%B3%84%EC%82%AC%EC%A0%95%EB%A6%AC%29/%EC%A0%84%EA%B8%B0%EB%B6%84%EC%95%BC%20%EC%84%A4%EA%B3%84%EA%B8%B0%EC%A4%80%20%EA%B2%80%ED%86%A0.pdf" TargetMode="External" Id="rId5"/><Relationship Type="http://schemas.openxmlformats.org/officeDocument/2006/relationships/hyperlink" Target="8.%EC%A0%84%EA%B8%B0%EB%B6%84%EC%95%BC/3_%ED%86%A0%EB%AA%A9%20_%20%EA%B1%B4%EC%B6%95%20%EC%9D%B8%ED%84%B0%ED%8E%98%EC%9D%B4%EC%8A%A4%20%ED%98%91%EC%9D%98/%EC%B2%B4%ED%81%AC%EB%A6%AC%EC%8A%A4%ED%8A%B8/%ED%86%A0%EB%AA%A9%20_%20%EA%B1%B4%EC%B6%95%20%EC%9D%B8%ED%84%B0%ED%8E%98%EC%9D%B4%EC%8A%A4%20%ED%98%91%EC%9D%98_%EC%B2%B4%ED%81%AC%EB%A6%AC%EC%8A%A4%ED%8A%B8.html" TargetMode="External" Id="rId6"/><Relationship Type="http://schemas.openxmlformats.org/officeDocument/2006/relationships/hyperlink" Target="%EB%B6%84%EC%95%BC%EB%B3%84%EC%84%A4%EA%B3%84%EA%B8%B0%EC%A4%80%28%EC%84%A4%EA%B3%84%EC%82%AC%EC%A0%95%EB%A6%AC%29/%EC%A0%84%EA%B8%B0%EB%B6%84%EC%95%BC%20%EC%84%A4%EA%B3%84%EA%B8%B0%EC%A4%80%20%EA%B2%80%ED%86%A0.pdf" TargetMode="External" Id="rId7"/><Relationship Type="http://schemas.openxmlformats.org/officeDocument/2006/relationships/hyperlink" Target="8.%EC%A0%84%EA%B8%B0%EB%B6%84%EC%95%BC/4_%EC%8B%A0%ED%98%B8%20_%20%ED%86%B5%EC%8B%A0%20_%20%EA%B8%B0%EA%B3%84%20_%20PSD%20_%20%EC%B0%A8%EB%9F%89%20%EC%9D%B8%ED%84%B0%ED%8E%98%EC%9D%B4%EC%8A%A4%20%ED%98%91%EC%9D%98/%EC%B2%B4%ED%81%AC%EB%A6%AC%EC%8A%A4%ED%8A%B8/%EC%8B%A0%ED%98%B8%20_%20%ED%86%B5%EC%8B%A0%20_%20%EA%B8%B0%EA%B3%84%20_%20PSD%20_%20%EC%B0%A8%EB%9F%89%20%EC%9D%B8%ED%84%B0%ED%8E%98%EC%9D%B4%EC%8A%A4%20%ED%98%91%EC%9D%98_%EC%B2%B4%ED%81%AC%EB%A6%AC%EC%8A%A4%ED%8A%B8.html" TargetMode="External" Id="rId8"/><Relationship Type="http://schemas.openxmlformats.org/officeDocument/2006/relationships/hyperlink" Target="%EB%B6%84%EC%95%BC%EB%B3%84%EC%84%A4%EA%B3%84%EA%B8%B0%EC%A4%80%28%EC%84%A4%EA%B3%84%EC%82%AC%EC%A0%95%EB%A6%AC%29/%EC%A0%84%EA%B8%B0%EB%B6%84%EC%95%BC%20%EC%84%A4%EA%B3%84%EA%B8%B0%EC%A4%80%20%EA%B2%80%ED%86%A0.pdf" TargetMode="External" Id="rId9"/><Relationship Type="http://schemas.openxmlformats.org/officeDocument/2006/relationships/hyperlink" Target="8.%EC%A0%84%EA%B8%B0%EB%B6%84%EC%95%BC/5_%EC%A0%84%EA%B8%B0%EC%84%A4%EB%B9%84%20%EC%A0%9C%EC%9E%91%EC%82%AC%20%EC%9D%B8%ED%84%B0%ED%8E%98%EC%9D%B4%EC%8A%A4%20%ED%98%91%EC%9D%98/%EC%B2%B4%ED%81%AC%EB%A6%AC%EC%8A%A4%ED%8A%B8/%EC%A0%84%EA%B8%B0%EC%84%A4%EB%B9%84%20%EC%A0%9C%EC%9E%91%EC%82%AC%20%EC%9D%B8%ED%84%B0%ED%8E%98%EC%9D%B4%EC%8A%A4%20%ED%98%91%EC%9D%98_%EC%B2%B4%ED%81%AC%EB%A6%AC%EC%8A%A4%ED%8A%B8.html" TargetMode="External" Id="rId10"/><Relationship Type="http://schemas.openxmlformats.org/officeDocument/2006/relationships/hyperlink" Target="%EB%B6%84%EC%95%BC%EB%B3%84%EC%84%A4%EA%B3%84%EA%B8%B0%EC%A4%80%28%EC%84%A4%EA%B3%84%EC%82%AC%EC%A0%95%EB%A6%AC%29/%EC%A0%84%EA%B8%B0%EB%B6%84%EC%95%BC%20%EC%84%A4%EA%B3%84%EA%B8%B0%EC%A4%80%20%EA%B2%80%ED%86%A0.pdf" TargetMode="External" Id="rId11"/><Relationship Type="http://schemas.openxmlformats.org/officeDocument/2006/relationships/hyperlink" Target="8.%EC%A0%84%EA%B8%B0%EB%B6%84%EC%95%BC/6_%EA%B4%80%EC%A0%9C%20%EB%B0%8F%20%EC%9A%B4%EC%98%81%EC%82%AC%20%EC%9D%B8%ED%84%B0%ED%8E%98%EC%9D%B4%EC%8A%A4%20%ED%98%91%EC%9D%98/%EC%B2%B4%ED%81%AC%EB%A6%AC%EC%8A%A4%ED%8A%B8/%EA%B4%80%EC%A0%9C%20%EB%B0%8F%20%EC%9A%B4%EC%98%81%EC%82%AC%20%EC%9D%B8%ED%84%B0%ED%8E%98%EC%9D%B4%EC%8A%A4%20%ED%98%91%EC%9D%98_%EC%B2%B4%ED%81%AC%EB%A6%AC%EC%8A%A4%ED%8A%B8.html" TargetMode="External" Id="rId12"/><Relationship Type="http://schemas.openxmlformats.org/officeDocument/2006/relationships/hyperlink" Target="%EB%B6%84%EC%95%BC%EB%B3%84%EC%84%A4%EA%B3%84%EA%B8%B0%EC%A4%80%28%EC%84%A4%EA%B3%84%EC%82%AC%EC%A0%95%EB%A6%AC%29/%EC%A0%84%EA%B8%B0%EB%B6%84%EC%95%BC%20%EC%84%A4%EA%B3%84%EA%B8%B0%EC%A4%80%20%EA%B2%80%ED%86%A0.pdf" TargetMode="External" Id="rId13"/><Relationship Type="http://schemas.openxmlformats.org/officeDocument/2006/relationships/hyperlink" Target="8.%EC%A0%84%EA%B8%B0%EB%B6%84%EC%95%BC/7_%EB%B0%9C%EC%A3%BC%EC%B2%98%20%ED%92%88%EC%A7%88%20%EC%9A%94%EA%B5%AC%EC%82%AC%ED%95%AD%20%EA%B2%80%ED%86%A0/%EC%B2%B4%ED%81%AC%EB%A6%AC%EC%8A%A4%ED%8A%B8/%EB%B0%9C%EC%A3%BC%EC%B2%98%20%ED%92%88%EC%A7%88%20%EC%9A%94%EA%B5%AC%EC%82%AC%ED%95%AD%20%EA%B2%80%ED%86%A0_%EC%B2%B4%ED%81%AC%EB%A6%AC%EC%8A%A4%ED%8A%B8.html" TargetMode="External" Id="rId14"/><Relationship Type="http://schemas.openxmlformats.org/officeDocument/2006/relationships/hyperlink" Target="%EB%B6%84%EC%95%BC%EB%B3%84%EC%84%A4%EA%B3%84%EA%B8%B0%EC%A4%80%28%EC%84%A4%EA%B3%84%EC%82%AC%EC%A0%95%EB%A6%AC%29/%EC%A0%84%EA%B8%B0%EB%B6%84%EC%95%BC%20%EC%84%A4%EA%B3%84%EA%B8%B0%EC%A4%80%20%EA%B2%80%ED%86%A0.pdf" TargetMode="External" Id="rId15"/><Relationship Type="http://schemas.openxmlformats.org/officeDocument/2006/relationships/hyperlink" Target="8.%EC%A0%84%EA%B8%B0%EB%B6%84%EC%95%BC/8_%EC%9E%90%EC%9E%AC%20_%20%EC%9D%B8%EC%9B%90%20_%20%EC%9E%A5%EB%B9%84%20%EB%93%B1%20%ED%88%AC%EC%9E%85%20%EC%82%AC%EC%A0%84%20%EA%B2%80%ED%86%A0/%EC%B2%B4%ED%81%AC%EB%A6%AC%EC%8A%A4%ED%8A%B8/%EC%9E%90%EC%9E%AC%20_%20%EC%9D%B8%EC%9B%90%20_%20%EC%9E%A5%EB%B9%84%20%EB%93%B1%20%ED%88%AC%EC%9E%85%20%EC%82%AC%EC%A0%84%20%EA%B2%80%ED%86%A0_%EC%B2%B4%ED%81%AC%EB%A6%AC%EC%8A%A4%ED%8A%B8.html" TargetMode="External" Id="rId16"/><Relationship Type="http://schemas.openxmlformats.org/officeDocument/2006/relationships/hyperlink" Target="%EB%B6%84%EC%95%BC%EB%B3%84%EC%84%A4%EA%B3%84%EA%B8%B0%EC%A4%80%28%EC%84%A4%EA%B3%84%EC%82%AC%EC%A0%95%EB%A6%AC%29/%EC%A0%84%EA%B8%B0%EB%B6%84%EC%95%BC%20%EC%84%A4%EA%B3%84%EA%B8%B0%EC%A4%80%20%EA%B2%80%ED%86%A0.pdf" TargetMode="External" Id="rId17"/><Relationship Type="http://schemas.openxmlformats.org/officeDocument/2006/relationships/hyperlink" Target="8.%EC%A0%84%EA%B8%B0%EB%B6%84%EC%95%BC/9_%EC%9D%B8%ED%97%88%EA%B0%80%20%EC%A4%80%EB%B9%84/%EC%B2%B4%ED%81%AC%EB%A6%AC%EC%8A%A4%ED%8A%B8/%EC%9D%B8%ED%97%88%EA%B0%80%20%EC%A4%80%EB%B9%84_%EC%B2%B4%ED%81%AC%EB%A6%AC%EC%8A%A4%ED%8A%B8.html" TargetMode="External" Id="rId18"/><Relationship Type="http://schemas.openxmlformats.org/officeDocument/2006/relationships/hyperlink" Target="%EB%B6%84%EC%95%BC%EB%B3%84%EC%84%A4%EA%B3%84%EA%B8%B0%EC%A4%80%28%EC%84%A4%EA%B3%84%EC%82%AC%EC%A0%95%EB%A6%AC%29/%EC%A0%84%EA%B8%B0%EB%B6%84%EC%95%BC%20%EC%84%A4%EA%B3%84%EA%B8%B0%EC%A4%80%20%EA%B2%80%ED%86%A0.pdf" TargetMode="External" Id="rId19"/><Relationship Type="http://schemas.openxmlformats.org/officeDocument/2006/relationships/hyperlink" Target="8.%EC%A0%84%EA%B8%B0%EB%B6%84%EC%95%BC/10_%EC%B0%A9%EC%88%98%20%EC%A0%84%20Big%20Room%20%ED%9A%8C%EC%9D%98/%EC%B2%B4%ED%81%AC%EB%A6%AC%EC%8A%A4%ED%8A%B8/%EC%B0%A9%EC%88%98%20%EC%A0%84%20Big%20Room%20%ED%9A%8C%EC%9D%98_%EC%B2%B4%ED%81%AC%EB%A6%AC%EC%8A%A4%ED%8A%B8.html" TargetMode="External" Id="rId20"/><Relationship Type="http://schemas.openxmlformats.org/officeDocument/2006/relationships/hyperlink" Target="%EB%B6%84%EC%95%BC%EB%B3%84%EC%84%A4%EA%B3%84%EA%B8%B0%EC%A4%80%28%EC%84%A4%EA%B3%84%EC%82%AC%EC%A0%95%EB%A6%AC%29/%EC%A0%84%EA%B8%B0%EB%B6%84%EC%95%BC%20%EC%84%A4%EA%B3%84%EA%B8%B0%EC%A4%80%20%EA%B2%80%ED%86%A0.pdf" TargetMode="External" Id="rId21"/><Relationship Type="http://schemas.openxmlformats.org/officeDocument/2006/relationships/hyperlink" Target="8.%EC%A0%84%EA%B8%B0%EB%B6%84%EC%95%BC/11_%EC%A0%84%EA%B8%B0%EC%84%A4%EB%B9%84%20%EC%A0%9C%EC%9E%91%20%EC%82%AC%EC%96%91%EC%84%9C%20%EC%9E%91%EC%84%B1%20_%20%EC%8A%B9%EC%9D%B8/%EC%B2%B4%ED%81%AC%EB%A6%AC%EC%8A%A4%ED%8A%B8/%EC%A0%84%EA%B8%B0%EC%84%A4%EB%B9%84%20%EC%A0%9C%EC%9E%91%20%EC%82%AC%EC%96%91%EC%84%9C%20%EC%9E%91%EC%84%B1%20_%20%EC%8A%B9%EC%9D%B8_%EC%B2%B4%ED%81%AC%EB%A6%AC%EC%8A%A4%ED%8A%B8.html" TargetMode="External" Id="rId22"/><Relationship Type="http://schemas.openxmlformats.org/officeDocument/2006/relationships/hyperlink" Target="%EB%B6%84%EC%95%BC%EB%B3%84%EC%84%A4%EA%B3%84%EA%B8%B0%EC%A4%80%28%EC%84%A4%EA%B3%84%EC%82%AC%EC%A0%95%EB%A6%AC%29/%EC%A0%84%EA%B8%B0%EB%B6%84%EC%95%BC%20%EC%84%A4%EA%B3%84%EA%B8%B0%EC%A4%80%20%EA%B2%80%ED%86%A0.pdf" TargetMode="External" Id="rId23"/><Relationship Type="http://schemas.openxmlformats.org/officeDocument/2006/relationships/hyperlink" Target="8.%EC%A0%84%EA%B8%B0%EB%B6%84%EC%95%BC/12_%EC%8B%9C%EA%B3%B5%20%EA%B3%84%ED%9A%8D%20%EC%88%98%EB%A6%BD%20_%20%EC%8A%B9%EC%9D%B8/%EC%B2%B4%ED%81%AC%EB%A6%AC%EC%8A%A4%ED%8A%B8/%EC%8B%9C%EA%B3%B5%20%EA%B3%84%ED%9A%8D%20%EC%88%98%EB%A6%BD%20_%20%EC%8A%B9%EC%9D%B8_%EC%B2%B4%ED%81%AC%EB%A6%AC%EC%8A%A4%ED%8A%B8.html" TargetMode="External" Id="rId24"/><Relationship Type="http://schemas.openxmlformats.org/officeDocument/2006/relationships/hyperlink" Target="%EB%B6%84%EC%95%BC%EB%B3%84%EC%84%A4%EA%B3%84%EA%B8%B0%EC%A4%80%28%EC%84%A4%EA%B3%84%EC%82%AC%EC%A0%95%EB%A6%AC%29/%EC%A0%84%EA%B8%B0%EB%B6%84%EC%95%BC%20%EC%84%A4%EA%B3%84%EA%B8%B0%EC%A4%80%20%EA%B2%80%ED%86%A0.pdf" TargetMode="External" Id="rId25"/><Relationship Type="http://schemas.openxmlformats.org/officeDocument/2006/relationships/hyperlink" Target="8.%EC%A0%84%EA%B8%B0%EB%B6%84%EC%95%BC/13_%EC%9E%90%EC%9E%AC%EA%B3%B5%EA%B8%89%EC%9B%90_%EA%B8%B0%EC%9E%90%EC%9E%AC%20%EC%A0%9C%EC%9E%91%EB%8F%84%EC%84%9C%20%EC%8A%B9%EC%9D%B8/%EC%B2%B4%ED%81%AC%EB%A6%AC%EC%8A%A4%ED%8A%B8/%EC%9E%90%EC%9E%AC%EA%B3%B5%EA%B8%89%EC%9B%90_%EA%B8%B0%EC%9E%90%EC%9E%AC%20%EC%A0%9C%EC%9E%91%EB%8F%84%EC%84%9C%20%EC%8A%B9%EC%9D%B8_%EC%B2%B4%ED%81%AC%EB%A6%AC%EC%8A%A4%ED%8A%B8.html" TargetMode="External" Id="rId26"/><Relationship Type="http://schemas.openxmlformats.org/officeDocument/2006/relationships/hyperlink" Target="%EB%B6%84%EC%95%BC%EB%B3%84%EC%84%A4%EA%B3%84%EA%B8%B0%EC%A4%80%28%EC%84%A4%EA%B3%84%EC%82%AC%EC%A0%95%EB%A6%AC%29/%EC%A0%84%EA%B8%B0%EB%B6%84%EC%95%BC%20%EC%84%A4%EA%B3%84%EA%B8%B0%EC%A4%80%20%EA%B2%80%ED%86%A0.pdf" TargetMode="External" Id="rId27"/><Relationship Type="http://schemas.openxmlformats.org/officeDocument/2006/relationships/hyperlink" Target="8.%EC%A0%84%EA%B8%B0%EB%B6%84%EC%95%BC/14_%EC%A0%84%EA%B8%B0%EC%84%A4%EB%B9%84%20%EA%B3%B5%EC%A0%95%EC%A0%9C%EC%9E%91%20_%20%EC%A0%9C%EC%9E%91%EC%82%AC%20%EA%B3%B5%EC%9E%A5%EA%B2%80%EC%82%AC/%EC%B2%B4%ED%81%AC%EB%A6%AC%EC%8A%A4%ED%8A%B8/%EC%A0%84%EA%B8%B0%EC%84%A4%EB%B9%84%20%EA%B3%B5%EC%A0%95%EC%A0%9C%EC%9E%91%20_%20%EC%A0%9C%EC%9E%91%EC%82%AC%20%EA%B3%B5%EC%9E%A5%EA%B2%80%EC%82%AC_%EC%B2%B4%ED%81%AC%EB%A6%AC%EC%8A%A4%ED%8A%B8.html" TargetMode="External" Id="rId28"/><Relationship Type="http://schemas.openxmlformats.org/officeDocument/2006/relationships/hyperlink" Target="%EB%B6%84%EC%95%BC%EB%B3%84%EC%84%A4%EA%B3%84%EA%B8%B0%EC%A4%80%28%EC%84%A4%EA%B3%84%EC%82%AC%EC%A0%95%EB%A6%AC%29/%EC%A0%84%EA%B8%B0%EB%B6%84%EC%95%BC%20%EC%84%A4%EA%B3%84%EA%B8%B0%EC%A4%80%20%EA%B2%80%ED%86%A0.pdf" TargetMode="External" Id="rId29"/><Relationship Type="http://schemas.openxmlformats.org/officeDocument/2006/relationships/hyperlink" Target="8.%EC%A0%84%EA%B8%B0%EB%B6%84%EC%95%BC/15_%EB%B3%B8%EA%B3%B5%EC%82%AC%20%EC%A0%84%20%EC%84%A0%ED%96%89%EA%B3%B5%EC%A0%95%20%EC%9D%B8%EC%88%98%EC%9D%B8%EA%B3%84%20%EC%A0%90%EA%B2%80/%EC%B2%B4%ED%81%AC%EB%A6%AC%EC%8A%A4%ED%8A%B8/%EB%B3%B8%EA%B3%B5%EC%82%AC%20%EC%A0%84%20%EC%84%A0%ED%96%89%EA%B3%B5%EC%A0%95%20%EC%9D%B8%EC%88%98%EC%9D%B8%EA%B3%84%20%EC%A0%90%EA%B2%80_%EC%B2%B4%ED%81%AC%EB%A6%AC%EC%8A%A4%ED%8A%B8.html" TargetMode="External" Id="rId30"/><Relationship Type="http://schemas.openxmlformats.org/officeDocument/2006/relationships/hyperlink" Target="%EB%B6%84%EC%95%BC%EB%B3%84%EC%84%A4%EA%B3%84%EA%B8%B0%EC%A4%80%28%EC%84%A4%EA%B3%84%EC%82%AC%EC%A0%95%EB%A6%AC%29/%EC%A0%84%EA%B8%B0%EB%B6%84%EC%95%BC%20%EC%84%A4%EA%B3%84%EA%B8%B0%EC%A4%80%20%EA%B2%80%ED%86%A0.pdf" TargetMode="External" Id="rId31"/><Relationship Type="http://schemas.openxmlformats.org/officeDocument/2006/relationships/hyperlink" Target="8.%EC%A0%84%EA%B8%B0%EB%B6%84%EC%95%BC/16_%EC%9E%A5%EB%B9%84%EB%B0%98%EC%9E%85%20%EB%B0%8F%20%EC%95%88%EC%A0%84%EA%B5%90%EC%9C%A1/%EC%B2%B4%ED%81%AC%EB%A6%AC%EC%8A%A4%ED%8A%B8/%EC%9E%A5%EB%B9%84%EB%B0%98%EC%9E%85%20%EB%B0%8F%20%EC%95%88%EC%A0%84%EA%B5%90%EC%9C%A1_%EC%B2%B4%ED%81%AC%EB%A6%AC%EC%8A%A4%ED%8A%B8.html" TargetMode="External" Id="rId32"/><Relationship Type="http://schemas.openxmlformats.org/officeDocument/2006/relationships/hyperlink" Target="%EB%B6%84%EC%95%BC%EB%B3%84%EC%84%A4%EA%B3%84%EA%B8%B0%EC%A4%80%28%EC%84%A4%EA%B3%84%EC%82%AC%EC%A0%95%EB%A6%AC%29/%EC%A0%84%EA%B8%B0%EB%B6%84%EC%95%BC%20%EC%84%A4%EA%B3%84%EA%B8%B0%EC%A4%80%20%EA%B2%80%ED%86%A0.pdf" TargetMode="External" Id="rId33"/><Relationship Type="http://schemas.openxmlformats.org/officeDocument/2006/relationships/hyperlink" Target="8.%EC%A0%84%EA%B8%B0%EB%B6%84%EC%95%BC/17_%EC%9E%90%EC%9E%AC%20%EB%B0%98%EC%9E%85%20%EB%B0%8F%20%EA%B2%80%EC%88%98/%EC%B2%B4%ED%81%AC%EB%A6%AC%EC%8A%A4%ED%8A%B8/%EC%9E%90%EC%9E%AC%20%EB%B0%98%EC%9E%85%20%EB%B0%8F%20%EA%B2%80%EC%88%98_%EC%B2%B4%ED%81%AC%EB%A6%AC%EC%8A%A4%ED%8A%B8.html" TargetMode="External" Id="rId34"/><Relationship Type="http://schemas.openxmlformats.org/officeDocument/2006/relationships/hyperlink" Target="%EB%B6%84%EC%95%BC%EB%B3%84%EC%84%A4%EA%B3%84%EA%B8%B0%EC%A4%80%28%EC%84%A4%EA%B3%84%EC%82%AC%EC%A0%95%EB%A6%AC%29/%EC%A0%84%EA%B8%B0%EB%B6%84%EC%95%BC%20%EC%84%A4%EA%B3%84%EA%B8%B0%EC%A4%80%20%EA%B2%80%ED%86%A0.pdf" TargetMode="External" Id="rId35"/><Relationship Type="http://schemas.openxmlformats.org/officeDocument/2006/relationships/hyperlink" Target="8.%EC%A0%84%EA%B8%B0%EB%B6%84%EC%95%BC/18_%EC%A0%84%EC%B2%A0%EC%A0%84%EB%A0%A5%EC%84%A4%EB%B9%84%20%EB%B0%98%EC%9E%85%20%EB%B0%8F%20%EC%84%A4%EC%B9%98/%EC%B2%B4%ED%81%AC%EB%A6%AC%EC%8A%A4%ED%8A%B8/%EC%A0%84%EC%B2%A0%EC%A0%84%EB%A0%A5%EC%84%A4%EB%B9%84%20%EB%B0%98%EC%9E%85%20%EB%B0%8F%20%EC%84%A4%EC%B9%98_%EC%B2%B4%ED%81%AC%EB%A6%AC%EC%8A%A4%ED%8A%B8.html" TargetMode="External" Id="rId36"/><Relationship Type="http://schemas.openxmlformats.org/officeDocument/2006/relationships/hyperlink" Target="%EB%B6%84%EC%95%BC%EB%B3%84%EC%84%A4%EA%B3%84%EA%B8%B0%EC%A4%80%28%EC%84%A4%EA%B3%84%EC%82%AC%EC%A0%95%EB%A6%AC%29/%EC%A0%84%EA%B8%B0%EB%B6%84%EC%95%BC%20%EC%84%A4%EA%B3%84%EA%B8%B0%EC%A4%80%20%EA%B2%80%ED%86%A0.pdf" TargetMode="External" Id="rId37"/><Relationship Type="http://schemas.openxmlformats.org/officeDocument/2006/relationships/hyperlink" Target="8.%EC%A0%84%EA%B8%B0%EB%B6%84%EC%95%BC/19_%EC%88%98%EC%A0%84%EC%9A%A9%20%EC%BC%80%EC%9D%B4%EB%B8%94%20%ED%8A%B8%EB%A0%88%EC%9D%B4%20%EB%B0%8F%20%EC%BC%80%EC%9D%B4%EB%B8%94%20%ED%8F%AC%EC%84%A4/%EC%B2%B4%ED%81%AC%EB%A6%AC%EC%8A%A4%ED%8A%B8/%EC%88%98%EC%A0%84%EC%9A%A9%20%EC%BC%80%EC%9D%B4%EB%B8%94%20%ED%8A%B8%EB%A0%88%EC%9D%B4%20%EB%B0%8F%20%EC%BC%80%EC%9D%B4%EB%B8%94%20%ED%8F%AC%EC%84%A4_%EC%B2%B4%ED%81%AC%EB%A6%AC%EC%8A%A4%ED%8A%B8.html" TargetMode="External" Id="rId38"/><Relationship Type="http://schemas.openxmlformats.org/officeDocument/2006/relationships/hyperlink" Target="%EB%B6%84%EC%95%BC%EB%B3%84%EC%84%A4%EA%B3%84%EA%B8%B0%EC%A4%80%28%EC%84%A4%EA%B3%84%EC%82%AC%EC%A0%95%EB%A6%AC%29/%EC%A0%84%EA%B8%B0%EB%B6%84%EC%95%BC%20%EC%84%A4%EA%B3%84%EA%B8%B0%EC%A4%80%20%EA%B2%80%ED%86%A0.pdf" TargetMode="External" Id="rId39"/><Relationship Type="http://schemas.openxmlformats.org/officeDocument/2006/relationships/hyperlink" Target="8.%EC%A0%84%EA%B8%B0%EB%B6%84%EC%95%BC/20_%EC%88%98%EC%A0%84%20%EB%B0%8F%20%EC%A0%84%EA%B8%B0%EA%B3%B5%EA%B8%89%28%EA%B8%89%EC%A0%84%29/%EC%B2%B4%ED%81%AC%EB%A6%AC%EC%8A%A4%ED%8A%B8/%EC%88%98%EC%A0%84%20%EB%B0%8F%20%EC%A0%84%EA%B8%B0%EA%B3%B5%EA%B8%89%28%EA%B8%89%EC%A0%84%29_%EC%B2%B4%ED%81%AC%EB%A6%AC%EC%8A%A4%ED%8A%B8.html" TargetMode="External" Id="rId40"/><Relationship Type="http://schemas.openxmlformats.org/officeDocument/2006/relationships/hyperlink" Target="%EB%B6%84%EC%95%BC%EB%B3%84%EC%84%A4%EA%B3%84%EA%B8%B0%EC%A4%80%28%EC%84%A4%EA%B3%84%EC%82%AC%EC%A0%95%EB%A6%AC%29/%EC%A0%84%EA%B8%B0%EB%B6%84%EC%95%BC%20%EC%84%A4%EA%B3%84%EA%B8%B0%EC%A4%80%20%EA%B2%80%ED%86%A0.pdf" TargetMode="External" Id="rId41"/><Relationship Type="http://schemas.openxmlformats.org/officeDocument/2006/relationships/hyperlink" Target="8.%EC%A0%84%EA%B8%B0%EB%B6%84%EC%95%BC/21_%EC%A2%85%ED%95%A9%EC%97%B0%EB%8F%99%EC%8B%9C%ED%97%98%28SCADA%29%20%EC%8B%A4%EC%8B%9C/%EC%B2%B4%ED%81%AC%EB%A6%AC%EC%8A%A4%ED%8A%B8/%EC%A2%85%ED%95%A9%EC%97%B0%EB%8F%99%EC%8B%9C%ED%97%98%28SCADA%29%20%EC%8B%A4%EC%8B%9C_%EC%B2%B4%ED%81%AC%EB%A6%AC%EC%8A%A4%ED%8A%B8.html" TargetMode="External" Id="rId42"/><Relationship Type="http://schemas.openxmlformats.org/officeDocument/2006/relationships/hyperlink" Target="%EB%B6%84%EC%95%BC%EB%B3%84%EC%84%A4%EA%B3%84%EA%B8%B0%EC%A4%80%28%EC%84%A4%EA%B3%84%EC%82%AC%EC%A0%95%EB%A6%AC%29/%EC%A0%84%EA%B8%B0%EB%B6%84%EC%95%BC%20%EC%84%A4%EA%B3%84%EA%B8%B0%EC%A4%80%20%EA%B2%80%ED%86%A0.pdf" TargetMode="External" Id="rId43"/><Relationship Type="http://schemas.openxmlformats.org/officeDocument/2006/relationships/hyperlink" Target="8.%EC%A0%84%EA%B8%B0%EB%B6%84%EC%95%BC/22_%EA%B3%B5%EC%A2%85%EB%B3%84%20%EC%8B%9C%ED%97%98/%EC%B2%B4%ED%81%AC%EB%A6%AC%EC%8A%A4%ED%8A%B8/%EA%B3%B5%EC%A2%85%EB%B3%84%20%EC%8B%9C%ED%97%98_%EC%B2%B4%ED%81%AC%EB%A6%AC%EC%8A%A4%ED%8A%B8.html" TargetMode="External" Id="rId44"/><Relationship Type="http://schemas.openxmlformats.org/officeDocument/2006/relationships/hyperlink" Target="%EB%B6%84%EC%95%BC%EB%B3%84%EC%84%A4%EA%B3%84%EA%B8%B0%EC%A4%80%28%EC%84%A4%EA%B3%84%EC%82%AC%EC%A0%95%EB%A6%AC%29/%EC%A0%84%EA%B8%B0%EB%B6%84%EC%95%BC%20%EC%84%A4%EA%B3%84%EA%B8%B0%EC%A4%80%20%EA%B2%80%ED%86%A0.pdf" TargetMode="External" Id="rId45"/><Relationship Type="http://schemas.openxmlformats.org/officeDocument/2006/relationships/hyperlink" Target="8.%EC%A0%84%EA%B8%B0%EB%B6%84%EC%95%BC/23_%EC%B0%A8%EB%9F%89%20%ED%88%AC%EC%9E%85%20%EC%A0%84%20%EC%A0%90%EA%B2%80/%EC%B2%B4%ED%81%AC%EB%A6%AC%EC%8A%A4%ED%8A%B8/%EC%B0%A8%EB%9F%89%20%ED%88%AC%EC%9E%85%20%EC%A0%84%20%EC%A0%90%EA%B2%80_%EC%B2%B4%ED%81%AC%EB%A6%AC%EC%8A%A4%ED%8A%B8.html" TargetMode="External" Id="rId46"/><Relationship Type="http://schemas.openxmlformats.org/officeDocument/2006/relationships/hyperlink" Target="%EB%B6%84%EC%95%BC%EB%B3%84%EC%84%A4%EA%B3%84%EA%B8%B0%EC%A4%80%28%EC%84%A4%EA%B3%84%EC%82%AC%EC%A0%95%EB%A6%AC%29/%EC%A0%84%EA%B8%B0%EB%B6%84%EC%95%BC%20%EC%84%A4%EA%B3%84%EA%B8%B0%EC%A4%80%20%EA%B2%80%ED%86%A0.pdf" TargetMode="External" Id="rId47"/><Relationship Type="http://schemas.openxmlformats.org/officeDocument/2006/relationships/hyperlink" Target="8.%EC%A0%84%EA%B8%B0%EB%B6%84%EC%95%BC/24_%EC%B0%A8%EB%9F%89%20%EC%8B%9C%EC%9A%B4%EC%A0%84/%EC%B2%B4%ED%81%AC%EB%A6%AC%EC%8A%A4%ED%8A%B8/%EC%B0%A8%EB%9F%89%20%EC%8B%9C%EC%9A%B4%EC%A0%84_%EC%B2%B4%ED%81%AC%EB%A6%AC%EC%8A%A4%ED%8A%B8.html" TargetMode="External" Id="rId48"/><Relationship Type="http://schemas.openxmlformats.org/officeDocument/2006/relationships/hyperlink" Target="%EB%B6%84%EC%95%BC%EB%B3%84%EC%84%A4%EA%B3%84%EA%B8%B0%EC%A4%80%28%EC%84%A4%EA%B3%84%EC%82%AC%EC%A0%95%EB%A6%AC%29/%EC%A0%84%EA%B8%B0%EB%B6%84%EC%95%BC%20%EC%84%A4%EA%B3%84%EA%B8%B0%EC%A4%80%20%EA%B2%80%ED%86%A0.pdf" TargetMode="External" Id="rId49"/><Relationship Type="http://schemas.openxmlformats.org/officeDocument/2006/relationships/hyperlink" Target="8.%EC%A0%84%EA%B8%B0%EB%B6%84%EC%95%BC/25_%EC%9A%B4%EC%98%81%EC%9E%90%20%EA%B5%90%EC%9C%A1%EC%8B%9C%ED%96%89/%EC%B2%B4%ED%81%AC%EB%A6%AC%EC%8A%A4%ED%8A%B8/%EC%9A%B4%EC%98%81%EC%9E%90%20%EA%B5%90%EC%9C%A1%EC%8B%9C%ED%96%89_%EC%B2%B4%ED%81%AC%EB%A6%AC%EC%8A%A4%ED%8A%B8.html" TargetMode="External" Id="rId50"/><Relationship Type="http://schemas.openxmlformats.org/officeDocument/2006/relationships/hyperlink" Target="%EB%B6%84%EC%95%BC%EB%B3%84%EC%84%A4%EA%B3%84%EA%B8%B0%EC%A4%80%28%EC%84%A4%EA%B3%84%EC%82%AC%EC%A0%95%EB%A6%AC%29/%EC%A0%84%EA%B8%B0%EB%B6%84%EC%95%BC%20%EC%84%A4%EA%B3%84%EA%B8%B0%EC%A4%80%20%EA%B2%80%ED%86%A0.pdf" TargetMode="External" Id="rId51"/><Relationship Type="http://schemas.openxmlformats.org/officeDocument/2006/relationships/hyperlink" Target="8.%EC%A0%84%EA%B8%B0%EB%B6%84%EC%95%BC/26_%EC%82%AC%EC%A0%84%EC%A0%90%EA%B2%80/%EC%B2%B4%ED%81%AC%EB%A6%AC%EC%8A%A4%ED%8A%B8/%EC%82%AC%EC%A0%84%EC%A0%90%EA%B2%80_%EC%B2%B4%ED%81%AC%EB%A6%AC%EC%8A%A4%ED%8A%B8.html" TargetMode="External" Id="rId52"/><Relationship Type="http://schemas.openxmlformats.org/officeDocument/2006/relationships/hyperlink" Target="%EB%B6%84%EC%95%BC%EB%B3%84%EC%84%A4%EA%B3%84%EA%B8%B0%EC%A4%80%28%EC%84%A4%EA%B3%84%EC%82%AC%EC%A0%95%EB%A6%AC%29/%EC%A0%84%EA%B8%B0%EB%B6%84%EC%95%BC%20%EC%84%A4%EA%B3%84%EA%B8%B0%EC%A4%80%20%EA%B2%80%ED%86%A0.pdf" TargetMode="External" Id="rId53"/><Relationship Type="http://schemas.openxmlformats.org/officeDocument/2006/relationships/hyperlink" Target="8.%EC%A0%84%EA%B8%B0%EB%B6%84%EC%95%BC/27_%EC%8B%9C%EC%84%A4%EB%AC%BC%20%EA%B2%80%EC%A6%9D%EC%8B%9C%ED%97%98/%EC%B2%B4%ED%81%AC%EB%A6%AC%EC%8A%A4%ED%8A%B8/%EC%8B%9C%EC%84%A4%EB%AC%BC%20%EA%B2%80%EC%A6%9D%EC%8B%9C%ED%97%98_%EC%B2%B4%ED%81%AC%EB%A6%AC%EC%8A%A4%ED%8A%B8.html" TargetMode="External" Id="rId54"/><Relationship Type="http://schemas.openxmlformats.org/officeDocument/2006/relationships/hyperlink" Target="%EB%B6%84%EC%95%BC%EB%B3%84%EC%84%A4%EA%B3%84%EA%B8%B0%EC%A4%80%28%EC%84%A4%EA%B3%84%EC%82%AC%EC%A0%95%EB%A6%AC%29/%EC%A0%84%EA%B8%B0%EB%B6%84%EC%95%BC%20%EC%84%A4%EA%B3%84%EA%B8%B0%EC%A4%80%20%EA%B2%80%ED%86%A0.pdf" TargetMode="External" Id="rId55"/><Relationship Type="http://schemas.openxmlformats.org/officeDocument/2006/relationships/hyperlink" Target="8.%EC%A0%84%EA%B8%B0%EB%B6%84%EC%95%BC/28_%EC%98%81%EC%97%85%EC%8B%9C%EC%9A%B4%EC%A0%84/%EC%B2%B4%ED%81%AC%EB%A6%AC%EC%8A%A4%ED%8A%B8/%EC%98%81%EC%97%85%EC%8B%9C%EC%9A%B4%EC%A0%84_%EC%B2%B4%ED%81%AC%EB%A6%AC%EC%8A%A4%ED%8A%B8.html" TargetMode="External" Id="rId56"/><Relationship Type="http://schemas.openxmlformats.org/officeDocument/2006/relationships/hyperlink" Target="%EB%B6%84%EC%95%BC%EB%B3%84%EC%84%A4%EA%B3%84%EA%B8%B0%EC%A4%80%28%EC%84%A4%EA%B3%84%EC%82%AC%EC%A0%95%EB%A6%AC%29/%EC%A0%84%EA%B8%B0%EB%B6%84%EC%95%BC%20%EC%84%A4%EA%B3%84%EA%B8%B0%EC%A4%80%20%EA%B2%80%ED%86%A0.pdf" TargetMode="External" Id="rId57"/><Relationship Type="http://schemas.openxmlformats.org/officeDocument/2006/relationships/hyperlink" Target="8.%EC%A0%84%EA%B8%B0%EB%B6%84%EC%95%BC/29_%EC%A0%84%EA%B8%B0%20%EC%82%AC%EC%9A%A9%EC%8B%A0%EC%B2%AD/%EC%B2%B4%ED%81%AC%EB%A6%AC%EC%8A%A4%ED%8A%B8/%EC%A0%84%EA%B8%B0%20%EC%82%AC%EC%9A%A9%EC%8B%A0%EC%B2%AD_%EC%B2%B4%ED%81%AC%EB%A6%AC%EC%8A%A4%ED%8A%B8.html" TargetMode="External" Id="rId58"/><Relationship Type="http://schemas.openxmlformats.org/officeDocument/2006/relationships/hyperlink" Target="%EB%B6%84%EC%95%BC%EB%B3%84%EC%84%A4%EA%B3%84%EA%B8%B0%EC%A4%80%28%EC%84%A4%EA%B3%84%EC%82%AC%EC%A0%95%EB%A6%AC%29/%EC%A0%84%EA%B8%B0%EB%B6%84%EC%95%BC%20%EC%84%A4%EA%B3%84%EA%B8%B0%EC%A4%80%20%EA%B2%80%ED%86%A0.pdf" TargetMode="External" Id="rId59"/><Relationship Type="http://schemas.openxmlformats.org/officeDocument/2006/relationships/hyperlink" Target="8.%EC%A0%84%EA%B8%B0%EB%B6%84%EC%95%BC/30_%EA%B3%B5%EC%82%AC%EA%B3%84%ED%9A%8D%EC%8B%A0%EA%B3%A0/%EC%B2%B4%ED%81%AC%EB%A6%AC%EC%8A%A4%ED%8A%B8/%EA%B3%B5%EC%82%AC%EA%B3%84%ED%9A%8D%EC%8B%A0%EA%B3%A0_%EC%B2%B4%ED%81%AC%EB%A6%AC%EC%8A%A4%ED%8A%B8.html" TargetMode="External" Id="rId60"/><Relationship Type="http://schemas.openxmlformats.org/officeDocument/2006/relationships/hyperlink" Target="%EB%B6%84%EC%95%BC%EB%B3%84%EC%84%A4%EA%B3%84%EA%B8%B0%EC%A4%80%28%EC%84%A4%EA%B3%84%EC%82%AC%EC%A0%95%EB%A6%AC%29/%EC%A0%84%EA%B8%B0%EB%B6%84%EC%95%BC%20%EC%84%A4%EA%B3%84%EA%B8%B0%EC%A4%80%20%EA%B2%80%ED%86%A0.pdf" TargetMode="External" Id="rId61"/><Relationship Type="http://schemas.openxmlformats.org/officeDocument/2006/relationships/hyperlink" Target="8.%EC%A0%84%EA%B8%B0%EB%B6%84%EC%95%BC/31_%EC%A0%84%EC%B0%A8%EC%84%A0%EB%A1%9C%20%EC%A0%81%ED%95%A9%EC%84%B1%20%EA%B2%80%EC%A6%9D/%EC%B2%B4%ED%81%AC%EB%A6%AC%EC%8A%A4%ED%8A%B8/%EC%A0%84%EC%B0%A8%EC%84%A0%EB%A1%9C%20%EC%A0%81%ED%95%A9%EC%84%B1%20%EA%B2%80%EC%A6%9D_%EC%B2%B4%ED%81%AC%EB%A6%AC%EC%8A%A4%ED%8A%B8.html" TargetMode="External" Id="rId62"/><Relationship Type="http://schemas.openxmlformats.org/officeDocument/2006/relationships/hyperlink" Target="%EB%B6%84%EC%95%BC%EB%B3%84%EC%84%A4%EA%B3%84%EA%B8%B0%EC%A4%80%28%EC%84%A4%EA%B3%84%EC%82%AC%EC%A0%95%EB%A6%AC%29/%EC%A0%84%EA%B8%B0%EB%B6%84%EC%95%BC%20%EC%84%A4%EA%B3%84%EA%B8%B0%EC%A4%80%20%EA%B2%80%ED%86%A0.pdf" TargetMode="External" Id="rId63"/><Relationship Type="http://schemas.openxmlformats.org/officeDocument/2006/relationships/hyperlink" Target="8.%EC%A0%84%EA%B8%B0%EB%B6%84%EC%95%BC/32_%EC%A0%84%EA%B8%B0%20%EC%82%AC%EC%9A%A9%EC%A0%84%EA%B2%80%EC%82%AC%20%28%EC%A0%84%EB%A0%A5_%EC%A0%84%EC%B0%A8%EC%84%A0_%EC%86%A1%EB%B3%80%EC%A0%84%29/%EC%B2%B4%ED%81%AC%EB%A6%AC%EC%8A%A4%ED%8A%B8/%EC%A0%84%EA%B8%B0%20%EC%82%AC%EC%9A%A9%EC%A0%84%EA%B2%80%EC%82%AC%20%28%EC%A0%84%EB%A0%A5_%EC%A0%84%EC%B0%A8%EC%84%A0_%EC%86%A1%EB%B3%80%EC%A0%84%29_%EC%B2%B4%ED%81%AC%EB%A6%AC%EC%8A%A4%ED%8A%B8.html" TargetMode="External" Id="rId64"/></Relationships>
</file>

<file path=xl/worksheets/_rels/sheet9.xml.rels><Relationships xmlns="http://schemas.openxmlformats.org/package/2006/relationships"><Relationship Type="http://schemas.openxmlformats.org/officeDocument/2006/relationships/hyperlink" Target="%EB%B6%84%EC%95%BC%EB%B3%84%EC%84%A4%EA%B3%84%EA%B8%B0%EC%A4%80%28%EC%84%A4%EA%B3%84%EC%82%AC%EC%A0%95%EB%A6%AC%29/%ED%86%B5%EC%8B%A0%EB%B6%84%EC%95%BC%20%EC%84%A4%EA%B3%84%EA%B8%B0%EC%A4%80%20%EA%B2%80%ED%86%A0.pdf" TargetMode="External" Id="rId1"/><Relationship Type="http://schemas.openxmlformats.org/officeDocument/2006/relationships/hyperlink" Target="9.%ED%86%B5%EC%8B%A0%EB%B6%84%EC%95%BC/1_%EC%84%A4%EA%B3%84%EC%A0%81%EC%A0%95%EC%84%B1%20%EA%B2%80%ED%86%A0/%EC%B2%B4%ED%81%AC%EB%A6%AC%EC%8A%A4%ED%8A%B8/9000-2-1_%EC%84%A4%EA%B3%84%EC%A0%81%EC%A0%95%EC%84%B1%20%EA%B2%80%ED%86%A0_%EC%B2%B4%ED%81%AC%EB%A6%AC%EC%8A%A4%ED%8A%B8.html" TargetMode="External" Id="rId2"/><Relationship Type="http://schemas.openxmlformats.org/officeDocument/2006/relationships/hyperlink" Target="%EB%B6%84%EC%95%BC%EB%B3%84%EC%84%A4%EA%B3%84%EA%B8%B0%EC%A4%80%28%EC%84%A4%EA%B3%84%EC%82%AC%EC%A0%95%EB%A6%AC%29/%ED%86%B5%EC%8B%A0%EB%B6%84%EC%95%BC%20%EC%84%A4%EA%B3%84%EA%B8%B0%EC%A4%80%20%EA%B2%80%ED%86%A0.pdf" TargetMode="External" Id="rId3"/><Relationship Type="http://schemas.openxmlformats.org/officeDocument/2006/relationships/hyperlink" Target="9.%ED%86%B5%EC%8B%A0%EB%B6%84%EC%95%BC/2_%EC%B0%A9%EC%88%98%EC%A0%84%EB%9E%B5%20KOM/%EC%B2%B4%ED%81%AC%EB%A6%AC%EC%8A%A4%ED%8A%B8/%EB%B0%9C%EC%A3%BC%EC%A0%84%EB%9E%B5%20KOM_%EC%B2%B4%ED%81%AC%EB%A6%AC%EC%8A%A4%ED%8A%B8.html" TargetMode="External" Id="rId4"/><Relationship Type="http://schemas.openxmlformats.org/officeDocument/2006/relationships/hyperlink" Target="%EB%B6%84%EC%95%BC%EB%B3%84%EC%84%A4%EA%B3%84%EA%B8%B0%EC%A4%80%28%EC%84%A4%EA%B3%84%EC%82%AC%EC%A0%95%EB%A6%AC%29/%ED%86%B5%EC%8B%A0%EB%B6%84%EC%95%BC%20%EC%84%A4%EA%B3%84%EA%B8%B0%EC%A4%80%20%EA%B2%80%ED%86%A0.pdf" TargetMode="External" Id="rId5"/><Relationship Type="http://schemas.openxmlformats.org/officeDocument/2006/relationships/hyperlink" Target="9.%ED%86%B5%EC%8B%A0%EB%B6%84%EC%95%BC/3_%ED%86%A0%EB%AA%A9%20_%20%EA%B1%B4%EC%B6%95%20%EC%9D%B8%ED%84%B0%ED%8E%98%EC%9D%B4%EC%8A%A4%20%ED%98%91%EC%9D%98/%EC%B2%B4%ED%81%AC%EB%A6%AC%EC%8A%A4%ED%8A%B8/9000-2-3_%ED%86%A0%EB%AA%A9%20_%20%EA%B1%B4%EC%B6%95%20%EC%9D%B8%ED%84%B0%ED%8E%98%EC%9D%B4%EC%8A%A4%20%ED%98%91%EC%9D%98_%EC%B2%B4%ED%81%AC%EB%A6%AC%EC%8A%A4%ED%8A%B8.html" TargetMode="External" Id="rId6"/><Relationship Type="http://schemas.openxmlformats.org/officeDocument/2006/relationships/hyperlink" Target="%EB%B6%84%EC%95%BC%EB%B3%84%EC%84%A4%EA%B3%84%EA%B8%B0%EC%A4%80%28%EC%84%A4%EA%B3%84%EC%82%AC%EC%A0%95%EB%A6%AC%29/%ED%86%B5%EC%8B%A0%EB%B6%84%EC%95%BC%20%EC%84%A4%EA%B3%84%EA%B8%B0%EC%A4%80%20%EA%B2%80%ED%86%A0.pdf" TargetMode="External" Id="rId7"/><Relationship Type="http://schemas.openxmlformats.org/officeDocument/2006/relationships/hyperlink" Target="9.%ED%86%B5%EC%8B%A0%EB%B6%84%EC%95%BC/4_%EC%A0%84%EA%B8%B0%20_%20%EC%8B%A0%ED%98%B8%20_%20%EA%B8%B0%EA%B3%84%20_%20PSD%20_%20%EC%B0%A8%EB%9F%89%20%EC%9D%B8%ED%84%B0%ED%8E%98%EC%9D%B4%EC%8A%A4%20%ED%98%91%EC%9D%98/%EC%B2%B4%ED%81%AC%EB%A6%AC%EC%8A%A4%ED%8A%B8/9000-2-4_%EC%A0%84%EA%B8%B0%20_%20%EC%8B%A0%ED%98%B8%20_%20%EA%B8%B0%EA%B3%84%20_%20PSD%20_%20%EC%B0%A8%EB%9F%89%20%EC%9D%B8%ED%84%B0%ED%8E%98%EC%9D%B4%EC%8A%A4%20%ED%98%91%EC%9D%98_%EC%B2%B4%ED%81%AC%EB%A6%AC%EC%8A%A4%ED%8A%B8.html" TargetMode="External" Id="rId8"/><Relationship Type="http://schemas.openxmlformats.org/officeDocument/2006/relationships/hyperlink" Target="%EB%B6%84%EC%95%BC%EB%B3%84%EC%84%A4%EA%B3%84%EA%B8%B0%EC%A4%80%28%EC%84%A4%EA%B3%84%EC%82%AC%EC%A0%95%EB%A6%AC%29/%ED%86%B5%EC%8B%A0%EB%B6%84%EC%95%BC%20%EC%84%A4%EA%B3%84%EA%B8%B0%EC%A4%80%20%EA%B2%80%ED%86%A0.pdf" TargetMode="External" Id="rId9"/><Relationship Type="http://schemas.openxmlformats.org/officeDocument/2006/relationships/hyperlink" Target="9.%ED%86%B5%EC%8B%A0%EB%B6%84%EC%95%BC/5_%ED%86%B5%EC%8B%A0%EC%84%A4%EB%B9%84%20%EC%A0%9C%EC%9E%91%EC%82%AC%20%EC%9D%B8%ED%84%B0%ED%8E%98%EC%9D%B4%EC%8A%A4%20%ED%98%91%EC%9D%98/%EC%B2%B4%ED%81%AC%EB%A6%AC%EC%8A%A4%ED%8A%B8/9000-2-5_%ED%86%B5%EC%8B%A0%EC%84%A4%EB%B9%84%20%EC%A0%9C%EC%9E%91%EC%82%AC%20%EC%9D%B8%ED%84%B0%ED%8E%98%EC%9D%B4%EC%8A%A4%20%ED%98%91%EC%9D%98_%EC%B2%B4%ED%81%AC%EB%A6%AC%EC%8A%A4%ED%8A%B8.html" TargetMode="External" Id="rId10"/><Relationship Type="http://schemas.openxmlformats.org/officeDocument/2006/relationships/hyperlink" Target="%EB%B6%84%EC%95%BC%EB%B3%84%EC%84%A4%EA%B3%84%EA%B8%B0%EC%A4%80%28%EC%84%A4%EA%B3%84%EC%82%AC%EC%A0%95%EB%A6%AC%29/%ED%86%B5%EC%8B%A0%EB%B6%84%EC%95%BC%20%EC%84%A4%EA%B3%84%EA%B8%B0%EC%A4%80%20%EA%B2%80%ED%86%A0.pdf" TargetMode="External" Id="rId11"/><Relationship Type="http://schemas.openxmlformats.org/officeDocument/2006/relationships/hyperlink" Target="9.%ED%86%B5%EC%8B%A0%EB%B6%84%EC%95%BC/6_%EA%B4%80%EC%A0%9C%20%EB%B0%8F%20%EC%9A%B4%EC%98%81%EC%82%AC%20%EC%9D%B8%ED%84%B0%ED%8E%98%EC%9D%B4%EC%8A%A4%20%ED%98%91%EC%9D%98/%EC%B2%B4%ED%81%AC%EB%A6%AC%EC%8A%A4%ED%8A%B8/9000-2-6_%EA%B4%80%EC%A0%9C%20%EB%B0%8F%20%EC%9A%B4%EC%98%81%EC%82%AC%20%EC%9D%B8%ED%84%B0%ED%8E%98%EC%9D%B4%EC%8A%A4%20%ED%98%91%EC%9D%98_%EC%B2%B4%ED%81%AC%EB%A6%AC%EC%8A%A4%ED%8A%B8.html" TargetMode="External" Id="rId12"/><Relationship Type="http://schemas.openxmlformats.org/officeDocument/2006/relationships/hyperlink" Target="%EB%B6%84%EC%95%BC%EB%B3%84%EC%84%A4%EA%B3%84%EA%B8%B0%EC%A4%80%28%EC%84%A4%EA%B3%84%EC%82%AC%EC%A0%95%EB%A6%AC%29/%ED%86%B5%EC%8B%A0%EB%B6%84%EC%95%BC%20%EC%84%A4%EA%B3%84%EA%B8%B0%EC%A4%80%20%EA%B2%80%ED%86%A0.pdf" TargetMode="External" Id="rId13"/><Relationship Type="http://schemas.openxmlformats.org/officeDocument/2006/relationships/hyperlink" Target="9.%ED%86%B5%EC%8B%A0%EB%B6%84%EC%95%BC/7_%EB%B0%9C%EC%A3%BC%EC%B2%98%20%ED%92%88%EC%A7%88%20%EC%9A%94%EA%B5%AC%EC%82%AC%ED%95%AD%20%EA%B2%80%ED%86%A0/%EC%B2%B4%ED%81%AC%EB%A6%AC%EC%8A%A4%ED%8A%B8/9000-2-7_%EB%B0%9C%EC%A3%BC%EC%B2%98%20%ED%92%88%EC%A7%88%20%EC%9A%94%EA%B5%AC%EC%82%AC%ED%95%AD%20%EA%B2%80%ED%86%A0_%EC%B2%B4%ED%81%AC%EB%A6%AC%EC%8A%A4%ED%8A%B8.html" TargetMode="External" Id="rId14"/><Relationship Type="http://schemas.openxmlformats.org/officeDocument/2006/relationships/hyperlink" Target="%EB%B6%84%EC%95%BC%EB%B3%84%EC%84%A4%EA%B3%84%EA%B8%B0%EC%A4%80%28%EC%84%A4%EA%B3%84%EC%82%AC%EC%A0%95%EB%A6%AC%29/%ED%86%B5%EC%8B%A0%EB%B6%84%EC%95%BC%20%EC%84%A4%EA%B3%84%EA%B8%B0%EC%A4%80%20%EA%B2%80%ED%86%A0.pdf" TargetMode="External" Id="rId15"/><Relationship Type="http://schemas.openxmlformats.org/officeDocument/2006/relationships/hyperlink" Target="9.%ED%86%B5%EC%8B%A0%EB%B6%84%EC%95%BC/8_%EC%9E%90%EC%9E%AC%20_%20%EC%9D%B8%EC%9B%90%20_%20%EC%9E%A5%EB%B9%84%20%EB%93%B1%20%ED%88%AC%EC%9E%85%20%EC%82%AC%EC%A0%84%20%EA%B2%80%ED%86%A0/%EC%B2%B4%ED%81%AC%EB%A6%AC%EC%8A%A4%ED%8A%B8/%EC%9E%90%EC%9E%AC%20%EC%9D%B8%EB%A0%A5%20%EC%9E%A5%EB%B9%84%20%EB%93%B1%20%ED%88%AC%EC%9E%85%20%EC%82%AC%EC%A0%84%20%EA%B2%80%ED%86%A0_%EC%B2%B4%ED%81%AC%EB%A6%AC%EC%8A%A4%ED%8A%B8.html" TargetMode="External" Id="rId16"/><Relationship Type="http://schemas.openxmlformats.org/officeDocument/2006/relationships/hyperlink" Target="%EB%B6%84%EC%95%BC%EB%B3%84%EC%84%A4%EA%B3%84%EA%B8%B0%EC%A4%80%28%EC%84%A4%EA%B3%84%EC%82%AC%EC%A0%95%EB%A6%AC%29/%ED%86%B5%EC%8B%A0%EB%B6%84%EC%95%BC%20%EC%84%A4%EA%B3%84%EA%B8%B0%EC%A4%80%20%EA%B2%80%ED%86%A0.pdf" TargetMode="External" Id="rId17"/><Relationship Type="http://schemas.openxmlformats.org/officeDocument/2006/relationships/hyperlink" Target="9.%ED%86%B5%EC%8B%A0%EB%B6%84%EC%95%BC/9_%EC%B0%A9%EC%88%98%20%EC%A0%84%20Big%20Room%20%ED%9A%8C%EC%9D%98/%EC%B2%B4%ED%81%AC%EB%A6%AC%EC%8A%A4%ED%8A%B8/9000-2-9_%EC%B0%A9%EC%88%98%20%EC%A0%84%20Big%20Room%20%ED%9A%8C%EC%9D%98_%EC%B2%B4%ED%81%AC%EB%A6%AC%EC%8A%A4%ED%8A%B8.html" TargetMode="External" Id="rId18"/><Relationship Type="http://schemas.openxmlformats.org/officeDocument/2006/relationships/hyperlink" Target="%EB%B6%84%EC%95%BC%EB%B3%84%EC%84%A4%EA%B3%84%EA%B8%B0%EC%A4%80%28%EC%84%A4%EA%B3%84%EC%82%AC%EC%A0%95%EB%A6%AC%29/%ED%86%B5%EC%8B%A0%EB%B6%84%EC%95%BC%20%EC%84%A4%EA%B3%84%EA%B8%B0%EC%A4%80%20%EA%B2%80%ED%86%A0.pdf" TargetMode="External" Id="rId19"/><Relationship Type="http://schemas.openxmlformats.org/officeDocument/2006/relationships/hyperlink" Target="9.%ED%86%B5%EC%8B%A0%EB%B6%84%EC%95%BC/10_%ED%86%B5%EC%8B%A0%EC%84%A4%EB%B9%84%20%EC%A0%9C%EC%9E%91%20%EC%82%AC%EC%96%91%EC%84%9C%20%EC%9E%91%EC%84%B1%20_%20%EC%8A%B9%EC%9D%B8/%EC%B2%B4%ED%81%AC%EB%A6%AC%EC%8A%A4%ED%8A%B8/9000-2-10_%ED%86%B5%EC%8B%A0%EC%84%A4%EB%B9%84%20%EC%A0%9C%EC%9E%91%20%EC%82%AC%EC%96%91%EC%84%9C%20%EC%9E%91%EC%84%B1%20_%20%EC%8A%B9%EC%9D%B8_%EC%B2%B4%ED%81%AC%EB%A6%AC%EC%8A%A4%ED%8A%B8.html" TargetMode="External" Id="rId20"/><Relationship Type="http://schemas.openxmlformats.org/officeDocument/2006/relationships/hyperlink" Target="%EB%B6%84%EC%95%BC%EB%B3%84%EC%84%A4%EA%B3%84%EA%B8%B0%EC%A4%80%28%EC%84%A4%EA%B3%84%EC%82%AC%EC%A0%95%EB%A6%AC%29/%ED%86%B5%EC%8B%A0%EB%B6%84%EC%95%BC%20%EC%84%A4%EA%B3%84%EA%B8%B0%EC%A4%80%20%EA%B2%80%ED%86%A0.pdf" TargetMode="External" Id="rId21"/><Relationship Type="http://schemas.openxmlformats.org/officeDocument/2006/relationships/hyperlink" Target="9.%ED%86%B5%EC%8B%A0%EB%B6%84%EC%95%BC/11_%EC%8B%9C%EA%B3%B5%20%EA%B3%84%ED%9A%8D%20%EC%88%98%EB%A6%BD%20_%20%EC%8A%B9%EC%9D%B8/%EC%B2%B4%ED%81%AC%EB%A6%AC%EC%8A%A4%ED%8A%B8/9000-2-11_%EC%8B%9C%EA%B3%B5%20%EA%B3%84%ED%9A%8D%20%EC%88%98%EB%A6%BD%20_%20%EC%8A%B9%EC%9D%B8_%EC%B2%B4%ED%81%AC%EB%A6%AC%EC%8A%A4%ED%8A%B8.html" TargetMode="External" Id="rId22"/><Relationship Type="http://schemas.openxmlformats.org/officeDocument/2006/relationships/hyperlink" Target="%EB%B6%84%EC%95%BC%EB%B3%84%EC%84%A4%EA%B3%84%EA%B8%B0%EC%A4%80%28%EC%84%A4%EA%B3%84%EC%82%AC%EC%A0%95%EB%A6%AC%29/%ED%86%B5%EC%8B%A0%EB%B6%84%EC%95%BC%20%EC%84%A4%EA%B3%84%EA%B8%B0%EC%A4%80%20%EA%B2%80%ED%86%A0.pdf" TargetMode="External" Id="rId23"/><Relationship Type="http://schemas.openxmlformats.org/officeDocument/2006/relationships/hyperlink" Target="9.%ED%86%B5%EC%8B%A0%EB%B6%84%EC%95%BC/12_%EC%9E%90%EC%9E%AC%EA%B3%B5%EA%B8%89%EC%9B%90%20%EA%B2%80%ED%86%A0%20%EB%B0%8F%20%EC%8A%B9%EC%9D%B8/%EC%B2%B4%ED%81%AC%EB%A6%AC%EC%8A%A4%ED%8A%B8/9000-2-12_%EC%9E%90%EC%9E%AC%EA%B3%B5%EA%B8%89%EC%9B%90%20%EA%B2%80%ED%86%A0%20%EB%B0%8F%20%EC%8A%B9%EC%9D%B8_%EC%B2%B4%ED%81%AC%EB%A6%AC%EC%8A%A4%ED%8A%B8.html" TargetMode="External" Id="rId24"/><Relationship Type="http://schemas.openxmlformats.org/officeDocument/2006/relationships/hyperlink" Target="%EB%B6%84%EC%95%BC%EB%B3%84%EC%84%A4%EA%B3%84%EA%B8%B0%EC%A4%80%28%EC%84%A4%EA%B3%84%EC%82%AC%EC%A0%95%EB%A6%AC%29/%ED%86%B5%EC%8B%A0%EB%B6%84%EC%95%BC%20%EC%84%A4%EA%B3%84%EA%B8%B0%EC%A4%80%20%EA%B2%80%ED%86%A0.pdf" TargetMode="External" Id="rId25"/><Relationship Type="http://schemas.openxmlformats.org/officeDocument/2006/relationships/hyperlink" Target="9.%ED%86%B5%EC%8B%A0%EB%B6%84%EC%95%BC/13_%ED%86%B5%EC%8B%A0%EC%84%A4%EB%B9%84%20%EA%B3%B5%EC%A0%95%EC%A0%9C%EC%9E%91%20_%20%EC%A0%9C%EC%9E%91%EC%82%AC%20%EA%B3%B5%EC%9E%A5%EA%B2%80%EC%82%AC/%EC%B2%B4%ED%81%AC%EB%A6%AC%EC%8A%A4%ED%8A%B8/9000-2-13_%ED%86%B5%EC%8B%A0%EC%84%A4%EB%B9%84%20%EA%B3%B5%EC%A0%95%EC%A0%9C%EC%9E%91%20_%20%EC%A0%9C%EC%9E%91%EC%82%AC%20%EA%B3%B5%EC%9E%A5%EA%B2%80%EC%82%AC_%EC%B2%B4%ED%81%AC%EB%A6%AC%EC%8A%A4%ED%8A%B8.html" TargetMode="External" Id="rId26"/><Relationship Type="http://schemas.openxmlformats.org/officeDocument/2006/relationships/hyperlink" Target="%EB%B6%84%EC%95%BC%EB%B3%84%EC%84%A4%EA%B3%84%EA%B8%B0%EC%A4%80%28%EC%84%A4%EA%B3%84%EC%82%AC%EC%A0%95%EB%A6%AC%29/%ED%86%B5%EC%8B%A0%EB%B6%84%EC%95%BC%20%EC%84%A4%EA%B3%84%EA%B8%B0%EC%A4%80%20%EA%B2%80%ED%86%A0.pdf" TargetMode="External" Id="rId27"/><Relationship Type="http://schemas.openxmlformats.org/officeDocument/2006/relationships/hyperlink" Target="9.%ED%86%B5%EC%8B%A0%EB%B6%84%EC%95%BC/14_%EB%B3%B8%EA%B3%B5%EC%82%AC%20%EC%A0%84%20%EC%84%A0%ED%96%89%EA%B3%B5%EC%A0%95%20%EC%9D%B8%EC%88%98%EC%9D%B8%EA%B3%84%20%EC%A0%90%EA%B2%80/%EC%B2%B4%ED%81%AC%EB%A6%AC%EC%8A%A4%ED%8A%B8/9000-2-14_%EB%B3%B8%EA%B3%B5%EC%82%AC%20%EC%A0%84%20%EC%84%A0%ED%96%89%EA%B3%B5%EC%A0%95%20%EC%9D%B8%EC%88%98%EC%9D%B8%EA%B3%84%20%EC%A0%90%EA%B2%80_%EC%B2%B4%ED%81%AC%EB%A6%AC%EC%8A%A4%ED%8A%B8.html" TargetMode="External" Id="rId28"/><Relationship Type="http://schemas.openxmlformats.org/officeDocument/2006/relationships/hyperlink" Target="%EB%B6%84%EC%95%BC%EB%B3%84%EC%84%A4%EA%B3%84%EA%B8%B0%EC%A4%80%28%EC%84%A4%EA%B3%84%EC%82%AC%EC%A0%95%EB%A6%AC%29/%ED%86%B5%EC%8B%A0%EB%B6%84%EC%95%BC%20%EC%84%A4%EA%B3%84%EA%B8%B0%EC%A4%80%20%EA%B2%80%ED%86%A0.pdf" TargetMode="External" Id="rId29"/><Relationship Type="http://schemas.openxmlformats.org/officeDocument/2006/relationships/hyperlink" Target="9.%ED%86%B5%EC%8B%A0%EB%B6%84%EC%95%BC/15_%EC%9E%A5%EB%B9%84%EB%B0%98%EC%9E%85%20%EB%B0%8F%20%EC%95%88%EC%A0%84%EA%B5%90%EC%9C%A1/%EC%B2%B4%ED%81%AC%EB%A6%AC%EC%8A%A4%ED%8A%B8/9000-2-15_%EC%9E%A5%EB%B9%84%EB%B0%98%EC%9E%85%20%EB%B0%8F%20%EC%95%88%EC%A0%84%EA%B5%90%EC%9C%A1_%EC%B2%B4%ED%81%AC%EB%A6%AC%EC%8A%A4%ED%8A%B8.html" TargetMode="External" Id="rId30"/><Relationship Type="http://schemas.openxmlformats.org/officeDocument/2006/relationships/hyperlink" Target="%EB%B6%84%EC%95%BC%EB%B3%84%EC%84%A4%EA%B3%84%EA%B8%B0%EC%A4%80%28%EC%84%A4%EA%B3%84%EC%82%AC%EC%A0%95%EB%A6%AC%29/%ED%86%B5%EC%8B%A0%EB%B6%84%EC%95%BC%20%EC%84%A4%EA%B3%84%EA%B8%B0%EC%A4%80%20%EA%B2%80%ED%86%A0.pdf" TargetMode="External" Id="rId31"/><Relationship Type="http://schemas.openxmlformats.org/officeDocument/2006/relationships/hyperlink" Target="9.%ED%86%B5%EC%8B%A0%EB%B6%84%EC%95%BC/16_%EC%9E%90%EC%9E%AC%20%EB%B0%98%EC%9E%85%20%EB%B0%8F%20%EA%B2%80%EC%88%98/%EC%B2%B4%ED%81%AC%EB%A6%AC%EC%8A%A4%ED%8A%B8/9000-2-16_%EC%9E%90%EC%9E%AC%20%EB%B0%98%EC%9E%85%20%EB%B0%8F%20%EA%B2%80%EC%88%98_%EC%B2%B4%ED%81%AC%EB%A6%AC%EC%8A%A4%ED%8A%B8.html" TargetMode="External" Id="rId32"/><Relationship Type="http://schemas.openxmlformats.org/officeDocument/2006/relationships/hyperlink" Target="%EB%B6%84%EC%95%BC%EB%B3%84%EC%84%A4%EA%B3%84%EA%B8%B0%EC%A4%80%28%EC%84%A4%EA%B3%84%EC%82%AC%EC%A0%95%EB%A6%AC%29/%ED%86%B5%EC%8B%A0%EB%B6%84%EC%95%BC%20%EC%84%A4%EA%B3%84%EA%B8%B0%EC%A4%80%20%EA%B2%80%ED%86%A0.pdf" TargetMode="External" Id="rId33"/><Relationship Type="http://schemas.openxmlformats.org/officeDocument/2006/relationships/hyperlink" Target="9.%ED%86%B5%EC%8B%A0%EB%B6%84%EC%95%BC/17_%ED%86%B5%EC%8B%A0%EC%84%A4%EB%B9%84%20%EB%B0%98%EC%9E%85%20%EB%B0%8F%20%EC%84%A4%EC%B9%98/%EC%B2%B4%ED%81%AC%EB%A6%AC%EC%8A%A4%ED%8A%B8/9000-2-17_%ED%86%B5%EC%8B%A0%EC%84%A4%EB%B9%84%20%EB%B0%98%EC%9E%85%20%EB%B0%8F%20%EC%84%A4%EC%B9%98_%EC%B2%B4%ED%81%AC%EB%A6%AC%EC%8A%A4%ED%8A%B8.html" TargetMode="External" Id="rId34"/><Relationship Type="http://schemas.openxmlformats.org/officeDocument/2006/relationships/hyperlink" Target="%EB%B6%84%EC%95%BC%EB%B3%84%EC%84%A4%EA%B3%84%EA%B8%B0%EC%A4%80%28%EC%84%A4%EA%B3%84%EC%82%AC%EC%A0%95%EB%A6%AC%29/%ED%86%B5%EC%8B%A0%EB%B6%84%EC%95%BC%20%EC%84%A4%EA%B3%84%EA%B8%B0%EC%A4%80%20%EA%B2%80%ED%86%A0.pdf" TargetMode="External" Id="rId35"/><Relationship Type="http://schemas.openxmlformats.org/officeDocument/2006/relationships/hyperlink" Target="9.%ED%86%B5%EC%8B%A0%EB%B6%84%EC%95%BC/18_%EA%B4%80%EC%A0%9C%EC%84%A4%EB%B9%84%20%EC%84%A4%EC%B9%98/%EC%B2%B4%ED%81%AC%EB%A6%AC%EC%8A%A4%ED%8A%B8/9000-2-18_%EA%B4%80%EC%A0%9C%EC%84%A4%EB%B9%84%20%EC%84%A4%EC%B9%98_%EC%B2%B4%ED%81%AC%EB%A6%AC%EC%8A%A4%ED%8A%B8.html" TargetMode="External" Id="rId36"/><Relationship Type="http://schemas.openxmlformats.org/officeDocument/2006/relationships/hyperlink" Target="%EB%B6%84%EC%95%BC%EB%B3%84%EC%84%A4%EA%B3%84%EA%B8%B0%EC%A4%80%28%EC%84%A4%EA%B3%84%EC%82%AC%EC%A0%95%EB%A6%AC%29/%ED%86%B5%EC%8B%A0%EB%B6%84%EC%95%BC%20%EC%84%A4%EA%B3%84%EA%B8%B0%EC%A4%80%20%EA%B2%80%ED%86%A0.pdf" TargetMode="External" Id="rId37"/><Relationship Type="http://schemas.openxmlformats.org/officeDocument/2006/relationships/hyperlink" Target="9.%ED%86%B5%EC%8B%A0%EB%B6%84%EC%95%BC/19_%ED%86%B5%EC%8B%A0%EC%8B%9C%EC%8A%A4%ED%85%9C%20%EB%8B%A8%EC%9C%84%EC%8B%9C%ED%97%98/%EC%B2%B4%ED%81%AC%EB%A6%AC%EC%8A%A4%ED%8A%B8/9000-2-19_%ED%86%B5%EC%8B%A0%EC%8B%9C%EC%8A%A4%ED%85%9C%20%EB%8B%A8%EC%9C%84%EC%8B%9C%ED%97%98_%EC%B2%B4%ED%81%AC%EB%A6%AC%EC%8A%A4%ED%8A%B8.html" TargetMode="External" Id="rId38"/><Relationship Type="http://schemas.openxmlformats.org/officeDocument/2006/relationships/hyperlink" Target="%EB%B6%84%EC%95%BC%EB%B3%84%EC%84%A4%EA%B3%84%EA%B8%B0%EC%A4%80%28%EC%84%A4%EA%B3%84%EC%82%AC%EC%A0%95%EB%A6%AC%29/%ED%86%B5%EC%8B%A0%EB%B6%84%EC%95%BC%20%EC%84%A4%EA%B3%84%EA%B8%B0%EC%A4%80%20%EA%B2%80%ED%86%A0.pdf" TargetMode="External" Id="rId39"/><Relationship Type="http://schemas.openxmlformats.org/officeDocument/2006/relationships/hyperlink" Target="9.%ED%86%B5%EC%8B%A0%EB%B6%84%EC%95%BC/20_%ED%86%B5%EC%8B%A0%EC%8B%9C%EC%8A%A4%ED%85%9C%20%ED%86%B5%ED%95%A9%EC%8B%9C%ED%97%98/%EC%B2%B4%ED%81%AC%EB%A6%AC%EC%8A%A4%ED%8A%B8/9000-2-20_%ED%86%B5%EC%8B%A0%EC%8B%9C%EC%8A%A4%ED%85%9C%20%ED%86%B5%ED%95%A9%EC%8B%9C%ED%97%98_%EC%B2%B4%ED%81%AC%EB%A6%AC%EC%8A%A4%ED%8A%B8.html" TargetMode="External" Id="rId40"/><Relationship Type="http://schemas.openxmlformats.org/officeDocument/2006/relationships/hyperlink" Target="%EB%B6%84%EC%95%BC%EB%B3%84%EC%84%A4%EA%B3%84%EA%B8%B0%EC%A4%80%28%EC%84%A4%EA%B3%84%EC%82%AC%EC%A0%95%EB%A6%AC%29/%ED%86%B5%EC%8B%A0%EB%B6%84%EC%95%BC%20%EC%84%A4%EA%B3%84%EA%B8%B0%EC%A4%80%20%EA%B2%80%ED%86%A0.pdf" TargetMode="External" Id="rId41"/><Relationship Type="http://schemas.openxmlformats.org/officeDocument/2006/relationships/hyperlink" Target="9.%ED%86%B5%EC%8B%A0%EB%B6%84%EC%95%BC/21_%EA%B3%B5%EC%A2%85%EB%B3%84%20%EC%8B%9C%ED%97%98/%EC%B2%B4%ED%81%AC%EB%A6%AC%EC%8A%A4%ED%8A%B8/9000-2-21_%EA%B3%B5%EC%A2%85%EB%B3%84%20%EC%8B%9C%ED%97%98_%EC%B2%B4%ED%81%AC%EB%A6%AC%EC%8A%A4%ED%8A%B8.html" TargetMode="External" Id="rId42"/><Relationship Type="http://schemas.openxmlformats.org/officeDocument/2006/relationships/hyperlink" Target="%EB%B6%84%EC%95%BC%EB%B3%84%EC%84%A4%EA%B3%84%EA%B8%B0%EC%A4%80%28%EC%84%A4%EA%B3%84%EC%82%AC%EC%A0%95%EB%A6%AC%29/%ED%86%B5%EC%8B%A0%EB%B6%84%EC%95%BC%20%EC%84%A4%EA%B3%84%EA%B8%B0%EC%A4%80%20%EA%B2%80%ED%86%A0.pdf" TargetMode="External" Id="rId43"/><Relationship Type="http://schemas.openxmlformats.org/officeDocument/2006/relationships/hyperlink" Target="9.%ED%86%B5%EC%8B%A0%EB%B6%84%EC%95%BC/22_%EC%B0%A8%EB%9F%89%20%ED%88%AC%EC%9E%85%20%EC%A0%84%20%EC%A0%90%EA%B2%80/%EC%B2%B4%ED%81%AC%EB%A6%AC%EC%8A%A4%ED%8A%B8/9000-2-22_%EC%B0%A8%EB%9F%89%20%ED%88%AC%EC%9E%85%20%EC%A0%84%20%EC%A0%90%EA%B2%80_%EC%B2%B4%ED%81%AC%EB%A6%AC%EC%8A%A4%ED%8A%B8.html" TargetMode="External" Id="rId44"/><Relationship Type="http://schemas.openxmlformats.org/officeDocument/2006/relationships/hyperlink" Target="%EB%B6%84%EC%95%BC%EB%B3%84%EC%84%A4%EA%B3%84%EA%B8%B0%EC%A4%80%28%EC%84%A4%EA%B3%84%EC%82%AC%EC%A0%95%EB%A6%AC%29/%ED%86%B5%EC%8B%A0%EB%B6%84%EC%95%BC%20%EC%84%A4%EA%B3%84%EA%B8%B0%EC%A4%80%20%EA%B2%80%ED%86%A0.pdf" TargetMode="External" Id="rId45"/><Relationship Type="http://schemas.openxmlformats.org/officeDocument/2006/relationships/hyperlink" Target="9.%ED%86%B5%EC%8B%A0%EB%B6%84%EC%95%BC/23_%EC%B0%A8%EB%9F%89%20%EC%8B%9C%EC%9A%B4%EC%A0%84/%EC%B2%B4%ED%81%AC%EB%A6%AC%EC%8A%A4%ED%8A%B8/9000-2-23_%EC%B0%A8%EB%9F%89%20%EC%8B%9C%EC%9A%B4%EC%A0%84_%EC%B2%B4%ED%81%AC%EB%A6%AC%EC%8A%A4%ED%8A%B8.html" TargetMode="External" Id="rId46"/><Relationship Type="http://schemas.openxmlformats.org/officeDocument/2006/relationships/hyperlink" Target="%EB%B6%84%EC%95%BC%EB%B3%84%EC%84%A4%EA%B3%84%EA%B8%B0%EC%A4%80%28%EC%84%A4%EA%B3%84%EC%82%AC%EC%A0%95%EB%A6%AC%29/%ED%86%B5%EC%8B%A0%EB%B6%84%EC%95%BC%20%EC%84%A4%EA%B3%84%EA%B8%B0%EC%A4%80%20%EA%B2%80%ED%86%A0.pdf" TargetMode="External" Id="rId47"/><Relationship Type="http://schemas.openxmlformats.org/officeDocument/2006/relationships/hyperlink" Target="9.%ED%86%B5%EC%8B%A0%EB%B6%84%EC%95%BC/24_%EC%9A%B4%EC%98%81%EC%9E%90%20%EA%B5%90%EC%9C%A1%EC%8B%9C%ED%96%89/%EC%B2%B4%ED%81%AC%EB%A6%AC%EC%8A%A4%ED%8A%B8/9000-2-24_%EC%9A%B4%EC%98%81%EC%9E%90%20%EA%B5%90%EC%9C%A1%EC%8B%9C%ED%96%89_%EC%B2%B4%ED%81%AC%EB%A6%AC%EC%8A%A4%ED%8A%B8.html" TargetMode="External" Id="rId48"/><Relationship Type="http://schemas.openxmlformats.org/officeDocument/2006/relationships/hyperlink" Target="%EB%B6%84%EC%95%BC%EB%B3%84%EC%84%A4%EA%B3%84%EA%B8%B0%EC%A4%80%28%EC%84%A4%EA%B3%84%EC%82%AC%EC%A0%95%EB%A6%AC%29/%ED%86%B5%EC%8B%A0%EB%B6%84%EC%95%BC%20%EC%84%A4%EA%B3%84%EA%B8%B0%EC%A4%80%20%EA%B2%80%ED%86%A0.pdf" TargetMode="External" Id="rId49"/><Relationship Type="http://schemas.openxmlformats.org/officeDocument/2006/relationships/hyperlink" Target="9.%ED%86%B5%EC%8B%A0%EB%B6%84%EC%95%BC/25_%EC%82%AC%EC%A0%84%EC%A0%90%EA%B2%80/%EC%B2%B4%ED%81%AC%EB%A6%AC%EC%8A%A4%ED%8A%B8/9000-2-25_%EC%82%AC%EC%A0%84%EC%A0%90%EA%B2%80_%EC%B2%B4%ED%81%AC%EB%A6%AC%EC%8A%A4%ED%8A%B8.html" TargetMode="External" Id="rId50"/><Relationship Type="http://schemas.openxmlformats.org/officeDocument/2006/relationships/hyperlink" Target="%EB%B6%84%EC%95%BC%EB%B3%84%EC%84%A4%EA%B3%84%EA%B8%B0%EC%A4%80%28%EC%84%A4%EA%B3%84%EC%82%AC%EC%A0%95%EB%A6%AC%29/%ED%86%B5%EC%8B%A0%EB%B6%84%EC%95%BC%20%EC%84%A4%EA%B3%84%EA%B8%B0%EC%A4%80%20%EA%B2%80%ED%86%A0.pdf" TargetMode="External" Id="rId51"/><Relationship Type="http://schemas.openxmlformats.org/officeDocument/2006/relationships/hyperlink" Target="9.%ED%86%B5%EC%8B%A0%EB%B6%84%EC%95%BC/26_%EC%8B%9C%EC%84%A4%EB%AC%BC%20%EA%B2%80%EC%A6%9D%EC%8B%9C%ED%97%98/%EC%B2%B4%ED%81%AC%EB%A6%AC%EC%8A%A4%ED%8A%B8/9000-2-26_%EC%8B%9C%EC%84%A4%EB%AC%BC%20%EA%B2%80%EC%A6%9D%EC%8B%9C%ED%97%98_%EC%B2%B4%ED%81%AC%EB%A6%AC%EC%8A%A4%ED%8A%B8.html" TargetMode="External" Id="rId52"/><Relationship Type="http://schemas.openxmlformats.org/officeDocument/2006/relationships/hyperlink" Target="%EB%B6%84%EC%95%BC%EB%B3%84%EC%84%A4%EA%B3%84%EA%B8%B0%EC%A4%80%28%EC%84%A4%EA%B3%84%EC%82%AC%EC%A0%95%EB%A6%AC%29/%ED%86%B5%EC%8B%A0%EB%B6%84%EC%95%BC%20%EC%84%A4%EA%B3%84%EA%B8%B0%EC%A4%80%20%EA%B2%80%ED%86%A0.pdf" TargetMode="External" Id="rId53"/><Relationship Type="http://schemas.openxmlformats.org/officeDocument/2006/relationships/hyperlink" Target="9.%ED%86%B5%EC%8B%A0%EB%B6%84%EC%95%BC/27_%EC%98%81%EC%97%85%EC%8B%9C%EC%9A%B4%EC%A0%84/%EC%B2%B4%ED%81%AC%EB%A6%AC%EC%8A%A4%ED%8A%B8/9000-2-27_%EC%98%81%EC%97%85%EC%8B%9C%EC%9A%B4%EC%A0%84_%EC%B2%B4%ED%81%AC%EB%A6%AC%EC%8A%A4%ED%8A%B8.html" TargetMode="External" Id="rId54"/><Relationship Type="http://schemas.openxmlformats.org/officeDocument/2006/relationships/hyperlink" Target="%EB%B6%84%EC%95%BC%EB%B3%84%EC%84%A4%EA%B3%84%EA%B8%B0%EC%A4%80%28%EC%84%A4%EA%B3%84%EC%82%AC%EC%A0%95%EB%A6%AC%29/%ED%86%B5%EC%8B%A0%EB%B6%84%EC%95%BC%20%EC%84%A4%EA%B3%84%EA%B8%B0%EC%A4%80%20%EA%B2%80%ED%86%A0.pdf" TargetMode="External" Id="rId55"/><Relationship Type="http://schemas.openxmlformats.org/officeDocument/2006/relationships/hyperlink" Target="9.%ED%86%B5%EC%8B%A0%EB%B6%84%EC%95%BC/28_%EC%9E%90%EA%B0%80%EC%9A%A9%EC%A0%84%EA%B8%B0%ED%86%B5%EC%8B%A0%EC%84%A4%EB%B9%84%20%EC%84%A4%EC%B9%98%EC%8B%A0%EA%B3%A0/%EC%B2%B4%ED%81%AC%EB%A6%AC%EC%8A%A4%ED%8A%B8/9000-2-28_%EC%9E%90%EA%B0%80%EC%9A%A9%EC%A0%84%EA%B8%B0%ED%86%B5%EC%8B%A0%EC%84%A4%EB%B9%84%20%EC%84%A4%EC%B9%98%EC%8B%A0%EA%B3%A0_%EC%B2%B4%ED%81%AC%EB%A6%AC%EC%8A%A4%ED%8A%B8.html" TargetMode="External" Id="rId56"/><Relationship Type="http://schemas.openxmlformats.org/officeDocument/2006/relationships/hyperlink" Target="%EB%B6%84%EC%95%BC%EB%B3%84%EC%84%A4%EA%B3%84%EA%B8%B0%EC%A4%80%28%EC%84%A4%EA%B3%84%EC%82%AC%EC%A0%95%EB%A6%AC%29/%ED%86%B5%EC%8B%A0%EB%B6%84%EC%95%BC%20%EC%84%A4%EA%B3%84%EA%B8%B0%EC%A4%80%20%EA%B2%80%ED%86%A0.pdf" TargetMode="External" Id="rId57"/><Relationship Type="http://schemas.openxmlformats.org/officeDocument/2006/relationships/hyperlink" Target="9.%ED%86%B5%EC%8B%A0%EB%B6%84%EC%95%BC/29_LTE-R%20%EB%AC%B4%EC%84%A0%EA%B5%AD%20%ED%97%88%EA%B0%80/%EC%B2%B4%ED%81%AC%EB%A6%AC%EC%8A%A4%ED%8A%B8/LTE-R%20%EB%AC%B4%EC%84%A0%EA%B5%AD%20%ED%97%88%EA%B0%80_%EC%B2%B4%ED%81%AC%EB%A6%AC%EC%8A%A4%ED%8A%B8.html" TargetMode="External" Id="rId58"/><Relationship Type="http://schemas.openxmlformats.org/officeDocument/2006/relationships/hyperlink" Target="%EB%B6%84%EC%95%BC%EB%B3%84%EC%84%A4%EA%B3%84%EA%B8%B0%EC%A4%80%28%EC%84%A4%EA%B3%84%EC%82%AC%EC%A0%95%EB%A6%AC%29/%ED%86%B5%EC%8B%A0%EB%B6%84%EC%95%BC%20%EC%84%A4%EA%B3%84%EA%B8%B0%EC%A4%80%20%EA%B2%80%ED%86%A0.pdf" TargetMode="External" Id="rId59"/><Relationship Type="http://schemas.openxmlformats.org/officeDocument/2006/relationships/hyperlink" Target="9.%ED%86%B5%EC%8B%A0%EB%B6%84%EC%95%BC/30_LTE-R%20%EC%83%81%ED%98%B8%EC%9A%B4%EC%9A%A9%EC%84%B1%20%EB%B0%8F%20%EB%B3%B4%EC%95%88%EC%A0%81%ED%95%A9%EC%84%B1%20%EA%B2%80%EC%A6%9D/%EC%B2%B4%ED%81%AC%EB%A6%AC%EC%8A%A4%ED%8A%B8/9000-2-30_LTE-R%20%EC%83%81%ED%98%B8%EC%9A%B4%EC%9A%A9%EC%84%B1%20%EB%B0%8F%20%EB%B3%B4%EC%95%88%EC%A0%81%ED%95%A9%EC%84%B1%20%EA%B2%80%EC%A6%9D_%EC%B2%B4%ED%81%AC%EB%A6%AC%EC%8A%A4%ED%8A%B8.html" TargetMode="External" Id="rId60"/><Relationship Type="http://schemas.openxmlformats.org/officeDocument/2006/relationships/hyperlink" Target="%EB%B6%84%EC%95%BC%EB%B3%84%EC%84%A4%EA%B3%84%EA%B8%B0%EC%A4%80%28%EC%84%A4%EA%B3%84%EC%82%AC%EC%A0%95%EB%A6%AC%29/%ED%86%B5%EC%8B%A0%EB%B6%84%EC%95%BC%20%EC%84%A4%EA%B3%84%EA%B8%B0%EC%A4%80%20%EA%B2%80%ED%86%A0.pdf" TargetMode="External" Id="rId61"/><Relationship Type="http://schemas.openxmlformats.org/officeDocument/2006/relationships/hyperlink" Target="9.%ED%86%B5%EC%8B%A0%EB%B6%84%EC%95%BC/31_%EC%A0%95%EB%B3%B4%ED%86%B5%EC%8B%A0%EC%82%AC%EC%9A%A9%EC%A0%84%EA%B2%80%EC%82%AC/%EC%B2%B4%ED%81%AC%EB%A6%AC%EC%8A%A4%ED%8A%B8/9000-2-31_%EC%A0%95%EB%B3%B4%ED%86%B5%EC%8B%A0%EC%82%AC%EC%9A%A9%EC%A0%84%EA%B2%80%EC%82%AC_%EC%B2%B4%ED%81%AC%EB%A6%AC%EC%8A%A4%ED%8A%B8.html" TargetMode="External" Id="rId62"/><Relationship Type="http://schemas.openxmlformats.org/officeDocument/2006/relationships/hyperlink" Target="%EB%B6%84%EC%95%BC%EB%B3%84%EC%84%A4%EA%B3%84%EA%B8%B0%EC%A4%80%28%EC%84%A4%EA%B3%84%EC%82%AC%EC%A0%95%EB%A6%AC%29/%ED%86%B5%EC%8B%A0%EB%B6%84%EC%95%BC%20%EC%84%A4%EA%B3%84%EA%B8%B0%EC%A4%80%20%EA%B2%80%ED%86%A0.pdf" TargetMode="External" Id="rId63"/><Relationship Type="http://schemas.openxmlformats.org/officeDocument/2006/relationships/hyperlink" Target="9.%ED%86%B5%EC%8B%A0%EB%B6%84%EC%95%BC/32_LTE-R%20%EB%AC%B4%EC%84%A0%EA%B5%AD%20%EC%A4%80%EA%B3%B5%EA%B2%80%EC%82%AC/%EC%B2%B4%ED%81%AC%EB%A6%AC%EC%8A%A4%ED%8A%B8/9000-2-32_LTE-R%20%EB%AC%B4%EC%84%A0%EA%B5%AD%20%EC%A4%80%EA%B3%B5%EA%B2%80%EC%82%AC_%EC%B2%B4%ED%81%AC%EB%A6%AC%EC%8A%A4%ED%8A%B8.html" TargetMode="External" Id="rId64"/></Relationships>
</file>

<file path=xl/worksheets/sheet1.xml><?xml version="1.0" encoding="utf-8"?>
<worksheet xmlns="http://schemas.openxmlformats.org/spreadsheetml/2006/main">
  <sheetPr codeName="Sheet1">
    <tabColor rgb="FFFFFF00"/>
    <outlinePr summaryBelow="1" summaryRight="1"/>
    <pageSetUpPr/>
  </sheetPr>
  <dimension ref="A1:T37"/>
  <sheetViews>
    <sheetView view="pageBreakPreview" zoomScale="55" zoomScaleNormal="40" zoomScaleSheetLayoutView="55" workbookViewId="0">
      <selection activeCell="A1" sqref="A1:XFD1048576"/>
    </sheetView>
  </sheetViews>
  <sheetFormatPr baseColWidth="8" defaultRowHeight="17.4"/>
  <cols>
    <col width="10.3984375" customWidth="1" min="1" max="1"/>
    <col width="10.09765625" customWidth="1" min="2" max="2"/>
    <col width="15" customWidth="1" min="3" max="3"/>
    <col width="16" customWidth="1" min="4" max="8"/>
    <col width="21.19921875" customWidth="1" min="9" max="9"/>
    <col width="20.69921875" customWidth="1" min="10" max="10"/>
    <col width="24.59765625" customWidth="1" min="11" max="11"/>
    <col width="41.8984375" customWidth="1" min="12" max="12"/>
    <col width="25.796875" customWidth="1" min="13" max="13"/>
    <col width="26.796875" customWidth="1" min="14" max="14"/>
    <col width="11.5" customWidth="1" style="1" min="15" max="15"/>
    <col width="53.69921875" customWidth="1" min="16" max="16"/>
    <col width="11.5" customWidth="1" style="1" min="17" max="17"/>
    <col width="50.5" customWidth="1" min="18" max="18"/>
    <col width="11.5" customWidth="1" style="1" min="19" max="19"/>
    <col width="23.69921875" customWidth="1" min="20" max="20"/>
  </cols>
  <sheetData>
    <row r="1" ht="46.8" customHeight="1">
      <c r="A1" s="6" t="inlineStr">
        <is>
          <t>L2 코드</t>
        </is>
      </c>
      <c r="B1" s="6" t="inlineStr">
        <is>
          <t>L3 코드</t>
        </is>
      </c>
      <c r="C1" s="6" t="inlineStr">
        <is>
          <t>L3 대공종명</t>
        </is>
      </c>
      <c r="D1" s="6" t="inlineStr">
        <is>
          <t>L4 코드</t>
        </is>
      </c>
      <c r="E1" s="6" t="inlineStr">
        <is>
          <t>선행</t>
        </is>
      </c>
      <c r="F1" s="6" t="inlineStr">
        <is>
          <t>후행</t>
        </is>
      </c>
      <c r="G1" s="6" t="inlineStr">
        <is>
          <t>일정 (D-Day)</t>
        </is>
      </c>
      <c r="H1" s="6" t="inlineStr">
        <is>
          <t>작업단위 (Level 4 Task/Activity)</t>
        </is>
      </c>
      <c r="I1" s="6" t="inlineStr">
        <is>
          <t>주관</t>
        </is>
      </c>
      <c r="J1" s="6" t="inlineStr">
        <is>
          <t>협업부서</t>
        </is>
      </c>
      <c r="K1" s="6" t="inlineStr">
        <is>
          <t>목적</t>
        </is>
      </c>
      <c r="L1" s="6" t="inlineStr">
        <is>
          <t>방법</t>
        </is>
      </c>
      <c r="M1" s="6" t="inlineStr">
        <is>
          <t>산출물(결과)</t>
        </is>
      </c>
      <c r="N1" s="6" t="inlineStr">
        <is>
          <t>표준서 (Standard) 요약</t>
        </is>
      </c>
      <c r="O1" s="7" t="inlineStr">
        <is>
          <t>표준서 파일 (HTML)</t>
        </is>
      </c>
      <c r="P1" s="6" t="inlineStr">
        <is>
          <t>수행지침 (Guideline) 요약</t>
        </is>
      </c>
      <c r="Q1" s="7" t="inlineStr">
        <is>
          <t>수행지침 파일 (HTML)</t>
        </is>
      </c>
      <c r="R1" s="6" t="inlineStr">
        <is>
          <t>체크리스트 (Checklist) 요약</t>
        </is>
      </c>
      <c r="S1" s="7" t="inlineStr">
        <is>
          <t>체크리스트 파일 (HTML)</t>
        </is>
      </c>
      <c r="T1" s="6" t="inlineStr">
        <is>
          <t>비고</t>
        </is>
      </c>
    </row>
    <row r="2" ht="90" customHeight="1">
      <c r="A2" s="47" t="inlineStr">
        <is>
          <t>9000</t>
        </is>
      </c>
      <c r="B2" s="47" t="inlineStr">
        <is>
          <t>9000-5</t>
        </is>
      </c>
      <c r="C2" s="47" t="inlineStr">
        <is>
          <t>지반조사</t>
        </is>
      </c>
      <c r="D2" s="85" t="inlineStr">
        <is>
          <t>9000-5-1</t>
        </is>
      </c>
      <c r="E2" s="47" t="n"/>
      <c r="F2" s="85" t="inlineStr">
        <is>
          <t>9000-5-2</t>
        </is>
      </c>
      <c r="G2" s="47" t="inlineStr">
        <is>
          <t>D-90 (D-120~D-90)</t>
        </is>
      </c>
      <c r="H2" s="85" t="inlineStr">
        <is>
          <t>발주처 계획 입수(비공식)</t>
        </is>
      </c>
      <c r="I2" s="47" t="inlineStr">
        <is>
          <t>토목사업팀</t>
        </is>
      </c>
      <c r="J2" s="36" t="inlineStr">
        <is>
          <t>지반조사업체, 외부지질전문가 3인이상</t>
        </is>
      </c>
      <c r="K2" s="47" t="inlineStr">
        <is>
          <t>발주처 기본계획 사전 검토</t>
        </is>
      </c>
      <c r="L2" s="49" t="inlineStr">
        <is>
          <t>• 조사설계 용역 기본계획 도서 확보 여부 확인
• 핵심이슈 (미시추 사유, 지층/암반등급 조정여부 등) 확보 여부 확인
• 사업지 연접 지질/지반조사 자료 확보 여부 확인</t>
        </is>
      </c>
      <c r="M2" s="49" t="inlineStr">
        <is>
          <t>발주처 기본계획 보고서</t>
        </is>
      </c>
      <c r="N2" s="49" t="inlineStr">
        <is>
          <t>발주처 기본계획 사전 검토 | 발주처 기본계획 보고서</t>
        </is>
      </c>
      <c r="O2"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 s="49" t="inlineStr">
        <is>
          <t>• 조사설계 용역 기본계획 도서 확보 여부 확인 • 핵심이슈 (미시추 사유, 지층/암반등급 조정여부 등) 확보 여부 확인 • 사업지 연접 지질/지반조사 자료 확보 여부 확인</t>
        </is>
      </c>
      <c r="Q2"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 s="49" t="inlineStr">
        <is>
          <t>1) 발주처 계획 입수(비공식) 적정성을 확인하였는가? 2) 발주처 기본계획 보고서 산출물을 확보하였는가?</t>
        </is>
      </c>
      <c r="S2"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 s="49" t="n"/>
    </row>
    <row r="3" ht="134.4" customHeight="1">
      <c r="A3" s="47" t="inlineStr">
        <is>
          <t>9000</t>
        </is>
      </c>
      <c r="B3" s="47" t="inlineStr">
        <is>
          <t>9000-5</t>
        </is>
      </c>
      <c r="C3" s="47" t="inlineStr">
        <is>
          <t>지반조사</t>
        </is>
      </c>
      <c r="D3" s="85" t="n">
        <v>2593345</v>
      </c>
      <c r="E3" s="85" t="n">
        <v>2593344</v>
      </c>
      <c r="F3" s="85" t="inlineStr">
        <is>
          <t>9000-5-6</t>
        </is>
      </c>
      <c r="G3" s="47" t="inlineStr">
        <is>
          <t>D-60 (D-80~D-60)</t>
        </is>
      </c>
      <c r="H3" s="85" t="inlineStr">
        <is>
          <t>관심프로젝트 선정</t>
        </is>
      </c>
      <c r="I3" s="47" t="inlineStr">
        <is>
          <t>토목사업팀</t>
        </is>
      </c>
      <c r="J3" s="36" t="inlineStr">
        <is>
          <t>포스코
스마트엔지니어링팀</t>
        </is>
      </c>
      <c r="K3" s="47" t="inlineStr">
        <is>
          <t>입수된 발주정보 평가를 통한 관심 Project 선정</t>
        </is>
      </c>
      <c r="L3" s="49" t="inlineStr">
        <is>
          <t>• 해당 프로젝트별 발주처/경쟁동향 / 사업성평가 수행
• 기술형입찰 입찰참여 Guide Line으로 해당 프로젝트 평가</t>
        </is>
      </c>
      <c r="M3" s="49" t="inlineStr">
        <is>
          <t>관심사업 List</t>
        </is>
      </c>
      <c r="N3" s="49" t="inlineStr">
        <is>
          <t>입수된 발주정보 평가를 통한 관심 Project 선정 | 관심사업 List</t>
        </is>
      </c>
      <c r="O3"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 s="49" t="inlineStr">
        <is>
          <t>• 해당 프로젝트별 발주처/경쟁동향 / 사업성평가 수행 • 기술형입찰 입찰참여 Guide Line으로 해당 프로젝트 평가</t>
        </is>
      </c>
      <c r="Q3"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 s="49" t="inlineStr">
        <is>
          <t>1) 관심프로젝트 선정 적정성을 확인하였는가? 2) 관심사업 List 산출물을 확보하였는가?</t>
        </is>
      </c>
      <c r="S3"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 s="49" t="n"/>
    </row>
    <row r="4" ht="110.4" customHeight="1">
      <c r="A4" s="47" t="inlineStr">
        <is>
          <t>9000</t>
        </is>
      </c>
      <c r="B4" s="47" t="inlineStr">
        <is>
          <t>9000-5</t>
        </is>
      </c>
      <c r="C4" s="47" t="inlineStr">
        <is>
          <t>지반조사</t>
        </is>
      </c>
      <c r="D4" s="85" t="n">
        <v>2593346</v>
      </c>
      <c r="E4" s="47" t="inlineStr">
        <is>
          <t>9000-5-2</t>
        </is>
      </c>
      <c r="F4" s="85" t="n"/>
      <c r="G4" s="47" t="inlineStr">
        <is>
          <t>D-60 (D-70~D-60)</t>
        </is>
      </c>
      <c r="H4" s="85" t="inlineStr">
        <is>
          <t>발주처 지반조사 모니터링</t>
        </is>
      </c>
      <c r="I4" s="47" t="inlineStr">
        <is>
          <t>포스코스마트엔지니어링팀</t>
        </is>
      </c>
      <c r="J4" s="36" t="inlineStr">
        <is>
          <t>토목사업팀</t>
        </is>
      </c>
      <c r="K4" s="47" t="inlineStr">
        <is>
          <t>발주처 지반조사 수립업체 파악</t>
        </is>
      </c>
      <c r="L4" s="49" t="inlineStr">
        <is>
          <t>• 발주처 지반조사업체 확인 후 당사 Pool List와 비교
• 발주처 지반조사 업체 확인팀 Contact Point 확보</t>
        </is>
      </c>
      <c r="M4" s="49" t="inlineStr">
        <is>
          <t>발주처 기본계획 수행 List + Contact Point List</t>
        </is>
      </c>
      <c r="N4" s="49" t="inlineStr">
        <is>
          <t>발주처 지반조사 수립업체 파악 | 발주처 기본계획 수행 List + Contact Point List</t>
        </is>
      </c>
      <c r="O4"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4" s="49" t="inlineStr">
        <is>
          <t>• 발주처 지반조사업체 확인 후 당사 Pool List와 비교 • 발주처 지반조사 업체 확인팀 Contact Point 확보</t>
        </is>
      </c>
      <c r="Q4"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4" s="49" t="inlineStr">
        <is>
          <t>1) 발주처 지반조사 모니터링 적정성을 확인하였는가? 2) 발주처 기본계획 수행 List + Contact Point List 산출물을 확보하였는가?</t>
        </is>
      </c>
      <c r="S4"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4" s="49" t="n"/>
    </row>
    <row r="5" ht="96" customHeight="1">
      <c r="A5" s="47" t="inlineStr">
        <is>
          <t>9000</t>
        </is>
      </c>
      <c r="B5" s="47" t="inlineStr">
        <is>
          <t>9000-5</t>
        </is>
      </c>
      <c r="C5" s="47" t="inlineStr">
        <is>
          <t>지반조사</t>
        </is>
      </c>
      <c r="D5" s="85" t="n">
        <v>2593347</v>
      </c>
      <c r="E5" s="64" t="n">
        <v>2593344</v>
      </c>
      <c r="F5" s="85" t="n">
        <v>2593344</v>
      </c>
      <c r="G5" s="47" t="inlineStr">
        <is>
          <t>D-50 (D-60~D-50)</t>
        </is>
      </c>
      <c r="H5" s="85" t="inlineStr">
        <is>
          <t>외부 지질전문가 Pool 관리</t>
        </is>
      </c>
      <c r="I5" s="47" t="inlineStr">
        <is>
          <t>포스코스마트엔지니어링팀</t>
        </is>
      </c>
      <c r="J5" s="36" t="inlineStr">
        <is>
          <t>-</t>
        </is>
      </c>
      <c r="K5" s="47" t="inlineStr">
        <is>
          <t>지반조사 품질향상을 위한 제3자 검증 수행 지반조사 전문가 Pool 관리</t>
        </is>
      </c>
      <c r="L5" s="49" t="inlineStr">
        <is>
          <t>• Academic 전문가와 현장 전문가를 포함한 Pool 구성
• 전문가 Pool의 학력/기술사 등 경력사항(조사 15년) 확인</t>
        </is>
      </c>
      <c r="M5" s="49" t="inlineStr">
        <is>
          <t>외부지질전문가 Pool List</t>
        </is>
      </c>
      <c r="N5" s="49" t="inlineStr">
        <is>
          <t>지반조사 품질향상을 위한 제3자 검증 수행 지반조사 전문가 Pool 관리 | 외부지질전문가 Pool List</t>
        </is>
      </c>
      <c r="O5"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5" s="49" t="inlineStr">
        <is>
          <t>• Academic 전문가와 현장 전문가를 포함한 Pool 구성 • 전문가 Pool의 학력/기술사 등 경력사항(조사 15년) 확인</t>
        </is>
      </c>
      <c r="Q5"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5" s="49" t="inlineStr">
        <is>
          <t>1) 외부 지질전문가 Pool 관리 적정성을 확인하였는가? 2) 외부지질전문가 Pool List 산출물을 확보하였는가?</t>
        </is>
      </c>
      <c r="S5"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5" s="49" t="n"/>
    </row>
    <row r="6" ht="125.4" customHeight="1">
      <c r="A6" s="47" t="inlineStr">
        <is>
          <t>9000</t>
        </is>
      </c>
      <c r="B6" s="47" t="inlineStr">
        <is>
          <t>9000-5</t>
        </is>
      </c>
      <c r="C6" s="47" t="inlineStr">
        <is>
          <t>지반조사</t>
        </is>
      </c>
      <c r="D6" s="85" t="n">
        <v>2593348</v>
      </c>
      <c r="E6" s="47" t="inlineStr">
        <is>
          <t>9000-5-1</t>
        </is>
      </c>
      <c r="F6" s="85" t="inlineStr">
        <is>
          <t>9000-5-3</t>
        </is>
      </c>
      <c r="G6" s="47" t="inlineStr">
        <is>
          <t>D-80 (D-120~D-80)</t>
        </is>
      </c>
      <c r="H6" s="85" t="inlineStr">
        <is>
          <t>지반조사 Pool 관리</t>
        </is>
      </c>
      <c r="I6" s="47" t="inlineStr">
        <is>
          <t>외주구매팀</t>
        </is>
      </c>
      <c r="J6" s="36" t="inlineStr">
        <is>
          <t>포스코스마트엔지니어링팀</t>
        </is>
      </c>
      <c r="K6" s="47" t="inlineStr">
        <is>
          <t>발주처 계획 대응 및 개략 지반조사 결과 사전 예측을 위한 업체 관리</t>
        </is>
      </c>
      <c r="L6" s="49"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M6" s="49" t="inlineStr">
        <is>
          <t>조사업체 POOL/필요시 Update</t>
        </is>
      </c>
      <c r="N6" s="49" t="inlineStr">
        <is>
          <t>발주처 계획 대응 및 개략 지반조사 결과 사전 예측을 위한 업체 관리 | 조사업체 POOL/필요시 Update</t>
        </is>
      </c>
      <c r="O6"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6" s="49"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Q6"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6" s="49" t="inlineStr">
        <is>
          <t>1) 지반조사 Pool 관리 적정성을 확인하였는가? 2) 조사업체 POOL/필요시 Update 산출물을 확보하였는가?</t>
        </is>
      </c>
      <c r="S6"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6" s="49" t="n"/>
    </row>
    <row r="7" ht="172.8" customHeight="1">
      <c r="A7" s="47" t="inlineStr">
        <is>
          <t>9000</t>
        </is>
      </c>
      <c r="B7" s="47" t="inlineStr">
        <is>
          <t>9000-5</t>
        </is>
      </c>
      <c r="C7" s="47" t="inlineStr">
        <is>
          <t>지반조사</t>
        </is>
      </c>
      <c r="D7" s="85" t="n">
        <v>2593350</v>
      </c>
      <c r="E7" s="47" t="inlineStr">
        <is>
          <t>9000-5-7</t>
        </is>
      </c>
      <c r="F7" s="85" t="inlineStr">
        <is>
          <t>9000-5-9</t>
        </is>
      </c>
      <c r="G7" s="47" t="inlineStr">
        <is>
          <t>D-40</t>
        </is>
      </c>
      <c r="H7" s="85" t="inlineStr">
        <is>
          <t>기본계획 지반조사 자료 및 R/O 정보 입수</t>
        </is>
      </c>
      <c r="I7" s="47" t="inlineStr">
        <is>
          <t>지반조사 협력업체</t>
        </is>
      </c>
      <c r="J7" s="36" t="inlineStr">
        <is>
          <t>설계 협력업체</t>
        </is>
      </c>
      <c r="K7" s="47" t="inlineStr">
        <is>
          <t>발주처 기본계획 및 지반조사 결과 사전 획득</t>
        </is>
      </c>
      <c r="L7" s="49" t="inlineStr">
        <is>
          <t>• 기본계획 지반조사결과 및 실시설계 Contact을 통한 자료입수</t>
        </is>
      </c>
      <c r="M7" s="49" t="inlineStr">
        <is>
          <t>발주처 기본계획 보고서 및 지반조사 보고서(비공식)</t>
        </is>
      </c>
      <c r="N7" s="49" t="inlineStr">
        <is>
          <t>발주처 기본계획 및 지반조사 결과 사전 획득 | 발주처 기본계획 보고서 및 지반조사 보고서(비공식)</t>
        </is>
      </c>
      <c r="O7"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7" s="49" t="inlineStr">
        <is>
          <t>• 기본계획 지반조사결과 및 실시설계 Contact을 통한 자료입수</t>
        </is>
      </c>
      <c r="Q7"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7" s="49" t="inlineStr">
        <is>
          <t>1) 기본계획 지반조사 자료 및 R/O 정보 입수 적정성을 확인하였는가? 2) 발주처 기본계획 보고서 및 지반조사 보고서(비공식) 산출물을 확보하였는가?</t>
        </is>
      </c>
      <c r="S7"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7" s="49" t="n"/>
    </row>
    <row r="8" ht="96" customHeight="1">
      <c r="A8" s="47" t="inlineStr">
        <is>
          <t>9000</t>
        </is>
      </c>
      <c r="B8" s="47" t="inlineStr">
        <is>
          <t>9000-5</t>
        </is>
      </c>
      <c r="C8" s="47" t="inlineStr">
        <is>
          <t>지반조사</t>
        </is>
      </c>
      <c r="D8" s="85" t="n">
        <v>2593348</v>
      </c>
      <c r="E8" s="47" t="inlineStr">
        <is>
          <t>9000-5-5</t>
        </is>
      </c>
      <c r="F8" s="85" t="inlineStr">
        <is>
          <t>9000-5-7</t>
        </is>
      </c>
      <c r="G8" s="47" t="inlineStr">
        <is>
          <t>D-65 (D-65~D-55)</t>
        </is>
      </c>
      <c r="H8" s="85" t="inlineStr">
        <is>
          <t>기본계획 지반조사 R/O 검토 (설계, 공정, 기획)</t>
        </is>
      </c>
      <c r="I8" s="47" t="inlineStr">
        <is>
          <t>포스코스마트엔지니어링팀(설계), 토목수행팀(공정), 토목사업지원팀(기획)</t>
        </is>
      </c>
      <c r="J8" s="36" t="inlineStr">
        <is>
          <t>토목견적팀</t>
        </is>
      </c>
      <c r="K8" s="47" t="inlineStr">
        <is>
          <t>발주처 기본계획 지반조사 문제점 검토</t>
        </is>
      </c>
      <c r="L8" s="49"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M8" s="49" t="inlineStr">
        <is>
          <t>기본계획 지반조사 검토서(설계, 공정, 기획)</t>
        </is>
      </c>
      <c r="N8" s="49" t="inlineStr">
        <is>
          <t>발주처 기본계획 지반조사 문제점 검토 | 기본계획 지반조사 검토서(설계, 공정, 기획)</t>
        </is>
      </c>
      <c r="O8"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8" s="49"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Q8"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8" s="49" t="inlineStr">
        <is>
          <t>1) 기본계획 지반조사 R/O 검토 (설계, 공정, 기획) 적정성을 확인하였는가? 2) 기본계획 지반조사 검토서(설계, 공정, 기획) 산출물을 확보하였는가?</t>
        </is>
      </c>
      <c r="S8"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8" s="49" t="n"/>
    </row>
    <row r="9" ht="115.2" customHeight="1">
      <c r="A9" s="47" t="inlineStr">
        <is>
          <t>9000</t>
        </is>
      </c>
      <c r="B9" s="47" t="inlineStr">
        <is>
          <t>9000-5</t>
        </is>
      </c>
      <c r="C9" s="47" t="inlineStr">
        <is>
          <t>지반조사</t>
        </is>
      </c>
      <c r="D9" s="85" t="n">
        <v>2593349</v>
      </c>
      <c r="E9" s="47" t="inlineStr">
        <is>
          <t>9000-5-6</t>
        </is>
      </c>
      <c r="F9" s="85" t="inlineStr">
        <is>
          <t>9000-5-8</t>
        </is>
      </c>
      <c r="G9" s="47" t="inlineStr">
        <is>
          <t>D-40 (D-60~D-40)</t>
        </is>
      </c>
      <c r="H9" s="85" t="inlineStr">
        <is>
          <t>기본계획 지반조사 R/O 종합검토 (원가)</t>
        </is>
      </c>
      <c r="I9" s="47" t="inlineStr">
        <is>
          <t>토목견적팀</t>
        </is>
      </c>
      <c r="J9" s="36" t="inlineStr">
        <is>
          <t>포스코스마트엔지니어링팀(설계), 토목수행팀(공정), 토목사업지원팀(기획)</t>
        </is>
      </c>
      <c r="K9" s="47" t="inlineStr">
        <is>
          <t>발주처 지반조사 문제점 R/O 분석</t>
        </is>
      </c>
      <c r="L9" s="49" t="inlineStr">
        <is>
          <t>• 발주처 기본계획 지반조사 R/O별 Cost effect 분석</t>
        </is>
      </c>
      <c r="M9" s="49" t="inlineStr">
        <is>
          <t>기본계획 지반조사 개략 검토서</t>
        </is>
      </c>
      <c r="N9" s="49" t="inlineStr">
        <is>
          <t>발주처 지반조사 문제점 R/O 분석 | 기본계획 지반조사 개략 검토서</t>
        </is>
      </c>
      <c r="O9"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9" s="49" t="inlineStr">
        <is>
          <t>• 발주처 기본계획 지반조사 R/O별 Cost effect 분석</t>
        </is>
      </c>
      <c r="Q9"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9" s="49" t="inlineStr">
        <is>
          <t>1) 기본계획 지반조사 R/O 종합검토 (원가) 적정성을 확인하였는가? 2) 기본계획 지반조사 개략 검토서 산출물을 확보하였는가?</t>
        </is>
      </c>
      <c r="S9"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9" s="49" t="n"/>
    </row>
    <row r="10" ht="115.2" customHeight="1">
      <c r="A10" s="47" t="inlineStr">
        <is>
          <t>9000</t>
        </is>
      </c>
      <c r="B10" s="47" t="inlineStr">
        <is>
          <t>9000-5</t>
        </is>
      </c>
      <c r="C10" s="47" t="inlineStr">
        <is>
          <t>지반조사</t>
        </is>
      </c>
      <c r="D10" s="85" t="n">
        <v>2593351</v>
      </c>
      <c r="E10" s="47" t="inlineStr">
        <is>
          <t>9000-5-8</t>
        </is>
      </c>
      <c r="F10" s="85" t="inlineStr">
        <is>
          <t>9000-5-10</t>
        </is>
      </c>
      <c r="G10" s="47" t="inlineStr">
        <is>
          <t>D-30</t>
        </is>
      </c>
      <c r="H10" s="85" t="inlineStr">
        <is>
          <t>지반조사 업체 선정</t>
        </is>
      </c>
      <c r="I10" s="47" t="inlineStr">
        <is>
          <t>일반구매팀</t>
        </is>
      </c>
      <c r="J10" s="36" t="inlineStr">
        <is>
          <t>포스코스마트엔지니어링팀</t>
        </is>
      </c>
      <c r="K10" s="47" t="inlineStr">
        <is>
          <t>지반조사업체 Pool 내 최적의 업체 선정</t>
        </is>
      </c>
      <c r="L10" s="49" t="inlineStr">
        <is>
          <t>• 지반조사업체 Pool/실적 검토 및 공종별 적합성 정합 및 견적 본부 연계 검토</t>
        </is>
      </c>
      <c r="M10" s="49" t="inlineStr">
        <is>
          <t>지반조사 입찰 참여 Pool</t>
        </is>
      </c>
      <c r="N10" s="49" t="inlineStr">
        <is>
          <t>지반조사업체 Pool 내 최적의 업체 선정 | 지반조사 입찰 참여 Pool</t>
        </is>
      </c>
      <c r="O10"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0" s="49" t="inlineStr">
        <is>
          <t>• 지반조사업체 Pool/실적 검토 및 공종별 적합성 정합 및 견적 본부 연계 검토</t>
        </is>
      </c>
      <c r="Q10"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0" s="49" t="inlineStr">
        <is>
          <t>1) 지반조사 업체 선정 적정성을 확인하였는가? 2) 지반조사 입찰 참여 Pool 산출물을 확보하였는가?</t>
        </is>
      </c>
      <c r="S10"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0" s="49" t="n"/>
    </row>
    <row r="11" ht="96" customHeight="1">
      <c r="A11" s="47" t="inlineStr">
        <is>
          <t>9000</t>
        </is>
      </c>
      <c r="B11" s="47" t="inlineStr">
        <is>
          <t>9000-5</t>
        </is>
      </c>
      <c r="C11" s="47" t="inlineStr">
        <is>
          <t>지반조사</t>
        </is>
      </c>
      <c r="D11" s="85" t="n">
        <v>2593352</v>
      </c>
      <c r="E11" s="47" t="inlineStr">
        <is>
          <t>9000-5-9</t>
        </is>
      </c>
      <c r="F11" s="85" t="inlineStr">
        <is>
          <t>9000-5-11</t>
        </is>
      </c>
      <c r="G11" s="47" t="inlineStr">
        <is>
          <t>D-30</t>
        </is>
      </c>
      <c r="H11" s="85" t="inlineStr">
        <is>
          <t>지반조사 업체 계약</t>
        </is>
      </c>
      <c r="I11" s="47" t="inlineStr">
        <is>
          <t>일반구매팀</t>
        </is>
      </c>
      <c r="J11" s="36" t="inlineStr">
        <is>
          <t>포스코스마트엔지니어링팀</t>
        </is>
      </c>
      <c r="K11" s="47" t="inlineStr">
        <is>
          <t>지반조사업체 용역 계약</t>
        </is>
      </c>
      <c r="L11" s="49" t="inlineStr">
        <is>
          <t>• 일반구매시스템을 이용한 용역계약</t>
        </is>
      </c>
      <c r="M11" s="49" t="inlineStr">
        <is>
          <t>지반조사 용역 계약서</t>
        </is>
      </c>
      <c r="N11" s="49" t="inlineStr">
        <is>
          <t>지반조사업체 용역 계약 | 지반조사 용역 계약서</t>
        </is>
      </c>
      <c r="O11"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1" s="49" t="inlineStr">
        <is>
          <t>• 일반구매시스템을 이용한 용역계약</t>
        </is>
      </c>
      <c r="Q11"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1" s="49" t="inlineStr">
        <is>
          <t>1) 지반조사 업체 계약 적정성을 확인하였는가? 2) 지반조사 용역 계약서 산출물을 확보하였는가?</t>
        </is>
      </c>
      <c r="S11"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1" s="49" t="n"/>
    </row>
    <row r="12" ht="115.2" customHeight="1">
      <c r="A12" s="47" t="inlineStr">
        <is>
          <t>9000</t>
        </is>
      </c>
      <c r="B12" s="47" t="inlineStr">
        <is>
          <t>9000-5</t>
        </is>
      </c>
      <c r="C12" s="47" t="inlineStr">
        <is>
          <t>지반조사</t>
        </is>
      </c>
      <c r="D12" s="85" t="n">
        <v>2593353</v>
      </c>
      <c r="E12" s="47" t="inlineStr">
        <is>
          <t>9000-5-10</t>
        </is>
      </c>
      <c r="F12" s="85" t="inlineStr">
        <is>
          <t>9000-5-12</t>
        </is>
      </c>
      <c r="G12" s="47" t="inlineStr">
        <is>
          <t>D-30</t>
        </is>
      </c>
      <c r="H12" s="85" t="inlineStr">
        <is>
          <t>지반조사 항목, 수량 및 위치검토</t>
        </is>
      </c>
      <c r="I12" s="47" t="inlineStr">
        <is>
          <t>포스코스마트엔지니어링팀</t>
        </is>
      </c>
      <c r="J12" s="36" t="inlineStr">
        <is>
          <t>지반조사업체</t>
        </is>
      </c>
      <c r="K12" s="47" t="inlineStr">
        <is>
          <t>프로젝트 정합에 부합하는 지반조사 항목 사전조사 수행, 위치 선정</t>
        </is>
      </c>
      <c r="L12" s="49" t="inlineStr">
        <is>
          <t>• 현장답사 수행
• 공종별 실시설계에 준하여 수량 및 위치 검토</t>
        </is>
      </c>
      <c r="M12" s="49" t="inlineStr">
        <is>
          <t>지반조사 계획서</t>
        </is>
      </c>
      <c r="N12" s="49" t="inlineStr">
        <is>
          <t>프로젝트 정합에 부합하는 지반조사 항목 사전조사 수행, 위치 선정 | 지반조사 계획서</t>
        </is>
      </c>
      <c r="O12"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2" s="49" t="inlineStr">
        <is>
          <t>• 현장답사 수행 • 공종별 실시설계에 준하여 수량 및 위치 검토</t>
        </is>
      </c>
      <c r="Q12"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2" s="49" t="inlineStr">
        <is>
          <t>1) 지반조사 항목, 수량 및 위치검토 적정성을 확인하였는가? 2) 지반조사 계획서 산출물을 확보하였는가?</t>
        </is>
      </c>
      <c r="S12"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2" s="49" t="n"/>
    </row>
    <row r="13" ht="96" customHeight="1">
      <c r="A13" s="47" t="inlineStr">
        <is>
          <t>9000</t>
        </is>
      </c>
      <c r="B13" s="47" t="inlineStr">
        <is>
          <t>9000-5</t>
        </is>
      </c>
      <c r="C13" s="47" t="inlineStr">
        <is>
          <t>지반조사</t>
        </is>
      </c>
      <c r="D13" s="85" t="n">
        <v>2593354</v>
      </c>
      <c r="E13" s="47" t="inlineStr">
        <is>
          <t>9000-5-11</t>
        </is>
      </c>
      <c r="F13" s="85" t="inlineStr">
        <is>
          <t>9000-5-13</t>
        </is>
      </c>
      <c r="G13" s="47" t="inlineStr">
        <is>
          <t>D-30</t>
        </is>
      </c>
      <c r="H13" s="85" t="inlineStr">
        <is>
          <t>지반조사계획 적정성 심사의뢰</t>
        </is>
      </c>
      <c r="I13" s="47" t="inlineStr">
        <is>
          <t>외부지질전문가 3인 이상</t>
        </is>
      </c>
      <c r="J13" s="36" t="inlineStr">
        <is>
          <t>포스코스마트엔지니어링팀</t>
        </is>
      </c>
      <c r="K13" s="47" t="inlineStr">
        <is>
          <t>지반조사 항목, 수량 및 위치 적정성 검토</t>
        </is>
      </c>
      <c r="L13" s="49" t="inlineStr">
        <is>
          <t>• 지반조사 계획서 검토 및 검토</t>
        </is>
      </c>
      <c r="M13" s="49" t="inlineStr">
        <is>
          <t>지반조사계획 의견서</t>
        </is>
      </c>
      <c r="N13" s="49" t="inlineStr">
        <is>
          <t>지반조사 항목, 수량 및 위치 적정성 검토 | 지반조사계획 의견서</t>
        </is>
      </c>
      <c r="O13"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3" s="49" t="inlineStr">
        <is>
          <t>• 지반조사 계획서 검토 및 검토</t>
        </is>
      </c>
      <c r="Q13"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3" s="49" t="inlineStr">
        <is>
          <t>1) 지반조사계획 적정성 심사의뢰 적정성을 확인하였는가? 2) 지반조사계획 의견서 산출물을 확보하였는가?</t>
        </is>
      </c>
      <c r="S13"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3" s="49" t="n"/>
    </row>
    <row r="14" ht="96" customHeight="1">
      <c r="A14" s="47" t="inlineStr">
        <is>
          <t>9000</t>
        </is>
      </c>
      <c r="B14" s="47" t="inlineStr">
        <is>
          <t>9000-5</t>
        </is>
      </c>
      <c r="C14" s="47" t="inlineStr">
        <is>
          <t>지반조사</t>
        </is>
      </c>
      <c r="D14" s="85" t="n">
        <v>2593355</v>
      </c>
      <c r="E14" s="47" t="inlineStr">
        <is>
          <t>9000-5-12</t>
        </is>
      </c>
      <c r="F14" s="85" t="inlineStr">
        <is>
          <t>9000-5-14</t>
        </is>
      </c>
      <c r="G14" s="47" t="inlineStr">
        <is>
          <t>D-30</t>
        </is>
      </c>
      <c r="H14" s="85" t="inlineStr">
        <is>
          <t>지반조사 인허가</t>
        </is>
      </c>
      <c r="I14" s="47" t="inlineStr">
        <is>
          <t>지반조사업체</t>
        </is>
      </c>
      <c r="J14" s="36" t="inlineStr">
        <is>
          <t>포스코스마트엔지니어링팀</t>
        </is>
      </c>
      <c r="K14" s="47" t="inlineStr">
        <is>
          <t>지반조사 수행을 위한 인허가 승인</t>
        </is>
      </c>
      <c r="L14" s="49"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M14" s="49" t="inlineStr">
        <is>
          <t>인허가 서류</t>
        </is>
      </c>
      <c r="N14" s="49" t="inlineStr">
        <is>
          <t>지반조사 수행을 위한 인허가 승인 | 인허가 서류</t>
        </is>
      </c>
      <c r="O14"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4" s="49"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Q14"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4" s="49" t="inlineStr">
        <is>
          <t>1) 지반조사 인허가 적정성을 확인하였는가? 2) 인허가 서류 산출물을 확보하였는가?</t>
        </is>
      </c>
      <c r="S14"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4" s="49" t="n"/>
    </row>
    <row r="15" ht="96" customHeight="1">
      <c r="A15" s="47" t="inlineStr">
        <is>
          <t>9000</t>
        </is>
      </c>
      <c r="B15" s="47" t="inlineStr">
        <is>
          <t>9000-5</t>
        </is>
      </c>
      <c r="C15" s="47" t="inlineStr">
        <is>
          <t>지반조사</t>
        </is>
      </c>
      <c r="D15" s="85" t="n">
        <v>2593356</v>
      </c>
      <c r="E15" s="47" t="inlineStr">
        <is>
          <t>9000-5-13</t>
        </is>
      </c>
      <c r="F15" s="85" t="inlineStr">
        <is>
          <t>9000-5-15</t>
        </is>
      </c>
      <c r="G15" s="47" t="inlineStr">
        <is>
          <t>D-30</t>
        </is>
      </c>
      <c r="H15" s="85" t="inlineStr">
        <is>
          <t>지반조사 항목, 수량 및 위치 보완</t>
        </is>
      </c>
      <c r="I15" s="47" t="inlineStr">
        <is>
          <t>포스코스마트엔지니어링팀</t>
        </is>
      </c>
      <c r="J15" s="36" t="inlineStr">
        <is>
          <t>외부지질전문가 3인 이상, 지반조사업체</t>
        </is>
      </c>
      <c r="K15" s="47" t="inlineStr">
        <is>
          <t>외부지질전문가 의견을 반영한 지반조사 계획 확정</t>
        </is>
      </c>
      <c r="L15" s="49" t="inlineStr">
        <is>
          <t>• 외부지질전문가 지반조사 의견 검토
• 입찰설계 지반조사 계획 보완</t>
        </is>
      </c>
      <c r="M15" s="49" t="inlineStr">
        <is>
          <t>지반조사 용역 계약서</t>
        </is>
      </c>
      <c r="N15" s="49" t="inlineStr">
        <is>
          <t>외부지질전문가 의견을 반영한 지반조사 계획 확정 | 지반조사 용역 계약서</t>
        </is>
      </c>
      <c r="O15"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5" s="49" t="inlineStr">
        <is>
          <t>• 외부지질전문가 지반조사 의견 검토 • 입찰설계 지반조사 계획 보완</t>
        </is>
      </c>
      <c r="Q15"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5" s="49" t="inlineStr">
        <is>
          <t>1) 지반조사 항목, 수량 및 위치 보완 적정성을 확인하였는가? 2) 지반조사 용역 계약서 산출물을 확보하였는가?</t>
        </is>
      </c>
      <c r="S15"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5" s="49" t="n"/>
    </row>
    <row r="16" ht="96" customHeight="1">
      <c r="A16" s="47" t="inlineStr">
        <is>
          <t>9000</t>
        </is>
      </c>
      <c r="B16" s="47" t="inlineStr">
        <is>
          <t>9000-5</t>
        </is>
      </c>
      <c r="C16" s="47" t="inlineStr">
        <is>
          <t>지반조사</t>
        </is>
      </c>
      <c r="D16" s="85" t="n">
        <v>2593357</v>
      </c>
      <c r="E16" s="47" t="inlineStr">
        <is>
          <t>9000-5-14</t>
        </is>
      </c>
      <c r="F16" s="85" t="inlineStr">
        <is>
          <t>9000-5-16</t>
        </is>
      </c>
      <c r="G16" s="47" t="inlineStr">
        <is>
          <t>D-30</t>
        </is>
      </c>
      <c r="H16" s="85" t="inlineStr">
        <is>
          <t>지반조사 수행</t>
        </is>
      </c>
      <c r="I16" s="47" t="inlineStr">
        <is>
          <t>지반조사업체</t>
        </is>
      </c>
      <c r="J16" s="36" t="inlineStr">
        <is>
          <t>포스코스마트엔지니어링팀</t>
        </is>
      </c>
      <c r="K16" s="47" t="inlineStr">
        <is>
          <t>과업구간 지반여건 상세 파악</t>
        </is>
      </c>
      <c r="L16" s="49" t="inlineStr">
        <is>
          <t>• 물리탐사 수행(전기 비저항, 탄성파탐사 등)
• 시추조사 및 현장 시험 수행(공내재하시험, 실내전단시험 등)
• 실내시험 수행(요동시험, 입도시험 등)</t>
        </is>
      </c>
      <c r="M16" s="49" t="inlineStr">
        <is>
          <t>지반조사 보고서, 시추 Core 및 샘플</t>
        </is>
      </c>
      <c r="N16" s="49" t="inlineStr">
        <is>
          <t>과업구간 지반여건 상세 파악 | 지반조사 보고서, 시추 Core 및 샘플</t>
        </is>
      </c>
      <c r="O16"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6" s="49" t="inlineStr">
        <is>
          <t>• 물리탐사 수행(전기 비저항, 탄성파탐사 등) • 시추조사 및 현장 시험 수행(공내재하시험, 실내전단시험 등) • 실내시험 수행(요동시험, 입도시험 등)</t>
        </is>
      </c>
      <c r="Q16"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6" s="49" t="inlineStr">
        <is>
          <t>1) 지반조사 수행 적정성을 확인하였는가? 2) 지반조사 보고서, 시추 Core 및 샘플 산출물을 확보하였는가?</t>
        </is>
      </c>
      <c r="S16"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6" s="49" t="n"/>
    </row>
    <row r="17" ht="96" customHeight="1">
      <c r="A17" s="47" t="inlineStr">
        <is>
          <t>9000</t>
        </is>
      </c>
      <c r="B17" s="47" t="inlineStr">
        <is>
          <t>9000-5</t>
        </is>
      </c>
      <c r="C17" s="47" t="inlineStr">
        <is>
          <t>지반조사</t>
        </is>
      </c>
      <c r="D17" s="85" t="n">
        <v>2593358</v>
      </c>
      <c r="E17" s="47" t="inlineStr">
        <is>
          <t>9000-5-17</t>
        </is>
      </c>
      <c r="F17" s="85" t="inlineStr">
        <is>
          <t>9000-5-19</t>
        </is>
      </c>
      <c r="G17" s="47" t="inlineStr">
        <is>
          <t>D-30</t>
        </is>
      </c>
      <c r="H17" s="85" t="inlineStr">
        <is>
          <t>지반조사 수렴 결과 분석</t>
        </is>
      </c>
      <c r="I17" s="47" t="inlineStr">
        <is>
          <t>외부지질전문가 3인 이상</t>
        </is>
      </c>
      <c r="J17" s="36" t="inlineStr">
        <is>
          <t>포스코스마트엔지니어링팀, 지반조사업체</t>
        </is>
      </c>
      <c r="K17" s="47" t="inlineStr">
        <is>
          <t>지반조사 결과 오류 및 지반정수의 적합성 검토</t>
        </is>
      </c>
      <c r="L17" s="49" t="inlineStr">
        <is>
          <t>• 입찰설계 지반조사 보고서 검토
• 시추조사 위치 및 심도의 적정성 검토
• 실내시험 결과 등급 적정성 검토
• 실시설계시 추가지반조사 필요구간 검토</t>
        </is>
      </c>
      <c r="M17" s="49" t="inlineStr">
        <is>
          <t>지반조사 결과 분석 의견서</t>
        </is>
      </c>
      <c r="N17" s="49" t="inlineStr">
        <is>
          <t>지반조사 결과 오류 및 지반정수의 적합성 검토 | 지반조사 결과 분석 의견서</t>
        </is>
      </c>
      <c r="O17"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7" s="49" t="inlineStr">
        <is>
          <t>• 입찰설계 지반조사 보고서 검토 • 시추조사 위치 및 심도의 적정성 검토 • 실내시험 결과 등급 적정성 검토 • 실시설계시 추가지반조사 필요구간 검토</t>
        </is>
      </c>
      <c r="Q17"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7" s="49" t="inlineStr">
        <is>
          <t>1) 지반조사 수렴 결과 분석 적정성을 확인하였는가? 2) 지반조사 결과 분석 의견서 산출물을 확보하였는가?</t>
        </is>
      </c>
      <c r="S17"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7" s="49" t="n"/>
    </row>
    <row r="18" ht="96" customHeight="1">
      <c r="A18" s="47" t="inlineStr">
        <is>
          <t>9000</t>
        </is>
      </c>
      <c r="B18" s="47" t="inlineStr">
        <is>
          <t>9000-5</t>
        </is>
      </c>
      <c r="C18" s="47" t="inlineStr">
        <is>
          <t>지반조사</t>
        </is>
      </c>
      <c r="D18" s="85" t="n">
        <v>2593359</v>
      </c>
      <c r="E18" s="47" t="inlineStr">
        <is>
          <t>9000-5-15</t>
        </is>
      </c>
      <c r="F18" s="85" t="inlineStr">
        <is>
          <t>9000-5-17</t>
        </is>
      </c>
      <c r="G18" s="47" t="inlineStr">
        <is>
          <t>D-30</t>
        </is>
      </c>
      <c r="H18" s="85" t="inlineStr">
        <is>
          <t>입찰설계 지반조사 R/O 검토 (설계, 원가, 공정, 기타)</t>
        </is>
      </c>
      <c r="I18" s="47" t="inlineStr">
        <is>
          <t>토목견적팀(원가), 토목수행팀(공정), 토목사업지원팀(기획)</t>
        </is>
      </c>
      <c r="J18" s="36" t="inlineStr">
        <is>
          <t>포스코스마트엔지니어링팀</t>
        </is>
      </c>
      <c r="K18" s="47" t="inlineStr">
        <is>
          <t>입찰설계 지반조사 결과에 따른 직분야 R/O 및 Cost impact 반영 사항 검토</t>
        </is>
      </c>
      <c r="L18" s="49" t="inlineStr">
        <is>
          <t>• 입찰설계 지반조사 결과 분석을 통한 원가 및 공정 영향 검토
• 미시추 구간 평가 및 공정 Risk 반영 사항 검토
• 지반조건을 고려한 발파공법성 여부 검토</t>
        </is>
      </c>
      <c r="M18" s="49" t="inlineStr">
        <is>
          <t>입찰설계 지반조사 검토서(설계, 원가, 공정, 기타)</t>
        </is>
      </c>
      <c r="N18" s="49" t="inlineStr">
        <is>
          <t>입찰설계 지반조사 결과에 따른 직분야 R/O 및 Cost impact 반영 사항 검토 | 입찰설계 지반조사 검토서(설계, 원가, 공정, 기타)</t>
        </is>
      </c>
      <c r="O18"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8" s="49" t="inlineStr">
        <is>
          <t>• 입찰설계 지반조사 결과 분석을 통한 원가 및 공정 영향 검토 • 미시추 구간 평가 및 공정 Risk 반영 사항 검토 • 지반조건을 고려한 발파공법성 여부 검토</t>
        </is>
      </c>
      <c r="Q18"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8" s="49" t="inlineStr">
        <is>
          <t>1) 입찰설계 지반조사 R/O 검토 (설계, 원가, 공정, 기타) 적정성을 확인하였는가? 2) 입찰설계 지반조사 검토서(설계, 원가, 공정, 기타) 산출물을 확보하였는가?</t>
        </is>
      </c>
      <c r="S18"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8" s="49" t="n"/>
    </row>
    <row r="19" ht="96" customHeight="1">
      <c r="A19" s="47" t="inlineStr">
        <is>
          <t>9000</t>
        </is>
      </c>
      <c r="B19" s="47" t="inlineStr">
        <is>
          <t>9000-5</t>
        </is>
      </c>
      <c r="C19" s="47" t="inlineStr">
        <is>
          <t>지반조사</t>
        </is>
      </c>
      <c r="D19" s="85" t="n">
        <v>2593360</v>
      </c>
      <c r="E19" s="47" t="inlineStr">
        <is>
          <t>9000-5-16</t>
        </is>
      </c>
      <c r="F19" s="85" t="inlineStr">
        <is>
          <t>9000-5-18</t>
        </is>
      </c>
      <c r="G19" s="47" t="inlineStr">
        <is>
          <t>D-30</t>
        </is>
      </c>
      <c r="H19" s="85" t="inlineStr">
        <is>
          <t>지반조사 결과 R/O 종합검토</t>
        </is>
      </c>
      <c r="I19" s="47" t="inlineStr">
        <is>
          <t>포스코스마트엔지니어링팀</t>
        </is>
      </c>
      <c r="J19" s="36" t="inlineStr">
        <is>
          <t>토목견적팀(원가), 토목수행팀(공정), 토목사업지원팀(기획)</t>
        </is>
      </c>
      <c r="K19" s="47" t="inlineStr">
        <is>
          <t>원가 및 공정 검토 결과에 따른 입찰설계 R/O 최종 확정</t>
        </is>
      </c>
      <c r="L19" s="49" t="inlineStr">
        <is>
          <t>• 입찰설계 지반조사 R/O별 Cost effect 분석
• 유사사업 L/L 분석, R/P 검토를 통한 실시설계시 고려사항 검토</t>
        </is>
      </c>
      <c r="M19" s="49" t="inlineStr">
        <is>
          <t>입찰설계 R/O 검토서</t>
        </is>
      </c>
      <c r="N19" s="49" t="inlineStr">
        <is>
          <t>원가 및 공정 검토 결과에 따른 입찰설계 R/O 최종 확정 | 입찰설계 R/O 검토서</t>
        </is>
      </c>
      <c r="O19"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19" s="49" t="inlineStr">
        <is>
          <t>• 입찰설계 지반조사 R/O별 Cost effect 분석 • 유사사업 L/L 분석, R/P 검토를 통한 실시설계시 고려사항 검토</t>
        </is>
      </c>
      <c r="Q19"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19" s="49" t="inlineStr">
        <is>
          <t>1) 지반조사 결과 R/O 종합검토 적정성을 확인하였는가? 2) 입찰설계 R/O 검토서 산출물을 확보하였는가?</t>
        </is>
      </c>
      <c r="S19"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19" s="49" t="n"/>
    </row>
    <row r="20" ht="96" customHeight="1">
      <c r="A20" s="47" t="inlineStr">
        <is>
          <t>9000</t>
        </is>
      </c>
      <c r="B20" s="47" t="inlineStr">
        <is>
          <t>9000-5</t>
        </is>
      </c>
      <c r="C20" s="47" t="inlineStr">
        <is>
          <t>지반조사</t>
        </is>
      </c>
      <c r="D20" s="85" t="n">
        <v>2593361</v>
      </c>
      <c r="E20" s="47" t="inlineStr">
        <is>
          <t>9000-5-18</t>
        </is>
      </c>
      <c r="F20" s="85" t="inlineStr">
        <is>
          <t>9000-5-20</t>
        </is>
      </c>
      <c r="G20" s="47" t="inlineStr">
        <is>
          <t>D-30</t>
        </is>
      </c>
      <c r="H20" s="85" t="inlineStr">
        <is>
          <t>REM 수립</t>
        </is>
      </c>
      <c r="I20" s="47" t="inlineStr">
        <is>
          <t>포스코스마트엔지니어링팀</t>
        </is>
      </c>
      <c r="J20" s="36" t="inlineStr">
        <is>
          <t>토목견적팀, 토목사업지원팀</t>
        </is>
      </c>
      <c r="K20" s="47" t="inlineStr">
        <is>
          <t>REM 차트 작성(회사의 Core Risk, T/C 공정검토 결과, 경쟁사 동향, 발주 경향) 및 보고</t>
        </is>
      </c>
      <c r="L20" s="49" t="inlineStr">
        <is>
          <t>• Risk Profiling/Merge 방안 검토
• 공정 착공성 검토 및 T/C 검토
• 설계차별화 및 Idea Frame 검토</t>
        </is>
      </c>
      <c r="M20" s="49" t="inlineStr">
        <is>
          <t>REM 회의록</t>
        </is>
      </c>
      <c r="N20" s="49" t="inlineStr">
        <is>
          <t>REM 차트 작성(회사의 Core Risk, T/C 공정검토 결과, 경쟁사 동향, 발주 경향) 및 보고 | REM 회의록</t>
        </is>
      </c>
      <c r="O20"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0" s="49" t="inlineStr">
        <is>
          <t>• Risk Profiling/Merge 방안 검토 • 공정 착공성 검토 및 T/C 검토 • 설계차별화 및 Idea Frame 검토</t>
        </is>
      </c>
      <c r="Q20"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0" s="49" t="inlineStr">
        <is>
          <t>1) REM 수립 적정성을 확인하였는가? 2) REM 회의록 산출물을 확보하였는가?</t>
        </is>
      </c>
      <c r="S20"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0" s="49" t="n"/>
    </row>
    <row r="21" ht="96" customHeight="1">
      <c r="A21" s="47" t="inlineStr">
        <is>
          <t>9000</t>
        </is>
      </c>
      <c r="B21" s="47" t="inlineStr">
        <is>
          <t>9000-5</t>
        </is>
      </c>
      <c r="C21" s="47" t="inlineStr">
        <is>
          <t>지반조사</t>
        </is>
      </c>
      <c r="D21" s="85" t="n">
        <v>2593362</v>
      </c>
      <c r="E21" s="47" t="inlineStr">
        <is>
          <t>9000-5-19</t>
        </is>
      </c>
      <c r="F21" s="85" t="inlineStr">
        <is>
          <t>9000-5-21</t>
        </is>
      </c>
      <c r="G21" s="47" t="inlineStr">
        <is>
          <t>D-20</t>
        </is>
      </c>
      <c r="H21" s="85" t="inlineStr">
        <is>
          <t>추가지반조사 계획 수립</t>
        </is>
      </c>
      <c r="I21" s="47" t="inlineStr">
        <is>
          <t>포스코스마트엔지니어링팀</t>
        </is>
      </c>
      <c r="J21" s="36" t="inlineStr">
        <is>
          <t>토목견적팀(원가), 토목수행팀(공정), 토목사업지원팀(기획)</t>
        </is>
      </c>
      <c r="K21" s="47" t="inlineStr">
        <is>
          <t>R/O 분석 결과에 기반한 추가지반조사 항목 도출</t>
        </is>
      </c>
      <c r="L21" s="49" t="inlineStr">
        <is>
          <t>• 지반조사 수렴 결과 분석보고서 검토
• 지반조사 결과 R/O 종합검토 결과 검토</t>
        </is>
      </c>
      <c r="M21" s="49" t="inlineStr">
        <is>
          <t>추가지반조사 List</t>
        </is>
      </c>
      <c r="N21" s="49" t="inlineStr">
        <is>
          <t>R/O 분석 결과에 기반한 추가지반조사 항목 도출 | 추가지반조사 List</t>
        </is>
      </c>
      <c r="O21"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1" s="49" t="inlineStr">
        <is>
          <t>• 지반조사 수렴 결과 분석보고서 검토 • 지반조사 결과 R/O 종합검토 결과 검토</t>
        </is>
      </c>
      <c r="Q21"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1" s="49" t="inlineStr">
        <is>
          <t>1) 추가지반조사 계획 수립 적정성을 확인하였는가? 2) 추가지반조사 List 산출물을 확보하였는가?</t>
        </is>
      </c>
      <c r="S21"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1" s="49" t="n"/>
    </row>
    <row r="22" ht="96" customHeight="1">
      <c r="A22" s="47" t="inlineStr">
        <is>
          <t>9000</t>
        </is>
      </c>
      <c r="B22" s="47" t="inlineStr">
        <is>
          <t>9000-5</t>
        </is>
      </c>
      <c r="C22" s="47" t="inlineStr">
        <is>
          <t>지반조사</t>
        </is>
      </c>
      <c r="D22" s="85" t="n">
        <v>2593363</v>
      </c>
      <c r="E22" s="47" t="inlineStr">
        <is>
          <t>9000-5-20</t>
        </is>
      </c>
      <c r="F22" s="85" t="inlineStr">
        <is>
          <t>9000-5-22</t>
        </is>
      </c>
      <c r="G22" s="47" t="inlineStr">
        <is>
          <t>D-10</t>
        </is>
      </c>
      <c r="H22" s="85" t="inlineStr">
        <is>
          <t>3D GPR탐사 장비 사양(차량형) 검토</t>
        </is>
      </c>
      <c r="I22" s="47" t="inlineStr">
        <is>
          <t>현장 공무팀</t>
        </is>
      </c>
      <c r="J22" s="36" t="inlineStr">
        <is>
          <t>현장 공사팀</t>
        </is>
      </c>
      <c r="K22" s="47" t="inlineStr">
        <is>
          <t>적정 추가지반조사 규명을 위한 장비 사양 검토</t>
        </is>
      </c>
      <c r="L22" s="49"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M22" s="49" t="inlineStr">
        <is>
          <t>-</t>
        </is>
      </c>
      <c r="N22" s="49" t="inlineStr">
        <is>
          <t>적정 추가지반조사 규명을 위한 장비 사양 검토 | -</t>
        </is>
      </c>
      <c r="O22"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2" s="49" t="inlineStr">
        <is>
          <t>• 3D GPR탐사 장비 사양(차량형) - 3D Radar(노르웨이)_200~3000Hz, 2.0m~3.0m : 하상도 높음 - MIRA(스웨덴)_400~1300Hz, 1.0m~2.0m : 정밀한 입체 형상 - St...</t>
        </is>
      </c>
      <c r="Q22"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2" s="49" t="inlineStr">
        <is>
          <t>1) 3D GPR탐사 장비 사양(차량형) 검토 적정성을 확인하였는가? 2) - 산출물을 확보하였는가?</t>
        </is>
      </c>
      <c r="S22"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2" s="49" t="n"/>
    </row>
    <row r="23" ht="96" customHeight="1">
      <c r="A23" s="47" t="inlineStr">
        <is>
          <t>9000</t>
        </is>
      </c>
      <c r="B23" s="47" t="inlineStr">
        <is>
          <t>9000-5</t>
        </is>
      </c>
      <c r="C23" s="47" t="inlineStr">
        <is>
          <t>지반조사</t>
        </is>
      </c>
      <c r="D23" s="85" t="n">
        <v>2593364</v>
      </c>
      <c r="E23" s="47" t="inlineStr">
        <is>
          <t>9000-5-21</t>
        </is>
      </c>
      <c r="F23" s="85" t="inlineStr">
        <is>
          <t>9000-5-23</t>
        </is>
      </c>
      <c r="G23" s="47" t="inlineStr">
        <is>
          <t>D+10~30</t>
        </is>
      </c>
      <c r="H23" s="85" t="inlineStr">
        <is>
          <t>ECRM 수립</t>
        </is>
      </c>
      <c r="I23" s="47" t="inlineStr">
        <is>
          <t>토목견적팀(원가)</t>
        </is>
      </c>
      <c r="J23" s="36" t="inlineStr">
        <is>
          <t>포스코스마트엔지니어링팀, 토목수행팀, 토목사업지원팀</t>
        </is>
      </c>
      <c r="K23" s="47" t="inlineStr">
        <is>
          <t>입찰설계 지반조사 결과에 따른 직분야 R/O 및 Cost impact 반영 사항 검토</t>
        </is>
      </c>
      <c r="L23" s="49" t="inlineStr">
        <is>
          <t>• 입찰설계 지반조사 결과 분석을 통한 원가 및 공정 영향 검토
• 미시추 구간 평가 및 공정 Risk 반영 사항 검토
• 지반조건을 고려한 발파공법성 여부 검토</t>
        </is>
      </c>
      <c r="M23" s="49" t="inlineStr">
        <is>
          <t>입찰설계 지반조사 검토서(설계, 원가, 공정, 기타)</t>
        </is>
      </c>
      <c r="N23" s="49" t="inlineStr">
        <is>
          <t>입찰설계 지반조사 결과에 따른 직분야 R/O 및 Cost impact 반영 사항 검토 | 입찰설계 지반조사 검토서(설계, 원가, 공정, 기타)</t>
        </is>
      </c>
      <c r="O23"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3" s="49" t="inlineStr">
        <is>
          <t>• 입찰설계 지반조사 결과 분석을 통한 원가 및 공정 영향 검토 • 미시추 구간 평가 및 공정 Risk 반영 사항 검토 • 지반조건을 고려한 발파공법성 여부 검토</t>
        </is>
      </c>
      <c r="Q23"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3" s="49" t="inlineStr">
        <is>
          <t>1) ECRM 수립 적정성을 확인하였는가? 2) 입찰설계 지반조사 검토서(설계, 원가, 공정, 기타) 산출물을 확보하였는가?</t>
        </is>
      </c>
      <c r="S23"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3" s="49" t="n"/>
    </row>
    <row r="24" ht="96" customHeight="1">
      <c r="A24" s="47" t="inlineStr">
        <is>
          <t>9000</t>
        </is>
      </c>
      <c r="B24" s="47" t="inlineStr">
        <is>
          <t>9000-5</t>
        </is>
      </c>
      <c r="C24" s="47" t="inlineStr">
        <is>
          <t>지반조사</t>
        </is>
      </c>
      <c r="D24" s="85" t="n">
        <v>2593365</v>
      </c>
      <c r="E24" s="47" t="inlineStr">
        <is>
          <t>9000-5-22</t>
        </is>
      </c>
      <c r="F24" s="85" t="inlineStr">
        <is>
          <t>9000-5-24</t>
        </is>
      </c>
      <c r="G24" s="47" t="inlineStr">
        <is>
          <t>D+10~25</t>
        </is>
      </c>
      <c r="H24" s="85" t="inlineStr">
        <is>
          <t>최종 Cost 검토 / 입찰</t>
        </is>
      </c>
      <c r="I24" s="47" t="inlineStr">
        <is>
          <t>토목견적팀</t>
        </is>
      </c>
      <c r="J24" s="36" t="inlineStr">
        <is>
          <t>-</t>
        </is>
      </c>
      <c r="K24" s="47" t="inlineStr">
        <is>
          <t>입찰</t>
        </is>
      </c>
      <c r="L24" s="49" t="inlineStr">
        <is>
          <t>• 최종 R/O를 반영한 투찰내역서 작성</t>
        </is>
      </c>
      <c r="M24" s="49" t="inlineStr">
        <is>
          <t>투찰내역서</t>
        </is>
      </c>
      <c r="N24" s="49" t="inlineStr">
        <is>
          <t>입찰 | 투찰내역서</t>
        </is>
      </c>
      <c r="O24"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4" s="49" t="inlineStr">
        <is>
          <t>• 최종 R/O를 반영한 투찰내역서 작성</t>
        </is>
      </c>
      <c r="Q24"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4" s="49" t="inlineStr">
        <is>
          <t>1) 최종 Cost 검토 / 입찰 적정성을 확인하였는가? 2) 투찰내역서 산출물을 확보하였는가?</t>
        </is>
      </c>
      <c r="S24"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4" s="49" t="n"/>
    </row>
    <row r="25" ht="96" customHeight="1">
      <c r="A25" s="47" t="inlineStr">
        <is>
          <t>9000</t>
        </is>
      </c>
      <c r="B25" s="47" t="inlineStr">
        <is>
          <t>9000-5</t>
        </is>
      </c>
      <c r="C25" s="47" t="inlineStr">
        <is>
          <t>지반조사</t>
        </is>
      </c>
      <c r="D25" s="85" t="n">
        <v>2593366</v>
      </c>
      <c r="E25" s="47" t="inlineStr">
        <is>
          <t>9000-5-23</t>
        </is>
      </c>
      <c r="F25" s="85" t="inlineStr">
        <is>
          <t>9000-5-25</t>
        </is>
      </c>
      <c r="G25" s="47" t="inlineStr">
        <is>
          <t>D+10~30</t>
        </is>
      </c>
      <c r="H25" s="85" t="inlineStr">
        <is>
          <t>입찰설계 현장 인수인계</t>
        </is>
      </c>
      <c r="I25" s="47" t="inlineStr">
        <is>
          <t>현장소장</t>
        </is>
      </c>
      <c r="J25" s="36" t="inlineStr">
        <is>
          <t>토목수행팀</t>
        </is>
      </c>
      <c r="K25" s="47" t="inlineStr">
        <is>
          <t>지반조사 포함 전체 R/O 승계자료 인수인계 및 추가지반조사 계획 공유</t>
        </is>
      </c>
      <c r="L25" s="49" t="inlineStr">
        <is>
          <t>• 최종 R/O 결과 및 입찰도서 인출</t>
        </is>
      </c>
      <c r="M25" s="49" t="inlineStr">
        <is>
          <t>인수인계서</t>
        </is>
      </c>
      <c r="N25" s="49" t="inlineStr">
        <is>
          <t>지반조사 포함 전체 R/O 승계자료 인수인계 및 추가지반조사 계획 공유 | 인수인계서</t>
        </is>
      </c>
      <c r="O25"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5" s="49" t="inlineStr">
        <is>
          <t>• 최종 R/O 결과 및 입찰도서 인출</t>
        </is>
      </c>
      <c r="Q25"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5" s="49" t="inlineStr">
        <is>
          <t>1) 입찰설계 현장 인수인계 적정성을 확인하였는가? 2) 인수인계서 산출물을 확보하였는가?</t>
        </is>
      </c>
      <c r="S25"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5" s="49" t="n"/>
    </row>
    <row r="26" ht="96" customHeight="1">
      <c r="A26" s="47" t="inlineStr">
        <is>
          <t>9000</t>
        </is>
      </c>
      <c r="B26" s="47" t="inlineStr">
        <is>
          <t>9000-5</t>
        </is>
      </c>
      <c r="C26" s="47" t="inlineStr">
        <is>
          <t>지반조사</t>
        </is>
      </c>
      <c r="D26" s="85" t="n">
        <v>2593367</v>
      </c>
      <c r="E26" s="47" t="inlineStr">
        <is>
          <t>9000-5-24</t>
        </is>
      </c>
      <c r="F26" s="85" t="inlineStr">
        <is>
          <t>9000-5-26</t>
        </is>
      </c>
      <c r="G26" s="47" t="inlineStr">
        <is>
          <t>D+10~30</t>
        </is>
      </c>
      <c r="H26" s="85" t="inlineStr">
        <is>
          <t>추가지반조사 수행</t>
        </is>
      </c>
      <c r="I26" s="47" t="inlineStr">
        <is>
          <t>지반조사업체</t>
        </is>
      </c>
      <c r="J26" s="36" t="inlineStr">
        <is>
          <t>현장 공사팀/공무팀, 포스코스마트엔지니어링팀, 토목수행팀</t>
        </is>
      </c>
      <c r="K26" s="47" t="inlineStr">
        <is>
          <t>미시추구간 지반조사 수행을 통한 지반 Risk Hedge</t>
        </is>
      </c>
      <c r="L26" s="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M26" s="49" t="inlineStr">
        <is>
          <t>추가 지반조사 보고서</t>
        </is>
      </c>
      <c r="N26" s="49" t="inlineStr">
        <is>
          <t>미시추구간 지반조사 수행을 통한 지반 Risk Hedge | 추가 지반조사 보고서</t>
        </is>
      </c>
      <c r="O26"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6" s="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Q26"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6" s="49" t="inlineStr">
        <is>
          <t>1) 추가지반조사 수행 적정성을 확인하였는가? 2) 추가 지반조사 보고서 산출물을 확보하였는가?</t>
        </is>
      </c>
      <c r="S26"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6" s="49" t="n"/>
    </row>
    <row r="27" ht="96" customHeight="1">
      <c r="A27" s="47" t="inlineStr">
        <is>
          <t>9000</t>
        </is>
      </c>
      <c r="B27" s="47" t="inlineStr">
        <is>
          <t>9000-5</t>
        </is>
      </c>
      <c r="C27" s="47" t="inlineStr">
        <is>
          <t>지반조사</t>
        </is>
      </c>
      <c r="D27" s="85" t="n">
        <v>2593368</v>
      </c>
      <c r="E27" s="47" t="inlineStr">
        <is>
          <t>9000-5-25</t>
        </is>
      </c>
      <c r="F27" s="85" t="inlineStr">
        <is>
          <t>9000-5-27</t>
        </is>
      </c>
      <c r="G27" s="47" t="inlineStr">
        <is>
          <t>D+10~30</t>
        </is>
      </c>
      <c r="H27" s="85" t="inlineStr">
        <is>
          <t>추가지반조사 결과 분석</t>
        </is>
      </c>
      <c r="I27" s="47" t="inlineStr">
        <is>
          <t>외부지질전문가 3인 이상</t>
        </is>
      </c>
      <c r="J27" s="36" t="inlineStr">
        <is>
          <t>현장 공사팀/공무팀, 포스코스마트엔지니어링팀, 토목수행팀</t>
        </is>
      </c>
      <c r="K27" s="47" t="inlineStr">
        <is>
          <t>추가지반조사 결과에 기반한 최종 R/O 확정</t>
        </is>
      </c>
      <c r="L27" s="49" t="inlineStr">
        <is>
          <t>• 외부전문가 검토 통한 지반특성 최종 Cross-check 확인
• 입찰설계 지반조사 대비 지반특성 변경구간 제원도 확인</t>
        </is>
      </c>
      <c r="M27" s="49" t="inlineStr">
        <is>
          <t>추가 지반조사결과 종합보고서</t>
        </is>
      </c>
      <c r="N27" s="49" t="inlineStr">
        <is>
          <t>추가지반조사 결과에 기반한 최종 R/O 확정 | 추가 지반조사결과 종합보고서</t>
        </is>
      </c>
      <c r="O27"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7" s="49" t="inlineStr">
        <is>
          <t>• 외부전문가 검토 통한 지반특성 최종 Cross-check 확인 • 입찰설계 지반조사 대비 지반특성 변경구간 제원도 확인</t>
        </is>
      </c>
      <c r="Q27"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7" s="49" t="inlineStr">
        <is>
          <t>1) 추가지반조사 결과 분석 적정성을 확인하였는가? 2) 추가 지반조사결과 종합보고서 산출물을 확보하였는가?</t>
        </is>
      </c>
      <c r="S27"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7" s="49" t="n"/>
    </row>
    <row r="28" ht="96" customHeight="1">
      <c r="A28" s="47" t="inlineStr">
        <is>
          <t>9000</t>
        </is>
      </c>
      <c r="B28" s="47" t="inlineStr">
        <is>
          <t>9000-5</t>
        </is>
      </c>
      <c r="C28" s="47" t="inlineStr">
        <is>
          <t>지반조사</t>
        </is>
      </c>
      <c r="D28" s="85" t="n">
        <v>2593369</v>
      </c>
      <c r="E28" s="47" t="inlineStr">
        <is>
          <t>9000-5-26</t>
        </is>
      </c>
      <c r="F28" s="85" t="inlineStr">
        <is>
          <t>9000-5-28</t>
        </is>
      </c>
      <c r="G28" s="47" t="inlineStr">
        <is>
          <t>D+10~30</t>
        </is>
      </c>
      <c r="H28" s="85" t="inlineStr">
        <is>
          <t>실시설계 지반조사 R/O 검토 (설계, 원가, 공정, 기타)</t>
        </is>
      </c>
      <c r="I28" s="47" t="inlineStr">
        <is>
          <t>포스코스마트엔지니어링팀</t>
        </is>
      </c>
      <c r="J28" s="36" t="inlineStr">
        <is>
          <t>현장 공사팀/품질팀/공무팀, 토목견적팀(원가), 토목수행팀(공정), 토목사업지원팀(기획)</t>
        </is>
      </c>
      <c r="K28" s="47" t="inlineStr">
        <is>
          <t>실시설계 지반조사 결과에 따른 직분야 R/O 및 Cost impact 반영 사항 검토</t>
        </is>
      </c>
      <c r="L28" s="49" t="inlineStr">
        <is>
          <t>• 실시설계 추가지반조사 결과 분석을 통한 원가 및 공정 영향 검토
• 미시추 구간 평가 및 공정 Risk 반영 사항 검토
• 지반조건을 고려한 발파공법성 검토</t>
        </is>
      </c>
      <c r="M28" s="49" t="inlineStr">
        <is>
          <t>실시설계 지반조사 검토서(설계, 원가, 공정, 기타)</t>
        </is>
      </c>
      <c r="N28" s="49" t="inlineStr">
        <is>
          <t>실시설계 지반조사 결과에 따른 직분야 R/O 및 Cost impact 반영 사항 검토 | 실시설계 지반조사 검토서(설계, 원가, 공정, 기타)</t>
        </is>
      </c>
      <c r="O28"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8" s="49" t="inlineStr">
        <is>
          <t>• 실시설계 추가지반조사 결과 분석을 통한 원가 및 공정 영향 검토 • 미시추 구간 평가 및 공정 Risk 반영 사항 검토 • 지반조건을 고려한 발파공법성 검토</t>
        </is>
      </c>
      <c r="Q28"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8" s="49" t="inlineStr">
        <is>
          <t>1) 실시설계 지반조사 R/O 검토 (설계, 원가, 공정, 기타) 적정성을 확인하였는가? 2) 실시설계 지반조사 검토서(설계, 원가, 공정, 기타) 산출물을 확보하였는가?</t>
        </is>
      </c>
      <c r="S28"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8" s="49" t="n"/>
    </row>
    <row r="29" ht="96" customHeight="1">
      <c r="A29" s="47" t="inlineStr">
        <is>
          <t>9000</t>
        </is>
      </c>
      <c r="B29" s="47" t="inlineStr">
        <is>
          <t>9000-5</t>
        </is>
      </c>
      <c r="C29" s="47" t="inlineStr">
        <is>
          <t>지반조사</t>
        </is>
      </c>
      <c r="D29" s="85" t="n">
        <v>2593370</v>
      </c>
      <c r="E29" s="47" t="inlineStr">
        <is>
          <t>9000-5-27</t>
        </is>
      </c>
      <c r="F29" s="85" t="inlineStr">
        <is>
          <t>9000-5-29</t>
        </is>
      </c>
      <c r="G29" s="47" t="inlineStr">
        <is>
          <t>D+10~30</t>
        </is>
      </c>
      <c r="H29" s="85" t="inlineStr">
        <is>
          <t>실시설계 추가지반조사 결과 검토</t>
        </is>
      </c>
      <c r="I29" s="47" t="inlineStr">
        <is>
          <t>포스코스마트엔지니어링팀</t>
        </is>
      </c>
      <c r="J29" s="36" t="inlineStr">
        <is>
          <t>현장 공사팀/품질팀/공무팀, 토목견적팀(원가), 토목수행팀(공정), 토목사업지원팀(기획)</t>
        </is>
      </c>
      <c r="K29" s="47" t="inlineStr">
        <is>
          <t>추가지반조사 결과에 기반한 최종 R/O 확정</t>
        </is>
      </c>
      <c r="L29" s="49" t="inlineStr">
        <is>
          <t>• 추가지반조사 결과 검토</t>
        </is>
      </c>
      <c r="M29" s="49" t="inlineStr">
        <is>
          <t>실시설계 최종 R/O</t>
        </is>
      </c>
      <c r="N29" s="49" t="inlineStr">
        <is>
          <t>추가지반조사 결과에 기반한 최종 R/O 확정 | 실시설계 최종 R/O</t>
        </is>
      </c>
      <c r="O29"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29" s="49" t="inlineStr">
        <is>
          <t>• 추가지반조사 결과 검토</t>
        </is>
      </c>
      <c r="Q29"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29" s="49" t="inlineStr">
        <is>
          <t>1) 실시설계 추가지반조사 결과 검토 적정성을 확인하였는가? 2) 실시설계 최종 R/O 산출물을 확보하였는가?</t>
        </is>
      </c>
      <c r="S29"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29" s="49" t="n"/>
    </row>
    <row r="30" ht="96" customHeight="1">
      <c r="A30" s="47" t="inlineStr">
        <is>
          <t>9000</t>
        </is>
      </c>
      <c r="B30" s="47" t="inlineStr">
        <is>
          <t>9000-5</t>
        </is>
      </c>
      <c r="C30" s="47" t="inlineStr">
        <is>
          <t>지반조사</t>
        </is>
      </c>
      <c r="D30" s="85" t="n">
        <v>2593371</v>
      </c>
      <c r="E30" s="47" t="inlineStr">
        <is>
          <t>9000-5-28</t>
        </is>
      </c>
      <c r="F30" s="85" t="inlineStr">
        <is>
          <t>9000-5-30</t>
        </is>
      </c>
      <c r="G30" s="47" t="inlineStr">
        <is>
          <t>D+75일 이후</t>
        </is>
      </c>
      <c r="H30" s="85" t="inlineStr">
        <is>
          <t>최종 R/O 이행방안 수립</t>
        </is>
      </c>
      <c r="I30" s="47" t="inlineStr">
        <is>
          <t>현장소장</t>
        </is>
      </c>
      <c r="J30" s="36" t="inlineStr">
        <is>
          <t>토목수행팀</t>
        </is>
      </c>
      <c r="K30" s="47" t="inlineStr">
        <is>
          <t>최종 지반조사 결과에 따른 R/O 이행방안 수립</t>
        </is>
      </c>
      <c r="L30" s="49" t="inlineStr">
        <is>
          <t>• Core Risk 및 Hedge 방안 수립
• Opportunity에 따른 본공 상가 추가 개선 방안 수립</t>
        </is>
      </c>
      <c r="M30" s="49" t="inlineStr">
        <is>
          <t>최종 R/O 이행계획서</t>
        </is>
      </c>
      <c r="N30" s="49" t="inlineStr">
        <is>
          <t>최종 지반조사 결과에 따른 R/O 이행방안 수립 | 최종 R/O 이행계획서</t>
        </is>
      </c>
      <c r="O30"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0" s="49" t="inlineStr">
        <is>
          <t>• Core Risk 및 Hedge 방안 수립 • Opportunity에 따른 본공 상가 추가 개선 방안 수립</t>
        </is>
      </c>
      <c r="Q30"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0" s="49" t="inlineStr">
        <is>
          <t>1) 최종 R/O 이행방안 수립 적정성을 확인하였는가? 2) 최종 R/O 이행계획서 산출물을 확보하였는가?</t>
        </is>
      </c>
      <c r="S30"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0" s="49" t="n"/>
    </row>
    <row r="31" ht="96" customHeight="1">
      <c r="A31" s="47" t="inlineStr">
        <is>
          <t>9000</t>
        </is>
      </c>
      <c r="B31" s="47" t="inlineStr">
        <is>
          <t>9000-5</t>
        </is>
      </c>
      <c r="C31" s="47" t="inlineStr">
        <is>
          <t>지반조사</t>
        </is>
      </c>
      <c r="D31" s="85" t="n">
        <v>2593372</v>
      </c>
      <c r="E31" s="47" t="inlineStr">
        <is>
          <t>9000-5-29</t>
        </is>
      </c>
      <c r="F31" s="85" t="n">
        <v>0</v>
      </c>
      <c r="G31" s="47" t="inlineStr">
        <is>
          <t>D+75일 이후</t>
        </is>
      </c>
      <c r="H31" s="85" t="inlineStr">
        <is>
          <t>외부지질전문가 업무평가</t>
        </is>
      </c>
      <c r="I31" s="47" t="inlineStr">
        <is>
          <t>포스코스마트엔지니어링팀</t>
        </is>
      </c>
      <c r="J31" s="36" t="inlineStr">
        <is>
          <t>현장 공사팀/공무팀</t>
        </is>
      </c>
      <c r="K31" s="47" t="inlineStr">
        <is>
          <t>참여인력 전문성 평가 및 특이사항 기록</t>
        </is>
      </c>
      <c r="L31" s="49" t="inlineStr">
        <is>
          <t>• 외부지질 전문가 업무평가서 작성</t>
        </is>
      </c>
      <c r="M31" s="49" t="inlineStr">
        <is>
          <t>외부지질 전문가 업무평가서</t>
        </is>
      </c>
      <c r="N31" s="49" t="inlineStr">
        <is>
          <t>참여인력 전문성 평가 및 특이사항 기록 | 외부지질 전문가 업무평가서</t>
        </is>
      </c>
      <c r="O31"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1" s="49" t="inlineStr">
        <is>
          <t>• 외부지질 전문가 업무평가서 작성</t>
        </is>
      </c>
      <c r="Q31"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1" s="49" t="inlineStr">
        <is>
          <t>1) 외부지질전문가 업무평가 적정성을 확인하였는가? 2) 외부지질 전문가 업무평가서 산출물을 확보하였는가?</t>
        </is>
      </c>
      <c r="S31"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1" s="49" t="n"/>
    </row>
    <row r="32" ht="96" customHeight="1">
      <c r="A32" s="47" t="inlineStr">
        <is>
          <t>9000</t>
        </is>
      </c>
      <c r="B32" s="47" t="inlineStr">
        <is>
          <t>9000-5</t>
        </is>
      </c>
      <c r="C32" s="47" t="inlineStr">
        <is>
          <t>지반조사</t>
        </is>
      </c>
      <c r="D32" s="85" t="n">
        <v>2593373</v>
      </c>
      <c r="E32" s="47" t="n"/>
      <c r="F32" s="85" t="n">
        <v>0</v>
      </c>
      <c r="G32" s="47" t="inlineStr">
        <is>
          <t>D+75일 이후</t>
        </is>
      </c>
      <c r="H32" s="85" t="inlineStr">
        <is>
          <t>조사업체 PM 업무평가</t>
        </is>
      </c>
      <c r="I32" s="47" t="inlineStr">
        <is>
          <t>포스코스마트엔지니어링팀</t>
        </is>
      </c>
      <c r="J32" s="36" t="inlineStr">
        <is>
          <t>현장 공사팀/공무팀</t>
        </is>
      </c>
      <c r="K32" s="47" t="inlineStr">
        <is>
          <t>조사업체 PM 전문성 평가 및 특이사항 기록</t>
        </is>
      </c>
      <c r="L32" s="49" t="inlineStr">
        <is>
          <t>• 지반조사 PM 업무평가서 작성</t>
        </is>
      </c>
      <c r="M32" s="49" t="inlineStr">
        <is>
          <t>PM업무평가서</t>
        </is>
      </c>
      <c r="N32" s="49" t="inlineStr">
        <is>
          <t>조사업체 PM 전문성 평가 및 특이사항 기록 | PM업무평가서</t>
        </is>
      </c>
      <c r="O32"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2" s="49" t="inlineStr">
        <is>
          <t>• 지반조사 PM 업무평가서 작성</t>
        </is>
      </c>
      <c r="Q32"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2" s="49" t="inlineStr">
        <is>
          <t>1) 조사업체 PM 업무평가 적정성을 확인하였는가? 2) PM업무평가서 산출물을 확보하였는가?</t>
        </is>
      </c>
      <c r="S32"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2" s="49" t="n"/>
    </row>
    <row r="33" ht="96" customHeight="1">
      <c r="A33" s="47" t="inlineStr">
        <is>
          <t>9000</t>
        </is>
      </c>
      <c r="B33" s="47" t="inlineStr">
        <is>
          <t>9000-0</t>
        </is>
      </c>
      <c r="C33" s="47" t="inlineStr">
        <is>
          <t>지반조사</t>
        </is>
      </c>
      <c r="D33" s="85" t="inlineStr">
        <is>
          <t>9000-0-32</t>
        </is>
      </c>
      <c r="E33" s="47" t="inlineStr">
        <is>
          <t>- ~ -</t>
        </is>
      </c>
      <c r="F33" s="85" t="n"/>
      <c r="G33" s="47" t="n"/>
      <c r="H33" s="85" t="inlineStr">
        <is>
          <t>지반조사업체 업무평가</t>
        </is>
      </c>
      <c r="I33" s="47" t="inlineStr">
        <is>
          <t>현장소장</t>
        </is>
      </c>
      <c r="J33" s="36" t="inlineStr">
        <is>
          <t>현장 공사팀/공무팀</t>
        </is>
      </c>
      <c r="K33" s="47" t="inlineStr">
        <is>
          <t>조사업체 업무평가 및 특이사항 기록</t>
        </is>
      </c>
      <c r="L33" s="49" t="inlineStr">
        <is>
          <t>• 협력업체 업무평가서</t>
        </is>
      </c>
      <c r="M33" s="49" t="inlineStr">
        <is>
          <t>협력업체 업무평가서</t>
        </is>
      </c>
      <c r="N33" s="49" t="inlineStr">
        <is>
          <t>조사업체 업무평가 및 특이사항 기록 | 협력업체 업무평가서</t>
        </is>
      </c>
      <c r="O33"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3" s="49" t="inlineStr">
        <is>
          <t>• 협력업체 업무평가서</t>
        </is>
      </c>
      <c r="Q33"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3" s="49" t="inlineStr">
        <is>
          <t>1) 지반조사업체 업무평가 적정성을 확인하였는가? 2) 협력업체 업무평가서 산출물을 확보하였는가?</t>
        </is>
      </c>
      <c r="S33"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3" s="49" t="n"/>
    </row>
    <row r="34" ht="96" customHeight="1">
      <c r="A34" s="47" t="inlineStr">
        <is>
          <t>9000</t>
        </is>
      </c>
      <c r="B34" s="47" t="inlineStr">
        <is>
          <t>9000-0</t>
        </is>
      </c>
      <c r="C34" s="47" t="inlineStr">
        <is>
          <t>지반조사</t>
        </is>
      </c>
      <c r="D34" s="85" t="inlineStr">
        <is>
          <t>9000-0-33</t>
        </is>
      </c>
      <c r="E34" s="47" t="inlineStr">
        <is>
          <t>- ~ -</t>
        </is>
      </c>
      <c r="F34" s="85" t="n"/>
      <c r="G34" s="47" t="n"/>
      <c r="H34" s="85" t="inlineStr">
        <is>
          <t>설계변경 LL 리포트 작성</t>
        </is>
      </c>
      <c r="I34" s="47" t="inlineStr">
        <is>
          <t>현장소장</t>
        </is>
      </c>
      <c r="J34" s="36" t="inlineStr">
        <is>
          <t>현장 공무팀</t>
        </is>
      </c>
      <c r="K34" s="47" t="inlineStr">
        <is>
          <t>설계변경 사항 기록</t>
        </is>
      </c>
      <c r="L34" s="49" t="inlineStr">
        <is>
          <t>• 설계변경 사유 기록관리
• 예상 R/O대비 설계변경 사항 비교 검토</t>
        </is>
      </c>
      <c r="M34" s="49" t="inlineStr">
        <is>
          <t>LL리포트</t>
        </is>
      </c>
      <c r="N34" s="49" t="inlineStr">
        <is>
          <t>설계변경 사항 기록 | LL리포트</t>
        </is>
      </c>
      <c r="O34"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4" s="49" t="inlineStr">
        <is>
          <t>• 설계변경 사유 기록관리 • 예상 R/O대비 설계변경 사항 비교 검토</t>
        </is>
      </c>
      <c r="Q34"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4" s="49" t="inlineStr">
        <is>
          <t>1) 설계변경 LL 리포트 작성 적정성을 확인하였는가? 2) LL리포트 산출물을 확보하였는가?</t>
        </is>
      </c>
      <c r="S34"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4" s="49" t="n"/>
    </row>
    <row r="35" ht="96" customHeight="1">
      <c r="A35" s="47" t="inlineStr">
        <is>
          <t>9000</t>
        </is>
      </c>
      <c r="B35" s="47" t="inlineStr">
        <is>
          <t>9000-0</t>
        </is>
      </c>
      <c r="C35" s="47" t="inlineStr">
        <is>
          <t>지반조사</t>
        </is>
      </c>
      <c r="D35" s="85" t="inlineStr">
        <is>
          <t>9000-0-34</t>
        </is>
      </c>
      <c r="E35" s="47" t="inlineStr">
        <is>
          <t>- ~ -</t>
        </is>
      </c>
      <c r="F35" s="85" t="n"/>
      <c r="G35" s="47" t="n"/>
      <c r="H35" s="85" t="inlineStr">
        <is>
          <t>설계변경 LL 리포트 관리</t>
        </is>
      </c>
      <c r="I35" s="47" t="inlineStr">
        <is>
          <t>토목수행팀</t>
        </is>
      </c>
      <c r="J35" s="36" t="inlineStr">
        <is>
          <t>현장소장</t>
        </is>
      </c>
      <c r="K35" s="47" t="inlineStr">
        <is>
          <t>전체 현장 설계변경 사항 기록</t>
        </is>
      </c>
      <c r="L35" s="49" t="inlineStr">
        <is>
          <t>• 현장별 설계변경 LL 리포트 취합 관리</t>
        </is>
      </c>
      <c r="M35" s="49" t="inlineStr">
        <is>
          <t>LL리포트 List</t>
        </is>
      </c>
      <c r="N35" s="49" t="inlineStr">
        <is>
          <t>전체 현장 설계변경 사항 기록 | LL리포트 List</t>
        </is>
      </c>
      <c r="O35"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5" s="49" t="inlineStr">
        <is>
          <t>• 현장별 설계변경 LL 리포트 취합 관리</t>
        </is>
      </c>
      <c r="Q35"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5" s="49" t="inlineStr">
        <is>
          <t>1) 설계변경 LL 리포트 관리 적정성을 확인하였는가? 2) LL리포트 List 산출물을 확보하였는가?</t>
        </is>
      </c>
      <c r="S35"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5" s="49" t="n"/>
    </row>
    <row r="36" ht="96" customHeight="1">
      <c r="A36" s="47" t="inlineStr">
        <is>
          <t>9000</t>
        </is>
      </c>
      <c r="B36" s="47" t="inlineStr">
        <is>
          <t>9000-0</t>
        </is>
      </c>
      <c r="C36" s="47" t="inlineStr">
        <is>
          <t>지반조사</t>
        </is>
      </c>
      <c r="D36" s="85" t="inlineStr">
        <is>
          <t>9000-0-35</t>
        </is>
      </c>
      <c r="E36" s="47" t="inlineStr">
        <is>
          <t>- ~ -</t>
        </is>
      </c>
      <c r="F36" s="85" t="n"/>
      <c r="G36" s="47" t="n"/>
      <c r="H36" s="85" t="inlineStr">
        <is>
          <t>지반조사업체 정산계약</t>
        </is>
      </c>
      <c r="I36" s="47" t="inlineStr">
        <is>
          <t>일반구매팀</t>
        </is>
      </c>
      <c r="J36" s="36" t="inlineStr">
        <is>
          <t>현장 공무팀</t>
        </is>
      </c>
      <c r="K36" s="47" t="inlineStr">
        <is>
          <t>지반조사업체 정산</t>
        </is>
      </c>
      <c r="L36" s="49" t="inlineStr">
        <is>
          <t>• 조사도 수량 Check 후 구매시스템 변경계약 수행
• 변경계약 후 정산금 집행</t>
        </is>
      </c>
      <c r="M36" s="49" t="inlineStr">
        <is>
          <t>정산계약서</t>
        </is>
      </c>
      <c r="N36" s="49" t="inlineStr">
        <is>
          <t>지반조사업체 정산 | 정산계약서</t>
        </is>
      </c>
      <c r="O36"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6" s="49" t="inlineStr">
        <is>
          <t>• 조사도 수량 Check 후 구매시스템 변경계약 수행 • 변경계약 후 정산금 집행</t>
        </is>
      </c>
      <c r="Q36"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6" s="49" t="inlineStr">
        <is>
          <t>1) 지반조사업체 정산계약 적정성을 확인하였는가? 2) 정산계약서 산출물을 확보하였는가?</t>
        </is>
      </c>
      <c r="S36"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6" s="49" t="n"/>
    </row>
    <row r="37" ht="96" customHeight="1">
      <c r="A37" s="47" t="inlineStr">
        <is>
          <t>9000</t>
        </is>
      </c>
      <c r="B37" s="47" t="inlineStr">
        <is>
          <t>9000-0</t>
        </is>
      </c>
      <c r="C37" s="47" t="inlineStr">
        <is>
          <t>지반조사</t>
        </is>
      </c>
      <c r="D37" s="85" t="inlineStr">
        <is>
          <t>9000-0-36</t>
        </is>
      </c>
      <c r="E37" s="47" t="inlineStr">
        <is>
          <t>- ~ -</t>
        </is>
      </c>
      <c r="F37" s="85" t="n"/>
      <c r="G37" s="47" t="n"/>
      <c r="H37" s="85" t="inlineStr">
        <is>
          <t>매뉴얼 Update</t>
        </is>
      </c>
      <c r="I37" s="47" t="inlineStr">
        <is>
          <t>혁신실장</t>
        </is>
      </c>
      <c r="J37" s="36" t="inlineStr">
        <is>
          <t>현장 공무팀</t>
        </is>
      </c>
      <c r="K37" s="47" t="inlineStr">
        <is>
          <t>지반조사 매뉴얼 Update</t>
        </is>
      </c>
      <c r="L37" s="49" t="inlineStr">
        <is>
          <t>• 매뉴얼 Update 및 개정사항 사내공지</t>
        </is>
      </c>
      <c r="M37" s="49" t="inlineStr">
        <is>
          <t>지반조사 매뉴얼</t>
        </is>
      </c>
      <c r="N37" s="49" t="inlineStr">
        <is>
          <t>지반조사 매뉴얼 Update | 지반조사 매뉴얼</t>
        </is>
      </c>
      <c r="O37" s="82">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P37" s="49" t="inlineStr">
        <is>
          <t>• 매뉴얼 Update 및 개정사항 사내공지</t>
        </is>
      </c>
      <c r="Q37" s="82">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R37" s="49" t="inlineStr">
        <is>
          <t>1) 매뉴얼 Update 적정성을 확인하였는가? 2) 지반조사 매뉴얼 산출물을 확보하였는가?</t>
        </is>
      </c>
      <c r="S37" s="8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T37" s="49" t="n"/>
    </row>
  </sheetData>
  <pageMargins left="0.7" right="0.7" top="0.75" bottom="0.75" header="0.3" footer="0.3"/>
  <pageSetup orientation="landscape" paperSize="8" scale="28" verticalDpi="0"/>
</worksheet>
</file>

<file path=xl/worksheets/sheet2.xml><?xml version="1.0" encoding="utf-8"?>
<worksheet xmlns="http://schemas.openxmlformats.org/spreadsheetml/2006/main">
  <sheetPr codeName="Sheet2">
    <tabColor rgb="FFFFFF00"/>
    <outlinePr summaryBelow="1" summaryRight="1"/>
    <pageSetUpPr/>
  </sheetPr>
  <dimension ref="A1:W40"/>
  <sheetViews>
    <sheetView view="pageBreakPreview" zoomScale="55" zoomScaleNormal="55" zoomScaleSheetLayoutView="55" workbookViewId="0">
      <pane xSplit="2" ySplit="1" topLeftCell="L27" activePane="bottomRight" state="frozen"/>
      <selection pane="topRight" activeCell="C1" sqref="C1"/>
      <selection pane="bottomLeft" activeCell="A2" sqref="A2"/>
      <selection pane="bottomRight" activeCell="O30" sqref="O30"/>
    </sheetView>
  </sheetViews>
  <sheetFormatPr baseColWidth="8" defaultRowHeight="19.2"/>
  <cols>
    <col width="8.796875" customWidth="1" style="42" min="1" max="2"/>
    <col width="15" customWidth="1" style="22" min="3" max="3"/>
    <col width="16" customWidth="1" style="22" min="4" max="6"/>
    <col width="26" customWidth="1" style="22" min="7" max="7"/>
    <col width="28.59765625" customWidth="1" style="45" min="8" max="8"/>
    <col width="24.59765625" customWidth="1" style="42" min="9" max="9"/>
    <col width="49.8984375" customWidth="1" style="42" min="10" max="10"/>
    <col width="44.296875" customWidth="1" style="42" min="11" max="11"/>
    <col width="26.796875" customWidth="1" style="42" min="12" max="12"/>
    <col width="44.5" customWidth="1" style="42" min="13" max="13"/>
    <col width="53.69921875" customWidth="1" style="42" min="14" max="14"/>
    <col width="11.5" customWidth="1" style="42" min="15" max="15"/>
    <col width="50.5" customWidth="1" style="22" min="16" max="16"/>
    <col width="8.19921875" customWidth="1" style="42" min="17" max="17"/>
    <col width="45" customWidth="1" style="54" min="18" max="18"/>
    <col width="9.19921875" customWidth="1" style="16" min="19" max="19"/>
    <col width="17.296875" customWidth="1" style="42" min="20" max="20"/>
    <col width="45" customWidth="1" style="54" min="21" max="21"/>
    <col width="22" customWidth="1" style="54" min="22" max="22"/>
    <col width="22" customWidth="1" style="42" min="23" max="38"/>
    <col width="8.796875" customWidth="1" style="42" min="39" max="74"/>
    <col width="8.796875" customWidth="1" style="42" min="75" max="16384"/>
  </cols>
  <sheetData>
    <row r="1" ht="46.8" customHeight="1">
      <c r="A1" s="6" t="inlineStr">
        <is>
          <t>L2 코드</t>
        </is>
      </c>
      <c r="B1" s="6" t="inlineStr">
        <is>
          <t>L3 코드</t>
        </is>
      </c>
      <c r="C1" s="6" t="inlineStr">
        <is>
          <t>L3 대공종명</t>
        </is>
      </c>
      <c r="D1" s="6" t="inlineStr">
        <is>
          <t>L4 코드</t>
        </is>
      </c>
      <c r="E1" s="6" t="inlineStr">
        <is>
          <t>선행</t>
        </is>
      </c>
      <c r="F1" s="6" t="inlineStr">
        <is>
          <t>후행</t>
        </is>
      </c>
      <c r="G1" s="6" t="inlineStr">
        <is>
          <t>일정 (D-Day)</t>
        </is>
      </c>
      <c r="H1" s="6" t="inlineStr">
        <is>
          <t>작업단위 (Level 4 Task/Activity)</t>
        </is>
      </c>
      <c r="I1" s="6" t="inlineStr">
        <is>
          <t>주관</t>
        </is>
      </c>
      <c r="J1" s="6" t="inlineStr">
        <is>
          <t>목적</t>
        </is>
      </c>
      <c r="K1" s="6" t="inlineStr">
        <is>
          <t>방법</t>
        </is>
      </c>
      <c r="L1" s="6" t="inlineStr">
        <is>
          <t>참석</t>
        </is>
      </c>
      <c r="M1" s="6" t="inlineStr">
        <is>
          <t>산출물(결과)</t>
        </is>
      </c>
      <c r="N1" s="6" t="inlineStr">
        <is>
          <t>표준서 (Standard) 요약</t>
        </is>
      </c>
      <c r="O1" s="7" t="inlineStr">
        <is>
          <t>표준서 파일 (HTML)</t>
        </is>
      </c>
      <c r="P1" s="6" t="inlineStr">
        <is>
          <t>수행지침 (Guideline) 요약</t>
        </is>
      </c>
      <c r="Q1" s="7" t="inlineStr">
        <is>
          <t>수행지침 파일 (HTML)</t>
        </is>
      </c>
      <c r="R1" s="6" t="inlineStr">
        <is>
          <t>체크리스트 (Checklist) 요약</t>
        </is>
      </c>
      <c r="S1" s="7" t="inlineStr">
        <is>
          <t>체크리스트 파일 (HTML)</t>
        </is>
      </c>
      <c r="T1" s="6" t="inlineStr">
        <is>
          <t>비고</t>
        </is>
      </c>
      <c r="U1" s="6" t="inlineStr">
        <is>
          <t>첨부서류 연계 상세 설계기준</t>
        </is>
      </c>
      <c r="V1" s="6" t="inlineStr">
        <is>
          <t>집행단계 리스크 체크리스트</t>
        </is>
      </c>
      <c r="W1" s="6" t="inlineStr">
        <is>
          <t>협력사 시공/공사관리 자문</t>
        </is>
      </c>
    </row>
    <row r="2" ht="90" customHeight="1">
      <c r="A2" s="47" t="inlineStr">
        <is>
          <t>9000</t>
        </is>
      </c>
      <c r="B2" s="47" t="inlineStr">
        <is>
          <t>9000-5</t>
        </is>
      </c>
      <c r="C2" s="47" t="inlineStr">
        <is>
          <t>사전토공사</t>
        </is>
      </c>
      <c r="D2" s="85" t="inlineStr">
        <is>
          <t>9000-5-1</t>
        </is>
      </c>
      <c r="E2" s="47" t="n"/>
      <c r="F2" s="85" t="inlineStr">
        <is>
          <t>9000-5-2</t>
        </is>
      </c>
      <c r="G2" s="47" t="inlineStr">
        <is>
          <t>D-90 (D-120~D-90)</t>
        </is>
      </c>
      <c r="H2" s="36" t="inlineStr">
        <is>
          <t>Site Survey</t>
        </is>
      </c>
      <c r="I2" s="47" t="inlineStr">
        <is>
          <t>현장 공사팀</t>
        </is>
      </c>
      <c r="J2" s="49" t="inlineStr">
        <is>
          <t>KDS 47 10 00 철도지반 설계기준 | 현장 가설 둔차선, 용지 경계 및 원지반 고저차 3D 레벨 현측 | 토공사 사전 현장 조사 보고서</t>
        </is>
      </c>
      <c r="K2" s="49" t="inlineStr">
        <is>
          <t>1) 현장 가설 도로 및 용지 경계 현측 ➔ 2) 광학 레벨 원지반 고저차 측정 ➔ 3) 진입 도로 장애 요소 매핑 ➔ 4) 현장 조사 보고서 감리 제출</t>
        </is>
      </c>
      <c r="L2" s="49" t="inlineStr">
        <is>
          <t>토묵수행티, 견적팀, 계약팀</t>
        </is>
      </c>
      <c r="M2" s="49" t="inlineStr">
        <is>
          <t>가설 도로 폭/구배 현측, 원지반 고저차 레벨 측량 및 3D BIM 도면 오차 점검 (현장 조사 보고서)</t>
        </is>
      </c>
      <c r="N2" s="49" t="inlineStr">
        <is>
          <t>KDS 47 10 00 철도지반 설계기준 | 현장 가설 둔차선, 용지 경계 및 원지반 고저차 3D 레벨 현측 | 토공사 사전 현장 조사 보고서</t>
        </is>
      </c>
      <c r="O2" s="75">
        <f>HYPERLINK(LEFT(CELL("filename",A1),FIND("[",CELL("filename",A1))-1)&amp;"2.사전토공사\1_Site Survey\표준서\Site Survey_표준서.html", "👉 [클릭] 표준서 열기 📄")</f>
        <v/>
      </c>
      <c r="P2" s="49" t="inlineStr">
        <is>
          <t>1) 현장 가설 도로 및 용지 경계 현측 ➔ 2) 광학 레벨 원지반 고저차 측정 ➔ 3) 진입 도로 장애 요소 매핑 ➔ 4) 현장 조사 보고서 감리 제출</t>
        </is>
      </c>
      <c r="Q2" s="76">
        <f>HYPERLINK(LEFT(CELL("filename",A1),FIND("[",CELL("filename",A1))-1)&amp;"2.사전토공사\1_Site Survey\수행지침\Site Survey_수행지침.html", "👉 [클릭] 수행지침 열기 📄")</f>
        <v/>
      </c>
      <c r="R2" s="49" t="inlineStr">
        <is>
          <t>가설 도로 폭/구배 현측, 원지반 고저차 레벨 측량 및 3D BIM 도면 오차 점검 (현장 조사 보고서)</t>
        </is>
      </c>
      <c r="S2" s="83">
        <f>HYPERLINK(LEFT(CELL("filename",A1),FIND("[",CELL("filename",A1))-1)&amp;"2.사전토공사\1_Site Survey\체크리스트\Site Survey_체크리스트.html", "👉 [클릭] 체크리스트 열기 📄")</f>
        <v/>
      </c>
      <c r="T2" s="47" t="n"/>
      <c r="U2" s="69" t="inlineStr">
        <is>
          <t>● 설계도면 및 지적 경계 기준 준수</t>
        </is>
      </c>
      <c r="V2" s="69" t="inlineStr">
        <is>
          <t>1) 👉 [더블클릭] 체크리스트 열기 📄</t>
        </is>
      </c>
      <c r="W2" s="49" t="n"/>
    </row>
    <row r="3" ht="134.4" customHeight="1">
      <c r="A3" s="47" t="inlineStr">
        <is>
          <t>9000</t>
        </is>
      </c>
      <c r="B3" s="47" t="inlineStr">
        <is>
          <t>9000-5</t>
        </is>
      </c>
      <c r="C3" s="47" t="inlineStr">
        <is>
          <t>사전토공사</t>
        </is>
      </c>
      <c r="D3" s="85" t="n">
        <v>2593345</v>
      </c>
      <c r="E3" s="85" t="n">
        <v>2593344</v>
      </c>
      <c r="F3" s="85" t="inlineStr">
        <is>
          <t>9000-5-6</t>
        </is>
      </c>
      <c r="G3" s="47" t="inlineStr">
        <is>
          <t>D-60 (D-80~D-60)</t>
        </is>
      </c>
      <c r="H3" s="36" t="inlineStr">
        <is>
          <t>공사중 교통처리계획</t>
        </is>
      </c>
      <c r="I3" s="47" t="inlineStr">
        <is>
          <t>현장 공사팀</t>
        </is>
      </c>
      <c r="J3" s="49" t="inlineStr">
        <is>
          <t>도로교통법 제69조 | 동탄경찰서 교통안전 심의 및 우회 차선 설계 | 전담 신호수(2인 2조) &amp; LED 경광등 배치</t>
        </is>
      </c>
      <c r="K3" s="49" t="inlineStr">
        <is>
          <t>1) 교통 우회 차선 &amp; 둔차선 도면 설계 ➔ 2) 동탄경찰서 도로점용 허가 ➔ 3) 전담 신호수(2인 2조) 배치 ➔ 4) 교통소통 대책서 감리 서면 승인</t>
        </is>
      </c>
      <c r="L3" s="49" t="n"/>
      <c r="M3" s="49" t="inlineStr">
        <is>
          <t>동탄경찰서 도로점용 허가, 가설 우회 차선 설계 및 전담 안전 신호수(2인 2조)/LED 경광등 배치</t>
        </is>
      </c>
      <c r="N3" s="49" t="inlineStr">
        <is>
          <t>도로교통법 제69조 | 동탄경찰서 교통안전 심의 및 우회 차선 설계 | 전담 신호수(2인 2조) &amp; LED 경광등 배치</t>
        </is>
      </c>
      <c r="O3" s="75">
        <f>HYPERLINK(LEFT(CELL("filename",A1),FIND("[",CELL("filename",A1))-1)&amp;"2.사전토공사\2_발주전략 KOM\표준서\2_발주전략 KOM_표준서.html", "👉 [클릭] 표준서 열기 📄")</f>
        <v/>
      </c>
      <c r="P3" s="49" t="inlineStr">
        <is>
          <t>1) 교통 우회 차선 &amp; 둔차선 도면 설계 ➔ 2) 동탄경찰서 도로점용 허가 ➔ 3) 전담 신호수(2인 2조) 배치 ➔ 4) 교통소통 대책서 감리 서면 승인</t>
        </is>
      </c>
      <c r="Q3" s="76">
        <f>HYPERLINK(LEFT(CELL("filename",A1),FIND("[",CELL("filename",A1))-1)&amp;"2.사전토공사\2_발주전략 KOM\수행지침\2_발주전략 KOM_수행지침.html", "👉 [클릭] 수행지침 열기 📄")</f>
        <v/>
      </c>
      <c r="R3" s="49" t="inlineStr">
        <is>
          <t>동탄경찰서 도로점용 허가, 가설 우회 차선 설계 및 전담 안전 신호수(2인 2조)/LED 경광등 배치</t>
        </is>
      </c>
      <c r="S3" s="83">
        <f>HYPERLINK(LEFT(CELL("filename",A1),FIND("[",CELL("filename",A1))-1)&amp;"2.사전토공사\2_발주전략 KOM\체크리스트\2_발주전략 KOM_체크리스트.html", "👉 [클릭] 체크리스트 열기 📄")</f>
        <v/>
      </c>
      <c r="T3" s="47" t="n"/>
      <c r="U3" s="69" t="inlineStr">
        <is>
          <t>● 도로교통법 및 관할 지자체 교통 지침 준수</t>
        </is>
      </c>
      <c r="V3" s="69" t="inlineStr">
        <is>
          <t>1) 👉 [더블클릭] 체크리스트 열기 📄</t>
        </is>
      </c>
      <c r="W3" s="49" t="n"/>
    </row>
    <row r="4" ht="110.4" customHeight="1">
      <c r="A4" s="47" t="inlineStr">
        <is>
          <t>9000</t>
        </is>
      </c>
      <c r="B4" s="47" t="inlineStr">
        <is>
          <t>9000-5</t>
        </is>
      </c>
      <c r="C4" s="47" t="inlineStr">
        <is>
          <t>사전토공사</t>
        </is>
      </c>
      <c r="D4" s="85" t="n">
        <v>2593346</v>
      </c>
      <c r="E4" s="47" t="inlineStr">
        <is>
          <t>9000-5-2</t>
        </is>
      </c>
      <c r="F4" s="85" t="n"/>
      <c r="G4" s="47" t="inlineStr">
        <is>
          <t>D-60 (D-70~D-60)</t>
        </is>
      </c>
      <c r="H4" s="36" t="inlineStr">
        <is>
          <t>Site Survey Risk 검토</t>
        </is>
      </c>
      <c r="I4" s="47" t="inlineStr">
        <is>
          <t>토목국내견적팀</t>
        </is>
      </c>
      <c r="J4" s="49" t="inlineStr">
        <is>
          <t>지하안전법 제23조 | 현장 지장물, 연약 지반 층후 및 사면 붕괴 위험 요소 추출 | 사전 토공 리스크 대책 승인</t>
        </is>
      </c>
      <c r="K4" s="49" t="inlineStr">
        <is>
          <t>1) 지하 매설 지장물 &amp; 연약지반 현출 ➔ 2) 사면 붕괴 위험 구간 추출 ➔ 3) 흙막이 가설재 보강 수립 ➔ 4) 토공 리스크 대책서 감리 승인</t>
        </is>
      </c>
      <c r="L4" s="49" t="n"/>
      <c r="M4" s="49" t="inlineStr">
        <is>
          <t>지중 매설물 탐사, 연약 지반 층후 분석 및 사면 붕괴 위험 구간 흙막이 가설재 보강 수립</t>
        </is>
      </c>
      <c r="N4" s="49" t="inlineStr">
        <is>
          <t>지하안전법 제23조 | 현장 지장물, 연약 지반 층후 및 사면 붕괴 위험 요소 추출 | 사전 토공 리스크 대책 승인</t>
        </is>
      </c>
      <c r="O4" s="75">
        <f>HYPERLINK(LEFT(CELL("filename",A1),FIND("[",CELL("filename",A1))-1)&amp;"2.사전토공사\3_Site Survey Risk 검토\표준서\Site Survey Risk 검토_표준서.html", "👉 [클릭] 표준서 열기 📄")</f>
        <v/>
      </c>
      <c r="P4" s="49" t="inlineStr">
        <is>
          <t>1) 지하 매설 지장물 &amp; 연약지반 현출 ➔ 2) 사면 붕괴 위험 구간 추출 ➔ 3) 흙막이 가설재 보강 수립 ➔ 4) 토공 리스크 대책서 감리 승인</t>
        </is>
      </c>
      <c r="Q4" s="76">
        <f>HYPERLINK(LEFT(CELL("filename",A1),FIND("[",CELL("filename",A1))-1)&amp;"2.사전토공사\3_Site Survey Risk 검토\수행지침\Site Survey Risk 검토_수행지침.html", "👉 [클릭] 수행지침 열기 📄")</f>
        <v/>
      </c>
      <c r="R4" s="49" t="inlineStr">
        <is>
          <t>지중 매설물 탐사, 연약 지반 층후 분석 및 사면 붕괴 위험 구간 흙막이 가설재 보강 수립</t>
        </is>
      </c>
      <c r="S4" s="83">
        <f>HYPERLINK(LEFT(CELL("filename",A1),FIND("[",CELL("filename",A1))-1)&amp;"2.사전토공사\3_Site Survey Risk 검토\체크리스트\Site Survey Risk 검토_체크리스트.html", "👉 [클릭] 체크리스트 열기 📄")</f>
        <v/>
      </c>
      <c r="T4" s="47" t="n"/>
      <c r="U4" s="69" t="inlineStr">
        <is>
          <t>● 실행예산 검토 및 공사 수행 리스크 분석</t>
        </is>
      </c>
      <c r="V4" s="69" t="inlineStr">
        <is>
          <t>1) 👉 [더블클릭] 체크리스트 열기 📄</t>
        </is>
      </c>
      <c r="W4" s="49" t="n"/>
    </row>
    <row r="5" ht="96" customHeight="1">
      <c r="A5" s="47" t="inlineStr">
        <is>
          <t>9000</t>
        </is>
      </c>
      <c r="B5" s="47" t="inlineStr">
        <is>
          <t>9000-5</t>
        </is>
      </c>
      <c r="C5" s="47" t="inlineStr">
        <is>
          <t>사전토공사</t>
        </is>
      </c>
      <c r="D5" s="85" t="n">
        <v>2593347</v>
      </c>
      <c r="E5" s="64" t="n">
        <v>2593344</v>
      </c>
      <c r="F5" s="85" t="n">
        <v>2593344</v>
      </c>
      <c r="G5" s="47" t="inlineStr">
        <is>
          <t>D-50 (D-60~D-50)</t>
        </is>
      </c>
      <c r="H5" s="36" t="inlineStr">
        <is>
          <t>최고의 팀 만들기 지원</t>
        </is>
      </c>
      <c r="I5" s="47" t="inlineStr">
        <is>
          <t>외주관리팀</t>
        </is>
      </c>
      <c r="J5" s="49" t="inlineStr">
        <is>
          <t>건산법 상생협력 수칙 | 토공 전문 기술자 1:1 전담 배치 &amp; 3자 주간 소통 회의 | 일일 Safety TBM 100% 이행</t>
        </is>
      </c>
      <c r="K5" s="49" t="inlineStr">
        <is>
          <t>1) 토공 전담 기술자 1:1 배치 ➔ 2) 3자 주간 소통 회의 개최 ➔ 3) 근로자 복지 지원 &amp; Safety TBM ➔ 4) One-Team 조직표 감리 서면 승인</t>
        </is>
      </c>
      <c r="L5" s="49" t="n"/>
      <c r="M5" s="49" t="inlineStr">
        <is>
          <t>토공 전담 기술자 1:1 현장 배치, 발주·감리·시공 3자 주간 소통 회의 및 일일 Safety TBM/음주 측정</t>
        </is>
      </c>
      <c r="N5" s="49" t="inlineStr">
        <is>
          <t>건산법 상생협력 수칙 | 토공 전문 기술자 1:1 전담 배치 &amp; 3자 주간 소통 회의 | 일일 Safety TBM 100% 이행</t>
        </is>
      </c>
      <c r="O5" s="75">
        <f>HYPERLINK(LEFT(CELL("filename",A1),FIND("[",CELL("filename",A1))-1)&amp;"2.사전토공사\4_최고의 팀 만들기 지원\표준서\최고의 팀 만들기 지원_표준서.html", "👉 [클릭] 표준서 열기 📄")</f>
        <v/>
      </c>
      <c r="P5" s="49" t="inlineStr">
        <is>
          <t>1) 토공 전담 기술자 1:1 배치 ➔ 2) 3자 주간 소통 회의 개최 ➔ 3) 근로자 복지 지원 &amp; Safety TBM ➔ 4) One-Team 조직표 감리 서면 승인</t>
        </is>
      </c>
      <c r="Q5" s="76">
        <f>HYPERLINK(LEFT(CELL("filename",A1),FIND("[",CELL("filename",A1))-1)&amp;"2.사전토공사\4_최고의 팀 만들기 지원\수행지침\최고의 팀 만들기 지원_수행지침.html", "👉 [클릭] 수행지침 열기 📄")</f>
        <v/>
      </c>
      <c r="R5" s="49" t="inlineStr">
        <is>
          <t>토공 전담 기술자 1:1 현장 배치, 발주·감리·시공 3자 주간 소통 회의 및 일일 Safety TBM/음주 측정</t>
        </is>
      </c>
      <c r="S5" s="83">
        <f>HYPERLINK(LEFT(CELL("filename",A1),FIND("[",CELL("filename",A1))-1)&amp;"2.사전토공사\4_최고의 팀 만들기 지원\체크리스트\최고의 팀 만들기 지원_체크리스트.html", "👉 [클릭] 체크리스트 열기 📄")</f>
        <v/>
      </c>
      <c r="T5" s="47" t="n"/>
      <c r="U5" s="69" t="inlineStr">
        <is>
          <t>● 외주관리 협력업체 평가 및 선정 기준</t>
        </is>
      </c>
      <c r="V5" s="69" t="inlineStr">
        <is>
          <t>1) 👉 [더블클릭] 체크리스트 열기 📄</t>
        </is>
      </c>
      <c r="W5" s="49" t="n"/>
    </row>
    <row r="6" ht="125.4" customHeight="1">
      <c r="A6" s="47" t="inlineStr">
        <is>
          <t>9000</t>
        </is>
      </c>
      <c r="B6" s="47" t="inlineStr">
        <is>
          <t>9000-5</t>
        </is>
      </c>
      <c r="C6" s="47" t="inlineStr">
        <is>
          <t>사전토공사</t>
        </is>
      </c>
      <c r="D6" s="85" t="n">
        <v>2593348</v>
      </c>
      <c r="E6" s="47" t="inlineStr">
        <is>
          <t>9000-5-1</t>
        </is>
      </c>
      <c r="F6" s="85" t="inlineStr">
        <is>
          <t>9000-5-3</t>
        </is>
      </c>
      <c r="G6" s="47" t="inlineStr">
        <is>
          <t>D-80 (D-120~D-80)</t>
        </is>
      </c>
      <c r="H6" s="36" t="inlineStr">
        <is>
          <t>발주전략 KOM</t>
        </is>
      </c>
      <c r="I6" s="47" t="inlineStr">
        <is>
          <t>현장소장</t>
        </is>
      </c>
      <c r="J6" s="49" t="inlineStr">
        <is>
          <t>KCS 47 10 25 시방 검토 | 사전 토공 토사/암석 깎기 및 성토 시방 규정 | 발주처·감리·시공 3자 킥오프 결재</t>
        </is>
      </c>
      <c r="K6" s="49" t="inlineStr">
        <is>
          <t>1) 사전 토공 시방 요구조건 분석 ➔ 2) 3D BIM 도면 깎기/성토 수량 검증 ➔ 3) 토공 리스크 예비비 수립 ➔ 4) 발주·감리·시공 3자 킥오프 결재</t>
        </is>
      </c>
      <c r="L6" s="49" t="n"/>
      <c r="M6" s="49" t="inlineStr">
        <is>
          <t>KCS 47 10 25 사전 토공 시방 검토, 토사/암석 깎기 수량 산출 및 3D BIM 간섭 zero (3자 킥오프 결재)</t>
        </is>
      </c>
      <c r="N6" s="49" t="inlineStr">
        <is>
          <t>KCS 47 10 25 시방 검토 | 사전 토공 토사/암석 깎기 및 성토 시방 규정 | 발주처·감리·시공 3자 킥오프 결재</t>
        </is>
      </c>
      <c r="O6" s="75">
        <f>HYPERLINK(LEFT(CELL("filename",A1),FIND("[",CELL("filename",A1))-1)&amp;"2.사전토공사\5_공사중 교통처리계획\표준서\공사중 교통처리계획_표준서.html", "👉 [클릭] 표준서 열기 📄")</f>
        <v/>
      </c>
      <c r="P6" s="49" t="inlineStr">
        <is>
          <t>1) 사전 토공 시방 요구조건 분석 ➔ 2) 3D BIM 도면 깎기/성토 수량 검증 ➔ 3) 토공 리스크 예비비 수립 ➔ 4) 발주·감리·시공 3자 킥오프 결재</t>
        </is>
      </c>
      <c r="Q6" s="76">
        <f>HYPERLINK(LEFT(CELL("filename",A1),FIND("[",CELL("filename",A1))-1)&amp;"2.사전토공사\5_공사중 교통처리계획\수행지침\공사중 교통처리계획_수행지침.html", "👉 [클릭] 수행지침 열기 📄")</f>
        <v/>
      </c>
      <c r="R6" s="49" t="inlineStr">
        <is>
          <t>KCS 47 10 25 사전 토공 시방 검토, 토사/암석 깎기 수량 산출 및 3D BIM 간섭 zero (3자 킥오프 결재)</t>
        </is>
      </c>
      <c r="S6" s="83">
        <f>HYPERLINK(LEFT(CELL("filename",A1),FIND("[",CELL("filename",A1))-1)&amp;"2.사전토공사\5_공사중 교통처리계획\체크리스트\공사중 교통처리계획_체크리스트.html", "👉 [클릭] 체크리스트 열기 📄")</f>
        <v/>
      </c>
      <c r="T6" s="47" t="n"/>
      <c r="U6" s="69" t="inlineStr">
        <is>
          <t>● 본사외주부서, 수행부서, 토목국내견적팀, 컴플라이언스RM팀, 토목사업지원팀 협의</t>
        </is>
      </c>
      <c r="V6" s="69" t="inlineStr">
        <is>
          <t>1) 👉 [더블클릭] 체크리스트 열기 📄</t>
        </is>
      </c>
      <c r="W6" s="49" t="n"/>
    </row>
    <row r="7" ht="172.8" customHeight="1">
      <c r="A7" s="47" t="inlineStr">
        <is>
          <t>9000</t>
        </is>
      </c>
      <c r="B7" s="47" t="inlineStr">
        <is>
          <t>9000-5</t>
        </is>
      </c>
      <c r="C7" s="47" t="inlineStr">
        <is>
          <t>사전토공사</t>
        </is>
      </c>
      <c r="D7" s="85" t="n">
        <v>2593350</v>
      </c>
      <c r="E7" s="47" t="inlineStr">
        <is>
          <t>9000-5-7</t>
        </is>
      </c>
      <c r="F7" s="85" t="inlineStr">
        <is>
          <t>9000-5-9</t>
        </is>
      </c>
      <c r="G7" s="47" t="inlineStr">
        <is>
          <t>D-40</t>
        </is>
      </c>
      <c r="H7" s="36" t="inlineStr">
        <is>
          <t>착수전 Big Room 회의</t>
        </is>
      </c>
      <c r="I7" s="47" t="inlineStr">
        <is>
          <t>현장소장</t>
        </is>
      </c>
      <c r="J7" s="49" t="inlineStr">
        <is>
          <t>현장 통합 관리 지침 | 발주처·감리·지자체·시공사 4자 빅룸 회의 | 사전 토공 마일스톤 서명 결재</t>
        </is>
      </c>
      <c r="K7" s="49" t="inlineStr">
        <is>
          <t>1) 4자(발주·감리·지자체·시공) 빅룸 결성 ➔ 2) 사전 토공 마일스톤 연동 ➔ 3) 간섭 리스크 즉시 해소 ➔ 4) 빅룸 회의록 4자 서명 완수</t>
        </is>
      </c>
      <c r="L7" s="49" t="n"/>
      <c r="M7" s="49" t="inlineStr">
        <is>
          <t>4자(발주·감리·지자체·시공) 빅룸 회의 결성, 사전 토공 마일스톤 연동 및 간섭 리스크 서명</t>
        </is>
      </c>
      <c r="N7" s="49" t="inlineStr">
        <is>
          <t>현장 통합 관리 지침 | 발주처·감리·지자체·시공사 4자 빅룸 회의 | 사전 토공 마일스톤 서명 결재</t>
        </is>
      </c>
      <c r="O7" s="75">
        <f>HYPERLINK(LEFT(CELL("filename",A1),FIND("[",CELL("filename",A1))-1)&amp;"2.사전토공사\6_자재발주 요청\표준서\자재발주 요청_표준서.html", "👉 [클릭] 표준서 열기 📄")</f>
        <v/>
      </c>
      <c r="P7" s="49" t="inlineStr">
        <is>
          <t>1) 4자(발주·감리·지자체·시공) 빅룸 결성 ➔ 2) 사전 토공 마일스톤 연동 ➔ 3) 간섭 리스크 즉시 해소 ➔ 4) 빅룸 회의록 4자 서명 완수</t>
        </is>
      </c>
      <c r="Q7" s="76">
        <f>HYPERLINK(LEFT(CELL("filename",A1),FIND("[",CELL("filename",A1))-1)&amp;"2.사전토공사\6_자재발주 요청\수행지침\착수전 Big Room 회의_수행지침.html", "👉 [클릭] 수행지침 열기 📄")</f>
        <v/>
      </c>
      <c r="R7" s="49" t="inlineStr">
        <is>
          <t>4자(발주·감리·지자체·시공) 빅룸 회의 결성, 사전 토공 마일스톤 연동 및 간섭 리스크 서명</t>
        </is>
      </c>
      <c r="S7" s="83">
        <f>HYPERLINK(LEFT(CELL("filename",A1),FIND("[",CELL("filename",A1))-1)&amp;"2.사전토공사\6_자재발주 요청\체크리스트\착수전 Big Room 회의_체크리스트.html", "👉 [클릭] 체크리스트 열기 📄")</f>
        <v/>
      </c>
      <c r="T7" s="47" t="n"/>
      <c r="U7" s="69" t="inlineStr">
        <is>
          <t>● 본사 유관부서(견적/엔지니어링/공정/품질/안전) 조율</t>
        </is>
      </c>
      <c r="V7" s="69" t="inlineStr">
        <is>
          <t>1) 👉 [더블클릭] 체크리스트 열기 📄</t>
        </is>
      </c>
      <c r="W7" s="49" t="n"/>
    </row>
    <row r="8" ht="96" customHeight="1">
      <c r="A8" s="47" t="inlineStr">
        <is>
          <t>9000</t>
        </is>
      </c>
      <c r="B8" s="47" t="inlineStr">
        <is>
          <t>9000-5</t>
        </is>
      </c>
      <c r="C8" s="47" t="inlineStr">
        <is>
          <t>사전토공사</t>
        </is>
      </c>
      <c r="D8" s="85" t="n">
        <v>2593348</v>
      </c>
      <c r="E8" s="47" t="inlineStr">
        <is>
          <t>9000-5-5</t>
        </is>
      </c>
      <c r="F8" s="85" t="inlineStr">
        <is>
          <t>9000-5-7</t>
        </is>
      </c>
      <c r="G8" s="47" t="inlineStr">
        <is>
          <t>D-65 (D-65~D-55)</t>
        </is>
      </c>
      <c r="H8" s="36" t="inlineStr">
        <is>
          <t>자재발주 요청</t>
        </is>
      </c>
      <c r="I8" s="47" t="inlineStr">
        <is>
          <t>현장 공무팀</t>
        </is>
      </c>
      <c r="J8" s="49" t="inlineStr">
        <is>
          <t>KCS 47 10 25 자재 시방 | 굴착 장비, 가설 펜스 및 배수관 자재 발주 승인 | 공인시험기관 성적표 수속</t>
        </is>
      </c>
      <c r="K8" s="49" t="inlineStr">
        <is>
          <t>1) 굴착 장비 및 가설 펜스 자재 선정 ➔ 2) 공인시험기관 시험성적서 검수 ➔ 3) 자재 발주 신청서 제출 ➔ 4) 자재 반입 검수 통보서 결재</t>
        </is>
      </c>
      <c r="L8" s="49" t="n"/>
      <c r="M8" s="49" t="inlineStr">
        <is>
          <t>KCS 47 10 25 굴착 장비/가설재 자재 승인, 공인시험기관 시험성적서 검수 및 자재 반입 통보</t>
        </is>
      </c>
      <c r="N8" s="49" t="inlineStr">
        <is>
          <t>KCS 47 10 25 자재 시방 | 굴착 장비, 가설 펜스 및 배수관 자재 발주 승인 | 공인시험기관 성적표 수속</t>
        </is>
      </c>
      <c r="O8" s="75">
        <f>HYPERLINK(LEFT(CELL("filename",A1),FIND("[",CELL("filename",A1))-1)&amp;"2.사전토공사\7_용지 사용 Risk 검토\표준서\용지 사용 Risk 검토_표준서.html", "👉 [클릭] 표준서 열기 📄")</f>
        <v/>
      </c>
      <c r="P8" s="49" t="inlineStr">
        <is>
          <t>1) 굴착 장비 및 가설 펜스 자재 선정 ➔ 2) 공인시험기관 시험성적서 검수 ➔ 3) 자재 발주 신청서 제출 ➔ 4) 자재 반입 검수 통보서 결재</t>
        </is>
      </c>
      <c r="Q8" s="76">
        <f>HYPERLINK(LEFT(CELL("filename",A1),FIND("[",CELL("filename",A1))-1)&amp;"2.사전토공사\7_용지 사용 Risk 검토\수행지침\용지 사용 Risk 검토_수행지침.html", "👉 [클릭] 수행지침 열기 📄")</f>
        <v/>
      </c>
      <c r="R8" s="49" t="inlineStr">
        <is>
          <t>KCS 47 10 25 굴착 장비/가설재 자재 승인, 공인시험기관 시험성적서 검수 및 자재 반입 통보</t>
        </is>
      </c>
      <c r="S8" s="83">
        <f>HYPERLINK(LEFT(CELL("filename",A1),FIND("[",CELL("filename",A1))-1)&amp;"2.사전토공사\7_용지 사용 Risk 검토\체크리스트\용지 사용 Risk 검토_체크리스트.html", "👉 [클릭] 체크리스트 열기 📄")</f>
        <v/>
      </c>
      <c r="T8" s="47" t="n"/>
      <c r="U8" s="69" t="inlineStr">
        <is>
          <t>● 관련분야 설계기준서 준수</t>
        </is>
      </c>
      <c r="V8" s="69" t="inlineStr">
        <is>
          <t>1) 👉 [더블클릭] 체크리스트 열기 📄</t>
        </is>
      </c>
      <c r="W8" s="49" t="n"/>
    </row>
    <row r="9" ht="115.2" customHeight="1">
      <c r="A9" s="47" t="inlineStr">
        <is>
          <t>9000</t>
        </is>
      </c>
      <c r="B9" s="47" t="inlineStr">
        <is>
          <t>9000-5</t>
        </is>
      </c>
      <c r="C9" s="47" t="inlineStr">
        <is>
          <t>사전토공사</t>
        </is>
      </c>
      <c r="D9" s="85" t="n">
        <v>2593349</v>
      </c>
      <c r="E9" s="47" t="inlineStr">
        <is>
          <t>9000-5-6</t>
        </is>
      </c>
      <c r="F9" s="85" t="inlineStr">
        <is>
          <t>9000-5-8</t>
        </is>
      </c>
      <c r="G9" s="47" t="inlineStr">
        <is>
          <t>D-40 (D-60~D-40)</t>
        </is>
      </c>
      <c r="H9" s="36" t="inlineStr">
        <is>
          <t>용지 사용 Risk 검토</t>
        </is>
      </c>
      <c r="I9" s="47" t="inlineStr">
        <is>
          <t>토목계약관리팀</t>
        </is>
      </c>
      <c r="J9" s="49" t="inlineStr">
        <is>
          <t>토지보상법 준수 | 미보상 사유지 경계 현출 및 가설 펜스(H=1.8m) 차단 | 3D 우회 토공 동선 마일스톤 연동</t>
        </is>
      </c>
      <c r="K9" s="49" t="inlineStr">
        <is>
          <t>1) 미보상 사유지 경계 현출 ➔ 2) 가설 펜스(H=1.8m) 차단 ➔ 3) 3D 우회 토공 동선 수립 ➔ 4) 용지 보상 리스크 대책 감리 승인</t>
        </is>
      </c>
      <c r="L9" s="49" t="n"/>
      <c r="M9" s="49" t="inlineStr">
        <is>
          <t>미보상 사유지 경계 현출, 가설 펜스(H=1.8m) 차단 및 3D 우회 토공 동선 마일스톤 연동</t>
        </is>
      </c>
      <c r="N9" s="49" t="inlineStr">
        <is>
          <t>토지보상법 준수 | 미보상 사유지 경계 현출 및 가설 펜스(H=1.8m) 차단 | 3D 우회 토공 동선 마일스톤 연동</t>
        </is>
      </c>
      <c r="O9" s="75">
        <f>HYPERLINK(LEFT(CELL("filename",A1),FIND("[",CELL("filename",A1))-1)&amp;"2.사전토공사\8_착수전 Big Room 회의\표준서\착수전 Big Room 회의_표준서.html", "👉 [클릭] 표준서 열기 📄")</f>
        <v/>
      </c>
      <c r="P9" s="49" t="inlineStr">
        <is>
          <t>1) 미보상 사유지 경계 현출 ➔ 2) 가설 펜스(H=1.8m) 차단 ➔ 3) 3D 우회 토공 동선 수립 ➔ 4) 용지 보상 리스크 대책 감리 승인</t>
        </is>
      </c>
      <c r="Q9" s="76">
        <f>HYPERLINK(LEFT(CELL("filename",A1),FIND("[",CELL("filename",A1))-1)&amp;"2.사전토공사\8_착수전 Big Room 회의\수행지침\착수전 Big Room 회의_수행지침.html", "👉 [클릭] 수행지침 열기 📄")</f>
        <v/>
      </c>
      <c r="R9" s="49" t="inlineStr">
        <is>
          <t>미보상 사유지 경계 현출, 가설 펜스(H=1.8m) 차단 및 3D 우회 토공 동선 마일스톤 연동</t>
        </is>
      </c>
      <c r="S9" s="83">
        <f>HYPERLINK(LEFT(CELL("filename",A1),FIND("[",CELL("filename",A1))-1)&amp;"2.사전토공사\8_착수전 Big Room 회의\체크리스트\착수전 Big Room 회의_체크리스트.html", "👉 [클릭] 체크리스트 열기 📄")</f>
        <v/>
      </c>
      <c r="T9" s="47" t="n"/>
      <c r="U9" s="69" t="inlineStr">
        <is>
          <t>● 계약 리스크 방지 및 현장 부지 확보 요건 검토</t>
        </is>
      </c>
      <c r="V9" s="69" t="inlineStr">
        <is>
          <t>1) 👉 [더블클릭] 체크리스트 열기 📄</t>
        </is>
      </c>
      <c r="W9" s="49" t="n"/>
    </row>
    <row r="10" ht="115.2" customHeight="1">
      <c r="A10" s="47" t="inlineStr">
        <is>
          <t>9000</t>
        </is>
      </c>
      <c r="B10" s="47" t="inlineStr">
        <is>
          <t>9000-5</t>
        </is>
      </c>
      <c r="C10" s="47" t="inlineStr">
        <is>
          <t>사전토공사</t>
        </is>
      </c>
      <c r="D10" s="85" t="n">
        <v>2593351</v>
      </c>
      <c r="E10" s="47" t="inlineStr">
        <is>
          <t>9000-5-8</t>
        </is>
      </c>
      <c r="F10" s="85" t="inlineStr">
        <is>
          <t>9000-5-10</t>
        </is>
      </c>
      <c r="G10" s="47" t="inlineStr">
        <is>
          <t>D-30</t>
        </is>
      </c>
      <c r="H10" s="36" t="inlineStr">
        <is>
          <t>인허가 절차 진행</t>
        </is>
      </c>
      <c r="I10" s="47" t="inlineStr">
        <is>
          <t>현장 공무팀</t>
        </is>
      </c>
      <c r="J10" s="49" t="inlineStr">
        <is>
          <t>도로법 및 환경영향평가법 | 지자체 도로점용 허가 및 비산먼지 발생신고 수속 | 법정 인허가 필증 수속</t>
        </is>
      </c>
      <c r="K10" s="49" t="inlineStr">
        <is>
          <t>1) 지자체 도로/하천점용 허가서 작성 ➔ 2) 관련 부서 서류 제출 &amp; 심의 ➔ 3) 보증보험 증권 부착 ➔ 4) 법정 인허가 필증 감리 수속</t>
        </is>
      </c>
      <c r="L10" s="49" t="n"/>
      <c r="M10" s="49" t="inlineStr">
        <is>
          <t>지자체 도로/하천점용 허가서 접수, 비산먼지 발생사업 신고 필증 수속 및 보증보험 제출</t>
        </is>
      </c>
      <c r="N10" s="49" t="inlineStr">
        <is>
          <t>도로법 및 환경영향평가법 | 지자체 도로점용 허가 및 비산먼지 발생신고 수속 | 법정 인허가 필증 수속</t>
        </is>
      </c>
      <c r="O10" s="75">
        <f>HYPERLINK(LEFT(CELL("filename",A1),FIND("[",CELL("filename",A1))-1)&amp;"2.사전토공사\9_인허가 절차 진행\표준서\인허가 절차 진행_표준서.html", "👉 [클릭] 표준서 열기 📄")</f>
        <v/>
      </c>
      <c r="P10" s="49" t="inlineStr">
        <is>
          <t>1) 지자체 도로/하천점용 허가서 작성 ➔ 2) 관련 부서 서류 제출 &amp; 심의 ➔ 3) 보증보험 증권 부착 ➔ 4) 법정 인허가 필증 감리 수속</t>
        </is>
      </c>
      <c r="Q10" s="76">
        <f>HYPERLINK(LEFT(CELL("filename",A1),FIND("[",CELL("filename",A1))-1)&amp;"2.사전토공사\9_인허가 절차 진행\수행지침\인허가 절차 진행_수행지침.html", "👉 [클릭] 수행지침 열기 📄")</f>
        <v/>
      </c>
      <c r="R10" s="49" t="inlineStr">
        <is>
          <t>지자체 도로/하천점용 허가서 접수, 비산먼지 발생사업 신고 필증 수속 및 보증보험 제출</t>
        </is>
      </c>
      <c r="S10" s="83">
        <f>HYPERLINK(LEFT(CELL("filename",A1),FIND("[",CELL("filename",A1))-1)&amp;"2.사전토공사\9_인허가 절차 진행\체크리스트\인허가 절차 진행_체크리스트.html", "👉 [클릭] 체크리스트 열기 📄")</f>
        <v/>
      </c>
      <c r="T10" s="47" t="n"/>
      <c r="U10" s="69" t="inlineStr">
        <is>
          <t>● 관련 인허가 법령 검토</t>
        </is>
      </c>
      <c r="V10" s="69" t="inlineStr">
        <is>
          <t>1) 👉 [더블클릭] 체크리스트 열기 📄</t>
        </is>
      </c>
      <c r="W10" s="49" t="n"/>
    </row>
    <row r="11" ht="96" customHeight="1">
      <c r="A11" s="47" t="inlineStr">
        <is>
          <t>9000</t>
        </is>
      </c>
      <c r="B11" s="47" t="inlineStr">
        <is>
          <t>9000-5</t>
        </is>
      </c>
      <c r="C11" s="47" t="inlineStr">
        <is>
          <t>사전토공사</t>
        </is>
      </c>
      <c r="D11" s="85" t="n">
        <v>2593352</v>
      </c>
      <c r="E11" s="47" t="inlineStr">
        <is>
          <t>9000-5-9</t>
        </is>
      </c>
      <c r="F11" s="85" t="inlineStr">
        <is>
          <t>9000-5-11</t>
        </is>
      </c>
      <c r="G11" s="47" t="inlineStr">
        <is>
          <t>D-30</t>
        </is>
      </c>
      <c r="H11" s="36" t="inlineStr">
        <is>
          <t>교통처리대책 협의 및 승인</t>
        </is>
      </c>
      <c r="I11" s="47" t="inlineStr">
        <is>
          <t>현장 공무팀</t>
        </is>
      </c>
      <c r="J11" s="49" t="inlineStr">
        <is>
          <t>도로교통법 안전 수칙 | 경찰서 차선 점용 허가 및 가설 둔차선 도로 복구 이행 보증보험 | 교통대책 감리 승인</t>
        </is>
      </c>
      <c r="K11" s="49" t="inlineStr">
        <is>
          <t>1) 경찰서 차선 점용 허가증 수령 ➔ 2) 도로 복구 보증보험 증권 제출 ➔ 3) 전담 신호수 &amp; LED 경광등 배치 ➔ 4) 교통대책서 감리 서면 승인</t>
        </is>
      </c>
      <c r="L11" s="49" t="n"/>
      <c r="M11" s="49" t="inlineStr">
        <is>
          <t>동탄경찰서 차선 점용 허가, 도로 복구 이행 보증보험 제출 및 전담 신호수(2인 2조) 100% 배치</t>
        </is>
      </c>
      <c r="N11" s="49" t="inlineStr">
        <is>
          <t>도로교통법 안전 수칙 | 경찰서 차선 점용 허가 및 가설 둔차선 도로 복구 이행 보증보험 | 교통대책 감리 승인</t>
        </is>
      </c>
      <c r="O11" s="75">
        <f>HYPERLINK(LEFT(CELL("filename",A1),FIND("[",CELL("filename",A1))-1)&amp;"2.사전토공사\10_교통처리대책 협의 및 승인\표준서\교통처리대책 협의 및 승인_표준서.html", "👉 [클릭] 표준서 열기 📄")</f>
        <v/>
      </c>
      <c r="P11" s="49" t="inlineStr">
        <is>
          <t>1) 경찰서 차선 점용 허가증 수령 ➔ 2) 도로 복구 보증보험 증권 제출 ➔ 3) 전담 신호수 &amp; LED 경광등 배치 ➔ 4) 교통대책서 감리 서면 승인</t>
        </is>
      </c>
      <c r="Q11" s="76">
        <f>HYPERLINK(LEFT(CELL("filename",A1),FIND("[",CELL("filename",A1))-1)&amp;"2.사전토공사\10_교통처리대책 협의 및 승인\수행지침\교통처리대책 협의 및 승인_수행지침.html", "👉 [클릭] 수행지침 열기 📄")</f>
        <v/>
      </c>
      <c r="R11" s="49" t="inlineStr">
        <is>
          <t>동탄경찰서 차선 점용 허가, 도로 복구 이행 보증보험 제출 및 전담 신호수(2인 2조) 100% 배치</t>
        </is>
      </c>
      <c r="S11" s="83">
        <f>HYPERLINK(LEFT(CELL("filename",A1),FIND("[",CELL("filename",A1))-1)&amp;"2.사전토공사\10_교통처리대책 협의 및 승인\체크리스트\교통처리대책 협의 및 승인_체크리스트.html", "👉 [클릭] 체크리스트 열기 📄")</f>
        <v/>
      </c>
      <c r="T11" s="47" t="n"/>
      <c r="U11" s="69" t="inlineStr">
        <is>
          <t>● 사토/토취장 인허가 요건 준수</t>
        </is>
      </c>
      <c r="V11" s="69" t="inlineStr">
        <is>
          <t>1) 👉 [더블클릭] 체크리스트 열기 📄</t>
        </is>
      </c>
      <c r="W11" s="49" t="n"/>
    </row>
    <row r="12" ht="115.2" customHeight="1">
      <c r="A12" s="47" t="inlineStr">
        <is>
          <t>9000</t>
        </is>
      </c>
      <c r="B12" s="47" t="inlineStr">
        <is>
          <t>9000-5</t>
        </is>
      </c>
      <c r="C12" s="47" t="inlineStr">
        <is>
          <t>사전토공사</t>
        </is>
      </c>
      <c r="D12" s="85" t="n">
        <v>2593353</v>
      </c>
      <c r="E12" s="47" t="inlineStr">
        <is>
          <t>9000-5-10</t>
        </is>
      </c>
      <c r="F12" s="85" t="inlineStr">
        <is>
          <t>9000-5-12</t>
        </is>
      </c>
      <c r="G12" s="47" t="inlineStr">
        <is>
          <t>D-30</t>
        </is>
      </c>
      <c r="H12" s="36" t="inlineStr">
        <is>
          <t>지장물 검토 및 협의</t>
        </is>
      </c>
      <c r="I12" s="47" t="inlineStr">
        <is>
          <t>현장 공무팀/공사팀</t>
        </is>
      </c>
      <c r="J12" s="49" t="inlineStr">
        <is>
          <t>지하안전관리에 관한 특별법 | GPR 3D 관로 탐사 &amp; 인력 시탐 줄파기(깊이 1.5m) | 점용기관 현장 입회 이설 방호</t>
        </is>
      </c>
      <c r="K12" s="49" t="inlineStr">
        <is>
          <t>1) GPR 3D 지중 관로 탐사 ➔ 2) 인력 시탐 줄파기(깊이 1.5m) ➔ 3) 관할 점용기관 1:1 현장 입회 ➔ 4) 매달기 방호 &amp; 지장물 서면 승인</t>
        </is>
      </c>
      <c r="L12" s="49" t="n"/>
      <c r="M12" s="49" t="inlineStr">
        <is>
          <t>GPR 3D 관로 탐사, 인력 시탐 줄파기(폭 0.5m, 깊이 1.5m) 및 점용기관 1:1 현장 입회 매달기 방호</t>
        </is>
      </c>
      <c r="N12" s="49" t="inlineStr">
        <is>
          <t>지하안전관리에 관한 특별법 | GPR 3D 관로 탐사 &amp; 인력 시탐 줄파기(깊이 1.5m) | 점용기관 현장 입회 이설 방호</t>
        </is>
      </c>
      <c r="O12" s="75">
        <f>HYPERLINK(LEFT(CELL("filename",A1),FIND("[",CELL("filename",A1))-1)&amp;"2.사전토공사\11_지장물 검토 및 협의\표준서\지장물 검토 및 협의_표준서.html", "👉 [클릭] 표준서 열기 📄")</f>
        <v/>
      </c>
      <c r="P12" s="49" t="inlineStr">
        <is>
          <t>1) GPR 3D 지중 관로 탐사 ➔ 2) 인력 시탐 줄파기(깊이 1.5m) ➔ 3) 관할 점용기관 1:1 현장 입회 ➔ 4) 매달기 방호 &amp; 지장물 서면 승인</t>
        </is>
      </c>
      <c r="Q12" s="76">
        <f>HYPERLINK(LEFT(CELL("filename",A1),FIND("[",CELL("filename",A1))-1)&amp;"2.사전토공사\11_지장물 검토 및 협의\수행지침\지장물 검토 및 협의_수행지침.html", "👉 [클릭] 수행지침 열기 📄")</f>
        <v/>
      </c>
      <c r="R12" s="49" t="inlineStr">
        <is>
          <t>GPR 3D 관로 탐사, 인력 시탐 줄파기(폭 0.5m, 깊이 1.5m) 및 점용기관 1:1 현장 입회 매달기 방호</t>
        </is>
      </c>
      <c r="S12" s="83">
        <f>HYPERLINK(LEFT(CELL("filename",A1),FIND("[",CELL("filename",A1))-1)&amp;"2.사전토공사\11_지장물 검토 및 협의\체크리스트\지장물 검토 및 협의_체크리스트.html", "👉 [클릭] 체크리스트 열기 📄")</f>
        <v/>
      </c>
      <c r="T12" s="47" t="n"/>
      <c r="U12" s="69" t="inlineStr">
        <is>
          <t>● 도로점용 및 지장물 이설 규정 준수</t>
        </is>
      </c>
      <c r="V12" s="69" t="inlineStr">
        <is>
          <t>1) 👉 [더블클릭] 체크리스트 열기 📄</t>
        </is>
      </c>
      <c r="W12" s="49" t="n"/>
    </row>
    <row r="13" ht="96" customHeight="1">
      <c r="A13" s="47" t="inlineStr">
        <is>
          <t>9000</t>
        </is>
      </c>
      <c r="B13" s="47" t="inlineStr">
        <is>
          <t>9000-5</t>
        </is>
      </c>
      <c r="C13" s="47" t="inlineStr">
        <is>
          <t>사전토공사</t>
        </is>
      </c>
      <c r="D13" s="85" t="n">
        <v>2593354</v>
      </c>
      <c r="E13" s="47" t="inlineStr">
        <is>
          <t>9000-5-11</t>
        </is>
      </c>
      <c r="F13" s="85" t="inlineStr">
        <is>
          <t>9000-5-13</t>
        </is>
      </c>
      <c r="G13" s="47" t="inlineStr">
        <is>
          <t>D-30</t>
        </is>
      </c>
      <c r="H13" s="36" t="inlineStr">
        <is>
          <t>기공승낙 적정성 검토</t>
        </is>
      </c>
      <c r="I13" s="47" t="inlineStr">
        <is>
          <t>현장 공무팀</t>
        </is>
      </c>
      <c r="J13" s="49" t="inlineStr">
        <is>
          <t>국유재산법 및 공유재산법 | 토지 기공승낙서 인허가 확인 및 진입로 점용 범위 실측 | 토지 사용 승인서 결재</t>
        </is>
      </c>
      <c r="K13" s="49" t="inlineStr">
        <is>
          <t>1) 국유지/공유지 기공승낙서 수속 ➔ 2) 진입 도로 점용 범위 실측 ➔ 3) 토지 소유주 사용 협의 ➔ 4) 기공승낙서 감리 서면 승인</t>
        </is>
      </c>
      <c r="L13" s="49" t="n"/>
      <c r="M13" s="49" t="inlineStr">
        <is>
          <t>국유지/공유지 기공승낙서 인허가 검증, 진입 도로 점용 범위 실측 및 토지 사용 승인서 결재</t>
        </is>
      </c>
      <c r="N13" s="49" t="inlineStr">
        <is>
          <t>국유재산법 및 공유재산법 | 토지 기공승낙서 인허가 확인 및 진입로 점용 범위 실측 | 토지 사용 승인서 결재</t>
        </is>
      </c>
      <c r="O13" s="75">
        <f>HYPERLINK(LEFT(CELL("filename",A1),FIND("[",CELL("filename",A1))-1)&amp;"2.사전토공사\12_기공승낙 적정성 검토\표준서\기공승낙 적정성 검토_표준서.html", "👉 [클릭] 표준서 열기 📄")</f>
        <v/>
      </c>
      <c r="P13" s="49" t="inlineStr">
        <is>
          <t>1) 국유지/공유지 기공승낙서 수속 ➔ 2) 진입 도로 점용 범위 실측 ➔ 3) 토지 소유주 사용 협의 ➔ 4) 기공승낙서 감리 서면 승인</t>
        </is>
      </c>
      <c r="Q13" s="76">
        <f>HYPERLINK(LEFT(CELL("filename",A1),FIND("[",CELL("filename",A1))-1)&amp;"2.사전토공사\12_기공승낙 적정성 검토\수행지침\기공승낙 적정성 검토_수행지침.html", "👉 [클릭] 수행지침 열기 📄")</f>
        <v/>
      </c>
      <c r="R13" s="49" t="inlineStr">
        <is>
          <t>국유지/공유지 기공승낙서 인허가 검증, 진입 도로 점용 범위 실측 및 토지 사용 승인서 결재</t>
        </is>
      </c>
      <c r="S13" s="83">
        <f>HYPERLINK(LEFT(CELL("filename",A1),FIND("[",CELL("filename",A1))-1)&amp;"2.사전토공사\12_기공승낙 적정성 검토\체크리스트\기공승낙 적정성 검토_체크리스트.html", "👉 [클릭] 체크리스트 열기 📄")</f>
        <v/>
      </c>
      <c r="T13" s="47" t="n"/>
      <c r="U13" s="69" t="inlineStr">
        <is>
          <t>● 용지 취득 및 기공승낙 법적 검토</t>
        </is>
      </c>
      <c r="V13" s="69" t="inlineStr">
        <is>
          <t>1) 👉 [더블클릭] 체크리스트 열기 📄</t>
        </is>
      </c>
      <c r="W13" s="49" t="n"/>
    </row>
    <row r="14" ht="96" customHeight="1">
      <c r="A14" s="47" t="inlineStr">
        <is>
          <t>9000</t>
        </is>
      </c>
      <c r="B14" s="47" t="inlineStr">
        <is>
          <t>9000-5</t>
        </is>
      </c>
      <c r="C14" s="47" t="inlineStr">
        <is>
          <t>사전토공사</t>
        </is>
      </c>
      <c r="D14" s="85" t="n">
        <v>2593355</v>
      </c>
      <c r="E14" s="47" t="inlineStr">
        <is>
          <t>9000-5-12</t>
        </is>
      </c>
      <c r="F14" s="85" t="inlineStr">
        <is>
          <t>9000-5-14</t>
        </is>
      </c>
      <c r="G14" s="47" t="inlineStr">
        <is>
          <t>D-30</t>
        </is>
      </c>
      <c r="H14" s="36" t="inlineStr">
        <is>
          <t>민원 저감 대책 수립</t>
        </is>
      </c>
      <c r="I14" s="47" t="inlineStr">
        <is>
          <t>현장 안전팀/공무팀</t>
        </is>
      </c>
      <c r="J14" s="49" t="inlineStr">
        <is>
          <t>소음진동관리법 준수 | 야간 공사 소음 방음벽(H=3m) 및 세륜기(깊이 1.2m) 가동 | 단수/단전 주민 사전 안내</t>
        </is>
      </c>
      <c r="K14" s="49" t="inlineStr">
        <is>
          <t>1) 야간 공사 소음 방음벽(H=3m) 설치 ➔ 2) 세륜기 가동 &amp; 분무 살수 ➔ 3) 단수/단전 사전 주민 공지 ➔ 4) 민원 대응반 서면 승인</t>
        </is>
      </c>
      <c r="L14" s="49" t="n"/>
      <c r="M14" s="49" t="inlineStr">
        <is>
          <t>야간 공사 소음 방음벽(H=3m) 가동, 세륜기(깊이 1.2m) 가동 및 단수/단전 주민 사전 고지</t>
        </is>
      </c>
      <c r="N14" s="49" t="inlineStr">
        <is>
          <t>소음진동관리법 준수 | 야간 공사 소음 방음벽(H=3m) 및 세륜기(깊이 1.2m) 가동 | 단수/단전 주민 사전 안내</t>
        </is>
      </c>
      <c r="O14" s="75">
        <f>HYPERLINK(LEFT(CELL("filename",A1),FIND("[",CELL("filename",A1))-1)&amp;"2.사전토공사\13_민원 저감 대책 수립\표준서\민원 저감 대책 수립_표준서.html", "👉 [클릭] 표준서 열기 📄")</f>
        <v/>
      </c>
      <c r="P14" s="49" t="inlineStr">
        <is>
          <t>1) 야간 공사 소음 방음벽(H=3m) 설치 ➔ 2) 세륜기 가동 &amp; 분무 살수 ➔ 3) 단수/단전 사전 주민 공지 ➔ 4) 민원 대응반 서면 승인</t>
        </is>
      </c>
      <c r="Q14" s="76">
        <f>HYPERLINK(LEFT(CELL("filename",A1),FIND("[",CELL("filename",A1))-1)&amp;"2.사전토공사\13_민원 저감 대책 수립\수행지침\민원 저감 대책 수립_수행지침.html", "👉 [클릭] 수행지침 열기 📄")</f>
        <v/>
      </c>
      <c r="R14" s="49" t="inlineStr">
        <is>
          <t>야간 공사 소음 방음벽(H=3m) 가동, 세륜기(깊이 1.2m) 가동 및 단수/단전 주민 사전 고지</t>
        </is>
      </c>
      <c r="S14" s="83">
        <f>HYPERLINK(LEFT(CELL("filename",A1),FIND("[",CELL("filename",A1))-1)&amp;"2.사전토공사\13_민원 저감 대책 수립\체크리스트\민원 저감 대책 수립_체크리스트.html", "👉 [클릭] 체크리스트 열기 📄")</f>
        <v/>
      </c>
      <c r="T14" s="47" t="n"/>
      <c r="U14" s="69" t="inlineStr">
        <is>
          <t>● 민원 관리 지침 준수</t>
        </is>
      </c>
      <c r="V14" s="69" t="inlineStr">
        <is>
          <t>1) 👉 [더블클릭] 체크리스트 열기 📄</t>
        </is>
      </c>
      <c r="W14" s="49" t="n"/>
    </row>
    <row r="15" ht="96" customHeight="1">
      <c r="A15" s="47" t="inlineStr">
        <is>
          <t>9000</t>
        </is>
      </c>
      <c r="B15" s="47" t="inlineStr">
        <is>
          <t>9000-5</t>
        </is>
      </c>
      <c r="C15" s="47" t="inlineStr">
        <is>
          <t>사전토공사</t>
        </is>
      </c>
      <c r="D15" s="85" t="n">
        <v>2593356</v>
      </c>
      <c r="E15" s="47" t="inlineStr">
        <is>
          <t>9000-5-13</t>
        </is>
      </c>
      <c r="F15" s="85" t="inlineStr">
        <is>
          <t>9000-5-15</t>
        </is>
      </c>
      <c r="G15" s="47" t="inlineStr">
        <is>
          <t>D-30</t>
        </is>
      </c>
      <c r="H15" s="36" t="inlineStr">
        <is>
          <t>용지보상 Risk 파악</t>
        </is>
      </c>
      <c r="I15" s="47" t="inlineStr">
        <is>
          <t>현장 공무팀</t>
        </is>
      </c>
      <c r="J15" s="49" t="inlineStr">
        <is>
          <t>토지보상법 준수 | 지장물 이설 부지 용지보상 현황 및 점용 경계 실측 | 미보상 사유지 가설 펜스 차단</t>
        </is>
      </c>
      <c r="K15" s="49" t="inlineStr">
        <is>
          <t>1) 미보상 필지 현출 &amp; 지적 대조 ➔ 2) 가설 펜스(H=1.8m) 차단 ➔ 3) 우회 토공 동선 수립 ➔ 4) 용지 보상 대책서 감리 승인</t>
        </is>
      </c>
      <c r="L15" s="49" t="n"/>
      <c r="M15" s="49" t="inlineStr">
        <is>
          <t>미보상 필지 지적 대조, 경계 가설 펜스(H=1.8m) 차단 및 우회 토공 동선 서면 승인</t>
        </is>
      </c>
      <c r="N15" s="49" t="inlineStr">
        <is>
          <t>토지보상법 준수 | 지장물 이설 부지 용지보상 현황 및 점용 경계 실측 | 미보상 사유지 가설 펜스 차단</t>
        </is>
      </c>
      <c r="O15" s="75">
        <f>HYPERLINK(LEFT(CELL("filename",A1),FIND("[",CELL("filename",A1))-1)&amp;"2.사전토공사\14_용지보상 Risk 파악\표준서\용지보상 Risk 파악_표준서.html", "👉 [클릭] 표준서 열기 📄")</f>
        <v/>
      </c>
      <c r="P15" s="49" t="inlineStr">
        <is>
          <t>1) 미보상 필지 현출 &amp; 지적 대조 ➔ 2) 가설 펜스(H=1.8m) 차단 ➔ 3) 우회 토공 동선 수립 ➔ 4) 용지 보상 대책서 감리 승인</t>
        </is>
      </c>
      <c r="Q15" s="76">
        <f>HYPERLINK(LEFT(CELL("filename",A1),FIND("[",CELL("filename",A1))-1)&amp;"2.사전토공사\14_용지보상 Risk 파악\수행지침\용지보상 Risk 파악_수행지침.html", "👉 [클릭] 수행지침 열기 📄")</f>
        <v/>
      </c>
      <c r="R15" s="49" t="inlineStr">
        <is>
          <t>미보상 필지 지적 대조, 경계 가설 펜스(H=1.8m) 차단 및 우회 토공 동선 서면 승인</t>
        </is>
      </c>
      <c r="S15" s="83">
        <f>HYPERLINK(LEFT(CELL("filename",A1),FIND("[",CELL("filename",A1))-1)&amp;"2.사전토공사\14_용지보상 Risk 파악\체크리스트\용지보상 Risk 파악_체크리스트.html", "👉 [클릭] 체크리스트 열기 📄")</f>
        <v/>
      </c>
      <c r="T15" s="47" t="n"/>
      <c r="U15" s="69" t="inlineStr">
        <is>
          <t>● 토지보상법 및 공정 영향 분석</t>
        </is>
      </c>
      <c r="V15" s="69" t="inlineStr">
        <is>
          <t>1) 👉 [더블클릭] 체크리스트 열기 📄</t>
        </is>
      </c>
      <c r="W15" s="49" t="n"/>
    </row>
    <row r="16" ht="96" customHeight="1">
      <c r="A16" s="47" t="inlineStr">
        <is>
          <t>9000</t>
        </is>
      </c>
      <c r="B16" s="47" t="inlineStr">
        <is>
          <t>9000-5</t>
        </is>
      </c>
      <c r="C16" s="47" t="inlineStr">
        <is>
          <t>사전토공사</t>
        </is>
      </c>
      <c r="D16" s="85" t="n">
        <v>2593357</v>
      </c>
      <c r="E16" s="47" t="inlineStr">
        <is>
          <t>9000-5-14</t>
        </is>
      </c>
      <c r="F16" s="85" t="inlineStr">
        <is>
          <t>9000-5-16</t>
        </is>
      </c>
      <c r="G16" s="47" t="inlineStr">
        <is>
          <t>D-30</t>
        </is>
      </c>
      <c r="H16" s="36" t="inlineStr">
        <is>
          <t>시공계획서 검토 지원</t>
        </is>
      </c>
      <c r="I16" s="47" t="inlineStr">
        <is>
          <t>토목품질팀</t>
        </is>
      </c>
      <c r="J16" s="49" t="inlineStr">
        <is>
          <t>건진법 시행령 제89조 | 사전 토공 시공계획서 표준 8대 목차 검토 | 착공 14일 전 감리 서면 승인</t>
        </is>
      </c>
      <c r="K16" s="49" t="inlineStr">
        <is>
          <t>1) 사전 토공 시공계획서 작성 ➔ 2) 8대 목차 &amp; KCS 수치 명시 ➔ 3) 착공 14일 전 감리단 제출 ➔ 4) 시공계획서 감리 서면 승인</t>
        </is>
      </c>
      <c r="L16" s="49" t="n"/>
      <c r="M16" s="49" t="inlineStr">
        <is>
          <t>사전 토공 시공계획서 표준 8대 목차, KCS 수치 수록 및 착공 14일 전 감리 서면 승인</t>
        </is>
      </c>
      <c r="N16" s="49" t="inlineStr">
        <is>
          <t>건진법 시행령 제89조 | 사전 토공 시공계획서 표준 8대 목차 검토 | 착공 14일 전 감리 서면 승인</t>
        </is>
      </c>
      <c r="O16" s="75">
        <f>HYPERLINK(LEFT(CELL("filename",A1),FIND("[",CELL("filename",A1))-1)&amp;"2.사전토공사\15_시공계획서 검토 지원\표준서\시공계획서 검토 지원_표준서.html", "👉 [클릭] 표준서 열기 📄")</f>
        <v/>
      </c>
      <c r="P16" s="49" t="inlineStr">
        <is>
          <t>1) 사전 토공 시공계획서 작성 ➔ 2) 8대 목차 &amp; KCS 수치 명시 ➔ 3) 착공 14일 전 감리단 제출 ➔ 4) 시공계획서 감리 서면 승인</t>
        </is>
      </c>
      <c r="Q16" s="76">
        <f>HYPERLINK(LEFT(CELL("filename",A1),FIND("[",CELL("filename",A1))-1)&amp;"2.사전토공사\15_시공계획서 검토 지원\수행지침\시공계획서 검토 지원_수행지침.html", "👉 [클릭] 수행지침 열기 📄")</f>
        <v/>
      </c>
      <c r="R16" s="49" t="inlineStr">
        <is>
          <t>사전 토공 시공계획서 표준 8대 목차, KCS 수치 수록 및 착공 14일 전 감리 서면 승인</t>
        </is>
      </c>
      <c r="S16" s="83">
        <f>HYPERLINK(LEFT(CELL("filename",A1),FIND("[",CELL("filename",A1))-1)&amp;"2.사전토공사\15_시공계획서 검토 지원\체크리스트\시공계획서 검토 지원_체크리스트.html", "👉 [클릭] 체크리스트 열기 📄")</f>
        <v/>
      </c>
      <c r="T16" s="47" t="n"/>
      <c r="U16" s="69" t="inlineStr">
        <is>
          <t>● 품질경영 매뉴얼 기준</t>
        </is>
      </c>
      <c r="V16" s="69" t="inlineStr">
        <is>
          <t>1) 👉 [더블클릭] 체크리스트 열기 📄</t>
        </is>
      </c>
      <c r="W16" s="49" t="n"/>
    </row>
    <row r="17" ht="96" customHeight="1">
      <c r="A17" s="47" t="inlineStr">
        <is>
          <t>9000</t>
        </is>
      </c>
      <c r="B17" s="47" t="inlineStr">
        <is>
          <t>9000-5</t>
        </is>
      </c>
      <c r="C17" s="47" t="inlineStr">
        <is>
          <t>사전토공사</t>
        </is>
      </c>
      <c r="D17" s="85" t="n">
        <v>2593358</v>
      </c>
      <c r="E17" s="47" t="inlineStr">
        <is>
          <t>9000-5-17</t>
        </is>
      </c>
      <c r="F17" s="85" t="inlineStr">
        <is>
          <t>9000-5-19</t>
        </is>
      </c>
      <c r="G17" s="47" t="inlineStr">
        <is>
          <t>D-30</t>
        </is>
      </c>
      <c r="H17" s="36" t="inlineStr">
        <is>
          <t>설계변경 (착수전)</t>
        </is>
      </c>
      <c r="I17" s="47" t="inlineStr">
        <is>
          <t>현장 공무팀/공사팀</t>
        </is>
      </c>
      <c r="J17" s="49" t="inlineStr">
        <is>
          <t>지방계약법 정산 수칙 | 착수 전 토종 변경 및 수량 증감 실정보고 작성 | 총사업비 변경 승인 수속</t>
        </is>
      </c>
      <c r="K17" s="49" t="inlineStr">
        <is>
          <t>1) 토질 변경 &amp; 수량 증감 실정보고 작성 ➔ 2) 단가 비교표 작성 ➔ 3) 설계변경 도서 제출 ➔ 4) 총사업비 변경 승인 결재</t>
        </is>
      </c>
      <c r="L17" s="49" t="n"/>
      <c r="M17" s="49" t="inlineStr">
        <is>
          <t>토질 변경 &amp; 수량 증감 실정보고서 작성, 단가 비교표 작성 및 총사업비 변경 승인 결재</t>
        </is>
      </c>
      <c r="N17" s="49" t="inlineStr">
        <is>
          <t>지방계약법 정산 수칙 | 착수 전 토종 변경 및 수량 증감 실정보고 작성 | 총사업비 변경 승인 수속</t>
        </is>
      </c>
      <c r="O17" s="75">
        <f>HYPERLINK(LEFT(CELL("filename",A1),FIND("[",CELL("filename",A1))-1)&amp;"2.사전토공사\16_시공계획 수립\표준서\설계변경 (착수전)_표준서.html", "👉 [클릭] 표준서 열기 📄")</f>
        <v/>
      </c>
      <c r="P17" s="49" t="inlineStr">
        <is>
          <t>1) 토질 변경 &amp; 수량 증감 실정보고 작성 ➔ 2) 단가 비교표 작성 ➔ 3) 설계변경 도서 제출 ➔ 4) 총사업비 변경 승인 결재</t>
        </is>
      </c>
      <c r="Q17" s="76">
        <f>HYPERLINK(LEFT(CELL("filename",A1),FIND("[",CELL("filename",A1))-1)&amp;"2.사전토공사\16_시공계획 수립\수행지침\설계변경 (착수전)_수행지침.html", "👉 [클릭] 수행지침 열기 📄")</f>
        <v/>
      </c>
      <c r="R17" s="49" t="inlineStr">
        <is>
          <t>토질 변경 &amp; 수량 증감 실정보고서 작성, 단가 비교표 작성 및 총사업비 변경 승인 결재</t>
        </is>
      </c>
      <c r="S17" s="83">
        <f>HYPERLINK(LEFT(CELL("filename",A1),FIND("[",CELL("filename",A1))-1)&amp;"2.사전토공사\16_시공계획 수립\체크리스트\설계변경 (착수전)_체크리스트.html", "👉 [클릭] 체크리스트 열기 📄")</f>
        <v/>
      </c>
      <c r="T17" s="47" t="n"/>
      <c r="U17" s="69" t="inlineStr">
        <is>
          <t>● 설계변경 절차 규정 준수</t>
        </is>
      </c>
      <c r="V17" s="69" t="inlineStr">
        <is>
          <t>1) 👉 [더블클릭] 체크리스트 열기 📄</t>
        </is>
      </c>
      <c r="W17" s="49" t="n"/>
    </row>
    <row r="18" ht="96" customHeight="1">
      <c r="A18" s="47" t="inlineStr">
        <is>
          <t>9000</t>
        </is>
      </c>
      <c r="B18" s="47" t="inlineStr">
        <is>
          <t>9000-5</t>
        </is>
      </c>
      <c r="C18" s="47" t="inlineStr">
        <is>
          <t>사전토공사</t>
        </is>
      </c>
      <c r="D18" s="85" t="n">
        <v>2593359</v>
      </c>
      <c r="E18" s="47" t="inlineStr">
        <is>
          <t>9000-5-15</t>
        </is>
      </c>
      <c r="F18" s="85" t="inlineStr">
        <is>
          <t>9000-5-17</t>
        </is>
      </c>
      <c r="G18" s="47" t="inlineStr">
        <is>
          <t>D-30</t>
        </is>
      </c>
      <c r="H18" s="36" t="inlineStr">
        <is>
          <t>시공계획 수립</t>
        </is>
      </c>
      <c r="I18" s="47" t="inlineStr">
        <is>
          <t>현장 공사팀</t>
        </is>
      </c>
      <c r="J18" s="49" t="inlineStr">
        <is>
          <t>KCS 47 10 25 토공 시방 | 깎기/성토 토공 유동표 작성 및 3D BIM 도면 대조 | 책임감리원 최종 승인</t>
        </is>
      </c>
      <c r="K18" s="49" t="inlineStr">
        <is>
          <t>1) 토공 깎기/성토 유동표 작성 ➔ 2) 3D BIM 모델 표고 대조 ➔ 3) 사면 안성성 계산서 부착 ➔ 4) 토공 시공계획서 감리 최종 결재</t>
        </is>
      </c>
      <c r="L18" s="49" t="n"/>
      <c r="M18" s="49" t="inlineStr">
        <is>
          <t>토공 깎기/성토 유동표 작성, 3D BIM 모델 표고 대조 및 사면 안전성 계산서 감리 결재</t>
        </is>
      </c>
      <c r="N18" s="49" t="inlineStr">
        <is>
          <t>KCS 47 10 25 토공 시방 | 깎기/성토 토공 유동표 작성 및 3D BIM 도면 대조 | 책임감리원 최종 승인</t>
        </is>
      </c>
      <c r="O18" s="75">
        <f>HYPERLINK(LEFT(CELL("filename",A1),FIND("[",CELL("filename",A1))-1)&amp;"2.사전토공사\17_후행공종 요구조건 반영 설계변경 검토\표준서\후행공종 요구조건 반영 설계변경 검토_표준서.html", "👉 [클릭] 표준서 열기 📄")</f>
        <v/>
      </c>
      <c r="P18" s="49" t="inlineStr">
        <is>
          <t>1) 토공 깎기/성토 유동표 작성 ➔ 2) 3D BIM 모델 표고 대조 ➔ 3) 사면 안성성 계산서 부착 ➔ 4) 토공 시공계획서 감리 최종 결재</t>
        </is>
      </c>
      <c r="Q18" s="76">
        <f>HYPERLINK(LEFT(CELL("filename",A1),FIND("[",CELL("filename",A1))-1)&amp;"2.사전토공사\17_후행공종 요구조건 반영 설계변경 검토\수행지침\후행공종 요구조건 반영 설계변경 검토_수행지침.html", "👉 [클릭] 수행지침 열기 📄")</f>
        <v/>
      </c>
      <c r="R18" s="49" t="inlineStr">
        <is>
          <t>토공 깎기/성토 유동표 작성, 3D BIM 모델 표고 대조 및 사면 안전성 계산서 감리 결재</t>
        </is>
      </c>
      <c r="S18" s="83">
        <f>HYPERLINK(LEFT(CELL("filename",A1),FIND("[",CELL("filename",A1))-1)&amp;"2.사전토공사\17_후행공종 요구조건 반영 설계변경 검토\체크리스트\후행공종 요구조건 반영 설계변경 검토_체크리스트.html", "👉 [클릭] 체크리스트 열기 📄")</f>
        <v/>
      </c>
      <c r="T18" s="47" t="n"/>
      <c r="U18" s="69" t="inlineStr">
        <is>
          <t>● 토공사 표준시방서 준수</t>
        </is>
      </c>
      <c r="V18" s="69" t="inlineStr">
        <is>
          <t>1) 👉 [더블클릭] 체크리스트 열기 📄</t>
        </is>
      </c>
      <c r="W18" s="49" t="n"/>
    </row>
    <row r="19" ht="96" customHeight="1">
      <c r="A19" s="47" t="inlineStr">
        <is>
          <t>9000</t>
        </is>
      </c>
      <c r="B19" s="47" t="inlineStr">
        <is>
          <t>9000-5</t>
        </is>
      </c>
      <c r="C19" s="47" t="inlineStr">
        <is>
          <t>사전토공사</t>
        </is>
      </c>
      <c r="D19" s="85" t="n">
        <v>2593360</v>
      </c>
      <c r="E19" s="47" t="inlineStr">
        <is>
          <t>9000-5-16</t>
        </is>
      </c>
      <c r="F19" s="85" t="inlineStr">
        <is>
          <t>9000-5-18</t>
        </is>
      </c>
      <c r="G19" s="47" t="inlineStr">
        <is>
          <t>D-30</t>
        </is>
      </c>
      <c r="H19" s="36" t="inlineStr">
        <is>
          <t>후행공종 요구조건 반영 설계변경 검토</t>
        </is>
      </c>
      <c r="I19" s="47" t="inlineStr">
        <is>
          <t>현장 공무팀/공사팀</t>
        </is>
      </c>
      <c r="J19" s="49" t="inlineStr">
        <is>
          <t>건진법 설계변경 수칙 | 궤도/구조물 후행 공종 요구 표고 오차(±10mm) 반영 | 설계변경 실정보고서 작성</t>
        </is>
      </c>
      <c r="K19" s="49" t="inlineStr">
        <is>
          <t>1) 궤도/구조물 후행 요구 조건 수집 ➔ 2) 마무리면 표고 오차(±10mm) 반영 ➔ 3) 설계변경 실정보고서 작성 ➔ 4) 책임감리원 기술 승인</t>
        </is>
      </c>
      <c r="L19" s="49" t="n"/>
      <c r="M19" s="49" t="inlineStr">
        <is>
          <t>궤도/구조물 후행 요구 조건 반영, 마무리면 표고 오차(±10mm) 반영 및 설계변경 실정보고</t>
        </is>
      </c>
      <c r="N19" s="49" t="inlineStr">
        <is>
          <t>건진법 설계변경 수칙 | 궤도/구조물 후행 공종 요구 표고 오차(±10mm) 반영 | 설계변경 실정보고서 작성</t>
        </is>
      </c>
      <c r="O19" s="75">
        <f>HYPERLINK(LEFT(CELL("filename",A1),FIND("[",CELL("filename",A1))-1)&amp;"2.사전토공사\18_설계변경 (착수전)\표준서\설계변경 (착수전)_표준서.html", "👉 [클릭] 표준서 열기 📄")</f>
        <v/>
      </c>
      <c r="P19" s="49" t="inlineStr">
        <is>
          <t>1) 궤도/구조물 후행 요구 조건 수집 ➔ 2) 마무리면 표고 오차(±10mm) 반영 ➔ 3) 설계변경 실정보고서 작성 ➔ 4) 책임감리원 기술 승인</t>
        </is>
      </c>
      <c r="Q19" s="76">
        <f>HYPERLINK(LEFT(CELL("filename",A1),FIND("[",CELL("filename",A1))-1)&amp;"2.사전토공사\18_설계변경 (착수전)\수행지침\설계변경 (착수전)_수행지침.html", "👉 [클릭] 수행지침 열기 📄")</f>
        <v/>
      </c>
      <c r="R19" s="49" t="inlineStr">
        <is>
          <t>궤도/구조물 후행 요구 조건 반영, 마무리면 표고 오차(±10mm) 반영 및 설계변경 실정보고</t>
        </is>
      </c>
      <c r="S19" s="83">
        <f>HYPERLINK(LEFT(CELL("filename",A1),FIND("[",CELL("filename",A1))-1)&amp;"2.사전토공사\18_설계변경 (착수전)\체크리스트\설계변경 (착수전)_체크리스트.html", "👉 [클릭] 체크리스트 열기 📄")</f>
        <v/>
      </c>
      <c r="T19" s="47" t="n"/>
      <c r="U19" s="69" t="inlineStr">
        <is>
          <t>● 인터페이스 조건 만족</t>
        </is>
      </c>
      <c r="V19" s="69" t="inlineStr">
        <is>
          <t>1) 👉 [더블클릭] 체크리스트 열기 📄</t>
        </is>
      </c>
      <c r="W19" s="49" t="n"/>
    </row>
    <row r="20" ht="96" customHeight="1">
      <c r="A20" s="47" t="inlineStr">
        <is>
          <t>9000</t>
        </is>
      </c>
      <c r="B20" s="47" t="inlineStr">
        <is>
          <t>9000-5</t>
        </is>
      </c>
      <c r="C20" s="47" t="inlineStr">
        <is>
          <t>사전토공사</t>
        </is>
      </c>
      <c r="D20" s="85" t="n">
        <v>2593361</v>
      </c>
      <c r="E20" s="47" t="inlineStr">
        <is>
          <t>9000-5-18</t>
        </is>
      </c>
      <c r="F20" s="85" t="inlineStr">
        <is>
          <t>9000-5-20</t>
        </is>
      </c>
      <c r="G20" s="47" t="inlineStr">
        <is>
          <t>D-30</t>
        </is>
      </c>
      <c r="H20" s="36" t="inlineStr">
        <is>
          <t>설계변경 지원</t>
        </is>
      </c>
      <c r="I20" s="47" t="inlineStr">
        <is>
          <t>토목수행팀</t>
        </is>
      </c>
      <c r="J20" s="49" t="inlineStr">
        <is>
          <t>건진법 설계변경 규정 | 수량 산출서 및 단가 비교표 작성 | 책임감리원 기술 검토 의견서 첨부</t>
        </is>
      </c>
      <c r="K20" s="49" t="inlineStr">
        <is>
          <t>1) 변경 수량 산출서 정밀 집계 ➔ 2) 신규 단가 산정 서류 부착 ➔ 3) 감리단 기술 검토 수속 ➔ 4) 설계변경 제출 서면 결재</t>
        </is>
      </c>
      <c r="L20" s="49" t="n"/>
      <c r="M20" s="49" t="inlineStr">
        <is>
          <t>변경 수량 산출서 정밀 집계, 신규 단가 산정 서류 첨부 및 책임감리원 기술 검토 수속</t>
        </is>
      </c>
      <c r="N20" s="49" t="inlineStr">
        <is>
          <t>건진법 설계변경 규정 | 수량 산출서 및 단가 비교표 작성 | 책임감리원 기술 검토 의견서 첨부</t>
        </is>
      </c>
      <c r="O20" s="75">
        <f>HYPERLINK(LEFT(CELL("filename",A1),FIND("[",CELL("filename",A1))-1)&amp;"2.사전토공사\18_설계변경_착수전\표준서\후행공종 요구조건 반영 설계변경 검토_표준서.html", "👉 [클릭] 표준서 열기 📄")</f>
        <v/>
      </c>
      <c r="P20" s="49" t="inlineStr">
        <is>
          <t>1) 변경 수량 산출서 정밀 집계 ➔ 2) 신규 단가 산정 서류 부착 ➔ 3) 감리단 기술 검토 수속 ➔ 4) 설계변경 제출 서면 결재</t>
        </is>
      </c>
      <c r="Q20" s="76">
        <f>HYPERLINK(LEFT(CELL("filename",A1),FIND("[",CELL("filename",A1))-1)&amp;"2.사전토공사\18_설계변경_착수전\수행지침\후행공종 요구조건 반영 설계변경 검토_수행지침.html", "👉 [클릭] 수행지침 열기 📄")</f>
        <v/>
      </c>
      <c r="R20" s="49" t="inlineStr">
        <is>
          <t>변경 수량 산출서 정밀 집계, 신규 단가 산정 서류 첨부 및 책임감리원 기술 검토 수속</t>
        </is>
      </c>
      <c r="S20" s="83">
        <f>HYPERLINK(LEFT(CELL("filename",A1),FIND("[",CELL("filename",A1))-1)&amp;"2.사전토공사\18_설계변경_착수전\체크리스트\후행공종 요구조건 반영 설계변경 검토_체크리스트.html", "👉 [클릭] 체크리스트 열기 📄")</f>
        <v/>
      </c>
      <c r="T20" s="47" t="n"/>
      <c r="U20" s="69" t="inlineStr">
        <is>
          <t>● 기술 검증 규격 확인</t>
        </is>
      </c>
      <c r="V20" s="69" t="inlineStr">
        <is>
          <t>1) 👉 [더블클릭] 체크리스트 열기 📄</t>
        </is>
      </c>
      <c r="W20" s="49" t="n"/>
    </row>
    <row r="21" ht="96" customHeight="1">
      <c r="A21" s="47" t="inlineStr">
        <is>
          <t>9000</t>
        </is>
      </c>
      <c r="B21" s="47" t="inlineStr">
        <is>
          <t>9000-5</t>
        </is>
      </c>
      <c r="C21" s="47" t="inlineStr">
        <is>
          <t>사전토공사</t>
        </is>
      </c>
      <c r="D21" s="85" t="n">
        <v>2593362</v>
      </c>
      <c r="E21" s="47" t="inlineStr">
        <is>
          <t>9000-5-19</t>
        </is>
      </c>
      <c r="F21" s="85" t="inlineStr">
        <is>
          <t>9000-5-21</t>
        </is>
      </c>
      <c r="G21" s="47" t="inlineStr">
        <is>
          <t>D-20</t>
        </is>
      </c>
      <c r="H21" s="36" t="inlineStr">
        <is>
          <t>교통관리 및 교통안전시설 설치</t>
        </is>
      </c>
      <c r="I21" s="47" t="inlineStr">
        <is>
          <t>현장 공사팀</t>
        </is>
      </c>
      <c r="J21" s="49" t="inlineStr">
        <is>
          <t>도로교통법 안전 수칙 | 게이트 바리케이트, 야간 LED 경광등 부설 | 전담 안전 신호수(2인 2조) 100% 배치</t>
        </is>
      </c>
      <c r="K21" s="49" t="inlineStr">
        <is>
          <t>1) 게이트 바리케이트 &amp; 경광등 부설 ➔ 2) 우회 차선 표지판 설치 ➔ 3) 전담 신호수(2인 2조) 배치 ➔ 4) 교통 안전 점검 대장 결재</t>
        </is>
      </c>
      <c r="L21" s="49" t="n"/>
      <c r="M21" s="49" t="inlineStr">
        <is>
          <t>게이트 바리케이트/LED 경광등 설치, 우회 차선 표지판 검측 및 전담 신호수(2인 2조) 배치</t>
        </is>
      </c>
      <c r="N21" s="49" t="inlineStr">
        <is>
          <t>도로교통법 안전 수칙 | 게이트 바리케이트, 야간 LED 경광등 부설 | 전담 안전 신호수(2인 2조) 100% 배치</t>
        </is>
      </c>
      <c r="O21" s="75">
        <f>HYPERLINK(LEFT(CELL("filename",A1),FIND("[",CELL("filename",A1))-1)&amp;"2.사전토공사\19_설계변경 지원\표준서\설계변경 지원_표준서.html", "👉 [클릭] 표준서 열기 📄")</f>
        <v/>
      </c>
      <c r="P21" s="49" t="inlineStr">
        <is>
          <t>1) 게이트 바리케이트 &amp; 경광등 부설 ➔ 2) 우회 차선 표지판 설치 ➔ 3) 전담 신호수(2인 2조) 배치 ➔ 4) 교통 안전 점검 대장 결재</t>
        </is>
      </c>
      <c r="Q21" s="76">
        <f>HYPERLINK(LEFT(CELL("filename",A1),FIND("[",CELL("filename",A1))-1)&amp;"2.사전토공사\19_설계변경 지원\수행지침\설계변경 지원_수행지침.html", "👉 [클릭] 수행지침 열기 📄")</f>
        <v/>
      </c>
      <c r="R21" s="49" t="inlineStr">
        <is>
          <t>게이트 바리케이트/LED 경광등 설치, 우회 차선 표지판 검측 및 전담 신호수(2인 2조) 배치</t>
        </is>
      </c>
      <c r="S21" s="83">
        <f>HYPERLINK(LEFT(CELL("filename",A1),FIND("[",CELL("filename",A1))-1)&amp;"2.사전토공사\19_설계변경 지원\체크리스트\설계변경 지원_체크리스트.html", "👉 [클릭] 체크리스트 열기 📄")</f>
        <v/>
      </c>
      <c r="T21" s="47" t="n"/>
      <c r="U21" s="69" t="inlineStr">
        <is>
          <t>● 경찰청 협의사항 및 교통안전시설 설치기준 준수</t>
        </is>
      </c>
      <c r="V21" s="69" t="inlineStr">
        <is>
          <t>1) 👉 [더블클릭] 체크리스트 열기 📄</t>
        </is>
      </c>
      <c r="W21" s="49" t="n"/>
    </row>
    <row r="22" ht="96" customHeight="1">
      <c r="A22" s="47" t="inlineStr">
        <is>
          <t>9000</t>
        </is>
      </c>
      <c r="B22" s="47" t="inlineStr">
        <is>
          <t>9000-5</t>
        </is>
      </c>
      <c r="C22" s="47" t="inlineStr">
        <is>
          <t>사전토공사</t>
        </is>
      </c>
      <c r="D22" s="85" t="n">
        <v>2593363</v>
      </c>
      <c r="E22" s="47" t="inlineStr">
        <is>
          <t>9000-5-20</t>
        </is>
      </c>
      <c r="F22" s="85" t="inlineStr">
        <is>
          <t>9000-5-22</t>
        </is>
      </c>
      <c r="G22" s="47" t="inlineStr">
        <is>
          <t>D-10</t>
        </is>
      </c>
      <c r="H22" s="36" t="inlineStr">
        <is>
          <t>장비 검수 지원</t>
        </is>
      </c>
      <c r="I22" s="47" t="inlineStr">
        <is>
          <t>기술안전팀</t>
        </is>
      </c>
      <c r="J22" s="49" t="inlineStr">
        <is>
          <t>건설기계관리법 제13조 | 자중 10t+ 굴착기, 덤프 정기검사증 검수 | 후방 센서 점검 및 반입 허가</t>
        </is>
      </c>
      <c r="K22" s="49" t="inlineStr">
        <is>
          <t>1) 10t+ 굴착기/덤프 사양 검수 ➔ 2) 건설기계 정기검사증 점검 ➔ 3) 후방 카메라/경보음 시동 점검 ➔ 4) 장비 반입 승인서 감리 결재</t>
        </is>
      </c>
      <c r="L22" s="49" t="n"/>
      <c r="M22" s="49" t="inlineStr">
        <is>
          <t>자중 10t+ 굴착기/덤프 정기검사증, 후방 카메라/경보음 시동 점검 및 반입 허가 결재</t>
        </is>
      </c>
      <c r="N22" s="49" t="inlineStr">
        <is>
          <t>건설기계관리법 제13조 | 자중 10t+ 굴착기, 덤프 정기검사증 검수 | 후방 센서 점검 및 반입 허가</t>
        </is>
      </c>
      <c r="O22" s="75">
        <f>HYPERLINK(LEFT(CELL("filename",A1),FIND("[",CELL("filename",A1))-1)&amp;"2.사전토공사\20_교통관리 및 교통안전시설 설치\표준서\교통관리 및 교통안전시설 설치_표준서.html", "👉 [클릭] 표준서 열기 📄")</f>
        <v/>
      </c>
      <c r="P22" s="49" t="inlineStr">
        <is>
          <t>1) 10t+ 굴착기/덤프 사양 검수 ➔ 2) 건설기계 정기검사증 점검 ➔ 3) 후방 카메라/경보음 시동 점검 ➔ 4) 장비 반입 승인서 감리 결재</t>
        </is>
      </c>
      <c r="Q22" s="76">
        <f>HYPERLINK(LEFT(CELL("filename",A1),FIND("[",CELL("filename",A1))-1)&amp;"2.사전토공사\20_교통관리 및 교통안전시설 설치\수행지침\교통관리 및 교통안전시설 설치_수행지침.html", "👉 [클릭] 수행지침 열기 📄")</f>
        <v/>
      </c>
      <c r="R22" s="49" t="inlineStr">
        <is>
          <t>자중 10t+ 굴착기/덤프 정기검사증, 후방 카메라/경보음 시동 점검 및 반입 허가 결재</t>
        </is>
      </c>
      <c r="S22" s="83">
        <f>HYPERLINK(LEFT(CELL("filename",A1),FIND("[",CELL("filename",A1))-1)&amp;"2.사전토공사\20_교통관리 및 교통안전시설 설치\체크리스트\교통관리 및 교통안전시설 설치_체크리스트.html", "👉 [클릭] 체크리스트 열기 📄")</f>
        <v/>
      </c>
      <c r="T22" s="47" t="n"/>
      <c r="U22" s="69" t="inlineStr">
        <is>
          <t>● 산업안전보건법 및 건설기계관리법 준수</t>
        </is>
      </c>
      <c r="V22" s="69" t="inlineStr">
        <is>
          <t>1) 👉 [더블클릭] 체크리스트 열기 📄</t>
        </is>
      </c>
      <c r="W22" s="49" t="n"/>
    </row>
    <row r="23" ht="96" customHeight="1">
      <c r="A23" s="47" t="inlineStr">
        <is>
          <t>9000</t>
        </is>
      </c>
      <c r="B23" s="47" t="inlineStr">
        <is>
          <t>9000-5</t>
        </is>
      </c>
      <c r="C23" s="47" t="inlineStr">
        <is>
          <t>사전토공사</t>
        </is>
      </c>
      <c r="D23" s="85" t="n">
        <v>2593364</v>
      </c>
      <c r="E23" s="47" t="inlineStr">
        <is>
          <t>9000-5-21</t>
        </is>
      </c>
      <c r="F23" s="85" t="inlineStr">
        <is>
          <t>9000-5-23</t>
        </is>
      </c>
      <c r="G23" s="47" t="inlineStr">
        <is>
          <t>D+10~30</t>
        </is>
      </c>
      <c r="H23" s="36" t="inlineStr">
        <is>
          <t>벌목/벌근제거</t>
        </is>
      </c>
      <c r="I23" s="47" t="inlineStr">
        <is>
          <t>현장 공사팀</t>
        </is>
      </c>
      <c r="J23" s="49" t="inlineStr">
        <is>
          <t>KCS 47 10 25 산림 벌목 시방 | 수목 벌목 및 뿌리 제거(벌근) 깊이 30cm 이상 | 임목 폐기물 수속 처리</t>
        </is>
      </c>
      <c r="K23" s="49" t="inlineStr">
        <is>
          <t>1) 현장 지반 수목 벌목 시행 ➔ 2) 뿌리 제거(벌근) 깊이 30cm 굴착 ➔ 3) 임목 폐기물 수속 처리 ➔ 4) 벌목 벌근 성과표 감리 승인</t>
        </is>
      </c>
      <c r="L23" s="49" t="n"/>
      <c r="M23" s="49" t="inlineStr">
        <is>
          <t>현장 수목 벌목 시행, 뿌리 제거(벌근) 깊이 30cm 이상 굴착 및 임목 폐기물 수속 처리</t>
        </is>
      </c>
      <c r="N23" s="49" t="inlineStr">
        <is>
          <t>KCS 47 10 25 산림 벌목 시방 | 수목 벌목 및 뿌리 제거(벌근) 깊이 30cm 이상 | 임목 폐기물 수속 처리</t>
        </is>
      </c>
      <c r="O23" s="75">
        <f>HYPERLINK(LEFT(CELL("filename",A1),FIND("[",CELL("filename",A1))-1)&amp;"2.사전토공사\21_장비 검수 지원\표준서\장비 검수 지원_표준서.html", "👉 [클릭] 표준서 열기 📄")</f>
        <v/>
      </c>
      <c r="P23" s="49" t="inlineStr">
        <is>
          <t>1) 현장 지반 수목 벌목 시행 ➔ 2) 뿌리 제거(벌근) 깊이 30cm 굴착 ➔ 3) 임목 폐기물 수속 처리 ➔ 4) 벌목 벌근 성과표 감리 승인</t>
        </is>
      </c>
      <c r="Q23" s="76">
        <f>HYPERLINK(LEFT(CELL("filename",A1),FIND("[",CELL("filename",A1))-1)&amp;"2.사전토공사\21_장비 검수 지원\수행지침\장비 검수 지원_수행지침.html", "👉 [클릭] 수행지침 열기 📄")</f>
        <v/>
      </c>
      <c r="R23" s="49" t="inlineStr">
        <is>
          <t>현장 수목 벌목 시행, 뿌리 제거(벌근) 깊이 30cm 이상 굴착 및 임목 폐기물 수속 처리</t>
        </is>
      </c>
      <c r="S23" s="83">
        <f>HYPERLINK(LEFT(CELL("filename",A1),FIND("[",CELL("filename",A1))-1)&amp;"2.사전토공사\21_장비 검수 지원\체크리스트\장비 검수 지원_체크리스트.html", "👉 [클릭] 체크리스트 열기 📄")</f>
        <v/>
      </c>
      <c r="T23" s="47" t="n"/>
      <c r="U23" s="69" t="inlineStr">
        <is>
          <t>● 산림자원법 및 환경 기준 준수</t>
        </is>
      </c>
      <c r="V23" s="69" t="inlineStr">
        <is>
          <t>1) 👉 [더블클릭] 체크리스트 열기 📄</t>
        </is>
      </c>
      <c r="W23" s="49" t="n"/>
    </row>
    <row r="24" ht="96" customHeight="1">
      <c r="A24" s="47" t="inlineStr">
        <is>
          <t>9000</t>
        </is>
      </c>
      <c r="B24" s="47" t="inlineStr">
        <is>
          <t>9000-5</t>
        </is>
      </c>
      <c r="C24" s="47" t="inlineStr">
        <is>
          <t>사전토공사</t>
        </is>
      </c>
      <c r="D24" s="85" t="n">
        <v>2593365</v>
      </c>
      <c r="E24" s="47" t="inlineStr">
        <is>
          <t>9000-5-22</t>
        </is>
      </c>
      <c r="F24" s="85" t="inlineStr">
        <is>
          <t>9000-5-24</t>
        </is>
      </c>
      <c r="G24" s="47" t="inlineStr">
        <is>
          <t>D+10~25</t>
        </is>
      </c>
      <c r="H24" s="36" t="inlineStr">
        <is>
          <t>기존구조물 / 지장물 처리</t>
        </is>
      </c>
      <c r="I24" s="47" t="inlineStr">
        <is>
          <t>현장 공사팀 / 공무팀</t>
        </is>
      </c>
      <c r="J24" s="49" t="inlineStr">
        <is>
          <t>폐기물관리법 준수 | 기존 아스콘/콘크리트 구조물 안전 삭평 철거 | 건설 폐기물 성적표 수속</t>
        </is>
      </c>
      <c r="K24" s="49" t="inlineStr">
        <is>
          <t>1) 기존 아스콘/콘크리트 삭평 철거 ➔ 2) 폐기물 분리 수거 &amp; 적재 ➔ 3) 건설 폐기물 위탁 처리 ➔ 4) 지장물 처리 성과표 감리 승인</t>
        </is>
      </c>
      <c r="L24" s="49" t="n"/>
      <c r="M24" s="49" t="inlineStr">
        <is>
          <t>기존 아스콘/콘크리트 삭평 철거, 건설 폐기물 분리 수거 적재 및 폐기물 성적서 수속</t>
        </is>
      </c>
      <c r="N24" s="49" t="inlineStr">
        <is>
          <t>폐기물관리법 준수 | 기존 아스콘/콘크리트 구조물 안전 삭평 철거 | 건설 폐기물 성적표 수속</t>
        </is>
      </c>
      <c r="O24" s="75">
        <f>HYPERLINK(LEFT(CELL("filename",A1),FIND("[",CELL("filename",A1))-1)&amp;"2.사전토공사\22_벌목_벌근제거\표준서\벌목_벌근제거_표준서.html", "👉 [클릭] 표준서 열기 📄")</f>
        <v/>
      </c>
      <c r="P24" s="49" t="inlineStr">
        <is>
          <t>1) 기존 아스콘/콘크리트 삭평 철거 ➔ 2) 폐기물 분리 수거 &amp; 적재 ➔ 3) 건설 폐기물 위탁 처리 ➔ 4) 지장물 처리 성과표 감리 승인</t>
        </is>
      </c>
      <c r="Q24" s="76">
        <f>HYPERLINK(LEFT(CELL("filename",A1),FIND("[",CELL("filename",A1))-1)&amp;"2.사전토공사\22_벌목_벌근제거\수행지침\벌목_벌근제거_수행지침.html", "👉 [클릭] 수행지침 열기 📄")</f>
        <v/>
      </c>
      <c r="R24" s="49" t="inlineStr">
        <is>
          <t>기존 아스콘/콘크리트 삭평 철거, 건설 폐기물 분리 수거 적재 및 폐기물 성적서 수속</t>
        </is>
      </c>
      <c r="S24" s="83">
        <f>HYPERLINK(LEFT(CELL("filename",A1),FIND("[",CELL("filename",A1))-1)&amp;"2.사전토공사\22_벌목_벌근제거\체크리스트\벌목_벌근제거_체크리스트.html", "👉 [클릭] 체크리스트 열기 📄")</f>
        <v/>
      </c>
      <c r="T24" s="47" t="n"/>
      <c r="U24" s="69" t="inlineStr">
        <is>
          <t>● 지장물 이설 및 철거 규정 준수</t>
        </is>
      </c>
      <c r="V24" s="69" t="inlineStr">
        <is>
          <t>1) 👉 [더블클릭] 체크리스트 열기 📄</t>
        </is>
      </c>
      <c r="W24" s="49" t="n"/>
    </row>
    <row r="25" ht="96" customHeight="1">
      <c r="A25" s="47" t="inlineStr">
        <is>
          <t>9000</t>
        </is>
      </c>
      <c r="B25" s="47" t="inlineStr">
        <is>
          <t>9000-5</t>
        </is>
      </c>
      <c r="C25" s="47" t="inlineStr">
        <is>
          <t>사전토공사</t>
        </is>
      </c>
      <c r="D25" s="85" t="n">
        <v>2593366</v>
      </c>
      <c r="E25" s="47" t="inlineStr">
        <is>
          <t>9000-5-23</t>
        </is>
      </c>
      <c r="F25" s="85" t="inlineStr">
        <is>
          <t>9000-5-25</t>
        </is>
      </c>
      <c r="G25" s="47" t="inlineStr">
        <is>
          <t>D+10~30</t>
        </is>
      </c>
      <c r="H25" s="36" t="inlineStr">
        <is>
          <t>진입로 조성</t>
        </is>
      </c>
      <c r="I25" s="47" t="inlineStr">
        <is>
          <t>현장 공사팀</t>
        </is>
      </c>
      <c r="J25" s="49" t="inlineStr">
        <is>
          <t>KCS 47 10 25 가설 도로 | 덤프트럭 진입 가설 도로 폭 6m 포설 | 쇄석 골재(두께 20cm) 부설 &amp; 살수</t>
        </is>
      </c>
      <c r="K25" s="49" t="inlineStr">
        <is>
          <t>1) 가설 도로 폭 6m 성토 굴착 ➔ 2) 쇄석 골재(두께 20cm) 부설 ➔ 3) 10t 롤러 다짐 &amp; 살수 ➔ 4) 진입로 조성 성과표 감리 승인</t>
        </is>
      </c>
      <c r="L25" s="49" t="n"/>
      <c r="M25" s="49" t="inlineStr">
        <is>
          <t>가설 도로 폭 6m 성토 굴착, 쇄석 골재(두께 20cm) 부설, 10t 롤러 다짐 및 살수 점검</t>
        </is>
      </c>
      <c r="N25" s="49" t="inlineStr">
        <is>
          <t>KCS 47 10 25 가설 도로 | 덤프트럭 진입 가설 도로 폭 6m 포설 | 쇄석 골재(두께 20cm) 부설 &amp; 살수</t>
        </is>
      </c>
      <c r="O25" s="75">
        <f>HYPERLINK(LEFT(CELL("filename",A1),FIND("[",CELL("filename",A1))-1)&amp;"2.사전토공사\23_기존구조물 _ 지장물 처리\표준서\기존구조물 _ 지장물 처리_표준서.html", "👉 [클릭] 표준서 열기 📄")</f>
        <v/>
      </c>
      <c r="P25" s="49" t="inlineStr">
        <is>
          <t>1) 가설 도로 폭 6m 성토 굴착 ➔ 2) 쇄석 골재(두께 20cm) 부설 ➔ 3) 10t 롤러 다짐 &amp; 살수 ➔ 4) 진입로 조성 성과표 감리 승인</t>
        </is>
      </c>
      <c r="Q25" s="76">
        <f>HYPERLINK(LEFT(CELL("filename",A1),FIND("[",CELL("filename",A1))-1)&amp;"2.사전토공사\23_기존구조물 _ 지장물 처리\수행지침\기존구조물 _ 지장물 처리_수행지침.html", "👉 [클릭] 수행지침 열기 📄")</f>
        <v/>
      </c>
      <c r="R25" s="49" t="inlineStr">
        <is>
          <t>가설 도로 폭 6m 성토 굴착, 쇄석 골재(두께 20cm) 부설, 10t 롤러 다짐 및 살수 점검</t>
        </is>
      </c>
      <c r="S25" s="83">
        <f>HYPERLINK(LEFT(CELL("filename",A1),FIND("[",CELL("filename",A1))-1)&amp;"2.사전토공사\23_기존구조물 _ 지장물 처리\체크리스트\기존구조물 _ 지장물 처리_체크리스트.html", "👉 [클릭] 체크리스트 열기 📄")</f>
        <v/>
      </c>
      <c r="T25" s="47" t="n"/>
      <c r="U25" s="69" t="inlineStr">
        <is>
          <t>● 진입로 종단구배 및 가로 폭 규격 만족</t>
        </is>
      </c>
      <c r="V25" s="69" t="inlineStr">
        <is>
          <t>1) 👉 [더블클릭] 체크리스트 열기 📄</t>
        </is>
      </c>
      <c r="W25" s="49" t="n"/>
    </row>
    <row r="26" ht="96" customHeight="1">
      <c r="A26" s="47" t="inlineStr">
        <is>
          <t>9000</t>
        </is>
      </c>
      <c r="B26" s="47" t="inlineStr">
        <is>
          <t>9000-5</t>
        </is>
      </c>
      <c r="C26" s="47" t="inlineStr">
        <is>
          <t>사전토공사</t>
        </is>
      </c>
      <c r="D26" s="85" t="n">
        <v>2593367</v>
      </c>
      <c r="E26" s="47" t="inlineStr">
        <is>
          <t>9000-5-24</t>
        </is>
      </c>
      <c r="F26" s="85" t="inlineStr">
        <is>
          <t>9000-5-26</t>
        </is>
      </c>
      <c r="G26" s="47" t="inlineStr">
        <is>
          <t>D+10~30</t>
        </is>
      </c>
      <c r="H26" s="36" t="inlineStr">
        <is>
          <t>배수/환경시설 설치</t>
        </is>
      </c>
      <c r="I26" s="47" t="inlineStr">
        <is>
          <t>현장 공사팀</t>
        </is>
      </c>
      <c r="J26" s="49" t="inlineStr">
        <is>
          <t>KCS 47 10 25 배수 시방 | 가배수로(0.6×0.6m) &amp; 가침사지 설치 | 세륜기(깊이 1.2m) 가동 및 배수 검측</t>
        </is>
      </c>
      <c r="K26" s="49" t="inlineStr">
        <is>
          <t>1) 가배수로(0.6×0.6m) &amp; 가침사지 터파기 ➔ 2) 세륜기(깊이 1.2m) 부설 ➔ 3) 양수 펌프 비치 ➔ 4) 배수 환경 시설 감리 서면 승인</t>
        </is>
      </c>
      <c r="L26" s="49" t="n"/>
      <c r="M26" s="49" t="inlineStr">
        <is>
          <t>가배수로(0.6×0.6m) &amp; 가침사지 설치, 세륜기(깊이 1.2m) 가동 및 수중 양수 펌프 비치</t>
        </is>
      </c>
      <c r="N26" s="49" t="inlineStr">
        <is>
          <t>KCS 47 10 25 배수 시방 | 가배수로(0.6×0.6m) &amp; 가침사지 설치 | 세륜기(깊이 1.2m) 가동 및 배수 검측</t>
        </is>
      </c>
      <c r="O26" s="75">
        <f>HYPERLINK(LEFT(CELL("filename",A1),FIND("[",CELL("filename",A1))-1)&amp;"2.사전토공사\23_기존구조물_지장물 처리\표준서\기존구조물 _ 지장물 처리_표준서.html", "👉 [클릭] 표준서 열기 📄")</f>
        <v/>
      </c>
      <c r="P26" s="49" t="inlineStr">
        <is>
          <t>1) 가배수로(0.6×0.6m) &amp; 가침사지 터파기 ➔ 2) 세륜기(깊이 1.2m) 부설 ➔ 3) 양수 펌프 비치 ➔ 4) 배수 환경 시설 감리 서면 승인</t>
        </is>
      </c>
      <c r="Q26" s="76">
        <f>HYPERLINK(LEFT(CELL("filename",A1),FIND("[",CELL("filename",A1))-1)&amp;"2.사전토공사\23_기존구조물_지장물 처리\수행지침\기존구조물 _ 지장물 처리_수행지침.html", "👉 [클릭] 수행지침 열기 📄")</f>
        <v/>
      </c>
      <c r="R26" s="49" t="inlineStr">
        <is>
          <t>가배수로(0.6×0.6m) &amp; 가침사지 설치, 세륜기(깊이 1.2m) 가동 및 수중 양수 펌프 비치</t>
        </is>
      </c>
      <c r="S26" s="83">
        <f>HYPERLINK(LEFT(CELL("filename",A1),FIND("[",CELL("filename",A1))-1)&amp;"2.사전토공사\23_기존구조물_지장물 처리\체크리스트\기존구조물 _ 지장물 처리_체크리스트.html", "👉 [클릭] 체크리스트 열기 📄")</f>
        <v/>
      </c>
      <c r="T26" s="47" t="n"/>
      <c r="U26" s="69" t="inlineStr">
        <is>
          <t>● 환경보존법 및 비산먼지/침사지 규정 준수</t>
        </is>
      </c>
      <c r="V26" s="69" t="inlineStr">
        <is>
          <t>1) 👉 [더블클릭] 체크리스트 열기 📄</t>
        </is>
      </c>
      <c r="W26" s="49" t="n"/>
    </row>
    <row r="27" ht="96" customHeight="1">
      <c r="A27" s="47" t="inlineStr">
        <is>
          <t>9000</t>
        </is>
      </c>
      <c r="B27" s="47" t="inlineStr">
        <is>
          <t>9000-5</t>
        </is>
      </c>
      <c r="C27" s="47" t="inlineStr">
        <is>
          <t>사전토공사</t>
        </is>
      </c>
      <c r="D27" s="85" t="n">
        <v>2593368</v>
      </c>
      <c r="E27" s="47" t="inlineStr">
        <is>
          <t>9000-5-25</t>
        </is>
      </c>
      <c r="F27" s="85" t="inlineStr">
        <is>
          <t>9000-5-27</t>
        </is>
      </c>
      <c r="G27" s="47" t="inlineStr">
        <is>
          <t>D+10~30</t>
        </is>
      </c>
      <c r="H27" s="36" t="inlineStr">
        <is>
          <t>토공 굴착</t>
        </is>
      </c>
      <c r="I27" s="47" t="inlineStr">
        <is>
          <t>현장 공사팀</t>
        </is>
      </c>
      <c r="J27" s="49" t="inlineStr">
        <is>
          <t>KCS 47 10 25 굴착 규정 | 3D GPS 굴착기 표고 오차 ±20mm 통제 | 사면 비탈면 경사(1:1.5) 준수</t>
        </is>
      </c>
      <c r="K27" s="49" t="inlineStr">
        <is>
          <t>1) 3D GPS 굴착기 정밀 세팅 ➔ 2) 토사 깎기 &amp; 사면 비탈면(1:1.5) 굴착 ➔ 3) 표고 오차(±20mm) 검측 ➔ 4) 토공 굴착 성과표 감리 승인</t>
        </is>
      </c>
      <c r="L27" s="49" t="n"/>
      <c r="M27" s="49" t="inlineStr">
        <is>
          <t>3D GPS 굴착기 표고 오차 ±20mm 통제, 사면 비탈면 경사(1:1.5 이하) 준수 및 굴착 검측</t>
        </is>
      </c>
      <c r="N27" s="49" t="inlineStr">
        <is>
          <t>KCS 47 10 25 굴착 규정 | 3D GPS 굴착기 표고 오차 ±20mm 통제 | 사면 비탈면 경사(1:1.5) 준수</t>
        </is>
      </c>
      <c r="O27" s="75">
        <f>HYPERLINK(LEFT(CELL("filename",A1),FIND("[",CELL("filename",A1))-1)&amp;"2.사전토공사\24_진입로 조성\표준서\진입로 조성_표준서.html", "👉 [클릭] 표준서 열기 📄")</f>
        <v/>
      </c>
      <c r="P27" s="49" t="inlineStr">
        <is>
          <t>1) 3D GPS 굴착기 정밀 세팅 ➔ 2) 토사 깎기 &amp; 사면 비탈면(1:1.5) 굴착 ➔ 3) 표고 오차(±20mm) 검측 ➔ 4) 토공 굴착 성과표 감리 승인</t>
        </is>
      </c>
      <c r="Q27" s="76">
        <f>HYPERLINK(LEFT(CELL("filename",A1),FIND("[",CELL("filename",A1))-1)&amp;"2.사전토공사\24_진입로 조성\수행지침\진입로 조성_수행지침.html", "👉 [클릭] 수행지침 열기 📄")</f>
        <v/>
      </c>
      <c r="R27" s="49" t="inlineStr">
        <is>
          <t>3D GPS 굴착기 표고 오차 ±20mm 통제, 사면 비탈면 경사(1:1.5 이하) 준수 및 굴착 검측</t>
        </is>
      </c>
      <c r="S27" s="83">
        <f>HYPERLINK(LEFT(CELL("filename",A1),FIND("[",CELL("filename",A1))-1)&amp;"2.사전토공사\24_진입로 조성\체크리스트\진입로 조성_체크리스트.html", "👉 [클릭] 체크리스트 열기 📄")</f>
        <v/>
      </c>
      <c r="T27" s="47" t="n"/>
      <c r="U27" s="69" t="inlineStr">
        <is>
          <t>● 굴착 사면 기울기 및 굴착 공차 한계 준수</t>
        </is>
      </c>
      <c r="V27" s="69" t="inlineStr">
        <is>
          <t>1) 👉 [더블클릭] 체크리스트 열기 📄</t>
        </is>
      </c>
      <c r="W27" s="49" t="n"/>
    </row>
    <row r="28" ht="96" customHeight="1">
      <c r="A28" s="47" t="inlineStr">
        <is>
          <t>9000</t>
        </is>
      </c>
      <c r="B28" s="47" t="inlineStr">
        <is>
          <t>9000-5</t>
        </is>
      </c>
      <c r="C28" s="47" t="inlineStr">
        <is>
          <t>사전토공사</t>
        </is>
      </c>
      <c r="D28" s="85" t="n">
        <v>2593369</v>
      </c>
      <c r="E28" s="47" t="inlineStr">
        <is>
          <t>9000-5-26</t>
        </is>
      </c>
      <c r="F28" s="85" t="inlineStr">
        <is>
          <t>9000-5-28</t>
        </is>
      </c>
      <c r="G28" s="47" t="inlineStr">
        <is>
          <t>D+10~30</t>
        </is>
      </c>
      <c r="H28" s="36" t="inlineStr">
        <is>
          <t>노상토 지지력 확인</t>
        </is>
      </c>
      <c r="I28" s="47" t="inlineStr">
        <is>
          <t>현장 품질팀</t>
        </is>
      </c>
      <c r="J28" s="49" t="inlineStr">
        <is>
          <t>KS F 2310 규정 준수 | 굴착 바닥 원지반 평판재하시험 K30 ≥ 70 MN/m³ | 덤프트럭 펌핑 연약 지반 점검</t>
        </is>
      </c>
      <c r="K28" s="49" t="inlineStr">
        <is>
          <t>1) 굴착 바닥 원지반 수평 정리 ➔ 2) K30 평판재하시험(≥70 MN/m³) ➔ 3) 덤프트럭 펌핑 연약 지반 점검 ➔ 4) 노상토 지지력 성과표 승인</t>
        </is>
      </c>
      <c r="L28" s="49" t="n"/>
      <c r="M28" s="49" t="inlineStr">
        <is>
          <t>굴착 바닥 평판재하시험 K30 ≥ 70 MN/m³, 덤프트럭 펌핑 연약 지반 점검 및 노상토 승인</t>
        </is>
      </c>
      <c r="N28" s="49" t="inlineStr">
        <is>
          <t>KS F 2310 규정 준수 | 굴착 바닥 원지반 평판재하시험 K30 ≥ 70 MN/m³ | 덤프트럭 펌핑 연약 지반 점검</t>
        </is>
      </c>
      <c r="O28" s="75">
        <f>HYPERLINK(LEFT(CELL("filename",A1),FIND("[",CELL("filename",A1))-1)&amp;"2.사전토공사\25_배수_환경시설 설치\표준서\배수_환경시설 설치_표준서.html", "👉 [클릭] 표준서 열기 📄")</f>
        <v/>
      </c>
      <c r="P28" s="49" t="inlineStr">
        <is>
          <t>1) 굴착 바닥 원지반 수평 정리 ➔ 2) K30 평판재하시험(≥70 MN/m³) ➔ 3) 덤프트럭 펌핑 연약 지반 점검 ➔ 4) 노상토 지지력 성과표 승인</t>
        </is>
      </c>
      <c r="Q28" s="76">
        <f>HYPERLINK(LEFT(CELL("filename",A1),FIND("[",CELL("filename",A1))-1)&amp;"2.사전토공사\25_배수_환경시설 설치\수행지침\배수_환경시설 설치_수행지침.html", "👉 [클릭] 수행지침 열기 📄")</f>
        <v/>
      </c>
      <c r="R28" s="49" t="inlineStr">
        <is>
          <t>굴착 바닥 평판재하시험 K30 ≥ 70 MN/m³, 덤프트럭 펌핑 연약 지반 점검 및 노상토 승인</t>
        </is>
      </c>
      <c r="S28" s="83">
        <f>HYPERLINK(LEFT(CELL("filename",A1),FIND("[",CELL("filename",A1))-1)&amp;"2.사전토공사\25_배수_환경시설 설치\체크리스트\배수_환경시설 설치_체크리스트.html", "👉 [클릭] 체크리스트 열기 📄")</f>
        <v/>
      </c>
      <c r="T28" s="47" t="n"/>
      <c r="U28" s="69" t="inlineStr">
        <is>
          <t>● 강화노반 필요 지지력 규격 만족</t>
        </is>
      </c>
      <c r="V28" s="69" t="inlineStr">
        <is>
          <t>1) 👉 [더블클릭] 체크리스트 열기 📄</t>
        </is>
      </c>
      <c r="W28" s="49" t="n"/>
    </row>
    <row r="29" ht="96" customHeight="1">
      <c r="A29" s="47" t="inlineStr">
        <is>
          <t>9000</t>
        </is>
      </c>
      <c r="B29" s="47" t="inlineStr">
        <is>
          <t>9000-5</t>
        </is>
      </c>
      <c r="C29" s="47" t="inlineStr">
        <is>
          <t>사전토공사</t>
        </is>
      </c>
      <c r="D29" s="85" t="n">
        <v>2593370</v>
      </c>
      <c r="E29" s="47" t="inlineStr">
        <is>
          <t>9000-5-27</t>
        </is>
      </c>
      <c r="F29" s="85" t="inlineStr">
        <is>
          <t>9000-5-29</t>
        </is>
      </c>
      <c r="G29" s="47" t="inlineStr">
        <is>
          <t>D+10~30</t>
        </is>
      </c>
      <c r="H29" s="36" t="inlineStr">
        <is>
          <t>쌓기 및 다짐(필요시)</t>
        </is>
      </c>
      <c r="I29" s="47" t="inlineStr">
        <is>
          <t>현장 공사팀</t>
        </is>
      </c>
      <c r="J29" s="49" t="inlineStr">
        <is>
          <t>KCS 47 10 25 성토 시방 | 층두께 ≤ 30cm 토사 포설 | 10t 강동 롤러 다짐(들밀도 다짐도 ≥ 90%)</t>
        </is>
      </c>
      <c r="K29" s="49" t="inlineStr">
        <is>
          <t>1) 성토 토사 30cm 층포설 ➔ 2) 살수차 최적함수비 살수 ➔ 3) 10t 강동 롤러 다짐(다짐도≥90%) ➔ 4) 성토 다짐 성과표 감리 승인</t>
        </is>
      </c>
      <c r="L29" s="49" t="n"/>
      <c r="M29" s="49" t="inlineStr">
        <is>
          <t>성토 토사 30cm 층포설, 살수차 최적함수비 OMC 살수 및 10t 롤러 다짐(다짐도 ≥ 90%)</t>
        </is>
      </c>
      <c r="N29" s="49" t="inlineStr">
        <is>
          <t>KCS 47 10 25 성토 시방 | 층두께 ≤ 30cm 토사 포설 | 10t 강동 롤러 다짐(들밀도 다짐도 ≥ 90%)</t>
        </is>
      </c>
      <c r="O29" s="75">
        <f>HYPERLINK(LEFT(CELL("filename",A1),FIND("[",CELL("filename",A1))-1)&amp;"2.사전토공사\26_토공 굴착\표준서\토공 굴착_표준서.html", "👉 [클릭] 표준서 열기 📄")</f>
        <v/>
      </c>
      <c r="P29" s="49" t="inlineStr">
        <is>
          <t>1) 성토 토사 30cm 층포설 ➔ 2) 살수차 최적함수비 살수 ➔ 3) 10t 강동 롤러 다짐(다짐도≥90%) ➔ 4) 성토 다짐 성과표 감리 승인</t>
        </is>
      </c>
      <c r="Q29" s="76">
        <f>HYPERLINK(LEFT(CELL("filename",A1),FIND("[",CELL("filename",A1))-1)&amp;"2.사전토공사\26_토공 굴착\수행지침\토공 굴착_수행지침.html", "👉 [클릭] 수행지침 열기 📄")</f>
        <v/>
      </c>
      <c r="R29" s="49" t="inlineStr">
        <is>
          <t>성토 토사 30cm 층포설, 살수차 최적함수비 OMC 살수 및 10t 롤러 다짐(다짐도 ≥ 90%)</t>
        </is>
      </c>
      <c r="S29" s="83">
        <f>HYPERLINK(LEFT(CELL("filename",A1),FIND("[",CELL("filename",A1))-1)&amp;"2.사전토공사\26_토공 굴착\체크리스트\토공 굴착_체크리스트.html", "👉 [클릭] 체크리스트 열기 📄")</f>
        <v/>
      </c>
      <c r="T29" s="47" t="n"/>
      <c r="U29" s="69" t="inlineStr">
        <is>
          <t>● 다짐도(95% 이상) 규격 준수</t>
        </is>
      </c>
      <c r="V29" s="69" t="inlineStr">
        <is>
          <t>1) 👉 [더블클릭] 체크리스트 열기 📄</t>
        </is>
      </c>
      <c r="W29" s="49" t="n"/>
    </row>
    <row r="30" ht="96" customHeight="1">
      <c r="A30" s="47" t="inlineStr">
        <is>
          <t>9000</t>
        </is>
      </c>
      <c r="B30" s="47" t="inlineStr">
        <is>
          <t>9000-5</t>
        </is>
      </c>
      <c r="C30" s="47" t="inlineStr">
        <is>
          <t>사전토공사</t>
        </is>
      </c>
      <c r="D30" s="85" t="n">
        <v>2593371</v>
      </c>
      <c r="E30" s="47" t="inlineStr">
        <is>
          <t>9000-5-28</t>
        </is>
      </c>
      <c r="F30" s="85" t="inlineStr">
        <is>
          <t>9000-5-30</t>
        </is>
      </c>
      <c r="G30" s="47" t="inlineStr">
        <is>
          <t>D+75일 이후</t>
        </is>
      </c>
      <c r="H30" s="36" t="inlineStr">
        <is>
          <t>현장지원</t>
        </is>
      </c>
      <c r="I30" s="47" t="inlineStr">
        <is>
          <t>토목수행팀, 토목품질팀, 토목안전팀</t>
        </is>
      </c>
      <c r="J30" s="49" t="inlineStr">
        <is>
          <t>현장 통합 소통 수칙 | 일일 TBM 및 품질/안전 지원 대장 수록 | 감리 입회 검측 서면 승인</t>
        </is>
      </c>
      <c r="K30" s="49" t="inlineStr">
        <is>
          <t>1) 일일 현장 품질/안전 지원 ➔ 2) TBM 및 근로자 교육 ➔ 3) 공정 장애 요소 해소 ➔ 4) 현장 지원 대장 서면 승인</t>
        </is>
      </c>
      <c r="L30" s="49" t="n"/>
      <c r="M30" s="49" t="inlineStr">
        <is>
          <t>일일 현장 품질/안전 지원 대장, TBM 및 근로자 교육 시행 서면 승인</t>
        </is>
      </c>
      <c r="N30" s="49" t="inlineStr">
        <is>
          <t>현장 통합 소통 수칙 | 일일 TBM 및 품질/안전 지원 대장 수록 | 감리 입회 검측 서면 승인</t>
        </is>
      </c>
      <c r="O30" s="75">
        <f>HYPERLINK(LEFT(CELL("filename",A1),FIND("[",CELL("filename",A1))-1)&amp;"2.사전토공사\27_노상토 지지력 확인\표준서\노상토 지지력 확인_표준서.html", "👉 [클릭] 표준서 열기 📄")</f>
        <v/>
      </c>
      <c r="P30" s="49" t="inlineStr">
        <is>
          <t>1) 일일 현장 품질/안전 지원 ➔ 2) TBM 및 근로자 교육 ➔ 3) 공정 장애 요소 해소 ➔ 4) 현장 지원 대장 서면 승인</t>
        </is>
      </c>
      <c r="Q30" s="76">
        <f>HYPERLINK(LEFT(CELL("filename",A1),FIND("[",CELL("filename",A1))-1)&amp;"2.사전토공사\27_노상토 지지력 확인\수행지침\노상토 지지력 확인_수행지침.html", "👉 [클릭] 수행지침 열기 📄")</f>
        <v/>
      </c>
      <c r="R30" s="49" t="inlineStr">
        <is>
          <t>일일 현장 품질/안전 지원 대장, TBM 및 근로자 교육 시행 서면 승인</t>
        </is>
      </c>
      <c r="S30" s="83">
        <f>HYPERLINK(LEFT(CELL("filename",A1),FIND("[",CELL("filename",A1))-1)&amp;"2.사전토공사\27_노상토 지지력 확인\체크리스트\노상토 지지력 확인_체크리스트.html", "👉 [클릭] 체크리스트 열기 📄")</f>
        <v/>
      </c>
      <c r="T30" s="47" t="n"/>
      <c r="U30" s="69" t="inlineStr">
        <is>
          <t>● 본사 정기현장점검 지침 준수</t>
        </is>
      </c>
      <c r="V30" s="69" t="inlineStr">
        <is>
          <t>1) 👉 [더블클릭] 체크리스트 열기 📄</t>
        </is>
      </c>
      <c r="W30" s="49" t="n"/>
    </row>
    <row r="31" ht="96" customHeight="1">
      <c r="A31" s="47" t="inlineStr">
        <is>
          <t>9000</t>
        </is>
      </c>
      <c r="B31" s="47" t="inlineStr">
        <is>
          <t>9000-5</t>
        </is>
      </c>
      <c r="C31" s="47" t="inlineStr">
        <is>
          <t>사전토공사</t>
        </is>
      </c>
      <c r="D31" s="85" t="n">
        <v>2593372</v>
      </c>
      <c r="E31" s="47" t="inlineStr">
        <is>
          <t>9000-5-29</t>
        </is>
      </c>
      <c r="F31" s="85" t="n">
        <v>0</v>
      </c>
      <c r="G31" s="47" t="inlineStr">
        <is>
          <t>D+75일 이후</t>
        </is>
      </c>
      <c r="H31" s="36" t="inlineStr">
        <is>
          <t>강화노반 인계</t>
        </is>
      </c>
      <c r="I31" s="47" t="inlineStr">
        <is>
          <t>현장 공사팀 / 품질팀</t>
        </is>
      </c>
      <c r="J31" s="49" t="inlineStr">
        <is>
          <t>KCS 47 10 25 인계인수 수칙 | 토공-강화노반 시공팀 3자 합동 레벨 측량 | 마무리면 인계인수서 서명</t>
        </is>
      </c>
      <c r="K31" s="49" t="inlineStr">
        <is>
          <t>1) 토공-강화노반 시공팀 3자 합동 현측 ➔ 2) 마무리면 레벨 오차(±10mm) 확인 ➔ 3) 인계인수 합의서 서명 ➔ 4) 토공 마무리면 인계 완료</t>
        </is>
      </c>
      <c r="L31" s="49" t="n"/>
      <c r="M31" s="49" t="inlineStr">
        <is>
          <t>토공-강화노반 시공팀 3자 합동 레벨 측량, 마무리면 레벨 오차(±10mm) 인계인수서 서명</t>
        </is>
      </c>
      <c r="N31" s="49" t="inlineStr">
        <is>
          <t>KCS 47 10 25 인계인수 수칙 | 토공-강화노반 시공팀 3자 합동 레벨 측량 | 마무리면 인계인수서 서명</t>
        </is>
      </c>
      <c r="O31" s="75">
        <f>HYPERLINK(LEFT(CELL("filename",A1),FIND("[",CELL("filename",A1))-1)&amp;"2.사전토공사\28_쌓기 및 다짐_필요시\표준서\쌓기 및 다짐(필요시)_표준서.html", "👉 [클릭] 표준서 열기 📄")</f>
        <v/>
      </c>
      <c r="P31" s="49" t="inlineStr">
        <is>
          <t>1) 토공-강화노반 시공팀 3자 합동 현측 ➔ 2) 마무리면 레벨 오차(±10mm) 확인 ➔ 3) 인계인수 합의서 서명 ➔ 4) 토공 마무리면 인계 완료</t>
        </is>
      </c>
      <c r="Q31" s="76">
        <f>HYPERLINK(LEFT(CELL("filename",A1),FIND("[",CELL("filename",A1))-1)&amp;"2.사전토공사\28_쌓기 및 다짐_필요시\수행지침\쌓기 및 다짐(필요시)_수행지침.html", "👉 [클릭] 수행지침 열기 📄")</f>
        <v/>
      </c>
      <c r="R31" s="49" t="inlineStr">
        <is>
          <t>토공-강화노반 시공팀 3자 합동 레벨 측량, 마무리면 레벨 오차(±10mm) 인계인수서 서명</t>
        </is>
      </c>
      <c r="S31" s="83">
        <f>HYPERLINK(LEFT(CELL("filename",A1),FIND("[",CELL("filename",A1))-1)&amp;"2.사전토공사\28_쌓기 및 다짐_필요시\체크리스트\쌓기 및 다짐(필요시)_체크리스트.html", "👉 [클릭] 체크리스트 열기 📄")</f>
        <v/>
      </c>
      <c r="T31" s="47" t="n"/>
      <c r="U31" s="69" t="inlineStr">
        <is>
          <t>● 궤도 부설 구간 허용 오차 한계 확인</t>
        </is>
      </c>
      <c r="V31" s="69" t="inlineStr">
        <is>
          <t>1) 👉 [더블클릭] 체크리스트 열기 📄</t>
        </is>
      </c>
      <c r="W31" s="49" t="n"/>
    </row>
    <row r="32" ht="96" customHeight="1">
      <c r="A32" s="47" t="inlineStr">
        <is>
          <t>9000</t>
        </is>
      </c>
      <c r="B32" s="47" t="inlineStr">
        <is>
          <t>9000-5</t>
        </is>
      </c>
      <c r="C32" s="47" t="inlineStr">
        <is>
          <t>사전토공사</t>
        </is>
      </c>
      <c r="D32" s="85" t="n">
        <v>2593373</v>
      </c>
      <c r="E32" s="64" t="n"/>
      <c r="F32" s="85" t="n">
        <v>0</v>
      </c>
      <c r="G32" s="47" t="inlineStr">
        <is>
          <t>D+75일 이후</t>
        </is>
      </c>
      <c r="H32" s="36" t="inlineStr">
        <is>
          <t>장비 검수 지원</t>
        </is>
      </c>
      <c r="I32" s="47" t="inlineStr">
        <is>
          <t>기술안전팀</t>
        </is>
      </c>
      <c r="J32" s="49" t="inlineStr">
        <is>
          <t>성토 및 사토 운반용 토공장비 검토</t>
        </is>
      </c>
      <c r="K32" s="49" t="inlineStr">
        <is>
          <t>현장 여건 및 후행공종 요구조건에 적합한 시공계획 작성여부 확인</t>
        </is>
      </c>
      <c r="L32" s="49" t="n"/>
      <c r="M32" s="49" t="inlineStr">
        <is>
          <t>시공계획서 작성지원</t>
        </is>
      </c>
      <c r="N32" s="49" t="inlineStr">
        <is>
          <t>KCS 47 10 25 인계인수 수칙 | 토공-강화노반 시공팀 3자 합동 레벨 측량 | 마무리면 인계인수서 서명</t>
        </is>
      </c>
      <c r="O32" s="75">
        <f>HYPERLINK(LEFT(CELL("filename",A1),FIND("[",CELL("filename",A1))-1)&amp;"2.사전토공사\29_현장지원\표준서\현장지원_표준서.html", "👉 [클릭] 표준서 열기 📄")</f>
        <v/>
      </c>
      <c r="P32" s="49" t="inlineStr">
        <is>
          <t>1) 토공-강화노반 시공팀 3자 합동 현측 ➔ 2) 마무리면 레벨 오차(±10mm) 확인 ➔ 3) 인계인수 합의서 서명 ➔ 4) 토공 마무리면 인계 완료</t>
        </is>
      </c>
      <c r="Q32" s="76">
        <f>HYPERLINK(LEFT(CELL("filename",A1),FIND("[",CELL("filename",A1))-1)&amp;"2.사전토공사\29_현장지원\수행지침\현장지원_수행지침.html", "👉 [클릭] 수행지침 열기 📄")</f>
        <v/>
      </c>
      <c r="R32" s="49" t="inlineStr">
        <is>
          <t>토공-강화노반 시공팀 3자 합동 레벨 측량, 마무리면 레벨 오차(±10mm) 인계인수서 서명</t>
        </is>
      </c>
      <c r="S32" s="83">
        <f>HYPERLINK(LEFT(CELL("filename",A1),FIND("[",CELL("filename",A1))-1)&amp;"2.사전토공사\29_현장지원\체크리스트\현장지원_체크리스트.html", "👉 [클릭] 체크리스트 열기 📄")</f>
        <v/>
      </c>
      <c r="T32" s="47" t="n"/>
      <c r="U32" s="69" t="inlineStr">
        <is>
          <t>● 궤도 부설 구간 허용 오차 한계 확인</t>
        </is>
      </c>
      <c r="V32" s="69" t="inlineStr">
        <is>
          <t>1) 👉 [더블클릭] 체크리스트 열기 📄</t>
        </is>
      </c>
      <c r="W32" s="49" t="n"/>
    </row>
    <row r="33" ht="46.8" customHeight="1">
      <c r="E33" s="47">
        <f>D31</f>
        <v/>
      </c>
      <c r="F33" s="47">
        <f>D34</f>
        <v/>
      </c>
      <c r="O33" s="78">
        <f>HYPERLINK(LEFT(CELL("filename",A1),FIND("[",CELL("filename",A1))-1)&amp;"2.사전토공사\30_강화노반 인계\표준서\강화노반 인계_표준서.html", "👉 [클릭] 표준서 열기 📄")</f>
        <v/>
      </c>
      <c r="Q33" s="79">
        <f>HYPERLINK(LEFT(CELL("filename",A1),FIND("[",CELL("filename",A1))-1)&amp;"2.사전토공사\30_강화노반 인계\수행지침\강화노반 인계_수행지침.html", "👉 [클릭] 수행지침 열기 📄")</f>
        <v/>
      </c>
      <c r="S33" s="84">
        <f>HYPERLINK(LEFT(CELL("filename",A1),FIND("[",CELL("filename",A1))-1)&amp;"2.사전토공사\30_강화노반 인계\체크리스트\강화노반 인계_체크리스트.html", "👉 [클릭] 체크리스트 열기 📄")</f>
        <v/>
      </c>
    </row>
    <row r="34" ht="46.8" customHeight="1">
      <c r="E34" s="47">
        <f>D33</f>
        <v/>
      </c>
      <c r="F34" s="47">
        <f>D35</f>
        <v/>
      </c>
      <c r="O34" s="78">
        <f>HYPERLINK(LEFT(CELL("filename",A1),FIND("[",CELL("filename",A1))-1)&amp;"2.사전토공사\32_Task_32\표준서\Task_32_표준서.html", "👉 [클릭] 표준서 열기 📄")</f>
        <v/>
      </c>
      <c r="Q34" s="79">
        <f>HYPERLINK(LEFT(CELL("filename",A1),FIND("[",CELL("filename",A1))-1)&amp;"2.사전토공사\32_Task_32\수행지침\Task_32_수행지침.html", "👉 [클릭] 수행지침 열기 📄")</f>
        <v/>
      </c>
      <c r="S34" s="84">
        <f>HYPERLINK(LEFT(CELL("filename",A1),FIND("[",CELL("filename",A1))-1)&amp;"2.사전토공사\32_Task_32\체크리스트\Task_32_체크리스트.html", "👉 [클릭] 체크리스트 열기 📄")</f>
        <v/>
      </c>
    </row>
    <row r="35">
      <c r="E35" s="47">
        <f>D34</f>
        <v/>
      </c>
      <c r="F35" s="47">
        <f>D36</f>
        <v/>
      </c>
    </row>
    <row r="36">
      <c r="E36" s="47">
        <f>D35</f>
        <v/>
      </c>
      <c r="F36" s="47">
        <f>D37</f>
        <v/>
      </c>
    </row>
    <row r="37">
      <c r="E37" s="47">
        <f>D36</f>
        <v/>
      </c>
      <c r="F37" s="47">
        <f>D38</f>
        <v/>
      </c>
    </row>
    <row r="38">
      <c r="E38" s="47">
        <f>D37</f>
        <v/>
      </c>
      <c r="F38" s="47">
        <f>D39</f>
        <v/>
      </c>
    </row>
    <row r="39">
      <c r="E39" s="47">
        <f>D38</f>
        <v/>
      </c>
      <c r="F39" s="47">
        <f>D40</f>
        <v/>
      </c>
    </row>
    <row r="40">
      <c r="E40" s="47">
        <f>D39</f>
        <v/>
      </c>
      <c r="F40" s="47" t="n"/>
    </row>
  </sheetData>
  <hyperlinks>
    <hyperlink xmlns:r="http://schemas.openxmlformats.org/officeDocument/2006/relationships" ref="U2" r:id="rId1"/>
    <hyperlink xmlns:r="http://schemas.openxmlformats.org/officeDocument/2006/relationships" ref="V2" r:id="rId2"/>
    <hyperlink xmlns:r="http://schemas.openxmlformats.org/officeDocument/2006/relationships" ref="U3" r:id="rId3"/>
    <hyperlink xmlns:r="http://schemas.openxmlformats.org/officeDocument/2006/relationships" ref="V3" r:id="rId4"/>
    <hyperlink xmlns:r="http://schemas.openxmlformats.org/officeDocument/2006/relationships" ref="U4" r:id="rId5"/>
    <hyperlink xmlns:r="http://schemas.openxmlformats.org/officeDocument/2006/relationships" ref="V4" r:id="rId6"/>
    <hyperlink xmlns:r="http://schemas.openxmlformats.org/officeDocument/2006/relationships" ref="U5" r:id="rId7"/>
    <hyperlink xmlns:r="http://schemas.openxmlformats.org/officeDocument/2006/relationships" ref="V5" r:id="rId8"/>
    <hyperlink xmlns:r="http://schemas.openxmlformats.org/officeDocument/2006/relationships" ref="U6" r:id="rId9"/>
    <hyperlink xmlns:r="http://schemas.openxmlformats.org/officeDocument/2006/relationships" ref="V6" r:id="rId10"/>
    <hyperlink xmlns:r="http://schemas.openxmlformats.org/officeDocument/2006/relationships" ref="U7" r:id="rId11"/>
    <hyperlink xmlns:r="http://schemas.openxmlformats.org/officeDocument/2006/relationships" ref="V7" r:id="rId12"/>
    <hyperlink xmlns:r="http://schemas.openxmlformats.org/officeDocument/2006/relationships" ref="U8" r:id="rId13"/>
    <hyperlink xmlns:r="http://schemas.openxmlformats.org/officeDocument/2006/relationships" ref="V8" r:id="rId14"/>
    <hyperlink xmlns:r="http://schemas.openxmlformats.org/officeDocument/2006/relationships" ref="U9" r:id="rId15"/>
    <hyperlink xmlns:r="http://schemas.openxmlformats.org/officeDocument/2006/relationships" ref="V9" r:id="rId16"/>
    <hyperlink xmlns:r="http://schemas.openxmlformats.org/officeDocument/2006/relationships" ref="U10" r:id="rId17"/>
    <hyperlink xmlns:r="http://schemas.openxmlformats.org/officeDocument/2006/relationships" ref="V10" r:id="rId18"/>
    <hyperlink xmlns:r="http://schemas.openxmlformats.org/officeDocument/2006/relationships" ref="U11" r:id="rId19"/>
    <hyperlink xmlns:r="http://schemas.openxmlformats.org/officeDocument/2006/relationships" ref="V11" r:id="rId20"/>
    <hyperlink xmlns:r="http://schemas.openxmlformats.org/officeDocument/2006/relationships" ref="U12" r:id="rId21"/>
    <hyperlink xmlns:r="http://schemas.openxmlformats.org/officeDocument/2006/relationships" ref="V12" r:id="rId22"/>
    <hyperlink xmlns:r="http://schemas.openxmlformats.org/officeDocument/2006/relationships" ref="U13" r:id="rId23"/>
    <hyperlink xmlns:r="http://schemas.openxmlformats.org/officeDocument/2006/relationships" ref="V13" r:id="rId24"/>
    <hyperlink xmlns:r="http://schemas.openxmlformats.org/officeDocument/2006/relationships" ref="U14" r:id="rId25"/>
    <hyperlink xmlns:r="http://schemas.openxmlformats.org/officeDocument/2006/relationships" ref="V14" r:id="rId26"/>
    <hyperlink xmlns:r="http://schemas.openxmlformats.org/officeDocument/2006/relationships" ref="U15" r:id="rId27"/>
    <hyperlink xmlns:r="http://schemas.openxmlformats.org/officeDocument/2006/relationships" ref="V15" r:id="rId28"/>
    <hyperlink xmlns:r="http://schemas.openxmlformats.org/officeDocument/2006/relationships" ref="U16" r:id="rId29"/>
    <hyperlink xmlns:r="http://schemas.openxmlformats.org/officeDocument/2006/relationships" ref="V16" r:id="rId30"/>
    <hyperlink xmlns:r="http://schemas.openxmlformats.org/officeDocument/2006/relationships" ref="U17" r:id="rId31"/>
    <hyperlink xmlns:r="http://schemas.openxmlformats.org/officeDocument/2006/relationships" ref="V17" r:id="rId32"/>
    <hyperlink xmlns:r="http://schemas.openxmlformats.org/officeDocument/2006/relationships" ref="U18" r:id="rId33"/>
    <hyperlink xmlns:r="http://schemas.openxmlformats.org/officeDocument/2006/relationships" ref="V18" r:id="rId34"/>
    <hyperlink xmlns:r="http://schemas.openxmlformats.org/officeDocument/2006/relationships" ref="U19" r:id="rId35"/>
    <hyperlink xmlns:r="http://schemas.openxmlformats.org/officeDocument/2006/relationships" ref="V19" r:id="rId36"/>
    <hyperlink xmlns:r="http://schemas.openxmlformats.org/officeDocument/2006/relationships" ref="U20" r:id="rId37"/>
    <hyperlink xmlns:r="http://schemas.openxmlformats.org/officeDocument/2006/relationships" ref="V20" r:id="rId38"/>
    <hyperlink xmlns:r="http://schemas.openxmlformats.org/officeDocument/2006/relationships" ref="U21" r:id="rId39"/>
    <hyperlink xmlns:r="http://schemas.openxmlformats.org/officeDocument/2006/relationships" ref="V21" r:id="rId40"/>
    <hyperlink xmlns:r="http://schemas.openxmlformats.org/officeDocument/2006/relationships" ref="U22" r:id="rId41"/>
    <hyperlink xmlns:r="http://schemas.openxmlformats.org/officeDocument/2006/relationships" ref="V22" r:id="rId42"/>
    <hyperlink xmlns:r="http://schemas.openxmlformats.org/officeDocument/2006/relationships" ref="U23" r:id="rId43"/>
    <hyperlink xmlns:r="http://schemas.openxmlformats.org/officeDocument/2006/relationships" ref="V23" r:id="rId44"/>
    <hyperlink xmlns:r="http://schemas.openxmlformats.org/officeDocument/2006/relationships" ref="U24" r:id="rId45"/>
    <hyperlink xmlns:r="http://schemas.openxmlformats.org/officeDocument/2006/relationships" ref="V24" r:id="rId46"/>
    <hyperlink xmlns:r="http://schemas.openxmlformats.org/officeDocument/2006/relationships" ref="U25" r:id="rId47"/>
    <hyperlink xmlns:r="http://schemas.openxmlformats.org/officeDocument/2006/relationships" ref="V25" r:id="rId48"/>
    <hyperlink xmlns:r="http://schemas.openxmlformats.org/officeDocument/2006/relationships" ref="U26" r:id="rId49"/>
    <hyperlink xmlns:r="http://schemas.openxmlformats.org/officeDocument/2006/relationships" ref="V26" r:id="rId50"/>
    <hyperlink xmlns:r="http://schemas.openxmlformats.org/officeDocument/2006/relationships" ref="U27" r:id="rId51"/>
    <hyperlink xmlns:r="http://schemas.openxmlformats.org/officeDocument/2006/relationships" ref="V27" r:id="rId52"/>
    <hyperlink xmlns:r="http://schemas.openxmlformats.org/officeDocument/2006/relationships" ref="U28" r:id="rId53"/>
    <hyperlink xmlns:r="http://schemas.openxmlformats.org/officeDocument/2006/relationships" ref="V28" r:id="rId54"/>
    <hyperlink xmlns:r="http://schemas.openxmlformats.org/officeDocument/2006/relationships" ref="U29" r:id="rId55"/>
    <hyperlink xmlns:r="http://schemas.openxmlformats.org/officeDocument/2006/relationships" ref="V29" r:id="rId56"/>
    <hyperlink xmlns:r="http://schemas.openxmlformats.org/officeDocument/2006/relationships" ref="U30" r:id="rId57"/>
    <hyperlink xmlns:r="http://schemas.openxmlformats.org/officeDocument/2006/relationships" ref="V30" r:id="rId58"/>
    <hyperlink xmlns:r="http://schemas.openxmlformats.org/officeDocument/2006/relationships" ref="U31" r:id="rId59"/>
    <hyperlink xmlns:r="http://schemas.openxmlformats.org/officeDocument/2006/relationships" ref="V31" r:id="rId60"/>
    <hyperlink xmlns:r="http://schemas.openxmlformats.org/officeDocument/2006/relationships" ref="U32" r:id="rId61"/>
    <hyperlink xmlns:r="http://schemas.openxmlformats.org/officeDocument/2006/relationships" ref="V32" r:id="rId62"/>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3.xml><?xml version="1.0" encoding="utf-8"?>
<worksheet xmlns="http://schemas.openxmlformats.org/spreadsheetml/2006/main">
  <sheetPr codeName="Sheet3">
    <tabColor rgb="FFFFFF00"/>
    <outlinePr summaryBelow="1" summaryRight="1"/>
    <pageSetUpPr/>
  </sheetPr>
  <dimension ref="A1:V62"/>
  <sheetViews>
    <sheetView view="pageBreakPreview" zoomScale="55" zoomScaleNormal="55" zoomScaleSheetLayoutView="55" workbookViewId="0">
      <selection activeCell="N5" sqref="N5"/>
    </sheetView>
  </sheetViews>
  <sheetFormatPr baseColWidth="8" defaultRowHeight="19.2"/>
  <cols>
    <col width="8.796875" customWidth="1" style="42" min="1" max="2"/>
    <col width="18.59765625" customWidth="1" style="42" min="3" max="3"/>
    <col width="16" customWidth="1" style="22" min="4" max="6"/>
    <col width="12.296875" bestFit="1" customWidth="1" style="22" min="7" max="7"/>
    <col width="34.09765625" customWidth="1" style="45" min="8" max="8"/>
    <col width="32.59765625" customWidth="1" style="42" min="9" max="9"/>
    <col width="36.3984375" customWidth="1" style="42" min="10" max="10"/>
    <col width="37.59765625" customWidth="1" style="42" min="11" max="11"/>
    <col width="31.796875" customWidth="1" style="42" min="12" max="12"/>
    <col width="43.69921875" customWidth="1" style="26" min="13" max="13"/>
    <col width="11.5" customWidth="1" style="42" min="14" max="14"/>
    <col width="56.296875" customWidth="1" style="26" min="15" max="15"/>
    <col width="9.5" customWidth="1" style="42" min="16" max="16"/>
    <col width="46.69921875" customWidth="1" style="60" min="17" max="17"/>
    <col width="9.19921875" customWidth="1" style="54" min="18" max="18"/>
    <col width="16.5" customWidth="1" style="42" min="19" max="19"/>
    <col width="45" customWidth="1" style="54" min="20" max="20"/>
    <col width="22" customWidth="1" style="54" min="21" max="21"/>
    <col width="22" customWidth="1" style="42" min="22" max="37"/>
    <col width="8.796875" customWidth="1" style="42" min="38" max="66"/>
    <col width="8.796875" customWidth="1" style="42" min="67" max="16384"/>
  </cols>
  <sheetData>
    <row r="1" ht="46.8" customHeight="1">
      <c r="A1" s="6" t="inlineStr">
        <is>
          <t>L2 코드</t>
        </is>
      </c>
      <c r="B1" s="6" t="inlineStr">
        <is>
          <t>L3 코드</t>
        </is>
      </c>
      <c r="C1" s="6" t="inlineStr">
        <is>
          <t>L3 대공종명</t>
        </is>
      </c>
      <c r="D1" s="6" t="inlineStr">
        <is>
          <t>L4 코드</t>
        </is>
      </c>
      <c r="E1" s="6" t="inlineStr">
        <is>
          <t>선행</t>
        </is>
      </c>
      <c r="F1" s="6" t="inlineStr">
        <is>
          <t>후행</t>
        </is>
      </c>
      <c r="G1" s="6" t="inlineStr">
        <is>
          <t>일정 (D-Day)</t>
        </is>
      </c>
      <c r="H1" s="6" t="inlineStr">
        <is>
          <t>작업단위 (Level 4 Task/Activity)</t>
        </is>
      </c>
      <c r="I1" s="6" t="inlineStr">
        <is>
          <t>주관</t>
        </is>
      </c>
      <c r="J1" s="6" t="inlineStr">
        <is>
          <t>목적</t>
        </is>
      </c>
      <c r="K1" s="6" t="inlineStr">
        <is>
          <t>방법</t>
        </is>
      </c>
      <c r="L1" s="6" t="inlineStr">
        <is>
          <t>산출물(결과)</t>
        </is>
      </c>
      <c r="M1" s="15" t="inlineStr">
        <is>
          <t>표준서 (Standard) 요약</t>
        </is>
      </c>
      <c r="N1" s="7" t="inlineStr">
        <is>
          <t>표준서 파일 (HTML)</t>
        </is>
      </c>
      <c r="O1" s="15" t="inlineStr">
        <is>
          <t>수행지침 (Guideline) 요약</t>
        </is>
      </c>
      <c r="P1" s="7" t="inlineStr">
        <is>
          <t>수행지침 파일 (HTML)</t>
        </is>
      </c>
      <c r="Q1" s="15" t="inlineStr">
        <is>
          <t>체크리스트 (Checklist) 요약</t>
        </is>
      </c>
      <c r="R1" s="7" t="inlineStr">
        <is>
          <t>체크리스트 파일 (HTML)</t>
        </is>
      </c>
      <c r="S1" s="6" t="inlineStr">
        <is>
          <t>비고</t>
        </is>
      </c>
      <c r="T1" s="6" t="inlineStr">
        <is>
          <t>첨부서류 연계 상세 설계기준</t>
        </is>
      </c>
      <c r="U1" s="6" t="inlineStr">
        <is>
          <t>집행단계 리스크 체크리스트</t>
        </is>
      </c>
      <c r="V1" s="6" t="inlineStr">
        <is>
          <t>협력사 시공/공사관리 자문</t>
        </is>
      </c>
    </row>
    <row r="2" ht="90" customHeight="1">
      <c r="A2" s="47" t="inlineStr">
        <is>
          <t>2000</t>
        </is>
      </c>
      <c r="B2" s="47" t="inlineStr">
        <is>
          <t>2000-1</t>
        </is>
      </c>
      <c r="C2" s="48" t="inlineStr">
        <is>
          <t>지장뭉 이설</t>
        </is>
      </c>
      <c r="D2" s="47" t="inlineStr">
        <is>
          <t>2000-1-1</t>
        </is>
      </c>
      <c r="E2" s="47" t="n"/>
      <c r="F2" s="47">
        <f>D3</f>
        <v/>
      </c>
      <c r="G2" s="47" t="inlineStr">
        <is>
          <t>P-30</t>
        </is>
      </c>
      <c r="H2" s="52" t="inlineStr">
        <is>
          <t>Site Survey Risk 검토</t>
        </is>
      </c>
      <c r="I2" s="47" t="inlineStr">
        <is>
          <t>토목국내견적팀</t>
        </is>
      </c>
      <c r="J2" s="49" t="inlineStr">
        <is>
          <t>지하안전관리에 관한 특별법 제23조 | 현장 지반 조사, GPR 탐사 데이터 및 신설 궤도 간섭 리스크 사전 분석 | 지장물 이설 리스크 관리계획 수립</t>
        </is>
      </c>
      <c r="K2" s="49" t="inlineStr">
        <is>
          <t>1) 지반 조사 주상도 &amp; GPR 데이터 대조 ➔ 2) 신설 궤도 구조물 간섭 관로 추출 ➔ 3) 기관별 이설 우선순위 수립 ➔ 4) 지장물 리스크 보고서 결재</t>
        </is>
      </c>
      <c r="L2" s="49" t="inlineStr">
        <is>
          <t>지반 시추 주상도, GPR 3D 지중 관로 탐사 데이터 대조 및 신설 궤도 구조물 간섭 관로 사전 현출 점검</t>
        </is>
      </c>
      <c r="M2" s="55" t="inlineStr">
        <is>
          <t>지하안전관리에 관한 특별법 제23조 | 현장 지반 조사, GPR 탐사 데이터 및 신설 궤도 간섭 리스크 사전 분석 | 지장물 이설 리스크 관리계획 수립</t>
        </is>
      </c>
      <c r="N2" s="75">
        <f>HYPERLINK(LEFT(CELL("filename",A1),FIND("[",CELL("filename",A1))-1)&amp;"3.지장물이설\1_Site Survey Risk 검토\표준서\1_Site Survey Risk 검토_표준서.html", "👉 [클릭] 표준서 열기 📄")</f>
        <v/>
      </c>
      <c r="O2" s="55" t="inlineStr">
        <is>
          <t>1) 지반 조사 주상도 &amp; GPR 데이터 대조 ➔ 2) 신설 궤도 구조물 간섭 관로 추출 ➔ 3) 기관별 이설 우선순위 수립 ➔ 4) 지장물 리스크 보고서 결재</t>
        </is>
      </c>
      <c r="P2" s="76">
        <f>HYPERLINK(LEFT(CELL("filename",A1),FIND("[",CELL("filename",A1))-1)&amp;"3.지장물이설\1_Site Survey Risk 검토\수행지침\1_Site Survey Risk 검토_수행지침.html", "👉 [클릭] 수행지침 열기 📄")</f>
        <v/>
      </c>
      <c r="Q2" s="56" t="inlineStr">
        <is>
          <t>지반 시추 주상도, GPR 3D 지중 관로 탐사 데이터 대조 및 신설 궤도 구조물 간섭 관로 사전 현출 점검</t>
        </is>
      </c>
      <c r="R2" s="77">
        <f>HYPERLINK(LEFT(CELL("filename",A1),FIND("[",CELL("filename",A1))-1)&amp;"3.지장물이설\1_Site Survey Risk 검토\체크리스트\1_Site Survey Risk 검토_체크리스트.html", "👉 [클릭] 체크리스트 열기 📄")</f>
        <v/>
      </c>
      <c r="S2" s="47" t="n"/>
      <c r="T2" s="69" t="inlineStr">
        <is>
          <t>토목국내견적 지침 및 계약 시방</t>
        </is>
      </c>
      <c r="U2" s="50" t="inlineStr">
        <is>
          <t>설계도서 불일치로 인한 실행예산 초과 리스크 관리</t>
        </is>
      </c>
      <c r="V2" s="49" t="inlineStr">
        <is>
          <t>우수 토공업체 Pool 기술 자문</t>
        </is>
      </c>
    </row>
    <row r="3" ht="125.4" customHeight="1">
      <c r="A3" s="47" t="inlineStr">
        <is>
          <t>2000</t>
        </is>
      </c>
      <c r="B3" s="47" t="inlineStr">
        <is>
          <t>2000-1</t>
        </is>
      </c>
      <c r="C3" s="48" t="inlineStr">
        <is>
          <t>지장뭉 이설</t>
        </is>
      </c>
      <c r="D3" s="47" t="inlineStr">
        <is>
          <t>2000-1-2</t>
        </is>
      </c>
      <c r="E3" s="47">
        <f>D2</f>
        <v/>
      </c>
      <c r="F3" s="47">
        <f>D4</f>
        <v/>
      </c>
      <c r="G3" s="47" t="inlineStr">
        <is>
          <t>P+0</t>
        </is>
      </c>
      <c r="H3" s="52" t="inlineStr">
        <is>
          <t>발주전략 KOM (도급지분)</t>
        </is>
      </c>
      <c r="I3" s="47" t="inlineStr">
        <is>
          <t>현장소장</t>
        </is>
      </c>
      <c r="J3" s="49" t="inlineStr">
        <is>
          <t>KCS 47 10 25 시방 준수 | 도급분 지장물 이설 발주 시방서 검토 &amp; 3D BIM 도면 대조 | 발주처·감리·시공 3자 킥오프 미팅 결재</t>
        </is>
      </c>
      <c r="K3" s="49" t="inlineStr">
        <is>
          <t>1) 도급분 이설 시방서 요구조건 검토 ➔ 2) 3D BIM 도면 관로 좌표 대조 ➔ 3) 공기 지연 예비비 수립 ➔ 4) 발주·감리·시공 3자 킥오프 결재</t>
        </is>
      </c>
      <c r="L3" s="49" t="inlineStr">
        <is>
          <t>KCS 47 10 25 시방 요구조건, 도급분 지장물 이설 수량 및 3D BIM 도면 간섭 zero 검증</t>
        </is>
      </c>
      <c r="M3" s="49" t="inlineStr">
        <is>
          <t>KCS 47 10 25 시방 준수 | 도급분 지장물 이설 발주 시방서 검토 &amp; 3D BIM 도면 대조 | 발주처·감리·시공 3자 킥오프 미팅 결재</t>
        </is>
      </c>
      <c r="N3" s="75">
        <f>HYPERLINK(LEFT(CELL("filename",A1),FIND("[",CELL("filename",A1))-1)&amp;"3.지장물이설\2_발주전략 KOM (도급지분)\표준서\2_발주전략 KOM (도급지분)_표준서.html", "👉 [클릭] 표준서 열기 📄")</f>
        <v/>
      </c>
      <c r="O3" s="49" t="inlineStr">
        <is>
          <t>1) 도급분 이설 시방서 요구조건 검토 ➔ 2) 3D BIM 도면 관로 좌표 대조 ➔ 3) 공기 지연 예비비 수립 ➔ 4) 발주·감리·시공 3자 킥오프 결재</t>
        </is>
      </c>
      <c r="P3" s="76">
        <f>HYPERLINK(LEFT(CELL("filename",A1),FIND("[",CELL("filename",A1))-1)&amp;"3.지장물이설\2_발주전략 KOM (도급지분)\수행지침\2_발주전략 KOM (도급지분)_수행지침.html", "👉 [클릭] 수행지침 열기 📄")</f>
        <v/>
      </c>
      <c r="Q3" s="48" t="inlineStr">
        <is>
          <t>KCS 47 10 25 시방 요구조건, 도급분 지장물 이설 수량 및 3D BIM 도면 간섭 zero 검증</t>
        </is>
      </c>
      <c r="R3" s="77">
        <f>HYPERLINK(LEFT(CELL("filename",A1),FIND("[",CELL("filename",A1))-1)&amp;"3.지장물이설\2_발주전략 KOM (도급지분)\체크리스트\2_발주전략 KOM (도급지분)_체크리스트.html", "👉 [클릭] 체크리스트 열기 📄")</f>
        <v/>
      </c>
      <c r="S3" s="47" t="n"/>
      <c r="T3" s="69" t="inlineStr">
        <is>
          <t>CML 토목사무지침 및 도급 계약 시방</t>
        </is>
      </c>
      <c r="U3" s="50" t="inlineStr">
        <is>
          <t>부적격 업체 선정에 따른 공기 지연 리스크 방지</t>
        </is>
      </c>
      <c r="V3" s="49" t="inlineStr">
        <is>
          <t>본사외주부서 및 컴플라이언스RM 자문</t>
        </is>
      </c>
    </row>
    <row r="4" ht="110.4" customHeight="1">
      <c r="A4" s="47" t="inlineStr">
        <is>
          <t>2000</t>
        </is>
      </c>
      <c r="B4" s="47" t="inlineStr">
        <is>
          <t>2000-1</t>
        </is>
      </c>
      <c r="C4" s="48" t="inlineStr">
        <is>
          <t>지장뭉 이설</t>
        </is>
      </c>
      <c r="D4" s="47" t="inlineStr">
        <is>
          <t>2000-1-3</t>
        </is>
      </c>
      <c r="E4" s="47">
        <f>D3</f>
        <v/>
      </c>
      <c r="F4" s="47">
        <f>D5</f>
        <v/>
      </c>
      <c r="G4" s="47" t="inlineStr">
        <is>
          <t>P+0</t>
        </is>
      </c>
      <c r="H4" s="52" t="inlineStr">
        <is>
          <t>지장물 이설 요청 (위수탁고)</t>
        </is>
      </c>
      <c r="I4" s="47" t="inlineStr">
        <is>
          <t>공사팀 / 발주기관</t>
        </is>
      </c>
      <c r="J4" s="49" t="inlineStr">
        <is>
          <t>지방계약법 및 관할 점용기관 규정 | 위수탁 지장물 이설 협약서 작성 &amp; 공문 발송 | 기관별 이설 소요 기간 및 예산 확보</t>
        </is>
      </c>
      <c r="K4" s="49" t="inlineStr">
        <is>
          <t>1) 관할 점용기관 이설 요청 공문 작성 ➔ 2) 이설 협약서 정산 조건 수속 ➔ 3) 기관별 이설 소요 기간 협의 ➔ 4) 위수탁 이설 확약 공문 수령</t>
        </is>
      </c>
      <c r="L4" s="49" t="inlineStr">
        <is>
          <t>위수탁 이설 요청 공문 부착, 점용기관 협약 조건 수속 및 이설 예비비 계상 서약</t>
        </is>
      </c>
      <c r="M4" s="49" t="inlineStr">
        <is>
          <t>지방계약법 및 관할 점용기관 규정 | 위수탁 지장물 이설 협약서 작성 &amp; 공문 발송 | 기관별 이설 소요 기간 및 예산 확보</t>
        </is>
      </c>
      <c r="N4" s="75">
        <f>HYPERLINK(LEFT(CELL("filename",A1),FIND("[",CELL("filename",A1))-1)&amp;"3.지장물이설\2_발주전적 KOM (도급지분)\표준서\발주전적 KOM (도급지분)_표준서.html", "👉 [클릭] 표준서 열기 📄")</f>
        <v/>
      </c>
      <c r="O4" s="49" t="inlineStr">
        <is>
          <t>1) 관할 점용기관 이설 요청 공문 작성 ➔ 2) 이설 협약서 정산 조건 수속 ➔ 3) 기관별 이설 소요 기간 협의 ➔ 4) 위수탁 이설 확약 공문 수령</t>
        </is>
      </c>
      <c r="P4" s="76">
        <f>HYPERLINK(LEFT(CELL("filename",A1),FIND("[",CELL("filename",A1))-1)&amp;"3.지장물이설\2_발주전적 KOM (도급지분)\수행지침\발주전적 KOM (도급지분)_수행지침.html", "👉 [클릭] 수행지침 열기 📄")</f>
        <v/>
      </c>
      <c r="Q4" s="48" t="inlineStr">
        <is>
          <t>위수탁 이설 요청 공문 부착, 점용기관 협약 조건 수속 및 이설 예비비 계상 서약</t>
        </is>
      </c>
      <c r="R4" s="77">
        <f>HYPERLINK(LEFT(CELL("filename",A1),FIND("[",CELL("filename",A1))-1)&amp;"3.지장물이설\2_발주전적 KOM (도급지분)\체크리스트\발주전적 KOM (도급지분)_체크리스트.html", "👉 [클릭] 체크리스트 열기 📄")</f>
        <v/>
      </c>
      <c r="S4" s="47" t="n"/>
      <c r="T4" s="69" t="inlineStr">
        <is>
          <t>지자체 위수탁 협약 처리 기준</t>
        </is>
      </c>
      <c r="U4" s="50" t="inlineStr">
        <is>
          <t>위수탁 기관 이설 착수 지연 리스크 관리</t>
        </is>
      </c>
      <c r="V4" s="49" t="inlineStr">
        <is>
          <t>관련 유관기관 전담 자문</t>
        </is>
      </c>
    </row>
    <row r="5" ht="96" customHeight="1">
      <c r="A5" s="47" t="inlineStr">
        <is>
          <t>2000</t>
        </is>
      </c>
      <c r="B5" s="47" t="inlineStr">
        <is>
          <t>2000-1</t>
        </is>
      </c>
      <c r="C5" s="48" t="inlineStr">
        <is>
          <t>지장뭉 이설</t>
        </is>
      </c>
      <c r="D5" s="47" t="inlineStr">
        <is>
          <t>2000-1-4</t>
        </is>
      </c>
      <c r="E5" s="47">
        <f>D4</f>
        <v/>
      </c>
      <c r="F5" s="47">
        <f>D6</f>
        <v/>
      </c>
      <c r="G5" s="47" t="inlineStr">
        <is>
          <t>P+5</t>
        </is>
      </c>
      <c r="H5" s="52" t="inlineStr">
        <is>
          <t>도급자분 이설업체 선정(상/하수)</t>
        </is>
      </c>
      <c r="I5" s="47" t="inlineStr">
        <is>
          <t>현장소장</t>
        </is>
      </c>
      <c r="J5" s="49" t="inlineStr">
        <is>
          <t>건설산업기본법 제29조 | 상하수도 설비 전문건설업 면허 및 적정성(≥ 82%) 평가 | 노무비 전용계좌 지정 및 계약 승인</t>
        </is>
      </c>
      <c r="K5" s="49" t="inlineStr">
        <is>
          <t>1) 상하수도 전문건설업 면허 심사 ➔ 2) 하도급 적정성(≥ 82%) 평가 ➔ 3) 노무비 전용계좌 개설 ➔ 4) 하도급 계약 승인 통보서 결재</t>
        </is>
      </c>
      <c r="L5" s="49" t="inlineStr">
        <is>
          <t>상하수도 전문건설업 면허/실적 심사, 하도급 적정성 평가(≥ 82%) 및 노무비 전용계좌 지정</t>
        </is>
      </c>
      <c r="M5" s="49" t="inlineStr">
        <is>
          <t>건설산업기본법 제29조 | 상하수도 설비 전문건설업 면허 및 적정성(≥ 82%) 평가 | 노무비 전용계좌 지정 및 계약 승인</t>
        </is>
      </c>
      <c r="N5" s="75">
        <f>HYPERLINK(LEFT(CELL("filename",A1),FIND("[",CELL("filename",A1))-1)&amp;"3.지장물이설\3_지장물 이설 요청 (위수탁고)\표준서\3_지장물 이설 요청 (위수탁고)_표준서.html", "👉 [클릭] 표준서 열기 📄")</f>
        <v/>
      </c>
      <c r="O5" s="49" t="inlineStr">
        <is>
          <t>1) 상하수도 전문건설업 면허 심사 ➔ 2) 하도급 적정성(≥ 82%) 평가 ➔ 3) 노무비 전용계좌 개설 ➔ 4) 하도급 계약 승인 통보서 결재</t>
        </is>
      </c>
      <c r="P5" s="76">
        <f>HYPERLINK(LEFT(CELL("filename",A1),FIND("[",CELL("filename",A1))-1)&amp;"3.지장물이설\3_지장물 이설 요청 (위수탁고)\수행지침\3_지장물 이설 요청 (위수탁고)_수행지침.html", "👉 [클릭] 수행지침 열기 📄")</f>
        <v/>
      </c>
      <c r="Q5" s="48" t="inlineStr">
        <is>
          <t>상하수도 전문건설업 면허/실적 심사, 하도급 적정성 평가(≥ 82%) 및 노무비 전용계좌 지정</t>
        </is>
      </c>
      <c r="R5" s="77">
        <f>HYPERLINK(LEFT(CELL("filename",A1),FIND("[",CELL("filename",A1))-1)&amp;"3.지장물이설\3_지장물 이설 요청 (위수탁고)\체크리스트\3_지장물 이설 요청 (위수탁고)_체크리스트.html", "👉 [클릭] 체크리스트 열기 📄")</f>
        <v/>
      </c>
      <c r="S5" s="47" t="n"/>
      <c r="T5" s="69" t="inlineStr">
        <is>
          <t>하도급거래 공정화에 관한 법률 및 계약 규정</t>
        </is>
      </c>
      <c r="U5" s="50" t="inlineStr">
        <is>
          <t>저가 하도급으로 인한 부실 시공 리스크 예방</t>
        </is>
      </c>
      <c r="V5" s="49" t="inlineStr">
        <is>
          <t>외주계약팀 전문 자문</t>
        </is>
      </c>
    </row>
    <row r="6" ht="134.4" customHeight="1">
      <c r="A6" s="47" t="inlineStr">
        <is>
          <t>2000</t>
        </is>
      </c>
      <c r="B6" s="47" t="inlineStr">
        <is>
          <t>2000-1</t>
        </is>
      </c>
      <c r="C6" s="48" t="inlineStr">
        <is>
          <t>지장뭉 이설</t>
        </is>
      </c>
      <c r="D6" s="47" t="inlineStr">
        <is>
          <t>2000-1-5</t>
        </is>
      </c>
      <c r="E6" s="47">
        <f>D5</f>
        <v/>
      </c>
      <c r="F6" s="47">
        <f>D7</f>
        <v/>
      </c>
      <c r="G6" s="47" t="inlineStr">
        <is>
          <t>P+10</t>
        </is>
      </c>
      <c r="H6" s="52" t="inlineStr">
        <is>
          <t>지장물 조사 (위탁기관 합동)</t>
        </is>
      </c>
      <c r="I6" s="47" t="inlineStr">
        <is>
          <t>현장 공사팀</t>
        </is>
      </c>
      <c r="J6" s="49" t="inlineStr">
        <is>
          <t>본 과업은 트램 선로 굴착 예정 구간 내 매설된 한국전력, 도시가스, 상하수도, 통신 관로 등 지하 지장물의 정확한 매설 위치, 관경, 매설 깊이를 관할 점용기관과 1:1 현장 합동으로 정밀 실측·조사하여 3D BIM 간섭 모델을 구축하는 것을 목적으로 함.</t>
        </is>
      </c>
      <c r="K6" s="49" t="inlineStr">
        <is>
          <t>1) 한전/가스/수자원공사 1:1 현장 입회 ➔ 2) 관로 위치, 관경(mm), 깊이 현측 ➔ 3) 3D BIM 매설 관로 매핑 ➔ 4) 지장물 조사서 감리 서면 승인</t>
        </is>
      </c>
      <c r="L6" s="49" t="inlineStr">
        <is>
          <t>한국전력, 도시가스, 수자원공사 1:1 현장 입회 및 지하 매설물 관경(mm), 심도 깊이 3D BIM 매핑</t>
        </is>
      </c>
      <c r="M6" s="49" t="inlineStr">
        <is>
          <t>본 과업은 트램 선로 굴착 예정 구간 내 매설된 한국전력, 도시가스, 상하수도, 통신 관로 등 지하 지장물의 정확한 매설 위치, 관경, 매설 깊이를 관할 점용기관과 1:1 현장 합동으로 정밀 실측·조사하여 3D BIM 간섭 모델을 구축하는 것을 목적으로 함.</t>
        </is>
      </c>
      <c r="N6" s="75">
        <f>HYPERLINK(LEFT(CELL("filename",A1),FIND("[",CELL("filename",A1))-1)&amp;"3.지장물이설\4_도급자분 이설업체 선정(상_하수)\표준서\4_도급자분 이설업체 선정(상_하수)_표준서.html", "👉 [클릭] 표준서 열기 📄")</f>
        <v/>
      </c>
      <c r="O6" s="49" t="inlineStr">
        <is>
          <t>1) 한전/가스/수자원공사 1:1 현장 입회 ➔ 2) 관로 위치, 관경(mm), 깊이 현측 ➔ 3) 3D BIM 매설 관로 매핑 ➔ 4) 지장물 조사서 감리 서면 승인</t>
        </is>
      </c>
      <c r="P6" s="76">
        <f>HYPERLINK(LEFT(CELL("filename",A1),FIND("[",CELL("filename",A1))-1)&amp;"3.지장물이설\4_도급자분 이설업체 선정(상_하수)\수행지침\4_도급자분 이설업체 선정(상_하수)_수행지침.html", "👉 [클릭] 수행지침 열기 📄")</f>
        <v/>
      </c>
      <c r="Q6" s="48" t="inlineStr">
        <is>
          <t>한국전력, 도시가스, 수자원공사 1:1 현장 입회 및 지하 매설물 관경(mm), 심도 깊이 3D BIM 매핑</t>
        </is>
      </c>
      <c r="R6" s="77">
        <f>HYPERLINK(LEFT(CELL("filename",A1),FIND("[",CELL("filename",A1))-1)&amp;"3.지장물이설\4_도급자분 이설업체 선정(상_하수)\체크리스트\4_도급자분 이설업체 선정(상_하수)_체크리스트.html", "👉 [클릭] 체크리스트 열기 📄")</f>
        <v/>
      </c>
      <c r="S6" s="47" t="n"/>
      <c r="T6" s="69" t="inlineStr">
        <is>
          <t>지하안전관리에 관한 특별법 및 측량 규정</t>
        </is>
      </c>
      <c r="U6" s="50" t="inlineStr">
        <is>
          <t>도면 상이로 인한 신규 지장물 불시 도출 리스크 방지</t>
        </is>
      </c>
      <c r="V6" s="49" t="inlineStr">
        <is>
          <t>지장물 이설업체 및 유관기관 담당자</t>
        </is>
      </c>
    </row>
    <row r="7" ht="96" customHeight="1">
      <c r="A7" s="47" t="inlineStr">
        <is>
          <t>2000</t>
        </is>
      </c>
      <c r="B7" s="47" t="inlineStr">
        <is>
          <t>2000-1</t>
        </is>
      </c>
      <c r="C7" s="48" t="inlineStr">
        <is>
          <t>지장뭉 이설</t>
        </is>
      </c>
      <c r="D7" s="47" t="inlineStr">
        <is>
          <t>2000-1-6</t>
        </is>
      </c>
      <c r="E7" s="47">
        <f>D6</f>
        <v/>
      </c>
      <c r="F7" s="47">
        <f>D8</f>
        <v/>
      </c>
      <c r="G7" s="47" t="inlineStr">
        <is>
          <t>P+15</t>
        </is>
      </c>
      <c r="H7" s="52" t="inlineStr">
        <is>
          <t>지장물 이설 계획 수립</t>
        </is>
      </c>
      <c r="I7" s="47" t="inlineStr">
        <is>
          <t>현장 공사팀</t>
        </is>
      </c>
      <c r="J7" s="49" t="inlineStr">
        <is>
          <t>본 과업은 현장 실측된 지장물 조사 결과를 바탕으로 공정 간섭을 최소화하는 이설 순서, 가설 방호 공법, 임시 도로 우회 계획을 수립하고, 시공 착수 전 책임감리단의 서면 기술 승인을 확보하는 것을 목적으로 함.</t>
        </is>
      </c>
      <c r="K7" s="49" t="inlineStr">
        <is>
          <t>1) 지장물 이설 공정표 수립 ➔ 2) 가설 매달기 방호 &amp; 우회 차선 설계 ➔ 3) 착공 14일 전 감리단 제출 ➔ 4) 이설 계획서 책임감리원 승인</t>
        </is>
      </c>
      <c r="L7" s="49" t="inlineStr">
        <is>
          <t>지장물 이설 공정표 수립, 가설 매달기 방호/우회 차선 설계 및 착공 14일 전 감리 서면 승인</t>
        </is>
      </c>
      <c r="M7" s="49" t="inlineStr">
        <is>
          <t>본 과업은 현장 실측된 지장물 조사 결과를 바탕으로 공정 간섭을 최소화하는 이설 순서, 가설 방호 공법, 임시 도로 우회 계획을 수립하고, 시공 착수 전 책임감리단의 서면 기술 승인을 확보하는 것을 목적으로 함.</t>
        </is>
      </c>
      <c r="N7" s="75">
        <f>HYPERLINK(LEFT(CELL("filename",A1),FIND("[",CELL("filename",A1))-1)&amp;"3.지장물이설\4_최고의 팀 만들기 지원\표준서\최고의 팀 만들기 지원_표준서.html", "👉 [클릭] 표준서 열기 📄")</f>
        <v/>
      </c>
      <c r="O7" s="49" t="inlineStr">
        <is>
          <t>1) 지장물 이설 공정표 수립 ➔ 2) 가설 매달기 방호 &amp; 우회 차선 설계 ➔ 3) 착공 14일 전 감리단 제출 ➔ 4) 이설 계획서 책임감리원 승인</t>
        </is>
      </c>
      <c r="P7" s="76">
        <f>HYPERLINK(LEFT(CELL("filename",A1),FIND("[",CELL("filename",A1))-1)&amp;"3.지장물이설\4_최고의 팀 만들기 지원\수행지침\수행지침.html", "👉 [클릭] 수행지침 열기 📄")</f>
        <v/>
      </c>
      <c r="Q7" s="48" t="inlineStr">
        <is>
          <t>지장물 이설 공정표 수립, 가설 매달기 방호/우회 차선 설계 및 착공 14일 전 감리 서면 승인</t>
        </is>
      </c>
      <c r="R7" s="77">
        <f>HYPERLINK(LEFT(CELL("filename",A1),FIND("[",CELL("filename",A1))-1)&amp;"3.지장물이설\4_최고의 팀 만들기 지원\체크리스트\최고의 팀 만들기 지원_체크리스트.html", "👉 [클릭] 체크리스트 열기 📄")</f>
        <v/>
      </c>
      <c r="S7" s="47" t="n"/>
      <c r="T7" s="69" t="inlineStr">
        <is>
          <t>동탄트램 지장물 이설 종합 지침</t>
        </is>
      </c>
      <c r="U7" s="50" t="inlineStr">
        <is>
          <t>이설 순서 혼선으로 인한 재굴착 리스크 방지</t>
        </is>
      </c>
      <c r="V7" s="49" t="inlineStr">
        <is>
          <t>지장물 전문가 및 공무팀</t>
        </is>
      </c>
    </row>
    <row r="8" ht="115.2" customHeight="1">
      <c r="A8" s="47" t="inlineStr">
        <is>
          <t>2000</t>
        </is>
      </c>
      <c r="B8" s="47" t="inlineStr">
        <is>
          <t>2000-1</t>
        </is>
      </c>
      <c r="C8" s="48" t="inlineStr">
        <is>
          <t>지장뭉 이설</t>
        </is>
      </c>
      <c r="D8" s="47" t="inlineStr">
        <is>
          <t>2000-1-7</t>
        </is>
      </c>
      <c r="E8" s="47">
        <f>D7</f>
        <v/>
      </c>
      <c r="F8" s="47">
        <f>D9</f>
        <v/>
      </c>
      <c r="G8" s="47" t="inlineStr">
        <is>
          <t>P+20</t>
        </is>
      </c>
      <c r="H8" s="52" t="inlineStr">
        <is>
          <t>최고의 팀 만들기 지원</t>
        </is>
      </c>
      <c r="I8" s="47" t="inlineStr">
        <is>
          <t>외주관리팀</t>
        </is>
      </c>
      <c r="J8" s="49" t="inlineStr">
        <is>
          <t>본 과업은 지장물 이설 공사 관련 시공사, 감리단, 유관 점용기관 간 전담 기술 조직을 배치하고 수시 협의 체계를 마련하여, 현장 돌발 간섭 및 인허가 지연 이슈를 신속히 해결하고 안전 공정을 준수하는 것을 목적으로 함.</t>
        </is>
      </c>
      <c r="K8" s="49" t="inlineStr">
        <is>
          <t>1) 지장물 전담 기술자 1:1 배치 ➔ 2) 3자 주간 소통 회의 개최 ➔ 3) 근로자 환경 개선 &amp; TBM ➔ 4) One-Team 조직표 감리 서면 승인</t>
        </is>
      </c>
      <c r="L8" s="49" t="inlineStr">
        <is>
          <t>지장물 전담 기술자 1:1 현장 배치, 발주·감리·시공 3자 주간 소통 회의 및 일일 TBM/음주 측정(0.00%)</t>
        </is>
      </c>
      <c r="M8" s="49" t="inlineStr">
        <is>
          <t>본 과업은 지장물 이설 공사 관련 시공사, 감리단, 유관 점용기관 간 전담 기술 조직을 배치하고 수시 협의 체계를 마련하여, 현장 돌발 간섭 및 인허가 지연 이슈를 신속히 해결하고 안전 공정을 준수하는 것을 목적으로 함.</t>
        </is>
      </c>
      <c r="N8" s="75">
        <f>HYPERLINK(LEFT(CELL("filename",A1),FIND("[",CELL("filename",A1))-1)&amp;"3.지장물이설\5_지장물 조사 (위탁기관 합동)\표준서\5_지장물 조사 (위탁기관 합동)_표준서.html", "👉 [클릭] 표준서 열기 📄")</f>
        <v/>
      </c>
      <c r="O8" s="49" t="inlineStr">
        <is>
          <t>1) 지장물 전담 기술자 1:1 배치 ➔ 2) 3자 주간 소통 회의 개최 ➔ 3) 근로자 환경 개선 &amp; TBM ➔ 4) One-Team 조직표 감리 서면 승인</t>
        </is>
      </c>
      <c r="P8" s="76">
        <f>HYPERLINK(LEFT(CELL("filename",A1),FIND("[",CELL("filename",A1))-1)&amp;"3.지장물이설\5_지장물 조사 (위탁기관 합동)\수행지침\5_지장물 조사 (위탁기관 합동)_수행지침.html", "👉 [클릭] 수행지침 열기 📄")</f>
        <v/>
      </c>
      <c r="Q8" s="48" t="inlineStr">
        <is>
          <t>지장물 전담 기술자 1:1 현장 배치, 발주·감리·시공 3자 주간 소통 회의 및 일일 TBM/음주 측정(0.00%)</t>
        </is>
      </c>
      <c r="R8" s="77">
        <f>HYPERLINK(LEFT(CELL("filename",A1),FIND("[",CELL("filename",A1))-1)&amp;"3.지장물이설\5_지장물 조사 (위탁기관 합동)\체크리스트\5_지장물 조사 (위탁기관 합동)_체크리스트.html", "👉 [클릭] 체크리스트 열기 📄")</f>
        <v/>
      </c>
      <c r="S8" s="47" t="n"/>
      <c r="T8" s="69" t="inlineStr">
        <is>
          <t>외주 하도급 관리 규정</t>
        </is>
      </c>
      <c r="U8" s="50" t="inlineStr">
        <is>
          <t>시공 미숙 작업반 투입으로 인한 사고 리스크 방지</t>
        </is>
      </c>
      <c r="V8" s="49" t="inlineStr">
        <is>
          <t>외주계약 전문 자문</t>
        </is>
      </c>
    </row>
    <row r="9" ht="172.8" customHeight="1">
      <c r="A9" s="47" t="inlineStr">
        <is>
          <t>2000</t>
        </is>
      </c>
      <c r="B9" s="47" t="inlineStr">
        <is>
          <t>2000-1</t>
        </is>
      </c>
      <c r="C9" s="48" t="inlineStr">
        <is>
          <t>지장뭉 이설</t>
        </is>
      </c>
      <c r="D9" s="47" t="inlineStr">
        <is>
          <t>2000-1-8</t>
        </is>
      </c>
      <c r="E9" s="47">
        <f>D8</f>
        <v/>
      </c>
      <c r="F9" s="47">
        <f>D10</f>
        <v/>
      </c>
      <c r="G9" s="47" t="inlineStr">
        <is>
          <t>D-60</t>
        </is>
      </c>
      <c r="H9" s="52" t="inlineStr">
        <is>
          <t>착수전 Big Room 회의</t>
        </is>
      </c>
      <c r="I9" s="47" t="inlineStr">
        <is>
          <t>현장소장</t>
        </is>
      </c>
      <c r="J9" s="49" t="inlineStr">
        <is>
          <t>본 과업은 지장물 이설 착수 전 발주처, 감리단, 관할 지자체, 점용기관, 시공사 합동으로 3D BIM 기반 Big Room 회의를 개최하여, 공정 마일스톤 연동 및 시공 위험 요소를 사전에 상호 검증·확정하는 것을 목적으로 함.</t>
        </is>
      </c>
      <c r="K9" s="49" t="inlineStr">
        <is>
          <t>1) 4자(발주·감리·지자체·시공) 빅룸 결성 ➔ 2) 지장물 이설 마일스톤 연동 ➔ 3) 간섭 리스크 즉시 해소 ➔ 4) 빅룸 회의록 4자 서명 완수</t>
        </is>
      </c>
      <c r="L9" s="49" t="inlineStr">
        <is>
          <t>4자(발주·감리·지자체·시공) 빅룸 회의 결성, 지장물 간섭 Zero 및 마일스톤 연동 회의록 서명</t>
        </is>
      </c>
      <c r="M9" s="49" t="inlineStr">
        <is>
          <t>본 과업은 지장물 이설 착수 전 발주처, 감리단, 관할 지자체, 점용기관, 시공사 합동으로 3D BIM 기반 Big Room 회의를 개최하여, 공정 마일스톤 연동 및 시공 위험 요소를 사전에 상호 검증·확정하는 것을 목적으로 함.</t>
        </is>
      </c>
      <c r="N9" s="75">
        <f>HYPERLINK(LEFT(CELL("filename",A1),FIND("[",CELL("filename",A1))-1)&amp;"3.지장물이설\5_착수전 Big Room 회의\표준서\착수전 Big Room 회의_표준서.html", "👉 [클릭] 표준서 열기 📄")</f>
        <v/>
      </c>
      <c r="O9" s="49" t="inlineStr">
        <is>
          <t>1) 4자(발주·감리·지자체·시공) 빅룸 결성 ➔ 2) 지장물 이설 마일스톤 연동 ➔ 3) 간섭 리스크 즉시 해소 ➔ 4) 빅룸 회의록 4자 서명 완수</t>
        </is>
      </c>
      <c r="P9" s="76">
        <f>HYPERLINK(LEFT(CELL("filename",A1),FIND("[",CELL("filename",A1))-1)&amp;"3.지장물이설\5_착수전 Big Room 회의\수행지침\수행지침.html", "👉 [클릭] 수행지침 열기 📄")</f>
        <v/>
      </c>
      <c r="Q9" s="48" t="inlineStr">
        <is>
          <t>4자(발주·감리·지자체·시공) 빅룸 회의 결성, 지장물 간섭 Zero 및 마일스톤 연동 회의록 서명</t>
        </is>
      </c>
      <c r="R9" s="77">
        <f>HYPERLINK(LEFT(CELL("filename",A1),FIND("[",CELL("filename",A1))-1)&amp;"3.지장물이설\5_착수전 Big Room 회의\체크리스트\착수전 Big Room 회의_체크리스트.html", "👉 [클릭] 체크리스트 열기 📄")</f>
        <v/>
      </c>
      <c r="S9" s="47" t="n"/>
      <c r="T9" s="69" t="inlineStr">
        <is>
          <t>동탄트램 사업관리 지침</t>
        </is>
      </c>
      <c r="U9" s="50" t="inlineStr">
        <is>
          <t>유관기관 간 공정 중복으로 인한 중복 굴착 리스크 방지</t>
        </is>
      </c>
      <c r="V9" s="49" t="inlineStr">
        <is>
          <t>유관기관 관리자 및 분야별 전문가</t>
        </is>
      </c>
    </row>
    <row r="10" ht="115.2" customHeight="1">
      <c r="A10" s="47" t="inlineStr">
        <is>
          <t>2000</t>
        </is>
      </c>
      <c r="B10" s="47" t="inlineStr">
        <is>
          <t>2000-1S</t>
        </is>
      </c>
      <c r="C10" s="48" t="inlineStr">
        <is>
          <t>지장뭉 이설</t>
        </is>
      </c>
      <c r="D10" s="47" t="inlineStr">
        <is>
          <t>2000-1S-1</t>
        </is>
      </c>
      <c r="E10" s="47">
        <f>D9</f>
        <v/>
      </c>
      <c r="F10" s="47">
        <f>D11</f>
        <v/>
      </c>
      <c r="G10" s="47" t="inlineStr">
        <is>
          <t>D-50</t>
        </is>
      </c>
      <c r="H10" s="52" t="inlineStr">
        <is>
          <t>인허가 절차 진행</t>
        </is>
      </c>
      <c r="I10" s="47" t="inlineStr">
        <is>
          <t>현장 공무팀</t>
        </is>
      </c>
      <c r="J10" s="49" t="inlineStr">
        <is>
          <t>본 과업은 도로법, 하천법 등 관련 법령에 의거하여 지자체 및 관할 관청에 도로점용, 하천점용 등 법정 인허가 신청 도서를 작성·접수하고 정식 인허가 필증을 수속하여 법적 공사 착수 여건을 완비하는 것을 목적으로 함.</t>
        </is>
      </c>
      <c r="K10" s="49" t="inlineStr">
        <is>
          <t>1) 지자체 도로/하천점용 허가서 작성 ➔ 2) 관련 부서 서류 제출 &amp; 심의 ➔ 3) 보증보험 증권 부착 ➔ 4) 법정 인허가 필증 감리 수속</t>
        </is>
      </c>
      <c r="L10" s="49" t="inlineStr">
        <is>
          <t>지자체 도로점용 허가 &amp; 하천점용 허가서 수속, 보증보험 증권 제출 및 법정 인허가 필증 검수</t>
        </is>
      </c>
      <c r="M10" s="49" t="inlineStr">
        <is>
          <t>본 과업은 도로법, 하천법 등 관련 법령에 의거하여 지자체 및 관할 관청에 도로점용, 하천점용 등 법정 인허가 신청 도서를 작성·접수하고 정식 인허가 필증을 수속하여 법적 공사 착수 여건을 완비하는 것을 목적으로 함.</t>
        </is>
      </c>
      <c r="N10" s="75">
        <f>HYPERLINK(LEFT(CELL("filename",A1),FIND("[",CELL("filename",A1))-1)&amp;"3.지장물이설\6_관리기관(맑은물사업소) 협의\표준서\관리기관(맑은물사업소) 협의_표준서.html", "👉 [클릭] 표준서 열기 📄")</f>
        <v/>
      </c>
      <c r="O10" s="49" t="inlineStr">
        <is>
          <t>1) 지자체 도로/하천점용 허가서 작성 ➔ 2) 관련 부서 서류 제출 &amp; 심의 ➔ 3) 보증보험 증권 부착 ➔ 4) 법정 인허가 필증 감리 수속</t>
        </is>
      </c>
      <c r="P10" s="76">
        <f>HYPERLINK(LEFT(CELL("filename",A1),FIND("[",CELL("filename",A1))-1)&amp;"3.지장물이설\6_관리기관(맑은물사업소) 협의\수행지침\관리기관(맑은물사업소) 협의_수행지침.html", "👉 [클릭] 수행지침 열기 📄")</f>
        <v/>
      </c>
      <c r="Q10" s="48" t="inlineStr">
        <is>
          <t>지자체 도로점용 허가 &amp; 하천점용 허가서 수속, 보증보험 증권 제출 및 법정 인허가 필증 검수</t>
        </is>
      </c>
      <c r="R10" s="77">
        <f>HYPERLINK(LEFT(CELL("filename",A1),FIND("[",CELL("filename",A1))-1)&amp;"3.지장물이설\6_관리기관(맑은물사업소) 협의\체크리스트\관리기관(맑은물사업소) 협의_체크리스트.html", "👉 [클릭] 체크리스트 열기 📄")</f>
        <v/>
      </c>
      <c r="S10" s="47" t="n"/>
      <c r="T10" s="69" t="inlineStr">
        <is>
          <t>인허가 관련 행정법 및 도로법</t>
        </is>
      </c>
      <c r="U10" s="50" t="inlineStr">
        <is>
          <t>인허가 지연으로 인한 공사 중단 리스크 방지</t>
        </is>
      </c>
      <c r="V10" s="49" t="inlineStr">
        <is>
          <t>인허가 전문 자문</t>
        </is>
      </c>
    </row>
    <row r="11" ht="96" customHeight="1">
      <c r="A11" s="47" t="inlineStr">
        <is>
          <t>2000</t>
        </is>
      </c>
      <c r="B11" s="47" t="inlineStr">
        <is>
          <t>2000-1S</t>
        </is>
      </c>
      <c r="C11" s="48" t="inlineStr">
        <is>
          <t>지장뭉 이설</t>
        </is>
      </c>
      <c r="D11" s="47" t="inlineStr">
        <is>
          <t>2000-1S-2</t>
        </is>
      </c>
      <c r="E11" s="47">
        <f>D10</f>
        <v/>
      </c>
      <c r="F11" s="47">
        <f>D12</f>
        <v/>
      </c>
      <c r="G11" s="47" t="inlineStr">
        <is>
          <t>D-45</t>
        </is>
      </c>
      <c r="H11" s="52" t="inlineStr">
        <is>
          <t>교통처리대책 협의 및 승인</t>
        </is>
      </c>
      <c r="I11" s="47" t="inlineStr">
        <is>
          <t>현장 공무팀/안전팀</t>
        </is>
      </c>
      <c r="J11" s="49" t="inlineStr">
        <is>
          <t>본 과업은 도로 굴착 및 지장물 이설 공사 중 통행 불편 및 교통 사고를 예방하기 위해, 관할 경찰서 교통안전 심의를 거쳐 우회 차선 확보, LED 신호 가설물 배치, 전담 신호수 운용 대책을 정식 승인받는 것을 목적으로 함.</t>
        </is>
      </c>
      <c r="K11" s="49" t="inlineStr">
        <is>
          <t>1) 교통 우회 도면 &amp; 차선 설계 ➔ 2) 동탄경찰서 도로점용 허가 ➔ 3) 전담 신호수(2인 2조) 배치 ➔ 4) 교통소통 대책서 감리 서면 승인</t>
        </is>
      </c>
      <c r="L11" s="49" t="inlineStr">
        <is>
          <t>동탄경찰서 도로점용 허가, 우회 차선 설계 및 전담 안전 신호수(2인 2조)/LED 경광등 배치</t>
        </is>
      </c>
      <c r="M11" s="49" t="inlineStr">
        <is>
          <t>본 과업은 도로 굴착 및 지장물 이설 공사 중 통행 불편 및 교통 사고를 예방하기 위해, 관할 경찰서 교통안전 심의를 거쳐 우회 차선 확보, LED 신호 가설물 배치, 전담 신호수 운용 대책을 정식 승인받는 것을 목적으로 함.</t>
        </is>
      </c>
      <c r="N11" s="75">
        <f>HYPERLINK(LEFT(CELL("filename",A1),FIND("[",CELL("filename",A1))-1)&amp;"3.지장물이설\6_지장물 이설 계획 수립\표준서\지장물 이설 계획 수립_표준서.html", "👉 [클릭] 표준서 열기 📄")</f>
        <v/>
      </c>
      <c r="O11" s="49" t="inlineStr">
        <is>
          <t>1) 교통 우회 도면 &amp; 차선 설계 ➔ 2) 동탄경찰서 도로점용 허가 ➔ 3) 전담 신호수(2인 2조) 배치 ➔ 4) 교통소통 대책서 감리 서면 승인</t>
        </is>
      </c>
      <c r="P11" s="76">
        <f>HYPERLINK(LEFT(CELL("filename",A1),FIND("[",CELL("filename",A1))-1)&amp;"3.지장물이설\6_지장물 이설 계획 수립\수행지침\수행지침.html", "👉 [클릭] 수행지침 열기 📄")</f>
        <v/>
      </c>
      <c r="Q11" s="48" t="inlineStr">
        <is>
          <t>동탄경찰서 도로점용 허가, 우회 차선 설계 및 전담 안전 신호수(2인 2조)/LED 경광등 배치</t>
        </is>
      </c>
      <c r="R11" s="77">
        <f>HYPERLINK(LEFT(CELL("filename",A1),FIND("[",CELL("filename",A1))-1)&amp;"3.지장물이설\6_지장물 이설 계획 수립\체크리스트\지장물 이설 계획 수립_체크리스트.html", "👉 [클릭] 체크리스트 열기 📄")</f>
        <v/>
      </c>
      <c r="S11" s="47" t="n"/>
      <c r="T11" s="69" t="inlineStr">
        <is>
          <t>도로교통법 및 교통영향평가 지침</t>
        </is>
      </c>
      <c r="U11" s="50" t="inlineStr">
        <is>
          <t>교통 혼잡민원 및 안전사고 발생 리스크 예방</t>
        </is>
      </c>
      <c r="V11" s="49" t="inlineStr">
        <is>
          <t>교통영향평가 전문 기술자</t>
        </is>
      </c>
    </row>
    <row r="12" ht="115.2" customHeight="1">
      <c r="A12" s="47" t="inlineStr">
        <is>
          <t>2000</t>
        </is>
      </c>
      <c r="B12" s="47" t="inlineStr">
        <is>
          <t>2000-1S</t>
        </is>
      </c>
      <c r="C12" s="48" t="inlineStr">
        <is>
          <t>지장뭉 이설</t>
        </is>
      </c>
      <c r="D12" s="47" t="inlineStr">
        <is>
          <t>2000-1S-3</t>
        </is>
      </c>
      <c r="E12" s="47">
        <f>D11</f>
        <v/>
      </c>
      <c r="F12" s="47">
        <f>D13</f>
        <v/>
      </c>
      <c r="G12" s="47" t="inlineStr">
        <is>
          <t>D-40</t>
        </is>
      </c>
      <c r="H12" s="52" t="inlineStr">
        <is>
          <t>민원 저감 대책 수립</t>
        </is>
      </c>
      <c r="I12" s="47" t="inlineStr">
        <is>
          <t>현장 공무팀/민원팀</t>
        </is>
      </c>
      <c r="J12" s="49" t="inlineStr">
        <is>
          <t>본 과업은 야간 굴착 및 관로 접속 공사에 따른 단수·단전, 소음·진동 민원을 예방하기 위해, 사전 안내 방송, 방음벽 설치, 세륜기 가동 및 전담 민원 대응반을 운용하여 주민 불편을 최소화하는 것을 목적으로 함.</t>
        </is>
      </c>
      <c r="K12" s="49" t="inlineStr">
        <is>
          <t>1) 야간 공사 소음 방음벽(H=3m) 설치 ➔ 2) 세륜기 가동 &amp; 분무 살수 ➔ 3) 단수/단전 사전 주민 공지 ➔ 4) 민원 대응반 서면 승인</t>
        </is>
      </c>
      <c r="L12" s="49" t="inlineStr">
        <is>
          <t>야간 공사 소음 방음벽(H=3m) 가동, 이동식 세륜기(깊이 1.2m) 가동 및 단수 사전 주민 알림</t>
        </is>
      </c>
      <c r="M12" s="49" t="inlineStr">
        <is>
          <t>본 과업은 야간 굴착 및 관로 접속 공사에 따른 단수·단전, 소음·진동 민원을 예방하기 위해, 사전 안내 방송, 방음벽 설치, 세륜기 가동 및 전담 민원 대응반을 운용하여 주민 불편을 최소화하는 것을 목적으로 함.</t>
        </is>
      </c>
      <c r="N12" s="75">
        <f>HYPERLINK(LEFT(CELL("filename",A1),FIND("[",CELL("filename",A1))-1)&amp;"3.지장물이설\7_위수탁 지장물 이설 설계\표준서\위수탁 지장물 이설 설계_표준서.html", "👉 [클릭] 표준서 열기 📄")</f>
        <v/>
      </c>
      <c r="O12" s="49" t="inlineStr">
        <is>
          <t>1) 야간 공사 소음 방음벽(H=3m) 설치 ➔ 2) 세륜기 가동 &amp; 분무 살수 ➔ 3) 단수/단전 사전 주민 공지 ➔ 4) 민원 대응반 서면 승인</t>
        </is>
      </c>
      <c r="P12" s="76">
        <f>HYPERLINK(LEFT(CELL("filename",A1),FIND("[",CELL("filename",A1))-1)&amp;"3.지장물이설\7_위수탁 지장물 이설 설계\수행지침\수행지침.html", "👉 [클릭] 수행지침 열기 📄")</f>
        <v/>
      </c>
      <c r="Q12" s="48" t="inlineStr">
        <is>
          <t>야간 공사 소음 방음벽(H=3m) 가동, 이동식 세륜기(깊이 1.2m) 가동 및 단수 사전 주민 알림</t>
        </is>
      </c>
      <c r="R12" s="77">
        <f>HYPERLINK(LEFT(CELL("filename",A1),FIND("[",CELL("filename",A1))-1)&amp;"3.지장물이설\7_위수탁 지장물 이설 설계\체크리스트\위수탁 지장물 이설 설계_체크리스트.html", "👉 [클릭] 체크리스트 열기 📄")</f>
        <v/>
      </c>
      <c r="S12" s="47" t="n"/>
      <c r="T12" s="69" t="inlineStr">
        <is>
          <t>환경보전법 및 소음진동관리법</t>
        </is>
      </c>
      <c r="U12" s="50" t="inlineStr">
        <is>
          <t>집단 민원에 따른 현장 봉쇄 및 집회 리스크 방지</t>
        </is>
      </c>
      <c r="V12" s="49" t="inlineStr">
        <is>
          <t>민원 전담 현장 대리인</t>
        </is>
      </c>
    </row>
    <row r="13" ht="96" customHeight="1">
      <c r="A13" s="47" t="inlineStr">
        <is>
          <t>2000</t>
        </is>
      </c>
      <c r="B13" s="47" t="inlineStr">
        <is>
          <t>2000-1S</t>
        </is>
      </c>
      <c r="C13" s="48" t="inlineStr">
        <is>
          <t>지장뭉 이설</t>
        </is>
      </c>
      <c r="D13" s="47" t="inlineStr">
        <is>
          <t>2000-1S-4</t>
        </is>
      </c>
      <c r="E13" s="47">
        <f>D12</f>
        <v/>
      </c>
      <c r="F13" s="47">
        <f>D14</f>
        <v/>
      </c>
      <c r="G13" s="47" t="inlineStr">
        <is>
          <t>D-35</t>
        </is>
      </c>
      <c r="H13" s="52" t="inlineStr">
        <is>
          <t>용지보상 Risk 파악</t>
        </is>
      </c>
      <c r="I13" s="47" t="inlineStr">
        <is>
          <t>현장 공무팀 / 토목계약관리팀</t>
        </is>
      </c>
      <c r="J13" s="49" t="inlineStr">
        <is>
          <t>본 과업은 지장물 이설 작업 부지 내 미보상 사유지나 국공유지 경계를 사전 실측하여, 무단 점용으로 인한 시공 중단 및 법적 분쟁 리스크를 원천 차단하고 우회 부지를 정비하는 것을 목적으로 함.</t>
        </is>
      </c>
      <c r="K13" s="49" t="inlineStr">
        <is>
          <t>1) 미보상 사유지 경계 현출 ➔ 2) 가설 펜스(H=1.8m) 차단 ➔ 3) 3D 우회 토공 동선 수립 ➔ 4) 용지 보상 리스크 대책 승인</t>
        </is>
      </c>
      <c r="L13" s="49" t="inlineStr">
        <is>
          <t>미보상 사유지 경계 현출, 가설 펜스(H=1.8m) 차단 및 3D 우회 토공 동선 마일스톤 연동</t>
        </is>
      </c>
      <c r="M13" s="49" t="inlineStr">
        <is>
          <t>본 과업은 지장물 이설 작업 부지 내 미보상 사유지나 국공유지 경계를 사전 실측하여, 무단 점용으로 인한 시공 중단 및 법적 분쟁 리스크를 원천 차단하고 우회 부지를 정비하는 것을 목적으로 함.</t>
        </is>
      </c>
      <c r="N13" s="75">
        <f>HYPERLINK(LEFT(CELL("filename",A1),FIND("[",CELL("filename",A1))-1)&amp;"3.지장물이설\7_최고의 팀 만들기 지원\표준서\7_최고의 팀 만들기 지원_표준서.html", "👉 [클릭] 표준서 열기 📄")</f>
        <v/>
      </c>
      <c r="O13" s="49" t="inlineStr">
        <is>
          <t>1) 미보상 사유지 경계 현출 ➔ 2) 가설 펜스(H=1.8m) 차단 ➔ 3) 3D 우회 토공 동선 수립 ➔ 4) 용지 보상 리스크 대책 승인</t>
        </is>
      </c>
      <c r="P13" s="76">
        <f>HYPERLINK(LEFT(CELL("filename",A1),FIND("[",CELL("filename",A1))-1)&amp;"3.지장물이설\7_최고의 팀 만들기 지원\수행지침\7_최고의 팀 만들기 지원_수행지침.html", "👉 [클릭] 수행지침 열기 📄")</f>
        <v/>
      </c>
      <c r="Q13" s="48" t="inlineStr">
        <is>
          <t>미보상 사유지 경계 현출, 가설 펜스(H=1.8m) 차단 및 3D 우회 토공 동선 마일스톤 연동</t>
        </is>
      </c>
      <c r="R13" s="77">
        <f>HYPERLINK(LEFT(CELL("filename",A1),FIND("[",CELL("filename",A1))-1)&amp;"3.지장물이설\7_최고의 팀 만들기 지원\체크리스트\7_최고의 팀 만들기 지원_체크리스트.html", "👉 [클릭] 체크리스트 열기 📄")</f>
        <v/>
      </c>
      <c r="S13" s="47" t="n"/>
      <c r="T13" s="69" t="inlineStr">
        <is>
          <t>토지보상법 및 용지 보상 조례</t>
        </is>
      </c>
      <c r="U13" s="50" t="inlineStr">
        <is>
          <t>사유지 무단 침범에 따른 형사 고소 리스크 방지</t>
        </is>
      </c>
      <c r="V13" s="49" t="inlineStr">
        <is>
          <t>토지 보상 전문 행정사 자문</t>
        </is>
      </c>
    </row>
    <row r="14" ht="96" customHeight="1">
      <c r="A14" s="47" t="inlineStr">
        <is>
          <t>2000</t>
        </is>
      </c>
      <c r="B14" s="47" t="inlineStr">
        <is>
          <t>2000-2</t>
        </is>
      </c>
      <c r="C14" s="48" t="inlineStr">
        <is>
          <t>지장뭉 이설</t>
        </is>
      </c>
      <c r="D14" s="47" t="inlineStr">
        <is>
          <t>2000-2-1</t>
        </is>
      </c>
      <c r="E14" s="47">
        <f>D13</f>
        <v/>
      </c>
      <c r="F14" s="47">
        <f>D15</f>
        <v/>
      </c>
      <c r="G14" s="47" t="inlineStr">
        <is>
          <t>D-40</t>
        </is>
      </c>
      <c r="H14" s="52" t="inlineStr">
        <is>
          <t>관리기관(맑은물사업소) 협의</t>
        </is>
      </c>
      <c r="I14" s="47" t="inlineStr">
        <is>
          <t>현장 공무팀</t>
        </is>
      </c>
      <c r="J14" s="49" t="inlineStr">
        <is>
          <t>본 과업은 상하수도 관로 이설 시 관할 맑은물사업소와의 사전 기술 협의를 통해 수돗물 단수 구간 및 일정을 정밀 조정하고, 신구 관로 접속 설계 도서의 기술적 적정성을 결재받는 것을 목적으로 함.</t>
        </is>
      </c>
      <c r="K14" s="49" t="inlineStr">
        <is>
          <t>1) 맑은물사업소 이설 위치 현측 ➔ 2) 단수 일정(최대 6시간) 협의 ➔ 3) 신구관 접속 도면 검토 ➔ 4) 이설 승인 공문 수령</t>
        </is>
      </c>
      <c r="L14" s="49" t="inlineStr">
        <is>
          <t>맑은물사업소 합동 이설 위치 검토, 수돗물 단수 일정(최대 6h) 수협 및 신구관 접속 도면 결재</t>
        </is>
      </c>
      <c r="M14" s="49" t="inlineStr">
        <is>
          <t>본 과업은 상하수도 관로 이설 시 관할 맑은물사업소와의 사전 기술 협의를 통해 수돗물 단수 구간 및 일정을 정밀 조정하고, 신구 관로 접속 설계 도서의 기술적 적정성을 결재받는 것을 목적으로 함.</t>
        </is>
      </c>
      <c r="N14" s="75">
        <f>HYPERLINK(LEFT(CELL("filename",A1),FIND("[",CELL("filename",A1))-1)&amp;"3.지장물이설\8_상하수도 이설계획 실정보고\표준서\상하수도 이설계획 실정보고_표준서.html", "👉 [클릭] 표준서 열기 📄")</f>
        <v/>
      </c>
      <c r="O14" s="49" t="inlineStr">
        <is>
          <t>1) 맑은물사업소 이설 위치 현측 ➔ 2) 단수 일정(최대 6시간) 협의 ➔ 3) 신구관 접속 도면 검토 ➔ 4) 이설 승인 공문 수령</t>
        </is>
      </c>
      <c r="P14" s="76">
        <f>HYPERLINK(LEFT(CELL("filename",A1),FIND("[",CELL("filename",A1))-1)&amp;"3.지장물이설\8_상하수도 이설계획 실정보고\수행지침\상하수도 이설계획 실정보고_수행지침.html", "👉 [클릭] 수행지침 열기 📄")</f>
        <v/>
      </c>
      <c r="Q14" s="48" t="inlineStr">
        <is>
          <t>맑은물사업소 합동 이설 위치 검토, 수돗물 단수 일정(최대 6h) 수협 및 신구관 접속 도면 결재</t>
        </is>
      </c>
      <c r="R14" s="77">
        <f>HYPERLINK(LEFT(CELL("filename",A1),FIND("[",CELL("filename",A1))-1)&amp;"3.지장물이설\8_상하수도 이설계획 실정보고\체크리스트\상하수도 이설계획 실정보고_체크리스트.html", "👉 [클릭] 체크리스트 열기 📄")</f>
        <v/>
      </c>
      <c r="S14" s="47" t="n"/>
      <c r="T14" s="69" t="inlineStr">
        <is>
          <t>맑은물사업소 상하수도 시설기준</t>
        </is>
      </c>
      <c r="U14" s="57" t="inlineStr">
        <is>
          <t>상하수도 이설 위치 불일치로 인한 재협의 리스크 방지</t>
        </is>
      </c>
      <c r="V14" s="49" t="inlineStr">
        <is>
          <t>상하수도 전문 기술사 자문</t>
        </is>
      </c>
    </row>
    <row r="15" ht="96" customHeight="1">
      <c r="A15" s="47" t="inlineStr">
        <is>
          <t>2000</t>
        </is>
      </c>
      <c r="B15" s="47" t="inlineStr">
        <is>
          <t>2000-2</t>
        </is>
      </c>
      <c r="C15" s="48" t="inlineStr">
        <is>
          <t>지장뭉 이설</t>
        </is>
      </c>
      <c r="D15" s="47" t="inlineStr">
        <is>
          <t>2000-2-2</t>
        </is>
      </c>
      <c r="E15" s="47">
        <f>D14</f>
        <v/>
      </c>
      <c r="F15" s="47">
        <f>D16</f>
        <v/>
      </c>
      <c r="G15" s="47" t="inlineStr">
        <is>
          <t>D-40</t>
        </is>
      </c>
      <c r="H15" s="52" t="inlineStr">
        <is>
          <t>위수탁 지장물 이설 설계</t>
        </is>
      </c>
      <c r="I15" s="47" t="inlineStr">
        <is>
          <t>엔지니어링팀/위수탁기관</t>
        </is>
      </c>
      <c r="J15" s="49" t="inlineStr">
        <is>
          <t>본 과업은 전문 위수탁 기관의 지장물 이설 설계 도서 및 3D BIM 간섭 매핑을 종합 기술 검토하여, 공사비 변경 및 설계 반영의 정합성을 사전 검증하는 것을 목적으로 함.</t>
        </is>
      </c>
      <c r="K15" s="49" t="inlineStr">
        <is>
          <t>1) 위수탁 기관 설계도서 수속 ➔ 2) 3D BIM 간섭 리스크 점검 ➔ 3) 총사업비 변경 수량 검증 ➔ 4) 위수탁 설계도서 감리 승인</t>
        </is>
      </c>
      <c r="L15" s="49" t="inlineStr">
        <is>
          <t>위수탁 기관 설계도서 기술 검토, 3D BIM 간섭 리스크 점검 및 총사업비 변경 수량 승인</t>
        </is>
      </c>
      <c r="M15" s="49" t="inlineStr">
        <is>
          <t>본 과업은 전문 위수탁 기관의 지장물 이설 설계 도서 및 3D BIM 간섭 매핑을 종합 기술 검토하여, 공사비 변경 및 설계 반영의 정합성을 사전 검증하는 것을 목적으로 함.</t>
        </is>
      </c>
      <c r="N15" s="75">
        <f>HYPERLINK(LEFT(CELL("filename",A1),FIND("[",CELL("filename",A1))-1)&amp;"3.지장물이설\8_착수전 Big Room 회의\표준서\8_착수전 Big Room 회의_표준서.html", "👉 [클릭] 표준서 열기 📄")</f>
        <v/>
      </c>
      <c r="O15" s="49" t="inlineStr">
        <is>
          <t>1) 위수탁 기관 설계도서 수속 ➔ 2) 3D BIM 간섭 리스크 점검 ➔ 3) 총사업비 변경 수량 검증 ➔ 4) 위수탁 설계도서 감리 승인</t>
        </is>
      </c>
      <c r="P15" s="76">
        <f>HYPERLINK(LEFT(CELL("filename",A1),FIND("[",CELL("filename",A1))-1)&amp;"3.지장물이설\8_착수전 Big Room 회의\수행지침\8_착수전 Big Room 회의_수행지침.html", "👉 [클릭] 수행지침 열기 📄")</f>
        <v/>
      </c>
      <c r="Q15" s="48" t="inlineStr">
        <is>
          <t>위수탁 기관 설계도서 기술 검토, 3D BIM 간섭 리스크 점검 및 총사업비 변경 수량 승인</t>
        </is>
      </c>
      <c r="R15" s="77">
        <f>HYPERLINK(LEFT(CELL("filename",A1),FIND("[",CELL("filename",A1))-1)&amp;"3.지장물이설\8_착수전 Big Room 회의\체크리스트\8_착수전 Big Room 회의_체크리스트.html", "👉 [클릭] 체크리스트 열기 📄")</f>
        <v/>
      </c>
      <c r="S15" s="47" t="n"/>
      <c r="T15" s="69" t="inlineStr">
        <is>
          <t>국가계약법 및 위수탁 설계 기준</t>
        </is>
      </c>
      <c r="U15" s="50" t="inlineStr">
        <is>
          <t>위수탁 분담금 예가 과다 산정 리스크 관리</t>
        </is>
      </c>
      <c r="V15" s="49" t="inlineStr">
        <is>
          <t>위수탁 설계 전문 엔지니어링</t>
        </is>
      </c>
    </row>
    <row r="16" ht="96" customHeight="1">
      <c r="A16" s="47" t="inlineStr">
        <is>
          <t>2000</t>
        </is>
      </c>
      <c r="B16" s="47" t="inlineStr">
        <is>
          <t>2000-2</t>
        </is>
      </c>
      <c r="C16" s="48" t="inlineStr">
        <is>
          <t>지장뭉 이설</t>
        </is>
      </c>
      <c r="D16" s="47" t="inlineStr">
        <is>
          <t>2000-2-3</t>
        </is>
      </c>
      <c r="E16" s="47">
        <f>D15</f>
        <v/>
      </c>
      <c r="F16" s="47">
        <f>D17</f>
        <v/>
      </c>
      <c r="G16" s="47" t="inlineStr">
        <is>
          <t>D-30</t>
        </is>
      </c>
      <c r="H16" s="52" t="inlineStr">
        <is>
          <t>상하수도 이설계획 실정보고</t>
        </is>
      </c>
      <c r="I16" s="47" t="inlineStr">
        <is>
          <t>현장 공무팀</t>
        </is>
      </c>
      <c r="J16" s="49" t="inlineStr">
        <is>
          <t>본 과업은 현장 지지층 및 타 매설물과의 이격 거리 확보에 따라 발생하는 공법 변경 및 수량 증감 사항에 대해 책임감리단에 실정보고서를 제출하고 서면 결재를 획득하는 것을 목적으로 함.</t>
        </is>
      </c>
      <c r="K16" s="49" t="inlineStr">
        <is>
          <t>1) 현장 지장물 현출 실정보고 작성 ➔ 2) 공법 변경 &amp; 수량 증감 산출 ➔ 3) 기술 검토 의견서 첨부 ➔ 4) 실정보고서 감리 서면 승인</t>
        </is>
      </c>
      <c r="L16" s="49" t="inlineStr">
        <is>
          <t>현장 지장물 현출 실정보고서 작성, 공법 변경 및 수량 증감 산출 책임감리원 승인</t>
        </is>
      </c>
      <c r="M16" s="49" t="inlineStr">
        <is>
          <t>본 과업은 현장 지지층 및 타 매설물과의 이격 거리 확보에 따라 발생하는 공법 변경 및 수량 증감 사항에 대해 책임감리단에 실정보고서를 제출하고 서면 결재를 획득하는 것을 목적으로 함.</t>
        </is>
      </c>
      <c r="N16" s="75">
        <f>HYPERLINK(LEFT(CELL("filename",A1),FIND("[",CELL("filename",A1))-1)&amp;"3.지장물이설\9_위수탁 계약 체결\표준서\위수탁 계약 체결_표준서.html", "👉 [클릭] 표준서 열기 📄")</f>
        <v/>
      </c>
      <c r="O16" s="49" t="inlineStr">
        <is>
          <t>1) 현장 지장물 현출 실정보고 작성 ➔ 2) 공법 변경 &amp; 수량 증감 산출 ➔ 3) 기술 검토 의견서 첨부 ➔ 4) 실정보고서 감리 서면 승인</t>
        </is>
      </c>
      <c r="P16" s="76">
        <f>HYPERLINK(LEFT(CELL("filename",A1),FIND("[",CELL("filename",A1))-1)&amp;"3.지장물이설\9_위수탁 계약 체결\수행지침\수행지침.html", "👉 [클릭] 수행지침 열기 📄")</f>
        <v/>
      </c>
      <c r="Q16" s="48" t="inlineStr">
        <is>
          <t>현장 지장물 현출 실정보고서 작성, 공법 변경 및 수량 증감 산출 책임감리원 승인</t>
        </is>
      </c>
      <c r="R16" s="77">
        <f>HYPERLINK(LEFT(CELL("filename",A1),FIND("[",CELL("filename",A1))-1)&amp;"3.지장물이설\9_위수탁 계약 체결\체크리스트\위수탁 계약 체결_체크리스트.html", "👉 [클릭] 체크리스트 열기 📄")</f>
        <v/>
      </c>
      <c r="S16" s="47" t="n"/>
      <c r="T16" s="69" t="inlineStr">
        <is>
          <t>건설기술진흥법 및 계약금액 조정 지침</t>
        </is>
      </c>
      <c r="U16" s="50" t="inlineStr">
        <is>
          <t>실정보고 승인 지연에 따른 변경 금액 누락 방지</t>
        </is>
      </c>
      <c r="V16" s="49" t="inlineStr">
        <is>
          <t>토목 공무 및 정산 전문가</t>
        </is>
      </c>
    </row>
    <row r="17" ht="96" customHeight="1">
      <c r="A17" s="47" t="inlineStr">
        <is>
          <t>2000</t>
        </is>
      </c>
      <c r="B17" s="47" t="inlineStr">
        <is>
          <t>2000-2</t>
        </is>
      </c>
      <c r="C17" s="48" t="inlineStr">
        <is>
          <t>지장뭉 이설</t>
        </is>
      </c>
      <c r="D17" s="47" t="inlineStr">
        <is>
          <t>2000-2-4</t>
        </is>
      </c>
      <c r="E17" s="47">
        <f>D16</f>
        <v/>
      </c>
      <c r="F17" s="47">
        <f>D18</f>
        <v/>
      </c>
      <c r="G17" s="47" t="inlineStr">
        <is>
          <t>D-25</t>
        </is>
      </c>
      <c r="H17" s="52" t="inlineStr">
        <is>
          <t>위수탁 계약 체결</t>
        </is>
      </c>
      <c r="I17" s="47" t="inlineStr">
        <is>
          <t>현장 공무팀 / 발주처</t>
        </is>
      </c>
      <c r="J17" s="49" t="inlineStr">
        <is>
          <t>본 과업은 전문 점용기관(한전, 가스공사, 수자원공사 등)과 지장물 이설 공사비 분담금, 정산 조건, 공기 이행에 관한 정식 위수탁 협약을 체결하여 법적 공사 이행 기반을 다지는 것을 목적으로 함.</t>
        </is>
      </c>
      <c r="K17" s="49" t="inlineStr">
        <is>
          <t>1) 관할 점용기관 협약 조건 수속 ➔ 2) 정산 분담금 &amp; 예비비 협의 ➔ 3) 위수탁 계약서 작성 ➔ 4) 위수탁 이설 계약 체결 승인</t>
        </is>
      </c>
      <c r="L17" s="49" t="inlineStr">
        <is>
          <t>관할 점용기관 위수탁 이설 협약서 체결, 공사비 분담금 및 예비비 계상 합의 서약</t>
        </is>
      </c>
      <c r="M17" s="49" t="inlineStr">
        <is>
          <t>본 과업은 전문 점용기관(한전, 가스공사, 수자원공사 등)과 지장물 이설 공사비 분담금, 정산 조건, 공기 이행에 관한 정식 위수탁 협약을 체결하여 법적 공사 이행 기반을 다지는 것을 목적으로 함.</t>
        </is>
      </c>
      <c r="N17" s="75">
        <f>HYPERLINK(LEFT(CELL("filename",A1),FIND("[",CELL("filename",A1))-1)&amp;"3.지장물이설\9_인허가 절차 진행\표준서\9_인허가 절차 진행_표준서.html", "👉 [클릭] 표준서 열기 📄")</f>
        <v/>
      </c>
      <c r="O17" s="49" t="inlineStr">
        <is>
          <t>1) 관할 점용기관 협약 조건 수속 ➔ 2) 정산 분담금 &amp; 예비비 협의 ➔ 3) 위수탁 계약서 작성 ➔ 4) 위수탁 이설 계약 체결 승인</t>
        </is>
      </c>
      <c r="P17" s="76">
        <f>HYPERLINK(LEFT(CELL("filename",A1),FIND("[",CELL("filename",A1))-1)&amp;"3.지장물이설\9_인허가 절차 진행\수행지침\9_인허가 절차 진행_수행지침.html", "👉 [클릭] 수행지침 열기 📄")</f>
        <v/>
      </c>
      <c r="Q17" s="48" t="inlineStr">
        <is>
          <t>관할 점용기관 위수탁 이설 협약서 체결, 공사비 분담금 및 예비비 계상 합의 서약</t>
        </is>
      </c>
      <c r="R17" s="77">
        <f>HYPERLINK(LEFT(CELL("filename",A1),FIND("[",CELL("filename",A1))-1)&amp;"3.지장물이설\9_인허가 절차 진행\체크리스트\9_인허가 절차 진행_체크리스트.html", "👉 [클릭] 체크리스트 열기 📄")</f>
        <v/>
      </c>
      <c r="S17" s="47" t="n"/>
      <c r="T17" s="69" t="inlineStr">
        <is>
          <t>지방재정법 및 지자체 계약 조례</t>
        </is>
      </c>
      <c r="U17" s="50" t="inlineStr">
        <is>
          <t>협약 미체결로 인한 시공 후 법적 분쟁 리스크 방지</t>
        </is>
      </c>
      <c r="V17" s="49" t="inlineStr">
        <is>
          <t>법무 및 계약 전담 전문가</t>
        </is>
      </c>
    </row>
    <row r="18" ht="96" customHeight="1">
      <c r="A18" s="47" t="inlineStr">
        <is>
          <t>2000</t>
        </is>
      </c>
      <c r="B18" s="47" t="inlineStr">
        <is>
          <t>2000-3</t>
        </is>
      </c>
      <c r="C18" s="48" t="inlineStr">
        <is>
          <t>지장뭉 이설</t>
        </is>
      </c>
      <c r="D18" s="47" t="inlineStr">
        <is>
          <t>2000-3-1</t>
        </is>
      </c>
      <c r="E18" s="47">
        <f>D17</f>
        <v/>
      </c>
      <c r="F18" s="47">
        <f>D19</f>
        <v/>
      </c>
      <c r="G18" s="47" t="inlineStr">
        <is>
          <t>D+0</t>
        </is>
      </c>
      <c r="H18" s="52" t="inlineStr">
        <is>
          <t>도로점용/굴착행위 인허가</t>
        </is>
      </c>
      <c r="I18" s="47" t="inlineStr">
        <is>
          <t>현장 공무팀/공사팀</t>
        </is>
      </c>
      <c r="J18" s="49" t="inlineStr">
        <is>
          <t>본 과업은 공사 구역 도로 굴착을 위해 관할 지자체에 도로 굴착 행위 허가 신청을 접수하고, 도로 복구 보증보험 증권 제출 등 관계 법령상 행위 허가를 완수하는 것을 목적으로 함.</t>
        </is>
      </c>
      <c r="K18" s="49" t="inlineStr">
        <is>
          <t>1) 도로 굴착 허가 신청서 작성 ➔ 2) 지자체 도로굴착 심의 필 ➔ 3) 복구 보증보험 증권 제출 ➔ 4) 도로 굴착 허가증 감리 결재</t>
        </is>
      </c>
      <c r="L18" s="49" t="inlineStr">
        <is>
          <t>지자체 도로 굴착 허가 신청서 접수, 심의 필증 수령 및 도로 복구 보증보험 증권 제출</t>
        </is>
      </c>
      <c r="M18" s="49" t="inlineStr">
        <is>
          <t>본 과업은 공사 구역 도로 굴착을 위해 관할 지자체에 도로 굴착 행위 허가 신청을 접수하고, 도로 복구 보증보험 증권 제출 등 관계 법령상 행위 허가를 완수하는 것을 목적으로 함.</t>
        </is>
      </c>
      <c r="N18" s="75">
        <f>HYPERLINK(LEFT(CELL("filename",A1),FIND("[",CELL("filename",A1))-1)&amp;"3.지장물이설\10_교통처리대책 협의 및 승인\표준서\10_교통처리대책 협의 및 승인_표준서.html", "👉 [클릭] 표준서 열기 📄")</f>
        <v/>
      </c>
      <c r="O18" s="49" t="inlineStr">
        <is>
          <t>1) 도로 굴착 허가 신청서 작성 ➔ 2) 지자체 도로굴착 심의 필 ➔ 3) 복구 보증보험 증권 제출 ➔ 4) 도로 굴착 허가증 감리 결재</t>
        </is>
      </c>
      <c r="P18" s="76">
        <f>HYPERLINK(LEFT(CELL("filename",A1),FIND("[",CELL("filename",A1))-1)&amp;"3.지장물이설\10_교통처리대책 협의 및 승인\수행지침\10_교통처리대책 협의 및 승인_수행지침.html", "👉 [클릭] 수행지침 열기 📄")</f>
        <v/>
      </c>
      <c r="Q18" s="48" t="inlineStr">
        <is>
          <t>지자체 도로 굴착 허가 신청서 접수, 심의 필증 수령 및 도로 복구 보증보험 증권 제출</t>
        </is>
      </c>
      <c r="R18" s="77">
        <f>HYPERLINK(LEFT(CELL("filename",A1),FIND("[",CELL("filename",A1))-1)&amp;"3.지장물이설\10_교통처리대책 협의 및 승인\체크리스트\10_교통처리대책 협의 및 승인_체크리스트.html", "👉 [클릭] 체크리스트 열기 📄")</f>
        <v/>
      </c>
      <c r="S18" s="47" t="n"/>
      <c r="T18" s="69" t="inlineStr">
        <is>
          <t>도로법 및 도로석굴착 관리조례</t>
        </is>
      </c>
      <c r="U18" s="50" t="inlineStr">
        <is>
          <t>무단 점용/굴착에 따른 과태료 및 공사중단 리스크 방지</t>
        </is>
      </c>
      <c r="V18" s="49" t="inlineStr">
        <is>
          <t>인허가 전담 행정 자문</t>
        </is>
      </c>
    </row>
    <row r="19" ht="96" customHeight="1">
      <c r="A19" s="47" t="inlineStr">
        <is>
          <t>2000</t>
        </is>
      </c>
      <c r="B19" s="47" t="inlineStr">
        <is>
          <t>2000-3</t>
        </is>
      </c>
      <c r="C19" s="48" t="inlineStr">
        <is>
          <t>지장뭉 이설</t>
        </is>
      </c>
      <c r="D19" s="47" t="inlineStr">
        <is>
          <t>2000-3-2</t>
        </is>
      </c>
      <c r="E19" s="47">
        <f>D18</f>
        <v/>
      </c>
      <c r="F19" s="47">
        <f>D20</f>
        <v/>
      </c>
      <c r="G19" s="47" t="inlineStr">
        <is>
          <t>D+0</t>
        </is>
      </c>
      <c r="H19" s="52" t="inlineStr">
        <is>
          <t>교통통제 및 교통안전시설 설치</t>
        </is>
      </c>
      <c r="I19" s="47" t="inlineStr">
        <is>
          <t>현장 안전팀/공사팀</t>
        </is>
      </c>
      <c r="J19" s="49" t="inlineStr">
        <is>
          <t>본 과업은 굴착 작업 구간 주변의 차량 및 보행자 안전을 확보하기 위해, 안전 바리케이트, 휀스, LED 쏠라등을 부설하고 정비된 전담 신호수를 현장에 100% 배치하는 것을 목적으로 함.</t>
        </is>
      </c>
      <c r="K19" s="49" t="inlineStr">
        <is>
          <t>1) 굴착 구간 안전 바리케이트 부설 ➔ 2) 야간 LED 경광등 &amp; 표지판 설치 ➔ 3) 전담 신호수(2인 2조) 배치 ➔ 4) 교통 안전 점검 대장 결재</t>
        </is>
      </c>
      <c r="L19" s="49" t="inlineStr">
        <is>
          <t>굴착 구간 안전 바리케이트 부설, 야간 LED 경광등 설치 및 전담 신호수(2인 2조) 배치</t>
        </is>
      </c>
      <c r="M19" s="49" t="inlineStr">
        <is>
          <t>본 과업은 굴착 작업 구간 주변의 차량 및 보행자 안전을 확보하기 위해, 안전 바리케이트, 휀스, LED 쏠라등을 부설하고 정비된 전담 신호수를 현장에 100% 배치하는 것을 목적으로 함.</t>
        </is>
      </c>
      <c r="N19" s="75">
        <f>HYPERLINK(LEFT(CELL("filename",A1),FIND("[",CELL("filename",A1))-1)&amp;"3.지장물이설\10_도로점용_굴착행위 인허가\표준서\도로점용_굴착행위 인허가_표준서.html", "👉 [클릭] 표준서 열기 📄")</f>
        <v/>
      </c>
      <c r="O19" s="49" t="inlineStr">
        <is>
          <t>1) 굴착 구간 안전 바리케이트 부설 ➔ 2) 야간 LED 경광등 &amp; 표지판 설치 ➔ 3) 전담 신호수(2인 2조) 배치 ➔ 4) 교통 안전 점검 대장 결재</t>
        </is>
      </c>
      <c r="P19" s="76">
        <f>HYPERLINK(LEFT(CELL("filename",A1),FIND("[",CELL("filename",A1))-1)&amp;"3.지장물이설\10_도로점용_굴착행위 인허가\수행지침\도로점용_굴착행위 인허가_수행지침.html", "👉 [클릭] 수행지침 열기 📄")</f>
        <v/>
      </c>
      <c r="Q19" s="48" t="inlineStr">
        <is>
          <t>굴착 구간 안전 바리케이트 부설, 야간 LED 경광등 설치 및 전담 신호수(2인 2조) 배치</t>
        </is>
      </c>
      <c r="R19" s="77">
        <f>HYPERLINK(LEFT(CELL("filename",A1),FIND("[",CELL("filename",A1))-1)&amp;"3.지장물이설\10_도로점용_굴착행위 인허가\체크리스트\도로점용_굴착행위 인허가_체크리스트.html", "👉 [클릭] 체크리스트 열기 📄")</f>
        <v/>
      </c>
      <c r="S19" s="47" t="n"/>
      <c r="T19" s="69" t="inlineStr">
        <is>
          <t>도로공사장 교통관리지침 (국토교통부)</t>
        </is>
      </c>
      <c r="U19" s="50" t="inlineStr">
        <is>
          <t>교통사고 및 보행자 민원 발생 리스크 예방</t>
        </is>
      </c>
      <c r="V19" s="49" t="inlineStr">
        <is>
          <t>교통안전 전문 자문</t>
        </is>
      </c>
    </row>
    <row r="20" ht="96" customHeight="1">
      <c r="A20" s="47" t="inlineStr">
        <is>
          <t>2000</t>
        </is>
      </c>
      <c r="B20" s="47" t="inlineStr">
        <is>
          <t>2000-3</t>
        </is>
      </c>
      <c r="C20" s="48" t="inlineStr">
        <is>
          <t>지장뭉 이설</t>
        </is>
      </c>
      <c r="D20" s="47" t="inlineStr">
        <is>
          <t>2000-3-3</t>
        </is>
      </c>
      <c r="E20" s="47">
        <f>D19</f>
        <v/>
      </c>
      <c r="F20" s="47">
        <f>D21</f>
        <v/>
      </c>
      <c r="G20" s="47" t="inlineStr">
        <is>
          <t>D+1</t>
        </is>
      </c>
      <c r="H20" s="52" t="inlineStr">
        <is>
          <t>줄따기(GPR)를 통한 기존 지장물 매설 확인</t>
        </is>
      </c>
      <c r="I20" s="47" t="inlineStr">
        <is>
          <t>현장 공무팀/공사팀</t>
        </is>
      </c>
      <c r="J20" s="49" t="inlineStr">
        <is>
          <t>본 과업은 굴착 중 기존 지하 관로의 충격·파손 사고를 근본적으로 예방하기 위해, GPR 3D 탐사 후 인력 시탐 줄파기(깊이 1.5m)를 수행하여 관로 실체를 눈으로 확인하고 위치 표시판을 비치하는 것을 목적으로 함.</t>
        </is>
      </c>
      <c r="K20" s="49" t="inlineStr">
        <is>
          <t>1) GPR 3D 지중 관로 탐사 ➔ 2) 인력 시탐 줄파기(깊이 1.5m) ➔ 3) 실체 관로 노출 &amp; 위치 매핑 ➔ 4) 지장물 현측표 감리 서면 승인</t>
        </is>
      </c>
      <c r="L20" s="49" t="inlineStr">
        <is>
          <t>GPR 3D 지중 관로 탐사, 인력 시탐 줄파기(폭 0.5m, 깊이 1.5m) 및 실체 관로 노출 매핑</t>
        </is>
      </c>
      <c r="M20" s="49" t="inlineStr">
        <is>
          <t>본 과업은 굴착 중 기존 지하 관로의 충격·파손 사고를 근본적으로 예방하기 위해, GPR 3D 탐사 후 인력 시탐 줄파기(깊이 1.5m)를 수행하여 관로 실체를 눈으로 확인하고 위치 표시판을 비치하는 것을 목적으로 함.</t>
        </is>
      </c>
      <c r="N20" s="75">
        <f>HYPERLINK(LEFT(CELL("filename",A1),FIND("[",CELL("filename",A1))-1)&amp;"3.지장물이설\11_교통통제 및 교통안전시설 설치\표준서\교통통제 및 교통안전시설 설치_표준서.html", "👉 [클릭] 표준서 열기 📄")</f>
        <v/>
      </c>
      <c r="O20" s="49" t="inlineStr">
        <is>
          <t>1) GPR 3D 지중 관로 탐사 ➔ 2) 인력 시탐 줄파기(깊이 1.5m) ➔ 3) 실체 관로 노출 &amp; 위치 매핑 ➔ 4) 지장물 현측표 감리 서면 승인</t>
        </is>
      </c>
      <c r="P20" s="76">
        <f>HYPERLINK(LEFT(CELL("filename",A1),FIND("[",CELL("filename",A1))-1)&amp;"3.지장물이설\11_교통통제 및 교통안전시설 설치\수행지침\교통통제 및 교통안전시설 설치_수행지침.html", "👉 [클릭] 수행지침 열기 📄")</f>
        <v/>
      </c>
      <c r="Q20" s="48" t="inlineStr">
        <is>
          <t>GPR 3D 지중 관로 탐사, 인력 시탐 줄파기(폭 0.5m, 깊이 1.5m) 및 실체 관로 노출 매핑</t>
        </is>
      </c>
      <c r="R20" s="77">
        <f>HYPERLINK(LEFT(CELL("filename",A1),FIND("[",CELL("filename",A1))-1)&amp;"3.지장물이설\11_교통통제 및 교통안전시설 설치\체크리스트\교통통제 및 교통안전시설 설치_체크리스트.html", "👉 [클릭] 체크리스트 열기 📄")</f>
        <v/>
      </c>
      <c r="S20" s="47" t="n"/>
      <c r="T20" s="69" t="inlineStr">
        <is>
          <t>지하안전관리에 관한 특별법 (지하안전법)</t>
        </is>
      </c>
      <c r="U20" s="50" t="inlineStr">
        <is>
          <t>중장비 직접 굴착으로 인한 관로 파손 사고 리스크 방지</t>
        </is>
      </c>
      <c r="V20" s="49" t="inlineStr">
        <is>
          <t>GPR 탐지 및 지하안전 전문 자문</t>
        </is>
      </c>
    </row>
    <row r="21" ht="96" customHeight="1">
      <c r="A21" s="47" t="inlineStr">
        <is>
          <t>2000</t>
        </is>
      </c>
      <c r="B21" s="47" t="inlineStr">
        <is>
          <t>2000-3</t>
        </is>
      </c>
      <c r="C21" s="48" t="inlineStr">
        <is>
          <t>지장뭉 이설</t>
        </is>
      </c>
      <c r="D21" s="47" t="inlineStr">
        <is>
          <t>2000-3-4</t>
        </is>
      </c>
      <c r="E21" s="47">
        <f>D20</f>
        <v/>
      </c>
      <c r="F21" s="47">
        <f>D22</f>
        <v/>
      </c>
      <c r="G21" s="47" t="inlineStr">
        <is>
          <t>D+3</t>
        </is>
      </c>
      <c r="H21" s="52" t="inlineStr">
        <is>
          <t>이설 위치 토공 굴착</t>
        </is>
      </c>
      <c r="I21" s="47" t="inlineStr">
        <is>
          <t>현장 공사팀</t>
        </is>
      </c>
      <c r="J21" s="49" t="inlineStr">
        <is>
          <t>본 과업은 신규 관로가 매설될 구역의 비탈면 경사(1:1.5) 준수 및 흙막이 가설재를 안전하게 설치하고, 굴착 바닥 원지반 지반반력계수를 시험·검측하는 것을 목적으로 함.</t>
        </is>
      </c>
      <c r="K21" s="49" t="inlineStr">
        <is>
          <t>1) 굴착 비탈면 경사(1:1.5) 측량 ➔ 2) 굴착 &amp; 흙막이 가설재 부설 ➔ 3) 바닥 원지반 K30(≥70) 검측 ➔ 4) 굴착 완료 성과표 감리 승인</t>
        </is>
      </c>
      <c r="L21" s="49" t="inlineStr">
        <is>
          <t>굴착 비탈면 경사(1:1.5 이하) 측량, 흙막이 가설재 부설 및 바닥 원지반 K30 ≥ 70 지비력 검측</t>
        </is>
      </c>
      <c r="M21" s="49" t="inlineStr">
        <is>
          <t>본 과업은 신규 관로가 매설될 구역의 비탈면 경사(1:1.5) 준수 및 흙막이 가설재를 안전하게 설치하고, 굴착 바닥 원지반 지반반력계수를 시험·검측하는 것을 목적으로 함.</t>
        </is>
      </c>
      <c r="N21" s="75">
        <f>HYPERLINK(LEFT(CELL("filename",A1),FIND("[",CELL("filename",A1))-1)&amp;"3.지장물이설\11_민원 저감 대책 수립\표준서\11_민원 저감 대책 수립_표준서.html", "👉 [클릭] 표준서 열기 📄")</f>
        <v/>
      </c>
      <c r="O21" s="49" t="inlineStr">
        <is>
          <t>1) 굴착 비탈면 경사(1:1.5) 측량 ➔ 2) 굴착 &amp; 흙막이 가설재 부설 ➔ 3) 바닥 원지반 K30(≥70) 검측 ➔ 4) 굴착 완료 성과표 감리 승인</t>
        </is>
      </c>
      <c r="P21" s="76">
        <f>HYPERLINK(LEFT(CELL("filename",A1),FIND("[",CELL("filename",A1))-1)&amp;"3.지장물이설\11_민원 저감 대책 수립\수행지침\11_민원 저감 대책 수립_수행지침.html", "👉 [클릭] 수행지침 열기 📄")</f>
        <v/>
      </c>
      <c r="Q21" s="48" t="inlineStr">
        <is>
          <t>굴착 비탈면 경사(1:1.5 이하) 측량, 흙막이 가설재 부설 및 바닥 원지반 K30 ≥ 70 지비력 검측</t>
        </is>
      </c>
      <c r="R21" s="77">
        <f>HYPERLINK(LEFT(CELL("filename",A1),FIND("[",CELL("filename",A1))-1)&amp;"3.지장물이설\11_민원 저감 대책 수립\체크리스트\11_민원 저감 대책 수립_체크리스트.html", "👉 [클릭] 체크리스트 열기 📄")</f>
        <v/>
      </c>
      <c r="S21" s="47" t="n"/>
      <c r="T21" s="69" t="inlineStr">
        <is>
          <t>KCS 11 20 00 토공사 표준시방서</t>
        </is>
      </c>
      <c r="U21" s="50" t="inlineStr">
        <is>
          <t>굴착 법면 붕괴 및 인접 도로 침하 리스크 방지</t>
        </is>
      </c>
      <c r="V21" s="49" t="inlineStr">
        <is>
          <t>토질 및 기초 기술사 자문</t>
        </is>
      </c>
    </row>
    <row r="22" ht="96" customHeight="1">
      <c r="A22" s="47" t="inlineStr">
        <is>
          <t>2000</t>
        </is>
      </c>
      <c r="B22" s="47" t="inlineStr">
        <is>
          <t>2000-3</t>
        </is>
      </c>
      <c r="C22" s="48" t="inlineStr">
        <is>
          <t>지장뭉 이설</t>
        </is>
      </c>
      <c r="D22" s="47" t="inlineStr">
        <is>
          <t>2000-3-5</t>
        </is>
      </c>
      <c r="E22" s="47">
        <f>D21</f>
        <v/>
      </c>
      <c r="F22" s="47">
        <f>D23</f>
        <v/>
      </c>
      <c r="G22" s="47" t="inlineStr">
        <is>
          <t>D+5</t>
        </is>
      </c>
      <c r="H22" s="52" t="inlineStr">
        <is>
          <t>신규관로 매설 및 설치</t>
        </is>
      </c>
      <c r="I22" s="47" t="inlineStr">
        <is>
          <t>현장 공사팀 / 전문협력사</t>
        </is>
      </c>
      <c r="J22" s="49" t="inlineStr">
        <is>
          <t>본 과업은 시방 규격에 부합하는 신규 상하수도·가스관을 부설하고 바닥 모래 기초(두께 10cm)를 시공하여, 관로 경사 및 수평 위치의 정확도를 확보하는 것을 목적으로 함.</t>
        </is>
      </c>
      <c r="K22" s="49" t="inlineStr">
        <is>
          <t>1) 관로 모래 기초(10cm) 부설 ➔ 2) 신규 상하수도관/가스관 부설 ➔ 3) 관로 종단 구배(≥0.5%) 검측 ➔ 4) 신규 관로 부설 감리 서면 승인</t>
        </is>
      </c>
      <c r="L22" s="49" t="inlineStr">
        <is>
          <t>관로 모래 기초(두께 10cm) 부설, 신규 상하수도관/가스관 부설 및 종단 구배(≥ 0.5%) 검측</t>
        </is>
      </c>
      <c r="M22" s="49" t="inlineStr">
        <is>
          <t>본 과업은 시방 규격에 부합하는 신규 상하수도·가스관을 부설하고 바닥 모래 기초(두께 10cm)를 시공하여, 관로 경사 및 수평 위치의 정확도를 확보하는 것을 목적으로 함.</t>
        </is>
      </c>
      <c r="N22" s="75">
        <f>HYPERLINK(LEFT(CELL("filename",A1),FIND("[",CELL("filename",A1))-1)&amp;"3.지장물이설\12_용지보상 Risk 파악\표준서\12_용지보상 Risk 파악_표준서.html", "👉 [클릭] 표준서 열기 📄")</f>
        <v/>
      </c>
      <c r="O22" s="49" t="inlineStr">
        <is>
          <t>1) 관로 모래 기초(10cm) 부설 ➔ 2) 신규 상하수도관/가스관 부설 ➔ 3) 관로 종단 구배(≥0.5%) 검측 ➔ 4) 신규 관로 부설 감리 서면 승인</t>
        </is>
      </c>
      <c r="P22" s="76">
        <f>HYPERLINK(LEFT(CELL("filename",A1),FIND("[",CELL("filename",A1))-1)&amp;"3.지장물이설\12_용지보상 Risk 파악\수행지침\12_용지보상 Risk 파악_수행지침.html", "👉 [클릭] 수행지침 열기 📄")</f>
        <v/>
      </c>
      <c r="Q22" s="48" t="inlineStr">
        <is>
          <t>관로 모래 기초(두께 10cm) 부설, 신규 상하수도관/가스관 부설 및 종단 구배(≥ 0.5%) 검측</t>
        </is>
      </c>
      <c r="R22" s="77">
        <f>HYPERLINK(LEFT(CELL("filename",A1),FIND("[",CELL("filename",A1))-1)&amp;"3.지장물이설\12_용지보상 Risk 파악\체크리스트\12_용지보상 Risk 파악_체크리스트.html", "👉 [클릭] 체크리스트 열기 📄")</f>
        <v/>
      </c>
      <c r="S22" s="47" t="n"/>
      <c r="T22" s="69" t="inlineStr">
        <is>
          <t>상하수도 및 배관공사 표준시방서</t>
        </is>
      </c>
      <c r="U22" s="50" t="inlineStr">
        <is>
          <t>관 이음부 누수 및 침하로 인한 도로 함몰 리스크 예방</t>
        </is>
      </c>
      <c r="V22" s="49" t="inlineStr">
        <is>
          <t>배관 및 관로 시공 전문 자문</t>
        </is>
      </c>
    </row>
    <row r="23" ht="96" customHeight="1">
      <c r="A23" s="47" t="inlineStr">
        <is>
          <t>2000</t>
        </is>
      </c>
      <c r="B23" s="47" t="inlineStr">
        <is>
          <t>2000-3</t>
        </is>
      </c>
      <c r="C23" s="48" t="inlineStr">
        <is>
          <t>지장뭉 이설</t>
        </is>
      </c>
      <c r="D23" s="47" t="inlineStr">
        <is>
          <t>2000-3-6</t>
        </is>
      </c>
      <c r="E23" s="47">
        <f>D22</f>
        <v/>
      </c>
      <c r="F23" s="47">
        <f>D24</f>
        <v/>
      </c>
      <c r="G23" s="47" t="inlineStr">
        <is>
          <t>D+8</t>
        </is>
      </c>
      <c r="H23" s="52" t="inlineStr">
        <is>
          <t>무단수 연결을 위한 시설 설치</t>
        </is>
      </c>
      <c r="I23" s="47" t="inlineStr">
        <is>
          <t>현장 공사팀 / 전문업체</t>
        </is>
      </c>
      <c r="J23" s="49" t="inlineStr">
        <is>
          <t>본 과업은 시민 수돗물 공급 중단(단수) 피해를 예방하기 위해, 무단수 천공기 및 밸브 차단 장비를 정밀 체결하여 연속 급수 상태에서 관로 이설 작업을 수행하는 것을 목적으로 함.</t>
        </is>
      </c>
      <c r="K23" s="49" t="inlineStr">
        <is>
          <t>1) 무단수 천공기 정밀 세팅 ➔ 2) 차단 밸브 &amp; 챔버 설치 ➔ 3) 수압 시험 및 가동 시운전 ➔ 4) 무단수 시설 검측 감리 승인</t>
        </is>
      </c>
      <c r="L23" s="49" t="inlineStr">
        <is>
          <t>무단수 천공기 정밀 세팅, 차단 밸브 &amp; 챔버 설치 및 수압 시험/가동 시운전 검측</t>
        </is>
      </c>
      <c r="M23" s="49" t="inlineStr">
        <is>
          <t>본 과업은 시민 수돗물 공급 중단(단수) 피해를 예방하기 위해, 무단수 천공기 및 밸브 차단 장비를 정밀 체결하여 연속 급수 상태에서 관로 이설 작업을 수행하는 것을 목적으로 함.</t>
        </is>
      </c>
      <c r="N23" s="75">
        <f>HYPERLINK(LEFT(CELL("filename",A1),FIND("[",CELL("filename",A1))-1)&amp;"3.지장물이설\12_줄따기(GPR)를 통한 기존 지장물 매설 확인\표준서\줄따기(GPR)를 통한 기존 지장물 매설 확인_표준서.html", "👉 [클릭] 표준서 열기 📄")</f>
        <v/>
      </c>
      <c r="O23" s="49" t="inlineStr">
        <is>
          <t>1) 무단수 천공기 정밀 세팅 ➔ 2) 차단 밸브 &amp; 챔버 설치 ➔ 3) 수압 시험 및 가동 시운전 ➔ 4) 무단수 시설 검측 감리 승인</t>
        </is>
      </c>
      <c r="P23" s="76">
        <f>HYPERLINK(LEFT(CELL("filename",A1),FIND("[",CELL("filename",A1))-1)&amp;"3.지장물이설\12_줄따기(GPR)를 통한 기존 지장물 매설 확인\수행지침\수행지침.html", "👉 [클릭] 수행지침 열기 📄")</f>
        <v/>
      </c>
      <c r="Q23" s="48" t="inlineStr">
        <is>
          <t>무단수 천공기 정밀 세팅, 차단 밸브 &amp; 챔버 설치 및 수압 시험/가동 시운전 검측</t>
        </is>
      </c>
      <c r="R23" s="77">
        <f>HYPERLINK(LEFT(CELL("filename",A1),FIND("[",CELL("filename",A1))-1)&amp;"3.지장물이설\12_줄따기(GPR)를 통한 기존 지장물 매설 확인\체크리스트\줄따기(GPR)를 통한 기존 지장물 매설 확인_체크리스트.html", "👉 [클릭] 체크리스트 열기 📄")</f>
        <v/>
      </c>
      <c r="S23" s="47" t="n"/>
      <c r="T23" s="69" t="inlineStr">
        <is>
          <t>무단수 공법 기술 시방서</t>
        </is>
      </c>
      <c r="U23" s="50" t="inlineStr">
        <is>
          <t>단수 발생으로 인한 대규모 주민 민원 리스크 방지</t>
        </is>
      </c>
      <c r="V23" s="49" t="inlineStr">
        <is>
          <t>무단수 공법 전문 기술자 자문</t>
        </is>
      </c>
    </row>
    <row r="24" ht="96" customHeight="1">
      <c r="A24" s="47" t="inlineStr">
        <is>
          <t>2000</t>
        </is>
      </c>
      <c r="B24" s="47" t="inlineStr">
        <is>
          <t>2000-3</t>
        </is>
      </c>
      <c r="C24" s="48" t="inlineStr">
        <is>
          <t>지장뭉 이설</t>
        </is>
      </c>
      <c r="D24" s="47" t="inlineStr">
        <is>
          <t>2000-3-7</t>
        </is>
      </c>
      <c r="E24" s="47">
        <f>D23</f>
        <v/>
      </c>
      <c r="F24" s="47">
        <f>D25</f>
        <v/>
      </c>
      <c r="G24" s="47" t="inlineStr">
        <is>
          <t>D+10</t>
        </is>
      </c>
      <c r="H24" s="52" t="inlineStr">
        <is>
          <t>신규관로 및 연결관로 접속</t>
        </is>
      </c>
      <c r="I24" s="47" t="inlineStr">
        <is>
          <t>현장 공사팀</t>
        </is>
      </c>
      <c r="J24" s="49" t="inlineStr">
        <is>
          <t>본 과업은 신구 관로 접속 부위의 기밀성 및 누수 여부를 검증하기 위해, 규정 하중 수압 시험(10kgf/cm², 1시간 유지)을 수행하고 부식 방지 피복 작업을 완수하는 것을 목적으로 함.</t>
        </is>
      </c>
      <c r="K24" s="49" t="inlineStr">
        <is>
          <t>1) 신구 관로 접속 부위 부설 ➔ 2) 수압 시험(10kgf/cm², 1h 유지) ➔ 3) 부식 방지 피복 랩핑 시행 ➔ 4) 관로 접속 검측 성과표 승인</t>
        </is>
      </c>
      <c r="L24" s="49" t="inlineStr">
        <is>
          <t>신구 관로 접속 부위 부설, 수압 시험(10kgf/cm², 1h 유지) 및 부식 방지 피복 랩핑 검측</t>
        </is>
      </c>
      <c r="M24" s="49" t="inlineStr">
        <is>
          <t>본 과업은 신구 관로 접속 부위의 기밀성 및 누수 여부를 검증하기 위해, 규정 하중 수압 시험(10kgf/cm², 1시간 유지)을 수행하고 부식 방지 피복 작업을 완수하는 것을 목적으로 함.</t>
        </is>
      </c>
      <c r="N24" s="75">
        <f>HYPERLINK(LEFT(CELL("filename",A1),FIND("[",CELL("filename",A1))-1)&amp;"3.지장물이설\13_관리기관(맑은물사업소) 협의\표준서\13_관리기관(맑은물사업소) 협의_표준서.html", "👉 [클릭] 표준서 열기 📄")</f>
        <v/>
      </c>
      <c r="O24" s="49" t="inlineStr">
        <is>
          <t>1) 신구 관로 접속 부위 부설 ➔ 2) 수압 시험(10kgf/cm², 1h 유지) ➔ 3) 부식 방지 피복 랩핑 시행 ➔ 4) 관로 접속 검측 성과표 승인</t>
        </is>
      </c>
      <c r="P24" s="76">
        <f>HYPERLINK(LEFT(CELL("filename",A1),FIND("[",CELL("filename",A1))-1)&amp;"3.지장물이설\13_관리기관(맑은물사업소) 협의\수행지침\관리기관(맑은물사업소) 협의_수행지침.html", "👉 [클릭] 수행지침 열기 📄")</f>
        <v/>
      </c>
      <c r="Q24" s="48" t="inlineStr">
        <is>
          <t>신구 관로 접속 부위 부설, 수압 시험(10kgf/cm², 1h 유지) 및 부식 방지 피복 랩핑 검측</t>
        </is>
      </c>
      <c r="R24" s="77">
        <f>HYPERLINK(LEFT(CELL("filename",A1),FIND("[",CELL("filename",A1))-1)&amp;"3.지장물이설\13_관리기관(맑은물사업소) 협의\체크리스트\관리기관(맑은물사업소) 협의_체크리스트.html", "👉 [클릭] 체크리스트 열기 📄")</f>
        <v/>
      </c>
      <c r="S24" s="47" t="n"/>
      <c r="T24" s="69" t="inlineStr">
        <is>
          <t>관로 접속 및 Cut-over 시방서</t>
        </is>
      </c>
      <c r="U24" s="50" t="inlineStr">
        <is>
          <t>접속 부위 압력 파손 및 서비스 전환 실패 리스크 방지</t>
        </is>
      </c>
      <c r="V24" s="49" t="inlineStr">
        <is>
          <t>관로 접속 전문 자문</t>
        </is>
      </c>
    </row>
    <row r="25" ht="96" customHeight="1">
      <c r="A25" s="47" t="inlineStr">
        <is>
          <t>2000</t>
        </is>
      </c>
      <c r="B25" s="47" t="inlineStr">
        <is>
          <t>2000-3</t>
        </is>
      </c>
      <c r="C25" s="48" t="inlineStr">
        <is>
          <t>지장뭉 이설</t>
        </is>
      </c>
      <c r="D25" s="47" t="inlineStr">
        <is>
          <t>2000-3-8</t>
        </is>
      </c>
      <c r="E25" s="47">
        <f>D24</f>
        <v/>
      </c>
      <c r="F25" s="47">
        <f>D26</f>
        <v/>
      </c>
      <c r="G25" s="47" t="inlineStr">
        <is>
          <t>D+15</t>
        </is>
      </c>
      <c r="H25" s="52" t="inlineStr">
        <is>
          <t>기존관로 철거 및 원상복구</t>
        </is>
      </c>
      <c r="I25" s="47" t="inlineStr">
        <is>
          <t>현장 공사팀</t>
        </is>
      </c>
      <c r="J25" s="49" t="inlineStr">
        <is>
          <t>본 과업은 이설 완료 후 사용 중지된 폐관로를 안전하게 수거·폐기하고, 굴착 구역을 토사 30cm 층다짐(다짐도 95% 이상) 및 아스콘 가포설로 원래 도로 상태로 정밀 복구하는 것을 목적으로 함.</t>
        </is>
      </c>
      <c r="K25" s="49" t="inlineStr">
        <is>
          <t>1) 기존 폐관로 안전 철거/수거 ➔ 2) 토사 30cm 층다짐(다짐도≥95%) ➔ 3) 아스콘 가포설 &amp; 평탄성 검측 ➔ 4) 원상복구 성과표 감리 승인</t>
        </is>
      </c>
      <c r="L25" s="49" t="inlineStr">
        <is>
          <t>기존 폐관로 안전 철거/수거, 토사 30cm 층다짐(다짐도 ≥ 95%) 원상복구 및 아스콘 가포설</t>
        </is>
      </c>
      <c r="M25" s="49" t="inlineStr">
        <is>
          <t>본 과업은 이설 완료 후 사용 중지된 폐관로를 안전하게 수거·폐기하고, 굴착 구역을 토사 30cm 층다짐(다짐도 95% 이상) 및 아스콘 가포설로 원래 도로 상태로 정밀 복구하는 것을 목적으로 함.</t>
        </is>
      </c>
      <c r="N25" s="75">
        <f>HYPERLINK(LEFT(CELL("filename",A1),FIND("[",CELL("filename",A1))-1)&amp;"3.지장물이설\13_이설 위치 토공 굴착\표준서\이설 위치 토공 굴착_표준서.html", "👉 [클릭] 표준서 열기 📄")</f>
        <v/>
      </c>
      <c r="O25" s="49" t="inlineStr">
        <is>
          <t>1) 기존 폐관로 안전 철거/수거 ➔ 2) 토사 30cm 층다짐(다짐도≥95%) ➔ 3) 아스콘 가포설 &amp; 평탄성 검측 ➔ 4) 원상복구 성과표 감리 승인</t>
        </is>
      </c>
      <c r="P25" s="76">
        <f>HYPERLINK(LEFT(CELL("filename",A1),FIND("[",CELL("filename",A1))-1)&amp;"3.지장물이설\13_이설 위치 토공 굴착\수행지침\수행지침.html", "👉 [클릭] 수행지침 열기 📄")</f>
        <v/>
      </c>
      <c r="Q25" s="48" t="inlineStr">
        <is>
          <t>기존 폐관로 안전 철거/수거, 토사 30cm 층다짐(다짐도 ≥ 95%) 원상복구 및 아스콘 가포설</t>
        </is>
      </c>
      <c r="R25" s="77">
        <f>HYPERLINK(LEFT(CELL("filename",A1),FIND("[",CELL("filename",A1))-1)&amp;"3.지장물이설\13_이설 위치 토공 굴착\체크리스트\이설 위치 토공 굴착_체크리스트.html", "👉 [클릭] 체크리스트 열기 📄")</f>
        <v/>
      </c>
      <c r="S25" s="47" t="n"/>
      <c r="T25" s="69" t="inlineStr">
        <is>
          <t>도로 복구 공사 표준시방서</t>
        </is>
      </c>
      <c r="U25" s="50" t="inlineStr">
        <is>
          <t>복구 포장 부등침하로 인한 포트홀 리스크 방지</t>
        </is>
      </c>
      <c r="V25" s="49" t="inlineStr">
        <is>
          <t>도로 포장 전문 기술자 자문</t>
        </is>
      </c>
    </row>
    <row r="26" ht="96" customHeight="1">
      <c r="A26" s="47" t="inlineStr">
        <is>
          <t>2000</t>
        </is>
      </c>
      <c r="B26" s="47" t="inlineStr">
        <is>
          <t>2000-4</t>
        </is>
      </c>
      <c r="C26" s="48" t="inlineStr">
        <is>
          <t>지장뭉 이설</t>
        </is>
      </c>
      <c r="D26" s="47" t="inlineStr">
        <is>
          <t>2000-4-1</t>
        </is>
      </c>
      <c r="E26" s="47">
        <f>D25</f>
        <v/>
      </c>
      <c r="F26" s="47">
        <f>D27</f>
        <v/>
      </c>
      <c r="G26" s="47" t="inlineStr">
        <is>
          <t>D+20</t>
        </is>
      </c>
      <c r="H26" s="52" t="inlineStr">
        <is>
          <t>광역상수관 이설 공사</t>
        </is>
      </c>
      <c r="I26" s="47" t="inlineStr">
        <is>
          <t>공사팀 (협의: 한국수자원공사)</t>
        </is>
      </c>
      <c r="J26" s="49" t="inlineStr">
        <is>
          <t>본 과업은 광역상수관(Ø500mm 이상) 이설 시 한국수자원공사 입회 하에 수압 시험 및 수질 검사를 실시하여, 광역 용수 공급의 안정성과 수질 안전성을 확보하는 것을 목적으로 함.</t>
        </is>
      </c>
      <c r="K26" s="49" t="inlineStr">
        <is>
          <t>1) 광역상수관(Ø500mm+) 부설 ➔ 2) 수압 시험 &amp; 수질 검사 시행 ➔ 3) 한국수자원공사 현장 입회 ➔ 4) 광역상수관 이설 완료 승인</t>
        </is>
      </c>
      <c r="L26" s="49" t="inlineStr">
        <is>
          <t>광역상수관(Ø500mm+) 부설, 수압 시험 및 수질 검사 합격 (한국수자원공사 1:1 입회 검측)</t>
        </is>
      </c>
      <c r="M26" s="49" t="inlineStr">
        <is>
          <t>본 과업은 광역상수관(Ø500mm 이상) 이설 시 한국수자원공사 입회 하에 수압 시험 및 수질 검사를 실시하여, 광역 용수 공급의 안정성과 수질 안전성을 확보하는 것을 목적으로 함.</t>
        </is>
      </c>
      <c r="N26" s="75">
        <f>HYPERLINK(LEFT(CELL("filename",A1),FIND("[",CELL("filename",A1))-1)&amp;"3.지장물이설\14_신규관로 매설 및 설치\표준서\신규관로 매설 및 설치_표준서.html", "👉 [클릭] 표준서 열기 📄")</f>
        <v/>
      </c>
      <c r="O26" s="49" t="inlineStr">
        <is>
          <t>1) 광역상수관(Ø500mm+) 부설 ➔ 2) 수압 시험 &amp; 수질 검사 시행 ➔ 3) 한국수자원공사 현장 입회 ➔ 4) 광역상수관 이설 완료 승인</t>
        </is>
      </c>
      <c r="P26" s="76">
        <f>HYPERLINK(LEFT(CELL("filename",A1),FIND("[",CELL("filename",A1))-1)&amp;"3.지장물이설\14_신규관로 매설 및 설치\수행지침\수행지침.html", "👉 [클릭] 수행지침 열기 📄")</f>
        <v/>
      </c>
      <c r="Q26" s="48" t="inlineStr">
        <is>
          <t>광역상수관(Ø500mm+) 부설, 수압 시험 및 수질 검사 합격 (한국수자원공사 1:1 입회 검측)</t>
        </is>
      </c>
      <c r="R26" s="77">
        <f>HYPERLINK(LEFT(CELL("filename",A1),FIND("[",CELL("filename",A1))-1)&amp;"3.지장물이설\14_신규관로 매설 및 설치\체크리스트\신규관로 매설 및 설치_체크리스트.html", "👉 [클릭] 체크리스트 열기 📄")</f>
        <v/>
      </c>
      <c r="S26" s="47" t="n"/>
      <c r="T26" s="69" t="inlineStr">
        <is>
          <t>한국수자원공사 광역상수도 설계기준</t>
        </is>
      </c>
      <c r="U26" s="50" t="inlineStr">
        <is>
          <t>광역상수도 파손 시 광역 단수 대형 재난 리스크 관리</t>
        </is>
      </c>
      <c r="V26" s="49" t="inlineStr">
        <is>
          <t>수자원공사 전담 기술 자문</t>
        </is>
      </c>
    </row>
    <row r="27" ht="96" customHeight="1">
      <c r="A27" s="47" t="inlineStr">
        <is>
          <t>2000</t>
        </is>
      </c>
      <c r="B27" s="47" t="inlineStr">
        <is>
          <t>2000-4</t>
        </is>
      </c>
      <c r="C27" s="48" t="inlineStr">
        <is>
          <t>지장뭉 이설</t>
        </is>
      </c>
      <c r="D27" s="47" t="inlineStr">
        <is>
          <t>2000-4-2</t>
        </is>
      </c>
      <c r="E27" s="47">
        <f>D26</f>
        <v/>
      </c>
      <c r="F27" s="47">
        <f>D28</f>
        <v/>
      </c>
      <c r="G27" s="47" t="inlineStr">
        <is>
          <t>D+22</t>
        </is>
      </c>
      <c r="H27" s="52" t="inlineStr">
        <is>
          <t>상수도 관로 이설 공사</t>
        </is>
      </c>
      <c r="I27" s="47" t="inlineStr">
        <is>
          <t>공사팀 (협의: 맑은물사업소)</t>
        </is>
      </c>
      <c r="J27" s="49" t="inlineStr">
        <is>
          <t>본 과업은 지방 상수도 배수관(Ø200~300mm) 이설 후 탁수 퇴수 작업 및 잔류염소 수질 검사를 시행하여, 주민 유해 물질 없는 깨끗한 수돗물 공급 상태를 검증하는 것을 목적으로 함.</t>
        </is>
      </c>
      <c r="K27" s="49" t="inlineStr">
        <is>
          <t>1) 배수관(Ø200~300mm) 이설 부설 ➔ 2) 탁수 퇴수 &amp; 잔류염소 시험 ➔ 3) 맑은물사업소 합동 현측 ➔ 4) 상수도 관로 이설 감리 승인</t>
        </is>
      </c>
      <c r="L27" s="49" t="inlineStr">
        <is>
          <t>배수관(Ø200~300mm) 이설, 탁수 퇴수 작업 및 잔류염소 시험 합격 (맑은물사업소 현측)</t>
        </is>
      </c>
      <c r="M27" s="49" t="inlineStr">
        <is>
          <t>본 과업은 지방 상수도 배수관(Ø200~300mm) 이설 후 탁수 퇴수 작업 및 잔류염소 수질 검사를 시행하여, 주민 유해 물질 없는 깨끗한 수돗물 공급 상태를 검증하는 것을 목적으로 함.</t>
        </is>
      </c>
      <c r="N27" s="75">
        <f>HYPERLINK(LEFT(CELL("filename",A1),FIND("[",CELL("filename",A1))-1)&amp;"3.지장물이설\14_위수탁 지장물 이설 설계\표준서\14_위수탁 지장물 이설 설계_표준서.html", "👉 [클릭] 표준서 열기 📄")</f>
        <v/>
      </c>
      <c r="O27" s="49" t="inlineStr">
        <is>
          <t>1) 배수관(Ø200~300mm) 이설 부설 ➔ 2) 탁수 퇴수 &amp; 잔류염소 시험 ➔ 3) 맑은물사업소 합동 현측 ➔ 4) 상수도 관로 이설 감리 승인</t>
        </is>
      </c>
      <c r="P27" s="76">
        <f>HYPERLINK(LEFT(CELL("filename",A1),FIND("[",CELL("filename",A1))-1)&amp;"3.지장물이설\14_위수탁 지장물 이설 설계\수행지침\수행지침.html", "👉 [클릭] 수행지침 열기 📄")</f>
        <v/>
      </c>
      <c r="Q27" s="48" t="inlineStr">
        <is>
          <t>배수관(Ø200~300mm) 이설, 탁수 퇴수 작업 및 잔류염소 시험 합격 (맑은물사업소 현측)</t>
        </is>
      </c>
      <c r="R27" s="77">
        <f>HYPERLINK(LEFT(CELL("filename",A1),FIND("[",CELL("filename",A1))-1)&amp;"3.지장물이설\14_위수탁 지장물 이설 설계\체크리스트\위수탁 지장물 이설 설계_체크리스트.html", "👉 [클릭] 체크리스트 열기 📄")</f>
        <v/>
      </c>
      <c r="S27" s="47" t="n"/>
      <c r="T27" s="69" t="inlineStr">
        <is>
          <t>상수도 공사 표준시방서</t>
        </is>
      </c>
      <c r="U27" s="50" t="inlineStr">
        <is>
          <t>상수도 수질 오염 및 단수 시간 초과 리스크 방지</t>
        </is>
      </c>
      <c r="V27" s="49" t="inlineStr">
        <is>
          <t>맑은물사업소 상수도 감독관 자문</t>
        </is>
      </c>
    </row>
    <row r="28" ht="96" customHeight="1">
      <c r="A28" s="47" t="inlineStr">
        <is>
          <t>2000</t>
        </is>
      </c>
      <c r="B28" s="47" t="inlineStr">
        <is>
          <t>2000-4</t>
        </is>
      </c>
      <c r="C28" s="48" t="inlineStr">
        <is>
          <t>지장뭉 이설</t>
        </is>
      </c>
      <c r="D28" s="47" t="inlineStr">
        <is>
          <t>2000-4-3</t>
        </is>
      </c>
      <c r="E28" s="47">
        <f>D27</f>
        <v/>
      </c>
      <c r="F28" s="47">
        <f>D29</f>
        <v/>
      </c>
      <c r="G28" s="47" t="inlineStr">
        <is>
          <t>D+25</t>
        </is>
      </c>
      <c r="H28" s="52" t="inlineStr">
        <is>
          <t>하수도 관로 이설 공사</t>
        </is>
      </c>
      <c r="I28" s="47" t="inlineStr">
        <is>
          <t>공사팀 (협의: 맑은물사업소)</t>
        </is>
      </c>
      <c r="J28" s="49" t="inlineStr">
        <is>
          <t>본 과업은 하수관(Ø400mm 이상) 이설 후 CCTV 관로 내부 전수 검사 및 통수 담수 시험을 시행하여, 관로 파손이나 구배 불량에 따른 배수 막힘을 예방하는 것을 목적으로 함.</t>
        </is>
      </c>
      <c r="K28" s="49" t="inlineStr">
        <is>
          <t>1) 하수관(Ø400mm+) 연결 부설 ➔ 2) CCTV 관로 내부 검사 시행 ➔ 3) 통수 담수 시험 완료 ➔ 4) 하수도 관로 이설 감리 승인</t>
        </is>
      </c>
      <c r="L28" s="49" t="inlineStr">
        <is>
          <t>하수관(Ø400mm+) 연결 부설, CCTV 관로 내부 검사 &amp; 통수 담수 시험 합격 (하수도사업소 인수)</t>
        </is>
      </c>
      <c r="M28" s="49" t="inlineStr">
        <is>
          <t>본 과업은 하수관(Ø400mm 이상) 이설 후 CCTV 관로 내부 전수 검사 및 통수 담수 시험을 시행하여, 관로 파손이나 구배 불량에 따른 배수 막힘을 예방하는 것을 목적으로 함.</t>
        </is>
      </c>
      <c r="N28" s="75">
        <f>HYPERLINK(LEFT(CELL("filename",A1),FIND("[",CELL("filename",A1))-1)&amp;"3.지장물이설\15_무단수 연결을 위한 시설 설치\표준서\무단수 연결을 위한 시설 설치_표준서.html", "👉 [클릭] 표준서 열기 📄")</f>
        <v/>
      </c>
      <c r="O28" s="49" t="inlineStr">
        <is>
          <t>1) 하수관(Ø400mm+) 연결 부설 ➔ 2) CCTV 관로 내부 검사 시행 ➔ 3) 통수 담수 시험 완료 ➔ 4) 하수도 관로 이설 감리 승인</t>
        </is>
      </c>
      <c r="P28" s="76">
        <f>HYPERLINK(LEFT(CELL("filename",A1),FIND("[",CELL("filename",A1))-1)&amp;"3.지장물이설\15_무단수 연결을 위한 시설 설치\수행지침\무단수 연결을 위한 시설 설치_수행지침.html", "👉 [클릭] 수행지침 열기 📄")</f>
        <v/>
      </c>
      <c r="Q28" s="48" t="inlineStr">
        <is>
          <t>하수관(Ø400mm+) 연결 부설, CCTV 관로 내부 검사 &amp; 통수 담수 시험 합격 (하수도사업소 인수)</t>
        </is>
      </c>
      <c r="R28" s="77">
        <f>HYPERLINK(LEFT(CELL("filename",A1),FIND("[",CELL("filename",A1))-1)&amp;"3.지장물이설\15_무단수 연결을 위한 시설 설치\체크리스트\무단수 연결을 위한 시설 설치_체크리스트.html", "👉 [클릭] 체크리스트 열기 📄")</f>
        <v/>
      </c>
      <c r="S28" s="47" t="n"/>
      <c r="T28" s="69" t="inlineStr">
        <is>
          <t>하수도 공사 표준시방서</t>
        </is>
      </c>
      <c r="U28" s="50" t="inlineStr">
        <is>
          <t>하수 역류 및 구배 불량으로 인한 관로 침전 리스크 예방</t>
        </is>
      </c>
      <c r="V28" s="49" t="inlineStr">
        <is>
          <t>하수도 정밀 측량 기술자 자문</t>
        </is>
      </c>
    </row>
    <row r="29" ht="96" customHeight="1">
      <c r="A29" s="47" t="inlineStr">
        <is>
          <t>2000</t>
        </is>
      </c>
      <c r="B29" s="47" t="inlineStr">
        <is>
          <t>2000-4</t>
        </is>
      </c>
      <c r="C29" s="48" t="inlineStr">
        <is>
          <t>지장뭉 이설</t>
        </is>
      </c>
      <c r="D29" s="47" t="inlineStr">
        <is>
          <t>2000-4-4</t>
        </is>
      </c>
      <c r="E29" s="47">
        <f>D28</f>
        <v/>
      </c>
      <c r="F29" s="47">
        <f>D30</f>
        <v/>
      </c>
      <c r="G29" s="47" t="inlineStr">
        <is>
          <t>D+28</t>
        </is>
      </c>
      <c r="H29" s="52" t="inlineStr">
        <is>
          <t>도시가스관 이설 공사</t>
        </is>
      </c>
      <c r="I29" s="47" t="inlineStr">
        <is>
          <t>공사팀 (협의: 한국가스공사, 삼천리)</t>
        </is>
      </c>
      <c r="J29" s="49" t="inlineStr">
        <is>
          <t>본 과업은 도시가스 관로 이설 접합 부위에 대한 비파괴검사(RT 100%) 및 가스 기밀 시험을 도시가스사 기술자 입회 하에 수행하여, 폭발 및 누출 위험을 근본적으로 차단하는 것을 목적으로 함.</t>
        </is>
      </c>
      <c r="K29" s="49" t="inlineStr">
        <is>
          <t>1) 도시가스관 매설 &amp; 용접 ➔ 2) 비파괴검사(RT 100%) &amp; 기밀 시험 ➔ 3) 도시가스사 1:1 입회 검측 ➔ 4) 가스관 이설 완료 승인</t>
        </is>
      </c>
      <c r="L29" s="49" t="inlineStr">
        <is>
          <t>도시가스관 매설 &amp; 용접, 비파괴검사(RT 100%) 및 기밀 시험 합격 (도시가스사 1:1 입회)</t>
        </is>
      </c>
      <c r="M29" s="49" t="inlineStr">
        <is>
          <t>본 과업은 도시가스 관로 이설 접합 부위에 대한 비파괴검사(RT 100%) 및 가스 기밀 시험을 도시가스사 기술자 입회 하에 수행하여, 폭발 및 누출 위험을 근본적으로 차단하는 것을 목적으로 함.</t>
        </is>
      </c>
      <c r="N29" s="75">
        <f>HYPERLINK(LEFT(CELL("filename",A1),FIND("[",CELL("filename",A1))-1)&amp;"3.지장물이설\15_상하수도 이설계획 실정보고\표준서\15_상하수도 이설계획 실정보고_표준서.html", "👉 [클릭] 표준서 열기 📄")</f>
        <v/>
      </c>
      <c r="O29" s="49" t="inlineStr">
        <is>
          <t>1) 도시가스관 매설 &amp; 용접 ➔ 2) 비파괴검사(RT 100%) &amp; 기밀 시험 ➔ 3) 도시가스사 1:1 입회 검측 ➔ 4) 가스관 이설 완료 승인</t>
        </is>
      </c>
      <c r="P29" s="76">
        <f>HYPERLINK(LEFT(CELL("filename",A1),FIND("[",CELL("filename",A1))-1)&amp;"3.지장물이설\15_상하수도 이설계획 실정보고\수행지침\상하수도 이설계획 실정보고_수행지침.html", "👉 [클릭] 수행지침 열기 📄")</f>
        <v/>
      </c>
      <c r="Q29" s="48" t="inlineStr">
        <is>
          <t>도시가스관 매설 &amp; 용접, 비파괴검사(RT 100%) 및 기밀 시험 합격 (도시가스사 1:1 입회)</t>
        </is>
      </c>
      <c r="R29" s="77">
        <f>HYPERLINK(LEFT(CELL("filename",A1),FIND("[",CELL("filename",A1))-1)&amp;"3.지장물이설\15_상하수도 이설계획 실정보고\체크리스트\상하수도 이설계획 실정보고_체크리스트.html", "👉 [클릭] 체크리스트 열기 📄")</f>
        <v/>
      </c>
      <c r="S29" s="47" t="n"/>
      <c r="T29" s="69" t="inlineStr">
        <is>
          <t>도시가스사업법 및 KGC 가스안전 기준</t>
        </is>
      </c>
      <c r="U29" s="50" t="inlineStr">
        <is>
          <t>가스 누출 및 폭발 대형 안전사고 리스크 방지</t>
        </is>
      </c>
      <c r="V29" s="49" t="inlineStr">
        <is>
          <t>가스안전공사 및 삼천리가스 전문 자문</t>
        </is>
      </c>
    </row>
    <row r="30" ht="96" customHeight="1">
      <c r="A30" s="47" t="inlineStr">
        <is>
          <t>2000</t>
        </is>
      </c>
      <c r="B30" s="47" t="inlineStr">
        <is>
          <t>2000-4</t>
        </is>
      </c>
      <c r="C30" s="48" t="inlineStr">
        <is>
          <t>지장뭉 이설</t>
        </is>
      </c>
      <c r="D30" s="47" t="inlineStr">
        <is>
          <t>2000-4-5</t>
        </is>
      </c>
      <c r="E30" s="47">
        <f>D29</f>
        <v/>
      </c>
      <c r="F30" s="47">
        <f>D31</f>
        <v/>
      </c>
      <c r="G30" s="47" t="inlineStr">
        <is>
          <t>D+30</t>
        </is>
      </c>
      <c r="H30" s="52" t="inlineStr">
        <is>
          <t>지역난방관 이설 공사</t>
        </is>
      </c>
      <c r="I30" s="47" t="inlineStr">
        <is>
          <t>공사팀 (협의: 한국지역난방공사)</t>
        </is>
      </c>
      <c r="J30" s="49" t="inlineStr">
        <is>
          <t>본 과업은 고온·고압 지역난방 수송관 이설 시 비파괴 용접 검사 및 단열 보온재 피복 상태를 정밀 점검하여, 열 손실 방지 및 안전한 열 공급 여건을 완성하는 것을 목적으로 함.</t>
        </is>
      </c>
      <c r="K30" s="49" t="inlineStr">
        <is>
          <t>1) 난방 수송관 매설 &amp; 용접 ➔ 2) 100% 비파괴검사 &amp; 피복 랩핑 ➔ 3) 지역난방공사 시운전 인수 ➔ 4) 지역난방관 이설 감리 승인</t>
        </is>
      </c>
      <c r="L30" s="49" t="inlineStr">
        <is>
          <t>난방 수송관 매설 &amp; 용접, 100% 비파괴검사 및 피복 랩핑 검수 (지역난방공사 인수)</t>
        </is>
      </c>
      <c r="M30" s="49" t="inlineStr">
        <is>
          <t>본 과업은 고온·고압 지역난방 수송관 이설 시 비파괴 용접 검사 및 단열 보온재 피복 상태를 정밀 점검하여, 열 손실 방지 및 안전한 열 공급 여건을 완성하는 것을 목적으로 함.</t>
        </is>
      </c>
      <c r="N30" s="75">
        <f>HYPERLINK(LEFT(CELL("filename",A1),FIND("[",CELL("filename",A1))-1)&amp;"3.지장물이설\16_신규관로 및 연결관로 접속\표준서\신규관로 및 연결관로 접속_표준서.html", "👉 [클릭] 표준서 열기 📄")</f>
        <v/>
      </c>
      <c r="O30" s="49" t="inlineStr">
        <is>
          <t>1) 난방 수송관 매설 &amp; 용접 ➔ 2) 100% 비파괴검사 &amp; 피복 랩핑 ➔ 3) 지역난방공사 시운전 인수 ➔ 4) 지역난방관 이설 감리 승인</t>
        </is>
      </c>
      <c r="P30" s="76">
        <f>HYPERLINK(LEFT(CELL("filename",A1),FIND("[",CELL("filename",A1))-1)&amp;"3.지장물이설\16_신규관로 및 연결관로 접속\수행지침\수행지침.html", "👉 [클릭] 수행지침 열기 📄")</f>
        <v/>
      </c>
      <c r="Q30" s="48" t="inlineStr">
        <is>
          <t>난방 수송관 매설 &amp; 용접, 100% 비파괴검사 및 피복 랩핑 검수 (지역난방공사 인수)</t>
        </is>
      </c>
      <c r="R30" s="77">
        <f>HYPERLINK(LEFT(CELL("filename",A1),FIND("[",CELL("filename",A1))-1)&amp;"3.지장물이설\16_신규관로 및 연결관로 접속\체크리스트\신규관로 및 연결관로 접속_체크리스트.html", "👉 [클릭] 체크리스트 열기 📄")</f>
        <v/>
      </c>
      <c r="S30" s="47" t="n"/>
      <c r="T30" s="69" t="inlineStr">
        <is>
          <t>한국지역난방공사 열수송관 기술기준</t>
        </is>
      </c>
      <c r="U30" s="50" t="inlineStr">
        <is>
          <t>열수송관 누수 및 난방 공급 중단 리스크 방지</t>
        </is>
      </c>
      <c r="V30" s="49" t="inlineStr">
        <is>
          <t>지역난방공사 열수송관 전문 자문</t>
        </is>
      </c>
    </row>
    <row r="31" ht="96" customHeight="1">
      <c r="A31" s="47" t="inlineStr">
        <is>
          <t>2000</t>
        </is>
      </c>
      <c r="B31" s="47" t="inlineStr">
        <is>
          <t>2000-4</t>
        </is>
      </c>
      <c r="C31" s="48" t="inlineStr">
        <is>
          <t>지장뭉 이설</t>
        </is>
      </c>
      <c r="D31" s="47" t="inlineStr">
        <is>
          <t>2000-4-6</t>
        </is>
      </c>
      <c r="E31" s="47">
        <f>D30</f>
        <v/>
      </c>
      <c r="F31" s="47">
        <f>D32</f>
        <v/>
      </c>
      <c r="G31" s="47" t="inlineStr">
        <is>
          <t>D+35</t>
        </is>
      </c>
      <c r="H31" s="52" t="inlineStr">
        <is>
          <t>통신관로 및 케이블 이설 공사</t>
        </is>
      </c>
      <c r="I31" s="47" t="inlineStr">
        <is>
          <t>공사팀 (협의: KT, LGU+, SKT)</t>
        </is>
      </c>
      <c r="J31" s="49" t="inlineStr">
        <is>
          <t>본 과업은 통신 광케이블 관로 이설 후 절연 저항 시험 및 광신호 손실 측정을 시행하여, 동탄 도시 통신망의 끊김 없는 고품질 신호 전달 상태를 승인받는 것을 목적으로 함.</t>
        </is>
      </c>
      <c r="K31" s="49" t="inlineStr">
        <is>
          <t>1) 통신 광케이블 관로 부설 ➔ 2) 광케이블 포설 &amp; 접속 ➔ 3) 절연저항 &amp; 광손실 시험 ➔ 4) KT/SKT 통신사 광신호 승인</t>
        </is>
      </c>
      <c r="L31" s="49" t="inlineStr">
        <is>
          <t>통신 광케이블 관로 부설, 절연 저항 &amp; 광손실 실측 합격 (KT/SKT 광신호 승인)</t>
        </is>
      </c>
      <c r="M31" s="49" t="inlineStr">
        <is>
          <t>본 과업은 통신 광케이블 관로 이설 후 절연 저항 시험 및 광신호 손실 측정을 시행하여, 동탄 도시 통신망의 끊김 없는 고품질 신호 전달 상태를 승인받는 것을 목적으로 함.</t>
        </is>
      </c>
      <c r="N31" s="75">
        <f>HYPERLINK(LEFT(CELL("filename",A1),FIND("[",CELL("filename",A1))-1)&amp;"3.지장물이설\16_위수탁 계약 체결\표준서\16_위수탁 계약 체결_표준서.html", "👉 [클릭] 표준서 열기 📄")</f>
        <v/>
      </c>
      <c r="O31" s="49" t="inlineStr">
        <is>
          <t>1) 통신 광케이블 관로 부설 ➔ 2) 광케이블 포설 &amp; 접속 ➔ 3) 절연저항 &amp; 광손실 시험 ➔ 4) KT/SKT 통신사 광신호 승인</t>
        </is>
      </c>
      <c r="P31" s="76">
        <f>HYPERLINK(LEFT(CELL("filename",A1),FIND("[",CELL("filename",A1))-1)&amp;"3.지장물이설\16_위수탁 계약 체결\수행지침\수행지침.html", "👉 [클릭] 수행지침 열기 📄")</f>
        <v/>
      </c>
      <c r="Q31" s="48" t="inlineStr">
        <is>
          <t>통신 광케이블 관로 부설, 절연 저항 &amp; 광손실 실측 합격 (KT/SKT 광신호 승인)</t>
        </is>
      </c>
      <c r="R31" s="77">
        <f>HYPERLINK(LEFT(CELL("filename",A1),FIND("[",CELL("filename",A1))-1)&amp;"3.지장물이설\16_위수탁 계약 체결\체크리스트\위수탁 계약 체결_체크리스트.html", "👉 [클릭] 체크리스트 열기 📄")</f>
        <v/>
      </c>
      <c r="S31" s="47" t="n"/>
      <c r="T31" s="69" t="inlineStr">
        <is>
          <t>정보통신 표준품셈 및 통신관로 공사 기준</t>
        </is>
      </c>
      <c r="U31" s="50" t="inlineStr">
        <is>
          <t>광케이블 절단으로 인한 통신 마비 리스크 방지</t>
        </is>
      </c>
      <c r="V31" s="49" t="inlineStr">
        <is>
          <t>통신 3사 전담 엔지니어 자문</t>
        </is>
      </c>
    </row>
    <row r="32" ht="76.8" customHeight="1">
      <c r="A32" s="42" t="inlineStr">
        <is>
          <t>2000</t>
        </is>
      </c>
      <c r="B32" s="42" t="inlineStr">
        <is>
          <t>2000-4</t>
        </is>
      </c>
      <c r="C32" s="48" t="inlineStr">
        <is>
          <t>지장뭉 이설</t>
        </is>
      </c>
      <c r="D32" s="22" t="inlineStr">
        <is>
          <t>2000-4-7</t>
        </is>
      </c>
      <c r="E32" s="47">
        <f>D31</f>
        <v/>
      </c>
      <c r="F32" s="47">
        <f>D33</f>
        <v/>
      </c>
      <c r="G32" s="22" t="inlineStr">
        <is>
          <t>D+40</t>
        </is>
      </c>
      <c r="H32" s="45" t="inlineStr">
        <is>
          <t>특고압 전력관로 이설 공사</t>
        </is>
      </c>
      <c r="I32" s="42" t="inlineStr">
        <is>
          <t>공사팀 (협의: 한국전력공사)</t>
        </is>
      </c>
      <c r="J32" s="42" t="inlineStr">
        <is>
          <t>본 과업은 22.9kV 특고압 전력관로 및 맨홀 이설 시 한전(KEPCO) 기술 입회 하에 절연내력 시험을 필하고, 지정된 휴전 시간에 전력 절체(Cut-over)를 안전하게 완료하는 것을 목적으로 함.</t>
        </is>
      </c>
      <c r="K32" s="58" t="inlineStr">
        <is>
          <t>1) 22.9kV 특고압 관로/맨홀 부설 ➔ 2) 전력 케이블 인입 &amp; 내력 시험 ➔ 3) 한전 입회 휴전 Cut-over ➔ 4) 전력관로 이설 완료 승인</t>
        </is>
      </c>
      <c r="L32" s="42" t="inlineStr">
        <is>
          <t>22.9kV 특고압 관로/맨홀 부설, 절연내력 시험 합격 (한전 KEPCO 입회 휴전 Cut-over)</t>
        </is>
      </c>
      <c r="M32" s="26" t="inlineStr">
        <is>
          <t>본 과업은 22.9kV 특고압 전력관로 및 맨홀 이설 시 한전(KEPCO) 기술 입회 하에 절연내력 시험을 필하고, 지정된 휴전 시간에 전력 절체(Cut-over)를 안전하게 완료하는 것을 목적으로 함.</t>
        </is>
      </c>
      <c r="N32" s="75">
        <f>HYPERLINK(LEFT(CELL("filename",A1),FIND("[",CELL("filename",A1))-1)&amp;"3.지장물이설\17_기존관로 철거 및 원상복구\표준서\기존관로 철거 및 원상복구_표준서.html", "👉 [클릭] 표준서 열기 📄")</f>
        <v/>
      </c>
      <c r="O32" s="26" t="inlineStr">
        <is>
          <t>1) 22.9kV 특고압 관로/맨홀 부설 ➔ 2) 전력 케이블 인입 &amp; 내력 시험 ➔ 3) 한전 입회 휴전 Cut-over ➔ 4) 전력관로 이설 완료 승인</t>
        </is>
      </c>
      <c r="P32" s="76">
        <f>HYPERLINK(LEFT(CELL("filename",A1),FIND("[",CELL("filename",A1))-1)&amp;"3.지장물이설\17_기존관로 철거 및 원상복구\수행지침\기존관로 철거 및 원상복구_수행지침.html", "👉 [클릭] 수행지침 열기 📄")</f>
        <v/>
      </c>
      <c r="Q32" s="28" t="inlineStr">
        <is>
          <t>22.9kV 특고압 관로/맨홀 부설, 절연내력 시험 합격 (한전 KEPCO 입회 휴전 Cut-over)</t>
        </is>
      </c>
      <c r="R32" s="77">
        <f>HYPERLINK(LEFT(CELL("filename",A1),FIND("[",CELL("filename",A1))-1)&amp;"3.지장물이설\17_기존관로 철거 및 원상복구\체크리스트\기존관로 철거 및 원상복구_체크리스트.html", "👉 [클릭] 체크리스트 열기 📄")</f>
        <v/>
      </c>
      <c r="T32" s="70" t="inlineStr">
        <is>
          <t>한국전력공사 지중배전 건설기준</t>
        </is>
      </c>
      <c r="U32" s="54" t="inlineStr">
        <is>
          <t>특고압 케이블 감전 및 아크 단락 사고 리스크 방지</t>
        </is>
      </c>
      <c r="V32" s="42" t="inlineStr">
        <is>
          <t>한전 배전 전문 기술자 자문</t>
        </is>
      </c>
    </row>
    <row r="33" ht="82.8" customHeight="1">
      <c r="A33" s="42" t="inlineStr">
        <is>
          <t>2000</t>
        </is>
      </c>
      <c r="B33" s="42" t="inlineStr">
        <is>
          <t>2000-5</t>
        </is>
      </c>
      <c r="C33" s="48" t="inlineStr">
        <is>
          <t>지장뭉 이설</t>
        </is>
      </c>
      <c r="D33" s="22" t="inlineStr">
        <is>
          <t>2000-5-1</t>
        </is>
      </c>
      <c r="E33" s="47">
        <f>D32</f>
        <v/>
      </c>
      <c r="F33" s="47">
        <f>D34</f>
        <v/>
      </c>
      <c r="G33" s="22" t="inlineStr">
        <is>
          <t>D+60</t>
        </is>
      </c>
      <c r="H33" s="45" t="inlineStr">
        <is>
          <t>상하수도 이설 시공 최종 점검</t>
        </is>
      </c>
      <c r="I33" s="42" t="inlineStr">
        <is>
          <t>현장 감리원 / 맑은물사업소</t>
        </is>
      </c>
      <c r="J33" s="42" t="inlineStr">
        <is>
          <t>본 과업은 송유관 등 특수 매설 관로 이설 시 비파괴 NDT 검사 및 초음파 탐상 시험 결과를 종합 검증하여, 대한송유관공사로의 안전한 시설물 인계인수를 완수하는 것을 목적으로 함.</t>
        </is>
      </c>
      <c r="K33" s="58" t="inlineStr">
        <is>
          <t>1) 송유관 용접 부설 ➔ 2) NDT 비파괴검사 &amp; 초음파 탐상 ➔ 3) 송유관공사 안전 점검 ➔ 4) 송유관 이설 완료 서면 승인</t>
        </is>
      </c>
      <c r="L33" s="42" t="inlineStr">
        <is>
          <t>송유관 용접 부설, NDT 비파괴검사 및 초음파 탐상 시험 100% 합격 (대한송유관공사 인수)</t>
        </is>
      </c>
      <c r="M33" s="26" t="inlineStr">
        <is>
          <t>본 과업은 송유관 등 특수 매설 관로 이설 시 비파괴 NDT 검사 및 초음파 탐상 시험 결과를 종합 검증하여, 대한송유관공사로의 안전한 시설물 인계인수를 완수하는 것을 목적으로 함.</t>
        </is>
      </c>
      <c r="N33" s="75">
        <f>HYPERLINK(LEFT(CELL("filename",A1),FIND("[",CELL("filename",A1))-1)&amp;"3.지장물이설\17_도로점용_굴착행위 인허가\표준서\17_도로점용_굴착행위 인허가_표준서.html", "👉 [클릭] 표준서 열기 📄")</f>
        <v/>
      </c>
      <c r="O33" s="26" t="inlineStr">
        <is>
          <t>1) 송유관 용접 부설 ➔ 2) NDT 비파괴검사 &amp; 초음파 탐상 ➔ 3) 송유관공사 안전 점검 ➔ 4) 송유관 이설 완료 서면 승인</t>
        </is>
      </c>
      <c r="P33" s="76">
        <f>HYPERLINK(LEFT(CELL("filename",A1),FIND("[",CELL("filename",A1))-1)&amp;"3.지장물이설\17_도로점용_굴착행위 인허가\수행지침\도로점용_굴착행위 인허가_수행지침.html", "👉 [클릭] 수행지침 열기 📄")</f>
        <v/>
      </c>
      <c r="Q33" s="28" t="inlineStr">
        <is>
          <t>송유관 용접 부설, NDT 비파괴검사 및 초음파 탐상 시험 100% 합격 (대한송유관공사 인수)</t>
        </is>
      </c>
      <c r="R33" s="77">
        <f>HYPERLINK(LEFT(CELL("filename",A1),FIND("[",CELL("filename",A1))-1)&amp;"3.지장물이설\17_도로점용_굴착행위 인허가\체크리스트\도로점용_굴착행위 인허가_체크리스트.html", "👉 [클릭] 체크리스트 열기 📄")</f>
        <v/>
      </c>
      <c r="T33" s="70" t="inlineStr">
        <is>
          <t>지방자치단체 시설물 인계인수 규정</t>
        </is>
      </c>
      <c r="U33" s="54" t="inlineStr">
        <is>
          <t>인계 미비로 인한 시설물 인수 거부 리스크 방지</t>
        </is>
      </c>
      <c r="V33" s="42" t="inlineStr">
        <is>
          <t>맑은물사업소 시설물 인계 전담자</t>
        </is>
      </c>
    </row>
    <row r="34" ht="57.6" customHeight="1">
      <c r="A34" s="42" t="inlineStr">
        <is>
          <t>2000</t>
        </is>
      </c>
      <c r="B34" s="42" t="inlineStr">
        <is>
          <t>2000-5</t>
        </is>
      </c>
      <c r="C34" s="48" t="inlineStr">
        <is>
          <t>지장뭉 이설</t>
        </is>
      </c>
      <c r="D34" s="22" t="inlineStr">
        <is>
          <t>2000-5-2</t>
        </is>
      </c>
      <c r="E34" s="47">
        <f>D33</f>
        <v/>
      </c>
      <c r="F34" s="47">
        <f>D35</f>
        <v/>
      </c>
      <c r="G34" s="22" t="inlineStr">
        <is>
          <t>D+65</t>
        </is>
      </c>
      <c r="H34" s="45" t="inlineStr">
        <is>
          <t>위수탁 지하지장물 이설 최종 점검</t>
        </is>
      </c>
      <c r="I34" s="42" t="inlineStr">
        <is>
          <t>현장 감리원 / 위수탁기관</t>
        </is>
      </c>
      <c r="J34" s="42" t="inlineStr">
        <is>
          <t>본 과업은 신설된 상하수도 관로의 수압·수질·CCTV 검사 대장을 최종 종합하여, 지자체 및 점용기관 3자 합동 현장 인계 점검을 수행하는 것을 목적으로 함.</t>
        </is>
      </c>
      <c r="K34" s="58" t="inlineStr">
        <is>
          <t>1) 신설 관로 종합 현측 ➔ 2) 수압/수질/CCTV 검사 종합 ➔ 3) 지자체 3자 합동 점검 ➔ 4) 상하수도 최종 점검 대장 승인</t>
        </is>
      </c>
      <c r="L34" s="42" t="inlineStr">
        <is>
          <t>신설 관로 종합 현측, 수압/수질/CCTV 검사 종합 대장 작성 및 지자체 3자 합동 점검</t>
        </is>
      </c>
      <c r="M34" s="26" t="inlineStr">
        <is>
          <t>본 과업은 신설된 상하수도 관로의 수압·수질·CCTV 검사 대장을 최종 종합하여, 지자체 및 점용기관 3자 합동 현장 인계 점검을 수행하는 것을 목적으로 함.</t>
        </is>
      </c>
      <c r="N34" s="75">
        <f>HYPERLINK(LEFT(CELL("filename",A1),FIND("[",CELL("filename",A1))-1)&amp;"3.지장물이설\18_광역상수관 이설 공사\표준서\광역상수관 이설 공사_표준서.html", "👉 [클릭] 표준서 열기 📄")</f>
        <v/>
      </c>
      <c r="O34" s="26" t="inlineStr">
        <is>
          <t>1) 신설 관로 종합 현측 ➔ 2) 수압/수질/CCTV 검사 종합 ➔ 3) 지자체 3자 합동 점검 ➔ 4) 상하수도 최종 점검 대장 승인</t>
        </is>
      </c>
      <c r="P34" s="76">
        <f>HYPERLINK(LEFT(CELL("filename",A1),FIND("[",CELL("filename",A1))-1)&amp;"3.지장물이설\18_광역상수관 이설 공사\수행지침\광역상수관 이설 공사_수행지침.html", "👉 [클릭] 수행지침 열기 📄")</f>
        <v/>
      </c>
      <c r="Q34" s="28" t="inlineStr">
        <is>
          <t>신설 관로 종합 현측, 수압/수질/CCTV 검사 종합 대장 작성 및 지자체 3자 합동 점검</t>
        </is>
      </c>
      <c r="R34" s="77">
        <f>HYPERLINK(LEFT(CELL("filename",A1),FIND("[",CELL("filename",A1))-1)&amp;"3.지장물이설\18_광역상수관 이설 공사\체크리스트\광역상수관 이설 공사_체크리스트.html", "👉 [클릭] 체크리스트 열기 📄")</f>
        <v/>
      </c>
      <c r="T34" s="70" t="inlineStr">
        <is>
          <t>위수탁 협약서 및 사후 정산 지침</t>
        </is>
      </c>
      <c r="U34" s="54" t="inlineStr">
        <is>
          <t>정산 금액 이견으로 인한 분담금 미지급 리스크 관리</t>
        </is>
      </c>
      <c r="V34" s="42" t="inlineStr">
        <is>
          <t>사후 정산 평가 전문 용역사 자문</t>
        </is>
      </c>
    </row>
    <row r="35" ht="69.59999999999999" customHeight="1">
      <c r="A35" s="42" t="inlineStr">
        <is>
          <t>2000</t>
        </is>
      </c>
      <c r="B35" s="42" t="inlineStr">
        <is>
          <t>2000-5</t>
        </is>
      </c>
      <c r="C35" s="48" t="inlineStr">
        <is>
          <t>지장뭉 이설</t>
        </is>
      </c>
      <c r="D35" s="22" t="inlineStr">
        <is>
          <t>2000-5-3</t>
        </is>
      </c>
      <c r="E35" s="47">
        <f>D34</f>
        <v/>
      </c>
      <c r="F35" s="47">
        <f>D36</f>
        <v/>
      </c>
      <c r="G35" s="22" t="inlineStr">
        <is>
          <t>D+70</t>
        </is>
      </c>
      <c r="H35" s="45" t="inlineStr">
        <is>
          <t>상하수도 이설 정산 금액 검토</t>
        </is>
      </c>
      <c r="I35" s="42" t="inlineStr">
        <is>
          <t>현장 공무팀</t>
        </is>
      </c>
      <c r="J35" s="42" t="inlineStr">
        <is>
          <t>본 과업은 관할 위탁기관의 최종 현장 인수 성과와 3D BIM 준공 도면을 대조하여, 실제 이설 공사에 투입된 내역 및 정산금의 기술적 타당성을 검토하는 것을 목적으로 함.</t>
        </is>
      </c>
      <c r="K35" s="58" t="inlineStr">
        <is>
          <t>1) 위탁기관 1:1 인수 검측 ➔ 2) 3D BIM 준공 도면 대조 ➔ 3) 이설 완료 현장 서명 ➔ 4) 준공 보고서 감리 서면 승인</t>
        </is>
      </c>
      <c r="L35" s="42" t="inlineStr">
        <is>
          <t>위탁기관 1:1 인수 검측, 3D BIM 준공 도면 대조 및 이설 준공 보고서 감리 서면 승인</t>
        </is>
      </c>
      <c r="M35" s="26" t="inlineStr">
        <is>
          <t>본 과업은 관할 위탁기관의 최종 현장 인수 성과와 3D BIM 준공 도면을 대조하여, 실제 이설 공사에 투입된 내역 및 정산금의 기술적 타당성을 검토하는 것을 목적으로 함.</t>
        </is>
      </c>
      <c r="N35" s="75">
        <f>HYPERLINK(LEFT(CELL("filename",A1),FIND("[",CELL("filename",A1))-1)&amp;"3.지장물이설\18_교통통제 및 교통안전시설 설치\표준서\18_교통통제 및 교통안전시설 설치_표준서.html", "👉 [클릭] 표준서 열기 📄")</f>
        <v/>
      </c>
      <c r="O35" s="26" t="inlineStr">
        <is>
          <t>1) 위탁기관 1:1 인수 검측 ➔ 2) 3D BIM 준공 도면 대조 ➔ 3) 이설 완료 현장 서명 ➔ 4) 준공 보고서 감리 서면 승인</t>
        </is>
      </c>
      <c r="P35" s="76">
        <f>HYPERLINK(LEFT(CELL("filename",A1),FIND("[",CELL("filename",A1))-1)&amp;"3.지장물이설\18_교통통제 및 교통안전시설 설치\수행지침\교통통제 및 교통안전시설 설치_수행지침.html", "👉 [클릭] 수행지침 열기 📄")</f>
        <v/>
      </c>
      <c r="Q35" s="28" t="inlineStr">
        <is>
          <t>위탁기관 1:1 인수 검측, 3D BIM 준공 도면 대조 및 이설 준공 보고서 감리 서면 승인</t>
        </is>
      </c>
      <c r="R35" s="77">
        <f>HYPERLINK(LEFT(CELL("filename",A1),FIND("[",CELL("filename",A1))-1)&amp;"3.지장물이설\18_교통통제 및 교통안전시설 설치\체크리스트\교통통제 및 교통안전시설 설치_체크리스트.html", "👉 [클릭] 체크리스트 열기 📄")</f>
        <v/>
      </c>
      <c r="T35" s="70" t="inlineStr">
        <is>
          <t>기획재정부 계약예규 공사계약일반조건</t>
        </is>
      </c>
      <c r="U35" s="54" t="inlineStr">
        <is>
          <t>설계변경 절차 미비로 인한 금액 삭감 리스크 방지</t>
        </is>
      </c>
      <c r="V35" s="42" t="inlineStr">
        <is>
          <t>토목 설계변경 및 계약 정산 전문가</t>
        </is>
      </c>
    </row>
    <row r="36" ht="57.6" customHeight="1">
      <c r="A36" s="42" t="inlineStr">
        <is>
          <t>2000</t>
        </is>
      </c>
      <c r="B36" s="42" t="inlineStr">
        <is>
          <t>2000-5</t>
        </is>
      </c>
      <c r="C36" s="48" t="inlineStr">
        <is>
          <t>지장뭉 이설</t>
        </is>
      </c>
      <c r="D36" s="22" t="inlineStr">
        <is>
          <t>2000-5-4</t>
        </is>
      </c>
      <c r="E36" s="47">
        <f>D35</f>
        <v/>
      </c>
      <c r="F36" s="47">
        <f>D37</f>
        <v/>
      </c>
      <c r="G36" s="22" t="inlineStr">
        <is>
          <t>D+80</t>
        </is>
      </c>
      <c r="H36" s="45" t="inlineStr">
        <is>
          <t>위수탁 처리 정산금액 지급</t>
        </is>
      </c>
      <c r="I36" s="42" t="inlineStr">
        <is>
          <t>현장 공무팀 / 발주처</t>
        </is>
      </c>
      <c r="J36" s="42" t="inlineStr">
        <is>
          <t>본 과업은 실정보고 및 시공 결과에 기반하여 정밀 단가 산정 정산서를 작성하고, 책임감리원의 서면 결재를 거쳐 위탁기관 공사 정산금을 지급 수속하는 것을 목적으로 함.</t>
        </is>
      </c>
      <c r="K36" s="58" t="inlineStr">
        <is>
          <t>1) 실정보고 투입 물량 집계 ➔ 2) 정산 단가 산정 서류 작성 ➔ 3) 정산서 감리 기술 검토 ➔ 4) 정산 금액 최종 서면 승인</t>
        </is>
      </c>
      <c r="L36" s="42" t="inlineStr">
        <is>
          <t>실정보고 투입 물량 집계, 정산 단가 산정 서류 작성 및 책임감리원 정산 금액 서면 승인</t>
        </is>
      </c>
      <c r="M36" s="26" t="inlineStr">
        <is>
          <t>본 과업은 실정보고 및 시공 결과에 기반하여 정밀 단가 산정 정산서를 작성하고, 책임감리원의 서면 결재를 거쳐 위탁기관 공사 정산금을 지급 수속하는 것을 목적으로 함.</t>
        </is>
      </c>
      <c r="N36" s="75">
        <f>HYPERLINK(LEFT(CELL("filename",A1),FIND("[",CELL("filename",A1))-1)&amp;"3.지장물이설\19_상수도 관로 이설 공사\표준서\상수도 관로 이설 공사_표준서.html", "👉 [클릭] 표준서 열기 📄")</f>
        <v/>
      </c>
      <c r="O36" s="26" t="inlineStr">
        <is>
          <t>1) 실정보고 투입 물량 집계 ➔ 2) 정산 단가 산정 서류 작성 ➔ 3) 정산서 감리 기술 검토 ➔ 4) 정산 금액 최종 서면 승인</t>
        </is>
      </c>
      <c r="P36" s="76">
        <f>HYPERLINK(LEFT(CELL("filename",A1),FIND("[",CELL("filename",A1))-1)&amp;"3.지장물이설\19_상수도 관로 이설 공사\수행지침\상수도 관로 이설 공사_수행지침.html", "👉 [클릭] 수행지침 열기 📄")</f>
        <v/>
      </c>
      <c r="Q36" s="28" t="inlineStr">
        <is>
          <t>실정보고 투입 물량 집계, 정산 단가 산정 서류 작성 및 책임감리원 정산 금액 서면 승인</t>
        </is>
      </c>
      <c r="R36" s="77">
        <f>HYPERLINK(LEFT(CELL("filename",A1),FIND("[",CELL("filename",A1))-1)&amp;"3.지장물이설\19_상수도 관로 이설 공사\체크리스트\상수도 관로 이설 공사_체크리스트.html", "👉 [클릭] 체크리스트 열기 📄")</f>
        <v/>
      </c>
      <c r="T36" s="70" t="inlineStr">
        <is>
          <t>지방재정법 및 PS 정산 지침</t>
        </is>
      </c>
      <c r="U36" s="54" t="inlineStr">
        <is>
          <t>PS 항목 정산 지연 리스크 방지</t>
        </is>
      </c>
      <c r="V36" s="42" t="inlineStr">
        <is>
          <t>발주처 재정 및 정산 담당 자문</t>
        </is>
      </c>
    </row>
    <row r="37" ht="69.59999999999999" customHeight="1">
      <c r="A37" s="42" t="inlineStr">
        <is>
          <t>2000</t>
        </is>
      </c>
      <c r="B37" s="42" t="inlineStr">
        <is>
          <t>2000-5</t>
        </is>
      </c>
      <c r="C37" s="48" t="inlineStr">
        <is>
          <t>지장뭉 이설</t>
        </is>
      </c>
      <c r="D37" s="22" t="inlineStr">
        <is>
          <t>2000-5-5</t>
        </is>
      </c>
      <c r="E37" s="47">
        <f>D36</f>
        <v/>
      </c>
      <c r="F37" s="47">
        <f>D38</f>
        <v/>
      </c>
      <c r="G37" s="22" t="inlineStr">
        <is>
          <t>D+90</t>
        </is>
      </c>
      <c r="H37" s="45" t="inlineStr">
        <is>
          <t>도급자분/위수탁분 설계변경 정산</t>
        </is>
      </c>
      <c r="I37" s="42" t="inlineStr">
        <is>
          <t>현장 공무팀 / 화성시</t>
        </is>
      </c>
      <c r="J37" s="42" t="inlineStr">
        <is>
          <t>본 과업은 이설 완료된 지장물 공사의 실투입 집행 영수증과 정산서를 관할 위탁기관에 최종 제출하여 정산금 청구 및 집행 절차를 완수하는 것을 목적으로 함.</t>
        </is>
      </c>
      <c r="K37" s="58" t="inlineStr">
        <is>
          <t>1) 위탁기관 정산 청구서 작성 ➔ 2) 증빙 영수증 &amp; 성과표 첨부 ➔ 3) 정산금 지급 수속 ➔ 4) 이설 정산금 집행 완료</t>
        </is>
      </c>
      <c r="L37" s="42" t="inlineStr">
        <is>
          <t>위탁기관 정산 청구서 작성, 증빙 영수증 &amp; 성과표 부착 및 이설 정산금 집행 완료</t>
        </is>
      </c>
      <c r="M37" s="26" t="inlineStr">
        <is>
          <t>본 과업은 이설 완료된 지장물 공사의 실투입 집행 영수증과 정산서를 관할 위탁기관에 최종 제출하여 정산금 청구 및 집행 절차를 완수하는 것을 목적으로 함.</t>
        </is>
      </c>
      <c r="N37" s="75">
        <f>HYPERLINK(LEFT(CELL("filename",A1),FIND("[",CELL("filename",A1))-1)&amp;"3.지장물이설\19_줄따기(GPR)를 통한 기존 지장물 매설 확인\표준서\19_줄따기(GPR)를 통한 기존 지장물 매설 확인_표준서.html", "👉 [클릭] 표준서 열기 📄")</f>
        <v/>
      </c>
      <c r="O37" s="26" t="inlineStr">
        <is>
          <t>1) 위탁기관 정산 청구서 작성 ➔ 2) 증빙 영수증 &amp; 성과표 첨부 ➔ 3) 정산금 지급 수속 ➔ 4) 이설 정산금 집행 완료</t>
        </is>
      </c>
      <c r="P37" s="76">
        <f>HYPERLINK(LEFT(CELL("filename",A1),FIND("[",CELL("filename",A1))-1)&amp;"3.지장물이설\19_줄따기(GPR)를 통한 기존 지장물 매설 확인\수행지침\수행지침.html", "👉 [클릭] 수행지침 열기 📄")</f>
        <v/>
      </c>
      <c r="Q37" s="28" t="inlineStr">
        <is>
          <t>위탁기관 정산 청구서 작성, 증빙 영수증 &amp; 성과표 부착 및 이설 정산금 집행 완료</t>
        </is>
      </c>
      <c r="R37" s="77">
        <f>HYPERLINK(LEFT(CELL("filename",A1),FIND("[",CELL("filename",A1))-1)&amp;"3.지장물이설\19_줄따기(GPR)를 통한 기존 지장물 매설 확인\체크리스트\줄따기(GPR)를 통한 기존 지장물 매설 확인_체크리스트.html", "👉 [클릭] 체크리스트 열기 📄")</f>
        <v/>
      </c>
      <c r="T37" s="70" t="inlineStr">
        <is>
          <t>국가계약법 및 화성시 도급계약 지침</t>
        </is>
      </c>
      <c r="U37" s="54" t="inlineStr">
        <is>
          <t>최종 계약 변경 지연 리스크 관리</t>
        </is>
      </c>
      <c r="V37" s="42" t="inlineStr">
        <is>
          <t>화성시 도급계약 및 준공 정산 전문가</t>
        </is>
      </c>
    </row>
    <row r="38" ht="84" customHeight="1">
      <c r="A38" s="42" t="inlineStr">
        <is>
          <t>2000</t>
        </is>
      </c>
      <c r="B38" s="42" t="inlineStr">
        <is>
          <t>2000-6</t>
        </is>
      </c>
      <c r="C38" s="48" t="inlineStr">
        <is>
          <t>지장뭉 이설</t>
        </is>
      </c>
      <c r="D38" s="22" t="inlineStr">
        <is>
          <t>2000-6-1</t>
        </is>
      </c>
      <c r="E38" s="47">
        <f>D37</f>
        <v/>
      </c>
      <c r="F38" s="47">
        <f>D39</f>
        <v/>
      </c>
      <c r="G38" s="22" t="inlineStr">
        <is>
          <t>D-90</t>
        </is>
      </c>
      <c r="H38" s="45" t="inlineStr">
        <is>
          <t>공사전 선행공종에서 인수받을 사항</t>
        </is>
      </c>
      <c r="I38" s="42" t="inlineStr">
        <is>
          <t>현장 사업단 / 공무팀</t>
        </is>
      </c>
      <c r="J38" s="42" t="inlineStr">
        <is>
          <t>본 과업은 도급분 및 위수탁분 지장물 이설 공사비 변동에 따른 총사업비 변경 계약을 체결하고, 발주처 정식 변경 공문을 수령하여 변경 예산 확보를 완수하는 것을 목적으로 함.</t>
        </is>
      </c>
      <c r="K38" s="58" t="inlineStr">
        <is>
          <t>1) 설계변경 총사업비 산정 ➔ 2) 도급/위수탁 변경 변경 수속 ➔ 3) 발주처 변경 공문 수령 ➔ 4) 설계변경 정산 최종 승인</t>
        </is>
      </c>
      <c r="L38" s="42" t="inlineStr">
        <is>
          <t>설계변경 총사업비 산정, 도급/위수탁 변경 변경 수속 및 발주처 변경 공문 수령</t>
        </is>
      </c>
      <c r="M38" s="26" t="inlineStr">
        <is>
          <t>본 과업은 도급분 및 위수탁분 지장물 이설 공사비 변동에 따른 총사업비 변경 계약을 체결하고, 발주처 정식 변경 공문을 수령하여 변경 예산 확보를 완수하는 것을 목적으로 함.</t>
        </is>
      </c>
      <c r="N38" s="75">
        <f>HYPERLINK(LEFT(CELL("filename",A1),FIND("[",CELL("filename",A1))-1)&amp;"3.지장물이설\20_이설 위치 토공 굴착\표준서\20_이설 위치 토공 굴착_표준서.html", "👉 [클릭] 표준서 열기 📄")</f>
        <v/>
      </c>
      <c r="O38" s="26" t="inlineStr">
        <is>
          <t>1) 설계변경 총사업비 산정 ➔ 2) 도급/위수탁 변경 변경 수속 ➔ 3) 발주처 변경 공문 수령 ➔ 4) 설계변경 정산 최종 승인</t>
        </is>
      </c>
      <c r="P38" s="76">
        <f>HYPERLINK(LEFT(CELL("filename",A1),FIND("[",CELL("filename",A1))-1)&amp;"3.지장물이설\20_이설 위치 토공 굴착\수행지침\수행지침.html", "👉 [클릭] 수행지침 열기 📄")</f>
        <v/>
      </c>
      <c r="Q38" s="28" t="inlineStr">
        <is>
          <t>설계변경 총사업비 산정, 도급/위수탁 변경 변경 수속 및 발주처 변경 공문 수령</t>
        </is>
      </c>
      <c r="R38" s="77">
        <f>HYPERLINK(LEFT(CELL("filename",A1),FIND("[",CELL("filename",A1))-1)&amp;"3.지장물이설\20_이설 위치 토공 굴착\체크리스트\이설 위치 토공 굴착_체크리스트.html", "👉 [클릭] 체크리스트 열기 📄")</f>
        <v/>
      </c>
      <c r="T38" s="70" t="inlineStr">
        <is>
          <t>선후행 공종 인수인계 규정</t>
        </is>
      </c>
      <c r="U38" s="54" t="inlineStr">
        <is>
          <t>선행 인수 미비로 인한 이설 중단 리스크 방지</t>
        </is>
      </c>
      <c r="V38" s="42" t="inlineStr">
        <is>
          <t>선행 공종 책임 감리원</t>
        </is>
      </c>
    </row>
    <row r="39" ht="76.8" customHeight="1">
      <c r="A39" s="42" t="inlineStr">
        <is>
          <t>2000</t>
        </is>
      </c>
      <c r="B39" s="42" t="inlineStr">
        <is>
          <t>2000-6</t>
        </is>
      </c>
      <c r="C39" s="48" t="inlineStr">
        <is>
          <t>지장뭉 이설</t>
        </is>
      </c>
      <c r="D39" s="22" t="inlineStr">
        <is>
          <t>2000-6-2</t>
        </is>
      </c>
      <c r="E39" s="47">
        <f>D38</f>
        <v/>
      </c>
      <c r="F39" s="47" t="n"/>
      <c r="G39" s="22" t="inlineStr">
        <is>
          <t>D+100</t>
        </is>
      </c>
      <c r="H39" s="45" t="inlineStr">
        <is>
          <t>공사중 챙겨야할 후행공종의 요구사항</t>
        </is>
      </c>
      <c r="I39" s="42" t="inlineStr">
        <is>
          <t>현장 공사팀 / 강화노반팀</t>
        </is>
      </c>
      <c r="J39" s="42" t="inlineStr">
        <is>
          <t>본 과업은 선행 토공 및 지장물 이설 부지의 측량 기준점 및 지반 성과 대장을 인수하여, 후행 노반 및 궤도 공사팀과의 공정 간섭 없는 매끄러운 3자 인계인수를 완료하는 것을 목적으로 함.</t>
        </is>
      </c>
      <c r="K39" s="58" t="inlineStr">
        <is>
          <t>1) 선행 토공 &amp; 측량 성과 인수 ➔ 2) 현장 지장물 인계인수 ➔ 3) 3자 합동 현측 실시 ➔ 4) 인계인수서 3자 서명 완료</t>
        </is>
      </c>
      <c r="L39" s="42" t="inlineStr">
        <is>
          <t>선행 토공 및 측량 성과 인수 대장 작성, 3자 합동 현측 및 인계인수서 서명 완료</t>
        </is>
      </c>
      <c r="M39" s="26" t="inlineStr">
        <is>
          <t>본 과업은 선행 토공 및 지장물 이설 부지의 측량 기준점 및 지반 성과 대장을 인수하여, 후행 노반 및 궤도 공사팀과의 공정 간섭 없는 매끄러운 3자 인계인수를 완료하는 것을 목적으로 함.</t>
        </is>
      </c>
      <c r="N39" s="75">
        <f>HYPERLINK(LEFT(CELL("filename",A1),FIND("[",CELL("filename",A1))-1)&amp;"3.지장물이설\20_하수도 관로 이설 공사\표준서\하수도 관로 이설 공사_표준서.html", "👉 [클릭] 표준서 열기 📄")</f>
        <v/>
      </c>
      <c r="O39" s="26" t="inlineStr">
        <is>
          <t>1) 선행 토공 &amp; 측량 성과 인수 ➔ 2) 현장 지장물 인계인수 ➔ 3) 3자 합동 현측 실시 ➔ 4) 인계인수서 3자 서명 완료</t>
        </is>
      </c>
      <c r="P39" s="76">
        <f>HYPERLINK(LEFT(CELL("filename",A1),FIND("[",CELL("filename",A1))-1)&amp;"3.지장물이설\20_하수도 관로 이설 공사\수행지침\수행지침.html", "👉 [클릭] 수행지침 열기 📄")</f>
        <v/>
      </c>
      <c r="Q39" s="28" t="inlineStr">
        <is>
          <t>선행 토공 및 측량 성과 인수 대장 작성, 3자 합동 현측 및 인계인수서 서명 완료</t>
        </is>
      </c>
      <c r="R39" s="77">
        <f>HYPERLINK(LEFT(CELL("filename",A1),FIND("[",CELL("filename",A1))-1)&amp;"3.지장물이설\20_하수도 관로 이설 공사\체크리스트\하수도 관로 이설 공사_체크리스트.html", "👉 [클릭] 체크리스트 열기 📄")</f>
        <v/>
      </c>
      <c r="T39" s="70" t="inlineStr">
        <is>
          <t>후행 공종 연계 인계 지침</t>
        </is>
      </c>
      <c r="U39" s="54" t="inlineStr">
        <is>
          <t>후행 궤도 시공 시 신규 이설 관로 재간섭 리스크 방지</t>
        </is>
      </c>
      <c r="V39" s="42" t="inlineStr">
        <is>
          <t>후행 강화노반 및 궤도 기술사</t>
        </is>
      </c>
    </row>
    <row r="40">
      <c r="N40" s="78">
        <f>HYPERLINK(LEFT(CELL("filename",A1),FIND("[",CELL("filename",A1))-1)&amp;"3.지장물이설\21_도시가스관 이설 공사\표준서\도시가스관 이설 공사_표준서.html", "👉 [클릭] 표준서 열기 📄")</f>
        <v/>
      </c>
      <c r="P40" s="79">
        <f>HYPERLINK(LEFT(CELL("filename",A1),FIND("[",CELL("filename",A1))-1)&amp;"3.지장물이설\21_도시가스관 이설 공사\수행지침\도시가스관 이설 공사_수행지침.html", "👉 [클릭] 수행지침 열기 📄")</f>
        <v/>
      </c>
      <c r="R40" s="80">
        <f>HYPERLINK(LEFT(CELL("filename",A1),FIND("[",CELL("filename",A1))-1)&amp;"3.지장물이설\21_도시가스관 이설 공사\체크리스트\도시가스관 이설 공사_체크리스트.html", "👉 [클릭] 체크리스트 열기 📄")</f>
        <v/>
      </c>
    </row>
    <row r="41">
      <c r="N41" s="78">
        <f>HYPERLINK(LEFT(CELL("filename",A1),FIND("[",CELL("filename",A1))-1)&amp;"3.지장물이설\21_신규관로 매설 및 설치\표준서\21_신규관로 매설 및 설치_표준서.html", "👉 [클릭] 표준서 열기 📄")</f>
        <v/>
      </c>
      <c r="P41" s="79">
        <f>HYPERLINK(LEFT(CELL("filename",A1),FIND("[",CELL("filename",A1))-1)&amp;"3.지장물이설\21_신규관로 매설 및 설치\수행지침\수행지침.html", "👉 [클릭] 수행지침 열기 📄")</f>
        <v/>
      </c>
      <c r="R41" s="80">
        <f>HYPERLINK(LEFT(CELL("filename",A1),FIND("[",CELL("filename",A1))-1)&amp;"3.지장물이설\21_신규관로 매설 및 설치\체크리스트\신규관로 매설 및 설치_체크리스트.html", "👉 [클릭] 체크리스트 열기 📄")</f>
        <v/>
      </c>
    </row>
    <row r="42">
      <c r="N42" s="78">
        <f>HYPERLINK(LEFT(CELL("filename",A1),FIND("[",CELL("filename",A1))-1)&amp;"3.지장물이설\22_무단수 연결을 위한 시설 설치\표준서\22_무단수 연결을 위한 시설 설치_표준서.html", "👉 [클릭] 표준서 열기 📄")</f>
        <v/>
      </c>
      <c r="P42" s="79">
        <f>HYPERLINK(LEFT(CELL("filename",A1),FIND("[",CELL("filename",A1))-1)&amp;"3.지장물이설\22_무단수 연결을 위한 시설 설치\수행지침\무단수 연결을 위한 시설 설치_수행지침.html", "👉 [클릭] 수행지침 열기 📄")</f>
        <v/>
      </c>
      <c r="R42" s="80">
        <f>HYPERLINK(LEFT(CELL("filename",A1),FIND("[",CELL("filename",A1))-1)&amp;"3.지장물이설\22_무단수 연결을 위한 시설 설치\체크리스트\무단수 연결을 위한 시설 설치_체크리스트.html", "👉 [클릭] 체크리스트 열기 📄")</f>
        <v/>
      </c>
    </row>
    <row r="43">
      <c r="I43" s="59" t="n"/>
      <c r="N43" s="78">
        <f>HYPERLINK(LEFT(CELL("filename",A1),FIND("[",CELL("filename",A1))-1)&amp;"3.지장물이설\22_지역난방관 이설 공사\표준서\지역난방관 이설 공사_표준서.html", "👉 [클릭] 표준서 열기 📄")</f>
        <v/>
      </c>
      <c r="P43" s="79">
        <f>HYPERLINK(LEFT(CELL("filename",A1),FIND("[",CELL("filename",A1))-1)&amp;"3.지장물이설\22_지역난방관 이설 공사\수행지침\수행지침.html", "👉 [클릭] 수행지침 열기 📄")</f>
        <v/>
      </c>
      <c r="R43" s="80">
        <f>HYPERLINK(LEFT(CELL("filename",A1),FIND("[",CELL("filename",A1))-1)&amp;"3.지장물이설\22_지역난방관 이설 공사\체크리스트\지역난방관 이설 공사_체크리스트.html", "👉 [클릭] 체크리스트 열기 📄")</f>
        <v/>
      </c>
    </row>
    <row r="44">
      <c r="I44" s="59" t="n"/>
      <c r="N44" s="78">
        <f>HYPERLINK(LEFT(CELL("filename",A1),FIND("[",CELL("filename",A1))-1)&amp;"3.지장물이설\23_신규관로 및 연결관로 접속\표준서\23_신규관로 및 연결관로 접속_표준서.html", "👉 [클릭] 표준서 열기 📄")</f>
        <v/>
      </c>
      <c r="P44" s="79">
        <f>HYPERLINK(LEFT(CELL("filename",A1),FIND("[",CELL("filename",A1))-1)&amp;"3.지장물이설\23_신규관로 및 연결관로 접속\수행지침\수행지침.html", "👉 [클릭] 수행지침 열기 📄")</f>
        <v/>
      </c>
      <c r="R44" s="80">
        <f>HYPERLINK(LEFT(CELL("filename",A1),FIND("[",CELL("filename",A1))-1)&amp;"3.지장물이설\23_신규관로 및 연결관로 접속\체크리스트\신규관로 및 연결관로 접속_체크리스트.html", "👉 [클릭] 체크리스트 열기 📄")</f>
        <v/>
      </c>
    </row>
    <row r="45" ht="22.8" customHeight="1">
      <c r="I45" s="61" t="n"/>
      <c r="N45" s="78">
        <f>HYPERLINK(LEFT(CELL("filename",A1),FIND("[",CELL("filename",A1))-1)&amp;"3.지장물이설\23_통신관로 및 케이블 이설 공사\표준서\통신관로 및 케이블 이설 공사_표준서.html", "👉 [클릭] 표준서 열기 📄")</f>
        <v/>
      </c>
      <c r="P45" s="79">
        <f>HYPERLINK(LEFT(CELL("filename",A1),FIND("[",CELL("filename",A1))-1)&amp;"3.지장물이설\23_통신관로 및 케이블 이설 공사\수행지침\수행지침.html", "👉 [클릭] 수행지침 열기 📄")</f>
        <v/>
      </c>
      <c r="R45" s="80">
        <f>HYPERLINK(LEFT(CELL("filename",A1),FIND("[",CELL("filename",A1))-1)&amp;"3.지장물이설\23_통신관로 및 케이블 이설 공사\체크리스트\통신관로 및 케이블 이설 공사_체크리스트.html", "👉 [클릭] 체크리스트 열기 📄")</f>
        <v/>
      </c>
    </row>
    <row r="46">
      <c r="I46" s="59" t="n"/>
      <c r="N46" s="78">
        <f>HYPERLINK(LEFT(CELL("filename",A1),FIND("[",CELL("filename",A1))-1)&amp;"3.지장물이설\24_기존관로 철거 및 원상복구\표준서\24_기존관로 철거 및 원상복구_표준서.html", "👉 [클릭] 표준서 열기 📄")</f>
        <v/>
      </c>
      <c r="P46" s="79">
        <f>HYPERLINK(LEFT(CELL("filename",A1),FIND("[",CELL("filename",A1))-1)&amp;"3.지장물이설\24_기존관로 철거 및 원상복구\수행지침\기존관로 철거 및 원상복구_수행지침.html", "👉 [클릭] 수행지침 열기 📄")</f>
        <v/>
      </c>
      <c r="R46" s="80">
        <f>HYPERLINK(LEFT(CELL("filename",A1),FIND("[",CELL("filename",A1))-1)&amp;"3.지장물이설\24_기존관로 철거 및 원상복구\체크리스트\기존관로 철거 및 원상복구_체크리스트.html", "👉 [클릭] 체크리스트 열기 📄")</f>
        <v/>
      </c>
    </row>
    <row r="47">
      <c r="I47" s="62" t="n"/>
      <c r="N47" s="78">
        <f>HYPERLINK(LEFT(CELL("filename",A1),FIND("[",CELL("filename",A1))-1)&amp;"3.지장물이설\24_특고압 전력관로 이설 공사\표준서\특고압 전력관로 이설 공사_표준서.html", "👉 [클릭] 표준서 열기 📄")</f>
        <v/>
      </c>
      <c r="P47" s="79">
        <f>HYPERLINK(LEFT(CELL("filename",A1),FIND("[",CELL("filename",A1))-1)&amp;"3.지장물이설\24_특고압 전력관로 이설 공사\수행지침\수행지침.html", "👉 [클릭] 수행지침 열기 📄")</f>
        <v/>
      </c>
      <c r="R47" s="80">
        <f>HYPERLINK(LEFT(CELL("filename",A1),FIND("[",CELL("filename",A1))-1)&amp;"3.지장물이설\24_특고압 전력관로 이설 공사\체크리스트\특고압 전력관로 이설 공사_체크리스트.html", "👉 [클릭] 체크리스트 열기 📄")</f>
        <v/>
      </c>
    </row>
    <row r="48">
      <c r="I48" s="62" t="n"/>
      <c r="N48" s="78">
        <f>HYPERLINK(LEFT(CELL("filename",A1),FIND("[",CELL("filename",A1))-1)&amp;"3.지장물이설\25_광역상수관 이설 공사\표준서\25_광역상수관 이설 공사_표준서.html", "👉 [클릭] 표준서 열기 📄")</f>
        <v/>
      </c>
      <c r="P48" s="79">
        <f>HYPERLINK(LEFT(CELL("filename",A1),FIND("[",CELL("filename",A1))-1)&amp;"3.지장물이설\25_광역상수관 이설 공사\수행지침\광역상수관 이설 공사_수행지침.html", "👉 [클릭] 수행지침 열기 📄")</f>
        <v/>
      </c>
      <c r="R48" s="80">
        <f>HYPERLINK(LEFT(CELL("filename",A1),FIND("[",CELL("filename",A1))-1)&amp;"3.지장물이설\25_광역상수관 이설 공사\체크리스트\광역상수관 이설 공사_체크리스트.html", "👉 [클릭] 체크리스트 열기 📄")</f>
        <v/>
      </c>
    </row>
    <row r="49" ht="22.8" customHeight="1">
      <c r="I49" s="61" t="n"/>
      <c r="N49" s="78">
        <f>HYPERLINK(LEFT(CELL("filename",A1),FIND("[",CELL("filename",A1))-1)&amp;"3.지장물이설\25_송유관 이설 공사\표준서\송유관 이설 공사_표준서.html", "👉 [클릭] 표준서 열기 📄")</f>
        <v/>
      </c>
      <c r="P49" s="79">
        <f>HYPERLINK(LEFT(CELL("filename",A1),FIND("[",CELL("filename",A1))-1)&amp;"3.지장물이설\25_송유관 이설 공사\수행지침\송유관 이설 공사_수행지침.html", "👉 [클릭] 수행지침 열기 📄")</f>
        <v/>
      </c>
      <c r="R49" s="80">
        <f>HYPERLINK(LEFT(CELL("filename",A1),FIND("[",CELL("filename",A1))-1)&amp;"3.지장물이설\25_송유관 이설 공사\체크리스트\송유관 이설 공사_체크리스트.html", "👉 [클릭] 체크리스트 열기 📄")</f>
        <v/>
      </c>
    </row>
    <row r="50">
      <c r="I50" s="59" t="n"/>
      <c r="N50" s="78">
        <f>HYPERLINK(LEFT(CELL("filename",A1),FIND("[",CELL("filename",A1))-1)&amp;"3.지장물이설\26_상수도 관로 이설 공사\표준서\26_상수도 관로 이설 공사_표준서.html", "👉 [클릭] 표준서 열기 📄")</f>
        <v/>
      </c>
      <c r="P50" s="79">
        <f>HYPERLINK(LEFT(CELL("filename",A1),FIND("[",CELL("filename",A1))-1)&amp;"3.지장물이설\26_상수도 관로 이설 공사\수행지침\상수도 관로 이설 공사_수행지침.html", "👉 [클릭] 수행지침 열기 📄")</f>
        <v/>
      </c>
      <c r="R50" s="80">
        <f>HYPERLINK(LEFT(CELL("filename",A1),FIND("[",CELL("filename",A1))-1)&amp;"3.지장물이설\26_상수도 관로 이설 공사\체크리스트\상수도 관로 이설 공사_체크리스트.html", "👉 [클릭] 체크리스트 열기 📄")</f>
        <v/>
      </c>
    </row>
    <row r="51">
      <c r="I51" s="62" t="n"/>
      <c r="N51" s="78">
        <f>HYPERLINK(LEFT(CELL("filename",A1),FIND("[",CELL("filename",A1))-1)&amp;"3.지장물이설\26_상하수도 이설 시공 최종 점검\표준서\상하수도 이설 시공 최종 점검_표준서.html", "👉 [클릭] 표준서 열기 📄")</f>
        <v/>
      </c>
      <c r="P51" s="79">
        <f>HYPERLINK(LEFT(CELL("filename",A1),FIND("[",CELL("filename",A1))-1)&amp;"3.지장물이설\26_상하수도 이설 시공 최종 점검\수행지침\상하수도 이설 시공 최종 점검_수행지침.html", "👉 [클릭] 수행지침 열기 📄")</f>
        <v/>
      </c>
      <c r="R51" s="80">
        <f>HYPERLINK(LEFT(CELL("filename",A1),FIND("[",CELL("filename",A1))-1)&amp;"3.지장물이설\26_상하수도 이설 시공 최종 점검\체크리스트\상하수도 이설 시공 최종 점검_체크리스트.html", "👉 [클릭] 체크리스트 열기 📄")</f>
        <v/>
      </c>
    </row>
    <row r="52">
      <c r="I52" s="62" t="n"/>
      <c r="N52" s="78">
        <f>HYPERLINK(LEFT(CELL("filename",A1),FIND("[",CELL("filename",A1))-1)&amp;"3.지장물이설\27_위수탁 지하지장물 이설 최종 점검\표준서\위수탁 지하지장물 이설 최종 점검_표준서.html", "👉 [클릭] 표준서 열기 📄")</f>
        <v/>
      </c>
      <c r="P52" s="79">
        <f>HYPERLINK(LEFT(CELL("filename",A1),FIND("[",CELL("filename",A1))-1)&amp;"3.지장물이설\27_위수탁 지하지장물 이설 최종 점검\수행지침\수행지침.html", "👉 [클릭] 수행지침 열기 📄")</f>
        <v/>
      </c>
      <c r="R52" s="80">
        <f>HYPERLINK(LEFT(CELL("filename",A1),FIND("[",CELL("filename",A1))-1)&amp;"3.지장물이설\27_위수탁 지하지장물 이설 최종 점검\체크리스트\위수탁 지하지장물 이설 최종 점검_체크리스트.html", "👉 [클릭] 체크리스트 열기 📄")</f>
        <v/>
      </c>
    </row>
    <row r="53" ht="22.8" customHeight="1">
      <c r="I53" s="61" t="n"/>
      <c r="N53" s="78">
        <f>HYPERLINK(LEFT(CELL("filename",A1),FIND("[",CELL("filename",A1))-1)&amp;"3.지장물이설\27_하수도 관로 이설 공사\표준서\27_하수도 관로 이설 공사_표준서.html", "👉 [클릭] 표준서 열기 📄")</f>
        <v/>
      </c>
      <c r="P53" s="79">
        <f>HYPERLINK(LEFT(CELL("filename",A1),FIND("[",CELL("filename",A1))-1)&amp;"3.지장물이설\27_하수도 관로 이설 공사\수행지침\수행지침.html", "👉 [클릭] 수행지침 열기 📄")</f>
        <v/>
      </c>
      <c r="R53" s="80">
        <f>HYPERLINK(LEFT(CELL("filename",A1),FIND("[",CELL("filename",A1))-1)&amp;"3.지장물이설\27_하수도 관로 이설 공사\체크리스트\하수도 관로 이설 공사_체크리스트.html", "👉 [클릭] 체크리스트 열기 📄")</f>
        <v/>
      </c>
    </row>
    <row r="54">
      <c r="I54" s="59" t="n"/>
      <c r="N54" s="78">
        <f>HYPERLINK(LEFT(CELL("filename",A1),FIND("[",CELL("filename",A1))-1)&amp;"3.지장물이설\28_도시가스관 이설 공사\표준서\28_도시가스관 이설 공사_표준서.html", "👉 [클릭] 표준서 열기 📄")</f>
        <v/>
      </c>
      <c r="P54" s="79">
        <f>HYPERLINK(LEFT(CELL("filename",A1),FIND("[",CELL("filename",A1))-1)&amp;"3.지장물이설\28_도시가스관 이설 공사\수행지침\도시가스관 이설 공사_수행지침.html", "👉 [클릭] 수행지침 열기 📄")</f>
        <v/>
      </c>
      <c r="R54" s="80">
        <f>HYPERLINK(LEFT(CELL("filename",A1),FIND("[",CELL("filename",A1))-1)&amp;"3.지장물이설\28_도시가스관 이설 공사\체크리스트\도시가스관 이설 공사_체크리스트.html", "👉 [클릭] 체크리스트 열기 📄")</f>
        <v/>
      </c>
    </row>
    <row r="55">
      <c r="I55" s="62" t="n"/>
      <c r="N55" s="78">
        <f>HYPERLINK(LEFT(CELL("filename",A1),FIND("[",CELL("filename",A1))-1)&amp;"3.지장물이설\28_상하수도 이설 정산 금액 검토\표준서\상하수도 이설 정산 금액 검토_표준서.html", "👉 [클릭] 표준서 열기 📄")</f>
        <v/>
      </c>
      <c r="P55" s="79">
        <f>HYPERLINK(LEFT(CELL("filename",A1),FIND("[",CELL("filename",A1))-1)&amp;"3.지장물이설\28_상하수도 이설 정산 금액 검토\수행지침\상하수도 이설 정산 금액 검토_수행지침.html", "👉 [클릭] 수행지침 열기 📄")</f>
        <v/>
      </c>
      <c r="R55" s="80">
        <f>HYPERLINK(LEFT(CELL("filename",A1),FIND("[",CELL("filename",A1))-1)&amp;"3.지장물이설\28_상하수도 이설 정산 금액 검토\체크리스트\상하수도 이설 정산 금액 검토_체크리스트.html", "👉 [클릭] 체크리스트 열기 📄")</f>
        <v/>
      </c>
    </row>
    <row r="56">
      <c r="I56" s="62" t="n"/>
      <c r="N56" s="78">
        <f>HYPERLINK(LEFT(CELL("filename",A1),FIND("[",CELL("filename",A1))-1)&amp;"3.지장물이설\29_위수탁 처리 정산금액 지급\표준서\위수탁 처리 정산금액 지급_표준서.html", "👉 [클릭] 표준서 열기 📄")</f>
        <v/>
      </c>
      <c r="P56" s="79">
        <f>HYPERLINK(LEFT(CELL("filename",A1),FIND("[",CELL("filename",A1))-1)&amp;"3.지장물이설\29_위수탁 처리 정산금액 지급\수행지침\수행지침.html", "👉 [클릭] 수행지침 열기 📄")</f>
        <v/>
      </c>
      <c r="R56" s="80">
        <f>HYPERLINK(LEFT(CELL("filename",A1),FIND("[",CELL("filename",A1))-1)&amp;"3.지장물이설\29_위수탁 처리 정산금액 지급\체크리스트\위수탁 처리 정산금액 지급_체크리스트.html", "👉 [클릭] 체크리스트 열기 📄")</f>
        <v/>
      </c>
    </row>
    <row r="57" ht="22.8" customHeight="1">
      <c r="I57" s="61" t="n"/>
      <c r="N57" s="78">
        <f>HYPERLINK(LEFT(CELL("filename",A1),FIND("[",CELL("filename",A1))-1)&amp;"3.지장물이설\29_지역난방관 이설 공사\표준서\29_지역난방관 이설 공사_표준서.html", "👉 [클릭] 표준서 열기 📄")</f>
        <v/>
      </c>
      <c r="P57" s="79">
        <f>HYPERLINK(LEFT(CELL("filename",A1),FIND("[",CELL("filename",A1))-1)&amp;"3.지장물이설\29_지역난방관 이설 공사\수행지침\수행지침.html", "👉 [클릭] 수행지침 열기 📄")</f>
        <v/>
      </c>
      <c r="R57" s="80">
        <f>HYPERLINK(LEFT(CELL("filename",A1),FIND("[",CELL("filename",A1))-1)&amp;"3.지장물이설\29_지역난방관 이설 공사\체크리스트\지역난방관 이설 공사_체크리스트.html", "👉 [클릭] 체크리스트 열기 📄")</f>
        <v/>
      </c>
    </row>
    <row r="58">
      <c r="I58" s="59" t="n"/>
      <c r="N58" s="78">
        <f>HYPERLINK(LEFT(CELL("filename",A1),FIND("[",CELL("filename",A1))-1)&amp;"3.지장물이설\30_도급자분_위수탁분 설계변경 정산\표준서\도급자분_위수탁분 설계변경 정산_표준서.html", "👉 [클릭] 표준서 열기 📄")</f>
        <v/>
      </c>
      <c r="P58" s="79">
        <f>HYPERLINK(LEFT(CELL("filename",A1),FIND("[",CELL("filename",A1))-1)&amp;"3.지장물이설\30_도급자분_위수탁분 설계변경 정산\수행지침\도급자분 이설업체 선정(상_하수)_수행지침.html", "👉 [클릭] 수행지침 열기 📄")</f>
        <v/>
      </c>
      <c r="R58" s="80">
        <f>HYPERLINK(LEFT(CELL("filename",A1),FIND("[",CELL("filename",A1))-1)&amp;"3.지장물이설\30_도급자분_위수탁분 설계변경 정산\체크리스트\도급자분_위수탁분 설계변경 정산_체크리스트.html", "👉 [클릭] 체크리스트 열기 📄")</f>
        <v/>
      </c>
    </row>
    <row r="59">
      <c r="I59" s="62" t="n"/>
      <c r="N59" s="78">
        <f>HYPERLINK(LEFT(CELL("filename",A1),FIND("[",CELL("filename",A1))-1)&amp;"3.지장물이설\30_통신관로 및 케이블 이설 공사\표준서\30_통신관로 및 케이블 이설 공사_표준서.html", "👉 [클릭] 표준서 열기 📄")</f>
        <v/>
      </c>
      <c r="P59" s="79">
        <f>HYPERLINK(LEFT(CELL("filename",A1),FIND("[",CELL("filename",A1))-1)&amp;"3.지장물이설\30_통신관로 및 케이블 이설 공사\수행지침\수행지침.html", "👉 [클릭] 수행지침 열기 📄")</f>
        <v/>
      </c>
      <c r="R59" s="80">
        <f>HYPERLINK(LEFT(CELL("filename",A1),FIND("[",CELL("filename",A1))-1)&amp;"3.지장물이설\30_통신관로 및 케이블 이설 공사\체크리스트\통신관로 및 케이블 이설 공사_체크리스트.html", "👉 [클릭] 체크리스트 열기 📄")</f>
        <v/>
      </c>
    </row>
    <row r="60">
      <c r="I60" s="62" t="n"/>
      <c r="N60" s="78">
        <f>HYPERLINK(LEFT(CELL("filename",A1),FIND("[",CELL("filename",A1))-1)&amp;"3.지장물이설\31_특고압 전력관로 이설 공사\표준서\31_특고압 전력관로 이설 공사_표준서.html", "👉 [클릭] 표준서 열기 📄")</f>
        <v/>
      </c>
      <c r="P60" s="79">
        <f>HYPERLINK(LEFT(CELL("filename",A1),FIND("[",CELL("filename",A1))-1)&amp;"3.지장물이설\31_특고압 전력관로 이설 공사\수행지침\수행지침.html", "👉 [클릭] 수행지침 열기 📄")</f>
        <v/>
      </c>
      <c r="R60" s="80">
        <f>HYPERLINK(LEFT(CELL("filename",A1),FIND("[",CELL("filename",A1))-1)&amp;"3.지장물이설\31_특고압 전력관로 이설 공사\체크리스트\특고압 전력관로 이설 공사_체크리스트.html", "👉 [클릭] 체크리스트 열기 📄")</f>
        <v/>
      </c>
    </row>
    <row r="61">
      <c r="I61" s="62" t="n"/>
      <c r="N61" s="78">
        <f>HYPERLINK(LEFT(CELL("filename",A1),FIND("[",CELL("filename",A1))-1)&amp;"3.지장물이설\32_송유관 이설 공사\표준서\32_송유관 이설 공사_표준서.html", "👉 [클릭] 표준서 열기 📄")</f>
        <v/>
      </c>
      <c r="P61" s="79">
        <f>HYPERLINK(LEFT(CELL("filename",A1),FIND("[",CELL("filename",A1))-1)&amp;"3.지장물이설\32_송유관 이설 공사\수행지침\상하수도 이설 시공 최종 점검_수행지침.html", "👉 [클릭] 수행지침 열기 📄")</f>
        <v/>
      </c>
      <c r="R61" s="80">
        <f>HYPERLINK(LEFT(CELL("filename",A1),FIND("[",CELL("filename",A1))-1)&amp;"3.지장물이설\32_송유관 이설 공사\체크리스트\상하수도 이설 시공 최종 점검_체크리스트.html", "👉 [클릭] 체크리스트 열기 📄")</f>
        <v/>
      </c>
    </row>
    <row r="62">
      <c r="I62" s="63" t="n"/>
      <c r="N62" s="78">
        <f>HYPERLINK(LEFT(CELL("filename",A1),FIND("[",CELL("filename",A1))-1)&amp;"3.지장물이설\33_상하수도 이설 시공 최종 점검\표준서\33_상하수도 이설 시공 최종 점검_표준서.html", "👉 [클릭] 표준서 열기 📄")</f>
        <v/>
      </c>
      <c r="P62" s="79">
        <f>HYPERLINK(LEFT(CELL("filename",A1),FIND("[",CELL("filename",A1))-1)&amp;"3.지장물이설\33_상하수도 이설 시공 최종 점검\수행지침\상하수도 이설 시공 최종 점검_수행지침.html", "👉 [클릭] 수행지침 열기 📄")</f>
        <v/>
      </c>
      <c r="R62" s="80">
        <f>HYPERLINK(LEFT(CELL("filename",A1),FIND("[",CELL("filename",A1))-1)&amp;"3.지장물이설\33_상하수도 이설 시공 최종 점검\체크리스트\위수탁 지하지장물 이설 최종 점검_체크리스트.html", "👉 [클릭] 체크리스트 열기 📄")</f>
        <v/>
      </c>
    </row>
  </sheetData>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9" min="0" max="38" man="1"/>
  </colBreaks>
</worksheet>
</file>

<file path=xl/worksheets/sheet4.xml><?xml version="1.0" encoding="utf-8"?>
<worksheet xmlns="http://schemas.openxmlformats.org/spreadsheetml/2006/main">
  <sheetPr codeName="Sheet4">
    <tabColor rgb="FFFFFF00"/>
    <outlinePr summaryBelow="1" summaryRight="1"/>
    <pageSetUpPr/>
  </sheetPr>
  <dimension ref="A1:S39"/>
  <sheetViews>
    <sheetView view="pageBreakPreview" zoomScale="55" zoomScaleNormal="55" zoomScaleSheetLayoutView="55" workbookViewId="0">
      <pane xSplit="1" ySplit="1" topLeftCell="B27" activePane="bottomRight" state="frozen"/>
      <selection pane="topRight" activeCell="B1" sqref="B1"/>
      <selection pane="bottomLeft" activeCell="A2" sqref="A2"/>
      <selection pane="bottomRight" activeCell="J29" sqref="J29"/>
    </sheetView>
  </sheetViews>
  <sheetFormatPr baseColWidth="8" defaultRowHeight="19.2"/>
  <cols>
    <col width="8.796875" customWidth="1" style="42" min="1" max="2"/>
    <col width="17.09765625" customWidth="1" style="22" min="3" max="3"/>
    <col width="16" customWidth="1" style="22" min="4" max="6"/>
    <col width="23.296875" customWidth="1" style="45" min="7" max="7"/>
    <col width="26.09765625" customWidth="1" style="22" min="8" max="8"/>
    <col width="21.09765625" customWidth="1" style="22" min="9" max="9"/>
    <col width="51.59765625" customWidth="1" style="42" min="10" max="11"/>
    <col width="24" customWidth="1" style="42" min="12" max="12"/>
    <col width="45" customWidth="1" style="42" min="13" max="13"/>
    <col width="14.3984375" customWidth="1" style="42" min="14" max="14"/>
    <col width="45" customWidth="1" style="42" min="15" max="15"/>
    <col width="14.3984375" customWidth="1" style="42" min="16" max="16"/>
    <col width="45" customWidth="1" style="42" min="17" max="17"/>
    <col width="11.8984375" customWidth="1" style="42" min="18" max="18"/>
    <col width="18.09765625" customWidth="1" style="42" min="19" max="19"/>
    <col width="45" customWidth="1" style="42" min="20" max="34"/>
    <col width="8.796875" customWidth="1" style="42" min="35" max="70"/>
    <col width="8.796875" customWidth="1" style="42" min="71" max="16384"/>
  </cols>
  <sheetData>
    <row r="1" ht="76.8" customFormat="1" customHeight="1" s="22">
      <c r="A1" s="12" t="inlineStr">
        <is>
          <t>L2 코드</t>
        </is>
      </c>
      <c r="B1" s="12" t="inlineStr">
        <is>
          <t>L3 코드</t>
        </is>
      </c>
      <c r="C1" s="12" t="inlineStr">
        <is>
          <t>L3 대공종명</t>
        </is>
      </c>
      <c r="D1" s="12" t="inlineStr">
        <is>
          <t>L4 코드</t>
        </is>
      </c>
      <c r="E1" s="6" t="inlineStr">
        <is>
          <t>선행</t>
        </is>
      </c>
      <c r="F1" s="6" t="inlineStr">
        <is>
          <t>후행</t>
        </is>
      </c>
      <c r="G1" s="12" t="inlineStr">
        <is>
          <t>일정 (D-Day)</t>
        </is>
      </c>
      <c r="H1" s="12" t="inlineStr">
        <is>
          <t>작업단위 (Level 4 Task/Activity)</t>
        </is>
      </c>
      <c r="I1" s="12" t="inlineStr">
        <is>
          <t>주관</t>
        </is>
      </c>
      <c r="J1" s="12" t="inlineStr">
        <is>
          <t>목적</t>
        </is>
      </c>
      <c r="K1" s="12" t="inlineStr">
        <is>
          <t>방법</t>
        </is>
      </c>
      <c r="L1" s="12" t="inlineStr">
        <is>
          <t>산출물(결과)</t>
        </is>
      </c>
      <c r="M1" s="12" t="inlineStr">
        <is>
          <t>표준서 (Standard) 요약</t>
        </is>
      </c>
      <c r="N1" s="14" t="inlineStr">
        <is>
          <t>표준서 파일 (HTML)</t>
        </is>
      </c>
      <c r="O1" s="12" t="inlineStr">
        <is>
          <t>수행지침 (Guideline) 요약</t>
        </is>
      </c>
      <c r="P1" s="14" t="inlineStr">
        <is>
          <t>수행지침 파일 (HTML)</t>
        </is>
      </c>
      <c r="Q1" s="12" t="inlineStr">
        <is>
          <t>체크리스트 (Checklist) 요약</t>
        </is>
      </c>
      <c r="R1" s="14" t="inlineStr">
        <is>
          <t>체크리스트 파일 (HTML)</t>
        </is>
      </c>
      <c r="S1" s="12" t="inlineStr">
        <is>
          <t xml:space="preserve"> 비고</t>
        </is>
      </c>
    </row>
    <row r="2" ht="118.8" customHeight="1">
      <c r="A2" s="47" t="inlineStr">
        <is>
          <t>9000</t>
        </is>
      </c>
      <c r="B2" s="47" t="inlineStr">
        <is>
          <t>9000-7</t>
        </is>
      </c>
      <c r="C2" s="47" t="inlineStr">
        <is>
          <t>상부강화노반</t>
        </is>
      </c>
      <c r="D2" s="47" t="inlineStr">
        <is>
          <t>9000-7-1</t>
        </is>
      </c>
      <c r="E2" s="47" t="n"/>
      <c r="F2" s="47">
        <f>D3</f>
        <v/>
      </c>
      <c r="G2" s="47" t="inlineStr">
        <is>
          <t>D-100</t>
        </is>
      </c>
      <c r="H2" s="47" t="inlineStr">
        <is>
          <t>지반조사 상세검토</t>
        </is>
      </c>
      <c r="I2" s="47" t="inlineStr">
        <is>
          <t>현장 공사팀</t>
        </is>
      </c>
      <c r="J2" s="49" t="inlineStr">
        <is>
          <t>본 과업은 동탄트램 선로 하부 지반의 지질 구조 및 지층 분포 상태를 정밀 분석하여, 노면 매립 궤도 및 상부강화노반의 불등침하 방지와 지반 지지력 확보를 위한 최적의 지반 개량 공법(PVD/DCM)을 확정하는 것을 목적으로 함.</t>
        </is>
      </c>
      <c r="K2" s="49" t="inlineStr">
        <is>
          <t>1) 시추 주상도 &amp; GPR 3D 매핑 분석 ➔ 2) N치 &lt; 4 연약지반 심도 경계 추출 ➔ 3) PVD/DCM 개량 공법 검토 ➔ 4) 기술사 서명 지반조사 보고서 감리 승인</t>
        </is>
      </c>
      <c r="L2" s="49" t="inlineStr">
        <is>
          <t>시추 주상도 대조, GPR 지중 탐사 3D 매핑 및 N치 &lt; 4 연약지반 층후 경출 (PVD/DCM 개량 승인)</t>
        </is>
      </c>
      <c r="M2" s="49" t="inlineStr">
        <is>
          <t>본 과업은 동탄트램 선로 하부 지반의 지질 구조 및 지층 분포 상태를 정밀 분석하여, 노면 매립 궤도 및 상부강화노반의 불등침하 방지와 지반 지지력 확보를 위한 최적의 지반 개량 공법(PVD/DCM)을 확정하는 것을 목적으로 함.</t>
        </is>
      </c>
      <c r="N2" s="75">
        <f>HYPERLINK(LEFT(CELL("filename",A1),FIND("[",CELL("filename",A1))-1)&amp;"4.상부강화노반\1_지반조사 상세검토\표준서\지반조사 상세검토_표준서.html", "👉 [클릭] 표준서 열기 📄")</f>
        <v/>
      </c>
      <c r="O2" s="49" t="inlineStr">
        <is>
          <t>1) 시추 주상도 &amp; GPR 3D 매핑 분석 ➔ 2) N치 &lt; 4 연약지반 심도 경계 추출 ➔ 3) PVD/DCM 개량 공법 검토 ➔ 4) 기술사 서명 지반조사 보고서 감리 승인</t>
        </is>
      </c>
      <c r="P2" s="76">
        <f>HYPERLINK(LEFT(CELL("filename",A1),FIND("[",CELL("filename",A1))-1)&amp;"4.상부강화노반\1_지반조사 상세검토\수행지침\지반조사 상세검토_수행지침.html", "👉 [클릭] 수행지침 열기 📄")</f>
        <v/>
      </c>
      <c r="Q2" s="49" t="inlineStr">
        <is>
          <t>시추 주상도 대조, GPR 지중 탐사 3D 매핑 및 N치 &lt; 4 연약지반 층후 경출 (PVD/DCM 개량 승인)</t>
        </is>
      </c>
      <c r="R2" s="77">
        <f>HYPERLINK(LEFT(CELL("filename",A1),FIND("[",CELL("filename",A1))-1)&amp;"4.상부강화노반\1_지반조사 상세검토\체크리스트\지반조사 상세검토_체크리스트.html", "👉 [클릭] 체크리스트 열기 📄")</f>
        <v/>
      </c>
      <c r="S2" s="47" t="n"/>
    </row>
    <row r="3" ht="166.2" customHeight="1">
      <c r="A3" s="47" t="inlineStr">
        <is>
          <t>9000</t>
        </is>
      </c>
      <c r="B3" s="47" t="inlineStr">
        <is>
          <t>9000-7</t>
        </is>
      </c>
      <c r="C3" s="47" t="inlineStr">
        <is>
          <t>상부강화노반</t>
        </is>
      </c>
      <c r="D3" s="47" t="inlineStr">
        <is>
          <t>9000-7-2</t>
        </is>
      </c>
      <c r="E3" s="47">
        <f>D2</f>
        <v/>
      </c>
      <c r="F3" s="47">
        <f>D4</f>
        <v/>
      </c>
      <c r="G3" s="47" t="inlineStr">
        <is>
          <t>D-70</t>
        </is>
      </c>
      <c r="H3" s="47" t="inlineStr">
        <is>
          <t>발주전략 KOM</t>
        </is>
      </c>
      <c r="I3" s="47" t="inlineStr">
        <is>
          <t>현장소장</t>
        </is>
      </c>
      <c r="J3" s="49" t="inlineStr">
        <is>
          <t>본 과업은 상부강화노반 시공 착수 전 발주처·감리단·시공사 간 기술 요구사항과 3D BIM 도면의 표고/구배 기준을 명확히 공유하고, 지장물 및 용지 리스크에 대한 예비비 수립 등 공사 수행 전반의 품질 및 공기 리스크를 사전 예방하는 것을 목적으로 함.</t>
        </is>
      </c>
      <c r="K3" s="49" t="inlineStr">
        <is>
          <t>1) 발주처 시방서 요구조건 분석 ➔ 2) 3D BIM 도면 표고/구배 검증 ➔ 3) 지장물/용지 리스크 예비비 수립 ➔ 4) 발주·감리·시공 3자 킥오프 결재</t>
        </is>
      </c>
      <c r="L3" s="49" t="inlineStr">
        <is>
          <t>KCS 47 10 25 시방 검토, 쇄석 입도 50mm/다짐도 95% 명시 및 3D BIM 도면 대조 (발주전략 킥오프 결재)</t>
        </is>
      </c>
      <c r="M3" s="49" t="inlineStr">
        <is>
          <t>본 과업은 상부강화노반 시공 착수 전 발주처·감리단·시공사 간 기술 요구사항과 3D BIM 도면의 표고/구배 기준을 명확히 공유하고, 지장물 및 용지 리스크에 대한 예비비 수립 등 공사 수행 전반의 품질 및 공기 리스크를 사전 예방하는 것을 목적으로 함.</t>
        </is>
      </c>
      <c r="N3" s="75">
        <f>HYPERLINK(LEFT(CELL("filename",A1),FIND("[",CELL("filename",A1))-1)&amp;"4.상부강화노반\2_발주전략 KOM\표준서\발주전략 KOM_표준서.html", "👉 [클릭] 표준서 열기 📄")</f>
        <v/>
      </c>
      <c r="O3" s="49" t="inlineStr">
        <is>
          <t>1) 발주처 시방서 요구조건 분석 ➔ 2) 3D BIM 도면 표고/구배 검증 ➔ 3) 지장물/용지 리스크 예비비 수립 ➔ 4) 발주·감리·시공 3자 킥오프 결재</t>
        </is>
      </c>
      <c r="P3" s="76">
        <f>HYPERLINK(LEFT(CELL("filename",A1),FIND("[",CELL("filename",A1))-1)&amp;"4.상부강화노반\2_발주전략 KOM\수행지침\발주전략 KOM_수행지침.html", "👉 [클릭] 수행지침 열기 📄")</f>
        <v/>
      </c>
      <c r="Q3" s="49" t="inlineStr">
        <is>
          <t>KCS 47 10 25 시방 검토, 쇄석 입도 50mm/다짐도 95% 명시 및 3D BIM 도면 대조 (발주전략 킥오프 결재)</t>
        </is>
      </c>
      <c r="R3" s="77">
        <f>HYPERLINK(LEFT(CELL("filename",A1),FIND("[",CELL("filename",A1))-1)&amp;"4.상부강화노반\2_발주전략 KOM\체크리스트\발주전략 KOM_체크리스트.html", "👉 [클릭] 체크리스트 열기 📄")</f>
        <v/>
      </c>
      <c r="S3" s="47" t="n"/>
    </row>
    <row r="4" ht="96" customHeight="1">
      <c r="A4" s="47" t="inlineStr">
        <is>
          <t>9000</t>
        </is>
      </c>
      <c r="B4" s="47" t="inlineStr">
        <is>
          <t>9000-7</t>
        </is>
      </c>
      <c r="C4" s="47" t="inlineStr">
        <is>
          <t>상부강화노반</t>
        </is>
      </c>
      <c r="D4" s="47" t="inlineStr">
        <is>
          <t>9000-7-3</t>
        </is>
      </c>
      <c r="E4" s="47">
        <f>D3</f>
        <v/>
      </c>
      <c r="F4" s="47">
        <f>D5</f>
        <v/>
      </c>
      <c r="G4" s="47" t="inlineStr">
        <is>
          <t>D-60 (D-70~D-60)</t>
        </is>
      </c>
      <c r="H4" s="47" t="inlineStr">
        <is>
          <t>철도보호지구에서의 행위신고(필요시)</t>
        </is>
      </c>
      <c r="I4" s="47" t="inlineStr">
        <is>
          <t>현장 공사팀</t>
        </is>
      </c>
      <c r="J4" s="49" t="inlineStr">
        <is>
          <t>본 과업은 기존 운행 중인 철도선로 인접 30m 이내 구역 굴착 시 선로의 변형 및 열차 운행 안전 사고를 방지하기 위해, 철도운영기관과의 사전 행위신고 및 기술 협의를 완료하고 운행선 안전관리 체계를 확보하는 것을 목적으로 함.</t>
        </is>
      </c>
      <c r="K4" s="49" t="inlineStr">
        <is>
          <t>1) 궤도 중심 30m 법정 경계 측량 ➔ 2) 행위신고서/안전계획서 접수 ➔ 3) 관할 철도운영기관 기술 심의 ➔ 4) 운행선안전관리자 현장 1:1 배치</t>
        </is>
      </c>
      <c r="L4" s="49" t="inlineStr">
        <is>
          <t>궤도 중심 30m 법정 경계 측량(오차 ≤ 5mm), 행위신고서 접수 및 운행선안전관리자 1:1 현장 배치</t>
        </is>
      </c>
      <c r="M4" s="49" t="inlineStr">
        <is>
          <t>본 과업은 기존 운행 중인 철도선로 인접 30m 이내 구역 굴착 시 선로의 변형 및 열차 운행 안전 사고를 방지하기 위해, 철도운영기관과의 사전 행위신고 및 기술 협의를 완료하고 운행선 안전관리 체계를 확보하는 것을 목적으로 함.</t>
        </is>
      </c>
      <c r="N4" s="75">
        <f>HYPERLINK(LEFT(CELL("filename",A1),FIND("[",CELL("filename",A1))-1)&amp;"4.상부강화노반\3_철도보호지구에서의 행위신고(필요시)\표준서\철도보호지구 행위신고_표준서.html", "👉 [클릭] 표준서 열기 📄")</f>
        <v/>
      </c>
      <c r="O4" s="49" t="inlineStr">
        <is>
          <t>1) 궤도 중심 30m 법정 경계 측량 ➔ 2) 행위신고서/안전계획서 접수 ➔ 3) 관할 철도운영기관 기술 심의 ➔ 4) 운행선안전관리자 현장 1:1 배치</t>
        </is>
      </c>
      <c r="P4" s="76">
        <f>HYPERLINK(LEFT(CELL("filename",A1),FIND("[",CELL("filename",A1))-1)&amp;"4.상부강화노반\3_철도보호지구에서의 행위신고(필요시)\수행지침\철도보호지구 행위신고_수행지침.html", "👉 [클릭] 수행지침 열기 📄")</f>
        <v/>
      </c>
      <c r="Q4" s="49" t="inlineStr">
        <is>
          <t>궤도 중심 30m 법정 경계 측량(오차 ≤ 5mm), 행위신고서 접수 및 운행선안전관리자 1:1 현장 배치</t>
        </is>
      </c>
      <c r="R4" s="77">
        <f>HYPERLINK(LEFT(CELL("filename",A1),FIND("[",CELL("filename",A1))-1)&amp;"4.상부강화노반\3_철도보호지구에서의 행위신고(필요시)\체크리스트\철도보호지구 행위신고_체크리스트.html", "👉 [클릭] 체크리스트 열기 📄")</f>
        <v/>
      </c>
      <c r="S4" s="47" t="n"/>
    </row>
    <row r="5" ht="96" customHeight="1">
      <c r="A5" s="47" t="inlineStr">
        <is>
          <t>9000</t>
        </is>
      </c>
      <c r="B5" s="47" t="inlineStr">
        <is>
          <t>9000-7</t>
        </is>
      </c>
      <c r="C5" s="47" t="inlineStr">
        <is>
          <t>상부강화노반</t>
        </is>
      </c>
      <c r="D5" s="47" t="inlineStr">
        <is>
          <t>9000-7-4</t>
        </is>
      </c>
      <c r="E5" s="47">
        <f>D4</f>
        <v/>
      </c>
      <c r="F5" s="47">
        <f>D6</f>
        <v/>
      </c>
      <c r="G5" s="47" t="inlineStr">
        <is>
          <t>D-35 (D-60~D-35)</t>
        </is>
      </c>
      <c r="H5" s="47" t="inlineStr">
        <is>
          <t>착수전 측량 Data 확인</t>
        </is>
      </c>
      <c r="I5" s="47" t="inlineStr">
        <is>
          <t>현장 공사팀</t>
        </is>
      </c>
      <c r="J5" s="49" t="inlineStr">
        <is>
          <t>본 과업은 공사 착수 전 국가 기준점(CP/TBM)과 3D BIM 계획 표고를 현장에 정밀 세팅하여, 트램 궤도의 선형 오차를 방지하고 시공 전 구간의 수평·수직 기준 신뢰도를 100% 확보하는 것을 목적으로 함.</t>
        </is>
      </c>
      <c r="K5" s="49" t="inlineStr">
        <is>
          <t>1) 국가 CP/TBM 기준점 인수 ➔ 2) GRS80 수준측량(폐합오차 ≤ 5mm√K) ➔ 3) 현장 인조점 3개소 매설 ➔ 4) 측량 성과표 작성 &amp; 3D BIM 승인</t>
        </is>
      </c>
      <c r="L5" s="49" t="inlineStr">
        <is>
          <t>국가 CP/TBM 기준점 인수, GRS80 수준측량(폐합오차 ≤ 5mm√K) 및 현장 인조점 3개소 매설 성과</t>
        </is>
      </c>
      <c r="M5" s="49" t="inlineStr">
        <is>
          <t>본 과업은 공사 착수 전 국가 기준점(CP/TBM)과 3D BIM 계획 표고를 현장에 정밀 세팅하여, 트램 궤도의 선형 오차를 방지하고 시공 전 구간의 수평·수직 기준 신뢰도를 100% 확보하는 것을 목적으로 함.</t>
        </is>
      </c>
      <c r="N5" s="75">
        <f>HYPERLINK(LEFT(CELL("filename",A1),FIND("[",CELL("filename",A1))-1)&amp;"4.상부강화노반\4_착수전 측량 Data 확인\표준서\착수전 측량 Data 확인_표준서.html", "👉 [클릭] 표준서 열기 📄")</f>
        <v/>
      </c>
      <c r="O5" s="49" t="inlineStr">
        <is>
          <t>1) 국가 CP/TBM 기준점 인수 ➔ 2) GRS80 수준측량(폐합오차 ≤ 5mm√K) ➔ 3) 현장 인조점 3개소 매설 ➔ 4) 측량 성과표 작성 &amp; 3D BIM 승인</t>
        </is>
      </c>
      <c r="P5" s="76">
        <f>HYPERLINK(LEFT(CELL("filename",A1),FIND("[",CELL("filename",A1))-1)&amp;"4.상부강화노반\4_착수전 측량 Data 확인\수행지침\착수전 측량 Data 확인_수행지침.html", "👉 [클릭] 수행지침 열기 📄")</f>
        <v/>
      </c>
      <c r="Q5" s="49" t="inlineStr">
        <is>
          <t>국가 CP/TBM 기준점 인수, GRS80 수준측량(폐합오차 ≤ 5mm√K) 및 현장 인조점 3개소 매설 성과</t>
        </is>
      </c>
      <c r="R5" s="77">
        <f>HYPERLINK(LEFT(CELL("filename",A1),FIND("[",CELL("filename",A1))-1)&amp;"4.상부강화노반\4_착수전 측량 Data 확인\체크리스트\착수전 측량 Data 확인_체크리스트.html", "👉 [클릭] 체크리스트 열기 📄")</f>
        <v/>
      </c>
      <c r="S5" s="47" t="n"/>
    </row>
    <row r="6" ht="96" customHeight="1">
      <c r="A6" s="47" t="inlineStr">
        <is>
          <t>9000</t>
        </is>
      </c>
      <c r="B6" s="47" t="inlineStr">
        <is>
          <t>9000-7</t>
        </is>
      </c>
      <c r="C6" s="47" t="inlineStr">
        <is>
          <t>상부강화노반</t>
        </is>
      </c>
      <c r="D6" s="47" t="inlineStr">
        <is>
          <t>9000-7-5</t>
        </is>
      </c>
      <c r="E6" s="47">
        <f>D5</f>
        <v/>
      </c>
      <c r="F6" s="47">
        <f>D7</f>
        <v/>
      </c>
      <c r="G6" s="47" t="inlineStr">
        <is>
          <t>D-40 (D-60~D-40)</t>
        </is>
      </c>
      <c r="H6" s="47" t="inlineStr">
        <is>
          <t>지장물이설 협의</t>
        </is>
      </c>
      <c r="I6" s="47" t="inlineStr">
        <is>
          <t>현장 공사팀</t>
        </is>
      </c>
      <c r="J6" s="49" t="inlineStr">
        <is>
          <t>본 과업은 노반 굴착 구역 내 매설된 가스관, 전력선, 상하수도 등 지하 지장물의 간섭 및 파손 사고를 예방하기 위해, GPR 탐사 및 인력 시탐을 통해 지장물 위치를 정밀 확인하고 관할 점용기관과의 이설 및 방호 협의를 완수하는 것을 목적으로 함.</t>
        </is>
      </c>
      <c r="K6" s="49" t="inlineStr">
        <is>
          <t>1) GPR 3D 지중 관로 탐사 ➔ 2) 인력 시탐 줄파기(깊이 1.5m) ➔ 3) 관할 점용기관 1:1 현장 입회 ➔ 4) 매달기 방호 &amp; 지장물 이설 완료 승인</t>
        </is>
      </c>
      <c r="L6" s="49" t="inlineStr">
        <is>
          <t>GPR 3D 관로 탐사, 인력 시탐 줄파기(깊이 1.5m) 및 점용기관 1:1 현장 입회 매달기 방호</t>
        </is>
      </c>
      <c r="M6" s="49" t="inlineStr">
        <is>
          <t>본 과업은 노반 굴착 구역 내 매설된 가스관, 전력선, 상하수도 등 지하 지장물의 간섭 및 파손 사고를 예방하기 위해, GPR 탐사 및 인력 시탐을 통해 지장물 위치를 정밀 확인하고 관할 점용기관과의 이설 및 방호 협의를 완수하는 것을 목적으로 함.</t>
        </is>
      </c>
      <c r="N6" s="75">
        <f>HYPERLINK(LEFT(CELL("filename",A1),FIND("[",CELL("filename",A1))-1)&amp;"4.상부강화노반\5_지장물이설 협의\표준서\지장물이설 협의_표준서.html", "👉 [클릭] 표준서 열기 📄")</f>
        <v/>
      </c>
      <c r="O6" s="49" t="inlineStr">
        <is>
          <t>1) GPR 3D 지중 관로 탐사 ➔ 2) 인력 시탐 줄파기(깊이 1.5m) ➔ 3) 관할 점용기관 1:1 현장 입회 ➔ 4) 매달기 방호 &amp; 지장물 이설 완료 승인</t>
        </is>
      </c>
      <c r="P6" s="76">
        <f>HYPERLINK(LEFT(CELL("filename",A1),FIND("[",CELL("filename",A1))-1)&amp;"4.상부강화노반\5_지장물이설 협의\수행지침\지장물이설 협의_수행지침.html", "👉 [클릭] 수행지침 열기 📄")</f>
        <v/>
      </c>
      <c r="Q6" s="49" t="inlineStr">
        <is>
          <t>GPR 3D 관로 탐사, 인력 시탐 줄파기(깊이 1.5m) 및 점용기관 1:1 현장 입회 매달기 방호</t>
        </is>
      </c>
      <c r="R6" s="77">
        <f>HYPERLINK(LEFT(CELL("filename",A1),FIND("[",CELL("filename",A1))-1)&amp;"4.상부강화노반\5_지장물이설 협의\체크리스트\지장물이설 협의_체크리스트.html", "👉 [클릭] 체크리스트 열기 📄")</f>
        <v/>
      </c>
      <c r="S6" s="47" t="n"/>
    </row>
    <row r="7" ht="96" customHeight="1">
      <c r="A7" s="47" t="inlineStr">
        <is>
          <t>9000</t>
        </is>
      </c>
      <c r="B7" s="47" t="inlineStr">
        <is>
          <t>9000-7</t>
        </is>
      </c>
      <c r="C7" s="47" t="inlineStr">
        <is>
          <t>상부강화노반</t>
        </is>
      </c>
      <c r="D7" s="47" t="inlineStr">
        <is>
          <t>9000-7-6</t>
        </is>
      </c>
      <c r="E7" s="47">
        <f>D6</f>
        <v/>
      </c>
      <c r="F7" s="47">
        <f>D8</f>
        <v/>
      </c>
      <c r="G7" s="47" t="inlineStr">
        <is>
          <t>D-40 (D-60~D-40)</t>
        </is>
      </c>
      <c r="H7" s="47" t="inlineStr">
        <is>
          <t>용지보상RISK 검토</t>
        </is>
      </c>
      <c r="I7" s="47" t="inlineStr">
        <is>
          <t>현장 공사팀</t>
        </is>
      </c>
      <c r="J7" s="49" t="inlineStr">
        <is>
          <t>본 과업은 미보상 사유지 및 민원 구역 현출을 통해 공사 진입 차단 및 공기 지연 리스크를 사전에 식별하고, 우회 토공 동선 확보 및 현장 안전 펜스 설치 등 원활한 공사 추진 환경을 조성하는 것을 목적으로 함.</t>
        </is>
      </c>
      <c r="K7" s="49" t="inlineStr">
        <is>
          <t>1) 미보상 사유지 필지 추출 ➔ 2) 경계 가설 펜스(H=1.8m) 차단 ➔ 3) 3D 우회 토공 동선 수립 ➔ 4) 용지 보상 리스크 대책 감리 승인</t>
        </is>
      </c>
      <c r="L7" s="49" t="inlineStr">
        <is>
          <t>미보상 사유지 경계 현출, 가설 펜스(H=1.8m) 차단 및 3D 우회 토공 동선 마일스톤 연동</t>
        </is>
      </c>
      <c r="M7" s="49" t="inlineStr">
        <is>
          <t>본 과업은 미보상 사유지 및 민원 구역 현출을 통해 공사 진입 차단 및 공기 지연 리스크를 사전에 식별하고, 우회 토공 동선 확보 및 현장 안전 펜스 설치 등 원활한 공사 추진 환경을 조성하는 것을 목적으로 함.</t>
        </is>
      </c>
      <c r="N7" s="75">
        <f>HYPERLINK(LEFT(CELL("filename",A1),FIND("[",CELL("filename",A1))-1)&amp;"4.상부강화노반\6_용지보상RISK 검토\표준서\용지보상RISK 검토_표준서.html", "👉 [클릭] 표준서 열기 📄")</f>
        <v/>
      </c>
      <c r="O7" s="49" t="inlineStr">
        <is>
          <t>1) 미보상 사유지 필지 추출 ➔ 2) 경계 가설 펜스(H=1.8m) 차단 ➔ 3) 3D 우회 토공 동선 수립 ➔ 4) 용지 보상 리스크 대책 감리 승인</t>
        </is>
      </c>
      <c r="P7" s="76">
        <f>HYPERLINK(LEFT(CELL("filename",A1),FIND("[",CELL("filename",A1))-1)&amp;"4.상부강화노반\6_용지보상RISK 검토\수행지침\용지보상RISK 검토_수행지침.html", "👉 [클릭] 수행지침 열기 📄")</f>
        <v/>
      </c>
      <c r="Q7" s="49" t="inlineStr">
        <is>
          <t>미보상 사유지 경계 현출, 가설 펜스(H=1.8m) 차단 및 3D 우회 토공 동선 마일스톤 연동</t>
        </is>
      </c>
      <c r="R7" s="77">
        <f>HYPERLINK(LEFT(CELL("filename",A1),FIND("[",CELL("filename",A1))-1)&amp;"4.상부강화노반\6_용지보상RISK 검토\체크리스트\용지보상RISK 검토_체크리스트.html", "👉 [클릭] 체크리스트 열기 📄")</f>
        <v/>
      </c>
      <c r="S7" s="47" t="n"/>
    </row>
    <row r="8" ht="96" customHeight="1">
      <c r="A8" s="47" t="inlineStr">
        <is>
          <t>9000</t>
        </is>
      </c>
      <c r="B8" s="47" t="inlineStr">
        <is>
          <t>9000-7</t>
        </is>
      </c>
      <c r="C8" s="47" t="inlineStr">
        <is>
          <t>상부강화노반</t>
        </is>
      </c>
      <c r="D8" s="47" t="inlineStr">
        <is>
          <t>9000-7-7</t>
        </is>
      </c>
      <c r="E8" s="47">
        <f>D7</f>
        <v/>
      </c>
      <c r="F8" s="47">
        <f>D9</f>
        <v/>
      </c>
      <c r="G8" s="47" t="inlineStr">
        <is>
          <t>D-50 (D-60~D-50)</t>
        </is>
      </c>
      <c r="H8" s="47" t="inlineStr">
        <is>
          <t>최고의 팀 만들기 지원</t>
        </is>
      </c>
      <c r="I8" s="47" t="inlineStr">
        <is>
          <t>현장 공사팀</t>
        </is>
      </c>
      <c r="J8" s="49" t="inlineStr">
        <is>
          <t>본 과업은 발주처, 감리단, 시공사 간 전담 기술 조직을 구성하고 수시 소통 체계를 구축하여, 토공 및 노반 시공 과정에서 발생하는 현장 문제에 즉각 대응하고 고품질·무재해 현장을 구현하는 것을 목적으로 함.</t>
        </is>
      </c>
      <c r="K8" s="49" t="inlineStr">
        <is>
          <t>1) 전담 기술자 1:1 배치 ➔ 2) 3자 주간 소통 회의 개최 ➔ 3) 근로자 환경 개선 &amp; TBM ➔ 4) One-Team 전담 조직표 서면 승인</t>
        </is>
      </c>
      <c r="L8" s="49" t="inlineStr">
        <is>
          <t>토공 전담 기술자 1:1 배치, 발주·감리·시공 3자 주간 소통 회의 및 일일 TBM/복지 지원</t>
        </is>
      </c>
      <c r="M8" s="49" t="inlineStr">
        <is>
          <t>본 과업은 발주처, 감리단, 시공사 간 전담 기술 조직을 구성하고 수시 소통 체계를 구축하여, 토공 및 노반 시공 과정에서 발생하는 현장 문제에 즉각 대응하고 고품질·무재해 현장을 구현하는 것을 목적으로 함.</t>
        </is>
      </c>
      <c r="N8" s="75">
        <f>HYPERLINK(LEFT(CELL("filename",A1),FIND("[",CELL("filename",A1))-1)&amp;"4.상부강화노반\7_최고의 팀 만들기 지원\표준서\최고의 팀 만들기 지원_표준서.html", "👉 [클릭] 표준서 열기 📄")</f>
        <v/>
      </c>
      <c r="O8" s="49" t="inlineStr">
        <is>
          <t>1) 전담 기술자 1:1 배치 ➔ 2) 3자 주간 소통 회의 개최 ➔ 3) 근로자 환경 개선 &amp; TBM ➔ 4) One-Team 전담 조직표 서면 승인</t>
        </is>
      </c>
      <c r="P8" s="76">
        <f>HYPERLINK(LEFT(CELL("filename",A1),FIND("[",CELL("filename",A1))-1)&amp;"4.상부강화노반\7_최고의 팀 만들기 지원\수행지침\최고의 팀 만들기 지원_수행지침.html", "👉 [클릭] 수행지침 열기 📄")</f>
        <v/>
      </c>
      <c r="Q8" s="49" t="inlineStr">
        <is>
          <t>토공 전담 기술자 1:1 배치, 발주·감리·시공 3자 주간 소통 회의 및 일일 TBM/복지 지원</t>
        </is>
      </c>
      <c r="R8" s="77">
        <f>HYPERLINK(LEFT(CELL("filename",A1),FIND("[",CELL("filename",A1))-1)&amp;"4.상부강화노반\7_최고의 팀 만들기 지원\체크리스트\최고의 팀 만들기 지원_체크리스트.html", "👉 [클릭] 체크리스트 열기 📄")</f>
        <v/>
      </c>
      <c r="S8" s="47" t="n"/>
    </row>
    <row r="9" ht="96" customHeight="1">
      <c r="A9" s="47" t="inlineStr">
        <is>
          <t>9000</t>
        </is>
      </c>
      <c r="B9" s="47" t="inlineStr">
        <is>
          <t>9000-7</t>
        </is>
      </c>
      <c r="C9" s="47" t="inlineStr">
        <is>
          <t>상부강화노반</t>
        </is>
      </c>
      <c r="D9" s="47" t="inlineStr">
        <is>
          <t>9000-7-8</t>
        </is>
      </c>
      <c r="E9" s="47">
        <f>D8</f>
        <v/>
      </c>
      <c r="F9" s="47">
        <f>D10</f>
        <v/>
      </c>
      <c r="G9" s="47" t="inlineStr">
        <is>
          <t>D-35 (D-60~D-40)</t>
        </is>
      </c>
      <c r="H9" s="47" t="inlineStr">
        <is>
          <t>연약지반 처리공법 검토(필요시)</t>
        </is>
      </c>
      <c r="I9" s="47" t="inlineStr">
        <is>
          <t>현장 공사팀</t>
        </is>
      </c>
      <c r="J9" s="49" t="inlineStr">
        <is>
          <t>본 과업은 지반 조사 결과 연약 지반으로 도출된 구간에 대해 하중 재하 시 예상 침하량을 산출하고, 시공성 및 경제성을 고려한 지반 개량 공법(PVD/DCM 등)을 최종 확정하여 장기 침하를 방지하는 것을 목적으로 함.</t>
        </is>
      </c>
      <c r="K9" s="49" t="inlineStr">
        <is>
          <t>1) 시공계획서 표준 8대 목차 작성 ➔ 2) KCS 47 10 25 수치 명시 ➔ 3) 착공 14일 전 감리단 제출 ➔ 4) 책임감리원 최종 서면 승인</t>
        </is>
      </c>
      <c r="L9" s="49" t="inlineStr">
        <is>
          <t>시공계획서 표준 8대 목차, KCS 47 10 25 다짐 수칙 수록 및 착공 14일 전 감리 서면 승인</t>
        </is>
      </c>
      <c r="M9" s="49" t="inlineStr">
        <is>
          <t>본 과업은 지반 조사 결과 연약 지반으로 도출된 구간에 대해 하중 재하 시 예상 침하량을 산출하고, 시공성 및 경제성을 고려한 지반 개량 공법(PVD/DCM 등)을 최종 확정하여 장기 침하를 방지하는 것을 목적으로 함.</t>
        </is>
      </c>
      <c r="N9" s="75">
        <f>HYPERLINK(LEFT(CELL("filename",A1),FIND("[",CELL("filename",A1))-1)&amp;"4.상부강화노반\8_연약지반 처리공법 검토(필요시)\표준서\연약지반 처리공법 검토_표준서.html", "👉 [클릭] 표준서 열기 📄")</f>
        <v/>
      </c>
      <c r="O9" s="49" t="inlineStr">
        <is>
          <t>1) 시공계획서 표준 8대 목차 작성 ➔ 2) KCS 47 10 25 수치 명시 ➔ 3) 착공 14일 전 감리단 제출 ➔ 4) 책임감리원 최종 서면 승인</t>
        </is>
      </c>
      <c r="P9" s="76">
        <f>HYPERLINK(LEFT(CELL("filename",A1),FIND("[",CELL("filename",A1))-1)&amp;"4.상부강화노반\8_연약지반 처리공법 검토(필요시)\수행지침\연약지반 처리공법 검토_수행지침.html", "👉 [클릭] 수행지침 열기 📄")</f>
        <v/>
      </c>
      <c r="Q9" s="49" t="inlineStr">
        <is>
          <t>시공계획서 표준 8대 목차, KCS 47 10 25 다짐 수칙 수록 및 착공 14일 전 감리 서면 승인</t>
        </is>
      </c>
      <c r="R9" s="77">
        <f>HYPERLINK(LEFT(CELL("filename",A1),FIND("[",CELL("filename",A1))-1)&amp;"4.상부강화노반\8_연약지반 처리공법 검토(필요시)\체크리스트\연약지반 처리공법 검토_체크리스트.html", "👉 [클릭] 체크리스트 열기 📄")</f>
        <v/>
      </c>
      <c r="S9" s="47" t="n"/>
    </row>
    <row r="10" ht="96" customHeight="1">
      <c r="A10" s="47" t="inlineStr">
        <is>
          <t>9000</t>
        </is>
      </c>
      <c r="B10" s="47" t="inlineStr">
        <is>
          <t>9000-7</t>
        </is>
      </c>
      <c r="C10" s="47" t="inlineStr">
        <is>
          <t>상부강화노반</t>
        </is>
      </c>
      <c r="D10" s="47" t="inlineStr">
        <is>
          <t>9000-7-9</t>
        </is>
      </c>
      <c r="E10" s="47">
        <f>D9</f>
        <v/>
      </c>
      <c r="F10" s="47">
        <f>D11</f>
        <v/>
      </c>
      <c r="G10" s="47" t="inlineStr">
        <is>
          <t>D-35 (D-45~D-35)</t>
        </is>
      </c>
      <c r="H10" s="47" t="inlineStr">
        <is>
          <t>토공 유동표 확인</t>
        </is>
      </c>
      <c r="I10" s="47" t="inlineStr">
        <is>
          <t>현장 공사팀</t>
        </is>
      </c>
      <c r="J10" s="49" t="inlineStr">
        <is>
          <t>본 과업은 트램 노선 전 구간의 굴착 토사 발생량과 성토 필요량을 상호 연계·분석하여, 토사 유입·유출 밸런스를 최적화하고 운반 거리 단축 및 공사비 절감을 달성하는 것을 목적으로 함.</t>
        </is>
      </c>
      <c r="K10" s="49" t="inlineStr">
        <is>
          <t>1) 토공 롤러/그레이더 조종원 자격 검증 ➔ 2) 건설기계 면허증 1:1 대조 ➔ 3) 일일 음주 측정 &amp; Safety TBM ➔ 4) 작업조 편성표 감리 승인</t>
        </is>
      </c>
      <c r="L10" s="49" t="inlineStr">
        <is>
          <t>조종원/기술자 자격 수첩 1:1 대조, 건설기계 면허증 검증 및 일일 음주 측정(0.00%)/TBM</t>
        </is>
      </c>
      <c r="M10" s="49" t="inlineStr">
        <is>
          <t>본 과업은 트램 노선 전 구간의 굴착 토사 발생량과 성토 필요량을 상호 연계·분석하여, 토사 유입·유출 밸런스를 최적화하고 운반 거리 단축 및 공사비 절감을 달성하는 것을 목적으로 함.</t>
        </is>
      </c>
      <c r="N10" s="75">
        <f>HYPERLINK(LEFT(CELL("filename",A1),FIND("[",CELL("filename",A1))-1)&amp;"4.상부강화노반\9_토공 유동표 확인\표준서\토공 유동표 확인_표준서.html", "👉 [클릭] 표준서 열기 📄")</f>
        <v/>
      </c>
      <c r="O10" s="49" t="inlineStr">
        <is>
          <t>1) 토공 롤러/그레이더 조종원 자격 검증 ➔ 2) 건설기계 면허증 1:1 대조 ➔ 3) 일일 음주 측정 &amp; Safety TBM ➔ 4) 작업조 편성표 감리 승인</t>
        </is>
      </c>
      <c r="P10" s="76">
        <f>HYPERLINK(LEFT(CELL("filename",A1),FIND("[",CELL("filename",A1))-1)&amp;"4.상부강화노반\9_토공 유동표 확인\수행지침\토공 유동표 확인_수행지침.html", "👉 [클릭] 수행지침 열기 📄")</f>
        <v/>
      </c>
      <c r="Q10" s="49" t="inlineStr">
        <is>
          <t>조종원/기술자 자격 수첩 1:1 대조, 건설기계 면허증 검증 및 일일 음주 측정(0.00%)/TBM</t>
        </is>
      </c>
      <c r="R10" s="77">
        <f>HYPERLINK(LEFT(CELL("filename",A1),FIND("[",CELL("filename",A1))-1)&amp;"4.상부강화노반\9_토공 유동표 확인\체크리스트\토공 유동표 확인_체크리스트.html", "👉 [클릭] 체크리스트 열기 📄")</f>
        <v/>
      </c>
      <c r="S10" s="47" t="n"/>
    </row>
    <row r="11" ht="96" customHeight="1">
      <c r="A11" s="47" t="inlineStr">
        <is>
          <t>9000</t>
        </is>
      </c>
      <c r="B11" s="47" t="inlineStr">
        <is>
          <t>9000-7</t>
        </is>
      </c>
      <c r="C11" s="47" t="inlineStr">
        <is>
          <t>상부강화노반</t>
        </is>
      </c>
      <c r="D11" s="47" t="inlineStr">
        <is>
          <t>9000-7-10</t>
        </is>
      </c>
      <c r="E11" s="47">
        <f>D10</f>
        <v/>
      </c>
      <c r="F11" s="47">
        <f>D12</f>
        <v/>
      </c>
      <c r="G11" s="47" t="inlineStr">
        <is>
          <t>D-30 (D-50~D-30)</t>
        </is>
      </c>
      <c r="H11" s="47" t="inlineStr">
        <is>
          <t>기공승낙 적정성 검토</t>
        </is>
      </c>
      <c r="I11" s="47" t="inlineStr">
        <is>
          <t>현장 공사팀</t>
        </is>
      </c>
      <c r="J11" s="49" t="inlineStr">
        <is>
          <t>본 과업은 공사 부지 내 국공유지 및 사유지 사용 승인 상태를 사전 검증하여, 시공 중 법적 분쟁이나 장비 진입 차단 등의 공사 중단 리스크를 근본적으로 제거하는 것을 목적으로 함.</t>
        </is>
      </c>
      <c r="K11" s="49" t="inlineStr">
        <is>
          <t>1) 10t+ 강동/타이어 롤러 사양 확정 ➔ 2) 정기검사증 &amp; 등록증 검수 ➔ 3) 3D GPS 수신기/후방 카메라 점검 ➔ 4) 장비 반입 승인서 감리 결재</t>
        </is>
      </c>
      <c r="L11" s="49" t="inlineStr">
        <is>
          <t>자중 10t+ 강동/타이어 롤러 정기검사증, 3D GPS 수신기/후방 카메라 센서 테스트 및 반입 승인</t>
        </is>
      </c>
      <c r="M11" s="49" t="inlineStr">
        <is>
          <t>본 과업은 공사 부지 내 국공유지 및 사유지 사용 승인 상태를 사전 검증하여, 시공 중 법적 분쟁이나 장비 진입 차단 등의 공사 중단 리스크를 근본적으로 제거하는 것을 목적으로 함.</t>
        </is>
      </c>
      <c r="N11" s="75">
        <f>HYPERLINK(LEFT(CELL("filename",A1),FIND("[",CELL("filename",A1))-1)&amp;"4.상부강화노반\10_기공승낙 적정성 검토\표준서\기공승낙 적정성 검토_표준서.html", "👉 [클릭] 표준서 열기 📄")</f>
        <v/>
      </c>
      <c r="O11" s="49" t="inlineStr">
        <is>
          <t>1) 10t+ 강동/타이어 롤러 사양 확정 ➔ 2) 정기검사증 &amp; 등록증 검수 ➔ 3) 3D GPS 수신기/후방 카메라 점검 ➔ 4) 장비 반입 승인서 감리 결재</t>
        </is>
      </c>
      <c r="P11" s="76">
        <f>HYPERLINK(LEFT(CELL("filename",A1),FIND("[",CELL("filename",A1))-1)&amp;"4.상부강화노반\10_기공승낙 적정성 검토\수행지침\기공승낙 적정성 검토_수행지침.html", "👉 [클릭] 수행지침 열기 📄")</f>
        <v/>
      </c>
      <c r="Q11" s="49" t="inlineStr">
        <is>
          <t>자중 10t+ 강동/타이어 롤러 정기검사증, 3D GPS 수신기/후방 카메라 센서 테스트 및 반입 승인</t>
        </is>
      </c>
      <c r="R11" s="77">
        <f>HYPERLINK(LEFT(CELL("filename",A1),FIND("[",CELL("filename",A1))-1)&amp;"4.상부강화노반\10_기공승낙 적정성 검토\체크리스트\기공승낙 적정성 검토_체크리스트.html", "👉 [클릭] 체크리스트 열기 📄")</f>
        <v/>
      </c>
      <c r="S11" s="47" t="n"/>
    </row>
    <row r="12" ht="96" customHeight="1">
      <c r="A12" s="47" t="inlineStr">
        <is>
          <t>9000</t>
        </is>
      </c>
      <c r="B12" s="47" t="inlineStr">
        <is>
          <t>9000-7</t>
        </is>
      </c>
      <c r="C12" s="47" t="inlineStr">
        <is>
          <t>상부강화노반</t>
        </is>
      </c>
      <c r="D12" s="47" t="inlineStr">
        <is>
          <t>9000-7-11</t>
        </is>
      </c>
      <c r="E12" s="47">
        <f>D11</f>
        <v/>
      </c>
      <c r="F12" s="47">
        <f>D13</f>
        <v/>
      </c>
      <c r="G12" s="47" t="inlineStr">
        <is>
          <t>D-30 (D-40~D-30)</t>
        </is>
      </c>
      <c r="H12" s="47" t="inlineStr">
        <is>
          <t>폐기물처리계획 수립</t>
        </is>
      </c>
      <c r="I12" s="47" t="inlineStr">
        <is>
          <t>현장 공사팀</t>
        </is>
      </c>
      <c r="J12" s="49" t="inlineStr">
        <is>
          <t>본 과업은 건설 굴착 시 발생하는 토사, 아스콘, 콘크리트 폐기물의 성상을 분류하고 관련 법령에 따른 적정 처리 절차를 수립하여, 환경 오염 예방 및 법적 위반 리스크를 차단하는 것을 목적으로 함.</t>
        </is>
      </c>
      <c r="K12" s="49" t="inlineStr">
        <is>
          <t>1) 석산 공급원 사전 승인 수속 ➔ 2) 쇄석 입도(Dmax 50mm) 체가름 시험 ➔ 3) 수정다짐 CBR(≥30%) 성적 산출 ➔ 4) 노반 재료 입도 DB 감리 승인</t>
        </is>
      </c>
      <c r="L12" s="49" t="inlineStr">
        <is>
          <t>쇄석 최대입경(Dmax ≤ 50mm), #200체 통과량(≤ 5%) 및 수정다짐 CBR(≥ 30%) 성적서 DB</t>
        </is>
      </c>
      <c r="M12" s="49" t="inlineStr">
        <is>
          <t>본 과업은 건설 굴착 시 발생하는 토사, 아스콘, 콘크리트 폐기물의 성상을 분류하고 관련 법령에 따른 적정 처리 절차를 수립하여, 환경 오염 예방 및 법적 위반 리스크를 차단하는 것을 목적으로 함.</t>
        </is>
      </c>
      <c r="N12" s="75">
        <f>HYPERLINK(LEFT(CELL("filename",A1),FIND("[",CELL("filename",A1))-1)&amp;"4.상부강화노반\11_폐기물처리계획 수립\표준서\폐기물처리계획 수립_표준서.html", "👉 [클릭] 표준서 열기 📄")</f>
        <v/>
      </c>
      <c r="O12" s="49" t="inlineStr">
        <is>
          <t>1) 석산 공급원 사전 승인 수속 ➔ 2) 쇄석 입도(Dmax 50mm) 체가름 시험 ➔ 3) 수정다짐 CBR(≥30%) 성적 산출 ➔ 4) 노반 재료 입도 DB 감리 승인</t>
        </is>
      </c>
      <c r="P12" s="76">
        <f>HYPERLINK(LEFT(CELL("filename",A1),FIND("[",CELL("filename",A1))-1)&amp;"4.상부강화노반\11_폐기물처리계획 수립\수행지침\폐기물처리계획 수립_수행지침.html", "👉 [클릭] 수행지침 열기 📄")</f>
        <v/>
      </c>
      <c r="Q12" s="49" t="inlineStr">
        <is>
          <t>쇄석 최대입경(Dmax ≤ 50mm), #200체 통과량(≤ 5%) 및 수정다짐 CBR(≥ 30%) 성적서 DB</t>
        </is>
      </c>
      <c r="R12" s="77">
        <f>HYPERLINK(LEFT(CELL("filename",A1),FIND("[",CELL("filename",A1))-1)&amp;"4.상부강화노반\11_폐기물처리계획 수립\체크리스트\폐기물처리계획 수립_체크리스트.html", "👉 [클릭] 체크리스트 열기 📄")</f>
        <v/>
      </c>
      <c r="S12" s="47" t="n"/>
    </row>
    <row r="13" ht="96" customHeight="1">
      <c r="A13" s="47" t="inlineStr">
        <is>
          <t>9000</t>
        </is>
      </c>
      <c r="B13" s="47" t="inlineStr">
        <is>
          <t>9000-7</t>
        </is>
      </c>
      <c r="C13" s="47" t="inlineStr">
        <is>
          <t>상부강화노반</t>
        </is>
      </c>
      <c r="D13" s="47" t="inlineStr">
        <is>
          <t>9000-7-12</t>
        </is>
      </c>
      <c r="E13" s="47">
        <f>D12</f>
        <v/>
      </c>
      <c r="F13" s="47">
        <f>D14</f>
        <v/>
      </c>
      <c r="G13" s="47" t="inlineStr">
        <is>
          <t>D-30 (D-40~D-30)</t>
        </is>
      </c>
      <c r="H13" s="47" t="inlineStr">
        <is>
          <t>철도운행협의(필요시)</t>
        </is>
      </c>
      <c r="I13" s="47" t="inlineStr">
        <is>
          <t>현장 공사팀</t>
        </is>
      </c>
      <c r="J13" s="49" t="inlineStr">
        <is>
          <t>본 과업은 운행선 인접 공사 시 열차 운행 시간표와 공사 작업 시간을 정밀 조정하여, 열차 정시 운행 보장 및 작업자 안전을 확보하는 것을 목적으로 함.</t>
        </is>
      </c>
      <c r="K13" s="49" t="inlineStr">
        <is>
          <t>1) 화성시 정식 사토장 허가 검증 ➔ 2) γd max ≥ 1.90g/cm³ &amp; 오염 시험 ➔ 3) 덤프 운행 송장 일일 집계 ➔ 4) 사토 계획서 감리 서면 승인</t>
        </is>
      </c>
      <c r="L13" s="49" t="inlineStr">
        <is>
          <t>화성시 정식 사토장 인허가, 최대건조밀도 γd max ≥ 1.90g/cm³ 및 토양오염 8개 항목 검사 합격</t>
        </is>
      </c>
      <c r="M13" s="49" t="inlineStr">
        <is>
          <t>본 과업은 운행선 인접 공사 시 열차 운행 시간표와 공사 작업 시간을 정밀 조정하여, 열차 정시 운행 보장 및 작업자 안전을 확보하는 것을 목적으로 함.</t>
        </is>
      </c>
      <c r="N13" s="75">
        <f>HYPERLINK(LEFT(CELL("filename",A1),FIND("[",CELL("filename",A1))-1)&amp;"4.상부강화노반\12_철도운행협의(필요시)\표준서\철도운행협의_표준서.html", "👉 [클릭] 표준서 열기 📄")</f>
        <v/>
      </c>
      <c r="O13" s="49" t="inlineStr">
        <is>
          <t>1) 화성시 정식 사토장 허가 검증 ➔ 2) γd max ≥ 1.90g/cm³ &amp; 오염 시험 ➔ 3) 덤프 운행 송장 일일 집계 ➔ 4) 사토 계획서 감리 서면 승인</t>
        </is>
      </c>
      <c r="P13" s="76">
        <f>HYPERLINK(LEFT(CELL("filename",A1),FIND("[",CELL("filename",A1))-1)&amp;"4.상부강화노반\12_철도운행협의(필요시)\수행지침\철도운행협의_수행지침.html", "👉 [클릭] 수행지침 열기 📄")</f>
        <v/>
      </c>
      <c r="Q13" s="49" t="inlineStr">
        <is>
          <t>화성시 정식 사토장 인허가, 최대건조밀도 γd max ≥ 1.90g/cm³ 및 토양오염 8개 항목 검사 합격</t>
        </is>
      </c>
      <c r="R13" s="77">
        <f>HYPERLINK(LEFT(CELL("filename",A1),FIND("[",CELL("filename",A1))-1)&amp;"4.상부강화노반\12_철도운행협의(필요시)\체크리스트\철도운행협의_체크리스트.html", "👉 [클릭] 체크리스트 열기 📄")</f>
        <v/>
      </c>
      <c r="S13" s="47" t="n"/>
    </row>
    <row r="14" ht="134.4" customHeight="1">
      <c r="A14" s="47" t="inlineStr">
        <is>
          <t>9000</t>
        </is>
      </c>
      <c r="B14" s="47" t="inlineStr">
        <is>
          <t>9000-7</t>
        </is>
      </c>
      <c r="C14" s="47" t="inlineStr">
        <is>
          <t>상부강화노반</t>
        </is>
      </c>
      <c r="D14" s="47" t="inlineStr">
        <is>
          <t>9000-7-13</t>
        </is>
      </c>
      <c r="E14" s="47">
        <f>D13</f>
        <v/>
      </c>
      <c r="F14" s="47">
        <f>D15</f>
        <v/>
      </c>
      <c r="G14" s="47" t="inlineStr">
        <is>
          <t>D-40</t>
        </is>
      </c>
      <c r="H14" s="47" t="inlineStr">
        <is>
          <t>작수전 Big Room 회의</t>
        </is>
      </c>
      <c r="I14" s="47" t="inlineStr">
        <is>
          <t>현장 공사팀</t>
        </is>
      </c>
      <c r="J14" s="49" t="inlineStr">
        <is>
          <t>본 과업은 공사 착수 전 분야별(토목, 궤도, 건축, 신호, 전력) 전문가가 한자리에 모여 3D BIM 기반으로 설계 간섭 및 시공 위험 요소를 사전에 발굴·해소하는 것을 목적으로 함.</t>
        </is>
      </c>
      <c r="K14" s="49" t="inlineStr">
        <is>
          <t>1) 가배수로(0.6×0.6m) &amp; 가침사지 설계 ➔ 2) HDPE 유공관(Ø200mm) 자재 검수 ➔ 3) 비상 양수 펌프(200L/min) 비치 ➔ 4) 배수 처리 계획서 감리 승인</t>
        </is>
      </c>
      <c r="L14" s="49" t="inlineStr">
        <is>
          <t>성토 사면 가배수로(0.6×0.6m), 가침사지 2개소 및 HDPE 유공관(Ø200mm, 구배 ≥ 0.5%) 설치</t>
        </is>
      </c>
      <c r="M14" s="49" t="inlineStr">
        <is>
          <t>본 과업은 공사 착수 전 분야별(토목, 궤도, 건축, 신호, 전력) 전문가가 한자리에 모여 3D BIM 기반으로 설계 간섭 및 시공 위험 요소를 사전에 발굴·해소하는 것을 목적으로 함.</t>
        </is>
      </c>
      <c r="N14" s="75">
        <f>HYPERLINK(LEFT(CELL("filename",A1),FIND("[",CELL("filename",A1))-1)&amp;"4.상부강화노반\13_작수전 Big Room 회의\표준서\작수전 Big Room 회의_표준서.html", "👉 [클릭] 표준서 열기 📄")</f>
        <v/>
      </c>
      <c r="O14" s="49" t="inlineStr">
        <is>
          <t>1) 가배수로(0.6×0.6m) &amp; 가침사지 설계 ➔ 2) HDPE 유공관(Ø200mm) 자재 검수 ➔ 3) 비상 양수 펌프(200L/min) 비치 ➔ 4) 배수 처리 계획서 감리 승인</t>
        </is>
      </c>
      <c r="P14" s="76">
        <f>HYPERLINK(LEFT(CELL("filename",A1),FIND("[",CELL("filename",A1))-1)&amp;"4.상부강화노반\13_작수전 Big Room 회의\수행지침\작수전 Big Room 회의_수행지침.html", "👉 [클릭] 수행지침 열기 📄")</f>
        <v/>
      </c>
      <c r="Q14" s="49" t="inlineStr">
        <is>
          <t>성토 사면 가배수로(0.6×0.6m), 가침사지 2개소 및 HDPE 유공관(Ø200mm, 구배 ≥ 0.5%) 설치</t>
        </is>
      </c>
      <c r="R14" s="77">
        <f>HYPERLINK(LEFT(CELL("filename",A1),FIND("[",CELL("filename",A1))-1)&amp;"4.상부강화노반\13_작수전 Big Room 회의\체크리스트\작수전 Big Room 회의_체크리스트.html", "👉 [클릭] 체크리스트 열기 📄")</f>
        <v/>
      </c>
      <c r="S14" s="47" t="n"/>
    </row>
    <row r="15" ht="96" customHeight="1">
      <c r="A15" s="47" t="inlineStr">
        <is>
          <t>9000</t>
        </is>
      </c>
      <c r="B15" s="47" t="inlineStr">
        <is>
          <t>9000-7</t>
        </is>
      </c>
      <c r="C15" s="47" t="inlineStr">
        <is>
          <t>상부강화노반</t>
        </is>
      </c>
      <c r="D15" s="47" t="inlineStr">
        <is>
          <t>9000-7-14</t>
        </is>
      </c>
      <c r="E15" s="47">
        <f>D14</f>
        <v/>
      </c>
      <c r="F15" s="47">
        <f>D16</f>
        <v/>
      </c>
      <c r="G15" s="47" t="inlineStr">
        <is>
          <t>D-30</t>
        </is>
      </c>
      <c r="H15" s="47" t="inlineStr">
        <is>
          <t>시공 계획 수립</t>
        </is>
      </c>
      <c r="I15" s="47" t="inlineStr">
        <is>
          <t>현장 공사팀</t>
        </is>
      </c>
      <c r="J15" s="49" t="inlineStr">
        <is>
          <t>본 과업은 상부강화노반 공사의 품질, 공정, 안전, 환경 관리 세부 이행 방안을 체계적으로 수립하여, 시방 기준에 부합하는 정밀 시공을 보장하는 것을 목적으로 함.</t>
        </is>
      </c>
      <c r="K15" s="49" t="inlineStr">
        <is>
          <t>1) 건진법 제62조 안전관리계획 작성 ➔ 2) 국토안전관리원 전산 적정 심사 ➔ 3) CSI 안전관리 종합망 등록 ➔ 4) 책임감리원 서면 승인</t>
        </is>
      </c>
      <c r="L15" s="49" t="inlineStr">
        <is>
          <t>건진법 제62조 안전관리계획서 작성, 국토안전관리원 적정 심사 및 CSI 전산망 등록 결재</t>
        </is>
      </c>
      <c r="M15" s="49" t="inlineStr">
        <is>
          <t>본 과업은 상부강화노반 공사의 품질, 공정, 안전, 환경 관리 세부 이행 방안을 체계적으로 수립하여, 시방 기준에 부합하는 정밀 시공을 보장하는 것을 목적으로 함.</t>
        </is>
      </c>
      <c r="N15" s="75">
        <f>HYPERLINK(LEFT(CELL("filename",A1),FIND("[",CELL("filename",A1))-1)&amp;"4.상부강화노반\14_시공 계획 수립\표준서\시공 계획 수립_표준서.html", "👉 [클릭] 표준서 열기 📄")</f>
        <v/>
      </c>
      <c r="O15" s="49" t="inlineStr">
        <is>
          <t>1) 건진법 제62조 안전관리계획 작성 ➔ 2) 국토안전관리원 전산 적정 심사 ➔ 3) CSI 안전관리 종합망 등록 ➔ 4) 책임감리원 서면 승인</t>
        </is>
      </c>
      <c r="P15" s="76">
        <f>HYPERLINK(LEFT(CELL("filename",A1),FIND("[",CELL("filename",A1))-1)&amp;"4.상부강화노반\14_시공 계획 수립\수행지침\시공 계획 수립_수행지침.html", "👉 [클릭] 수행지침 열기 📄")</f>
        <v/>
      </c>
      <c r="Q15" s="49" t="inlineStr">
        <is>
          <t>건진법 제62조 안전관리계획서 작성, 국토안전관리원 적정 심사 및 CSI 전산망 등록 결재</t>
        </is>
      </c>
      <c r="R15" s="77">
        <f>HYPERLINK(LEFT(CELL("filename",A1),FIND("[",CELL("filename",A1))-1)&amp;"4.상부강화노반\14_시공 계획 수립\체크리스트\시공 계획 수립_체크리스트.html", "👉 [클릭] 체크리스트 열기 📄")</f>
        <v/>
      </c>
      <c r="S15" s="47" t="n"/>
    </row>
    <row r="16" ht="96" customHeight="1">
      <c r="A16" s="47" t="inlineStr">
        <is>
          <t>9000</t>
        </is>
      </c>
      <c r="B16" s="47" t="inlineStr">
        <is>
          <t>9000-7</t>
        </is>
      </c>
      <c r="C16" s="47" t="inlineStr">
        <is>
          <t>상부강화노반</t>
        </is>
      </c>
      <c r="D16" s="47" t="inlineStr">
        <is>
          <t>9000-7-15</t>
        </is>
      </c>
      <c r="E16" s="47">
        <f>D15</f>
        <v/>
      </c>
      <c r="F16" s="47">
        <f>D17</f>
        <v/>
      </c>
      <c r="G16" s="47" t="inlineStr">
        <is>
          <t>D-30 (D-50~D-30)</t>
        </is>
      </c>
      <c r="H16" s="47" t="inlineStr">
        <is>
          <t>사토장/토취장 선정 검토(필요시)</t>
        </is>
      </c>
      <c r="I16" s="47" t="inlineStr">
        <is>
          <t>현장 공사팀</t>
        </is>
      </c>
      <c r="J16" s="49" t="inlineStr">
        <is>
          <t>본 과업은 토공 유동 잔여 토사의 사토장 및 부족 성토재 공급을 위한 토취장의 위치, 운반 거리, 허가 유무를 검토하여 효율적 토사 수급 환경을 구축하는 것을 목적으로 함.</t>
        </is>
      </c>
      <c r="K16" s="49" t="inlineStr">
        <is>
          <t>1) 다짐도/K30/Ev2 시험 빈도 수립 ➔ 2) 현장 시험실 장비 교정 검수 ➔ 3) 착공 14일 전 감리단 제출 ➔ 4) 품질관리계획서 감리 서면 승인</t>
        </is>
      </c>
      <c r="L16" s="49" t="inlineStr">
        <is>
          <t>노반 다짐도(500m³당 1회), K30(2,000m²당 1회), Ev2(1,000m²당 1회) 시험 빈도 &amp; 장비 교정</t>
        </is>
      </c>
      <c r="M16" s="49" t="inlineStr">
        <is>
          <t>본 과업은 토공 유동 잔여 토사의 사토장 및 부족 성토재 공급을 위한 토취장의 위치, 운반 거리, 허가 유무를 검토하여 효율적 토사 수급 환경을 구축하는 것을 목적으로 함.</t>
        </is>
      </c>
      <c r="N16" s="75">
        <f>HYPERLINK(LEFT(CELL("filename",A1),FIND("[",CELL("filename",A1))-1)&amp;"4.상부강화노반\15_사토장_토취장 선정 검토(필요시)\표준서\사토장_토취장 선정 검토_표준서.html", "👉 [클릭] 표준서 열기 📄")</f>
        <v/>
      </c>
      <c r="O16" s="49" t="inlineStr">
        <is>
          <t>1) 다짐도/K30/Ev2 시험 빈도 수립 ➔ 2) 현장 시험실 장비 교정 검수 ➔ 3) 착공 14일 전 감리단 제출 ➔ 4) 품질관리계획서 감리 서면 승인</t>
        </is>
      </c>
      <c r="P16" s="76">
        <f>HYPERLINK(LEFT(CELL("filename",A1),FIND("[",CELL("filename",A1))-1)&amp;"4.상부강화노반\15_사토장_토취장 선정 검토(필요시)\수행지침\사토장_토취장 선정 검토_수행지침.html", "👉 [클릭] 수행지침 열기 📄")</f>
        <v/>
      </c>
      <c r="Q16" s="49" t="inlineStr">
        <is>
          <t>노반 다짐도(500m³당 1회), K30(2,000m²당 1회), Ev2(1,000m²당 1회) 시험 빈도 &amp; 장비 교정</t>
        </is>
      </c>
      <c r="R16" s="77">
        <f>HYPERLINK(LEFT(CELL("filename",A1),FIND("[",CELL("filename",A1))-1)&amp;"4.상부강화노반\15_사토장_토취장 선정 검토(필요시)\체크리스트\사토장_토취장 선정 검토_체크리스트.html", "👉 [클릭] 체크리스트 열기 📄")</f>
        <v/>
      </c>
      <c r="S16" s="47" t="n"/>
    </row>
    <row r="17" ht="96" customHeight="1">
      <c r="A17" s="47" t="inlineStr">
        <is>
          <t>9000</t>
        </is>
      </c>
      <c r="B17" s="47" t="inlineStr">
        <is>
          <t>9000-7</t>
        </is>
      </c>
      <c r="C17" s="47" t="inlineStr">
        <is>
          <t>상부강화노반</t>
        </is>
      </c>
      <c r="D17" s="47" t="inlineStr">
        <is>
          <t>9000-7-16</t>
        </is>
      </c>
      <c r="E17" s="47">
        <f>D16</f>
        <v/>
      </c>
      <c r="F17" s="47">
        <f>D18</f>
        <v/>
      </c>
      <c r="G17" s="47" t="inlineStr">
        <is>
          <t>D-20</t>
        </is>
      </c>
      <c r="H17" s="47" t="inlineStr">
        <is>
          <t>공사사전준비</t>
        </is>
      </c>
      <c r="I17" s="47" t="inlineStr">
        <is>
          <t>현장 공사팀</t>
        </is>
      </c>
      <c r="J17" s="49" t="inlineStr">
        <is>
          <t>본 과업은 현장 사무소, 가설 펜스, 가배수로, 중장비 진출입로 등 초기 가설 인프라를 신속히 완비하여 본격적인 토공사 착수 여건을 마련하는 것을 목적으로 함.</t>
        </is>
      </c>
      <c r="K17" s="49" t="inlineStr">
        <is>
          <t>1) 세륜기(깊이 1.2m) &amp; 방음벽(3m) 설계 ➔ 2) 지자체 비산먼지 발생신고 ➔ 3) 살수차 1일 3회 살수 ➔ 4) 환경관리계획서 감리 서면 승인</t>
        </is>
      </c>
      <c r="L17" s="49" t="inlineStr">
        <is>
          <t>지자체 비산먼지 발생신고 필증, 이동식 세륜기(깊이 1.2m) &amp; 가설 방음벽(H=3m) 가동 점검</t>
        </is>
      </c>
      <c r="M17" s="49" t="inlineStr">
        <is>
          <t>본 과업은 현장 사무소, 가설 펜스, 가배수로, 중장비 진출입로 등 초기 가설 인프라를 신속히 완비하여 본격적인 토공사 착수 여건을 마련하는 것을 목적으로 함.</t>
        </is>
      </c>
      <c r="N17" s="75">
        <f>HYPERLINK(LEFT(CELL("filename",A1),FIND("[",CELL("filename",A1))-1)&amp;"4.상부강화노반\16_공사사전준비\표준서\공사사전준비_표준서.html", "👉 [클릭] 표준서 열기 📄")</f>
        <v/>
      </c>
      <c r="O17" s="49" t="inlineStr">
        <is>
          <t>1) 세륜기(깊이 1.2m) &amp; 방음벽(3m) 설계 ➔ 2) 지자체 비산먼지 발생신고 ➔ 3) 살수차 1일 3회 살수 ➔ 4) 환경관리계획서 감리 서면 승인</t>
        </is>
      </c>
      <c r="P17" s="76">
        <f>HYPERLINK(LEFT(CELL("filename",A1),FIND("[",CELL("filename",A1))-1)&amp;"4.상부강화노반\16_공사사전준비\수행지침\공사사전준비_수행지침.html", "👉 [클릭] 수행지침 열기 📄")</f>
        <v/>
      </c>
      <c r="Q17" s="49" t="inlineStr">
        <is>
          <t>지자체 비산먼지 발생신고 필증, 이동식 세륜기(깊이 1.2m) &amp; 가설 방음벽(H=3m) 가동 점검</t>
        </is>
      </c>
      <c r="R17" s="77">
        <f>HYPERLINK(LEFT(CELL("filename",A1),FIND("[",CELL("filename",A1))-1)&amp;"4.상부강화노반\16_공사사전준비\체크리스트\공사사전준비_체크리스트.html", "👉 [클릭] 체크리스트 열기 📄")</f>
        <v/>
      </c>
      <c r="S17" s="47" t="n"/>
    </row>
    <row r="18" ht="96" customHeight="1">
      <c r="A18" s="47" t="inlineStr">
        <is>
          <t>9000</t>
        </is>
      </c>
      <c r="B18" s="47" t="inlineStr">
        <is>
          <t>9000-7</t>
        </is>
      </c>
      <c r="C18" s="47" t="inlineStr">
        <is>
          <t>상부강화노반</t>
        </is>
      </c>
      <c r="D18" s="47" t="inlineStr">
        <is>
          <t>9000-7-17</t>
        </is>
      </c>
      <c r="E18" s="47">
        <f>D17</f>
        <v/>
      </c>
      <c r="F18" s="47">
        <f>D19</f>
        <v/>
      </c>
      <c r="G18" s="47" t="inlineStr">
        <is>
          <t>D-25 (D-30~D-25)</t>
        </is>
      </c>
      <c r="H18" s="47" t="inlineStr">
        <is>
          <t>임시배수시설</t>
        </is>
      </c>
      <c r="I18" s="47" t="inlineStr">
        <is>
          <t>현장 공사팀</t>
        </is>
      </c>
      <c r="J18" s="49" t="inlineStr">
        <is>
          <t>본 과업은 강우 시 현장 침수 및 토사 유출로 인한 사면 붕괴를 예방하기 위해, 가배수로, 가침사지, 양수 설비를 적시 배치하여 현장 안전을 확보하는 것을 목적으로 함.</t>
        </is>
      </c>
      <c r="K18" s="49" t="inlineStr">
        <is>
          <t>1) 교통 우회 도면 &amp; 차선 설계 ➔ 2) 동탄경찰서 도로점용 허가 ➔ 3) 전담 신호수(2인 2조) 배치 ➔ 4) 교통소통 대책서 감리 서면 승인</t>
        </is>
      </c>
      <c r="L18" s="49" t="inlineStr">
        <is>
          <t>동탄경찰서 도로점용 허가, 우회 차선 설계 및 전담 안전 신호수(2인 2조)/LED 경광등 배치</t>
        </is>
      </c>
      <c r="M18" s="49" t="inlineStr">
        <is>
          <t>본 과업은 강우 시 현장 침수 및 토사 유출로 인한 사면 붕괴를 예방하기 위해, 가배수로, 가침사지, 양수 설비를 적시 배치하여 현장 안전을 확보하는 것을 목적으로 함.</t>
        </is>
      </c>
      <c r="N18" s="75">
        <f>HYPERLINK(LEFT(CELL("filename",A1),FIND("[",CELL("filename",A1))-1)&amp;"4.상부강화노반\17_임시배수시설\표준서\임시배수시설_표준서.html", "👉 [클릭] 표준서 열기 📄")</f>
        <v/>
      </c>
      <c r="O18" s="49" t="inlineStr">
        <is>
          <t>1) 교통 우회 도면 &amp; 차선 설계 ➔ 2) 동탄경찰서 도로점용 허가 ➔ 3) 전담 신호수(2인 2조) 배치 ➔ 4) 교통소통 대책서 감리 서면 승인</t>
        </is>
      </c>
      <c r="P18" s="76">
        <f>HYPERLINK(LEFT(CELL("filename",A1),FIND("[",CELL("filename",A1))-1)&amp;"4.상부강화노반\17_임시배수시설\수행지침\임시배수시설_수행지침.html", "👉 [클릭] 수행지침 열기 📄")</f>
        <v/>
      </c>
      <c r="Q18" s="49" t="inlineStr">
        <is>
          <t>동탄경찰서 도로점용 허가, 우회 차선 설계 및 전담 안전 신호수(2인 2조)/LED 경광등 배치</t>
        </is>
      </c>
      <c r="R18" s="77">
        <f>HYPERLINK(LEFT(CELL("filename",A1),FIND("[",CELL("filename",A1))-1)&amp;"4.상부강화노반\17_임시배수시설\체크리스트\임시배수시설_체크리스트.html", "👉 [클릭] 체크리스트 열기 📄")</f>
        <v/>
      </c>
      <c r="S18" s="47" t="n"/>
    </row>
    <row r="19" ht="96" customHeight="1">
      <c r="A19" s="47" t="inlineStr">
        <is>
          <t>9000</t>
        </is>
      </c>
      <c r="B19" s="47" t="inlineStr">
        <is>
          <t>9000-7</t>
        </is>
      </c>
      <c r="C19" s="47" t="inlineStr">
        <is>
          <t>상부강화노반</t>
        </is>
      </c>
      <c r="D19" s="47" t="inlineStr">
        <is>
          <t>9000-7-18</t>
        </is>
      </c>
      <c r="E19" s="47">
        <f>D18</f>
        <v/>
      </c>
      <c r="F19" s="47">
        <f>D20</f>
        <v/>
      </c>
      <c r="G19" s="47" t="inlineStr">
        <is>
          <t>D-10 (D-30~D-10)</t>
        </is>
      </c>
      <c r="H19" s="47" t="inlineStr">
        <is>
          <t>쌓기재료 검사</t>
        </is>
      </c>
      <c r="I19" s="47" t="inlineStr">
        <is>
          <t>현장 공사팀</t>
        </is>
      </c>
      <c r="J19" s="49" t="inlineStr">
        <is>
          <t>본 과업은 노반 성토에 투입되는 토사 및 쇄석 재료의 입도, CBR, 최대건조밀도 등 물리적 특성을 사전에 시험·검증하여 품질 기준을 충족하는 적격 재료만을 선별 투입하는 것을 목적으로 함.</t>
        </is>
      </c>
      <c r="K19" s="49" t="inlineStr">
        <is>
          <t>1) 토공 전문 면허 &amp; 실적 심사 ➔ 2) 하도급 적정성 평가(≥82%) ➔ 3) 노무비 지급 전용계좌 지정 ➔ 4) 하도급 계약 승인 통보서 결재</t>
        </is>
      </c>
      <c r="L19" s="49" t="inlineStr">
        <is>
          <t>토공 전문건설업 면허/실적 심사, 하도급 비율(≥ 82%) 평가 및 노무비 지급 전용계좌 지정</t>
        </is>
      </c>
      <c r="M19" s="49" t="inlineStr">
        <is>
          <t>본 과업은 노반 성토에 투입되는 토사 및 쇄석 재료의 입도, CBR, 최대건조밀도 등 물리적 특성을 사전에 시험·검증하여 품질 기준을 충족하는 적격 재료만을 선별 투입하는 것을 목적으로 함.</t>
        </is>
      </c>
      <c r="N19" s="75">
        <f>HYPERLINK(LEFT(CELL("filename",A1),FIND("[",CELL("filename",A1))-1)&amp;"4.상부강화노반\18_쌓기재료 검사\표준서\쌓기재료 검사_표준서.html", "👉 [클릭] 표준서 열기 📄")</f>
        <v/>
      </c>
      <c r="O19" s="49" t="inlineStr">
        <is>
          <t>1) 토공 전문 면허 &amp; 실적 심사 ➔ 2) 하도급 적정성 평가(≥82%) ➔ 3) 노무비 지급 전용계좌 지정 ➔ 4) 하도급 계약 승인 통보서 결재</t>
        </is>
      </c>
      <c r="P19" s="76">
        <f>HYPERLINK(LEFT(CELL("filename",A1),FIND("[",CELL("filename",A1))-1)&amp;"4.상부강화노반\18_쌓기재료 검사\수행지침\쌓기재료 검사_수행지침.html", "👉 [클릭] 수행지침 열기 📄")</f>
        <v/>
      </c>
      <c r="Q19" s="49" t="inlineStr">
        <is>
          <t>토공 전문건설업 면허/실적 심사, 하도급 비율(≥ 82%) 평가 및 노무비 지급 전용계좌 지정</t>
        </is>
      </c>
      <c r="R19" s="77">
        <f>HYPERLINK(LEFT(CELL("filename",A1),FIND("[",CELL("filename",A1))-1)&amp;"4.상부강화노반\18_쌓기재료 검사\체크리스트\쌓기재료 검사_체크리스트.html", "👉 [클릭] 체크리스트 열기 📄")</f>
        <v/>
      </c>
      <c r="S19" s="47" t="n"/>
    </row>
    <row r="20" ht="96" customHeight="1">
      <c r="A20" s="47" t="inlineStr">
        <is>
          <t>9000</t>
        </is>
      </c>
      <c r="B20" s="47" t="inlineStr">
        <is>
          <t>9000-7</t>
        </is>
      </c>
      <c r="C20" s="47" t="inlineStr">
        <is>
          <t>상부강화노반</t>
        </is>
      </c>
      <c r="D20" s="47" t="inlineStr">
        <is>
          <t>9000-7-19</t>
        </is>
      </c>
      <c r="E20" s="47">
        <f>D19</f>
        <v/>
      </c>
      <c r="F20" s="47">
        <f>D21</f>
        <v/>
      </c>
      <c r="G20" s="47" t="inlineStr">
        <is>
          <t>D-10</t>
        </is>
      </c>
      <c r="H20" s="47" t="inlineStr">
        <is>
          <t>장비 검수 지원</t>
        </is>
      </c>
      <c r="I20" s="47" t="inlineStr">
        <is>
          <t>현장 공사팀</t>
        </is>
      </c>
      <c r="J20" s="49" t="inlineStr">
        <is>
          <t>본 과업은 다짐 롤러, 모터그레이더, 굴착기 등 투입 건설기계의 작동 상태, 안전 장치, 교정 성적을 사전 점검하여 시공 효율성 증대 및 장비 사고를 예방하는 것을 목적으로 함.</t>
        </is>
      </c>
      <c r="K20" s="49" t="inlineStr">
        <is>
          <t>1) KS F 2527 쇄석/유공관 서류 검토 ➔ 2) 공인시험기관 시험성적서 부착 ➔ 3) 자재 승인 신청서 제출 ➔ 4) 자재 반입 검수 및 승인 결재</t>
        </is>
      </c>
      <c r="L20" s="49" t="inlineStr">
        <is>
          <t>KS F 2527 쇄석골재, HDPE 유공관, 투수성 부직포(200g/m²) 공인성적서 및 현장 반입 검수</t>
        </is>
      </c>
      <c r="M20" s="49" t="inlineStr">
        <is>
          <t>본 과업은 다짐 롤러, 모터그레이더, 굴착기 등 투입 건설기계의 작동 상태, 안전 장치, 교정 성적을 사전 점검하여 시공 효율성 증대 및 장비 사고를 예방하는 것을 목적으로 함.</t>
        </is>
      </c>
      <c r="N20" s="75">
        <f>HYPERLINK(LEFT(CELL("filename",A1),FIND("[",CELL("filename",A1))-1)&amp;"4.상부강화노반\19_장비 검수 지원\표준서\장비 검수 지원_표준서.html", "👉 [클릭] 표준서 열기 📄")</f>
        <v/>
      </c>
      <c r="O20" s="49" t="inlineStr">
        <is>
          <t>1) KS F 2527 쇄석/유공관 서류 검토 ➔ 2) 공인시험기관 시험성적서 부착 ➔ 3) 자재 승인 신청서 제출 ➔ 4) 자재 반입 검수 및 승인 결재</t>
        </is>
      </c>
      <c r="P20" s="76">
        <f>HYPERLINK(LEFT(CELL("filename",A1),FIND("[",CELL("filename",A1))-1)&amp;"4.상부강화노반\19_장비 검수 지원\수행지침\장비 검수 지원_수행지침.html", "👉 [클릭] 수행지침 열기 📄")</f>
        <v/>
      </c>
      <c r="Q20" s="49" t="inlineStr">
        <is>
          <t>KS F 2527 쇄석골재, HDPE 유공관, 투수성 부직포(200g/m²) 공인성적서 및 현장 반입 검수</t>
        </is>
      </c>
      <c r="R20" s="77">
        <f>HYPERLINK(LEFT(CELL("filename",A1),FIND("[",CELL("filename",A1))-1)&amp;"4.상부강화노반\19_장비 검수 지원\체크리스트\장비 검수 지원_체크리스트.html", "👉 [클릭] 체크리스트 열기 📄")</f>
        <v/>
      </c>
      <c r="S20" s="47" t="n"/>
    </row>
    <row r="21" ht="96" customHeight="1">
      <c r="A21" s="47" t="inlineStr">
        <is>
          <t>9000</t>
        </is>
      </c>
      <c r="B21" s="47" t="inlineStr">
        <is>
          <t>9000-7</t>
        </is>
      </c>
      <c r="C21" s="47" t="inlineStr">
        <is>
          <t>상부강화노반</t>
        </is>
      </c>
      <c r="D21" s="47" t="inlineStr">
        <is>
          <t>9000-7-20</t>
        </is>
      </c>
      <c r="E21" s="47">
        <f>D20</f>
        <v/>
      </c>
      <c r="F21" s="47">
        <f>D22</f>
        <v/>
      </c>
      <c r="G21" s="47" t="inlineStr">
        <is>
          <t>D+0~10</t>
        </is>
      </c>
      <c r="H21" s="47" t="inlineStr">
        <is>
          <t>선로 종/횡단 및 용지경계측량</t>
        </is>
      </c>
      <c r="I21" s="47" t="inlineStr">
        <is>
          <t>현장 공사팀</t>
        </is>
      </c>
      <c r="J21" s="49" t="inlineStr">
        <is>
          <t>본 과업은 트램 중심선 및 용지 경계선을 정밀 측정하여, 계획 중심선 이탈 방지 및 선로 종·횡단 계획 표고 준수 상태를 검증하는 것을 목적으로 함.</t>
        </is>
      </c>
      <c r="K21" s="49" t="inlineStr">
        <is>
          <t>1) 50m 시험 다짐 구간 지정 ➔ 2) 쇄석 30cm 두께 포설 ➔ 3) 패스별 침하량(Δh≤1mm) 측정 ➔ 4) 다짐 횟수(강동 4회) 보고서 승인</t>
        </is>
      </c>
      <c r="L21" s="49" t="inlineStr">
        <is>
          <t>50m 시험 구간 쇄석 30cm 포설, 패스별 침하량(Δh ≤ 1mm) 실측 및 강동 4회 다짐 횟수 확정</t>
        </is>
      </c>
      <c r="M21" s="49" t="inlineStr">
        <is>
          <t>본 과업은 트램 중심선 및 용지 경계선을 정밀 측정하여, 계획 중심선 이탈 방지 및 선로 종·횡단 계획 표고 준수 상태를 검증하는 것을 목적으로 함.</t>
        </is>
      </c>
      <c r="N21" s="75">
        <f>HYPERLINK(LEFT(CELL("filename",A1),FIND("[",CELL("filename",A1))-1)&amp;"4.상부강화노반\20_선로 종_횡단 및 용지경계측량\표준서\선로 종_횡단 및 용지경계측량_표준서.html", "👉 [클릭] 표준서 열기 📄")</f>
        <v/>
      </c>
      <c r="O21" s="49" t="inlineStr">
        <is>
          <t>1) 50m 시험 다짐 구간 지정 ➔ 2) 쇄석 30cm 두께 포설 ➔ 3) 패스별 침하량(Δh≤1mm) 측정 ➔ 4) 다짐 횟수(강동 4회) 보고서 승인</t>
        </is>
      </c>
      <c r="P21" s="76">
        <f>HYPERLINK(LEFT(CELL("filename",A1),FIND("[",CELL("filename",A1))-1)&amp;"4.상부강화노반\20_선로 종_횡단 및 용지경계측량\수행지침\선로 종_횡단 및 용지경계측량_수행지침.html", "👉 [클릭] 수행지침 열기 📄")</f>
        <v/>
      </c>
      <c r="Q21" s="49" t="inlineStr">
        <is>
          <t>50m 시험 구간 쇄석 30cm 포설, 패스별 침하량(Δh ≤ 1mm) 실측 및 강동 4회 다짐 횟수 확정</t>
        </is>
      </c>
      <c r="R21" s="77">
        <f>HYPERLINK(LEFT(CELL("filename",A1),FIND("[",CELL("filename",A1))-1)&amp;"4.상부강화노반\20_선로 종_횡단 및 용지경계측량\체크리스트\선로 종_횡단 및 용지경계측량_체크리스트.html", "👉 [클릭] 체크리스트 열기 📄")</f>
        <v/>
      </c>
      <c r="S21" s="47" t="n"/>
    </row>
    <row r="22" ht="115.2" customHeight="1">
      <c r="A22" s="47" t="inlineStr">
        <is>
          <t>9000</t>
        </is>
      </c>
      <c r="B22" s="47" t="inlineStr">
        <is>
          <t>9000-7</t>
        </is>
      </c>
      <c r="C22" s="47" t="inlineStr">
        <is>
          <t>상부강화노반</t>
        </is>
      </c>
      <c r="D22" s="47" t="inlineStr">
        <is>
          <t>9000-7-21</t>
        </is>
      </c>
      <c r="E22" s="47">
        <f>D21</f>
        <v/>
      </c>
      <c r="F22" s="47">
        <f>D23</f>
        <v/>
      </c>
      <c r="G22" s="47" t="inlineStr">
        <is>
          <t>D+0~10</t>
        </is>
      </c>
      <c r="H22" s="47" t="inlineStr">
        <is>
          <t>규준틀 설치</t>
        </is>
      </c>
      <c r="I22" s="47" t="inlineStr">
        <is>
          <t>현장 공사팀</t>
        </is>
      </c>
      <c r="J22" s="49" t="inlineStr">
        <is>
          <t>본 과업은 토공 굴착 및 성토 비탈면의 기울기와 마무리면 기준선 위치를 현장에 명확히 표시하여, 시공자가 정밀한 횡단 형상으로 토공을 추진하도록 가이드하는 것을 목적으로 함.</t>
        </is>
      </c>
      <c r="K22" s="49" t="inlineStr">
        <is>
          <t>1) 표토(15~30cm) 제거 &amp; 정전압 다짐 ➔ 2) 원지반 표고 레벨 측량 ➔ 3) K30(≥70 MN/m³) &amp; 펌핑 검측 ➔ 4) 원지반 검측 성과표 감리 승인</t>
        </is>
      </c>
      <c r="L22" s="49" t="inlineStr">
        <is>
          <t>유기질 표토(15~30cm) 제거전압 다짐, 원지반 K30 ≥ 70 MN/m³ 평판재하 및 덤프 펌핑 점검</t>
        </is>
      </c>
      <c r="M22" s="49" t="inlineStr">
        <is>
          <t>본 과업은 토공 굴착 및 성토 비탈면의 기울기와 마무리면 기준선 위치를 현장에 명확히 표시하여, 시공자가 정밀한 횡단 형상으로 토공을 추진하도록 가이드하는 것을 목적으로 함.</t>
        </is>
      </c>
      <c r="N22" s="75">
        <f>HYPERLINK(LEFT(CELL("filename",A1),FIND("[",CELL("filename",A1))-1)&amp;"4.상부강화노반\21_규준틀 설치\표준서\규준틀 설치_표준서.html", "👉 [클릭] 표준서 열기 📄")</f>
        <v/>
      </c>
      <c r="O22" s="49" t="inlineStr">
        <is>
          <t>1) 표토(15~30cm) 제거 &amp; 정전압 다짐 ➔ 2) 원지반 표고 레벨 측량 ➔ 3) K30(≥70 MN/m³) &amp; 펌핑 검측 ➔ 4) 원지반 검측 성과표 감리 승인</t>
        </is>
      </c>
      <c r="P22" s="76">
        <f>HYPERLINK(LEFT(CELL("filename",A1),FIND("[",CELL("filename",A1))-1)&amp;"4.상부강화노반\21_규준틀 설치\수행지침\규준틀 설치_수행지침.html", "👉 [클릭] 수행지침 열기 📄")</f>
        <v/>
      </c>
      <c r="Q22" s="49" t="inlineStr">
        <is>
          <t>유기질 표토(15~30cm) 제거전압 다짐, 원지반 K30 ≥ 70 MN/m³ 평판재하 및 덤프 펌핑 점검</t>
        </is>
      </c>
      <c r="R22" s="77">
        <f>HYPERLINK(LEFT(CELL("filename",A1),FIND("[",CELL("filename",A1))-1)&amp;"4.상부강화노반\21_규준틀 설치\체크리스트\규준틀 설치_체크리스트.html", "👉 [클릭] 체크리스트 열기 📄")</f>
        <v/>
      </c>
      <c r="S22" s="47" t="n"/>
    </row>
    <row r="23" ht="115.2" customHeight="1">
      <c r="A23" s="47" t="inlineStr">
        <is>
          <t>9000</t>
        </is>
      </c>
      <c r="B23" s="47" t="inlineStr">
        <is>
          <t>9000-7</t>
        </is>
      </c>
      <c r="C23" s="47" t="inlineStr">
        <is>
          <t>상부강화노반</t>
        </is>
      </c>
      <c r="D23" s="47" t="inlineStr">
        <is>
          <t>9000-7-22</t>
        </is>
      </c>
      <c r="E23" s="47">
        <f>D22</f>
        <v/>
      </c>
      <c r="F23" s="47">
        <f>D24</f>
        <v/>
      </c>
      <c r="G23" s="47" t="inlineStr">
        <is>
          <t>D+10~200</t>
        </is>
      </c>
      <c r="H23" s="47" t="inlineStr">
        <is>
          <t>준비배수</t>
        </is>
      </c>
      <c r="I23" s="47" t="inlineStr">
        <is>
          <t>현장 공사팀</t>
        </is>
      </c>
      <c r="J23" s="49" t="inlineStr">
        <is>
          <t>본 과업은 성토 작업 착수 전 원지반 표면 수분 및 지하수 유입을 차단하기 위해, 준비 배수공을 시행하여 성토재의 밀실한 다짐 여건을 조성하는 것을 목적으로 함.</t>
        </is>
      </c>
      <c r="K23" s="49" t="inlineStr">
        <is>
          <t>1) 하부노반 30cm 층포설 &amp; 다짐 ➔ 2) 들밀도(≥90%) &amp; K30(≥90) 시험 ➔ 3) 마무리면 레벨 오차(±20mm) 검측 ➔ 4) 하부노반 검측서 감리 승인</t>
        </is>
      </c>
      <c r="L23" s="49" t="inlineStr">
        <is>
          <t>토사 층두께 ≤ 30cm 포설 다짐, 들밀도 다짐도 ≥ 90% (KS F 2311) 및 K30 ≥ 90 MN/m³ 검측</t>
        </is>
      </c>
      <c r="M23" s="49" t="inlineStr">
        <is>
          <t>본 과업은 성토 작업 착수 전 원지반 표면 수분 및 지하수 유입을 차단하기 위해, 준비 배수공을 시행하여 성토재의 밀실한 다짐 여건을 조성하는 것을 목적으로 함.</t>
        </is>
      </c>
      <c r="N23" s="75">
        <f>HYPERLINK(LEFT(CELL("filename",A1),FIND("[",CELL("filename",A1))-1)&amp;"4.상부강화노반\22_준비배수\표준서\준비배수_표준서.html", "👉 [클릭] 표준서 열기 📄")</f>
        <v/>
      </c>
      <c r="O23" s="49" t="inlineStr">
        <is>
          <t>1) 하부노반 30cm 층포설 &amp; 다짐 ➔ 2) 들밀도(≥90%) &amp; K30(≥90) 시험 ➔ 3) 마무리면 레벨 오차(±20mm) 검측 ➔ 4) 하부노반 검측서 감리 승인</t>
        </is>
      </c>
      <c r="P23" s="76">
        <f>HYPERLINK(LEFT(CELL("filename",A1),FIND("[",CELL("filename",A1))-1)&amp;"4.상부강화노반\22_준비배수\수행지침\준비배수_수행지침.html", "👉 [클릭] 수행지침 열기 📄")</f>
        <v/>
      </c>
      <c r="Q23" s="49" t="inlineStr">
        <is>
          <t>토사 층두께 ≤ 30cm 포설 다짐, 들밀도 다짐도 ≥ 90% (KS F 2311) 및 K30 ≥ 90 MN/m³ 검측</t>
        </is>
      </c>
      <c r="R23" s="77">
        <f>HYPERLINK(LEFT(CELL("filename",A1),FIND("[",CELL("filename",A1))-1)&amp;"4.상부강화노반\22_준비배수\체크리스트\준비배수_체크리스트.html", "👉 [클릭] 체크리스트 열기 📄")</f>
        <v/>
      </c>
      <c r="S23" s="47" t="n"/>
    </row>
    <row r="24" ht="115.2" customHeight="1">
      <c r="A24" s="47" t="inlineStr">
        <is>
          <t>9000</t>
        </is>
      </c>
      <c r="B24" s="47" t="inlineStr">
        <is>
          <t>9000-7</t>
        </is>
      </c>
      <c r="C24" s="47" t="inlineStr">
        <is>
          <t>상부강화노반</t>
        </is>
      </c>
      <c r="D24" s="47" t="inlineStr">
        <is>
          <t>9000-7-23</t>
        </is>
      </c>
      <c r="E24" s="47">
        <f>D23</f>
        <v/>
      </c>
      <c r="F24" s="47">
        <f>D25</f>
        <v/>
      </c>
      <c r="G24" s="47" t="inlineStr">
        <is>
          <t>D+10~25</t>
        </is>
      </c>
      <c r="H24" s="47" t="inlineStr">
        <is>
          <t>벌개제근/표토제거</t>
        </is>
      </c>
      <c r="I24" s="47" t="inlineStr">
        <is>
          <t>현장 공사팀</t>
        </is>
      </c>
      <c r="J24" s="49" t="inlineStr">
        <is>
          <t>본 과업은 성토 지반의 잡목, 뿌리, 유기질 표토를 깨끗이 제거하여, 원지반과 성토재 간의 밀착력을 높이고 침하 및 지반 약화 요인을 제거하는 것을 목적으로 함.</t>
        </is>
      </c>
      <c r="K24" s="49" t="inlineStr">
        <is>
          <t>1) 상부노반 토사 30cm 포설 ➔ 2) 맹암거 부직포(200g/m²) 부설 ➔ 3) HDPE 유공관(Ø200mm) 종단 연결 ➔ 4) 상부노반 시공 감리 서면 승인</t>
        </is>
      </c>
      <c r="L24" s="49" t="inlineStr">
        <is>
          <t>상부노반 토사 30cm 포설, 맹암거 투수성 부직포(200g/m²) 및 HDPE 유공관(Ø200mm) 매몰 검측</t>
        </is>
      </c>
      <c r="M24" s="49" t="inlineStr">
        <is>
          <t>본 과업은 성토 지반의 잡목, 뿌리, 유기질 표토를 깨끗이 제거하여, 원지반과 성토재 간의 밀착력을 높이고 침하 및 지반 약화 요인을 제거하는 것을 목적으로 함.</t>
        </is>
      </c>
      <c r="N24" s="75">
        <f>HYPERLINK(LEFT(CELL("filename",A1),FIND("[",CELL("filename",A1))-1)&amp;"4.상부강화노반\23_벌개제근_표토제거\표준서\벌개제근_표토제거_표준서.html", "👉 [클릭] 표준서 열기 📄")</f>
        <v/>
      </c>
      <c r="O24" s="49" t="inlineStr">
        <is>
          <t>1) 상부노반 토사 30cm 포설 ➔ 2) 맹암거 부직포(200g/m²) 부설 ➔ 3) HDPE 유공관(Ø200mm) 종단 연결 ➔ 4) 상부노반 시공 감리 서면 승인</t>
        </is>
      </c>
      <c r="P24" s="76">
        <f>HYPERLINK(LEFT(CELL("filename",A1),FIND("[",CELL("filename",A1))-1)&amp;"4.상부강화노반\23_벌개제근_표토제거\수행지침\벌개제근_표토제거_수행지침.html", "👉 [클릭] 수행지침 열기 📄")</f>
        <v/>
      </c>
      <c r="Q24" s="49" t="inlineStr">
        <is>
          <t>상부노반 토사 30cm 포설, 맹암거 투수성 부직포(200g/m²) 및 HDPE 유공관(Ø200mm) 매몰 검측</t>
        </is>
      </c>
      <c r="R24" s="77">
        <f>HYPERLINK(LEFT(CELL("filename",A1),FIND("[",CELL("filename",A1))-1)&amp;"4.상부강화노반\23_벌개제근_표토제거\체크리스트\벌개제근_표토제거_체크리스트.html", "👉 [클릭] 체크리스트 열기 📄")</f>
        <v/>
      </c>
      <c r="S24" s="47" t="n"/>
    </row>
    <row r="25" ht="115.2" customHeight="1">
      <c r="A25" s="47" t="inlineStr">
        <is>
          <t>9000</t>
        </is>
      </c>
      <c r="B25" s="47" t="inlineStr">
        <is>
          <t>9000-7</t>
        </is>
      </c>
      <c r="C25" s="47" t="inlineStr">
        <is>
          <t>상부강화노반</t>
        </is>
      </c>
      <c r="D25" s="47" t="inlineStr">
        <is>
          <t>9000-7-24</t>
        </is>
      </c>
      <c r="E25" s="47">
        <f>D24</f>
        <v/>
      </c>
      <c r="F25" s="47">
        <f>D26</f>
        <v/>
      </c>
      <c r="G25" s="47" t="inlineStr">
        <is>
          <t>D+10~30</t>
        </is>
      </c>
      <c r="H25" s="47" t="inlineStr">
        <is>
          <t>구조물 및 지장물 제거</t>
        </is>
      </c>
      <c r="I25" s="47" t="inlineStr">
        <is>
          <t>현장 공사팀</t>
        </is>
      </c>
      <c r="J25" s="49" t="inlineStr">
        <is>
          <t>본 과업은 성토 구역 내 존치된 기존 구조물, 옹벽, 암거 등을 철거하고 연약 지반 부위를 정리하여, 노반 다짐의 균일성과 안정성을 확보하는 것을 목적으로 함.</t>
        </is>
      </c>
      <c r="K25" s="49" t="inlineStr">
        <is>
          <t>1) 3D GPS 모터그레이더 쇄석(50mm) 30cm 포설 ➔ 2) 살수차 최적함수비 OMC 살수 ➔ 3) 강동 4회 + 타이어 2회 다짐 ➔ 4) 표고 오차(±10mm) 검측 감리 승인</t>
        </is>
      </c>
      <c r="L25" s="49" t="inlineStr">
        <is>
          <t>3D GPS 쇄석(50mm) 30cm 포설, OMC 분무 살수 및 강동 4회/타이어 2회 다짐 (표고 오차 ±10mm)</t>
        </is>
      </c>
      <c r="M25" s="49" t="inlineStr">
        <is>
          <t>본 과업은 성토 구역 내 존치된 기존 구조물, 옹벽, 암거 등을 철거하고 연약 지반 부위를 정리하여, 노반 다짐의 균일성과 안정성을 확보하는 것을 목적으로 함.</t>
        </is>
      </c>
      <c r="N25" s="75">
        <f>HYPERLINK(LEFT(CELL("filename",A1),FIND("[",CELL("filename",A1))-1)&amp;"4.상부강화노반\24_구조물 및 지장물 제거\표준서\구조물 및 지장물 제거_표준서.html", "👉 [클릭] 표준서 열기 📄")</f>
        <v/>
      </c>
      <c r="O25" s="49" t="inlineStr">
        <is>
          <t>1) 3D GPS 모터그레이더 쇄석(50mm) 30cm 포설 ➔ 2) 살수차 최적함수비 OMC 살수 ➔ 3) 강동 4회 + 타이어 2회 다짐 ➔ 4) 표고 오차(±10mm) 검측 감리 승인</t>
        </is>
      </c>
      <c r="P25" s="76">
        <f>HYPERLINK(LEFT(CELL("filename",A1),FIND("[",CELL("filename",A1))-1)&amp;"4.상부강화노반\24_구조물 및 지장물 제거\수행지침\구조물 및 지장물 제거_수행지침.html", "👉 [클릭] 수행지침 열기 📄")</f>
        <v/>
      </c>
      <c r="Q25" s="49" t="inlineStr">
        <is>
          <t>3D GPS 쇄석(50mm) 30cm 포설, OMC 분무 살수 및 강동 4회/타이어 2회 다짐 (표고 오차 ±10mm)</t>
        </is>
      </c>
      <c r="R25" s="77">
        <f>HYPERLINK(LEFT(CELL("filename",A1),FIND("[",CELL("filename",A1))-1)&amp;"4.상부강화노반\24_구조물 및 지장물 제거\체크리스트\구조물 및 지장물 제거_체크리스트.html", "👉 [클릭] 체크리스트 열기 📄")</f>
        <v/>
      </c>
      <c r="S25" s="47" t="n"/>
    </row>
    <row r="26" ht="115.2" customHeight="1">
      <c r="A26" s="47" t="inlineStr">
        <is>
          <t>9000</t>
        </is>
      </c>
      <c r="B26" s="47" t="inlineStr">
        <is>
          <t>9000-7</t>
        </is>
      </c>
      <c r="C26" s="47" t="inlineStr">
        <is>
          <t>상부강화노반</t>
        </is>
      </c>
      <c r="D26" s="47" t="inlineStr">
        <is>
          <t>9000-7-25</t>
        </is>
      </c>
      <c r="E26" s="47">
        <f>D25</f>
        <v/>
      </c>
      <c r="F26" s="47">
        <f>D27</f>
        <v/>
      </c>
      <c r="G26" s="47" t="inlineStr">
        <is>
          <t>D+10~30</t>
        </is>
      </c>
      <c r="H26" s="47" t="inlineStr">
        <is>
          <t>진입로 조성</t>
        </is>
      </c>
      <c r="I26" s="47" t="inlineStr">
        <is>
          <t>현장 공사팀</t>
        </is>
      </c>
      <c r="J26" s="49" t="inlineStr">
        <is>
          <t>본 과업은 대형 중장비 및 토사 운반 차량의 원활하고 안전한 진출입을 위해, 잡석 포설 및 다짐을 시행하여 견고한 가설 진입로를 확보하는 것을 목적으로 함.</t>
        </is>
      </c>
      <c r="K26" s="49" t="inlineStr">
        <is>
          <t>1) 들밀도 시험(다짐도 ≥ 95%) ➔ 2) K30 평판재하시험(≥ 110 MN/m³) ➔ 3) 동적변형계수 Ev2(≥ 60 MPa) 시험 ➔ 4) 다짐 검측 종합 보고서 승인</t>
        </is>
      </c>
      <c r="L26" s="49" t="inlineStr">
        <is>
          <t>노반 들밀도 다짐도 ≥ 95%, 평판재하 K30 ≥ 110 MN/m³ 및 동적변형계수 Ev2 ≥ 60 MPa (Ev2/Ev1 ≤ 2.2)</t>
        </is>
      </c>
      <c r="M26" s="49" t="inlineStr">
        <is>
          <t>본 과업은 대형 중장비 및 토사 운반 차량의 원활하고 안전한 진출입을 위해, 잡석 포설 및 다짐을 시행하여 견고한 가설 진입로를 확보하는 것을 목적으로 함.</t>
        </is>
      </c>
      <c r="N26" s="75">
        <f>HYPERLINK(LEFT(CELL("filename",A1),FIND("[",CELL("filename",A1))-1)&amp;"4.상부강화노반\25_진입로 조성\표준서\진입로 조성_표준서.html", "👉 [클릭] 표준서 열기 📄")</f>
        <v/>
      </c>
      <c r="O26" s="49" t="inlineStr">
        <is>
          <t>1) 들밀도 시험(다짐도 ≥ 95%) ➔ 2) K30 평판재하시험(≥ 110 MN/m³) ➔ 3) 동적변형계수 Ev2(≥ 60 MPa) 시험 ➔ 4) 다짐 검측 종합 보고서 승인</t>
        </is>
      </c>
      <c r="P26" s="76">
        <f>HYPERLINK(LEFT(CELL("filename",A1),FIND("[",CELL("filename",A1))-1)&amp;"4.상부강화노반\25_진입로 조성\수행지침\진입로 조성_수행지침.html", "👉 [클릭] 수행지침 열기 📄")</f>
        <v/>
      </c>
      <c r="Q26" s="49" t="inlineStr">
        <is>
          <t>노반 들밀도 다짐도 ≥ 95%, 평판재하 K30 ≥ 110 MN/m³ 및 동적변형계수 Ev2 ≥ 60 MPa (Ev2/Ev1 ≤ 2.2)</t>
        </is>
      </c>
      <c r="R26" s="77">
        <f>HYPERLINK(LEFT(CELL("filename",A1),FIND("[",CELL("filename",A1))-1)&amp;"4.상부강화노반\25_진입로 조성\체크리스트\진입로 조성_체크리스트.html", "👉 [클릭] 체크리스트 열기 📄")</f>
        <v/>
      </c>
      <c r="S26" s="47" t="n"/>
    </row>
    <row r="27" ht="115.2" customHeight="1">
      <c r="A27" s="47" t="inlineStr">
        <is>
          <t>9000</t>
        </is>
      </c>
      <c r="B27" s="47" t="inlineStr">
        <is>
          <t>9000-7</t>
        </is>
      </c>
      <c r="C27" s="47" t="inlineStr">
        <is>
          <t>상부강화노반</t>
        </is>
      </c>
      <c r="D27" s="47" t="inlineStr">
        <is>
          <t>9000-7-26</t>
        </is>
      </c>
      <c r="E27" s="47">
        <f>D26</f>
        <v/>
      </c>
      <c r="F27" s="47">
        <f>D28</f>
        <v/>
      </c>
      <c r="G27" s="47" t="inlineStr">
        <is>
          <t>D+10~180</t>
        </is>
      </c>
      <c r="H27" s="47" t="inlineStr">
        <is>
          <t>노반쌓기</t>
        </is>
      </c>
      <c r="I27" s="47" t="inlineStr">
        <is>
          <t>현장 공사팀</t>
        </is>
      </c>
      <c r="J27" s="49" t="inlineStr">
        <is>
          <t>본 과업은 성토재를 층당 30cm 이하 규정 두께로 포설하고 균일하게 다짐으로써, 계획 높이까지 안정적이고 밀실한 노반 구조체를 형성하는 것을 목적으로 함.</t>
        </is>
      </c>
      <c r="K27" s="49" t="inlineStr">
        <is>
          <t>1) Ø300mm 재하판 산모래 밀착 ➔ 2) 15t 유압 잭 &amp; 다이얼 게이지 교정 ➔ 3) 1.25mm 침하 P-S 곡선 산출 ➔ 4) K30 ≥ 110 MN/m³ 성적서 승인</t>
        </is>
      </c>
      <c r="L27" s="49" t="inlineStr">
        <is>
          <t>Ø300mm 재하판 산모래 밀착, 15t 유압 잭 재하 및 1.25mm 침하 P-S 곡선 K30 ≥ 110 MN/m³ 성적서</t>
        </is>
      </c>
      <c r="M27" s="49" t="inlineStr">
        <is>
          <t>본 과업은 성토재를 층당 30cm 이하 규정 두께로 포설하고 균일하게 다짐으로써, 계획 높이까지 안정적이고 밀실한 노반 구조체를 형성하는 것을 목적으로 함.</t>
        </is>
      </c>
      <c r="N27" s="75">
        <f>HYPERLINK(LEFT(CELL("filename",A1),FIND("[",CELL("filename",A1))-1)&amp;"4.상부강화노반\26_노반쌓기\표준서\노반쌓기_표준서.html", "👉 [클릭] 표준서 열기 📄")</f>
        <v/>
      </c>
      <c r="O27" s="49" t="inlineStr">
        <is>
          <t>1) Ø300mm 재하판 산모래 밀착 ➔ 2) 15t 유압 잭 &amp; 다이얼 게이지 교정 ➔ 3) 1.25mm 침하 P-S 곡선 산출 ➔ 4) K30 ≥ 110 MN/m³ 성적서 승인</t>
        </is>
      </c>
      <c r="P27" s="76">
        <f>HYPERLINK(LEFT(CELL("filename",A1),FIND("[",CELL("filename",A1))-1)&amp;"4.상부강화노반\26_노반쌓기\수행지침\노반쌓기_수행지침.html", "👉 [클릭] 수행지침 열기 📄")</f>
        <v/>
      </c>
      <c r="Q27" s="49" t="inlineStr">
        <is>
          <t>Ø300mm 재하판 산모래 밀착, 15t 유압 잭 재하 및 1.25mm 침하 P-S 곡선 K30 ≥ 110 MN/m³ 성적서</t>
        </is>
      </c>
      <c r="R27" s="77">
        <f>HYPERLINK(LEFT(CELL("filename",A1),FIND("[",CELL("filename",A1))-1)&amp;"4.상부강화노반\26_노반쌓기\체크리스트\노반쌓기_체크리스트.html", "👉 [클릭] 체크리스트 열기 📄")</f>
        <v/>
      </c>
      <c r="S27" s="47" t="n"/>
    </row>
    <row r="28" ht="115.2" customHeight="1">
      <c r="A28" s="47" t="inlineStr">
        <is>
          <t>9000</t>
        </is>
      </c>
      <c r="B28" s="47" t="inlineStr">
        <is>
          <t>9000-7</t>
        </is>
      </c>
      <c r="C28" s="47" t="inlineStr">
        <is>
          <t>상부강화노반</t>
        </is>
      </c>
      <c r="D28" s="47" t="inlineStr">
        <is>
          <t>9000-7-27</t>
        </is>
      </c>
      <c r="E28" s="47">
        <f>D27</f>
        <v/>
      </c>
      <c r="F28" s="47">
        <f>D29</f>
        <v/>
      </c>
      <c r="G28" s="47" t="inlineStr">
        <is>
          <t>D+10~180</t>
        </is>
      </c>
      <c r="H28" s="47" t="inlineStr">
        <is>
          <t>하부노반 시공</t>
        </is>
      </c>
      <c r="I28" s="47" t="inlineStr">
        <is>
          <t>현장 공사팀</t>
        </is>
      </c>
      <c r="J28" s="49" t="inlineStr">
        <is>
          <t>본 과업은 상부 하중을 지지하는 하부 노반 층을 시방 기준에 맞춰 포설·다짐하고 배수 유공관을 설치하여, 노반 내부 수분 침투 예방 및 구조적 안정성을 확보하는 것을 목적으로 함.</t>
        </is>
      </c>
      <c r="K28" s="49" t="inlineStr">
        <is>
          <t>1) LWD 동적 평판재하시험기 교정 ➔ 2) 1,000m²당 1회 무작위 시험 ➔ 3) 1차/2차 하중 재하 Ev2/Ev1 산출 ➔ 4) Ev2 ≥ 60 MPa 성적서 감리 승인</t>
        </is>
      </c>
      <c r="L28" s="49" t="inlineStr">
        <is>
          <t>LWD 동적 평판재하시험 1,000m²당 1회, 2차 변형계수 Ev2 ≥ 60 MPa 및 비율 Ev2/Ev1 ≤ 2.2 검측</t>
        </is>
      </c>
      <c r="M28" s="49" t="inlineStr">
        <is>
          <t>본 과업은 상부 하중을 지지하는 하부 노반 층을 시방 기준에 맞춰 포설·다짐하고 배수 유공관을 설치하여, 노반 내부 수분 침투 예방 및 구조적 안정성을 확보하는 것을 목적으로 함.</t>
        </is>
      </c>
      <c r="N28" s="75">
        <f>HYPERLINK(LEFT(CELL("filename",A1),FIND("[",CELL("filename",A1))-1)&amp;"4.상부강화노반\27_하부노반 시공\표준서\하부노반 시공_표준서.html", "👉 [클릭] 표준서 열기 📄")</f>
        <v/>
      </c>
      <c r="O28" s="49" t="inlineStr">
        <is>
          <t>1) LWD 동적 평판재하시험기 교정 ➔ 2) 1,000m²당 1회 무작위 시험 ➔ 3) 1차/2차 하중 재하 Ev2/Ev1 산출 ➔ 4) Ev2 ≥ 60 MPa 성적서 감리 승인</t>
        </is>
      </c>
      <c r="P28" s="76">
        <f>HYPERLINK(LEFT(CELL("filename",A1),FIND("[",CELL("filename",A1))-1)&amp;"4.상부강화노반\27_하부노반 시공\수행지침\하부노반 시공_수행지침.html", "👉 [클릭] 수행지침 열기 📄")</f>
        <v/>
      </c>
      <c r="Q28" s="49" t="inlineStr">
        <is>
          <t>LWD 동적 평판재하시험 1,000m²당 1회, 2차 변형계수 Ev2 ≥ 60 MPa 및 비율 Ev2/Ev1 ≤ 2.2 검측</t>
        </is>
      </c>
      <c r="R28" s="77">
        <f>HYPERLINK(LEFT(CELL("filename",A1),FIND("[",CELL("filename",A1))-1)&amp;"4.상부강화노반\27_하부노반 시공\체크리스트\하부노반 시공_체크리스트.html", "👉 [클릭] 체크리스트 열기 📄")</f>
        <v/>
      </c>
      <c r="S28" s="47" t="n"/>
    </row>
    <row r="29" ht="115.2" customHeight="1">
      <c r="A29" s="47" t="inlineStr">
        <is>
          <t>9000</t>
        </is>
      </c>
      <c r="B29" s="47" t="inlineStr">
        <is>
          <t>9000-7</t>
        </is>
      </c>
      <c r="C29" s="47" t="inlineStr">
        <is>
          <t>상부강화노반</t>
        </is>
      </c>
      <c r="D29" s="47" t="inlineStr">
        <is>
          <t>9000-7-28</t>
        </is>
      </c>
      <c r="E29" s="47">
        <f>D28</f>
        <v/>
      </c>
      <c r="F29" s="47">
        <f>D30</f>
        <v/>
      </c>
      <c r="G29" s="47" t="inlineStr">
        <is>
          <t>D+10~180</t>
        </is>
      </c>
      <c r="H29" s="47" t="inlineStr">
        <is>
          <t>상부노반 시공</t>
        </is>
      </c>
      <c r="I29" s="47" t="inlineStr">
        <is>
          <t>현장 공사팀</t>
        </is>
      </c>
      <c r="J29" s="49" t="inlineStr">
        <is>
          <t>본 과업은 상부강화노반 직하부 층으로서, 고품질 쇄석 혼합재를 정밀 포설하고 OMC 최적 다짐을 시행하여 노반 강성을 고도화하는 것을 목적으로 함.</t>
        </is>
      </c>
      <c r="K29" s="49" t="inlineStr">
        <is>
          <t>1) 3m 알루미늄 직선자 교정 ➔ 2) 20m 간격 종횡단 연속 검측 ➔ 3) 갭 오차(±10mm) 요철 삭평/재다짐 ➔ 4) 평탄성 검측 성과표 감리 승인</t>
        </is>
      </c>
      <c r="L29" s="49" t="inlineStr">
        <is>
          <t>3m 알루미늄 직선자 20m 간격 연속 측정, 최대 갭 오차 ±10mm 이내 통제 및 요철 삭평/재다짐</t>
        </is>
      </c>
      <c r="M29" s="49" t="inlineStr">
        <is>
          <t>본 과업은 상부강화노반 직하부 층으로서, 고품질 쇄석 혼합재를 정밀 포설하고 OMC 최적 다짐을 시행하여 노반 강성을 고도화하는 것을 목적으로 함.</t>
        </is>
      </c>
      <c r="N29" s="75">
        <f>HYPERLINK(LEFT(CELL("filename",A1),FIND("[",CELL("filename",A1))-1)&amp;"4.상부강화노반\28_상부노반 시공\표준서\상부노반 시공_표준서.html", "👉 [클릭] 표준서 열기 📄")</f>
        <v/>
      </c>
      <c r="O29" s="49" t="inlineStr">
        <is>
          <t>1) 3m 알루미늄 직선자 교정 ➔ 2) 20m 간격 종횡단 연속 검측 ➔ 3) 갭 오차(±10mm) 요철 삭평/재다짐 ➔ 4) 평탄성 검측 성과표 감리 승인</t>
        </is>
      </c>
      <c r="P29" s="76">
        <f>HYPERLINK(LEFT(CELL("filename",A1),FIND("[",CELL("filename",A1))-1)&amp;"4.상부강화노반\28_상부노반 시공\수행지침\상부노반 시공_수행지침.html", "👉 [클릭] 수행지침 열기 📄")</f>
        <v/>
      </c>
      <c r="Q29" s="49" t="inlineStr">
        <is>
          <t>3m 알루미늄 직선자 20m 간격 연속 측정, 최대 갭 오차 ±10mm 이내 통제 및 요철 삭평/재다짐</t>
        </is>
      </c>
      <c r="R29" s="77">
        <f>HYPERLINK(LEFT(CELL("filename",A1),FIND("[",CELL("filename",A1))-1)&amp;"4.상부강화노반\28_상부노반 시공\체크리스트\상부노반 시공_체크리스트.html", "👉 [클릭] 체크리스트 열기 📄")</f>
        <v/>
      </c>
      <c r="S29" s="47" t="n"/>
    </row>
    <row r="30" ht="115.2" customHeight="1">
      <c r="A30" s="47" t="inlineStr">
        <is>
          <t>9000</t>
        </is>
      </c>
      <c r="B30" s="47" t="inlineStr">
        <is>
          <t>9000-7</t>
        </is>
      </c>
      <c r="C30" s="47" t="inlineStr">
        <is>
          <t>상부강화노반</t>
        </is>
      </c>
      <c r="D30" s="47" t="inlineStr">
        <is>
          <t>9000-7-29</t>
        </is>
      </c>
      <c r="E30" s="47">
        <f>D29</f>
        <v/>
      </c>
      <c r="F30" s="47">
        <f>D31</f>
        <v/>
      </c>
      <c r="G30" s="47" t="inlineStr">
        <is>
          <t>D+10~180</t>
        </is>
      </c>
      <c r="H30" s="47" t="inlineStr">
        <is>
          <t>강화노반 시공</t>
        </is>
      </c>
      <c r="I30" s="47" t="inlineStr">
        <is>
          <t>현장 공사팀</t>
        </is>
      </c>
      <c r="J30" s="49" t="inlineStr">
        <is>
          <t>본 과업은 트램 궤도와 직접 접하는 최상부 노반 층으로, 입도 조정 쇄석을 시공하여 지반반력계수(K30 ≥ 110MN/m³) 및 2차 변형계수(Ev2 ≥ 60MPa) 기준을 완수하고 궤도 지지력을 확보하는 것을 목적으로 함.</t>
        </is>
      </c>
      <c r="K30" s="49" t="inlineStr">
        <is>
          <t>1) GRS80 토탈스테이션 정밀 세팅 ➔ 2) 10m 간격 중심선 &amp; 표고 실측 ➔ 3) 3D BIM CAD 좌표(오차 ±10mm) 대조 ➔ 4) 종횡단 성과표 감리 승인</t>
        </is>
      </c>
      <c r="L30" s="49" t="inlineStr">
        <is>
          <t>GRS80 광학 토탈스테이션 10m 간격 측정, 궤도 중심선(X,Y) 및 표고(Z) 오차 ±10mm 3D BIM 검측</t>
        </is>
      </c>
      <c r="M30" s="49" t="inlineStr">
        <is>
          <t>본 과업은 트램 궤도와 직접 접하는 최상부 노반 층으로, 입도 조정 쇄석을 시공하여 지반반력계수(K30 ≥ 110MN/m³) 및 2차 변형계수(Ev2 ≥ 60MPa) 기준을 완수하고 궤도 지지력을 확보하는 것을 목적으로 함.</t>
        </is>
      </c>
      <c r="N30" s="75">
        <f>HYPERLINK(LEFT(CELL("filename",A1),FIND("[",CELL("filename",A1))-1)&amp;"4.상부강화노반\29_강화노반 시공\표준서\강화노반 시공_표준서.html", "👉 [클릭] 표준서 열기 📄")</f>
        <v/>
      </c>
      <c r="O30" s="49" t="inlineStr">
        <is>
          <t>1) GRS80 토탈스테이션 정밀 세팅 ➔ 2) 10m 간격 중심선 &amp; 표고 실측 ➔ 3) 3D BIM CAD 좌표(오차 ±10mm) 대조 ➔ 4) 종횡단 성과표 감리 승인</t>
        </is>
      </c>
      <c r="P30" s="76">
        <f>HYPERLINK(LEFT(CELL("filename",A1),FIND("[",CELL("filename",A1))-1)&amp;"4.상부강화노반\29_강화노반 시공\수행지침\강화노반 시공_수행지침.html", "👉 [클릭] 수행지침 열기 📄")</f>
        <v/>
      </c>
      <c r="Q30" s="49" t="inlineStr">
        <is>
          <t>GRS80 광학 토탈스테이션 10m 간격 측정, 궤도 중심선(X,Y) 및 표고(Z) 오차 ±10mm 3D BIM 검측</t>
        </is>
      </c>
      <c r="R30" s="77">
        <f>HYPERLINK(LEFT(CELL("filename",A1),FIND("[",CELL("filename",A1))-1)&amp;"4.상부강화노반\29_강화노반 시공\체크리스트\강화노반 시공_체크리스트.html", "👉 [클릭] 체크리스트 열기 📄")</f>
        <v/>
      </c>
      <c r="S30" s="47" t="n"/>
    </row>
    <row r="31" ht="115.2" customHeight="1">
      <c r="A31" s="47" t="inlineStr">
        <is>
          <t>9000</t>
        </is>
      </c>
      <c r="B31" s="47" t="inlineStr">
        <is>
          <t>9000-7</t>
        </is>
      </c>
      <c r="C31" s="47" t="inlineStr">
        <is>
          <t>상부강화노반</t>
        </is>
      </c>
      <c r="D31" s="47" t="inlineStr">
        <is>
          <t>9000-7-30</t>
        </is>
      </c>
      <c r="E31" s="47">
        <f>D30</f>
        <v/>
      </c>
      <c r="F31" s="47">
        <f>D32</f>
        <v/>
      </c>
      <c r="G31" s="47" t="inlineStr">
        <is>
          <t>D+45~180</t>
        </is>
      </c>
      <c r="H31" s="47" t="inlineStr">
        <is>
          <t>토공 유동운반/사토</t>
        </is>
      </c>
      <c r="I31" s="47" t="inlineStr">
        <is>
          <t>현장 공사팀</t>
        </is>
      </c>
      <c r="J31" s="49" t="inlineStr">
        <is>
          <t>본 과업은 현장 내 절토재의 운반 및 잔여 토사의 사토장 배출을 효율적으로 통제하여, 토공 작업의 공정 흐름을 원활히 유지하는 것을 목적으로 함.</t>
        </is>
      </c>
      <c r="K31" s="49" t="inlineStr">
        <is>
          <t>1) 감리단 NCR 통지서 수령 ➔ 2) 해당 구역 표면 15cm 파쇄 &amp; OMC 재다짐 ➔ 3) 1:1 재검측(다짐도/K30/Ev2) ➔ 4) NCR 조치 결과 보고서 감리 종결 승인</t>
        </is>
      </c>
      <c r="L31" s="49" t="inlineStr">
        <is>
          <t>감리단 부적합(NCR) 수령 후 해당 구역 표면 15cm 파쇄, OMC 살수 재다짐 및 1:1 재검측 서면 종결</t>
        </is>
      </c>
      <c r="M31" s="49" t="inlineStr">
        <is>
          <t>본 과업은 현장 내 절토재의 운반 및 잔여 토사의 사토장 배출을 효율적으로 통제하여, 토공 작업의 공정 흐름을 원활히 유지하는 것을 목적으로 함.</t>
        </is>
      </c>
      <c r="N31" s="75">
        <f>HYPERLINK(LEFT(CELL("filename",A1),FIND("[",CELL("filename",A1))-1)&amp;"4.상부강화노반\30_토공 유동운반_사토\표준서\토공 유동운반_사토_표준서.html", "👉 [클릭] 표준서 열기 📄")</f>
        <v/>
      </c>
      <c r="O31" s="49" t="inlineStr">
        <is>
          <t>1) 감리단 NCR 통지서 수령 ➔ 2) 해당 구역 표면 15cm 파쇄 &amp; OMC 재다짐 ➔ 3) 1:1 재검측(다짐도/K30/Ev2) ➔ 4) NCR 조치 결과 보고서 감리 종결 승인</t>
        </is>
      </c>
      <c r="P31" s="76">
        <f>HYPERLINK(LEFT(CELL("filename",A1),FIND("[",CELL("filename",A1))-1)&amp;"4.상부강화노반\30_토공 유동운반_사토\수행지침\토공 유동운반_사토_수행지침.html", "👉 [클릭] 수행지침 열기 📄")</f>
        <v/>
      </c>
      <c r="Q31" s="49" t="inlineStr">
        <is>
          <t>감리단 부적합(NCR) 수령 후 해당 구역 표면 15cm 파쇄, OMC 살수 재다짐 및 1:1 재검측 서면 종결</t>
        </is>
      </c>
      <c r="R31" s="77">
        <f>HYPERLINK(LEFT(CELL("filename",A1),FIND("[",CELL("filename",A1))-1)&amp;"4.상부강화노반\30_토공 유동운반_사토\체크리스트\토공 유동운반_사토_체크리스트.html", "👉 [클릭] 체크리스트 열기 📄")</f>
        <v/>
      </c>
      <c r="S31" s="47" t="n"/>
    </row>
    <row r="32" ht="115.2" customHeight="1">
      <c r="A32" s="47" t="inlineStr">
        <is>
          <t>9000</t>
        </is>
      </c>
      <c r="B32" s="47" t="inlineStr">
        <is>
          <t>9000-7</t>
        </is>
      </c>
      <c r="C32" s="47" t="inlineStr">
        <is>
          <t>상부강화노반</t>
        </is>
      </c>
      <c r="D32" s="47" t="inlineStr">
        <is>
          <t>9000-7-31</t>
        </is>
      </c>
      <c r="E32" s="47">
        <f>D31</f>
        <v/>
      </c>
      <c r="F32" s="47">
        <f>D33</f>
        <v/>
      </c>
      <c r="G32" s="47" t="inlineStr">
        <is>
          <t>D+45~240</t>
        </is>
      </c>
      <c r="H32" s="47" t="inlineStr">
        <is>
          <t>연약지반처리(필요시)</t>
        </is>
      </c>
      <c r="I32" s="47" t="inlineStr">
        <is>
          <t>현장 공사팀</t>
        </is>
      </c>
      <c r="J32" s="49" t="inlineStr">
        <is>
          <t>본 과업은 시공 중 추가 발굴되거나 예상치 못한 약산 지반 구역에 대해 즉각적인 지반 개량 조치를 시행하여, 노반 완성 후 잔류 침하 발생을 원천 차단하는 것을 목적으로 함.</t>
        </is>
      </c>
      <c r="K32" s="49" t="inlineStr">
        <is>
          <t>1) 성토 사면 경사(1:1.5 이하) 측량 ➔ 2) 사면 다짐도(≥ 90%) 검측 ➔ 3) 식생 거적(Jute Mat) 30cm 겹침 부설 ➔ 4) 사면 다짐 성과표 감리 승인</t>
        </is>
      </c>
      <c r="L32" s="49" t="inlineStr">
        <is>
          <t>성토 사면 비탈면 경사(1:1.5 이하) 측량, 사면 다짐도 ≥ 90% 검측 및 식생 거적(Jute Mat) 부설</t>
        </is>
      </c>
      <c r="M32" s="49" t="inlineStr">
        <is>
          <t>본 과업은 시공 중 추가 발굴되거나 예상치 못한 약산 지반 구역에 대해 즉각적인 지반 개량 조치를 시행하여, 노반 완성 후 잔류 침하 발생을 원천 차단하는 것을 목적으로 함.</t>
        </is>
      </c>
      <c r="N32" s="75">
        <f>HYPERLINK(LEFT(CELL("filename",A1),FIND("[",CELL("filename",A1))-1)&amp;"4.상부강화노반\31_연약지반처리(필요시)\표준서\연약지반처리_표준서.html", "👉 [클릭] 표준서 열기 📄")</f>
        <v/>
      </c>
      <c r="O32" s="49" t="inlineStr">
        <is>
          <t>1) 성토 사면 경사(1:1.5 이하) 측량 ➔ 2) 사면 다짐도(≥ 90%) 검측 ➔ 3) 식생 거적(Jute Mat) 30cm 겹침 부설 ➔ 4) 사면 다짐 성과표 감리 승인</t>
        </is>
      </c>
      <c r="P32" s="76">
        <f>HYPERLINK(LEFT(CELL("filename",A1),FIND("[",CELL("filename",A1))-1)&amp;"4.상부강화노반\31_연약지반처리(필요시)\수행지침\연약지반처리_수행지침.html", "👉 [클릭] 수행지침 열기 📄")</f>
        <v/>
      </c>
      <c r="Q32" s="49" t="inlineStr">
        <is>
          <t>성토 사면 비탈면 경사(1:1.5 이하) 측량, 사면 다짐도 ≥ 90% 검측 및 식생 거적(Jute Mat) 부설</t>
        </is>
      </c>
      <c r="R32" s="77">
        <f>HYPERLINK(LEFT(CELL("filename",A1),FIND("[",CELL("filename",A1))-1)&amp;"4.상부강화노반\31_연약지반처리(필요시)\체크리스트\연약지반처리_체크리스트.html", "👉 [클릭] 체크리스트 열기 📄")</f>
        <v/>
      </c>
      <c r="S32" s="47" t="n"/>
    </row>
    <row r="33" ht="115.2" customHeight="1">
      <c r="A33" s="47" t="inlineStr">
        <is>
          <t>9000</t>
        </is>
      </c>
      <c r="B33" s="47" t="inlineStr">
        <is>
          <t>9000-7</t>
        </is>
      </c>
      <c r="C33" s="47" t="inlineStr">
        <is>
          <t>상부강화노반</t>
        </is>
      </c>
      <c r="D33" s="47" t="inlineStr">
        <is>
          <t>9000-7-32</t>
        </is>
      </c>
      <c r="E33" s="47">
        <f>D32</f>
        <v/>
      </c>
      <c r="F33" s="47">
        <f>D34</f>
        <v/>
      </c>
      <c r="G33" s="47" t="inlineStr">
        <is>
          <t>D+45~180</t>
        </is>
      </c>
      <c r="H33" s="47" t="inlineStr">
        <is>
          <t>절성토경계부 배수구조물(맹암거) 시공</t>
        </is>
      </c>
      <c r="I33" s="47" t="inlineStr">
        <is>
          <t>현장 공사팀</t>
        </is>
      </c>
      <c r="J33" s="49" t="inlineStr">
        <is>
          <t>본 과업은 절토와 성토가 교차하는 경계 부위의 침투수 및 누수를 원활히 배수하기 위해 맹암거를 설치함으로써, 사면 붕괴 및 지반 약화를 방지하는 것을 목적으로 함.</t>
        </is>
      </c>
      <c r="K33" s="49" t="inlineStr">
        <is>
          <t>1) U형 측구 기초 버림(10cm) 타설 ➔ 2) U형 측구(0.4×0.4m) 부설 &amp; 인버트 사춤 ➔ 3) 주철 그레이팅 체결 &amp; 담수 시험 ➔ 4) 배수시설 검측서 감리 승인</t>
        </is>
      </c>
      <c r="L33" s="49" t="inlineStr">
        <is>
          <t>U형 측구(0.4×0.4m, 버림 10cm) 부설, 집수정 인버트 모타르 사춤 및 주철 그레이팅 체결/담수 시험</t>
        </is>
      </c>
      <c r="M33" s="49" t="inlineStr">
        <is>
          <t>본 과업은 절토와 성토가 교차하는 경계 부위의 침투수 및 누수를 원활히 배수하기 위해 맹암거를 설치함으로써, 사면 붕괴 및 지반 약화를 방지하는 것을 목적으로 함.</t>
        </is>
      </c>
      <c r="N33" s="75">
        <f>HYPERLINK(LEFT(CELL("filename",A1),FIND("[",CELL("filename",A1))-1)&amp;"4.상부강화노반\32_절성토경계부 배수구조물(맹암거) 시공\표준서\절성토경계부 배수구조물 시공_표준서.html", "👉 [클릭] 표준서 열기 📄")</f>
        <v/>
      </c>
      <c r="O33" s="49" t="inlineStr">
        <is>
          <t>1) U형 측구 기초 버림(10cm) 타설 ➔ 2) U형 측구(0.4×0.4m) 부설 &amp; 인버트 사춤 ➔ 3) 주철 그레이팅 체결 &amp; 담수 시험 ➔ 4) 배수시설 검측서 감리 승인</t>
        </is>
      </c>
      <c r="P33" s="76">
        <f>HYPERLINK(LEFT(CELL("filename",A1),FIND("[",CELL("filename",A1))-1)&amp;"4.상부강화노반\32_절성토경계부 배수구조물(맹암거) 시공\수행지침\절성토경계부 배수구조물 시공_수행지침.html", "👉 [클릭] 수행지침 열기 📄")</f>
        <v/>
      </c>
      <c r="Q33" s="49" t="inlineStr">
        <is>
          <t>U형 측구(0.4×0.4m, 버림 10cm) 부설, 집수정 인버트 모타르 사춤 및 주철 그레이팅 체결/담수 시험</t>
        </is>
      </c>
      <c r="R33" s="77">
        <f>HYPERLINK(LEFT(CELL("filename",A1),FIND("[",CELL("filename",A1))-1)&amp;"4.상부강화노반\32_절성토경계부 배수구조물(맹암거) 시공\체크리스트\절성토경계부 배수구조물 시공_체크리스트.html", "👉 [클릭] 체크리스트 열기 📄")</f>
        <v/>
      </c>
      <c r="S33" s="47" t="n"/>
    </row>
    <row r="34" ht="115.2" customHeight="1">
      <c r="A34" s="47" t="inlineStr">
        <is>
          <t>9000</t>
        </is>
      </c>
      <c r="B34" s="47" t="inlineStr">
        <is>
          <t>9000-7</t>
        </is>
      </c>
      <c r="C34" s="47" t="inlineStr">
        <is>
          <t>상부강화노반</t>
        </is>
      </c>
      <c r="D34" s="47" t="inlineStr">
        <is>
          <t>9000-7-33</t>
        </is>
      </c>
      <c r="E34" s="47">
        <f>D33</f>
        <v/>
      </c>
      <c r="F34" s="47">
        <f>D35</f>
        <v/>
      </c>
      <c r="G34" s="47" t="inlineStr">
        <is>
          <t>D+45~180</t>
        </is>
      </c>
      <c r="H34" s="47" t="inlineStr">
        <is>
          <t>암석쌓기</t>
        </is>
      </c>
      <c r="I34" s="47" t="inlineStr">
        <is>
          <t>현장 공사팀</t>
        </is>
      </c>
      <c r="J34" s="49" t="inlineStr">
        <is>
          <t>본 과업은 절토 암석 재료를 활용하여 대형 암석 쌓기를 시행할 때, 공극 채움재 처리와 층간 다짐을 정밀 관리하여 암석 성토층의 장기 유실 및 변형을 방지하는 것을 목적으로 함.</t>
        </is>
      </c>
      <c r="K34" s="49" t="inlineStr">
        <is>
          <t>1) 완성면 통제 바리케이트 설치 ➔ 2) 미세 분무 살수 &amp; 비닐 덮개 야적 ➔ 3) 일일 완성면 훼손 점검 ➔ 4) 완성면 보호 점검 대장 감리 승인</t>
        </is>
      </c>
      <c r="L34" s="49" t="inlineStr">
        <is>
          <t>통제 바리케이트(중장비 진입 100% 차단), 미세 분무 살수(골재이탈 예방) 및 완성면 보호 대장 작성</t>
        </is>
      </c>
      <c r="M34" s="49" t="inlineStr">
        <is>
          <t>본 과업은 절토 암석 재료를 활용하여 대형 암석 쌓기를 시행할 때, 공극 채움재 처리와 층간 다짐을 정밀 관리하여 암석 성토층의 장기 유실 및 변형을 방지하는 것을 목적으로 함.</t>
        </is>
      </c>
      <c r="N34" s="75">
        <f>HYPERLINK(LEFT(CELL("filename",A1),FIND("[",CELL("filename",A1))-1)&amp;"4.상부강화노반\33_암석쌓기\표준서\암석쌓기_표준서.html", "👉 [클릭] 표준서 열기 📄")</f>
        <v/>
      </c>
      <c r="O34" s="49" t="inlineStr">
        <is>
          <t>1) 완성면 통제 바리케이트 설치 ➔ 2) 미세 분무 살수 &amp; 비닐 덮개 야적 ➔ 3) 일일 완성면 훼손 점검 ➔ 4) 완성면 보호 점검 대장 감리 승인</t>
        </is>
      </c>
      <c r="P34" s="76">
        <f>HYPERLINK(LEFT(CELL("filename",A1),FIND("[",CELL("filename",A1))-1)&amp;"4.상부강화노반\33_암석쌓기\수행지침\암석쌓기_수행지침.html", "👉 [클릭] 수행지침 열기 📄")</f>
        <v/>
      </c>
      <c r="Q34" s="49" t="inlineStr">
        <is>
          <t>통제 바리케이트(중장비 진입 100% 차단), 미세 분무 살수(골재이탈 예방) 및 완성면 보호 대장 작성</t>
        </is>
      </c>
      <c r="R34" s="77">
        <f>HYPERLINK(LEFT(CELL("filename",A1),FIND("[",CELL("filename",A1))-1)&amp;"4.상부강화노반\33_암석쌓기\체크리스트\암석쌓기_체크리스트.html", "👉 [클릭] 체크리스트 열기 📄")</f>
        <v/>
      </c>
      <c r="S34" s="47" t="n"/>
    </row>
    <row r="35" ht="115.2" customHeight="1">
      <c r="A35" s="47" t="inlineStr">
        <is>
          <t>9000</t>
        </is>
      </c>
      <c r="B35" s="47" t="inlineStr">
        <is>
          <t>9000-7</t>
        </is>
      </c>
      <c r="C35" s="47" t="inlineStr">
        <is>
          <t>상부강화노반</t>
        </is>
      </c>
      <c r="D35" s="47" t="inlineStr">
        <is>
          <t>9000-7-34</t>
        </is>
      </c>
      <c r="E35" s="47">
        <f>D34</f>
        <v/>
      </c>
      <c r="F35" s="47">
        <f>D36</f>
        <v/>
      </c>
      <c r="G35" s="47" t="inlineStr">
        <is>
          <t>D+45~180</t>
        </is>
      </c>
      <c r="H35" s="47" t="inlineStr">
        <is>
          <t>방치기간 확보</t>
        </is>
      </c>
      <c r="I35" s="47" t="inlineStr">
        <is>
          <t>현장 공사팀</t>
        </is>
      </c>
      <c r="J35" s="49" t="inlineStr">
        <is>
          <t>본 과업은 연약지반 개량 및 대성토 구간의 압밀 침하가 충분히 완료되도록 법정 방치 기간을 확보하고 모니터링하여, 궤도 시공 후 불등침하가 발생하지 않도록 조치하는 것을 목적으로 함.</t>
        </is>
      </c>
      <c r="K35" s="49" t="inlineStr">
        <is>
          <t>1) 일일 인원/장비/물량 집계 ➔ 2) 품질 시험 성적 &amp; TBM 수록 ➔ 3) CSI 전산 시스템 등록 ➔ 4) 책임감리원 일일 서면 직인 결재</t>
        </is>
      </c>
      <c r="L35" s="49" t="inlineStr">
        <is>
          <t>일일 투입 인원/장비/성토 물량(m³) 집계, CSI 전산 관리 시스템 등록 및 감리 일일 서면 직인</t>
        </is>
      </c>
      <c r="M35" s="49" t="inlineStr">
        <is>
          <t>본 과업은 연약지반 개량 및 대성토 구간의 압밀 침하가 충분히 완료되도록 법정 방치 기간을 확보하고 모니터링하여, 궤도 시공 후 불등침하가 발생하지 않도록 조치하는 것을 목적으로 함.</t>
        </is>
      </c>
      <c r="N35" s="75">
        <f>HYPERLINK(LEFT(CELL("filename",A1),FIND("[",CELL("filename",A1))-1)&amp;"4.상부강화노반\34_방치기간 확보\표준서\방치기간 확보_표준서.html", "👉 [클릭] 표준서 열기 📄")</f>
        <v/>
      </c>
      <c r="O35" s="49" t="inlineStr">
        <is>
          <t>1) 일일 인원/장비/물량 집계 ➔ 2) 품질 시험 성적 &amp; TBM 수록 ➔ 3) CSI 전산 시스템 등록 ➔ 4) 책임감리원 일일 서면 직인 결재</t>
        </is>
      </c>
      <c r="P35" s="76">
        <f>HYPERLINK(LEFT(CELL("filename",A1),FIND("[",CELL("filename",A1))-1)&amp;"4.상부강화노반\34_방치기간 확보\수행지침\방치기간 확보_수행지침.html", "👉 [클릭] 수행지침 열기 📄")</f>
        <v/>
      </c>
      <c r="Q35" s="49" t="inlineStr">
        <is>
          <t>일일 투입 인원/장비/성토 물량(m³) 집계, CSI 전산 관리 시스템 등록 및 감리 일일 서면 직인</t>
        </is>
      </c>
      <c r="R35" s="77">
        <f>HYPERLINK(LEFT(CELL("filename",A1),FIND("[",CELL("filename",A1))-1)&amp;"4.상부강화노반\34_방치기간 확보\체크리스트\방치기간 확보_체크리스트.html", "👉 [클릭] 체크리스트 열기 📄")</f>
        <v/>
      </c>
      <c r="S35" s="47" t="n"/>
    </row>
    <row r="36" ht="115.2" customHeight="1">
      <c r="A36" s="47" t="inlineStr">
        <is>
          <t>9000</t>
        </is>
      </c>
      <c r="B36" s="47" t="inlineStr">
        <is>
          <t>9000-7</t>
        </is>
      </c>
      <c r="C36" s="47" t="inlineStr">
        <is>
          <t>상부강화노반</t>
        </is>
      </c>
      <c r="D36" s="47" t="inlineStr">
        <is>
          <t>9000-7-35</t>
        </is>
      </c>
      <c r="E36" s="47">
        <f>D35</f>
        <v/>
      </c>
      <c r="F36" s="47">
        <f>D37</f>
        <v/>
      </c>
      <c r="G36" s="47" t="inlineStr">
        <is>
          <t>D+55~240</t>
        </is>
      </c>
      <c r="H36" s="47" t="inlineStr">
        <is>
          <t>토공마무리</t>
        </is>
      </c>
      <c r="I36" s="47" t="inlineStr">
        <is>
          <t>현장 공사팀</t>
        </is>
      </c>
      <c r="J36" s="49" t="inlineStr">
        <is>
          <t>본 과업은 상부강화노반 표면의 평탄성(3m 직선자 오차 ±10mm 이내)과 종·횡단 표고를 정밀 정돈하여, 궤도 공사 착수를 위한 최종 토공 마무리면 품질을 완성하는 것을 목적으로 함.</t>
        </is>
      </c>
      <c r="K36" s="49" t="inlineStr">
        <is>
          <t>1) 공종별 검측요청서 24시간 전 제출 ➔ 2) 책임감리원 1:1 현장 입회 ➔ 3) 16개 체크리스트 서명 ➔ 4) 검측 총괄 승인 대장 감리 결재</t>
        </is>
      </c>
      <c r="L36" s="49" t="inlineStr">
        <is>
          <t>공사 착수 24시간 전 검측 요청서 제출, 책임감리원 1:1 현장 입회 및 16개 체크리스트 서명 대장</t>
        </is>
      </c>
      <c r="M36" s="49" t="inlineStr">
        <is>
          <t>본 과업은 상부강화노반 표면의 평탄성(3m 직선자 오차 ±10mm 이내)과 종·횡단 표고를 정밀 정돈하여, 궤도 공사 착수를 위한 최종 토공 마무리면 품질을 완성하는 것을 목적으로 함.</t>
        </is>
      </c>
      <c r="N36" s="75">
        <f>HYPERLINK(LEFT(CELL("filename",A1),FIND("[",CELL("filename",A1))-1)&amp;"4.상부강화노반\35_토공마무리\표준서\토공마무리_표준서.html", "👉 [클릭] 표준서 열기 📄")</f>
        <v/>
      </c>
      <c r="O36" s="49" t="inlineStr">
        <is>
          <t>1) 공종별 검측요청서 24시간 전 제출 ➔ 2) 책임감리원 1:1 현장 입회 ➔ 3) 16개 체크리스트 서명 ➔ 4) 검측 총괄 승인 대장 감리 결재</t>
        </is>
      </c>
      <c r="P36" s="76">
        <f>HYPERLINK(LEFT(CELL("filename",A1),FIND("[",CELL("filename",A1))-1)&amp;"4.상부강화노반\35_토공마무리\수행지침\토공마무리_수행지침.html", "👉 [클릭] 수행지침 열기 📄")</f>
        <v/>
      </c>
      <c r="Q36" s="49" t="inlineStr">
        <is>
          <t>공사 착수 24시간 전 검측 요청서 제출, 책임감리원 1:1 현장 입회 및 16개 체크리스트 서명 대장</t>
        </is>
      </c>
      <c r="R36" s="77">
        <f>HYPERLINK(LEFT(CELL("filename",A1),FIND("[",CELL("filename",A1))-1)&amp;"4.상부강화노반\35_토공마무리\체크리스트\토공마무리_체크리스트.html", "👉 [클릭] 체크리스트 열기 📄")</f>
        <v/>
      </c>
      <c r="S36" s="47" t="n"/>
    </row>
    <row r="37" ht="96" customHeight="1">
      <c r="A37" s="47" t="inlineStr">
        <is>
          <t>9000</t>
        </is>
      </c>
      <c r="B37" s="47" t="inlineStr">
        <is>
          <t>9000-7</t>
        </is>
      </c>
      <c r="C37" s="47" t="inlineStr">
        <is>
          <t>상부강화노반</t>
        </is>
      </c>
      <c r="D37" s="47" t="inlineStr">
        <is>
          <t>9000-7-36</t>
        </is>
      </c>
      <c r="E37" s="47">
        <f>D36</f>
        <v/>
      </c>
      <c r="F37" s="47">
        <f>D38</f>
        <v/>
      </c>
      <c r="G37" s="47" t="inlineStr">
        <is>
          <t>D+55~240</t>
        </is>
      </c>
      <c r="H37" s="47" t="inlineStr">
        <is>
          <t>토공 마무리면 인계</t>
        </is>
      </c>
      <c r="I37" s="47" t="inlineStr">
        <is>
          <t>현장 공사팀</t>
        </is>
      </c>
      <c r="J37" s="49" t="inlineStr">
        <is>
          <t>본 과업은 완성된 상부강화노반에 대해 토공 시공사, 궤도 시공사, 감리단 3자 합동 현장 검측을 실시하여 품질 합격 여부를 확인하고, 궤도 공종으로의 권한 및 부지를 정식 인계인수하는 것을 목적으로 함.</t>
        </is>
      </c>
      <c r="K37" s="49" t="inlineStr">
        <is>
          <t>1) 3자(토공-궤도-감리) 합동 현측 ➔ 2) 표고(±10mm) &amp; K30(≥110) 재검측 ➔ 3) 인계인수 합의서 3자 서명 ➔ 4) 상부강화노반 최종 완공 통보</t>
        </is>
      </c>
      <c r="L37" s="49" t="inlineStr">
        <is>
          <t>토공-궤도-감리 3자 합동 현측(표고 ±10mm, K30 ≥ 110), 인계인수 합의서 서명 및 완공 통보</t>
        </is>
      </c>
      <c r="M37" s="49" t="inlineStr">
        <is>
          <t>본 과업은 완성된 상부강화노반에 대해 토공 시공사, 궤도 시공사, 감리단 3자 합동 현장 검측을 실시하여 품질 합격 여부를 확인하고, 궤도 공종으로의 권한 및 부지를 정식 인계인수하는 것을 목적으로 함.</t>
        </is>
      </c>
      <c r="N37" s="75">
        <f>HYPERLINK(LEFT(CELL("filename",A1),FIND("[",CELL("filename",A1))-1)&amp;"4.상부강화노반\36_토공 마무리면 인계\표준서\토공 마무리면 인계_표준서.html", "👉 [클릭] 표준서 열기 📄")</f>
        <v/>
      </c>
      <c r="O37" s="49" t="inlineStr">
        <is>
          <t>1) 3자(토공-궤도-감리) 합동 현측 ➔ 2) 표고(±10mm) &amp; K30(≥110) 재검측 ➔ 3) 인계인수 합의서 3자 서명 ➔ 4) 상부강화노반 최종 완공 통보</t>
        </is>
      </c>
      <c r="P37" s="76">
        <f>HYPERLINK(LEFT(CELL("filename",A1),FIND("[",CELL("filename",A1))-1)&amp;"4.상부강화노반\36_토공 마무리면 인계\수행지침\토공 마무리면 인계_수행지침.html", "👉 [클릭] 수행지침 열기 📄")</f>
        <v/>
      </c>
      <c r="Q37" s="49" t="inlineStr">
        <is>
          <t>토공-궤도-감리 3자 합동 현측(표고 ±10mm, K30 ≥ 110), 인계인수 합의서 서명 및 완공 통보</t>
        </is>
      </c>
      <c r="R37" s="77">
        <f>HYPERLINK(LEFT(CELL("filename",A1),FIND("[",CELL("filename",A1))-1)&amp;"4.상부강화노반\36_토공 마무리면 인계\체크리스트\토공 마무리면 인계_체크리스트.html", "👉 [클릭] 체크리스트 열기 📄")</f>
        <v/>
      </c>
      <c r="S37" s="47" t="n"/>
    </row>
    <row r="38">
      <c r="E38" s="47">
        <f>D37</f>
        <v/>
      </c>
      <c r="F38" s="47">
        <f>D39</f>
        <v/>
      </c>
    </row>
    <row r="39">
      <c r="E39" s="47">
        <f>D38</f>
        <v/>
      </c>
      <c r="F39" s="47"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5.xml><?xml version="1.0" encoding="utf-8"?>
<worksheet xmlns="http://schemas.openxmlformats.org/spreadsheetml/2006/main">
  <sheetPr codeName="Sheet5">
    <tabColor rgb="FFFFFF00"/>
    <outlinePr summaryBelow="1" summaryRight="1"/>
    <pageSetUpPr/>
  </sheetPr>
  <dimension ref="A1:V39"/>
  <sheetViews>
    <sheetView view="pageBreakPreview" topLeftCell="B1" zoomScale="55" zoomScaleNormal="55" zoomScaleSheetLayoutView="55" workbookViewId="0">
      <pane xSplit="1" ySplit="1" topLeftCell="I8" activePane="bottomRight" state="frozen"/>
      <selection activeCell="B1" sqref="B1"/>
      <selection pane="topRight" activeCell="C1" sqref="C1"/>
      <selection pane="bottomLeft" activeCell="B2" sqref="B2"/>
      <selection pane="bottomRight" activeCell="K12" sqref="K12"/>
    </sheetView>
  </sheetViews>
  <sheetFormatPr baseColWidth="8" defaultColWidth="11.8984375" defaultRowHeight="19.2"/>
  <cols>
    <col width="11.8984375" customWidth="1" style="42" min="1" max="3"/>
    <col width="15" customWidth="1" style="22" min="4" max="4"/>
    <col width="16" customWidth="1" style="22" min="5" max="6"/>
    <col width="14.3984375" customWidth="1" style="45" min="7" max="7"/>
    <col width="17.19921875" customWidth="1" style="22" min="8" max="8"/>
    <col width="14.3984375" customWidth="1" style="22" min="9" max="9"/>
    <col width="24.19921875" customWidth="1" style="42" min="10" max="10"/>
    <col width="79.09765625" customWidth="1" style="22" min="11" max="11"/>
    <col width="19.8984375" customWidth="1" style="22" min="12" max="12"/>
    <col width="39.59765625" customWidth="1" style="42" min="13" max="13"/>
    <col width="11.8984375" customWidth="1" style="42" min="14" max="14"/>
    <col width="40.8984375" customWidth="1" style="42" min="15" max="15"/>
    <col width="11.59765625" customWidth="1" style="42" min="16" max="16"/>
    <col width="32.796875" bestFit="1" customWidth="1" style="42" min="17" max="17"/>
    <col width="12.296875" customWidth="1" style="54" min="18" max="18"/>
    <col hidden="1" width="11.8984375" customWidth="1" style="42" min="19" max="19"/>
    <col width="11.8984375" customWidth="1" style="54" min="20" max="21"/>
    <col width="11.8984375" customWidth="1" style="42" min="22" max="55"/>
    <col width="11.8984375" customWidth="1" style="42" min="56" max="16384"/>
  </cols>
  <sheetData>
    <row r="1" ht="46.8" customHeight="1">
      <c r="A1" s="6" t="inlineStr">
        <is>
          <t>L2 코드</t>
        </is>
      </c>
      <c r="B1" s="6" t="inlineStr">
        <is>
          <t>L3 코드</t>
        </is>
      </c>
      <c r="C1" s="6" t="inlineStr">
        <is>
          <t>L3 대공종명</t>
        </is>
      </c>
      <c r="D1" s="6" t="inlineStr">
        <is>
          <t>L4 코드</t>
        </is>
      </c>
      <c r="E1" s="6" t="inlineStr">
        <is>
          <t>선행</t>
        </is>
      </c>
      <c r="F1" s="6" t="inlineStr">
        <is>
          <t>후행</t>
        </is>
      </c>
      <c r="G1" s="6" t="inlineStr">
        <is>
          <t>일정 (D-Day)</t>
        </is>
      </c>
      <c r="H1" s="6" t="inlineStr">
        <is>
          <t>작업단위 (Level 4 Task/Activity)</t>
        </is>
      </c>
      <c r="I1" s="6" t="inlineStr">
        <is>
          <t>주관</t>
        </is>
      </c>
      <c r="J1" s="6" t="inlineStr">
        <is>
          <t>목적</t>
        </is>
      </c>
      <c r="K1" s="6" t="inlineStr">
        <is>
          <t>방법</t>
        </is>
      </c>
      <c r="L1" s="6" t="inlineStr">
        <is>
          <t>산출물(결과)</t>
        </is>
      </c>
      <c r="M1" s="6" t="inlineStr">
        <is>
          <t>표준서 (Standard) 요약</t>
        </is>
      </c>
      <c r="N1" s="7" t="inlineStr">
        <is>
          <t>표준서 파일 (HTML)</t>
        </is>
      </c>
      <c r="O1" s="6" t="inlineStr">
        <is>
          <t>수행지침 (Guideline) 요약</t>
        </is>
      </c>
      <c r="P1" s="7" t="inlineStr">
        <is>
          <t>수행지침 파일 (HTML)</t>
        </is>
      </c>
      <c r="Q1" s="6" t="inlineStr">
        <is>
          <t>체크리스트 (Checklist) 요약</t>
        </is>
      </c>
      <c r="R1" s="7" t="inlineStr">
        <is>
          <t>체크리스트 파일 (HTML)</t>
        </is>
      </c>
      <c r="S1" s="6" t="inlineStr">
        <is>
          <t>비고</t>
        </is>
      </c>
      <c r="T1" s="6" t="inlineStr">
        <is>
          <t>첨부서류 연계 상세 설계기준</t>
        </is>
      </c>
      <c r="U1" s="6" t="inlineStr">
        <is>
          <t>집행단계 리스크 체크리스트</t>
        </is>
      </c>
      <c r="V1" s="6" t="inlineStr">
        <is>
          <t>협력사 시공/공사관리 자문</t>
        </is>
      </c>
    </row>
    <row r="2" ht="96" customHeight="1">
      <c r="A2" s="47" t="inlineStr">
        <is>
          <t>9000</t>
        </is>
      </c>
      <c r="B2" s="47" t="inlineStr">
        <is>
          <t>9000-6</t>
        </is>
      </c>
      <c r="C2" s="48" t="inlineStr">
        <is>
          <t>콘크리트도상분야</t>
        </is>
      </c>
      <c r="D2" s="47" t="inlineStr">
        <is>
          <t>9000-6-1</t>
        </is>
      </c>
      <c r="E2" s="47" t="n"/>
      <c r="F2" s="47">
        <f>D3</f>
        <v/>
      </c>
      <c r="G2" s="47" t="inlineStr">
        <is>
          <t>D-120 (D-150~D-120)</t>
        </is>
      </c>
      <c r="H2" s="47" t="inlineStr">
        <is>
          <t>설계적정성 검토</t>
        </is>
      </c>
      <c r="I2" s="47" t="inlineStr">
        <is>
          <t>현장소장</t>
        </is>
      </c>
      <c r="J2" s="49" t="inlineStr">
        <is>
          <t>노반부/궤도부 선형 및 종단 일치 등 설계오류 및 누락 확인</t>
        </is>
      </c>
      <c r="K2" s="49" t="inlineStr">
        <is>
          <t>노반부/궤도부 선형 및 종단 도면 및 설계 자료 비교 검토 실시
- 궤도 부속자재(체결구, 침목 등) 소요비 비용 설계반영 확인
- 유사시공사례 Case Study
- 지원: 본사담당팀(설계/수행/품질/외주)</t>
        </is>
      </c>
      <c r="L2" s="49" t="inlineStr">
        <is>
          <t>설계도면 검토서, 선형대조표</t>
        </is>
      </c>
      <c r="M2" s="49" t="inlineStr">
        <is>
          <t>KDS 47 30 00 궤도 설계기준 및 국토교통부 트램 건설 규칙을 엄격히 준수한다. 노반부-궤도부 선형 및 종단 계획고 일치 오차 0mm 검토.</t>
        </is>
      </c>
      <c r="N2" s="75">
        <f>HYPERLINK(LEFT(CELL("filename",A1),FIND("[",CELL("filename",A1))-1)&amp;"5.콘크리트도상\1_설계적정성 검토\표준서\설계적정성 검토_표준서.html", "👉 [클릭] 표준서 열기 📄")</f>
        <v/>
      </c>
      <c r="O2" s="49" t="inlineStr">
        <is>
          <t>1) 하부 HBS 강화노반 지지력(K70 ≥ 150 MPa/m) 및 평탄성 사전 검측 확인
2) 궤도 정밀 검측: 궤간(1435mm), 캔트(±2mm), 수평(±2mm), 고저(±2mm/10m), 비틀림(1.5mm/3m) 실시간 검측</t>
        </is>
      </c>
      <c r="P2" s="76">
        <f>HYPERLINK(LEFT(CELL("filename",A1),FIND("[",CELL("filename",A1))-1)&amp;"5.콘크리트도상\1_설계적정성 검토\수행지침\설계적정성 검토_수행지침.html", "👉 [클릭] 수행지침 열기 📄")</f>
        <v/>
      </c>
      <c r="Q2" s="49" t="inlineStr">
        <is>
          <t>설계 도면 간섭 검속, 궤도 중심선 계획 표고 대조, 종단 구배 한계치 준수 확인</t>
        </is>
      </c>
      <c r="R2" s="77">
        <f>HYPERLINK(LEFT(CELL("filename",A1),FIND("[",CELL("filename",A1))-1)&amp;"5.콘크리트도상\1_설계적정성 검토\체크리스트\설계적정성 검토_체크리스트.html", "👉 [클릭] 체크리스트 열기 📄")</f>
        <v/>
      </c>
      <c r="S2" s="47" t="n"/>
      <c r="T2" s="69" t="inlineStr">
        <is>
          <t>● 노반부 및 궤도 선형 기하학적 설계 기준 일치성</t>
        </is>
      </c>
      <c r="U2" s="69" t="inlineStr">
        <is>
          <t>1) 👉 [더블클릭] 체크리스트 열기 📄</t>
        </is>
      </c>
      <c r="V2" s="49" t="n"/>
    </row>
    <row r="3" ht="96" customHeight="1">
      <c r="A3" s="47" t="inlineStr">
        <is>
          <t>9000</t>
        </is>
      </c>
      <c r="B3" s="47" t="inlineStr">
        <is>
          <t>9000-6</t>
        </is>
      </c>
      <c r="C3" s="48" t="inlineStr">
        <is>
          <t>콘크리트도상분야</t>
        </is>
      </c>
      <c r="D3" s="47" t="inlineStr">
        <is>
          <t>9000-6-2</t>
        </is>
      </c>
      <c r="E3" s="47">
        <f>D2</f>
        <v/>
      </c>
      <c r="F3" s="47">
        <f>D4</f>
        <v/>
      </c>
      <c r="G3" s="47" t="inlineStr">
        <is>
          <t>D-100 (D-120~D-100)</t>
        </is>
      </c>
      <c r="H3" s="47" t="inlineStr">
        <is>
          <t>자재 야적장 선정</t>
        </is>
      </c>
      <c r="I3" s="47" t="inlineStr">
        <is>
          <t>현장 공무팀</t>
        </is>
      </c>
      <c r="J3" s="49" t="inlineStr">
        <is>
          <t>콘크리트도상 시공에 필요한 침목, 체결구 등 자재야적 부지 선정</t>
        </is>
      </c>
      <c r="K3" s="49"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L3" s="49" t="inlineStr">
        <is>
          <t>부지사용계약서, 가설야적장 평면도</t>
        </is>
      </c>
      <c r="M3" s="49" t="inlineStr">
        <is>
          <t>침목, 체결구, 홈레일 등 궤도 주요 자재의 현장 보관 기준 수립. 배수 경사 2% 및 지반 다짐도 95% 이상 야적장 확보.</t>
        </is>
      </c>
      <c r="N3" s="75">
        <f>HYPERLINK(LEFT(CELL("filename",A1),FIND("[",CELL("filename",A1))-1)&amp;"5.콘크리트도상\2_자재 야적장 선정\표준서\자재 야적장 선정_표준서.html", "👉 [클릭] 표준서 열기 📄")</f>
        <v/>
      </c>
      <c r="O3" s="49" t="inlineStr">
        <is>
          <t>1) 야적 부지 지반재하시험(K70 ≥ 150 MPa/m)을 실시하여 하중 침하 여부 사전 검증
2) 장대레일 운반 트레일러(길이 30m 이상) 회전반경 및 크레인 인양 진입로 확보</t>
        </is>
      </c>
      <c r="P3" s="76">
        <f>HYPERLINK(LEFT(CELL("filename",A1),FIND("[",CELL("filename",A1))-1)&amp;"5.콘크리트도상\2_자재 야적장 선정\수행지침\자재 야적장 선정_수행지침.html", "👉 [클릭] 수행지침 열기 📄")</f>
        <v/>
      </c>
      <c r="Q3" s="49" t="inlineStr">
        <is>
          <t>야적장 지반 다짐도 95% 이상, 배수 경사 2% 이상 확보, 자재 천막 덮개 구비</t>
        </is>
      </c>
      <c r="R3" s="77">
        <f>HYPERLINK(LEFT(CELL("filename",A1),FIND("[",CELL("filename",A1))-1)&amp;"5.콘크리트도상\2_자재 야적장 선정\체크리스트\자재 야적장 선정_체크리스트.html", "👉 [클릭] 체크리스트 열기 📄")</f>
        <v/>
      </c>
      <c r="S3" s="47" t="n"/>
      <c r="T3" s="69" t="inlineStr">
        <is>
          <t>● 궤도 자재의 환경 보호 및 보관 관리 지침</t>
        </is>
      </c>
      <c r="U3" s="69" t="inlineStr">
        <is>
          <t>1) 👉 [더블클릭] 체크리스트 열기 📄</t>
        </is>
      </c>
      <c r="V3" s="49" t="n"/>
    </row>
    <row r="4" ht="96" customHeight="1">
      <c r="A4" s="47" t="inlineStr">
        <is>
          <t>9000</t>
        </is>
      </c>
      <c r="B4" s="47" t="inlineStr">
        <is>
          <t>9000-6</t>
        </is>
      </c>
      <c r="C4" s="48" t="inlineStr">
        <is>
          <t>콘크리트도상분야</t>
        </is>
      </c>
      <c r="D4" s="47" t="inlineStr">
        <is>
          <t>9000-6-3</t>
        </is>
      </c>
      <c r="E4" s="47">
        <f>D3</f>
        <v/>
      </c>
      <c r="F4" s="47">
        <f>D5</f>
        <v/>
      </c>
      <c r="G4" s="47" t="inlineStr">
        <is>
          <t>D-100 (D-120~D-100)</t>
        </is>
      </c>
      <c r="H4" s="47" t="inlineStr">
        <is>
          <t>레일 용접장 선정</t>
        </is>
      </c>
      <c r="I4" s="47" t="inlineStr">
        <is>
          <t>현장 공무팀</t>
        </is>
      </c>
      <c r="J4" s="49" t="inlineStr">
        <is>
          <t>정척레일 15본을 용접하여 200m 이상의 장대레일 제작하는 작업장을 선정 (타분야 인터페이스 고려)</t>
        </is>
      </c>
      <c r="K4" s="49"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L4" s="49" t="inlineStr">
        <is>
          <t>용접장 임시지정서, NDT 검사실 계획서</t>
        </is>
      </c>
      <c r="M4" s="49" t="inlineStr">
        <is>
          <t>EN 14730 테르밋 및 EN 14587 가스압접 용접을 위한 작업 공간 확보. 정척레일(25m)을 200m 장대로 용접하는 평탄 작업대 수평 오차 ±1mm 이내 확보.</t>
        </is>
      </c>
      <c r="N4" s="75">
        <f>HYPERLINK(LEFT(CELL("filename",A1),FIND("[",CELL("filename",A1))-1)&amp;"5.콘크리트도상\3_레일 용접장 선정\표준서\레일 용접장 선정_표준서.html", "👉 [클릭] 표준서 열기 📄")</f>
        <v/>
      </c>
      <c r="O4" s="49" t="inlineStr">
        <is>
          <t>1) m 장대레일 일직선 이송을 위한 롤러대 기반 수평 정밀 측량 (오차 ±0.5mm/10m 이내)
2) 가스압접/플래시버트 용접용 대용량 전력 및 아세틸렌/산소 가스 안전 저장소 확보</t>
        </is>
      </c>
      <c r="P4" s="76">
        <f>HYPERLINK(LEFT(CELL("filename",A1),FIND("[",CELL("filename",A1))-1)&amp;"5.콘크리트도상\3_레일 용접장 선정\수행지침\레일 용접장 선정_수행지침.html", "👉 [클릭] 수행지침 열기 📄")</f>
        <v/>
      </c>
      <c r="Q4" s="49" t="inlineStr">
        <is>
          <t>용접장 평탄성 오차 ±1mm 이내, 전력 공급 및 방풍 시설 완비, NDT(비파괴) 대기 공간 확보</t>
        </is>
      </c>
      <c r="R4" s="77">
        <f>HYPERLINK(LEFT(CELL("filename",A1),FIND("[",CELL("filename",A1))-1)&amp;"5.콘크리트도상\3_레일 용접장 선정\체크리스트\레일 용접장 선정_체크리스트.html", "👉 [클릭] 체크리스트 열기 📄")</f>
        <v/>
      </c>
      <c r="S4" s="47" t="n"/>
      <c r="T4" s="69" t="inlineStr">
        <is>
          <t>● 장대레일 제작장 확보 및 공간 레이아웃 만족</t>
        </is>
      </c>
      <c r="U4" s="69" t="inlineStr">
        <is>
          <t>1) 👉 [더블클릭] 체크리스트 열기 📄</t>
        </is>
      </c>
      <c r="V4" s="49" t="n"/>
    </row>
    <row r="5" ht="134.4" customHeight="1">
      <c r="A5" s="47" t="inlineStr">
        <is>
          <t>9000</t>
        </is>
      </c>
      <c r="B5" s="47" t="inlineStr">
        <is>
          <t>9000-6</t>
        </is>
      </c>
      <c r="C5" s="48" t="inlineStr">
        <is>
          <t>콘크리트도상분야</t>
        </is>
      </c>
      <c r="D5" s="47" t="inlineStr">
        <is>
          <t>9000-6-4</t>
        </is>
      </c>
      <c r="E5" s="47">
        <f>D4</f>
        <v/>
      </c>
      <c r="F5" s="47">
        <f>D6</f>
        <v/>
      </c>
      <c r="G5" s="47" t="inlineStr">
        <is>
          <t>D-90 (D-120~D-90)</t>
        </is>
      </c>
      <c r="H5" s="47" t="inlineStr">
        <is>
          <t>발주전략 KOM</t>
        </is>
      </c>
      <c r="I5" s="47" t="inlineStr">
        <is>
          <t>현장 공무팀</t>
        </is>
      </c>
      <c r="J5" s="49" t="inlineStr">
        <is>
          <t>궤도공사 발주전략 수립 / 발주조건 CP적합 여부 검토</t>
        </is>
      </c>
      <c r="K5" s="49"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L5" s="49" t="inlineStr">
        <is>
          <t>KOM 의사록, 품질 보증 합의서</t>
        </is>
      </c>
      <c r="M5" s="49" t="inlineStr">
        <is>
          <t>KCS 47 30 00 시방 기준 준수. 궤도 자재 품질 확인서 및 외산 홈레일 조달 리스크 대응 전략 수립.</t>
        </is>
      </c>
      <c r="N5" s="75">
        <f>HYPERLINK(LEFT(CELL("filename",A1),FIND("[",CELL("filename",A1))-1)&amp;"5.콘크리트도상\4_발주전략 KOM\표준서\발주전략 KOM_표준서.html", "👉 [클릭] 표준서 열기 📄")</f>
        <v/>
      </c>
      <c r="O5" s="49" t="inlineStr">
        <is>
          <t>1) 제조사 공장검사(FAT) 항목 및 궤도 정밀 검측 공차 기준 전파
2) KDS 47 30 00 및 KS 규격 만족 자재 목록 및 세부 발주 물량 확정</t>
        </is>
      </c>
      <c r="P5" s="76">
        <f>HYPERLINK(LEFT(CELL("filename",A1),FIND("[",CELL("filename",A1))-1)&amp;"5.콘크리트도상\4_발주전략 KOM\수행지침\발주전략 KOM_수행지침.html", "👉 [클릭] 수행지침 열기 📄")</f>
        <v/>
      </c>
      <c r="Q5" s="49" t="inlineStr">
        <is>
          <t>품질 요구조건 특기시방서 의결, 외산 홈레일 선적일정 검토, 자재 인도 시점 확약</t>
        </is>
      </c>
      <c r="R5" s="77">
        <f>HYPERLINK(LEFT(CELL("filename",A1),FIND("[",CELL("filename",A1))-1)&amp;"5.콘크리트도상\4_발주전략 KOM\체크리스트\발주전략 KOM_체크리스트.html", "👉 [클릭] 체크리스트 열기 📄")</f>
        <v/>
      </c>
      <c r="S5" s="47" t="n"/>
      <c r="T5" s="69" t="inlineStr">
        <is>
          <t>● 본사 외주/수행 부서 및 토목견적팀 협의 지침 준수</t>
        </is>
      </c>
      <c r="U5" s="69" t="inlineStr">
        <is>
          <t>1) 👉 [더블클릭] 체크리스트 열기 📄</t>
        </is>
      </c>
      <c r="V5" s="49" t="n"/>
    </row>
    <row r="6" ht="96" customHeight="1">
      <c r="A6" s="47" t="inlineStr">
        <is>
          <t>9000</t>
        </is>
      </c>
      <c r="B6" s="47" t="inlineStr">
        <is>
          <t>9000-6</t>
        </is>
      </c>
      <c r="C6" s="48" t="inlineStr">
        <is>
          <t>콘크리트도상분야</t>
        </is>
      </c>
      <c r="D6" s="47" t="inlineStr">
        <is>
          <t>9000-6-5</t>
        </is>
      </c>
      <c r="E6" s="47">
        <f>D5</f>
        <v/>
      </c>
      <c r="F6" s="47">
        <f>D7</f>
        <v/>
      </c>
      <c r="G6" s="47" t="inlineStr">
        <is>
          <t>D-60 (D-90~D-60)</t>
        </is>
      </c>
      <c r="H6" s="47" t="inlineStr">
        <is>
          <t>최고의 팀 만들기 지원</t>
        </is>
      </c>
      <c r="I6" s="47" t="inlineStr">
        <is>
          <t>외주관리팀</t>
        </is>
      </c>
      <c r="J6" s="49" t="inlineStr">
        <is>
          <t>우수 협력사 및 작업반 선정</t>
        </is>
      </c>
      <c r="K6" s="49" t="inlineStr">
        <is>
          <t>- 동일 환경조건 시공경험 보유 여부 검토
- 투입인원 경력, 현장이해도, 관리역량, 파트너 업체 검증</t>
        </is>
      </c>
      <c r="L6" s="49" t="inlineStr">
        <is>
          <t>협력사 적격성 심사표, 노무안전서약철</t>
        </is>
      </c>
      <c r="M6" s="49" t="inlineStr">
        <is>
          <t>EN ISO 9606-1 용접 자격자 및 궤도 정밀 검측원(Track Master 운용원) 확보 심사 기준.</t>
        </is>
      </c>
      <c r="N6" s="75">
        <f>HYPERLINK(LEFT(CELL("filename",A1),FIND("[",CELL("filename",A1))-1)&amp;"5.콘크리트도상\5_최고의 팀 만들기 지원\표준서\최고의 팀 만들기 지원_표준서.html", "👉 [클릭] 표준서 열기 📄")</f>
        <v/>
      </c>
      <c r="O6" s="49" t="inlineStr">
        <is>
          <t>1) EN ISO 14730 용접원 자격증 및 광학 측량 기술자 자격 검증
2) 스핀들 게이지 조정, 캔트 달성구배, 테르밋 산화반응 제어 사전 모의 훈련</t>
        </is>
      </c>
      <c r="P6" s="76">
        <f>HYPERLINK(LEFT(CELL("filename",A1),FIND("[",CELL("filename",A1))-1)&amp;"5.콘크리트도상\5_최고의 팀 만들기 지원\수행지침\최고의 팀 만들기 지원_수행지침.html", "👉 [클릭] 수행지침 열기 📄")</f>
        <v/>
      </c>
      <c r="Q6" s="49" t="inlineStr">
        <is>
          <t>용접공 자격증 원본 대조, 정밀 검측 장비 검교정 확인, 궤도 전문 기술사 면허 검토</t>
        </is>
      </c>
      <c r="R6" s="77">
        <f>HYPERLINK(LEFT(CELL("filename",A1),FIND("[",CELL("filename",A1))-1)&amp;"5.콘크리트도상\5_최고의 팀 만들기 지원\체크리스트\최고의 팀 만들기 지원_체크리스트.html", "👉 [클릭] 체크리스트 열기 📄")</f>
        <v/>
      </c>
      <c r="S6" s="47" t="n"/>
      <c r="T6" s="69" t="inlineStr">
        <is>
          <t>● 협력업체 역량 평가 및 등록 관리 기준 만족</t>
        </is>
      </c>
      <c r="U6" s="69" t="inlineStr">
        <is>
          <t>1) 👉 [더블클릭] 체크리스트 열기 📄</t>
        </is>
      </c>
      <c r="V6" s="49" t="n"/>
    </row>
    <row r="7" ht="76.8" customHeight="1">
      <c r="A7" s="47" t="inlineStr">
        <is>
          <t>9000</t>
        </is>
      </c>
      <c r="B7" s="47" t="inlineStr">
        <is>
          <t>9000-6</t>
        </is>
      </c>
      <c r="C7" s="48" t="inlineStr">
        <is>
          <t>콘크리트도상분야</t>
        </is>
      </c>
      <c r="D7" s="47" t="inlineStr">
        <is>
          <t>9000-6-6</t>
        </is>
      </c>
      <c r="E7" s="47">
        <f>D6</f>
        <v/>
      </c>
      <c r="F7" s="47">
        <f>D8</f>
        <v/>
      </c>
      <c r="G7" s="47" t="inlineStr">
        <is>
          <t>D-70 (D-70~D-60)</t>
        </is>
      </c>
      <c r="H7" s="47" t="inlineStr">
        <is>
          <t>콘크리트 타설방법/계획 검토</t>
        </is>
      </c>
      <c r="I7" s="47" t="inlineStr">
        <is>
          <t>현장 공사팀</t>
        </is>
      </c>
      <c r="J7" s="49" t="inlineStr">
        <is>
          <t>현장여건에 따른 구간/위치별 적정 타설방법 및 계획 검토</t>
        </is>
      </c>
      <c r="K7" s="49" t="inlineStr">
        <is>
          <t>- 펌프카 타설: 공간이 넓거나, 교량 하부에서 타설이 가능한 경우 적용
- 압송관 타설: 교량이나 터널 (L=300~500m)에 적합
- 개조장비 타설: 개조 믹서트럭을 이용하여 타설</t>
        </is>
      </c>
      <c r="L7" s="49" t="inlineStr">
        <is>
          <t>콘크리트 타설공정 계획서, 펌프카 배치도</t>
        </is>
      </c>
      <c r="M7" s="49" t="inlineStr">
        <is>
          <t>KCS 47 30 00 콘크리트 궤도 시방 준수. 펌프카 타설압력에 의한 궤광 변위 방지 지지 계획 수립.</t>
        </is>
      </c>
      <c r="N7" s="75">
        <f>HYPERLINK(LEFT(CELL("filename",A1),FIND("[",CELL("filename",A1))-1)&amp;"5.콘크리트도상\6_콘크리트 타설방법_계획 검토\표준서\콘크리트 타설방법_계획 검토_표준서.html", "👉 [클릭] 표준서 열기 📄")</f>
        <v/>
      </c>
      <c r="O7" s="49" t="inlineStr">
        <is>
          <t>1) TCL 콘크리트(f_ck ≥ 30 MPa) 및 PST 충전재(f_ck ≥ 45 MPa) 배합 성적서 확인
2) 레미콘 운반시간(60분 이내) 및 펌프카 배치 공간 사전 확보</t>
        </is>
      </c>
      <c r="P7" s="76">
        <f>HYPERLINK(LEFT(CELL("filename",A1),FIND("[",CELL("filename",A1))-1)&amp;"5.콘크리트도상\6_콘크리트 타설방법_계획 검토\수행지침\콘크리트 타설방법_계획 검토_수행지침.html", "👉 [클릭] 수행지침 열기 📄")</f>
        <v/>
      </c>
      <c r="Q7" s="49" t="inlineStr">
        <is>
          <t>구간별 펌프카 배치도 작성, 타설 시 궤광 고정 잭 지지 계획 승인, 콘크리트 슬럼프 품질 확인</t>
        </is>
      </c>
      <c r="R7" s="77">
        <f>HYPERLINK(LEFT(CELL("filename",A1),FIND("[",CELL("filename",A1))-1)&amp;"5.콘크리트도상\6_콘크리트 타설방법_계획 검토\체크리스트\콘크리트 타설방법_계획 검토_체크리스트.html", "👉 [클릭] 체크리스트 열기 📄")</f>
        <v/>
      </c>
      <c r="S7" s="47" t="n"/>
      <c r="T7" s="69" t="inlineStr">
        <is>
          <t>● 콘크리트 연속타설 및 콜드조인트 방지 기준</t>
        </is>
      </c>
      <c r="U7" s="69" t="inlineStr">
        <is>
          <t>1) 👉 [더블클릭] 체크리스트 열기 📄</t>
        </is>
      </c>
      <c r="V7" s="49" t="n"/>
    </row>
    <row r="8" ht="219.6" customHeight="1">
      <c r="A8" s="47" t="inlineStr">
        <is>
          <t>9000</t>
        </is>
      </c>
      <c r="B8" s="47" t="inlineStr">
        <is>
          <t>9000-6</t>
        </is>
      </c>
      <c r="C8" s="48" t="inlineStr">
        <is>
          <t>콘크리트도상분야</t>
        </is>
      </c>
      <c r="D8" s="47" t="inlineStr">
        <is>
          <t>9000-6-7</t>
        </is>
      </c>
      <c r="E8" s="47">
        <f>D7</f>
        <v/>
      </c>
      <c r="F8" s="47">
        <f>D9</f>
        <v/>
      </c>
      <c r="G8" s="47" t="inlineStr">
        <is>
          <t>D-60</t>
        </is>
      </c>
      <c r="H8" s="47" t="inlineStr">
        <is>
          <t>작수전 Big Room 회의</t>
        </is>
      </c>
      <c r="I8" s="47" t="inlineStr">
        <is>
          <t>현장소장</t>
        </is>
      </c>
      <c r="J8" s="49" t="inlineStr">
        <is>
          <t>궤도공사 수행 시 공정계획 수립 / 수행 시 예상가능한 Risk 검토</t>
        </is>
      </c>
      <c r="K8" s="49"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L8" s="49" t="inlineStr">
        <is>
          <t>빅룸 회의록, 인터페이스 대장</t>
        </is>
      </c>
      <c r="M8" s="49" t="inlineStr">
        <is>
          <t>노반-궤도 간 인터페이스, 신호 루프 센서 및 누설 전류(Stray Current) 부식 방지 디오드 접지선 매설 계획 의결.</t>
        </is>
      </c>
      <c r="N8" s="75">
        <f>HYPERLINK(LEFT(CELL("filename",A1),FIND("[",CELL("filename",A1))-1)&amp;"5.콘크리트도상\7_작수전 Big Room 회의\표준서\작수전 Big Room 회의_표준서.html", "👉 [클릭] 표준서 열기 📄")</f>
        <v/>
      </c>
      <c r="O8" s="49" t="inlineStr">
        <is>
          <t>1) 노반-궤도 인수인계 높이 공차 및 신호 루프센서 위치 취합
2) 도로 매설 궤도 표면과 도로 포장 표면 마감 높이 일치성 확정</t>
        </is>
      </c>
      <c r="P8" s="76">
        <f>HYPERLINK(LEFT(CELL("filename",A1),FIND("[",CELL("filename",A1))-1)&amp;"5.콘크리트도상\7_작수전 Big Room 회의\수행지침\작수전 Big Room 회의_수행지침.html", "👉 [클릭] 수행지침 열기 📄")</f>
        <v/>
      </c>
      <c r="Q8" s="49" t="inlineStr">
        <is>
          <t>신호 센서 매설 위치 철근 간섭 해결, 접지선 용접부 연속성 확인, 부서 합동 서명 날인</t>
        </is>
      </c>
      <c r="R8" s="77">
        <f>HYPERLINK(LEFT(CELL("filename",A1),FIND("[",CELL("filename",A1))-1)&amp;"5.콘크리트도상\7_작수전 Big Room 회의\체크리스트\작수전 Big Room 회의_체크리스트.html", "👉 [클릭] 체크리스트 열기 📄")</f>
        <v/>
      </c>
      <c r="S8" s="47" t="n"/>
      <c r="T8" s="69" t="inlineStr">
        <is>
          <t>● 유관 공종(토목, 전기, 신호) 인터페이스 검토</t>
        </is>
      </c>
      <c r="U8" s="69" t="inlineStr">
        <is>
          <t>1) 👉 [더블클릭] 체크리스트 열기 📄</t>
        </is>
      </c>
      <c r="V8" s="49" t="n"/>
    </row>
    <row r="9" ht="76.8" customHeight="1">
      <c r="A9" s="47" t="inlineStr">
        <is>
          <t>9000</t>
        </is>
      </c>
      <c r="B9" s="47" t="inlineStr">
        <is>
          <t>9000-6</t>
        </is>
      </c>
      <c r="C9" s="48" t="inlineStr">
        <is>
          <t>콘크리트도상분야</t>
        </is>
      </c>
      <c r="D9" s="47" t="inlineStr">
        <is>
          <t>9000-6-8</t>
        </is>
      </c>
      <c r="E9" s="47">
        <f>D8</f>
        <v/>
      </c>
      <c r="F9" s="47">
        <f>D10</f>
        <v/>
      </c>
      <c r="G9" s="47" t="inlineStr">
        <is>
          <t>D-60</t>
        </is>
      </c>
      <c r="H9" s="47" t="inlineStr">
        <is>
          <t>장비,자재 반입로/반입구 간섭 검토</t>
        </is>
      </c>
      <c r="I9" s="47" t="inlineStr">
        <is>
          <t>현장공사팀</t>
        </is>
      </c>
      <c r="J9" s="49" t="inlineStr">
        <is>
          <t>장비, 자재의 반입로/반입구의 타공종 간섭 검토</t>
        </is>
      </c>
      <c r="K9" s="49" t="inlineStr">
        <is>
          <t>- 자재반입 시 노반 시공 간섭 검토
- 자재반입로/반입구 사용가능 시기 검토</t>
        </is>
      </c>
      <c r="L9" s="49" t="inlineStr">
        <is>
          <t>반입로 시뮬레이션 보고서, 도로점용 허가서</t>
        </is>
      </c>
      <c r="M9" s="49" t="inlineStr">
        <is>
          <t>장대레일 운반 트레일러(길이 25m 이상) 도로 회전 반경 R=15m 확보 및 타공종 가설재 간섭 배제.</t>
        </is>
      </c>
      <c r="N9" s="75">
        <f>HYPERLINK(LEFT(CELL("filename",A1),FIND("[",CELL("filename",A1))-1)&amp;"5.콘크리트도상\8_장비,자재 반입로_반입구 간섭 검토\표준서\장비,자재 반입로_반입구 간섭 검토_표준서.html", "👉 [클릭] 표준서 열기 📄")</f>
        <v/>
      </c>
      <c r="O9" s="49" t="inlineStr">
        <is>
          <t>1) 상부 신호등/가공전선 이격거리(5m 이상) 및 도로점용 허가 구역 조사
2) 전담 신호수 배치 및 대형 레일 운반 차량 유도</t>
        </is>
      </c>
      <c r="P9" s="76">
        <f>HYPERLINK(LEFT(CELL("filename",A1),FIND("[",CELL("filename",A1))-1)&amp;"5.콘크리트도상\8_장비,자재 반입로_반입구 간섭 검토\수행지침\장비,자재 반입로_반입구 간섭 검토_수행지침.html", "👉 [클릭] 수행지침 열기 📄")</f>
        <v/>
      </c>
      <c r="Q9" s="49" t="inlineStr">
        <is>
          <t>트레일러 회전 시뮬레이션 승인, 가설 비계 간섭 범위 해제, 도로 점용 허가 필증 확인</t>
        </is>
      </c>
      <c r="R9" s="77">
        <f>HYPERLINK(LEFT(CELL("filename",A1),FIND("[",CELL("filename",A1))-1)&amp;"5.콘크리트도상\8_장비,자재 반입로_반입구 간섭 검토\체크리스트\장비,자재 반입로_반입구 간섭 검토_체크리스트.html", "👉 [클릭] 체크리스트 열기 📄")</f>
        <v/>
      </c>
      <c r="S9" s="47" t="n"/>
      <c r="T9" s="69" t="inlineStr">
        <is>
          <t>● 궤도 시공 가설 동선 적합성 검토</t>
        </is>
      </c>
      <c r="U9" s="69" t="inlineStr">
        <is>
          <t>1) 👉 [더블클릭] 체크리스트 열기 📄</t>
        </is>
      </c>
      <c r="V9" s="49" t="n"/>
    </row>
    <row r="10" ht="76.8" customHeight="1">
      <c r="A10" s="47" t="inlineStr">
        <is>
          <t>9000</t>
        </is>
      </c>
      <c r="B10" s="47" t="inlineStr">
        <is>
          <t>9000-6</t>
        </is>
      </c>
      <c r="C10" s="48" t="inlineStr">
        <is>
          <t>콘크리트도상분야</t>
        </is>
      </c>
      <c r="D10" s="47" t="inlineStr">
        <is>
          <t>9000-6-9</t>
        </is>
      </c>
      <c r="E10" s="47">
        <f>D9</f>
        <v/>
      </c>
      <c r="F10" s="47">
        <f>D11</f>
        <v/>
      </c>
      <c r="G10" s="47" t="inlineStr">
        <is>
          <t>D-60</t>
        </is>
      </c>
      <c r="H10" s="47" t="inlineStr">
        <is>
          <t>자재조달계획 검토</t>
        </is>
      </c>
      <c r="I10" s="47" t="inlineStr">
        <is>
          <t>현장관리팀, 현장공사팀</t>
        </is>
      </c>
      <c r="J10" s="49" t="inlineStr">
        <is>
          <t>외산자재 검수 및 반입일정 검토 / 노반 공정에 따른 반입 시기 검토</t>
        </is>
      </c>
      <c r="K10" s="49" t="inlineStr">
        <is>
          <t>- 외산자재 수량 및 위치, 야적장 규모 등을 고려하여 주문 시기 검토
- 노반 인도 구역 및 규모에 따른 자재 조달계획 수립</t>
        </is>
      </c>
      <c r="L10" s="49" t="inlineStr">
        <is>
          <t>자재수급스케줄표, 조달 승인서</t>
        </is>
      </c>
      <c r="M10" s="49" t="inlineStr">
        <is>
          <t>홈레일, 체결구, 탄성 충전재 등 주요 자재의 해상 운송 및 국내 보관 일정 검토. OMC 품질 시방 확보.</t>
        </is>
      </c>
      <c r="N10" s="75">
        <f>HYPERLINK(LEFT(CELL("filename",A1),FIND("[",CELL("filename",A1))-1)&amp;"5.콘크리트도상\9_자재조달계획 검토\표준서\자재조달계획 검토_표준서.html", "👉 [클릭] 표준서 열기 📄")</f>
        <v/>
      </c>
      <c r="O10" s="49" t="inlineStr">
        <is>
          <t>1) 특수 홈레일 및 PST 패널 조달 마스터 일정표 검토
2) PST 슬래브 공장 생산 강도 및 홈레일 단면 검수</t>
        </is>
      </c>
      <c r="P10" s="76">
        <f>HYPERLINK(LEFT(CELL("filename",A1),FIND("[",CELL("filename",A1))-1)&amp;"5.콘크리트도상\9_자재조달계획 검토\수행지침\자재조달계획 검토_수행지침.html", "👉 [클릭] 수행지침 열기 📄")</f>
        <v/>
      </c>
      <c r="Q10" s="49" t="inlineStr">
        <is>
          <t>선적 서류 및 통관 승인서 구비, 국내 야적장 2차 보관 상태 점검, 자재 공급 승인서 확인</t>
        </is>
      </c>
      <c r="R10" s="77">
        <f>HYPERLINK(LEFT(CELL("filename",A1),FIND("[",CELL("filename",A1))-1)&amp;"5.콘크리트도상\9_자재조달계획 검토\체크리스트\자재조달계획 검토_체크리스트.html", "👉 [클릭] 체크리스트 열기 📄")</f>
        <v/>
      </c>
      <c r="S10" s="47" t="n"/>
      <c r="T10" s="69" t="inlineStr">
        <is>
          <t>● 주요 외산 자재 공급 및 선적 일정 확인</t>
        </is>
      </c>
      <c r="U10" s="69" t="inlineStr">
        <is>
          <t>1) 👉 [더블클릭] 체크리스트 열기 📄</t>
        </is>
      </c>
      <c r="V10" s="49" t="n"/>
    </row>
    <row r="11" ht="57.6" customHeight="1">
      <c r="A11" s="47" t="inlineStr">
        <is>
          <t>9000</t>
        </is>
      </c>
      <c r="B11" s="47" t="inlineStr">
        <is>
          <t>9000-6</t>
        </is>
      </c>
      <c r="C11" s="48" t="inlineStr">
        <is>
          <t>콘크리트도상분야</t>
        </is>
      </c>
      <c r="D11" s="47" t="inlineStr">
        <is>
          <t>9000-6-10</t>
        </is>
      </c>
      <c r="E11" s="47">
        <f>D10</f>
        <v/>
      </c>
      <c r="F11" s="47">
        <f>D12</f>
        <v/>
      </c>
      <c r="G11" s="47" t="inlineStr">
        <is>
          <t>D-50 (D-60~50)</t>
        </is>
      </c>
      <c r="H11" s="47" t="inlineStr">
        <is>
          <t>자재 발주 요청</t>
        </is>
      </c>
      <c r="I11" s="47" t="inlineStr">
        <is>
          <t>현장 공무팀</t>
        </is>
      </c>
      <c r="J11" s="49" t="inlineStr">
        <is>
          <t>시공에 필요한 자재 발주</t>
        </is>
      </c>
      <c r="K11" s="49" t="inlineStr">
        <is>
          <t>- 자재 규격 및 반입 일정 계획 수립
- 시공에 필요한 당사 지급자재에 대한 발주 요청
- 지원: GP/SRM팀</t>
        </is>
      </c>
      <c r="L11" s="49" t="inlineStr">
        <is>
          <t>자재청구서, 공급원 승인요청철</t>
        </is>
      </c>
      <c r="M11" s="49" t="inlineStr">
        <is>
          <t>KDS 47 30 00 및 EN 규격 기준 자재 발주서 승인. 공급원 검토 승인 요청서 작성 요령 준수.</t>
        </is>
      </c>
      <c r="N11" s="75">
        <f>HYPERLINK(LEFT(CELL("filename",A1),FIND("[",CELL("filename",A1))-1)&amp;"5.콘크리트도상\10_자재 발주 요청\표준서\자재 발주 요청_표준서.html", "👉 [클릭] 표준서 열기 📄")</f>
        <v/>
      </c>
      <c r="O11" s="49" t="inlineStr">
        <is>
          <t>1) kg/m 레일, 51R1 홈레일, PST 패널 산출 물량 검증
2) 공장 검사(FAT) 조건 및 성적서 첨부 명시</t>
        </is>
      </c>
      <c r="P11" s="76">
        <f>HYPERLINK(LEFT(CELL("filename",A1),FIND("[",CELL("filename",A1))-1)&amp;"5.콘크리트도상\10_자재 발주 요청\수행지침\자재 발주 요청_수행지침.html", "👉 [클릭] 수행지침 열기 📄")</f>
        <v/>
      </c>
      <c r="Q11" s="49" t="inlineStr">
        <is>
          <t>자재 발주 수량 설계 대조, 공급원 승인 필증 원본 확인, 발주 공문 승인 요청</t>
        </is>
      </c>
      <c r="R11" s="77">
        <f>HYPERLINK(LEFT(CELL("filename",A1),FIND("[",CELL("filename",A1))-1)&amp;"5.콘크리트도상\10_자재 발주 요청\체크리스트\자재 발주 요청_체크리스트.html", "👉 [클릭] 체크리스트 열기 📄")</f>
        <v/>
      </c>
      <c r="S11" s="47" t="n"/>
      <c r="T11" s="69" t="inlineStr">
        <is>
          <t>● 조달 지침 및 품질 규격 검토</t>
        </is>
      </c>
      <c r="U11" s="69" t="inlineStr">
        <is>
          <t>1) 👉 [더블클릭] 체크리스트 열기 📄</t>
        </is>
      </c>
      <c r="V11" s="49" t="n"/>
    </row>
    <row r="12" ht="88.8" customHeight="1">
      <c r="A12" s="47" t="inlineStr">
        <is>
          <t>9000</t>
        </is>
      </c>
      <c r="B12" s="47" t="inlineStr">
        <is>
          <t>9000-6</t>
        </is>
      </c>
      <c r="C12" s="48" t="inlineStr">
        <is>
          <t>콘크리트도상분야</t>
        </is>
      </c>
      <c r="D12" s="47" t="inlineStr">
        <is>
          <t>9000-6-11</t>
        </is>
      </c>
      <c r="E12" s="47">
        <f>D11</f>
        <v/>
      </c>
      <c r="F12" s="47">
        <f>D13</f>
        <v/>
      </c>
      <c r="G12" s="47" t="inlineStr">
        <is>
          <t>D-30 (D-60~D-30)</t>
        </is>
      </c>
      <c r="H12" s="47" t="inlineStr">
        <is>
          <t>시공계획 수립</t>
        </is>
      </c>
      <c r="I12" s="47" t="inlineStr">
        <is>
          <t>현장 공사팀/공무팀/안전팀/품질팀</t>
        </is>
      </c>
      <c r="J12" s="49" t="inlineStr">
        <is>
          <t>궤도공 전반에 대한 수행 계획 공유</t>
        </is>
      </c>
      <c r="K12" s="49" t="inlineStr">
        <is>
          <t>- 공사 위치, 공사 수행 순서, 공사 수행방법 설명 회의를 통한 공유
- 주요 공정별 시공/안전/장비/자재관련 유의사항 토의
- 문제점 발굴 및 대책 마련 브레인 스토밍</t>
        </is>
      </c>
      <c r="L12" s="49" t="inlineStr">
        <is>
          <t>궤도공사 시공계획서, 안전보건계획서</t>
        </is>
      </c>
      <c r="M12" s="49" t="inlineStr">
        <is>
          <t>콘크리트도상 시공 절차 및 공정 스케줄 작성. 궤간(+3,-1mm), 캔트(±2mm) 관리계획 수립.</t>
        </is>
      </c>
      <c r="N12" s="75">
        <f>HYPERLINK(LEFT(CELL("filename",A1),FIND("[",CELL("filename",A1))-1)&amp;"5.콘크리트도상\11_시공계획 수립\표준서\시공계획 수립_표준서.html", "👉 [클릭] 표준서 열기 📄")</f>
        <v/>
      </c>
      <c r="O12" s="49" t="inlineStr">
        <is>
          <t>1) HBS 노반 지지력 검증 및 궤도 정밀 CP 측량 시공계획 수립
2) 스핀들 게이지 조정, 테르밋 용접(EN 14730) 및 TCL 콘크리트 타설 수칙 수립</t>
        </is>
      </c>
      <c r="P12" s="76">
        <f>HYPERLINK(LEFT(CELL("filename",A1),FIND("[",CELL("filename",A1))-1)&amp;"5.콘크리트도상\11_시공계획 수립\수행지침\11_시공계획 수립_수행지침.html", "👉 [클릭] 수행지침 열기 📄")</f>
        <v/>
      </c>
      <c r="Q12" s="49" t="inlineStr">
        <is>
          <t>시공계획서 감리단 최종 승인, 선형 관리 한계선 설정 확인, 품질보증계획서 제출</t>
        </is>
      </c>
      <c r="R12" s="77">
        <f>HYPERLINK(LEFT(CELL("filename",A1),FIND("[",CELL("filename",A1))-1)&amp;"5.콘크리트도상\11_시공계획 수립\체크리스트\시공계획 수립_체크리스트.html", "👉 [클릭] 체크리스트 열기 📄")</f>
        <v/>
      </c>
      <c r="S12" s="47" t="n"/>
      <c r="T12" s="69" t="inlineStr">
        <is>
          <t>● 궤도 공사 표준시방서 만족</t>
        </is>
      </c>
      <c r="U12" s="69" t="inlineStr">
        <is>
          <t>1) 👉 [더블클릭] 체크리스트 열기 📄</t>
        </is>
      </c>
      <c r="V12" s="49" t="n"/>
    </row>
    <row r="13" ht="110.4" customHeight="1">
      <c r="A13" s="47" t="inlineStr">
        <is>
          <t>9000</t>
        </is>
      </c>
      <c r="B13" s="47" t="inlineStr">
        <is>
          <t>9000-6</t>
        </is>
      </c>
      <c r="C13" s="48" t="inlineStr">
        <is>
          <t>콘크리트도상분야</t>
        </is>
      </c>
      <c r="D13" s="47" t="inlineStr">
        <is>
          <t>9000-6-12</t>
        </is>
      </c>
      <c r="E13" s="47">
        <f>D12</f>
        <v/>
      </c>
      <c r="F13" s="47">
        <f>D14</f>
        <v/>
      </c>
      <c r="G13" s="47" t="inlineStr">
        <is>
          <t>D-0 (D-30~D-0)</t>
        </is>
      </c>
      <c r="H13" s="47" t="inlineStr">
        <is>
          <t>자재 반입</t>
        </is>
      </c>
      <c r="I13" s="47" t="inlineStr">
        <is>
          <t>현장 공사팀/자재팀</t>
        </is>
      </c>
      <c r="J13" s="49" t="inlineStr">
        <is>
          <t>매립형 궤도/반-PC슬래브용 주요 자재 반입</t>
        </is>
      </c>
      <c r="K13" s="49"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L13" s="49" t="inlineStr">
        <is>
          <t>자재인수검사 대장, 불량재 처리부</t>
        </is>
      </c>
      <c r="M13" s="49" t="inlineStr">
        <is>
          <t>반입 자재의 공장 성적서 대조 및 감리 입회 자재 인수 검사 수행. 변형/균열 자재 전량 반출.</t>
        </is>
      </c>
      <c r="N13" s="75">
        <f>HYPERLINK(LEFT(CELL("filename",A1),FIND("[",CELL("filename",A1))-1)&amp;"5.콘크리트도상\12_자재 반입\표준서\자재 반입_표준서.html", "👉 [클릭] 표준서 열기 📄")</f>
        <v/>
      </c>
      <c r="O13" s="49" t="inlineStr">
        <is>
          <t>1) 송장, 공장 시험성적서 및 KCS 시방 사양 대조
2) 레일 표면 흠집 및 PST 패널 치수 오차(±2mm) 측정</t>
        </is>
      </c>
      <c r="P13" s="76">
        <f>HYPERLINK(LEFT(CELL("filename",A1),FIND("[",CELL("filename",A1))-1)&amp;"5.콘크리트도상\12_자재 반입\수행지침\자재 반입_수행지침.html", "👉 [클릭] 수행지침 열기 📄")</f>
        <v/>
      </c>
      <c r="Q13" s="49" t="inlineStr">
        <is>
          <t>인수 검서 보고서 감리 서명, 자재 고유 마킹 대조, 손상 자재 반출 대장 기록</t>
        </is>
      </c>
      <c r="R13" s="77">
        <f>HYPERLINK(LEFT(CELL("filename",A1),FIND("[",CELL("filename",A1))-1)&amp;"5.콘크리트도상\12_자재 반입\체크리스트\자재 반입_체크리스트.html", "👉 [클릭] 체크리스트 열기 📄")</f>
        <v/>
      </c>
      <c r="S13" s="47" t="n"/>
      <c r="T13" s="69" t="inlineStr">
        <is>
          <t>● 자재 시험성적서 및 외산 자재 수입 적격 증명</t>
        </is>
      </c>
      <c r="U13" s="69" t="inlineStr">
        <is>
          <t>1) 👉 [더블클릭] 체크리스트 열기 📄</t>
        </is>
      </c>
      <c r="V13" s="49" t="n"/>
    </row>
    <row r="14" ht="86.40000000000001" customHeight="1">
      <c r="A14" s="47" t="inlineStr">
        <is>
          <t>9000</t>
        </is>
      </c>
      <c r="B14" s="47" t="inlineStr">
        <is>
          <t>9000-6</t>
        </is>
      </c>
      <c r="C14" s="48" t="inlineStr">
        <is>
          <t>콘크리트도상분야</t>
        </is>
      </c>
      <c r="D14" s="47" t="inlineStr">
        <is>
          <t>9000-6-13</t>
        </is>
      </c>
      <c r="E14" s="47">
        <f>D13</f>
        <v/>
      </c>
      <c r="F14" s="47">
        <f>D15</f>
        <v/>
      </c>
      <c r="G14" s="47" t="inlineStr">
        <is>
          <t>D+1 (D-0~D+1)</t>
        </is>
      </c>
      <c r="H14" s="47" t="inlineStr">
        <is>
          <t>[HBS] 강화노반 확인</t>
        </is>
      </c>
      <c r="I14" s="47" t="inlineStr">
        <is>
          <t>현장 공사팀</t>
        </is>
      </c>
      <c r="J14" s="49" t="inlineStr">
        <is>
          <t>기존 도로구간 노상토의 지지력 검증</t>
        </is>
      </c>
      <c r="K14" s="49" t="inlineStr">
        <is>
          <t>- 사전토공사 인수계획서 확인
- 터파기 시행 후 들밀도 시험을 통한 상대다짐도 또는 현장 재하시험을 통한 강화노반변형률 계수 확인
- 배수 상태 점검</t>
        </is>
      </c>
      <c r="L14" s="49" t="inlineStr">
        <is>
          <t>강화노반 인수교차측량 대장, PBT 성적철</t>
        </is>
      </c>
      <c r="M14" s="49" t="inlineStr">
        <is>
          <t>기초 노반 표면의 지지력 검증. 평판재하시험 K30 ≥ 110 MN/m³ 또는 Ev2 ≥ 120 MPa 확인.</t>
        </is>
      </c>
      <c r="N14" s="68" t="inlineStr">
        <is>
          <t>-</t>
        </is>
      </c>
      <c r="O14" s="49" t="inlineStr">
        <is>
          <t>1) 노반 공종으로부터 지지력 K70 ≥ 150 MPa/m 성적서 수령
2) 노반 높이 오차(±10mm 이내) 광학 레벨 측량 검증</t>
        </is>
      </c>
      <c r="P14" s="68" t="inlineStr">
        <is>
          <t>-</t>
        </is>
      </c>
      <c r="Q14" s="49" t="inlineStr">
        <is>
          <t>K30 성적서 원본 대조, 노반 마무리면 요철 제거 상태, 횡단 구배 2.0% 만족 확인</t>
        </is>
      </c>
      <c r="R14" s="68" t="inlineStr">
        <is>
          <t>-</t>
        </is>
      </c>
      <c r="S14" s="47" t="n"/>
      <c r="T14" s="69" t="inlineStr">
        <is>
          <t>● 강화노반 K30 지지력 계수 규격 준수</t>
        </is>
      </c>
      <c r="U14" s="69" t="inlineStr">
        <is>
          <t>1) 👉 [더블클릭] 체크리스트 열기 📄</t>
        </is>
      </c>
      <c r="V14" s="49" t="n"/>
    </row>
    <row r="15" ht="76.8" customHeight="1">
      <c r="A15" s="47" t="inlineStr">
        <is>
          <t>9000</t>
        </is>
      </c>
      <c r="B15" s="47" t="inlineStr">
        <is>
          <t>9000-6</t>
        </is>
      </c>
      <c r="C15" s="48" t="inlineStr">
        <is>
          <t>콘크리트도상분야</t>
        </is>
      </c>
      <c r="D15" s="47" t="inlineStr">
        <is>
          <t>9000-6-14</t>
        </is>
      </c>
      <c r="E15" s="47">
        <f>D14</f>
        <v/>
      </c>
      <c r="F15" s="47">
        <f>D16</f>
        <v/>
      </c>
      <c r="G15" s="47" t="inlineStr">
        <is>
          <t>D+15 (D+2~D+15)</t>
        </is>
      </c>
      <c r="H15" s="47" t="inlineStr">
        <is>
          <t>[HBS] 콘크리트 타설 및 양생</t>
        </is>
      </c>
      <c r="I15" s="47" t="inlineStr">
        <is>
          <t>현장 공사팀</t>
        </is>
      </c>
      <c r="J15" s="49" t="inlineStr">
        <is>
          <t>강화노반 상부 기초콘크리트로 TCL, 반-PC 슬래브 안정성 확보</t>
        </is>
      </c>
      <c r="K15" s="49" t="inlineStr">
        <is>
          <t>슬럼프 값 10cm 이하, 압축강도 18Mpa 이상 콘크리트 타설
- 품질확보를 위해 공장과 현장 이격거리 4.8km 이내</t>
        </is>
      </c>
      <c r="L15" s="49" t="inlineStr">
        <is>
          <t>HBR 콘크리트 품질시험표, 양생온도일지</t>
        </is>
      </c>
      <c r="M15" s="49" t="inlineStr">
        <is>
          <t>강화노반 상부 기초콘크리트(HBR) 28일 압축강도 ≥ 21 MPa 확보. 고주파 다짐 및 습윤 양생 7일.</t>
        </is>
      </c>
      <c r="N15" s="68" t="inlineStr">
        <is>
          <t>-</t>
        </is>
      </c>
      <c r="O15" s="49" t="inlineStr">
        <is>
          <t>1) 콘크리트 시멘트풀 유출 방지 거푸집 패킹 설치
2) 콜드조인트 방지 연속 타설 및 바이브레이터 밀실 다짐</t>
        </is>
      </c>
      <c r="P15" s="68" t="inlineStr">
        <is>
          <t>-</t>
        </is>
      </c>
      <c r="Q15" s="49" t="inlineStr">
        <is>
          <t>HBR 강도 시험 성적서, 습윤 부직포 포설 상태, 타설 두께 오차 ±10mm 이내 검속</t>
        </is>
      </c>
      <c r="R15" s="68" t="inlineStr">
        <is>
          <t>-</t>
        </is>
      </c>
      <c r="S15" s="47" t="n"/>
      <c r="T15" s="69" t="inlineStr">
        <is>
          <t>● 기초 콘크리트 압축강도 및 공차 관리</t>
        </is>
      </c>
      <c r="U15" s="69" t="inlineStr">
        <is>
          <t>1) 👉 [더블클릭] 체크리스트 열기 📄</t>
        </is>
      </c>
      <c r="V15" s="49" t="n"/>
    </row>
    <row r="16" ht="76.8" customHeight="1">
      <c r="A16" s="47" t="inlineStr">
        <is>
          <t>9000</t>
        </is>
      </c>
      <c r="B16" s="47" t="inlineStr">
        <is>
          <t>9000-6</t>
        </is>
      </c>
      <c r="C16" s="48" t="inlineStr">
        <is>
          <t>콘크리트도상분야</t>
        </is>
      </c>
      <c r="D16" s="47" t="inlineStr">
        <is>
          <t>9000-6-15</t>
        </is>
      </c>
      <c r="E16" s="47">
        <f>D15</f>
        <v/>
      </c>
      <c r="F16" s="47">
        <f>D17</f>
        <v/>
      </c>
      <c r="G16" s="47" t="inlineStr">
        <is>
          <t>D+15 (D+10~D+15)</t>
        </is>
      </c>
      <c r="H16" s="47" t="inlineStr">
        <is>
          <t>[반-PC 슬래브] 패널반입 및 설치</t>
        </is>
      </c>
      <c r="I16" s="47" t="inlineStr">
        <is>
          <t>현장 공사팀</t>
        </is>
      </c>
      <c r="J16" s="49" t="inlineStr">
        <is>
          <t>궤광지지체 구간의 PC 슬래브로 교차로/교량구간 급속시공 필요</t>
        </is>
      </c>
      <c r="K16" s="49"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L16" s="49" t="inlineStr">
        <is>
          <t>PC슬래브 거치 수준 실측표, 평탄성 대장</t>
        </is>
      </c>
      <c r="M16" s="49" t="inlineStr">
        <is>
          <t>PC 슬래브 패널 평탄성 오차 ±3mm 이내 거치. 광학 토탈스테이션 연동 정밀 3D 얼라인먼트.</t>
        </is>
      </c>
      <c r="N16" s="68" t="inlineStr">
        <is>
          <t>-</t>
        </is>
      </c>
      <c r="O16" s="49" t="inlineStr">
        <is>
          <t>1) 노반 표면 이물질 청소 및 광학 측량기 셋팅
2) 점 인양 빔으로 패널 거치 후 스핀들 게이지 정밀 수평 조정</t>
        </is>
      </c>
      <c r="P16" s="68" t="inlineStr">
        <is>
          <t>-</t>
        </is>
      </c>
      <c r="Q16" s="49" t="inlineStr">
        <is>
          <t>Screw Jack 레벨 정위치 고정, 3D 광학 실측 좌표 일치, 코너 크랙 육안 검사</t>
        </is>
      </c>
      <c r="R16" s="68" t="inlineStr">
        <is>
          <t>-</t>
        </is>
      </c>
      <c r="S16" s="47" t="n"/>
      <c r="T16" s="69" t="inlineStr">
        <is>
          <t>● PC 슬래브 제작 허용 오차 만족</t>
        </is>
      </c>
      <c r="U16" s="69" t="inlineStr">
        <is>
          <t>1) 👉 [더블클릭] 체크리스트 열기 📄</t>
        </is>
      </c>
      <c r="V16" s="49" t="n"/>
    </row>
    <row r="17" ht="76.8" customHeight="1">
      <c r="A17" s="47" t="inlineStr">
        <is>
          <t>9000</t>
        </is>
      </c>
      <c r="B17" s="47" t="inlineStr">
        <is>
          <t>9000-6</t>
        </is>
      </c>
      <c r="C17" s="48" t="inlineStr">
        <is>
          <t>콘크리트도상분야</t>
        </is>
      </c>
      <c r="D17" s="47" t="inlineStr">
        <is>
          <t>9000-6-16</t>
        </is>
      </c>
      <c r="E17" s="47">
        <f>D16</f>
        <v/>
      </c>
      <c r="F17" s="47">
        <f>D18</f>
        <v/>
      </c>
      <c r="G17" s="47" t="inlineStr">
        <is>
          <t>D+16 (D+16~D+16)</t>
        </is>
      </c>
      <c r="H17" s="47" t="inlineStr">
        <is>
          <t>[PST] 전단앵커설치 및 충전재 주입</t>
        </is>
      </c>
      <c r="I17" s="47" t="inlineStr">
        <is>
          <t>현장 공사팀</t>
        </is>
      </c>
      <c r="J17" s="49" t="inlineStr">
        <is>
          <t>HBS, TCL층과 일체화를 위하여 전단앵커를 설치하고 몰탈 충전재 주입</t>
        </is>
      </c>
      <c r="K17" s="49"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L17" s="49" t="inlineStr">
        <is>
          <t>앵커 시공인장 시험기록, 그라우트 공시체 강도대장</t>
        </is>
      </c>
      <c r="M17" s="49" t="inlineStr">
        <is>
          <t>전단앵커 구멍 천공 깊이 및 수직도 확보. 무수축 모르타르 그라우트 압축강도 ≥ 30 MPa 충전.</t>
        </is>
      </c>
      <c r="N17" s="68" t="inlineStr">
        <is>
          <t>-</t>
        </is>
      </c>
      <c r="O17" s="49" t="inlineStr">
        <is>
          <t>1) 앵커 홀 이물질 제거 및 무수축 그라우트 배합비 확인
2) 음향 탐사로 공기 공동 파악 및 45 MPa 몰드 시험 확인</t>
        </is>
      </c>
      <c r="P17" s="68" t="inlineStr">
        <is>
          <t>-</t>
        </is>
      </c>
      <c r="Q17" s="49" t="inlineStr">
        <is>
          <t>천공 깊이 측정 게이지 점검, 앵커 인장 강도 확인, 원웨이 주입 배출구 몰탈 오버플로우 확인</t>
        </is>
      </c>
      <c r="R17" s="68" t="inlineStr">
        <is>
          <t>-</t>
        </is>
      </c>
      <c r="S17" s="47" t="n"/>
      <c r="T17" s="69" t="inlineStr">
        <is>
          <t>● 충전 몰탈 품질 및 전단앵커 정착 깊이</t>
        </is>
      </c>
      <c r="U17" s="69" t="inlineStr">
        <is>
          <t>1) 👉 [더블클릭] 체크리스트 열기 📄</t>
        </is>
      </c>
      <c r="V17" s="49" t="n"/>
    </row>
    <row r="18" ht="76.8" customHeight="1">
      <c r="A18" s="47" t="inlineStr">
        <is>
          <t>9000</t>
        </is>
      </c>
      <c r="B18" s="47" t="inlineStr">
        <is>
          <t>9000-6</t>
        </is>
      </c>
      <c r="C18" s="48" t="inlineStr">
        <is>
          <t>콘크리트도상분야</t>
        </is>
      </c>
      <c r="D18" s="47" t="inlineStr">
        <is>
          <t>9000-6-17</t>
        </is>
      </c>
      <c r="E18" s="47">
        <f>D17</f>
        <v/>
      </c>
      <c r="F18" s="47">
        <f>D19</f>
        <v/>
      </c>
      <c r="G18" s="47" t="inlineStr">
        <is>
          <t>D+30 (D+17~D+30)</t>
        </is>
      </c>
      <c r="H18" s="47" t="inlineStr">
        <is>
          <t>[TCL] 궤광 및 철근조립</t>
        </is>
      </c>
      <c r="I18" s="47" t="inlineStr">
        <is>
          <t>현장 공사팀</t>
        </is>
      </c>
      <c r="J18" s="49" t="inlineStr">
        <is>
          <t>TCL 철근조립 및 부설시 매립형 궤도를 포함한 궤광의 변위 발생 방지</t>
        </is>
      </c>
      <c r="K18" s="49" t="inlineStr">
        <is>
          <t>임시침목을 이용한 궤광 설치 및 줄틀림, 면틀림, 중심간격 허용오차는 3mm 이내
- 종방향, 횡방향 철근 조립시 2m 간격설치, 철근처짐이 없도록 용접 또는 결속</t>
        </is>
      </c>
      <c r="L18" s="49" t="inlineStr">
        <is>
          <t>철근배근 검측서, 신호 이격 거리표</t>
        </is>
      </c>
      <c r="M18" s="49" t="inlineStr">
        <is>
          <t>1,435mm 표준궤 정밀 유지 타이바 설치. 철근 피복 두께 40mm 확보 및 신호 감선 이격 150mm.</t>
        </is>
      </c>
      <c r="N18" s="68" t="inlineStr">
        <is>
          <t>-</t>
        </is>
      </c>
      <c r="O18" s="49" t="inlineStr">
        <is>
          <t>1) CP 광학 레벨기로 궤도 중심선 및 기준 높이 확인
2) 궤간 1,435mm(+3,-1mm) 고정 및 캔트/수평 오차 ±2mm 이내 정밀 정열</t>
        </is>
      </c>
      <c r="P18" s="68" t="inlineStr">
        <is>
          <t>-</t>
        </is>
      </c>
      <c r="Q18" s="49" t="inlineStr">
        <is>
          <t>철근 결속선 긴장 상태, 타이바 조임 토크 확인, 신호 루프 케이블 배근 이격 확인</t>
        </is>
      </c>
      <c r="R18" s="68" t="inlineStr">
        <is>
          <t>-</t>
        </is>
      </c>
      <c r="S18" s="47" t="n"/>
      <c r="T18" s="69" t="inlineStr">
        <is>
          <t>● 궤도 기하구조 공차(3mm 이내) 관리</t>
        </is>
      </c>
      <c r="U18" s="69" t="inlineStr">
        <is>
          <t>1) 👉 [더블클릭] 체크리스트 열기 📄</t>
        </is>
      </c>
      <c r="V18" s="49" t="n"/>
    </row>
    <row r="19" ht="76.8" customHeight="1">
      <c r="A19" s="47" t="inlineStr">
        <is>
          <t>9000</t>
        </is>
      </c>
      <c r="B19" s="47" t="inlineStr">
        <is>
          <t>9000-6</t>
        </is>
      </c>
      <c r="C19" s="48" t="inlineStr">
        <is>
          <t>콘크리트도상분야</t>
        </is>
      </c>
      <c r="D19" s="47" t="inlineStr">
        <is>
          <t>9000-6-18</t>
        </is>
      </c>
      <c r="E19" s="47">
        <f>D18</f>
        <v/>
      </c>
      <c r="F19" s="47">
        <f>D20</f>
        <v/>
      </c>
      <c r="G19" s="47" t="inlineStr">
        <is>
          <t>D+35 (D+31~D+35)</t>
        </is>
      </c>
      <c r="H19" s="47" t="inlineStr">
        <is>
          <t>[TCL] 거푸집 설치</t>
        </is>
      </c>
      <c r="I19" s="47" t="inlineStr">
        <is>
          <t>현장 공사팀</t>
        </is>
      </c>
      <c r="J19" s="49" t="inlineStr">
        <is>
          <t>거푸집 지지대는 철근이 타설압력에 의해 변위가 발생하지 않도록 앵커나 서포트로 고정</t>
        </is>
      </c>
      <c r="K19" s="49" t="inlineStr">
        <is>
          <t>강재거푸집거푸집 반영
- 작업자 이동통로 확보가 되어 있는지 확인하고, 넘어짐 등의 안전사고가 발생하지 않도록 지지대에 별도 식별장치 설치</t>
        </is>
      </c>
      <c r="L19" s="49" t="inlineStr">
        <is>
          <t>거푸집설치 대조표, 박리제 검사철</t>
        </is>
      </c>
      <c r="M19" s="49" t="inlineStr">
        <is>
          <t>타설 측압 대비 서포트 앵커 W=1.0m 간격 고정. 거푸집 수평/수직 처짐 변위 ±2mm 이내 통제.</t>
        </is>
      </c>
      <c r="N19" s="68" t="inlineStr">
        <is>
          <t>-</t>
        </is>
      </c>
      <c r="O19" s="49" t="inlineStr">
        <is>
          <t>1) 거푸집 선형 검측표 작성 후 감리원 검측 승인
2) 거푸집 면 이물질 청소 및 환경 친화 박리제 균일 도포</t>
        </is>
      </c>
      <c r="P19" s="68" t="inlineStr">
        <is>
          <t>-</t>
        </is>
      </c>
      <c r="Q19" s="49" t="inlineStr">
        <is>
          <t>거푸집 지지대 앵커 조임, 박리제 도포 상태, 이음매 틈새 누수 패킹 확인</t>
        </is>
      </c>
      <c r="R19" s="68" t="inlineStr">
        <is>
          <t>-</t>
        </is>
      </c>
      <c r="S19" s="47" t="n"/>
      <c r="T19" s="69" t="inlineStr">
        <is>
          <t>● 가설재 강도 및 안전 난간 기준 준수</t>
        </is>
      </c>
      <c r="U19" s="69" t="inlineStr">
        <is>
          <t>1) 👉 [더블클릭] 체크리스트 열기 📄</t>
        </is>
      </c>
      <c r="V19" s="49" t="n"/>
    </row>
    <row r="20" ht="96" customHeight="1">
      <c r="A20" s="47" t="inlineStr">
        <is>
          <t>9000</t>
        </is>
      </c>
      <c r="B20" s="47" t="inlineStr">
        <is>
          <t>9000-6</t>
        </is>
      </c>
      <c r="C20" s="48" t="inlineStr">
        <is>
          <t>콘크리트도상분야</t>
        </is>
      </c>
      <c r="D20" s="47" t="inlineStr">
        <is>
          <t>9000-6-19</t>
        </is>
      </c>
      <c r="E20" s="47">
        <f>D19</f>
        <v/>
      </c>
      <c r="F20" s="47">
        <f>D21</f>
        <v/>
      </c>
      <c r="G20" s="47" t="inlineStr">
        <is>
          <t>D+50 (D+36~D+50)</t>
        </is>
      </c>
      <c r="H20" s="47" t="inlineStr">
        <is>
          <t>[TCL] 콘크리트 타설 및 양생</t>
        </is>
      </c>
      <c r="I20" s="47" t="inlineStr">
        <is>
          <t>현장 공사팀</t>
        </is>
      </c>
      <c r="J20" s="49" t="inlineStr">
        <is>
          <t>TCL은 궤도 부속자재(레일, 고정액상수지 등)가 연결되어 있어, 선형조정 및 연마감 작업이 중요</t>
        </is>
      </c>
      <c r="K20" s="49" t="inlineStr">
        <is>
          <t>슬럼프값은 10cm 이하 타설, 피니셔의 진행 정지시 진동 다짐 장비 중지
- 7일이상 습윤양생 시행, 양생이후 콘크리트 도상내 이물질 청소 및 세척
- 그루브드레일 홈 부분 청소 및 세척, 치수확인</t>
        </is>
      </c>
      <c r="L20" s="49" t="inlineStr">
        <is>
          <t>TCL 콘크리트 품질대장, 게이지 실시간 보정일지</t>
        </is>
      </c>
      <c r="M20" s="49" t="inlineStr">
        <is>
          <t>TCL 도상 콘크리트 강도 ≥ 35 MPa. 타설 중 실시간 궤간척(Gauge Bar) 캔트 오차 ±2mm 보정.</t>
        </is>
      </c>
      <c r="N20" s="68" t="inlineStr">
        <is>
          <t>-</t>
        </is>
      </c>
      <c r="O20" s="49" t="inlineStr">
        <is>
          <t>1) 타설 직전 스핀들 궤간/캔트 최종 정열 상태 측량
2) 고주파 다짐 실시 및 타설 중 실시간 궤간/캔트 오차 미세 조율</t>
        </is>
      </c>
      <c r="P20" s="68" t="inlineStr">
        <is>
          <t>-</t>
        </is>
      </c>
      <c r="Q20" s="49" t="inlineStr">
        <is>
          <t>타설 중 궤간척 실시간 모니터링, 슬럼프 및 공기량 시험, 습윤 양생 부직포 포설 확인</t>
        </is>
      </c>
      <c r="R20" s="68" t="inlineStr">
        <is>
          <t>-</t>
        </is>
      </c>
      <c r="S20" s="47" t="n"/>
      <c r="T20" s="69" t="inlineStr">
        <is>
          <t>● TCL 설계 높이 및 배수구 기울기 준수</t>
        </is>
      </c>
      <c r="U20" s="69" t="inlineStr">
        <is>
          <t>1) 👉 [더블클릭] 체크리스트 열기 📄</t>
        </is>
      </c>
      <c r="V20" s="49" t="n"/>
    </row>
    <row r="21" ht="96" customHeight="1">
      <c r="A21" s="47" t="inlineStr">
        <is>
          <t>9000</t>
        </is>
      </c>
      <c r="B21" s="47" t="inlineStr">
        <is>
          <t>9000-6</t>
        </is>
      </c>
      <c r="C21" s="48" t="inlineStr">
        <is>
          <t>콘크리트도상분야</t>
        </is>
      </c>
      <c r="D21" s="47" t="inlineStr">
        <is>
          <t>9000-6-20</t>
        </is>
      </c>
      <c r="E21" s="47">
        <f>D20</f>
        <v/>
      </c>
      <c r="F21" s="47">
        <f>D22</f>
        <v/>
      </c>
      <c r="G21" s="47" t="inlineStr">
        <is>
          <t>D+63 (D-60~D+63)</t>
        </is>
      </c>
      <c r="H21" s="47" t="inlineStr">
        <is>
          <t>[레일용접] 가스 압접</t>
        </is>
      </c>
      <c r="I21" s="47" t="inlineStr">
        <is>
          <t>현장 공사팀</t>
        </is>
      </c>
      <c r="J21" s="49" t="inlineStr">
        <is>
          <t>장대레일 제작을 위해 용접기에서 가스로 레일 단부를 가열한 후, 강한 압력을 가하여 레일을 접합</t>
        </is>
      </c>
      <c r="K21" s="49"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L21" s="49" t="inlineStr">
        <is>
          <t>가스압접 시공성적표, UT 비파괴보고서</t>
        </is>
      </c>
      <c r="M21" s="49" t="inlineStr">
        <is>
          <t>EN 14587 규격 준수. 레일 단부 가열(1200℃) 후 압송. 용접부 직선도 1m당 ±0.2mm 이내 정밀 연마.</t>
        </is>
      </c>
      <c r="N21" s="68" t="inlineStr">
        <is>
          <t>-</t>
        </is>
      </c>
      <c r="O21" s="49" t="inlineStr">
        <is>
          <t>1) 레일 단면 50mm 녹/기름 제거 및 가스 압접기 압력 교정
2) EN 14587 프로그램에 따라 자동 가열 및 버(Burr) 핫 쉐어링 전단</t>
        </is>
      </c>
      <c r="P21" s="68" t="inlineStr">
        <is>
          <t>-</t>
        </is>
      </c>
      <c r="Q21" s="49" t="inlineStr">
        <is>
          <t>가스 압접 압력 게이지 확인, 용접부 급랭 방지 덮개 설치, 비파괴 시험(UT) 성적서 결재</t>
        </is>
      </c>
      <c r="R21" s="68" t="inlineStr">
        <is>
          <t>-</t>
        </is>
      </c>
      <c r="S21" s="47" t="n"/>
      <c r="T21" s="69" t="inlineStr">
        <is>
          <t>● 용접부 인장 시험 및 비파괴 검사 규격 만족</t>
        </is>
      </c>
      <c r="U21" s="69" t="inlineStr">
        <is>
          <t>1) 👉 [더블클릭] 체크리스트 열기 📄</t>
        </is>
      </c>
      <c r="V21" s="49" t="n"/>
    </row>
    <row r="22" ht="96" customHeight="1">
      <c r="A22" s="47" t="inlineStr">
        <is>
          <t>9000</t>
        </is>
      </c>
      <c r="B22" s="47" t="inlineStr">
        <is>
          <t>9000-6</t>
        </is>
      </c>
      <c r="C22" s="48" t="inlineStr">
        <is>
          <t>콘크리트도상분야</t>
        </is>
      </c>
      <c r="D22" s="47" t="inlineStr">
        <is>
          <t>9000-6-21</t>
        </is>
      </c>
      <c r="E22" s="47">
        <f>D21</f>
        <v/>
      </c>
      <c r="F22" s="47">
        <f>D23</f>
        <v/>
      </c>
      <c r="G22" s="47" t="inlineStr">
        <is>
          <t>D+64 (D+64~D+64)</t>
        </is>
      </c>
      <c r="H22" s="47" t="inlineStr">
        <is>
          <t>[레일용접] 테르밋 용접</t>
        </is>
      </c>
      <c r="I22" s="47" t="inlineStr">
        <is>
          <t>현장 공사팀</t>
        </is>
      </c>
      <c r="J22" s="49" t="inlineStr">
        <is>
          <t>테르밋 용제를 예열된 장대레일 공간에 넣고 용융하여 모든 장대레일을 일체화</t>
        </is>
      </c>
      <c r="K22" s="49"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L22" s="49" t="inlineStr">
        <is>
          <t>테르밋 용접일지, MT 자분탐상 보고서</t>
        </is>
      </c>
      <c r="M22" s="49" t="inlineStr">
        <is>
          <t>EN 14730 규격 준수. 도가니 반응 후 슬래그 분리. 직선도 오차 ±0.2mm 이내 및 NDT 100% 합격.</t>
        </is>
      </c>
      <c r="N22" s="68" t="inlineStr">
        <is>
          <t>-</t>
        </is>
      </c>
      <c r="O22" s="49" t="inlineStr">
        <is>
          <t>1) 레일 끝단 23~26mm 유격 조정 및 레일 정열 클램프 고정
2) 몰드 밀봉 후 테르밋 소모품點火 반응 주입 및 약 5분 후 유압 전단</t>
        </is>
      </c>
      <c r="P22" s="68" t="inlineStr">
        <is>
          <t>-</t>
        </is>
      </c>
      <c r="Q22" s="49" t="inlineStr">
        <is>
          <t>테르밋 용제 예열 온도 확인, 도가니 수평 고정, 비파괴 검사(UT/MT) 전수 실시</t>
        </is>
      </c>
      <c r="R22" s="68" t="inlineStr">
        <is>
          <t>-</t>
        </is>
      </c>
      <c r="S22" s="47" t="n"/>
      <c r="T22" s="69" t="inlineStr">
        <is>
          <t>● 테르밋 용접부 비파괴 검사(UT/PT) 및 공차</t>
        </is>
      </c>
      <c r="U22" s="69" t="inlineStr">
        <is>
          <t>1) 👉 [더블클릭] 체크리스트 열기 📄</t>
        </is>
      </c>
      <c r="V22" s="49" t="n"/>
    </row>
    <row r="23" ht="96" customHeight="1">
      <c r="A23" s="47" t="inlineStr">
        <is>
          <t>9000</t>
        </is>
      </c>
      <c r="B23" s="47" t="inlineStr">
        <is>
          <t>9000-6</t>
        </is>
      </c>
      <c r="C23" s="48" t="inlineStr">
        <is>
          <t>콘크리트도상분야</t>
        </is>
      </c>
      <c r="D23" s="47" t="inlineStr">
        <is>
          <t>9000-6-22</t>
        </is>
      </c>
      <c r="E23" s="47">
        <f>D22</f>
        <v/>
      </c>
      <c r="F23" s="47">
        <f>D24</f>
        <v/>
      </c>
      <c r="G23" s="47" t="inlineStr">
        <is>
          <t>D+75 (D+71~D+75)</t>
        </is>
      </c>
      <c r="H23" s="47" t="inlineStr">
        <is>
          <t>[레일연마] 레일연마 or 밀링</t>
        </is>
      </c>
      <c r="I23" s="47" t="inlineStr">
        <is>
          <t>현장 공사팀</t>
        </is>
      </c>
      <c r="J23" s="49" t="inlineStr">
        <is>
          <t>레일 연마 or 밀링작업을 통해 선로의 평탄화증을 제거하여 레일 수명 향상 및 운행 안정성 개선</t>
        </is>
      </c>
      <c r="K23" s="49"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L23" s="49" t="inlineStr">
        <is>
          <t>선로 평탄성검사 성적표, 조도 실측야장</t>
        </is>
      </c>
      <c r="M23" s="49" t="inlineStr">
        <is>
          <t>레일 마무리면 평탄성 1m 기준 오차 ±0.2mm 이내 밀링. 레일 과열에 의한 열응력 크랙 방지.</t>
        </is>
      </c>
      <c r="N23" s="68" t="inlineStr">
        <is>
          <t>-</t>
        </is>
      </c>
      <c r="O23" s="49" t="inlineStr">
        <is>
          <t>1) 조도계로 Ra ≤ 10㎛ 판정 및 레일 연마 검측 승인
2) 장대레일 구간 연마/밀링 장비 점검 및 표면 단차 사전 조사</t>
        </is>
      </c>
      <c r="P23" s="68" t="inlineStr">
        <is>
          <t>-</t>
        </is>
      </c>
      <c r="Q23" s="49" t="inlineStr">
        <is>
          <t>레일 조도/평탄성 측정 성적서, 절삭유 적정 분사 상태, 마이크로미터 선로 실측</t>
        </is>
      </c>
      <c r="R23" s="68" t="inlineStr">
        <is>
          <t>-</t>
        </is>
      </c>
      <c r="S23" s="47" t="n"/>
      <c r="T23" s="69" t="inlineStr">
        <is>
          <t>● 레일 두부 프로파일 측정 및 평탄도 기준</t>
        </is>
      </c>
      <c r="U23" s="69" t="inlineStr">
        <is>
          <t>1) 👉 [더블클릭] 체크리스트 열기 📄</t>
        </is>
      </c>
      <c r="V23" s="49" t="n"/>
    </row>
    <row r="24" ht="96" customFormat="1" customHeight="1" s="53">
      <c r="A24" s="36" t="inlineStr">
        <is>
          <t>9000</t>
        </is>
      </c>
      <c r="B24" s="36" t="inlineStr">
        <is>
          <t>9000-6</t>
        </is>
      </c>
      <c r="C24" s="51" t="inlineStr">
        <is>
          <t>콘크리트도상분야</t>
        </is>
      </c>
      <c r="D24" s="36" t="inlineStr">
        <is>
          <t>9000-6-23</t>
        </is>
      </c>
      <c r="E24" s="47">
        <f>D23</f>
        <v/>
      </c>
      <c r="F24" s="47">
        <f>D25</f>
        <v/>
      </c>
      <c r="G24" s="36" t="inlineStr">
        <is>
          <t>D+75일 이후</t>
        </is>
      </c>
      <c r="H24" s="36" t="inlineStr">
        <is>
          <t>후속공사 인수인계</t>
        </is>
      </c>
      <c r="I24" s="36" t="inlineStr">
        <is>
          <t>현장 공사팀/품질팀</t>
        </is>
      </c>
      <c r="J24" s="52" t="inlineStr">
        <is>
          <t>완료구간 후속공사 인수인계</t>
        </is>
      </c>
      <c r="K24" s="52" t="inlineStr">
        <is>
          <t>완료된 궤도 구간에 대해 후속 분야(전기, 신호 등)가 공사를 진행할 수 있도록 인계</t>
        </is>
      </c>
      <c r="L24" s="52" t="inlineStr">
        <is>
          <t>궤도 완공 인수서명부, 절연저항 성적철</t>
        </is>
      </c>
      <c r="M24" s="52" t="inlineStr">
        <is>
          <t>전기/신호/노반 담당자 입회 하에 궤도 회로 절연 저항 ≥ 100MΩ 검속. 준공 도면 일치 서명.</t>
        </is>
      </c>
      <c r="N24" s="71" t="inlineStr">
        <is>
          <t>-</t>
        </is>
      </c>
      <c r="O24" s="52" t="inlineStr">
        <is>
          <t>1) 궤도 회로 절연 및 궤간 오차 현장 합동 확인
2) 구간별 NDT 용접 성과표, 강도 성적서 및 궤도 정열표 대조</t>
        </is>
      </c>
      <c r="P24" s="71" t="inlineStr">
        <is>
          <t>-</t>
        </is>
      </c>
      <c r="Q24" s="52" t="inlineStr">
        <is>
          <t>3자 공동 인수 서명 날인, 절연 저항 테스트 결과표 첨부, CAD 준공 대장 제출</t>
        </is>
      </c>
      <c r="R24" s="71" t="inlineStr">
        <is>
          <t>-</t>
        </is>
      </c>
      <c r="S24" s="36" t="n"/>
      <c r="T24" s="72" t="inlineStr">
        <is>
          <t>● 후속 공종 인수인계 표준 지침</t>
        </is>
      </c>
      <c r="U24" s="72" t="inlineStr">
        <is>
          <t>1) 👉 [더블클릭] 체크리스트 열기 📄</t>
        </is>
      </c>
      <c r="V24" s="52" t="n"/>
    </row>
    <row r="25">
      <c r="E25" s="47">
        <f>D24</f>
        <v/>
      </c>
      <c r="F25" s="47">
        <f>D26</f>
        <v/>
      </c>
      <c r="N25" t="inlineStr">
        <is>
          <t>-</t>
        </is>
      </c>
      <c r="P25" t="inlineStr">
        <is>
          <t>-</t>
        </is>
      </c>
      <c r="R25" t="inlineStr">
        <is>
          <t>-</t>
        </is>
      </c>
    </row>
    <row r="26">
      <c r="E26" s="47">
        <f>D25</f>
        <v/>
      </c>
      <c r="F26" s="47">
        <f>D27</f>
        <v/>
      </c>
      <c r="N26" t="inlineStr">
        <is>
          <t>-</t>
        </is>
      </c>
      <c r="P26" t="inlineStr">
        <is>
          <t>-</t>
        </is>
      </c>
      <c r="R26" t="inlineStr">
        <is>
          <t>-</t>
        </is>
      </c>
    </row>
    <row r="27">
      <c r="E27" s="47">
        <f>D26</f>
        <v/>
      </c>
      <c r="F27" s="47">
        <f>D28</f>
        <v/>
      </c>
      <c r="N27" t="inlineStr">
        <is>
          <t>-</t>
        </is>
      </c>
      <c r="P27" t="inlineStr">
        <is>
          <t>-</t>
        </is>
      </c>
      <c r="R27" t="inlineStr">
        <is>
          <t>-</t>
        </is>
      </c>
    </row>
    <row r="28">
      <c r="E28" s="47">
        <f>D27</f>
        <v/>
      </c>
      <c r="F28" s="47">
        <f>D29</f>
        <v/>
      </c>
      <c r="N28" t="inlineStr">
        <is>
          <t>-</t>
        </is>
      </c>
      <c r="P28" t="inlineStr">
        <is>
          <t>-</t>
        </is>
      </c>
      <c r="R28" t="inlineStr">
        <is>
          <t>-</t>
        </is>
      </c>
    </row>
    <row r="29">
      <c r="E29" s="47">
        <f>D28</f>
        <v/>
      </c>
      <c r="F29" s="47">
        <f>D30</f>
        <v/>
      </c>
      <c r="N29" s="78">
        <f>HYPERLINK(LEFT(CELL("filename",A1),FIND("[",CELL("filename",A1))-1)&amp;"5.콘크리트도상\23_후속공사 인수인계\표준서\후속공사 인수인계_표준서.html", "👉 [클릭] 표준서 열기 📄")</f>
        <v/>
      </c>
      <c r="P29" s="79">
        <f>HYPERLINK(LEFT(CELL("filename",A1),FIND("[",CELL("filename",A1))-1)&amp;"5.콘크리트도상\23_후속공사 인수인계\수행지침\후속공사 인수인계_수행지침.html", "👉 [클릭] 수행지침 열기 📄")</f>
        <v/>
      </c>
      <c r="R29" s="80">
        <f>HYPERLINK(LEFT(CELL("filename",A1),FIND("[",CELL("filename",A1))-1)&amp;"5.콘크리트도상\23_후속공사 인수인계\체크리스트\후속공사 인수인계_체크리스트.html", "👉 [클릭] 체크리스트 열기 📄")</f>
        <v/>
      </c>
    </row>
    <row r="30">
      <c r="E30" s="47">
        <f>D29</f>
        <v/>
      </c>
      <c r="F30" s="47">
        <f>D31</f>
        <v/>
      </c>
      <c r="N30" s="78">
        <f>HYPERLINK(LEFT(CELL("filename",A1),FIND("[",CELL("filename",A1))-1)&amp;"5.콘크리트도상\24_Task_24\표준서\Task_24_표준서.html", "👉 [클릭] 표준서 열기 📄")</f>
        <v/>
      </c>
      <c r="P30" s="79">
        <f>HYPERLINK(LEFT(CELL("filename",A1),FIND("[",CELL("filename",A1))-1)&amp;"5.콘크리트도상\24_Task_24\수행지침\Task_24_수행지침.html", "👉 [클릭] 수행지침 열기 📄")</f>
        <v/>
      </c>
      <c r="R30" s="80">
        <f>HYPERLINK(LEFT(CELL("filename",A1),FIND("[",CELL("filename",A1))-1)&amp;"5.콘크리트도상\24_Task_24\체크리스트\Task_24_체크리스트.html", "👉 [클릭] 체크리스트 열기 📄")</f>
        <v/>
      </c>
    </row>
    <row r="31">
      <c r="E31" s="47">
        <f>D30</f>
        <v/>
      </c>
      <c r="F31" s="47">
        <f>D32</f>
        <v/>
      </c>
    </row>
    <row r="32">
      <c r="E32" s="47">
        <f>D31</f>
        <v/>
      </c>
      <c r="F32" s="47">
        <f>D33</f>
        <v/>
      </c>
    </row>
    <row r="33">
      <c r="E33" s="47">
        <f>D32</f>
        <v/>
      </c>
      <c r="F33" s="47">
        <f>D34</f>
        <v/>
      </c>
    </row>
    <row r="34">
      <c r="E34" s="47">
        <f>D33</f>
        <v/>
      </c>
      <c r="F34" s="47">
        <f>D35</f>
        <v/>
      </c>
    </row>
    <row r="35">
      <c r="E35" s="47">
        <f>D34</f>
        <v/>
      </c>
      <c r="F35" s="47">
        <f>D36</f>
        <v/>
      </c>
    </row>
    <row r="36">
      <c r="E36" s="47">
        <f>D35</f>
        <v/>
      </c>
      <c r="F36" s="47">
        <f>D37</f>
        <v/>
      </c>
    </row>
    <row r="37">
      <c r="E37" s="47">
        <f>D36</f>
        <v/>
      </c>
      <c r="F37" s="47">
        <f>D38</f>
        <v/>
      </c>
    </row>
    <row r="38">
      <c r="E38" s="47">
        <f>D37</f>
        <v/>
      </c>
      <c r="F38" s="47">
        <f>D39</f>
        <v/>
      </c>
    </row>
    <row r="39">
      <c r="E39" s="47">
        <f>D38</f>
        <v/>
      </c>
      <c r="F39" s="47" t="n"/>
    </row>
  </sheetData>
  <hyperlinks>
    <hyperlink xmlns:r="http://schemas.openxmlformats.org/officeDocument/2006/relationships" ref="T2" r:id="rId1"/>
    <hyperlink xmlns:r="http://schemas.openxmlformats.org/officeDocument/2006/relationships" ref="U2" r:id="rId2"/>
    <hyperlink xmlns:r="http://schemas.openxmlformats.org/officeDocument/2006/relationships" ref="T3" r:id="rId3"/>
    <hyperlink xmlns:r="http://schemas.openxmlformats.org/officeDocument/2006/relationships" ref="U3" r:id="rId4"/>
    <hyperlink xmlns:r="http://schemas.openxmlformats.org/officeDocument/2006/relationships" ref="T4" r:id="rId5"/>
    <hyperlink xmlns:r="http://schemas.openxmlformats.org/officeDocument/2006/relationships" ref="U4" r:id="rId6"/>
    <hyperlink xmlns:r="http://schemas.openxmlformats.org/officeDocument/2006/relationships" ref="T5" r:id="rId7"/>
    <hyperlink xmlns:r="http://schemas.openxmlformats.org/officeDocument/2006/relationships" ref="U5" r:id="rId8"/>
    <hyperlink xmlns:r="http://schemas.openxmlformats.org/officeDocument/2006/relationships" ref="T6" r:id="rId9"/>
    <hyperlink xmlns:r="http://schemas.openxmlformats.org/officeDocument/2006/relationships" ref="U6" r:id="rId10"/>
    <hyperlink xmlns:r="http://schemas.openxmlformats.org/officeDocument/2006/relationships" ref="T7" r:id="rId11"/>
    <hyperlink xmlns:r="http://schemas.openxmlformats.org/officeDocument/2006/relationships" ref="U7" r:id="rId12"/>
    <hyperlink xmlns:r="http://schemas.openxmlformats.org/officeDocument/2006/relationships" ref="T8" r:id="rId13"/>
    <hyperlink xmlns:r="http://schemas.openxmlformats.org/officeDocument/2006/relationships" ref="U8" r:id="rId14"/>
    <hyperlink xmlns:r="http://schemas.openxmlformats.org/officeDocument/2006/relationships" ref="T9" r:id="rId15"/>
    <hyperlink xmlns:r="http://schemas.openxmlformats.org/officeDocument/2006/relationships" ref="U9" r:id="rId16"/>
    <hyperlink xmlns:r="http://schemas.openxmlformats.org/officeDocument/2006/relationships" ref="T10" r:id="rId17"/>
    <hyperlink xmlns:r="http://schemas.openxmlformats.org/officeDocument/2006/relationships" ref="U10" r:id="rId18"/>
    <hyperlink xmlns:r="http://schemas.openxmlformats.org/officeDocument/2006/relationships" ref="T11" r:id="rId19"/>
    <hyperlink xmlns:r="http://schemas.openxmlformats.org/officeDocument/2006/relationships" ref="U11" r:id="rId20"/>
    <hyperlink xmlns:r="http://schemas.openxmlformats.org/officeDocument/2006/relationships" ref="T12" r:id="rId21"/>
    <hyperlink xmlns:r="http://schemas.openxmlformats.org/officeDocument/2006/relationships" ref="U12" r:id="rId22"/>
    <hyperlink xmlns:r="http://schemas.openxmlformats.org/officeDocument/2006/relationships" ref="T13" r:id="rId23"/>
    <hyperlink xmlns:r="http://schemas.openxmlformats.org/officeDocument/2006/relationships" ref="U13" r:id="rId24"/>
    <hyperlink xmlns:r="http://schemas.openxmlformats.org/officeDocument/2006/relationships" ref="T14" r:id="rId25"/>
    <hyperlink xmlns:r="http://schemas.openxmlformats.org/officeDocument/2006/relationships" ref="U14" r:id="rId26"/>
    <hyperlink xmlns:r="http://schemas.openxmlformats.org/officeDocument/2006/relationships" ref="T15" r:id="rId27"/>
    <hyperlink xmlns:r="http://schemas.openxmlformats.org/officeDocument/2006/relationships" ref="U15" r:id="rId28"/>
    <hyperlink xmlns:r="http://schemas.openxmlformats.org/officeDocument/2006/relationships" ref="T16" r:id="rId29"/>
    <hyperlink xmlns:r="http://schemas.openxmlformats.org/officeDocument/2006/relationships" ref="U16" r:id="rId30"/>
    <hyperlink xmlns:r="http://schemas.openxmlformats.org/officeDocument/2006/relationships" ref="T17" r:id="rId31"/>
    <hyperlink xmlns:r="http://schemas.openxmlformats.org/officeDocument/2006/relationships" ref="U17" r:id="rId32"/>
    <hyperlink xmlns:r="http://schemas.openxmlformats.org/officeDocument/2006/relationships" ref="T18" r:id="rId33"/>
    <hyperlink xmlns:r="http://schemas.openxmlformats.org/officeDocument/2006/relationships" ref="U18" r:id="rId34"/>
    <hyperlink xmlns:r="http://schemas.openxmlformats.org/officeDocument/2006/relationships" ref="T19" r:id="rId35"/>
    <hyperlink xmlns:r="http://schemas.openxmlformats.org/officeDocument/2006/relationships" ref="U19" r:id="rId36"/>
    <hyperlink xmlns:r="http://schemas.openxmlformats.org/officeDocument/2006/relationships" ref="T20" r:id="rId37"/>
    <hyperlink xmlns:r="http://schemas.openxmlformats.org/officeDocument/2006/relationships" ref="U20" r:id="rId38"/>
    <hyperlink xmlns:r="http://schemas.openxmlformats.org/officeDocument/2006/relationships" ref="T21" r:id="rId39"/>
    <hyperlink xmlns:r="http://schemas.openxmlformats.org/officeDocument/2006/relationships" ref="U21" r:id="rId40"/>
    <hyperlink xmlns:r="http://schemas.openxmlformats.org/officeDocument/2006/relationships" ref="T22" r:id="rId41"/>
    <hyperlink xmlns:r="http://schemas.openxmlformats.org/officeDocument/2006/relationships" ref="U22" r:id="rId42"/>
    <hyperlink xmlns:r="http://schemas.openxmlformats.org/officeDocument/2006/relationships" ref="T23" r:id="rId43"/>
    <hyperlink xmlns:r="http://schemas.openxmlformats.org/officeDocument/2006/relationships" ref="U23" r:id="rId44"/>
    <hyperlink xmlns:r="http://schemas.openxmlformats.org/officeDocument/2006/relationships" ref="T24" r:id="rId45"/>
    <hyperlink xmlns:r="http://schemas.openxmlformats.org/officeDocument/2006/relationships" ref="U24" r:id="rId46"/>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6.xml><?xml version="1.0" encoding="utf-8"?>
<worksheet xmlns="http://schemas.openxmlformats.org/spreadsheetml/2006/main">
  <sheetPr codeName="Sheet6">
    <tabColor rgb="FFFFFF00"/>
    <outlinePr summaryBelow="1" summaryRight="1"/>
    <pageSetUpPr/>
  </sheetPr>
  <dimension ref="A1:V51"/>
  <sheetViews>
    <sheetView view="pageBreakPreview" zoomScale="55" zoomScaleNormal="40" zoomScaleSheetLayoutView="55" workbookViewId="0">
      <pane xSplit="2" ySplit="1" topLeftCell="C2" activePane="bottomRight" state="frozen"/>
      <selection pane="topRight" activeCell="C1" sqref="C1"/>
      <selection pane="bottomLeft" activeCell="A2" sqref="A2"/>
      <selection pane="bottomRight" activeCell="J4" sqref="J4"/>
    </sheetView>
  </sheetViews>
  <sheetFormatPr baseColWidth="8" defaultRowHeight="19.2"/>
  <cols>
    <col width="8.796875" customWidth="1" style="42" min="1" max="1"/>
    <col width="11.296875" customWidth="1" style="42" min="2" max="2"/>
    <col width="14.59765625" customWidth="1" style="42" min="3" max="3"/>
    <col width="16" customWidth="1" style="22" min="4" max="6"/>
    <col width="18" customWidth="1" style="45" min="7" max="7"/>
    <col width="34.69921875" customWidth="1" style="22" min="8" max="8"/>
    <col width="21.69921875" customWidth="1" style="22" min="9" max="9"/>
    <col width="32.59765625" customWidth="1" style="22" min="10" max="10"/>
    <col width="72.296875" customWidth="1" style="42" min="11" max="11"/>
    <col width="41.69921875" customWidth="1" style="42" min="12" max="12"/>
    <col width="50" customWidth="1" style="42" min="13" max="13"/>
    <col width="16.19921875" customWidth="1" style="46" min="14" max="14"/>
    <col width="49.796875" customWidth="1" style="46" min="15" max="15"/>
    <col width="12.19921875" customWidth="1" style="42" min="16" max="16"/>
    <col width="45" customWidth="1" style="42" min="17" max="17"/>
    <col width="13.69921875" customWidth="1" style="46" min="18" max="18"/>
    <col width="23.3984375" customWidth="1" style="42" min="19" max="19"/>
    <col width="45" customWidth="1" style="46" min="20" max="20"/>
    <col width="22" customWidth="1" style="46" min="21" max="21"/>
    <col width="45" customWidth="1" style="42" min="22" max="38"/>
    <col width="8.796875" customWidth="1" style="42" min="39" max="74"/>
    <col width="8.796875" customWidth="1" style="42" min="75" max="16384"/>
  </cols>
  <sheetData>
    <row r="1" ht="38.4" customHeight="1">
      <c r="A1" s="12" t="inlineStr">
        <is>
          <t>L2 코드</t>
        </is>
      </c>
      <c r="B1" s="12" t="inlineStr">
        <is>
          <t>L3 코드</t>
        </is>
      </c>
      <c r="C1" s="12" t="inlineStr">
        <is>
          <t>L3 대공종명</t>
        </is>
      </c>
      <c r="D1" s="12" t="inlineStr">
        <is>
          <t>L4 코드</t>
        </is>
      </c>
      <c r="E1" s="12" t="inlineStr">
        <is>
          <t>선행</t>
        </is>
      </c>
      <c r="F1" s="12" t="inlineStr">
        <is>
          <t>후행</t>
        </is>
      </c>
      <c r="G1" s="12" t="inlineStr">
        <is>
          <t>일정 (D-Day)</t>
        </is>
      </c>
      <c r="H1" s="12" t="inlineStr">
        <is>
          <t>작업단위 (Level 4 Task/Activity)</t>
        </is>
      </c>
      <c r="I1" s="12" t="inlineStr">
        <is>
          <t>주관</t>
        </is>
      </c>
      <c r="J1" s="12" t="inlineStr">
        <is>
          <t>목적</t>
        </is>
      </c>
      <c r="K1" s="12" t="inlineStr">
        <is>
          <t>방법</t>
        </is>
      </c>
      <c r="L1" s="12" t="inlineStr">
        <is>
          <t>산출물(결과)</t>
        </is>
      </c>
      <c r="M1" s="12" t="inlineStr">
        <is>
          <t>표준서 (Standard) 요약</t>
        </is>
      </c>
      <c r="N1" s="14" t="inlineStr">
        <is>
          <t>표준서 파일 (HTML)</t>
        </is>
      </c>
      <c r="O1" s="12" t="inlineStr">
        <is>
          <t>수행지침 (Guideline) 요약</t>
        </is>
      </c>
      <c r="P1" s="14" t="inlineStr">
        <is>
          <t>수행지침 파일 (HTML)</t>
        </is>
      </c>
      <c r="Q1" s="12" t="inlineStr">
        <is>
          <t>체크리스트 (Checklist) 요약</t>
        </is>
      </c>
      <c r="R1" s="14" t="inlineStr">
        <is>
          <t>체크리스트 파일 (HTML)</t>
        </is>
      </c>
      <c r="S1" s="12" t="inlineStr">
        <is>
          <t>비고</t>
        </is>
      </c>
      <c r="T1" s="12" t="inlineStr">
        <is>
          <t>첨부서류 연계 상세 설계기준</t>
        </is>
      </c>
      <c r="U1" s="12" t="inlineStr">
        <is>
          <t>집행단계 리스크 체크리스트</t>
        </is>
      </c>
      <c r="V1" s="12" t="inlineStr">
        <is>
          <t>협력사 시공/공사관리 자문</t>
        </is>
      </c>
    </row>
    <row r="2" ht="115.2" customHeight="1">
      <c r="A2" s="22" t="inlineStr">
        <is>
          <t>9000</t>
        </is>
      </c>
      <c r="B2" s="22" t="inlineStr">
        <is>
          <t>9000-4</t>
        </is>
      </c>
      <c r="C2" s="26" t="inlineStr">
        <is>
          <t>건축</t>
        </is>
      </c>
      <c r="D2" s="22" t="inlineStr">
        <is>
          <t>9000-4-1</t>
        </is>
      </c>
      <c r="F2" s="22">
        <f>D3</f>
        <v/>
      </c>
      <c r="G2" s="36" t="inlineStr">
        <is>
          <t>D-120 (D-150~D-120)</t>
        </is>
      </c>
      <c r="H2" s="26" t="inlineStr">
        <is>
          <t>설계 적정성 검토</t>
        </is>
      </c>
      <c r="I2" s="22" t="inlineStr">
        <is>
          <t>현장 공무팀</t>
        </is>
      </c>
      <c r="J2" s="43" t="inlineStr">
        <is>
          <t>건축 설계 오류 및 누락사항 검토</t>
        </is>
      </c>
      <c r="K2" s="44"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L2" s="43" t="inlineStr">
        <is>
          <t>설계변경 예상 List, 회의록</t>
        </is>
      </c>
      <c r="M2" s="4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N2" s="75">
        <f>HYPERLINK(LEFT(CELL("filename",A1),FIND("[",CELL("filename",A1))-1)&amp;"6.건축\1_설계 적정성 검토\표준서\설계 적정성 검토_표준서.html", "👉 [클릭] 표준서 열기 📄")</f>
        <v/>
      </c>
      <c r="O2" s="4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P2" s="76">
        <f>HYPERLINK(LEFT(CELL("filename",A1),FIND("[",CELL("filename",A1))-1)&amp;"6.건축\1_설계 적정성 검토\수행지침\설계 적정성 검토_수행지침.html", "👉 [클릭] 수행지침 열기 📄")</f>
        <v/>
      </c>
      <c r="Q2" s="4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R2" s="77">
        <f>HYPERLINK(LEFT(CELL("filename",A1),FIND("[",CELL("filename",A1))-1)&amp;"6.건축\1_설계 적정성 검토\체크리스트\설계 적정성 검토_체크리스트.html", "👉 [클릭] 체크리스트 열기 📄")</f>
        <v/>
      </c>
      <c r="S2" s="22" t="n"/>
      <c r="T2" s="69" t="inlineStr">
        <is>
          <t>● 건축법 및 관련 소방, 정보통신 등 인터페이스 설계기준 준수</t>
        </is>
      </c>
      <c r="U2" s="69" t="inlineStr">
        <is>
          <t>1) 👉 [더블클릭] 체크리스트 열기 📄</t>
        </is>
      </c>
      <c r="V2" s="43" t="n"/>
    </row>
    <row r="3" ht="115.2" customHeight="1">
      <c r="A3" s="22" t="inlineStr">
        <is>
          <t>9000</t>
        </is>
      </c>
      <c r="B3" s="22" t="inlineStr">
        <is>
          <t>9000-4</t>
        </is>
      </c>
      <c r="C3" s="26" t="inlineStr">
        <is>
          <t>건축</t>
        </is>
      </c>
      <c r="D3" s="22" t="inlineStr">
        <is>
          <t>9000-4-2</t>
        </is>
      </c>
      <c r="E3" s="22">
        <f>D2</f>
        <v/>
      </c>
      <c r="F3" s="22">
        <f>D4</f>
        <v/>
      </c>
      <c r="G3" s="36" t="inlineStr">
        <is>
          <t>D-100 (D-120~D-100)</t>
        </is>
      </c>
      <c r="H3" s="26" t="inlineStr">
        <is>
          <t>발주전략 KOM</t>
        </is>
      </c>
      <c r="I3" s="22" t="inlineStr">
        <is>
          <t>현장소장</t>
        </is>
      </c>
      <c r="J3" s="43" t="inlineStr">
        <is>
          <t>건축 구조물 및 내부, 마감공사 발주 전략 수립</t>
        </is>
      </c>
      <c r="K3" s="44" t="inlineStr">
        <is>
          <t>- 가시공 B/P 적정성 검토
- 현설조건 검토
- 공법 및 공기 검토
- 예산 적정성 검토
- 현장 여건 및 지반상태(기초, 말뚝등) 검토</t>
        </is>
      </c>
      <c r="L3" s="43" t="inlineStr">
        <is>
          <t>KOM 검토결과서, 현설서</t>
        </is>
      </c>
      <c r="M3" s="4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N3" s="75">
        <f>HYPERLINK(LEFT(CELL("filename",A1),FIND("[",CELL("filename",A1))-1)&amp;"6.건축\2_발주전략 KOM\표준서\발주전략 KOM_표준서.html", "👉 [클릭] 표준서 열기 📄")</f>
        <v/>
      </c>
      <c r="O3" s="4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P3" s="76">
        <f>HYPERLINK(LEFT(CELL("filename",A1),FIND("[",CELL("filename",A1))-1)&amp;"6.건축\2_발주전략 KOM\수행지침\발주전략 KOM_수행지침.html", "👉 [클릭] 수행지침 열기 📄")</f>
        <v/>
      </c>
      <c r="Q3" s="4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R3" s="77">
        <f>HYPERLINK(LEFT(CELL("filename",A1),FIND("[",CELL("filename",A1))-1)&amp;"6.건축\2_발주전략 KOM\체크리스트\발주전략 KOM_체크리스트.html", "👉 [클릭] 체크리스트 열기 📄")</f>
        <v/>
      </c>
      <c r="S3" s="22" t="n"/>
      <c r="T3" s="69" t="inlineStr">
        <is>
          <t>● 본사외주부서, 수행부서, 토목견적팀 협의사항 준수</t>
        </is>
      </c>
      <c r="U3" s="69" t="inlineStr">
        <is>
          <t>1) 👉 [더블클릭] 체크리스트 열기 📄</t>
        </is>
      </c>
      <c r="V3" s="43" t="n"/>
    </row>
    <row r="4" ht="115.2" customHeight="1">
      <c r="A4" s="22" t="inlineStr">
        <is>
          <t>9000</t>
        </is>
      </c>
      <c r="B4" s="22" t="inlineStr">
        <is>
          <t>9000-4</t>
        </is>
      </c>
      <c r="C4" s="26" t="inlineStr">
        <is>
          <t>건축</t>
        </is>
      </c>
      <c r="D4" s="22" t="inlineStr">
        <is>
          <t>9000-4-3</t>
        </is>
      </c>
      <c r="E4" s="22">
        <f>D3</f>
        <v/>
      </c>
      <c r="F4" s="22">
        <f>D5</f>
        <v/>
      </c>
      <c r="G4" s="36" t="inlineStr">
        <is>
          <t>D-100 (D-120~D-100)</t>
        </is>
      </c>
      <c r="H4" s="26" t="inlineStr">
        <is>
          <t>착공전 건축 인허가</t>
        </is>
      </c>
      <c r="I4" s="22" t="inlineStr">
        <is>
          <t>현장소장</t>
        </is>
      </c>
      <c r="J4" s="43" t="inlineStr">
        <is>
          <t>관련법에 따라 착수전 건축인허가 추진</t>
        </is>
      </c>
      <c r="K4" s="44" t="inlineStr">
        <is>
          <t>- 건축허가 요청(-&gt;관할 지자체)
- 착공신고서 제출(-&gt;관할 지자체)
- 소방시설공사 착공신고서 제출 (-&gt;관할 소방서)
- 정보통신공사 착공전 설계도 확인(-&gt;관할 지자체)</t>
        </is>
      </c>
      <c r="L4" s="43" t="inlineStr">
        <is>
          <t>인허가 신고/승인 문서</t>
        </is>
      </c>
      <c r="M4" s="4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N4" s="75">
        <f>HYPERLINK(LEFT(CELL("filename",A1),FIND("[",CELL("filename",A1))-1)&amp;"6.건축\3_착공전 건축 인허가\표준서\착공전 건축 인허가_표준서.html", "👉 [클릭] 표준서 열기 📄")</f>
        <v/>
      </c>
      <c r="O4" s="4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P4" s="76">
        <f>HYPERLINK(LEFT(CELL("filename",A1),FIND("[",CELL("filename",A1))-1)&amp;"6.건축\3_착공전 건축 인허가\수행지침\착공전 건축 인허가_수행지침.html", "👉 [클릭] 수행지침 열기 📄")</f>
        <v/>
      </c>
      <c r="Q4" s="4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R4" s="77">
        <f>HYPERLINK(LEFT(CELL("filename",A1),FIND("[",CELL("filename",A1))-1)&amp;"6.건축\3_착공전 건축 인허가\체크리스트\착공전 건축 인허가_체크리스트.html", "👉 [클릭] 체크리스트 열기 📄")</f>
        <v/>
      </c>
      <c r="S4" s="22" t="n"/>
      <c r="T4" s="69" t="inlineStr">
        <is>
          <t>● 건축법, 소방시설공사업법, 정보통신공사업법 규정 준수</t>
        </is>
      </c>
      <c r="U4" s="69" t="inlineStr">
        <is>
          <t>1) 👉 [더블클릭] 체크리스트 열기 📄</t>
        </is>
      </c>
      <c r="V4" s="43" t="n"/>
    </row>
    <row r="5" ht="112.2" customHeight="1">
      <c r="A5" s="22" t="inlineStr">
        <is>
          <t>9000</t>
        </is>
      </c>
      <c r="B5" s="22" t="inlineStr">
        <is>
          <t>9000-4</t>
        </is>
      </c>
      <c r="C5" s="26" t="inlineStr">
        <is>
          <t>건축</t>
        </is>
      </c>
      <c r="D5" s="22" t="inlineStr">
        <is>
          <t>9000-4-4</t>
        </is>
      </c>
      <c r="E5" s="22">
        <f>D4</f>
        <v/>
      </c>
      <c r="F5" s="22">
        <f>D6</f>
        <v/>
      </c>
      <c r="G5" s="36" t="inlineStr">
        <is>
          <t>D-90 (D-120~D-90)</t>
        </is>
      </c>
      <c r="H5" s="26" t="inlineStr">
        <is>
          <t>건축허가 요청</t>
        </is>
      </c>
      <c r="I5" s="22" t="inlineStr">
        <is>
          <t>건축설계사, 현장준비팀</t>
        </is>
      </c>
      <c r="J5" s="43" t="inlineStr">
        <is>
          <t>건축허가요청</t>
        </is>
      </c>
      <c r="K5" s="44" t="inlineStr">
        <is>
          <t>건축설계사, 현장준비팀 -&gt; 관할지자체
- 건축법 제11조(건축허가)
- 서식: 별지 제1호의4서식
- 관할지자체(시,군,구) 2일~15일</t>
        </is>
      </c>
      <c r="L5" s="43" t="inlineStr">
        <is>
          <t>건축허가 통보 문서</t>
        </is>
      </c>
      <c r="M5" s="4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N5" s="75">
        <f>HYPERLINK(LEFT(CELL("filename",A1),FIND("[",CELL("filename",A1))-1)&amp;"6.건축\4_건축허가 요청\표준서\건축허가 요청_표준서.html", "👉 [클릭] 표준서 열기 📄")</f>
        <v/>
      </c>
      <c r="O5" s="4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P5" s="76">
        <f>HYPERLINK(LEFT(CELL("filename",A1),FIND("[",CELL("filename",A1))-1)&amp;"6.건축\4_건축허가 요청\수행지침\건축허가 요청_수행지침.html", "👉 [클릭] 수행지침 열기 📄")</f>
        <v/>
      </c>
      <c r="Q5" s="4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R5" s="77">
        <f>HYPERLINK(LEFT(CELL("filename",A1),FIND("[",CELL("filename",A1))-1)&amp;"6.건축\4_건축허가 요청\체크리스트\건축허가 요청_체크리스트.html", "👉 [클릭] 체크리스트 열기 📄")</f>
        <v/>
      </c>
      <c r="S5" s="22" t="n"/>
      <c r="T5" s="69" t="inlineStr">
        <is>
          <t>● 건축법 제11조</t>
        </is>
      </c>
      <c r="U5" s="69" t="inlineStr">
        <is>
          <t>1) 👉 [더블클릭] 체크리스트 열기 📄</t>
        </is>
      </c>
      <c r="V5" s="43" t="n"/>
    </row>
    <row r="6" ht="115.2" customHeight="1">
      <c r="A6" s="22" t="inlineStr">
        <is>
          <t>9000</t>
        </is>
      </c>
      <c r="B6" s="22" t="inlineStr">
        <is>
          <t>9000-4</t>
        </is>
      </c>
      <c r="C6" s="26" t="inlineStr">
        <is>
          <t>건축</t>
        </is>
      </c>
      <c r="D6" s="22" t="inlineStr">
        <is>
          <t>9000-4-5</t>
        </is>
      </c>
      <c r="E6" s="22">
        <f>D5</f>
        <v/>
      </c>
      <c r="F6" s="22">
        <f>D7</f>
        <v/>
      </c>
      <c r="G6" s="36" t="inlineStr">
        <is>
          <t>D-60 (D-90~D-60)</t>
        </is>
      </c>
      <c r="H6" s="26" t="inlineStr">
        <is>
          <t>착공신고서 제출</t>
        </is>
      </c>
      <c r="I6" s="22" t="inlineStr">
        <is>
          <t>현장소장, 건축 설계사</t>
        </is>
      </c>
      <c r="J6" s="43" t="inlineStr">
        <is>
          <t>착공신고서 제출</t>
        </is>
      </c>
      <c r="K6" s="44" t="inlineStr">
        <is>
          <t>현장 -&gt; 관할지자체
- 건축법 제21조(착공신고등)
- 서식: 별지 제13호 서식
- 제출후 지자체 처리기간 3일 이내</t>
        </is>
      </c>
      <c r="L6" s="43" t="inlineStr">
        <is>
          <t>착공신고서 승인 통보 문서</t>
        </is>
      </c>
      <c r="M6" s="4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N6" s="75">
        <f>HYPERLINK(LEFT(CELL("filename",A1),FIND("[",CELL("filename",A1))-1)&amp;"6.건축\5_착공신고서 제출\표준서\착공신고서 제출_표준서.html", "👉 [클릭] 표준서 열기 📄")</f>
        <v/>
      </c>
      <c r="O6" s="4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P6" s="76">
        <f>HYPERLINK(LEFT(CELL("filename",A1),FIND("[",CELL("filename",A1))-1)&amp;"6.건축\5_착공신고서 제출\수행지침\착공신고서 제출_수행지침.html", "👉 [클릭] 수행지침 열기 📄")</f>
        <v/>
      </c>
      <c r="Q6" s="4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R6" s="77">
        <f>HYPERLINK(LEFT(CELL("filename",A1),FIND("[",CELL("filename",A1))-1)&amp;"6.건축\5_착공신고서 제출\체크리스트\착공신고서 제출_체크리스트.html", "👉 [클릭] 체크리스트 열기 📄")</f>
        <v/>
      </c>
      <c r="S6" s="22" t="n"/>
      <c r="T6" s="69" t="inlineStr">
        <is>
          <t>● 건축법 제21조</t>
        </is>
      </c>
      <c r="U6" s="69" t="inlineStr">
        <is>
          <t>1) 👉 [더블클릭] 체크리스트 열기 📄</t>
        </is>
      </c>
      <c r="V6" s="43" t="n"/>
    </row>
    <row r="7" ht="115.2" customHeight="1">
      <c r="A7" s="22" t="inlineStr">
        <is>
          <t>9000</t>
        </is>
      </c>
      <c r="B7" s="22" t="inlineStr">
        <is>
          <t>9000-4</t>
        </is>
      </c>
      <c r="C7" s="26" t="inlineStr">
        <is>
          <t>건축</t>
        </is>
      </c>
      <c r="D7" s="22" t="inlineStr">
        <is>
          <t>9000-4-6</t>
        </is>
      </c>
      <c r="E7" s="22">
        <f>D6</f>
        <v/>
      </c>
      <c r="F7" s="22">
        <f>D8</f>
        <v/>
      </c>
      <c r="G7" s="36" t="inlineStr">
        <is>
          <t>D-70 (D-70~D-60)</t>
        </is>
      </c>
      <c r="H7" s="26" t="inlineStr">
        <is>
          <t>소방시설공사 착공 신고서 제출</t>
        </is>
      </c>
      <c r="I7" s="22" t="inlineStr">
        <is>
          <t>현장소장</t>
        </is>
      </c>
      <c r="J7" s="43" t="inlineStr">
        <is>
          <t>소방시설공사 착공신고서 제출</t>
        </is>
      </c>
      <c r="K7" s="44" t="inlineStr">
        <is>
          <t>현장 -&gt; 관할소방서, 소방시설공사업법 제13조(착공신고)
- 서식: 별지 제14호 서식
- 제출후 처리기간 2일 이내</t>
        </is>
      </c>
      <c r="L7" s="43" t="inlineStr">
        <is>
          <t>소방시설공사 착공신고필증</t>
        </is>
      </c>
      <c r="M7" s="4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N7" s="75">
        <f>HYPERLINK(LEFT(CELL("filename",A1),FIND("[",CELL("filename",A1))-1)&amp;"6.건축\6_소방시설공사 착공 신고서 제출\표준서\소방시설공사 착공 신고서 제출_표준서.html", "👉 [클릭] 표준서 열기 📄")</f>
        <v/>
      </c>
      <c r="O7" s="4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P7" s="76">
        <f>HYPERLINK(LEFT(CELL("filename",A1),FIND("[",CELL("filename",A1))-1)&amp;"6.건축\6_소방시설공사 착공 신고서 제출\수행지침\소방시설공사 착공 신고서 제출_수행지침.html", "👉 [클릭] 수행지침 열기 📄")</f>
        <v/>
      </c>
      <c r="Q7" s="4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R7" s="77">
        <f>HYPERLINK(LEFT(CELL("filename",A1),FIND("[",CELL("filename",A1))-1)&amp;"6.건축\6_소방시설공사 착공 신고서 제출\체크리스트\소방시설공사 착공 신고서 제출_체크리스트.html", "👉 [클릭] 체크리스트 열기 📄")</f>
        <v/>
      </c>
      <c r="S7" s="22" t="n"/>
      <c r="T7" s="69" t="inlineStr">
        <is>
          <t>● 소방시설공사업법 제13조</t>
        </is>
      </c>
      <c r="U7" s="69" t="inlineStr">
        <is>
          <t>1) 👉 [더블클릭] 체크리스트 열기 📄</t>
        </is>
      </c>
      <c r="V7" s="43" t="n"/>
    </row>
    <row r="8" ht="115.2" customHeight="1">
      <c r="A8" s="22" t="inlineStr">
        <is>
          <t>9000</t>
        </is>
      </c>
      <c r="B8" s="22" t="inlineStr">
        <is>
          <t>9000-4</t>
        </is>
      </c>
      <c r="C8" s="26" t="inlineStr">
        <is>
          <t>건축</t>
        </is>
      </c>
      <c r="D8" s="22" t="inlineStr">
        <is>
          <t>9000-4-7</t>
        </is>
      </c>
      <c r="E8" s="22">
        <f>D7</f>
        <v/>
      </c>
      <c r="F8" s="22">
        <f>D9</f>
        <v/>
      </c>
      <c r="G8" s="36" t="inlineStr">
        <is>
          <t>D-60</t>
        </is>
      </c>
      <c r="H8" s="26" t="inlineStr">
        <is>
          <t>정보통신공사 착공전 설계도 확인 (신청서 제출 및 결과 접수)</t>
        </is>
      </c>
      <c r="I8" s="22" t="inlineStr">
        <is>
          <t>현장소장</t>
        </is>
      </c>
      <c r="J8" s="43" t="inlineStr">
        <is>
          <t>정보통신공사 착공전 설계도 확인 신청 및 제출</t>
        </is>
      </c>
      <c r="K8" s="44" t="inlineStr">
        <is>
          <t>현장 -&gt; 관할지자체, 정보통신공사업법 시행령 제35조의 2
- 서식: 별지 제7호 서식
- 제출후 처리기간 14일 이내</t>
        </is>
      </c>
      <c r="L8" s="43" t="inlineStr">
        <is>
          <t>정보통신공사 착공전 설계도 확인결과 통보서</t>
        </is>
      </c>
      <c r="M8" s="4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N8" s="75">
        <f>HYPERLINK(LEFT(CELL("filename",A1),FIND("[",CELL("filename",A1))-1)&amp;"6.건축\7_정보통신공사 착공전 설계도 확인 (신청서 제출 및 결과 접수)\표준서\정보통신공사 착공전 설계도 확인 (신청서 제출 및 결과 접수)_표준서.html", "👉 [클릭] 표준서 열기 📄")</f>
        <v/>
      </c>
      <c r="O8" s="4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P8" s="76">
        <f>HYPERLINK(LEFT(CELL("filename",A1),FIND("[",CELL("filename",A1))-1)&amp;"6.건축\7_정보통신공사 착공전 설계도 확인 (신청서 제출 및 결과 접수)\수행지침\정보통신공사 착공전 설계도 확인 (신청서 제출 및 결과 접수)_수행지침.html", "👉 [클릭] 수행지침 열기 📄")</f>
        <v/>
      </c>
      <c r="Q8" s="4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R8" s="77">
        <f>HYPERLINK(LEFT(CELL("filename",A1),FIND("[",CELL("filename",A1))-1)&amp;"6.건축\7_정보통신공사 착공전 설계도 확인 (신청서 제출 및 결과 접수)\체크리스트\정보통신공사 착공전 설계도 확인 (신청서 제출 및 결과 접수)_체크리스트.html", "👉 [클릭] 체크리스트 열기 📄")</f>
        <v/>
      </c>
      <c r="S8" s="22" t="n"/>
      <c r="T8" s="69" t="inlineStr">
        <is>
          <t>● 정보통신공사업법 시행령 제35조의 2</t>
        </is>
      </c>
      <c r="U8" s="69" t="inlineStr">
        <is>
          <t>1) 👉 [더블클릭] 체크리스트 열기 📄</t>
        </is>
      </c>
      <c r="V8" s="43" t="n"/>
    </row>
    <row r="9" ht="96" customHeight="1">
      <c r="A9" s="22" t="inlineStr">
        <is>
          <t>9000</t>
        </is>
      </c>
      <c r="B9" s="22" t="inlineStr">
        <is>
          <t>9000-4</t>
        </is>
      </c>
      <c r="C9" s="26" t="inlineStr">
        <is>
          <t>건축</t>
        </is>
      </c>
      <c r="D9" s="22" t="inlineStr">
        <is>
          <t>9000-4-8</t>
        </is>
      </c>
      <c r="E9" s="22">
        <f>D8</f>
        <v/>
      </c>
      <c r="F9" s="22">
        <f>D10</f>
        <v/>
      </c>
      <c r="G9" s="36" t="inlineStr">
        <is>
          <t>D-60</t>
        </is>
      </c>
      <c r="H9" s="26" t="inlineStr">
        <is>
          <t>선행공종 인수사항 확인</t>
        </is>
      </c>
      <c r="I9" s="22" t="inlineStr">
        <is>
          <t>현장공사팀</t>
        </is>
      </c>
      <c r="J9" s="43" t="inlineStr">
        <is>
          <t>선행공종 인수인계</t>
        </is>
      </c>
      <c r="K9" s="44" t="inlineStr">
        <is>
          <t>- 부지경계 측량 확인
- 업체간 현장확인+좌표화 Data 인수
- 지장물, 지반상태, 진입로, 작업장 현황</t>
        </is>
      </c>
      <c r="L9" s="43" t="inlineStr">
        <is>
          <t>회의록, 인수사항 List</t>
        </is>
      </c>
      <c r="M9" s="4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N9" s="75">
        <f>HYPERLINK(LEFT(CELL("filename",A1),FIND("[",CELL("filename",A1))-1)&amp;"6.건축\8_선행공종 인수사항 확인\표준서\선행공종 인수사항 확인_표준서.html", "👉 [클릭] 표준서 열기 📄")</f>
        <v/>
      </c>
      <c r="O9" s="4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P9" s="76">
        <f>HYPERLINK(LEFT(CELL("filename",A1),FIND("[",CELL("filename",A1))-1)&amp;"6.건축\8_선행공종 인수사항 확인\수행지침\선행공종 인수사항 확인_수행지침.html", "👉 [클릭] 수행지침 열기 📄")</f>
        <v/>
      </c>
      <c r="Q9" s="4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R9" s="77">
        <f>HYPERLINK(LEFT(CELL("filename",A1),FIND("[",CELL("filename",A1))-1)&amp;"6.건축\8_선행공종 인수사항 확인\체크리스트\선행공종 인수사항 확인_체크리스트.html", "👉 [클릭] 체크리스트 열기 📄")</f>
        <v/>
      </c>
      <c r="S9" s="22" t="n"/>
      <c r="T9" s="69" t="inlineStr">
        <is>
          <t>● 선행공종(토공, 지반개량 등) 인수 및 좌표 검증</t>
        </is>
      </c>
      <c r="U9" s="69" t="inlineStr">
        <is>
          <t>1) 👉 [더블클릭] 체크리스트 열기 📄</t>
        </is>
      </c>
      <c r="V9" s="43" t="n"/>
    </row>
    <row r="10" ht="96" customHeight="1">
      <c r="A10" s="22" t="inlineStr">
        <is>
          <t>9000</t>
        </is>
      </c>
      <c r="B10" s="22" t="inlineStr">
        <is>
          <t>9000-4</t>
        </is>
      </c>
      <c r="C10" s="26" t="inlineStr">
        <is>
          <t>건축</t>
        </is>
      </c>
      <c r="D10" s="22" t="inlineStr">
        <is>
          <t>9000-4-9</t>
        </is>
      </c>
      <c r="E10" s="22">
        <f>D9</f>
        <v/>
      </c>
      <c r="F10" s="22">
        <f>D11</f>
        <v/>
      </c>
      <c r="G10" s="36" t="inlineStr">
        <is>
          <t>D-60</t>
        </is>
      </c>
      <c r="H10" s="26" t="inlineStr">
        <is>
          <t>인터페이스 사항 검토 및 지원</t>
        </is>
      </c>
      <c r="I10" s="22" t="inlineStr">
        <is>
          <t>토목수행팀 / 현장 공사, 공무 Part</t>
        </is>
      </c>
      <c r="J10" s="43" t="inlineStr">
        <is>
          <t>후행공정 설계오류 및 변경검토</t>
        </is>
      </c>
      <c r="K10" s="44"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L10" s="43" t="inlineStr">
        <is>
          <t>회의록, 시공상세도</t>
        </is>
      </c>
      <c r="M10" s="4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N10" s="75">
        <f>HYPERLINK(LEFT(CELL("filename",A1),FIND("[",CELL("filename",A1))-1)&amp;"6.건축\9_인터페이스 사항 검토 및 지원\표준서\인터페이스 사항 검토 및 지원_표준서.html", "👉 [클릭] 표준서 열기 📄")</f>
        <v/>
      </c>
      <c r="O10" s="4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P10" s="76">
        <f>HYPERLINK(LEFT(CELL("filename",A1),FIND("[",CELL("filename",A1))-1)&amp;"6.건축\9_인터페이스 사항 검토 및 지원\수행지침\인터페이스 사항 검토 및 지원_수행지침.html", "👉 [클릭] 수행지침 열기 📄")</f>
        <v/>
      </c>
      <c r="Q10" s="4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R10" s="77">
        <f>HYPERLINK(LEFT(CELL("filename",A1),FIND("[",CELL("filename",A1))-1)&amp;"6.건축\9_인터페이스 사항 검토 및 지원\체크리스트\인터페이스 사항 검토 및 지원_체크리스트.html", "👉 [클릭] 체크리스트 열기 📄")</f>
        <v/>
      </c>
      <c r="S10" s="22" t="n"/>
      <c r="T10" s="69" t="inlineStr">
        <is>
          <t>● 공종간 간섭 최소화</t>
        </is>
      </c>
      <c r="U10" s="69" t="inlineStr">
        <is>
          <t>1) 👉 [더블클릭] 체크리스트 열기 📄</t>
        </is>
      </c>
      <c r="V10" s="43" t="n"/>
    </row>
    <row r="11" ht="115.2" customHeight="1">
      <c r="A11" s="22" t="inlineStr">
        <is>
          <t>9000</t>
        </is>
      </c>
      <c r="B11" s="22" t="inlineStr">
        <is>
          <t>9000-4</t>
        </is>
      </c>
      <c r="C11" s="26" t="inlineStr">
        <is>
          <t>건축</t>
        </is>
      </c>
      <c r="D11" s="22" t="inlineStr">
        <is>
          <t>9000-4-10</t>
        </is>
      </c>
      <c r="E11" s="22">
        <f>D10</f>
        <v/>
      </c>
      <c r="F11" s="22">
        <f>D12</f>
        <v/>
      </c>
      <c r="G11" s="36" t="inlineStr">
        <is>
          <t>D-50 (D-60~50)</t>
        </is>
      </c>
      <c r="H11" s="26" t="inlineStr">
        <is>
          <t>품질/안전 LL 공유</t>
        </is>
      </c>
      <c r="I11" s="22" t="inlineStr">
        <is>
          <t>현장 품질팀, 현장 안전팀</t>
        </is>
      </c>
      <c r="J11" s="43" t="inlineStr">
        <is>
          <t>품질/안전 하자 최소화</t>
        </is>
      </c>
      <c r="K11" s="44" t="inlineStr">
        <is>
          <t>시공시 발생가능 품질, 안전 하자 최소화</t>
        </is>
      </c>
      <c r="L11" s="43" t="inlineStr">
        <is>
          <t>시공계획수립시 반영</t>
        </is>
      </c>
      <c r="M11" s="4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N11" s="75">
        <f>HYPERLINK(LEFT(CELL("filename",A1),FIND("[",CELL("filename",A1))-1)&amp;"6.건축\10_품질_안전 LL 공유\표준서\품질_안전 LL 공유_표준서.html", "👉 [클릭] 표준서 열기 📄")</f>
        <v/>
      </c>
      <c r="O11" s="4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P11" s="76">
        <f>HYPERLINK(LEFT(CELL("filename",A1),FIND("[",CELL("filename",A1))-1)&amp;"6.건축\10_품질_안전 LL 공유\수행지침\품질_안전 LL 공유_수행지침.html", "👉 [클릭] 수행지침 열기 📄")</f>
        <v/>
      </c>
      <c r="Q11" s="4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R11" s="77">
        <f>HYPERLINK(LEFT(CELL("filename",A1),FIND("[",CELL("filename",A1))-1)&amp;"6.건축\10_품질_안전 LL 공유\체크리스트\품질_안전 LL 공유_체크리스트.html", "👉 [클릭] 체크리스트 열기 📄")</f>
        <v/>
      </c>
      <c r="S11" s="22" t="n"/>
      <c r="T11" s="69" t="inlineStr">
        <is>
          <t>● 기존 하자사례 및 Lesson Learned 반영</t>
        </is>
      </c>
      <c r="U11" s="69" t="inlineStr">
        <is>
          <t>1) 👉 [더블클릭] 체크리스트 열기 📄</t>
        </is>
      </c>
      <c r="V11" s="43" t="n"/>
    </row>
    <row r="12" ht="175.2" customHeight="1">
      <c r="A12" s="22" t="inlineStr">
        <is>
          <t>9000</t>
        </is>
      </c>
      <c r="B12" s="22" t="inlineStr">
        <is>
          <t>9000-4</t>
        </is>
      </c>
      <c r="C12" s="26" t="inlineStr">
        <is>
          <t>건축</t>
        </is>
      </c>
      <c r="D12" s="22" t="inlineStr">
        <is>
          <t>9000-4-11</t>
        </is>
      </c>
      <c r="E12" s="22">
        <f>D11</f>
        <v/>
      </c>
      <c r="F12" s="22">
        <f>D13</f>
        <v/>
      </c>
      <c r="G12" s="36" t="inlineStr">
        <is>
          <t>D-30 (D-60~D-30)</t>
        </is>
      </c>
      <c r="H12" s="26" t="inlineStr">
        <is>
          <t>자재공급원승인 및 자재발주</t>
        </is>
      </c>
      <c r="I12" s="22" t="inlineStr">
        <is>
          <t>현장 공무팀</t>
        </is>
      </c>
      <c r="J12" s="43" t="inlineStr">
        <is>
          <t>공사에 필요한 자재 발주</t>
        </is>
      </c>
      <c r="K12" s="44" t="inlineStr">
        <is>
          <t>- 자재 규격 및 반입 일정 계획 수립
- 시공에 필요한 당사 지급자재에 대한 발주 요청
- 자재공급원 승인 제출 및 확인</t>
        </is>
      </c>
      <c r="L12" s="43" t="inlineStr">
        <is>
          <t>구매 의뢰 승인, 자재공급원 승인서류</t>
        </is>
      </c>
      <c r="M12" s="4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N12" s="75">
        <f>HYPERLINK(LEFT(CELL("filename",A1),FIND("[",CELL("filename",A1))-1)&amp;"6.건축\11_자재공급원승인 및 자재발주\표준서\자재공급원승인 및 자재발주_표준서.html", "👉 [클릭] 표준서 열기 📄")</f>
        <v/>
      </c>
      <c r="O12" s="4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P12" s="76">
        <f>HYPERLINK(LEFT(CELL("filename",A1),FIND("[",CELL("filename",A1))-1)&amp;"6.건축\11_자재공급원승인 및 자재발주\수행지침\자재공급원승인 및 자재발주_수행지침.html", "👉 [클릭] 수행지침 열기 📄")</f>
        <v/>
      </c>
      <c r="Q12" s="4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R12" s="77">
        <f>HYPERLINK(LEFT(CELL("filename",A1),FIND("[",CELL("filename",A1))-1)&amp;"6.건축\11_자재공급원승인 및 자재발주\체크리스트\자재공급원승인 및 자재발주_체크리스트.html", "👉 [클릭] 체크리스트 열기 📄")</f>
        <v/>
      </c>
      <c r="S12" s="22" t="n"/>
      <c r="T12" s="69" t="inlineStr">
        <is>
          <t>● 자재 규격 및 기준 만족</t>
        </is>
      </c>
      <c r="U12" s="69" t="inlineStr">
        <is>
          <t>1) 👉 [더블클릭] 체크리스트 열기 📄</t>
        </is>
      </c>
      <c r="V12" s="43" t="n"/>
    </row>
    <row r="13" ht="211.2" customHeight="1">
      <c r="A13" s="22" t="inlineStr">
        <is>
          <t>9000</t>
        </is>
      </c>
      <c r="B13" s="22" t="inlineStr">
        <is>
          <t>9000-4</t>
        </is>
      </c>
      <c r="C13" s="26" t="inlineStr">
        <is>
          <t>건축</t>
        </is>
      </c>
      <c r="D13" s="22" t="inlineStr">
        <is>
          <t>9000-4-12</t>
        </is>
      </c>
      <c r="E13" s="22">
        <f>D12</f>
        <v/>
      </c>
      <c r="F13" s="22">
        <f>D14</f>
        <v/>
      </c>
      <c r="G13" s="36" t="inlineStr">
        <is>
          <t>D-0 (D-30~D-0)</t>
        </is>
      </c>
      <c r="H13" s="26" t="inlineStr">
        <is>
          <t>착수전 Big Room 회의</t>
        </is>
      </c>
      <c r="I13" s="22" t="inlineStr">
        <is>
          <t>현장소장</t>
        </is>
      </c>
      <c r="J13" s="43" t="inlineStr">
        <is>
          <t>선후행공정 지원사항 도출, 수행시 예상가능 Risk 검토 및 대책 수립</t>
        </is>
      </c>
      <c r="K13" s="44"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L13" s="43" t="inlineStr">
        <is>
          <t>Big Room 회의록(참석자 전원 서명)</t>
        </is>
      </c>
      <c r="M13" s="4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N13" s="75">
        <f>HYPERLINK(LEFT(CELL("filename",A1),FIND("[",CELL("filename",A1))-1)&amp;"6.건축\12_착수전 Big Room 회의\표준서\착수전 Big Room 회의_표준서.html", "👉 [클릭] 표준서 열기 📄")</f>
        <v/>
      </c>
      <c r="O13" s="4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P13" s="76">
        <f>HYPERLINK(LEFT(CELL("filename",A1),FIND("[",CELL("filename",A1))-1)&amp;"6.건축\12_착수전 Big Room 회의\수행지침\착수전 Big Room 회의_수행지침.html", "👉 [클릭] 수행지침 열기 📄")</f>
        <v/>
      </c>
      <c r="Q13" s="4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R13" s="77">
        <f>HYPERLINK(LEFT(CELL("filename",A1),FIND("[",CELL("filename",A1))-1)&amp;"6.건축\12_착수전 Big Room 회의\체크리스트\착수전 Big Room 회의_체크리스트.html", "👉 [클릭] 체크리스트 열기 📄")</f>
        <v/>
      </c>
      <c r="S13" s="22" t="n"/>
      <c r="T13" s="69" t="inlineStr">
        <is>
          <t>● 유관부서(견적/엔지니어링/공정/품질/안전) 협의</t>
        </is>
      </c>
      <c r="U13" s="69" t="inlineStr">
        <is>
          <t>1) 👉 [더블클릭] 체크리스트 열기 📄</t>
        </is>
      </c>
      <c r="V13" s="43" t="n"/>
    </row>
    <row r="14" ht="115.2" customHeight="1">
      <c r="A14" s="22" t="inlineStr">
        <is>
          <t>9000</t>
        </is>
      </c>
      <c r="B14" s="22" t="inlineStr">
        <is>
          <t>9000-4</t>
        </is>
      </c>
      <c r="C14" s="26" t="inlineStr">
        <is>
          <t>건축</t>
        </is>
      </c>
      <c r="D14" s="22" t="inlineStr">
        <is>
          <t>9000-4-13</t>
        </is>
      </c>
      <c r="E14" s="22">
        <f>D13</f>
        <v/>
      </c>
      <c r="F14" s="22">
        <f>D15</f>
        <v/>
      </c>
      <c r="G14" s="36" t="inlineStr">
        <is>
          <t>D+1 (D-0~D+1)</t>
        </is>
      </c>
      <c r="H14" s="26" t="inlineStr">
        <is>
          <t>시공계획 수립/승인</t>
        </is>
      </c>
      <c r="I14" s="22" t="inlineStr">
        <is>
          <t>현장소장</t>
        </is>
      </c>
      <c r="J14" s="43" t="inlineStr">
        <is>
          <t>인력, 품질이 확보된 시공계획 수립</t>
        </is>
      </c>
      <c r="K14" s="44"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L14" s="43" t="inlineStr">
        <is>
          <t>(승인)관리시공계획서&amp;시공상세도</t>
        </is>
      </c>
      <c r="M14" s="4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N14" s="75">
        <f>HYPERLINK(LEFT(CELL("filename",A1),FIND("[",CELL("filename",A1))-1)&amp;"6.건축\13_시공계획 수립_승인\표준서\시공계획 수립_승인_표준서.html", "👉 [클릭] 표준서 열기 📄")</f>
        <v/>
      </c>
      <c r="O14" s="4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P14" s="76">
        <f>HYPERLINK(LEFT(CELL("filename",A1),FIND("[",CELL("filename",A1))-1)&amp;"6.건축\13_시공계획 수립_승인\수행지침\시공계획 수립_승인_수행지침.html", "👉 [클릭] 수행지침 열기 📄")</f>
        <v/>
      </c>
      <c r="Q14" s="4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R14" s="77">
        <f>HYPERLINK(LEFT(CELL("filename",A1),FIND("[",CELL("filename",A1))-1)&amp;"6.건축\13_시공계획 수립_승인\체크리스트\시공계획 수립_승인_체크리스트.html", "👉 [클릭] 체크리스트 열기 📄")</f>
        <v/>
      </c>
      <c r="S14" s="22" t="n"/>
      <c r="T14" s="69" t="inlineStr">
        <is>
          <t>● 건설기술진흥법 규정 준수</t>
        </is>
      </c>
      <c r="U14" s="69" t="inlineStr">
        <is>
          <t>1) 👉 [더블클릭] 체크리스트 열기 📄</t>
        </is>
      </c>
      <c r="V14" s="43" t="n"/>
    </row>
    <row r="15" ht="115.2" customHeight="1">
      <c r="A15" s="22" t="inlineStr">
        <is>
          <t>9000</t>
        </is>
      </c>
      <c r="B15" s="22" t="inlineStr">
        <is>
          <t>9000-4</t>
        </is>
      </c>
      <c r="C15" s="26" t="inlineStr">
        <is>
          <t>건축</t>
        </is>
      </c>
      <c r="D15" s="22" t="inlineStr">
        <is>
          <t>9000-4-14</t>
        </is>
      </c>
      <c r="E15" s="22">
        <f>D14</f>
        <v/>
      </c>
      <c r="F15" s="22">
        <f>D16</f>
        <v/>
      </c>
      <c r="G15" s="36" t="inlineStr">
        <is>
          <t>D+15 (D+2~D+15)</t>
        </is>
      </c>
      <c r="H15" s="26" t="inlineStr">
        <is>
          <t>측량, 자재/장비 반입, 안전교육</t>
        </is>
      </c>
      <c r="I15" s="22" t="inlineStr">
        <is>
          <t>현장소장</t>
        </is>
      </c>
      <c r="J15" s="43" t="inlineStr">
        <is>
          <t>D-day 전에 공사 준비완료</t>
        </is>
      </c>
      <c r="K15" s="44" t="inlineStr">
        <is>
          <t>- 측량: 측량기준점 설치, 공사위치 마킹
- 자재는 지정된 야적장에 보관
- 장비 Spec확인, 장비안전검사
- 작업원 안전교육 실시</t>
        </is>
      </c>
      <c r="L15" s="43" t="inlineStr">
        <is>
          <t>측량기록지, 안전교육 결과서</t>
        </is>
      </c>
      <c r="M15" s="4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N15" s="75">
        <f>HYPERLINK(LEFT(CELL("filename",A1),FIND("[",CELL("filename",A1))-1)&amp;"6.건축\14_측량, 자재_장비 반입, 안전교육\표준서\측량, 자재_장비 반입, 안전교육_표준서.html", "👉 [클릭] 표준서 열기 📄")</f>
        <v/>
      </c>
      <c r="O15" s="4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P15" s="76">
        <f>HYPERLINK(LEFT(CELL("filename",A1),FIND("[",CELL("filename",A1))-1)&amp;"6.건축\14_측량, 자재_장비 반입, 안전교육\수행지침\측량, 자재_장비 반입, 안전교육_수행지침.html", "👉 [클릭] 수행지침 열기 📄")</f>
        <v/>
      </c>
      <c r="Q15" s="4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R15" s="77">
        <f>HYPERLINK(LEFT(CELL("filename",A1),FIND("[",CELL("filename",A1))-1)&amp;"6.건축\14_측량, 자재_장비 반입, 안전교육\체크리스트\측량, 자재_장비 반입, 안전교육_체크리스트.html", "👉 [클릭] 체크리스트 열기 📄")</f>
        <v/>
      </c>
      <c r="S15" s="22" t="n"/>
      <c r="T15" s="69" t="inlineStr">
        <is>
          <t>● 측량법 및 산업안전보건법 준수</t>
        </is>
      </c>
      <c r="U15" s="69" t="inlineStr">
        <is>
          <t>1) 👉 [더블클릭] 체크리스트 열기 📄</t>
        </is>
      </c>
      <c r="V15" s="43" t="n"/>
    </row>
    <row r="16" ht="115.2" customHeight="1">
      <c r="A16" s="22" t="inlineStr">
        <is>
          <t>9000</t>
        </is>
      </c>
      <c r="B16" s="22" t="inlineStr">
        <is>
          <t>9000-4</t>
        </is>
      </c>
      <c r="C16" s="26" t="inlineStr">
        <is>
          <t>건축</t>
        </is>
      </c>
      <c r="D16" s="22" t="inlineStr">
        <is>
          <t>9000-4-15</t>
        </is>
      </c>
      <c r="E16" s="22">
        <f>D15</f>
        <v/>
      </c>
      <c r="F16" s="22">
        <f>D17</f>
        <v/>
      </c>
      <c r="G16" s="36" t="inlineStr">
        <is>
          <t>D+15 (D+10~D+15)</t>
        </is>
      </c>
      <c r="H16" s="26" t="inlineStr">
        <is>
          <t>자재 검수</t>
        </is>
      </c>
      <c r="I16" s="22" t="inlineStr">
        <is>
          <t>현장 자재팀 / 품질팀</t>
        </is>
      </c>
      <c r="J16" s="43" t="inlineStr">
        <is>
          <t>설계/시방기준에 적합한 자재 반입</t>
        </is>
      </c>
      <c r="K16" s="44" t="inlineStr">
        <is>
          <t>- 송장과 실물 확인(규격, 성능, 수량)
- 시방기준에 따른 품질시험 실시
- 훼손, 오반입시 반출조치</t>
        </is>
      </c>
      <c r="L16" s="43" t="inlineStr">
        <is>
          <t>자재검수서, 품질시험 보고서</t>
        </is>
      </c>
      <c r="M16" s="4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N16" s="75">
        <f>HYPERLINK(LEFT(CELL("filename",A1),FIND("[",CELL("filename",A1))-1)&amp;"6.건축\15_자재 검수\표준서\자재 검수_표준서.html", "👉 [클릭] 표준서 열기 📄")</f>
        <v/>
      </c>
      <c r="O16" s="4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P16" s="76">
        <f>HYPERLINK(LEFT(CELL("filename",A1),FIND("[",CELL("filename",A1))-1)&amp;"6.건축\15_자재 검수\수행지침\자재 검수_수행지침.html", "👉 [클릭] 수행지침 열기 📄")</f>
        <v/>
      </c>
      <c r="Q16" s="4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R16" s="77">
        <f>HYPERLINK(LEFT(CELL("filename",A1),FIND("[",CELL("filename",A1))-1)&amp;"6.건축\15_자재 검수\체크리스트\자재 검수_체크리스트.html", "👉 [클릭] 체크리스트 열기 📄")</f>
        <v/>
      </c>
      <c r="S16" s="22" t="n"/>
      <c r="T16" s="69" t="inlineStr">
        <is>
          <t>● KS 규격 및 시방 기준 준수</t>
        </is>
      </c>
      <c r="U16" s="69" t="inlineStr">
        <is>
          <t>1) 👉 [더블클릭] 체크리스트 열기 📄</t>
        </is>
      </c>
      <c r="V16" s="43" t="n"/>
    </row>
    <row r="17" ht="96" customHeight="1">
      <c r="A17" s="22" t="inlineStr">
        <is>
          <t>9000</t>
        </is>
      </c>
      <c r="B17" s="22" t="inlineStr">
        <is>
          <t>9000-4</t>
        </is>
      </c>
      <c r="C17" s="26" t="inlineStr">
        <is>
          <t>건축</t>
        </is>
      </c>
      <c r="D17" s="22" t="inlineStr">
        <is>
          <t>9000-4-16</t>
        </is>
      </c>
      <c r="E17" s="22">
        <f>D16</f>
        <v/>
      </c>
      <c r="F17" s="22">
        <f>D18</f>
        <v/>
      </c>
      <c r="G17" s="36" t="inlineStr">
        <is>
          <t>D+16 (D+16~D+16)</t>
        </is>
      </c>
      <c r="H17" s="26" t="inlineStr">
        <is>
          <t>터파기/지반 정리</t>
        </is>
      </c>
      <c r="I17" s="22" t="inlineStr">
        <is>
          <t>현장소장</t>
        </is>
      </c>
      <c r="J17" s="43" t="inlineStr">
        <is>
          <t>구조물 시공을 위한 바닥 확보</t>
        </is>
      </c>
      <c r="K17" s="44" t="inlineStr">
        <is>
          <t>측량을 통한 계획Level, 위치 확인, 바닥 지지력 시험</t>
        </is>
      </c>
      <c r="L17" s="43" t="inlineStr">
        <is>
          <t>측량 성과, 지지력시험성과 보고서</t>
        </is>
      </c>
      <c r="M17" s="4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N17" s="75">
        <f>HYPERLINK(LEFT(CELL("filename",A1),FIND("[",CELL("filename",A1))-1)&amp;"6.건축\16_터파기_지반 정리\표준서\터파기_지반 정리_표준서.html", "👉 [클릭] 표준서 열기 📄")</f>
        <v/>
      </c>
      <c r="O17" s="4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P17" s="76">
        <f>HYPERLINK(LEFT(CELL("filename",A1),FIND("[",CELL("filename",A1))-1)&amp;"6.건축\16_터파기_지반 정리\수행지침\터파기_지반 정리_수행지침.html", "👉 [클릭] 수행지침 열기 📄")</f>
        <v/>
      </c>
      <c r="Q17" s="4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R17" s="77">
        <f>HYPERLINK(LEFT(CELL("filename",A1),FIND("[",CELL("filename",A1))-1)&amp;"6.건축\16_터파기_지반 정리\체크리스트\터파기_지반 정리_체크리스트.html", "👉 [클릭] 체크리스트 열기 📄")</f>
        <v/>
      </c>
      <c r="S17" s="22" t="n"/>
      <c r="T17" s="69" t="inlineStr">
        <is>
          <t>● 지반 지지력 및 굴착 공차 관리 기준</t>
        </is>
      </c>
      <c r="U17" s="69" t="inlineStr">
        <is>
          <t>1) 👉 [더블클릭] 체크리스트 열기 📄</t>
        </is>
      </c>
      <c r="V17" s="43" t="n"/>
    </row>
    <row r="18" ht="115.2" customHeight="1">
      <c r="A18" s="22" t="inlineStr">
        <is>
          <t>9000</t>
        </is>
      </c>
      <c r="B18" s="22" t="inlineStr">
        <is>
          <t>9000-4</t>
        </is>
      </c>
      <c r="C18" s="26" t="inlineStr">
        <is>
          <t>건축</t>
        </is>
      </c>
      <c r="D18" s="22" t="inlineStr">
        <is>
          <t>9000-4-17</t>
        </is>
      </c>
      <c r="E18" s="22">
        <f>D17</f>
        <v/>
      </c>
      <c r="F18" s="22">
        <f>D19</f>
        <v/>
      </c>
      <c r="G18" s="36" t="inlineStr">
        <is>
          <t>D+30 (D+17~D+30)</t>
        </is>
      </c>
      <c r="H18" s="26" t="inlineStr">
        <is>
          <t>바닥(버림) 콘크리트 타설</t>
        </is>
      </c>
      <c r="I18" s="22" t="inlineStr">
        <is>
          <t>현장소장</t>
        </is>
      </c>
      <c r="J18" s="43" t="inlineStr">
        <is>
          <t>철근을 깔 수 있는 평탄한 바닥확보</t>
        </is>
      </c>
      <c r="K18" s="44" t="inlineStr">
        <is>
          <t>도면에 따라 거푸집 조립, 버림con't타설, 양생, 거푸집 해체/정리</t>
        </is>
      </c>
      <c r="L18" s="43" t="inlineStr">
        <is>
          <t>검측서</t>
        </is>
      </c>
      <c r="M18" s="4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N18" s="75">
        <f>HYPERLINK(LEFT(CELL("filename",A1),FIND("[",CELL("filename",A1))-1)&amp;"6.건축\17_바닥(버림) 콘크리트 타설\표준서\바닥(버림) 콘크리트 타설_표준서.html", "👉 [클릭] 표준서 열기 📄")</f>
        <v/>
      </c>
      <c r="O18" s="4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P18" s="76">
        <f>HYPERLINK(LEFT(CELL("filename",A1),FIND("[",CELL("filename",A1))-1)&amp;"6.건축\17_바닥(버림) 콘크리트 타설\수행지침\바닥(버림) 콘크리트 타설_수행지침.html", "👉 [클릭] 수행지침 열기 📄")</f>
        <v/>
      </c>
      <c r="Q18" s="4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R18" s="77">
        <f>HYPERLINK(LEFT(CELL("filename",A1),FIND("[",CELL("filename",A1))-1)&amp;"6.건축\17_바닥(버림) 콘크리트 타설\체크리스트\바닥(버림) 콘크리트 타설_체크리스트.html", "👉 [클릭] 체크리스트 열기 📄")</f>
        <v/>
      </c>
      <c r="S18" s="22" t="n"/>
      <c r="T18" s="69" t="inlineStr">
        <is>
          <t>● 버림 콘크리트 두께 및 높이 준수</t>
        </is>
      </c>
      <c r="U18" s="69" t="inlineStr">
        <is>
          <t>1) 👉 [더블클릭] 체크리스트 열기 📄</t>
        </is>
      </c>
      <c r="V18" s="43" t="n"/>
    </row>
    <row r="19" ht="115.2" customHeight="1">
      <c r="A19" s="22" t="inlineStr">
        <is>
          <t>9000</t>
        </is>
      </c>
      <c r="B19" s="22" t="inlineStr">
        <is>
          <t>9000-4</t>
        </is>
      </c>
      <c r="C19" s="26" t="inlineStr">
        <is>
          <t>건축</t>
        </is>
      </c>
      <c r="D19" s="22" t="inlineStr">
        <is>
          <t>9000-4-18</t>
        </is>
      </c>
      <c r="E19" s="22">
        <f>D18</f>
        <v/>
      </c>
      <c r="F19" s="22">
        <f>D20</f>
        <v/>
      </c>
      <c r="G19" s="36" t="inlineStr">
        <is>
          <t>D+35 (D+31~D+35)</t>
        </is>
      </c>
      <c r="H19" s="26" t="inlineStr">
        <is>
          <t>인터페이스 회의(매주)</t>
        </is>
      </c>
      <c r="I19" s="22" t="inlineStr">
        <is>
          <t>현장소장</t>
        </is>
      </c>
      <c r="J19" s="43" t="inlineStr">
        <is>
          <t>건축 구조물공사 中, 건축 마감공사 中 인터페이스 협의를 통한 재시공 최소화</t>
        </is>
      </c>
      <c r="K19" s="44" t="inlineStr">
        <is>
          <t>시공중 지속적인 인터페이스(기계, 전기, 통신 등) 회의를 통하여 시공전 계획했던 대로 원활한 선후행공정 시공진행</t>
        </is>
      </c>
      <c r="L19" s="43" t="inlineStr">
        <is>
          <t>인터페이스 회의록</t>
        </is>
      </c>
      <c r="M19" s="4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N19" s="75">
        <f>HYPERLINK(LEFT(CELL("filename",A1),FIND("[",CELL("filename",A1))-1)&amp;"6.건축\18_인터페이스 회의(매주)\표준서\인터페이스 회의(매주)_표준서.html", "👉 [클릭] 표준서 열기 📄")</f>
        <v/>
      </c>
      <c r="O19" s="4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P19" s="76">
        <f>HYPERLINK(LEFT(CELL("filename",A1),FIND("[",CELL("filename",A1))-1)&amp;"6.건축\18_인터페이스 회의(매주)\수행지침\인터페이스 회의(매주)_수행지침.html", "👉 [클릭] 수행지침 열기 📄")</f>
        <v/>
      </c>
      <c r="Q19" s="4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R19" s="77">
        <f>HYPERLINK(LEFT(CELL("filename",A1),FIND("[",CELL("filename",A1))-1)&amp;"6.건축\18_인터페이스 회의(매주)\체크리스트\인터페이스 회의(매주)_체크리스트.html", "👉 [클릭] 체크리스트 열기 📄")</f>
        <v/>
      </c>
      <c r="S19" s="22" t="n"/>
      <c r="T19" s="69" t="inlineStr">
        <is>
          <t>● 공정 조율 및 시공 순서 확인</t>
        </is>
      </c>
      <c r="U19" s="69" t="inlineStr">
        <is>
          <t>1) 👉 [더블클릭] 체크리스트 열기 📄</t>
        </is>
      </c>
      <c r="V19" s="43" t="n"/>
    </row>
    <row r="20" ht="115.2" customHeight="1">
      <c r="A20" s="22" t="inlineStr">
        <is>
          <t>9000</t>
        </is>
      </c>
      <c r="B20" s="22" t="inlineStr">
        <is>
          <t>9000-4</t>
        </is>
      </c>
      <c r="C20" s="26" t="inlineStr">
        <is>
          <t>건축</t>
        </is>
      </c>
      <c r="D20" s="22" t="inlineStr">
        <is>
          <t>9000-4-19</t>
        </is>
      </c>
      <c r="E20" s="22">
        <f>D19</f>
        <v/>
      </c>
      <c r="F20" s="22">
        <f>D21</f>
        <v/>
      </c>
      <c r="G20" s="36" t="inlineStr">
        <is>
          <t>D+50 (D+36~D+50)</t>
        </is>
      </c>
      <c r="H20" s="26" t="inlineStr">
        <is>
          <t>인터페이스 각 공종별 Issue (기계, 전기, 통신분야)</t>
        </is>
      </c>
      <c r="I20" s="22" t="inlineStr">
        <is>
          <t>현장소장</t>
        </is>
      </c>
      <c r="J20" s="43" t="inlineStr">
        <is>
          <t>구조물 내,외부 인입공사 사전 인터페이스 회의를 통한 공사간섭 및 Rework방지</t>
        </is>
      </c>
      <c r="K20" s="44" t="inlineStr">
        <is>
          <t>각 해당공종(건축, 기계, 전기) 도면과 건축도면을 비교 및 현장여건 검토를 통한 시공방법 결정, 각종 필증 및 허가관련에 따른 우선순위 시공순서 결정</t>
        </is>
      </c>
      <c r="L20" s="43" t="inlineStr">
        <is>
          <t>인터페이스 회의록</t>
        </is>
      </c>
      <c r="M20" s="4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N20" s="75">
        <f>HYPERLINK(LEFT(CELL("filename",A1),FIND("[",CELL("filename",A1))-1)&amp;"6.건축\19_인터페이스 각 공종별 Issue (기계, 전기, 통신분야)\표준서\인터페이스 각 공종별 Issue (기계, 전기, 통신분야)_표준서.html", "👉 [클릭] 표준서 열기 📄")</f>
        <v/>
      </c>
      <c r="O20" s="4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P20" s="76">
        <f>HYPERLINK(LEFT(CELL("filename",A1),FIND("[",CELL("filename",A1))-1)&amp;"6.건축\19_인터페이스 각 공종별 Issue (기계, 전기, 통신분야)\수행지침\인터페이스 각 공종별 Issue (기계, 전기, 통신분야)_수행지침.html", "👉 [클릭] 수행지침 열기 📄")</f>
        <v/>
      </c>
      <c r="Q20" s="4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R20" s="77">
        <f>HYPERLINK(LEFT(CELL("filename",A1),FIND("[",CELL("filename",A1))-1)&amp;"6.건축\19_인터페이스 각 공종별 Issue (기계, 전기, 통신분야)\체크리스트\인터페이스 각 공종별 Issue (기계, 전기, 통신분야)_체크리스트.html", "👉 [클릭] 체크리스트 열기 📄")</f>
        <v/>
      </c>
      <c r="S20" s="22" t="n"/>
      <c r="T20" s="69" t="inlineStr">
        <is>
          <t>● 타 분야 매입 배관 및 슬리브 사전 확인</t>
        </is>
      </c>
      <c r="U20" s="69" t="inlineStr">
        <is>
          <t>1) 👉 [더블클릭] 체크리스트 열기 📄</t>
        </is>
      </c>
      <c r="V20" s="43" t="n"/>
    </row>
    <row r="21" ht="115.2" customHeight="1">
      <c r="A21" s="22" t="inlineStr">
        <is>
          <t>9000</t>
        </is>
      </c>
      <c r="B21" s="22" t="inlineStr">
        <is>
          <t>9000-4</t>
        </is>
      </c>
      <c r="C21" s="26" t="inlineStr">
        <is>
          <t>건축</t>
        </is>
      </c>
      <c r="D21" s="22" t="inlineStr">
        <is>
          <t>9000-4-20</t>
        </is>
      </c>
      <c r="E21" s="22">
        <f>D20</f>
        <v/>
      </c>
      <c r="F21" s="22">
        <f>D22</f>
        <v/>
      </c>
      <c r="G21" s="36" t="inlineStr">
        <is>
          <t>D+63 (D-60~D+63)</t>
        </is>
      </c>
      <c r="H21" s="26" t="inlineStr">
        <is>
          <t>인터페이스 각 공종별 Issue (토목분야)</t>
        </is>
      </c>
      <c r="I21" s="22" t="inlineStr">
        <is>
          <t>현장소장</t>
        </is>
      </c>
      <c r="J21" s="43" t="inlineStr">
        <is>
          <t>건축공사와 토목공사 간섭 예방, 업무 Scope확인을 통한 설계/시공Gray zone제거</t>
        </is>
      </c>
      <c r="K21" s="44" t="inlineStr">
        <is>
          <t>구조물별 외부 배수 설계와 같은 현장 여건을 구성이 되었는지 확인</t>
        </is>
      </c>
      <c r="L21" s="43" t="inlineStr">
        <is>
          <t>회의록</t>
        </is>
      </c>
      <c r="M21" s="4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N21" s="75">
        <f>HYPERLINK(LEFT(CELL("filename",A1),FIND("[",CELL("filename",A1))-1)&amp;"6.건축\20_인터페이스 각 공종별 Issue (토목분야)\표준서\인터페이스 각 공종별 Issue (토목분야)_표준서.html", "👉 [클릭] 표준서 열기 📄")</f>
        <v/>
      </c>
      <c r="O21" s="4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P21" s="76">
        <f>HYPERLINK(LEFT(CELL("filename",A1),FIND("[",CELL("filename",A1))-1)&amp;"6.건축\20_인터페이스 각 공종별 Issue (토목분야)\수행지침\인터페이스 각 공종별 Issue (토목분야)_수행지침.html", "👉 [클릭] 수행지침 열기 📄")</f>
        <v/>
      </c>
      <c r="Q21" s="4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R21" s="77">
        <f>HYPERLINK(LEFT(CELL("filename",A1),FIND("[",CELL("filename",A1))-1)&amp;"6.건축\20_인터페이스 각 공종별 Issue (토목분야)\체크리스트\인터페이스 각 공종별 Issue (토목분야)_체크리스트.html", "👉 [클릭] 체크리스트 열기 📄")</f>
        <v/>
      </c>
      <c r="S21" s="22" t="n"/>
      <c r="T21" s="69" t="inlineStr">
        <is>
          <t>● 토목 외부 우/오수 배수 및 연계 부분 확인</t>
        </is>
      </c>
      <c r="U21" s="69" t="inlineStr">
        <is>
          <t>1) 👉 [더블클릭] 체크리스트 열기 📄</t>
        </is>
      </c>
      <c r="V21" s="43" t="n"/>
    </row>
    <row r="22" ht="96" customHeight="1">
      <c r="A22" s="22" t="inlineStr">
        <is>
          <t>9000</t>
        </is>
      </c>
      <c r="B22" s="22" t="inlineStr">
        <is>
          <t>9000-4</t>
        </is>
      </c>
      <c r="C22" s="26" t="inlineStr">
        <is>
          <t>건축</t>
        </is>
      </c>
      <c r="D22" s="22" t="inlineStr">
        <is>
          <t>9000-4-21</t>
        </is>
      </c>
      <c r="E22" s="22">
        <f>D21</f>
        <v/>
      </c>
      <c r="F22" s="22">
        <f>D23</f>
        <v/>
      </c>
      <c r="G22" s="36" t="inlineStr">
        <is>
          <t>D+64 (D+64~D+64)</t>
        </is>
      </c>
      <c r="H22" s="26" t="inlineStr">
        <is>
          <t>기초~상부슬라브 구조물 시공</t>
        </is>
      </c>
      <c r="I22" s="22" t="inlineStr">
        <is>
          <t>현장소장</t>
        </is>
      </c>
      <c r="J22" s="43" t="inlineStr">
        <is>
          <t>기초, 기둥 및 슬라브 구조물 시공</t>
        </is>
      </c>
      <c r="K22" s="44" t="inlineStr">
        <is>
          <t>발주 이후 마감공정 연계, 거푸집 해체 이후 균열조사 및 보수조치 시행</t>
        </is>
      </c>
      <c r="L22" s="43" t="inlineStr">
        <is>
          <t>해당공종 검측서, 각종 품질시험결과 보고서, 마감공종 인수인계서</t>
        </is>
      </c>
      <c r="M22" s="4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N22" s="75">
        <f>HYPERLINK(LEFT(CELL("filename",A1),FIND("[",CELL("filename",A1))-1)&amp;"6.건축\21_기초~상부슬라브 구조물 시공\표준서\기초~상부슬라브 구조물 시공_표준서.html", "👉 [클릭] 표준서 열기 📄")</f>
        <v/>
      </c>
      <c r="O22" s="4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P22" s="76">
        <f>HYPERLINK(LEFT(CELL("filename",A1),FIND("[",CELL("filename",A1))-1)&amp;"6.건축\21_기초~상부슬라브 구조물 시공\수행지침\기초~상부슬라브 구조물 시공_수행지침.html", "👉 [클릭] 수행지침 열기 📄")</f>
        <v/>
      </c>
      <c r="Q22" s="4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R22" s="77">
        <f>HYPERLINK(LEFT(CELL("filename",A1),FIND("[",CELL("filename",A1))-1)&amp;"6.건축\21_기초~상부슬라브 구조물 시공\체크리스트\기초~상부슬라브 구조물 시공_체크리스트.html", "👉 [클릭] 체크리스트 열기 📄")</f>
        <v/>
      </c>
      <c r="S22" s="22" t="n"/>
      <c r="T22" s="69" t="inlineStr">
        <is>
          <t>● 콘크리트 압축강도 및 피복두께 관리</t>
        </is>
      </c>
      <c r="U22" s="69" t="inlineStr">
        <is>
          <t>1) 👉 [더블클릭] 체크리스트 열기 📄</t>
        </is>
      </c>
      <c r="V22" s="43" t="n"/>
    </row>
    <row r="23" ht="96" customHeight="1">
      <c r="A23" s="22" t="inlineStr">
        <is>
          <t>9000</t>
        </is>
      </c>
      <c r="B23" s="22" t="inlineStr">
        <is>
          <t>9000-4</t>
        </is>
      </c>
      <c r="C23" s="26" t="inlineStr">
        <is>
          <t>건축</t>
        </is>
      </c>
      <c r="D23" s="22" t="inlineStr">
        <is>
          <t>9000-4-22</t>
        </is>
      </c>
      <c r="E23" s="22">
        <f>D22</f>
        <v/>
      </c>
      <c r="F23" s="22">
        <f>D24</f>
        <v/>
      </c>
      <c r="G23" s="36" t="inlineStr">
        <is>
          <t>D+75 (D+71~D+75)</t>
        </is>
      </c>
      <c r="H23" s="26" t="inlineStr">
        <is>
          <t>철근 가공</t>
        </is>
      </c>
      <c r="I23" s="22" t="inlineStr">
        <is>
          <t>현장소장</t>
        </is>
      </c>
      <c r="J23" s="43" t="inlineStr">
        <is>
          <t>철근을 절곡 및 절단하는 작업</t>
        </is>
      </c>
      <c r="K23" s="44" t="inlineStr">
        <is>
          <t>설계도면과 가공상세가 일치하는지 확인 및 보강부분 시공상세도 확인</t>
        </is>
      </c>
      <c r="L23" s="43" t="inlineStr">
        <is>
          <t>철근 시공상세도</t>
        </is>
      </c>
      <c r="M23" s="4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N23" s="75">
        <f>HYPERLINK(LEFT(CELL("filename",A1),FIND("[",CELL("filename",A1))-1)&amp;"6.건축\22_철근 가공\표준서\철근 가공_표준서.html", "👉 [클릭] 표준서 열기 📄")</f>
        <v/>
      </c>
      <c r="O23" s="4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P23" s="76">
        <f>HYPERLINK(LEFT(CELL("filename",A1),FIND("[",CELL("filename",A1))-1)&amp;"6.건축\22_철근 가공\수행지침\철근 가공_수행지침.html", "👉 [클릭] 수행지침 열기 📄")</f>
        <v/>
      </c>
      <c r="Q23" s="4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R23" s="77">
        <f>HYPERLINK(LEFT(CELL("filename",A1),FIND("[",CELL("filename",A1))-1)&amp;"6.건축\22_철근 가공\체크리스트\철근 가공_체크리스트.html", "👉 [클릭] 체크리스트 열기 📄")</f>
        <v/>
      </c>
      <c r="S23" s="22" t="n"/>
      <c r="T23" s="69" t="inlineStr">
        <is>
          <t>● 철근 가공 치수 허용오차 기준</t>
        </is>
      </c>
      <c r="U23" s="69" t="inlineStr">
        <is>
          <t>1) 👉 [더블클릭] 체크리스트 열기 📄</t>
        </is>
      </c>
      <c r="V23" s="43" t="n"/>
    </row>
    <row r="24" ht="96" customHeight="1">
      <c r="A24" s="22" t="inlineStr">
        <is>
          <t>9000</t>
        </is>
      </c>
      <c r="B24" s="22" t="inlineStr">
        <is>
          <t>9000-4</t>
        </is>
      </c>
      <c r="C24" s="26" t="inlineStr">
        <is>
          <t>건축</t>
        </is>
      </c>
      <c r="D24" s="22" t="inlineStr">
        <is>
          <t>9000-4-23</t>
        </is>
      </c>
      <c r="E24" s="22">
        <f>D23</f>
        <v/>
      </c>
      <c r="F24" s="22">
        <f>D25</f>
        <v/>
      </c>
      <c r="G24" s="36" t="inlineStr">
        <is>
          <t>D+75일 이후</t>
        </is>
      </c>
      <c r="H24" s="26" t="inlineStr">
        <is>
          <t>작업발판, 비계 및 동바리 설치</t>
        </is>
      </c>
      <c r="I24" s="22" t="inlineStr">
        <is>
          <t>현장소장</t>
        </is>
      </c>
      <c r="J24" s="43" t="inlineStr">
        <is>
          <t>구조물 시공을 위한 작업발판 및 후속 작업을 위해 비계 및 동바리 설치</t>
        </is>
      </c>
      <c r="K24" s="44" t="inlineStr">
        <is>
          <t>안전난간 및 발판 설치 이후 철근 조립 및 거푸집 설치를 위한 비계 및 동바리 설치</t>
        </is>
      </c>
      <c r="L24" s="43" t="inlineStr">
        <is>
          <t>비계 및 동바리 검측서</t>
        </is>
      </c>
      <c r="M24" s="4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N24" s="75">
        <f>HYPERLINK(LEFT(CELL("filename",A1),FIND("[",CELL("filename",A1))-1)&amp;"6.건축\23_작업발판, 비계 및 동바리 설치\표준서\작업발판, 비계 및 동바리 설치_표준서.html", "👉 [클릭] 표준서 열기 📄")</f>
        <v/>
      </c>
      <c r="O24" s="4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P24" s="76">
        <f>HYPERLINK(LEFT(CELL("filename",A1),FIND("[",CELL("filename",A1))-1)&amp;"6.건축\23_작업발판, 비계 및 동바리 설치\수행지침\작업발판, 비계 및 동바리 설치_수행지침.html", "👉 [클릭] 수행지침 열기 📄")</f>
        <v/>
      </c>
      <c r="Q24" s="4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R24" s="77">
        <f>HYPERLINK(LEFT(CELL("filename",A1),FIND("[",CELL("filename",A1))-1)&amp;"6.건축\23_작업발판, 비계 및 동바리 설치\체크리스트\작업발판, 비계 및 동바리 설치_체크리스트.html", "👉 [클릭] 체크리스트 열기 📄")</f>
        <v/>
      </c>
      <c r="S24" s="22" t="n"/>
      <c r="T24" s="69" t="inlineStr">
        <is>
          <t>● 가설구조물 안전 기준 및 구조 검토</t>
        </is>
      </c>
      <c r="U24" s="69" t="inlineStr">
        <is>
          <t>1) 👉 [더블클릭] 체크리스트 열기 📄</t>
        </is>
      </c>
      <c r="V24" s="43" t="n"/>
    </row>
    <row r="25" ht="96" customHeight="1">
      <c r="A25" s="22" t="inlineStr">
        <is>
          <t>9000</t>
        </is>
      </c>
      <c r="B25" s="22" t="inlineStr">
        <is>
          <t>9000-4</t>
        </is>
      </c>
      <c r="C25" s="26" t="inlineStr">
        <is>
          <t>건축</t>
        </is>
      </c>
      <c r="D25" s="22" t="inlineStr">
        <is>
          <t>9000-4-24</t>
        </is>
      </c>
      <c r="E25" s="22">
        <f>D24</f>
        <v/>
      </c>
      <c r="F25" s="22">
        <f>D26</f>
        <v/>
      </c>
      <c r="H25" s="26" t="inlineStr">
        <is>
          <t>철근 조립</t>
        </is>
      </c>
      <c r="I25" s="22" t="inlineStr">
        <is>
          <t>현장소장</t>
        </is>
      </c>
      <c r="J25" s="43" t="inlineStr">
        <is>
          <t>구조물의 뼈대를 형성하도록 철근을 조립</t>
        </is>
      </c>
      <c r="K25" s="44" t="inlineStr">
        <is>
          <t>철근 배근, 철근 조립 및 결속, 철근 이물질 등 검사</t>
        </is>
      </c>
      <c r="L25" s="43" t="inlineStr">
        <is>
          <t>철근 검측서</t>
        </is>
      </c>
      <c r="M25" s="4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N25" s="75">
        <f>HYPERLINK(LEFT(CELL("filename",A1),FIND("[",CELL("filename",A1))-1)&amp;"6.건축\24_철근 조립\표준서\철근 조립_표준서.html", "👉 [클릭] 표준서 열기 📄")</f>
        <v/>
      </c>
      <c r="O25" s="4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P25" s="76">
        <f>HYPERLINK(LEFT(CELL("filename",A1),FIND("[",CELL("filename",A1))-1)&amp;"6.건축\24_철근 조립\수행지침\철근 조립_수행지침.html", "👉 [클릭] 수행지침 열기 📄")</f>
        <v/>
      </c>
      <c r="Q25" s="4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R25" s="77">
        <f>HYPERLINK(LEFT(CELL("filename",A1),FIND("[",CELL("filename",A1))-1)&amp;"6.건축\24_철근 조립\체크리스트\철근 조립_체크리스트.html", "👉 [클릭] 체크리스트 열기 📄")</f>
        <v/>
      </c>
      <c r="S25" s="22" t="n"/>
      <c r="T25" s="69" t="inlineStr">
        <is>
          <t>● 철근 배근 간격 및 결속선 결속 기준</t>
        </is>
      </c>
      <c r="U25" s="69" t="inlineStr">
        <is>
          <t>1) 👉 [더블클릭] 체크리스트 열기 📄</t>
        </is>
      </c>
      <c r="V25" s="43" t="n"/>
    </row>
    <row r="26" ht="96" customHeight="1">
      <c r="A26" s="22" t="inlineStr">
        <is>
          <t>9000</t>
        </is>
      </c>
      <c r="B26" s="22" t="inlineStr">
        <is>
          <t>9000-4</t>
        </is>
      </c>
      <c r="C26" s="26" t="inlineStr">
        <is>
          <t>건축</t>
        </is>
      </c>
      <c r="D26" s="22" t="inlineStr">
        <is>
          <t>9000-4-25</t>
        </is>
      </c>
      <c r="E26" s="22">
        <f>D25</f>
        <v/>
      </c>
      <c r="F26" s="22">
        <f>D27</f>
        <v/>
      </c>
      <c r="H26" s="26" t="inlineStr">
        <is>
          <t>거푸집 조립</t>
        </is>
      </c>
      <c r="I26" s="22" t="inlineStr">
        <is>
          <t>현장소장</t>
        </is>
      </c>
      <c r="J26" s="43" t="inlineStr">
        <is>
          <t>콘크리트 타설 후 양생까지 유지하는 가설구조물 설치 작업</t>
        </is>
      </c>
      <c r="K26" s="44" t="inlineStr">
        <is>
          <t>합판, 강재등의 자재를 활용하여 설계도면 형상에 맞게 시공</t>
        </is>
      </c>
      <c r="L26" s="43" t="inlineStr">
        <is>
          <t>거푸집 검측서</t>
        </is>
      </c>
      <c r="M26" s="4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N26" s="75">
        <f>HYPERLINK(LEFT(CELL("filename",A1),FIND("[",CELL("filename",A1))-1)&amp;"6.건축\25_거푸집 조립\표준서\거푸집 조립_표준서.html", "👉 [클릭] 표준서 열기 📄")</f>
        <v/>
      </c>
      <c r="O26" s="4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P26" s="76">
        <f>HYPERLINK(LEFT(CELL("filename",A1),FIND("[",CELL("filename",A1))-1)&amp;"6.건축\25_거푸집 조립\수행지침\거푸집 조립_수행지침.html", "👉 [클릭] 수행지침 열기 📄")</f>
        <v/>
      </c>
      <c r="Q26" s="4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R26" s="77">
        <f>HYPERLINK(LEFT(CELL("filename",A1),FIND("[",CELL("filename",A1))-1)&amp;"6.건축\25_거푸집 조립\체크리스트\거푸집 조립_체크리스트.html", "👉 [클릭] 체크리스트 열기 📄")</f>
        <v/>
      </c>
      <c r="S26" s="22" t="n"/>
      <c r="T26" s="69" t="inlineStr">
        <is>
          <t>● 거푸집 수직/수평도 및 박리제 도포 기준</t>
        </is>
      </c>
      <c r="U26" s="69" t="inlineStr">
        <is>
          <t>1) 👉 [더블클릭] 체크리스트 열기 📄</t>
        </is>
      </c>
      <c r="V26" s="43" t="n"/>
    </row>
    <row r="27" ht="96" customHeight="1">
      <c r="A27" s="22" t="inlineStr">
        <is>
          <t>9000</t>
        </is>
      </c>
      <c r="B27" s="22" t="inlineStr">
        <is>
          <t>9000-4</t>
        </is>
      </c>
      <c r="C27" s="26" t="inlineStr">
        <is>
          <t>건축</t>
        </is>
      </c>
      <c r="D27" s="22" t="inlineStr">
        <is>
          <t>9000-4-26</t>
        </is>
      </c>
      <c r="E27" s="22">
        <f>D26</f>
        <v/>
      </c>
      <c r="F27" s="22">
        <f>D28</f>
        <v/>
      </c>
      <c r="H27" s="26" t="inlineStr">
        <is>
          <t>콘크리트 타설 및 다짐</t>
        </is>
      </c>
      <c r="I27" s="22" t="inlineStr">
        <is>
          <t>현장소장</t>
        </is>
      </c>
      <c r="J27" s="43" t="inlineStr">
        <is>
          <t>거푸집에 콘크리트를 붓고 강도발현 까지 밀도와 습도조절 유지</t>
        </is>
      </c>
      <c r="K27" s="44" t="inlineStr">
        <is>
          <t>- 타설과 동시에 적당한 공법으로 다짐, 양생관리
- 마감품질 관련하여, 재료, 균열관리방안
- 상부슬라브 타설시 동바리 변형 확인</t>
        </is>
      </c>
      <c r="L27" s="43" t="inlineStr">
        <is>
          <t>콘크리트 구조물 확보, 타설보고서</t>
        </is>
      </c>
      <c r="M27" s="4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N27" s="75">
        <f>HYPERLINK(LEFT(CELL("filename",A1),FIND("[",CELL("filename",A1))-1)&amp;"6.건축\26_콘크리트 타설 및 다짐\표준서\콘크리트 타설 및 다짐_표준서.html", "👉 [클릭] 표준서 열기 📄")</f>
        <v/>
      </c>
      <c r="O27" s="4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P27" s="76">
        <f>HYPERLINK(LEFT(CELL("filename",A1),FIND("[",CELL("filename",A1))-1)&amp;"6.건축\26_콘크리트 타설 및 다짐\수행지침\콘크리트 타설 및 다짐_수행지침.html", "👉 [클릭] 수행지침 열기 📄")</f>
        <v/>
      </c>
      <c r="Q27" s="4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R27" s="77">
        <f>HYPERLINK(LEFT(CELL("filename",A1),FIND("[",CELL("filename",A1))-1)&amp;"6.건축\26_콘크리트 타설 및 다짐\체크리스트\콘크리트 타설 및 다짐_체크리스트.html", "👉 [클릭] 체크리스트 열기 📄")</f>
        <v/>
      </c>
      <c r="S27" s="22" t="n"/>
      <c r="T27" s="69" t="inlineStr">
        <is>
          <t>● 콘크리트 타설 속도 및 다짐기 사용 기준</t>
        </is>
      </c>
      <c r="U27" s="69" t="inlineStr">
        <is>
          <t>1) 👉 [더블클릭] 체크리스트 열기 📄</t>
        </is>
      </c>
      <c r="V27" s="43" t="n"/>
    </row>
    <row r="28" ht="115.2" customHeight="1">
      <c r="A28" s="22" t="inlineStr">
        <is>
          <t>9000</t>
        </is>
      </c>
      <c r="B28" s="22" t="inlineStr">
        <is>
          <t>9000-4</t>
        </is>
      </c>
      <c r="C28" s="26" t="inlineStr">
        <is>
          <t>건축</t>
        </is>
      </c>
      <c r="D28" s="22" t="inlineStr">
        <is>
          <t>9000-4-27</t>
        </is>
      </c>
      <c r="E28" s="22">
        <f>D27</f>
        <v/>
      </c>
      <c r="F28" s="22">
        <f>D29</f>
        <v/>
      </c>
      <c r="H28" s="26" t="inlineStr">
        <is>
          <t>거푸집 해체</t>
        </is>
      </c>
      <c r="I28" s="22" t="inlineStr">
        <is>
          <t>현장소장</t>
        </is>
      </c>
      <c r="J28" s="43" t="inlineStr">
        <is>
          <t>구조물과 거푸집을 분리하는 작업</t>
        </is>
      </c>
      <c r="K28" s="44" t="inlineStr">
        <is>
          <t>구조물에 훼손이 없도록 주의하여 안전하게 해체, 부속자재(핀, 타이, 결속선 등) 제거, 상태 Double Check</t>
        </is>
      </c>
      <c r="L28" s="43" t="inlineStr">
        <is>
          <t>해체 완료</t>
        </is>
      </c>
      <c r="M28" s="4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N28" s="75">
        <f>HYPERLINK(LEFT(CELL("filename",A1),FIND("[",CELL("filename",A1))-1)&amp;"6.건축\27_거푸집 해체\표준서\거푸집 해체_표준서.html", "👉 [클릭] 표준서 열기 📄")</f>
        <v/>
      </c>
      <c r="O28" s="4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P28" s="76">
        <f>HYPERLINK(LEFT(CELL("filename",A1),FIND("[",CELL("filename",A1))-1)&amp;"6.건축\27_거푸집 해체\수행지침\거푸집 해체_수행지침.html", "👉 [클릭] 수행지침 열기 📄")</f>
        <v/>
      </c>
      <c r="Q28" s="4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R28" s="77">
        <f>HYPERLINK(LEFT(CELL("filename",A1),FIND("[",CELL("filename",A1))-1)&amp;"6.건축\27_거푸집 해체\체크리스트\거푸집 해체_체크리스트.html", "👉 [클릭] 체크리스트 열기 📄")</f>
        <v/>
      </c>
      <c r="S28" s="22" t="n"/>
      <c r="T28" s="69" t="inlineStr">
        <is>
          <t>● 거푸집 해체 시 압축강도 기준 준수</t>
        </is>
      </c>
      <c r="U28" s="69" t="inlineStr">
        <is>
          <t>1) 👉 [더블클릭] 체크리스트 열기 📄</t>
        </is>
      </c>
      <c r="V28" s="43" t="n"/>
    </row>
    <row r="29" ht="115.2" customHeight="1">
      <c r="A29" s="22" t="inlineStr">
        <is>
          <t>9000</t>
        </is>
      </c>
      <c r="B29" s="22" t="inlineStr">
        <is>
          <t>9000-4</t>
        </is>
      </c>
      <c r="C29" s="26" t="inlineStr">
        <is>
          <t>건축</t>
        </is>
      </c>
      <c r="D29" s="22" t="inlineStr">
        <is>
          <t>9000-4-28</t>
        </is>
      </c>
      <c r="E29" s="22">
        <f>D28</f>
        <v/>
      </c>
      <c r="F29" s="22">
        <f>D30</f>
        <v/>
      </c>
      <c r="H29" s="26" t="inlineStr">
        <is>
          <t>건축 내부 및 마감공사</t>
        </is>
      </c>
      <c r="I29" s="22" t="inlineStr">
        <is>
          <t>현장소장</t>
        </is>
      </c>
      <c r="J29" s="43" t="inlineStr">
        <is>
          <t>건축구조물 완수단계후 방수 및 내부마감공사</t>
        </is>
      </c>
      <c r="K29" s="44" t="inlineStr">
        <is>
          <t>구조물 시공 이후 외벽 방수 진행, 내부 마감공사 연계, 선행공종 균열관리대책 확인</t>
        </is>
      </c>
      <c r="L29" s="43" t="inlineStr">
        <is>
          <t>해당공종 검측서, 품질시험결과 보고서, 마감공종 인수인계서</t>
        </is>
      </c>
      <c r="M29" s="4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N29" s="75">
        <f>HYPERLINK(LEFT(CELL("filename",A1),FIND("[",CELL("filename",A1))-1)&amp;"6.건축\28_건축 내부 및 마감공사\표준서\건축 내부 및 마감공사_표준서.html", "👉 [클릭] 표준서 열기 📄")</f>
        <v/>
      </c>
      <c r="O29" s="4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P29" s="76">
        <f>HYPERLINK(LEFT(CELL("filename",A1),FIND("[",CELL("filename",A1))-1)&amp;"6.건축\28_건축 내부 및 마감공사\수행지침\건축 내부 및 마감공사_수행지침.html", "👉 [클릭] 수행지침 열기 📄")</f>
        <v/>
      </c>
      <c r="Q29" s="4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R29" s="77">
        <f>HYPERLINK(LEFT(CELL("filename",A1),FIND("[",CELL("filename",A1))-1)&amp;"6.건축\28_건축 내부 및 마감공사\체크리스트\건축 내부 및 마감공사_체크리스트.html", "👉 [클릭] 체크리스트 열기 📄")</f>
        <v/>
      </c>
      <c r="S29" s="22" t="n"/>
      <c r="T29" s="69" t="inlineStr">
        <is>
          <t>● 내부 및 외벽 마감 상세 도서 준수</t>
        </is>
      </c>
      <c r="U29" s="69" t="inlineStr">
        <is>
          <t>1) 👉 [더블클릭] 체크리스트 열기 📄</t>
        </is>
      </c>
      <c r="V29" s="43" t="n"/>
    </row>
    <row r="30" ht="115.2" customHeight="1">
      <c r="A30" s="22" t="inlineStr">
        <is>
          <t>9000</t>
        </is>
      </c>
      <c r="B30" s="22" t="inlineStr">
        <is>
          <t>9000-4</t>
        </is>
      </c>
      <c r="C30" s="26" t="inlineStr">
        <is>
          <t>건축</t>
        </is>
      </c>
      <c r="D30" s="22" t="inlineStr">
        <is>
          <t>9000-4-29</t>
        </is>
      </c>
      <c r="E30" s="22">
        <f>D29</f>
        <v/>
      </c>
      <c r="F30" s="22">
        <f>D31</f>
        <v/>
      </c>
      <c r="H30" s="26" t="inlineStr">
        <is>
          <t>창호,유리 및 금속지붕공사</t>
        </is>
      </c>
      <c r="I30" s="22" t="inlineStr">
        <is>
          <t>현장소장</t>
        </is>
      </c>
      <c r="J30" s="43" t="inlineStr">
        <is>
          <t>외부, 내부 마감공사 수행 / 건축물 내부로 우수 침투 방지작업</t>
        </is>
      </c>
      <c r="K30" s="44" t="inlineStr">
        <is>
          <t>외벽 마감 공사(금속지붕 공사 / 내부 창호 및 유리 시공)</t>
        </is>
      </c>
      <c r="L30" s="43" t="inlineStr">
        <is>
          <t>시공상세도 및 검측서</t>
        </is>
      </c>
      <c r="M30" s="4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N30" s="75">
        <f>HYPERLINK(LEFT(CELL("filename",A1),FIND("[",CELL("filename",A1))-1)&amp;"6.건축\29_창호,유리 및 금속지붕공사\표준서\창호,유리 및 금속지붕공사_표준서.html", "👉 [클릭] 표준서 열기 📄")</f>
        <v/>
      </c>
      <c r="O30" s="4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P30" s="76">
        <f>HYPERLINK(LEFT(CELL("filename",A1),FIND("[",CELL("filename",A1))-1)&amp;"6.건축\29_창호,유리 및 금속지붕공사\수행지침\창호,유리 및 금속지붕공사_수행지침.html", "👉 [클릭] 수행지침 열기 📄")</f>
        <v/>
      </c>
      <c r="Q30" s="4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R30" s="77">
        <f>HYPERLINK(LEFT(CELL("filename",A1),FIND("[",CELL("filename",A1))-1)&amp;"6.건축\29_창호,유리 및 금속지붕공사\체크리스트\창호,유리 및 금속지붕공사_체크리스트.html", "👉 [클릭] 체크리스트 열기 📄")</f>
        <v/>
      </c>
      <c r="S30" s="22" t="n"/>
      <c r="T30" s="69" t="inlineStr">
        <is>
          <t>● 창호 기밀성 및 수밀성 성능 검증</t>
        </is>
      </c>
      <c r="U30" s="69" t="inlineStr">
        <is>
          <t>1) 👉 [더블클릭] 체크리스트 열기 📄</t>
        </is>
      </c>
      <c r="V30" s="43" t="n"/>
    </row>
    <row r="31" ht="96" customHeight="1">
      <c r="A31" s="22" t="inlineStr">
        <is>
          <t>9000</t>
        </is>
      </c>
      <c r="B31" s="22" t="inlineStr">
        <is>
          <t>9000-4</t>
        </is>
      </c>
      <c r="C31" s="26" t="inlineStr">
        <is>
          <t>건축</t>
        </is>
      </c>
      <c r="D31" s="22" t="inlineStr">
        <is>
          <t>9000-4-30</t>
        </is>
      </c>
      <c r="E31" s="22">
        <f>D30</f>
        <v/>
      </c>
      <c r="F31" s="22">
        <f>D32</f>
        <v/>
      </c>
      <c r="H31" s="26" t="inlineStr">
        <is>
          <t>조적공사</t>
        </is>
      </c>
      <c r="I31" s="22" t="inlineStr">
        <is>
          <t>현장소장</t>
        </is>
      </c>
      <c r="J31" s="43" t="inlineStr">
        <is>
          <t>건축물 내부 칸막이 벽체 형성</t>
        </is>
      </c>
      <c r="K31" s="44" t="inlineStr">
        <is>
          <t>시멘트 벽돌 및 블록으로 세대 칸막이 형성 일일 최대 쌓는높이 1.2m(내력벽)</t>
        </is>
      </c>
      <c r="L31" s="43" t="inlineStr">
        <is>
          <t>시멘트 벽돌 및 블록 검측서</t>
        </is>
      </c>
      <c r="M31" s="4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N31" s="75">
        <f>HYPERLINK(LEFT(CELL("filename",A1),FIND("[",CELL("filename",A1))-1)&amp;"6.건축\30_조적공사\표준서\조적공사_표준서.html", "👉 [클릭] 표준서 열기 📄")</f>
        <v/>
      </c>
      <c r="O31" s="4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P31" s="76">
        <f>HYPERLINK(LEFT(CELL("filename",A1),FIND("[",CELL("filename",A1))-1)&amp;"6.건축\30_조적공사\수행지침\조적공사_수행지침.html", "👉 [클릭] 수행지침 열기 📄")</f>
        <v/>
      </c>
      <c r="Q31" s="4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R31" s="77">
        <f>HYPERLINK(LEFT(CELL("filename",A1),FIND("[",CELL("filename",A1))-1)&amp;"6.건축\30_조적공사\체크리스트\조적공사_체크리스트.html", "👉 [클릭] 체크리스트 열기 📄")</f>
        <v/>
      </c>
      <c r="S31" s="22" t="n"/>
      <c r="T31" s="69" t="inlineStr">
        <is>
          <t>● 조적 줄눈 및 쌓기 높이 기준 준수</t>
        </is>
      </c>
      <c r="U31" s="69" t="inlineStr">
        <is>
          <t>1) 👉 [더블클릭] 체크리스트 열기 📄</t>
        </is>
      </c>
      <c r="V31" s="43" t="n"/>
    </row>
    <row r="32" ht="115.2" customHeight="1">
      <c r="A32" s="22" t="inlineStr">
        <is>
          <t>9000</t>
        </is>
      </c>
      <c r="B32" s="22" t="inlineStr">
        <is>
          <t>9000-4</t>
        </is>
      </c>
      <c r="C32" s="26" t="inlineStr">
        <is>
          <t>건축</t>
        </is>
      </c>
      <c r="D32" s="22" t="inlineStr">
        <is>
          <t>9000-4-31</t>
        </is>
      </c>
      <c r="E32" s="22">
        <f>D31</f>
        <v/>
      </c>
      <c r="F32" s="22">
        <f>D33</f>
        <v/>
      </c>
      <c r="H32" s="26" t="inlineStr">
        <is>
          <t>내부 방수공사</t>
        </is>
      </c>
      <c r="I32" s="22" t="inlineStr">
        <is>
          <t>현장소장</t>
        </is>
      </c>
      <c r="J32" s="43" t="inlineStr">
        <is>
          <t>건축물 내부에서 물을 사용하는 실(화장실)등에 누수 방지</t>
        </is>
      </c>
      <c r="K32" s="44" t="inlineStr">
        <is>
          <t>구조물 청소 및 바탕정리후 방수공사 시행(코너부 및 드레인 주위 보강방수 실시)</t>
        </is>
      </c>
      <c r="L32" s="43" t="inlineStr">
        <is>
          <t>방수공사 검측서</t>
        </is>
      </c>
      <c r="M32" s="4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N32" s="75">
        <f>HYPERLINK(LEFT(CELL("filename",A1),FIND("[",CELL("filename",A1))-1)&amp;"6.건축\31_내부 방수공사\표준서\내부 방수공사_표준서.html", "👉 [클릭] 표준서 열기 📄")</f>
        <v/>
      </c>
      <c r="O32" s="4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P32" s="76">
        <f>HYPERLINK(LEFT(CELL("filename",A1),FIND("[",CELL("filename",A1))-1)&amp;"6.건축\31_내부 방수공사\수행지침\내부 방수공사_수행지침.html", "👉 [클릭] 수행지침 열기 📄")</f>
        <v/>
      </c>
      <c r="Q32" s="4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R32" s="77">
        <f>HYPERLINK(LEFT(CELL("filename",A1),FIND("[",CELL("filename",A1))-1)&amp;"6.건축\31_내부 방수공사\체크리스트\내부 방수공사_체크리스트.html", "👉 [클릭] 체크리스트 열기 📄")</f>
        <v/>
      </c>
      <c r="S32" s="22" t="n"/>
      <c r="T32" s="69" t="inlineStr">
        <is>
          <t>● 방수층 두께 및 담수테스트(24시간) 기준</t>
        </is>
      </c>
      <c r="U32" s="69" t="inlineStr">
        <is>
          <t>1) 👉 [더블클릭] 체크리스트 열기 📄</t>
        </is>
      </c>
      <c r="V32" s="43" t="n"/>
    </row>
    <row r="33" ht="96" customHeight="1">
      <c r="A33" s="22" t="inlineStr">
        <is>
          <t>9000</t>
        </is>
      </c>
      <c r="B33" s="22" t="inlineStr">
        <is>
          <t>9000-4</t>
        </is>
      </c>
      <c r="C33" s="26" t="inlineStr">
        <is>
          <t>건축</t>
        </is>
      </c>
      <c r="D33" s="22" t="inlineStr">
        <is>
          <t>9000-4-32</t>
        </is>
      </c>
      <c r="E33" s="22">
        <f>D32</f>
        <v/>
      </c>
      <c r="F33" s="22">
        <f>D34</f>
        <v/>
      </c>
      <c r="H33" s="26" t="inlineStr">
        <is>
          <t>미장 및 타일공사</t>
        </is>
      </c>
      <c r="I33" s="22" t="inlineStr">
        <is>
          <t>현장소장</t>
        </is>
      </c>
      <c r="J33" s="43" t="inlineStr">
        <is>
          <t>바탕면이 콘크리트나 조적공사 위에 마감공사 수행(초벌, 재벌, 정벌)</t>
        </is>
      </c>
      <c r="K33" s="44" t="inlineStr">
        <is>
          <t>미장공사는 시멘트와 모래(1:3배합)하여 바탕면에 바르는 작업, 타일공사는 벽면 미장후 타일시공</t>
        </is>
      </c>
      <c r="L33" s="43" t="inlineStr">
        <is>
          <t>미장,타일 검측서</t>
        </is>
      </c>
      <c r="M33" s="4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N33" s="75">
        <f>HYPERLINK(LEFT(CELL("filename",A1),FIND("[",CELL("filename",A1))-1)&amp;"6.건축\32_미장 및 타일공사\표준서\미장 및 타일공사_표준서.html", "👉 [클릭] 표준서 열기 📄")</f>
        <v/>
      </c>
      <c r="O33" s="4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P33" s="76">
        <f>HYPERLINK(LEFT(CELL("filename",A1),FIND("[",CELL("filename",A1))-1)&amp;"6.건축\32_미장 및 타일공사\수행지침\미장 및 타일공사_수행지침.html", "👉 [클릭] 수행지침 열기 📄")</f>
        <v/>
      </c>
      <c r="Q33" s="4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R33" s="77">
        <f>HYPERLINK(LEFT(CELL("filename",A1),FIND("[",CELL("filename",A1))-1)&amp;"6.건축\32_미장 및 타일공사\체크리스트\미장 및 타일공사_체크리스트.html", "👉 [클릭] 체크리스트 열기 📄")</f>
        <v/>
      </c>
      <c r="S33" s="22" t="n"/>
      <c r="T33" s="69" t="inlineStr">
        <is>
          <t>● 미장면 평탄성 및 타일 부착 강도 기준</t>
        </is>
      </c>
      <c r="U33" s="69" t="inlineStr">
        <is>
          <t>1) 👉 [더블클릭] 체크리스트 열기 📄</t>
        </is>
      </c>
      <c r="V33" s="43" t="n"/>
    </row>
    <row r="34" ht="96" customHeight="1">
      <c r="A34" s="22" t="inlineStr">
        <is>
          <t>9000</t>
        </is>
      </c>
      <c r="B34" s="22" t="inlineStr">
        <is>
          <t>9000-4</t>
        </is>
      </c>
      <c r="C34" s="26" t="inlineStr">
        <is>
          <t>건축</t>
        </is>
      </c>
      <c r="D34" s="22" t="inlineStr">
        <is>
          <t>9000-4-33</t>
        </is>
      </c>
      <c r="E34" s="22">
        <f>D33</f>
        <v/>
      </c>
      <c r="F34" s="22">
        <f>D35</f>
        <v/>
      </c>
      <c r="H34" s="26" t="inlineStr">
        <is>
          <t>수장 및 잡철물공사</t>
        </is>
      </c>
      <c r="I34" s="22" t="inlineStr">
        <is>
          <t>현장소장</t>
        </is>
      </c>
      <c r="J34" s="43" t="inlineStr">
        <is>
          <t>수장공사 : 천정공사, 바닥마감공사, 잡철물 공사 : 도어, 창호 등 설치 공사</t>
        </is>
      </c>
      <c r="K34" s="44" t="inlineStr">
        <is>
          <t>각실의 천정공사(텍스류), 바닥마감공사(비닐계타일),도배공사등을 수행, 잡철물 공사는 각실의 도어, 난간,창호등을 설치하는 공사</t>
        </is>
      </c>
      <c r="L34" s="43" t="inlineStr">
        <is>
          <t>수장 및 잡철물검측서</t>
        </is>
      </c>
      <c r="M34" s="4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N34" s="75">
        <f>HYPERLINK(LEFT(CELL("filename",A1),FIND("[",CELL("filename",A1))-1)&amp;"6.건축\33_수장 및 잡철물공사\표준서\수장 및 잡철물공사_표준서.html", "👉 [클릭] 표준서 열기 📄")</f>
        <v/>
      </c>
      <c r="O34" s="4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P34" s="76">
        <f>HYPERLINK(LEFT(CELL("filename",A1),FIND("[",CELL("filename",A1))-1)&amp;"6.건축\33_수장 및 잡철물공사\수행지침\수장 및 잡철물공사_수행지침.html", "👉 [클릭] 수행지침 열기 📄")</f>
        <v/>
      </c>
      <c r="Q34" s="4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R34" s="77">
        <f>HYPERLINK(LEFT(CELL("filename",A1),FIND("[",CELL("filename",A1))-1)&amp;"6.건축\33_수장 및 잡철물공사\체크리스트\수장 및 잡철물공사_체크리스트.html", "👉 [클릭] 체크리스트 열기 📄")</f>
        <v/>
      </c>
      <c r="S34" s="22" t="n"/>
      <c r="T34" s="69" t="inlineStr">
        <is>
          <t>● 실별 마감 재료 규격 만족</t>
        </is>
      </c>
      <c r="U34" s="69" t="inlineStr">
        <is>
          <t>1) 👉 [더블클릭] 체크리스트 열기 📄</t>
        </is>
      </c>
      <c r="V34" s="43" t="n"/>
    </row>
    <row r="35" ht="115.2" customHeight="1">
      <c r="A35" s="22" t="inlineStr">
        <is>
          <t>9000</t>
        </is>
      </c>
      <c r="B35" s="22" t="inlineStr">
        <is>
          <t>9000-4</t>
        </is>
      </c>
      <c r="C35" s="26" t="inlineStr">
        <is>
          <t>건축</t>
        </is>
      </c>
      <c r="D35" s="22" t="inlineStr">
        <is>
          <t>9000-4-34</t>
        </is>
      </c>
      <c r="E35" s="22">
        <f>D34</f>
        <v/>
      </c>
      <c r="F35" s="22">
        <f>D36</f>
        <v/>
      </c>
      <c r="H35" s="26" t="inlineStr">
        <is>
          <t>도장공사</t>
        </is>
      </c>
      <c r="I35" s="22" t="inlineStr">
        <is>
          <t>현장소장</t>
        </is>
      </c>
      <c r="J35" s="43" t="inlineStr">
        <is>
          <t>미장면, 석고보드위에 도장공사 수행</t>
        </is>
      </c>
      <c r="K35" s="44" t="inlineStr">
        <is>
          <t>도장재 (붓, 롤러등)로 벽면에 시공</t>
        </is>
      </c>
      <c r="L35" s="43" t="inlineStr">
        <is>
          <t>도장공사 검측서</t>
        </is>
      </c>
      <c r="M35" s="4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N35" s="75">
        <f>HYPERLINK(LEFT(CELL("filename",A1),FIND("[",CELL("filename",A1))-1)&amp;"6.건축\34_도장공사\표준서\도장공사_표준서.html", "👉 [클릭] 표준서 열기 📄")</f>
        <v/>
      </c>
      <c r="O35" s="4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P35" s="76">
        <f>HYPERLINK(LEFT(CELL("filename",A1),FIND("[",CELL("filename",A1))-1)&amp;"6.건축\34_도장공사\수행지침\도장공사_수행지침.html", "👉 [클릭] 수행지침 열기 📄")</f>
        <v/>
      </c>
      <c r="Q35" s="4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R35" s="77">
        <f>HYPERLINK(LEFT(CELL("filename",A1),FIND("[",CELL("filename",A1))-1)&amp;"6.건축\34_도장공사\체크리스트\도장공사_체크리스트.html", "👉 [클릭] 체크리스트 열기 📄")</f>
        <v/>
      </c>
      <c r="S35" s="22" t="n"/>
      <c r="T35" s="69" t="inlineStr">
        <is>
          <t>● 도장 도막 두께 및 색상 균일성 기준</t>
        </is>
      </c>
      <c r="U35" s="69" t="inlineStr">
        <is>
          <t>1) 👉 [더블클릭] 체크리스트 열기 📄</t>
        </is>
      </c>
      <c r="V35" s="43" t="n"/>
    </row>
    <row r="36" ht="115.2" customHeight="1">
      <c r="A36" s="22" t="inlineStr">
        <is>
          <t>9000</t>
        </is>
      </c>
      <c r="B36" s="22" t="inlineStr">
        <is>
          <t>9000-4</t>
        </is>
      </c>
      <c r="C36" s="26" t="inlineStr">
        <is>
          <t>건축</t>
        </is>
      </c>
      <c r="D36" s="22" t="inlineStr">
        <is>
          <t>9000-4-35</t>
        </is>
      </c>
      <c r="E36" s="22">
        <f>D35</f>
        <v/>
      </c>
      <c r="F36" s="22">
        <f>D37</f>
        <v/>
      </c>
      <c r="H36" s="26" t="inlineStr">
        <is>
          <t>인테리어 및 무대공사</t>
        </is>
      </c>
      <c r="I36" s="22" t="inlineStr">
        <is>
          <t>현장소장</t>
        </is>
      </c>
      <c r="J36" s="43" t="inlineStr">
        <is>
          <t>내부 선반, 주방가구, 설치작업 등 내부 인테리어 및 무대공사</t>
        </is>
      </c>
      <c r="K36" s="44" t="inlineStr">
        <is>
          <t>추가로 발생되는 건축공사에 적합한 자재 반입, 검수 및 시공</t>
        </is>
      </c>
      <c r="L36" s="43" t="inlineStr">
        <is>
          <t>각 공종 검측서</t>
        </is>
      </c>
      <c r="M36" s="4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N36" s="75">
        <f>HYPERLINK(LEFT(CELL("filename",A1),FIND("[",CELL("filename",A1))-1)&amp;"6.건축\35_인테리어 및 무대공사\표준서\인테리어 및 무대공사_표준서.html", "👉 [클릭] 표준서 열기 📄")</f>
        <v/>
      </c>
      <c r="O36" s="4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P36" s="76">
        <f>HYPERLINK(LEFT(CELL("filename",A1),FIND("[",CELL("filename",A1))-1)&amp;"6.건축\35_인테리어 및 무대공사\수행지침\인테리어 및 무대공사_수행지침.html", "👉 [클릭] 수행지침 열기 📄")</f>
        <v/>
      </c>
      <c r="Q36" s="4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R36" s="77">
        <f>HYPERLINK(LEFT(CELL("filename",A1),FIND("[",CELL("filename",A1))-1)&amp;"6.건축\35_인테리어 및 무대공사\체크리스트\인테리어 및 무대공사_체크리스트.html", "👉 [클릭] 체크리스트 열기 📄")</f>
        <v/>
      </c>
      <c r="S36" s="22" t="n"/>
      <c r="T36" s="69" t="inlineStr">
        <is>
          <t>● 내부 인테리어 설계 도서 준수</t>
        </is>
      </c>
      <c r="U36" s="69" t="inlineStr">
        <is>
          <t>1) 👉 [더블클릭] 체크리스트 열기 📄</t>
        </is>
      </c>
      <c r="V36" s="43" t="n"/>
    </row>
    <row r="37" ht="115.2" customHeight="1">
      <c r="A37" s="22" t="inlineStr">
        <is>
          <t>9000</t>
        </is>
      </c>
      <c r="B37" s="22" t="inlineStr">
        <is>
          <t>9000-4</t>
        </is>
      </c>
      <c r="C37" s="26" t="inlineStr">
        <is>
          <t>건축</t>
        </is>
      </c>
      <c r="D37" s="22" t="inlineStr">
        <is>
          <t>9000-4-36</t>
        </is>
      </c>
      <c r="E37" s="22">
        <f>D36</f>
        <v/>
      </c>
      <c r="F37" s="22">
        <f>D38</f>
        <v/>
      </c>
      <c r="H37" s="26" t="inlineStr">
        <is>
          <t>준공전 건축 인허가</t>
        </is>
      </c>
      <c r="I37" s="22" t="inlineStr">
        <is>
          <t>현장소장</t>
        </is>
      </c>
      <c r="J37" s="43" t="inlineStr">
        <is>
          <t>관련법에 따라 준공전 건축인허가 완료</t>
        </is>
      </c>
      <c r="K37" s="44"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L37" s="43" t="inlineStr">
        <is>
          <t>인허가 신고 / 승인 문서</t>
        </is>
      </c>
      <c r="M37" s="4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N37" s="75">
        <f>HYPERLINK(LEFT(CELL("filename",A1),FIND("[",CELL("filename",A1))-1)&amp;"6.건축\36_준공전 건축 인허가\표준서\준공전 건축 인허가_표준서.html", "👉 [클릭] 표준서 열기 📄")</f>
        <v/>
      </c>
      <c r="O37" s="4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P37" s="76">
        <f>HYPERLINK(LEFT(CELL("filename",A1),FIND("[",CELL("filename",A1))-1)&amp;"6.건축\36_준공전 건축 인허가\수행지침\준공전 건축 인허가_수행지침.html", "👉 [클릭] 수행지침 열기 📄")</f>
        <v/>
      </c>
      <c r="Q37" s="4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R37" s="77">
        <f>HYPERLINK(LEFT(CELL("filename",A1),FIND("[",CELL("filename",A1))-1)&amp;"6.건축\36_준공전 건축 인허가\체크리스트\준공전 건축 인허가_체크리스트.html", "👉 [클릭] 체크리스트 열기 📄")</f>
        <v/>
      </c>
      <c r="S37" s="22" t="n"/>
      <c r="T37" s="69" t="inlineStr">
        <is>
          <t>● 관련 법규(건축법, 하수도법 등) 준수</t>
        </is>
      </c>
      <c r="U37" s="69" t="inlineStr">
        <is>
          <t>1) 👉 [더블클릭] 체크리스트 열기 📄</t>
        </is>
      </c>
      <c r="V37" s="43" t="n"/>
    </row>
    <row r="38" ht="134.4" customHeight="1">
      <c r="A38" s="22" t="inlineStr">
        <is>
          <t>9000</t>
        </is>
      </c>
      <c r="B38" s="22" t="inlineStr">
        <is>
          <t>9000-4</t>
        </is>
      </c>
      <c r="C38" s="26" t="inlineStr">
        <is>
          <t>건축</t>
        </is>
      </c>
      <c r="D38" s="22" t="inlineStr">
        <is>
          <t>9000-4-37</t>
        </is>
      </c>
      <c r="E38" s="22">
        <f>D37</f>
        <v/>
      </c>
      <c r="F38" s="22">
        <f>D39</f>
        <v/>
      </c>
      <c r="H38" s="26" t="inlineStr">
        <is>
          <t>소방시설공사 완공검사</t>
        </is>
      </c>
      <c r="I38" s="22" t="inlineStr">
        <is>
          <t>현장소장</t>
        </is>
      </c>
      <c r="J38" s="43" t="inlineStr">
        <is>
          <t>소방시설 완공검사 신청</t>
        </is>
      </c>
      <c r="K38" s="44" t="inlineStr">
        <is>
          <t>현장 -&gt; 관할소방서 및 지자체 소방시설공사법 제14조
- 서식: 별지 제17호 서식
- 제출후 처리기간 3일 이내</t>
        </is>
      </c>
      <c r="L38" s="43" t="inlineStr">
        <is>
          <t>소방시설 완공검사 증명서</t>
        </is>
      </c>
      <c r="M38" s="4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N38" s="75">
        <f>HYPERLINK(LEFT(CELL("filename",A1),FIND("[",CELL("filename",A1))-1)&amp;"6.건축\37_소방시설공사 완공검사\표준서\소방시설공사 완공검사_표준서.html", "👉 [클릭] 표준서 열기 📄")</f>
        <v/>
      </c>
      <c r="O38" s="4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P38" s="76">
        <f>HYPERLINK(LEFT(CELL("filename",A1),FIND("[",CELL("filename",A1))-1)&amp;"6.건축\37_소방시설공사 완공검사\수행지침\소방시설공사 완공검사_수행지침.html", "👉 [클릭] 수행지침 열기 📄")</f>
        <v/>
      </c>
      <c r="Q38" s="4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R38" s="77">
        <f>HYPERLINK(LEFT(CELL("filename",A1),FIND("[",CELL("filename",A1))-1)&amp;"6.건축\37_소방시설공사 완공검사\체크리스트\소방시설공사 완공검사_체크리스트.html", "👉 [클릭] 체크리스트 열기 📄")</f>
        <v/>
      </c>
      <c r="S38" s="22" t="n"/>
      <c r="T38" s="69" t="inlineStr">
        <is>
          <t>● 소방시설공사법 제14조</t>
        </is>
      </c>
      <c r="U38" s="69" t="inlineStr">
        <is>
          <t>1) 👉 [더블클릭] 체크리스트 열기 📄</t>
        </is>
      </c>
      <c r="V38" s="43" t="n"/>
    </row>
    <row r="39" ht="115.2" customHeight="1">
      <c r="A39" s="22" t="inlineStr">
        <is>
          <t>9000</t>
        </is>
      </c>
      <c r="B39" s="22" t="inlineStr">
        <is>
          <t>9000-4</t>
        </is>
      </c>
      <c r="C39" s="26" t="inlineStr">
        <is>
          <t>건축</t>
        </is>
      </c>
      <c r="D39" s="22" t="inlineStr">
        <is>
          <t>9000-4-38</t>
        </is>
      </c>
      <c r="E39" s="22">
        <f>D38</f>
        <v/>
      </c>
      <c r="H39" s="26" t="inlineStr">
        <is>
          <t>승강기 설치 신고서 제출</t>
        </is>
      </c>
      <c r="I39" s="22" t="inlineStr">
        <is>
          <t>현장소장</t>
        </is>
      </c>
      <c r="J39" s="43" t="inlineStr">
        <is>
          <t>승강기 설치 신고</t>
        </is>
      </c>
      <c r="K39" s="44" t="inlineStr">
        <is>
          <t>현장 -&gt; 승강기 안전공단, 승강기 안전관리법 제27조
- 서식: 별지 제22호 서식
- 제출후 처리기간 7일 이내</t>
        </is>
      </c>
      <c r="L39" s="43" t="inlineStr">
        <is>
          <t>승강기 설치 신고필증</t>
        </is>
      </c>
      <c r="M39" s="4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N39" s="75">
        <f>HYPERLINK(LEFT(CELL("filename",A1),FIND("[",CELL("filename",A1))-1)&amp;"6.건축\38_승강기 설치 신고서 제출\표준서\승강기 설치 신고서 제출_표준서.html", "👉 [클릭] 표준서 열기 📄")</f>
        <v/>
      </c>
      <c r="O39" s="4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P39" s="76">
        <f>HYPERLINK(LEFT(CELL("filename",A1),FIND("[",CELL("filename",A1))-1)&amp;"6.건축\38_승강기 설치 신고서 제출\수행지침\승강기 설치 신고서 제출_수행지침.html", "👉 [클릭] 수행지침 열기 📄")</f>
        <v/>
      </c>
      <c r="Q39" s="4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R39" s="77">
        <f>HYPERLINK(LEFT(CELL("filename",A1),FIND("[",CELL("filename",A1))-1)&amp;"6.건축\38_승강기 설치 신고서 제출\체크리스트\승강기 설치 신고서 제출_체크리스트.html", "👉 [클릭] 체크리스트 열기 📄")</f>
        <v/>
      </c>
      <c r="S39" s="22" t="n"/>
      <c r="T39" s="69" t="inlineStr">
        <is>
          <t>● 승강기 안전관리법 제27조</t>
        </is>
      </c>
      <c r="U39" s="69" t="inlineStr">
        <is>
          <t>1) 👉 [더블클릭] 체크리스트 열기 📄</t>
        </is>
      </c>
      <c r="V39" s="43" t="n"/>
    </row>
    <row r="40" ht="115.2" customHeight="1">
      <c r="A40" s="22" t="inlineStr">
        <is>
          <t>9000</t>
        </is>
      </c>
      <c r="B40" s="22" t="inlineStr">
        <is>
          <t>9000-4</t>
        </is>
      </c>
      <c r="C40" s="26" t="inlineStr">
        <is>
          <t>건축</t>
        </is>
      </c>
      <c r="D40" s="22" t="inlineStr">
        <is>
          <t>9000-4-39</t>
        </is>
      </c>
      <c r="H40" s="26" t="inlineStr">
        <is>
          <t>저수조 설치현황 신고서 제출</t>
        </is>
      </c>
      <c r="I40" s="22" t="inlineStr">
        <is>
          <t>현장소장</t>
        </is>
      </c>
      <c r="J40" s="43" t="inlineStr">
        <is>
          <t>저수조 청소 신고</t>
        </is>
      </c>
      <c r="K40" s="44" t="inlineStr">
        <is>
          <t>현장 -&gt; 저수조업체 -&gt; 관할지자체, 수도법 제33조(위생상의 조치)
- 서식: 별지 제12호 서식</t>
        </is>
      </c>
      <c r="L40" s="43" t="inlineStr">
        <is>
          <t>저수조 설치 신고필증</t>
        </is>
      </c>
      <c r="M40" s="4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N40" s="75">
        <f>HYPERLINK(LEFT(CELL("filename",A1),FIND("[",CELL("filename",A1))-1)&amp;"6.건축\39_저수조 설치현황 신고서 제출\표준서\저수조 설치현황 신고서 제출_표준서.html", "👉 [클릭] 표준서 열기 📄")</f>
        <v/>
      </c>
      <c r="O40" s="4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P40" s="76">
        <f>HYPERLINK(LEFT(CELL("filename",A1),FIND("[",CELL("filename",A1))-1)&amp;"6.건축\39_저수조 설치현황 신고서 제출\수행지침\저수조 설치현황 신고서 제출_수행지침.html", "👉 [클릭] 수행지침 열기 📄")</f>
        <v/>
      </c>
      <c r="Q40" s="4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R40" s="77">
        <f>HYPERLINK(LEFT(CELL("filename",A1),FIND("[",CELL("filename",A1))-1)&amp;"6.건축\39_저수조 설치현황 신고서 제출\체크리스트\저수조 설치현황 신고서 제출_체크리스트.html", "👉 [클릭] 체크리스트 열기 📄")</f>
        <v/>
      </c>
      <c r="S40" s="22" t="n"/>
      <c r="T40" s="69" t="inlineStr">
        <is>
          <t>● 수도법 제33조</t>
        </is>
      </c>
      <c r="U40" s="69" t="inlineStr">
        <is>
          <t>1) 👉 [더블클릭] 체크리스트 열기 📄</t>
        </is>
      </c>
      <c r="V40" s="43" t="n"/>
    </row>
    <row r="41" ht="115.2" customHeight="1">
      <c r="A41" s="22" t="inlineStr">
        <is>
          <t>9000</t>
        </is>
      </c>
      <c r="B41" s="22" t="inlineStr">
        <is>
          <t>9000-4</t>
        </is>
      </c>
      <c r="C41" s="26" t="inlineStr">
        <is>
          <t>건축</t>
        </is>
      </c>
      <c r="D41" s="22" t="inlineStr">
        <is>
          <t>9000-4-40</t>
        </is>
      </c>
      <c r="H41" s="26" t="inlineStr">
        <is>
          <t>오수처리시설 / 정화조 설치 신고서 제출</t>
        </is>
      </c>
      <c r="I41" s="22" t="inlineStr">
        <is>
          <t>현장소장</t>
        </is>
      </c>
      <c r="J41" s="43" t="inlineStr">
        <is>
          <t>정화조 및 오수 처리시설 신고</t>
        </is>
      </c>
      <c r="K41" s="44" t="inlineStr">
        <is>
          <t>현장 -&gt; 관할지자체, 하수도법 제34조
- 서식: 별지 제13호 서식
- 제출후 처리기간 5일 이내</t>
        </is>
      </c>
      <c r="L41" s="43" t="inlineStr">
        <is>
          <t>오수처리시설/정화조 설치 신고필증</t>
        </is>
      </c>
      <c r="M41" s="4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N41" s="75">
        <f>HYPERLINK(LEFT(CELL("filename",A1),FIND("[",CELL("filename",A1))-1)&amp;"6.건축\40_오수처리시설 _ 정화조 설치 신고서 제출\표준서\오수처리시설 _ 정화조 설치 신고서 제출_표준서.html", "👉 [클릭] 표준서 열기 📄")</f>
        <v/>
      </c>
      <c r="O41" s="4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P41" s="76">
        <f>HYPERLINK(LEFT(CELL("filename",A1),FIND("[",CELL("filename",A1))-1)&amp;"6.건축\40_오수처리시설 _ 정화조 설치 신고서 제출\수행지침\오수처리시설 _ 정화조 설치 신고서 제출_수행지침.html", "👉 [클릭] 수행지침 열기 📄")</f>
        <v/>
      </c>
      <c r="Q41" s="4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R41" s="77">
        <f>HYPERLINK(LEFT(CELL("filename",A1),FIND("[",CELL("filename",A1))-1)&amp;"6.건축\40_오수처리시설 _ 정화조 설치 신고서 제출\체크리스트\오수처리시설 _ 정화조 설치 신고서 제출_체크리스트.html", "👉 [클릭] 체크리스트 열기 📄")</f>
        <v/>
      </c>
      <c r="S41" s="22" t="n"/>
      <c r="T41" s="69" t="inlineStr">
        <is>
          <t>● 하수도법 제34조</t>
        </is>
      </c>
      <c r="U41" s="69" t="inlineStr">
        <is>
          <t>1) 👉 [더블클릭] 체크리스트 열기 📄</t>
        </is>
      </c>
      <c r="V41" s="43" t="n"/>
    </row>
    <row r="42" ht="115.2" customHeight="1">
      <c r="A42" s="22" t="inlineStr">
        <is>
          <t>9000</t>
        </is>
      </c>
      <c r="B42" s="22" t="inlineStr">
        <is>
          <t>9000-4</t>
        </is>
      </c>
      <c r="C42" s="26" t="inlineStr">
        <is>
          <t>건축</t>
        </is>
      </c>
      <c r="D42" s="22" t="inlineStr">
        <is>
          <t>9000-4-41</t>
        </is>
      </c>
      <c r="H42" s="26" t="inlineStr">
        <is>
          <t>전기사용전 검사</t>
        </is>
      </c>
      <c r="I42" s="22" t="inlineStr">
        <is>
          <t>현장소장</t>
        </is>
      </c>
      <c r="J42" s="43" t="inlineStr">
        <is>
          <t>전기사용전 검사 신청</t>
        </is>
      </c>
      <c r="K42" s="44" t="inlineStr">
        <is>
          <t>현장 -&gt; 한국전기안전공사, 전기안전관리법 제9조(사용전검사)
- 서식: 별지 제4호 서식</t>
        </is>
      </c>
      <c r="L42" s="43" t="inlineStr">
        <is>
          <t>전기사용전 검사 필증</t>
        </is>
      </c>
      <c r="M42" s="4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N42" s="75">
        <f>HYPERLINK(LEFT(CELL("filename",A1),FIND("[",CELL("filename",A1))-1)&amp;"6.건축\41_전기사용전 검사\표준서\전기사용전 검사_표준서.html", "👉 [클릭] 표준서 열기 📄")</f>
        <v/>
      </c>
      <c r="O42" s="4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P42" s="76">
        <f>HYPERLINK(LEFT(CELL("filename",A1),FIND("[",CELL("filename",A1))-1)&amp;"6.건축\41_전기사용전 검사\수행지침\전기사용전 검사_수행지침.html", "👉 [클릭] 수행지침 열기 📄")</f>
        <v/>
      </c>
      <c r="Q42" s="4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R42" s="77">
        <f>HYPERLINK(LEFT(CELL("filename",A1),FIND("[",CELL("filename",A1))-1)&amp;"6.건축\41_전기사용전 검사\체크리스트\전기사용전 검사_체크리스트.html", "👉 [클릭] 체크리스트 열기 📄")</f>
        <v/>
      </c>
      <c r="S42" s="22" t="n"/>
      <c r="T42" s="69" t="inlineStr">
        <is>
          <t>● 전기안전관리법 제9조</t>
        </is>
      </c>
      <c r="U42" s="69" t="inlineStr">
        <is>
          <t>1) 👉 [더블클릭] 체크리스트 열기 📄</t>
        </is>
      </c>
      <c r="V42" s="43" t="n"/>
    </row>
    <row r="43" ht="115.2" customHeight="1">
      <c r="A43" s="22" t="inlineStr">
        <is>
          <t>9000</t>
        </is>
      </c>
      <c r="B43" s="22" t="inlineStr">
        <is>
          <t>9000-4</t>
        </is>
      </c>
      <c r="C43" s="26" t="inlineStr">
        <is>
          <t>건축</t>
        </is>
      </c>
      <c r="D43" s="22" t="inlineStr">
        <is>
          <t>9000-4-42</t>
        </is>
      </c>
      <c r="H43" s="26" t="inlineStr">
        <is>
          <t>승강기 설치검사</t>
        </is>
      </c>
      <c r="I43" s="22" t="inlineStr">
        <is>
          <t>현장소장</t>
        </is>
      </c>
      <c r="J43" s="43" t="inlineStr">
        <is>
          <t>승강기 설치검사 신청</t>
        </is>
      </c>
      <c r="K43" s="44" t="inlineStr">
        <is>
          <t>현장 -&gt; 한국승강기안전공단, 승강기 안전관리법 제28조(승강기 설치)
- 서식: 별지 제23호 서식
- 제출후 처리기간 15일 이내</t>
        </is>
      </c>
      <c r="L43" s="43" t="inlineStr">
        <is>
          <t>승강기 사용필증, 합격증보고서</t>
        </is>
      </c>
      <c r="M43" s="4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N43" s="75">
        <f>HYPERLINK(LEFT(CELL("filename",A1),FIND("[",CELL("filename",A1))-1)&amp;"6.건축\42_승강기 설치검사\표준서\승강기 설치검사_표준서.html", "👉 [클릭] 표준서 열기 📄")</f>
        <v/>
      </c>
      <c r="O43" s="4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P43" s="76">
        <f>HYPERLINK(LEFT(CELL("filename",A1),FIND("[",CELL("filename",A1))-1)&amp;"6.건축\42_승강기 설치검사\수행지침\승강기 설치검사_수행지침.html", "👉 [클릭] 수행지침 열기 📄")</f>
        <v/>
      </c>
      <c r="Q43" s="4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R43" s="77">
        <f>HYPERLINK(LEFT(CELL("filename",A1),FIND("[",CELL("filename",A1))-1)&amp;"6.건축\42_승강기 설치검사\체크리스트\승강기 설치검사_체크리스트.html", "👉 [클릭] 체크리스트 열기 📄")</f>
        <v/>
      </c>
      <c r="S43" s="22" t="n"/>
      <c r="T43" s="69" t="inlineStr">
        <is>
          <t>● 승강기 안전관리법 제28조</t>
        </is>
      </c>
      <c r="U43" s="69" t="inlineStr">
        <is>
          <t>1) 👉 [더블클릭] 체크리스트 열기 📄</t>
        </is>
      </c>
      <c r="V43" s="43" t="n"/>
    </row>
    <row r="44" ht="115.2" customHeight="1">
      <c r="A44" s="22" t="inlineStr">
        <is>
          <t>9000</t>
        </is>
      </c>
      <c r="B44" s="22" t="inlineStr">
        <is>
          <t>9000-4</t>
        </is>
      </c>
      <c r="C44" s="26" t="inlineStr">
        <is>
          <t>건축</t>
        </is>
      </c>
      <c r="D44" s="22" t="inlineStr">
        <is>
          <t>9000-4-43</t>
        </is>
      </c>
      <c r="H44" s="26" t="inlineStr">
        <is>
          <t>배수설비 설치 신고서 제출</t>
        </is>
      </c>
      <c r="I44" s="22" t="inlineStr">
        <is>
          <t>현장소장</t>
        </is>
      </c>
      <c r="J44" s="43" t="inlineStr">
        <is>
          <t>배수설비 사용 신청</t>
        </is>
      </c>
      <c r="K44" s="44" t="inlineStr">
        <is>
          <t>현장 -&gt; 관할지자체/하수도법 제27조/별지 제7호 서식/제출후 처리기간 7일 이내</t>
        </is>
      </c>
      <c r="L44" s="43" t="inlineStr">
        <is>
          <t>배수설비 사용필증</t>
        </is>
      </c>
      <c r="M44" s="4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N44" s="75">
        <f>HYPERLINK(LEFT(CELL("filename",A1),FIND("[",CELL("filename",A1))-1)&amp;"6.건축\43_배수설비 설치 신고서 제출\표준서\배수설비 설치 신고서 제출_표준서.html", "👉 [클릭] 표준서 열기 📄")</f>
        <v/>
      </c>
      <c r="O44" s="4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P44" s="76">
        <f>HYPERLINK(LEFT(CELL("filename",A1),FIND("[",CELL("filename",A1))-1)&amp;"6.건축\43_배수설비 설치 신고서 제출\수행지침\배수설비 설치 신고서 제출_수행지침.html", "👉 [클릭] 수행지침 열기 📄")</f>
        <v/>
      </c>
      <c r="Q44" s="4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R44" s="77">
        <f>HYPERLINK(LEFT(CELL("filename",A1),FIND("[",CELL("filename",A1))-1)&amp;"6.건축\43_배수설비 설치 신고서 제출\체크리스트\배수설비 설치 신고서 제출_체크리스트.html", "👉 [클릭] 체크리스트 열기 📄")</f>
        <v/>
      </c>
      <c r="S44" s="22" t="n"/>
      <c r="T44" s="69" t="inlineStr">
        <is>
          <t>● 하수도법 제27조</t>
        </is>
      </c>
      <c r="U44" s="69" t="inlineStr">
        <is>
          <t>1) 👉 [더블클릭] 체크리스트 열기 📄</t>
        </is>
      </c>
      <c r="V44" s="43" t="n"/>
    </row>
    <row r="45" ht="96" customHeight="1">
      <c r="A45" s="22" t="inlineStr">
        <is>
          <t>9000</t>
        </is>
      </c>
      <c r="B45" s="22" t="inlineStr">
        <is>
          <t>9000-4</t>
        </is>
      </c>
      <c r="C45" s="26" t="inlineStr">
        <is>
          <t>건축</t>
        </is>
      </c>
      <c r="D45" s="22" t="inlineStr">
        <is>
          <t>9000-4-44</t>
        </is>
      </c>
      <c r="H45" s="26" t="inlineStr">
        <is>
          <t>정보통신공사 사용전검사</t>
        </is>
      </c>
      <c r="I45" s="22" t="inlineStr">
        <is>
          <t>현장소장</t>
        </is>
      </c>
      <c r="J45" s="43" t="inlineStr">
        <is>
          <t>정보통신 설치 사용전 검사신청</t>
        </is>
      </c>
      <c r="K45" s="44" t="inlineStr">
        <is>
          <t>현장 -&gt; 관할지자체, 정보통신공사업 시행령 제36조
- 서식: 해당 법 별지 제9호 서식
- 제출후 처리기간 14일 이내</t>
        </is>
      </c>
      <c r="L45" s="43" t="inlineStr">
        <is>
          <t>정보통신사용전 검사필증</t>
        </is>
      </c>
      <c r="M45" s="4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N45" s="75">
        <f>HYPERLINK(LEFT(CELL("filename",A1),FIND("[",CELL("filename",A1))-1)&amp;"6.건축\44_정보통신공사 사용전검사\표준서\정보통신공사 사용전검사_표준서.html", "👉 [클릭] 표준서 열기 📄")</f>
        <v/>
      </c>
      <c r="O45" s="4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P45" s="76">
        <f>HYPERLINK(LEFT(CELL("filename",A1),FIND("[",CELL("filename",A1))-1)&amp;"6.건축\44_정보통신공사 사용전검사\수행지침\정보통신공사 사용전검사_수행지침.html", "👉 [클릭] 수행지침 열기 📄")</f>
        <v/>
      </c>
      <c r="Q45" s="4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R45" s="77">
        <f>HYPERLINK(LEFT(CELL("filename",A1),FIND("[",CELL("filename",A1))-1)&amp;"6.건축\44_정보통신공사 사용전검사\체크리스트\정보통신공사 사용전검사_체크리스트.html", "👉 [클릭] 체크리스트 열기 📄")</f>
        <v/>
      </c>
      <c r="S45" s="22" t="n"/>
      <c r="T45" s="69" t="inlineStr">
        <is>
          <t>● 정보통신공사업 시행령 제36조</t>
        </is>
      </c>
      <c r="U45" s="69" t="inlineStr">
        <is>
          <t>1) 👉 [더블클릭] 체크리스트 열기 📄</t>
        </is>
      </c>
      <c r="V45" s="43" t="n"/>
    </row>
    <row r="46" ht="115.2" customHeight="1">
      <c r="A46" s="22" t="inlineStr">
        <is>
          <t>9000</t>
        </is>
      </c>
      <c r="B46" s="22" t="inlineStr">
        <is>
          <t>9000-4</t>
        </is>
      </c>
      <c r="C46" s="26" t="inlineStr">
        <is>
          <t>건축</t>
        </is>
      </c>
      <c r="D46" s="22" t="inlineStr">
        <is>
          <t>9000-4-45</t>
        </is>
      </c>
      <c r="H46" s="26" t="inlineStr">
        <is>
          <t>오수처리시설 / 정화조 준공검사</t>
        </is>
      </c>
      <c r="I46" s="22" t="inlineStr">
        <is>
          <t>현장소장</t>
        </is>
      </c>
      <c r="J46" s="43" t="inlineStr">
        <is>
          <t>정화조 사용 신청</t>
        </is>
      </c>
      <c r="K46" s="44" t="inlineStr">
        <is>
          <t>현장 -&gt; 관할지자체, 하수도법 제37조
- 서식: 해당 법 별지 제15호 서식
- 제출후 처리기간 5일 이내</t>
        </is>
      </c>
      <c r="L46" s="43" t="inlineStr">
        <is>
          <t>오수처리시설 / 정화조 준공필증</t>
        </is>
      </c>
      <c r="M46" s="4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N46" s="75">
        <f>HYPERLINK(LEFT(CELL("filename",A1),FIND("[",CELL("filename",A1))-1)&amp;"6.건축\45_오수처리시설 _ 정화조 준공검사\표준서\오수처리시설 _ 정화조 준공검사_표준서.html", "👉 [클릭] 표준서 열기 📄")</f>
        <v/>
      </c>
      <c r="O46" s="4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P46" s="76">
        <f>HYPERLINK(LEFT(CELL("filename",A1),FIND("[",CELL("filename",A1))-1)&amp;"6.건축\45_오수처리시설 _ 정화조 준공검사\수행지침\오수처리시설 _ 정화조 준공검사_수행지침.html", "👉 [클릭] 수행지침 열기 📄")</f>
        <v/>
      </c>
      <c r="Q46" s="4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R46" s="77">
        <f>HYPERLINK(LEFT(CELL("filename",A1),FIND("[",CELL("filename",A1))-1)&amp;"6.건축\45_오수처리시설 _ 정화조 준공검사\체크리스트\오수처리시설 _ 정화조 준공검사_체크리스트.html", "👉 [클릭] 체크리스트 열기 📄")</f>
        <v/>
      </c>
      <c r="S46" s="22" t="n"/>
      <c r="T46" s="69" t="inlineStr">
        <is>
          <t>● 하수도법 제37조</t>
        </is>
      </c>
      <c r="U46" s="69" t="inlineStr">
        <is>
          <t>1) 👉 [더블클릭] 체크리스트 열기 📄</t>
        </is>
      </c>
      <c r="V46" s="43" t="n"/>
    </row>
    <row r="47" ht="115.2" customHeight="1">
      <c r="A47" s="22" t="inlineStr">
        <is>
          <t>9000</t>
        </is>
      </c>
      <c r="B47" s="22" t="inlineStr">
        <is>
          <t>9000-4</t>
        </is>
      </c>
      <c r="C47" s="26" t="inlineStr">
        <is>
          <t>건축</t>
        </is>
      </c>
      <c r="D47" s="22" t="inlineStr">
        <is>
          <t>9000-4-46</t>
        </is>
      </c>
      <c r="H47" s="26" t="inlineStr">
        <is>
          <t>급수공사 신청서 제출</t>
        </is>
      </c>
      <c r="I47" s="22" t="inlineStr">
        <is>
          <t>현장소장</t>
        </is>
      </c>
      <c r="J47" s="43" t="inlineStr">
        <is>
          <t>급수 사용 신청</t>
        </is>
      </c>
      <c r="K47" s="44" t="inlineStr">
        <is>
          <t>현장 -&gt; 관할지자체, 수도 조례 시행규칙
- 서식: 해당 법 별지 제1호 서식</t>
        </is>
      </c>
      <c r="L47" s="43" t="inlineStr">
        <is>
          <t>급수 사용허가 문서</t>
        </is>
      </c>
      <c r="M47" s="4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N47" s="75">
        <f>HYPERLINK(LEFT(CELL("filename",A1),FIND("[",CELL("filename",A1))-1)&amp;"6.건축\46_급수공사 신청서 제출\표준서\급수공사 신청서 제출_표준서.html", "👉 [클릭] 표준서 열기 📄")</f>
        <v/>
      </c>
      <c r="O47" s="4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P47" s="76">
        <f>HYPERLINK(LEFT(CELL("filename",A1),FIND("[",CELL("filename",A1))-1)&amp;"6.건축\46_급수공사 신청서 제출\수행지침\급수공사 신청서 제출_수행지침.html", "👉 [클릭] 수행지침 열기 📄")</f>
        <v/>
      </c>
      <c r="Q47" s="4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R47" s="77">
        <f>HYPERLINK(LEFT(CELL("filename",A1),FIND("[",CELL("filename",A1))-1)&amp;"6.건축\46_급수공사 신청서 제출\체크리스트\급수공사 신청서 제출_체크리스트.html", "👉 [클릭] 체크리스트 열기 📄")</f>
        <v/>
      </c>
      <c r="S47" s="22" t="n"/>
      <c r="T47" s="69" t="inlineStr">
        <is>
          <t>● 수도 조례 시행규칙</t>
        </is>
      </c>
      <c r="U47" s="69" t="inlineStr">
        <is>
          <t>1) 👉 [더블클릭] 체크리스트 열기 📄</t>
        </is>
      </c>
      <c r="V47" s="43" t="n"/>
    </row>
    <row r="48" ht="115.2" customHeight="1">
      <c r="A48" s="22" t="inlineStr">
        <is>
          <t>9000</t>
        </is>
      </c>
      <c r="B48" s="22" t="inlineStr">
        <is>
          <t>9000-4</t>
        </is>
      </c>
      <c r="C48" s="26" t="inlineStr">
        <is>
          <t>건축</t>
        </is>
      </c>
      <c r="D48" s="22" t="inlineStr">
        <is>
          <t>9000-4-47</t>
        </is>
      </c>
      <c r="H48" s="26" t="inlineStr">
        <is>
          <t>업무대행 건축사 사용승인 검사</t>
        </is>
      </c>
      <c r="I48" s="22" t="inlineStr">
        <is>
          <t>건축사</t>
        </is>
      </c>
      <c r="J48" s="43" t="inlineStr">
        <is>
          <t>업무대행 건축사 확인후 사용승인</t>
        </is>
      </c>
      <c r="K48" s="44" t="inlineStr">
        <is>
          <t>현장 -&gt; 관할지자체, 건축법시행령 제20조(현장조사검사 및 확인 업무대행)
- 서식: 해당 법 별지 제17호 서식</t>
        </is>
      </c>
      <c r="L48" s="43" t="inlineStr">
        <is>
          <t>건축물 사용승인 알림 [공문]</t>
        </is>
      </c>
      <c r="M48" s="4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N48" s="75">
        <f>HYPERLINK(LEFT(CELL("filename",A1),FIND("[",CELL("filename",A1))-1)&amp;"6.건축\47_업무대행 건축사 사용승인 검사\표준서\업무대행 건축사 사용승인 검사_표준서.html", "👉 [클릭] 표준서 열기 📄")</f>
        <v/>
      </c>
      <c r="O48" s="4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P48" s="76">
        <f>HYPERLINK(LEFT(CELL("filename",A1),FIND("[",CELL("filename",A1))-1)&amp;"6.건축\47_업무대행 건축사 사용승인 검사\수행지침\업무대행 건축사 사용승인 검사_수행지침.html", "👉 [클릭] 수행지침 열기 📄")</f>
        <v/>
      </c>
      <c r="Q48" s="4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R48" s="77">
        <f>HYPERLINK(LEFT(CELL("filename",A1),FIND("[",CELL("filename",A1))-1)&amp;"6.건축\47_업무대행 건축사 사용승인 검사\체크리스트\업무대행 건축사 사용승인 검사_체크리스트.html", "👉 [클릭] 체크리스트 열기 📄")</f>
        <v/>
      </c>
      <c r="S48" s="22" t="n"/>
      <c r="T48" s="69" t="inlineStr">
        <is>
          <t>● 건축법시행령 제20조</t>
        </is>
      </c>
      <c r="U48" s="69" t="inlineStr">
        <is>
          <t>1) 👉 [더블클릭] 체크리스트 열기 📄</t>
        </is>
      </c>
      <c r="V48" s="43" t="n"/>
    </row>
    <row r="49" ht="115.2" customHeight="1">
      <c r="A49" s="22" t="inlineStr">
        <is>
          <t>9000</t>
        </is>
      </c>
      <c r="B49" s="22" t="inlineStr">
        <is>
          <t>9000-4</t>
        </is>
      </c>
      <c r="C49" s="26" t="inlineStr">
        <is>
          <t>건축</t>
        </is>
      </c>
      <c r="D49" s="22" t="inlineStr">
        <is>
          <t>9000-4-48</t>
        </is>
      </c>
      <c r="H49" s="26" t="inlineStr">
        <is>
          <t>건축물 사용승인 신청</t>
        </is>
      </c>
      <c r="I49" s="22" t="inlineStr">
        <is>
          <t>현장소장</t>
        </is>
      </c>
      <c r="J49" s="43" t="inlineStr">
        <is>
          <t>건축물 사용승인 신청</t>
        </is>
      </c>
      <c r="K49" s="44" t="inlineStr">
        <is>
          <t>현장 -&gt; 관할지자체, 건축법 제22조(건축물의 사용승인)
- 서식: 해당 법 별지 제17호 서식
- 제출후 처리기간 7일 이내</t>
        </is>
      </c>
      <c r="L49" s="43" t="inlineStr">
        <is>
          <t>건축물 사용승인 알림 [공문]</t>
        </is>
      </c>
      <c r="M49" s="4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N49" s="75">
        <f>HYPERLINK(LEFT(CELL("filename",A1),FIND("[",CELL("filename",A1))-1)&amp;"6.건축\48_건축물 사용승인 신청\표준서\건축물 사용승인 신청_표준서.html", "👉 [클릭] 표준서 열기 📄")</f>
        <v/>
      </c>
      <c r="O49" s="4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P49" s="76">
        <f>HYPERLINK(LEFT(CELL("filename",A1),FIND("[",CELL("filename",A1))-1)&amp;"6.건축\48_건축물 사용승인 신청\수행지침\건축물 사용승인 신청_수행지침.html", "👉 [클릭] 수행지침 열기 📄")</f>
        <v/>
      </c>
      <c r="Q49" s="4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R49" s="77">
        <f>HYPERLINK(LEFT(CELL("filename",A1),FIND("[",CELL("filename",A1))-1)&amp;"6.건축\48_건축물 사용승인 신청\체크리스트\건축물 사용승인 신청_체크리스트.html", "👉 [클릭] 체크리스트 열기 📄")</f>
        <v/>
      </c>
      <c r="S49" s="22" t="n"/>
      <c r="T49" s="69" t="inlineStr">
        <is>
          <t>● 건축법 제22조</t>
        </is>
      </c>
      <c r="U49" s="69" t="inlineStr">
        <is>
          <t>1) 👉 [더블클릭] 체크리스트 열기 📄</t>
        </is>
      </c>
      <c r="V49" s="43" t="n"/>
    </row>
    <row r="50" ht="115.2" customHeight="1">
      <c r="A50" s="22" t="inlineStr">
        <is>
          <t>9000</t>
        </is>
      </c>
      <c r="B50" s="22" t="inlineStr">
        <is>
          <t>9000-4</t>
        </is>
      </c>
      <c r="C50" s="26" t="inlineStr">
        <is>
          <t>건축</t>
        </is>
      </c>
      <c r="D50" s="22" t="inlineStr">
        <is>
          <t>9000-4-49</t>
        </is>
      </c>
      <c r="H50" s="26" t="inlineStr">
        <is>
          <t>건축물대장 등재</t>
        </is>
      </c>
      <c r="I50" s="22" t="inlineStr">
        <is>
          <t>현장 및 지자체</t>
        </is>
      </c>
      <c r="J50" s="43" t="inlineStr">
        <is>
          <t>건축물대장 등재</t>
        </is>
      </c>
      <c r="K50" s="44" t="inlineStr">
        <is>
          <t>현장 -&gt; 관할지자체 -&gt; 관할지자체, 건축물대장의 기재 12조, 처리기간 7일 이내</t>
        </is>
      </c>
      <c r="L50" s="43" t="inlineStr">
        <is>
          <t>건축물 대장 등재 확인</t>
        </is>
      </c>
      <c r="M50" s="4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N50" s="75">
        <f>HYPERLINK(LEFT(CELL("filename",A1),FIND("[",CELL("filename",A1))-1)&amp;"6.건축\49_건축물대장 등재\표준서\건축물대장 등재_표준서.html", "👉 [클릭] 표준서 열기 📄")</f>
        <v/>
      </c>
      <c r="O50" s="4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P50" s="76">
        <f>HYPERLINK(LEFT(CELL("filename",A1),FIND("[",CELL("filename",A1))-1)&amp;"6.건축\49_건축물대장 등재\수행지침\건축물대장 등재_수행지침.html", "👉 [클릭] 수행지침 열기 📄")</f>
        <v/>
      </c>
      <c r="Q50" s="4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R50" s="77">
        <f>HYPERLINK(LEFT(CELL("filename",A1),FIND("[",CELL("filename",A1))-1)&amp;"6.건축\49_건축물대장 등재\체크리스트\건축물대장 등재_체크리스트.html", "👉 [클릭] 체크리스트 열기 📄")</f>
        <v/>
      </c>
      <c r="S50" s="22" t="n"/>
      <c r="T50" s="69" t="inlineStr">
        <is>
          <t>● 건축물대장의 기재 및 관리 등에 관한 규칙 제12조</t>
        </is>
      </c>
      <c r="U50" s="69" t="inlineStr">
        <is>
          <t>1) 👉 [더블클릭] 체크리스트 열기 📄</t>
        </is>
      </c>
      <c r="V50" s="43" t="n"/>
    </row>
    <row r="51" ht="134.4" customHeight="1">
      <c r="A51" s="22" t="inlineStr">
        <is>
          <t>9000</t>
        </is>
      </c>
      <c r="B51" s="22" t="inlineStr">
        <is>
          <t>9000-4</t>
        </is>
      </c>
      <c r="C51" s="26" t="inlineStr">
        <is>
          <t>건축</t>
        </is>
      </c>
      <c r="D51" s="22" t="inlineStr">
        <is>
          <t>9000-4-50</t>
        </is>
      </c>
      <c r="H51" s="26" t="inlineStr">
        <is>
          <t>후속 구조물 인계</t>
        </is>
      </c>
      <c r="I51" s="22" t="inlineStr">
        <is>
          <t>현장소장</t>
        </is>
      </c>
      <c r="J51" s="43" t="inlineStr">
        <is>
          <t>유지관리기관에 인계</t>
        </is>
      </c>
      <c r="K51" s="44"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L51" s="43" t="inlineStr">
        <is>
          <t>유지관리기관 인수인계서, 건축 인허가 서류, 준공도서</t>
        </is>
      </c>
      <c r="M51" s="4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N51" s="75">
        <f>HYPERLINK(LEFT(CELL("filename",A1),FIND("[",CELL("filename",A1))-1)&amp;"6.건축\50_후속 구조물 인계\표준서\후속 구조물 인계_표준서.html", "👉 [클릭] 표준서 열기 📄")</f>
        <v/>
      </c>
      <c r="O51" s="4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P51" s="76">
        <f>HYPERLINK(LEFT(CELL("filename",A1),FIND("[",CELL("filename",A1))-1)&amp;"6.건축\50_후속 구조물 인계\수행지침\후속 구조물 인계_수행지침.html", "👉 [클릭] 수행지침 열기 📄")</f>
        <v/>
      </c>
      <c r="Q51" s="4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R51" s="77">
        <f>HYPERLINK(LEFT(CELL("filename",A1),FIND("[",CELL("filename",A1))-1)&amp;"6.건축\50_후속 구조물 인계\체크리스트\후속 구조물 인계_체크리스트.html", "👉 [클릭] 체크리스트 열기 📄")</f>
        <v/>
      </c>
      <c r="S51" s="22" t="n"/>
      <c r="T51" s="69" t="inlineStr">
        <is>
          <t>● 인수인계 및 시설물 유지관리 기준 준수</t>
        </is>
      </c>
      <c r="U51" s="69" t="inlineStr">
        <is>
          <t>1) 👉 [더블클릭] 체크리스트 열기 📄</t>
        </is>
      </c>
      <c r="V51" s="43" t="n"/>
    </row>
  </sheetData>
  <hyperlinks>
    <hyperlink xmlns:r="http://schemas.openxmlformats.org/officeDocument/2006/relationships" ref="T2" r:id="rId1"/>
    <hyperlink xmlns:r="http://schemas.openxmlformats.org/officeDocument/2006/relationships" ref="U2" r:id="rId2"/>
    <hyperlink xmlns:r="http://schemas.openxmlformats.org/officeDocument/2006/relationships" ref="T3" r:id="rId3"/>
    <hyperlink xmlns:r="http://schemas.openxmlformats.org/officeDocument/2006/relationships" ref="U3" r:id="rId4"/>
    <hyperlink xmlns:r="http://schemas.openxmlformats.org/officeDocument/2006/relationships" ref="T4" r:id="rId5"/>
    <hyperlink xmlns:r="http://schemas.openxmlformats.org/officeDocument/2006/relationships" ref="U4" r:id="rId6"/>
    <hyperlink xmlns:r="http://schemas.openxmlformats.org/officeDocument/2006/relationships" ref="T5" r:id="rId7"/>
    <hyperlink xmlns:r="http://schemas.openxmlformats.org/officeDocument/2006/relationships" ref="U5" r:id="rId8"/>
    <hyperlink xmlns:r="http://schemas.openxmlformats.org/officeDocument/2006/relationships" ref="T6" r:id="rId9"/>
    <hyperlink xmlns:r="http://schemas.openxmlformats.org/officeDocument/2006/relationships" ref="U6" r:id="rId10"/>
    <hyperlink xmlns:r="http://schemas.openxmlformats.org/officeDocument/2006/relationships" ref="T7" r:id="rId11"/>
    <hyperlink xmlns:r="http://schemas.openxmlformats.org/officeDocument/2006/relationships" ref="U7" r:id="rId12"/>
    <hyperlink xmlns:r="http://schemas.openxmlformats.org/officeDocument/2006/relationships" ref="T8" r:id="rId13"/>
    <hyperlink xmlns:r="http://schemas.openxmlformats.org/officeDocument/2006/relationships" ref="U8" r:id="rId14"/>
    <hyperlink xmlns:r="http://schemas.openxmlformats.org/officeDocument/2006/relationships" ref="T9" r:id="rId15"/>
    <hyperlink xmlns:r="http://schemas.openxmlformats.org/officeDocument/2006/relationships" ref="U9" r:id="rId16"/>
    <hyperlink xmlns:r="http://schemas.openxmlformats.org/officeDocument/2006/relationships" ref="T10" r:id="rId17"/>
    <hyperlink xmlns:r="http://schemas.openxmlformats.org/officeDocument/2006/relationships" ref="U10" r:id="rId18"/>
    <hyperlink xmlns:r="http://schemas.openxmlformats.org/officeDocument/2006/relationships" ref="T11" r:id="rId19"/>
    <hyperlink xmlns:r="http://schemas.openxmlformats.org/officeDocument/2006/relationships" ref="U11" r:id="rId20"/>
    <hyperlink xmlns:r="http://schemas.openxmlformats.org/officeDocument/2006/relationships" ref="T12" r:id="rId21"/>
    <hyperlink xmlns:r="http://schemas.openxmlformats.org/officeDocument/2006/relationships" ref="U12" r:id="rId22"/>
    <hyperlink xmlns:r="http://schemas.openxmlformats.org/officeDocument/2006/relationships" ref="T13" r:id="rId23"/>
    <hyperlink xmlns:r="http://schemas.openxmlformats.org/officeDocument/2006/relationships" ref="U13" r:id="rId24"/>
    <hyperlink xmlns:r="http://schemas.openxmlformats.org/officeDocument/2006/relationships" ref="T14" r:id="rId25"/>
    <hyperlink xmlns:r="http://schemas.openxmlformats.org/officeDocument/2006/relationships" ref="U14" r:id="rId26"/>
    <hyperlink xmlns:r="http://schemas.openxmlformats.org/officeDocument/2006/relationships" ref="T15" r:id="rId27"/>
    <hyperlink xmlns:r="http://schemas.openxmlformats.org/officeDocument/2006/relationships" ref="U15" r:id="rId28"/>
    <hyperlink xmlns:r="http://schemas.openxmlformats.org/officeDocument/2006/relationships" ref="T16" r:id="rId29"/>
    <hyperlink xmlns:r="http://schemas.openxmlformats.org/officeDocument/2006/relationships" ref="U16" r:id="rId30"/>
    <hyperlink xmlns:r="http://schemas.openxmlformats.org/officeDocument/2006/relationships" ref="T17" r:id="rId31"/>
    <hyperlink xmlns:r="http://schemas.openxmlformats.org/officeDocument/2006/relationships" ref="U17" r:id="rId32"/>
    <hyperlink xmlns:r="http://schemas.openxmlformats.org/officeDocument/2006/relationships" ref="T18" r:id="rId33"/>
    <hyperlink xmlns:r="http://schemas.openxmlformats.org/officeDocument/2006/relationships" ref="U18" r:id="rId34"/>
    <hyperlink xmlns:r="http://schemas.openxmlformats.org/officeDocument/2006/relationships" ref="T19" r:id="rId35"/>
    <hyperlink xmlns:r="http://schemas.openxmlformats.org/officeDocument/2006/relationships" ref="U19" r:id="rId36"/>
    <hyperlink xmlns:r="http://schemas.openxmlformats.org/officeDocument/2006/relationships" ref="T20" r:id="rId37"/>
    <hyperlink xmlns:r="http://schemas.openxmlformats.org/officeDocument/2006/relationships" ref="U20" r:id="rId38"/>
    <hyperlink xmlns:r="http://schemas.openxmlformats.org/officeDocument/2006/relationships" ref="T21" r:id="rId39"/>
    <hyperlink xmlns:r="http://schemas.openxmlformats.org/officeDocument/2006/relationships" ref="U21" r:id="rId40"/>
    <hyperlink xmlns:r="http://schemas.openxmlformats.org/officeDocument/2006/relationships" ref="T22" r:id="rId41"/>
    <hyperlink xmlns:r="http://schemas.openxmlformats.org/officeDocument/2006/relationships" ref="U22" r:id="rId42"/>
    <hyperlink xmlns:r="http://schemas.openxmlformats.org/officeDocument/2006/relationships" ref="T23" r:id="rId43"/>
    <hyperlink xmlns:r="http://schemas.openxmlformats.org/officeDocument/2006/relationships" ref="U23" r:id="rId44"/>
    <hyperlink xmlns:r="http://schemas.openxmlformats.org/officeDocument/2006/relationships" ref="T24" r:id="rId45"/>
    <hyperlink xmlns:r="http://schemas.openxmlformats.org/officeDocument/2006/relationships" ref="U24" r:id="rId46"/>
    <hyperlink xmlns:r="http://schemas.openxmlformats.org/officeDocument/2006/relationships" ref="T25" r:id="rId47"/>
    <hyperlink xmlns:r="http://schemas.openxmlformats.org/officeDocument/2006/relationships" ref="U25" r:id="rId48"/>
    <hyperlink xmlns:r="http://schemas.openxmlformats.org/officeDocument/2006/relationships" ref="T26" r:id="rId49"/>
    <hyperlink xmlns:r="http://schemas.openxmlformats.org/officeDocument/2006/relationships" ref="U26" r:id="rId50"/>
    <hyperlink xmlns:r="http://schemas.openxmlformats.org/officeDocument/2006/relationships" ref="T27" r:id="rId51"/>
    <hyperlink xmlns:r="http://schemas.openxmlformats.org/officeDocument/2006/relationships" ref="U27" r:id="rId52"/>
    <hyperlink xmlns:r="http://schemas.openxmlformats.org/officeDocument/2006/relationships" ref="T28" r:id="rId53"/>
    <hyperlink xmlns:r="http://schemas.openxmlformats.org/officeDocument/2006/relationships" ref="U28" r:id="rId54"/>
    <hyperlink xmlns:r="http://schemas.openxmlformats.org/officeDocument/2006/relationships" ref="T29" r:id="rId55"/>
    <hyperlink xmlns:r="http://schemas.openxmlformats.org/officeDocument/2006/relationships" ref="U29" r:id="rId56"/>
    <hyperlink xmlns:r="http://schemas.openxmlformats.org/officeDocument/2006/relationships" ref="T30" r:id="rId57"/>
    <hyperlink xmlns:r="http://schemas.openxmlformats.org/officeDocument/2006/relationships" ref="U30" r:id="rId58"/>
    <hyperlink xmlns:r="http://schemas.openxmlformats.org/officeDocument/2006/relationships" ref="T31" r:id="rId59"/>
    <hyperlink xmlns:r="http://schemas.openxmlformats.org/officeDocument/2006/relationships" ref="U31" r:id="rId60"/>
    <hyperlink xmlns:r="http://schemas.openxmlformats.org/officeDocument/2006/relationships" ref="T32" r:id="rId61"/>
    <hyperlink xmlns:r="http://schemas.openxmlformats.org/officeDocument/2006/relationships" ref="U32" r:id="rId62"/>
    <hyperlink xmlns:r="http://schemas.openxmlformats.org/officeDocument/2006/relationships" ref="T33" r:id="rId63"/>
    <hyperlink xmlns:r="http://schemas.openxmlformats.org/officeDocument/2006/relationships" ref="U33" r:id="rId64"/>
    <hyperlink xmlns:r="http://schemas.openxmlformats.org/officeDocument/2006/relationships" ref="T34" r:id="rId65"/>
    <hyperlink xmlns:r="http://schemas.openxmlformats.org/officeDocument/2006/relationships" ref="U34" r:id="rId66"/>
    <hyperlink xmlns:r="http://schemas.openxmlformats.org/officeDocument/2006/relationships" ref="T35" r:id="rId67"/>
    <hyperlink xmlns:r="http://schemas.openxmlformats.org/officeDocument/2006/relationships" ref="U35" r:id="rId68"/>
    <hyperlink xmlns:r="http://schemas.openxmlformats.org/officeDocument/2006/relationships" ref="T36" r:id="rId69"/>
    <hyperlink xmlns:r="http://schemas.openxmlformats.org/officeDocument/2006/relationships" ref="U36" r:id="rId70"/>
    <hyperlink xmlns:r="http://schemas.openxmlformats.org/officeDocument/2006/relationships" ref="T37" r:id="rId71"/>
    <hyperlink xmlns:r="http://schemas.openxmlformats.org/officeDocument/2006/relationships" ref="U37" r:id="rId72"/>
    <hyperlink xmlns:r="http://schemas.openxmlformats.org/officeDocument/2006/relationships" ref="T38" r:id="rId73"/>
    <hyperlink xmlns:r="http://schemas.openxmlformats.org/officeDocument/2006/relationships" ref="U38" r:id="rId74"/>
    <hyperlink xmlns:r="http://schemas.openxmlformats.org/officeDocument/2006/relationships" ref="T39" r:id="rId75"/>
    <hyperlink xmlns:r="http://schemas.openxmlformats.org/officeDocument/2006/relationships" ref="U39" r:id="rId76"/>
    <hyperlink xmlns:r="http://schemas.openxmlformats.org/officeDocument/2006/relationships" ref="T40" r:id="rId77"/>
    <hyperlink xmlns:r="http://schemas.openxmlformats.org/officeDocument/2006/relationships" ref="U40" r:id="rId78"/>
    <hyperlink xmlns:r="http://schemas.openxmlformats.org/officeDocument/2006/relationships" ref="T41" r:id="rId79"/>
    <hyperlink xmlns:r="http://schemas.openxmlformats.org/officeDocument/2006/relationships" ref="U41" r:id="rId80"/>
    <hyperlink xmlns:r="http://schemas.openxmlformats.org/officeDocument/2006/relationships" ref="T42" r:id="rId81"/>
    <hyperlink xmlns:r="http://schemas.openxmlformats.org/officeDocument/2006/relationships" ref="U42" r:id="rId82"/>
    <hyperlink xmlns:r="http://schemas.openxmlformats.org/officeDocument/2006/relationships" ref="T43" r:id="rId83"/>
    <hyperlink xmlns:r="http://schemas.openxmlformats.org/officeDocument/2006/relationships" ref="U43" r:id="rId84"/>
    <hyperlink xmlns:r="http://schemas.openxmlformats.org/officeDocument/2006/relationships" ref="T44" r:id="rId85"/>
    <hyperlink xmlns:r="http://schemas.openxmlformats.org/officeDocument/2006/relationships" ref="U44" r:id="rId86"/>
    <hyperlink xmlns:r="http://schemas.openxmlformats.org/officeDocument/2006/relationships" ref="T45" r:id="rId87"/>
    <hyperlink xmlns:r="http://schemas.openxmlformats.org/officeDocument/2006/relationships" ref="U45" r:id="rId88"/>
    <hyperlink xmlns:r="http://schemas.openxmlformats.org/officeDocument/2006/relationships" ref="T46" r:id="rId89"/>
    <hyperlink xmlns:r="http://schemas.openxmlformats.org/officeDocument/2006/relationships" ref="U46" r:id="rId90"/>
    <hyperlink xmlns:r="http://schemas.openxmlformats.org/officeDocument/2006/relationships" ref="T47" r:id="rId91"/>
    <hyperlink xmlns:r="http://schemas.openxmlformats.org/officeDocument/2006/relationships" ref="U47" r:id="rId92"/>
    <hyperlink xmlns:r="http://schemas.openxmlformats.org/officeDocument/2006/relationships" ref="T48" r:id="rId93"/>
    <hyperlink xmlns:r="http://schemas.openxmlformats.org/officeDocument/2006/relationships" ref="U48" r:id="rId94"/>
    <hyperlink xmlns:r="http://schemas.openxmlformats.org/officeDocument/2006/relationships" ref="T49" r:id="rId95"/>
    <hyperlink xmlns:r="http://schemas.openxmlformats.org/officeDocument/2006/relationships" ref="U49" r:id="rId96"/>
    <hyperlink xmlns:r="http://schemas.openxmlformats.org/officeDocument/2006/relationships" ref="T50" r:id="rId97"/>
    <hyperlink xmlns:r="http://schemas.openxmlformats.org/officeDocument/2006/relationships" ref="U50" r:id="rId98"/>
    <hyperlink xmlns:r="http://schemas.openxmlformats.org/officeDocument/2006/relationships" ref="T51" r:id="rId99"/>
    <hyperlink xmlns:r="http://schemas.openxmlformats.org/officeDocument/2006/relationships" ref="U51" r:id="rId10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9" min="0" max="1048575" man="1"/>
  </colBreaks>
</worksheet>
</file>

<file path=xl/worksheets/sheet7.xml><?xml version="1.0" encoding="utf-8"?>
<worksheet xmlns="http://schemas.openxmlformats.org/spreadsheetml/2006/main">
  <sheetPr codeName="Sheet7">
    <tabColor rgb="FFFFFF00"/>
    <outlinePr summaryBelow="1" summaryRight="1"/>
    <pageSetUpPr/>
  </sheetPr>
  <dimension ref="A1:V39"/>
  <sheetViews>
    <sheetView view="pageBreakPreview" zoomScale="25" zoomScaleNormal="70" zoomScaleSheetLayoutView="25" workbookViewId="0">
      <pane xSplit="2" ySplit="1" topLeftCell="K5" activePane="bottomRight" state="frozen"/>
      <selection pane="topRight" activeCell="C1" sqref="C1"/>
      <selection pane="bottomLeft" activeCell="A2" sqref="A2"/>
      <selection pane="bottomRight" activeCell="Q6" sqref="Q6"/>
    </sheetView>
  </sheetViews>
  <sheetFormatPr baseColWidth="8" defaultRowHeight="17.4"/>
  <cols>
    <col width="8.796875" customWidth="1" style="1" min="1" max="3"/>
    <col width="16" customWidth="1" style="2" min="4" max="4"/>
    <col width="8.796875" customWidth="1" style="1" min="5" max="5"/>
    <col width="16" customWidth="1" style="2" min="6" max="7"/>
    <col width="23" customWidth="1" style="2" min="8" max="8"/>
    <col width="20.19921875" customWidth="1" style="2" min="9" max="9"/>
    <col width="38.3984375" customWidth="1" style="2" min="10" max="10"/>
    <col width="69" customWidth="1" style="32" min="11" max="11"/>
    <col width="21.3984375" customWidth="1" style="2" min="12" max="12"/>
    <col width="48.8984375" customWidth="1" style="32" min="13" max="13"/>
    <col width="14.19921875" customWidth="1" style="1" min="14" max="14"/>
    <col width="55.69921875" customWidth="1" style="32" min="15" max="15"/>
    <col width="12.19921875" customWidth="1" style="1" min="16" max="16"/>
    <col width="53.796875" customWidth="1" style="32" min="17" max="17"/>
    <col width="15.09765625" customWidth="1" style="30" min="18" max="18"/>
    <col width="18" customWidth="1" style="1" min="19" max="19"/>
    <col width="45" customWidth="1" style="30" min="20" max="20"/>
    <col width="22" customWidth="1" style="30" min="21" max="21"/>
    <col width="45" customWidth="1" style="1" min="22" max="38"/>
    <col width="8.796875" customWidth="1" style="1" min="39" max="74"/>
    <col width="8.796875" customWidth="1" style="1" min="75" max="16384"/>
  </cols>
  <sheetData>
    <row r="1" ht="31.2" customHeight="1">
      <c r="A1" s="6" t="inlineStr">
        <is>
          <t>L2 코드</t>
        </is>
      </c>
      <c r="B1" s="6" t="inlineStr">
        <is>
          <t>L3 코드</t>
        </is>
      </c>
      <c r="C1" s="6" t="inlineStr">
        <is>
          <t>L3 대공종명</t>
        </is>
      </c>
      <c r="D1" s="6" t="inlineStr">
        <is>
          <t>L4 코드</t>
        </is>
      </c>
      <c r="E1" s="6" t="inlineStr">
        <is>
          <t>선행</t>
        </is>
      </c>
      <c r="F1" s="6" t="inlineStr">
        <is>
          <t>후행</t>
        </is>
      </c>
      <c r="G1" s="6" t="inlineStr">
        <is>
          <t>일정 (D-Day)</t>
        </is>
      </c>
      <c r="H1" s="6" t="inlineStr">
        <is>
          <t>작업단위 (Level 4 Task/Activity)</t>
        </is>
      </c>
      <c r="I1" s="6" t="inlineStr">
        <is>
          <t>주관</t>
        </is>
      </c>
      <c r="J1" s="6" t="inlineStr">
        <is>
          <t>목적</t>
        </is>
      </c>
      <c r="K1" s="31" t="inlineStr">
        <is>
          <t>방법</t>
        </is>
      </c>
      <c r="L1" s="6" t="inlineStr">
        <is>
          <t>산출물(결과)</t>
        </is>
      </c>
      <c r="M1" s="31" t="inlineStr">
        <is>
          <t>표준서 (Standard) 요약</t>
        </is>
      </c>
      <c r="N1" s="7" t="inlineStr">
        <is>
          <t>표준서 파일 (HTML)</t>
        </is>
      </c>
      <c r="O1" s="31" t="inlineStr">
        <is>
          <t>수행지침 (Guideline) 요약</t>
        </is>
      </c>
      <c r="P1" s="7" t="inlineStr">
        <is>
          <t>수행지침 파일 (HTML)</t>
        </is>
      </c>
      <c r="Q1" s="31" t="inlineStr">
        <is>
          <t>체크리스트 (Checklist) 요약</t>
        </is>
      </c>
      <c r="R1" s="10" t="inlineStr">
        <is>
          <t>체크리스트 파일 (HTML)</t>
        </is>
      </c>
      <c r="S1" s="8" t="inlineStr">
        <is>
          <t>비고</t>
        </is>
      </c>
      <c r="T1" s="8" t="inlineStr">
        <is>
          <t>첨부서류 연계 상세 설계기준</t>
        </is>
      </c>
      <c r="U1" s="8" t="inlineStr">
        <is>
          <t>집행단계 리스크 체크리스트</t>
        </is>
      </c>
      <c r="V1" s="8" t="inlineStr">
        <is>
          <t>협력사 시공/공사관리 자문</t>
        </is>
      </c>
    </row>
    <row r="2" ht="180" customHeight="1">
      <c r="A2" s="17" t="inlineStr">
        <is>
          <t>9000</t>
        </is>
      </c>
      <c r="B2" s="17" t="inlineStr">
        <is>
          <t>9000-1</t>
        </is>
      </c>
      <c r="C2" s="28" t="inlineStr">
        <is>
          <t>신호분야</t>
        </is>
      </c>
      <c r="D2" s="17" t="inlineStr">
        <is>
          <t>9000-1-1</t>
        </is>
      </c>
      <c r="E2" s="28" t="n"/>
      <c r="F2" s="17">
        <f>D3</f>
        <v/>
      </c>
      <c r="G2" s="17" t="inlineStr">
        <is>
          <t>D-300~240</t>
        </is>
      </c>
      <c r="H2" s="28" t="inlineStr">
        <is>
          <t>설계적정성 검토</t>
        </is>
      </c>
      <c r="I2" s="17" t="inlineStr">
        <is>
          <t>현장 공무팀</t>
        </is>
      </c>
      <c r="J2" s="28" t="inlineStr">
        <is>
          <t>설계적정성 및 시공성 검토
설계오류 확인 및 수량, 내역의 오류확인</t>
        </is>
      </c>
      <c r="K2" s="3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L2" s="17" t="inlineStr">
        <is>
          <t>회의록, 설계검토보고서</t>
        </is>
      </c>
      <c r="M2" s="38"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N2" s="75">
        <f>HYPERLINK(LEFT(CELL("filename",A1),FIND("[",CELL("filename",A1))-1)&amp;"7.신호분야\1_설계적정성 검토\표준서\설계적정성 검토_표준서.html", "👉 [클릭] 표준서 열기 📄")</f>
        <v/>
      </c>
      <c r="O2" s="38" t="inlineStr">
        <is>
          <t>1) 입찰 요구사항 상의 기술 스펙 및 자재 규격을 시방서와 사전 대조하십시오.
2) 분산형 CBI 및 선로전환기 용량의 현장 시공성 및 원가 Risk를 철저히 검토하여 승인을 획득하십시오.</t>
        </is>
      </c>
      <c r="P2" s="76">
        <f>HYPERLINK(LEFT(CELL("filename",A1),FIND("[",CELL("filename",A1))-1)&amp;"7.신호분야\1_설계적정성 검토\수행지침\LTE-R_무선_AP를_통한_신호_제어_데이터_송수신_레벨_상세절차서.html", "👉 [클릭] 수행지침 열기 📄")</f>
        <v/>
      </c>
      <c r="Q2" s="38" t="inlineStr">
        <is>
          <t>1) 입찰 안내서 상의 SIL 4 등급 및 무선지연(≤100ms) 사양이 설계 도서에 반영되었는가?
2) 철도 표준 자재(KRS) 규격 및 매립 선로전환기 전환력(4.5~6.0kN) 기준을 적격 확인하였는가?</t>
        </is>
      </c>
      <c r="R2" s="81">
        <f>HYPERLINK(LEFT(CELL("filename",A1),FIND("[",CELL("filename",A1))-1)&amp;"7.신호분야\1_설계적정성 검토\체크리스트\설계적정성 검토_체크리스트.html", "👉 [클릭] 체크리스트 열기 📄")</f>
        <v/>
      </c>
      <c r="S2" s="9" t="n"/>
      <c r="T2" s="73" t="inlineStr">
        <is>
          <t>● 관련분야 설계기준서 준수</t>
        </is>
      </c>
      <c r="U2" s="73" t="inlineStr">
        <is>
          <t>1) 👉 [더블클릭] 체크리스트 열기 📄</t>
        </is>
      </c>
      <c r="V2" s="29" t="n"/>
    </row>
    <row r="3" ht="297.6" customHeight="1">
      <c r="A3" s="17" t="inlineStr">
        <is>
          <t>a</t>
        </is>
      </c>
      <c r="B3" s="17" t="inlineStr">
        <is>
          <t>9000-1</t>
        </is>
      </c>
      <c r="C3" s="28" t="inlineStr">
        <is>
          <t>신호분야</t>
        </is>
      </c>
      <c r="D3" s="17" t="inlineStr">
        <is>
          <t>9000-1-2</t>
        </is>
      </c>
      <c r="E3" s="28">
        <f>D2</f>
        <v/>
      </c>
      <c r="F3" s="17">
        <f>D4</f>
        <v/>
      </c>
      <c r="G3" s="17" t="inlineStr">
        <is>
          <t>D-240~D-210</t>
        </is>
      </c>
      <c r="H3" s="28" t="inlineStr">
        <is>
          <t>착수준비 KOM</t>
        </is>
      </c>
      <c r="I3" s="17" t="inlineStr">
        <is>
          <t>현장소장</t>
        </is>
      </c>
      <c r="J3" s="28" t="inlineStr">
        <is>
          <t>신호(트램신호, 도로신호)공사 발주 전 착수수립
신호공사 발주전략 수립
발주조건 CP 사항 검토</t>
        </is>
      </c>
      <c r="K3" s="39"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L3" s="17" t="inlineStr">
        <is>
          <t>본사 외주/수행/협의 부서, 착수 KOM 결과보고서, 현장설명서</t>
        </is>
      </c>
      <c r="M3" s="38"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N3" s="75">
        <f>HYPERLINK(LEFT(CELL("filename",A1),FIND("[",CELL("filename",A1))-1)&amp;"7.신호분야\2_착수준비 KOM\표준서\착수준비 KOM_표준서.html", "👉 [클릭] 표준서 열기 📄")</f>
        <v/>
      </c>
      <c r="O3" s="38"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P3" s="76">
        <f>HYPERLINK(LEFT(CELL("filename",A1),FIND("[",CELL("filename",A1))-1)&amp;"7.신호분야\2_착수준비 KOM\수행지침\LTE-R_무선_AP를_통한_신호_제어_데이터_송수신_레벨_상세절차서.html", "👉 [클릭] 수행지침 열기 📄")</f>
        <v/>
      </c>
      <c r="Q3" s="38" t="inlineStr">
        <is>
          <t>1) 신호공사 발주 조건 CP 사항 및 하자발생 리스크 사전 검토 수칙을 수행하였는가?
2) 적격 업체 Pool 검토 및 내역 누락 방지 조치, SIL 인증 보유 여부를 확인하였는가?</t>
        </is>
      </c>
      <c r="R3" s="81">
        <f>HYPERLINK(LEFT(CELL("filename",A1),FIND("[",CELL("filename",A1))-1)&amp;"7.신호분야\2_착수준비 KOM\체크리스트\착수준비 KOM_체크리스트.html", "👉 [클릭] 체크리스트 열기 📄")</f>
        <v/>
      </c>
      <c r="S3" s="9" t="n"/>
      <c r="T3" s="73" t="inlineStr">
        <is>
          <t>● 관련분야 설계기준서 준수</t>
        </is>
      </c>
      <c r="U3" s="73" t="inlineStr">
        <is>
          <t>1) 👉 [더블클릭] 체크리스트 열기 📄</t>
        </is>
      </c>
      <c r="V3" s="29" t="n"/>
    </row>
    <row r="4" ht="358.2" customHeight="1">
      <c r="A4" s="17" t="inlineStr">
        <is>
          <t>9000</t>
        </is>
      </c>
      <c r="B4" s="17" t="inlineStr">
        <is>
          <t>9000-1</t>
        </is>
      </c>
      <c r="C4" s="28" t="inlineStr">
        <is>
          <t>신호분야</t>
        </is>
      </c>
      <c r="D4" s="17" t="inlineStr">
        <is>
          <t>9000-1-3</t>
        </is>
      </c>
      <c r="E4" s="28">
        <f>D3</f>
        <v/>
      </c>
      <c r="F4" s="17">
        <f>D5</f>
        <v/>
      </c>
      <c r="G4" s="17" t="inlineStr">
        <is>
          <t>D-90</t>
        </is>
      </c>
      <c r="H4" s="28" t="inlineStr">
        <is>
          <t>착수전 Big Room 회의</t>
        </is>
      </c>
      <c r="I4" s="17" t="inlineStr">
        <is>
          <t>현장소장</t>
        </is>
      </c>
      <c r="J4" s="28" t="inlineStr">
        <is>
          <t>신규공사 수행 시, 선행공정 간섭 및 공종 Risk에 대해 대책 수립</t>
        </is>
      </c>
      <c r="K4" s="40"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L4" s="17" t="inlineStr">
        <is>
          <t>Big Room 회의록(지침 전파 서명)</t>
        </is>
      </c>
      <c r="M4" s="38"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N4" s="75">
        <f>HYPERLINK(LEFT(CELL("filename",A1),FIND("[",CELL("filename",A1))-1)&amp;"7.신호분야\3_착수전 Big Room 회의\표준서\착수전 Big Room 회의_표준서.html", "👉 [클릭] 표준서 열기 📄")</f>
        <v/>
      </c>
      <c r="O4" s="38" t="inlineStr">
        <is>
          <t>1) 신규공사 수행 시 선행공정 간섭 및 공종 Risk 대책 회의를 주관하십시오.
2) 궤도 시공 전 블록아웃 및 선로전환기 설치 I/F에 대해 각 분야 담당자와의 협의록을 작성하십시오.</t>
        </is>
      </c>
      <c r="P4" s="76">
        <f>HYPERLINK(LEFT(CELL("filename",A1),FIND("[",CELL("filename",A1))-1)&amp;"7.신호분야\3_착수전 Big Room 회의\수행지침\LTE-R_무선_AP를_통한_신호_제어_데이터_송수신_레벨_상세절차서.html", "👉 [클릭] 수행지침 열기 📄")</f>
        <v/>
      </c>
      <c r="Q4" s="38" t="inlineStr">
        <is>
          <t>1) 본사 및 분야별(토목/궤도/전기/건축/통신) 세부설계 인터페이스를 검토하였는가?
2) 궤도 시공 전 블록아웃 및 차축검지기 설치 I/F 사전 대책을 수립하였는가?</t>
        </is>
      </c>
      <c r="R4" s="81">
        <f>HYPERLINK(LEFT(CELL("filename",A1),FIND("[",CELL("filename",A1))-1)&amp;"7.신호분야\3_착수전 Big Room 회의\체크리스트\착수전 Big Room 회의_체크리스트.html", "👉 [클릭] 체크리스트 열기 📄")</f>
        <v/>
      </c>
      <c r="S4" s="9" t="n"/>
      <c r="T4" s="73" t="inlineStr">
        <is>
          <t>● 관련분야 설계기준서 준수</t>
        </is>
      </c>
      <c r="U4" s="73" t="inlineStr">
        <is>
          <t>1) 👉 [더블클릭] 체크리스트 열기 📄</t>
        </is>
      </c>
      <c r="V4" s="29" t="n"/>
    </row>
    <row r="5" ht="218.4" customHeight="1">
      <c r="A5" s="17" t="inlineStr">
        <is>
          <t>9000</t>
        </is>
      </c>
      <c r="B5" s="17" t="inlineStr">
        <is>
          <t>9000-1</t>
        </is>
      </c>
      <c r="C5" s="28" t="inlineStr">
        <is>
          <t>신호분야</t>
        </is>
      </c>
      <c r="D5" s="17" t="inlineStr">
        <is>
          <t>9000-1-4</t>
        </is>
      </c>
      <c r="E5" s="28">
        <f>D4</f>
        <v/>
      </c>
      <c r="F5" s="17">
        <f>D6</f>
        <v/>
      </c>
      <c r="G5" s="17" t="inlineStr">
        <is>
          <t>D-90
(D180~90)</t>
        </is>
      </c>
      <c r="H5" s="28" t="inlineStr">
        <is>
          <t>전기 / 통신 / 건축 / 도로 / 궤도 / 차량 등 인터페이스 협의</t>
        </is>
      </c>
      <c r="I5" s="17" t="inlineStr">
        <is>
          <t>현장 시스템팀</t>
        </is>
      </c>
      <c r="J5" s="28" t="inlineStr">
        <is>
          <t>완벽한 시스템 조율 및 인터페이스 협의</t>
        </is>
      </c>
      <c r="K5" s="4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L5" s="17" t="inlineStr">
        <is>
          <t>인터페이스 회의록 및 관리대장</t>
        </is>
      </c>
      <c r="M5" s="38" t="inlineStr">
        <is>
          <t>1) 시스템 조율(WBS 9000-1-4)을 위해 전기/통신/건축/도로/궤도/차량 분야 간 시공 인터페이스를 조율하라.
2) 궤도 시공 전 블록아웃, 배수로, 융설장치, 차축검지기 설치 I/F 승인서를 완수하라.</t>
        </is>
      </c>
      <c r="N5" s="75">
        <f>HYPERLINK(LEFT(CELL("filename",A1),FIND("[",CELL("filename",A1))-1)&amp;"7.신호분야\4_전기 _ 통신 _ PSD _ 차량 인터페이스 협의\표준서\전기 _ 통신 _ PSD _ 차량 인터페이스 협의_표준서.html", "👉 [클릭] 표준서 열기 📄")</f>
        <v/>
      </c>
      <c r="O5" s="38" t="inlineStr">
        <is>
          <t>1) 토목/궤도 단계별 시공계획을 확인하고 기계실 배선 및 현장 장치 설치 I/F를 조율하십시오.
2) 차축검지기 및 융설장치 체결 부위의 치수 적정성을 서면으로 확인하십시오.</t>
        </is>
      </c>
      <c r="P5" s="76">
        <f>HYPERLINK(LEFT(CELL("filename",A1),FIND("[",CELL("filename",A1))-1)&amp;"7.신호분야\4_전기 _ 통신 _ PSD _ 차량 인터페이스 협의\수행지침\LTE-R_무선_AP를_통한_신호_제어_데이터_송수신_레벨_상세절차서.html", "👉 [클릭] 수행지침 열기 📄")</f>
        <v/>
      </c>
      <c r="Q5" s="38" t="inlineStr">
        <is>
          <t>1) 토목/궤도 시공 전 블록아웃 및 배수로 설치 I/F를 사전 확인하였는가?
2) 차량기지 및 본선 선로전환기/차축검지기 체결 인터페이스를 조율하였는가?</t>
        </is>
      </c>
      <c r="R5" s="81">
        <f>HYPERLINK(LEFT(CELL("filename",A1),FIND("[",CELL("filename",A1))-1)&amp;"7.신호분야\4_전기 _ 통신 _ PSD _ 차량 인터페이스 협의\체크리스트\전기 _ 통신 _ PSD _ 차량 인터페이스 협의_체크리스트.html", "👉 [클릭] 체크리스트 열기 📄")</f>
        <v/>
      </c>
      <c r="S5" s="9" t="n"/>
      <c r="T5" s="73" t="inlineStr">
        <is>
          <t>● 관련분야 설계기준서 준수</t>
        </is>
      </c>
      <c r="U5" s="73" t="inlineStr">
        <is>
          <t>1) 👉 [더블클릭] 체크리스트 열기 📄</t>
        </is>
      </c>
      <c r="V5" s="29" t="n"/>
    </row>
    <row r="6" ht="119.4" customHeight="1">
      <c r="A6" s="17" t="inlineStr">
        <is>
          <t>9000</t>
        </is>
      </c>
      <c r="B6" s="17" t="inlineStr">
        <is>
          <t>9000-1</t>
        </is>
      </c>
      <c r="C6" s="28" t="inlineStr">
        <is>
          <t>신호분야</t>
        </is>
      </c>
      <c r="D6" s="17" t="inlineStr">
        <is>
          <t>9000-1-5</t>
        </is>
      </c>
      <c r="E6" s="28">
        <f>D5</f>
        <v/>
      </c>
      <c r="F6" s="17">
        <f>D7</f>
        <v/>
      </c>
      <c r="G6" s="17" t="inlineStr">
        <is>
          <t>토목공사
수행시</t>
        </is>
      </c>
      <c r="H6" s="28" t="inlineStr">
        <is>
          <t>도로 / 궤도 인터페이스 협의</t>
        </is>
      </c>
      <c r="I6" s="17" t="inlineStr">
        <is>
          <t>현장 시스템팀</t>
        </is>
      </c>
      <c r="J6" s="28" t="inlineStr">
        <is>
          <t>선로선형 설계를 위한 사전조정 및 트램 운행 최적화</t>
        </is>
      </c>
      <c r="K6" s="39"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L6" s="17" t="inlineStr">
        <is>
          <t>궤도/신호 요구사항 및 회의록</t>
        </is>
      </c>
      <c r="M6" s="38" t="inlineStr">
        <is>
          <t>1) 도로/궤도 I/F(WBS 9000-1-5) 달성을 위해 선로선형 및 궤도 분기기 통과 요구사항을 검토하라.
2) 도심 매립 궤도용 선로전환기(전환력 4.5~6.0kN, 유격 ≤1.5mm) 설치 조건 및 유관기관 피드백을 반영하라.</t>
        </is>
      </c>
      <c r="N6" s="75">
        <f>HYPERLINK(LEFT(CELL("filename",A1),FIND("[",CELL("filename",A1))-1)&amp;"7.신호분야\5_도로 _ 궤도 인터페이스 협의\표준서\도로 _ 궤도 인터페이스 협의_표준서.html", "👉 [클릭] 표준서 열기 📄")</f>
        <v/>
      </c>
      <c r="O6" s="38" t="inlineStr">
        <is>
          <t>1) 유관기관 피드백 수렴 및 궤도 분기기 통과 요구사항을 사전 조정하십시오.
2) 도로 교차로 노면 매립 궤도 시공계획과 선로전환기 설치 위치 적정성을 확인하십시오.</t>
        </is>
      </c>
      <c r="P6" s="76">
        <f>HYPERLINK(LEFT(CELL("filename",A1),FIND("[",CELL("filename",A1))-1)&amp;"7.신호분야\5_도로 _ 궤도 인터페이스 협의\수행지침\LTE-R_무선_AP를_통한_신호_제어_데이터_송수신_레벨_상세절차서.html", "👉 [클릭] 수행지침 열기 📄")</f>
        <v/>
      </c>
      <c r="Q6" s="38" t="inlineStr">
        <is>
          <t>1) 궤도 분기기 통과 요구사항 및 선로선형 사전조정 결과를 확인하였는가?
2) 노면 매립형 선로전환기(전환력 4.5~6.0kN, 유격 ≤1.5mm) 시공조건을 검토하였는가?</t>
        </is>
      </c>
      <c r="R6" s="81">
        <f>HYPERLINK(LEFT(CELL("filename",A1),FIND("[",CELL("filename",A1))-1)&amp;"7.신호분야\5_도로 _ 궤도 인터페이스 협의\체크리스트\도로 _ 궤도 인터페이스 협의_체크리스트.html", "👉 [클릭] 체크리스트 열기 📄")</f>
        <v/>
      </c>
      <c r="S6" s="9" t="n"/>
      <c r="T6" s="73" t="inlineStr">
        <is>
          <t>● 관련분야 설계기준서 준수</t>
        </is>
      </c>
      <c r="U6" s="73" t="inlineStr">
        <is>
          <t>1) 👉 [더블클릭] 체크리스트 열기 📄</t>
        </is>
      </c>
      <c r="V6" s="29" t="n"/>
    </row>
    <row r="7" ht="204.6" customHeight="1">
      <c r="A7" s="17" t="inlineStr">
        <is>
          <t>9000</t>
        </is>
      </c>
      <c r="B7" s="17" t="inlineStr">
        <is>
          <t>9000-1</t>
        </is>
      </c>
      <c r="C7" s="28" t="inlineStr">
        <is>
          <t>신호분야</t>
        </is>
      </c>
      <c r="D7" s="17" t="inlineStr">
        <is>
          <t>9000-1-6</t>
        </is>
      </c>
      <c r="E7" s="28">
        <f>D6</f>
        <v/>
      </c>
      <c r="F7" s="17">
        <f>D8</f>
        <v/>
      </c>
      <c r="G7" s="17" t="inlineStr">
        <is>
          <t>D-90
(D180~90)</t>
        </is>
      </c>
      <c r="H7" s="28" t="inlineStr">
        <is>
          <t>시공전 인터페이스 협의</t>
        </is>
      </c>
      <c r="I7" s="17" t="inlineStr">
        <is>
          <t>현장 시스템팀</t>
        </is>
      </c>
      <c r="J7" s="28" t="inlineStr">
        <is>
          <t>시스템의 설계 보완 검토를 진행하고 완벽한 연계를 위한 설계</t>
        </is>
      </c>
      <c r="K7" s="39"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L7" s="17" t="inlineStr">
        <is>
          <t>인터페이스 보고서 및 인터페이스 회의록</t>
        </is>
      </c>
      <c r="M7" s="38" t="inlineStr">
        <is>
          <t>1) 시공전 인터페이스(WBS 9000-1-6)를 통해 시스템 설계 보완 및 연계 방안을 정밀 검토하라.
2) 배관배선 인입구, 구조물 간섭 및 궤도 시공 전 설치 항목을 개시 전 차단하라.</t>
        </is>
      </c>
      <c r="N7" s="75">
        <f>HYPERLINK(LEFT(CELL("filename",A1),FIND("[",CELL("filename",A1))-1)&amp;"7.신호분야\6_시공전 인터페이스 협의\표준서\시공전 인터페이스 협의_표준서.html", "👉 [클릭] 표준서 열기 📄")</f>
        <v/>
      </c>
      <c r="O7" s="38" t="inlineStr">
        <is>
          <t>1) 시스템 설계 보완검토를 통해 연계 시공 시 발생 가능한 간섭을 사전에 제거하십시오.
2) 궤도 시공 전 블록아웃 및 케이블 인입 배관의 간섭 여부를 정밀 확인하십시오.</t>
        </is>
      </c>
      <c r="P7" s="76">
        <f>HYPERLINK(LEFT(CELL("filename",A1),FIND("[",CELL("filename",A1))-1)&amp;"7.신호분야\6_시공전 인터페이스 협의\수행지침\LTE-R_무선_AP를_통한_신호_제어_데이터_송수신_레벨_상세절차서.html", "👉 [클릭] 수행지침 열기 📄")</f>
        <v/>
      </c>
      <c r="Q7" s="38" t="inlineStr">
        <is>
          <t>1) 시스템 설계 보완 검토를 통해 연계 설치 방안을 확정하였는가?
2) 케이블 인입 배관 및 궤도 블록아웃 간섭을 사전 제거하였는가?</t>
        </is>
      </c>
      <c r="R7" s="81">
        <f>HYPERLINK(LEFT(CELL("filename",A1),FIND("[",CELL("filename",A1))-1)&amp;"7.신호분야\6_시공전 인터페이스 협의\체크리스트\시공전 인터페이스 협의_체크리스트.html", "👉 [클릭] 체크리스트 열기 📄")</f>
        <v/>
      </c>
      <c r="S7" s="9" t="n"/>
      <c r="T7" s="73" t="inlineStr">
        <is>
          <t>● 관련분야 설계기준서 준수</t>
        </is>
      </c>
      <c r="U7" s="73" t="inlineStr">
        <is>
          <t>1) 👉 [더블클릭] 체크리스트 열기 📄</t>
        </is>
      </c>
      <c r="V7" s="29" t="n"/>
    </row>
    <row r="8" ht="127.8" customHeight="1">
      <c r="A8" s="17" t="inlineStr">
        <is>
          <t>9000</t>
        </is>
      </c>
      <c r="B8" s="17" t="inlineStr">
        <is>
          <t>9000-1</t>
        </is>
      </c>
      <c r="C8" s="28" t="inlineStr">
        <is>
          <t>신호분야</t>
        </is>
      </c>
      <c r="D8" s="17" t="inlineStr">
        <is>
          <t>9000-1-7</t>
        </is>
      </c>
      <c r="E8" s="28">
        <f>D7</f>
        <v/>
      </c>
      <c r="F8" s="17">
        <f>D9</f>
        <v/>
      </c>
      <c r="G8" s="17" t="inlineStr">
        <is>
          <t>D-90
(D180~90)</t>
        </is>
      </c>
      <c r="H8" s="28" t="inlineStr">
        <is>
          <t>시스템 장비검토 사전 협의사항 도출 및 검토</t>
        </is>
      </c>
      <c r="I8" s="17" t="inlineStr">
        <is>
          <t>현장 시스템팀</t>
        </is>
      </c>
      <c r="J8" s="28" t="inlineStr">
        <is>
          <t>완벽한 시스템 연계 및 동작성 확보를 위한 가이드라인 제공</t>
        </is>
      </c>
      <c r="K8" s="41" t="inlineStr">
        <is>
          <t>- 성능보증 기능성 신호자재 단품 Spec 검토
- 제조사 자체 시험 및 인증 확인
- 설치 시공대장 및 제작도서 승인 서명</t>
        </is>
      </c>
      <c r="L8" s="17" t="inlineStr">
        <is>
          <t>자체 검증서 및 제작도서 승인 서류</t>
        </is>
      </c>
      <c r="M8" s="38" t="inlineStr">
        <is>
          <t>1) 장비 사전검토(WBS 9000-1-7)를 위해 기능성 신호자재 단품 Spec 및 성능보증 사양을 검토하라.
2) 제조사 자체 시험 성적서, KRS 표준 규격 및 제작도서 승인 서명을 완수하라.</t>
        </is>
      </c>
      <c r="N8" s="75">
        <f>HYPERLINK(LEFT(CELL("filename",A1),FIND("[",CELL("filename",A1))-1)&amp;"7.신호분야\7_시스템 장비검토 사전 협의사항 도출 및 검토\표준서\시스템 장비검토 사전 협의사항 도출 및 검토_표준서.html", "👉 [클릭] 표준서 열기 📄")</f>
        <v/>
      </c>
      <c r="O8" s="38" t="inlineStr">
        <is>
          <t>1) 신호자재 단품 Spec 검토 및 제조사 자체 시험성적서를 확인하십시오.
2) 제작도서 승인 서명 및 현장 투입 전 성능보증 기능을 검증하십시오.</t>
        </is>
      </c>
      <c r="P8" s="76">
        <f>HYPERLINK(LEFT(CELL("filename",A1),FIND("[",CELL("filename",A1))-1)&amp;"7.신호분야\7_시스템 장비검토 사전 협의사항 도출 및 검토\수행지침\CBI_CPU_2중화_절체_반응_속도(≤0.5초)_검토_상세절차서.html", "👉 [클릭] 수행지침 열기 📄")</f>
        <v/>
      </c>
      <c r="Q8" s="38" t="inlineStr">
        <is>
          <t>1) 성능보증 기능성 신호자재 단품 Spec 검토를 완료하였는가?
2) 제조사 공장검수 성적서 및 제작도서 승인 서명을 확인하였는가?</t>
        </is>
      </c>
      <c r="R8" s="81">
        <f>HYPERLINK(LEFT(CELL("filename",A1),FIND("[",CELL("filename",A1))-1)&amp;"7.신호분야\7_시스템 장비검토 사전 협의사항 도출 및 검토\체크리스트\시스템 장비검토 사전 협의사항 도출 및 검토_체크리스트.html", "👉 [클릭] 체크리스트 열기 📄")</f>
        <v/>
      </c>
      <c r="S8" s="9" t="n"/>
      <c r="T8" s="73" t="inlineStr">
        <is>
          <t>● 관련분야 설계기준서 준수</t>
        </is>
      </c>
      <c r="U8" s="73" t="inlineStr">
        <is>
          <t>1) 👉 [더블클릭] 체크리스트 열기 📄</t>
        </is>
      </c>
      <c r="V8" s="29" t="n"/>
    </row>
    <row r="9" ht="104.4" customHeight="1">
      <c r="A9" s="17" t="inlineStr">
        <is>
          <t>9000</t>
        </is>
      </c>
      <c r="B9" s="17" t="inlineStr">
        <is>
          <t>9000-1</t>
        </is>
      </c>
      <c r="C9" s="28" t="inlineStr">
        <is>
          <t>신호분야</t>
        </is>
      </c>
      <c r="D9" s="17" t="inlineStr">
        <is>
          <t>9000-1-8</t>
        </is>
      </c>
      <c r="E9" s="28">
        <f>D8</f>
        <v/>
      </c>
      <c r="F9" s="17">
        <f>D10</f>
        <v/>
      </c>
      <c r="G9" s="17" t="inlineStr">
        <is>
          <t>D-90
(D180~90)</t>
        </is>
      </c>
      <c r="H9" s="28" t="inlineStr">
        <is>
          <t>관제 및 운영사 인터페이스 협의</t>
        </is>
      </c>
      <c r="I9" s="17" t="inlineStr">
        <is>
          <t>현장 시스템팀</t>
        </is>
      </c>
      <c r="J9" s="28" t="inlineStr">
        <is>
          <t>관제 및 운영사 요구사항 사전 반영 및 시공신뢰 확보</t>
        </is>
      </c>
      <c r="K9" s="39"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L9" s="17" t="inlineStr">
        <is>
          <t>인터페이스 회의록 및 관리대장</t>
        </is>
      </c>
      <c r="M9" s="38" t="inlineStr">
        <is>
          <t>1) 관제/운영사 I/F(WBS 9000-1-8) 달성을 위해 종합관제실(OCC) 요구사항을 시공 전 반영하라.
2) 철도관제를 위한 관제사 조작반 MMI 및 예비관제 1:1 실시간 DB 동기화를 검증하라.</t>
        </is>
      </c>
      <c r="N9" s="75">
        <f>HYPERLINK(LEFT(CELL("filename",A1),FIND("[",CELL("filename",A1))-1)&amp;"7.신호분야\8_관제 및 운영사 인터페이스 협의\표준서\관제 및 운영사 인터페이스 협의_표준서.html", "👉 [클릭] 표준서 열기 📄")</f>
        <v/>
      </c>
      <c r="O9" s="38" t="inlineStr">
        <is>
          <t>1) 관제 및 운영사 실무 조율을 거쳐 시운전 시 예비사항 및 조작반 화면표시 정보를 도출하십시오.
2) 관제센터 MMI 화면 및 조작반 정보의 실시간 동기화 상태를 확인하십시오.</t>
        </is>
      </c>
      <c r="P9" s="76">
        <f>HYPERLINK(LEFT(CELL("filename",A1),FIND("[",CELL("filename",A1))-1)&amp;"7.신호분야\8_관제 및 운영사 인터페이스 협의\수행지침\LTE-R_무선_AP를_통한_신호_제어_데이터_송수신_레벨_상세절차서.html", "👉 [클릭] 수행지침 열기 📄")</f>
        <v/>
      </c>
      <c r="Q9" s="38" t="inlineStr">
        <is>
          <t>1) 시운전 시 조율사항 및 예비사항 도출을 완료하였는가?
2) 철도관제를 위한 관제사 조작반 MMI 표시 정보를 사전 검토하였는가?</t>
        </is>
      </c>
      <c r="R9" s="81">
        <f>HYPERLINK(LEFT(CELL("filename",A1),FIND("[",CELL("filename",A1))-1)&amp;"7.신호분야\8_관제 및 운영사 인터페이스 협의\체크리스트\관제 및 운영사 인터페이스 협의_체크리스트.html", "👉 [클릭] 체크리스트 열기 📄")</f>
        <v/>
      </c>
      <c r="S9" s="9" t="n"/>
      <c r="T9" s="73" t="inlineStr">
        <is>
          <t>● 관련분야 설계기준서 준수</t>
        </is>
      </c>
      <c r="U9" s="73" t="inlineStr">
        <is>
          <t>1) 👉 [더블클릭] 체크리스트 열기 📄</t>
        </is>
      </c>
      <c r="V9" s="29" t="n"/>
    </row>
    <row r="10" ht="104.4" customHeight="1">
      <c r="A10" s="17" t="inlineStr">
        <is>
          <t>9000</t>
        </is>
      </c>
      <c r="B10" s="17" t="inlineStr">
        <is>
          <t>9000-1</t>
        </is>
      </c>
      <c r="C10" s="28" t="inlineStr">
        <is>
          <t>신호분야</t>
        </is>
      </c>
      <c r="D10" s="17" t="inlineStr">
        <is>
          <t>9000-1-9</t>
        </is>
      </c>
      <c r="E10" s="28">
        <f>D9</f>
        <v/>
      </c>
      <c r="F10" s="17">
        <f>D11</f>
        <v/>
      </c>
      <c r="G10" s="17" t="inlineStr">
        <is>
          <t>D-90
(D180~90)</t>
        </is>
      </c>
      <c r="H10" s="28" t="inlineStr">
        <is>
          <t>자재 / 인원 / 장비 및 투입 사전 검토</t>
        </is>
      </c>
      <c r="I10" s="17" t="inlineStr">
        <is>
          <t>현장 시스템팀 / 협력사 / 관리감독자</t>
        </is>
      </c>
      <c r="J10" s="28" t="inlineStr">
        <is>
          <t>자재/인원/장비 투입 계획 수립</t>
        </is>
      </c>
      <c r="K10" s="4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L10" s="17" t="inlineStr">
        <is>
          <t>세부 공정계획 수립 및 보고</t>
        </is>
      </c>
      <c r="M10" s="38" t="inlineStr">
        <is>
          <t>1) 자재/인원/장비 계획(WBS 9000-1-9) 수립을 위해 현장 수량 기준 투입 계획을 승인하라.
2) 현장 여건 및 궤도 시공계획 맞춤형 투입 schedule 작성 및 수급 조정을 완수하라.</t>
        </is>
      </c>
      <c r="N10" s="75">
        <f>HYPERLINK(LEFT(CELL("filename",A1),FIND("[",CELL("filename",A1))-1)&amp;"7.신호분야\9_자재 _ 인원 _ 장비 및 투입 사전 검토\표준서\자재 _ 인원 _ 장비 및 투입 사전 검토_표준서.html", "👉 [클릭] 표준서 열기 📄")</f>
        <v/>
      </c>
      <c r="O10" s="38" t="inlineStr">
        <is>
          <t>1) 현장 여건 및 수량을 기준으로 투입 인원, 장비 계획서를 작성하여 감리단 승인을 받으십시오.
2) 궤도 시공계획과 연계된 자재 반입 및 작업원 투입 스케줄을 조정하십시오.</t>
        </is>
      </c>
      <c r="P10" s="76">
        <f>HYPERLINK(LEFT(CELL("filename",A1),FIND("[",CELL("filename",A1))-1)&amp;"7.신호분야\9_자재 _ 인원 _ 장비 및 투입 사전 검토\수행지침\LTE-R_무선_AP를_통한_신호_제어_데이터_송수신_레벨_상세절차서.html", "👉 [클릭] 수행지침 열기 📄")</f>
        <v/>
      </c>
      <c r="Q10" s="38" t="inlineStr">
        <is>
          <t>1) 현장 수량 기준 투입 인원 및 장비 계획 규명서를 작성하였는가?
2) 궤도 시공계획 연계 투입 스케줄 감리단 승인을 획득하였는가?</t>
        </is>
      </c>
      <c r="R10" s="81">
        <f>HYPERLINK(LEFT(CELL("filename",A1),FIND("[",CELL("filename",A1))-1)&amp;"7.신호분야\9_자재 _ 인원 _ 장비 및 투입 사전 검토\체크리스트\자재 _ 인원 _ 장비 및 투입 사전 검토_체크리스트.html", "👉 [클릭] 체크리스트 열기 📄")</f>
        <v/>
      </c>
      <c r="S10" s="9" t="n"/>
      <c r="T10" s="73" t="inlineStr">
        <is>
          <t>● 관련분야 설계기준서 준수</t>
        </is>
      </c>
      <c r="U10" s="73" t="inlineStr">
        <is>
          <t>1) 👉 [더블클릭] 체크리스트 열기 📄</t>
        </is>
      </c>
      <c r="V10" s="29" t="n"/>
    </row>
    <row r="11" ht="104.4" customHeight="1">
      <c r="A11" s="17" t="inlineStr">
        <is>
          <t>9000</t>
        </is>
      </c>
      <c r="B11" s="17" t="inlineStr">
        <is>
          <t>9000-1</t>
        </is>
      </c>
      <c r="C11" s="28" t="inlineStr">
        <is>
          <t>신호분야</t>
        </is>
      </c>
      <c r="D11" s="17" t="inlineStr">
        <is>
          <t>9000-1-10</t>
        </is>
      </c>
      <c r="E11" s="28">
        <f>D10</f>
        <v/>
      </c>
      <c r="F11" s="17">
        <f>D12</f>
        <v/>
      </c>
      <c r="G11" s="17" t="inlineStr">
        <is>
          <t>D-90
(D180~90)</t>
        </is>
      </c>
      <c r="H11" s="28" t="inlineStr">
        <is>
          <t>장비반입 및 안전교육</t>
        </is>
      </c>
      <c r="I11" s="17" t="inlineStr">
        <is>
          <t>현장 시스템팀 / 안전팀</t>
        </is>
      </c>
      <c r="J11" s="28" t="inlineStr">
        <is>
          <t>장비 반입 준비 및 안전교육 완료</t>
        </is>
      </c>
      <c r="K11" s="39" t="inlineStr">
        <is>
          <t>- 도로 굴착장비, 고속작업 시 사용할 장비, 인양장비등 관련 장비 계획 검토
- 장비 spec 확인, 장비 성능 점검
- 작업원 안전교육 실시</t>
        </is>
      </c>
      <c r="L11" s="17" t="inlineStr">
        <is>
          <t>측정기록서, 안전교육 결과서</t>
        </is>
      </c>
      <c r="M11" s="38" t="inlineStr">
        <is>
          <t>1) 장비안전(WBS 9000-1-10) 확보를 위해 굴착/고속작업/인양 장비 Spec 점검 및 성능 검사를 시행하라.
2) 작업원 특별 안전교육 및 위험성평가 이행 확인서를 승인 완수하라.</t>
        </is>
      </c>
      <c r="N11" s="75">
        <f>HYPERLINK(LEFT(CELL("filename",A1),FIND("[",CELL("filename",A1))-1)&amp;"7.신호분야\10_장비반입 및 안전교육\표준서\장비반입 및 안전교육_표준서.html", "👉 [클릭] 표준서 열기 📄")</f>
        <v/>
      </c>
      <c r="O11" s="38" t="inlineStr">
        <is>
          <t>1) 도로 굴착 및 인양 장비 Spec 확인과 장비 성능 점검을 반입 전 수행하십시오.
2) 신호 공사 작업원에 대한 특별 안전교육 및 보호구 착용 상태를 확인하십시오.</t>
        </is>
      </c>
      <c r="P11" s="76">
        <f>HYPERLINK(LEFT(CELL("filename",A1),FIND("[",CELL("filename",A1))-1)&amp;"7.신호분야\10_장비반입 및 안전교육\수행지침\LTE-R_무선_AP를_통한_신호_제어_데이터_송수신_레벨_상세절차서.html", "👉 [클릭] 수행지침 열기 📄")</f>
        <v/>
      </c>
      <c r="Q11" s="38" t="inlineStr">
        <is>
          <t>1) 도로 굴착 및 인양 장비 Spec 점검 및 성능 검사를 완료하였는가?
2) 신호 공사 작업원 특별 안전교육 실시 기록을 확인하였는가?</t>
        </is>
      </c>
      <c r="R11" s="81">
        <f>HYPERLINK(LEFT(CELL("filename",A1),FIND("[",CELL("filename",A1))-1)&amp;"7.신호분야\10_장비반입 및 안전교육\체크리스트\장비반입 및 안전교육_체크리스트.html", "👉 [클릭] 체크리스트 열기 📄")</f>
        <v/>
      </c>
      <c r="S11" s="9" t="n"/>
      <c r="T11" s="73" t="inlineStr">
        <is>
          <t>● 관련분야 설계기준서 준수</t>
        </is>
      </c>
      <c r="U11" s="73" t="inlineStr">
        <is>
          <t>1) 👉 [더블클릭] 체크리스트 열기 📄</t>
        </is>
      </c>
      <c r="V11" s="29" t="n"/>
    </row>
    <row r="12" ht="104.4" customHeight="1">
      <c r="A12" s="17" t="inlineStr">
        <is>
          <t>9000</t>
        </is>
      </c>
      <c r="B12" s="17" t="inlineStr">
        <is>
          <t>9000-1</t>
        </is>
      </c>
      <c r="C12" s="28" t="inlineStr">
        <is>
          <t>신호분야</t>
        </is>
      </c>
      <c r="D12" s="17" t="inlineStr">
        <is>
          <t>9000-1-11</t>
        </is>
      </c>
      <c r="E12" s="28">
        <f>D11</f>
        <v/>
      </c>
      <c r="F12" s="17">
        <f>D13</f>
        <v/>
      </c>
      <c r="G12" s="17" t="inlineStr">
        <is>
          <t>D-5
(D-10~5)</t>
        </is>
      </c>
      <c r="H12" s="28" t="inlineStr">
        <is>
          <t>자재 반입 및 검수</t>
        </is>
      </c>
      <c r="I12" s="17" t="inlineStr">
        <is>
          <t>현장소장 및 발주청/공동감리단</t>
        </is>
      </c>
      <c r="J12" s="28" t="inlineStr">
        <is>
          <t>공장제품 품질 확보를 위한 자재 검수 및 검사</t>
        </is>
      </c>
      <c r="K12" s="39"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L12" s="17" t="inlineStr">
        <is>
          <t>자재검수요청서 / 자재수입검사서</t>
        </is>
      </c>
      <c r="M12" s="38" t="inlineStr">
        <is>
          <t>1) 자재검수(WBS 9000-1-11) 강화를 위해 자재공급승인원(MAR) 제출 및 공장검수를 시행하라.
2) 반입 자재의 KS/KRS 규격 시험성적서 대조 검수 및 품질 보증을 완수하라.</t>
        </is>
      </c>
      <c r="N12" s="75">
        <f>HYPERLINK(LEFT(CELL("filename",A1),FIND("[",CELL("filename",A1))-1)&amp;"7.신호분야\11_자재 반입 및 검수\표준서\자재 반입 및 검수_표준서.html", "👉 [클릭] 표준서 열기 📄")</f>
        <v/>
      </c>
      <c r="O12" s="38" t="inlineStr">
        <is>
          <t>1) 자재공급승인원(MAR) 및 공장검수 계획서를 제출하여 감리단 승인을 획득하십시오.
2) 자재 현지 반입 시 사양서, 시험성적서 및 표준규격 부합 여부를 인수 검수하십시오.</t>
        </is>
      </c>
      <c r="P12" s="76">
        <f>HYPERLINK(LEFT(CELL("filename",A1),FIND("[",CELL("filename",A1))-1)&amp;"7.신호분야\11_자재 반입 및 검수\수행지침\LTE-R_무선_AP를_통한_신호_제어_데이터_송수신_레벨_상세절차서.html", "👉 [클릭] 수행지침 열기 📄")</f>
        <v/>
      </c>
      <c r="Q12" s="38" t="inlineStr">
        <is>
          <t>1) 자재공급승인원(MAR) 제출 및 공장검수 승인을 획득하였는가?
2) 반입 자재 사양 확인(KS, KRS 표준규격) 및 수량 검수를 시행하였는가?</t>
        </is>
      </c>
      <c r="R12" s="81">
        <f>HYPERLINK(LEFT(CELL("filename",A1),FIND("[",CELL("filename",A1))-1)&amp;"7.신호분야\11_자재 반입 및 검수\체크리스트\자재 반입 및 검수_체크리스트.html", "👉 [클릭] 체크리스트 열기 📄")</f>
        <v/>
      </c>
      <c r="S12" s="9" t="n"/>
      <c r="T12" s="73" t="inlineStr">
        <is>
          <t>● 관련분야 설계기준서 준수</t>
        </is>
      </c>
      <c r="U12" s="73" t="inlineStr">
        <is>
          <t>1) 👉 [더블클릭] 체크리스트 열기 📄</t>
        </is>
      </c>
      <c r="V12" s="29" t="n"/>
    </row>
    <row r="13" ht="104.4" customHeight="1">
      <c r="A13" s="17" t="inlineStr">
        <is>
          <t>9000</t>
        </is>
      </c>
      <c r="B13" s="17" t="inlineStr">
        <is>
          <t>9000-1</t>
        </is>
      </c>
      <c r="C13" s="28" t="inlineStr">
        <is>
          <t>신호분야</t>
        </is>
      </c>
      <c r="D13" s="17" t="inlineStr">
        <is>
          <t>9000-1-12</t>
        </is>
      </c>
      <c r="E13" s="28">
        <f>D12</f>
        <v/>
      </c>
      <c r="F13" s="17">
        <f>D14</f>
        <v/>
      </c>
      <c r="G13" s="17" t="inlineStr">
        <is>
          <t>D+31
~D+120</t>
        </is>
      </c>
      <c r="H13" s="28" t="inlineStr">
        <is>
          <t>시스템설비 설치 (현장/기능실)</t>
        </is>
      </c>
      <c r="I13" s="17" t="inlineStr">
        <is>
          <t>현장소장 및 분야별 전담팀</t>
        </is>
      </c>
      <c r="J13" s="28" t="inlineStr">
        <is>
          <t>현장설비 및 기기실의 자체 최적의 설치작업</t>
        </is>
      </c>
      <c r="K13" s="4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L13" s="17" t="inlineStr">
        <is>
          <t>검사 결과서</t>
        </is>
      </c>
      <c r="M13" s="38" t="inlineStr">
        <is>
          <t>1) 시스템설비 설치(WBS 9000-1-12)를 위해 기계실 랙 마감 동선 및 승인 자재 상세 사양을 확인하라.
2) 현장 신호기, 선로전환기 기초 볼트 체결 및 도면 일치 여부를 정밀 시공하라.</t>
        </is>
      </c>
      <c r="N13" s="75">
        <f>HYPERLINK(LEFT(CELL("filename",A1),FIND("[",CELL("filename",A1))-1)&amp;"7.신호분야\12_시스템설비 설치 (현장_기능실)\표준서\시스템설비 설치 (현장_기능실)_표준서.html", "👉 [클릭] 표준서 열기 📄")</f>
        <v/>
      </c>
      <c r="O13" s="38" t="inlineStr">
        <is>
          <t>1) 기계실 장치 위치, 마감 동선 및 승인 자재 Serial Number 등록을 확인하십시오.
2) 현장 설치 설비의 규격, 수량 및 도면 일치 여부를 정밀 측정하여 시공하십시오.</t>
        </is>
      </c>
      <c r="P13" s="76">
        <f>HYPERLINK(LEFT(CELL("filename",A1),FIND("[",CELL("filename",A1))-1)&amp;"7.신호분야\12_시스템설비 설치 (현장_기능실)\수행지침\LTE-R_무선_AP를_통한_신호_제어_데이터_송수신_레벨_상세절차서.html", "👉 [클릭] 수행지침 열기 📄")</f>
        <v/>
      </c>
      <c r="Q13" s="38" t="inlineStr">
        <is>
          <t>1) 기계실 장치 위치, 마감 동선 및 승인 자재 사양을 확인하였는가?
2) 현장 신호기/선로전환기 기초 볼트 체결 및 규격 일치 여부를 시공하였는가?</t>
        </is>
      </c>
      <c r="R13" s="81">
        <f>HYPERLINK(LEFT(CELL("filename",A1),FIND("[",CELL("filename",A1))-1)&amp;"7.신호분야\12_시스템설비 설치 (현장_기능실)\체크리스트\시스템설비 설치 (현장_기능실)_체크리스트.html", "👉 [클릭] 체크리스트 열기 📄")</f>
        <v/>
      </c>
      <c r="S13" s="9" t="n"/>
      <c r="T13" s="73" t="inlineStr">
        <is>
          <t>● 관련분야 설계기준서 준수</t>
        </is>
      </c>
      <c r="U13" s="73" t="inlineStr">
        <is>
          <t>1) 👉 [더블클릭] 체크리스트 열기 📄</t>
        </is>
      </c>
      <c r="V13" s="29" t="n"/>
    </row>
    <row r="14" ht="104.4" customHeight="1">
      <c r="A14" s="17" t="inlineStr">
        <is>
          <t>9000</t>
        </is>
      </c>
      <c r="B14" s="17" t="inlineStr">
        <is>
          <t>9000-1</t>
        </is>
      </c>
      <c r="C14" s="28" t="inlineStr">
        <is>
          <t>신호분야</t>
        </is>
      </c>
      <c r="D14" s="17" t="inlineStr">
        <is>
          <t>9000-1-14</t>
        </is>
      </c>
      <c r="E14" s="28">
        <f>D13</f>
        <v/>
      </c>
      <c r="F14" s="17">
        <f>D15</f>
        <v/>
      </c>
      <c r="G14" s="17" t="inlineStr">
        <is>
          <t xml:space="preserve">D+151
~D+195
</t>
        </is>
      </c>
      <c r="H14" s="28" t="inlineStr">
        <is>
          <t>시스템 단위시험</t>
        </is>
      </c>
      <c r="I14" s="17" t="inlineStr">
        <is>
          <t>현장 시스템팀</t>
        </is>
      </c>
      <c r="J14" s="28" t="inlineStr">
        <is>
          <t>철도안전법상 신호시스템 규정에 대한 설치 후 현황시험 및 기능 확보</t>
        </is>
      </c>
      <c r="K14" s="39"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L14" s="17" t="inlineStr">
        <is>
          <t>자체단독시험 및 시험결과서 (단독단위)</t>
        </is>
      </c>
      <c r="M14" s="38" t="inlineStr">
        <is>
          <t>1) 단위시험(WBS 9000-1-14) 수행을 위해 철도안전법 규정에 따른 설치 후 단독 현황시험을 시행하라.
2) 신호기, 선로전환기, 전원장치, 차축검지기 개별 ITP/ITC 시험 결과서를 승인 완수하라.</t>
        </is>
      </c>
      <c r="N14" s="75">
        <f>HYPERLINK(LEFT(CELL("filename",A1),FIND("[",CELL("filename",A1))-1)&amp;"7.신호분야\13_시스템 단위시험\표준서\시스템 단위시험_표준서.html", "👉 [클릭] 표준서 열기 📄")</f>
        <v/>
      </c>
      <c r="O14" s="38" t="inlineStr">
        <is>
          <t>1) 자체 단독시험 및 관계부서 공동 시험수행 여부를 확인하십시오.
2) 감리단 승인 점검표(ITP/ITC) 절차에 따라 지상신호장치 단위시험 결과서를 작성하십시오.</t>
        </is>
      </c>
      <c r="P14" s="76">
        <f>HYPERLINK(LEFT(CELL("filename",A1),FIND("[",CELL("filename",A1))-1)&amp;"7.신호분야\13_시스템 단위시험\수행지침\CBI_IO_릴레이_모듈_동작_상태_검측_상세절차서.html", "👉 [클릭] 수행지침 열기 📄")</f>
        <v/>
      </c>
      <c r="Q14" s="38" t="inlineStr">
        <is>
          <t>1) 지상신호장치 및 관계부서 단위시험 결과서를 확인하였는가?
2) 감리단 승인 점검표(ITP/ITC) 절차에 따라 개별 단독 현황시험을 수행하였는가?</t>
        </is>
      </c>
      <c r="R14" s="81">
        <f>HYPERLINK(LEFT(CELL("filename",A1),FIND("[",CELL("filename",A1))-1)&amp;"7.신호분야\13_시스템 단위시험\체크리스트\시스템 단위시험_체크리스트.html", "👉 [클릭] 체크리스트 열기 📄")</f>
        <v/>
      </c>
      <c r="S14" s="9" t="n"/>
      <c r="T14" s="73" t="inlineStr">
        <is>
          <t>● 관련분야 설계기준서 준수</t>
        </is>
      </c>
      <c r="U14" s="73" t="inlineStr">
        <is>
          <t>1) 👉 [더블클릭] 체크리스트 열기 📄</t>
        </is>
      </c>
      <c r="V14" s="29" t="n"/>
    </row>
    <row r="15" ht="104.4" customHeight="1">
      <c r="A15" s="17" t="inlineStr">
        <is>
          <t>9000</t>
        </is>
      </c>
      <c r="B15" s="17" t="inlineStr">
        <is>
          <t>9000-1</t>
        </is>
      </c>
      <c r="C15" s="28" t="inlineStr">
        <is>
          <t>신호분야</t>
        </is>
      </c>
      <c r="D15" s="17" t="inlineStr">
        <is>
          <t>9000-1-15</t>
        </is>
      </c>
      <c r="E15" s="28">
        <f>D14</f>
        <v/>
      </c>
      <c r="F15" s="17">
        <f>D16</f>
        <v/>
      </c>
      <c r="G15" s="17" t="inlineStr">
        <is>
          <t>D+196
~D+255</t>
        </is>
      </c>
      <c r="H15" s="28" t="inlineStr">
        <is>
          <t>신호시스템 통합시험</t>
        </is>
      </c>
      <c r="I15" s="17" t="inlineStr">
        <is>
          <t>현장 시스템팀</t>
        </is>
      </c>
      <c r="J15" s="28" t="inlineStr">
        <is>
          <t>신호시스템 단독시험 완료 후 타 분야 연계 및 시설 유효성 확인</t>
        </is>
      </c>
      <c r="K15" s="39"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L15" s="17" t="inlineStr">
        <is>
          <t>자체단독시험 및 시험결과서 (단독단위)</t>
        </is>
      </c>
      <c r="M15" s="38" t="inlineStr">
        <is>
          <t>1) 통합시험(WBS 9000-1-15)을 통해 단독시험 완료 후 관제 ➔ CBI 전자연동장치 통합 연동을 검증하라.
2) 차상-지상 무선(LTE-R) 도로-트램 우선신호 연계 시험 결과표를 승인 완수하라.</t>
        </is>
      </c>
      <c r="N15" s="75">
        <f>HYPERLINK(LEFT(CELL("filename",A1),FIND("[",CELL("filename",A1))-1)&amp;"7.신호분야\14_신호시스템 통합시험\표준서\신호시스템 통합시험_표준서.html", "👉 [클릭] 표준서 열기 📄")</f>
        <v/>
      </c>
      <c r="O15" s="38" t="inlineStr">
        <is>
          <t>1) 관제실 및 현장 연동장치 간 인터페이스 통합시험을 시행하십시오.
2) 지상-차상 인터페이스 및 도로/트램 우선신호 무선 연계시험 결과표를 작성하십시오.</t>
        </is>
      </c>
      <c r="P15" s="76">
        <f>HYPERLINK(LEFT(CELL("filename",A1),FIND("[",CELL("filename",A1))-1)&amp;"7.신호분야\14_신호시스템 통합시험\수행지침\LTE-R_무선_AP를_통한_신호_제어_데이터_송수신_레벨_상세절차서.html", "👉 [클릭] 수행지침 열기 📄")</f>
        <v/>
      </c>
      <c r="Q15" s="38" t="inlineStr">
        <is>
          <t>1) 관제실 및 현장 연동장치 간 인터페이스 시험을 수행하였는가?
2) 지상-차상 인터페이스 및 도로-트램 우선신호 연계 시험을 검증하였는가?</t>
        </is>
      </c>
      <c r="R15" s="81">
        <f>HYPERLINK(LEFT(CELL("filename",A1),FIND("[",CELL("filename",A1))-1)&amp;"7.신호분야\14_신호시스템 통합시험\체크리스트\신호시스템 통합시험_체크리스트.html", "👉 [클릭] 체크리스트 열기 📄")</f>
        <v/>
      </c>
      <c r="S15" s="9" t="n"/>
      <c r="T15" s="73" t="inlineStr">
        <is>
          <t>● 관련분야 설계기준서 준수</t>
        </is>
      </c>
      <c r="U15" s="73" t="inlineStr">
        <is>
          <t>1) 👉 [더블클릭] 체크리스트 열기 📄</t>
        </is>
      </c>
      <c r="V15" s="29" t="n"/>
    </row>
    <row r="16" ht="104.4" customHeight="1">
      <c r="A16" s="17" t="inlineStr">
        <is>
          <t>9000</t>
        </is>
      </c>
      <c r="B16" s="17" t="inlineStr">
        <is>
          <t>9000-1</t>
        </is>
      </c>
      <c r="C16" s="28" t="inlineStr">
        <is>
          <t>신호분야</t>
        </is>
      </c>
      <c r="D16" s="17" t="inlineStr">
        <is>
          <t>9000-1-16</t>
        </is>
      </c>
      <c r="E16" s="28">
        <f>D15</f>
        <v/>
      </c>
      <c r="F16" s="17">
        <f>D17</f>
        <v/>
      </c>
      <c r="G16" s="17" t="inlineStr">
        <is>
          <t>D+256
~D+285</t>
        </is>
      </c>
      <c r="H16" s="28" t="inlineStr">
        <is>
          <t>공종별 시험</t>
        </is>
      </c>
      <c r="I16" s="17" t="inlineStr">
        <is>
          <t>현장 시스템팀</t>
        </is>
      </c>
      <c r="J16" s="28" t="inlineStr">
        <is>
          <t>철도안전기준에 따른 법정 / 설계기준 / 신기술 / 시운전 등의 요구사항의 적합성 검증</t>
        </is>
      </c>
      <c r="K16" s="39"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L16" s="17" t="inlineStr">
        <is>
          <t>공종별 시험 결과보고서</t>
        </is>
      </c>
      <c r="M16" s="38" t="inlineStr">
        <is>
          <t>1) 공종별 시험(WBS 9000-1-16)을 위해 신호기, 진로표시기, 선로전환기, 차축검지기 현장 동작시험을 시행하라.
2) 신호기계실 전원 2중화 절체 시험 및 관제 CTC 서버 정상 동작 시험을 완수하라.</t>
        </is>
      </c>
      <c r="N16" s="75">
        <f>HYPERLINK(LEFT(CELL("filename",A1),FIND("[",CELL("filename",A1))-1)&amp;"7.신호분야\15_공종별 시험\표준서\공종별 시험_표준서.html", "👉 [클릭] 표준서 열기 📄")</f>
        <v/>
      </c>
      <c r="O16" s="38" t="inlineStr">
        <is>
          <t>1) 현장설비(신호기 투시거리, 선로전환기 쇄정, 차축검지기) 동작시험을 시행하십시오.
2) 기계실 전원공급장치 이중화 절체 시험 및 관제 서버 정상 동작상태를 확인하십시오.</t>
        </is>
      </c>
      <c r="P16" s="76">
        <f>HYPERLINK(LEFT(CELL("filename",A1),FIND("[",CELL("filename",A1))-1)&amp;"7.신호분야\15_공종별 시험\수행지침\LTE-R_무선_AP를_통한_신호_제어_데이터_송수신_레벨_상세절차서.html", "👉 [클릭] 수행지침 열기 📄")</f>
        <v/>
      </c>
      <c r="Q16" s="38" t="inlineStr">
        <is>
          <t>1) 신호기 투시거리/진로표시기 및 선로전환기 쇄정 동작시험을 수행하였는가?
2) 기계실 전원공급장치 이중화 절체 시험 및 관제 서버 동작을 검증하였는가?</t>
        </is>
      </c>
      <c r="R16" s="81">
        <f>HYPERLINK(LEFT(CELL("filename",A1),FIND("[",CELL("filename",A1))-1)&amp;"7.신호분야\15_공종별 시험\체크리스트\공종별 시험_체크리스트.html", "👉 [클릭] 체크리스트 열기 📄")</f>
        <v/>
      </c>
      <c r="S16" s="9" t="n"/>
      <c r="T16" s="73" t="inlineStr">
        <is>
          <t>● 관련분야 설계기준서 준수</t>
        </is>
      </c>
      <c r="U16" s="73" t="inlineStr">
        <is>
          <t>1) 👉 [더블클릭] 체크리스트 열기 📄</t>
        </is>
      </c>
      <c r="V16" s="29" t="n"/>
    </row>
    <row r="17" ht="104.4" customHeight="1">
      <c r="A17" s="17" t="inlineStr">
        <is>
          <t>9000</t>
        </is>
      </c>
      <c r="B17" s="17" t="inlineStr">
        <is>
          <t>9000-1</t>
        </is>
      </c>
      <c r="C17" s="28" t="inlineStr">
        <is>
          <t>신호분야</t>
        </is>
      </c>
      <c r="D17" s="17" t="inlineStr">
        <is>
          <t>9000-1-17</t>
        </is>
      </c>
      <c r="E17" s="28">
        <f>D16</f>
        <v/>
      </c>
      <c r="F17" s="17">
        <f>D18</f>
        <v/>
      </c>
      <c r="G17" s="17" t="inlineStr">
        <is>
          <t>D+286
~D+300</t>
        </is>
      </c>
      <c r="H17" s="28" t="inlineStr">
        <is>
          <t>차량 투입 전 점검</t>
        </is>
      </c>
      <c r="I17" s="17" t="inlineStr">
        <is>
          <t>현장소장 및 시공전담팀</t>
        </is>
      </c>
      <c r="J17" s="28" t="inlineStr">
        <is>
          <t>차량 시험운행 전 철저한 안전대책 수립 및 품질성 확보 여부 확인</t>
        </is>
      </c>
      <c r="K17" s="39"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L17" s="17" t="inlineStr">
        <is>
          <t>차량 투입 전 점검 결과 보고서</t>
        </is>
      </c>
      <c r="M17" s="38" t="inlineStr">
        <is>
          <t>1) 차량 투입 전 점검(WBS 9000-1-17)을 통해 연동검사 및 기계실 방재/접지저항 측정을 시행하라.
2) 건축한계/차량한계 이격 정밀 측정 및 전원장치(UPS) 성능을 최종 검증하라.</t>
        </is>
      </c>
      <c r="N17" s="75">
        <f>HYPERLINK(LEFT(CELL("filename",A1),FIND("[",CELL("filename",A1))-1)&amp;"7.신호분야\16_차량 투입 전 점검\표준서\차량 투입 전 점검_표준서.html", "👉 [클릭] 표준서 열기 📄")</f>
        <v/>
      </c>
      <c r="O17" s="38" t="inlineStr">
        <is>
          <t>1) 연동검사(설비동작, 진로취급) 및 신호기 시공상태 적정성을 점검하십시오.
2) 건축한계(폭 3.1m/높이 3.8m) 이격 측정 및 기계실 UPS/방재예방 설비를 확인하십시오.</t>
        </is>
      </c>
      <c r="P17" s="76">
        <f>HYPERLINK(LEFT(CELL("filename",A1),FIND("[",CELL("filename",A1))-1)&amp;"7.신호분야\16_차량 투입 전 점검\수행지침\LTE-R_무선_AP를_통한_신호_제어_데이터_송수신_레벨_상세절차서.html", "👉 [클릭] 수행지침 열기 📄")</f>
        <v/>
      </c>
      <c r="Q17" s="38" t="inlineStr">
        <is>
          <t>1) 연동검사 및 기계실 시스템/UPS 시험을 완료하였는가?
2) 신호기와 건축물 간 건축한계 정밀 측정 및 방재설비를 확인하였는가?</t>
        </is>
      </c>
      <c r="R17" s="81">
        <f>HYPERLINK(LEFT(CELL("filename",A1),FIND("[",CELL("filename",A1))-1)&amp;"7.신호분야\16_차량 투입 전 점검\체크리스트\차량 투입 전 점검_체크리스트.html", "👉 [클릭] 체크리스트 열기 📄")</f>
        <v/>
      </c>
      <c r="S17" s="9" t="n"/>
      <c r="T17" s="73" t="inlineStr">
        <is>
          <t>● 관련분야 설계기준서 준수</t>
        </is>
      </c>
      <c r="U17" s="73" t="inlineStr">
        <is>
          <t>1) 👉 [더블클릭] 체크리스트 열기 📄</t>
        </is>
      </c>
      <c r="V17" s="29" t="n"/>
    </row>
    <row r="18" ht="104.4" customHeight="1">
      <c r="A18" s="17" t="inlineStr">
        <is>
          <t>9000</t>
        </is>
      </c>
      <c r="B18" s="17" t="inlineStr">
        <is>
          <t>9000-1</t>
        </is>
      </c>
      <c r="C18" s="28" t="inlineStr">
        <is>
          <t>신호분야</t>
        </is>
      </c>
      <c r="D18" s="17" t="inlineStr">
        <is>
          <t>9000-1-18</t>
        </is>
      </c>
      <c r="E18" s="28">
        <f>D17</f>
        <v/>
      </c>
      <c r="F18" s="17">
        <f>D19</f>
        <v/>
      </c>
      <c r="G18" s="17" t="inlineStr">
        <is>
          <t>D+301
~D+360</t>
        </is>
      </c>
      <c r="H18" s="28" t="inlineStr">
        <is>
          <t>차량 시운전</t>
        </is>
      </c>
      <c r="I18" s="17" t="inlineStr">
        <is>
          <t>현장 시스템팀</t>
        </is>
      </c>
      <c r="J18" s="28" t="inlineStr">
        <is>
          <t>철도안전법상 철도기술기준에 적합하게 시운전 수행 여부(철도노선 규정)</t>
        </is>
      </c>
      <c r="K18" s="39"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L18" s="17" t="inlineStr">
        <is>
          <t>철도차량 안전성 결과 보고서</t>
        </is>
      </c>
      <c r="M18" s="38" t="inlineStr">
        <is>
          <t>1) 차량 시운전(WBS 9000-1-18) 수행 시 철도안전법 제26조 형식승인 기준 준수 여부를 검증하라.
2) 속도/제동 테스트, 차상-지상 연계동작 및 열차제어 시스템 기능시험을 완수하라.</t>
        </is>
      </c>
      <c r="N18" s="75">
        <f>HYPERLINK(LEFT(CELL("filename",A1),FIND("[",CELL("filename",A1))-1)&amp;"7.신호분야\17_차량 시운전\표준서\차량 시운전_표준서.html", "👉 [클릭] 표준서 열기 📄")</f>
        <v/>
      </c>
      <c r="O18" s="38" t="inlineStr">
        <is>
          <t>1) 철도기술기준에 따라 속도/제동 테스트 및 주요기기 제어전원 투입을 검사하십시오.
2) 차상신호장치 지·차상 연계동작시험 및 열차제어 시스템 기능시험을 시행하십시오.</t>
        </is>
      </c>
      <c r="P18" s="76">
        <f>HYPERLINK(LEFT(CELL("filename",A1),FIND("[",CELL("filename",A1))-1)&amp;"7.신호분야\17_차량 시운전\수행지침\LTE-R_무선_AP를_통한_신호_제어_데이터_송수신_레벨_상세절차서.html", "👉 [클릭] 수행지침 열기 📄")</f>
        <v/>
      </c>
      <c r="Q18" s="38" t="inlineStr">
        <is>
          <t>1) 철도기술기준 준수 속도/제동 테스트 및 주요기기 검사를 시행하였는가?
2) 차상-지상 연계동작시험 및 차량-신호-통신 I/F 시험을 검증하였는가?</t>
        </is>
      </c>
      <c r="R18" s="81">
        <f>HYPERLINK(LEFT(CELL("filename",A1),FIND("[",CELL("filename",A1))-1)&amp;"7.신호분야\17_차량 시운전\체크리스트\차량 시운전_체크리스트.html", "👉 [클릭] 체크리스트 열기 📄")</f>
        <v/>
      </c>
      <c r="S18" s="9" t="n"/>
      <c r="T18" s="73" t="inlineStr">
        <is>
          <t>● 관련분야 설계기준서 준수</t>
        </is>
      </c>
      <c r="U18" s="73" t="inlineStr">
        <is>
          <t>1) 👉 [더블클릭] 체크리스트 열기 📄</t>
        </is>
      </c>
      <c r="V18" s="29" t="n"/>
    </row>
    <row r="19" ht="159" customHeight="1">
      <c r="A19" s="17" t="inlineStr">
        <is>
          <t>9000</t>
        </is>
      </c>
      <c r="B19" s="17" t="inlineStr">
        <is>
          <t>9000-1</t>
        </is>
      </c>
      <c r="C19" s="28" t="inlineStr">
        <is>
          <t>신호분야</t>
        </is>
      </c>
      <c r="D19" s="17" t="inlineStr">
        <is>
          <t>9000-1-19</t>
        </is>
      </c>
      <c r="E19" s="28">
        <f>D18</f>
        <v/>
      </c>
      <c r="F19" s="17">
        <f>D20</f>
        <v/>
      </c>
      <c r="G19" s="17" t="inlineStr">
        <is>
          <t>D+361
~D+374</t>
        </is>
      </c>
      <c r="H19" s="28" t="inlineStr">
        <is>
          <t>운영자 교육시행</t>
        </is>
      </c>
      <c r="I19" s="17" t="inlineStr">
        <is>
          <t>현장 시스템팀</t>
        </is>
      </c>
      <c r="J19" s="28" t="inlineStr">
        <is>
          <t>운영요원(기관사 및 안전관리)을 위한 주행/유지 교육시행</t>
        </is>
      </c>
      <c r="K19" s="39"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L19" s="17" t="inlineStr">
        <is>
          <t>운영자훈련 및 기술단계에서 운영지침서</t>
        </is>
      </c>
      <c r="M19" s="38" t="inlineStr">
        <is>
          <t>1) 운영자 교육(WBS 9000-1-19)을 위해 기관사 및 유지보수 요원 대상 시스템 안전 교육을 시행하라.
2) 장비 제작사에 의한 CTC/CBI/현장설비 조작·정비 기술 교육 완료 이수증을 승인하라.</t>
        </is>
      </c>
      <c r="N19" s="75">
        <f>HYPERLINK(LEFT(CELL("filename",A1),FIND("[",CELL("filename",A1))-1)&amp;"7.신호분야\18_운영자 교육시행\표준서\운영자 교육시행_표준서.html", "👉 [클릭] 표준서 열기 📄")</f>
        <v/>
      </c>
      <c r="O19" s="38" t="inlineStr">
        <is>
          <t>1) 철도차량 안전점검 요령 및 시스템 간 조작 방법에 대한 운영자 교육을 시행하십시오.
2) CTC 서버, 전자연동장치, 현장 신호기/선로전환기 교육 이수 현황을 확인하십시오.</t>
        </is>
      </c>
      <c r="P19" s="76">
        <f>HYPERLINK(LEFT(CELL("filename",A1),FIND("[",CELL("filename",A1))-1)&amp;"7.신호분야\18_운영자 교육시행\수행지침\LTE-R_무선_AP를_통한_신호_제어_데이터_송수신_레벨_상세절차서.html", "👉 [클릭] 수행지침 열기 📄")</f>
        <v/>
      </c>
      <c r="Q19" s="38" t="inlineStr">
        <is>
          <t>1) 기관사 및 유지보수요원 대상 시스템 안전 교육을 시행하였는가?
2) 장비 제작사에 의한 CTC/CBI/현장설비 조작교육을 완료하였는가?</t>
        </is>
      </c>
      <c r="R19" s="81">
        <f>HYPERLINK(LEFT(CELL("filename",A1),FIND("[",CELL("filename",A1))-1)&amp;"7.신호분야\18_운영자 교육시행\체크리스트\운영자 교육시행_체크리스트.html", "👉 [클릭] 체크리스트 열기 📄")</f>
        <v/>
      </c>
      <c r="S19" s="9" t="n"/>
      <c r="T19" s="73" t="inlineStr">
        <is>
          <t>● 관련분야 설계기준서 준수</t>
        </is>
      </c>
      <c r="U19" s="73" t="inlineStr">
        <is>
          <t>1) 👉 [더블클릭] 체크리스트 열기 📄</t>
        </is>
      </c>
      <c r="V19" s="29" t="n"/>
    </row>
    <row r="20" ht="104.4" customHeight="1">
      <c r="A20" s="17" t="inlineStr">
        <is>
          <t>9000</t>
        </is>
      </c>
      <c r="B20" s="17" t="inlineStr">
        <is>
          <t>9000-1</t>
        </is>
      </c>
      <c r="C20" s="28" t="inlineStr">
        <is>
          <t>신호분야</t>
        </is>
      </c>
      <c r="D20" s="17" t="inlineStr">
        <is>
          <t>9000-1-20</t>
        </is>
      </c>
      <c r="E20" s="28">
        <f>D19</f>
        <v/>
      </c>
      <c r="F20" s="17">
        <f>D21</f>
        <v/>
      </c>
      <c r="G20" s="17" t="inlineStr">
        <is>
          <t>D+375
~D+414</t>
        </is>
      </c>
      <c r="H20" s="28" t="inlineStr">
        <is>
          <t>사전점검 및 철도기술기준 검토</t>
        </is>
      </c>
      <c r="I20" s="17" t="inlineStr">
        <is>
          <t>현장소장 및 발주처 / 공동감리단</t>
        </is>
      </c>
      <c r="J20" s="28" t="inlineStr">
        <is>
          <t>철도종합시험운행에 따른 기능 및 성능 사전검증과 철도종합시험운행의 목적 달성의 적합여부 판정</t>
        </is>
      </c>
      <c r="K20" s="39"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L20" s="17" t="inlineStr">
        <is>
          <t>사전점검 결과표 / 철도안전성검토서</t>
        </is>
      </c>
      <c r="M20" s="38" t="inlineStr">
        <is>
          <t>1) 사전점검(WBS 9000-1-20)을 위해 철도종합시험운행 시행지침 제6조/제8조 검토 수칙을 이행하라.
2) 시설물 시공상태, 기술기준 준수 및 완공 가능 여부 사전점검 체크리스트를 완수하라.</t>
        </is>
      </c>
      <c r="N20" s="75">
        <f>HYPERLINK(LEFT(CELL("filename",A1),FIND("[",CELL("filename",A1))-1)&amp;"7.신호분야\19_사전점검 및 철도기술기준 검토\표준서\사전점검 및 철도기술기준 검토_표준서.html", "👉 [클릭] 표준서 열기 📄")</f>
        <v/>
      </c>
      <c r="O20" s="38" t="inlineStr">
        <is>
          <t>1) 철도종합시험운행 시행지침 제6조/제8조에 따라 사전점검 체크리스트를 사전에 준비하십시오.
2) 시설물 시공상태, 기술기준 준수 여부 및 공종별시험 결과보고서를 검토하십시오.</t>
        </is>
      </c>
      <c r="P20" s="76">
        <f>HYPERLINK(LEFT(CELL("filename",A1),FIND("[",CELL("filename",A1))-1)&amp;"7.신호분야\19_사전점검 및 철도기술기준 검토\수행지침\LTE-R_무선_AP를_통한_신호_제어_데이터_송수신_레벨_상세절차서.html", "👉 [클릭] 수행지침 열기 📄")</f>
        <v/>
      </c>
      <c r="Q20" s="38" t="inlineStr">
        <is>
          <t>1) 철도종합시험운행 시행지침 제6조/제8조 사전점검 체크리스트를 수립하였는가?
2) 철도시설물 시공상태, 기술기준 준수 및 안전성 분석 결과를 검토하였는가?</t>
        </is>
      </c>
      <c r="R20" s="81">
        <f>HYPERLINK(LEFT(CELL("filename",A1),FIND("[",CELL("filename",A1))-1)&amp;"7.신호분야\19_사전점검 및 철도기술기준 검토\체크리스트\사전점검 및 철도기술기준 검토_체크리스트.html", "👉 [클릭] 체크리스트 열기 📄")</f>
        <v/>
      </c>
      <c r="S20" s="9" t="n"/>
      <c r="T20" s="73" t="inlineStr">
        <is>
          <t>● 관련분야 설계기준서 준수</t>
        </is>
      </c>
      <c r="U20" s="73" t="inlineStr">
        <is>
          <t>1) 👉 [더블클릭] 체크리스트 열기 📄</t>
        </is>
      </c>
      <c r="V20" s="29" t="n"/>
    </row>
    <row r="21" ht="104.4" customHeight="1">
      <c r="A21" s="17" t="inlineStr">
        <is>
          <t>9000</t>
        </is>
      </c>
      <c r="B21" s="17" t="inlineStr">
        <is>
          <t>9000-1</t>
        </is>
      </c>
      <c r="C21" s="28" t="inlineStr">
        <is>
          <t>신호분야</t>
        </is>
      </c>
      <c r="D21" s="17" t="inlineStr">
        <is>
          <t>9000-1-21</t>
        </is>
      </c>
      <c r="E21" s="28">
        <f>D20</f>
        <v/>
      </c>
      <c r="F21" s="17">
        <f>D22</f>
        <v/>
      </c>
      <c r="G21" s="17" t="inlineStr">
        <is>
          <t>D+415
~D+499</t>
        </is>
      </c>
      <c r="H21" s="28" t="inlineStr">
        <is>
          <t>시설물 검증시험</t>
        </is>
      </c>
      <c r="I21" s="17" t="inlineStr">
        <is>
          <t>현장소장 및 발주처 / 공동감리단</t>
        </is>
      </c>
      <c r="J21" s="28" t="inlineStr">
        <is>
          <t>시설물검증 노선에 환경에 철도종합시험운행 시행지침에 의거 철도노선 및 관계시설을 검증하여 안전성 확보 여부 판단</t>
        </is>
      </c>
      <c r="K21" s="39"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L21" s="17" t="inlineStr">
        <is>
          <t>시설물 검증시험 시험결과 및 승인원, 완료결과보고서</t>
        </is>
      </c>
      <c r="M21" s="38" t="inlineStr">
        <is>
          <t>1) 시설물 검증(WBS 9000-1-21)을 위해 최고운행속도 증속 시운전을 시행하고 신호 정상동작을 검증하라.
2) 신호설비와 차량 간 연계성 및 철도차량 운행 적합성 검증 결과표를 승인 완수하라.</t>
        </is>
      </c>
      <c r="N21" s="75">
        <f>HYPERLINK(LEFT(CELL("filename",A1),FIND("[",CELL("filename",A1))-1)&amp;"7.신호분야\20_시설물 검증시험\표준서\시설물 검증시험_표준서.html", "👉 [클릭] 표준서 열기 📄")</f>
        <v/>
      </c>
      <c r="O21" s="38" t="inlineStr">
        <is>
          <t>1) 설계 최고운행속도까지 단계별 증속하여 신호시설물 정상 동작 및 안전성을 점검하십시오.
2) 신호설비와 차량 간 연계 적정성 및 철도차량 운행 적합 여부를 서면 판정하십시오.</t>
        </is>
      </c>
      <c r="P21" s="76">
        <f>HYPERLINK(LEFT(CELL("filename",A1),FIND("[",CELL("filename",A1))-1)&amp;"7.신호분야\20_시설물 검증시험\수행지침\LTE-R_무선_AP를_통한_신호_제어_데이터_송수신_레벨_상세절차서.html", "👉 [클릭] 수행지침 열기 📄")</f>
        <v/>
      </c>
      <c r="Q21" s="38" t="inlineStr">
        <is>
          <t>1) 설계 최고운행속도 증속 시운전 시 신호시설물 정상 동작을 확인하였는가?
2) 신호설비와 차량 간 연계성 및 차량 운행 적합성을 검증하였는가?</t>
        </is>
      </c>
      <c r="R21" s="81">
        <f>HYPERLINK(LEFT(CELL("filename",A1),FIND("[",CELL("filename",A1))-1)&amp;"7.신호분야\20_시설물 검증시험\체크리스트\시설물 검증시험_체크리스트.html", "👉 [클릭] 체크리스트 열기 📄")</f>
        <v/>
      </c>
      <c r="S21" s="9" t="n"/>
      <c r="T21" s="73" t="inlineStr">
        <is>
          <t>● 관련분야 설계기준서 준수</t>
        </is>
      </c>
      <c r="U21" s="73" t="inlineStr">
        <is>
          <t>1) 👉 [더블클릭] 체크리스트 열기 📄</t>
        </is>
      </c>
      <c r="V21" s="29" t="n"/>
    </row>
    <row r="22" ht="104.4" customHeight="1">
      <c r="A22" s="17" t="inlineStr">
        <is>
          <t>9000</t>
        </is>
      </c>
      <c r="B22" s="17" t="inlineStr">
        <is>
          <t>9000-1</t>
        </is>
      </c>
      <c r="C22" s="28" t="inlineStr">
        <is>
          <t>신호분야</t>
        </is>
      </c>
      <c r="D22" s="17" t="inlineStr">
        <is>
          <t>9000-1-22</t>
        </is>
      </c>
      <c r="E22" s="28">
        <f>D21</f>
        <v/>
      </c>
      <c r="F22" s="17">
        <f>D23</f>
        <v/>
      </c>
      <c r="G22" s="17" t="inlineStr">
        <is>
          <t>D+500
~D+581</t>
        </is>
      </c>
      <c r="H22" s="28" t="inlineStr">
        <is>
          <t>영업 시운전</t>
        </is>
      </c>
      <c r="I22" s="17" t="inlineStr">
        <is>
          <t>현장소장 및 발주처 / 공동감리단</t>
        </is>
      </c>
      <c r="J22" s="28" t="inlineStr">
        <is>
          <t>영업 시운전에 의한 수송능력을 파악하고 최종 운영기관과 인터페이스 협의를 통해 시공의 안정성 확보 여부 및 검증</t>
        </is>
      </c>
      <c r="K22" s="39"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L22" s="17" t="inlineStr">
        <is>
          <t>영업 시운전 및 가동단계에서 운영지침서 및 최종 제출서(가동시험보고서)</t>
        </is>
      </c>
      <c r="M22" s="38" t="inlineStr">
        <is>
          <t>1) 영업 시운전(WBS 9000-1-22)을 위해 모의 영업 시나리오 기반 100회 정시 운행 성공률(≥99.8%)을 달성하라.
2) 영업운전과 동일 조건 열차스케줄 및 승무원 노선숙지 등 최종 영업준비를 완수하라.</t>
        </is>
      </c>
      <c r="N22" s="75">
        <f>HYPERLINK(LEFT(CELL("filename",A1),FIND("[",CELL("filename",A1))-1)&amp;"7.신호분야\21_영업 시운전\표준서\영업 시운전_표준서.html", "👉 [클릭] 표준서 열기 📄")</f>
        <v/>
      </c>
      <c r="O22" s="38" t="inlineStr">
        <is>
          <t>1) 모의 영업 시나리오에 따라 100회 정시 운행 성공률(≥99.8%) 이상을 확보하십시오.
2) 영업운전과 동일한 조건으로 열차운행 스케줄 및 영업설비 최종 점검을 완료하십시오.</t>
        </is>
      </c>
      <c r="P22" s="76">
        <f>HYPERLINK(LEFT(CELL("filename",A1),FIND("[",CELL("filename",A1))-1)&amp;"7.신호분야\21_영업 시운전\수행지침\LTE-R_무선_AP를_통한_신호_제어_데이터_송수신_레벨_상세절차서.html", "👉 [클릭] 수행지침 열기 📄")</f>
        <v/>
      </c>
      <c r="Q22" s="38" t="inlineStr">
        <is>
          <t>1) 모의 영업 시나리오 기반 100회 정시 운행 성공률(≥99.8%)을 달성하였는가?
2) 영업운전 동일 조건 행사수송 및 승무원 노선숙지 훈련을 완수하였는가?</t>
        </is>
      </c>
      <c r="R22" s="81">
        <f>HYPERLINK(LEFT(CELL("filename",A1),FIND("[",CELL("filename",A1))-1)&amp;"7.신호분야\21_영업 시운전\체크리스트\영업 시운전_체크리스트.html", "👉 [클릭] 체크리스트 열기 📄")</f>
        <v/>
      </c>
      <c r="S22" s="9" t="n"/>
      <c r="T22" s="73" t="inlineStr">
        <is>
          <t>● 관련분야 설계기준서 준수</t>
        </is>
      </c>
      <c r="U22" s="73" t="inlineStr">
        <is>
          <t>1) 👉 [더블클릭] 체크리스트 열기 📄</t>
        </is>
      </c>
      <c r="V22" s="29" t="n"/>
    </row>
    <row r="23" ht="104.4" customHeight="1">
      <c r="A23" s="17" t="inlineStr">
        <is>
          <t>9000</t>
        </is>
      </c>
      <c r="B23" s="17" t="inlineStr">
        <is>
          <t>9000-1</t>
        </is>
      </c>
      <c r="C23" s="28" t="inlineStr">
        <is>
          <t>신호분야</t>
        </is>
      </c>
      <c r="D23" s="17" t="inlineStr">
        <is>
          <t>9000-1-13</t>
        </is>
      </c>
      <c r="E23" s="28">
        <f>D22</f>
        <v/>
      </c>
      <c r="F23" s="17">
        <f>D24</f>
        <v/>
      </c>
      <c r="G23" s="17" t="inlineStr">
        <is>
          <t>D+581</t>
        </is>
      </c>
      <c r="H23" s="28" t="inlineStr">
        <is>
          <t>유지관리 설치</t>
        </is>
      </c>
      <c r="I23" s="17" t="inlineStr">
        <is>
          <t>현장소장</t>
        </is>
      </c>
      <c r="J23" s="28" t="inlineStr">
        <is>
          <t>관제 관제실의 장비체계 배치 및 설치</t>
        </is>
      </c>
      <c r="K23" s="41" t="inlineStr">
        <is>
          <t>- 유지 및 보수용 상세 공사 설계배치 확인
- 현장조성 및 유지관리 지침서 이행 여부</t>
        </is>
      </c>
      <c r="L23" s="17" t="inlineStr">
        <is>
          <t>유지관리 지침 및 관리 이행 보고서</t>
        </is>
      </c>
      <c r="M23" s="38" t="inlineStr">
        <is>
          <t>1) 유지관리 설치(WBS 9000-1-13)를 위해 관제실 유지보수용 장비 배치 및 상세 공사 설계를 확인하라.
2) 현장조성 및 유지관리 지침서 이행 여부를 확인하고 관제 MMI 보수를 완수하라.</t>
        </is>
      </c>
      <c r="N23" s="75">
        <f>HYPERLINK(LEFT(CELL("filename",A1),FIND("[",CELL("filename",A1))-1)&amp;"7.신호분야\22_유지관리 설치\표준서\유지관리 설치_표준서.html", "👉 [클릭] 표준서 열기 📄")</f>
        <v/>
      </c>
      <c r="O23" s="38" t="inlineStr">
        <is>
          <t>1) 관제실 유지 및 보수용 상세 공사 설계 배치를 확인하고 장비를 시공하십시오.
2) 현장 조성 및 유지관리 지침서 이행 여부를 점검하여 서면 보고하십시오.</t>
        </is>
      </c>
      <c r="P23" s="76">
        <f>HYPERLINK(LEFT(CELL("filename",A1),FIND("[",CELL("filename",A1))-1)&amp;"7.신호분야\22_유지관리 설치\수행지침\LTE-R_무선_AP를_통한_신호_제어_데이터_송수신_레벨_상세절차서.html", "👉 [클릭] 수행지침 열기 📄")</f>
        <v/>
      </c>
      <c r="Q23" s="38" t="inlineStr">
        <is>
          <t>1) 관제실 유지보수용 상세 공사 설계 배치를 확인하였는가?
2) 현장조성 및 유지관리 지침서 이행 여부를 점검 확인하였는가?</t>
        </is>
      </c>
      <c r="R23" s="81">
        <f>HYPERLINK(LEFT(CELL("filename",A1),FIND("[",CELL("filename",A1))-1)&amp;"7.신호분야\22_유지관리 설치\체크리스트\유지관리 설치_체크리스트.html", "👉 [클릭] 체크리스트 열기 📄")</f>
        <v/>
      </c>
      <c r="S23" s="9" t="n"/>
      <c r="T23" s="73" t="inlineStr">
        <is>
          <t>● 관련분야 설계기준서 준수</t>
        </is>
      </c>
      <c r="U23" s="73" t="inlineStr">
        <is>
          <t>1) 👉 [더블클릭] 체크리스트 열기 📄</t>
        </is>
      </c>
      <c r="V23" s="29" t="n"/>
    </row>
    <row r="24" ht="34.8" customHeight="1">
      <c r="E24" s="1">
        <f>D23</f>
        <v/>
      </c>
      <c r="F24" s="2">
        <f>D25</f>
        <v/>
      </c>
      <c r="G24" s="2" t="inlineStr">
        <is>
          <t>D+75일 이후</t>
        </is>
      </c>
      <c r="N24" s="78">
        <f>HYPERLINK(LEFT(CELL("filename",A1),FIND("[",CELL("filename",A1))-1)&amp;"7.신호분야\23_Task_23\표준서\Task_23_표준서.html", "👉 [클릭] 표준서 열기 📄")</f>
        <v/>
      </c>
      <c r="P24" s="79">
        <f>HYPERLINK(LEFT(CELL("filename",A1),FIND("[",CELL("filename",A1))-1)&amp;"7.신호분야\23_Task_23\수행지침\Task_23_수행지침.html", "👉 [클릭] 수행지침 열기 📄")</f>
        <v/>
      </c>
      <c r="R24" s="80">
        <f>HYPERLINK(LEFT(CELL("filename",A1),FIND("[",CELL("filename",A1))-1)&amp;"7.신호분야\23_Task_23\체크리스트\Task_23_체크리스트.html", "👉 [클릭] 체크리스트 열기 📄")</f>
        <v/>
      </c>
    </row>
    <row r="25">
      <c r="E25" s="1">
        <f>D24</f>
        <v/>
      </c>
      <c r="F25" s="2">
        <f>D26</f>
        <v/>
      </c>
    </row>
    <row r="26">
      <c r="E26" s="1">
        <f>D25</f>
        <v/>
      </c>
      <c r="F26" s="2">
        <f>D27</f>
        <v/>
      </c>
    </row>
    <row r="27">
      <c r="E27" s="1">
        <f>D26</f>
        <v/>
      </c>
      <c r="F27" s="2">
        <f>D28</f>
        <v/>
      </c>
    </row>
    <row r="28">
      <c r="E28" s="1">
        <f>D27</f>
        <v/>
      </c>
      <c r="F28" s="2">
        <f>D29</f>
        <v/>
      </c>
    </row>
    <row r="29">
      <c r="E29" s="1">
        <f>D28</f>
        <v/>
      </c>
      <c r="F29" s="2">
        <f>D30</f>
        <v/>
      </c>
    </row>
    <row r="30">
      <c r="E30" s="1">
        <f>D29</f>
        <v/>
      </c>
      <c r="F30" s="2">
        <f>D31</f>
        <v/>
      </c>
    </row>
    <row r="31">
      <c r="E31" s="1">
        <f>D30</f>
        <v/>
      </c>
      <c r="F31" s="2">
        <f>D32</f>
        <v/>
      </c>
    </row>
    <row r="32">
      <c r="E32" s="1">
        <f>D31</f>
        <v/>
      </c>
      <c r="F32" s="2">
        <f>D33</f>
        <v/>
      </c>
    </row>
    <row r="33">
      <c r="E33" s="1">
        <f>D32</f>
        <v/>
      </c>
      <c r="F33" s="2">
        <f>D34</f>
        <v/>
      </c>
    </row>
    <row r="34">
      <c r="E34" s="1">
        <f>D33</f>
        <v/>
      </c>
      <c r="F34" s="2">
        <f>D35</f>
        <v/>
      </c>
    </row>
    <row r="35">
      <c r="E35" s="1">
        <f>D34</f>
        <v/>
      </c>
      <c r="F35" s="2">
        <f>D36</f>
        <v/>
      </c>
    </row>
    <row r="36">
      <c r="E36" s="1">
        <f>D35</f>
        <v/>
      </c>
      <c r="F36" s="2">
        <f>D37</f>
        <v/>
      </c>
    </row>
    <row r="37">
      <c r="E37" s="1">
        <f>D36</f>
        <v/>
      </c>
      <c r="F37" s="2">
        <f>D38</f>
        <v/>
      </c>
    </row>
    <row r="38">
      <c r="E38" s="1">
        <f>D37</f>
        <v/>
      </c>
      <c r="F38" s="2">
        <f>D39</f>
        <v/>
      </c>
    </row>
    <row r="39">
      <c r="E39" s="1">
        <f>D38</f>
        <v/>
      </c>
    </row>
  </sheetData>
  <hyperlinks>
    <hyperlink xmlns:r="http://schemas.openxmlformats.org/officeDocument/2006/relationships" ref="T2" r:id="rId1"/>
    <hyperlink xmlns:r="http://schemas.openxmlformats.org/officeDocument/2006/relationships" ref="U2" r:id="rId2"/>
    <hyperlink xmlns:r="http://schemas.openxmlformats.org/officeDocument/2006/relationships" ref="T3" r:id="rId3"/>
    <hyperlink xmlns:r="http://schemas.openxmlformats.org/officeDocument/2006/relationships" ref="U3" r:id="rId4"/>
    <hyperlink xmlns:r="http://schemas.openxmlformats.org/officeDocument/2006/relationships" ref="T4" r:id="rId5"/>
    <hyperlink xmlns:r="http://schemas.openxmlformats.org/officeDocument/2006/relationships" ref="U4" r:id="rId6"/>
    <hyperlink xmlns:r="http://schemas.openxmlformats.org/officeDocument/2006/relationships" ref="T5" r:id="rId7"/>
    <hyperlink xmlns:r="http://schemas.openxmlformats.org/officeDocument/2006/relationships" ref="U5" r:id="rId8"/>
    <hyperlink xmlns:r="http://schemas.openxmlformats.org/officeDocument/2006/relationships" ref="T6" r:id="rId9"/>
    <hyperlink xmlns:r="http://schemas.openxmlformats.org/officeDocument/2006/relationships" ref="U6" r:id="rId10"/>
    <hyperlink xmlns:r="http://schemas.openxmlformats.org/officeDocument/2006/relationships" ref="T7" r:id="rId11"/>
    <hyperlink xmlns:r="http://schemas.openxmlformats.org/officeDocument/2006/relationships" ref="U7" r:id="rId12"/>
    <hyperlink xmlns:r="http://schemas.openxmlformats.org/officeDocument/2006/relationships" ref="T8" r:id="rId13"/>
    <hyperlink xmlns:r="http://schemas.openxmlformats.org/officeDocument/2006/relationships" ref="U8" r:id="rId14"/>
    <hyperlink xmlns:r="http://schemas.openxmlformats.org/officeDocument/2006/relationships" ref="T9" r:id="rId15"/>
    <hyperlink xmlns:r="http://schemas.openxmlformats.org/officeDocument/2006/relationships" ref="U9" r:id="rId16"/>
    <hyperlink xmlns:r="http://schemas.openxmlformats.org/officeDocument/2006/relationships" ref="T10" r:id="rId17"/>
    <hyperlink xmlns:r="http://schemas.openxmlformats.org/officeDocument/2006/relationships" ref="U10" r:id="rId18"/>
    <hyperlink xmlns:r="http://schemas.openxmlformats.org/officeDocument/2006/relationships" ref="T11" r:id="rId19"/>
    <hyperlink xmlns:r="http://schemas.openxmlformats.org/officeDocument/2006/relationships" ref="U11" r:id="rId20"/>
    <hyperlink xmlns:r="http://schemas.openxmlformats.org/officeDocument/2006/relationships" ref="T12" r:id="rId21"/>
    <hyperlink xmlns:r="http://schemas.openxmlformats.org/officeDocument/2006/relationships" ref="U12" r:id="rId22"/>
    <hyperlink xmlns:r="http://schemas.openxmlformats.org/officeDocument/2006/relationships" ref="T13" r:id="rId23"/>
    <hyperlink xmlns:r="http://schemas.openxmlformats.org/officeDocument/2006/relationships" ref="U13" r:id="rId24"/>
    <hyperlink xmlns:r="http://schemas.openxmlformats.org/officeDocument/2006/relationships" ref="T14" r:id="rId25"/>
    <hyperlink xmlns:r="http://schemas.openxmlformats.org/officeDocument/2006/relationships" ref="U14" r:id="rId26"/>
    <hyperlink xmlns:r="http://schemas.openxmlformats.org/officeDocument/2006/relationships" ref="T15" r:id="rId27"/>
    <hyperlink xmlns:r="http://schemas.openxmlformats.org/officeDocument/2006/relationships" ref="U15" r:id="rId28"/>
    <hyperlink xmlns:r="http://schemas.openxmlformats.org/officeDocument/2006/relationships" ref="T16" r:id="rId29"/>
    <hyperlink xmlns:r="http://schemas.openxmlformats.org/officeDocument/2006/relationships" ref="U16" r:id="rId30"/>
    <hyperlink xmlns:r="http://schemas.openxmlformats.org/officeDocument/2006/relationships" ref="T17" r:id="rId31"/>
    <hyperlink xmlns:r="http://schemas.openxmlformats.org/officeDocument/2006/relationships" ref="U17" r:id="rId32"/>
    <hyperlink xmlns:r="http://schemas.openxmlformats.org/officeDocument/2006/relationships" ref="T18" r:id="rId33"/>
    <hyperlink xmlns:r="http://schemas.openxmlformats.org/officeDocument/2006/relationships" ref="U18" r:id="rId34"/>
    <hyperlink xmlns:r="http://schemas.openxmlformats.org/officeDocument/2006/relationships" ref="T19" r:id="rId35"/>
    <hyperlink xmlns:r="http://schemas.openxmlformats.org/officeDocument/2006/relationships" ref="U19" r:id="rId36"/>
    <hyperlink xmlns:r="http://schemas.openxmlformats.org/officeDocument/2006/relationships" ref="T20" r:id="rId37"/>
    <hyperlink xmlns:r="http://schemas.openxmlformats.org/officeDocument/2006/relationships" ref="U20" r:id="rId38"/>
    <hyperlink xmlns:r="http://schemas.openxmlformats.org/officeDocument/2006/relationships" ref="T21" r:id="rId39"/>
    <hyperlink xmlns:r="http://schemas.openxmlformats.org/officeDocument/2006/relationships" ref="U21" r:id="rId40"/>
    <hyperlink xmlns:r="http://schemas.openxmlformats.org/officeDocument/2006/relationships" ref="T22" r:id="rId41"/>
    <hyperlink xmlns:r="http://schemas.openxmlformats.org/officeDocument/2006/relationships" ref="U22" r:id="rId42"/>
    <hyperlink xmlns:r="http://schemas.openxmlformats.org/officeDocument/2006/relationships" ref="T23" r:id="rId43"/>
    <hyperlink xmlns:r="http://schemas.openxmlformats.org/officeDocument/2006/relationships" ref="U23" r:id="rId44"/>
  </hyperlinks>
  <printOptions horizontalCentered="1"/>
  <pageMargins left="0.7480314960629921" right="0.7480314960629921" top="0.984251968503937" bottom="0.984251968503937" header="0.5118110236220472" footer="0.5118110236220472"/>
  <pageSetup orientation="landscape" paperSize="8" scale="37" verticalDpi="0"/>
</worksheet>
</file>

<file path=xl/worksheets/sheet8.xml><?xml version="1.0" encoding="utf-8"?>
<worksheet xmlns="http://schemas.openxmlformats.org/spreadsheetml/2006/main">
  <sheetPr codeName="Sheet9">
    <tabColor rgb="FFFFFF00"/>
    <outlinePr summaryBelow="1" summaryRight="1"/>
    <pageSetUpPr/>
  </sheetPr>
  <dimension ref="A1:V39"/>
  <sheetViews>
    <sheetView view="pageBreakPreview" zoomScale="55" zoomScaleNormal="55" zoomScaleSheetLayoutView="55" workbookViewId="0">
      <pane xSplit="2" ySplit="1" topLeftCell="H27" activePane="bottomRight" state="frozen"/>
      <selection pane="topRight" activeCell="C1" sqref="C1"/>
      <selection pane="bottomLeft" activeCell="A2" sqref="A2"/>
      <selection pane="bottomRight" activeCell="A29" sqref="A29:XFD29"/>
    </sheetView>
  </sheetViews>
  <sheetFormatPr baseColWidth="8" defaultRowHeight="17.4"/>
  <cols>
    <col width="8.796875" customWidth="1" style="1" min="1" max="1"/>
    <col width="10.296875" customWidth="1" style="1" min="2" max="2"/>
    <col width="13.5" customWidth="1" style="1" min="3" max="3"/>
    <col width="16" customWidth="1" style="2" min="4" max="6"/>
    <col width="27.69921875" customWidth="1" style="2" min="7" max="7"/>
    <col width="21.296875" customWidth="1" style="2" min="8" max="8"/>
    <col width="16.09765625" customWidth="1" style="2" min="9" max="9"/>
    <col width="26" customWidth="1" style="1" min="10" max="10"/>
    <col width="62.8984375" customWidth="1" style="1" min="11" max="11"/>
    <col width="28.69921875" customWidth="1" style="1" min="12" max="12"/>
    <col width="64.59765625" customWidth="1" style="1" min="13" max="13"/>
    <col width="12" customWidth="1" style="30" min="14" max="14"/>
    <col width="50" customWidth="1" style="30" min="15" max="15"/>
    <col width="10.19921875" customWidth="1" style="1" min="16" max="16"/>
    <col width="50.796875" customWidth="1" style="1" min="17" max="17"/>
    <col width="11.19921875" customWidth="1" style="30" min="18" max="18"/>
    <col width="16.69921875" customWidth="1" style="1" min="19" max="19"/>
    <col width="45" customWidth="1" style="1" min="20" max="38"/>
    <col width="8.796875" customWidth="1" style="1" min="39" max="74"/>
    <col width="8.796875" customWidth="1" style="1" min="75" max="16384"/>
  </cols>
  <sheetData>
    <row r="1" ht="31.2" customHeight="1">
      <c r="A1" s="6" t="inlineStr">
        <is>
          <t>L2 코드</t>
        </is>
      </c>
      <c r="B1" s="6" t="inlineStr">
        <is>
          <t>L3 코드</t>
        </is>
      </c>
      <c r="C1" s="6" t="inlineStr">
        <is>
          <t>L3 대공종명</t>
        </is>
      </c>
      <c r="D1" s="6" t="inlineStr">
        <is>
          <t>L4 코드</t>
        </is>
      </c>
      <c r="E1" s="6" t="inlineStr">
        <is>
          <t>선행</t>
        </is>
      </c>
      <c r="F1" s="6" t="inlineStr">
        <is>
          <t>후행</t>
        </is>
      </c>
      <c r="G1" s="6" t="inlineStr">
        <is>
          <t>작업단위 (Level 4 Task/Activity)</t>
        </is>
      </c>
      <c r="H1" s="6" t="inlineStr">
        <is>
          <t>일정 (D-Day)</t>
        </is>
      </c>
      <c r="I1" s="6" t="inlineStr">
        <is>
          <t>주관</t>
        </is>
      </c>
      <c r="J1" s="6" t="inlineStr">
        <is>
          <t>목적</t>
        </is>
      </c>
      <c r="K1" s="6" t="inlineStr">
        <is>
          <t>방법</t>
        </is>
      </c>
      <c r="L1" s="24" t="inlineStr">
        <is>
          <t>산출물(결과)</t>
        </is>
      </c>
      <c r="M1" s="24" t="inlineStr">
        <is>
          <t>표준서 (Standard) 요약</t>
        </is>
      </c>
      <c r="N1" s="5" t="inlineStr">
        <is>
          <t>표준서 파일 (HTML)</t>
        </is>
      </c>
      <c r="O1" s="24" t="inlineStr">
        <is>
          <t>수행지침 (Guideline) 요약</t>
        </is>
      </c>
      <c r="P1" s="5" t="inlineStr">
        <is>
          <t>수행지침 파일 (HTML)</t>
        </is>
      </c>
      <c r="Q1" s="24" t="inlineStr">
        <is>
          <t>체크리스트 (Checklist) 요약</t>
        </is>
      </c>
      <c r="R1" s="5" t="inlineStr">
        <is>
          <t>체크리스트 파일 (HTML)</t>
        </is>
      </c>
      <c r="S1" s="6" t="inlineStr">
        <is>
          <t>비고</t>
        </is>
      </c>
      <c r="T1" s="8" t="inlineStr">
        <is>
          <t>첨부서류 연계 상세 설계기준</t>
        </is>
      </c>
      <c r="U1" s="8" t="inlineStr">
        <is>
          <t>집행단계 리스크 체크리스트</t>
        </is>
      </c>
      <c r="V1" s="8" t="inlineStr">
        <is>
          <t>협력사 시공/공사관리 자문</t>
        </is>
      </c>
    </row>
    <row r="2" ht="184.8" customHeight="1">
      <c r="A2" s="17" t="inlineStr">
        <is>
          <t>9000</t>
        </is>
      </c>
      <c r="B2" s="17" t="inlineStr">
        <is>
          <t>9000-3</t>
        </is>
      </c>
      <c r="C2" s="28" t="inlineStr">
        <is>
          <t>전기분야</t>
        </is>
      </c>
      <c r="D2" s="17" t="inlineStr">
        <is>
          <t>9000-3-1</t>
        </is>
      </c>
      <c r="E2" s="17" t="n"/>
      <c r="F2" s="17">
        <f>D3</f>
        <v/>
      </c>
      <c r="G2" s="17" t="inlineStr">
        <is>
          <t>설계적정성 검토</t>
        </is>
      </c>
      <c r="H2" s="17" t="inlineStr">
        <is>
          <t>D-300~240</t>
        </is>
      </c>
      <c r="I2" s="17" t="inlineStr">
        <is>
          <t>현장 공무팀</t>
        </is>
      </c>
      <c r="J2" s="16" t="inlineStr">
        <is>
          <t>설계적정성 및 시공성 검토</t>
        </is>
      </c>
      <c r="K2" s="33"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L2" s="16" t="inlineStr">
        <is>
          <t>회의록, 설계검토 보고서</t>
        </is>
      </c>
      <c r="M2" s="28" t="inlineStr">
        <is>
          <t>"전기공사업법, 전기사업법, 한국전기설비규정(KEC), 도로법(점용허가) 및 산업안전보건법 준수 여부를 1:1 검토한다."</t>
        </is>
      </c>
      <c r="N2" s="75">
        <f>HYPERLINK(LEFT(CELL("filename",A1),FIND("[",CELL("filename",A1))-1)&amp;"8.전기분야\1_설계적정성 검토\표준서\설계적정성 검토_표준서.html", "👉 [클릭] 표준서 열기 📄")</f>
        <v/>
      </c>
      <c r="O2" s="28"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P2" s="76">
        <f>HYPERLINK(LEFT(CELL("filename",A1),FIND("[",CELL("filename",A1))-1)&amp;"8.전기분야\1_설계적정성 검토\수행지침\설계적정성 검토_수행지침.html", "👉 [클릭] 수행지침 열기 📄")</f>
        <v/>
      </c>
      <c r="Q2" s="28" t="inlineStr">
        <is>
          <t>본 체크리스트는 철도설계기준(KDS 47 00 00) 및 전기사업법에 의거하여,전기 분야 전반(송변전, 전력, 전차선, 배전, 접지, 인허가 등)에 대한 핵심 설계 적정성을 점검하고, 리스크(Risk) 헷지 및 기회(Oppo...</t>
        </is>
      </c>
      <c r="R2" s="81">
        <f>HYPERLINK(LEFT(CELL("filename",A1),FIND("[",CELL("filename",A1))-1)&amp;"8.전기분야\1_설계적정성 검토\체크리스트\설계적정성 검토_체크리스트.html", "👉 [클릭] 체크리스트 열기 📄")</f>
        <v/>
      </c>
      <c r="S2" s="9" t="n"/>
      <c r="T2" s="73" t="inlineStr">
        <is>
          <t>● 관련분야 설계기준서 준수</t>
        </is>
      </c>
      <c r="U2" s="73" t="inlineStr">
        <is>
          <t>1) 👉 [더블클릭] 체크리스트 열기 📄</t>
        </is>
      </c>
      <c r="V2" s="29" t="n"/>
    </row>
    <row r="3" ht="245.4" customHeight="1">
      <c r="A3" s="17" t="inlineStr">
        <is>
          <t>9000</t>
        </is>
      </c>
      <c r="B3" s="17" t="inlineStr">
        <is>
          <t>9000-3</t>
        </is>
      </c>
      <c r="C3" s="28" t="inlineStr">
        <is>
          <t>전기분야</t>
        </is>
      </c>
      <c r="D3" s="17" t="inlineStr">
        <is>
          <t>9000-3-2</t>
        </is>
      </c>
      <c r="E3" s="17">
        <f>D2</f>
        <v/>
      </c>
      <c r="F3" s="17">
        <f>D4</f>
        <v/>
      </c>
      <c r="G3" s="17" t="inlineStr">
        <is>
          <t>발주전략 KOM</t>
        </is>
      </c>
      <c r="H3" s="17" t="inlineStr">
        <is>
          <t>D-240~210</t>
        </is>
      </c>
      <c r="I3" s="17" t="inlineStr">
        <is>
          <t>현장공사팀</t>
        </is>
      </c>
      <c r="J3" s="16" t="inlineStr">
        <is>
          <t>노면전차설비 공사 발주 전략수립</t>
        </is>
      </c>
      <c r="K3" s="33"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L3" s="16" t="inlineStr">
        <is>
          <t>KOM 검토결과서, 현장설명서</t>
        </is>
      </c>
      <c r="M3" s="28" t="inlineStr">
        <is>
          <t>공정표 대비 노면전차 특수자재(전차선 강성가선, 변압기 등)의 공장 제작/조달 Lead Time을 사전 반영함.</t>
        </is>
      </c>
      <c r="N3" s="75">
        <f>HYPERLINK(LEFT(CELL("filename",A1),FIND("[",CELL("filename",A1))-1)&amp;"8.전기분야\2_발주전략 KOM\표준서\발주전략 KOM_표준서.html", "👉 [클릭] 표준서 열기 📄")</f>
        <v/>
      </c>
      <c r="O3" s="28"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P3" s="76">
        <f>HYPERLINK(LEFT(CELL("filename",A1),FIND("[",CELL("filename",A1))-1)&amp;"8.전기분야\2_발주전략 KOM\수행지침\발주전략 KOM_수행지침.html", "👉 [클릭] 수행지침 열기 📄")</f>
        <v/>
      </c>
      <c r="Q3" s="28"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R3" s="81">
        <f>HYPERLINK(LEFT(CELL("filename",A1),FIND("[",CELL("filename",A1))-1)&amp;"8.전기분야\2_발주전략 KOM\체크리스트\발주전략 KOM_체크리스트.html", "👉 [클릭] 체크리스트 열기 📄")</f>
        <v/>
      </c>
      <c r="S3" s="9" t="n"/>
      <c r="T3" s="73" t="inlineStr">
        <is>
          <t>● 관련분야 설계기준서 준수</t>
        </is>
      </c>
      <c r="U3" s="73" t="inlineStr">
        <is>
          <t>1) 👉 [더블클릭] 체크리스트 열기 📄</t>
        </is>
      </c>
      <c r="V3" s="29" t="n"/>
    </row>
    <row r="4" ht="163.8" customHeight="1">
      <c r="A4" s="17" t="inlineStr">
        <is>
          <t>9000</t>
        </is>
      </c>
      <c r="B4" s="17" t="inlineStr">
        <is>
          <t>9000-3</t>
        </is>
      </c>
      <c r="C4" s="28" t="inlineStr">
        <is>
          <t>전기분야</t>
        </is>
      </c>
      <c r="D4" s="17" t="inlineStr">
        <is>
          <t>9000-3-3</t>
        </is>
      </c>
      <c r="E4" s="17">
        <f>D3</f>
        <v/>
      </c>
      <c r="F4" s="17" t="inlineStr">
        <is>
          <t>9000-3-4</t>
        </is>
      </c>
      <c r="G4" s="17" t="inlineStr">
        <is>
          <t>토목 / 건축 인터페이스 협의</t>
        </is>
      </c>
      <c r="H4" s="17" t="inlineStr">
        <is>
          <t>토목공사 수행시</t>
        </is>
      </c>
      <c r="I4" s="17" t="inlineStr">
        <is>
          <t>현장공사팀</t>
        </is>
      </c>
      <c r="J4" s="16" t="inlineStr">
        <is>
          <t>전력설비 설치를 위한 요구사항 검토</t>
        </is>
      </c>
      <c r="K4" s="33" t="inlineStr">
        <is>
          <t>- 자재 반출입 동선/공동구/횡단관로/케이블 인입구 등 확인, 기능실마감 및 출입문 
   확인, 토목분야 선시공 자재관련 적정성 여부 확인</t>
        </is>
      </c>
      <c r="L4" s="16" t="inlineStr">
        <is>
          <t>인터페이스 회의록 및 관리대장</t>
        </is>
      </c>
      <c r="M4" s="28" t="inlineStr">
        <is>
          <t>"정류기, 변압기, ESS 대형 기자재 반입 동선, 출입문 유효 폭/높이(H x W) 및 양중 훅 위치 실측 검증"</t>
        </is>
      </c>
      <c r="N4" s="75">
        <f>HYPERLINK(LEFT(CELL("filename",A1),FIND("[",CELL("filename",A1))-1)&amp;"8.전기분야\3_토목 _ 건축 인터페이스 협의\표준서\토목 _ 건축 인터페이스 협의_표준서.html", "👉 [클릭] 표준서 열기 📄")</f>
        <v/>
      </c>
      <c r="O4" s="28"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P4" s="76">
        <f>HYPERLINK(LEFT(CELL("filename",A1),FIND("[",CELL("filename",A1))-1)&amp;"8.전기분야\3_토목 _ 건축 인터페이스 협의\수행지침\토목 _ 건축 인터페이스 협의_수행지침.html", "👉 [클릭] 수행지침 열기 📄")</f>
        <v/>
      </c>
      <c r="Q4" s="28"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R4" s="81">
        <f>HYPERLINK(LEFT(CELL("filename",A1),FIND("[",CELL("filename",A1))-1)&amp;"8.전기분야\3_토목 _ 건축 인터페이스 협의\체크리스트\토목 _ 건축 인터페이스 협의_체크리스트.html", "👉 [클릭] 체크리스트 열기 📄")</f>
        <v/>
      </c>
      <c r="S4" s="9" t="n"/>
      <c r="T4" s="73" t="inlineStr">
        <is>
          <t>● 관련분야 설계기준서 준수</t>
        </is>
      </c>
      <c r="U4" s="73" t="inlineStr">
        <is>
          <t>1) 👉 [더블클릭] 체크리스트 열기 📄</t>
        </is>
      </c>
      <c r="V4" s="29" t="n"/>
    </row>
    <row r="5" ht="139.2" customHeight="1">
      <c r="A5" s="17" t="inlineStr">
        <is>
          <t>9000</t>
        </is>
      </c>
      <c r="B5" s="17" t="inlineStr">
        <is>
          <t>9000-3</t>
        </is>
      </c>
      <c r="C5" s="28" t="inlineStr">
        <is>
          <t>전기분야</t>
        </is>
      </c>
      <c r="D5" s="17" t="inlineStr">
        <is>
          <t>9000-3-4</t>
        </is>
      </c>
      <c r="E5" s="17">
        <f>D4</f>
        <v/>
      </c>
      <c r="F5" s="17">
        <f>D6</f>
        <v/>
      </c>
      <c r="G5" s="17" t="inlineStr">
        <is>
          <t>신호 / 통신 / 기계 / PSD / 차량 인터페이스 협의</t>
        </is>
      </c>
      <c r="H5" s="17" t="inlineStr">
        <is>
          <t>D-180
(D-200~180)</t>
        </is>
      </c>
      <c r="I5" s="17" t="inlineStr">
        <is>
          <t>현장공사팀</t>
        </is>
      </c>
      <c r="J5" s="16" t="inlineStr">
        <is>
          <t>연계분야간 사전조율 및 인터페이스 사항 도출로 재작업 예방</t>
        </is>
      </c>
      <c r="K5" s="33"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L5" s="16" t="inlineStr">
        <is>
          <t>인터페이스 회의록 및 관리대장</t>
        </is>
      </c>
      <c r="M5" s="28" t="inlineStr">
        <is>
          <t>"신호, 통신, 기계, PSD 및 트램 차량 전력 공급 관로, 배선 용량 및 트레이 타공 누락 사항 정밀 추출"</t>
        </is>
      </c>
      <c r="N5" s="75">
        <f>HYPERLINK(LEFT(CELL("filename",A1),FIND("[",CELL("filename",A1))-1)&amp;"8.전기분야\4_신호 _ 통신 _ 기계 _ PSD _ 차량 인터페이스 협의\표준서\신호 _ 통신 _ 기계 _ PSD _ 차량 인터페이스 협의_표준서.html", "👉 [클릭] 표준서 열기 📄")</f>
        <v/>
      </c>
      <c r="O5" s="28" t="inlineStr">
        <is>
          <t>전기분야와 타공종(신호, 통신, 기계, PSD, 트램 차량) 간 인터페이스 설계도서 상 누락 및 협의사항 도출, 관로/배선/트레이/인터록 신호선 사전 조율을 통해 재작업을 원천 예방함</t>
        </is>
      </c>
      <c r="P5" s="76">
        <f>HYPERLINK(LEFT(CELL("filename",A1),FIND("[",CELL("filename",A1))-1)&amp;"8.전기분야\4_신호 _ 통신 _ 기계 _ PSD _ 차량 인터페이스 협의\수행지침\신호 _ 통신 _ 기계 _ PSD _ 차량 인터페이스 협의_수행지침.html", "👉 [클릭] 수행지침 열기 📄")</f>
        <v/>
      </c>
      <c r="Q5" s="28"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R5" s="81">
        <f>HYPERLINK(LEFT(CELL("filename",A1),FIND("[",CELL("filename",A1))-1)&amp;"8.전기분야\4_신호 _ 통신 _ 기계 _ PSD _ 차량 인터페이스 협의\체크리스트\신호 _ 통신 _ 기계 _ PSD _ 차량 인터페이스 협의_체크리스트.html", "👉 [클릭] 체크리스트 열기 📄")</f>
        <v/>
      </c>
      <c r="S5" s="9" t="n"/>
      <c r="T5" s="73" t="inlineStr">
        <is>
          <t>● 관련분야 설계기준서 준수</t>
        </is>
      </c>
      <c r="U5" s="73" t="inlineStr">
        <is>
          <t>1) 👉 [더블클릭] 체크리스트 열기 📄</t>
        </is>
      </c>
      <c r="V5" s="29" t="n"/>
    </row>
    <row r="6" ht="139.2" customHeight="1">
      <c r="A6" s="17" t="inlineStr">
        <is>
          <t>9000</t>
        </is>
      </c>
      <c r="B6" s="17" t="inlineStr">
        <is>
          <t>9000-3</t>
        </is>
      </c>
      <c r="C6" s="28" t="inlineStr">
        <is>
          <t>전기분야</t>
        </is>
      </c>
      <c r="D6" s="17" t="inlineStr">
        <is>
          <t>9000-3-5</t>
        </is>
      </c>
      <c r="E6" s="17">
        <f>D5</f>
        <v/>
      </c>
      <c r="F6" s="17">
        <f>D7</f>
        <v/>
      </c>
      <c r="G6" s="17" t="inlineStr">
        <is>
          <t>전기설비 제작사 인터페이스 협의</t>
        </is>
      </c>
      <c r="H6" s="17" t="inlineStr">
        <is>
          <t>D-180
(D-200~180)</t>
        </is>
      </c>
      <c r="I6" s="17" t="inlineStr">
        <is>
          <t>현장공사팀</t>
        </is>
      </c>
      <c r="J6" s="16" t="inlineStr">
        <is>
          <t>전기설비간 연동방안 검토</t>
        </is>
      </c>
      <c r="K6" s="34" t="inlineStr">
        <is>
          <t>- 내부 인터페이스 및 인허가사항 확인</t>
        </is>
      </c>
      <c r="L6" s="16" t="inlineStr">
        <is>
          <t>인터페이스 회의록 및 관리대장 , 보안성검토 요청서</t>
        </is>
      </c>
      <c r="M6" s="28" t="inlineStr">
        <is>
          <t>"SCADA RTU, 변전소 GIS, 정류기, ESS 릴레이 간 IEC 61850 및 Modbus 통신 핀 맵/신호 주소 1:1 검증"</t>
        </is>
      </c>
      <c r="N6" s="75">
        <f>HYPERLINK(LEFT(CELL("filename",A1),FIND("[",CELL("filename",A1))-1)&amp;"8.전기분야\5_전기설비 제작사 인터페이스 협의\표준서\전기설비 제작사 인터페이스 협의_표준서.html", "👉 [클릭] 표준서 열기 📄")</f>
        <v/>
      </c>
      <c r="O6" s="28" t="inlineStr">
        <is>
          <t>전기설비(변압기, 정류기, ESS, GIS, SCADA RTU) 제작사 사양 사전 반영, 이종 제작사 간 통신 프로토콜(IEC 61850, Modbus) 핀 맵/제어 랙 치수 조율 및 제작사양서 확정</t>
        </is>
      </c>
      <c r="P6" s="76">
        <f>HYPERLINK(LEFT(CELL("filename",A1),FIND("[",CELL("filename",A1))-1)&amp;"8.전기분야\5_전기설비 제작사 인터페이스 협의\수행지침\전기설비 제작사 인터페이스 협의_수행지침.html", "👉 [클릭] 수행지침 열기 📄")</f>
        <v/>
      </c>
      <c r="Q6" s="28" t="inlineStr">
        <is>
          <t>본 체크리스트는 동탄트램 전기분야 시공 착수 전전기설비(변압기, 정류기, ESS, GIS, SCADA RTU) 제작사 사양 사전 반영, 이종 제작사 간 통신 프로토콜(IEC 61850, Modbus) 핀 맵/제어 랙 치수 조...</t>
        </is>
      </c>
      <c r="R6" s="81">
        <f>HYPERLINK(LEFT(CELL("filename",A1),FIND("[",CELL("filename",A1))-1)&amp;"8.전기분야\5_전기설비 제작사 인터페이스 협의\체크리스트\전기설비 제작사 인터페이스 협의_체크리스트.html", "👉 [클릭] 체크리스트 열기 📄")</f>
        <v/>
      </c>
      <c r="S6" s="9" t="n"/>
      <c r="T6" s="73" t="inlineStr">
        <is>
          <t>● 관련분야 설계기준서 준수</t>
        </is>
      </c>
      <c r="U6" s="73" t="inlineStr">
        <is>
          <t>1) 👉 [더블클릭] 체크리스트 열기 📄</t>
        </is>
      </c>
      <c r="V6" s="29" t="n"/>
    </row>
    <row r="7" ht="139.2" customHeight="1">
      <c r="A7" s="17" t="inlineStr">
        <is>
          <t>9000</t>
        </is>
      </c>
      <c r="B7" s="17" t="inlineStr">
        <is>
          <t>9000-3</t>
        </is>
      </c>
      <c r="C7" s="28" t="inlineStr">
        <is>
          <t>전기분야</t>
        </is>
      </c>
      <c r="D7" s="17" t="inlineStr">
        <is>
          <t>9000-3-6</t>
        </is>
      </c>
      <c r="E7" s="17">
        <f>D6</f>
        <v/>
      </c>
      <c r="F7" s="17">
        <f>D8</f>
        <v/>
      </c>
      <c r="G7" s="17" t="inlineStr">
        <is>
          <t>관제 및 운영사 인터페이스 협의</t>
        </is>
      </c>
      <c r="H7" s="17" t="inlineStr">
        <is>
          <t>D-180
(D-200~180)</t>
        </is>
      </c>
      <c r="I7" s="17" t="inlineStr">
        <is>
          <t>현장공사팀</t>
        </is>
      </c>
      <c r="J7" s="16" t="inlineStr">
        <is>
          <t>관제 및 운영사 요구사항 사전 반영 및 과업범위 최적화</t>
        </is>
      </c>
      <c r="K7" s="33"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L7" s="16" t="inlineStr">
        <is>
          <t>인터페이스 회의록 및 관리대장</t>
        </is>
      </c>
      <c r="M7" s="28" t="inlineStr">
        <is>
          <t>"지자체(수원시, 화성시) 도로교통관제 센터와 트램 우선신호 제어기 간 통신 인터페이스 및 연동 협의"</t>
        </is>
      </c>
      <c r="N7" s="75">
        <f>HYPERLINK(LEFT(CELL("filename",A1),FIND("[",CELL("filename",A1))-1)&amp;"8.전기분야\6_관제 및 운영사 인터페이스 협의\표준서\관제 및 운영사 인터페이스 협의_표준서.html", "👉 [클릭] 표준서 열기 📄")</f>
        <v/>
      </c>
      <c r="O7" s="28" t="inlineStr">
        <is>
          <t>수원시/동탄 도로교통관제 트램 우선신호 연동, 트램관제실(OCC) SCADA MMI 심볼 표준화, 차단기/단로기/접지스위치 안전 인터록 Logic 및 유지보수자 편의 기능 사전 협의</t>
        </is>
      </c>
      <c r="P7" s="76">
        <f>HYPERLINK(LEFT(CELL("filename",A1),FIND("[",CELL("filename",A1))-1)&amp;"8.전기분야\6_관제 및 운영사 인터페이스 협의\수행지침\관제 및 운영사 인터페이스 협의_수행지침.html", "👉 [클릭] 수행지침 열기 📄")</f>
        <v/>
      </c>
      <c r="Q7" s="28"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R7" s="81">
        <f>HYPERLINK(LEFT(CELL("filename",A1),FIND("[",CELL("filename",A1))-1)&amp;"8.전기분야\6_관제 및 운영사 인터페이스 협의\체크리스트\관제 및 운영사 인터페이스 협의_체크리스트.html", "👉 [클릭] 체크리스트 열기 📄")</f>
        <v/>
      </c>
      <c r="S7" s="9" t="n"/>
      <c r="T7" s="73" t="inlineStr">
        <is>
          <t>● 관련분야 설계기준서 준수</t>
        </is>
      </c>
      <c r="U7" s="73" t="inlineStr">
        <is>
          <t>1) 👉 [더블클릭] 체크리스트 열기 📄</t>
        </is>
      </c>
      <c r="V7" s="29" t="n"/>
    </row>
    <row r="8" ht="139.2" customHeight="1">
      <c r="A8" s="17" t="inlineStr">
        <is>
          <t>9000</t>
        </is>
      </c>
      <c r="B8" s="17" t="inlineStr">
        <is>
          <t>9000-3</t>
        </is>
      </c>
      <c r="C8" s="28" t="inlineStr">
        <is>
          <t>전기분야</t>
        </is>
      </c>
      <c r="D8" s="17" t="inlineStr">
        <is>
          <t>9000-3-7</t>
        </is>
      </c>
      <c r="E8" s="17">
        <f>D7</f>
        <v/>
      </c>
      <c r="F8" s="17">
        <f>D9</f>
        <v/>
      </c>
      <c r="G8" s="17" t="inlineStr">
        <is>
          <t>발주처 품질 요구사항 검토</t>
        </is>
      </c>
      <c r="H8" s="17" t="inlineStr">
        <is>
          <t>D-180
(D-200~180)</t>
        </is>
      </c>
      <c r="I8" s="17" t="inlineStr">
        <is>
          <t>현장공무팀</t>
        </is>
      </c>
      <c r="J8" s="16" t="inlineStr">
        <is>
          <t>발주처 품질관리 기준/검사방안 확인</t>
        </is>
      </c>
      <c r="K8" s="34" t="inlineStr">
        <is>
          <t>- 감리/감독과 품질검사(ITP/ITC) 항목 검토</t>
        </is>
      </c>
      <c r="L8" s="16" t="inlineStr">
        <is>
          <t>ITP/ITC</t>
        </is>
      </c>
      <c r="M8" s="28" t="inlineStr">
        <is>
          <t>"감리/감독원 입회 품질검측계획서(ITP: Inspection &amp; Test Plan) 작성 및 Hold Point(필수정지점) / Witness Point(입회점) 구분 명시"</t>
        </is>
      </c>
      <c r="N8" s="75">
        <f>HYPERLINK(LEFT(CELL("filename",A1),FIND("[",CELL("filename",A1))-1)&amp;"8.전기분야\7_발주처 품질 요구사항 검토\표준서\발주처 품질 요구사항 검토_표준서.html", "👉 [클릭] 표준서 열기 📄")</f>
        <v/>
      </c>
      <c r="O8" s="28" t="inlineStr">
        <is>
          <t>감리/감독원 품질검사(ITP/ITC) 항목 검토, Hold Point/Witness Point 입회점 구분 수립, 현장 계측기 교정성적서 관리 및 불합격 자재 48시간 내 반출 통제 수칙</t>
        </is>
      </c>
      <c r="P8" s="76">
        <f>HYPERLINK(LEFT(CELL("filename",A1),FIND("[",CELL("filename",A1))-1)&amp;"8.전기분야\7_발주처 품질 요구사항 검토\수행지침\발주처 품질 요구사항 검토_수행지침.html", "👉 [클릭] 수행지침 열기 📄")</f>
        <v/>
      </c>
      <c r="Q8" s="28" t="inlineStr">
        <is>
          <t>본 체크리스트는 동탄트램 전기분야 업무 이행에 대해감리/감독원 품질검사(ITP/ITC) 항목 검토, Hold Point/Witness Point 입회점 구분 수립, 현장 계측기 교정성적서 관리 및 불합격 자재 48시간 내 반...</t>
        </is>
      </c>
      <c r="R8" s="81">
        <f>HYPERLINK(LEFT(CELL("filename",A1),FIND("[",CELL("filename",A1))-1)&amp;"8.전기분야\7_발주처 품질 요구사항 검토\체크리스트\발주처 품질 요구사항 검토_체크리스트.html", "👉 [클릭] 체크리스트 열기 📄")</f>
        <v/>
      </c>
      <c r="S8" s="9" t="n"/>
      <c r="T8" s="73" t="inlineStr">
        <is>
          <t>● 관련분야 설계기준서 준수</t>
        </is>
      </c>
      <c r="U8" s="73" t="inlineStr">
        <is>
          <t>1) 👉 [더블클릭] 체크리스트 열기 📄</t>
        </is>
      </c>
      <c r="V8" s="29" t="n"/>
    </row>
    <row r="9" ht="139.2" customHeight="1">
      <c r="A9" s="17" t="inlineStr">
        <is>
          <t>9000</t>
        </is>
      </c>
      <c r="B9" s="17" t="inlineStr">
        <is>
          <t>9000-3</t>
        </is>
      </c>
      <c r="C9" s="28" t="inlineStr">
        <is>
          <t>전기분야</t>
        </is>
      </c>
      <c r="D9" s="17" t="inlineStr">
        <is>
          <t>9000-3-8</t>
        </is>
      </c>
      <c r="E9" s="17">
        <f>D8</f>
        <v/>
      </c>
      <c r="F9" s="17">
        <f>D10</f>
        <v/>
      </c>
      <c r="G9" s="17" t="inlineStr">
        <is>
          <t>자재 / 인원 / 장비 등 투입 사전 검토</t>
        </is>
      </c>
      <c r="H9" s="17" t="inlineStr">
        <is>
          <t>D-180
(D-200~180)</t>
        </is>
      </c>
      <c r="I9" s="17" t="inlineStr">
        <is>
          <t>현장공사팀</t>
        </is>
      </c>
      <c r="J9" s="16" t="inlineStr">
        <is>
          <t>자재 / 인원 / 장비 투입 계획 수립</t>
        </is>
      </c>
      <c r="K9" s="33" t="inlineStr">
        <is>
          <t>- 현장 여건 및 수량을 기준으로 투입(인력, 장비, 자재)을 검토</t>
        </is>
      </c>
      <c r="L9" s="16" t="inlineStr">
        <is>
          <t>세부 공정계획 수립 및 조율</t>
        </is>
      </c>
      <c r="M9" s="28" t="inlineStr">
        <is>
          <t>"변압기, GIS, 정류기, ESS, 전차선 등 주요 전기자재 공장 제작 및 수급 소요 기간(Lead Time 30~60일)을 공정표와 사전 연동 통제"</t>
        </is>
      </c>
      <c r="N9" s="75">
        <f>HYPERLINK(LEFT(CELL("filename",A1),FIND("[",CELL("filename",A1))-1)&amp;"8.전기분야\8_자재 _ 인원 _ 장비 등 투입 사전 검토\표준서\자재 _ 인원 _ 장비 등 투입 사전 검토_표준서.html", "👉 [클릭] 표준서 열기 📄")</f>
        <v/>
      </c>
      <c r="O9" s="28" t="inlineStr">
        <is>
          <t>현장 여건 및 공정을 기준으로 주요 자재 Lead Time(30~60일) 사전 발주 검증, 한국전기공사협회 기술자 자격 실물 대조, 고소작업차 안전검사합격증 확인 및 투입계획서 승인</t>
        </is>
      </c>
      <c r="P9" s="76">
        <f>HYPERLINK(LEFT(CELL("filename",A1),FIND("[",CELL("filename",A1))-1)&amp;"8.전기분야\8_자재 _ 인원 _ 장비 등 투입 사전 검토\수행지침\자재 _ 인원 _ 장비 등 투입 사전 검토_수행지침.html", "👉 [클릭] 수행지침 열기 📄")</f>
        <v/>
      </c>
      <c r="Q9" s="28"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R9" s="81">
        <f>HYPERLINK(LEFT(CELL("filename",A1),FIND("[",CELL("filename",A1))-1)&amp;"8.전기분야\8_자재 _ 인원 _ 장비 등 투입 사전 검토\체크리스트\자재 _ 인원 _ 장비 등 투입 사전 검토_체크리스트.html", "👉 [클릭] 체크리스트 열기 📄")</f>
        <v/>
      </c>
      <c r="S9" s="9" t="n"/>
      <c r="T9" s="73" t="inlineStr">
        <is>
          <t>● 관련분야 설계기준서 준수</t>
        </is>
      </c>
      <c r="U9" s="73" t="inlineStr">
        <is>
          <t>1) 👉 [더블클릭] 체크리스트 열기 📄</t>
        </is>
      </c>
      <c r="V9" s="29" t="n"/>
    </row>
    <row r="10" ht="139.2" customHeight="1">
      <c r="A10" s="17" t="inlineStr">
        <is>
          <t>9000</t>
        </is>
      </c>
      <c r="B10" s="17" t="inlineStr">
        <is>
          <t>9000-3</t>
        </is>
      </c>
      <c r="C10" s="28" t="inlineStr">
        <is>
          <t>전기분야</t>
        </is>
      </c>
      <c r="D10" s="17" t="inlineStr">
        <is>
          <t>9000-3-9</t>
        </is>
      </c>
      <c r="E10" s="17">
        <f>D9</f>
        <v/>
      </c>
      <c r="F10" s="17">
        <f>D11</f>
        <v/>
      </c>
      <c r="G10" s="17" t="inlineStr">
        <is>
          <t>인허가 준비</t>
        </is>
      </c>
      <c r="H10" s="17" t="inlineStr">
        <is>
          <t>D-180
(D-200~180)</t>
        </is>
      </c>
      <c r="I10" s="17" t="inlineStr">
        <is>
          <t>현장공무팀</t>
        </is>
      </c>
      <c r="J10" s="16" t="inlineStr">
        <is>
          <t>관련법에 따른 인허가 수행</t>
        </is>
      </c>
      <c r="K10" s="33" t="inlineStr">
        <is>
          <t>- 인허가(전기사용신청, 공사계획신고, 도로점용허가, 도로공사 신고, 전기 사용전검사 등) 추진 계획을 To do list 작성하여 관리</t>
        </is>
      </c>
      <c r="L10" s="16" t="inlineStr">
        <is>
          <t>인허가 To do list</t>
        </is>
      </c>
      <c r="M10" s="28" t="inlineStr">
        <is>
          <t>"관할 한전에 수전 용량 계산서, 건축허가서, 22.9kV 수전 단선도 첨부 전기사용신청서 제출(처리기간 1개월) 및 인수점 지중 맨홀 협의"</t>
        </is>
      </c>
      <c r="N10" s="75">
        <f>HYPERLINK(LEFT(CELL("filename",A1),FIND("[",CELL("filename",A1))-1)&amp;"8.전기분야\9_인허가 준비\표준서\인허가 준비_표준서.html", "👉 [클릭] 표준서 열기 📄")</f>
        <v/>
      </c>
      <c r="O10" s="28" t="inlineStr">
        <is>
          <t>한전 22.9kV 수전 전기사용신청, 지자체 전기 공사계획신고, 도로점용허가(도로법 56조), 도로공사신고(도로교통법 69조) 및 KESC 사용전검사 인허가 To-Do List 추적 관리</t>
        </is>
      </c>
      <c r="P10" s="76">
        <f>HYPERLINK(LEFT(CELL("filename",A1),FIND("[",CELL("filename",A1))-1)&amp;"8.전기분야\9_인허가 준비\수행지침\인허가 준비_수행지침.html", "👉 [클릭] 수행지침 열기 📄")</f>
        <v/>
      </c>
      <c r="Q10" s="28"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R10" s="81">
        <f>HYPERLINK(LEFT(CELL("filename",A1),FIND("[",CELL("filename",A1))-1)&amp;"8.전기분야\9_인허가 준비\체크리스트\인허가 준비_체크리스트.html", "👉 [클릭] 체크리스트 열기 📄")</f>
        <v/>
      </c>
      <c r="S10" s="9" t="n"/>
      <c r="T10" s="73" t="inlineStr">
        <is>
          <t>● 관련분야 설계기준서 준수</t>
        </is>
      </c>
      <c r="U10" s="73" t="inlineStr">
        <is>
          <t>1) 👉 [더블클릭] 체크리스트 열기 📄</t>
        </is>
      </c>
      <c r="V10" s="29" t="n"/>
    </row>
    <row r="11" ht="226.2" customHeight="1">
      <c r="A11" s="17" t="inlineStr">
        <is>
          <t>9000</t>
        </is>
      </c>
      <c r="B11" s="17" t="inlineStr">
        <is>
          <t>9000-3</t>
        </is>
      </c>
      <c r="C11" s="28" t="inlineStr">
        <is>
          <t>전기분야</t>
        </is>
      </c>
      <c r="D11" s="17" t="inlineStr">
        <is>
          <t>9000-3-10</t>
        </is>
      </c>
      <c r="E11" s="17">
        <f>D10</f>
        <v/>
      </c>
      <c r="F11" s="17">
        <f>D12</f>
        <v/>
      </c>
      <c r="G11" s="17" t="inlineStr">
        <is>
          <t>착수 전 Big Room 회의</t>
        </is>
      </c>
      <c r="H11" s="17" t="inlineStr">
        <is>
          <t>D-170</t>
        </is>
      </c>
      <c r="I11" s="17" t="inlineStr">
        <is>
          <t>현장공무팀</t>
        </is>
      </c>
      <c r="J11" s="16" t="inlineStr">
        <is>
          <t>전철전력공사 수행 시, 선행공정 간섭사항 및 각종 Risk에 대한 대책 수립</t>
        </is>
      </c>
      <c r="K11" s="3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L11" s="16" t="inlineStr">
        <is>
          <t>Big Room 회의록(참석자 전원 서명)</t>
        </is>
      </c>
      <c r="M11" s="28" t="inlineStr">
        <is>
          <t>"노반(궤도), 신호, 통신, 기계, PSD, 차량 인터페이스 및 3D BIM 공간 간섭을 전면 사전 검토한다."</t>
        </is>
      </c>
      <c r="N11" s="75">
        <f>HYPERLINK(LEFT(CELL("filename",A1),FIND("[",CELL("filename",A1))-1)&amp;"8.전기분야\10_착수 전 Big Room 회의\표준서\착수 전 Big Room 회의_표준서.html", "👉 [클릭] 표준서 열기 📄")</f>
        <v/>
      </c>
      <c r="O11" s="28"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P11" s="76">
        <f>HYPERLINK(LEFT(CELL("filename",A1),FIND("[",CELL("filename",A1))-1)&amp;"8.전기분야\10_착수 전 Big Room 회의\수행지침\착수 전 Big Room 회의_수행지침.html", "👉 [클릭] 수행지침 열기 📄")</f>
        <v/>
      </c>
      <c r="Q11" s="28"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R11" s="81">
        <f>HYPERLINK(LEFT(CELL("filename",A1),FIND("[",CELL("filename",A1))-1)&amp;"8.전기분야\10_착수 전 Big Room 회의\체크리스트\착수 전 Big Room 회의_체크리스트.html", "👉 [클릭] 체크리스트 열기 📄")</f>
        <v/>
      </c>
      <c r="S11" s="9" t="n"/>
      <c r="T11" s="73" t="inlineStr">
        <is>
          <t>● 관련분야 설계기준서 준수</t>
        </is>
      </c>
      <c r="U11" s="73" t="inlineStr">
        <is>
          <t>1) 👉 [더블클릭] 체크리스트 열기 📄</t>
        </is>
      </c>
      <c r="V11" s="29" t="n"/>
    </row>
    <row r="12" ht="121.8" customHeight="1">
      <c r="A12" s="17" t="inlineStr">
        <is>
          <t>9000</t>
        </is>
      </c>
      <c r="B12" s="17" t="inlineStr">
        <is>
          <t>9000-3</t>
        </is>
      </c>
      <c r="C12" s="28" t="inlineStr">
        <is>
          <t>전기분야</t>
        </is>
      </c>
      <c r="D12" s="17" t="inlineStr">
        <is>
          <t>9000-3-11</t>
        </is>
      </c>
      <c r="E12" s="17">
        <f>D11</f>
        <v/>
      </c>
      <c r="F12" s="17">
        <f>D13</f>
        <v/>
      </c>
      <c r="G12" s="17" t="inlineStr">
        <is>
          <t>전기설비 제작 사양서 작성 / 승인</t>
        </is>
      </c>
      <c r="H12" s="17" t="inlineStr">
        <is>
          <t>D-90
(D-180~90)</t>
        </is>
      </c>
      <c r="I12" s="17" t="inlineStr">
        <is>
          <t>현장공사팀</t>
        </is>
      </c>
      <c r="J12" s="16" t="inlineStr">
        <is>
          <t>전기설비의 제작 사양서 작성/승인</t>
        </is>
      </c>
      <c r="K12" s="34" t="inlineStr">
        <is>
          <t>- 현장여건 및 실시설계도서(보고서,도면,자재사양서)의 요구사항 충족 여부를 확인
- 제작사양서, 제작도면 작성 후 감리단 승인</t>
        </is>
      </c>
      <c r="L12" s="16" t="inlineStr">
        <is>
          <t>제작사양서, 제작도면</t>
        </is>
      </c>
      <c r="M12" s="28" t="inlineStr">
        <is>
          <t>"변압기 용량, 정류기 정격, ESS 배터리 세부 기술사양서 검토 및 시방 규격 1:1 대조 파악"</t>
        </is>
      </c>
      <c r="N12" s="75">
        <f>HYPERLINK(LEFT(CELL("filename",A1),FIND("[",CELL("filename",A1))-1)&amp;"8.전기분야\11_전기설비 제작 사양서 작성 _ 승인\표준서\전기설비 제작 사양서 작성 _ 승인_표준서.html", "👉 [클릭] 표준서 열기 📄")</f>
        <v/>
      </c>
      <c r="O12" s="28" t="inlineStr">
        <is>
          <t>전기설비(변압기, 정류기, ESS, GIS, SCADA) 공장 제작 착수 전 발주처 특기시방서 및 KDS 47 00 00 철도설계기준에 따른 상세 기술사양서 및 공장 제작 승인도면(Shop Drawing) 검토</t>
        </is>
      </c>
      <c r="P12" s="76">
        <f>HYPERLINK(LEFT(CELL("filename",A1),FIND("[",CELL("filename",A1))-1)&amp;"8.전기분야\11_전기설비 제작 사양서 작성 _ 승인\수행지침\전기설비 제작 사양서 작성 _ 승인_수행지침.html", "👉 [클릭] 수행지침 열기 📄")</f>
        <v/>
      </c>
      <c r="Q12" s="28"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R12" s="81">
        <f>HYPERLINK(LEFT(CELL("filename",A1),FIND("[",CELL("filename",A1))-1)&amp;"8.전기분야\11_전기설비 제작 사양서 작성 _ 승인\체크리스트\전기설비 제작 사양서 작성 _ 승인_체크리스트.html", "👉 [클릭] 체크리스트 열기 📄")</f>
        <v/>
      </c>
      <c r="S12" s="9" t="n"/>
      <c r="T12" s="73" t="inlineStr">
        <is>
          <t>● 관련분야 설계기준서 준수</t>
        </is>
      </c>
      <c r="U12" s="73" t="inlineStr">
        <is>
          <t>1) 👉 [더블클릭] 체크리스트 열기 📄</t>
        </is>
      </c>
      <c r="V12" s="29" t="n"/>
    </row>
    <row r="13" ht="104.4" customHeight="1">
      <c r="A13" s="17" t="inlineStr">
        <is>
          <t>9000</t>
        </is>
      </c>
      <c r="B13" s="17" t="inlineStr">
        <is>
          <t>9000-3</t>
        </is>
      </c>
      <c r="C13" s="28" t="inlineStr">
        <is>
          <t>전기분야</t>
        </is>
      </c>
      <c r="D13" s="17" t="inlineStr">
        <is>
          <t>9000-3-12</t>
        </is>
      </c>
      <c r="E13" s="17">
        <f>D12</f>
        <v/>
      </c>
      <c r="F13" s="17">
        <f>D14</f>
        <v/>
      </c>
      <c r="G13" s="17" t="inlineStr">
        <is>
          <t>시공 계획 수립 / 승인</t>
        </is>
      </c>
      <c r="H13" s="17" t="inlineStr">
        <is>
          <t>D-60
(D-90~60)</t>
        </is>
      </c>
      <c r="I13" s="17" t="inlineStr">
        <is>
          <t>현장공사팀</t>
        </is>
      </c>
      <c r="J13" s="16" t="inlineStr">
        <is>
          <t>안전/품질이 확보된 시공계획 수립</t>
        </is>
      </c>
      <c r="K13" s="33"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L13" s="19" t="inlineStr">
        <is>
          <t>시공계획서&amp;시공상세도</t>
        </is>
      </c>
      <c r="M13" s="28" t="inlineStr">
        <is>
          <t>"변전기기 반입, Cable Tray 설치, 전차선 지주 입립 시공 순서 및 3D BIM 공정 수립"</t>
        </is>
      </c>
      <c r="N13" s="75">
        <f>HYPERLINK(LEFT(CELL("filename",A1),FIND("[",CELL("filename",A1))-1)&amp;"8.전기분야\12_시공 계획 수립 _ 승인\표준서\시공 계획 수립 _ 승인_표준서.html", "👉 [클릭] 표준서 열기 📄")</f>
        <v/>
      </c>
      <c r="O13" s="28" t="inlineStr">
        <is>
          <t>전기분야 공정별(변전소, 전차선, 케이블 포설) 상세 시공계획서 수립, 예정공정표(Critical Path) 검토, 시공 순서 및 안전/품질 관리대책 수립 후 감리단 공학적 승인 완수</t>
        </is>
      </c>
      <c r="P13" s="76">
        <f>HYPERLINK(LEFT(CELL("filename",A1),FIND("[",CELL("filename",A1))-1)&amp;"8.전기분야\12_시공 계획 수립 _ 승인\수행지침\시공 계획 수립 _ 승인_수행지침.html", "👉 [클릭] 수행지침 열기 📄")</f>
        <v/>
      </c>
      <c r="Q13" s="28"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R13" s="81">
        <f>HYPERLINK(LEFT(CELL("filename",A1),FIND("[",CELL("filename",A1))-1)&amp;"8.전기분야\12_시공 계획 수립 _ 승인\체크리스트\시공 계획 수립 _ 승인_체크리스트.html", "👉 [클릭] 체크리스트 열기 📄")</f>
        <v/>
      </c>
      <c r="S13" s="9" t="n"/>
      <c r="T13" s="73" t="inlineStr">
        <is>
          <t>● 관련분야 설계기준서 준수</t>
        </is>
      </c>
      <c r="U13" s="73" t="inlineStr">
        <is>
          <t>1) 👉 [더블클릭] 체크리스트 열기 📄</t>
        </is>
      </c>
      <c r="V13" s="29" t="n"/>
    </row>
    <row r="14" ht="69.59999999999999" customHeight="1">
      <c r="A14" s="17" t="inlineStr">
        <is>
          <t>9000</t>
        </is>
      </c>
      <c r="B14" s="17" t="inlineStr">
        <is>
          <t>9000-3</t>
        </is>
      </c>
      <c r="C14" s="28" t="inlineStr">
        <is>
          <t>전기분야</t>
        </is>
      </c>
      <c r="D14" s="17" t="inlineStr">
        <is>
          <t>9000-3-13</t>
        </is>
      </c>
      <c r="E14" s="17">
        <f>D13</f>
        <v/>
      </c>
      <c r="F14" s="17">
        <f>D15</f>
        <v/>
      </c>
      <c r="G14" s="17" t="inlineStr">
        <is>
          <t>자재공급원/기자재 제작도서 승인</t>
        </is>
      </c>
      <c r="H14" s="17" t="inlineStr">
        <is>
          <t>D-30
(D-60~30)</t>
        </is>
      </c>
      <c r="I14" s="17" t="inlineStr">
        <is>
          <t>현장공무팀</t>
        </is>
      </c>
      <c r="J14" s="16" t="inlineStr">
        <is>
          <t>전기설비의 시공성과 품질, 기능 확보를 위한 자재 공급원 검토 및 승인</t>
        </is>
      </c>
      <c r="K14" s="34" t="inlineStr">
        <is>
          <t>- 전기자재 제작능력, 납품실적 등 확인
- 성능보증이 가능한 복수의 공급원 검토
- 자재공급원 서류 제출후 감리단 승인</t>
        </is>
      </c>
      <c r="L14" s="16" t="inlineStr">
        <is>
          <t>자재공급원 승인 서류</t>
        </is>
      </c>
      <c r="M14" s="28" t="inlineStr">
        <is>
          <t>"제조사 공장등록증, 사업자등록증, ISO 품질인증서 및 유사 철도/트램 납품 실적 검증"</t>
        </is>
      </c>
      <c r="N14" s="75">
        <f>HYPERLINK(LEFT(CELL("filename",A1),FIND("[",CELL("filename",A1))-1)&amp;"8.전기분야\13_자재공급원_기자재 제작도서 승인\표준서\자재공급원_기자재 제작도서 승인_표준서.html", "👉 [클릭] 표준서 열기 📄")</f>
        <v/>
      </c>
      <c r="O14" s="28" t="inlineStr">
        <is>
          <t>전기자재 공급원 자격 검증(KS/KC 인증, 공장등록증, 납품실적), 제조사 시험성적서 대조 및 공장 제작 승인도면(Shop Drawing) 감리단 적격 승인 수검</t>
        </is>
      </c>
      <c r="P14" s="76">
        <f>HYPERLINK(LEFT(CELL("filename",A1),FIND("[",CELL("filename",A1))-1)&amp;"8.전기분야\13_자재공급원_기자재 제작도서 승인\수행지침\자재공급원_기자재 제작도서 승인_수행지침.html", "👉 [클릭] 수행지침 열기 📄")</f>
        <v/>
      </c>
      <c r="Q14" s="28"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R14" s="81">
        <f>HYPERLINK(LEFT(CELL("filename",A1),FIND("[",CELL("filename",A1))-1)&amp;"8.전기분야\13_자재공급원_기자재 제작도서 승인\체크리스트\자재공급원_기자재 제작도서 승인_체크리스트.html", "👉 [클릭] 체크리스트 열기 📄")</f>
        <v/>
      </c>
      <c r="S14" s="9" t="n"/>
      <c r="T14" s="73" t="inlineStr">
        <is>
          <t>● 관련분야 설계기준서 준수</t>
        </is>
      </c>
      <c r="U14" s="73" t="inlineStr">
        <is>
          <t>1) 👉 [더블클릭] 체크리스트 열기 📄</t>
        </is>
      </c>
      <c r="V14" s="29" t="n"/>
    </row>
    <row r="15" ht="191.4" customHeight="1">
      <c r="A15" s="17" t="inlineStr">
        <is>
          <t>9000</t>
        </is>
      </c>
      <c r="B15" s="17" t="inlineStr">
        <is>
          <t>9000-3</t>
        </is>
      </c>
      <c r="C15" s="28" t="inlineStr">
        <is>
          <t>전기분야</t>
        </is>
      </c>
      <c r="D15" s="17" t="inlineStr">
        <is>
          <t>9000-3-14</t>
        </is>
      </c>
      <c r="E15" s="17">
        <f>D14</f>
        <v/>
      </c>
      <c r="F15" s="17">
        <f>D16</f>
        <v/>
      </c>
      <c r="G15" s="17" t="inlineStr">
        <is>
          <t>전기설비 공정제작 / 제작사 공장검사</t>
        </is>
      </c>
      <c r="H15" s="17" t="inlineStr">
        <is>
          <t>D-30
(D-30~D+150)</t>
        </is>
      </c>
      <c r="I15" s="17" t="inlineStr">
        <is>
          <t>현장공사팀</t>
        </is>
      </c>
      <c r="J15" s="16" t="inlineStr">
        <is>
          <t>제작사양서/제작도면의 일치여부검토 및 현장반입 전 제품 성능검사 확인</t>
        </is>
      </c>
      <c r="K15" s="3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L15" s="16" t="inlineStr">
        <is>
          <t>공장검사 결과보고서(감리/감독 입회)</t>
        </is>
      </c>
      <c r="M15" s="28" t="inlineStr">
        <is>
          <t>"제작사 부품 조달 현황, 외함 판금/도장 및 내부 배선 조립 공정 공정표 100% 관리"</t>
        </is>
      </c>
      <c r="N15" s="75">
        <f>HYPERLINK(LEFT(CELL("filename",A1),FIND("[",CELL("filename",A1))-1)&amp;"8.전기분야\14_전기설비 공정제작 _ 제작사 공장검사\표준서\전기설비 공정제작 _ 제작사 공장검사_표준서.html", "👉 [클릭] 표준서 열기 📄")</f>
        <v/>
      </c>
      <c r="O15" s="28" t="inlineStr">
        <is>
          <t>정류기, 변압기, ESS, GIS, SCADA 제작사 공장 공정 제작 관리 및 감리단/발주처 입회 공장시험(FAT: Factory Acceptance Test) 수행과 시험성적서 승인 완수</t>
        </is>
      </c>
      <c r="P15" s="76">
        <f>HYPERLINK(LEFT(CELL("filename",A1),FIND("[",CELL("filename",A1))-1)&amp;"8.전기분야\14_전기설비 공정제작 _ 제작사 공장검사\수행지침\전기설비 공정제작 _ 제작사 공장검사_수행지침.html", "👉 [클릭] 수행지침 열기 📄")</f>
        <v/>
      </c>
      <c r="Q15" s="28" t="inlineStr">
        <is>
          <t>본 체크리스트는 동탄트램 전기분야 전기설비 공정제작 / 제작사 공장검사 업무 이행에 대해정류기, 변압기, ESS, GIS, SCADA 제작사 공장 공정 제작 관리 및 감리단/발주처 입회 공장시험(FAT: Factory Acc...</t>
        </is>
      </c>
      <c r="R15" s="81">
        <f>HYPERLINK(LEFT(CELL("filename",A1),FIND("[",CELL("filename",A1))-1)&amp;"8.전기분야\14_전기설비 공정제작 _ 제작사 공장검사\체크리스트\전기설비 공정제작 _ 제작사 공장검사_체크리스트.html", "👉 [클릭] 체크리스트 열기 📄")</f>
        <v/>
      </c>
      <c r="S15" s="9" t="n"/>
      <c r="T15" s="73" t="inlineStr">
        <is>
          <t>● 관련분야 설계기준서 준수</t>
        </is>
      </c>
      <c r="U15" s="73" t="inlineStr">
        <is>
          <t>1) 👉 [더블클릭] 체크리스트 열기 📄</t>
        </is>
      </c>
      <c r="V15" s="29" t="n"/>
    </row>
    <row r="16" ht="69.59999999999999" customHeight="1">
      <c r="A16" s="17" t="inlineStr">
        <is>
          <t>9000</t>
        </is>
      </c>
      <c r="B16" s="17" t="inlineStr">
        <is>
          <t>9000-3</t>
        </is>
      </c>
      <c r="C16" s="28" t="inlineStr">
        <is>
          <t>전기분야</t>
        </is>
      </c>
      <c r="D16" s="17" t="inlineStr">
        <is>
          <t>9000-3-15</t>
        </is>
      </c>
      <c r="E16" s="17">
        <f>D15</f>
        <v/>
      </c>
      <c r="F16" s="17">
        <f>D17</f>
        <v/>
      </c>
      <c r="G16" s="17" t="inlineStr">
        <is>
          <t>본공사 전 선행공정 인수인계 점검</t>
        </is>
      </c>
      <c r="H16" s="17" t="inlineStr">
        <is>
          <t>D-10
(D-20~10)</t>
        </is>
      </c>
      <c r="I16" s="17" t="inlineStr">
        <is>
          <t>현장공사팀</t>
        </is>
      </c>
      <c r="J16" s="16" t="inlineStr">
        <is>
          <t>전기설비 설치전 준비상태 확인</t>
        </is>
      </c>
      <c r="K16" s="34" t="inlineStr">
        <is>
          <t>- 전기설비 설치 시 간섭여부 점검
- 현장 시공상태 확인 (건축, 노반(토목) 등)
- 수배전반, 외함, 변압기 등 자재 반입구 위치 및 운반경로 확인, 케이블 포설을 위한 공동구/개구부 위치 체크</t>
        </is>
      </c>
      <c r="L16" s="16" t="inlineStr">
        <is>
          <t>기록지, 현장점검결과보고서(감리입회)</t>
        </is>
      </c>
      <c r="M16" s="28" t="inlineStr">
        <is>
          <t>"건축 변전실 구조물 완성도, 노반 궤도 시공 상태 및 전기 설치 간섭 여부 정밀 실측"</t>
        </is>
      </c>
      <c r="N16" s="75">
        <f>HYPERLINK(LEFT(CELL("filename",A1),FIND("[",CELL("filename",A1))-1)&amp;"8.전기분야\15_본공사 전 선행공정 인수인계 점검\표준서\본공사 전 선행공정 인수인계 점검_표준서.html", "👉 [클릭] 표준서 열기 📄")</f>
        <v/>
      </c>
      <c r="O16" s="28" t="inlineStr">
        <is>
          <t>토목, 노반(궤도), 건축 선행 공정 완성도 실측, 변전실/개구부/공동구 간섭 점검, 자재 반입구 및 반입 동선 인수인계 합동 점검 수행</t>
        </is>
      </c>
      <c r="P16" s="76">
        <f>HYPERLINK(LEFT(CELL("filename",A1),FIND("[",CELL("filename",A1))-1)&amp;"8.전기분야\15_본공사 전 선행공정 인수인계 점검\수행지침\본공사 전 선행공정 인수인계 점검_수행지침.html", "👉 [클릭] 수행지침 열기 📄")</f>
        <v/>
      </c>
      <c r="Q16" s="28"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R16" s="81">
        <f>HYPERLINK(LEFT(CELL("filename",A1),FIND("[",CELL("filename",A1))-1)&amp;"8.전기분야\15_본공사 전 선행공정 인수인계 점검\체크리스트\본공사 전 선행공정 인수인계 점검_체크리스트.html", "👉 [클릭] 체크리스트 열기 📄")</f>
        <v/>
      </c>
      <c r="S16" s="9" t="n"/>
      <c r="T16" s="73" t="inlineStr">
        <is>
          <t>● 관련분야 설계기준서 준수</t>
        </is>
      </c>
      <c r="U16" s="73" t="inlineStr">
        <is>
          <t>1) 👉 [더블클릭] 체크리스트 열기 📄</t>
        </is>
      </c>
      <c r="V16" s="29" t="n"/>
    </row>
    <row r="17" ht="69.59999999999999" customHeight="1">
      <c r="A17" s="17" t="inlineStr">
        <is>
          <t>9000</t>
        </is>
      </c>
      <c r="B17" s="17" t="inlineStr">
        <is>
          <t>9000-3</t>
        </is>
      </c>
      <c r="C17" s="28" t="inlineStr">
        <is>
          <t>전기분야</t>
        </is>
      </c>
      <c r="D17" s="17" t="inlineStr">
        <is>
          <t>9000-3-16</t>
        </is>
      </c>
      <c r="E17" s="17">
        <f>D16</f>
        <v/>
      </c>
      <c r="F17" s="17">
        <f>D18</f>
        <v/>
      </c>
      <c r="G17" s="17" t="inlineStr">
        <is>
          <t>장비반입 및 안전교육</t>
        </is>
      </c>
      <c r="H17" s="17" t="inlineStr">
        <is>
          <t>D-5
(D-10~5)</t>
        </is>
      </c>
      <c r="I17" s="17" t="inlineStr">
        <is>
          <t>안전팀</t>
        </is>
      </c>
      <c r="J17" s="16" t="inlineStr">
        <is>
          <t>장비 반입 준비 및 안전교육 완료</t>
        </is>
      </c>
      <c r="K17" s="34" t="inlineStr">
        <is>
          <t>- 자재반입 경로, 적치장소에 대한 사전확인 및 타분야 일정, 간섭사항 협의/확인
- 장비 Spec확인, 장비상태 점검
- 작업원 안전교육 실시</t>
        </is>
      </c>
      <c r="L17" s="16" t="inlineStr">
        <is>
          <t>안전교육 결과서, 측량기록지</t>
        </is>
      </c>
      <c r="M17" s="28" t="inlineStr">
        <is>
          <t>"장비 진입 경로 및 적치장 사전확인, 타분야 작업 일정 및 지상/지하 구조물 간섭 협의"</t>
        </is>
      </c>
      <c r="N17" s="75">
        <f>HYPERLINK(LEFT(CELL("filename",A1),FIND("[",CELL("filename",A1))-1)&amp;"8.전기분야\16_장비반입 및 안전교육\표준서\장비반입 및 안전교육_표준서.html", "👉 [클릭] 표준서 열기 📄")</f>
        <v/>
      </c>
      <c r="O17" s="28" t="inlineStr">
        <is>
          <t>고소작업차, 케이블 포설차, 활선 작업 장비 현장 반입 동선/적치장 확인, 장비 Spec 및 안전검사필증 점검, 작업원 특별안전교육 실시</t>
        </is>
      </c>
      <c r="P17" s="76">
        <f>HYPERLINK(LEFT(CELL("filename",A1),FIND("[",CELL("filename",A1))-1)&amp;"8.전기분야\16_장비반입 및 안전교육\수행지침\장비반입 및 안전교육_수행지침.html", "👉 [클릭] 수행지침 열기 📄")</f>
        <v/>
      </c>
      <c r="Q17" s="28"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R17" s="81">
        <f>HYPERLINK(LEFT(CELL("filename",A1),FIND("[",CELL("filename",A1))-1)&amp;"8.전기분야\16_장비반입 및 안전교육\체크리스트\장비반입 및 안전교육_체크리스트.html", "👉 [클릭] 체크리스트 열기 📄")</f>
        <v/>
      </c>
      <c r="S17" s="9" t="n"/>
      <c r="T17" s="73" t="inlineStr">
        <is>
          <t>● 관련분야 설계기준서 준수</t>
        </is>
      </c>
      <c r="U17" s="73" t="inlineStr">
        <is>
          <t>1) 👉 [더블클릭] 체크리스트 열기 📄</t>
        </is>
      </c>
      <c r="V17" s="29" t="n"/>
    </row>
    <row r="18" ht="69.59999999999999" customHeight="1">
      <c r="A18" s="17" t="inlineStr">
        <is>
          <t>9000</t>
        </is>
      </c>
      <c r="B18" s="17" t="inlineStr">
        <is>
          <t>9000-3</t>
        </is>
      </c>
      <c r="C18" s="28" t="inlineStr">
        <is>
          <t>전기분야</t>
        </is>
      </c>
      <c r="D18" s="17" t="inlineStr">
        <is>
          <t>9000-3-17</t>
        </is>
      </c>
      <c r="E18" s="17">
        <f>D17</f>
        <v/>
      </c>
      <c r="F18" s="17">
        <f>D19</f>
        <v/>
      </c>
      <c r="G18" s="17" t="inlineStr">
        <is>
          <t>자재 반입 및 검수</t>
        </is>
      </c>
      <c r="H18" s="17" t="inlineStr">
        <is>
          <t>D+0~D+30</t>
        </is>
      </c>
      <c r="I18" s="17" t="inlineStr">
        <is>
          <t>품질팀</t>
        </is>
      </c>
      <c r="J18" s="16" t="inlineStr">
        <is>
          <t>공장검사 시행 완료된 자재반입과 현장 입고 검사</t>
        </is>
      </c>
      <c r="K18" s="33" t="inlineStr">
        <is>
          <t xml:space="preserve">- 자재 하차 위치 및 반입동선 확인
- 승인된 자재 일치여부 확인(Serial number 등)
- 제품의 규격, 수량 도면과 일치하는지 검수 </t>
        </is>
      </c>
      <c r="L18" s="16" t="inlineStr">
        <is>
          <t>자재검수서</t>
        </is>
      </c>
      <c r="M18" s="28" t="inlineStr">
        <is>
          <t>"자재 하차 통제 구획 설정, 크레인 양중 신호수 배치 및 자재 반입 동선 안전 확보"</t>
        </is>
      </c>
      <c r="N18" s="75">
        <f>HYPERLINK(LEFT(CELL("filename",A1),FIND("[",CELL("filename",A1))-1)&amp;"8.전기분야\17_자재 반입 및 검수\표준서\자재 반입 및 검수_표준서.html", "👉 [클릭] 표준서 열기 📄")</f>
        <v/>
      </c>
      <c r="O18" s="28" t="inlineStr">
        <is>
          <t>전기자재 현장 반입 하차 위치/동선 통제, 승인된 자재공급원 일치 여부(Serial No., Serial Tag) 검수, 도면 규격 및 수량 1:1 대조 확인</t>
        </is>
      </c>
      <c r="P18" s="76">
        <f>HYPERLINK(LEFT(CELL("filename",A1),FIND("[",CELL("filename",A1))-1)&amp;"8.전기분야\17_자재 반입 및 검수\수행지침\자재 반입 및 검수_수행지침.html", "👉 [클릭] 수행지침 열기 📄")</f>
        <v/>
      </c>
      <c r="Q18" s="28" t="inlineStr">
        <is>
          <t>본 체크리스트는 동탄트램 전기분야 자재 반입 및 검수 업무 이행에 대해전기자재 현장 반입 하차 위치/동선 통제, 승인된 자재공급원 일치 여부(Serial No., Serial Tag) 검수, 도면 규격 및 수량 1:1 대조 ...</t>
        </is>
      </c>
      <c r="R18" s="81">
        <f>HYPERLINK(LEFT(CELL("filename",A1),FIND("[",CELL("filename",A1))-1)&amp;"8.전기분야\17_자재 반입 및 검수\체크리스트\자재 반입 및 검수_체크리스트.html", "👉 [클릭] 체크리스트 열기 📄")</f>
        <v/>
      </c>
      <c r="S18" s="9" t="n"/>
      <c r="T18" s="73" t="inlineStr">
        <is>
          <t>● 관련분야 설계기준서 준수</t>
        </is>
      </c>
      <c r="U18" s="73" t="inlineStr">
        <is>
          <t>1) 👉 [더블클릭] 체크리스트 열기 📄</t>
        </is>
      </c>
      <c r="V18" s="29" t="n"/>
    </row>
    <row r="19" ht="69.59999999999999" customHeight="1">
      <c r="A19" s="17" t="inlineStr">
        <is>
          <t>9000</t>
        </is>
      </c>
      <c r="B19" s="17" t="inlineStr">
        <is>
          <t>9000-3</t>
        </is>
      </c>
      <c r="C19" s="28" t="inlineStr">
        <is>
          <t>전기분야</t>
        </is>
      </c>
      <c r="D19" s="17" t="inlineStr">
        <is>
          <t>9000-3-18</t>
        </is>
      </c>
      <c r="E19" s="17">
        <f>D18</f>
        <v/>
      </c>
      <c r="F19" s="17">
        <f>D20</f>
        <v/>
      </c>
      <c r="G19" s="17" t="inlineStr">
        <is>
          <t>전철전력설비 반입 및 설치</t>
        </is>
      </c>
      <c r="H19" s="17" t="inlineStr">
        <is>
          <t>D+31~D+360</t>
        </is>
      </c>
      <c r="I19" s="17" t="inlineStr">
        <is>
          <t>현장공사팀</t>
        </is>
      </c>
      <c r="J19" s="16" t="inlineStr">
        <is>
          <t>설계에 부합되도록 전철전력설비 설치</t>
        </is>
      </c>
      <c r="K19" s="33" t="inlineStr">
        <is>
          <t>- 시공샘플이 필요한 대상을 감리/감독과 협의하여 선정후 시험시공 실시
- 현장설비, 특고압 케이블, 정거장 전기실 내 특고압반/저압반/변압기 설치
- 전기설비가 도면대로 설치되었는지 확인</t>
        </is>
      </c>
      <c r="L19" s="16" t="inlineStr">
        <is>
          <t>검측서</t>
        </is>
      </c>
      <c r="M19" s="28" t="inlineStr">
        <is>
          <t>"감리/감독 협의를 통한 시공 샘플 대상 선정, 시험시공 수행 및 시공 기준서 확정"</t>
        </is>
      </c>
      <c r="N19" s="75">
        <f>HYPERLINK(LEFT(CELL("filename",A1),FIND("[",CELL("filename",A1))-1)&amp;"8.전기분야\18_전철전력설비 반입 및 설치\표준서\전철전력설비 반입 및 설치_표준서.html", "👉 [클릭] 표준서 열기 📄")</f>
        <v/>
      </c>
      <c r="O19" s="28" t="inlineStr">
        <is>
          <t>변전소 수배전반, 정류기, ESS, 특고압반 및 정거장 전기실 기기 반입/설치, 시공 샘플 감리 협의 후 시험시공 및 도면 일치성 최종 검측</t>
        </is>
      </c>
      <c r="P19" s="76">
        <f>HYPERLINK(LEFT(CELL("filename",A1),FIND("[",CELL("filename",A1))-1)&amp;"8.전기분야\18_전철전력설비 반입 및 설치\수행지침\전철전력설비 반입 및 설치_수행지침.html", "👉 [클릭] 수행지침 열기 📄")</f>
        <v/>
      </c>
      <c r="Q19" s="28"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R19" s="81">
        <f>HYPERLINK(LEFT(CELL("filename",A1),FIND("[",CELL("filename",A1))-1)&amp;"8.전기분야\18_전철전력설비 반입 및 설치\체크리스트\전철전력설비 반입 및 설치_체크리스트.html", "👉 [클릭] 체크리스트 열기 📄")</f>
        <v/>
      </c>
      <c r="S19" s="9" t="n"/>
      <c r="T19" s="73" t="inlineStr">
        <is>
          <t>● 관련분야 설계기준서 준수</t>
        </is>
      </c>
      <c r="U19" s="73" t="inlineStr">
        <is>
          <t>1) 👉 [더블클릭] 체크리스트 열기 📄</t>
        </is>
      </c>
      <c r="V19" s="29" t="n"/>
    </row>
    <row r="20" ht="69.59999999999999" customHeight="1">
      <c r="A20" s="17" t="inlineStr">
        <is>
          <t>9000</t>
        </is>
      </c>
      <c r="B20" s="17" t="inlineStr">
        <is>
          <t>9000-3</t>
        </is>
      </c>
      <c r="C20" s="28" t="inlineStr">
        <is>
          <t>전기분야</t>
        </is>
      </c>
      <c r="D20" s="17" t="inlineStr">
        <is>
          <t>9000-3-19</t>
        </is>
      </c>
      <c r="E20" s="17">
        <f>D19</f>
        <v/>
      </c>
      <c r="F20" s="17">
        <f>D21</f>
        <v/>
      </c>
      <c r="G20" s="17" t="inlineStr">
        <is>
          <t>수전용 케이블 트레이 및 케이블 포설</t>
        </is>
      </c>
      <c r="H20" s="17" t="inlineStr">
        <is>
          <t>D+150~D+210</t>
        </is>
      </c>
      <c r="I20" s="17" t="inlineStr">
        <is>
          <t>현장공사팀</t>
        </is>
      </c>
      <c r="J20" s="16" t="inlineStr">
        <is>
          <t>전기실에 전기를 공급하기 위해 한전 책임분계점 전주에서 수전전기실까지 배관/배선을 설치</t>
        </is>
      </c>
      <c r="K20" s="34" t="inlineStr">
        <is>
          <t>- 한전 책임분계점으로부터 수전 전기실까지 케이블 트레이를 설치
- 트레이 설치완료 후 특고압케이블 포설 및 단말 접속
(책임분계점: 전기안전에 대한 책임을 나누는 기준점/수급지점)</t>
        </is>
      </c>
      <c r="L20" s="16" t="inlineStr">
        <is>
          <t>검측서</t>
        </is>
      </c>
      <c r="M20" s="28" t="inlineStr">
        <is>
          <t>"한전 인수점 지중 맨홀부터 수전 전기실까지 Cable Tray 수평도 및 고정 행거 설치"</t>
        </is>
      </c>
      <c r="N20" s="75">
        <f>HYPERLINK(LEFT(CELL("filename",A1),FIND("[",CELL("filename",A1))-1)&amp;"8.전기분야\19_수전용 케이블 트레이 및 케이블 포설\표준서\수전용 케이블 트레이 및 케이블 포설_표준서.html", "👉 [클릭] 표준서 열기 📄")</f>
        <v/>
      </c>
      <c r="O20" s="28" t="inlineStr">
        <is>
          <t>한전 책임분계점으로부터 수전 전기실까지 케이블 트레이 수평/수직 고정 설치, 특고압 케이블 포설 및 단말 접속, 절연저항/내전압 시험 완수</t>
        </is>
      </c>
      <c r="P20" s="76">
        <f>HYPERLINK(LEFT(CELL("filename",A1),FIND("[",CELL("filename",A1))-1)&amp;"8.전기분야\19_수전용 케이블 트레이 및 케이블 포설\수행지침\수전용 케이블 트레이 및 케이블 포설_수행지침.html", "👉 [클릭] 수행지침 열기 📄")</f>
        <v/>
      </c>
      <c r="Q20" s="28"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R20" s="81">
        <f>HYPERLINK(LEFT(CELL("filename",A1),FIND("[",CELL("filename",A1))-1)&amp;"8.전기분야\19_수전용 케이블 트레이 및 케이블 포설\체크리스트\수전용 케이블 트레이 및 케이블 포설_체크리스트.html", "👉 [클릭] 체크리스트 열기 📄")</f>
        <v/>
      </c>
      <c r="S20" s="9" t="n"/>
      <c r="T20" s="73" t="inlineStr">
        <is>
          <t>● 관련분야 설계기준서 준수</t>
        </is>
      </c>
      <c r="U20" s="73" t="inlineStr">
        <is>
          <t>1) 👉 [더블클릭] 체크리스트 열기 📄</t>
        </is>
      </c>
      <c r="V20" s="29" t="n"/>
    </row>
    <row r="21" ht="69.59999999999999" customHeight="1">
      <c r="A21" s="17" t="inlineStr">
        <is>
          <t>9000</t>
        </is>
      </c>
      <c r="B21" s="17" t="inlineStr">
        <is>
          <t>9000-3</t>
        </is>
      </c>
      <c r="C21" s="28" t="inlineStr">
        <is>
          <t>전기분야</t>
        </is>
      </c>
      <c r="D21" s="17" t="inlineStr">
        <is>
          <t>9000-3-20</t>
        </is>
      </c>
      <c r="E21" s="17">
        <f>D20</f>
        <v/>
      </c>
      <c r="F21" s="17">
        <f>D22</f>
        <v/>
      </c>
      <c r="G21" s="17" t="inlineStr">
        <is>
          <t>수전 및 전기공급(급전)</t>
        </is>
      </c>
      <c r="H21" s="17" t="inlineStr">
        <is>
          <t>D+211~D+255</t>
        </is>
      </c>
      <c r="I21" s="17" t="inlineStr">
        <is>
          <t>현장공사팀</t>
        </is>
      </c>
      <c r="J21" s="16" t="inlineStr">
        <is>
          <t>한전으로부터 전기를 인입 후 전기가 필요한 시설들에 순차적으로 전기를 공급</t>
        </is>
      </c>
      <c r="K21" s="33" t="inlineStr">
        <is>
          <t>- 사용전검사 시행 (사용전검사 필증 수령)
- 전기가합계획 수립 및 한전 가입 요청
- 수전 전 기기별 자체시험 실시
- 수전 이후 기계, 통신, 신호 등 분야별 일정에 따라 전기공급 실시</t>
        </is>
      </c>
      <c r="L21" s="16" t="inlineStr">
        <is>
          <t>전기사용승인, 수전 결과서</t>
        </is>
      </c>
      <c r="M21" s="28" t="inlineStr">
        <is>
          <t>"한국전기안전공사 KESC 사용전검사 합격 필증 수령 및 수전 사전 조건 완수"</t>
        </is>
      </c>
      <c r="N21" s="75">
        <f>HYPERLINK(LEFT(CELL("filename",A1),FIND("[",CELL("filename",A1))-1)&amp;"8.전기분야\20_수전 및 전기공급(급전)\표준서\수전 및 전기공급(급전)_표준서.html", "👉 [클릭] 표준서 열기 📄")</f>
        <v/>
      </c>
      <c r="O21" s="28" t="inlineStr">
        <is>
          <t>KESC 사용전검사 합격증 수령, 전기가압계획 수립 및 한전 가입 요청, 수전 전 기기별 자체시험 수행 후 통신/신호/기계 공종별 단계적 전기공급(급전) 시행</t>
        </is>
      </c>
      <c r="P21" s="76">
        <f>HYPERLINK(LEFT(CELL("filename",A1),FIND("[",CELL("filename",A1))-1)&amp;"8.전기분야\20_수전 및 전기공급(급전)\수행지침\수전 및 전기공급(급전)_수행지침.html", "👉 [클릭] 수행지침 열기 📄")</f>
        <v/>
      </c>
      <c r="Q21" s="28"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R21" s="81">
        <f>HYPERLINK(LEFT(CELL("filename",A1),FIND("[",CELL("filename",A1))-1)&amp;"8.전기분야\20_수전 및 전기공급(급전)\체크리스트\수전 및 전기공급(급전)_체크리스트.html", "👉 [클릭] 체크리스트 열기 📄")</f>
        <v/>
      </c>
      <c r="S21" s="9" t="n"/>
      <c r="T21" s="73" t="inlineStr">
        <is>
          <t>● 관련분야 설계기준서 준수</t>
        </is>
      </c>
      <c r="U21" s="73" t="inlineStr">
        <is>
          <t>1) 👉 [더블클릭] 체크리스트 열기 📄</t>
        </is>
      </c>
      <c r="V21" s="29" t="n"/>
    </row>
    <row r="22" ht="69.59999999999999" customHeight="1">
      <c r="A22" s="17" t="inlineStr">
        <is>
          <t>9000</t>
        </is>
      </c>
      <c r="B22" s="17" t="inlineStr">
        <is>
          <t>9000-3</t>
        </is>
      </c>
      <c r="C22" s="28" t="inlineStr">
        <is>
          <t>전기분야</t>
        </is>
      </c>
      <c r="D22" s="17" t="inlineStr">
        <is>
          <t>9000-3-21</t>
        </is>
      </c>
      <c r="E22" s="17">
        <f>D21</f>
        <v/>
      </c>
      <c r="F22" s="17">
        <f>D23</f>
        <v/>
      </c>
      <c r="G22" s="17" t="inlineStr">
        <is>
          <t>종합연동시험(SCADA) 실시</t>
        </is>
      </c>
      <c r="H22" s="17" t="inlineStr">
        <is>
          <t>D+226~D+285</t>
        </is>
      </c>
      <c r="I22" s="17" t="inlineStr">
        <is>
          <t>현장공사팀</t>
        </is>
      </c>
      <c r="J22" s="19" t="inlineStr">
        <is>
          <t>원방제어시스템 구축을 위한 변전/전차선/전력설비의 종합연동시험 실시
* SCADA (Supervisory Control And Data Acquisition): 광범위하고 대용량의 산업설비를 효율적으로 감시 제어하는 원방제어시스템</t>
        </is>
      </c>
      <c r="K22" s="35" t="inlineStr">
        <is>
          <t xml:space="preserve"> - 감리단 입회하에 시험 절차대로 수행
  1) 종합연동시험 계획서 작성
  2) 트램관제실/현장 기기간 인터페이스 시험
  * 현장기기 감시/제어/계측상태 확인 등</t>
        </is>
      </c>
      <c r="L22" s="19" t="inlineStr">
        <is>
          <t>종합연동시험 결과보고서</t>
        </is>
      </c>
      <c r="M22" s="28" t="inlineStr">
        <is>
          <t>"감리단 제출용 SCADA 종합연동시험 계획서, 포인트 맵 및 점검 절차서 작성"</t>
        </is>
      </c>
      <c r="N22" s="75">
        <f>HYPERLINK(LEFT(CELL("filename",A1),FIND("[",CELL("filename",A1))-1)&amp;"8.전기분야\21_종합연동시험(SCADA) 실시\표준서\종합연동시험(SCADA) 실시_표준서.html", "👉 [클릭] 표준서 열기 📄")</f>
        <v/>
      </c>
      <c r="O22" s="28" t="inlineStr">
        <is>
          <t>책임감리단 입회하에 트램관제실(OCC)과 현장 변전소/정류기/ESS 기기 간 SCADA 원격 감시/제어/계측(DI/DO/AI/AO) 종합연동시험 수행 및 검측 승인</t>
        </is>
      </c>
      <c r="P22" s="76">
        <f>HYPERLINK(LEFT(CELL("filename",A1),FIND("[",CELL("filename",A1))-1)&amp;"8.전기분야\21_종합연동시험(SCADA) 실시\수행지침\종합연동시험(SCADA) 실시_수행지침.html", "👉 [클릭] 수행지침 열기 📄")</f>
        <v/>
      </c>
      <c r="Q22" s="28" t="inlineStr">
        <is>
          <t>본 체크리스트는 동탄트램 전기분야 종합연동시험(SCADA) 실시 업무 이행에 대해책임감리단 입회하에 트램관제실(OCC)과 현장 변전소/정류기/ESS 기기 간 SCADA 원격 감시/제어/계측(DI/DO/AI/AO) 종합연동시험...</t>
        </is>
      </c>
      <c r="R22" s="81">
        <f>HYPERLINK(LEFT(CELL("filename",A1),FIND("[",CELL("filename",A1))-1)&amp;"8.전기분야\21_종합연동시험(SCADA) 실시\체크리스트\종합연동시험(SCADA) 실시_체크리스트.html", "👉 [클릭] 체크리스트 열기 📄")</f>
        <v/>
      </c>
      <c r="S22" s="9" t="n"/>
      <c r="T22" s="73" t="inlineStr">
        <is>
          <t>● 관련분야 설계기준서 준수</t>
        </is>
      </c>
      <c r="U22" s="73" t="inlineStr">
        <is>
          <t>1) 👉 [더블클릭] 체크리스트 열기 📄</t>
        </is>
      </c>
      <c r="V22" s="29" t="n"/>
    </row>
    <row r="23" ht="69.59999999999999" customHeight="1">
      <c r="A23" s="17" t="inlineStr">
        <is>
          <t>9000</t>
        </is>
      </c>
      <c r="B23" s="17" t="inlineStr">
        <is>
          <t>9000-3</t>
        </is>
      </c>
      <c r="C23" s="28" t="inlineStr">
        <is>
          <t>전기분야</t>
        </is>
      </c>
      <c r="D23" s="17" t="inlineStr">
        <is>
          <t>9000-3-22</t>
        </is>
      </c>
      <c r="E23" s="17">
        <f>D22</f>
        <v/>
      </c>
      <c r="F23" s="17">
        <f>D24</f>
        <v/>
      </c>
      <c r="G23" s="17" t="inlineStr">
        <is>
          <t>공종별 시험</t>
        </is>
      </c>
      <c r="H23" s="17" t="inlineStr">
        <is>
          <t>D+256~D+285</t>
        </is>
      </c>
      <c r="I23" s="17" t="inlineStr">
        <is>
          <t>현장공사팀</t>
        </is>
      </c>
      <c r="J23" s="19" t="inlineStr">
        <is>
          <t>관련 법령, 설계기준, 기술기준, 시방서 등의 요구사항에 적합하도록 설치되었는지를 확인</t>
        </is>
      </c>
      <c r="K23" s="34" t="inlineStr">
        <is>
          <t>- 철도종합시험운행 시행지침 제6조(공종별시험)에 따라 시행</t>
        </is>
      </c>
      <c r="L23" s="16" t="inlineStr">
        <is>
          <t>공종별 시험 결과보고서</t>
        </is>
      </c>
      <c r="M23" s="28" t="inlineStr">
        <is>
          <t>"철도종합시험운행 시행지침 제6조에 따른 전기 공종별 시험 항목 및 절차서 확정"</t>
        </is>
      </c>
      <c r="N23" s="75">
        <f>HYPERLINK(LEFT(CELL("filename",A1),FIND("[",CELL("filename",A1))-1)&amp;"8.전기분야\22_공종별 시험\표준서\공종별 시험_표준서.html", "👉 [클릭] 표준서 열기 📄")</f>
        <v/>
      </c>
      <c r="O23" s="28" t="inlineStr">
        <is>
          <t>철도종합시험운행 시행지침 제6조(공종별시험)에 의거하여 변전, 전차선, 전력 설비 공종별 절연, 보호계전기, 통전 시험을 정밀 수행하고 보고서 승인</t>
        </is>
      </c>
      <c r="P23" s="76">
        <f>HYPERLINK(LEFT(CELL("filename",A1),FIND("[",CELL("filename",A1))-1)&amp;"8.전기분야\22_공종별 시험\수행지침\공종별 시험_수행지침.html", "👉 [클릭] 수행지침 열기 📄")</f>
        <v/>
      </c>
      <c r="Q23" s="28"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R23" s="81">
        <f>HYPERLINK(LEFT(CELL("filename",A1),FIND("[",CELL("filename",A1))-1)&amp;"8.전기분야\22_공종별 시험\체크리스트\공종별 시험_체크리스트.html", "👉 [클릭] 체크리스트 열기 📄")</f>
        <v/>
      </c>
      <c r="S23" s="9" t="n"/>
      <c r="T23" s="73" t="inlineStr">
        <is>
          <t>● 관련분야 설계기준서 준수</t>
        </is>
      </c>
      <c r="U23" s="73" t="inlineStr">
        <is>
          <t>1) 👉 [더블클릭] 체크리스트 열기 📄</t>
        </is>
      </c>
      <c r="V23" s="29" t="n"/>
    </row>
    <row r="24" ht="69.59999999999999" customHeight="1">
      <c r="A24" s="17" t="inlineStr">
        <is>
          <t>9000</t>
        </is>
      </c>
      <c r="B24" s="17" t="inlineStr">
        <is>
          <t>9000-3</t>
        </is>
      </c>
      <c r="C24" s="28" t="inlineStr">
        <is>
          <t>전기분야</t>
        </is>
      </c>
      <c r="D24" s="17" t="inlineStr">
        <is>
          <t>9000-3-23</t>
        </is>
      </c>
      <c r="E24" s="17">
        <f>D23</f>
        <v/>
      </c>
      <c r="F24" s="17">
        <f>D25</f>
        <v/>
      </c>
      <c r="G24" s="17" t="inlineStr">
        <is>
          <t>차량 투입 전 점검</t>
        </is>
      </c>
      <c r="H24" s="17" t="inlineStr">
        <is>
          <t>D+286~D+300</t>
        </is>
      </c>
      <c r="I24" s="17" t="inlineStr">
        <is>
          <t>현장공사팀</t>
        </is>
      </c>
      <c r="J24" s="19" t="inlineStr">
        <is>
          <t>발주처 주관의 차량시운전이 되도록 노반, 건축, 궤도, 전철전력, 통신, 신호분야를 종합하여 최종 점검</t>
        </is>
      </c>
      <c r="K24" s="33" t="inlineStr">
        <is>
          <t>- 노반/궤도 시공상태 점검
- 건축한계 및 차량한계 검사 [건축한계: 폭(3,600mm)]
- 전차선, 신호, 통신 작동상태 확인
- 차량충전설비, 신호, 통신 작동상태 확인</t>
        </is>
      </c>
      <c r="L24" s="19" t="inlineStr">
        <is>
          <t>합동점검 결과보고서</t>
        </is>
      </c>
      <c r="M24" s="28" t="inlineStr">
        <is>
          <t>"궤도 시공 정밀도 확인 및 트램 차량 건축한계(폭 3,600mm) 간섭 여부 레이저 실측"</t>
        </is>
      </c>
      <c r="N24" s="75">
        <f>HYPERLINK(LEFT(CELL("filename",A1),FIND("[",CELL("filename",A1))-1)&amp;"8.전기분야\23_차량 투입 전 점검\표준서\차량 투입 전 점검_표준서.html", "👉 [클릭] 표준서 열기 📄")</f>
        <v/>
      </c>
      <c r="O24" s="28" t="inlineStr">
        <is>
          <t>노반/궤도 시공상태 점검, 트램 건축한계(폭 3,600mm) 검사, 전차선 750V DC 가압, 차량충전설비, 신호/통신 작동상태 합동 사전 점검 완수</t>
        </is>
      </c>
      <c r="P24" s="76">
        <f>HYPERLINK(LEFT(CELL("filename",A1),FIND("[",CELL("filename",A1))-1)&amp;"8.전기분야\23_차량 투입 전 점검\수행지침\차량 투입 전 점검_수행지침.html", "👉 [클릭] 수행지침 열기 📄")</f>
        <v/>
      </c>
      <c r="Q24" s="28"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R24" s="81">
        <f>HYPERLINK(LEFT(CELL("filename",A1),FIND("[",CELL("filename",A1))-1)&amp;"8.전기분야\23_차량 투입 전 점검\체크리스트\차량 투입 전 점검_체크리스트.html", "👉 [클릭] 체크리스트 열기 📄")</f>
        <v/>
      </c>
      <c r="S24" s="9" t="n"/>
      <c r="T24" s="73" t="inlineStr">
        <is>
          <t>● 관련분야 설계기준서 준수</t>
        </is>
      </c>
      <c r="U24" s="73" t="inlineStr">
        <is>
          <t>1) 👉 [더블클릭] 체크리스트 열기 📄</t>
        </is>
      </c>
      <c r="V24" s="29" t="n"/>
    </row>
    <row r="25" ht="69.59999999999999" customHeight="1">
      <c r="A25" s="17" t="inlineStr">
        <is>
          <t>9000</t>
        </is>
      </c>
      <c r="B25" s="17" t="inlineStr">
        <is>
          <t>9000-3</t>
        </is>
      </c>
      <c r="C25" s="28" t="inlineStr">
        <is>
          <t>전기분야</t>
        </is>
      </c>
      <c r="D25" s="17" t="inlineStr">
        <is>
          <t>9000-3-24</t>
        </is>
      </c>
      <c r="E25" s="17">
        <f>D24</f>
        <v/>
      </c>
      <c r="F25" s="17">
        <f>D26</f>
        <v/>
      </c>
      <c r="G25" s="17" t="inlineStr">
        <is>
          <t>차량 시운전</t>
        </is>
      </c>
      <c r="H25" s="17" t="inlineStr">
        <is>
          <t>D+301~D+360</t>
        </is>
      </c>
      <c r="I25" s="17" t="inlineStr">
        <is>
          <t>현장공사팀</t>
        </is>
      </c>
      <c r="J25" s="16" t="inlineStr">
        <is>
          <t>철도안전법에 따른 철도차량 형식승인</t>
        </is>
      </c>
      <c r="K25" s="34" t="inlineStr">
        <is>
          <t>- 철도안전법 제26조(철도차량 형식승인)에 따라 이행 (주로 본선구간 수행)
- 차량, 신호, 통신 시스템간 인터페이스 시험</t>
        </is>
      </c>
      <c r="L25" s="16" t="inlineStr">
        <is>
          <t>철도차량 형식승인 결과 보고서</t>
        </is>
      </c>
      <c r="M25" s="28" t="inlineStr">
        <is>
          <t>"철도안전법 철도차량 형식승인 절차에 따른 본선 구간 전기-차량 시운전 계획 수립"</t>
        </is>
      </c>
      <c r="N25" s="75">
        <f>HYPERLINK(LEFT(CELL("filename",A1),FIND("[",CELL("filename",A1))-1)&amp;"8.전기분야\24_차량 시운전\표준서\차량 시운전_표준서.html", "👉 [클릭] 표준서 열기 📄")</f>
        <v/>
      </c>
      <c r="O25" s="28" t="inlineStr">
        <is>
          <t>철도안전법 제26조(철도차량 형식승인)에 의거하여 본선 구간 트램 차량, 전차선 전력, 신호, 통신 시스템 간 인터페이스 시험 및 동력 성능 시운전 수행</t>
        </is>
      </c>
      <c r="P25" s="76">
        <f>HYPERLINK(LEFT(CELL("filename",A1),FIND("[",CELL("filename",A1))-1)&amp;"8.전기분야\24_차량 시운전\수행지침\차량 시운전_수행지침.html", "👉 [클릭] 수행지침 열기 📄")</f>
        <v/>
      </c>
      <c r="Q25" s="28"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R25" s="81">
        <f>HYPERLINK(LEFT(CELL("filename",A1),FIND("[",CELL("filename",A1))-1)&amp;"8.전기분야\24_차량 시운전\체크리스트\차량 시운전_체크리스트.html", "👉 [클릭] 체크리스트 열기 📄")</f>
        <v/>
      </c>
      <c r="S25" s="9" t="n"/>
      <c r="T25" s="73" t="inlineStr">
        <is>
          <t>● 관련분야 설계기준서 준수</t>
        </is>
      </c>
      <c r="U25" s="73" t="inlineStr">
        <is>
          <t>1) 👉 [더블클릭] 체크리스트 열기 📄</t>
        </is>
      </c>
      <c r="V25" s="29" t="n"/>
    </row>
    <row r="26" ht="69.59999999999999" customHeight="1">
      <c r="A26" s="17" t="inlineStr">
        <is>
          <t>9000</t>
        </is>
      </c>
      <c r="B26" s="17" t="inlineStr">
        <is>
          <t>9000-3</t>
        </is>
      </c>
      <c r="C26" s="28" t="inlineStr">
        <is>
          <t>전기분야</t>
        </is>
      </c>
      <c r="D26" s="17" t="inlineStr">
        <is>
          <t>9000-3-25</t>
        </is>
      </c>
      <c r="E26" s="17">
        <f>D25</f>
        <v/>
      </c>
      <c r="F26" s="17">
        <f>D27</f>
        <v/>
      </c>
      <c r="G26" s="17" t="inlineStr">
        <is>
          <t>운영자 교육시행</t>
        </is>
      </c>
      <c r="H26" s="17" t="inlineStr">
        <is>
          <t>D+361~D+374</t>
        </is>
      </c>
      <c r="I26" s="17" t="inlineStr">
        <is>
          <t>현장공사팀</t>
        </is>
      </c>
      <c r="J26" s="16" t="inlineStr">
        <is>
          <t>영업시운전 전에 시설을 운영자를 대상으로 운영 및 유지관리방법에 대해 교육</t>
        </is>
      </c>
      <c r="K26" s="34" t="inlineStr">
        <is>
          <t>- 전기 제작사가 만든 매뉴얼로 운영자를 교육
: 변전/전력설비 운영/관리방법</t>
        </is>
      </c>
      <c r="L26" s="16" t="inlineStr">
        <is>
          <t>운영자 교육 결과서</t>
        </is>
      </c>
      <c r="M26" s="28" t="inlineStr">
        <is>
          <t>"전기자재 제작사 작성 운영/유지보수 매뉴얼, 비상 조치 절차서 및 교육 교재 검토"</t>
        </is>
      </c>
      <c r="N26" s="75">
        <f>HYPERLINK(LEFT(CELL("filename",A1),FIND("[",CELL("filename",A1))-1)&amp;"8.전기분야\25_운영자 교육시행\표준서\운영자 교육시행_표준서.html", "👉 [클릭] 표준서 열기 📄")</f>
        <v/>
      </c>
      <c r="O26" s="28" t="inlineStr">
        <is>
          <t>전기설비(변전, 전차선, SCADA, ESS) 제작사 취급 설명 매뉴얼 기반 운영사 및 관제 유지보수자 대상 이론/실습 교육 시행 및 교육 이수증 교부</t>
        </is>
      </c>
      <c r="P26" s="76">
        <f>HYPERLINK(LEFT(CELL("filename",A1),FIND("[",CELL("filename",A1))-1)&amp;"8.전기분야\25_운영자 교육시행\수행지침\운영자 교육시행_수행지침.html", "👉 [클릭] 수행지침 열기 📄")</f>
        <v/>
      </c>
      <c r="Q26" s="28"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R26" s="81">
        <f>HYPERLINK(LEFT(CELL("filename",A1),FIND("[",CELL("filename",A1))-1)&amp;"8.전기분야\25_운영자 교육시행\체크리스트\운영자 교육시행_체크리스트.html", "👉 [클릭] 체크리스트 열기 📄")</f>
        <v/>
      </c>
      <c r="S26" s="9" t="n"/>
      <c r="T26" s="73" t="inlineStr">
        <is>
          <t>● 관련분야 설계기준서 준수</t>
        </is>
      </c>
      <c r="U26" s="73" t="inlineStr">
        <is>
          <t>1) 👉 [더블클릭] 체크리스트 열기 📄</t>
        </is>
      </c>
      <c r="V26" s="29" t="n"/>
    </row>
    <row r="27" ht="87" customHeight="1">
      <c r="A27" s="17" t="inlineStr">
        <is>
          <t>9000</t>
        </is>
      </c>
      <c r="B27" s="17" t="inlineStr">
        <is>
          <t>9000-3</t>
        </is>
      </c>
      <c r="C27" s="28" t="inlineStr">
        <is>
          <t>전기분야</t>
        </is>
      </c>
      <c r="D27" s="17" t="inlineStr">
        <is>
          <t>9000-3-26</t>
        </is>
      </c>
      <c r="E27" s="17">
        <f>D26</f>
        <v/>
      </c>
      <c r="F27" s="17">
        <f>D28</f>
        <v/>
      </c>
      <c r="G27" s="17" t="inlineStr">
        <is>
          <t>사전점검</t>
        </is>
      </c>
      <c r="H27" s="17" t="inlineStr">
        <is>
          <t>D+375~D+414</t>
        </is>
      </c>
      <c r="I27" s="17" t="inlineStr">
        <is>
          <t>현장공사팀</t>
        </is>
      </c>
      <c r="J27" s="16" t="inlineStr">
        <is>
          <t>시설물검증시험의 가능여부를 확인하기 위하여 발주처와 운영자가 합동으로 점검</t>
        </is>
      </c>
      <c r="K27" s="3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L27" s="16" t="inlineStr">
        <is>
          <t>사전점검 결과보고서/승인문서(한국교통안전공단)</t>
        </is>
      </c>
      <c r="M27" s="28" t="inlineStr">
        <is>
          <t>"철도종합시험운행 시행지침 제8조에 의거, 발주처-운영자 합동 사전점검 계획서 수립"</t>
        </is>
      </c>
      <c r="N27" s="75">
        <f>HYPERLINK(LEFT(CELL("filename",A1),FIND("[",CELL("filename",A1))-1)&amp;"8.전기분야\26_사전점검\표준서\사전점검_표준서.html", "👉 [클릭] 표준서 열기 📄")</f>
        <v/>
      </c>
      <c r="O27" s="28" t="inlineStr">
        <is>
          <t>철도종합시험운행 시행지침 제8조(사전점검)에 따라 발주처-운영자 합동 사전점검계획 수립, 시설물 검증 가능성 점검 후 7일 이내 한국교통안전공단 제출 완수</t>
        </is>
      </c>
      <c r="P27" s="76">
        <f>HYPERLINK(LEFT(CELL("filename",A1),FIND("[",CELL("filename",A1))-1)&amp;"8.전기분야\26_사전점검\수행지침\사전점검_수행지침.html", "👉 [클릭] 수행지침 열기 📄")</f>
        <v/>
      </c>
      <c r="Q27" s="28"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R27" s="81">
        <f>HYPERLINK(LEFT(CELL("filename",A1),FIND("[",CELL("filename",A1))-1)&amp;"8.전기분야\26_사전점검\체크리스트\사전점검_체크리스트.html", "👉 [클릭] 체크리스트 열기 📄")</f>
        <v/>
      </c>
      <c r="S27" s="9" t="n"/>
      <c r="T27" s="73" t="inlineStr">
        <is>
          <t>● 관련분야 설계기준서 준수</t>
        </is>
      </c>
      <c r="U27" s="73" t="inlineStr">
        <is>
          <t>1) 👉 [더블클릭] 체크리스트 열기 📄</t>
        </is>
      </c>
      <c r="V27" s="29" t="n"/>
    </row>
    <row r="28" ht="139.2" customHeight="1">
      <c r="A28" s="17" t="inlineStr">
        <is>
          <t>9000</t>
        </is>
      </c>
      <c r="B28" s="17" t="inlineStr">
        <is>
          <t>9000-3</t>
        </is>
      </c>
      <c r="C28" s="28" t="inlineStr">
        <is>
          <t>전기분야</t>
        </is>
      </c>
      <c r="D28" s="17" t="inlineStr">
        <is>
          <t>9000-3-27</t>
        </is>
      </c>
      <c r="E28" s="17">
        <f>D27</f>
        <v/>
      </c>
      <c r="F28" s="17">
        <f>D29</f>
        <v/>
      </c>
      <c r="G28" s="17" t="inlineStr">
        <is>
          <t>시설물 검증시험</t>
        </is>
      </c>
      <c r="H28" s="17" t="inlineStr">
        <is>
          <t>D+415~D+499</t>
        </is>
      </c>
      <c r="I28" s="17" t="inlineStr">
        <is>
          <t>현장공사팀</t>
        </is>
      </c>
      <c r="J28" s="16" t="inlineStr">
        <is>
          <t>발주처는 시설물의 정상작동 상태 등을 확인하기 위해 시설물 검증시험을 수행</t>
        </is>
      </c>
      <c r="K28" s="3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L28" s="16" t="inlineStr">
        <is>
          <t>시설물 검증시험 결과보고서/승인문서(한국교통안전공단)</t>
        </is>
      </c>
      <c r="M28" s="28" t="inlineStr">
        <is>
          <t>"시설물검증시험계획을 운영자와 협의 수립하고 한국교통안전공단 전문기관 승인 수검"</t>
        </is>
      </c>
      <c r="N28" s="75">
        <f>HYPERLINK(LEFT(CELL("filename",A1),FIND("[",CELL("filename",A1))-1)&amp;"8.전기분야\27_시설물 검증시험\표준서\시설물 검증시험_표준서.html", "👉 [클릭] 표준서 열기 📄")</f>
        <v/>
      </c>
      <c r="O28" s="28" t="inlineStr">
        <is>
          <t>철도종합시험운행 시행지침 제12조/제13조에 의거 시설물검증시험계획 전문기관 승인, 시설물 정상작동, 안전상태, 차량 운행 적합성 검증 후 7일 내 공단 제출</t>
        </is>
      </c>
      <c r="P28" s="76">
        <f>HYPERLINK(LEFT(CELL("filename",A1),FIND("[",CELL("filename",A1))-1)&amp;"8.전기분야\27_시설물 검증시험\수행지침\시설물 검증시험_수행지침.html", "👉 [클릭] 수행지침 열기 📄")</f>
        <v/>
      </c>
      <c r="Q28" s="28"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R28" s="81">
        <f>HYPERLINK(LEFT(CELL("filename",A1),FIND("[",CELL("filename",A1))-1)&amp;"8.전기분야\27_시설물 검증시험\체크리스트\시설물 검증시험_체크리스트.html", "👉 [클릭] 체크리스트 열기 📄")</f>
        <v/>
      </c>
      <c r="S28" s="9" t="n"/>
      <c r="T28" s="73" t="inlineStr">
        <is>
          <t>● 관련분야 설계기준서 준수</t>
        </is>
      </c>
      <c r="U28" s="73" t="inlineStr">
        <is>
          <t>1) 👉 [더블클릭] 체크리스트 열기 📄</t>
        </is>
      </c>
      <c r="V28" s="29" t="n"/>
    </row>
    <row r="29" ht="159.6" customHeight="1">
      <c r="A29" s="17" t="inlineStr">
        <is>
          <t>9000</t>
        </is>
      </c>
      <c r="B29" s="17" t="inlineStr">
        <is>
          <t>9000-3</t>
        </is>
      </c>
      <c r="C29" s="28" t="inlineStr">
        <is>
          <t>전기분야</t>
        </is>
      </c>
      <c r="D29" s="17" t="inlineStr">
        <is>
          <t>9000-3-28</t>
        </is>
      </c>
      <c r="E29" s="17">
        <f>D28</f>
        <v/>
      </c>
      <c r="F29" s="17">
        <f>D30</f>
        <v/>
      </c>
      <c r="G29" s="17" t="inlineStr">
        <is>
          <t>영업시운전</t>
        </is>
      </c>
      <c r="H29" s="17" t="inlineStr">
        <is>
          <t>D+500~D+581</t>
        </is>
      </c>
      <c r="I29" s="17" t="inlineStr">
        <is>
          <t>현장공사팀</t>
        </is>
      </c>
      <c r="J29" s="16" t="inlineStr">
        <is>
          <t>발주처는 영업시운전계획에 따라 열차운행체계를 확인하기 위해 영업시운전을 수행</t>
        </is>
      </c>
      <c r="K29" s="3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L29" s="16" t="inlineStr">
        <is>
          <t>영업시운전 결과보고서/승인문서(한국교통안전공단), 국토부 승인문서</t>
        </is>
      </c>
      <c r="M29" s="28" t="inlineStr">
        <is>
          <t>"운영자-발주처 협의 영업시운전계획 수립, 국토부 전문기관(교통안전공단) 승인 완수"</t>
        </is>
      </c>
      <c r="N29" s="75">
        <f>HYPERLINK(LEFT(CELL("filename",A1),FIND("[",CELL("filename",A1))-1)&amp;"8.전기분야\28_영업시운전\표준서\영업시운전_표준서.html", "👉 [클릭] 표준서 열기 📄")</f>
        <v/>
      </c>
      <c r="O29" s="28" t="inlineStr">
        <is>
          <t>철도종합시험운행 시행지침 제22조/제23조에 의거 영업시운전계획 수립/승인, 영업 조건 열차운행, 종사자 업무 숙달 검증 후 결과보고서 공단 제출 및 국토부 보고</t>
        </is>
      </c>
      <c r="P29" s="76">
        <f>HYPERLINK(LEFT(CELL("filename",A1),FIND("[",CELL("filename",A1))-1)&amp;"8.전기분야\28_영업시운전\수행지침\영업시운전_수행지침.html", "👉 [클릭] 수행지침 열기 📄")</f>
        <v/>
      </c>
      <c r="Q29" s="28"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R29" s="81">
        <f>HYPERLINK(LEFT(CELL("filename",A1),FIND("[",CELL("filename",A1))-1)&amp;"8.전기분야\28_영업시운전\체크리스트\영업시운전_체크리스트.html", "👉 [클릭] 체크리스트 열기 📄")</f>
        <v/>
      </c>
      <c r="S29" s="9" t="n"/>
      <c r="T29" s="73" t="inlineStr">
        <is>
          <t>● 관련분야 설계기준서 준수</t>
        </is>
      </c>
      <c r="U29" s="73" t="inlineStr">
        <is>
          <t>1) 👉 [더블클릭] 체크리스트 열기 📄</t>
        </is>
      </c>
      <c r="V29" s="29" t="n"/>
    </row>
    <row r="30" ht="69.59999999999999" customHeight="1">
      <c r="A30" s="17" t="inlineStr">
        <is>
          <t>9000</t>
        </is>
      </c>
      <c r="B30" s="17" t="inlineStr">
        <is>
          <t>9000-3</t>
        </is>
      </c>
      <c r="C30" s="28" t="inlineStr">
        <is>
          <t>전기분야</t>
        </is>
      </c>
      <c r="D30" s="17" t="inlineStr">
        <is>
          <t>9000-3-29</t>
        </is>
      </c>
      <c r="E30" s="17">
        <f>D29</f>
        <v/>
      </c>
      <c r="F30" s="17">
        <f>D31</f>
        <v/>
      </c>
      <c r="G30" s="17" t="inlineStr">
        <is>
          <t>전기 사용신청</t>
        </is>
      </c>
      <c r="H30" s="17" t="inlineStr">
        <is>
          <t>D+211~D+255</t>
        </is>
      </c>
      <c r="I30" s="17" t="inlineStr">
        <is>
          <t>현장공사팀</t>
        </is>
      </c>
      <c r="J30" s="16" t="inlineStr">
        <is>
          <t>합법적인 전기 공급 계약 체결</t>
        </is>
      </c>
      <c r="K30" s="34" t="inlineStr">
        <is>
          <t>- 관할 한국전력공사에 신청서, 건축허가신청서, 위임장 및 관련서류 제출 (약 1개월 소요)</t>
        </is>
      </c>
      <c r="L30" s="28" t="inlineStr">
        <is>
          <t>전기사용신청 접수증명서, 시설부담금 고지서</t>
        </is>
      </c>
      <c r="M30" s="28" t="inlineStr">
        <is>
          <t>"관할 한국전력공사 제출용 전기사용신청서, 변전소 용량 계산서 및 위임장 작성"</t>
        </is>
      </c>
      <c r="N30" s="75">
        <f>HYPERLINK(LEFT(CELL("filename",A1),FIND("[",CELL("filename",A1))-1)&amp;"8.전기분야\29_전기 사용신청\표준서\전기 사용신청_표준서.html", "👉 [클릭] 표준서 열기 📄")</f>
        <v/>
      </c>
      <c r="O30" s="28" t="inlineStr">
        <is>
          <t>관할 한국전력공사에 전기사용신청서, 건축허가서, 수전 도면 및 위임장 제출 수속(소요 기간 약 1개월 관리) 및 수전 합의 완수</t>
        </is>
      </c>
      <c r="P30" s="76">
        <f>HYPERLINK(LEFT(CELL("filename",A1),FIND("[",CELL("filename",A1))-1)&amp;"8.전기분야\29_전기 사용신청\수행지침\전기 사용신청_수행지침.html", "👉 [클릭] 수행지침 열기 📄")</f>
        <v/>
      </c>
      <c r="Q30" s="28"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R30" s="81">
        <f>HYPERLINK(LEFT(CELL("filename",A1),FIND("[",CELL("filename",A1))-1)&amp;"8.전기분야\29_전기 사용신청\체크리스트\전기 사용신청_체크리스트.html", "👉 [클릭] 체크리스트 열기 📄")</f>
        <v/>
      </c>
      <c r="S30" s="9" t="n"/>
      <c r="T30" s="73" t="inlineStr">
        <is>
          <t>● 관련분야 설계기준서 준수</t>
        </is>
      </c>
      <c r="U30" s="73" t="inlineStr">
        <is>
          <t>1) 👉 [더블클릭] 체크리스트 열기 📄</t>
        </is>
      </c>
      <c r="V30" s="29" t="n"/>
    </row>
    <row r="31" ht="69.59999999999999" customHeight="1">
      <c r="A31" s="17" t="inlineStr">
        <is>
          <t>9000</t>
        </is>
      </c>
      <c r="B31" s="17" t="inlineStr">
        <is>
          <t>9000-3</t>
        </is>
      </c>
      <c r="C31" s="28" t="inlineStr">
        <is>
          <t>전기분야</t>
        </is>
      </c>
      <c r="D31" s="17" t="inlineStr">
        <is>
          <t>9000-3-30</t>
        </is>
      </c>
      <c r="E31" s="17">
        <f>D30</f>
        <v/>
      </c>
      <c r="F31" s="17">
        <f>D32</f>
        <v/>
      </c>
      <c r="G31" s="17" t="inlineStr">
        <is>
          <t>공사계획신고</t>
        </is>
      </c>
      <c r="H31" s="17" t="inlineStr">
        <is>
          <t>D-180
(D-200~180)</t>
        </is>
      </c>
      <c r="I31" s="17" t="inlineStr">
        <is>
          <t>현장공사팀</t>
        </is>
      </c>
      <c r="J31" s="16" t="inlineStr">
        <is>
          <t>공사 착수 전 법적 신고 이행</t>
        </is>
      </c>
      <c r="K31" s="34" t="inlineStr">
        <is>
          <t>- 관할 한국전기안전공사에 공사 착수 전에 공사계획서 및 신고서 제출</t>
        </is>
      </c>
      <c r="L31" s="28" t="inlineStr">
        <is>
          <t>공사계획신고 수리서</t>
        </is>
      </c>
      <c r="M31" s="28" t="inlineStr">
        <is>
          <t>"전기사업법 시행규칙에 맞춘 공사계획서 및 전기설비 공사계획신고서 정밀 작성"</t>
        </is>
      </c>
      <c r="N31" s="75">
        <f>HYPERLINK(LEFT(CELL("filename",A1),FIND("[",CELL("filename",A1))-1)&amp;"8.전기분야\30_공사계획신고\표준서\공사계획신고_표준서.html", "👉 [클릭] 표준서 열기 📄")</f>
        <v/>
      </c>
      <c r="O31" s="28" t="inlineStr">
        <is>
          <t>관할 한국전기안전공사에 전기 공사 착수 전 공사계획서, 기술자 자격증, 감리원 배치서 및 도면 제출 수속 완료</t>
        </is>
      </c>
      <c r="P31" s="76">
        <f>HYPERLINK(LEFT(CELL("filename",A1),FIND("[",CELL("filename",A1))-1)&amp;"8.전기분야\30_공사계획신고\수행지침\공사계획신고_수행지침.html", "👉 [클릭] 수행지침 열기 📄")</f>
        <v/>
      </c>
      <c r="Q31" s="28"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R31" s="81">
        <f>HYPERLINK(LEFT(CELL("filename",A1),FIND("[",CELL("filename",A1))-1)&amp;"8.전기분야\30_공사계획신고\체크리스트\공사계획신고_체크리스트.html", "👉 [클릭] 체크리스트 열기 📄")</f>
        <v/>
      </c>
      <c r="S31" s="9" t="n"/>
      <c r="T31" s="73" t="inlineStr">
        <is>
          <t>● 관련분야 설계기준서 준수</t>
        </is>
      </c>
      <c r="U31" s="73" t="inlineStr">
        <is>
          <t>1) 👉 [더블클릭] 체크리스트 열기 📄</t>
        </is>
      </c>
      <c r="V31" s="29" t="n"/>
    </row>
    <row r="32" ht="69.59999999999999" customHeight="1">
      <c r="A32" s="17" t="inlineStr">
        <is>
          <t>9000</t>
        </is>
      </c>
      <c r="B32" s="17" t="inlineStr">
        <is>
          <t>9000-3</t>
        </is>
      </c>
      <c r="C32" s="28" t="inlineStr">
        <is>
          <t>전기분야</t>
        </is>
      </c>
      <c r="D32" s="17" t="inlineStr">
        <is>
          <t>9000-3-31</t>
        </is>
      </c>
      <c r="E32" s="17">
        <f>D31</f>
        <v/>
      </c>
      <c r="F32" s="17">
        <f>D33</f>
        <v/>
      </c>
      <c r="G32" s="18" t="inlineStr">
        <is>
          <t>노면전차선로 적합성 검증</t>
        </is>
      </c>
      <c r="H32" s="18" t="inlineStr">
        <is>
          <t>D+375~D+414</t>
        </is>
      </c>
      <c r="I32" s="17" t="inlineStr">
        <is>
          <t>현장공사팀</t>
        </is>
      </c>
      <c r="J32" s="23" t="inlineStr">
        <is>
          <t>노면전차선로 품질 및 기술 적합성 검증</t>
        </is>
      </c>
      <c r="K32" s="34" t="inlineStr">
        <is>
          <t>- 한국전기철도기술협회에 차량시운전 전까지 수량조서 및 시공도면 제출 (처리기간 15일)</t>
        </is>
      </c>
      <c r="L32" s="28" t="inlineStr">
        <is>
          <t>전차선로 시공품질 검사증</t>
        </is>
      </c>
      <c r="M32" s="28" t="inlineStr">
        <is>
          <t>"노면전차선로 지주, 강성 가선, 브래킷 수량조서 및 시공 승인도면(Shop Drawing) 작성"</t>
        </is>
      </c>
      <c r="N32" s="75">
        <f>HYPERLINK(LEFT(CELL("filename",A1),FIND("[",CELL("filename",A1))-1)&amp;"8.전기분야\31_전차선로 적합성 검증\표준서\전차선로 적합성 검증_표준서.html", "👉 [클릭] 표준서 열기 📄")</f>
        <v/>
      </c>
      <c r="O32" s="28" t="inlineStr">
        <is>
          <t>한국전기철도기술협회에 차량 시운전 전까지 수량조서, 시공도면 및 시험성적서 제출(처리기간 15일)하여 적합성 검증 승인 완수</t>
        </is>
      </c>
      <c r="P32" s="76">
        <f>HYPERLINK(LEFT(CELL("filename",A1),FIND("[",CELL("filename",A1))-1)&amp;"8.전기분야\31_전차선로 적합성 검증\수행지침\전차선로 적합성 검증_수행지침.html", "👉 [클릭] 수행지침 열기 📄")</f>
        <v/>
      </c>
      <c r="Q32" s="28"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R32" s="81">
        <f>HYPERLINK(LEFT(CELL("filename",A1),FIND("[",CELL("filename",A1))-1)&amp;"8.전기분야\31_전차선로 적합성 검증\체크리스트\전차선로 적합성 검증_체크리스트.html", "👉 [클릭] 체크리스트 열기 📄")</f>
        <v/>
      </c>
      <c r="S32" s="9" t="n"/>
      <c r="T32" s="73" t="inlineStr">
        <is>
          <t>● 관련분야 설계기준서 준수</t>
        </is>
      </c>
      <c r="U32" s="73" t="inlineStr">
        <is>
          <t>1) 👉 [더블클릭] 체크리스트 열기 📄</t>
        </is>
      </c>
      <c r="V32" s="29" t="n"/>
    </row>
    <row r="33" ht="268.2" customHeight="1">
      <c r="A33" s="17" t="inlineStr">
        <is>
          <t>9000</t>
        </is>
      </c>
      <c r="B33" s="17" t="inlineStr">
        <is>
          <t>9000-3</t>
        </is>
      </c>
      <c r="C33" s="28" t="inlineStr">
        <is>
          <t>전기분야</t>
        </is>
      </c>
      <c r="D33" s="17" t="inlineStr">
        <is>
          <t>9000-3-32</t>
        </is>
      </c>
      <c r="E33" s="17">
        <f>D32</f>
        <v/>
      </c>
      <c r="F33" s="17">
        <f>D34</f>
        <v/>
      </c>
      <c r="G33" s="17" t="inlineStr">
        <is>
          <t>전기 사용전검사 (전력/전차선/송변전)</t>
        </is>
      </c>
      <c r="H33" s="17" t="inlineStr">
        <is>
          <t>D+375~D+414</t>
        </is>
      </c>
      <c r="I33" s="17" t="inlineStr">
        <is>
          <t>현장공사팀</t>
        </is>
      </c>
      <c r="J33" s="16" t="inlineStr">
        <is>
          <t>준공 전 설비의 안전성 및 안전기준 부합 여부 판정</t>
        </is>
      </c>
      <c r="K33" s="3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L33" s="28" t="inlineStr">
        <is>
          <t>사용전검사 확인증(필증)
※ 송변전의 경우 한국전기안전공사 검사에 시공사 입회</t>
        </is>
      </c>
      <c r="M33" s="28" t="inlineStr">
        <is>
          <t>"전기설비 설치 완료 후 7일 전 사용전검사신청서, 감리배치서, 단선도, 자재성적서 제출"</t>
        </is>
      </c>
      <c r="N33" s="75">
        <f>HYPERLINK(LEFT(CELL("filename",A1),FIND("[",CELL("filename",A1))-1)&amp;"8.전기분야\32_전기 사용전검사 (전력_전차선_송변전)\표준서\전기 사용전검사 (전력_전차선_송변전)_표준서.html", "👉 [클릭] 표준서 열기 📄")</f>
        <v/>
      </c>
      <c r="O33" s="28" t="inlineStr">
        <is>
          <t>전기사업법 제63조, 도로법 제56조, 도로교통법 제69조에 의거 한국전기안전공사 사용전검사(7일전 신청), 지자체 도로점용허가(2주전), 경찰서 도로공사신고(3일전) 통합 수검 완료</t>
        </is>
      </c>
      <c r="P33" s="76">
        <f>HYPERLINK(LEFT(CELL("filename",A1),FIND("[",CELL("filename",A1))-1)&amp;"8.전기분야\32_전기 사용전검사 (전력_전차선_송변전)\수행지침\전기 사용전검사 (전력_전차선_송변전)_수행지침.html", "👉 [클릭] 수행지침 열기 📄")</f>
        <v/>
      </c>
      <c r="Q33" s="28"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R33" s="81">
        <f>HYPERLINK(LEFT(CELL("filename",A1),FIND("[",CELL("filename",A1))-1)&amp;"8.전기분야\32_전기 사용전검사 (전력_전차선_송변전)\체크리스트\전기 사용전검사 (전력_전차선_송변전)_체크리스트.html", "👉 [클릭] 체크리스트 열기 📄")</f>
        <v/>
      </c>
      <c r="S33" s="9" t="n"/>
      <c r="T33" s="73" t="inlineStr">
        <is>
          <t>● 관련분야 설계기준서 준수</t>
        </is>
      </c>
      <c r="U33" s="73" t="inlineStr">
        <is>
          <t>1) 👉 [더블클릭] 체크리스트 열기 📄</t>
        </is>
      </c>
      <c r="V33" s="29" t="n"/>
    </row>
    <row r="34">
      <c r="E34" s="2">
        <f>D33</f>
        <v/>
      </c>
      <c r="F34" s="2">
        <f>D35</f>
        <v/>
      </c>
      <c r="N34" s="78">
        <f>HYPERLINK(LEFT(CELL("filename",A1),FIND("[",CELL("filename",A1))-1)&amp;"8.전기분야\33_Task_33\표준서\Task_33_표준서.html", "👉 [클릭] 표준서 열기 📄")</f>
        <v/>
      </c>
      <c r="P34" s="79">
        <f>HYPERLINK(LEFT(CELL("filename",A1),FIND("[",CELL("filename",A1))-1)&amp;"8.전기분야\33_Task_33\수행지침\Task_33_수행지침.html", "👉 [클릭] 수행지침 열기 📄")</f>
        <v/>
      </c>
      <c r="R34" s="80">
        <f>HYPERLINK(LEFT(CELL("filename",A1),FIND("[",CELL("filename",A1))-1)&amp;"8.전기분야\33_Task_33\체크리스트\Task_33_체크리스트.html", "👉 [클릭] 체크리스트 열기 📄")</f>
        <v/>
      </c>
    </row>
    <row r="35">
      <c r="E35" s="2">
        <f>D34</f>
        <v/>
      </c>
      <c r="F35" s="2">
        <f>D36</f>
        <v/>
      </c>
    </row>
    <row r="36">
      <c r="E36" s="2">
        <f>D35</f>
        <v/>
      </c>
      <c r="F36" s="2">
        <f>D37</f>
        <v/>
      </c>
    </row>
    <row r="37">
      <c r="E37" s="2">
        <f>D36</f>
        <v/>
      </c>
      <c r="F37" s="2">
        <f>D38</f>
        <v/>
      </c>
    </row>
    <row r="38">
      <c r="E38" s="2">
        <f>D37</f>
        <v/>
      </c>
      <c r="F38" s="2">
        <f>D39</f>
        <v/>
      </c>
    </row>
    <row r="39">
      <c r="E39" s="2">
        <f>D38</f>
        <v/>
      </c>
    </row>
  </sheetData>
  <hyperlinks>
    <hyperlink xmlns:r="http://schemas.openxmlformats.org/officeDocument/2006/relationships" ref="T2" r:id="rId1"/>
    <hyperlink xmlns:r="http://schemas.openxmlformats.org/officeDocument/2006/relationships" ref="U2" r:id="rId2"/>
    <hyperlink xmlns:r="http://schemas.openxmlformats.org/officeDocument/2006/relationships" ref="T3" r:id="rId3"/>
    <hyperlink xmlns:r="http://schemas.openxmlformats.org/officeDocument/2006/relationships" ref="U3" r:id="rId4"/>
    <hyperlink xmlns:r="http://schemas.openxmlformats.org/officeDocument/2006/relationships" ref="T4" r:id="rId5"/>
    <hyperlink xmlns:r="http://schemas.openxmlformats.org/officeDocument/2006/relationships" ref="U4" r:id="rId6"/>
    <hyperlink xmlns:r="http://schemas.openxmlformats.org/officeDocument/2006/relationships" ref="T5" r:id="rId7"/>
    <hyperlink xmlns:r="http://schemas.openxmlformats.org/officeDocument/2006/relationships" ref="U5" r:id="rId8"/>
    <hyperlink xmlns:r="http://schemas.openxmlformats.org/officeDocument/2006/relationships" ref="T6" r:id="rId9"/>
    <hyperlink xmlns:r="http://schemas.openxmlformats.org/officeDocument/2006/relationships" ref="U6" r:id="rId10"/>
    <hyperlink xmlns:r="http://schemas.openxmlformats.org/officeDocument/2006/relationships" ref="T7" r:id="rId11"/>
    <hyperlink xmlns:r="http://schemas.openxmlformats.org/officeDocument/2006/relationships" ref="U7" r:id="rId12"/>
    <hyperlink xmlns:r="http://schemas.openxmlformats.org/officeDocument/2006/relationships" ref="T8" r:id="rId13"/>
    <hyperlink xmlns:r="http://schemas.openxmlformats.org/officeDocument/2006/relationships" ref="U8" r:id="rId14"/>
    <hyperlink xmlns:r="http://schemas.openxmlformats.org/officeDocument/2006/relationships" ref="T9" r:id="rId15"/>
    <hyperlink xmlns:r="http://schemas.openxmlformats.org/officeDocument/2006/relationships" ref="U9" r:id="rId16"/>
    <hyperlink xmlns:r="http://schemas.openxmlformats.org/officeDocument/2006/relationships" ref="T10" r:id="rId17"/>
    <hyperlink xmlns:r="http://schemas.openxmlformats.org/officeDocument/2006/relationships" ref="U10" r:id="rId18"/>
    <hyperlink xmlns:r="http://schemas.openxmlformats.org/officeDocument/2006/relationships" ref="T11" r:id="rId19"/>
    <hyperlink xmlns:r="http://schemas.openxmlformats.org/officeDocument/2006/relationships" ref="U11" r:id="rId20"/>
    <hyperlink xmlns:r="http://schemas.openxmlformats.org/officeDocument/2006/relationships" ref="T12" r:id="rId21"/>
    <hyperlink xmlns:r="http://schemas.openxmlformats.org/officeDocument/2006/relationships" ref="U12" r:id="rId22"/>
    <hyperlink xmlns:r="http://schemas.openxmlformats.org/officeDocument/2006/relationships" ref="T13" r:id="rId23"/>
    <hyperlink xmlns:r="http://schemas.openxmlformats.org/officeDocument/2006/relationships" ref="U13" r:id="rId24"/>
    <hyperlink xmlns:r="http://schemas.openxmlformats.org/officeDocument/2006/relationships" ref="T14" r:id="rId25"/>
    <hyperlink xmlns:r="http://schemas.openxmlformats.org/officeDocument/2006/relationships" ref="U14" r:id="rId26"/>
    <hyperlink xmlns:r="http://schemas.openxmlformats.org/officeDocument/2006/relationships" ref="T15" r:id="rId27"/>
    <hyperlink xmlns:r="http://schemas.openxmlformats.org/officeDocument/2006/relationships" ref="U15" r:id="rId28"/>
    <hyperlink xmlns:r="http://schemas.openxmlformats.org/officeDocument/2006/relationships" ref="T16" r:id="rId29"/>
    <hyperlink xmlns:r="http://schemas.openxmlformats.org/officeDocument/2006/relationships" ref="U16" r:id="rId30"/>
    <hyperlink xmlns:r="http://schemas.openxmlformats.org/officeDocument/2006/relationships" ref="T17" r:id="rId31"/>
    <hyperlink xmlns:r="http://schemas.openxmlformats.org/officeDocument/2006/relationships" ref="U17" r:id="rId32"/>
    <hyperlink xmlns:r="http://schemas.openxmlformats.org/officeDocument/2006/relationships" ref="T18" r:id="rId33"/>
    <hyperlink xmlns:r="http://schemas.openxmlformats.org/officeDocument/2006/relationships" ref="U18" r:id="rId34"/>
    <hyperlink xmlns:r="http://schemas.openxmlformats.org/officeDocument/2006/relationships" ref="T19" r:id="rId35"/>
    <hyperlink xmlns:r="http://schemas.openxmlformats.org/officeDocument/2006/relationships" ref="U19" r:id="rId36"/>
    <hyperlink xmlns:r="http://schemas.openxmlformats.org/officeDocument/2006/relationships" ref="T20" r:id="rId37"/>
    <hyperlink xmlns:r="http://schemas.openxmlformats.org/officeDocument/2006/relationships" ref="U20" r:id="rId38"/>
    <hyperlink xmlns:r="http://schemas.openxmlformats.org/officeDocument/2006/relationships" ref="T21" r:id="rId39"/>
    <hyperlink xmlns:r="http://schemas.openxmlformats.org/officeDocument/2006/relationships" ref="U21" r:id="rId40"/>
    <hyperlink xmlns:r="http://schemas.openxmlformats.org/officeDocument/2006/relationships" ref="T22" r:id="rId41"/>
    <hyperlink xmlns:r="http://schemas.openxmlformats.org/officeDocument/2006/relationships" ref="U22" r:id="rId42"/>
    <hyperlink xmlns:r="http://schemas.openxmlformats.org/officeDocument/2006/relationships" ref="T23" r:id="rId43"/>
    <hyperlink xmlns:r="http://schemas.openxmlformats.org/officeDocument/2006/relationships" ref="U23" r:id="rId44"/>
    <hyperlink xmlns:r="http://schemas.openxmlformats.org/officeDocument/2006/relationships" ref="T24" r:id="rId45"/>
    <hyperlink xmlns:r="http://schemas.openxmlformats.org/officeDocument/2006/relationships" ref="U24" r:id="rId46"/>
    <hyperlink xmlns:r="http://schemas.openxmlformats.org/officeDocument/2006/relationships" ref="T25" r:id="rId47"/>
    <hyperlink xmlns:r="http://schemas.openxmlformats.org/officeDocument/2006/relationships" ref="U25" r:id="rId48"/>
    <hyperlink xmlns:r="http://schemas.openxmlformats.org/officeDocument/2006/relationships" ref="T26" r:id="rId49"/>
    <hyperlink xmlns:r="http://schemas.openxmlformats.org/officeDocument/2006/relationships" ref="U26" r:id="rId50"/>
    <hyperlink xmlns:r="http://schemas.openxmlformats.org/officeDocument/2006/relationships" ref="T27" r:id="rId51"/>
    <hyperlink xmlns:r="http://schemas.openxmlformats.org/officeDocument/2006/relationships" ref="U27" r:id="rId52"/>
    <hyperlink xmlns:r="http://schemas.openxmlformats.org/officeDocument/2006/relationships" ref="T28" r:id="rId53"/>
    <hyperlink xmlns:r="http://schemas.openxmlformats.org/officeDocument/2006/relationships" ref="U28" r:id="rId54"/>
    <hyperlink xmlns:r="http://schemas.openxmlformats.org/officeDocument/2006/relationships" ref="T29" r:id="rId55"/>
    <hyperlink xmlns:r="http://schemas.openxmlformats.org/officeDocument/2006/relationships" ref="U29" r:id="rId56"/>
    <hyperlink xmlns:r="http://schemas.openxmlformats.org/officeDocument/2006/relationships" ref="T30" r:id="rId57"/>
    <hyperlink xmlns:r="http://schemas.openxmlformats.org/officeDocument/2006/relationships" ref="U30" r:id="rId58"/>
    <hyperlink xmlns:r="http://schemas.openxmlformats.org/officeDocument/2006/relationships" ref="T31" r:id="rId59"/>
    <hyperlink xmlns:r="http://schemas.openxmlformats.org/officeDocument/2006/relationships" ref="U31" r:id="rId60"/>
    <hyperlink xmlns:r="http://schemas.openxmlformats.org/officeDocument/2006/relationships" ref="T32" r:id="rId61"/>
    <hyperlink xmlns:r="http://schemas.openxmlformats.org/officeDocument/2006/relationships" ref="U32" r:id="rId62"/>
    <hyperlink xmlns:r="http://schemas.openxmlformats.org/officeDocument/2006/relationships" ref="T33" r:id="rId63"/>
    <hyperlink xmlns:r="http://schemas.openxmlformats.org/officeDocument/2006/relationships" ref="U33" r:id="rId6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9.xml><?xml version="1.0" encoding="utf-8"?>
<worksheet xmlns="http://schemas.openxmlformats.org/spreadsheetml/2006/main">
  <sheetPr codeName="Sheet8">
    <tabColor rgb="FFFFFF00"/>
    <outlinePr summaryBelow="1" summaryRight="1"/>
    <pageSetUpPr/>
  </sheetPr>
  <dimension ref="A1:V39"/>
  <sheetViews>
    <sheetView view="pageBreakPreview" zoomScale="55" zoomScaleNormal="40" zoomScaleSheetLayoutView="55" workbookViewId="0">
      <pane xSplit="4" ySplit="1" topLeftCell="E3" activePane="bottomRight" state="frozen"/>
      <selection pane="topRight" activeCell="E1" sqref="E1"/>
      <selection pane="bottomLeft" activeCell="A2" sqref="A2"/>
      <selection pane="bottomRight" activeCell="K3" sqref="K3"/>
    </sheetView>
  </sheetViews>
  <sheetFormatPr baseColWidth="8" defaultRowHeight="19.2"/>
  <cols>
    <col width="9" bestFit="1" customWidth="1" style="4" min="1" max="2"/>
    <col width="13.19921875" bestFit="1" customWidth="1" style="4" min="3" max="3"/>
    <col width="11.19921875" bestFit="1" customWidth="1" style="4" min="4" max="4"/>
    <col width="16" customWidth="1" style="2" min="5" max="6"/>
    <col width="30.3984375" customWidth="1" style="4" min="7" max="7"/>
    <col width="23.296875" customWidth="1" style="4" min="8" max="8"/>
    <col width="21.69921875" customWidth="1" style="4" min="9" max="9"/>
    <col width="32.59765625" customWidth="1" style="3" min="10" max="10"/>
    <col width="73.09765625" customWidth="1" style="3" min="11" max="11"/>
    <col width="19.3984375" customWidth="1" style="4" min="12" max="12"/>
    <col width="53" customWidth="1" style="3" min="13" max="13"/>
    <col width="14.69921875" customWidth="1" style="3" min="14" max="14"/>
    <col width="45" customWidth="1" style="3" min="15" max="15"/>
    <col width="15.796875" customWidth="1" style="3" min="16" max="16"/>
    <col width="45" customWidth="1" style="3" min="17" max="17"/>
    <col width="16.09765625" customWidth="1" style="27" min="18" max="18"/>
    <col width="15.796875" customWidth="1" style="3" min="19" max="19"/>
    <col width="45" customWidth="1" style="27" min="20" max="20"/>
    <col width="22" customWidth="1" style="27" min="21" max="21"/>
    <col width="45" customWidth="1" style="3" min="22" max="38"/>
    <col width="8.796875" customWidth="1" style="3" min="39" max="74"/>
    <col width="8.796875" customWidth="1" style="3" min="75" max="16384"/>
  </cols>
  <sheetData>
    <row r="1" ht="57.6" customHeight="1">
      <c r="A1" s="12" t="inlineStr">
        <is>
          <t>L2 코드</t>
        </is>
      </c>
      <c r="B1" s="12" t="inlineStr">
        <is>
          <t>L3 코드</t>
        </is>
      </c>
      <c r="C1" s="12" t="inlineStr">
        <is>
          <t>L3 대공종명</t>
        </is>
      </c>
      <c r="D1" s="12" t="inlineStr">
        <is>
          <t>L4 코드</t>
        </is>
      </c>
      <c r="E1" s="6" t="inlineStr">
        <is>
          <t>선행</t>
        </is>
      </c>
      <c r="F1" s="6" t="inlineStr">
        <is>
          <t>후행</t>
        </is>
      </c>
      <c r="G1" s="12" t="inlineStr">
        <is>
          <t>작업단위 (Level 4 Task/Activity)</t>
        </is>
      </c>
      <c r="H1" s="12" t="inlineStr">
        <is>
          <t>일정 (D-Day)</t>
        </is>
      </c>
      <c r="I1" s="12" t="inlineStr">
        <is>
          <t>주관</t>
        </is>
      </c>
      <c r="J1" s="12" t="inlineStr">
        <is>
          <t>목적</t>
        </is>
      </c>
      <c r="K1" s="20" t="inlineStr">
        <is>
          <t>방법</t>
        </is>
      </c>
      <c r="L1" s="20" t="inlineStr">
        <is>
          <t>산출물(결과)</t>
        </is>
      </c>
      <c r="M1" s="20" t="inlineStr">
        <is>
          <t>표준서 (Standard) 요약</t>
        </is>
      </c>
      <c r="N1" s="13" t="inlineStr">
        <is>
          <t>표준서 파일 (HTML)</t>
        </is>
      </c>
      <c r="O1" s="20" t="inlineStr">
        <is>
          <t>수행지침 (Guideline) 요약</t>
        </is>
      </c>
      <c r="P1" s="13" t="inlineStr">
        <is>
          <t>수행지침 파일 (HTML)</t>
        </is>
      </c>
      <c r="Q1" s="20" t="inlineStr">
        <is>
          <t>체크리스트 (Checklist) 요약</t>
        </is>
      </c>
      <c r="R1" s="21" t="inlineStr">
        <is>
          <t>체크리스트 파일 (HTML)</t>
        </is>
      </c>
      <c r="S1" s="11" t="inlineStr">
        <is>
          <t>비고</t>
        </is>
      </c>
      <c r="T1" s="11" t="inlineStr">
        <is>
          <t>첨부서류 연계 상세 설계기준</t>
        </is>
      </c>
      <c r="U1" s="11" t="inlineStr">
        <is>
          <t>집행단계 리스크 체크리스트</t>
        </is>
      </c>
      <c r="V1" s="11" t="inlineStr">
        <is>
          <t>협력사 시공/공사관리 자문</t>
        </is>
      </c>
    </row>
    <row r="2" ht="199.2" customHeight="1">
      <c r="A2" s="17" t="inlineStr">
        <is>
          <t>9000</t>
        </is>
      </c>
      <c r="B2" s="17" t="inlineStr">
        <is>
          <t>9000-2</t>
        </is>
      </c>
      <c r="C2" s="17" t="inlineStr">
        <is>
          <t>통신분야</t>
        </is>
      </c>
      <c r="D2" s="17" t="inlineStr">
        <is>
          <t>9000-2-1</t>
        </is>
      </c>
      <c r="E2" s="17" t="n"/>
      <c r="F2" s="17">
        <f>D3</f>
        <v/>
      </c>
      <c r="G2" s="17" t="inlineStr">
        <is>
          <t>설계적정성 검토</t>
        </is>
      </c>
      <c r="H2" s="17" t="inlineStr">
        <is>
          <t>D-300
~240</t>
        </is>
      </c>
      <c r="I2" s="17" t="inlineStr">
        <is>
          <t>현장 공무팀</t>
        </is>
      </c>
      <c r="J2" s="16" t="inlineStr">
        <is>
          <t>설계적정성 및 시공성 검토</t>
        </is>
      </c>
      <c r="K2" s="33"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L2" s="17" t="inlineStr">
        <is>
          <t>회의록, 설계검토 보고서</t>
        </is>
      </c>
      <c r="M2" s="26" t="inlineStr">
        <is>
          <t>1) 정보통신공사업법, KDS 47 철도설계기준 및 입찰안내서 특기시방 준수 여부 사전 검증
2) LTE-R 무선망, 8대 이종 통신시스템, 타공종 간섭 및 리스크 헷지·기회반영 설계변경 승인 표준 적용</t>
        </is>
      </c>
      <c r="N2" s="75">
        <f>HYPERLINK(LEFT(CELL("filename",A1),FIND("[",CELL("filename",A1))-1)&amp;"9.통신분야\1_설계적정성 검토\표준서\설계적정성 검토_표준서.html", "👉 [클릭] 표준서 열기 📄")</f>
        <v/>
      </c>
      <c r="O2" s="2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P2" s="76">
        <f>HYPERLINK(LEFT(CELL("filename",A1),FIND("[",CELL("filename",A1))-1)&amp;"9.통신분야\1_설계적정성 검토\수행지침\설계적정성 검토_수행지침.html", "👉 [클릭] 수행지침 열기 📄")</f>
        <v/>
      </c>
      <c r="Q2" s="26"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R2" s="77">
        <f>HYPERLINK(LEFT(CELL("filename",A1),FIND("[",CELL("filename",A1))-1)&amp;"9.통신분야\1_설계적정성 검토\체크리스트\9000-2-1_설계적정성 검토_체크리스트.html", "👉 [클릭] 체크리스트 열기 📄")</f>
        <v/>
      </c>
      <c r="S2" s="22" t="n"/>
      <c r="T2" s="74" t="inlineStr">
        <is>
          <t>● 관련분야 설계기준서 준수</t>
        </is>
      </c>
      <c r="U2" s="73" t="inlineStr">
        <is>
          <t>1) 👉 [더블클릭] 체크리스트 열기 📄</t>
        </is>
      </c>
      <c r="V2" s="25" t="n"/>
    </row>
    <row r="3" ht="219.6" customHeight="1">
      <c r="A3" s="18" t="inlineStr">
        <is>
          <t>9000</t>
        </is>
      </c>
      <c r="B3" s="18" t="inlineStr">
        <is>
          <t>9000-2</t>
        </is>
      </c>
      <c r="C3" s="18" t="inlineStr">
        <is>
          <t>통신분야</t>
        </is>
      </c>
      <c r="D3" s="18" t="inlineStr">
        <is>
          <t>9000-2-2</t>
        </is>
      </c>
      <c r="E3" s="17">
        <f>D2</f>
        <v/>
      </c>
      <c r="F3" s="17">
        <f>D4</f>
        <v/>
      </c>
      <c r="G3" s="18" t="inlineStr">
        <is>
          <t>착수전략 KOM</t>
        </is>
      </c>
      <c r="H3" s="18" t="inlineStr">
        <is>
          <t>D-240
~210</t>
        </is>
      </c>
      <c r="I3" s="17" t="inlineStr">
        <is>
          <t>현장소장</t>
        </is>
      </c>
      <c r="J3" s="16" t="inlineStr">
        <is>
          <t>통신설비 공사 발주 전략수립</t>
        </is>
      </c>
      <c r="K3" s="33"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L3" s="17" t="inlineStr">
        <is>
          <t>KOM 검토결과서, 현장설명서</t>
        </is>
      </c>
      <c r="M3" s="26"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N3" s="75">
        <f>HYPERLINK(LEFT(CELL("filename",A1),FIND("[",CELL("filename",A1))-1)&amp;"9.통신분야\2_착수전략 KOM\표준서\발주전략 KOM_표준서.html", "👉 [클릭] 표준서 열기 📄")</f>
        <v/>
      </c>
      <c r="O3" s="26"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P3" s="76">
        <f>HYPERLINK(LEFT(CELL("filename",A1),FIND("[",CELL("filename",A1))-1)&amp;"9.통신분야\2_착수전략 KOM\수행지침\발주전략 KOM_수행지침.html", "👉 [클릭] 수행지침 열기 📄")</f>
        <v/>
      </c>
      <c r="Q3" s="2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R3" s="77">
        <f>HYPERLINK(LEFT(CELL("filename",A1),FIND("[",CELL("filename",A1))-1)&amp;"9.통신분야\2_착수전략 KOM\체크리스트\발주전략 KOM_체크리스트.html", "👉 [클릭] 체크리스트 열기 📄")</f>
        <v/>
      </c>
      <c r="S3" s="22" t="n"/>
      <c r="T3" s="74" t="inlineStr">
        <is>
          <t>● 관련분야 설계기준서 준수</t>
        </is>
      </c>
      <c r="U3" s="73" t="inlineStr">
        <is>
          <t>1) 👉 [더블클릭] 체크리스트 열기 📄</t>
        </is>
      </c>
      <c r="V3" s="25" t="n"/>
    </row>
    <row r="4" ht="133.8" customHeight="1">
      <c r="A4" s="17" t="inlineStr">
        <is>
          <t>9000</t>
        </is>
      </c>
      <c r="B4" s="17" t="inlineStr">
        <is>
          <t>9000-2</t>
        </is>
      </c>
      <c r="C4" s="17" t="inlineStr">
        <is>
          <t>통신분야</t>
        </is>
      </c>
      <c r="D4" s="17" t="inlineStr">
        <is>
          <t>9000-2-3</t>
        </is>
      </c>
      <c r="E4" s="17">
        <f>D3</f>
        <v/>
      </c>
      <c r="F4" s="17">
        <f>D5</f>
        <v/>
      </c>
      <c r="G4" s="17" t="inlineStr">
        <is>
          <t>토목 / 건축 인터페이스 협의</t>
        </is>
      </c>
      <c r="H4" s="18" t="inlineStr">
        <is>
          <t>D-210
~180</t>
        </is>
      </c>
      <c r="I4" s="17" t="inlineStr">
        <is>
          <t>현장 시스템팀</t>
        </is>
      </c>
      <c r="J4" s="16" t="inlineStr">
        <is>
          <t>통신설비 설치를 위한 요구사항 검토</t>
        </is>
      </c>
      <c r="K4" s="33" t="inlineStr">
        <is>
          <t>- 자재 반입전/공동구/케이블 인입구 등 확인, 기능실마감 및 출입문 상태</t>
        </is>
      </c>
      <c r="L4" s="17" t="inlineStr">
        <is>
          <t>인터페이스 회의록 및 관리대장</t>
        </is>
      </c>
      <c r="M4" s="26" t="inlineStr">
        <is>
          <t>1) 토목·건축 구조물 내 통신 관로, 케이블 트레이, 기계실 배치 및 인입 배관 인터페이스 사전 검토
2) 타공종 구조체 타설 전 통신 매립 배관 위치 검증 및 인터페이스 협의록 작성 표준 적용</t>
        </is>
      </c>
      <c r="N4" s="75">
        <f>HYPERLINK(LEFT(CELL("filename",A1),FIND("[",CELL("filename",A1))-1)&amp;"9.통신분야\3_토목 _ 건축 인터페이스 협의\표준서\토목 _ 건축 인터페이스 협의_표준서.html", "👉 [클릭] 표준서 열기 📄")</f>
        <v/>
      </c>
      <c r="O4" s="2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P4" s="76">
        <f>HYPERLINK(LEFT(CELL("filename",A1),FIND("[",CELL("filename",A1))-1)&amp;"9.통신분야\3_토목 _ 건축 인터페이스 협의\수행지침\토목 _ 건축 인터페이스 협의_수행지침.html", "👉 [클릭] 수행지침 열기 📄")</f>
        <v/>
      </c>
      <c r="Q4" s="26"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R4" s="77">
        <f>HYPERLINK(LEFT(CELL("filename",A1),FIND("[",CELL("filename",A1))-1)&amp;"9.통신분야\3_토목 _ 건축 인터페이스 협의\체크리스트\9000-2-3_토목 _ 건축 인터페이스 협의_체크리스트.html", "👉 [클릭] 체크리스트 열기 📄")</f>
        <v/>
      </c>
      <c r="S4" s="22" t="n"/>
      <c r="T4" s="74" t="inlineStr">
        <is>
          <t>● 관련분야 설계기준서 준수</t>
        </is>
      </c>
      <c r="U4" s="73" t="inlineStr">
        <is>
          <t>1) 👉 [더블클릭] 체크리스트 열기 📄</t>
        </is>
      </c>
      <c r="V4" s="25" t="n"/>
    </row>
    <row r="5" ht="133.8" customHeight="1">
      <c r="A5" s="17" t="inlineStr">
        <is>
          <t>9000</t>
        </is>
      </c>
      <c r="B5" s="17" t="inlineStr">
        <is>
          <t>9000-2</t>
        </is>
      </c>
      <c r="C5" s="17" t="inlineStr">
        <is>
          <t>통신분야</t>
        </is>
      </c>
      <c r="D5" s="17" t="inlineStr">
        <is>
          <t>9000-2-4</t>
        </is>
      </c>
      <c r="E5" s="17">
        <f>D4</f>
        <v/>
      </c>
      <c r="F5" s="17">
        <f>D6</f>
        <v/>
      </c>
      <c r="G5" s="17" t="inlineStr">
        <is>
          <t>전기 / 신호 / 기계 / PSD / 차량 인터페이스 협의</t>
        </is>
      </c>
      <c r="H5" s="17" t="inlineStr">
        <is>
          <t>D-180
(D-200~180)</t>
        </is>
      </c>
      <c r="I5" s="17" t="inlineStr">
        <is>
          <t>현장 시스템팀 / 통신 협력업체</t>
        </is>
      </c>
      <c r="J5" s="16" t="inlineStr">
        <is>
          <t>연계분야간 사전조율 및 인터페이스 사항 조율로 재작업 예방</t>
        </is>
      </c>
      <c r="K5" s="33"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L5" s="17" t="inlineStr">
        <is>
          <t>인터페이스 회의록 및 관리대장</t>
        </is>
      </c>
      <c r="M5" s="26" t="inlineStr">
        <is>
          <t>1) 전기, 신호, PSD, 차량, 관제 등 이종 시스템 간 전원, 신호선 및 데이터 통신 인터페이스 통합 검토
2) 타공종 간 전자기 적합성(EMC/EMI), 전력 케이블 유도장해 차폐 및 서지 보호 표준 적용</t>
        </is>
      </c>
      <c r="N5" s="75">
        <f>HYPERLINK(LEFT(CELL("filename",A1),FIND("[",CELL("filename",A1))-1)&amp;"9.통신분야\4_전기 _ 신호 _ 기계 _ PSD _ 차량 인터페이스 협의\표준서\전기 _ 신호 _ 기계 _ PSD _ 차량 인터페이스 협의_표준서.html", "👉 [클릭] 표준서 열기 📄")</f>
        <v/>
      </c>
      <c r="O5" s="26"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P5" s="76">
        <f>HYPERLINK(LEFT(CELL("filename",A1),FIND("[",CELL("filename",A1))-1)&amp;"9.통신분야\4_전기 _ 신호 _ 기계 _ PSD _ 차량 인터페이스 협의\수행지침\전기 _ 신호 _ 기계 _ PSD _ 차량 인터페이스 협의_수행지침.html", "👉 [클릭] 수행지침 열기 📄")</f>
        <v/>
      </c>
      <c r="Q5" s="26" t="inlineStr">
        <is>
          <t>1) 96Core 광망[통합 포설] 통신(48C)+전기(2C)+신호(12C)를 OF-SM-96Core×2조 통합 포설로 확정하였는가?
2) KEC 점유율[KEC 33%] 전선관 내부 단면적 점유율 33% 이하 및 ELP ø150mm×6개×2조 배관을 확인하였는가?</t>
        </is>
      </c>
      <c r="R5" s="77">
        <f>HYPERLINK(LEFT(CELL("filename",A1),FIND("[",CELL("filename",A1))-1)&amp;"9.통신분야\4_전기 _ 신호 _ 기계 _ PSD _ 차량 인터페이스 협의\체크리스트\9000-2-4_전기 _ 신호 _ 기계 _ PSD _ 차량 인터페이스 협의_체크리스트.html", "👉 [클릭] 체크리스트 열기 📄")</f>
        <v/>
      </c>
      <c r="S5" s="22" t="n"/>
      <c r="T5" s="74" t="inlineStr">
        <is>
          <t>● 관련분야 설계기준서 준수</t>
        </is>
      </c>
      <c r="U5" s="73" t="inlineStr">
        <is>
          <t>1) 👉 [더블클릭] 체크리스트 열기 📄</t>
        </is>
      </c>
      <c r="V5" s="25" t="n"/>
    </row>
    <row r="6" ht="133.8" customHeight="1">
      <c r="A6" s="17" t="inlineStr">
        <is>
          <t>9000</t>
        </is>
      </c>
      <c r="B6" s="17" t="inlineStr">
        <is>
          <t>9000-2</t>
        </is>
      </c>
      <c r="C6" s="17" t="inlineStr">
        <is>
          <t>통신분야</t>
        </is>
      </c>
      <c r="D6" s="17" t="inlineStr">
        <is>
          <t>9000-2-5</t>
        </is>
      </c>
      <c r="E6" s="17">
        <f>D5</f>
        <v/>
      </c>
      <c r="F6" s="17">
        <f>D7</f>
        <v/>
      </c>
      <c r="G6" s="17" t="inlineStr">
        <is>
          <t>통신설비 제작사 인터페이스 협의</t>
        </is>
      </c>
      <c r="H6" s="17" t="inlineStr">
        <is>
          <t>D-180
(D-200~180)</t>
        </is>
      </c>
      <c r="I6" s="17" t="inlineStr">
        <is>
          <t>현장 시스템팀</t>
        </is>
      </c>
      <c r="J6" s="16" t="inlineStr">
        <is>
          <t>통신설비간 연동방안 검토</t>
        </is>
      </c>
      <c r="K6" s="33" t="inlineStr">
        <is>
          <t>- 내부 인터페이스 및 인허가사항 확인, 보안성검토 요청서</t>
        </is>
      </c>
      <c r="L6" s="17" t="inlineStr">
        <is>
          <t>인터페이스 회의록 및 관리대장</t>
        </is>
      </c>
      <c r="M6" s="26" t="inlineStr">
        <is>
          <t>1) 통신 주요 설비(LTE-R, 방송, CCTV, 역무, 관제 등) 제작사 간 프로토콜, 연동 규격 및 인터페이스 검토
2) 제작사 간 데이터 입출력 포맷 및 연동 케이블 사양서 확정 협의록 승인 표준 적용</t>
        </is>
      </c>
      <c r="N6" s="75">
        <f>HYPERLINK(LEFT(CELL("filename",A1),FIND("[",CELL("filename",A1))-1)&amp;"9.통신분야\5_통신설비 제작사 인터페이스 협의\표준서\통신설비 제작사 인터페이스 협의_표준서.html", "👉 [클릭] 표준서 열기 📄")</f>
        <v/>
      </c>
      <c r="O6" s="2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P6" s="76">
        <f>HYPERLINK(LEFT(CELL("filename",A1),FIND("[",CELL("filename",A1))-1)&amp;"9.통신분야\5_통신설비 제작사 인터페이스 협의\수행지침\통신설비 제작사 인터페이스 협의_수행지침.html", "👉 [클릭] 수행지침 열기 📄")</f>
        <v/>
      </c>
      <c r="Q6" s="26"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R6" s="77">
        <f>HYPERLINK(LEFT(CELL("filename",A1),FIND("[",CELL("filename",A1))-1)&amp;"9.통신분야\5_통신설비 제작사 인터페이스 협의\체크리스트\9000-2-5_통신설비 제작사 인터페이스 협의_체크리스트.html", "👉 [클릭] 체크리스트 열기 📄")</f>
        <v/>
      </c>
      <c r="S6" s="22" t="n"/>
      <c r="T6" s="74" t="inlineStr">
        <is>
          <t>● 관련분야 설계기준서 준수</t>
        </is>
      </c>
      <c r="U6" s="73" t="inlineStr">
        <is>
          <t>1) 👉 [더블클릭] 체크리스트 열기 📄</t>
        </is>
      </c>
      <c r="V6" s="25" t="n"/>
    </row>
    <row r="7" ht="145.2" customHeight="1">
      <c r="A7" s="17" t="inlineStr">
        <is>
          <t>9000</t>
        </is>
      </c>
      <c r="B7" s="17" t="inlineStr">
        <is>
          <t>9000-2</t>
        </is>
      </c>
      <c r="C7" s="17" t="inlineStr">
        <is>
          <t>통신분야</t>
        </is>
      </c>
      <c r="D7" s="17" t="inlineStr">
        <is>
          <t>9000-2-6</t>
        </is>
      </c>
      <c r="E7" s="17">
        <f>D6</f>
        <v/>
      </c>
      <c r="F7" s="17">
        <f>D8</f>
        <v/>
      </c>
      <c r="G7" s="17" t="inlineStr">
        <is>
          <t>관제 및 운영사 인터페이스 협의</t>
        </is>
      </c>
      <c r="H7" s="17" t="inlineStr">
        <is>
          <t>D-180
(D-200~180)</t>
        </is>
      </c>
      <c r="I7" s="17" t="inlineStr">
        <is>
          <t>현장 시스템팀 / 통신 협력업체</t>
        </is>
      </c>
      <c r="J7" s="16" t="inlineStr">
        <is>
          <t>관제 및 운영사 요구사항 사전 반영 및 시공범위 최적화</t>
        </is>
      </c>
      <c r="K7" s="33"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L7" s="17" t="inlineStr">
        <is>
          <t>인터페이스 회의록 및 관리대장</t>
        </is>
      </c>
      <c r="M7" s="26" t="inlineStr">
        <is>
          <t>1) 종합관제센터 및 철도운영사 요구조건 반영 관제 화면, 통신 프로토콜 및 비상 제어 인터페이스 검토
2) 관제 서버, 네트워크 스위치 및 운영사 통합 수선 체계 부합성 확인 승인 표준 적용</t>
        </is>
      </c>
      <c r="N7" s="75">
        <f>HYPERLINK(LEFT(CELL("filename",A1),FIND("[",CELL("filename",A1))-1)&amp;"9.통신분야\6_관제 및 운영사 인터페이스 협의\표준서\관제 및 운영사 인터페이스 협의_표준서.html", "👉 [클릭] 표준서 열기 📄")</f>
        <v/>
      </c>
      <c r="O7" s="26"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P7" s="76">
        <f>HYPERLINK(LEFT(CELL("filename",A1),FIND("[",CELL("filename",A1))-1)&amp;"9.통신분야\6_관제 및 운영사 인터페이스 협의\수행지침\관제 및 운영사 인터페이스 협의_수행지침.html", "👉 [클릭] 수행지침 열기 📄")</f>
        <v/>
      </c>
      <c r="Q7" s="2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R7" s="77">
        <f>HYPERLINK(LEFT(CELL("filename",A1),FIND("[",CELL("filename",A1))-1)&amp;"9.통신분야\6_관제 및 운영사 인터페이스 협의\체크리스트\9000-2-6_관제 및 운영사 인터페이스 협의_체크리스트.html", "👉 [클릭] 체크리스트 열기 📄")</f>
        <v/>
      </c>
      <c r="S7" s="22" t="n"/>
      <c r="T7" s="74" t="inlineStr">
        <is>
          <t>● 관련분야 설계기준서 준수</t>
        </is>
      </c>
      <c r="U7" s="73" t="inlineStr">
        <is>
          <t>1) 👉 [더블클릭] 체크리스트 열기 📄</t>
        </is>
      </c>
      <c r="V7" s="25" t="n"/>
    </row>
    <row r="8" ht="115.2" customHeight="1">
      <c r="A8" s="17" t="inlineStr">
        <is>
          <t>9000</t>
        </is>
      </c>
      <c r="B8" s="17" t="inlineStr">
        <is>
          <t>9000-2</t>
        </is>
      </c>
      <c r="C8" s="17" t="inlineStr">
        <is>
          <t>통신분야</t>
        </is>
      </c>
      <c r="D8" s="17" t="inlineStr">
        <is>
          <t>9000-2-7</t>
        </is>
      </c>
      <c r="E8" s="17">
        <f>D7</f>
        <v/>
      </c>
      <c r="F8" s="17">
        <f>D9</f>
        <v/>
      </c>
      <c r="G8" s="17" t="inlineStr">
        <is>
          <t>발주처 품질 요구사항 검토</t>
        </is>
      </c>
      <c r="H8" s="17" t="inlineStr">
        <is>
          <t>D-180
(D-200~180)</t>
        </is>
      </c>
      <c r="I8" s="17" t="inlineStr">
        <is>
          <t>현장 시스템팀</t>
        </is>
      </c>
      <c r="J8" s="16" t="inlineStr">
        <is>
          <t>발주처 품질관리 기준/검사방안 확인</t>
        </is>
      </c>
      <c r="K8" s="34" t="inlineStr">
        <is>
          <t>- 감리/감독과 품질검사(ITP/ITC) 항목 검토</t>
        </is>
      </c>
      <c r="L8" s="17" t="inlineStr">
        <is>
          <t>ITP/ITC</t>
        </is>
      </c>
      <c r="M8" s="26" t="inlineStr">
        <is>
          <t>1) 발주처 입찰안내서 및 시방서 상의 통신 품질 시험 기준, 자재 승인 및 시험성적서 요구조건 검토
2) 품질시험계획서 수립 및 발주처 승인 품질 기준 준수서 작성 표준 적용</t>
        </is>
      </c>
      <c r="N8" s="75">
        <f>HYPERLINK(LEFT(CELL("filename",A1),FIND("[",CELL("filename",A1))-1)&amp;"9.통신분야\7_발주처 품질 요구사항 검토\표준서\발주처 품질 요구사항 검토_표준서.html", "👉 [클릭] 표준서 열기 📄")</f>
        <v/>
      </c>
      <c r="O8" s="2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P8" s="76">
        <f>HYPERLINK(LEFT(CELL("filename",A1),FIND("[",CELL("filename",A1))-1)&amp;"9.통신분야\7_발주처 품질 요구사항 검토\수행지침\발주처 품질 요구사항 검토_수행지침.html", "👉 [클릭] 수행지침 열기 📄")</f>
        <v/>
      </c>
      <c r="Q8" s="26" t="inlineStr">
        <is>
          <t>1) [품질 계획] 발주처 품질검사 계획서(ITP)와 공사시방서의 품질 기준을 사전 정밀 대조하였는가?
2) [Hold Point] 감리원 현장 직접 입회 검측 항목(Hold Point)을 사전 분류 지정하였는가?</t>
        </is>
      </c>
      <c r="R8" s="77">
        <f>HYPERLINK(LEFT(CELL("filename",A1),FIND("[",CELL("filename",A1))-1)&amp;"9.통신분야\7_발주처 품질 요구사항 검토\체크리스트\9000-2-7_발주처 품질 요구사항 검토_체크리스트.html", "👉 [클릭] 체크리스트 열기 📄")</f>
        <v/>
      </c>
      <c r="S8" s="22" t="n"/>
      <c r="T8" s="74" t="inlineStr">
        <is>
          <t>● 관련분야 설계기준서 준수</t>
        </is>
      </c>
      <c r="U8" s="73" t="inlineStr">
        <is>
          <t>1) 👉 [더블클릭] 체크리스트 열기 📄</t>
        </is>
      </c>
      <c r="V8" s="25" t="n"/>
    </row>
    <row r="9" ht="115.2" customHeight="1">
      <c r="A9" s="17" t="inlineStr">
        <is>
          <t>9000</t>
        </is>
      </c>
      <c r="B9" s="17" t="inlineStr">
        <is>
          <t>9000-2</t>
        </is>
      </c>
      <c r="C9" s="17" t="inlineStr">
        <is>
          <t>통신분야</t>
        </is>
      </c>
      <c r="D9" s="17" t="inlineStr">
        <is>
          <t>9000-2-8</t>
        </is>
      </c>
      <c r="E9" s="17">
        <f>D8</f>
        <v/>
      </c>
      <c r="F9" s="17">
        <f>D10</f>
        <v/>
      </c>
      <c r="G9" s="17" t="inlineStr">
        <is>
          <t>자재 / 인원 / 장비 등 투입 사전 검토</t>
        </is>
      </c>
      <c r="H9" s="17" t="inlineStr">
        <is>
          <t>D-180
(D-200~180)</t>
        </is>
      </c>
      <c r="I9" s="17" t="inlineStr">
        <is>
          <t>현장 시스템팀 / 협력업체 / 관리</t>
        </is>
      </c>
      <c r="J9" s="16" t="inlineStr">
        <is>
          <t>자재 / 인원 / 장비 투입 계획 수립</t>
        </is>
      </c>
      <c r="K9" s="33" t="inlineStr">
        <is>
          <t>- 현장 여건 및 수량을 기준으로 투입(인원, 장비, 자재) 검토</t>
        </is>
      </c>
      <c r="L9" s="17" t="inlineStr">
        <is>
          <t>세부 공정계획 수립 및 조율</t>
        </is>
      </c>
      <c r="M9" s="26" t="inlineStr">
        <is>
          <t>1) 통신 공사 착수 전 전문 인력 기술자격, 자재 투입 일정 및 전용 시험장비/공구 사전 검토
2) 예정공정표 대비 인원·장비 투입 수급 타당성 및 안전 수칙 준수 검토 승인 표준 적용</t>
        </is>
      </c>
      <c r="N9" s="75">
        <f>HYPERLINK(LEFT(CELL("filename",A1),FIND("[",CELL("filename",A1))-1)&amp;"9.통신분야\8_자재 _ 인원 _ 장비 등 투입 사전 검토\표준서\자재 인력 장비 등 투입 사전 검토_표준서.html", "👉 [클릭] 표준서 열기 📄")</f>
        <v/>
      </c>
      <c r="O9" s="26"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P9" s="76">
        <f>HYPERLINK(LEFT(CELL("filename",A1),FIND("[",CELL("filename",A1))-1)&amp;"9.통신분야\8_자재 _ 인원 _ 장비 등 투입 사전 검토\수행지침\자재 인력 장비 등 투입 사전 검토_수행지침.html", "👉 [클릭] 수행지침 열기 📄")</f>
        <v/>
      </c>
      <c r="Q9" s="26" t="inlineStr">
        <is>
          <t>1) [자원 계획] 공정별 통신 인력, 장비 수급 및 자재 수량을 사전 정밀 대조하였는가?
2) [인력 자격] 통신 공종별 특급/고급 기술자 자격증 및 현장 배치 계획을 확인하였는가?</t>
        </is>
      </c>
      <c r="R9" s="77">
        <f>HYPERLINK(LEFT(CELL("filename",A1),FIND("[",CELL("filename",A1))-1)&amp;"9.통신분야\8_자재 _ 인원 _ 장비 등 투입 사전 검토\체크리스트\자재 인력 장비 등 투입 사전 검토_체크리스트.html", "👉 [클릭] 체크리스트 열기 📄")</f>
        <v/>
      </c>
      <c r="S9" s="22" t="n"/>
      <c r="T9" s="74" t="inlineStr">
        <is>
          <t>● 관련분야 설계기준서 준수</t>
        </is>
      </c>
      <c r="U9" s="73" t="inlineStr">
        <is>
          <t>1) 👉 [더블클릭] 체크리스트 열기 📄</t>
        </is>
      </c>
      <c r="V9" s="25" t="n"/>
    </row>
    <row r="10" ht="210.6" customHeight="1">
      <c r="A10" s="17" t="inlineStr">
        <is>
          <t>9000</t>
        </is>
      </c>
      <c r="B10" s="17" t="inlineStr">
        <is>
          <t>9000-2</t>
        </is>
      </c>
      <c r="C10" s="17" t="inlineStr">
        <is>
          <t>통신분야</t>
        </is>
      </c>
      <c r="D10" s="17" t="inlineStr">
        <is>
          <t>9000-2-9</t>
        </is>
      </c>
      <c r="E10" s="17">
        <f>D9</f>
        <v/>
      </c>
      <c r="F10" s="17">
        <f>D11</f>
        <v/>
      </c>
      <c r="G10" s="17" t="inlineStr">
        <is>
          <t>착수 전 Big Room 회의</t>
        </is>
      </c>
      <c r="H10" s="17" t="inlineStr">
        <is>
          <t>D-170</t>
        </is>
      </c>
      <c r="I10" s="17" t="inlineStr">
        <is>
          <t>현장소장</t>
        </is>
      </c>
      <c r="J10" s="16" t="inlineStr">
        <is>
          <t>통신공사 수행 시, 선행공정 간섭사항 및 각종 Risk에 대한 대책 수립</t>
        </is>
      </c>
      <c r="K10" s="33"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L10" s="17" t="inlineStr">
        <is>
          <t>Big Room 회의록(참석자 전원 서명)</t>
        </is>
      </c>
      <c r="M10" s="26" t="inlineStr">
        <is>
          <t>1) 공사 착수 전 발주처, 감리단, 시공사 및 타공종 합동 Big Room 회의를 통한 종합 공정 및 위험요인 검토
2) 간섭사항 사전 도출 및 공종 간 공정 마일스톤 협의록 작성 표준 적용</t>
        </is>
      </c>
      <c r="N10" s="75">
        <f>HYPERLINK(LEFT(CELL("filename",A1),FIND("[",CELL("filename",A1))-1)&amp;"9.통신분야\8_자재 인력 장비 등 투입 사전 검토\표준서\자재 인력 장비 등 투입 사전 검토_표준서.html", "👉 [클릭] 표준서 열기 📄")</f>
        <v/>
      </c>
      <c r="O10" s="2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P10" s="76">
        <f>HYPERLINK(LEFT(CELL("filename",A1),FIND("[",CELL("filename",A1))-1)&amp;"9.통신분야\8_자재 인력 장비 등 투입 사전 검토\수행지침\자재 인력 장비 등 투입 사전 검토_수행지침.html", "👉 [클릭] 수행지침 열기 📄")</f>
        <v/>
      </c>
      <c r="Q10" s="26"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R10" s="77">
        <f>HYPERLINK(LEFT(CELL("filename",A1),FIND("[",CELL("filename",A1))-1)&amp;"9.통신분야\8_자재 인력 장비 등 투입 사전 검토\체크리스트\자재 인력 장비 등 투입 사전 검토_체크리스트.html", "👉 [클릭] 체크리스트 열기 📄")</f>
        <v/>
      </c>
      <c r="S10" s="22" t="n"/>
      <c r="T10" s="74" t="inlineStr">
        <is>
          <t>● 관련분야 설계기준서 준수</t>
        </is>
      </c>
      <c r="U10" s="73" t="inlineStr">
        <is>
          <t>1) 👉 [더블클릭] 체크리스트 열기 📄</t>
        </is>
      </c>
      <c r="V10" s="25" t="n"/>
    </row>
    <row r="11" ht="115.2" customHeight="1">
      <c r="A11" s="17" t="inlineStr">
        <is>
          <t>9000</t>
        </is>
      </c>
      <c r="B11" s="17" t="inlineStr">
        <is>
          <t>9000-2</t>
        </is>
      </c>
      <c r="C11" s="17" t="inlineStr">
        <is>
          <t>통신분야</t>
        </is>
      </c>
      <c r="D11" s="17" t="inlineStr">
        <is>
          <t>9000-2-10</t>
        </is>
      </c>
      <c r="E11" s="17">
        <f>D10</f>
        <v/>
      </c>
      <c r="F11" s="17">
        <f>D12</f>
        <v/>
      </c>
      <c r="G11" s="17" t="inlineStr">
        <is>
          <t>통신설비 제작 사양서 작성 / 승인</t>
        </is>
      </c>
      <c r="H11" s="17" t="inlineStr">
        <is>
          <t>D-90
(180~90)</t>
        </is>
      </c>
      <c r="I11" s="17" t="inlineStr">
        <is>
          <t>현장 시스템팀</t>
        </is>
      </c>
      <c r="J11" s="16" t="inlineStr">
        <is>
          <t>실제 설치되는 통신설비의 사양서를 확정하고 제작 사양서를 작성/승인</t>
        </is>
      </c>
      <c r="K11" s="33" t="inlineStr">
        <is>
          <t>- 현장여건 및 실시설계계획보고서/포함자재사양서의 요구사항 충족 여부를 확인
- 제작사양서, 제작도면 작성 후 감리단 승인</t>
        </is>
      </c>
      <c r="L11" s="17" t="inlineStr">
        <is>
          <t>제작사양서, 제작도면</t>
        </is>
      </c>
      <c r="M11" s="26" t="inlineStr">
        <is>
          <t>1) 통신설비 세부 기술사양서, 랙 배열도(Shop Drawing) 및 전기적/기계적 상세 도면 작성 검토
2) 감리단 및 발주처 승인을 위한 제작사양서 승인 신청서 및 공학적 승인 표준 적용</t>
        </is>
      </c>
      <c r="N11" s="75">
        <f>HYPERLINK(LEFT(CELL("filename",A1),FIND("[",CELL("filename",A1))-1)&amp;"9.통신분야\9_착수 전 Big Room 회의\표준서\착수 전 Big Room 회의_표준서.html", "👉 [클릭] 표준서 열기 📄")</f>
        <v/>
      </c>
      <c r="O11" s="26"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P11" s="76">
        <f>HYPERLINK(LEFT(CELL("filename",A1),FIND("[",CELL("filename",A1))-1)&amp;"9.통신분야\9_착수 전 Big Room 회의\수행지침\착수 전 Big Room 회의_수행지침.html", "👉 [클릭] 수행지침 열기 📄")</f>
        <v/>
      </c>
      <c r="Q11" s="2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R11" s="77">
        <f>HYPERLINK(LEFT(CELL("filename",A1),FIND("[",CELL("filename",A1))-1)&amp;"9.통신분야\9_착수 전 Big Room 회의\체크리스트\9000-2-9_착수 전 Big Room 회의_체크리스트.html", "👉 [클릭] 체크리스트 열기 📄")</f>
        <v/>
      </c>
      <c r="S11" s="22" t="n"/>
      <c r="T11" s="74" t="inlineStr">
        <is>
          <t>● 관련분야 설계기준서 준수</t>
        </is>
      </c>
      <c r="U11" s="73" t="inlineStr">
        <is>
          <t>1) 👉 [더블클릭] 체크리스트 열기 📄</t>
        </is>
      </c>
      <c r="V11" s="25" t="n"/>
    </row>
    <row r="12" ht="115.2" customHeight="1">
      <c r="A12" s="17" t="inlineStr">
        <is>
          <t>9000</t>
        </is>
      </c>
      <c r="B12" s="17" t="inlineStr">
        <is>
          <t>9000-2</t>
        </is>
      </c>
      <c r="C12" s="17" t="inlineStr">
        <is>
          <t>통신분야</t>
        </is>
      </c>
      <c r="D12" s="17" t="inlineStr">
        <is>
          <t>9000-2-11</t>
        </is>
      </c>
      <c r="E12" s="17">
        <f>D11</f>
        <v/>
      </c>
      <c r="F12" s="17">
        <f>D13</f>
        <v/>
      </c>
      <c r="G12" s="17" t="inlineStr">
        <is>
          <t>시공 계획 수립 / 승인</t>
        </is>
      </c>
      <c r="H12" s="17" t="inlineStr">
        <is>
          <t>D-60
(D-90~60)</t>
        </is>
      </c>
      <c r="I12" s="17" t="inlineStr">
        <is>
          <t>현장 시스템팀</t>
        </is>
      </c>
      <c r="J12" s="16" t="inlineStr">
        <is>
          <t>안전/품질이 확보된 시공계획 수립</t>
        </is>
      </c>
      <c r="K12" s="3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L12" s="17" t="inlineStr">
        <is>
          <t>시공계획서&amp;시공상세도, 자가전기통신설비 신고서/계획서</t>
        </is>
      </c>
      <c r="M12" s="26" t="inlineStr">
        <is>
          <t>1) 통신공사 공정별 상세 시공절차서, 안전관리계획서, 품질관리계획서 및 세부 공정표 수립
2) 통신설비 설치 공법 타당성 및 감리단 시공계획서 승인 제출 표준 적용</t>
        </is>
      </c>
      <c r="N12" s="75">
        <f>HYPERLINK(LEFT(CELL("filename",A1),FIND("[",CELL("filename",A1))-1)&amp;"9.통신분야\10_통신설비 제작 사양서 작성 _ 승인\표준서\통신설비 제작 사양서 작성 _ 승인_표준서.html", "👉 [클릭] 표준서 열기 📄")</f>
        <v/>
      </c>
      <c r="O12" s="2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P12" s="76">
        <f>HYPERLINK(LEFT(CELL("filename",A1),FIND("[",CELL("filename",A1))-1)&amp;"9.통신분야\10_통신설비 제작 사양서 작성 _ 승인\수행지침\통신설비 제작 사양서 작성 _ 승인_수행지침.html", "👉 [클릭] 수행지침 열기 📄")</f>
        <v/>
      </c>
      <c r="Q12" s="26"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R12" s="77">
        <f>HYPERLINK(LEFT(CELL("filename",A1),FIND("[",CELL("filename",A1))-1)&amp;"9.통신분야\10_통신설비 제작 사양서 작성 _ 승인\체크리스트\9000-2-10_통신설비 제작 사양서 작성 _ 승인_체크리스트.html", "👉 [클릭] 체크리스트 열기 📄")</f>
        <v/>
      </c>
      <c r="S12" s="22" t="n"/>
      <c r="T12" s="74" t="inlineStr">
        <is>
          <t>● 관련분야 설계기준서 준수</t>
        </is>
      </c>
      <c r="U12" s="73" t="inlineStr">
        <is>
          <t>1) 👉 [더블클릭] 체크리스트 열기 📄</t>
        </is>
      </c>
      <c r="V12" s="25" t="n"/>
    </row>
    <row r="13" ht="115.2" customHeight="1">
      <c r="A13" s="17" t="inlineStr">
        <is>
          <t>9000</t>
        </is>
      </c>
      <c r="B13" s="17" t="inlineStr">
        <is>
          <t>9000-2</t>
        </is>
      </c>
      <c r="C13" s="17" t="inlineStr">
        <is>
          <t>통신분야</t>
        </is>
      </c>
      <c r="D13" s="17" t="inlineStr">
        <is>
          <t>9000-2-12</t>
        </is>
      </c>
      <c r="E13" s="17">
        <f>D12</f>
        <v/>
      </c>
      <c r="F13" s="17">
        <f>D14</f>
        <v/>
      </c>
      <c r="G13" s="17" t="inlineStr">
        <is>
          <t>자재공급원 검토 및 승인</t>
        </is>
      </c>
      <c r="H13" s="17" t="inlineStr">
        <is>
          <t>D-30
(D-60~30)</t>
        </is>
      </c>
      <c r="I13" s="17" t="inlineStr">
        <is>
          <t>현장 시스템팀</t>
        </is>
      </c>
      <c r="J13" s="16" t="inlineStr">
        <is>
          <t>통신설비의 시공성과 품질, 기능 확보를 위한 자재 공급원 검토 및 승인</t>
        </is>
      </c>
      <c r="K13" s="34" t="inlineStr">
        <is>
          <t>- 통신자재제작능력, 유사사례 납품실적 확인
- 성능보증 가능한 통신자재 업체 Pool 검토
- 통신자재 설치 실적 및 설계능력 확인
- 보안성검토 결과 확인</t>
        </is>
      </c>
      <c r="L13" s="17" t="inlineStr">
        <is>
          <t>자재공급원/제작도서 승인 서류, 보안성검토 결과서</t>
        </is>
      </c>
      <c r="M13" s="26" t="inlineStr">
        <is>
          <t>1) 통신 주요 자재 및 기기 자재공급원 승인 서류(KS 인증, 시험성적서, 사업자등록증 등) 검토
2) 성능보증이 가능한 복수 자재공급원 승인 서류 수립 및 감리 승인 표준 적용</t>
        </is>
      </c>
      <c r="N13" s="75">
        <f>HYPERLINK(LEFT(CELL("filename",A1),FIND("[",CELL("filename",A1))-1)&amp;"9.통신분야\11_시공 계획 수립 _ 승인\표준서\시공 계획 수립 _ 승인_표준서.html", "👉 [클릭] 표준서 열기 📄")</f>
        <v/>
      </c>
      <c r="O13" s="26"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P13" s="76">
        <f>HYPERLINK(LEFT(CELL("filename",A1),FIND("[",CELL("filename",A1))-1)&amp;"9.통신분야\11_시공 계획 수립 _ 승인\수행지침\시공 계획 수립 _ 승인_수행지침.html", "👉 [클릭] 수행지침 열기 📄")</f>
        <v/>
      </c>
      <c r="Q13" s="2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R13" s="77">
        <f>HYPERLINK(LEFT(CELL("filename",A1),FIND("[",CELL("filename",A1))-1)&amp;"9.통신분야\11_시공 계획 수립 _ 승인\체크리스트\9000-2-11_시공 계획 수립 _ 승인_체크리스트.html", "👉 [클릭] 체크리스트 열기 📄")</f>
        <v/>
      </c>
      <c r="S13" s="22" t="n"/>
      <c r="T13" s="74" t="inlineStr">
        <is>
          <t>● 관련분야 설계기준서 준수</t>
        </is>
      </c>
      <c r="U13" s="73" t="inlineStr">
        <is>
          <t>1) 👉 [더블클릭] 체크리스트 열기 📄</t>
        </is>
      </c>
      <c r="V13" s="25" t="n"/>
    </row>
    <row r="14" ht="192" customHeight="1">
      <c r="A14" s="17" t="inlineStr">
        <is>
          <t>9000</t>
        </is>
      </c>
      <c r="B14" s="17" t="inlineStr">
        <is>
          <t>9000-2</t>
        </is>
      </c>
      <c r="C14" s="17" t="inlineStr">
        <is>
          <t>통신분야</t>
        </is>
      </c>
      <c r="D14" s="17" t="inlineStr">
        <is>
          <t>9000-2-13</t>
        </is>
      </c>
      <c r="E14" s="17">
        <f>D13</f>
        <v/>
      </c>
      <c r="F14" s="17">
        <f>D15</f>
        <v/>
      </c>
      <c r="G14" s="17" t="inlineStr">
        <is>
          <t>통신설비 공정제작 / 제작사 공장검사</t>
        </is>
      </c>
      <c r="H14" s="17" t="inlineStr">
        <is>
          <t>D-30
(D-30~D+15)</t>
        </is>
      </c>
      <c r="I14" s="17" t="inlineStr">
        <is>
          <t>현장 시스템팀</t>
        </is>
      </c>
      <c r="J14" s="16" t="inlineStr">
        <is>
          <t>제작사양서/제작도면의 일치여부검토 및 현장반입 전 공장 성능검사 확인</t>
        </is>
      </c>
      <c r="K14" s="3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L14" s="17" t="inlineStr">
        <is>
          <t>공장검사 결과보고서 (감리 및 관계기관 입회)</t>
        </is>
      </c>
      <c r="M14" s="26" t="inlineStr">
        <is>
          <t>1) 통신 기기 제작 공정 진행률 점검 및 공장시험(FAT, Factory Acceptance Test) 절차서 작성
2) 공장 수검 검사, 품질 성능 시험성적서 확인 및 공장검사 합격증명서 발급 표준 적용</t>
        </is>
      </c>
      <c r="N14" s="75">
        <f>HYPERLINK(LEFT(CELL("filename",A1),FIND("[",CELL("filename",A1))-1)&amp;"9.통신분야\12_자재공급원 검토 및 승인\표준서\자재공급원 검토 및 승인_표준서.html", "👉 [클릭] 표준서 열기 📄")</f>
        <v/>
      </c>
      <c r="O14" s="2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P14" s="76">
        <f>HYPERLINK(LEFT(CELL("filename",A1),FIND("[",CELL("filename",A1))-1)&amp;"9.통신분야\12_자재공급원 검토 및 승인\수행지침\자재공급원 검토 및 승인_수행지침.html", "👉 [클릭] 수행지침 열기 📄")</f>
        <v/>
      </c>
      <c r="Q14" s="26"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R14" s="77">
        <f>HYPERLINK(LEFT(CELL("filename",A1),FIND("[",CELL("filename",A1))-1)&amp;"9.통신분야\12_자재공급원 검토 및 승인\체크리스트\9000-2-12_자재공급원 검토 및 승인_체크리스트.html", "👉 [클릭] 체크리스트 열기 📄")</f>
        <v/>
      </c>
      <c r="S14" s="22" t="n"/>
      <c r="T14" s="74" t="inlineStr">
        <is>
          <t>● 관련분야 설계기준서 준수</t>
        </is>
      </c>
      <c r="U14" s="73" t="inlineStr">
        <is>
          <t>1) 👉 [더블클릭] 체크리스트 열기 📄</t>
        </is>
      </c>
      <c r="V14" s="25" t="n"/>
    </row>
    <row r="15" ht="115.2" customHeight="1">
      <c r="A15" s="17" t="inlineStr">
        <is>
          <t>9000</t>
        </is>
      </c>
      <c r="B15" s="17" t="inlineStr">
        <is>
          <t>9000-2</t>
        </is>
      </c>
      <c r="C15" s="17" t="inlineStr">
        <is>
          <t>통신분야</t>
        </is>
      </c>
      <c r="D15" s="17" t="inlineStr">
        <is>
          <t>9000-2-14</t>
        </is>
      </c>
      <c r="E15" s="17">
        <f>D14</f>
        <v/>
      </c>
      <c r="F15" s="17">
        <f>D16</f>
        <v/>
      </c>
      <c r="G15" s="17" t="inlineStr">
        <is>
          <t>본공사 전 선행공정 인수인계 점검</t>
        </is>
      </c>
      <c r="H15" s="17" t="inlineStr">
        <is>
          <t>D-10
(D-20~10)</t>
        </is>
      </c>
      <c r="I15" s="17" t="inlineStr">
        <is>
          <t>현장 시스템팀</t>
        </is>
      </c>
      <c r="J15" s="16" t="inlineStr">
        <is>
          <t>통신설비 설치를 위한 현장점검/정리 상태 확인(기능실: 건축,전기/현장: 노반)</t>
        </is>
      </c>
      <c r="K15" s="34" t="inlineStr">
        <is>
          <t>- 통신설비 설치 시 간섭여부 점검
- 현장 정리상태 점검 (건축마감, 공조, 조명, 전원 등)
- 장비설치를 위한 자체반입구 및 케이블 설치를 위한 공동구/오프닝 위치 확인</t>
        </is>
      </c>
      <c r="L15" s="17" t="inlineStr">
        <is>
          <t>기록지, 현장점검결과보고서(감리입회)</t>
        </is>
      </c>
      <c r="M15" s="26" t="inlineStr">
        <is>
          <t>1) 토목·건축 선행 공정 완료 후 통신 기계실, 케이블 트레이, 관로 인수인계 현장 상태 검측
2) 바닥 엑세스플로어, 방화 구획 및 기초 구조체 인수인계 확인서 작성 표준 적용</t>
        </is>
      </c>
      <c r="N15" s="75">
        <f>HYPERLINK(LEFT(CELL("filename",A1),FIND("[",CELL("filename",A1))-1)&amp;"9.통신분야\13_통신설비 공정제작 _ 제작사 공장검사\표준서\통신설비 공정제작 _ 제작사 공장검사_표준서.html", "👉 [클릭] 표준서 열기 📄")</f>
        <v/>
      </c>
      <c r="O15" s="26"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P15" s="76">
        <f>HYPERLINK(LEFT(CELL("filename",A1),FIND("[",CELL("filename",A1))-1)&amp;"9.통신분야\13_통신설비 공정제작 _ 제작사 공장검사\수행지침\통신설비 공정제작 _ 제작사 공장검사_수행지침.html", "👉 [클릭] 수행지침 열기 📄")</f>
        <v/>
      </c>
      <c r="Q15" s="2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R15" s="77">
        <f>HYPERLINK(LEFT(CELL("filename",A1),FIND("[",CELL("filename",A1))-1)&amp;"9.통신분야\13_통신설비 공정제작 _ 제작사 공장검사\체크리스트\9000-2-13_통신설비 공정제작 _ 제작사 공장검사_체크리스트.html", "👉 [클릭] 체크리스트 열기 📄")</f>
        <v/>
      </c>
      <c r="S15" s="22" t="n"/>
      <c r="T15" s="74" t="inlineStr">
        <is>
          <t>● 관련분야 설계기준서 준수</t>
        </is>
      </c>
      <c r="U15" s="73" t="inlineStr">
        <is>
          <t>1) 👉 [더블클릭] 체크리스트 열기 📄</t>
        </is>
      </c>
      <c r="V15" s="25" t="n"/>
    </row>
    <row r="16" ht="115.2" customHeight="1">
      <c r="A16" s="17" t="inlineStr">
        <is>
          <t>9000</t>
        </is>
      </c>
      <c r="B16" s="17" t="inlineStr">
        <is>
          <t>9000-2</t>
        </is>
      </c>
      <c r="C16" s="17" t="inlineStr">
        <is>
          <t>통신분야</t>
        </is>
      </c>
      <c r="D16" s="17" t="inlineStr">
        <is>
          <t>9000-2-15</t>
        </is>
      </c>
      <c r="E16" s="17">
        <f>D15</f>
        <v/>
      </c>
      <c r="F16" s="17">
        <f>D17</f>
        <v/>
      </c>
      <c r="G16" s="17" t="inlineStr">
        <is>
          <t>장비반입 및 안전교육</t>
        </is>
      </c>
      <c r="H16" s="17" t="inlineStr">
        <is>
          <t>D-5
(D-10~5)</t>
        </is>
      </c>
      <c r="I16" s="17" t="inlineStr">
        <is>
          <t>현장 시스템팀 / 안전팀</t>
        </is>
      </c>
      <c r="J16" s="16" t="inlineStr">
        <is>
          <t>장비 반입 준비 및 안전교육 완료</t>
        </is>
      </c>
      <c r="K16" s="34" t="inlineStr">
        <is>
          <t>- 자재반입 경로, 적치장소에 대한 사전확인 및 타분야 일정, 간섭사항 협의/확인
- 장비 Spec확인, 장비상태 점검
- 작업원 안전교육 실시</t>
        </is>
      </c>
      <c r="L16" s="17" t="inlineStr">
        <is>
          <t>안전교육 결과서, 측량기록지</t>
        </is>
      </c>
      <c r="M16" s="26" t="inlineStr">
        <is>
          <t>1) 통신 시공 장비 및 차량 반입 전 장비 안전점검 및 작업자 특별안전보건교육 실시
2) 장비 반입 허가서 작성 및 안전 교육 이수 수료증 관리 표준 적용</t>
        </is>
      </c>
      <c r="N16" s="75">
        <f>HYPERLINK(LEFT(CELL("filename",A1),FIND("[",CELL("filename",A1))-1)&amp;"9.통신분야\14_본공사 전 선행공정 인수인계 점검\표준서\본공사 전 선행공정 인수인계 점검_표준서.html", "👉 [클릭] 표준서 열기 📄")</f>
        <v/>
      </c>
      <c r="O16" s="2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P16" s="76">
        <f>HYPERLINK(LEFT(CELL("filename",A1),FIND("[",CELL("filename",A1))-1)&amp;"9.통신분야\14_본공사 전 선행공정 인수인계 점검\수행지침\본공사 전 선행공정 인수인계 점검_수행지침.html", "👉 [클릭] 수행지침 열기 📄")</f>
        <v/>
      </c>
      <c r="Q16" s="26" t="inlineStr">
        <is>
          <t>1) 화물차 반입 도로의 유효 폭(W≥3.5m) 및 지상 가설재 장애물(0cm) 상태를 확인하였는가?
2) 토목/건축 등 타분야 양중 작업 간섭 여부를 사전 협의하고 양중 시간대를 분리 조율하였는가?</t>
        </is>
      </c>
      <c r="R16" s="77">
        <f>HYPERLINK(LEFT(CELL("filename",A1),FIND("[",CELL("filename",A1))-1)&amp;"9.통신분야\14_본공사 전 선행공정 인수인계 점검\체크리스트\9000-2-14_본공사 전 선행공정 인수인계 점검_체크리스트.html", "👉 [클릭] 체크리스트 열기 📄")</f>
        <v/>
      </c>
      <c r="S16" s="22" t="n"/>
      <c r="T16" s="74" t="inlineStr">
        <is>
          <t>● 관련분야 설계기준서 준수</t>
        </is>
      </c>
      <c r="U16" s="73" t="inlineStr">
        <is>
          <t>1) 👉 [더블클릭] 체크리스트 열기 📄</t>
        </is>
      </c>
      <c r="V16" s="25" t="n"/>
    </row>
    <row r="17" ht="115.2" customHeight="1">
      <c r="A17" s="17" t="inlineStr">
        <is>
          <t>9000</t>
        </is>
      </c>
      <c r="B17" s="17" t="inlineStr">
        <is>
          <t>9000-2</t>
        </is>
      </c>
      <c r="C17" s="17" t="inlineStr">
        <is>
          <t>통신분야</t>
        </is>
      </c>
      <c r="D17" s="17" t="inlineStr">
        <is>
          <t>9000-2-16</t>
        </is>
      </c>
      <c r="E17" s="17">
        <f>D16</f>
        <v/>
      </c>
      <c r="F17" s="17">
        <f>D18</f>
        <v/>
      </c>
      <c r="G17" s="17" t="inlineStr">
        <is>
          <t>자재 반입 및 검수</t>
        </is>
      </c>
      <c r="H17" s="17" t="inlineStr">
        <is>
          <t>D+0
~D+30</t>
        </is>
      </c>
      <c r="I17" s="17" t="inlineStr">
        <is>
          <t>현장소장 및 발주청/공동감리단</t>
        </is>
      </c>
      <c r="J17" s="16" t="inlineStr">
        <is>
          <t>공장검사 시행 완료된 자재반입과 현장 입고 검사</t>
        </is>
      </c>
      <c r="K17" s="34" t="inlineStr">
        <is>
          <t>- 자재 하차 위치 및 반입동선 확인
- 승인된 자재 일치여부 확인(Serial number 등)
- 제품의 규격, 수량 도면과 일치하는지 검토</t>
        </is>
      </c>
      <c r="L17" s="17" t="inlineStr">
        <is>
          <t>자재검수서</t>
        </is>
      </c>
      <c r="M17" s="26" t="inlineStr">
        <is>
          <t>1) 현장 반입 통신 자재 및 케이블의 승인 자재 일치성, 수량 및 운반 파손 여부 검수
2) 자재검수 요청서 작성 및 감리 입회 검수 합격 확인 표준 적용</t>
        </is>
      </c>
      <c r="N17" s="75">
        <f>HYPERLINK(LEFT(CELL("filename",A1),FIND("[",CELL("filename",A1))-1)&amp;"9.통신분야\15_장비반입 및 안전교육\표준서\장비반입 및 안전교육_표준서.html", "👉 [클릭] 표준서 열기 📄")</f>
        <v/>
      </c>
      <c r="O17" s="26"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P17" s="76">
        <f>HYPERLINK(LEFT(CELL("filename",A1),FIND("[",CELL("filename",A1))-1)&amp;"9.통신분야\15_장비반입 및 안전교육\수행지침\장비반입 및 안전교육_수행지침.html", "👉 [클릭] 수행지침 열기 📄")</f>
        <v/>
      </c>
      <c r="Q17" s="26" t="inlineStr">
        <is>
          <t>1) 시방 대조[도면 및 여건] 자재 하차 위치 및 반입동선 확인 수칙을 사전 대조 확인하였는가?
2) 업체 Pool[적격 업체] 철도/트램 시공 및 영업운행 실적이 입증된 적격 업체 Pool을 검토하였는가?</t>
        </is>
      </c>
      <c r="R17" s="77">
        <f>HYPERLINK(LEFT(CELL("filename",A1),FIND("[",CELL("filename",A1))-1)&amp;"9.통신분야\15_장비반입 및 안전교육\체크리스트\9000-2-15_장비반입 및 안전교육_체크리스트.html", "👉 [클릭] 체크리스트 열기 📄")</f>
        <v/>
      </c>
      <c r="S17" s="22" t="n"/>
      <c r="T17" s="74" t="inlineStr">
        <is>
          <t>● 관련분야 설계기준서 준수</t>
        </is>
      </c>
      <c r="U17" s="73" t="inlineStr">
        <is>
          <t>1) 👉 [더블클릭] 체크리스트 열기 📄</t>
        </is>
      </c>
      <c r="V17" s="25" t="n"/>
    </row>
    <row r="18" ht="115.2" customHeight="1">
      <c r="A18" s="17" t="inlineStr">
        <is>
          <t>9000</t>
        </is>
      </c>
      <c r="B18" s="17" t="inlineStr">
        <is>
          <t>9000-2</t>
        </is>
      </c>
      <c r="C18" s="17" t="inlineStr">
        <is>
          <t>통신분야</t>
        </is>
      </c>
      <c r="D18" s="17" t="inlineStr">
        <is>
          <t>9000-2-17</t>
        </is>
      </c>
      <c r="E18" s="17">
        <f>D17</f>
        <v/>
      </c>
      <c r="F18" s="17">
        <f>D19</f>
        <v/>
      </c>
      <c r="G18" s="17" t="inlineStr">
        <is>
          <t>통신설비 반입 및 설치</t>
        </is>
      </c>
      <c r="H18" s="17" t="inlineStr">
        <is>
          <t>D+31
~D+360</t>
        </is>
      </c>
      <c r="I18" s="17" t="inlineStr">
        <is>
          <t>현장소장 및 분야별 전담팀</t>
        </is>
      </c>
      <c r="J18" s="16" t="inlineStr">
        <is>
          <t>설계에 부합되도록 통신설비 설치</t>
        </is>
      </c>
      <c r="K18" s="33"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L18" s="17" t="inlineStr">
        <is>
          <t>검측서</t>
        </is>
      </c>
      <c r="M18" s="26" t="inlineStr">
        <is>
          <t>1) 통신 기계실 랙 설비, 본선 관로 광케이블 포설 및 역무 통신 기기 수평/수직 시공 설치
2) 케이블 성단, OTDR 접속 및 설비 고정 상태 검측 표준 적용</t>
        </is>
      </c>
      <c r="N18" s="75">
        <f>HYPERLINK(LEFT(CELL("filename",A1),FIND("[",CELL("filename",A1))-1)&amp;"9.통신분야\16_자재 반입 및 검수\표준서\자재 반입 및 검수_표준서.html", "👉 [클릭] 표준서 열기 📄")</f>
        <v/>
      </c>
      <c r="O18" s="2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P18" s="76">
        <f>HYPERLINK(LEFT(CELL("filename",A1),FIND("[",CELL("filename",A1))-1)&amp;"9.통신분야\16_자재 반입 및 검수\수행지침\자재 반입 및 검수_수행지침.html", "👉 [클릭] 수행지침 열기 📄")</f>
        <v/>
      </c>
      <c r="Q18" s="26" t="inlineStr">
        <is>
          <t>1) 본 시공 착수 전 통신기계실 랙 배선 정돈 및 마킹 표찰 샘플을 감리단과 사전 검측하였는가?
2) 72-Core 광케이블 융착 접속 트레이 정돈 및 접속 손실 샘플 시공 승인을 획득하였는가?</t>
        </is>
      </c>
      <c r="R18" s="77">
        <f>HYPERLINK(LEFT(CELL("filename",A1),FIND("[",CELL("filename",A1))-1)&amp;"9.통신분야\16_자재 반입 및 검수\체크리스트\9000-2-16_자재 반입 및 검수_체크리스트.html", "👉 [클릭] 체크리스트 열기 📄")</f>
        <v/>
      </c>
      <c r="S18" s="22" t="n"/>
      <c r="T18" s="74" t="inlineStr">
        <is>
          <t>● 관련분야 설계기준서 준수</t>
        </is>
      </c>
      <c r="U18" s="73" t="inlineStr">
        <is>
          <t>1) 👉 [더블클릭] 체크리스트 열기 📄</t>
        </is>
      </c>
      <c r="V18" s="25" t="n"/>
    </row>
    <row r="19" ht="115.2" customHeight="1">
      <c r="A19" s="17" t="inlineStr">
        <is>
          <t>9000</t>
        </is>
      </c>
      <c r="B19" s="17" t="inlineStr">
        <is>
          <t>9000-2</t>
        </is>
      </c>
      <c r="C19" s="17" t="inlineStr">
        <is>
          <t>통신분야</t>
        </is>
      </c>
      <c r="D19" s="17" t="inlineStr">
        <is>
          <t>9000-2-18</t>
        </is>
      </c>
      <c r="E19" s="17">
        <f>D18</f>
        <v/>
      </c>
      <c r="F19" s="17">
        <f>D20</f>
        <v/>
      </c>
      <c r="G19" s="17" t="inlineStr">
        <is>
          <t>관제설비 설치</t>
        </is>
      </c>
      <c r="H19" s="17" t="inlineStr">
        <is>
          <t>D+121
~D+150</t>
        </is>
      </c>
      <c r="I19" s="17" t="inlineStr">
        <is>
          <t>현장소장</t>
        </is>
      </c>
      <c r="J19" s="16" t="inlineStr">
        <is>
          <t>관제설비의 정위치 배치 및 설치</t>
        </is>
      </c>
      <c r="K19" s="33" t="inlineStr">
        <is>
          <t>- 랙 베이스/케이블 등 설치 위치를 확인하고 설치후에는 도면과 일치 여부를 체크
- 철도 교통관제(구로/대전)와 연동할 수 있게 광전송/열차무선 설비 등을 설치하고 확인</t>
        </is>
      </c>
      <c r="L19" s="17" t="inlineStr">
        <is>
          <t>검측서</t>
        </is>
      </c>
      <c r="M19" s="26" t="inlineStr">
        <is>
          <t>1) 종합관제센터 관제 콘솔, 대형 표시장치(DLP/LFD), 관제 서버 및 네트워크 설비 설치
2) 관제 시스템 전원 인입, 배선 정리 및 관제 환경 설치 검측 표준 적용</t>
        </is>
      </c>
      <c r="N19" s="75">
        <f>HYPERLINK(LEFT(CELL("filename",A1),FIND("[",CELL("filename",A1))-1)&amp;"9.통신분야\17_통신설비 반입 및 설치\표준서\통신설비 반입 및 설치_표준서.html", "👉 [클릭] 표준서 열기 📄")</f>
        <v/>
      </c>
      <c r="O19" s="26"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P19" s="76">
        <f>HYPERLINK(LEFT(CELL("filename",A1),FIND("[",CELL("filename",A1))-1)&amp;"9.통신분야\17_통신설비 반입 및 설치\수행지침\통신설비 반입 및 설치_수행지침.html", "👉 [클릭] 수행지침 열기 📄")</f>
        <v/>
      </c>
      <c r="Q19" s="26" t="inlineStr">
        <is>
          <t>1) OCC 관제실 전면 비디오 월 마운트 거치 프레임 레이저 수평 오차(±1.0mm 이내)를 실측하였는가?
2) 멀티 디스플레이 패널 간 베젤 이격 단차(≤0.5mm) 미세 조율 및 방진 가스켓 부착을 완료하였는가?</t>
        </is>
      </c>
      <c r="R19" s="77">
        <f>HYPERLINK(LEFT(CELL("filename",A1),FIND("[",CELL("filename",A1))-1)&amp;"9.통신분야\17_통신설비 반입 및 설치\체크리스트\9000-2-17_통신설비 반입 및 설치_체크리스트.html", "👉 [클릭] 체크리스트 열기 📄")</f>
        <v/>
      </c>
      <c r="S19" s="22" t="n"/>
      <c r="T19" s="74" t="inlineStr">
        <is>
          <t>● 관련분야 설계기준서 준수</t>
        </is>
      </c>
      <c r="U19" s="73" t="inlineStr">
        <is>
          <t>1) 👉 [더블클릭] 체크리스트 열기 📄</t>
        </is>
      </c>
      <c r="V19" s="25" t="n"/>
    </row>
    <row r="20" ht="115.2" customHeight="1">
      <c r="A20" s="17" t="inlineStr">
        <is>
          <t>9000</t>
        </is>
      </c>
      <c r="B20" s="17" t="inlineStr">
        <is>
          <t>9000-2</t>
        </is>
      </c>
      <c r="C20" s="17" t="inlineStr">
        <is>
          <t>통신분야</t>
        </is>
      </c>
      <c r="D20" s="17" t="inlineStr">
        <is>
          <t>9000-2-19</t>
        </is>
      </c>
      <c r="E20" s="17">
        <f>D19</f>
        <v/>
      </c>
      <c r="F20" s="17">
        <f>D21</f>
        <v/>
      </c>
      <c r="G20" s="17" t="inlineStr">
        <is>
          <t>통신시스템 단위시험</t>
        </is>
      </c>
      <c r="H20" s="17" t="inlineStr">
        <is>
          <t>D+151
~D+195</t>
        </is>
      </c>
      <c r="I20" s="17" t="inlineStr">
        <is>
          <t>현장 시스템팀</t>
        </is>
      </c>
      <c r="J20" s="16" t="inlineStr">
        <is>
          <t>통신설비(열차에 설치하는 차상통신 장치 포함)설치 후 전원투입 및 기능검증</t>
        </is>
      </c>
      <c r="K20" s="33" t="inlineStr">
        <is>
          <t>- ITP/ITC에 따라 시험/검사를 감리 확인</t>
        </is>
      </c>
      <c r="L20" s="17" t="inlineStr">
        <is>
          <t>감리단 입회검사 및 시험점검표(ITP/ITC)</t>
        </is>
      </c>
      <c r="M20" s="26" t="inlineStr">
        <is>
          <t>1) 통신 개별 단위 설비(LTE-R, 방송, CCTV, 역무, 전화 등) 전원 투입 및 단독 시험 실시
2) 설비별 단위시험 절차서 준수 및 단독 기능 시험성적서 작성 표준 적용</t>
        </is>
      </c>
      <c r="N20" s="75">
        <f>HYPERLINK(LEFT(CELL("filename",A1),FIND("[",CELL("filename",A1))-1)&amp;"9.통신분야\18_관제설비 설치\표준서\관제설비 설치_표준서.html", "👉 [클릭] 표준서 열기 📄")</f>
        <v/>
      </c>
      <c r="O20" s="2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P20" s="76">
        <f>HYPERLINK(LEFT(CELL("filename",A1),FIND("[",CELL("filename",A1))-1)&amp;"9.통신분야\18_관제설비 설치\수행지침\관제설비 설치_수행지침.html", "👉 [클릭] 수행지침 열기 📄")</f>
        <v/>
      </c>
      <c r="Q20" s="26"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R20" s="77">
        <f>HYPERLINK(LEFT(CELL("filename",A1),FIND("[",CELL("filename",A1))-1)&amp;"9.통신분야\18_관제설비 설치\체크리스트\9000-2-18_관제설비 설치_체크리스트.html", "👉 [클릭] 체크리스트 열기 📄")</f>
        <v/>
      </c>
      <c r="S20" s="22" t="n"/>
      <c r="T20" s="74" t="inlineStr">
        <is>
          <t>● 관련분야 설계기준서 준수</t>
        </is>
      </c>
      <c r="U20" s="73" t="inlineStr">
        <is>
          <t>1) 👉 [더블클릭] 체크리스트 열기 📄</t>
        </is>
      </c>
      <c r="V20" s="25" t="n"/>
    </row>
    <row r="21" ht="115.2" customHeight="1">
      <c r="A21" s="17" t="inlineStr">
        <is>
          <t>9000</t>
        </is>
      </c>
      <c r="B21" s="17" t="inlineStr">
        <is>
          <t>9000-2</t>
        </is>
      </c>
      <c r="C21" s="17" t="inlineStr">
        <is>
          <t>통신분야</t>
        </is>
      </c>
      <c r="D21" s="17" t="inlineStr">
        <is>
          <t>9000-2-20</t>
        </is>
      </c>
      <c r="E21" s="17">
        <f>D20</f>
        <v/>
      </c>
      <c r="F21" s="17">
        <f>D22</f>
        <v/>
      </c>
      <c r="G21" s="17" t="inlineStr">
        <is>
          <t>통신시스템 통합시험</t>
        </is>
      </c>
      <c r="H21" s="17" t="inlineStr">
        <is>
          <t>D+196
~D+255</t>
        </is>
      </c>
      <c r="I21" s="17" t="inlineStr">
        <is>
          <t>현장 시스템팀</t>
        </is>
      </c>
      <c r="J21" s="16" t="inlineStr">
        <is>
          <t>관제설비를 포함한 통신망 통합 검증</t>
        </is>
      </c>
      <c r="K21" s="34" t="inlineStr">
        <is>
          <t>- 감리단 입회하에 검사/시험절차대로 수행
1) 관제실/현장설비간 인터페이스 시험
2) 지상 및 차상 인터페이스 시험</t>
        </is>
      </c>
      <c r="L21" s="17" t="inlineStr">
        <is>
          <t>감리단 입회검사 및 시험점검표(ITP/ITC)</t>
        </is>
      </c>
      <c r="M21" s="26" t="inlineStr">
        <is>
          <t>1) 통신 설비 간 데이터 연동, LTE-R 무선망 백본 이중화 절체 및 종합 네트워크 연동 시험
2) 통합시험 절차서 준수 및 이종 통신 설비 간 상호 연동성 검측 표준 적용</t>
        </is>
      </c>
      <c r="N21" s="75">
        <f>HYPERLINK(LEFT(CELL("filename",A1),FIND("[",CELL("filename",A1))-1)&amp;"9.통신분야\19_통신시스템 단위시험\표준서\통신시스템 단위시험_표준서.html", "👉 [클릭] 표준서 열기 📄")</f>
        <v/>
      </c>
      <c r="O21" s="26"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P21" s="76">
        <f>HYPERLINK(LEFT(CELL("filename",A1),FIND("[",CELL("filename",A1))-1)&amp;"9.통신분야\19_통신시스템 단위시험\수행지침\통신시스템 단위시험_수행지침.html", "👉 [클릭] 수행지침 열기 📄")</f>
        <v/>
      </c>
      <c r="Q21" s="2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R21" s="77">
        <f>HYPERLINK(LEFT(CELL("filename",A1),FIND("[",CELL("filename",A1))-1)&amp;"9.통신분야\19_통신시스템 단위시험\체크리스트\9000-2-19_통신시스템 단위시험_체크리스트.html", "👉 [클릭] 체크리스트 열기 📄")</f>
        <v/>
      </c>
      <c r="S21" s="22" t="n"/>
      <c r="T21" s="74" t="inlineStr">
        <is>
          <t>● 관련분야 설계기준서 준수</t>
        </is>
      </c>
      <c r="U21" s="73" t="inlineStr">
        <is>
          <t>1) 👉 [더블클릭] 체크리스트 열기 📄</t>
        </is>
      </c>
      <c r="V21" s="25" t="n"/>
    </row>
    <row r="22" ht="115.2" customHeight="1">
      <c r="A22" s="17" t="inlineStr">
        <is>
          <t>9000</t>
        </is>
      </c>
      <c r="B22" s="17" t="inlineStr">
        <is>
          <t>9000-2</t>
        </is>
      </c>
      <c r="C22" s="17" t="inlineStr">
        <is>
          <t>통신분야</t>
        </is>
      </c>
      <c r="D22" s="17" t="inlineStr">
        <is>
          <t>9000-2-21</t>
        </is>
      </c>
      <c r="E22" s="17">
        <f>D21</f>
        <v/>
      </c>
      <c r="F22" s="17">
        <f>D23</f>
        <v/>
      </c>
      <c r="G22" s="17" t="inlineStr">
        <is>
          <t>공종별 시험</t>
        </is>
      </c>
      <c r="H22" s="17" t="inlineStr">
        <is>
          <t>D+256
~D+285</t>
        </is>
      </c>
      <c r="I22" s="17" t="inlineStr">
        <is>
          <t>현장 시스템팀</t>
        </is>
      </c>
      <c r="J22" s="16" t="inlineStr">
        <is>
          <t>발주처가 관련 법령, 설계기준, 기술기준, 시방서 등의 요구사항에 적합하도록 설치되었는지를 확인</t>
        </is>
      </c>
      <c r="K22" s="34" t="inlineStr">
        <is>
          <t>- 철도종합시험운행 시행지침 제6조(공종별시험)에 따라 시행</t>
        </is>
      </c>
      <c r="L22" s="17" t="inlineStr">
        <is>
          <t>공종별 시험 결과보고서</t>
        </is>
      </c>
      <c r="M22" s="26" t="inlineStr">
        <is>
          <t>1) 철도 종합시험운행 지침에 의거한 통신 공종별 상세 시운전 시험 절차 수립
2) 공종별 시험 항목 검측, 무선 전계강도 측정 및 시험성적서 확정 표준 적용</t>
        </is>
      </c>
      <c r="N22" s="75">
        <f>HYPERLINK(LEFT(CELL("filename",A1),FIND("[",CELL("filename",A1))-1)&amp;"9.통신분야\20_통신시스템 통합시험\표준서\통신시스템 통합시험_표준서.html", "👉 [클릭] 표준서 열기 📄")</f>
        <v/>
      </c>
      <c r="O22" s="2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P22" s="76">
        <f>HYPERLINK(LEFT(CELL("filename",A1),FIND("[",CELL("filename",A1))-1)&amp;"9.통신분야\20_통신시스템 통합시험\수행지침\통신시스템 통합시험_수행지침.html", "👉 [클릭] 수행지침 열기 📄")</f>
        <v/>
      </c>
      <c r="Q22" s="26" t="inlineStr">
        <is>
          <t>1) 본선 및 정거장 광배선반(FDF) 포설 광케이블 전체 코어에 대하여 OTDR 전수 측정을 수행하였는가?
2) 광케이블 융착 접속점 접속 손실 수치가 시방 기준(≤0.1dB/접속점 이하)을 통과함을 확인하였는가?</t>
        </is>
      </c>
      <c r="R22" s="77">
        <f>HYPERLINK(LEFT(CELL("filename",A1),FIND("[",CELL("filename",A1))-1)&amp;"9.통신분야\20_통신시스템 통합시험\체크리스트\9000-2-20_통신시스템 통합시험_체크리스트.html", "👉 [클릭] 체크리스트 열기 📄")</f>
        <v/>
      </c>
      <c r="S22" s="22" t="n"/>
      <c r="T22" s="74" t="inlineStr">
        <is>
          <t>● 관련분야 설계기준서 준수</t>
        </is>
      </c>
      <c r="U22" s="73" t="inlineStr">
        <is>
          <t>1) 👉 [더블클릭] 체크리스트 열기 📄</t>
        </is>
      </c>
      <c r="V22" s="25" t="n"/>
    </row>
    <row r="23" ht="115.2" customHeight="1">
      <c r="A23" s="17" t="inlineStr">
        <is>
          <t>9000</t>
        </is>
      </c>
      <c r="B23" s="17" t="inlineStr">
        <is>
          <t>9000-2</t>
        </is>
      </c>
      <c r="C23" s="17" t="inlineStr">
        <is>
          <t>통신분야</t>
        </is>
      </c>
      <c r="D23" s="17" t="inlineStr">
        <is>
          <t>9000-2-22</t>
        </is>
      </c>
      <c r="E23" s="17">
        <f>D22</f>
        <v/>
      </c>
      <c r="F23" s="17">
        <f>D24</f>
        <v/>
      </c>
      <c r="G23" s="17" t="inlineStr">
        <is>
          <t>차량 투입 전 점검</t>
        </is>
      </c>
      <c r="H23" s="17" t="inlineStr">
        <is>
          <t>D+286
~D+300</t>
        </is>
      </c>
      <c r="I23" s="17" t="inlineStr">
        <is>
          <t>현장소장 및 시공전담팀</t>
        </is>
      </c>
      <c r="J23" s="16" t="inlineStr">
        <is>
          <t>발주처가 원활한 차량시운전이 되도록 노반, 건축, 궤도, 전철전력, 통신, 신호 분야를 종합하여 최종 점검</t>
        </is>
      </c>
      <c r="K23" s="33" t="inlineStr">
        <is>
          <t>- 노반/궤도 시공상태 점검
- 건축한계 및 차량한계 검사
1) 건축한계: 폭(3,600mm) / 높이(5,300mm)
2) 차량한계: 폭(3,200mm) / 높이(4,750mm)
- 전차선, 신호, 통신 작동상태 확인</t>
        </is>
      </c>
      <c r="L23" s="17" t="inlineStr">
        <is>
          <t>점검 결과보고서</t>
        </is>
      </c>
      <c r="M23" s="26" t="inlineStr">
        <is>
          <t>1) 본선 트램 차량 투입 전 LTE-R 차상 통신장치, 무선 안테나 및 관제 무선 연동태세 점검
2) 차량 투입 대비 통신 무무선 연동 안전 상태 확인 표준 적용</t>
        </is>
      </c>
      <c r="N23" s="75">
        <f>HYPERLINK(LEFT(CELL("filename",A1),FIND("[",CELL("filename",A1))-1)&amp;"9.통신분야\21_공종별 시험\표준서\9000-2-21_공종별 시험_표준서.html", "👉 [클릭] 표준서 열기 📄")</f>
        <v/>
      </c>
      <c r="O23" s="26"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P23" s="76">
        <f>HYPERLINK(LEFT(CELL("filename",A1),FIND("[",CELL("filename",A1))-1)&amp;"9.통신분야\21_공종별 시험\수행지침\공종별 시험_수행지침.html", "👉 [클릭] 수행지침 열기 📄")</f>
        <v/>
      </c>
      <c r="Q23" s="2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R23" s="77">
        <f>HYPERLINK(LEFT(CELL("filename",A1),FIND("[",CELL("filename",A1))-1)&amp;"9.통신분야\21_공종별 시험\체크리스트\9000-2-21_공종별 시험_체크리스트.html", "👉 [클릭] 체크리스트 열기 📄")</f>
        <v/>
      </c>
      <c r="S23" s="22" t="n"/>
      <c r="T23" s="74" t="inlineStr">
        <is>
          <t>● 관련분야 설계기준서 준수</t>
        </is>
      </c>
      <c r="U23" s="73" t="inlineStr">
        <is>
          <t>1) 👉 [더블클릭] 체크리스트 열기 📄</t>
        </is>
      </c>
      <c r="V23" s="25" t="n"/>
    </row>
    <row r="24" ht="115.2" customHeight="1">
      <c r="A24" s="17" t="inlineStr">
        <is>
          <t>9000</t>
        </is>
      </c>
      <c r="B24" s="17" t="inlineStr">
        <is>
          <t>9000-2</t>
        </is>
      </c>
      <c r="C24" s="17" t="inlineStr">
        <is>
          <t>통신분야</t>
        </is>
      </c>
      <c r="D24" s="17" t="inlineStr">
        <is>
          <t>9000-2-23</t>
        </is>
      </c>
      <c r="E24" s="17">
        <f>D23</f>
        <v/>
      </c>
      <c r="F24" s="17">
        <f>D25</f>
        <v/>
      </c>
      <c r="G24" s="17" t="inlineStr">
        <is>
          <t>차량 시운전</t>
        </is>
      </c>
      <c r="H24" s="17" t="inlineStr">
        <is>
          <t>D+301~D+360</t>
        </is>
      </c>
      <c r="I24" s="17" t="inlineStr">
        <is>
          <t>현장 시스템팀</t>
        </is>
      </c>
      <c r="J24" s="16" t="inlineStr">
        <is>
          <t>철도안전법에 따른 철도차량 형식시험</t>
        </is>
      </c>
      <c r="K24" s="34" t="inlineStr">
        <is>
          <t>- 철도안전법 제26조(철도차량 형식승인)에 따라 이행(주로 본선구간 수행)
- 차량, 신호, 통신 시스템간 인터페이스 시험</t>
        </is>
      </c>
      <c r="L24" s="17" t="inlineStr">
        <is>
          <t>철도차량 형식승인 결과 보고서</t>
        </is>
      </c>
      <c r="M24" s="26" t="inlineStr">
        <is>
          <t>1) 트램 차량 본선 주행 시 LTE-R 무선 수신강도(RSSI/RSRP), 핸드오버 및 음성/데이터 통신 검측
2) 주행 중 통신 끊김 여부 및 차상-지상 간 통신 품질 성과표 작성 표준 적용</t>
        </is>
      </c>
      <c r="N24" s="75">
        <f>HYPERLINK(LEFT(CELL("filename",A1),FIND("[",CELL("filename",A1))-1)&amp;"9.통신분야\22_차량 투입 전 점검\표준서\차량 투입 전 점검_표준서.html", "👉 [클릭] 표준서 열기 📄")</f>
        <v/>
      </c>
      <c r="O24" s="26" t="inlineStr">
        <is>
          <t>1) 본선 주행 시험: 트램 차량 본선 주행 중 LTE-R 무선 수신강도(RSSI ≥ -95dBm), 핸드오버 성공률(≥99.5%) 실측
2) 주행 통신 검측: 차상-지상 간 CCTV 영상 전송 및 관제 데이터 무선 통신 품질 성과표 최종 확정</t>
        </is>
      </c>
      <c r="P24" s="76">
        <f>HYPERLINK(LEFT(CELL("filename",A1),FIND("[",CELL("filename",A1))-1)&amp;"9.통신분야\22_차량 투입 전 점검\수행지침\차량 투입 전 점검_수행지침.html", "👉 [클릭] 수행지침 열기 📄")</f>
        <v/>
      </c>
      <c r="Q24" s="26" t="inlineStr">
        <is>
          <t>1) 본선 실 주행 최고 속도 조건에서 LTE-R 차상 단말기 수신 감도(RSSI ≥ -85dBm)를 지속 유지하였는가?
2) 주행 중 LTE-R 기지국 간 이동 시 핸드오버 성공률 100% 및 음성 무선 통화 끊김 0건을 검측하였는가?</t>
        </is>
      </c>
      <c r="R24" s="77">
        <f>HYPERLINK(LEFT(CELL("filename",A1),FIND("[",CELL("filename",A1))-1)&amp;"9.통신분야\22_차량 투입 전 점검\체크리스트\9000-2-22_차량 투입 전 점검_체크리스트.html", "👉 [클릭] 체크리스트 열기 📄")</f>
        <v/>
      </c>
      <c r="S24" s="22" t="n"/>
      <c r="T24" s="74" t="inlineStr">
        <is>
          <t>● 관련분야 설계기준서 준수</t>
        </is>
      </c>
      <c r="U24" s="73" t="inlineStr">
        <is>
          <t>1) 👉 [더블클릭] 체크리스트 열기 📄</t>
        </is>
      </c>
      <c r="V24" s="25" t="n"/>
    </row>
    <row r="25" ht="115.2" customHeight="1">
      <c r="A25" s="17" t="inlineStr">
        <is>
          <t>9000</t>
        </is>
      </c>
      <c r="B25" s="17" t="inlineStr">
        <is>
          <t>9000-2</t>
        </is>
      </c>
      <c r="C25" s="17" t="inlineStr">
        <is>
          <t>통신분야</t>
        </is>
      </c>
      <c r="D25" s="17" t="inlineStr">
        <is>
          <t>9000-2-24</t>
        </is>
      </c>
      <c r="E25" s="17">
        <f>D24</f>
        <v/>
      </c>
      <c r="F25" s="17">
        <f>D26</f>
        <v/>
      </c>
      <c r="G25" s="17" t="inlineStr">
        <is>
          <t>운영자 교육시행</t>
        </is>
      </c>
      <c r="H25" s="17" t="inlineStr">
        <is>
          <t>D+361
~D+374</t>
        </is>
      </c>
      <c r="I25" s="17" t="inlineStr">
        <is>
          <t>현장 시스템팀</t>
        </is>
      </c>
      <c r="J25" s="16" t="inlineStr">
        <is>
          <t>영업시운전 전에 시설을 운영자를 대상으로 운영 및 유지관리방법에 대해 교육</t>
        </is>
      </c>
      <c r="K25" s="34" t="inlineStr">
        <is>
          <t>- 통신 시스템 제작사가 만든 매뉴얼로 운영자를 교육
: 관제설비등통신설비 운영/관리방법</t>
        </is>
      </c>
      <c r="L25" s="17" t="inlineStr">
        <is>
          <t>운영자 교육 결과서</t>
        </is>
      </c>
      <c r="M25" s="26" t="inlineStr">
        <is>
          <t>1) 시설물 인수인계 전 운영사 운영자 및 유지보수 요원 대상 통신 시스템 운영 교육 실시
2) 교육 교재 작성, 시스템 운용/장해 조치 실습 및 교육 이수 확인서 작성 표준 적용</t>
        </is>
      </c>
      <c r="N25" s="75">
        <f>HYPERLINK(LEFT(CELL("filename",A1),FIND("[",CELL("filename",A1))-1)&amp;"9.통신분야\23_차량 시운전\표준서\9000-2-23_차량 시운전_표준서.html", "👉 [클릭] 표준서 열기 📄")</f>
        <v/>
      </c>
      <c r="O25" s="26"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P25" s="76">
        <f>HYPERLINK(LEFT(CELL("filename",A1),FIND("[",CELL("filename",A1))-1)&amp;"9.통신분야\23_차량 시운전\수행지침\차량 시운전_수행지침.html", "👉 [클릭] 수행지침 열기 📄")</f>
        <v/>
      </c>
      <c r="Q25" s="26" t="inlineStr">
        <is>
          <t>1) 통신 4대 계통(교환, 무선, PIS/PA, CCTV) 제작사 공식 기술 매뉴얼을 수집·구비하였는가?
2) 주요 장비 장애 시 대응할 수 있는 계통별 긴급 비상 조치 매뉴얼 교재를 편찬하였는가?</t>
        </is>
      </c>
      <c r="R25" s="77">
        <f>HYPERLINK(LEFT(CELL("filename",A1),FIND("[",CELL("filename",A1))-1)&amp;"9.통신분야\23_차량 시운전\체크리스트\9000-2-23_차량 시운전_체크리스트.html", "👉 [클릭] 체크리스트 열기 📄")</f>
        <v/>
      </c>
      <c r="S25" s="22" t="n"/>
      <c r="T25" s="74" t="inlineStr">
        <is>
          <t>● 관련분야 설계기준서 준수</t>
        </is>
      </c>
      <c r="U25" s="73" t="inlineStr">
        <is>
          <t>1) 👉 [더블클릭] 체크리스트 열기 📄</t>
        </is>
      </c>
      <c r="V25" s="25" t="n"/>
    </row>
    <row r="26" ht="115.2" customHeight="1">
      <c r="A26" s="17" t="inlineStr">
        <is>
          <t>9000</t>
        </is>
      </c>
      <c r="B26" s="17" t="inlineStr">
        <is>
          <t>9000-2</t>
        </is>
      </c>
      <c r="C26" s="17" t="inlineStr">
        <is>
          <t>통신분야</t>
        </is>
      </c>
      <c r="D26" s="17" t="inlineStr">
        <is>
          <t>9000-2-25</t>
        </is>
      </c>
      <c r="E26" s="17">
        <f>D25</f>
        <v/>
      </c>
      <c r="F26" s="17">
        <f>D27</f>
        <v/>
      </c>
      <c r="G26" s="17" t="inlineStr">
        <is>
          <t>사전점검</t>
        </is>
      </c>
      <c r="H26" s="17" t="inlineStr">
        <is>
          <t>D+375
~D+414</t>
        </is>
      </c>
      <c r="I26" s="17" t="inlineStr">
        <is>
          <t>현장소장 및 발주처 / 공동감리단</t>
        </is>
      </c>
      <c r="J26" s="16" t="inlineStr">
        <is>
          <t>시설물검증시험의 가능여부를 확인하기 위하여 발주처와 운영자가 합동으로 점검</t>
        </is>
      </c>
      <c r="K26" s="3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L26" s="17" t="inlineStr">
        <is>
          <t>사전점검 결과보고서/승인문서(한국교통안전공단)</t>
        </is>
      </c>
      <c r="M26" s="26" t="inlineStr">
        <is>
          <t>1) 철도종합시험운행 지침 제8조에 의거한 사전점검계획 수립 및 기술기준 부합성 종합 점검
2) 사전점검 결과 보고서 작성 및 한국교통안전공단 제출 승인 표준 적용</t>
        </is>
      </c>
      <c r="N26" s="75">
        <f>HYPERLINK(LEFT(CELL("filename",A1),FIND("[",CELL("filename",A1))-1)&amp;"9.통신분야\24_운영자 교육시행\표준서\운영자 교육시행_표준서.html", "👉 [클릭] 표준서 열기 📄")</f>
        <v/>
      </c>
      <c r="O26" s="2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P26" s="76">
        <f>HYPERLINK(LEFT(CELL("filename",A1),FIND("[",CELL("filename",A1))-1)&amp;"9.통신분야\24_운영자 교육시행\수행지침\운영자 교육시행_수행지침.html", "👉 [클릭] 수행지침 열기 📄")</f>
        <v/>
      </c>
      <c r="Q26" s="26" t="inlineStr">
        <is>
          <t>1) 철도종합시험운행 시행지침 제8조 규정에 맞춘 사전점검계획서를 작성하였는가?
2) 발주처, 운영기관, 책임감리단 및 현장소장이 포함된 3자 합동 사전점검반을 조직하였는가?</t>
        </is>
      </c>
      <c r="R26" s="77">
        <f>HYPERLINK(LEFT(CELL("filename",A1),FIND("[",CELL("filename",A1))-1)&amp;"9.통신분야\24_운영자 교육시행\체크리스트\9000-2-24_운영자 교육시행_체크리스트.html", "👉 [클릭] 체크리스트 열기 📄")</f>
        <v/>
      </c>
      <c r="S26" s="22" t="n"/>
      <c r="T26" s="74" t="inlineStr">
        <is>
          <t>● 관련분야 설계기준서 준수</t>
        </is>
      </c>
      <c r="U26" s="73" t="inlineStr">
        <is>
          <t>1) 👉 [더블클릭] 체크리스트 열기 📄</t>
        </is>
      </c>
      <c r="V26" s="25" t="n"/>
    </row>
    <row r="27" ht="153.6" customHeight="1">
      <c r="A27" s="17" t="inlineStr">
        <is>
          <t>9000</t>
        </is>
      </c>
      <c r="B27" s="17" t="inlineStr">
        <is>
          <t>9000-2</t>
        </is>
      </c>
      <c r="C27" s="17" t="inlineStr">
        <is>
          <t>통신분야</t>
        </is>
      </c>
      <c r="D27" s="17" t="inlineStr">
        <is>
          <t>9000-2-26</t>
        </is>
      </c>
      <c r="E27" s="17">
        <f>D26</f>
        <v/>
      </c>
      <c r="F27" s="17">
        <f>D28</f>
        <v/>
      </c>
      <c r="G27" s="17" t="inlineStr">
        <is>
          <t>시설물 검증시험</t>
        </is>
      </c>
      <c r="H27" s="17" t="inlineStr">
        <is>
          <t>D+415
~D+499</t>
        </is>
      </c>
      <c r="I27" s="17" t="inlineStr">
        <is>
          <t>현장소장 및 발주처 / 공동감리단</t>
        </is>
      </c>
      <c r="J27" s="16" t="inlineStr">
        <is>
          <t>발주처는 시설물의 정상작동 상태 등을 확인하기 위해 시설물 검증시험을 수행</t>
        </is>
      </c>
      <c r="K27" s="3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L27" s="17" t="inlineStr">
        <is>
          <t>시설물 검증시험 결과보고서/승인문서(한국교통안전공단)</t>
        </is>
      </c>
      <c r="M27" s="26" t="inlineStr">
        <is>
          <t>1) 시설물검증시험 계획 수립 및 본선 주행 시험 차량을 이용한 통신 설비 최고속도 성능 검증
2) LTE-R 무선 품질, 관제 데이터 전송률 및 시설물검증 합격 판정 표준 적용</t>
        </is>
      </c>
      <c r="N27" s="75">
        <f>HYPERLINK(LEFT(CELL("filename",A1),FIND("[",CELL("filename",A1))-1)&amp;"9.통신분야\25_사전점검\표준서\9000-2-25_사전점검_표준서.html", "👉 [클릭] 표준서 열기 📄")</f>
        <v/>
      </c>
      <c r="O27" s="26"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P27" s="76">
        <f>HYPERLINK(LEFT(CELL("filename",A1),FIND("[",CELL("filename",A1))-1)&amp;"9.통신분야\25_사전점검\수행지침\9000-2-25_사전점검_수행지침.html", "👉 [클릭] 수행지침 열기 📄")</f>
        <v/>
      </c>
      <c r="Q27" s="26" t="inlineStr">
        <is>
          <t>1) 철도종합시험운행 시행지침 제14조에 따라 시설물검증시험계획을 작성하였는가?
2) 전문기관인 한국교통안전공단으로부터 시설물검증시험계획 적격 승인을 수령하였는가?</t>
        </is>
      </c>
      <c r="R27" s="77">
        <f>HYPERLINK(LEFT(CELL("filename",A1),FIND("[",CELL("filename",A1))-1)&amp;"9.통신분야\25_사전점검\체크리스트\9000-2-25_사전점검_체크리스트.html", "👉 [클릭] 체크리스트 열기 📄")</f>
        <v/>
      </c>
      <c r="S27" s="22" t="n"/>
      <c r="T27" s="74" t="inlineStr">
        <is>
          <t>● 관련분야 설계기준서 준수</t>
        </is>
      </c>
      <c r="U27" s="73" t="inlineStr">
        <is>
          <t>1) 👉 [더블클릭] 체크리스트 열기 📄</t>
        </is>
      </c>
      <c r="V27" s="25" t="n"/>
    </row>
    <row r="28" ht="211.2" customHeight="1">
      <c r="A28" s="17" t="inlineStr">
        <is>
          <t>9000</t>
        </is>
      </c>
      <c r="B28" s="17" t="inlineStr">
        <is>
          <t>9000-2</t>
        </is>
      </c>
      <c r="C28" s="17" t="inlineStr">
        <is>
          <t>통신분야</t>
        </is>
      </c>
      <c r="D28" s="17" t="inlineStr">
        <is>
          <t>9000-2-27</t>
        </is>
      </c>
      <c r="E28" s="17">
        <f>D27</f>
        <v/>
      </c>
      <c r="F28" s="17">
        <f>D29</f>
        <v/>
      </c>
      <c r="G28" s="17" t="inlineStr">
        <is>
          <t>영업시운전</t>
        </is>
      </c>
      <c r="H28" s="17" t="inlineStr">
        <is>
          <t>D+500
~D+581</t>
        </is>
      </c>
      <c r="I28" s="17" t="inlineStr">
        <is>
          <t>현장소장 및 발주처 / 공동감리단</t>
        </is>
      </c>
      <c r="J28" s="16" t="inlineStr">
        <is>
          <t>발주처는 영업시운전계획에 따라 열차운행체계를 확인하기 위해 영업시운전을 수행</t>
        </is>
      </c>
      <c r="K28" s="33"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L28" s="17" t="inlineStr">
        <is>
          <t>영업시운전 결과보고서/승인문서(한국교통안전공단), 국토부 승인문서</t>
        </is>
      </c>
      <c r="M28" s="26" t="inlineStr">
        <is>
          <t>1) 실제 영업 조건과 동일한 환경에서의 통신 시스템 연속 가동 및 관제 운용 검증
2) 영업시운전 기간 중 통신 장애 0건 달성 및 시운전 완료 보고서 확정 표준 적용</t>
        </is>
      </c>
      <c r="N28" s="75">
        <f>HYPERLINK(LEFT(CELL("filename",A1),FIND("[",CELL("filename",A1))-1)&amp;"9.통신분야\26_시설물 검증시험\표준서\시설물 검증시험_표준서.html", "👉 [클릭] 표준서 열기 📄")</f>
        <v/>
      </c>
      <c r="O28" s="2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P28" s="76">
        <f>HYPERLINK(LEFT(CELL("filename",A1),FIND("[",CELL("filename",A1))-1)&amp;"9.통신분야\26_시설물 검증시험\수행지침\시설물 검증시험_수행지침.html", "👉 [클릭] 수행지침 열기 📄")</f>
        <v/>
      </c>
      <c r="Q28" s="26" t="inlineStr">
        <is>
          <t>1) 철도종합시험운행 시행지침 제22조에 따른 영업시운전계획을 수립하였는가?
2) 전 정거장 행선안내게시기(PIS) 도착 시각 및 열치 위치 안내 오송출 0건을 달성하였는가?</t>
        </is>
      </c>
      <c r="R28" s="77">
        <f>HYPERLINK(LEFT(CELL("filename",A1),FIND("[",CELL("filename",A1))-1)&amp;"9.통신분야\26_시설물 검증시험\체크리스트\9000-2-26_시설물 검증시험_체크리스트.html", "👉 [클릭] 체크리스트 열기 📄")</f>
        <v/>
      </c>
      <c r="S28" s="22" t="n"/>
      <c r="T28" s="74" t="inlineStr">
        <is>
          <t>● 관련분야 설계기준서 준수</t>
        </is>
      </c>
      <c r="U28" s="73" t="inlineStr">
        <is>
          <t>1) 👉 [더블클릭] 체크리스트 열기 📄</t>
        </is>
      </c>
      <c r="V28" s="25" t="n"/>
    </row>
    <row r="29" ht="115.2" customHeight="1">
      <c r="A29" s="17" t="inlineStr">
        <is>
          <t>9000</t>
        </is>
      </c>
      <c r="B29" s="17" t="inlineStr">
        <is>
          <t>9000-2</t>
        </is>
      </c>
      <c r="C29" s="17" t="inlineStr">
        <is>
          <t>통신분야</t>
        </is>
      </c>
      <c r="D29" s="17" t="inlineStr">
        <is>
          <t>9000-2-28</t>
        </is>
      </c>
      <c r="E29" s="17">
        <f>D28</f>
        <v/>
      </c>
      <c r="F29" s="17">
        <f>D30</f>
        <v/>
      </c>
      <c r="G29" s="17" t="inlineStr">
        <is>
          <t>자가용전기통신설비 설치신고</t>
        </is>
      </c>
      <c r="H29" s="17" t="inlineStr">
        <is>
          <t>D+375
~D+414</t>
        </is>
      </c>
      <c r="I29" s="17" t="inlineStr">
        <is>
          <t>시공사</t>
        </is>
      </c>
      <c r="J29" s="16" t="inlineStr">
        <is>
          <t>자가용전기통신설비의 합법적 설치</t>
        </is>
      </c>
      <c r="K29" s="34" t="inlineStr">
        <is>
          <t>- 관할 시청/구청에 설치공사 시작 21일 전까지 신고서와 설계도서 제출 (처리기간 15일)</t>
        </is>
      </c>
      <c r="L29" s="17" t="inlineStr">
        <is>
          <t>자가전기통신설비 설치신고 필증</t>
        </is>
      </c>
      <c r="M29" s="26" t="inlineStr">
        <is>
          <t>1) 전기통신사업법 제64조에 의거한 자가용전기통신설비 설치신고서 및 설비 개요서 작성
2) 관할 지자체(화성시 등) 제출 및 설치신고 수리증 발급 획득 표준 적용</t>
        </is>
      </c>
      <c r="N29" s="75">
        <f>HYPERLINK(LEFT(CELL("filename",A1),FIND("[",CELL("filename",A1))-1)&amp;"9.통신분야\27_영업시운전\표준서\9000-2-27_영업시운전_표준서.html", "👉 [클릭] 표준서 열기 📄")</f>
        <v/>
      </c>
      <c r="O29" s="26"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P29" s="76">
        <f>HYPERLINK(LEFT(CELL("filename",A1),FIND("[",CELL("filename",A1))-1)&amp;"9.통신분야\27_영업시운전\수행지침\9000-2-27_영업시운전_수행지침.html", "👉 [클릭] 수행지침 열기 📄")</f>
        <v/>
      </c>
      <c r="Q29" s="26" t="inlineStr">
        <is>
          <t>1) 시방 대조[도면 및 여건] • 관련법령: 전기통신사업법 제64조 수칙을 사전 대조 확인하였는가?
2) 업체 Pool[적격 업체] 철도/트램 시공 및 영업운행 실적이 입증된 적격 업체 Pool을 검토하였는가?</t>
        </is>
      </c>
      <c r="R29" s="77">
        <f>HYPERLINK(LEFT(CELL("filename",A1),FIND("[",CELL("filename",A1))-1)&amp;"9.통신분야\27_영업시운전\체크리스트\9000-2-27_영업시운전_체크리스트.html", "👉 [클릭] 체크리스트 열기 📄")</f>
        <v/>
      </c>
      <c r="S29" s="22" t="n"/>
      <c r="T29" s="74" t="inlineStr">
        <is>
          <t>● 전기통신사업법 제64조</t>
        </is>
      </c>
      <c r="U29" s="73" t="inlineStr">
        <is>
          <t>1) 👉 [더블클릭] 체크리스트 열기 📄</t>
        </is>
      </c>
      <c r="V29" s="25" t="n"/>
    </row>
    <row r="30" ht="115.2" customHeight="1">
      <c r="A30" s="17" t="inlineStr">
        <is>
          <t>9000</t>
        </is>
      </c>
      <c r="B30" s="17" t="inlineStr">
        <is>
          <t>9000-2</t>
        </is>
      </c>
      <c r="C30" s="17" t="inlineStr">
        <is>
          <t>통신분야</t>
        </is>
      </c>
      <c r="D30" s="17" t="inlineStr">
        <is>
          <t>9000-2-29</t>
        </is>
      </c>
      <c r="E30" s="17">
        <f>D29</f>
        <v/>
      </c>
      <c r="F30" s="17">
        <f>D31</f>
        <v/>
      </c>
      <c r="G30" s="17" t="inlineStr">
        <is>
          <t>LTE-R 무선국허가</t>
        </is>
      </c>
      <c r="H30" s="17" t="inlineStr">
        <is>
          <t>D+375
~D+414</t>
        </is>
      </c>
      <c r="I30" s="17" t="inlineStr">
        <is>
          <t>발주처</t>
        </is>
      </c>
      <c r="J30" s="16" t="inlineStr">
        <is>
          <t>무선국 설치 후 사용을 위한 법적 허가 취득</t>
        </is>
      </c>
      <c r="K30" s="35" t="inlineStr">
        <is>
          <t>- 무선국(LTE-R) 설치 후 중앙전파관리소에 신청서, 시설개요서, 공사설계서 제출 (처리기간 14일)</t>
        </is>
      </c>
      <c r="L30" s="17" t="inlineStr">
        <is>
          <t>무선국허가증</t>
        </is>
      </c>
      <c r="M30" s="26" t="inlineStr">
        <is>
          <t>1) 전파법 제19조에 의거한 철도무선통신망(LTE-R) 무선국 개설허가 신청서 제출
2) KCA(한국방송통신전파진흥원) 제출 및 무선국 개설허가서 획득 표준 적용</t>
        </is>
      </c>
      <c r="N30" s="75">
        <f>HYPERLINK(LEFT(CELL("filename",A1),FIND("[",CELL("filename",A1))-1)&amp;"9.통신분야\28_자가용전기통신설비 설치신고\표준서\자가용전기통신설비 설치신고_표준서.html", "👉 [클릭] 표준서 열기 📄")</f>
        <v/>
      </c>
      <c r="O30" s="2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P30" s="76">
        <f>HYPERLINK(LEFT(CELL("filename",A1),FIND("[",CELL("filename",A1))-1)&amp;"9.통신분야\28_자가용전기통신설비 설치신고\수행지침\자가용전기통신설비 설치신고_수행지침.html", "👉 [클릭] 수행지침 열기 📄")</f>
        <v/>
      </c>
      <c r="Q30" s="26" t="inlineStr">
        <is>
          <t>1) 철도무선통신망 700MHz 대역(718~728MHz/773~783MHz) 주파수 할당 조건을 확인하였는가?
2) 본선 지상 기지국 안테나 설치 위치, 높이, 이득(dBi) 및 지향각 제원을 조사하였는가?</t>
        </is>
      </c>
      <c r="R30" s="77">
        <f>HYPERLINK(LEFT(CELL("filename",A1),FIND("[",CELL("filename",A1))-1)&amp;"9.통신분야\28_자가용전기통신설비 설치신고\체크리스트\9000-2-28_자가용전기통신설비 설치신고_체크리스트.html", "👉 [클릭] 체크리스트 열기 📄")</f>
        <v/>
      </c>
      <c r="S30" s="22" t="n"/>
      <c r="T30" s="74" t="inlineStr">
        <is>
          <t>● 전파법 제19조</t>
        </is>
      </c>
      <c r="U30" s="73" t="inlineStr">
        <is>
          <t>1) 👉 [더블클릭] 체크리스트 열기 📄</t>
        </is>
      </c>
      <c r="V30" s="25" t="n"/>
    </row>
    <row r="31" ht="115.2" customHeight="1">
      <c r="A31" s="17" t="inlineStr">
        <is>
          <t>9000</t>
        </is>
      </c>
      <c r="B31" s="17" t="inlineStr">
        <is>
          <t>9000-2</t>
        </is>
      </c>
      <c r="C31" s="17" t="inlineStr">
        <is>
          <t>통신분야</t>
        </is>
      </c>
      <c r="D31" s="17" t="inlineStr">
        <is>
          <t>9000-2-30</t>
        </is>
      </c>
      <c r="E31" s="17">
        <f>D30</f>
        <v/>
      </c>
      <c r="F31" s="17">
        <f>D32</f>
        <v/>
      </c>
      <c r="G31" s="17" t="inlineStr">
        <is>
          <t>LTE-R 상호운용성 및 보안적합성 검증</t>
        </is>
      </c>
      <c r="H31" s="17" t="inlineStr">
        <is>
          <t>D+375
~D+414</t>
        </is>
      </c>
      <c r="I31" s="17" t="inlineStr">
        <is>
          <t>시공사</t>
        </is>
      </c>
      <c r="J31" s="16" t="inlineStr">
        <is>
          <t>무선 장비의 보안성 및 타 기관 상호운용성 검증</t>
        </is>
      </c>
      <c r="K31" s="35" t="inlineStr">
        <is>
          <t>- 한국정보통신기술협회에 시험결과서 제출하여 검증 진행 (처리기간 1개월)</t>
        </is>
      </c>
      <c r="L31" s="17" t="inlineStr">
        <is>
          <t>상호운용성,보안적합성 시험 인증서</t>
        </is>
      </c>
      <c r="M31" s="26" t="inlineStr">
        <is>
          <t>1) 국토교통부 지침 및 국가용 보안요구사항에 의거한 LTE-R 상호운용성/보안적합성 검증
2) 국가정보원/KISA 보안 적합성 검증 승인서 및 상호연동 시험 합격 표준 적용</t>
        </is>
      </c>
      <c r="N31" s="75">
        <f>HYPERLINK(LEFT(CELL("filename",A1),FIND("[",CELL("filename",A1))-1)&amp;"9.통신분야\29_LTE-R 무선국 허가\표준서\LTE-R 무선국 허가_표준서.html", "👉 [클릭] 표준서 열기 📄")</f>
        <v/>
      </c>
      <c r="O31" s="26"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P31" s="76">
        <f>HYPERLINK(LEFT(CELL("filename",A1),FIND("[",CELL("filename",A1))-1)&amp;"9.통신분야\29_LTE-R 무선국 허가\수행지침\LTE-R 무선국 허가_수행지침.html", "👉 [클릭] 수행지침 열기 📄")</f>
        <v/>
      </c>
      <c r="Q31" s="26" t="inlineStr">
        <is>
          <t>1) 시방 대조[도면 및 여건] 관련법령: 국가철도공단 표준규격(KRSA) 수칙을 사전 대조 확인하였는가?
2) 업체 Pool[적격 업체] 철도/트램 시공 및 영업운행 실적이 입증된 적격 업체 Pool을 검토하였는가?</t>
        </is>
      </c>
      <c r="R31" s="77">
        <f>HYPERLINK(LEFT(CELL("filename",A1),FIND("[",CELL("filename",A1))-1)&amp;"9.통신분야\29_LTE-R 무선국 허가\체크리스트\LTE-R 무선국 허가_체크리스트.html", "👉 [클릭] 체크리스트 열기 📄")</f>
        <v/>
      </c>
      <c r="S31" s="22" t="n"/>
      <c r="T31" s="74" t="inlineStr">
        <is>
          <t>● 국가철도공단 표준규격(KRSA) 5007-R3 / 5008-R2</t>
        </is>
      </c>
      <c r="U31" s="73" t="inlineStr">
        <is>
          <t>1) 👉 [더블클릭] 체크리스트 열기 📄</t>
        </is>
      </c>
      <c r="V31" s="25" t="n"/>
    </row>
    <row r="32" ht="115.2" customHeight="1">
      <c r="A32" s="17" t="inlineStr">
        <is>
          <t>9000</t>
        </is>
      </c>
      <c r="B32" s="17" t="inlineStr">
        <is>
          <t>9000-2</t>
        </is>
      </c>
      <c r="C32" s="17" t="inlineStr">
        <is>
          <t>통신분야</t>
        </is>
      </c>
      <c r="D32" s="17" t="inlineStr">
        <is>
          <t>9000-2-31</t>
        </is>
      </c>
      <c r="E32" s="17">
        <f>D31</f>
        <v/>
      </c>
      <c r="F32" s="17">
        <f>D33</f>
        <v/>
      </c>
      <c r="G32" s="17" t="inlineStr">
        <is>
          <t>정보통신사용전검사</t>
        </is>
      </c>
      <c r="H32" s="17" t="inlineStr">
        <is>
          <t>D+415
~D+499</t>
        </is>
      </c>
      <c r="I32" s="17" t="inlineStr">
        <is>
          <t>시공사</t>
        </is>
      </c>
      <c r="J32" s="16" t="inlineStr">
        <is>
          <t>시공 완료된 정보통신설비의 준공 전 사용 적합성 검증</t>
        </is>
      </c>
      <c r="K32" s="35" t="inlineStr">
        <is>
          <t>- 관할 시청/구청에 사용전검사 신청서와 준공설계도서 제출 (처리기간 14일)</t>
        </is>
      </c>
      <c r="L32" s="17" t="inlineStr">
        <is>
          <t>정보통신사용전검사 필증</t>
        </is>
      </c>
      <c r="M32" s="26" t="inlineStr">
        <is>
          <t>1) 정보통신공사업법 제36조에 의거한 구내 통신 및 정보통신설비 사용전검사 신청
2) 관할 지자체 현장 검측 수검 및 정보통신 사용전검사 필증 획득 표준 적용</t>
        </is>
      </c>
      <c r="N32" s="75">
        <f>HYPERLINK(LEFT(CELL("filename",A1),FIND("[",CELL("filename",A1))-1)&amp;"9.통신분야\29_LTE-R 무선국허가\표준서\LTE-R 무선국허가_표준서.html", "👉 [클릭] 표준서 열기 📄")</f>
        <v/>
      </c>
      <c r="O32" s="2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P32" s="76">
        <f>HYPERLINK(LEFT(CELL("filename",A1),FIND("[",CELL("filename",A1))-1)&amp;"9.통신분야\29_LTE-R 무선국허가\수행지침\LTE-R 무선국허가_수행지침.html", "👉 [클릭] 수행지침 열기 📄")</f>
        <v/>
      </c>
      <c r="Q32" s="26" t="inlineStr">
        <is>
          <t>1) 구내 UTP 랜선 전수에 대해 케이블 테스터 계측 Pass 100%를 달성하였는가?
2) 정거장 승강장 및 관제동 배관 입상부 배관 씰링 및 네임택 표기 상태를 확인하였는가?</t>
        </is>
      </c>
      <c r="R32" s="77">
        <f>HYPERLINK(LEFT(CELL("filename",A1),FIND("[",CELL("filename",A1))-1)&amp;"9.통신분야\29_LTE-R 무선국허가\체크리스트\9000-2-29_LTE-R 무선국허가_체크리스트.html", "👉 [클릭] 체크리스트 열기 📄")</f>
        <v/>
      </c>
      <c r="S32" s="22" t="n"/>
      <c r="T32" s="74" t="inlineStr">
        <is>
          <t>● 정보통신공사법 제36조</t>
        </is>
      </c>
      <c r="U32" s="73" t="inlineStr">
        <is>
          <t>1) 👉 [더블클릭] 체크리스트 열기 📄</t>
        </is>
      </c>
      <c r="V32" s="25" t="n"/>
    </row>
    <row r="33" ht="115.2" customHeight="1">
      <c r="A33" s="17" t="inlineStr">
        <is>
          <t>9000</t>
        </is>
      </c>
      <c r="B33" s="17" t="inlineStr">
        <is>
          <t>9000-2</t>
        </is>
      </c>
      <c r="C33" s="17" t="inlineStr">
        <is>
          <t>통신분야</t>
        </is>
      </c>
      <c r="D33" s="17" t="inlineStr">
        <is>
          <t>9000-2-32</t>
        </is>
      </c>
      <c r="E33" s="17">
        <f>D32</f>
        <v/>
      </c>
      <c r="F33" s="17">
        <f>D34</f>
        <v/>
      </c>
      <c r="G33" s="17" t="inlineStr">
        <is>
          <t>LTE-R 무선국 준공검사</t>
        </is>
      </c>
      <c r="H33" s="17" t="inlineStr">
        <is>
          <t>D+375
~D+414</t>
        </is>
      </c>
      <c r="I33" s="17" t="inlineStr">
        <is>
          <t>발주처</t>
        </is>
      </c>
      <c r="J33" s="16" t="inlineStr">
        <is>
          <t>무선국 전파 특성 검증 및 준공 처리</t>
        </is>
      </c>
      <c r="K33" s="35" t="inlineStr">
        <is>
          <t>- 한국방송통신전파진흥원에 준공신고서, 안테나전력/주파수편차/불요발사강도 측정표, 안테나 Pattern 도표 제출 (처리기간 14일)</t>
        </is>
      </c>
      <c r="L33" s="17" t="inlineStr">
        <is>
          <t>LTE-R 무선국 준공검사 확인서</t>
        </is>
      </c>
      <c r="M33" s="26" t="inlineStr">
        <is>
          <t>1) 전파법 제24조에 의거한 KCA 무선국 준공검사 현장 실측 수검 실시
2) 무선 전계강도 및 준공 상태 검사 합격 후 무선국 준공검사 합격증명서 획득 표준 적용</t>
        </is>
      </c>
      <c r="N33" s="75">
        <f>HYPERLINK(LEFT(CELL("filename",A1),FIND("[",CELL("filename",A1))-1)&amp;"9.통신분야\30_LTE-R 상호운용성 및 보안적합성 검증\표준서\LTE-R 상호운용성 및 보안적합성 검증_표준서.html", "👉 [클릭] 표준서 열기 📄")</f>
        <v/>
      </c>
      <c r="O33" s="26"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P33" s="76">
        <f>HYPERLINK(LEFT(CELL("filename",A1),FIND("[",CELL("filename",A1))-1)&amp;"9.통신분야\30_LTE-R 상호운용성 및 보안적합성 검증\수행지침\LTE-R 상호운용성 및 보안적합성 검증_수행지침.html", "👉 [클릭] 수행지침 열기 📄")</f>
        <v/>
      </c>
      <c r="Q33" s="26" t="inlineStr">
        <is>
          <t>1) 전파법 시행령 제38조 서식에 맞춘 무선국 준공신고서를 KCA에 제출하였는가?
2) 개설허가서 사본, 기지국 시공 내역서 및 안테나 제원표 구비를 완료하였는가?</t>
        </is>
      </c>
      <c r="R33" s="77">
        <f>HYPERLINK(LEFT(CELL("filename",A1),FIND("[",CELL("filename",A1))-1)&amp;"9.통신분야\30_LTE-R 상호운용성 및 보안적합성 검증\체크리스트\9000-2-30_LTE-R 상호운용성 및 보안적합성 검증_체크리스트.html", "👉 [클릭] 체크리스트 열기 📄")</f>
        <v/>
      </c>
      <c r="S33" s="22" t="n"/>
      <c r="T33" s="74" t="inlineStr">
        <is>
          <t>● 전파법 제24조</t>
        </is>
      </c>
      <c r="U33" s="73" t="inlineStr">
        <is>
          <t>1) 👉 [더블클릭] 체크리스트 열기 📄</t>
        </is>
      </c>
      <c r="V33" s="25" t="n"/>
    </row>
    <row r="34">
      <c r="E34" s="2">
        <f>D33</f>
        <v/>
      </c>
      <c r="F34" s="2">
        <f>D35</f>
        <v/>
      </c>
      <c r="N34" s="78">
        <f>HYPERLINK(LEFT(CELL("filename",A1),FIND("[",CELL("filename",A1))-1)&amp;"9.통신분야\30_LTE-R 상호운용성 및 상호연동성 검증\표준서\LTE-R 상호운용성 및 상호연동성 검증_표준서.html", "👉 [클릭] 표준서 열기 📄")</f>
        <v/>
      </c>
      <c r="P34" s="79">
        <f>HYPERLINK(LEFT(CELL("filename",A1),FIND("[",CELL("filename",A1))-1)&amp;"9.통신분야\30_LTE-R 상호운용성 및 상호연동성 검증\수행지침\LTE-R 상호운용성 및 상호연동성 검증_수행지침.html", "👉 [클릭] 수행지침 열기 📄")</f>
        <v/>
      </c>
      <c r="R34" s="80">
        <f>HYPERLINK(LEFT(CELL("filename",A1),FIND("[",CELL("filename",A1))-1)&amp;"9.통신분야\30_LTE-R 상호운용성 및 상호연동성 검증\체크리스트\LTE-R 상호운용성 및 상호연동성 검증_체크리스트.html", "👉 [클릭] 체크리스트 열기 📄")</f>
        <v/>
      </c>
    </row>
    <row r="35">
      <c r="E35" s="2">
        <f>D34</f>
        <v/>
      </c>
      <c r="F35" s="2">
        <f>D36</f>
        <v/>
      </c>
      <c r="N35" s="78">
        <f>HYPERLINK(LEFT(CELL("filename",A1),FIND("[",CELL("filename",A1))-1)&amp;"9.통신분야\31_정보통신사용전검사\표준서\정보통신사용전검사_표준서.html", "👉 [클릭] 표준서 열기 📄")</f>
        <v/>
      </c>
      <c r="P35" s="79">
        <f>HYPERLINK(LEFT(CELL("filename",A1),FIND("[",CELL("filename",A1))-1)&amp;"9.통신분야\31_정보통신사용전검사\수행지침\정보통신사용전검사_수행지침.html", "👉 [클릭] 수행지침 열기 📄")</f>
        <v/>
      </c>
      <c r="R35" s="80">
        <f>HYPERLINK(LEFT(CELL("filename",A1),FIND("[",CELL("filename",A1))-1)&amp;"9.통신분야\31_정보통신사용전검사\체크리스트\9000-2-31_정보통신사용전검사_체크리스트.html", "👉 [클릭] 체크리스트 열기 📄")</f>
        <v/>
      </c>
    </row>
    <row r="36">
      <c r="E36" s="2">
        <f>D35</f>
        <v/>
      </c>
      <c r="F36" s="2">
        <f>D37</f>
        <v/>
      </c>
      <c r="N36" s="78">
        <f>HYPERLINK(LEFT(CELL("filename",A1),FIND("[",CELL("filename",A1))-1)&amp;"9.통신분야\32_LTE-R 무선국 준공검사\표준서\LTE-R 무선국 준공검사_표준서.html", "👉 [클릭] 표준서 열기 📄")</f>
        <v/>
      </c>
      <c r="P36" s="79">
        <f>HYPERLINK(LEFT(CELL("filename",A1),FIND("[",CELL("filename",A1))-1)&amp;"9.통신분야\32_LTE-R 무선국 준공검사\수행지침\LTE-R 무선국 준공검사_수행지침.html", "👉 [클릭] 수행지침 열기 📄")</f>
        <v/>
      </c>
      <c r="R36" s="80">
        <f>HYPERLINK(LEFT(CELL("filename",A1),FIND("[",CELL("filename",A1))-1)&amp;"9.통신분야\32_LTE-R 무선국 준공검사\체크리스트\9000-2-32_LTE-R 무선국 준공검사_체크리스트.html", "👉 [클릭] 체크리스트 열기 📄")</f>
        <v/>
      </c>
    </row>
    <row r="37">
      <c r="E37" s="2">
        <f>D36</f>
        <v/>
      </c>
      <c r="F37" s="2">
        <f>D38</f>
        <v/>
      </c>
      <c r="N37" s="78">
        <f>HYPERLINK(LEFT(CELL("filename",A1),FIND("[",CELL("filename",A1))-1)&amp;"9.통신분야\33_Task_33\표준서\Task_33_표준서.html", "👉 [클릭] 표준서 열기 📄")</f>
        <v/>
      </c>
      <c r="P37" s="79">
        <f>HYPERLINK(LEFT(CELL("filename",A1),FIND("[",CELL("filename",A1))-1)&amp;"9.통신분야\33_Task_33\수행지침\Task_33_수행지침.html", "👉 [클릭] 수행지침 열기 📄")</f>
        <v/>
      </c>
      <c r="R37" s="80">
        <f>HYPERLINK(LEFT(CELL("filename",A1),FIND("[",CELL("filename",A1))-1)&amp;"9.통신분야\33_Task_33\체크리스트\Task_33_체크리스트.html", "👉 [클릭] 체크리스트 열기 📄")</f>
        <v/>
      </c>
    </row>
    <row r="38">
      <c r="E38" s="2">
        <f>D37</f>
        <v/>
      </c>
      <c r="F38" s="2">
        <f>D39</f>
        <v/>
      </c>
    </row>
    <row r="39">
      <c r="E39" s="2">
        <f>D38</f>
        <v/>
      </c>
    </row>
  </sheetData>
  <hyperlinks>
    <hyperlink xmlns:r="http://schemas.openxmlformats.org/officeDocument/2006/relationships" ref="T2" r:id="rId1"/>
    <hyperlink xmlns:r="http://schemas.openxmlformats.org/officeDocument/2006/relationships" ref="U2" r:id="rId2"/>
    <hyperlink xmlns:r="http://schemas.openxmlformats.org/officeDocument/2006/relationships" ref="T3" r:id="rId3"/>
    <hyperlink xmlns:r="http://schemas.openxmlformats.org/officeDocument/2006/relationships" ref="U3" r:id="rId4"/>
    <hyperlink xmlns:r="http://schemas.openxmlformats.org/officeDocument/2006/relationships" ref="T4" r:id="rId5"/>
    <hyperlink xmlns:r="http://schemas.openxmlformats.org/officeDocument/2006/relationships" ref="U4" r:id="rId6"/>
    <hyperlink xmlns:r="http://schemas.openxmlformats.org/officeDocument/2006/relationships" ref="T5" r:id="rId7"/>
    <hyperlink xmlns:r="http://schemas.openxmlformats.org/officeDocument/2006/relationships" ref="U5" r:id="rId8"/>
    <hyperlink xmlns:r="http://schemas.openxmlformats.org/officeDocument/2006/relationships" ref="T6" r:id="rId9"/>
    <hyperlink xmlns:r="http://schemas.openxmlformats.org/officeDocument/2006/relationships" ref="U6" r:id="rId10"/>
    <hyperlink xmlns:r="http://schemas.openxmlformats.org/officeDocument/2006/relationships" ref="T7" r:id="rId11"/>
    <hyperlink xmlns:r="http://schemas.openxmlformats.org/officeDocument/2006/relationships" ref="U7" r:id="rId12"/>
    <hyperlink xmlns:r="http://schemas.openxmlformats.org/officeDocument/2006/relationships" ref="T8" r:id="rId13"/>
    <hyperlink xmlns:r="http://schemas.openxmlformats.org/officeDocument/2006/relationships" ref="U8" r:id="rId14"/>
    <hyperlink xmlns:r="http://schemas.openxmlformats.org/officeDocument/2006/relationships" ref="T9" r:id="rId15"/>
    <hyperlink xmlns:r="http://schemas.openxmlformats.org/officeDocument/2006/relationships" ref="U9" r:id="rId16"/>
    <hyperlink xmlns:r="http://schemas.openxmlformats.org/officeDocument/2006/relationships" ref="T10" r:id="rId17"/>
    <hyperlink xmlns:r="http://schemas.openxmlformats.org/officeDocument/2006/relationships" ref="U10" r:id="rId18"/>
    <hyperlink xmlns:r="http://schemas.openxmlformats.org/officeDocument/2006/relationships" ref="T11" r:id="rId19"/>
    <hyperlink xmlns:r="http://schemas.openxmlformats.org/officeDocument/2006/relationships" ref="U11" r:id="rId20"/>
    <hyperlink xmlns:r="http://schemas.openxmlformats.org/officeDocument/2006/relationships" ref="T12" r:id="rId21"/>
    <hyperlink xmlns:r="http://schemas.openxmlformats.org/officeDocument/2006/relationships" ref="U12" r:id="rId22"/>
    <hyperlink xmlns:r="http://schemas.openxmlformats.org/officeDocument/2006/relationships" ref="T13" r:id="rId23"/>
    <hyperlink xmlns:r="http://schemas.openxmlformats.org/officeDocument/2006/relationships" ref="U13" r:id="rId24"/>
    <hyperlink xmlns:r="http://schemas.openxmlformats.org/officeDocument/2006/relationships" ref="T14" r:id="rId25"/>
    <hyperlink xmlns:r="http://schemas.openxmlformats.org/officeDocument/2006/relationships" ref="U14" r:id="rId26"/>
    <hyperlink xmlns:r="http://schemas.openxmlformats.org/officeDocument/2006/relationships" ref="T15" r:id="rId27"/>
    <hyperlink xmlns:r="http://schemas.openxmlformats.org/officeDocument/2006/relationships" ref="U15" r:id="rId28"/>
    <hyperlink xmlns:r="http://schemas.openxmlformats.org/officeDocument/2006/relationships" ref="T16" r:id="rId29"/>
    <hyperlink xmlns:r="http://schemas.openxmlformats.org/officeDocument/2006/relationships" ref="U16" r:id="rId30"/>
    <hyperlink xmlns:r="http://schemas.openxmlformats.org/officeDocument/2006/relationships" ref="T17" r:id="rId31"/>
    <hyperlink xmlns:r="http://schemas.openxmlformats.org/officeDocument/2006/relationships" ref="U17" r:id="rId32"/>
    <hyperlink xmlns:r="http://schemas.openxmlformats.org/officeDocument/2006/relationships" ref="T18" r:id="rId33"/>
    <hyperlink xmlns:r="http://schemas.openxmlformats.org/officeDocument/2006/relationships" ref="U18" r:id="rId34"/>
    <hyperlink xmlns:r="http://schemas.openxmlformats.org/officeDocument/2006/relationships" ref="T19" r:id="rId35"/>
    <hyperlink xmlns:r="http://schemas.openxmlformats.org/officeDocument/2006/relationships" ref="U19" r:id="rId36"/>
    <hyperlink xmlns:r="http://schemas.openxmlformats.org/officeDocument/2006/relationships" ref="T20" r:id="rId37"/>
    <hyperlink xmlns:r="http://schemas.openxmlformats.org/officeDocument/2006/relationships" ref="U20" r:id="rId38"/>
    <hyperlink xmlns:r="http://schemas.openxmlformats.org/officeDocument/2006/relationships" ref="T21" r:id="rId39"/>
    <hyperlink xmlns:r="http://schemas.openxmlformats.org/officeDocument/2006/relationships" ref="U21" r:id="rId40"/>
    <hyperlink xmlns:r="http://schemas.openxmlformats.org/officeDocument/2006/relationships" ref="T22" r:id="rId41"/>
    <hyperlink xmlns:r="http://schemas.openxmlformats.org/officeDocument/2006/relationships" ref="U22" r:id="rId42"/>
    <hyperlink xmlns:r="http://schemas.openxmlformats.org/officeDocument/2006/relationships" ref="T23" r:id="rId43"/>
    <hyperlink xmlns:r="http://schemas.openxmlformats.org/officeDocument/2006/relationships" ref="U23" r:id="rId44"/>
    <hyperlink xmlns:r="http://schemas.openxmlformats.org/officeDocument/2006/relationships" ref="T24" r:id="rId45"/>
    <hyperlink xmlns:r="http://schemas.openxmlformats.org/officeDocument/2006/relationships" ref="U24" r:id="rId46"/>
    <hyperlink xmlns:r="http://schemas.openxmlformats.org/officeDocument/2006/relationships" ref="T25" r:id="rId47"/>
    <hyperlink xmlns:r="http://schemas.openxmlformats.org/officeDocument/2006/relationships" ref="U25" r:id="rId48"/>
    <hyperlink xmlns:r="http://schemas.openxmlformats.org/officeDocument/2006/relationships" ref="T26" r:id="rId49"/>
    <hyperlink xmlns:r="http://schemas.openxmlformats.org/officeDocument/2006/relationships" ref="U26" r:id="rId50"/>
    <hyperlink xmlns:r="http://schemas.openxmlformats.org/officeDocument/2006/relationships" ref="T27" r:id="rId51"/>
    <hyperlink xmlns:r="http://schemas.openxmlformats.org/officeDocument/2006/relationships" ref="U27" r:id="rId52"/>
    <hyperlink xmlns:r="http://schemas.openxmlformats.org/officeDocument/2006/relationships" ref="T28" r:id="rId53"/>
    <hyperlink xmlns:r="http://schemas.openxmlformats.org/officeDocument/2006/relationships" ref="U28" r:id="rId54"/>
    <hyperlink xmlns:r="http://schemas.openxmlformats.org/officeDocument/2006/relationships" ref="T29" r:id="rId55"/>
    <hyperlink xmlns:r="http://schemas.openxmlformats.org/officeDocument/2006/relationships" ref="U29" r:id="rId56"/>
    <hyperlink xmlns:r="http://schemas.openxmlformats.org/officeDocument/2006/relationships" ref="T30" r:id="rId57"/>
    <hyperlink xmlns:r="http://schemas.openxmlformats.org/officeDocument/2006/relationships" ref="U30" r:id="rId58"/>
    <hyperlink xmlns:r="http://schemas.openxmlformats.org/officeDocument/2006/relationships" ref="T31" r:id="rId59"/>
    <hyperlink xmlns:r="http://schemas.openxmlformats.org/officeDocument/2006/relationships" ref="U31" r:id="rId60"/>
    <hyperlink xmlns:r="http://schemas.openxmlformats.org/officeDocument/2006/relationships" ref="T32" r:id="rId61"/>
    <hyperlink xmlns:r="http://schemas.openxmlformats.org/officeDocument/2006/relationships" ref="U32" r:id="rId62"/>
    <hyperlink xmlns:r="http://schemas.openxmlformats.org/officeDocument/2006/relationships" ref="T33" r:id="rId63"/>
    <hyperlink xmlns:r="http://schemas.openxmlformats.org/officeDocument/2006/relationships" ref="U33" r:id="rId64"/>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0.xml><?xml version="1.0" encoding="utf-8"?>
<worksheet xmlns="http://schemas.openxmlformats.org/spreadsheetml/2006/main">
  <sheetPr codeName="Sheet10">
    <tabColor rgb="FFFFFF00"/>
    <outlinePr summaryBelow="1" summaryRight="1"/>
    <pageSetUpPr/>
  </sheetPr>
  <dimension ref="A1:PR46"/>
  <sheetViews>
    <sheetView showGridLines="1" tabSelected="1" zoomScale="55" zoomScaleNormal="55" workbookViewId="0">
      <selection activeCell="K5" sqref="K5"/>
    </sheetView>
  </sheetViews>
  <sheetFormatPr baseColWidth="8" defaultRowHeight="17.4"/>
  <cols>
    <col width="10" customWidth="1" min="1" max="1"/>
    <col width="10" customWidth="1" min="2" max="2"/>
    <col width="16" customWidth="1" min="3" max="3"/>
    <col width="12" customWidth="1" min="4" max="8"/>
    <col width="10" customWidth="1" min="5" max="5"/>
    <col width="10" customWidth="1" min="6" max="6"/>
    <col width="28" customWidth="1" min="7" max="7"/>
    <col width="12" customWidth="1" min="8" max="8"/>
    <col width="12" customWidth="1" min="9" max="9"/>
    <col width="36" customWidth="1" min="10" max="10"/>
    <col width="32" customWidth="1" min="11" max="11"/>
    <col width="28" customWidth="1" min="12" max="12"/>
    <col width="36" customWidth="1" min="13" max="13"/>
    <col width="24" customWidth="1" min="14" max="14"/>
    <col width="36" customWidth="1" style="1" min="15" max="15"/>
    <col width="24" customWidth="1" min="16" max="16"/>
    <col width="36" customWidth="1" style="1" min="17" max="17"/>
    <col width="24" customWidth="1" min="18" max="18"/>
    <col width="16" customWidth="1" style="1" min="19" max="19"/>
    <col width="32" customWidth="1" min="20" max="20"/>
    <col width="24" customWidth="1" min="21" max="21"/>
    <col width="30" customWidth="1" min="22" max="22"/>
  </cols>
  <sheetData>
    <row r="1" ht="28" customHeight="1">
      <c r="A1" s="86" t="inlineStr">
        <is>
          <t>L2 코드</t>
        </is>
      </c>
      <c r="B1" s="86" t="inlineStr">
        <is>
          <t>L3 코드</t>
        </is>
      </c>
      <c r="C1" s="86" t="inlineStr">
        <is>
          <t>L3 대공종명</t>
        </is>
      </c>
      <c r="D1" s="86" t="inlineStr">
        <is>
          <t>L4 코드</t>
        </is>
      </c>
      <c r="E1" s="86" t="inlineStr">
        <is>
          <t>선행</t>
        </is>
      </c>
      <c r="F1" s="86" t="inlineStr">
        <is>
          <t>후행</t>
        </is>
      </c>
      <c r="G1" s="86" t="inlineStr">
        <is>
          <t>작업단위 (Level 4 Task/Activity)</t>
        </is>
      </c>
      <c r="H1" s="86" t="inlineStr">
        <is>
          <t>일정 (D-Day)</t>
        </is>
      </c>
      <c r="I1" s="86" t="inlineStr">
        <is>
          <t>주관</t>
        </is>
      </c>
      <c r="J1" s="86" t="inlineStr">
        <is>
          <t>목적</t>
        </is>
      </c>
      <c r="K1" s="86" t="inlineStr">
        <is>
          <t>방법</t>
        </is>
      </c>
      <c r="L1" s="86" t="inlineStr">
        <is>
          <t>산출물(결과)</t>
        </is>
      </c>
      <c r="M1" s="86" t="inlineStr">
        <is>
          <t>표준서 (Standard) 요약</t>
        </is>
      </c>
      <c r="N1" s="86" t="inlineStr">
        <is>
          <t>표준서 파일 (HTML)</t>
        </is>
      </c>
      <c r="O1" s="86" t="inlineStr">
        <is>
          <t>수행지침 (Guideline) 요약</t>
        </is>
      </c>
      <c r="P1" s="86" t="inlineStr">
        <is>
          <t>수행지침 파일 (HTML)</t>
        </is>
      </c>
      <c r="Q1" s="86" t="inlineStr">
        <is>
          <t>체크리스트 (Checklist) 요약</t>
        </is>
      </c>
      <c r="R1" s="86" t="inlineStr">
        <is>
          <t>체크리스트 파일 (HTML)</t>
        </is>
      </c>
      <c r="S1" s="86" t="inlineStr">
        <is>
          <t>비고</t>
        </is>
      </c>
      <c r="T1" s="86" t="inlineStr">
        <is>
          <t>첨부서류 연계 상세 설계기준</t>
        </is>
      </c>
      <c r="U1" s="86" t="inlineStr">
        <is>
          <t>집행단계 리스크 체크리스트</t>
        </is>
      </c>
      <c r="V1" s="86" t="inlineStr">
        <is>
          <t>협력사 시공/공사관리 자문</t>
        </is>
      </c>
    </row>
    <row r="2" ht="36" customHeight="1">
      <c r="A2" s="87" t="inlineStr">
        <is>
          <t>9000</t>
        </is>
      </c>
      <c r="B2" s="87" t="inlineStr">
        <is>
          <t>9000-8</t>
        </is>
      </c>
      <c r="C2" s="87" t="inlineStr">
        <is>
          <t>기계설비·소방설비</t>
        </is>
      </c>
      <c r="D2" s="88" t="inlineStr">
        <is>
          <t>9000-8-1</t>
        </is>
      </c>
      <c r="E2" s="89" t="inlineStr">
        <is>
          <t>-</t>
        </is>
      </c>
      <c r="F2" s="90" t="inlineStr">
        <is>
          <t>9000-8-2</t>
        </is>
      </c>
      <c r="G2" s="91" t="inlineStr">
        <is>
          <t>설계 적정성 검토</t>
        </is>
      </c>
      <c r="H2" s="90" t="inlineStr">
        <is>
          <t>D-117</t>
        </is>
      </c>
      <c r="I2" s="89" t="inlineStr">
        <is>
          <t>기계/소방팀</t>
        </is>
      </c>
      <c r="J2" s="92" t="inlineStr">
        <is>
          <t>동탄도시철도(트램) 기계설비(HVAC, 급배수, 위생, 오폐수, 승강기) 및 소방설비(소화, 제연, 경보)의 착공 전 설계도서(도면·시방서·수량산출서·내역서)의 적격성을 검토하고, 지하 및 지상 정거장, 변전소, 차량기지 내 법적 기준 충족 및 시공성을 사전 확보한다.</t>
        </is>
      </c>
      <c r="K2" s="93" t="inlineStr">
        <is>
          <t>KCS 41 시방 기준 및 STEP 1: 설계도서 및 계산서 총괄 수집, STEP 2: 삼각 교차 대조 및 물량 정합성 검증 절차서 준수 시공</t>
        </is>
      </c>
      <c r="L2" s="93" t="inlineStr">
        <is>
          <t>설계 적정성 검토 시공계획서, 검측요청서 및 공인 시험성적서</t>
        </is>
      </c>
      <c r="M2" s="93"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94">
        <f>HYPERLINK(LEFT(CELL("filename",A1),FIND("[",CELL("filename",A1))-1)&amp;"10.기계분야\1_설계 적정성 검토\표준서\1_설계 적정성 검토_표준서.html", "👉 [클릭] 표준서 열기 📄")</f>
        <v/>
      </c>
      <c r="O2" s="93" t="inlineStr">
        <is>
          <t>1) STEP 1: 설계도서 및 계산서 총괄 수집: 기계/소방 설계도면, 특기시방서, 부하계산서, 장비일람표 수집
2) STEP 2: 삼각 교차 대조 및 물량 정합성 검증: 도면 ↔ 수량산출서 ↔ 내역서 불일치 전수 색출</t>
        </is>
      </c>
      <c r="P2" s="95">
        <f>HYPERLINK(LEFT(CELL("filename",A1),FIND("[",CELL("filename",A1))-1)&amp;"10.기계분야\1_설계 적정성 검토\수행지침\1_설계 적정성 검토_수행지침.html", "👉 [클릭] 수행지침 열기 📄")</f>
        <v/>
      </c>
      <c r="Q2" s="93" t="inlineStr">
        <is>
          <t>1) 공조부하 계산 시방 및 정거장 및 변전소 냉난방 부하계산서 대조 기준을 100% 충족하였는가?
2) 소방설비 법적기준 검측 및 불합격 요소를 전면 차단하였는가?</t>
        </is>
      </c>
      <c r="R2" s="96">
        <f>HYPERLINK(LEFT(CELL("filename",A1),FIND("[",CELL("filename",A1))-1)&amp;"10.기계분야\1_설계 적정성 검토\체크리스트\1_설계 적정성 검토_체크리스트.html", "👉 [클릭] 체크리스트 열기 📄")</f>
        <v/>
      </c>
      <c r="S2" s="89" t="inlineStr">
        <is>
          <t>기계·소방 복합 시방 준수</t>
        </is>
      </c>
      <c r="T2" s="93" t="inlineStr">
        <is>
          <t>● KDS 47 철도설계기준, KCS 41 건축기계시방 및 NFTC/NFPC 화재안전기술기준 100% 준수</t>
        </is>
      </c>
      <c r="U2" s="87" t="inlineStr">
        <is>
          <t>1) 👉 [더블클릭] 체크리스트 열기 📄</t>
        </is>
      </c>
      <c r="V2" s="93" t="inlineStr">
        <is>
          <t>기계설비·소방 전문 감리 및 시공 기술자문단 상시 운영</t>
        </is>
      </c>
    </row>
    <row r="3" ht="36" customHeight="1">
      <c r="A3" s="97" t="inlineStr">
        <is>
          <t>9000</t>
        </is>
      </c>
      <c r="B3" s="97" t="inlineStr">
        <is>
          <t>9000-8</t>
        </is>
      </c>
      <c r="C3" s="97" t="inlineStr">
        <is>
          <t>기계설비·소방설비</t>
        </is>
      </c>
      <c r="D3" s="98" t="inlineStr">
        <is>
          <t>9000-8-2</t>
        </is>
      </c>
      <c r="E3" s="99" t="inlineStr">
        <is>
          <t>9000-8-1</t>
        </is>
      </c>
      <c r="F3" s="99" t="inlineStr">
        <is>
          <t>9000-8-3</t>
        </is>
      </c>
      <c r="G3" s="100" t="inlineStr">
        <is>
          <t>발주전략 KOM</t>
        </is>
      </c>
      <c r="H3" s="99" t="inlineStr">
        <is>
          <t>D-114</t>
        </is>
      </c>
      <c r="I3" s="101" t="inlineStr">
        <is>
          <t>기계/소방팀</t>
        </is>
      </c>
      <c r="J3" s="102" t="inlineStr">
        <is>
          <t>기계 및 소방공사의 성공적인 수행을 위해 발주처, 책임감리단, 원도급사, 전문협력업체가 참여하는 Kick-Off Meeting을 개최하여 중점 품질관리 항목, 법적 인허가 일정, 장비 제작납기 및 자재 승인 프로세스를 일괄 확정한다.</t>
        </is>
      </c>
      <c r="K3" s="102" t="inlineStr">
        <is>
          <t>KCS 41 시방 기준 및 STEP 1: KOM 킥오프 회의 소집 및 R&amp;R 확정, STEP 2: 주요 장비 제작 및 조달 계획 수립 절차서 준수 시공</t>
        </is>
      </c>
      <c r="L3" s="102" t="inlineStr">
        <is>
          <t>발주전략 KOM 시공계획서, 검측요청서 및 공인 시험성적서</t>
        </is>
      </c>
      <c r="M3" s="102"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103">
        <f>HYPERLINK(LEFT(CELL("filename",A1),FIND("[",CELL("filename",A1))-1)&amp;"10.기계분야\2_발주전략 KOM\표준서\2_발주전략 KOM_표준서.html", "👉 [클릭] 표준서 열기 📄")</f>
        <v/>
      </c>
      <c r="O3" s="102" t="inlineStr">
        <is>
          <t>1) STEP 1: KOM 킥오프 회의 소집 및 R&amp;R 확정: 착수 협의체 가동 및 공종별 책임 범위 규정
2) STEP 2: 주요 장비 제작 및 조달 계획 수립: 공조기, 소방펌프, 인승용/화물용 승강기 납기 확정</t>
        </is>
      </c>
      <c r="P3" s="104">
        <f>HYPERLINK(LEFT(CELL("filename",A1),FIND("[",CELL("filename",A1))-1)&amp;"10.기계분야\2_발주전략 KOM\수행지침\2_발주전략 KOM_수행지침.html", "👉 [클릭] 수행지침 열기 📄")</f>
        <v/>
      </c>
      <c r="Q3" s="102" t="inlineStr">
        <is>
          <t>1) 협력체계 구축 시방 및 감리-시공-협력사 정기 협의체 구성 기준을 100% 충족하였는가?
2) 장비 발주계획 검측 및 불합격 요소를 전면 차단하였는가?</t>
        </is>
      </c>
      <c r="R3" s="105">
        <f>HYPERLINK(LEFT(CELL("filename",A1),FIND("[",CELL("filename",A1))-1)&amp;"10.기계분야\2_발주전략 KOM\체크리스트\2_발주전략 KOM_체크리스트.html", "👉 [클릭] 체크리스트 열기 📄")</f>
        <v/>
      </c>
      <c r="S3" s="101" t="inlineStr">
        <is>
          <t>기계·소방 복합 시방 준수</t>
        </is>
      </c>
      <c r="T3" s="102" t="inlineStr">
        <is>
          <t>● KDS 47 철도설계기준, KCS 41 건축기계시방 및 NFTC/NFPC 화재안전기술기준 100% 준수</t>
        </is>
      </c>
      <c r="U3" s="97" t="inlineStr">
        <is>
          <t>1) 👉 [더블클릭] 체크리스트 열기 📄</t>
        </is>
      </c>
      <c r="V3" s="102" t="inlineStr">
        <is>
          <t>기계설비·소방 전문 감리 및 시공 기술자문단 상시 운영</t>
        </is>
      </c>
    </row>
    <row r="4" ht="36" customHeight="1">
      <c r="A4" s="87" t="inlineStr">
        <is>
          <t>9000</t>
        </is>
      </c>
      <c r="B4" s="87" t="inlineStr">
        <is>
          <t>9000-8</t>
        </is>
      </c>
      <c r="C4" s="87" t="inlineStr">
        <is>
          <t>기계설비·소방설비</t>
        </is>
      </c>
      <c r="D4" s="88" t="inlineStr">
        <is>
          <t>9000-8-3</t>
        </is>
      </c>
      <c r="E4" s="89" t="inlineStr">
        <is>
          <t>9000-8-2</t>
        </is>
      </c>
      <c r="F4" s="90" t="inlineStr">
        <is>
          <t>9000-8-4</t>
        </is>
      </c>
      <c r="G4" s="91" t="inlineStr">
        <is>
          <t>3D BIM 기계_소방 간섭 검토</t>
        </is>
      </c>
      <c r="H4" s="90" t="inlineStr">
        <is>
          <t>D-111</t>
        </is>
      </c>
      <c r="I4" s="89" t="inlineStr">
        <is>
          <t>기계/소방팀</t>
        </is>
      </c>
      <c r="J4" s="92" t="inlineStr">
        <is>
          <t>지하 정거장 천장 및 기계실, 차량기지 검수고 등 배관·덕트 밀집 구역에 대해 3D BIM(LOD 350) 통합 모델링을 수행하여 타 공종(건축, 전기, 신호, 궤도)과의 물리적 간섭을 착공 전 100% 제거하고 최적의 시공 동선을 도출한다.</t>
        </is>
      </c>
      <c r="K4" s="93" t="inlineStr">
        <is>
          <t>KCS 41 시방 기준 및 STEP 1: 3D BIM 기계/소방 상세 모델링 (LOD 350), STEP 2: 다공종 통합 모델 합성 및 간섭 체크 절차서 준수 시공</t>
        </is>
      </c>
      <c r="L4" s="93" t="inlineStr">
        <is>
          <t>3D BIM 기계_소방 간섭 검토 시공계획서, 검측요청서 및 공인 시험성적서</t>
        </is>
      </c>
      <c r="M4" s="93"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94">
        <f>HYPERLINK(LEFT(CELL("filename",A1),FIND("[",CELL("filename",A1))-1)&amp;"10.기계분야\3_3D BIM 기계_소방 간섭 검토\표준서\3_3D BIM 기계_소방 간섭 검토_표준서.html", "👉 [클릭] 표준서 열기 📄")</f>
        <v/>
      </c>
      <c r="O4" s="93" t="inlineStr">
        <is>
          <t>1) STEP 1: 3D BIM 기계/소방 상세 모델링 (LOD 350): 배관 구배, 덕트 엘보, 장비 외형 정밀 모델링
2) STEP 2: 다공종 통합 모델 합성 및 간섭 체크: 건축/구조/전기/통신/신호 3D 모델 통합 검사</t>
        </is>
      </c>
      <c r="P4" s="95">
        <f>HYPERLINK(LEFT(CELL("filename",A1),FIND("[",CELL("filename",A1))-1)&amp;"10.기계분야\3_3D BIM 기계_소방 간섭 검토\수행지침\3_3D BIM 기계_소방 간섭 검토_수행지침.html", "👉 [클릭] 수행지침 열기 📄")</f>
        <v/>
      </c>
      <c r="Q4" s="93" t="inlineStr">
        <is>
          <t>1) 간섭 클러스터 분석 시방 및 Autodesk Navisworks 기반 Clash Detection 기준을 100% 충족하였는가?
2) 천장 공간 배분 검측 및 불합격 요소를 전면 차단하였는가?</t>
        </is>
      </c>
      <c r="R4" s="96">
        <f>HYPERLINK(LEFT(CELL("filename",A1),FIND("[",CELL("filename",A1))-1)&amp;"10.기계분야\3_3D BIM 기계_소방 간섭 검토\체크리스트\3_3D BIM 기계_소방 간섭 검토_체크리스트.html", "👉 [클릭] 체크리스트 열기 📄")</f>
        <v/>
      </c>
      <c r="S4" s="89" t="inlineStr">
        <is>
          <t>기계·소방 복합 시방 준수</t>
        </is>
      </c>
      <c r="T4" s="93" t="inlineStr">
        <is>
          <t>● KDS 47 철도설계기준, KCS 41 건축기계시방 및 NFTC/NFPC 화재안전기술기준 100% 준수</t>
        </is>
      </c>
      <c r="U4" s="87" t="inlineStr">
        <is>
          <t>1) 👉 [더블클릭] 체크리스트 열기 📄</t>
        </is>
      </c>
      <c r="V4" s="93" t="inlineStr">
        <is>
          <t>기계설비·소방 전문 감리 및 시공 기술자문단 상시 운영</t>
        </is>
      </c>
    </row>
    <row r="5" ht="36" customHeight="1">
      <c r="A5" s="97" t="inlineStr">
        <is>
          <t>9000</t>
        </is>
      </c>
      <c r="B5" s="97" t="inlineStr">
        <is>
          <t>9000-8</t>
        </is>
      </c>
      <c r="C5" s="97" t="inlineStr">
        <is>
          <t>기계설비·소방설비</t>
        </is>
      </c>
      <c r="D5" s="98" t="inlineStr">
        <is>
          <t>9000-8-4</t>
        </is>
      </c>
      <c r="E5" s="106" t="inlineStr">
        <is>
          <t>9000-8-3</t>
        </is>
      </c>
      <c r="F5" s="99" t="inlineStr">
        <is>
          <t>9000-8-5</t>
        </is>
      </c>
      <c r="G5" s="100" t="inlineStr">
        <is>
          <t>소방 및 환경 인허가</t>
        </is>
      </c>
      <c r="H5" s="99" t="inlineStr">
        <is>
          <t>D-108</t>
        </is>
      </c>
      <c r="I5" s="101" t="inlineStr">
        <is>
          <t>기계/소방팀</t>
        </is>
      </c>
      <c r="J5" s="102" t="inlineStr">
        <is>
          <t>소방시설공사업법 및 물환경보전법에 따라 공사 착공 전 관할 소방서로부터 소방시설 시공 동의 및 착공신고를 득하고, 차량기지 위험물 저장소, 비상발전기 유류탱크, 오수처리시설 인허가를 적기에 완료하여 법적 리스크를 제거한다.</t>
        </is>
      </c>
      <c r="K5" s="102" t="inlineStr">
        <is>
          <t>KCS 41 시방 기준 및 STEP 1: 소방시설 착공신고서 작성 및 도서 구비, STEP 2: 소방시설 건축동의 및 기술 검토 보완 절차서 준수 시공</t>
        </is>
      </c>
      <c r="L5" s="102" t="inlineStr">
        <is>
          <t>소방 및 환경 인허가 시공계획서, 검측요청서 및 공인 시험성적서</t>
        </is>
      </c>
      <c r="M5" s="102"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103">
        <f>HYPERLINK(LEFT(CELL("filename",A1),FIND("[",CELL("filename",A1))-1)&amp;"10.기계분야\4_소방 및 환경 인허가\표준서\4_소방 및 환경 인허가_표준서.html", "👉 [클릭] 표준서 열기 📄")</f>
        <v/>
      </c>
      <c r="O5" s="102" t="inlineStr">
        <is>
          <t>1) STEP 1: 소방시설 착공신고서 작성 및 도서 구비: 설계도면, 소방시설 내역서, 시공사 면허 첨부
2) STEP 2: 소방시설 건축동의 및 기술 검토 보완: 소방서 보완 요구사항 신속 조치 및 승인</t>
        </is>
      </c>
      <c r="P5" s="104">
        <f>HYPERLINK(LEFT(CELL("filename",A1),FIND("[",CELL("filename",A1))-1)&amp;"10.기계분야\4_소방 및 환경 인허가\수행지침\4_소방 및 환경 인허가_수행지침.html", "👉 [클릭] 수행지침 열기 📄")</f>
        <v/>
      </c>
      <c r="Q5" s="102" t="inlineStr">
        <is>
          <t>1) 소방시설 착공신고 시방 및 소방시설공사업법 제13조에 따른 착공계 제출 기준을 100% 충족하였는가?
2) 소방공사 감리원 검측 및 불합격 요소를 전면 차단하였는가?</t>
        </is>
      </c>
      <c r="R5" s="105">
        <f>HYPERLINK(LEFT(CELL("filename",A1),FIND("[",CELL("filename",A1))-1)&amp;"10.기계분야\4_소방 및 환경 인허가\체크리스트\4_소방 및 환경 인허가_체크리스트.html", "👉 [클릭] 체크리스트 열기 📄")</f>
        <v/>
      </c>
      <c r="S5" s="101" t="inlineStr">
        <is>
          <t>기계·소방 복합 시방 준수</t>
        </is>
      </c>
      <c r="T5" s="102" t="inlineStr">
        <is>
          <t>● KDS 47 철도설계기준, KCS 41 건축기계시방 및 NFTC/NFPC 화재안전기술기준 100% 준수</t>
        </is>
      </c>
      <c r="U5" s="97" t="inlineStr">
        <is>
          <t>1) 👉 [더블클릭] 체크리스트 열기 📄</t>
        </is>
      </c>
      <c r="V5" s="102" t="inlineStr">
        <is>
          <t>기계설비·소방 전문 감리 및 시공 기술자문단 상시 운영</t>
        </is>
      </c>
    </row>
    <row r="6" ht="36" customHeight="1">
      <c r="A6" s="87" t="inlineStr">
        <is>
          <t>9000</t>
        </is>
      </c>
      <c r="B6" s="87" t="inlineStr">
        <is>
          <t>9000-8</t>
        </is>
      </c>
      <c r="C6" s="87" t="inlineStr">
        <is>
          <t>기계설비·소방설비</t>
        </is>
      </c>
      <c r="D6" s="88" t="inlineStr">
        <is>
          <t>9000-8-5</t>
        </is>
      </c>
      <c r="E6" s="89" t="inlineStr">
        <is>
          <t>9000-8-4</t>
        </is>
      </c>
      <c r="F6" s="90" t="inlineStr">
        <is>
          <t>9000-8-6</t>
        </is>
      </c>
      <c r="G6" s="91" t="inlineStr">
        <is>
          <t>장비 반입동선 및 야적장 계획</t>
        </is>
      </c>
      <c r="H6" s="90" t="inlineStr">
        <is>
          <t>D-105</t>
        </is>
      </c>
      <c r="I6" s="89" t="inlineStr">
        <is>
          <t>기계/소방팀</t>
        </is>
      </c>
      <c r="J6" s="92" t="inlineStr">
        <is>
          <t>지하 정거장 기계실 및 차량기지 종합검수동에 설치되는 대형 중량물(공기조화기, 냉동기, 소방펌프, 열교환기)의 반입 개구부, 수직 인양 동선, 양중 크레인 작업 반경 및 현장 자재 야적장 보관 관리 계획을 수립한다.</t>
        </is>
      </c>
      <c r="K6" s="93" t="inlineStr">
        <is>
          <t>KCS 41 시방 기준 및 STEP 1: 중량 장비 제원 및 반입 경로 실측, STEP 2: 양중 크레인 작업 계획 및 안전성 검토 절차서 준수 시공</t>
        </is>
      </c>
      <c r="L6" s="93" t="inlineStr">
        <is>
          <t>장비 반입동선 및 야적장 계획 시공계획서, 검측요청서 및 공인 시험성적서</t>
        </is>
      </c>
      <c r="M6" s="93"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94">
        <f>HYPERLINK(LEFT(CELL("filename",A1),FIND("[",CELL("filename",A1))-1)&amp;"10.기계분야\5_장비 반입동선 및 야적장 계획\표준서\5_장비 반입동선 및 야적장 계획_표준서.html", "👉 [클릭] 표준서 열기 📄")</f>
        <v/>
      </c>
      <c r="O6" s="93" t="inlineStr">
        <is>
          <t>1) STEP 1: 중량 장비 제원 및 반입 경로 실측: 장비 외형 치수, 중량, 반입구 크기 대조
2) STEP 2: 양중 크레인 작업 계획 및 안전성 검토: 크레인 전도 방지 및 슬래브 지지력 계산</t>
        </is>
      </c>
      <c r="P6" s="95">
        <f>HYPERLINK(LEFT(CELL("filename",A1),FIND("[",CELL("filename",A1))-1)&amp;"10.기계분야\5_장비 반입동선 및 야적장 계획\수행지침\5_장비 반입동선 및 야적장 계획_수행지침.html", "👉 [클릭] 수행지침 열기 📄")</f>
        <v/>
      </c>
      <c r="Q6" s="93" t="inlineStr">
        <is>
          <t>1) 장비 반입구 시방 및 지하 기계실 장비 반입구(DA) 크기 및 해치 확인 기준을 100% 충족하였는가?
2) 양중 크레인 계획 검측 및 불합격 요소를 전면 차단하였는가?</t>
        </is>
      </c>
      <c r="R6" s="96">
        <f>HYPERLINK(LEFT(CELL("filename",A1),FIND("[",CELL("filename",A1))-1)&amp;"10.기계분야\5_장비 반입동선 및 야적장 계획\체크리스트\5_장비 반입동선 및 야적장 계획_체크리스트.html", "👉 [클릭] 체크리스트 열기 📄")</f>
        <v/>
      </c>
      <c r="S6" s="89" t="inlineStr">
        <is>
          <t>기계·소방 복합 시방 준수</t>
        </is>
      </c>
      <c r="T6" s="93" t="inlineStr">
        <is>
          <t>● KDS 47 철도설계기준, KCS 41 건축기계시방 및 NFTC/NFPC 화재안전기술기준 100% 준수</t>
        </is>
      </c>
      <c r="U6" s="87" t="inlineStr">
        <is>
          <t>1) 👉 [더블클릭] 체크리스트 열기 📄</t>
        </is>
      </c>
      <c r="V6" s="93" t="inlineStr">
        <is>
          <t>기계설비·소방 전문 감리 및 시공 기술자문단 상시 운영</t>
        </is>
      </c>
    </row>
    <row r="7" ht="36" customHeight="1">
      <c r="A7" s="97" t="inlineStr">
        <is>
          <t>9000</t>
        </is>
      </c>
      <c r="B7" s="97" t="inlineStr">
        <is>
          <t>9000-8</t>
        </is>
      </c>
      <c r="C7" s="97" t="inlineStr">
        <is>
          <t>기계설비·소방설비</t>
        </is>
      </c>
      <c r="D7" s="98" t="inlineStr">
        <is>
          <t>9000-8-6</t>
        </is>
      </c>
      <c r="E7" s="101" t="inlineStr">
        <is>
          <t>9000-8-5</t>
        </is>
      </c>
      <c r="F7" s="99" t="inlineStr">
        <is>
          <t>9000-8-7</t>
        </is>
      </c>
      <c r="G7" s="100" t="inlineStr">
        <is>
          <t>Big Room 인터페이스 회의</t>
        </is>
      </c>
      <c r="H7" s="99" t="inlineStr">
        <is>
          <t>D-102</t>
        </is>
      </c>
      <c r="I7" s="101" t="inlineStr">
        <is>
          <t>기계/소방팀</t>
        </is>
      </c>
      <c r="J7" s="102" t="inlineStr">
        <is>
          <t>동탄트램 복합 공정의 성공을 위해 기계·소방 분야와 6대 연관 공종(토목 노반, 궤도 콘크리트도상, 건축 구조/마감, 전기 수변전, 신호 연동, 통신 LTE-R) 간의 주간 Big Room 합동 회의를 운영하여 시공 오차 및 인터페이스 누락을 원천 차단한다.</t>
        </is>
      </c>
      <c r="K7" s="102" t="inlineStr">
        <is>
          <t>KCS 41 시방 기준 및 STEP 1: Big Room 합동 회의 안건 도출 및 3D 모델 준비, STEP 2: 7대 공종 합동 기술 조율 및 대안 확정 절차서 준수 시공</t>
        </is>
      </c>
      <c r="L7" s="102" t="inlineStr">
        <is>
          <t>Big Room 인터페이스 회의 시공계획서, 검측요청서 및 공인 시험성적서</t>
        </is>
      </c>
      <c r="M7" s="102"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103">
        <f>HYPERLINK(LEFT(CELL("filename",A1),FIND("[",CELL("filename",A1))-1)&amp;"10.기계분야\6_Big Room 인터페이스 회의\표준서\6_Big Room 인터페이스 회의_표준서.html", "👉 [클릭] 표준서 열기 📄")</f>
        <v/>
      </c>
      <c r="O7" s="102"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104">
        <f>HYPERLINK(LEFT(CELL("filename",A1),FIND("[",CELL("filename",A1))-1)&amp;"10.기계분야\6_Big Room 인터페이스 회의\수행지침\6_Big Room 인터페이스 회의_수행지침.html", "👉 [클릭] 수행지침 열기 📄")</f>
        <v/>
      </c>
      <c r="Q7" s="102" t="inlineStr">
        <is>
          <t>1) 7대 공종 합동 검토 시방 및 기계/소방↔토목/궤도/건축/전기/신호/통신 연계 기준을 100% 충족하였는가?
2) 관통 슬리브 확정 검측 및 불합격 요소를 전면 차단하였는가?</t>
        </is>
      </c>
      <c r="R7" s="105">
        <f>HYPERLINK(LEFT(CELL("filename",A1),FIND("[",CELL("filename",A1))-1)&amp;"10.기계분야\6_Big Room 인터페이스 회의\체크리스트\6_Big Room 인터페이스 회의_체크리스트.html", "👉 [클릭] 체크리스트 열기 📄")</f>
        <v/>
      </c>
      <c r="S7" s="101" t="inlineStr">
        <is>
          <t>기계·소방 복합 시방 준수</t>
        </is>
      </c>
      <c r="T7" s="102" t="inlineStr">
        <is>
          <t>● KDS 47 철도설계기준, KCS 41 건축기계시방 및 NFTC/NFPC 화재안전기술기준 100% 준수</t>
        </is>
      </c>
      <c r="U7" s="97" t="inlineStr">
        <is>
          <t>1) 👉 [더블클릭] 체크리스트 열기 📄</t>
        </is>
      </c>
      <c r="V7" s="102" t="inlineStr">
        <is>
          <t>기계설비·소방 전문 감리 및 시공 기술자문단 상시 운영</t>
        </is>
      </c>
    </row>
    <row r="8" ht="36" customHeight="1">
      <c r="A8" s="87" t="inlineStr">
        <is>
          <t>9000</t>
        </is>
      </c>
      <c r="B8" s="87" t="inlineStr">
        <is>
          <t>9000-8</t>
        </is>
      </c>
      <c r="C8" s="87" t="inlineStr">
        <is>
          <t>기계설비·소방설비</t>
        </is>
      </c>
      <c r="D8" s="88" t="inlineStr">
        <is>
          <t>9000-8-7</t>
        </is>
      </c>
      <c r="E8" s="89" t="inlineStr">
        <is>
          <t>9000-8-6</t>
        </is>
      </c>
      <c r="F8" s="90" t="inlineStr">
        <is>
          <t>9000-8-8</t>
        </is>
      </c>
      <c r="G8" s="91" t="inlineStr">
        <is>
          <t>지하매설 기계배관 협의</t>
        </is>
      </c>
      <c r="H8" s="90" t="inlineStr">
        <is>
          <t>D-99</t>
        </is>
      </c>
      <c r="I8" s="89" t="inlineStr">
        <is>
          <t>기계/소방팀</t>
        </is>
      </c>
      <c r="J8" s="92" t="inlineStr">
        <is>
          <t>트램 본선 도로 하부 및 정거장 외부 인입 구역에 매설되는 기계배관(상수도 급수관, 지열 집열관, 오배수 연결관)에 대해 지자체(화성시), 도로관리청 및 한국전력·가스·통신 유관기관과 지장물 이설 및 도로굴착 점용 협의를 수행한다.</t>
        </is>
      </c>
      <c r="K8" s="93" t="inlineStr">
        <is>
          <t>KCS 41 시방 기준 및 STEP 1: 지하 지장물 매설도 수집 및 3D GPR 탐사, STEP 2: 유관기관 협의 및 도로굴착점용 허가 획득 절차서 준수 시공</t>
        </is>
      </c>
      <c r="L8" s="93" t="inlineStr">
        <is>
          <t>지하매설 기계배관 협의 시공계획서, 검측요청서 및 공인 시험성적서</t>
        </is>
      </c>
      <c r="M8" s="93"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94">
        <f>HYPERLINK(LEFT(CELL("filename",A1),FIND("[",CELL("filename",A1))-1)&amp;"10.기계분야\7_지하매설 기계배관 협의\표준서\7_지하매설 기계배관 협의_표준서.html", "👉 [클릭] 표준서 열기 📄")</f>
        <v/>
      </c>
      <c r="O8" s="93" t="inlineStr">
        <is>
          <t>1) STEP 1: 지하 지장물 매설도 수집 및 3D GPR 탐사: 도로 하부 8대 지하매설물 도면 대조
2) STEP 2: 유관기관 협의 및 도로굴착점용 허가 획득: 지자체 및 관리기관 합동 현장 실사</t>
        </is>
      </c>
      <c r="P8" s="95">
        <f>HYPERLINK(LEFT(CELL("filename",A1),FIND("[",CELL("filename",A1))-1)&amp;"10.기계분야\7_지하매설 기계배관 협의\수행지침\7_지하매설 기계배관 협의_수행지침.html", "👉 [클릭] 수행지침 열기 📄")</f>
        <v/>
      </c>
      <c r="Q8" s="93" t="inlineStr">
        <is>
          <t>1) 지하관로 탐사 시방 및 3D GPR 지하 레이더 탐사 및 인력 줄파기 기준을 100% 충족하였는가?
2) 상수도 인입 협의 검측 및 불합격 요소를 전면 차단하였는가?</t>
        </is>
      </c>
      <c r="R8" s="96">
        <f>HYPERLINK(LEFT(CELL("filename",A1),FIND("[",CELL("filename",A1))-1)&amp;"10.기계분야\7_지하매설 기계배관 협의\체크리스트\7_지하매설 기계배관 협의_체크리스트.html", "👉 [클릭] 체크리스트 열기 📄")</f>
        <v/>
      </c>
      <c r="S8" s="89" t="inlineStr">
        <is>
          <t>기계·소방 복합 시방 준수</t>
        </is>
      </c>
      <c r="T8" s="93" t="inlineStr">
        <is>
          <t>● KDS 47 철도설계기준, KCS 41 건축기계시방 및 NFTC/NFPC 화재안전기술기준 100% 준수</t>
        </is>
      </c>
      <c r="U8" s="87" t="inlineStr">
        <is>
          <t>1) 👉 [더블클릭] 체크리스트 열기 📄</t>
        </is>
      </c>
      <c r="V8" s="93" t="inlineStr">
        <is>
          <t>기계설비·소방 전문 감리 및 시공 기술자문단 상시 운영</t>
        </is>
      </c>
    </row>
    <row r="9" ht="36" customHeight="1">
      <c r="A9" s="97" t="inlineStr">
        <is>
          <t>9000</t>
        </is>
      </c>
      <c r="B9" s="97" t="inlineStr">
        <is>
          <t>9000-8</t>
        </is>
      </c>
      <c r="C9" s="97" t="inlineStr">
        <is>
          <t>기계설비·소방설비</t>
        </is>
      </c>
      <c r="D9" s="98" t="inlineStr">
        <is>
          <t>9000-8-8</t>
        </is>
      </c>
      <c r="E9" s="101" t="inlineStr">
        <is>
          <t>9000-8-7</t>
        </is>
      </c>
      <c r="F9" s="99" t="inlineStr">
        <is>
          <t>9000-8-9</t>
        </is>
      </c>
      <c r="G9" s="100" t="inlineStr">
        <is>
          <t>기계설비 시공계획서 수립</t>
        </is>
      </c>
      <c r="H9" s="99" t="inlineStr">
        <is>
          <t>D-96</t>
        </is>
      </c>
      <c r="I9" s="101" t="inlineStr">
        <is>
          <t>기계/소방팀</t>
        </is>
      </c>
      <c r="J9" s="102" t="inlineStr">
        <is>
          <t>KCS 41(건축기계설비공사 표준시방서) 및 KDS 47(철도설계기준)에 의거하여 기계·소방설비의 단계별 세부 시공 방법, 동원 인원 및 장비 계획, 용접 절차서(WPS), 비파괴검사(NDT), 수압시험 및 품질·안전관리 종합 시공계획서를 작성하여 감리단 승인을 득한다.</t>
        </is>
      </c>
      <c r="K9" s="102" t="inlineStr">
        <is>
          <t>KCS 41 시방 기준 및 STEP 1: 공종별 세부 시공 방법 및 절차서 작성, STEP 2: 자재 시험 및 품질관리 계획서 수립 절차서 준수 시공</t>
        </is>
      </c>
      <c r="L9" s="102" t="inlineStr">
        <is>
          <t>기계설비 시공계획서 수립 시공계획서, 검측요청서 및 공인 시험성적서</t>
        </is>
      </c>
      <c r="M9" s="102"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103">
        <f>HYPERLINK(LEFT(CELL("filename",A1),FIND("[",CELL("filename",A1))-1)&amp;"10.기계분야\8_기계설비 시공계획서 수립\표준서\8_기계설비 시공계획서 수립_표준서.html", "👉 [클릭] 표준서 열기 📄")</f>
        <v/>
      </c>
      <c r="O9" s="102" t="inlineStr">
        <is>
          <t>1) STEP 1: 공종별 세부 시공 방법 및 절차서 작성: 공조, 배관, 덕트, 소방, 자동제어 작업 기준
2) STEP 2: 자재 시험 및 품질관리 계획서 수립: 수압시험, 기밀시험, 비파괴검사(NDT) 빈도 확정</t>
        </is>
      </c>
      <c r="P9" s="104">
        <f>HYPERLINK(LEFT(CELL("filename",A1),FIND("[",CELL("filename",A1))-1)&amp;"10.기계분야\8_기계설비 시공계획서 수립\수행지침\8_기계설비 시공계획서 수립_수행지침.html", "👉 [클릭] 수행지침 열기 📄")</f>
        <v/>
      </c>
      <c r="Q9" s="102" t="inlineStr">
        <is>
          <t>1) 시공 방법 기술 시방 및 공조/위생/소방/오폐수/승강기 공종별 시공 절차 기준을 100% 충족하였는가?
2) 용접 절차서(WPS) 검측 및 불합격 요소를 전면 차단하였는가?</t>
        </is>
      </c>
      <c r="R9" s="105">
        <f>HYPERLINK(LEFT(CELL("filename",A1),FIND("[",CELL("filename",A1))-1)&amp;"10.기계분야\8_기계설비 시공계획서 수립\체크리스트\8_기계설비 시공계획서 수립_체크리스트.html", "👉 [클릭] 체크리스트 열기 📄")</f>
        <v/>
      </c>
      <c r="S9" s="101" t="inlineStr">
        <is>
          <t>기계·소방 복합 시방 준수</t>
        </is>
      </c>
      <c r="T9" s="102" t="inlineStr">
        <is>
          <t>● KDS 47 철도설계기준, KCS 41 건축기계시방 및 NFTC/NFPC 화재안전기술기준 100% 준수</t>
        </is>
      </c>
      <c r="U9" s="97" t="inlineStr">
        <is>
          <t>1) 👉 [더블클릭] 체크리스트 열기 📄</t>
        </is>
      </c>
      <c r="V9" s="102" t="inlineStr">
        <is>
          <t>기계설비·소방 전문 감리 및 시공 기술자문단 상시 운영</t>
        </is>
      </c>
    </row>
    <row r="10" ht="36" customHeight="1">
      <c r="A10" s="87" t="inlineStr">
        <is>
          <t>9000</t>
        </is>
      </c>
      <c r="B10" s="87" t="inlineStr">
        <is>
          <t>9000-8</t>
        </is>
      </c>
      <c r="C10" s="87" t="inlineStr">
        <is>
          <t>기계설비·소방설비</t>
        </is>
      </c>
      <c r="D10" s="88" t="inlineStr">
        <is>
          <t>9000-8-9</t>
        </is>
      </c>
      <c r="E10" s="89" t="inlineStr">
        <is>
          <t>9000-8-8</t>
        </is>
      </c>
      <c r="F10" s="90" t="inlineStr">
        <is>
          <t>9000-8-10</t>
        </is>
      </c>
      <c r="G10" s="91" t="inlineStr">
        <is>
          <t>주요 기계_소방 기자재 검수</t>
        </is>
      </c>
      <c r="H10" s="90" t="inlineStr">
        <is>
          <t>D-93</t>
        </is>
      </c>
      <c r="I10" s="89" t="inlineStr">
        <is>
          <t>기계/소방팀</t>
        </is>
      </c>
      <c r="J10" s="92" t="inlineStr">
        <is>
          <t>현장에 반입되는 배관용 스테인리스 강관, 인버터 가압 부스터펌프, 옥내소화전함, 밸브류, 공조기 등 주요 기자재에 대해 KS 인증서, 공인기관 시험성적서(밀시트), 공장검수(FAT) 성적을 1:1 대조하여 불량 자재의 현장 반입을 원천 차단한다.</t>
        </is>
      </c>
      <c r="K10" s="93" t="inlineStr">
        <is>
          <t>KCS 41 시방 기준 및 STEP 1: 자재 공급원 승인 요청서(MAR) 접수 및 검토, STEP 2: 주요 대형 장비 공장검수(FAT) 수행 절차서 준수 시공</t>
        </is>
      </c>
      <c r="L10" s="93" t="inlineStr">
        <is>
          <t>주요 기계_소방 기자재 검수 시공계획서, 검측요청서 및 공인 시험성적서</t>
        </is>
      </c>
      <c r="M10" s="93"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94">
        <f>HYPERLINK(LEFT(CELL("filename",A1),FIND("[",CELL("filename",A1))-1)&amp;"10.기계분야\9_주요 기계_소방 기자재 검수\표준서\9_주요 기계_소방 기자재 검수_표준서.html", "👉 [클릭] 표준서 열기 📄")</f>
        <v/>
      </c>
      <c r="O10" s="93" t="inlineStr">
        <is>
          <t>1) STEP 1: 자재 공급원 승인 요청서(MAR) 접수 및 검토: 제조사 공장등록증, KS인증서, 시험성적서
2) STEP 2: 주요 대형 장비 공장검수(FAT) 수행: 공조기, 부스터펌프 제작 공장 방문 입회 시험</t>
        </is>
      </c>
      <c r="P10" s="95">
        <f>HYPERLINK(LEFT(CELL("filename",A1),FIND("[",CELL("filename",A1))-1)&amp;"10.기계분야\9_주요 기계_소방 기자재 검수\수행지침\9_주요 기계_소방 기자재 검수_수행지침.html", "👉 [클릭] 수행지침 열기 📄")</f>
        <v/>
      </c>
      <c r="Q10" s="93" t="inlineStr">
        <is>
          <t>1) STS 강관 검수 시방 및 KSD 3576(배관용), KSD 3595(일반배관용) 두께/외경 기준을 100% 충족하였는가?
2) 부스터펌프 검수 검측 및 불합격 요소를 전면 차단하였는가?</t>
        </is>
      </c>
      <c r="R10" s="96">
        <f>HYPERLINK(LEFT(CELL("filename",A1),FIND("[",CELL("filename",A1))-1)&amp;"10.기계분야\9_주요 기계_소방 기자재 검수\체크리스트\9_주요 기계_소방 기자재 검수_체크리스트.html", "👉 [클릭] 체크리스트 열기 📄")</f>
        <v/>
      </c>
      <c r="S10" s="89" t="inlineStr">
        <is>
          <t>기계·소방 복합 시방 준수</t>
        </is>
      </c>
      <c r="T10" s="93" t="inlineStr">
        <is>
          <t>● KDS 47 철도설계기준, KCS 41 건축기계시방 및 NFTC/NFPC 화재안전기술기준 100% 준수</t>
        </is>
      </c>
      <c r="U10" s="87" t="inlineStr">
        <is>
          <t>1) 👉 [더블클릭] 체크리스트 열기 📄</t>
        </is>
      </c>
      <c r="V10" s="93" t="inlineStr">
        <is>
          <t>기계설비·소방 전문 감리 및 시공 기술자문단 상시 운영</t>
        </is>
      </c>
    </row>
    <row r="11" ht="36" customHeight="1">
      <c r="A11" s="97" t="inlineStr">
        <is>
          <t>9000</t>
        </is>
      </c>
      <c r="B11" s="97" t="inlineStr">
        <is>
          <t>9000-8</t>
        </is>
      </c>
      <c r="C11" s="97" t="inlineStr">
        <is>
          <t>기계설비·소방설비</t>
        </is>
      </c>
      <c r="D11" s="98" t="inlineStr">
        <is>
          <t>9000-8-10</t>
        </is>
      </c>
      <c r="E11" s="101" t="inlineStr">
        <is>
          <t>9000-8-9</t>
        </is>
      </c>
      <c r="F11" s="99" t="inlineStr">
        <is>
          <t>9000-8-11</t>
        </is>
      </c>
      <c r="G11" s="100" t="inlineStr">
        <is>
          <t>방화구획 내화채움구조 시공</t>
        </is>
      </c>
      <c r="H11" s="99" t="inlineStr">
        <is>
          <t>D-90</t>
        </is>
      </c>
      <c r="I11" s="101" t="inlineStr">
        <is>
          <t>기계/소방팀</t>
        </is>
      </c>
      <c r="J11" s="102" t="inlineStr">
        <is>
          <t>건축물의 피난·방화구조 등의 기준에 관한 규칙에 따라 방화벽, 바닥 슬래브를 관통하는 기계 배관, 냉매관, 공조 덕트 주변의 관통 틈새에 대해 화재안전연구원 공인 인증을 득한 내화채움재(내화패드, 방화실란트, 차염/차열재)를 100% 밀폐 시공하여 화염 및 유독가스 층간 전파를 원천 차단한다.</t>
        </is>
      </c>
      <c r="K11" s="102" t="inlineStr">
        <is>
          <t>KCS 41 시방 기준 및 STEP 1: 관통부 틈새 청소 및 공인 내화구조 매핑, STEP 2: 내부 불연재(미네랄울) 고밀도 충진 절차서 준수 시공</t>
        </is>
      </c>
      <c r="L11" s="102" t="inlineStr">
        <is>
          <t>방화구획 내화채움구조 시공 시공계획서, 검측요청서 및 공인 시험성적서</t>
        </is>
      </c>
      <c r="M11" s="102"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103">
        <f>HYPERLINK(LEFT(CELL("filename",A1),FIND("[",CELL("filename",A1))-1)&amp;"10.기계분야\10_방화구획 내화채움구조 시공\표준서\10_방화구획 내화채움구조 시공_표준서.html", "👉 [클릭] 표준서 열기 📄")</f>
        <v/>
      </c>
      <c r="O11" s="102" t="inlineStr">
        <is>
          <t>1) STEP 1: 관통부 틈새 청소 및 공인 내화구조 매핑: 슬리브 내부 이물질, 분진 제거 및 성적서 대조
2) STEP 2: 내부 불연재(미네랄울) 고밀도 충진: 규정 밀도(100kg/㎥ 이상) 준수 다짐 충진</t>
        </is>
      </c>
      <c r="P11" s="104">
        <f>HYPERLINK(LEFT(CELL("filename",A1),FIND("[",CELL("filename",A1))-1)&amp;"10.기계분야\10_방화구획 내화채움구조 시공\수행지침\10_방화구획 내화채움구조 시공_수행지침.html", "👉 [클릭] 수행지침 열기 📄")</f>
        <v/>
      </c>
      <c r="Q11" s="102" t="inlineStr">
        <is>
          <t>1) 공인 성적서 확인 시방 및 한국건설기술연구원 인정 내화채움구조 성적서 기준을 100% 충족하였는가?
2) 암면/미네랄울 충진 검측 및 불합격 요소를 전면 차단하였는가?</t>
        </is>
      </c>
      <c r="R11" s="105">
        <f>HYPERLINK(LEFT(CELL("filename",A1),FIND("[",CELL("filename",A1))-1)&amp;"10.기계분야\10_방화구획 내화채움구조 시공\체크리스트\10_방화구획 내화채움구조 시공_체크리스트.html", "👉 [클릭] 체크리스트 열기 📄")</f>
        <v/>
      </c>
      <c r="S11" s="101" t="inlineStr">
        <is>
          <t>기계·소방 복합 시방 준수</t>
        </is>
      </c>
      <c r="T11" s="102" t="inlineStr">
        <is>
          <t>● KDS 47 철도설계기준, KCS 41 건축기계시방 및 NFTC/NFPC 화재안전기술기준 100% 준수</t>
        </is>
      </c>
      <c r="U11" s="97" t="inlineStr">
        <is>
          <t>1) 👉 [더블클릭] 체크리스트 열기 📄</t>
        </is>
      </c>
      <c r="V11" s="102" t="inlineStr">
        <is>
          <t>기계설비·소방 전문 감리 및 시공 기술자문단 상시 운영</t>
        </is>
      </c>
    </row>
    <row r="12" ht="36" customHeight="1">
      <c r="A12" s="87" t="inlineStr">
        <is>
          <t>9000</t>
        </is>
      </c>
      <c r="B12" s="87" t="inlineStr">
        <is>
          <t>9000-8</t>
        </is>
      </c>
      <c r="C12" s="87" t="inlineStr">
        <is>
          <t>기계설비·소방설비</t>
        </is>
      </c>
      <c r="D12" s="88" t="inlineStr">
        <is>
          <t>9000-8-11</t>
        </is>
      </c>
      <c r="E12" s="89" t="inlineStr">
        <is>
          <t>9000-8-10</t>
        </is>
      </c>
      <c r="F12" s="90" t="inlineStr">
        <is>
          <t>9000-8-12</t>
        </is>
      </c>
      <c r="G12" s="91" t="inlineStr">
        <is>
          <t>선로전환기 배수공동구 연계</t>
        </is>
      </c>
      <c r="H12" s="90" t="inlineStr">
        <is>
          <t>D-87</t>
        </is>
      </c>
      <c r="I12" s="89" t="inlineStr">
        <is>
          <t>기계/소방팀</t>
        </is>
      </c>
      <c r="J12" s="92" t="inlineStr">
        <is>
          <t>트램 본선 궤도 분기부 및 차량기지 내 총 143개소의 핵심 선로전환기(Point Machine)와 열차 위치 검지용 차축검지기(Axle Counter) 구역의 침수 불량 및 동절기 결빙 사고를 원천 방지하기 위하여 궤도 콘크리트 타설 전 하부 횡단 배수용 파이프 및 전선관로 공동구를 정밀 선시공한다.</t>
        </is>
      </c>
      <c r="K12" s="93" t="inlineStr">
        <is>
          <t>KCS 41 시방 기준 및 STEP 1: 신호·궤도팀 합동 분기기 143개소 좌표 실측, STEP 2: 횡단 배수관로 매설 및 지지틀 고정 절차서 준수 시공</t>
        </is>
      </c>
      <c r="L12" s="93" t="inlineStr">
        <is>
          <t>선로전환기 배수공동구 연계 시공계획서, 검측요청서 및 공인 시험성적서</t>
        </is>
      </c>
      <c r="M12" s="93"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94">
        <f>HYPERLINK(LEFT(CELL("filename",A1),FIND("[",CELL("filename",A1))-1)&amp;"10.기계분야\11_선로전환기 배수공동구 연계\표준서\11_선로전환기 배수공동구 연계_표준서.html", "👉 [클릭] 표준서 열기 📄")</f>
        <v/>
      </c>
      <c r="O12" s="93" t="inlineStr">
        <is>
          <t>1) STEP 1: 신호·궤도팀 합동 분기기 143개소 좌표 실측: 선로전환기 하부 배수구 위치 3D 확정
2) STEP 2: 횡단 배수관로 매설 및 지지틀 고정: D100/150 고강도 배수관 가설 및 앵커링</t>
        </is>
      </c>
      <c r="P12" s="95">
        <f>HYPERLINK(LEFT(CELL("filename",A1),FIND("[",CELL("filename",A1))-1)&amp;"10.기계분야\11_선로전환기 배수공동구 연계\수행지침\11_선로전환기 배수공동구 연계_수행지침.html", "👉 [클릭] 수행지침 열기 📄")</f>
        <v/>
      </c>
      <c r="Q12" s="93" t="inlineStr">
        <is>
          <t>1) 배수관 위치 정합 시방 및 신호 선로전환기 143개소 설치 좌표와 1:1 대조 기준을 100% 충족하였는가?
2) 배수관경 및 재질 검측 및 불합격 요소를 전면 차단하였는가?</t>
        </is>
      </c>
      <c r="R12" s="96">
        <f>HYPERLINK(LEFT(CELL("filename",A1),FIND("[",CELL("filename",A1))-1)&amp;"10.기계분야\11_선로전환기 배수공동구 연계\체크리스트\11_선로전환기 배수공동구 연계_체크리스트.html", "👉 [클릭] 체크리스트 열기 📄")</f>
        <v/>
      </c>
      <c r="S12" s="89" t="inlineStr">
        <is>
          <t>기계·소방 복합 시방 준수</t>
        </is>
      </c>
      <c r="T12" s="93" t="inlineStr">
        <is>
          <t>● KDS 47 철도설계기준, KCS 41 건축기계시방 및 NFTC/NFPC 화재안전기술기준 100% 준수</t>
        </is>
      </c>
      <c r="U12" s="87" t="inlineStr">
        <is>
          <t>1) 👉 [더블클릭] 체크리스트 열기 📄</t>
        </is>
      </c>
      <c r="V12" s="93" t="inlineStr">
        <is>
          <t>기계설비·소방 전문 감리 및 시공 기술자문단 상시 운영</t>
        </is>
      </c>
    </row>
    <row r="13" ht="36" customHeight="1">
      <c r="A13" s="97" t="inlineStr">
        <is>
          <t>9000</t>
        </is>
      </c>
      <c r="B13" s="97" t="inlineStr">
        <is>
          <t>9000-8</t>
        </is>
      </c>
      <c r="C13" s="97" t="inlineStr">
        <is>
          <t>기계설비·소방설비</t>
        </is>
      </c>
      <c r="D13" s="98" t="inlineStr">
        <is>
          <t>9000-8-12</t>
        </is>
      </c>
      <c r="E13" s="101" t="inlineStr">
        <is>
          <t>9000-8-11</t>
        </is>
      </c>
      <c r="F13" s="99" t="inlineStr">
        <is>
          <t>9000-8-13</t>
        </is>
      </c>
      <c r="G13" s="100" t="inlineStr">
        <is>
          <t>소방 기계 전원 간선 연계</t>
        </is>
      </c>
      <c r="H13" s="99" t="inlineStr">
        <is>
          <t>D-84</t>
        </is>
      </c>
      <c r="I13" s="101" t="inlineStr">
        <is>
          <t>기계/소방팀</t>
        </is>
      </c>
      <c r="J13" s="102" t="inlineStr">
        <is>
          <t>화재안전기술기준(NFTC) 및 전기설비기술기준에 따라 소방펌프실 주펌프, 충압펌프, 지하차도 및 역사 제연팬에 공급되는 비상 전원 간선에 대해 최고 수준의 고내열 내화성능을 갖춘 NFR-8(또는 F-FR-8) 내화케이블을 전용 배관으로 포설하고, 전기분야 비상발전기·MCC반과 무결점 인터페이스를 완료한다.</t>
        </is>
      </c>
      <c r="K13" s="102" t="inlineStr">
        <is>
          <t>KCS 41 시방 기준 및 STEP 1: 소방 기계 부하 용량(kW) 산정 및 전기팀 통보, STEP 2: NFR-8 고내열 내화케이블 전용 관로 시공 절차서 준수 시공</t>
        </is>
      </c>
      <c r="L13" s="102" t="inlineStr">
        <is>
          <t>소방 기계 전원 간선 연계 시공계획서, 검측요청서 및 공인 시험성적서</t>
        </is>
      </c>
      <c r="M13" s="102"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103">
        <f>HYPERLINK(LEFT(CELL("filename",A1),FIND("[",CELL("filename",A1))-1)&amp;"10.기계분야\12_소방 기계 전원 간선 연계\표준서\12_소방 기계 전원 간선 연계_표준서.html", "👉 [클릭] 표준서 열기 📄")</f>
        <v/>
      </c>
      <c r="O13" s="102" t="inlineStr">
        <is>
          <t>1) STEP 1: 소방 기계 부하 용량(kW) 산정 및 전기팀 통보: 소방펌프, 충압펌프, 제연팬 기동 전류 대조
2) STEP 2: NFR-8 고내열 내화케이블 전용 관로 시공: 일반 전선과 분리된 내화 배관 가설</t>
        </is>
      </c>
      <c r="P13" s="104">
        <f>HYPERLINK(LEFT(CELL("filename",A1),FIND("[",CELL("filename",A1))-1)&amp;"10.기계분야\12_소방 기계 전원 간선 연계\수행지침\12_소방 기계 전원 간선 연계_수행지침.html", "👉 [클릭] 수행지침 열기 📄")</f>
        <v/>
      </c>
      <c r="Q13" s="102" t="inlineStr">
        <is>
          <t>1) 내화케이블 규격 시방 및 KS C IEC 60331 내화성능 공인 인증(NFR-8/F-FR-8) 기준을 100% 충족하였는가?
2) 소방 간선 전용화 검측 및 불합격 요소를 전면 차단하였는가?</t>
        </is>
      </c>
      <c r="R13" s="105">
        <f>HYPERLINK(LEFT(CELL("filename",A1),FIND("[",CELL("filename",A1))-1)&amp;"10.기계분야\12_소방 기계 전원 간선 연계\체크리스트\12_소방 기계 전원 간선 연계_체크리스트.html", "👉 [클릭] 체크리스트 열기 📄")</f>
        <v/>
      </c>
      <c r="S13" s="101" t="inlineStr">
        <is>
          <t>기계·소방 복합 시방 준수</t>
        </is>
      </c>
      <c r="T13" s="102" t="inlineStr">
        <is>
          <t>● KDS 47 철도설계기준, KCS 41 건축기계시방 및 NFTC/NFPC 화재안전기술기준 100% 준수</t>
        </is>
      </c>
      <c r="U13" s="97" t="inlineStr">
        <is>
          <t>1) 👉 [더블클릭] 체크리스트 열기 📄</t>
        </is>
      </c>
      <c r="V13" s="102" t="inlineStr">
        <is>
          <t>기계설비·소방 전문 감리 및 시공 기술자문단 상시 운영</t>
        </is>
      </c>
    </row>
    <row r="14" ht="36" customHeight="1">
      <c r="A14" s="87" t="inlineStr">
        <is>
          <t>9000</t>
        </is>
      </c>
      <c r="B14" s="87" t="inlineStr">
        <is>
          <t>9000-8</t>
        </is>
      </c>
      <c r="C14" s="87" t="inlineStr">
        <is>
          <t>기계설비·소방설비</t>
        </is>
      </c>
      <c r="D14" s="88" t="inlineStr">
        <is>
          <t>9000-8-13</t>
        </is>
      </c>
      <c r="E14" s="89" t="inlineStr">
        <is>
          <t>9000-8-12</t>
        </is>
      </c>
      <c r="F14" s="90" t="inlineStr">
        <is>
          <t>9000-8-14</t>
        </is>
      </c>
      <c r="G14" s="91" t="inlineStr">
        <is>
          <t>저수조 사수방지 흡입배관</t>
        </is>
      </c>
      <c r="H14" s="90" t="inlineStr">
        <is>
          <t>D-81</t>
        </is>
      </c>
      <c r="I14" s="89" t="inlineStr">
        <is>
          <t>기계/소방팀</t>
        </is>
      </c>
      <c r="J14" s="92" t="inlineStr">
        <is>
          <t>정거장 및 차량기지 지하 저수조 내에서 생활위생용수와 소화용수가 장기간 정체되어 발생하는 사수(死水, 물고임 부패) 현상을 방지하기 위하여, 급수펌프 흡입배관의 최저점을 소화용수 유효수위 상향으로 확보하고, 저수조 내부에 유지관리용 칸막이 1개소를 설치하는 고도화 수배관 시스템을 시공한다.</t>
        </is>
      </c>
      <c r="K14" s="93" t="inlineStr">
        <is>
          <t>KCS 41 시방 기준 및 STEP 1: 저수조 용량 및 소화수 유효수위 계산, STEP 2: STS 패널형 저수조 조립 및 칸막이 가설 절차서 준수 시공</t>
        </is>
      </c>
      <c r="L14" s="93" t="inlineStr">
        <is>
          <t>저수조 사수방지 흡입배관 시공계획서, 검측요청서 및 공인 시험성적서</t>
        </is>
      </c>
      <c r="M14" s="93"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94">
        <f>HYPERLINK(LEFT(CELL("filename",A1),FIND("[",CELL("filename",A1))-1)&amp;"10.기계분야\13_저수조 사수방지 흡입배관\표준서\13_저수조 사수방지 흡입배관_표준서.html", "👉 [클릭] 표준서 열기 📄")</f>
        <v/>
      </c>
      <c r="O14" s="93" t="inlineStr">
        <is>
          <t>1) STEP 1: 저수조 용량 및 소화수 유효수위 계산: 위생수량과 법정 소화수량(옥내소화전/스프링클러) 분리
2) STEP 2: STS 패널형 저수조 조립 및 칸막이 가설: 용접부 비파괴검사 및 내식 보강</t>
        </is>
      </c>
      <c r="P14" s="95">
        <f>HYPERLINK(LEFT(CELL("filename",A1),FIND("[",CELL("filename",A1))-1)&amp;"10.기계분야\13_저수조 사수방지 흡입배관\수행지침\13_저수조 사수방지 흡입배관_수행지침.html", "👉 [클릭] 수행지침 열기 📄")</f>
        <v/>
      </c>
      <c r="Q14" s="93" t="inlineStr">
        <is>
          <t>1) 흡입배관 레벨 시방 및 급수펌프 흡입관 최저점을 소화수 유효높이 상단에 배치 기준을 100% 충족하였는가?
2) 사수방지 칸막이 검측 및 불합격 요소를 전면 차단하였는가?</t>
        </is>
      </c>
      <c r="R14" s="96">
        <f>HYPERLINK(LEFT(CELL("filename",A1),FIND("[",CELL("filename",A1))-1)&amp;"10.기계분야\13_저수조 사수방지 흡입배관\체크리스트\13_저수조 사수방지 흡입배관_체크리스트.html", "👉 [클릭] 체크리스트 열기 📄")</f>
        <v/>
      </c>
      <c r="S14" s="89" t="inlineStr">
        <is>
          <t>기계·소방 복합 시방 준수</t>
        </is>
      </c>
      <c r="T14" s="93" t="inlineStr">
        <is>
          <t>● KDS 47 철도설계기준, KCS 41 건축기계시방 및 NFTC/NFPC 화재안전기술기준 100% 준수</t>
        </is>
      </c>
      <c r="U14" s="87" t="inlineStr">
        <is>
          <t>1) 👉 [더블클릭] 체크리스트 열기 📄</t>
        </is>
      </c>
      <c r="V14" s="93" t="inlineStr">
        <is>
          <t>기계설비·소방 전문 감리 및 시공 기술자문단 상시 운영</t>
        </is>
      </c>
    </row>
    <row r="15" ht="36" customHeight="1">
      <c r="A15" s="97" t="inlineStr">
        <is>
          <t>9000</t>
        </is>
      </c>
      <c r="B15" s="97" t="inlineStr">
        <is>
          <t>9000-8</t>
        </is>
      </c>
      <c r="C15" s="97" t="inlineStr">
        <is>
          <t>기계설비·소방설비</t>
        </is>
      </c>
      <c r="D15" s="98" t="inlineStr">
        <is>
          <t>9000-8-14</t>
        </is>
      </c>
      <c r="E15" s="101" t="inlineStr">
        <is>
          <t>9000-8-13</t>
        </is>
      </c>
      <c r="F15" s="99" t="inlineStr">
        <is>
          <t>9000-8-15</t>
        </is>
      </c>
      <c r="G15" s="100" t="inlineStr">
        <is>
          <t>지열 신재생에너지 배관 매설</t>
        </is>
      </c>
      <c r="H15" s="99" t="inlineStr">
        <is>
          <t>D-78</t>
        </is>
      </c>
      <c r="I15" s="101" t="inlineStr">
        <is>
          <t>기계/소방팀</t>
        </is>
      </c>
      <c r="J15" s="102" t="inlineStr">
        <is>
          <t>신에너지 및 재생에너지 개발·이용·보급 촉진법 및 친환경 녹색건축물 인증 기준에 따라 차량기지 및 정거장에 지중 열교환용 고밀도 폴리에틸렌관(HDPE, KSM 3408)을 지하 150~200m 깊이로 천공 매설하고, 전기융착(EF) 접합 및 1.0MPa 수압시험, 친환경 벤토나이트 그라우팅을 완벽 시공한다.</t>
        </is>
      </c>
      <c r="K15" s="102" t="inlineStr">
        <is>
          <t>KCS 41 시방 기준 및 STEP 1: 지열 천공 지점 측량 및 천공기 가설, STEP 2: U-Tube PE 열교환관 조립 및 1차 수압시험 절차서 준수 시공</t>
        </is>
      </c>
      <c r="L15" s="102" t="inlineStr">
        <is>
          <t>지열 신재생에너지 배관 매설 시공계획서, 검측요청서 및 공인 시험성적서</t>
        </is>
      </c>
      <c r="M15" s="102"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103">
        <f>HYPERLINK(LEFT(CELL("filename",A1),FIND("[",CELL("filename",A1))-1)&amp;"10.기계분야\14_지열 신재생에너지 배관 매설\표준서\14_지열 신재생에너지 배관 매설_표준서.html", "👉 [클릭] 표준서 열기 📄")</f>
        <v/>
      </c>
      <c r="O15" s="102" t="inlineStr">
        <is>
          <t>1) STEP 1: 지열 천공 지점 측량 및 천공기 가설: 지하 지장물 이격거리 확보 및 지중 천공
2) STEP 2: U-Tube PE 열교환관 조립 및 1차 수압시험: U-Bend 헤드 융착 및 지상 수압 검측</t>
        </is>
      </c>
      <c r="P15" s="104">
        <f>HYPERLINK(LEFT(CELL("filename",A1),FIND("[",CELL("filename",A1))-1)&amp;"10.기계분야\14_지열 신재생에너지 배관 매설\수행지침\14_지열 신재생에너지 배관 매설_수행지침.html", "👉 [클릭] 수행지침 열기 📄")</f>
        <v/>
      </c>
      <c r="Q15" s="102" t="inlineStr">
        <is>
          <t>1) 지열 천공 심도 시방 및 지중 150~200m 수직 천공 및 공벽 붕괴 방지 기준을 100% 충족하였는가?
2) PE관 재질 검측 및 불합격 요소를 전면 차단하였는가?</t>
        </is>
      </c>
      <c r="R15" s="105">
        <f>HYPERLINK(LEFT(CELL("filename",A1),FIND("[",CELL("filename",A1))-1)&amp;"10.기계분야\14_지열 신재생에너지 배관 매설\체크리스트\14_지열 신재생에너지 배관 매설_체크리스트.html", "👉 [클릭] 체크리스트 열기 📄")</f>
        <v/>
      </c>
      <c r="S15" s="101" t="inlineStr">
        <is>
          <t>기계·소방 복합 시방 준수</t>
        </is>
      </c>
      <c r="T15" s="102" t="inlineStr">
        <is>
          <t>● KDS 47 철도설계기준, KCS 41 건축기계시방 및 NFTC/NFPC 화재안전기술기준 100% 준수</t>
        </is>
      </c>
      <c r="U15" s="97" t="inlineStr">
        <is>
          <t>1) 👉 [더블클릭] 체크리스트 열기 📄</t>
        </is>
      </c>
      <c r="V15" s="102" t="inlineStr">
        <is>
          <t>기계설비·소방 전문 감리 및 시공 기술자문단 상시 운영</t>
        </is>
      </c>
    </row>
    <row r="16" ht="36" customHeight="1">
      <c r="A16" s="87" t="inlineStr">
        <is>
          <t>9000</t>
        </is>
      </c>
      <c r="B16" s="87" t="inlineStr">
        <is>
          <t>9000-8</t>
        </is>
      </c>
      <c r="C16" s="87" t="inlineStr">
        <is>
          <t>기계설비·소방설비</t>
        </is>
      </c>
      <c r="D16" s="88" t="inlineStr">
        <is>
          <t>9000-8-15</t>
        </is>
      </c>
      <c r="E16" s="89" t="inlineStr">
        <is>
          <t>9000-8-14</t>
        </is>
      </c>
      <c r="F16" s="90" t="inlineStr">
        <is>
          <t>9000-8-16</t>
        </is>
      </c>
      <c r="G16" s="91" t="inlineStr">
        <is>
          <t>정거장_변전소 환기덕트 시공</t>
        </is>
      </c>
      <c r="H16" s="90" t="inlineStr">
        <is>
          <t>D-75</t>
        </is>
      </c>
      <c r="I16" s="89" t="inlineStr">
        <is>
          <t>기계/소방팀</t>
        </is>
      </c>
      <c r="J16" s="92" t="inlineStr">
        <is>
          <t>지하 정거장 대합실/승강장 및 변전실·전기실의 쾌적한 실내 환경 유지와 전기기기 발열 배출을 위해 KCS 41 시방서에 맞춰 아연도금강판(GI) 공조덕트를 시공하며, 변전실 시간당 10회 환기, 화장실 15~20회 음압 배기 및 동절기 외기 역류 방지용 B.D.D(기류역류방지댐퍼)를 완벽 가설한다.</t>
        </is>
      </c>
      <c r="K16" s="93" t="inlineStr">
        <is>
          <t>KCS 41 시방 기준 및 STEP 1: 덕트 제작 치수 검수 및 아연도금강판 가공, STEP 2: 풍도 댐퍼 및 B.D.D 기류역류방지댐퍼 조립 절차서 준수 시공</t>
        </is>
      </c>
      <c r="L16" s="93" t="inlineStr">
        <is>
          <t>정거장_변전소 환기덕트 시공 시공계획서, 검측요청서 및 공인 시험성적서</t>
        </is>
      </c>
      <c r="M16" s="93"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94">
        <f>HYPERLINK(LEFT(CELL("filename",A1),FIND("[",CELL("filename",A1))-1)&amp;"10.기계분야\15_정거장_변전소 환기덕트 시공\표준서\15_정거장_변전소 환기덕트 시공_표준서.html", "👉 [클릭] 표준서 열기 📄")</f>
        <v/>
      </c>
      <c r="O16" s="93" t="inlineStr">
        <is>
          <t>1) STEP 1: 덕트 제작 치수 검수 및 아연도금강판 가공: 자동 절단/절곡기를 통한 각형 덕트 정밀 제작
2) STEP 2: 풍도 댐퍼 및 B.D.D 기류역류방지댐퍼 조립: 외기 침입 차단 및 풍량 조절 장치 가설</t>
        </is>
      </c>
      <c r="P16" s="95">
        <f>HYPERLINK(LEFT(CELL("filename",A1),FIND("[",CELL("filename",A1))-1)&amp;"10.기계분야\15_정거장_변전소 환기덕트 시공\수행지침\15_정거장_변전소 환기덕트 시공_수행지침.html", "👉 [클릭] 수행지침 열기 📄")</f>
        <v/>
      </c>
      <c r="Q16" s="93" t="inlineStr">
        <is>
          <t>1) 덕트 판두께 시방 및 아연도금강판(KSD 3506) 장변 크기별 규격 두께 준수 기준을 100% 충족하였는가?
2) 기류역류방지댐퍼 검측 및 불합격 요소를 전면 차단하였는가?</t>
        </is>
      </c>
      <c r="R16" s="96">
        <f>HYPERLINK(LEFT(CELL("filename",A1),FIND("[",CELL("filename",A1))-1)&amp;"10.기계분야\15_정거장_변전소 환기덕트 시공\체크리스트\15_정거장_변전소 환기덕트 시공_체크리스트.html", "👉 [클릭] 체크리스트 열기 📄")</f>
        <v/>
      </c>
      <c r="S16" s="89" t="inlineStr">
        <is>
          <t>기계·소방 복합 시방 준수</t>
        </is>
      </c>
      <c r="T16" s="93" t="inlineStr">
        <is>
          <t>● KDS 47 철도설계기준, KCS 41 건축기계시방 및 NFTC/NFPC 화재안전기술기준 100% 준수</t>
        </is>
      </c>
      <c r="U16" s="87" t="inlineStr">
        <is>
          <t>1) 👉 [더블클릭] 체크리스트 열기 📄</t>
        </is>
      </c>
      <c r="V16" s="93" t="inlineStr">
        <is>
          <t>기계설비·소방 전문 감리 및 시공 기술자문단 상시 운영</t>
        </is>
      </c>
    </row>
    <row r="17" ht="36" customHeight="1">
      <c r="A17" s="97" t="inlineStr">
        <is>
          <t>9000</t>
        </is>
      </c>
      <c r="B17" s="97" t="inlineStr">
        <is>
          <t>9000-8</t>
        </is>
      </c>
      <c r="C17" s="97" t="inlineStr">
        <is>
          <t>기계설비·소방설비</t>
        </is>
      </c>
      <c r="D17" s="98" t="inlineStr">
        <is>
          <t>9000-8-16</t>
        </is>
      </c>
      <c r="E17" s="101" t="inlineStr">
        <is>
          <t>9000-8-15</t>
        </is>
      </c>
      <c r="F17" s="99" t="inlineStr">
        <is>
          <t>9000-8-17</t>
        </is>
      </c>
      <c r="G17" s="100" t="inlineStr">
        <is>
          <t>고내열(250℃) 제연팬_풍도</t>
        </is>
      </c>
      <c r="H17" s="99" t="inlineStr">
        <is>
          <t>D-72</t>
        </is>
      </c>
      <c r="I17" s="101" t="inlineStr">
        <is>
          <t>기계/소방팀</t>
        </is>
      </c>
      <c r="J17" s="102" t="inlineStr">
        <is>
          <t>도시철도건설규칙 및 화재안전기준(NFTC 501)에 따라 화재 시 발생하는 고온의 유독가스를 신속히 배출하기 위해, 250℃ 고온에서 1시간 이상 연속 운전이 가능한 공인 시험기관 인증 제연팬(Axial Fan), 내화 풍도, 1.5mm 아연도 강판 덕트 및 불연 내열 캔버스를 완벽 시공한다.</t>
        </is>
      </c>
      <c r="K17" s="102" t="inlineStr">
        <is>
          <t>KCS 41 시방 기준 및 STEP 1: 250℃ 고내열 제연팬 사양 검토 및 반입 검수, STEP 2: 1.5mm 이상 고강도 제연 풍도 및 내진 지지대 시공 절차서 준수 시공</t>
        </is>
      </c>
      <c r="L17" s="102" t="inlineStr">
        <is>
          <t>고내열(250℃) 제연팬_풍도 시공계획서, 검측요청서 및 공인 시험성적서</t>
        </is>
      </c>
      <c r="M17" s="102"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103">
        <f>HYPERLINK(LEFT(CELL("filename",A1),FIND("[",CELL("filename",A1))-1)&amp;"10.기계분야\16_고내열(250℃) 제연팬_풍도\표준서\16_고내열(250℃) 제연팬_풍도_표준서.html", "👉 [클릭] 표준서 열기 📄")</f>
        <v/>
      </c>
      <c r="O17" s="102" t="inlineStr">
        <is>
          <t>1) STEP 1: 250℃ 고내열 제연팬 사양 검토 및 반입 검수: 내열 모터, KFI 내열 인증서, 블레이드 점검
2) STEP 2: 1.5mm 이상 고강도 제연 풍도 및 내진 지지대 시공: 두꺼운 강판 용접 및 불연 가스켓 체결</t>
        </is>
      </c>
      <c r="P17" s="104">
        <f>HYPERLINK(LEFT(CELL("filename",A1),FIND("[",CELL("filename",A1))-1)&amp;"10.기계분야\16_고내열(250℃) 제연팬_풍도\수행지침\16_고내열(250℃) 제연팬_풍도_수행지침.html", "👉 [클릭] 수행지침 열기 📄")</f>
        <v/>
      </c>
      <c r="Q17" s="102" t="inlineStr">
        <is>
          <t>1) 제연팬 공인인증 시방 및 한국소방산업기술원(KFI) 250℃/1h 내열 성적서 기준을 100% 충족하였는가?
2) 풍도 강판 두께 검측 및 불합격 요소를 전면 차단하였는가?</t>
        </is>
      </c>
      <c r="R17" s="105">
        <f>HYPERLINK(LEFT(CELL("filename",A1),FIND("[",CELL("filename",A1))-1)&amp;"10.기계분야\16_고내열(250℃) 제연팬_풍도\체크리스트\16_고내열(250℃) 제연팬_풍도_체크리스트.html", "👉 [클릭] 체크리스트 열기 📄")</f>
        <v/>
      </c>
      <c r="S17" s="101" t="inlineStr">
        <is>
          <t>기계·소방 복합 시방 준수</t>
        </is>
      </c>
      <c r="T17" s="102" t="inlineStr">
        <is>
          <t>● KDS 47 철도설계기준, KCS 41 건축기계시방 및 NFTC/NFPC 화재안전기술기준 100% 준수</t>
        </is>
      </c>
      <c r="U17" s="97" t="inlineStr">
        <is>
          <t>1) 👉 [더블클릭] 체크리스트 열기 📄</t>
        </is>
      </c>
      <c r="V17" s="102" t="inlineStr">
        <is>
          <t>기계설비·소방 전문 감리 및 시공 기술자문단 상시 운영</t>
        </is>
      </c>
    </row>
    <row r="18" ht="36" customHeight="1">
      <c r="A18" s="87" t="inlineStr">
        <is>
          <t>9000</t>
        </is>
      </c>
      <c r="B18" s="87" t="inlineStr">
        <is>
          <t>9000-8</t>
        </is>
      </c>
      <c r="C18" s="87" t="inlineStr">
        <is>
          <t>기계설비·소방설비</t>
        </is>
      </c>
      <c r="D18" s="88" t="inlineStr">
        <is>
          <t>9000-8-17</t>
        </is>
      </c>
      <c r="E18" s="89" t="inlineStr">
        <is>
          <t>9000-8-16</t>
        </is>
      </c>
      <c r="F18" s="90" t="inlineStr">
        <is>
          <t>9000-8-18</t>
        </is>
      </c>
      <c r="G18" s="91" t="inlineStr">
        <is>
          <t>검수고 국부 냉난방 가설</t>
        </is>
      </c>
      <c r="H18" s="90" t="inlineStr">
        <is>
          <t>D-69</t>
        </is>
      </c>
      <c r="I18" s="89" t="inlineStr">
        <is>
          <t>기계/소방팀</t>
        </is>
      </c>
      <c r="J18" s="92" t="inlineStr">
        <is>
          <t>차량기지 종합검수고동 등 층고가 높고 체적이 거대한 대공간을 전면 냉난방하는 에너지 비효율성을 방지하기 위하여, 정비원이 실제 작업하는 핏트(Pit) 및 차체 검수 구역에 이동식 에어컨과 원적외선 전기히터를 국부 배치하고, 변전소 전기실에는 패키지 에어컨(PAC)을 정밀 가설한다.</t>
        </is>
      </c>
      <c r="K18" s="93" t="inlineStr">
        <is>
          <t>KCS 41 시방 기준 및 STEP 1: 대공간 국부 작업 구역 부하 분석 및 장비 선정, STEP 2: 변전실 패키지 에어컨(PAC) 3대 정합성 가설 절차서 준수 시공</t>
        </is>
      </c>
      <c r="L18" s="93" t="inlineStr">
        <is>
          <t>검수고 국부 냉난방 가설 시공계획서, 검측요청서 및 공인 시험성적서</t>
        </is>
      </c>
      <c r="M18" s="93"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94">
        <f>HYPERLINK(LEFT(CELL("filename",A1),FIND("[",CELL("filename",A1))-1)&amp;"10.기계분야\17_검수고 국부 냉난방 가설\표준서\17_검수고 국부 냉난방 가설_표준서.html", "👉 [클릭] 표준서 열기 📄")</f>
        <v/>
      </c>
      <c r="O18" s="93" t="inlineStr">
        <is>
          <t>1) STEP 1: 대공간 국부 작업 구역 부하 분석 및 장비 선정: 정비원 상주 위치 및 작업 패턴 맞춤 설계
2) STEP 2: 변전실 패키지 에어컨(PAC) 3대 정합성 가설: 내역서/도면 수량 일치 및 실내외기 배관</t>
        </is>
      </c>
      <c r="P18" s="95">
        <f>HYPERLINK(LEFT(CELL("filename",A1),FIND("[",CELL("filename",A1))-1)&amp;"10.기계분야\17_검수고 국부 냉난방 가설\수행지침\17_검수고 국부 냉난방 가설_수행지침.html", "👉 [클릭] 수행지침 열기 📄")</f>
        <v/>
      </c>
      <c r="Q18" s="93" t="inlineStr">
        <is>
          <t>1) 국부 장비 배치 시방 및 종합검수고 하부 피트 및 측면 작업대 전용 배치 기준을 100% 충족하였는가?
2) 이동식 에어컨 검측 및 불합격 요소를 전면 차단하였는가?</t>
        </is>
      </c>
      <c r="R18" s="96">
        <f>HYPERLINK(LEFT(CELL("filename",A1),FIND("[",CELL("filename",A1))-1)&amp;"10.기계분야\17_검수고 국부 냉난방 가설\체크리스트\17_검수고 국부 냉난방 가설_체크리스트.html", "👉 [클릭] 체크리스트 열기 📄")</f>
        <v/>
      </c>
      <c r="S18" s="89" t="inlineStr">
        <is>
          <t>기계·소방 복합 시방 준수</t>
        </is>
      </c>
      <c r="T18" s="93" t="inlineStr">
        <is>
          <t>● KDS 47 철도설계기준, KCS 41 건축기계시방 및 NFTC/NFPC 화재안전기술기준 100% 준수</t>
        </is>
      </c>
      <c r="U18" s="87" t="inlineStr">
        <is>
          <t>1) 👉 [더블클릭] 체크리스트 열기 📄</t>
        </is>
      </c>
      <c r="V18" s="93" t="inlineStr">
        <is>
          <t>기계설비·소방 전문 감리 및 시공 기술자문단 상시 운영</t>
        </is>
      </c>
    </row>
    <row r="19" ht="36" customHeight="1">
      <c r="A19" s="97" t="inlineStr">
        <is>
          <t>9000</t>
        </is>
      </c>
      <c r="B19" s="97" t="inlineStr">
        <is>
          <t>9000-8</t>
        </is>
      </c>
      <c r="C19" s="97" t="inlineStr">
        <is>
          <t>기계설비·소방설비</t>
        </is>
      </c>
      <c r="D19" s="98" t="inlineStr">
        <is>
          <t>9000-8-18</t>
        </is>
      </c>
      <c r="E19" s="101" t="inlineStr">
        <is>
          <t>9000-8-17</t>
        </is>
      </c>
      <c r="F19" s="99" t="inlineStr">
        <is>
          <t>9000-8-19</t>
        </is>
      </c>
      <c r="G19" s="100" t="inlineStr">
        <is>
          <t>냉온수_냉각수 배관 용접</t>
        </is>
      </c>
      <c r="H19" s="99" t="inlineStr">
        <is>
          <t>D-66</t>
        </is>
      </c>
      <c r="I19" s="101" t="inlineStr">
        <is>
          <t>기계/소방팀</t>
        </is>
      </c>
      <c r="J19" s="102" t="inlineStr">
        <is>
          <t>중앙 기계실 냉동기, 열교환기, 펌프와 공조기를 연결하는 냉온수 및 냉각수 주배관에 대해 KCS 41 시방 기준에 따라 숙련된 유자격 용접사가 맞대기 아크용접 및 TIG 용접을 수행하고, 용접부 비파괴검사(RT ≥ 10%), 설계압력 1.5배 수압시험, 방청 도장 및 보온 단열재를 완벽 시공한다.</t>
        </is>
      </c>
      <c r="K19" s="102" t="inlineStr">
        <is>
          <t>KCS 41 시방 기준 및 STEP 1: 배관 절단 및 개선(Beveling) 가공, STEP 2: 가접 및 다층 맞대기 용접(WPS 준수) 절차서 준수 시공</t>
        </is>
      </c>
      <c r="L19" s="102" t="inlineStr">
        <is>
          <t>냉온수_냉각수 배관 용접 시공계획서, 검측요청서 및 공인 시험성적서</t>
        </is>
      </c>
      <c r="M19" s="102"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103">
        <f>HYPERLINK(LEFT(CELL("filename",A1),FIND("[",CELL("filename",A1))-1)&amp;"10.기계분야\18_냉온수_냉각수 배관 용접\표준서\18_냉온수_냉각수 배관 용접_표준서.html", "👉 [클릭] 표준서 열기 📄")</f>
        <v/>
      </c>
      <c r="O19" s="102" t="inlineStr">
        <is>
          <t>1) STEP 1: 배관 절단 및 개선(Beveling) 가공: 자동 파이프 절단기 및 그라인더 개선각(30~35°) 가공
2) STEP 2: 가접 및 다층 맞대기 용접(WPS 준수): 루트 패스 TIG 용접 + 캡 패스 아크용접</t>
        </is>
      </c>
      <c r="P19" s="104">
        <f>HYPERLINK(LEFT(CELL("filename",A1),FIND("[",CELL("filename",A1))-1)&amp;"10.기계분야\18_냉온수_냉각수 배관 용접\수행지침\18_냉온수_냉각수 배관 용접_수행지침.html", "👉 [클릭] 수행지침 열기 📄")</f>
        <v/>
      </c>
      <c r="Q19" s="102" t="inlineStr">
        <is>
          <t>1) 용접사 자격 검증 시방 및 국가기술자격(용접기능사 이상) 및 기량 시험 합격 기준을 100% 충족하였는가?
2) 용접부 비파괴(NDT) 검측 및 불합격 요소를 전면 차단하였는가?</t>
        </is>
      </c>
      <c r="R19" s="105">
        <f>HYPERLINK(LEFT(CELL("filename",A1),FIND("[",CELL("filename",A1))-1)&amp;"10.기계분야\18_냉온수_냉각수 배관 용접\체크리스트\18_냉온수_냉각수 배관 용접_체크리스트.html", "👉 [클릭] 체크리스트 열기 📄")</f>
        <v/>
      </c>
      <c r="S19" s="101" t="inlineStr">
        <is>
          <t>기계·소방 복합 시방 준수</t>
        </is>
      </c>
      <c r="T19" s="102" t="inlineStr">
        <is>
          <t>● KDS 47 철도설계기준, KCS 41 건축기계시방 및 NFTC/NFPC 화재안전기술기준 100% 준수</t>
        </is>
      </c>
      <c r="U19" s="97" t="inlineStr">
        <is>
          <t>1) 👉 [더블클릭] 체크리스트 열기 📄</t>
        </is>
      </c>
      <c r="V19" s="102" t="inlineStr">
        <is>
          <t>기계설비·소방 전문 감리 및 시공 기술자문단 상시 운영</t>
        </is>
      </c>
    </row>
    <row r="20" ht="36" customHeight="1">
      <c r="A20" s="87" t="inlineStr">
        <is>
          <t>9000</t>
        </is>
      </c>
      <c r="B20" s="87" t="inlineStr">
        <is>
          <t>9000-8</t>
        </is>
      </c>
      <c r="C20" s="87" t="inlineStr">
        <is>
          <t>기계설비·소방설비</t>
        </is>
      </c>
      <c r="D20" s="88" t="inlineStr">
        <is>
          <t>9000-8-19</t>
        </is>
      </c>
      <c r="E20" s="89" t="inlineStr">
        <is>
          <t>9000-8-18</t>
        </is>
      </c>
      <c r="F20" s="90" t="inlineStr">
        <is>
          <t>9000-8-20</t>
        </is>
      </c>
      <c r="G20" s="91" t="inlineStr">
        <is>
          <t>능동지하차도 전용터널 제연</t>
        </is>
      </c>
      <c r="H20" s="90" t="inlineStr">
        <is>
          <t>D-63</t>
        </is>
      </c>
      <c r="I20" s="89" t="inlineStr">
        <is>
          <t>기계/소방팀</t>
        </is>
      </c>
      <c r="J20" s="92" t="inlineStr">
        <is>
          <t>도시철도건설규칙 제67조에 따라 능동지하차도 트램 전용터널 통과 구간에 화재 발생 시 승객의 안전 피난 방향으로 연기 유동을 제어(임계풍속 ≥ 2.5m/s 확보)하는 제연설비, 건식 연결송수관 및 CFD 컴퓨터 화재 수치해석 시뮬레이션을 완벽 시공·검증한다.</t>
        </is>
      </c>
      <c r="K20" s="93" t="inlineStr">
        <is>
          <t>KCS 41 시방 기준 및 STEP 1: 3D CFD 화재 및 피난 시뮬레이션 모델링, STEP 2: 터널 천장 제연팬(Jet Fan) 앵커링 및 내진 시공 절차서 준수 시공</t>
        </is>
      </c>
      <c r="L20" s="93" t="inlineStr">
        <is>
          <t>능동지하차도 전용터널 제연 시공계획서, 검측요청서 및 공인 시험성적서</t>
        </is>
      </c>
      <c r="M20" s="93"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94">
        <f>HYPERLINK(LEFT(CELL("filename",A1),FIND("[",CELL("filename",A1))-1)&amp;"10.기계분야\19_능동지하차도 전용터널 제연\표준서\19_능동지하차도 전용터널 제연_표준서.html", "👉 [클릭] 표준서 열기 📄")</f>
        <v/>
      </c>
      <c r="O20" s="93" t="inlineStr">
        <is>
          <t>1) STEP 1: 3D CFD 화재 및 피난 시뮬레이션 모델링: 화재 열방출률(HRR), 연기 확산 및 가시거리 해석
2) STEP 2: 터널 천장 제연팬(Jet Fan) 앵커링 및 내진 시공: 콘크리트 케미컬 앵커 및 방진 스프링</t>
        </is>
      </c>
      <c r="P20" s="95">
        <f>HYPERLINK(LEFT(CELL("filename",A1),FIND("[",CELL("filename",A1))-1)&amp;"10.기계분야\19_능동지하차도 전용터널 제연\수행지침\19_능동지하차도 전용터널 제연_수행지침.html", "👉 [클릭] 수행지침 열기 📄")</f>
        <v/>
      </c>
      <c r="Q20" s="93" t="inlineStr">
        <is>
          <t>1) CFD 화재 시뮬레이션 시방 및 화재 강도(5~10MW) 및 승객 피난 시뮬레이션 기준을 100% 충족하였는가?
2) 터널 제연팬(Jet Fan) 검측 및 불합격 요소를 전면 차단하였는가?</t>
        </is>
      </c>
      <c r="R20" s="96">
        <f>HYPERLINK(LEFT(CELL("filename",A1),FIND("[",CELL("filename",A1))-1)&amp;"10.기계분야\19_능동지하차도 전용터널 제연\체크리스트\19_능동지하차도 전용터널 제연_체크리스트.html", "👉 [클릭] 체크리스트 열기 📄")</f>
        <v/>
      </c>
      <c r="S20" s="89" t="inlineStr">
        <is>
          <t>기계·소방 복합 시방 준수</t>
        </is>
      </c>
      <c r="T20" s="93" t="inlineStr">
        <is>
          <t>● KDS 47 철도설계기준, KCS 41 건축기계시방 및 NFTC/NFPC 화재안전기술기준 100% 준수</t>
        </is>
      </c>
      <c r="U20" s="87" t="inlineStr">
        <is>
          <t>1) 👉 [더블클릭] 체크리스트 열기 📄</t>
        </is>
      </c>
      <c r="V20" s="93" t="inlineStr">
        <is>
          <t>기계설비·소방 전문 감리 및 시공 기술자문단 상시 운영</t>
        </is>
      </c>
    </row>
    <row r="21" ht="36" customHeight="1">
      <c r="A21" s="97" t="inlineStr">
        <is>
          <t>9000</t>
        </is>
      </c>
      <c r="B21" s="97" t="inlineStr">
        <is>
          <t>9000-8</t>
        </is>
      </c>
      <c r="C21" s="97" t="inlineStr">
        <is>
          <t>기계설비·소방설비</t>
        </is>
      </c>
      <c r="D21" s="98" t="inlineStr">
        <is>
          <t>9000-8-20</t>
        </is>
      </c>
      <c r="E21" s="101" t="inlineStr">
        <is>
          <t>9000-8-19</t>
        </is>
      </c>
      <c r="F21" s="99" t="inlineStr">
        <is>
          <t>9000-8-21</t>
        </is>
      </c>
      <c r="G21" s="100" t="inlineStr">
        <is>
          <t>공기조화기(AHU_PAC) 거치</t>
        </is>
      </c>
      <c r="H21" s="99" t="inlineStr">
        <is>
          <t>D-60</t>
        </is>
      </c>
      <c r="I21" s="101" t="inlineStr">
        <is>
          <t>기계/소방팀</t>
        </is>
      </c>
      <c r="J21" s="102" t="inlineStr">
        <is>
          <t>지하 정거장 공조기계실 및 전기실에 대형 공기조화기(AHU)와 항온항습기(PAC)를 반입하여 기초 콘크리트 패드 위에 거치하고, 기계 가동 진동이 건축 구조물로 전파되는 것을 차단하는 방진스프링 마운트(정적변위 25~50mm), 드레인 트랩 및 수평도(±1mm)를 완벽 시공한다.</t>
        </is>
      </c>
      <c r="K21" s="102" t="inlineStr">
        <is>
          <t>KCS 41 시방 기준 및 STEP 1: 기초 콘크리트 패드 검측 및 기준선 마킹, STEP 2: AHU 분할 반입 및 블록 조립 결속 절차서 준수 시공</t>
        </is>
      </c>
      <c r="L21" s="102" t="inlineStr">
        <is>
          <t>공기조화기(AHU_PAC) 거치 시공계획서, 검측요청서 및 공인 시험성적서</t>
        </is>
      </c>
      <c r="M21" s="102"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103">
        <f>HYPERLINK(LEFT(CELL("filename",A1),FIND("[",CELL("filename",A1))-1)&amp;"10.기계분야\20_공기조화기(AHU_PAC) 거치\표준서\20_공기조화기(AHU_PAC) 거치_표준서.html", "👉 [클릭] 표준서 열기 📄")</f>
        <v/>
      </c>
      <c r="O21" s="102" t="inlineStr">
        <is>
          <t>1) STEP 1: 기초 콘크리트 패드 검측 및 기준선 마킹: 기계실 바닥 패드 높이, 수평도, 앵커 위치 실측
2) STEP 2: AHU 분할 반입 및 블록 조립 결속: 송풍기부, 코일부, 필터부 정밀 밀착 체결</t>
        </is>
      </c>
      <c r="P21" s="104">
        <f>HYPERLINK(LEFT(CELL("filename",A1),FIND("[",CELL("filename",A1))-1)&amp;"10.기계분야\20_공기조화기(AHU_PAC) 거치\수행지침\20_공기조화기(AHU_PAC) 거치_수행지침.html", "👉 [클릭] 수행지침 열기 📄")</f>
        <v/>
      </c>
      <c r="Q21" s="102" t="inlineStr">
        <is>
          <t>1) 기초 패드 검측 시방 및 콘크리트 패드 강도(≥24MPa), 수평도 및 배근 기준을 100% 충족하였는가?
2) 방진 마운트 검측 및 불합격 요소를 전면 차단하였는가?</t>
        </is>
      </c>
      <c r="R21" s="105">
        <f>HYPERLINK(LEFT(CELL("filename",A1),FIND("[",CELL("filename",A1))-1)&amp;"10.기계분야\20_공기조화기(AHU_PAC) 거치\체크리스트\20_공기조화기(AHU_PAC) 거치_체크리스트.html", "👉 [클릭] 체크리스트 열기 📄")</f>
        <v/>
      </c>
      <c r="S21" s="101" t="inlineStr">
        <is>
          <t>기계·소방 복합 시방 준수</t>
        </is>
      </c>
      <c r="T21" s="102" t="inlineStr">
        <is>
          <t>● KDS 47 철도설계기준, KCS 41 건축기계시방 및 NFTC/NFPC 화재안전기술기준 100% 준수</t>
        </is>
      </c>
      <c r="U21" s="97" t="inlineStr">
        <is>
          <t>1) 👉 [더블클릭] 체크리스트 열기 📄</t>
        </is>
      </c>
      <c r="V21" s="102" t="inlineStr">
        <is>
          <t>기계설비·소방 전문 감리 및 시공 기술자문단 상시 운영</t>
        </is>
      </c>
    </row>
    <row r="22" ht="36" customHeight="1">
      <c r="A22" s="87" t="inlineStr">
        <is>
          <t>9000</t>
        </is>
      </c>
      <c r="B22" s="87" t="inlineStr">
        <is>
          <t>9000-8</t>
        </is>
      </c>
      <c r="C22" s="87" t="inlineStr">
        <is>
          <t>기계설비·소방설비</t>
        </is>
      </c>
      <c r="D22" s="88" t="inlineStr">
        <is>
          <t>9000-8-21</t>
        </is>
      </c>
      <c r="E22" s="89" t="inlineStr">
        <is>
          <t>9000-8-20</t>
        </is>
      </c>
      <c r="F22" s="90" t="inlineStr">
        <is>
          <t>9000-8-22</t>
        </is>
      </c>
      <c r="G22" s="91" t="inlineStr">
        <is>
          <t>급수_급탕 STS 배관 시공</t>
        </is>
      </c>
      <c r="H22" s="90" t="inlineStr">
        <is>
          <t>D+5</t>
        </is>
      </c>
      <c r="I22" s="89" t="inlineStr">
        <is>
          <t>기계/소방팀</t>
        </is>
      </c>
      <c r="J22" s="92" t="inlineStr">
        <is>
          <t>정거장 및 차량기지 관리동의 위생적인 음용수 및 급탕 공급을 위하여 KSD 3595(일반배관용 스테인리스 강관) 및 KSD 3576(배관용 스테인리스 강관)을 적용하고, 전용 전동 압착공구를 사용한 무용접 프레스 조인트 시공, 1.0MPa 수압시험, 배관 내부 염소 소독 세척을 완벽 수행한다.</t>
        </is>
      </c>
      <c r="K22" s="93" t="inlineStr">
        <is>
          <t>KCS 41 시방 기준 및 STEP 1: STS 파이프 정밀 절단 및 단부 버(Burr) 제거, STEP 2: 피팅 삽입 깊이 마킹 및 전동 압착 체결 절차서 준수 시공</t>
        </is>
      </c>
      <c r="L22" s="93" t="inlineStr">
        <is>
          <t>급수_급탕 STS 배관 시공 시공계획서, 검측요청서 및 공인 시험성적서</t>
        </is>
      </c>
      <c r="M22" s="93"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94">
        <f>HYPERLINK(LEFT(CELL("filename",A1),FIND("[",CELL("filename",A1))-1)&amp;"10.기계분야\21_급수_급탕 STS 배관 시공\표준서\21_급수_급탕 STS 배관 시공_표준서.html", "👉 [클릭] 표준서 열기 📄")</f>
        <v/>
      </c>
      <c r="O22" s="93" t="inlineStr">
        <is>
          <t>1) STEP 1: STS 파이프 정밀 절단 및 단부 버(Burr) 제거: 전용 롤러 커터 절단 및 리머 내·외부 모따기
2) STEP 2: 피팅 삽입 깊이 마킹 및 전동 압착 체결: 삽입선 마킹 확인 및 전용 조(Jaw) 압착</t>
        </is>
      </c>
      <c r="P22" s="95">
        <f>HYPERLINK(LEFT(CELL("filename",A1),FIND("[",CELL("filename",A1))-1)&amp;"10.기계분야\21_급수_급탕 STS 배관 시공\수행지침\21_급수_급탕 STS 배관 시공_수행지침.html", "👉 [클릭] 수행지침 열기 📄")</f>
        <v/>
      </c>
      <c r="Q22" s="93" t="inlineStr">
        <is>
          <t>1) STS 파이프 규격 시방 및 KSD 3595 SU 파이프 및 KSD 3576 Sch 10S/20S 기준을 100% 충족하였는가?
2) 무용접 프레스 압착 검측 및 불합격 요소를 전면 차단하였는가?</t>
        </is>
      </c>
      <c r="R22" s="96">
        <f>HYPERLINK(LEFT(CELL("filename",A1),FIND("[",CELL("filename",A1))-1)&amp;"10.기계분야\21_급수_급탕 STS 배관 시공\체크리스트\21_급수_급탕 STS 배관 시공_체크리스트.html", "👉 [클릭] 체크리스트 열기 📄")</f>
        <v/>
      </c>
      <c r="S22" s="89" t="inlineStr">
        <is>
          <t>기계·소방 복합 시방 준수</t>
        </is>
      </c>
      <c r="T22" s="93" t="inlineStr">
        <is>
          <t>● KDS 47 철도설계기준, KCS 41 건축기계시방 및 NFTC/NFPC 화재안전기술기준 100% 준수</t>
        </is>
      </c>
      <c r="U22" s="87" t="inlineStr">
        <is>
          <t>1) 👉 [더블클릭] 체크리스트 열기 📄</t>
        </is>
      </c>
      <c r="V22" s="93" t="inlineStr">
        <is>
          <t>기계설비·소방 전문 감리 및 시공 기술자문단 상시 운영</t>
        </is>
      </c>
    </row>
    <row r="23" ht="36" customHeight="1">
      <c r="A23" s="97" t="inlineStr">
        <is>
          <t>9000</t>
        </is>
      </c>
      <c r="B23" s="97" t="inlineStr">
        <is>
          <t>9000-8</t>
        </is>
      </c>
      <c r="C23" s="97" t="inlineStr">
        <is>
          <t>기계설비·소방설비</t>
        </is>
      </c>
      <c r="D23" s="98" t="inlineStr">
        <is>
          <t>9000-8-22</t>
        </is>
      </c>
      <c r="E23" s="101" t="inlineStr">
        <is>
          <t>9000-8-21</t>
        </is>
      </c>
      <c r="F23" s="99" t="inlineStr">
        <is>
          <t>9000-8-23</t>
        </is>
      </c>
      <c r="G23" s="100" t="inlineStr">
        <is>
          <t>오배수관 및 집수조 배수펌프</t>
        </is>
      </c>
      <c r="H23" s="99" t="inlineStr">
        <is>
          <t>D+10</t>
        </is>
      </c>
      <c r="I23" s="101" t="inlineStr">
        <is>
          <t>기계/소방팀</t>
        </is>
      </c>
      <c r="J23" s="102" t="inlineStr">
        <is>
          <t>정거장 화장실 오수, 바닥 잡배수 및 지하 침출수를 신속하고 안전하게 배출하기 위해, 오배수 배관의 자연유하 구배(1/50~1/100)를 확보하고, 지하 최하층 집수조에 고효율 수중 카터/오수 배수펌프 2대(1대 상용, 1대 예비)와 수위센서 연동 자동 교번 운전 제어반을 완벽 시공한다.</t>
        </is>
      </c>
      <c r="K23" s="102" t="inlineStr">
        <is>
          <t>KCS 41 시방 기준 및 STEP 1: 오배수 배관 라인 먹매김 및 구배 계획, STEP 2: 주철관/PVC관 포설 및 배관 행거 고정 절차서 준수 시공</t>
        </is>
      </c>
      <c r="L23" s="102" t="inlineStr">
        <is>
          <t>오배수관 및 집수조 배수펌프 시공계획서, 검측요청서 및 공인 시험성적서</t>
        </is>
      </c>
      <c r="M23" s="102"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103">
        <f>HYPERLINK(LEFT(CELL("filename",A1),FIND("[",CELL("filename",A1))-1)&amp;"10.기계분야\22_오배수관 및 집수조 배수펌프\표준서\22_오배수관 및 집수조 배수펌프_표준서.html", "👉 [클릭] 표준서 열기 📄")</f>
        <v/>
      </c>
      <c r="O23" s="102" t="inlineStr">
        <is>
          <t>1) STEP 1: 오배수 배관 라인 먹매김 및 구배 계획: 자연유하 구배(1/100) 및 슬리브 높이 대조
2) STEP 2: 주철관/PVC관 포설 및 배관 행거 고정: 무소음 내화 PVC관 및 원터치 클램프 체결</t>
        </is>
      </c>
      <c r="P23" s="104">
        <f>HYPERLINK(LEFT(CELL("filename",A1),FIND("[",CELL("filename",A1))-1)&amp;"10.기계분야\22_오배수관 및 집수조 배수펌프\수행지침\22_오배수관 및 집수조 배수펌프_수행지침.html", "👉 [클릭] 수행지침 열기 📄")</f>
        <v/>
      </c>
      <c r="Q23" s="102" t="inlineStr">
        <is>
          <t>1) 오배수관 구배 시방 및 관경 D75 이하 1/50, D100 이상 1/100 자연유하 기준을 100% 충족하였는가?
2) 통기관(Vent) 시공 검측 및 불합격 요소를 전면 차단하였는가?</t>
        </is>
      </c>
      <c r="R23" s="105">
        <f>HYPERLINK(LEFT(CELL("filename",A1),FIND("[",CELL("filename",A1))-1)&amp;"10.기계분야\22_오배수관 및 집수조 배수펌프\체크리스트\22_오배수관 및 집수조 배수펌프_체크리스트.html", "👉 [클릭] 체크리스트 열기 📄")</f>
        <v/>
      </c>
      <c r="S23" s="101" t="inlineStr">
        <is>
          <t>기계·소방 복합 시방 준수</t>
        </is>
      </c>
      <c r="T23" s="102" t="inlineStr">
        <is>
          <t>● KDS 47 철도설계기준, KCS 41 건축기계시방 및 NFTC/NFPC 화재안전기술기준 100% 준수</t>
        </is>
      </c>
      <c r="U23" s="97" t="inlineStr">
        <is>
          <t>1) 👉 [더블클릭] 체크리스트 열기 📄</t>
        </is>
      </c>
      <c r="V23" s="102" t="inlineStr">
        <is>
          <t>기계설비·소방 전문 감리 및 시공 기술자문단 상시 운영</t>
        </is>
      </c>
    </row>
    <row r="24" ht="36" customHeight="1">
      <c r="A24" s="87" t="inlineStr">
        <is>
          <t>9000</t>
        </is>
      </c>
      <c r="B24" s="87" t="inlineStr">
        <is>
          <t>9000-8</t>
        </is>
      </c>
      <c r="C24" s="87" t="inlineStr">
        <is>
          <t>기계설비·소방설비</t>
        </is>
      </c>
      <c r="D24" s="88" t="inlineStr">
        <is>
          <t>9000-8-23</t>
        </is>
      </c>
      <c r="E24" s="89" t="inlineStr">
        <is>
          <t>9000-8-22</t>
        </is>
      </c>
      <c r="F24" s="90" t="inlineStr">
        <is>
          <t>9000-8-24</t>
        </is>
      </c>
      <c r="G24" s="91" t="inlineStr">
        <is>
          <t>차량기지 오폐수처리장(90㎡)</t>
        </is>
      </c>
      <c r="H24" s="90" t="inlineStr">
        <is>
          <t>D+15</t>
        </is>
      </c>
      <c r="I24" s="89" t="inlineStr">
        <is>
          <t>기계/소방팀</t>
        </is>
      </c>
      <c r="J24" s="92" t="inlineStr">
        <is>
          <t>차량기지 중정비 공장(대차도장, 대차세척, 부품세척 등 23.314 ㎥/일), 경정비 공장(4.054 ㎥/일) 및 청소선에서 발생하는 고농도 유기계·유류 폐수를 법정 환경 기준 이하로 정화 배출하기 위해 기지 외곽에 연면적 90㎡ 규모의 전용 가설 폐수처리장, 유수분리기, 화학응집침전조 및 활성탄 흡착탑을 완벽 시공한다.</t>
        </is>
      </c>
      <c r="K24" s="93" t="inlineStr">
        <is>
          <t>KCS 41 시방 기준 및 STEP 1: 폐수처리장(90㎡) 토목 구조물 및 방수 검측, STEP 2: 유수분리기 및 원수 수집조 설비 설치 절차서 준수 시공</t>
        </is>
      </c>
      <c r="L24" s="93" t="inlineStr">
        <is>
          <t>차량기지 오폐수처리장(90㎡) 시공계획서, 검측요청서 및 공인 시험성적서</t>
        </is>
      </c>
      <c r="M24" s="93"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94">
        <f>HYPERLINK(LEFT(CELL("filename",A1),FIND("[",CELL("filename",A1))-1)&amp;"10.기계분야\23_차량기지 오폐수처리장(90㎡)\표준서\23_차량기지 오폐수처리장(90㎡)_표준서.html", "👉 [클릭] 표준서 열기 📄")</f>
        <v/>
      </c>
      <c r="O24" s="93" t="inlineStr">
        <is>
          <t>1) STEP 1: 폐수처리장(90㎡) 토목 구조물 및 방수 검측: 내화학 콘크리트 및 에폭시 3회 라이닝
2) STEP 2: 유수분리기 및 원수 수집조 설비 설치: 비중차 유수분리 스크린 및 오일 스키머</t>
        </is>
      </c>
      <c r="P24" s="95">
        <f>HYPERLINK(LEFT(CELL("filename",A1),FIND("[",CELL("filename",A1))-1)&amp;"10.기계분야\23_차량기지 오폐수처리장(90㎡)\수행지침\23_차량기지 오폐수처리장(90㎡)_수행지침.html", "👉 [클릭] 수행지침 열기 📄")</f>
        <v/>
      </c>
      <c r="Q24" s="93" t="inlineStr">
        <is>
          <t>1) 폐수 수집 관로 시방 및 내약품성 고밀도 PE관 및 내식성 이중배관 기준을 100% 충족하였는가?
2) 유수분리기(API/CPI) 검측 및 불합격 요소를 전면 차단하였는가?</t>
        </is>
      </c>
      <c r="R24" s="96">
        <f>HYPERLINK(LEFT(CELL("filename",A1),FIND("[",CELL("filename",A1))-1)&amp;"10.기계분야\23_차량기지 오폐수처리장(90㎡)\체크리스트\23_차량기지 오폐수처리장(90㎡)_체크리스트.html", "👉 [클릭] 체크리스트 열기 📄")</f>
        <v/>
      </c>
      <c r="S24" s="89" t="inlineStr">
        <is>
          <t>기계·소방 복합 시방 준수</t>
        </is>
      </c>
      <c r="T24" s="93" t="inlineStr">
        <is>
          <t>● KDS 47 철도설계기준, KCS 41 건축기계시방 및 NFTC/NFPC 화재안전기술기준 100% 준수</t>
        </is>
      </c>
      <c r="U24" s="87" t="inlineStr">
        <is>
          <t>1) 👉 [더블클릭] 체크리스트 열기 📄</t>
        </is>
      </c>
      <c r="V24" s="93" t="inlineStr">
        <is>
          <t>기계설비·소방 전문 감리 및 시공 기술자문단 상시 운영</t>
        </is>
      </c>
    </row>
    <row r="25" ht="36" customHeight="1">
      <c r="A25" s="97" t="inlineStr">
        <is>
          <t>9000</t>
        </is>
      </c>
      <c r="B25" s="97" t="inlineStr">
        <is>
          <t>9000-8</t>
        </is>
      </c>
      <c r="C25" s="97" t="inlineStr">
        <is>
          <t>기계설비·소방설비</t>
        </is>
      </c>
      <c r="D25" s="98" t="inlineStr">
        <is>
          <t>9000-8-24</t>
        </is>
      </c>
      <c r="E25" s="101" t="inlineStr">
        <is>
          <t>9000-8-23</t>
        </is>
      </c>
      <c r="F25" s="99" t="inlineStr">
        <is>
          <t>9000-8-25</t>
        </is>
      </c>
      <c r="G25" s="100" t="inlineStr">
        <is>
          <t>차체 자동세척설비(세차기)</t>
        </is>
      </c>
      <c r="H25" s="99" t="inlineStr">
        <is>
          <t>D+20</t>
        </is>
      </c>
      <c r="I25" s="101" t="inlineStr">
        <is>
          <t>기계/소방팀</t>
        </is>
      </c>
      <c r="J25" s="102" t="inlineStr">
        <is>
          <t>동탄트램 차량의 청결 상태를 유지하기 위해 차량기지 청소선에 트램 전용 갠트리식 자동세척설비(차체 전·측·후면 브러시, 세제 분사 펌프, 린스 노즐, 윈드 블로워 송풍 건조기, 폐수 회수 집수 트렌치)를 시공하고, 열차 진입 감지 센서 연동 100% 자동 세척 시퀀스를 완성한다.</t>
        </is>
      </c>
      <c r="K25" s="102" t="inlineStr">
        <is>
          <t>KCS 41 시방 기준 및 STEP 1: 청소선 궤도 건축한계 대조 및 기초 앵커 시공, STEP 2: 세차기 메인 갠트리 프레임 및 브러시 조립 절차서 준수 시공</t>
        </is>
      </c>
      <c r="L25" s="102" t="inlineStr">
        <is>
          <t>차체 자동세척설비(세차기) 시공계획서, 검측요청서 및 공인 시험성적서</t>
        </is>
      </c>
      <c r="M25" s="102"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103">
        <f>HYPERLINK(LEFT(CELL("filename",A1),FIND("[",CELL("filename",A1))-1)&amp;"10.기계분야\24_차체 자동세척설비(세차기)\표준서\24_차체 자동세척설비(세차기)_표준서.html", "👉 [클릭] 표준서 열기 📄")</f>
        <v/>
      </c>
      <c r="O25" s="102" t="inlineStr">
        <is>
          <t>1) STEP 1: 청소선 궤도 건축한계 대조 및 기초 앵커 시공: 열차 통과 한계선 및 세차기 중심선 측량
2) STEP 2: 세차기 메인 갠트리 프레임 및 브러시 조립: EVA 무스크래치 브러시 및 실린더 가설</t>
        </is>
      </c>
      <c r="P25" s="104">
        <f>HYPERLINK(LEFT(CELL("filename",A1),FIND("[",CELL("filename",A1))-1)&amp;"10.기계분야\24_차체 자동세척설비(세차기)\수행지침\24_차체 자동세척설비(세차기)_수행지침.html", "👉 [클릭] 수행지침 열기 📄")</f>
        <v/>
      </c>
      <c r="Q25" s="102" t="inlineStr">
        <is>
          <t>1) 세차기 프레임 시방 및 용융아연도금 및 STS304 내식성 갠트리 구조물 기준을 100% 충족하였는가?
2) 회전 브러시 검측 및 불합격 요소를 전면 차단하였는가?</t>
        </is>
      </c>
      <c r="R25" s="105">
        <f>HYPERLINK(LEFT(CELL("filename",A1),FIND("[",CELL("filename",A1))-1)&amp;"10.기계분야\24_차체 자동세척설비(세차기)\체크리스트\24_차체 자동세척설비(세차기)_체크리스트.html", "👉 [클릭] 체크리스트 열기 📄")</f>
        <v/>
      </c>
      <c r="S25" s="101" t="inlineStr">
        <is>
          <t>기계·소방 복합 시방 준수</t>
        </is>
      </c>
      <c r="T25" s="102" t="inlineStr">
        <is>
          <t>● KDS 47 철도설계기준, KCS 41 건축기계시방 및 NFTC/NFPC 화재안전기술기준 100% 준수</t>
        </is>
      </c>
      <c r="U25" s="97" t="inlineStr">
        <is>
          <t>1) 👉 [더블클릭] 체크리스트 열기 📄</t>
        </is>
      </c>
      <c r="V25" s="102" t="inlineStr">
        <is>
          <t>기계설비·소방 전문 감리 및 시공 기술자문단 상시 운영</t>
        </is>
      </c>
    </row>
    <row r="26" ht="36" customHeight="1">
      <c r="A26" s="87" t="inlineStr">
        <is>
          <t>9000</t>
        </is>
      </c>
      <c r="B26" s="87" t="inlineStr">
        <is>
          <t>9000-8</t>
        </is>
      </c>
      <c r="C26" s="87" t="inlineStr">
        <is>
          <t>기계설비·소방설비</t>
        </is>
      </c>
      <c r="D26" s="88" t="inlineStr">
        <is>
          <t>9000-8-25</t>
        </is>
      </c>
      <c r="E26" s="89" t="inlineStr">
        <is>
          <t>9000-8-24</t>
        </is>
      </c>
      <c r="F26" s="90" t="inlineStr">
        <is>
          <t>9000-8-26</t>
        </is>
      </c>
      <c r="G26" s="91" t="inlineStr">
        <is>
          <t>정화조 음압 탈취설비 시공</t>
        </is>
      </c>
      <c r="H26" s="90" t="inlineStr">
        <is>
          <t>D+25</t>
        </is>
      </c>
      <c r="I26" s="89" t="inlineStr">
        <is>
          <t>기계/소방팀</t>
        </is>
      </c>
      <c r="J26" s="92" t="inlineStr">
        <is>
          <t>차량기지 종합관리동 및 정거장 정화조 수조에서 발생하는 황화수소(H2S), 암모니아(NH3), 메탄(CH4) 등 유해·악취 가스가 지상 역사 및 근무 공간으로 확산되는 것을 원천 차단하기 위해, 정화조실 내부를 3종 음압으로 유지하는 내식성 FRP 탈취 덕트, 약액세정식 2단 탈취탑 및 복합가스 감지 센서를 시공한다.</t>
        </is>
      </c>
      <c r="K26" s="93" t="inlineStr">
        <is>
          <t>KCS 41 시방 기준 및 STEP 1: 정화조실 음압 환기량 및 유해가스 농도 계산, STEP 2: 내식성 FRP 탈취 덕트 및 배기팬 가설 절차서 준수 시공</t>
        </is>
      </c>
      <c r="L26" s="93" t="inlineStr">
        <is>
          <t>정화조 음압 탈취설비 시공 시공계획서, 검측요청서 및 공인 시험성적서</t>
        </is>
      </c>
      <c r="M26" s="93"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94">
        <f>HYPERLINK(LEFT(CELL("filename",A1),FIND("[",CELL("filename",A1))-1)&amp;"10.기계분야\25_정화조 음압 탈취설비 시공\표준서\25_정화조 음압 탈취설비 시공_표준서.html", "👉 [클릭] 표준서 열기 📄")</f>
        <v/>
      </c>
      <c r="O26" s="93" t="inlineStr">
        <is>
          <t>1) STEP 1: 정화조실 음압 환기량 및 유해가스 농도 계산: 시간당 20회 배기량 및 수조 포집 후드 설계
2) STEP 2: 내식성 FRP 탈취 덕트 및 배기팬 가설: FRP 플랜지 체결 및 내화학 내식 송풍기</t>
        </is>
      </c>
      <c r="P26" s="95">
        <f>HYPERLINK(LEFT(CELL("filename",A1),FIND("[",CELL("filename",A1))-1)&amp;"10.기계분야\25_정화조 음압 탈취설비 시공\수행지침\25_정화조 음압 탈취설비 시공_수행지침.html", "👉 [클릭] 수행지침 열기 📄")</f>
        <v/>
      </c>
      <c r="Q26" s="93" t="inlineStr">
        <is>
          <t>1) 탈취탑 방식 시방 및 약액세정식(산/알칼리 세정) + 활성탄 2단 흡착 기준을 100% 충족하였는가?
2) 탈취 배기덕트 검측 및 불합격 요소를 전면 차단하였는가?</t>
        </is>
      </c>
      <c r="R26" s="96">
        <f>HYPERLINK(LEFT(CELL("filename",A1),FIND("[",CELL("filename",A1))-1)&amp;"10.기계분야\25_정화조 음압 탈취설비 시공\체크리스트\25_정화조 음압 탈취설비 시공_체크리스트.html", "👉 [클릭] 체크리스트 열기 📄")</f>
        <v/>
      </c>
      <c r="S26" s="89" t="inlineStr">
        <is>
          <t>기계·소방 복합 시방 준수</t>
        </is>
      </c>
      <c r="T26" s="93" t="inlineStr">
        <is>
          <t>● KDS 47 철도설계기준, KCS 41 건축기계시방 및 NFTC/NFPC 화재안전기술기준 100% 준수</t>
        </is>
      </c>
      <c r="U26" s="87" t="inlineStr">
        <is>
          <t>1) 👉 [더블클릭] 체크리스트 열기 📄</t>
        </is>
      </c>
      <c r="V26" s="93" t="inlineStr">
        <is>
          <t>기계설비·소방 전문 감리 및 시공 기술자문단 상시 운영</t>
        </is>
      </c>
    </row>
    <row r="27" ht="36" customHeight="1">
      <c r="A27" s="97" t="inlineStr">
        <is>
          <t>9000</t>
        </is>
      </c>
      <c r="B27" s="97" t="inlineStr">
        <is>
          <t>9000-8</t>
        </is>
      </c>
      <c r="C27" s="97" t="inlineStr">
        <is>
          <t>기계설비·소방설비</t>
        </is>
      </c>
      <c r="D27" s="98" t="inlineStr">
        <is>
          <t>9000-8-26</t>
        </is>
      </c>
      <c r="E27" s="101" t="inlineStr">
        <is>
          <t>9000-8-25</t>
        </is>
      </c>
      <c r="F27" s="99" t="inlineStr">
        <is>
          <t>9000-8-27</t>
        </is>
      </c>
      <c r="G27" s="100" t="inlineStr">
        <is>
          <t>호스릴 옥내소화전설비 시공</t>
        </is>
      </c>
      <c r="H27" s="99" t="inlineStr">
        <is>
          <t>D+30</t>
        </is>
      </c>
      <c r="I27" s="101" t="inlineStr">
        <is>
          <t>기계/소방팀</t>
        </is>
      </c>
      <c r="J27" s="102" t="inlineStr">
        <is>
          <t>화재안전기술기준(NFTC 102) 및 시방서 개선 사항에 따라 일반인이 혼자서도 손쉽게 당겨서 방수할 수 있는 고성능 '호스릴 옥내소화전(STS304 외함, 25mm 고무호스 릴, 분말소화기 3.3kg 2대 내장형)'을 정거장 및 차량기지 전 구역에 보행거리 25m 이내로 배치하고, 방수압력(0.17~0.7MPa) 및 방수량(130L/min)을 완벽 시공한다.</t>
        </is>
      </c>
      <c r="K27" s="102" t="inlineStr">
        <is>
          <t>KCS 41 시방 기준 및 STEP 1: 소화전함 설치 위치 먹매김 및 배관 인입선 실측, STEP 2: 배관 가설 및 그루브 조인트(Grooved Joint) 체결 절차서 준수 시공</t>
        </is>
      </c>
      <c r="L27" s="102" t="inlineStr">
        <is>
          <t>호스릴 옥내소화전설비 시공 시공계획서, 검측요청서 및 공인 시험성적서</t>
        </is>
      </c>
      <c r="M27" s="102"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103">
        <f>HYPERLINK(LEFT(CELL("filename",A1),FIND("[",CELL("filename",A1))-1)&amp;"10.기계분야\26_호스릴 옥내소화전설비 시공\표준서\26_호스릴 옥내소화전설비 시공_표준서.html", "👉 [클릭] 표준서 열기 📄")</f>
        <v/>
      </c>
      <c r="O27" s="102" t="inlineStr">
        <is>
          <t>1) STEP 1: 소화전함 설치 위치 먹매김 및 배관 인입선 실측: 보행거리 25m 이내 및 바닥고 1.5m 준수
2) STEP 2: 배관 가설 및 그루브 조인트(Grooved Joint) 체결: 용접 없는 기계적 이음 및 지진방지 버팀대</t>
        </is>
      </c>
      <c r="P27" s="104">
        <f>HYPERLINK(LEFT(CELL("filename",A1),FIND("[",CELL("filename",A1))-1)&amp;"10.기계분야\26_호스릴 옥내소화전설비 시공\수행지침\26_호스릴 옥내소화전설비 시공_수행지침.html", "👉 [클릭] 수행지침 열기 📄")</f>
        <v/>
      </c>
      <c r="Q27" s="102" t="inlineStr">
        <is>
          <t>1) 소화전함 규격 시방 및 STS304 두께 1.5mm, 분말소화기 일체형 외함 기준을 100% 충족하였는가?
2) 호스릴 릴 뭉치 검측 및 불합격 요소를 전면 차단하였는가?</t>
        </is>
      </c>
      <c r="R27" s="105">
        <f>HYPERLINK(LEFT(CELL("filename",A1),FIND("[",CELL("filename",A1))-1)&amp;"10.기계분야\26_호스릴 옥내소화전설비 시공\체크리스트\26_호스릴 옥내소화전설비 시공_체크리스트.html", "👉 [클릭] 체크리스트 열기 📄")</f>
        <v/>
      </c>
      <c r="S27" s="101" t="inlineStr">
        <is>
          <t>기계·소방 복합 시방 준수</t>
        </is>
      </c>
      <c r="T27" s="102" t="inlineStr">
        <is>
          <t>● KDS 47 철도설계기준, KCS 41 건축기계시방 및 NFTC/NFPC 화재안전기술기준 100% 준수</t>
        </is>
      </c>
      <c r="U27" s="97" t="inlineStr">
        <is>
          <t>1) 👉 [더블클릭] 체크리스트 열기 📄</t>
        </is>
      </c>
      <c r="V27" s="102" t="inlineStr">
        <is>
          <t>기계설비·소방 전문 감리 및 시공 기술자문단 상시 운영</t>
        </is>
      </c>
    </row>
    <row r="28" ht="36" customHeight="1">
      <c r="A28" s="87" t="inlineStr">
        <is>
          <t>9000</t>
        </is>
      </c>
      <c r="B28" s="87" t="inlineStr">
        <is>
          <t>9000-8</t>
        </is>
      </c>
      <c r="C28" s="87" t="inlineStr">
        <is>
          <t>기계설비·소방설비</t>
        </is>
      </c>
      <c r="D28" s="88" t="inlineStr">
        <is>
          <t>9000-8-27</t>
        </is>
      </c>
      <c r="E28" s="89" t="inlineStr">
        <is>
          <t>9000-8-26</t>
        </is>
      </c>
      <c r="F28" s="90" t="inlineStr">
        <is>
          <t>9000-8-28</t>
        </is>
      </c>
      <c r="G28" s="91" t="inlineStr">
        <is>
          <t>연결송수관-스프링클러 주배관 분리</t>
        </is>
      </c>
      <c r="H28" s="90" t="inlineStr">
        <is>
          <t>D+35</t>
        </is>
      </c>
      <c r="I28" s="89" t="inlineStr">
        <is>
          <t>기계/소방팀</t>
        </is>
      </c>
      <c r="J28" s="92" t="inlineStr">
        <is>
          <t>화재안전기술기준(NFTC 103, 502) 개정 법령에 따라 과거 겸용으로 시공되던 '연결송수관설비'와 '스프링클러설비'의 수직 주배관 및 옥외 소방차 연결 송수구를 물리적으로 각각 100% 완전 분리 시공하여, 화재 시 소방차 고압 가압에 따른 스프링클러 배관 파손을 막고 소화 수압 안정성을 극대화한다.</t>
        </is>
      </c>
      <c r="K28" s="93" t="inlineStr">
        <is>
          <t>KCS 41 시방 기준 및 STEP 1: 개정 화재안전기술기준 설계도서 대조 및 입상 경로 분리, STEP 2: 연결송수관 전용 고압 배관 시공 절차서 준수 시공</t>
        </is>
      </c>
      <c r="L28" s="93" t="inlineStr">
        <is>
          <t>연결송수관-스프링클러 주배관 분리 시공계획서, 검측요청서 및 공인 시험성적서</t>
        </is>
      </c>
      <c r="M28" s="93"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94">
        <f>HYPERLINK(LEFT(CELL("filename",A1),FIND("[",CELL("filename",A1))-1)&amp;"10.기계분야\27_연결송수관-스프링클러 주배관 분리\표준서\27_연결송수관-스프링클러 주배관 분리_표준서.html", "👉 [클릭] 표준서 열기 📄")</f>
        <v/>
      </c>
      <c r="O28" s="93"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95">
        <f>HYPERLINK(LEFT(CELL("filename",A1),FIND("[",CELL("filename",A1))-1)&amp;"10.기계분야\27_연결송수관-스프링클러 주배관 분리\수행지침\27_연결송수관-스프링클러 주배관 분리_수행지침.html", "👉 [클릭] 수행지침 열기 📄")</f>
        <v/>
      </c>
      <c r="Q28" s="93" t="inlineStr">
        <is>
          <t>1) 주배관 독립 관로 시방 및 연결송수관 전용 Sch40 배관 &amp; 스프링클러 전용 배관 기준을 100% 충족하였는가?
2) 옥외 송수구 분리 검측 및 불합격 요소를 전면 차단하였는가?</t>
        </is>
      </c>
      <c r="R28" s="96">
        <f>HYPERLINK(LEFT(CELL("filename",A1),FIND("[",CELL("filename",A1))-1)&amp;"10.기계분야\27_연결송수관-스프링클러 주배관 분리\체크리스트\27_연결송수관-스프링클러 주배관 분리_체크리스트.html", "👉 [클릭] 체크리스트 열기 📄")</f>
        <v/>
      </c>
      <c r="S28" s="89" t="inlineStr">
        <is>
          <t>기계·소방 복합 시방 준수</t>
        </is>
      </c>
      <c r="T28" s="93" t="inlineStr">
        <is>
          <t>● KDS 47 철도설계기준, KCS 41 건축기계시방 및 NFTC/NFPC 화재안전기술기준 100% 준수</t>
        </is>
      </c>
      <c r="U28" s="87" t="inlineStr">
        <is>
          <t>1) 👉 [더블클릭] 체크리스트 열기 📄</t>
        </is>
      </c>
      <c r="V28" s="93" t="inlineStr">
        <is>
          <t>기계설비·소방 전문 감리 및 시공 기술자문단 상시 운영</t>
        </is>
      </c>
    </row>
    <row r="29" ht="36" customHeight="1">
      <c r="A29" s="97" t="inlineStr">
        <is>
          <t>9000</t>
        </is>
      </c>
      <c r="B29" s="97" t="inlineStr">
        <is>
          <t>9000-8</t>
        </is>
      </c>
      <c r="C29" s="97" t="inlineStr">
        <is>
          <t>기계설비·소방설비</t>
        </is>
      </c>
      <c r="D29" s="98" t="inlineStr">
        <is>
          <t>9000-8-28</t>
        </is>
      </c>
      <c r="E29" s="101" t="inlineStr">
        <is>
          <t>9000-8-27</t>
        </is>
      </c>
      <c r="F29" s="99" t="inlineStr">
        <is>
          <t>9000-8-29</t>
        </is>
      </c>
      <c r="G29" s="100" t="inlineStr">
        <is>
          <t>큐비클 가스계_에어로졸 소화</t>
        </is>
      </c>
      <c r="H29" s="99" t="inlineStr">
        <is>
          <t>D+40</t>
        </is>
      </c>
      <c r="I29" s="101" t="inlineStr">
        <is>
          <t>기계/소방팀</t>
        </is>
      </c>
      <c r="J29" s="102" t="inlineStr">
        <is>
          <t>전기 스파크 및 과부하로 인한 전기화재 위험이 높은 차량기지 변전소, 트램 배터리 충전 전기실, 종합관리동 및 본선 31개소 정거장의 특고압/저압 수배전반 큐비클(Cubicle) 내부에 KFI 형식승인을 득한 소공간용 고체에어로졸 자동소화장치를 1:1 취부하여 판넬 내부 화재를 3초 이내에 국부 진압한다.</t>
        </is>
      </c>
      <c r="K29" s="102" t="inlineStr">
        <is>
          <t>KCS 41 시방 기준 및 STEP 1: 수배전반 큐비클 체적(㎥) 및 소화약제량 산정, STEP 2: 고체에어로졸 소화장치 브라켓 고정 절차서 준수 시공</t>
        </is>
      </c>
      <c r="L29" s="102" t="inlineStr">
        <is>
          <t>큐비클 가스계_에어로졸 소화 시공계획서, 검측요청서 및 공인 시험성적서</t>
        </is>
      </c>
      <c r="M29" s="102"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103">
        <f>HYPERLINK(LEFT(CELL("filename",A1),FIND("[",CELL("filename",A1))-1)&amp;"10.기계분야\28_큐비클 가스계_에어로졸 소화\표준서\28_큐비클 가스계_에어로졸 소화_표준서.html", "👉 [클릭] 표준서 열기 📄")</f>
        <v/>
      </c>
      <c r="O29" s="102" t="inlineStr">
        <is>
          <t>1) STEP 1: 수배전반 큐비클 체적(㎥) 및 소화약제량 산정: 판넬 내부 공간 체적 및 발열 부품 조사
2) STEP 2: 고체에어로졸 소화장치 브라켓 고정: 판넬 천장부 내열 브라켓 볼트 체결</t>
        </is>
      </c>
      <c r="P29" s="104">
        <f>HYPERLINK(LEFT(CELL("filename",A1),FIND("[",CELL("filename",A1))-1)&amp;"10.기계분야\28_큐비클 가스계_에어로졸 소화\수행지침\28_큐비클 가스계_에어로졸 소화_수행지침.html", "👉 [클릭] 수행지침 열기 📄")</f>
        <v/>
      </c>
      <c r="Q29" s="102" t="inlineStr">
        <is>
          <t>1) 에어로졸 소화기 시방 및 KFI 인증 소공간용 고체에어로졸 자동소화장치 기준을 100% 충족하였는가?
2) 화재 감지 와이어 검측 및 불합격 요소를 전면 차단하였는가?</t>
        </is>
      </c>
      <c r="R29" s="105">
        <f>HYPERLINK(LEFT(CELL("filename",A1),FIND("[",CELL("filename",A1))-1)&amp;"10.기계분야\28_큐비클 가스계_에어로졸 소화\체크리스트\28_큐비클 가스계_에어로졸 소화_체크리스트.html", "👉 [클릭] 체크리스트 열기 📄")</f>
        <v/>
      </c>
      <c r="S29" s="101" t="inlineStr">
        <is>
          <t>기계·소방 복합 시방 준수</t>
        </is>
      </c>
      <c r="T29" s="102" t="inlineStr">
        <is>
          <t>● KDS 47 철도설계기준, KCS 41 건축기계시방 및 NFTC/NFPC 화재안전기술기준 100% 준수</t>
        </is>
      </c>
      <c r="U29" s="97" t="inlineStr">
        <is>
          <t>1) 👉 [더블클릭] 체크리스트 열기 📄</t>
        </is>
      </c>
      <c r="V29" s="102" t="inlineStr">
        <is>
          <t>기계설비·소방 전문 감리 및 시공 기술자문단 상시 운영</t>
        </is>
      </c>
    </row>
    <row r="30" ht="36" customHeight="1">
      <c r="A30" s="87" t="inlineStr">
        <is>
          <t>9000</t>
        </is>
      </c>
      <c r="B30" s="87" t="inlineStr">
        <is>
          <t>9000-8</t>
        </is>
      </c>
      <c r="C30" s="87" t="inlineStr">
        <is>
          <t>기계설비·소방설비</t>
        </is>
      </c>
      <c r="D30" s="88" t="inlineStr">
        <is>
          <t>9000-8-29</t>
        </is>
      </c>
      <c r="E30" s="89" t="inlineStr">
        <is>
          <t>9000-8-28</t>
        </is>
      </c>
      <c r="F30" s="90" t="inlineStr">
        <is>
          <t>9000-8-30</t>
        </is>
      </c>
      <c r="G30" s="91" t="inlineStr">
        <is>
          <t>가스소화구역 과압배출구(P.R.D)</t>
        </is>
      </c>
      <c r="H30" s="90" t="inlineStr">
        <is>
          <t>D+45</t>
        </is>
      </c>
      <c r="I30" s="89" t="inlineStr">
        <is>
          <t>기계/소방팀</t>
        </is>
      </c>
      <c r="J30" s="92" t="inlineStr">
        <is>
          <t>차량기지 주변전소, 정거장 변전실 등 가스계 소화설비(HFC-125, Novec 1230 등)가 적용된 밀폐 방호구역에 소화가스 방출 시 순간적인 압력 상승으로 인한 방화벽체, 출입문 및 유리창의 파손을 방지하기 위하여, 설정 압력(150~300Pa) 이상에서 자동으로 개방되는 과압배출구(P.R.D, Pressure Relief Damper)를 벽체에 완벽 가설한다.</t>
        </is>
      </c>
      <c r="K30" s="93" t="inlineStr">
        <is>
          <t>KCS 41 시방 기준 및 STEP 1: 가스 방출 압력 상승치 및 P.R.D 배출 면적 계산, STEP 2: 방화벽체 개구부 타공 및 STS 프레임 가설 절차서 준수 시공</t>
        </is>
      </c>
      <c r="L30" s="93" t="inlineStr">
        <is>
          <t>가스소화구역 과압배출구(P.R.D) 시공계획서, 검측요청서 및 공인 시험성적서</t>
        </is>
      </c>
      <c r="M30" s="93"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94">
        <f>HYPERLINK(LEFT(CELL("filename",A1),FIND("[",CELL("filename",A1))-1)&amp;"10.기계분야\29_가스소화구역 과압배출구(P.R.D)\표준서\29_가스소화구역 과압배출구(P.R.D)_표준서.html", "👉 [클릭] 표준서 열기 📄")</f>
        <v/>
      </c>
      <c r="O30" s="93" t="inlineStr">
        <is>
          <t>1) STEP 1: 가스 방출 압력 상승치 및 P.R.D 배출 면적 계산: NFPA 2001 및 소방 시방 계산 공식 검토
2) STEP 2: 방화벽체 개구부 타공 및 STS 프레임 가설: 건축 개구부 치수 대조 및 방화 슬리브 시공</t>
        </is>
      </c>
      <c r="P30" s="95">
        <f>HYPERLINK(LEFT(CELL("filename",A1),FIND("[",CELL("filename",A1))-1)&amp;"10.기계분야\29_가스소화구역 과압배출구(P.R.D)\수행지침\29_가스소화구역 과압배출구(P.R.D)_수행지침.html", "👉 [클릭] 수행지침 열기 📄")</f>
        <v/>
      </c>
      <c r="Q30" s="93" t="inlineStr">
        <is>
          <t>1) P.R.D 댐퍼 면적 시방 및 소화약제 방출량 대비 과압배출 면적(㎡) 계산서 기준을 100% 충족하였는가?
2) 블레이드 밸런싱 검측 및 불합격 요소를 전면 차단하였는가?</t>
        </is>
      </c>
      <c r="R30" s="96">
        <f>HYPERLINK(LEFT(CELL("filename",A1),FIND("[",CELL("filename",A1))-1)&amp;"10.기계분야\29_가스소화구역 과압배출구(P.R.D)\체크리스트\29_가스소화구역 과압배출구(P.R.D)_체크리스트.html", "👉 [클릭] 체크리스트 열기 📄")</f>
        <v/>
      </c>
      <c r="S30" s="89" t="inlineStr">
        <is>
          <t>기계·소방 복합 시방 준수</t>
        </is>
      </c>
      <c r="T30" s="93" t="inlineStr">
        <is>
          <t>● KDS 47 철도설계기준, KCS 41 건축기계시방 및 NFTC/NFPC 화재안전기술기준 100% 준수</t>
        </is>
      </c>
      <c r="U30" s="87" t="inlineStr">
        <is>
          <t>1) 👉 [더블클릭] 체크리스트 열기 📄</t>
        </is>
      </c>
      <c r="V30" s="93" t="inlineStr">
        <is>
          <t>기계설비·소방 전문 감리 및 시공 기술자문단 상시 운영</t>
        </is>
      </c>
    </row>
    <row r="31" ht="36" customHeight="1">
      <c r="A31" s="97" t="inlineStr">
        <is>
          <t>9000</t>
        </is>
      </c>
      <c r="B31" s="97" t="inlineStr">
        <is>
          <t>9000-8</t>
        </is>
      </c>
      <c r="C31" s="97" t="inlineStr">
        <is>
          <t>기계설비·소방설비</t>
        </is>
      </c>
      <c r="D31" s="98" t="inlineStr">
        <is>
          <t>9000-8-30</t>
        </is>
      </c>
      <c r="E31" s="101" t="inlineStr">
        <is>
          <t>9000-8-29</t>
        </is>
      </c>
      <c r="F31" s="99" t="inlineStr">
        <is>
          <t>9000-8-31</t>
        </is>
      </c>
      <c r="G31" s="100" t="inlineStr">
        <is>
          <t>소방펌프실 가설 및 성능시험</t>
        </is>
      </c>
      <c r="H31" s="99" t="inlineStr">
        <is>
          <t>D+50</t>
        </is>
      </c>
      <c r="I31" s="101" t="inlineStr">
        <is>
          <t>기계/소방팀</t>
        </is>
      </c>
      <c r="J31" s="102" t="inlineStr">
        <is>
          <t>화재안전기술기준(NFTC 102, 103)에 따라 정거장 및 차량기지 지하 소방펌프실에 주펌프(전기모터 구동), 보조 충압펌프, 성능시험배관, 압력챔버(또는 전자식 압력스위치), 순환배관 및 릴리프밸브를 가설하고, 3대 필수 성능시험(체절운전 시험, 정격부하 시험, 150% 최대부하 시험)을 완벽 수행한다.</t>
        </is>
      </c>
      <c r="K31" s="102" t="inlineStr">
        <is>
          <t>KCS 41 시방 기준 및 STEP 1: 소방펌프 콘크리트 기초 패드 및 방진가대 시공, STEP 2: 흡입·토출 배관, 플렉시블 조인트 및 밸브류 체결 절차서 준수 시공</t>
        </is>
      </c>
      <c r="L31" s="102" t="inlineStr">
        <is>
          <t>소방펌프실 가설 및 성능시험 시공계획서, 검측요청서 및 공인 시험성적서</t>
        </is>
      </c>
      <c r="M31" s="102"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103">
        <f>HYPERLINK(LEFT(CELL("filename",A1),FIND("[",CELL("filename",A1))-1)&amp;"10.기계분야\30_소방펌프실 가설 및 성능시험\표준서\30_소방펌프실 가설 및 성능시험_표준서.html", "👉 [클릭] 표준서 열기 📄")</f>
        <v/>
      </c>
      <c r="O31" s="102"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104">
        <f>HYPERLINK(LEFT(CELL("filename",A1),FIND("[",CELL("filename",A1))-1)&amp;"10.기계분야\30_소방펌프실 가설 및 성능시험\수행지침\30_소방펌프실 가설 및 성능시험_수행지침.html", "👉 [클릭] 수행지침 열기 📄")</f>
        <v/>
      </c>
      <c r="Q31" s="102" t="inlineStr">
        <is>
          <t>1) 소방 주펌프 시방 및 다단 원심펌프(정격유량/양정 시방 부합, IE3 모터) 기준을 100% 충족하였는가?
2) 성능시험배관 검측 및 불합격 요소를 전면 차단하였는가?</t>
        </is>
      </c>
      <c r="R31" s="105">
        <f>HYPERLINK(LEFT(CELL("filename",A1),FIND("[",CELL("filename",A1))-1)&amp;"10.기계분야\30_소방펌프실 가설 및 성능시험\체크리스트\30_소방펌프실 가설 및 성능시험_체크리스트.html", "👉 [클릭] 체크리스트 열기 📄")</f>
        <v/>
      </c>
      <c r="S31" s="101" t="inlineStr">
        <is>
          <t>기계·소방 복합 시방 준수</t>
        </is>
      </c>
      <c r="T31" s="102" t="inlineStr">
        <is>
          <t>● KDS 47 철도설계기준, KCS 41 건축기계시방 및 NFTC/NFPC 화재안전기술기준 100% 준수</t>
        </is>
      </c>
      <c r="U31" s="97" t="inlineStr">
        <is>
          <t>1) 👉 [더블클릭] 체크리스트 열기 📄</t>
        </is>
      </c>
      <c r="V31" s="102" t="inlineStr">
        <is>
          <t>기계설비·소방 전문 감리 및 시공 기술자문단 상시 운영</t>
        </is>
      </c>
    </row>
    <row r="32" ht="36" customHeight="1">
      <c r="A32" s="87" t="inlineStr">
        <is>
          <t>9000</t>
        </is>
      </c>
      <c r="B32" s="87" t="inlineStr">
        <is>
          <t>9000-8</t>
        </is>
      </c>
      <c r="C32" s="87" t="inlineStr">
        <is>
          <t>기계설비·소방설비</t>
        </is>
      </c>
      <c r="D32" s="88" t="inlineStr">
        <is>
          <t>9000-8-31</t>
        </is>
      </c>
      <c r="E32" s="89" t="inlineStr">
        <is>
          <t>9000-8-30</t>
        </is>
      </c>
      <c r="F32" s="90" t="inlineStr">
        <is>
          <t>9000-8-32</t>
        </is>
      </c>
      <c r="G32" s="91" t="inlineStr">
        <is>
          <t>정거장 인승용 승강기(17_24인승)</t>
        </is>
      </c>
      <c r="H32" s="90" t="inlineStr">
        <is>
          <t>D+55</t>
        </is>
      </c>
      <c r="I32" s="89" t="inlineStr">
        <is>
          <t>기계/소방팀</t>
        </is>
      </c>
      <c r="J32" s="92" t="inlineStr">
        <is>
          <t>교통약자의 수직 이동권 및 환승 편의를 보장하기 위해 정거장 외부 환승 동선에 17인승/24인승 MRL(기계실 없는) 인승용 엘리베이터를 설치하고, 승강로 수직도(±5mm), 가이드레일 브라켓, 도어 다점 적외선 안전센서, 비상통화장치 및 한국승강기안전공단 완성검사를 100% 합격 완료한다.</t>
        </is>
      </c>
      <c r="K32" s="93" t="inlineStr">
        <is>
          <t>KCS 41 시방 기준 및 STEP 1: 승강로 골조 치수, 피트 깊이 및 수직도 실측, STEP 2: 가이드레일 브라켓 및 T형 레일 조립 절차서 준수 시공</t>
        </is>
      </c>
      <c r="L32" s="93" t="inlineStr">
        <is>
          <t>정거장 인승용 승강기(17_24인승) 시공계획서, 검측요청서 및 공인 시험성적서</t>
        </is>
      </c>
      <c r="M32" s="93"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94">
        <f>HYPERLINK(LEFT(CELL("filename",A1),FIND("[",CELL("filename",A1))-1)&amp;"10.기계분야\31_정거장 인승용 승강기(17_24인승)\표준서\31_정거장 인승용 승강기(17_24인승)_표준서.html", "👉 [클릭] 표준서 열기 📄")</f>
        <v/>
      </c>
      <c r="O32" s="93" t="inlineStr">
        <is>
          <t>1) STEP 1: 승강로 골조 치수, 피트 깊이 및 수직도 실측: 레이저 수직 측정기를 이용한 오차 검측
2) STEP 2: 가이드레일 브라켓 및 T형 레일 조립: 레일 브라켓 앵커링 및 조인트 플레이트 체결</t>
        </is>
      </c>
      <c r="P32" s="95">
        <f>HYPERLINK(LEFT(CELL("filename",A1),FIND("[",CELL("filename",A1))-1)&amp;"10.기계분야\31_정거장 인승용 승강기(17_24인승)\수행지침\31_정거장 인승용 승강기(17_24인승)_수행지침.html", "👉 [클릭] 수행지침 열기 📄")</f>
        <v/>
      </c>
      <c r="Q32" s="93" t="inlineStr">
        <is>
          <t>1) MRL 권상기 시방 및 영구자석 동기전동기(PMSM) 기어리스 권상기 기준을 100% 충족하였는가?
2) 가이드 레일 검측 및 불합격 요소를 전면 차단하였는가?</t>
        </is>
      </c>
      <c r="R32" s="96">
        <f>HYPERLINK(LEFT(CELL("filename",A1),FIND("[",CELL("filename",A1))-1)&amp;"10.기계분야\31_정거장 인승용 승강기(17_24인승)\체크리스트\31_정거장 인승용 승강기(17_24인승)_체크리스트.html", "👉 [클릭] 체크리스트 열기 📄")</f>
        <v/>
      </c>
      <c r="S32" s="89" t="inlineStr">
        <is>
          <t>기계·소방 복합 시방 준수</t>
        </is>
      </c>
      <c r="T32" s="93" t="inlineStr">
        <is>
          <t>● KDS 47 철도설계기준, KCS 41 건축기계시방 및 NFTC/NFPC 화재안전기술기준 100% 준수</t>
        </is>
      </c>
      <c r="U32" s="87" t="inlineStr">
        <is>
          <t>1) 👉 [더블클릭] 체크리스트 열기 📄</t>
        </is>
      </c>
      <c r="V32" s="93" t="inlineStr">
        <is>
          <t>기계설비·소방 전문 감리 및 시공 기술자문단 상시 운영</t>
        </is>
      </c>
    </row>
    <row r="33" ht="36" customHeight="1">
      <c r="A33" s="97" t="inlineStr">
        <is>
          <t>9000</t>
        </is>
      </c>
      <c r="B33" s="97" t="inlineStr">
        <is>
          <t>9000-8</t>
        </is>
      </c>
      <c r="C33" s="97" t="inlineStr">
        <is>
          <t>기계설비·소방설비</t>
        </is>
      </c>
      <c r="D33" s="98" t="inlineStr">
        <is>
          <t>9000-8-32</t>
        </is>
      </c>
      <c r="E33" s="101" t="inlineStr">
        <is>
          <t>9000-8-31</t>
        </is>
      </c>
      <c r="F33" s="99" t="inlineStr">
        <is>
          <t>9000-8-33</t>
        </is>
      </c>
      <c r="G33" s="100" t="inlineStr">
        <is>
          <t>검수고 관통형 화물용 EV</t>
        </is>
      </c>
      <c r="H33" s="99" t="inlineStr">
        <is>
          <t>D+60</t>
        </is>
      </c>
      <c r="I33" s="101" t="inlineStr">
        <is>
          <t>기계/소방팀</t>
        </is>
      </c>
      <c r="J33" s="102" t="inlineStr">
        <is>
          <t>차량기지 종합검수고동 내 무거운 트램 부품, 대차 예비품 및 정비 공구의 층간 수직 이동을 전담하기 위해 3~5ton급 대용량 '관통형(양방향 도어 개폐형) 화물용 엘리베이터'를 설치하고, 지게차 진입 충격에 견디는 바닥 하중 보강, 도어 씰(Sill) 보강 및 화물 전용 안전장치를 완벽 시공한다.</t>
        </is>
      </c>
      <c r="K33" s="102" t="inlineStr">
        <is>
          <t>KCS 41 시방 기준 및 STEP 1: 대형 화물용 승강로 구조 및 지게차 동선 검토, STEP 2: 대형 H형강 카 프레임 및 중량 레일 가설 절차서 준수 시공</t>
        </is>
      </c>
      <c r="L33" s="102" t="inlineStr">
        <is>
          <t>검수고 관통형 화물용 EV 시공계획서, 검측요청서 및 공인 시험성적서</t>
        </is>
      </c>
      <c r="M33" s="102"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103">
        <f>HYPERLINK(LEFT(CELL("filename",A1),FIND("[",CELL("filename",A1))-1)&amp;"10.기계분야\32_검수고 관통형 화물용 EV\표준서\32_검수고 관통형 화물용 EV_표준서.html", "👉 [클릭] 표준서 열기 📄")</f>
        <v/>
      </c>
      <c r="O33" s="102" t="inlineStr">
        <is>
          <t>1) STEP 1: 대형 화물용 승강로 구조 및 지게차 동선 검토: 카 내부 치수(W2.5m x D3.5m 이상) 및 하중 대조
2) STEP 2: 대형 H형강 카 프레임 및 중량 레일 가설: T형 중량 가이드레일(24K/30K) 및 브라켓 체결</t>
        </is>
      </c>
      <c r="P33" s="104">
        <f>HYPERLINK(LEFT(CELL("filename",A1),FIND("[",CELL("filename",A1))-1)&amp;"10.기계분야\32_검수고 관통형 화물용 EV\수행지침\32_검수고 관통형 화물용 EV_수행지침.html", "👉 [클릭] 수행지침 열기 📄")</f>
        <v/>
      </c>
      <c r="Q33" s="102" t="inlineStr">
        <is>
          <t>1) 화물 적재 용량 시방 및 정격 적재 하중 3,000kg ~ 5,000kg 대형 카 기준을 100% 충족하였는가?
2) 관통형 도어(Through) 검측 및 불합격 요소를 전면 차단하였는가?</t>
        </is>
      </c>
      <c r="R33" s="105">
        <f>HYPERLINK(LEFT(CELL("filename",A1),FIND("[",CELL("filename",A1))-1)&amp;"10.기계분야\32_검수고 관통형 화물용 EV\체크리스트\32_검수고 관통형 화물용 EV_체크리스트.html", "👉 [클릭] 체크리스트 열기 📄")</f>
        <v/>
      </c>
      <c r="S33" s="101" t="inlineStr">
        <is>
          <t>기계·소방 복합 시방 준수</t>
        </is>
      </c>
      <c r="T33" s="102" t="inlineStr">
        <is>
          <t>● KDS 47 철도설계기준, KCS 41 건축기계시방 및 NFTC/NFPC 화재안전기술기준 100% 준수</t>
        </is>
      </c>
      <c r="U33" s="97" t="inlineStr">
        <is>
          <t>1) 👉 [더블클릭] 체크리스트 열기 📄</t>
        </is>
      </c>
      <c r="V33" s="102" t="inlineStr">
        <is>
          <t>기계설비·소방 전문 감리 및 시공 기술자문단 상시 운영</t>
        </is>
      </c>
    </row>
    <row r="34" ht="36" customHeight="1">
      <c r="A34" s="87" t="inlineStr">
        <is>
          <t>9000</t>
        </is>
      </c>
      <c r="B34" s="87" t="inlineStr">
        <is>
          <t>9000-8</t>
        </is>
      </c>
      <c r="C34" s="87" t="inlineStr">
        <is>
          <t>기계설비·소방설비</t>
        </is>
      </c>
      <c r="D34" s="88" t="inlineStr">
        <is>
          <t>9000-8-33</t>
        </is>
      </c>
      <c r="E34" s="89" t="inlineStr">
        <is>
          <t>9000-8-32</t>
        </is>
      </c>
      <c r="F34" s="90" t="inlineStr">
        <is>
          <t>9000-8-34</t>
        </is>
      </c>
      <c r="G34" s="91" t="inlineStr">
        <is>
          <t>DDC_IP DDC 자동제어 백업 이중화</t>
        </is>
      </c>
      <c r="H34" s="90" t="inlineStr">
        <is>
          <t>D+65</t>
        </is>
      </c>
      <c r="I34" s="89" t="inlineStr">
        <is>
          <t>기계/소방팀</t>
        </is>
      </c>
      <c r="J34" s="92" t="inlineStr">
        <is>
          <t>정거장 및 차량기지 내 모든 기계설비(공조기, 환기팬, 펌프, 댐퍼, 밸브, 저수조, 전력계)의 실시간 원격 감시 및 에너지 최적 제어를 위해 직접디지털제어(DDC/IP DDC) 패널을 가설하고, 개방형 BACnet/Modbus 프로토콜 적용 및 메인 서버 장애 시 0초 무중단 자동 절환되는 Backup Server 이중화 시스템을 완벽 구축한다.</t>
        </is>
      </c>
      <c r="K34" s="93" t="inlineStr">
        <is>
          <t>KCS 41 시방 기준 및 STEP 1: 자동제어 I/O 포인트 일람표 및 통신 선로 설계 대조, STEP 2: 기계실 IP DDC 패널 가설 및 필드 센서/밸브 배선 절차서 준수 시공</t>
        </is>
      </c>
      <c r="L34" s="93" t="inlineStr">
        <is>
          <t>DDC_IP DDC 자동제어 백업 이중화 시공계획서, 검측요청서 및 공인 시험성적서</t>
        </is>
      </c>
      <c r="M34" s="93"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94">
        <f>HYPERLINK(LEFT(CELL("filename",A1),FIND("[",CELL("filename",A1))-1)&amp;"10.기계분야\33_DDC_IP DDC 자동제어 백업 이중화\표준서\33_DDC_IP DDC 자동제어 백업 이중화_표준서.html", "👉 [클릭] 표준서 열기 📄")</f>
        <v/>
      </c>
      <c r="O34" s="93"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95">
        <f>HYPERLINK(LEFT(CELL("filename",A1),FIND("[",CELL("filename",A1))-1)&amp;"10.기계분야\33_DDC_IP DDC 자동제어 백업 이중화\수행지침\33_DDC_IP DDC 자동제어 백업 이중화_수행지침.html", "👉 [클릭] 수행지침 열기 📄")</f>
        <v/>
      </c>
      <c r="Q34" s="93" t="inlineStr">
        <is>
          <t>1) IP DDC 제어반 시방 및 32비트 고성능 마이크로프로세서 DDC 패널 기준을 100% 충족하였는가?
2) 개방형 프로토콜 검측 및 불합격 요소를 전면 차단하였는가?</t>
        </is>
      </c>
      <c r="R34" s="96">
        <f>HYPERLINK(LEFT(CELL("filename",A1),FIND("[",CELL("filename",A1))-1)&amp;"10.기계분야\33_DDC_IP DDC 자동제어 백업 이중화\체크리스트\33_DDC_IP DDC 자동제어 백업 이중화_체크리스트.html", "👉 [클릭] 체크리스트 열기 📄")</f>
        <v/>
      </c>
      <c r="S34" s="89" t="inlineStr">
        <is>
          <t>기계·소방 복합 시방 준수</t>
        </is>
      </c>
      <c r="T34" s="93" t="inlineStr">
        <is>
          <t>● KDS 47 철도설계기준, KCS 41 건축기계시방 및 NFTC/NFPC 화재안전기술기준 100% 준수</t>
        </is>
      </c>
      <c r="U34" s="87" t="inlineStr">
        <is>
          <t>1) 👉 [더블클릭] 체크리스트 열기 📄</t>
        </is>
      </c>
      <c r="V34" s="93" t="inlineStr">
        <is>
          <t>기계설비·소방 전문 감리 및 시공 기술자문단 상시 운영</t>
        </is>
      </c>
    </row>
    <row r="35" ht="36" customHeight="1">
      <c r="A35" s="97" t="inlineStr">
        <is>
          <t>9000</t>
        </is>
      </c>
      <c r="B35" s="97" t="inlineStr">
        <is>
          <t>9000-8</t>
        </is>
      </c>
      <c r="C35" s="97" t="inlineStr">
        <is>
          <t>기계설비·소방설비</t>
        </is>
      </c>
      <c r="D35" s="98" t="inlineStr">
        <is>
          <t>9000-8-34</t>
        </is>
      </c>
      <c r="E35" s="101" t="inlineStr">
        <is>
          <t>9000-8-33</t>
        </is>
      </c>
      <c r="F35" s="99" t="inlineStr">
        <is>
          <t>9000-8-35</t>
        </is>
      </c>
      <c r="G35" s="100" t="inlineStr">
        <is>
          <t>화재연동 인터록 실부하 시험</t>
        </is>
      </c>
      <c r="H35" s="99" t="inlineStr">
        <is>
          <t>D+70</t>
        </is>
      </c>
      <c r="I35" s="101" t="inlineStr">
        <is>
          <t>기계/소방팀</t>
        </is>
      </c>
      <c r="J35" s="102" t="inlineStr">
        <is>
          <t>화재안전기술기준 및 철도 방재 매뉴얼에 따라 화재 발생 시 연기가 공조 덕트를 타고 다른 구역으로 확산되는 대형 참사를 막기 위해, 화재수신반 경보 발생 즉시 공조기·냉난방기 마그네틱 전원을 100% 강제 차단하고, 해당 제연구역의 제연팬을 비상 배연 모드로 가동하는 방재 인터록 실부하 시험을 수행한다.</t>
        </is>
      </c>
      <c r="K35" s="102" t="inlineStr">
        <is>
          <t>KCS 41 시방 기준 및 STEP 1: 화재 연동 방재 매트릭스(Cause &amp; Effect) 수립, STEP 2: 공조기 MCC 정지 접점 및 제연팬 기동 결선 점검 절차서 준수 시공</t>
        </is>
      </c>
      <c r="L35" s="102" t="inlineStr">
        <is>
          <t>화재연동 인터록 실부하 시험 시공계획서, 검측요청서 및 공인 시험성적서</t>
        </is>
      </c>
      <c r="M35" s="102"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103">
        <f>HYPERLINK(LEFT(CELL("filename",A1),FIND("[",CELL("filename",A1))-1)&amp;"10.기계분야\34_화재연동 인터록 실부하 시험\표준서\34_화재연동 인터록 실부하 시험_표준서.html", "👉 [클릭] 표준서 열기 📄")</f>
        <v/>
      </c>
      <c r="O35" s="102"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104">
        <f>HYPERLINK(LEFT(CELL("filename",A1),FIND("[",CELL("filename",A1))-1)&amp;"10.기계분야\34_화재연동 인터록 실부하 시험\수행지침\34_화재연동 인터록 실부하 시험_수행지침.html", "👉 [클릭] 수행지침 열기 📄")</f>
        <v/>
      </c>
      <c r="Q35" s="102" t="inlineStr">
        <is>
          <t>1) 화재 감지기 연동 시방 및 광전식 연기감지기/차동식 열감지기 화재 신호 기준을 100% 충족하였는가?
2) 공조기 전원 차단 검측 및 불합격 요소를 전면 차단하였는가?</t>
        </is>
      </c>
      <c r="R35" s="105">
        <f>HYPERLINK(LEFT(CELL("filename",A1),FIND("[",CELL("filename",A1))-1)&amp;"10.기계분야\34_화재연동 인터록 실부하 시험\체크리스트\34_화재연동 인터록 실부하 시험_체크리스트.html", "👉 [클릭] 체크리스트 열기 📄")</f>
        <v/>
      </c>
      <c r="S35" s="101" t="inlineStr">
        <is>
          <t>기계·소방 복합 시방 준수</t>
        </is>
      </c>
      <c r="T35" s="102" t="inlineStr">
        <is>
          <t>● KDS 47 철도설계기준, KCS 41 건축기계시방 및 NFTC/NFPC 화재안전기술기준 100% 준수</t>
        </is>
      </c>
      <c r="U35" s="97" t="inlineStr">
        <is>
          <t>1) 👉 [더블클릭] 체크리스트 열기 📄</t>
        </is>
      </c>
      <c r="V35" s="102" t="inlineStr">
        <is>
          <t>기계설비·소방 전문 감리 및 시공 기술자문단 상시 운영</t>
        </is>
      </c>
    </row>
    <row r="36" ht="36" customHeight="1">
      <c r="A36" s="87" t="inlineStr">
        <is>
          <t>9000</t>
        </is>
      </c>
      <c r="B36" s="87" t="inlineStr">
        <is>
          <t>9000-8</t>
        </is>
      </c>
      <c r="C36" s="87" t="inlineStr">
        <is>
          <t>기계설비·소방설비</t>
        </is>
      </c>
      <c r="D36" s="88" t="inlineStr">
        <is>
          <t>9000-8-35</t>
        </is>
      </c>
      <c r="E36" s="89" t="inlineStr">
        <is>
          <t>9000-8-34</t>
        </is>
      </c>
      <c r="F36" s="90" t="inlineStr">
        <is>
          <t>9000-8-36</t>
        </is>
      </c>
      <c r="G36" s="91" t="inlineStr">
        <is>
          <t>TAB(풍량_수량 밸런싱) 측정</t>
        </is>
      </c>
      <c r="H36" s="90" t="inlineStr">
        <is>
          <t>D+75</t>
        </is>
      </c>
      <c r="I36" s="89" t="inlineStr">
        <is>
          <t>기계/소방팀</t>
        </is>
      </c>
      <c r="J36" s="92" t="inlineStr">
        <is>
          <t>공조 및 배관 시스템의 완성도를 입증하고 실내 쾌적 환경과 에너지를 최적화하기 위해, 국가공인 TAB(Testing, Adjusting, Balancing) 전문기관에 의뢰하여 정거장 및 차량기지 전 구역의 공조 덕트 풍량, 디퓨저 취출 기류, 냉온수 배관 유량 및 실내 소음·차압을 정밀 측정하고 설계치 대비 오차 ±10% 이내로 균일 밸런싱한다.</t>
        </is>
      </c>
      <c r="K36" s="93" t="inlineStr">
        <is>
          <t>KCS 41 시방 기준 및 STEP 1: TAB 사전 검토 및 측정 계획서 수립, STEP 2: 공조 덕트 주풍량 및 디퓨저 풍량 측정·조정 절차서 준수 시공</t>
        </is>
      </c>
      <c r="L36" s="93" t="inlineStr">
        <is>
          <t>TAB(풍량_수량 밸런싱) 측정 시공계획서, 검측요청서 및 공인 시험성적서</t>
        </is>
      </c>
      <c r="M36" s="93"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94">
        <f>HYPERLINK(LEFT(CELL("filename",A1),FIND("[",CELL("filename",A1))-1)&amp;"10.기계분야\35_TAB(풍량_수량 밸런싱) 측정\표준서\35_TAB(풍량_수량 밸런싱) 측정_표준서.html", "👉 [클릭] 표준서 열기 📄")</f>
        <v/>
      </c>
      <c r="O36" s="93" t="inlineStr">
        <is>
          <t>1) STEP 1: TAB 사전 검토 및 측정 계획서 수립: 설계 도면, 장비 사양서, 계통도 사전 분석
2) STEP 2: 공조 덕트 주풍량 및 디퓨저 풍량 측정·조정: 피토관 및 플로우 후드를 이용한 비례조정</t>
        </is>
      </c>
      <c r="P36" s="95">
        <f>HYPERLINK(LEFT(CELL("filename",A1),FIND("[",CELL("filename",A1))-1)&amp;"10.기계분야\35_TAB(풍량_수량 밸런싱) 측정\수행지침\35_TAB(풍량_수량 밸런싱) 측정_수행지침.html", "👉 [클릭] 수행지침 열기 📄")</f>
        <v/>
      </c>
      <c r="Q36" s="93" t="inlineStr">
        <is>
          <t>1) 덕트 풍량 밸런싱 시방 및 주덕트 피토관 다점 측정 및 볼륨댐퍼(VD) 조정 기준을 100% 충족하였는가?
2) 디퓨저 취출 풍량 검측 및 불합격 요소를 전면 차단하였는가?</t>
        </is>
      </c>
      <c r="R36" s="96">
        <f>HYPERLINK(LEFT(CELL("filename",A1),FIND("[",CELL("filename",A1))-1)&amp;"10.기계분야\35_TAB(풍량_수량 밸런싱) 측정\체크리스트\35_TAB(풍량_수량 밸런싱) 측정_체크리스트.html", "👉 [클릭] 체크리스트 열기 📄")</f>
        <v/>
      </c>
      <c r="S36" s="89" t="inlineStr">
        <is>
          <t>기계·소방 복합 시방 준수</t>
        </is>
      </c>
      <c r="T36" s="93" t="inlineStr">
        <is>
          <t>● KDS 47 철도설계기준, KCS 41 건축기계시방 및 NFTC/NFPC 화재안전기술기준 100% 준수</t>
        </is>
      </c>
      <c r="U36" s="87" t="inlineStr">
        <is>
          <t>1) 👉 [더블클릭] 체크리스트 열기 📄</t>
        </is>
      </c>
      <c r="V36" s="93" t="inlineStr">
        <is>
          <t>기계설비·소방 전문 감리 및 시공 기술자문단 상시 운영</t>
        </is>
      </c>
    </row>
    <row r="37" ht="36" customHeight="1">
      <c r="A37" s="97" t="inlineStr">
        <is>
          <t>9000</t>
        </is>
      </c>
      <c r="B37" s="97" t="inlineStr">
        <is>
          <t>9000-8</t>
        </is>
      </c>
      <c r="C37" s="97" t="inlineStr">
        <is>
          <t>기계설비·소방설비</t>
        </is>
      </c>
      <c r="D37" s="98" t="inlineStr">
        <is>
          <t>9000-8-36</t>
        </is>
      </c>
      <c r="E37" s="101" t="inlineStr">
        <is>
          <t>9000-8-35</t>
        </is>
      </c>
      <c r="F37" s="99" t="inlineStr">
        <is>
          <t>-</t>
        </is>
      </c>
      <c r="G37" s="100" t="inlineStr">
        <is>
          <t>소방 완공검사 및 종합인계</t>
        </is>
      </c>
      <c r="H37" s="99" t="inlineStr">
        <is>
          <t>D+80</t>
        </is>
      </c>
      <c r="I37" s="101" t="inlineStr">
        <is>
          <t>기계/소방팀</t>
        </is>
      </c>
      <c r="J37" s="102" t="inlineStr">
        <is>
          <t>동탄트램 기계설비 및 소방공사의 최종 마무리를 위해 관할 소방서(화성소방서 등)의 엄격한 현장 실사를 통해 '소방시설 완공검사증명서(소방필증)'를 획득하고, 준공도면(As-Built), 장비 매뉴얼, 예비품 목록, 종합시운전 성적서를 완비하여 화성도시공사 기계·소방 운영유지관리팀에 무결점 종합 인수인계를 완료한다.</t>
        </is>
      </c>
      <c r="K37" s="102" t="inlineStr">
        <is>
          <t>KCS 41 시방 기준 및 STEP 1: 소방시설 완공검사 신청서 제출 및 사전 자체 점검, STEP 2: 관할 소방서 합동 현장 실사 및 성능 시연 절차서 준수 시공</t>
        </is>
      </c>
      <c r="L37" s="102" t="inlineStr">
        <is>
          <t>소방 완공검사 및 종합인계 시공계획서, 검측요청서 및 공인 시험성적서</t>
        </is>
      </c>
      <c r="M37" s="102"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103">
        <f>HYPERLINK(LEFT(CELL("filename",A1),FIND("[",CELL("filename",A1))-1)&amp;"10.기계분야\36_소방 완공검사 및 종합인계\표준서\36_소방 완공검사 및 종합인계_표준서.html", "👉 [클릭] 표준서 열기 📄")</f>
        <v/>
      </c>
      <c r="O37" s="102" t="inlineStr">
        <is>
          <t>1) STEP 1: 소방시설 완공검사 신청서 제출 및 사전 자체 점검: 모든 소방 설비 100% 작동 사전 리허설
2) STEP 2: 관할 소방서 합동 현장 실사 및 성능 시연: 소방관 입회 옥내소화전 방수 및 제연 시험</t>
        </is>
      </c>
      <c r="P37" s="104">
        <f>HYPERLINK(LEFT(CELL("filename",A1),FIND("[",CELL("filename",A1))-1)&amp;"10.기계분야\36_소방 완공검사 및 종합인계\수행지침\36_소방 완공검사 및 종합인계_수행지침.html", "👉 [클릭] 수행지침 열기 📄")</f>
        <v/>
      </c>
      <c r="Q37" s="102" t="inlineStr">
        <is>
          <t>1) 소방 완공검사 시방 및 관할 소방서 공무원 입회 현장 실사 및 성능 시험 기준을 100% 충족하였는가?
2) 준공도서(As-Built) 검측 및 불합격 요소를 전면 차단하였는가?</t>
        </is>
      </c>
      <c r="R37" s="105">
        <f>HYPERLINK(LEFT(CELL("filename",A1),FIND("[",CELL("filename",A1))-1)&amp;"10.기계분야\36_소방 완공검사 및 종합인계\체크리스트\36_소방 완공검사 및 종합인계_체크리스트.html", "👉 [클릭] 체크리스트 열기 📄")</f>
        <v/>
      </c>
      <c r="S37" s="101" t="inlineStr">
        <is>
          <t>기계·소방 복합 시방 준수</t>
        </is>
      </c>
      <c r="T37" s="102" t="inlineStr">
        <is>
          <t>● KDS 47 철도설계기준, KCS 41 건축기계시방 및 NFTC/NFPC 화재안전기술기준 100% 준수</t>
        </is>
      </c>
      <c r="U37" s="97" t="inlineStr">
        <is>
          <t>1) 👉 [더블클릭] 체크리스트 열기 📄</t>
        </is>
      </c>
      <c r="V37" s="102" t="inlineStr">
        <is>
          <t>기계설비·소방 전문 감리 및 시공 기술자문단 상시 운영</t>
        </is>
      </c>
    </row>
    <row r="38"/>
    <row r="39"/>
    <row r="40"/>
    <row r="41"/>
    <row r="42"/>
    <row r="43"/>
    <row r="44"/>
    <row r="45"/>
    <row r="46"/>
  </sheetData>
  <pageMargins left="0.7" right="0.7" top="0.75" bottom="0.75" header="0.3" footer="0.3"/>
  <pageSetup orientation="landscape" paperSize="8" verticalDpi="0"/>
</worksheet>
</file>

<file path=xl/worksheets/sheet11.xml><?xml version="1.0" encoding="utf-8"?>
<worksheet xmlns="http://schemas.openxmlformats.org/spreadsheetml/2006/main">
  <sheetPr codeName="Sheet11">
    <tabColor rgb="FFFFFF00"/>
    <outlinePr summaryBelow="1" summaryRight="1"/>
    <pageSetUpPr/>
  </sheetPr>
  <dimension ref="A1:A7"/>
  <sheetViews>
    <sheetView workbookViewId="0">
      <selection activeCell="N13" sqref="N13"/>
    </sheetView>
  </sheetViews>
  <sheetFormatPr baseColWidth="8" defaultRowHeight="17.4"/>
  <cols>
    <col width="29.69921875" customWidth="1" style="66" min="1" max="1"/>
  </cols>
  <sheetData>
    <row r="1">
      <c r="A1" s="67" t="inlineStr">
        <is>
          <t>창릉역</t>
        </is>
      </c>
    </row>
    <row r="2">
      <c r="A2" s="67" t="inlineStr">
        <is>
          <t>현장매뉴얼</t>
        </is>
      </c>
    </row>
    <row r="3">
      <c r="A3" s="67" t="inlineStr">
        <is>
          <t>트램특성적용</t>
        </is>
      </c>
    </row>
    <row r="4">
      <c r="A4" s="67" t="inlineStr">
        <is>
          <t>위례 계획 보고서</t>
        </is>
      </c>
    </row>
    <row r="5">
      <c r="A5" s="67" t="inlineStr">
        <is>
          <t>도로신호,기본설계보고서 참조</t>
        </is>
      </c>
    </row>
    <row r="6">
      <c r="A6" s="67" t="inlineStr">
        <is>
          <t>GTX A 전체본 (김영환 부장)</t>
        </is>
      </c>
    </row>
    <row r="7">
      <c r="A7" s="67" t="n"/>
    </row>
  </sheetData>
  <pageMargins left="0.7" right="0.7" top="0.75" bottom="0.75" header="0.3" footer="0.3"/>
  <pageSetup orientation="landscape" paperSize="8"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2026-08-14T14:01:26Z</dcterms:modified>
  <cp:lastModifiedBy>재형 김</cp:lastModifiedBy>
  <cp:lastPrinted>2026-07-31T05:24:59Z</cp:lastPrinted>
</cp:coreProperties>
</file>