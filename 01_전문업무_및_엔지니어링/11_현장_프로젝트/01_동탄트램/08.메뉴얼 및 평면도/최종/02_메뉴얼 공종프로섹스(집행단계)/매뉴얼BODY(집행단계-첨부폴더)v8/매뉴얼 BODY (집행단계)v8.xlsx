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771" firstSheet="0" activeTab="9" autoFilterDateGrouping="1"/>
  </bookViews>
  <sheets>
    <sheet xmlns:r="http://schemas.openxmlformats.org/officeDocument/2006/relationships" name="지반조사" sheetId="1" state="visible" r:id="rId1"/>
    <sheet xmlns:r="http://schemas.openxmlformats.org/officeDocument/2006/relationships" name="사전토공사" sheetId="2" state="visible" r:id="rId2"/>
    <sheet xmlns:r="http://schemas.openxmlformats.org/officeDocument/2006/relationships" name="지장물이설" sheetId="3" state="visible" r:id="rId3"/>
    <sheet xmlns:r="http://schemas.openxmlformats.org/officeDocument/2006/relationships" name="상부강화노반" sheetId="4" state="visible" r:id="rId4"/>
    <sheet xmlns:r="http://schemas.openxmlformats.org/officeDocument/2006/relationships" name="콘크리트도상" sheetId="5" state="visible" r:id="rId5"/>
    <sheet xmlns:r="http://schemas.openxmlformats.org/officeDocument/2006/relationships" name="건축" sheetId="6" state="visible" r:id="rId6"/>
    <sheet xmlns:r="http://schemas.openxmlformats.org/officeDocument/2006/relationships" name="신호" sheetId="7" state="visible" r:id="rId7"/>
    <sheet xmlns:r="http://schemas.openxmlformats.org/officeDocument/2006/relationships" name="전기" sheetId="8" state="visible" r:id="rId8"/>
    <sheet xmlns:r="http://schemas.openxmlformats.org/officeDocument/2006/relationships" name="통신" sheetId="9" state="visible" r:id="rId9"/>
    <sheet xmlns:r="http://schemas.openxmlformats.org/officeDocument/2006/relationships" name="기계" sheetId="10" state="visible" r:id="rId10"/>
    <sheet xmlns:r="http://schemas.openxmlformats.org/officeDocument/2006/relationships" name="철도종합시운전" sheetId="11" state="visible" r:id="rId11"/>
  </sheets>
  <definedNames>
    <definedName name="_xlnm.Print_Area" localSheetId="0">'지반조사'!$A$1:$T$37</definedName>
    <definedName name="_xlnm.Print_Titles" localSheetId="1">'사전토공사'!$1:$1</definedName>
    <definedName name="_xlnm.Print_Area" localSheetId="1">'사전토공사'!$A$1:$T$32</definedName>
    <definedName name="_xlnm.Print_Titles" localSheetId="2">'지장물이설'!$1:$1</definedName>
    <definedName name="_xlnm.Print_Area" localSheetId="2">'지장물이설'!$A$1:$S$39</definedName>
    <definedName name="_xlnm.Print_Area" localSheetId="3">'상부강화노반'!$A$1:$S$37</definedName>
    <definedName name="_xlnm.Print_Titles" localSheetId="4">'콘크리트도상'!$1:$1</definedName>
    <definedName name="_xlnm.Print_Area" localSheetId="4">'콘크리트도상'!$A$1:$R$24</definedName>
    <definedName name="_xlnm.Print_Area" localSheetId="5">'건축'!$A$1:$S$51</definedName>
    <definedName name="_xlnm.Print_Titles" localSheetId="6">'신호'!$1:$1</definedName>
    <definedName name="_xlnm.Print_Area" localSheetId="6">'신호'!$A$1:$S$23</definedName>
    <definedName name="_xlnm.Print_Area" localSheetId="7">'전기'!$A$1:$S$33</definedName>
    <definedName name="_xlnm.Print_Area" localSheetId="8">'통신'!$A$1:$S$33</definedName>
    <definedName name="_xlnm.Print_Titles" localSheetId="9">'기계'!$1:$1</definedName>
    <definedName name="_xlnm.Print_Area" localSheetId="9">'기계'!$A$1:$S$37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sz val="12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000FF"/>
      <sz val="9"/>
      <u val="single"/>
    </font>
    <font>
      <name val="맑은 고딕"/>
      <charset val="129"/>
      <family val="2"/>
      <b val="1"/>
      <color rgb="FF0000FF"/>
      <sz val="9"/>
      <u val="single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Arial"/>
      <family val="2"/>
      <b val="1"/>
      <color rgb="FF1F1F1F"/>
      <sz val="1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2"/>
      <scheme val="minor"/>
    </font>
    <font>
      <name val="맑은 고딕"/>
      <family val="2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0563C1"/>
      <sz val="9"/>
      <u val="single"/>
    </font>
    <font>
      <name val="맑은 고딕"/>
      <charset val="129"/>
      <family val="3"/>
      <b val="1"/>
      <color rgb="FF047857"/>
      <sz val="10"/>
      <u val="single"/>
    </font>
    <font>
      <name val="맑은 고딕"/>
      <charset val="129"/>
      <family val="3"/>
      <b val="1"/>
      <color rgb="FF0284C7"/>
      <sz val="10"/>
      <u val="single"/>
    </font>
    <font>
      <name val="맑은 고딕"/>
      <charset val="129"/>
      <family val="3"/>
      <b val="1"/>
      <color rgb="FFD97706"/>
      <sz val="10"/>
      <u val="single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E3A8A"/>
        <bgColor rgb="FF1E3A8A"/>
      </patternFill>
    </fill>
    <fill>
      <patternFill patternType="solid">
        <fgColor rgb="FF0F172A"/>
        <bgColor rgb="FF0F172A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6" fillId="4" borderId="5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6" fillId="4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5" fillId="0" borderId="1" applyAlignment="1" pivotButton="0" quotePrefix="1" xfId="0">
      <alignment vertical="center" wrapText="1"/>
    </xf>
    <xf numFmtId="0" fontId="15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6" fillId="0" borderId="1" applyAlignment="1" pivotButton="0" quotePrefix="1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15" fillId="0" borderId="1" applyAlignment="1" pivotButton="0" quotePrefix="1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readingOrder="1"/>
    </xf>
    <xf numFmtId="0" fontId="0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vertical="center" readingOrder="1"/>
    </xf>
    <xf numFmtId="0" fontId="10" fillId="0" borderId="1" applyAlignment="1" pivotButton="0" quotePrefix="0" xfId="0">
      <alignment horizontal="left" vertical="center" indent="1" readingOrder="1"/>
    </xf>
    <xf numFmtId="0" fontId="9" fillId="0" borderId="1" applyAlignment="1" pivotButton="0" quotePrefix="0" xfId="0">
      <alignment horizontal="left" vertical="center" indent="1" readingOrder="1"/>
    </xf>
    <xf numFmtId="1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top" wrapText="1"/>
    </xf>
    <xf numFmtId="0" fontId="17" fillId="0" borderId="1" pivotButton="0" quotePrefix="0" xfId="0"/>
    <xf numFmtId="0" fontId="17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top" wrapText="1"/>
    </xf>
    <xf numFmtId="0" fontId="17" fillId="0" borderId="3" applyAlignment="1" pivotButton="0" quotePrefix="0" xfId="0">
      <alignment horizontal="left" vertical="center" wrapText="1"/>
    </xf>
    <xf numFmtId="0" fontId="17" fillId="0" borderId="4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2.%EC%82%AC%EC%A0%84%ED%86%A0%EA%B3%B5%EC%82%AC/1_Site%20Survey/%EC%B2%B4%ED%81%AC%EB%A6%AC%EC%8A%A4%ED%8A%B8/Site%20Survey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2.%EC%82%AC%EC%A0%84%ED%86%A0%EA%B3%B5%EC%82%AC/5_%EA%B3%B5%EC%82%AC%EC%A4%91%20%EA%B5%90%ED%86%B5%EC%B2%98%EB%A6%AC%EA%B3%84%ED%9A%8D/%EC%B2%B4%ED%81%AC%EB%A6%AC%EC%8A%A4%ED%8A%B8/%EA%B3%B5%EC%82%AC%EC%A4%91%20%EA%B5%90%ED%86%B5%EC%B2%98%EB%A6%AC%EA%B3%84%ED%9A%8D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2.%EC%82%AC%EC%A0%84%ED%86%A0%EA%B3%B5%EC%82%AC/3_Site%20Survey%20Risk%20%EA%B2%80%ED%86%A0/%EC%B2%B4%ED%81%AC%EB%A6%AC%EC%8A%A4%ED%8A%B8/Site%20Survey%20Risk%20%EA%B2%80%ED%86%A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2.%EC%82%AC%EC%A0%84%ED%86%A0%EA%B3%B5%EC%82%AC/4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2.%EC%82%AC%EC%A0%84%ED%86%A0%EA%B3%B5%EC%82%AC/2_%EB%B0%9C%EC%A3%BC%EC%A0%84%EB%9E%B5%20KOM/%EC%B2%B4%ED%81%AC%EB%A6%AC%EC%8A%A4%ED%8A%B8/2_%EB%B0%9C%EC%A3%BC%EC%A0%84%EB%9E%B5%20KOM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2.%EC%82%AC%EC%A0%84%ED%86%A0%EA%B3%B5%EC%82%AC/8_%EC%B0%A9%EC%88%98%EC%A0%84%20Big%20Room%20%ED%9A%8C%EC%9D%98/%EC%B2%B4%ED%81%AC%EB%A6%AC%EC%8A%A4%ED%8A%B8/%EC%B0%A9%EC%88%98%EC%A0%84%20Big%20Room%20%ED%9A%8C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2.%EC%82%AC%EC%A0%84%ED%86%A0%EA%B3%B5%EC%82%AC/6_%EC%9E%90%EC%9E%AC%EB%B0%9C%EC%A3%BC%20%EC%9A%94%EC%B2%AD/%EC%B2%B4%ED%81%AC%EB%A6%AC%EC%8A%A4%ED%8A%B8/%EC%B0%A9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2.%EC%82%AC%EC%A0%84%ED%86%A0%EA%B3%B5%EC%82%AC/7_%EC%9A%A9%EC%A7%80%20%EC%82%AC%EC%9A%A9%20Risk%20%EA%B2%80%ED%86%A0/%EC%B2%B4%ED%81%AC%EB%A6%AC%EC%8A%A4%ED%8A%B8/%EC%9A%A9%EC%A7%80%20%EC%82%AC%EC%9A%A9%20Risk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2.%EC%82%AC%EC%A0%84%ED%86%A0%EA%B3%B5%EC%82%AC/9_%EC%9D%B8%ED%97%88%EA%B0%80%20%EC%A0%88%EC%B0%A8%20%EC%A7%84%ED%96%89/%EC%B2%B4%ED%81%AC%EB%A6%AC%EC%8A%A4%ED%8A%B8/%EC%9D%B8%ED%97%88%EA%B0%80%20%EC%A0%88%EC%B0%A8%20%EC%A7%84%ED%96%89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2.%EC%82%AC%EC%A0%84%ED%86%A0%EA%B3%B5%EC%82%AC/10_%EA%B5%90%ED%86%B5%EC%B2%98%EB%A6%AC%EB%8C%80%EC%B1%85%20%ED%98%91%EC%9D%98%20%EB%B0%8F%20%EC%8A%B9%EC%9D%B8/%EC%B2%B4%ED%81%AC%EB%A6%AC%EC%8A%A4%ED%8A%B8/%EA%B5%90%ED%86%B5%EC%B2%98%EB%A6%AC%EB%8C%80%EC%B1%85%20%ED%98%91%EC%9D%98%20%EB%B0%8F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2.%EC%82%AC%EC%A0%84%ED%86%A0%EA%B3%B5%EC%82%AC/11_%EC%A7%80%EC%9E%A5%EB%AC%BC%20%EA%B2%80%ED%86%A0%20%EB%B0%8F%20%ED%98%91%EC%9D%98/%EC%B2%B4%ED%81%AC%EB%A6%AC%EC%8A%A4%ED%8A%B8/%EC%A7%80%EC%9E%A5%EB%AC%BC%20%EA%B2%80%ED%86%A0%20%EB%B0%8F%20%ED%98%91%EC%9D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2.%EC%82%AC%EC%A0%84%ED%86%A0%EA%B3%B5%EC%82%AC/12_%EA%B8%B0%EA%B3%B5%EC%8A%B9%EB%82%99%20%EC%A0%81%EC%A0%95%EC%84%B1%20%EA%B2%80%ED%86%A0/%EC%B2%B4%ED%81%AC%EB%A6%AC%EC%8A%A4%ED%8A%B8/%EA%B8%B0%EA%B3%B5%EC%8A%B9%EB%82%99%20%EC%A0%81%EC%A0%95%EC%84%B1%20%EA%B2%80%ED%86%A0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2.%EC%82%AC%EC%A0%84%ED%86%A0%EA%B3%B5%EC%82%AC/13_%EB%AF%BC%EC%9B%90%20%EC%A0%80%EA%B0%90%20%EB%8C%80%EC%B1%85%20%EC%88%98%EB%A6%BD/%EC%B2%B4%ED%81%AC%EB%A6%AC%EC%8A%A4%ED%8A%B8/%EB%AF%BC%EC%9B%90%20%EC%A0%80%EA%B0%90%20%EB%8C%80%EC%B1%85%20%EC%88%98%EB%A6%BD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2.%EC%82%AC%EC%A0%84%ED%86%A0%EA%B3%B5%EC%82%AC/14_%EC%9A%A9%EC%A7%80%EB%B3%B4%EC%83%81%20Risk%20%ED%8C%8C%EC%95%85/%EC%B2%B4%ED%81%AC%EB%A6%AC%EC%8A%A4%ED%8A%B8/%EC%9A%A9%EC%A7%80%EB%B3%B4%EC%83%81%20Risk%20%ED%8C%8C%EC%95%85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2.%EC%82%AC%EC%A0%84%ED%86%A0%EA%B3%B5%EC%82%AC/15_%EC%8B%9C%EA%B3%B5%EA%B3%84%ED%9A%8D%EC%84%9C%20%EA%B2%80%ED%86%A0%20%EC%A7%80%EC%9B%90/%EC%B2%B4%ED%81%AC%EB%A6%AC%EC%8A%A4%ED%8A%B8/%EC%8B%9C%EA%B3%B5%EA%B3%84%ED%9A%8D%EC%84%9C%20%EA%B2%80%ED%86%A0%20%EC%A7%80%EC%9B%9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2.%EC%82%AC%EC%A0%84%ED%86%A0%EA%B3%B5%EC%82%AC/18_%EC%84%A4%EA%B3%84%EB%B3%80%EA%B2%BD%20%28%EC%B0%A9%EC%88%98%EC%A0%84%29/%EC%B2%B4%ED%81%AC%EB%A6%AC%EC%8A%A4%ED%8A%B8/%EC%84%A4%EA%B3%84%EB%B3%80%EA%B2%BD%20%28%EC%B0%A9%EC%88%98%EC%A0%84%29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2.%EC%82%AC%EC%A0%84%ED%86%A0%EA%B3%B5%EC%82%AC/16_%EC%8B%9C%EA%B3%B5%EA%B3%84%ED%9A%8D%20%EC%88%98%EB%A6%BD/%EC%B2%B4%ED%81%AC%EB%A6%AC%EC%8A%A4%ED%8A%B8/%EC%84%A4%EA%B3%84%EB%B3%80%EA%B2%BD%20%28%EC%B0%A9%EC%88%98%EC%A0%84%2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2.%EC%82%AC%EC%A0%84%ED%86%A0%EA%B3%B5%EC%82%AC/17_%ED%9B%84%ED%96%89%EA%B3%B5%EC%A2%85%20%EC%9A%94%EA%B5%AC%EC%A1%B0%EA%B1%B4%20%EB%B0%98%EC%98%81%20%EC%84%A4%EA%B3%84%EB%B3%80%EA%B2%BD%20%EA%B2%80%ED%86%A0/%EC%B2%B4%ED%81%AC%EB%A6%AC%EC%8A%A4%ED%8A%B8/%ED%9B%84%ED%96%89%EA%B3%B5%EC%A2%85%20%EC%9A%94%EA%B5%AC%EC%A1%B0%EA%B1%B4%20%EB%B0%98%EC%98%81%20%EC%84%A4%EA%B3%84%EB%B3%80%EA%B2%BD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2.%EC%82%AC%EC%A0%84%ED%86%A0%EA%B3%B5%EC%82%AC/19_%EC%84%A4%EA%B3%84%EB%B3%80%EA%B2%BD%20%EC%A7%80%EC%9B%90/%EC%B2%B4%ED%81%AC%EB%A6%AC%EC%8A%A4%ED%8A%B8/%EC%84%A4%EA%B3%84%EB%B3%80%EA%B2%BD%20%EC%A7%80%EC%9B%90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9"/><Relationship Type="http://schemas.openxmlformats.org/officeDocument/2006/relationships/hyperlink" Target="2.%EC%82%AC%EC%A0%84%ED%86%A0%EA%B3%B5%EC%82%AC/20_%EA%B5%90%ED%86%B5%EA%B4%80%EB%A6%AC%20%EB%B0%8F%20%EA%B5%90%ED%86%B5%EC%95%88%EC%A0%84%EC%8B%9C%EC%84%A4%20%EC%84%A4%EC%B9%98/%EC%B2%B4%ED%81%AC%EB%A6%AC%EC%8A%A4%ED%8A%B8/%EA%B5%90%ED%86%B5%EA%B4%80%EB%A6%AC%20%EB%B0%8F%20%EA%B5%90%ED%86%B5%EC%95%88%EC%A0%84%EC%8B%9C%EC%84%A4%20%EC%84%A4%EC%B9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1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3"/><Relationship Type="http://schemas.openxmlformats.org/officeDocument/2006/relationships/hyperlink" Target="2.%EC%82%AC%EC%A0%84%ED%86%A0%EA%B3%B5%EC%82%AC/21_%EC%9E%A5%EB%B9%84%20%EA%B2%80%EC%88%98%20%EC%A7%80%EC%9B%90/%EC%B2%B4%ED%81%AC%EB%A6%AC%EC%8A%A4%ED%8A%B8/%EC%9E%A5%EB%B9%84%20%EA%B2%80%EC%88%98%20%EC%A7%80%EC%9B%9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5"/><Relationship Type="http://schemas.openxmlformats.org/officeDocument/2006/relationships/hyperlink" Target="2.%EC%82%AC%EC%A0%84%ED%86%A0%EA%B3%B5%EC%82%AC/22_%EB%B2%8C%EB%AA%A9_%EB%B2%8C%EA%B7%BC%EC%A0%9C%EA%B1%B0/%EC%B2%B4%ED%81%AC%EB%A6%AC%EC%8A%A4%ED%8A%B8/%EB%B2%8C%EB%AA%A9_%EB%B2%8C%EA%B7%BC%EC%A0%9C%EA%B1%B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7"/><Relationship Type="http://schemas.openxmlformats.org/officeDocument/2006/relationships/hyperlink" Target="2.%EC%82%AC%EC%A0%84%ED%86%A0%EA%B3%B5%EC%82%AC/23_%EA%B8%B0%EC%A1%B4%EA%B5%AC%EC%A1%B0%EB%AC%BC%20_%20%EC%A7%80%EC%9E%A5%EB%AC%BC%20%EC%B2%98%EB%A6%AC/%EC%B2%B4%ED%81%AC%EB%A6%AC%EC%8A%A4%ED%8A%B8/%EA%B8%B0%EC%A1%B4%EA%B5%AC%EC%A1%B0%EB%AC%BC%20_%20%EC%A7%80%EC%9E%A5%EB%AC%BC%20%EC%B2%98%EB%A6%AC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9"/><Relationship Type="http://schemas.openxmlformats.org/officeDocument/2006/relationships/hyperlink" Target="2.%EC%82%AC%EC%A0%84%ED%86%A0%EA%B3%B5%EC%82%AC/24_%EC%A7%84%EC%9E%85%EB%A1%9C%20%EC%A1%B0%EC%84%B1/%EC%B2%B4%ED%81%AC%EB%A6%AC%EC%8A%A4%ED%8A%B8/%EC%A7%84%EC%9E%85%EB%A1%9C%20%EC%A1%B0%EC%84%B1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1"/><Relationship Type="http://schemas.openxmlformats.org/officeDocument/2006/relationships/hyperlink" Target="2.%EC%82%AC%EC%A0%84%ED%86%A0%EA%B3%B5%EC%82%AC/25_%EB%B0%B0%EC%88%98_%ED%99%98%EA%B2%BD%EC%8B%9C%EC%84%A4%20%EC%84%A4%EC%B9%98/%EC%B2%B4%ED%81%AC%EB%A6%AC%EC%8A%A4%ED%8A%B8/%EB%B0%B0%EC%88%98_%ED%99%98%EA%B2%BD%EC%8B%9C%EC%84%A4%20%EC%84%A4%EC%B9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3"/><Relationship Type="http://schemas.openxmlformats.org/officeDocument/2006/relationships/hyperlink" Target="2.%EC%82%AC%EC%A0%84%ED%86%A0%EA%B3%B5%EC%82%AC/26_%ED%86%A0%EA%B3%B5%20%EA%B5%B4%EC%B0%A9/%EC%B2%B4%ED%81%AC%EB%A6%AC%EC%8A%A4%ED%8A%B8/%ED%86%A0%EA%B3%B5%20%EA%B5%B4%EC%B0%A9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5"/><Relationship Type="http://schemas.openxmlformats.org/officeDocument/2006/relationships/hyperlink" Target="2.%EC%82%AC%EC%A0%84%ED%86%A0%EA%B3%B5%EC%82%AC/27_%EB%85%B8%EC%83%81%ED%86%A0%20%EC%A7%80%EC%A7%80%EB%A0%A5%20%ED%99%95%EC%9D%B8/%EC%B2%B4%ED%81%AC%EB%A6%AC%EC%8A%A4%ED%8A%B8/%EB%85%B8%EC%83%81%ED%86%A0%20%EC%A7%80%EC%A7%80%EB%A0%A5%20%ED%99%95%EC%9D%B8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7"/><Relationship Type="http://schemas.openxmlformats.org/officeDocument/2006/relationships/hyperlink" Target="2.%EC%82%AC%EC%A0%84%ED%86%A0%EA%B3%B5%EC%82%AC/28_%EC%8C%93%EA%B8%B0%20%EB%B0%8F%20%EB%8B%A4%EC%A7%90_%ED%95%84%EC%9A%94%EC%8B%9C/%EC%B2%B4%ED%81%AC%EB%A6%AC%EC%8A%A4%ED%8A%B8/%EC%8C%93%EA%B8%B0%20%EB%B0%8F%20%EB%8B%A4%EC%A7%90%28%ED%95%84%EC%9A%94%EC%8B%9C%29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9"/><Relationship Type="http://schemas.openxmlformats.org/officeDocument/2006/relationships/hyperlink" Target="2.%EC%82%AC%EC%A0%84%ED%86%A0%EA%B3%B5%EC%82%AC/29_%ED%98%84%EC%9E%A5%EC%A7%80%EC%9B%90/%EC%B2%B4%ED%81%AC%EB%A6%AC%EC%8A%A4%ED%8A%B8/%ED%98%84%EC%9E%A5%EC%A7%80%EC%9B%9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1"/><Relationship Type="http://schemas.openxmlformats.org/officeDocument/2006/relationships/hyperlink" Target="2.%EC%82%AC%EC%A0%84%ED%86%A0%EA%B3%B5%EC%82%AC/30_%EA%B0%95%ED%99%94%EB%85%B8%EB%B0%98%20%EC%9D%B8%EA%B3%84/%EC%B2%B4%ED%81%AC%EB%A6%AC%EC%8A%A4%ED%8A%B8/%EA%B0%95%ED%99%94%EB%85%B8%EB%B0%98%20%EC%9D%B8%EA%B3%84_%EC%B2%B4%ED%81%AC%EB%A6%AC%EC%8A%A4%ED%8A%B8.html" TargetMode="External" Id="rId62"/></Relationships>
</file>

<file path=xl/worksheets/_rels/sheet3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1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8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29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0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1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2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3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4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5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6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7"/><Relationship Type="http://schemas.openxmlformats.org/officeDocument/2006/relationships/hyperlink" Target="%EB%B6%84%EC%95%BC%EB%B3%84%EC%84%A4%EA%B3%84%EA%B8%B0%EC%A4%80%28%EC%84%A4%EA%B3%84%EC%82%AC%EC%A0%95%EB%A6%AC%29/%EB%8F%84%EB%A1%9C%EA%B3%B5%EC%82%AC%EC%9E%A5%20%EA%B5%90%ED%86%B5%EA%B4%80%EB%A6%AC%EC%A7%80%EC%B9%A8%20%EC%A0%84%EB%AC%B8.pdf" TargetMode="External" Id="rId38"/></Relationships>
</file>

<file path=xl/worksheets/_rels/sheet5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"/><Relationship Type="http://schemas.openxmlformats.org/officeDocument/2006/relationships/hyperlink" Target="5.%EC%BD%98%ED%81%AC%EB%A6%AC%ED%8A%B8%EB%8F%84%EC%83%81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"/><Relationship Type="http://schemas.openxmlformats.org/officeDocument/2006/relationships/hyperlink" Target="5.%EC%BD%98%ED%81%AC%EB%A6%AC%ED%8A%B8%EB%8F%84%EC%83%81/2_%EC%9E%90%EC%9E%AC%20%EC%95%BC%EC%A0%81%EC%9E%A5%20%EC%84%A0%EC%A0%95/%EC%B2%B4%ED%81%AC%EB%A6%AC%EC%8A%A4%ED%8A%B8/%EC%9E%90%EC%9E%AC%20%EC%95%BC%EC%A0%81%EC%9E%A5%20%EC%84%A0%EC%A0%95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5"/><Relationship Type="http://schemas.openxmlformats.org/officeDocument/2006/relationships/hyperlink" Target="5.%EC%BD%98%ED%81%AC%EB%A6%AC%ED%8A%B8%EB%8F%84%EC%83%81/3_%EB%A0%88%EC%9D%BC%20%EC%9A%A9%EC%A0%91%EC%9E%A5%20%EC%84%A0%EC%A0%95/%EC%B2%B4%ED%81%AC%EB%A6%AC%EC%8A%A4%ED%8A%B8/%EB%A0%88%EC%9D%BC%20%EC%9A%A9%EC%A0%91%EC%9E%A5%20%EC%84%A0%EC%A0%95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7"/><Relationship Type="http://schemas.openxmlformats.org/officeDocument/2006/relationships/hyperlink" Target="5.%EC%BD%98%ED%81%AC%EB%A6%AC%ED%8A%B8%EB%8F%84%EC%83%81/4_%EB%B0%9C%EC%A3%BC%EC%A0%84%EB%9E%B5%20KOM/%EC%B2%B4%ED%81%AC%EB%A6%AC%EC%8A%A4%ED%8A%B8/%EB%B0%9C%EC%A3%BC%EC%A0%84%EB%9E%B5%20KOM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9"/><Relationship Type="http://schemas.openxmlformats.org/officeDocument/2006/relationships/hyperlink" Target="5.%EC%BD%98%ED%81%AC%EB%A6%AC%ED%8A%B8%EB%8F%84%EC%83%81/5_%EC%B5%9C%EA%B3%A0%EC%9D%98%20%ED%8C%80%20%EB%A7%8C%EB%93%A4%EA%B8%B0%20%EC%A7%80%EC%9B%90/%EC%B2%B4%ED%81%AC%EB%A6%AC%EC%8A%A4%ED%8A%B8/%EC%B5%9C%EA%B3%A0%EC%9D%98%20%ED%8C%80%20%EB%A7%8C%EB%93%A4%EA%B8%B0%20%EC%A7%80%EC%9B%90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1"/><Relationship Type="http://schemas.openxmlformats.org/officeDocument/2006/relationships/hyperlink" Target="5.%EC%BD%98%ED%81%AC%EB%A6%AC%ED%8A%B8%EB%8F%84%EC%83%81/6_%EC%BD%98%ED%81%AC%EB%A6%AC%ED%8A%B8%20%ED%83%80%EC%84%A4%EB%B0%A9%EB%B2%95_%EA%B3%84%ED%9A%8D%20%EA%B2%80%ED%86%A0/%EC%B2%B4%ED%81%AC%EB%A6%AC%EC%8A%A4%ED%8A%B8/%EC%BD%98%ED%81%AC%EB%A6%AC%ED%8A%B8%20%ED%83%80%EC%84%A4%EB%B0%A9%EB%B2%95_%EA%B3%84%ED%9A%8D%20%EA%B2%80%ED%86%A0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3"/><Relationship Type="http://schemas.openxmlformats.org/officeDocument/2006/relationships/hyperlink" Target="5.%EC%BD%98%ED%81%AC%EB%A6%AC%ED%8A%B8%EB%8F%84%EC%83%81/7_%EC%9E%91%EC%88%98%EC%A0%84%20Big%20Room%20%ED%9A%8C%EC%9D%98/%EC%B2%B4%ED%81%AC%EB%A6%AC%EC%8A%A4%ED%8A%B8/%EC%9E%91%EC%88%98%EC%A0%84%20Big%20Room%20%ED%9A%8C%EC%9D%98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5"/><Relationship Type="http://schemas.openxmlformats.org/officeDocument/2006/relationships/hyperlink" Target="5.%EC%BD%98%ED%81%AC%EB%A6%AC%ED%8A%B8%EB%8F%84%EC%83%81/8_%EC%9E%A5%EB%B9%84%2C%EC%9E%90%EC%9E%AC%20%EB%B0%98%EC%9E%85%EB%A1%9C_%EB%B0%98%EC%9E%85%EA%B5%AC%20%EA%B0%84%EC%84%AD%20%EA%B2%80%ED%86%A0/%EC%B2%B4%ED%81%AC%EB%A6%AC%EC%8A%A4%ED%8A%B8/%EC%9E%A5%EB%B9%84%2C%EC%9E%90%EC%9E%AC%20%EB%B0%98%EC%9E%85%EB%A1%9C_%EB%B0%98%EC%9E%85%EA%B5%AC%20%EA%B0%84%EC%84%AD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7"/><Relationship Type="http://schemas.openxmlformats.org/officeDocument/2006/relationships/hyperlink" Target="5.%EC%BD%98%ED%81%AC%EB%A6%AC%ED%8A%B8%EB%8F%84%EC%83%81/9_%EC%9E%90%EC%9E%AC%EC%A1%B0%EB%8B%AC%EA%B3%84%ED%9A%8D%20%EA%B2%80%ED%86%A0/%EC%B2%B4%ED%81%AC%EB%A6%AC%EC%8A%A4%ED%8A%B8/%EC%9E%90%EC%9E%AC%EC%A1%B0%EB%8B%AC%EA%B3%84%ED%9A%8D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19"/><Relationship Type="http://schemas.openxmlformats.org/officeDocument/2006/relationships/hyperlink" Target="5.%EC%BD%98%ED%81%AC%EB%A6%AC%ED%8A%B8%EB%8F%84%EC%83%81/10_%EC%9E%90%EC%9E%AC%20%EB%B0%9C%EC%A3%BC%20%EC%9A%94%EC%B2%AD/%EC%B2%B4%ED%81%AC%EB%A6%AC%EC%8A%A4%ED%8A%B8/%EC%9E%90%EC%9E%AC%20%EB%B0%9C%EC%A3%BC%20%EC%9A%94%EC%B2%AD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1"/><Relationship Type="http://schemas.openxmlformats.org/officeDocument/2006/relationships/hyperlink" Target="5.%EC%BD%98%ED%81%AC%EB%A6%AC%ED%8A%B8%EB%8F%84%EC%83%81/11_%EC%8B%9C%EA%B3%B5%EA%B3%84%ED%9A%8D%20%EC%88%98%EB%A6%BD/%EC%B2%B4%ED%81%AC%EB%A6%AC%EC%8A%A4%ED%8A%B8/%EC%8B%9C%EA%B3%B5%EA%B3%84%ED%9A%8D%20%EC%88%98%EB%A6%BD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3"/><Relationship Type="http://schemas.openxmlformats.org/officeDocument/2006/relationships/hyperlink" Target="5.%EC%BD%98%ED%81%AC%EB%A6%AC%ED%8A%B8%EB%8F%84%EC%83%81/12_%EC%9E%90%EC%9E%AC%20%EB%B0%98%EC%9E%85/%EC%B2%B4%ED%81%AC%EB%A6%AC%EC%8A%A4%ED%8A%B8/%EC%9E%90%EC%9E%AC%20%EB%B0%98%EC%9E%85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5"/><Relationship Type="http://schemas.openxmlformats.org/officeDocument/2006/relationships/hyperlink" Target="5.%EC%BD%98%ED%81%AC%EB%A6%AC%ED%8A%B8%EB%8F%84%EC%83%81/13_%5BHBS%5D%20%EA%B0%95%ED%99%94%EB%85%B8%EB%B0%98%20%ED%99%95%EC%9D%B8/%EC%B2%B4%ED%81%AC%EB%A6%AC%EC%8A%A4%ED%8A%B8/13_%5BHBS%5D%20%EA%B0%95%ED%99%94%EB%85%B8%EB%B0%98%20%ED%99%95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7"/><Relationship Type="http://schemas.openxmlformats.org/officeDocument/2006/relationships/hyperlink" Target="5.%EC%BD%98%ED%81%AC%EB%A6%AC%ED%8A%B8%EB%8F%84%EC%83%81/14_%5BHBS%5D%20%EC%BD%98%ED%81%AC%EB%A6%AC%ED%8A%B8%20%ED%83%80%EC%84%A4%20%EB%B0%8F%20%EC%96%91%EC%83%9D/%EC%B2%B4%ED%81%AC%EB%A6%AC%EC%8A%A4%ED%8A%B8/14_%5BHBS%5D%20%EC%BD%98%ED%81%AC%EB%A6%AC%ED%8A%B8%20%ED%83%80%EC%84%A4%20%EB%B0%8F%20%EC%96%91%EC%83%9D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29"/><Relationship Type="http://schemas.openxmlformats.org/officeDocument/2006/relationships/hyperlink" Target="5.%EC%BD%98%ED%81%AC%EB%A6%AC%ED%8A%B8%EB%8F%84%EC%83%81/15_%5B%EB%B0%98-PC%20%EC%8A%AC%EB%9E%98%EB%B8%8C%5D%20%ED%8C%A8%EB%84%90%EB%B0%98%EC%9E%85%20%EB%B0%8F%20%EC%84%A4%EC%B9%98/%EC%B2%B4%ED%81%AC%EB%A6%AC%EC%8A%A4%ED%8A%B8/15_%5B%EB%B0%98-PC%20%EC%8A%AC%EB%9E%98%EB%B8%8C%5D%20%ED%8C%A8%EB%84%90%EB%B0%98%EC%9E%85%20%EB%B0%8F%20%EC%84%A4%EC%B9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1"/><Relationship Type="http://schemas.openxmlformats.org/officeDocument/2006/relationships/hyperlink" Target="5.%EC%BD%98%ED%81%AC%EB%A6%AC%ED%8A%B8%EB%8F%84%EC%83%81/16_%5BPST%5D%20%EC%A0%84%EB%8B%A8%EC%95%B5%EC%BB%A4%EC%84%A4%EC%B9%98%20%EB%B0%8F%20%EC%B6%A9%EC%A0%84%EC%9E%AC%20%EC%A3%BC%EC%9E%85/%EC%B2%B4%ED%81%AC%EB%A6%AC%EC%8A%A4%ED%8A%B8/16_%5BPST%5D%20%EC%A0%84%EB%8B%A8%EC%95%B5%EC%BB%A4%EC%84%A4%EC%B9%98%20%EB%B0%8F%20%EC%B6%A9%EC%A0%84%EC%9E%AC%20%EC%A3%BC%EC%9E%85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3"/><Relationship Type="http://schemas.openxmlformats.org/officeDocument/2006/relationships/hyperlink" Target="5.%EC%BD%98%ED%81%AC%EB%A6%AC%ED%8A%B8%EB%8F%84%EC%83%81/17_%5BTCL%5D%20%EA%B6%A4%EA%B4%91%20%EB%B0%8F%20%EC%B2%A0%EA%B7%BC%20%EC%A1%B0%EB%A6%BD/%EC%B2%B4%ED%81%AC%EB%A6%AC%EC%8A%A4%ED%8A%B8/%5BTCL%5D%20%EA%B6%A4%EA%B4%91%20%EB%B0%8F%20%EC%B2%A0%EA%B7%BC%20%EC%A1%B0%EB%A6%BD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5"/><Relationship Type="http://schemas.openxmlformats.org/officeDocument/2006/relationships/hyperlink" Target="5.%EC%BD%98%ED%81%AC%EB%A6%AC%ED%8A%B8%EB%8F%84%EC%83%81/18_%5BTCL%5D%20%EA%B1%B0%ED%91%B8%EC%A7%91%20%EC%84%A4%EC%B9%98/%EC%B2%B4%ED%81%AC%EB%A6%AC%EC%8A%A4%ED%8A%B8/%5BTCL%5D%20%EA%B1%B0%ED%91%B8%EC%A7%91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7"/><Relationship Type="http://schemas.openxmlformats.org/officeDocument/2006/relationships/hyperlink" Target="5.%EC%BD%98%ED%81%AC%EB%A6%AC%ED%8A%B8%EB%8F%84%EC%83%81/19_%5BTCL%5D%20%EC%BD%98%ED%81%AC%EB%A6%AC%ED%8A%B8%20%ED%83%80%EC%84%A4%20%EB%B0%8F%20%EC%96%91%EC%83%9D/%EC%B2%B4%ED%81%AC%EB%A6%AC%EC%8A%A4%ED%8A%B8/%5BTCL%5D%20%EC%BD%98%ED%81%AC%EB%A6%AC%ED%8A%B8%ED%83%80%EC%84%A4%EB%B0%8F%EC%96%91%EC%83%9D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39"/><Relationship Type="http://schemas.openxmlformats.org/officeDocument/2006/relationships/hyperlink" Target="5.%EC%BD%98%ED%81%AC%EB%A6%AC%ED%8A%B8%EB%8F%84%EC%83%81/20_%5B%EB%A0%88%EC%9D%BC%EC%9A%A9%EC%A0%91%5D%20%EA%B0%80%EC%8A%A4%20%EC%95%95%EC%A0%91/%EC%B2%B4%ED%81%AC%EB%A6%AC%EC%8A%A4%ED%8A%B8/%5B%EB%A0%88%EC%9D%BC%EC%9A%A9%EC%A0%91%5D%20%EA%B0%80%EC%8A%A4%EC%95%95%EC%A0%91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1"/><Relationship Type="http://schemas.openxmlformats.org/officeDocument/2006/relationships/hyperlink" Target="5.%EC%BD%98%ED%81%AC%EB%A6%AC%ED%8A%B8%EB%8F%84%EC%83%81/21_%5B%EB%A0%88%EC%9D%BC%EC%9A%A9%EC%A0%91%5D%20%ED%85%8C%EB%A5%B4%EB%B0%8B%20%EC%9A%A9%EC%A0%91/%EC%B2%B4%ED%81%AC%EB%A6%AC%EC%8A%A4%ED%8A%B8/%5B%EB%A0%88%EC%9D%BC%EC%9A%A9%EC%A0%91%5D%20%ED%85%8C%EB%A5%B4%EB%B0%8B%EC%9A%A9%EC%A0%91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3"/><Relationship Type="http://schemas.openxmlformats.org/officeDocument/2006/relationships/hyperlink" Target="5.%EC%BD%98%ED%81%AC%EB%A6%AC%ED%8A%B8%EB%8F%84%EC%83%81/22_%5B%EB%A0%88%EC%9D%BC%EC%97%B0%EB%A7%88%5D%20%EB%A0%88%EC%9D%BC%EC%97%B0%EB%A7%88%20or%20%EB%B0%80%EB%A7%81/%EC%B2%B4%ED%81%AC%EB%A6%AC%EC%8A%A4%ED%8A%B8/%5B%EB%A0%88%EC%9D%BC%EC%97%B0%EB%A7%88%5D%20%EB%A0%88%EC%9D%BC%EC%97%B0%EB%A7%88%20or%20%EB%B0%80%EB%A7%81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B2%A0%EB%8F%84%EA%B3%84%ED%9A%8D%EB%B6%84%EC%95%BC%20%EC%84%A0%EB%A1%9C%20%EC%84%A4%EA%B3%84%EA%B8%B0%EC%A4%80%20%EA%B2%80%ED%86%A0.pdf" TargetMode="External" Id="rId45"/><Relationship Type="http://schemas.openxmlformats.org/officeDocument/2006/relationships/hyperlink" Target="5.%EC%BD%98%ED%81%AC%EB%A6%AC%ED%8A%B8%EB%8F%84%EC%83%81/23_%ED%9B%84%EC%86%8D%EA%B3%B5%EC%82%AC%20%EC%9D%B8%EC%88%98%EC%9D%B8%EA%B3%84/%EC%B2%B4%ED%81%AC%EB%A6%AC%EC%8A%A4%ED%8A%B8/%ED%9B%84%EC%86%8D%EA%B3%B5%EC%82%AC%20%EC%9D%B8%EC%88%98%EC%9D%B8%EA%B3%84_%EC%B2%B4%ED%81%AC%EB%A6%AC%EC%8A%A4%ED%8A%B8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"/><Relationship Type="http://schemas.openxmlformats.org/officeDocument/2006/relationships/hyperlink" Target="6.%EA%B1%B4%EC%B6%95/1_%EC%84%A4%EA%B3%84%20%EC%A0%81%EC%A0%95%EC%84%B1%20%EA%B2%80%ED%86%A0/%EC%B2%B4%ED%81%AC%EB%A6%AC%EC%8A%A4%ED%8A%B8/%EC%84%A4%EA%B3%84%20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"/><Relationship Type="http://schemas.openxmlformats.org/officeDocument/2006/relationships/hyperlink" Target="6.%EA%B1%B4%EC%B6%95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"/><Relationship Type="http://schemas.openxmlformats.org/officeDocument/2006/relationships/hyperlink" Target="6.%EA%B1%B4%EC%B6%95/3_%EC%B0%A9%EA%B3%B5%EC%A0%84%20%EA%B1%B4%EC%B6%95%20%EC%9D%B8%ED%97%88%EA%B0%80/%EC%B2%B4%ED%81%AC%EB%A6%AC%EC%8A%A4%ED%8A%B8/%EC%B0%A9%EA%B3%B5%EC%A0%84%20%EA%B1%B4%EC%B6%95%20%EC%9D%B8%ED%97%88%EA%B0%80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"/><Relationship Type="http://schemas.openxmlformats.org/officeDocument/2006/relationships/hyperlink" Target="6.%EA%B1%B4%EC%B6%95/4_%EA%B1%B4%EC%B6%95%ED%97%88%EA%B0%80%20%EC%9A%94%EC%B2%AD/%EC%B2%B4%ED%81%AC%EB%A6%AC%EC%8A%A4%ED%8A%B8/%EA%B1%B4%EC%B6%95%ED%97%88%EA%B0%80%20%EC%9A%94%EC%B2%AD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"/><Relationship Type="http://schemas.openxmlformats.org/officeDocument/2006/relationships/hyperlink" Target="6.%EA%B1%B4%EC%B6%95/5_%EC%B0%A9%EA%B3%B5%EC%8B%A0%EA%B3%A0%EC%84%9C%20%EC%A0%9C%EC%B6%9C/%EC%B2%B4%ED%81%AC%EB%A6%AC%EC%8A%A4%ED%8A%B8/%EC%B0%A9%EA%B3%B5%EC%8B%A0%EA%B3%A0%EC%84%9C%20%EC%A0%9C%EC%B6%9C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1"/><Relationship Type="http://schemas.openxmlformats.org/officeDocument/2006/relationships/hyperlink" Target="6.%EA%B1%B4%EC%B6%95/6_%EC%86%8C%EB%B0%A9%EC%8B%9C%EC%84%A4%EA%B3%B5%EC%82%AC%20%EC%B0%A9%EA%B3%B5%20%EC%8B%A0%EA%B3%A0%EC%84%9C%20%EC%A0%9C%EC%B6%9C/%EC%B2%B4%ED%81%AC%EB%A6%AC%EC%8A%A4%ED%8A%B8/%EC%86%8C%EB%B0%A9%EC%8B%9C%EC%84%A4%EA%B3%B5%EC%82%AC%20%EC%B0%A9%EA%B3%B5%20%EC%8B%A0%EA%B3%A0%EC%84%9C%20%EC%A0%9C%EC%B6%9C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3"/><Relationship Type="http://schemas.openxmlformats.org/officeDocument/2006/relationships/hyperlink" Target="6.%EA%B1%B4%EC%B6%95/7_%EC%A0%95%EB%B3%B4%ED%86%B5%EC%8B%A0%EA%B3%B5%EC%82%AC%20%EC%B0%A9%EA%B3%B5%EC%A0%84%20%EC%84%A4%EA%B3%84%EB%8F%84%20%ED%99%95%EC%9D%B8%20%28%EC%8B%A0%EC%B2%AD%EC%84%9C%20%EC%A0%9C%EC%B6%9C%20%EB%B0%8F%20%EA%B2%B0%EA%B3%BC%20%EC%A0%91%EC%88%98%29/%EC%B2%B4%ED%81%AC%EB%A6%AC%EC%8A%A4%ED%8A%B8/%EC%A0%95%EB%B3%B4%ED%86%B5%EC%8B%A0%EA%B3%B5%EC%82%AC%20%EC%B0%A9%EA%B3%B5%EC%A0%84%20%EC%84%A4%EA%B3%84%EB%8F%84%20%ED%99%95%EC%9D%B8%20%28%EC%8B%A0%EC%B2%AD%EC%84%9C%20%EC%A0%9C%EC%B6%9C%20%EB%B0%8F%20%EA%B2%B0%EA%B3%BC%20%EC%A0%91%EC%88%98%29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5"/><Relationship Type="http://schemas.openxmlformats.org/officeDocument/2006/relationships/hyperlink" Target="6.%EA%B1%B4%EC%B6%95/8_%EC%84%A0%ED%96%89%EA%B3%B5%EC%A2%85%20%EC%9D%B8%EC%88%98%EC%82%AC%ED%95%AD%20%ED%99%95%EC%9D%B8/%EC%B2%B4%ED%81%AC%EB%A6%AC%EC%8A%A4%ED%8A%B8/%EC%84%A0%ED%96%89%EA%B3%B5%EC%A2%85%20%EC%9D%B8%EC%88%98%EC%82%AC%ED%95%AD%20%ED%99%95%EC%9D%B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7"/><Relationship Type="http://schemas.openxmlformats.org/officeDocument/2006/relationships/hyperlink" Target="6.%EA%B1%B4%EC%B6%95/9_%EC%9D%B8%ED%84%B0%ED%8E%98%EC%9D%B4%EC%8A%A4%20%EC%82%AC%ED%95%AD%20%EA%B2%80%ED%86%A0%20%EB%B0%8F%20%EC%A7%80%EC%9B%90/%EC%B2%B4%ED%81%AC%EB%A6%AC%EC%8A%A4%ED%8A%B8/%EC%9D%B8%ED%84%B0%ED%8E%98%EC%9D%B4%EC%8A%A4%20%EC%82%AC%ED%95%AD%20%EA%B2%80%ED%86%A0%20%EB%B0%8F%20%EC%A7%80%EC%9B%9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19"/><Relationship Type="http://schemas.openxmlformats.org/officeDocument/2006/relationships/hyperlink" Target="6.%EA%B1%B4%EC%B6%95/10_%ED%92%88%EC%A7%88_%EC%95%88%EC%A0%84%20LL%20%EA%B3%B5%EC%9C%A0/%EC%B2%B4%ED%81%AC%EB%A6%AC%EC%8A%A4%ED%8A%B8/%ED%92%88%EC%A7%88_%EC%95%88%EC%A0%84%20LL%20%EA%B3%B5%EC%9C%A0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1"/><Relationship Type="http://schemas.openxmlformats.org/officeDocument/2006/relationships/hyperlink" Target="6.%EA%B1%B4%EC%B6%95/11_%EC%9E%90%EC%9E%AC%EA%B3%B5%EA%B8%89%EC%9B%90%EC%8A%B9%EC%9D%B8%20%EB%B0%8F%20%EC%9E%90%EC%9E%AC%EB%B0%9C%EC%A3%BC/%EC%B2%B4%ED%81%AC%EB%A6%AC%EC%8A%A4%ED%8A%B8/%EC%9E%90%EC%9E%AC%EA%B3%B5%EA%B8%89%EC%9B%90%EC%8A%B9%EC%9D%B8%20%EB%B0%8F%20%EC%9E%90%EC%9E%AC%EB%B0%9C%EC%A3%BC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3"/><Relationship Type="http://schemas.openxmlformats.org/officeDocument/2006/relationships/hyperlink" Target="6.%EA%B1%B4%EC%B6%95/12_%EC%B0%A9%EC%88%98%EC%A0%84%20Big%20Room%20%ED%9A%8C%EC%9D%98/%EC%B2%B4%ED%81%AC%EB%A6%AC%EC%8A%A4%ED%8A%B8/%EC%B0%A9%EC%88%98%EC%A0%84%20Big%20Room%20%ED%9A%8C%EC%9D%9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5"/><Relationship Type="http://schemas.openxmlformats.org/officeDocument/2006/relationships/hyperlink" Target="6.%EA%B1%B4%EC%B6%95/13_%EC%8B%9C%EA%B3%B5%EA%B3%84%ED%9A%8D%20%EC%88%98%EB%A6%BD_%EC%8A%B9%EC%9D%B8/%EC%B2%B4%ED%81%AC%EB%A6%AC%EC%8A%A4%ED%8A%B8/%EC%8B%9C%EA%B3%B5%EA%B3%84%ED%9A%8D%20%EC%88%98%EB%A6%BD_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7"/><Relationship Type="http://schemas.openxmlformats.org/officeDocument/2006/relationships/hyperlink" Target="6.%EA%B1%B4%EC%B6%95/14_%EC%B8%A1%EB%9F%89%2C%20%EC%9E%90%EC%9E%AC_%EC%9E%A5%EB%B9%84%20%EB%B0%98%EC%9E%85%2C%20%EC%95%88%EC%A0%84%EA%B5%90%EC%9C%A1/%EC%B2%B4%ED%81%AC%EB%A6%AC%EC%8A%A4%ED%8A%B8/%EC%B8%A1%EB%9F%89%2C%20%EC%9E%90%EC%9E%AC_%EC%9E%A5%EB%B9%84%20%EB%B0%98%EC%9E%85%2C%20%EC%95%88%EC%A0%84%EA%B5%90%EC%9C%A1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29"/><Relationship Type="http://schemas.openxmlformats.org/officeDocument/2006/relationships/hyperlink" Target="6.%EA%B1%B4%EC%B6%95/15_%EC%9E%90%EC%9E%AC%20%EA%B2%80%EC%88%98/%EC%B2%B4%ED%81%AC%EB%A6%AC%EC%8A%A4%ED%8A%B8/%EC%9E%90%EC%9E%AC%20%EA%B2%80%EC%88%98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1"/><Relationship Type="http://schemas.openxmlformats.org/officeDocument/2006/relationships/hyperlink" Target="6.%EA%B1%B4%EC%B6%95/16_%ED%84%B0%ED%8C%8C%EA%B8%B0_%EC%A7%80%EB%B0%98%20%EC%A0%95%EB%A6%AC/%EC%B2%B4%ED%81%AC%EB%A6%AC%EC%8A%A4%ED%8A%B8/%ED%84%B0%ED%8C%8C%EA%B8%B0_%EC%A7%80%EB%B0%98%20%EC%A0%95%EB%A6%AC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3"/><Relationship Type="http://schemas.openxmlformats.org/officeDocument/2006/relationships/hyperlink" Target="6.%EA%B1%B4%EC%B6%95/17_%EB%B0%94%EB%8B%A5%28%EB%B2%84%EB%A6%BC%29%20%EC%BD%98%ED%81%AC%EB%A6%AC%ED%8A%B8%20%ED%83%80%EC%84%A4/%EC%B2%B4%ED%81%AC%EB%A6%AC%EC%8A%A4%ED%8A%B8/%EB%B0%94%EB%8B%A5%28%EB%B2%84%EB%A6%BC%29%20%EC%BD%98%ED%81%AC%EB%A6%AC%ED%8A%B8%20%ED%83%80%EC%84%A4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5"/><Relationship Type="http://schemas.openxmlformats.org/officeDocument/2006/relationships/hyperlink" Target="6.%EA%B1%B4%EC%B6%95/18_%EC%9D%B8%ED%84%B0%ED%8E%98%EC%9D%B4%EC%8A%A4%20%ED%9A%8C%EC%9D%98%28%EB%A7%A4%EC%A3%BC%29/%EC%B2%B4%ED%81%AC%EB%A6%AC%EC%8A%A4%ED%8A%B8/%EC%9D%B8%ED%84%B0%ED%8E%98%EC%9D%B4%EC%8A%A4%20%ED%9A%8C%EC%9D%98%28%EB%A7%A4%EC%A3%BC%29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7"/><Relationship Type="http://schemas.openxmlformats.org/officeDocument/2006/relationships/hyperlink" Target="6.%EA%B1%B4%EC%B6%95/19_%EC%9D%B8%ED%84%B0%ED%8E%98%EC%9D%B4%EC%8A%A4%20%EA%B0%81%20%EA%B3%B5%EC%A2%85%EB%B3%84%20Issue%20%28%EA%B8%B0%EA%B3%84%2C%20%EC%A0%84%EA%B8%B0%2C%20%ED%86%B5%EC%8B%A0%EB%B6%84%EC%95%BC%29/%EC%B2%B4%ED%81%AC%EB%A6%AC%EC%8A%A4%ED%8A%B8/%EC%9D%B8%ED%84%B0%ED%8E%98%EC%9D%B4%EC%8A%A4%20%EA%B0%81%20%EA%B3%B5%EC%A2%85%EB%B3%84%20Issue%20%28%EA%B8%B0%EA%B3%84%2C%20%EC%A0%84%EA%B8%B0%2C%20%ED%86%B5%EC%8B%A0%EB%B6%84%EC%95%BC%29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39"/><Relationship Type="http://schemas.openxmlformats.org/officeDocument/2006/relationships/hyperlink" Target="6.%EA%B1%B4%EC%B6%95/20_%EC%9D%B8%ED%84%B0%ED%8E%98%EC%9D%B4%EC%8A%A4%20%EA%B0%81%20%EA%B3%B5%EC%A2%85%EB%B3%84%20Issue%20%28%ED%86%A0%EB%AA%A9%EB%B6%84%EC%95%BC%29/%EC%B2%B4%ED%81%AC%EB%A6%AC%EC%8A%A4%ED%8A%B8/%EC%9D%B8%ED%84%B0%ED%8E%98%EC%9D%B4%EC%8A%A4%20%EA%B0%81%20%EA%B3%B5%EC%A2%85%EB%B3%84%20Issue%20%28%ED%86%A0%EB%AA%A9%EB%B6%84%EC%95%BC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1"/><Relationship Type="http://schemas.openxmlformats.org/officeDocument/2006/relationships/hyperlink" Target="6.%EA%B1%B4%EC%B6%95/21_%EA%B8%B0%EC%B4%88~%EC%83%81%EB%B6%80%EC%8A%AC%EB%9D%BC%EB%B8%8C%20%EA%B5%AC%EC%A1%B0%EB%AC%BC%20%EC%8B%9C%EA%B3%B5/%EC%B2%B4%ED%81%AC%EB%A6%AC%EC%8A%A4%ED%8A%B8/%EA%B8%B0%EC%B4%88~%EC%83%81%EB%B6%80%EC%8A%AC%EB%9D%BC%EB%B8%8C%20%EA%B5%AC%EC%A1%B0%EB%AC%BC%20%EC%8B%9C%EA%B3%B5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3"/><Relationship Type="http://schemas.openxmlformats.org/officeDocument/2006/relationships/hyperlink" Target="6.%EA%B1%B4%EC%B6%95/22_%EC%B2%A0%EA%B7%BC%20%EA%B0%80%EA%B3%B5/%EC%B2%B4%ED%81%AC%EB%A6%AC%EC%8A%A4%ED%8A%B8/%EC%B2%A0%EA%B7%BC%20%EA%B0%80%EA%B3%B5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5"/><Relationship Type="http://schemas.openxmlformats.org/officeDocument/2006/relationships/hyperlink" Target="6.%EA%B1%B4%EC%B6%95/23_%EC%9E%91%EC%97%85%EB%B0%9C%ED%8C%90%2C%20%EB%B9%84%EA%B3%84%20%EB%B0%8F%20%EB%8F%99%EB%B0%94%EB%A6%AC%20%EC%84%A4%EC%B9%98/%EC%B2%B4%ED%81%AC%EB%A6%AC%EC%8A%A4%ED%8A%B8/%EC%9E%91%EC%97%85%EB%B0%9C%ED%8C%90%2C%20%EB%B9%84%EA%B3%84%20%EB%B0%8F%20%EB%8F%99%EB%B0%94%EB%A6%AC%20%EC%84%A4%EC%B9%98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7"/><Relationship Type="http://schemas.openxmlformats.org/officeDocument/2006/relationships/hyperlink" Target="6.%EA%B1%B4%EC%B6%95/24_%EC%B2%A0%EA%B7%BC%20%EC%A1%B0%EB%A6%BD/%EC%B2%B4%ED%81%AC%EB%A6%AC%EC%8A%A4%ED%8A%B8/%EC%B2%A0%EA%B7%BC%20%EC%A1%B0%EB%A6%BD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49"/><Relationship Type="http://schemas.openxmlformats.org/officeDocument/2006/relationships/hyperlink" Target="6.%EA%B1%B4%EC%B6%95/25_%EA%B1%B0%ED%91%B8%EC%A7%91%20%EC%A1%B0%EB%A6%BD/%EC%B2%B4%ED%81%AC%EB%A6%AC%EC%8A%A4%ED%8A%B8/%EA%B1%B0%ED%91%B8%EC%A7%91%20%EC%A1%B0%EB%A6%BD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1"/><Relationship Type="http://schemas.openxmlformats.org/officeDocument/2006/relationships/hyperlink" Target="6.%EA%B1%B4%EC%B6%95/26_%EC%BD%98%ED%81%AC%EB%A6%AC%ED%8A%B8%20%ED%83%80%EC%84%A4%20%EB%B0%8F%20%EB%8B%A4%EC%A7%90/%EC%B2%B4%ED%81%AC%EB%A6%AC%EC%8A%A4%ED%8A%B8/%EC%BD%98%ED%81%AC%EB%A6%AC%ED%8A%B8%20%ED%83%80%EC%84%A4%20%EB%B0%8F%20%EB%8B%A4%EC%A7%9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3"/><Relationship Type="http://schemas.openxmlformats.org/officeDocument/2006/relationships/hyperlink" Target="6.%EA%B1%B4%EC%B6%95/27_%EA%B1%B0%ED%91%B8%EC%A7%91%20%ED%95%B4%EC%B2%B4/%EC%B2%B4%ED%81%AC%EB%A6%AC%EC%8A%A4%ED%8A%B8/%EA%B1%B0%ED%91%B8%EC%A7%91%20%ED%95%B4%EC%B2%B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5"/><Relationship Type="http://schemas.openxmlformats.org/officeDocument/2006/relationships/hyperlink" Target="6.%EA%B1%B4%EC%B6%95/28_%EA%B1%B4%EC%B6%95%20%EB%82%B4%EB%B6%80%20%EB%B0%8F%20%EB%A7%88%EA%B0%90%EA%B3%B5%EC%82%AC/%EC%B2%B4%ED%81%AC%EB%A6%AC%EC%8A%A4%ED%8A%B8/%EA%B1%B4%EC%B6%95%20%EB%82%B4%EB%B6%80%20%EB%B0%8F%20%EB%A7%88%EA%B0%90%EA%B3%B5%EC%82%AC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7"/><Relationship Type="http://schemas.openxmlformats.org/officeDocument/2006/relationships/hyperlink" Target="6.%EA%B1%B4%EC%B6%95/29_%EC%B0%BD%ED%98%B8%2C%EC%9C%A0%EB%A6%AC%20%EB%B0%8F%20%EA%B8%88%EC%86%8D%EC%A7%80%EB%B6%95%EA%B3%B5%EC%82%AC/%EC%B2%B4%ED%81%AC%EB%A6%AC%EC%8A%A4%ED%8A%B8/%EC%B0%BD%ED%98%B8%2C%EC%9C%A0%EB%A6%AC%20%EB%B0%8F%20%EA%B8%88%EC%86%8D%EC%A7%80%EB%B6%95%EA%B3%B5%EC%82%AC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59"/><Relationship Type="http://schemas.openxmlformats.org/officeDocument/2006/relationships/hyperlink" Target="6.%EA%B1%B4%EC%B6%95/30_%EC%A1%B0%EC%A0%81%EA%B3%B5%EC%82%AC/%EC%B2%B4%ED%81%AC%EB%A6%AC%EC%8A%A4%ED%8A%B8/%EC%A1%B0%EC%A0%81%EA%B3%B5%EC%82%AC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1"/><Relationship Type="http://schemas.openxmlformats.org/officeDocument/2006/relationships/hyperlink" Target="6.%EA%B1%B4%EC%B6%95/31_%EB%82%B4%EB%B6%80%20%EB%B0%A9%EC%88%98%EA%B3%B5%EC%82%AC/%EC%B2%B4%ED%81%AC%EB%A6%AC%EC%8A%A4%ED%8A%B8/%EB%82%B4%EB%B6%80%20%EB%B0%A9%EC%88%98%EA%B3%B5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3"/><Relationship Type="http://schemas.openxmlformats.org/officeDocument/2006/relationships/hyperlink" Target="6.%EA%B1%B4%EC%B6%95/32_%EB%AF%B8%EC%9E%A5%20%EB%B0%8F%20%ED%83%80%EC%9D%BC%EA%B3%B5%EC%82%AC/%EC%B2%B4%ED%81%AC%EB%A6%AC%EC%8A%A4%ED%8A%B8/%EB%AF%B8%EC%9E%A5%20%EB%B0%8F%20%ED%83%80%EC%9D%BC%EA%B3%B5%EC%82%AC_%EC%B2%B4%ED%81%AC%EB%A6%AC%EC%8A%A4%ED%8A%B8.html" TargetMode="External" Id="rId6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5"/><Relationship Type="http://schemas.openxmlformats.org/officeDocument/2006/relationships/hyperlink" Target="6.%EA%B1%B4%EC%B6%95/33_%EC%88%98%EC%9E%A5%20%EB%B0%8F%20%EC%9E%A1%EC%B2%A0%EB%AC%BC%EA%B3%B5%EC%82%AC/%EC%B2%B4%ED%81%AC%EB%A6%AC%EC%8A%A4%ED%8A%B8/%EC%88%98%EC%9E%A5%20%EB%B0%8F%20%EC%9E%A1%EC%B2%A0%EB%AC%BC%EA%B3%B5%EC%82%AC_%EC%B2%B4%ED%81%AC%EB%A6%AC%EC%8A%A4%ED%8A%B8.html" TargetMode="External" Id="rId6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7"/><Relationship Type="http://schemas.openxmlformats.org/officeDocument/2006/relationships/hyperlink" Target="6.%EA%B1%B4%EC%B6%95/34_%EB%8F%84%EC%9E%A5%EA%B3%B5%EC%82%AC/%EC%B2%B4%ED%81%AC%EB%A6%AC%EC%8A%A4%ED%8A%B8/%EB%8F%84%EC%9E%A5%EA%B3%B5%EC%82%AC_%EC%B2%B4%ED%81%AC%EB%A6%AC%EC%8A%A4%ED%8A%B8.html" TargetMode="External" Id="rId6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69"/><Relationship Type="http://schemas.openxmlformats.org/officeDocument/2006/relationships/hyperlink" Target="6.%EA%B1%B4%EC%B6%95/35_%EC%9D%B8%ED%85%8C%EB%A6%AC%EC%96%B4%20%EB%B0%8F%20%EB%AC%B4%EB%8C%80%EA%B3%B5%EC%82%AC/%EC%B2%B4%ED%81%AC%EB%A6%AC%EC%8A%A4%ED%8A%B8/%EC%9D%B8%ED%85%8C%EB%A6%AC%EC%96%B4%20%EB%B0%8F%20%EB%AC%B4%EB%8C%80%EA%B3%B5%EC%82%AC_%EC%B2%B4%ED%81%AC%EB%A6%AC%EC%8A%A4%ED%8A%B8.html" TargetMode="External" Id="rId7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1"/><Relationship Type="http://schemas.openxmlformats.org/officeDocument/2006/relationships/hyperlink" Target="6.%EA%B1%B4%EC%B6%95/36_%EC%A4%80%EA%B3%B5%EC%A0%84%20%EA%B1%B4%EC%B6%95%20%EC%9D%B8%ED%97%88%EA%B0%80/%EC%B2%B4%ED%81%AC%EB%A6%AC%EC%8A%A4%ED%8A%B8/%EC%A4%80%EA%B3%B5%EC%A0%84%20%EA%B1%B4%EC%B6%95%20%EC%9D%B8%ED%97%88%EA%B0%80_%EC%B2%B4%ED%81%AC%EB%A6%AC%EC%8A%A4%ED%8A%B8.html" TargetMode="External" Id="rId7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3"/><Relationship Type="http://schemas.openxmlformats.org/officeDocument/2006/relationships/hyperlink" Target="6.%EA%B1%B4%EC%B6%95/37_%EC%86%8C%EB%B0%A9%EC%8B%9C%EC%84%A4%EA%B3%B5%EC%82%AC%20%EC%99%84%EA%B3%B5%EA%B2%80%EC%82%AC/%EC%B2%B4%ED%81%AC%EB%A6%AC%EC%8A%A4%ED%8A%B8/%EC%86%8C%EB%B0%A9%EC%8B%9C%EC%84%A4%EA%B3%B5%EC%82%AC%20%EC%99%84%EA%B3%B5%EA%B2%80%EC%82%AC_%EC%B2%B4%ED%81%AC%EB%A6%AC%EC%8A%A4%ED%8A%B8.html" TargetMode="External" Id="rId7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5"/><Relationship Type="http://schemas.openxmlformats.org/officeDocument/2006/relationships/hyperlink" Target="6.%EA%B1%B4%EC%B6%95/38_%EC%8A%B9%EA%B0%95%EA%B8%B0%20%EC%84%A4%EC%B9%98%20%EC%8B%A0%EA%B3%A0%EC%84%9C%20%EC%A0%9C%EC%B6%9C/%EC%B2%B4%ED%81%AC%EB%A6%AC%EC%8A%A4%ED%8A%B8/%EC%8A%B9%EA%B0%95%EA%B8%B0%20%EC%84%A4%EC%B9%98%20%EC%8B%A0%EA%B3%A0%EC%84%9C%20%EC%A0%9C%EC%B6%9C_%EC%B2%B4%ED%81%AC%EB%A6%AC%EC%8A%A4%ED%8A%B8.html" TargetMode="External" Id="rId7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7"/><Relationship Type="http://schemas.openxmlformats.org/officeDocument/2006/relationships/hyperlink" Target="6.%EA%B1%B4%EC%B6%95/39_%EC%A0%80%EC%88%98%EC%A1%B0%20%EC%84%A4%EC%B9%98%ED%98%84%ED%99%A9%20%EC%8B%A0%EA%B3%A0%EC%84%9C%20%EC%A0%9C%EC%B6%9C/%EC%B2%B4%ED%81%AC%EB%A6%AC%EC%8A%A4%ED%8A%B8/%EC%A0%80%EC%88%98%EC%A1%B0%20%EC%84%A4%EC%B9%98%ED%98%84%ED%99%A9%20%EC%8B%A0%EA%B3%A0%EC%84%9C%20%EC%A0%9C%EC%B6%9C_%EC%B2%B4%ED%81%AC%EB%A6%AC%EC%8A%A4%ED%8A%B8.html" TargetMode="External" Id="rId7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79"/><Relationship Type="http://schemas.openxmlformats.org/officeDocument/2006/relationships/hyperlink" Target="6.%EA%B1%B4%EC%B6%95/40_%EC%98%A4%EC%88%98%EC%B2%98%EB%A6%AC%EC%8B%9C%EC%84%A4%20_%20%EC%A0%95%ED%99%94%EC%A1%B0%20%EC%84%A4%EC%B9%98%20%EC%8B%A0%EA%B3%A0%EC%84%9C%20%EC%A0%9C%EC%B6%9C/%EC%B2%B4%ED%81%AC%EB%A6%AC%EC%8A%A4%ED%8A%B8/%EC%98%A4%EC%88%98%EC%B2%98%EB%A6%AC%EC%8B%9C%EC%84%A4%20_%20%EC%A0%95%ED%99%94%EC%A1%B0%20%EC%84%A4%EC%B9%98%20%EC%8B%A0%EA%B3%A0%EC%84%9C%20%EC%A0%9C%EC%B6%9C_%EC%B2%B4%ED%81%AC%EB%A6%AC%EC%8A%A4%ED%8A%B8.html" TargetMode="External" Id="rId8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1"/><Relationship Type="http://schemas.openxmlformats.org/officeDocument/2006/relationships/hyperlink" Target="6.%EA%B1%B4%EC%B6%95/41_%EC%A0%84%EA%B8%B0%EC%82%AC%EC%9A%A9%EC%A0%84%20%EA%B2%80%EC%82%AC/%EC%B2%B4%ED%81%AC%EB%A6%AC%EC%8A%A4%ED%8A%B8/%EC%A0%84%EA%B8%B0%EC%82%AC%EC%9A%A9%EC%A0%84%20%EA%B2%80%EC%82%AC_%EC%B2%B4%ED%81%AC%EB%A6%AC%EC%8A%A4%ED%8A%B8.html" TargetMode="External" Id="rId8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3"/><Relationship Type="http://schemas.openxmlformats.org/officeDocument/2006/relationships/hyperlink" Target="6.%EA%B1%B4%EC%B6%95/42_%EC%8A%B9%EA%B0%95%EA%B8%B0%20%EC%84%A4%EC%B9%98%EA%B2%80%EC%82%AC/%EC%B2%B4%ED%81%AC%EB%A6%AC%EC%8A%A4%ED%8A%B8/%EC%8A%B9%EA%B0%95%EA%B8%B0%20%EC%84%A4%EC%B9%98%EA%B2%80%EC%82%AC_%EC%B2%B4%ED%81%AC%EB%A6%AC%EC%8A%A4%ED%8A%B8.html" TargetMode="External" Id="rId8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5"/><Relationship Type="http://schemas.openxmlformats.org/officeDocument/2006/relationships/hyperlink" Target="6.%EA%B1%B4%EC%B6%95/43_%EB%B0%B0%EC%88%98%EC%84%A4%EB%B9%84%20%EC%84%A4%EC%B9%98%20%EC%8B%A0%EA%B3%A0%EC%84%9C%20%EC%A0%9C%EC%B6%9C/%EC%B2%B4%ED%81%AC%EB%A6%AC%EC%8A%A4%ED%8A%B8/%EB%B0%B0%EC%88%98%EC%84%A4%EB%B9%84%20%EC%84%A4%EC%B9%98%20%EC%8B%A0%EA%B3%A0%EC%84%9C%20%EC%A0%9C%EC%B6%9C_%EC%B2%B4%ED%81%AC%EB%A6%AC%EC%8A%A4%ED%8A%B8.html" TargetMode="External" Id="rId8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7"/><Relationship Type="http://schemas.openxmlformats.org/officeDocument/2006/relationships/hyperlink" Target="6.%EA%B1%B4%EC%B6%95/44_%EC%A0%95%EB%B3%B4%ED%86%B5%EC%8B%A0%EA%B3%B5%EC%82%AC%20%EC%82%AC%EC%9A%A9%EC%A0%84%EA%B2%80%EC%82%AC/%EC%B2%B4%ED%81%AC%EB%A6%AC%EC%8A%A4%ED%8A%B8/%EC%A0%95%EB%B3%B4%ED%86%B5%EC%8B%A0%EA%B3%B5%EC%82%AC%20%EC%82%AC%EC%9A%A9%EC%A0%84%EA%B2%80%EC%82%AC_%EC%B2%B4%ED%81%AC%EB%A6%AC%EC%8A%A4%ED%8A%B8.html" TargetMode="External" Id="rId8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89"/><Relationship Type="http://schemas.openxmlformats.org/officeDocument/2006/relationships/hyperlink" Target="6.%EA%B1%B4%EC%B6%95/45_%EC%98%A4%EC%88%98%EC%B2%98%EB%A6%AC%EC%8B%9C%EC%84%A4%20_%20%EC%A0%95%ED%99%94%EC%A1%B0%20%EC%A4%80%EA%B3%B5%EA%B2%80%EC%82%AC/%EC%B2%B4%ED%81%AC%EB%A6%AC%EC%8A%A4%ED%8A%B8/%EC%98%A4%EC%88%98%EC%B2%98%EB%A6%AC%EC%8B%9C%EC%84%A4%20_%20%EC%A0%95%ED%99%94%EC%A1%B0%20%EC%A4%80%EA%B3%B5%EA%B2%80%EC%82%AC_%EC%B2%B4%ED%81%AC%EB%A6%AC%EC%8A%A4%ED%8A%B8.html" TargetMode="External" Id="rId90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1"/><Relationship Type="http://schemas.openxmlformats.org/officeDocument/2006/relationships/hyperlink" Target="6.%EA%B1%B4%EC%B6%95/46_%EA%B8%89%EC%88%98%EA%B3%B5%EC%82%AC%20%EC%8B%A0%EC%B2%AD%EC%84%9C%20%EC%A0%9C%EC%B6%9C/%EC%B2%B4%ED%81%AC%EB%A6%AC%EC%8A%A4%ED%8A%B8/%EA%B8%89%EC%88%98%EA%B3%B5%EC%82%AC%20%EC%8B%A0%EC%B2%AD%EC%84%9C%20%EC%A0%9C%EC%B6%9C_%EC%B2%B4%ED%81%AC%EB%A6%AC%EC%8A%A4%ED%8A%B8.html" TargetMode="External" Id="rId92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3"/><Relationship Type="http://schemas.openxmlformats.org/officeDocument/2006/relationships/hyperlink" Target="6.%EA%B1%B4%EC%B6%95/47_%EC%97%85%EB%AC%B4%EB%8C%80%ED%96%89%20%EA%B1%B4%EC%B6%95%EC%82%AC%20%EC%82%AC%EC%9A%A9%EC%8A%B9%EC%9D%B8%20%EA%B2%80%EC%82%AC/%EC%B2%B4%ED%81%AC%EB%A6%AC%EC%8A%A4%ED%8A%B8/%EC%97%85%EB%AC%B4%EB%8C%80%ED%96%89%20%EA%B1%B4%EC%B6%95%EC%82%AC%20%EC%82%AC%EC%9A%A9%EC%8A%B9%EC%9D%B8%20%EA%B2%80%EC%82%AC_%EC%B2%B4%ED%81%AC%EB%A6%AC%EC%8A%A4%ED%8A%B8.html" TargetMode="External" Id="rId94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5"/><Relationship Type="http://schemas.openxmlformats.org/officeDocument/2006/relationships/hyperlink" Target="6.%EA%B1%B4%EC%B6%95/48_%EA%B1%B4%EC%B6%95%EB%AC%BC%20%EC%82%AC%EC%9A%A9%EC%8A%B9%EC%9D%B8%20%EC%8B%A0%EC%B2%AD/%EC%B2%B4%ED%81%AC%EB%A6%AC%EC%8A%A4%ED%8A%B8/%EA%B1%B4%EC%B6%95%EB%AC%BC%20%EC%82%AC%EC%9A%A9%EC%8A%B9%EC%9D%B8%20%EC%8B%A0%EC%B2%AD_%EC%B2%B4%ED%81%AC%EB%A6%AC%EC%8A%A4%ED%8A%B8.html" TargetMode="External" Id="rId96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7"/><Relationship Type="http://schemas.openxmlformats.org/officeDocument/2006/relationships/hyperlink" Target="6.%EA%B1%B4%EC%B6%95/49_%EA%B1%B4%EC%B6%95%EB%AC%BC%EB%8C%80%EC%9E%A5%20%EB%93%B1%EC%9E%AC/%EC%B2%B4%ED%81%AC%EB%A6%AC%EC%8A%A4%ED%8A%B8/%EA%B1%B4%EC%B6%95%EB%AC%BC%EB%8C%80%EC%9E%A5%20%EB%93%B1%EC%9E%AC_%EC%B2%B4%ED%81%AC%EB%A6%AC%EC%8A%A4%ED%8A%B8.html" TargetMode="External" Id="rId98"/><Relationship Type="http://schemas.openxmlformats.org/officeDocument/2006/relationships/hyperlink" Target="%EB%B6%84%EC%95%BC%EB%B3%84%EC%84%A4%EA%B3%84%EA%B8%B0%EC%A4%80%28%EC%84%A4%EA%B3%84%EC%82%AC%EC%A0%95%EB%A6%AC%29/%EA%B5%AC%EC%A1%B0%EB%B6%84%EC%95%BC%20%EC%84%A4%EA%B3%84%EA%B8%B0%EC%A4%80%20%EA%B2%80%ED%86%A0.pdf" TargetMode="External" Id="rId99"/><Relationship Type="http://schemas.openxmlformats.org/officeDocument/2006/relationships/hyperlink" Target="6.%EA%B1%B4%EC%B6%95/50_%ED%9B%84%EC%86%8D%20%EA%B5%AC%EC%A1%B0%EB%AC%BC%20%EC%9D%B8%EA%B3%84/%EC%B2%B4%ED%81%AC%EB%A6%AC%EC%8A%A4%ED%8A%B8/%ED%9B%84%EC%86%8D%20%EA%B5%AC%EC%A1%B0%EB%AC%BC%20%EC%9D%B8%EA%B3%84_%EC%B2%B4%ED%81%AC%EB%A6%AC%EC%8A%A4%ED%8A%B8.html" TargetMode="External" Id="rId100"/></Relationships>
</file>

<file path=xl/worksheets/_rels/sheet7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7.%EC%8B%A0%ED%98%B8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7.%EC%8B%A0%ED%98%B8%EB%B6%84%EC%95%BC/2_%EC%B0%A9%EC%88%98%EC%A4%80%EB%B9%84%20KOM/%EC%B2%B4%ED%81%AC%EB%A6%AC%EC%8A%A4%ED%8A%B8/%EC%B0%A9%EC%88%98%EC%A4%80%EB%B9%84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7.%EC%8B%A0%ED%98%B8%EB%B6%84%EC%95%BC/3_%EC%B0%A9%EC%88%98%EC%A0%84%20Big%20Room%20%ED%9A%8C%EC%9D%98/%EC%B2%B4%ED%81%AC%EB%A6%AC%EC%8A%A4%ED%8A%B8/%EC%B0%A9%EC%88%98%EC%A0%84%20Big%20Room%20%ED%9A%8C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7.%EC%8B%A0%ED%98%B8%EB%B6%84%EC%95%BC/4_%EC%A0%84%EA%B8%B0%20_%20%ED%86%B5%EC%8B%A0%20_%20PSD%20_%20%EC%B0%A8%EB%9F%89%20%EC%9D%B8%ED%84%B0%ED%8E%98%EC%9D%B4%EC%8A%A4%20%ED%98%91%EC%9D%98/%EC%B2%B4%ED%81%AC%EB%A6%AC%EC%8A%A4%ED%8A%B8/%EC%A0%84%EA%B8%B0%20_%20%ED%86%B5%EC%8B%A0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7.%EC%8B%A0%ED%98%B8%EB%B6%84%EC%95%BC/5_%EB%8F%84%EB%A1%9C%20_%20%EA%B6%A4%EB%8F%84%20%EC%9D%B8%ED%84%B0%ED%8E%98%EC%9D%B4%EC%8A%A4%20%ED%98%91%EC%9D%98/%EC%B2%B4%ED%81%AC%EB%A6%AC%EC%8A%A4%ED%8A%B8/%EB%8F%84%EB%A1%9C%20_%20%EA%B6%A4%EB%8F%84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7.%EC%8B%A0%ED%98%B8%EB%B6%84%EC%95%BC/6_%EC%8B%9C%EA%B3%B5%EC%A0%84%20%EC%9D%B8%ED%84%B0%ED%8E%98%EC%9D%B4%EC%8A%A4%20%ED%98%91%EC%9D%98/%EC%B2%B4%ED%81%AC%EB%A6%AC%EC%8A%A4%ED%8A%B8/%EC%8B%9C%EA%B3%B5%EC%A0%84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7.%EC%8B%A0%ED%98%B8%EB%B6%84%EC%95%BC/7_%EC%8B%9C%EC%8A%A4%ED%85%9C%20%EC%9E%A5%EB%B9%84%EA%B2%80%ED%86%A0%20%EC%82%AC%EC%A0%84%20%ED%98%91%EC%9D%98%EC%82%AC%ED%95%AD%20%EB%8F%84%EC%B6%9C%20%EB%B0%8F%20%EA%B2%80%ED%86%A0/%EC%B2%B4%ED%81%AC%EB%A6%AC%EC%8A%A4%ED%8A%B8/%EC%8B%9C%EC%8A%A4%ED%85%9C%20%EC%9E%A5%EB%B9%84%EA%B2%80%ED%86%A0%20%EC%82%AC%EC%A0%84%20%ED%98%91%EC%9D%98%EC%82%AC%ED%95%AD%20%EB%8F%84%EC%B6%9C%20%EB%B0%8F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7.%EC%8B%A0%ED%98%B8%EB%B6%84%EC%95%BC/8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7.%EC%8B%A0%ED%98%B8%EB%B6%84%EC%95%BC/9_%EC%9E%90%EC%9E%AC%20_%20%EC%9D%B8%EC%9B%90%20_%20%EC%9E%A5%EB%B9%84%20%EB%B0%8F%20%ED%88%AC%EC%9E%85%20%EC%82%AC%EC%A0%84%20%EA%B2%80%ED%86%A0/%EC%B2%B4%ED%81%AC%EB%A6%AC%EC%8A%A4%ED%8A%B8/%EC%9E%90%EC%9E%AC%20_%20%EC%9D%B8%EC%9B%90%20_%20%EC%9E%A5%EB%B9%84%20%EB%B0%8F%20%ED%88%AC%EC%9E%85%20%EC%82%AC%EC%A0%84%20%EA%B2%80%ED%86%A0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7.%EC%8B%A0%ED%98%B8%EB%B6%84%EC%95%BC/10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7.%EC%8B%A0%ED%98%B8%EB%B6%84%EC%95%BC/11_%EC%9E%90%EC%9E%AC%20%EB%B0%98%EC%9E%85%20%EB%B0%8F%20%EA%B2%80%EC%88%98/%EC%B2%B4%ED%81%AC%EB%A6%AC%EC%8A%A4%ED%8A%B8/%EC%9E%90%EC%9E%AC%20%EB%B0%98%EC%9E%85%20%EB%B0%8F%20%EA%B2%80%EC%88%9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7.%EC%8B%A0%ED%98%B8%EB%B6%84%EC%95%BC/12_%EC%8B%9C%EC%8A%A4%ED%85%9C%EC%84%A4%EB%B9%84%20%EC%84%A4%EC%B9%98%20%28%ED%98%84%EC%9E%A5_%EA%B8%B0%EB%8A%A5%EC%8B%A4%29/%EC%B2%B4%ED%81%AC%EB%A6%AC%EC%8A%A4%ED%8A%B8/%EC%8B%9C%EC%8A%A4%ED%85%9C%EC%84%A4%EB%B9%84%20%EC%84%A4%EC%B9%98%20%28%ED%98%84%EC%9E%A5_%EA%B8%B0%EB%8A%A5%EC%8B%A4%29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7.%EC%8B%A0%ED%98%B8%EB%B6%84%EC%95%BC/14_%EC%8B%A0%ED%98%B8%EC%8B%9C%EC%8A%A4%ED%85%9C%20%ED%86%B5%ED%95%A9%EC%8B%9C%ED%97%98/%EC%B2%B4%ED%81%AC%EB%A6%AC%EC%8A%A4%ED%8A%B8/%EC%8B%A0%ED%98%B8%EC%8B%9C%EC%8A%A4%ED%85%9C%20%ED%86%B5%ED%95%A9%EC%8B%9C%ED%97%9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7.%EC%8B%A0%ED%98%B8%EB%B6%84%EC%95%BC/15_%EA%B3%B5%EC%A2%85%EB%B3%84%20%EC%8B%9C%ED%97%98/%EC%B2%B4%ED%81%AC%EB%A6%AC%EC%8A%A4%ED%8A%B8/%EA%B3%B5%EC%A2%85%EB%B3%84%20%EC%8B%9C%ED%97%98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7.%EC%8B%A0%ED%98%B8%EB%B6%84%EC%95%BC/16_%EC%B0%A8%EB%9F%89%20%ED%88%AC%EC%9E%85%20%EC%A0%84%20%EC%A0%90%EA%B2%80/%EC%B2%B4%ED%81%AC%EB%A6%AC%EC%8A%A4%ED%8A%B8/%EC%B0%A8%EB%9F%89%20%ED%88%AC%EC%9E%85%20%EC%A0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7.%EC%8B%A0%ED%98%B8%EB%B6%84%EC%95%BC/17_%EC%B0%A8%EB%9F%89%20%EC%8B%9C%EC%9A%B4%EC%A0%84/%EC%B2%B4%ED%81%AC%EB%A6%AC%EC%8A%A4%ED%8A%B8/%EC%B0%A8%EB%9F%89%20%EC%8B%9C%EC%9A%B4%EC%A0%84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7.%EC%8B%A0%ED%98%B8%EB%B6%84%EC%95%BC/18_%EC%9A%B4%EC%98%81%EC%9E%90%20%EA%B5%90%EC%9C%A1%EC%8B%9C%ED%96%89/%EC%B2%B4%ED%81%AC%EB%A6%AC%EC%8A%A4%ED%8A%B8/%EC%9A%B4%EC%98%81%EC%9E%90%20%EA%B5%90%EC%9C%A1%EC%8B%9C%ED%96%89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7.%EC%8B%A0%ED%98%B8%EB%B6%84%EC%95%BC/19_%EC%82%AC%EC%A0%84%EC%A0%90%EA%B2%80%20%EB%B0%8F%20%EC%B2%A0%EB%8F%84%EA%B8%B0%EC%88%A0%EA%B8%B0%EC%A4%80%20%EA%B2%80%ED%86%A0/%EC%B2%B4%ED%81%AC%EB%A6%AC%EC%8A%A4%ED%8A%B8/%EC%82%AC%EC%A0%84%EC%A0%90%EA%B2%80%20%EB%B0%8F%20%EC%B2%A0%EB%8F%84%EA%B8%B0%EC%88%A0%EA%B8%B0%EC%A4%80%20%EA%B2%80%ED%86%A0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7.%EC%8B%A0%ED%98%B8%EB%B6%84%EC%95%BC/20_%EC%8B%9C%EC%84%A4%EB%AC%BC%20%EA%B2%80%EC%A6%9D%EC%8B%9C%ED%97%98/%EC%B2%B4%ED%81%AC%EB%A6%AC%EC%8A%A4%ED%8A%B8/%EC%8B%9C%EC%84%A4%EB%AC%BC%20%EA%B2%80%EC%A6%9D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7.%EC%8B%A0%ED%98%B8%EB%B6%84%EC%95%BC/21_%EC%98%81%EC%97%85%20%EC%8B%9C%EC%9A%B4%EC%A0%84/%EC%B2%B4%ED%81%AC%EB%A6%AC%EC%8A%A4%ED%8A%B8/%EC%98%81%EC%97%85%20%EC%8B%9C%EC%9A%B4%EC%A0%84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7.%EC%8B%A0%ED%98%B8%EB%B6%84%EC%95%BC/22_%EC%9C%A0%EC%A7%80%EA%B4%80%EB%A6%AC%20%EC%84%A4%EC%B9%98/%EC%B2%B4%ED%81%AC%EB%A6%AC%EC%8A%A4%ED%8A%B8/%EC%9C%A0%EC%A7%80%EA%B4%80%EB%A6%AC%20%EC%84%A4%EC%B9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7.%EC%8B%A0%ED%98%B8%EB%B6%84%EC%95%BC/13_%EC%8B%9C%EC%8A%A4%ED%85%9C%20%EB%8B%A8%EC%9C%84%EC%8B%9C%ED%97%98/%EC%B2%B4%ED%81%AC%EB%A6%AC%EC%8A%A4%ED%8A%B8/%EC%8B%9C%EC%8A%A4%ED%85%9C%20%EB%8B%A8%EC%9C%84%EC%8B%9C%ED%97%98_%EC%B2%B4%ED%81%AC%EB%A6%AC%EC%8A%A4%ED%8A%B8.html" TargetMode="External" Id="rId44"/></Relationships>
</file>

<file path=xl/worksheets/_rels/sheet8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"/><Relationship Type="http://schemas.openxmlformats.org/officeDocument/2006/relationships/hyperlink" Target="8.%EC%A0%84%EA%B8%B0%EB%B6%84%EC%95%BC/1_%EC%84%A4%EA%B3%84%EC%A0%81%EC%A0%95%EC%84%B1%20%EA%B2%80%ED%86%A0/%EC%B2%B4%ED%81%AC%EB%A6%AC%EC%8A%A4%ED%8A%B8/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"/><Relationship Type="http://schemas.openxmlformats.org/officeDocument/2006/relationships/hyperlink" Target="8.%EC%A0%84%EA%B8%B0%EB%B6%84%EC%95%BC/2_%EB%B0%9C%EC%A3%BC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"/><Relationship Type="http://schemas.openxmlformats.org/officeDocument/2006/relationships/hyperlink" Target="8.%EC%A0%84%EA%B8%B0%EB%B6%84%EC%95%BC/3_%ED%86%A0%EB%AA%A9%20_%20%EA%B1%B4%EC%B6%95%20%EC%9D%B8%ED%84%B0%ED%8E%98%EC%9D%B4%EC%8A%A4%20%ED%98%91%EC%9D%98/%EC%B2%B4%ED%81%AC%EB%A6%AC%EC%8A%A4%ED%8A%B8/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7"/><Relationship Type="http://schemas.openxmlformats.org/officeDocument/2006/relationships/hyperlink" Target="8.%EC%A0%84%EA%B8%B0%EB%B6%84%EC%95%BC/4_%EC%8B%A0%ED%98%B8%20_%20%ED%86%B5%EC%8B%A0%20_%20%EA%B8%B0%EA%B3%84%20_%20PSD%20_%20%EC%B0%A8%EB%9F%89%20%EC%9D%B8%ED%84%B0%ED%8E%98%EC%9D%B4%EC%8A%A4%20%ED%98%91%EC%9D%98/%EC%B2%B4%ED%81%AC%EB%A6%AC%EC%8A%A4%ED%8A%B8/%EC%8B%A0%ED%98%B8%20_%20%ED%86%B5%EC%8B%A0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9"/><Relationship Type="http://schemas.openxmlformats.org/officeDocument/2006/relationships/hyperlink" Target="8.%EC%A0%84%EA%B8%B0%EB%B6%84%EC%95%BC/5_%EC%A0%84%EA%B8%B0%EC%84%A4%EB%B9%84%20%EC%A0%9C%EC%9E%91%EC%82%AC%20%EC%9D%B8%ED%84%B0%ED%8E%98%EC%9D%B4%EC%8A%A4%20%ED%98%91%EC%9D%98/%EC%B2%B4%ED%81%AC%EB%A6%AC%EC%8A%A4%ED%8A%B8/%EC%A0%84%EA%B8%B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1"/><Relationship Type="http://schemas.openxmlformats.org/officeDocument/2006/relationships/hyperlink" Target="8.%EC%A0%84%EA%B8%B0%EB%B6%84%EC%95%BC/6_%EA%B4%80%EC%A0%9C%20%EB%B0%8F%20%EC%9A%B4%EC%98%81%EC%82%AC%20%EC%9D%B8%ED%84%B0%ED%8E%98%EC%9D%B4%EC%8A%A4%20%ED%98%91%EC%9D%98/%EC%B2%B4%ED%81%AC%EB%A6%AC%EC%8A%A4%ED%8A%B8/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3"/><Relationship Type="http://schemas.openxmlformats.org/officeDocument/2006/relationships/hyperlink" Target="8.%EC%A0%84%EA%B8%B0%EB%B6%84%EC%95%BC/7_%EB%B0%9C%EC%A3%BC%EC%B2%98%20%ED%92%88%EC%A7%88%20%EC%9A%94%EA%B5%AC%EC%82%AC%ED%95%AD%20%EA%B2%80%ED%86%A0/%EC%B2%B4%ED%81%AC%EB%A6%AC%EC%8A%A4%ED%8A%B8/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5"/><Relationship Type="http://schemas.openxmlformats.org/officeDocument/2006/relationships/hyperlink" Target="8.%EC%A0%84%EA%B8%B0%EB%B6%84%EC%95%BC/8_%EC%9E%90%EC%9E%AC%20_%20%EC%9D%B8%EC%9B%90%20_%20%EC%9E%A5%EB%B9%84%20%EB%93%B1%20%ED%88%AC%EC%9E%85%20%EC%82%AC%EC%A0%84%20%EA%B2%80%ED%86%A0/%EC%B2%B4%ED%81%AC%EB%A6%AC%EC%8A%A4%ED%8A%B8/%EC%9E%90%EC%9E%AC%20_%20%EC%9D%B8%EC%9B%90%20_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7"/><Relationship Type="http://schemas.openxmlformats.org/officeDocument/2006/relationships/hyperlink" Target="8.%EC%A0%84%EA%B8%B0%EB%B6%84%EC%95%BC/9_%EC%9D%B8%ED%97%88%EA%B0%80%20%EC%A4%80%EB%B9%84/%EC%B2%B4%ED%81%AC%EB%A6%AC%EC%8A%A4%ED%8A%B8/%EC%9D%B8%ED%97%88%EA%B0%80%20%EC%A4%80%EB%B9%84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19"/><Relationship Type="http://schemas.openxmlformats.org/officeDocument/2006/relationships/hyperlink" Target="8.%EC%A0%84%EA%B8%B0%EB%B6%84%EC%95%BC/10_%EC%B0%A9%EC%88%98%20%EC%A0%84%20Big%20Room%20%ED%9A%8C%EC%9D%98/%EC%B2%B4%ED%81%AC%EB%A6%AC%EC%8A%A4%ED%8A%B8/%EC%B0%A9%EC%88%98%20%EC%A0%84%20Big%20Room%20%ED%9A%8C%EC%9D%9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1"/><Relationship Type="http://schemas.openxmlformats.org/officeDocument/2006/relationships/hyperlink" Target="8.%EC%A0%84%EA%B8%B0%EB%B6%84%EC%95%BC/11_%EC%A0%84%EA%B8%B0%EC%84%A4%EB%B9%84%20%EC%A0%9C%EC%9E%91%20%EC%82%AC%EC%96%91%EC%84%9C%20%EC%9E%91%EC%84%B1%20_%20%EC%8A%B9%EC%9D%B8/%EC%B2%B4%ED%81%AC%EB%A6%AC%EC%8A%A4%ED%8A%B8/%EC%A0%84%EA%B8%B0%EC%84%A4%EB%B9%84%20%EC%A0%9C%EC%9E%91%20%EC%82%AC%EC%96%91%EC%84%9C%20%EC%9E%91%EC%84%B1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3"/><Relationship Type="http://schemas.openxmlformats.org/officeDocument/2006/relationships/hyperlink" Target="8.%EC%A0%84%EA%B8%B0%EB%B6%84%EC%95%BC/12_%EC%8B%9C%EA%B3%B5%20%EA%B3%84%ED%9A%8D%20%EC%88%98%EB%A6%BD%20_%20%EC%8A%B9%EC%9D%B8/%EC%B2%B4%ED%81%AC%EB%A6%AC%EC%8A%A4%ED%8A%B8/%EC%8B%9C%EA%B3%B5%20%EA%B3%84%ED%9A%8D%20%EC%88%98%EB%A6%BD%20_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5"/><Relationship Type="http://schemas.openxmlformats.org/officeDocument/2006/relationships/hyperlink" Target="8.%EC%A0%84%EA%B8%B0%EB%B6%84%EC%95%BC/13_%EC%9E%90%EC%9E%AC%EA%B3%B5%EA%B8%89%EC%9B%90_%EA%B8%B0%EC%9E%90%EC%9E%AC%20%EC%A0%9C%EC%9E%91%EB%8F%84%EC%84%9C%20%EC%8A%B9%EC%9D%B8/%EC%B2%B4%ED%81%AC%EB%A6%AC%EC%8A%A4%ED%8A%B8/%EC%9E%90%EC%9E%AC%EA%B3%B5%EA%B8%89%EC%9B%90_%EA%B8%B0%EC%9E%90%EC%9E%AC%20%EC%A0%9C%EC%9E%91%EB%8F%84%EC%84%9C%20%EC%8A%B9%EC%9D%B8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7"/><Relationship Type="http://schemas.openxmlformats.org/officeDocument/2006/relationships/hyperlink" Target="8.%EC%A0%84%EA%B8%B0%EB%B6%84%EC%95%BC/14_%EC%A0%84%EA%B8%B0%EC%84%A4%EB%B9%84%20%EA%B3%B5%EC%A0%95%EC%A0%9C%EC%9E%91%20_%20%EC%A0%9C%EC%9E%91%EC%82%AC%20%EA%B3%B5%EC%9E%A5%EA%B2%80%EC%82%AC/%EC%B2%B4%ED%81%AC%EB%A6%AC%EC%8A%A4%ED%8A%B8/%EC%A0%84%EA%B8%B0%EC%84%A4%EB%B9%84%20%EA%B3%B5%EC%A0%95%EC%A0%9C%EC%9E%91%20_%20%EC%A0%9C%EC%9E%91%EC%82%AC%20%EA%B3%B5%EC%9E%A5%EA%B2%80%EC%82%AC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29"/><Relationship Type="http://schemas.openxmlformats.org/officeDocument/2006/relationships/hyperlink" Target="8.%EC%A0%84%EA%B8%B0%EB%B6%84%EC%95%BC/15_%EB%B3%B8%EA%B3%B5%EC%82%AC%20%EC%A0%84%20%EC%84%A0%ED%96%89%EA%B3%B5%EC%A0%95%20%EC%9D%B8%EC%88%98%EC%9D%B8%EA%B3%84%20%EC%A0%90%EA%B2%80/%EC%B2%B4%ED%81%AC%EB%A6%AC%EC%8A%A4%ED%8A%B8/%EB%B3%B8%EA%B3%B5%EC%82%AC%20%EC%A0%84%20%EC%84%A0%ED%96%89%EA%B3%B5%EC%A0%95%20%EC%9D%B8%EC%88%98%EC%9D%B8%EA%B3%84%20%EC%A0%90%EA%B2%80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1"/><Relationship Type="http://schemas.openxmlformats.org/officeDocument/2006/relationships/hyperlink" Target="8.%EC%A0%84%EA%B8%B0%EB%B6%84%EC%95%BC/16_%EC%9E%A5%EB%B9%84%EB%B0%98%EC%9E%85%20%EB%B0%8F%20%EC%95%88%EC%A0%84%EA%B5%90%EC%9C%A1/%EC%B2%B4%ED%81%AC%EB%A6%AC%EC%8A%A4%ED%8A%B8/%EC%9E%A5%EB%B9%84%EB%B0%98%EC%9E%85%20%EB%B0%8F%20%EC%95%88%EC%A0%84%EA%B5%90%EC%9C%A1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3"/><Relationship Type="http://schemas.openxmlformats.org/officeDocument/2006/relationships/hyperlink" Target="8.%EC%A0%84%EA%B8%B0%EB%B6%84%EC%95%BC/17_%EC%9E%90%EC%9E%AC%20%EB%B0%98%EC%9E%85%20%EB%B0%8F%20%EA%B2%80%EC%88%98/%EC%B2%B4%ED%81%AC%EB%A6%AC%EC%8A%A4%ED%8A%B8/%EC%9E%90%EC%9E%AC%20%EB%B0%98%EC%9E%85%20%EB%B0%8F%20%EA%B2%80%EC%88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5"/><Relationship Type="http://schemas.openxmlformats.org/officeDocument/2006/relationships/hyperlink" Target="8.%EC%A0%84%EA%B8%B0%EB%B6%84%EC%95%BC/18_%EC%A0%84%EC%B2%A0%EC%A0%84%EB%A0%A5%EC%84%A4%EB%B9%84%20%EB%B0%98%EC%9E%85%20%EB%B0%8F%20%EC%84%A4%EC%B9%98/%EC%B2%B4%ED%81%AC%EB%A6%AC%EC%8A%A4%ED%8A%B8/%EC%A0%84%EC%B2%A0%EC%A0%84%EB%A0%A5%EC%84%A4%EB%B9%84%20%EB%B0%98%EC%9E%85%20%EB%B0%8F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7"/><Relationship Type="http://schemas.openxmlformats.org/officeDocument/2006/relationships/hyperlink" Target="8.%EC%A0%84%EA%B8%B0%EB%B6%84%EC%95%BC/19_%EC%88%98%EC%A0%84%EC%9A%A9%20%EC%BC%80%EC%9D%B4%EB%B8%94%20%ED%8A%B8%EB%A0%88%EC%9D%B4%20%EB%B0%8F%20%EC%BC%80%EC%9D%B4%EB%B8%94%20%ED%8F%AC%EC%84%A4/%EC%B2%B4%ED%81%AC%EB%A6%AC%EC%8A%A4%ED%8A%B8/%EC%88%98%EC%A0%84%EC%9A%A9%20%EC%BC%80%EC%9D%B4%EB%B8%94%20%ED%8A%B8%EB%A0%88%EC%9D%B4%20%EB%B0%8F%20%EC%BC%80%EC%9D%B4%EB%B8%94%20%ED%8F%AC%EC%84%A4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39"/><Relationship Type="http://schemas.openxmlformats.org/officeDocument/2006/relationships/hyperlink" Target="8.%EC%A0%84%EA%B8%B0%EB%B6%84%EC%95%BC/20_%EC%88%98%EC%A0%84%20%EB%B0%8F%20%EC%A0%84%EA%B8%B0%EA%B3%B5%EA%B8%89%28%EA%B8%89%EC%A0%84%29/%EC%B2%B4%ED%81%AC%EB%A6%AC%EC%8A%A4%ED%8A%B8/%EC%88%98%EC%A0%84%20%EB%B0%8F%20%EC%A0%84%EA%B8%B0%EA%B3%B5%EA%B8%89%28%EA%B8%89%EC%A0%84%29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1"/><Relationship Type="http://schemas.openxmlformats.org/officeDocument/2006/relationships/hyperlink" Target="8.%EC%A0%84%EA%B8%B0%EB%B6%84%EC%95%BC/21_%EC%A2%85%ED%95%A9%EC%97%B0%EB%8F%99%EC%8B%9C%ED%97%98%28SCADA%29%20%EC%8B%A4%EC%8B%9C/%EC%B2%B4%ED%81%AC%EB%A6%AC%EC%8A%A4%ED%8A%B8/%EC%A2%85%ED%95%A9%EC%97%B0%EB%8F%99%EC%8B%9C%ED%97%98%28SCADA%29%20%EC%8B%A4%EC%8B%9C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3"/><Relationship Type="http://schemas.openxmlformats.org/officeDocument/2006/relationships/hyperlink" Target="8.%EC%A0%84%EA%B8%B0%EB%B6%84%EC%95%BC/22_%EA%B3%B5%EC%A2%85%EB%B3%84%20%EC%8B%9C%ED%97%98/%EC%B2%B4%ED%81%AC%EB%A6%AC%EC%8A%A4%ED%8A%B8/%EA%B3%B5%EC%A2%85%EB%B3%84%20%EC%8B%9C%ED%97%98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5"/><Relationship Type="http://schemas.openxmlformats.org/officeDocument/2006/relationships/hyperlink" Target="8.%EC%A0%84%EA%B8%B0%EB%B6%84%EC%95%BC/23_%EC%B0%A8%EB%9F%89%20%ED%88%AC%EC%9E%85%20%EC%A0%84%20%EC%A0%90%EA%B2%80/%EC%B2%B4%ED%81%AC%EB%A6%AC%EC%8A%A4%ED%8A%B8/%EC%B0%A8%EB%9F%89%20%ED%88%AC%EC%9E%85%20%EC%A0%84%20%EC%A0%90%EA%B2%80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7"/><Relationship Type="http://schemas.openxmlformats.org/officeDocument/2006/relationships/hyperlink" Target="8.%EC%A0%84%EA%B8%B0%EB%B6%84%EC%95%BC/24_%EC%B0%A8%EB%9F%89%20%EC%8B%9C%EC%9A%B4%EC%A0%84/%EC%B2%B4%ED%81%AC%EB%A6%AC%EC%8A%A4%ED%8A%B8/%EC%B0%A8%EB%9F%89%20%EC%8B%9C%EC%9A%B4%EC%A0%84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49"/><Relationship Type="http://schemas.openxmlformats.org/officeDocument/2006/relationships/hyperlink" Target="8.%EC%A0%84%EA%B8%B0%EB%B6%84%EC%95%BC/25_%EC%9A%B4%EC%98%81%EC%9E%90%20%EA%B5%90%EC%9C%A1%EC%8B%9C%ED%96%89/%EC%B2%B4%ED%81%AC%EB%A6%AC%EC%8A%A4%ED%8A%B8/%EC%9A%B4%EC%98%81%EC%9E%90%20%EA%B5%90%EC%9C%A1%EC%8B%9C%ED%96%89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1"/><Relationship Type="http://schemas.openxmlformats.org/officeDocument/2006/relationships/hyperlink" Target="8.%EC%A0%84%EA%B8%B0%EB%B6%84%EC%95%BC/26_%EC%82%AC%EC%A0%84%EC%A0%90%EA%B2%80/%EC%B2%B4%ED%81%AC%EB%A6%AC%EC%8A%A4%ED%8A%B8/%EC%82%AC%EC%A0%84%EC%A0%90%EA%B2%80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3"/><Relationship Type="http://schemas.openxmlformats.org/officeDocument/2006/relationships/hyperlink" Target="8.%EC%A0%84%EA%B8%B0%EB%B6%84%EC%95%BC/27_%EC%8B%9C%EC%84%A4%EB%AC%BC%20%EA%B2%80%EC%A6%9D%EC%8B%9C%ED%97%98/%EC%B2%B4%ED%81%AC%EB%A6%AC%EC%8A%A4%ED%8A%B8/%EC%8B%9C%EC%84%A4%EB%AC%BC%20%EA%B2%80%EC%A6%9D%EC%8B%9C%ED%97%98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5"/><Relationship Type="http://schemas.openxmlformats.org/officeDocument/2006/relationships/hyperlink" Target="8.%EC%A0%84%EA%B8%B0%EB%B6%84%EC%95%BC/28_%EC%98%81%EC%97%85%EC%8B%9C%EC%9A%B4%EC%A0%84/%EC%B2%B4%ED%81%AC%EB%A6%AC%EC%8A%A4%ED%8A%B8/%EC%98%81%EC%97%85%EC%8B%9C%EC%9A%B4%EC%A0%84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7"/><Relationship Type="http://schemas.openxmlformats.org/officeDocument/2006/relationships/hyperlink" Target="8.%EC%A0%84%EA%B8%B0%EB%B6%84%EC%95%BC/29_%EC%A0%84%EA%B8%B0%20%EC%82%AC%EC%9A%A9%EC%8B%A0%EC%B2%AD/%EC%B2%B4%ED%81%AC%EB%A6%AC%EC%8A%A4%ED%8A%B8/%EC%A0%84%EA%B8%B0%20%EC%82%AC%EC%9A%A9%EC%8B%A0%EC%B2%AD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59"/><Relationship Type="http://schemas.openxmlformats.org/officeDocument/2006/relationships/hyperlink" Target="8.%EC%A0%84%EA%B8%B0%EB%B6%84%EC%95%BC/30_%EA%B3%B5%EC%82%AC%EA%B3%84%ED%9A%8D%EC%8B%A0%EA%B3%A0/%EC%B2%B4%ED%81%AC%EB%A6%AC%EC%8A%A4%ED%8A%B8/%EA%B3%B5%EC%82%AC%EA%B3%84%ED%9A%8D%EC%8B%A0%EA%B3%A0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1"/><Relationship Type="http://schemas.openxmlformats.org/officeDocument/2006/relationships/hyperlink" Target="8.%EC%A0%84%EA%B8%B0%EB%B6%84%EC%95%BC/31_%EC%A0%84%EC%B0%A8%EC%84%A0%EB%A1%9C%20%EC%A0%81%ED%95%A9%EC%84%B1%20%EA%B2%80%EC%A6%9D/%EC%B2%B4%ED%81%AC%EB%A6%AC%EC%8A%A4%ED%8A%B8/%EC%A0%84%EC%B0%A8%EC%84%A0%EB%A1%9C%20%EC%A0%81%ED%95%A9%EC%84%B1%20%EA%B2%80%EC%A6%9D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C%A0%84%EA%B8%B0%EB%B6%84%EC%95%BC%20%EC%84%A4%EA%B3%84%EA%B8%B0%EC%A4%80%20%EA%B2%80%ED%86%A0.pdf" TargetMode="External" Id="rId63"/><Relationship Type="http://schemas.openxmlformats.org/officeDocument/2006/relationships/hyperlink" Target="8.%EC%A0%84%EA%B8%B0%EB%B6%84%EC%95%BC/32_%EC%A0%84%EA%B8%B0%20%EC%82%AC%EC%9A%A9%EC%A0%84%EA%B2%80%EC%82%AC%20%28%EC%A0%84%EB%A0%A5_%EC%A0%84%EC%B0%A8%EC%84%A0_%EC%86%A1%EB%B3%80%EC%A0%84%29/%EC%B2%B4%ED%81%AC%EB%A6%AC%EC%8A%A4%ED%8A%B8/%EC%A0%84%EA%B8%B0%20%EC%82%AC%EC%9A%A9%EC%A0%84%EA%B2%80%EC%82%AC%20%28%EC%A0%84%EB%A0%A5_%EC%A0%84%EC%B0%A8%EC%84%A0_%EC%86%A1%EB%B3%80%EC%A0%84%29_%EC%B2%B4%ED%81%AC%EB%A6%AC%EC%8A%A4%ED%8A%B8.html" TargetMode="External" Id="rId64"/></Relationships>
</file>

<file path=xl/worksheets/_rels/sheet9.xml.rels><Relationships xmlns="http://schemas.openxmlformats.org/package/2006/relationships"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"/><Relationship Type="http://schemas.openxmlformats.org/officeDocument/2006/relationships/hyperlink" Target="9.%ED%86%B5%EC%8B%A0%EB%B6%84%EC%95%BC/1_%EC%84%A4%EA%B3%84%EC%A0%81%EC%A0%95%EC%84%B1%20%EA%B2%80%ED%86%A0/%EC%B2%B4%ED%81%AC%EB%A6%AC%EC%8A%A4%ED%8A%B8/9000-2-1_%EC%84%A4%EA%B3%84%EC%A0%81%EC%A0%95%EC%84%B1%20%EA%B2%80%ED%86%A0_%EC%B2%B4%ED%81%AC%EB%A6%AC%EC%8A%A4%ED%8A%B8.html" TargetMode="External" Id="rId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"/><Relationship Type="http://schemas.openxmlformats.org/officeDocument/2006/relationships/hyperlink" Target="9.%ED%86%B5%EC%8B%A0%EB%B6%84%EC%95%BC/2_%EC%B0%A9%EC%88%98%EC%A0%84%EB%9E%B5%20KOM/%EC%B2%B4%ED%81%AC%EB%A6%AC%EC%8A%A4%ED%8A%B8/%EB%B0%9C%EC%A3%BC%EC%A0%84%EB%9E%B5%20KOM_%EC%B2%B4%ED%81%AC%EB%A6%AC%EC%8A%A4%ED%8A%B8.html" TargetMode="External" Id="rId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"/><Relationship Type="http://schemas.openxmlformats.org/officeDocument/2006/relationships/hyperlink" Target="9.%ED%86%B5%EC%8B%A0%EB%B6%84%EC%95%BC/3_%ED%86%A0%EB%AA%A9%20_%20%EA%B1%B4%EC%B6%95%20%EC%9D%B8%ED%84%B0%ED%8E%98%EC%9D%B4%EC%8A%A4%20%ED%98%91%EC%9D%98/%EC%B2%B4%ED%81%AC%EB%A6%AC%EC%8A%A4%ED%8A%B8/9000-2-3_%ED%86%A0%EB%AA%A9%20_%20%EA%B1%B4%EC%B6%95%20%EC%9D%B8%ED%84%B0%ED%8E%98%EC%9D%B4%EC%8A%A4%20%ED%98%91%EC%9D%98_%EC%B2%B4%ED%81%AC%EB%A6%AC%EC%8A%A4%ED%8A%B8.html" TargetMode="External" Id="rId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7"/><Relationship Type="http://schemas.openxmlformats.org/officeDocument/2006/relationships/hyperlink" Target="9.%ED%86%B5%EC%8B%A0%EB%B6%84%EC%95%BC/4_%EC%A0%84%EA%B8%B0%20_%20%EC%8B%A0%ED%98%B8%20_%20%EA%B8%B0%EA%B3%84%20_%20PSD%20_%20%EC%B0%A8%EB%9F%89%20%EC%9D%B8%ED%84%B0%ED%8E%98%EC%9D%B4%EC%8A%A4%20%ED%98%91%EC%9D%98/%EC%B2%B4%ED%81%AC%EB%A6%AC%EC%8A%A4%ED%8A%B8/9000-2-4_%EC%A0%84%EA%B8%B0%20_%20%EC%8B%A0%ED%98%B8%20_%20%EA%B8%B0%EA%B3%84%20_%20PSD%20_%20%EC%B0%A8%EB%9F%89%20%EC%9D%B8%ED%84%B0%ED%8E%98%EC%9D%B4%EC%8A%A4%20%ED%98%91%EC%9D%98_%EC%B2%B4%ED%81%AC%EB%A6%AC%EC%8A%A4%ED%8A%B8.html" TargetMode="External" Id="rId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9"/><Relationship Type="http://schemas.openxmlformats.org/officeDocument/2006/relationships/hyperlink" Target="9.%ED%86%B5%EC%8B%A0%EB%B6%84%EC%95%BC/5_%ED%86%B5%EC%8B%A0%EC%84%A4%EB%B9%84%20%EC%A0%9C%EC%9E%91%EC%82%AC%20%EC%9D%B8%ED%84%B0%ED%8E%98%EC%9D%B4%EC%8A%A4%20%ED%98%91%EC%9D%98/%EC%B2%B4%ED%81%AC%EB%A6%AC%EC%8A%A4%ED%8A%B8/9000-2-5_%ED%86%B5%EC%8B%A0%EC%84%A4%EB%B9%84%20%EC%A0%9C%EC%9E%91%EC%82%AC%20%EC%9D%B8%ED%84%B0%ED%8E%98%EC%9D%B4%EC%8A%A4%20%ED%98%91%EC%9D%98_%EC%B2%B4%ED%81%AC%EB%A6%AC%EC%8A%A4%ED%8A%B8.html" TargetMode="External" Id="rId1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1"/><Relationship Type="http://schemas.openxmlformats.org/officeDocument/2006/relationships/hyperlink" Target="9.%ED%86%B5%EC%8B%A0%EB%B6%84%EC%95%BC/6_%EA%B4%80%EC%A0%9C%20%EB%B0%8F%20%EC%9A%B4%EC%98%81%EC%82%AC%20%EC%9D%B8%ED%84%B0%ED%8E%98%EC%9D%B4%EC%8A%A4%20%ED%98%91%EC%9D%98/%EC%B2%B4%ED%81%AC%EB%A6%AC%EC%8A%A4%ED%8A%B8/9000-2-6_%EA%B4%80%EC%A0%9C%20%EB%B0%8F%20%EC%9A%B4%EC%98%81%EC%82%AC%20%EC%9D%B8%ED%84%B0%ED%8E%98%EC%9D%B4%EC%8A%A4%20%ED%98%91%EC%9D%98_%EC%B2%B4%ED%81%AC%EB%A6%AC%EC%8A%A4%ED%8A%B8.html" TargetMode="External" Id="rId1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3"/><Relationship Type="http://schemas.openxmlformats.org/officeDocument/2006/relationships/hyperlink" Target="9.%ED%86%B5%EC%8B%A0%EB%B6%84%EC%95%BC/7_%EB%B0%9C%EC%A3%BC%EC%B2%98%20%ED%92%88%EC%A7%88%20%EC%9A%94%EA%B5%AC%EC%82%AC%ED%95%AD%20%EA%B2%80%ED%86%A0/%EC%B2%B4%ED%81%AC%EB%A6%AC%EC%8A%A4%ED%8A%B8/9000-2-7_%EB%B0%9C%EC%A3%BC%EC%B2%98%20%ED%92%88%EC%A7%88%20%EC%9A%94%EA%B5%AC%EC%82%AC%ED%95%AD%20%EA%B2%80%ED%86%A0_%EC%B2%B4%ED%81%AC%EB%A6%AC%EC%8A%A4%ED%8A%B8.html" TargetMode="External" Id="rId1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5"/><Relationship Type="http://schemas.openxmlformats.org/officeDocument/2006/relationships/hyperlink" Target="9.%ED%86%B5%EC%8B%A0%EB%B6%84%EC%95%BC/8_%EC%9E%90%EC%9E%AC%20_%20%EC%9D%B8%EC%9B%90%20_%20%EC%9E%A5%EB%B9%84%20%EB%93%B1%20%ED%88%AC%EC%9E%85%20%EC%82%AC%EC%A0%84%20%EA%B2%80%ED%86%A0/%EC%B2%B4%ED%81%AC%EB%A6%AC%EC%8A%A4%ED%8A%B8/%EC%9E%90%EC%9E%AC%20%EC%9D%B8%EB%A0%A5%20%EC%9E%A5%EB%B9%84%20%EB%93%B1%20%ED%88%AC%EC%9E%85%20%EC%82%AC%EC%A0%84%20%EA%B2%80%ED%86%A0_%EC%B2%B4%ED%81%AC%EB%A6%AC%EC%8A%A4%ED%8A%B8.html" TargetMode="External" Id="rId1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7"/><Relationship Type="http://schemas.openxmlformats.org/officeDocument/2006/relationships/hyperlink" Target="9.%ED%86%B5%EC%8B%A0%EB%B6%84%EC%95%BC/9_%EC%B0%A9%EC%88%98%20%EC%A0%84%20Big%20Room%20%ED%9A%8C%EC%9D%98/%EC%B2%B4%ED%81%AC%EB%A6%AC%EC%8A%A4%ED%8A%B8/9000-2-9_%EC%B0%A9%EC%88%98%20%EC%A0%84%20Big%20Room%20%ED%9A%8C%EC%9D%98_%EC%B2%B4%ED%81%AC%EB%A6%AC%EC%8A%A4%ED%8A%B8.html" TargetMode="External" Id="rId1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19"/><Relationship Type="http://schemas.openxmlformats.org/officeDocument/2006/relationships/hyperlink" Target="9.%ED%86%B5%EC%8B%A0%EB%B6%84%EC%95%BC/10_%ED%86%B5%EC%8B%A0%EC%84%A4%EB%B9%84%20%EC%A0%9C%EC%9E%91%20%EC%82%AC%EC%96%91%EC%84%9C%20%EC%9E%91%EC%84%B1%20_%20%EC%8A%B9%EC%9D%B8/%EC%B2%B4%ED%81%AC%EB%A6%AC%EC%8A%A4%ED%8A%B8/9000-2-10_%ED%86%B5%EC%8B%A0%EC%84%A4%EB%B9%84%20%EC%A0%9C%EC%9E%91%20%EC%82%AC%EC%96%91%EC%84%9C%20%EC%9E%91%EC%84%B1%20_%20%EC%8A%B9%EC%9D%B8_%EC%B2%B4%ED%81%AC%EB%A6%AC%EC%8A%A4%ED%8A%B8.html" TargetMode="External" Id="rId2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1"/><Relationship Type="http://schemas.openxmlformats.org/officeDocument/2006/relationships/hyperlink" Target="9.%ED%86%B5%EC%8B%A0%EB%B6%84%EC%95%BC/11_%EC%8B%9C%EA%B3%B5%20%EA%B3%84%ED%9A%8D%20%EC%88%98%EB%A6%BD%20_%20%EC%8A%B9%EC%9D%B8/%EC%B2%B4%ED%81%AC%EB%A6%AC%EC%8A%A4%ED%8A%B8/9000-2-11_%EC%8B%9C%EA%B3%B5%20%EA%B3%84%ED%9A%8D%20%EC%88%98%EB%A6%BD%20_%20%EC%8A%B9%EC%9D%B8_%EC%B2%B4%ED%81%AC%EB%A6%AC%EC%8A%A4%ED%8A%B8.html" TargetMode="External" Id="rId2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3"/><Relationship Type="http://schemas.openxmlformats.org/officeDocument/2006/relationships/hyperlink" Target="9.%ED%86%B5%EC%8B%A0%EB%B6%84%EC%95%BC/12_%EC%9E%90%EC%9E%AC%EA%B3%B5%EA%B8%89%EC%9B%90%20%EA%B2%80%ED%86%A0%20%EB%B0%8F%20%EC%8A%B9%EC%9D%B8/%EC%B2%B4%ED%81%AC%EB%A6%AC%EC%8A%A4%ED%8A%B8/9000-2-12_%EC%9E%90%EC%9E%AC%EA%B3%B5%EA%B8%89%EC%9B%90%20%EA%B2%80%ED%86%A0%20%EB%B0%8F%20%EC%8A%B9%EC%9D%B8_%EC%B2%B4%ED%81%AC%EB%A6%AC%EC%8A%A4%ED%8A%B8.html" TargetMode="External" Id="rId2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5"/><Relationship Type="http://schemas.openxmlformats.org/officeDocument/2006/relationships/hyperlink" Target="9.%ED%86%B5%EC%8B%A0%EB%B6%84%EC%95%BC/13_%ED%86%B5%EC%8B%A0%EC%84%A4%EB%B9%84%20%EA%B3%B5%EC%A0%95%EC%A0%9C%EC%9E%91%20_%20%EC%A0%9C%EC%9E%91%EC%82%AC%20%EA%B3%B5%EC%9E%A5%EA%B2%80%EC%82%AC/%EC%B2%B4%ED%81%AC%EB%A6%AC%EC%8A%A4%ED%8A%B8/9000-2-13_%ED%86%B5%EC%8B%A0%EC%84%A4%EB%B9%84%20%EA%B3%B5%EC%A0%95%EC%A0%9C%EC%9E%91%20_%20%EC%A0%9C%EC%9E%91%EC%82%AC%20%EA%B3%B5%EC%9E%A5%EA%B2%80%EC%82%AC_%EC%B2%B4%ED%81%AC%EB%A6%AC%EC%8A%A4%ED%8A%B8.html" TargetMode="External" Id="rId2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7"/><Relationship Type="http://schemas.openxmlformats.org/officeDocument/2006/relationships/hyperlink" Target="9.%ED%86%B5%EC%8B%A0%EB%B6%84%EC%95%BC/14_%EB%B3%B8%EA%B3%B5%EC%82%AC%20%EC%A0%84%20%EC%84%A0%ED%96%89%EA%B3%B5%EC%A0%95%20%EC%9D%B8%EC%88%98%EC%9D%B8%EA%B3%84%20%EC%A0%90%EA%B2%80/%EC%B2%B4%ED%81%AC%EB%A6%AC%EC%8A%A4%ED%8A%B8/9000-2-14_%EB%B3%B8%EA%B3%B5%EC%82%AC%20%EC%A0%84%20%EC%84%A0%ED%96%89%EA%B3%B5%EC%A0%95%20%EC%9D%B8%EC%88%98%EC%9D%B8%EA%B3%84%20%EC%A0%90%EA%B2%80_%EC%B2%B4%ED%81%AC%EB%A6%AC%EC%8A%A4%ED%8A%B8.html" TargetMode="External" Id="rId2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29"/><Relationship Type="http://schemas.openxmlformats.org/officeDocument/2006/relationships/hyperlink" Target="9.%ED%86%B5%EC%8B%A0%EB%B6%84%EC%95%BC/15_%EC%9E%A5%EB%B9%84%EB%B0%98%EC%9E%85%20%EB%B0%8F%20%EC%95%88%EC%A0%84%EA%B5%90%EC%9C%A1/%EC%B2%B4%ED%81%AC%EB%A6%AC%EC%8A%A4%ED%8A%B8/9000-2-15_%EC%9E%A5%EB%B9%84%EB%B0%98%EC%9E%85%20%EB%B0%8F%20%EC%95%88%EC%A0%84%EA%B5%90%EC%9C%A1_%EC%B2%B4%ED%81%AC%EB%A6%AC%EC%8A%A4%ED%8A%B8.html" TargetMode="External" Id="rId3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1"/><Relationship Type="http://schemas.openxmlformats.org/officeDocument/2006/relationships/hyperlink" Target="9.%ED%86%B5%EC%8B%A0%EB%B6%84%EC%95%BC/16_%EC%9E%90%EC%9E%AC%20%EB%B0%98%EC%9E%85%20%EB%B0%8F%20%EA%B2%80%EC%88%98/%EC%B2%B4%ED%81%AC%EB%A6%AC%EC%8A%A4%ED%8A%B8/9000-2-16_%EC%9E%90%EC%9E%AC%20%EB%B0%98%EC%9E%85%20%EB%B0%8F%20%EA%B2%80%EC%88%98_%EC%B2%B4%ED%81%AC%EB%A6%AC%EC%8A%A4%ED%8A%B8.html" TargetMode="External" Id="rId3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3"/><Relationship Type="http://schemas.openxmlformats.org/officeDocument/2006/relationships/hyperlink" Target="9.%ED%86%B5%EC%8B%A0%EB%B6%84%EC%95%BC/17_%ED%86%B5%EC%8B%A0%EC%84%A4%EB%B9%84%20%EB%B0%98%EC%9E%85%20%EB%B0%8F%20%EC%84%A4%EC%B9%98/%EC%B2%B4%ED%81%AC%EB%A6%AC%EC%8A%A4%ED%8A%B8/9000-2-17_%ED%86%B5%EC%8B%A0%EC%84%A4%EB%B9%84%20%EB%B0%98%EC%9E%85%20%EB%B0%8F%20%EC%84%A4%EC%B9%98_%EC%B2%B4%ED%81%AC%EB%A6%AC%EC%8A%A4%ED%8A%B8.html" TargetMode="External" Id="rId3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5"/><Relationship Type="http://schemas.openxmlformats.org/officeDocument/2006/relationships/hyperlink" Target="9.%ED%86%B5%EC%8B%A0%EB%B6%84%EC%95%BC/18_%EA%B4%80%EC%A0%9C%EC%84%A4%EB%B9%84%20%EC%84%A4%EC%B9%98/%EC%B2%B4%ED%81%AC%EB%A6%AC%EC%8A%A4%ED%8A%B8/9000-2-18_%EA%B4%80%EC%A0%9C%EC%84%A4%EB%B9%84%20%EC%84%A4%EC%B9%98_%EC%B2%B4%ED%81%AC%EB%A6%AC%EC%8A%A4%ED%8A%B8.html" TargetMode="External" Id="rId3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7"/><Relationship Type="http://schemas.openxmlformats.org/officeDocument/2006/relationships/hyperlink" Target="9.%ED%86%B5%EC%8B%A0%EB%B6%84%EC%95%BC/19_%ED%86%B5%EC%8B%A0%EC%8B%9C%EC%8A%A4%ED%85%9C%20%EB%8B%A8%EC%9C%84%EC%8B%9C%ED%97%98/%EC%B2%B4%ED%81%AC%EB%A6%AC%EC%8A%A4%ED%8A%B8/9000-2-19_%ED%86%B5%EC%8B%A0%EC%8B%9C%EC%8A%A4%ED%85%9C%20%EB%8B%A8%EC%9C%84%EC%8B%9C%ED%97%98_%EC%B2%B4%ED%81%AC%EB%A6%AC%EC%8A%A4%ED%8A%B8.html" TargetMode="External" Id="rId3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39"/><Relationship Type="http://schemas.openxmlformats.org/officeDocument/2006/relationships/hyperlink" Target="9.%ED%86%B5%EC%8B%A0%EB%B6%84%EC%95%BC/20_%ED%86%B5%EC%8B%A0%EC%8B%9C%EC%8A%A4%ED%85%9C%20%ED%86%B5%ED%95%A9%EC%8B%9C%ED%97%98/%EC%B2%B4%ED%81%AC%EB%A6%AC%EC%8A%A4%ED%8A%B8/9000-2-20_%ED%86%B5%EC%8B%A0%EC%8B%9C%EC%8A%A4%ED%85%9C%20%ED%86%B5%ED%95%A9%EC%8B%9C%ED%97%98_%EC%B2%B4%ED%81%AC%EB%A6%AC%EC%8A%A4%ED%8A%B8.html" TargetMode="External" Id="rId4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1"/><Relationship Type="http://schemas.openxmlformats.org/officeDocument/2006/relationships/hyperlink" Target="9.%ED%86%B5%EC%8B%A0%EB%B6%84%EC%95%BC/21_%EA%B3%B5%EC%A2%85%EB%B3%84%20%EC%8B%9C%ED%97%98/%EC%B2%B4%ED%81%AC%EB%A6%AC%EC%8A%A4%ED%8A%B8/9000-2-21_%EA%B3%B5%EC%A2%85%EB%B3%84%20%EC%8B%9C%ED%97%98_%EC%B2%B4%ED%81%AC%EB%A6%AC%EC%8A%A4%ED%8A%B8.html" TargetMode="External" Id="rId4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3"/><Relationship Type="http://schemas.openxmlformats.org/officeDocument/2006/relationships/hyperlink" Target="9.%ED%86%B5%EC%8B%A0%EB%B6%84%EC%95%BC/22_%EC%B0%A8%EB%9F%89%20%ED%88%AC%EC%9E%85%20%EC%A0%84%20%EC%A0%90%EA%B2%80/%EC%B2%B4%ED%81%AC%EB%A6%AC%EC%8A%A4%ED%8A%B8/9000-2-22_%EC%B0%A8%EB%9F%89%20%ED%88%AC%EC%9E%85%20%EC%A0%84%20%EC%A0%90%EA%B2%80_%EC%B2%B4%ED%81%AC%EB%A6%AC%EC%8A%A4%ED%8A%B8.html" TargetMode="External" Id="rId4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5"/><Relationship Type="http://schemas.openxmlformats.org/officeDocument/2006/relationships/hyperlink" Target="9.%ED%86%B5%EC%8B%A0%EB%B6%84%EC%95%BC/23_%EC%B0%A8%EB%9F%89%20%EC%8B%9C%EC%9A%B4%EC%A0%84/%EC%B2%B4%ED%81%AC%EB%A6%AC%EC%8A%A4%ED%8A%B8/9000-2-23_%EC%B0%A8%EB%9F%89%20%EC%8B%9C%EC%9A%B4%EC%A0%84_%EC%B2%B4%ED%81%AC%EB%A6%AC%EC%8A%A4%ED%8A%B8.html" TargetMode="External" Id="rId4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7"/><Relationship Type="http://schemas.openxmlformats.org/officeDocument/2006/relationships/hyperlink" Target="9.%ED%86%B5%EC%8B%A0%EB%B6%84%EC%95%BC/24_%EC%9A%B4%EC%98%81%EC%9E%90%20%EA%B5%90%EC%9C%A1%EC%8B%9C%ED%96%89/%EC%B2%B4%ED%81%AC%EB%A6%AC%EC%8A%A4%ED%8A%B8/9000-2-24_%EC%9A%B4%EC%98%81%EC%9E%90%20%EA%B5%90%EC%9C%A1%EC%8B%9C%ED%96%89_%EC%B2%B4%ED%81%AC%EB%A6%AC%EC%8A%A4%ED%8A%B8.html" TargetMode="External" Id="rId4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49"/><Relationship Type="http://schemas.openxmlformats.org/officeDocument/2006/relationships/hyperlink" Target="9.%ED%86%B5%EC%8B%A0%EB%B6%84%EC%95%BC/25_%EC%82%AC%EC%A0%84%EC%A0%90%EA%B2%80/%EC%B2%B4%ED%81%AC%EB%A6%AC%EC%8A%A4%ED%8A%B8/9000-2-25_%EC%82%AC%EC%A0%84%EC%A0%90%EA%B2%80_%EC%B2%B4%ED%81%AC%EB%A6%AC%EC%8A%A4%ED%8A%B8.html" TargetMode="External" Id="rId5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1"/><Relationship Type="http://schemas.openxmlformats.org/officeDocument/2006/relationships/hyperlink" Target="9.%ED%86%B5%EC%8B%A0%EB%B6%84%EC%95%BC/26_%EC%8B%9C%EC%84%A4%EB%AC%BC%20%EA%B2%80%EC%A6%9D%EC%8B%9C%ED%97%98/%EC%B2%B4%ED%81%AC%EB%A6%AC%EC%8A%A4%ED%8A%B8/9000-2-26_%EC%8B%9C%EC%84%A4%EB%AC%BC%20%EA%B2%80%EC%A6%9D%EC%8B%9C%ED%97%98_%EC%B2%B4%ED%81%AC%EB%A6%AC%EC%8A%A4%ED%8A%B8.html" TargetMode="External" Id="rId5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3"/><Relationship Type="http://schemas.openxmlformats.org/officeDocument/2006/relationships/hyperlink" Target="9.%ED%86%B5%EC%8B%A0%EB%B6%84%EC%95%BC/27_%EC%98%81%EC%97%85%EC%8B%9C%EC%9A%B4%EC%A0%84/%EC%B2%B4%ED%81%AC%EB%A6%AC%EC%8A%A4%ED%8A%B8/9000-2-27_%EC%98%81%EC%97%85%EC%8B%9C%EC%9A%B4%EC%A0%84_%EC%B2%B4%ED%81%AC%EB%A6%AC%EC%8A%A4%ED%8A%B8.html" TargetMode="External" Id="rId54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5"/><Relationship Type="http://schemas.openxmlformats.org/officeDocument/2006/relationships/hyperlink" Target="9.%ED%86%B5%EC%8B%A0%EB%B6%84%EC%95%BC/28_%EC%9E%90%EA%B0%80%EC%9A%A9%EC%A0%84%EA%B8%B0%ED%86%B5%EC%8B%A0%EC%84%A4%EB%B9%84%20%EC%84%A4%EC%B9%98%EC%8B%A0%EA%B3%A0/%EC%B2%B4%ED%81%AC%EB%A6%AC%EC%8A%A4%ED%8A%B8/9000-2-28_%EC%9E%90%EA%B0%80%EC%9A%A9%EC%A0%84%EA%B8%B0%ED%86%B5%EC%8B%A0%EC%84%A4%EB%B9%84%20%EC%84%A4%EC%B9%98%EC%8B%A0%EA%B3%A0_%EC%B2%B4%ED%81%AC%EB%A6%AC%EC%8A%A4%ED%8A%B8.html" TargetMode="External" Id="rId56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7"/><Relationship Type="http://schemas.openxmlformats.org/officeDocument/2006/relationships/hyperlink" Target="9.%ED%86%B5%EC%8B%A0%EB%B6%84%EC%95%BC/29_LTE-R%20%EB%AC%B4%EC%84%A0%EA%B5%AD%20%ED%97%88%EA%B0%80/%EC%B2%B4%ED%81%AC%EB%A6%AC%EC%8A%A4%ED%8A%B8/LTE-R%20%EB%AC%B4%EC%84%A0%EA%B5%AD%20%ED%97%88%EA%B0%80_%EC%B2%B4%ED%81%AC%EB%A6%AC%EC%8A%A4%ED%8A%B8.html" TargetMode="External" Id="rId58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59"/><Relationship Type="http://schemas.openxmlformats.org/officeDocument/2006/relationships/hyperlink" Target="9.%ED%86%B5%EC%8B%A0%EB%B6%84%EC%95%BC/30_LTE-R%20%EC%83%81%ED%98%B8%EC%9A%B4%EC%9A%A9%EC%84%B1%20%EB%B0%8F%20%EB%B3%B4%EC%95%88%EC%A0%81%ED%95%A9%EC%84%B1%20%EA%B2%80%EC%A6%9D/%EC%B2%B4%ED%81%AC%EB%A6%AC%EC%8A%A4%ED%8A%B8/9000-2-30_LTE-R%20%EC%83%81%ED%98%B8%EC%9A%B4%EC%9A%A9%EC%84%B1%20%EB%B0%8F%20%EB%B3%B4%EC%95%88%EC%A0%81%ED%95%A9%EC%84%B1%20%EA%B2%80%EC%A6%9D_%EC%B2%B4%ED%81%AC%EB%A6%AC%EC%8A%A4%ED%8A%B8.html" TargetMode="External" Id="rId60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1"/><Relationship Type="http://schemas.openxmlformats.org/officeDocument/2006/relationships/hyperlink" Target="9.%ED%86%B5%EC%8B%A0%EB%B6%84%EC%95%BC/31_%EC%A0%95%EB%B3%B4%ED%86%B5%EC%8B%A0%EC%82%AC%EC%9A%A9%EC%A0%84%EA%B2%80%EC%82%AC/%EC%B2%B4%ED%81%AC%EB%A6%AC%EC%8A%A4%ED%8A%B8/9000-2-31_%EC%A0%95%EB%B3%B4%ED%86%B5%EC%8B%A0%EC%82%AC%EC%9A%A9%EC%A0%84%EA%B2%80%EC%82%AC_%EC%B2%B4%ED%81%AC%EB%A6%AC%EC%8A%A4%ED%8A%B8.html" TargetMode="External" Id="rId62"/><Relationship Type="http://schemas.openxmlformats.org/officeDocument/2006/relationships/hyperlink" Target="%EB%B6%84%EC%95%BC%EB%B3%84%EC%84%A4%EA%B3%84%EA%B8%B0%EC%A4%80%28%EC%84%A4%EA%B3%84%EC%82%AC%EC%A0%95%EB%A6%AC%29/%ED%86%B5%EC%8B%A0%EB%B6%84%EC%95%BC%20%EC%84%A4%EA%B3%84%EA%B8%B0%EC%A4%80%20%EA%B2%80%ED%86%A0.pdf" TargetMode="External" Id="rId63"/><Relationship Type="http://schemas.openxmlformats.org/officeDocument/2006/relationships/hyperlink" Target="9.%ED%86%B5%EC%8B%A0%EB%B6%84%EC%95%BC/32_LTE-R%20%EB%AC%B4%EC%84%A0%EA%B5%AD%20%EC%A4%80%EA%B3%B5%EA%B2%80%EC%82%AC/%EC%B2%B4%ED%81%AC%EB%A6%AC%EC%8A%A4%ED%8A%B8/9000-2-32_LTE-R%20%EB%AC%B4%EC%84%A0%EA%B5%AD%20%EC%A4%80%EA%B3%B5%EA%B2%80%EC%82%AC_%EC%B2%B4%ED%81%AC%EB%A6%AC%EC%8A%A4%ED%8A%B8.html" TargetMode="External" Id="rId64"/></Relationships>
</file>

<file path=xl/worksheets/sheet1.xml><?xml version="1.0" encoding="utf-8"?>
<worksheet xmlns="http://schemas.openxmlformats.org/spreadsheetml/2006/main">
  <sheetPr codeName="Sheet1">
    <tabColor rgb="FFFFFF00"/>
    <outlinePr summaryBelow="1" summaryRight="1"/>
    <pageSetUpPr/>
  </sheetPr>
  <dimension ref="A1:T37"/>
  <sheetViews>
    <sheetView view="pageBreakPreview" zoomScale="55" zoomScaleNormal="40" zoomScaleSheetLayoutView="55" workbookViewId="0">
      <selection activeCell="A1" sqref="A1:XFD1048576"/>
    </sheetView>
  </sheetViews>
  <sheetFormatPr baseColWidth="8" defaultRowHeight="17.4"/>
  <cols>
    <col width="10.3984375" customWidth="1" min="1" max="1"/>
    <col width="10.09765625" customWidth="1" min="2" max="2"/>
    <col width="15" customWidth="1" min="3" max="3"/>
    <col width="16" customWidth="1" min="4" max="8"/>
    <col width="21.19921875" customWidth="1" min="9" max="9"/>
    <col width="20.69921875" customWidth="1" min="10" max="10"/>
    <col width="24.59765625" customWidth="1" min="11" max="11"/>
    <col width="41.8984375" customWidth="1" min="12" max="12"/>
    <col width="25.796875" customWidth="1" min="13" max="13"/>
    <col width="26.796875" customWidth="1" min="14" max="14"/>
    <col width="11.5" customWidth="1" style="1" min="15" max="15"/>
    <col width="53.69921875" customWidth="1" min="16" max="16"/>
    <col width="11.5" customWidth="1" style="1" min="17" max="17"/>
    <col width="50.5" customWidth="1" min="18" max="18"/>
    <col width="11.5" customWidth="1" style="1" min="19" max="19"/>
    <col width="23.69921875" customWidth="1" min="20" max="20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협업부서</t>
        </is>
      </c>
      <c r="K1" s="6" t="inlineStr">
        <is>
          <t>목적</t>
        </is>
      </c>
      <c r="L1" s="6" t="inlineStr">
        <is>
          <t>방법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</row>
    <row r="2" ht="90" customHeight="1">
      <c r="A2" s="47" t="inlineStr">
        <is>
          <t>9000</t>
        </is>
      </c>
      <c r="B2" s="47" t="inlineStr">
        <is>
          <t>9000-5</t>
        </is>
      </c>
      <c r="C2" s="47" t="inlineStr">
        <is>
          <t>지반조사</t>
        </is>
      </c>
      <c r="D2" s="85" t="inlineStr">
        <is>
          <t>9000-5-1</t>
        </is>
      </c>
      <c r="E2" s="47" t="n"/>
      <c r="F2" s="85" t="inlineStr">
        <is>
          <t>9000-5-2</t>
        </is>
      </c>
      <c r="G2" s="47" t="inlineStr">
        <is>
          <t>D-90 (D-120~D-90)</t>
        </is>
      </c>
      <c r="H2" s="85" t="inlineStr">
        <is>
          <t>발주처 계획 입수(비공식)</t>
        </is>
      </c>
      <c r="I2" s="47" t="inlineStr">
        <is>
          <t>토목사업팀</t>
        </is>
      </c>
      <c r="J2" s="36" t="inlineStr">
        <is>
          <t>지반조사업체, 외부지질전문가 3인이상</t>
        </is>
      </c>
      <c r="K2" s="47" t="inlineStr">
        <is>
          <t>발주처 기본계획 사전 검토</t>
        </is>
      </c>
      <c r="L2" s="49" t="inlineStr">
        <is>
          <t>• 조사설계 용역 기본계획 도서 확보 여부 확인
• 핵심이슈 (미시추 사유, 지층/암반등급 조정여부 등) 확보 여부 확인
• 사업지 연접 지질/지반조사 자료 확보 여부 확인</t>
        </is>
      </c>
      <c r="M2" s="49" t="inlineStr">
        <is>
          <t>발주처 기본계획 보고서</t>
        </is>
      </c>
      <c r="N2" s="49" t="inlineStr">
        <is>
          <t>발주처 기본계획 사전 검토 | 발주처 기본계획 보고서</t>
        </is>
      </c>
      <c r="O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" s="49" t="inlineStr">
        <is>
          <t>• 조사설계 용역 기본계획 도서 확보 여부 확인 • 핵심이슈 (미시추 사유, 지층/암반등급 조정여부 등) 확보 여부 확인 • 사업지 연접 지질/지반조사 자료 확보 여부 확인</t>
        </is>
      </c>
      <c r="Q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" s="49" t="inlineStr">
        <is>
          <t>1) 발주처 계획 입수(비공식) 적정성을 확인하였는가? 2) 발주처 기본계획 보고서 산출물을 확보하였는가?</t>
        </is>
      </c>
      <c r="S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" s="49" t="n"/>
    </row>
    <row r="3" ht="134.4" customHeight="1">
      <c r="A3" s="47" t="inlineStr">
        <is>
          <t>9000</t>
        </is>
      </c>
      <c r="B3" s="47" t="inlineStr">
        <is>
          <t>9000-5</t>
        </is>
      </c>
      <c r="C3" s="47" t="inlineStr">
        <is>
          <t>지반조사</t>
        </is>
      </c>
      <c r="D3" s="85" t="n">
        <v>2593345</v>
      </c>
      <c r="E3" s="85" t="n">
        <v>2593344</v>
      </c>
      <c r="F3" s="85" t="inlineStr">
        <is>
          <t>9000-5-6</t>
        </is>
      </c>
      <c r="G3" s="47" t="inlineStr">
        <is>
          <t>D-60 (D-80~D-60)</t>
        </is>
      </c>
      <c r="H3" s="85" t="inlineStr">
        <is>
          <t>관심프로젝트 선정</t>
        </is>
      </c>
      <c r="I3" s="47" t="inlineStr">
        <is>
          <t>토목사업팀</t>
        </is>
      </c>
      <c r="J3" s="36" t="inlineStr">
        <is>
          <t>포스코
스마트엔지니어링팀</t>
        </is>
      </c>
      <c r="K3" s="47" t="inlineStr">
        <is>
          <t>입수된 발주정보 평가를 통한 관심 Project 선정</t>
        </is>
      </c>
      <c r="L3" s="49" t="inlineStr">
        <is>
          <t>• 해당 프로젝트별 발주처/경쟁동향 / 사업성평가 수행
• 기술형입찰 입찰참여 Guide Line으로 해당 프로젝트 평가</t>
        </is>
      </c>
      <c r="M3" s="49" t="inlineStr">
        <is>
          <t>관심사업 List</t>
        </is>
      </c>
      <c r="N3" s="49" t="inlineStr">
        <is>
          <t>입수된 발주정보 평가를 통한 관심 Project 선정 | 관심사업 List</t>
        </is>
      </c>
      <c r="O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" s="49" t="inlineStr">
        <is>
          <t>• 해당 프로젝트별 발주처/경쟁동향 / 사업성평가 수행 • 기술형입찰 입찰참여 Guide Line으로 해당 프로젝트 평가</t>
        </is>
      </c>
      <c r="Q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" s="49" t="inlineStr">
        <is>
          <t>1) 관심프로젝트 선정 적정성을 확인하였는가? 2) 관심사업 List 산출물을 확보하였는가?</t>
        </is>
      </c>
      <c r="S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" s="49" t="n"/>
    </row>
    <row r="4" ht="110.4" customHeight="1">
      <c r="A4" s="47" t="inlineStr">
        <is>
          <t>9000</t>
        </is>
      </c>
      <c r="B4" s="47" t="inlineStr">
        <is>
          <t>9000-5</t>
        </is>
      </c>
      <c r="C4" s="47" t="inlineStr">
        <is>
          <t>지반조사</t>
        </is>
      </c>
      <c r="D4" s="85" t="n">
        <v>2593346</v>
      </c>
      <c r="E4" s="47" t="inlineStr">
        <is>
          <t>9000-5-2</t>
        </is>
      </c>
      <c r="F4" s="85" t="n"/>
      <c r="G4" s="47" t="inlineStr">
        <is>
          <t>D-60 (D-70~D-60)</t>
        </is>
      </c>
      <c r="H4" s="85" t="inlineStr">
        <is>
          <t>발주처 지반조사 모니터링</t>
        </is>
      </c>
      <c r="I4" s="47" t="inlineStr">
        <is>
          <t>포스코스마트엔지니어링팀</t>
        </is>
      </c>
      <c r="J4" s="36" t="inlineStr">
        <is>
          <t>토목사업팀</t>
        </is>
      </c>
      <c r="K4" s="47" t="inlineStr">
        <is>
          <t>발주처 지반조사 수립업체 파악</t>
        </is>
      </c>
      <c r="L4" s="49" t="inlineStr">
        <is>
          <t>• 발주처 지반조사업체 확인 후 당사 Pool List와 비교
• 발주처 지반조사 업체 확인팀 Contact Point 확보</t>
        </is>
      </c>
      <c r="M4" s="49" t="inlineStr">
        <is>
          <t>발주처 기본계획 수행 List + Contact Point List</t>
        </is>
      </c>
      <c r="N4" s="49" t="inlineStr">
        <is>
          <t>발주처 지반조사 수립업체 파악 | 발주처 기본계획 수행 List + Contact Point List</t>
        </is>
      </c>
      <c r="O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4" s="49" t="inlineStr">
        <is>
          <t>• 발주처 지반조사업체 확인 후 당사 Pool List와 비교 • 발주처 지반조사 업체 확인팀 Contact Point 확보</t>
        </is>
      </c>
      <c r="Q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4" s="49" t="inlineStr">
        <is>
          <t>1) 발주처 지반조사 모니터링 적정성을 확인하였는가? 2) 발주처 기본계획 수행 List + Contact Point List 산출물을 확보하였는가?</t>
        </is>
      </c>
      <c r="S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4" s="49" t="n"/>
    </row>
    <row r="5" ht="96" customHeight="1">
      <c r="A5" s="47" t="inlineStr">
        <is>
          <t>9000</t>
        </is>
      </c>
      <c r="B5" s="47" t="inlineStr">
        <is>
          <t>9000-5</t>
        </is>
      </c>
      <c r="C5" s="47" t="inlineStr">
        <is>
          <t>지반조사</t>
        </is>
      </c>
      <c r="D5" s="85" t="n">
        <v>2593347</v>
      </c>
      <c r="E5" s="64" t="n">
        <v>2593344</v>
      </c>
      <c r="F5" s="85" t="n">
        <v>2593344</v>
      </c>
      <c r="G5" s="47" t="inlineStr">
        <is>
          <t>D-50 (D-60~D-50)</t>
        </is>
      </c>
      <c r="H5" s="85" t="inlineStr">
        <is>
          <t>외부 지질전문가 Pool 관리</t>
        </is>
      </c>
      <c r="I5" s="47" t="inlineStr">
        <is>
          <t>포스코스마트엔지니어링팀</t>
        </is>
      </c>
      <c r="J5" s="36" t="inlineStr">
        <is>
          <t>-</t>
        </is>
      </c>
      <c r="K5" s="47" t="inlineStr">
        <is>
          <t>지반조사 품질향상을 위한 제3자 검증 수행 지반조사 전문가 Pool 관리</t>
        </is>
      </c>
      <c r="L5" s="49" t="inlineStr">
        <is>
          <t>• Academic 전문가와 현장 전문가를 포함한 Pool 구성
• 전문가 Pool의 학력/기술사 등 경력사항(조사 15년) 확인</t>
        </is>
      </c>
      <c r="M5" s="49" t="inlineStr">
        <is>
          <t>외부지질전문가 Pool List</t>
        </is>
      </c>
      <c r="N5" s="49" t="inlineStr">
        <is>
          <t>지반조사 품질향상을 위한 제3자 검증 수행 지반조사 전문가 Pool 관리 | 외부지질전문가 Pool List</t>
        </is>
      </c>
      <c r="O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5" s="49" t="inlineStr">
        <is>
          <t>• Academic 전문가와 현장 전문가를 포함한 Pool 구성 • 전문가 Pool의 학력/기술사 등 경력사항(조사 15년) 확인</t>
        </is>
      </c>
      <c r="Q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5" s="49" t="inlineStr">
        <is>
          <t>1) 외부 지질전문가 Pool 관리 적정성을 확인하였는가? 2) 외부지질전문가 Pool List 산출물을 확보하였는가?</t>
        </is>
      </c>
      <c r="S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5" s="49" t="n"/>
    </row>
    <row r="6" ht="125.4" customHeight="1">
      <c r="A6" s="47" t="inlineStr">
        <is>
          <t>9000</t>
        </is>
      </c>
      <c r="B6" s="47" t="inlineStr">
        <is>
          <t>9000-5</t>
        </is>
      </c>
      <c r="C6" s="47" t="inlineStr">
        <is>
          <t>지반조사</t>
        </is>
      </c>
      <c r="D6" s="85" t="n">
        <v>2593348</v>
      </c>
      <c r="E6" s="47" t="inlineStr">
        <is>
          <t>9000-5-1</t>
        </is>
      </c>
      <c r="F6" s="85" t="inlineStr">
        <is>
          <t>9000-5-3</t>
        </is>
      </c>
      <c r="G6" s="47" t="inlineStr">
        <is>
          <t>D-80 (D-120~D-80)</t>
        </is>
      </c>
      <c r="H6" s="85" t="inlineStr">
        <is>
          <t>지반조사 Pool 관리</t>
        </is>
      </c>
      <c r="I6" s="47" t="inlineStr">
        <is>
          <t>외주구매팀</t>
        </is>
      </c>
      <c r="J6" s="36" t="inlineStr">
        <is>
          <t>포스코스마트엔지니어링팀</t>
        </is>
      </c>
      <c r="K6" s="47" t="inlineStr">
        <is>
          <t>발주처 계획 대응 및 개략 지반조사 결과 사전 예측을 위한 업체 관리</t>
        </is>
      </c>
      <c r="L6" s="49" t="inlineStr">
        <is>
          <t>• 공공기관별 입찰공고 모니터링 통한 지반조사업체 입찰참여 유치(입찰 공사 여부 확인)
• 업체 Pool List 갱신 여부 확인
• 지반조사업체 역량 및 기술수준 평가표 평가 여부 확인 (Pool 갱신 및 신규업체 등록)
• 조사업체 강점, 장비보유 확인
• 조사업체 Network 확보 여부 확인</t>
        </is>
      </c>
      <c r="M6" s="49" t="inlineStr">
        <is>
          <t>조사업체 POOL/필요시 Update</t>
        </is>
      </c>
      <c r="N6" s="49" t="inlineStr">
        <is>
          <t>발주처 계획 대응 및 개략 지반조사 결과 사전 예측을 위한 업체 관리 | 조사업체 POOL/필요시 Update</t>
        </is>
      </c>
      <c r="O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6" s="49" t="inlineStr">
        <is>
          <t>• 공공기관별 입찰공고 모니터링 통한 지반조사업체 입찰참여 유치(입찰 공사 여부 확인) • 업체 Pool List 갱신 여부 확인 • 지반조사업체 역량 및 기술수준 평가표 평가 여부 확인 (Pool 갱신 및 신규업체...</t>
        </is>
      </c>
      <c r="Q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6" s="49" t="inlineStr">
        <is>
          <t>1) 지반조사 Pool 관리 적정성을 확인하였는가? 2) 조사업체 POOL/필요시 Update 산출물을 확보하였는가?</t>
        </is>
      </c>
      <c r="S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6" s="49" t="n"/>
    </row>
    <row r="7" ht="172.8" customHeight="1">
      <c r="A7" s="47" t="inlineStr">
        <is>
          <t>9000</t>
        </is>
      </c>
      <c r="B7" s="47" t="inlineStr">
        <is>
          <t>9000-5</t>
        </is>
      </c>
      <c r="C7" s="47" t="inlineStr">
        <is>
          <t>지반조사</t>
        </is>
      </c>
      <c r="D7" s="85" t="n">
        <v>2593350</v>
      </c>
      <c r="E7" s="47" t="inlineStr">
        <is>
          <t>9000-5-7</t>
        </is>
      </c>
      <c r="F7" s="85" t="inlineStr">
        <is>
          <t>9000-5-9</t>
        </is>
      </c>
      <c r="G7" s="47" t="inlineStr">
        <is>
          <t>D-40</t>
        </is>
      </c>
      <c r="H7" s="85" t="inlineStr">
        <is>
          <t>기본계획 지반조사 자료 및 R/O 정보 입수</t>
        </is>
      </c>
      <c r="I7" s="47" t="inlineStr">
        <is>
          <t>지반조사 협력업체</t>
        </is>
      </c>
      <c r="J7" s="36" t="inlineStr">
        <is>
          <t>설계 협력업체</t>
        </is>
      </c>
      <c r="K7" s="47" t="inlineStr">
        <is>
          <t>발주처 기본계획 및 지반조사 결과 사전 획득</t>
        </is>
      </c>
      <c r="L7" s="49" t="inlineStr">
        <is>
          <t>• 기본계획 지반조사결과 및 실시설계 Contact을 통한 자료입수</t>
        </is>
      </c>
      <c r="M7" s="49" t="inlineStr">
        <is>
          <t>발주처 기본계획 보고서 및 지반조사 보고서(비공식)</t>
        </is>
      </c>
      <c r="N7" s="49" t="inlineStr">
        <is>
          <t>발주처 기본계획 및 지반조사 결과 사전 획득 | 발주처 기본계획 보고서 및 지반조사 보고서(비공식)</t>
        </is>
      </c>
      <c r="O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7" s="49" t="inlineStr">
        <is>
          <t>• 기본계획 지반조사결과 및 실시설계 Contact을 통한 자료입수</t>
        </is>
      </c>
      <c r="Q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7" s="49" t="inlineStr">
        <is>
          <t>1) 기본계획 지반조사 자료 및 R/O 정보 입수 적정성을 확인하였는가? 2) 발주처 기본계획 보고서 및 지반조사 보고서(비공식) 산출물을 확보하였는가?</t>
        </is>
      </c>
      <c r="S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7" s="49" t="n"/>
    </row>
    <row r="8" ht="96" customHeight="1">
      <c r="A8" s="47" t="inlineStr">
        <is>
          <t>9000</t>
        </is>
      </c>
      <c r="B8" s="47" t="inlineStr">
        <is>
          <t>9000-5</t>
        </is>
      </c>
      <c r="C8" s="47" t="inlineStr">
        <is>
          <t>지반조사</t>
        </is>
      </c>
      <c r="D8" s="85" t="n">
        <v>2593348</v>
      </c>
      <c r="E8" s="47" t="inlineStr">
        <is>
          <t>9000-5-5</t>
        </is>
      </c>
      <c r="F8" s="85" t="inlineStr">
        <is>
          <t>9000-5-7</t>
        </is>
      </c>
      <c r="G8" s="47" t="inlineStr">
        <is>
          <t>D-65 (D-65~D-55)</t>
        </is>
      </c>
      <c r="H8" s="85" t="inlineStr">
        <is>
          <t>기본계획 지반조사 R/O 검토 (설계, 공정, 기획)</t>
        </is>
      </c>
      <c r="I8" s="47" t="inlineStr">
        <is>
          <t>포스코스마트엔지니어링팀(설계), 토목수행팀(공정), 토목사업지원팀(기획)</t>
        </is>
      </c>
      <c r="J8" s="36" t="inlineStr">
        <is>
          <t>토목견적팀</t>
        </is>
      </c>
      <c r="K8" s="47" t="inlineStr">
        <is>
          <t>발주처 기본계획 지반조사 문제점 검토</t>
        </is>
      </c>
      <c r="L8" s="49" t="inlineStr">
        <is>
          <t>• 시추조사 위치, 수량 적정성 검토
• 지질이상 구간 상세 조사 여부 및 적정성 검토 확인
• 미시추 구간 지반 특성 적정성 검토확인 (측점 검토, 위치 및 물량검토)
• 인근 사업 지반조사자료 비교 통해 당사 지반특성 분석 결과 Cross-check 확인</t>
        </is>
      </c>
      <c r="M8" s="49" t="inlineStr">
        <is>
          <t>기본계획 지반조사 검토서(설계, 공정, 기획)</t>
        </is>
      </c>
      <c r="N8" s="49" t="inlineStr">
        <is>
          <t>발주처 기본계획 지반조사 문제점 검토 | 기본계획 지반조사 검토서(설계, 공정, 기획)</t>
        </is>
      </c>
      <c r="O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8" s="49" t="inlineStr">
        <is>
          <t>• 시추조사 위치, 수량 적정성 검토 • 지질이상 구간 상세 조사 여부 및 적정성 검토 확인 • 미시추 구간 지반 특성 적정성 검토확인 (측점 검토, 위치 및 물량검토) • 인근 사업 지반조사자료 비교 통해 당사 지...</t>
        </is>
      </c>
      <c r="Q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8" s="49" t="inlineStr">
        <is>
          <t>1) 기본계획 지반조사 R/O 검토 (설계, 공정, 기획) 적정성을 확인하였는가? 2) 기본계획 지반조사 검토서(설계, 공정, 기획) 산출물을 확보하였는가?</t>
        </is>
      </c>
      <c r="S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8" s="49" t="n"/>
    </row>
    <row r="9" ht="115.2" customHeight="1">
      <c r="A9" s="47" t="inlineStr">
        <is>
          <t>9000</t>
        </is>
      </c>
      <c r="B9" s="47" t="inlineStr">
        <is>
          <t>9000-5</t>
        </is>
      </c>
      <c r="C9" s="47" t="inlineStr">
        <is>
          <t>지반조사</t>
        </is>
      </c>
      <c r="D9" s="85" t="n">
        <v>2593349</v>
      </c>
      <c r="E9" s="47" t="inlineStr">
        <is>
          <t>9000-5-6</t>
        </is>
      </c>
      <c r="F9" s="85" t="inlineStr">
        <is>
          <t>9000-5-8</t>
        </is>
      </c>
      <c r="G9" s="47" t="inlineStr">
        <is>
          <t>D-40 (D-60~D-40)</t>
        </is>
      </c>
      <c r="H9" s="85" t="inlineStr">
        <is>
          <t>기본계획 지반조사 R/O 종합검토 (원가)</t>
        </is>
      </c>
      <c r="I9" s="47" t="inlineStr">
        <is>
          <t>토목견적팀</t>
        </is>
      </c>
      <c r="J9" s="36" t="inlineStr">
        <is>
          <t>포스코스마트엔지니어링팀(설계), 토목수행팀(공정), 토목사업지원팀(기획)</t>
        </is>
      </c>
      <c r="K9" s="47" t="inlineStr">
        <is>
          <t>발주처 지반조사 문제점 R/O 분석</t>
        </is>
      </c>
      <c r="L9" s="49" t="inlineStr">
        <is>
          <t>• 발주처 기본계획 지반조사 R/O별 Cost effect 분석</t>
        </is>
      </c>
      <c r="M9" s="49" t="inlineStr">
        <is>
          <t>기본계획 지반조사 개략 검토서</t>
        </is>
      </c>
      <c r="N9" s="49" t="inlineStr">
        <is>
          <t>발주처 지반조사 문제점 R/O 분석 | 기본계획 지반조사 개략 검토서</t>
        </is>
      </c>
      <c r="O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9" s="49" t="inlineStr">
        <is>
          <t>• 발주처 기본계획 지반조사 R/O별 Cost effect 분석</t>
        </is>
      </c>
      <c r="Q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9" s="49" t="inlineStr">
        <is>
          <t>1) 기본계획 지반조사 R/O 종합검토 (원가) 적정성을 확인하였는가? 2) 기본계획 지반조사 개략 검토서 산출물을 확보하였는가?</t>
        </is>
      </c>
      <c r="S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9" s="49" t="n"/>
    </row>
    <row r="10" ht="115.2" customHeight="1">
      <c r="A10" s="47" t="inlineStr">
        <is>
          <t>9000</t>
        </is>
      </c>
      <c r="B10" s="47" t="inlineStr">
        <is>
          <t>9000-5</t>
        </is>
      </c>
      <c r="C10" s="47" t="inlineStr">
        <is>
          <t>지반조사</t>
        </is>
      </c>
      <c r="D10" s="85" t="n">
        <v>2593351</v>
      </c>
      <c r="E10" s="47" t="inlineStr">
        <is>
          <t>9000-5-8</t>
        </is>
      </c>
      <c r="F10" s="85" t="inlineStr">
        <is>
          <t>9000-5-10</t>
        </is>
      </c>
      <c r="G10" s="47" t="inlineStr">
        <is>
          <t>D-30</t>
        </is>
      </c>
      <c r="H10" s="85" t="inlineStr">
        <is>
          <t>지반조사 업체 선정</t>
        </is>
      </c>
      <c r="I10" s="47" t="inlineStr">
        <is>
          <t>일반구매팀</t>
        </is>
      </c>
      <c r="J10" s="36" t="inlineStr">
        <is>
          <t>포스코스마트엔지니어링팀</t>
        </is>
      </c>
      <c r="K10" s="47" t="inlineStr">
        <is>
          <t>지반조사업체 Pool 내 최적의 업체 선정</t>
        </is>
      </c>
      <c r="L10" s="49" t="inlineStr">
        <is>
          <t>• 지반조사업체 Pool/실적 검토 및 공종별 적합성 정합 및 견적 본부 연계 검토</t>
        </is>
      </c>
      <c r="M10" s="49" t="inlineStr">
        <is>
          <t>지반조사 입찰 참여 Pool</t>
        </is>
      </c>
      <c r="N10" s="49" t="inlineStr">
        <is>
          <t>지반조사업체 Pool 내 최적의 업체 선정 | 지반조사 입찰 참여 Pool</t>
        </is>
      </c>
      <c r="O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0" s="49" t="inlineStr">
        <is>
          <t>• 지반조사업체 Pool/실적 검토 및 공종별 적합성 정합 및 견적 본부 연계 검토</t>
        </is>
      </c>
      <c r="Q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0" s="49" t="inlineStr">
        <is>
          <t>1) 지반조사 업체 선정 적정성을 확인하였는가? 2) 지반조사 입찰 참여 Pool 산출물을 확보하였는가?</t>
        </is>
      </c>
      <c r="S1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0" s="49" t="n"/>
    </row>
    <row r="11" ht="96" customHeight="1">
      <c r="A11" s="47" t="inlineStr">
        <is>
          <t>9000</t>
        </is>
      </c>
      <c r="B11" s="47" t="inlineStr">
        <is>
          <t>9000-5</t>
        </is>
      </c>
      <c r="C11" s="47" t="inlineStr">
        <is>
          <t>지반조사</t>
        </is>
      </c>
      <c r="D11" s="85" t="n">
        <v>2593352</v>
      </c>
      <c r="E11" s="47" t="inlineStr">
        <is>
          <t>9000-5-9</t>
        </is>
      </c>
      <c r="F11" s="85" t="inlineStr">
        <is>
          <t>9000-5-11</t>
        </is>
      </c>
      <c r="G11" s="47" t="inlineStr">
        <is>
          <t>D-30</t>
        </is>
      </c>
      <c r="H11" s="85" t="inlineStr">
        <is>
          <t>지반조사 업체 계약</t>
        </is>
      </c>
      <c r="I11" s="47" t="inlineStr">
        <is>
          <t>일반구매팀</t>
        </is>
      </c>
      <c r="J11" s="36" t="inlineStr">
        <is>
          <t>포스코스마트엔지니어링팀</t>
        </is>
      </c>
      <c r="K11" s="47" t="inlineStr">
        <is>
          <t>지반조사업체 용역 계약</t>
        </is>
      </c>
      <c r="L11" s="49" t="inlineStr">
        <is>
          <t>• 일반구매시스템을 이용한 용역계약</t>
        </is>
      </c>
      <c r="M11" s="49" t="inlineStr">
        <is>
          <t>지반조사 용역 계약서</t>
        </is>
      </c>
      <c r="N11" s="49" t="inlineStr">
        <is>
          <t>지반조사업체 용역 계약 | 지반조사 용역 계약서</t>
        </is>
      </c>
      <c r="O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1" s="49" t="inlineStr">
        <is>
          <t>• 일반구매시스템을 이용한 용역계약</t>
        </is>
      </c>
      <c r="Q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1" s="49" t="inlineStr">
        <is>
          <t>1) 지반조사 업체 계약 적정성을 확인하였는가? 2) 지반조사 용역 계약서 산출물을 확보하였는가?</t>
        </is>
      </c>
      <c r="S1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1" s="49" t="n"/>
    </row>
    <row r="12" ht="115.2" customHeight="1">
      <c r="A12" s="47" t="inlineStr">
        <is>
          <t>9000</t>
        </is>
      </c>
      <c r="B12" s="47" t="inlineStr">
        <is>
          <t>9000-5</t>
        </is>
      </c>
      <c r="C12" s="47" t="inlineStr">
        <is>
          <t>지반조사</t>
        </is>
      </c>
      <c r="D12" s="85" t="n">
        <v>2593353</v>
      </c>
      <c r="E12" s="47" t="inlineStr">
        <is>
          <t>9000-5-10</t>
        </is>
      </c>
      <c r="F12" s="85" t="inlineStr">
        <is>
          <t>9000-5-12</t>
        </is>
      </c>
      <c r="G12" s="47" t="inlineStr">
        <is>
          <t>D-30</t>
        </is>
      </c>
      <c r="H12" s="85" t="inlineStr">
        <is>
          <t>지반조사 항목, 수량 및 위치검토</t>
        </is>
      </c>
      <c r="I12" s="47" t="inlineStr">
        <is>
          <t>포스코스마트엔지니어링팀</t>
        </is>
      </c>
      <c r="J12" s="36" t="inlineStr">
        <is>
          <t>지반조사업체</t>
        </is>
      </c>
      <c r="K12" s="47" t="inlineStr">
        <is>
          <t>프로젝트 정합에 부합하는 지반조사 항목 사전조사 수행, 위치 선정</t>
        </is>
      </c>
      <c r="L12" s="49" t="inlineStr">
        <is>
          <t>• 현장답사 수행
• 공종별 실시설계에 준하여 수량 및 위치 검토</t>
        </is>
      </c>
      <c r="M12" s="49" t="inlineStr">
        <is>
          <t>지반조사 계획서</t>
        </is>
      </c>
      <c r="N12" s="49" t="inlineStr">
        <is>
          <t>프로젝트 정합에 부합하는 지반조사 항목 사전조사 수행, 위치 선정 | 지반조사 계획서</t>
        </is>
      </c>
      <c r="O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2" s="49" t="inlineStr">
        <is>
          <t>• 현장답사 수행 • 공종별 실시설계에 준하여 수량 및 위치 검토</t>
        </is>
      </c>
      <c r="Q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2" s="49" t="inlineStr">
        <is>
          <t>1) 지반조사 항목, 수량 및 위치검토 적정성을 확인하였는가? 2) 지반조사 계획서 산출물을 확보하였는가?</t>
        </is>
      </c>
      <c r="S1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2" s="49" t="n"/>
    </row>
    <row r="13" ht="96" customHeight="1">
      <c r="A13" s="47" t="inlineStr">
        <is>
          <t>9000</t>
        </is>
      </c>
      <c r="B13" s="47" t="inlineStr">
        <is>
          <t>9000-5</t>
        </is>
      </c>
      <c r="C13" s="47" t="inlineStr">
        <is>
          <t>지반조사</t>
        </is>
      </c>
      <c r="D13" s="85" t="n">
        <v>2593354</v>
      </c>
      <c r="E13" s="47" t="inlineStr">
        <is>
          <t>9000-5-11</t>
        </is>
      </c>
      <c r="F13" s="85" t="inlineStr">
        <is>
          <t>9000-5-13</t>
        </is>
      </c>
      <c r="G13" s="47" t="inlineStr">
        <is>
          <t>D-30</t>
        </is>
      </c>
      <c r="H13" s="85" t="inlineStr">
        <is>
          <t>지반조사계획 적정성 심사의뢰</t>
        </is>
      </c>
      <c r="I13" s="47" t="inlineStr">
        <is>
          <t>외부지질전문가 3인 이상</t>
        </is>
      </c>
      <c r="J13" s="36" t="inlineStr">
        <is>
          <t>포스코스마트엔지니어링팀</t>
        </is>
      </c>
      <c r="K13" s="47" t="inlineStr">
        <is>
          <t>지반조사 항목, 수량 및 위치 적정성 검토</t>
        </is>
      </c>
      <c r="L13" s="49" t="inlineStr">
        <is>
          <t>• 지반조사 계획서 검토 및 검토</t>
        </is>
      </c>
      <c r="M13" s="49" t="inlineStr">
        <is>
          <t>지반조사계획 의견서</t>
        </is>
      </c>
      <c r="N13" s="49" t="inlineStr">
        <is>
          <t>지반조사 항목, 수량 및 위치 적정성 검토 | 지반조사계획 의견서</t>
        </is>
      </c>
      <c r="O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3" s="49" t="inlineStr">
        <is>
          <t>• 지반조사 계획서 검토 및 검토</t>
        </is>
      </c>
      <c r="Q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3" s="49" t="inlineStr">
        <is>
          <t>1) 지반조사계획 적정성 심사의뢰 적정성을 확인하였는가? 2) 지반조사계획 의견서 산출물을 확보하였는가?</t>
        </is>
      </c>
      <c r="S1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3" s="49" t="n"/>
    </row>
    <row r="14" ht="96" customHeight="1">
      <c r="A14" s="47" t="inlineStr">
        <is>
          <t>9000</t>
        </is>
      </c>
      <c r="B14" s="47" t="inlineStr">
        <is>
          <t>9000-5</t>
        </is>
      </c>
      <c r="C14" s="47" t="inlineStr">
        <is>
          <t>지반조사</t>
        </is>
      </c>
      <c r="D14" s="85" t="n">
        <v>2593355</v>
      </c>
      <c r="E14" s="47" t="inlineStr">
        <is>
          <t>9000-5-12</t>
        </is>
      </c>
      <c r="F14" s="85" t="inlineStr">
        <is>
          <t>9000-5-14</t>
        </is>
      </c>
      <c r="G14" s="47" t="inlineStr">
        <is>
          <t>D-30</t>
        </is>
      </c>
      <c r="H14" s="85" t="inlineStr">
        <is>
          <t>지반조사 인허가</t>
        </is>
      </c>
      <c r="I14" s="47" t="inlineStr">
        <is>
          <t>지반조사업체</t>
        </is>
      </c>
      <c r="J14" s="36" t="inlineStr">
        <is>
          <t>포스코스마트엔지니어링팀</t>
        </is>
      </c>
      <c r="K14" s="47" t="inlineStr">
        <is>
          <t>지반조사 수행을 위한 인허가 승인</t>
        </is>
      </c>
      <c r="L14" s="49" t="inlineStr">
        <is>
          <t>• 산지일시사용 신고(사업계획서, 지형도, 산지일시사용예정실측도, 복구계획서, 복지봉투)
• 굴착행위 신고(굴착행위신고서, 위치 또는 평면도, 원상복구계획서, 토지사용 승낙서)
• 하천점용 허가(위치도, 이해관계인 동의서, 수리계산서, 하천점용등, 사업자등록증)</t>
        </is>
      </c>
      <c r="M14" s="49" t="inlineStr">
        <is>
          <t>인허가 서류</t>
        </is>
      </c>
      <c r="N14" s="49" t="inlineStr">
        <is>
          <t>지반조사 수행을 위한 인허가 승인 | 인허가 서류</t>
        </is>
      </c>
      <c r="O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4" s="49" t="inlineStr">
        <is>
          <t>• 산지일시사용 신고(사업계획서, 지형도, 산지일시사용예정실측도, 복구계획서, 복지봉투) • 굴착행위 신고(굴착행위신고서, 위치 또는 평면도, 원상복구계획서, 토지사용 승낙서) • 하천점용 허가(위치도, 이해관계인 ...</t>
        </is>
      </c>
      <c r="Q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4" s="49" t="inlineStr">
        <is>
          <t>1) 지반조사 인허가 적정성을 확인하였는가? 2) 인허가 서류 산출물을 확보하였는가?</t>
        </is>
      </c>
      <c r="S1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4" s="49" t="n"/>
    </row>
    <row r="15" ht="96" customHeight="1">
      <c r="A15" s="47" t="inlineStr">
        <is>
          <t>9000</t>
        </is>
      </c>
      <c r="B15" s="47" t="inlineStr">
        <is>
          <t>9000-5</t>
        </is>
      </c>
      <c r="C15" s="47" t="inlineStr">
        <is>
          <t>지반조사</t>
        </is>
      </c>
      <c r="D15" s="85" t="n">
        <v>2593356</v>
      </c>
      <c r="E15" s="47" t="inlineStr">
        <is>
          <t>9000-5-13</t>
        </is>
      </c>
      <c r="F15" s="85" t="inlineStr">
        <is>
          <t>9000-5-15</t>
        </is>
      </c>
      <c r="G15" s="47" t="inlineStr">
        <is>
          <t>D-30</t>
        </is>
      </c>
      <c r="H15" s="85" t="inlineStr">
        <is>
          <t>지반조사 항목, 수량 및 위치 보완</t>
        </is>
      </c>
      <c r="I15" s="47" t="inlineStr">
        <is>
          <t>포스코스마트엔지니어링팀</t>
        </is>
      </c>
      <c r="J15" s="36" t="inlineStr">
        <is>
          <t>외부지질전문가 3인 이상, 지반조사업체</t>
        </is>
      </c>
      <c r="K15" s="47" t="inlineStr">
        <is>
          <t>외부지질전문가 의견을 반영한 지반조사 계획 확정</t>
        </is>
      </c>
      <c r="L15" s="49" t="inlineStr">
        <is>
          <t>• 외부지질전문가 지반조사 의견 검토
• 입찰설계 지반조사 계획 보완</t>
        </is>
      </c>
      <c r="M15" s="49" t="inlineStr">
        <is>
          <t>지반조사 용역 계약서</t>
        </is>
      </c>
      <c r="N15" s="49" t="inlineStr">
        <is>
          <t>외부지질전문가 의견을 반영한 지반조사 계획 확정 | 지반조사 용역 계약서</t>
        </is>
      </c>
      <c r="O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5" s="49" t="inlineStr">
        <is>
          <t>• 외부지질전문가 지반조사 의견 검토 • 입찰설계 지반조사 계획 보완</t>
        </is>
      </c>
      <c r="Q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5" s="49" t="inlineStr">
        <is>
          <t>1) 지반조사 항목, 수량 및 위치 보완 적정성을 확인하였는가? 2) 지반조사 용역 계약서 산출물을 확보하였는가?</t>
        </is>
      </c>
      <c r="S1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5" s="49" t="n"/>
    </row>
    <row r="16" ht="96" customHeight="1">
      <c r="A16" s="47" t="inlineStr">
        <is>
          <t>9000</t>
        </is>
      </c>
      <c r="B16" s="47" t="inlineStr">
        <is>
          <t>9000-5</t>
        </is>
      </c>
      <c r="C16" s="47" t="inlineStr">
        <is>
          <t>지반조사</t>
        </is>
      </c>
      <c r="D16" s="85" t="n">
        <v>2593357</v>
      </c>
      <c r="E16" s="47" t="inlineStr">
        <is>
          <t>9000-5-14</t>
        </is>
      </c>
      <c r="F16" s="85" t="inlineStr">
        <is>
          <t>9000-5-16</t>
        </is>
      </c>
      <c r="G16" s="47" t="inlineStr">
        <is>
          <t>D-30</t>
        </is>
      </c>
      <c r="H16" s="85" t="inlineStr">
        <is>
          <t>지반조사 수행</t>
        </is>
      </c>
      <c r="I16" s="47" t="inlineStr">
        <is>
          <t>지반조사업체</t>
        </is>
      </c>
      <c r="J16" s="36" t="inlineStr">
        <is>
          <t>포스코스마트엔지니어링팀</t>
        </is>
      </c>
      <c r="K16" s="47" t="inlineStr">
        <is>
          <t>과업구간 지반여건 상세 파악</t>
        </is>
      </c>
      <c r="L16" s="49" t="inlineStr">
        <is>
          <t>• 물리탐사 수행(전기 비저항, 탄성파탐사 등)
• 시추조사 및 현장 시험 수행(공내재하시험, 실내전단시험 등)
• 실내시험 수행(요동시험, 입도시험 등)</t>
        </is>
      </c>
      <c r="M16" s="49" t="inlineStr">
        <is>
          <t>지반조사 보고서, 시추 Core 및 샘플</t>
        </is>
      </c>
      <c r="N16" s="49" t="inlineStr">
        <is>
          <t>과업구간 지반여건 상세 파악 | 지반조사 보고서, 시추 Core 및 샘플</t>
        </is>
      </c>
      <c r="O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6" s="49" t="inlineStr">
        <is>
          <t>• 물리탐사 수행(전기 비저항, 탄성파탐사 등) • 시추조사 및 현장 시험 수행(공내재하시험, 실내전단시험 등) • 실내시험 수행(요동시험, 입도시험 등)</t>
        </is>
      </c>
      <c r="Q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6" s="49" t="inlineStr">
        <is>
          <t>1) 지반조사 수행 적정성을 확인하였는가? 2) 지반조사 보고서, 시추 Core 및 샘플 산출물을 확보하였는가?</t>
        </is>
      </c>
      <c r="S1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6" s="49" t="n"/>
    </row>
    <row r="17" ht="96" customHeight="1">
      <c r="A17" s="47" t="inlineStr">
        <is>
          <t>9000</t>
        </is>
      </c>
      <c r="B17" s="47" t="inlineStr">
        <is>
          <t>9000-5</t>
        </is>
      </c>
      <c r="C17" s="47" t="inlineStr">
        <is>
          <t>지반조사</t>
        </is>
      </c>
      <c r="D17" s="85" t="n">
        <v>2593358</v>
      </c>
      <c r="E17" s="47" t="inlineStr">
        <is>
          <t>9000-5-17</t>
        </is>
      </c>
      <c r="F17" s="85" t="inlineStr">
        <is>
          <t>9000-5-19</t>
        </is>
      </c>
      <c r="G17" s="47" t="inlineStr">
        <is>
          <t>D-30</t>
        </is>
      </c>
      <c r="H17" s="85" t="inlineStr">
        <is>
          <t>지반조사 수렴 결과 분석</t>
        </is>
      </c>
      <c r="I17" s="47" t="inlineStr">
        <is>
          <t>외부지질전문가 3인 이상</t>
        </is>
      </c>
      <c r="J17" s="36" t="inlineStr">
        <is>
          <t>포스코스마트엔지니어링팀, 지반조사업체</t>
        </is>
      </c>
      <c r="K17" s="47" t="inlineStr">
        <is>
          <t>지반조사 결과 오류 및 지반정수의 적합성 검토</t>
        </is>
      </c>
      <c r="L17" s="49" t="inlineStr">
        <is>
          <t>• 입찰설계 지반조사 보고서 검토
• 시추조사 위치 및 심도의 적정성 검토
• 실내시험 결과 등급 적정성 검토
• 실시설계시 추가지반조사 필요구간 검토</t>
        </is>
      </c>
      <c r="M17" s="49" t="inlineStr">
        <is>
          <t>지반조사 결과 분석 의견서</t>
        </is>
      </c>
      <c r="N17" s="49" t="inlineStr">
        <is>
          <t>지반조사 결과 오류 및 지반정수의 적합성 검토 | 지반조사 결과 분석 의견서</t>
        </is>
      </c>
      <c r="O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7" s="49" t="inlineStr">
        <is>
          <t>• 입찰설계 지반조사 보고서 검토 • 시추조사 위치 및 심도의 적정성 검토 • 실내시험 결과 등급 적정성 검토 • 실시설계시 추가지반조사 필요구간 검토</t>
        </is>
      </c>
      <c r="Q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7" s="49" t="inlineStr">
        <is>
          <t>1) 지반조사 수렴 결과 분석 적정성을 확인하였는가? 2) 지반조사 결과 분석 의견서 산출물을 확보하였는가?</t>
        </is>
      </c>
      <c r="S1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7" s="49" t="n"/>
    </row>
    <row r="18" ht="96" customHeight="1">
      <c r="A18" s="47" t="inlineStr">
        <is>
          <t>9000</t>
        </is>
      </c>
      <c r="B18" s="47" t="inlineStr">
        <is>
          <t>9000-5</t>
        </is>
      </c>
      <c r="C18" s="47" t="inlineStr">
        <is>
          <t>지반조사</t>
        </is>
      </c>
      <c r="D18" s="85" t="n">
        <v>2593359</v>
      </c>
      <c r="E18" s="47" t="inlineStr">
        <is>
          <t>9000-5-15</t>
        </is>
      </c>
      <c r="F18" s="85" t="inlineStr">
        <is>
          <t>9000-5-17</t>
        </is>
      </c>
      <c r="G18" s="47" t="inlineStr">
        <is>
          <t>D-30</t>
        </is>
      </c>
      <c r="H18" s="85" t="inlineStr">
        <is>
          <t>입찰설계 지반조사 R/O 검토 (설계, 원가, 공정, 기타)</t>
        </is>
      </c>
      <c r="I18" s="47" t="inlineStr">
        <is>
          <t>토목견적팀(원가), 토목수행팀(공정), 토목사업지원팀(기획)</t>
        </is>
      </c>
      <c r="J18" s="36" t="inlineStr">
        <is>
          <t>포스코스마트엔지니어링팀</t>
        </is>
      </c>
      <c r="K18" s="47" t="inlineStr">
        <is>
          <t>입찰설계 지반조사 결과에 따른 직분야 R/O 및 Cost impact 반영 사항 검토</t>
        </is>
      </c>
      <c r="L18" s="49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18" s="49" t="inlineStr">
        <is>
          <t>입찰설계 지반조사 검토서(설계, 원가, 공정, 기타)</t>
        </is>
      </c>
      <c r="N18" s="49" t="inlineStr">
        <is>
          <t>입찰설계 지반조사 결과에 따른 직분야 R/O 및 Cost impact 반영 사항 검토 | 입찰설계 지반조사 검토서(설계, 원가, 공정, 기타)</t>
        </is>
      </c>
      <c r="O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8" s="49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8" s="49" t="inlineStr">
        <is>
          <t>1) 입찰설계 지반조사 R/O 검토 (설계, 원가, 공정, 기타) 적정성을 확인하였는가? 2) 입찰설계 지반조사 검토서(설계, 원가, 공정, 기타) 산출물을 확보하였는가?</t>
        </is>
      </c>
      <c r="S1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8" s="49" t="n"/>
    </row>
    <row r="19" ht="96" customHeight="1">
      <c r="A19" s="47" t="inlineStr">
        <is>
          <t>9000</t>
        </is>
      </c>
      <c r="B19" s="47" t="inlineStr">
        <is>
          <t>9000-5</t>
        </is>
      </c>
      <c r="C19" s="47" t="inlineStr">
        <is>
          <t>지반조사</t>
        </is>
      </c>
      <c r="D19" s="85" t="n">
        <v>2593360</v>
      </c>
      <c r="E19" s="47" t="inlineStr">
        <is>
          <t>9000-5-16</t>
        </is>
      </c>
      <c r="F19" s="85" t="inlineStr">
        <is>
          <t>9000-5-18</t>
        </is>
      </c>
      <c r="G19" s="47" t="inlineStr">
        <is>
          <t>D-30</t>
        </is>
      </c>
      <c r="H19" s="85" t="inlineStr">
        <is>
          <t>지반조사 결과 R/O 종합검토</t>
        </is>
      </c>
      <c r="I19" s="47" t="inlineStr">
        <is>
          <t>포스코스마트엔지니어링팀</t>
        </is>
      </c>
      <c r="J19" s="36" t="inlineStr">
        <is>
          <t>토목견적팀(원가), 토목수행팀(공정), 토목사업지원팀(기획)</t>
        </is>
      </c>
      <c r="K19" s="47" t="inlineStr">
        <is>
          <t>원가 및 공정 검토 결과에 따른 입찰설계 R/O 최종 확정</t>
        </is>
      </c>
      <c r="L19" s="49" t="inlineStr">
        <is>
          <t>• 입찰설계 지반조사 R/O별 Cost effect 분석
• 유사사업 L/L 분석, R/P 검토를 통한 실시설계시 고려사항 검토</t>
        </is>
      </c>
      <c r="M19" s="49" t="inlineStr">
        <is>
          <t>입찰설계 R/O 검토서</t>
        </is>
      </c>
      <c r="N19" s="49" t="inlineStr">
        <is>
          <t>원가 및 공정 검토 결과에 따른 입찰설계 R/O 최종 확정 | 입찰설계 R/O 검토서</t>
        </is>
      </c>
      <c r="O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19" s="49" t="inlineStr">
        <is>
          <t>• 입찰설계 지반조사 R/O별 Cost effect 분석 • 유사사업 L/L 분석, R/P 검토를 통한 실시설계시 고려사항 검토</t>
        </is>
      </c>
      <c r="Q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19" s="49" t="inlineStr">
        <is>
          <t>1) 지반조사 결과 R/O 종합검토 적정성을 확인하였는가? 2) 입찰설계 R/O 검토서 산출물을 확보하였는가?</t>
        </is>
      </c>
      <c r="S1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19" s="49" t="n"/>
    </row>
    <row r="20" ht="96" customHeight="1">
      <c r="A20" s="47" t="inlineStr">
        <is>
          <t>9000</t>
        </is>
      </c>
      <c r="B20" s="47" t="inlineStr">
        <is>
          <t>9000-5</t>
        </is>
      </c>
      <c r="C20" s="47" t="inlineStr">
        <is>
          <t>지반조사</t>
        </is>
      </c>
      <c r="D20" s="85" t="n">
        <v>2593361</v>
      </c>
      <c r="E20" s="47" t="inlineStr">
        <is>
          <t>9000-5-18</t>
        </is>
      </c>
      <c r="F20" s="85" t="inlineStr">
        <is>
          <t>9000-5-20</t>
        </is>
      </c>
      <c r="G20" s="47" t="inlineStr">
        <is>
          <t>D-30</t>
        </is>
      </c>
      <c r="H20" s="85" t="inlineStr">
        <is>
          <t>REM 수립</t>
        </is>
      </c>
      <c r="I20" s="47" t="inlineStr">
        <is>
          <t>포스코스마트엔지니어링팀</t>
        </is>
      </c>
      <c r="J20" s="36" t="inlineStr">
        <is>
          <t>토목견적팀, 토목사업지원팀</t>
        </is>
      </c>
      <c r="K20" s="47" t="inlineStr">
        <is>
          <t>REM 차트 작성(회사의 Core Risk, T/C 공정검토 결과, 경쟁사 동향, 발주 경향) 및 보고</t>
        </is>
      </c>
      <c r="L20" s="49" t="inlineStr">
        <is>
          <t>• Risk Profiling/Merge 방안 검토
• 공정 착공성 검토 및 T/C 검토
• 설계차별화 및 Idea Frame 검토</t>
        </is>
      </c>
      <c r="M20" s="49" t="inlineStr">
        <is>
          <t>REM 회의록</t>
        </is>
      </c>
      <c r="N20" s="49" t="inlineStr">
        <is>
          <t>REM 차트 작성(회사의 Core Risk, T/C 공정검토 결과, 경쟁사 동향, 발주 경향) 및 보고 | REM 회의록</t>
        </is>
      </c>
      <c r="O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0" s="49" t="inlineStr">
        <is>
          <t>• Risk Profiling/Merge 방안 검토 • 공정 착공성 검토 및 T/C 검토 • 설계차별화 및 Idea Frame 검토</t>
        </is>
      </c>
      <c r="Q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0" s="49" t="inlineStr">
        <is>
          <t>1) REM 수립 적정성을 확인하였는가? 2) REM 회의록 산출물을 확보하였는가?</t>
        </is>
      </c>
      <c r="S2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0" s="49" t="n"/>
    </row>
    <row r="21" ht="96" customHeight="1">
      <c r="A21" s="47" t="inlineStr">
        <is>
          <t>9000</t>
        </is>
      </c>
      <c r="B21" s="47" t="inlineStr">
        <is>
          <t>9000-5</t>
        </is>
      </c>
      <c r="C21" s="47" t="inlineStr">
        <is>
          <t>지반조사</t>
        </is>
      </c>
      <c r="D21" s="85" t="n">
        <v>2593362</v>
      </c>
      <c r="E21" s="47" t="inlineStr">
        <is>
          <t>9000-5-19</t>
        </is>
      </c>
      <c r="F21" s="85" t="inlineStr">
        <is>
          <t>9000-5-21</t>
        </is>
      </c>
      <c r="G21" s="47" t="inlineStr">
        <is>
          <t>D-20</t>
        </is>
      </c>
      <c r="H21" s="85" t="inlineStr">
        <is>
          <t>추가지반조사 계획 수립</t>
        </is>
      </c>
      <c r="I21" s="47" t="inlineStr">
        <is>
          <t>포스코스마트엔지니어링팀</t>
        </is>
      </c>
      <c r="J21" s="36" t="inlineStr">
        <is>
          <t>토목견적팀(원가), 토목수행팀(공정), 토목사업지원팀(기획)</t>
        </is>
      </c>
      <c r="K21" s="47" t="inlineStr">
        <is>
          <t>R/O 분석 결과에 기반한 추가지반조사 항목 도출</t>
        </is>
      </c>
      <c r="L21" s="49" t="inlineStr">
        <is>
          <t>• 지반조사 수렴 결과 분석보고서 검토
• 지반조사 결과 R/O 종합검토 결과 검토</t>
        </is>
      </c>
      <c r="M21" s="49" t="inlineStr">
        <is>
          <t>추가지반조사 List</t>
        </is>
      </c>
      <c r="N21" s="49" t="inlineStr">
        <is>
          <t>R/O 분석 결과에 기반한 추가지반조사 항목 도출 | 추가지반조사 List</t>
        </is>
      </c>
      <c r="O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1" s="49" t="inlineStr">
        <is>
          <t>• 지반조사 수렴 결과 분석보고서 검토 • 지반조사 결과 R/O 종합검토 결과 검토</t>
        </is>
      </c>
      <c r="Q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1" s="49" t="inlineStr">
        <is>
          <t>1) 추가지반조사 계획 수립 적정성을 확인하였는가? 2) 추가지반조사 List 산출물을 확보하였는가?</t>
        </is>
      </c>
      <c r="S2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1" s="49" t="n"/>
    </row>
    <row r="22" ht="96" customHeight="1">
      <c r="A22" s="47" t="inlineStr">
        <is>
          <t>9000</t>
        </is>
      </c>
      <c r="B22" s="47" t="inlineStr">
        <is>
          <t>9000-5</t>
        </is>
      </c>
      <c r="C22" s="47" t="inlineStr">
        <is>
          <t>지반조사</t>
        </is>
      </c>
      <c r="D22" s="85" t="n">
        <v>2593363</v>
      </c>
      <c r="E22" s="47" t="inlineStr">
        <is>
          <t>9000-5-20</t>
        </is>
      </c>
      <c r="F22" s="85" t="inlineStr">
        <is>
          <t>9000-5-22</t>
        </is>
      </c>
      <c r="G22" s="47" t="inlineStr">
        <is>
          <t>D-10</t>
        </is>
      </c>
      <c r="H22" s="85" t="inlineStr">
        <is>
          <t>3D GPR탐사 장비 사양(차량형) 검토</t>
        </is>
      </c>
      <c r="I22" s="47" t="inlineStr">
        <is>
          <t>현장 공무팀</t>
        </is>
      </c>
      <c r="J22" s="36" t="inlineStr">
        <is>
          <t>현장 공사팀</t>
        </is>
      </c>
      <c r="K22" s="47" t="inlineStr">
        <is>
          <t>적정 추가지반조사 규명을 위한 장비 사양 검토</t>
        </is>
      </c>
      <c r="L22" s="49" t="inlineStr">
        <is>
          <t>• 3D GPR탐사 장비 사양(차량형)
- 3D Radar(노르웨이)_200~3000Hz, 2.0m~3.0m : 하상도 높음
- MIRA(스웨덴)_400~1300Hz, 1.0m~2.0m : 정밀한 입체 형상
- StreamC(이탈리아)_200~600Hz, 1.5m~3.0m : 다양한 심도, 공동 탐지
- VGPR(호주)_100~4000Hz, 2.0m~3.0m : 고속주행 데이터 획득
- Road 3D(한국)_200~3000Hz, 2.0m~3.0m : 하상도 높음, 유용특화</t>
        </is>
      </c>
      <c r="M22" s="49" t="inlineStr">
        <is>
          <t>-</t>
        </is>
      </c>
      <c r="N22" s="49" t="inlineStr">
        <is>
          <t>적정 추가지반조사 규명을 위한 장비 사양 검토 | -</t>
        </is>
      </c>
      <c r="O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2" s="49" t="inlineStr">
        <is>
          <t>• 3D GPR탐사 장비 사양(차량형) - 3D Radar(노르웨이)_200~3000Hz, 2.0m~3.0m : 하상도 높음 - MIRA(스웨덴)_400~1300Hz, 1.0m~2.0m : 정밀한 입체 형상 - St...</t>
        </is>
      </c>
      <c r="Q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2" s="49" t="inlineStr">
        <is>
          <t>1) 3D GPR탐사 장비 사양(차량형) 검토 적정성을 확인하였는가? 2) - 산출물을 확보하였는가?</t>
        </is>
      </c>
      <c r="S2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2" s="49" t="n"/>
    </row>
    <row r="23" ht="96" customHeight="1">
      <c r="A23" s="47" t="inlineStr">
        <is>
          <t>9000</t>
        </is>
      </c>
      <c r="B23" s="47" t="inlineStr">
        <is>
          <t>9000-5</t>
        </is>
      </c>
      <c r="C23" s="47" t="inlineStr">
        <is>
          <t>지반조사</t>
        </is>
      </c>
      <c r="D23" s="85" t="n">
        <v>2593364</v>
      </c>
      <c r="E23" s="47" t="inlineStr">
        <is>
          <t>9000-5-21</t>
        </is>
      </c>
      <c r="F23" s="85" t="inlineStr">
        <is>
          <t>9000-5-23</t>
        </is>
      </c>
      <c r="G23" s="47" t="inlineStr">
        <is>
          <t>D+10~30</t>
        </is>
      </c>
      <c r="H23" s="85" t="inlineStr">
        <is>
          <t>ECRM 수립</t>
        </is>
      </c>
      <c r="I23" s="47" t="inlineStr">
        <is>
          <t>토목견적팀(원가)</t>
        </is>
      </c>
      <c r="J23" s="36" t="inlineStr">
        <is>
          <t>포스코스마트엔지니어링팀, 토목수행팀, 토목사업지원팀</t>
        </is>
      </c>
      <c r="K23" s="47" t="inlineStr">
        <is>
          <t>입찰설계 지반조사 결과에 따른 직분야 R/O 및 Cost impact 반영 사항 검토</t>
        </is>
      </c>
      <c r="L23" s="49" t="inlineStr">
        <is>
          <t>• 입찰설계 지반조사 결과 분석을 통한 원가 및 공정 영향 검토
• 미시추 구간 평가 및 공정 Risk 반영 사항 검토
• 지반조건을 고려한 발파공법성 여부 검토</t>
        </is>
      </c>
      <c r="M23" s="49" t="inlineStr">
        <is>
          <t>입찰설계 지반조사 검토서(설계, 원가, 공정, 기타)</t>
        </is>
      </c>
      <c r="N23" s="49" t="inlineStr">
        <is>
          <t>입찰설계 지반조사 결과에 따른 직분야 R/O 및 Cost impact 반영 사항 검토 | 입찰설계 지반조사 검토서(설계, 원가, 공정, 기타)</t>
        </is>
      </c>
      <c r="O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3" s="49" t="inlineStr">
        <is>
          <t>• 입찰설계 지반조사 결과 분석을 통한 원가 및 공정 영향 검토 • 미시추 구간 평가 및 공정 Risk 반영 사항 검토 • 지반조건을 고려한 발파공법성 여부 검토</t>
        </is>
      </c>
      <c r="Q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3" s="49" t="inlineStr">
        <is>
          <t>1) ECRM 수립 적정성을 확인하였는가? 2) 입찰설계 지반조사 검토서(설계, 원가, 공정, 기타) 산출물을 확보하였는가?</t>
        </is>
      </c>
      <c r="S2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3" s="49" t="n"/>
    </row>
    <row r="24" ht="96" customHeight="1">
      <c r="A24" s="47" t="inlineStr">
        <is>
          <t>9000</t>
        </is>
      </c>
      <c r="B24" s="47" t="inlineStr">
        <is>
          <t>9000-5</t>
        </is>
      </c>
      <c r="C24" s="47" t="inlineStr">
        <is>
          <t>지반조사</t>
        </is>
      </c>
      <c r="D24" s="85" t="n">
        <v>2593365</v>
      </c>
      <c r="E24" s="47" t="inlineStr">
        <is>
          <t>9000-5-22</t>
        </is>
      </c>
      <c r="F24" s="85" t="inlineStr">
        <is>
          <t>9000-5-24</t>
        </is>
      </c>
      <c r="G24" s="47" t="inlineStr">
        <is>
          <t>D+10~25</t>
        </is>
      </c>
      <c r="H24" s="85" t="inlineStr">
        <is>
          <t>최종 Cost 검토 / 입찰</t>
        </is>
      </c>
      <c r="I24" s="47" t="inlineStr">
        <is>
          <t>토목견적팀</t>
        </is>
      </c>
      <c r="J24" s="36" t="inlineStr">
        <is>
          <t>-</t>
        </is>
      </c>
      <c r="K24" s="47" t="inlineStr">
        <is>
          <t>입찰</t>
        </is>
      </c>
      <c r="L24" s="49" t="inlineStr">
        <is>
          <t>• 최종 R/O를 반영한 투찰내역서 작성</t>
        </is>
      </c>
      <c r="M24" s="49" t="inlineStr">
        <is>
          <t>투찰내역서</t>
        </is>
      </c>
      <c r="N24" s="49" t="inlineStr">
        <is>
          <t>입찰 | 투찰내역서</t>
        </is>
      </c>
      <c r="O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4" s="49" t="inlineStr">
        <is>
          <t>• 최종 R/O를 반영한 투찰내역서 작성</t>
        </is>
      </c>
      <c r="Q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4" s="49" t="inlineStr">
        <is>
          <t>1) 최종 Cost 검토 / 입찰 적정성을 확인하였는가? 2) 투찰내역서 산출물을 확보하였는가?</t>
        </is>
      </c>
      <c r="S2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4" s="49" t="n"/>
    </row>
    <row r="25" ht="96" customHeight="1">
      <c r="A25" s="47" t="inlineStr">
        <is>
          <t>9000</t>
        </is>
      </c>
      <c r="B25" s="47" t="inlineStr">
        <is>
          <t>9000-5</t>
        </is>
      </c>
      <c r="C25" s="47" t="inlineStr">
        <is>
          <t>지반조사</t>
        </is>
      </c>
      <c r="D25" s="85" t="n">
        <v>2593366</v>
      </c>
      <c r="E25" s="47" t="inlineStr">
        <is>
          <t>9000-5-23</t>
        </is>
      </c>
      <c r="F25" s="85" t="inlineStr">
        <is>
          <t>9000-5-25</t>
        </is>
      </c>
      <c r="G25" s="47" t="inlineStr">
        <is>
          <t>D+10~30</t>
        </is>
      </c>
      <c r="H25" s="85" t="inlineStr">
        <is>
          <t>입찰설계 현장 인수인계</t>
        </is>
      </c>
      <c r="I25" s="47" t="inlineStr">
        <is>
          <t>현장소장</t>
        </is>
      </c>
      <c r="J25" s="36" t="inlineStr">
        <is>
          <t>토목수행팀</t>
        </is>
      </c>
      <c r="K25" s="47" t="inlineStr">
        <is>
          <t>지반조사 포함 전체 R/O 승계자료 인수인계 및 추가지반조사 계획 공유</t>
        </is>
      </c>
      <c r="L25" s="49" t="inlineStr">
        <is>
          <t>• 최종 R/O 결과 및 입찰도서 인출</t>
        </is>
      </c>
      <c r="M25" s="49" t="inlineStr">
        <is>
          <t>인수인계서</t>
        </is>
      </c>
      <c r="N25" s="49" t="inlineStr">
        <is>
          <t>지반조사 포함 전체 R/O 승계자료 인수인계 및 추가지반조사 계획 공유 | 인수인계서</t>
        </is>
      </c>
      <c r="O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5" s="49" t="inlineStr">
        <is>
          <t>• 최종 R/O 결과 및 입찰도서 인출</t>
        </is>
      </c>
      <c r="Q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5" s="49" t="inlineStr">
        <is>
          <t>1) 입찰설계 현장 인수인계 적정성을 확인하였는가? 2) 인수인계서 산출물을 확보하였는가?</t>
        </is>
      </c>
      <c r="S2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5" s="49" t="n"/>
    </row>
    <row r="26" ht="96" customHeight="1">
      <c r="A26" s="47" t="inlineStr">
        <is>
          <t>9000</t>
        </is>
      </c>
      <c r="B26" s="47" t="inlineStr">
        <is>
          <t>9000-5</t>
        </is>
      </c>
      <c r="C26" s="47" t="inlineStr">
        <is>
          <t>지반조사</t>
        </is>
      </c>
      <c r="D26" s="85" t="n">
        <v>2593367</v>
      </c>
      <c r="E26" s="47" t="inlineStr">
        <is>
          <t>9000-5-24</t>
        </is>
      </c>
      <c r="F26" s="85" t="inlineStr">
        <is>
          <t>9000-5-26</t>
        </is>
      </c>
      <c r="G26" s="47" t="inlineStr">
        <is>
          <t>D+10~30</t>
        </is>
      </c>
      <c r="H26" s="85" t="inlineStr">
        <is>
          <t>추가지반조사 수행</t>
        </is>
      </c>
      <c r="I26" s="47" t="inlineStr">
        <is>
          <t>지반조사업체</t>
        </is>
      </c>
      <c r="J26" s="36" t="inlineStr">
        <is>
          <t>현장 공사팀/공무팀, 포스코스마트엔지니어링팀, 토목수행팀</t>
        </is>
      </c>
      <c r="K26" s="47" t="inlineStr">
        <is>
          <t>미시추구간 지반조사 수행을 통한 지반 Risk Hedge</t>
        </is>
      </c>
      <c r="L26" s="49" t="inlineStr">
        <is>
          <t>• 추가 지반조사 계획 및 시점 확인
- 탄성파탐사/전기비저항탐사 등 물리탐사 추가조사 (현장 및 위치 확인)
- 추가시추조사 수행(물리탐사, 시추조사)
- 토질 및 암석 실내시험 수행 및 결과분석 확인
- 공종별 핵심시설(교량, 접속도로, 토공, #200m 통과점, 터널 발파/심벽진입) 확인</t>
        </is>
      </c>
      <c r="M26" s="49" t="inlineStr">
        <is>
          <t>추가 지반조사 보고서</t>
        </is>
      </c>
      <c r="N26" s="49" t="inlineStr">
        <is>
          <t>미시추구간 지반조사 수행을 통한 지반 Risk Hedge | 추가 지반조사 보고서</t>
        </is>
      </c>
      <c r="O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6" s="49" t="inlineStr">
        <is>
          <t>• 추가 지반조사 계획 및 시점 확인 - 탄성파탐사/전기비저항탐사 등 물리탐사 추가조사 (현장 및 위치 확인) - 추가시추조사 수행(물리탐사, 시추조사) - 토질 및 암석 실내시험 수행 및 결과분석 확인 - 공종별 ...</t>
        </is>
      </c>
      <c r="Q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6" s="49" t="inlineStr">
        <is>
          <t>1) 추가지반조사 수행 적정성을 확인하였는가? 2) 추가 지반조사 보고서 산출물을 확보하였는가?</t>
        </is>
      </c>
      <c r="S2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6" s="49" t="n"/>
    </row>
    <row r="27" ht="96" customHeight="1">
      <c r="A27" s="47" t="inlineStr">
        <is>
          <t>9000</t>
        </is>
      </c>
      <c r="B27" s="47" t="inlineStr">
        <is>
          <t>9000-5</t>
        </is>
      </c>
      <c r="C27" s="47" t="inlineStr">
        <is>
          <t>지반조사</t>
        </is>
      </c>
      <c r="D27" s="85" t="n">
        <v>2593368</v>
      </c>
      <c r="E27" s="47" t="inlineStr">
        <is>
          <t>9000-5-25</t>
        </is>
      </c>
      <c r="F27" s="85" t="inlineStr">
        <is>
          <t>9000-5-27</t>
        </is>
      </c>
      <c r="G27" s="47" t="inlineStr">
        <is>
          <t>D+10~30</t>
        </is>
      </c>
      <c r="H27" s="85" t="inlineStr">
        <is>
          <t>추가지반조사 결과 분석</t>
        </is>
      </c>
      <c r="I27" s="47" t="inlineStr">
        <is>
          <t>외부지질전문가 3인 이상</t>
        </is>
      </c>
      <c r="J27" s="36" t="inlineStr">
        <is>
          <t>현장 공사팀/공무팀, 포스코스마트엔지니어링팀, 토목수행팀</t>
        </is>
      </c>
      <c r="K27" s="47" t="inlineStr">
        <is>
          <t>추가지반조사 결과에 기반한 최종 R/O 확정</t>
        </is>
      </c>
      <c r="L27" s="49" t="inlineStr">
        <is>
          <t>• 외부전문가 검토 통한 지반특성 최종 Cross-check 확인
• 입찰설계 지반조사 대비 지반특성 변경구간 제원도 확인</t>
        </is>
      </c>
      <c r="M27" s="49" t="inlineStr">
        <is>
          <t>추가 지반조사결과 종합보고서</t>
        </is>
      </c>
      <c r="N27" s="49" t="inlineStr">
        <is>
          <t>추가지반조사 결과에 기반한 최종 R/O 확정 | 추가 지반조사결과 종합보고서</t>
        </is>
      </c>
      <c r="O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7" s="49" t="inlineStr">
        <is>
          <t>• 외부전문가 검토 통한 지반특성 최종 Cross-check 확인 • 입찰설계 지반조사 대비 지반특성 변경구간 제원도 확인</t>
        </is>
      </c>
      <c r="Q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7" s="49" t="inlineStr">
        <is>
          <t>1) 추가지반조사 결과 분석 적정성을 확인하였는가? 2) 추가 지반조사결과 종합보고서 산출물을 확보하였는가?</t>
        </is>
      </c>
      <c r="S2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7" s="49" t="n"/>
    </row>
    <row r="28" ht="96" customHeight="1">
      <c r="A28" s="47" t="inlineStr">
        <is>
          <t>9000</t>
        </is>
      </c>
      <c r="B28" s="47" t="inlineStr">
        <is>
          <t>9000-5</t>
        </is>
      </c>
      <c r="C28" s="47" t="inlineStr">
        <is>
          <t>지반조사</t>
        </is>
      </c>
      <c r="D28" s="85" t="n">
        <v>2593369</v>
      </c>
      <c r="E28" s="47" t="inlineStr">
        <is>
          <t>9000-5-26</t>
        </is>
      </c>
      <c r="F28" s="85" t="inlineStr">
        <is>
          <t>9000-5-28</t>
        </is>
      </c>
      <c r="G28" s="47" t="inlineStr">
        <is>
          <t>D+10~30</t>
        </is>
      </c>
      <c r="H28" s="85" t="inlineStr">
        <is>
          <t>실시설계 지반조사 R/O 검토 (설계, 원가, 공정, 기타)</t>
        </is>
      </c>
      <c r="I28" s="47" t="inlineStr">
        <is>
          <t>포스코스마트엔지니어링팀</t>
        </is>
      </c>
      <c r="J28" s="36" t="inlineStr">
        <is>
          <t>현장 공사팀/품질팀/공무팀, 토목견적팀(원가), 토목수행팀(공정), 토목사업지원팀(기획)</t>
        </is>
      </c>
      <c r="K28" s="47" t="inlineStr">
        <is>
          <t>실시설계 지반조사 결과에 따른 직분야 R/O 및 Cost impact 반영 사항 검토</t>
        </is>
      </c>
      <c r="L28" s="49" t="inlineStr">
        <is>
          <t>• 실시설계 추가지반조사 결과 분석을 통한 원가 및 공정 영향 검토
• 미시추 구간 평가 및 공정 Risk 반영 사항 검토
• 지반조건을 고려한 발파공법성 검토</t>
        </is>
      </c>
      <c r="M28" s="49" t="inlineStr">
        <is>
          <t>실시설계 지반조사 검토서(설계, 원가, 공정, 기타)</t>
        </is>
      </c>
      <c r="N28" s="49" t="inlineStr">
        <is>
          <t>실시설계 지반조사 결과에 따른 직분야 R/O 및 Cost impact 반영 사항 검토 | 실시설계 지반조사 검토서(설계, 원가, 공정, 기타)</t>
        </is>
      </c>
      <c r="O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8" s="49" t="inlineStr">
        <is>
          <t>• 실시설계 추가지반조사 결과 분석을 통한 원가 및 공정 영향 검토 • 미시추 구간 평가 및 공정 Risk 반영 사항 검토 • 지반조건을 고려한 발파공법성 검토</t>
        </is>
      </c>
      <c r="Q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8" s="49" t="inlineStr">
        <is>
          <t>1) 실시설계 지반조사 R/O 검토 (설계, 원가, 공정, 기타) 적정성을 확인하였는가? 2) 실시설계 지반조사 검토서(설계, 원가, 공정, 기타) 산출물을 확보하였는가?</t>
        </is>
      </c>
      <c r="S28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8" s="49" t="n"/>
    </row>
    <row r="29" ht="96" customHeight="1">
      <c r="A29" s="47" t="inlineStr">
        <is>
          <t>9000</t>
        </is>
      </c>
      <c r="B29" s="47" t="inlineStr">
        <is>
          <t>9000-5</t>
        </is>
      </c>
      <c r="C29" s="47" t="inlineStr">
        <is>
          <t>지반조사</t>
        </is>
      </c>
      <c r="D29" s="85" t="n">
        <v>2593370</v>
      </c>
      <c r="E29" s="47" t="inlineStr">
        <is>
          <t>9000-5-27</t>
        </is>
      </c>
      <c r="F29" s="85" t="inlineStr">
        <is>
          <t>9000-5-29</t>
        </is>
      </c>
      <c r="G29" s="47" t="inlineStr">
        <is>
          <t>D+10~30</t>
        </is>
      </c>
      <c r="H29" s="85" t="inlineStr">
        <is>
          <t>실시설계 추가지반조사 결과 검토</t>
        </is>
      </c>
      <c r="I29" s="47" t="inlineStr">
        <is>
          <t>포스코스마트엔지니어링팀</t>
        </is>
      </c>
      <c r="J29" s="36" t="inlineStr">
        <is>
          <t>현장 공사팀/품질팀/공무팀, 토목견적팀(원가), 토목수행팀(공정), 토목사업지원팀(기획)</t>
        </is>
      </c>
      <c r="K29" s="47" t="inlineStr">
        <is>
          <t>추가지반조사 결과에 기반한 최종 R/O 확정</t>
        </is>
      </c>
      <c r="L29" s="49" t="inlineStr">
        <is>
          <t>• 추가지반조사 결과 검토</t>
        </is>
      </c>
      <c r="M29" s="49" t="inlineStr">
        <is>
          <t>실시설계 최종 R/O</t>
        </is>
      </c>
      <c r="N29" s="49" t="inlineStr">
        <is>
          <t>추가지반조사 결과에 기반한 최종 R/O 확정 | 실시설계 최종 R/O</t>
        </is>
      </c>
      <c r="O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29" s="49" t="inlineStr">
        <is>
          <t>• 추가지반조사 결과 검토</t>
        </is>
      </c>
      <c r="Q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29" s="49" t="inlineStr">
        <is>
          <t>1) 실시설계 추가지반조사 결과 검토 적정성을 확인하였는가? 2) 실시설계 최종 R/O 산출물을 확보하였는가?</t>
        </is>
      </c>
      <c r="S29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29" s="49" t="n"/>
    </row>
    <row r="30" ht="96" customHeight="1">
      <c r="A30" s="47" t="inlineStr">
        <is>
          <t>9000</t>
        </is>
      </c>
      <c r="B30" s="47" t="inlineStr">
        <is>
          <t>9000-5</t>
        </is>
      </c>
      <c r="C30" s="47" t="inlineStr">
        <is>
          <t>지반조사</t>
        </is>
      </c>
      <c r="D30" s="85" t="n">
        <v>2593371</v>
      </c>
      <c r="E30" s="47" t="inlineStr">
        <is>
          <t>9000-5-28</t>
        </is>
      </c>
      <c r="F30" s="85" t="inlineStr">
        <is>
          <t>9000-5-30</t>
        </is>
      </c>
      <c r="G30" s="47" t="inlineStr">
        <is>
          <t>D+75일 이후</t>
        </is>
      </c>
      <c r="H30" s="85" t="inlineStr">
        <is>
          <t>최종 R/O 이행방안 수립</t>
        </is>
      </c>
      <c r="I30" s="47" t="inlineStr">
        <is>
          <t>현장소장</t>
        </is>
      </c>
      <c r="J30" s="36" t="inlineStr">
        <is>
          <t>토목수행팀</t>
        </is>
      </c>
      <c r="K30" s="47" t="inlineStr">
        <is>
          <t>최종 지반조사 결과에 따른 R/O 이행방안 수립</t>
        </is>
      </c>
      <c r="L30" s="49" t="inlineStr">
        <is>
          <t>• Core Risk 및 Hedge 방안 수립
• Opportunity에 따른 본공 상가 추가 개선 방안 수립</t>
        </is>
      </c>
      <c r="M30" s="49" t="inlineStr">
        <is>
          <t>최종 R/O 이행계획서</t>
        </is>
      </c>
      <c r="N30" s="49" t="inlineStr">
        <is>
          <t>최종 지반조사 결과에 따른 R/O 이행방안 수립 | 최종 R/O 이행계획서</t>
        </is>
      </c>
      <c r="O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0" s="49" t="inlineStr">
        <is>
          <t>• Core Risk 및 Hedge 방안 수립 • Opportunity에 따른 본공 상가 추가 개선 방안 수립</t>
        </is>
      </c>
      <c r="Q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0" s="49" t="inlineStr">
        <is>
          <t>1) 최종 R/O 이행방안 수립 적정성을 확인하였는가? 2) 최종 R/O 이행계획서 산출물을 확보하였는가?</t>
        </is>
      </c>
      <c r="S30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0" s="49" t="n"/>
    </row>
    <row r="31" ht="96" customHeight="1">
      <c r="A31" s="47" t="inlineStr">
        <is>
          <t>9000</t>
        </is>
      </c>
      <c r="B31" s="47" t="inlineStr">
        <is>
          <t>9000-5</t>
        </is>
      </c>
      <c r="C31" s="47" t="inlineStr">
        <is>
          <t>지반조사</t>
        </is>
      </c>
      <c r="D31" s="85" t="n">
        <v>2593372</v>
      </c>
      <c r="E31" s="47" t="inlineStr">
        <is>
          <t>9000-5-29</t>
        </is>
      </c>
      <c r="F31" s="85" t="n">
        <v>0</v>
      </c>
      <c r="G31" s="47" t="inlineStr">
        <is>
          <t>D+75일 이후</t>
        </is>
      </c>
      <c r="H31" s="85" t="inlineStr">
        <is>
          <t>외부지질전문가 업무평가</t>
        </is>
      </c>
      <c r="I31" s="47" t="inlineStr">
        <is>
          <t>포스코스마트엔지니어링팀</t>
        </is>
      </c>
      <c r="J31" s="36" t="inlineStr">
        <is>
          <t>현장 공사팀/공무팀</t>
        </is>
      </c>
      <c r="K31" s="47" t="inlineStr">
        <is>
          <t>참여인력 전문성 평가 및 특이사항 기록</t>
        </is>
      </c>
      <c r="L31" s="49" t="inlineStr">
        <is>
          <t>• 외부지질 전문가 업무평가서 작성</t>
        </is>
      </c>
      <c r="M31" s="49" t="inlineStr">
        <is>
          <t>외부지질 전문가 업무평가서</t>
        </is>
      </c>
      <c r="N31" s="49" t="inlineStr">
        <is>
          <t>참여인력 전문성 평가 및 특이사항 기록 | 외부지질 전문가 업무평가서</t>
        </is>
      </c>
      <c r="O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1" s="49" t="inlineStr">
        <is>
          <t>• 외부지질 전문가 업무평가서 작성</t>
        </is>
      </c>
      <c r="Q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1" s="49" t="inlineStr">
        <is>
          <t>1) 외부지질전문가 업무평가 적정성을 확인하였는가? 2) 외부지질 전문가 업무평가서 산출물을 확보하였는가?</t>
        </is>
      </c>
      <c r="S31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1" s="49" t="n"/>
    </row>
    <row r="32" ht="96" customHeight="1">
      <c r="A32" s="47" t="inlineStr">
        <is>
          <t>9000</t>
        </is>
      </c>
      <c r="B32" s="47" t="inlineStr">
        <is>
          <t>9000-5</t>
        </is>
      </c>
      <c r="C32" s="47" t="inlineStr">
        <is>
          <t>지반조사</t>
        </is>
      </c>
      <c r="D32" s="85" t="n">
        <v>2593373</v>
      </c>
      <c r="E32" s="47" t="n"/>
      <c r="F32" s="85" t="n">
        <v>0</v>
      </c>
      <c r="G32" s="47" t="inlineStr">
        <is>
          <t>D+75일 이후</t>
        </is>
      </c>
      <c r="H32" s="85" t="inlineStr">
        <is>
          <t>조사업체 PM 업무평가</t>
        </is>
      </c>
      <c r="I32" s="47" t="inlineStr">
        <is>
          <t>포스코스마트엔지니어링팀</t>
        </is>
      </c>
      <c r="J32" s="36" t="inlineStr">
        <is>
          <t>현장 공사팀/공무팀</t>
        </is>
      </c>
      <c r="K32" s="47" t="inlineStr">
        <is>
          <t>조사업체 PM 전문성 평가 및 특이사항 기록</t>
        </is>
      </c>
      <c r="L32" s="49" t="inlineStr">
        <is>
          <t>• 지반조사 PM 업무평가서 작성</t>
        </is>
      </c>
      <c r="M32" s="49" t="inlineStr">
        <is>
          <t>PM업무평가서</t>
        </is>
      </c>
      <c r="N32" s="49" t="inlineStr">
        <is>
          <t>조사업체 PM 전문성 평가 및 특이사항 기록 | PM업무평가서</t>
        </is>
      </c>
      <c r="O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2" s="49" t="inlineStr">
        <is>
          <t>• 지반조사 PM 업무평가서 작성</t>
        </is>
      </c>
      <c r="Q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2" s="49" t="inlineStr">
        <is>
          <t>1) 조사업체 PM 업무평가 적정성을 확인하였는가? 2) PM업무평가서 산출물을 확보하였는가?</t>
        </is>
      </c>
      <c r="S32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2" s="49" t="n"/>
    </row>
    <row r="33" ht="96" customHeight="1">
      <c r="A33" s="47" t="inlineStr">
        <is>
          <t>9000</t>
        </is>
      </c>
      <c r="B33" s="47" t="inlineStr">
        <is>
          <t>9000-0</t>
        </is>
      </c>
      <c r="C33" s="47" t="inlineStr">
        <is>
          <t>지반조사</t>
        </is>
      </c>
      <c r="D33" s="85" t="inlineStr">
        <is>
          <t>9000-0-32</t>
        </is>
      </c>
      <c r="E33" s="47" t="inlineStr">
        <is>
          <t>- ~ -</t>
        </is>
      </c>
      <c r="F33" s="85" t="n"/>
      <c r="G33" s="47" t="n"/>
      <c r="H33" s="85" t="inlineStr">
        <is>
          <t>지반조사업체 업무평가</t>
        </is>
      </c>
      <c r="I33" s="47" t="inlineStr">
        <is>
          <t>현장소장</t>
        </is>
      </c>
      <c r="J33" s="36" t="inlineStr">
        <is>
          <t>현장 공사팀/공무팀</t>
        </is>
      </c>
      <c r="K33" s="47" t="inlineStr">
        <is>
          <t>조사업체 업무평가 및 특이사항 기록</t>
        </is>
      </c>
      <c r="L33" s="49" t="inlineStr">
        <is>
          <t>• 협력업체 업무평가서</t>
        </is>
      </c>
      <c r="M33" s="49" t="inlineStr">
        <is>
          <t>협력업체 업무평가서</t>
        </is>
      </c>
      <c r="N33" s="49" t="inlineStr">
        <is>
          <t>조사업체 업무평가 및 특이사항 기록 | 협력업체 업무평가서</t>
        </is>
      </c>
      <c r="O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3" s="49" t="inlineStr">
        <is>
          <t>• 협력업체 업무평가서</t>
        </is>
      </c>
      <c r="Q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3" s="49" t="inlineStr">
        <is>
          <t>1) 지반조사업체 업무평가 적정성을 확인하였는가? 2) 협력업체 업무평가서 산출물을 확보하였는가?</t>
        </is>
      </c>
      <c r="S33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3" s="49" t="n"/>
    </row>
    <row r="34" ht="96" customHeight="1">
      <c r="A34" s="47" t="inlineStr">
        <is>
          <t>9000</t>
        </is>
      </c>
      <c r="B34" s="47" t="inlineStr">
        <is>
          <t>9000-0</t>
        </is>
      </c>
      <c r="C34" s="47" t="inlineStr">
        <is>
          <t>지반조사</t>
        </is>
      </c>
      <c r="D34" s="85" t="inlineStr">
        <is>
          <t>9000-0-33</t>
        </is>
      </c>
      <c r="E34" s="47" t="inlineStr">
        <is>
          <t>- ~ -</t>
        </is>
      </c>
      <c r="F34" s="85" t="n"/>
      <c r="G34" s="47" t="n"/>
      <c r="H34" s="85" t="inlineStr">
        <is>
          <t>설계변경 LL 리포트 작성</t>
        </is>
      </c>
      <c r="I34" s="47" t="inlineStr">
        <is>
          <t>현장소장</t>
        </is>
      </c>
      <c r="J34" s="36" t="inlineStr">
        <is>
          <t>현장 공무팀</t>
        </is>
      </c>
      <c r="K34" s="47" t="inlineStr">
        <is>
          <t>설계변경 사항 기록</t>
        </is>
      </c>
      <c r="L34" s="49" t="inlineStr">
        <is>
          <t>• 설계변경 사유 기록관리
• 예상 R/O대비 설계변경 사항 비교 검토</t>
        </is>
      </c>
      <c r="M34" s="49" t="inlineStr">
        <is>
          <t>LL리포트</t>
        </is>
      </c>
      <c r="N34" s="49" t="inlineStr">
        <is>
          <t>설계변경 사항 기록 | LL리포트</t>
        </is>
      </c>
      <c r="O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4" s="49" t="inlineStr">
        <is>
          <t>• 설계변경 사유 기록관리 • 예상 R/O대비 설계변경 사항 비교 검토</t>
        </is>
      </c>
      <c r="Q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4" s="49" t="inlineStr">
        <is>
          <t>1) 설계변경 LL 리포트 작성 적정성을 확인하였는가? 2) LL리포트 산출물을 확보하였는가?</t>
        </is>
      </c>
      <c r="S34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4" s="49" t="n"/>
    </row>
    <row r="35" ht="96" customHeight="1">
      <c r="A35" s="47" t="inlineStr">
        <is>
          <t>9000</t>
        </is>
      </c>
      <c r="B35" s="47" t="inlineStr">
        <is>
          <t>9000-0</t>
        </is>
      </c>
      <c r="C35" s="47" t="inlineStr">
        <is>
          <t>지반조사</t>
        </is>
      </c>
      <c r="D35" s="85" t="inlineStr">
        <is>
          <t>9000-0-34</t>
        </is>
      </c>
      <c r="E35" s="47" t="inlineStr">
        <is>
          <t>- ~ -</t>
        </is>
      </c>
      <c r="F35" s="85" t="n"/>
      <c r="G35" s="47" t="n"/>
      <c r="H35" s="85" t="inlineStr">
        <is>
          <t>설계변경 LL 리포트 관리</t>
        </is>
      </c>
      <c r="I35" s="47" t="inlineStr">
        <is>
          <t>토목수행팀</t>
        </is>
      </c>
      <c r="J35" s="36" t="inlineStr">
        <is>
          <t>현장소장</t>
        </is>
      </c>
      <c r="K35" s="47" t="inlineStr">
        <is>
          <t>전체 현장 설계변경 사항 기록</t>
        </is>
      </c>
      <c r="L35" s="49" t="inlineStr">
        <is>
          <t>• 현장별 설계변경 LL 리포트 취합 관리</t>
        </is>
      </c>
      <c r="M35" s="49" t="inlineStr">
        <is>
          <t>LL리포트 List</t>
        </is>
      </c>
      <c r="N35" s="49" t="inlineStr">
        <is>
          <t>전체 현장 설계변경 사항 기록 | LL리포트 List</t>
        </is>
      </c>
      <c r="O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5" s="49" t="inlineStr">
        <is>
          <t>• 현장별 설계변경 LL 리포트 취합 관리</t>
        </is>
      </c>
      <c r="Q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5" s="49" t="inlineStr">
        <is>
          <t>1) 설계변경 LL 리포트 관리 적정성을 확인하였는가? 2) LL리포트 List 산출물을 확보하였는가?</t>
        </is>
      </c>
      <c r="S35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5" s="49" t="n"/>
    </row>
    <row r="36" ht="96" customHeight="1">
      <c r="A36" s="47" t="inlineStr">
        <is>
          <t>9000</t>
        </is>
      </c>
      <c r="B36" s="47" t="inlineStr">
        <is>
          <t>9000-0</t>
        </is>
      </c>
      <c r="C36" s="47" t="inlineStr">
        <is>
          <t>지반조사</t>
        </is>
      </c>
      <c r="D36" s="85" t="inlineStr">
        <is>
          <t>9000-0-35</t>
        </is>
      </c>
      <c r="E36" s="47" t="inlineStr">
        <is>
          <t>- ~ -</t>
        </is>
      </c>
      <c r="F36" s="85" t="n"/>
      <c r="G36" s="47" t="n"/>
      <c r="H36" s="85" t="inlineStr">
        <is>
          <t>지반조사업체 정산계약</t>
        </is>
      </c>
      <c r="I36" s="47" t="inlineStr">
        <is>
          <t>일반구매팀</t>
        </is>
      </c>
      <c r="J36" s="36" t="inlineStr">
        <is>
          <t>현장 공무팀</t>
        </is>
      </c>
      <c r="K36" s="47" t="inlineStr">
        <is>
          <t>지반조사업체 정산</t>
        </is>
      </c>
      <c r="L36" s="49" t="inlineStr">
        <is>
          <t>• 조사도 수량 Check 후 구매시스템 변경계약 수행
• 변경계약 후 정산금 집행</t>
        </is>
      </c>
      <c r="M36" s="49" t="inlineStr">
        <is>
          <t>정산계약서</t>
        </is>
      </c>
      <c r="N36" s="49" t="inlineStr">
        <is>
          <t>지반조사업체 정산 | 정산계약서</t>
        </is>
      </c>
      <c r="O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6" s="49" t="inlineStr">
        <is>
          <t>• 조사도 수량 Check 후 구매시스템 변경계약 수행 • 변경계약 후 정산금 집행</t>
        </is>
      </c>
      <c r="Q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6" s="49" t="inlineStr">
        <is>
          <t>1) 지반조사업체 정산계약 적정성을 확인하였는가? 2) 정산계약서 산출물을 확보하였는가?</t>
        </is>
      </c>
      <c r="S36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6" s="49" t="n"/>
    </row>
    <row r="37" ht="96" customHeight="1">
      <c r="A37" s="47" t="inlineStr">
        <is>
          <t>9000</t>
        </is>
      </c>
      <c r="B37" s="47" t="inlineStr">
        <is>
          <t>9000-0</t>
        </is>
      </c>
      <c r="C37" s="47" t="inlineStr">
        <is>
          <t>지반조사</t>
        </is>
      </c>
      <c r="D37" s="85" t="inlineStr">
        <is>
          <t>9000-0-36</t>
        </is>
      </c>
      <c r="E37" s="47" t="inlineStr">
        <is>
          <t>- ~ -</t>
        </is>
      </c>
      <c r="F37" s="85" t="n"/>
      <c r="G37" s="47" t="n"/>
      <c r="H37" s="85" t="inlineStr">
        <is>
          <t>매뉴얼 Update</t>
        </is>
      </c>
      <c r="I37" s="47" t="inlineStr">
        <is>
          <t>혁신실장</t>
        </is>
      </c>
      <c r="J37" s="36" t="inlineStr">
        <is>
          <t>현장 공무팀</t>
        </is>
      </c>
      <c r="K37" s="47" t="inlineStr">
        <is>
          <t>지반조사 매뉴얼 Update</t>
        </is>
      </c>
      <c r="L37" s="49" t="inlineStr">
        <is>
          <t>• 매뉴얼 Update 및 개정사항 사내공지</t>
        </is>
      </c>
      <c r="M37" s="49" t="inlineStr">
        <is>
          <t>지반조사 매뉴얼</t>
        </is>
      </c>
      <c r="N37" s="49" t="inlineStr">
        <is>
          <t>지반조사 매뉴얼 Update | 지반조사 매뉴얼</t>
        </is>
      </c>
      <c r="O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상세검토\표준서\1_지반조사 상세검토_표준서.html","👉 [클릭] 표준서 열기 📄")</f>
        <v/>
      </c>
      <c r="P37" s="49" t="inlineStr">
        <is>
          <t>• 매뉴얼 Update 및 개정사항 사내공지</t>
        </is>
      </c>
      <c r="Q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상세검토\수행지침\지반조사 상세검토_수행지침.html","👉 [클릭] 수행지침 열기 📄")</f>
        <v/>
      </c>
      <c r="R37" s="49" t="inlineStr">
        <is>
          <t>1) 매뉴얼 Update 적정성을 확인하였는가? 2) 지반조사 매뉴얼 산출물을 확보하였는가?</t>
        </is>
      </c>
      <c r="S37" s="82">
        <f>HYPERLINK("C:\Users\sskjh\antigravity\01_전문업무_및_엔지니어링\11_현장_프로젝트\01_동탄트램\08.메뉴얼 및 평면도\최종\02_메뉴얼 공종프로섹스(집행단계)\매뉴얼BODY(집행단계-첨부폴더)v8\4.상부강화노반\1_지반조사 상세검토\체크리스트\지반조사 상세검토_체크리스트.html","👉 [클릭] 체크리스트 열기 📄")</f>
        <v/>
      </c>
      <c r="T37" s="49" t="n"/>
    </row>
  </sheetData>
  <pageMargins left="0.7" right="0.7" top="0.75" bottom="0.75" header="0.3" footer="0.3"/>
  <pageSetup orientation="landscape" paperSize="8" scale="28" verticalDpi="0"/>
</worksheet>
</file>

<file path=xl/worksheets/sheet2.xml><?xml version="1.0" encoding="utf-8"?>
<worksheet xmlns="http://schemas.openxmlformats.org/spreadsheetml/2006/main">
  <sheetPr codeName="Sheet2">
    <tabColor rgb="FFFFFF00"/>
    <outlinePr summaryBelow="1" summaryRight="1"/>
    <pageSetUpPr/>
  </sheetPr>
  <dimension ref="A1:W40"/>
  <sheetViews>
    <sheetView view="pageBreakPreview" zoomScale="55" zoomScaleNormal="55" zoomScaleSheetLayoutView="55" workbookViewId="0">
      <pane xSplit="2" ySplit="1" topLeftCell="L27" activePane="bottomRight" state="frozen"/>
      <selection pane="topRight" activeCell="C1" sqref="C1"/>
      <selection pane="bottomLeft" activeCell="A2" sqref="A2"/>
      <selection pane="bottomRight" activeCell="O30" sqref="O30"/>
    </sheetView>
  </sheetViews>
  <sheetFormatPr baseColWidth="8" defaultRowHeight="19.2"/>
  <cols>
    <col width="8.796875" customWidth="1" style="42" min="1" max="2"/>
    <col width="15" customWidth="1" style="22" min="3" max="3"/>
    <col width="16" customWidth="1" style="22" min="4" max="6"/>
    <col width="26" customWidth="1" style="22" min="7" max="7"/>
    <col width="28.59765625" customWidth="1" style="45" min="8" max="8"/>
    <col width="24.59765625" customWidth="1" style="42" min="9" max="9"/>
    <col width="49.8984375" customWidth="1" style="42" min="10" max="10"/>
    <col width="44.296875" customWidth="1" style="42" min="11" max="11"/>
    <col width="26.796875" customWidth="1" style="42" min="12" max="12"/>
    <col width="44.5" customWidth="1" style="42" min="13" max="13"/>
    <col width="53.69921875" customWidth="1" style="42" min="14" max="14"/>
    <col width="11.5" customWidth="1" style="42" min="15" max="15"/>
    <col width="50.5" customWidth="1" style="22" min="16" max="16"/>
    <col width="8.19921875" customWidth="1" style="42" min="17" max="17"/>
    <col width="45" customWidth="1" style="54" min="18" max="18"/>
    <col width="9.19921875" customWidth="1" style="16" min="19" max="19"/>
    <col width="17.296875" customWidth="1" style="42" min="20" max="20"/>
    <col width="45" customWidth="1" style="54" min="21" max="21"/>
    <col width="22" customWidth="1" style="54" min="22" max="22"/>
    <col width="22" customWidth="1" style="42" min="23" max="38"/>
    <col width="8.796875" customWidth="1" style="42" min="39" max="75"/>
    <col width="8.796875" customWidth="1" style="42" min="76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참석</t>
        </is>
      </c>
      <c r="M1" s="6" t="inlineStr">
        <is>
          <t>산출물(결과)</t>
        </is>
      </c>
      <c r="N1" s="6" t="inlineStr">
        <is>
          <t>표준서 (Standard) 요약</t>
        </is>
      </c>
      <c r="O1" s="7" t="inlineStr">
        <is>
          <t>표준서 파일 (HTML)</t>
        </is>
      </c>
      <c r="P1" s="6" t="inlineStr">
        <is>
          <t>수행지침 (Guideline) 요약</t>
        </is>
      </c>
      <c r="Q1" s="7" t="inlineStr">
        <is>
          <t>수행지침 파일 (HTML)</t>
        </is>
      </c>
      <c r="R1" s="6" t="inlineStr">
        <is>
          <t>체크리스트 (Checklist) 요약</t>
        </is>
      </c>
      <c r="S1" s="7" t="inlineStr">
        <is>
          <t>체크리스트 파일 (HTML)</t>
        </is>
      </c>
      <c r="T1" s="6" t="inlineStr">
        <is>
          <t>비고</t>
        </is>
      </c>
      <c r="U1" s="6" t="inlineStr">
        <is>
          <t>첨부서류 연계 상세 설계기준</t>
        </is>
      </c>
      <c r="V1" s="6" t="inlineStr">
        <is>
          <t>집행단계 리스크 체크리스트</t>
        </is>
      </c>
      <c r="W1" s="6" t="inlineStr">
        <is>
          <t>협력사 시공/공사관리 자문</t>
        </is>
      </c>
    </row>
    <row r="2" ht="90" customHeight="1">
      <c r="A2" s="47" t="inlineStr">
        <is>
          <t>9000</t>
        </is>
      </c>
      <c r="B2" s="47" t="inlineStr">
        <is>
          <t>9000-5</t>
        </is>
      </c>
      <c r="C2" s="47" t="inlineStr">
        <is>
          <t>사전토공사</t>
        </is>
      </c>
      <c r="D2" s="85" t="inlineStr">
        <is>
          <t>9000-5-1</t>
        </is>
      </c>
      <c r="E2" s="47" t="n"/>
      <c r="F2" s="85" t="inlineStr">
        <is>
          <t>9000-5-2</t>
        </is>
      </c>
      <c r="G2" s="47" t="inlineStr">
        <is>
          <t>D-90 (D-120~D-90)</t>
        </is>
      </c>
      <c r="H2" s="36" t="inlineStr">
        <is>
          <t>Site Survey</t>
        </is>
      </c>
      <c r="I2" s="47" t="inlineStr">
        <is>
          <t>현장 공사팀</t>
        </is>
      </c>
      <c r="J2" s="49" t="inlineStr">
        <is>
          <t>KDS 47 10 00 철도지반 설계기준 | 현장 가설 둔차선, 용지 경계 및 원지반 고저차 3D 레벨 현측 | 토공사 사전 현장 조사 보고서</t>
        </is>
      </c>
      <c r="K2" s="49" t="inlineStr">
        <is>
          <t>1) 현장 가설 도로 및 용지 경계 현측 ➔ 2) 광학 레벨 원지반 고저차 측정 ➔ 3) 진입 도로 장애 요소 매핑 ➔ 4) 현장 조사 보고서 감리 제출</t>
        </is>
      </c>
      <c r="L2" s="49" t="inlineStr">
        <is>
          <t>토묵수행티, 견적팀, 계약팀</t>
        </is>
      </c>
      <c r="M2" s="49" t="inlineStr">
        <is>
          <t>가설 도로 폭/구배 현측, 원지반 고저차 레벨 측량 및 3D BIM 도면 오차 점검 (현장 조사 보고서)</t>
        </is>
      </c>
      <c r="N2" s="49" t="inlineStr">
        <is>
          <t>KDS 47 10 00 철도지반 설계기준 | 현장 가설 둔차선, 용지 경계 및 원지반 고저차 3D 레벨 현측 | 토공사 사전 현장 조사 보고서</t>
        </is>
      </c>
      <c r="O2" s="75">
        <f>HYPERLINK(LEFT(CELL("filename",A1),FIND("[",CELL("filename",A1))-1)&amp;"2.사전토공사\1_Site Survey\표준서\Site Survey_표준서.html", "👉 [클릭] 표준서 열기 📄")</f>
        <v/>
      </c>
      <c r="P2" s="49" t="inlineStr">
        <is>
          <t>1) 현장 가설 도로 및 용지 경계 현측 ➔ 2) 광학 레벨 원지반 고저차 측정 ➔ 3) 진입 도로 장애 요소 매핑 ➔ 4) 현장 조사 보고서 감리 제출</t>
        </is>
      </c>
      <c r="Q2" s="76">
        <f>HYPERLINK(LEFT(CELL("filename",A1),FIND("[",CELL("filename",A1))-1)&amp;"2.사전토공사\1_Site Survey\수행지침\Site Survey_수행지침.html", "👉 [클릭] 수행지침 열기 📄")</f>
        <v/>
      </c>
      <c r="R2" s="49" t="inlineStr">
        <is>
          <t>가설 도로 폭/구배 현측, 원지반 고저차 레벨 측량 및 3D BIM 도면 오차 점검 (현장 조사 보고서)</t>
        </is>
      </c>
      <c r="S2" s="83">
        <f>HYPERLINK(LEFT(CELL("filename",A1),FIND("[",CELL("filename",A1))-1)&amp;"2.사전토공사\1_Site Survey\체크리스트\Site Survey_체크리스트.html", "👉 [클릭] 체크리스트 열기 📄")</f>
        <v/>
      </c>
      <c r="T2" s="47" t="n"/>
      <c r="U2" s="69" t="inlineStr">
        <is>
          <t>● 설계도면 및 지적 경계 기준 준수</t>
        </is>
      </c>
      <c r="V2" s="69" t="inlineStr">
        <is>
          <t>1) 👉 [더블클릭] 체크리스트 열기 📄</t>
        </is>
      </c>
      <c r="W2" s="49" t="n"/>
    </row>
    <row r="3" ht="134.4" customHeight="1">
      <c r="A3" s="47" t="inlineStr">
        <is>
          <t>9000</t>
        </is>
      </c>
      <c r="B3" s="47" t="inlineStr">
        <is>
          <t>9000-5</t>
        </is>
      </c>
      <c r="C3" s="47" t="inlineStr">
        <is>
          <t>사전토공사</t>
        </is>
      </c>
      <c r="D3" s="85" t="n">
        <v>2593345</v>
      </c>
      <c r="E3" s="85" t="n">
        <v>2593344</v>
      </c>
      <c r="F3" s="85" t="inlineStr">
        <is>
          <t>9000-5-6</t>
        </is>
      </c>
      <c r="G3" s="47" t="inlineStr">
        <is>
          <t>D-60 (D-80~D-60)</t>
        </is>
      </c>
      <c r="H3" s="36" t="inlineStr">
        <is>
          <t>공사중 교통처리계획</t>
        </is>
      </c>
      <c r="I3" s="47" t="inlineStr">
        <is>
          <t>현장 공사팀</t>
        </is>
      </c>
      <c r="J3" s="49" t="inlineStr">
        <is>
          <t>도로교통법 제69조 | 동탄경찰서 교통안전 심의 및 우회 차선 설계 | 전담 신호수(2인 2조) &amp; LED 경광등 배치</t>
        </is>
      </c>
      <c r="K3" s="49" t="inlineStr">
        <is>
          <t>1) 교통 우회 차선 &amp; 둔차선 도면 설계 ➔ 2) 동탄경찰서 도로점용 허가 ➔ 3) 전담 신호수(2인 2조) 배치 ➔ 4) 교통소통 대책서 감리 서면 승인</t>
        </is>
      </c>
      <c r="L3" s="49" t="n"/>
      <c r="M3" s="49" t="inlineStr">
        <is>
          <t>동탄경찰서 도로점용 허가, 가설 우회 차선 설계 및 전담 안전 신호수(2인 2조)/LED 경광등 배치</t>
        </is>
      </c>
      <c r="N3" s="49" t="inlineStr">
        <is>
          <t>도로교통법 제69조 | 동탄경찰서 교통안전 심의 및 우회 차선 설계 | 전담 신호수(2인 2조) &amp; LED 경광등 배치</t>
        </is>
      </c>
      <c r="O3" s="75">
        <f>HYPERLINK(LEFT(CELL("filename",A1),FIND("[",CELL("filename",A1))-1)&amp;"2.사전토공사\2_발주전략 KOM\표준서\2_발주전략 KOM_표준서.html", "👉 [클릭] 표준서 열기 📄")</f>
        <v/>
      </c>
      <c r="P3" s="49" t="inlineStr">
        <is>
          <t>1) 교통 우회 차선 &amp; 둔차선 도면 설계 ➔ 2) 동탄경찰서 도로점용 허가 ➔ 3) 전담 신호수(2인 2조) 배치 ➔ 4) 교통소통 대책서 감리 서면 승인</t>
        </is>
      </c>
      <c r="Q3" s="76">
        <f>HYPERLINK(LEFT(CELL("filename",A1),FIND("[",CELL("filename",A1))-1)&amp;"2.사전토공사\2_발주전략 KOM\수행지침\2_발주전략 KOM_수행지침.html", "👉 [클릭] 수행지침 열기 📄")</f>
        <v/>
      </c>
      <c r="R3" s="49" t="inlineStr">
        <is>
          <t>동탄경찰서 도로점용 허가, 가설 우회 차선 설계 및 전담 안전 신호수(2인 2조)/LED 경광등 배치</t>
        </is>
      </c>
      <c r="S3" s="83">
        <f>HYPERLINK(LEFT(CELL("filename",A1),FIND("[",CELL("filename",A1))-1)&amp;"2.사전토공사\2_발주전략 KOM\체크리스트\2_발주전략 KOM_체크리스트.html", "👉 [클릭] 체크리스트 열기 📄")</f>
        <v/>
      </c>
      <c r="T3" s="47" t="n"/>
      <c r="U3" s="69" t="inlineStr">
        <is>
          <t>● 도로교통법 및 관할 지자체 교통 지침 준수</t>
        </is>
      </c>
      <c r="V3" s="69" t="inlineStr">
        <is>
          <t>1) 👉 [더블클릭] 체크리스트 열기 📄</t>
        </is>
      </c>
      <c r="W3" s="49" t="n"/>
    </row>
    <row r="4" ht="110.4" customHeight="1">
      <c r="A4" s="47" t="inlineStr">
        <is>
          <t>9000</t>
        </is>
      </c>
      <c r="B4" s="47" t="inlineStr">
        <is>
          <t>9000-5</t>
        </is>
      </c>
      <c r="C4" s="47" t="inlineStr">
        <is>
          <t>사전토공사</t>
        </is>
      </c>
      <c r="D4" s="85" t="n">
        <v>2593346</v>
      </c>
      <c r="E4" s="47" t="inlineStr">
        <is>
          <t>9000-5-2</t>
        </is>
      </c>
      <c r="F4" s="85" t="n"/>
      <c r="G4" s="47" t="inlineStr">
        <is>
          <t>D-60 (D-70~D-60)</t>
        </is>
      </c>
      <c r="H4" s="36" t="inlineStr">
        <is>
          <t>Site Survey Risk 검토</t>
        </is>
      </c>
      <c r="I4" s="47" t="inlineStr">
        <is>
          <t>토목국내견적팀</t>
        </is>
      </c>
      <c r="J4" s="49" t="inlineStr">
        <is>
          <t>지하안전법 제23조 | 현장 지장물, 연약 지반 층후 및 사면 붕괴 위험 요소 추출 | 사전 토공 리스크 대책 승인</t>
        </is>
      </c>
      <c r="K4" s="49" t="inlineStr">
        <is>
          <t>1) 지하 매설 지장물 &amp; 연약지반 현출 ➔ 2) 사면 붕괴 위험 구간 추출 ➔ 3) 흙막이 가설재 보강 수립 ➔ 4) 토공 리스크 대책서 감리 승인</t>
        </is>
      </c>
      <c r="L4" s="49" t="n"/>
      <c r="M4" s="49" t="inlineStr">
        <is>
          <t>지중 매설물 탐사, 연약 지반 층후 분석 및 사면 붕괴 위험 구간 흙막이 가설재 보강 수립</t>
        </is>
      </c>
      <c r="N4" s="49" t="inlineStr">
        <is>
          <t>지하안전법 제23조 | 현장 지장물, 연약 지반 층후 및 사면 붕괴 위험 요소 추출 | 사전 토공 리스크 대책 승인</t>
        </is>
      </c>
      <c r="O4" s="75">
        <f>HYPERLINK(LEFT(CELL("filename",A1),FIND("[",CELL("filename",A1))-1)&amp;"2.사전토공사\3_Site Survey Risk 검토\표준서\Site Survey Risk 검토_표준서.html", "👉 [클릭] 표준서 열기 📄")</f>
        <v/>
      </c>
      <c r="P4" s="49" t="inlineStr">
        <is>
          <t>1) 지하 매설 지장물 &amp; 연약지반 현출 ➔ 2) 사면 붕괴 위험 구간 추출 ➔ 3) 흙막이 가설재 보강 수립 ➔ 4) 토공 리스크 대책서 감리 승인</t>
        </is>
      </c>
      <c r="Q4" s="76">
        <f>HYPERLINK(LEFT(CELL("filename",A1),FIND("[",CELL("filename",A1))-1)&amp;"2.사전토공사\3_Site Survey Risk 검토\수행지침\Site Survey Risk 검토_수행지침.html", "👉 [클릭] 수행지침 열기 📄")</f>
        <v/>
      </c>
      <c r="R4" s="49" t="inlineStr">
        <is>
          <t>지중 매설물 탐사, 연약 지반 층후 분석 및 사면 붕괴 위험 구간 흙막이 가설재 보강 수립</t>
        </is>
      </c>
      <c r="S4" s="83">
        <f>HYPERLINK(LEFT(CELL("filename",A1),FIND("[",CELL("filename",A1))-1)&amp;"2.사전토공사\3_Site Survey Risk 검토\체크리스트\Site Survey Risk 검토_체크리스트.html", "👉 [클릭] 체크리스트 열기 📄")</f>
        <v/>
      </c>
      <c r="T4" s="47" t="n"/>
      <c r="U4" s="69" t="inlineStr">
        <is>
          <t>● 실행예산 검토 및 공사 수행 리스크 분석</t>
        </is>
      </c>
      <c r="V4" s="69" t="inlineStr">
        <is>
          <t>1) 👉 [더블클릭] 체크리스트 열기 📄</t>
        </is>
      </c>
      <c r="W4" s="49" t="n"/>
    </row>
    <row r="5" ht="96" customHeight="1">
      <c r="A5" s="47" t="inlineStr">
        <is>
          <t>9000</t>
        </is>
      </c>
      <c r="B5" s="47" t="inlineStr">
        <is>
          <t>9000-5</t>
        </is>
      </c>
      <c r="C5" s="47" t="inlineStr">
        <is>
          <t>사전토공사</t>
        </is>
      </c>
      <c r="D5" s="85" t="n">
        <v>2593347</v>
      </c>
      <c r="E5" s="64" t="n">
        <v>2593344</v>
      </c>
      <c r="F5" s="85" t="n">
        <v>2593344</v>
      </c>
      <c r="G5" s="47" t="inlineStr">
        <is>
          <t>D-50 (D-60~D-50)</t>
        </is>
      </c>
      <c r="H5" s="36" t="inlineStr">
        <is>
          <t>최고의 팀 만들기 지원</t>
        </is>
      </c>
      <c r="I5" s="47" t="inlineStr">
        <is>
          <t>외주관리팀</t>
        </is>
      </c>
      <c r="J5" s="49" t="inlineStr">
        <is>
          <t>건산법 상생협력 수칙 | 토공 전문 기술자 1:1 전담 배치 &amp; 3자 주간 소통 회의 | 일일 Safety TBM 100% 이행</t>
        </is>
      </c>
      <c r="K5" s="49" t="inlineStr">
        <is>
          <t>1) 토공 전담 기술자 1:1 배치 ➔ 2) 3자 주간 소통 회의 개최 ➔ 3) 근로자 복지 지원 &amp; Safety TBM ➔ 4) One-Team 조직표 감리 서면 승인</t>
        </is>
      </c>
      <c r="L5" s="49" t="n"/>
      <c r="M5" s="49" t="inlineStr">
        <is>
          <t>토공 전담 기술자 1:1 현장 배치, 발주·감리·시공 3자 주간 소통 회의 및 일일 Safety TBM/음주 측정</t>
        </is>
      </c>
      <c r="N5" s="49" t="inlineStr">
        <is>
          <t>건산법 상생협력 수칙 | 토공 전문 기술자 1:1 전담 배치 &amp; 3자 주간 소통 회의 | 일일 Safety TBM 100% 이행</t>
        </is>
      </c>
      <c r="O5" s="75">
        <f>HYPERLINK(LEFT(CELL("filename",A1),FIND("[",CELL("filename",A1))-1)&amp;"2.사전토공사\4_최고의 팀 만들기 지원\표준서\최고의 팀 만들기 지원_표준서.html", "👉 [클릭] 표준서 열기 📄")</f>
        <v/>
      </c>
      <c r="P5" s="49" t="inlineStr">
        <is>
          <t>1) 토공 전담 기술자 1:1 배치 ➔ 2) 3자 주간 소통 회의 개최 ➔ 3) 근로자 복지 지원 &amp; Safety TBM ➔ 4) One-Team 조직표 감리 서면 승인</t>
        </is>
      </c>
      <c r="Q5" s="76">
        <f>HYPERLINK(LEFT(CELL("filename",A1),FIND("[",CELL("filename",A1))-1)&amp;"2.사전토공사\4_최고의 팀 만들기 지원\수행지침\최고의 팀 만들기 지원_수행지침.html", "👉 [클릭] 수행지침 열기 📄")</f>
        <v/>
      </c>
      <c r="R5" s="49" t="inlineStr">
        <is>
          <t>토공 전담 기술자 1:1 현장 배치, 발주·감리·시공 3자 주간 소통 회의 및 일일 Safety TBM/음주 측정</t>
        </is>
      </c>
      <c r="S5" s="83">
        <f>HYPERLINK(LEFT(CELL("filename",A1),FIND("[",CELL("filename",A1))-1)&amp;"2.사전토공사\4_최고의 팀 만들기 지원\체크리스트\최고의 팀 만들기 지원_체크리스트.html", "👉 [클릭] 체크리스트 열기 📄")</f>
        <v/>
      </c>
      <c r="T5" s="47" t="n"/>
      <c r="U5" s="69" t="inlineStr">
        <is>
          <t>● 외주관리 협력업체 평가 및 선정 기준</t>
        </is>
      </c>
      <c r="V5" s="69" t="inlineStr">
        <is>
          <t>1) 👉 [더블클릭] 체크리스트 열기 📄</t>
        </is>
      </c>
      <c r="W5" s="49" t="n"/>
    </row>
    <row r="6" ht="125.4" customHeight="1">
      <c r="A6" s="47" t="inlineStr">
        <is>
          <t>9000</t>
        </is>
      </c>
      <c r="B6" s="47" t="inlineStr">
        <is>
          <t>9000-5</t>
        </is>
      </c>
      <c r="C6" s="47" t="inlineStr">
        <is>
          <t>사전토공사</t>
        </is>
      </c>
      <c r="D6" s="85" t="n">
        <v>2593348</v>
      </c>
      <c r="E6" s="47" t="inlineStr">
        <is>
          <t>9000-5-1</t>
        </is>
      </c>
      <c r="F6" s="85" t="inlineStr">
        <is>
          <t>9000-5-3</t>
        </is>
      </c>
      <c r="G6" s="47" t="inlineStr">
        <is>
          <t>D-80 (D-120~D-80)</t>
        </is>
      </c>
      <c r="H6" s="36" t="inlineStr">
        <is>
          <t>발주전략 KOM</t>
        </is>
      </c>
      <c r="I6" s="47" t="inlineStr">
        <is>
          <t>현장소장</t>
        </is>
      </c>
      <c r="J6" s="49" t="inlineStr">
        <is>
          <t>KCS 47 10 25 시방 검토 | 사전 토공 토사/암석 깎기 및 성토 시방 규정 | 발주처·감리·시공 3자 킥오프 결재</t>
        </is>
      </c>
      <c r="K6" s="49" t="inlineStr">
        <is>
          <t>1) 사전 토공 시방 요구조건 분석 ➔ 2) 3D BIM 도면 깎기/성토 수량 검증 ➔ 3) 토공 리스크 예비비 수립 ➔ 4) 발주·감리·시공 3자 킥오프 결재</t>
        </is>
      </c>
      <c r="L6" s="49" t="n"/>
      <c r="M6" s="49" t="inlineStr">
        <is>
          <t>KCS 47 10 25 사전 토공 시방 검토, 토사/암석 깎기 수량 산출 및 3D BIM 간섭 zero (3자 킥오프 결재)</t>
        </is>
      </c>
      <c r="N6" s="49" t="inlineStr">
        <is>
          <t>KCS 47 10 25 시방 검토 | 사전 토공 토사/암석 깎기 및 성토 시방 규정 | 발주처·감리·시공 3자 킥오프 결재</t>
        </is>
      </c>
      <c r="O6" s="75">
        <f>HYPERLINK(LEFT(CELL("filename",A1),FIND("[",CELL("filename",A1))-1)&amp;"2.사전토공사\5_공사중 교통처리계획\표준서\공사중 교통처리계획_표준서.html", "👉 [클릭] 표준서 열기 📄")</f>
        <v/>
      </c>
      <c r="P6" s="49" t="inlineStr">
        <is>
          <t>1) 사전 토공 시방 요구조건 분석 ➔ 2) 3D BIM 도면 깎기/성토 수량 검증 ➔ 3) 토공 리스크 예비비 수립 ➔ 4) 발주·감리·시공 3자 킥오프 결재</t>
        </is>
      </c>
      <c r="Q6" s="76">
        <f>HYPERLINK(LEFT(CELL("filename",A1),FIND("[",CELL("filename",A1))-1)&amp;"2.사전토공사\5_공사중 교통처리계획\수행지침\공사중 교통처리계획_수행지침.html", "👉 [클릭] 수행지침 열기 📄")</f>
        <v/>
      </c>
      <c r="R6" s="49" t="inlineStr">
        <is>
          <t>KCS 47 10 25 사전 토공 시방 검토, 토사/암석 깎기 수량 산출 및 3D BIM 간섭 zero (3자 킥오프 결재)</t>
        </is>
      </c>
      <c r="S6" s="83">
        <f>HYPERLINK(LEFT(CELL("filename",A1),FIND("[",CELL("filename",A1))-1)&amp;"2.사전토공사\5_공사중 교통처리계획\체크리스트\공사중 교통처리계획_체크리스트.html", "👉 [클릭] 체크리스트 열기 📄")</f>
        <v/>
      </c>
      <c r="T6" s="47" t="n"/>
      <c r="U6" s="69" t="inlineStr">
        <is>
          <t>● 본사외주부서, 수행부서, 토목국내견적팀, 컴플라이언스RM팀, 토목사업지원팀 협의</t>
        </is>
      </c>
      <c r="V6" s="69" t="inlineStr">
        <is>
          <t>1) 👉 [더블클릭] 체크리스트 열기 📄</t>
        </is>
      </c>
      <c r="W6" s="49" t="n"/>
    </row>
    <row r="7" ht="172.8" customHeight="1">
      <c r="A7" s="47" t="inlineStr">
        <is>
          <t>9000</t>
        </is>
      </c>
      <c r="B7" s="47" t="inlineStr">
        <is>
          <t>9000-5</t>
        </is>
      </c>
      <c r="C7" s="47" t="inlineStr">
        <is>
          <t>사전토공사</t>
        </is>
      </c>
      <c r="D7" s="85" t="n">
        <v>2593350</v>
      </c>
      <c r="E7" s="47" t="inlineStr">
        <is>
          <t>9000-5-7</t>
        </is>
      </c>
      <c r="F7" s="85" t="inlineStr">
        <is>
          <t>9000-5-9</t>
        </is>
      </c>
      <c r="G7" s="47" t="inlineStr">
        <is>
          <t>D-40</t>
        </is>
      </c>
      <c r="H7" s="36" t="inlineStr">
        <is>
          <t>착수전 Big Room 회의</t>
        </is>
      </c>
      <c r="I7" s="47" t="inlineStr">
        <is>
          <t>현장소장</t>
        </is>
      </c>
      <c r="J7" s="49" t="inlineStr">
        <is>
          <t>현장 통합 관리 지침 | 발주처·감리·지자체·시공사 4자 빅룸 회의 | 사전 토공 마일스톤 서명 결재</t>
        </is>
      </c>
      <c r="K7" s="49" t="inlineStr">
        <is>
          <t>1) 4자(발주·감리·지자체·시공) 빅룸 결성 ➔ 2) 사전 토공 마일스톤 연동 ➔ 3) 간섭 리스크 즉시 해소 ➔ 4) 빅룸 회의록 4자 서명 완수</t>
        </is>
      </c>
      <c r="L7" s="49" t="n"/>
      <c r="M7" s="49" t="inlineStr">
        <is>
          <t>4자(발주·감리·지자체·시공) 빅룸 회의 결성, 사전 토공 마일스톤 연동 및 간섭 리스크 서명</t>
        </is>
      </c>
      <c r="N7" s="49" t="inlineStr">
        <is>
          <t>현장 통합 관리 지침 | 발주처·감리·지자체·시공사 4자 빅룸 회의 | 사전 토공 마일스톤 서명 결재</t>
        </is>
      </c>
      <c r="O7" s="75">
        <f>HYPERLINK(LEFT(CELL("filename",A1),FIND("[",CELL("filename",A1))-1)&amp;"2.사전토공사\6_자재발주 요청\표준서\자재발주 요청_표준서.html", "👉 [클릭] 표준서 열기 📄")</f>
        <v/>
      </c>
      <c r="P7" s="49" t="inlineStr">
        <is>
          <t>1) 4자(발주·감리·지자체·시공) 빅룸 결성 ➔ 2) 사전 토공 마일스톤 연동 ➔ 3) 간섭 리스크 즉시 해소 ➔ 4) 빅룸 회의록 4자 서명 완수</t>
        </is>
      </c>
      <c r="Q7" s="76">
        <f>HYPERLINK(LEFT(CELL("filename",A1),FIND("[",CELL("filename",A1))-1)&amp;"2.사전토공사\6_자재발주 요청\수행지침\착수전 Big Room 회의_수행지침.html", "👉 [클릭] 수행지침 열기 📄")</f>
        <v/>
      </c>
      <c r="R7" s="49" t="inlineStr">
        <is>
          <t>4자(발주·감리·지자체·시공) 빅룸 회의 결성, 사전 토공 마일스톤 연동 및 간섭 리스크 서명</t>
        </is>
      </c>
      <c r="S7" s="83">
        <f>HYPERLINK(LEFT(CELL("filename",A1),FIND("[",CELL("filename",A1))-1)&amp;"2.사전토공사\6_자재발주 요청\체크리스트\착수전 Big Room 회의_체크리스트.html", "👉 [클릭] 체크리스트 열기 📄")</f>
        <v/>
      </c>
      <c r="T7" s="47" t="n"/>
      <c r="U7" s="69" t="inlineStr">
        <is>
          <t>● 본사 유관부서(견적/엔지니어링/공정/품질/안전) 조율</t>
        </is>
      </c>
      <c r="V7" s="69" t="inlineStr">
        <is>
          <t>1) 👉 [더블클릭] 체크리스트 열기 📄</t>
        </is>
      </c>
      <c r="W7" s="49" t="n"/>
    </row>
    <row r="8" ht="96" customHeight="1">
      <c r="A8" s="47" t="inlineStr">
        <is>
          <t>9000</t>
        </is>
      </c>
      <c r="B8" s="47" t="inlineStr">
        <is>
          <t>9000-5</t>
        </is>
      </c>
      <c r="C8" s="47" t="inlineStr">
        <is>
          <t>사전토공사</t>
        </is>
      </c>
      <c r="D8" s="85" t="n">
        <v>2593348</v>
      </c>
      <c r="E8" s="47" t="inlineStr">
        <is>
          <t>9000-5-5</t>
        </is>
      </c>
      <c r="F8" s="85" t="inlineStr">
        <is>
          <t>9000-5-7</t>
        </is>
      </c>
      <c r="G8" s="47" t="inlineStr">
        <is>
          <t>D-65 (D-65~D-55)</t>
        </is>
      </c>
      <c r="H8" s="36" t="inlineStr">
        <is>
          <t>자재발주 요청</t>
        </is>
      </c>
      <c r="I8" s="47" t="inlineStr">
        <is>
          <t>현장 공무팀</t>
        </is>
      </c>
      <c r="J8" s="49" t="inlineStr">
        <is>
          <t>KCS 47 10 25 자재 시방 | 굴착 장비, 가설 펜스 및 배수관 자재 발주 승인 | 공인시험기관 성적표 수속</t>
        </is>
      </c>
      <c r="K8" s="49" t="inlineStr">
        <is>
          <t>1) 굴착 장비 및 가설 펜스 자재 선정 ➔ 2) 공인시험기관 시험성적서 검수 ➔ 3) 자재 발주 신청서 제출 ➔ 4) 자재 반입 검수 통보서 결재</t>
        </is>
      </c>
      <c r="L8" s="49" t="n"/>
      <c r="M8" s="49" t="inlineStr">
        <is>
          <t>KCS 47 10 25 굴착 장비/가설재 자재 승인, 공인시험기관 시험성적서 검수 및 자재 반입 통보</t>
        </is>
      </c>
      <c r="N8" s="49" t="inlineStr">
        <is>
          <t>KCS 47 10 25 자재 시방 | 굴착 장비, 가설 펜스 및 배수관 자재 발주 승인 | 공인시험기관 성적표 수속</t>
        </is>
      </c>
      <c r="O8" s="75">
        <f>HYPERLINK(LEFT(CELL("filename",A1),FIND("[",CELL("filename",A1))-1)&amp;"2.사전토공사\7_용지 사용 Risk 검토\표준서\용지 사용 Risk 검토_표준서.html", "👉 [클릭] 표준서 열기 📄")</f>
        <v/>
      </c>
      <c r="P8" s="49" t="inlineStr">
        <is>
          <t>1) 굴착 장비 및 가설 펜스 자재 선정 ➔ 2) 공인시험기관 시험성적서 검수 ➔ 3) 자재 발주 신청서 제출 ➔ 4) 자재 반입 검수 통보서 결재</t>
        </is>
      </c>
      <c r="Q8" s="76">
        <f>HYPERLINK(LEFT(CELL("filename",A1),FIND("[",CELL("filename",A1))-1)&amp;"2.사전토공사\7_용지 사용 Risk 검토\수행지침\용지 사용 Risk 검토_수행지침.html", "👉 [클릭] 수행지침 열기 📄")</f>
        <v/>
      </c>
      <c r="R8" s="49" t="inlineStr">
        <is>
          <t>KCS 47 10 25 굴착 장비/가설재 자재 승인, 공인시험기관 시험성적서 검수 및 자재 반입 통보</t>
        </is>
      </c>
      <c r="S8" s="83">
        <f>HYPERLINK(LEFT(CELL("filename",A1),FIND("[",CELL("filename",A1))-1)&amp;"2.사전토공사\7_용지 사용 Risk 검토\체크리스트\용지 사용 Risk 검토_체크리스트.html", "👉 [클릭] 체크리스트 열기 📄")</f>
        <v/>
      </c>
      <c r="T8" s="47" t="n"/>
      <c r="U8" s="69" t="inlineStr">
        <is>
          <t>● 관련분야 설계기준서 준수</t>
        </is>
      </c>
      <c r="V8" s="69" t="inlineStr">
        <is>
          <t>1) 👉 [더블클릭] 체크리스트 열기 📄</t>
        </is>
      </c>
      <c r="W8" s="49" t="n"/>
    </row>
    <row r="9" ht="115.2" customHeight="1">
      <c r="A9" s="47" t="inlineStr">
        <is>
          <t>9000</t>
        </is>
      </c>
      <c r="B9" s="47" t="inlineStr">
        <is>
          <t>9000-5</t>
        </is>
      </c>
      <c r="C9" s="47" t="inlineStr">
        <is>
          <t>사전토공사</t>
        </is>
      </c>
      <c r="D9" s="85" t="n">
        <v>2593349</v>
      </c>
      <c r="E9" s="47" t="inlineStr">
        <is>
          <t>9000-5-6</t>
        </is>
      </c>
      <c r="F9" s="85" t="inlineStr">
        <is>
          <t>9000-5-8</t>
        </is>
      </c>
      <c r="G9" s="47" t="inlineStr">
        <is>
          <t>D-40 (D-60~D-40)</t>
        </is>
      </c>
      <c r="H9" s="36" t="inlineStr">
        <is>
          <t>용지 사용 Risk 검토</t>
        </is>
      </c>
      <c r="I9" s="47" t="inlineStr">
        <is>
          <t>토목계약관리팀</t>
        </is>
      </c>
      <c r="J9" s="49" t="inlineStr">
        <is>
          <t>토지보상법 준수 | 미보상 사유지 경계 현출 및 가설 펜스(H=1.8m) 차단 | 3D 우회 토공 동선 마일스톤 연동</t>
        </is>
      </c>
      <c r="K9" s="49" t="inlineStr">
        <is>
          <t>1) 미보상 사유지 경계 현출 ➔ 2) 가설 펜스(H=1.8m) 차단 ➔ 3) 3D 우회 토공 동선 수립 ➔ 4) 용지 보상 리스크 대책 감리 승인</t>
        </is>
      </c>
      <c r="L9" s="49" t="n"/>
      <c r="M9" s="49" t="inlineStr">
        <is>
          <t>미보상 사유지 경계 현출, 가설 펜스(H=1.8m) 차단 및 3D 우회 토공 동선 마일스톤 연동</t>
        </is>
      </c>
      <c r="N9" s="49" t="inlineStr">
        <is>
          <t>토지보상법 준수 | 미보상 사유지 경계 현출 및 가설 펜스(H=1.8m) 차단 | 3D 우회 토공 동선 마일스톤 연동</t>
        </is>
      </c>
      <c r="O9" s="75">
        <f>HYPERLINK(LEFT(CELL("filename",A1),FIND("[",CELL("filename",A1))-1)&amp;"2.사전토공사\8_착수전 Big Room 회의\표준서\착수전 Big Room 회의_표준서.html", "👉 [클릭] 표준서 열기 📄")</f>
        <v/>
      </c>
      <c r="P9" s="49" t="inlineStr">
        <is>
          <t>1) 미보상 사유지 경계 현출 ➔ 2) 가설 펜스(H=1.8m) 차단 ➔ 3) 3D 우회 토공 동선 수립 ➔ 4) 용지 보상 리스크 대책 감리 승인</t>
        </is>
      </c>
      <c r="Q9" s="76">
        <f>HYPERLINK(LEFT(CELL("filename",A1),FIND("[",CELL("filename",A1))-1)&amp;"2.사전토공사\8_착수전 Big Room 회의\수행지침\착수전 Big Room 회의_수행지침.html", "👉 [클릭] 수행지침 열기 📄")</f>
        <v/>
      </c>
      <c r="R9" s="49" t="inlineStr">
        <is>
          <t>미보상 사유지 경계 현출, 가설 펜스(H=1.8m) 차단 및 3D 우회 토공 동선 마일스톤 연동</t>
        </is>
      </c>
      <c r="S9" s="83">
        <f>HYPERLINK(LEFT(CELL("filename",A1),FIND("[",CELL("filename",A1))-1)&amp;"2.사전토공사\8_착수전 Big Room 회의\체크리스트\착수전 Big Room 회의_체크리스트.html", "👉 [클릭] 체크리스트 열기 📄")</f>
        <v/>
      </c>
      <c r="T9" s="47" t="n"/>
      <c r="U9" s="69" t="inlineStr">
        <is>
          <t>● 계약 리스크 방지 및 현장 부지 확보 요건 검토</t>
        </is>
      </c>
      <c r="V9" s="69" t="inlineStr">
        <is>
          <t>1) 👉 [더블클릭] 체크리스트 열기 📄</t>
        </is>
      </c>
      <c r="W9" s="49" t="n"/>
    </row>
    <row r="10" ht="115.2" customHeight="1">
      <c r="A10" s="47" t="inlineStr">
        <is>
          <t>9000</t>
        </is>
      </c>
      <c r="B10" s="47" t="inlineStr">
        <is>
          <t>9000-5</t>
        </is>
      </c>
      <c r="C10" s="47" t="inlineStr">
        <is>
          <t>사전토공사</t>
        </is>
      </c>
      <c r="D10" s="85" t="n">
        <v>2593351</v>
      </c>
      <c r="E10" s="47" t="inlineStr">
        <is>
          <t>9000-5-8</t>
        </is>
      </c>
      <c r="F10" s="85" t="inlineStr">
        <is>
          <t>9000-5-10</t>
        </is>
      </c>
      <c r="G10" s="47" t="inlineStr">
        <is>
          <t>D-30</t>
        </is>
      </c>
      <c r="H10" s="36" t="inlineStr">
        <is>
          <t>인허가 절차 진행</t>
        </is>
      </c>
      <c r="I10" s="47" t="inlineStr">
        <is>
          <t>현장 공무팀</t>
        </is>
      </c>
      <c r="J10" s="49" t="inlineStr">
        <is>
          <t>도로법 및 환경영향평가법 | 지자체 도로점용 허가 및 비산먼지 발생신고 수속 | 법정 인허가 필증 수속</t>
        </is>
      </c>
      <c r="K10" s="49" t="inlineStr">
        <is>
          <t>1) 지자체 도로/하천점용 허가서 작성 ➔ 2) 관련 부서 서류 제출 &amp; 심의 ➔ 3) 보증보험 증권 부착 ➔ 4) 법정 인허가 필증 감리 수속</t>
        </is>
      </c>
      <c r="L10" s="49" t="n"/>
      <c r="M10" s="49" t="inlineStr">
        <is>
          <t>지자체 도로/하천점용 허가서 접수, 비산먼지 발생사업 신고 필증 수속 및 보증보험 제출</t>
        </is>
      </c>
      <c r="N10" s="49" t="inlineStr">
        <is>
          <t>도로법 및 환경영향평가법 | 지자체 도로점용 허가 및 비산먼지 발생신고 수속 | 법정 인허가 필증 수속</t>
        </is>
      </c>
      <c r="O10" s="75">
        <f>HYPERLINK(LEFT(CELL("filename",A1),FIND("[",CELL("filename",A1))-1)&amp;"2.사전토공사\9_인허가 절차 진행\표준서\인허가 절차 진행_표준서.html", "👉 [클릭] 표준서 열기 📄")</f>
        <v/>
      </c>
      <c r="P10" s="49" t="inlineStr">
        <is>
          <t>1) 지자체 도로/하천점용 허가서 작성 ➔ 2) 관련 부서 서류 제출 &amp; 심의 ➔ 3) 보증보험 증권 부착 ➔ 4) 법정 인허가 필증 감리 수속</t>
        </is>
      </c>
      <c r="Q10" s="76">
        <f>HYPERLINK(LEFT(CELL("filename",A1),FIND("[",CELL("filename",A1))-1)&amp;"2.사전토공사\9_인허가 절차 진행\수행지침\인허가 절차 진행_수행지침.html", "👉 [클릭] 수행지침 열기 📄")</f>
        <v/>
      </c>
      <c r="R10" s="49" t="inlineStr">
        <is>
          <t>지자체 도로/하천점용 허가서 접수, 비산먼지 발생사업 신고 필증 수속 및 보증보험 제출</t>
        </is>
      </c>
      <c r="S10" s="83">
        <f>HYPERLINK(LEFT(CELL("filename",A1),FIND("[",CELL("filename",A1))-1)&amp;"2.사전토공사\9_인허가 절차 진행\체크리스트\인허가 절차 진행_체크리스트.html", "👉 [클릭] 체크리스트 열기 📄")</f>
        <v/>
      </c>
      <c r="T10" s="47" t="n"/>
      <c r="U10" s="69" t="inlineStr">
        <is>
          <t>● 관련 인허가 법령 검토</t>
        </is>
      </c>
      <c r="V10" s="69" t="inlineStr">
        <is>
          <t>1) 👉 [더블클릭] 체크리스트 열기 📄</t>
        </is>
      </c>
      <c r="W10" s="49" t="n"/>
    </row>
    <row r="11" ht="96" customHeight="1">
      <c r="A11" s="47" t="inlineStr">
        <is>
          <t>9000</t>
        </is>
      </c>
      <c r="B11" s="47" t="inlineStr">
        <is>
          <t>9000-5</t>
        </is>
      </c>
      <c r="C11" s="47" t="inlineStr">
        <is>
          <t>사전토공사</t>
        </is>
      </c>
      <c r="D11" s="85" t="n">
        <v>2593352</v>
      </c>
      <c r="E11" s="47" t="inlineStr">
        <is>
          <t>9000-5-9</t>
        </is>
      </c>
      <c r="F11" s="85" t="inlineStr">
        <is>
          <t>9000-5-11</t>
        </is>
      </c>
      <c r="G11" s="47" t="inlineStr">
        <is>
          <t>D-30</t>
        </is>
      </c>
      <c r="H11" s="36" t="inlineStr">
        <is>
          <t>교통처리대책 협의 및 승인</t>
        </is>
      </c>
      <c r="I11" s="47" t="inlineStr">
        <is>
          <t>현장 공무팀</t>
        </is>
      </c>
      <c r="J11" s="49" t="inlineStr">
        <is>
          <t>도로교통법 안전 수칙 | 경찰서 차선 점용 허가 및 가설 둔차선 도로 복구 이행 보증보험 | 교통대책 감리 승인</t>
        </is>
      </c>
      <c r="K11" s="49" t="inlineStr">
        <is>
          <t>1) 경찰서 차선 점용 허가증 수령 ➔ 2) 도로 복구 보증보험 증권 제출 ➔ 3) 전담 신호수 &amp; LED 경광등 배치 ➔ 4) 교통대책서 감리 서면 승인</t>
        </is>
      </c>
      <c r="L11" s="49" t="n"/>
      <c r="M11" s="49" t="inlineStr">
        <is>
          <t>동탄경찰서 차선 점용 허가, 도로 복구 이행 보증보험 제출 및 전담 신호수(2인 2조) 100% 배치</t>
        </is>
      </c>
      <c r="N11" s="49" t="inlineStr">
        <is>
          <t>도로교통법 안전 수칙 | 경찰서 차선 점용 허가 및 가설 둔차선 도로 복구 이행 보증보험 | 교통대책 감리 승인</t>
        </is>
      </c>
      <c r="O11" s="75">
        <f>HYPERLINK(LEFT(CELL("filename",A1),FIND("[",CELL("filename",A1))-1)&amp;"2.사전토공사\10_교통처리대책 협의 및 승인\표준서\교통처리대책 협의 및 승인_표준서.html", "👉 [클릭] 표준서 열기 📄")</f>
        <v/>
      </c>
      <c r="P11" s="49" t="inlineStr">
        <is>
          <t>1) 경찰서 차선 점용 허가증 수령 ➔ 2) 도로 복구 보증보험 증권 제출 ➔ 3) 전담 신호수 &amp; LED 경광등 배치 ➔ 4) 교통대책서 감리 서면 승인</t>
        </is>
      </c>
      <c r="Q11" s="76">
        <f>HYPERLINK(LEFT(CELL("filename",A1),FIND("[",CELL("filename",A1))-1)&amp;"2.사전토공사\10_교통처리대책 협의 및 승인\수행지침\교통처리대책 협의 및 승인_수행지침.html", "👉 [클릭] 수행지침 열기 📄")</f>
        <v/>
      </c>
      <c r="R11" s="49" t="inlineStr">
        <is>
          <t>동탄경찰서 차선 점용 허가, 도로 복구 이행 보증보험 제출 및 전담 신호수(2인 2조) 100% 배치</t>
        </is>
      </c>
      <c r="S11" s="83">
        <f>HYPERLINK(LEFT(CELL("filename",A1),FIND("[",CELL("filename",A1))-1)&amp;"2.사전토공사\10_교통처리대책 협의 및 승인\체크리스트\교통처리대책 협의 및 승인_체크리스트.html", "👉 [클릭] 체크리스트 열기 📄")</f>
        <v/>
      </c>
      <c r="T11" s="47" t="n"/>
      <c r="U11" s="69" t="inlineStr">
        <is>
          <t>● 사토/토취장 인허가 요건 준수</t>
        </is>
      </c>
      <c r="V11" s="69" t="inlineStr">
        <is>
          <t>1) 👉 [더블클릭] 체크리스트 열기 📄</t>
        </is>
      </c>
      <c r="W11" s="49" t="n"/>
    </row>
    <row r="12" ht="115.2" customHeight="1">
      <c r="A12" s="47" t="inlineStr">
        <is>
          <t>9000</t>
        </is>
      </c>
      <c r="B12" s="47" t="inlineStr">
        <is>
          <t>9000-5</t>
        </is>
      </c>
      <c r="C12" s="47" t="inlineStr">
        <is>
          <t>사전토공사</t>
        </is>
      </c>
      <c r="D12" s="85" t="n">
        <v>2593353</v>
      </c>
      <c r="E12" s="47" t="inlineStr">
        <is>
          <t>9000-5-10</t>
        </is>
      </c>
      <c r="F12" s="85" t="inlineStr">
        <is>
          <t>9000-5-12</t>
        </is>
      </c>
      <c r="G12" s="47" t="inlineStr">
        <is>
          <t>D-30</t>
        </is>
      </c>
      <c r="H12" s="36" t="inlineStr">
        <is>
          <t>지장물 검토 및 협의</t>
        </is>
      </c>
      <c r="I12" s="47" t="inlineStr">
        <is>
          <t>현장 공무팀/공사팀</t>
        </is>
      </c>
      <c r="J12" s="49" t="inlineStr">
        <is>
          <t>지하안전관리에 관한 특별법 | GPR 3D 관로 탐사 &amp; 인력 시탐 줄파기(깊이 1.5m) | 점용기관 현장 입회 이설 방호</t>
        </is>
      </c>
      <c r="K12" s="49" t="inlineStr">
        <is>
          <t>1) GPR 3D 지중 관로 탐사 ➔ 2) 인력 시탐 줄파기(깊이 1.5m) ➔ 3) 관할 점용기관 1:1 현장 입회 ➔ 4) 매달기 방호 &amp; 지장물 서면 승인</t>
        </is>
      </c>
      <c r="L12" s="49" t="n"/>
      <c r="M12" s="49" t="inlineStr">
        <is>
          <t>GPR 3D 관로 탐사, 인력 시탐 줄파기(폭 0.5m, 깊이 1.5m) 및 점용기관 1:1 현장 입회 매달기 방호</t>
        </is>
      </c>
      <c r="N12" s="49" t="inlineStr">
        <is>
          <t>지하안전관리에 관한 특별법 | GPR 3D 관로 탐사 &amp; 인력 시탐 줄파기(깊이 1.5m) | 점용기관 현장 입회 이설 방호</t>
        </is>
      </c>
      <c r="O12" s="75">
        <f>HYPERLINK(LEFT(CELL("filename",A1),FIND("[",CELL("filename",A1))-1)&amp;"2.사전토공사\11_지장물 검토 및 협의\표준서\지장물 검토 및 협의_표준서.html", "👉 [클릭] 표준서 열기 📄")</f>
        <v/>
      </c>
      <c r="P12" s="49" t="inlineStr">
        <is>
          <t>1) GPR 3D 지중 관로 탐사 ➔ 2) 인력 시탐 줄파기(깊이 1.5m) ➔ 3) 관할 점용기관 1:1 현장 입회 ➔ 4) 매달기 방호 &amp; 지장물 서면 승인</t>
        </is>
      </c>
      <c r="Q12" s="76">
        <f>HYPERLINK(LEFT(CELL("filename",A1),FIND("[",CELL("filename",A1))-1)&amp;"2.사전토공사\11_지장물 검토 및 협의\수행지침\지장물 검토 및 협의_수행지침.html", "👉 [클릭] 수행지침 열기 📄")</f>
        <v/>
      </c>
      <c r="R12" s="49" t="inlineStr">
        <is>
          <t>GPR 3D 관로 탐사, 인력 시탐 줄파기(폭 0.5m, 깊이 1.5m) 및 점용기관 1:1 현장 입회 매달기 방호</t>
        </is>
      </c>
      <c r="S12" s="83">
        <f>HYPERLINK(LEFT(CELL("filename",A1),FIND("[",CELL("filename",A1))-1)&amp;"2.사전토공사\11_지장물 검토 및 협의\체크리스트\지장물 검토 및 협의_체크리스트.html", "👉 [클릭] 체크리스트 열기 📄")</f>
        <v/>
      </c>
      <c r="T12" s="47" t="n"/>
      <c r="U12" s="69" t="inlineStr">
        <is>
          <t>● 도로점용 및 지장물 이설 규정 준수</t>
        </is>
      </c>
      <c r="V12" s="69" t="inlineStr">
        <is>
          <t>1) 👉 [더블클릭] 체크리스트 열기 📄</t>
        </is>
      </c>
      <c r="W12" s="49" t="n"/>
    </row>
    <row r="13" ht="96" customHeight="1">
      <c r="A13" s="47" t="inlineStr">
        <is>
          <t>9000</t>
        </is>
      </c>
      <c r="B13" s="47" t="inlineStr">
        <is>
          <t>9000-5</t>
        </is>
      </c>
      <c r="C13" s="47" t="inlineStr">
        <is>
          <t>사전토공사</t>
        </is>
      </c>
      <c r="D13" s="85" t="n">
        <v>2593354</v>
      </c>
      <c r="E13" s="47" t="inlineStr">
        <is>
          <t>9000-5-11</t>
        </is>
      </c>
      <c r="F13" s="85" t="inlineStr">
        <is>
          <t>9000-5-13</t>
        </is>
      </c>
      <c r="G13" s="47" t="inlineStr">
        <is>
          <t>D-30</t>
        </is>
      </c>
      <c r="H13" s="36" t="inlineStr">
        <is>
          <t>기공승낙 적정성 검토</t>
        </is>
      </c>
      <c r="I13" s="47" t="inlineStr">
        <is>
          <t>현장 공무팀</t>
        </is>
      </c>
      <c r="J13" s="49" t="inlineStr">
        <is>
          <t>국유재산법 및 공유재산법 | 토지 기공승낙서 인허가 확인 및 진입로 점용 범위 실측 | 토지 사용 승인서 결재</t>
        </is>
      </c>
      <c r="K13" s="49" t="inlineStr">
        <is>
          <t>1) 국유지/공유지 기공승낙서 수속 ➔ 2) 진입 도로 점용 범위 실측 ➔ 3) 토지 소유주 사용 협의 ➔ 4) 기공승낙서 감리 서면 승인</t>
        </is>
      </c>
      <c r="L13" s="49" t="n"/>
      <c r="M13" s="49" t="inlineStr">
        <is>
          <t>국유지/공유지 기공승낙서 인허가 검증, 진입 도로 점용 범위 실측 및 토지 사용 승인서 결재</t>
        </is>
      </c>
      <c r="N13" s="49" t="inlineStr">
        <is>
          <t>국유재산법 및 공유재산법 | 토지 기공승낙서 인허가 확인 및 진입로 점용 범위 실측 | 토지 사용 승인서 결재</t>
        </is>
      </c>
      <c r="O13" s="75">
        <f>HYPERLINK(LEFT(CELL("filename",A1),FIND("[",CELL("filename",A1))-1)&amp;"2.사전토공사\12_기공승낙 적정성 검토\표준서\기공승낙 적정성 검토_표준서.html", "👉 [클릭] 표준서 열기 📄")</f>
        <v/>
      </c>
      <c r="P13" s="49" t="inlineStr">
        <is>
          <t>1) 국유지/공유지 기공승낙서 수속 ➔ 2) 진입 도로 점용 범위 실측 ➔ 3) 토지 소유주 사용 협의 ➔ 4) 기공승낙서 감리 서면 승인</t>
        </is>
      </c>
      <c r="Q13" s="76">
        <f>HYPERLINK(LEFT(CELL("filename",A1),FIND("[",CELL("filename",A1))-1)&amp;"2.사전토공사\12_기공승낙 적정성 검토\수행지침\기공승낙 적정성 검토_수행지침.html", "👉 [클릭] 수행지침 열기 📄")</f>
        <v/>
      </c>
      <c r="R13" s="49" t="inlineStr">
        <is>
          <t>국유지/공유지 기공승낙서 인허가 검증, 진입 도로 점용 범위 실측 및 토지 사용 승인서 결재</t>
        </is>
      </c>
      <c r="S13" s="83">
        <f>HYPERLINK(LEFT(CELL("filename",A1),FIND("[",CELL("filename",A1))-1)&amp;"2.사전토공사\12_기공승낙 적정성 검토\체크리스트\기공승낙 적정성 검토_체크리스트.html", "👉 [클릭] 체크리스트 열기 📄")</f>
        <v/>
      </c>
      <c r="T13" s="47" t="n"/>
      <c r="U13" s="69" t="inlineStr">
        <is>
          <t>● 용지 취득 및 기공승낙 법적 검토</t>
        </is>
      </c>
      <c r="V13" s="69" t="inlineStr">
        <is>
          <t>1) 👉 [더블클릭] 체크리스트 열기 📄</t>
        </is>
      </c>
      <c r="W13" s="49" t="n"/>
    </row>
    <row r="14" ht="96" customHeight="1">
      <c r="A14" s="47" t="inlineStr">
        <is>
          <t>9000</t>
        </is>
      </c>
      <c r="B14" s="47" t="inlineStr">
        <is>
          <t>9000-5</t>
        </is>
      </c>
      <c r="C14" s="47" t="inlineStr">
        <is>
          <t>사전토공사</t>
        </is>
      </c>
      <c r="D14" s="85" t="n">
        <v>2593355</v>
      </c>
      <c r="E14" s="47" t="inlineStr">
        <is>
          <t>9000-5-12</t>
        </is>
      </c>
      <c r="F14" s="85" t="inlineStr">
        <is>
          <t>9000-5-14</t>
        </is>
      </c>
      <c r="G14" s="47" t="inlineStr">
        <is>
          <t>D-30</t>
        </is>
      </c>
      <c r="H14" s="36" t="inlineStr">
        <is>
          <t>민원 저감 대책 수립</t>
        </is>
      </c>
      <c r="I14" s="47" t="inlineStr">
        <is>
          <t>현장 안전팀/공무팀</t>
        </is>
      </c>
      <c r="J14" s="49" t="inlineStr">
        <is>
          <t>소음진동관리법 준수 | 야간 공사 소음 방음벽(H=3m) 및 세륜기(깊이 1.2m) 가동 | 단수/단전 주민 사전 안내</t>
        </is>
      </c>
      <c r="K14" s="49" t="inlineStr">
        <is>
          <t>1) 야간 공사 소음 방음벽(H=3m) 설치 ➔ 2) 세륜기 가동 &amp; 분무 살수 ➔ 3) 단수/단전 사전 주민 공지 ➔ 4) 민원 대응반 서면 승인</t>
        </is>
      </c>
      <c r="L14" s="49" t="n"/>
      <c r="M14" s="49" t="inlineStr">
        <is>
          <t>야간 공사 소음 방음벽(H=3m) 가동, 세륜기(깊이 1.2m) 가동 및 단수/단전 주민 사전 고지</t>
        </is>
      </c>
      <c r="N14" s="49" t="inlineStr">
        <is>
          <t>소음진동관리법 준수 | 야간 공사 소음 방음벽(H=3m) 및 세륜기(깊이 1.2m) 가동 | 단수/단전 주민 사전 안내</t>
        </is>
      </c>
      <c r="O14" s="75">
        <f>HYPERLINK(LEFT(CELL("filename",A1),FIND("[",CELL("filename",A1))-1)&amp;"2.사전토공사\13_민원 저감 대책 수립\표준서\민원 저감 대책 수립_표준서.html", "👉 [클릭] 표준서 열기 📄")</f>
        <v/>
      </c>
      <c r="P14" s="49" t="inlineStr">
        <is>
          <t>1) 야간 공사 소음 방음벽(H=3m) 설치 ➔ 2) 세륜기 가동 &amp; 분무 살수 ➔ 3) 단수/단전 사전 주민 공지 ➔ 4) 민원 대응반 서면 승인</t>
        </is>
      </c>
      <c r="Q14" s="76">
        <f>HYPERLINK(LEFT(CELL("filename",A1),FIND("[",CELL("filename",A1))-1)&amp;"2.사전토공사\13_민원 저감 대책 수립\수행지침\민원 저감 대책 수립_수행지침.html", "👉 [클릭] 수행지침 열기 📄")</f>
        <v/>
      </c>
      <c r="R14" s="49" t="inlineStr">
        <is>
          <t>야간 공사 소음 방음벽(H=3m) 가동, 세륜기(깊이 1.2m) 가동 및 단수/단전 주민 사전 고지</t>
        </is>
      </c>
      <c r="S14" s="83">
        <f>HYPERLINK(LEFT(CELL("filename",A1),FIND("[",CELL("filename",A1))-1)&amp;"2.사전토공사\13_민원 저감 대책 수립\체크리스트\민원 저감 대책 수립_체크리스트.html", "👉 [클릭] 체크리스트 열기 📄")</f>
        <v/>
      </c>
      <c r="T14" s="47" t="n"/>
      <c r="U14" s="69" t="inlineStr">
        <is>
          <t>● 민원 관리 지침 준수</t>
        </is>
      </c>
      <c r="V14" s="69" t="inlineStr">
        <is>
          <t>1) 👉 [더블클릭] 체크리스트 열기 📄</t>
        </is>
      </c>
      <c r="W14" s="49" t="n"/>
    </row>
    <row r="15" ht="96" customHeight="1">
      <c r="A15" s="47" t="inlineStr">
        <is>
          <t>9000</t>
        </is>
      </c>
      <c r="B15" s="47" t="inlineStr">
        <is>
          <t>9000-5</t>
        </is>
      </c>
      <c r="C15" s="47" t="inlineStr">
        <is>
          <t>사전토공사</t>
        </is>
      </c>
      <c r="D15" s="85" t="n">
        <v>2593356</v>
      </c>
      <c r="E15" s="47" t="inlineStr">
        <is>
          <t>9000-5-13</t>
        </is>
      </c>
      <c r="F15" s="85" t="inlineStr">
        <is>
          <t>9000-5-15</t>
        </is>
      </c>
      <c r="G15" s="47" t="inlineStr">
        <is>
          <t>D-30</t>
        </is>
      </c>
      <c r="H15" s="36" t="inlineStr">
        <is>
          <t>용지보상 Risk 파악</t>
        </is>
      </c>
      <c r="I15" s="47" t="inlineStr">
        <is>
          <t>현장 공무팀</t>
        </is>
      </c>
      <c r="J15" s="49" t="inlineStr">
        <is>
          <t>토지보상법 준수 | 지장물 이설 부지 용지보상 현황 및 점용 경계 실측 | 미보상 사유지 가설 펜스 차단</t>
        </is>
      </c>
      <c r="K15" s="49" t="inlineStr">
        <is>
          <t>1) 미보상 필지 현출 &amp; 지적 대조 ➔ 2) 가설 펜스(H=1.8m) 차단 ➔ 3) 우회 토공 동선 수립 ➔ 4) 용지 보상 대책서 감리 승인</t>
        </is>
      </c>
      <c r="L15" s="49" t="n"/>
      <c r="M15" s="49" t="inlineStr">
        <is>
          <t>미보상 필지 지적 대조, 경계 가설 펜스(H=1.8m) 차단 및 우회 토공 동선 서면 승인</t>
        </is>
      </c>
      <c r="N15" s="49" t="inlineStr">
        <is>
          <t>토지보상법 준수 | 지장물 이설 부지 용지보상 현황 및 점용 경계 실측 | 미보상 사유지 가설 펜스 차단</t>
        </is>
      </c>
      <c r="O15" s="75">
        <f>HYPERLINK(LEFT(CELL("filename",A1),FIND("[",CELL("filename",A1))-1)&amp;"2.사전토공사\14_용지보상 Risk 파악\표준서\용지보상 Risk 파악_표준서.html", "👉 [클릭] 표준서 열기 📄")</f>
        <v/>
      </c>
      <c r="P15" s="49" t="inlineStr">
        <is>
          <t>1) 미보상 필지 현출 &amp; 지적 대조 ➔ 2) 가설 펜스(H=1.8m) 차단 ➔ 3) 우회 토공 동선 수립 ➔ 4) 용지 보상 대책서 감리 승인</t>
        </is>
      </c>
      <c r="Q15" s="76">
        <f>HYPERLINK(LEFT(CELL("filename",A1),FIND("[",CELL("filename",A1))-1)&amp;"2.사전토공사\14_용지보상 Risk 파악\수행지침\용지보상 Risk 파악_수행지침.html", "👉 [클릭] 수행지침 열기 📄")</f>
        <v/>
      </c>
      <c r="R15" s="49" t="inlineStr">
        <is>
          <t>미보상 필지 지적 대조, 경계 가설 펜스(H=1.8m) 차단 및 우회 토공 동선 서면 승인</t>
        </is>
      </c>
      <c r="S15" s="83">
        <f>HYPERLINK(LEFT(CELL("filename",A1),FIND("[",CELL("filename",A1))-1)&amp;"2.사전토공사\14_용지보상 Risk 파악\체크리스트\용지보상 Risk 파악_체크리스트.html", "👉 [클릭] 체크리스트 열기 📄")</f>
        <v/>
      </c>
      <c r="T15" s="47" t="n"/>
      <c r="U15" s="69" t="inlineStr">
        <is>
          <t>● 토지보상법 및 공정 영향 분석</t>
        </is>
      </c>
      <c r="V15" s="69" t="inlineStr">
        <is>
          <t>1) 👉 [더블클릭] 체크리스트 열기 📄</t>
        </is>
      </c>
      <c r="W15" s="49" t="n"/>
    </row>
    <row r="16" ht="96" customHeight="1">
      <c r="A16" s="47" t="inlineStr">
        <is>
          <t>9000</t>
        </is>
      </c>
      <c r="B16" s="47" t="inlineStr">
        <is>
          <t>9000-5</t>
        </is>
      </c>
      <c r="C16" s="47" t="inlineStr">
        <is>
          <t>사전토공사</t>
        </is>
      </c>
      <c r="D16" s="85" t="n">
        <v>2593357</v>
      </c>
      <c r="E16" s="47" t="inlineStr">
        <is>
          <t>9000-5-14</t>
        </is>
      </c>
      <c r="F16" s="85" t="inlineStr">
        <is>
          <t>9000-5-16</t>
        </is>
      </c>
      <c r="G16" s="47" t="inlineStr">
        <is>
          <t>D-30</t>
        </is>
      </c>
      <c r="H16" s="36" t="inlineStr">
        <is>
          <t>시공계획서 검토 지원</t>
        </is>
      </c>
      <c r="I16" s="47" t="inlineStr">
        <is>
          <t>토목품질팀</t>
        </is>
      </c>
      <c r="J16" s="49" t="inlineStr">
        <is>
          <t>건진법 시행령 제89조 | 사전 토공 시공계획서 표준 8대 목차 검토 | 착공 14일 전 감리 서면 승인</t>
        </is>
      </c>
      <c r="K16" s="49" t="inlineStr">
        <is>
          <t>1) 사전 토공 시공계획서 작성 ➔ 2) 8대 목차 &amp; KCS 수치 명시 ➔ 3) 착공 14일 전 감리단 제출 ➔ 4) 시공계획서 감리 서면 승인</t>
        </is>
      </c>
      <c r="L16" s="49" t="n"/>
      <c r="M16" s="49" t="inlineStr">
        <is>
          <t>사전 토공 시공계획서 표준 8대 목차, KCS 수치 수록 및 착공 14일 전 감리 서면 승인</t>
        </is>
      </c>
      <c r="N16" s="49" t="inlineStr">
        <is>
          <t>건진법 시행령 제89조 | 사전 토공 시공계획서 표준 8대 목차 검토 | 착공 14일 전 감리 서면 승인</t>
        </is>
      </c>
      <c r="O16" s="75">
        <f>HYPERLINK(LEFT(CELL("filename",A1),FIND("[",CELL("filename",A1))-1)&amp;"2.사전토공사\15_시공계획서 검토 지원\표준서\시공계획서 검토 지원_표준서.html", "👉 [클릭] 표준서 열기 📄")</f>
        <v/>
      </c>
      <c r="P16" s="49" t="inlineStr">
        <is>
          <t>1) 사전 토공 시공계획서 작성 ➔ 2) 8대 목차 &amp; KCS 수치 명시 ➔ 3) 착공 14일 전 감리단 제출 ➔ 4) 시공계획서 감리 서면 승인</t>
        </is>
      </c>
      <c r="Q16" s="76">
        <f>HYPERLINK(LEFT(CELL("filename",A1),FIND("[",CELL("filename",A1))-1)&amp;"2.사전토공사\15_시공계획서 검토 지원\수행지침\시공계획서 검토 지원_수행지침.html", "👉 [클릭] 수행지침 열기 📄")</f>
        <v/>
      </c>
      <c r="R16" s="49" t="inlineStr">
        <is>
          <t>사전 토공 시공계획서 표준 8대 목차, KCS 수치 수록 및 착공 14일 전 감리 서면 승인</t>
        </is>
      </c>
      <c r="S16" s="83">
        <f>HYPERLINK(LEFT(CELL("filename",A1),FIND("[",CELL("filename",A1))-1)&amp;"2.사전토공사\15_시공계획서 검토 지원\체크리스트\시공계획서 검토 지원_체크리스트.html", "👉 [클릭] 체크리스트 열기 📄")</f>
        <v/>
      </c>
      <c r="T16" s="47" t="n"/>
      <c r="U16" s="69" t="inlineStr">
        <is>
          <t>● 품질경영 매뉴얼 기준</t>
        </is>
      </c>
      <c r="V16" s="69" t="inlineStr">
        <is>
          <t>1) 👉 [더블클릭] 체크리스트 열기 📄</t>
        </is>
      </c>
      <c r="W16" s="49" t="n"/>
    </row>
    <row r="17" ht="96" customHeight="1">
      <c r="A17" s="47" t="inlineStr">
        <is>
          <t>9000</t>
        </is>
      </c>
      <c r="B17" s="47" t="inlineStr">
        <is>
          <t>9000-5</t>
        </is>
      </c>
      <c r="C17" s="47" t="inlineStr">
        <is>
          <t>사전토공사</t>
        </is>
      </c>
      <c r="D17" s="85" t="n">
        <v>2593358</v>
      </c>
      <c r="E17" s="47" t="inlineStr">
        <is>
          <t>9000-5-17</t>
        </is>
      </c>
      <c r="F17" s="85" t="inlineStr">
        <is>
          <t>9000-5-19</t>
        </is>
      </c>
      <c r="G17" s="47" t="inlineStr">
        <is>
          <t>D-30</t>
        </is>
      </c>
      <c r="H17" s="36" t="inlineStr">
        <is>
          <t>설계변경 (착수전)</t>
        </is>
      </c>
      <c r="I17" s="47" t="inlineStr">
        <is>
          <t>현장 공무팀/공사팀</t>
        </is>
      </c>
      <c r="J17" s="49" t="inlineStr">
        <is>
          <t>지방계약법 정산 수칙 | 착수 전 토종 변경 및 수량 증감 실정보고 작성 | 총사업비 변경 승인 수속</t>
        </is>
      </c>
      <c r="K17" s="49" t="inlineStr">
        <is>
          <t>1) 토질 변경 &amp; 수량 증감 실정보고 작성 ➔ 2) 단가 비교표 작성 ➔ 3) 설계변경 도서 제출 ➔ 4) 총사업비 변경 승인 결재</t>
        </is>
      </c>
      <c r="L17" s="49" t="n"/>
      <c r="M17" s="49" t="inlineStr">
        <is>
          <t>토질 변경 &amp; 수량 증감 실정보고서 작성, 단가 비교표 작성 및 총사업비 변경 승인 결재</t>
        </is>
      </c>
      <c r="N17" s="49" t="inlineStr">
        <is>
          <t>지방계약법 정산 수칙 | 착수 전 토종 변경 및 수량 증감 실정보고 작성 | 총사업비 변경 승인 수속</t>
        </is>
      </c>
      <c r="O17" s="75">
        <f>HYPERLINK(LEFT(CELL("filename",A1),FIND("[",CELL("filename",A1))-1)&amp;"2.사전토공사\16_시공계획 수립\표준서\설계변경 (착수전)_표준서.html", "👉 [클릭] 표준서 열기 📄")</f>
        <v/>
      </c>
      <c r="P17" s="49" t="inlineStr">
        <is>
          <t>1) 토질 변경 &amp; 수량 증감 실정보고 작성 ➔ 2) 단가 비교표 작성 ➔ 3) 설계변경 도서 제출 ➔ 4) 총사업비 변경 승인 결재</t>
        </is>
      </c>
      <c r="Q17" s="76">
        <f>HYPERLINK(LEFT(CELL("filename",A1),FIND("[",CELL("filename",A1))-1)&amp;"2.사전토공사\16_시공계획 수립\수행지침\설계변경 (착수전)_수행지침.html", "👉 [클릭] 수행지침 열기 📄")</f>
        <v/>
      </c>
      <c r="R17" s="49" t="inlineStr">
        <is>
          <t>토질 변경 &amp; 수량 증감 실정보고서 작성, 단가 비교표 작성 및 총사업비 변경 승인 결재</t>
        </is>
      </c>
      <c r="S17" s="83">
        <f>HYPERLINK(LEFT(CELL("filename",A1),FIND("[",CELL("filename",A1))-1)&amp;"2.사전토공사\16_시공계획 수립\체크리스트\설계변경 (착수전)_체크리스트.html", "👉 [클릭] 체크리스트 열기 📄")</f>
        <v/>
      </c>
      <c r="T17" s="47" t="n"/>
      <c r="U17" s="69" t="inlineStr">
        <is>
          <t>● 설계변경 절차 규정 준수</t>
        </is>
      </c>
      <c r="V17" s="69" t="inlineStr">
        <is>
          <t>1) 👉 [더블클릭] 체크리스트 열기 📄</t>
        </is>
      </c>
      <c r="W17" s="49" t="n"/>
    </row>
    <row r="18" ht="96" customHeight="1">
      <c r="A18" s="47" t="inlineStr">
        <is>
          <t>9000</t>
        </is>
      </c>
      <c r="B18" s="47" t="inlineStr">
        <is>
          <t>9000-5</t>
        </is>
      </c>
      <c r="C18" s="47" t="inlineStr">
        <is>
          <t>사전토공사</t>
        </is>
      </c>
      <c r="D18" s="85" t="n">
        <v>2593359</v>
      </c>
      <c r="E18" s="47" t="inlineStr">
        <is>
          <t>9000-5-15</t>
        </is>
      </c>
      <c r="F18" s="85" t="inlineStr">
        <is>
          <t>9000-5-17</t>
        </is>
      </c>
      <c r="G18" s="47" t="inlineStr">
        <is>
          <t>D-30</t>
        </is>
      </c>
      <c r="H18" s="36" t="inlineStr">
        <is>
          <t>시공계획 수립</t>
        </is>
      </c>
      <c r="I18" s="47" t="inlineStr">
        <is>
          <t>현장 공사팀</t>
        </is>
      </c>
      <c r="J18" s="49" t="inlineStr">
        <is>
          <t>KCS 47 10 25 토공 시방 | 깎기/성토 토공 유동표 작성 및 3D BIM 도면 대조 | 책임감리원 최종 승인</t>
        </is>
      </c>
      <c r="K18" s="49" t="inlineStr">
        <is>
          <t>1) 토공 깎기/성토 유동표 작성 ➔ 2) 3D BIM 모델 표고 대조 ➔ 3) 사면 안성성 계산서 부착 ➔ 4) 토공 시공계획서 감리 최종 결재</t>
        </is>
      </c>
      <c r="L18" s="49" t="n"/>
      <c r="M18" s="49" t="inlineStr">
        <is>
          <t>토공 깎기/성토 유동표 작성, 3D BIM 모델 표고 대조 및 사면 안전성 계산서 감리 결재</t>
        </is>
      </c>
      <c r="N18" s="49" t="inlineStr">
        <is>
          <t>KCS 47 10 25 토공 시방 | 깎기/성토 토공 유동표 작성 및 3D BIM 도면 대조 | 책임감리원 최종 승인</t>
        </is>
      </c>
      <c r="O18" s="75">
        <f>HYPERLINK(LEFT(CELL("filename",A1),FIND("[",CELL("filename",A1))-1)&amp;"2.사전토공사\17_후행공종 요구조건 반영 설계변경 검토\표준서\후행공종 요구조건 반영 설계변경 검토_표준서.html", "👉 [클릭] 표준서 열기 📄")</f>
        <v/>
      </c>
      <c r="P18" s="49" t="inlineStr">
        <is>
          <t>1) 토공 깎기/성토 유동표 작성 ➔ 2) 3D BIM 모델 표고 대조 ➔ 3) 사면 안성성 계산서 부착 ➔ 4) 토공 시공계획서 감리 최종 결재</t>
        </is>
      </c>
      <c r="Q18" s="76">
        <f>HYPERLINK(LEFT(CELL("filename",A1),FIND("[",CELL("filename",A1))-1)&amp;"2.사전토공사\17_후행공종 요구조건 반영 설계변경 검토\수행지침\후행공종 요구조건 반영 설계변경 검토_수행지침.html", "👉 [클릭] 수행지침 열기 📄")</f>
        <v/>
      </c>
      <c r="R18" s="49" t="inlineStr">
        <is>
          <t>토공 깎기/성토 유동표 작성, 3D BIM 모델 표고 대조 및 사면 안전성 계산서 감리 결재</t>
        </is>
      </c>
      <c r="S18" s="83">
        <f>HYPERLINK(LEFT(CELL("filename",A1),FIND("[",CELL("filename",A1))-1)&amp;"2.사전토공사\17_후행공종 요구조건 반영 설계변경 검토\체크리스트\후행공종 요구조건 반영 설계변경 검토_체크리스트.html", "👉 [클릭] 체크리스트 열기 📄")</f>
        <v/>
      </c>
      <c r="T18" s="47" t="n"/>
      <c r="U18" s="69" t="inlineStr">
        <is>
          <t>● 토공사 표준시방서 준수</t>
        </is>
      </c>
      <c r="V18" s="69" t="inlineStr">
        <is>
          <t>1) 👉 [더블클릭] 체크리스트 열기 📄</t>
        </is>
      </c>
      <c r="W18" s="49" t="n"/>
    </row>
    <row r="19" ht="96" customHeight="1">
      <c r="A19" s="47" t="inlineStr">
        <is>
          <t>9000</t>
        </is>
      </c>
      <c r="B19" s="47" t="inlineStr">
        <is>
          <t>9000-5</t>
        </is>
      </c>
      <c r="C19" s="47" t="inlineStr">
        <is>
          <t>사전토공사</t>
        </is>
      </c>
      <c r="D19" s="85" t="n">
        <v>2593360</v>
      </c>
      <c r="E19" s="47" t="inlineStr">
        <is>
          <t>9000-5-16</t>
        </is>
      </c>
      <c r="F19" s="85" t="inlineStr">
        <is>
          <t>9000-5-18</t>
        </is>
      </c>
      <c r="G19" s="47" t="inlineStr">
        <is>
          <t>D-30</t>
        </is>
      </c>
      <c r="H19" s="36" t="inlineStr">
        <is>
          <t>후행공종 요구조건 반영 설계변경 검토</t>
        </is>
      </c>
      <c r="I19" s="47" t="inlineStr">
        <is>
          <t>현장 공무팀/공사팀</t>
        </is>
      </c>
      <c r="J19" s="49" t="inlineStr">
        <is>
          <t>건진법 설계변경 수칙 | 궤도/구조물 후행 공종 요구 표고 오차(±10mm) 반영 | 설계변경 실정보고서 작성</t>
        </is>
      </c>
      <c r="K19" s="49" t="inlineStr">
        <is>
          <t>1) 궤도/구조물 후행 요구 조건 수집 ➔ 2) 마무리면 표고 오차(±10mm) 반영 ➔ 3) 설계변경 실정보고서 작성 ➔ 4) 책임감리원 기술 승인</t>
        </is>
      </c>
      <c r="L19" s="49" t="n"/>
      <c r="M19" s="49" t="inlineStr">
        <is>
          <t>궤도/구조물 후행 요구 조건 반영, 마무리면 표고 오차(±10mm) 반영 및 설계변경 실정보고</t>
        </is>
      </c>
      <c r="N19" s="49" t="inlineStr">
        <is>
          <t>건진법 설계변경 수칙 | 궤도/구조물 후행 공종 요구 표고 오차(±10mm) 반영 | 설계변경 실정보고서 작성</t>
        </is>
      </c>
      <c r="O19" s="75">
        <f>HYPERLINK(LEFT(CELL("filename",A1),FIND("[",CELL("filename",A1))-1)&amp;"2.사전토공사\18_설계변경 (착수전)\표준서\설계변경 (착수전)_표준서.html", "👉 [클릭] 표준서 열기 📄")</f>
        <v/>
      </c>
      <c r="P19" s="49" t="inlineStr">
        <is>
          <t>1) 궤도/구조물 후행 요구 조건 수집 ➔ 2) 마무리면 표고 오차(±10mm) 반영 ➔ 3) 설계변경 실정보고서 작성 ➔ 4) 책임감리원 기술 승인</t>
        </is>
      </c>
      <c r="Q19" s="76">
        <f>HYPERLINK(LEFT(CELL("filename",A1),FIND("[",CELL("filename",A1))-1)&amp;"2.사전토공사\18_설계변경 (착수전)\수행지침\설계변경 (착수전)_수행지침.html", "👉 [클릭] 수행지침 열기 📄")</f>
        <v/>
      </c>
      <c r="R19" s="49" t="inlineStr">
        <is>
          <t>궤도/구조물 후행 요구 조건 반영, 마무리면 표고 오차(±10mm) 반영 및 설계변경 실정보고</t>
        </is>
      </c>
      <c r="S19" s="83">
        <f>HYPERLINK(LEFT(CELL("filename",A1),FIND("[",CELL("filename",A1))-1)&amp;"2.사전토공사\18_설계변경 (착수전)\체크리스트\설계변경 (착수전)_체크리스트.html", "👉 [클릭] 체크리스트 열기 📄")</f>
        <v/>
      </c>
      <c r="T19" s="47" t="n"/>
      <c r="U19" s="69" t="inlineStr">
        <is>
          <t>● 인터페이스 조건 만족</t>
        </is>
      </c>
      <c r="V19" s="69" t="inlineStr">
        <is>
          <t>1) 👉 [더블클릭] 체크리스트 열기 📄</t>
        </is>
      </c>
      <c r="W19" s="49" t="n"/>
    </row>
    <row r="20" ht="96" customHeight="1">
      <c r="A20" s="47" t="inlineStr">
        <is>
          <t>9000</t>
        </is>
      </c>
      <c r="B20" s="47" t="inlineStr">
        <is>
          <t>9000-5</t>
        </is>
      </c>
      <c r="C20" s="47" t="inlineStr">
        <is>
          <t>사전토공사</t>
        </is>
      </c>
      <c r="D20" s="85" t="n">
        <v>2593361</v>
      </c>
      <c r="E20" s="47" t="inlineStr">
        <is>
          <t>9000-5-18</t>
        </is>
      </c>
      <c r="F20" s="85" t="inlineStr">
        <is>
          <t>9000-5-20</t>
        </is>
      </c>
      <c r="G20" s="47" t="inlineStr">
        <is>
          <t>D-30</t>
        </is>
      </c>
      <c r="H20" s="36" t="inlineStr">
        <is>
          <t>설계변경 지원</t>
        </is>
      </c>
      <c r="I20" s="47" t="inlineStr">
        <is>
          <t>토목수행팀</t>
        </is>
      </c>
      <c r="J20" s="49" t="inlineStr">
        <is>
          <t>건진법 설계변경 규정 | 수량 산출서 및 단가 비교표 작성 | 책임감리원 기술 검토 의견서 첨부</t>
        </is>
      </c>
      <c r="K20" s="49" t="inlineStr">
        <is>
          <t>1) 변경 수량 산출서 정밀 집계 ➔ 2) 신규 단가 산정 서류 부착 ➔ 3) 감리단 기술 검토 수속 ➔ 4) 설계변경 제출 서면 결재</t>
        </is>
      </c>
      <c r="L20" s="49" t="n"/>
      <c r="M20" s="49" t="inlineStr">
        <is>
          <t>변경 수량 산출서 정밀 집계, 신규 단가 산정 서류 첨부 및 책임감리원 기술 검토 수속</t>
        </is>
      </c>
      <c r="N20" s="49" t="inlineStr">
        <is>
          <t>건진법 설계변경 규정 | 수량 산출서 및 단가 비교표 작성 | 책임감리원 기술 검토 의견서 첨부</t>
        </is>
      </c>
      <c r="O20" s="75">
        <f>HYPERLINK(LEFT(CELL("filename",A1),FIND("[",CELL("filename",A1))-1)&amp;"2.사전토공사\18_설계변경_착수전\표준서\후행공종 요구조건 반영 설계변경 검토_표준서.html", "👉 [클릭] 표준서 열기 📄")</f>
        <v/>
      </c>
      <c r="P20" s="49" t="inlineStr">
        <is>
          <t>1) 변경 수량 산출서 정밀 집계 ➔ 2) 신규 단가 산정 서류 부착 ➔ 3) 감리단 기술 검토 수속 ➔ 4) 설계변경 제출 서면 결재</t>
        </is>
      </c>
      <c r="Q20" s="76">
        <f>HYPERLINK(LEFT(CELL("filename",A1),FIND("[",CELL("filename",A1))-1)&amp;"2.사전토공사\18_설계변경_착수전\수행지침\후행공종 요구조건 반영 설계변경 검토_수행지침.html", "👉 [클릭] 수행지침 열기 📄")</f>
        <v/>
      </c>
      <c r="R20" s="49" t="inlineStr">
        <is>
          <t>변경 수량 산출서 정밀 집계, 신규 단가 산정 서류 첨부 및 책임감리원 기술 검토 수속</t>
        </is>
      </c>
      <c r="S20" s="83">
        <f>HYPERLINK(LEFT(CELL("filename",A1),FIND("[",CELL("filename",A1))-1)&amp;"2.사전토공사\18_설계변경_착수전\체크리스트\후행공종 요구조건 반영 설계변경 검토_체크리스트.html", "👉 [클릭] 체크리스트 열기 📄")</f>
        <v/>
      </c>
      <c r="T20" s="47" t="n"/>
      <c r="U20" s="69" t="inlineStr">
        <is>
          <t>● 기술 검증 규격 확인</t>
        </is>
      </c>
      <c r="V20" s="69" t="inlineStr">
        <is>
          <t>1) 👉 [더블클릭] 체크리스트 열기 📄</t>
        </is>
      </c>
      <c r="W20" s="49" t="n"/>
    </row>
    <row r="21" ht="96" customHeight="1">
      <c r="A21" s="47" t="inlineStr">
        <is>
          <t>9000</t>
        </is>
      </c>
      <c r="B21" s="47" t="inlineStr">
        <is>
          <t>9000-5</t>
        </is>
      </c>
      <c r="C21" s="47" t="inlineStr">
        <is>
          <t>사전토공사</t>
        </is>
      </c>
      <c r="D21" s="85" t="n">
        <v>2593362</v>
      </c>
      <c r="E21" s="47" t="inlineStr">
        <is>
          <t>9000-5-19</t>
        </is>
      </c>
      <c r="F21" s="85" t="inlineStr">
        <is>
          <t>9000-5-21</t>
        </is>
      </c>
      <c r="G21" s="47" t="inlineStr">
        <is>
          <t>D-20</t>
        </is>
      </c>
      <c r="H21" s="36" t="inlineStr">
        <is>
          <t>교통관리 및 교통안전시설 설치</t>
        </is>
      </c>
      <c r="I21" s="47" t="inlineStr">
        <is>
          <t>현장 공사팀</t>
        </is>
      </c>
      <c r="J21" s="49" t="inlineStr">
        <is>
          <t>도로교통법 안전 수칙 | 게이트 바리케이트, 야간 LED 경광등 부설 | 전담 안전 신호수(2인 2조) 100% 배치</t>
        </is>
      </c>
      <c r="K21" s="49" t="inlineStr">
        <is>
          <t>1) 게이트 바리케이트 &amp; 경광등 부설 ➔ 2) 우회 차선 표지판 설치 ➔ 3) 전담 신호수(2인 2조) 배치 ➔ 4) 교통 안전 점검 대장 결재</t>
        </is>
      </c>
      <c r="L21" s="49" t="n"/>
      <c r="M21" s="49" t="inlineStr">
        <is>
          <t>게이트 바리케이트/LED 경광등 설치, 우회 차선 표지판 검측 및 전담 신호수(2인 2조) 배치</t>
        </is>
      </c>
      <c r="N21" s="49" t="inlineStr">
        <is>
          <t>도로교통법 안전 수칙 | 게이트 바리케이트, 야간 LED 경광등 부설 | 전담 안전 신호수(2인 2조) 100% 배치</t>
        </is>
      </c>
      <c r="O21" s="75">
        <f>HYPERLINK(LEFT(CELL("filename",A1),FIND("[",CELL("filename",A1))-1)&amp;"2.사전토공사\19_설계변경 지원\표준서\설계변경 지원_표준서.html", "👉 [클릭] 표준서 열기 📄")</f>
        <v/>
      </c>
      <c r="P21" s="49" t="inlineStr">
        <is>
          <t>1) 게이트 바리케이트 &amp; 경광등 부설 ➔ 2) 우회 차선 표지판 설치 ➔ 3) 전담 신호수(2인 2조) 배치 ➔ 4) 교통 안전 점검 대장 결재</t>
        </is>
      </c>
      <c r="Q21" s="76">
        <f>HYPERLINK(LEFT(CELL("filename",A1),FIND("[",CELL("filename",A1))-1)&amp;"2.사전토공사\19_설계변경 지원\수행지침\설계변경 지원_수행지침.html", "👉 [클릭] 수행지침 열기 📄")</f>
        <v/>
      </c>
      <c r="R21" s="49" t="inlineStr">
        <is>
          <t>게이트 바리케이트/LED 경광등 설치, 우회 차선 표지판 검측 및 전담 신호수(2인 2조) 배치</t>
        </is>
      </c>
      <c r="S21" s="83">
        <f>HYPERLINK(LEFT(CELL("filename",A1),FIND("[",CELL("filename",A1))-1)&amp;"2.사전토공사\19_설계변경 지원\체크리스트\설계변경 지원_체크리스트.html", "👉 [클릭] 체크리스트 열기 📄")</f>
        <v/>
      </c>
      <c r="T21" s="47" t="n"/>
      <c r="U21" s="69" t="inlineStr">
        <is>
          <t>● 경찰청 협의사항 및 교통안전시설 설치기준 준수</t>
        </is>
      </c>
      <c r="V21" s="69" t="inlineStr">
        <is>
          <t>1) 👉 [더블클릭] 체크리스트 열기 📄</t>
        </is>
      </c>
      <c r="W21" s="49" t="n"/>
    </row>
    <row r="22" ht="96" customHeight="1">
      <c r="A22" s="47" t="inlineStr">
        <is>
          <t>9000</t>
        </is>
      </c>
      <c r="B22" s="47" t="inlineStr">
        <is>
          <t>9000-5</t>
        </is>
      </c>
      <c r="C22" s="47" t="inlineStr">
        <is>
          <t>사전토공사</t>
        </is>
      </c>
      <c r="D22" s="85" t="n">
        <v>2593363</v>
      </c>
      <c r="E22" s="47" t="inlineStr">
        <is>
          <t>9000-5-20</t>
        </is>
      </c>
      <c r="F22" s="85" t="inlineStr">
        <is>
          <t>9000-5-22</t>
        </is>
      </c>
      <c r="G22" s="47" t="inlineStr">
        <is>
          <t>D-10</t>
        </is>
      </c>
      <c r="H22" s="36" t="inlineStr">
        <is>
          <t>장비 검수 지원</t>
        </is>
      </c>
      <c r="I22" s="47" t="inlineStr">
        <is>
          <t>기술안전팀</t>
        </is>
      </c>
      <c r="J22" s="49" t="inlineStr">
        <is>
          <t>건설기계관리법 제13조 | 자중 10t+ 굴착기, 덤프 정기검사증 검수 | 후방 센서 점검 및 반입 허가</t>
        </is>
      </c>
      <c r="K22" s="49" t="inlineStr">
        <is>
          <t>1) 10t+ 굴착기/덤프 사양 검수 ➔ 2) 건설기계 정기검사증 점검 ➔ 3) 후방 카메라/경보음 시동 점검 ➔ 4) 장비 반입 승인서 감리 결재</t>
        </is>
      </c>
      <c r="L22" s="49" t="n"/>
      <c r="M22" s="49" t="inlineStr">
        <is>
          <t>자중 10t+ 굴착기/덤프 정기검사증, 후방 카메라/경보음 시동 점검 및 반입 허가 결재</t>
        </is>
      </c>
      <c r="N22" s="49" t="inlineStr">
        <is>
          <t>건설기계관리법 제13조 | 자중 10t+ 굴착기, 덤프 정기검사증 검수 | 후방 센서 점검 및 반입 허가</t>
        </is>
      </c>
      <c r="O22" s="75">
        <f>HYPERLINK(LEFT(CELL("filename",A1),FIND("[",CELL("filename",A1))-1)&amp;"2.사전토공사\20_교통관리 및 교통안전시설 설치\표준서\교통관리 및 교통안전시설 설치_표준서.html", "👉 [클릭] 표준서 열기 📄")</f>
        <v/>
      </c>
      <c r="P22" s="49" t="inlineStr">
        <is>
          <t>1) 10t+ 굴착기/덤프 사양 검수 ➔ 2) 건설기계 정기검사증 점검 ➔ 3) 후방 카메라/경보음 시동 점검 ➔ 4) 장비 반입 승인서 감리 결재</t>
        </is>
      </c>
      <c r="Q22" s="76">
        <f>HYPERLINK(LEFT(CELL("filename",A1),FIND("[",CELL("filename",A1))-1)&amp;"2.사전토공사\20_교통관리 및 교통안전시설 설치\수행지침\교통관리 및 교통안전시설 설치_수행지침.html", "👉 [클릭] 수행지침 열기 📄")</f>
        <v/>
      </c>
      <c r="R22" s="49" t="inlineStr">
        <is>
          <t>자중 10t+ 굴착기/덤프 정기검사증, 후방 카메라/경보음 시동 점검 및 반입 허가 결재</t>
        </is>
      </c>
      <c r="S22" s="83">
        <f>HYPERLINK(LEFT(CELL("filename",A1),FIND("[",CELL("filename",A1))-1)&amp;"2.사전토공사\20_교통관리 및 교통안전시설 설치\체크리스트\교통관리 및 교통안전시설 설치_체크리스트.html", "👉 [클릭] 체크리스트 열기 📄")</f>
        <v/>
      </c>
      <c r="T22" s="47" t="n"/>
      <c r="U22" s="69" t="inlineStr">
        <is>
          <t>● 산업안전보건법 및 건설기계관리법 준수</t>
        </is>
      </c>
      <c r="V22" s="69" t="inlineStr">
        <is>
          <t>1) 👉 [더블클릭] 체크리스트 열기 📄</t>
        </is>
      </c>
      <c r="W22" s="49" t="n"/>
    </row>
    <row r="23" ht="96" customHeight="1">
      <c r="A23" s="47" t="inlineStr">
        <is>
          <t>9000</t>
        </is>
      </c>
      <c r="B23" s="47" t="inlineStr">
        <is>
          <t>9000-5</t>
        </is>
      </c>
      <c r="C23" s="47" t="inlineStr">
        <is>
          <t>사전토공사</t>
        </is>
      </c>
      <c r="D23" s="85" t="n">
        <v>2593364</v>
      </c>
      <c r="E23" s="47" t="inlineStr">
        <is>
          <t>9000-5-21</t>
        </is>
      </c>
      <c r="F23" s="85" t="inlineStr">
        <is>
          <t>9000-5-23</t>
        </is>
      </c>
      <c r="G23" s="47" t="inlineStr">
        <is>
          <t>D+10~30</t>
        </is>
      </c>
      <c r="H23" s="36" t="inlineStr">
        <is>
          <t>벌목/벌근제거</t>
        </is>
      </c>
      <c r="I23" s="47" t="inlineStr">
        <is>
          <t>현장 공사팀</t>
        </is>
      </c>
      <c r="J23" s="49" t="inlineStr">
        <is>
          <t>KCS 47 10 25 산림 벌목 시방 | 수목 벌목 및 뿌리 제거(벌근) 깊이 30cm 이상 | 임목 폐기물 수속 처리</t>
        </is>
      </c>
      <c r="K23" s="49" t="inlineStr">
        <is>
          <t>1) 현장 지반 수목 벌목 시행 ➔ 2) 뿌리 제거(벌근) 깊이 30cm 굴착 ➔ 3) 임목 폐기물 수속 처리 ➔ 4) 벌목 벌근 성과표 감리 승인</t>
        </is>
      </c>
      <c r="L23" s="49" t="n"/>
      <c r="M23" s="49" t="inlineStr">
        <is>
          <t>현장 수목 벌목 시행, 뿌리 제거(벌근) 깊이 30cm 이상 굴착 및 임목 폐기물 수속 처리</t>
        </is>
      </c>
      <c r="N23" s="49" t="inlineStr">
        <is>
          <t>KCS 47 10 25 산림 벌목 시방 | 수목 벌목 및 뿌리 제거(벌근) 깊이 30cm 이상 | 임목 폐기물 수속 처리</t>
        </is>
      </c>
      <c r="O23" s="75">
        <f>HYPERLINK(LEFT(CELL("filename",A1),FIND("[",CELL("filename",A1))-1)&amp;"2.사전토공사\21_장비 검수 지원\표준서\장비 검수 지원_표준서.html", "👉 [클릭] 표준서 열기 📄")</f>
        <v/>
      </c>
      <c r="P23" s="49" t="inlineStr">
        <is>
          <t>1) 현장 지반 수목 벌목 시행 ➔ 2) 뿌리 제거(벌근) 깊이 30cm 굴착 ➔ 3) 임목 폐기물 수속 처리 ➔ 4) 벌목 벌근 성과표 감리 승인</t>
        </is>
      </c>
      <c r="Q23" s="76">
        <f>HYPERLINK(LEFT(CELL("filename",A1),FIND("[",CELL("filename",A1))-1)&amp;"2.사전토공사\21_장비 검수 지원\수행지침\장비 검수 지원_수행지침.html", "👉 [클릭] 수행지침 열기 📄")</f>
        <v/>
      </c>
      <c r="R23" s="49" t="inlineStr">
        <is>
          <t>현장 수목 벌목 시행, 뿌리 제거(벌근) 깊이 30cm 이상 굴착 및 임목 폐기물 수속 처리</t>
        </is>
      </c>
      <c r="S23" s="83">
        <f>HYPERLINK(LEFT(CELL("filename",A1),FIND("[",CELL("filename",A1))-1)&amp;"2.사전토공사\21_장비 검수 지원\체크리스트\장비 검수 지원_체크리스트.html", "👉 [클릭] 체크리스트 열기 📄")</f>
        <v/>
      </c>
      <c r="T23" s="47" t="n"/>
      <c r="U23" s="69" t="inlineStr">
        <is>
          <t>● 산림자원법 및 환경 기준 준수</t>
        </is>
      </c>
      <c r="V23" s="69" t="inlineStr">
        <is>
          <t>1) 👉 [더블클릭] 체크리스트 열기 📄</t>
        </is>
      </c>
      <c r="W23" s="49" t="n"/>
    </row>
    <row r="24" ht="96" customHeight="1">
      <c r="A24" s="47" t="inlineStr">
        <is>
          <t>9000</t>
        </is>
      </c>
      <c r="B24" s="47" t="inlineStr">
        <is>
          <t>9000-5</t>
        </is>
      </c>
      <c r="C24" s="47" t="inlineStr">
        <is>
          <t>사전토공사</t>
        </is>
      </c>
      <c r="D24" s="85" t="n">
        <v>2593365</v>
      </c>
      <c r="E24" s="47" t="inlineStr">
        <is>
          <t>9000-5-22</t>
        </is>
      </c>
      <c r="F24" s="85" t="inlineStr">
        <is>
          <t>9000-5-24</t>
        </is>
      </c>
      <c r="G24" s="47" t="inlineStr">
        <is>
          <t>D+10~25</t>
        </is>
      </c>
      <c r="H24" s="36" t="inlineStr">
        <is>
          <t>기존구조물 / 지장물 처리</t>
        </is>
      </c>
      <c r="I24" s="47" t="inlineStr">
        <is>
          <t>현장 공사팀 / 공무팀</t>
        </is>
      </c>
      <c r="J24" s="49" t="inlineStr">
        <is>
          <t>폐기물관리법 준수 | 기존 아스콘/콘크리트 구조물 안전 삭평 철거 | 건설 폐기물 성적표 수속</t>
        </is>
      </c>
      <c r="K24" s="49" t="inlineStr">
        <is>
          <t>1) 기존 아스콘/콘크리트 삭평 철거 ➔ 2) 폐기물 분리 수거 &amp; 적재 ➔ 3) 건설 폐기물 위탁 처리 ➔ 4) 지장물 처리 성과표 감리 승인</t>
        </is>
      </c>
      <c r="L24" s="49" t="n"/>
      <c r="M24" s="49" t="inlineStr">
        <is>
          <t>기존 아스콘/콘크리트 삭평 철거, 건설 폐기물 분리 수거 적재 및 폐기물 성적서 수속</t>
        </is>
      </c>
      <c r="N24" s="49" t="inlineStr">
        <is>
          <t>폐기물관리법 준수 | 기존 아스콘/콘크리트 구조물 안전 삭평 철거 | 건설 폐기물 성적표 수속</t>
        </is>
      </c>
      <c r="O24" s="75">
        <f>HYPERLINK(LEFT(CELL("filename",A1),FIND("[",CELL("filename",A1))-1)&amp;"2.사전토공사\22_벌목_벌근제거\표준서\벌목_벌근제거_표준서.html", "👉 [클릭] 표준서 열기 📄")</f>
        <v/>
      </c>
      <c r="P24" s="49" t="inlineStr">
        <is>
          <t>1) 기존 아스콘/콘크리트 삭평 철거 ➔ 2) 폐기물 분리 수거 &amp; 적재 ➔ 3) 건설 폐기물 위탁 처리 ➔ 4) 지장물 처리 성과표 감리 승인</t>
        </is>
      </c>
      <c r="Q24" s="76">
        <f>HYPERLINK(LEFT(CELL("filename",A1),FIND("[",CELL("filename",A1))-1)&amp;"2.사전토공사\22_벌목_벌근제거\수행지침\벌목_벌근제거_수행지침.html", "👉 [클릭] 수행지침 열기 📄")</f>
        <v/>
      </c>
      <c r="R24" s="49" t="inlineStr">
        <is>
          <t>기존 아스콘/콘크리트 삭평 철거, 건설 폐기물 분리 수거 적재 및 폐기물 성적서 수속</t>
        </is>
      </c>
      <c r="S24" s="83">
        <f>HYPERLINK(LEFT(CELL("filename",A1),FIND("[",CELL("filename",A1))-1)&amp;"2.사전토공사\22_벌목_벌근제거\체크리스트\벌목_벌근제거_체크리스트.html", "👉 [클릭] 체크리스트 열기 📄")</f>
        <v/>
      </c>
      <c r="T24" s="47" t="n"/>
      <c r="U24" s="69" t="inlineStr">
        <is>
          <t>● 지장물 이설 및 철거 규정 준수</t>
        </is>
      </c>
      <c r="V24" s="69" t="inlineStr">
        <is>
          <t>1) 👉 [더블클릭] 체크리스트 열기 📄</t>
        </is>
      </c>
      <c r="W24" s="49" t="n"/>
    </row>
    <row r="25" ht="96" customHeight="1">
      <c r="A25" s="47" t="inlineStr">
        <is>
          <t>9000</t>
        </is>
      </c>
      <c r="B25" s="47" t="inlineStr">
        <is>
          <t>9000-5</t>
        </is>
      </c>
      <c r="C25" s="47" t="inlineStr">
        <is>
          <t>사전토공사</t>
        </is>
      </c>
      <c r="D25" s="85" t="n">
        <v>2593366</v>
      </c>
      <c r="E25" s="47" t="inlineStr">
        <is>
          <t>9000-5-23</t>
        </is>
      </c>
      <c r="F25" s="85" t="inlineStr">
        <is>
          <t>9000-5-25</t>
        </is>
      </c>
      <c r="G25" s="47" t="inlineStr">
        <is>
          <t>D+10~30</t>
        </is>
      </c>
      <c r="H25" s="36" t="inlineStr">
        <is>
          <t>진입로 조성</t>
        </is>
      </c>
      <c r="I25" s="47" t="inlineStr">
        <is>
          <t>현장 공사팀</t>
        </is>
      </c>
      <c r="J25" s="49" t="inlineStr">
        <is>
          <t>KCS 47 10 25 가설 도로 | 덤프트럭 진입 가설 도로 폭 6m 포설 | 쇄석 골재(두께 20cm) 부설 &amp; 살수</t>
        </is>
      </c>
      <c r="K25" s="49" t="inlineStr">
        <is>
          <t>1) 가설 도로 폭 6m 성토 굴착 ➔ 2) 쇄석 골재(두께 20cm) 부설 ➔ 3) 10t 롤러 다짐 &amp; 살수 ➔ 4) 진입로 조성 성과표 감리 승인</t>
        </is>
      </c>
      <c r="L25" s="49" t="n"/>
      <c r="M25" s="49" t="inlineStr">
        <is>
          <t>가설 도로 폭 6m 성토 굴착, 쇄석 골재(두께 20cm) 부설, 10t 롤러 다짐 및 살수 점검</t>
        </is>
      </c>
      <c r="N25" s="49" t="inlineStr">
        <is>
          <t>KCS 47 10 25 가설 도로 | 덤프트럭 진입 가설 도로 폭 6m 포설 | 쇄석 골재(두께 20cm) 부설 &amp; 살수</t>
        </is>
      </c>
      <c r="O25" s="75">
        <f>HYPERLINK(LEFT(CELL("filename",A1),FIND("[",CELL("filename",A1))-1)&amp;"2.사전토공사\23_기존구조물 _ 지장물 처리\표준서\기존구조물 _ 지장물 처리_표준서.html", "👉 [클릭] 표준서 열기 📄")</f>
        <v/>
      </c>
      <c r="P25" s="49" t="inlineStr">
        <is>
          <t>1) 가설 도로 폭 6m 성토 굴착 ➔ 2) 쇄석 골재(두께 20cm) 부설 ➔ 3) 10t 롤러 다짐 &amp; 살수 ➔ 4) 진입로 조성 성과표 감리 승인</t>
        </is>
      </c>
      <c r="Q25" s="76">
        <f>HYPERLINK(LEFT(CELL("filename",A1),FIND("[",CELL("filename",A1))-1)&amp;"2.사전토공사\23_기존구조물 _ 지장물 처리\수행지침\기존구조물 _ 지장물 처리_수행지침.html", "👉 [클릭] 수행지침 열기 📄")</f>
        <v/>
      </c>
      <c r="R25" s="49" t="inlineStr">
        <is>
          <t>가설 도로 폭 6m 성토 굴착, 쇄석 골재(두께 20cm) 부설, 10t 롤러 다짐 및 살수 점검</t>
        </is>
      </c>
      <c r="S25" s="83">
        <f>HYPERLINK(LEFT(CELL("filename",A1),FIND("[",CELL("filename",A1))-1)&amp;"2.사전토공사\23_기존구조물 _ 지장물 처리\체크리스트\기존구조물 _ 지장물 처리_체크리스트.html", "👉 [클릭] 체크리스트 열기 📄")</f>
        <v/>
      </c>
      <c r="T25" s="47" t="n"/>
      <c r="U25" s="69" t="inlineStr">
        <is>
          <t>● 진입로 종단구배 및 가로 폭 규격 만족</t>
        </is>
      </c>
      <c r="V25" s="69" t="inlineStr">
        <is>
          <t>1) 👉 [더블클릭] 체크리스트 열기 📄</t>
        </is>
      </c>
      <c r="W25" s="49" t="n"/>
    </row>
    <row r="26" ht="96" customHeight="1">
      <c r="A26" s="47" t="inlineStr">
        <is>
          <t>9000</t>
        </is>
      </c>
      <c r="B26" s="47" t="inlineStr">
        <is>
          <t>9000-5</t>
        </is>
      </c>
      <c r="C26" s="47" t="inlineStr">
        <is>
          <t>사전토공사</t>
        </is>
      </c>
      <c r="D26" s="85" t="n">
        <v>2593367</v>
      </c>
      <c r="E26" s="47" t="inlineStr">
        <is>
          <t>9000-5-24</t>
        </is>
      </c>
      <c r="F26" s="85" t="inlineStr">
        <is>
          <t>9000-5-26</t>
        </is>
      </c>
      <c r="G26" s="47" t="inlineStr">
        <is>
          <t>D+10~30</t>
        </is>
      </c>
      <c r="H26" s="36" t="inlineStr">
        <is>
          <t>배수/환경시설 설치</t>
        </is>
      </c>
      <c r="I26" s="47" t="inlineStr">
        <is>
          <t>현장 공사팀</t>
        </is>
      </c>
      <c r="J26" s="49" t="inlineStr">
        <is>
          <t>KCS 47 10 25 배수 시방 | 가배수로(0.6×0.6m) &amp; 가침사지 설치 | 세륜기(깊이 1.2m) 가동 및 배수 검측</t>
        </is>
      </c>
      <c r="K26" s="49" t="inlineStr">
        <is>
          <t>1) 가배수로(0.6×0.6m) &amp; 가침사지 터파기 ➔ 2) 세륜기(깊이 1.2m) 부설 ➔ 3) 양수 펌프 비치 ➔ 4) 배수 환경 시설 감리 서면 승인</t>
        </is>
      </c>
      <c r="L26" s="49" t="n"/>
      <c r="M26" s="49" t="inlineStr">
        <is>
          <t>가배수로(0.6×0.6m) &amp; 가침사지 설치, 세륜기(깊이 1.2m) 가동 및 수중 양수 펌프 비치</t>
        </is>
      </c>
      <c r="N26" s="49" t="inlineStr">
        <is>
          <t>KCS 47 10 25 배수 시방 | 가배수로(0.6×0.6m) &amp; 가침사지 설치 | 세륜기(깊이 1.2m) 가동 및 배수 검측</t>
        </is>
      </c>
      <c r="O26" s="75">
        <f>HYPERLINK(LEFT(CELL("filename",A1),FIND("[",CELL("filename",A1))-1)&amp;"2.사전토공사\23_기존구조물_지장물 처리\표준서\기존구조물 _ 지장물 처리_표준서.html", "👉 [클릭] 표준서 열기 📄")</f>
        <v/>
      </c>
      <c r="P26" s="49" t="inlineStr">
        <is>
          <t>1) 가배수로(0.6×0.6m) &amp; 가침사지 터파기 ➔ 2) 세륜기(깊이 1.2m) 부설 ➔ 3) 양수 펌프 비치 ➔ 4) 배수 환경 시설 감리 서면 승인</t>
        </is>
      </c>
      <c r="Q26" s="76">
        <f>HYPERLINK(LEFT(CELL("filename",A1),FIND("[",CELL("filename",A1))-1)&amp;"2.사전토공사\23_기존구조물_지장물 처리\수행지침\기존구조물 _ 지장물 처리_수행지침.html", "👉 [클릭] 수행지침 열기 📄")</f>
        <v/>
      </c>
      <c r="R26" s="49" t="inlineStr">
        <is>
          <t>가배수로(0.6×0.6m) &amp; 가침사지 설치, 세륜기(깊이 1.2m) 가동 및 수중 양수 펌프 비치</t>
        </is>
      </c>
      <c r="S26" s="83">
        <f>HYPERLINK(LEFT(CELL("filename",A1),FIND("[",CELL("filename",A1))-1)&amp;"2.사전토공사\23_기존구조물_지장물 처리\체크리스트\기존구조물 _ 지장물 처리_체크리스트.html", "👉 [클릭] 체크리스트 열기 📄")</f>
        <v/>
      </c>
      <c r="T26" s="47" t="n"/>
      <c r="U26" s="69" t="inlineStr">
        <is>
          <t>● 환경보존법 및 비산먼지/침사지 규정 준수</t>
        </is>
      </c>
      <c r="V26" s="69" t="inlineStr">
        <is>
          <t>1) 👉 [더블클릭] 체크리스트 열기 📄</t>
        </is>
      </c>
      <c r="W26" s="49" t="n"/>
    </row>
    <row r="27" ht="96" customHeight="1">
      <c r="A27" s="47" t="inlineStr">
        <is>
          <t>9000</t>
        </is>
      </c>
      <c r="B27" s="47" t="inlineStr">
        <is>
          <t>9000-5</t>
        </is>
      </c>
      <c r="C27" s="47" t="inlineStr">
        <is>
          <t>사전토공사</t>
        </is>
      </c>
      <c r="D27" s="85" t="n">
        <v>2593368</v>
      </c>
      <c r="E27" s="47" t="inlineStr">
        <is>
          <t>9000-5-25</t>
        </is>
      </c>
      <c r="F27" s="85" t="inlineStr">
        <is>
          <t>9000-5-27</t>
        </is>
      </c>
      <c r="G27" s="47" t="inlineStr">
        <is>
          <t>D+10~30</t>
        </is>
      </c>
      <c r="H27" s="36" t="inlineStr">
        <is>
          <t>토공 굴착</t>
        </is>
      </c>
      <c r="I27" s="47" t="inlineStr">
        <is>
          <t>현장 공사팀</t>
        </is>
      </c>
      <c r="J27" s="49" t="inlineStr">
        <is>
          <t>KCS 47 10 25 굴착 규정 | 3D GPS 굴착기 표고 오차 ±20mm 통제 | 사면 비탈면 경사(1:1.5) 준수</t>
        </is>
      </c>
      <c r="K27" s="49" t="inlineStr">
        <is>
          <t>1) 3D GPS 굴착기 정밀 세팅 ➔ 2) 토사 깎기 &amp; 사면 비탈면(1:1.5) 굴착 ➔ 3) 표고 오차(±20mm) 검측 ➔ 4) 토공 굴착 성과표 감리 승인</t>
        </is>
      </c>
      <c r="L27" s="49" t="n"/>
      <c r="M27" s="49" t="inlineStr">
        <is>
          <t>3D GPS 굴착기 표고 오차 ±20mm 통제, 사면 비탈면 경사(1:1.5 이하) 준수 및 굴착 검측</t>
        </is>
      </c>
      <c r="N27" s="49" t="inlineStr">
        <is>
          <t>KCS 47 10 25 굴착 규정 | 3D GPS 굴착기 표고 오차 ±20mm 통제 | 사면 비탈면 경사(1:1.5) 준수</t>
        </is>
      </c>
      <c r="O27" s="75">
        <f>HYPERLINK(LEFT(CELL("filename",A1),FIND("[",CELL("filename",A1))-1)&amp;"2.사전토공사\24_진입로 조성\표준서\진입로 조성_표준서.html", "👉 [클릭] 표준서 열기 📄")</f>
        <v/>
      </c>
      <c r="P27" s="49" t="inlineStr">
        <is>
          <t>1) 3D GPS 굴착기 정밀 세팅 ➔ 2) 토사 깎기 &amp; 사면 비탈면(1:1.5) 굴착 ➔ 3) 표고 오차(±20mm) 검측 ➔ 4) 토공 굴착 성과표 감리 승인</t>
        </is>
      </c>
      <c r="Q27" s="76">
        <f>HYPERLINK(LEFT(CELL("filename",A1),FIND("[",CELL("filename",A1))-1)&amp;"2.사전토공사\24_진입로 조성\수행지침\진입로 조성_수행지침.html", "👉 [클릭] 수행지침 열기 📄")</f>
        <v/>
      </c>
      <c r="R27" s="49" t="inlineStr">
        <is>
          <t>3D GPS 굴착기 표고 오차 ±20mm 통제, 사면 비탈면 경사(1:1.5 이하) 준수 및 굴착 검측</t>
        </is>
      </c>
      <c r="S27" s="83">
        <f>HYPERLINK(LEFT(CELL("filename",A1),FIND("[",CELL("filename",A1))-1)&amp;"2.사전토공사\24_진입로 조성\체크리스트\진입로 조성_체크리스트.html", "👉 [클릭] 체크리스트 열기 📄")</f>
        <v/>
      </c>
      <c r="T27" s="47" t="n"/>
      <c r="U27" s="69" t="inlineStr">
        <is>
          <t>● 굴착 사면 기울기 및 굴착 공차 한계 준수</t>
        </is>
      </c>
      <c r="V27" s="69" t="inlineStr">
        <is>
          <t>1) 👉 [더블클릭] 체크리스트 열기 📄</t>
        </is>
      </c>
      <c r="W27" s="49" t="n"/>
    </row>
    <row r="28" ht="96" customHeight="1">
      <c r="A28" s="47" t="inlineStr">
        <is>
          <t>9000</t>
        </is>
      </c>
      <c r="B28" s="47" t="inlineStr">
        <is>
          <t>9000-5</t>
        </is>
      </c>
      <c r="C28" s="47" t="inlineStr">
        <is>
          <t>사전토공사</t>
        </is>
      </c>
      <c r="D28" s="85" t="n">
        <v>2593369</v>
      </c>
      <c r="E28" s="47" t="inlineStr">
        <is>
          <t>9000-5-26</t>
        </is>
      </c>
      <c r="F28" s="85" t="inlineStr">
        <is>
          <t>9000-5-28</t>
        </is>
      </c>
      <c r="G28" s="47" t="inlineStr">
        <is>
          <t>D+10~30</t>
        </is>
      </c>
      <c r="H28" s="36" t="inlineStr">
        <is>
          <t>노상토 지지력 확인</t>
        </is>
      </c>
      <c r="I28" s="47" t="inlineStr">
        <is>
          <t>현장 품질팀</t>
        </is>
      </c>
      <c r="J28" s="49" t="inlineStr">
        <is>
          <t>KS F 2310 규정 준수 | 굴착 바닥 원지반 평판재하시험 K30 ≥ 70 MN/m³ | 덤프트럭 펌핑 연약 지반 점검</t>
        </is>
      </c>
      <c r="K28" s="49" t="inlineStr">
        <is>
          <t>1) 굴착 바닥 원지반 수평 정리 ➔ 2) K30 평판재하시험(≥70 MN/m³) ➔ 3) 덤프트럭 펌핑 연약 지반 점검 ➔ 4) 노상토 지지력 성과표 승인</t>
        </is>
      </c>
      <c r="L28" s="49" t="n"/>
      <c r="M28" s="49" t="inlineStr">
        <is>
          <t>굴착 바닥 평판재하시험 K30 ≥ 70 MN/m³, 덤프트럭 펌핑 연약 지반 점검 및 노상토 승인</t>
        </is>
      </c>
      <c r="N28" s="49" t="inlineStr">
        <is>
          <t>KS F 2310 규정 준수 | 굴착 바닥 원지반 평판재하시험 K30 ≥ 70 MN/m³ | 덤프트럭 펌핑 연약 지반 점검</t>
        </is>
      </c>
      <c r="O28" s="75">
        <f>HYPERLINK(LEFT(CELL("filename",A1),FIND("[",CELL("filename",A1))-1)&amp;"2.사전토공사\25_배수_환경시설 설치\표준서\배수_환경시설 설치_표준서.html", "👉 [클릭] 표준서 열기 📄")</f>
        <v/>
      </c>
      <c r="P28" s="49" t="inlineStr">
        <is>
          <t>1) 굴착 바닥 원지반 수평 정리 ➔ 2) K30 평판재하시험(≥70 MN/m³) ➔ 3) 덤프트럭 펌핑 연약 지반 점검 ➔ 4) 노상토 지지력 성과표 승인</t>
        </is>
      </c>
      <c r="Q28" s="76">
        <f>HYPERLINK(LEFT(CELL("filename",A1),FIND("[",CELL("filename",A1))-1)&amp;"2.사전토공사\25_배수_환경시설 설치\수행지침\배수_환경시설 설치_수행지침.html", "👉 [클릭] 수행지침 열기 📄")</f>
        <v/>
      </c>
      <c r="R28" s="49" t="inlineStr">
        <is>
          <t>굴착 바닥 평판재하시험 K30 ≥ 70 MN/m³, 덤프트럭 펌핑 연약 지반 점검 및 노상토 승인</t>
        </is>
      </c>
      <c r="S28" s="83">
        <f>HYPERLINK(LEFT(CELL("filename",A1),FIND("[",CELL("filename",A1))-1)&amp;"2.사전토공사\25_배수_환경시설 설치\체크리스트\배수_환경시설 설치_체크리스트.html", "👉 [클릭] 체크리스트 열기 📄")</f>
        <v/>
      </c>
      <c r="T28" s="47" t="n"/>
      <c r="U28" s="69" t="inlineStr">
        <is>
          <t>● 강화노반 필요 지지력 규격 만족</t>
        </is>
      </c>
      <c r="V28" s="69" t="inlineStr">
        <is>
          <t>1) 👉 [더블클릭] 체크리스트 열기 📄</t>
        </is>
      </c>
      <c r="W28" s="49" t="n"/>
    </row>
    <row r="29" ht="96" customHeight="1">
      <c r="A29" s="47" t="inlineStr">
        <is>
          <t>9000</t>
        </is>
      </c>
      <c r="B29" s="47" t="inlineStr">
        <is>
          <t>9000-5</t>
        </is>
      </c>
      <c r="C29" s="47" t="inlineStr">
        <is>
          <t>사전토공사</t>
        </is>
      </c>
      <c r="D29" s="85" t="n">
        <v>2593370</v>
      </c>
      <c r="E29" s="47" t="inlineStr">
        <is>
          <t>9000-5-27</t>
        </is>
      </c>
      <c r="F29" s="85" t="inlineStr">
        <is>
          <t>9000-5-29</t>
        </is>
      </c>
      <c r="G29" s="47" t="inlineStr">
        <is>
          <t>D+10~30</t>
        </is>
      </c>
      <c r="H29" s="36" t="inlineStr">
        <is>
          <t>쌓기 및 다짐(필요시)</t>
        </is>
      </c>
      <c r="I29" s="47" t="inlineStr">
        <is>
          <t>현장 공사팀</t>
        </is>
      </c>
      <c r="J29" s="49" t="inlineStr">
        <is>
          <t>KCS 47 10 25 성토 시방 | 층두께 ≤ 30cm 토사 포설 | 10t 강동 롤러 다짐(들밀도 다짐도 ≥ 90%)</t>
        </is>
      </c>
      <c r="K29" s="49" t="inlineStr">
        <is>
          <t>1) 성토 토사 30cm 층포설 ➔ 2) 살수차 최적함수비 살수 ➔ 3) 10t 강동 롤러 다짐(다짐도≥90%) ➔ 4) 성토 다짐 성과표 감리 승인</t>
        </is>
      </c>
      <c r="L29" s="49" t="n"/>
      <c r="M29" s="49" t="inlineStr">
        <is>
          <t>성토 토사 30cm 층포설, 살수차 최적함수비 OMC 살수 및 10t 롤러 다짐(다짐도 ≥ 90%)</t>
        </is>
      </c>
      <c r="N29" s="49" t="inlineStr">
        <is>
          <t>KCS 47 10 25 성토 시방 | 층두께 ≤ 30cm 토사 포설 | 10t 강동 롤러 다짐(들밀도 다짐도 ≥ 90%)</t>
        </is>
      </c>
      <c r="O29" s="75">
        <f>HYPERLINK(LEFT(CELL("filename",A1),FIND("[",CELL("filename",A1))-1)&amp;"2.사전토공사\26_토공 굴착\표준서\토공 굴착_표준서.html", "👉 [클릭] 표준서 열기 📄")</f>
        <v/>
      </c>
      <c r="P29" s="49" t="inlineStr">
        <is>
          <t>1) 성토 토사 30cm 층포설 ➔ 2) 살수차 최적함수비 살수 ➔ 3) 10t 강동 롤러 다짐(다짐도≥90%) ➔ 4) 성토 다짐 성과표 감리 승인</t>
        </is>
      </c>
      <c r="Q29" s="76">
        <f>HYPERLINK(LEFT(CELL("filename",A1),FIND("[",CELL("filename",A1))-1)&amp;"2.사전토공사\26_토공 굴착\수행지침\토공 굴착_수행지침.html", "👉 [클릭] 수행지침 열기 📄")</f>
        <v/>
      </c>
      <c r="R29" s="49" t="inlineStr">
        <is>
          <t>성토 토사 30cm 층포설, 살수차 최적함수비 OMC 살수 및 10t 롤러 다짐(다짐도 ≥ 90%)</t>
        </is>
      </c>
      <c r="S29" s="83">
        <f>HYPERLINK(LEFT(CELL("filename",A1),FIND("[",CELL("filename",A1))-1)&amp;"2.사전토공사\26_토공 굴착\체크리스트\토공 굴착_체크리스트.html", "👉 [클릭] 체크리스트 열기 📄")</f>
        <v/>
      </c>
      <c r="T29" s="47" t="n"/>
      <c r="U29" s="69" t="inlineStr">
        <is>
          <t>● 다짐도(95% 이상) 규격 준수</t>
        </is>
      </c>
      <c r="V29" s="69" t="inlineStr">
        <is>
          <t>1) 👉 [더블클릭] 체크리스트 열기 📄</t>
        </is>
      </c>
      <c r="W29" s="49" t="n"/>
    </row>
    <row r="30" ht="96" customHeight="1">
      <c r="A30" s="47" t="inlineStr">
        <is>
          <t>9000</t>
        </is>
      </c>
      <c r="B30" s="47" t="inlineStr">
        <is>
          <t>9000-5</t>
        </is>
      </c>
      <c r="C30" s="47" t="inlineStr">
        <is>
          <t>사전토공사</t>
        </is>
      </c>
      <c r="D30" s="85" t="n">
        <v>2593371</v>
      </c>
      <c r="E30" s="47" t="inlineStr">
        <is>
          <t>9000-5-28</t>
        </is>
      </c>
      <c r="F30" s="85" t="inlineStr">
        <is>
          <t>9000-5-30</t>
        </is>
      </c>
      <c r="G30" s="47" t="inlineStr">
        <is>
          <t>D+75일 이후</t>
        </is>
      </c>
      <c r="H30" s="36" t="inlineStr">
        <is>
          <t>현장지원</t>
        </is>
      </c>
      <c r="I30" s="47" t="inlineStr">
        <is>
          <t>토목수행팀, 토목품질팀, 토목안전팀</t>
        </is>
      </c>
      <c r="J30" s="49" t="inlineStr">
        <is>
          <t>현장 통합 소통 수칙 | 일일 TBM 및 품질/안전 지원 대장 수록 | 감리 입회 검측 서면 승인</t>
        </is>
      </c>
      <c r="K30" s="49" t="inlineStr">
        <is>
          <t>1) 일일 현장 품질/안전 지원 ➔ 2) TBM 및 근로자 교육 ➔ 3) 공정 장애 요소 해소 ➔ 4) 현장 지원 대장 서면 승인</t>
        </is>
      </c>
      <c r="L30" s="49" t="n"/>
      <c r="M30" s="49" t="inlineStr">
        <is>
          <t>일일 현장 품질/안전 지원 대장, TBM 및 근로자 교육 시행 서면 승인</t>
        </is>
      </c>
      <c r="N30" s="49" t="inlineStr">
        <is>
          <t>현장 통합 소통 수칙 | 일일 TBM 및 품질/안전 지원 대장 수록 | 감리 입회 검측 서면 승인</t>
        </is>
      </c>
      <c r="O30" s="75">
        <f>HYPERLINK(LEFT(CELL("filename",A1),FIND("[",CELL("filename",A1))-1)&amp;"2.사전토공사\27_노상토 지지력 확인\표준서\노상토 지지력 확인_표준서.html", "👉 [클릭] 표준서 열기 📄")</f>
        <v/>
      </c>
      <c r="P30" s="49" t="inlineStr">
        <is>
          <t>1) 일일 현장 품질/안전 지원 ➔ 2) TBM 및 근로자 교육 ➔ 3) 공정 장애 요소 해소 ➔ 4) 현장 지원 대장 서면 승인</t>
        </is>
      </c>
      <c r="Q30" s="76">
        <f>HYPERLINK(LEFT(CELL("filename",A1),FIND("[",CELL("filename",A1))-1)&amp;"2.사전토공사\27_노상토 지지력 확인\수행지침\노상토 지지력 확인_수행지침.html", "👉 [클릭] 수행지침 열기 📄")</f>
        <v/>
      </c>
      <c r="R30" s="49" t="inlineStr">
        <is>
          <t>일일 현장 품질/안전 지원 대장, TBM 및 근로자 교육 시행 서면 승인</t>
        </is>
      </c>
      <c r="S30" s="83">
        <f>HYPERLINK(LEFT(CELL("filename",A1),FIND("[",CELL("filename",A1))-1)&amp;"2.사전토공사\27_노상토 지지력 확인\체크리스트\노상토 지지력 확인_체크리스트.html", "👉 [클릭] 체크리스트 열기 📄")</f>
        <v/>
      </c>
      <c r="T30" s="47" t="n"/>
      <c r="U30" s="69" t="inlineStr">
        <is>
          <t>● 본사 정기현장점검 지침 준수</t>
        </is>
      </c>
      <c r="V30" s="69" t="inlineStr">
        <is>
          <t>1) 👉 [더블클릭] 체크리스트 열기 📄</t>
        </is>
      </c>
      <c r="W30" s="49" t="n"/>
    </row>
    <row r="31" ht="96" customHeight="1">
      <c r="A31" s="47" t="inlineStr">
        <is>
          <t>9000</t>
        </is>
      </c>
      <c r="B31" s="47" t="inlineStr">
        <is>
          <t>9000-5</t>
        </is>
      </c>
      <c r="C31" s="47" t="inlineStr">
        <is>
          <t>사전토공사</t>
        </is>
      </c>
      <c r="D31" s="85" t="n">
        <v>2593372</v>
      </c>
      <c r="E31" s="47" t="inlineStr">
        <is>
          <t>9000-5-29</t>
        </is>
      </c>
      <c r="F31" s="85" t="n">
        <v>0</v>
      </c>
      <c r="G31" s="47" t="inlineStr">
        <is>
          <t>D+75일 이후</t>
        </is>
      </c>
      <c r="H31" s="36" t="inlineStr">
        <is>
          <t>강화노반 인계</t>
        </is>
      </c>
      <c r="I31" s="47" t="inlineStr">
        <is>
          <t>현장 공사팀 / 품질팀</t>
        </is>
      </c>
      <c r="J31" s="49" t="inlineStr">
        <is>
          <t>KCS 47 10 25 인계인수 수칙 | 토공-강화노반 시공팀 3자 합동 레벨 측량 | 마무리면 인계인수서 서명</t>
        </is>
      </c>
      <c r="K31" s="49" t="inlineStr">
        <is>
          <t>1) 토공-강화노반 시공팀 3자 합동 현측 ➔ 2) 마무리면 레벨 오차(±10mm) 확인 ➔ 3) 인계인수 합의서 서명 ➔ 4) 토공 마무리면 인계 완료</t>
        </is>
      </c>
      <c r="L31" s="49" t="n"/>
      <c r="M31" s="49" t="inlineStr">
        <is>
          <t>토공-강화노반 시공팀 3자 합동 레벨 측량, 마무리면 레벨 오차(±10mm) 인계인수서 서명</t>
        </is>
      </c>
      <c r="N31" s="49" t="inlineStr">
        <is>
          <t>KCS 47 10 25 인계인수 수칙 | 토공-강화노반 시공팀 3자 합동 레벨 측량 | 마무리면 인계인수서 서명</t>
        </is>
      </c>
      <c r="O31" s="75">
        <f>HYPERLINK(LEFT(CELL("filename",A1),FIND("[",CELL("filename",A1))-1)&amp;"2.사전토공사\28_쌓기 및 다짐_필요시\표준서\쌓기 및 다짐(필요시)_표준서.html", "👉 [클릭] 표준서 열기 📄")</f>
        <v/>
      </c>
      <c r="P31" s="49" t="inlineStr">
        <is>
          <t>1) 토공-강화노반 시공팀 3자 합동 현측 ➔ 2) 마무리면 레벨 오차(±10mm) 확인 ➔ 3) 인계인수 합의서 서명 ➔ 4) 토공 마무리면 인계 완료</t>
        </is>
      </c>
      <c r="Q31" s="76">
        <f>HYPERLINK(LEFT(CELL("filename",A1),FIND("[",CELL("filename",A1))-1)&amp;"2.사전토공사\28_쌓기 및 다짐_필요시\수행지침\쌓기 및 다짐(필요시)_수행지침.html", "👉 [클릭] 수행지침 열기 📄")</f>
        <v/>
      </c>
      <c r="R31" s="49" t="inlineStr">
        <is>
          <t>토공-강화노반 시공팀 3자 합동 레벨 측량, 마무리면 레벨 오차(±10mm) 인계인수서 서명</t>
        </is>
      </c>
      <c r="S31" s="83">
        <f>HYPERLINK(LEFT(CELL("filename",A1),FIND("[",CELL("filename",A1))-1)&amp;"2.사전토공사\28_쌓기 및 다짐_필요시\체크리스트\쌓기 및 다짐(필요시)_체크리스트.html", "👉 [클릭] 체크리스트 열기 📄")</f>
        <v/>
      </c>
      <c r="T31" s="47" t="n"/>
      <c r="U31" s="69" t="inlineStr">
        <is>
          <t>● 궤도 부설 구간 허용 오차 한계 확인</t>
        </is>
      </c>
      <c r="V31" s="69" t="inlineStr">
        <is>
          <t>1) 👉 [더블클릭] 체크리스트 열기 📄</t>
        </is>
      </c>
      <c r="W31" s="49" t="n"/>
    </row>
    <row r="32" ht="96" customHeight="1">
      <c r="A32" s="47" t="inlineStr">
        <is>
          <t>9000</t>
        </is>
      </c>
      <c r="B32" s="47" t="inlineStr">
        <is>
          <t>9000-5</t>
        </is>
      </c>
      <c r="C32" s="47" t="inlineStr">
        <is>
          <t>사전토공사</t>
        </is>
      </c>
      <c r="D32" s="85" t="n">
        <v>2593373</v>
      </c>
      <c r="E32" s="64" t="n"/>
      <c r="F32" s="85" t="n">
        <v>0</v>
      </c>
      <c r="G32" s="47" t="inlineStr">
        <is>
          <t>D+75일 이후</t>
        </is>
      </c>
      <c r="H32" s="36" t="inlineStr">
        <is>
          <t>장비 검수 지원</t>
        </is>
      </c>
      <c r="I32" s="47" t="inlineStr">
        <is>
          <t>기술안전팀</t>
        </is>
      </c>
      <c r="J32" s="49" t="inlineStr">
        <is>
          <t>성토 및 사토 운반용 토공장비 검토</t>
        </is>
      </c>
      <c r="K32" s="49" t="inlineStr">
        <is>
          <t>현장 여건 및 후행공종 요구조건에 적합한 시공계획 작성여부 확인</t>
        </is>
      </c>
      <c r="L32" s="49" t="n"/>
      <c r="M32" s="49" t="inlineStr">
        <is>
          <t>시공계획서 작성지원</t>
        </is>
      </c>
      <c r="N32" s="49" t="inlineStr">
        <is>
          <t>KCS 47 10 25 인계인수 수칙 | 토공-강화노반 시공팀 3자 합동 레벨 측량 | 마무리면 인계인수서 서명</t>
        </is>
      </c>
      <c r="O32" s="75">
        <f>HYPERLINK(LEFT(CELL("filename",A1),FIND("[",CELL("filename",A1))-1)&amp;"2.사전토공사\29_현장지원\표준서\현장지원_표준서.html", "👉 [클릭] 표준서 열기 📄")</f>
        <v/>
      </c>
      <c r="P32" s="49" t="inlineStr">
        <is>
          <t>1) 토공-강화노반 시공팀 3자 합동 현측 ➔ 2) 마무리면 레벨 오차(±10mm) 확인 ➔ 3) 인계인수 합의서 서명 ➔ 4) 토공 마무리면 인계 완료</t>
        </is>
      </c>
      <c r="Q32" s="76">
        <f>HYPERLINK(LEFT(CELL("filename",A1),FIND("[",CELL("filename",A1))-1)&amp;"2.사전토공사\29_현장지원\수행지침\현장지원_수행지침.html", "👉 [클릭] 수행지침 열기 📄")</f>
        <v/>
      </c>
      <c r="R32" s="49" t="inlineStr">
        <is>
          <t>토공-강화노반 시공팀 3자 합동 레벨 측량, 마무리면 레벨 오차(±10mm) 인계인수서 서명</t>
        </is>
      </c>
      <c r="S32" s="83">
        <f>HYPERLINK(LEFT(CELL("filename",A1),FIND("[",CELL("filename",A1))-1)&amp;"2.사전토공사\29_현장지원\체크리스트\현장지원_체크리스트.html", "👉 [클릭] 체크리스트 열기 📄")</f>
        <v/>
      </c>
      <c r="T32" s="47" t="n"/>
      <c r="U32" s="69" t="inlineStr">
        <is>
          <t>● 궤도 부설 구간 허용 오차 한계 확인</t>
        </is>
      </c>
      <c r="V32" s="69" t="inlineStr">
        <is>
          <t>1) 👉 [더블클릭] 체크리스트 열기 📄</t>
        </is>
      </c>
      <c r="W32" s="49" t="n"/>
    </row>
    <row r="33" ht="46.8" customHeight="1">
      <c r="E33" s="47">
        <f>D31</f>
        <v/>
      </c>
      <c r="F33" s="47">
        <f>D34</f>
        <v/>
      </c>
      <c r="O33" s="78">
        <f>HYPERLINK(LEFT(CELL("filename",A1),FIND("[",CELL("filename",A1))-1)&amp;"2.사전토공사\30_강화노반 인계\표준서\강화노반 인계_표준서.html", "👉 [클릭] 표준서 열기 📄")</f>
        <v/>
      </c>
      <c r="Q33" s="79">
        <f>HYPERLINK(LEFT(CELL("filename",A1),FIND("[",CELL("filename",A1))-1)&amp;"2.사전토공사\30_강화노반 인계\수행지침\강화노반 인계_수행지침.html", "👉 [클릭] 수행지침 열기 📄")</f>
        <v/>
      </c>
      <c r="S33" s="84">
        <f>HYPERLINK(LEFT(CELL("filename",A1),FIND("[",CELL("filename",A1))-1)&amp;"2.사전토공사\30_강화노반 인계\체크리스트\강화노반 인계_체크리스트.html", "👉 [클릭] 체크리스트 열기 📄")</f>
        <v/>
      </c>
    </row>
    <row r="34" ht="46.8" customHeight="1">
      <c r="E34" s="47">
        <f>D33</f>
        <v/>
      </c>
      <c r="F34" s="47">
        <f>D35</f>
        <v/>
      </c>
      <c r="O34" s="78">
        <f>HYPERLINK(LEFT(CELL("filename",A1),FIND("[",CELL("filename",A1))-1)&amp;"2.사전토공사\32_Task_32\표준서\Task_32_표준서.html", "👉 [클릭] 표준서 열기 📄")</f>
        <v/>
      </c>
      <c r="Q34" s="79">
        <f>HYPERLINK(LEFT(CELL("filename",A1),FIND("[",CELL("filename",A1))-1)&amp;"2.사전토공사\32_Task_32\수행지침\Task_32_수행지침.html", "👉 [클릭] 수행지침 열기 📄")</f>
        <v/>
      </c>
      <c r="S34" s="84">
        <f>HYPERLINK(LEFT(CELL("filename",A1),FIND("[",CELL("filename",A1))-1)&amp;"2.사전토공사\32_Task_32\체크리스트\Task_32_체크리스트.html", "👉 [클릭] 체크리스트 열기 📄")</f>
        <v/>
      </c>
    </row>
    <row r="35">
      <c r="E35" s="47">
        <f>D34</f>
        <v/>
      </c>
      <c r="F35" s="47">
        <f>D36</f>
        <v/>
      </c>
    </row>
    <row r="36">
      <c r="E36" s="47">
        <f>D35</f>
        <v/>
      </c>
      <c r="F36" s="47">
        <f>D37</f>
        <v/>
      </c>
    </row>
    <row r="37">
      <c r="E37" s="47">
        <f>D36</f>
        <v/>
      </c>
      <c r="F37" s="47">
        <f>D38</f>
        <v/>
      </c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>
        <f>D40</f>
        <v/>
      </c>
    </row>
    <row r="40">
      <c r="E40" s="47">
        <f>D39</f>
        <v/>
      </c>
      <c r="F40" s="47" t="n"/>
    </row>
  </sheetData>
  <hyperlinks>
    <hyperlink xmlns:r="http://schemas.openxmlformats.org/officeDocument/2006/relationships" ref="U2" r:id="rId1"/>
    <hyperlink xmlns:r="http://schemas.openxmlformats.org/officeDocument/2006/relationships" ref="V2" r:id="rId2"/>
    <hyperlink xmlns:r="http://schemas.openxmlformats.org/officeDocument/2006/relationships" ref="U3" r:id="rId3"/>
    <hyperlink xmlns:r="http://schemas.openxmlformats.org/officeDocument/2006/relationships" ref="V3" r:id="rId4"/>
    <hyperlink xmlns:r="http://schemas.openxmlformats.org/officeDocument/2006/relationships" ref="U4" r:id="rId5"/>
    <hyperlink xmlns:r="http://schemas.openxmlformats.org/officeDocument/2006/relationships" ref="V4" r:id="rId6"/>
    <hyperlink xmlns:r="http://schemas.openxmlformats.org/officeDocument/2006/relationships" ref="U5" r:id="rId7"/>
    <hyperlink xmlns:r="http://schemas.openxmlformats.org/officeDocument/2006/relationships" ref="V5" r:id="rId8"/>
    <hyperlink xmlns:r="http://schemas.openxmlformats.org/officeDocument/2006/relationships" ref="U6" r:id="rId9"/>
    <hyperlink xmlns:r="http://schemas.openxmlformats.org/officeDocument/2006/relationships" ref="V6" r:id="rId10"/>
    <hyperlink xmlns:r="http://schemas.openxmlformats.org/officeDocument/2006/relationships" ref="U7" r:id="rId11"/>
    <hyperlink xmlns:r="http://schemas.openxmlformats.org/officeDocument/2006/relationships" ref="V7" r:id="rId12"/>
    <hyperlink xmlns:r="http://schemas.openxmlformats.org/officeDocument/2006/relationships" ref="U8" r:id="rId13"/>
    <hyperlink xmlns:r="http://schemas.openxmlformats.org/officeDocument/2006/relationships" ref="V8" r:id="rId14"/>
    <hyperlink xmlns:r="http://schemas.openxmlformats.org/officeDocument/2006/relationships" ref="U9" r:id="rId15"/>
    <hyperlink xmlns:r="http://schemas.openxmlformats.org/officeDocument/2006/relationships" ref="V9" r:id="rId16"/>
    <hyperlink xmlns:r="http://schemas.openxmlformats.org/officeDocument/2006/relationships" ref="U10" r:id="rId17"/>
    <hyperlink xmlns:r="http://schemas.openxmlformats.org/officeDocument/2006/relationships" ref="V10" r:id="rId18"/>
    <hyperlink xmlns:r="http://schemas.openxmlformats.org/officeDocument/2006/relationships" ref="U11" r:id="rId19"/>
    <hyperlink xmlns:r="http://schemas.openxmlformats.org/officeDocument/2006/relationships" ref="V11" r:id="rId20"/>
    <hyperlink xmlns:r="http://schemas.openxmlformats.org/officeDocument/2006/relationships" ref="U12" r:id="rId21"/>
    <hyperlink xmlns:r="http://schemas.openxmlformats.org/officeDocument/2006/relationships" ref="V12" r:id="rId22"/>
    <hyperlink xmlns:r="http://schemas.openxmlformats.org/officeDocument/2006/relationships" ref="U13" r:id="rId23"/>
    <hyperlink xmlns:r="http://schemas.openxmlformats.org/officeDocument/2006/relationships" ref="V13" r:id="rId24"/>
    <hyperlink xmlns:r="http://schemas.openxmlformats.org/officeDocument/2006/relationships" ref="U14" r:id="rId25"/>
    <hyperlink xmlns:r="http://schemas.openxmlformats.org/officeDocument/2006/relationships" ref="V14" r:id="rId26"/>
    <hyperlink xmlns:r="http://schemas.openxmlformats.org/officeDocument/2006/relationships" ref="U15" r:id="rId27"/>
    <hyperlink xmlns:r="http://schemas.openxmlformats.org/officeDocument/2006/relationships" ref="V15" r:id="rId28"/>
    <hyperlink xmlns:r="http://schemas.openxmlformats.org/officeDocument/2006/relationships" ref="U16" r:id="rId29"/>
    <hyperlink xmlns:r="http://schemas.openxmlformats.org/officeDocument/2006/relationships" ref="V16" r:id="rId30"/>
    <hyperlink xmlns:r="http://schemas.openxmlformats.org/officeDocument/2006/relationships" ref="U17" r:id="rId31"/>
    <hyperlink xmlns:r="http://schemas.openxmlformats.org/officeDocument/2006/relationships" ref="V17" r:id="rId32"/>
    <hyperlink xmlns:r="http://schemas.openxmlformats.org/officeDocument/2006/relationships" ref="U18" r:id="rId33"/>
    <hyperlink xmlns:r="http://schemas.openxmlformats.org/officeDocument/2006/relationships" ref="V18" r:id="rId34"/>
    <hyperlink xmlns:r="http://schemas.openxmlformats.org/officeDocument/2006/relationships" ref="U19" r:id="rId35"/>
    <hyperlink xmlns:r="http://schemas.openxmlformats.org/officeDocument/2006/relationships" ref="V19" r:id="rId36"/>
    <hyperlink xmlns:r="http://schemas.openxmlformats.org/officeDocument/2006/relationships" ref="U20" r:id="rId37"/>
    <hyperlink xmlns:r="http://schemas.openxmlformats.org/officeDocument/2006/relationships" ref="V20" r:id="rId38"/>
    <hyperlink xmlns:r="http://schemas.openxmlformats.org/officeDocument/2006/relationships" ref="U21" r:id="rId39"/>
    <hyperlink xmlns:r="http://schemas.openxmlformats.org/officeDocument/2006/relationships" ref="V21" r:id="rId40"/>
    <hyperlink xmlns:r="http://schemas.openxmlformats.org/officeDocument/2006/relationships" ref="U22" r:id="rId41"/>
    <hyperlink xmlns:r="http://schemas.openxmlformats.org/officeDocument/2006/relationships" ref="V22" r:id="rId42"/>
    <hyperlink xmlns:r="http://schemas.openxmlformats.org/officeDocument/2006/relationships" ref="U23" r:id="rId43"/>
    <hyperlink xmlns:r="http://schemas.openxmlformats.org/officeDocument/2006/relationships" ref="V23" r:id="rId44"/>
    <hyperlink xmlns:r="http://schemas.openxmlformats.org/officeDocument/2006/relationships" ref="U24" r:id="rId45"/>
    <hyperlink xmlns:r="http://schemas.openxmlformats.org/officeDocument/2006/relationships" ref="V24" r:id="rId46"/>
    <hyperlink xmlns:r="http://schemas.openxmlformats.org/officeDocument/2006/relationships" ref="U25" r:id="rId47"/>
    <hyperlink xmlns:r="http://schemas.openxmlformats.org/officeDocument/2006/relationships" ref="V25" r:id="rId48"/>
    <hyperlink xmlns:r="http://schemas.openxmlformats.org/officeDocument/2006/relationships" ref="U26" r:id="rId49"/>
    <hyperlink xmlns:r="http://schemas.openxmlformats.org/officeDocument/2006/relationships" ref="V26" r:id="rId50"/>
    <hyperlink xmlns:r="http://schemas.openxmlformats.org/officeDocument/2006/relationships" ref="U27" r:id="rId51"/>
    <hyperlink xmlns:r="http://schemas.openxmlformats.org/officeDocument/2006/relationships" ref="V27" r:id="rId52"/>
    <hyperlink xmlns:r="http://schemas.openxmlformats.org/officeDocument/2006/relationships" ref="U28" r:id="rId53"/>
    <hyperlink xmlns:r="http://schemas.openxmlformats.org/officeDocument/2006/relationships" ref="V28" r:id="rId54"/>
    <hyperlink xmlns:r="http://schemas.openxmlformats.org/officeDocument/2006/relationships" ref="U29" r:id="rId55"/>
    <hyperlink xmlns:r="http://schemas.openxmlformats.org/officeDocument/2006/relationships" ref="V29" r:id="rId56"/>
    <hyperlink xmlns:r="http://schemas.openxmlformats.org/officeDocument/2006/relationships" ref="U30" r:id="rId57"/>
    <hyperlink xmlns:r="http://schemas.openxmlformats.org/officeDocument/2006/relationships" ref="V30" r:id="rId58"/>
    <hyperlink xmlns:r="http://schemas.openxmlformats.org/officeDocument/2006/relationships" ref="U31" r:id="rId59"/>
    <hyperlink xmlns:r="http://schemas.openxmlformats.org/officeDocument/2006/relationships" ref="V31" r:id="rId60"/>
    <hyperlink xmlns:r="http://schemas.openxmlformats.org/officeDocument/2006/relationships" ref="U32" r:id="rId61"/>
    <hyperlink xmlns:r="http://schemas.openxmlformats.org/officeDocument/2006/relationships" ref="V32" r:id="rId62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3" verticalDpi="0"/>
</worksheet>
</file>

<file path=xl/worksheets/sheet3.xml><?xml version="1.0" encoding="utf-8"?>
<worksheet xmlns="http://schemas.openxmlformats.org/spreadsheetml/2006/main">
  <sheetPr codeName="Sheet3">
    <tabColor rgb="FFFFFF00"/>
    <outlinePr summaryBelow="1" summaryRight="1"/>
    <pageSetUpPr/>
  </sheetPr>
  <dimension ref="A1:V62"/>
  <sheetViews>
    <sheetView view="pageBreakPreview" zoomScale="55" zoomScaleNormal="55" zoomScaleSheetLayoutView="55" workbookViewId="0">
      <selection activeCell="N5" sqref="N5"/>
    </sheetView>
  </sheetViews>
  <sheetFormatPr baseColWidth="8" defaultRowHeight="19.2"/>
  <cols>
    <col width="8.796875" customWidth="1" style="42" min="1" max="2"/>
    <col width="18.59765625" customWidth="1" style="42" min="3" max="3"/>
    <col width="16" customWidth="1" style="22" min="4" max="6"/>
    <col width="12.296875" bestFit="1" customWidth="1" style="22" min="7" max="7"/>
    <col width="34.09765625" customWidth="1" style="45" min="8" max="8"/>
    <col width="32.59765625" customWidth="1" style="42" min="9" max="9"/>
    <col width="36.3984375" customWidth="1" style="42" min="10" max="10"/>
    <col width="37.59765625" customWidth="1" style="42" min="11" max="11"/>
    <col width="31.796875" customWidth="1" style="42" min="12" max="12"/>
    <col width="43.69921875" customWidth="1" style="26" min="13" max="13"/>
    <col width="11.5" customWidth="1" style="42" min="14" max="14"/>
    <col width="56.296875" customWidth="1" style="26" min="15" max="15"/>
    <col width="9.5" customWidth="1" style="42" min="16" max="16"/>
    <col width="46.69921875" customWidth="1" style="60" min="17" max="17"/>
    <col width="9.19921875" customWidth="1" style="54" min="18" max="18"/>
    <col width="16.5" customWidth="1" style="42" min="19" max="19"/>
    <col width="45" customWidth="1" style="54" min="20" max="20"/>
    <col width="22" customWidth="1" style="54" min="21" max="21"/>
    <col width="22" customWidth="1" style="42" min="22" max="37"/>
    <col width="8.796875" customWidth="1" style="42" min="38" max="67"/>
    <col width="8.796875" customWidth="1" style="42" min="68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15" t="inlineStr">
        <is>
          <t>표준서 (Standard) 요약</t>
        </is>
      </c>
      <c r="N1" s="7" t="inlineStr">
        <is>
          <t>표준서 파일 (HTML)</t>
        </is>
      </c>
      <c r="O1" s="15" t="inlineStr">
        <is>
          <t>수행지침 (Guideline) 요약</t>
        </is>
      </c>
      <c r="P1" s="7" t="inlineStr">
        <is>
          <t>수행지침 파일 (HTML)</t>
        </is>
      </c>
      <c r="Q1" s="15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0" customHeight="1">
      <c r="A2" s="47" t="inlineStr">
        <is>
          <t>2000</t>
        </is>
      </c>
      <c r="B2" s="47" t="inlineStr">
        <is>
          <t>2000-1</t>
        </is>
      </c>
      <c r="C2" s="48" t="inlineStr">
        <is>
          <t>지장뭉 이설</t>
        </is>
      </c>
      <c r="D2" s="47" t="inlineStr">
        <is>
          <t>2000-1-1</t>
        </is>
      </c>
      <c r="E2" s="47" t="n"/>
      <c r="F2" s="47">
        <f>D3</f>
        <v/>
      </c>
      <c r="G2" s="47" t="inlineStr">
        <is>
          <t>P-30</t>
        </is>
      </c>
      <c r="H2" s="52" t="inlineStr">
        <is>
          <t>Site Survey Risk 검토</t>
        </is>
      </c>
      <c r="I2" s="47" t="inlineStr">
        <is>
          <t>토목국내견적팀</t>
        </is>
      </c>
      <c r="J2" s="49" t="inlineStr">
        <is>
          <t>지하안전관리에 관한 특별법 제23조 | 현장 지반 조사, GPR 탐사 데이터 및 신설 궤도 간섭 리스크 사전 분석 | 지장물 이설 리스크 관리계획 수립</t>
        </is>
      </c>
      <c r="K2" s="49" t="inlineStr">
        <is>
          <t>1) 지반 조사 주상도 &amp; GPR 데이터 대조 ➔ 2) 신설 궤도 구조물 간섭 관로 추출 ➔ 3) 기관별 이설 우선순위 수립 ➔ 4) 지장물 리스크 보고서 결재</t>
        </is>
      </c>
      <c r="L2" s="49" t="inlineStr">
        <is>
          <t>지반 시추 주상도, GPR 3D 지중 관로 탐사 데이터 대조 및 신설 궤도 구조물 간섭 관로 사전 현출 점검</t>
        </is>
      </c>
      <c r="M2" s="55" t="inlineStr">
        <is>
          <t>지하안전관리에 관한 특별법 제23조 | 현장 지반 조사, GPR 탐사 데이터 및 신설 궤도 간섭 리스크 사전 분석 | 지장물 이설 리스크 관리계획 수립</t>
        </is>
      </c>
      <c r="N2" s="75">
        <f>HYPERLINK(LEFT(CELL("filename",A1),FIND("[",CELL("filename",A1))-1)&amp;"3.지장물이설\1_Site Survey Risk 검토\표준서\1_Site Survey Risk 검토_표준서.html", "👉 [클릭] 표준서 열기 📄")</f>
        <v/>
      </c>
      <c r="O2" s="55" t="inlineStr">
        <is>
          <t>1) 지반 조사 주상도 &amp; GPR 데이터 대조 ➔ 2) 신설 궤도 구조물 간섭 관로 추출 ➔ 3) 기관별 이설 우선순위 수립 ➔ 4) 지장물 리스크 보고서 결재</t>
        </is>
      </c>
      <c r="P2" s="76">
        <f>HYPERLINK(LEFT(CELL("filename",A1),FIND("[",CELL("filename",A1))-1)&amp;"3.지장물이설\1_Site Survey Risk 검토\수행지침\1_Site Survey Risk 검토_수행지침.html", "👉 [클릭] 수행지침 열기 📄")</f>
        <v/>
      </c>
      <c r="Q2" s="56" t="inlineStr">
        <is>
          <t>지반 시추 주상도, GPR 3D 지중 관로 탐사 데이터 대조 및 신설 궤도 구조물 간섭 관로 사전 현출 점검</t>
        </is>
      </c>
      <c r="R2" s="77">
        <f>HYPERLINK(LEFT(CELL("filename",A1),FIND("[",CELL("filename",A1))-1)&amp;"3.지장물이설\1_Site Survey Risk 검토\체크리스트\1_Site Survey Risk 검토_체크리스트.html", "👉 [클릭] 체크리스트 열기 📄")</f>
        <v/>
      </c>
      <c r="S2" s="47" t="n"/>
      <c r="T2" s="69" t="inlineStr">
        <is>
          <t>토목국내견적 지침 및 계약 시방</t>
        </is>
      </c>
      <c r="U2" s="50" t="inlineStr">
        <is>
          <t>설계도서 불일치로 인한 실행예산 초과 리스크 관리</t>
        </is>
      </c>
      <c r="V2" s="49" t="inlineStr">
        <is>
          <t>우수 토공업체 Pool 기술 자문</t>
        </is>
      </c>
    </row>
    <row r="3" ht="125.4" customHeight="1">
      <c r="A3" s="47" t="inlineStr">
        <is>
          <t>2000</t>
        </is>
      </c>
      <c r="B3" s="47" t="inlineStr">
        <is>
          <t>2000-1</t>
        </is>
      </c>
      <c r="C3" s="48" t="inlineStr">
        <is>
          <t>지장뭉 이설</t>
        </is>
      </c>
      <c r="D3" s="47" t="inlineStr">
        <is>
          <t>2000-1-2</t>
        </is>
      </c>
      <c r="E3" s="47">
        <f>D2</f>
        <v/>
      </c>
      <c r="F3" s="47">
        <f>D4</f>
        <v/>
      </c>
      <c r="G3" s="47" t="inlineStr">
        <is>
          <t>P+0</t>
        </is>
      </c>
      <c r="H3" s="52" t="inlineStr">
        <is>
          <t>발주전략 KOM (도급지분)</t>
        </is>
      </c>
      <c r="I3" s="47" t="inlineStr">
        <is>
          <t>현장소장</t>
        </is>
      </c>
      <c r="J3" s="49" t="inlineStr">
        <is>
          <t>KCS 47 10 25 시방 준수 | 도급분 지장물 이설 발주 시방서 검토 &amp; 3D BIM 도면 대조 | 발주처·감리·시공 3자 킥오프 미팅 결재</t>
        </is>
      </c>
      <c r="K3" s="49" t="inlineStr">
        <is>
          <t>1) 도급분 이설 시방서 요구조건 검토 ➔ 2) 3D BIM 도면 관로 좌표 대조 ➔ 3) 공기 지연 예비비 수립 ➔ 4) 발주·감리·시공 3자 킥오프 결재</t>
        </is>
      </c>
      <c r="L3" s="49" t="inlineStr">
        <is>
          <t>KCS 47 10 25 시방 요구조건, 도급분 지장물 이설 수량 및 3D BIM 도면 간섭 zero 검증</t>
        </is>
      </c>
      <c r="M3" s="49" t="inlineStr">
        <is>
          <t>KCS 47 10 25 시방 준수 | 도급분 지장물 이설 발주 시방서 검토 &amp; 3D BIM 도면 대조 | 발주처·감리·시공 3자 킥오프 미팅 결재</t>
        </is>
      </c>
      <c r="N3" s="75">
        <f>HYPERLINK(LEFT(CELL("filename",A1),FIND("[",CELL("filename",A1))-1)&amp;"3.지장물이설\2_발주전략 KOM (도급지분)\표준서\2_발주전략 KOM (도급지분)_표준서.html", "👉 [클릭] 표준서 열기 📄")</f>
        <v/>
      </c>
      <c r="O3" s="49" t="inlineStr">
        <is>
          <t>1) 도급분 이설 시방서 요구조건 검토 ➔ 2) 3D BIM 도면 관로 좌표 대조 ➔ 3) 공기 지연 예비비 수립 ➔ 4) 발주·감리·시공 3자 킥오프 결재</t>
        </is>
      </c>
      <c r="P3" s="76">
        <f>HYPERLINK(LEFT(CELL("filename",A1),FIND("[",CELL("filename",A1))-1)&amp;"3.지장물이설\2_발주전략 KOM (도급지분)\수행지침\2_발주전략 KOM (도급지분)_수행지침.html", "👉 [클릭] 수행지침 열기 📄")</f>
        <v/>
      </c>
      <c r="Q3" s="48" t="inlineStr">
        <is>
          <t>KCS 47 10 25 시방 요구조건, 도급분 지장물 이설 수량 및 3D BIM 도면 간섭 zero 검증</t>
        </is>
      </c>
      <c r="R3" s="77">
        <f>HYPERLINK(LEFT(CELL("filename",A1),FIND("[",CELL("filename",A1))-1)&amp;"3.지장물이설\2_발주전략 KOM (도급지분)\체크리스트\2_발주전략 KOM (도급지분)_체크리스트.html", "👉 [클릭] 체크리스트 열기 📄")</f>
        <v/>
      </c>
      <c r="S3" s="47" t="n"/>
      <c r="T3" s="69" t="inlineStr">
        <is>
          <t>CML 토목사무지침 및 도급 계약 시방</t>
        </is>
      </c>
      <c r="U3" s="50" t="inlineStr">
        <is>
          <t>부적격 업체 선정에 따른 공기 지연 리스크 방지</t>
        </is>
      </c>
      <c r="V3" s="49" t="inlineStr">
        <is>
          <t>본사외주부서 및 컴플라이언스RM 자문</t>
        </is>
      </c>
    </row>
    <row r="4" ht="110.4" customHeight="1">
      <c r="A4" s="47" t="inlineStr">
        <is>
          <t>2000</t>
        </is>
      </c>
      <c r="B4" s="47" t="inlineStr">
        <is>
          <t>2000-1</t>
        </is>
      </c>
      <c r="C4" s="48" t="inlineStr">
        <is>
          <t>지장뭉 이설</t>
        </is>
      </c>
      <c r="D4" s="47" t="inlineStr">
        <is>
          <t>2000-1-3</t>
        </is>
      </c>
      <c r="E4" s="47">
        <f>D3</f>
        <v/>
      </c>
      <c r="F4" s="47">
        <f>D5</f>
        <v/>
      </c>
      <c r="G4" s="47" t="inlineStr">
        <is>
          <t>P+0</t>
        </is>
      </c>
      <c r="H4" s="52" t="inlineStr">
        <is>
          <t>지장물 이설 요청 (위수탁고)</t>
        </is>
      </c>
      <c r="I4" s="47" t="inlineStr">
        <is>
          <t>공사팀 / 발주기관</t>
        </is>
      </c>
      <c r="J4" s="49" t="inlineStr">
        <is>
          <t>지방계약법 및 관할 점용기관 규정 | 위수탁 지장물 이설 협약서 작성 &amp; 공문 발송 | 기관별 이설 소요 기간 및 예산 확보</t>
        </is>
      </c>
      <c r="K4" s="49" t="inlineStr">
        <is>
          <t>1) 관할 점용기관 이설 요청 공문 작성 ➔ 2) 이설 협약서 정산 조건 수속 ➔ 3) 기관별 이설 소요 기간 협의 ➔ 4) 위수탁 이설 확약 공문 수령</t>
        </is>
      </c>
      <c r="L4" s="49" t="inlineStr">
        <is>
          <t>위수탁 이설 요청 공문 부착, 점용기관 협약 조건 수속 및 이설 예비비 계상 서약</t>
        </is>
      </c>
      <c r="M4" s="49" t="inlineStr">
        <is>
          <t>지방계약법 및 관할 점용기관 규정 | 위수탁 지장물 이설 협약서 작성 &amp; 공문 발송 | 기관별 이설 소요 기간 및 예산 확보</t>
        </is>
      </c>
      <c r="N4" s="75">
        <f>HYPERLINK(LEFT(CELL("filename",A1),FIND("[",CELL("filename",A1))-1)&amp;"3.지장물이설\2_발주전적 KOM (도급지분)\표준서\발주전적 KOM (도급지분)_표준서.html", "👉 [클릭] 표준서 열기 📄")</f>
        <v/>
      </c>
      <c r="O4" s="49" t="inlineStr">
        <is>
          <t>1) 관할 점용기관 이설 요청 공문 작성 ➔ 2) 이설 협약서 정산 조건 수속 ➔ 3) 기관별 이설 소요 기간 협의 ➔ 4) 위수탁 이설 확약 공문 수령</t>
        </is>
      </c>
      <c r="P4" s="76">
        <f>HYPERLINK(LEFT(CELL("filename",A1),FIND("[",CELL("filename",A1))-1)&amp;"3.지장물이설\2_발주전적 KOM (도급지분)\수행지침\발주전적 KOM (도급지분)_수행지침.html", "👉 [클릭] 수행지침 열기 📄")</f>
        <v/>
      </c>
      <c r="Q4" s="48" t="inlineStr">
        <is>
          <t>위수탁 이설 요청 공문 부착, 점용기관 협약 조건 수속 및 이설 예비비 계상 서약</t>
        </is>
      </c>
      <c r="R4" s="77">
        <f>HYPERLINK(LEFT(CELL("filename",A1),FIND("[",CELL("filename",A1))-1)&amp;"3.지장물이설\2_발주전적 KOM (도급지분)\체크리스트\발주전적 KOM (도급지분)_체크리스트.html", "👉 [클릭] 체크리스트 열기 📄")</f>
        <v/>
      </c>
      <c r="S4" s="47" t="n"/>
      <c r="T4" s="69" t="inlineStr">
        <is>
          <t>지자체 위수탁 협약 처리 기준</t>
        </is>
      </c>
      <c r="U4" s="50" t="inlineStr">
        <is>
          <t>위수탁 기관 이설 착수 지연 리스크 관리</t>
        </is>
      </c>
      <c r="V4" s="49" t="inlineStr">
        <is>
          <t>관련 유관기관 전담 자문</t>
        </is>
      </c>
    </row>
    <row r="5" ht="96" customHeight="1">
      <c r="A5" s="47" t="inlineStr">
        <is>
          <t>2000</t>
        </is>
      </c>
      <c r="B5" s="47" t="inlineStr">
        <is>
          <t>2000-1</t>
        </is>
      </c>
      <c r="C5" s="48" t="inlineStr">
        <is>
          <t>지장뭉 이설</t>
        </is>
      </c>
      <c r="D5" s="47" t="inlineStr">
        <is>
          <t>2000-1-4</t>
        </is>
      </c>
      <c r="E5" s="47">
        <f>D4</f>
        <v/>
      </c>
      <c r="F5" s="47">
        <f>D6</f>
        <v/>
      </c>
      <c r="G5" s="47" t="inlineStr">
        <is>
          <t>P+5</t>
        </is>
      </c>
      <c r="H5" s="52" t="inlineStr">
        <is>
          <t>도급자분 이설업체 선정(상/하수)</t>
        </is>
      </c>
      <c r="I5" s="47" t="inlineStr">
        <is>
          <t>현장소장</t>
        </is>
      </c>
      <c r="J5" s="49" t="inlineStr">
        <is>
          <t>건설산업기본법 제29조 | 상하수도 설비 전문건설업 면허 및 적정성(≥ 82%) 평가 | 노무비 전용계좌 지정 및 계약 승인</t>
        </is>
      </c>
      <c r="K5" s="49" t="inlineStr">
        <is>
          <t>1) 상하수도 전문건설업 면허 심사 ➔ 2) 하도급 적정성(≥ 82%) 평가 ➔ 3) 노무비 전용계좌 개설 ➔ 4) 하도급 계약 승인 통보서 결재</t>
        </is>
      </c>
      <c r="L5" s="49" t="inlineStr">
        <is>
          <t>상하수도 전문건설업 면허/실적 심사, 하도급 적정성 평가(≥ 82%) 및 노무비 전용계좌 지정</t>
        </is>
      </c>
      <c r="M5" s="49" t="inlineStr">
        <is>
          <t>건설산업기본법 제29조 | 상하수도 설비 전문건설업 면허 및 적정성(≥ 82%) 평가 | 노무비 전용계좌 지정 및 계약 승인</t>
        </is>
      </c>
      <c r="N5" s="75">
        <f>HYPERLINK(LEFT(CELL("filename",A1),FIND("[",CELL("filename",A1))-1)&amp;"3.지장물이설\3_지장물 이설 요청 (위수탁고)\표준서\3_지장물 이설 요청 (위수탁고)_표준서.html", "👉 [클릭] 표준서 열기 📄")</f>
        <v/>
      </c>
      <c r="O5" s="49" t="inlineStr">
        <is>
          <t>1) 상하수도 전문건설업 면허 심사 ➔ 2) 하도급 적정성(≥ 82%) 평가 ➔ 3) 노무비 전용계좌 개설 ➔ 4) 하도급 계약 승인 통보서 결재</t>
        </is>
      </c>
      <c r="P5" s="76">
        <f>HYPERLINK(LEFT(CELL("filename",A1),FIND("[",CELL("filename",A1))-1)&amp;"3.지장물이설\3_지장물 이설 요청 (위수탁고)\수행지침\3_지장물 이설 요청 (위수탁고)_수행지침.html", "👉 [클릭] 수행지침 열기 📄")</f>
        <v/>
      </c>
      <c r="Q5" s="48" t="inlineStr">
        <is>
          <t>상하수도 전문건설업 면허/실적 심사, 하도급 적정성 평가(≥ 82%) 및 노무비 전용계좌 지정</t>
        </is>
      </c>
      <c r="R5" s="77">
        <f>HYPERLINK(LEFT(CELL("filename",A1),FIND("[",CELL("filename",A1))-1)&amp;"3.지장물이설\3_지장물 이설 요청 (위수탁고)\체크리스트\3_지장물 이설 요청 (위수탁고)_체크리스트.html", "👉 [클릭] 체크리스트 열기 📄")</f>
        <v/>
      </c>
      <c r="S5" s="47" t="n"/>
      <c r="T5" s="69" t="inlineStr">
        <is>
          <t>하도급거래 공정화에 관한 법률 및 계약 규정</t>
        </is>
      </c>
      <c r="U5" s="50" t="inlineStr">
        <is>
          <t>저가 하도급으로 인한 부실 시공 리스크 예방</t>
        </is>
      </c>
      <c r="V5" s="49" t="inlineStr">
        <is>
          <t>외주계약팀 전문 자문</t>
        </is>
      </c>
    </row>
    <row r="6" ht="134.4" customHeight="1">
      <c r="A6" s="47" t="inlineStr">
        <is>
          <t>2000</t>
        </is>
      </c>
      <c r="B6" s="47" t="inlineStr">
        <is>
          <t>2000-1</t>
        </is>
      </c>
      <c r="C6" s="48" t="inlineStr">
        <is>
          <t>지장뭉 이설</t>
        </is>
      </c>
      <c r="D6" s="47" t="inlineStr">
        <is>
          <t>2000-1-5</t>
        </is>
      </c>
      <c r="E6" s="47">
        <f>D5</f>
        <v/>
      </c>
      <c r="F6" s="47">
        <f>D7</f>
        <v/>
      </c>
      <c r="G6" s="47" t="inlineStr">
        <is>
          <t>P+10</t>
        </is>
      </c>
      <c r="H6" s="52" t="inlineStr">
        <is>
          <t>지장물 조사 (위탁기관 합동)</t>
        </is>
      </c>
      <c r="I6" s="47" t="inlineStr">
        <is>
          <t>현장 공사팀</t>
        </is>
      </c>
      <c r="J6" s="49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K6" s="49" t="inlineStr">
        <is>
          <t>1) 한전/가스/수자원공사 1:1 현장 입회 ➔ 2) 관로 위치, 관경(mm), 깊이 현측 ➔ 3) 3D BIM 매설 관로 매핑 ➔ 4) 지장물 조사서 감리 서면 승인</t>
        </is>
      </c>
      <c r="L6" s="49" t="inlineStr">
        <is>
          <t>한국전력, 도시가스, 수자원공사 1:1 현장 입회 및 지하 매설물 관경(mm), 심도 깊이 3D BIM 매핑</t>
        </is>
      </c>
      <c r="M6" s="49" t="inlineStr">
        <is>
          <t>본 과업은 트램 선로 굴착 예정 구간 내 매설된 한국전력, 도시가스, 상하수도, 통신 관로 등 지하 지장물의 정확한 매설 위치, 관경, 매설 깊이를 관할 점용기관과 1:1 현장 합동으로 정밀 실측·조사하여 3D BIM 간섭 모델을 구축하는 것을 목적으로 함.</t>
        </is>
      </c>
      <c r="N6" s="75">
        <f>HYPERLINK(LEFT(CELL("filename",A1),FIND("[",CELL("filename",A1))-1)&amp;"3.지장물이설\4_도급자분 이설업체 선정(상_하수)\표준서\4_도급자분 이설업체 선정(상_하수)_표준서.html", "👉 [클릭] 표준서 열기 📄")</f>
        <v/>
      </c>
      <c r="O6" s="49" t="inlineStr">
        <is>
          <t>1) 한전/가스/수자원공사 1:1 현장 입회 ➔ 2) 관로 위치, 관경(mm), 깊이 현측 ➔ 3) 3D BIM 매설 관로 매핑 ➔ 4) 지장물 조사서 감리 서면 승인</t>
        </is>
      </c>
      <c r="P6" s="76">
        <f>HYPERLINK(LEFT(CELL("filename",A1),FIND("[",CELL("filename",A1))-1)&amp;"3.지장물이설\4_도급자분 이설업체 선정(상_하수)\수행지침\4_도급자분 이설업체 선정(상_하수)_수행지침.html", "👉 [클릭] 수행지침 열기 📄")</f>
        <v/>
      </c>
      <c r="Q6" s="48" t="inlineStr">
        <is>
          <t>한국전력, 도시가스, 수자원공사 1:1 현장 입회 및 지하 매설물 관경(mm), 심도 깊이 3D BIM 매핑</t>
        </is>
      </c>
      <c r="R6" s="77">
        <f>HYPERLINK(LEFT(CELL("filename",A1),FIND("[",CELL("filename",A1))-1)&amp;"3.지장물이설\4_도급자분 이설업체 선정(상_하수)\체크리스트\4_도급자분 이설업체 선정(상_하수)_체크리스트.html", "👉 [클릭] 체크리스트 열기 📄")</f>
        <v/>
      </c>
      <c r="S6" s="47" t="n"/>
      <c r="T6" s="69" t="inlineStr">
        <is>
          <t>지하안전관리에 관한 특별법 및 측량 규정</t>
        </is>
      </c>
      <c r="U6" s="50" t="inlineStr">
        <is>
          <t>도면 상이로 인한 신규 지장물 불시 도출 리스크 방지</t>
        </is>
      </c>
      <c r="V6" s="49" t="inlineStr">
        <is>
          <t>지장물 이설업체 및 유관기관 담당자</t>
        </is>
      </c>
    </row>
    <row r="7" ht="96" customHeight="1">
      <c r="A7" s="47" t="inlineStr">
        <is>
          <t>2000</t>
        </is>
      </c>
      <c r="B7" s="47" t="inlineStr">
        <is>
          <t>2000-1</t>
        </is>
      </c>
      <c r="C7" s="48" t="inlineStr">
        <is>
          <t>지장뭉 이설</t>
        </is>
      </c>
      <c r="D7" s="47" t="inlineStr">
        <is>
          <t>2000-1-6</t>
        </is>
      </c>
      <c r="E7" s="47">
        <f>D6</f>
        <v/>
      </c>
      <c r="F7" s="47">
        <f>D8</f>
        <v/>
      </c>
      <c r="G7" s="47" t="inlineStr">
        <is>
          <t>P+15</t>
        </is>
      </c>
      <c r="H7" s="52" t="inlineStr">
        <is>
          <t>지장물 이설 계획 수립</t>
        </is>
      </c>
      <c r="I7" s="47" t="inlineStr">
        <is>
          <t>현장 공사팀</t>
        </is>
      </c>
      <c r="J7" s="49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K7" s="49" t="inlineStr">
        <is>
          <t>1) 지장물 이설 공정표 수립 ➔ 2) 가설 매달기 방호 &amp; 우회 차선 설계 ➔ 3) 착공 14일 전 감리단 제출 ➔ 4) 이설 계획서 책임감리원 승인</t>
        </is>
      </c>
      <c r="L7" s="49" t="inlineStr">
        <is>
          <t>지장물 이설 공정표 수립, 가설 매달기 방호/우회 차선 설계 및 착공 14일 전 감리 서면 승인</t>
        </is>
      </c>
      <c r="M7" s="49" t="inlineStr">
        <is>
          <t>본 과업은 현장 실측된 지장물 조사 결과를 바탕으로 공정 간섭을 최소화하는 이설 순서, 가설 방호 공법, 임시 도로 우회 계획을 수립하고, 시공 착수 전 책임감리단의 서면 기술 승인을 확보하는 것을 목적으로 함.</t>
        </is>
      </c>
      <c r="N7" s="75">
        <f>HYPERLINK(LEFT(CELL("filename",A1),FIND("[",CELL("filename",A1))-1)&amp;"3.지장물이설\4_최고의 팀 만들기 지원\표준서\최고의 팀 만들기 지원_표준서.html", "👉 [클릭] 표준서 열기 📄")</f>
        <v/>
      </c>
      <c r="O7" s="49" t="inlineStr">
        <is>
          <t>1) 지장물 이설 공정표 수립 ➔ 2) 가설 매달기 방호 &amp; 우회 차선 설계 ➔ 3) 착공 14일 전 감리단 제출 ➔ 4) 이설 계획서 책임감리원 승인</t>
        </is>
      </c>
      <c r="P7" s="76">
        <f>HYPERLINK(LEFT(CELL("filename",A1),FIND("[",CELL("filename",A1))-1)&amp;"3.지장물이설\4_최고의 팀 만들기 지원\수행지침\수행지침.html", "👉 [클릭] 수행지침 열기 📄")</f>
        <v/>
      </c>
      <c r="Q7" s="48" t="inlineStr">
        <is>
          <t>지장물 이설 공정표 수립, 가설 매달기 방호/우회 차선 설계 및 착공 14일 전 감리 서면 승인</t>
        </is>
      </c>
      <c r="R7" s="77">
        <f>HYPERLINK(LEFT(CELL("filename",A1),FIND("[",CELL("filename",A1))-1)&amp;"3.지장물이설\4_최고의 팀 만들기 지원\체크리스트\최고의 팀 만들기 지원_체크리스트.html", "👉 [클릭] 체크리스트 열기 📄")</f>
        <v/>
      </c>
      <c r="S7" s="47" t="n"/>
      <c r="T7" s="69" t="inlineStr">
        <is>
          <t>동탄트램 지장물 이설 종합 지침</t>
        </is>
      </c>
      <c r="U7" s="50" t="inlineStr">
        <is>
          <t>이설 순서 혼선으로 인한 재굴착 리스크 방지</t>
        </is>
      </c>
      <c r="V7" s="49" t="inlineStr">
        <is>
          <t>지장물 전문가 및 공무팀</t>
        </is>
      </c>
    </row>
    <row r="8" ht="115.2" customHeight="1">
      <c r="A8" s="47" t="inlineStr">
        <is>
          <t>2000</t>
        </is>
      </c>
      <c r="B8" s="47" t="inlineStr">
        <is>
          <t>2000-1</t>
        </is>
      </c>
      <c r="C8" s="48" t="inlineStr">
        <is>
          <t>지장뭉 이설</t>
        </is>
      </c>
      <c r="D8" s="47" t="inlineStr">
        <is>
          <t>2000-1-7</t>
        </is>
      </c>
      <c r="E8" s="47">
        <f>D7</f>
        <v/>
      </c>
      <c r="F8" s="47">
        <f>D9</f>
        <v/>
      </c>
      <c r="G8" s="47" t="inlineStr">
        <is>
          <t>P+20</t>
        </is>
      </c>
      <c r="H8" s="52" t="inlineStr">
        <is>
          <t>최고의 팀 만들기 지원</t>
        </is>
      </c>
      <c r="I8" s="47" t="inlineStr">
        <is>
          <t>외주관리팀</t>
        </is>
      </c>
      <c r="J8" s="49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K8" s="49" t="inlineStr">
        <is>
          <t>1) 지장물 전담 기술자 1:1 배치 ➔ 2) 3자 주간 소통 회의 개최 ➔ 3) 근로자 환경 개선 &amp; TBM ➔ 4) One-Team 조직표 감리 서면 승인</t>
        </is>
      </c>
      <c r="L8" s="49" t="inlineStr">
        <is>
          <t>지장물 전담 기술자 1:1 현장 배치, 발주·감리·시공 3자 주간 소통 회의 및 일일 TBM/음주 측정(0.00%)</t>
        </is>
      </c>
      <c r="M8" s="49" t="inlineStr">
        <is>
          <t>본 과업은 지장물 이설 공사 관련 시공사, 감리단, 유관 점용기관 간 전담 기술 조직을 배치하고 수시 협의 체계를 마련하여, 현장 돌발 간섭 및 인허가 지연 이슈를 신속히 해결하고 안전 공정을 준수하는 것을 목적으로 함.</t>
        </is>
      </c>
      <c r="N8" s="75">
        <f>HYPERLINK(LEFT(CELL("filename",A1),FIND("[",CELL("filename",A1))-1)&amp;"3.지장물이설\5_지장물 조사 (위탁기관 합동)\표준서\5_지장물 조사 (위탁기관 합동)_표준서.html", "👉 [클릭] 표준서 열기 📄")</f>
        <v/>
      </c>
      <c r="O8" s="49" t="inlineStr">
        <is>
          <t>1) 지장물 전담 기술자 1:1 배치 ➔ 2) 3자 주간 소통 회의 개최 ➔ 3) 근로자 환경 개선 &amp; TBM ➔ 4) One-Team 조직표 감리 서면 승인</t>
        </is>
      </c>
      <c r="P8" s="76">
        <f>HYPERLINK(LEFT(CELL("filename",A1),FIND("[",CELL("filename",A1))-1)&amp;"3.지장물이설\5_지장물 조사 (위탁기관 합동)\수행지침\5_지장물 조사 (위탁기관 합동)_수행지침.html", "👉 [클릭] 수행지침 열기 📄")</f>
        <v/>
      </c>
      <c r="Q8" s="48" t="inlineStr">
        <is>
          <t>지장물 전담 기술자 1:1 현장 배치, 발주·감리·시공 3자 주간 소통 회의 및 일일 TBM/음주 측정(0.00%)</t>
        </is>
      </c>
      <c r="R8" s="77">
        <f>HYPERLINK(LEFT(CELL("filename",A1),FIND("[",CELL("filename",A1))-1)&amp;"3.지장물이설\5_지장물 조사 (위탁기관 합동)\체크리스트\5_지장물 조사 (위탁기관 합동)_체크리스트.html", "👉 [클릭] 체크리스트 열기 📄")</f>
        <v/>
      </c>
      <c r="S8" s="47" t="n"/>
      <c r="T8" s="69" t="inlineStr">
        <is>
          <t>외주 하도급 관리 규정</t>
        </is>
      </c>
      <c r="U8" s="50" t="inlineStr">
        <is>
          <t>시공 미숙 작업반 투입으로 인한 사고 리스크 방지</t>
        </is>
      </c>
      <c r="V8" s="49" t="inlineStr">
        <is>
          <t>외주계약 전문 자문</t>
        </is>
      </c>
    </row>
    <row r="9" ht="172.8" customHeight="1">
      <c r="A9" s="47" t="inlineStr">
        <is>
          <t>2000</t>
        </is>
      </c>
      <c r="B9" s="47" t="inlineStr">
        <is>
          <t>2000-1</t>
        </is>
      </c>
      <c r="C9" s="48" t="inlineStr">
        <is>
          <t>지장뭉 이설</t>
        </is>
      </c>
      <c r="D9" s="47" t="inlineStr">
        <is>
          <t>2000-1-8</t>
        </is>
      </c>
      <c r="E9" s="47">
        <f>D8</f>
        <v/>
      </c>
      <c r="F9" s="47">
        <f>D10</f>
        <v/>
      </c>
      <c r="G9" s="47" t="inlineStr">
        <is>
          <t>D-60</t>
        </is>
      </c>
      <c r="H9" s="52" t="inlineStr">
        <is>
          <t>착수전 Big Room 회의</t>
        </is>
      </c>
      <c r="I9" s="47" t="inlineStr">
        <is>
          <t>현장소장</t>
        </is>
      </c>
      <c r="J9" s="49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K9" s="49" t="inlineStr">
        <is>
          <t>1) 4자(발주·감리·지자체·시공) 빅룸 결성 ➔ 2) 지장물 이설 마일스톤 연동 ➔ 3) 간섭 리스크 즉시 해소 ➔ 4) 빅룸 회의록 4자 서명 완수</t>
        </is>
      </c>
      <c r="L9" s="49" t="inlineStr">
        <is>
          <t>4자(발주·감리·지자체·시공) 빅룸 회의 결성, 지장물 간섭 Zero 및 마일스톤 연동 회의록 서명</t>
        </is>
      </c>
      <c r="M9" s="49" t="inlineStr">
        <is>
          <t>본 과업은 지장물 이설 착수 전 발주처, 감리단, 관할 지자체, 점용기관, 시공사 합동으로 3D BIM 기반 Big Room 회의를 개최하여, 공정 마일스톤 연동 및 시공 위험 요소를 사전에 상호 검증·확정하는 것을 목적으로 함.</t>
        </is>
      </c>
      <c r="N9" s="75">
        <f>HYPERLINK(LEFT(CELL("filename",A1),FIND("[",CELL("filename",A1))-1)&amp;"3.지장물이설\5_착수전 Big Room 회의\표준서\착수전 Big Room 회의_표준서.html", "👉 [클릭] 표준서 열기 📄")</f>
        <v/>
      </c>
      <c r="O9" s="49" t="inlineStr">
        <is>
          <t>1) 4자(발주·감리·지자체·시공) 빅룸 결성 ➔ 2) 지장물 이설 마일스톤 연동 ➔ 3) 간섭 리스크 즉시 해소 ➔ 4) 빅룸 회의록 4자 서명 완수</t>
        </is>
      </c>
      <c r="P9" s="76">
        <f>HYPERLINK(LEFT(CELL("filename",A1),FIND("[",CELL("filename",A1))-1)&amp;"3.지장물이설\5_착수전 Big Room 회의\수행지침\수행지침.html", "👉 [클릭] 수행지침 열기 📄")</f>
        <v/>
      </c>
      <c r="Q9" s="48" t="inlineStr">
        <is>
          <t>4자(발주·감리·지자체·시공) 빅룸 회의 결성, 지장물 간섭 Zero 및 마일스톤 연동 회의록 서명</t>
        </is>
      </c>
      <c r="R9" s="77">
        <f>HYPERLINK(LEFT(CELL("filename",A1),FIND("[",CELL("filename",A1))-1)&amp;"3.지장물이설\5_착수전 Big Room 회의\체크리스트\착수전 Big Room 회의_체크리스트.html", "👉 [클릭] 체크리스트 열기 📄")</f>
        <v/>
      </c>
      <c r="S9" s="47" t="n"/>
      <c r="T9" s="69" t="inlineStr">
        <is>
          <t>동탄트램 사업관리 지침</t>
        </is>
      </c>
      <c r="U9" s="50" t="inlineStr">
        <is>
          <t>유관기관 간 공정 중복으로 인한 중복 굴착 리스크 방지</t>
        </is>
      </c>
      <c r="V9" s="49" t="inlineStr">
        <is>
          <t>유관기관 관리자 및 분야별 전문가</t>
        </is>
      </c>
    </row>
    <row r="10" ht="115.2" customHeight="1">
      <c r="A10" s="47" t="inlineStr">
        <is>
          <t>2000</t>
        </is>
      </c>
      <c r="B10" s="47" t="inlineStr">
        <is>
          <t>2000-1S</t>
        </is>
      </c>
      <c r="C10" s="48" t="inlineStr">
        <is>
          <t>지장뭉 이설</t>
        </is>
      </c>
      <c r="D10" s="47" t="inlineStr">
        <is>
          <t>2000-1S-1</t>
        </is>
      </c>
      <c r="E10" s="47">
        <f>D9</f>
        <v/>
      </c>
      <c r="F10" s="47">
        <f>D11</f>
        <v/>
      </c>
      <c r="G10" s="47" t="inlineStr">
        <is>
          <t>D-50</t>
        </is>
      </c>
      <c r="H10" s="52" t="inlineStr">
        <is>
          <t>인허가 절차 진행</t>
        </is>
      </c>
      <c r="I10" s="47" t="inlineStr">
        <is>
          <t>현장 공무팀</t>
        </is>
      </c>
      <c r="J10" s="49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K10" s="49" t="inlineStr">
        <is>
          <t>1) 지자체 도로/하천점용 허가서 작성 ➔ 2) 관련 부서 서류 제출 &amp; 심의 ➔ 3) 보증보험 증권 부착 ➔ 4) 법정 인허가 필증 감리 수속</t>
        </is>
      </c>
      <c r="L10" s="49" t="inlineStr">
        <is>
          <t>지자체 도로점용 허가 &amp; 하천점용 허가서 수속, 보증보험 증권 제출 및 법정 인허가 필증 검수</t>
        </is>
      </c>
      <c r="M10" s="49" t="inlineStr">
        <is>
          <t>본 과업은 도로법, 하천법 등 관련 법령에 의거하여 지자체 및 관할 관청에 도로점용, 하천점용 등 법정 인허가 신청 도서를 작성·접수하고 정식 인허가 필증을 수속하여 법적 공사 착수 여건을 완비하는 것을 목적으로 함.</t>
        </is>
      </c>
      <c r="N10" s="75">
        <f>HYPERLINK(LEFT(CELL("filename",A1),FIND("[",CELL("filename",A1))-1)&amp;"3.지장물이설\6_관리기관(맑은물사업소) 협의\표준서\관리기관(맑은물사업소) 협의_표준서.html", "👉 [클릭] 표준서 열기 📄")</f>
        <v/>
      </c>
      <c r="O10" s="49" t="inlineStr">
        <is>
          <t>1) 지자체 도로/하천점용 허가서 작성 ➔ 2) 관련 부서 서류 제출 &amp; 심의 ➔ 3) 보증보험 증권 부착 ➔ 4) 법정 인허가 필증 감리 수속</t>
        </is>
      </c>
      <c r="P10" s="76">
        <f>HYPERLINK(LEFT(CELL("filename",A1),FIND("[",CELL("filename",A1))-1)&amp;"3.지장물이설\6_관리기관(맑은물사업소) 협의\수행지침\관리기관(맑은물사업소) 협의_수행지침.html", "👉 [클릭] 수행지침 열기 📄")</f>
        <v/>
      </c>
      <c r="Q10" s="48" t="inlineStr">
        <is>
          <t>지자체 도로점용 허가 &amp; 하천점용 허가서 수속, 보증보험 증권 제출 및 법정 인허가 필증 검수</t>
        </is>
      </c>
      <c r="R10" s="77">
        <f>HYPERLINK(LEFT(CELL("filename",A1),FIND("[",CELL("filename",A1))-1)&amp;"3.지장물이설\6_관리기관(맑은물사업소) 협의\체크리스트\관리기관(맑은물사업소) 협의_체크리스트.html", "👉 [클릭] 체크리스트 열기 📄")</f>
        <v/>
      </c>
      <c r="S10" s="47" t="n"/>
      <c r="T10" s="69" t="inlineStr">
        <is>
          <t>인허가 관련 행정법 및 도로법</t>
        </is>
      </c>
      <c r="U10" s="50" t="inlineStr">
        <is>
          <t>인허가 지연으로 인한 공사 중단 리스크 방지</t>
        </is>
      </c>
      <c r="V10" s="49" t="inlineStr">
        <is>
          <t>인허가 전문 자문</t>
        </is>
      </c>
    </row>
    <row r="11" ht="96" customHeight="1">
      <c r="A11" s="47" t="inlineStr">
        <is>
          <t>2000</t>
        </is>
      </c>
      <c r="B11" s="47" t="inlineStr">
        <is>
          <t>2000-1S</t>
        </is>
      </c>
      <c r="C11" s="48" t="inlineStr">
        <is>
          <t>지장뭉 이설</t>
        </is>
      </c>
      <c r="D11" s="47" t="inlineStr">
        <is>
          <t>2000-1S-2</t>
        </is>
      </c>
      <c r="E11" s="47">
        <f>D10</f>
        <v/>
      </c>
      <c r="F11" s="47">
        <f>D12</f>
        <v/>
      </c>
      <c r="G11" s="47" t="inlineStr">
        <is>
          <t>D-45</t>
        </is>
      </c>
      <c r="H11" s="52" t="inlineStr">
        <is>
          <t>교통처리대책 협의 및 승인</t>
        </is>
      </c>
      <c r="I11" s="47" t="inlineStr">
        <is>
          <t>현장 공무팀/안전팀</t>
        </is>
      </c>
      <c r="J11" s="49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K11" s="49" t="inlineStr">
        <is>
          <t>1) 교통 우회 도면 &amp; 차선 설계 ➔ 2) 동탄경찰서 도로점용 허가 ➔ 3) 전담 신호수(2인 2조) 배치 ➔ 4) 교통소통 대책서 감리 서면 승인</t>
        </is>
      </c>
      <c r="L11" s="49" t="inlineStr">
        <is>
          <t>동탄경찰서 도로점용 허가, 우회 차선 설계 및 전담 안전 신호수(2인 2조)/LED 경광등 배치</t>
        </is>
      </c>
      <c r="M11" s="49" t="inlineStr">
        <is>
          <t>본 과업은 도로 굴착 및 지장물 이설 공사 중 통행 불편 및 교통 사고를 예방하기 위해, 관할 경찰서 교통안전 심의를 거쳐 우회 차선 확보, LED 신호 가설물 배치, 전담 신호수 운용 대책을 정식 승인받는 것을 목적으로 함.</t>
        </is>
      </c>
      <c r="N11" s="75">
        <f>HYPERLINK(LEFT(CELL("filename",A1),FIND("[",CELL("filename",A1))-1)&amp;"3.지장물이설\6_지장물 이설 계획 수립\표준서\지장물 이설 계획 수립_표준서.html", "👉 [클릭] 표준서 열기 📄")</f>
        <v/>
      </c>
      <c r="O11" s="49" t="inlineStr">
        <is>
          <t>1) 교통 우회 도면 &amp; 차선 설계 ➔ 2) 동탄경찰서 도로점용 허가 ➔ 3) 전담 신호수(2인 2조) 배치 ➔ 4) 교통소통 대책서 감리 서면 승인</t>
        </is>
      </c>
      <c r="P11" s="76">
        <f>HYPERLINK(LEFT(CELL("filename",A1),FIND("[",CELL("filename",A1))-1)&amp;"3.지장물이설\6_지장물 이설 계획 수립\수행지침\수행지침.html", "👉 [클릭] 수행지침 열기 📄")</f>
        <v/>
      </c>
      <c r="Q11" s="48" t="inlineStr">
        <is>
          <t>동탄경찰서 도로점용 허가, 우회 차선 설계 및 전담 안전 신호수(2인 2조)/LED 경광등 배치</t>
        </is>
      </c>
      <c r="R11" s="77">
        <f>HYPERLINK(LEFT(CELL("filename",A1),FIND("[",CELL("filename",A1))-1)&amp;"3.지장물이설\6_지장물 이설 계획 수립\체크리스트\지장물 이설 계획 수립_체크리스트.html", "👉 [클릭] 체크리스트 열기 📄")</f>
        <v/>
      </c>
      <c r="S11" s="47" t="n"/>
      <c r="T11" s="69" t="inlineStr">
        <is>
          <t>도로교통법 및 교통영향평가 지침</t>
        </is>
      </c>
      <c r="U11" s="50" t="inlineStr">
        <is>
          <t>교통 혼잡민원 및 안전사고 발생 리스크 예방</t>
        </is>
      </c>
      <c r="V11" s="49" t="inlineStr">
        <is>
          <t>교통영향평가 전문 기술자</t>
        </is>
      </c>
    </row>
    <row r="12" ht="115.2" customHeight="1">
      <c r="A12" s="47" t="inlineStr">
        <is>
          <t>2000</t>
        </is>
      </c>
      <c r="B12" s="47" t="inlineStr">
        <is>
          <t>2000-1S</t>
        </is>
      </c>
      <c r="C12" s="48" t="inlineStr">
        <is>
          <t>지장뭉 이설</t>
        </is>
      </c>
      <c r="D12" s="47" t="inlineStr">
        <is>
          <t>2000-1S-3</t>
        </is>
      </c>
      <c r="E12" s="47">
        <f>D11</f>
        <v/>
      </c>
      <c r="F12" s="47">
        <f>D13</f>
        <v/>
      </c>
      <c r="G12" s="47" t="inlineStr">
        <is>
          <t>D-40</t>
        </is>
      </c>
      <c r="H12" s="52" t="inlineStr">
        <is>
          <t>민원 저감 대책 수립</t>
        </is>
      </c>
      <c r="I12" s="47" t="inlineStr">
        <is>
          <t>현장 공무팀/민원팀</t>
        </is>
      </c>
      <c r="J12" s="49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K12" s="49" t="inlineStr">
        <is>
          <t>1) 야간 공사 소음 방음벽(H=3m) 설치 ➔ 2) 세륜기 가동 &amp; 분무 살수 ➔ 3) 단수/단전 사전 주민 공지 ➔ 4) 민원 대응반 서면 승인</t>
        </is>
      </c>
      <c r="L12" s="49" t="inlineStr">
        <is>
          <t>야간 공사 소음 방음벽(H=3m) 가동, 이동식 세륜기(깊이 1.2m) 가동 및 단수 사전 주민 알림</t>
        </is>
      </c>
      <c r="M12" s="49" t="inlineStr">
        <is>
          <t>본 과업은 야간 굴착 및 관로 접속 공사에 따른 단수·단전, 소음·진동 민원을 예방하기 위해, 사전 안내 방송, 방음벽 설치, 세륜기 가동 및 전담 민원 대응반을 운용하여 주민 불편을 최소화하는 것을 목적으로 함.</t>
        </is>
      </c>
      <c r="N12" s="75">
        <f>HYPERLINK(LEFT(CELL("filename",A1),FIND("[",CELL("filename",A1))-1)&amp;"3.지장물이설\7_위수탁 지장물 이설 설계\표준서\위수탁 지장물 이설 설계_표준서.html", "👉 [클릭] 표준서 열기 📄")</f>
        <v/>
      </c>
      <c r="O12" s="49" t="inlineStr">
        <is>
          <t>1) 야간 공사 소음 방음벽(H=3m) 설치 ➔ 2) 세륜기 가동 &amp; 분무 살수 ➔ 3) 단수/단전 사전 주민 공지 ➔ 4) 민원 대응반 서면 승인</t>
        </is>
      </c>
      <c r="P12" s="76">
        <f>HYPERLINK(LEFT(CELL("filename",A1),FIND("[",CELL("filename",A1))-1)&amp;"3.지장물이설\7_위수탁 지장물 이설 설계\수행지침\수행지침.html", "👉 [클릭] 수행지침 열기 📄")</f>
        <v/>
      </c>
      <c r="Q12" s="48" t="inlineStr">
        <is>
          <t>야간 공사 소음 방음벽(H=3m) 가동, 이동식 세륜기(깊이 1.2m) 가동 및 단수 사전 주민 알림</t>
        </is>
      </c>
      <c r="R12" s="77">
        <f>HYPERLINK(LEFT(CELL("filename",A1),FIND("[",CELL("filename",A1))-1)&amp;"3.지장물이설\7_위수탁 지장물 이설 설계\체크리스트\위수탁 지장물 이설 설계_체크리스트.html", "👉 [클릭] 체크리스트 열기 📄")</f>
        <v/>
      </c>
      <c r="S12" s="47" t="n"/>
      <c r="T12" s="69" t="inlineStr">
        <is>
          <t>환경보전법 및 소음진동관리법</t>
        </is>
      </c>
      <c r="U12" s="50" t="inlineStr">
        <is>
          <t>집단 민원에 따른 현장 봉쇄 및 집회 리스크 방지</t>
        </is>
      </c>
      <c r="V12" s="49" t="inlineStr">
        <is>
          <t>민원 전담 현장 대리인</t>
        </is>
      </c>
    </row>
    <row r="13" ht="96" customHeight="1">
      <c r="A13" s="47" t="inlineStr">
        <is>
          <t>2000</t>
        </is>
      </c>
      <c r="B13" s="47" t="inlineStr">
        <is>
          <t>2000-1S</t>
        </is>
      </c>
      <c r="C13" s="48" t="inlineStr">
        <is>
          <t>지장뭉 이설</t>
        </is>
      </c>
      <c r="D13" s="47" t="inlineStr">
        <is>
          <t>2000-1S-4</t>
        </is>
      </c>
      <c r="E13" s="47">
        <f>D12</f>
        <v/>
      </c>
      <c r="F13" s="47">
        <f>D14</f>
        <v/>
      </c>
      <c r="G13" s="47" t="inlineStr">
        <is>
          <t>D-35</t>
        </is>
      </c>
      <c r="H13" s="52" t="inlineStr">
        <is>
          <t>용지보상 Risk 파악</t>
        </is>
      </c>
      <c r="I13" s="47" t="inlineStr">
        <is>
          <t>현장 공무팀 / 토목계약관리팀</t>
        </is>
      </c>
      <c r="J13" s="49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K13" s="49" t="inlineStr">
        <is>
          <t>1) 미보상 사유지 경계 현출 ➔ 2) 가설 펜스(H=1.8m) 차단 ➔ 3) 3D 우회 토공 동선 수립 ➔ 4) 용지 보상 리스크 대책 승인</t>
        </is>
      </c>
      <c r="L13" s="49" t="inlineStr">
        <is>
          <t>미보상 사유지 경계 현출, 가설 펜스(H=1.8m) 차단 및 3D 우회 토공 동선 마일스톤 연동</t>
        </is>
      </c>
      <c r="M13" s="49" t="inlineStr">
        <is>
          <t>본 과업은 지장물 이설 작업 부지 내 미보상 사유지나 국공유지 경계를 사전 실측하여, 무단 점용으로 인한 시공 중단 및 법적 분쟁 리스크를 원천 차단하고 우회 부지를 정비하는 것을 목적으로 함.</t>
        </is>
      </c>
      <c r="N13" s="75">
        <f>HYPERLINK(LEFT(CELL("filename",A1),FIND("[",CELL("filename",A1))-1)&amp;"3.지장물이설\7_최고의 팀 만들기 지원\표준서\7_최고의 팀 만들기 지원_표준서.html", "👉 [클릭] 표준서 열기 📄")</f>
        <v/>
      </c>
      <c r="O13" s="49" t="inlineStr">
        <is>
          <t>1) 미보상 사유지 경계 현출 ➔ 2) 가설 펜스(H=1.8m) 차단 ➔ 3) 3D 우회 토공 동선 수립 ➔ 4) 용지 보상 리스크 대책 승인</t>
        </is>
      </c>
      <c r="P13" s="76">
        <f>HYPERLINK(LEFT(CELL("filename",A1),FIND("[",CELL("filename",A1))-1)&amp;"3.지장물이설\7_최고의 팀 만들기 지원\수행지침\7_최고의 팀 만들기 지원_수행지침.html", "👉 [클릭] 수행지침 열기 📄")</f>
        <v/>
      </c>
      <c r="Q13" s="48" t="inlineStr">
        <is>
          <t>미보상 사유지 경계 현출, 가설 펜스(H=1.8m) 차단 및 3D 우회 토공 동선 마일스톤 연동</t>
        </is>
      </c>
      <c r="R13" s="77">
        <f>HYPERLINK(LEFT(CELL("filename",A1),FIND("[",CELL("filename",A1))-1)&amp;"3.지장물이설\7_최고의 팀 만들기 지원\체크리스트\7_최고의 팀 만들기 지원_체크리스트.html", "👉 [클릭] 체크리스트 열기 📄")</f>
        <v/>
      </c>
      <c r="S13" s="47" t="n"/>
      <c r="T13" s="69" t="inlineStr">
        <is>
          <t>토지보상법 및 용지 보상 조례</t>
        </is>
      </c>
      <c r="U13" s="50" t="inlineStr">
        <is>
          <t>사유지 무단 침범에 따른 형사 고소 리스크 방지</t>
        </is>
      </c>
      <c r="V13" s="49" t="inlineStr">
        <is>
          <t>토지 보상 전문 행정사 자문</t>
        </is>
      </c>
    </row>
    <row r="14" ht="96" customHeight="1">
      <c r="A14" s="47" t="inlineStr">
        <is>
          <t>2000</t>
        </is>
      </c>
      <c r="B14" s="47" t="inlineStr">
        <is>
          <t>2000-2</t>
        </is>
      </c>
      <c r="C14" s="48" t="inlineStr">
        <is>
          <t>지장뭉 이설</t>
        </is>
      </c>
      <c r="D14" s="47" t="inlineStr">
        <is>
          <t>2000-2-1</t>
        </is>
      </c>
      <c r="E14" s="47">
        <f>D13</f>
        <v/>
      </c>
      <c r="F14" s="47">
        <f>D15</f>
        <v/>
      </c>
      <c r="G14" s="47" t="inlineStr">
        <is>
          <t>D-40</t>
        </is>
      </c>
      <c r="H14" s="52" t="inlineStr">
        <is>
          <t>관리기관(맑은물사업소) 협의</t>
        </is>
      </c>
      <c r="I14" s="47" t="inlineStr">
        <is>
          <t>현장 공무팀</t>
        </is>
      </c>
      <c r="J14" s="49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K14" s="49" t="inlineStr">
        <is>
          <t>1) 맑은물사업소 이설 위치 현측 ➔ 2) 단수 일정(최대 6시간) 협의 ➔ 3) 신구관 접속 도면 검토 ➔ 4) 이설 승인 공문 수령</t>
        </is>
      </c>
      <c r="L14" s="49" t="inlineStr">
        <is>
          <t>맑은물사업소 합동 이설 위치 검토, 수돗물 단수 일정(최대 6h) 수협 및 신구관 접속 도면 결재</t>
        </is>
      </c>
      <c r="M14" s="49" t="inlineStr">
        <is>
          <t>본 과업은 상하수도 관로 이설 시 관할 맑은물사업소와의 사전 기술 협의를 통해 수돗물 단수 구간 및 일정을 정밀 조정하고, 신구 관로 접속 설계 도서의 기술적 적정성을 결재받는 것을 목적으로 함.</t>
        </is>
      </c>
      <c r="N14" s="75">
        <f>HYPERLINK(LEFT(CELL("filename",A1),FIND("[",CELL("filename",A1))-1)&amp;"3.지장물이설\8_상하수도 이설계획 실정보고\표준서\상하수도 이설계획 실정보고_표준서.html", "👉 [클릭] 표준서 열기 📄")</f>
        <v/>
      </c>
      <c r="O14" s="49" t="inlineStr">
        <is>
          <t>1) 맑은물사업소 이설 위치 현측 ➔ 2) 단수 일정(최대 6시간) 협의 ➔ 3) 신구관 접속 도면 검토 ➔ 4) 이설 승인 공문 수령</t>
        </is>
      </c>
      <c r="P14" s="76">
        <f>HYPERLINK(LEFT(CELL("filename",A1),FIND("[",CELL("filename",A1))-1)&amp;"3.지장물이설\8_상하수도 이설계획 실정보고\수행지침\상하수도 이설계획 실정보고_수행지침.html", "👉 [클릭] 수행지침 열기 📄")</f>
        <v/>
      </c>
      <c r="Q14" s="48" t="inlineStr">
        <is>
          <t>맑은물사업소 합동 이설 위치 검토, 수돗물 단수 일정(최대 6h) 수협 및 신구관 접속 도면 결재</t>
        </is>
      </c>
      <c r="R14" s="77">
        <f>HYPERLINK(LEFT(CELL("filename",A1),FIND("[",CELL("filename",A1))-1)&amp;"3.지장물이설\8_상하수도 이설계획 실정보고\체크리스트\상하수도 이설계획 실정보고_체크리스트.html", "👉 [클릭] 체크리스트 열기 📄")</f>
        <v/>
      </c>
      <c r="S14" s="47" t="n"/>
      <c r="T14" s="69" t="inlineStr">
        <is>
          <t>맑은물사업소 상하수도 시설기준</t>
        </is>
      </c>
      <c r="U14" s="57" t="inlineStr">
        <is>
          <t>상하수도 이설 위치 불일치로 인한 재협의 리스크 방지</t>
        </is>
      </c>
      <c r="V14" s="49" t="inlineStr">
        <is>
          <t>상하수도 전문 기술사 자문</t>
        </is>
      </c>
    </row>
    <row r="15" ht="96" customHeight="1">
      <c r="A15" s="47" t="inlineStr">
        <is>
          <t>2000</t>
        </is>
      </c>
      <c r="B15" s="47" t="inlineStr">
        <is>
          <t>2000-2</t>
        </is>
      </c>
      <c r="C15" s="48" t="inlineStr">
        <is>
          <t>지장뭉 이설</t>
        </is>
      </c>
      <c r="D15" s="47" t="inlineStr">
        <is>
          <t>2000-2-2</t>
        </is>
      </c>
      <c r="E15" s="47">
        <f>D14</f>
        <v/>
      </c>
      <c r="F15" s="47">
        <f>D16</f>
        <v/>
      </c>
      <c r="G15" s="47" t="inlineStr">
        <is>
          <t>D-40</t>
        </is>
      </c>
      <c r="H15" s="52" t="inlineStr">
        <is>
          <t>위수탁 지장물 이설 설계</t>
        </is>
      </c>
      <c r="I15" s="47" t="inlineStr">
        <is>
          <t>엔지니어링팀/위수탁기관</t>
        </is>
      </c>
      <c r="J15" s="49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K15" s="49" t="inlineStr">
        <is>
          <t>1) 위수탁 기관 설계도서 수속 ➔ 2) 3D BIM 간섭 리스크 점검 ➔ 3) 총사업비 변경 수량 검증 ➔ 4) 위수탁 설계도서 감리 승인</t>
        </is>
      </c>
      <c r="L15" s="49" t="inlineStr">
        <is>
          <t>위수탁 기관 설계도서 기술 검토, 3D BIM 간섭 리스크 점검 및 총사업비 변경 수량 승인</t>
        </is>
      </c>
      <c r="M15" s="49" t="inlineStr">
        <is>
          <t>본 과업은 전문 위수탁 기관의 지장물 이설 설계 도서 및 3D BIM 간섭 매핑을 종합 기술 검토하여, 공사비 변경 및 설계 반영의 정합성을 사전 검증하는 것을 목적으로 함.</t>
        </is>
      </c>
      <c r="N15" s="75">
        <f>HYPERLINK(LEFT(CELL("filename",A1),FIND("[",CELL("filename",A1))-1)&amp;"3.지장물이설\8_착수전 Big Room 회의\표준서\8_착수전 Big Room 회의_표준서.html", "👉 [클릭] 표준서 열기 📄")</f>
        <v/>
      </c>
      <c r="O15" s="49" t="inlineStr">
        <is>
          <t>1) 위수탁 기관 설계도서 수속 ➔ 2) 3D BIM 간섭 리스크 점검 ➔ 3) 총사업비 변경 수량 검증 ➔ 4) 위수탁 설계도서 감리 승인</t>
        </is>
      </c>
      <c r="P15" s="76">
        <f>HYPERLINK(LEFT(CELL("filename",A1),FIND("[",CELL("filename",A1))-1)&amp;"3.지장물이설\8_착수전 Big Room 회의\수행지침\8_착수전 Big Room 회의_수행지침.html", "👉 [클릭] 수행지침 열기 📄")</f>
        <v/>
      </c>
      <c r="Q15" s="48" t="inlineStr">
        <is>
          <t>위수탁 기관 설계도서 기술 검토, 3D BIM 간섭 리스크 점검 및 총사업비 변경 수량 승인</t>
        </is>
      </c>
      <c r="R15" s="77">
        <f>HYPERLINK(LEFT(CELL("filename",A1),FIND("[",CELL("filename",A1))-1)&amp;"3.지장물이설\8_착수전 Big Room 회의\체크리스트\8_착수전 Big Room 회의_체크리스트.html", "👉 [클릭] 체크리스트 열기 📄")</f>
        <v/>
      </c>
      <c r="S15" s="47" t="n"/>
      <c r="T15" s="69" t="inlineStr">
        <is>
          <t>국가계약법 및 위수탁 설계 기준</t>
        </is>
      </c>
      <c r="U15" s="50" t="inlineStr">
        <is>
          <t>위수탁 분담금 예가 과다 산정 리스크 관리</t>
        </is>
      </c>
      <c r="V15" s="49" t="inlineStr">
        <is>
          <t>위수탁 설계 전문 엔지니어링</t>
        </is>
      </c>
    </row>
    <row r="16" ht="96" customHeight="1">
      <c r="A16" s="47" t="inlineStr">
        <is>
          <t>2000</t>
        </is>
      </c>
      <c r="B16" s="47" t="inlineStr">
        <is>
          <t>2000-2</t>
        </is>
      </c>
      <c r="C16" s="48" t="inlineStr">
        <is>
          <t>지장뭉 이설</t>
        </is>
      </c>
      <c r="D16" s="47" t="inlineStr">
        <is>
          <t>2000-2-3</t>
        </is>
      </c>
      <c r="E16" s="47">
        <f>D15</f>
        <v/>
      </c>
      <c r="F16" s="47">
        <f>D17</f>
        <v/>
      </c>
      <c r="G16" s="47" t="inlineStr">
        <is>
          <t>D-30</t>
        </is>
      </c>
      <c r="H16" s="52" t="inlineStr">
        <is>
          <t>상하수도 이설계획 실정보고</t>
        </is>
      </c>
      <c r="I16" s="47" t="inlineStr">
        <is>
          <t>현장 공무팀</t>
        </is>
      </c>
      <c r="J16" s="49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K16" s="49" t="inlineStr">
        <is>
          <t>1) 현장 지장물 현출 실정보고 작성 ➔ 2) 공법 변경 &amp; 수량 증감 산출 ➔ 3) 기술 검토 의견서 첨부 ➔ 4) 실정보고서 감리 서면 승인</t>
        </is>
      </c>
      <c r="L16" s="49" t="inlineStr">
        <is>
          <t>현장 지장물 현출 실정보고서 작성, 공법 변경 및 수량 증감 산출 책임감리원 승인</t>
        </is>
      </c>
      <c r="M16" s="49" t="inlineStr">
        <is>
          <t>본 과업은 현장 지지층 및 타 매설물과의 이격 거리 확보에 따라 발생하는 공법 변경 및 수량 증감 사항에 대해 책임감리단에 실정보고서를 제출하고 서면 결재를 획득하는 것을 목적으로 함.</t>
        </is>
      </c>
      <c r="N16" s="75">
        <f>HYPERLINK(LEFT(CELL("filename",A1),FIND("[",CELL("filename",A1))-1)&amp;"3.지장물이설\9_위수탁 계약 체결\표준서\위수탁 계약 체결_표준서.html", "👉 [클릭] 표준서 열기 📄")</f>
        <v/>
      </c>
      <c r="O16" s="49" t="inlineStr">
        <is>
          <t>1) 현장 지장물 현출 실정보고 작성 ➔ 2) 공법 변경 &amp; 수량 증감 산출 ➔ 3) 기술 검토 의견서 첨부 ➔ 4) 실정보고서 감리 서면 승인</t>
        </is>
      </c>
      <c r="P16" s="76">
        <f>HYPERLINK(LEFT(CELL("filename",A1),FIND("[",CELL("filename",A1))-1)&amp;"3.지장물이설\9_위수탁 계약 체결\수행지침\수행지침.html", "👉 [클릭] 수행지침 열기 📄")</f>
        <v/>
      </c>
      <c r="Q16" s="48" t="inlineStr">
        <is>
          <t>현장 지장물 현출 실정보고서 작성, 공법 변경 및 수량 증감 산출 책임감리원 승인</t>
        </is>
      </c>
      <c r="R16" s="77">
        <f>HYPERLINK(LEFT(CELL("filename",A1),FIND("[",CELL("filename",A1))-1)&amp;"3.지장물이설\9_위수탁 계약 체결\체크리스트\위수탁 계약 체결_체크리스트.html", "👉 [클릭] 체크리스트 열기 📄")</f>
        <v/>
      </c>
      <c r="S16" s="47" t="n"/>
      <c r="T16" s="69" t="inlineStr">
        <is>
          <t>건설기술진흥법 및 계약금액 조정 지침</t>
        </is>
      </c>
      <c r="U16" s="50" t="inlineStr">
        <is>
          <t>실정보고 승인 지연에 따른 변경 금액 누락 방지</t>
        </is>
      </c>
      <c r="V16" s="49" t="inlineStr">
        <is>
          <t>토목 공무 및 정산 전문가</t>
        </is>
      </c>
    </row>
    <row r="17" ht="96" customHeight="1">
      <c r="A17" s="47" t="inlineStr">
        <is>
          <t>2000</t>
        </is>
      </c>
      <c r="B17" s="47" t="inlineStr">
        <is>
          <t>2000-2</t>
        </is>
      </c>
      <c r="C17" s="48" t="inlineStr">
        <is>
          <t>지장뭉 이설</t>
        </is>
      </c>
      <c r="D17" s="47" t="inlineStr">
        <is>
          <t>2000-2-4</t>
        </is>
      </c>
      <c r="E17" s="47">
        <f>D16</f>
        <v/>
      </c>
      <c r="F17" s="47">
        <f>D18</f>
        <v/>
      </c>
      <c r="G17" s="47" t="inlineStr">
        <is>
          <t>D-25</t>
        </is>
      </c>
      <c r="H17" s="52" t="inlineStr">
        <is>
          <t>위수탁 계약 체결</t>
        </is>
      </c>
      <c r="I17" s="47" t="inlineStr">
        <is>
          <t>현장 공무팀 / 발주처</t>
        </is>
      </c>
      <c r="J17" s="49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K17" s="49" t="inlineStr">
        <is>
          <t>1) 관할 점용기관 협약 조건 수속 ➔ 2) 정산 분담금 &amp; 예비비 협의 ➔ 3) 위수탁 계약서 작성 ➔ 4) 위수탁 이설 계약 체결 승인</t>
        </is>
      </c>
      <c r="L17" s="49" t="inlineStr">
        <is>
          <t>관할 점용기관 위수탁 이설 협약서 체결, 공사비 분담금 및 예비비 계상 합의 서약</t>
        </is>
      </c>
      <c r="M17" s="49" t="inlineStr">
        <is>
          <t>본 과업은 전문 점용기관(한전, 가스공사, 수자원공사 등)과 지장물 이설 공사비 분담금, 정산 조건, 공기 이행에 관한 정식 위수탁 협약을 체결하여 법적 공사 이행 기반을 다지는 것을 목적으로 함.</t>
        </is>
      </c>
      <c r="N17" s="75">
        <f>HYPERLINK(LEFT(CELL("filename",A1),FIND("[",CELL("filename",A1))-1)&amp;"3.지장물이설\9_인허가 절차 진행\표준서\9_인허가 절차 진행_표준서.html", "👉 [클릭] 표준서 열기 📄")</f>
        <v/>
      </c>
      <c r="O17" s="49" t="inlineStr">
        <is>
          <t>1) 관할 점용기관 협약 조건 수속 ➔ 2) 정산 분담금 &amp; 예비비 협의 ➔ 3) 위수탁 계약서 작성 ➔ 4) 위수탁 이설 계약 체결 승인</t>
        </is>
      </c>
      <c r="P17" s="76">
        <f>HYPERLINK(LEFT(CELL("filename",A1),FIND("[",CELL("filename",A1))-1)&amp;"3.지장물이설\9_인허가 절차 진행\수행지침\9_인허가 절차 진행_수행지침.html", "👉 [클릭] 수행지침 열기 📄")</f>
        <v/>
      </c>
      <c r="Q17" s="48" t="inlineStr">
        <is>
          <t>관할 점용기관 위수탁 이설 협약서 체결, 공사비 분담금 및 예비비 계상 합의 서약</t>
        </is>
      </c>
      <c r="R17" s="77">
        <f>HYPERLINK(LEFT(CELL("filename",A1),FIND("[",CELL("filename",A1))-1)&amp;"3.지장물이설\9_인허가 절차 진행\체크리스트\9_인허가 절차 진행_체크리스트.html", "👉 [클릭] 체크리스트 열기 📄")</f>
        <v/>
      </c>
      <c r="S17" s="47" t="n"/>
      <c r="T17" s="69" t="inlineStr">
        <is>
          <t>지방재정법 및 지자체 계약 조례</t>
        </is>
      </c>
      <c r="U17" s="50" t="inlineStr">
        <is>
          <t>협약 미체결로 인한 시공 후 법적 분쟁 리스크 방지</t>
        </is>
      </c>
      <c r="V17" s="49" t="inlineStr">
        <is>
          <t>법무 및 계약 전담 전문가</t>
        </is>
      </c>
    </row>
    <row r="18" ht="96" customHeight="1">
      <c r="A18" s="47" t="inlineStr">
        <is>
          <t>2000</t>
        </is>
      </c>
      <c r="B18" s="47" t="inlineStr">
        <is>
          <t>2000-3</t>
        </is>
      </c>
      <c r="C18" s="48" t="inlineStr">
        <is>
          <t>지장뭉 이설</t>
        </is>
      </c>
      <c r="D18" s="47" t="inlineStr">
        <is>
          <t>2000-3-1</t>
        </is>
      </c>
      <c r="E18" s="47">
        <f>D17</f>
        <v/>
      </c>
      <c r="F18" s="47">
        <f>D19</f>
        <v/>
      </c>
      <c r="G18" s="47" t="inlineStr">
        <is>
          <t>D+0</t>
        </is>
      </c>
      <c r="H18" s="52" t="inlineStr">
        <is>
          <t>도로점용/굴착행위 인허가</t>
        </is>
      </c>
      <c r="I18" s="47" t="inlineStr">
        <is>
          <t>현장 공무팀/공사팀</t>
        </is>
      </c>
      <c r="J18" s="49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K18" s="49" t="inlineStr">
        <is>
          <t>1) 도로 굴착 허가 신청서 작성 ➔ 2) 지자체 도로굴착 심의 필 ➔ 3) 복구 보증보험 증권 제출 ➔ 4) 도로 굴착 허가증 감리 결재</t>
        </is>
      </c>
      <c r="L18" s="49" t="inlineStr">
        <is>
          <t>지자체 도로 굴착 허가 신청서 접수, 심의 필증 수령 및 도로 복구 보증보험 증권 제출</t>
        </is>
      </c>
      <c r="M18" s="49" t="inlineStr">
        <is>
          <t>본 과업은 공사 구역 도로 굴착을 위해 관할 지자체에 도로 굴착 행위 허가 신청을 접수하고, 도로 복구 보증보험 증권 제출 등 관계 법령상 행위 허가를 완수하는 것을 목적으로 함.</t>
        </is>
      </c>
      <c r="N18" s="75">
        <f>HYPERLINK(LEFT(CELL("filename",A1),FIND("[",CELL("filename",A1))-1)&amp;"3.지장물이설\10_교통처리대책 협의 및 승인\표준서\10_교통처리대책 협의 및 승인_표준서.html", "👉 [클릭] 표준서 열기 📄")</f>
        <v/>
      </c>
      <c r="O18" s="49" t="inlineStr">
        <is>
          <t>1) 도로 굴착 허가 신청서 작성 ➔ 2) 지자체 도로굴착 심의 필 ➔ 3) 복구 보증보험 증권 제출 ➔ 4) 도로 굴착 허가증 감리 결재</t>
        </is>
      </c>
      <c r="P18" s="76">
        <f>HYPERLINK(LEFT(CELL("filename",A1),FIND("[",CELL("filename",A1))-1)&amp;"3.지장물이설\10_교통처리대책 협의 및 승인\수행지침\10_교통처리대책 협의 및 승인_수행지침.html", "👉 [클릭] 수행지침 열기 📄")</f>
        <v/>
      </c>
      <c r="Q18" s="48" t="inlineStr">
        <is>
          <t>지자체 도로 굴착 허가 신청서 접수, 심의 필증 수령 및 도로 복구 보증보험 증권 제출</t>
        </is>
      </c>
      <c r="R18" s="77">
        <f>HYPERLINK(LEFT(CELL("filename",A1),FIND("[",CELL("filename",A1))-1)&amp;"3.지장물이설\10_교통처리대책 협의 및 승인\체크리스트\10_교통처리대책 협의 및 승인_체크리스트.html", "👉 [클릭] 체크리스트 열기 📄")</f>
        <v/>
      </c>
      <c r="S18" s="47" t="n"/>
      <c r="T18" s="69" t="inlineStr">
        <is>
          <t>도로법 및 도로석굴착 관리조례</t>
        </is>
      </c>
      <c r="U18" s="50" t="inlineStr">
        <is>
          <t>무단 점용/굴착에 따른 과태료 및 공사중단 리스크 방지</t>
        </is>
      </c>
      <c r="V18" s="49" t="inlineStr">
        <is>
          <t>인허가 전담 행정 자문</t>
        </is>
      </c>
    </row>
    <row r="19" ht="96" customHeight="1">
      <c r="A19" s="47" t="inlineStr">
        <is>
          <t>2000</t>
        </is>
      </c>
      <c r="B19" s="47" t="inlineStr">
        <is>
          <t>2000-3</t>
        </is>
      </c>
      <c r="C19" s="48" t="inlineStr">
        <is>
          <t>지장뭉 이설</t>
        </is>
      </c>
      <c r="D19" s="47" t="inlineStr">
        <is>
          <t>2000-3-2</t>
        </is>
      </c>
      <c r="E19" s="47">
        <f>D18</f>
        <v/>
      </c>
      <c r="F19" s="47">
        <f>D20</f>
        <v/>
      </c>
      <c r="G19" s="47" t="inlineStr">
        <is>
          <t>D+0</t>
        </is>
      </c>
      <c r="H19" s="52" t="inlineStr">
        <is>
          <t>교통통제 및 교통안전시설 설치</t>
        </is>
      </c>
      <c r="I19" s="47" t="inlineStr">
        <is>
          <t>현장 안전팀/공사팀</t>
        </is>
      </c>
      <c r="J19" s="49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K19" s="49" t="inlineStr">
        <is>
          <t>1) 굴착 구간 안전 바리케이트 부설 ➔ 2) 야간 LED 경광등 &amp; 표지판 설치 ➔ 3) 전담 신호수(2인 2조) 배치 ➔ 4) 교통 안전 점검 대장 결재</t>
        </is>
      </c>
      <c r="L19" s="49" t="inlineStr">
        <is>
          <t>굴착 구간 안전 바리케이트 부설, 야간 LED 경광등 설치 및 전담 신호수(2인 2조) 배치</t>
        </is>
      </c>
      <c r="M19" s="49" t="inlineStr">
        <is>
          <t>본 과업은 굴착 작업 구간 주변의 차량 및 보행자 안전을 확보하기 위해, 안전 바리케이트, 휀스, LED 쏠라등을 부설하고 정비된 전담 신호수를 현장에 100% 배치하는 것을 목적으로 함.</t>
        </is>
      </c>
      <c r="N19" s="75">
        <f>HYPERLINK(LEFT(CELL("filename",A1),FIND("[",CELL("filename",A1))-1)&amp;"3.지장물이설\10_도로점용_굴착행위 인허가\표준서\도로점용_굴착행위 인허가_표준서.html", "👉 [클릭] 표준서 열기 📄")</f>
        <v/>
      </c>
      <c r="O19" s="49" t="inlineStr">
        <is>
          <t>1) 굴착 구간 안전 바리케이트 부설 ➔ 2) 야간 LED 경광등 &amp; 표지판 설치 ➔ 3) 전담 신호수(2인 2조) 배치 ➔ 4) 교통 안전 점검 대장 결재</t>
        </is>
      </c>
      <c r="P19" s="76">
        <f>HYPERLINK(LEFT(CELL("filename",A1),FIND("[",CELL("filename",A1))-1)&amp;"3.지장물이설\10_도로점용_굴착행위 인허가\수행지침\도로점용_굴착행위 인허가_수행지침.html", "👉 [클릭] 수행지침 열기 📄")</f>
        <v/>
      </c>
      <c r="Q19" s="48" t="inlineStr">
        <is>
          <t>굴착 구간 안전 바리케이트 부설, 야간 LED 경광등 설치 및 전담 신호수(2인 2조) 배치</t>
        </is>
      </c>
      <c r="R19" s="77">
        <f>HYPERLINK(LEFT(CELL("filename",A1),FIND("[",CELL("filename",A1))-1)&amp;"3.지장물이설\10_도로점용_굴착행위 인허가\체크리스트\도로점용_굴착행위 인허가_체크리스트.html", "👉 [클릭] 체크리스트 열기 📄")</f>
        <v/>
      </c>
      <c r="S19" s="47" t="n"/>
      <c r="T19" s="69" t="inlineStr">
        <is>
          <t>도로공사장 교통관리지침 (국토교통부)</t>
        </is>
      </c>
      <c r="U19" s="50" t="inlineStr">
        <is>
          <t>교통사고 및 보행자 민원 발생 리스크 예방</t>
        </is>
      </c>
      <c r="V19" s="49" t="inlineStr">
        <is>
          <t>교통안전 전문 자문</t>
        </is>
      </c>
    </row>
    <row r="20" ht="96" customHeight="1">
      <c r="A20" s="47" t="inlineStr">
        <is>
          <t>2000</t>
        </is>
      </c>
      <c r="B20" s="47" t="inlineStr">
        <is>
          <t>2000-3</t>
        </is>
      </c>
      <c r="C20" s="48" t="inlineStr">
        <is>
          <t>지장뭉 이설</t>
        </is>
      </c>
      <c r="D20" s="47" t="inlineStr">
        <is>
          <t>2000-3-3</t>
        </is>
      </c>
      <c r="E20" s="47">
        <f>D19</f>
        <v/>
      </c>
      <c r="F20" s="47">
        <f>D21</f>
        <v/>
      </c>
      <c r="G20" s="47" t="inlineStr">
        <is>
          <t>D+1</t>
        </is>
      </c>
      <c r="H20" s="52" t="inlineStr">
        <is>
          <t>줄따기(GPR)를 통한 기존 지장물 매설 확인</t>
        </is>
      </c>
      <c r="I20" s="47" t="inlineStr">
        <is>
          <t>현장 공무팀/공사팀</t>
        </is>
      </c>
      <c r="J20" s="49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K20" s="49" t="inlineStr">
        <is>
          <t>1) GPR 3D 지중 관로 탐사 ➔ 2) 인력 시탐 줄파기(깊이 1.5m) ➔ 3) 실체 관로 노출 &amp; 위치 매핑 ➔ 4) 지장물 현측표 감리 서면 승인</t>
        </is>
      </c>
      <c r="L20" s="49" t="inlineStr">
        <is>
          <t>GPR 3D 지중 관로 탐사, 인력 시탐 줄파기(폭 0.5m, 깊이 1.5m) 및 실체 관로 노출 매핑</t>
        </is>
      </c>
      <c r="M20" s="49" t="inlineStr">
        <is>
          <t>본 과업은 굴착 중 기존 지하 관로의 충격·파손 사고를 근본적으로 예방하기 위해, GPR 3D 탐사 후 인력 시탐 줄파기(깊이 1.5m)를 수행하여 관로 실체를 눈으로 확인하고 위치 표시판을 비치하는 것을 목적으로 함.</t>
        </is>
      </c>
      <c r="N20" s="75">
        <f>HYPERLINK(LEFT(CELL("filename",A1),FIND("[",CELL("filename",A1))-1)&amp;"3.지장물이설\11_교통통제 및 교통안전시설 설치\표준서\교통통제 및 교통안전시설 설치_표준서.html", "👉 [클릭] 표준서 열기 📄")</f>
        <v/>
      </c>
      <c r="O20" s="49" t="inlineStr">
        <is>
          <t>1) GPR 3D 지중 관로 탐사 ➔ 2) 인력 시탐 줄파기(깊이 1.5m) ➔ 3) 실체 관로 노출 &amp; 위치 매핑 ➔ 4) 지장물 현측표 감리 서면 승인</t>
        </is>
      </c>
      <c r="P20" s="76">
        <f>HYPERLINK(LEFT(CELL("filename",A1),FIND("[",CELL("filename",A1))-1)&amp;"3.지장물이설\11_교통통제 및 교통안전시설 설치\수행지침\교통통제 및 교통안전시설 설치_수행지침.html", "👉 [클릭] 수행지침 열기 📄")</f>
        <v/>
      </c>
      <c r="Q20" s="48" t="inlineStr">
        <is>
          <t>GPR 3D 지중 관로 탐사, 인력 시탐 줄파기(폭 0.5m, 깊이 1.5m) 및 실체 관로 노출 매핑</t>
        </is>
      </c>
      <c r="R20" s="77">
        <f>HYPERLINK(LEFT(CELL("filename",A1),FIND("[",CELL("filename",A1))-1)&amp;"3.지장물이설\11_교통통제 및 교통안전시설 설치\체크리스트\교통통제 및 교통안전시설 설치_체크리스트.html", "👉 [클릭] 체크리스트 열기 📄")</f>
        <v/>
      </c>
      <c r="S20" s="47" t="n"/>
      <c r="T20" s="69" t="inlineStr">
        <is>
          <t>지하안전관리에 관한 특별법 (지하안전법)</t>
        </is>
      </c>
      <c r="U20" s="50" t="inlineStr">
        <is>
          <t>중장비 직접 굴착으로 인한 관로 파손 사고 리스크 방지</t>
        </is>
      </c>
      <c r="V20" s="49" t="inlineStr">
        <is>
          <t>GPR 탐지 및 지하안전 전문 자문</t>
        </is>
      </c>
    </row>
    <row r="21" ht="96" customHeight="1">
      <c r="A21" s="47" t="inlineStr">
        <is>
          <t>2000</t>
        </is>
      </c>
      <c r="B21" s="47" t="inlineStr">
        <is>
          <t>2000-3</t>
        </is>
      </c>
      <c r="C21" s="48" t="inlineStr">
        <is>
          <t>지장뭉 이설</t>
        </is>
      </c>
      <c r="D21" s="47" t="inlineStr">
        <is>
          <t>2000-3-4</t>
        </is>
      </c>
      <c r="E21" s="47">
        <f>D20</f>
        <v/>
      </c>
      <c r="F21" s="47">
        <f>D22</f>
        <v/>
      </c>
      <c r="G21" s="47" t="inlineStr">
        <is>
          <t>D+3</t>
        </is>
      </c>
      <c r="H21" s="52" t="inlineStr">
        <is>
          <t>이설 위치 토공 굴착</t>
        </is>
      </c>
      <c r="I21" s="47" t="inlineStr">
        <is>
          <t>현장 공사팀</t>
        </is>
      </c>
      <c r="J21" s="49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K21" s="49" t="inlineStr">
        <is>
          <t>1) 굴착 비탈면 경사(1:1.5) 측량 ➔ 2) 굴착 &amp; 흙막이 가설재 부설 ➔ 3) 바닥 원지반 K30(≥70) 검측 ➔ 4) 굴착 완료 성과표 감리 승인</t>
        </is>
      </c>
      <c r="L21" s="49" t="inlineStr">
        <is>
          <t>굴착 비탈면 경사(1:1.5 이하) 측량, 흙막이 가설재 부설 및 바닥 원지반 K30 ≥ 70 지비력 검측</t>
        </is>
      </c>
      <c r="M21" s="49" t="inlineStr">
        <is>
          <t>본 과업은 신규 관로가 매설될 구역의 비탈면 경사(1:1.5) 준수 및 흙막이 가설재를 안전하게 설치하고, 굴착 바닥 원지반 지반반력계수를 시험·검측하는 것을 목적으로 함.</t>
        </is>
      </c>
      <c r="N21" s="75">
        <f>HYPERLINK(LEFT(CELL("filename",A1),FIND("[",CELL("filename",A1))-1)&amp;"3.지장물이설\11_민원 저감 대책 수립\표준서\11_민원 저감 대책 수립_표준서.html", "👉 [클릭] 표준서 열기 📄")</f>
        <v/>
      </c>
      <c r="O21" s="49" t="inlineStr">
        <is>
          <t>1) 굴착 비탈면 경사(1:1.5) 측량 ➔ 2) 굴착 &amp; 흙막이 가설재 부설 ➔ 3) 바닥 원지반 K30(≥70) 검측 ➔ 4) 굴착 완료 성과표 감리 승인</t>
        </is>
      </c>
      <c r="P21" s="76">
        <f>HYPERLINK(LEFT(CELL("filename",A1),FIND("[",CELL("filename",A1))-1)&amp;"3.지장물이설\11_민원 저감 대책 수립\수행지침\11_민원 저감 대책 수립_수행지침.html", "👉 [클릭] 수행지침 열기 📄")</f>
        <v/>
      </c>
      <c r="Q21" s="48" t="inlineStr">
        <is>
          <t>굴착 비탈면 경사(1:1.5 이하) 측량, 흙막이 가설재 부설 및 바닥 원지반 K30 ≥ 70 지비력 검측</t>
        </is>
      </c>
      <c r="R21" s="77">
        <f>HYPERLINK(LEFT(CELL("filename",A1),FIND("[",CELL("filename",A1))-1)&amp;"3.지장물이설\11_민원 저감 대책 수립\체크리스트\11_민원 저감 대책 수립_체크리스트.html", "👉 [클릭] 체크리스트 열기 📄")</f>
        <v/>
      </c>
      <c r="S21" s="47" t="n"/>
      <c r="T21" s="69" t="inlineStr">
        <is>
          <t>KCS 11 20 00 토공사 표준시방서</t>
        </is>
      </c>
      <c r="U21" s="50" t="inlineStr">
        <is>
          <t>굴착 법면 붕괴 및 인접 도로 침하 리스크 방지</t>
        </is>
      </c>
      <c r="V21" s="49" t="inlineStr">
        <is>
          <t>토질 및 기초 기술사 자문</t>
        </is>
      </c>
    </row>
    <row r="22" ht="96" customHeight="1">
      <c r="A22" s="47" t="inlineStr">
        <is>
          <t>2000</t>
        </is>
      </c>
      <c r="B22" s="47" t="inlineStr">
        <is>
          <t>2000-3</t>
        </is>
      </c>
      <c r="C22" s="48" t="inlineStr">
        <is>
          <t>지장뭉 이설</t>
        </is>
      </c>
      <c r="D22" s="47" t="inlineStr">
        <is>
          <t>2000-3-5</t>
        </is>
      </c>
      <c r="E22" s="47">
        <f>D21</f>
        <v/>
      </c>
      <c r="F22" s="47">
        <f>D23</f>
        <v/>
      </c>
      <c r="G22" s="47" t="inlineStr">
        <is>
          <t>D+5</t>
        </is>
      </c>
      <c r="H22" s="52" t="inlineStr">
        <is>
          <t>신규관로 매설 및 설치</t>
        </is>
      </c>
      <c r="I22" s="47" t="inlineStr">
        <is>
          <t>현장 공사팀 / 전문협력사</t>
        </is>
      </c>
      <c r="J22" s="49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K22" s="49" t="inlineStr">
        <is>
          <t>1) 관로 모래 기초(10cm) 부설 ➔ 2) 신규 상하수도관/가스관 부설 ➔ 3) 관로 종단 구배(≥0.5%) 검측 ➔ 4) 신규 관로 부설 감리 서면 승인</t>
        </is>
      </c>
      <c r="L22" s="49" t="inlineStr">
        <is>
          <t>관로 모래 기초(두께 10cm) 부설, 신규 상하수도관/가스관 부설 및 종단 구배(≥ 0.5%) 검측</t>
        </is>
      </c>
      <c r="M22" s="49" t="inlineStr">
        <is>
          <t>본 과업은 시방 규격에 부합하는 신규 상하수도·가스관을 부설하고 바닥 모래 기초(두께 10cm)를 시공하여, 관로 경사 및 수평 위치의 정확도를 확보하는 것을 목적으로 함.</t>
        </is>
      </c>
      <c r="N22" s="75">
        <f>HYPERLINK(LEFT(CELL("filename",A1),FIND("[",CELL("filename",A1))-1)&amp;"3.지장물이설\12_용지보상 Risk 파악\표준서\12_용지보상 Risk 파악_표준서.html", "👉 [클릭] 표준서 열기 📄")</f>
        <v/>
      </c>
      <c r="O22" s="49" t="inlineStr">
        <is>
          <t>1) 관로 모래 기초(10cm) 부설 ➔ 2) 신규 상하수도관/가스관 부설 ➔ 3) 관로 종단 구배(≥0.5%) 검측 ➔ 4) 신규 관로 부설 감리 서면 승인</t>
        </is>
      </c>
      <c r="P22" s="76">
        <f>HYPERLINK(LEFT(CELL("filename",A1),FIND("[",CELL("filename",A1))-1)&amp;"3.지장물이설\12_용지보상 Risk 파악\수행지침\12_용지보상 Risk 파악_수행지침.html", "👉 [클릭] 수행지침 열기 📄")</f>
        <v/>
      </c>
      <c r="Q22" s="48" t="inlineStr">
        <is>
          <t>관로 모래 기초(두께 10cm) 부설, 신규 상하수도관/가스관 부설 및 종단 구배(≥ 0.5%) 검측</t>
        </is>
      </c>
      <c r="R22" s="77">
        <f>HYPERLINK(LEFT(CELL("filename",A1),FIND("[",CELL("filename",A1))-1)&amp;"3.지장물이설\12_용지보상 Risk 파악\체크리스트\12_용지보상 Risk 파악_체크리스트.html", "👉 [클릭] 체크리스트 열기 📄")</f>
        <v/>
      </c>
      <c r="S22" s="47" t="n"/>
      <c r="T22" s="69" t="inlineStr">
        <is>
          <t>상하수도 및 배관공사 표준시방서</t>
        </is>
      </c>
      <c r="U22" s="50" t="inlineStr">
        <is>
          <t>관 이음부 누수 및 침하로 인한 도로 함몰 리스크 예방</t>
        </is>
      </c>
      <c r="V22" s="49" t="inlineStr">
        <is>
          <t>배관 및 관로 시공 전문 자문</t>
        </is>
      </c>
    </row>
    <row r="23" ht="96" customHeight="1">
      <c r="A23" s="47" t="inlineStr">
        <is>
          <t>2000</t>
        </is>
      </c>
      <c r="B23" s="47" t="inlineStr">
        <is>
          <t>2000-3</t>
        </is>
      </c>
      <c r="C23" s="48" t="inlineStr">
        <is>
          <t>지장뭉 이설</t>
        </is>
      </c>
      <c r="D23" s="47" t="inlineStr">
        <is>
          <t>2000-3-6</t>
        </is>
      </c>
      <c r="E23" s="47">
        <f>D22</f>
        <v/>
      </c>
      <c r="F23" s="47">
        <f>D24</f>
        <v/>
      </c>
      <c r="G23" s="47" t="inlineStr">
        <is>
          <t>D+8</t>
        </is>
      </c>
      <c r="H23" s="52" t="inlineStr">
        <is>
          <t>무단수 연결을 위한 시설 설치</t>
        </is>
      </c>
      <c r="I23" s="47" t="inlineStr">
        <is>
          <t>현장 공사팀 / 전문업체</t>
        </is>
      </c>
      <c r="J23" s="49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K23" s="49" t="inlineStr">
        <is>
          <t>1) 무단수 천공기 정밀 세팅 ➔ 2) 차단 밸브 &amp; 챔버 설치 ➔ 3) 수압 시험 및 가동 시운전 ➔ 4) 무단수 시설 검측 감리 승인</t>
        </is>
      </c>
      <c r="L23" s="49" t="inlineStr">
        <is>
          <t>무단수 천공기 정밀 세팅, 차단 밸브 &amp; 챔버 설치 및 수압 시험/가동 시운전 검측</t>
        </is>
      </c>
      <c r="M23" s="49" t="inlineStr">
        <is>
          <t>본 과업은 시민 수돗물 공급 중단(단수) 피해를 예방하기 위해, 무단수 천공기 및 밸브 차단 장비를 정밀 체결하여 연속 급수 상태에서 관로 이설 작업을 수행하는 것을 목적으로 함.</t>
        </is>
      </c>
      <c r="N23" s="75">
        <f>HYPERLINK(LEFT(CELL("filename",A1),FIND("[",CELL("filename",A1))-1)&amp;"3.지장물이설\12_줄따기(GPR)를 통한 기존 지장물 매설 확인\표준서\줄따기(GPR)를 통한 기존 지장물 매설 확인_표준서.html", "👉 [클릭] 표준서 열기 📄")</f>
        <v/>
      </c>
      <c r="O23" s="49" t="inlineStr">
        <is>
          <t>1) 무단수 천공기 정밀 세팅 ➔ 2) 차단 밸브 &amp; 챔버 설치 ➔ 3) 수압 시험 및 가동 시운전 ➔ 4) 무단수 시설 검측 감리 승인</t>
        </is>
      </c>
      <c r="P23" s="76">
        <f>HYPERLINK(LEFT(CELL("filename",A1),FIND("[",CELL("filename",A1))-1)&amp;"3.지장물이설\12_줄따기(GPR)를 통한 기존 지장물 매설 확인\수행지침\수행지침.html", "👉 [클릭] 수행지침 열기 📄")</f>
        <v/>
      </c>
      <c r="Q23" s="48" t="inlineStr">
        <is>
          <t>무단수 천공기 정밀 세팅, 차단 밸브 &amp; 챔버 설치 및 수압 시험/가동 시운전 검측</t>
        </is>
      </c>
      <c r="R23" s="77">
        <f>HYPERLINK(LEFT(CELL("filename",A1),FIND("[",CELL("filename",A1))-1)&amp;"3.지장물이설\12_줄따기(GPR)를 통한 기존 지장물 매설 확인\체크리스트\줄따기(GPR)를 통한 기존 지장물 매설 확인_체크리스트.html", "👉 [클릭] 체크리스트 열기 📄")</f>
        <v/>
      </c>
      <c r="S23" s="47" t="n"/>
      <c r="T23" s="69" t="inlineStr">
        <is>
          <t>무단수 공법 기술 시방서</t>
        </is>
      </c>
      <c r="U23" s="50" t="inlineStr">
        <is>
          <t>단수 발생으로 인한 대규모 주민 민원 리스크 방지</t>
        </is>
      </c>
      <c r="V23" s="49" t="inlineStr">
        <is>
          <t>무단수 공법 전문 기술자 자문</t>
        </is>
      </c>
    </row>
    <row r="24" ht="96" customHeight="1">
      <c r="A24" s="47" t="inlineStr">
        <is>
          <t>2000</t>
        </is>
      </c>
      <c r="B24" s="47" t="inlineStr">
        <is>
          <t>2000-3</t>
        </is>
      </c>
      <c r="C24" s="48" t="inlineStr">
        <is>
          <t>지장뭉 이설</t>
        </is>
      </c>
      <c r="D24" s="47" t="inlineStr">
        <is>
          <t>2000-3-7</t>
        </is>
      </c>
      <c r="E24" s="47">
        <f>D23</f>
        <v/>
      </c>
      <c r="F24" s="47">
        <f>D25</f>
        <v/>
      </c>
      <c r="G24" s="47" t="inlineStr">
        <is>
          <t>D+10</t>
        </is>
      </c>
      <c r="H24" s="52" t="inlineStr">
        <is>
          <t>신규관로 및 연결관로 접속</t>
        </is>
      </c>
      <c r="I24" s="47" t="inlineStr">
        <is>
          <t>현장 공사팀</t>
        </is>
      </c>
      <c r="J24" s="49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K24" s="49" t="inlineStr">
        <is>
          <t>1) 신구 관로 접속 부위 부설 ➔ 2) 수압 시험(10kgf/cm², 1h 유지) ➔ 3) 부식 방지 피복 랩핑 시행 ➔ 4) 관로 접속 검측 성과표 승인</t>
        </is>
      </c>
      <c r="L24" s="49" t="inlineStr">
        <is>
          <t>신구 관로 접속 부위 부설, 수압 시험(10kgf/cm², 1h 유지) 및 부식 방지 피복 랩핑 검측</t>
        </is>
      </c>
      <c r="M24" s="49" t="inlineStr">
        <is>
          <t>본 과업은 신구 관로 접속 부위의 기밀성 및 누수 여부를 검증하기 위해, 규정 하중 수압 시험(10kgf/cm², 1시간 유지)을 수행하고 부식 방지 피복 작업을 완수하는 것을 목적으로 함.</t>
        </is>
      </c>
      <c r="N24" s="75">
        <f>HYPERLINK(LEFT(CELL("filename",A1),FIND("[",CELL("filename",A1))-1)&amp;"3.지장물이설\13_관리기관(맑은물사업소) 협의\표준서\13_관리기관(맑은물사업소) 협의_표준서.html", "👉 [클릭] 표준서 열기 📄")</f>
        <v/>
      </c>
      <c r="O24" s="49" t="inlineStr">
        <is>
          <t>1) 신구 관로 접속 부위 부설 ➔ 2) 수압 시험(10kgf/cm², 1h 유지) ➔ 3) 부식 방지 피복 랩핑 시행 ➔ 4) 관로 접속 검측 성과표 승인</t>
        </is>
      </c>
      <c r="P24" s="76">
        <f>HYPERLINK(LEFT(CELL("filename",A1),FIND("[",CELL("filename",A1))-1)&amp;"3.지장물이설\13_관리기관(맑은물사업소) 협의\수행지침\관리기관(맑은물사업소) 협의_수행지침.html", "👉 [클릭] 수행지침 열기 📄")</f>
        <v/>
      </c>
      <c r="Q24" s="48" t="inlineStr">
        <is>
          <t>신구 관로 접속 부위 부설, 수압 시험(10kgf/cm², 1h 유지) 및 부식 방지 피복 랩핑 검측</t>
        </is>
      </c>
      <c r="R24" s="77">
        <f>HYPERLINK(LEFT(CELL("filename",A1),FIND("[",CELL("filename",A1))-1)&amp;"3.지장물이설\13_관리기관(맑은물사업소) 협의\체크리스트\관리기관(맑은물사업소) 협의_체크리스트.html", "👉 [클릭] 체크리스트 열기 📄")</f>
        <v/>
      </c>
      <c r="S24" s="47" t="n"/>
      <c r="T24" s="69" t="inlineStr">
        <is>
          <t>관로 접속 및 Cut-over 시방서</t>
        </is>
      </c>
      <c r="U24" s="50" t="inlineStr">
        <is>
          <t>접속 부위 압력 파손 및 서비스 전환 실패 리스크 방지</t>
        </is>
      </c>
      <c r="V24" s="49" t="inlineStr">
        <is>
          <t>관로 접속 전문 자문</t>
        </is>
      </c>
    </row>
    <row r="25" ht="96" customHeight="1">
      <c r="A25" s="47" t="inlineStr">
        <is>
          <t>2000</t>
        </is>
      </c>
      <c r="B25" s="47" t="inlineStr">
        <is>
          <t>2000-3</t>
        </is>
      </c>
      <c r="C25" s="48" t="inlineStr">
        <is>
          <t>지장뭉 이설</t>
        </is>
      </c>
      <c r="D25" s="47" t="inlineStr">
        <is>
          <t>2000-3-8</t>
        </is>
      </c>
      <c r="E25" s="47">
        <f>D24</f>
        <v/>
      </c>
      <c r="F25" s="47">
        <f>D26</f>
        <v/>
      </c>
      <c r="G25" s="47" t="inlineStr">
        <is>
          <t>D+15</t>
        </is>
      </c>
      <c r="H25" s="52" t="inlineStr">
        <is>
          <t>기존관로 철거 및 원상복구</t>
        </is>
      </c>
      <c r="I25" s="47" t="inlineStr">
        <is>
          <t>현장 공사팀</t>
        </is>
      </c>
      <c r="J25" s="49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K25" s="49" t="inlineStr">
        <is>
          <t>1) 기존 폐관로 안전 철거/수거 ➔ 2) 토사 30cm 층다짐(다짐도≥95%) ➔ 3) 아스콘 가포설 &amp; 평탄성 검측 ➔ 4) 원상복구 성과표 감리 승인</t>
        </is>
      </c>
      <c r="L25" s="49" t="inlineStr">
        <is>
          <t>기존 폐관로 안전 철거/수거, 토사 30cm 층다짐(다짐도 ≥ 95%) 원상복구 및 아스콘 가포설</t>
        </is>
      </c>
      <c r="M25" s="49" t="inlineStr">
        <is>
          <t>본 과업은 이설 완료 후 사용 중지된 폐관로를 안전하게 수거·폐기하고, 굴착 구역을 토사 30cm 층다짐(다짐도 95% 이상) 및 아스콘 가포설로 원래 도로 상태로 정밀 복구하는 것을 목적으로 함.</t>
        </is>
      </c>
      <c r="N25" s="75">
        <f>HYPERLINK(LEFT(CELL("filename",A1),FIND("[",CELL("filename",A1))-1)&amp;"3.지장물이설\13_이설 위치 토공 굴착\표준서\이설 위치 토공 굴착_표준서.html", "👉 [클릭] 표준서 열기 📄")</f>
        <v/>
      </c>
      <c r="O25" s="49" t="inlineStr">
        <is>
          <t>1) 기존 폐관로 안전 철거/수거 ➔ 2) 토사 30cm 층다짐(다짐도≥95%) ➔ 3) 아스콘 가포설 &amp; 평탄성 검측 ➔ 4) 원상복구 성과표 감리 승인</t>
        </is>
      </c>
      <c r="P25" s="76">
        <f>HYPERLINK(LEFT(CELL("filename",A1),FIND("[",CELL("filename",A1))-1)&amp;"3.지장물이설\13_이설 위치 토공 굴착\수행지침\수행지침.html", "👉 [클릭] 수행지침 열기 📄")</f>
        <v/>
      </c>
      <c r="Q25" s="48" t="inlineStr">
        <is>
          <t>기존 폐관로 안전 철거/수거, 토사 30cm 층다짐(다짐도 ≥ 95%) 원상복구 및 아스콘 가포설</t>
        </is>
      </c>
      <c r="R25" s="77">
        <f>HYPERLINK(LEFT(CELL("filename",A1),FIND("[",CELL("filename",A1))-1)&amp;"3.지장물이설\13_이설 위치 토공 굴착\체크리스트\이설 위치 토공 굴착_체크리스트.html", "👉 [클릭] 체크리스트 열기 📄")</f>
        <v/>
      </c>
      <c r="S25" s="47" t="n"/>
      <c r="T25" s="69" t="inlineStr">
        <is>
          <t>도로 복구 공사 표준시방서</t>
        </is>
      </c>
      <c r="U25" s="50" t="inlineStr">
        <is>
          <t>복구 포장 부등침하로 인한 포트홀 리스크 방지</t>
        </is>
      </c>
      <c r="V25" s="49" t="inlineStr">
        <is>
          <t>도로 포장 전문 기술자 자문</t>
        </is>
      </c>
    </row>
    <row r="26" ht="96" customHeight="1">
      <c r="A26" s="47" t="inlineStr">
        <is>
          <t>2000</t>
        </is>
      </c>
      <c r="B26" s="47" t="inlineStr">
        <is>
          <t>2000-4</t>
        </is>
      </c>
      <c r="C26" s="48" t="inlineStr">
        <is>
          <t>지장뭉 이설</t>
        </is>
      </c>
      <c r="D26" s="47" t="inlineStr">
        <is>
          <t>2000-4-1</t>
        </is>
      </c>
      <c r="E26" s="47">
        <f>D25</f>
        <v/>
      </c>
      <c r="F26" s="47">
        <f>D27</f>
        <v/>
      </c>
      <c r="G26" s="47" t="inlineStr">
        <is>
          <t>D+20</t>
        </is>
      </c>
      <c r="H26" s="52" t="inlineStr">
        <is>
          <t>광역상수관 이설 공사</t>
        </is>
      </c>
      <c r="I26" s="47" t="inlineStr">
        <is>
          <t>공사팀 (협의: 한국수자원공사)</t>
        </is>
      </c>
      <c r="J26" s="49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K26" s="49" t="inlineStr">
        <is>
          <t>1) 광역상수관(Ø500mm+) 부설 ➔ 2) 수압 시험 &amp; 수질 검사 시행 ➔ 3) 한국수자원공사 현장 입회 ➔ 4) 광역상수관 이설 완료 승인</t>
        </is>
      </c>
      <c r="L26" s="49" t="inlineStr">
        <is>
          <t>광역상수관(Ø500mm+) 부설, 수압 시험 및 수질 검사 합격 (한국수자원공사 1:1 입회 검측)</t>
        </is>
      </c>
      <c r="M26" s="49" t="inlineStr">
        <is>
          <t>본 과업은 광역상수관(Ø500mm 이상) 이설 시 한국수자원공사 입회 하에 수압 시험 및 수질 검사를 실시하여, 광역 용수 공급의 안정성과 수질 안전성을 확보하는 것을 목적으로 함.</t>
        </is>
      </c>
      <c r="N26" s="75">
        <f>HYPERLINK(LEFT(CELL("filename",A1),FIND("[",CELL("filename",A1))-1)&amp;"3.지장물이설\14_신규관로 매설 및 설치\표준서\신규관로 매설 및 설치_표준서.html", "👉 [클릭] 표준서 열기 📄")</f>
        <v/>
      </c>
      <c r="O26" s="49" t="inlineStr">
        <is>
          <t>1) 광역상수관(Ø500mm+) 부설 ➔ 2) 수압 시험 &amp; 수질 검사 시행 ➔ 3) 한국수자원공사 현장 입회 ➔ 4) 광역상수관 이설 완료 승인</t>
        </is>
      </c>
      <c r="P26" s="76">
        <f>HYPERLINK(LEFT(CELL("filename",A1),FIND("[",CELL("filename",A1))-1)&amp;"3.지장물이설\14_신규관로 매설 및 설치\수행지침\수행지침.html", "👉 [클릭] 수행지침 열기 📄")</f>
        <v/>
      </c>
      <c r="Q26" s="48" t="inlineStr">
        <is>
          <t>광역상수관(Ø500mm+) 부설, 수압 시험 및 수질 검사 합격 (한국수자원공사 1:1 입회 검측)</t>
        </is>
      </c>
      <c r="R26" s="77">
        <f>HYPERLINK(LEFT(CELL("filename",A1),FIND("[",CELL("filename",A1))-1)&amp;"3.지장물이설\14_신규관로 매설 및 설치\체크리스트\신규관로 매설 및 설치_체크리스트.html", "👉 [클릭] 체크리스트 열기 📄")</f>
        <v/>
      </c>
      <c r="S26" s="47" t="n"/>
      <c r="T26" s="69" t="inlineStr">
        <is>
          <t>한국수자원공사 광역상수도 설계기준</t>
        </is>
      </c>
      <c r="U26" s="50" t="inlineStr">
        <is>
          <t>광역상수도 파손 시 광역 단수 대형 재난 리스크 관리</t>
        </is>
      </c>
      <c r="V26" s="49" t="inlineStr">
        <is>
          <t>수자원공사 전담 기술 자문</t>
        </is>
      </c>
    </row>
    <row r="27" ht="96" customHeight="1">
      <c r="A27" s="47" t="inlineStr">
        <is>
          <t>2000</t>
        </is>
      </c>
      <c r="B27" s="47" t="inlineStr">
        <is>
          <t>2000-4</t>
        </is>
      </c>
      <c r="C27" s="48" t="inlineStr">
        <is>
          <t>지장뭉 이설</t>
        </is>
      </c>
      <c r="D27" s="47" t="inlineStr">
        <is>
          <t>2000-4-2</t>
        </is>
      </c>
      <c r="E27" s="47">
        <f>D26</f>
        <v/>
      </c>
      <c r="F27" s="47">
        <f>D28</f>
        <v/>
      </c>
      <c r="G27" s="47" t="inlineStr">
        <is>
          <t>D+22</t>
        </is>
      </c>
      <c r="H27" s="52" t="inlineStr">
        <is>
          <t>상수도 관로 이설 공사</t>
        </is>
      </c>
      <c r="I27" s="47" t="inlineStr">
        <is>
          <t>공사팀 (협의: 맑은물사업소)</t>
        </is>
      </c>
      <c r="J27" s="49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K27" s="49" t="inlineStr">
        <is>
          <t>1) 배수관(Ø200~300mm) 이설 부설 ➔ 2) 탁수 퇴수 &amp; 잔류염소 시험 ➔ 3) 맑은물사업소 합동 현측 ➔ 4) 상수도 관로 이설 감리 승인</t>
        </is>
      </c>
      <c r="L27" s="49" t="inlineStr">
        <is>
          <t>배수관(Ø200~300mm) 이설, 탁수 퇴수 작업 및 잔류염소 시험 합격 (맑은물사업소 현측)</t>
        </is>
      </c>
      <c r="M27" s="49" t="inlineStr">
        <is>
          <t>본 과업은 지방 상수도 배수관(Ø200~300mm) 이설 후 탁수 퇴수 작업 및 잔류염소 수질 검사를 시행하여, 주민 유해 물질 없는 깨끗한 수돗물 공급 상태를 검증하는 것을 목적으로 함.</t>
        </is>
      </c>
      <c r="N27" s="75">
        <f>HYPERLINK(LEFT(CELL("filename",A1),FIND("[",CELL("filename",A1))-1)&amp;"3.지장물이설\14_위수탁 지장물 이설 설계\표준서\14_위수탁 지장물 이설 설계_표준서.html", "👉 [클릭] 표준서 열기 📄")</f>
        <v/>
      </c>
      <c r="O27" s="49" t="inlineStr">
        <is>
          <t>1) 배수관(Ø200~300mm) 이설 부설 ➔ 2) 탁수 퇴수 &amp; 잔류염소 시험 ➔ 3) 맑은물사업소 합동 현측 ➔ 4) 상수도 관로 이설 감리 승인</t>
        </is>
      </c>
      <c r="P27" s="76">
        <f>HYPERLINK(LEFT(CELL("filename",A1),FIND("[",CELL("filename",A1))-1)&amp;"3.지장물이설\14_위수탁 지장물 이설 설계\수행지침\수행지침.html", "👉 [클릭] 수행지침 열기 📄")</f>
        <v/>
      </c>
      <c r="Q27" s="48" t="inlineStr">
        <is>
          <t>배수관(Ø200~300mm) 이설, 탁수 퇴수 작업 및 잔류염소 시험 합격 (맑은물사업소 현측)</t>
        </is>
      </c>
      <c r="R27" s="77">
        <f>HYPERLINK(LEFT(CELL("filename",A1),FIND("[",CELL("filename",A1))-1)&amp;"3.지장물이설\14_위수탁 지장물 이설 설계\체크리스트\위수탁 지장물 이설 설계_체크리스트.html", "👉 [클릭] 체크리스트 열기 📄")</f>
        <v/>
      </c>
      <c r="S27" s="47" t="n"/>
      <c r="T27" s="69" t="inlineStr">
        <is>
          <t>상수도 공사 표준시방서</t>
        </is>
      </c>
      <c r="U27" s="50" t="inlineStr">
        <is>
          <t>상수도 수질 오염 및 단수 시간 초과 리스크 방지</t>
        </is>
      </c>
      <c r="V27" s="49" t="inlineStr">
        <is>
          <t>맑은물사업소 상수도 감독관 자문</t>
        </is>
      </c>
    </row>
    <row r="28" ht="96" customHeight="1">
      <c r="A28" s="47" t="inlineStr">
        <is>
          <t>2000</t>
        </is>
      </c>
      <c r="B28" s="47" t="inlineStr">
        <is>
          <t>2000-4</t>
        </is>
      </c>
      <c r="C28" s="48" t="inlineStr">
        <is>
          <t>지장뭉 이설</t>
        </is>
      </c>
      <c r="D28" s="47" t="inlineStr">
        <is>
          <t>2000-4-3</t>
        </is>
      </c>
      <c r="E28" s="47">
        <f>D27</f>
        <v/>
      </c>
      <c r="F28" s="47">
        <f>D29</f>
        <v/>
      </c>
      <c r="G28" s="47" t="inlineStr">
        <is>
          <t>D+25</t>
        </is>
      </c>
      <c r="H28" s="52" t="inlineStr">
        <is>
          <t>하수도 관로 이설 공사</t>
        </is>
      </c>
      <c r="I28" s="47" t="inlineStr">
        <is>
          <t>공사팀 (협의: 맑은물사업소)</t>
        </is>
      </c>
      <c r="J28" s="49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K28" s="49" t="inlineStr">
        <is>
          <t>1) 하수관(Ø400mm+) 연결 부설 ➔ 2) CCTV 관로 내부 검사 시행 ➔ 3) 통수 담수 시험 완료 ➔ 4) 하수도 관로 이설 감리 승인</t>
        </is>
      </c>
      <c r="L28" s="49" t="inlineStr">
        <is>
          <t>하수관(Ø400mm+) 연결 부설, CCTV 관로 내부 검사 &amp; 통수 담수 시험 합격 (하수도사업소 인수)</t>
        </is>
      </c>
      <c r="M28" s="49" t="inlineStr">
        <is>
          <t>본 과업은 하수관(Ø400mm 이상) 이설 후 CCTV 관로 내부 전수 검사 및 통수 담수 시험을 시행하여, 관로 파손이나 구배 불량에 따른 배수 막힘을 예방하는 것을 목적으로 함.</t>
        </is>
      </c>
      <c r="N28" s="75">
        <f>HYPERLINK(LEFT(CELL("filename",A1),FIND("[",CELL("filename",A1))-1)&amp;"3.지장물이설\15_무단수 연결을 위한 시설 설치\표준서\무단수 연결을 위한 시설 설치_표준서.html", "👉 [클릭] 표준서 열기 📄")</f>
        <v/>
      </c>
      <c r="O28" s="49" t="inlineStr">
        <is>
          <t>1) 하수관(Ø400mm+) 연결 부설 ➔ 2) CCTV 관로 내부 검사 시행 ➔ 3) 통수 담수 시험 완료 ➔ 4) 하수도 관로 이설 감리 승인</t>
        </is>
      </c>
      <c r="P28" s="76">
        <f>HYPERLINK(LEFT(CELL("filename",A1),FIND("[",CELL("filename",A1))-1)&amp;"3.지장물이설\15_무단수 연결을 위한 시설 설치\수행지침\무단수 연결을 위한 시설 설치_수행지침.html", "👉 [클릭] 수행지침 열기 📄")</f>
        <v/>
      </c>
      <c r="Q28" s="48" t="inlineStr">
        <is>
          <t>하수관(Ø400mm+) 연결 부설, CCTV 관로 내부 검사 &amp; 통수 담수 시험 합격 (하수도사업소 인수)</t>
        </is>
      </c>
      <c r="R28" s="77">
        <f>HYPERLINK(LEFT(CELL("filename",A1),FIND("[",CELL("filename",A1))-1)&amp;"3.지장물이설\15_무단수 연결을 위한 시설 설치\체크리스트\무단수 연결을 위한 시설 설치_체크리스트.html", "👉 [클릭] 체크리스트 열기 📄")</f>
        <v/>
      </c>
      <c r="S28" s="47" t="n"/>
      <c r="T28" s="69" t="inlineStr">
        <is>
          <t>하수도 공사 표준시방서</t>
        </is>
      </c>
      <c r="U28" s="50" t="inlineStr">
        <is>
          <t>하수 역류 및 구배 불량으로 인한 관로 침전 리스크 예방</t>
        </is>
      </c>
      <c r="V28" s="49" t="inlineStr">
        <is>
          <t>하수도 정밀 측량 기술자 자문</t>
        </is>
      </c>
    </row>
    <row r="29" ht="96" customHeight="1">
      <c r="A29" s="47" t="inlineStr">
        <is>
          <t>2000</t>
        </is>
      </c>
      <c r="B29" s="47" t="inlineStr">
        <is>
          <t>2000-4</t>
        </is>
      </c>
      <c r="C29" s="48" t="inlineStr">
        <is>
          <t>지장뭉 이설</t>
        </is>
      </c>
      <c r="D29" s="47" t="inlineStr">
        <is>
          <t>2000-4-4</t>
        </is>
      </c>
      <c r="E29" s="47">
        <f>D28</f>
        <v/>
      </c>
      <c r="F29" s="47">
        <f>D30</f>
        <v/>
      </c>
      <c r="G29" s="47" t="inlineStr">
        <is>
          <t>D+28</t>
        </is>
      </c>
      <c r="H29" s="52" t="inlineStr">
        <is>
          <t>도시가스관 이설 공사</t>
        </is>
      </c>
      <c r="I29" s="47" t="inlineStr">
        <is>
          <t>공사팀 (협의: 한국가스공사, 삼천리)</t>
        </is>
      </c>
      <c r="J29" s="49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K29" s="49" t="inlineStr">
        <is>
          <t>1) 도시가스관 매설 &amp; 용접 ➔ 2) 비파괴검사(RT 100%) &amp; 기밀 시험 ➔ 3) 도시가스사 1:1 입회 검측 ➔ 4) 가스관 이설 완료 승인</t>
        </is>
      </c>
      <c r="L29" s="49" t="inlineStr">
        <is>
          <t>도시가스관 매설 &amp; 용접, 비파괴검사(RT 100%) 및 기밀 시험 합격 (도시가스사 1:1 입회)</t>
        </is>
      </c>
      <c r="M29" s="49" t="inlineStr">
        <is>
          <t>본 과업은 도시가스 관로 이설 접합 부위에 대한 비파괴검사(RT 100%) 및 가스 기밀 시험을 도시가스사 기술자 입회 하에 수행하여, 폭발 및 누출 위험을 근본적으로 차단하는 것을 목적으로 함.</t>
        </is>
      </c>
      <c r="N29" s="75">
        <f>HYPERLINK(LEFT(CELL("filename",A1),FIND("[",CELL("filename",A1))-1)&amp;"3.지장물이설\15_상하수도 이설계획 실정보고\표준서\15_상하수도 이설계획 실정보고_표준서.html", "👉 [클릭] 표준서 열기 📄")</f>
        <v/>
      </c>
      <c r="O29" s="49" t="inlineStr">
        <is>
          <t>1) 도시가스관 매설 &amp; 용접 ➔ 2) 비파괴검사(RT 100%) &amp; 기밀 시험 ➔ 3) 도시가스사 1:1 입회 검측 ➔ 4) 가스관 이설 완료 승인</t>
        </is>
      </c>
      <c r="P29" s="76">
        <f>HYPERLINK(LEFT(CELL("filename",A1),FIND("[",CELL("filename",A1))-1)&amp;"3.지장물이설\15_상하수도 이설계획 실정보고\수행지침\상하수도 이설계획 실정보고_수행지침.html", "👉 [클릭] 수행지침 열기 📄")</f>
        <v/>
      </c>
      <c r="Q29" s="48" t="inlineStr">
        <is>
          <t>도시가스관 매설 &amp; 용접, 비파괴검사(RT 100%) 및 기밀 시험 합격 (도시가스사 1:1 입회)</t>
        </is>
      </c>
      <c r="R29" s="77">
        <f>HYPERLINK(LEFT(CELL("filename",A1),FIND("[",CELL("filename",A1))-1)&amp;"3.지장물이설\15_상하수도 이설계획 실정보고\체크리스트\상하수도 이설계획 실정보고_체크리스트.html", "👉 [클릭] 체크리스트 열기 📄")</f>
        <v/>
      </c>
      <c r="S29" s="47" t="n"/>
      <c r="T29" s="69" t="inlineStr">
        <is>
          <t>도시가스사업법 및 KGC 가스안전 기준</t>
        </is>
      </c>
      <c r="U29" s="50" t="inlineStr">
        <is>
          <t>가스 누출 및 폭발 대형 안전사고 리스크 방지</t>
        </is>
      </c>
      <c r="V29" s="49" t="inlineStr">
        <is>
          <t>가스안전공사 및 삼천리가스 전문 자문</t>
        </is>
      </c>
    </row>
    <row r="30" ht="96" customHeight="1">
      <c r="A30" s="47" t="inlineStr">
        <is>
          <t>2000</t>
        </is>
      </c>
      <c r="B30" s="47" t="inlineStr">
        <is>
          <t>2000-4</t>
        </is>
      </c>
      <c r="C30" s="48" t="inlineStr">
        <is>
          <t>지장뭉 이설</t>
        </is>
      </c>
      <c r="D30" s="47" t="inlineStr">
        <is>
          <t>2000-4-5</t>
        </is>
      </c>
      <c r="E30" s="47">
        <f>D29</f>
        <v/>
      </c>
      <c r="F30" s="47">
        <f>D31</f>
        <v/>
      </c>
      <c r="G30" s="47" t="inlineStr">
        <is>
          <t>D+30</t>
        </is>
      </c>
      <c r="H30" s="52" t="inlineStr">
        <is>
          <t>지역난방관 이설 공사</t>
        </is>
      </c>
      <c r="I30" s="47" t="inlineStr">
        <is>
          <t>공사팀 (협의: 한국지역난방공사)</t>
        </is>
      </c>
      <c r="J30" s="49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K30" s="49" t="inlineStr">
        <is>
          <t>1) 난방 수송관 매설 &amp; 용접 ➔ 2) 100% 비파괴검사 &amp; 피복 랩핑 ➔ 3) 지역난방공사 시운전 인수 ➔ 4) 지역난방관 이설 감리 승인</t>
        </is>
      </c>
      <c r="L30" s="49" t="inlineStr">
        <is>
          <t>난방 수송관 매설 &amp; 용접, 100% 비파괴검사 및 피복 랩핑 검수 (지역난방공사 인수)</t>
        </is>
      </c>
      <c r="M30" s="49" t="inlineStr">
        <is>
          <t>본 과업은 고온·고압 지역난방 수송관 이설 시 비파괴 용접 검사 및 단열 보온재 피복 상태를 정밀 점검하여, 열 손실 방지 및 안전한 열 공급 여건을 완성하는 것을 목적으로 함.</t>
        </is>
      </c>
      <c r="N30" s="75">
        <f>HYPERLINK(LEFT(CELL("filename",A1),FIND("[",CELL("filename",A1))-1)&amp;"3.지장물이설\16_신규관로 및 연결관로 접속\표준서\신규관로 및 연결관로 접속_표준서.html", "👉 [클릭] 표준서 열기 📄")</f>
        <v/>
      </c>
      <c r="O30" s="49" t="inlineStr">
        <is>
          <t>1) 난방 수송관 매설 &amp; 용접 ➔ 2) 100% 비파괴검사 &amp; 피복 랩핑 ➔ 3) 지역난방공사 시운전 인수 ➔ 4) 지역난방관 이설 감리 승인</t>
        </is>
      </c>
      <c r="P30" s="76">
        <f>HYPERLINK(LEFT(CELL("filename",A1),FIND("[",CELL("filename",A1))-1)&amp;"3.지장물이설\16_신규관로 및 연결관로 접속\수행지침\수행지침.html", "👉 [클릭] 수행지침 열기 📄")</f>
        <v/>
      </c>
      <c r="Q30" s="48" t="inlineStr">
        <is>
          <t>난방 수송관 매설 &amp; 용접, 100% 비파괴검사 및 피복 랩핑 검수 (지역난방공사 인수)</t>
        </is>
      </c>
      <c r="R30" s="77">
        <f>HYPERLINK(LEFT(CELL("filename",A1),FIND("[",CELL("filename",A1))-1)&amp;"3.지장물이설\16_신규관로 및 연결관로 접속\체크리스트\신규관로 및 연결관로 접속_체크리스트.html", "👉 [클릭] 체크리스트 열기 📄")</f>
        <v/>
      </c>
      <c r="S30" s="47" t="n"/>
      <c r="T30" s="69" t="inlineStr">
        <is>
          <t>한국지역난방공사 열수송관 기술기준</t>
        </is>
      </c>
      <c r="U30" s="50" t="inlineStr">
        <is>
          <t>열수송관 누수 및 난방 공급 중단 리스크 방지</t>
        </is>
      </c>
      <c r="V30" s="49" t="inlineStr">
        <is>
          <t>지역난방공사 열수송관 전문 자문</t>
        </is>
      </c>
    </row>
    <row r="31" ht="96" customHeight="1">
      <c r="A31" s="47" t="inlineStr">
        <is>
          <t>2000</t>
        </is>
      </c>
      <c r="B31" s="47" t="inlineStr">
        <is>
          <t>2000-4</t>
        </is>
      </c>
      <c r="C31" s="48" t="inlineStr">
        <is>
          <t>지장뭉 이설</t>
        </is>
      </c>
      <c r="D31" s="47" t="inlineStr">
        <is>
          <t>2000-4-6</t>
        </is>
      </c>
      <c r="E31" s="47">
        <f>D30</f>
        <v/>
      </c>
      <c r="F31" s="47">
        <f>D32</f>
        <v/>
      </c>
      <c r="G31" s="47" t="inlineStr">
        <is>
          <t>D+35</t>
        </is>
      </c>
      <c r="H31" s="52" t="inlineStr">
        <is>
          <t>통신관로 및 케이블 이설 공사</t>
        </is>
      </c>
      <c r="I31" s="47" t="inlineStr">
        <is>
          <t>공사팀 (협의: KT, LGU+, SKT)</t>
        </is>
      </c>
      <c r="J31" s="49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K31" s="49" t="inlineStr">
        <is>
          <t>1) 통신 광케이블 관로 부설 ➔ 2) 광케이블 포설 &amp; 접속 ➔ 3) 절연저항 &amp; 광손실 시험 ➔ 4) KT/SKT 통신사 광신호 승인</t>
        </is>
      </c>
      <c r="L31" s="49" t="inlineStr">
        <is>
          <t>통신 광케이블 관로 부설, 절연 저항 &amp; 광손실 실측 합격 (KT/SKT 광신호 승인)</t>
        </is>
      </c>
      <c r="M31" s="49" t="inlineStr">
        <is>
          <t>본 과업은 통신 광케이블 관로 이설 후 절연 저항 시험 및 광신호 손실 측정을 시행하여, 동탄 도시 통신망의 끊김 없는 고품질 신호 전달 상태를 승인받는 것을 목적으로 함.</t>
        </is>
      </c>
      <c r="N31" s="75">
        <f>HYPERLINK(LEFT(CELL("filename",A1),FIND("[",CELL("filename",A1))-1)&amp;"3.지장물이설\16_위수탁 계약 체결\표준서\16_위수탁 계약 체결_표준서.html", "👉 [클릭] 표준서 열기 📄")</f>
        <v/>
      </c>
      <c r="O31" s="49" t="inlineStr">
        <is>
          <t>1) 통신 광케이블 관로 부설 ➔ 2) 광케이블 포설 &amp; 접속 ➔ 3) 절연저항 &amp; 광손실 시험 ➔ 4) KT/SKT 통신사 광신호 승인</t>
        </is>
      </c>
      <c r="P31" s="76">
        <f>HYPERLINK(LEFT(CELL("filename",A1),FIND("[",CELL("filename",A1))-1)&amp;"3.지장물이설\16_위수탁 계약 체결\수행지침\수행지침.html", "👉 [클릭] 수행지침 열기 📄")</f>
        <v/>
      </c>
      <c r="Q31" s="48" t="inlineStr">
        <is>
          <t>통신 광케이블 관로 부설, 절연 저항 &amp; 광손실 실측 합격 (KT/SKT 광신호 승인)</t>
        </is>
      </c>
      <c r="R31" s="77">
        <f>HYPERLINK(LEFT(CELL("filename",A1),FIND("[",CELL("filename",A1))-1)&amp;"3.지장물이설\16_위수탁 계약 체결\체크리스트\위수탁 계약 체결_체크리스트.html", "👉 [클릭] 체크리스트 열기 📄")</f>
        <v/>
      </c>
      <c r="S31" s="47" t="n"/>
      <c r="T31" s="69" t="inlineStr">
        <is>
          <t>정보통신 표준품셈 및 통신관로 공사 기준</t>
        </is>
      </c>
      <c r="U31" s="50" t="inlineStr">
        <is>
          <t>광케이블 절단으로 인한 통신 마비 리스크 방지</t>
        </is>
      </c>
      <c r="V31" s="49" t="inlineStr">
        <is>
          <t>통신 3사 전담 엔지니어 자문</t>
        </is>
      </c>
    </row>
    <row r="32" ht="76.8" customHeight="1">
      <c r="A32" s="42" t="inlineStr">
        <is>
          <t>2000</t>
        </is>
      </c>
      <c r="B32" s="42" t="inlineStr">
        <is>
          <t>2000-4</t>
        </is>
      </c>
      <c r="C32" s="48" t="inlineStr">
        <is>
          <t>지장뭉 이설</t>
        </is>
      </c>
      <c r="D32" s="22" t="inlineStr">
        <is>
          <t>2000-4-7</t>
        </is>
      </c>
      <c r="E32" s="47">
        <f>D31</f>
        <v/>
      </c>
      <c r="F32" s="47">
        <f>D33</f>
        <v/>
      </c>
      <c r="G32" s="22" t="inlineStr">
        <is>
          <t>D+40</t>
        </is>
      </c>
      <c r="H32" s="45" t="inlineStr">
        <is>
          <t>특고압 전력관로 이설 공사</t>
        </is>
      </c>
      <c r="I32" s="42" t="inlineStr">
        <is>
          <t>공사팀 (협의: 한국전력공사)</t>
        </is>
      </c>
      <c r="J32" s="42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K32" s="58" t="inlineStr">
        <is>
          <t>1) 22.9kV 특고압 관로/맨홀 부설 ➔ 2) 전력 케이블 인입 &amp; 내력 시험 ➔ 3) 한전 입회 휴전 Cut-over ➔ 4) 전력관로 이설 완료 승인</t>
        </is>
      </c>
      <c r="L32" s="42" t="inlineStr">
        <is>
          <t>22.9kV 특고압 관로/맨홀 부설, 절연내력 시험 합격 (한전 KEPCO 입회 휴전 Cut-over)</t>
        </is>
      </c>
      <c r="M32" s="26" t="inlineStr">
        <is>
          <t>본 과업은 22.9kV 특고압 전력관로 및 맨홀 이설 시 한전(KEPCO) 기술 입회 하에 절연내력 시험을 필하고, 지정된 휴전 시간에 전력 절체(Cut-over)를 안전하게 완료하는 것을 목적으로 함.</t>
        </is>
      </c>
      <c r="N32" s="75">
        <f>HYPERLINK(LEFT(CELL("filename",A1),FIND("[",CELL("filename",A1))-1)&amp;"3.지장물이설\17_기존관로 철거 및 원상복구\표준서\기존관로 철거 및 원상복구_표준서.html", "👉 [클릭] 표준서 열기 📄")</f>
        <v/>
      </c>
      <c r="O32" s="26" t="inlineStr">
        <is>
          <t>1) 22.9kV 특고압 관로/맨홀 부설 ➔ 2) 전력 케이블 인입 &amp; 내력 시험 ➔ 3) 한전 입회 휴전 Cut-over ➔ 4) 전력관로 이설 완료 승인</t>
        </is>
      </c>
      <c r="P32" s="76">
        <f>HYPERLINK(LEFT(CELL("filename",A1),FIND("[",CELL("filename",A1))-1)&amp;"3.지장물이설\17_기존관로 철거 및 원상복구\수행지침\기존관로 철거 및 원상복구_수행지침.html", "👉 [클릭] 수행지침 열기 📄")</f>
        <v/>
      </c>
      <c r="Q32" s="28" t="inlineStr">
        <is>
          <t>22.9kV 특고압 관로/맨홀 부설, 절연내력 시험 합격 (한전 KEPCO 입회 휴전 Cut-over)</t>
        </is>
      </c>
      <c r="R32" s="77">
        <f>HYPERLINK(LEFT(CELL("filename",A1),FIND("[",CELL("filename",A1))-1)&amp;"3.지장물이설\17_기존관로 철거 및 원상복구\체크리스트\기존관로 철거 및 원상복구_체크리스트.html", "👉 [클릭] 체크리스트 열기 📄")</f>
        <v/>
      </c>
      <c r="T32" s="70" t="inlineStr">
        <is>
          <t>한국전력공사 지중배전 건설기준</t>
        </is>
      </c>
      <c r="U32" s="54" t="inlineStr">
        <is>
          <t>특고압 케이블 감전 및 아크 단락 사고 리스크 방지</t>
        </is>
      </c>
      <c r="V32" s="42" t="inlineStr">
        <is>
          <t>한전 배전 전문 기술자 자문</t>
        </is>
      </c>
    </row>
    <row r="33" ht="82.8" customHeight="1">
      <c r="A33" s="42" t="inlineStr">
        <is>
          <t>2000</t>
        </is>
      </c>
      <c r="B33" s="42" t="inlineStr">
        <is>
          <t>2000-5</t>
        </is>
      </c>
      <c r="C33" s="48" t="inlineStr">
        <is>
          <t>지장뭉 이설</t>
        </is>
      </c>
      <c r="D33" s="22" t="inlineStr">
        <is>
          <t>2000-5-1</t>
        </is>
      </c>
      <c r="E33" s="47">
        <f>D32</f>
        <v/>
      </c>
      <c r="F33" s="47">
        <f>D34</f>
        <v/>
      </c>
      <c r="G33" s="22" t="inlineStr">
        <is>
          <t>D+60</t>
        </is>
      </c>
      <c r="H33" s="45" t="inlineStr">
        <is>
          <t>상하수도 이설 시공 최종 점검</t>
        </is>
      </c>
      <c r="I33" s="42" t="inlineStr">
        <is>
          <t>현장 감리원 / 맑은물사업소</t>
        </is>
      </c>
      <c r="J33" s="42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K33" s="58" t="inlineStr">
        <is>
          <t>1) 송유관 용접 부설 ➔ 2) NDT 비파괴검사 &amp; 초음파 탐상 ➔ 3) 송유관공사 안전 점검 ➔ 4) 송유관 이설 완료 서면 승인</t>
        </is>
      </c>
      <c r="L33" s="42" t="inlineStr">
        <is>
          <t>송유관 용접 부설, NDT 비파괴검사 및 초음파 탐상 시험 100% 합격 (대한송유관공사 인수)</t>
        </is>
      </c>
      <c r="M33" s="26" t="inlineStr">
        <is>
          <t>본 과업은 송유관 등 특수 매설 관로 이설 시 비파괴 NDT 검사 및 초음파 탐상 시험 결과를 종합 검증하여, 대한송유관공사로의 안전한 시설물 인계인수를 완수하는 것을 목적으로 함.</t>
        </is>
      </c>
      <c r="N33" s="75">
        <f>HYPERLINK(LEFT(CELL("filename",A1),FIND("[",CELL("filename",A1))-1)&amp;"3.지장물이설\17_도로점용_굴착행위 인허가\표준서\17_도로점용_굴착행위 인허가_표준서.html", "👉 [클릭] 표준서 열기 📄")</f>
        <v/>
      </c>
      <c r="O33" s="26" t="inlineStr">
        <is>
          <t>1) 송유관 용접 부설 ➔ 2) NDT 비파괴검사 &amp; 초음파 탐상 ➔ 3) 송유관공사 안전 점검 ➔ 4) 송유관 이설 완료 서면 승인</t>
        </is>
      </c>
      <c r="P33" s="76">
        <f>HYPERLINK(LEFT(CELL("filename",A1),FIND("[",CELL("filename",A1))-1)&amp;"3.지장물이설\17_도로점용_굴착행위 인허가\수행지침\도로점용_굴착행위 인허가_수행지침.html", "👉 [클릭] 수행지침 열기 📄")</f>
        <v/>
      </c>
      <c r="Q33" s="28" t="inlineStr">
        <is>
          <t>송유관 용접 부설, NDT 비파괴검사 및 초음파 탐상 시험 100% 합격 (대한송유관공사 인수)</t>
        </is>
      </c>
      <c r="R33" s="77">
        <f>HYPERLINK(LEFT(CELL("filename",A1),FIND("[",CELL("filename",A1))-1)&amp;"3.지장물이설\17_도로점용_굴착행위 인허가\체크리스트\도로점용_굴착행위 인허가_체크리스트.html", "👉 [클릭] 체크리스트 열기 📄")</f>
        <v/>
      </c>
      <c r="T33" s="70" t="inlineStr">
        <is>
          <t>지방자치단체 시설물 인계인수 규정</t>
        </is>
      </c>
      <c r="U33" s="54" t="inlineStr">
        <is>
          <t>인계 미비로 인한 시설물 인수 거부 리스크 방지</t>
        </is>
      </c>
      <c r="V33" s="42" t="inlineStr">
        <is>
          <t>맑은물사업소 시설물 인계 전담자</t>
        </is>
      </c>
    </row>
    <row r="34" ht="57.6" customHeight="1">
      <c r="A34" s="42" t="inlineStr">
        <is>
          <t>2000</t>
        </is>
      </c>
      <c r="B34" s="42" t="inlineStr">
        <is>
          <t>2000-5</t>
        </is>
      </c>
      <c r="C34" s="48" t="inlineStr">
        <is>
          <t>지장뭉 이설</t>
        </is>
      </c>
      <c r="D34" s="22" t="inlineStr">
        <is>
          <t>2000-5-2</t>
        </is>
      </c>
      <c r="E34" s="47">
        <f>D33</f>
        <v/>
      </c>
      <c r="F34" s="47">
        <f>D35</f>
        <v/>
      </c>
      <c r="G34" s="22" t="inlineStr">
        <is>
          <t>D+65</t>
        </is>
      </c>
      <c r="H34" s="45" t="inlineStr">
        <is>
          <t>위수탁 지하지장물 이설 최종 점검</t>
        </is>
      </c>
      <c r="I34" s="42" t="inlineStr">
        <is>
          <t>현장 감리원 / 위수탁기관</t>
        </is>
      </c>
      <c r="J34" s="42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K34" s="58" t="inlineStr">
        <is>
          <t>1) 신설 관로 종합 현측 ➔ 2) 수압/수질/CCTV 검사 종합 ➔ 3) 지자체 3자 합동 점검 ➔ 4) 상하수도 최종 점검 대장 승인</t>
        </is>
      </c>
      <c r="L34" s="42" t="inlineStr">
        <is>
          <t>신설 관로 종합 현측, 수압/수질/CCTV 검사 종합 대장 작성 및 지자체 3자 합동 점검</t>
        </is>
      </c>
      <c r="M34" s="26" t="inlineStr">
        <is>
          <t>본 과업은 신설된 상하수도 관로의 수압·수질·CCTV 검사 대장을 최종 종합하여, 지자체 및 점용기관 3자 합동 현장 인계 점검을 수행하는 것을 목적으로 함.</t>
        </is>
      </c>
      <c r="N34" s="75">
        <f>HYPERLINK(LEFT(CELL("filename",A1),FIND("[",CELL("filename",A1))-1)&amp;"3.지장물이설\18_광역상수관 이설 공사\표준서\광역상수관 이설 공사_표준서.html", "👉 [클릭] 표준서 열기 📄")</f>
        <v/>
      </c>
      <c r="O34" s="26" t="inlineStr">
        <is>
          <t>1) 신설 관로 종합 현측 ➔ 2) 수압/수질/CCTV 검사 종합 ➔ 3) 지자체 3자 합동 점검 ➔ 4) 상하수도 최종 점검 대장 승인</t>
        </is>
      </c>
      <c r="P34" s="76">
        <f>HYPERLINK(LEFT(CELL("filename",A1),FIND("[",CELL("filename",A1))-1)&amp;"3.지장물이설\18_광역상수관 이설 공사\수행지침\광역상수관 이설 공사_수행지침.html", "👉 [클릭] 수행지침 열기 📄")</f>
        <v/>
      </c>
      <c r="Q34" s="28" t="inlineStr">
        <is>
          <t>신설 관로 종합 현측, 수압/수질/CCTV 검사 종합 대장 작성 및 지자체 3자 합동 점검</t>
        </is>
      </c>
      <c r="R34" s="77">
        <f>HYPERLINK(LEFT(CELL("filename",A1),FIND("[",CELL("filename",A1))-1)&amp;"3.지장물이설\18_광역상수관 이설 공사\체크리스트\광역상수관 이설 공사_체크리스트.html", "👉 [클릭] 체크리스트 열기 📄")</f>
        <v/>
      </c>
      <c r="T34" s="70" t="inlineStr">
        <is>
          <t>위수탁 협약서 및 사후 정산 지침</t>
        </is>
      </c>
      <c r="U34" s="54" t="inlineStr">
        <is>
          <t>정산 금액 이견으로 인한 분담금 미지급 리스크 관리</t>
        </is>
      </c>
      <c r="V34" s="42" t="inlineStr">
        <is>
          <t>사후 정산 평가 전문 용역사 자문</t>
        </is>
      </c>
    </row>
    <row r="35" ht="69.59999999999999" customHeight="1">
      <c r="A35" s="42" t="inlineStr">
        <is>
          <t>2000</t>
        </is>
      </c>
      <c r="B35" s="42" t="inlineStr">
        <is>
          <t>2000-5</t>
        </is>
      </c>
      <c r="C35" s="48" t="inlineStr">
        <is>
          <t>지장뭉 이설</t>
        </is>
      </c>
      <c r="D35" s="22" t="inlineStr">
        <is>
          <t>2000-5-3</t>
        </is>
      </c>
      <c r="E35" s="47">
        <f>D34</f>
        <v/>
      </c>
      <c r="F35" s="47">
        <f>D36</f>
        <v/>
      </c>
      <c r="G35" s="22" t="inlineStr">
        <is>
          <t>D+70</t>
        </is>
      </c>
      <c r="H35" s="45" t="inlineStr">
        <is>
          <t>상하수도 이설 정산 금액 검토</t>
        </is>
      </c>
      <c r="I35" s="42" t="inlineStr">
        <is>
          <t>현장 공무팀</t>
        </is>
      </c>
      <c r="J35" s="42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K35" s="58" t="inlineStr">
        <is>
          <t>1) 위탁기관 1:1 인수 검측 ➔ 2) 3D BIM 준공 도면 대조 ➔ 3) 이설 완료 현장 서명 ➔ 4) 준공 보고서 감리 서면 승인</t>
        </is>
      </c>
      <c r="L35" s="42" t="inlineStr">
        <is>
          <t>위탁기관 1:1 인수 검측, 3D BIM 준공 도면 대조 및 이설 준공 보고서 감리 서면 승인</t>
        </is>
      </c>
      <c r="M35" s="26" t="inlineStr">
        <is>
          <t>본 과업은 관할 위탁기관의 최종 현장 인수 성과와 3D BIM 준공 도면을 대조하여, 실제 이설 공사에 투입된 내역 및 정산금의 기술적 타당성을 검토하는 것을 목적으로 함.</t>
        </is>
      </c>
      <c r="N35" s="75">
        <f>HYPERLINK(LEFT(CELL("filename",A1),FIND("[",CELL("filename",A1))-1)&amp;"3.지장물이설\18_교통통제 및 교통안전시설 설치\표준서\18_교통통제 및 교통안전시설 설치_표준서.html", "👉 [클릭] 표준서 열기 📄")</f>
        <v/>
      </c>
      <c r="O35" s="26" t="inlineStr">
        <is>
          <t>1) 위탁기관 1:1 인수 검측 ➔ 2) 3D BIM 준공 도면 대조 ➔ 3) 이설 완료 현장 서명 ➔ 4) 준공 보고서 감리 서면 승인</t>
        </is>
      </c>
      <c r="P35" s="76">
        <f>HYPERLINK(LEFT(CELL("filename",A1),FIND("[",CELL("filename",A1))-1)&amp;"3.지장물이설\18_교통통제 및 교통안전시설 설치\수행지침\교통통제 및 교통안전시설 설치_수행지침.html", "👉 [클릭] 수행지침 열기 📄")</f>
        <v/>
      </c>
      <c r="Q35" s="28" t="inlineStr">
        <is>
          <t>위탁기관 1:1 인수 검측, 3D BIM 준공 도면 대조 및 이설 준공 보고서 감리 서면 승인</t>
        </is>
      </c>
      <c r="R35" s="77">
        <f>HYPERLINK(LEFT(CELL("filename",A1),FIND("[",CELL("filename",A1))-1)&amp;"3.지장물이설\18_교통통제 및 교통안전시설 설치\체크리스트\교통통제 및 교통안전시설 설치_체크리스트.html", "👉 [클릭] 체크리스트 열기 📄")</f>
        <v/>
      </c>
      <c r="T35" s="70" t="inlineStr">
        <is>
          <t>기획재정부 계약예규 공사계약일반조건</t>
        </is>
      </c>
      <c r="U35" s="54" t="inlineStr">
        <is>
          <t>설계변경 절차 미비로 인한 금액 삭감 리스크 방지</t>
        </is>
      </c>
      <c r="V35" s="42" t="inlineStr">
        <is>
          <t>토목 설계변경 및 계약 정산 전문가</t>
        </is>
      </c>
    </row>
    <row r="36" ht="57.6" customHeight="1">
      <c r="A36" s="42" t="inlineStr">
        <is>
          <t>2000</t>
        </is>
      </c>
      <c r="B36" s="42" t="inlineStr">
        <is>
          <t>2000-5</t>
        </is>
      </c>
      <c r="C36" s="48" t="inlineStr">
        <is>
          <t>지장뭉 이설</t>
        </is>
      </c>
      <c r="D36" s="22" t="inlineStr">
        <is>
          <t>2000-5-4</t>
        </is>
      </c>
      <c r="E36" s="47">
        <f>D35</f>
        <v/>
      </c>
      <c r="F36" s="47">
        <f>D37</f>
        <v/>
      </c>
      <c r="G36" s="22" t="inlineStr">
        <is>
          <t>D+80</t>
        </is>
      </c>
      <c r="H36" s="45" t="inlineStr">
        <is>
          <t>위수탁 처리 정산금액 지급</t>
        </is>
      </c>
      <c r="I36" s="42" t="inlineStr">
        <is>
          <t>현장 공무팀 / 발주처</t>
        </is>
      </c>
      <c r="J36" s="42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K36" s="58" t="inlineStr">
        <is>
          <t>1) 실정보고 투입 물량 집계 ➔ 2) 정산 단가 산정 서류 작성 ➔ 3) 정산서 감리 기술 검토 ➔ 4) 정산 금액 최종 서면 승인</t>
        </is>
      </c>
      <c r="L36" s="42" t="inlineStr">
        <is>
          <t>실정보고 투입 물량 집계, 정산 단가 산정 서류 작성 및 책임감리원 정산 금액 서면 승인</t>
        </is>
      </c>
      <c r="M36" s="26" t="inlineStr">
        <is>
          <t>본 과업은 실정보고 및 시공 결과에 기반하여 정밀 단가 산정 정산서를 작성하고, 책임감리원의 서면 결재를 거쳐 위탁기관 공사 정산금을 지급 수속하는 것을 목적으로 함.</t>
        </is>
      </c>
      <c r="N36" s="75">
        <f>HYPERLINK(LEFT(CELL("filename",A1),FIND("[",CELL("filename",A1))-1)&amp;"3.지장물이설\19_상수도 관로 이설 공사\표준서\상수도 관로 이설 공사_표준서.html", "👉 [클릭] 표준서 열기 📄")</f>
        <v/>
      </c>
      <c r="O36" s="26" t="inlineStr">
        <is>
          <t>1) 실정보고 투입 물량 집계 ➔ 2) 정산 단가 산정 서류 작성 ➔ 3) 정산서 감리 기술 검토 ➔ 4) 정산 금액 최종 서면 승인</t>
        </is>
      </c>
      <c r="P36" s="76">
        <f>HYPERLINK(LEFT(CELL("filename",A1),FIND("[",CELL("filename",A1))-1)&amp;"3.지장물이설\19_상수도 관로 이설 공사\수행지침\상수도 관로 이설 공사_수행지침.html", "👉 [클릭] 수행지침 열기 📄")</f>
        <v/>
      </c>
      <c r="Q36" s="28" t="inlineStr">
        <is>
          <t>실정보고 투입 물량 집계, 정산 단가 산정 서류 작성 및 책임감리원 정산 금액 서면 승인</t>
        </is>
      </c>
      <c r="R36" s="77">
        <f>HYPERLINK(LEFT(CELL("filename",A1),FIND("[",CELL("filename",A1))-1)&amp;"3.지장물이설\19_상수도 관로 이설 공사\체크리스트\상수도 관로 이설 공사_체크리스트.html", "👉 [클릭] 체크리스트 열기 📄")</f>
        <v/>
      </c>
      <c r="T36" s="70" t="inlineStr">
        <is>
          <t>지방재정법 및 PS 정산 지침</t>
        </is>
      </c>
      <c r="U36" s="54" t="inlineStr">
        <is>
          <t>PS 항목 정산 지연 리스크 방지</t>
        </is>
      </c>
      <c r="V36" s="42" t="inlineStr">
        <is>
          <t>발주처 재정 및 정산 담당 자문</t>
        </is>
      </c>
    </row>
    <row r="37" ht="69.59999999999999" customHeight="1">
      <c r="A37" s="42" t="inlineStr">
        <is>
          <t>2000</t>
        </is>
      </c>
      <c r="B37" s="42" t="inlineStr">
        <is>
          <t>2000-5</t>
        </is>
      </c>
      <c r="C37" s="48" t="inlineStr">
        <is>
          <t>지장뭉 이설</t>
        </is>
      </c>
      <c r="D37" s="22" t="inlineStr">
        <is>
          <t>2000-5-5</t>
        </is>
      </c>
      <c r="E37" s="47">
        <f>D36</f>
        <v/>
      </c>
      <c r="F37" s="47">
        <f>D38</f>
        <v/>
      </c>
      <c r="G37" s="22" t="inlineStr">
        <is>
          <t>D+90</t>
        </is>
      </c>
      <c r="H37" s="45" t="inlineStr">
        <is>
          <t>도급자분/위수탁분 설계변경 정산</t>
        </is>
      </c>
      <c r="I37" s="42" t="inlineStr">
        <is>
          <t>현장 공무팀 / 화성시</t>
        </is>
      </c>
      <c r="J37" s="42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K37" s="58" t="inlineStr">
        <is>
          <t>1) 위탁기관 정산 청구서 작성 ➔ 2) 증빙 영수증 &amp; 성과표 첨부 ➔ 3) 정산금 지급 수속 ➔ 4) 이설 정산금 집행 완료</t>
        </is>
      </c>
      <c r="L37" s="42" t="inlineStr">
        <is>
          <t>위탁기관 정산 청구서 작성, 증빙 영수증 &amp; 성과표 부착 및 이설 정산금 집행 완료</t>
        </is>
      </c>
      <c r="M37" s="26" t="inlineStr">
        <is>
          <t>본 과업은 이설 완료된 지장물 공사의 실투입 집행 영수증과 정산서를 관할 위탁기관에 최종 제출하여 정산금 청구 및 집행 절차를 완수하는 것을 목적으로 함.</t>
        </is>
      </c>
      <c r="N37" s="75">
        <f>HYPERLINK(LEFT(CELL("filename",A1),FIND("[",CELL("filename",A1))-1)&amp;"3.지장물이설\19_줄따기(GPR)를 통한 기존 지장물 매설 확인\표준서\19_줄따기(GPR)를 통한 기존 지장물 매설 확인_표준서.html", "👉 [클릭] 표준서 열기 📄")</f>
        <v/>
      </c>
      <c r="O37" s="26" t="inlineStr">
        <is>
          <t>1) 위탁기관 정산 청구서 작성 ➔ 2) 증빙 영수증 &amp; 성과표 첨부 ➔ 3) 정산금 지급 수속 ➔ 4) 이설 정산금 집행 완료</t>
        </is>
      </c>
      <c r="P37" s="76">
        <f>HYPERLINK(LEFT(CELL("filename",A1),FIND("[",CELL("filename",A1))-1)&amp;"3.지장물이설\19_줄따기(GPR)를 통한 기존 지장물 매설 확인\수행지침\수행지침.html", "👉 [클릭] 수행지침 열기 📄")</f>
        <v/>
      </c>
      <c r="Q37" s="28" t="inlineStr">
        <is>
          <t>위탁기관 정산 청구서 작성, 증빙 영수증 &amp; 성과표 부착 및 이설 정산금 집행 완료</t>
        </is>
      </c>
      <c r="R37" s="77">
        <f>HYPERLINK(LEFT(CELL("filename",A1),FIND("[",CELL("filename",A1))-1)&amp;"3.지장물이설\19_줄따기(GPR)를 통한 기존 지장물 매설 확인\체크리스트\줄따기(GPR)를 통한 기존 지장물 매설 확인_체크리스트.html", "👉 [클릭] 체크리스트 열기 📄")</f>
        <v/>
      </c>
      <c r="T37" s="70" t="inlineStr">
        <is>
          <t>국가계약법 및 화성시 도급계약 지침</t>
        </is>
      </c>
      <c r="U37" s="54" t="inlineStr">
        <is>
          <t>최종 계약 변경 지연 리스크 관리</t>
        </is>
      </c>
      <c r="V37" s="42" t="inlineStr">
        <is>
          <t>화성시 도급계약 및 준공 정산 전문가</t>
        </is>
      </c>
    </row>
    <row r="38" ht="84" customHeight="1">
      <c r="A38" s="42" t="inlineStr">
        <is>
          <t>2000</t>
        </is>
      </c>
      <c r="B38" s="42" t="inlineStr">
        <is>
          <t>2000-6</t>
        </is>
      </c>
      <c r="C38" s="48" t="inlineStr">
        <is>
          <t>지장뭉 이설</t>
        </is>
      </c>
      <c r="D38" s="22" t="inlineStr">
        <is>
          <t>2000-6-1</t>
        </is>
      </c>
      <c r="E38" s="47">
        <f>D37</f>
        <v/>
      </c>
      <c r="F38" s="47">
        <f>D39</f>
        <v/>
      </c>
      <c r="G38" s="22" t="inlineStr">
        <is>
          <t>D-90</t>
        </is>
      </c>
      <c r="H38" s="45" t="inlineStr">
        <is>
          <t>공사전 선행공종에서 인수받을 사항</t>
        </is>
      </c>
      <c r="I38" s="42" t="inlineStr">
        <is>
          <t>현장 사업단 / 공무팀</t>
        </is>
      </c>
      <c r="J38" s="42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K38" s="58" t="inlineStr">
        <is>
          <t>1) 설계변경 총사업비 산정 ➔ 2) 도급/위수탁 변경 변경 수속 ➔ 3) 발주처 변경 공문 수령 ➔ 4) 설계변경 정산 최종 승인</t>
        </is>
      </c>
      <c r="L38" s="42" t="inlineStr">
        <is>
          <t>설계변경 총사업비 산정, 도급/위수탁 변경 변경 수속 및 발주처 변경 공문 수령</t>
        </is>
      </c>
      <c r="M38" s="26" t="inlineStr">
        <is>
          <t>본 과업은 도급분 및 위수탁분 지장물 이설 공사비 변동에 따른 총사업비 변경 계약을 체결하고, 발주처 정식 변경 공문을 수령하여 변경 예산 확보를 완수하는 것을 목적으로 함.</t>
        </is>
      </c>
      <c r="N38" s="75">
        <f>HYPERLINK(LEFT(CELL("filename",A1),FIND("[",CELL("filename",A1))-1)&amp;"3.지장물이설\20_이설 위치 토공 굴착\표준서\20_이설 위치 토공 굴착_표준서.html", "👉 [클릭] 표준서 열기 📄")</f>
        <v/>
      </c>
      <c r="O38" s="26" t="inlineStr">
        <is>
          <t>1) 설계변경 총사업비 산정 ➔ 2) 도급/위수탁 변경 변경 수속 ➔ 3) 발주처 변경 공문 수령 ➔ 4) 설계변경 정산 최종 승인</t>
        </is>
      </c>
      <c r="P38" s="76">
        <f>HYPERLINK(LEFT(CELL("filename",A1),FIND("[",CELL("filename",A1))-1)&amp;"3.지장물이설\20_이설 위치 토공 굴착\수행지침\수행지침.html", "👉 [클릭] 수행지침 열기 📄")</f>
        <v/>
      </c>
      <c r="Q38" s="28" t="inlineStr">
        <is>
          <t>설계변경 총사업비 산정, 도급/위수탁 변경 변경 수속 및 발주처 변경 공문 수령</t>
        </is>
      </c>
      <c r="R38" s="77">
        <f>HYPERLINK(LEFT(CELL("filename",A1),FIND("[",CELL("filename",A1))-1)&amp;"3.지장물이설\20_이설 위치 토공 굴착\체크리스트\이설 위치 토공 굴착_체크리스트.html", "👉 [클릭] 체크리스트 열기 📄")</f>
        <v/>
      </c>
      <c r="T38" s="70" t="inlineStr">
        <is>
          <t>선후행 공종 인수인계 규정</t>
        </is>
      </c>
      <c r="U38" s="54" t="inlineStr">
        <is>
          <t>선행 인수 미비로 인한 이설 중단 리스크 방지</t>
        </is>
      </c>
      <c r="V38" s="42" t="inlineStr">
        <is>
          <t>선행 공종 책임 감리원</t>
        </is>
      </c>
    </row>
    <row r="39" ht="76.8" customHeight="1">
      <c r="A39" s="42" t="inlineStr">
        <is>
          <t>2000</t>
        </is>
      </c>
      <c r="B39" s="42" t="inlineStr">
        <is>
          <t>2000-6</t>
        </is>
      </c>
      <c r="C39" s="48" t="inlineStr">
        <is>
          <t>지장뭉 이설</t>
        </is>
      </c>
      <c r="D39" s="22" t="inlineStr">
        <is>
          <t>2000-6-2</t>
        </is>
      </c>
      <c r="E39" s="47">
        <f>D38</f>
        <v/>
      </c>
      <c r="F39" s="47" t="n"/>
      <c r="G39" s="22" t="inlineStr">
        <is>
          <t>D+100</t>
        </is>
      </c>
      <c r="H39" s="45" t="inlineStr">
        <is>
          <t>공사중 챙겨야할 후행공종의 요구사항</t>
        </is>
      </c>
      <c r="I39" s="42" t="inlineStr">
        <is>
          <t>현장 공사팀 / 강화노반팀</t>
        </is>
      </c>
      <c r="J39" s="42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K39" s="58" t="inlineStr">
        <is>
          <t>1) 선행 토공 &amp; 측량 성과 인수 ➔ 2) 현장 지장물 인계인수 ➔ 3) 3자 합동 현측 실시 ➔ 4) 인계인수서 3자 서명 완료</t>
        </is>
      </c>
      <c r="L39" s="42" t="inlineStr">
        <is>
          <t>선행 토공 및 측량 성과 인수 대장 작성, 3자 합동 현측 및 인계인수서 서명 완료</t>
        </is>
      </c>
      <c r="M39" s="26" t="inlineStr">
        <is>
          <t>본 과업은 선행 토공 및 지장물 이설 부지의 측량 기준점 및 지반 성과 대장을 인수하여, 후행 노반 및 궤도 공사팀과의 공정 간섭 없는 매끄러운 3자 인계인수를 완료하는 것을 목적으로 함.</t>
        </is>
      </c>
      <c r="N39" s="75">
        <f>HYPERLINK(LEFT(CELL("filename",A1),FIND("[",CELL("filename",A1))-1)&amp;"3.지장물이설\20_하수도 관로 이설 공사\표준서\하수도 관로 이설 공사_표준서.html", "👉 [클릭] 표준서 열기 📄")</f>
        <v/>
      </c>
      <c r="O39" s="26" t="inlineStr">
        <is>
          <t>1) 선행 토공 &amp; 측량 성과 인수 ➔ 2) 현장 지장물 인계인수 ➔ 3) 3자 합동 현측 실시 ➔ 4) 인계인수서 3자 서명 완료</t>
        </is>
      </c>
      <c r="P39" s="76">
        <f>HYPERLINK(LEFT(CELL("filename",A1),FIND("[",CELL("filename",A1))-1)&amp;"3.지장물이설\20_하수도 관로 이설 공사\수행지침\수행지침.html", "👉 [클릭] 수행지침 열기 📄")</f>
        <v/>
      </c>
      <c r="Q39" s="28" t="inlineStr">
        <is>
          <t>선행 토공 및 측량 성과 인수 대장 작성, 3자 합동 현측 및 인계인수서 서명 완료</t>
        </is>
      </c>
      <c r="R39" s="77">
        <f>HYPERLINK(LEFT(CELL("filename",A1),FIND("[",CELL("filename",A1))-1)&amp;"3.지장물이설\20_하수도 관로 이설 공사\체크리스트\하수도 관로 이설 공사_체크리스트.html", "👉 [클릭] 체크리스트 열기 📄")</f>
        <v/>
      </c>
      <c r="T39" s="70" t="inlineStr">
        <is>
          <t>후행 공종 연계 인계 지침</t>
        </is>
      </c>
      <c r="U39" s="54" t="inlineStr">
        <is>
          <t>후행 궤도 시공 시 신규 이설 관로 재간섭 리스크 방지</t>
        </is>
      </c>
      <c r="V39" s="42" t="inlineStr">
        <is>
          <t>후행 강화노반 및 궤도 기술사</t>
        </is>
      </c>
    </row>
    <row r="40">
      <c r="N40" s="78">
        <f>HYPERLINK(LEFT(CELL("filename",A1),FIND("[",CELL("filename",A1))-1)&amp;"3.지장물이설\21_도시가스관 이설 공사\표준서\도시가스관 이설 공사_표준서.html", "👉 [클릭] 표준서 열기 📄")</f>
        <v/>
      </c>
      <c r="P40" s="79">
        <f>HYPERLINK(LEFT(CELL("filename",A1),FIND("[",CELL("filename",A1))-1)&amp;"3.지장물이설\21_도시가스관 이설 공사\수행지침\도시가스관 이설 공사_수행지침.html", "👉 [클릭] 수행지침 열기 📄")</f>
        <v/>
      </c>
      <c r="R40" s="80">
        <f>HYPERLINK(LEFT(CELL("filename",A1),FIND("[",CELL("filename",A1))-1)&amp;"3.지장물이설\21_도시가스관 이설 공사\체크리스트\도시가스관 이설 공사_체크리스트.html", "👉 [클릭] 체크리스트 열기 📄")</f>
        <v/>
      </c>
    </row>
    <row r="41">
      <c r="N41" s="78">
        <f>HYPERLINK(LEFT(CELL("filename",A1),FIND("[",CELL("filename",A1))-1)&amp;"3.지장물이설\21_신규관로 매설 및 설치\표준서\21_신규관로 매설 및 설치_표준서.html", "👉 [클릭] 표준서 열기 📄")</f>
        <v/>
      </c>
      <c r="P41" s="79">
        <f>HYPERLINK(LEFT(CELL("filename",A1),FIND("[",CELL("filename",A1))-1)&amp;"3.지장물이설\21_신규관로 매설 및 설치\수행지침\수행지침.html", "👉 [클릭] 수행지침 열기 📄")</f>
        <v/>
      </c>
      <c r="R41" s="80">
        <f>HYPERLINK(LEFT(CELL("filename",A1),FIND("[",CELL("filename",A1))-1)&amp;"3.지장물이설\21_신규관로 매설 및 설치\체크리스트\신규관로 매설 및 설치_체크리스트.html", "👉 [클릭] 체크리스트 열기 📄")</f>
        <v/>
      </c>
    </row>
    <row r="42">
      <c r="N42" s="78">
        <f>HYPERLINK(LEFT(CELL("filename",A1),FIND("[",CELL("filename",A1))-1)&amp;"3.지장물이설\22_무단수 연결을 위한 시설 설치\표준서\22_무단수 연결을 위한 시설 설치_표준서.html", "👉 [클릭] 표준서 열기 📄")</f>
        <v/>
      </c>
      <c r="P42" s="79">
        <f>HYPERLINK(LEFT(CELL("filename",A1),FIND("[",CELL("filename",A1))-1)&amp;"3.지장물이설\22_무단수 연결을 위한 시설 설치\수행지침\무단수 연결을 위한 시설 설치_수행지침.html", "👉 [클릭] 수행지침 열기 📄")</f>
        <v/>
      </c>
      <c r="R42" s="80">
        <f>HYPERLINK(LEFT(CELL("filename",A1),FIND("[",CELL("filename",A1))-1)&amp;"3.지장물이설\22_무단수 연결을 위한 시설 설치\체크리스트\무단수 연결을 위한 시설 설치_체크리스트.html", "👉 [클릭] 체크리스트 열기 📄")</f>
        <v/>
      </c>
    </row>
    <row r="43">
      <c r="I43" s="59" t="n"/>
      <c r="N43" s="78">
        <f>HYPERLINK(LEFT(CELL("filename",A1),FIND("[",CELL("filename",A1))-1)&amp;"3.지장물이설\22_지역난방관 이설 공사\표준서\지역난방관 이설 공사_표준서.html", "👉 [클릭] 표준서 열기 📄")</f>
        <v/>
      </c>
      <c r="P43" s="79">
        <f>HYPERLINK(LEFT(CELL("filename",A1),FIND("[",CELL("filename",A1))-1)&amp;"3.지장물이설\22_지역난방관 이설 공사\수행지침\수행지침.html", "👉 [클릭] 수행지침 열기 📄")</f>
        <v/>
      </c>
      <c r="R43" s="80">
        <f>HYPERLINK(LEFT(CELL("filename",A1),FIND("[",CELL("filename",A1))-1)&amp;"3.지장물이설\22_지역난방관 이설 공사\체크리스트\지역난방관 이설 공사_체크리스트.html", "👉 [클릭] 체크리스트 열기 📄")</f>
        <v/>
      </c>
    </row>
    <row r="44">
      <c r="I44" s="59" t="n"/>
      <c r="N44" s="78">
        <f>HYPERLINK(LEFT(CELL("filename",A1),FIND("[",CELL("filename",A1))-1)&amp;"3.지장물이설\23_신규관로 및 연결관로 접속\표준서\23_신규관로 및 연결관로 접속_표준서.html", "👉 [클릭] 표준서 열기 📄")</f>
        <v/>
      </c>
      <c r="P44" s="79">
        <f>HYPERLINK(LEFT(CELL("filename",A1),FIND("[",CELL("filename",A1))-1)&amp;"3.지장물이설\23_신규관로 및 연결관로 접속\수행지침\수행지침.html", "👉 [클릭] 수행지침 열기 📄")</f>
        <v/>
      </c>
      <c r="R44" s="80">
        <f>HYPERLINK(LEFT(CELL("filename",A1),FIND("[",CELL("filename",A1))-1)&amp;"3.지장물이설\23_신규관로 및 연결관로 접속\체크리스트\신규관로 및 연결관로 접속_체크리스트.html", "👉 [클릭] 체크리스트 열기 📄")</f>
        <v/>
      </c>
    </row>
    <row r="45" ht="22.8" customHeight="1">
      <c r="I45" s="61" t="n"/>
      <c r="N45" s="78">
        <f>HYPERLINK(LEFT(CELL("filename",A1),FIND("[",CELL("filename",A1))-1)&amp;"3.지장물이설\23_통신관로 및 케이블 이설 공사\표준서\통신관로 및 케이블 이설 공사_표준서.html", "👉 [클릭] 표준서 열기 📄")</f>
        <v/>
      </c>
      <c r="P45" s="79">
        <f>HYPERLINK(LEFT(CELL("filename",A1),FIND("[",CELL("filename",A1))-1)&amp;"3.지장물이설\23_통신관로 및 케이블 이설 공사\수행지침\수행지침.html", "👉 [클릭] 수행지침 열기 📄")</f>
        <v/>
      </c>
      <c r="R45" s="80">
        <f>HYPERLINK(LEFT(CELL("filename",A1),FIND("[",CELL("filename",A1))-1)&amp;"3.지장물이설\23_통신관로 및 케이블 이설 공사\체크리스트\통신관로 및 케이블 이설 공사_체크리스트.html", "👉 [클릭] 체크리스트 열기 📄")</f>
        <v/>
      </c>
    </row>
    <row r="46">
      <c r="I46" s="59" t="n"/>
      <c r="N46" s="78">
        <f>HYPERLINK(LEFT(CELL("filename",A1),FIND("[",CELL("filename",A1))-1)&amp;"3.지장물이설\24_기존관로 철거 및 원상복구\표준서\24_기존관로 철거 및 원상복구_표준서.html", "👉 [클릭] 표준서 열기 📄")</f>
        <v/>
      </c>
      <c r="P46" s="79">
        <f>HYPERLINK(LEFT(CELL("filename",A1),FIND("[",CELL("filename",A1))-1)&amp;"3.지장물이설\24_기존관로 철거 및 원상복구\수행지침\기존관로 철거 및 원상복구_수행지침.html", "👉 [클릭] 수행지침 열기 📄")</f>
        <v/>
      </c>
      <c r="R46" s="80">
        <f>HYPERLINK(LEFT(CELL("filename",A1),FIND("[",CELL("filename",A1))-1)&amp;"3.지장물이설\24_기존관로 철거 및 원상복구\체크리스트\기존관로 철거 및 원상복구_체크리스트.html", "👉 [클릭] 체크리스트 열기 📄")</f>
        <v/>
      </c>
    </row>
    <row r="47">
      <c r="I47" s="62" t="n"/>
      <c r="N47" s="78">
        <f>HYPERLINK(LEFT(CELL("filename",A1),FIND("[",CELL("filename",A1))-1)&amp;"3.지장물이설\24_특고압 전력관로 이설 공사\표준서\특고압 전력관로 이설 공사_표준서.html", "👉 [클릭] 표준서 열기 📄")</f>
        <v/>
      </c>
      <c r="P47" s="79">
        <f>HYPERLINK(LEFT(CELL("filename",A1),FIND("[",CELL("filename",A1))-1)&amp;"3.지장물이설\24_특고압 전력관로 이설 공사\수행지침\수행지침.html", "👉 [클릭] 수행지침 열기 📄")</f>
        <v/>
      </c>
      <c r="R47" s="80">
        <f>HYPERLINK(LEFT(CELL("filename",A1),FIND("[",CELL("filename",A1))-1)&amp;"3.지장물이설\24_특고압 전력관로 이설 공사\체크리스트\특고압 전력관로 이설 공사_체크리스트.html", "👉 [클릭] 체크리스트 열기 📄")</f>
        <v/>
      </c>
    </row>
    <row r="48">
      <c r="I48" s="62" t="n"/>
      <c r="N48" s="78">
        <f>HYPERLINK(LEFT(CELL("filename",A1),FIND("[",CELL("filename",A1))-1)&amp;"3.지장물이설\25_광역상수관 이설 공사\표준서\25_광역상수관 이설 공사_표준서.html", "👉 [클릭] 표준서 열기 📄")</f>
        <v/>
      </c>
      <c r="P48" s="79">
        <f>HYPERLINK(LEFT(CELL("filename",A1),FIND("[",CELL("filename",A1))-1)&amp;"3.지장물이설\25_광역상수관 이설 공사\수행지침\광역상수관 이설 공사_수행지침.html", "👉 [클릭] 수행지침 열기 📄")</f>
        <v/>
      </c>
      <c r="R48" s="80">
        <f>HYPERLINK(LEFT(CELL("filename",A1),FIND("[",CELL("filename",A1))-1)&amp;"3.지장물이설\25_광역상수관 이설 공사\체크리스트\광역상수관 이설 공사_체크리스트.html", "👉 [클릭] 체크리스트 열기 📄")</f>
        <v/>
      </c>
    </row>
    <row r="49" ht="22.8" customHeight="1">
      <c r="I49" s="61" t="n"/>
      <c r="N49" s="78">
        <f>HYPERLINK(LEFT(CELL("filename",A1),FIND("[",CELL("filename",A1))-1)&amp;"3.지장물이설\25_송유관 이설 공사\표준서\송유관 이설 공사_표준서.html", "👉 [클릭] 표준서 열기 📄")</f>
        <v/>
      </c>
      <c r="P49" s="79">
        <f>HYPERLINK(LEFT(CELL("filename",A1),FIND("[",CELL("filename",A1))-1)&amp;"3.지장물이설\25_송유관 이설 공사\수행지침\송유관 이설 공사_수행지침.html", "👉 [클릭] 수행지침 열기 📄")</f>
        <v/>
      </c>
      <c r="R49" s="80">
        <f>HYPERLINK(LEFT(CELL("filename",A1),FIND("[",CELL("filename",A1))-1)&amp;"3.지장물이설\25_송유관 이설 공사\체크리스트\송유관 이설 공사_체크리스트.html", "👉 [클릭] 체크리스트 열기 📄")</f>
        <v/>
      </c>
    </row>
    <row r="50">
      <c r="I50" s="59" t="n"/>
      <c r="N50" s="78">
        <f>HYPERLINK(LEFT(CELL("filename",A1),FIND("[",CELL("filename",A1))-1)&amp;"3.지장물이설\26_상수도 관로 이설 공사\표준서\26_상수도 관로 이설 공사_표준서.html", "👉 [클릭] 표준서 열기 📄")</f>
        <v/>
      </c>
      <c r="P50" s="79">
        <f>HYPERLINK(LEFT(CELL("filename",A1),FIND("[",CELL("filename",A1))-1)&amp;"3.지장물이설\26_상수도 관로 이설 공사\수행지침\상수도 관로 이설 공사_수행지침.html", "👉 [클릭] 수행지침 열기 📄")</f>
        <v/>
      </c>
      <c r="R50" s="80">
        <f>HYPERLINK(LEFT(CELL("filename",A1),FIND("[",CELL("filename",A1))-1)&amp;"3.지장물이설\26_상수도 관로 이설 공사\체크리스트\상수도 관로 이설 공사_체크리스트.html", "👉 [클릭] 체크리스트 열기 📄")</f>
        <v/>
      </c>
    </row>
    <row r="51">
      <c r="I51" s="62" t="n"/>
      <c r="N51" s="78">
        <f>HYPERLINK(LEFT(CELL("filename",A1),FIND("[",CELL("filename",A1))-1)&amp;"3.지장물이설\26_상하수도 이설 시공 최종 점검\표준서\상하수도 이설 시공 최종 점검_표준서.html", "👉 [클릭] 표준서 열기 📄")</f>
        <v/>
      </c>
      <c r="P51" s="79">
        <f>HYPERLINK(LEFT(CELL("filename",A1),FIND("[",CELL("filename",A1))-1)&amp;"3.지장물이설\26_상하수도 이설 시공 최종 점검\수행지침\상하수도 이설 시공 최종 점검_수행지침.html", "👉 [클릭] 수행지침 열기 📄")</f>
        <v/>
      </c>
      <c r="R51" s="80">
        <f>HYPERLINK(LEFT(CELL("filename",A1),FIND("[",CELL("filename",A1))-1)&amp;"3.지장물이설\26_상하수도 이설 시공 최종 점검\체크리스트\상하수도 이설 시공 최종 점검_체크리스트.html", "👉 [클릭] 체크리스트 열기 📄")</f>
        <v/>
      </c>
    </row>
    <row r="52">
      <c r="I52" s="62" t="n"/>
      <c r="N52" s="78">
        <f>HYPERLINK(LEFT(CELL("filename",A1),FIND("[",CELL("filename",A1))-1)&amp;"3.지장물이설\27_위수탁 지하지장물 이설 최종 점검\표준서\위수탁 지하지장물 이설 최종 점검_표준서.html", "👉 [클릭] 표준서 열기 📄")</f>
        <v/>
      </c>
      <c r="P52" s="79">
        <f>HYPERLINK(LEFT(CELL("filename",A1),FIND("[",CELL("filename",A1))-1)&amp;"3.지장물이설\27_위수탁 지하지장물 이설 최종 점검\수행지침\수행지침.html", "👉 [클릭] 수행지침 열기 📄")</f>
        <v/>
      </c>
      <c r="R52" s="80">
        <f>HYPERLINK(LEFT(CELL("filename",A1),FIND("[",CELL("filename",A1))-1)&amp;"3.지장물이설\27_위수탁 지하지장물 이설 최종 점검\체크리스트\위수탁 지하지장물 이설 최종 점검_체크리스트.html", "👉 [클릭] 체크리스트 열기 📄")</f>
        <v/>
      </c>
    </row>
    <row r="53" ht="22.8" customHeight="1">
      <c r="I53" s="61" t="n"/>
      <c r="N53" s="78">
        <f>HYPERLINK(LEFT(CELL("filename",A1),FIND("[",CELL("filename",A1))-1)&amp;"3.지장물이설\27_하수도 관로 이설 공사\표준서\27_하수도 관로 이설 공사_표준서.html", "👉 [클릭] 표준서 열기 📄")</f>
        <v/>
      </c>
      <c r="P53" s="79">
        <f>HYPERLINK(LEFT(CELL("filename",A1),FIND("[",CELL("filename",A1))-1)&amp;"3.지장물이설\27_하수도 관로 이설 공사\수행지침\수행지침.html", "👉 [클릭] 수행지침 열기 📄")</f>
        <v/>
      </c>
      <c r="R53" s="80">
        <f>HYPERLINK(LEFT(CELL("filename",A1),FIND("[",CELL("filename",A1))-1)&amp;"3.지장물이설\27_하수도 관로 이설 공사\체크리스트\하수도 관로 이설 공사_체크리스트.html", "👉 [클릭] 체크리스트 열기 📄")</f>
        <v/>
      </c>
    </row>
    <row r="54">
      <c r="I54" s="59" t="n"/>
      <c r="N54" s="78">
        <f>HYPERLINK(LEFT(CELL("filename",A1),FIND("[",CELL("filename",A1))-1)&amp;"3.지장물이설\28_도시가스관 이설 공사\표준서\28_도시가스관 이설 공사_표준서.html", "👉 [클릭] 표준서 열기 📄")</f>
        <v/>
      </c>
      <c r="P54" s="79">
        <f>HYPERLINK(LEFT(CELL("filename",A1),FIND("[",CELL("filename",A1))-1)&amp;"3.지장물이설\28_도시가스관 이설 공사\수행지침\도시가스관 이설 공사_수행지침.html", "👉 [클릭] 수행지침 열기 📄")</f>
        <v/>
      </c>
      <c r="R54" s="80">
        <f>HYPERLINK(LEFT(CELL("filename",A1),FIND("[",CELL("filename",A1))-1)&amp;"3.지장물이설\28_도시가스관 이설 공사\체크리스트\도시가스관 이설 공사_체크리스트.html", "👉 [클릭] 체크리스트 열기 📄")</f>
        <v/>
      </c>
    </row>
    <row r="55">
      <c r="I55" s="62" t="n"/>
      <c r="N55" s="78">
        <f>HYPERLINK(LEFT(CELL("filename",A1),FIND("[",CELL("filename",A1))-1)&amp;"3.지장물이설\28_상하수도 이설 정산 금액 검토\표준서\상하수도 이설 정산 금액 검토_표준서.html", "👉 [클릭] 표준서 열기 📄")</f>
        <v/>
      </c>
      <c r="P55" s="79">
        <f>HYPERLINK(LEFT(CELL("filename",A1),FIND("[",CELL("filename",A1))-1)&amp;"3.지장물이설\28_상하수도 이설 정산 금액 검토\수행지침\상하수도 이설 정산 금액 검토_수행지침.html", "👉 [클릭] 수행지침 열기 📄")</f>
        <v/>
      </c>
      <c r="R55" s="80">
        <f>HYPERLINK(LEFT(CELL("filename",A1),FIND("[",CELL("filename",A1))-1)&amp;"3.지장물이설\28_상하수도 이설 정산 금액 검토\체크리스트\상하수도 이설 정산 금액 검토_체크리스트.html", "👉 [클릭] 체크리스트 열기 📄")</f>
        <v/>
      </c>
    </row>
    <row r="56">
      <c r="I56" s="62" t="n"/>
      <c r="N56" s="78">
        <f>HYPERLINK(LEFT(CELL("filename",A1),FIND("[",CELL("filename",A1))-1)&amp;"3.지장물이설\29_위수탁 처리 정산금액 지급\표준서\위수탁 처리 정산금액 지급_표준서.html", "👉 [클릭] 표준서 열기 📄")</f>
        <v/>
      </c>
      <c r="P56" s="79">
        <f>HYPERLINK(LEFT(CELL("filename",A1),FIND("[",CELL("filename",A1))-1)&amp;"3.지장물이설\29_위수탁 처리 정산금액 지급\수행지침\수행지침.html", "👉 [클릭] 수행지침 열기 📄")</f>
        <v/>
      </c>
      <c r="R56" s="80">
        <f>HYPERLINK(LEFT(CELL("filename",A1),FIND("[",CELL("filename",A1))-1)&amp;"3.지장물이설\29_위수탁 처리 정산금액 지급\체크리스트\위수탁 처리 정산금액 지급_체크리스트.html", "👉 [클릭] 체크리스트 열기 📄")</f>
        <v/>
      </c>
    </row>
    <row r="57" ht="22.8" customHeight="1">
      <c r="I57" s="61" t="n"/>
      <c r="N57" s="78">
        <f>HYPERLINK(LEFT(CELL("filename",A1),FIND("[",CELL("filename",A1))-1)&amp;"3.지장물이설\29_지역난방관 이설 공사\표준서\29_지역난방관 이설 공사_표준서.html", "👉 [클릭] 표준서 열기 📄")</f>
        <v/>
      </c>
      <c r="P57" s="79">
        <f>HYPERLINK(LEFT(CELL("filename",A1),FIND("[",CELL("filename",A1))-1)&amp;"3.지장물이설\29_지역난방관 이설 공사\수행지침\수행지침.html", "👉 [클릭] 수행지침 열기 📄")</f>
        <v/>
      </c>
      <c r="R57" s="80">
        <f>HYPERLINK(LEFT(CELL("filename",A1),FIND("[",CELL("filename",A1))-1)&amp;"3.지장물이설\29_지역난방관 이설 공사\체크리스트\지역난방관 이설 공사_체크리스트.html", "👉 [클릭] 체크리스트 열기 📄")</f>
        <v/>
      </c>
    </row>
    <row r="58">
      <c r="I58" s="59" t="n"/>
      <c r="N58" s="78">
        <f>HYPERLINK(LEFT(CELL("filename",A1),FIND("[",CELL("filename",A1))-1)&amp;"3.지장물이설\30_도급자분_위수탁분 설계변경 정산\표준서\도급자분_위수탁분 설계변경 정산_표준서.html", "👉 [클릭] 표준서 열기 📄")</f>
        <v/>
      </c>
      <c r="P58" s="79">
        <f>HYPERLINK(LEFT(CELL("filename",A1),FIND("[",CELL("filename",A1))-1)&amp;"3.지장물이설\30_도급자분_위수탁분 설계변경 정산\수행지침\도급자분 이설업체 선정(상_하수)_수행지침.html", "👉 [클릭] 수행지침 열기 📄")</f>
        <v/>
      </c>
      <c r="R58" s="80">
        <f>HYPERLINK(LEFT(CELL("filename",A1),FIND("[",CELL("filename",A1))-1)&amp;"3.지장물이설\30_도급자분_위수탁분 설계변경 정산\체크리스트\도급자분_위수탁분 설계변경 정산_체크리스트.html", "👉 [클릭] 체크리스트 열기 📄")</f>
        <v/>
      </c>
    </row>
    <row r="59">
      <c r="I59" s="62" t="n"/>
      <c r="N59" s="78">
        <f>HYPERLINK(LEFT(CELL("filename",A1),FIND("[",CELL("filename",A1))-1)&amp;"3.지장물이설\30_통신관로 및 케이블 이설 공사\표준서\30_통신관로 및 케이블 이설 공사_표준서.html", "👉 [클릭] 표준서 열기 📄")</f>
        <v/>
      </c>
      <c r="P59" s="79">
        <f>HYPERLINK(LEFT(CELL("filename",A1),FIND("[",CELL("filename",A1))-1)&amp;"3.지장물이설\30_통신관로 및 케이블 이설 공사\수행지침\수행지침.html", "👉 [클릭] 수행지침 열기 📄")</f>
        <v/>
      </c>
      <c r="R59" s="80">
        <f>HYPERLINK(LEFT(CELL("filename",A1),FIND("[",CELL("filename",A1))-1)&amp;"3.지장물이설\30_통신관로 및 케이블 이설 공사\체크리스트\통신관로 및 케이블 이설 공사_체크리스트.html", "👉 [클릭] 체크리스트 열기 📄")</f>
        <v/>
      </c>
    </row>
    <row r="60">
      <c r="I60" s="62" t="n"/>
      <c r="N60" s="78">
        <f>HYPERLINK(LEFT(CELL("filename",A1),FIND("[",CELL("filename",A1))-1)&amp;"3.지장물이설\31_특고압 전력관로 이설 공사\표준서\31_특고압 전력관로 이설 공사_표준서.html", "👉 [클릭] 표준서 열기 📄")</f>
        <v/>
      </c>
      <c r="P60" s="79">
        <f>HYPERLINK(LEFT(CELL("filename",A1),FIND("[",CELL("filename",A1))-1)&amp;"3.지장물이설\31_특고압 전력관로 이설 공사\수행지침\수행지침.html", "👉 [클릭] 수행지침 열기 📄")</f>
        <v/>
      </c>
      <c r="R60" s="80">
        <f>HYPERLINK(LEFT(CELL("filename",A1),FIND("[",CELL("filename",A1))-1)&amp;"3.지장물이설\31_특고압 전력관로 이설 공사\체크리스트\특고압 전력관로 이설 공사_체크리스트.html", "👉 [클릭] 체크리스트 열기 📄")</f>
        <v/>
      </c>
    </row>
    <row r="61">
      <c r="I61" s="62" t="n"/>
      <c r="N61" s="78">
        <f>HYPERLINK(LEFT(CELL("filename",A1),FIND("[",CELL("filename",A1))-1)&amp;"3.지장물이설\32_송유관 이설 공사\표준서\32_송유관 이설 공사_표준서.html", "👉 [클릭] 표준서 열기 📄")</f>
        <v/>
      </c>
      <c r="P61" s="79">
        <f>HYPERLINK(LEFT(CELL("filename",A1),FIND("[",CELL("filename",A1))-1)&amp;"3.지장물이설\32_송유관 이설 공사\수행지침\상하수도 이설 시공 최종 점검_수행지침.html", "👉 [클릭] 수행지침 열기 📄")</f>
        <v/>
      </c>
      <c r="R61" s="80">
        <f>HYPERLINK(LEFT(CELL("filename",A1),FIND("[",CELL("filename",A1))-1)&amp;"3.지장물이설\32_송유관 이설 공사\체크리스트\상하수도 이설 시공 최종 점검_체크리스트.html", "👉 [클릭] 체크리스트 열기 📄")</f>
        <v/>
      </c>
    </row>
    <row r="62">
      <c r="I62" s="63" t="n"/>
      <c r="N62" s="78">
        <f>HYPERLINK(LEFT(CELL("filename",A1),FIND("[",CELL("filename",A1))-1)&amp;"3.지장물이설\33_상하수도 이설 시공 최종 점검\표준서\33_상하수도 이설 시공 최종 점검_표준서.html", "👉 [클릭] 표준서 열기 📄")</f>
        <v/>
      </c>
      <c r="P62" s="79">
        <f>HYPERLINK(LEFT(CELL("filename",A1),FIND("[",CELL("filename",A1))-1)&amp;"3.지장물이설\33_상하수도 이설 시공 최종 점검\수행지침\상하수도 이설 시공 최종 점검_수행지침.html", "👉 [클릭] 수행지침 열기 📄")</f>
        <v/>
      </c>
      <c r="R62" s="80">
        <f>HYPERLINK(LEFT(CELL("filename",A1),FIND("[",CELL("filename",A1))-1)&amp;"3.지장물이설\33_상하수도 이설 시공 최종 점검\체크리스트\위수탁 지하지장물 이설 최종 점검_체크리스트.html", "👉 [클릭] 체크리스트 열기 📄")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T14" r:id="rId13"/>
    <hyperlink xmlns:r="http://schemas.openxmlformats.org/officeDocument/2006/relationships" ref="T15" r:id="rId14"/>
    <hyperlink xmlns:r="http://schemas.openxmlformats.org/officeDocument/2006/relationships" ref="T16" r:id="rId15"/>
    <hyperlink xmlns:r="http://schemas.openxmlformats.org/officeDocument/2006/relationships" ref="T17" r:id="rId16"/>
    <hyperlink xmlns:r="http://schemas.openxmlformats.org/officeDocument/2006/relationships" ref="T18" r:id="rId17"/>
    <hyperlink xmlns:r="http://schemas.openxmlformats.org/officeDocument/2006/relationships" ref="T19" r:id="rId18"/>
    <hyperlink xmlns:r="http://schemas.openxmlformats.org/officeDocument/2006/relationships" ref="T20" r:id="rId19"/>
    <hyperlink xmlns:r="http://schemas.openxmlformats.org/officeDocument/2006/relationships" ref="T21" r:id="rId20"/>
    <hyperlink xmlns:r="http://schemas.openxmlformats.org/officeDocument/2006/relationships" ref="T22" r:id="rId21"/>
    <hyperlink xmlns:r="http://schemas.openxmlformats.org/officeDocument/2006/relationships" ref="T23" r:id="rId22"/>
    <hyperlink xmlns:r="http://schemas.openxmlformats.org/officeDocument/2006/relationships" ref="T24" r:id="rId23"/>
    <hyperlink xmlns:r="http://schemas.openxmlformats.org/officeDocument/2006/relationships" ref="T25" r:id="rId24"/>
    <hyperlink xmlns:r="http://schemas.openxmlformats.org/officeDocument/2006/relationships" ref="T26" r:id="rId25"/>
    <hyperlink xmlns:r="http://schemas.openxmlformats.org/officeDocument/2006/relationships" ref="T27" r:id="rId26"/>
    <hyperlink xmlns:r="http://schemas.openxmlformats.org/officeDocument/2006/relationships" ref="T28" r:id="rId27"/>
    <hyperlink xmlns:r="http://schemas.openxmlformats.org/officeDocument/2006/relationships" ref="T29" r:id="rId28"/>
    <hyperlink xmlns:r="http://schemas.openxmlformats.org/officeDocument/2006/relationships" ref="T30" r:id="rId29"/>
    <hyperlink xmlns:r="http://schemas.openxmlformats.org/officeDocument/2006/relationships" ref="T31" r:id="rId30"/>
    <hyperlink xmlns:r="http://schemas.openxmlformats.org/officeDocument/2006/relationships" ref="T32" r:id="rId31"/>
    <hyperlink xmlns:r="http://schemas.openxmlformats.org/officeDocument/2006/relationships" ref="T33" r:id="rId32"/>
    <hyperlink xmlns:r="http://schemas.openxmlformats.org/officeDocument/2006/relationships" ref="T34" r:id="rId33"/>
    <hyperlink xmlns:r="http://schemas.openxmlformats.org/officeDocument/2006/relationships" ref="T35" r:id="rId34"/>
    <hyperlink xmlns:r="http://schemas.openxmlformats.org/officeDocument/2006/relationships" ref="T36" r:id="rId35"/>
    <hyperlink xmlns:r="http://schemas.openxmlformats.org/officeDocument/2006/relationships" ref="T37" r:id="rId36"/>
    <hyperlink xmlns:r="http://schemas.openxmlformats.org/officeDocument/2006/relationships" ref="T38" r:id="rId37"/>
    <hyperlink xmlns:r="http://schemas.openxmlformats.org/officeDocument/2006/relationships" ref="T39" r:id="rId38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17" min="0" max="16" man="1"/>
  </rowBreaks>
  <colBreaks count="1" manualBreakCount="1">
    <brk id="19" min="0" max="38" man="1"/>
  </colBreaks>
</worksheet>
</file>

<file path=xl/worksheets/sheet4.xml><?xml version="1.0" encoding="utf-8"?>
<worksheet xmlns="http://schemas.openxmlformats.org/spreadsheetml/2006/main">
  <sheetPr codeName="Sheet4">
    <tabColor rgb="FFFFFF00"/>
    <outlinePr summaryBelow="1" summaryRight="1"/>
    <pageSetUpPr/>
  </sheetPr>
  <dimension ref="A1:S39"/>
  <sheetViews>
    <sheetView view="pageBreakPreview" zoomScale="55" zoomScaleNormal="55" zoomScaleSheetLayoutView="55" workbookViewId="0">
      <pane xSplit="1" ySplit="1" topLeftCell="B27" activePane="bottomRight" state="frozen"/>
      <selection pane="topRight" activeCell="B1" sqref="B1"/>
      <selection pane="bottomLeft" activeCell="A2" sqref="A2"/>
      <selection pane="bottomRight" activeCell="J29" sqref="J29"/>
    </sheetView>
  </sheetViews>
  <sheetFormatPr baseColWidth="8" defaultRowHeight="19.2"/>
  <cols>
    <col width="8.796875" customWidth="1" style="42" min="1" max="2"/>
    <col width="17.09765625" customWidth="1" style="22" min="3" max="3"/>
    <col width="16" customWidth="1" style="22" min="4" max="6"/>
    <col width="23.296875" customWidth="1" style="45" min="7" max="7"/>
    <col width="26.09765625" customWidth="1" style="22" min="8" max="8"/>
    <col width="21.09765625" customWidth="1" style="22" min="9" max="9"/>
    <col width="51.59765625" customWidth="1" style="42" min="10" max="11"/>
    <col width="24" customWidth="1" style="42" min="12" max="12"/>
    <col width="45" customWidth="1" style="42" min="13" max="13"/>
    <col width="14.3984375" customWidth="1" style="42" min="14" max="14"/>
    <col width="45" customWidth="1" style="42" min="15" max="15"/>
    <col width="14.3984375" customWidth="1" style="42" min="16" max="16"/>
    <col width="45" customWidth="1" style="42" min="17" max="17"/>
    <col width="11.8984375" customWidth="1" style="42" min="18" max="18"/>
    <col width="18.09765625" customWidth="1" style="42" min="19" max="19"/>
    <col width="45" customWidth="1" style="42" min="20" max="34"/>
    <col width="8.796875" customWidth="1" style="42" min="35" max="71"/>
    <col width="8.796875" customWidth="1" style="42" min="72" max="16384"/>
  </cols>
  <sheetData>
    <row r="1" ht="76.8" customFormat="1" customHeight="1" s="22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 xml:space="preserve"> 비고</t>
        </is>
      </c>
    </row>
    <row r="2" ht="118.8" customHeight="1">
      <c r="A2" s="47" t="inlineStr">
        <is>
          <t>9000</t>
        </is>
      </c>
      <c r="B2" s="47" t="inlineStr">
        <is>
          <t>9000-7</t>
        </is>
      </c>
      <c r="C2" s="47" t="inlineStr">
        <is>
          <t>상부강화노반</t>
        </is>
      </c>
      <c r="D2" s="47" t="inlineStr">
        <is>
          <t>9000-7-1</t>
        </is>
      </c>
      <c r="E2" s="47" t="n"/>
      <c r="F2" s="47">
        <f>D3</f>
        <v/>
      </c>
      <c r="G2" s="47" t="inlineStr">
        <is>
          <t>D-100</t>
        </is>
      </c>
      <c r="H2" s="47" t="inlineStr">
        <is>
          <t>지반조사 상세검토</t>
        </is>
      </c>
      <c r="I2" s="47" t="inlineStr">
        <is>
          <t>현장 공사팀</t>
        </is>
      </c>
      <c r="J2" s="49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K2" s="49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L2" s="49" t="inlineStr">
        <is>
          <t>시추 주상도 대조, GPR 지중 탐사 3D 매핑 및 N치 &lt; 4 연약지반 층후 경출 (PVD/DCM 개량 승인)</t>
        </is>
      </c>
      <c r="M2" s="49" t="inlineStr">
        <is>
          <t>본 과업은 동탄트램 선로 하부 지반의 지질 구조 및 지층 분포 상태를 정밀 분석하여, 노면 매립 궤도 및 상부강화노반의 불등침하 방지와 지반 지지력 확보를 위한 최적의 지반 개량 공법(PVD/DCM)을 확정하는 것을 목적으로 함.</t>
        </is>
      </c>
      <c r="N2" s="75">
        <f>HYPERLINK(LEFT(CELL("filename",A1),FIND("[",CELL("filename",A1))-1)&amp;"4.상부강화노반\1_지반조사 상세검토\표준서\지반조사 상세검토_표준서.html", "👉 [클릭] 표준서 열기 📄")</f>
        <v/>
      </c>
      <c r="O2" s="49" t="inlineStr">
        <is>
          <t>1) 시추 주상도 &amp; GPR 3D 매핑 분석 ➔ 2) N치 &lt; 4 연약지반 심도 경계 추출 ➔ 3) PVD/DCM 개량 공법 검토 ➔ 4) 기술사 서명 지반조사 보고서 감리 승인</t>
        </is>
      </c>
      <c r="P2" s="76">
        <f>HYPERLINK(LEFT(CELL("filename",A1),FIND("[",CELL("filename",A1))-1)&amp;"4.상부강화노반\1_지반조사 상세검토\수행지침\지반조사 상세검토_수행지침.html", "👉 [클릭] 수행지침 열기 📄")</f>
        <v/>
      </c>
      <c r="Q2" s="49" t="inlineStr">
        <is>
          <t>시추 주상도 대조, GPR 지중 탐사 3D 매핑 및 N치 &lt; 4 연약지반 층후 경출 (PVD/DCM 개량 승인)</t>
        </is>
      </c>
      <c r="R2" s="77">
        <f>HYPERLINK(LEFT(CELL("filename",A1),FIND("[",CELL("filename",A1))-1)&amp;"4.상부강화노반\1_지반조사 상세검토\체크리스트\지반조사 상세검토_체크리스트.html", "👉 [클릭] 체크리스트 열기 📄")</f>
        <v/>
      </c>
      <c r="S2" s="47" t="n"/>
    </row>
    <row r="3" ht="166.2" customHeight="1">
      <c r="A3" s="47" t="inlineStr">
        <is>
          <t>9000</t>
        </is>
      </c>
      <c r="B3" s="47" t="inlineStr">
        <is>
          <t>9000-7</t>
        </is>
      </c>
      <c r="C3" s="47" t="inlineStr">
        <is>
          <t>상부강화노반</t>
        </is>
      </c>
      <c r="D3" s="47" t="inlineStr">
        <is>
          <t>9000-7-2</t>
        </is>
      </c>
      <c r="E3" s="47">
        <f>D2</f>
        <v/>
      </c>
      <c r="F3" s="47">
        <f>D4</f>
        <v/>
      </c>
      <c r="G3" s="47" t="inlineStr">
        <is>
          <t>D-70</t>
        </is>
      </c>
      <c r="H3" s="47" t="inlineStr">
        <is>
          <t>발주전략 KOM</t>
        </is>
      </c>
      <c r="I3" s="47" t="inlineStr">
        <is>
          <t>현장소장</t>
        </is>
      </c>
      <c r="J3" s="49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K3" s="49" t="inlineStr">
        <is>
          <t>1) 발주처 시방서 요구조건 분석 ➔ 2) 3D BIM 도면 표고/구배 검증 ➔ 3) 지장물/용지 리스크 예비비 수립 ➔ 4) 발주·감리·시공 3자 킥오프 결재</t>
        </is>
      </c>
      <c r="L3" s="49" t="inlineStr">
        <is>
          <t>KCS 47 10 25 시방 검토, 쇄석 입도 50mm/다짐도 95% 명시 및 3D BIM 도면 대조 (발주전략 킥오프 결재)</t>
        </is>
      </c>
      <c r="M3" s="49" t="inlineStr">
        <is>
          <t>본 과업은 상부강화노반 시공 착수 전 발주처·감리단·시공사 간 기술 요구사항과 3D BIM 도면의 표고/구배 기준을 명확히 공유하고, 지장물 및 용지 리스크에 대한 예비비 수립 등 공사 수행 전반의 품질 및 공기 리스크를 사전 예방하는 것을 목적으로 함.</t>
        </is>
      </c>
      <c r="N3" s="75">
        <f>HYPERLINK(LEFT(CELL("filename",A1),FIND("[",CELL("filename",A1))-1)&amp;"4.상부강화노반\2_발주전략 KOM\표준서\발주전략 KOM_표준서.html", "👉 [클릭] 표준서 열기 📄")</f>
        <v/>
      </c>
      <c r="O3" s="49" t="inlineStr">
        <is>
          <t>1) 발주처 시방서 요구조건 분석 ➔ 2) 3D BIM 도면 표고/구배 검증 ➔ 3) 지장물/용지 리스크 예비비 수립 ➔ 4) 발주·감리·시공 3자 킥오프 결재</t>
        </is>
      </c>
      <c r="P3" s="76">
        <f>HYPERLINK(LEFT(CELL("filename",A1),FIND("[",CELL("filename",A1))-1)&amp;"4.상부강화노반\2_발주전략 KOM\수행지침\발주전략 KOM_수행지침.html", "👉 [클릭] 수행지침 열기 📄")</f>
        <v/>
      </c>
      <c r="Q3" s="49" t="inlineStr">
        <is>
          <t>KCS 47 10 25 시방 검토, 쇄석 입도 50mm/다짐도 95% 명시 및 3D BIM 도면 대조 (발주전략 킥오프 결재)</t>
        </is>
      </c>
      <c r="R3" s="77">
        <f>HYPERLINK(LEFT(CELL("filename",A1),FIND("[",CELL("filename",A1))-1)&amp;"4.상부강화노반\2_발주전략 KOM\체크리스트\발주전략 KOM_체크리스트.html", "👉 [클릭] 체크리스트 열기 📄")</f>
        <v/>
      </c>
      <c r="S3" s="47" t="n"/>
    </row>
    <row r="4" ht="96" customHeight="1">
      <c r="A4" s="47" t="inlineStr">
        <is>
          <t>9000</t>
        </is>
      </c>
      <c r="B4" s="47" t="inlineStr">
        <is>
          <t>9000-7</t>
        </is>
      </c>
      <c r="C4" s="47" t="inlineStr">
        <is>
          <t>상부강화노반</t>
        </is>
      </c>
      <c r="D4" s="47" t="inlineStr">
        <is>
          <t>9000-7-3</t>
        </is>
      </c>
      <c r="E4" s="47">
        <f>D3</f>
        <v/>
      </c>
      <c r="F4" s="47">
        <f>D5</f>
        <v/>
      </c>
      <c r="G4" s="47" t="inlineStr">
        <is>
          <t>D-60 (D-70~D-60)</t>
        </is>
      </c>
      <c r="H4" s="47" t="inlineStr">
        <is>
          <t>철도보호지구에서의 행위신고(필요시)</t>
        </is>
      </c>
      <c r="I4" s="47" t="inlineStr">
        <is>
          <t>현장 공사팀</t>
        </is>
      </c>
      <c r="J4" s="49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K4" s="49" t="inlineStr">
        <is>
          <t>1) 궤도 중심 30m 법정 경계 측량 ➔ 2) 행위신고서/안전계획서 접수 ➔ 3) 관할 철도운영기관 기술 심의 ➔ 4) 운행선안전관리자 현장 1:1 배치</t>
        </is>
      </c>
      <c r="L4" s="49" t="inlineStr">
        <is>
          <t>궤도 중심 30m 법정 경계 측량(오차 ≤ 5mm), 행위신고서 접수 및 운행선안전관리자 1:1 현장 배치</t>
        </is>
      </c>
      <c r="M4" s="49" t="inlineStr">
        <is>
          <t>본 과업은 기존 운행 중인 철도선로 인접 30m 이내 구역 굴착 시 선로의 변형 및 열차 운행 안전 사고를 방지하기 위해, 철도운영기관과의 사전 행위신고 및 기술 협의를 완료하고 운행선 안전관리 체계를 확보하는 것을 목적으로 함.</t>
        </is>
      </c>
      <c r="N4" s="75">
        <f>HYPERLINK(LEFT(CELL("filename",A1),FIND("[",CELL("filename",A1))-1)&amp;"4.상부강화노반\3_철도보호지구에서의 행위신고(필요시)\표준서\철도보호지구 행위신고_표준서.html", "👉 [클릭] 표준서 열기 📄")</f>
        <v/>
      </c>
      <c r="O4" s="49" t="inlineStr">
        <is>
          <t>1) 궤도 중심 30m 법정 경계 측량 ➔ 2) 행위신고서/안전계획서 접수 ➔ 3) 관할 철도운영기관 기술 심의 ➔ 4) 운행선안전관리자 현장 1:1 배치</t>
        </is>
      </c>
      <c r="P4" s="76">
        <f>HYPERLINK(LEFT(CELL("filename",A1),FIND("[",CELL("filename",A1))-1)&amp;"4.상부강화노반\3_철도보호지구에서의 행위신고(필요시)\수행지침\철도보호지구 행위신고_수행지침.html", "👉 [클릭] 수행지침 열기 📄")</f>
        <v/>
      </c>
      <c r="Q4" s="49" t="inlineStr">
        <is>
          <t>궤도 중심 30m 법정 경계 측량(오차 ≤ 5mm), 행위신고서 접수 및 운행선안전관리자 1:1 현장 배치</t>
        </is>
      </c>
      <c r="R4" s="77">
        <f>HYPERLINK(LEFT(CELL("filename",A1),FIND("[",CELL("filename",A1))-1)&amp;"4.상부강화노반\3_철도보호지구에서의 행위신고(필요시)\체크리스트\철도보호지구 행위신고_체크리스트.html", "👉 [클릭] 체크리스트 열기 📄")</f>
        <v/>
      </c>
      <c r="S4" s="47" t="n"/>
    </row>
    <row r="5" ht="96" customHeight="1">
      <c r="A5" s="47" t="inlineStr">
        <is>
          <t>9000</t>
        </is>
      </c>
      <c r="B5" s="47" t="inlineStr">
        <is>
          <t>9000-7</t>
        </is>
      </c>
      <c r="C5" s="47" t="inlineStr">
        <is>
          <t>상부강화노반</t>
        </is>
      </c>
      <c r="D5" s="47" t="inlineStr">
        <is>
          <t>9000-7-4</t>
        </is>
      </c>
      <c r="E5" s="47">
        <f>D4</f>
        <v/>
      </c>
      <c r="F5" s="47">
        <f>D6</f>
        <v/>
      </c>
      <c r="G5" s="47" t="inlineStr">
        <is>
          <t>D-35 (D-60~D-35)</t>
        </is>
      </c>
      <c r="H5" s="47" t="inlineStr">
        <is>
          <t>착수전 측량 Data 확인</t>
        </is>
      </c>
      <c r="I5" s="47" t="inlineStr">
        <is>
          <t>현장 공사팀</t>
        </is>
      </c>
      <c r="J5" s="49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K5" s="49" t="inlineStr">
        <is>
          <t>1) 국가 CP/TBM 기준점 인수 ➔ 2) GRS80 수준측량(폐합오차 ≤ 5mm√K) ➔ 3) 현장 인조점 3개소 매설 ➔ 4) 측량 성과표 작성 &amp; 3D BIM 승인</t>
        </is>
      </c>
      <c r="L5" s="49" t="inlineStr">
        <is>
          <t>국가 CP/TBM 기준점 인수, GRS80 수준측량(폐합오차 ≤ 5mm√K) 및 현장 인조점 3개소 매설 성과</t>
        </is>
      </c>
      <c r="M5" s="49" t="inlineStr">
        <is>
          <t>본 과업은 공사 착수 전 국가 기준점(CP/TBM)과 3D BIM 계획 표고를 현장에 정밀 세팅하여, 트램 궤도의 선형 오차를 방지하고 시공 전 구간의 수평·수직 기준 신뢰도를 100% 확보하는 것을 목적으로 함.</t>
        </is>
      </c>
      <c r="N5" s="75">
        <f>HYPERLINK(LEFT(CELL("filename",A1),FIND("[",CELL("filename",A1))-1)&amp;"4.상부강화노반\4_착수전 측량 Data 확인\표준서\착수전 측량 Data 확인_표준서.html", "👉 [클릭] 표준서 열기 📄")</f>
        <v/>
      </c>
      <c r="O5" s="49" t="inlineStr">
        <is>
          <t>1) 국가 CP/TBM 기준점 인수 ➔ 2) GRS80 수준측량(폐합오차 ≤ 5mm√K) ➔ 3) 현장 인조점 3개소 매설 ➔ 4) 측량 성과표 작성 &amp; 3D BIM 승인</t>
        </is>
      </c>
      <c r="P5" s="76">
        <f>HYPERLINK(LEFT(CELL("filename",A1),FIND("[",CELL("filename",A1))-1)&amp;"4.상부강화노반\4_착수전 측량 Data 확인\수행지침\착수전 측량 Data 확인_수행지침.html", "👉 [클릭] 수행지침 열기 📄")</f>
        <v/>
      </c>
      <c r="Q5" s="49" t="inlineStr">
        <is>
          <t>국가 CP/TBM 기준점 인수, GRS80 수준측량(폐합오차 ≤ 5mm√K) 및 현장 인조점 3개소 매설 성과</t>
        </is>
      </c>
      <c r="R5" s="77">
        <f>HYPERLINK(LEFT(CELL("filename",A1),FIND("[",CELL("filename",A1))-1)&amp;"4.상부강화노반\4_착수전 측량 Data 확인\체크리스트\착수전 측량 Data 확인_체크리스트.html", "👉 [클릭] 체크리스트 열기 📄")</f>
        <v/>
      </c>
      <c r="S5" s="47" t="n"/>
    </row>
    <row r="6" ht="96" customHeight="1">
      <c r="A6" s="47" t="inlineStr">
        <is>
          <t>9000</t>
        </is>
      </c>
      <c r="B6" s="47" t="inlineStr">
        <is>
          <t>9000-7</t>
        </is>
      </c>
      <c r="C6" s="47" t="inlineStr">
        <is>
          <t>상부강화노반</t>
        </is>
      </c>
      <c r="D6" s="47" t="inlineStr">
        <is>
          <t>9000-7-5</t>
        </is>
      </c>
      <c r="E6" s="47">
        <f>D5</f>
        <v/>
      </c>
      <c r="F6" s="47">
        <f>D7</f>
        <v/>
      </c>
      <c r="G6" s="47" t="inlineStr">
        <is>
          <t>D-40 (D-60~D-40)</t>
        </is>
      </c>
      <c r="H6" s="47" t="inlineStr">
        <is>
          <t>지장물이설 협의</t>
        </is>
      </c>
      <c r="I6" s="47" t="inlineStr">
        <is>
          <t>현장 공사팀</t>
        </is>
      </c>
      <c r="J6" s="49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K6" s="49" t="inlineStr">
        <is>
          <t>1) GPR 3D 지중 관로 탐사 ➔ 2) 인력 시탐 줄파기(깊이 1.5m) ➔ 3) 관할 점용기관 1:1 현장 입회 ➔ 4) 매달기 방호 &amp; 지장물 이설 완료 승인</t>
        </is>
      </c>
      <c r="L6" s="49" t="inlineStr">
        <is>
          <t>GPR 3D 관로 탐사, 인력 시탐 줄파기(깊이 1.5m) 및 점용기관 1:1 현장 입회 매달기 방호</t>
        </is>
      </c>
      <c r="M6" s="49" t="inlineStr">
        <is>
          <t>본 과업은 노반 굴착 구역 내 매설된 가스관, 전력선, 상하수도 등 지하 지장물의 간섭 및 파손 사고를 예방하기 위해, GPR 탐사 및 인력 시탐을 통해 지장물 위치를 정밀 확인하고 관할 점용기관과의 이설 및 방호 협의를 완수하는 것을 목적으로 함.</t>
        </is>
      </c>
      <c r="N6" s="75">
        <f>HYPERLINK(LEFT(CELL("filename",A1),FIND("[",CELL("filename",A1))-1)&amp;"4.상부강화노반\5_지장물이설 협의\표준서\지장물이설 협의_표준서.html", "👉 [클릭] 표준서 열기 📄")</f>
        <v/>
      </c>
      <c r="O6" s="49" t="inlineStr">
        <is>
          <t>1) GPR 3D 지중 관로 탐사 ➔ 2) 인력 시탐 줄파기(깊이 1.5m) ➔ 3) 관할 점용기관 1:1 현장 입회 ➔ 4) 매달기 방호 &amp; 지장물 이설 완료 승인</t>
        </is>
      </c>
      <c r="P6" s="76">
        <f>HYPERLINK(LEFT(CELL("filename",A1),FIND("[",CELL("filename",A1))-1)&amp;"4.상부강화노반\5_지장물이설 협의\수행지침\지장물이설 협의_수행지침.html", "👉 [클릭] 수행지침 열기 📄")</f>
        <v/>
      </c>
      <c r="Q6" s="49" t="inlineStr">
        <is>
          <t>GPR 3D 관로 탐사, 인력 시탐 줄파기(깊이 1.5m) 및 점용기관 1:1 현장 입회 매달기 방호</t>
        </is>
      </c>
      <c r="R6" s="77">
        <f>HYPERLINK(LEFT(CELL("filename",A1),FIND("[",CELL("filename",A1))-1)&amp;"4.상부강화노반\5_지장물이설 협의\체크리스트\지장물이설 협의_체크리스트.html", "👉 [클릭] 체크리스트 열기 📄")</f>
        <v/>
      </c>
      <c r="S6" s="47" t="n"/>
    </row>
    <row r="7" ht="96" customHeight="1">
      <c r="A7" s="47" t="inlineStr">
        <is>
          <t>9000</t>
        </is>
      </c>
      <c r="B7" s="47" t="inlineStr">
        <is>
          <t>9000-7</t>
        </is>
      </c>
      <c r="C7" s="47" t="inlineStr">
        <is>
          <t>상부강화노반</t>
        </is>
      </c>
      <c r="D7" s="47" t="inlineStr">
        <is>
          <t>9000-7-6</t>
        </is>
      </c>
      <c r="E7" s="47">
        <f>D6</f>
        <v/>
      </c>
      <c r="F7" s="47">
        <f>D8</f>
        <v/>
      </c>
      <c r="G7" s="47" t="inlineStr">
        <is>
          <t>D-40 (D-60~D-40)</t>
        </is>
      </c>
      <c r="H7" s="47" t="inlineStr">
        <is>
          <t>용지보상RISK 검토</t>
        </is>
      </c>
      <c r="I7" s="47" t="inlineStr">
        <is>
          <t>현장 공사팀</t>
        </is>
      </c>
      <c r="J7" s="49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K7" s="49" t="inlineStr">
        <is>
          <t>1) 미보상 사유지 필지 추출 ➔ 2) 경계 가설 펜스(H=1.8m) 차단 ➔ 3) 3D 우회 토공 동선 수립 ➔ 4) 용지 보상 리스크 대책 감리 승인</t>
        </is>
      </c>
      <c r="L7" s="49" t="inlineStr">
        <is>
          <t>미보상 사유지 경계 현출, 가설 펜스(H=1.8m) 차단 및 3D 우회 토공 동선 마일스톤 연동</t>
        </is>
      </c>
      <c r="M7" s="49" t="inlineStr">
        <is>
          <t>본 과업은 미보상 사유지 및 민원 구역 현출을 통해 공사 진입 차단 및 공기 지연 리스크를 사전에 식별하고, 우회 토공 동선 확보 및 현장 안전 펜스 설치 등 원활한 공사 추진 환경을 조성하는 것을 목적으로 함.</t>
        </is>
      </c>
      <c r="N7" s="75">
        <f>HYPERLINK(LEFT(CELL("filename",A1),FIND("[",CELL("filename",A1))-1)&amp;"4.상부강화노반\6_용지보상RISK 검토\표준서\용지보상RISK 검토_표준서.html", "👉 [클릭] 표준서 열기 📄")</f>
        <v/>
      </c>
      <c r="O7" s="49" t="inlineStr">
        <is>
          <t>1) 미보상 사유지 필지 추출 ➔ 2) 경계 가설 펜스(H=1.8m) 차단 ➔ 3) 3D 우회 토공 동선 수립 ➔ 4) 용지 보상 리스크 대책 감리 승인</t>
        </is>
      </c>
      <c r="P7" s="76">
        <f>HYPERLINK(LEFT(CELL("filename",A1),FIND("[",CELL("filename",A1))-1)&amp;"4.상부강화노반\6_용지보상RISK 검토\수행지침\용지보상RISK 검토_수행지침.html", "👉 [클릭] 수행지침 열기 📄")</f>
        <v/>
      </c>
      <c r="Q7" s="49" t="inlineStr">
        <is>
          <t>미보상 사유지 경계 현출, 가설 펜스(H=1.8m) 차단 및 3D 우회 토공 동선 마일스톤 연동</t>
        </is>
      </c>
      <c r="R7" s="77">
        <f>HYPERLINK(LEFT(CELL("filename",A1),FIND("[",CELL("filename",A1))-1)&amp;"4.상부강화노반\6_용지보상RISK 검토\체크리스트\용지보상RISK 검토_체크리스트.html", "👉 [클릭] 체크리스트 열기 📄")</f>
        <v/>
      </c>
      <c r="S7" s="47" t="n"/>
    </row>
    <row r="8" ht="96" customHeight="1">
      <c r="A8" s="47" t="inlineStr">
        <is>
          <t>9000</t>
        </is>
      </c>
      <c r="B8" s="47" t="inlineStr">
        <is>
          <t>9000-7</t>
        </is>
      </c>
      <c r="C8" s="47" t="inlineStr">
        <is>
          <t>상부강화노반</t>
        </is>
      </c>
      <c r="D8" s="47" t="inlineStr">
        <is>
          <t>9000-7-7</t>
        </is>
      </c>
      <c r="E8" s="47">
        <f>D7</f>
        <v/>
      </c>
      <c r="F8" s="47">
        <f>D9</f>
        <v/>
      </c>
      <c r="G8" s="47" t="inlineStr">
        <is>
          <t>D-50 (D-60~D-50)</t>
        </is>
      </c>
      <c r="H8" s="47" t="inlineStr">
        <is>
          <t>최고의 팀 만들기 지원</t>
        </is>
      </c>
      <c r="I8" s="47" t="inlineStr">
        <is>
          <t>현장 공사팀</t>
        </is>
      </c>
      <c r="J8" s="49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K8" s="49" t="inlineStr">
        <is>
          <t>1) 전담 기술자 1:1 배치 ➔ 2) 3자 주간 소통 회의 개최 ➔ 3) 근로자 환경 개선 &amp; TBM ➔ 4) One-Team 전담 조직표 서면 승인</t>
        </is>
      </c>
      <c r="L8" s="49" t="inlineStr">
        <is>
          <t>토공 전담 기술자 1:1 배치, 발주·감리·시공 3자 주간 소통 회의 및 일일 TBM/복지 지원</t>
        </is>
      </c>
      <c r="M8" s="49" t="inlineStr">
        <is>
          <t>본 과업은 발주처, 감리단, 시공사 간 전담 기술 조직을 구성하고 수시 소통 체계를 구축하여, 토공 및 노반 시공 과정에서 발생하는 현장 문제에 즉각 대응하고 고품질·무재해 현장을 구현하는 것을 목적으로 함.</t>
        </is>
      </c>
      <c r="N8" s="75">
        <f>HYPERLINK(LEFT(CELL("filename",A1),FIND("[",CELL("filename",A1))-1)&amp;"4.상부강화노반\7_최고의 팀 만들기 지원\표준서\최고의 팀 만들기 지원_표준서.html", "👉 [클릭] 표준서 열기 📄")</f>
        <v/>
      </c>
      <c r="O8" s="49" t="inlineStr">
        <is>
          <t>1) 전담 기술자 1:1 배치 ➔ 2) 3자 주간 소통 회의 개최 ➔ 3) 근로자 환경 개선 &amp; TBM ➔ 4) One-Team 전담 조직표 서면 승인</t>
        </is>
      </c>
      <c r="P8" s="76">
        <f>HYPERLINK(LEFT(CELL("filename",A1),FIND("[",CELL("filename",A1))-1)&amp;"4.상부강화노반\7_최고의 팀 만들기 지원\수행지침\최고의 팀 만들기 지원_수행지침.html", "👉 [클릭] 수행지침 열기 📄")</f>
        <v/>
      </c>
      <c r="Q8" s="49" t="inlineStr">
        <is>
          <t>토공 전담 기술자 1:1 배치, 발주·감리·시공 3자 주간 소통 회의 및 일일 TBM/복지 지원</t>
        </is>
      </c>
      <c r="R8" s="77">
        <f>HYPERLINK(LEFT(CELL("filename",A1),FIND("[",CELL("filename",A1))-1)&amp;"4.상부강화노반\7_최고의 팀 만들기 지원\체크리스트\최고의 팀 만들기 지원_체크리스트.html", "👉 [클릭] 체크리스트 열기 📄")</f>
        <v/>
      </c>
      <c r="S8" s="47" t="n"/>
    </row>
    <row r="9" ht="96" customHeight="1">
      <c r="A9" s="47" t="inlineStr">
        <is>
          <t>9000</t>
        </is>
      </c>
      <c r="B9" s="47" t="inlineStr">
        <is>
          <t>9000-7</t>
        </is>
      </c>
      <c r="C9" s="47" t="inlineStr">
        <is>
          <t>상부강화노반</t>
        </is>
      </c>
      <c r="D9" s="47" t="inlineStr">
        <is>
          <t>9000-7-8</t>
        </is>
      </c>
      <c r="E9" s="47">
        <f>D8</f>
        <v/>
      </c>
      <c r="F9" s="47">
        <f>D10</f>
        <v/>
      </c>
      <c r="G9" s="47" t="inlineStr">
        <is>
          <t>D-35 (D-60~D-40)</t>
        </is>
      </c>
      <c r="H9" s="47" t="inlineStr">
        <is>
          <t>연약지반 처리공법 검토(필요시)</t>
        </is>
      </c>
      <c r="I9" s="47" t="inlineStr">
        <is>
          <t>현장 공사팀</t>
        </is>
      </c>
      <c r="J9" s="49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K9" s="49" t="inlineStr">
        <is>
          <t>1) 시공계획서 표준 8대 목차 작성 ➔ 2) KCS 47 10 25 수치 명시 ➔ 3) 착공 14일 전 감리단 제출 ➔ 4) 책임감리원 최종 서면 승인</t>
        </is>
      </c>
      <c r="L9" s="49" t="inlineStr">
        <is>
          <t>시공계획서 표준 8대 목차, KCS 47 10 25 다짐 수칙 수록 및 착공 14일 전 감리 서면 승인</t>
        </is>
      </c>
      <c r="M9" s="49" t="inlineStr">
        <is>
          <t>본 과업은 지반 조사 결과 연약 지반으로 도출된 구간에 대해 하중 재하 시 예상 침하량을 산출하고, 시공성 및 경제성을 고려한 지반 개량 공법(PVD/DCM 등)을 최종 확정하여 장기 침하를 방지하는 것을 목적으로 함.</t>
        </is>
      </c>
      <c r="N9" s="75">
        <f>HYPERLINK(LEFT(CELL("filename",A1),FIND("[",CELL("filename",A1))-1)&amp;"4.상부강화노반\8_연약지반 처리공법 검토(필요시)\표준서\연약지반 처리공법 검토_표준서.html", "👉 [클릭] 표준서 열기 📄")</f>
        <v/>
      </c>
      <c r="O9" s="49" t="inlineStr">
        <is>
          <t>1) 시공계획서 표준 8대 목차 작성 ➔ 2) KCS 47 10 25 수치 명시 ➔ 3) 착공 14일 전 감리단 제출 ➔ 4) 책임감리원 최종 서면 승인</t>
        </is>
      </c>
      <c r="P9" s="76">
        <f>HYPERLINK(LEFT(CELL("filename",A1),FIND("[",CELL("filename",A1))-1)&amp;"4.상부강화노반\8_연약지반 처리공법 검토(필요시)\수행지침\연약지반 처리공법 검토_수행지침.html", "👉 [클릭] 수행지침 열기 📄")</f>
        <v/>
      </c>
      <c r="Q9" s="49" t="inlineStr">
        <is>
          <t>시공계획서 표준 8대 목차, KCS 47 10 25 다짐 수칙 수록 및 착공 14일 전 감리 서면 승인</t>
        </is>
      </c>
      <c r="R9" s="77">
        <f>HYPERLINK(LEFT(CELL("filename",A1),FIND("[",CELL("filename",A1))-1)&amp;"4.상부강화노반\8_연약지반 처리공법 검토(필요시)\체크리스트\연약지반 처리공법 검토_체크리스트.html", "👉 [클릭] 체크리스트 열기 📄")</f>
        <v/>
      </c>
      <c r="S9" s="47" t="n"/>
    </row>
    <row r="10" ht="96" customHeight="1">
      <c r="A10" s="47" t="inlineStr">
        <is>
          <t>9000</t>
        </is>
      </c>
      <c r="B10" s="47" t="inlineStr">
        <is>
          <t>9000-7</t>
        </is>
      </c>
      <c r="C10" s="47" t="inlineStr">
        <is>
          <t>상부강화노반</t>
        </is>
      </c>
      <c r="D10" s="47" t="inlineStr">
        <is>
          <t>9000-7-9</t>
        </is>
      </c>
      <c r="E10" s="47">
        <f>D9</f>
        <v/>
      </c>
      <c r="F10" s="47">
        <f>D11</f>
        <v/>
      </c>
      <c r="G10" s="47" t="inlineStr">
        <is>
          <t>D-35 (D-45~D-35)</t>
        </is>
      </c>
      <c r="H10" s="47" t="inlineStr">
        <is>
          <t>토공 유동표 확인</t>
        </is>
      </c>
      <c r="I10" s="47" t="inlineStr">
        <is>
          <t>현장 공사팀</t>
        </is>
      </c>
      <c r="J10" s="49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K10" s="49" t="inlineStr">
        <is>
          <t>1) 토공 롤러/그레이더 조종원 자격 검증 ➔ 2) 건설기계 면허증 1:1 대조 ➔ 3) 일일 음주 측정 &amp; Safety TBM ➔ 4) 작업조 편성표 감리 승인</t>
        </is>
      </c>
      <c r="L10" s="49" t="inlineStr">
        <is>
          <t>조종원/기술자 자격 수첩 1:1 대조, 건설기계 면허증 검증 및 일일 음주 측정(0.00%)/TBM</t>
        </is>
      </c>
      <c r="M10" s="49" t="inlineStr">
        <is>
          <t>본 과업은 트램 노선 전 구간의 굴착 토사 발생량과 성토 필요량을 상호 연계·분석하여, 토사 유입·유출 밸런스를 최적화하고 운반 거리 단축 및 공사비 절감을 달성하는 것을 목적으로 함.</t>
        </is>
      </c>
      <c r="N10" s="75">
        <f>HYPERLINK(LEFT(CELL("filename",A1),FIND("[",CELL("filename",A1))-1)&amp;"4.상부강화노반\9_토공 유동표 확인\표준서\토공 유동표 확인_표준서.html", "👉 [클릭] 표준서 열기 📄")</f>
        <v/>
      </c>
      <c r="O10" s="49" t="inlineStr">
        <is>
          <t>1) 토공 롤러/그레이더 조종원 자격 검증 ➔ 2) 건설기계 면허증 1:1 대조 ➔ 3) 일일 음주 측정 &amp; Safety TBM ➔ 4) 작업조 편성표 감리 승인</t>
        </is>
      </c>
      <c r="P10" s="76">
        <f>HYPERLINK(LEFT(CELL("filename",A1),FIND("[",CELL("filename",A1))-1)&amp;"4.상부강화노반\9_토공 유동표 확인\수행지침\토공 유동표 확인_수행지침.html", "👉 [클릭] 수행지침 열기 📄")</f>
        <v/>
      </c>
      <c r="Q10" s="49" t="inlineStr">
        <is>
          <t>조종원/기술자 자격 수첩 1:1 대조, 건설기계 면허증 검증 및 일일 음주 측정(0.00%)/TBM</t>
        </is>
      </c>
      <c r="R10" s="77">
        <f>HYPERLINK(LEFT(CELL("filename",A1),FIND("[",CELL("filename",A1))-1)&amp;"4.상부강화노반\9_토공 유동표 확인\체크리스트\토공 유동표 확인_체크리스트.html", "👉 [클릭] 체크리스트 열기 📄")</f>
        <v/>
      </c>
      <c r="S10" s="47" t="n"/>
    </row>
    <row r="11" ht="96" customHeight="1">
      <c r="A11" s="47" t="inlineStr">
        <is>
          <t>9000</t>
        </is>
      </c>
      <c r="B11" s="47" t="inlineStr">
        <is>
          <t>9000-7</t>
        </is>
      </c>
      <c r="C11" s="47" t="inlineStr">
        <is>
          <t>상부강화노반</t>
        </is>
      </c>
      <c r="D11" s="47" t="inlineStr">
        <is>
          <t>9000-7-10</t>
        </is>
      </c>
      <c r="E11" s="47">
        <f>D10</f>
        <v/>
      </c>
      <c r="F11" s="47">
        <f>D12</f>
        <v/>
      </c>
      <c r="G11" s="47" t="inlineStr">
        <is>
          <t>D-30 (D-50~D-30)</t>
        </is>
      </c>
      <c r="H11" s="47" t="inlineStr">
        <is>
          <t>기공승낙 적정성 검토</t>
        </is>
      </c>
      <c r="I11" s="47" t="inlineStr">
        <is>
          <t>현장 공사팀</t>
        </is>
      </c>
      <c r="J11" s="49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K11" s="49" t="inlineStr">
        <is>
          <t>1) 10t+ 강동/타이어 롤러 사양 확정 ➔ 2) 정기검사증 &amp; 등록증 검수 ➔ 3) 3D GPS 수신기/후방 카메라 점검 ➔ 4) 장비 반입 승인서 감리 결재</t>
        </is>
      </c>
      <c r="L11" s="49" t="inlineStr">
        <is>
          <t>자중 10t+ 강동/타이어 롤러 정기검사증, 3D GPS 수신기/후방 카메라 센서 테스트 및 반입 승인</t>
        </is>
      </c>
      <c r="M11" s="49" t="inlineStr">
        <is>
          <t>본 과업은 공사 부지 내 국공유지 및 사유지 사용 승인 상태를 사전 검증하여, 시공 중 법적 분쟁이나 장비 진입 차단 등의 공사 중단 리스크를 근본적으로 제거하는 것을 목적으로 함.</t>
        </is>
      </c>
      <c r="N11" s="75">
        <f>HYPERLINK(LEFT(CELL("filename",A1),FIND("[",CELL("filename",A1))-1)&amp;"4.상부강화노반\10_기공승낙 적정성 검토\표준서\기공승낙 적정성 검토_표준서.html", "👉 [클릭] 표준서 열기 📄")</f>
        <v/>
      </c>
      <c r="O11" s="49" t="inlineStr">
        <is>
          <t>1) 10t+ 강동/타이어 롤러 사양 확정 ➔ 2) 정기검사증 &amp; 등록증 검수 ➔ 3) 3D GPS 수신기/후방 카메라 점검 ➔ 4) 장비 반입 승인서 감리 결재</t>
        </is>
      </c>
      <c r="P11" s="76">
        <f>HYPERLINK(LEFT(CELL("filename",A1),FIND("[",CELL("filename",A1))-1)&amp;"4.상부강화노반\10_기공승낙 적정성 검토\수행지침\기공승낙 적정성 검토_수행지침.html", "👉 [클릭] 수행지침 열기 📄")</f>
        <v/>
      </c>
      <c r="Q11" s="49" t="inlineStr">
        <is>
          <t>자중 10t+ 강동/타이어 롤러 정기검사증, 3D GPS 수신기/후방 카메라 센서 테스트 및 반입 승인</t>
        </is>
      </c>
      <c r="R11" s="77">
        <f>HYPERLINK(LEFT(CELL("filename",A1),FIND("[",CELL("filename",A1))-1)&amp;"4.상부강화노반\10_기공승낙 적정성 검토\체크리스트\기공승낙 적정성 검토_체크리스트.html", "👉 [클릭] 체크리스트 열기 📄")</f>
        <v/>
      </c>
      <c r="S11" s="47" t="n"/>
    </row>
    <row r="12" ht="96" customHeight="1">
      <c r="A12" s="47" t="inlineStr">
        <is>
          <t>9000</t>
        </is>
      </c>
      <c r="B12" s="47" t="inlineStr">
        <is>
          <t>9000-7</t>
        </is>
      </c>
      <c r="C12" s="47" t="inlineStr">
        <is>
          <t>상부강화노반</t>
        </is>
      </c>
      <c r="D12" s="47" t="inlineStr">
        <is>
          <t>9000-7-11</t>
        </is>
      </c>
      <c r="E12" s="47">
        <f>D11</f>
        <v/>
      </c>
      <c r="F12" s="47">
        <f>D13</f>
        <v/>
      </c>
      <c r="G12" s="47" t="inlineStr">
        <is>
          <t>D-30 (D-40~D-30)</t>
        </is>
      </c>
      <c r="H12" s="47" t="inlineStr">
        <is>
          <t>폐기물처리계획 수립</t>
        </is>
      </c>
      <c r="I12" s="47" t="inlineStr">
        <is>
          <t>현장 공사팀</t>
        </is>
      </c>
      <c r="J12" s="49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K12" s="49" t="inlineStr">
        <is>
          <t>1) 석산 공급원 사전 승인 수속 ➔ 2) 쇄석 입도(Dmax 50mm) 체가름 시험 ➔ 3) 수정다짐 CBR(≥30%) 성적 산출 ➔ 4) 노반 재료 입도 DB 감리 승인</t>
        </is>
      </c>
      <c r="L12" s="49" t="inlineStr">
        <is>
          <t>쇄석 최대입경(Dmax ≤ 50mm), #200체 통과량(≤ 5%) 및 수정다짐 CBR(≥ 30%) 성적서 DB</t>
        </is>
      </c>
      <c r="M12" s="49" t="inlineStr">
        <is>
          <t>본 과업은 건설 굴착 시 발생하는 토사, 아스콘, 콘크리트 폐기물의 성상을 분류하고 관련 법령에 따른 적정 처리 절차를 수립하여, 환경 오염 예방 및 법적 위반 리스크를 차단하는 것을 목적으로 함.</t>
        </is>
      </c>
      <c r="N12" s="75">
        <f>HYPERLINK(LEFT(CELL("filename",A1),FIND("[",CELL("filename",A1))-1)&amp;"4.상부강화노반\11_폐기물처리계획 수립\표준서\폐기물처리계획 수립_표준서.html", "👉 [클릭] 표준서 열기 📄")</f>
        <v/>
      </c>
      <c r="O12" s="49" t="inlineStr">
        <is>
          <t>1) 석산 공급원 사전 승인 수속 ➔ 2) 쇄석 입도(Dmax 50mm) 체가름 시험 ➔ 3) 수정다짐 CBR(≥30%) 성적 산출 ➔ 4) 노반 재료 입도 DB 감리 승인</t>
        </is>
      </c>
      <c r="P12" s="76">
        <f>HYPERLINK(LEFT(CELL("filename",A1),FIND("[",CELL("filename",A1))-1)&amp;"4.상부강화노반\11_폐기물처리계획 수립\수행지침\폐기물처리계획 수립_수행지침.html", "👉 [클릭] 수행지침 열기 📄")</f>
        <v/>
      </c>
      <c r="Q12" s="49" t="inlineStr">
        <is>
          <t>쇄석 최대입경(Dmax ≤ 50mm), #200체 통과량(≤ 5%) 및 수정다짐 CBR(≥ 30%) 성적서 DB</t>
        </is>
      </c>
      <c r="R12" s="77">
        <f>HYPERLINK(LEFT(CELL("filename",A1),FIND("[",CELL("filename",A1))-1)&amp;"4.상부강화노반\11_폐기물처리계획 수립\체크리스트\폐기물처리계획 수립_체크리스트.html", "👉 [클릭] 체크리스트 열기 📄")</f>
        <v/>
      </c>
      <c r="S12" s="47" t="n"/>
    </row>
    <row r="13" ht="96" customHeight="1">
      <c r="A13" s="47" t="inlineStr">
        <is>
          <t>9000</t>
        </is>
      </c>
      <c r="B13" s="47" t="inlineStr">
        <is>
          <t>9000-7</t>
        </is>
      </c>
      <c r="C13" s="47" t="inlineStr">
        <is>
          <t>상부강화노반</t>
        </is>
      </c>
      <c r="D13" s="47" t="inlineStr">
        <is>
          <t>9000-7-12</t>
        </is>
      </c>
      <c r="E13" s="47">
        <f>D12</f>
        <v/>
      </c>
      <c r="F13" s="47">
        <f>D14</f>
        <v/>
      </c>
      <c r="G13" s="47" t="inlineStr">
        <is>
          <t>D-30 (D-40~D-30)</t>
        </is>
      </c>
      <c r="H13" s="47" t="inlineStr">
        <is>
          <t>철도운행협의(필요시)</t>
        </is>
      </c>
      <c r="I13" s="47" t="inlineStr">
        <is>
          <t>현장 공사팀</t>
        </is>
      </c>
      <c r="J13" s="49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K13" s="49" t="inlineStr">
        <is>
          <t>1) 화성시 정식 사토장 허가 검증 ➔ 2) γd max ≥ 1.90g/cm³ &amp; 오염 시험 ➔ 3) 덤프 운행 송장 일일 집계 ➔ 4) 사토 계획서 감리 서면 승인</t>
        </is>
      </c>
      <c r="L13" s="49" t="inlineStr">
        <is>
          <t>화성시 정식 사토장 인허가, 최대건조밀도 γd max ≥ 1.90g/cm³ 및 토양오염 8개 항목 검사 합격</t>
        </is>
      </c>
      <c r="M13" s="49" t="inlineStr">
        <is>
          <t>본 과업은 운행선 인접 공사 시 열차 운행 시간표와 공사 작업 시간을 정밀 조정하여, 열차 정시 운행 보장 및 작업자 안전을 확보하는 것을 목적으로 함.</t>
        </is>
      </c>
      <c r="N13" s="75">
        <f>HYPERLINK(LEFT(CELL("filename",A1),FIND("[",CELL("filename",A1))-1)&amp;"4.상부강화노반\12_철도운행협의(필요시)\표준서\철도운행협의_표준서.html", "👉 [클릭] 표준서 열기 📄")</f>
        <v/>
      </c>
      <c r="O13" s="49" t="inlineStr">
        <is>
          <t>1) 화성시 정식 사토장 허가 검증 ➔ 2) γd max ≥ 1.90g/cm³ &amp; 오염 시험 ➔ 3) 덤프 운행 송장 일일 집계 ➔ 4) 사토 계획서 감리 서면 승인</t>
        </is>
      </c>
      <c r="P13" s="76">
        <f>HYPERLINK(LEFT(CELL("filename",A1),FIND("[",CELL("filename",A1))-1)&amp;"4.상부강화노반\12_철도운행협의(필요시)\수행지침\철도운행협의_수행지침.html", "👉 [클릭] 수행지침 열기 📄")</f>
        <v/>
      </c>
      <c r="Q13" s="49" t="inlineStr">
        <is>
          <t>화성시 정식 사토장 인허가, 최대건조밀도 γd max ≥ 1.90g/cm³ 및 토양오염 8개 항목 검사 합격</t>
        </is>
      </c>
      <c r="R13" s="77">
        <f>HYPERLINK(LEFT(CELL("filename",A1),FIND("[",CELL("filename",A1))-1)&amp;"4.상부강화노반\12_철도운행협의(필요시)\체크리스트\철도운행협의_체크리스트.html", "👉 [클릭] 체크리스트 열기 📄")</f>
        <v/>
      </c>
      <c r="S13" s="47" t="n"/>
    </row>
    <row r="14" ht="134.4" customHeight="1">
      <c r="A14" s="47" t="inlineStr">
        <is>
          <t>9000</t>
        </is>
      </c>
      <c r="B14" s="47" t="inlineStr">
        <is>
          <t>9000-7</t>
        </is>
      </c>
      <c r="C14" s="47" t="inlineStr">
        <is>
          <t>상부강화노반</t>
        </is>
      </c>
      <c r="D14" s="47" t="inlineStr">
        <is>
          <t>9000-7-13</t>
        </is>
      </c>
      <c r="E14" s="47">
        <f>D13</f>
        <v/>
      </c>
      <c r="F14" s="47">
        <f>D15</f>
        <v/>
      </c>
      <c r="G14" s="47" t="inlineStr">
        <is>
          <t>D-40</t>
        </is>
      </c>
      <c r="H14" s="47" t="inlineStr">
        <is>
          <t>작수전 Big Room 회의</t>
        </is>
      </c>
      <c r="I14" s="47" t="inlineStr">
        <is>
          <t>현장 공사팀</t>
        </is>
      </c>
      <c r="J14" s="49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K14" s="49" t="inlineStr">
        <is>
          <t>1) 가배수로(0.6×0.6m) &amp; 가침사지 설계 ➔ 2) HDPE 유공관(Ø200mm) 자재 검수 ➔ 3) 비상 양수 펌프(200L/min) 비치 ➔ 4) 배수 처리 계획서 감리 승인</t>
        </is>
      </c>
      <c r="L14" s="49" t="inlineStr">
        <is>
          <t>성토 사면 가배수로(0.6×0.6m), 가침사지 2개소 및 HDPE 유공관(Ø200mm, 구배 ≥ 0.5%) 설치</t>
        </is>
      </c>
      <c r="M14" s="49" t="inlineStr">
        <is>
          <t>본 과업은 공사 착수 전 분야별(토목, 궤도, 건축, 신호, 전력) 전문가가 한자리에 모여 3D BIM 기반으로 설계 간섭 및 시공 위험 요소를 사전에 발굴·해소하는 것을 목적으로 함.</t>
        </is>
      </c>
      <c r="N14" s="75">
        <f>HYPERLINK(LEFT(CELL("filename",A1),FIND("[",CELL("filename",A1))-1)&amp;"4.상부강화노반\13_작수전 Big Room 회의\표준서\작수전 Big Room 회의_표준서.html", "👉 [클릭] 표준서 열기 📄")</f>
        <v/>
      </c>
      <c r="O14" s="49" t="inlineStr">
        <is>
          <t>1) 가배수로(0.6×0.6m) &amp; 가침사지 설계 ➔ 2) HDPE 유공관(Ø200mm) 자재 검수 ➔ 3) 비상 양수 펌프(200L/min) 비치 ➔ 4) 배수 처리 계획서 감리 승인</t>
        </is>
      </c>
      <c r="P14" s="76">
        <f>HYPERLINK(LEFT(CELL("filename",A1),FIND("[",CELL("filename",A1))-1)&amp;"4.상부강화노반\13_작수전 Big Room 회의\수행지침\작수전 Big Room 회의_수행지침.html", "👉 [클릭] 수행지침 열기 📄")</f>
        <v/>
      </c>
      <c r="Q14" s="49" t="inlineStr">
        <is>
          <t>성토 사면 가배수로(0.6×0.6m), 가침사지 2개소 및 HDPE 유공관(Ø200mm, 구배 ≥ 0.5%) 설치</t>
        </is>
      </c>
      <c r="R14" s="77">
        <f>HYPERLINK(LEFT(CELL("filename",A1),FIND("[",CELL("filename",A1))-1)&amp;"4.상부강화노반\13_작수전 Big Room 회의\체크리스트\작수전 Big Room 회의_체크리스트.html", "👉 [클릭] 체크리스트 열기 📄")</f>
        <v/>
      </c>
      <c r="S14" s="47" t="n"/>
    </row>
    <row r="15" ht="96" customHeight="1">
      <c r="A15" s="47" t="inlineStr">
        <is>
          <t>9000</t>
        </is>
      </c>
      <c r="B15" s="47" t="inlineStr">
        <is>
          <t>9000-7</t>
        </is>
      </c>
      <c r="C15" s="47" t="inlineStr">
        <is>
          <t>상부강화노반</t>
        </is>
      </c>
      <c r="D15" s="47" t="inlineStr">
        <is>
          <t>9000-7-14</t>
        </is>
      </c>
      <c r="E15" s="47">
        <f>D14</f>
        <v/>
      </c>
      <c r="F15" s="47">
        <f>D16</f>
        <v/>
      </c>
      <c r="G15" s="47" t="inlineStr">
        <is>
          <t>D-30</t>
        </is>
      </c>
      <c r="H15" s="47" t="inlineStr">
        <is>
          <t>시공 계획 수립</t>
        </is>
      </c>
      <c r="I15" s="47" t="inlineStr">
        <is>
          <t>현장 공사팀</t>
        </is>
      </c>
      <c r="J15" s="49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K15" s="49" t="inlineStr">
        <is>
          <t>1) 건진법 제62조 안전관리계획 작성 ➔ 2) 국토안전관리원 전산 적정 심사 ➔ 3) CSI 안전관리 종합망 등록 ➔ 4) 책임감리원 서면 승인</t>
        </is>
      </c>
      <c r="L15" s="49" t="inlineStr">
        <is>
          <t>건진법 제62조 안전관리계획서 작성, 국토안전관리원 적정 심사 및 CSI 전산망 등록 결재</t>
        </is>
      </c>
      <c r="M15" s="49" t="inlineStr">
        <is>
          <t>본 과업은 상부강화노반 공사의 품질, 공정, 안전, 환경 관리 세부 이행 방안을 체계적으로 수립하여, 시방 기준에 부합하는 정밀 시공을 보장하는 것을 목적으로 함.</t>
        </is>
      </c>
      <c r="N15" s="75">
        <f>HYPERLINK(LEFT(CELL("filename",A1),FIND("[",CELL("filename",A1))-1)&amp;"4.상부강화노반\14_시공 계획 수립\표준서\시공 계획 수립_표준서.html", "👉 [클릭] 표준서 열기 📄")</f>
        <v/>
      </c>
      <c r="O15" s="49" t="inlineStr">
        <is>
          <t>1) 건진법 제62조 안전관리계획 작성 ➔ 2) 국토안전관리원 전산 적정 심사 ➔ 3) CSI 안전관리 종합망 등록 ➔ 4) 책임감리원 서면 승인</t>
        </is>
      </c>
      <c r="P15" s="76">
        <f>HYPERLINK(LEFT(CELL("filename",A1),FIND("[",CELL("filename",A1))-1)&amp;"4.상부강화노반\14_시공 계획 수립\수행지침\시공 계획 수립_수행지침.html", "👉 [클릭] 수행지침 열기 📄")</f>
        <v/>
      </c>
      <c r="Q15" s="49" t="inlineStr">
        <is>
          <t>건진법 제62조 안전관리계획서 작성, 국토안전관리원 적정 심사 및 CSI 전산망 등록 결재</t>
        </is>
      </c>
      <c r="R15" s="77">
        <f>HYPERLINK(LEFT(CELL("filename",A1),FIND("[",CELL("filename",A1))-1)&amp;"4.상부강화노반\14_시공 계획 수립\체크리스트\시공 계획 수립_체크리스트.html", "👉 [클릭] 체크리스트 열기 📄")</f>
        <v/>
      </c>
      <c r="S15" s="47" t="n"/>
    </row>
    <row r="16" ht="96" customHeight="1">
      <c r="A16" s="47" t="inlineStr">
        <is>
          <t>9000</t>
        </is>
      </c>
      <c r="B16" s="47" t="inlineStr">
        <is>
          <t>9000-7</t>
        </is>
      </c>
      <c r="C16" s="47" t="inlineStr">
        <is>
          <t>상부강화노반</t>
        </is>
      </c>
      <c r="D16" s="47" t="inlineStr">
        <is>
          <t>9000-7-15</t>
        </is>
      </c>
      <c r="E16" s="47">
        <f>D15</f>
        <v/>
      </c>
      <c r="F16" s="47">
        <f>D17</f>
        <v/>
      </c>
      <c r="G16" s="47" t="inlineStr">
        <is>
          <t>D-30 (D-50~D-30)</t>
        </is>
      </c>
      <c r="H16" s="47" t="inlineStr">
        <is>
          <t>사토장/토취장 선정 검토(필요시)</t>
        </is>
      </c>
      <c r="I16" s="47" t="inlineStr">
        <is>
          <t>현장 공사팀</t>
        </is>
      </c>
      <c r="J16" s="49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K16" s="49" t="inlineStr">
        <is>
          <t>1) 다짐도/K30/Ev2 시험 빈도 수립 ➔ 2) 현장 시험실 장비 교정 검수 ➔ 3) 착공 14일 전 감리단 제출 ➔ 4) 품질관리계획서 감리 서면 승인</t>
        </is>
      </c>
      <c r="L16" s="49" t="inlineStr">
        <is>
          <t>노반 다짐도(500m³당 1회), K30(2,000m²당 1회), Ev2(1,000m²당 1회) 시험 빈도 &amp; 장비 교정</t>
        </is>
      </c>
      <c r="M16" s="49" t="inlineStr">
        <is>
          <t>본 과업은 토공 유동 잔여 토사의 사토장 및 부족 성토재 공급을 위한 토취장의 위치, 운반 거리, 허가 유무를 검토하여 효율적 토사 수급 환경을 구축하는 것을 목적으로 함.</t>
        </is>
      </c>
      <c r="N16" s="75">
        <f>HYPERLINK(LEFT(CELL("filename",A1),FIND("[",CELL("filename",A1))-1)&amp;"4.상부강화노반\15_사토장_토취장 선정 검토(필요시)\표준서\사토장_토취장 선정 검토_표준서.html", "👉 [클릭] 표준서 열기 📄")</f>
        <v/>
      </c>
      <c r="O16" s="49" t="inlineStr">
        <is>
          <t>1) 다짐도/K30/Ev2 시험 빈도 수립 ➔ 2) 현장 시험실 장비 교정 검수 ➔ 3) 착공 14일 전 감리단 제출 ➔ 4) 품질관리계획서 감리 서면 승인</t>
        </is>
      </c>
      <c r="P16" s="76">
        <f>HYPERLINK(LEFT(CELL("filename",A1),FIND("[",CELL("filename",A1))-1)&amp;"4.상부강화노반\15_사토장_토취장 선정 검토(필요시)\수행지침\사토장_토취장 선정 검토_수행지침.html", "👉 [클릭] 수행지침 열기 📄")</f>
        <v/>
      </c>
      <c r="Q16" s="49" t="inlineStr">
        <is>
          <t>노반 다짐도(500m³당 1회), K30(2,000m²당 1회), Ev2(1,000m²당 1회) 시험 빈도 &amp; 장비 교정</t>
        </is>
      </c>
      <c r="R16" s="77">
        <f>HYPERLINK(LEFT(CELL("filename",A1),FIND("[",CELL("filename",A1))-1)&amp;"4.상부강화노반\15_사토장_토취장 선정 검토(필요시)\체크리스트\사토장_토취장 선정 검토_체크리스트.html", "👉 [클릭] 체크리스트 열기 📄")</f>
        <v/>
      </c>
      <c r="S16" s="47" t="n"/>
    </row>
    <row r="17" ht="96" customHeight="1">
      <c r="A17" s="47" t="inlineStr">
        <is>
          <t>9000</t>
        </is>
      </c>
      <c r="B17" s="47" t="inlineStr">
        <is>
          <t>9000-7</t>
        </is>
      </c>
      <c r="C17" s="47" t="inlineStr">
        <is>
          <t>상부강화노반</t>
        </is>
      </c>
      <c r="D17" s="47" t="inlineStr">
        <is>
          <t>9000-7-16</t>
        </is>
      </c>
      <c r="E17" s="47">
        <f>D16</f>
        <v/>
      </c>
      <c r="F17" s="47">
        <f>D18</f>
        <v/>
      </c>
      <c r="G17" s="47" t="inlineStr">
        <is>
          <t>D-20</t>
        </is>
      </c>
      <c r="H17" s="47" t="inlineStr">
        <is>
          <t>공사사전준비</t>
        </is>
      </c>
      <c r="I17" s="47" t="inlineStr">
        <is>
          <t>현장 공사팀</t>
        </is>
      </c>
      <c r="J17" s="49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K17" s="49" t="inlineStr">
        <is>
          <t>1) 세륜기(깊이 1.2m) &amp; 방음벽(3m) 설계 ➔ 2) 지자체 비산먼지 발생신고 ➔ 3) 살수차 1일 3회 살수 ➔ 4) 환경관리계획서 감리 서면 승인</t>
        </is>
      </c>
      <c r="L17" s="49" t="inlineStr">
        <is>
          <t>지자체 비산먼지 발생신고 필증, 이동식 세륜기(깊이 1.2m) &amp; 가설 방음벽(H=3m) 가동 점검</t>
        </is>
      </c>
      <c r="M17" s="49" t="inlineStr">
        <is>
          <t>본 과업은 현장 사무소, 가설 펜스, 가배수로, 중장비 진출입로 등 초기 가설 인프라를 신속히 완비하여 본격적인 토공사 착수 여건을 마련하는 것을 목적으로 함.</t>
        </is>
      </c>
      <c r="N17" s="75">
        <f>HYPERLINK(LEFT(CELL("filename",A1),FIND("[",CELL("filename",A1))-1)&amp;"4.상부강화노반\16_공사사전준비\표준서\공사사전준비_표준서.html", "👉 [클릭] 표준서 열기 📄")</f>
        <v/>
      </c>
      <c r="O17" s="49" t="inlineStr">
        <is>
          <t>1) 세륜기(깊이 1.2m) &amp; 방음벽(3m) 설계 ➔ 2) 지자체 비산먼지 발생신고 ➔ 3) 살수차 1일 3회 살수 ➔ 4) 환경관리계획서 감리 서면 승인</t>
        </is>
      </c>
      <c r="P17" s="76">
        <f>HYPERLINK(LEFT(CELL("filename",A1),FIND("[",CELL("filename",A1))-1)&amp;"4.상부강화노반\16_공사사전준비\수행지침\공사사전준비_수행지침.html", "👉 [클릭] 수행지침 열기 📄")</f>
        <v/>
      </c>
      <c r="Q17" s="49" t="inlineStr">
        <is>
          <t>지자체 비산먼지 발생신고 필증, 이동식 세륜기(깊이 1.2m) &amp; 가설 방음벽(H=3m) 가동 점검</t>
        </is>
      </c>
      <c r="R17" s="77">
        <f>HYPERLINK(LEFT(CELL("filename",A1),FIND("[",CELL("filename",A1))-1)&amp;"4.상부강화노반\16_공사사전준비\체크리스트\공사사전준비_체크리스트.html", "👉 [클릭] 체크리스트 열기 📄")</f>
        <v/>
      </c>
      <c r="S17" s="47" t="n"/>
    </row>
    <row r="18" ht="96" customHeight="1">
      <c r="A18" s="47" t="inlineStr">
        <is>
          <t>9000</t>
        </is>
      </c>
      <c r="B18" s="47" t="inlineStr">
        <is>
          <t>9000-7</t>
        </is>
      </c>
      <c r="C18" s="47" t="inlineStr">
        <is>
          <t>상부강화노반</t>
        </is>
      </c>
      <c r="D18" s="47" t="inlineStr">
        <is>
          <t>9000-7-17</t>
        </is>
      </c>
      <c r="E18" s="47">
        <f>D17</f>
        <v/>
      </c>
      <c r="F18" s="47">
        <f>D19</f>
        <v/>
      </c>
      <c r="G18" s="47" t="inlineStr">
        <is>
          <t>D-25 (D-30~D-25)</t>
        </is>
      </c>
      <c r="H18" s="47" t="inlineStr">
        <is>
          <t>임시배수시설</t>
        </is>
      </c>
      <c r="I18" s="47" t="inlineStr">
        <is>
          <t>현장 공사팀</t>
        </is>
      </c>
      <c r="J18" s="49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K18" s="49" t="inlineStr">
        <is>
          <t>1) 교통 우회 도면 &amp; 차선 설계 ➔ 2) 동탄경찰서 도로점용 허가 ➔ 3) 전담 신호수(2인 2조) 배치 ➔ 4) 교통소통 대책서 감리 서면 승인</t>
        </is>
      </c>
      <c r="L18" s="49" t="inlineStr">
        <is>
          <t>동탄경찰서 도로점용 허가, 우회 차선 설계 및 전담 안전 신호수(2인 2조)/LED 경광등 배치</t>
        </is>
      </c>
      <c r="M18" s="49" t="inlineStr">
        <is>
          <t>본 과업은 강우 시 현장 침수 및 토사 유출로 인한 사면 붕괴를 예방하기 위해, 가배수로, 가침사지, 양수 설비를 적시 배치하여 현장 안전을 확보하는 것을 목적으로 함.</t>
        </is>
      </c>
      <c r="N18" s="75">
        <f>HYPERLINK(LEFT(CELL("filename",A1),FIND("[",CELL("filename",A1))-1)&amp;"4.상부강화노반\17_임시배수시설\표준서\임시배수시설_표준서.html", "👉 [클릭] 표준서 열기 📄")</f>
        <v/>
      </c>
      <c r="O18" s="49" t="inlineStr">
        <is>
          <t>1) 교통 우회 도면 &amp; 차선 설계 ➔ 2) 동탄경찰서 도로점용 허가 ➔ 3) 전담 신호수(2인 2조) 배치 ➔ 4) 교통소통 대책서 감리 서면 승인</t>
        </is>
      </c>
      <c r="P18" s="76">
        <f>HYPERLINK(LEFT(CELL("filename",A1),FIND("[",CELL("filename",A1))-1)&amp;"4.상부강화노반\17_임시배수시설\수행지침\임시배수시설_수행지침.html", "👉 [클릭] 수행지침 열기 📄")</f>
        <v/>
      </c>
      <c r="Q18" s="49" t="inlineStr">
        <is>
          <t>동탄경찰서 도로점용 허가, 우회 차선 설계 및 전담 안전 신호수(2인 2조)/LED 경광등 배치</t>
        </is>
      </c>
      <c r="R18" s="77">
        <f>HYPERLINK(LEFT(CELL("filename",A1),FIND("[",CELL("filename",A1))-1)&amp;"4.상부강화노반\17_임시배수시설\체크리스트\임시배수시설_체크리스트.html", "👉 [클릭] 체크리스트 열기 📄")</f>
        <v/>
      </c>
      <c r="S18" s="47" t="n"/>
    </row>
    <row r="19" ht="96" customHeight="1">
      <c r="A19" s="47" t="inlineStr">
        <is>
          <t>9000</t>
        </is>
      </c>
      <c r="B19" s="47" t="inlineStr">
        <is>
          <t>9000-7</t>
        </is>
      </c>
      <c r="C19" s="47" t="inlineStr">
        <is>
          <t>상부강화노반</t>
        </is>
      </c>
      <c r="D19" s="47" t="inlineStr">
        <is>
          <t>9000-7-18</t>
        </is>
      </c>
      <c r="E19" s="47">
        <f>D18</f>
        <v/>
      </c>
      <c r="F19" s="47">
        <f>D20</f>
        <v/>
      </c>
      <c r="G19" s="47" t="inlineStr">
        <is>
          <t>D-10 (D-30~D-10)</t>
        </is>
      </c>
      <c r="H19" s="47" t="inlineStr">
        <is>
          <t>쌓기재료 검사</t>
        </is>
      </c>
      <c r="I19" s="47" t="inlineStr">
        <is>
          <t>현장 공사팀</t>
        </is>
      </c>
      <c r="J19" s="49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K19" s="49" t="inlineStr">
        <is>
          <t>1) 토공 전문 면허 &amp; 실적 심사 ➔ 2) 하도급 적정성 평가(≥82%) ➔ 3) 노무비 지급 전용계좌 지정 ➔ 4) 하도급 계약 승인 통보서 결재</t>
        </is>
      </c>
      <c r="L19" s="49" t="inlineStr">
        <is>
          <t>토공 전문건설업 면허/실적 심사, 하도급 비율(≥ 82%) 평가 및 노무비 지급 전용계좌 지정</t>
        </is>
      </c>
      <c r="M19" s="49" t="inlineStr">
        <is>
          <t>본 과업은 노반 성토에 투입되는 토사 및 쇄석 재료의 입도, CBR, 최대건조밀도 등 물리적 특성을 사전에 시험·검증하여 품질 기준을 충족하는 적격 재료만을 선별 투입하는 것을 목적으로 함.</t>
        </is>
      </c>
      <c r="N19" s="75">
        <f>HYPERLINK(LEFT(CELL("filename",A1),FIND("[",CELL("filename",A1))-1)&amp;"4.상부강화노반\18_쌓기재료 검사\표준서\쌓기재료 검사_표준서.html", "👉 [클릭] 표준서 열기 📄")</f>
        <v/>
      </c>
      <c r="O19" s="49" t="inlineStr">
        <is>
          <t>1) 토공 전문 면허 &amp; 실적 심사 ➔ 2) 하도급 적정성 평가(≥82%) ➔ 3) 노무비 지급 전용계좌 지정 ➔ 4) 하도급 계약 승인 통보서 결재</t>
        </is>
      </c>
      <c r="P19" s="76">
        <f>HYPERLINK(LEFT(CELL("filename",A1),FIND("[",CELL("filename",A1))-1)&amp;"4.상부강화노반\18_쌓기재료 검사\수행지침\쌓기재료 검사_수행지침.html", "👉 [클릭] 수행지침 열기 📄")</f>
        <v/>
      </c>
      <c r="Q19" s="49" t="inlineStr">
        <is>
          <t>토공 전문건설업 면허/실적 심사, 하도급 비율(≥ 82%) 평가 및 노무비 지급 전용계좌 지정</t>
        </is>
      </c>
      <c r="R19" s="77">
        <f>HYPERLINK(LEFT(CELL("filename",A1),FIND("[",CELL("filename",A1))-1)&amp;"4.상부강화노반\18_쌓기재료 검사\체크리스트\쌓기재료 검사_체크리스트.html", "👉 [클릭] 체크리스트 열기 📄")</f>
        <v/>
      </c>
      <c r="S19" s="47" t="n"/>
    </row>
    <row r="20" ht="96" customHeight="1">
      <c r="A20" s="47" t="inlineStr">
        <is>
          <t>9000</t>
        </is>
      </c>
      <c r="B20" s="47" t="inlineStr">
        <is>
          <t>9000-7</t>
        </is>
      </c>
      <c r="C20" s="47" t="inlineStr">
        <is>
          <t>상부강화노반</t>
        </is>
      </c>
      <c r="D20" s="47" t="inlineStr">
        <is>
          <t>9000-7-19</t>
        </is>
      </c>
      <c r="E20" s="47">
        <f>D19</f>
        <v/>
      </c>
      <c r="F20" s="47">
        <f>D21</f>
        <v/>
      </c>
      <c r="G20" s="47" t="inlineStr">
        <is>
          <t>D-10</t>
        </is>
      </c>
      <c r="H20" s="47" t="inlineStr">
        <is>
          <t>장비 검수 지원</t>
        </is>
      </c>
      <c r="I20" s="47" t="inlineStr">
        <is>
          <t>현장 공사팀</t>
        </is>
      </c>
      <c r="J20" s="49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K20" s="49" t="inlineStr">
        <is>
          <t>1) KS F 2527 쇄석/유공관 서류 검토 ➔ 2) 공인시험기관 시험성적서 부착 ➔ 3) 자재 승인 신청서 제출 ➔ 4) 자재 반입 검수 및 승인 결재</t>
        </is>
      </c>
      <c r="L20" s="49" t="inlineStr">
        <is>
          <t>KS F 2527 쇄석골재, HDPE 유공관, 투수성 부직포(200g/m²) 공인성적서 및 현장 반입 검수</t>
        </is>
      </c>
      <c r="M20" s="49" t="inlineStr">
        <is>
          <t>본 과업은 다짐 롤러, 모터그레이더, 굴착기 등 투입 건설기계의 작동 상태, 안전 장치, 교정 성적을 사전 점검하여 시공 효율성 증대 및 장비 사고를 예방하는 것을 목적으로 함.</t>
        </is>
      </c>
      <c r="N20" s="75">
        <f>HYPERLINK(LEFT(CELL("filename",A1),FIND("[",CELL("filename",A1))-1)&amp;"4.상부강화노반\19_장비 검수 지원\표준서\장비 검수 지원_표준서.html", "👉 [클릭] 표준서 열기 📄")</f>
        <v/>
      </c>
      <c r="O20" s="49" t="inlineStr">
        <is>
          <t>1) KS F 2527 쇄석/유공관 서류 검토 ➔ 2) 공인시험기관 시험성적서 부착 ➔ 3) 자재 승인 신청서 제출 ➔ 4) 자재 반입 검수 및 승인 결재</t>
        </is>
      </c>
      <c r="P20" s="76">
        <f>HYPERLINK(LEFT(CELL("filename",A1),FIND("[",CELL("filename",A1))-1)&amp;"4.상부강화노반\19_장비 검수 지원\수행지침\장비 검수 지원_수행지침.html", "👉 [클릭] 수행지침 열기 📄")</f>
        <v/>
      </c>
      <c r="Q20" s="49" t="inlineStr">
        <is>
          <t>KS F 2527 쇄석골재, HDPE 유공관, 투수성 부직포(200g/m²) 공인성적서 및 현장 반입 검수</t>
        </is>
      </c>
      <c r="R20" s="77">
        <f>HYPERLINK(LEFT(CELL("filename",A1),FIND("[",CELL("filename",A1))-1)&amp;"4.상부강화노반\19_장비 검수 지원\체크리스트\장비 검수 지원_체크리스트.html", "👉 [클릭] 체크리스트 열기 📄")</f>
        <v/>
      </c>
      <c r="S20" s="47" t="n"/>
    </row>
    <row r="21" ht="96" customHeight="1">
      <c r="A21" s="47" t="inlineStr">
        <is>
          <t>9000</t>
        </is>
      </c>
      <c r="B21" s="47" t="inlineStr">
        <is>
          <t>9000-7</t>
        </is>
      </c>
      <c r="C21" s="47" t="inlineStr">
        <is>
          <t>상부강화노반</t>
        </is>
      </c>
      <c r="D21" s="47" t="inlineStr">
        <is>
          <t>9000-7-20</t>
        </is>
      </c>
      <c r="E21" s="47">
        <f>D20</f>
        <v/>
      </c>
      <c r="F21" s="47">
        <f>D22</f>
        <v/>
      </c>
      <c r="G21" s="47" t="inlineStr">
        <is>
          <t>D+0~10</t>
        </is>
      </c>
      <c r="H21" s="47" t="inlineStr">
        <is>
          <t>선로 종/횡단 및 용지경계측량</t>
        </is>
      </c>
      <c r="I21" s="47" t="inlineStr">
        <is>
          <t>현장 공사팀</t>
        </is>
      </c>
      <c r="J21" s="49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K21" s="49" t="inlineStr">
        <is>
          <t>1) 50m 시험 다짐 구간 지정 ➔ 2) 쇄석 30cm 두께 포설 ➔ 3) 패스별 침하량(Δh≤1mm) 측정 ➔ 4) 다짐 횟수(강동 4회) 보고서 승인</t>
        </is>
      </c>
      <c r="L21" s="49" t="inlineStr">
        <is>
          <t>50m 시험 구간 쇄석 30cm 포설, 패스별 침하량(Δh ≤ 1mm) 실측 및 강동 4회 다짐 횟수 확정</t>
        </is>
      </c>
      <c r="M21" s="49" t="inlineStr">
        <is>
          <t>본 과업은 트램 중심선 및 용지 경계선을 정밀 측정하여, 계획 중심선 이탈 방지 및 선로 종·횡단 계획 표고 준수 상태를 검증하는 것을 목적으로 함.</t>
        </is>
      </c>
      <c r="N21" s="75">
        <f>HYPERLINK(LEFT(CELL("filename",A1),FIND("[",CELL("filename",A1))-1)&amp;"4.상부강화노반\20_선로 종_횡단 및 용지경계측량\표준서\선로 종_횡단 및 용지경계측량_표준서.html", "👉 [클릭] 표준서 열기 📄")</f>
        <v/>
      </c>
      <c r="O21" s="49" t="inlineStr">
        <is>
          <t>1) 50m 시험 다짐 구간 지정 ➔ 2) 쇄석 30cm 두께 포설 ➔ 3) 패스별 침하량(Δh≤1mm) 측정 ➔ 4) 다짐 횟수(강동 4회) 보고서 승인</t>
        </is>
      </c>
      <c r="P21" s="76">
        <f>HYPERLINK(LEFT(CELL("filename",A1),FIND("[",CELL("filename",A1))-1)&amp;"4.상부강화노반\20_선로 종_횡단 및 용지경계측량\수행지침\선로 종_횡단 및 용지경계측량_수행지침.html", "👉 [클릭] 수행지침 열기 📄")</f>
        <v/>
      </c>
      <c r="Q21" s="49" t="inlineStr">
        <is>
          <t>50m 시험 구간 쇄석 30cm 포설, 패스별 침하량(Δh ≤ 1mm) 실측 및 강동 4회 다짐 횟수 확정</t>
        </is>
      </c>
      <c r="R21" s="77">
        <f>HYPERLINK(LEFT(CELL("filename",A1),FIND("[",CELL("filename",A1))-1)&amp;"4.상부강화노반\20_선로 종_횡단 및 용지경계측량\체크리스트\선로 종_횡단 및 용지경계측량_체크리스트.html", "👉 [클릭] 체크리스트 열기 📄")</f>
        <v/>
      </c>
      <c r="S21" s="47" t="n"/>
    </row>
    <row r="22" ht="115.2" customHeight="1">
      <c r="A22" s="47" t="inlineStr">
        <is>
          <t>9000</t>
        </is>
      </c>
      <c r="B22" s="47" t="inlineStr">
        <is>
          <t>9000-7</t>
        </is>
      </c>
      <c r="C22" s="47" t="inlineStr">
        <is>
          <t>상부강화노반</t>
        </is>
      </c>
      <c r="D22" s="47" t="inlineStr">
        <is>
          <t>9000-7-21</t>
        </is>
      </c>
      <c r="E22" s="47">
        <f>D21</f>
        <v/>
      </c>
      <c r="F22" s="47">
        <f>D23</f>
        <v/>
      </c>
      <c r="G22" s="47" t="inlineStr">
        <is>
          <t>D+0~10</t>
        </is>
      </c>
      <c r="H22" s="47" t="inlineStr">
        <is>
          <t>규준틀 설치</t>
        </is>
      </c>
      <c r="I22" s="47" t="inlineStr">
        <is>
          <t>현장 공사팀</t>
        </is>
      </c>
      <c r="J22" s="49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K22" s="49" t="inlineStr">
        <is>
          <t>1) 표토(15~30cm) 제거 &amp; 정전압 다짐 ➔ 2) 원지반 표고 레벨 측량 ➔ 3) K30(≥70 MN/m³) &amp; 펌핑 검측 ➔ 4) 원지반 검측 성과표 감리 승인</t>
        </is>
      </c>
      <c r="L22" s="49" t="inlineStr">
        <is>
          <t>유기질 표토(15~30cm) 제거전압 다짐, 원지반 K30 ≥ 70 MN/m³ 평판재하 및 덤프 펌핑 점검</t>
        </is>
      </c>
      <c r="M22" s="49" t="inlineStr">
        <is>
          <t>본 과업은 토공 굴착 및 성토 비탈면의 기울기와 마무리면 기준선 위치를 현장에 명확히 표시하여, 시공자가 정밀한 횡단 형상으로 토공을 추진하도록 가이드하는 것을 목적으로 함.</t>
        </is>
      </c>
      <c r="N22" s="75">
        <f>HYPERLINK(LEFT(CELL("filename",A1),FIND("[",CELL("filename",A1))-1)&amp;"4.상부강화노반\21_규준틀 설치\표준서\규준틀 설치_표준서.html", "👉 [클릭] 표준서 열기 📄")</f>
        <v/>
      </c>
      <c r="O22" s="49" t="inlineStr">
        <is>
          <t>1) 표토(15~30cm) 제거 &amp; 정전압 다짐 ➔ 2) 원지반 표고 레벨 측량 ➔ 3) K30(≥70 MN/m³) &amp; 펌핑 검측 ➔ 4) 원지반 검측 성과표 감리 승인</t>
        </is>
      </c>
      <c r="P22" s="76">
        <f>HYPERLINK(LEFT(CELL("filename",A1),FIND("[",CELL("filename",A1))-1)&amp;"4.상부강화노반\21_규준틀 설치\수행지침\규준틀 설치_수행지침.html", "👉 [클릭] 수행지침 열기 📄")</f>
        <v/>
      </c>
      <c r="Q22" s="49" t="inlineStr">
        <is>
          <t>유기질 표토(15~30cm) 제거전압 다짐, 원지반 K30 ≥ 70 MN/m³ 평판재하 및 덤프 펌핑 점검</t>
        </is>
      </c>
      <c r="R22" s="77">
        <f>HYPERLINK(LEFT(CELL("filename",A1),FIND("[",CELL("filename",A1))-1)&amp;"4.상부강화노반\21_규준틀 설치\체크리스트\규준틀 설치_체크리스트.html", "👉 [클릭] 체크리스트 열기 📄")</f>
        <v/>
      </c>
      <c r="S22" s="47" t="n"/>
    </row>
    <row r="23" ht="115.2" customHeight="1">
      <c r="A23" s="47" t="inlineStr">
        <is>
          <t>9000</t>
        </is>
      </c>
      <c r="B23" s="47" t="inlineStr">
        <is>
          <t>9000-7</t>
        </is>
      </c>
      <c r="C23" s="47" t="inlineStr">
        <is>
          <t>상부강화노반</t>
        </is>
      </c>
      <c r="D23" s="47" t="inlineStr">
        <is>
          <t>9000-7-22</t>
        </is>
      </c>
      <c r="E23" s="47">
        <f>D22</f>
        <v/>
      </c>
      <c r="F23" s="47">
        <f>D24</f>
        <v/>
      </c>
      <c r="G23" s="47" t="inlineStr">
        <is>
          <t>D+10~200</t>
        </is>
      </c>
      <c r="H23" s="47" t="inlineStr">
        <is>
          <t>준비배수</t>
        </is>
      </c>
      <c r="I23" s="47" t="inlineStr">
        <is>
          <t>현장 공사팀</t>
        </is>
      </c>
      <c r="J23" s="49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K23" s="49" t="inlineStr">
        <is>
          <t>1) 하부노반 30cm 층포설 &amp; 다짐 ➔ 2) 들밀도(≥90%) &amp; K30(≥90) 시험 ➔ 3) 마무리면 레벨 오차(±20mm) 검측 ➔ 4) 하부노반 검측서 감리 승인</t>
        </is>
      </c>
      <c r="L23" s="49" t="inlineStr">
        <is>
          <t>토사 층두께 ≤ 30cm 포설 다짐, 들밀도 다짐도 ≥ 90% (KS F 2311) 및 K30 ≥ 90 MN/m³ 검측</t>
        </is>
      </c>
      <c r="M23" s="49" t="inlineStr">
        <is>
          <t>본 과업은 성토 작업 착수 전 원지반 표면 수분 및 지하수 유입을 차단하기 위해, 준비 배수공을 시행하여 성토재의 밀실한 다짐 여건을 조성하는 것을 목적으로 함.</t>
        </is>
      </c>
      <c r="N23" s="75">
        <f>HYPERLINK(LEFT(CELL("filename",A1),FIND("[",CELL("filename",A1))-1)&amp;"4.상부강화노반\22_준비배수\표준서\준비배수_표준서.html", "👉 [클릭] 표준서 열기 📄")</f>
        <v/>
      </c>
      <c r="O23" s="49" t="inlineStr">
        <is>
          <t>1) 하부노반 30cm 층포설 &amp; 다짐 ➔ 2) 들밀도(≥90%) &amp; K30(≥90) 시험 ➔ 3) 마무리면 레벨 오차(±20mm) 검측 ➔ 4) 하부노반 검측서 감리 승인</t>
        </is>
      </c>
      <c r="P23" s="76">
        <f>HYPERLINK(LEFT(CELL("filename",A1),FIND("[",CELL("filename",A1))-1)&amp;"4.상부강화노반\22_준비배수\수행지침\준비배수_수행지침.html", "👉 [클릭] 수행지침 열기 📄")</f>
        <v/>
      </c>
      <c r="Q23" s="49" t="inlineStr">
        <is>
          <t>토사 층두께 ≤ 30cm 포설 다짐, 들밀도 다짐도 ≥ 90% (KS F 2311) 및 K30 ≥ 90 MN/m³ 검측</t>
        </is>
      </c>
      <c r="R23" s="77">
        <f>HYPERLINK(LEFT(CELL("filename",A1),FIND("[",CELL("filename",A1))-1)&amp;"4.상부강화노반\22_준비배수\체크리스트\준비배수_체크리스트.html", "👉 [클릭] 체크리스트 열기 📄")</f>
        <v/>
      </c>
      <c r="S23" s="47" t="n"/>
    </row>
    <row r="24" ht="115.2" customHeight="1">
      <c r="A24" s="47" t="inlineStr">
        <is>
          <t>9000</t>
        </is>
      </c>
      <c r="B24" s="47" t="inlineStr">
        <is>
          <t>9000-7</t>
        </is>
      </c>
      <c r="C24" s="47" t="inlineStr">
        <is>
          <t>상부강화노반</t>
        </is>
      </c>
      <c r="D24" s="47" t="inlineStr">
        <is>
          <t>9000-7-23</t>
        </is>
      </c>
      <c r="E24" s="47">
        <f>D23</f>
        <v/>
      </c>
      <c r="F24" s="47">
        <f>D25</f>
        <v/>
      </c>
      <c r="G24" s="47" t="inlineStr">
        <is>
          <t>D+10~25</t>
        </is>
      </c>
      <c r="H24" s="47" t="inlineStr">
        <is>
          <t>벌개제근/표토제거</t>
        </is>
      </c>
      <c r="I24" s="47" t="inlineStr">
        <is>
          <t>현장 공사팀</t>
        </is>
      </c>
      <c r="J24" s="49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K24" s="49" t="inlineStr">
        <is>
          <t>1) 상부노반 토사 30cm 포설 ➔ 2) 맹암거 부직포(200g/m²) 부설 ➔ 3) HDPE 유공관(Ø200mm) 종단 연결 ➔ 4) 상부노반 시공 감리 서면 승인</t>
        </is>
      </c>
      <c r="L24" s="49" t="inlineStr">
        <is>
          <t>상부노반 토사 30cm 포설, 맹암거 투수성 부직포(200g/m²) 및 HDPE 유공관(Ø200mm) 매몰 검측</t>
        </is>
      </c>
      <c r="M24" s="49" t="inlineStr">
        <is>
          <t>본 과업은 성토 지반의 잡목, 뿌리, 유기질 표토를 깨끗이 제거하여, 원지반과 성토재 간의 밀착력을 높이고 침하 및 지반 약화 요인을 제거하는 것을 목적으로 함.</t>
        </is>
      </c>
      <c r="N24" s="75">
        <f>HYPERLINK(LEFT(CELL("filename",A1),FIND("[",CELL("filename",A1))-1)&amp;"4.상부강화노반\23_벌개제근_표토제거\표준서\벌개제근_표토제거_표준서.html", "👉 [클릭] 표준서 열기 📄")</f>
        <v/>
      </c>
      <c r="O24" s="49" t="inlineStr">
        <is>
          <t>1) 상부노반 토사 30cm 포설 ➔ 2) 맹암거 부직포(200g/m²) 부설 ➔ 3) HDPE 유공관(Ø200mm) 종단 연결 ➔ 4) 상부노반 시공 감리 서면 승인</t>
        </is>
      </c>
      <c r="P24" s="76">
        <f>HYPERLINK(LEFT(CELL("filename",A1),FIND("[",CELL("filename",A1))-1)&amp;"4.상부강화노반\23_벌개제근_표토제거\수행지침\벌개제근_표토제거_수행지침.html", "👉 [클릭] 수행지침 열기 📄")</f>
        <v/>
      </c>
      <c r="Q24" s="49" t="inlineStr">
        <is>
          <t>상부노반 토사 30cm 포설, 맹암거 투수성 부직포(200g/m²) 및 HDPE 유공관(Ø200mm) 매몰 검측</t>
        </is>
      </c>
      <c r="R24" s="77">
        <f>HYPERLINK(LEFT(CELL("filename",A1),FIND("[",CELL("filename",A1))-1)&amp;"4.상부강화노반\23_벌개제근_표토제거\체크리스트\벌개제근_표토제거_체크리스트.html", "👉 [클릭] 체크리스트 열기 📄")</f>
        <v/>
      </c>
      <c r="S24" s="47" t="n"/>
    </row>
    <row r="25" ht="115.2" customHeight="1">
      <c r="A25" s="47" t="inlineStr">
        <is>
          <t>9000</t>
        </is>
      </c>
      <c r="B25" s="47" t="inlineStr">
        <is>
          <t>9000-7</t>
        </is>
      </c>
      <c r="C25" s="47" t="inlineStr">
        <is>
          <t>상부강화노반</t>
        </is>
      </c>
      <c r="D25" s="47" t="inlineStr">
        <is>
          <t>9000-7-24</t>
        </is>
      </c>
      <c r="E25" s="47">
        <f>D24</f>
        <v/>
      </c>
      <c r="F25" s="47">
        <f>D26</f>
        <v/>
      </c>
      <c r="G25" s="47" t="inlineStr">
        <is>
          <t>D+10~30</t>
        </is>
      </c>
      <c r="H25" s="47" t="inlineStr">
        <is>
          <t>구조물 및 지장물 제거</t>
        </is>
      </c>
      <c r="I25" s="47" t="inlineStr">
        <is>
          <t>현장 공사팀</t>
        </is>
      </c>
      <c r="J25" s="49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K25" s="49" t="inlineStr">
        <is>
          <t>1) 3D GPS 모터그레이더 쇄석(50mm) 30cm 포설 ➔ 2) 살수차 최적함수비 OMC 살수 ➔ 3) 강동 4회 + 타이어 2회 다짐 ➔ 4) 표고 오차(±10mm) 검측 감리 승인</t>
        </is>
      </c>
      <c r="L25" s="49" t="inlineStr">
        <is>
          <t>3D GPS 쇄석(50mm) 30cm 포설, OMC 분무 살수 및 강동 4회/타이어 2회 다짐 (표고 오차 ±10mm)</t>
        </is>
      </c>
      <c r="M25" s="49" t="inlineStr">
        <is>
          <t>본 과업은 성토 구역 내 존치된 기존 구조물, 옹벽, 암거 등을 철거하고 연약 지반 부위를 정리하여, 노반 다짐의 균일성과 안정성을 확보하는 것을 목적으로 함.</t>
        </is>
      </c>
      <c r="N25" s="75">
        <f>HYPERLINK(LEFT(CELL("filename",A1),FIND("[",CELL("filename",A1))-1)&amp;"4.상부강화노반\24_구조물 및 지장물 제거\표준서\구조물 및 지장물 제거_표준서.html", "👉 [클릭] 표준서 열기 📄")</f>
        <v/>
      </c>
      <c r="O25" s="49" t="inlineStr">
        <is>
          <t>1) 3D GPS 모터그레이더 쇄석(50mm) 30cm 포설 ➔ 2) 살수차 최적함수비 OMC 살수 ➔ 3) 강동 4회 + 타이어 2회 다짐 ➔ 4) 표고 오차(±10mm) 검측 감리 승인</t>
        </is>
      </c>
      <c r="P25" s="76">
        <f>HYPERLINK(LEFT(CELL("filename",A1),FIND("[",CELL("filename",A1))-1)&amp;"4.상부강화노반\24_구조물 및 지장물 제거\수행지침\구조물 및 지장물 제거_수행지침.html", "👉 [클릭] 수행지침 열기 📄")</f>
        <v/>
      </c>
      <c r="Q25" s="49" t="inlineStr">
        <is>
          <t>3D GPS 쇄석(50mm) 30cm 포설, OMC 분무 살수 및 강동 4회/타이어 2회 다짐 (표고 오차 ±10mm)</t>
        </is>
      </c>
      <c r="R25" s="77">
        <f>HYPERLINK(LEFT(CELL("filename",A1),FIND("[",CELL("filename",A1))-1)&amp;"4.상부강화노반\24_구조물 및 지장물 제거\체크리스트\구조물 및 지장물 제거_체크리스트.html", "👉 [클릭] 체크리스트 열기 📄")</f>
        <v/>
      </c>
      <c r="S25" s="47" t="n"/>
    </row>
    <row r="26" ht="115.2" customHeight="1">
      <c r="A26" s="47" t="inlineStr">
        <is>
          <t>9000</t>
        </is>
      </c>
      <c r="B26" s="47" t="inlineStr">
        <is>
          <t>9000-7</t>
        </is>
      </c>
      <c r="C26" s="47" t="inlineStr">
        <is>
          <t>상부강화노반</t>
        </is>
      </c>
      <c r="D26" s="47" t="inlineStr">
        <is>
          <t>9000-7-25</t>
        </is>
      </c>
      <c r="E26" s="47">
        <f>D25</f>
        <v/>
      </c>
      <c r="F26" s="47">
        <f>D27</f>
        <v/>
      </c>
      <c r="G26" s="47" t="inlineStr">
        <is>
          <t>D+10~30</t>
        </is>
      </c>
      <c r="H26" s="47" t="inlineStr">
        <is>
          <t>진입로 조성</t>
        </is>
      </c>
      <c r="I26" s="47" t="inlineStr">
        <is>
          <t>현장 공사팀</t>
        </is>
      </c>
      <c r="J26" s="49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K26" s="49" t="inlineStr">
        <is>
          <t>1) 들밀도 시험(다짐도 ≥ 95%) ➔ 2) K30 평판재하시험(≥ 110 MN/m³) ➔ 3) 동적변형계수 Ev2(≥ 60 MPa) 시험 ➔ 4) 다짐 검측 종합 보고서 승인</t>
        </is>
      </c>
      <c r="L26" s="49" t="inlineStr">
        <is>
          <t>노반 들밀도 다짐도 ≥ 95%, 평판재하 K30 ≥ 110 MN/m³ 및 동적변형계수 Ev2 ≥ 60 MPa (Ev2/Ev1 ≤ 2.2)</t>
        </is>
      </c>
      <c r="M26" s="49" t="inlineStr">
        <is>
          <t>본 과업은 대형 중장비 및 토사 운반 차량의 원활하고 안전한 진출입을 위해, 잡석 포설 및 다짐을 시행하여 견고한 가설 진입로를 확보하는 것을 목적으로 함.</t>
        </is>
      </c>
      <c r="N26" s="75">
        <f>HYPERLINK(LEFT(CELL("filename",A1),FIND("[",CELL("filename",A1))-1)&amp;"4.상부강화노반\25_진입로 조성\표준서\진입로 조성_표준서.html", "👉 [클릭] 표준서 열기 📄")</f>
        <v/>
      </c>
      <c r="O26" s="49" t="inlineStr">
        <is>
          <t>1) 들밀도 시험(다짐도 ≥ 95%) ➔ 2) K30 평판재하시험(≥ 110 MN/m³) ➔ 3) 동적변형계수 Ev2(≥ 60 MPa) 시험 ➔ 4) 다짐 검측 종합 보고서 승인</t>
        </is>
      </c>
      <c r="P26" s="76">
        <f>HYPERLINK(LEFT(CELL("filename",A1),FIND("[",CELL("filename",A1))-1)&amp;"4.상부강화노반\25_진입로 조성\수행지침\진입로 조성_수행지침.html", "👉 [클릭] 수행지침 열기 📄")</f>
        <v/>
      </c>
      <c r="Q26" s="49" t="inlineStr">
        <is>
          <t>노반 들밀도 다짐도 ≥ 95%, 평판재하 K30 ≥ 110 MN/m³ 및 동적변형계수 Ev2 ≥ 60 MPa (Ev2/Ev1 ≤ 2.2)</t>
        </is>
      </c>
      <c r="R26" s="77">
        <f>HYPERLINK(LEFT(CELL("filename",A1),FIND("[",CELL("filename",A1))-1)&amp;"4.상부강화노반\25_진입로 조성\체크리스트\진입로 조성_체크리스트.html", "👉 [클릭] 체크리스트 열기 📄")</f>
        <v/>
      </c>
      <c r="S26" s="47" t="n"/>
    </row>
    <row r="27" ht="115.2" customHeight="1">
      <c r="A27" s="47" t="inlineStr">
        <is>
          <t>9000</t>
        </is>
      </c>
      <c r="B27" s="47" t="inlineStr">
        <is>
          <t>9000-7</t>
        </is>
      </c>
      <c r="C27" s="47" t="inlineStr">
        <is>
          <t>상부강화노반</t>
        </is>
      </c>
      <c r="D27" s="47" t="inlineStr">
        <is>
          <t>9000-7-26</t>
        </is>
      </c>
      <c r="E27" s="47">
        <f>D26</f>
        <v/>
      </c>
      <c r="F27" s="47">
        <f>D28</f>
        <v/>
      </c>
      <c r="G27" s="47" t="inlineStr">
        <is>
          <t>D+10~180</t>
        </is>
      </c>
      <c r="H27" s="47" t="inlineStr">
        <is>
          <t>노반쌓기</t>
        </is>
      </c>
      <c r="I27" s="47" t="inlineStr">
        <is>
          <t>현장 공사팀</t>
        </is>
      </c>
      <c r="J27" s="49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K27" s="49" t="inlineStr">
        <is>
          <t>1) Ø300mm 재하판 산모래 밀착 ➔ 2) 15t 유압 잭 &amp; 다이얼 게이지 교정 ➔ 3) 1.25mm 침하 P-S 곡선 산출 ➔ 4) K30 ≥ 110 MN/m³ 성적서 승인</t>
        </is>
      </c>
      <c r="L27" s="49" t="inlineStr">
        <is>
          <t>Ø300mm 재하판 산모래 밀착, 15t 유압 잭 재하 및 1.25mm 침하 P-S 곡선 K30 ≥ 110 MN/m³ 성적서</t>
        </is>
      </c>
      <c r="M27" s="49" t="inlineStr">
        <is>
          <t>본 과업은 성토재를 층당 30cm 이하 규정 두께로 포설하고 균일하게 다짐으로써, 계획 높이까지 안정적이고 밀실한 노반 구조체를 형성하는 것을 목적으로 함.</t>
        </is>
      </c>
      <c r="N27" s="75">
        <f>HYPERLINK(LEFT(CELL("filename",A1),FIND("[",CELL("filename",A1))-1)&amp;"4.상부강화노반\26_노반쌓기\표준서\노반쌓기_표준서.html", "👉 [클릭] 표준서 열기 📄")</f>
        <v/>
      </c>
      <c r="O27" s="49" t="inlineStr">
        <is>
          <t>1) Ø300mm 재하판 산모래 밀착 ➔ 2) 15t 유압 잭 &amp; 다이얼 게이지 교정 ➔ 3) 1.25mm 침하 P-S 곡선 산출 ➔ 4) K30 ≥ 110 MN/m³ 성적서 승인</t>
        </is>
      </c>
      <c r="P27" s="76">
        <f>HYPERLINK(LEFT(CELL("filename",A1),FIND("[",CELL("filename",A1))-1)&amp;"4.상부강화노반\26_노반쌓기\수행지침\노반쌓기_수행지침.html", "👉 [클릭] 수행지침 열기 📄")</f>
        <v/>
      </c>
      <c r="Q27" s="49" t="inlineStr">
        <is>
          <t>Ø300mm 재하판 산모래 밀착, 15t 유압 잭 재하 및 1.25mm 침하 P-S 곡선 K30 ≥ 110 MN/m³ 성적서</t>
        </is>
      </c>
      <c r="R27" s="77">
        <f>HYPERLINK(LEFT(CELL("filename",A1),FIND("[",CELL("filename",A1))-1)&amp;"4.상부강화노반\26_노반쌓기\체크리스트\노반쌓기_체크리스트.html", "👉 [클릭] 체크리스트 열기 📄")</f>
        <v/>
      </c>
      <c r="S27" s="47" t="n"/>
    </row>
    <row r="28" ht="115.2" customHeight="1">
      <c r="A28" s="47" t="inlineStr">
        <is>
          <t>9000</t>
        </is>
      </c>
      <c r="B28" s="47" t="inlineStr">
        <is>
          <t>9000-7</t>
        </is>
      </c>
      <c r="C28" s="47" t="inlineStr">
        <is>
          <t>상부강화노반</t>
        </is>
      </c>
      <c r="D28" s="47" t="inlineStr">
        <is>
          <t>9000-7-27</t>
        </is>
      </c>
      <c r="E28" s="47">
        <f>D27</f>
        <v/>
      </c>
      <c r="F28" s="47">
        <f>D29</f>
        <v/>
      </c>
      <c r="G28" s="47" t="inlineStr">
        <is>
          <t>D+10~180</t>
        </is>
      </c>
      <c r="H28" s="47" t="inlineStr">
        <is>
          <t>하부노반 시공</t>
        </is>
      </c>
      <c r="I28" s="47" t="inlineStr">
        <is>
          <t>현장 공사팀</t>
        </is>
      </c>
      <c r="J28" s="49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K28" s="49" t="inlineStr">
        <is>
          <t>1) LWD 동적 평판재하시험기 교정 ➔ 2) 1,000m²당 1회 무작위 시험 ➔ 3) 1차/2차 하중 재하 Ev2/Ev1 산출 ➔ 4) Ev2 ≥ 60 MPa 성적서 감리 승인</t>
        </is>
      </c>
      <c r="L28" s="49" t="inlineStr">
        <is>
          <t>LWD 동적 평판재하시험 1,000m²당 1회, 2차 변형계수 Ev2 ≥ 60 MPa 및 비율 Ev2/Ev1 ≤ 2.2 검측</t>
        </is>
      </c>
      <c r="M28" s="49" t="inlineStr">
        <is>
          <t>본 과업은 상부 하중을 지지하는 하부 노반 층을 시방 기준에 맞춰 포설·다짐하고 배수 유공관을 설치하여, 노반 내부 수분 침투 예방 및 구조적 안정성을 확보하는 것을 목적으로 함.</t>
        </is>
      </c>
      <c r="N28" s="75">
        <f>HYPERLINK(LEFT(CELL("filename",A1),FIND("[",CELL("filename",A1))-1)&amp;"4.상부강화노반\27_하부노반 시공\표준서\하부노반 시공_표준서.html", "👉 [클릭] 표준서 열기 📄")</f>
        <v/>
      </c>
      <c r="O28" s="49" t="inlineStr">
        <is>
          <t>1) LWD 동적 평판재하시험기 교정 ➔ 2) 1,000m²당 1회 무작위 시험 ➔ 3) 1차/2차 하중 재하 Ev2/Ev1 산출 ➔ 4) Ev2 ≥ 60 MPa 성적서 감리 승인</t>
        </is>
      </c>
      <c r="P28" s="76">
        <f>HYPERLINK(LEFT(CELL("filename",A1),FIND("[",CELL("filename",A1))-1)&amp;"4.상부강화노반\27_하부노반 시공\수행지침\하부노반 시공_수행지침.html", "👉 [클릭] 수행지침 열기 📄")</f>
        <v/>
      </c>
      <c r="Q28" s="49" t="inlineStr">
        <is>
          <t>LWD 동적 평판재하시험 1,000m²당 1회, 2차 변형계수 Ev2 ≥ 60 MPa 및 비율 Ev2/Ev1 ≤ 2.2 검측</t>
        </is>
      </c>
      <c r="R28" s="77">
        <f>HYPERLINK(LEFT(CELL("filename",A1),FIND("[",CELL("filename",A1))-1)&amp;"4.상부강화노반\27_하부노반 시공\체크리스트\하부노반 시공_체크리스트.html", "👉 [클릭] 체크리스트 열기 📄")</f>
        <v/>
      </c>
      <c r="S28" s="47" t="n"/>
    </row>
    <row r="29" ht="115.2" customHeight="1">
      <c r="A29" s="47" t="inlineStr">
        <is>
          <t>9000</t>
        </is>
      </c>
      <c r="B29" s="47" t="inlineStr">
        <is>
          <t>9000-7</t>
        </is>
      </c>
      <c r="C29" s="47" t="inlineStr">
        <is>
          <t>상부강화노반</t>
        </is>
      </c>
      <c r="D29" s="47" t="inlineStr">
        <is>
          <t>9000-7-28</t>
        </is>
      </c>
      <c r="E29" s="47">
        <f>D28</f>
        <v/>
      </c>
      <c r="F29" s="47">
        <f>D30</f>
        <v/>
      </c>
      <c r="G29" s="47" t="inlineStr">
        <is>
          <t>D+10~180</t>
        </is>
      </c>
      <c r="H29" s="47" t="inlineStr">
        <is>
          <t>상부노반 시공</t>
        </is>
      </c>
      <c r="I29" s="47" t="inlineStr">
        <is>
          <t>현장 공사팀</t>
        </is>
      </c>
      <c r="J29" s="49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K29" s="49" t="inlineStr">
        <is>
          <t>1) 3m 알루미늄 직선자 교정 ➔ 2) 20m 간격 종횡단 연속 검측 ➔ 3) 갭 오차(±10mm) 요철 삭평/재다짐 ➔ 4) 평탄성 검측 성과표 감리 승인</t>
        </is>
      </c>
      <c r="L29" s="49" t="inlineStr">
        <is>
          <t>3m 알루미늄 직선자 20m 간격 연속 측정, 최대 갭 오차 ±10mm 이내 통제 및 요철 삭평/재다짐</t>
        </is>
      </c>
      <c r="M29" s="49" t="inlineStr">
        <is>
          <t>본 과업은 상부강화노반 직하부 층으로서, 고품질 쇄석 혼합재를 정밀 포설하고 OMC 최적 다짐을 시행하여 노반 강성을 고도화하는 것을 목적으로 함.</t>
        </is>
      </c>
      <c r="N29" s="75">
        <f>HYPERLINK(LEFT(CELL("filename",A1),FIND("[",CELL("filename",A1))-1)&amp;"4.상부강화노반\28_상부노반 시공\표준서\상부노반 시공_표준서.html", "👉 [클릭] 표준서 열기 📄")</f>
        <v/>
      </c>
      <c r="O29" s="49" t="inlineStr">
        <is>
          <t>1) 3m 알루미늄 직선자 교정 ➔ 2) 20m 간격 종횡단 연속 검측 ➔ 3) 갭 오차(±10mm) 요철 삭평/재다짐 ➔ 4) 평탄성 검측 성과표 감리 승인</t>
        </is>
      </c>
      <c r="P29" s="76">
        <f>HYPERLINK(LEFT(CELL("filename",A1),FIND("[",CELL("filename",A1))-1)&amp;"4.상부강화노반\28_상부노반 시공\수행지침\상부노반 시공_수행지침.html", "👉 [클릭] 수행지침 열기 📄")</f>
        <v/>
      </c>
      <c r="Q29" s="49" t="inlineStr">
        <is>
          <t>3m 알루미늄 직선자 20m 간격 연속 측정, 최대 갭 오차 ±10mm 이내 통제 및 요철 삭평/재다짐</t>
        </is>
      </c>
      <c r="R29" s="77">
        <f>HYPERLINK(LEFT(CELL("filename",A1),FIND("[",CELL("filename",A1))-1)&amp;"4.상부강화노반\28_상부노반 시공\체크리스트\상부노반 시공_체크리스트.html", "👉 [클릭] 체크리스트 열기 📄")</f>
        <v/>
      </c>
      <c r="S29" s="47" t="n"/>
    </row>
    <row r="30" ht="115.2" customHeight="1">
      <c r="A30" s="47" t="inlineStr">
        <is>
          <t>9000</t>
        </is>
      </c>
      <c r="B30" s="47" t="inlineStr">
        <is>
          <t>9000-7</t>
        </is>
      </c>
      <c r="C30" s="47" t="inlineStr">
        <is>
          <t>상부강화노반</t>
        </is>
      </c>
      <c r="D30" s="47" t="inlineStr">
        <is>
          <t>9000-7-29</t>
        </is>
      </c>
      <c r="E30" s="47">
        <f>D29</f>
        <v/>
      </c>
      <c r="F30" s="47">
        <f>D31</f>
        <v/>
      </c>
      <c r="G30" s="47" t="inlineStr">
        <is>
          <t>D+10~180</t>
        </is>
      </c>
      <c r="H30" s="47" t="inlineStr">
        <is>
          <t>강화노반 시공</t>
        </is>
      </c>
      <c r="I30" s="47" t="inlineStr">
        <is>
          <t>현장 공사팀</t>
        </is>
      </c>
      <c r="J30" s="49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K30" s="49" t="inlineStr">
        <is>
          <t>1) GRS80 토탈스테이션 정밀 세팅 ➔ 2) 10m 간격 중심선 &amp; 표고 실측 ➔ 3) 3D BIM CAD 좌표(오차 ±10mm) 대조 ➔ 4) 종횡단 성과표 감리 승인</t>
        </is>
      </c>
      <c r="L30" s="49" t="inlineStr">
        <is>
          <t>GRS80 광학 토탈스테이션 10m 간격 측정, 궤도 중심선(X,Y) 및 표고(Z) 오차 ±10mm 3D BIM 검측</t>
        </is>
      </c>
      <c r="M30" s="49" t="inlineStr">
        <is>
          <t>본 과업은 트램 궤도와 직접 접하는 최상부 노반 층으로, 입도 조정 쇄석을 시공하여 지반반력계수(K30 ≥ 110MN/m³) 및 2차 변형계수(Ev2 ≥ 60MPa) 기준을 완수하고 궤도 지지력을 확보하는 것을 목적으로 함.</t>
        </is>
      </c>
      <c r="N30" s="75">
        <f>HYPERLINK(LEFT(CELL("filename",A1),FIND("[",CELL("filename",A1))-1)&amp;"4.상부강화노반\29_강화노반 시공\표준서\강화노반 시공_표준서.html", "👉 [클릭] 표준서 열기 📄")</f>
        <v/>
      </c>
      <c r="O30" s="49" t="inlineStr">
        <is>
          <t>1) GRS80 토탈스테이션 정밀 세팅 ➔ 2) 10m 간격 중심선 &amp; 표고 실측 ➔ 3) 3D BIM CAD 좌표(오차 ±10mm) 대조 ➔ 4) 종횡단 성과표 감리 승인</t>
        </is>
      </c>
      <c r="P30" s="76">
        <f>HYPERLINK(LEFT(CELL("filename",A1),FIND("[",CELL("filename",A1))-1)&amp;"4.상부강화노반\29_강화노반 시공\수행지침\강화노반 시공_수행지침.html", "👉 [클릭] 수행지침 열기 📄")</f>
        <v/>
      </c>
      <c r="Q30" s="49" t="inlineStr">
        <is>
          <t>GRS80 광학 토탈스테이션 10m 간격 측정, 궤도 중심선(X,Y) 및 표고(Z) 오차 ±10mm 3D BIM 검측</t>
        </is>
      </c>
      <c r="R30" s="77">
        <f>HYPERLINK(LEFT(CELL("filename",A1),FIND("[",CELL("filename",A1))-1)&amp;"4.상부강화노반\29_강화노반 시공\체크리스트\강화노반 시공_체크리스트.html", "👉 [클릭] 체크리스트 열기 📄")</f>
        <v/>
      </c>
      <c r="S30" s="47" t="n"/>
    </row>
    <row r="31" ht="115.2" customHeight="1">
      <c r="A31" s="47" t="inlineStr">
        <is>
          <t>9000</t>
        </is>
      </c>
      <c r="B31" s="47" t="inlineStr">
        <is>
          <t>9000-7</t>
        </is>
      </c>
      <c r="C31" s="47" t="inlineStr">
        <is>
          <t>상부강화노반</t>
        </is>
      </c>
      <c r="D31" s="47" t="inlineStr">
        <is>
          <t>9000-7-30</t>
        </is>
      </c>
      <c r="E31" s="47">
        <f>D30</f>
        <v/>
      </c>
      <c r="F31" s="47">
        <f>D32</f>
        <v/>
      </c>
      <c r="G31" s="47" t="inlineStr">
        <is>
          <t>D+45~180</t>
        </is>
      </c>
      <c r="H31" s="47" t="inlineStr">
        <is>
          <t>토공 유동운반/사토</t>
        </is>
      </c>
      <c r="I31" s="47" t="inlineStr">
        <is>
          <t>현장 공사팀</t>
        </is>
      </c>
      <c r="J31" s="49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K31" s="49" t="inlineStr">
        <is>
          <t>1) 감리단 NCR 통지서 수령 ➔ 2) 해당 구역 표면 15cm 파쇄 &amp; OMC 재다짐 ➔ 3) 1:1 재검측(다짐도/K30/Ev2) ➔ 4) NCR 조치 결과 보고서 감리 종결 승인</t>
        </is>
      </c>
      <c r="L31" s="49" t="inlineStr">
        <is>
          <t>감리단 부적합(NCR) 수령 후 해당 구역 표면 15cm 파쇄, OMC 살수 재다짐 및 1:1 재검측 서면 종결</t>
        </is>
      </c>
      <c r="M31" s="49" t="inlineStr">
        <is>
          <t>본 과업은 현장 내 절토재의 운반 및 잔여 토사의 사토장 배출을 효율적으로 통제하여, 토공 작업의 공정 흐름을 원활히 유지하는 것을 목적으로 함.</t>
        </is>
      </c>
      <c r="N31" s="75">
        <f>HYPERLINK(LEFT(CELL("filename",A1),FIND("[",CELL("filename",A1))-1)&amp;"4.상부강화노반\30_토공 유동운반_사토\표준서\토공 유동운반_사토_표준서.html", "👉 [클릭] 표준서 열기 📄")</f>
        <v/>
      </c>
      <c r="O31" s="49" t="inlineStr">
        <is>
          <t>1) 감리단 NCR 통지서 수령 ➔ 2) 해당 구역 표면 15cm 파쇄 &amp; OMC 재다짐 ➔ 3) 1:1 재검측(다짐도/K30/Ev2) ➔ 4) NCR 조치 결과 보고서 감리 종결 승인</t>
        </is>
      </c>
      <c r="P31" s="76">
        <f>HYPERLINK(LEFT(CELL("filename",A1),FIND("[",CELL("filename",A1))-1)&amp;"4.상부강화노반\30_토공 유동운반_사토\수행지침\토공 유동운반_사토_수행지침.html", "👉 [클릭] 수행지침 열기 📄")</f>
        <v/>
      </c>
      <c r="Q31" s="49" t="inlineStr">
        <is>
          <t>감리단 부적합(NCR) 수령 후 해당 구역 표면 15cm 파쇄, OMC 살수 재다짐 및 1:1 재검측 서면 종결</t>
        </is>
      </c>
      <c r="R31" s="77">
        <f>HYPERLINK(LEFT(CELL("filename",A1),FIND("[",CELL("filename",A1))-1)&amp;"4.상부강화노반\30_토공 유동운반_사토\체크리스트\토공 유동운반_사토_체크리스트.html", "👉 [클릭] 체크리스트 열기 📄")</f>
        <v/>
      </c>
      <c r="S31" s="47" t="n"/>
    </row>
    <row r="32" ht="115.2" customHeight="1">
      <c r="A32" s="47" t="inlineStr">
        <is>
          <t>9000</t>
        </is>
      </c>
      <c r="B32" s="47" t="inlineStr">
        <is>
          <t>9000-7</t>
        </is>
      </c>
      <c r="C32" s="47" t="inlineStr">
        <is>
          <t>상부강화노반</t>
        </is>
      </c>
      <c r="D32" s="47" t="inlineStr">
        <is>
          <t>9000-7-31</t>
        </is>
      </c>
      <c r="E32" s="47">
        <f>D31</f>
        <v/>
      </c>
      <c r="F32" s="47">
        <f>D33</f>
        <v/>
      </c>
      <c r="G32" s="47" t="inlineStr">
        <is>
          <t>D+45~240</t>
        </is>
      </c>
      <c r="H32" s="47" t="inlineStr">
        <is>
          <t>연약지반처리(필요시)</t>
        </is>
      </c>
      <c r="I32" s="47" t="inlineStr">
        <is>
          <t>현장 공사팀</t>
        </is>
      </c>
      <c r="J32" s="49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K32" s="49" t="inlineStr">
        <is>
          <t>1) 성토 사면 경사(1:1.5 이하) 측량 ➔ 2) 사면 다짐도(≥ 90%) 검측 ➔ 3) 식생 거적(Jute Mat) 30cm 겹침 부설 ➔ 4) 사면 다짐 성과표 감리 승인</t>
        </is>
      </c>
      <c r="L32" s="49" t="inlineStr">
        <is>
          <t>성토 사면 비탈면 경사(1:1.5 이하) 측량, 사면 다짐도 ≥ 90% 검측 및 식생 거적(Jute Mat) 부설</t>
        </is>
      </c>
      <c r="M32" s="49" t="inlineStr">
        <is>
          <t>본 과업은 시공 중 추가 발굴되거나 예상치 못한 약산 지반 구역에 대해 즉각적인 지반 개량 조치를 시행하여, 노반 완성 후 잔류 침하 발생을 원천 차단하는 것을 목적으로 함.</t>
        </is>
      </c>
      <c r="N32" s="75">
        <f>HYPERLINK(LEFT(CELL("filename",A1),FIND("[",CELL("filename",A1))-1)&amp;"4.상부강화노반\31_연약지반처리(필요시)\표준서\연약지반처리_표준서.html", "👉 [클릭] 표준서 열기 📄")</f>
        <v/>
      </c>
      <c r="O32" s="49" t="inlineStr">
        <is>
          <t>1) 성토 사면 경사(1:1.5 이하) 측량 ➔ 2) 사면 다짐도(≥ 90%) 검측 ➔ 3) 식생 거적(Jute Mat) 30cm 겹침 부설 ➔ 4) 사면 다짐 성과표 감리 승인</t>
        </is>
      </c>
      <c r="P32" s="76">
        <f>HYPERLINK(LEFT(CELL("filename",A1),FIND("[",CELL("filename",A1))-1)&amp;"4.상부강화노반\31_연약지반처리(필요시)\수행지침\연약지반처리_수행지침.html", "👉 [클릭] 수행지침 열기 📄")</f>
        <v/>
      </c>
      <c r="Q32" s="49" t="inlineStr">
        <is>
          <t>성토 사면 비탈면 경사(1:1.5 이하) 측량, 사면 다짐도 ≥ 90% 검측 및 식생 거적(Jute Mat) 부설</t>
        </is>
      </c>
      <c r="R32" s="77">
        <f>HYPERLINK(LEFT(CELL("filename",A1),FIND("[",CELL("filename",A1))-1)&amp;"4.상부강화노반\31_연약지반처리(필요시)\체크리스트\연약지반처리_체크리스트.html", "👉 [클릭] 체크리스트 열기 📄")</f>
        <v/>
      </c>
      <c r="S32" s="47" t="n"/>
    </row>
    <row r="33" ht="115.2" customHeight="1">
      <c r="A33" s="47" t="inlineStr">
        <is>
          <t>9000</t>
        </is>
      </c>
      <c r="B33" s="47" t="inlineStr">
        <is>
          <t>9000-7</t>
        </is>
      </c>
      <c r="C33" s="47" t="inlineStr">
        <is>
          <t>상부강화노반</t>
        </is>
      </c>
      <c r="D33" s="47" t="inlineStr">
        <is>
          <t>9000-7-32</t>
        </is>
      </c>
      <c r="E33" s="47">
        <f>D32</f>
        <v/>
      </c>
      <c r="F33" s="47">
        <f>D34</f>
        <v/>
      </c>
      <c r="G33" s="47" t="inlineStr">
        <is>
          <t>D+45~180</t>
        </is>
      </c>
      <c r="H33" s="47" t="inlineStr">
        <is>
          <t>절성토경계부 배수구조물(맹암거) 시공</t>
        </is>
      </c>
      <c r="I33" s="47" t="inlineStr">
        <is>
          <t>현장 공사팀</t>
        </is>
      </c>
      <c r="J33" s="49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K33" s="49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L33" s="49" t="inlineStr">
        <is>
          <t>U형 측구(0.4×0.4m, 버림 10cm) 부설, 집수정 인버트 모타르 사춤 및 주철 그레이팅 체결/담수 시험</t>
        </is>
      </c>
      <c r="M33" s="49" t="inlineStr">
        <is>
          <t>본 과업은 절토와 성토가 교차하는 경계 부위의 침투수 및 누수를 원활히 배수하기 위해 맹암거를 설치함으로써, 사면 붕괴 및 지반 약화를 방지하는 것을 목적으로 함.</t>
        </is>
      </c>
      <c r="N33" s="75">
        <f>HYPERLINK(LEFT(CELL("filename",A1),FIND("[",CELL("filename",A1))-1)&amp;"4.상부강화노반\32_절성토경계부 배수구조물(맹암거) 시공\표준서\절성토경계부 배수구조물 시공_표준서.html", "👉 [클릭] 표준서 열기 📄")</f>
        <v/>
      </c>
      <c r="O33" s="49" t="inlineStr">
        <is>
          <t>1) U형 측구 기초 버림(10cm) 타설 ➔ 2) U형 측구(0.4×0.4m) 부설 &amp; 인버트 사춤 ➔ 3) 주철 그레이팅 체결 &amp; 담수 시험 ➔ 4) 배수시설 검측서 감리 승인</t>
        </is>
      </c>
      <c r="P33" s="76">
        <f>HYPERLINK(LEFT(CELL("filename",A1),FIND("[",CELL("filename",A1))-1)&amp;"4.상부강화노반\32_절성토경계부 배수구조물(맹암거) 시공\수행지침\절성토경계부 배수구조물 시공_수행지침.html", "👉 [클릭] 수행지침 열기 📄")</f>
        <v/>
      </c>
      <c r="Q33" s="49" t="inlineStr">
        <is>
          <t>U형 측구(0.4×0.4m, 버림 10cm) 부설, 집수정 인버트 모타르 사춤 및 주철 그레이팅 체결/담수 시험</t>
        </is>
      </c>
      <c r="R33" s="77">
        <f>HYPERLINK(LEFT(CELL("filename",A1),FIND("[",CELL("filename",A1))-1)&amp;"4.상부강화노반\32_절성토경계부 배수구조물(맹암거) 시공\체크리스트\절성토경계부 배수구조물 시공_체크리스트.html", "👉 [클릭] 체크리스트 열기 📄")</f>
        <v/>
      </c>
      <c r="S33" s="47" t="n"/>
    </row>
    <row r="34" ht="115.2" customHeight="1">
      <c r="A34" s="47" t="inlineStr">
        <is>
          <t>9000</t>
        </is>
      </c>
      <c r="B34" s="47" t="inlineStr">
        <is>
          <t>9000-7</t>
        </is>
      </c>
      <c r="C34" s="47" t="inlineStr">
        <is>
          <t>상부강화노반</t>
        </is>
      </c>
      <c r="D34" s="47" t="inlineStr">
        <is>
          <t>9000-7-33</t>
        </is>
      </c>
      <c r="E34" s="47">
        <f>D33</f>
        <v/>
      </c>
      <c r="F34" s="47">
        <f>D35</f>
        <v/>
      </c>
      <c r="G34" s="47" t="inlineStr">
        <is>
          <t>D+45~180</t>
        </is>
      </c>
      <c r="H34" s="47" t="inlineStr">
        <is>
          <t>암석쌓기</t>
        </is>
      </c>
      <c r="I34" s="47" t="inlineStr">
        <is>
          <t>현장 공사팀</t>
        </is>
      </c>
      <c r="J34" s="49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K34" s="49" t="inlineStr">
        <is>
          <t>1) 완성면 통제 바리케이트 설치 ➔ 2) 미세 분무 살수 &amp; 비닐 덮개 야적 ➔ 3) 일일 완성면 훼손 점검 ➔ 4) 완성면 보호 점검 대장 감리 승인</t>
        </is>
      </c>
      <c r="L34" s="49" t="inlineStr">
        <is>
          <t>통제 바리케이트(중장비 진입 100% 차단), 미세 분무 살수(골재이탈 예방) 및 완성면 보호 대장 작성</t>
        </is>
      </c>
      <c r="M34" s="49" t="inlineStr">
        <is>
          <t>본 과업은 절토 암석 재료를 활용하여 대형 암석 쌓기를 시행할 때, 공극 채움재 처리와 층간 다짐을 정밀 관리하여 암석 성토층의 장기 유실 및 변형을 방지하는 것을 목적으로 함.</t>
        </is>
      </c>
      <c r="N34" s="75">
        <f>HYPERLINK(LEFT(CELL("filename",A1),FIND("[",CELL("filename",A1))-1)&amp;"4.상부강화노반\33_암석쌓기\표준서\암석쌓기_표준서.html", "👉 [클릭] 표준서 열기 📄")</f>
        <v/>
      </c>
      <c r="O34" s="49" t="inlineStr">
        <is>
          <t>1) 완성면 통제 바리케이트 설치 ➔ 2) 미세 분무 살수 &amp; 비닐 덮개 야적 ➔ 3) 일일 완성면 훼손 점검 ➔ 4) 완성면 보호 점검 대장 감리 승인</t>
        </is>
      </c>
      <c r="P34" s="76">
        <f>HYPERLINK(LEFT(CELL("filename",A1),FIND("[",CELL("filename",A1))-1)&amp;"4.상부강화노반\33_암석쌓기\수행지침\암석쌓기_수행지침.html", "👉 [클릭] 수행지침 열기 📄")</f>
        <v/>
      </c>
      <c r="Q34" s="49" t="inlineStr">
        <is>
          <t>통제 바리케이트(중장비 진입 100% 차단), 미세 분무 살수(골재이탈 예방) 및 완성면 보호 대장 작성</t>
        </is>
      </c>
      <c r="R34" s="77">
        <f>HYPERLINK(LEFT(CELL("filename",A1),FIND("[",CELL("filename",A1))-1)&amp;"4.상부강화노반\33_암석쌓기\체크리스트\암석쌓기_체크리스트.html", "👉 [클릭] 체크리스트 열기 📄")</f>
        <v/>
      </c>
      <c r="S34" s="47" t="n"/>
    </row>
    <row r="35" ht="115.2" customHeight="1">
      <c r="A35" s="47" t="inlineStr">
        <is>
          <t>9000</t>
        </is>
      </c>
      <c r="B35" s="47" t="inlineStr">
        <is>
          <t>9000-7</t>
        </is>
      </c>
      <c r="C35" s="47" t="inlineStr">
        <is>
          <t>상부강화노반</t>
        </is>
      </c>
      <c r="D35" s="47" t="inlineStr">
        <is>
          <t>9000-7-34</t>
        </is>
      </c>
      <c r="E35" s="47">
        <f>D34</f>
        <v/>
      </c>
      <c r="F35" s="47">
        <f>D36</f>
        <v/>
      </c>
      <c r="G35" s="47" t="inlineStr">
        <is>
          <t>D+45~180</t>
        </is>
      </c>
      <c r="H35" s="47" t="inlineStr">
        <is>
          <t>방치기간 확보</t>
        </is>
      </c>
      <c r="I35" s="47" t="inlineStr">
        <is>
          <t>현장 공사팀</t>
        </is>
      </c>
      <c r="J35" s="49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K35" s="49" t="inlineStr">
        <is>
          <t>1) 일일 인원/장비/물량 집계 ➔ 2) 품질 시험 성적 &amp; TBM 수록 ➔ 3) CSI 전산 시스템 등록 ➔ 4) 책임감리원 일일 서면 직인 결재</t>
        </is>
      </c>
      <c r="L35" s="49" t="inlineStr">
        <is>
          <t>일일 투입 인원/장비/성토 물량(m³) 집계, CSI 전산 관리 시스템 등록 및 감리 일일 서면 직인</t>
        </is>
      </c>
      <c r="M35" s="49" t="inlineStr">
        <is>
          <t>본 과업은 연약지반 개량 및 대성토 구간의 압밀 침하가 충분히 완료되도록 법정 방치 기간을 확보하고 모니터링하여, 궤도 시공 후 불등침하가 발생하지 않도록 조치하는 것을 목적으로 함.</t>
        </is>
      </c>
      <c r="N35" s="75">
        <f>HYPERLINK(LEFT(CELL("filename",A1),FIND("[",CELL("filename",A1))-1)&amp;"4.상부강화노반\34_방치기간 확보\표준서\방치기간 확보_표준서.html", "👉 [클릭] 표준서 열기 📄")</f>
        <v/>
      </c>
      <c r="O35" s="49" t="inlineStr">
        <is>
          <t>1) 일일 인원/장비/물량 집계 ➔ 2) 품질 시험 성적 &amp; TBM 수록 ➔ 3) CSI 전산 시스템 등록 ➔ 4) 책임감리원 일일 서면 직인 결재</t>
        </is>
      </c>
      <c r="P35" s="76">
        <f>HYPERLINK(LEFT(CELL("filename",A1),FIND("[",CELL("filename",A1))-1)&amp;"4.상부강화노반\34_방치기간 확보\수행지침\방치기간 확보_수행지침.html", "👉 [클릭] 수행지침 열기 📄")</f>
        <v/>
      </c>
      <c r="Q35" s="49" t="inlineStr">
        <is>
          <t>일일 투입 인원/장비/성토 물량(m³) 집계, CSI 전산 관리 시스템 등록 및 감리 일일 서면 직인</t>
        </is>
      </c>
      <c r="R35" s="77">
        <f>HYPERLINK(LEFT(CELL("filename",A1),FIND("[",CELL("filename",A1))-1)&amp;"4.상부강화노반\34_방치기간 확보\체크리스트\방치기간 확보_체크리스트.html", "👉 [클릭] 체크리스트 열기 📄")</f>
        <v/>
      </c>
      <c r="S35" s="47" t="n"/>
    </row>
    <row r="36" ht="115.2" customHeight="1">
      <c r="A36" s="47" t="inlineStr">
        <is>
          <t>9000</t>
        </is>
      </c>
      <c r="B36" s="47" t="inlineStr">
        <is>
          <t>9000-7</t>
        </is>
      </c>
      <c r="C36" s="47" t="inlineStr">
        <is>
          <t>상부강화노반</t>
        </is>
      </c>
      <c r="D36" s="47" t="inlineStr">
        <is>
          <t>9000-7-35</t>
        </is>
      </c>
      <c r="E36" s="47">
        <f>D35</f>
        <v/>
      </c>
      <c r="F36" s="47">
        <f>D37</f>
        <v/>
      </c>
      <c r="G36" s="47" t="inlineStr">
        <is>
          <t>D+55~240</t>
        </is>
      </c>
      <c r="H36" s="47" t="inlineStr">
        <is>
          <t>토공마무리</t>
        </is>
      </c>
      <c r="I36" s="47" t="inlineStr">
        <is>
          <t>현장 공사팀</t>
        </is>
      </c>
      <c r="J36" s="49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K36" s="49" t="inlineStr">
        <is>
          <t>1) 공종별 검측요청서 24시간 전 제출 ➔ 2) 책임감리원 1:1 현장 입회 ➔ 3) 16개 체크리스트 서명 ➔ 4) 검측 총괄 승인 대장 감리 결재</t>
        </is>
      </c>
      <c r="L36" s="49" t="inlineStr">
        <is>
          <t>공사 착수 24시간 전 검측 요청서 제출, 책임감리원 1:1 현장 입회 및 16개 체크리스트 서명 대장</t>
        </is>
      </c>
      <c r="M36" s="49" t="inlineStr">
        <is>
          <t>본 과업은 상부강화노반 표면의 평탄성(3m 직선자 오차 ±10mm 이내)과 종·횡단 표고를 정밀 정돈하여, 궤도 공사 착수를 위한 최종 토공 마무리면 품질을 완성하는 것을 목적으로 함.</t>
        </is>
      </c>
      <c r="N36" s="75">
        <f>HYPERLINK(LEFT(CELL("filename",A1),FIND("[",CELL("filename",A1))-1)&amp;"4.상부강화노반\35_토공마무리\표준서\토공마무리_표준서.html", "👉 [클릭] 표준서 열기 📄")</f>
        <v/>
      </c>
      <c r="O36" s="49" t="inlineStr">
        <is>
          <t>1) 공종별 검측요청서 24시간 전 제출 ➔ 2) 책임감리원 1:1 현장 입회 ➔ 3) 16개 체크리스트 서명 ➔ 4) 검측 총괄 승인 대장 감리 결재</t>
        </is>
      </c>
      <c r="P36" s="76">
        <f>HYPERLINK(LEFT(CELL("filename",A1),FIND("[",CELL("filename",A1))-1)&amp;"4.상부강화노반\35_토공마무리\수행지침\토공마무리_수행지침.html", "👉 [클릭] 수행지침 열기 📄")</f>
        <v/>
      </c>
      <c r="Q36" s="49" t="inlineStr">
        <is>
          <t>공사 착수 24시간 전 검측 요청서 제출, 책임감리원 1:1 현장 입회 및 16개 체크리스트 서명 대장</t>
        </is>
      </c>
      <c r="R36" s="77">
        <f>HYPERLINK(LEFT(CELL("filename",A1),FIND("[",CELL("filename",A1))-1)&amp;"4.상부강화노반\35_토공마무리\체크리스트\토공마무리_체크리스트.html", "👉 [클릭] 체크리스트 열기 📄")</f>
        <v/>
      </c>
      <c r="S36" s="47" t="n"/>
    </row>
    <row r="37" ht="96" customHeight="1">
      <c r="A37" s="47" t="inlineStr">
        <is>
          <t>9000</t>
        </is>
      </c>
      <c r="B37" s="47" t="inlineStr">
        <is>
          <t>9000-7</t>
        </is>
      </c>
      <c r="C37" s="47" t="inlineStr">
        <is>
          <t>상부강화노반</t>
        </is>
      </c>
      <c r="D37" s="47" t="inlineStr">
        <is>
          <t>9000-7-36</t>
        </is>
      </c>
      <c r="E37" s="47">
        <f>D36</f>
        <v/>
      </c>
      <c r="F37" s="47">
        <f>D38</f>
        <v/>
      </c>
      <c r="G37" s="47" t="inlineStr">
        <is>
          <t>D+55~240</t>
        </is>
      </c>
      <c r="H37" s="47" t="inlineStr">
        <is>
          <t>토공 마무리면 인계</t>
        </is>
      </c>
      <c r="I37" s="47" t="inlineStr">
        <is>
          <t>현장 공사팀</t>
        </is>
      </c>
      <c r="J37" s="49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K37" s="49" t="inlineStr">
        <is>
          <t>1) 3자(토공-궤도-감리) 합동 현측 ➔ 2) 표고(±10mm) &amp; K30(≥110) 재검측 ➔ 3) 인계인수 합의서 3자 서명 ➔ 4) 상부강화노반 최종 완공 통보</t>
        </is>
      </c>
      <c r="L37" s="49" t="inlineStr">
        <is>
          <t>토공-궤도-감리 3자 합동 현측(표고 ±10mm, K30 ≥ 110), 인계인수 합의서 서명 및 완공 통보</t>
        </is>
      </c>
      <c r="M37" s="49" t="inlineStr">
        <is>
          <t>본 과업은 완성된 상부강화노반에 대해 토공 시공사, 궤도 시공사, 감리단 3자 합동 현장 검측을 실시하여 품질 합격 여부를 확인하고, 궤도 공종으로의 권한 및 부지를 정식 인계인수하는 것을 목적으로 함.</t>
        </is>
      </c>
      <c r="N37" s="75">
        <f>HYPERLINK(LEFT(CELL("filename",A1),FIND("[",CELL("filename",A1))-1)&amp;"4.상부강화노반\36_토공 마무리면 인계\표준서\토공 마무리면 인계_표준서.html", "👉 [클릭] 표준서 열기 📄")</f>
        <v/>
      </c>
      <c r="O37" s="49" t="inlineStr">
        <is>
          <t>1) 3자(토공-궤도-감리) 합동 현측 ➔ 2) 표고(±10mm) &amp; K30(≥110) 재검측 ➔ 3) 인계인수 합의서 3자 서명 ➔ 4) 상부강화노반 최종 완공 통보</t>
        </is>
      </c>
      <c r="P37" s="76">
        <f>HYPERLINK(LEFT(CELL("filename",A1),FIND("[",CELL("filename",A1))-1)&amp;"4.상부강화노반\36_토공 마무리면 인계\수행지침\토공 마무리면 인계_수행지침.html", "👉 [클릭] 수행지침 열기 📄")</f>
        <v/>
      </c>
      <c r="Q37" s="49" t="inlineStr">
        <is>
          <t>토공-궤도-감리 3자 합동 현측(표고 ±10mm, K30 ≥ 110), 인계인수 합의서 서명 및 완공 통보</t>
        </is>
      </c>
      <c r="R37" s="77">
        <f>HYPERLINK(LEFT(CELL("filename",A1),FIND("[",CELL("filename",A1))-1)&amp;"4.상부강화노반\36_토공 마무리면 인계\체크리스트\토공 마무리면 인계_체크리스트.html", "👉 [클릭] 체크리스트 열기 📄")</f>
        <v/>
      </c>
      <c r="S37" s="47" t="n"/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 t="n"/>
    </row>
  </sheetData>
  <printOptions horizontalCentered="1"/>
  <pageMargins left="0.7480314960629921" right="0.7480314960629921" top="0.984251968503937" bottom="0.984251968503937" header="0.5118110236220472" footer="0.5118110236220472"/>
  <pageSetup orientation="landscape" paperSize="8" scale="34" verticalDpi="0"/>
</worksheet>
</file>

<file path=xl/worksheets/sheet5.xml><?xml version="1.0" encoding="utf-8"?>
<worksheet xmlns="http://schemas.openxmlformats.org/spreadsheetml/2006/main">
  <sheetPr codeName="Sheet5">
    <tabColor rgb="FFFFFF00"/>
    <outlinePr summaryBelow="1" summaryRight="1"/>
    <pageSetUpPr/>
  </sheetPr>
  <dimension ref="A1:V39"/>
  <sheetViews>
    <sheetView view="pageBreakPreview" topLeftCell="B1" zoomScale="55" zoomScaleNormal="55" zoomScaleSheetLayoutView="55" workbookViewId="0">
      <pane xSplit="1" ySplit="1" topLeftCell="I8" activePane="bottomRight" state="frozen"/>
      <selection activeCell="B1" sqref="B1"/>
      <selection pane="topRight" activeCell="C1" sqref="C1"/>
      <selection pane="bottomLeft" activeCell="B2" sqref="B2"/>
      <selection pane="bottomRight" activeCell="K12" sqref="K12"/>
    </sheetView>
  </sheetViews>
  <sheetFormatPr baseColWidth="8" defaultColWidth="11.8984375" defaultRowHeight="19.2"/>
  <cols>
    <col width="11.8984375" customWidth="1" style="42" min="1" max="3"/>
    <col width="15" customWidth="1" style="22" min="4" max="4"/>
    <col width="16" customWidth="1" style="22" min="5" max="6"/>
    <col width="14.3984375" customWidth="1" style="45" min="7" max="7"/>
    <col width="17.19921875" customWidth="1" style="22" min="8" max="8"/>
    <col width="14.3984375" customWidth="1" style="22" min="9" max="9"/>
    <col width="24.19921875" customWidth="1" style="42" min="10" max="10"/>
    <col width="79.09765625" customWidth="1" style="22" min="11" max="11"/>
    <col width="19.8984375" customWidth="1" style="22" min="12" max="12"/>
    <col width="39.59765625" customWidth="1" style="42" min="13" max="13"/>
    <col width="11.8984375" customWidth="1" style="42" min="14" max="14"/>
    <col width="40.8984375" customWidth="1" style="42" min="15" max="15"/>
    <col width="11.59765625" customWidth="1" style="42" min="16" max="16"/>
    <col width="32.796875" bestFit="1" customWidth="1" style="42" min="17" max="17"/>
    <col width="12.296875" customWidth="1" style="54" min="18" max="18"/>
    <col hidden="1" width="11.8984375" customWidth="1" style="42" min="19" max="19"/>
    <col width="11.8984375" customWidth="1" style="54" min="20" max="21"/>
    <col width="11.8984375" customWidth="1" style="42" min="22" max="56"/>
    <col width="11.8984375" customWidth="1" style="42" min="57" max="16384"/>
  </cols>
  <sheetData>
    <row r="1" ht="46.8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6" t="inlineStr">
        <is>
          <t>산출물(결과)</t>
        </is>
      </c>
      <c r="M1" s="6" t="inlineStr">
        <is>
          <t>표준서 (Standard) 요약</t>
        </is>
      </c>
      <c r="N1" s="7" t="inlineStr">
        <is>
          <t>표준서 파일 (HTML)</t>
        </is>
      </c>
      <c r="O1" s="6" t="inlineStr">
        <is>
          <t>수행지침 (Guideline) 요약</t>
        </is>
      </c>
      <c r="P1" s="7" t="inlineStr">
        <is>
          <t>수행지침 파일 (HTML)</t>
        </is>
      </c>
      <c r="Q1" s="6" t="inlineStr">
        <is>
          <t>체크리스트 (Checklist) 요약</t>
        </is>
      </c>
      <c r="R1" s="7" t="inlineStr">
        <is>
          <t>체크리스트 파일 (HTML)</t>
        </is>
      </c>
      <c r="S1" s="6" t="inlineStr">
        <is>
          <t>비고</t>
        </is>
      </c>
      <c r="T1" s="6" t="inlineStr">
        <is>
          <t>첨부서류 연계 상세 설계기준</t>
        </is>
      </c>
      <c r="U1" s="6" t="inlineStr">
        <is>
          <t>집행단계 리스크 체크리스트</t>
        </is>
      </c>
      <c r="V1" s="6" t="inlineStr">
        <is>
          <t>협력사 시공/공사관리 자문</t>
        </is>
      </c>
    </row>
    <row r="2" ht="96" customHeight="1">
      <c r="A2" s="47" t="inlineStr">
        <is>
          <t>9000</t>
        </is>
      </c>
      <c r="B2" s="47" t="inlineStr">
        <is>
          <t>9000-6</t>
        </is>
      </c>
      <c r="C2" s="48" t="inlineStr">
        <is>
          <t>콘크리트도상분야</t>
        </is>
      </c>
      <c r="D2" s="47" t="inlineStr">
        <is>
          <t>9000-6-1</t>
        </is>
      </c>
      <c r="E2" s="47" t="n"/>
      <c r="F2" s="47">
        <f>D3</f>
        <v/>
      </c>
      <c r="G2" s="47" t="inlineStr">
        <is>
          <t>D-120 (D-150~D-120)</t>
        </is>
      </c>
      <c r="H2" s="47" t="inlineStr">
        <is>
          <t>설계적정성 검토</t>
        </is>
      </c>
      <c r="I2" s="47" t="inlineStr">
        <is>
          <t>현장소장</t>
        </is>
      </c>
      <c r="J2" s="49" t="inlineStr">
        <is>
          <t>노반부/궤도부 선형 및 종단 일치 등 설계오류 및 누락 확인</t>
        </is>
      </c>
      <c r="K2" s="49" t="inlineStr">
        <is>
          <t>노반부/궤도부 선형 및 종단 도면 및 설계 자료 비교 검토 실시
- 궤도 부속자재(체결구, 침목 등) 소요비 비용 설계반영 확인
- 유사시공사례 Case Study
- 지원: 본사담당팀(설계/수행/품질/외주)</t>
        </is>
      </c>
      <c r="L2" s="49" t="inlineStr">
        <is>
          <t>설계도면 검토서, 선형대조표</t>
        </is>
      </c>
      <c r="M2" s="49" t="inlineStr">
        <is>
          <t>KDS 47 30 00 궤도 설계기준 및 국토교통부 트램 건설 규칙을 엄격히 준수한다. 노반부-궤도부 선형 및 종단 계획고 일치 오차 0mm 검토.</t>
        </is>
      </c>
      <c r="N2" s="75">
        <f>HYPERLINK(LEFT(CELL("filename",A1),FIND("[",CELL("filename",A1))-1)&amp;"5.콘크리트도상\1_설계적정성 검토\표준서\설계적정성 검토_표준서.html", "👉 [클릭] 표준서 열기 📄")</f>
        <v/>
      </c>
      <c r="O2" s="49" t="inlineStr">
        <is>
          <t>1) 하부 HBS 강화노반 지지력(K70 ≥ 150 MPa/m) 및 평탄성 사전 검측 확인
2) 궤도 정밀 검측: 궤간(1435mm), 캔트(±2mm), 수평(±2mm), 고저(±2mm/10m), 비틀림(1.5mm/3m) 실시간 검측</t>
        </is>
      </c>
      <c r="P2" s="76">
        <f>HYPERLINK(LEFT(CELL("filename",A1),FIND("[",CELL("filename",A1))-1)&amp;"5.콘크리트도상\1_설계적정성 검토\수행지침\설계적정성 검토_수행지침.html", "👉 [클릭] 수행지침 열기 📄")</f>
        <v/>
      </c>
      <c r="Q2" s="49" t="inlineStr">
        <is>
          <t>설계 도면 간섭 검속, 궤도 중심선 계획 표고 대조, 종단 구배 한계치 준수 확인</t>
        </is>
      </c>
      <c r="R2" s="77">
        <f>HYPERLINK(LEFT(CELL("filename",A1),FIND("[",CELL("filename",A1))-1)&amp;"5.콘크리트도상\1_설계적정성 검토\체크리스트\설계적정성 검토_체크리스트.html", "👉 [클릭] 체크리스트 열기 📄")</f>
        <v/>
      </c>
      <c r="S2" s="47" t="n"/>
      <c r="T2" s="69" t="inlineStr">
        <is>
          <t>● 노반부 및 궤도 선형 기하학적 설계 기준 일치성</t>
        </is>
      </c>
      <c r="U2" s="69" t="inlineStr">
        <is>
          <t>1) 👉 [더블클릭] 체크리스트 열기 📄</t>
        </is>
      </c>
      <c r="V2" s="49" t="n"/>
    </row>
    <row r="3" ht="96" customHeight="1">
      <c r="A3" s="47" t="inlineStr">
        <is>
          <t>9000</t>
        </is>
      </c>
      <c r="B3" s="47" t="inlineStr">
        <is>
          <t>9000-6</t>
        </is>
      </c>
      <c r="C3" s="48" t="inlineStr">
        <is>
          <t>콘크리트도상분야</t>
        </is>
      </c>
      <c r="D3" s="47" t="inlineStr">
        <is>
          <t>9000-6-2</t>
        </is>
      </c>
      <c r="E3" s="47">
        <f>D2</f>
        <v/>
      </c>
      <c r="F3" s="47">
        <f>D4</f>
        <v/>
      </c>
      <c r="G3" s="47" t="inlineStr">
        <is>
          <t>D-100 (D-120~D-100)</t>
        </is>
      </c>
      <c r="H3" s="47" t="inlineStr">
        <is>
          <t>자재 야적장 선정</t>
        </is>
      </c>
      <c r="I3" s="47" t="inlineStr">
        <is>
          <t>현장 공무팀</t>
        </is>
      </c>
      <c r="J3" s="49" t="inlineStr">
        <is>
          <t>콘크리트도상 시공에 필요한 침목, 체결구 등 자재야적 부지 선정</t>
        </is>
      </c>
      <c r="K3" s="49" t="inlineStr">
        <is>
          <t>- 야적장소는 반입자재 및 노반 구조물 파손 방지를 위해 연약지반, 방호벽의 침하 예상부위를 피해서 선정
- 타 분야(전철전력, 송변전, 건축, 신호통신) 간섭사항을 고려하여 동선이 겹치지 않도록 선정</t>
        </is>
      </c>
      <c r="L3" s="49" t="inlineStr">
        <is>
          <t>부지사용계약서, 가설야적장 평면도</t>
        </is>
      </c>
      <c r="M3" s="49" t="inlineStr">
        <is>
          <t>침목, 체결구, 홈레일 등 궤도 주요 자재의 현장 보관 기준 수립. 배수 경사 2% 및 지반 다짐도 95% 이상 야적장 확보.</t>
        </is>
      </c>
      <c r="N3" s="75">
        <f>HYPERLINK(LEFT(CELL("filename",A1),FIND("[",CELL("filename",A1))-1)&amp;"5.콘크리트도상\2_자재 야적장 선정\표준서\자재 야적장 선정_표준서.html", "👉 [클릭] 표준서 열기 📄")</f>
        <v/>
      </c>
      <c r="O3" s="49" t="inlineStr">
        <is>
          <t>1) 야적 부지 지반재하시험(K70 ≥ 150 MPa/m)을 실시하여 하중 침하 여부 사전 검증
2) 장대레일 운반 트레일러(길이 30m 이상) 회전반경 및 크레인 인양 진입로 확보</t>
        </is>
      </c>
      <c r="P3" s="76">
        <f>HYPERLINK(LEFT(CELL("filename",A1),FIND("[",CELL("filename",A1))-1)&amp;"5.콘크리트도상\2_자재 야적장 선정\수행지침\자재 야적장 선정_수행지침.html", "👉 [클릭] 수행지침 열기 📄")</f>
        <v/>
      </c>
      <c r="Q3" s="49" t="inlineStr">
        <is>
          <t>야적장 지반 다짐도 95% 이상, 배수 경사 2% 이상 확보, 자재 천막 덮개 구비</t>
        </is>
      </c>
      <c r="R3" s="77">
        <f>HYPERLINK(LEFT(CELL("filename",A1),FIND("[",CELL("filename",A1))-1)&amp;"5.콘크리트도상\2_자재 야적장 선정\체크리스트\자재 야적장 선정_체크리스트.html", "👉 [클릭] 체크리스트 열기 📄")</f>
        <v/>
      </c>
      <c r="S3" s="47" t="n"/>
      <c r="T3" s="69" t="inlineStr">
        <is>
          <t>● 궤도 자재의 환경 보호 및 보관 관리 지침</t>
        </is>
      </c>
      <c r="U3" s="69" t="inlineStr">
        <is>
          <t>1) 👉 [더블클릭] 체크리스트 열기 📄</t>
        </is>
      </c>
      <c r="V3" s="49" t="n"/>
    </row>
    <row r="4" ht="96" customHeight="1">
      <c r="A4" s="47" t="inlineStr">
        <is>
          <t>9000</t>
        </is>
      </c>
      <c r="B4" s="47" t="inlineStr">
        <is>
          <t>9000-6</t>
        </is>
      </c>
      <c r="C4" s="48" t="inlineStr">
        <is>
          <t>콘크리트도상분야</t>
        </is>
      </c>
      <c r="D4" s="47" t="inlineStr">
        <is>
          <t>9000-6-3</t>
        </is>
      </c>
      <c r="E4" s="47">
        <f>D3</f>
        <v/>
      </c>
      <c r="F4" s="47">
        <f>D5</f>
        <v/>
      </c>
      <c r="G4" s="47" t="inlineStr">
        <is>
          <t>D-100 (D-120~D-100)</t>
        </is>
      </c>
      <c r="H4" s="47" t="inlineStr">
        <is>
          <t>레일 용접장 선정</t>
        </is>
      </c>
      <c r="I4" s="47" t="inlineStr">
        <is>
          <t>현장 공무팀</t>
        </is>
      </c>
      <c r="J4" s="49" t="inlineStr">
        <is>
          <t>정척레일 15본을 용접하여 200m 이상의 장대레일 제작하는 작업장을 선정 (타분야 인터페이스 고려)</t>
        </is>
      </c>
      <c r="K4" s="49" t="inlineStr">
        <is>
          <t>- 용접기 설치, 정척레일 및 장대레일 보관장소를 고려, 최소 400m 이상의 공간을 확보하고 장대레일 분출 범위를 고려, 본선 용접장 선정
- 타 분야(전철전력, 송변전, 건축, 신호통신) 인터페이스 간섭사항 고려</t>
        </is>
      </c>
      <c r="L4" s="49" t="inlineStr">
        <is>
          <t>용접장 임시지정서, NDT 검사실 계획서</t>
        </is>
      </c>
      <c r="M4" s="49" t="inlineStr">
        <is>
          <t>EN 14730 테르밋 및 EN 14587 가스압접 용접을 위한 작업 공간 확보. 정척레일(25m)을 200m 장대로 용접하는 평탄 작업대 수평 오차 ±1mm 이내 확보.</t>
        </is>
      </c>
      <c r="N4" s="75">
        <f>HYPERLINK(LEFT(CELL("filename",A1),FIND("[",CELL("filename",A1))-1)&amp;"5.콘크리트도상\3_레일 용접장 선정\표준서\레일 용접장 선정_표준서.html", "👉 [클릭] 표준서 열기 📄")</f>
        <v/>
      </c>
      <c r="O4" s="49" t="inlineStr">
        <is>
          <t>1) m 장대레일 일직선 이송을 위한 롤러대 기반 수평 정밀 측량 (오차 ±0.5mm/10m 이내)
2) 가스압접/플래시버트 용접용 대용량 전력 및 아세틸렌/산소 가스 안전 저장소 확보</t>
        </is>
      </c>
      <c r="P4" s="76">
        <f>HYPERLINK(LEFT(CELL("filename",A1),FIND("[",CELL("filename",A1))-1)&amp;"5.콘크리트도상\3_레일 용접장 선정\수행지침\레일 용접장 선정_수행지침.html", "👉 [클릭] 수행지침 열기 📄")</f>
        <v/>
      </c>
      <c r="Q4" s="49" t="inlineStr">
        <is>
          <t>용접장 평탄성 오차 ±1mm 이내, 전력 공급 및 방풍 시설 완비, NDT(비파괴) 대기 공간 확보</t>
        </is>
      </c>
      <c r="R4" s="77">
        <f>HYPERLINK(LEFT(CELL("filename",A1),FIND("[",CELL("filename",A1))-1)&amp;"5.콘크리트도상\3_레일 용접장 선정\체크리스트\레일 용접장 선정_체크리스트.html", "👉 [클릭] 체크리스트 열기 📄")</f>
        <v/>
      </c>
      <c r="S4" s="47" t="n"/>
      <c r="T4" s="69" t="inlineStr">
        <is>
          <t>● 장대레일 제작장 확보 및 공간 레이아웃 만족</t>
        </is>
      </c>
      <c r="U4" s="69" t="inlineStr">
        <is>
          <t>1) 👉 [더블클릭] 체크리스트 열기 📄</t>
        </is>
      </c>
      <c r="V4" s="49" t="n"/>
    </row>
    <row r="5" ht="134.4" customHeight="1">
      <c r="A5" s="47" t="inlineStr">
        <is>
          <t>9000</t>
        </is>
      </c>
      <c r="B5" s="47" t="inlineStr">
        <is>
          <t>9000-6</t>
        </is>
      </c>
      <c r="C5" s="48" t="inlineStr">
        <is>
          <t>콘크리트도상분야</t>
        </is>
      </c>
      <c r="D5" s="47" t="inlineStr">
        <is>
          <t>9000-6-4</t>
        </is>
      </c>
      <c r="E5" s="47">
        <f>D4</f>
        <v/>
      </c>
      <c r="F5" s="47">
        <f>D6</f>
        <v/>
      </c>
      <c r="G5" s="47" t="inlineStr">
        <is>
          <t>D-90 (D-120~D-90)</t>
        </is>
      </c>
      <c r="H5" s="47" t="inlineStr">
        <is>
          <t>발주전략 KOM</t>
        </is>
      </c>
      <c r="I5" s="47" t="inlineStr">
        <is>
          <t>현장 공무팀</t>
        </is>
      </c>
      <c r="J5" s="49" t="inlineStr">
        <is>
          <t>궤도공사 발주전략 수립 / 발주조건 CP적합 여부 검토</t>
        </is>
      </c>
      <c r="K5" s="49" t="inlineStr">
        <is>
          <t>- 가시공 B/P 적정성 검토
- 발주시기, 발주내역, 현설조건, 현장여건 고려 발주전략 분석
- 사전검토한 설계 및 공법 반영
- 현설설명서 작성 (하자관리방안이 포함된 특기사항 체크리스트 반영)
- 노선 공정계획(구간별 인도시기 고려)
- 궤도설치 후 합동점검시 레일 및 틀어짐 허용오차 이상 발생시 보수 의무사항 안내
- 지원: 본사담당팀(외주/수행/견적)</t>
        </is>
      </c>
      <c r="L5" s="49" t="inlineStr">
        <is>
          <t>KOM 의사록, 품질 보증 합의서</t>
        </is>
      </c>
      <c r="M5" s="49" t="inlineStr">
        <is>
          <t>KCS 47 30 00 시방 기준 준수. 궤도 자재 품질 확인서 및 외산 홈레일 조달 리스크 대응 전략 수립.</t>
        </is>
      </c>
      <c r="N5" s="75">
        <f>HYPERLINK(LEFT(CELL("filename",A1),FIND("[",CELL("filename",A1))-1)&amp;"5.콘크리트도상\4_발주전략 KOM\표준서\발주전략 KOM_표준서.html", "👉 [클릭] 표준서 열기 📄")</f>
        <v/>
      </c>
      <c r="O5" s="49" t="inlineStr">
        <is>
          <t>1) 제조사 공장검사(FAT) 항목 및 궤도 정밀 검측 공차 기준 전파
2) KDS 47 30 00 및 KS 규격 만족 자재 목록 및 세부 발주 물량 확정</t>
        </is>
      </c>
      <c r="P5" s="76">
        <f>HYPERLINK(LEFT(CELL("filename",A1),FIND("[",CELL("filename",A1))-1)&amp;"5.콘크리트도상\4_발주전략 KOM\수행지침\발주전략 KOM_수행지침.html", "👉 [클릭] 수행지침 열기 📄")</f>
        <v/>
      </c>
      <c r="Q5" s="49" t="inlineStr">
        <is>
          <t>품질 요구조건 특기시방서 의결, 외산 홈레일 선적일정 검토, 자재 인도 시점 확약</t>
        </is>
      </c>
      <c r="R5" s="77">
        <f>HYPERLINK(LEFT(CELL("filename",A1),FIND("[",CELL("filename",A1))-1)&amp;"5.콘크리트도상\4_발주전략 KOM\체크리스트\발주전략 KOM_체크리스트.html", "👉 [클릭] 체크리스트 열기 📄")</f>
        <v/>
      </c>
      <c r="S5" s="47" t="n"/>
      <c r="T5" s="69" t="inlineStr">
        <is>
          <t>● 본사 외주/수행 부서 및 토목견적팀 협의 지침 준수</t>
        </is>
      </c>
      <c r="U5" s="69" t="inlineStr">
        <is>
          <t>1) 👉 [더블클릭] 체크리스트 열기 📄</t>
        </is>
      </c>
      <c r="V5" s="49" t="n"/>
    </row>
    <row r="6" ht="96" customHeight="1">
      <c r="A6" s="47" t="inlineStr">
        <is>
          <t>9000</t>
        </is>
      </c>
      <c r="B6" s="47" t="inlineStr">
        <is>
          <t>9000-6</t>
        </is>
      </c>
      <c r="C6" s="48" t="inlineStr">
        <is>
          <t>콘크리트도상분야</t>
        </is>
      </c>
      <c r="D6" s="47" t="inlineStr">
        <is>
          <t>9000-6-5</t>
        </is>
      </c>
      <c r="E6" s="47">
        <f>D5</f>
        <v/>
      </c>
      <c r="F6" s="47">
        <f>D7</f>
        <v/>
      </c>
      <c r="G6" s="47" t="inlineStr">
        <is>
          <t>D-60 (D-90~D-60)</t>
        </is>
      </c>
      <c r="H6" s="47" t="inlineStr">
        <is>
          <t>최고의 팀 만들기 지원</t>
        </is>
      </c>
      <c r="I6" s="47" t="inlineStr">
        <is>
          <t>외주관리팀</t>
        </is>
      </c>
      <c r="J6" s="49" t="inlineStr">
        <is>
          <t>우수 협력사 및 작업반 선정</t>
        </is>
      </c>
      <c r="K6" s="49" t="inlineStr">
        <is>
          <t>- 동일 환경조건 시공경험 보유 여부 검토
- 투입인원 경력, 현장이해도, 관리역량, 파트너 업체 검증</t>
        </is>
      </c>
      <c r="L6" s="49" t="inlineStr">
        <is>
          <t>협력사 적격성 심사표, 노무안전서약철</t>
        </is>
      </c>
      <c r="M6" s="49" t="inlineStr">
        <is>
          <t>EN ISO 9606-1 용접 자격자 및 궤도 정밀 검측원(Track Master 운용원) 확보 심사 기준.</t>
        </is>
      </c>
      <c r="N6" s="75">
        <f>HYPERLINK(LEFT(CELL("filename",A1),FIND("[",CELL("filename",A1))-1)&amp;"5.콘크리트도상\5_최고의 팀 만들기 지원\표준서\최고의 팀 만들기 지원_표준서.html", "👉 [클릭] 표준서 열기 📄")</f>
        <v/>
      </c>
      <c r="O6" s="49" t="inlineStr">
        <is>
          <t>1) EN ISO 14730 용접원 자격증 및 광학 측량 기술자 자격 검증
2) 스핀들 게이지 조정, 캔트 달성구배, 테르밋 산화반응 제어 사전 모의 훈련</t>
        </is>
      </c>
      <c r="P6" s="76">
        <f>HYPERLINK(LEFT(CELL("filename",A1),FIND("[",CELL("filename",A1))-1)&amp;"5.콘크리트도상\5_최고의 팀 만들기 지원\수행지침\최고의 팀 만들기 지원_수행지침.html", "👉 [클릭] 수행지침 열기 📄")</f>
        <v/>
      </c>
      <c r="Q6" s="49" t="inlineStr">
        <is>
          <t>용접공 자격증 원본 대조, 정밀 검측 장비 검교정 확인, 궤도 전문 기술사 면허 검토</t>
        </is>
      </c>
      <c r="R6" s="77">
        <f>HYPERLINK(LEFT(CELL("filename",A1),FIND("[",CELL("filename",A1))-1)&amp;"5.콘크리트도상\5_최고의 팀 만들기 지원\체크리스트\최고의 팀 만들기 지원_체크리스트.html", "👉 [클릭] 체크리스트 열기 📄")</f>
        <v/>
      </c>
      <c r="S6" s="47" t="n"/>
      <c r="T6" s="69" t="inlineStr">
        <is>
          <t>● 협력업체 역량 평가 및 등록 관리 기준 만족</t>
        </is>
      </c>
      <c r="U6" s="69" t="inlineStr">
        <is>
          <t>1) 👉 [더블클릭] 체크리스트 열기 📄</t>
        </is>
      </c>
      <c r="V6" s="49" t="n"/>
    </row>
    <row r="7" ht="76.8" customHeight="1">
      <c r="A7" s="47" t="inlineStr">
        <is>
          <t>9000</t>
        </is>
      </c>
      <c r="B7" s="47" t="inlineStr">
        <is>
          <t>9000-6</t>
        </is>
      </c>
      <c r="C7" s="48" t="inlineStr">
        <is>
          <t>콘크리트도상분야</t>
        </is>
      </c>
      <c r="D7" s="47" t="inlineStr">
        <is>
          <t>9000-6-6</t>
        </is>
      </c>
      <c r="E7" s="47">
        <f>D6</f>
        <v/>
      </c>
      <c r="F7" s="47">
        <f>D8</f>
        <v/>
      </c>
      <c r="G7" s="47" t="inlineStr">
        <is>
          <t>D-70 (D-70~D-60)</t>
        </is>
      </c>
      <c r="H7" s="47" t="inlineStr">
        <is>
          <t>콘크리트 타설방법/계획 검토</t>
        </is>
      </c>
      <c r="I7" s="47" t="inlineStr">
        <is>
          <t>현장 공사팀</t>
        </is>
      </c>
      <c r="J7" s="49" t="inlineStr">
        <is>
          <t>현장여건에 따른 구간/위치별 적정 타설방법 및 계획 검토</t>
        </is>
      </c>
      <c r="K7" s="49" t="inlineStr">
        <is>
          <t>- 펌프카 타설: 공간이 넓거나, 교량 하부에서 타설이 가능한 경우 적용
- 압송관 타설: 교량이나 터널 (L=300~500m)에 적합
- 개조장비 타설: 개조 믹서트럭을 이용하여 타설</t>
        </is>
      </c>
      <c r="L7" s="49" t="inlineStr">
        <is>
          <t>콘크리트 타설공정 계획서, 펌프카 배치도</t>
        </is>
      </c>
      <c r="M7" s="49" t="inlineStr">
        <is>
          <t>KCS 47 30 00 콘크리트 궤도 시방 준수. 펌프카 타설압력에 의한 궤광 변위 방지 지지 계획 수립.</t>
        </is>
      </c>
      <c r="N7" s="75">
        <f>HYPERLINK(LEFT(CELL("filename",A1),FIND("[",CELL("filename",A1))-1)&amp;"5.콘크리트도상\6_콘크리트 타설방법_계획 검토\표준서\콘크리트 타설방법_계획 검토_표준서.html", "👉 [클릭] 표준서 열기 📄")</f>
        <v/>
      </c>
      <c r="O7" s="49" t="inlineStr">
        <is>
          <t>1) TCL 콘크리트(f_ck ≥ 30 MPa) 및 PST 충전재(f_ck ≥ 45 MPa) 배합 성적서 확인
2) 레미콘 운반시간(60분 이내) 및 펌프카 배치 공간 사전 확보</t>
        </is>
      </c>
      <c r="P7" s="76">
        <f>HYPERLINK(LEFT(CELL("filename",A1),FIND("[",CELL("filename",A1))-1)&amp;"5.콘크리트도상\6_콘크리트 타설방법_계획 검토\수행지침\콘크리트 타설방법_계획 검토_수행지침.html", "👉 [클릭] 수행지침 열기 📄")</f>
        <v/>
      </c>
      <c r="Q7" s="49" t="inlineStr">
        <is>
          <t>구간별 펌프카 배치도 작성, 타설 시 궤광 고정 잭 지지 계획 승인, 콘크리트 슬럼프 품질 확인</t>
        </is>
      </c>
      <c r="R7" s="77">
        <f>HYPERLINK(LEFT(CELL("filename",A1),FIND("[",CELL("filename",A1))-1)&amp;"5.콘크리트도상\6_콘크리트 타설방법_계획 검토\체크리스트\콘크리트 타설방법_계획 검토_체크리스트.html", "👉 [클릭] 체크리스트 열기 📄")</f>
        <v/>
      </c>
      <c r="S7" s="47" t="n"/>
      <c r="T7" s="69" t="inlineStr">
        <is>
          <t>● 콘크리트 연속타설 및 콜드조인트 방지 기준</t>
        </is>
      </c>
      <c r="U7" s="69" t="inlineStr">
        <is>
          <t>1) 👉 [더블클릭] 체크리스트 열기 📄</t>
        </is>
      </c>
      <c r="V7" s="49" t="n"/>
    </row>
    <row r="8" ht="219.6" customHeight="1">
      <c r="A8" s="47" t="inlineStr">
        <is>
          <t>9000</t>
        </is>
      </c>
      <c r="B8" s="47" t="inlineStr">
        <is>
          <t>9000-6</t>
        </is>
      </c>
      <c r="C8" s="48" t="inlineStr">
        <is>
          <t>콘크리트도상분야</t>
        </is>
      </c>
      <c r="D8" s="47" t="inlineStr">
        <is>
          <t>9000-6-7</t>
        </is>
      </c>
      <c r="E8" s="47">
        <f>D7</f>
        <v/>
      </c>
      <c r="F8" s="47">
        <f>D9</f>
        <v/>
      </c>
      <c r="G8" s="47" t="inlineStr">
        <is>
          <t>D-60</t>
        </is>
      </c>
      <c r="H8" s="47" t="inlineStr">
        <is>
          <t>작수전 Big Room 회의</t>
        </is>
      </c>
      <c r="I8" s="47" t="inlineStr">
        <is>
          <t>현장소장</t>
        </is>
      </c>
      <c r="J8" s="49" t="inlineStr">
        <is>
          <t>궤도공사 수행 시 공정계획 수립 / 수행 시 예상가능한 Risk 검토</t>
        </is>
      </c>
      <c r="K8" s="49" t="inlineStr">
        <is>
          <t>본사/현장/협력사 협의체 구축 후 상세검토
1) 궤도공사 공정계획 수립: 
  - 자재, 장비 반입로/반입구 사용가능 시기에 따른 자재반입 계획 수립, 
  - 노선 Handover 시기에 따른 시공계획 수립
2) 타설계획 수립: 
  -현장여건을 고려한 타설방법 선정
3) 공종별 Risk Hedge방안 검토: 
 - 외산자재 반입일정 확정
 - 플래시버트 장비 임대 또는 특수용접사 확보
※ 참석: 현장소장, 공무/공사/품질/안전 Part담당자, 궤도협력업체, 선후행 공종 협력업체, 본사 담당팀(견적/설계/수행(공정)/품질/안전)</t>
        </is>
      </c>
      <c r="L8" s="49" t="inlineStr">
        <is>
          <t>빅룸 회의록, 인터페이스 대장</t>
        </is>
      </c>
      <c r="M8" s="49" t="inlineStr">
        <is>
          <t>노반-궤도 간 인터페이스, 신호 루프 센서 및 누설 전류(Stray Current) 부식 방지 디오드 접지선 매설 계획 의결.</t>
        </is>
      </c>
      <c r="N8" s="75">
        <f>HYPERLINK(LEFT(CELL("filename",A1),FIND("[",CELL("filename",A1))-1)&amp;"5.콘크리트도상\7_작수전 Big Room 회의\표준서\작수전 Big Room 회의_표준서.html", "👉 [클릭] 표준서 열기 📄")</f>
        <v/>
      </c>
      <c r="O8" s="49" t="inlineStr">
        <is>
          <t>1) 노반-궤도 인수인계 높이 공차 및 신호 루프센서 위치 취합
2) 도로 매설 궤도 표면과 도로 포장 표면 마감 높이 일치성 확정</t>
        </is>
      </c>
      <c r="P8" s="76">
        <f>HYPERLINK(LEFT(CELL("filename",A1),FIND("[",CELL("filename",A1))-1)&amp;"5.콘크리트도상\7_작수전 Big Room 회의\수행지침\작수전 Big Room 회의_수행지침.html", "👉 [클릭] 수행지침 열기 📄")</f>
        <v/>
      </c>
      <c r="Q8" s="49" t="inlineStr">
        <is>
          <t>신호 센서 매설 위치 철근 간섭 해결, 접지선 용접부 연속성 확인, 부서 합동 서명 날인</t>
        </is>
      </c>
      <c r="R8" s="77">
        <f>HYPERLINK(LEFT(CELL("filename",A1),FIND("[",CELL("filename",A1))-1)&amp;"5.콘크리트도상\7_작수전 Big Room 회의\체크리스트\작수전 Big Room 회의_체크리스트.html", "👉 [클릭] 체크리스트 열기 📄")</f>
        <v/>
      </c>
      <c r="S8" s="47" t="n"/>
      <c r="T8" s="69" t="inlineStr">
        <is>
          <t>● 유관 공종(토목, 전기, 신호) 인터페이스 검토</t>
        </is>
      </c>
      <c r="U8" s="69" t="inlineStr">
        <is>
          <t>1) 👉 [더블클릭] 체크리스트 열기 📄</t>
        </is>
      </c>
      <c r="V8" s="49" t="n"/>
    </row>
    <row r="9" ht="76.8" customHeight="1">
      <c r="A9" s="47" t="inlineStr">
        <is>
          <t>9000</t>
        </is>
      </c>
      <c r="B9" s="47" t="inlineStr">
        <is>
          <t>9000-6</t>
        </is>
      </c>
      <c r="C9" s="48" t="inlineStr">
        <is>
          <t>콘크리트도상분야</t>
        </is>
      </c>
      <c r="D9" s="47" t="inlineStr">
        <is>
          <t>9000-6-8</t>
        </is>
      </c>
      <c r="E9" s="47">
        <f>D8</f>
        <v/>
      </c>
      <c r="F9" s="47">
        <f>D10</f>
        <v/>
      </c>
      <c r="G9" s="47" t="inlineStr">
        <is>
          <t>D-60</t>
        </is>
      </c>
      <c r="H9" s="47" t="inlineStr">
        <is>
          <t>장비,자재 반입로/반입구 간섭 검토</t>
        </is>
      </c>
      <c r="I9" s="47" t="inlineStr">
        <is>
          <t>현장공사팀</t>
        </is>
      </c>
      <c r="J9" s="49" t="inlineStr">
        <is>
          <t>장비, 자재의 반입로/반입구의 타공종 간섭 검토</t>
        </is>
      </c>
      <c r="K9" s="49" t="inlineStr">
        <is>
          <t>- 자재반입 시 노반 시공 간섭 검토
- 자재반입로/반입구 사용가능 시기 검토</t>
        </is>
      </c>
      <c r="L9" s="49" t="inlineStr">
        <is>
          <t>반입로 시뮬레이션 보고서, 도로점용 허가서</t>
        </is>
      </c>
      <c r="M9" s="49" t="inlineStr">
        <is>
          <t>장대레일 운반 트레일러(길이 25m 이상) 도로 회전 반경 R=15m 확보 및 타공종 가설재 간섭 배제.</t>
        </is>
      </c>
      <c r="N9" s="75">
        <f>HYPERLINK(LEFT(CELL("filename",A1),FIND("[",CELL("filename",A1))-1)&amp;"5.콘크리트도상\8_장비,자재 반입로_반입구 간섭 검토\표준서\장비,자재 반입로_반입구 간섭 검토_표준서.html", "👉 [클릭] 표준서 열기 📄")</f>
        <v/>
      </c>
      <c r="O9" s="49" t="inlineStr">
        <is>
          <t>1) 상부 신호등/가공전선 이격거리(5m 이상) 및 도로점용 허가 구역 조사
2) 전담 신호수 배치 및 대형 레일 운반 차량 유도</t>
        </is>
      </c>
      <c r="P9" s="76">
        <f>HYPERLINK(LEFT(CELL("filename",A1),FIND("[",CELL("filename",A1))-1)&amp;"5.콘크리트도상\8_장비,자재 반입로_반입구 간섭 검토\수행지침\장비,자재 반입로_반입구 간섭 검토_수행지침.html", "👉 [클릭] 수행지침 열기 📄")</f>
        <v/>
      </c>
      <c r="Q9" s="49" t="inlineStr">
        <is>
          <t>트레일러 회전 시뮬레이션 승인, 가설 비계 간섭 범위 해제, 도로 점용 허가 필증 확인</t>
        </is>
      </c>
      <c r="R9" s="77">
        <f>HYPERLINK(LEFT(CELL("filename",A1),FIND("[",CELL("filename",A1))-1)&amp;"5.콘크리트도상\8_장비,자재 반입로_반입구 간섭 검토\체크리스트\장비,자재 반입로_반입구 간섭 검토_체크리스트.html", "👉 [클릭] 체크리스트 열기 📄")</f>
        <v/>
      </c>
      <c r="S9" s="47" t="n"/>
      <c r="T9" s="69" t="inlineStr">
        <is>
          <t>● 궤도 시공 가설 동선 적합성 검토</t>
        </is>
      </c>
      <c r="U9" s="69" t="inlineStr">
        <is>
          <t>1) 👉 [더블클릭] 체크리스트 열기 📄</t>
        </is>
      </c>
      <c r="V9" s="49" t="n"/>
    </row>
    <row r="10" ht="76.8" customHeight="1">
      <c r="A10" s="47" t="inlineStr">
        <is>
          <t>9000</t>
        </is>
      </c>
      <c r="B10" s="47" t="inlineStr">
        <is>
          <t>9000-6</t>
        </is>
      </c>
      <c r="C10" s="48" t="inlineStr">
        <is>
          <t>콘크리트도상분야</t>
        </is>
      </c>
      <c r="D10" s="47" t="inlineStr">
        <is>
          <t>9000-6-9</t>
        </is>
      </c>
      <c r="E10" s="47">
        <f>D9</f>
        <v/>
      </c>
      <c r="F10" s="47">
        <f>D11</f>
        <v/>
      </c>
      <c r="G10" s="47" t="inlineStr">
        <is>
          <t>D-60</t>
        </is>
      </c>
      <c r="H10" s="47" t="inlineStr">
        <is>
          <t>자재조달계획 검토</t>
        </is>
      </c>
      <c r="I10" s="47" t="inlineStr">
        <is>
          <t>현장관리팀, 현장공사팀</t>
        </is>
      </c>
      <c r="J10" s="49" t="inlineStr">
        <is>
          <t>외산자재 검수 및 반입일정 검토 / 노반 공정에 따른 반입 시기 검토</t>
        </is>
      </c>
      <c r="K10" s="49" t="inlineStr">
        <is>
          <t>- 외산자재 수량 및 위치, 야적장 규모 등을 고려하여 주문 시기 검토
- 노반 인도 구역 및 규모에 따른 자재 조달계획 수립</t>
        </is>
      </c>
      <c r="L10" s="49" t="inlineStr">
        <is>
          <t>자재수급스케줄표, 조달 승인서</t>
        </is>
      </c>
      <c r="M10" s="49" t="inlineStr">
        <is>
          <t>홈레일, 체결구, 탄성 충전재 등 주요 자재의 해상 운송 및 국내 보관 일정 검토. OMC 품질 시방 확보.</t>
        </is>
      </c>
      <c r="N10" s="75">
        <f>HYPERLINK(LEFT(CELL("filename",A1),FIND("[",CELL("filename",A1))-1)&amp;"5.콘크리트도상\9_자재조달계획 검토\표준서\자재조달계획 검토_표준서.html", "👉 [클릭] 표준서 열기 📄")</f>
        <v/>
      </c>
      <c r="O10" s="49" t="inlineStr">
        <is>
          <t>1) 특수 홈레일 및 PST 패널 조달 마스터 일정표 검토
2) PST 슬래브 공장 생산 강도 및 홈레일 단면 검수</t>
        </is>
      </c>
      <c r="P10" s="76">
        <f>HYPERLINK(LEFT(CELL("filename",A1),FIND("[",CELL("filename",A1))-1)&amp;"5.콘크리트도상\9_자재조달계획 검토\수행지침\자재조달계획 검토_수행지침.html", "👉 [클릭] 수행지침 열기 📄")</f>
        <v/>
      </c>
      <c r="Q10" s="49" t="inlineStr">
        <is>
          <t>선적 서류 및 통관 승인서 구비, 국내 야적장 2차 보관 상태 점검, 자재 공급 승인서 확인</t>
        </is>
      </c>
      <c r="R10" s="77">
        <f>HYPERLINK(LEFT(CELL("filename",A1),FIND("[",CELL("filename",A1))-1)&amp;"5.콘크리트도상\9_자재조달계획 검토\체크리스트\자재조달계획 검토_체크리스트.html", "👉 [클릭] 체크리스트 열기 📄")</f>
        <v/>
      </c>
      <c r="S10" s="47" t="n"/>
      <c r="T10" s="69" t="inlineStr">
        <is>
          <t>● 주요 외산 자재 공급 및 선적 일정 확인</t>
        </is>
      </c>
      <c r="U10" s="69" t="inlineStr">
        <is>
          <t>1) 👉 [더블클릭] 체크리스트 열기 📄</t>
        </is>
      </c>
      <c r="V10" s="49" t="n"/>
    </row>
    <row r="11" ht="57.6" customHeight="1">
      <c r="A11" s="47" t="inlineStr">
        <is>
          <t>9000</t>
        </is>
      </c>
      <c r="B11" s="47" t="inlineStr">
        <is>
          <t>9000-6</t>
        </is>
      </c>
      <c r="C11" s="48" t="inlineStr">
        <is>
          <t>콘크리트도상분야</t>
        </is>
      </c>
      <c r="D11" s="47" t="inlineStr">
        <is>
          <t>9000-6-10</t>
        </is>
      </c>
      <c r="E11" s="47">
        <f>D10</f>
        <v/>
      </c>
      <c r="F11" s="47">
        <f>D12</f>
        <v/>
      </c>
      <c r="G11" s="47" t="inlineStr">
        <is>
          <t>D-50 (D-60~50)</t>
        </is>
      </c>
      <c r="H11" s="47" t="inlineStr">
        <is>
          <t>자재 발주 요청</t>
        </is>
      </c>
      <c r="I11" s="47" t="inlineStr">
        <is>
          <t>현장 공무팀</t>
        </is>
      </c>
      <c r="J11" s="49" t="inlineStr">
        <is>
          <t>시공에 필요한 자재 발주</t>
        </is>
      </c>
      <c r="K11" s="49" t="inlineStr">
        <is>
          <t>- 자재 규격 및 반입 일정 계획 수립
- 시공에 필요한 당사 지급자재에 대한 발주 요청
- 지원: GP/SRM팀</t>
        </is>
      </c>
      <c r="L11" s="49" t="inlineStr">
        <is>
          <t>자재청구서, 공급원 승인요청철</t>
        </is>
      </c>
      <c r="M11" s="49" t="inlineStr">
        <is>
          <t>KDS 47 30 00 및 EN 규격 기준 자재 발주서 승인. 공급원 검토 승인 요청서 작성 요령 준수.</t>
        </is>
      </c>
      <c r="N11" s="75">
        <f>HYPERLINK(LEFT(CELL("filename",A1),FIND("[",CELL("filename",A1))-1)&amp;"5.콘크리트도상\10_자재 발주 요청\표준서\자재 발주 요청_표준서.html", "👉 [클릭] 표준서 열기 📄")</f>
        <v/>
      </c>
      <c r="O11" s="49" t="inlineStr">
        <is>
          <t>1) kg/m 레일, 51R1 홈레일, PST 패널 산출 물량 검증
2) 공장 검사(FAT) 조건 및 성적서 첨부 명시</t>
        </is>
      </c>
      <c r="P11" s="76">
        <f>HYPERLINK(LEFT(CELL("filename",A1),FIND("[",CELL("filename",A1))-1)&amp;"5.콘크리트도상\10_자재 발주 요청\수행지침\자재 발주 요청_수행지침.html", "👉 [클릭] 수행지침 열기 📄")</f>
        <v/>
      </c>
      <c r="Q11" s="49" t="inlineStr">
        <is>
          <t>자재 발주 수량 설계 대조, 공급원 승인 필증 원본 확인, 발주 공문 승인 요청</t>
        </is>
      </c>
      <c r="R11" s="77">
        <f>HYPERLINK(LEFT(CELL("filename",A1),FIND("[",CELL("filename",A1))-1)&amp;"5.콘크리트도상\10_자재 발주 요청\체크리스트\자재 발주 요청_체크리스트.html", "👉 [클릭] 체크리스트 열기 📄")</f>
        <v/>
      </c>
      <c r="S11" s="47" t="n"/>
      <c r="T11" s="69" t="inlineStr">
        <is>
          <t>● 조달 지침 및 품질 규격 검토</t>
        </is>
      </c>
      <c r="U11" s="69" t="inlineStr">
        <is>
          <t>1) 👉 [더블클릭] 체크리스트 열기 📄</t>
        </is>
      </c>
      <c r="V11" s="49" t="n"/>
    </row>
    <row r="12" ht="88.8" customHeight="1">
      <c r="A12" s="47" t="inlineStr">
        <is>
          <t>9000</t>
        </is>
      </c>
      <c r="B12" s="47" t="inlineStr">
        <is>
          <t>9000-6</t>
        </is>
      </c>
      <c r="C12" s="48" t="inlineStr">
        <is>
          <t>콘크리트도상분야</t>
        </is>
      </c>
      <c r="D12" s="47" t="inlineStr">
        <is>
          <t>9000-6-11</t>
        </is>
      </c>
      <c r="E12" s="47">
        <f>D11</f>
        <v/>
      </c>
      <c r="F12" s="47">
        <f>D13</f>
        <v/>
      </c>
      <c r="G12" s="47" t="inlineStr">
        <is>
          <t>D-30 (D-60~D-30)</t>
        </is>
      </c>
      <c r="H12" s="47" t="inlineStr">
        <is>
          <t>시공계획 수립</t>
        </is>
      </c>
      <c r="I12" s="47" t="inlineStr">
        <is>
          <t>현장 공사팀/공무팀/안전팀/품질팀</t>
        </is>
      </c>
      <c r="J12" s="49" t="inlineStr">
        <is>
          <t>궤도공 전반에 대한 수행 계획 공유</t>
        </is>
      </c>
      <c r="K12" s="49" t="inlineStr">
        <is>
          <t>- 공사 위치, 공사 수행 순서, 공사 수행방법 설명 회의를 통한 공유
- 주요 공정별 시공/안전/장비/자재관련 유의사항 토의
- 문제점 발굴 및 대책 마련 브레인 스토밍</t>
        </is>
      </c>
      <c r="L12" s="49" t="inlineStr">
        <is>
          <t>궤도공사 시공계획서, 안전보건계획서</t>
        </is>
      </c>
      <c r="M12" s="49" t="inlineStr">
        <is>
          <t>콘크리트도상 시공 절차 및 공정 스케줄 작성. 궤간(+3,-1mm), 캔트(±2mm) 관리계획 수립.</t>
        </is>
      </c>
      <c r="N12" s="75">
        <f>HYPERLINK(LEFT(CELL("filename",A1),FIND("[",CELL("filename",A1))-1)&amp;"5.콘크리트도상\11_시공계획 수립\표준서\시공계획 수립_표준서.html", "👉 [클릭] 표준서 열기 📄")</f>
        <v/>
      </c>
      <c r="O12" s="49" t="inlineStr">
        <is>
          <t>1) HBS 노반 지지력 검증 및 궤도 정밀 CP 측량 시공계획 수립
2) 스핀들 게이지 조정, 테르밋 용접(EN 14730) 및 TCL 콘크리트 타설 수칙 수립</t>
        </is>
      </c>
      <c r="P12" s="76">
        <f>HYPERLINK(LEFT(CELL("filename",A1),FIND("[",CELL("filename",A1))-1)&amp;"5.콘크리트도상\11_시공계획 수립\수행지침\11_시공계획 수립_수행지침.html", "👉 [클릭] 수행지침 열기 📄")</f>
        <v/>
      </c>
      <c r="Q12" s="49" t="inlineStr">
        <is>
          <t>시공계획서 감리단 최종 승인, 선형 관리 한계선 설정 확인, 품질보증계획서 제출</t>
        </is>
      </c>
      <c r="R12" s="77">
        <f>HYPERLINK(LEFT(CELL("filename",A1),FIND("[",CELL("filename",A1))-1)&amp;"5.콘크리트도상\11_시공계획 수립\체크리스트\시공계획 수립_체크리스트.html", "👉 [클릭] 체크리스트 열기 📄")</f>
        <v/>
      </c>
      <c r="S12" s="47" t="n"/>
      <c r="T12" s="69" t="inlineStr">
        <is>
          <t>● 궤도 공사 표준시방서 만족</t>
        </is>
      </c>
      <c r="U12" s="69" t="inlineStr">
        <is>
          <t>1) 👉 [더블클릭] 체크리스트 열기 📄</t>
        </is>
      </c>
      <c r="V12" s="49" t="n"/>
    </row>
    <row r="13" ht="110.4" customHeight="1">
      <c r="A13" s="47" t="inlineStr">
        <is>
          <t>9000</t>
        </is>
      </c>
      <c r="B13" s="47" t="inlineStr">
        <is>
          <t>9000-6</t>
        </is>
      </c>
      <c r="C13" s="48" t="inlineStr">
        <is>
          <t>콘크리트도상분야</t>
        </is>
      </c>
      <c r="D13" s="47" t="inlineStr">
        <is>
          <t>9000-6-12</t>
        </is>
      </c>
      <c r="E13" s="47">
        <f>D12</f>
        <v/>
      </c>
      <c r="F13" s="47">
        <f>D14</f>
        <v/>
      </c>
      <c r="G13" s="47" t="inlineStr">
        <is>
          <t>D-0 (D-30~D-0)</t>
        </is>
      </c>
      <c r="H13" s="47" t="inlineStr">
        <is>
          <t>자재 반입</t>
        </is>
      </c>
      <c r="I13" s="47" t="inlineStr">
        <is>
          <t>현장 공사팀/자재팀</t>
        </is>
      </c>
      <c r="J13" s="49" t="inlineStr">
        <is>
          <t>매립형 궤도/반-PC슬래브용 주요 자재 반입</t>
        </is>
      </c>
      <c r="K13" s="49" t="inlineStr">
        <is>
          <t>- 그루브드레일, 레일고정액상수지, 분기기, 특수 분기기는 외산 자재이며 콘크리트도상 시공 60일 전 공장검수 및 반입 일정을 결정 (체결장치는 국내 생산)
- 주로 25Ton 장축 트레일러가 운반장비로 투입되며, 대형차량 이동에 따른 도로 차단계획, 싸인카 투입, 신호수 배치 와 같은 교통관리 계획에 대하여 경찰서, 구청과 사전협의</t>
        </is>
      </c>
      <c r="L13" s="49" t="inlineStr">
        <is>
          <t>자재인수검사 대장, 불량재 처리부</t>
        </is>
      </c>
      <c r="M13" s="49" t="inlineStr">
        <is>
          <t>반입 자재의 공장 성적서 대조 및 감리 입회 자재 인수 검사 수행. 변형/균열 자재 전량 반출.</t>
        </is>
      </c>
      <c r="N13" s="75">
        <f>HYPERLINK(LEFT(CELL("filename",A1),FIND("[",CELL("filename",A1))-1)&amp;"5.콘크리트도상\12_자재 반입\표준서\자재 반입_표준서.html", "👉 [클릭] 표준서 열기 📄")</f>
        <v/>
      </c>
      <c r="O13" s="49" t="inlineStr">
        <is>
          <t>1) 송장, 공장 시험성적서 및 KCS 시방 사양 대조
2) 레일 표면 흠집 및 PST 패널 치수 오차(±2mm) 측정</t>
        </is>
      </c>
      <c r="P13" s="76">
        <f>HYPERLINK(LEFT(CELL("filename",A1),FIND("[",CELL("filename",A1))-1)&amp;"5.콘크리트도상\12_자재 반입\수행지침\자재 반입_수행지침.html", "👉 [클릭] 수행지침 열기 📄")</f>
        <v/>
      </c>
      <c r="Q13" s="49" t="inlineStr">
        <is>
          <t>인수 검서 보고서 감리 서명, 자재 고유 마킹 대조, 손상 자재 반출 대장 기록</t>
        </is>
      </c>
      <c r="R13" s="77">
        <f>HYPERLINK(LEFT(CELL("filename",A1),FIND("[",CELL("filename",A1))-1)&amp;"5.콘크리트도상\12_자재 반입\체크리스트\자재 반입_체크리스트.html", "👉 [클릭] 체크리스트 열기 📄")</f>
        <v/>
      </c>
      <c r="S13" s="47" t="n"/>
      <c r="T13" s="69" t="inlineStr">
        <is>
          <t>● 자재 시험성적서 및 외산 자재 수입 적격 증명</t>
        </is>
      </c>
      <c r="U13" s="69" t="inlineStr">
        <is>
          <t>1) 👉 [더블클릭] 체크리스트 열기 📄</t>
        </is>
      </c>
      <c r="V13" s="49" t="n"/>
    </row>
    <row r="14" ht="86.40000000000001" customHeight="1">
      <c r="A14" s="47" t="inlineStr">
        <is>
          <t>9000</t>
        </is>
      </c>
      <c r="B14" s="47" t="inlineStr">
        <is>
          <t>9000-6</t>
        </is>
      </c>
      <c r="C14" s="48" t="inlineStr">
        <is>
          <t>콘크리트도상분야</t>
        </is>
      </c>
      <c r="D14" s="47" t="inlineStr">
        <is>
          <t>9000-6-13</t>
        </is>
      </c>
      <c r="E14" s="47">
        <f>D13</f>
        <v/>
      </c>
      <c r="F14" s="47">
        <f>D15</f>
        <v/>
      </c>
      <c r="G14" s="47" t="inlineStr">
        <is>
          <t>D+1 (D-0~D+1)</t>
        </is>
      </c>
      <c r="H14" s="47" t="inlineStr">
        <is>
          <t>[HBS] 강화노반 확인</t>
        </is>
      </c>
      <c r="I14" s="47" t="inlineStr">
        <is>
          <t>현장 공사팀</t>
        </is>
      </c>
      <c r="J14" s="49" t="inlineStr">
        <is>
          <t>기존 도로구간 노상토의 지지력 검증</t>
        </is>
      </c>
      <c r="K14" s="49" t="inlineStr">
        <is>
          <t>- 사전토공사 인수계획서 확인
- 터파기 시행 후 들밀도 시험을 통한 상대다짐도 또는 현장 재하시험을 통한 강화노반변형률 계수 확인
- 배수 상태 점검</t>
        </is>
      </c>
      <c r="L14" s="49" t="inlineStr">
        <is>
          <t>강화노반 인수교차측량 대장, PBT 성적철</t>
        </is>
      </c>
      <c r="M14" s="49" t="inlineStr">
        <is>
          <t>기초 노반 표면의 지지력 검증. 평판재하시험 K30 ≥ 110 MN/m³ 또는 Ev2 ≥ 120 MPa 확인.</t>
        </is>
      </c>
      <c r="N14" s="68" t="inlineStr">
        <is>
          <t>-</t>
        </is>
      </c>
      <c r="O14" s="49" t="inlineStr">
        <is>
          <t>1) 노반 공종으로부터 지지력 K70 ≥ 150 MPa/m 성적서 수령
2) 노반 높이 오차(±10mm 이내) 광학 레벨 측량 검증</t>
        </is>
      </c>
      <c r="P14" s="68" t="inlineStr">
        <is>
          <t>-</t>
        </is>
      </c>
      <c r="Q14" s="49" t="inlineStr">
        <is>
          <t>K30 성적서 원본 대조, 노반 마무리면 요철 제거 상태, 횡단 구배 2.0% 만족 확인</t>
        </is>
      </c>
      <c r="R14" s="68" t="inlineStr">
        <is>
          <t>-</t>
        </is>
      </c>
      <c r="S14" s="47" t="n"/>
      <c r="T14" s="69" t="inlineStr">
        <is>
          <t>● 강화노반 K30 지지력 계수 규격 준수</t>
        </is>
      </c>
      <c r="U14" s="69" t="inlineStr">
        <is>
          <t>1) 👉 [더블클릭] 체크리스트 열기 📄</t>
        </is>
      </c>
      <c r="V14" s="49" t="n"/>
    </row>
    <row r="15" ht="76.8" customHeight="1">
      <c r="A15" s="47" t="inlineStr">
        <is>
          <t>9000</t>
        </is>
      </c>
      <c r="B15" s="47" t="inlineStr">
        <is>
          <t>9000-6</t>
        </is>
      </c>
      <c r="C15" s="48" t="inlineStr">
        <is>
          <t>콘크리트도상분야</t>
        </is>
      </c>
      <c r="D15" s="47" t="inlineStr">
        <is>
          <t>9000-6-14</t>
        </is>
      </c>
      <c r="E15" s="47">
        <f>D14</f>
        <v/>
      </c>
      <c r="F15" s="47">
        <f>D16</f>
        <v/>
      </c>
      <c r="G15" s="47" t="inlineStr">
        <is>
          <t>D+15 (D+2~D+15)</t>
        </is>
      </c>
      <c r="H15" s="47" t="inlineStr">
        <is>
          <t>[HBS] 콘크리트 타설 및 양생</t>
        </is>
      </c>
      <c r="I15" s="47" t="inlineStr">
        <is>
          <t>현장 공사팀</t>
        </is>
      </c>
      <c r="J15" s="49" t="inlineStr">
        <is>
          <t>강화노반 상부 기초콘크리트로 TCL, 반-PC 슬래브 안정성 확보</t>
        </is>
      </c>
      <c r="K15" s="49" t="inlineStr">
        <is>
          <t>슬럼프 값 10cm 이하, 압축강도 18Mpa 이상 콘크리트 타설
- 품질확보를 위해 공장과 현장 이격거리 4.8km 이내</t>
        </is>
      </c>
      <c r="L15" s="49" t="inlineStr">
        <is>
          <t>HBR 콘크리트 품질시험표, 양생온도일지</t>
        </is>
      </c>
      <c r="M15" s="49" t="inlineStr">
        <is>
          <t>강화노반 상부 기초콘크리트(HBR) 28일 압축강도 ≥ 21 MPa 확보. 고주파 다짐 및 습윤 양생 7일.</t>
        </is>
      </c>
      <c r="N15" s="68" t="inlineStr">
        <is>
          <t>-</t>
        </is>
      </c>
      <c r="O15" s="49" t="inlineStr">
        <is>
          <t>1) 콘크리트 시멘트풀 유출 방지 거푸집 패킹 설치
2) 콜드조인트 방지 연속 타설 및 바이브레이터 밀실 다짐</t>
        </is>
      </c>
      <c r="P15" s="68" t="inlineStr">
        <is>
          <t>-</t>
        </is>
      </c>
      <c r="Q15" s="49" t="inlineStr">
        <is>
          <t>HBR 강도 시험 성적서, 습윤 부직포 포설 상태, 타설 두께 오차 ±10mm 이내 검속</t>
        </is>
      </c>
      <c r="R15" s="68" t="inlineStr">
        <is>
          <t>-</t>
        </is>
      </c>
      <c r="S15" s="47" t="n"/>
      <c r="T15" s="69" t="inlineStr">
        <is>
          <t>● 기초 콘크리트 압축강도 및 공차 관리</t>
        </is>
      </c>
      <c r="U15" s="69" t="inlineStr">
        <is>
          <t>1) 👉 [더블클릭] 체크리스트 열기 📄</t>
        </is>
      </c>
      <c r="V15" s="49" t="n"/>
    </row>
    <row r="16" ht="76.8" customHeight="1">
      <c r="A16" s="47" t="inlineStr">
        <is>
          <t>9000</t>
        </is>
      </c>
      <c r="B16" s="47" t="inlineStr">
        <is>
          <t>9000-6</t>
        </is>
      </c>
      <c r="C16" s="48" t="inlineStr">
        <is>
          <t>콘크리트도상분야</t>
        </is>
      </c>
      <c r="D16" s="47" t="inlineStr">
        <is>
          <t>9000-6-15</t>
        </is>
      </c>
      <c r="E16" s="47">
        <f>D15</f>
        <v/>
      </c>
      <c r="F16" s="47">
        <f>D17</f>
        <v/>
      </c>
      <c r="G16" s="47" t="inlineStr">
        <is>
          <t>D+15 (D+10~D+15)</t>
        </is>
      </c>
      <c r="H16" s="47" t="inlineStr">
        <is>
          <t>[반-PC 슬래브] 패널반입 및 설치</t>
        </is>
      </c>
      <c r="I16" s="47" t="inlineStr">
        <is>
          <t>현장 공사팀</t>
        </is>
      </c>
      <c r="J16" s="49" t="inlineStr">
        <is>
          <t>궤광지지체 구간의 PC 슬래브로 교차로/교량구간 급속시공 필요</t>
        </is>
      </c>
      <c r="K16" s="49" t="inlineStr">
        <is>
          <t>PC 슬래브 반입 시, 균열 및 오염 유무를 확인하고, 캔트가 설계 제원에 맞게 제작되었는지 확인
- PC 슬래브 설치 시, 보조도상에 표기된 위치에 정정위치하고, 받침목을 모서리부(패널 길이의 1/4, 3/4 지점) 좌우 4개소 배치
- 사전 적재위치 선정을 통해 소요반 비용발생을 방지</t>
        </is>
      </c>
      <c r="L16" s="49" t="inlineStr">
        <is>
          <t>PC슬래브 거치 수준 실측표, 평탄성 대장</t>
        </is>
      </c>
      <c r="M16" s="49" t="inlineStr">
        <is>
          <t>PC 슬래브 패널 평탄성 오차 ±3mm 이내 거치. 광학 토탈스테이션 연동 정밀 3D 얼라인먼트.</t>
        </is>
      </c>
      <c r="N16" s="68" t="inlineStr">
        <is>
          <t>-</t>
        </is>
      </c>
      <c r="O16" s="49" t="inlineStr">
        <is>
          <t>1) 노반 표면 이물질 청소 및 광학 측량기 셋팅
2) 점 인양 빔으로 패널 거치 후 스핀들 게이지 정밀 수평 조정</t>
        </is>
      </c>
      <c r="P16" s="68" t="inlineStr">
        <is>
          <t>-</t>
        </is>
      </c>
      <c r="Q16" s="49" t="inlineStr">
        <is>
          <t>Screw Jack 레벨 정위치 고정, 3D 광학 실측 좌표 일치, 코너 크랙 육안 검사</t>
        </is>
      </c>
      <c r="R16" s="68" t="inlineStr">
        <is>
          <t>-</t>
        </is>
      </c>
      <c r="S16" s="47" t="n"/>
      <c r="T16" s="69" t="inlineStr">
        <is>
          <t>● PC 슬래브 제작 허용 오차 만족</t>
        </is>
      </c>
      <c r="U16" s="69" t="inlineStr">
        <is>
          <t>1) 👉 [더블클릭] 체크리스트 열기 📄</t>
        </is>
      </c>
      <c r="V16" s="49" t="n"/>
    </row>
    <row r="17" ht="76.8" customHeight="1">
      <c r="A17" s="47" t="inlineStr">
        <is>
          <t>9000</t>
        </is>
      </c>
      <c r="B17" s="47" t="inlineStr">
        <is>
          <t>9000-6</t>
        </is>
      </c>
      <c r="C17" s="48" t="inlineStr">
        <is>
          <t>콘크리트도상분야</t>
        </is>
      </c>
      <c r="D17" s="47" t="inlineStr">
        <is>
          <t>9000-6-16</t>
        </is>
      </c>
      <c r="E17" s="47">
        <f>D16</f>
        <v/>
      </c>
      <c r="F17" s="47">
        <f>D18</f>
        <v/>
      </c>
      <c r="G17" s="47" t="inlineStr">
        <is>
          <t>D+16 (D+16~D+16)</t>
        </is>
      </c>
      <c r="H17" s="47" t="inlineStr">
        <is>
          <t>[PST] 전단앵커설치 및 충전재 주입</t>
        </is>
      </c>
      <c r="I17" s="47" t="inlineStr">
        <is>
          <t>현장 공사팀</t>
        </is>
      </c>
      <c r="J17" s="49" t="inlineStr">
        <is>
          <t>HBS, TCL층과 일체화를 위하여 전단앵커를 설치하고 몰탈 충전재 주입</t>
        </is>
      </c>
      <c r="K17" s="49" t="inlineStr">
        <is>
          <t>충전재 주입 중 재료나 장비의 이상으로 완전히 충전되지 않을 경우에는 충전재가 경화되기 전에 기 주입된 충전재를 제거하고 물청소를 시행한 후 재작업 실시
- EVA Foam 구멍을 뚫어 몰탈 유출 확인, 밀실하게 충진되었는지 확인
- 충전재 주입이 완료되면 충전층이 경화되기 전에 전단키 덮개를 시공하여 수분의 유입을 차단</t>
        </is>
      </c>
      <c r="L17" s="49" t="inlineStr">
        <is>
          <t>앵커 시공인장 시험기록, 그라우트 공시체 강도대장</t>
        </is>
      </c>
      <c r="M17" s="49" t="inlineStr">
        <is>
          <t>전단앵커 구멍 천공 깊이 및 수직도 확보. 무수축 모르타르 그라우트 압축강도 ≥ 30 MPa 충전.</t>
        </is>
      </c>
      <c r="N17" s="68" t="inlineStr">
        <is>
          <t>-</t>
        </is>
      </c>
      <c r="O17" s="49" t="inlineStr">
        <is>
          <t>1) 앵커 홀 이물질 제거 및 무수축 그라우트 배합비 확인
2) 음향 탐사로 공기 공동 파악 및 45 MPa 몰드 시험 확인</t>
        </is>
      </c>
      <c r="P17" s="68" t="inlineStr">
        <is>
          <t>-</t>
        </is>
      </c>
      <c r="Q17" s="49" t="inlineStr">
        <is>
          <t>천공 깊이 측정 게이지 점검, 앵커 인장 강도 확인, 원웨이 주입 배출구 몰탈 오버플로우 확인</t>
        </is>
      </c>
      <c r="R17" s="68" t="inlineStr">
        <is>
          <t>-</t>
        </is>
      </c>
      <c r="S17" s="47" t="n"/>
      <c r="T17" s="69" t="inlineStr">
        <is>
          <t>● 충전 몰탈 품질 및 전단앵커 정착 깊이</t>
        </is>
      </c>
      <c r="U17" s="69" t="inlineStr">
        <is>
          <t>1) 👉 [더블클릭] 체크리스트 열기 📄</t>
        </is>
      </c>
      <c r="V17" s="49" t="n"/>
    </row>
    <row r="18" ht="76.8" customHeight="1">
      <c r="A18" s="47" t="inlineStr">
        <is>
          <t>9000</t>
        </is>
      </c>
      <c r="B18" s="47" t="inlineStr">
        <is>
          <t>9000-6</t>
        </is>
      </c>
      <c r="C18" s="48" t="inlineStr">
        <is>
          <t>콘크리트도상분야</t>
        </is>
      </c>
      <c r="D18" s="47" t="inlineStr">
        <is>
          <t>9000-6-17</t>
        </is>
      </c>
      <c r="E18" s="47">
        <f>D17</f>
        <v/>
      </c>
      <c r="F18" s="47">
        <f>D19</f>
        <v/>
      </c>
      <c r="G18" s="47" t="inlineStr">
        <is>
          <t>D+30 (D+17~D+30)</t>
        </is>
      </c>
      <c r="H18" s="47" t="inlineStr">
        <is>
          <t>[TCL] 궤광 및 철근조립</t>
        </is>
      </c>
      <c r="I18" s="47" t="inlineStr">
        <is>
          <t>현장 공사팀</t>
        </is>
      </c>
      <c r="J18" s="49" t="inlineStr">
        <is>
          <t>TCL 철근조립 및 부설시 매립형 궤도를 포함한 궤광의 변위 발생 방지</t>
        </is>
      </c>
      <c r="K18" s="49" t="inlineStr">
        <is>
          <t>임시침목을 이용한 궤광 설치 및 줄틀림, 면틀림, 중심간격 허용오차는 3mm 이내
- 종방향, 횡방향 철근 조립시 2m 간격설치, 철근처짐이 없도록 용접 또는 결속</t>
        </is>
      </c>
      <c r="L18" s="49" t="inlineStr">
        <is>
          <t>철근배근 검측서, 신호 이격 거리표</t>
        </is>
      </c>
      <c r="M18" s="49" t="inlineStr">
        <is>
          <t>1,435mm 표준궤 정밀 유지 타이바 설치. 철근 피복 두께 40mm 확보 및 신호 감선 이격 150mm.</t>
        </is>
      </c>
      <c r="N18" s="68" t="inlineStr">
        <is>
          <t>-</t>
        </is>
      </c>
      <c r="O18" s="49" t="inlineStr">
        <is>
          <t>1) CP 광학 레벨기로 궤도 중심선 및 기준 높이 확인
2) 궤간 1,435mm(+3,-1mm) 고정 및 캔트/수평 오차 ±2mm 이내 정밀 정열</t>
        </is>
      </c>
      <c r="P18" s="68" t="inlineStr">
        <is>
          <t>-</t>
        </is>
      </c>
      <c r="Q18" s="49" t="inlineStr">
        <is>
          <t>철근 결속선 긴장 상태, 타이바 조임 토크 확인, 신호 루프 케이블 배근 이격 확인</t>
        </is>
      </c>
      <c r="R18" s="68" t="inlineStr">
        <is>
          <t>-</t>
        </is>
      </c>
      <c r="S18" s="47" t="n"/>
      <c r="T18" s="69" t="inlineStr">
        <is>
          <t>● 궤도 기하구조 공차(3mm 이내) 관리</t>
        </is>
      </c>
      <c r="U18" s="69" t="inlineStr">
        <is>
          <t>1) 👉 [더블클릭] 체크리스트 열기 📄</t>
        </is>
      </c>
      <c r="V18" s="49" t="n"/>
    </row>
    <row r="19" ht="76.8" customHeight="1">
      <c r="A19" s="47" t="inlineStr">
        <is>
          <t>9000</t>
        </is>
      </c>
      <c r="B19" s="47" t="inlineStr">
        <is>
          <t>9000-6</t>
        </is>
      </c>
      <c r="C19" s="48" t="inlineStr">
        <is>
          <t>콘크리트도상분야</t>
        </is>
      </c>
      <c r="D19" s="47" t="inlineStr">
        <is>
          <t>9000-6-18</t>
        </is>
      </c>
      <c r="E19" s="47">
        <f>D18</f>
        <v/>
      </c>
      <c r="F19" s="47">
        <f>D20</f>
        <v/>
      </c>
      <c r="G19" s="47" t="inlineStr">
        <is>
          <t>D+35 (D+31~D+35)</t>
        </is>
      </c>
      <c r="H19" s="47" t="inlineStr">
        <is>
          <t>[TCL] 거푸집 설치</t>
        </is>
      </c>
      <c r="I19" s="47" t="inlineStr">
        <is>
          <t>현장 공사팀</t>
        </is>
      </c>
      <c r="J19" s="49" t="inlineStr">
        <is>
          <t>거푸집 지지대는 철근이 타설압력에 의해 변위가 발생하지 않도록 앵커나 서포트로 고정</t>
        </is>
      </c>
      <c r="K19" s="49" t="inlineStr">
        <is>
          <t>강재거푸집거푸집 반영
- 작업자 이동통로 확보가 되어 있는지 확인하고, 넘어짐 등의 안전사고가 발생하지 않도록 지지대에 별도 식별장치 설치</t>
        </is>
      </c>
      <c r="L19" s="49" t="inlineStr">
        <is>
          <t>거푸집설치 대조표, 박리제 검사철</t>
        </is>
      </c>
      <c r="M19" s="49" t="inlineStr">
        <is>
          <t>타설 측압 대비 서포트 앵커 W=1.0m 간격 고정. 거푸집 수평/수직 처짐 변위 ±2mm 이내 통제.</t>
        </is>
      </c>
      <c r="N19" s="68" t="inlineStr">
        <is>
          <t>-</t>
        </is>
      </c>
      <c r="O19" s="49" t="inlineStr">
        <is>
          <t>1) 거푸집 선형 검측표 작성 후 감리원 검측 승인
2) 거푸집 면 이물질 청소 및 환경 친화 박리제 균일 도포</t>
        </is>
      </c>
      <c r="P19" s="68" t="inlineStr">
        <is>
          <t>-</t>
        </is>
      </c>
      <c r="Q19" s="49" t="inlineStr">
        <is>
          <t>거푸집 지지대 앵커 조임, 박리제 도포 상태, 이음매 틈새 누수 패킹 확인</t>
        </is>
      </c>
      <c r="R19" s="68" t="inlineStr">
        <is>
          <t>-</t>
        </is>
      </c>
      <c r="S19" s="47" t="n"/>
      <c r="T19" s="69" t="inlineStr">
        <is>
          <t>● 가설재 강도 및 안전 난간 기준 준수</t>
        </is>
      </c>
      <c r="U19" s="69" t="inlineStr">
        <is>
          <t>1) 👉 [더블클릭] 체크리스트 열기 📄</t>
        </is>
      </c>
      <c r="V19" s="49" t="n"/>
    </row>
    <row r="20" ht="96" customHeight="1">
      <c r="A20" s="47" t="inlineStr">
        <is>
          <t>9000</t>
        </is>
      </c>
      <c r="B20" s="47" t="inlineStr">
        <is>
          <t>9000-6</t>
        </is>
      </c>
      <c r="C20" s="48" t="inlineStr">
        <is>
          <t>콘크리트도상분야</t>
        </is>
      </c>
      <c r="D20" s="47" t="inlineStr">
        <is>
          <t>9000-6-19</t>
        </is>
      </c>
      <c r="E20" s="47">
        <f>D19</f>
        <v/>
      </c>
      <c r="F20" s="47">
        <f>D21</f>
        <v/>
      </c>
      <c r="G20" s="47" t="inlineStr">
        <is>
          <t>D+50 (D+36~D+50)</t>
        </is>
      </c>
      <c r="H20" s="47" t="inlineStr">
        <is>
          <t>[TCL] 콘크리트 타설 및 양생</t>
        </is>
      </c>
      <c r="I20" s="47" t="inlineStr">
        <is>
          <t>현장 공사팀</t>
        </is>
      </c>
      <c r="J20" s="49" t="inlineStr">
        <is>
          <t>TCL은 궤도 부속자재(레일, 고정액상수지 등)가 연결되어 있어, 선형조정 및 연마감 작업이 중요</t>
        </is>
      </c>
      <c r="K20" s="49" t="inlineStr">
        <is>
          <t>슬럼프값은 10cm 이하 타설, 피니셔의 진행 정지시 진동 다짐 장비 중지
- 7일이상 습윤양생 시행, 양생이후 콘크리트 도상내 이물질 청소 및 세척
- 그루브드레일 홈 부분 청소 및 세척, 치수확인</t>
        </is>
      </c>
      <c r="L20" s="49" t="inlineStr">
        <is>
          <t>TCL 콘크리트 품질대장, 게이지 실시간 보정일지</t>
        </is>
      </c>
      <c r="M20" s="49" t="inlineStr">
        <is>
          <t>TCL 도상 콘크리트 강도 ≥ 35 MPa. 타설 중 실시간 궤간척(Gauge Bar) 캔트 오차 ±2mm 보정.</t>
        </is>
      </c>
      <c r="N20" s="68" t="inlineStr">
        <is>
          <t>-</t>
        </is>
      </c>
      <c r="O20" s="49" t="inlineStr">
        <is>
          <t>1) 타설 직전 스핀들 궤간/캔트 최종 정열 상태 측량
2) 고주파 다짐 실시 및 타설 중 실시간 궤간/캔트 오차 미세 조율</t>
        </is>
      </c>
      <c r="P20" s="68" t="inlineStr">
        <is>
          <t>-</t>
        </is>
      </c>
      <c r="Q20" s="49" t="inlineStr">
        <is>
          <t>타설 중 궤간척 실시간 모니터링, 슬럼프 및 공기량 시험, 습윤 양생 부직포 포설 확인</t>
        </is>
      </c>
      <c r="R20" s="68" t="inlineStr">
        <is>
          <t>-</t>
        </is>
      </c>
      <c r="S20" s="47" t="n"/>
      <c r="T20" s="69" t="inlineStr">
        <is>
          <t>● TCL 설계 높이 및 배수구 기울기 준수</t>
        </is>
      </c>
      <c r="U20" s="69" t="inlineStr">
        <is>
          <t>1) 👉 [더블클릭] 체크리스트 열기 📄</t>
        </is>
      </c>
      <c r="V20" s="49" t="n"/>
    </row>
    <row r="21" ht="96" customHeight="1">
      <c r="A21" s="47" t="inlineStr">
        <is>
          <t>9000</t>
        </is>
      </c>
      <c r="B21" s="47" t="inlineStr">
        <is>
          <t>9000-6</t>
        </is>
      </c>
      <c r="C21" s="48" t="inlineStr">
        <is>
          <t>콘크리트도상분야</t>
        </is>
      </c>
      <c r="D21" s="47" t="inlineStr">
        <is>
          <t>9000-6-20</t>
        </is>
      </c>
      <c r="E21" s="47">
        <f>D20</f>
        <v/>
      </c>
      <c r="F21" s="47">
        <f>D22</f>
        <v/>
      </c>
      <c r="G21" s="47" t="inlineStr">
        <is>
          <t>D+63 (D-60~D+63)</t>
        </is>
      </c>
      <c r="H21" s="47" t="inlineStr">
        <is>
          <t>[레일용접] 가스 압접</t>
        </is>
      </c>
      <c r="I21" s="47" t="inlineStr">
        <is>
          <t>현장 공사팀</t>
        </is>
      </c>
      <c r="J21" s="49" t="inlineStr">
        <is>
          <t>장대레일 제작을 위해 용접기에서 가스로 레일 단부를 가열한 후, 강한 압력을 가하여 레일을 접합</t>
        </is>
      </c>
      <c r="K21" s="49" t="inlineStr">
        <is>
          <t>레일의 엇갈림, 굴곡 등 외관으로 확인 가능한 것은 적열 중에 교정하며, 냉각이 진행되었으면 재가열 한 후 교정
- 교정된 레일의 접합부는 마찬가지로 적열상태일때 트리밍하여 불순물을 제거
- 가스압접 완료 후 외관검사를 통해 레일의 균열, 굽힘, 비틀림을 확인하고, 지분탐상검사를 통해 내부 결함을 확인</t>
        </is>
      </c>
      <c r="L21" s="49" t="inlineStr">
        <is>
          <t>가스압접 시공성적표, UT 비파괴보고서</t>
        </is>
      </c>
      <c r="M21" s="49" t="inlineStr">
        <is>
          <t>EN 14587 규격 준수. 레일 단부 가열(1200℃) 후 압송. 용접부 직선도 1m당 ±0.2mm 이내 정밀 연마.</t>
        </is>
      </c>
      <c r="N21" s="68" t="inlineStr">
        <is>
          <t>-</t>
        </is>
      </c>
      <c r="O21" s="49" t="inlineStr">
        <is>
          <t>1) 레일 단면 50mm 녹/기름 제거 및 가스 압접기 압력 교정
2) EN 14587 프로그램에 따라 자동 가열 및 버(Burr) 핫 쉐어링 전단</t>
        </is>
      </c>
      <c r="P21" s="68" t="inlineStr">
        <is>
          <t>-</t>
        </is>
      </c>
      <c r="Q21" s="49" t="inlineStr">
        <is>
          <t>가스 압접 압력 게이지 확인, 용접부 급랭 방지 덮개 설치, 비파괴 시험(UT) 성적서 결재</t>
        </is>
      </c>
      <c r="R21" s="68" t="inlineStr">
        <is>
          <t>-</t>
        </is>
      </c>
      <c r="S21" s="47" t="n"/>
      <c r="T21" s="69" t="inlineStr">
        <is>
          <t>● 용접부 인장 시험 및 비파괴 검사 규격 만족</t>
        </is>
      </c>
      <c r="U21" s="69" t="inlineStr">
        <is>
          <t>1) 👉 [더블클릭] 체크리스트 열기 📄</t>
        </is>
      </c>
      <c r="V21" s="49" t="n"/>
    </row>
    <row r="22" ht="96" customHeight="1">
      <c r="A22" s="47" t="inlineStr">
        <is>
          <t>9000</t>
        </is>
      </c>
      <c r="B22" s="47" t="inlineStr">
        <is>
          <t>9000-6</t>
        </is>
      </c>
      <c r="C22" s="48" t="inlineStr">
        <is>
          <t>콘크리트도상분야</t>
        </is>
      </c>
      <c r="D22" s="47" t="inlineStr">
        <is>
          <t>9000-6-21</t>
        </is>
      </c>
      <c r="E22" s="47">
        <f>D21</f>
        <v/>
      </c>
      <c r="F22" s="47">
        <f>D23</f>
        <v/>
      </c>
      <c r="G22" s="47" t="inlineStr">
        <is>
          <t>D+64 (D+64~D+64)</t>
        </is>
      </c>
      <c r="H22" s="47" t="inlineStr">
        <is>
          <t>[레일용접] 테르밋 용접</t>
        </is>
      </c>
      <c r="I22" s="47" t="inlineStr">
        <is>
          <t>현장 공사팀</t>
        </is>
      </c>
      <c r="J22" s="49" t="inlineStr">
        <is>
          <t>테르밋 용제를 예열된 장대레일 공간에 넣고 용융하여 모든 장대레일을 일체화</t>
        </is>
      </c>
      <c r="K22" s="49" t="inlineStr">
        <is>
          <t>면, 틈맞춤 -&gt; 몰드설치 -&gt; 용접부예열 -&gt; 용접부연마 -&gt; 용접완료
- 테르밋 용접 완료 후 외관검사를 통해 레일의 균열, 굽힘, 비틀림을 확인하고, 침투탐상검사 및 초음파탐상검사를 통해 내부 결함을 확인
- 용접이 완료된 개소 측면에 용접년도와 용접공 고유번호가 표시 되었는지 확인
- 테르밋 용접 용제 폐기물 수거를 위해 톤마대를 준비하고, 폐기물 반출 일정을 수립</t>
        </is>
      </c>
      <c r="L22" s="49" t="inlineStr">
        <is>
          <t>테르밋 용접일지, MT 자분탐상 보고서</t>
        </is>
      </c>
      <c r="M22" s="49" t="inlineStr">
        <is>
          <t>EN 14730 규격 준수. 도가니 반응 후 슬래그 분리. 직선도 오차 ±0.2mm 이내 및 NDT 100% 합격.</t>
        </is>
      </c>
      <c r="N22" s="68" t="inlineStr">
        <is>
          <t>-</t>
        </is>
      </c>
      <c r="O22" s="49" t="inlineStr">
        <is>
          <t>1) 레일 끝단 23~26mm 유격 조정 및 레일 정열 클램프 고정
2) 몰드 밀봉 후 테르밋 소모품點火 반응 주입 및 약 5분 후 유압 전단</t>
        </is>
      </c>
      <c r="P22" s="68" t="inlineStr">
        <is>
          <t>-</t>
        </is>
      </c>
      <c r="Q22" s="49" t="inlineStr">
        <is>
          <t>테르밋 용제 예열 온도 확인, 도가니 수평 고정, 비파괴 검사(UT/MT) 전수 실시</t>
        </is>
      </c>
      <c r="R22" s="68" t="inlineStr">
        <is>
          <t>-</t>
        </is>
      </c>
      <c r="S22" s="47" t="n"/>
      <c r="T22" s="69" t="inlineStr">
        <is>
          <t>● 테르밋 용접부 비파괴 검사(UT/PT) 및 공차</t>
        </is>
      </c>
      <c r="U22" s="69" t="inlineStr">
        <is>
          <t>1) 👉 [더블클릭] 체크리스트 열기 📄</t>
        </is>
      </c>
      <c r="V22" s="49" t="n"/>
    </row>
    <row r="23" ht="96" customHeight="1">
      <c r="A23" s="47" t="inlineStr">
        <is>
          <t>9000</t>
        </is>
      </c>
      <c r="B23" s="47" t="inlineStr">
        <is>
          <t>9000-6</t>
        </is>
      </c>
      <c r="C23" s="48" t="inlineStr">
        <is>
          <t>콘크리트도상분야</t>
        </is>
      </c>
      <c r="D23" s="47" t="inlineStr">
        <is>
          <t>9000-6-22</t>
        </is>
      </c>
      <c r="E23" s="47">
        <f>D22</f>
        <v/>
      </c>
      <c r="F23" s="47">
        <f>D24</f>
        <v/>
      </c>
      <c r="G23" s="47" t="inlineStr">
        <is>
          <t>D+75 (D+71~D+75)</t>
        </is>
      </c>
      <c r="H23" s="47" t="inlineStr">
        <is>
          <t>[레일연마] 레일연마 or 밀링</t>
        </is>
      </c>
      <c r="I23" s="47" t="inlineStr">
        <is>
          <t>현장 공사팀</t>
        </is>
      </c>
      <c r="J23" s="49" t="inlineStr">
        <is>
          <t>레일 연마 or 밀링작업을 통해 선로의 평탄화증을 제거하여 레일 수명 향상 및 운행 안정성 개선</t>
        </is>
      </c>
      <c r="K23" s="49" t="inlineStr">
        <is>
          <t>레일연마는 연마 작업시 발생하는 스파크, 분진, 냉각수로 인한 Risk를 개선한 신기술로, 연마를 시행하는 것이 레일의 품질관리 및 시공성 측면에서 유리
- 장비보유현황 및 투입 스케줄 확인 필요
- 연마(밀링) 완료 후, 연마지에 압축기를 설치하여 연마깊이(현식량)를 측정</t>
        </is>
      </c>
      <c r="L23" s="49" t="inlineStr">
        <is>
          <t>선로 평탄성검사 성적표, 조도 실측야장</t>
        </is>
      </c>
      <c r="M23" s="49" t="inlineStr">
        <is>
          <t>레일 마무리면 평탄성 1m 기준 오차 ±0.2mm 이내 밀링. 레일 과열에 의한 열응력 크랙 방지.</t>
        </is>
      </c>
      <c r="N23" s="68" t="inlineStr">
        <is>
          <t>-</t>
        </is>
      </c>
      <c r="O23" s="49" t="inlineStr">
        <is>
          <t>1) 조도계로 Ra ≤ 10㎛ 판정 및 레일 연마 검측 승인
2) 장대레일 구간 연마/밀링 장비 점검 및 표면 단차 사전 조사</t>
        </is>
      </c>
      <c r="P23" s="68" t="inlineStr">
        <is>
          <t>-</t>
        </is>
      </c>
      <c r="Q23" s="49" t="inlineStr">
        <is>
          <t>레일 조도/평탄성 측정 성적서, 절삭유 적정 분사 상태, 마이크로미터 선로 실측</t>
        </is>
      </c>
      <c r="R23" s="68" t="inlineStr">
        <is>
          <t>-</t>
        </is>
      </c>
      <c r="S23" s="47" t="n"/>
      <c r="T23" s="69" t="inlineStr">
        <is>
          <t>● 레일 두부 프로파일 측정 및 평탄도 기준</t>
        </is>
      </c>
      <c r="U23" s="69" t="inlineStr">
        <is>
          <t>1) 👉 [더블클릭] 체크리스트 열기 📄</t>
        </is>
      </c>
      <c r="V23" s="49" t="n"/>
    </row>
    <row r="24" ht="96" customFormat="1" customHeight="1" s="53">
      <c r="A24" s="36" t="inlineStr">
        <is>
          <t>9000</t>
        </is>
      </c>
      <c r="B24" s="36" t="inlineStr">
        <is>
          <t>9000-6</t>
        </is>
      </c>
      <c r="C24" s="51" t="inlineStr">
        <is>
          <t>콘크리트도상분야</t>
        </is>
      </c>
      <c r="D24" s="36" t="inlineStr">
        <is>
          <t>9000-6-23</t>
        </is>
      </c>
      <c r="E24" s="47">
        <f>D23</f>
        <v/>
      </c>
      <c r="F24" s="47">
        <f>D25</f>
        <v/>
      </c>
      <c r="G24" s="36" t="inlineStr">
        <is>
          <t>D+75일 이후</t>
        </is>
      </c>
      <c r="H24" s="36" t="inlineStr">
        <is>
          <t>후속공사 인수인계</t>
        </is>
      </c>
      <c r="I24" s="36" t="inlineStr">
        <is>
          <t>현장 공사팀/품질팀</t>
        </is>
      </c>
      <c r="J24" s="52" t="inlineStr">
        <is>
          <t>완료구간 후속공사 인수인계</t>
        </is>
      </c>
      <c r="K24" s="52" t="inlineStr">
        <is>
          <t>완료된 궤도 구간에 대해 후속 분야(전기, 신호 등)가 공사를 진행할 수 있도록 인계</t>
        </is>
      </c>
      <c r="L24" s="52" t="inlineStr">
        <is>
          <t>궤도 완공 인수서명부, 절연저항 성적철</t>
        </is>
      </c>
      <c r="M24" s="52" t="inlineStr">
        <is>
          <t>전기/신호/노반 담당자 입회 하에 궤도 회로 절연 저항 ≥ 100MΩ 검속. 준공 도면 일치 서명.</t>
        </is>
      </c>
      <c r="N24" s="71" t="inlineStr">
        <is>
          <t>-</t>
        </is>
      </c>
      <c r="O24" s="52" t="inlineStr">
        <is>
          <t>1) 궤도 회로 절연 및 궤간 오차 현장 합동 확인
2) 구간별 NDT 용접 성과표, 강도 성적서 및 궤도 정열표 대조</t>
        </is>
      </c>
      <c r="P24" s="71" t="inlineStr">
        <is>
          <t>-</t>
        </is>
      </c>
      <c r="Q24" s="52" t="inlineStr">
        <is>
          <t>3자 공동 인수 서명 날인, 절연 저항 테스트 결과표 첨부, CAD 준공 대장 제출</t>
        </is>
      </c>
      <c r="R24" s="71" t="inlineStr">
        <is>
          <t>-</t>
        </is>
      </c>
      <c r="S24" s="36" t="n"/>
      <c r="T24" s="72" t="inlineStr">
        <is>
          <t>● 후속 공종 인수인계 표준 지침</t>
        </is>
      </c>
      <c r="U24" s="72" t="inlineStr">
        <is>
          <t>1) 👉 [더블클릭] 체크리스트 열기 📄</t>
        </is>
      </c>
      <c r="V24" s="52" t="n"/>
    </row>
    <row r="25">
      <c r="E25" s="47">
        <f>D24</f>
        <v/>
      </c>
      <c r="F25" s="47">
        <f>D26</f>
        <v/>
      </c>
      <c r="N25" t="inlineStr">
        <is>
          <t>-</t>
        </is>
      </c>
      <c r="P25" t="inlineStr">
        <is>
          <t>-</t>
        </is>
      </c>
      <c r="R25" t="inlineStr">
        <is>
          <t>-</t>
        </is>
      </c>
    </row>
    <row r="26">
      <c r="E26" s="47">
        <f>D25</f>
        <v/>
      </c>
      <c r="F26" s="47">
        <f>D27</f>
        <v/>
      </c>
      <c r="N26" t="inlineStr">
        <is>
          <t>-</t>
        </is>
      </c>
      <c r="P26" t="inlineStr">
        <is>
          <t>-</t>
        </is>
      </c>
      <c r="R26" t="inlineStr">
        <is>
          <t>-</t>
        </is>
      </c>
    </row>
    <row r="27">
      <c r="E27" s="47">
        <f>D26</f>
        <v/>
      </c>
      <c r="F27" s="47">
        <f>D28</f>
        <v/>
      </c>
      <c r="N27" t="inlineStr">
        <is>
          <t>-</t>
        </is>
      </c>
      <c r="P27" t="inlineStr">
        <is>
          <t>-</t>
        </is>
      </c>
      <c r="R27" t="inlineStr">
        <is>
          <t>-</t>
        </is>
      </c>
    </row>
    <row r="28">
      <c r="E28" s="47">
        <f>D27</f>
        <v/>
      </c>
      <c r="F28" s="47">
        <f>D29</f>
        <v/>
      </c>
      <c r="N28" t="inlineStr">
        <is>
          <t>-</t>
        </is>
      </c>
      <c r="P28" t="inlineStr">
        <is>
          <t>-</t>
        </is>
      </c>
      <c r="R28" t="inlineStr">
        <is>
          <t>-</t>
        </is>
      </c>
    </row>
    <row r="29">
      <c r="E29" s="47">
        <f>D28</f>
        <v/>
      </c>
      <c r="F29" s="47">
        <f>D30</f>
        <v/>
      </c>
      <c r="N29" s="78">
        <f>HYPERLINK(LEFT(CELL("filename",A1),FIND("[",CELL("filename",A1))-1)&amp;"5.콘크리트도상\23_후속공사 인수인계\표준서\후속공사 인수인계_표준서.html", "👉 [클릭] 표준서 열기 📄")</f>
        <v/>
      </c>
      <c r="P29" s="79">
        <f>HYPERLINK(LEFT(CELL("filename",A1),FIND("[",CELL("filename",A1))-1)&amp;"5.콘크리트도상\23_후속공사 인수인계\수행지침\후속공사 인수인계_수행지침.html", "👉 [클릭] 수행지침 열기 📄")</f>
        <v/>
      </c>
      <c r="R29" s="80">
        <f>HYPERLINK(LEFT(CELL("filename",A1),FIND("[",CELL("filename",A1))-1)&amp;"5.콘크리트도상\23_후속공사 인수인계\체크리스트\후속공사 인수인계_체크리스트.html", "👉 [클릭] 체크리스트 열기 📄")</f>
        <v/>
      </c>
    </row>
    <row r="30">
      <c r="E30" s="47">
        <f>D29</f>
        <v/>
      </c>
      <c r="F30" s="47">
        <f>D31</f>
        <v/>
      </c>
      <c r="N30" s="78">
        <f>HYPERLINK(LEFT(CELL("filename",A1),FIND("[",CELL("filename",A1))-1)&amp;"5.콘크리트도상\24_Task_24\표준서\Task_24_표준서.html", "👉 [클릭] 표준서 열기 📄")</f>
        <v/>
      </c>
      <c r="P30" s="79">
        <f>HYPERLINK(LEFT(CELL("filename",A1),FIND("[",CELL("filename",A1))-1)&amp;"5.콘크리트도상\24_Task_24\수행지침\Task_24_수행지침.html", "👉 [클릭] 수행지침 열기 📄")</f>
        <v/>
      </c>
      <c r="R30" s="80">
        <f>HYPERLINK(LEFT(CELL("filename",A1),FIND("[",CELL("filename",A1))-1)&amp;"5.콘크리트도상\24_Task_24\체크리스트\Task_24_체크리스트.html", "👉 [클릭] 체크리스트 열기 📄")</f>
        <v/>
      </c>
    </row>
    <row r="31">
      <c r="E31" s="47">
        <f>D30</f>
        <v/>
      </c>
      <c r="F31" s="47">
        <f>D32</f>
        <v/>
      </c>
    </row>
    <row r="32">
      <c r="E32" s="47">
        <f>D31</f>
        <v/>
      </c>
      <c r="F32" s="47">
        <f>D33</f>
        <v/>
      </c>
    </row>
    <row r="33">
      <c r="E33" s="47">
        <f>D32</f>
        <v/>
      </c>
      <c r="F33" s="47">
        <f>D34</f>
        <v/>
      </c>
    </row>
    <row r="34">
      <c r="E34" s="47">
        <f>D33</f>
        <v/>
      </c>
      <c r="F34" s="47">
        <f>D35</f>
        <v/>
      </c>
    </row>
    <row r="35">
      <c r="E35" s="47">
        <f>D34</f>
        <v/>
      </c>
      <c r="F35" s="47">
        <f>D36</f>
        <v/>
      </c>
    </row>
    <row r="36">
      <c r="E36" s="47">
        <f>D35</f>
        <v/>
      </c>
      <c r="F36" s="47">
        <f>D37</f>
        <v/>
      </c>
    </row>
    <row r="37">
      <c r="E37" s="47">
        <f>D36</f>
        <v/>
      </c>
      <c r="F37" s="47">
        <f>D38</f>
        <v/>
      </c>
    </row>
    <row r="38">
      <c r="E38" s="47">
        <f>D37</f>
        <v/>
      </c>
      <c r="F38" s="47">
        <f>D39</f>
        <v/>
      </c>
    </row>
    <row r="39">
      <c r="E39" s="47">
        <f>D38</f>
        <v/>
      </c>
      <c r="F39" s="47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47" verticalDpi="0"/>
</worksheet>
</file>

<file path=xl/worksheets/sheet6.xml><?xml version="1.0" encoding="utf-8"?>
<worksheet xmlns="http://schemas.openxmlformats.org/spreadsheetml/2006/main">
  <sheetPr codeName="Sheet6">
    <tabColor rgb="FFFFFF00"/>
    <outlinePr summaryBelow="1" summaryRight="1"/>
    <pageSetUpPr/>
  </sheetPr>
  <dimension ref="A1:V51"/>
  <sheetViews>
    <sheetView view="pageBreakPreview" zoomScale="55" zoomScaleNormal="40" zoomScaleSheetLayoutView="5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4" sqref="J4"/>
    </sheetView>
  </sheetViews>
  <sheetFormatPr baseColWidth="8" defaultRowHeight="19.2"/>
  <cols>
    <col width="8.796875" customWidth="1" style="42" min="1" max="1"/>
    <col width="11.296875" customWidth="1" style="42" min="2" max="2"/>
    <col width="14.59765625" customWidth="1" style="42" min="3" max="3"/>
    <col width="16" customWidth="1" style="22" min="4" max="6"/>
    <col width="18" customWidth="1" style="45" min="7" max="7"/>
    <col width="34.69921875" customWidth="1" style="22" min="8" max="8"/>
    <col width="21.69921875" customWidth="1" style="22" min="9" max="9"/>
    <col width="32.59765625" customWidth="1" style="22" min="10" max="10"/>
    <col width="72.296875" customWidth="1" style="42" min="11" max="11"/>
    <col width="41.69921875" customWidth="1" style="42" min="12" max="12"/>
    <col width="50" customWidth="1" style="42" min="13" max="13"/>
    <col width="16.19921875" customWidth="1" style="46" min="14" max="14"/>
    <col width="49.796875" customWidth="1" style="46" min="15" max="15"/>
    <col width="12.19921875" customWidth="1" style="42" min="16" max="16"/>
    <col width="45" customWidth="1" style="42" min="17" max="17"/>
    <col width="13.69921875" customWidth="1" style="46" min="18" max="18"/>
    <col width="23.3984375" customWidth="1" style="42" min="19" max="19"/>
    <col width="45" customWidth="1" style="46" min="20" max="20"/>
    <col width="22" customWidth="1" style="46" min="21" max="21"/>
    <col width="45" customWidth="1" style="42" min="22" max="38"/>
    <col width="8.796875" customWidth="1" style="42" min="39" max="75"/>
    <col width="8.796875" customWidth="1" style="42" min="76" max="16384"/>
  </cols>
  <sheetData>
    <row r="1" ht="38.4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12" t="inlineStr">
        <is>
          <t>선행</t>
        </is>
      </c>
      <c r="F1" s="12" t="inlineStr">
        <is>
          <t>후행</t>
        </is>
      </c>
      <c r="G1" s="12" t="inlineStr">
        <is>
          <t>일정 (D-Day)</t>
        </is>
      </c>
      <c r="H1" s="12" t="inlineStr">
        <is>
          <t>작업단위 (Level 4 Task/Activity)</t>
        </is>
      </c>
      <c r="I1" s="12" t="inlineStr">
        <is>
          <t>주관</t>
        </is>
      </c>
      <c r="J1" s="12" t="inlineStr">
        <is>
          <t>목적</t>
        </is>
      </c>
      <c r="K1" s="12" t="inlineStr">
        <is>
          <t>방법</t>
        </is>
      </c>
      <c r="L1" s="12" t="inlineStr">
        <is>
          <t>산출물(결과)</t>
        </is>
      </c>
      <c r="M1" s="12" t="inlineStr">
        <is>
          <t>표준서 (Standard) 요약</t>
        </is>
      </c>
      <c r="N1" s="14" t="inlineStr">
        <is>
          <t>표준서 파일 (HTML)</t>
        </is>
      </c>
      <c r="O1" s="12" t="inlineStr">
        <is>
          <t>수행지침 (Guideline) 요약</t>
        </is>
      </c>
      <c r="P1" s="14" t="inlineStr">
        <is>
          <t>수행지침 파일 (HTML)</t>
        </is>
      </c>
      <c r="Q1" s="12" t="inlineStr">
        <is>
          <t>체크리스트 (Checklist) 요약</t>
        </is>
      </c>
      <c r="R1" s="14" t="inlineStr">
        <is>
          <t>체크리스트 파일 (HTML)</t>
        </is>
      </c>
      <c r="S1" s="12" t="inlineStr">
        <is>
          <t>비고</t>
        </is>
      </c>
      <c r="T1" s="12" t="inlineStr">
        <is>
          <t>첨부서류 연계 상세 설계기준</t>
        </is>
      </c>
      <c r="U1" s="12" t="inlineStr">
        <is>
          <t>집행단계 리스크 체크리스트</t>
        </is>
      </c>
      <c r="V1" s="12" t="inlineStr">
        <is>
          <t>협력사 시공/공사관리 자문</t>
        </is>
      </c>
    </row>
    <row r="2" ht="115.2" customHeight="1">
      <c r="A2" s="22" t="inlineStr">
        <is>
          <t>9000</t>
        </is>
      </c>
      <c r="B2" s="22" t="inlineStr">
        <is>
          <t>9000-4</t>
        </is>
      </c>
      <c r="C2" s="26" t="inlineStr">
        <is>
          <t>건축</t>
        </is>
      </c>
      <c r="D2" s="22" t="inlineStr">
        <is>
          <t>9000-4-1</t>
        </is>
      </c>
      <c r="F2" s="22">
        <f>D3</f>
        <v/>
      </c>
      <c r="G2" s="36" t="inlineStr">
        <is>
          <t>D-120 (D-150~D-120)</t>
        </is>
      </c>
      <c r="H2" s="26" t="inlineStr">
        <is>
          <t>설계 적정성 검토</t>
        </is>
      </c>
      <c r="I2" s="22" t="inlineStr">
        <is>
          <t>현장 공무팀</t>
        </is>
      </c>
      <c r="J2" s="43" t="inlineStr">
        <is>
          <t>건축 설계 오류 및 누락사항 검토</t>
        </is>
      </c>
      <c r="K2" s="44" t="inlineStr">
        <is>
          <t>- 시공성 검토: 구조물, 마감, 가시설 등
- 기계설비/전기/통신 등 인터페이스: 개구부/슬리브 반영 유무 및 확인
- 관련규정(법규지침) 최신 개정사항이 설계 반영되었는지 확인
- 신기술/특허 반영 유무 검토
- 품질/안전 Risk 검토 및 관리방안 검토</t>
        </is>
      </c>
      <c r="L2" s="43" t="inlineStr">
        <is>
          <t>설계변경 예상 List, 회의록</t>
        </is>
      </c>
      <c r="M2" s="43" t="inlineStr">
        <is>
          <t>1) 설계 적정성 검토 (WBS 9000-4-1) 관련 시공성 검토: 구조물, 마감, 가시설 등 수칙 및 법적 이행 의무를 1:1 준수한다. 또한 KDS 41 00 00 (건축구조기준), KDS 41 17 00 (내진설계기준) 및 KCS 41 00 00 (건축공사 표준시방서) 기술기준을 100% 충족한다.
2) 설계 적정성 검토 달성을 위한 필수 시공 방법(시공성 검토: 구조물, 마감, 가시설 등 기계설비/전기/통신 등 인터페이스: 개구부/슬리브 반영 유무 및 확...)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" s="75">
        <f>HYPERLINK(LEFT(CELL("filename",A1),FIND("[",CELL("filename",A1))-1)&amp;"6.건축\1_설계 적정성 검토\표준서\설계 적정성 검토_표준서.html", "👉 [클릭] 표준서 열기 📄")</f>
        <v/>
      </c>
      <c r="O2" s="43" t="inlineStr">
        <is>
          <t>1) 설계 적정성 검토 (WBS 9000-4-1) 사전 건축 인허가 서식 제출(관할 지자체/소방서), 3D BIM 도서 대조 및 기계·전기·통신 4대 인터페이스 개구부를 확정한다.
2) 실무 작업방법 수칙(시공성 검토: 구조물, 마감, 가시설 등 기계설비/전기/통신 등 인터페이스: 개구부/슬리브 반...)에 따라 철근 이음/피복두께 검측, 거푸집 다짐 양생 및 현장 3대 금기 수칙(피복 미달, 무단 타설)을 완수한다.</t>
        </is>
      </c>
      <c r="P2" s="76">
        <f>HYPERLINK(LEFT(CELL("filename",A1),FIND("[",CELL("filename",A1))-1)&amp;"6.건축\1_설계 적정성 검토\수행지침\설계 적정성 검토_수행지침.html", "👉 [클릭] 수행지침 열기 📄")</f>
        <v/>
      </c>
      <c r="Q2" s="43" t="inlineStr">
        <is>
          <t>1) 건축법 제11조 및 KDS 41 00 00 건축구조기준에 따라 설계 적정성 검토 사전 검토를 수행하였는가? 또한 레미콘 규격(24~30MPa), 철근 시험성적서 및 방수자재 KCS 표준 품질 적격성을 검수하였는가?
2) 미검측 및 정량 시방 미달에 따른 설계 적정성 검토 (WBS 9000-4-1) 구조 균열/누수 하자 발생, 개구부 누락 재시공 손실 및 최종 설계변경 예상 List, 회의록 승인 반려 리스크를 전면 차단한다.</t>
        </is>
      </c>
      <c r="R2" s="77">
        <f>HYPERLINK(LEFT(CELL("filename",A1),FIND("[",CELL("filename",A1))-1)&amp;"6.건축\1_설계 적정성 검토\체크리스트\설계 적정성 검토_체크리스트.html", "👉 [클릭] 체크리스트 열기 📄")</f>
        <v/>
      </c>
      <c r="S2" s="22" t="n"/>
      <c r="T2" s="69" t="inlineStr">
        <is>
          <t>● 건축법 및 관련 소방, 정보통신 등 인터페이스 설계기준 준수</t>
        </is>
      </c>
      <c r="U2" s="69" t="inlineStr">
        <is>
          <t>1) 👉 [더블클릭] 체크리스트 열기 📄</t>
        </is>
      </c>
      <c r="V2" s="43" t="n"/>
    </row>
    <row r="3" ht="115.2" customHeight="1">
      <c r="A3" s="22" t="inlineStr">
        <is>
          <t>9000</t>
        </is>
      </c>
      <c r="B3" s="22" t="inlineStr">
        <is>
          <t>9000-4</t>
        </is>
      </c>
      <c r="C3" s="26" t="inlineStr">
        <is>
          <t>건축</t>
        </is>
      </c>
      <c r="D3" s="22" t="inlineStr">
        <is>
          <t>9000-4-2</t>
        </is>
      </c>
      <c r="E3" s="22">
        <f>D2</f>
        <v/>
      </c>
      <c r="F3" s="22">
        <f>D4</f>
        <v/>
      </c>
      <c r="G3" s="36" t="inlineStr">
        <is>
          <t>D-100 (D-120~D-100)</t>
        </is>
      </c>
      <c r="H3" s="26" t="inlineStr">
        <is>
          <t>발주전략 KOM</t>
        </is>
      </c>
      <c r="I3" s="22" t="inlineStr">
        <is>
          <t>현장소장</t>
        </is>
      </c>
      <c r="J3" s="43" t="inlineStr">
        <is>
          <t>건축 구조물 및 내부, 마감공사 발주 전략 수립</t>
        </is>
      </c>
      <c r="K3" s="44" t="inlineStr">
        <is>
          <t>- 가시공 B/P 적정성 검토
- 현설조건 검토
- 공법 및 공기 검토
- 예산 적정성 검토
- 현장 여건 및 지반상태(기초, 말뚝등) 검토</t>
        </is>
      </c>
      <c r="L3" s="43" t="inlineStr">
        <is>
          <t>KOM 검토결과서, 현설서</t>
        </is>
      </c>
      <c r="M3" s="43" t="inlineStr">
        <is>
          <t>1) 발주전략 KOM (WBS 9000-4-2) 관련 가시공 B/P 적정성 검토 수칙 및 법적 이행 의무를 1:1 준수한다. 또한 KDS 41 00 00 (건축구조기준), KDS 41 17 00 (내진설계기준) 및 KCS 41 00 00 (건축공사 표준시방서) 기술기준을 100% 충족한다.
2) 발주전략 KOM 달성을 위한 필수 시공 방법(가시공 B/P 적정성 검토 현설조건 검토 공법 및 공기 검토 예산 적정성 검토 현장 여건 및 지반상태(기초,...)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" s="75">
        <f>HYPERLINK(LEFT(CELL("filename",A1),FIND("[",CELL("filename",A1))-1)&amp;"6.건축\2_발주전략 KOM\표준서\발주전략 KOM_표준서.html", "👉 [클릭] 표준서 열기 📄")</f>
        <v/>
      </c>
      <c r="O3" s="43" t="inlineStr">
        <is>
          <t>1) 발주전략 KOM (WBS 9000-4-2) 사전 건축 인허가 서식 제출(관할 지자체/소방서), 3D BIM 도서 대조 및 기계·전기·통신 4대 인터페이스 개구부를 확정한다.
2) 실무 작업방법 수칙(가시공 B/P 적정성 검토 현설조건 검토 공법 및 공기 검토 예산 적정성 검토 현장 여건 및 ...)에 따라 철근 이음/피복두께 검측, 거푸집 다짐 양생 및 현장 3대 금기 수칙(피복 미달, 무단 타설)을 완수한다.</t>
        </is>
      </c>
      <c r="P3" s="76">
        <f>HYPERLINK(LEFT(CELL("filename",A1),FIND("[",CELL("filename",A1))-1)&amp;"6.건축\2_발주전략 KOM\수행지침\발주전략 KOM_수행지침.html", "👉 [클릭] 수행지침 열기 📄")</f>
        <v/>
      </c>
      <c r="Q3" s="43" t="inlineStr">
        <is>
          <t>1) 건축법 제11조 및 KDS 41 00 00 건축구조기준에 따라 발주전략 KOM 사전 검토를 수행하였는가? 또한 레미콘 규격(24~30MPa), 철근 시험성적서 및 방수자재 KCS 표준 품질 적격성을 검수하였는가?
2) 미검측 및 정량 시방 미달에 따른 발주전략 KOM (WBS 9000-4-2) 구조 균열/누수 하자 발생, 개구부 누락 재시공 손실 및 최종 KOM 검토결과서, 현설서 승인 반려 리스크를 전면 차단한다.</t>
        </is>
      </c>
      <c r="R3" s="77">
        <f>HYPERLINK(LEFT(CELL("filename",A1),FIND("[",CELL("filename",A1))-1)&amp;"6.건축\2_발주전략 KOM\체크리스트\발주전략 KOM_체크리스트.html", "👉 [클릭] 체크리스트 열기 📄")</f>
        <v/>
      </c>
      <c r="S3" s="22" t="n"/>
      <c r="T3" s="69" t="inlineStr">
        <is>
          <t>● 본사외주부서, 수행부서, 토목견적팀 협의사항 준수</t>
        </is>
      </c>
      <c r="U3" s="69" t="inlineStr">
        <is>
          <t>1) 👉 [더블클릭] 체크리스트 열기 📄</t>
        </is>
      </c>
      <c r="V3" s="43" t="n"/>
    </row>
    <row r="4" ht="115.2" customHeight="1">
      <c r="A4" s="22" t="inlineStr">
        <is>
          <t>9000</t>
        </is>
      </c>
      <c r="B4" s="22" t="inlineStr">
        <is>
          <t>9000-4</t>
        </is>
      </c>
      <c r="C4" s="26" t="inlineStr">
        <is>
          <t>건축</t>
        </is>
      </c>
      <c r="D4" s="22" t="inlineStr">
        <is>
          <t>9000-4-3</t>
        </is>
      </c>
      <c r="E4" s="22">
        <f>D3</f>
        <v/>
      </c>
      <c r="F4" s="22">
        <f>D5</f>
        <v/>
      </c>
      <c r="G4" s="36" t="inlineStr">
        <is>
          <t>D-100 (D-120~D-100)</t>
        </is>
      </c>
      <c r="H4" s="26" t="inlineStr">
        <is>
          <t>착공전 건축 인허가</t>
        </is>
      </c>
      <c r="I4" s="22" t="inlineStr">
        <is>
          <t>현장소장</t>
        </is>
      </c>
      <c r="J4" s="43" t="inlineStr">
        <is>
          <t>관련법에 따라 착수전 건축인허가 추진</t>
        </is>
      </c>
      <c r="K4" s="44" t="inlineStr">
        <is>
          <t>- 건축허가 요청(-&gt;관할 지자체)
- 착공신고서 제출(-&gt;관할 지자체)
- 소방시설공사 착공신고서 제출 (-&gt;관할 소방서)
- 정보통신공사 착공전 설계도 확인(-&gt;관할 지자체)</t>
        </is>
      </c>
      <c r="L4" s="43" t="inlineStr">
        <is>
          <t>인허가 신고/승인 문서</t>
        </is>
      </c>
      <c r="M4" s="43" t="inlineStr">
        <is>
          <t>1) 착공전 건축 인허가 (WBS 9000-4-3) 관련 건축허가 요청(-&gt;관할 지자체) 수칙 및 법적 이행 의무를 1:1 준수한다. 또한 KDS 41 00 00 (건축구조기준), KDS 41 17 00 (내진설계기준) 및 KCS 41 00 00 (건축공사 표준시방서) 기술기준을 100% 충족한다.
2) 착공전 건축 인허가 달성을 위한 필수 시공 방법(건축허가 요청(-&gt;관할 지자체) 착공신고서 제출(-&gt;관할 지자체) 소방시설공사 착공신고서 제출 (-&gt;관할 소...)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" s="75">
        <f>HYPERLINK(LEFT(CELL("filename",A1),FIND("[",CELL("filename",A1))-1)&amp;"6.건축\3_착공전 건축 인허가\표준서\착공전 건축 인허가_표준서.html", "👉 [클릭] 표준서 열기 📄")</f>
        <v/>
      </c>
      <c r="O4" s="43" t="inlineStr">
        <is>
          <t>1) 착공전 건축 인허가 (WBS 9000-4-3) 사전 건축 인허가 서식 제출(관할 지자체/소방서), 3D BIM 도서 대조 및 기계·전기·통신 4대 인터페이스 개구부를 확정한다.
2) 실무 작업방법 수칙(건축허가 요청(-&gt;관할 지자체) 착공신고서 제출(-&gt;관할 지자체) 소방시설공사 착공신고서 제출...)에 따라 철근 이음/피복두께 검측, 거푸집 다짐 양생 및 현장 3대 금기 수칙(피복 미달, 무단 타설)을 완수한다.</t>
        </is>
      </c>
      <c r="P4" s="76">
        <f>HYPERLINK(LEFT(CELL("filename",A1),FIND("[",CELL("filename",A1))-1)&amp;"6.건축\3_착공전 건축 인허가\수행지침\착공전 건축 인허가_수행지침.html", "👉 [클릭] 수행지침 열기 📄")</f>
        <v/>
      </c>
      <c r="Q4" s="43" t="inlineStr">
        <is>
          <t>1) 건축법 제11조 및 KDS 41 00 00 건축구조기준에 따라 착공전 건축 인허가 사전 검토를 수행하였는가? 또한 레미콘 규격(24~30MPa), 철근 시험성적서 및 방수자재 KCS 표준 품질 적격성을 검수하였는가?
2) 미검측 및 정량 시방 미달에 따른 착공전 건축 인허가 (WBS 9000-4-3) 구조 균열/누수 하자 발생, 개구부 누락 재시공 손실 및 최종 인허가 신고/승인 문서 승인 반려 리스크를 전면 차단한다.</t>
        </is>
      </c>
      <c r="R4" s="77">
        <f>HYPERLINK(LEFT(CELL("filename",A1),FIND("[",CELL("filename",A1))-1)&amp;"6.건축\3_착공전 건축 인허가\체크리스트\착공전 건축 인허가_체크리스트.html", "👉 [클릭] 체크리스트 열기 📄")</f>
        <v/>
      </c>
      <c r="S4" s="22" t="n"/>
      <c r="T4" s="69" t="inlineStr">
        <is>
          <t>● 건축법, 소방시설공사업법, 정보통신공사업법 규정 준수</t>
        </is>
      </c>
      <c r="U4" s="69" t="inlineStr">
        <is>
          <t>1) 👉 [더블클릭] 체크리스트 열기 📄</t>
        </is>
      </c>
      <c r="V4" s="43" t="n"/>
    </row>
    <row r="5" ht="112.2" customHeight="1">
      <c r="A5" s="22" t="inlineStr">
        <is>
          <t>9000</t>
        </is>
      </c>
      <c r="B5" s="22" t="inlineStr">
        <is>
          <t>9000-4</t>
        </is>
      </c>
      <c r="C5" s="26" t="inlineStr">
        <is>
          <t>건축</t>
        </is>
      </c>
      <c r="D5" s="22" t="inlineStr">
        <is>
          <t>9000-4-4</t>
        </is>
      </c>
      <c r="E5" s="22">
        <f>D4</f>
        <v/>
      </c>
      <c r="F5" s="22">
        <f>D6</f>
        <v/>
      </c>
      <c r="G5" s="36" t="inlineStr">
        <is>
          <t>D-90 (D-120~D-90)</t>
        </is>
      </c>
      <c r="H5" s="26" t="inlineStr">
        <is>
          <t>건축허가 요청</t>
        </is>
      </c>
      <c r="I5" s="22" t="inlineStr">
        <is>
          <t>건축설계사, 현장준비팀</t>
        </is>
      </c>
      <c r="J5" s="43" t="inlineStr">
        <is>
          <t>건축허가요청</t>
        </is>
      </c>
      <c r="K5" s="44" t="inlineStr">
        <is>
          <t>건축설계사, 현장준비팀 -&gt; 관할지자체
- 건축법 제11조(건축허가)
- 서식: 별지 제1호의4서식
- 관할지자체(시,군,구) 2일~15일</t>
        </is>
      </c>
      <c r="L5" s="43" t="inlineStr">
        <is>
          <t>건축허가 통보 문서</t>
        </is>
      </c>
      <c r="M5" s="43" t="inlineStr">
        <is>
          <t>1) 건축허가 요청 (WBS 9000-4-4) 관련 건축설계사, 현장준비팀 -&gt; 관할지자체 수칙 및 법적 이행 의무를 1:1 준수한다. 또한 KDS 41 00 00 (건축구조기준), KDS 41 17 00 (내진설계기준) 및 KCS 41 00 00 (건축공사 표준시방서) 기술기준을 100% 충족한다.
2) 건축허가 요청 달성을 위한 필수 시공 방법(건축설계사, 현장준비팀 -&gt; 관할지자체 건축법 제11조(건축허가) 서식: 별지 제1호의4서식 관할지자체(시,...)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" s="75">
        <f>HYPERLINK(LEFT(CELL("filename",A1),FIND("[",CELL("filename",A1))-1)&amp;"6.건축\4_건축허가 요청\표준서\건축허가 요청_표준서.html", "👉 [클릭] 표준서 열기 📄")</f>
        <v/>
      </c>
      <c r="O5" s="43" t="inlineStr">
        <is>
          <t>1) 건축허가 요청 (WBS 9000-4-4) 사전 건축 인허가 서식 제출(관할 지자체/소방서), 3D BIM 도서 대조 및 기계·전기·통신 4대 인터페이스 개구부를 확정한다.
2) 실무 작업방법 수칙(건축설계사, 현장준비팀 -&gt; 관할지자체 건축법 제11조(건축허가) 서식: 별지 제1호의4서식 ...)에 따라 철근 이음/피복두께 검측, 거푸집 다짐 양생 및 현장 3대 금기 수칙(피복 미달, 무단 타설)을 완수한다.</t>
        </is>
      </c>
      <c r="P5" s="76">
        <f>HYPERLINK(LEFT(CELL("filename",A1),FIND("[",CELL("filename",A1))-1)&amp;"6.건축\4_건축허가 요청\수행지침\건축허가 요청_수행지침.html", "👉 [클릭] 수행지침 열기 📄")</f>
        <v/>
      </c>
      <c r="Q5" s="43" t="inlineStr">
        <is>
          <t>1) 건축법 제11조 및 KDS 41 00 00 건축구조기준에 따라 건축허가 요청 사전 검토를 수행하였는가? 또한 레미콘 규격(24~30MPa), 철근 시험성적서 및 방수자재 KCS 표준 품질 적격성을 검수하였는가?
2) 미검측 및 정량 시방 미달에 따른 건축허가 요청 (WBS 9000-4-4) 구조 균열/누수 하자 발생, 개구부 누락 재시공 손실 및 최종 건축허가 통보 문서 승인 반려 리스크를 전면 차단한다.</t>
        </is>
      </c>
      <c r="R5" s="77">
        <f>HYPERLINK(LEFT(CELL("filename",A1),FIND("[",CELL("filename",A1))-1)&amp;"6.건축\4_건축허가 요청\체크리스트\건축허가 요청_체크리스트.html", "👉 [클릭] 체크리스트 열기 📄")</f>
        <v/>
      </c>
      <c r="S5" s="22" t="n"/>
      <c r="T5" s="69" t="inlineStr">
        <is>
          <t>● 건축법 제11조</t>
        </is>
      </c>
      <c r="U5" s="69" t="inlineStr">
        <is>
          <t>1) 👉 [더블클릭] 체크리스트 열기 📄</t>
        </is>
      </c>
      <c r="V5" s="43" t="n"/>
    </row>
    <row r="6" ht="115.2" customHeight="1">
      <c r="A6" s="22" t="inlineStr">
        <is>
          <t>9000</t>
        </is>
      </c>
      <c r="B6" s="22" t="inlineStr">
        <is>
          <t>9000-4</t>
        </is>
      </c>
      <c r="C6" s="26" t="inlineStr">
        <is>
          <t>건축</t>
        </is>
      </c>
      <c r="D6" s="22" t="inlineStr">
        <is>
          <t>9000-4-5</t>
        </is>
      </c>
      <c r="E6" s="22">
        <f>D5</f>
        <v/>
      </c>
      <c r="F6" s="22">
        <f>D7</f>
        <v/>
      </c>
      <c r="G6" s="36" t="inlineStr">
        <is>
          <t>D-60 (D-90~D-60)</t>
        </is>
      </c>
      <c r="H6" s="26" t="inlineStr">
        <is>
          <t>착공신고서 제출</t>
        </is>
      </c>
      <c r="I6" s="22" t="inlineStr">
        <is>
          <t>현장소장, 건축 설계사</t>
        </is>
      </c>
      <c r="J6" s="43" t="inlineStr">
        <is>
          <t>착공신고서 제출</t>
        </is>
      </c>
      <c r="K6" s="44" t="inlineStr">
        <is>
          <t>현장 -&gt; 관할지자체
- 건축법 제21조(착공신고등)
- 서식: 별지 제13호 서식
- 제출후 지자체 처리기간 3일 이내</t>
        </is>
      </c>
      <c r="L6" s="43" t="inlineStr">
        <is>
          <t>착공신고서 승인 통보 문서</t>
        </is>
      </c>
      <c r="M6" s="43" t="inlineStr">
        <is>
          <t>1) 착공신고서 제출 (WBS 9000-4-5) 관련 현장 -&gt; 관할지자체 수칙 및 법적 이행 의무를 1:1 준수한다. 또한 KDS 41 00 00 (건축구조기준), KDS 41 17 00 (내진설계기준) 및 KCS 41 00 00 (건축공사 표준시방서) 기술기준을 100% 충족한다.
2) 착공신고서 제출 달성을 위한 필수 시공 방법(현장 -&gt; 관할지자체 건축법 제21조(착공신고등) 서식: 별지 제13호 서식 제출후 지자체 처리기간 3일 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6" s="75">
        <f>HYPERLINK(LEFT(CELL("filename",A1),FIND("[",CELL("filename",A1))-1)&amp;"6.건축\5_착공신고서 제출\표준서\착공신고서 제출_표준서.html", "👉 [클릭] 표준서 열기 📄")</f>
        <v/>
      </c>
      <c r="O6" s="43" t="inlineStr">
        <is>
          <t>1) 착공신고서 제출 (WBS 9000-4-5) 사전 건축 인허가 서식 제출(관할 지자체/소방서), 3D BIM 도서 대조 및 기계·전기·통신 4대 인터페이스 개구부를 확정한다.
2) 실무 작업방법 수칙(현장 -&gt; 관할지자체 건축법 제21조(착공신고등) 서식: 별지 제13호 서식 제출후 지자체 처...)에 따라 철근 이음/피복두께 검측, 거푸집 다짐 양생 및 현장 3대 금기 수칙(피복 미달, 무단 타설)을 완수한다.</t>
        </is>
      </c>
      <c r="P6" s="76">
        <f>HYPERLINK(LEFT(CELL("filename",A1),FIND("[",CELL("filename",A1))-1)&amp;"6.건축\5_착공신고서 제출\수행지침\착공신고서 제출_수행지침.html", "👉 [클릭] 수행지침 열기 📄")</f>
        <v/>
      </c>
      <c r="Q6" s="43" t="inlineStr">
        <is>
          <t>1) 건축법 제11조 및 KDS 41 00 00 건축구조기준에 따라 착공신고서 제출 사전 검토를 수행하였는가? 또한 레미콘 규격(24~30MPa), 철근 시험성적서 및 방수자재 KCS 표준 품질 적격성을 검수하였는가?
2) 미검측 및 정량 시방 미달에 따른 착공신고서 제출 (WBS 9000-4-5) 구조 균열/누수 하자 발생, 개구부 누락 재시공 손실 및 최종 착공신고서 승인 통보 문서 승인 반려 리스크를 전면 차단한다.</t>
        </is>
      </c>
      <c r="R6" s="77">
        <f>HYPERLINK(LEFT(CELL("filename",A1),FIND("[",CELL("filename",A1))-1)&amp;"6.건축\5_착공신고서 제출\체크리스트\착공신고서 제출_체크리스트.html", "👉 [클릭] 체크리스트 열기 📄")</f>
        <v/>
      </c>
      <c r="S6" s="22" t="n"/>
      <c r="T6" s="69" t="inlineStr">
        <is>
          <t>● 건축법 제21조</t>
        </is>
      </c>
      <c r="U6" s="69" t="inlineStr">
        <is>
          <t>1) 👉 [더블클릭] 체크리스트 열기 📄</t>
        </is>
      </c>
      <c r="V6" s="43" t="n"/>
    </row>
    <row r="7" ht="115.2" customHeight="1">
      <c r="A7" s="22" t="inlineStr">
        <is>
          <t>9000</t>
        </is>
      </c>
      <c r="B7" s="22" t="inlineStr">
        <is>
          <t>9000-4</t>
        </is>
      </c>
      <c r="C7" s="26" t="inlineStr">
        <is>
          <t>건축</t>
        </is>
      </c>
      <c r="D7" s="22" t="inlineStr">
        <is>
          <t>9000-4-6</t>
        </is>
      </c>
      <c r="E7" s="22">
        <f>D6</f>
        <v/>
      </c>
      <c r="F7" s="22">
        <f>D8</f>
        <v/>
      </c>
      <c r="G7" s="36" t="inlineStr">
        <is>
          <t>D-70 (D-70~D-60)</t>
        </is>
      </c>
      <c r="H7" s="26" t="inlineStr">
        <is>
          <t>소방시설공사 착공 신고서 제출</t>
        </is>
      </c>
      <c r="I7" s="22" t="inlineStr">
        <is>
          <t>현장소장</t>
        </is>
      </c>
      <c r="J7" s="43" t="inlineStr">
        <is>
          <t>소방시설공사 착공신고서 제출</t>
        </is>
      </c>
      <c r="K7" s="44" t="inlineStr">
        <is>
          <t>현장 -&gt; 관할소방서, 소방시설공사업법 제13조(착공신고)
- 서식: 별지 제14호 서식
- 제출후 처리기간 2일 이내</t>
        </is>
      </c>
      <c r="L7" s="43" t="inlineStr">
        <is>
          <t>소방시설공사 착공신고필증</t>
        </is>
      </c>
      <c r="M7" s="43" t="inlineStr">
        <is>
          <t>1) 소방시설공사 착공 신고서 제출 (WBS 9000-4-6) 관련 현장 -&gt; 관할소방서, 소방시설공사업법 제13조(착공신고) 수칙 및 법적 이행 의무를 1:1 준수한다. 또한 KDS 41 00 00 (건축구조기준), KDS 41 17 00 (내진설계기준) 및 KCS 41 00 00 (건축공사 표준시방서) 기술기준을 100% 충족한다.
2) 소방시설공사 착공 신고서 제출 달성을 위한 필수 시공 방법(현장 -&gt; 관할소방서, 소방시설공사업법 제13조(착공신고) 서식: 별지 제14호 서식 제출후 처리기간 2일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7" s="75">
        <f>HYPERLINK(LEFT(CELL("filename",A1),FIND("[",CELL("filename",A1))-1)&amp;"6.건축\6_소방시설공사 착공 신고서 제출\표준서\소방시설공사 착공 신고서 제출_표준서.html", "👉 [클릭] 표준서 열기 📄")</f>
        <v/>
      </c>
      <c r="O7" s="43" t="inlineStr">
        <is>
          <t>1) 소방시설공사 착공 신고서 제출 (WBS 9000-4-6) 사전 건축 인허가 서식 제출(관할 지자체/소방서), 3D BIM 도서 대조 및 기계·전기·통신 4대 인터페이스 개구부를 확정한다.
2) 실무 작업방법 수칙(현장 -&gt; 관할소방서, 소방시설공사업법 제13조(착공신고) 서식: 별지 제14호 서식 제출후 ...)에 따라 철근 이음/피복두께 검측, 거푸집 다짐 양생 및 현장 3대 금기 수칙(피복 미달, 무단 타설)을 완수한다.</t>
        </is>
      </c>
      <c r="P7" s="76">
        <f>HYPERLINK(LEFT(CELL("filename",A1),FIND("[",CELL("filename",A1))-1)&amp;"6.건축\6_소방시설공사 착공 신고서 제출\수행지침\소방시설공사 착공 신고서 제출_수행지침.html", "👉 [클릭] 수행지침 열기 📄")</f>
        <v/>
      </c>
      <c r="Q7" s="43" t="inlineStr">
        <is>
          <t>1) 건축법 제11조 및 KDS 41 00 00 건축구조기준에 따라 소방시설공사 착공 신고서 제출 사전 검토를 수행하였는가? 또한 레미콘 규격(24~30MPa), 철근 시험성적서 및 방수자재 KCS 표준 품질 적격성을 검수하였는가?
2) 미검측 및 정량 시방 미달에 따른 소방시설공사 착공 신고서 제출 (WBS 9000-4-6) 구조 균열/누수 하자 발생, 개구부 누락 재시공 손실 및 최종 소방시설공사 착공신고필증 승인 반려 리스크를 전면 차단한다.</t>
        </is>
      </c>
      <c r="R7" s="77">
        <f>HYPERLINK(LEFT(CELL("filename",A1),FIND("[",CELL("filename",A1))-1)&amp;"6.건축\6_소방시설공사 착공 신고서 제출\체크리스트\소방시설공사 착공 신고서 제출_체크리스트.html", "👉 [클릭] 체크리스트 열기 📄")</f>
        <v/>
      </c>
      <c r="S7" s="22" t="n"/>
      <c r="T7" s="69" t="inlineStr">
        <is>
          <t>● 소방시설공사업법 제13조</t>
        </is>
      </c>
      <c r="U7" s="69" t="inlineStr">
        <is>
          <t>1) 👉 [더블클릭] 체크리스트 열기 📄</t>
        </is>
      </c>
      <c r="V7" s="43" t="n"/>
    </row>
    <row r="8" ht="115.2" customHeight="1">
      <c r="A8" s="22" t="inlineStr">
        <is>
          <t>9000</t>
        </is>
      </c>
      <c r="B8" s="22" t="inlineStr">
        <is>
          <t>9000-4</t>
        </is>
      </c>
      <c r="C8" s="26" t="inlineStr">
        <is>
          <t>건축</t>
        </is>
      </c>
      <c r="D8" s="22" t="inlineStr">
        <is>
          <t>9000-4-7</t>
        </is>
      </c>
      <c r="E8" s="22">
        <f>D7</f>
        <v/>
      </c>
      <c r="F8" s="22">
        <f>D9</f>
        <v/>
      </c>
      <c r="G8" s="36" t="inlineStr">
        <is>
          <t>D-60</t>
        </is>
      </c>
      <c r="H8" s="26" t="inlineStr">
        <is>
          <t>정보통신공사 착공전 설계도 확인 (신청서 제출 및 결과 접수)</t>
        </is>
      </c>
      <c r="I8" s="22" t="inlineStr">
        <is>
          <t>현장소장</t>
        </is>
      </c>
      <c r="J8" s="43" t="inlineStr">
        <is>
          <t>정보통신공사 착공전 설계도 확인 신청 및 제출</t>
        </is>
      </c>
      <c r="K8" s="44" t="inlineStr">
        <is>
          <t>현장 -&gt; 관할지자체, 정보통신공사업법 시행령 제35조의 2
- 서식: 별지 제7호 서식
- 제출후 처리기간 14일 이내</t>
        </is>
      </c>
      <c r="L8" s="43" t="inlineStr">
        <is>
          <t>정보통신공사 착공전 설계도 확인결과 통보서</t>
        </is>
      </c>
      <c r="M8" s="43" t="inlineStr">
        <is>
          <t>1) 정보통신공사 착공전 설계도 확인 (신청서 제출 및 결과 접수) (WBS 9000-4-7) 관련 현장 -&gt; 관할지자체, 정보통신공사업법 시행령 제35조의 2 수칙 및 법적 이행 의무를 1:1 준수한다. 또한 KDS 41 00 00 (건축구조기준), KDS 41 17 00 (내진설계기준) 및 KCS 41 00 00 (건축공사 표준시방서) 기술기준을 100% 충족한다.
2) 정보통신공사 착공전 설계도 확인 (신청서 제출 및 결과 접수) 달성을 위한 필수 시공 방법(현장 -&gt; 관할지자체, 정보통신공사업법 시행령 제35조의 2 서식: 별지 제7호 서식 제출후 처리기간 14일...)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8" s="75">
        <f>HYPERLINK(LEFT(CELL("filename",A1),FIND("[",CELL("filename",A1))-1)&amp;"6.건축\7_정보통신공사 착공전 설계도 확인 (신청서 제출 및 결과 접수)\표준서\정보통신공사 착공전 설계도 확인 (신청서 제출 및 결과 접수)_표준서.html", "👉 [클릭] 표준서 열기 📄")</f>
        <v/>
      </c>
      <c r="O8" s="43" t="inlineStr">
        <is>
          <t>1) 정보통신공사 착공전 설계도 확인 (신청서 제출 및 결과 접수) (WBS 9000-4-7) 사전 건축 인허가 서식 제출(관할 지자체/소방서), 3D BIM 도서 대조 및 기계·전기·통신 4대 인터페이스 개구부를 확정한다.
2) 실무 작업방법 수칙(현장 -&gt; 관할지자체, 정보통신공사업법 시행령 제35조의 2 서식: 별지 제7호 서식 제출후 ...)에 따라 철근 이음/피복두께 검측, 거푸집 다짐 양생 및 현장 3대 금기 수칙(피복 미달, 무단 타설)을 완수한다.</t>
        </is>
      </c>
      <c r="P8" s="76">
        <f>HYPERLINK(LEFT(CELL("filename",A1),FIND("[",CELL("filename",A1))-1)&amp;"6.건축\7_정보통신공사 착공전 설계도 확인 (신청서 제출 및 결과 접수)\수행지침\정보통신공사 착공전 설계도 확인 (신청서 제출 및 결과 접수)_수행지침.html", "👉 [클릭] 수행지침 열기 📄")</f>
        <v/>
      </c>
      <c r="Q8" s="43" t="inlineStr">
        <is>
          <t>1) 건축법 제11조 및 KDS 41 00 00 건축구조기준에 따라 정보통신공사 착공전 설계도 확인 (신청서 제출 및 결과 접수) 사전 검토를 수행하였는가? 또한 레미콘 규격(24~30MPa), 철근 시험성적서 및 방수자재 KCS 표준 품질 적격성을 검수하였는가?
2) 미검측 및 정량 시방 미달에 따른 정보통신공사 착공전 설계도 확인 (신청서 제출 및 결과 접수) (WBS 9000-4-7) 구조 균열/누수 하자 발생, 개구부 누락 재시공 손실 및 최종 정보통신공사 착공전 설계도 확인결과 통보서 승인 반려 리스크를 전면 차단한다.</t>
        </is>
      </c>
      <c r="R8" s="77">
        <f>HYPERLINK(LEFT(CELL("filename",A1),FIND("[",CELL("filename",A1))-1)&amp;"6.건축\7_정보통신공사 착공전 설계도 확인 (신청서 제출 및 결과 접수)\체크리스트\정보통신공사 착공전 설계도 확인 (신청서 제출 및 결과 접수)_체크리스트.html", "👉 [클릭] 체크리스트 열기 📄")</f>
        <v/>
      </c>
      <c r="S8" s="22" t="n"/>
      <c r="T8" s="69" t="inlineStr">
        <is>
          <t>● 정보통신공사업법 시행령 제35조의 2</t>
        </is>
      </c>
      <c r="U8" s="69" t="inlineStr">
        <is>
          <t>1) 👉 [더블클릭] 체크리스트 열기 📄</t>
        </is>
      </c>
      <c r="V8" s="43" t="n"/>
    </row>
    <row r="9" ht="96" customHeight="1">
      <c r="A9" s="22" t="inlineStr">
        <is>
          <t>9000</t>
        </is>
      </c>
      <c r="B9" s="22" t="inlineStr">
        <is>
          <t>9000-4</t>
        </is>
      </c>
      <c r="C9" s="26" t="inlineStr">
        <is>
          <t>건축</t>
        </is>
      </c>
      <c r="D9" s="22" t="inlineStr">
        <is>
          <t>9000-4-8</t>
        </is>
      </c>
      <c r="E9" s="22">
        <f>D8</f>
        <v/>
      </c>
      <c r="F9" s="22">
        <f>D10</f>
        <v/>
      </c>
      <c r="G9" s="36" t="inlineStr">
        <is>
          <t>D-60</t>
        </is>
      </c>
      <c r="H9" s="26" t="inlineStr">
        <is>
          <t>선행공종 인수사항 확인</t>
        </is>
      </c>
      <c r="I9" s="22" t="inlineStr">
        <is>
          <t>현장공사팀</t>
        </is>
      </c>
      <c r="J9" s="43" t="inlineStr">
        <is>
          <t>선행공종 인수인계</t>
        </is>
      </c>
      <c r="K9" s="44" t="inlineStr">
        <is>
          <t>- 부지경계 측량 확인
- 업체간 현장확인+좌표화 Data 인수
- 지장물, 지반상태, 진입로, 작업장 현황</t>
        </is>
      </c>
      <c r="L9" s="43" t="inlineStr">
        <is>
          <t>회의록, 인수사항 List</t>
        </is>
      </c>
      <c r="M9" s="43" t="inlineStr">
        <is>
          <t>1) 선행공종 인수사항 확인 (WBS 9000-4-8) 관련 부지경계 측량 확인 수칙 및 법적 이행 의무를 1:1 준수한다. 또한 KDS 41 00 00 (건축구조기준), KDS 41 17 00 (내진설계기준) 및 KCS 41 00 00 (건축공사 표준시방서) 기술기준을 100% 충족한다.
2) 선행공종 인수사항 확인 달성을 위한 필수 시공 방법(부지경계 측량 확인 업체간 현장확인+좌표화 Data 인수 지장물, 지반상태, 진입로, 작업장 현황...)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9" s="75">
        <f>HYPERLINK(LEFT(CELL("filename",A1),FIND("[",CELL("filename",A1))-1)&amp;"6.건축\8_선행공종 인수사항 확인\표준서\선행공종 인수사항 확인_표준서.html", "👉 [클릭] 표준서 열기 📄")</f>
        <v/>
      </c>
      <c r="O9" s="43" t="inlineStr">
        <is>
          <t>1) 선행공종 인수사항 확인 (WBS 9000-4-8) 사전 건축 인허가 서식 제출(관할 지자체/소방서), 3D BIM 도서 대조 및 기계·전기·통신 4대 인터페이스 개구부를 확정한다.
2) 실무 작업방법 수칙(부지경계 측량 확인 업체간 현장확인+좌표화 Data 인수 지장물, 지반상태, 진입로, 작업장 현황)에 따라 철근 이음/피복두께 검측, 거푸집 다짐 양생 및 현장 3대 금기 수칙(피복 미달, 무단 타설)을 완수한다.</t>
        </is>
      </c>
      <c r="P9" s="76">
        <f>HYPERLINK(LEFT(CELL("filename",A1),FIND("[",CELL("filename",A1))-1)&amp;"6.건축\8_선행공종 인수사항 확인\수행지침\선행공종 인수사항 확인_수행지침.html", "👉 [클릭] 수행지침 열기 📄")</f>
        <v/>
      </c>
      <c r="Q9" s="43" t="inlineStr">
        <is>
          <t>1) 건축법 제11조 및 KDS 41 00 00 건축구조기준에 따라 선행공종 인수사항 확인 사전 검토를 수행하였는가? 또한 레미콘 규격(24~30MPa), 철근 시험성적서 및 방수자재 KCS 표준 품질 적격성을 검수하였는가?
2) 미검측 및 정량 시방 미달에 따른 선행공종 인수사항 확인 (WBS 9000-4-8) 구조 균열/누수 하자 발생, 개구부 누락 재시공 손실 및 최종 회의록, 인수사항 List 승인 반려 리스크를 전면 차단한다.</t>
        </is>
      </c>
      <c r="R9" s="77">
        <f>HYPERLINK(LEFT(CELL("filename",A1),FIND("[",CELL("filename",A1))-1)&amp;"6.건축\8_선행공종 인수사항 확인\체크리스트\선행공종 인수사항 확인_체크리스트.html", "👉 [클릭] 체크리스트 열기 📄")</f>
        <v/>
      </c>
      <c r="S9" s="22" t="n"/>
      <c r="T9" s="69" t="inlineStr">
        <is>
          <t>● 선행공종(토공, 지반개량 등) 인수 및 좌표 검증</t>
        </is>
      </c>
      <c r="U9" s="69" t="inlineStr">
        <is>
          <t>1) 👉 [더블클릭] 체크리스트 열기 📄</t>
        </is>
      </c>
      <c r="V9" s="43" t="n"/>
    </row>
    <row r="10" ht="96" customHeight="1">
      <c r="A10" s="22" t="inlineStr">
        <is>
          <t>9000</t>
        </is>
      </c>
      <c r="B10" s="22" t="inlineStr">
        <is>
          <t>9000-4</t>
        </is>
      </c>
      <c r="C10" s="26" t="inlineStr">
        <is>
          <t>건축</t>
        </is>
      </c>
      <c r="D10" s="22" t="inlineStr">
        <is>
          <t>9000-4-9</t>
        </is>
      </c>
      <c r="E10" s="22">
        <f>D9</f>
        <v/>
      </c>
      <c r="F10" s="22">
        <f>D11</f>
        <v/>
      </c>
      <c r="G10" s="36" t="inlineStr">
        <is>
          <t>D-60</t>
        </is>
      </c>
      <c r="H10" s="26" t="inlineStr">
        <is>
          <t>인터페이스 사항 검토 및 지원</t>
        </is>
      </c>
      <c r="I10" s="22" t="inlineStr">
        <is>
          <t>토목수행팀 / 현장 공사, 공무 Part</t>
        </is>
      </c>
      <c r="J10" s="43" t="inlineStr">
        <is>
          <t>후행공정 설계오류 및 변경검토</t>
        </is>
      </c>
      <c r="K10" s="44" t="inlineStr">
        <is>
          <t>- 설계도서 검토를 통한 공종간 인터페이스 사항에 대한 사전검토(오픈구 등)
- 유사공종 경험자 현장 지원 파견검토
- 콘크리트 타설전(기계설비, 전기, 통신) 사전 매입해야 할 배관,슬리브위치 타공정 확인</t>
        </is>
      </c>
      <c r="L10" s="43" t="inlineStr">
        <is>
          <t>회의록, 시공상세도</t>
        </is>
      </c>
      <c r="M10" s="43" t="inlineStr">
        <is>
          <t>1) 인터페이스 사항 검토 및 지원 (WBS 9000-4-9) 관련 설계도서 검토를 통한 공종간 인터페이스 사항에 대한 사전검토(오픈구 등) 수칙 및 법적 이행 의무를 1:1 준수한다. 또한 KDS 41 00 00 (건축구조기준), KDS 41 17 00 (내진설계기준) 및 KCS 41 00 00 (건축공사 표준시방서) 기술기준을 100% 충족한다.
2) 인터페이스 사항 검토 및 지원 달성을 위한 필수 시공 방법(설계도서 검토를 통한 공종간 인터페이스 사항에 대한 사전검토(오픈구 등) 유사공종 경험자 현장 지원 파견검토...)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0" s="75">
        <f>HYPERLINK(LEFT(CELL("filename",A1),FIND("[",CELL("filename",A1))-1)&amp;"6.건축\9_인터페이스 사항 검토 및 지원\표준서\인터페이스 사항 검토 및 지원_표준서.html", "👉 [클릭] 표준서 열기 📄")</f>
        <v/>
      </c>
      <c r="O10" s="43" t="inlineStr">
        <is>
          <t>1) 인터페이스 사항 검토 및 지원 (WBS 9000-4-9) 사전 건축 인허가 서식 제출(관할 지자체/소방서), 3D BIM 도서 대조 및 기계·전기·통신 4대 인터페이스 개구부를 확정한다.
2) 실무 작업방법 수칙(설계도서 검토를 통한 공종간 인터페이스 사항에 대한 사전검토(오픈구 등) 유사공종 경험자 현장...)에 따라 철근 이음/피복두께 검측, 거푸집 다짐 양생 및 현장 3대 금기 수칙(피복 미달, 무단 타설)을 완수한다.</t>
        </is>
      </c>
      <c r="P10" s="76">
        <f>HYPERLINK(LEFT(CELL("filename",A1),FIND("[",CELL("filename",A1))-1)&amp;"6.건축\9_인터페이스 사항 검토 및 지원\수행지침\인터페이스 사항 검토 및 지원_수행지침.html", "👉 [클릭] 수행지침 열기 📄")</f>
        <v/>
      </c>
      <c r="Q10" s="43" t="inlineStr">
        <is>
          <t>1) 건축법 제11조 및 KDS 41 00 00 건축구조기준에 따라 인터페이스 사항 검토 및 지원 사전 검토를 수행하였는가? 또한 레미콘 규격(24~30MPa), 철근 시험성적서 및 방수자재 KCS 표준 품질 적격성을 검수하였는가?
2) 미검측 및 정량 시방 미달에 따른 인터페이스 사항 검토 및 지원 (WBS 9000-4-9) 구조 균열/누수 하자 발생, 개구부 누락 재시공 손실 및 최종 회의록, 시공상세도 승인 반려 리스크를 전면 차단한다.</t>
        </is>
      </c>
      <c r="R10" s="77">
        <f>HYPERLINK(LEFT(CELL("filename",A1),FIND("[",CELL("filename",A1))-1)&amp;"6.건축\9_인터페이스 사항 검토 및 지원\체크리스트\인터페이스 사항 검토 및 지원_체크리스트.html", "👉 [클릭] 체크리스트 열기 📄")</f>
        <v/>
      </c>
      <c r="S10" s="22" t="n"/>
      <c r="T10" s="69" t="inlineStr">
        <is>
          <t>● 공종간 간섭 최소화</t>
        </is>
      </c>
      <c r="U10" s="69" t="inlineStr">
        <is>
          <t>1) 👉 [더블클릭] 체크리스트 열기 📄</t>
        </is>
      </c>
      <c r="V10" s="43" t="n"/>
    </row>
    <row r="11" ht="115.2" customHeight="1">
      <c r="A11" s="22" t="inlineStr">
        <is>
          <t>9000</t>
        </is>
      </c>
      <c r="B11" s="22" t="inlineStr">
        <is>
          <t>9000-4</t>
        </is>
      </c>
      <c r="C11" s="26" t="inlineStr">
        <is>
          <t>건축</t>
        </is>
      </c>
      <c r="D11" s="22" t="inlineStr">
        <is>
          <t>9000-4-10</t>
        </is>
      </c>
      <c r="E11" s="22">
        <f>D10</f>
        <v/>
      </c>
      <c r="F11" s="22">
        <f>D12</f>
        <v/>
      </c>
      <c r="G11" s="36" t="inlineStr">
        <is>
          <t>D-50 (D-60~50)</t>
        </is>
      </c>
      <c r="H11" s="26" t="inlineStr">
        <is>
          <t>품질/안전 LL 공유</t>
        </is>
      </c>
      <c r="I11" s="22" t="inlineStr">
        <is>
          <t>현장 품질팀, 현장 안전팀</t>
        </is>
      </c>
      <c r="J11" s="43" t="inlineStr">
        <is>
          <t>품질/안전 하자 최소화</t>
        </is>
      </c>
      <c r="K11" s="44" t="inlineStr">
        <is>
          <t>시공시 발생가능 품질, 안전 하자 최소화</t>
        </is>
      </c>
      <c r="L11" s="43" t="inlineStr">
        <is>
          <t>시공계획수립시 반영</t>
        </is>
      </c>
      <c r="M11" s="43" t="inlineStr">
        <is>
          <t>1) 품질/안전 LL 공유 (WBS 9000-4-10) 관련 시공시 발생가능 품질, 안전 하자 최소화 수칙 및 법적 이행 의무를 1:1 준수한다. 또한 KDS 41 00 00 (건축구조기준), KDS 41 17 00 (내진설계기준) 및 KCS 41 00 00 (건축공사 표준시방서) 기술기준을 100% 충족한다.
2) 품질/안전 LL 공유 달성을 위한 필수 시공 방법(시공시 발생가능 품질, 안전 하자 최소화...)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1" s="75">
        <f>HYPERLINK(LEFT(CELL("filename",A1),FIND("[",CELL("filename",A1))-1)&amp;"6.건축\10_품질_안전 LL 공유\표준서\품질_안전 LL 공유_표준서.html", "👉 [클릭] 표준서 열기 📄")</f>
        <v/>
      </c>
      <c r="O11" s="43" t="inlineStr">
        <is>
          <t>1) 품질/안전 LL 공유 (WBS 9000-4-10) 사전 건축 인허가 서식 제출(관할 지자체/소방서), 3D BIM 도서 대조 및 기계·전기·통신 4대 인터페이스 개구부를 확정한다.
2) 실무 작업방법 수칙(시공시 발생가능 품질, 안전 하자 최소화)에 따라 철근 이음/피복두께 검측, 거푸집 다짐 양생 및 현장 3대 금기 수칙(피복 미달, 무단 타설)을 완수한다.</t>
        </is>
      </c>
      <c r="P11" s="76">
        <f>HYPERLINK(LEFT(CELL("filename",A1),FIND("[",CELL("filename",A1))-1)&amp;"6.건축\10_품질_안전 LL 공유\수행지침\품질_안전 LL 공유_수행지침.html", "👉 [클릭] 수행지침 열기 📄")</f>
        <v/>
      </c>
      <c r="Q11" s="43" t="inlineStr">
        <is>
          <t>1) 건축법 제11조 및 KDS 41 00 00 건축구조기준에 따라 품질/안전 LL 공유 사전 검토를 수행하였는가? 또한 레미콘 규격(24~30MPa), 철근 시험성적서 및 방수자재 KCS 표준 품질 적격성을 검수하였는가?
2) 미검측 및 정량 시방 미달에 따른 품질/안전 LL 공유 (WBS 9000-4-10) 구조 균열/누수 하자 발생, 개구부 누락 재시공 손실 및 최종 시공계획수립시 반영 승인 반려 리스크를 전면 차단한다.</t>
        </is>
      </c>
      <c r="R11" s="77">
        <f>HYPERLINK(LEFT(CELL("filename",A1),FIND("[",CELL("filename",A1))-1)&amp;"6.건축\10_품질_안전 LL 공유\체크리스트\품질_안전 LL 공유_체크리스트.html", "👉 [클릭] 체크리스트 열기 📄")</f>
        <v/>
      </c>
      <c r="S11" s="22" t="n"/>
      <c r="T11" s="69" t="inlineStr">
        <is>
          <t>● 기존 하자사례 및 Lesson Learned 반영</t>
        </is>
      </c>
      <c r="U11" s="69" t="inlineStr">
        <is>
          <t>1) 👉 [더블클릭] 체크리스트 열기 📄</t>
        </is>
      </c>
      <c r="V11" s="43" t="n"/>
    </row>
    <row r="12" ht="175.2" customHeight="1">
      <c r="A12" s="22" t="inlineStr">
        <is>
          <t>9000</t>
        </is>
      </c>
      <c r="B12" s="22" t="inlineStr">
        <is>
          <t>9000-4</t>
        </is>
      </c>
      <c r="C12" s="26" t="inlineStr">
        <is>
          <t>건축</t>
        </is>
      </c>
      <c r="D12" s="22" t="inlineStr">
        <is>
          <t>9000-4-11</t>
        </is>
      </c>
      <c r="E12" s="22">
        <f>D11</f>
        <v/>
      </c>
      <c r="F12" s="22">
        <f>D13</f>
        <v/>
      </c>
      <c r="G12" s="36" t="inlineStr">
        <is>
          <t>D-30 (D-60~D-30)</t>
        </is>
      </c>
      <c r="H12" s="26" t="inlineStr">
        <is>
          <t>자재공급원승인 및 자재발주</t>
        </is>
      </c>
      <c r="I12" s="22" t="inlineStr">
        <is>
          <t>현장 공무팀</t>
        </is>
      </c>
      <c r="J12" s="43" t="inlineStr">
        <is>
          <t>공사에 필요한 자재 발주</t>
        </is>
      </c>
      <c r="K12" s="44" t="inlineStr">
        <is>
          <t>- 자재 규격 및 반입 일정 계획 수립
- 시공에 필요한 당사 지급자재에 대한 발주 요청
- 자재공급원 승인 제출 및 확인</t>
        </is>
      </c>
      <c r="L12" s="43" t="inlineStr">
        <is>
          <t>구매 의뢰 승인, 자재공급원 승인서류</t>
        </is>
      </c>
      <c r="M12" s="43" t="inlineStr">
        <is>
          <t>1) 자재공급원승인 및 자재발주 (WBS 9000-4-11) 관련 자재 규격 및 반입 일정 계획 수립 수칙 및 법적 이행 의무를 1:1 준수한다. 또한 KDS 41 00 00 (건축구조기준), KDS 41 17 00 (내진설계기준) 및 KCS 41 00 00 (건축공사 표준시방서) 기술기준을 100% 충족한다.
2) 자재공급원승인 및 자재발주 달성을 위한 필수 시공 방법(자재 규격 및 반입 일정 계획 수립 시공에 필요한 당사 지급자재에 대한 발주 요청 자재공급원 승인 제출 및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2" s="75">
        <f>HYPERLINK(LEFT(CELL("filename",A1),FIND("[",CELL("filename",A1))-1)&amp;"6.건축\11_자재공급원승인 및 자재발주\표준서\자재공급원승인 및 자재발주_표준서.html", "👉 [클릭] 표준서 열기 📄")</f>
        <v/>
      </c>
      <c r="O12" s="43" t="inlineStr">
        <is>
          <t>1) 자재공급원승인 및 자재발주 (WBS 9000-4-11) 사전 건축 인허가 서식 제출(관할 지자체/소방서), 3D BIM 도서 대조 및 기계·전기·통신 4대 인터페이스 개구부를 확정한다.
2) 실무 작업방법 수칙(자재 규격 및 반입 일정 계획 수립 시공에 필요한 당사 지급자재에 대한 발주 요청 자재공급원 ...)에 따라 철근 이음/피복두께 검측, 거푸집 다짐 양생 및 현장 3대 금기 수칙(피복 미달, 무단 타설)을 완수한다.</t>
        </is>
      </c>
      <c r="P12" s="76">
        <f>HYPERLINK(LEFT(CELL("filename",A1),FIND("[",CELL("filename",A1))-1)&amp;"6.건축\11_자재공급원승인 및 자재발주\수행지침\자재공급원승인 및 자재발주_수행지침.html", "👉 [클릭] 수행지침 열기 📄")</f>
        <v/>
      </c>
      <c r="Q12" s="43" t="inlineStr">
        <is>
          <t>1) 건축법 제11조 및 KDS 41 00 00 건축구조기준에 따라 자재공급원승인 및 자재발주 사전 검토를 수행하였는가? 또한 레미콘 규격(24~30MPa), 철근 시험성적서 및 방수자재 KCS 표준 품질 적격성을 검수하였는가?
2) 미검측 및 정량 시방 미달에 따른 자재공급원승인 및 자재발주 (WBS 9000-4-11) 구조 균열/누수 하자 발생, 개구부 누락 재시공 손실 및 최종 구매 의뢰 승인, 자재공급원 승인서류 승인 반려 리스크를 전면 차단한다.</t>
        </is>
      </c>
      <c r="R12" s="77">
        <f>HYPERLINK(LEFT(CELL("filename",A1),FIND("[",CELL("filename",A1))-1)&amp;"6.건축\11_자재공급원승인 및 자재발주\체크리스트\자재공급원승인 및 자재발주_체크리스트.html", "👉 [클릭] 체크리스트 열기 📄")</f>
        <v/>
      </c>
      <c r="S12" s="22" t="n"/>
      <c r="T12" s="69" t="inlineStr">
        <is>
          <t>● 자재 규격 및 기준 만족</t>
        </is>
      </c>
      <c r="U12" s="69" t="inlineStr">
        <is>
          <t>1) 👉 [더블클릭] 체크리스트 열기 📄</t>
        </is>
      </c>
      <c r="V12" s="43" t="n"/>
    </row>
    <row r="13" ht="211.2" customHeight="1">
      <c r="A13" s="22" t="inlineStr">
        <is>
          <t>9000</t>
        </is>
      </c>
      <c r="B13" s="22" t="inlineStr">
        <is>
          <t>9000-4</t>
        </is>
      </c>
      <c r="C13" s="26" t="inlineStr">
        <is>
          <t>건축</t>
        </is>
      </c>
      <c r="D13" s="22" t="inlineStr">
        <is>
          <t>9000-4-12</t>
        </is>
      </c>
      <c r="E13" s="22">
        <f>D12</f>
        <v/>
      </c>
      <c r="F13" s="22">
        <f>D14</f>
        <v/>
      </c>
      <c r="G13" s="36" t="inlineStr">
        <is>
          <t>D-0 (D-30~D-0)</t>
        </is>
      </c>
      <c r="H13" s="26" t="inlineStr">
        <is>
          <t>착수전 Big Room 회의</t>
        </is>
      </c>
      <c r="I13" s="22" t="inlineStr">
        <is>
          <t>현장소장</t>
        </is>
      </c>
      <c r="J13" s="43" t="inlineStr">
        <is>
          <t>선후행공정 지원사항 도출, 수행시 예상가능 Risk 검토 및 대책 수립</t>
        </is>
      </c>
      <c r="K13" s="44" t="inlineStr">
        <is>
          <t>본사/현장/협력사 협의체 구축 후 상세검토
- 건축인허가 사항 체크 (건축허가, 착공계제출, 소방착공신고, 정보통신 착공신고 등)
- 가설계획수립(장비이동 동선, 철근가공장, 울타리 등)
- 공종별 간섭검토: 토목/기계/시스템 인터페이스
- 진입로/자재야적장/사토장 및 토취장 운영계획
- 공사중 배수계획(임시배수로, 배수펌프 운영 등)
- 장비 투입계획, 양중장비 운영계획 검토 및 안전검사 확인
- 측량 기준점 및 공사예정 부지 확인 / 인원 및 자재 투입 계획 검토
- 건설기술진흥법에 따른 정기안전점검 대상 / 점검 계획 공유
- 공종별 Risk Hedge방안 검토 (안전/품질 Risk, 민원 대응)</t>
        </is>
      </c>
      <c r="L13" s="43" t="inlineStr">
        <is>
          <t>Big Room 회의록(참석자 전원 서명)</t>
        </is>
      </c>
      <c r="M13" s="43" t="inlineStr">
        <is>
          <t>1) 착수전 Big Room 회의 (WBS 9000-4-12) 관련 본사/현장/협력사 협의체 구축 후 상세검토 수칙 및 법적 이행 의무를 1:1 준수한다. 또한 KDS 41 00 00 (건축구조기준), KDS 41 17 00 (내진설계기준) 및 KCS 41 00 00 (건축공사 표준시방서) 기술기준을 100% 충족한다.
2) 착수전 Big Room 회의 달성을 위한 필수 시공 방법(본사/현장/협력사 협의체 구축 후 상세검토 건축인허가 사항 체크 (건축허가, 착공계제출, 소방착공신고, 정보...)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3" s="75">
        <f>HYPERLINK(LEFT(CELL("filename",A1),FIND("[",CELL("filename",A1))-1)&amp;"6.건축\12_착수전 Big Room 회의\표준서\착수전 Big Room 회의_표준서.html", "👉 [클릭] 표준서 열기 📄")</f>
        <v/>
      </c>
      <c r="O13" s="43" t="inlineStr">
        <is>
          <t>1) 착수전 Big Room 회의 (WBS 9000-4-12) 사전 건축 인허가 서식 제출(관할 지자체/소방서), 3D BIM 도서 대조 및 기계·전기·통신 4대 인터페이스 개구부를 확정한다.
2) 실무 작업방법 수칙(본사/현장/협력사 협의체 구축 후 상세검토 건축인허가 사항 체크 (건축허가, 착공계제출, 소방...)에 따라 철근 이음/피복두께 검측, 거푸집 다짐 양생 및 현장 3대 금기 수칙(피복 미달, 무단 타설)을 완수한다.</t>
        </is>
      </c>
      <c r="P13" s="76">
        <f>HYPERLINK(LEFT(CELL("filename",A1),FIND("[",CELL("filename",A1))-1)&amp;"6.건축\12_착수전 Big Room 회의\수행지침\착수전 Big Room 회의_수행지침.html", "👉 [클릭] 수행지침 열기 📄")</f>
        <v/>
      </c>
      <c r="Q13" s="43" t="inlineStr">
        <is>
          <t>1) 건축법 제11조 및 KDS 41 00 00 건축구조기준에 따라 착수전 Big Room 회의 사전 검토를 수행하였는가? 또한 레미콘 규격(24~30MPa), 철근 시험성적서 및 방수자재 KCS 표준 품질 적격성을 검수하였는가?
2) 미검측 및 정량 시방 미달에 따른 착수전 Big Room 회의 (WBS 9000-4-12) 구조 균열/누수 하자 발생, 개구부 누락 재시공 손실 및 최종 Big Room 회의록(참석자 전원 서명) 승인 반려 리스크를 전면 차단한다.</t>
        </is>
      </c>
      <c r="R13" s="77">
        <f>HYPERLINK(LEFT(CELL("filename",A1),FIND("[",CELL("filename",A1))-1)&amp;"6.건축\12_착수전 Big Room 회의\체크리스트\착수전 Big Room 회의_체크리스트.html", "👉 [클릭] 체크리스트 열기 📄")</f>
        <v/>
      </c>
      <c r="S13" s="22" t="n"/>
      <c r="T13" s="69" t="inlineStr">
        <is>
          <t>● 유관부서(견적/엔지니어링/공정/품질/안전) 협의</t>
        </is>
      </c>
      <c r="U13" s="69" t="inlineStr">
        <is>
          <t>1) 👉 [더블클릭] 체크리스트 열기 📄</t>
        </is>
      </c>
      <c r="V13" s="43" t="n"/>
    </row>
    <row r="14" ht="115.2" customHeight="1">
      <c r="A14" s="22" t="inlineStr">
        <is>
          <t>9000</t>
        </is>
      </c>
      <c r="B14" s="22" t="inlineStr">
        <is>
          <t>9000-4</t>
        </is>
      </c>
      <c r="C14" s="26" t="inlineStr">
        <is>
          <t>건축</t>
        </is>
      </c>
      <c r="D14" s="22" t="inlineStr">
        <is>
          <t>9000-4-13</t>
        </is>
      </c>
      <c r="E14" s="22">
        <f>D13</f>
        <v/>
      </c>
      <c r="F14" s="22">
        <f>D15</f>
        <v/>
      </c>
      <c r="G14" s="36" t="inlineStr">
        <is>
          <t>D+1 (D-0~D+1)</t>
        </is>
      </c>
      <c r="H14" s="26" t="inlineStr">
        <is>
          <t>시공계획 수립/승인</t>
        </is>
      </c>
      <c r="I14" s="22" t="inlineStr">
        <is>
          <t>현장소장</t>
        </is>
      </c>
      <c r="J14" s="43" t="inlineStr">
        <is>
          <t>인력, 품질이 확보된 시공계획 수립</t>
        </is>
      </c>
      <c r="K14" s="44" t="inlineStr">
        <is>
          <t>- 공사계획: 장비/자재배치, 동선, 인원/장비/자재투입 계획, 공정표, 배수계획 등
- 안전관리: 위험요인/대책, 안전교육/시설/점검 계획 수립
- 품질관리: 품질하자 Risk 및 대책수립
- 환경관리: 소음, 분진 등 환경대책 수립</t>
        </is>
      </c>
      <c r="L14" s="43" t="inlineStr">
        <is>
          <t>(승인)관리시공계획서&amp;시공상세도</t>
        </is>
      </c>
      <c r="M14" s="43" t="inlineStr">
        <is>
          <t>1) 시공계획 수립/승인 (WBS 9000-4-13) 관련 공사계획: 장비/자재배치, 동선, 인원/장비/자재투입 계획, 공정표, 배수계획 등 수칙 및 법적 이행 의무를 1:1 준수한다. 또한 KDS 41 00 00 (건축구조기준), KDS 41 17 00 (내진설계기준) 및 KCS 41 00 00 (건축공사 표준시방서) 기술기준을 100% 충족한다.
2) 시공계획 수립/승인 달성을 위한 필수 시공 방법(공사계획: 장비/자재배치, 동선, 인원/장비/자재투입 계획, 공정표, 배수계획 등 안전관리: 위험요인/대책,...)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4" s="75">
        <f>HYPERLINK(LEFT(CELL("filename",A1),FIND("[",CELL("filename",A1))-1)&amp;"6.건축\13_시공계획 수립_승인\표준서\시공계획 수립_승인_표준서.html", "👉 [클릭] 표준서 열기 📄")</f>
        <v/>
      </c>
      <c r="O14" s="43" t="inlineStr">
        <is>
          <t>1) 시공계획 수립/승인 (WBS 9000-4-13) 사전 건축 인허가 서식 제출(관할 지자체/소방서), 3D BIM 도서 대조 및 기계·전기·통신 4대 인터페이스 개구부를 확정한다.
2) 실무 작업방법 수칙(공사계획: 장비/자재배치, 동선, 인원/장비/자재투입 계획, 공정표, 배수계획 등 안전관리: ...)에 따라 철근 이음/피복두께 검측, 거푸집 다짐 양생 및 현장 3대 금기 수칙(피복 미달, 무단 타설)을 완수한다.</t>
        </is>
      </c>
      <c r="P14" s="76">
        <f>HYPERLINK(LEFT(CELL("filename",A1),FIND("[",CELL("filename",A1))-1)&amp;"6.건축\13_시공계획 수립_승인\수행지침\시공계획 수립_승인_수행지침.html", "👉 [클릭] 수행지침 열기 📄")</f>
        <v/>
      </c>
      <c r="Q14" s="43" t="inlineStr">
        <is>
          <t>1) 건축법 제11조 및 KDS 41 00 00 건축구조기준에 따라 시공계획 수립/승인 사전 검토를 수행하였는가? 또한 레미콘 규격(24~30MPa), 철근 시험성적서 및 방수자재 KCS 표준 품질 적격성을 검수하였는가?
2) 미검측 및 정량 시방 미달에 따른 시공계획 수립/승인 (WBS 9000-4-13) 구조 균열/누수 하자 발생, 개구부 누락 재시공 손실 및 최종 (승인)관리시공계획서&amp;시공상세도 승인 반려 리스크를 전면 차단한다.</t>
        </is>
      </c>
      <c r="R14" s="77">
        <f>HYPERLINK(LEFT(CELL("filename",A1),FIND("[",CELL("filename",A1))-1)&amp;"6.건축\13_시공계획 수립_승인\체크리스트\시공계획 수립_승인_체크리스트.html", "👉 [클릭] 체크리스트 열기 📄")</f>
        <v/>
      </c>
      <c r="S14" s="22" t="n"/>
      <c r="T14" s="69" t="inlineStr">
        <is>
          <t>● 건설기술진흥법 규정 준수</t>
        </is>
      </c>
      <c r="U14" s="69" t="inlineStr">
        <is>
          <t>1) 👉 [더블클릭] 체크리스트 열기 📄</t>
        </is>
      </c>
      <c r="V14" s="43" t="n"/>
    </row>
    <row r="15" ht="115.2" customHeight="1">
      <c r="A15" s="22" t="inlineStr">
        <is>
          <t>9000</t>
        </is>
      </c>
      <c r="B15" s="22" t="inlineStr">
        <is>
          <t>9000-4</t>
        </is>
      </c>
      <c r="C15" s="26" t="inlineStr">
        <is>
          <t>건축</t>
        </is>
      </c>
      <c r="D15" s="22" t="inlineStr">
        <is>
          <t>9000-4-14</t>
        </is>
      </c>
      <c r="E15" s="22">
        <f>D14</f>
        <v/>
      </c>
      <c r="F15" s="22">
        <f>D16</f>
        <v/>
      </c>
      <c r="G15" s="36" t="inlineStr">
        <is>
          <t>D+15 (D+2~D+15)</t>
        </is>
      </c>
      <c r="H15" s="26" t="inlineStr">
        <is>
          <t>측량, 자재/장비 반입, 안전교육</t>
        </is>
      </c>
      <c r="I15" s="22" t="inlineStr">
        <is>
          <t>현장소장</t>
        </is>
      </c>
      <c r="J15" s="43" t="inlineStr">
        <is>
          <t>D-day 전에 공사 준비완료</t>
        </is>
      </c>
      <c r="K15" s="44" t="inlineStr">
        <is>
          <t>- 측량: 측량기준점 설치, 공사위치 마킹
- 자재는 지정된 야적장에 보관
- 장비 Spec확인, 장비안전검사
- 작업원 안전교육 실시</t>
        </is>
      </c>
      <c r="L15" s="43" t="inlineStr">
        <is>
          <t>측량기록지, 안전교육 결과서</t>
        </is>
      </c>
      <c r="M15" s="43" t="inlineStr">
        <is>
          <t>1) 측량, 자재/장비 반입, 안전교육 (WBS 9000-4-14) 관련 측량: 측량기준점 설치, 공사위치 마킹 수칙 및 법적 이행 의무를 1:1 준수한다. 또한 KDS 41 00 00 (건축구조기준), KDS 41 17 00 (내진설계기준) 및 KCS 41 00 00 (건축공사 표준시방서) 기술기준을 100% 충족한다.
2) 측량, 자재/장비 반입, 안전교육 달성을 위한 필수 시공 방법(측량: 측량기준점 설치, 공사위치 마킹 자재는 지정된 야적장에 보관 장비 Spec확인, 장비안전검사 작업원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5" s="75">
        <f>HYPERLINK(LEFT(CELL("filename",A1),FIND("[",CELL("filename",A1))-1)&amp;"6.건축\14_측량, 자재_장비 반입, 안전교육\표준서\측량, 자재_장비 반입, 안전교육_표준서.html", "👉 [클릭] 표준서 열기 📄")</f>
        <v/>
      </c>
      <c r="O15" s="43" t="inlineStr">
        <is>
          <t>1) 측량, 자재/장비 반입, 안전교육 (WBS 9000-4-14) 사전 건축 인허가 서식 제출(관할 지자체/소방서), 3D BIM 도서 대조 및 기계·전기·통신 4대 인터페이스 개구부를 확정한다.
2) 실무 작업방법 수칙(측량: 측량기준점 설치, 공사위치 마킹 자재는 지정된 야적장에 보관 장비 Spec확인, 장비안...)에 따라 철근 이음/피복두께 검측, 거푸집 다짐 양생 및 현장 3대 금기 수칙(피복 미달, 무단 타설)을 완수한다.</t>
        </is>
      </c>
      <c r="P15" s="76">
        <f>HYPERLINK(LEFT(CELL("filename",A1),FIND("[",CELL("filename",A1))-1)&amp;"6.건축\14_측량, 자재_장비 반입, 안전교육\수행지침\측량, 자재_장비 반입, 안전교육_수행지침.html", "👉 [클릭] 수행지침 열기 📄")</f>
        <v/>
      </c>
      <c r="Q15" s="43" t="inlineStr">
        <is>
          <t>1) 건축법 제11조 및 KDS 41 00 00 건축구조기준에 따라 측량, 자재/장비 반입, 안전교육 사전 검토를 수행하였는가? 또한 레미콘 규격(24~30MPa), 철근 시험성적서 및 방수자재 KCS 표준 품질 적격성을 검수하였는가?
2) 미검측 및 정량 시방 미달에 따른 측량, 자재/장비 반입, 안전교육 (WBS 9000-4-14) 구조 균열/누수 하자 발생, 개구부 누락 재시공 손실 및 최종 측량기록지, 안전교육 결과서 승인 반려 리스크를 전면 차단한다.</t>
        </is>
      </c>
      <c r="R15" s="77">
        <f>HYPERLINK(LEFT(CELL("filename",A1),FIND("[",CELL("filename",A1))-1)&amp;"6.건축\14_측량, 자재_장비 반입, 안전교육\체크리스트\측량, 자재_장비 반입, 안전교육_체크리스트.html", "👉 [클릭] 체크리스트 열기 📄")</f>
        <v/>
      </c>
      <c r="S15" s="22" t="n"/>
      <c r="T15" s="69" t="inlineStr">
        <is>
          <t>● 측량법 및 산업안전보건법 준수</t>
        </is>
      </c>
      <c r="U15" s="69" t="inlineStr">
        <is>
          <t>1) 👉 [더블클릭] 체크리스트 열기 📄</t>
        </is>
      </c>
      <c r="V15" s="43" t="n"/>
    </row>
    <row r="16" ht="115.2" customHeight="1">
      <c r="A16" s="22" t="inlineStr">
        <is>
          <t>9000</t>
        </is>
      </c>
      <c r="B16" s="22" t="inlineStr">
        <is>
          <t>9000-4</t>
        </is>
      </c>
      <c r="C16" s="26" t="inlineStr">
        <is>
          <t>건축</t>
        </is>
      </c>
      <c r="D16" s="22" t="inlineStr">
        <is>
          <t>9000-4-15</t>
        </is>
      </c>
      <c r="E16" s="22">
        <f>D15</f>
        <v/>
      </c>
      <c r="F16" s="22">
        <f>D17</f>
        <v/>
      </c>
      <c r="G16" s="36" t="inlineStr">
        <is>
          <t>D+15 (D+10~D+15)</t>
        </is>
      </c>
      <c r="H16" s="26" t="inlineStr">
        <is>
          <t>자재 검수</t>
        </is>
      </c>
      <c r="I16" s="22" t="inlineStr">
        <is>
          <t>현장 자재팀 / 품질팀</t>
        </is>
      </c>
      <c r="J16" s="43" t="inlineStr">
        <is>
          <t>설계/시방기준에 적합한 자재 반입</t>
        </is>
      </c>
      <c r="K16" s="44" t="inlineStr">
        <is>
          <t>- 송장과 실물 확인(규격, 성능, 수량)
- 시방기준에 따른 품질시험 실시
- 훼손, 오반입시 반출조치</t>
        </is>
      </c>
      <c r="L16" s="43" t="inlineStr">
        <is>
          <t>자재검수서, 품질시험 보고서</t>
        </is>
      </c>
      <c r="M16" s="43" t="inlineStr">
        <is>
          <t>1) 자재 검수 (WBS 9000-4-15) 관련 송장과 실물 확인(규격, 성능, 수량) 수칙 및 법적 이행 의무를 1:1 준수한다. 또한 KDS 41 00 00 (건축구조기준), KDS 41 17 00 (내진설계기준) 및 KCS 41 00 00 (건축공사 표준시방서) 기술기준을 100% 충족한다.
2) 자재 검수 달성을 위한 필수 시공 방법(송장과 실물 확인(규격, 성능, 수량) 시방기준에 따른 품질시험 실시 훼손, 오반입시 반출조치...)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6" s="75">
        <f>HYPERLINK(LEFT(CELL("filename",A1),FIND("[",CELL("filename",A1))-1)&amp;"6.건축\15_자재 검수\표준서\자재 검수_표준서.html", "👉 [클릭] 표준서 열기 📄")</f>
        <v/>
      </c>
      <c r="O16" s="43" t="inlineStr">
        <is>
          <t>1) 자재 검수 (WBS 9000-4-15) 사전 건축 인허가 서식 제출(관할 지자체/소방서), 3D BIM 도서 대조 및 기계·전기·통신 4대 인터페이스 개구부를 확정한다.
2) 실무 작업방법 수칙(송장과 실물 확인(규격, 성능, 수량) 시방기준에 따른 품질시험 실시 훼손, 오반입시 반출조치)에 따라 철근 이음/피복두께 검측, 거푸집 다짐 양생 및 현장 3대 금기 수칙(피복 미달, 무단 타설)을 완수한다.</t>
        </is>
      </c>
      <c r="P16" s="76">
        <f>HYPERLINK(LEFT(CELL("filename",A1),FIND("[",CELL("filename",A1))-1)&amp;"6.건축\15_자재 검수\수행지침\자재 검수_수행지침.html", "👉 [클릭] 수행지침 열기 📄")</f>
        <v/>
      </c>
      <c r="Q16" s="43" t="inlineStr">
        <is>
          <t>1) 건축법 제11조 및 KDS 41 00 00 건축구조기준에 따라 자재 검수 사전 검토를 수행하였는가? 또한 레미콘 규격(24~30MPa), 철근 시험성적서 및 방수자재 KCS 표준 품질 적격성을 검수하였는가?
2) 미검측 및 정량 시방 미달에 따른 자재 검수 (WBS 9000-4-15) 구조 균열/누수 하자 발생, 개구부 누락 재시공 손실 및 최종 자재검수서, 품질시험 보고서 승인 반려 리스크를 전면 차단한다.</t>
        </is>
      </c>
      <c r="R16" s="77">
        <f>HYPERLINK(LEFT(CELL("filename",A1),FIND("[",CELL("filename",A1))-1)&amp;"6.건축\15_자재 검수\체크리스트\자재 검수_체크리스트.html", "👉 [클릭] 체크리스트 열기 📄")</f>
        <v/>
      </c>
      <c r="S16" s="22" t="n"/>
      <c r="T16" s="69" t="inlineStr">
        <is>
          <t>● KS 규격 및 시방 기준 준수</t>
        </is>
      </c>
      <c r="U16" s="69" t="inlineStr">
        <is>
          <t>1) 👉 [더블클릭] 체크리스트 열기 📄</t>
        </is>
      </c>
      <c r="V16" s="43" t="n"/>
    </row>
    <row r="17" ht="96" customHeight="1">
      <c r="A17" s="22" t="inlineStr">
        <is>
          <t>9000</t>
        </is>
      </c>
      <c r="B17" s="22" t="inlineStr">
        <is>
          <t>9000-4</t>
        </is>
      </c>
      <c r="C17" s="26" t="inlineStr">
        <is>
          <t>건축</t>
        </is>
      </c>
      <c r="D17" s="22" t="inlineStr">
        <is>
          <t>9000-4-16</t>
        </is>
      </c>
      <c r="E17" s="22">
        <f>D16</f>
        <v/>
      </c>
      <c r="F17" s="22">
        <f>D18</f>
        <v/>
      </c>
      <c r="G17" s="36" t="inlineStr">
        <is>
          <t>D+16 (D+16~D+16)</t>
        </is>
      </c>
      <c r="H17" s="26" t="inlineStr">
        <is>
          <t>터파기/지반 정리</t>
        </is>
      </c>
      <c r="I17" s="22" t="inlineStr">
        <is>
          <t>현장소장</t>
        </is>
      </c>
      <c r="J17" s="43" t="inlineStr">
        <is>
          <t>구조물 시공을 위한 바닥 확보</t>
        </is>
      </c>
      <c r="K17" s="44" t="inlineStr">
        <is>
          <t>측량을 통한 계획Level, 위치 확인, 바닥 지지력 시험</t>
        </is>
      </c>
      <c r="L17" s="43" t="inlineStr">
        <is>
          <t>측량 성과, 지지력시험성과 보고서</t>
        </is>
      </c>
      <c r="M17" s="43" t="inlineStr">
        <is>
          <t>1) 터파기/지반 정리 (WBS 9000-4-16) 관련 측량을 통한 계획Level, 위치 확인, 바닥 지지력 시험 수칙 및 법적 이행 의무를 1:1 준수한다. 또한 KDS 41 00 00 (건축구조기준), KDS 41 17 00 (내진설계기준) 및 KCS 41 00 00 (건축공사 표준시방서) 기술기준을 100% 충족한다.
2) 터파기/지반 정리 달성을 위한 필수 시공 방법(측량을 통한 계획Level, 위치 확인, 바닥 지지력 시험...)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7" s="75">
        <f>HYPERLINK(LEFT(CELL("filename",A1),FIND("[",CELL("filename",A1))-1)&amp;"6.건축\16_터파기_지반 정리\표준서\터파기_지반 정리_표준서.html", "👉 [클릭] 표준서 열기 📄")</f>
        <v/>
      </c>
      <c r="O17" s="43" t="inlineStr">
        <is>
          <t>1) 터파기/지반 정리 (WBS 9000-4-16) 사전 건축 인허가 서식 제출(관할 지자체/소방서), 3D BIM 도서 대조 및 기계·전기·통신 4대 인터페이스 개구부를 확정한다.
2) 실무 작업방법 수칙(측량을 통한 계획Level, 위치 확인, 바닥 지지력 시험)에 따라 철근 이음/피복두께 검측, 거푸집 다짐 양생 및 현장 3대 금기 수칙(피복 미달, 무단 타설)을 완수한다.</t>
        </is>
      </c>
      <c r="P17" s="76">
        <f>HYPERLINK(LEFT(CELL("filename",A1),FIND("[",CELL("filename",A1))-1)&amp;"6.건축\16_터파기_지반 정리\수행지침\터파기_지반 정리_수행지침.html", "👉 [클릭] 수행지침 열기 📄")</f>
        <v/>
      </c>
      <c r="Q17" s="43" t="inlineStr">
        <is>
          <t>1) 건축법 제11조 및 KDS 41 00 00 건축구조기준에 따라 터파기/지반 정리 사전 검토를 수행하였는가? 또한 레미콘 규격(24~30MPa), 철근 시험성적서 및 방수자재 KCS 표준 품질 적격성을 검수하였는가?
2) 미검측 및 정량 시방 미달에 따른 터파기/지반 정리 (WBS 9000-4-16) 구조 균열/누수 하자 발생, 개구부 누락 재시공 손실 및 최종 측량 성과, 지지력시험성과 보고서 승인 반려 리스크를 전면 차단한다.</t>
        </is>
      </c>
      <c r="R17" s="77">
        <f>HYPERLINK(LEFT(CELL("filename",A1),FIND("[",CELL("filename",A1))-1)&amp;"6.건축\16_터파기_지반 정리\체크리스트\터파기_지반 정리_체크리스트.html", "👉 [클릭] 체크리스트 열기 📄")</f>
        <v/>
      </c>
      <c r="S17" s="22" t="n"/>
      <c r="T17" s="69" t="inlineStr">
        <is>
          <t>● 지반 지지력 및 굴착 공차 관리 기준</t>
        </is>
      </c>
      <c r="U17" s="69" t="inlineStr">
        <is>
          <t>1) 👉 [더블클릭] 체크리스트 열기 📄</t>
        </is>
      </c>
      <c r="V17" s="43" t="n"/>
    </row>
    <row r="18" ht="115.2" customHeight="1">
      <c r="A18" s="22" t="inlineStr">
        <is>
          <t>9000</t>
        </is>
      </c>
      <c r="B18" s="22" t="inlineStr">
        <is>
          <t>9000-4</t>
        </is>
      </c>
      <c r="C18" s="26" t="inlineStr">
        <is>
          <t>건축</t>
        </is>
      </c>
      <c r="D18" s="22" t="inlineStr">
        <is>
          <t>9000-4-17</t>
        </is>
      </c>
      <c r="E18" s="22">
        <f>D17</f>
        <v/>
      </c>
      <c r="F18" s="22">
        <f>D19</f>
        <v/>
      </c>
      <c r="G18" s="36" t="inlineStr">
        <is>
          <t>D+30 (D+17~D+30)</t>
        </is>
      </c>
      <c r="H18" s="26" t="inlineStr">
        <is>
          <t>바닥(버림) 콘크리트 타설</t>
        </is>
      </c>
      <c r="I18" s="22" t="inlineStr">
        <is>
          <t>현장소장</t>
        </is>
      </c>
      <c r="J18" s="43" t="inlineStr">
        <is>
          <t>철근을 깔 수 있는 평탄한 바닥확보</t>
        </is>
      </c>
      <c r="K18" s="44" t="inlineStr">
        <is>
          <t>도면에 따라 거푸집 조립, 버림con't타설, 양생, 거푸집 해체/정리</t>
        </is>
      </c>
      <c r="L18" s="43" t="inlineStr">
        <is>
          <t>검측서</t>
        </is>
      </c>
      <c r="M18" s="43" t="inlineStr">
        <is>
          <t>1) 바닥(버림) 콘크리트 타설 (WBS 9000-4-17) 관련 도면에 따라 거푸집 조립, 버림con't타설, 양생, 거푸집 해체/정리 수칙 및 법적 이행 의무를 1:1 준수한다. 또한 KDS 41 00 00 (건축구조기준), KDS 41 17 00 (내진설계기준) 및 KCS 41 00 00 (건축공사 표준시방서) 기술기준을 100% 충족한다.
2) 바닥(버림) 콘크리트 타설 달성을 위한 필수 시공 방법(도면에 따라 거푸집 조립, 버림con't타설, 양생, 거푸집 해체/정리...)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8" s="75">
        <f>HYPERLINK(LEFT(CELL("filename",A1),FIND("[",CELL("filename",A1))-1)&amp;"6.건축\17_바닥(버림) 콘크리트 타설\표준서\바닥(버림) 콘크리트 타설_표준서.html", "👉 [클릭] 표준서 열기 📄")</f>
        <v/>
      </c>
      <c r="O18" s="43" t="inlineStr">
        <is>
          <t>1) 바닥(버림) 콘크리트 타설 (WBS 9000-4-17) 사전 건축 인허가 서식 제출(관할 지자체/소방서), 3D BIM 도서 대조 및 기계·전기·통신 4대 인터페이스 개구부를 확정한다.
2) 실무 작업방법 수칙(도면에 따라 거푸집 조립, 버림con't타설, 양생, 거푸집 해체/정리)에 따라 철근 이음/피복두께 검측, 거푸집 다짐 양생 및 현장 3대 금기 수칙(피복 미달, 무단 타설)을 완수한다.</t>
        </is>
      </c>
      <c r="P18" s="76">
        <f>HYPERLINK(LEFT(CELL("filename",A1),FIND("[",CELL("filename",A1))-1)&amp;"6.건축\17_바닥(버림) 콘크리트 타설\수행지침\바닥(버림) 콘크리트 타설_수행지침.html", "👉 [클릭] 수행지침 열기 📄")</f>
        <v/>
      </c>
      <c r="Q18" s="43" t="inlineStr">
        <is>
          <t>1) 건축법 제11조 및 KDS 41 00 00 건축구조기준에 따라 바닥(버림) 콘크리트 타설 사전 검토를 수행하였는가? 또한 레미콘 규격(24~30MPa), 철근 시험성적서 및 방수자재 KCS 표준 품질 적격성을 검수하였는가?
2) 미검측 및 정량 시방 미달에 따른 바닥(버림) 콘크리트 타설 (WBS 9000-4-17) 구조 균열/누수 하자 발생, 개구부 누락 재시공 손실 및 최종 검측서 승인 반려 리스크를 전면 차단한다.</t>
        </is>
      </c>
      <c r="R18" s="77">
        <f>HYPERLINK(LEFT(CELL("filename",A1),FIND("[",CELL("filename",A1))-1)&amp;"6.건축\17_바닥(버림) 콘크리트 타설\체크리스트\바닥(버림) 콘크리트 타설_체크리스트.html", "👉 [클릭] 체크리스트 열기 📄")</f>
        <v/>
      </c>
      <c r="S18" s="22" t="n"/>
      <c r="T18" s="69" t="inlineStr">
        <is>
          <t>● 버림 콘크리트 두께 및 높이 준수</t>
        </is>
      </c>
      <c r="U18" s="69" t="inlineStr">
        <is>
          <t>1) 👉 [더블클릭] 체크리스트 열기 📄</t>
        </is>
      </c>
      <c r="V18" s="43" t="n"/>
    </row>
    <row r="19" ht="115.2" customHeight="1">
      <c r="A19" s="22" t="inlineStr">
        <is>
          <t>9000</t>
        </is>
      </c>
      <c r="B19" s="22" t="inlineStr">
        <is>
          <t>9000-4</t>
        </is>
      </c>
      <c r="C19" s="26" t="inlineStr">
        <is>
          <t>건축</t>
        </is>
      </c>
      <c r="D19" s="22" t="inlineStr">
        <is>
          <t>9000-4-18</t>
        </is>
      </c>
      <c r="E19" s="22">
        <f>D18</f>
        <v/>
      </c>
      <c r="F19" s="22">
        <f>D20</f>
        <v/>
      </c>
      <c r="G19" s="36" t="inlineStr">
        <is>
          <t>D+35 (D+31~D+35)</t>
        </is>
      </c>
      <c r="H19" s="26" t="inlineStr">
        <is>
          <t>인터페이스 회의(매주)</t>
        </is>
      </c>
      <c r="I19" s="22" t="inlineStr">
        <is>
          <t>현장소장</t>
        </is>
      </c>
      <c r="J19" s="43" t="inlineStr">
        <is>
          <t>건축 구조물공사 中, 건축 마감공사 中 인터페이스 협의를 통한 재시공 최소화</t>
        </is>
      </c>
      <c r="K19" s="44" t="inlineStr">
        <is>
          <t>시공중 지속적인 인터페이스(기계, 전기, 통신 등) 회의를 통하여 시공전 계획했던 대로 원활한 선후행공정 시공진행</t>
        </is>
      </c>
      <c r="L19" s="43" t="inlineStr">
        <is>
          <t>인터페이스 회의록</t>
        </is>
      </c>
      <c r="M19" s="43" t="inlineStr">
        <is>
          <t>1) 인터페이스 회의(매주) (WBS 9000-4-18) 관련 시공중 지속적인 인터페이스(기계, 전기, 통신 등) 회의를 통하여 시공전 계획했던 대로 원활한 선후행공정 시공진행 수칙 및 법적 이행 의무를 1:1 준수한다. 또한 KDS 41 00 00 (건축구조기준), KDS 41 17 00 (내진설계기준) 및 KCS 41 00 00 (건축공사 표준시방서) 기술기준을 100% 충족한다.
2) 인터페이스 회의(매주) 달성을 위한 필수 시공 방법(시공중 지속적인 인터페이스(기계, 전기, 통신 등) 회의를 통하여 시공전 계획했던 대로 원활한 선후행공정 시...)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19" s="75">
        <f>HYPERLINK(LEFT(CELL("filename",A1),FIND("[",CELL("filename",A1))-1)&amp;"6.건축\18_인터페이스 회의(매주)\표준서\인터페이스 회의(매주)_표준서.html", "👉 [클릭] 표준서 열기 📄")</f>
        <v/>
      </c>
      <c r="O19" s="43" t="inlineStr">
        <is>
          <t>1) 인터페이스 회의(매주) (WBS 9000-4-18) 사전 건축 인허가 서식 제출(관할 지자체/소방서), 3D BIM 도서 대조 및 기계·전기·통신 4대 인터페이스 개구부를 확정한다.
2) 실무 작업방법 수칙(시공중 지속적인 인터페이스(기계, 전기, 통신 등) 회의를 통하여 시공전 계획했던 대로 원활한...)에 따라 철근 이음/피복두께 검측, 거푸집 다짐 양생 및 현장 3대 금기 수칙(피복 미달, 무단 타설)을 완수한다.</t>
        </is>
      </c>
      <c r="P19" s="76">
        <f>HYPERLINK(LEFT(CELL("filename",A1),FIND("[",CELL("filename",A1))-1)&amp;"6.건축\18_인터페이스 회의(매주)\수행지침\인터페이스 회의(매주)_수행지침.html", "👉 [클릭] 수행지침 열기 📄")</f>
        <v/>
      </c>
      <c r="Q19" s="43" t="inlineStr">
        <is>
          <t>1) 건축법 제11조 및 KDS 41 00 00 건축구조기준에 따라 인터페이스 회의(매주) 사전 검토를 수행하였는가? 또한 레미콘 규격(24~30MPa), 철근 시험성적서 및 방수자재 KCS 표준 품질 적격성을 검수하였는가?
2) 미검측 및 정량 시방 미달에 따른 인터페이스 회의(매주) (WBS 9000-4-18) 구조 균열/누수 하자 발생, 개구부 누락 재시공 손실 및 최종 인터페이스 회의록 승인 반려 리스크를 전면 차단한다.</t>
        </is>
      </c>
      <c r="R19" s="77">
        <f>HYPERLINK(LEFT(CELL("filename",A1),FIND("[",CELL("filename",A1))-1)&amp;"6.건축\18_인터페이스 회의(매주)\체크리스트\인터페이스 회의(매주)_체크리스트.html", "👉 [클릭] 체크리스트 열기 📄")</f>
        <v/>
      </c>
      <c r="S19" s="22" t="n"/>
      <c r="T19" s="69" t="inlineStr">
        <is>
          <t>● 공정 조율 및 시공 순서 확인</t>
        </is>
      </c>
      <c r="U19" s="69" t="inlineStr">
        <is>
          <t>1) 👉 [더블클릭] 체크리스트 열기 📄</t>
        </is>
      </c>
      <c r="V19" s="43" t="n"/>
    </row>
    <row r="20" ht="115.2" customHeight="1">
      <c r="A20" s="22" t="inlineStr">
        <is>
          <t>9000</t>
        </is>
      </c>
      <c r="B20" s="22" t="inlineStr">
        <is>
          <t>9000-4</t>
        </is>
      </c>
      <c r="C20" s="26" t="inlineStr">
        <is>
          <t>건축</t>
        </is>
      </c>
      <c r="D20" s="22" t="inlineStr">
        <is>
          <t>9000-4-19</t>
        </is>
      </c>
      <c r="E20" s="22">
        <f>D19</f>
        <v/>
      </c>
      <c r="F20" s="22">
        <f>D21</f>
        <v/>
      </c>
      <c r="G20" s="36" t="inlineStr">
        <is>
          <t>D+50 (D+36~D+50)</t>
        </is>
      </c>
      <c r="H20" s="26" t="inlineStr">
        <is>
          <t>인터페이스 각 공종별 Issue (기계, 전기, 통신분야)</t>
        </is>
      </c>
      <c r="I20" s="22" t="inlineStr">
        <is>
          <t>현장소장</t>
        </is>
      </c>
      <c r="J20" s="43" t="inlineStr">
        <is>
          <t>구조물 내,외부 인입공사 사전 인터페이스 회의를 통한 공사간섭 및 Rework방지</t>
        </is>
      </c>
      <c r="K20" s="44" t="inlineStr">
        <is>
          <t>각 해당공종(건축, 기계, 전기) 도면과 건축도면을 비교 및 현장여건 검토를 통한 시공방법 결정, 각종 필증 및 허가관련에 따른 우선순위 시공순서 결정</t>
        </is>
      </c>
      <c r="L20" s="43" t="inlineStr">
        <is>
          <t>인터페이스 회의록</t>
        </is>
      </c>
      <c r="M20" s="43" t="inlineStr">
        <is>
          <t>1) 인터페이스 각 공종별 Issue (기계, 전기, 통신분야) (WBS 9000-4-19) 관련 각 해당공종(건축, 기계, 전기) 도면과 건축도면을 비교 및 현장여건 검토를 통한 시공방법 결정, 각종 필증 및 허가관련에 따른 우선순위 시공순서 결정 수칙 및 법적 이행 의무를 1:1 준수한다. 또한 KDS 41 00 00 (건축구조기준), KDS 41 17 00 (내진설계기준) 및 KCS 41 00 00 (건축공사 표준시방서) 기술기준을 100% 충족한다.
2) 인터페이스 각 공종별 Issue (기계, 전기, 통신분야) 달성을 위한 필수 시공 방법(각 해당공종(건축, 기계, 전기) 도면과 건축도면을 비교 및 현장여건 검토를 통한 시공방법 결정, 각종 필증...)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0" s="75">
        <f>HYPERLINK(LEFT(CELL("filename",A1),FIND("[",CELL("filename",A1))-1)&amp;"6.건축\19_인터페이스 각 공종별 Issue (기계, 전기, 통신분야)\표준서\인터페이스 각 공종별 Issue (기계, 전기, 통신분야)_표준서.html", "👉 [클릭] 표준서 열기 📄")</f>
        <v/>
      </c>
      <c r="O20" s="43" t="inlineStr">
        <is>
          <t>1) 인터페이스 각 공종별 Issue (기계, 전기, 통신분야) (WBS 9000-4-19) 사전 건축 인허가 서식 제출(관할 지자체/소방서), 3D BIM 도서 대조 및 기계·전기·통신 4대 인터페이스 개구부를 확정한다.
2) 실무 작업방법 수칙(각 해당공종(건축, 기계, 전기) 도면과 건축도면을 비교 및 현장여건 검토를 통한 시공방법 결...)에 따라 철근 이음/피복두께 검측, 거푸집 다짐 양생 및 현장 3대 금기 수칙(피복 미달, 무단 타설)을 완수한다.</t>
        </is>
      </c>
      <c r="P20" s="76">
        <f>HYPERLINK(LEFT(CELL("filename",A1),FIND("[",CELL("filename",A1))-1)&amp;"6.건축\19_인터페이스 각 공종별 Issue (기계, 전기, 통신분야)\수행지침\인터페이스 각 공종별 Issue (기계, 전기, 통신분야)_수행지침.html", "👉 [클릭] 수행지침 열기 📄")</f>
        <v/>
      </c>
      <c r="Q20" s="43" t="inlineStr">
        <is>
          <t>1) 건축법 제11조 및 KDS 41 00 00 건축구조기준에 따라 인터페이스 각 공종별 Issue (기계, 전기, 통신분야) 사전 검토를 수행하였는가? 또한 레미콘 규격(24~30MPa), 철근 시험성적서 및 방수자재 KCS 표준 품질 적격성을 검수하였는가?
2) 미검측 및 정량 시방 미달에 따른 인터페이스 각 공종별 Issue (기계, 전기, 통신분야) (WBS 9000-4-19) 구조 균열/누수 하자 발생, 개구부 누락 재시공 손실 및 최종 인터페이스 회의록 승인 반려 리스크를 전면 차단한다.</t>
        </is>
      </c>
      <c r="R20" s="77">
        <f>HYPERLINK(LEFT(CELL("filename",A1),FIND("[",CELL("filename",A1))-1)&amp;"6.건축\19_인터페이스 각 공종별 Issue (기계, 전기, 통신분야)\체크리스트\인터페이스 각 공종별 Issue (기계, 전기, 통신분야)_체크리스트.html", "👉 [클릭] 체크리스트 열기 📄")</f>
        <v/>
      </c>
      <c r="S20" s="22" t="n"/>
      <c r="T20" s="69" t="inlineStr">
        <is>
          <t>● 타 분야 매입 배관 및 슬리브 사전 확인</t>
        </is>
      </c>
      <c r="U20" s="69" t="inlineStr">
        <is>
          <t>1) 👉 [더블클릭] 체크리스트 열기 📄</t>
        </is>
      </c>
      <c r="V20" s="43" t="n"/>
    </row>
    <row r="21" ht="115.2" customHeight="1">
      <c r="A21" s="22" t="inlineStr">
        <is>
          <t>9000</t>
        </is>
      </c>
      <c r="B21" s="22" t="inlineStr">
        <is>
          <t>9000-4</t>
        </is>
      </c>
      <c r="C21" s="26" t="inlineStr">
        <is>
          <t>건축</t>
        </is>
      </c>
      <c r="D21" s="22" t="inlineStr">
        <is>
          <t>9000-4-20</t>
        </is>
      </c>
      <c r="E21" s="22">
        <f>D20</f>
        <v/>
      </c>
      <c r="F21" s="22">
        <f>D22</f>
        <v/>
      </c>
      <c r="G21" s="36" t="inlineStr">
        <is>
          <t>D+63 (D-60~D+63)</t>
        </is>
      </c>
      <c r="H21" s="26" t="inlineStr">
        <is>
          <t>인터페이스 각 공종별 Issue (토목분야)</t>
        </is>
      </c>
      <c r="I21" s="22" t="inlineStr">
        <is>
          <t>현장소장</t>
        </is>
      </c>
      <c r="J21" s="43" t="inlineStr">
        <is>
          <t>건축공사와 토목공사 간섭 예방, 업무 Scope확인을 통한 설계/시공Gray zone제거</t>
        </is>
      </c>
      <c r="K21" s="44" t="inlineStr">
        <is>
          <t>구조물별 외부 배수 설계와 같은 현장 여건을 구성이 되었는지 확인</t>
        </is>
      </c>
      <c r="L21" s="43" t="inlineStr">
        <is>
          <t>회의록</t>
        </is>
      </c>
      <c r="M21" s="43" t="inlineStr">
        <is>
          <t>1) 인터페이스 각 공종별 Issue (토목분야) (WBS 9000-4-20) 관련 구조물별 외부 배수 설계와 같은 현장 여건을 구성이 되었는지 확인 수칙 및 법적 이행 의무를 1:1 준수한다. 또한 KDS 41 00 00 (건축구조기준), KDS 41 17 00 (내진설계기준) 및 KCS 41 00 00 (건축공사 표준시방서) 기술기준을 100% 충족한다.
2) 인터페이스 각 공종별 Issue (토목분야) 달성을 위한 필수 시공 방법(구조물별 외부 배수 설계와 같은 현장 여건을 구성이 되었는지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1" s="75">
        <f>HYPERLINK(LEFT(CELL("filename",A1),FIND("[",CELL("filename",A1))-1)&amp;"6.건축\20_인터페이스 각 공종별 Issue (토목분야)\표준서\인터페이스 각 공종별 Issue (토목분야)_표준서.html", "👉 [클릭] 표준서 열기 📄")</f>
        <v/>
      </c>
      <c r="O21" s="43" t="inlineStr">
        <is>
          <t>1) 인터페이스 각 공종별 Issue (토목분야) (WBS 9000-4-20) 사전 건축 인허가 서식 제출(관할 지자체/소방서), 3D BIM 도서 대조 및 기계·전기·통신 4대 인터페이스 개구부를 확정한다.
2) 실무 작업방법 수칙(구조물별 외부 배수 설계와 같은 현장 여건을 구성이 되었는지 확인)에 따라 철근 이음/피복두께 검측, 거푸집 다짐 양생 및 현장 3대 금기 수칙(피복 미달, 무단 타설)을 완수한다.</t>
        </is>
      </c>
      <c r="P21" s="76">
        <f>HYPERLINK(LEFT(CELL("filename",A1),FIND("[",CELL("filename",A1))-1)&amp;"6.건축\20_인터페이스 각 공종별 Issue (토목분야)\수행지침\인터페이스 각 공종별 Issue (토목분야)_수행지침.html", "👉 [클릭] 수행지침 열기 📄")</f>
        <v/>
      </c>
      <c r="Q21" s="43" t="inlineStr">
        <is>
          <t>1) 건축법 제11조 및 KDS 41 00 00 건축구조기준에 따라 인터페이스 각 공종별 Issue (토목분야) 사전 검토를 수행하였는가? 또한 레미콘 규격(24~30MPa), 철근 시험성적서 및 방수자재 KCS 표준 품질 적격성을 검수하였는가?
2) 미검측 및 정량 시방 미달에 따른 인터페이스 각 공종별 Issue (토목분야) (WBS 9000-4-20) 구조 균열/누수 하자 발생, 개구부 누락 재시공 손실 및 최종 회의록 승인 반려 리스크를 전면 차단한다.</t>
        </is>
      </c>
      <c r="R21" s="77">
        <f>HYPERLINK(LEFT(CELL("filename",A1),FIND("[",CELL("filename",A1))-1)&amp;"6.건축\20_인터페이스 각 공종별 Issue (토목분야)\체크리스트\인터페이스 각 공종별 Issue (토목분야)_체크리스트.html", "👉 [클릭] 체크리스트 열기 📄")</f>
        <v/>
      </c>
      <c r="S21" s="22" t="n"/>
      <c r="T21" s="69" t="inlineStr">
        <is>
          <t>● 토목 외부 우/오수 배수 및 연계 부분 확인</t>
        </is>
      </c>
      <c r="U21" s="69" t="inlineStr">
        <is>
          <t>1) 👉 [더블클릭] 체크리스트 열기 📄</t>
        </is>
      </c>
      <c r="V21" s="43" t="n"/>
    </row>
    <row r="22" ht="96" customHeight="1">
      <c r="A22" s="22" t="inlineStr">
        <is>
          <t>9000</t>
        </is>
      </c>
      <c r="B22" s="22" t="inlineStr">
        <is>
          <t>9000-4</t>
        </is>
      </c>
      <c r="C22" s="26" t="inlineStr">
        <is>
          <t>건축</t>
        </is>
      </c>
      <c r="D22" s="22" t="inlineStr">
        <is>
          <t>9000-4-21</t>
        </is>
      </c>
      <c r="E22" s="22">
        <f>D21</f>
        <v/>
      </c>
      <c r="F22" s="22">
        <f>D23</f>
        <v/>
      </c>
      <c r="G22" s="36" t="inlineStr">
        <is>
          <t>D+64 (D+64~D+64)</t>
        </is>
      </c>
      <c r="H22" s="26" t="inlineStr">
        <is>
          <t>기초~상부슬라브 구조물 시공</t>
        </is>
      </c>
      <c r="I22" s="22" t="inlineStr">
        <is>
          <t>현장소장</t>
        </is>
      </c>
      <c r="J22" s="43" t="inlineStr">
        <is>
          <t>기초, 기둥 및 슬라브 구조물 시공</t>
        </is>
      </c>
      <c r="K22" s="44" t="inlineStr">
        <is>
          <t>발주 이후 마감공정 연계, 거푸집 해체 이후 균열조사 및 보수조치 시행</t>
        </is>
      </c>
      <c r="L22" s="43" t="inlineStr">
        <is>
          <t>해당공종 검측서, 각종 품질시험결과 보고서, 마감공종 인수인계서</t>
        </is>
      </c>
      <c r="M22" s="43" t="inlineStr">
        <is>
          <t>1) 기초~상부슬라브 구조물 시공 (WBS 9000-4-21) 관련 발주 이후 마감공정 연계, 거푸집 해체 이후 균열조사 및 보수조치 시행 수칙 및 법적 이행 의무를 1:1 준수한다. 또한 KDS 41 00 00 (건축구조기준), KDS 41 17 00 (내진설계기준) 및 KCS 41 00 00 (건축공사 표준시방서) 기술기준을 100% 충족한다.
2) 기초~상부슬라브 구조물 시공 달성을 위한 필수 시공 방법(발주 이후 마감공정 연계, 거푸집 해체 이후 균열조사 및 보수조치 시행...)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2" s="75">
        <f>HYPERLINK(LEFT(CELL("filename",A1),FIND("[",CELL("filename",A1))-1)&amp;"6.건축\21_기초~상부슬라브 구조물 시공\표준서\기초~상부슬라브 구조물 시공_표준서.html", "👉 [클릭] 표준서 열기 📄")</f>
        <v/>
      </c>
      <c r="O22" s="43" t="inlineStr">
        <is>
          <t>1) 기초~상부슬라브 구조물 시공 (WBS 9000-4-21) 사전 건축 인허가 서식 제출(관할 지자체/소방서), 3D BIM 도서 대조 및 기계·전기·통신 4대 인터페이스 개구부를 확정한다.
2) 실무 작업방법 수칙(발주 이후 마감공정 연계, 거푸집 해체 이후 균열조사 및 보수조치 시행)에 따라 철근 이음/피복두께 검측, 거푸집 다짐 양생 및 현장 3대 금기 수칙(피복 미달, 무단 타설)을 완수한다.</t>
        </is>
      </c>
      <c r="P22" s="76">
        <f>HYPERLINK(LEFT(CELL("filename",A1),FIND("[",CELL("filename",A1))-1)&amp;"6.건축\21_기초~상부슬라브 구조물 시공\수행지침\기초~상부슬라브 구조물 시공_수행지침.html", "👉 [클릭] 수행지침 열기 📄")</f>
        <v/>
      </c>
      <c r="Q22" s="43" t="inlineStr">
        <is>
          <t>1) 건축법 제11조 및 KDS 41 00 00 건축구조기준에 따라 기초~상부슬라브 구조물 시공 사전 검토를 수행하였는가? 또한 레미콘 규격(24~30MPa), 철근 시험성적서 및 방수자재 KCS 표준 품질 적격성을 검수하였는가?
2) 미검측 및 정량 시방 미달에 따른 기초~상부슬라브 구조물 시공 (WBS 9000-4-21) 구조 균열/누수 하자 발생, 개구부 누락 재시공 손실 및 최종 해당공종 검측서, 각종 품질시험결과 보고서, 마감공종 인수인계서 승인 반려 리스크를 전면 차단한다.</t>
        </is>
      </c>
      <c r="R22" s="77">
        <f>HYPERLINK(LEFT(CELL("filename",A1),FIND("[",CELL("filename",A1))-1)&amp;"6.건축\21_기초~상부슬라브 구조물 시공\체크리스트\기초~상부슬라브 구조물 시공_체크리스트.html", "👉 [클릭] 체크리스트 열기 📄")</f>
        <v/>
      </c>
      <c r="S22" s="22" t="n"/>
      <c r="T22" s="69" t="inlineStr">
        <is>
          <t>● 콘크리트 압축강도 및 피복두께 관리</t>
        </is>
      </c>
      <c r="U22" s="69" t="inlineStr">
        <is>
          <t>1) 👉 [더블클릭] 체크리스트 열기 📄</t>
        </is>
      </c>
      <c r="V22" s="43" t="n"/>
    </row>
    <row r="23" ht="96" customHeight="1">
      <c r="A23" s="22" t="inlineStr">
        <is>
          <t>9000</t>
        </is>
      </c>
      <c r="B23" s="22" t="inlineStr">
        <is>
          <t>9000-4</t>
        </is>
      </c>
      <c r="C23" s="26" t="inlineStr">
        <is>
          <t>건축</t>
        </is>
      </c>
      <c r="D23" s="22" t="inlineStr">
        <is>
          <t>9000-4-22</t>
        </is>
      </c>
      <c r="E23" s="22">
        <f>D22</f>
        <v/>
      </c>
      <c r="F23" s="22">
        <f>D24</f>
        <v/>
      </c>
      <c r="G23" s="36" t="inlineStr">
        <is>
          <t>D+75 (D+71~D+75)</t>
        </is>
      </c>
      <c r="H23" s="26" t="inlineStr">
        <is>
          <t>철근 가공</t>
        </is>
      </c>
      <c r="I23" s="22" t="inlineStr">
        <is>
          <t>현장소장</t>
        </is>
      </c>
      <c r="J23" s="43" t="inlineStr">
        <is>
          <t>철근을 절곡 및 절단하는 작업</t>
        </is>
      </c>
      <c r="K23" s="44" t="inlineStr">
        <is>
          <t>설계도면과 가공상세가 일치하는지 확인 및 보강부분 시공상세도 확인</t>
        </is>
      </c>
      <c r="L23" s="43" t="inlineStr">
        <is>
          <t>철근 시공상세도</t>
        </is>
      </c>
      <c r="M23" s="43" t="inlineStr">
        <is>
          <t>1) 철근 가공 (WBS 9000-4-22) 관련 설계도면과 가공상세가 일치하는지 확인 및 보강부분 시공상세도 확인 수칙 및 법적 이행 의무를 1:1 준수한다. 또한 KDS 41 00 00 (건축구조기준), KDS 41 17 00 (내진설계기준) 및 KCS 41 00 00 (건축공사 표준시방서) 기술기준을 100% 충족한다.
2) 철근 가공 달성을 위한 필수 시공 방법(설계도면과 가공상세가 일치하는지 확인 및 보강부분 시공상세도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3" s="75">
        <f>HYPERLINK(LEFT(CELL("filename",A1),FIND("[",CELL("filename",A1))-1)&amp;"6.건축\22_철근 가공\표준서\철근 가공_표준서.html", "👉 [클릭] 표준서 열기 📄")</f>
        <v/>
      </c>
      <c r="O23" s="43" t="inlineStr">
        <is>
          <t>1) 철근 가공 (WBS 9000-4-22) 사전 건축 인허가 서식 제출(관할 지자체/소방서), 3D BIM 도서 대조 및 기계·전기·통신 4대 인터페이스 개구부를 확정한다.
2) 실무 작업방법 수칙(설계도면과 가공상세가 일치하는지 확인 및 보강부분 시공상세도 확인)에 따라 철근 이음/피복두께 검측, 거푸집 다짐 양생 및 현장 3대 금기 수칙(피복 미달, 무단 타설)을 완수한다.</t>
        </is>
      </c>
      <c r="P23" s="76">
        <f>HYPERLINK(LEFT(CELL("filename",A1),FIND("[",CELL("filename",A1))-1)&amp;"6.건축\22_철근 가공\수행지침\철근 가공_수행지침.html", "👉 [클릭] 수행지침 열기 📄")</f>
        <v/>
      </c>
      <c r="Q23" s="43" t="inlineStr">
        <is>
          <t>1) 건축법 제11조 및 KDS 41 00 00 건축구조기준에 따라 철근 가공 사전 검토를 수행하였는가? 또한 레미콘 규격(24~30MPa), 철근 시험성적서 및 방수자재 KCS 표준 품질 적격성을 검수하였는가?
2) 미검측 및 정량 시방 미달에 따른 철근 가공 (WBS 9000-4-22) 구조 균열/누수 하자 발생, 개구부 누락 재시공 손실 및 최종 철근 시공상세도 승인 반려 리스크를 전면 차단한다.</t>
        </is>
      </c>
      <c r="R23" s="77">
        <f>HYPERLINK(LEFT(CELL("filename",A1),FIND("[",CELL("filename",A1))-1)&amp;"6.건축\22_철근 가공\체크리스트\철근 가공_체크리스트.html", "👉 [클릭] 체크리스트 열기 📄")</f>
        <v/>
      </c>
      <c r="S23" s="22" t="n"/>
      <c r="T23" s="69" t="inlineStr">
        <is>
          <t>● 철근 가공 치수 허용오차 기준</t>
        </is>
      </c>
      <c r="U23" s="69" t="inlineStr">
        <is>
          <t>1) 👉 [더블클릭] 체크리스트 열기 📄</t>
        </is>
      </c>
      <c r="V23" s="43" t="n"/>
    </row>
    <row r="24" ht="96" customHeight="1">
      <c r="A24" s="22" t="inlineStr">
        <is>
          <t>9000</t>
        </is>
      </c>
      <c r="B24" s="22" t="inlineStr">
        <is>
          <t>9000-4</t>
        </is>
      </c>
      <c r="C24" s="26" t="inlineStr">
        <is>
          <t>건축</t>
        </is>
      </c>
      <c r="D24" s="22" t="inlineStr">
        <is>
          <t>9000-4-23</t>
        </is>
      </c>
      <c r="E24" s="22">
        <f>D23</f>
        <v/>
      </c>
      <c r="F24" s="22">
        <f>D25</f>
        <v/>
      </c>
      <c r="G24" s="36" t="inlineStr">
        <is>
          <t>D+75일 이후</t>
        </is>
      </c>
      <c r="H24" s="26" t="inlineStr">
        <is>
          <t>작업발판, 비계 및 동바리 설치</t>
        </is>
      </c>
      <c r="I24" s="22" t="inlineStr">
        <is>
          <t>현장소장</t>
        </is>
      </c>
      <c r="J24" s="43" t="inlineStr">
        <is>
          <t>구조물 시공을 위한 작업발판 및 후속 작업을 위해 비계 및 동바리 설치</t>
        </is>
      </c>
      <c r="K24" s="44" t="inlineStr">
        <is>
          <t>안전난간 및 발판 설치 이후 철근 조립 및 거푸집 설치를 위한 비계 및 동바리 설치</t>
        </is>
      </c>
      <c r="L24" s="43" t="inlineStr">
        <is>
          <t>비계 및 동바리 검측서</t>
        </is>
      </c>
      <c r="M24" s="43" t="inlineStr">
        <is>
          <t>1) 작업발판, 비계 및 동바리 설치 (WBS 9000-4-23) 관련 안전난간 및 발판 설치 이후 철근 조립 및 거푸집 설치를 위한 비계 및 동바리 설치 수칙 및 법적 이행 의무를 1:1 준수한다. 또한 KDS 41 00 00 (건축구조기준), KDS 41 17 00 (내진설계기준) 및 KCS 41 00 00 (건축공사 표준시방서) 기술기준을 100% 충족한다.
2) 작업발판, 비계 및 동바리 설치 달성을 위한 필수 시공 방법(안전난간 및 발판 설치 이후 철근 조립 및 거푸집 설치를 위한 비계 및 동바리 설치...)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4" s="75">
        <f>HYPERLINK(LEFT(CELL("filename",A1),FIND("[",CELL("filename",A1))-1)&amp;"6.건축\23_작업발판, 비계 및 동바리 설치\표준서\작업발판, 비계 및 동바리 설치_표준서.html", "👉 [클릭] 표준서 열기 📄")</f>
        <v/>
      </c>
      <c r="O24" s="43" t="inlineStr">
        <is>
          <t>1) 작업발판, 비계 및 동바리 설치 (WBS 9000-4-23) 사전 건축 인허가 서식 제출(관할 지자체/소방서), 3D BIM 도서 대조 및 기계·전기·통신 4대 인터페이스 개구부를 확정한다.
2) 실무 작업방법 수칙(안전난간 및 발판 설치 이후 철근 조립 및 거푸집 설치를 위한 비계 및 동바리 설치)에 따라 철근 이음/피복두께 검측, 거푸집 다짐 양생 및 현장 3대 금기 수칙(피복 미달, 무단 타설)을 완수한다.</t>
        </is>
      </c>
      <c r="P24" s="76">
        <f>HYPERLINK(LEFT(CELL("filename",A1),FIND("[",CELL("filename",A1))-1)&amp;"6.건축\23_작업발판, 비계 및 동바리 설치\수행지침\작업발판, 비계 및 동바리 설치_수행지침.html", "👉 [클릭] 수행지침 열기 📄")</f>
        <v/>
      </c>
      <c r="Q24" s="43" t="inlineStr">
        <is>
          <t>1) 건축법 제11조 및 KDS 41 00 00 건축구조기준에 따라 작업발판, 비계 및 동바리 설치 사전 검토를 수행하였는가? 또한 레미콘 규격(24~30MPa), 철근 시험성적서 및 방수자재 KCS 표준 품질 적격성을 검수하였는가?
2) 미검측 및 정량 시방 미달에 따른 작업발판, 비계 및 동바리 설치 (WBS 9000-4-23) 구조 균열/누수 하자 발생, 개구부 누락 재시공 손실 및 최종 비계 및 동바리 검측서 승인 반려 리스크를 전면 차단한다.</t>
        </is>
      </c>
      <c r="R24" s="77">
        <f>HYPERLINK(LEFT(CELL("filename",A1),FIND("[",CELL("filename",A1))-1)&amp;"6.건축\23_작업발판, 비계 및 동바리 설치\체크리스트\작업발판, 비계 및 동바리 설치_체크리스트.html", "👉 [클릭] 체크리스트 열기 📄")</f>
        <v/>
      </c>
      <c r="S24" s="22" t="n"/>
      <c r="T24" s="69" t="inlineStr">
        <is>
          <t>● 가설구조물 안전 기준 및 구조 검토</t>
        </is>
      </c>
      <c r="U24" s="69" t="inlineStr">
        <is>
          <t>1) 👉 [더블클릭] 체크리스트 열기 📄</t>
        </is>
      </c>
      <c r="V24" s="43" t="n"/>
    </row>
    <row r="25" ht="96" customHeight="1">
      <c r="A25" s="22" t="inlineStr">
        <is>
          <t>9000</t>
        </is>
      </c>
      <c r="B25" s="22" t="inlineStr">
        <is>
          <t>9000-4</t>
        </is>
      </c>
      <c r="C25" s="26" t="inlineStr">
        <is>
          <t>건축</t>
        </is>
      </c>
      <c r="D25" s="22" t="inlineStr">
        <is>
          <t>9000-4-24</t>
        </is>
      </c>
      <c r="E25" s="22">
        <f>D24</f>
        <v/>
      </c>
      <c r="F25" s="22">
        <f>D26</f>
        <v/>
      </c>
      <c r="H25" s="26" t="inlineStr">
        <is>
          <t>철근 조립</t>
        </is>
      </c>
      <c r="I25" s="22" t="inlineStr">
        <is>
          <t>현장소장</t>
        </is>
      </c>
      <c r="J25" s="43" t="inlineStr">
        <is>
          <t>구조물의 뼈대를 형성하도록 철근을 조립</t>
        </is>
      </c>
      <c r="K25" s="44" t="inlineStr">
        <is>
          <t>철근 배근, 철근 조립 및 결속, 철근 이물질 등 검사</t>
        </is>
      </c>
      <c r="L25" s="43" t="inlineStr">
        <is>
          <t>철근 검측서</t>
        </is>
      </c>
      <c r="M25" s="43" t="inlineStr">
        <is>
          <t>1) 철근 조립 (WBS 9000-4-24) 관련 철근 배근, 철근 조립 및 결속, 철근 이물질 등 검사 수칙 및 법적 이행 의무를 1:1 준수한다. 또한 KDS 41 00 00 (건축구조기준), KDS 41 17 00 (내진설계기준) 및 KCS 41 00 00 (건축공사 표준시방서) 기술기준을 100% 충족한다.
2) 철근 조립 달성을 위한 필수 시공 방법(철근 배근, 철근 조립 및 결속, 철근 이물질 등 검사...)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5" s="75">
        <f>HYPERLINK(LEFT(CELL("filename",A1),FIND("[",CELL("filename",A1))-1)&amp;"6.건축\24_철근 조립\표준서\철근 조립_표준서.html", "👉 [클릭] 표준서 열기 📄")</f>
        <v/>
      </c>
      <c r="O25" s="43" t="inlineStr">
        <is>
          <t>1) 철근 조립 (WBS 9000-4-24) 사전 건축 인허가 서식 제출(관할 지자체/소방서), 3D BIM 도서 대조 및 기계·전기·통신 4대 인터페이스 개구부를 확정한다.
2) 실무 작업방법 수칙(철근 배근, 철근 조립 및 결속, 철근 이물질 등 검사)에 따라 철근 이음/피복두께 검측, 거푸집 다짐 양생 및 현장 3대 금기 수칙(피복 미달, 무단 타설)을 완수한다.</t>
        </is>
      </c>
      <c r="P25" s="76">
        <f>HYPERLINK(LEFT(CELL("filename",A1),FIND("[",CELL("filename",A1))-1)&amp;"6.건축\24_철근 조립\수행지침\철근 조립_수행지침.html", "👉 [클릭] 수행지침 열기 📄")</f>
        <v/>
      </c>
      <c r="Q25" s="43" t="inlineStr">
        <is>
          <t>1) 건축법 제11조 및 KDS 41 00 00 건축구조기준에 따라 철근 조립 사전 검토를 수행하였는가? 또한 레미콘 규격(24~30MPa), 철근 시험성적서 및 방수자재 KCS 표준 품질 적격성을 검수하였는가?
2) 미검측 및 정량 시방 미달에 따른 철근 조립 (WBS 9000-4-24) 구조 균열/누수 하자 발생, 개구부 누락 재시공 손실 및 최종 철근 검측서 승인 반려 리스크를 전면 차단한다.</t>
        </is>
      </c>
      <c r="R25" s="77">
        <f>HYPERLINK(LEFT(CELL("filename",A1),FIND("[",CELL("filename",A1))-1)&amp;"6.건축\24_철근 조립\체크리스트\철근 조립_체크리스트.html", "👉 [클릭] 체크리스트 열기 📄")</f>
        <v/>
      </c>
      <c r="S25" s="22" t="n"/>
      <c r="T25" s="69" t="inlineStr">
        <is>
          <t>● 철근 배근 간격 및 결속선 결속 기준</t>
        </is>
      </c>
      <c r="U25" s="69" t="inlineStr">
        <is>
          <t>1) 👉 [더블클릭] 체크리스트 열기 📄</t>
        </is>
      </c>
      <c r="V25" s="43" t="n"/>
    </row>
    <row r="26" ht="96" customHeight="1">
      <c r="A26" s="22" t="inlineStr">
        <is>
          <t>9000</t>
        </is>
      </c>
      <c r="B26" s="22" t="inlineStr">
        <is>
          <t>9000-4</t>
        </is>
      </c>
      <c r="C26" s="26" t="inlineStr">
        <is>
          <t>건축</t>
        </is>
      </c>
      <c r="D26" s="22" t="inlineStr">
        <is>
          <t>9000-4-25</t>
        </is>
      </c>
      <c r="E26" s="22">
        <f>D25</f>
        <v/>
      </c>
      <c r="F26" s="22">
        <f>D27</f>
        <v/>
      </c>
      <c r="H26" s="26" t="inlineStr">
        <is>
          <t>거푸집 조립</t>
        </is>
      </c>
      <c r="I26" s="22" t="inlineStr">
        <is>
          <t>현장소장</t>
        </is>
      </c>
      <c r="J26" s="43" t="inlineStr">
        <is>
          <t>콘크리트 타설 후 양생까지 유지하는 가설구조물 설치 작업</t>
        </is>
      </c>
      <c r="K26" s="44" t="inlineStr">
        <is>
          <t>합판, 강재등의 자재를 활용하여 설계도면 형상에 맞게 시공</t>
        </is>
      </c>
      <c r="L26" s="43" t="inlineStr">
        <is>
          <t>거푸집 검측서</t>
        </is>
      </c>
      <c r="M26" s="43" t="inlineStr">
        <is>
          <t>1) 거푸집 조립 (WBS 9000-4-25) 관련 합판, 강재등의 자재를 활용하여 설계도면 형상에 맞게 시공 수칙 및 법적 이행 의무를 1:1 준수한다. 또한 KDS 41 00 00 (건축구조기준), KDS 41 17 00 (내진설계기준) 및 KCS 41 00 00 (건축공사 표준시방서) 기술기준을 100% 충족한다.
2) 거푸집 조립 달성을 위한 필수 시공 방법(합판, 강재등의 자재를 활용하여 설계도면 형상에 맞게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6" s="75">
        <f>HYPERLINK(LEFT(CELL("filename",A1),FIND("[",CELL("filename",A1))-1)&amp;"6.건축\25_거푸집 조립\표준서\거푸집 조립_표준서.html", "👉 [클릭] 표준서 열기 📄")</f>
        <v/>
      </c>
      <c r="O26" s="43" t="inlineStr">
        <is>
          <t>1) 거푸집 조립 (WBS 9000-4-25) 사전 건축 인허가 서식 제출(관할 지자체/소방서), 3D BIM 도서 대조 및 기계·전기·통신 4대 인터페이스 개구부를 확정한다.
2) 실무 작업방법 수칙(합판, 강재등의 자재를 활용하여 설계도면 형상에 맞게 시공)에 따라 철근 이음/피복두께 검측, 거푸집 다짐 양생 및 현장 3대 금기 수칙(피복 미달, 무단 타설)을 완수한다.</t>
        </is>
      </c>
      <c r="P26" s="76">
        <f>HYPERLINK(LEFT(CELL("filename",A1),FIND("[",CELL("filename",A1))-1)&amp;"6.건축\25_거푸집 조립\수행지침\거푸집 조립_수행지침.html", "👉 [클릭] 수행지침 열기 📄")</f>
        <v/>
      </c>
      <c r="Q26" s="43" t="inlineStr">
        <is>
          <t>1) 건축법 제11조 및 KDS 41 00 00 건축구조기준에 따라 거푸집 조립 사전 검토를 수행하였는가? 또한 레미콘 규격(24~30MPa), 철근 시험성적서 및 방수자재 KCS 표준 품질 적격성을 검수하였는가?
2) 미검측 및 정량 시방 미달에 따른 거푸집 조립 (WBS 9000-4-25) 구조 균열/누수 하자 발생, 개구부 누락 재시공 손실 및 최종 거푸집 검측서 승인 반려 리스크를 전면 차단한다.</t>
        </is>
      </c>
      <c r="R26" s="77">
        <f>HYPERLINK(LEFT(CELL("filename",A1),FIND("[",CELL("filename",A1))-1)&amp;"6.건축\25_거푸집 조립\체크리스트\거푸집 조립_체크리스트.html", "👉 [클릭] 체크리스트 열기 📄")</f>
        <v/>
      </c>
      <c r="S26" s="22" t="n"/>
      <c r="T26" s="69" t="inlineStr">
        <is>
          <t>● 거푸집 수직/수평도 및 박리제 도포 기준</t>
        </is>
      </c>
      <c r="U26" s="69" t="inlineStr">
        <is>
          <t>1) 👉 [더블클릭] 체크리스트 열기 📄</t>
        </is>
      </c>
      <c r="V26" s="43" t="n"/>
    </row>
    <row r="27" ht="96" customHeight="1">
      <c r="A27" s="22" t="inlineStr">
        <is>
          <t>9000</t>
        </is>
      </c>
      <c r="B27" s="22" t="inlineStr">
        <is>
          <t>9000-4</t>
        </is>
      </c>
      <c r="C27" s="26" t="inlineStr">
        <is>
          <t>건축</t>
        </is>
      </c>
      <c r="D27" s="22" t="inlineStr">
        <is>
          <t>9000-4-26</t>
        </is>
      </c>
      <c r="E27" s="22">
        <f>D26</f>
        <v/>
      </c>
      <c r="F27" s="22">
        <f>D28</f>
        <v/>
      </c>
      <c r="H27" s="26" t="inlineStr">
        <is>
          <t>콘크리트 타설 및 다짐</t>
        </is>
      </c>
      <c r="I27" s="22" t="inlineStr">
        <is>
          <t>현장소장</t>
        </is>
      </c>
      <c r="J27" s="43" t="inlineStr">
        <is>
          <t>거푸집에 콘크리트를 붓고 강도발현 까지 밀도와 습도조절 유지</t>
        </is>
      </c>
      <c r="K27" s="44" t="inlineStr">
        <is>
          <t>- 타설과 동시에 적당한 공법으로 다짐, 양생관리
- 마감품질 관련하여, 재료, 균열관리방안
- 상부슬라브 타설시 동바리 변형 확인</t>
        </is>
      </c>
      <c r="L27" s="43" t="inlineStr">
        <is>
          <t>콘크리트 구조물 확보, 타설보고서</t>
        </is>
      </c>
      <c r="M27" s="43" t="inlineStr">
        <is>
          <t>1) 콘크리트 타설 및 다짐 (WBS 9000-4-26) 관련 타설과 동시에 적당한 공법으로 다짐, 양생관리 수칙 및 법적 이행 의무를 1:1 준수한다. 또한 KDS 41 00 00 (건축구조기준), KDS 41 17 00 (내진설계기준) 및 KCS 41 00 00 (건축공사 표준시방서) 기술기준을 100% 충족한다.
2) 콘크리트 타설 및 다짐 달성을 위한 필수 시공 방법(타설과 동시에 적당한 공법으로 다짐, 양생관리 마감품질 관련하여, 재료, 균열관리방안 상부슬라브 타설시 동바...)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7" s="75">
        <f>HYPERLINK(LEFT(CELL("filename",A1),FIND("[",CELL("filename",A1))-1)&amp;"6.건축\26_콘크리트 타설 및 다짐\표준서\콘크리트 타설 및 다짐_표준서.html", "👉 [클릭] 표준서 열기 📄")</f>
        <v/>
      </c>
      <c r="O27" s="43" t="inlineStr">
        <is>
          <t>1) 콘크리트 타설 및 다짐 (WBS 9000-4-26) 사전 건축 인허가 서식 제출(관할 지자체/소방서), 3D BIM 도서 대조 및 기계·전기·통신 4대 인터페이스 개구부를 확정한다.
2) 실무 작업방법 수칙(타설과 동시에 적당한 공법으로 다짐, 양생관리 마감품질 관련하여, 재료, 균열관리방안 상부슬라...)에 따라 철근 이음/피복두께 검측, 거푸집 다짐 양생 및 현장 3대 금기 수칙(피복 미달, 무단 타설)을 완수한다.</t>
        </is>
      </c>
      <c r="P27" s="76">
        <f>HYPERLINK(LEFT(CELL("filename",A1),FIND("[",CELL("filename",A1))-1)&amp;"6.건축\26_콘크리트 타설 및 다짐\수행지침\콘크리트 타설 및 다짐_수행지침.html", "👉 [클릭] 수행지침 열기 📄")</f>
        <v/>
      </c>
      <c r="Q27" s="43" t="inlineStr">
        <is>
          <t>1) 건축법 제11조 및 KDS 41 00 00 건축구조기준에 따라 콘크리트 타설 및 다짐 사전 검토를 수행하였는가? 또한 레미콘 규격(24~30MPa), 철근 시험성적서 및 방수자재 KCS 표준 품질 적격성을 검수하였는가?
2) 미검측 및 정량 시방 미달에 따른 콘크리트 타설 및 다짐 (WBS 9000-4-26) 구조 균열/누수 하자 발생, 개구부 누락 재시공 손실 및 최종 콘크리트 구조물 확보, 타설보고서 승인 반려 리스크를 전면 차단한다.</t>
        </is>
      </c>
      <c r="R27" s="77">
        <f>HYPERLINK(LEFT(CELL("filename",A1),FIND("[",CELL("filename",A1))-1)&amp;"6.건축\26_콘크리트 타설 및 다짐\체크리스트\콘크리트 타설 및 다짐_체크리스트.html", "👉 [클릭] 체크리스트 열기 📄")</f>
        <v/>
      </c>
      <c r="S27" s="22" t="n"/>
      <c r="T27" s="69" t="inlineStr">
        <is>
          <t>● 콘크리트 타설 속도 및 다짐기 사용 기준</t>
        </is>
      </c>
      <c r="U27" s="69" t="inlineStr">
        <is>
          <t>1) 👉 [더블클릭] 체크리스트 열기 📄</t>
        </is>
      </c>
      <c r="V27" s="43" t="n"/>
    </row>
    <row r="28" ht="115.2" customHeight="1">
      <c r="A28" s="22" t="inlineStr">
        <is>
          <t>9000</t>
        </is>
      </c>
      <c r="B28" s="22" t="inlineStr">
        <is>
          <t>9000-4</t>
        </is>
      </c>
      <c r="C28" s="26" t="inlineStr">
        <is>
          <t>건축</t>
        </is>
      </c>
      <c r="D28" s="22" t="inlineStr">
        <is>
          <t>9000-4-27</t>
        </is>
      </c>
      <c r="E28" s="22">
        <f>D27</f>
        <v/>
      </c>
      <c r="F28" s="22">
        <f>D29</f>
        <v/>
      </c>
      <c r="H28" s="26" t="inlineStr">
        <is>
          <t>거푸집 해체</t>
        </is>
      </c>
      <c r="I28" s="22" t="inlineStr">
        <is>
          <t>현장소장</t>
        </is>
      </c>
      <c r="J28" s="43" t="inlineStr">
        <is>
          <t>구조물과 거푸집을 분리하는 작업</t>
        </is>
      </c>
      <c r="K28" s="44" t="inlineStr">
        <is>
          <t>구조물에 훼손이 없도록 주의하여 안전하게 해체, 부속자재(핀, 타이, 결속선 등) 제거, 상태 Double Check</t>
        </is>
      </c>
      <c r="L28" s="43" t="inlineStr">
        <is>
          <t>해체 완료</t>
        </is>
      </c>
      <c r="M28" s="43" t="inlineStr">
        <is>
          <t>1) 거푸집 해체 (WBS 9000-4-27) 관련 구조물에 훼손이 없도록 주의하여 안전하게 해체, 부속자재(핀, 타이, 결속선 등) 제거, 상태 Double Check 수칙 및 법적 이행 의무를 1:1 준수한다. 또한 KDS 41 00 00 (건축구조기준), KDS 41 17 00 (내진설계기준) 및 KCS 41 00 00 (건축공사 표준시방서) 기술기준을 100% 충족한다.
2) 거푸집 해체 달성을 위한 필수 시공 방법(구조물에 훼손이 없도록 주의하여 안전하게 해체, 부속자재(핀, 타이, 결속선 등) 제거, 상태 Double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8" s="75">
        <f>HYPERLINK(LEFT(CELL("filename",A1),FIND("[",CELL("filename",A1))-1)&amp;"6.건축\27_거푸집 해체\표준서\거푸집 해체_표준서.html", "👉 [클릭] 표준서 열기 📄")</f>
        <v/>
      </c>
      <c r="O28" s="43" t="inlineStr">
        <is>
          <t>1) 거푸집 해체 (WBS 9000-4-27) 사전 건축 인허가 서식 제출(관할 지자체/소방서), 3D BIM 도서 대조 및 기계·전기·통신 4대 인터페이스 개구부를 확정한다.
2) 실무 작업방법 수칙(구조물에 훼손이 없도록 주의하여 안전하게 해체, 부속자재(핀, 타이, 결속선 등) 제거, 상태...)에 따라 철근 이음/피복두께 검측, 거푸집 다짐 양생 및 현장 3대 금기 수칙(피복 미달, 무단 타설)을 완수한다.</t>
        </is>
      </c>
      <c r="P28" s="76">
        <f>HYPERLINK(LEFT(CELL("filename",A1),FIND("[",CELL("filename",A1))-1)&amp;"6.건축\27_거푸집 해체\수행지침\거푸집 해체_수행지침.html", "👉 [클릭] 수행지침 열기 📄")</f>
        <v/>
      </c>
      <c r="Q28" s="43" t="inlineStr">
        <is>
          <t>1) 건축법 제11조 및 KDS 41 00 00 건축구조기준에 따라 거푸집 해체 사전 검토를 수행하였는가? 또한 레미콘 규격(24~30MPa), 철근 시험성적서 및 방수자재 KCS 표준 품질 적격성을 검수하였는가?
2) 미검측 및 정량 시방 미달에 따른 거푸집 해체 (WBS 9000-4-27) 구조 균열/누수 하자 발생, 개구부 누락 재시공 손실 및 최종 해체 완료 승인 반려 리스크를 전면 차단한다.</t>
        </is>
      </c>
      <c r="R28" s="77">
        <f>HYPERLINK(LEFT(CELL("filename",A1),FIND("[",CELL("filename",A1))-1)&amp;"6.건축\27_거푸집 해체\체크리스트\거푸집 해체_체크리스트.html", "👉 [클릭] 체크리스트 열기 📄")</f>
        <v/>
      </c>
      <c r="S28" s="22" t="n"/>
      <c r="T28" s="69" t="inlineStr">
        <is>
          <t>● 거푸집 해체 시 압축강도 기준 준수</t>
        </is>
      </c>
      <c r="U28" s="69" t="inlineStr">
        <is>
          <t>1) 👉 [더블클릭] 체크리스트 열기 📄</t>
        </is>
      </c>
      <c r="V28" s="43" t="n"/>
    </row>
    <row r="29" ht="115.2" customHeight="1">
      <c r="A29" s="22" t="inlineStr">
        <is>
          <t>9000</t>
        </is>
      </c>
      <c r="B29" s="22" t="inlineStr">
        <is>
          <t>9000-4</t>
        </is>
      </c>
      <c r="C29" s="26" t="inlineStr">
        <is>
          <t>건축</t>
        </is>
      </c>
      <c r="D29" s="22" t="inlineStr">
        <is>
          <t>9000-4-28</t>
        </is>
      </c>
      <c r="E29" s="22">
        <f>D28</f>
        <v/>
      </c>
      <c r="F29" s="22">
        <f>D30</f>
        <v/>
      </c>
      <c r="H29" s="26" t="inlineStr">
        <is>
          <t>건축 내부 및 마감공사</t>
        </is>
      </c>
      <c r="I29" s="22" t="inlineStr">
        <is>
          <t>현장소장</t>
        </is>
      </c>
      <c r="J29" s="43" t="inlineStr">
        <is>
          <t>건축구조물 완수단계후 방수 및 내부마감공사</t>
        </is>
      </c>
      <c r="K29" s="44" t="inlineStr">
        <is>
          <t>구조물 시공 이후 외벽 방수 진행, 내부 마감공사 연계, 선행공종 균열관리대책 확인</t>
        </is>
      </c>
      <c r="L29" s="43" t="inlineStr">
        <is>
          <t>해당공종 검측서, 품질시험결과 보고서, 마감공종 인수인계서</t>
        </is>
      </c>
      <c r="M29" s="43" t="inlineStr">
        <is>
          <t>1) 건축 내부 및 마감공사 (WBS 9000-4-28) 관련 구조물 시공 이후 외벽 방수 진행, 내부 마감공사 연계, 선행공종 균열관리대책 확인 수칙 및 법적 이행 의무를 1:1 준수한다. 또한 KDS 41 00 00 (건축구조기준), KDS 41 17 00 (내진설계기준) 및 KCS 41 00 00 (건축공사 표준시방서) 기술기준을 100% 충족한다.
2) 건축 내부 및 마감공사 달성을 위한 필수 시공 방법(구조물 시공 이후 외벽 방수 진행, 내부 마감공사 연계, 선행공종 균열관리대책 확인...)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29" s="75">
        <f>HYPERLINK(LEFT(CELL("filename",A1),FIND("[",CELL("filename",A1))-1)&amp;"6.건축\28_건축 내부 및 마감공사\표준서\건축 내부 및 마감공사_표준서.html", "👉 [클릭] 표준서 열기 📄")</f>
        <v/>
      </c>
      <c r="O29" s="43" t="inlineStr">
        <is>
          <t>1) 건축 내부 및 마감공사 (WBS 9000-4-28) 사전 건축 인허가 서식 제출(관할 지자체/소방서), 3D BIM 도서 대조 및 기계·전기·통신 4대 인터페이스 개구부를 확정한다.
2) 실무 작업방법 수칙(구조물 시공 이후 외벽 방수 진행, 내부 마감공사 연계, 선행공종 균열관리대책 확인)에 따라 철근 이음/피복두께 검측, 거푸집 다짐 양생 및 현장 3대 금기 수칙(피복 미달, 무단 타설)을 완수한다.</t>
        </is>
      </c>
      <c r="P29" s="76">
        <f>HYPERLINK(LEFT(CELL("filename",A1),FIND("[",CELL("filename",A1))-1)&amp;"6.건축\28_건축 내부 및 마감공사\수행지침\건축 내부 및 마감공사_수행지침.html", "👉 [클릭] 수행지침 열기 📄")</f>
        <v/>
      </c>
      <c r="Q29" s="43" t="inlineStr">
        <is>
          <t>1) 건축법 제11조 및 KDS 41 00 00 건축구조기준에 따라 건축 내부 및 마감공사 사전 검토를 수행하였는가? 또한 레미콘 규격(24~30MPa), 철근 시험성적서 및 방수자재 KCS 표준 품질 적격성을 검수하였는가?
2) 미검측 및 정량 시방 미달에 따른 건축 내부 및 마감공사 (WBS 9000-4-28) 구조 균열/누수 하자 발생, 개구부 누락 재시공 손실 및 최종 해당공종 검측서, 품질시험결과 보고서, 마감공종 인수인계서 승인 반려 리스크를 전면 차단한다.</t>
        </is>
      </c>
      <c r="R29" s="77">
        <f>HYPERLINK(LEFT(CELL("filename",A1),FIND("[",CELL("filename",A1))-1)&amp;"6.건축\28_건축 내부 및 마감공사\체크리스트\건축 내부 및 마감공사_체크리스트.html", "👉 [클릭] 체크리스트 열기 📄")</f>
        <v/>
      </c>
      <c r="S29" s="22" t="n"/>
      <c r="T29" s="69" t="inlineStr">
        <is>
          <t>● 내부 및 외벽 마감 상세 도서 준수</t>
        </is>
      </c>
      <c r="U29" s="69" t="inlineStr">
        <is>
          <t>1) 👉 [더블클릭] 체크리스트 열기 📄</t>
        </is>
      </c>
      <c r="V29" s="43" t="n"/>
    </row>
    <row r="30" ht="115.2" customHeight="1">
      <c r="A30" s="22" t="inlineStr">
        <is>
          <t>9000</t>
        </is>
      </c>
      <c r="B30" s="22" t="inlineStr">
        <is>
          <t>9000-4</t>
        </is>
      </c>
      <c r="C30" s="26" t="inlineStr">
        <is>
          <t>건축</t>
        </is>
      </c>
      <c r="D30" s="22" t="inlineStr">
        <is>
          <t>9000-4-29</t>
        </is>
      </c>
      <c r="E30" s="22">
        <f>D29</f>
        <v/>
      </c>
      <c r="F30" s="22">
        <f>D31</f>
        <v/>
      </c>
      <c r="H30" s="26" t="inlineStr">
        <is>
          <t>창호,유리 및 금속지붕공사</t>
        </is>
      </c>
      <c r="I30" s="22" t="inlineStr">
        <is>
          <t>현장소장</t>
        </is>
      </c>
      <c r="J30" s="43" t="inlineStr">
        <is>
          <t>외부, 내부 마감공사 수행 / 건축물 내부로 우수 침투 방지작업</t>
        </is>
      </c>
      <c r="K30" s="44" t="inlineStr">
        <is>
          <t>외벽 마감 공사(금속지붕 공사 / 내부 창호 및 유리 시공)</t>
        </is>
      </c>
      <c r="L30" s="43" t="inlineStr">
        <is>
          <t>시공상세도 및 검측서</t>
        </is>
      </c>
      <c r="M30" s="43" t="inlineStr">
        <is>
          <t>1) 창호,유리 및 금속지붕공사 (WBS 9000-4-29) 관련 외벽 마감 공사(금속지붕 공사 / 내부 창호 및 유리 시공) 수칙 및 법적 이행 의무를 1:1 준수한다. 또한 KDS 41 00 00 (건축구조기준), KDS 41 17 00 (내진설계기준) 및 KCS 41 00 00 (건축공사 표준시방서) 기술기준을 100% 충족한다.
2) 창호,유리 및 금속지붕공사 달성을 위한 필수 시공 방법(외벽 마감 공사(금속지붕 공사 / 내부 창호 및 유리 시공)...)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0" s="75">
        <f>HYPERLINK(LEFT(CELL("filename",A1),FIND("[",CELL("filename",A1))-1)&amp;"6.건축\29_창호,유리 및 금속지붕공사\표준서\창호,유리 및 금속지붕공사_표준서.html", "👉 [클릭] 표준서 열기 📄")</f>
        <v/>
      </c>
      <c r="O30" s="43" t="inlineStr">
        <is>
          <t>1) 창호,유리 및 금속지붕공사 (WBS 9000-4-29) 사전 건축 인허가 서식 제출(관할 지자체/소방서), 3D BIM 도서 대조 및 기계·전기·통신 4대 인터페이스 개구부를 확정한다.
2) 실무 작업방법 수칙(외벽 마감 공사(금속지붕 공사 / 내부 창호 및 유리 시공))에 따라 철근 이음/피복두께 검측, 거푸집 다짐 양생 및 현장 3대 금기 수칙(피복 미달, 무단 타설)을 완수한다.</t>
        </is>
      </c>
      <c r="P30" s="76">
        <f>HYPERLINK(LEFT(CELL("filename",A1),FIND("[",CELL("filename",A1))-1)&amp;"6.건축\29_창호,유리 및 금속지붕공사\수행지침\창호,유리 및 금속지붕공사_수행지침.html", "👉 [클릭] 수행지침 열기 📄")</f>
        <v/>
      </c>
      <c r="Q30" s="43" t="inlineStr">
        <is>
          <t>1) 건축법 제11조 및 KDS 41 00 00 건축구조기준에 따라 창호,유리 및 금속지붕공사 사전 검토를 수행하였는가? 또한 레미콘 규격(24~30MPa), 철근 시험성적서 및 방수자재 KCS 표준 품질 적격성을 검수하였는가?
2) 미검측 및 정량 시방 미달에 따른 창호,유리 및 금속지붕공사 (WBS 9000-4-29) 구조 균열/누수 하자 발생, 개구부 누락 재시공 손실 및 최종 시공상세도 및 검측서 승인 반려 리스크를 전면 차단한다.</t>
        </is>
      </c>
      <c r="R30" s="77">
        <f>HYPERLINK(LEFT(CELL("filename",A1),FIND("[",CELL("filename",A1))-1)&amp;"6.건축\29_창호,유리 및 금속지붕공사\체크리스트\창호,유리 및 금속지붕공사_체크리스트.html", "👉 [클릭] 체크리스트 열기 📄")</f>
        <v/>
      </c>
      <c r="S30" s="22" t="n"/>
      <c r="T30" s="69" t="inlineStr">
        <is>
          <t>● 창호 기밀성 및 수밀성 성능 검증</t>
        </is>
      </c>
      <c r="U30" s="69" t="inlineStr">
        <is>
          <t>1) 👉 [더블클릭] 체크리스트 열기 📄</t>
        </is>
      </c>
      <c r="V30" s="43" t="n"/>
    </row>
    <row r="31" ht="96" customHeight="1">
      <c r="A31" s="22" t="inlineStr">
        <is>
          <t>9000</t>
        </is>
      </c>
      <c r="B31" s="22" t="inlineStr">
        <is>
          <t>9000-4</t>
        </is>
      </c>
      <c r="C31" s="26" t="inlineStr">
        <is>
          <t>건축</t>
        </is>
      </c>
      <c r="D31" s="22" t="inlineStr">
        <is>
          <t>9000-4-30</t>
        </is>
      </c>
      <c r="E31" s="22">
        <f>D30</f>
        <v/>
      </c>
      <c r="F31" s="22">
        <f>D32</f>
        <v/>
      </c>
      <c r="H31" s="26" t="inlineStr">
        <is>
          <t>조적공사</t>
        </is>
      </c>
      <c r="I31" s="22" t="inlineStr">
        <is>
          <t>현장소장</t>
        </is>
      </c>
      <c r="J31" s="43" t="inlineStr">
        <is>
          <t>건축물 내부 칸막이 벽체 형성</t>
        </is>
      </c>
      <c r="K31" s="44" t="inlineStr">
        <is>
          <t>시멘트 벽돌 및 블록으로 세대 칸막이 형성 일일 최대 쌓는높이 1.2m(내력벽)</t>
        </is>
      </c>
      <c r="L31" s="43" t="inlineStr">
        <is>
          <t>시멘트 벽돌 및 블록 검측서</t>
        </is>
      </c>
      <c r="M31" s="43" t="inlineStr">
        <is>
          <t>1) 조적공사 (WBS 9000-4-30) 관련 시멘트 벽돌 및 블록으로 세대 칸막이 형성 일일 최대 쌓는높이 1.2m(내력벽) 수칙 및 법적 이행 의무를 1:1 준수한다. 또한 KDS 41 00 00 (건축구조기준), KDS 41 17 00 (내진설계기준) 및 KCS 41 00 00 (건축공사 표준시방서) 기술기준을 100% 충족한다.
2) 조적공사 달성을 위한 필수 시공 방법(시멘트 벽돌 및 블록으로 세대 칸막이 형성 일일 최대 쌓는높이 1.2m(내력벽)...)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1" s="75">
        <f>HYPERLINK(LEFT(CELL("filename",A1),FIND("[",CELL("filename",A1))-1)&amp;"6.건축\30_조적공사\표준서\조적공사_표준서.html", "👉 [클릭] 표준서 열기 📄")</f>
        <v/>
      </c>
      <c r="O31" s="43" t="inlineStr">
        <is>
          <t>1) 조적공사 (WBS 9000-4-30) 사전 건축 인허가 서식 제출(관할 지자체/소방서), 3D BIM 도서 대조 및 기계·전기·통신 4대 인터페이스 개구부를 확정한다.
2) 실무 작업방법 수칙(시멘트 벽돌 및 블록으로 세대 칸막이 형성 일일 최대 쌓는높이 1.2m(내력벽))에 따라 철근 이음/피복두께 검측, 거푸집 다짐 양생 및 현장 3대 금기 수칙(피복 미달, 무단 타설)을 완수한다.</t>
        </is>
      </c>
      <c r="P31" s="76">
        <f>HYPERLINK(LEFT(CELL("filename",A1),FIND("[",CELL("filename",A1))-1)&amp;"6.건축\30_조적공사\수행지침\조적공사_수행지침.html", "👉 [클릭] 수행지침 열기 📄")</f>
        <v/>
      </c>
      <c r="Q31" s="43" t="inlineStr">
        <is>
          <t>1) 건축법 제11조 및 KDS 41 00 00 건축구조기준에 따라 조적공사 사전 검토를 수행하였는가? 또한 레미콘 규격(24~30MPa), 철근 시험성적서 및 방수자재 KCS 표준 품질 적격성을 검수하였는가?
2) 미검측 및 정량 시방 미달에 따른 조적공사 (WBS 9000-4-30) 구조 균열/누수 하자 발생, 개구부 누락 재시공 손실 및 최종 시멘트 벽돌 및 블록 검측서 승인 반려 리스크를 전면 차단한다.</t>
        </is>
      </c>
      <c r="R31" s="77">
        <f>HYPERLINK(LEFT(CELL("filename",A1),FIND("[",CELL("filename",A1))-1)&amp;"6.건축\30_조적공사\체크리스트\조적공사_체크리스트.html", "👉 [클릭] 체크리스트 열기 📄")</f>
        <v/>
      </c>
      <c r="S31" s="22" t="n"/>
      <c r="T31" s="69" t="inlineStr">
        <is>
          <t>● 조적 줄눈 및 쌓기 높이 기준 준수</t>
        </is>
      </c>
      <c r="U31" s="69" t="inlineStr">
        <is>
          <t>1) 👉 [더블클릭] 체크리스트 열기 📄</t>
        </is>
      </c>
      <c r="V31" s="43" t="n"/>
    </row>
    <row r="32" ht="115.2" customHeight="1">
      <c r="A32" s="22" t="inlineStr">
        <is>
          <t>9000</t>
        </is>
      </c>
      <c r="B32" s="22" t="inlineStr">
        <is>
          <t>9000-4</t>
        </is>
      </c>
      <c r="C32" s="26" t="inlineStr">
        <is>
          <t>건축</t>
        </is>
      </c>
      <c r="D32" s="22" t="inlineStr">
        <is>
          <t>9000-4-31</t>
        </is>
      </c>
      <c r="E32" s="22">
        <f>D31</f>
        <v/>
      </c>
      <c r="F32" s="22">
        <f>D33</f>
        <v/>
      </c>
      <c r="H32" s="26" t="inlineStr">
        <is>
          <t>내부 방수공사</t>
        </is>
      </c>
      <c r="I32" s="22" t="inlineStr">
        <is>
          <t>현장소장</t>
        </is>
      </c>
      <c r="J32" s="43" t="inlineStr">
        <is>
          <t>건축물 내부에서 물을 사용하는 실(화장실)등에 누수 방지</t>
        </is>
      </c>
      <c r="K32" s="44" t="inlineStr">
        <is>
          <t>구조물 청소 및 바탕정리후 방수공사 시행(코너부 및 드레인 주위 보강방수 실시)</t>
        </is>
      </c>
      <c r="L32" s="43" t="inlineStr">
        <is>
          <t>방수공사 검측서</t>
        </is>
      </c>
      <c r="M32" s="43" t="inlineStr">
        <is>
          <t>1) 내부 방수공사 (WBS 9000-4-31) 관련 구조물 청소 및 바탕정리후 방수공사 시행(코너부 및 드레인 주위 보강방수 실시) 수칙 및 법적 이행 의무를 1:1 준수한다. 또한 KDS 41 00 00 (건축구조기준), KDS 41 17 00 (내진설계기준) 및 KCS 41 00 00 (건축공사 표준시방서) 기술기준을 100% 충족한다.
2) 내부 방수공사 달성을 위한 필수 시공 방법(구조물 청소 및 바탕정리후 방수공사 시행(코너부 및 드레인 주위 보강방수 실시)...)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2" s="75">
        <f>HYPERLINK(LEFT(CELL("filename",A1),FIND("[",CELL("filename",A1))-1)&amp;"6.건축\31_내부 방수공사\표준서\내부 방수공사_표준서.html", "👉 [클릭] 표준서 열기 📄")</f>
        <v/>
      </c>
      <c r="O32" s="43" t="inlineStr">
        <is>
          <t>1) 내부 방수공사 (WBS 9000-4-31) 사전 건축 인허가 서식 제출(관할 지자체/소방서), 3D BIM 도서 대조 및 기계·전기·통신 4대 인터페이스 개구부를 확정한다.
2) 실무 작업방법 수칙(구조물 청소 및 바탕정리후 방수공사 시행(코너부 및 드레인 주위 보강방수 실시))에 따라 철근 이음/피복두께 검측, 거푸집 다짐 양생 및 현장 3대 금기 수칙(피복 미달, 무단 타설)을 완수한다.</t>
        </is>
      </c>
      <c r="P32" s="76">
        <f>HYPERLINK(LEFT(CELL("filename",A1),FIND("[",CELL("filename",A1))-1)&amp;"6.건축\31_내부 방수공사\수행지침\내부 방수공사_수행지침.html", "👉 [클릭] 수행지침 열기 📄")</f>
        <v/>
      </c>
      <c r="Q32" s="43" t="inlineStr">
        <is>
          <t>1) 건축법 제11조 및 KDS 41 00 00 건축구조기준에 따라 내부 방수공사 사전 검토를 수행하였는가? 또한 레미콘 규격(24~30MPa), 철근 시험성적서 및 방수자재 KCS 표준 품질 적격성을 검수하였는가?
2) 미검측 및 정량 시방 미달에 따른 내부 방수공사 (WBS 9000-4-31) 구조 균열/누수 하자 발생, 개구부 누락 재시공 손실 및 최종 방수공사 검측서 승인 반려 리스크를 전면 차단한다.</t>
        </is>
      </c>
      <c r="R32" s="77">
        <f>HYPERLINK(LEFT(CELL("filename",A1),FIND("[",CELL("filename",A1))-1)&amp;"6.건축\31_내부 방수공사\체크리스트\내부 방수공사_체크리스트.html", "👉 [클릭] 체크리스트 열기 📄")</f>
        <v/>
      </c>
      <c r="S32" s="22" t="n"/>
      <c r="T32" s="69" t="inlineStr">
        <is>
          <t>● 방수층 두께 및 담수테스트(24시간) 기준</t>
        </is>
      </c>
      <c r="U32" s="69" t="inlineStr">
        <is>
          <t>1) 👉 [더블클릭] 체크리스트 열기 📄</t>
        </is>
      </c>
      <c r="V32" s="43" t="n"/>
    </row>
    <row r="33" ht="96" customHeight="1">
      <c r="A33" s="22" t="inlineStr">
        <is>
          <t>9000</t>
        </is>
      </c>
      <c r="B33" s="22" t="inlineStr">
        <is>
          <t>9000-4</t>
        </is>
      </c>
      <c r="C33" s="26" t="inlineStr">
        <is>
          <t>건축</t>
        </is>
      </c>
      <c r="D33" s="22" t="inlineStr">
        <is>
          <t>9000-4-32</t>
        </is>
      </c>
      <c r="E33" s="22">
        <f>D32</f>
        <v/>
      </c>
      <c r="F33" s="22">
        <f>D34</f>
        <v/>
      </c>
      <c r="H33" s="26" t="inlineStr">
        <is>
          <t>미장 및 타일공사</t>
        </is>
      </c>
      <c r="I33" s="22" t="inlineStr">
        <is>
          <t>현장소장</t>
        </is>
      </c>
      <c r="J33" s="43" t="inlineStr">
        <is>
          <t>바탕면이 콘크리트나 조적공사 위에 마감공사 수행(초벌, 재벌, 정벌)</t>
        </is>
      </c>
      <c r="K33" s="44" t="inlineStr">
        <is>
          <t>미장공사는 시멘트와 모래(1:3배합)하여 바탕면에 바르는 작업, 타일공사는 벽면 미장후 타일시공</t>
        </is>
      </c>
      <c r="L33" s="43" t="inlineStr">
        <is>
          <t>미장,타일 검측서</t>
        </is>
      </c>
      <c r="M33" s="43" t="inlineStr">
        <is>
          <t>1) 미장 및 타일공사 (WBS 9000-4-32) 관련 미장공사는 시멘트와 모래(1:3배합)하여 바탕면에 바르는 작업, 타일공사는 벽면 미장후 타일시공 수칙 및 법적 이행 의무를 1:1 준수한다. 또한 KDS 41 00 00 (건축구조기준), KDS 41 17 00 (내진설계기준) 및 KCS 41 00 00 (건축공사 표준시방서) 기술기준을 100% 충족한다.
2) 미장 및 타일공사 달성을 위한 필수 시공 방법(미장공사는 시멘트와 모래(1:3배합)하여 바탕면에 바르는 작업, 타일공사는 벽면 미장후 타일시공...)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3" s="75">
        <f>HYPERLINK(LEFT(CELL("filename",A1),FIND("[",CELL("filename",A1))-1)&amp;"6.건축\32_미장 및 타일공사\표준서\미장 및 타일공사_표준서.html", "👉 [클릭] 표준서 열기 📄")</f>
        <v/>
      </c>
      <c r="O33" s="43" t="inlineStr">
        <is>
          <t>1) 미장 및 타일공사 (WBS 9000-4-32) 사전 건축 인허가 서식 제출(관할 지자체/소방서), 3D BIM 도서 대조 및 기계·전기·통신 4대 인터페이스 개구부를 확정한다.
2) 실무 작업방법 수칙(미장공사는 시멘트와 모래(1:3배합)하여 바탕면에 바르는 작업, 타일공사는 벽면 미장후 타일시공)에 따라 철근 이음/피복두께 검측, 거푸집 다짐 양생 및 현장 3대 금기 수칙(피복 미달, 무단 타설)을 완수한다.</t>
        </is>
      </c>
      <c r="P33" s="76">
        <f>HYPERLINK(LEFT(CELL("filename",A1),FIND("[",CELL("filename",A1))-1)&amp;"6.건축\32_미장 및 타일공사\수행지침\미장 및 타일공사_수행지침.html", "👉 [클릭] 수행지침 열기 📄")</f>
        <v/>
      </c>
      <c r="Q33" s="43" t="inlineStr">
        <is>
          <t>1) 건축법 제11조 및 KDS 41 00 00 건축구조기준에 따라 미장 및 타일공사 사전 검토를 수행하였는가? 또한 레미콘 규격(24~30MPa), 철근 시험성적서 및 방수자재 KCS 표준 품질 적격성을 검수하였는가?
2) 미검측 및 정량 시방 미달에 따른 미장 및 타일공사 (WBS 9000-4-32) 구조 균열/누수 하자 발생, 개구부 누락 재시공 손실 및 최종 미장,타일 검측서 승인 반려 리스크를 전면 차단한다.</t>
        </is>
      </c>
      <c r="R33" s="77">
        <f>HYPERLINK(LEFT(CELL("filename",A1),FIND("[",CELL("filename",A1))-1)&amp;"6.건축\32_미장 및 타일공사\체크리스트\미장 및 타일공사_체크리스트.html", "👉 [클릭] 체크리스트 열기 📄")</f>
        <v/>
      </c>
      <c r="S33" s="22" t="n"/>
      <c r="T33" s="69" t="inlineStr">
        <is>
          <t>● 미장면 평탄성 및 타일 부착 강도 기준</t>
        </is>
      </c>
      <c r="U33" s="69" t="inlineStr">
        <is>
          <t>1) 👉 [더블클릭] 체크리스트 열기 📄</t>
        </is>
      </c>
      <c r="V33" s="43" t="n"/>
    </row>
    <row r="34" ht="96" customHeight="1">
      <c r="A34" s="22" t="inlineStr">
        <is>
          <t>9000</t>
        </is>
      </c>
      <c r="B34" s="22" t="inlineStr">
        <is>
          <t>9000-4</t>
        </is>
      </c>
      <c r="C34" s="26" t="inlineStr">
        <is>
          <t>건축</t>
        </is>
      </c>
      <c r="D34" s="22" t="inlineStr">
        <is>
          <t>9000-4-33</t>
        </is>
      </c>
      <c r="E34" s="22">
        <f>D33</f>
        <v/>
      </c>
      <c r="F34" s="22">
        <f>D35</f>
        <v/>
      </c>
      <c r="H34" s="26" t="inlineStr">
        <is>
          <t>수장 및 잡철물공사</t>
        </is>
      </c>
      <c r="I34" s="22" t="inlineStr">
        <is>
          <t>현장소장</t>
        </is>
      </c>
      <c r="J34" s="43" t="inlineStr">
        <is>
          <t>수장공사 : 천정공사, 바닥마감공사, 잡철물 공사 : 도어, 창호 등 설치 공사</t>
        </is>
      </c>
      <c r="K34" s="44" t="inlineStr">
        <is>
          <t>각실의 천정공사(텍스류), 바닥마감공사(비닐계타일),도배공사등을 수행, 잡철물 공사는 각실의 도어, 난간,창호등을 설치하는 공사</t>
        </is>
      </c>
      <c r="L34" s="43" t="inlineStr">
        <is>
          <t>수장 및 잡철물검측서</t>
        </is>
      </c>
      <c r="M34" s="43" t="inlineStr">
        <is>
          <t>1) 수장 및 잡철물공사 (WBS 9000-4-33) 관련 각실의 천정공사(텍스류), 바닥마감공사(비닐계타일),도배공사등을 수행, 잡철물 공사는 각실의 도어, 난간,창호등을 설치하는 공사 수칙 및 법적 이행 의무를 1:1 준수한다. 또한 KDS 41 00 00 (건축구조기준), KDS 41 17 00 (내진설계기준) 및 KCS 41 00 00 (건축공사 표준시방서) 기술기준을 100% 충족한다.
2) 수장 및 잡철물공사 달성을 위한 필수 시공 방법(각실의 천정공사(텍스류), 바닥마감공사(비닐계타일),도배공사등을 수행, 잡철물 공사는 각실의 도어, 난간,창...)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4" s="75">
        <f>HYPERLINK(LEFT(CELL("filename",A1),FIND("[",CELL("filename",A1))-1)&amp;"6.건축\33_수장 및 잡철물공사\표준서\수장 및 잡철물공사_표준서.html", "👉 [클릭] 표준서 열기 📄")</f>
        <v/>
      </c>
      <c r="O34" s="43" t="inlineStr">
        <is>
          <t>1) 수장 및 잡철물공사 (WBS 9000-4-33) 사전 건축 인허가 서식 제출(관할 지자체/소방서), 3D BIM 도서 대조 및 기계·전기·통신 4대 인터페이스 개구부를 확정한다.
2) 실무 작업방법 수칙(각실의 천정공사(텍스류), 바닥마감공사(비닐계타일),도배공사등을 수행, 잡철물 공사는 각실의 ...)에 따라 철근 이음/피복두께 검측, 거푸집 다짐 양생 및 현장 3대 금기 수칙(피복 미달, 무단 타설)을 완수한다.</t>
        </is>
      </c>
      <c r="P34" s="76">
        <f>HYPERLINK(LEFT(CELL("filename",A1),FIND("[",CELL("filename",A1))-1)&amp;"6.건축\33_수장 및 잡철물공사\수행지침\수장 및 잡철물공사_수행지침.html", "👉 [클릭] 수행지침 열기 📄")</f>
        <v/>
      </c>
      <c r="Q34" s="43" t="inlineStr">
        <is>
          <t>1) 건축법 제11조 및 KDS 41 00 00 건축구조기준에 따라 수장 및 잡철물공사 사전 검토를 수행하였는가? 또한 레미콘 규격(24~30MPa), 철근 시험성적서 및 방수자재 KCS 표준 품질 적격성을 검수하였는가?
2) 미검측 및 정량 시방 미달에 따른 수장 및 잡철물공사 (WBS 9000-4-33) 구조 균열/누수 하자 발생, 개구부 누락 재시공 손실 및 최종 수장 및 잡철물검측서 승인 반려 리스크를 전면 차단한다.</t>
        </is>
      </c>
      <c r="R34" s="77">
        <f>HYPERLINK(LEFT(CELL("filename",A1),FIND("[",CELL("filename",A1))-1)&amp;"6.건축\33_수장 및 잡철물공사\체크리스트\수장 및 잡철물공사_체크리스트.html", "👉 [클릭] 체크리스트 열기 📄")</f>
        <v/>
      </c>
      <c r="S34" s="22" t="n"/>
      <c r="T34" s="69" t="inlineStr">
        <is>
          <t>● 실별 마감 재료 규격 만족</t>
        </is>
      </c>
      <c r="U34" s="69" t="inlineStr">
        <is>
          <t>1) 👉 [더블클릭] 체크리스트 열기 📄</t>
        </is>
      </c>
      <c r="V34" s="43" t="n"/>
    </row>
    <row r="35" ht="115.2" customHeight="1">
      <c r="A35" s="22" t="inlineStr">
        <is>
          <t>9000</t>
        </is>
      </c>
      <c r="B35" s="22" t="inlineStr">
        <is>
          <t>9000-4</t>
        </is>
      </c>
      <c r="C35" s="26" t="inlineStr">
        <is>
          <t>건축</t>
        </is>
      </c>
      <c r="D35" s="22" t="inlineStr">
        <is>
          <t>9000-4-34</t>
        </is>
      </c>
      <c r="E35" s="22">
        <f>D34</f>
        <v/>
      </c>
      <c r="F35" s="22">
        <f>D36</f>
        <v/>
      </c>
      <c r="H35" s="26" t="inlineStr">
        <is>
          <t>도장공사</t>
        </is>
      </c>
      <c r="I35" s="22" t="inlineStr">
        <is>
          <t>현장소장</t>
        </is>
      </c>
      <c r="J35" s="43" t="inlineStr">
        <is>
          <t>미장면, 석고보드위에 도장공사 수행</t>
        </is>
      </c>
      <c r="K35" s="44" t="inlineStr">
        <is>
          <t>도장재 (붓, 롤러등)로 벽면에 시공</t>
        </is>
      </c>
      <c r="L35" s="43" t="inlineStr">
        <is>
          <t>도장공사 검측서</t>
        </is>
      </c>
      <c r="M35" s="43" t="inlineStr">
        <is>
          <t>1) 도장공사 (WBS 9000-4-34) 관련 도장재 (붓, 롤러등)로 벽면에 시공 수칙 및 법적 이행 의무를 1:1 준수한다. 또한 KDS 41 00 00 (건축구조기준), KDS 41 17 00 (내진설계기준) 및 KCS 41 00 00 (건축공사 표준시방서) 기술기준을 100% 충족한다.
2) 도장공사 달성을 위한 필수 시공 방법(도장재 (붓, 롤러등)로 벽면에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5" s="75">
        <f>HYPERLINK(LEFT(CELL("filename",A1),FIND("[",CELL("filename",A1))-1)&amp;"6.건축\34_도장공사\표준서\도장공사_표준서.html", "👉 [클릭] 표준서 열기 📄")</f>
        <v/>
      </c>
      <c r="O35" s="43" t="inlineStr">
        <is>
          <t>1) 도장공사 (WBS 9000-4-34) 사전 건축 인허가 서식 제출(관할 지자체/소방서), 3D BIM 도서 대조 및 기계·전기·통신 4대 인터페이스 개구부를 확정한다.
2) 실무 작업방법 수칙(도장재 (붓, 롤러등)로 벽면에 시공)에 따라 철근 이음/피복두께 검측, 거푸집 다짐 양생 및 현장 3대 금기 수칙(피복 미달, 무단 타설)을 완수한다.</t>
        </is>
      </c>
      <c r="P35" s="76">
        <f>HYPERLINK(LEFT(CELL("filename",A1),FIND("[",CELL("filename",A1))-1)&amp;"6.건축\34_도장공사\수행지침\도장공사_수행지침.html", "👉 [클릭] 수행지침 열기 📄")</f>
        <v/>
      </c>
      <c r="Q35" s="43" t="inlineStr">
        <is>
          <t>1) 건축법 제11조 및 KDS 41 00 00 건축구조기준에 따라 도장공사 사전 검토를 수행하였는가? 또한 레미콘 규격(24~30MPa), 철근 시험성적서 및 방수자재 KCS 표준 품질 적격성을 검수하였는가?
2) 미검측 및 정량 시방 미달에 따른 도장공사 (WBS 9000-4-34) 구조 균열/누수 하자 발생, 개구부 누락 재시공 손실 및 최종 도장공사 검측서 승인 반려 리스크를 전면 차단한다.</t>
        </is>
      </c>
      <c r="R35" s="77">
        <f>HYPERLINK(LEFT(CELL("filename",A1),FIND("[",CELL("filename",A1))-1)&amp;"6.건축\34_도장공사\체크리스트\도장공사_체크리스트.html", "👉 [클릭] 체크리스트 열기 📄")</f>
        <v/>
      </c>
      <c r="S35" s="22" t="n"/>
      <c r="T35" s="69" t="inlineStr">
        <is>
          <t>● 도장 도막 두께 및 색상 균일성 기준</t>
        </is>
      </c>
      <c r="U35" s="69" t="inlineStr">
        <is>
          <t>1) 👉 [더블클릭] 체크리스트 열기 📄</t>
        </is>
      </c>
      <c r="V35" s="43" t="n"/>
    </row>
    <row r="36" ht="115.2" customHeight="1">
      <c r="A36" s="22" t="inlineStr">
        <is>
          <t>9000</t>
        </is>
      </c>
      <c r="B36" s="22" t="inlineStr">
        <is>
          <t>9000-4</t>
        </is>
      </c>
      <c r="C36" s="26" t="inlineStr">
        <is>
          <t>건축</t>
        </is>
      </c>
      <c r="D36" s="22" t="inlineStr">
        <is>
          <t>9000-4-35</t>
        </is>
      </c>
      <c r="E36" s="22">
        <f>D35</f>
        <v/>
      </c>
      <c r="F36" s="22">
        <f>D37</f>
        <v/>
      </c>
      <c r="H36" s="26" t="inlineStr">
        <is>
          <t>인테리어 및 무대공사</t>
        </is>
      </c>
      <c r="I36" s="22" t="inlineStr">
        <is>
          <t>현장소장</t>
        </is>
      </c>
      <c r="J36" s="43" t="inlineStr">
        <is>
          <t>내부 선반, 주방가구, 설치작업 등 내부 인테리어 및 무대공사</t>
        </is>
      </c>
      <c r="K36" s="44" t="inlineStr">
        <is>
          <t>추가로 발생되는 건축공사에 적합한 자재 반입, 검수 및 시공</t>
        </is>
      </c>
      <c r="L36" s="43" t="inlineStr">
        <is>
          <t>각 공종 검측서</t>
        </is>
      </c>
      <c r="M36" s="43" t="inlineStr">
        <is>
          <t>1) 인테리어 및 무대공사 (WBS 9000-4-35) 관련 추가로 발생되는 건축공사에 적합한 자재 반입, 검수 및 시공 수칙 및 법적 이행 의무를 1:1 준수한다. 또한 KDS 41 00 00 (건축구조기준), KDS 41 17 00 (내진설계기준) 및 KCS 41 00 00 (건축공사 표준시방서) 기술기준을 100% 충족한다.
2) 인테리어 및 무대공사 달성을 위한 필수 시공 방법(추가로 발생되는 건축공사에 적합한 자재 반입, 검수 및 시공...)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6" s="75">
        <f>HYPERLINK(LEFT(CELL("filename",A1),FIND("[",CELL("filename",A1))-1)&amp;"6.건축\35_인테리어 및 무대공사\표준서\인테리어 및 무대공사_표준서.html", "👉 [클릭] 표준서 열기 📄")</f>
        <v/>
      </c>
      <c r="O36" s="43" t="inlineStr">
        <is>
          <t>1) 인테리어 및 무대공사 (WBS 9000-4-35) 사전 건축 인허가 서식 제출(관할 지자체/소방서), 3D BIM 도서 대조 및 기계·전기·통신 4대 인터페이스 개구부를 확정한다.
2) 실무 작업방법 수칙(추가로 발생되는 건축공사에 적합한 자재 반입, 검수 및 시공)에 따라 철근 이음/피복두께 검측, 거푸집 다짐 양생 및 현장 3대 금기 수칙(피복 미달, 무단 타설)을 완수한다.</t>
        </is>
      </c>
      <c r="P36" s="76">
        <f>HYPERLINK(LEFT(CELL("filename",A1),FIND("[",CELL("filename",A1))-1)&amp;"6.건축\35_인테리어 및 무대공사\수행지침\인테리어 및 무대공사_수행지침.html", "👉 [클릭] 수행지침 열기 📄")</f>
        <v/>
      </c>
      <c r="Q36" s="43" t="inlineStr">
        <is>
          <t>1) 건축법 제11조 및 KDS 41 00 00 건축구조기준에 따라 인테리어 및 무대공사 사전 검토를 수행하였는가? 또한 레미콘 규격(24~30MPa), 철근 시험성적서 및 방수자재 KCS 표준 품질 적격성을 검수하였는가?
2) 미검측 및 정량 시방 미달에 따른 인테리어 및 무대공사 (WBS 9000-4-35) 구조 균열/누수 하자 발생, 개구부 누락 재시공 손실 및 최종 각 공종 검측서 승인 반려 리스크를 전면 차단한다.</t>
        </is>
      </c>
      <c r="R36" s="77">
        <f>HYPERLINK(LEFT(CELL("filename",A1),FIND("[",CELL("filename",A1))-1)&amp;"6.건축\35_인테리어 및 무대공사\체크리스트\인테리어 및 무대공사_체크리스트.html", "👉 [클릭] 체크리스트 열기 📄")</f>
        <v/>
      </c>
      <c r="S36" s="22" t="n"/>
      <c r="T36" s="69" t="inlineStr">
        <is>
          <t>● 내부 인테리어 설계 도서 준수</t>
        </is>
      </c>
      <c r="U36" s="69" t="inlineStr">
        <is>
          <t>1) 👉 [더블클릭] 체크리스트 열기 📄</t>
        </is>
      </c>
      <c r="V36" s="43" t="n"/>
    </row>
    <row r="37" ht="115.2" customHeight="1">
      <c r="A37" s="22" t="inlineStr">
        <is>
          <t>9000</t>
        </is>
      </c>
      <c r="B37" s="22" t="inlineStr">
        <is>
          <t>9000-4</t>
        </is>
      </c>
      <c r="C37" s="26" t="inlineStr">
        <is>
          <t>건축</t>
        </is>
      </c>
      <c r="D37" s="22" t="inlineStr">
        <is>
          <t>9000-4-36</t>
        </is>
      </c>
      <c r="E37" s="22">
        <f>D36</f>
        <v/>
      </c>
      <c r="F37" s="22">
        <f>D38</f>
        <v/>
      </c>
      <c r="H37" s="26" t="inlineStr">
        <is>
          <t>준공전 건축 인허가</t>
        </is>
      </c>
      <c r="I37" s="22" t="inlineStr">
        <is>
          <t>현장소장</t>
        </is>
      </c>
      <c r="J37" s="43" t="inlineStr">
        <is>
          <t>관련법에 따라 준공전 건축인허가 완료</t>
        </is>
      </c>
      <c r="K37" s="44" t="inlineStr">
        <is>
          <t>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</t>
        </is>
      </c>
      <c r="L37" s="43" t="inlineStr">
        <is>
          <t>인허가 신고 / 승인 문서</t>
        </is>
      </c>
      <c r="M37" s="43" t="inlineStr">
        <is>
          <t>1) 준공전 건축 인허가 (WBS 9000-4-36) 관련 승강기 설치신고, 저수조 설치신고, 정화조 및 오수처리시설 신고, 전기사용전 검사 신청, 승강기 설치검사 신고/안, 배수설비 신고, 정보통신 사용전 승인 신청, 정화조 및 오수처리 준공 신청제, 급수공사 신청, 업무대행 건축사 현장확인 신청 -&gt; 관할지자체, 건축물 사용승인, 건축물대장 등재 수칙 및 법적 이행 의무를 1:1 준수한다. 또한 KDS 41 00 00 (건축구조기준), KDS 41 17 00 (내진설계기준) 및 KCS 41 00 00 (건축공사 표준시방서) 기술기준을 100% 충족한다.
2) 준공전 건축 인허가 달성을 위한 필수 시공 방법(승강기 설치신고, 저수조 설치신고, 정화조 및 오수처리시설 신고, 전기사용전 검사 신청, 승강기 설치검사 신...)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7" s="75">
        <f>HYPERLINK(LEFT(CELL("filename",A1),FIND("[",CELL("filename",A1))-1)&amp;"6.건축\36_준공전 건축 인허가\표준서\준공전 건축 인허가_표준서.html", "👉 [클릭] 표준서 열기 📄")</f>
        <v/>
      </c>
      <c r="O37" s="43" t="inlineStr">
        <is>
          <t>1) 준공전 건축 인허가 (WBS 9000-4-36) 사전 건축 인허가 서식 제출(관할 지자체/소방서), 3D BIM 도서 대조 및 기계·전기·통신 4대 인터페이스 개구부를 확정한다.
2) 실무 작업방법 수칙(승강기 설치신고, 저수조 설치신고, 정화조 및 오수처리시설 신고, 전기사용전 검사 신청, 승강...)에 따라 철근 이음/피복두께 검측, 거푸집 다짐 양생 및 현장 3대 금기 수칙(피복 미달, 무단 타설)을 완수한다.</t>
        </is>
      </c>
      <c r="P37" s="76">
        <f>HYPERLINK(LEFT(CELL("filename",A1),FIND("[",CELL("filename",A1))-1)&amp;"6.건축\36_준공전 건축 인허가\수행지침\준공전 건축 인허가_수행지침.html", "👉 [클릭] 수행지침 열기 📄")</f>
        <v/>
      </c>
      <c r="Q37" s="43" t="inlineStr">
        <is>
          <t>1) 건축법 제11조 및 KDS 41 00 00 건축구조기준에 따라 준공전 건축 인허가 사전 검토를 수행하였는가? 또한 레미콘 규격(24~30MPa), 철근 시험성적서 및 방수자재 KCS 표준 품질 적격성을 검수하였는가?
2) 미검측 및 정량 시방 미달에 따른 준공전 건축 인허가 (WBS 9000-4-36) 구조 균열/누수 하자 발생, 개구부 누락 재시공 손실 및 최종 인허가 신고 / 승인 문서 승인 반려 리스크를 전면 차단한다.</t>
        </is>
      </c>
      <c r="R37" s="77">
        <f>HYPERLINK(LEFT(CELL("filename",A1),FIND("[",CELL("filename",A1))-1)&amp;"6.건축\36_준공전 건축 인허가\체크리스트\준공전 건축 인허가_체크리스트.html", "👉 [클릭] 체크리스트 열기 📄")</f>
        <v/>
      </c>
      <c r="S37" s="22" t="n"/>
      <c r="T37" s="69" t="inlineStr">
        <is>
          <t>● 관련 법규(건축법, 하수도법 등) 준수</t>
        </is>
      </c>
      <c r="U37" s="69" t="inlineStr">
        <is>
          <t>1) 👉 [더블클릭] 체크리스트 열기 📄</t>
        </is>
      </c>
      <c r="V37" s="43" t="n"/>
    </row>
    <row r="38" ht="134.4" customHeight="1">
      <c r="A38" s="22" t="inlineStr">
        <is>
          <t>9000</t>
        </is>
      </c>
      <c r="B38" s="22" t="inlineStr">
        <is>
          <t>9000-4</t>
        </is>
      </c>
      <c r="C38" s="26" t="inlineStr">
        <is>
          <t>건축</t>
        </is>
      </c>
      <c r="D38" s="22" t="inlineStr">
        <is>
          <t>9000-4-37</t>
        </is>
      </c>
      <c r="E38" s="22">
        <f>D37</f>
        <v/>
      </c>
      <c r="F38" s="22">
        <f>D39</f>
        <v/>
      </c>
      <c r="H38" s="26" t="inlineStr">
        <is>
          <t>소방시설공사 완공검사</t>
        </is>
      </c>
      <c r="I38" s="22" t="inlineStr">
        <is>
          <t>현장소장</t>
        </is>
      </c>
      <c r="J38" s="43" t="inlineStr">
        <is>
          <t>소방시설 완공검사 신청</t>
        </is>
      </c>
      <c r="K38" s="44" t="inlineStr">
        <is>
          <t>현장 -&gt; 관할소방서 및 지자체 소방시설공사법 제14조
- 서식: 별지 제17호 서식
- 제출후 처리기간 3일 이내</t>
        </is>
      </c>
      <c r="L38" s="43" t="inlineStr">
        <is>
          <t>소방시설 완공검사 증명서</t>
        </is>
      </c>
      <c r="M38" s="43" t="inlineStr">
        <is>
          <t>1) 소방시설공사 완공검사 (WBS 9000-4-37) 관련 현장 -&gt; 관할소방서 및 지자체 소방시설공사법 제14조 수칙 및 법적 이행 의무를 1:1 준수한다. 또한 KDS 41 00 00 (건축구조기준), KDS 41 17 00 (내진설계기준) 및 KCS 41 00 00 (건축공사 표준시방서) 기술기준을 100% 충족한다.
2) 소방시설공사 완공검사 달성을 위한 필수 시공 방법(현장 -&gt; 관할소방서 및 지자체 소방시설공사법 제14조 서식: 별지 제17호 서식 제출후 처리기간 3일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8" s="75">
        <f>HYPERLINK(LEFT(CELL("filename",A1),FIND("[",CELL("filename",A1))-1)&amp;"6.건축\37_소방시설공사 완공검사\표준서\소방시설공사 완공검사_표준서.html", "👉 [클릭] 표준서 열기 📄")</f>
        <v/>
      </c>
      <c r="O38" s="43" t="inlineStr">
        <is>
          <t>1) 소방시설공사 완공검사 (WBS 9000-4-37) 사전 건축 인허가 서식 제출(관할 지자체/소방서), 3D BIM 도서 대조 및 기계·전기·통신 4대 인터페이스 개구부를 확정한다.
2) 실무 작업방법 수칙(현장 -&gt; 관할소방서 및 지자체 소방시설공사법 제14조 서식: 별지 제17호 서식 제출후 처리...)에 따라 철근 이음/피복두께 검측, 거푸집 다짐 양생 및 현장 3대 금기 수칙(피복 미달, 무단 타설)을 완수한다.</t>
        </is>
      </c>
      <c r="P38" s="76">
        <f>HYPERLINK(LEFT(CELL("filename",A1),FIND("[",CELL("filename",A1))-1)&amp;"6.건축\37_소방시설공사 완공검사\수행지침\소방시설공사 완공검사_수행지침.html", "👉 [클릭] 수행지침 열기 📄")</f>
        <v/>
      </c>
      <c r="Q38" s="43" t="inlineStr">
        <is>
          <t>1) 건축법 제11조 및 KDS 41 00 00 건축구조기준에 따라 소방시설공사 완공검사 사전 검토를 수행하였는가? 또한 레미콘 규격(24~30MPa), 철근 시험성적서 및 방수자재 KCS 표준 품질 적격성을 검수하였는가?
2) 미검측 및 정량 시방 미달에 따른 소방시설공사 완공검사 (WBS 9000-4-37) 구조 균열/누수 하자 발생, 개구부 누락 재시공 손실 및 최종 소방시설 완공검사 증명서 승인 반려 리스크를 전면 차단한다.</t>
        </is>
      </c>
      <c r="R38" s="77">
        <f>HYPERLINK(LEFT(CELL("filename",A1),FIND("[",CELL("filename",A1))-1)&amp;"6.건축\37_소방시설공사 완공검사\체크리스트\소방시설공사 완공검사_체크리스트.html", "👉 [클릭] 체크리스트 열기 📄")</f>
        <v/>
      </c>
      <c r="S38" s="22" t="n"/>
      <c r="T38" s="69" t="inlineStr">
        <is>
          <t>● 소방시설공사법 제14조</t>
        </is>
      </c>
      <c r="U38" s="69" t="inlineStr">
        <is>
          <t>1) 👉 [더블클릭] 체크리스트 열기 📄</t>
        </is>
      </c>
      <c r="V38" s="43" t="n"/>
    </row>
    <row r="39" ht="115.2" customHeight="1">
      <c r="A39" s="22" t="inlineStr">
        <is>
          <t>9000</t>
        </is>
      </c>
      <c r="B39" s="22" t="inlineStr">
        <is>
          <t>9000-4</t>
        </is>
      </c>
      <c r="C39" s="26" t="inlineStr">
        <is>
          <t>건축</t>
        </is>
      </c>
      <c r="D39" s="22" t="inlineStr">
        <is>
          <t>9000-4-38</t>
        </is>
      </c>
      <c r="E39" s="22">
        <f>D38</f>
        <v/>
      </c>
      <c r="H39" s="26" t="inlineStr">
        <is>
          <t>승강기 설치 신고서 제출</t>
        </is>
      </c>
      <c r="I39" s="22" t="inlineStr">
        <is>
          <t>현장소장</t>
        </is>
      </c>
      <c r="J39" s="43" t="inlineStr">
        <is>
          <t>승강기 설치 신고</t>
        </is>
      </c>
      <c r="K39" s="44" t="inlineStr">
        <is>
          <t>현장 -&gt; 승강기 안전공단, 승강기 안전관리법 제27조
- 서식: 별지 제22호 서식
- 제출후 처리기간 7일 이내</t>
        </is>
      </c>
      <c r="L39" s="43" t="inlineStr">
        <is>
          <t>승강기 설치 신고필증</t>
        </is>
      </c>
      <c r="M39" s="43" t="inlineStr">
        <is>
          <t>1) 승강기 설치 신고서 제출 (WBS 9000-4-38) 관련 현장 -&gt; 승강기 안전공단, 승강기 안전관리법 제27조 수칙 및 법적 이행 의무를 1:1 준수한다. 또한 KDS 41 00 00 (건축구조기준), KDS 41 17 00 (내진설계기준) 및 KCS 41 00 00 (건축공사 표준시방서) 기술기준을 100% 충족한다.
2) 승강기 설치 신고서 제출 달성을 위한 필수 시공 방법(현장 -&gt; 승강기 안전공단, 승강기 안전관리법 제27조 서식: 별지 제22호 서식 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39" s="75">
        <f>HYPERLINK(LEFT(CELL("filename",A1),FIND("[",CELL("filename",A1))-1)&amp;"6.건축\38_승강기 설치 신고서 제출\표준서\승강기 설치 신고서 제출_표준서.html", "👉 [클릭] 표준서 열기 📄")</f>
        <v/>
      </c>
      <c r="O39" s="43" t="inlineStr">
        <is>
          <t>1) 승강기 설치 신고서 제출 (WBS 9000-4-38) 사전 건축 인허가 서식 제출(관할 지자체/소방서), 3D BIM 도서 대조 및 기계·전기·통신 4대 인터페이스 개구부를 확정한다.
2) 실무 작업방법 수칙(현장 -&gt; 승강기 안전공단, 승강기 안전관리법 제27조 서식: 별지 제22호 서식 제출후 처리...)에 따라 철근 이음/피복두께 검측, 거푸집 다짐 양생 및 현장 3대 금기 수칙(피복 미달, 무단 타설)을 완수한다.</t>
        </is>
      </c>
      <c r="P39" s="76">
        <f>HYPERLINK(LEFT(CELL("filename",A1),FIND("[",CELL("filename",A1))-1)&amp;"6.건축\38_승강기 설치 신고서 제출\수행지침\승강기 설치 신고서 제출_수행지침.html", "👉 [클릭] 수행지침 열기 📄")</f>
        <v/>
      </c>
      <c r="Q39" s="43" t="inlineStr">
        <is>
          <t>1) 건축법 제11조 및 KDS 41 00 00 건축구조기준에 따라 승강기 설치 신고서 제출 사전 검토를 수행하였는가? 또한 레미콘 규격(24~30MPa), 철근 시험성적서 및 방수자재 KCS 표준 품질 적격성을 검수하였는가?
2) 미검측 및 정량 시방 미달에 따른 승강기 설치 신고서 제출 (WBS 9000-4-38) 구조 균열/누수 하자 발생, 개구부 누락 재시공 손실 및 최종 승강기 설치 신고필증 승인 반려 리스크를 전면 차단한다.</t>
        </is>
      </c>
      <c r="R39" s="77">
        <f>HYPERLINK(LEFT(CELL("filename",A1),FIND("[",CELL("filename",A1))-1)&amp;"6.건축\38_승강기 설치 신고서 제출\체크리스트\승강기 설치 신고서 제출_체크리스트.html", "👉 [클릭] 체크리스트 열기 📄")</f>
        <v/>
      </c>
      <c r="S39" s="22" t="n"/>
      <c r="T39" s="69" t="inlineStr">
        <is>
          <t>● 승강기 안전관리법 제27조</t>
        </is>
      </c>
      <c r="U39" s="69" t="inlineStr">
        <is>
          <t>1) 👉 [더블클릭] 체크리스트 열기 📄</t>
        </is>
      </c>
      <c r="V39" s="43" t="n"/>
    </row>
    <row r="40" ht="115.2" customHeight="1">
      <c r="A40" s="22" t="inlineStr">
        <is>
          <t>9000</t>
        </is>
      </c>
      <c r="B40" s="22" t="inlineStr">
        <is>
          <t>9000-4</t>
        </is>
      </c>
      <c r="C40" s="26" t="inlineStr">
        <is>
          <t>건축</t>
        </is>
      </c>
      <c r="D40" s="22" t="inlineStr">
        <is>
          <t>9000-4-39</t>
        </is>
      </c>
      <c r="H40" s="26" t="inlineStr">
        <is>
          <t>저수조 설치현황 신고서 제출</t>
        </is>
      </c>
      <c r="I40" s="22" t="inlineStr">
        <is>
          <t>현장소장</t>
        </is>
      </c>
      <c r="J40" s="43" t="inlineStr">
        <is>
          <t>저수조 청소 신고</t>
        </is>
      </c>
      <c r="K40" s="44" t="inlineStr">
        <is>
          <t>현장 -&gt; 저수조업체 -&gt; 관할지자체, 수도법 제33조(위생상의 조치)
- 서식: 별지 제12호 서식</t>
        </is>
      </c>
      <c r="L40" s="43" t="inlineStr">
        <is>
          <t>저수조 설치 신고필증</t>
        </is>
      </c>
      <c r="M40" s="43" t="inlineStr">
        <is>
          <t>1) 저수조 설치현황 신고서 제출 (WBS 9000-4-39) 관련 현장 -&gt; 저수조업체 -&gt; 관할지자체, 수도법 제33조(위생상의 조치) 수칙 및 법적 이행 의무를 1:1 준수한다. 또한 KDS 41 00 00 (건축구조기준), KDS 41 17 00 (내진설계기준) 및 KCS 41 00 00 (건축공사 표준시방서) 기술기준을 100% 충족한다.
2) 저수조 설치현황 신고서 제출 달성을 위한 필수 시공 방법(현장 -&gt; 저수조업체 -&gt; 관할지자체, 수도법 제33조(위생상의 조치) 서식: 별지 제12호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0" s="75">
        <f>HYPERLINK(LEFT(CELL("filename",A1),FIND("[",CELL("filename",A1))-1)&amp;"6.건축\39_저수조 설치현황 신고서 제출\표준서\저수조 설치현황 신고서 제출_표준서.html", "👉 [클릭] 표준서 열기 📄")</f>
        <v/>
      </c>
      <c r="O40" s="43" t="inlineStr">
        <is>
          <t>1) 저수조 설치현황 신고서 제출 (WBS 9000-4-39) 사전 건축 인허가 서식 제출(관할 지자체/소방서), 3D BIM 도서 대조 및 기계·전기·통신 4대 인터페이스 개구부를 확정한다.
2) 실무 작업방법 수칙(현장 -&gt; 저수조업체 -&gt; 관할지자체, 수도법 제33조(위생상의 조치) 서식: 별지 제12호 서식)에 따라 철근 이음/피복두께 검측, 거푸집 다짐 양생 및 현장 3대 금기 수칙(피복 미달, 무단 타설)을 완수한다.</t>
        </is>
      </c>
      <c r="P40" s="76">
        <f>HYPERLINK(LEFT(CELL("filename",A1),FIND("[",CELL("filename",A1))-1)&amp;"6.건축\39_저수조 설치현황 신고서 제출\수행지침\저수조 설치현황 신고서 제출_수행지침.html", "👉 [클릭] 수행지침 열기 📄")</f>
        <v/>
      </c>
      <c r="Q40" s="43" t="inlineStr">
        <is>
          <t>1) 건축법 제11조 및 KDS 41 00 00 건축구조기준에 따라 저수조 설치현황 신고서 제출 사전 검토를 수행하였는가? 또한 레미콘 규격(24~30MPa), 철근 시험성적서 및 방수자재 KCS 표준 품질 적격성을 검수하였는가?
2) 미검측 및 정량 시방 미달에 따른 저수조 설치현황 신고서 제출 (WBS 9000-4-39) 구조 균열/누수 하자 발생, 개구부 누락 재시공 손실 및 최종 저수조 설치 신고필증 승인 반려 리스크를 전면 차단한다.</t>
        </is>
      </c>
      <c r="R40" s="77">
        <f>HYPERLINK(LEFT(CELL("filename",A1),FIND("[",CELL("filename",A1))-1)&amp;"6.건축\39_저수조 설치현황 신고서 제출\체크리스트\저수조 설치현황 신고서 제출_체크리스트.html", "👉 [클릭] 체크리스트 열기 📄")</f>
        <v/>
      </c>
      <c r="S40" s="22" t="n"/>
      <c r="T40" s="69" t="inlineStr">
        <is>
          <t>● 수도법 제33조</t>
        </is>
      </c>
      <c r="U40" s="69" t="inlineStr">
        <is>
          <t>1) 👉 [더블클릭] 체크리스트 열기 📄</t>
        </is>
      </c>
      <c r="V40" s="43" t="n"/>
    </row>
    <row r="41" ht="115.2" customHeight="1">
      <c r="A41" s="22" t="inlineStr">
        <is>
          <t>9000</t>
        </is>
      </c>
      <c r="B41" s="22" t="inlineStr">
        <is>
          <t>9000-4</t>
        </is>
      </c>
      <c r="C41" s="26" t="inlineStr">
        <is>
          <t>건축</t>
        </is>
      </c>
      <c r="D41" s="22" t="inlineStr">
        <is>
          <t>9000-4-40</t>
        </is>
      </c>
      <c r="H41" s="26" t="inlineStr">
        <is>
          <t>오수처리시설 / 정화조 설치 신고서 제출</t>
        </is>
      </c>
      <c r="I41" s="22" t="inlineStr">
        <is>
          <t>현장소장</t>
        </is>
      </c>
      <c r="J41" s="43" t="inlineStr">
        <is>
          <t>정화조 및 오수 처리시설 신고</t>
        </is>
      </c>
      <c r="K41" s="44" t="inlineStr">
        <is>
          <t>현장 -&gt; 관할지자체, 하수도법 제34조
- 서식: 별지 제13호 서식
- 제출후 처리기간 5일 이내</t>
        </is>
      </c>
      <c r="L41" s="43" t="inlineStr">
        <is>
          <t>오수처리시설/정화조 설치 신고필증</t>
        </is>
      </c>
      <c r="M41" s="43" t="inlineStr">
        <is>
          <t>1) 오수처리시설 / 정화조 설치 신고서 제출 (WBS 9000-4-40) 관련 현장 -&gt; 관할지자체, 하수도법 제34조 수칙 및 법적 이행 의무를 1:1 준수한다. 또한 KDS 41 00 00 (건축구조기준), KDS 41 17 00 (내진설계기준) 및 KCS 41 00 00 (건축공사 표준시방서) 기술기준을 100% 충족한다.
2) 오수처리시설 / 정화조 설치 신고서 제출 달성을 위한 필수 시공 방법(현장 -&gt; 관할지자체, 하수도법 제34조 서식: 별지 제13호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1" s="75">
        <f>HYPERLINK(LEFT(CELL("filename",A1),FIND("[",CELL("filename",A1))-1)&amp;"6.건축\40_오수처리시설 _ 정화조 설치 신고서 제출\표준서\오수처리시설 _ 정화조 설치 신고서 제출_표준서.html", "👉 [클릭] 표준서 열기 📄")</f>
        <v/>
      </c>
      <c r="O41" s="43" t="inlineStr">
        <is>
          <t>1) 오수처리시설 / 정화조 설치 신고서 제출 (WBS 9000-4-40) 사전 건축 인허가 서식 제출(관할 지자체/소방서), 3D BIM 도서 대조 및 기계·전기·통신 4대 인터페이스 개구부를 확정한다.
2) 실무 작업방법 수칙(현장 -&gt; 관할지자체, 하수도법 제34조 서식: 별지 제13호 서식 제출후 처리기간 5일 이내)에 따라 철근 이음/피복두께 검측, 거푸집 다짐 양생 및 현장 3대 금기 수칙(피복 미달, 무단 타설)을 완수한다.</t>
        </is>
      </c>
      <c r="P41" s="76">
        <f>HYPERLINK(LEFT(CELL("filename",A1),FIND("[",CELL("filename",A1))-1)&amp;"6.건축\40_오수처리시설 _ 정화조 설치 신고서 제출\수행지침\오수처리시설 _ 정화조 설치 신고서 제출_수행지침.html", "👉 [클릭] 수행지침 열기 📄")</f>
        <v/>
      </c>
      <c r="Q41" s="43" t="inlineStr">
        <is>
          <t>1) 건축법 제11조 및 KDS 41 00 00 건축구조기준에 따라 오수처리시설 / 정화조 설치 신고서 제출 사전 검토를 수행하였는가? 또한 레미콘 규격(24~30MPa), 철근 시험성적서 및 방수자재 KCS 표준 품질 적격성을 검수하였는가?
2) 미검측 및 정량 시방 미달에 따른 오수처리시설 / 정화조 설치 신고서 제출 (WBS 9000-4-40) 구조 균열/누수 하자 발생, 개구부 누락 재시공 손실 및 최종 오수처리시설/정화조 설치 신고필증 승인 반려 리스크를 전면 차단한다.</t>
        </is>
      </c>
      <c r="R41" s="77">
        <f>HYPERLINK(LEFT(CELL("filename",A1),FIND("[",CELL("filename",A1))-1)&amp;"6.건축\40_오수처리시설 _ 정화조 설치 신고서 제출\체크리스트\오수처리시설 _ 정화조 설치 신고서 제출_체크리스트.html", "👉 [클릭] 체크리스트 열기 📄")</f>
        <v/>
      </c>
      <c r="S41" s="22" t="n"/>
      <c r="T41" s="69" t="inlineStr">
        <is>
          <t>● 하수도법 제34조</t>
        </is>
      </c>
      <c r="U41" s="69" t="inlineStr">
        <is>
          <t>1) 👉 [더블클릭] 체크리스트 열기 📄</t>
        </is>
      </c>
      <c r="V41" s="43" t="n"/>
    </row>
    <row r="42" ht="115.2" customHeight="1">
      <c r="A42" s="22" t="inlineStr">
        <is>
          <t>9000</t>
        </is>
      </c>
      <c r="B42" s="22" t="inlineStr">
        <is>
          <t>9000-4</t>
        </is>
      </c>
      <c r="C42" s="26" t="inlineStr">
        <is>
          <t>건축</t>
        </is>
      </c>
      <c r="D42" s="22" t="inlineStr">
        <is>
          <t>9000-4-41</t>
        </is>
      </c>
      <c r="H42" s="26" t="inlineStr">
        <is>
          <t>전기사용전 검사</t>
        </is>
      </c>
      <c r="I42" s="22" t="inlineStr">
        <is>
          <t>현장소장</t>
        </is>
      </c>
      <c r="J42" s="43" t="inlineStr">
        <is>
          <t>전기사용전 검사 신청</t>
        </is>
      </c>
      <c r="K42" s="44" t="inlineStr">
        <is>
          <t>현장 -&gt; 한국전기안전공사, 전기안전관리법 제9조(사용전검사)
- 서식: 별지 제4호 서식</t>
        </is>
      </c>
      <c r="L42" s="43" t="inlineStr">
        <is>
          <t>전기사용전 검사 필증</t>
        </is>
      </c>
      <c r="M42" s="43" t="inlineStr">
        <is>
          <t>1) 전기사용전 검사 (WBS 9000-4-41) 관련 현장 -&gt; 한국전기안전공사, 전기안전관리법 제9조(사용전검사) 수칙 및 법적 이행 의무를 1:1 준수한다. 또한 KDS 41 00 00 (건축구조기준), KDS 41 17 00 (내진설계기준) 및 KCS 41 00 00 (건축공사 표준시방서) 기술기준을 100% 충족한다.
2) 전기사용전 검사 달성을 위한 필수 시공 방법(현장 -&gt; 한국전기안전공사, 전기안전관리법 제9조(사용전검사) 서식: 별지 제4호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2" s="75">
        <f>HYPERLINK(LEFT(CELL("filename",A1),FIND("[",CELL("filename",A1))-1)&amp;"6.건축\41_전기사용전 검사\표준서\전기사용전 검사_표준서.html", "👉 [클릭] 표준서 열기 📄")</f>
        <v/>
      </c>
      <c r="O42" s="43" t="inlineStr">
        <is>
          <t>1) 전기사용전 검사 (WBS 9000-4-41) 사전 건축 인허가 서식 제출(관할 지자체/소방서), 3D BIM 도서 대조 및 기계·전기·통신 4대 인터페이스 개구부를 확정한다.
2) 실무 작업방법 수칙(현장 -&gt; 한국전기안전공사, 전기안전관리법 제9조(사용전검사) 서식: 별지 제4호 서식)에 따라 철근 이음/피복두께 검측, 거푸집 다짐 양생 및 현장 3대 금기 수칙(피복 미달, 무단 타설)을 완수한다.</t>
        </is>
      </c>
      <c r="P42" s="76">
        <f>HYPERLINK(LEFT(CELL("filename",A1),FIND("[",CELL("filename",A1))-1)&amp;"6.건축\41_전기사용전 검사\수행지침\전기사용전 검사_수행지침.html", "👉 [클릭] 수행지침 열기 📄")</f>
        <v/>
      </c>
      <c r="Q42" s="43" t="inlineStr">
        <is>
          <t>1) 건축법 제11조 및 KDS 41 00 00 건축구조기준에 따라 전기사용전 검사 사전 검토를 수행하였는가? 또한 레미콘 규격(24~30MPa), 철근 시험성적서 및 방수자재 KCS 표준 품질 적격성을 검수하였는가?
2) 미검측 및 정량 시방 미달에 따른 전기사용전 검사 (WBS 9000-4-41) 구조 균열/누수 하자 발생, 개구부 누락 재시공 손실 및 최종 전기사용전 검사 필증 승인 반려 리스크를 전면 차단한다.</t>
        </is>
      </c>
      <c r="R42" s="77">
        <f>HYPERLINK(LEFT(CELL("filename",A1),FIND("[",CELL("filename",A1))-1)&amp;"6.건축\41_전기사용전 검사\체크리스트\전기사용전 검사_체크리스트.html", "👉 [클릭] 체크리스트 열기 📄")</f>
        <v/>
      </c>
      <c r="S42" s="22" t="n"/>
      <c r="T42" s="69" t="inlineStr">
        <is>
          <t>● 전기안전관리법 제9조</t>
        </is>
      </c>
      <c r="U42" s="69" t="inlineStr">
        <is>
          <t>1) 👉 [더블클릭] 체크리스트 열기 📄</t>
        </is>
      </c>
      <c r="V42" s="43" t="n"/>
    </row>
    <row r="43" ht="115.2" customHeight="1">
      <c r="A43" s="22" t="inlineStr">
        <is>
          <t>9000</t>
        </is>
      </c>
      <c r="B43" s="22" t="inlineStr">
        <is>
          <t>9000-4</t>
        </is>
      </c>
      <c r="C43" s="26" t="inlineStr">
        <is>
          <t>건축</t>
        </is>
      </c>
      <c r="D43" s="22" t="inlineStr">
        <is>
          <t>9000-4-42</t>
        </is>
      </c>
      <c r="H43" s="26" t="inlineStr">
        <is>
          <t>승강기 설치검사</t>
        </is>
      </c>
      <c r="I43" s="22" t="inlineStr">
        <is>
          <t>현장소장</t>
        </is>
      </c>
      <c r="J43" s="43" t="inlineStr">
        <is>
          <t>승강기 설치검사 신청</t>
        </is>
      </c>
      <c r="K43" s="44" t="inlineStr">
        <is>
          <t>현장 -&gt; 한국승강기안전공단, 승강기 안전관리법 제28조(승강기 설치)
- 서식: 별지 제23호 서식
- 제출후 처리기간 15일 이내</t>
        </is>
      </c>
      <c r="L43" s="43" t="inlineStr">
        <is>
          <t>승강기 사용필증, 합격증보고서</t>
        </is>
      </c>
      <c r="M43" s="43" t="inlineStr">
        <is>
          <t>1) 승강기 설치검사 (WBS 9000-4-42) 관련 현장 -&gt; 한국승강기안전공단, 승강기 안전관리법 제28조(승강기 설치) 수칙 및 법적 이행 의무를 1:1 준수한다. 또한 KDS 41 00 00 (건축구조기준), KDS 41 17 00 (내진설계기준) 및 KCS 41 00 00 (건축공사 표준시방서) 기술기준을 100% 충족한다.
2) 승강기 설치검사 달성을 위한 필수 시공 방법(현장 -&gt; 한국승강기안전공단, 승강기 안전관리법 제28조(승강기 설치) 서식: 별지 제23호 서식 제출후 처...)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3" s="75">
        <f>HYPERLINK(LEFT(CELL("filename",A1),FIND("[",CELL("filename",A1))-1)&amp;"6.건축\42_승강기 설치검사\표준서\승강기 설치검사_표준서.html", "👉 [클릭] 표준서 열기 📄")</f>
        <v/>
      </c>
      <c r="O43" s="43" t="inlineStr">
        <is>
          <t>1) 승강기 설치검사 (WBS 9000-4-42) 사전 건축 인허가 서식 제출(관할 지자체/소방서), 3D BIM 도서 대조 및 기계·전기·통신 4대 인터페이스 개구부를 확정한다.
2) 실무 작업방법 수칙(현장 -&gt; 한국승강기안전공단, 승강기 안전관리법 제28조(승강기 설치) 서식: 별지 제23호 ...)에 따라 철근 이음/피복두께 검측, 거푸집 다짐 양생 및 현장 3대 금기 수칙(피복 미달, 무단 타설)을 완수한다.</t>
        </is>
      </c>
      <c r="P43" s="76">
        <f>HYPERLINK(LEFT(CELL("filename",A1),FIND("[",CELL("filename",A1))-1)&amp;"6.건축\42_승강기 설치검사\수행지침\승강기 설치검사_수행지침.html", "👉 [클릭] 수행지침 열기 📄")</f>
        <v/>
      </c>
      <c r="Q43" s="43" t="inlineStr">
        <is>
          <t>1) 건축법 제11조 및 KDS 41 00 00 건축구조기준에 따라 승강기 설치검사 사전 검토를 수행하였는가? 또한 레미콘 규격(24~30MPa), 철근 시험성적서 및 방수자재 KCS 표준 품질 적격성을 검수하였는가?
2) 미검측 및 정량 시방 미달에 따른 승강기 설치검사 (WBS 9000-4-42) 구조 균열/누수 하자 발생, 개구부 누락 재시공 손실 및 최종 승강기 사용필증, 합격증보고서 승인 반려 리스크를 전면 차단한다.</t>
        </is>
      </c>
      <c r="R43" s="77">
        <f>HYPERLINK(LEFT(CELL("filename",A1),FIND("[",CELL("filename",A1))-1)&amp;"6.건축\42_승강기 설치검사\체크리스트\승강기 설치검사_체크리스트.html", "👉 [클릭] 체크리스트 열기 📄")</f>
        <v/>
      </c>
      <c r="S43" s="22" t="n"/>
      <c r="T43" s="69" t="inlineStr">
        <is>
          <t>● 승강기 안전관리법 제28조</t>
        </is>
      </c>
      <c r="U43" s="69" t="inlineStr">
        <is>
          <t>1) 👉 [더블클릭] 체크리스트 열기 📄</t>
        </is>
      </c>
      <c r="V43" s="43" t="n"/>
    </row>
    <row r="44" ht="115.2" customHeight="1">
      <c r="A44" s="22" t="inlineStr">
        <is>
          <t>9000</t>
        </is>
      </c>
      <c r="B44" s="22" t="inlineStr">
        <is>
          <t>9000-4</t>
        </is>
      </c>
      <c r="C44" s="26" t="inlineStr">
        <is>
          <t>건축</t>
        </is>
      </c>
      <c r="D44" s="22" t="inlineStr">
        <is>
          <t>9000-4-43</t>
        </is>
      </c>
      <c r="H44" s="26" t="inlineStr">
        <is>
          <t>배수설비 설치 신고서 제출</t>
        </is>
      </c>
      <c r="I44" s="22" t="inlineStr">
        <is>
          <t>현장소장</t>
        </is>
      </c>
      <c r="J44" s="43" t="inlineStr">
        <is>
          <t>배수설비 사용 신청</t>
        </is>
      </c>
      <c r="K44" s="44" t="inlineStr">
        <is>
          <t>현장 -&gt; 관할지자체/하수도법 제27조/별지 제7호 서식/제출후 처리기간 7일 이내</t>
        </is>
      </c>
      <c r="L44" s="43" t="inlineStr">
        <is>
          <t>배수설비 사용필증</t>
        </is>
      </c>
      <c r="M44" s="43" t="inlineStr">
        <is>
          <t>1) 배수설비 설치 신고서 제출 (WBS 9000-4-43) 관련 현장 -&gt; 관할지자체/하수도법 제27조/별지 제7호 서식/제출후 처리기간 7일 이내 수칙 및 법적 이행 의무를 1:1 준수한다. 또한 KDS 41 00 00 (건축구조기준), KDS 41 17 00 (내진설계기준) 및 KCS 41 00 00 (건축공사 표준시방서) 기술기준을 100% 충족한다.
2) 배수설비 설치 신고서 제출 달성을 위한 필수 시공 방법(현장 -&gt; 관할지자체/하수도법 제27조/별지 제7호 서식/제출후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4" s="75">
        <f>HYPERLINK(LEFT(CELL("filename",A1),FIND("[",CELL("filename",A1))-1)&amp;"6.건축\43_배수설비 설치 신고서 제출\표준서\배수설비 설치 신고서 제출_표준서.html", "👉 [클릭] 표준서 열기 📄")</f>
        <v/>
      </c>
      <c r="O44" s="43" t="inlineStr">
        <is>
          <t>1) 배수설비 설치 신고서 제출 (WBS 9000-4-43) 사전 건축 인허가 서식 제출(관할 지자체/소방서), 3D BIM 도서 대조 및 기계·전기·통신 4대 인터페이스 개구부를 확정한다.
2) 실무 작업방법 수칙(현장 -&gt; 관할지자체/하수도법 제27조/별지 제7호 서식/제출후 처리기간 7일 이내)에 따라 철근 이음/피복두께 검측, 거푸집 다짐 양생 및 현장 3대 금기 수칙(피복 미달, 무단 타설)을 완수한다.</t>
        </is>
      </c>
      <c r="P44" s="76">
        <f>HYPERLINK(LEFT(CELL("filename",A1),FIND("[",CELL("filename",A1))-1)&amp;"6.건축\43_배수설비 설치 신고서 제출\수행지침\배수설비 설치 신고서 제출_수행지침.html", "👉 [클릭] 수행지침 열기 📄")</f>
        <v/>
      </c>
      <c r="Q44" s="43" t="inlineStr">
        <is>
          <t>1) 건축법 제11조 및 KDS 41 00 00 건축구조기준에 따라 배수설비 설치 신고서 제출 사전 검토를 수행하였는가? 또한 레미콘 규격(24~30MPa), 철근 시험성적서 및 방수자재 KCS 표준 품질 적격성을 검수하였는가?
2) 미검측 및 정량 시방 미달에 따른 배수설비 설치 신고서 제출 (WBS 9000-4-43) 구조 균열/누수 하자 발생, 개구부 누락 재시공 손실 및 최종 배수설비 사용필증 승인 반려 리스크를 전면 차단한다.</t>
        </is>
      </c>
      <c r="R44" s="77">
        <f>HYPERLINK(LEFT(CELL("filename",A1),FIND("[",CELL("filename",A1))-1)&amp;"6.건축\43_배수설비 설치 신고서 제출\체크리스트\배수설비 설치 신고서 제출_체크리스트.html", "👉 [클릭] 체크리스트 열기 📄")</f>
        <v/>
      </c>
      <c r="S44" s="22" t="n"/>
      <c r="T44" s="69" t="inlineStr">
        <is>
          <t>● 하수도법 제27조</t>
        </is>
      </c>
      <c r="U44" s="69" t="inlineStr">
        <is>
          <t>1) 👉 [더블클릭] 체크리스트 열기 📄</t>
        </is>
      </c>
      <c r="V44" s="43" t="n"/>
    </row>
    <row r="45" ht="96" customHeight="1">
      <c r="A45" s="22" t="inlineStr">
        <is>
          <t>9000</t>
        </is>
      </c>
      <c r="B45" s="22" t="inlineStr">
        <is>
          <t>9000-4</t>
        </is>
      </c>
      <c r="C45" s="26" t="inlineStr">
        <is>
          <t>건축</t>
        </is>
      </c>
      <c r="D45" s="22" t="inlineStr">
        <is>
          <t>9000-4-44</t>
        </is>
      </c>
      <c r="H45" s="26" t="inlineStr">
        <is>
          <t>정보통신공사 사용전검사</t>
        </is>
      </c>
      <c r="I45" s="22" t="inlineStr">
        <is>
          <t>현장소장</t>
        </is>
      </c>
      <c r="J45" s="43" t="inlineStr">
        <is>
          <t>정보통신 설치 사용전 검사신청</t>
        </is>
      </c>
      <c r="K45" s="44" t="inlineStr">
        <is>
          <t>현장 -&gt; 관할지자체, 정보통신공사업 시행령 제36조
- 서식: 해당 법 별지 제9호 서식
- 제출후 처리기간 14일 이내</t>
        </is>
      </c>
      <c r="L45" s="43" t="inlineStr">
        <is>
          <t>정보통신사용전 검사필증</t>
        </is>
      </c>
      <c r="M45" s="43" t="inlineStr">
        <is>
          <t>1) 정보통신공사 사용전검사 (WBS 9000-4-44) 관련 현장 -&gt; 관할지자체, 정보통신공사업 시행령 제36조 수칙 및 법적 이행 의무를 1:1 준수한다. 또한 KDS 41 00 00 (건축구조기준), KDS 41 17 00 (내진설계기준) 및 KCS 41 00 00 (건축공사 표준시방서) 기술기준을 100% 충족한다.
2) 정보통신공사 사용전검사 달성을 위한 필수 시공 방법(현장 -&gt; 관할지자체, 정보통신공사업 시행령 제36조 서식: 해당 법 별지 제9호 서식 제출후 처리기간 14...)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5" s="75">
        <f>HYPERLINK(LEFT(CELL("filename",A1),FIND("[",CELL("filename",A1))-1)&amp;"6.건축\44_정보통신공사 사용전검사\표준서\정보통신공사 사용전검사_표준서.html", "👉 [클릭] 표준서 열기 📄")</f>
        <v/>
      </c>
      <c r="O45" s="43" t="inlineStr">
        <is>
          <t>1) 정보통신공사 사용전검사 (WBS 9000-4-44) 사전 건축 인허가 서식 제출(관할 지자체/소방서), 3D BIM 도서 대조 및 기계·전기·통신 4대 인터페이스 개구부를 확정한다.
2) 실무 작업방법 수칙(현장 -&gt; 관할지자체, 정보통신공사업 시행령 제36조 서식: 해당 법 별지 제9호 서식 제출후...)에 따라 철근 이음/피복두께 검측, 거푸집 다짐 양생 및 현장 3대 금기 수칙(피복 미달, 무단 타설)을 완수한다.</t>
        </is>
      </c>
      <c r="P45" s="76">
        <f>HYPERLINK(LEFT(CELL("filename",A1),FIND("[",CELL("filename",A1))-1)&amp;"6.건축\44_정보통신공사 사용전검사\수행지침\정보통신공사 사용전검사_수행지침.html", "👉 [클릭] 수행지침 열기 📄")</f>
        <v/>
      </c>
      <c r="Q45" s="43" t="inlineStr">
        <is>
          <t>1) 건축법 제11조 및 KDS 41 00 00 건축구조기준에 따라 정보통신공사 사용전검사 사전 검토를 수행하였는가? 또한 레미콘 규격(24~30MPa), 철근 시험성적서 및 방수자재 KCS 표준 품질 적격성을 검수하였는가?
2) 미검측 및 정량 시방 미달에 따른 정보통신공사 사용전검사 (WBS 9000-4-44) 구조 균열/누수 하자 발생, 개구부 누락 재시공 손실 및 최종 정보통신사용전 검사필증 승인 반려 리스크를 전면 차단한다.</t>
        </is>
      </c>
      <c r="R45" s="77">
        <f>HYPERLINK(LEFT(CELL("filename",A1),FIND("[",CELL("filename",A1))-1)&amp;"6.건축\44_정보통신공사 사용전검사\체크리스트\정보통신공사 사용전검사_체크리스트.html", "👉 [클릭] 체크리스트 열기 📄")</f>
        <v/>
      </c>
      <c r="S45" s="22" t="n"/>
      <c r="T45" s="69" t="inlineStr">
        <is>
          <t>● 정보통신공사업 시행령 제36조</t>
        </is>
      </c>
      <c r="U45" s="69" t="inlineStr">
        <is>
          <t>1) 👉 [더블클릭] 체크리스트 열기 📄</t>
        </is>
      </c>
      <c r="V45" s="43" t="n"/>
    </row>
    <row r="46" ht="115.2" customHeight="1">
      <c r="A46" s="22" t="inlineStr">
        <is>
          <t>9000</t>
        </is>
      </c>
      <c r="B46" s="22" t="inlineStr">
        <is>
          <t>9000-4</t>
        </is>
      </c>
      <c r="C46" s="26" t="inlineStr">
        <is>
          <t>건축</t>
        </is>
      </c>
      <c r="D46" s="22" t="inlineStr">
        <is>
          <t>9000-4-45</t>
        </is>
      </c>
      <c r="H46" s="26" t="inlineStr">
        <is>
          <t>오수처리시설 / 정화조 준공검사</t>
        </is>
      </c>
      <c r="I46" s="22" t="inlineStr">
        <is>
          <t>현장소장</t>
        </is>
      </c>
      <c r="J46" s="43" t="inlineStr">
        <is>
          <t>정화조 사용 신청</t>
        </is>
      </c>
      <c r="K46" s="44" t="inlineStr">
        <is>
          <t>현장 -&gt; 관할지자체, 하수도법 제37조
- 서식: 해당 법 별지 제15호 서식
- 제출후 처리기간 5일 이내</t>
        </is>
      </c>
      <c r="L46" s="43" t="inlineStr">
        <is>
          <t>오수처리시설 / 정화조 준공필증</t>
        </is>
      </c>
      <c r="M46" s="43" t="inlineStr">
        <is>
          <t>1) 오수처리시설 / 정화조 준공검사 (WBS 9000-4-45) 관련 현장 -&gt; 관할지자체, 하수도법 제37조 수칙 및 법적 이행 의무를 1:1 준수한다. 또한 KDS 41 00 00 (건축구조기준), KDS 41 17 00 (내진설계기준) 및 KCS 41 00 00 (건축공사 표준시방서) 기술기준을 100% 충족한다.
2) 오수처리시설 / 정화조 준공검사 달성을 위한 필수 시공 방법(현장 -&gt; 관할지자체, 하수도법 제37조 서식: 해당 법 별지 제15호 서식 제출후 처리기간 5일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6" s="75">
        <f>HYPERLINK(LEFT(CELL("filename",A1),FIND("[",CELL("filename",A1))-1)&amp;"6.건축\45_오수처리시설 _ 정화조 준공검사\표준서\오수처리시설 _ 정화조 준공검사_표준서.html", "👉 [클릭] 표준서 열기 📄")</f>
        <v/>
      </c>
      <c r="O46" s="43" t="inlineStr">
        <is>
          <t>1) 오수처리시설 / 정화조 준공검사 (WBS 9000-4-45) 사전 건축 인허가 서식 제출(관할 지자체/소방서), 3D BIM 도서 대조 및 기계·전기·통신 4대 인터페이스 개구부를 확정한다.
2) 실무 작업방법 수칙(현장 -&gt; 관할지자체, 하수도법 제37조 서식: 해당 법 별지 제15호 서식 제출후 처리기간 ...)에 따라 철근 이음/피복두께 검측, 거푸집 다짐 양생 및 현장 3대 금기 수칙(피복 미달, 무단 타설)을 완수한다.</t>
        </is>
      </c>
      <c r="P46" s="76">
        <f>HYPERLINK(LEFT(CELL("filename",A1),FIND("[",CELL("filename",A1))-1)&amp;"6.건축\45_오수처리시설 _ 정화조 준공검사\수행지침\오수처리시설 _ 정화조 준공검사_수행지침.html", "👉 [클릭] 수행지침 열기 📄")</f>
        <v/>
      </c>
      <c r="Q46" s="43" t="inlineStr">
        <is>
          <t>1) 건축법 제11조 및 KDS 41 00 00 건축구조기준에 따라 오수처리시설 / 정화조 준공검사 사전 검토를 수행하였는가? 또한 레미콘 규격(24~30MPa), 철근 시험성적서 및 방수자재 KCS 표준 품질 적격성을 검수하였는가?
2) 미검측 및 정량 시방 미달에 따른 오수처리시설 / 정화조 준공검사 (WBS 9000-4-45) 구조 균열/누수 하자 발생, 개구부 누락 재시공 손실 및 최종 오수처리시설 / 정화조 준공필증 승인 반려 리스크를 전면 차단한다.</t>
        </is>
      </c>
      <c r="R46" s="77">
        <f>HYPERLINK(LEFT(CELL("filename",A1),FIND("[",CELL("filename",A1))-1)&amp;"6.건축\45_오수처리시설 _ 정화조 준공검사\체크리스트\오수처리시설 _ 정화조 준공검사_체크리스트.html", "👉 [클릭] 체크리스트 열기 📄")</f>
        <v/>
      </c>
      <c r="S46" s="22" t="n"/>
      <c r="T46" s="69" t="inlineStr">
        <is>
          <t>● 하수도법 제37조</t>
        </is>
      </c>
      <c r="U46" s="69" t="inlineStr">
        <is>
          <t>1) 👉 [더블클릭] 체크리스트 열기 📄</t>
        </is>
      </c>
      <c r="V46" s="43" t="n"/>
    </row>
    <row r="47" ht="115.2" customHeight="1">
      <c r="A47" s="22" t="inlineStr">
        <is>
          <t>9000</t>
        </is>
      </c>
      <c r="B47" s="22" t="inlineStr">
        <is>
          <t>9000-4</t>
        </is>
      </c>
      <c r="C47" s="26" t="inlineStr">
        <is>
          <t>건축</t>
        </is>
      </c>
      <c r="D47" s="22" t="inlineStr">
        <is>
          <t>9000-4-46</t>
        </is>
      </c>
      <c r="H47" s="26" t="inlineStr">
        <is>
          <t>급수공사 신청서 제출</t>
        </is>
      </c>
      <c r="I47" s="22" t="inlineStr">
        <is>
          <t>현장소장</t>
        </is>
      </c>
      <c r="J47" s="43" t="inlineStr">
        <is>
          <t>급수 사용 신청</t>
        </is>
      </c>
      <c r="K47" s="44" t="inlineStr">
        <is>
          <t>현장 -&gt; 관할지자체, 수도 조례 시행규칙
- 서식: 해당 법 별지 제1호 서식</t>
        </is>
      </c>
      <c r="L47" s="43" t="inlineStr">
        <is>
          <t>급수 사용허가 문서</t>
        </is>
      </c>
      <c r="M47" s="43" t="inlineStr">
        <is>
          <t>1) 급수공사 신청서 제출 (WBS 9000-4-46) 관련 현장 -&gt; 관할지자체, 수도 조례 시행규칙 수칙 및 법적 이행 의무를 1:1 준수한다. 또한 KDS 41 00 00 (건축구조기준), KDS 41 17 00 (내진설계기준) 및 KCS 41 00 00 (건축공사 표준시방서) 기술기준을 100% 충족한다.
2) 급수공사 신청서 제출 달성을 위한 필수 시공 방법(현장 -&gt; 관할지자체, 수도 조례 시행규칙 서식: 해당 법 별지 제1호 서식...)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7" s="75">
        <f>HYPERLINK(LEFT(CELL("filename",A1),FIND("[",CELL("filename",A1))-1)&amp;"6.건축\46_급수공사 신청서 제출\표준서\급수공사 신청서 제출_표준서.html", "👉 [클릭] 표준서 열기 📄")</f>
        <v/>
      </c>
      <c r="O47" s="43" t="inlineStr">
        <is>
          <t>1) 급수공사 신청서 제출 (WBS 9000-4-46) 사전 건축 인허가 서식 제출(관할 지자체/소방서), 3D BIM 도서 대조 및 기계·전기·통신 4대 인터페이스 개구부를 확정한다.
2) 실무 작업방법 수칙(현장 -&gt; 관할지자체, 수도 조례 시행규칙 서식: 해당 법 별지 제1호 서식)에 따라 철근 이음/피복두께 검측, 거푸집 다짐 양생 및 현장 3대 금기 수칙(피복 미달, 무단 타설)을 완수한다.</t>
        </is>
      </c>
      <c r="P47" s="76">
        <f>HYPERLINK(LEFT(CELL("filename",A1),FIND("[",CELL("filename",A1))-1)&amp;"6.건축\46_급수공사 신청서 제출\수행지침\급수공사 신청서 제출_수행지침.html", "👉 [클릭] 수행지침 열기 📄")</f>
        <v/>
      </c>
      <c r="Q47" s="43" t="inlineStr">
        <is>
          <t>1) 건축법 제11조 및 KDS 41 00 00 건축구조기준에 따라 급수공사 신청서 제출 사전 검토를 수행하였는가? 또한 레미콘 규격(24~30MPa), 철근 시험성적서 및 방수자재 KCS 표준 품질 적격성을 검수하였는가?
2) 미검측 및 정량 시방 미달에 따른 급수공사 신청서 제출 (WBS 9000-4-46) 구조 균열/누수 하자 발생, 개구부 누락 재시공 손실 및 최종 급수 사용허가 문서 승인 반려 리스크를 전면 차단한다.</t>
        </is>
      </c>
      <c r="R47" s="77">
        <f>HYPERLINK(LEFT(CELL("filename",A1),FIND("[",CELL("filename",A1))-1)&amp;"6.건축\46_급수공사 신청서 제출\체크리스트\급수공사 신청서 제출_체크리스트.html", "👉 [클릭] 체크리스트 열기 📄")</f>
        <v/>
      </c>
      <c r="S47" s="22" t="n"/>
      <c r="T47" s="69" t="inlineStr">
        <is>
          <t>● 수도 조례 시행규칙</t>
        </is>
      </c>
      <c r="U47" s="69" t="inlineStr">
        <is>
          <t>1) 👉 [더블클릭] 체크리스트 열기 📄</t>
        </is>
      </c>
      <c r="V47" s="43" t="n"/>
    </row>
    <row r="48" ht="115.2" customHeight="1">
      <c r="A48" s="22" t="inlineStr">
        <is>
          <t>9000</t>
        </is>
      </c>
      <c r="B48" s="22" t="inlineStr">
        <is>
          <t>9000-4</t>
        </is>
      </c>
      <c r="C48" s="26" t="inlineStr">
        <is>
          <t>건축</t>
        </is>
      </c>
      <c r="D48" s="22" t="inlineStr">
        <is>
          <t>9000-4-47</t>
        </is>
      </c>
      <c r="H48" s="26" t="inlineStr">
        <is>
          <t>업무대행 건축사 사용승인 검사</t>
        </is>
      </c>
      <c r="I48" s="22" t="inlineStr">
        <is>
          <t>건축사</t>
        </is>
      </c>
      <c r="J48" s="43" t="inlineStr">
        <is>
          <t>업무대행 건축사 확인후 사용승인</t>
        </is>
      </c>
      <c r="K48" s="44" t="inlineStr">
        <is>
          <t>현장 -&gt; 관할지자체, 건축법시행령 제20조(현장조사검사 및 확인 업무대행)
- 서식: 해당 법 별지 제17호 서식</t>
        </is>
      </c>
      <c r="L48" s="43" t="inlineStr">
        <is>
          <t>건축물 사용승인 알림 [공문]</t>
        </is>
      </c>
      <c r="M48" s="43" t="inlineStr">
        <is>
          <t>1) 업무대행 건축사 사용승인 검사 (WBS 9000-4-47) 관련 현장 -&gt; 관할지자체, 건축법시행령 제20조(현장조사검사 및 확인 업무대행) 수칙 및 법적 이행 의무를 1:1 준수한다. 또한 KDS 41 00 00 (건축구조기준), KDS 41 17 00 (내진설계기준) 및 KCS 41 00 00 (건축공사 표준시방서) 기술기준을 100% 충족한다.
2) 업무대행 건축사 사용승인 검사 달성을 위한 필수 시공 방법(현장 -&gt; 관할지자체, 건축법시행령 제20조(현장조사검사 및 확인 업무대행) 서식: 해당 법 별지 제17호 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8" s="75">
        <f>HYPERLINK(LEFT(CELL("filename",A1),FIND("[",CELL("filename",A1))-1)&amp;"6.건축\47_업무대행 건축사 사용승인 검사\표준서\업무대행 건축사 사용승인 검사_표준서.html", "👉 [클릭] 표준서 열기 📄")</f>
        <v/>
      </c>
      <c r="O48" s="43" t="inlineStr">
        <is>
          <t>1) 업무대행 건축사 사용승인 검사 (WBS 9000-4-47) 사전 건축 인허가 서식 제출(관할 지자체/소방서), 3D BIM 도서 대조 및 기계·전기·통신 4대 인터페이스 개구부를 확정한다.
2) 실무 작업방법 수칙(현장 -&gt; 관할지자체, 건축법시행령 제20조(현장조사검사 및 확인 업무대행) 서식: 해당 법 ...)에 따라 철근 이음/피복두께 검측, 거푸집 다짐 양생 및 현장 3대 금기 수칙(피복 미달, 무단 타설)을 완수한다.</t>
        </is>
      </c>
      <c r="P48" s="76">
        <f>HYPERLINK(LEFT(CELL("filename",A1),FIND("[",CELL("filename",A1))-1)&amp;"6.건축\47_업무대행 건축사 사용승인 검사\수행지침\업무대행 건축사 사용승인 검사_수행지침.html", "👉 [클릭] 수행지침 열기 📄")</f>
        <v/>
      </c>
      <c r="Q48" s="43" t="inlineStr">
        <is>
          <t>1) 건축법 제11조 및 KDS 41 00 00 건축구조기준에 따라 업무대행 건축사 사용승인 검사 사전 검토를 수행하였는가? 또한 레미콘 규격(24~30MPa), 철근 시험성적서 및 방수자재 KCS 표준 품질 적격성을 검수하였는가?
2) 미검측 및 정량 시방 미달에 따른 업무대행 건축사 사용승인 검사 (WBS 9000-4-47) 구조 균열/누수 하자 발생, 개구부 누락 재시공 손실 및 최종 건축물 사용승인 알림 [공문] 승인 반려 리스크를 전면 차단한다.</t>
        </is>
      </c>
      <c r="R48" s="77">
        <f>HYPERLINK(LEFT(CELL("filename",A1),FIND("[",CELL("filename",A1))-1)&amp;"6.건축\47_업무대행 건축사 사용승인 검사\체크리스트\업무대행 건축사 사용승인 검사_체크리스트.html", "👉 [클릭] 체크리스트 열기 📄")</f>
        <v/>
      </c>
      <c r="S48" s="22" t="n"/>
      <c r="T48" s="69" t="inlineStr">
        <is>
          <t>● 건축법시행령 제20조</t>
        </is>
      </c>
      <c r="U48" s="69" t="inlineStr">
        <is>
          <t>1) 👉 [더블클릭] 체크리스트 열기 📄</t>
        </is>
      </c>
      <c r="V48" s="43" t="n"/>
    </row>
    <row r="49" ht="115.2" customHeight="1">
      <c r="A49" s="22" t="inlineStr">
        <is>
          <t>9000</t>
        </is>
      </c>
      <c r="B49" s="22" t="inlineStr">
        <is>
          <t>9000-4</t>
        </is>
      </c>
      <c r="C49" s="26" t="inlineStr">
        <is>
          <t>건축</t>
        </is>
      </c>
      <c r="D49" s="22" t="inlineStr">
        <is>
          <t>9000-4-48</t>
        </is>
      </c>
      <c r="H49" s="26" t="inlineStr">
        <is>
          <t>건축물 사용승인 신청</t>
        </is>
      </c>
      <c r="I49" s="22" t="inlineStr">
        <is>
          <t>현장소장</t>
        </is>
      </c>
      <c r="J49" s="43" t="inlineStr">
        <is>
          <t>건축물 사용승인 신청</t>
        </is>
      </c>
      <c r="K49" s="44" t="inlineStr">
        <is>
          <t>현장 -&gt; 관할지자체, 건축법 제22조(건축물의 사용승인)
- 서식: 해당 법 별지 제17호 서식
- 제출후 처리기간 7일 이내</t>
        </is>
      </c>
      <c r="L49" s="43" t="inlineStr">
        <is>
          <t>건축물 사용승인 알림 [공문]</t>
        </is>
      </c>
      <c r="M49" s="43" t="inlineStr">
        <is>
          <t>1) 건축물 사용승인 신청 (WBS 9000-4-48) 관련 현장 -&gt; 관할지자체, 건축법 제22조(건축물의 사용승인) 수칙 및 법적 이행 의무를 1:1 준수한다. 또한 KDS 41 00 00 (건축구조기준), KDS 41 17 00 (내진설계기준) 및 KCS 41 00 00 (건축공사 표준시방서) 기술기준을 100% 충족한다.
2) 건축물 사용승인 신청 달성을 위한 필수 시공 방법(현장 -&gt; 관할지자체, 건축법 제22조(건축물의 사용승인) 서식: 해당 법 별지 제17호 서식 제출후 처리기...)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49" s="75">
        <f>HYPERLINK(LEFT(CELL("filename",A1),FIND("[",CELL("filename",A1))-1)&amp;"6.건축\48_건축물 사용승인 신청\표준서\건축물 사용승인 신청_표준서.html", "👉 [클릭] 표준서 열기 📄")</f>
        <v/>
      </c>
      <c r="O49" s="43" t="inlineStr">
        <is>
          <t>1) 건축물 사용승인 신청 (WBS 9000-4-48) 사전 건축 인허가 서식 제출(관할 지자체/소방서), 3D BIM 도서 대조 및 기계·전기·통신 4대 인터페이스 개구부를 확정한다.
2) 실무 작업방법 수칙(현장 -&gt; 관할지자체, 건축법 제22조(건축물의 사용승인) 서식: 해당 법 별지 제17호 서식...)에 따라 철근 이음/피복두께 검측, 거푸집 다짐 양생 및 현장 3대 금기 수칙(피복 미달, 무단 타설)을 완수한다.</t>
        </is>
      </c>
      <c r="P49" s="76">
        <f>HYPERLINK(LEFT(CELL("filename",A1),FIND("[",CELL("filename",A1))-1)&amp;"6.건축\48_건축물 사용승인 신청\수행지침\건축물 사용승인 신청_수행지침.html", "👉 [클릭] 수행지침 열기 📄")</f>
        <v/>
      </c>
      <c r="Q49" s="43" t="inlineStr">
        <is>
          <t>1) 건축법 제11조 및 KDS 41 00 00 건축구조기준에 따라 건축물 사용승인 신청 사전 검토를 수행하였는가? 또한 레미콘 규격(24~30MPa), 철근 시험성적서 및 방수자재 KCS 표준 품질 적격성을 검수하였는가?
2) 미검측 및 정량 시방 미달에 따른 건축물 사용승인 신청 (WBS 9000-4-48) 구조 균열/누수 하자 발생, 개구부 누락 재시공 손실 및 최종 건축물 사용승인 알림 [공문] 승인 반려 리스크를 전면 차단한다.</t>
        </is>
      </c>
      <c r="R49" s="77">
        <f>HYPERLINK(LEFT(CELL("filename",A1),FIND("[",CELL("filename",A1))-1)&amp;"6.건축\48_건축물 사용승인 신청\체크리스트\건축물 사용승인 신청_체크리스트.html", "👉 [클릭] 체크리스트 열기 📄")</f>
        <v/>
      </c>
      <c r="S49" s="22" t="n"/>
      <c r="T49" s="69" t="inlineStr">
        <is>
          <t>● 건축법 제22조</t>
        </is>
      </c>
      <c r="U49" s="69" t="inlineStr">
        <is>
          <t>1) 👉 [더블클릭] 체크리스트 열기 📄</t>
        </is>
      </c>
      <c r="V49" s="43" t="n"/>
    </row>
    <row r="50" ht="115.2" customHeight="1">
      <c r="A50" s="22" t="inlineStr">
        <is>
          <t>9000</t>
        </is>
      </c>
      <c r="B50" s="22" t="inlineStr">
        <is>
          <t>9000-4</t>
        </is>
      </c>
      <c r="C50" s="26" t="inlineStr">
        <is>
          <t>건축</t>
        </is>
      </c>
      <c r="D50" s="22" t="inlineStr">
        <is>
          <t>9000-4-49</t>
        </is>
      </c>
      <c r="H50" s="26" t="inlineStr">
        <is>
          <t>건축물대장 등재</t>
        </is>
      </c>
      <c r="I50" s="22" t="inlineStr">
        <is>
          <t>현장 및 지자체</t>
        </is>
      </c>
      <c r="J50" s="43" t="inlineStr">
        <is>
          <t>건축물대장 등재</t>
        </is>
      </c>
      <c r="K50" s="44" t="inlineStr">
        <is>
          <t>현장 -&gt; 관할지자체 -&gt; 관할지자체, 건축물대장의 기재 12조, 처리기간 7일 이내</t>
        </is>
      </c>
      <c r="L50" s="43" t="inlineStr">
        <is>
          <t>건축물 대장 등재 확인</t>
        </is>
      </c>
      <c r="M50" s="43" t="inlineStr">
        <is>
          <t>1) 건축물대장 등재 (WBS 9000-4-49) 관련 현장 -&gt; 관할지자체 -&gt; 관할지자체, 건축물대장의 기재 12조, 처리기간 7일 이내 수칙 및 법적 이행 의무를 1:1 준수한다. 또한 KDS 41 00 00 (건축구조기준), KDS 41 17 00 (내진설계기준) 및 KCS 41 00 00 (건축공사 표준시방서) 기술기준을 100% 충족한다.
2) 건축물대장 등재 달성을 위한 필수 시공 방법(현장 -&gt; 관할지자체 -&gt; 관할지자체, 건축물대장의 기재 12조, 처리기간 7일 이내...)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0" s="75">
        <f>HYPERLINK(LEFT(CELL("filename",A1),FIND("[",CELL("filename",A1))-1)&amp;"6.건축\49_건축물대장 등재\표준서\건축물대장 등재_표준서.html", "👉 [클릭] 표준서 열기 📄")</f>
        <v/>
      </c>
      <c r="O50" s="43" t="inlineStr">
        <is>
          <t>1) 건축물대장 등재 (WBS 9000-4-49) 사전 건축 인허가 서식 제출(관할 지자체/소방서), 3D BIM 도서 대조 및 기계·전기·통신 4대 인터페이스 개구부를 확정한다.
2) 실무 작업방법 수칙(현장 -&gt; 관할지자체 -&gt; 관할지자체, 건축물대장의 기재 12조, 처리기간 7일 이내)에 따라 철근 이음/피복두께 검측, 거푸집 다짐 양생 및 현장 3대 금기 수칙(피복 미달, 무단 타설)을 완수한다.</t>
        </is>
      </c>
      <c r="P50" s="76">
        <f>HYPERLINK(LEFT(CELL("filename",A1),FIND("[",CELL("filename",A1))-1)&amp;"6.건축\49_건축물대장 등재\수행지침\건축물대장 등재_수행지침.html", "👉 [클릭] 수행지침 열기 📄")</f>
        <v/>
      </c>
      <c r="Q50" s="43" t="inlineStr">
        <is>
          <t>1) 건축법 제11조 및 KDS 41 00 00 건축구조기준에 따라 건축물대장 등재 사전 검토를 수행하였는가? 또한 레미콘 규격(24~30MPa), 철근 시험성적서 및 방수자재 KCS 표준 품질 적격성을 검수하였는가?
2) 미검측 및 정량 시방 미달에 따른 건축물대장 등재 (WBS 9000-4-49) 구조 균열/누수 하자 발생, 개구부 누락 재시공 손실 및 최종 건축물 대장 등재 확인 승인 반려 리스크를 전면 차단한다.</t>
        </is>
      </c>
      <c r="R50" s="77">
        <f>HYPERLINK(LEFT(CELL("filename",A1),FIND("[",CELL("filename",A1))-1)&amp;"6.건축\49_건축물대장 등재\체크리스트\건축물대장 등재_체크리스트.html", "👉 [클릭] 체크리스트 열기 📄")</f>
        <v/>
      </c>
      <c r="S50" s="22" t="n"/>
      <c r="T50" s="69" t="inlineStr">
        <is>
          <t>● 건축물대장의 기재 및 관리 등에 관한 규칙 제12조</t>
        </is>
      </c>
      <c r="U50" s="69" t="inlineStr">
        <is>
          <t>1) 👉 [더블클릭] 체크리스트 열기 📄</t>
        </is>
      </c>
      <c r="V50" s="43" t="n"/>
    </row>
    <row r="51" ht="134.4" customHeight="1">
      <c r="A51" s="22" t="inlineStr">
        <is>
          <t>9000</t>
        </is>
      </c>
      <c r="B51" s="22" t="inlineStr">
        <is>
          <t>9000-4</t>
        </is>
      </c>
      <c r="C51" s="26" t="inlineStr">
        <is>
          <t>건축</t>
        </is>
      </c>
      <c r="D51" s="22" t="inlineStr">
        <is>
          <t>9000-4-50</t>
        </is>
      </c>
      <c r="H51" s="26" t="inlineStr">
        <is>
          <t>후속 구조물 인계</t>
        </is>
      </c>
      <c r="I51" s="22" t="inlineStr">
        <is>
          <t>현장소장</t>
        </is>
      </c>
      <c r="J51" s="43" t="inlineStr">
        <is>
          <t>유지관리기관에 인계</t>
        </is>
      </c>
      <c r="K51" s="44" t="inlineStr">
        <is>
          <t>건축 인허가 서류 및 준공도서 인계
- 건축인허가 서류: 승강기 사용필증, 소방시설 완공검사 증명서, 전기사용전 검사 필증 등
- 준공도서: 준공도면, 시방서, 내역서, 각종 계산서(구조 등), 유지관리 지침서 등
- 유지관리기관 준공전 검사 수행 및 잔손보기(지적 조치 등)</t>
        </is>
      </c>
      <c r="L51" s="43" t="inlineStr">
        <is>
          <t>유지관리기관 인수인계서, 건축 인허가 서류, 준공도서</t>
        </is>
      </c>
      <c r="M51" s="43" t="inlineStr">
        <is>
          <t>1) 후속 구조물 인계 (WBS 9000-4-50) 관련 건축 인허가 서류 및 준공도서 인계 수칙 및 법적 이행 의무를 1:1 준수한다. 또한 KDS 41 00 00 (건축구조기준), KDS 41 17 00 (내진설계기준) 및 KCS 41 00 00 (건축공사 표준시방서) 기술기준을 100% 충족한다.
2) 후속 구조물 인계 달성을 위한 필수 시공 방법(건축 인허가 서류 및 준공도서 인계 건축인허가 서류: 승강기 사용필증, 소방시설 완공검사 증명서, 전기사용전...) 및 국가 기술 규격을 엄격히 보장한다. 이에 따라 구조 안전성 100% 입증, 누수/균열 하자 0건 달성 및 책임감리원 최종 결재를 완료하여 지자체 건축물 사용승인(준공) 필증을 획득한다.</t>
        </is>
      </c>
      <c r="N51" s="75">
        <f>HYPERLINK(LEFT(CELL("filename",A1),FIND("[",CELL("filename",A1))-1)&amp;"6.건축\50_후속 구조물 인계\표준서\후속 구조물 인계_표준서.html", "👉 [클릭] 표준서 열기 📄")</f>
        <v/>
      </c>
      <c r="O51" s="43" t="inlineStr">
        <is>
          <t>1) 후속 구조물 인계 (WBS 9000-4-50) 사전 건축 인허가 서식 제출(관할 지자체/소방서), 3D BIM 도서 대조 및 기계·전기·통신 4대 인터페이스 개구부를 확정한다.
2) 실무 작업방법 수칙(건축 인허가 서류 및 준공도서 인계 건축인허가 서류: 승강기 사용필증, 소방시설 완공검사 증명...)에 따라 철근 이음/피복두께 검측, 거푸집 다짐 양생 및 현장 3대 금기 수칙(피복 미달, 무단 타설)을 완수한다.</t>
        </is>
      </c>
      <c r="P51" s="76">
        <f>HYPERLINK(LEFT(CELL("filename",A1),FIND("[",CELL("filename",A1))-1)&amp;"6.건축\50_후속 구조물 인계\수행지침\후속 구조물 인계_수행지침.html", "👉 [클릭] 수행지침 열기 📄")</f>
        <v/>
      </c>
      <c r="Q51" s="43" t="inlineStr">
        <is>
          <t>1) 건축법 제11조 및 KDS 41 00 00 건축구조기준에 따라 후속 구조물 인계 사전 검토를 수행하였는가? 또한 레미콘 규격(24~30MPa), 철근 시험성적서 및 방수자재 KCS 표준 품질 적격성을 검수하였는가?
2) 미검측 및 정량 시방 미달에 따른 후속 구조물 인계 (WBS 9000-4-50) 구조 균열/누수 하자 발생, 개구부 누락 재시공 손실 및 최종 유지관리기관 인수인계서, 건축 인허가 서류, 준공도서 승인 반려 리스크를 전면 차단한다.</t>
        </is>
      </c>
      <c r="R51" s="77">
        <f>HYPERLINK(LEFT(CELL("filename",A1),FIND("[",CELL("filename",A1))-1)&amp;"6.건축\50_후속 구조물 인계\체크리스트\후속 구조물 인계_체크리스트.html", "👉 [클릭] 체크리스트 열기 📄")</f>
        <v/>
      </c>
      <c r="S51" s="22" t="n"/>
      <c r="T51" s="69" t="inlineStr">
        <is>
          <t>● 인수인계 및 시설물 유지관리 기준 준수</t>
        </is>
      </c>
      <c r="U51" s="69" t="inlineStr">
        <is>
          <t>1) 👉 [더블클릭] 체크리스트 열기 📄</t>
        </is>
      </c>
      <c r="V51" s="43" t="n"/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  <hyperlink xmlns:r="http://schemas.openxmlformats.org/officeDocument/2006/relationships" ref="T34" r:id="rId65"/>
    <hyperlink xmlns:r="http://schemas.openxmlformats.org/officeDocument/2006/relationships" ref="U34" r:id="rId66"/>
    <hyperlink xmlns:r="http://schemas.openxmlformats.org/officeDocument/2006/relationships" ref="T35" r:id="rId67"/>
    <hyperlink xmlns:r="http://schemas.openxmlformats.org/officeDocument/2006/relationships" ref="U35" r:id="rId68"/>
    <hyperlink xmlns:r="http://schemas.openxmlformats.org/officeDocument/2006/relationships" ref="T36" r:id="rId69"/>
    <hyperlink xmlns:r="http://schemas.openxmlformats.org/officeDocument/2006/relationships" ref="U36" r:id="rId70"/>
    <hyperlink xmlns:r="http://schemas.openxmlformats.org/officeDocument/2006/relationships" ref="T37" r:id="rId71"/>
    <hyperlink xmlns:r="http://schemas.openxmlformats.org/officeDocument/2006/relationships" ref="U37" r:id="rId72"/>
    <hyperlink xmlns:r="http://schemas.openxmlformats.org/officeDocument/2006/relationships" ref="T38" r:id="rId73"/>
    <hyperlink xmlns:r="http://schemas.openxmlformats.org/officeDocument/2006/relationships" ref="U38" r:id="rId74"/>
    <hyperlink xmlns:r="http://schemas.openxmlformats.org/officeDocument/2006/relationships" ref="T39" r:id="rId75"/>
    <hyperlink xmlns:r="http://schemas.openxmlformats.org/officeDocument/2006/relationships" ref="U39" r:id="rId76"/>
    <hyperlink xmlns:r="http://schemas.openxmlformats.org/officeDocument/2006/relationships" ref="T40" r:id="rId77"/>
    <hyperlink xmlns:r="http://schemas.openxmlformats.org/officeDocument/2006/relationships" ref="U40" r:id="rId78"/>
    <hyperlink xmlns:r="http://schemas.openxmlformats.org/officeDocument/2006/relationships" ref="T41" r:id="rId79"/>
    <hyperlink xmlns:r="http://schemas.openxmlformats.org/officeDocument/2006/relationships" ref="U41" r:id="rId80"/>
    <hyperlink xmlns:r="http://schemas.openxmlformats.org/officeDocument/2006/relationships" ref="T42" r:id="rId81"/>
    <hyperlink xmlns:r="http://schemas.openxmlformats.org/officeDocument/2006/relationships" ref="U42" r:id="rId82"/>
    <hyperlink xmlns:r="http://schemas.openxmlformats.org/officeDocument/2006/relationships" ref="T43" r:id="rId83"/>
    <hyperlink xmlns:r="http://schemas.openxmlformats.org/officeDocument/2006/relationships" ref="U43" r:id="rId84"/>
    <hyperlink xmlns:r="http://schemas.openxmlformats.org/officeDocument/2006/relationships" ref="T44" r:id="rId85"/>
    <hyperlink xmlns:r="http://schemas.openxmlformats.org/officeDocument/2006/relationships" ref="U44" r:id="rId86"/>
    <hyperlink xmlns:r="http://schemas.openxmlformats.org/officeDocument/2006/relationships" ref="T45" r:id="rId87"/>
    <hyperlink xmlns:r="http://schemas.openxmlformats.org/officeDocument/2006/relationships" ref="U45" r:id="rId88"/>
    <hyperlink xmlns:r="http://schemas.openxmlformats.org/officeDocument/2006/relationships" ref="T46" r:id="rId89"/>
    <hyperlink xmlns:r="http://schemas.openxmlformats.org/officeDocument/2006/relationships" ref="U46" r:id="rId90"/>
    <hyperlink xmlns:r="http://schemas.openxmlformats.org/officeDocument/2006/relationships" ref="T47" r:id="rId91"/>
    <hyperlink xmlns:r="http://schemas.openxmlformats.org/officeDocument/2006/relationships" ref="U47" r:id="rId92"/>
    <hyperlink xmlns:r="http://schemas.openxmlformats.org/officeDocument/2006/relationships" ref="T48" r:id="rId93"/>
    <hyperlink xmlns:r="http://schemas.openxmlformats.org/officeDocument/2006/relationships" ref="U48" r:id="rId94"/>
    <hyperlink xmlns:r="http://schemas.openxmlformats.org/officeDocument/2006/relationships" ref="T49" r:id="rId95"/>
    <hyperlink xmlns:r="http://schemas.openxmlformats.org/officeDocument/2006/relationships" ref="U49" r:id="rId96"/>
    <hyperlink xmlns:r="http://schemas.openxmlformats.org/officeDocument/2006/relationships" ref="T50" r:id="rId97"/>
    <hyperlink xmlns:r="http://schemas.openxmlformats.org/officeDocument/2006/relationships" ref="U50" r:id="rId98"/>
    <hyperlink xmlns:r="http://schemas.openxmlformats.org/officeDocument/2006/relationships" ref="T51" r:id="rId99"/>
    <hyperlink xmlns:r="http://schemas.openxmlformats.org/officeDocument/2006/relationships" ref="U51" r:id="rId100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5" verticalDpi="0"/>
  <colBreaks count="1" manualBreakCount="1">
    <brk id="19" min="0" max="1048575" man="1"/>
  </colBreaks>
</worksheet>
</file>

<file path=xl/worksheets/sheet7.xml><?xml version="1.0" encoding="utf-8"?>
<worksheet xmlns="http://schemas.openxmlformats.org/spreadsheetml/2006/main">
  <sheetPr codeName="Sheet7">
    <tabColor rgb="FFFFFF00"/>
    <outlinePr summaryBelow="1" summaryRight="1"/>
    <pageSetUpPr/>
  </sheetPr>
  <dimension ref="A1:V39"/>
  <sheetViews>
    <sheetView view="pageBreakPreview" zoomScale="25" zoomScaleNormal="70" zoomScaleSheetLayoutView="25" workbookViewId="0">
      <pane xSplit="2" ySplit="1" topLeftCell="K5" activePane="bottomRight" state="frozen"/>
      <selection pane="topRight" activeCell="C1" sqref="C1"/>
      <selection pane="bottomLeft" activeCell="A2" sqref="A2"/>
      <selection pane="bottomRight" activeCell="Q6" sqref="Q6"/>
    </sheetView>
  </sheetViews>
  <sheetFormatPr baseColWidth="8" defaultRowHeight="17.4"/>
  <cols>
    <col width="8.796875" customWidth="1" style="1" min="1" max="3"/>
    <col width="16" customWidth="1" style="2" min="4" max="4"/>
    <col width="8.796875" customWidth="1" style="1" min="5" max="5"/>
    <col width="16" customWidth="1" style="2" min="6" max="7"/>
    <col width="23" customWidth="1" style="2" min="8" max="8"/>
    <col width="20.19921875" customWidth="1" style="2" min="9" max="9"/>
    <col width="38.3984375" customWidth="1" style="2" min="10" max="10"/>
    <col width="69" customWidth="1" style="32" min="11" max="11"/>
    <col width="21.3984375" customWidth="1" style="2" min="12" max="12"/>
    <col width="48.8984375" customWidth="1" style="32" min="13" max="13"/>
    <col width="14.19921875" customWidth="1" style="1" min="14" max="14"/>
    <col width="55.69921875" customWidth="1" style="32" min="15" max="15"/>
    <col width="12.19921875" customWidth="1" style="1" min="16" max="16"/>
    <col width="53.796875" customWidth="1" style="32" min="17" max="17"/>
    <col width="15.09765625" customWidth="1" style="30" min="18" max="18"/>
    <col width="18" customWidth="1" style="1" min="19" max="19"/>
    <col width="45" customWidth="1" style="30" min="20" max="20"/>
    <col width="22" customWidth="1" style="30" min="21" max="21"/>
    <col width="45" customWidth="1" style="1" min="22" max="38"/>
    <col width="8.796875" customWidth="1" style="1" min="39" max="75"/>
    <col width="8.796875" customWidth="1" style="1" min="76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일정 (D-Day)</t>
        </is>
      </c>
      <c r="H1" s="6" t="inlineStr">
        <is>
          <t>작업단위 (Level 4 Task/Activity)</t>
        </is>
      </c>
      <c r="I1" s="6" t="inlineStr">
        <is>
          <t>주관</t>
        </is>
      </c>
      <c r="J1" s="6" t="inlineStr">
        <is>
          <t>목적</t>
        </is>
      </c>
      <c r="K1" s="31" t="inlineStr">
        <is>
          <t>방법</t>
        </is>
      </c>
      <c r="L1" s="6" t="inlineStr">
        <is>
          <t>산출물(결과)</t>
        </is>
      </c>
      <c r="M1" s="31" t="inlineStr">
        <is>
          <t>표준서 (Standard) 요약</t>
        </is>
      </c>
      <c r="N1" s="7" t="inlineStr">
        <is>
          <t>표준서 파일 (HTML)</t>
        </is>
      </c>
      <c r="O1" s="31" t="inlineStr">
        <is>
          <t>수행지침 (Guideline) 요약</t>
        </is>
      </c>
      <c r="P1" s="7" t="inlineStr">
        <is>
          <t>수행지침 파일 (HTML)</t>
        </is>
      </c>
      <c r="Q1" s="31" t="inlineStr">
        <is>
          <t>체크리스트 (Checklist) 요약</t>
        </is>
      </c>
      <c r="R1" s="10" t="inlineStr">
        <is>
          <t>체크리스트 파일 (HTML)</t>
        </is>
      </c>
      <c r="S1" s="8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0" customHeight="1">
      <c r="A2" s="17" t="inlineStr">
        <is>
          <t>9000</t>
        </is>
      </c>
      <c r="B2" s="17" t="inlineStr">
        <is>
          <t>9000-1</t>
        </is>
      </c>
      <c r="C2" s="28" t="inlineStr">
        <is>
          <t>신호분야</t>
        </is>
      </c>
      <c r="D2" s="17" t="inlineStr">
        <is>
          <t>9000-1-1</t>
        </is>
      </c>
      <c r="E2" s="28" t="n"/>
      <c r="F2" s="17">
        <f>D3</f>
        <v/>
      </c>
      <c r="G2" s="17" t="inlineStr">
        <is>
          <t>D-300~240</t>
        </is>
      </c>
      <c r="H2" s="28" t="inlineStr">
        <is>
          <t>설계적정성 검토</t>
        </is>
      </c>
      <c r="I2" s="17" t="inlineStr">
        <is>
          <t>현장 공무팀</t>
        </is>
      </c>
      <c r="J2" s="28" t="inlineStr">
        <is>
          <t>설계적정성 및 시공성 검토
설계오류 확인 및 수량, 내역의 오류확인</t>
        </is>
      </c>
      <c r="K2" s="37" t="inlineStr">
        <is>
          <t>- 입찰 요구사항에 대한 설계 반영여부 검토
- 설계도서 및 표준 자재(트램신호, 도로신호) 반영여부 확인
- 본선 및 차량기지 규모에 맞는 시스템 및 전자연동장치 구성의 적정성 검토
- 본선 및 차량기지에 맞는 트램신호, 도로신호 설비 배치의 적정성 검토
- SIL 인증제품 및 철도형식승인 제품적용, 경찰정 표준에 부합하는 제품 여부 확인
- 독과점 / 외산 / 특허 여부 확인
- 현장설치 시공성 및 원가 Risk 검토
- 공정계획의 적정성 검토</t>
        </is>
      </c>
      <c r="L2" s="17" t="inlineStr">
        <is>
          <t>회의록, 설계검토보고서</t>
        </is>
      </c>
      <c r="M2" s="38" t="inlineStr">
        <is>
          <t>1) 설계적정성 검토(WBS 9000-1-1) 과업 달성을 위해 SIL 4 전자연동장치 및 응답지연(≤100ms) 성능 사양의 설계도서 대조를 완료하라.
2) 철도 표준 자재(KRS) 및 분산형 CBI 용량, 선로전환기(4.5~6.0kN) 적정성을 검증하고 승인 보고서를 완수하라.</t>
        </is>
      </c>
      <c r="N2" s="75">
        <f>HYPERLINK(LEFT(CELL("filename",A1),FIND("[",CELL("filename",A1))-1)&amp;"7.신호분야\1_설계적정성 검토\표준서\설계적정성 검토_표준서.html", "👉 [클릭] 표준서 열기 📄")</f>
        <v/>
      </c>
      <c r="O2" s="38" t="inlineStr">
        <is>
          <t>1) 입찰 요구사항 상의 기술 스펙 및 자재 규격을 시방서와 사전 대조하십시오.
2) 분산형 CBI 및 선로전환기 용량의 현장 시공성 및 원가 Risk를 철저히 검토하여 승인을 획득하십시오.</t>
        </is>
      </c>
      <c r="P2" s="76">
        <f>HYPERLINK(LEFT(CELL("filename",A1),FIND("[",CELL("filename",A1))-1)&amp;"7.신호분야\1_설계적정성 검토\수행지침\LTE-R_무선_AP를_통한_신호_제어_데이터_송수신_레벨_상세절차서.html", "👉 [클릭] 수행지침 열기 📄")</f>
        <v/>
      </c>
      <c r="Q2" s="38" t="inlineStr">
        <is>
          <t>1) 입찰 안내서 상의 SIL 4 등급 및 무선지연(≤100ms) 사양이 설계 도서에 반영되었는가?
2) 철도 표준 자재(KRS) 규격 및 매립 선로전환기 전환력(4.5~6.0kN) 기준을 적격 확인하였는가?</t>
        </is>
      </c>
      <c r="R2" s="81">
        <f>HYPERLINK(LEFT(CELL("filename",A1),FIND("[",CELL("filename",A1))-1)&amp;"7.신호분야\1_설계적정성 검토\체크리스트\설계적정성 검토_체크리스트.html", "👉 [클릭] 체크리스트 열기 📄")</f>
        <v/>
      </c>
      <c r="S2" s="9" t="n"/>
      <c r="T2" s="73" t="inlineStr">
        <is>
          <t>● 관련분야 설계기준서 준수</t>
        </is>
      </c>
      <c r="U2" s="73" t="inlineStr">
        <is>
          <t>1) 👉 [더블클릭] 체크리스트 열기 📄</t>
        </is>
      </c>
      <c r="V2" s="29" t="n"/>
    </row>
    <row r="3" ht="297.6" customHeight="1">
      <c r="A3" s="17" t="inlineStr">
        <is>
          <t>a</t>
        </is>
      </c>
      <c r="B3" s="17" t="inlineStr">
        <is>
          <t>9000-1</t>
        </is>
      </c>
      <c r="C3" s="28" t="inlineStr">
        <is>
          <t>신호분야</t>
        </is>
      </c>
      <c r="D3" s="17" t="inlineStr">
        <is>
          <t>9000-1-2</t>
        </is>
      </c>
      <c r="E3" s="28">
        <f>D2</f>
        <v/>
      </c>
      <c r="F3" s="17">
        <f>D4</f>
        <v/>
      </c>
      <c r="G3" s="17" t="inlineStr">
        <is>
          <t>D-240~D-210</t>
        </is>
      </c>
      <c r="H3" s="28" t="inlineStr">
        <is>
          <t>착수준비 KOM</t>
        </is>
      </c>
      <c r="I3" s="17" t="inlineStr">
        <is>
          <t>현장소장</t>
        </is>
      </c>
      <c r="J3" s="28" t="inlineStr">
        <is>
          <t>신호(트램신호, 도로신호)공사 발주 전 착수수립
신호공사 발주전략 수립
발주조건 CP 사항 검토</t>
        </is>
      </c>
      <c r="K3" s="39" t="inlineStr">
        <is>
          <t>- 설계(트램신호, 도로신호) 및 현장여건 검토
- 신호설비 공사 시공성 및 하자발생 리스크 검토
- 본사 실무 협의를 거쳐 현장에 전파토록 현장공무 검토
1) 공통계획 및 보완지침 계획 수립
2) 외주 발주/수급 사전 준비 및 기술 지원
3) 시공전 신호자재 확인 및 기술 지원
4) 예상내역 및 누락 아이템 보완
- 신호설비 공사 시공실적 업체Pool 검토
- 현설조건 검토
1) 공정계획 및 신호자재 제작 기간
2) 안전성 검증을 위한 SIL 인증보유
3) 철도안전용품 인증 및 경찰청 표준규격
4) 예비품 및 소모품 확인
5) 시운전 신호자재 운전 및 교육 지원
6) 예산내역서 누락 아이템 여부</t>
        </is>
      </c>
      <c r="L3" s="17" t="inlineStr">
        <is>
          <t>본사 외주/수행/협의 부서, 착수 KOM 결과보고서, 현장설명서</t>
        </is>
      </c>
      <c r="M3" s="38" t="inlineStr">
        <is>
          <t>1) 착수준비 KOM(WBS 9000-1-2) 과업을 위해 신호(트램/도로) 공사 발주전략 수립 및 CP사항 사전 검토를 완료하라.
2) 외주 수급, 신기술자재 확인, 내역 누락 방지 조치 및 SIL 인증보유 적격 업체 Pool을 확정하라.</t>
        </is>
      </c>
      <c r="N3" s="75">
        <f>HYPERLINK(LEFT(CELL("filename",A1),FIND("[",CELL("filename",A1))-1)&amp;"7.신호분야\2_착수준비 KOM\표준서\착수준비 KOM_표준서.html", "👉 [클릭] 표준서 열기 📄")</f>
        <v/>
      </c>
      <c r="O3" s="38" t="inlineStr">
        <is>
          <t>1) 신호공사 발주 전 착수 수립 시 본사 실무 협의를 거쳐 현장 전파 및 시공성 리스크를 점검하십시오.
2) 공정계획, 안전성 SIL 인증, 무상 A/S 및 철도안전법 준수 자재 투입 계획을 사전에 확인하십시오.</t>
        </is>
      </c>
      <c r="P3" s="76">
        <f>HYPERLINK(LEFT(CELL("filename",A1),FIND("[",CELL("filename",A1))-1)&amp;"7.신호분야\2_착수준비 KOM\수행지침\LTE-R_무선_AP를_통한_신호_제어_데이터_송수신_레벨_상세절차서.html", "👉 [클릭] 수행지침 열기 📄")</f>
        <v/>
      </c>
      <c r="Q3" s="38" t="inlineStr">
        <is>
          <t>1) 신호공사 발주 조건 CP 사항 및 하자발생 리스크 사전 검토 수칙을 수행하였는가?
2) 적격 업체 Pool 검토 및 내역 누락 방지 조치, SIL 인증 보유 여부를 확인하였는가?</t>
        </is>
      </c>
      <c r="R3" s="81">
        <f>HYPERLINK(LEFT(CELL("filename",A1),FIND("[",CELL("filename",A1))-1)&amp;"7.신호분야\2_착수준비 KOM\체크리스트\착수준비 KOM_체크리스트.html", "👉 [클릭] 체크리스트 열기 📄")</f>
        <v/>
      </c>
      <c r="S3" s="9" t="n"/>
      <c r="T3" s="73" t="inlineStr">
        <is>
          <t>● 관련분야 설계기준서 준수</t>
        </is>
      </c>
      <c r="U3" s="73" t="inlineStr">
        <is>
          <t>1) 👉 [더블클릭] 체크리스트 열기 📄</t>
        </is>
      </c>
      <c r="V3" s="29" t="n"/>
    </row>
    <row r="4" ht="358.2" customHeight="1">
      <c r="A4" s="17" t="inlineStr">
        <is>
          <t>9000</t>
        </is>
      </c>
      <c r="B4" s="17" t="inlineStr">
        <is>
          <t>9000-1</t>
        </is>
      </c>
      <c r="C4" s="28" t="inlineStr">
        <is>
          <t>신호분야</t>
        </is>
      </c>
      <c r="D4" s="17" t="inlineStr">
        <is>
          <t>9000-1-3</t>
        </is>
      </c>
      <c r="E4" s="28">
        <f>D3</f>
        <v/>
      </c>
      <c r="F4" s="17">
        <f>D5</f>
        <v/>
      </c>
      <c r="G4" s="17" t="inlineStr">
        <is>
          <t>D-90</t>
        </is>
      </c>
      <c r="H4" s="28" t="inlineStr">
        <is>
          <t>착수전 Big Room 회의</t>
        </is>
      </c>
      <c r="I4" s="17" t="inlineStr">
        <is>
          <t>현장소장</t>
        </is>
      </c>
      <c r="J4" s="28" t="inlineStr">
        <is>
          <t>신규공사 수행 시, 선행공정 간섭 및 공종 Risk에 대해 대책 수립</t>
        </is>
      </c>
      <c r="K4" s="40" t="inlineStr">
        <is>
          <t>본사(신호/토목/노반/전기/건축/기계/통신) 및 분야별 세부설계 검토
- 토목/궤도 I/F 사항 검토(시공계획 확인, 궤도 시공전 블록아웃 I/F 협의)
- 전기/통신/차량 I/F 사항 검토(분야별 I/F 사항 정리)
- 시운전 I/F 사항 검토(시운전 계획, 시험항목, 시험기간, 배치인원, 사전점검사항 등)
- 관제 및 운영사 I/F 사항 검토(관제분야 및 운영사 요구사항등)
- 인원, 자재, 장비 투입계획, 양중장비 운영계획 검토
- 분야별 인터페이스 협의(궤도, 토목, 건축, 기계설비) 표준 지침서 배포
- 현장 및 본사 Risk 요인 도출 및 대책 수립
- 타 공정 및 분야별 Risk 분석 대안(도로/궤도/신호공사 수행 공동조정/안전)
- 본사/현장/협력사 협의체 구축을 통한 세부내용 검토
- 신호자재/기자재 반입로 및 야적장/제작사 공장 검토
- 신호자재 성능보증: 유사사례 적용실적 및 성능보증 사항 검토
- 하자 예방: 타 프로젝트 하자사례 검토 후, 동일제품 적용 방지방안 수립
- SIL(Safety Integration Level) 인증제품 도입:  전자연동장치, 차상신호장치, 차축검지기, 선로전환기
- 당사의 장비 안전검사 기준 공유, 장비검사 계획 확인
- 관계기관 인허가 및 협의
1) 화성시/수원시 교통센터, 경찰청 교차로 신호 운영 체계 및 연계 협의</t>
        </is>
      </c>
      <c r="L4" s="17" t="inlineStr">
        <is>
          <t>Big Room 회의록(지침 전파 서명)</t>
        </is>
      </c>
      <c r="M4" s="38" t="inlineStr">
        <is>
          <t>1) 착수전 Big Room 회의(WBS 9000-1-3)를 통해 본사 및 각 분야(토목/궤도/전기/건축/기계/통신) 간 시공 인터페이스를 대조하라.
2) 궤도 시공 전 블록아웃, 배수로, 선로전환기, 차축검지기 설치 I/F 항목을 사전 확정하라.</t>
        </is>
      </c>
      <c r="N4" s="75">
        <f>HYPERLINK(LEFT(CELL("filename",A1),FIND("[",CELL("filename",A1))-1)&amp;"7.신호분야\3_착수전 Big Room 회의\표준서\착수전 Big Room 회의_표준서.html", "👉 [클릭] 표준서 열기 📄")</f>
        <v/>
      </c>
      <c r="O4" s="38" t="inlineStr">
        <is>
          <t>1) 신규공사 수행 시 선행공정 간섭 및 공종 Risk 대책 회의를 주관하십시오.
2) 궤도 시공 전 블록아웃 및 선로전환기 설치 I/F에 대해 각 분야 담당자와의 협의록을 작성하십시오.</t>
        </is>
      </c>
      <c r="P4" s="76">
        <f>HYPERLINK(LEFT(CELL("filename",A1),FIND("[",CELL("filename",A1))-1)&amp;"7.신호분야\3_착수전 Big Room 회의\수행지침\LTE-R_무선_AP를_통한_신호_제어_데이터_송수신_레벨_상세절차서.html", "👉 [클릭] 수행지침 열기 📄")</f>
        <v/>
      </c>
      <c r="Q4" s="38" t="inlineStr">
        <is>
          <t>1) 본사 및 분야별(토목/궤도/전기/건축/통신) 세부설계 인터페이스를 검토하였는가?
2) 궤도 시공 전 블록아웃 및 차축검지기 설치 I/F 사전 대책을 수립하였는가?</t>
        </is>
      </c>
      <c r="R4" s="81">
        <f>HYPERLINK(LEFT(CELL("filename",A1),FIND("[",CELL("filename",A1))-1)&amp;"7.신호분야\3_착수전 Big Room 회의\체크리스트\착수전 Big Room 회의_체크리스트.html", "👉 [클릭] 체크리스트 열기 📄")</f>
        <v/>
      </c>
      <c r="S4" s="9" t="n"/>
      <c r="T4" s="73" t="inlineStr">
        <is>
          <t>● 관련분야 설계기준서 준수</t>
        </is>
      </c>
      <c r="U4" s="73" t="inlineStr">
        <is>
          <t>1) 👉 [더블클릭] 체크리스트 열기 📄</t>
        </is>
      </c>
      <c r="V4" s="29" t="n"/>
    </row>
    <row r="5" ht="218.4" customHeight="1">
      <c r="A5" s="17" t="inlineStr">
        <is>
          <t>9000</t>
        </is>
      </c>
      <c r="B5" s="17" t="inlineStr">
        <is>
          <t>9000-1</t>
        </is>
      </c>
      <c r="C5" s="28" t="inlineStr">
        <is>
          <t>신호분야</t>
        </is>
      </c>
      <c r="D5" s="17" t="inlineStr">
        <is>
          <t>9000-1-4</t>
        </is>
      </c>
      <c r="E5" s="28">
        <f>D4</f>
        <v/>
      </c>
      <c r="F5" s="17">
        <f>D6</f>
        <v/>
      </c>
      <c r="G5" s="17" t="inlineStr">
        <is>
          <t>D-90
(D180~90)</t>
        </is>
      </c>
      <c r="H5" s="28" t="inlineStr">
        <is>
          <t>전기 / 통신 / 건축 / 도로 / 궤도 / 차량 등 인터페이스 협의</t>
        </is>
      </c>
      <c r="I5" s="17" t="inlineStr">
        <is>
          <t>현장 시스템팀</t>
        </is>
      </c>
      <c r="J5" s="28" t="inlineStr">
        <is>
          <t>완벽한 시스템 조율 및 인터페이스 협의</t>
        </is>
      </c>
      <c r="K5" s="40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5" s="17" t="inlineStr">
        <is>
          <t>인터페이스 회의록 및 관리대장</t>
        </is>
      </c>
      <c r="M5" s="38" t="inlineStr">
        <is>
          <t>1) 시스템 조율(WBS 9000-1-4)을 위해 전기/통신/건축/도로/궤도/차량 분야 간 시공 인터페이스를 조율하라.
2) 궤도 시공 전 블록아웃, 배수로, 융설장치, 차축검지기 설치 I/F 승인서를 완수하라.</t>
        </is>
      </c>
      <c r="N5" s="75">
        <f>HYPERLINK(LEFT(CELL("filename",A1),FIND("[",CELL("filename",A1))-1)&amp;"7.신호분야\4_전기 _ 통신 _ PSD _ 차량 인터페이스 협의\표준서\전기 _ 통신 _ PSD _ 차량 인터페이스 협의_표준서.html", "👉 [클릭] 표준서 열기 📄")</f>
        <v/>
      </c>
      <c r="O5" s="38" t="inlineStr">
        <is>
          <t>1) 토목/궤도 단계별 시공계획을 확인하고 기계실 배선 및 현장 장치 설치 I/F를 조율하십시오.
2) 차축검지기 및 융설장치 체결 부위의 치수 적정성을 서면으로 확인하십시오.</t>
        </is>
      </c>
      <c r="P5" s="76">
        <f>HYPERLINK(LEFT(CELL("filename",A1),FIND("[",CELL("filename",A1))-1)&amp;"7.신호분야\4_전기 _ 통신 _ PSD _ 차량 인터페이스 협의\수행지침\LTE-R_무선_AP를_통한_신호_제어_데이터_송수신_레벨_상세절차서.html", "👉 [클릭] 수행지침 열기 📄")</f>
        <v/>
      </c>
      <c r="Q5" s="38" t="inlineStr">
        <is>
          <t>1) 토목/궤도 시공 전 블록아웃 및 배수로 설치 I/F를 사전 확인하였는가?
2) 차량기지 및 본선 선로전환기/차축검지기 체결 인터페이스를 조율하였는가?</t>
        </is>
      </c>
      <c r="R5" s="81">
        <f>HYPERLINK(LEFT(CELL("filename",A1),FIND("[",CELL("filename",A1))-1)&amp;"7.신호분야\4_전기 _ 통신 _ PSD _ 차량 인터페이스 협의\체크리스트\전기 _ 통신 _ PSD _ 차량 인터페이스 협의_체크리스트.html", "👉 [클릭] 체크리스트 열기 📄")</f>
        <v/>
      </c>
      <c r="S5" s="9" t="n"/>
      <c r="T5" s="73" t="inlineStr">
        <is>
          <t>● 관련분야 설계기준서 준수</t>
        </is>
      </c>
      <c r="U5" s="73" t="inlineStr">
        <is>
          <t>1) 👉 [더블클릭] 체크리스트 열기 📄</t>
        </is>
      </c>
      <c r="V5" s="29" t="n"/>
    </row>
    <row r="6" ht="119.4" customHeight="1">
      <c r="A6" s="17" t="inlineStr">
        <is>
          <t>9000</t>
        </is>
      </c>
      <c r="B6" s="17" t="inlineStr">
        <is>
          <t>9000-1</t>
        </is>
      </c>
      <c r="C6" s="28" t="inlineStr">
        <is>
          <t>신호분야</t>
        </is>
      </c>
      <c r="D6" s="17" t="inlineStr">
        <is>
          <t>9000-1-5</t>
        </is>
      </c>
      <c r="E6" s="28">
        <f>D5</f>
        <v/>
      </c>
      <c r="F6" s="17">
        <f>D7</f>
        <v/>
      </c>
      <c r="G6" s="17" t="inlineStr">
        <is>
          <t>토목공사
수행시</t>
        </is>
      </c>
      <c r="H6" s="28" t="inlineStr">
        <is>
          <t>도로 / 궤도 인터페이스 협의</t>
        </is>
      </c>
      <c r="I6" s="17" t="inlineStr">
        <is>
          <t>현장 시스템팀</t>
        </is>
      </c>
      <c r="J6" s="28" t="inlineStr">
        <is>
          <t>선로선형 설계를 위한 사전조정 및 트램 운행 최적화</t>
        </is>
      </c>
      <c r="K6" s="39" t="inlineStr">
        <is>
          <t>- 유관기관 피드백 수렴/조정 및 요구사항 확인
- 궤도 분기기 통과 요구사항 검토 및 확인
- 궤도/토목 단계별 시공계획 확인
- 궤도 시공전 블록아웃 등 I/F사항 협의
- 선로전환기 어스박스 설치, 차축검지기 설치, 궤도 천공위치등 협의
- 배수설비 설치 관련 사항 협의</t>
        </is>
      </c>
      <c r="L6" s="17" t="inlineStr">
        <is>
          <t>궤도/신호 요구사항 및 회의록</t>
        </is>
      </c>
      <c r="M6" s="38" t="inlineStr">
        <is>
          <t>1) 도로/궤도 I/F(WBS 9000-1-5) 달성을 위해 선로선형 및 궤도 분기기 통과 요구사항을 검토하라.
2) 도심 매립 궤도용 선로전환기(전환력 4.5~6.0kN, 유격 ≤1.5mm) 설치 조건 및 유관기관 피드백을 반영하라.</t>
        </is>
      </c>
      <c r="N6" s="75">
        <f>HYPERLINK(LEFT(CELL("filename",A1),FIND("[",CELL("filename",A1))-1)&amp;"7.신호분야\5_도로 _ 궤도 인터페이스 협의\표준서\도로 _ 궤도 인터페이스 협의_표준서.html", "👉 [클릭] 표준서 열기 📄")</f>
        <v/>
      </c>
      <c r="O6" s="38" t="inlineStr">
        <is>
          <t>1) 유관기관 피드백 수렴 및 궤도 분기기 통과 요구사항을 사전 조정하십시오.
2) 도로 교차로 노면 매립 궤도 시공계획과 선로전환기 설치 위치 적정성을 확인하십시오.</t>
        </is>
      </c>
      <c r="P6" s="76">
        <f>HYPERLINK(LEFT(CELL("filename",A1),FIND("[",CELL("filename",A1))-1)&amp;"7.신호분야\5_도로 _ 궤도 인터페이스 협의\수행지침\LTE-R_무선_AP를_통한_신호_제어_데이터_송수신_레벨_상세절차서.html", "👉 [클릭] 수행지침 열기 📄")</f>
        <v/>
      </c>
      <c r="Q6" s="38" t="inlineStr">
        <is>
          <t>1) 궤도 분기기 통과 요구사항 및 선로선형 사전조정 결과를 확인하였는가?
2) 노면 매립형 선로전환기(전환력 4.5~6.0kN, 유격 ≤1.5mm) 시공조건을 검토하였는가?</t>
        </is>
      </c>
      <c r="R6" s="81">
        <f>HYPERLINK(LEFT(CELL("filename",A1),FIND("[",CELL("filename",A1))-1)&amp;"7.신호분야\5_도로 _ 궤도 인터페이스 협의\체크리스트\도로 _ 궤도 인터페이스 협의_체크리스트.html", "👉 [클릭] 체크리스트 열기 📄")</f>
        <v/>
      </c>
      <c r="S6" s="9" t="n"/>
      <c r="T6" s="73" t="inlineStr">
        <is>
          <t>● 관련분야 설계기준서 준수</t>
        </is>
      </c>
      <c r="U6" s="73" t="inlineStr">
        <is>
          <t>1) 👉 [더블클릭] 체크리스트 열기 📄</t>
        </is>
      </c>
      <c r="V6" s="29" t="n"/>
    </row>
    <row r="7" ht="204.6" customHeight="1">
      <c r="A7" s="17" t="inlineStr">
        <is>
          <t>9000</t>
        </is>
      </c>
      <c r="B7" s="17" t="inlineStr">
        <is>
          <t>9000-1</t>
        </is>
      </c>
      <c r="C7" s="28" t="inlineStr">
        <is>
          <t>신호분야</t>
        </is>
      </c>
      <c r="D7" s="17" t="inlineStr">
        <is>
          <t>9000-1-6</t>
        </is>
      </c>
      <c r="E7" s="28">
        <f>D6</f>
        <v/>
      </c>
      <c r="F7" s="17">
        <f>D8</f>
        <v/>
      </c>
      <c r="G7" s="17" t="inlineStr">
        <is>
          <t>D-90
(D180~90)</t>
        </is>
      </c>
      <c r="H7" s="28" t="inlineStr">
        <is>
          <t>시공전 인터페이스 협의</t>
        </is>
      </c>
      <c r="I7" s="17" t="inlineStr">
        <is>
          <t>현장 시스템팀</t>
        </is>
      </c>
      <c r="J7" s="28" t="inlineStr">
        <is>
          <t>시스템의 설계 보완 검토를 진행하고 완벽한 연계를 위한 설계</t>
        </is>
      </c>
      <c r="K7" s="39" t="inlineStr">
        <is>
          <t>- 토목/궤도분야 인터페이스
1) 단계별 시공계획 확인
2) 궤도 시공전 블록아웃, 배수로, 선로전환기, 융설장치, 차축검지기 설치 I/F
- 전기/통신/도로/차량 인터페이스
1) (전기) 상용전원투입 및 접지단자함 설치
2) (통신) 통신망 연결을 위한 회선제공
3) (통신) 공용Pole 사용에 따른 인터페이스(굴착공사/공용 배관 배선 활용 등)
4) (차량) 차상신호 및 열차종합제어장치(TCMS) 인터페이스 협의
5) (차량) 지상신호설비 및 선형에 따른 지상/차상 장치 연계방안 협의
6) (전기/통신) UPS 통합 사용 관련 Feeder 공급 또는 할당 
7) (건축) 기계실 및 관제실 A/F 설치, 면척 및 기기 배치, 출입문 크기 등</t>
        </is>
      </c>
      <c r="L7" s="17" t="inlineStr">
        <is>
          <t>인터페이스 보고서 및 인터페이스 회의록</t>
        </is>
      </c>
      <c r="M7" s="38" t="inlineStr">
        <is>
          <t>1) 시공전 인터페이스(WBS 9000-1-6)를 통해 시스템 설계 보완 및 연계 방안을 정밀 검토하라.
2) 배관배선 인입구, 구조물 간섭 및 궤도 시공 전 설치 항목을 개시 전 차단하라.</t>
        </is>
      </c>
      <c r="N7" s="75">
        <f>HYPERLINK(LEFT(CELL("filename",A1),FIND("[",CELL("filename",A1))-1)&amp;"7.신호분야\6_시공전 인터페이스 협의\표준서\시공전 인터페이스 협의_표준서.html", "👉 [클릭] 표준서 열기 📄")</f>
        <v/>
      </c>
      <c r="O7" s="38" t="inlineStr">
        <is>
          <t>1) 시스템 설계 보완검토를 통해 연계 시공 시 발생 가능한 간섭을 사전에 제거하십시오.
2) 궤도 시공 전 블록아웃 및 케이블 인입 배관의 간섭 여부를 정밀 확인하십시오.</t>
        </is>
      </c>
      <c r="P7" s="76">
        <f>HYPERLINK(LEFT(CELL("filename",A1),FIND("[",CELL("filename",A1))-1)&amp;"7.신호분야\6_시공전 인터페이스 협의\수행지침\LTE-R_무선_AP를_통한_신호_제어_데이터_송수신_레벨_상세절차서.html", "👉 [클릭] 수행지침 열기 📄")</f>
        <v/>
      </c>
      <c r="Q7" s="38" t="inlineStr">
        <is>
          <t>1) 시스템 설계 보완 검토를 통해 연계 설치 방안을 확정하였는가?
2) 케이블 인입 배관 및 궤도 블록아웃 간섭을 사전 제거하였는가?</t>
        </is>
      </c>
      <c r="R7" s="81">
        <f>HYPERLINK(LEFT(CELL("filename",A1),FIND("[",CELL("filename",A1))-1)&amp;"7.신호분야\6_시공전 인터페이스 협의\체크리스트\시공전 인터페이스 협의_체크리스트.html", "👉 [클릭] 체크리스트 열기 📄")</f>
        <v/>
      </c>
      <c r="S7" s="9" t="n"/>
      <c r="T7" s="73" t="inlineStr">
        <is>
          <t>● 관련분야 설계기준서 준수</t>
        </is>
      </c>
      <c r="U7" s="73" t="inlineStr">
        <is>
          <t>1) 👉 [더블클릭] 체크리스트 열기 📄</t>
        </is>
      </c>
      <c r="V7" s="29" t="n"/>
    </row>
    <row r="8" ht="127.8" customHeight="1">
      <c r="A8" s="17" t="inlineStr">
        <is>
          <t>9000</t>
        </is>
      </c>
      <c r="B8" s="17" t="inlineStr">
        <is>
          <t>9000-1</t>
        </is>
      </c>
      <c r="C8" s="28" t="inlineStr">
        <is>
          <t>신호분야</t>
        </is>
      </c>
      <c r="D8" s="17" t="inlineStr">
        <is>
          <t>9000-1-7</t>
        </is>
      </c>
      <c r="E8" s="28">
        <f>D7</f>
        <v/>
      </c>
      <c r="F8" s="17">
        <f>D9</f>
        <v/>
      </c>
      <c r="G8" s="17" t="inlineStr">
        <is>
          <t>D-90
(D180~90)</t>
        </is>
      </c>
      <c r="H8" s="28" t="inlineStr">
        <is>
          <t>시스템 장비검토 사전 협의사항 도출 및 검토</t>
        </is>
      </c>
      <c r="I8" s="17" t="inlineStr">
        <is>
          <t>현장 시스템팀</t>
        </is>
      </c>
      <c r="J8" s="28" t="inlineStr">
        <is>
          <t>완벽한 시스템 연계 및 동작성 확보를 위한 가이드라인 제공</t>
        </is>
      </c>
      <c r="K8" s="41" t="inlineStr">
        <is>
          <t>- 성능보증 기능성 신호자재 단품 Spec 검토
- 제조사 자체 시험 및 인증 확인
- 설치 시공대장 및 제작도서 승인 서명</t>
        </is>
      </c>
      <c r="L8" s="17" t="inlineStr">
        <is>
          <t>자체 검증서 및 제작도서 승인 서류</t>
        </is>
      </c>
      <c r="M8" s="38" t="inlineStr">
        <is>
          <t>1) 장비 사전검토(WBS 9000-1-7)를 위해 기능성 신호자재 단품 Spec 및 성능보증 사양을 검토하라.
2) 제조사 자체 시험 성적서, KRS 표준 규격 및 제작도서 승인 서명을 완수하라.</t>
        </is>
      </c>
      <c r="N8" s="75">
        <f>HYPERLINK(LEFT(CELL("filename",A1),FIND("[",CELL("filename",A1))-1)&amp;"7.신호분야\7_시스템 장비검토 사전 협의사항 도출 및 검토\표준서\시스템 장비검토 사전 협의사항 도출 및 검토_표준서.html", "👉 [클릭] 표준서 열기 📄")</f>
        <v/>
      </c>
      <c r="O8" s="38" t="inlineStr">
        <is>
          <t>1) 신호자재 단품 Spec 검토 및 제조사 자체 시험성적서를 확인하십시오.
2) 제작도서 승인 서명 및 현장 투입 전 성능보증 기능을 검증하십시오.</t>
        </is>
      </c>
      <c r="P8" s="76">
        <f>HYPERLINK(LEFT(CELL("filename",A1),FIND("[",CELL("filename",A1))-1)&amp;"7.신호분야\7_시스템 장비검토 사전 협의사항 도출 및 검토\수행지침\CBI_CPU_2중화_절체_반응_속도(≤0.5초)_검토_상세절차서.html", "👉 [클릭] 수행지침 열기 📄")</f>
        <v/>
      </c>
      <c r="Q8" s="38" t="inlineStr">
        <is>
          <t>1) 성능보증 기능성 신호자재 단품 Spec 검토를 완료하였는가?
2) 제조사 공장검수 성적서 및 제작도서 승인 서명을 확인하였는가?</t>
        </is>
      </c>
      <c r="R8" s="81">
        <f>HYPERLINK(LEFT(CELL("filename",A1),FIND("[",CELL("filename",A1))-1)&amp;"7.신호분야\7_시스템 장비검토 사전 협의사항 도출 및 검토\체크리스트\시스템 장비검토 사전 협의사항 도출 및 검토_체크리스트.html", "👉 [클릭] 체크리스트 열기 📄")</f>
        <v/>
      </c>
      <c r="S8" s="9" t="n"/>
      <c r="T8" s="73" t="inlineStr">
        <is>
          <t>● 관련분야 설계기준서 준수</t>
        </is>
      </c>
      <c r="U8" s="73" t="inlineStr">
        <is>
          <t>1) 👉 [더블클릭] 체크리스트 열기 📄</t>
        </is>
      </c>
      <c r="V8" s="29" t="n"/>
    </row>
    <row r="9" ht="104.4" customHeight="1">
      <c r="A9" s="17" t="inlineStr">
        <is>
          <t>9000</t>
        </is>
      </c>
      <c r="B9" s="17" t="inlineStr">
        <is>
          <t>9000-1</t>
        </is>
      </c>
      <c r="C9" s="28" t="inlineStr">
        <is>
          <t>신호분야</t>
        </is>
      </c>
      <c r="D9" s="17" t="inlineStr">
        <is>
          <t>9000-1-8</t>
        </is>
      </c>
      <c r="E9" s="28">
        <f>D8</f>
        <v/>
      </c>
      <c r="F9" s="17">
        <f>D10</f>
        <v/>
      </c>
      <c r="G9" s="17" t="inlineStr">
        <is>
          <t>D-90
(D180~90)</t>
        </is>
      </c>
      <c r="H9" s="28" t="inlineStr">
        <is>
          <t>관제 및 운영사 인터페이스 협의</t>
        </is>
      </c>
      <c r="I9" s="17" t="inlineStr">
        <is>
          <t>현장 시스템팀</t>
        </is>
      </c>
      <c r="J9" s="28" t="inlineStr">
        <is>
          <t>관제 및 운영사 요구사항 사전 반영 및 시공신뢰 확보</t>
        </is>
      </c>
      <c r="K9" s="39" t="inlineStr">
        <is>
          <t>- 시운전시 조율사항 및 예비사항 도출
- 신호제어 운영사 실무 조율 및 협의
- 철도관제를 위한 관제사 조작반 및 화면표시 정보에 대한 사전협의 항목 도출
- 설계내용 중 신호설비 운영 및 유지보수자 편의성 향상을 위한 기능추가 / 불필요 기능 삭제 사전협의</t>
        </is>
      </c>
      <c r="L9" s="17" t="inlineStr">
        <is>
          <t>인터페이스 회의록 및 관리대장</t>
        </is>
      </c>
      <c r="M9" s="38" t="inlineStr">
        <is>
          <t>1) 관제/운영사 I/F(WBS 9000-1-8) 달성을 위해 종합관제실(OCC) 요구사항을 시공 전 반영하라.
2) 철도관제를 위한 관제사 조작반 MMI 및 예비관제 1:1 실시간 DB 동기화를 검증하라.</t>
        </is>
      </c>
      <c r="N9" s="75">
        <f>HYPERLINK(LEFT(CELL("filename",A1),FIND("[",CELL("filename",A1))-1)&amp;"7.신호분야\8_관제 및 운영사 인터페이스 협의\표준서\관제 및 운영사 인터페이스 협의_표준서.html", "👉 [클릭] 표준서 열기 📄")</f>
        <v/>
      </c>
      <c r="O9" s="38" t="inlineStr">
        <is>
          <t>1) 관제 및 운영사 실무 조율을 거쳐 시운전 시 예비사항 및 조작반 화면표시 정보를 도출하십시오.
2) 관제센터 MMI 화면 및 조작반 정보의 실시간 동기화 상태를 확인하십시오.</t>
        </is>
      </c>
      <c r="P9" s="76">
        <f>HYPERLINK(LEFT(CELL("filename",A1),FIND("[",CELL("filename",A1))-1)&amp;"7.신호분야\8_관제 및 운영사 인터페이스 협의\수행지침\LTE-R_무선_AP를_통한_신호_제어_데이터_송수신_레벨_상세절차서.html", "👉 [클릭] 수행지침 열기 📄")</f>
        <v/>
      </c>
      <c r="Q9" s="38" t="inlineStr">
        <is>
          <t>1) 시운전 시 조율사항 및 예비사항 도출을 완료하였는가?
2) 철도관제를 위한 관제사 조작반 MMI 표시 정보를 사전 검토하였는가?</t>
        </is>
      </c>
      <c r="R9" s="81">
        <f>HYPERLINK(LEFT(CELL("filename",A1),FIND("[",CELL("filename",A1))-1)&amp;"7.신호분야\8_관제 및 운영사 인터페이스 협의\체크리스트\관제 및 운영사 인터페이스 협의_체크리스트.html", "👉 [클릭] 체크리스트 열기 📄")</f>
        <v/>
      </c>
      <c r="S9" s="9" t="n"/>
      <c r="T9" s="73" t="inlineStr">
        <is>
          <t>● 관련분야 설계기준서 준수</t>
        </is>
      </c>
      <c r="U9" s="73" t="inlineStr">
        <is>
          <t>1) 👉 [더블클릭] 체크리스트 열기 📄</t>
        </is>
      </c>
      <c r="V9" s="29" t="n"/>
    </row>
    <row r="10" ht="104.4" customHeight="1">
      <c r="A10" s="17" t="inlineStr">
        <is>
          <t>9000</t>
        </is>
      </c>
      <c r="B10" s="17" t="inlineStr">
        <is>
          <t>9000-1</t>
        </is>
      </c>
      <c r="C10" s="28" t="inlineStr">
        <is>
          <t>신호분야</t>
        </is>
      </c>
      <c r="D10" s="17" t="inlineStr">
        <is>
          <t>9000-1-9</t>
        </is>
      </c>
      <c r="E10" s="28">
        <f>D9</f>
        <v/>
      </c>
      <c r="F10" s="17">
        <f>D11</f>
        <v/>
      </c>
      <c r="G10" s="17" t="inlineStr">
        <is>
          <t>D-90
(D180~90)</t>
        </is>
      </c>
      <c r="H10" s="28" t="inlineStr">
        <is>
          <t>자재 / 인원 / 장비 및 투입 사전 검토</t>
        </is>
      </c>
      <c r="I10" s="17" t="inlineStr">
        <is>
          <t>현장 시스템팀 / 협력사 / 관리감독자</t>
        </is>
      </c>
      <c r="J10" s="28" t="inlineStr">
        <is>
          <t>자재/인원/장비 투입 계획 수립</t>
        </is>
      </c>
      <c r="K10" s="41" t="inlineStr">
        <is>
          <t>현장 여건 및 수량을 기준으로 투입 인원, 장비 계획 규명
- 현장여건 및 궤도 시공계획 검토에 따른 시공계획 작성
- 시공계획 작성에 따른 인력투입계획, 자재수급계획, 장비투입계획 작성
- 시공계획 작성에 따른 관계기관(경찰청, 지자체 교통센터) 협의사항 도출
- 공사에 따른 민원 또는 발주처 관계기관 요구사항 점검</t>
        </is>
      </c>
      <c r="L10" s="17" t="inlineStr">
        <is>
          <t>세부 공정계획 수립 및 보고</t>
        </is>
      </c>
      <c r="M10" s="38" t="inlineStr">
        <is>
          <t>1) 자재/인원/장비 계획(WBS 9000-1-9) 수립을 위해 현장 수량 기준 투입 계획을 승인하라.
2) 현장 여건 및 궤도 시공계획 맞춤형 투입 schedule 작성 및 수급 조정을 완수하라.</t>
        </is>
      </c>
      <c r="N10" s="75">
        <f>HYPERLINK(LEFT(CELL("filename",A1),FIND("[",CELL("filename",A1))-1)&amp;"7.신호분야\9_자재 _ 인원 _ 장비 및 투입 사전 검토\표준서\자재 _ 인원 _ 장비 및 투입 사전 검토_표준서.html", "👉 [클릭] 표준서 열기 📄")</f>
        <v/>
      </c>
      <c r="O10" s="38" t="inlineStr">
        <is>
          <t>1) 현장 여건 및 수량을 기준으로 투입 인원, 장비 계획서를 작성하여 감리단 승인을 받으십시오.
2) 궤도 시공계획과 연계된 자재 반입 및 작업원 투입 스케줄을 조정하십시오.</t>
        </is>
      </c>
      <c r="P10" s="76">
        <f>HYPERLINK(LEFT(CELL("filename",A1),FIND("[",CELL("filename",A1))-1)&amp;"7.신호분야\9_자재 _ 인원 _ 장비 및 투입 사전 검토\수행지침\LTE-R_무선_AP를_통한_신호_제어_데이터_송수신_레벨_상세절차서.html", "👉 [클릭] 수행지침 열기 📄")</f>
        <v/>
      </c>
      <c r="Q10" s="38" t="inlineStr">
        <is>
          <t>1) 현장 수량 기준 투입 인원 및 장비 계획 규명서를 작성하였는가?
2) 궤도 시공계획 연계 투입 스케줄 감리단 승인을 획득하였는가?</t>
        </is>
      </c>
      <c r="R10" s="81">
        <f>HYPERLINK(LEFT(CELL("filename",A1),FIND("[",CELL("filename",A1))-1)&amp;"7.신호분야\9_자재 _ 인원 _ 장비 및 투입 사전 검토\체크리스트\자재 _ 인원 _ 장비 및 투입 사전 검토_체크리스트.html", "👉 [클릭] 체크리스트 열기 📄")</f>
        <v/>
      </c>
      <c r="S10" s="9" t="n"/>
      <c r="T10" s="73" t="inlineStr">
        <is>
          <t>● 관련분야 설계기준서 준수</t>
        </is>
      </c>
      <c r="U10" s="73" t="inlineStr">
        <is>
          <t>1) 👉 [더블클릭] 체크리스트 열기 📄</t>
        </is>
      </c>
      <c r="V10" s="29" t="n"/>
    </row>
    <row r="11" ht="104.4" customHeight="1">
      <c r="A11" s="17" t="inlineStr">
        <is>
          <t>9000</t>
        </is>
      </c>
      <c r="B11" s="17" t="inlineStr">
        <is>
          <t>9000-1</t>
        </is>
      </c>
      <c r="C11" s="28" t="inlineStr">
        <is>
          <t>신호분야</t>
        </is>
      </c>
      <c r="D11" s="17" t="inlineStr">
        <is>
          <t>9000-1-10</t>
        </is>
      </c>
      <c r="E11" s="28">
        <f>D10</f>
        <v/>
      </c>
      <c r="F11" s="17">
        <f>D12</f>
        <v/>
      </c>
      <c r="G11" s="17" t="inlineStr">
        <is>
          <t>D-90
(D180~90)</t>
        </is>
      </c>
      <c r="H11" s="28" t="inlineStr">
        <is>
          <t>장비반입 및 안전교육</t>
        </is>
      </c>
      <c r="I11" s="17" t="inlineStr">
        <is>
          <t>현장 시스템팀 / 안전팀</t>
        </is>
      </c>
      <c r="J11" s="28" t="inlineStr">
        <is>
          <t>장비 반입 준비 및 안전교육 완료</t>
        </is>
      </c>
      <c r="K11" s="39" t="inlineStr">
        <is>
          <t>- 도로 굴착장비, 고속작업 시 사용할 장비, 인양장비등 관련 장비 계획 검토
- 장비 spec 확인, 장비 성능 점검
- 작업원 안전교육 실시</t>
        </is>
      </c>
      <c r="L11" s="17" t="inlineStr">
        <is>
          <t>측정기록서, 안전교육 결과서</t>
        </is>
      </c>
      <c r="M11" s="38" t="inlineStr">
        <is>
          <t>1) 장비안전(WBS 9000-1-10) 확보를 위해 굴착/고속작업/인양 장비 Spec 점검 및 성능 검사를 시행하라.
2) 작업원 특별 안전교육 및 위험성평가 이행 확인서를 승인 완수하라.</t>
        </is>
      </c>
      <c r="N11" s="75">
        <f>HYPERLINK(LEFT(CELL("filename",A1),FIND("[",CELL("filename",A1))-1)&amp;"7.신호분야\10_장비반입 및 안전교육\표준서\장비반입 및 안전교육_표준서.html", "👉 [클릭] 표준서 열기 📄")</f>
        <v/>
      </c>
      <c r="O11" s="38" t="inlineStr">
        <is>
          <t>1) 도로 굴착 및 인양 장비 Spec 확인과 장비 성능 점검을 반입 전 수행하십시오.
2) 신호 공사 작업원에 대한 특별 안전교육 및 보호구 착용 상태를 확인하십시오.</t>
        </is>
      </c>
      <c r="P11" s="76">
        <f>HYPERLINK(LEFT(CELL("filename",A1),FIND("[",CELL("filename",A1))-1)&amp;"7.신호분야\10_장비반입 및 안전교육\수행지침\LTE-R_무선_AP를_통한_신호_제어_데이터_송수신_레벨_상세절차서.html", "👉 [클릭] 수행지침 열기 📄")</f>
        <v/>
      </c>
      <c r="Q11" s="38" t="inlineStr">
        <is>
          <t>1) 도로 굴착 및 인양 장비 Spec 점검 및 성능 검사를 완료하였는가?
2) 신호 공사 작업원 특별 안전교육 실시 기록을 확인하였는가?</t>
        </is>
      </c>
      <c r="R11" s="81">
        <f>HYPERLINK(LEFT(CELL("filename",A1),FIND("[",CELL("filename",A1))-1)&amp;"7.신호분야\10_장비반입 및 안전교육\체크리스트\장비반입 및 안전교육_체크리스트.html", "👉 [클릭] 체크리스트 열기 📄")</f>
        <v/>
      </c>
      <c r="S11" s="9" t="n"/>
      <c r="T11" s="73" t="inlineStr">
        <is>
          <t>● 관련분야 설계기준서 준수</t>
        </is>
      </c>
      <c r="U11" s="73" t="inlineStr">
        <is>
          <t>1) 👉 [더블클릭] 체크리스트 열기 📄</t>
        </is>
      </c>
      <c r="V11" s="29" t="n"/>
    </row>
    <row r="12" ht="104.4" customHeight="1">
      <c r="A12" s="17" t="inlineStr">
        <is>
          <t>9000</t>
        </is>
      </c>
      <c r="B12" s="17" t="inlineStr">
        <is>
          <t>9000-1</t>
        </is>
      </c>
      <c r="C12" s="28" t="inlineStr">
        <is>
          <t>신호분야</t>
        </is>
      </c>
      <c r="D12" s="17" t="inlineStr">
        <is>
          <t>9000-1-11</t>
        </is>
      </c>
      <c r="E12" s="28">
        <f>D11</f>
        <v/>
      </c>
      <c r="F12" s="17">
        <f>D13</f>
        <v/>
      </c>
      <c r="G12" s="17" t="inlineStr">
        <is>
          <t>D-5
(D-10~5)</t>
        </is>
      </c>
      <c r="H12" s="28" t="inlineStr">
        <is>
          <t>자재 반입 및 검수</t>
        </is>
      </c>
      <c r="I12" s="17" t="inlineStr">
        <is>
          <t>현장소장 및 발주청/공동감리단</t>
        </is>
      </c>
      <c r="J12" s="28" t="inlineStr">
        <is>
          <t>공장제품 품질 확보를 위한 자재 검수 및 검사</t>
        </is>
      </c>
      <c r="K12" s="39" t="inlineStr">
        <is>
          <t>- 자재공급승인원 제출 및 승인
- 공장검수 계획 제출 및 승인
- 각종 자재 사양 확인(KS, 표준규격, 독/과점 규격 등)
- 자재 현지 반입 및 반입동선, 반입기간, 반입장소 검토
- 승인된 자재 상세사양 확인(Serial number 등록)
- 제품의 규격, 수량 도면과 일치하는지 검토</t>
        </is>
      </c>
      <c r="L12" s="17" t="inlineStr">
        <is>
          <t>자재검수요청서 / 자재수입검사서</t>
        </is>
      </c>
      <c r="M12" s="38" t="inlineStr">
        <is>
          <t>1) 자재검수(WBS 9000-1-11) 강화를 위해 자재공급승인원(MAR) 제출 및 공장검수를 시행하라.
2) 반입 자재의 KS/KRS 규격 시험성적서 대조 검수 및 품질 보증을 완수하라.</t>
        </is>
      </c>
      <c r="N12" s="75">
        <f>HYPERLINK(LEFT(CELL("filename",A1),FIND("[",CELL("filename",A1))-1)&amp;"7.신호분야\11_자재 반입 및 검수\표준서\자재 반입 및 검수_표준서.html", "👉 [클릭] 표준서 열기 📄")</f>
        <v/>
      </c>
      <c r="O12" s="38" t="inlineStr">
        <is>
          <t>1) 자재공급승인원(MAR) 및 공장검수 계획서를 제출하여 감리단 승인을 획득하십시오.
2) 자재 현지 반입 시 사양서, 시험성적서 및 표준규격 부합 여부를 인수 검수하십시오.</t>
        </is>
      </c>
      <c r="P12" s="76">
        <f>HYPERLINK(LEFT(CELL("filename",A1),FIND("[",CELL("filename",A1))-1)&amp;"7.신호분야\11_자재 반입 및 검수\수행지침\LTE-R_무선_AP를_통한_신호_제어_데이터_송수신_레벨_상세절차서.html", "👉 [클릭] 수행지침 열기 📄")</f>
        <v/>
      </c>
      <c r="Q12" s="38" t="inlineStr">
        <is>
          <t>1) 자재공급승인원(MAR) 제출 및 공장검수 승인을 획득하였는가?
2) 반입 자재 사양 확인(KS, KRS 표준규격) 및 수량 검수를 시행하였는가?</t>
        </is>
      </c>
      <c r="R12" s="81">
        <f>HYPERLINK(LEFT(CELL("filename",A1),FIND("[",CELL("filename",A1))-1)&amp;"7.신호분야\11_자재 반입 및 검수\체크리스트\자재 반입 및 검수_체크리스트.html", "👉 [클릭] 체크리스트 열기 📄")</f>
        <v/>
      </c>
      <c r="S12" s="9" t="n"/>
      <c r="T12" s="73" t="inlineStr">
        <is>
          <t>● 관련분야 설계기준서 준수</t>
        </is>
      </c>
      <c r="U12" s="73" t="inlineStr">
        <is>
          <t>1) 👉 [더블클릭] 체크리스트 열기 📄</t>
        </is>
      </c>
      <c r="V12" s="29" t="n"/>
    </row>
    <row r="13" ht="104.4" customHeight="1">
      <c r="A13" s="17" t="inlineStr">
        <is>
          <t>9000</t>
        </is>
      </c>
      <c r="B13" s="17" t="inlineStr">
        <is>
          <t>9000-1</t>
        </is>
      </c>
      <c r="C13" s="28" t="inlineStr">
        <is>
          <t>신호분야</t>
        </is>
      </c>
      <c r="D13" s="17" t="inlineStr">
        <is>
          <t>9000-1-12</t>
        </is>
      </c>
      <c r="E13" s="28">
        <f>D12</f>
        <v/>
      </c>
      <c r="F13" s="17">
        <f>D14</f>
        <v/>
      </c>
      <c r="G13" s="17" t="inlineStr">
        <is>
          <t>D+31
~D+120</t>
        </is>
      </c>
      <c r="H13" s="28" t="inlineStr">
        <is>
          <t>시스템설비 설치 (현장/기능실)</t>
        </is>
      </c>
      <c r="I13" s="17" t="inlineStr">
        <is>
          <t>현장소장 및 분야별 전담팀</t>
        </is>
      </c>
      <c r="J13" s="28" t="inlineStr">
        <is>
          <t>현장설비 및 기기실의 자체 최적의 설치작업</t>
        </is>
      </c>
      <c r="K13" s="41" t="inlineStr">
        <is>
          <t>- 기계 장치 위치 및 마감 동선 확인
- 승인된 자재 상세사양 확인 (Serial number 등록)
- 제품의 규격, 수량 도면과 일치하는지 검토
- 배선/기능실 배선 상태 및 신호 인터페이스 확인
- 배선/기능실 케이블 및 전선 배선을 시운전 및 계측기 결과에 준하여 시행
- 케이블 단선부 및 배선 등 내부 배선 및 배선 결과 검수서</t>
        </is>
      </c>
      <c r="L13" s="17" t="inlineStr">
        <is>
          <t>검사 결과서</t>
        </is>
      </c>
      <c r="M13" s="38" t="inlineStr">
        <is>
          <t>1) 시스템설비 설치(WBS 9000-1-12)를 위해 기계실 랙 마감 동선 및 승인 자재 상세 사양을 확인하라.
2) 현장 신호기, 선로전환기 기초 볼트 체결 및 도면 일치 여부를 정밀 시공하라.</t>
        </is>
      </c>
      <c r="N13" s="75">
        <f>HYPERLINK(LEFT(CELL("filename",A1),FIND("[",CELL("filename",A1))-1)&amp;"7.신호분야\12_시스템설비 설치 (현장_기능실)\표준서\시스템설비 설치 (현장_기능실)_표준서.html", "👉 [클릭] 표준서 열기 📄")</f>
        <v/>
      </c>
      <c r="O13" s="38" t="inlineStr">
        <is>
          <t>1) 기계실 장치 위치, 마감 동선 및 승인 자재 Serial Number 등록을 확인하십시오.
2) 현장 설치 설비의 규격, 수량 및 도면 일치 여부를 정밀 측정하여 시공하십시오.</t>
        </is>
      </c>
      <c r="P13" s="76">
        <f>HYPERLINK(LEFT(CELL("filename",A1),FIND("[",CELL("filename",A1))-1)&amp;"7.신호분야\12_시스템설비 설치 (현장_기능실)\수행지침\LTE-R_무선_AP를_통한_신호_제어_데이터_송수신_레벨_상세절차서.html", "👉 [클릭] 수행지침 열기 📄")</f>
        <v/>
      </c>
      <c r="Q13" s="38" t="inlineStr">
        <is>
          <t>1) 기계실 장치 위치, 마감 동선 및 승인 자재 사양을 확인하였는가?
2) 현장 신호기/선로전환기 기초 볼트 체결 및 규격 일치 여부를 시공하였는가?</t>
        </is>
      </c>
      <c r="R13" s="81">
        <f>HYPERLINK(LEFT(CELL("filename",A1),FIND("[",CELL("filename",A1))-1)&amp;"7.신호분야\12_시스템설비 설치 (현장_기능실)\체크리스트\시스템설비 설치 (현장_기능실)_체크리스트.html", "👉 [클릭] 체크리스트 열기 📄")</f>
        <v/>
      </c>
      <c r="S13" s="9" t="n"/>
      <c r="T13" s="73" t="inlineStr">
        <is>
          <t>● 관련분야 설계기준서 준수</t>
        </is>
      </c>
      <c r="U13" s="73" t="inlineStr">
        <is>
          <t>1) 👉 [더블클릭] 체크리스트 열기 📄</t>
        </is>
      </c>
      <c r="V13" s="29" t="n"/>
    </row>
    <row r="14" ht="104.4" customHeight="1">
      <c r="A14" s="17" t="inlineStr">
        <is>
          <t>9000</t>
        </is>
      </c>
      <c r="B14" s="17" t="inlineStr">
        <is>
          <t>9000-1</t>
        </is>
      </c>
      <c r="C14" s="28" t="inlineStr">
        <is>
          <t>신호분야</t>
        </is>
      </c>
      <c r="D14" s="17" t="inlineStr">
        <is>
          <t>9000-1-14</t>
        </is>
      </c>
      <c r="E14" s="28">
        <f>D13</f>
        <v/>
      </c>
      <c r="F14" s="17">
        <f>D15</f>
        <v/>
      </c>
      <c r="G14" s="17" t="inlineStr">
        <is>
          <t xml:space="preserve">D+151
~D+195
</t>
        </is>
      </c>
      <c r="H14" s="28" t="inlineStr">
        <is>
          <t>시스템 단위시험</t>
        </is>
      </c>
      <c r="I14" s="17" t="inlineStr">
        <is>
          <t>현장 시스템팀</t>
        </is>
      </c>
      <c r="J14" s="28" t="inlineStr">
        <is>
          <t>철도안전법상 신호시스템 규정에 대한 설치 후 현황시험 및 기능 확보</t>
        </is>
      </c>
      <c r="K14" s="39" t="inlineStr">
        <is>
          <t>- 자체단독시험 및 관계부서 공동 시험수행 여부
- 지상신호장치 및 관계부서 단위시험 결과서
- 감리단이 승인한 검사 및 시험 점검표 (ITP/ITC) 절차에 따라 수행
- 지상신호설비 단위시험 항목
1) 신호기장치 / 선로전환기 장치 / 전자연동장치 / 열차자동방호장치 / 신호전원장치 / 전선로 / 안전설비 / 기타설비 / 트램신호기 / TPD 등
- 관제설비
1) 서버설치 / 네트워크 장치 / 콘솔장치 / 대형표시반 / LDTS</t>
        </is>
      </c>
      <c r="L14" s="17" t="inlineStr">
        <is>
          <t>자체단독시험 및 시험결과서 (단독단위)</t>
        </is>
      </c>
      <c r="M14" s="38" t="inlineStr">
        <is>
          <t>1) 단위시험(WBS 9000-1-14) 수행을 위해 철도안전법 규정에 따른 설치 후 단독 현황시험을 시행하라.
2) 신호기, 선로전환기, 전원장치, 차축검지기 개별 ITP/ITC 시험 결과서를 승인 완수하라.</t>
        </is>
      </c>
      <c r="N14" s="75">
        <f>HYPERLINK(LEFT(CELL("filename",A1),FIND("[",CELL("filename",A1))-1)&amp;"7.신호분야\13_시스템 단위시험\표준서\시스템 단위시험_표준서.html", "👉 [클릭] 표준서 열기 📄")</f>
        <v/>
      </c>
      <c r="O14" s="38" t="inlineStr">
        <is>
          <t>1) 자체 단독시험 및 관계부서 공동 시험수행 여부를 확인하십시오.
2) 감리단 승인 점검표(ITP/ITC) 절차에 따라 지상신호장치 단위시험 결과서를 작성하십시오.</t>
        </is>
      </c>
      <c r="P14" s="76">
        <f>HYPERLINK(LEFT(CELL("filename",A1),FIND("[",CELL("filename",A1))-1)&amp;"7.신호분야\13_시스템 단위시험\수행지침\CBI_IO_릴레이_모듈_동작_상태_검측_상세절차서.html", "👉 [클릭] 수행지침 열기 📄")</f>
        <v/>
      </c>
      <c r="Q14" s="38" t="inlineStr">
        <is>
          <t>1) 지상신호장치 및 관계부서 단위시험 결과서를 확인하였는가?
2) 감리단 승인 점검표(ITP/ITC) 절차에 따라 개별 단독 현황시험을 수행하였는가?</t>
        </is>
      </c>
      <c r="R14" s="81">
        <f>HYPERLINK(LEFT(CELL("filename",A1),FIND("[",CELL("filename",A1))-1)&amp;"7.신호분야\13_시스템 단위시험\체크리스트\시스템 단위시험_체크리스트.html", "👉 [클릭] 체크리스트 열기 📄")</f>
        <v/>
      </c>
      <c r="S14" s="9" t="n"/>
      <c r="T14" s="73" t="inlineStr">
        <is>
          <t>● 관련분야 설계기준서 준수</t>
        </is>
      </c>
      <c r="U14" s="73" t="inlineStr">
        <is>
          <t>1) 👉 [더블클릭] 체크리스트 열기 📄</t>
        </is>
      </c>
      <c r="V14" s="29" t="n"/>
    </row>
    <row r="15" ht="104.4" customHeight="1">
      <c r="A15" s="17" t="inlineStr">
        <is>
          <t>9000</t>
        </is>
      </c>
      <c r="B15" s="17" t="inlineStr">
        <is>
          <t>9000-1</t>
        </is>
      </c>
      <c r="C15" s="28" t="inlineStr">
        <is>
          <t>신호분야</t>
        </is>
      </c>
      <c r="D15" s="17" t="inlineStr">
        <is>
          <t>9000-1-15</t>
        </is>
      </c>
      <c r="E15" s="28">
        <f>D14</f>
        <v/>
      </c>
      <c r="F15" s="17">
        <f>D16</f>
        <v/>
      </c>
      <c r="G15" s="17" t="inlineStr">
        <is>
          <t>D+196
~D+255</t>
        </is>
      </c>
      <c r="H15" s="28" t="inlineStr">
        <is>
          <t>신호시스템 통합시험</t>
        </is>
      </c>
      <c r="I15" s="17" t="inlineStr">
        <is>
          <t>현장 시스템팀</t>
        </is>
      </c>
      <c r="J15" s="28" t="inlineStr">
        <is>
          <t>신호시스템 단독시험 완료 후 타 분야 연계 및 시설 유효성 확인</t>
        </is>
      </c>
      <c r="K15" s="39" t="inlineStr">
        <is>
          <t>- 관계성과 연계 인터페이스 시험
- 지상 및 차량 인터페이스
- 지상 및 차량 인터페이스 시 시험 결과표
- 감리단이 승인한 검사 및 시험 점검표 (ITP/ITC) 절차에 따라 수행
1) 관제실 및 현장 연동장치간 인터페이스 시험
2) 지상 및 차상 인터페이스 시험
3) 도로신호/트램신호 인터페이스 시험(우선신호 시험)</t>
        </is>
      </c>
      <c r="L15" s="17" t="inlineStr">
        <is>
          <t>자체단독시험 및 시험결과서 (단독단위)</t>
        </is>
      </c>
      <c r="M15" s="38" t="inlineStr">
        <is>
          <t>1) 통합시험(WBS 9000-1-15)을 통해 단독시험 완료 후 관제 ➔ CBI 전자연동장치 통합 연동을 검증하라.
2) 차상-지상 무선(LTE-R) 도로-트램 우선신호 연계 시험 결과표를 승인 완수하라.</t>
        </is>
      </c>
      <c r="N15" s="75">
        <f>HYPERLINK(LEFT(CELL("filename",A1),FIND("[",CELL("filename",A1))-1)&amp;"7.신호분야\14_신호시스템 통합시험\표준서\신호시스템 통합시험_표준서.html", "👉 [클릭] 표준서 열기 📄")</f>
        <v/>
      </c>
      <c r="O15" s="38" t="inlineStr">
        <is>
          <t>1) 관제실 및 현장 연동장치 간 인터페이스 통합시험을 시행하십시오.
2) 지상-차상 인터페이스 및 도로/트램 우선신호 무선 연계시험 결과표를 작성하십시오.</t>
        </is>
      </c>
      <c r="P15" s="76">
        <f>HYPERLINK(LEFT(CELL("filename",A1),FIND("[",CELL("filename",A1))-1)&amp;"7.신호분야\14_신호시스템 통합시험\수행지침\LTE-R_무선_AP를_통한_신호_제어_데이터_송수신_레벨_상세절차서.html", "👉 [클릭] 수행지침 열기 📄")</f>
        <v/>
      </c>
      <c r="Q15" s="38" t="inlineStr">
        <is>
          <t>1) 관제실 및 현장 연동장치 간 인터페이스 시험을 수행하였는가?
2) 지상-차상 인터페이스 및 도로-트램 우선신호 연계 시험을 검증하였는가?</t>
        </is>
      </c>
      <c r="R15" s="81">
        <f>HYPERLINK(LEFT(CELL("filename",A1),FIND("[",CELL("filename",A1))-1)&amp;"7.신호분야\14_신호시스템 통합시험\체크리스트\신호시스템 통합시험_체크리스트.html", "👉 [클릭] 체크리스트 열기 📄")</f>
        <v/>
      </c>
      <c r="S15" s="9" t="n"/>
      <c r="T15" s="73" t="inlineStr">
        <is>
          <t>● 관련분야 설계기준서 준수</t>
        </is>
      </c>
      <c r="U15" s="73" t="inlineStr">
        <is>
          <t>1) 👉 [더블클릭] 체크리스트 열기 📄</t>
        </is>
      </c>
      <c r="V15" s="29" t="n"/>
    </row>
    <row r="16" ht="104.4" customHeight="1">
      <c r="A16" s="17" t="inlineStr">
        <is>
          <t>9000</t>
        </is>
      </c>
      <c r="B16" s="17" t="inlineStr">
        <is>
          <t>9000-1</t>
        </is>
      </c>
      <c r="C16" s="28" t="inlineStr">
        <is>
          <t>신호분야</t>
        </is>
      </c>
      <c r="D16" s="17" t="inlineStr">
        <is>
          <t>9000-1-16</t>
        </is>
      </c>
      <c r="E16" s="28">
        <f>D15</f>
        <v/>
      </c>
      <c r="F16" s="17">
        <f>D17</f>
        <v/>
      </c>
      <c r="G16" s="17" t="inlineStr">
        <is>
          <t>D+256
~D+285</t>
        </is>
      </c>
      <c r="H16" s="28" t="inlineStr">
        <is>
          <t>공종별 시험</t>
        </is>
      </c>
      <c r="I16" s="17" t="inlineStr">
        <is>
          <t>현장 시스템팀</t>
        </is>
      </c>
      <c r="J16" s="28" t="inlineStr">
        <is>
          <t>철도안전기준에 따른 법정 / 설계기준 / 신기술 / 시운전 등의 요구사항의 적합성 검증</t>
        </is>
      </c>
      <c r="K16" s="39" t="inlineStr">
        <is>
          <t>- 신기술공법 등 신공법 적용
- 자료정리 및 단위 시험
- 신기술공법/기능성/현장성 단위 시험 결과서
- 현장설비 시험
1) 신호기 장치: 신호기 설치 / 투시거리 및 정상 동작시험
2) 신호부속기(진로표시기): 진로표시기 설치 및 정상 동작시험
3) 차축검지기 설치 및 정상 동작시험
4) 선로전환기 설치상태 확인시험
5) 트램신호기, TPD, 설치 및 동작시험
6) 교차로 영상유고 시스템 설치 및 동작시험
- 신호기계실 설비 시험
1) 전원공급장치 이중화 확인 및 절체 시험 수행
2) 전자연동장치 설치 및 정상 동작시험
3) 전자열쇠 정상 작동상태 확인
4) 차축검지기부 설치 및 정상 동작시험
- 관제설비 시험
1) 관제실: 운영관제실 MMI 장치 동작상태
2) 신호컴퓨터실: 신호컴퓨터실 서버 및 네트워크 정상 동작상태 확인
3) 전원장치 정상 동작상태 확인</t>
        </is>
      </c>
      <c r="L16" s="17" t="inlineStr">
        <is>
          <t>공종별 시험 결과보고서</t>
        </is>
      </c>
      <c r="M16" s="38" t="inlineStr">
        <is>
          <t>1) 공종별 시험(WBS 9000-1-16)을 위해 신호기, 진로표시기, 선로전환기, 차축검지기 현장 동작시험을 시행하라.
2) 신호기계실 전원 2중화 절체 시험 및 관제 CTC 서버 정상 동작 시험을 완수하라.</t>
        </is>
      </c>
      <c r="N16" s="75">
        <f>HYPERLINK(LEFT(CELL("filename",A1),FIND("[",CELL("filename",A1))-1)&amp;"7.신호분야\15_공종별 시험\표준서\공종별 시험_표준서.html", "👉 [클릭] 표준서 열기 📄")</f>
        <v/>
      </c>
      <c r="O16" s="38" t="inlineStr">
        <is>
          <t>1) 현장설비(신호기 투시거리, 선로전환기 쇄정, 차축검지기) 동작시험을 시행하십시오.
2) 기계실 전원공급장치 이중화 절체 시험 및 관제 서버 정상 동작상태를 확인하십시오.</t>
        </is>
      </c>
      <c r="P16" s="76">
        <f>HYPERLINK(LEFT(CELL("filename",A1),FIND("[",CELL("filename",A1))-1)&amp;"7.신호분야\15_공종별 시험\수행지침\LTE-R_무선_AP를_통한_신호_제어_데이터_송수신_레벨_상세절차서.html", "👉 [클릭] 수행지침 열기 📄")</f>
        <v/>
      </c>
      <c r="Q16" s="38" t="inlineStr">
        <is>
          <t>1) 신호기 투시거리/진로표시기 및 선로전환기 쇄정 동작시험을 수행하였는가?
2) 기계실 전원공급장치 이중화 절체 시험 및 관제 서버 동작을 검증하였는가?</t>
        </is>
      </c>
      <c r="R16" s="81">
        <f>HYPERLINK(LEFT(CELL("filename",A1),FIND("[",CELL("filename",A1))-1)&amp;"7.신호분야\15_공종별 시험\체크리스트\공종별 시험_체크리스트.html", "👉 [클릭] 체크리스트 열기 📄")</f>
        <v/>
      </c>
      <c r="S16" s="9" t="n"/>
      <c r="T16" s="73" t="inlineStr">
        <is>
          <t>● 관련분야 설계기준서 준수</t>
        </is>
      </c>
      <c r="U16" s="73" t="inlineStr">
        <is>
          <t>1) 👉 [더블클릭] 체크리스트 열기 📄</t>
        </is>
      </c>
      <c r="V16" s="29" t="n"/>
    </row>
    <row r="17" ht="104.4" customHeight="1">
      <c r="A17" s="17" t="inlineStr">
        <is>
          <t>9000</t>
        </is>
      </c>
      <c r="B17" s="17" t="inlineStr">
        <is>
          <t>9000-1</t>
        </is>
      </c>
      <c r="C17" s="28" t="inlineStr">
        <is>
          <t>신호분야</t>
        </is>
      </c>
      <c r="D17" s="17" t="inlineStr">
        <is>
          <t>9000-1-17</t>
        </is>
      </c>
      <c r="E17" s="28">
        <f>D16</f>
        <v/>
      </c>
      <c r="F17" s="17">
        <f>D18</f>
        <v/>
      </c>
      <c r="G17" s="17" t="inlineStr">
        <is>
          <t>D+286
~D+300</t>
        </is>
      </c>
      <c r="H17" s="28" t="inlineStr">
        <is>
          <t>차량 투입 전 점검</t>
        </is>
      </c>
      <c r="I17" s="17" t="inlineStr">
        <is>
          <t>현장소장 및 시공전담팀</t>
        </is>
      </c>
      <c r="J17" s="28" t="inlineStr">
        <is>
          <t>차량 시험운행 전 철저한 안전대책 수립 및 품질성 확보 여부 확인</t>
        </is>
      </c>
      <c r="K17" s="39" t="inlineStr">
        <is>
          <t>- 현장의 시설물 설치상태 점검
1) 연동검사(설비동작, 진로취급 및 신호현시 시험 등)
2) 신호 기계실 내 시스템 검사(연동장치, 열차제어시스템 등)
3) 전원장치 시험(UPS 및 배터리)
4) 신호 기계실 내부 방재예방 설비(소화기, 접지저항값 측정결과)
5) 신호기 시공상태(설치 위치의 적정성, 신호기와 건축물과의 건축한계 적정여부 등)
6) 선로전환기 시공상태 확인(선로전환기 전환 및 표시회로 구성 등)
7) 전선류 시공상태 확인(케이블 단말처리 및 접속개소, 선명찰 절연저항 측정값 등)
8) 기구함, 접속함 등 시공상태 확인(기초 시공적정여부, 전선 인입구, 접지설비, 볼트류 체결 상태 등)
9) 본선의 시설물 성능장애 점검
- 건축한계 및 차량한계
- 가공선로: 폭(3,100mm)/높이(3,800mm) 및 차량한계: 폭(2,700mm)/높이(3,600mm) 정렬선 개시
- 수전 및 전압 점검</t>
        </is>
      </c>
      <c r="L17" s="17" t="inlineStr">
        <is>
          <t>차량 투입 전 점검 결과 보고서</t>
        </is>
      </c>
      <c r="M17" s="38" t="inlineStr">
        <is>
          <t>1) 차량 투입 전 점검(WBS 9000-1-17)을 통해 연동검사 및 기계실 방재/접지저항 측정을 시행하라.
2) 건축한계/차량한계 이격 정밀 측정 및 전원장치(UPS) 성능을 최종 검증하라.</t>
        </is>
      </c>
      <c r="N17" s="75">
        <f>HYPERLINK(LEFT(CELL("filename",A1),FIND("[",CELL("filename",A1))-1)&amp;"7.신호분야\16_차량 투입 전 점검\표준서\차량 투입 전 점검_표준서.html", "👉 [클릭] 표준서 열기 📄")</f>
        <v/>
      </c>
      <c r="O17" s="38" t="inlineStr">
        <is>
          <t>1) 연동검사(설비동작, 진로취급) 및 신호기 시공상태 적정성을 점검하십시오.
2) 건축한계(폭 3.1m/높이 3.8m) 이격 측정 및 기계실 UPS/방재예방 설비를 확인하십시오.</t>
        </is>
      </c>
      <c r="P17" s="76">
        <f>HYPERLINK(LEFT(CELL("filename",A1),FIND("[",CELL("filename",A1))-1)&amp;"7.신호분야\16_차량 투입 전 점검\수행지침\LTE-R_무선_AP를_통한_신호_제어_데이터_송수신_레벨_상세절차서.html", "👉 [클릭] 수행지침 열기 📄")</f>
        <v/>
      </c>
      <c r="Q17" s="38" t="inlineStr">
        <is>
          <t>1) 연동검사 및 기계실 시스템/UPS 시험을 완료하였는가?
2) 신호기와 건축물 간 건축한계 정밀 측정 및 방재설비를 확인하였는가?</t>
        </is>
      </c>
      <c r="R17" s="81">
        <f>HYPERLINK(LEFT(CELL("filename",A1),FIND("[",CELL("filename",A1))-1)&amp;"7.신호분야\16_차량 투입 전 점검\체크리스트\차량 투입 전 점검_체크리스트.html", "👉 [클릭] 체크리스트 열기 📄")</f>
        <v/>
      </c>
      <c r="S17" s="9" t="n"/>
      <c r="T17" s="73" t="inlineStr">
        <is>
          <t>● 관련분야 설계기준서 준수</t>
        </is>
      </c>
      <c r="U17" s="73" t="inlineStr">
        <is>
          <t>1) 👉 [더블클릭] 체크리스트 열기 📄</t>
        </is>
      </c>
      <c r="V17" s="29" t="n"/>
    </row>
    <row r="18" ht="104.4" customHeight="1">
      <c r="A18" s="17" t="inlineStr">
        <is>
          <t>9000</t>
        </is>
      </c>
      <c r="B18" s="17" t="inlineStr">
        <is>
          <t>9000-1</t>
        </is>
      </c>
      <c r="C18" s="28" t="inlineStr">
        <is>
          <t>신호분야</t>
        </is>
      </c>
      <c r="D18" s="17" t="inlineStr">
        <is>
          <t>9000-1-18</t>
        </is>
      </c>
      <c r="E18" s="28">
        <f>D17</f>
        <v/>
      </c>
      <c r="F18" s="17">
        <f>D19</f>
        <v/>
      </c>
      <c r="G18" s="17" t="inlineStr">
        <is>
          <t>D+301
~D+360</t>
        </is>
      </c>
      <c r="H18" s="28" t="inlineStr">
        <is>
          <t>차량 시운전</t>
        </is>
      </c>
      <c r="I18" s="17" t="inlineStr">
        <is>
          <t>현장 시스템팀</t>
        </is>
      </c>
      <c r="J18" s="28" t="inlineStr">
        <is>
          <t>철도안전법상 철도기술기준에 적합하게 시운전 수행 여부(철도노선 규정)</t>
        </is>
      </c>
      <c r="K18" s="39" t="inlineStr">
        <is>
          <t>- 철도기술기준(궤도/철도차량 안전성) 준수 여부
1) 속도/제동 테스트수행 여부
2) 차량, 신호, 통신 시스템간 인터페이스 시험
- 철도안전법 제26조(철도차량 형식승인) 기준 준수
1) 주요 외관검사 및 치수검사
2) 주요기기 기능검사(제어전원 투입확인, 집전장치 동작확인, 추진제어장치 동작확인 등)
- 차상신호장치 포함시 시행(차상신호장치는 차량제작사 공급 or 신호설비 공급사 공급)
1) 지·차상 연계동작시험
2) 차량, 신호, 통신 시스템간 인터페이스 시험
3) 열차제어 시스템 기능시험
- 센터간 I/F 시험
1) 교통관제센터/트램관제센터간 정보전송 상태
2) 차량 위치검지 시험</t>
        </is>
      </c>
      <c r="L18" s="17" t="inlineStr">
        <is>
          <t>철도차량 안전성 결과 보고서</t>
        </is>
      </c>
      <c r="M18" s="38" t="inlineStr">
        <is>
          <t>1) 차량 시운전(WBS 9000-1-18) 수행 시 철도안전법 제26조 형식승인 기준 준수 여부를 검증하라.
2) 속도/제동 테스트, 차상-지상 연계동작 및 열차제어 시스템 기능시험을 완수하라.</t>
        </is>
      </c>
      <c r="N18" s="75">
        <f>HYPERLINK(LEFT(CELL("filename",A1),FIND("[",CELL("filename",A1))-1)&amp;"7.신호분야\17_차량 시운전\표준서\차량 시운전_표준서.html", "👉 [클릭] 표준서 열기 📄")</f>
        <v/>
      </c>
      <c r="O18" s="38" t="inlineStr">
        <is>
          <t>1) 철도기술기준에 따라 속도/제동 테스트 및 주요기기 제어전원 투입을 검사하십시오.
2) 차상신호장치 지·차상 연계동작시험 및 열차제어 시스템 기능시험을 시행하십시오.</t>
        </is>
      </c>
      <c r="P18" s="76">
        <f>HYPERLINK(LEFT(CELL("filename",A1),FIND("[",CELL("filename",A1))-1)&amp;"7.신호분야\17_차량 시운전\수행지침\LTE-R_무선_AP를_통한_신호_제어_데이터_송수신_레벨_상세절차서.html", "👉 [클릭] 수행지침 열기 📄")</f>
        <v/>
      </c>
      <c r="Q18" s="38" t="inlineStr">
        <is>
          <t>1) 철도기술기준 준수 속도/제동 테스트 및 주요기기 검사를 시행하였는가?
2) 차상-지상 연계동작시험 및 차량-신호-통신 I/F 시험을 검증하였는가?</t>
        </is>
      </c>
      <c r="R18" s="81">
        <f>HYPERLINK(LEFT(CELL("filename",A1),FIND("[",CELL("filename",A1))-1)&amp;"7.신호분야\17_차량 시운전\체크리스트\차량 시운전_체크리스트.html", "👉 [클릭] 체크리스트 열기 📄")</f>
        <v/>
      </c>
      <c r="S18" s="9" t="n"/>
      <c r="T18" s="73" t="inlineStr">
        <is>
          <t>● 관련분야 설계기준서 준수</t>
        </is>
      </c>
      <c r="U18" s="73" t="inlineStr">
        <is>
          <t>1) 👉 [더블클릭] 체크리스트 열기 📄</t>
        </is>
      </c>
      <c r="V18" s="29" t="n"/>
    </row>
    <row r="19" ht="159" customHeight="1">
      <c r="A19" s="17" t="inlineStr">
        <is>
          <t>9000</t>
        </is>
      </c>
      <c r="B19" s="17" t="inlineStr">
        <is>
          <t>9000-1</t>
        </is>
      </c>
      <c r="C19" s="28" t="inlineStr">
        <is>
          <t>신호분야</t>
        </is>
      </c>
      <c r="D19" s="17" t="inlineStr">
        <is>
          <t>9000-1-19</t>
        </is>
      </c>
      <c r="E19" s="28">
        <f>D18</f>
        <v/>
      </c>
      <c r="F19" s="17">
        <f>D20</f>
        <v/>
      </c>
      <c r="G19" s="17" t="inlineStr">
        <is>
          <t>D+361
~D+374</t>
        </is>
      </c>
      <c r="H19" s="28" t="inlineStr">
        <is>
          <t>운영자 교육시행</t>
        </is>
      </c>
      <c r="I19" s="17" t="inlineStr">
        <is>
          <t>현장 시스템팀</t>
        </is>
      </c>
      <c r="J19" s="28" t="inlineStr">
        <is>
          <t>운영요원(기관사 및 안전관리)을 위한 주행/유지 교육시행</t>
        </is>
      </c>
      <c r="K19" s="39" t="inlineStr">
        <is>
          <t>- 시스템안전 교육(철도차량 안전점검 요령)
- 차량, 신호, 통신 시스템간 인터페이스 사용방법 및 조작 교육
- 관제센터와의 연계 기계실/차량내 장치(DID 보드 등) 운영 및 테스트
- 시스템공급  장비제작사에 의한 운영자 및 유지보수자 교육
1) (관제설비) CTC서버, 콘솔컴퓨터 등
2) (신호 기계실) 전자연동장치, 궤도회로장치 등
3) (현장설비) 신호기, 선로전환기, 튜닝유니트 등</t>
        </is>
      </c>
      <c r="L19" s="17" t="inlineStr">
        <is>
          <t>운영자훈련 및 기술단계에서 운영지침서</t>
        </is>
      </c>
      <c r="M19" s="38" t="inlineStr">
        <is>
          <t>1) 운영자 교육(WBS 9000-1-19)을 위해 기관사 및 유지보수 요원 대상 시스템 안전 교육을 시행하라.
2) 장비 제작사에 의한 CTC/CBI/현장설비 조작·정비 기술 교육 완료 이수증을 승인하라.</t>
        </is>
      </c>
      <c r="N19" s="75">
        <f>HYPERLINK(LEFT(CELL("filename",A1),FIND("[",CELL("filename",A1))-1)&amp;"7.신호분야\18_운영자 교육시행\표준서\운영자 교육시행_표준서.html", "👉 [클릭] 표준서 열기 📄")</f>
        <v/>
      </c>
      <c r="O19" s="38" t="inlineStr">
        <is>
          <t>1) 철도차량 안전점검 요령 및 시스템 간 조작 방법에 대한 운영자 교육을 시행하십시오.
2) CTC 서버, 전자연동장치, 현장 신호기/선로전환기 교육 이수 현황을 확인하십시오.</t>
        </is>
      </c>
      <c r="P19" s="76">
        <f>HYPERLINK(LEFT(CELL("filename",A1),FIND("[",CELL("filename",A1))-1)&amp;"7.신호분야\18_운영자 교육시행\수행지침\LTE-R_무선_AP를_통한_신호_제어_데이터_송수신_레벨_상세절차서.html", "👉 [클릭] 수행지침 열기 📄")</f>
        <v/>
      </c>
      <c r="Q19" s="38" t="inlineStr">
        <is>
          <t>1) 기관사 및 유지보수요원 대상 시스템 안전 교육을 시행하였는가?
2) 장비 제작사에 의한 CTC/CBI/현장설비 조작교육을 완료하였는가?</t>
        </is>
      </c>
      <c r="R19" s="81">
        <f>HYPERLINK(LEFT(CELL("filename",A1),FIND("[",CELL("filename",A1))-1)&amp;"7.신호분야\18_운영자 교육시행\체크리스트\운영자 교육시행_체크리스트.html", "👉 [클릭] 체크리스트 열기 📄")</f>
        <v/>
      </c>
      <c r="S19" s="9" t="n"/>
      <c r="T19" s="73" t="inlineStr">
        <is>
          <t>● 관련분야 설계기준서 준수</t>
        </is>
      </c>
      <c r="U19" s="73" t="inlineStr">
        <is>
          <t>1) 👉 [더블클릭] 체크리스트 열기 📄</t>
        </is>
      </c>
      <c r="V19" s="29" t="n"/>
    </row>
    <row r="20" ht="104.4" customHeight="1">
      <c r="A20" s="17" t="inlineStr">
        <is>
          <t>9000</t>
        </is>
      </c>
      <c r="B20" s="17" t="inlineStr">
        <is>
          <t>9000-1</t>
        </is>
      </c>
      <c r="C20" s="28" t="inlineStr">
        <is>
          <t>신호분야</t>
        </is>
      </c>
      <c r="D20" s="17" t="inlineStr">
        <is>
          <t>9000-1-20</t>
        </is>
      </c>
      <c r="E20" s="28">
        <f>D19</f>
        <v/>
      </c>
      <c r="F20" s="17">
        <f>D21</f>
        <v/>
      </c>
      <c r="G20" s="17" t="inlineStr">
        <is>
          <t>D+375
~D+414</t>
        </is>
      </c>
      <c r="H20" s="28" t="inlineStr">
        <is>
          <t>사전점검 및 철도기술기준 검토</t>
        </is>
      </c>
      <c r="I20" s="17" t="inlineStr">
        <is>
          <t>현장소장 및 발주처 / 공동감리단</t>
        </is>
      </c>
      <c r="J20" s="28" t="inlineStr">
        <is>
          <t>철도종합시험운행에 따른 기능 및 성능 사전검증과 철도종합시험운행의 목적 달성의 적합여부 판정</t>
        </is>
      </c>
      <c r="K20" s="39" t="inlineStr">
        <is>
          <t>- 분야외 시설물 성능장치 점검
- (1부)철도종합시험운행 시행지침 제6조(종합시험운행을 위한 사전점검)
- 현장점검을 위한 계획 및 체크리스트 수립에 의하여 내 조직 가능한 항목에 대해 사전기재 및 결과 기재
- (기준) 철도종합시험운행 시행지침 제8조(종합시험운행을 위한 사전점검)
- 현장점검을 위한 계획 및 체크리스트를 사전에 준비하여 기한 내 조치가능한 점검항목 도출
1) 철도시설물 시공상태 및 기능확인, 공종별시험 결과보고서 검토
2) 철도시설의 기술기준 준수여부
3) 관련 법령에 따른 외부기관의 검사완료 가능여부 확인
4) 시설물검증시험 전까지 대상 철도시설물 완공가능 여부확인
5) 철도시설의 안전성 분석결과 및 분석결과에 따른 안전대책 검토
6) 종합시험운행(시설물검증시험·영업시운전) 시행에 필요한 사항확인 등</t>
        </is>
      </c>
      <c r="L20" s="17" t="inlineStr">
        <is>
          <t>사전점검 결과표 / 철도안전성검토서</t>
        </is>
      </c>
      <c r="M20" s="38" t="inlineStr">
        <is>
          <t>1) 사전점검(WBS 9000-1-20)을 위해 철도종합시험운행 시행지침 제6조/제8조 검토 수칙을 이행하라.
2) 시설물 시공상태, 기술기준 준수 및 완공 가능 여부 사전점검 체크리스트를 완수하라.</t>
        </is>
      </c>
      <c r="N20" s="75">
        <f>HYPERLINK(LEFT(CELL("filename",A1),FIND("[",CELL("filename",A1))-1)&amp;"7.신호분야\19_사전점검 및 철도기술기준 검토\표준서\사전점검 및 철도기술기준 검토_표준서.html", "👉 [클릭] 표준서 열기 📄")</f>
        <v/>
      </c>
      <c r="O20" s="38" t="inlineStr">
        <is>
          <t>1) 철도종합시험운행 시행지침 제6조/제8조에 따라 사전점검 체크리스트를 사전에 준비하십시오.
2) 시설물 시공상태, 기술기준 준수 여부 및 공종별시험 결과보고서를 검토하십시오.</t>
        </is>
      </c>
      <c r="P20" s="76">
        <f>HYPERLINK(LEFT(CELL("filename",A1),FIND("[",CELL("filename",A1))-1)&amp;"7.신호분야\19_사전점검 및 철도기술기준 검토\수행지침\LTE-R_무선_AP를_통한_신호_제어_데이터_송수신_레벨_상세절차서.html", "👉 [클릭] 수행지침 열기 📄")</f>
        <v/>
      </c>
      <c r="Q20" s="38" t="inlineStr">
        <is>
          <t>1) 철도종합시험운행 시행지침 제6조/제8조 사전점검 체크리스트를 수립하였는가?
2) 철도시설물 시공상태, 기술기준 준수 및 안전성 분석 결과를 검토하였는가?</t>
        </is>
      </c>
      <c r="R20" s="81">
        <f>HYPERLINK(LEFT(CELL("filename",A1),FIND("[",CELL("filename",A1))-1)&amp;"7.신호분야\19_사전점검 및 철도기술기준 검토\체크리스트\사전점검 및 철도기술기준 검토_체크리스트.html", "👉 [클릭] 체크리스트 열기 📄")</f>
        <v/>
      </c>
      <c r="S20" s="9" t="n"/>
      <c r="T20" s="73" t="inlineStr">
        <is>
          <t>● 관련분야 설계기준서 준수</t>
        </is>
      </c>
      <c r="U20" s="73" t="inlineStr">
        <is>
          <t>1) 👉 [더블클릭] 체크리스트 열기 📄</t>
        </is>
      </c>
      <c r="V20" s="29" t="n"/>
    </row>
    <row r="21" ht="104.4" customHeight="1">
      <c r="A21" s="17" t="inlineStr">
        <is>
          <t>9000</t>
        </is>
      </c>
      <c r="B21" s="17" t="inlineStr">
        <is>
          <t>9000-1</t>
        </is>
      </c>
      <c r="C21" s="28" t="inlineStr">
        <is>
          <t>신호분야</t>
        </is>
      </c>
      <c r="D21" s="17" t="inlineStr">
        <is>
          <t>9000-1-21</t>
        </is>
      </c>
      <c r="E21" s="28">
        <f>D20</f>
        <v/>
      </c>
      <c r="F21" s="17">
        <f>D22</f>
        <v/>
      </c>
      <c r="G21" s="17" t="inlineStr">
        <is>
          <t>D+415
~D+499</t>
        </is>
      </c>
      <c r="H21" s="28" t="inlineStr">
        <is>
          <t>시설물 검증시험</t>
        </is>
      </c>
      <c r="I21" s="17" t="inlineStr">
        <is>
          <t>현장소장 및 발주처 / 공동감리단</t>
        </is>
      </c>
      <c r="J21" s="28" t="inlineStr">
        <is>
          <t>시설물검증 노선에 환경에 철도종합시험운행 시행지침에 의거 철도노선 및 관계시설을 검증하여 안전성 확보 여부 판단</t>
        </is>
      </c>
      <c r="K21" s="39" t="inlineStr">
        <is>
          <t>- 철도종합시험운행 시행지침상 검사사항 검증
- 철도종합시험운행 시설물검증시험 점검항목 시행
- 시설물 특성 및 규모에 따른 설계속도 또는 선로 최고운행속도 까지 증속하여 다음의 사항을 점검
1) 신호시설물의 정상 동작상태
2) 신호시설물의 안전상태
3) 철도차량의 운행 적합성 적정여부
4) 신호설비와 차량간 연계성 적정여부</t>
        </is>
      </c>
      <c r="L21" s="17" t="inlineStr">
        <is>
          <t>시설물 검증시험 시험결과 및 승인원, 완료결과보고서</t>
        </is>
      </c>
      <c r="M21" s="38" t="inlineStr">
        <is>
          <t>1) 시설물 검증(WBS 9000-1-21)을 위해 최고운행속도 증속 시운전을 시행하고 신호 정상동작을 검증하라.
2) 신호설비와 차량 간 연계성 및 철도차량 운행 적합성 검증 결과표를 승인 완수하라.</t>
        </is>
      </c>
      <c r="N21" s="75">
        <f>HYPERLINK(LEFT(CELL("filename",A1),FIND("[",CELL("filename",A1))-1)&amp;"7.신호분야\20_시설물 검증시험\표준서\시설물 검증시험_표준서.html", "👉 [클릭] 표준서 열기 📄")</f>
        <v/>
      </c>
      <c r="O21" s="38" t="inlineStr">
        <is>
          <t>1) 설계 최고운행속도까지 단계별 증속하여 신호시설물 정상 동작 및 안전성을 점검하십시오.
2) 신호설비와 차량 간 연계 적정성 및 철도차량 운행 적합 여부를 서면 판정하십시오.</t>
        </is>
      </c>
      <c r="P21" s="76">
        <f>HYPERLINK(LEFT(CELL("filename",A1),FIND("[",CELL("filename",A1))-1)&amp;"7.신호분야\20_시설물 검증시험\수행지침\LTE-R_무선_AP를_통한_신호_제어_데이터_송수신_레벨_상세절차서.html", "👉 [클릭] 수행지침 열기 📄")</f>
        <v/>
      </c>
      <c r="Q21" s="38" t="inlineStr">
        <is>
          <t>1) 설계 최고운행속도 증속 시운전 시 신호시설물 정상 동작을 확인하였는가?
2) 신호설비와 차량 간 연계성 및 차량 운행 적합성을 검증하였는가?</t>
        </is>
      </c>
      <c r="R21" s="81">
        <f>HYPERLINK(LEFT(CELL("filename",A1),FIND("[",CELL("filename",A1))-1)&amp;"7.신호분야\20_시설물 검증시험\체크리스트\시설물 검증시험_체크리스트.html", "👉 [클릭] 체크리스트 열기 📄")</f>
        <v/>
      </c>
      <c r="S21" s="9" t="n"/>
      <c r="T21" s="73" t="inlineStr">
        <is>
          <t>● 관련분야 설계기준서 준수</t>
        </is>
      </c>
      <c r="U21" s="73" t="inlineStr">
        <is>
          <t>1) 👉 [더블클릭] 체크리스트 열기 📄</t>
        </is>
      </c>
      <c r="V21" s="29" t="n"/>
    </row>
    <row r="22" ht="104.4" customHeight="1">
      <c r="A22" s="17" t="inlineStr">
        <is>
          <t>9000</t>
        </is>
      </c>
      <c r="B22" s="17" t="inlineStr">
        <is>
          <t>9000-1</t>
        </is>
      </c>
      <c r="C22" s="28" t="inlineStr">
        <is>
          <t>신호분야</t>
        </is>
      </c>
      <c r="D22" s="17" t="inlineStr">
        <is>
          <t>9000-1-22</t>
        </is>
      </c>
      <c r="E22" s="28">
        <f>D21</f>
        <v/>
      </c>
      <c r="F22" s="17">
        <f>D23</f>
        <v/>
      </c>
      <c r="G22" s="17" t="inlineStr">
        <is>
          <t>D+500
~D+581</t>
        </is>
      </c>
      <c r="H22" s="28" t="inlineStr">
        <is>
          <t>영업 시운전</t>
        </is>
      </c>
      <c r="I22" s="17" t="inlineStr">
        <is>
          <t>현장소장 및 발주처 / 공동감리단</t>
        </is>
      </c>
      <c r="J22" s="28" t="inlineStr">
        <is>
          <t>영업 시운전에 의한 수송능력을 파악하고 최종 운영기관과 인터페이스 협의를 통해 시공의 안정성 확보 여부 및 검증</t>
        </is>
      </c>
      <c r="K22" s="39" t="inlineStr">
        <is>
          <t>- 모의 영업 시나리오 기반 100회 정시 운행 성공률 99.8% 이상 확보
- 영업운전과 동일한 조건으로 행사수송 수행 및 영업준비 수행
- 철도안전관련계 체계 및 시운전수행 승인 등 관계 기관에 제출
- 영업조건과 동일한 조건으로 열차운행을 위한 운전분야 및 영업분야 시행
- 열차운행스케쥴 및 영업설비 점검
- 승무원 노선숙지 등 업무숙달 훈련
- 철도시설과 차량과의 인터페이스 최종 점검</t>
        </is>
      </c>
      <c r="L22" s="17" t="inlineStr">
        <is>
          <t>영업 시운전 및 가동단계에서 운영지침서 및 최종 제출서(가동시험보고서)</t>
        </is>
      </c>
      <c r="M22" s="38" t="inlineStr">
        <is>
          <t>1) 영업 시운전(WBS 9000-1-22)을 위해 모의 영업 시나리오 기반 100회 정시 운행 성공률(≥99.8%)을 달성하라.
2) 영업운전과 동일 조건 열차스케줄 및 승무원 노선숙지 등 최종 영업준비를 완수하라.</t>
        </is>
      </c>
      <c r="N22" s="75">
        <f>HYPERLINK(LEFT(CELL("filename",A1),FIND("[",CELL("filename",A1))-1)&amp;"7.신호분야\21_영업 시운전\표준서\영업 시운전_표준서.html", "👉 [클릭] 표준서 열기 📄")</f>
        <v/>
      </c>
      <c r="O22" s="38" t="inlineStr">
        <is>
          <t>1) 모의 영업 시나리오에 따라 100회 정시 운행 성공률(≥99.8%) 이상을 확보하십시오.
2) 영업운전과 동일한 조건으로 열차운행 스케줄 및 영업설비 최종 점검을 완료하십시오.</t>
        </is>
      </c>
      <c r="P22" s="76">
        <f>HYPERLINK(LEFT(CELL("filename",A1),FIND("[",CELL("filename",A1))-1)&amp;"7.신호분야\21_영업 시운전\수행지침\LTE-R_무선_AP를_통한_신호_제어_데이터_송수신_레벨_상세절차서.html", "👉 [클릭] 수행지침 열기 📄")</f>
        <v/>
      </c>
      <c r="Q22" s="38" t="inlineStr">
        <is>
          <t>1) 모의 영업 시나리오 기반 100회 정시 운행 성공률(≥99.8%)을 달성하였는가?
2) 영업운전 동일 조건 행사수송 및 승무원 노선숙지 훈련을 완수하였는가?</t>
        </is>
      </c>
      <c r="R22" s="81">
        <f>HYPERLINK(LEFT(CELL("filename",A1),FIND("[",CELL("filename",A1))-1)&amp;"7.신호분야\21_영업 시운전\체크리스트\영업 시운전_체크리스트.html", "👉 [클릭] 체크리스트 열기 📄")</f>
        <v/>
      </c>
      <c r="S22" s="9" t="n"/>
      <c r="T22" s="73" t="inlineStr">
        <is>
          <t>● 관련분야 설계기준서 준수</t>
        </is>
      </c>
      <c r="U22" s="73" t="inlineStr">
        <is>
          <t>1) 👉 [더블클릭] 체크리스트 열기 📄</t>
        </is>
      </c>
      <c r="V22" s="29" t="n"/>
    </row>
    <row r="23" ht="104.4" customHeight="1">
      <c r="A23" s="17" t="inlineStr">
        <is>
          <t>9000</t>
        </is>
      </c>
      <c r="B23" s="17" t="inlineStr">
        <is>
          <t>9000-1</t>
        </is>
      </c>
      <c r="C23" s="28" t="inlineStr">
        <is>
          <t>신호분야</t>
        </is>
      </c>
      <c r="D23" s="17" t="inlineStr">
        <is>
          <t>9000-1-13</t>
        </is>
      </c>
      <c r="E23" s="28">
        <f>D22</f>
        <v/>
      </c>
      <c r="F23" s="17">
        <f>D24</f>
        <v/>
      </c>
      <c r="G23" s="17" t="inlineStr">
        <is>
          <t>D+581</t>
        </is>
      </c>
      <c r="H23" s="28" t="inlineStr">
        <is>
          <t>유지관리 설치</t>
        </is>
      </c>
      <c r="I23" s="17" t="inlineStr">
        <is>
          <t>현장소장</t>
        </is>
      </c>
      <c r="J23" s="28" t="inlineStr">
        <is>
          <t>관제 관제실의 장비체계 배치 및 설치</t>
        </is>
      </c>
      <c r="K23" s="41" t="inlineStr">
        <is>
          <t>- 유지 및 보수용 상세 공사 설계배치 확인
- 현장조성 및 유지관리 지침서 이행 여부</t>
        </is>
      </c>
      <c r="L23" s="17" t="inlineStr">
        <is>
          <t>유지관리 지침 및 관리 이행 보고서</t>
        </is>
      </c>
      <c r="M23" s="38" t="inlineStr">
        <is>
          <t>1) 유지관리 설치(WBS 9000-1-13)를 위해 관제실 유지보수용 장비 배치 및 상세 공사 설계를 확인하라.
2) 현장조성 및 유지관리 지침서 이행 여부를 확인하고 관제 MMI 보수를 완수하라.</t>
        </is>
      </c>
      <c r="N23" s="75">
        <f>HYPERLINK(LEFT(CELL("filename",A1),FIND("[",CELL("filename",A1))-1)&amp;"7.신호분야\22_유지관리 설치\표준서\유지관리 설치_표준서.html", "👉 [클릭] 표준서 열기 📄")</f>
        <v/>
      </c>
      <c r="O23" s="38" t="inlineStr">
        <is>
          <t>1) 관제실 유지 및 보수용 상세 공사 설계 배치를 확인하고 장비를 시공하십시오.
2) 현장 조성 및 유지관리 지침서 이행 여부를 점검하여 서면 보고하십시오.</t>
        </is>
      </c>
      <c r="P23" s="76">
        <f>HYPERLINK(LEFT(CELL("filename",A1),FIND("[",CELL("filename",A1))-1)&amp;"7.신호분야\22_유지관리 설치\수행지침\LTE-R_무선_AP를_통한_신호_제어_데이터_송수신_레벨_상세절차서.html", "👉 [클릭] 수행지침 열기 📄")</f>
        <v/>
      </c>
      <c r="Q23" s="38" t="inlineStr">
        <is>
          <t>1) 관제실 유지보수용 상세 공사 설계 배치를 확인하였는가?
2) 현장조성 및 유지관리 지침서 이행 여부를 점검 확인하였는가?</t>
        </is>
      </c>
      <c r="R23" s="81">
        <f>HYPERLINK(LEFT(CELL("filename",A1),FIND("[",CELL("filename",A1))-1)&amp;"7.신호분야\22_유지관리 설치\체크리스트\유지관리 설치_체크리스트.html", "👉 [클릭] 체크리스트 열기 📄")</f>
        <v/>
      </c>
      <c r="S23" s="9" t="n"/>
      <c r="T23" s="73" t="inlineStr">
        <is>
          <t>● 관련분야 설계기준서 준수</t>
        </is>
      </c>
      <c r="U23" s="73" t="inlineStr">
        <is>
          <t>1) 👉 [더블클릭] 체크리스트 열기 📄</t>
        </is>
      </c>
      <c r="V23" s="29" t="n"/>
    </row>
    <row r="24" ht="34.8" customHeight="1">
      <c r="E24" s="1">
        <f>D23</f>
        <v/>
      </c>
      <c r="F24" s="2">
        <f>D25</f>
        <v/>
      </c>
      <c r="G24" s="2" t="inlineStr">
        <is>
          <t>D+75일 이후</t>
        </is>
      </c>
      <c r="N24" s="78">
        <f>HYPERLINK(LEFT(CELL("filename",A1),FIND("[",CELL("filename",A1))-1)&amp;"7.신호분야\23_Task_23\표준서\Task_23_표준서.html", "👉 [클릭] 표준서 열기 📄")</f>
        <v/>
      </c>
      <c r="P24" s="79">
        <f>HYPERLINK(LEFT(CELL("filename",A1),FIND("[",CELL("filename",A1))-1)&amp;"7.신호분야\23_Task_23\수행지침\Task_23_수행지침.html", "👉 [클릭] 수행지침 열기 📄")</f>
        <v/>
      </c>
      <c r="R24" s="80">
        <f>HYPERLINK(LEFT(CELL("filename",A1),FIND("[",CELL("filename",A1))-1)&amp;"7.신호분야\23_Task_23\체크리스트\Task_23_체크리스트.html", "👉 [클릭] 체크리스트 열기 📄")</f>
        <v/>
      </c>
    </row>
    <row r="25">
      <c r="E25" s="1">
        <f>D24</f>
        <v/>
      </c>
      <c r="F25" s="2">
        <f>D26</f>
        <v/>
      </c>
    </row>
    <row r="26">
      <c r="E26" s="1">
        <f>D25</f>
        <v/>
      </c>
      <c r="F26" s="2">
        <f>D27</f>
        <v/>
      </c>
    </row>
    <row r="27">
      <c r="E27" s="1">
        <f>D26</f>
        <v/>
      </c>
      <c r="F27" s="2">
        <f>D28</f>
        <v/>
      </c>
    </row>
    <row r="28">
      <c r="E28" s="1">
        <f>D27</f>
        <v/>
      </c>
      <c r="F28" s="2">
        <f>D29</f>
        <v/>
      </c>
    </row>
    <row r="29">
      <c r="E29" s="1">
        <f>D28</f>
        <v/>
      </c>
      <c r="F29" s="2">
        <f>D30</f>
        <v/>
      </c>
    </row>
    <row r="30">
      <c r="E30" s="1">
        <f>D29</f>
        <v/>
      </c>
      <c r="F30" s="2">
        <f>D31</f>
        <v/>
      </c>
    </row>
    <row r="31">
      <c r="E31" s="1">
        <f>D30</f>
        <v/>
      </c>
      <c r="F31" s="2">
        <f>D32</f>
        <v/>
      </c>
    </row>
    <row r="32">
      <c r="E32" s="1">
        <f>D31</f>
        <v/>
      </c>
      <c r="F32" s="2">
        <f>D33</f>
        <v/>
      </c>
    </row>
    <row r="33">
      <c r="E33" s="1">
        <f>D32</f>
        <v/>
      </c>
      <c r="F33" s="2">
        <f>D34</f>
        <v/>
      </c>
    </row>
    <row r="34">
      <c r="E34" s="1">
        <f>D33</f>
        <v/>
      </c>
      <c r="F34" s="2">
        <f>D35</f>
        <v/>
      </c>
    </row>
    <row r="35">
      <c r="E35" s="1">
        <f>D34</f>
        <v/>
      </c>
      <c r="F35" s="2">
        <f>D36</f>
        <v/>
      </c>
    </row>
    <row r="36">
      <c r="E36" s="1">
        <f>D35</f>
        <v/>
      </c>
      <c r="F36" s="2">
        <f>D37</f>
        <v/>
      </c>
    </row>
    <row r="37">
      <c r="E37" s="1">
        <f>D36</f>
        <v/>
      </c>
      <c r="F37" s="2">
        <f>D38</f>
        <v/>
      </c>
    </row>
    <row r="38">
      <c r="E38" s="1">
        <f>D37</f>
        <v/>
      </c>
      <c r="F38" s="2">
        <f>D39</f>
        <v/>
      </c>
    </row>
    <row r="39">
      <c r="E39" s="1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</worksheet>
</file>

<file path=xl/worksheets/sheet8.xml><?xml version="1.0" encoding="utf-8"?>
<worksheet xmlns="http://schemas.openxmlformats.org/spreadsheetml/2006/main">
  <sheetPr codeName="Sheet9">
    <tabColor rgb="FFFFFF00"/>
    <outlinePr summaryBelow="1" summaryRight="1"/>
    <pageSetUpPr/>
  </sheetPr>
  <dimension ref="A1:V39"/>
  <sheetViews>
    <sheetView view="pageBreakPreview" zoomScale="55" zoomScaleNormal="55" zoomScaleSheetLayoutView="55" workbookViewId="0">
      <pane xSplit="2" ySplit="1" topLeftCell="H27" activePane="bottomRight" state="frozen"/>
      <selection pane="topRight" activeCell="C1" sqref="C1"/>
      <selection pane="bottomLeft" activeCell="A2" sqref="A2"/>
      <selection pane="bottomRight" activeCell="A29" sqref="A29:XFD29"/>
    </sheetView>
  </sheetViews>
  <sheetFormatPr baseColWidth="8" defaultRowHeight="17.4"/>
  <cols>
    <col width="8.796875" customWidth="1" style="1" min="1" max="1"/>
    <col width="10.296875" customWidth="1" style="1" min="2" max="2"/>
    <col width="13.5" customWidth="1" style="1" min="3" max="3"/>
    <col width="16" customWidth="1" style="2" min="4" max="6"/>
    <col width="27.69921875" customWidth="1" style="2" min="7" max="7"/>
    <col width="21.296875" customWidth="1" style="2" min="8" max="8"/>
    <col width="16.09765625" customWidth="1" style="2" min="9" max="9"/>
    <col width="26" customWidth="1" style="1" min="10" max="10"/>
    <col width="62.8984375" customWidth="1" style="1" min="11" max="11"/>
    <col width="28.69921875" customWidth="1" style="1" min="12" max="12"/>
    <col width="64.59765625" customWidth="1" style="1" min="13" max="13"/>
    <col width="12" customWidth="1" style="30" min="14" max="14"/>
    <col width="50" customWidth="1" style="30" min="15" max="15"/>
    <col width="10.19921875" customWidth="1" style="1" min="16" max="16"/>
    <col width="50.796875" customWidth="1" style="1" min="17" max="17"/>
    <col width="11.19921875" customWidth="1" style="30" min="18" max="18"/>
    <col width="16.69921875" customWidth="1" style="1" min="19" max="19"/>
    <col width="45" customWidth="1" style="1" min="20" max="38"/>
    <col width="8.796875" customWidth="1" style="1" min="39" max="75"/>
    <col width="8.796875" customWidth="1" style="1" min="76" max="16384"/>
  </cols>
  <sheetData>
    <row r="1" ht="31.2" customHeight="1">
      <c r="A1" s="6" t="inlineStr">
        <is>
          <t>L2 코드</t>
        </is>
      </c>
      <c r="B1" s="6" t="inlineStr">
        <is>
          <t>L3 코드</t>
        </is>
      </c>
      <c r="C1" s="6" t="inlineStr">
        <is>
          <t>L3 대공종명</t>
        </is>
      </c>
      <c r="D1" s="6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6" t="inlineStr">
        <is>
          <t>작업단위 (Level 4 Task/Activity)</t>
        </is>
      </c>
      <c r="H1" s="6" t="inlineStr">
        <is>
          <t>일정 (D-Day)</t>
        </is>
      </c>
      <c r="I1" s="6" t="inlineStr">
        <is>
          <t>주관</t>
        </is>
      </c>
      <c r="J1" s="6" t="inlineStr">
        <is>
          <t>목적</t>
        </is>
      </c>
      <c r="K1" s="6" t="inlineStr">
        <is>
          <t>방법</t>
        </is>
      </c>
      <c r="L1" s="24" t="inlineStr">
        <is>
          <t>산출물(결과)</t>
        </is>
      </c>
      <c r="M1" s="24" t="inlineStr">
        <is>
          <t>표준서 (Standard) 요약</t>
        </is>
      </c>
      <c r="N1" s="5" t="inlineStr">
        <is>
          <t>표준서 파일 (HTML)</t>
        </is>
      </c>
      <c r="O1" s="24" t="inlineStr">
        <is>
          <t>수행지침 (Guideline) 요약</t>
        </is>
      </c>
      <c r="P1" s="5" t="inlineStr">
        <is>
          <t>수행지침 파일 (HTML)</t>
        </is>
      </c>
      <c r="Q1" s="24" t="inlineStr">
        <is>
          <t>체크리스트 (Checklist) 요약</t>
        </is>
      </c>
      <c r="R1" s="5" t="inlineStr">
        <is>
          <t>체크리스트 파일 (HTML)</t>
        </is>
      </c>
      <c r="S1" s="6" t="inlineStr">
        <is>
          <t>비고</t>
        </is>
      </c>
      <c r="T1" s="8" t="inlineStr">
        <is>
          <t>첨부서류 연계 상세 설계기준</t>
        </is>
      </c>
      <c r="U1" s="8" t="inlineStr">
        <is>
          <t>집행단계 리스크 체크리스트</t>
        </is>
      </c>
      <c r="V1" s="8" t="inlineStr">
        <is>
          <t>협력사 시공/공사관리 자문</t>
        </is>
      </c>
    </row>
    <row r="2" ht="184.8" customHeight="1">
      <c r="A2" s="17" t="inlineStr">
        <is>
          <t>9000</t>
        </is>
      </c>
      <c r="B2" s="17" t="inlineStr">
        <is>
          <t>9000-3</t>
        </is>
      </c>
      <c r="C2" s="28" t="inlineStr">
        <is>
          <t>전기분야</t>
        </is>
      </c>
      <c r="D2" s="17" t="inlineStr">
        <is>
          <t>9000-3-1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3" t="inlineStr">
        <is>
          <t>- 인접사업 공사기간을 고려한 한전 전력공급설비 계획 적정성 검토 (임시전력설비 등 검토)
- 도로점용료가 공사비에 반영되었는지 검토
- 최신 설계기준, 철도표준 반영여부 확인
- 노면전차 전기 부하용량 적정성 검토
- 특고압케이블의 배관/배선 적정성 검토
- 특고압/외산자재 여부 확인
- 공사중 타공종 간섭사항, 원가 Risk 검토
- 공정계획의 적정성 검토</t>
        </is>
      </c>
      <c r="L2" s="16" t="inlineStr">
        <is>
          <t>회의록, 설계검토 보고서</t>
        </is>
      </c>
      <c r="M2" s="28" t="inlineStr">
        <is>
          <t>"전기공사업법, 전기사업법, 한국전기설비규정(KEC), 도로법(점용허가) 및 산업안전보건법 준수 여부를 1:1 검토한다."</t>
        </is>
      </c>
      <c r="N2" s="75">
        <f>HYPERLINK(LEFT(CELL("filename",A1),FIND("[",CELL("filename",A1))-1)&amp;"8.전기분야\1_설계적정성 검토\표준서\설계적정성 검토_표준서.html", "👉 [클릭] 표준서 열기 📄")</f>
        <v/>
      </c>
      <c r="O2" s="28" t="inlineStr">
        <is>
          <t>본 지침서는 동탄트램 전기분야 사업 착공 전설계도서의 기술적·법적 적정성 검토 방법과현장 여건, 타공종 간섭, 공법·장비 시공성(Constructability) 검토 절차를 명확히 제시하여, 시공 위험 요소는 사전에 헷지(H...</t>
        </is>
      </c>
      <c r="P2" s="76">
        <f>HYPERLINK(LEFT(CELL("filename",A1),FIND("[",CELL("filename",A1))-1)&amp;"8.전기분야\1_설계적정성 검토\수행지침\설계적정성 검토_수행지침.html", "👉 [클릭] 수행지침 열기 📄")</f>
        <v/>
      </c>
      <c r="Q2" s="28" t="inlineStr">
        <is>
          <t>본 체크리스트는 철도설계기준(KDS 47 00 00) 및 전기사업법에 의거하여,전기 분야 전반(송변전, 전력, 전차선, 배전, 접지, 인허가 등)에 대한 핵심 설계 적정성을 점검하고, 리스크(Risk) 헷지 및 기회(Oppo...</t>
        </is>
      </c>
      <c r="R2" s="81">
        <f>HYPERLINK(LEFT(CELL("filename",A1),FIND("[",CELL("filename",A1))-1)&amp;"8.전기분야\1_설계적정성 검토\체크리스트\설계적정성 검토_체크리스트.html", "👉 [클릭] 체크리스트 열기 📄")</f>
        <v/>
      </c>
      <c r="S2" s="9" t="n"/>
      <c r="T2" s="73" t="inlineStr">
        <is>
          <t>● 관련분야 설계기준서 준수</t>
        </is>
      </c>
      <c r="U2" s="73" t="inlineStr">
        <is>
          <t>1) 👉 [더블클릭] 체크리스트 열기 📄</t>
        </is>
      </c>
      <c r="V2" s="29" t="n"/>
    </row>
    <row r="3" ht="245.4" customHeight="1">
      <c r="A3" s="17" t="inlineStr">
        <is>
          <t>9000</t>
        </is>
      </c>
      <c r="B3" s="17" t="inlineStr">
        <is>
          <t>9000-3</t>
        </is>
      </c>
      <c r="C3" s="28" t="inlineStr">
        <is>
          <t>전기분야</t>
        </is>
      </c>
      <c r="D3" s="17" t="inlineStr">
        <is>
          <t>9000-3-2</t>
        </is>
      </c>
      <c r="E3" s="17">
        <f>D2</f>
        <v/>
      </c>
      <c r="F3" s="17">
        <f>D4</f>
        <v/>
      </c>
      <c r="G3" s="17" t="inlineStr">
        <is>
          <t>발주전략 KOM</t>
        </is>
      </c>
      <c r="H3" s="17" t="inlineStr">
        <is>
          <t>D-240~210</t>
        </is>
      </c>
      <c r="I3" s="17" t="inlineStr">
        <is>
          <t>현장공사팀</t>
        </is>
      </c>
      <c r="J3" s="16" t="inlineStr">
        <is>
          <t>노면전차설비 공사 발주 전략수립</t>
        </is>
      </c>
      <c r="K3" s="33" t="inlineStr">
        <is>
          <t>- 노면전차설비 설계 및 현장여건 검토
- 노면전차설비 공사 시공실적 업체Pool 검토
- 유사사례 영업운행 실적이 확보된 시스템적용
- 현설조건 검토
1) 공정계획 및 노면전차 자재 제작 기간
2) 노면전차설비 시공 실적 보유 (철도, 도시철도, 경전철 등)
3) 예비품 및 소모품 포함
4) 시공전시 전기설비 운전 및 교육 지원 (비용 포함)
5) 예상내역상 누락 아이템 여부
6) 현장 자재보관 창고 임대 비용 포함
7) 공사용 전기, 용수, 청소 비용 포함
8) 개통 후 현장 기술지원 상주 인력, 기간 및 비용 포함</t>
        </is>
      </c>
      <c r="L3" s="16" t="inlineStr">
        <is>
          <t>KOM 검토결과서, 현장설명서</t>
        </is>
      </c>
      <c r="M3" s="28" t="inlineStr">
        <is>
          <t>공정표 대비 노면전차 특수자재(전차선 강성가선, 변압기 등)의 공장 제작/조달 Lead Time을 사전 반영함.</t>
        </is>
      </c>
      <c r="N3" s="75">
        <f>HYPERLINK(LEFT(CELL("filename",A1),FIND("[",CELL("filename",A1))-1)&amp;"8.전기분야\2_발주전략 KOM\표준서\발주전략 KOM_표준서.html", "👉 [클릭] 표준서 열기 📄")</f>
        <v/>
      </c>
      <c r="O3" s="28" t="inlineStr">
        <is>
          <t>본 지침서는 동탄트램 노면전차설비 공사 발주 전설계 및 현장 여건을 정밀 파악하고 8대 현실조건(자재 제작 Lead Time, 철도/경전철 시공 실적 Pool, 예비품, 시공중/후 운전 및 교육지원, 현장 자재창고 임대료, ...</t>
        </is>
      </c>
      <c r="P3" s="76">
        <f>HYPERLINK(LEFT(CELL("filename",A1),FIND("[",CELL("filename",A1))-1)&amp;"8.전기분야\2_발주전략 KOM\수행지침\발주전략 KOM_수행지침.html", "👉 [클릭] 수행지침 열기 📄")</f>
        <v/>
      </c>
      <c r="Q3" s="28" t="inlineStr">
        <is>
          <t>본 체크리스트는 동탄트램 노면전차설비 공사 발주 착수 전8대 현실조건(자재 Lead Time, 시공 실적 Pool, 예비품, 시공중/후 교육 및 기술지원, 현장 자재창고 임대료, 가설 전원/용수/청소, 개통 후 상주 기술지원...</t>
        </is>
      </c>
      <c r="R3" s="81">
        <f>HYPERLINK(LEFT(CELL("filename",A1),FIND("[",CELL("filename",A1))-1)&amp;"8.전기분야\2_발주전략 KOM\체크리스트\발주전략 KOM_체크리스트.html", "👉 [클릭] 체크리스트 열기 📄")</f>
        <v/>
      </c>
      <c r="S3" s="9" t="n"/>
      <c r="T3" s="73" t="inlineStr">
        <is>
          <t>● 관련분야 설계기준서 준수</t>
        </is>
      </c>
      <c r="U3" s="73" t="inlineStr">
        <is>
          <t>1) 👉 [더블클릭] 체크리스트 열기 📄</t>
        </is>
      </c>
      <c r="V3" s="29" t="n"/>
    </row>
    <row r="4" ht="163.8" customHeight="1">
      <c r="A4" s="17" t="inlineStr">
        <is>
          <t>9000</t>
        </is>
      </c>
      <c r="B4" s="17" t="inlineStr">
        <is>
          <t>9000-3</t>
        </is>
      </c>
      <c r="C4" s="28" t="inlineStr">
        <is>
          <t>전기분야</t>
        </is>
      </c>
      <c r="D4" s="17" t="inlineStr">
        <is>
          <t>9000-3-3</t>
        </is>
      </c>
      <c r="E4" s="17">
        <f>D3</f>
        <v/>
      </c>
      <c r="F4" s="17" t="inlineStr">
        <is>
          <t>9000-3-4</t>
        </is>
      </c>
      <c r="G4" s="17" t="inlineStr">
        <is>
          <t>토목 / 건축 인터페이스 협의</t>
        </is>
      </c>
      <c r="H4" s="17" t="inlineStr">
        <is>
          <t>토목공사 수행시</t>
        </is>
      </c>
      <c r="I4" s="17" t="inlineStr">
        <is>
          <t>현장공사팀</t>
        </is>
      </c>
      <c r="J4" s="16" t="inlineStr">
        <is>
          <t>전력설비 설치를 위한 요구사항 검토</t>
        </is>
      </c>
      <c r="K4" s="33" t="inlineStr">
        <is>
          <t>- 자재 반출입 동선/공동구/횡단관로/케이블 인입구 등 확인, 기능실마감 및 출입문 
   확인, 토목분야 선시공 자재관련 적정성 여부 확인</t>
        </is>
      </c>
      <c r="L4" s="16" t="inlineStr">
        <is>
          <t>인터페이스 회의록 및 관리대장</t>
        </is>
      </c>
      <c r="M4" s="28" t="inlineStr">
        <is>
          <t>"정류기, 변압기, ESS 대형 기자재 반입 동선, 출입문 유효 폭/높이(H x W) 및 양중 훅 위치 실측 검증"</t>
        </is>
      </c>
      <c r="N4" s="75">
        <f>HYPERLINK(LEFT(CELL("filename",A1),FIND("[",CELL("filename",A1))-1)&amp;"8.전기분야\3_토목 _ 건축 인터페이스 협의\표준서\토목 _ 건축 인터페이스 협의_표준서.html", "👉 [클릭] 표준서 열기 📄")</f>
        <v/>
      </c>
      <c r="O4" s="28" t="inlineStr">
        <is>
          <t>본 지침서는 동탄트램 전기분야 시공 착수 전자재 반입용 동선, 공동구/횡단관로/인입구 좌표, 전기 기능실 마감, 토목 공사용 매립 배관 검측 및 3D BIM 간섭 해소 절차를 명확히 제시하여, 콘크리트 구조체 타설 완료 후 ...</t>
        </is>
      </c>
      <c r="P4" s="76">
        <f>HYPERLINK(LEFT(CELL("filename",A1),FIND("[",CELL("filename",A1))-1)&amp;"8.전기분야\3_토목 _ 건축 인터페이스 협의\수행지침\토목 _ 건축 인터페이스 협의_수행지침.html", "👉 [클릭] 수행지침 열기 📄")</f>
        <v/>
      </c>
      <c r="Q4" s="28" t="inlineStr">
        <is>
          <t>본 체크리스트는 동탄트램 전기분야 시공 착수 전자재 반입용 동선, 변전실 개구부, 공동구/인입구 3D BIM 좌표, 전기 기능실 마감 및 토목 공사용 매립 배관의 적정성을 사전에 검측하여 구조체 타설 후 굴착/파쇄 재시공 충...</t>
        </is>
      </c>
      <c r="R4" s="81">
        <f>HYPERLINK(LEFT(CELL("filename",A1),FIND("[",CELL("filename",A1))-1)&amp;"8.전기분야\3_토목 _ 건축 인터페이스 협의\체크리스트\토목 _ 건축 인터페이스 협의_체크리스트.html", "👉 [클릭] 체크리스트 열기 📄")</f>
        <v/>
      </c>
      <c r="S4" s="9" t="n"/>
      <c r="T4" s="73" t="inlineStr">
        <is>
          <t>● 관련분야 설계기준서 준수</t>
        </is>
      </c>
      <c r="U4" s="73" t="inlineStr">
        <is>
          <t>1) 👉 [더블클릭] 체크리스트 열기 📄</t>
        </is>
      </c>
      <c r="V4" s="29" t="n"/>
    </row>
    <row r="5" ht="139.2" customHeight="1">
      <c r="A5" s="17" t="inlineStr">
        <is>
          <t>9000</t>
        </is>
      </c>
      <c r="B5" s="17" t="inlineStr">
        <is>
          <t>9000-3</t>
        </is>
      </c>
      <c r="C5" s="28" t="inlineStr">
        <is>
          <t>전기분야</t>
        </is>
      </c>
      <c r="D5" s="17" t="inlineStr">
        <is>
          <t>9000-3-4</t>
        </is>
      </c>
      <c r="E5" s="17">
        <f>D4</f>
        <v/>
      </c>
      <c r="F5" s="17">
        <f>D6</f>
        <v/>
      </c>
      <c r="G5" s="17" t="inlineStr">
        <is>
          <t>신호 / 통신 / 기계 / PSD / 차량 인터페이스 협의</t>
        </is>
      </c>
      <c r="H5" s="17" t="inlineStr">
        <is>
          <t>D-180
(D-200~180)</t>
        </is>
      </c>
      <c r="I5" s="17" t="inlineStr">
        <is>
          <t>현장공사팀</t>
        </is>
      </c>
      <c r="J5" s="16" t="inlineStr">
        <is>
          <t>연계분야간 사전조율 및 인터페이스 사항 도출로 재작업 예방</t>
        </is>
      </c>
      <c r="K5" s="33" t="inlineStr">
        <is>
          <t>- 연계분야별 조율 및 협의사항 도출
1) (기계): 부하별 필요전원 및 기동방식 외
2) (신호/통신): 공동관로 포설계획 외
3) (차량): 차량시운전에 필요한 충전설비 가압 일정 수립
4) (전기, 신호, 기계): 위치별 가압일정
- 2차(부하)측 세부 작업범위, 인수인계 이후 작업투입 순서 조율</t>
        </is>
      </c>
      <c r="L5" s="16" t="inlineStr">
        <is>
          <t>인터페이스 회의록 및 관리대장</t>
        </is>
      </c>
      <c r="M5" s="28" t="inlineStr">
        <is>
          <t>"신호, 통신, 기계, PSD 및 트램 차량 전력 공급 관로, 배선 용량 및 트레이 타공 누락 사항 정밀 추출"</t>
        </is>
      </c>
      <c r="N5" s="75">
        <f>HYPERLINK(LEFT(CELL("filename",A1),FIND("[",CELL("filename",A1))-1)&amp;"8.전기분야\4_신호 _ 통신 _ 기계 _ PSD _ 차량 인터페이스 협의\표준서\신호 _ 통신 _ 기계 _ PSD _ 차량 인터페이스 협의_표준서.html", "👉 [클릭] 표준서 열기 📄")</f>
        <v/>
      </c>
      <c r="O5" s="28" t="inlineStr">
        <is>
          <t>전기분야와 타공종(신호, 통신, 기계, PSD, 트램 차량) 간 인터페이스 설계도서 상 누락 및 협의사항 도출, 관로/배선/트레이/인터록 신호선 사전 조율을 통해 재작업을 원천 예방함</t>
        </is>
      </c>
      <c r="P5" s="76">
        <f>HYPERLINK(LEFT(CELL("filename",A1),FIND("[",CELL("filename",A1))-1)&amp;"8.전기분야\4_신호 _ 통신 _ 기계 _ PSD _ 차량 인터페이스 협의\수행지침\신호 _ 통신 _ 기계 _ PSD _ 차량 인터페이스 협의_수행지침.html", "👉 [클릭] 수행지침 열기 📄")</f>
        <v/>
      </c>
      <c r="Q5" s="28" t="inlineStr">
        <is>
          <t>본 체크리스트는 동탄트램 전기분야 시공 착수 전전기분야와 타공종(신호, 통신, 기계, PSD, 트램 차량) 간 인터페이스 설계도서 상 누락 및 협의사항 도출, 관로/배선/트레이/인터록 신호선 사전 조율을 통해 재작업을 원천 ...</t>
        </is>
      </c>
      <c r="R5" s="81">
        <f>HYPERLINK(LEFT(CELL("filename",A1),FIND("[",CELL("filename",A1))-1)&amp;"8.전기분야\4_신호 _ 통신 _ 기계 _ PSD _ 차량 인터페이스 협의\체크리스트\신호 _ 통신 _ 기계 _ PSD _ 차량 인터페이스 협의_체크리스트.html", "👉 [클릭] 체크리스트 열기 📄")</f>
        <v/>
      </c>
      <c r="S5" s="9" t="n"/>
      <c r="T5" s="73" t="inlineStr">
        <is>
          <t>● 관련분야 설계기준서 준수</t>
        </is>
      </c>
      <c r="U5" s="73" t="inlineStr">
        <is>
          <t>1) 👉 [더블클릭] 체크리스트 열기 📄</t>
        </is>
      </c>
      <c r="V5" s="29" t="n"/>
    </row>
    <row r="6" ht="139.2" customHeight="1">
      <c r="A6" s="17" t="inlineStr">
        <is>
          <t>9000</t>
        </is>
      </c>
      <c r="B6" s="17" t="inlineStr">
        <is>
          <t>9000-3</t>
        </is>
      </c>
      <c r="C6" s="28" t="inlineStr">
        <is>
          <t>전기분야</t>
        </is>
      </c>
      <c r="D6" s="17" t="inlineStr">
        <is>
          <t>9000-3-5</t>
        </is>
      </c>
      <c r="E6" s="17">
        <f>D5</f>
        <v/>
      </c>
      <c r="F6" s="17">
        <f>D7</f>
        <v/>
      </c>
      <c r="G6" s="17" t="inlineStr">
        <is>
          <t>전기설비 제작사 인터페이스 협의</t>
        </is>
      </c>
      <c r="H6" s="17" t="inlineStr">
        <is>
          <t>D-180
(D-200~180)</t>
        </is>
      </c>
      <c r="I6" s="17" t="inlineStr">
        <is>
          <t>현장공사팀</t>
        </is>
      </c>
      <c r="J6" s="16" t="inlineStr">
        <is>
          <t>전기설비간 연동방안 검토</t>
        </is>
      </c>
      <c r="K6" s="34" t="inlineStr">
        <is>
          <t>- 내부 인터페이스 및 인허가사항 확인</t>
        </is>
      </c>
      <c r="L6" s="16" t="inlineStr">
        <is>
          <t>인터페이스 회의록 및 관리대장 , 보안성검토 요청서</t>
        </is>
      </c>
      <c r="M6" s="28" t="inlineStr">
        <is>
          <t>"SCADA RTU, 변전소 GIS, 정류기, ESS 릴레이 간 IEC 61850 및 Modbus 통신 핀 맵/신호 주소 1:1 검증"</t>
        </is>
      </c>
      <c r="N6" s="75">
        <f>HYPERLINK(LEFT(CELL("filename",A1),FIND("[",CELL("filename",A1))-1)&amp;"8.전기분야\5_전기설비 제작사 인터페이스 협의\표준서\전기설비 제작사 인터페이스 협의_표준서.html", "👉 [클릭] 표준서 열기 📄")</f>
        <v/>
      </c>
      <c r="O6" s="28" t="inlineStr">
        <is>
          <t>전기설비(변압기, 정류기, ESS, GIS, SCADA RTU) 제작사 사양 사전 반영, 이종 제작사 간 통신 프로토콜(IEC 61850, Modbus) 핀 맵/제어 랙 치수 조율 및 제작사양서 확정</t>
        </is>
      </c>
      <c r="P6" s="76">
        <f>HYPERLINK(LEFT(CELL("filename",A1),FIND("[",CELL("filename",A1))-1)&amp;"8.전기분야\5_전기설비 제작사 인터페이스 협의\수행지침\전기설비 제작사 인터페이스 협의_수행지침.html", "👉 [클릭] 수행지침 열기 📄")</f>
        <v/>
      </c>
      <c r="Q6" s="28" t="inlineStr">
        <is>
          <t>본 체크리스트는 동탄트램 전기분야 시공 착수 전전기설비(변압기, 정류기, ESS, GIS, SCADA RTU) 제작사 사양 사전 반영, 이종 제작사 간 통신 프로토콜(IEC 61850, Modbus) 핀 맵/제어 랙 치수 조...</t>
        </is>
      </c>
      <c r="R6" s="81">
        <f>HYPERLINK(LEFT(CELL("filename",A1),FIND("[",CELL("filename",A1))-1)&amp;"8.전기분야\5_전기설비 제작사 인터페이스 협의\체크리스트\전기설비 제작사 인터페이스 협의_체크리스트.html", "👉 [클릭] 체크리스트 열기 📄")</f>
        <v/>
      </c>
      <c r="S6" s="9" t="n"/>
      <c r="T6" s="73" t="inlineStr">
        <is>
          <t>● 관련분야 설계기준서 준수</t>
        </is>
      </c>
      <c r="U6" s="73" t="inlineStr">
        <is>
          <t>1) 👉 [더블클릭] 체크리스트 열기 📄</t>
        </is>
      </c>
      <c r="V6" s="29" t="n"/>
    </row>
    <row r="7" ht="139.2" customHeight="1">
      <c r="A7" s="17" t="inlineStr">
        <is>
          <t>9000</t>
        </is>
      </c>
      <c r="B7" s="17" t="inlineStr">
        <is>
          <t>9000-3</t>
        </is>
      </c>
      <c r="C7" s="28" t="inlineStr">
        <is>
          <t>전기분야</t>
        </is>
      </c>
      <c r="D7" s="17" t="inlineStr">
        <is>
          <t>9000-3-6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현장공사팀</t>
        </is>
      </c>
      <c r="J7" s="16" t="inlineStr">
        <is>
          <t>관제 및 운영사 요구사항 사전 반영 및 과업범위 최적화</t>
        </is>
      </c>
      <c r="K7" s="33" t="inlineStr">
        <is>
          <t>- 도로교통관제(수원, 동탄) 인터페이스 협의
- 전기설비 운영 및 유지보수자 편의성 향상을 위한 기능추가
  (불필요한 기능을 삭제시에는 사전 협의)
- 기기번호, 인터록(InterLock) Logic, 단로기(위치/번호/형태), 예비품 등 확정
* 인터록: 기계의 각 작동부분 상호간을 전기적, 기계적으로 연결해서 정상으로 작동하기 위한 조건이 만족되지 않는 경우 자동적으로 그 기계를 작동할 수 없도록 하는 기구
* 단로기: 차선로에 급전 및 선로 구분을 목적으로 하는 설비</t>
        </is>
      </c>
      <c r="L7" s="16" t="inlineStr">
        <is>
          <t>인터페이스 회의록 및 관리대장</t>
        </is>
      </c>
      <c r="M7" s="28" t="inlineStr">
        <is>
          <t>"지자체(수원시, 화성시) 도로교통관제 센터와 트램 우선신호 제어기 간 통신 인터페이스 및 연동 협의"</t>
        </is>
      </c>
      <c r="N7" s="75">
        <f>HYPERLINK(LEFT(CELL("filename",A1),FIND("[",CELL("filename",A1))-1)&amp;"8.전기분야\6_관제 및 운영사 인터페이스 협의\표준서\관제 및 운영사 인터페이스 협의_표준서.html", "👉 [클릭] 표준서 열기 📄")</f>
        <v/>
      </c>
      <c r="O7" s="28" t="inlineStr">
        <is>
          <t>수원시/동탄 도로교통관제 트램 우선신호 연동, 트램관제실(OCC) SCADA MMI 심볼 표준화, 차단기/단로기/접지스위치 안전 인터록 Logic 및 유지보수자 편의 기능 사전 협의</t>
        </is>
      </c>
      <c r="P7" s="76">
        <f>HYPERLINK(LEFT(CELL("filename",A1),FIND("[",CELL("filename",A1))-1)&amp;"8.전기분야\6_관제 및 운영사 인터페이스 협의\수행지침\관제 및 운영사 인터페이스 협의_수행지침.html", "👉 [클릭] 수행지침 열기 📄")</f>
        <v/>
      </c>
      <c r="Q7" s="28" t="inlineStr">
        <is>
          <t>본 체크리스트는 동탄트램 전기분야 시공 착수 전수원시/동탄 도로교통관제 트램 우선신호 연동, 트램관제실(OCC) SCADA MMI 심볼 표준화, 차단기/단로기/접지스위치 안전 인터록 Logic 및 유지보수자 편의 기능 사전 ...</t>
        </is>
      </c>
      <c r="R7" s="81">
        <f>HYPERLINK(LEFT(CELL("filename",A1),FIND("[",CELL("filename",A1))-1)&amp;"8.전기분야\6_관제 및 운영사 인터페이스 협의\체크리스트\관제 및 운영사 인터페이스 협의_체크리스트.html", "👉 [클릭] 체크리스트 열기 📄")</f>
        <v/>
      </c>
      <c r="S7" s="9" t="n"/>
      <c r="T7" s="73" t="inlineStr">
        <is>
          <t>● 관련분야 설계기준서 준수</t>
        </is>
      </c>
      <c r="U7" s="73" t="inlineStr">
        <is>
          <t>1) 👉 [더블클릭] 체크리스트 열기 📄</t>
        </is>
      </c>
      <c r="V7" s="29" t="n"/>
    </row>
    <row r="8" ht="139.2" customHeight="1">
      <c r="A8" s="17" t="inlineStr">
        <is>
          <t>9000</t>
        </is>
      </c>
      <c r="B8" s="17" t="inlineStr">
        <is>
          <t>9000-3</t>
        </is>
      </c>
      <c r="C8" s="28" t="inlineStr">
        <is>
          <t>전기분야</t>
        </is>
      </c>
      <c r="D8" s="17" t="inlineStr">
        <is>
          <t>9000-3-7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현장공무팀</t>
        </is>
      </c>
      <c r="J8" s="16" t="inlineStr">
        <is>
          <t>발주처 품질관리 기준/검사방안 확인</t>
        </is>
      </c>
      <c r="K8" s="34" t="inlineStr">
        <is>
          <t>- 감리/감독과 품질검사(ITP/ITC) 항목 검토</t>
        </is>
      </c>
      <c r="L8" s="16" t="inlineStr">
        <is>
          <t>ITP/ITC</t>
        </is>
      </c>
      <c r="M8" s="28" t="inlineStr">
        <is>
          <t>"감리/감독원 입회 품질검측계획서(ITP: Inspection &amp; Test Plan) 작성 및 Hold Point(필수정지점) / Witness Point(입회점) 구분 명시"</t>
        </is>
      </c>
      <c r="N8" s="75">
        <f>HYPERLINK(LEFT(CELL("filename",A1),FIND("[",CELL("filename",A1))-1)&amp;"8.전기분야\7_발주처 품질 요구사항 검토\표준서\발주처 품질 요구사항 검토_표준서.html", "👉 [클릭] 표준서 열기 📄")</f>
        <v/>
      </c>
      <c r="O8" s="28" t="inlineStr">
        <is>
          <t>감리/감독원 품질검사(ITP/ITC) 항목 검토, Hold Point/Witness Point 입회점 구분 수립, 현장 계측기 교정성적서 관리 및 불합격 자재 48시간 내 반출 통제 수칙</t>
        </is>
      </c>
      <c r="P8" s="76">
        <f>HYPERLINK(LEFT(CELL("filename",A1),FIND("[",CELL("filename",A1))-1)&amp;"8.전기분야\7_발주처 품질 요구사항 검토\수행지침\발주처 품질 요구사항 검토_수행지침.html", "👉 [클릭] 수행지침 열기 📄")</f>
        <v/>
      </c>
      <c r="Q8" s="28" t="inlineStr">
        <is>
          <t>본 체크리스트는 동탄트램 전기분야 업무 이행에 대해감리/감독원 품질검사(ITP/ITC) 항목 검토, Hold Point/Witness Point 입회점 구분 수립, 현장 계측기 교정성적서 관리 및 불합격 자재 48시간 내 반...</t>
        </is>
      </c>
      <c r="R8" s="81">
        <f>HYPERLINK(LEFT(CELL("filename",A1),FIND("[",CELL("filename",A1))-1)&amp;"8.전기분야\7_발주처 품질 요구사항 검토\체크리스트\발주처 품질 요구사항 검토_체크리스트.html", "👉 [클릭] 체크리스트 열기 📄")</f>
        <v/>
      </c>
      <c r="S8" s="9" t="n"/>
      <c r="T8" s="73" t="inlineStr">
        <is>
          <t>● 관련분야 설계기준서 준수</t>
        </is>
      </c>
      <c r="U8" s="73" t="inlineStr">
        <is>
          <t>1) 👉 [더블클릭] 체크리스트 열기 📄</t>
        </is>
      </c>
      <c r="V8" s="29" t="n"/>
    </row>
    <row r="9" ht="139.2" customHeight="1">
      <c r="A9" s="17" t="inlineStr">
        <is>
          <t>9000</t>
        </is>
      </c>
      <c r="B9" s="17" t="inlineStr">
        <is>
          <t>9000-3</t>
        </is>
      </c>
      <c r="C9" s="28" t="inlineStr">
        <is>
          <t>전기분야</t>
        </is>
      </c>
      <c r="D9" s="17" t="inlineStr">
        <is>
          <t>9000-3-8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현장공사팀</t>
        </is>
      </c>
      <c r="J9" s="16" t="inlineStr">
        <is>
          <t>자재 / 인원 / 장비 투입 계획 수립</t>
        </is>
      </c>
      <c r="K9" s="33" t="inlineStr">
        <is>
          <t>- 현장 여건 및 수량을 기준으로 투입(인력, 장비, 자재)을 검토</t>
        </is>
      </c>
      <c r="L9" s="16" t="inlineStr">
        <is>
          <t>세부 공정계획 수립 및 조율</t>
        </is>
      </c>
      <c r="M9" s="28" t="inlineStr">
        <is>
          <t>"변압기, GIS, 정류기, ESS, 전차선 등 주요 전기자재 공장 제작 및 수급 소요 기간(Lead Time 30~60일)을 공정표와 사전 연동 통제"</t>
        </is>
      </c>
      <c r="N9" s="75">
        <f>HYPERLINK(LEFT(CELL("filename",A1),FIND("[",CELL("filename",A1))-1)&amp;"8.전기분야\8_자재 _ 인원 _ 장비 등 투입 사전 검토\표준서\자재 _ 인원 _ 장비 등 투입 사전 검토_표준서.html", "👉 [클릭] 표준서 열기 📄")</f>
        <v/>
      </c>
      <c r="O9" s="28" t="inlineStr">
        <is>
          <t>현장 여건 및 공정을 기준으로 주요 자재 Lead Time(30~60일) 사전 발주 검증, 한국전기공사협회 기술자 자격 실물 대조, 고소작업차 안전검사합격증 확인 및 투입계획서 승인</t>
        </is>
      </c>
      <c r="P9" s="76">
        <f>HYPERLINK(LEFT(CELL("filename",A1),FIND("[",CELL("filename",A1))-1)&amp;"8.전기분야\8_자재 _ 인원 _ 장비 등 투입 사전 검토\수행지침\자재 _ 인원 _ 장비 등 투입 사전 검토_수행지침.html", "👉 [클릭] 수행지침 열기 📄")</f>
        <v/>
      </c>
      <c r="Q9" s="28" t="inlineStr">
        <is>
          <t>본 체크리스트는 동탄트램 전기분야 업무 이행에 대해현장 여건 및 공정을 기준으로 주요 자재 Lead Time(30~60일) 사전 발주 검증, 한국전기공사협회 기술자 자격 실물 대조, 고소작업차 안전검사합격증 확인 및 투입계획...</t>
        </is>
      </c>
      <c r="R9" s="81">
        <f>HYPERLINK(LEFT(CELL("filename",A1),FIND("[",CELL("filename",A1))-1)&amp;"8.전기분야\8_자재 _ 인원 _ 장비 등 투입 사전 검토\체크리스트\자재 _ 인원 _ 장비 등 투입 사전 검토_체크리스트.html", "👉 [클릭] 체크리스트 열기 📄")</f>
        <v/>
      </c>
      <c r="S9" s="9" t="n"/>
      <c r="T9" s="73" t="inlineStr">
        <is>
          <t>● 관련분야 설계기준서 준수</t>
        </is>
      </c>
      <c r="U9" s="73" t="inlineStr">
        <is>
          <t>1) 👉 [더블클릭] 체크리스트 열기 📄</t>
        </is>
      </c>
      <c r="V9" s="29" t="n"/>
    </row>
    <row r="10" ht="139.2" customHeight="1">
      <c r="A10" s="17" t="inlineStr">
        <is>
          <t>9000</t>
        </is>
      </c>
      <c r="B10" s="17" t="inlineStr">
        <is>
          <t>9000-3</t>
        </is>
      </c>
      <c r="C10" s="28" t="inlineStr">
        <is>
          <t>전기분야</t>
        </is>
      </c>
      <c r="D10" s="17" t="inlineStr">
        <is>
          <t>9000-3-9</t>
        </is>
      </c>
      <c r="E10" s="17">
        <f>D9</f>
        <v/>
      </c>
      <c r="F10" s="17">
        <f>D11</f>
        <v/>
      </c>
      <c r="G10" s="17" t="inlineStr">
        <is>
          <t>인허가 준비</t>
        </is>
      </c>
      <c r="H10" s="17" t="inlineStr">
        <is>
          <t>D-180
(D-200~180)</t>
        </is>
      </c>
      <c r="I10" s="17" t="inlineStr">
        <is>
          <t>현장공무팀</t>
        </is>
      </c>
      <c r="J10" s="16" t="inlineStr">
        <is>
          <t>관련법에 따른 인허가 수행</t>
        </is>
      </c>
      <c r="K10" s="33" t="inlineStr">
        <is>
          <t>- 인허가(전기사용신청, 공사계획신고, 도로점용허가, 도로공사 신고, 전기 사용전검사 등) 추진 계획을 To do list 작성하여 관리</t>
        </is>
      </c>
      <c r="L10" s="16" t="inlineStr">
        <is>
          <t>인허가 To do list</t>
        </is>
      </c>
      <c r="M10" s="28" t="inlineStr">
        <is>
          <t>"관할 한전에 수전 용량 계산서, 건축허가서, 22.9kV 수전 단선도 첨부 전기사용신청서 제출(처리기간 1개월) 및 인수점 지중 맨홀 협의"</t>
        </is>
      </c>
      <c r="N10" s="75">
        <f>HYPERLINK(LEFT(CELL("filename",A1),FIND("[",CELL("filename",A1))-1)&amp;"8.전기분야\9_인허가 준비\표준서\인허가 준비_표준서.html", "👉 [클릭] 표준서 열기 📄")</f>
        <v/>
      </c>
      <c r="O10" s="28" t="inlineStr">
        <is>
          <t>한전 22.9kV 수전 전기사용신청, 지자체 전기 공사계획신고, 도로점용허가(도로법 56조), 도로공사신고(도로교통법 69조) 및 KESC 사용전검사 인허가 To-Do List 추적 관리</t>
        </is>
      </c>
      <c r="P10" s="76">
        <f>HYPERLINK(LEFT(CELL("filename",A1),FIND("[",CELL("filename",A1))-1)&amp;"8.전기분야\9_인허가 준비\수행지침\인허가 준비_수행지침.html", "👉 [클릭] 수행지침 열기 📄")</f>
        <v/>
      </c>
      <c r="Q10" s="28" t="inlineStr">
        <is>
          <t>본 체크리스트는 동탄트램 전기분야 업무 이행에 대해한전 22.9kV 수전 전기사용신청, 지자체 전기 공사계획신고, 도로점용허가(도로법 56조), 도로공사신고(도로교통법 69조) 및 KESC 사용전검사 인허가 To-Do Lis...</t>
        </is>
      </c>
      <c r="R10" s="81">
        <f>HYPERLINK(LEFT(CELL("filename",A1),FIND("[",CELL("filename",A1))-1)&amp;"8.전기분야\9_인허가 준비\체크리스트\인허가 준비_체크리스트.html", "👉 [클릭] 체크리스트 열기 📄")</f>
        <v/>
      </c>
      <c r="S10" s="9" t="n"/>
      <c r="T10" s="73" t="inlineStr">
        <is>
          <t>● 관련분야 설계기준서 준수</t>
        </is>
      </c>
      <c r="U10" s="73" t="inlineStr">
        <is>
          <t>1) 👉 [더블클릭] 체크리스트 열기 📄</t>
        </is>
      </c>
      <c r="V10" s="29" t="n"/>
    </row>
    <row r="11" ht="226.2" customHeight="1">
      <c r="A11" s="17" t="inlineStr">
        <is>
          <t>9000</t>
        </is>
      </c>
      <c r="B11" s="17" t="inlineStr">
        <is>
          <t>9000-3</t>
        </is>
      </c>
      <c r="C11" s="28" t="inlineStr">
        <is>
          <t>전기분야</t>
        </is>
      </c>
      <c r="D11" s="17" t="inlineStr">
        <is>
          <t>9000-3-10</t>
        </is>
      </c>
      <c r="E11" s="17">
        <f>D10</f>
        <v/>
      </c>
      <c r="F11" s="17">
        <f>D12</f>
        <v/>
      </c>
      <c r="G11" s="17" t="inlineStr">
        <is>
          <t>착수 전 Big Room 회의</t>
        </is>
      </c>
      <c r="H11" s="17" t="inlineStr">
        <is>
          <t>D-170</t>
        </is>
      </c>
      <c r="I11" s="17" t="inlineStr">
        <is>
          <t>현장공무팀</t>
        </is>
      </c>
      <c r="J11" s="16" t="inlineStr">
        <is>
          <t>전철전력공사 수행 시, 선행공정 간섭사항 및 각종 Risk에 대한 대책 수립</t>
        </is>
      </c>
      <c r="K11" s="34" t="inlineStr">
        <is>
          <t>본사/현장/협력사 협의체 구축 후 상세검토
 - 공종별 간섭사항 검토: 노반(궤도)/신호/통신/기계/차량 인터페이스
 - 전기 자재 반입로/기자재 반입구/자재 야적장/제작사 공장 검토
 - 전기 자재 성능보증 검토: 유사사례 적용실적 및 성능보증 세부사항 등
 - 하자 예방: 타 프로젝트 하자사례 검토 후, 재발방지방안 수립
 - 인원, 자재, 장비 투입계획, 양중장비 운영계획 검토
 - 당사의 장비 안전검사 기준 공유, 장비검사 계획 확인
 - 공종별 Risk Hedge 방안 검토
  1) 안전/품질 Risk 도출 및 대책 수립 
  2) 민원 대응방안 수립
• 참석: 현장소장, 공무/공사/품질/안전팀담당자, 전철전력 협력업체, 선후행 공종 협력업체(토목, 시운전 등), 본사 담당팀(견적/엔지니어링/공정/품질/안전), 수행(공정)/품질/안전</t>
        </is>
      </c>
      <c r="L11" s="16" t="inlineStr">
        <is>
          <t>Big Room 회의록(참석자 전원 서명)</t>
        </is>
      </c>
      <c r="M11" s="28" t="inlineStr">
        <is>
          <t>"노반(궤도), 신호, 통신, 기계, PSD, 차량 인터페이스 및 3D BIM 공간 간섭을 전면 사전 검토한다."</t>
        </is>
      </c>
      <c r="N11" s="75">
        <f>HYPERLINK(LEFT(CELL("filename",A1),FIND("[",CELL("filename",A1))-1)&amp;"8.전기분야\10_착수 전 Big Room 회의\표준서\착수 전 Big Room 회의_표준서.html", "👉 [클릭] 표준서 열기 📄")</f>
        <v/>
      </c>
      <c r="O11" s="28" t="inlineStr">
        <is>
          <t>본 지침서는 동탄트램 전기분야 실공사 착수 전본사, 현장, 협력사 및 토목/신호/차량 3자 협의체 구축 방법,3D BIM 공종 간섭 조율, 자재 반입 동선/야적장 확보, 타 프로젝트 하자사례 분석 및 안전/민원 Risk He...</t>
        </is>
      </c>
      <c r="P11" s="76">
        <f>HYPERLINK(LEFT(CELL("filename",A1),FIND("[",CELL("filename",A1))-1)&amp;"8.전기분야\10_착수 전 Big Room 회의\수행지침\착수 전 Big Room 회의_수행지침.html", "👉 [클릭] 수행지침 열기 📄")</f>
        <v/>
      </c>
      <c r="Q11" s="28" t="inlineStr">
        <is>
          <t>본 체크리스트는 동탄트램 전기분야 실공사 착수 전본사, 현장, 협력사 및 토목/신호/차량 3자 협의체를 구축하여 3D BIM 공종 간섭, 자재 반입 동선, 타 현장 하자사례 재발방지책 및 Risk Hedge 방안을 확정하기 ...</t>
        </is>
      </c>
      <c r="R11" s="81">
        <f>HYPERLINK(LEFT(CELL("filename",A1),FIND("[",CELL("filename",A1))-1)&amp;"8.전기분야\10_착수 전 Big Room 회의\체크리스트\착수 전 Big Room 회의_체크리스트.html", "👉 [클릭] 체크리스트 열기 📄")</f>
        <v/>
      </c>
      <c r="S11" s="9" t="n"/>
      <c r="T11" s="73" t="inlineStr">
        <is>
          <t>● 관련분야 설계기준서 준수</t>
        </is>
      </c>
      <c r="U11" s="73" t="inlineStr">
        <is>
          <t>1) 👉 [더블클릭] 체크리스트 열기 📄</t>
        </is>
      </c>
      <c r="V11" s="29" t="n"/>
    </row>
    <row r="12" ht="121.8" customHeight="1">
      <c r="A12" s="17" t="inlineStr">
        <is>
          <t>9000</t>
        </is>
      </c>
      <c r="B12" s="17" t="inlineStr">
        <is>
          <t>9000-3</t>
        </is>
      </c>
      <c r="C12" s="28" t="inlineStr">
        <is>
          <t>전기분야</t>
        </is>
      </c>
      <c r="D12" s="17" t="inlineStr">
        <is>
          <t>9000-3-11</t>
        </is>
      </c>
      <c r="E12" s="17">
        <f>D11</f>
        <v/>
      </c>
      <c r="F12" s="17">
        <f>D13</f>
        <v/>
      </c>
      <c r="G12" s="17" t="inlineStr">
        <is>
          <t>전기설비 제작 사양서 작성 / 승인</t>
        </is>
      </c>
      <c r="H12" s="17" t="inlineStr">
        <is>
          <t>D-90
(D-180~90)</t>
        </is>
      </c>
      <c r="I12" s="17" t="inlineStr">
        <is>
          <t>현장공사팀</t>
        </is>
      </c>
      <c r="J12" s="16" t="inlineStr">
        <is>
          <t>전기설비의 제작 사양서 작성/승인</t>
        </is>
      </c>
      <c r="K12" s="34" t="inlineStr">
        <is>
          <t>- 현장여건 및 실시설계도서(보고서,도면,자재사양서)의 요구사항 충족 여부를 확인
- 제작사양서, 제작도면 작성 후 감리단 승인</t>
        </is>
      </c>
      <c r="L12" s="16" t="inlineStr">
        <is>
          <t>제작사양서, 제작도면</t>
        </is>
      </c>
      <c r="M12" s="28" t="inlineStr">
        <is>
          <t>"변압기 용량, 정류기 정격, ESS 배터리 세부 기술사양서 검토 및 시방 규격 1:1 대조 파악"</t>
        </is>
      </c>
      <c r="N12" s="75">
        <f>HYPERLINK(LEFT(CELL("filename",A1),FIND("[",CELL("filename",A1))-1)&amp;"8.전기분야\11_전기설비 제작 사양서 작성 _ 승인\표준서\전기설비 제작 사양서 작성 _ 승인_표준서.html", "👉 [클릭] 표준서 열기 📄")</f>
        <v/>
      </c>
      <c r="O12" s="28" t="inlineStr">
        <is>
          <t>전기설비(변압기, 정류기, ESS, GIS, SCADA) 공장 제작 착수 전 발주처 특기시방서 및 KDS 47 00 00 철도설계기준에 따른 상세 기술사양서 및 공장 제작 승인도면(Shop Drawing) 검토</t>
        </is>
      </c>
      <c r="P12" s="76">
        <f>HYPERLINK(LEFT(CELL("filename",A1),FIND("[",CELL("filename",A1))-1)&amp;"8.전기분야\11_전기설비 제작 사양서 작성 _ 승인\수행지침\전기설비 제작 사양서 작성 _ 승인_수행지침.html", "👉 [클릭] 수행지침 열기 📄")</f>
        <v/>
      </c>
      <c r="Q12" s="28" t="inlineStr">
        <is>
          <t>본 체크리스트는 동탄트램 전기분야 전기설비 제작 사양서 작성 / 승인 업무 이행에 대해전기설비(변압기, 정류기, ESS, GIS, SCADA) 공장 제작 착수 전 발주처 특기시방서 및 KDS 47 00 00 철도설계기준에 따...</t>
        </is>
      </c>
      <c r="R12" s="81">
        <f>HYPERLINK(LEFT(CELL("filename",A1),FIND("[",CELL("filename",A1))-1)&amp;"8.전기분야\11_전기설비 제작 사양서 작성 _ 승인\체크리스트\전기설비 제작 사양서 작성 _ 승인_체크리스트.html", "👉 [클릭] 체크리스트 열기 📄")</f>
        <v/>
      </c>
      <c r="S12" s="9" t="n"/>
      <c r="T12" s="73" t="inlineStr">
        <is>
          <t>● 관련분야 설계기준서 준수</t>
        </is>
      </c>
      <c r="U12" s="73" t="inlineStr">
        <is>
          <t>1) 👉 [더블클릭] 체크리스트 열기 📄</t>
        </is>
      </c>
      <c r="V12" s="29" t="n"/>
    </row>
    <row r="13" ht="104.4" customHeight="1">
      <c r="A13" s="17" t="inlineStr">
        <is>
          <t>9000</t>
        </is>
      </c>
      <c r="B13" s="17" t="inlineStr">
        <is>
          <t>9000-3</t>
        </is>
      </c>
      <c r="C13" s="28" t="inlineStr">
        <is>
          <t>전기분야</t>
        </is>
      </c>
      <c r="D13" s="17" t="inlineStr">
        <is>
          <t>9000-3-12</t>
        </is>
      </c>
      <c r="E13" s="17">
        <f>D12</f>
        <v/>
      </c>
      <c r="F13" s="17">
        <f>D14</f>
        <v/>
      </c>
      <c r="G13" s="17" t="inlineStr">
        <is>
          <t>시공 계획 수립 / 승인</t>
        </is>
      </c>
      <c r="H13" s="17" t="inlineStr">
        <is>
          <t>D-60
(D-90~60)</t>
        </is>
      </c>
      <c r="I13" s="17" t="inlineStr">
        <is>
          <t>현장공사팀</t>
        </is>
      </c>
      <c r="J13" s="16" t="inlineStr">
        <is>
          <t>안전/품질이 확보된 시공계획 수립</t>
        </is>
      </c>
      <c r="K13" s="33" t="inlineStr">
        <is>
          <t>- 공사계획: 예정공정표, 인원/장비/자재투입 계획, 전기자재 설치 절차서 등
- 안전관리: 위험요인/대책, 안전교육/시설/점검 계획 수립
- 품질관리: 품질하자 Risk 및 대책 수립
- 전기공사 수행을 위한 처리계통별 시공계획 수립 : 본선/전기실의 전기설비 설치 방법 및 관리사항, 각종 시험 방법 등</t>
        </is>
      </c>
      <c r="L13" s="19" t="inlineStr">
        <is>
          <t>시공계획서&amp;시공상세도</t>
        </is>
      </c>
      <c r="M13" s="28" t="inlineStr">
        <is>
          <t>"변전기기 반입, Cable Tray 설치, 전차선 지주 입립 시공 순서 및 3D BIM 공정 수립"</t>
        </is>
      </c>
      <c r="N13" s="75">
        <f>HYPERLINK(LEFT(CELL("filename",A1),FIND("[",CELL("filename",A1))-1)&amp;"8.전기분야\12_시공 계획 수립 _ 승인\표준서\시공 계획 수립 _ 승인_표준서.html", "👉 [클릭] 표준서 열기 📄")</f>
        <v/>
      </c>
      <c r="O13" s="28" t="inlineStr">
        <is>
          <t>전기분야 공정별(변전소, 전차선, 케이블 포설) 상세 시공계획서 수립, 예정공정표(Critical Path) 검토, 시공 순서 및 안전/품질 관리대책 수립 후 감리단 공학적 승인 완수</t>
        </is>
      </c>
      <c r="P13" s="76">
        <f>HYPERLINK(LEFT(CELL("filename",A1),FIND("[",CELL("filename",A1))-1)&amp;"8.전기분야\12_시공 계획 수립 _ 승인\수행지침\시공 계획 수립 _ 승인_수행지침.html", "👉 [클릭] 수행지침 열기 📄")</f>
        <v/>
      </c>
      <c r="Q13" s="28" t="inlineStr">
        <is>
          <t>본 체크리스트는 동탄트램 전기분야 시공 계획 수립 / 승인 업무 이행에 대해전기분야 공정별(변전소, 전차선, 케이블 포설) 상세 시공계획서 수립, 예정공정표(Critical Path) 검토, 시공 순서 및 안전/품질 관리대책...</t>
        </is>
      </c>
      <c r="R13" s="81">
        <f>HYPERLINK(LEFT(CELL("filename",A1),FIND("[",CELL("filename",A1))-1)&amp;"8.전기분야\12_시공 계획 수립 _ 승인\체크리스트\시공 계획 수립 _ 승인_체크리스트.html", "👉 [클릭] 체크리스트 열기 📄")</f>
        <v/>
      </c>
      <c r="S13" s="9" t="n"/>
      <c r="T13" s="73" t="inlineStr">
        <is>
          <t>● 관련분야 설계기준서 준수</t>
        </is>
      </c>
      <c r="U13" s="73" t="inlineStr">
        <is>
          <t>1) 👉 [더블클릭] 체크리스트 열기 📄</t>
        </is>
      </c>
      <c r="V13" s="29" t="n"/>
    </row>
    <row r="14" ht="69.59999999999999" customHeight="1">
      <c r="A14" s="17" t="inlineStr">
        <is>
          <t>9000</t>
        </is>
      </c>
      <c r="B14" s="17" t="inlineStr">
        <is>
          <t>9000-3</t>
        </is>
      </c>
      <c r="C14" s="28" t="inlineStr">
        <is>
          <t>전기분야</t>
        </is>
      </c>
      <c r="D14" s="17" t="inlineStr">
        <is>
          <t>9000-3-13</t>
        </is>
      </c>
      <c r="E14" s="17">
        <f>D13</f>
        <v/>
      </c>
      <c r="F14" s="17">
        <f>D15</f>
        <v/>
      </c>
      <c r="G14" s="17" t="inlineStr">
        <is>
          <t>자재공급원/기자재 제작도서 승인</t>
        </is>
      </c>
      <c r="H14" s="17" t="inlineStr">
        <is>
          <t>D-30
(D-60~30)</t>
        </is>
      </c>
      <c r="I14" s="17" t="inlineStr">
        <is>
          <t>현장공무팀</t>
        </is>
      </c>
      <c r="J14" s="16" t="inlineStr">
        <is>
          <t>전기설비의 시공성과 품질, 기능 확보를 위한 자재 공급원 검토 및 승인</t>
        </is>
      </c>
      <c r="K14" s="34" t="inlineStr">
        <is>
          <t>- 전기자재 제작능력, 납품실적 등 확인
- 성능보증이 가능한 복수의 공급원 검토
- 자재공급원 서류 제출후 감리단 승인</t>
        </is>
      </c>
      <c r="L14" s="16" t="inlineStr">
        <is>
          <t>자재공급원 승인 서류</t>
        </is>
      </c>
      <c r="M14" s="28" t="inlineStr">
        <is>
          <t>"제조사 공장등록증, 사업자등록증, ISO 품질인증서 및 유사 철도/트램 납품 실적 검증"</t>
        </is>
      </c>
      <c r="N14" s="75">
        <f>HYPERLINK(LEFT(CELL("filename",A1),FIND("[",CELL("filename",A1))-1)&amp;"8.전기분야\13_자재공급원_기자재 제작도서 승인\표준서\자재공급원_기자재 제작도서 승인_표준서.html", "👉 [클릭] 표준서 열기 📄")</f>
        <v/>
      </c>
      <c r="O14" s="28" t="inlineStr">
        <is>
          <t>전기자재 공급원 자격 검증(KS/KC 인증, 공장등록증, 납품실적), 제조사 시험성적서 대조 및 공장 제작 승인도면(Shop Drawing) 감리단 적격 승인 수검</t>
        </is>
      </c>
      <c r="P14" s="76">
        <f>HYPERLINK(LEFT(CELL("filename",A1),FIND("[",CELL("filename",A1))-1)&amp;"8.전기분야\13_자재공급원_기자재 제작도서 승인\수행지침\자재공급원_기자재 제작도서 승인_수행지침.html", "👉 [클릭] 수행지침 열기 📄")</f>
        <v/>
      </c>
      <c r="Q14" s="28" t="inlineStr">
        <is>
          <t>본 체크리스트는 동탄트램 전기분야 자재공급원/기자재 제작도서 승인 업무 이행에 대해전기자재 공급원 자격 검증(KS/KC 인증, 공장등록증, 납품실적), 제조사 시험성적서 대조 및 공장 제작 승인도면(Shop Drawing) ...</t>
        </is>
      </c>
      <c r="R14" s="81">
        <f>HYPERLINK(LEFT(CELL("filename",A1),FIND("[",CELL("filename",A1))-1)&amp;"8.전기분야\13_자재공급원_기자재 제작도서 승인\체크리스트\자재공급원_기자재 제작도서 승인_체크리스트.html", "👉 [클릭] 체크리스트 열기 📄")</f>
        <v/>
      </c>
      <c r="S14" s="9" t="n"/>
      <c r="T14" s="73" t="inlineStr">
        <is>
          <t>● 관련분야 설계기준서 준수</t>
        </is>
      </c>
      <c r="U14" s="73" t="inlineStr">
        <is>
          <t>1) 👉 [더블클릭] 체크리스트 열기 📄</t>
        </is>
      </c>
      <c r="V14" s="29" t="n"/>
    </row>
    <row r="15" ht="191.4" customHeight="1">
      <c r="A15" s="17" t="inlineStr">
        <is>
          <t>9000</t>
        </is>
      </c>
      <c r="B15" s="17" t="inlineStr">
        <is>
          <t>9000-3</t>
        </is>
      </c>
      <c r="C15" s="28" t="inlineStr">
        <is>
          <t>전기분야</t>
        </is>
      </c>
      <c r="D15" s="17" t="inlineStr">
        <is>
          <t>9000-3-14</t>
        </is>
      </c>
      <c r="E15" s="17">
        <f>D14</f>
        <v/>
      </c>
      <c r="F15" s="17">
        <f>D16</f>
        <v/>
      </c>
      <c r="G15" s="17" t="inlineStr">
        <is>
          <t>전기설비 공정제작 / 제작사 공장검사</t>
        </is>
      </c>
      <c r="H15" s="17" t="inlineStr">
        <is>
          <t>D-30
(D-30~D+150)</t>
        </is>
      </c>
      <c r="I15" s="17" t="inlineStr">
        <is>
          <t>현장공사팀</t>
        </is>
      </c>
      <c r="J15" s="16" t="inlineStr">
        <is>
          <t>제작사양서/제작도면의 일치여부검토 및 현장반입 전 제품 성능검사 확인</t>
        </is>
      </c>
      <c r="K15" s="34" t="inlineStr">
        <is>
          <t>- 외산자재 등 Delivery 일정 확인
- 제작도서 기준으로 최종 제작상태 확인
- 제작도면과 일치여부 확인
- 제품 성능검사 시험 실시
[전철전력분야 공장검사 대상 항목]
- 154kV 특고압케이블, R-C 뱅크, 가스절연개폐장치(170kV/72.5kV/29kV), 고장점표정장치, 스마트급전제어장치, 급전용변압기, 단권변압기(유입/건식), 원격인프라장치, 전압보전반, 전철제어반, C-GIS, LED 등기구, 몰드형 교류필터, 배전반, MCC반, 조명제어, 조명타워, 통신제어장치, 특고압케이블(66kV/22.9kV), 전차선, 조가선, 전기용 경동선, ACSR, 통합금 급구류, 자동장력조정장치, 전철용애자, 구분장치, 피뢰기, 파형동관선(200㎡)</t>
        </is>
      </c>
      <c r="L15" s="16" t="inlineStr">
        <is>
          <t>공장검사 결과보고서(감리/감독 입회)</t>
        </is>
      </c>
      <c r="M15" s="28" t="inlineStr">
        <is>
          <t>"제작사 부품 조달 현황, 외함 판금/도장 및 내부 배선 조립 공정 공정표 100% 관리"</t>
        </is>
      </c>
      <c r="N15" s="75">
        <f>HYPERLINK(LEFT(CELL("filename",A1),FIND("[",CELL("filename",A1))-1)&amp;"8.전기분야\14_전기설비 공정제작 _ 제작사 공장검사\표준서\전기설비 공정제작 _ 제작사 공장검사_표준서.html", "👉 [클릭] 표준서 열기 📄")</f>
        <v/>
      </c>
      <c r="O15" s="28" t="inlineStr">
        <is>
          <t>정류기, 변압기, ESS, GIS, SCADA 제작사 공장 공정 제작 관리 및 감리단/발주처 입회 공장시험(FAT: Factory Acceptance Test) 수행과 시험성적서 승인 완수</t>
        </is>
      </c>
      <c r="P15" s="76">
        <f>HYPERLINK(LEFT(CELL("filename",A1),FIND("[",CELL("filename",A1))-1)&amp;"8.전기분야\14_전기설비 공정제작 _ 제작사 공장검사\수행지침\전기설비 공정제작 _ 제작사 공장검사_수행지침.html", "👉 [클릭] 수행지침 열기 📄")</f>
        <v/>
      </c>
      <c r="Q15" s="28" t="inlineStr">
        <is>
          <t>본 체크리스트는 동탄트램 전기분야 전기설비 공정제작 / 제작사 공장검사 업무 이행에 대해정류기, 변압기, ESS, GIS, SCADA 제작사 공장 공정 제작 관리 및 감리단/발주처 입회 공장시험(FAT: Factory Acc...</t>
        </is>
      </c>
      <c r="R15" s="81">
        <f>HYPERLINK(LEFT(CELL("filename",A1),FIND("[",CELL("filename",A1))-1)&amp;"8.전기분야\14_전기설비 공정제작 _ 제작사 공장검사\체크리스트\전기설비 공정제작 _ 제작사 공장검사_체크리스트.html", "👉 [클릭] 체크리스트 열기 📄")</f>
        <v/>
      </c>
      <c r="S15" s="9" t="n"/>
      <c r="T15" s="73" t="inlineStr">
        <is>
          <t>● 관련분야 설계기준서 준수</t>
        </is>
      </c>
      <c r="U15" s="73" t="inlineStr">
        <is>
          <t>1) 👉 [더블클릭] 체크리스트 열기 📄</t>
        </is>
      </c>
      <c r="V15" s="29" t="n"/>
    </row>
    <row r="16" ht="69.59999999999999" customHeight="1">
      <c r="A16" s="17" t="inlineStr">
        <is>
          <t>9000</t>
        </is>
      </c>
      <c r="B16" s="17" t="inlineStr">
        <is>
          <t>9000-3</t>
        </is>
      </c>
      <c r="C16" s="28" t="inlineStr">
        <is>
          <t>전기분야</t>
        </is>
      </c>
      <c r="D16" s="17" t="inlineStr">
        <is>
          <t>9000-3-15</t>
        </is>
      </c>
      <c r="E16" s="17">
        <f>D15</f>
        <v/>
      </c>
      <c r="F16" s="17">
        <f>D17</f>
        <v/>
      </c>
      <c r="G16" s="17" t="inlineStr">
        <is>
          <t>본공사 전 선행공정 인수인계 점검</t>
        </is>
      </c>
      <c r="H16" s="17" t="inlineStr">
        <is>
          <t>D-10
(D-20~10)</t>
        </is>
      </c>
      <c r="I16" s="17" t="inlineStr">
        <is>
          <t>현장공사팀</t>
        </is>
      </c>
      <c r="J16" s="16" t="inlineStr">
        <is>
          <t>전기설비 설치전 준비상태 확인</t>
        </is>
      </c>
      <c r="K16" s="34" t="inlineStr">
        <is>
          <t>- 전기설비 설치 시 간섭여부 점검
- 현장 시공상태 확인 (건축, 노반(토목) 등)
- 수배전반, 외함, 변압기 등 자재 반입구 위치 및 운반경로 확인, 케이블 포설을 위한 공동구/개구부 위치 체크</t>
        </is>
      </c>
      <c r="L16" s="16" t="inlineStr">
        <is>
          <t>기록지, 현장점검결과보고서(감리입회)</t>
        </is>
      </c>
      <c r="M16" s="28" t="inlineStr">
        <is>
          <t>"건축 변전실 구조물 완성도, 노반 궤도 시공 상태 및 전기 설치 간섭 여부 정밀 실측"</t>
        </is>
      </c>
      <c r="N16" s="75">
        <f>HYPERLINK(LEFT(CELL("filename",A1),FIND("[",CELL("filename",A1))-1)&amp;"8.전기분야\15_본공사 전 선행공정 인수인계 점검\표준서\본공사 전 선행공정 인수인계 점검_표준서.html", "👉 [클릭] 표준서 열기 📄")</f>
        <v/>
      </c>
      <c r="O16" s="28" t="inlineStr">
        <is>
          <t>토목, 노반(궤도), 건축 선행 공정 완성도 실측, 변전실/개구부/공동구 간섭 점검, 자재 반입구 및 반입 동선 인수인계 합동 점검 수행</t>
        </is>
      </c>
      <c r="P16" s="76">
        <f>HYPERLINK(LEFT(CELL("filename",A1),FIND("[",CELL("filename",A1))-1)&amp;"8.전기분야\15_본공사 전 선행공정 인수인계 점검\수행지침\본공사 전 선행공정 인수인계 점검_수행지침.html", "👉 [클릭] 수행지침 열기 📄")</f>
        <v/>
      </c>
      <c r="Q16" s="28" t="inlineStr">
        <is>
          <t>본 체크리스트는 동탄트램 전기분야 본공사 전 선행공정 인수인계 점검 업무 이행에 대해토목, 노반(궤도), 건축 선행 공정 완성도 실측, 변전실/개구부/공동구 간섭 점검, 자재 반입구 및 반입 동선 인수인계 합동 점검 수행 관...</t>
        </is>
      </c>
      <c r="R16" s="81">
        <f>HYPERLINK(LEFT(CELL("filename",A1),FIND("[",CELL("filename",A1))-1)&amp;"8.전기분야\15_본공사 전 선행공정 인수인계 점검\체크리스트\본공사 전 선행공정 인수인계 점검_체크리스트.html", "👉 [클릭] 체크리스트 열기 📄")</f>
        <v/>
      </c>
      <c r="S16" s="9" t="n"/>
      <c r="T16" s="73" t="inlineStr">
        <is>
          <t>● 관련분야 설계기준서 준수</t>
        </is>
      </c>
      <c r="U16" s="73" t="inlineStr">
        <is>
          <t>1) 👉 [더블클릭] 체크리스트 열기 📄</t>
        </is>
      </c>
      <c r="V16" s="29" t="n"/>
    </row>
    <row r="17" ht="69.59999999999999" customHeight="1">
      <c r="A17" s="17" t="inlineStr">
        <is>
          <t>9000</t>
        </is>
      </c>
      <c r="B17" s="17" t="inlineStr">
        <is>
          <t>9000-3</t>
        </is>
      </c>
      <c r="C17" s="28" t="inlineStr">
        <is>
          <t>전기분야</t>
        </is>
      </c>
      <c r="D17" s="17" t="inlineStr">
        <is>
          <t>9000-3-16</t>
        </is>
      </c>
      <c r="E17" s="17">
        <f>D16</f>
        <v/>
      </c>
      <c r="F17" s="17">
        <f>D18</f>
        <v/>
      </c>
      <c r="G17" s="17" t="inlineStr">
        <is>
          <t>장비반입 및 안전교육</t>
        </is>
      </c>
      <c r="H17" s="17" t="inlineStr">
        <is>
          <t>D-5
(D-10~5)</t>
        </is>
      </c>
      <c r="I17" s="17" t="inlineStr">
        <is>
          <t>안전팀</t>
        </is>
      </c>
      <c r="J17" s="16" t="inlineStr">
        <is>
          <t>장비 반입 준비 및 안전교육 완료</t>
        </is>
      </c>
      <c r="K17" s="34" t="inlineStr">
        <is>
          <t>- 자재반입 경로, 적치장소에 대한 사전확인 및 타분야 일정, 간섭사항 협의/확인
- 장비 Spec확인, 장비상태 점검
- 작업원 안전교육 실시</t>
        </is>
      </c>
      <c r="L17" s="16" t="inlineStr">
        <is>
          <t>안전교육 결과서, 측량기록지</t>
        </is>
      </c>
      <c r="M17" s="28" t="inlineStr">
        <is>
          <t>"장비 진입 경로 및 적치장 사전확인, 타분야 작업 일정 및 지상/지하 구조물 간섭 협의"</t>
        </is>
      </c>
      <c r="N17" s="75">
        <f>HYPERLINK(LEFT(CELL("filename",A1),FIND("[",CELL("filename",A1))-1)&amp;"8.전기분야\16_장비반입 및 안전교육\표준서\장비반입 및 안전교육_표준서.html", "👉 [클릭] 표준서 열기 📄")</f>
        <v/>
      </c>
      <c r="O17" s="28" t="inlineStr">
        <is>
          <t>고소작업차, 케이블 포설차, 활선 작업 장비 현장 반입 동선/적치장 확인, 장비 Spec 및 안전검사필증 점검, 작업원 특별안전교육 실시</t>
        </is>
      </c>
      <c r="P17" s="76">
        <f>HYPERLINK(LEFT(CELL("filename",A1),FIND("[",CELL("filename",A1))-1)&amp;"8.전기분야\16_장비반입 및 안전교육\수행지침\장비반입 및 안전교육_수행지침.html", "👉 [클릭] 수행지침 열기 📄")</f>
        <v/>
      </c>
      <c r="Q17" s="28" t="inlineStr">
        <is>
          <t>본 체크리스트는 동탄트램 전기분야 장비반입 및 안전교육 업무 이행에 대해고소작업차, 케이블 포설차, 활선 작업 장비 현장 반입 동선/적치장 확인, 장비 Spec 및 안전검사필증 점검, 작업원 특별안전교육 실시 관련 실무 요소...</t>
        </is>
      </c>
      <c r="R17" s="81">
        <f>HYPERLINK(LEFT(CELL("filename",A1),FIND("[",CELL("filename",A1))-1)&amp;"8.전기분야\16_장비반입 및 안전교육\체크리스트\장비반입 및 안전교육_체크리스트.html", "👉 [클릭] 체크리스트 열기 📄")</f>
        <v/>
      </c>
      <c r="S17" s="9" t="n"/>
      <c r="T17" s="73" t="inlineStr">
        <is>
          <t>● 관련분야 설계기준서 준수</t>
        </is>
      </c>
      <c r="U17" s="73" t="inlineStr">
        <is>
          <t>1) 👉 [더블클릭] 체크리스트 열기 📄</t>
        </is>
      </c>
      <c r="V17" s="29" t="n"/>
    </row>
    <row r="18" ht="69.59999999999999" customHeight="1">
      <c r="A18" s="17" t="inlineStr">
        <is>
          <t>9000</t>
        </is>
      </c>
      <c r="B18" s="17" t="inlineStr">
        <is>
          <t>9000-3</t>
        </is>
      </c>
      <c r="C18" s="28" t="inlineStr">
        <is>
          <t>전기분야</t>
        </is>
      </c>
      <c r="D18" s="17" t="inlineStr">
        <is>
          <t>9000-3-17</t>
        </is>
      </c>
      <c r="E18" s="17">
        <f>D17</f>
        <v/>
      </c>
      <c r="F18" s="17">
        <f>D19</f>
        <v/>
      </c>
      <c r="G18" s="17" t="inlineStr">
        <is>
          <t>자재 반입 및 검수</t>
        </is>
      </c>
      <c r="H18" s="17" t="inlineStr">
        <is>
          <t>D+0~D+30</t>
        </is>
      </c>
      <c r="I18" s="17" t="inlineStr">
        <is>
          <t>품질팀</t>
        </is>
      </c>
      <c r="J18" s="16" t="inlineStr">
        <is>
          <t>공장검사 시행 완료된 자재반입과 현장 입고 검사</t>
        </is>
      </c>
      <c r="K18" s="33" t="inlineStr">
        <is>
          <t xml:space="preserve">- 자재 하차 위치 및 반입동선 확인
- 승인된 자재 일치여부 확인(Serial number 등)
- 제품의 규격, 수량 도면과 일치하는지 검수 </t>
        </is>
      </c>
      <c r="L18" s="16" t="inlineStr">
        <is>
          <t>자재검수서</t>
        </is>
      </c>
      <c r="M18" s="28" t="inlineStr">
        <is>
          <t>"자재 하차 통제 구획 설정, 크레인 양중 신호수 배치 및 자재 반입 동선 안전 확보"</t>
        </is>
      </c>
      <c r="N18" s="75">
        <f>HYPERLINK(LEFT(CELL("filename",A1),FIND("[",CELL("filename",A1))-1)&amp;"8.전기분야\17_자재 반입 및 검수\표준서\자재 반입 및 검수_표준서.html", "👉 [클릭] 표준서 열기 📄")</f>
        <v/>
      </c>
      <c r="O18" s="28" t="inlineStr">
        <is>
          <t>전기자재 현장 반입 하차 위치/동선 통제, 승인된 자재공급원 일치 여부(Serial No., Serial Tag) 검수, 도면 규격 및 수량 1:1 대조 확인</t>
        </is>
      </c>
      <c r="P18" s="76">
        <f>HYPERLINK(LEFT(CELL("filename",A1),FIND("[",CELL("filename",A1))-1)&amp;"8.전기분야\17_자재 반입 및 검수\수행지침\자재 반입 및 검수_수행지침.html", "👉 [클릭] 수행지침 열기 📄")</f>
        <v/>
      </c>
      <c r="Q18" s="28" t="inlineStr">
        <is>
          <t>본 체크리스트는 동탄트램 전기분야 자재 반입 및 검수 업무 이행에 대해전기자재 현장 반입 하차 위치/동선 통제, 승인된 자재공급원 일치 여부(Serial No., Serial Tag) 검수, 도면 규격 및 수량 1:1 대조 ...</t>
        </is>
      </c>
      <c r="R18" s="81">
        <f>HYPERLINK(LEFT(CELL("filename",A1),FIND("[",CELL("filename",A1))-1)&amp;"8.전기분야\17_자재 반입 및 검수\체크리스트\자재 반입 및 검수_체크리스트.html", "👉 [클릭] 체크리스트 열기 📄")</f>
        <v/>
      </c>
      <c r="S18" s="9" t="n"/>
      <c r="T18" s="73" t="inlineStr">
        <is>
          <t>● 관련분야 설계기준서 준수</t>
        </is>
      </c>
      <c r="U18" s="73" t="inlineStr">
        <is>
          <t>1) 👉 [더블클릭] 체크리스트 열기 📄</t>
        </is>
      </c>
      <c r="V18" s="29" t="n"/>
    </row>
    <row r="19" ht="69.59999999999999" customHeight="1">
      <c r="A19" s="17" t="inlineStr">
        <is>
          <t>9000</t>
        </is>
      </c>
      <c r="B19" s="17" t="inlineStr">
        <is>
          <t>9000-3</t>
        </is>
      </c>
      <c r="C19" s="28" t="inlineStr">
        <is>
          <t>전기분야</t>
        </is>
      </c>
      <c r="D19" s="17" t="inlineStr">
        <is>
          <t>9000-3-18</t>
        </is>
      </c>
      <c r="E19" s="17">
        <f>D18</f>
        <v/>
      </c>
      <c r="F19" s="17">
        <f>D20</f>
        <v/>
      </c>
      <c r="G19" s="17" t="inlineStr">
        <is>
          <t>전철전력설비 반입 및 설치</t>
        </is>
      </c>
      <c r="H19" s="17" t="inlineStr">
        <is>
          <t>D+31~D+360</t>
        </is>
      </c>
      <c r="I19" s="17" t="inlineStr">
        <is>
          <t>현장공사팀</t>
        </is>
      </c>
      <c r="J19" s="16" t="inlineStr">
        <is>
          <t>설계에 부합되도록 전철전력설비 설치</t>
        </is>
      </c>
      <c r="K19" s="33" t="inlineStr">
        <is>
          <t>- 시공샘플이 필요한 대상을 감리/감독과 협의하여 선정후 시험시공 실시
- 현장설비, 특고압 케이블, 정거장 전기실 내 특고압반/저압반/변압기 설치
- 전기설비가 도면대로 설치되었는지 확인</t>
        </is>
      </c>
      <c r="L19" s="16" t="inlineStr">
        <is>
          <t>검측서</t>
        </is>
      </c>
      <c r="M19" s="28" t="inlineStr">
        <is>
          <t>"감리/감독 협의를 통한 시공 샘플 대상 선정, 시험시공 수행 및 시공 기준서 확정"</t>
        </is>
      </c>
      <c r="N19" s="75">
        <f>HYPERLINK(LEFT(CELL("filename",A1),FIND("[",CELL("filename",A1))-1)&amp;"8.전기분야\18_전철전력설비 반입 및 설치\표준서\전철전력설비 반입 및 설치_표준서.html", "👉 [클릭] 표준서 열기 📄")</f>
        <v/>
      </c>
      <c r="O19" s="28" t="inlineStr">
        <is>
          <t>변전소 수배전반, 정류기, ESS, 특고압반 및 정거장 전기실 기기 반입/설치, 시공 샘플 감리 협의 후 시험시공 및 도면 일치성 최종 검측</t>
        </is>
      </c>
      <c r="P19" s="76">
        <f>HYPERLINK(LEFT(CELL("filename",A1),FIND("[",CELL("filename",A1))-1)&amp;"8.전기분야\18_전철전력설비 반입 및 설치\수행지침\전철전력설비 반입 및 설치_수행지침.html", "👉 [클릭] 수행지침 열기 📄")</f>
        <v/>
      </c>
      <c r="Q19" s="28" t="inlineStr">
        <is>
          <t>본 체크리스트는 동탄트램 전기분야 전철전력설비 반입 및 설치 업무 이행에 대해변전소 수배전반, 정류기, ESS, 특고압반 및 정거장 전기실 기기 반입/설치, 시공 샘플 감리 협의 후 시험시공 및 도면 일치성 최종 검측 관련 ...</t>
        </is>
      </c>
      <c r="R19" s="81">
        <f>HYPERLINK(LEFT(CELL("filename",A1),FIND("[",CELL("filename",A1))-1)&amp;"8.전기분야\18_전철전력설비 반입 및 설치\체크리스트\전철전력설비 반입 및 설치_체크리스트.html", "👉 [클릭] 체크리스트 열기 📄")</f>
        <v/>
      </c>
      <c r="S19" s="9" t="n"/>
      <c r="T19" s="73" t="inlineStr">
        <is>
          <t>● 관련분야 설계기준서 준수</t>
        </is>
      </c>
      <c r="U19" s="73" t="inlineStr">
        <is>
          <t>1) 👉 [더블클릭] 체크리스트 열기 📄</t>
        </is>
      </c>
      <c r="V19" s="29" t="n"/>
    </row>
    <row r="20" ht="69.59999999999999" customHeight="1">
      <c r="A20" s="17" t="inlineStr">
        <is>
          <t>9000</t>
        </is>
      </c>
      <c r="B20" s="17" t="inlineStr">
        <is>
          <t>9000-3</t>
        </is>
      </c>
      <c r="C20" s="28" t="inlineStr">
        <is>
          <t>전기분야</t>
        </is>
      </c>
      <c r="D20" s="17" t="inlineStr">
        <is>
          <t>9000-3-19</t>
        </is>
      </c>
      <c r="E20" s="17">
        <f>D19</f>
        <v/>
      </c>
      <c r="F20" s="17">
        <f>D21</f>
        <v/>
      </c>
      <c r="G20" s="17" t="inlineStr">
        <is>
          <t>수전용 케이블 트레이 및 케이블 포설</t>
        </is>
      </c>
      <c r="H20" s="17" t="inlineStr">
        <is>
          <t>D+150~D+210</t>
        </is>
      </c>
      <c r="I20" s="17" t="inlineStr">
        <is>
          <t>현장공사팀</t>
        </is>
      </c>
      <c r="J20" s="16" t="inlineStr">
        <is>
          <t>전기실에 전기를 공급하기 위해 한전 책임분계점 전주에서 수전전기실까지 배관/배선을 설치</t>
        </is>
      </c>
      <c r="K20" s="34" t="inlineStr">
        <is>
          <t>- 한전 책임분계점으로부터 수전 전기실까지 케이블 트레이를 설치
- 트레이 설치완료 후 특고압케이블 포설 및 단말 접속
(책임분계점: 전기안전에 대한 책임을 나누는 기준점/수급지점)</t>
        </is>
      </c>
      <c r="L20" s="16" t="inlineStr">
        <is>
          <t>검측서</t>
        </is>
      </c>
      <c r="M20" s="28" t="inlineStr">
        <is>
          <t>"한전 인수점 지중 맨홀부터 수전 전기실까지 Cable Tray 수평도 및 고정 행거 설치"</t>
        </is>
      </c>
      <c r="N20" s="75">
        <f>HYPERLINK(LEFT(CELL("filename",A1),FIND("[",CELL("filename",A1))-1)&amp;"8.전기분야\19_수전용 케이블 트레이 및 케이블 포설\표준서\수전용 케이블 트레이 및 케이블 포설_표준서.html", "👉 [클릭] 표준서 열기 📄")</f>
        <v/>
      </c>
      <c r="O20" s="28" t="inlineStr">
        <is>
          <t>한전 책임분계점으로부터 수전 전기실까지 케이블 트레이 수평/수직 고정 설치, 특고압 케이블 포설 및 단말 접속, 절연저항/내전압 시험 완수</t>
        </is>
      </c>
      <c r="P20" s="76">
        <f>HYPERLINK(LEFT(CELL("filename",A1),FIND("[",CELL("filename",A1))-1)&amp;"8.전기분야\19_수전용 케이블 트레이 및 케이블 포설\수행지침\수전용 케이블 트레이 및 케이블 포설_수행지침.html", "👉 [클릭] 수행지침 열기 📄")</f>
        <v/>
      </c>
      <c r="Q20" s="28" t="inlineStr">
        <is>
          <t>본 체크리스트는 동탄트램 전기분야 수전용 케이블 트레이 및 케이블 포설 업무 이행에 대해한전 책임분계점으로부터 수전 전기실까지 케이블 트레이 수평/수직 고정 설치, 특고압 케이블 포설 및 단말 접속, 절연저항/내전압 시험 완...</t>
        </is>
      </c>
      <c r="R20" s="81">
        <f>HYPERLINK(LEFT(CELL("filename",A1),FIND("[",CELL("filename",A1))-1)&amp;"8.전기분야\19_수전용 케이블 트레이 및 케이블 포설\체크리스트\수전용 케이블 트레이 및 케이블 포설_체크리스트.html", "👉 [클릭] 체크리스트 열기 📄")</f>
        <v/>
      </c>
      <c r="S20" s="9" t="n"/>
      <c r="T20" s="73" t="inlineStr">
        <is>
          <t>● 관련분야 설계기준서 준수</t>
        </is>
      </c>
      <c r="U20" s="73" t="inlineStr">
        <is>
          <t>1) 👉 [더블클릭] 체크리스트 열기 📄</t>
        </is>
      </c>
      <c r="V20" s="29" t="n"/>
    </row>
    <row r="21" ht="69.59999999999999" customHeight="1">
      <c r="A21" s="17" t="inlineStr">
        <is>
          <t>9000</t>
        </is>
      </c>
      <c r="B21" s="17" t="inlineStr">
        <is>
          <t>9000-3</t>
        </is>
      </c>
      <c r="C21" s="28" t="inlineStr">
        <is>
          <t>전기분야</t>
        </is>
      </c>
      <c r="D21" s="17" t="inlineStr">
        <is>
          <t>9000-3-20</t>
        </is>
      </c>
      <c r="E21" s="17">
        <f>D20</f>
        <v/>
      </c>
      <c r="F21" s="17">
        <f>D22</f>
        <v/>
      </c>
      <c r="G21" s="17" t="inlineStr">
        <is>
          <t>수전 및 전기공급(급전)</t>
        </is>
      </c>
      <c r="H21" s="17" t="inlineStr">
        <is>
          <t>D+211~D+255</t>
        </is>
      </c>
      <c r="I21" s="17" t="inlineStr">
        <is>
          <t>현장공사팀</t>
        </is>
      </c>
      <c r="J21" s="16" t="inlineStr">
        <is>
          <t>한전으로부터 전기를 인입 후 전기가 필요한 시설들에 순차적으로 전기를 공급</t>
        </is>
      </c>
      <c r="K21" s="33" t="inlineStr">
        <is>
          <t>- 사용전검사 시행 (사용전검사 필증 수령)
- 전기가합계획 수립 및 한전 가입 요청
- 수전 전 기기별 자체시험 실시
- 수전 이후 기계, 통신, 신호 등 분야별 일정에 따라 전기공급 실시</t>
        </is>
      </c>
      <c r="L21" s="16" t="inlineStr">
        <is>
          <t>전기사용승인, 수전 결과서</t>
        </is>
      </c>
      <c r="M21" s="28" t="inlineStr">
        <is>
          <t>"한국전기안전공사 KESC 사용전검사 합격 필증 수령 및 수전 사전 조건 완수"</t>
        </is>
      </c>
      <c r="N21" s="75">
        <f>HYPERLINK(LEFT(CELL("filename",A1),FIND("[",CELL("filename",A1))-1)&amp;"8.전기분야\20_수전 및 전기공급(급전)\표준서\수전 및 전기공급(급전)_표준서.html", "👉 [클릭] 표준서 열기 📄")</f>
        <v/>
      </c>
      <c r="O21" s="28" t="inlineStr">
        <is>
          <t>KESC 사용전검사 합격증 수령, 전기가압계획 수립 및 한전 가입 요청, 수전 전 기기별 자체시험 수행 후 통신/신호/기계 공종별 단계적 전기공급(급전) 시행</t>
        </is>
      </c>
      <c r="P21" s="76">
        <f>HYPERLINK(LEFT(CELL("filename",A1),FIND("[",CELL("filename",A1))-1)&amp;"8.전기분야\20_수전 및 전기공급(급전)\수행지침\수전 및 전기공급(급전)_수행지침.html", "👉 [클릭] 수행지침 열기 📄")</f>
        <v/>
      </c>
      <c r="Q21" s="28" t="inlineStr">
        <is>
          <t>본 체크리스트는 동탄트램 전기분야 수전 및 전기공급(급전) 업무 이행에 대해KESC 사용전검사 합격증 수령, 전기가압계획 수립 및 한전 가입 요청, 수전 전 기기별 자체시험 수행 후 통신/신호/기계 공종별 단계적 전기공급(급...</t>
        </is>
      </c>
      <c r="R21" s="81">
        <f>HYPERLINK(LEFT(CELL("filename",A1),FIND("[",CELL("filename",A1))-1)&amp;"8.전기분야\20_수전 및 전기공급(급전)\체크리스트\수전 및 전기공급(급전)_체크리스트.html", "👉 [클릭] 체크리스트 열기 📄")</f>
        <v/>
      </c>
      <c r="S21" s="9" t="n"/>
      <c r="T21" s="73" t="inlineStr">
        <is>
          <t>● 관련분야 설계기준서 준수</t>
        </is>
      </c>
      <c r="U21" s="73" t="inlineStr">
        <is>
          <t>1) 👉 [더블클릭] 체크리스트 열기 📄</t>
        </is>
      </c>
      <c r="V21" s="29" t="n"/>
    </row>
    <row r="22" ht="69.59999999999999" customHeight="1">
      <c r="A22" s="17" t="inlineStr">
        <is>
          <t>9000</t>
        </is>
      </c>
      <c r="B22" s="17" t="inlineStr">
        <is>
          <t>9000-3</t>
        </is>
      </c>
      <c r="C22" s="28" t="inlineStr">
        <is>
          <t>전기분야</t>
        </is>
      </c>
      <c r="D22" s="17" t="inlineStr">
        <is>
          <t>9000-3-21</t>
        </is>
      </c>
      <c r="E22" s="17">
        <f>D21</f>
        <v/>
      </c>
      <c r="F22" s="17">
        <f>D23</f>
        <v/>
      </c>
      <c r="G22" s="17" t="inlineStr">
        <is>
          <t>종합연동시험(SCADA) 실시</t>
        </is>
      </c>
      <c r="H22" s="17" t="inlineStr">
        <is>
          <t>D+226~D+285</t>
        </is>
      </c>
      <c r="I22" s="17" t="inlineStr">
        <is>
          <t>현장공사팀</t>
        </is>
      </c>
      <c r="J22" s="19" t="inlineStr">
        <is>
          <t>원방제어시스템 구축을 위한 변전/전차선/전력설비의 종합연동시험 실시
* SCADA (Supervisory Control And Data Acquisition): 광범위하고 대용량의 산업설비를 효율적으로 감시 제어하는 원방제어시스템</t>
        </is>
      </c>
      <c r="K22" s="35" t="inlineStr">
        <is>
          <t xml:space="preserve"> - 감리단 입회하에 시험 절차대로 수행
  1) 종합연동시험 계획서 작성
  2) 트램관제실/현장 기기간 인터페이스 시험
  * 현장기기 감시/제어/계측상태 확인 등</t>
        </is>
      </c>
      <c r="L22" s="19" t="inlineStr">
        <is>
          <t>종합연동시험 결과보고서</t>
        </is>
      </c>
      <c r="M22" s="28" t="inlineStr">
        <is>
          <t>"감리단 제출용 SCADA 종합연동시험 계획서, 포인트 맵 및 점검 절차서 작성"</t>
        </is>
      </c>
      <c r="N22" s="75">
        <f>HYPERLINK(LEFT(CELL("filename",A1),FIND("[",CELL("filename",A1))-1)&amp;"8.전기분야\21_종합연동시험(SCADA) 실시\표준서\종합연동시험(SCADA) 실시_표준서.html", "👉 [클릭] 표준서 열기 📄")</f>
        <v/>
      </c>
      <c r="O22" s="28" t="inlineStr">
        <is>
          <t>책임감리단 입회하에 트램관제실(OCC)과 현장 변전소/정류기/ESS 기기 간 SCADA 원격 감시/제어/계측(DI/DO/AI/AO) 종합연동시험 수행 및 검측 승인</t>
        </is>
      </c>
      <c r="P22" s="76">
        <f>HYPERLINK(LEFT(CELL("filename",A1),FIND("[",CELL("filename",A1))-1)&amp;"8.전기분야\21_종합연동시험(SCADA) 실시\수행지침\종합연동시험(SCADA) 실시_수행지침.html", "👉 [클릭] 수행지침 열기 📄")</f>
        <v/>
      </c>
      <c r="Q22" s="28" t="inlineStr">
        <is>
          <t>본 체크리스트는 동탄트램 전기분야 종합연동시험(SCADA) 실시 업무 이행에 대해책임감리단 입회하에 트램관제실(OCC)과 현장 변전소/정류기/ESS 기기 간 SCADA 원격 감시/제어/계측(DI/DO/AI/AO) 종합연동시험...</t>
        </is>
      </c>
      <c r="R22" s="81">
        <f>HYPERLINK(LEFT(CELL("filename",A1),FIND("[",CELL("filename",A1))-1)&amp;"8.전기분야\21_종합연동시험(SCADA) 실시\체크리스트\종합연동시험(SCADA) 실시_체크리스트.html", "👉 [클릭] 체크리스트 열기 📄")</f>
        <v/>
      </c>
      <c r="S22" s="9" t="n"/>
      <c r="T22" s="73" t="inlineStr">
        <is>
          <t>● 관련분야 설계기준서 준수</t>
        </is>
      </c>
      <c r="U22" s="73" t="inlineStr">
        <is>
          <t>1) 👉 [더블클릭] 체크리스트 열기 📄</t>
        </is>
      </c>
      <c r="V22" s="29" t="n"/>
    </row>
    <row r="23" ht="69.59999999999999" customHeight="1">
      <c r="A23" s="17" t="inlineStr">
        <is>
          <t>9000</t>
        </is>
      </c>
      <c r="B23" s="17" t="inlineStr">
        <is>
          <t>9000-3</t>
        </is>
      </c>
      <c r="C23" s="28" t="inlineStr">
        <is>
          <t>전기분야</t>
        </is>
      </c>
      <c r="D23" s="17" t="inlineStr">
        <is>
          <t>9000-3-22</t>
        </is>
      </c>
      <c r="E23" s="17">
        <f>D22</f>
        <v/>
      </c>
      <c r="F23" s="17">
        <f>D24</f>
        <v/>
      </c>
      <c r="G23" s="17" t="inlineStr">
        <is>
          <t>공종별 시험</t>
        </is>
      </c>
      <c r="H23" s="17" t="inlineStr">
        <is>
          <t>D+256~D+285</t>
        </is>
      </c>
      <c r="I23" s="17" t="inlineStr">
        <is>
          <t>현장공사팀</t>
        </is>
      </c>
      <c r="J23" s="19" t="inlineStr">
        <is>
          <t>관련 법령, 설계기준, 기술기준, 시방서 등의 요구사항에 적합하도록 설치되었는지를 확인</t>
        </is>
      </c>
      <c r="K23" s="34" t="inlineStr">
        <is>
          <t>- 철도종합시험운행 시행지침 제6조(공종별시험)에 따라 시행</t>
        </is>
      </c>
      <c r="L23" s="16" t="inlineStr">
        <is>
          <t>공종별 시험 결과보고서</t>
        </is>
      </c>
      <c r="M23" s="28" t="inlineStr">
        <is>
          <t>"철도종합시험운행 시행지침 제6조에 따른 전기 공종별 시험 항목 및 절차서 확정"</t>
        </is>
      </c>
      <c r="N23" s="75">
        <f>HYPERLINK(LEFT(CELL("filename",A1),FIND("[",CELL("filename",A1))-1)&amp;"8.전기분야\22_공종별 시험\표준서\공종별 시험_표준서.html", "👉 [클릭] 표준서 열기 📄")</f>
        <v/>
      </c>
      <c r="O23" s="28" t="inlineStr">
        <is>
          <t>철도종합시험운행 시행지침 제6조(공종별시험)에 의거하여 변전, 전차선, 전력 설비 공종별 절연, 보호계전기, 통전 시험을 정밀 수행하고 보고서 승인</t>
        </is>
      </c>
      <c r="P23" s="76">
        <f>HYPERLINK(LEFT(CELL("filename",A1),FIND("[",CELL("filename",A1))-1)&amp;"8.전기분야\22_공종별 시험\수행지침\공종별 시험_수행지침.html", "👉 [클릭] 수행지침 열기 📄")</f>
        <v/>
      </c>
      <c r="Q23" s="28" t="inlineStr">
        <is>
          <t>본 체크리스트는 동탄트램 전기분야 공종별 시험 업무 이행에 대해철도종합시험운행 시행지침 제6조(공종별시험)에 의거하여 변전, 전차선, 전력 설비 공종별 절연, 보호계전기, 통전 시험을 정밀 수행하고 보고서 승인 관련 실무 요...</t>
        </is>
      </c>
      <c r="R23" s="81">
        <f>HYPERLINK(LEFT(CELL("filename",A1),FIND("[",CELL("filename",A1))-1)&amp;"8.전기분야\22_공종별 시험\체크리스트\공종별 시험_체크리스트.html", "👉 [클릭] 체크리스트 열기 📄")</f>
        <v/>
      </c>
      <c r="S23" s="9" t="n"/>
      <c r="T23" s="73" t="inlineStr">
        <is>
          <t>● 관련분야 설계기준서 준수</t>
        </is>
      </c>
      <c r="U23" s="73" t="inlineStr">
        <is>
          <t>1) 👉 [더블클릭] 체크리스트 열기 📄</t>
        </is>
      </c>
      <c r="V23" s="29" t="n"/>
    </row>
    <row r="24" ht="69.59999999999999" customHeight="1">
      <c r="A24" s="17" t="inlineStr">
        <is>
          <t>9000</t>
        </is>
      </c>
      <c r="B24" s="17" t="inlineStr">
        <is>
          <t>9000-3</t>
        </is>
      </c>
      <c r="C24" s="28" t="inlineStr">
        <is>
          <t>전기분야</t>
        </is>
      </c>
      <c r="D24" s="17" t="inlineStr">
        <is>
          <t>9000-3-23</t>
        </is>
      </c>
      <c r="E24" s="17">
        <f>D23</f>
        <v/>
      </c>
      <c r="F24" s="17">
        <f>D25</f>
        <v/>
      </c>
      <c r="G24" s="17" t="inlineStr">
        <is>
          <t>차량 투입 전 점검</t>
        </is>
      </c>
      <c r="H24" s="17" t="inlineStr">
        <is>
          <t>D+286~D+300</t>
        </is>
      </c>
      <c r="I24" s="17" t="inlineStr">
        <is>
          <t>현장공사팀</t>
        </is>
      </c>
      <c r="J24" s="19" t="inlineStr">
        <is>
          <t>발주처 주관의 차량시운전이 되도록 노반, 건축, 궤도, 전철전력, 통신, 신호분야를 종합하여 최종 점검</t>
        </is>
      </c>
      <c r="K24" s="33" t="inlineStr">
        <is>
          <t>- 노반/궤도 시공상태 점검
- 건축한계 및 차량한계 검사 [건축한계: 폭(3,600mm)]
- 전차선, 신호, 통신 작동상태 확인
- 차량충전설비, 신호, 통신 작동상태 확인</t>
        </is>
      </c>
      <c r="L24" s="19" t="inlineStr">
        <is>
          <t>합동점검 결과보고서</t>
        </is>
      </c>
      <c r="M24" s="28" t="inlineStr">
        <is>
          <t>"궤도 시공 정밀도 확인 및 트램 차량 건축한계(폭 3,600mm) 간섭 여부 레이저 실측"</t>
        </is>
      </c>
      <c r="N24" s="75">
        <f>HYPERLINK(LEFT(CELL("filename",A1),FIND("[",CELL("filename",A1))-1)&amp;"8.전기분야\23_차량 투입 전 점검\표준서\차량 투입 전 점검_표준서.html", "👉 [클릭] 표준서 열기 📄")</f>
        <v/>
      </c>
      <c r="O24" s="28" t="inlineStr">
        <is>
          <t>노반/궤도 시공상태 점검, 트램 건축한계(폭 3,600mm) 검사, 전차선 750V DC 가압, 차량충전설비, 신호/통신 작동상태 합동 사전 점검 완수</t>
        </is>
      </c>
      <c r="P24" s="76">
        <f>HYPERLINK(LEFT(CELL("filename",A1),FIND("[",CELL("filename",A1))-1)&amp;"8.전기분야\23_차량 투입 전 점검\수행지침\차량 투입 전 점검_수행지침.html", "👉 [클릭] 수행지침 열기 📄")</f>
        <v/>
      </c>
      <c r="Q24" s="28" t="inlineStr">
        <is>
          <t>본 체크리스트는 동탄트램 전기분야 차량 투입 전 점검 업무 이행에 대해노반/궤도 시공상태 점검, 트램 건축한계(폭 3,600mm) 검사, 전차선 750V DC 가압, 차량충전설비, 신호/통신 작동상태 합동 사전 점검 완수 관...</t>
        </is>
      </c>
      <c r="R24" s="81">
        <f>HYPERLINK(LEFT(CELL("filename",A1),FIND("[",CELL("filename",A1))-1)&amp;"8.전기분야\23_차량 투입 전 점검\체크리스트\차량 투입 전 점검_체크리스트.html", "👉 [클릭] 체크리스트 열기 📄")</f>
        <v/>
      </c>
      <c r="S24" s="9" t="n"/>
      <c r="T24" s="73" t="inlineStr">
        <is>
          <t>● 관련분야 설계기준서 준수</t>
        </is>
      </c>
      <c r="U24" s="73" t="inlineStr">
        <is>
          <t>1) 👉 [더블클릭] 체크리스트 열기 📄</t>
        </is>
      </c>
      <c r="V24" s="29" t="n"/>
    </row>
    <row r="25" ht="69.59999999999999" customHeight="1">
      <c r="A25" s="17" t="inlineStr">
        <is>
          <t>9000</t>
        </is>
      </c>
      <c r="B25" s="17" t="inlineStr">
        <is>
          <t>9000-3</t>
        </is>
      </c>
      <c r="C25" s="28" t="inlineStr">
        <is>
          <t>전기분야</t>
        </is>
      </c>
      <c r="D25" s="17" t="inlineStr">
        <is>
          <t>9000-3-24</t>
        </is>
      </c>
      <c r="E25" s="17">
        <f>D24</f>
        <v/>
      </c>
      <c r="F25" s="17">
        <f>D26</f>
        <v/>
      </c>
      <c r="G25" s="17" t="inlineStr">
        <is>
          <t>차량 시운전</t>
        </is>
      </c>
      <c r="H25" s="17" t="inlineStr">
        <is>
          <t>D+301~D+360</t>
        </is>
      </c>
      <c r="I25" s="17" t="inlineStr">
        <is>
          <t>현장공사팀</t>
        </is>
      </c>
      <c r="J25" s="16" t="inlineStr">
        <is>
          <t>철도안전법에 따른 철도차량 형식승인</t>
        </is>
      </c>
      <c r="K25" s="34" t="inlineStr">
        <is>
          <t>- 철도안전법 제26조(철도차량 형식승인)에 따라 이행 (주로 본선구간 수행)
- 차량, 신호, 통신 시스템간 인터페이스 시험</t>
        </is>
      </c>
      <c r="L25" s="16" t="inlineStr">
        <is>
          <t>철도차량 형식승인 결과 보고서</t>
        </is>
      </c>
      <c r="M25" s="28" t="inlineStr">
        <is>
          <t>"철도안전법 철도차량 형식승인 절차에 따른 본선 구간 전기-차량 시운전 계획 수립"</t>
        </is>
      </c>
      <c r="N25" s="75">
        <f>HYPERLINK(LEFT(CELL("filename",A1),FIND("[",CELL("filename",A1))-1)&amp;"8.전기분야\24_차량 시운전\표준서\차량 시운전_표준서.html", "👉 [클릭] 표준서 열기 📄")</f>
        <v/>
      </c>
      <c r="O25" s="28" t="inlineStr">
        <is>
          <t>철도안전법 제26조(철도차량 형식승인)에 의거하여 본선 구간 트램 차량, 전차선 전력, 신호, 통신 시스템 간 인터페이스 시험 및 동력 성능 시운전 수행</t>
        </is>
      </c>
      <c r="P25" s="76">
        <f>HYPERLINK(LEFT(CELL("filename",A1),FIND("[",CELL("filename",A1))-1)&amp;"8.전기분야\24_차량 시운전\수행지침\차량 시운전_수행지침.html", "👉 [클릭] 수행지침 열기 📄")</f>
        <v/>
      </c>
      <c r="Q25" s="28" t="inlineStr">
        <is>
          <t>본 체크리스트는 동탄트램 전기분야 차량 시운전 업무 이행에 대해철도안전법 제26조(철도차량 형식승인)에 의거하여 본선 구간 트램 차량, 전차선 전력, 신호, 통신 시스템 간 인터페이스 시험 및 동력 성능 시운전 수행 관련 실...</t>
        </is>
      </c>
      <c r="R25" s="81">
        <f>HYPERLINK(LEFT(CELL("filename",A1),FIND("[",CELL("filename",A1))-1)&amp;"8.전기분야\24_차량 시운전\체크리스트\차량 시운전_체크리스트.html", "👉 [클릭] 체크리스트 열기 📄")</f>
        <v/>
      </c>
      <c r="S25" s="9" t="n"/>
      <c r="T25" s="73" t="inlineStr">
        <is>
          <t>● 관련분야 설계기준서 준수</t>
        </is>
      </c>
      <c r="U25" s="73" t="inlineStr">
        <is>
          <t>1) 👉 [더블클릭] 체크리스트 열기 📄</t>
        </is>
      </c>
      <c r="V25" s="29" t="n"/>
    </row>
    <row r="26" ht="69.59999999999999" customHeight="1">
      <c r="A26" s="17" t="inlineStr">
        <is>
          <t>9000</t>
        </is>
      </c>
      <c r="B26" s="17" t="inlineStr">
        <is>
          <t>9000-3</t>
        </is>
      </c>
      <c r="C26" s="28" t="inlineStr">
        <is>
          <t>전기분야</t>
        </is>
      </c>
      <c r="D26" s="17" t="inlineStr">
        <is>
          <t>9000-3-25</t>
        </is>
      </c>
      <c r="E26" s="17">
        <f>D25</f>
        <v/>
      </c>
      <c r="F26" s="17">
        <f>D27</f>
        <v/>
      </c>
      <c r="G26" s="17" t="inlineStr">
        <is>
          <t>운영자 교육시행</t>
        </is>
      </c>
      <c r="H26" s="17" t="inlineStr">
        <is>
          <t>D+361~D+374</t>
        </is>
      </c>
      <c r="I26" s="17" t="inlineStr">
        <is>
          <t>현장공사팀</t>
        </is>
      </c>
      <c r="J26" s="16" t="inlineStr">
        <is>
          <t>영업시운전 전에 시설을 운영자를 대상으로 운영 및 유지관리방법에 대해 교육</t>
        </is>
      </c>
      <c r="K26" s="34" t="inlineStr">
        <is>
          <t>- 전기 제작사가 만든 매뉴얼로 운영자를 교육
: 변전/전력설비 운영/관리방법</t>
        </is>
      </c>
      <c r="L26" s="16" t="inlineStr">
        <is>
          <t>운영자 교육 결과서</t>
        </is>
      </c>
      <c r="M26" s="28" t="inlineStr">
        <is>
          <t>"전기자재 제작사 작성 운영/유지보수 매뉴얼, 비상 조치 절차서 및 교육 교재 검토"</t>
        </is>
      </c>
      <c r="N26" s="75">
        <f>HYPERLINK(LEFT(CELL("filename",A1),FIND("[",CELL("filename",A1))-1)&amp;"8.전기분야\25_운영자 교육시행\표준서\운영자 교육시행_표준서.html", "👉 [클릭] 표준서 열기 📄")</f>
        <v/>
      </c>
      <c r="O26" s="28" t="inlineStr">
        <is>
          <t>전기설비(변전, 전차선, SCADA, ESS) 제작사 취급 설명 매뉴얼 기반 운영사 및 관제 유지보수자 대상 이론/실습 교육 시행 및 교육 이수증 교부</t>
        </is>
      </c>
      <c r="P26" s="76">
        <f>HYPERLINK(LEFT(CELL("filename",A1),FIND("[",CELL("filename",A1))-1)&amp;"8.전기분야\25_운영자 교육시행\수행지침\운영자 교육시행_수행지침.html", "👉 [클릭] 수행지침 열기 📄")</f>
        <v/>
      </c>
      <c r="Q26" s="28" t="inlineStr">
        <is>
          <t>본 체크리스트는 동탄트램 전기분야 운영자 교육시행 업무 이행에 대해전기설비(변전, 전차선, SCADA, ESS) 제작사 취급 설명 매뉴얼 기반 운영사 및 관제 유지보수자 대상 이론/실습 교육 시행 및 교육 이수증 교부 관련 ...</t>
        </is>
      </c>
      <c r="R26" s="81">
        <f>HYPERLINK(LEFT(CELL("filename",A1),FIND("[",CELL("filename",A1))-1)&amp;"8.전기분야\25_운영자 교육시행\체크리스트\운영자 교육시행_체크리스트.html", "👉 [클릭] 체크리스트 열기 📄")</f>
        <v/>
      </c>
      <c r="S26" s="9" t="n"/>
      <c r="T26" s="73" t="inlineStr">
        <is>
          <t>● 관련분야 설계기준서 준수</t>
        </is>
      </c>
      <c r="U26" s="73" t="inlineStr">
        <is>
          <t>1) 👉 [더블클릭] 체크리스트 열기 📄</t>
        </is>
      </c>
      <c r="V26" s="29" t="n"/>
    </row>
    <row r="27" ht="87" customHeight="1">
      <c r="A27" s="17" t="inlineStr">
        <is>
          <t>9000</t>
        </is>
      </c>
      <c r="B27" s="17" t="inlineStr">
        <is>
          <t>9000-3</t>
        </is>
      </c>
      <c r="C27" s="28" t="inlineStr">
        <is>
          <t>전기분야</t>
        </is>
      </c>
      <c r="D27" s="17" t="inlineStr">
        <is>
          <t>9000-3-26</t>
        </is>
      </c>
      <c r="E27" s="17">
        <f>D26</f>
        <v/>
      </c>
      <c r="F27" s="17">
        <f>D28</f>
        <v/>
      </c>
      <c r="G27" s="17" t="inlineStr">
        <is>
          <t>사전점검</t>
        </is>
      </c>
      <c r="H27" s="17" t="inlineStr">
        <is>
          <t>D+375~D+414</t>
        </is>
      </c>
      <c r="I27" s="17" t="inlineStr">
        <is>
          <t>현장공사팀</t>
        </is>
      </c>
      <c r="J27" s="16" t="inlineStr">
        <is>
          <t>시설물검증시험의 가능여부를 확인하기 위하여 발주처와 운영자가 합동으로 점검</t>
        </is>
      </c>
      <c r="K27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 (점검 후 7일 이내)</t>
        </is>
      </c>
      <c r="L27" s="16" t="inlineStr">
        <is>
          <t>사전점검 결과보고서/승인문서(한국교통안전공단)</t>
        </is>
      </c>
      <c r="M27" s="28" t="inlineStr">
        <is>
          <t>"철도종합시험운행 시행지침 제8조에 의거, 발주처-운영자 합동 사전점검 계획서 수립"</t>
        </is>
      </c>
      <c r="N27" s="75">
        <f>HYPERLINK(LEFT(CELL("filename",A1),FIND("[",CELL("filename",A1))-1)&amp;"8.전기분야\26_사전점검\표준서\사전점검_표준서.html", "👉 [클릭] 표준서 열기 📄")</f>
        <v/>
      </c>
      <c r="O27" s="28" t="inlineStr">
        <is>
          <t>철도종합시험운행 시행지침 제8조(사전점검)에 따라 발주처-운영자 합동 사전점검계획 수립, 시설물 검증 가능성 점검 후 7일 이내 한국교통안전공단 제출 완수</t>
        </is>
      </c>
      <c r="P27" s="76">
        <f>HYPERLINK(LEFT(CELL("filename",A1),FIND("[",CELL("filename",A1))-1)&amp;"8.전기분야\26_사전점검\수행지침\사전점검_수행지침.html", "👉 [클릭] 수행지침 열기 📄")</f>
        <v/>
      </c>
      <c r="Q27" s="28" t="inlineStr">
        <is>
          <t>본 체크리스트는 동탄트램 전기분야 사전점검 업무 이행에 대해철도종합시험운행 시행지침 제8조(사전점검)에 따라 발주처-운영자 합동 사전점검계획 수립, 시설물 검증 가능성 점검 후 7일 이내 한국교통안전공단 제출 완수 관련 실무...</t>
        </is>
      </c>
      <c r="R27" s="81">
        <f>HYPERLINK(LEFT(CELL("filename",A1),FIND("[",CELL("filename",A1))-1)&amp;"8.전기분야\26_사전점검\체크리스트\사전점검_체크리스트.html", "👉 [클릭] 체크리스트 열기 📄")</f>
        <v/>
      </c>
      <c r="S27" s="9" t="n"/>
      <c r="T27" s="73" t="inlineStr">
        <is>
          <t>● 관련분야 설계기준서 준수</t>
        </is>
      </c>
      <c r="U27" s="73" t="inlineStr">
        <is>
          <t>1) 👉 [더블클릭] 체크리스트 열기 📄</t>
        </is>
      </c>
      <c r="V27" s="29" t="n"/>
    </row>
    <row r="28" ht="139.2" customHeight="1">
      <c r="A28" s="17" t="inlineStr">
        <is>
          <t>9000</t>
        </is>
      </c>
      <c r="B28" s="17" t="inlineStr">
        <is>
          <t>9000-3</t>
        </is>
      </c>
      <c r="C28" s="28" t="inlineStr">
        <is>
          <t>전기분야</t>
        </is>
      </c>
      <c r="D28" s="17" t="inlineStr">
        <is>
          <t>9000-3-27</t>
        </is>
      </c>
      <c r="E28" s="17">
        <f>D27</f>
        <v/>
      </c>
      <c r="F28" s="17">
        <f>D29</f>
        <v/>
      </c>
      <c r="G28" s="17" t="inlineStr">
        <is>
          <t>시설물 검증시험</t>
        </is>
      </c>
      <c r="H28" s="17" t="inlineStr">
        <is>
          <t>D+415~D+499</t>
        </is>
      </c>
      <c r="I28" s="17" t="inlineStr">
        <is>
          <t>현장공사팀</t>
        </is>
      </c>
      <c r="J28" s="16" t="inlineStr">
        <is>
          <t>발주처는 시설물의 정상작동 상태 등을 확인하기 위해 시설물 검증시험을 수행</t>
        </is>
      </c>
      <c r="K28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수행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 (점검 후 7일 이내)</t>
        </is>
      </c>
      <c r="L28" s="16" t="inlineStr">
        <is>
          <t>시설물 검증시험 결과보고서/승인문서(한국교통안전공단)</t>
        </is>
      </c>
      <c r="M28" s="28" t="inlineStr">
        <is>
          <t>"시설물검증시험계획을 운영자와 협의 수립하고 한국교통안전공단 전문기관 승인 수검"</t>
        </is>
      </c>
      <c r="N28" s="75">
        <f>HYPERLINK(LEFT(CELL("filename",A1),FIND("[",CELL("filename",A1))-1)&amp;"8.전기분야\27_시설물 검증시험\표준서\시설물 검증시험_표준서.html", "👉 [클릭] 표준서 열기 📄")</f>
        <v/>
      </c>
      <c r="O28" s="28" t="inlineStr">
        <is>
          <t>철도종합시험운행 시행지침 제12조/제13조에 의거 시설물검증시험계획 전문기관 승인, 시설물 정상작동, 안전상태, 차량 운행 적합성 검증 후 7일 내 공단 제출</t>
        </is>
      </c>
      <c r="P28" s="76">
        <f>HYPERLINK(LEFT(CELL("filename",A1),FIND("[",CELL("filename",A1))-1)&amp;"8.전기분야\27_시설물 검증시험\수행지침\시설물 검증시험_수행지침.html", "👉 [클릭] 수행지침 열기 📄")</f>
        <v/>
      </c>
      <c r="Q28" s="28" t="inlineStr">
        <is>
          <t>본 체크리스트는 동탄트램 전기분야 시설물 검증시험 업무 이행에 대해철도종합시험운행 시행지침 제12조/제13조에 의거 시설물검증시험계획 전문기관 승인, 시설물 정상작동, 안전상태, 차량 운행 적합성 검증 후 7일 내 공단 제출...</t>
        </is>
      </c>
      <c r="R28" s="81">
        <f>HYPERLINK(LEFT(CELL("filename",A1),FIND("[",CELL("filename",A1))-1)&amp;"8.전기분야\27_시설물 검증시험\체크리스트\시설물 검증시험_체크리스트.html", "👉 [클릭] 체크리스트 열기 📄")</f>
        <v/>
      </c>
      <c r="S28" s="9" t="n"/>
      <c r="T28" s="73" t="inlineStr">
        <is>
          <t>● 관련분야 설계기준서 준수</t>
        </is>
      </c>
      <c r="U28" s="73" t="inlineStr">
        <is>
          <t>1) 👉 [더블클릭] 체크리스트 열기 📄</t>
        </is>
      </c>
      <c r="V28" s="29" t="n"/>
    </row>
    <row r="29" ht="159.6" customHeight="1">
      <c r="A29" s="17" t="inlineStr">
        <is>
          <t>9000</t>
        </is>
      </c>
      <c r="B29" s="17" t="inlineStr">
        <is>
          <t>9000-3</t>
        </is>
      </c>
      <c r="C29" s="28" t="inlineStr">
        <is>
          <t>전기분야</t>
        </is>
      </c>
      <c r="D29" s="17" t="inlineStr">
        <is>
          <t>9000-3-28</t>
        </is>
      </c>
      <c r="E29" s="17">
        <f>D28</f>
        <v/>
      </c>
      <c r="F29" s="17">
        <f>D30</f>
        <v/>
      </c>
      <c r="G29" s="17" t="inlineStr">
        <is>
          <t>영업시운전</t>
        </is>
      </c>
      <c r="H29" s="17" t="inlineStr">
        <is>
          <t>D+500~D+581</t>
        </is>
      </c>
      <c r="I29" s="17" t="inlineStr">
        <is>
          <t>현장공사팀</t>
        </is>
      </c>
      <c r="J29" s="16" t="inlineStr">
        <is>
          <t>발주처는 영업시운전계획에 따라 열차운행체계를 확인하기 위해 영업시운전을 수행</t>
        </is>
      </c>
      <c r="K29" s="34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 (점검 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9" s="16" t="inlineStr">
        <is>
          <t>영업시운전 결과보고서/승인문서(한국교통안전공단), 국토부 승인문서</t>
        </is>
      </c>
      <c r="M29" s="28" t="inlineStr">
        <is>
          <t>"운영자-발주처 협의 영업시운전계획 수립, 국토부 전문기관(교통안전공단) 승인 완수"</t>
        </is>
      </c>
      <c r="N29" s="75">
        <f>HYPERLINK(LEFT(CELL("filename",A1),FIND("[",CELL("filename",A1))-1)&amp;"8.전기분야\28_영업시운전\표준서\영업시운전_표준서.html", "👉 [클릭] 표준서 열기 📄")</f>
        <v/>
      </c>
      <c r="O29" s="28" t="inlineStr">
        <is>
          <t>철도종합시험운행 시행지침 제22조/제23조에 의거 영업시운전계획 수립/승인, 영업 조건 열차운행, 종사자 업무 숙달 검증 후 결과보고서 공단 제출 및 국토부 보고</t>
        </is>
      </c>
      <c r="P29" s="76">
        <f>HYPERLINK(LEFT(CELL("filename",A1),FIND("[",CELL("filename",A1))-1)&amp;"8.전기분야\28_영업시운전\수행지침\영업시운전_수행지침.html", "👉 [클릭] 수행지침 열기 📄")</f>
        <v/>
      </c>
      <c r="Q29" s="28" t="inlineStr">
        <is>
          <t>본 체크리스트는 동탄트램 전기분야 영업시운전 업무 이행에 대해철도종합시험운행 시행지침 제22조/제23조에 의거 영업시운전계획 수립/승인, 영업 조건 열차운행, 종사자 업무 숙달 검증 후 결과보고서 공단 제출 및 국토부 보고 ...</t>
        </is>
      </c>
      <c r="R29" s="81">
        <f>HYPERLINK(LEFT(CELL("filename",A1),FIND("[",CELL("filename",A1))-1)&amp;"8.전기분야\28_영업시운전\체크리스트\영업시운전_체크리스트.html", "👉 [클릭] 체크리스트 열기 📄")</f>
        <v/>
      </c>
      <c r="S29" s="9" t="n"/>
      <c r="T29" s="73" t="inlineStr">
        <is>
          <t>● 관련분야 설계기준서 준수</t>
        </is>
      </c>
      <c r="U29" s="73" t="inlineStr">
        <is>
          <t>1) 👉 [더블클릭] 체크리스트 열기 📄</t>
        </is>
      </c>
      <c r="V29" s="29" t="n"/>
    </row>
    <row r="30" ht="69.59999999999999" customHeight="1">
      <c r="A30" s="17" t="inlineStr">
        <is>
          <t>9000</t>
        </is>
      </c>
      <c r="B30" s="17" t="inlineStr">
        <is>
          <t>9000-3</t>
        </is>
      </c>
      <c r="C30" s="28" t="inlineStr">
        <is>
          <t>전기분야</t>
        </is>
      </c>
      <c r="D30" s="17" t="inlineStr">
        <is>
          <t>9000-3-29</t>
        </is>
      </c>
      <c r="E30" s="17">
        <f>D29</f>
        <v/>
      </c>
      <c r="F30" s="17">
        <f>D31</f>
        <v/>
      </c>
      <c r="G30" s="17" t="inlineStr">
        <is>
          <t>전기 사용신청</t>
        </is>
      </c>
      <c r="H30" s="17" t="inlineStr">
        <is>
          <t>D+211~D+255</t>
        </is>
      </c>
      <c r="I30" s="17" t="inlineStr">
        <is>
          <t>현장공사팀</t>
        </is>
      </c>
      <c r="J30" s="16" t="inlineStr">
        <is>
          <t>합법적인 전기 공급 계약 체결</t>
        </is>
      </c>
      <c r="K30" s="34" t="inlineStr">
        <is>
          <t>- 관할 한국전력공사에 신청서, 건축허가신청서, 위임장 및 관련서류 제출 (약 1개월 소요)</t>
        </is>
      </c>
      <c r="L30" s="28" t="inlineStr">
        <is>
          <t>전기사용신청 접수증명서, 시설부담금 고지서</t>
        </is>
      </c>
      <c r="M30" s="28" t="inlineStr">
        <is>
          <t>"관할 한국전력공사 제출용 전기사용신청서, 변전소 용량 계산서 및 위임장 작성"</t>
        </is>
      </c>
      <c r="N30" s="75">
        <f>HYPERLINK(LEFT(CELL("filename",A1),FIND("[",CELL("filename",A1))-1)&amp;"8.전기분야\29_전기 사용신청\표준서\전기 사용신청_표준서.html", "👉 [클릭] 표준서 열기 📄")</f>
        <v/>
      </c>
      <c r="O30" s="28" t="inlineStr">
        <is>
          <t>관할 한국전력공사에 전기사용신청서, 건축허가서, 수전 도면 및 위임장 제출 수속(소요 기간 약 1개월 관리) 및 수전 합의 완수</t>
        </is>
      </c>
      <c r="P30" s="76">
        <f>HYPERLINK(LEFT(CELL("filename",A1),FIND("[",CELL("filename",A1))-1)&amp;"8.전기분야\29_전기 사용신청\수행지침\전기 사용신청_수행지침.html", "👉 [클릭] 수행지침 열기 📄")</f>
        <v/>
      </c>
      <c r="Q30" s="28" t="inlineStr">
        <is>
          <t>본 체크리스트는 동탄트램 전기분야 전기 사용신청 업무 이행에 대해관할 한국전력공사에 전기사용신청서, 건축허가서, 수전 도면 및 위임장 제출 수속(소요 기간 약 1개월 관리) 및 수전 합의 완수 관련 실무 요소를 100% 사전...</t>
        </is>
      </c>
      <c r="R30" s="81">
        <f>HYPERLINK(LEFT(CELL("filename",A1),FIND("[",CELL("filename",A1))-1)&amp;"8.전기분야\29_전기 사용신청\체크리스트\전기 사용신청_체크리스트.html", "👉 [클릭] 체크리스트 열기 📄")</f>
        <v/>
      </c>
      <c r="S30" s="9" t="n"/>
      <c r="T30" s="73" t="inlineStr">
        <is>
          <t>● 관련분야 설계기준서 준수</t>
        </is>
      </c>
      <c r="U30" s="73" t="inlineStr">
        <is>
          <t>1) 👉 [더블클릭] 체크리스트 열기 📄</t>
        </is>
      </c>
      <c r="V30" s="29" t="n"/>
    </row>
    <row r="31" ht="69.59999999999999" customHeight="1">
      <c r="A31" s="17" t="inlineStr">
        <is>
          <t>9000</t>
        </is>
      </c>
      <c r="B31" s="17" t="inlineStr">
        <is>
          <t>9000-3</t>
        </is>
      </c>
      <c r="C31" s="28" t="inlineStr">
        <is>
          <t>전기분야</t>
        </is>
      </c>
      <c r="D31" s="17" t="inlineStr">
        <is>
          <t>9000-3-30</t>
        </is>
      </c>
      <c r="E31" s="17">
        <f>D30</f>
        <v/>
      </c>
      <c r="F31" s="17">
        <f>D32</f>
        <v/>
      </c>
      <c r="G31" s="17" t="inlineStr">
        <is>
          <t>공사계획신고</t>
        </is>
      </c>
      <c r="H31" s="17" t="inlineStr">
        <is>
          <t>D-180
(D-200~180)</t>
        </is>
      </c>
      <c r="I31" s="17" t="inlineStr">
        <is>
          <t>현장공사팀</t>
        </is>
      </c>
      <c r="J31" s="16" t="inlineStr">
        <is>
          <t>공사 착수 전 법적 신고 이행</t>
        </is>
      </c>
      <c r="K31" s="34" t="inlineStr">
        <is>
          <t>- 관할 한국전기안전공사에 공사 착수 전에 공사계획서 및 신고서 제출</t>
        </is>
      </c>
      <c r="L31" s="28" t="inlineStr">
        <is>
          <t>공사계획신고 수리서</t>
        </is>
      </c>
      <c r="M31" s="28" t="inlineStr">
        <is>
          <t>"전기사업법 시행규칙에 맞춘 공사계획서 및 전기설비 공사계획신고서 정밀 작성"</t>
        </is>
      </c>
      <c r="N31" s="75">
        <f>HYPERLINK(LEFT(CELL("filename",A1),FIND("[",CELL("filename",A1))-1)&amp;"8.전기분야\30_공사계획신고\표준서\공사계획신고_표준서.html", "👉 [클릭] 표준서 열기 📄")</f>
        <v/>
      </c>
      <c r="O31" s="28" t="inlineStr">
        <is>
          <t>관할 한국전기안전공사에 전기 공사 착수 전 공사계획서, 기술자 자격증, 감리원 배치서 및 도면 제출 수속 완료</t>
        </is>
      </c>
      <c r="P31" s="76">
        <f>HYPERLINK(LEFT(CELL("filename",A1),FIND("[",CELL("filename",A1))-1)&amp;"8.전기분야\30_공사계획신고\수행지침\공사계획신고_수행지침.html", "👉 [클릭] 수행지침 열기 📄")</f>
        <v/>
      </c>
      <c r="Q31" s="28" t="inlineStr">
        <is>
          <t>본 체크리스트는 동탄트램 전기분야 공사계획신고 업무 이행에 대해관할 한국전기안전공사에 전기 공사 착수 전 공사계획서, 기술자 자격증, 감리원 배치서 및 도면 제출 수속 완료 관련 실무 요소를 100% 사전 검측하여 시공 하자...</t>
        </is>
      </c>
      <c r="R31" s="81">
        <f>HYPERLINK(LEFT(CELL("filename",A1),FIND("[",CELL("filename",A1))-1)&amp;"8.전기분야\30_공사계획신고\체크리스트\공사계획신고_체크리스트.html", "👉 [클릭] 체크리스트 열기 📄")</f>
        <v/>
      </c>
      <c r="S31" s="9" t="n"/>
      <c r="T31" s="73" t="inlineStr">
        <is>
          <t>● 관련분야 설계기준서 준수</t>
        </is>
      </c>
      <c r="U31" s="73" t="inlineStr">
        <is>
          <t>1) 👉 [더블클릭] 체크리스트 열기 📄</t>
        </is>
      </c>
      <c r="V31" s="29" t="n"/>
    </row>
    <row r="32" ht="69.59999999999999" customHeight="1">
      <c r="A32" s="17" t="inlineStr">
        <is>
          <t>9000</t>
        </is>
      </c>
      <c r="B32" s="17" t="inlineStr">
        <is>
          <t>9000-3</t>
        </is>
      </c>
      <c r="C32" s="28" t="inlineStr">
        <is>
          <t>전기분야</t>
        </is>
      </c>
      <c r="D32" s="17" t="inlineStr">
        <is>
          <t>9000-3-31</t>
        </is>
      </c>
      <c r="E32" s="17">
        <f>D31</f>
        <v/>
      </c>
      <c r="F32" s="17">
        <f>D33</f>
        <v/>
      </c>
      <c r="G32" s="18" t="inlineStr">
        <is>
          <t>노면전차선로 적합성 검증</t>
        </is>
      </c>
      <c r="H32" s="18" t="inlineStr">
        <is>
          <t>D+375~D+414</t>
        </is>
      </c>
      <c r="I32" s="17" t="inlineStr">
        <is>
          <t>현장공사팀</t>
        </is>
      </c>
      <c r="J32" s="23" t="inlineStr">
        <is>
          <t>노면전차선로 품질 및 기술 적합성 검증</t>
        </is>
      </c>
      <c r="K32" s="34" t="inlineStr">
        <is>
          <t>- 한국전기철도기술협회에 차량시운전 전까지 수량조서 및 시공도면 제출 (처리기간 15일)</t>
        </is>
      </c>
      <c r="L32" s="28" t="inlineStr">
        <is>
          <t>전차선로 시공품질 검사증</t>
        </is>
      </c>
      <c r="M32" s="28" t="inlineStr">
        <is>
          <t>"노면전차선로 지주, 강성 가선, 브래킷 수량조서 및 시공 승인도면(Shop Drawing) 작성"</t>
        </is>
      </c>
      <c r="N32" s="75">
        <f>HYPERLINK(LEFT(CELL("filename",A1),FIND("[",CELL("filename",A1))-1)&amp;"8.전기분야\31_전차선로 적합성 검증\표준서\전차선로 적합성 검증_표준서.html", "👉 [클릭] 표준서 열기 📄")</f>
        <v/>
      </c>
      <c r="O32" s="28" t="inlineStr">
        <is>
          <t>한국전기철도기술협회에 차량 시운전 전까지 수량조서, 시공도면 및 시험성적서 제출(처리기간 15일)하여 적합성 검증 승인 완수</t>
        </is>
      </c>
      <c r="P32" s="76">
        <f>HYPERLINK(LEFT(CELL("filename",A1),FIND("[",CELL("filename",A1))-1)&amp;"8.전기분야\31_전차선로 적합성 검증\수행지침\전차선로 적합성 검증_수행지침.html", "👉 [클릭] 수행지침 열기 📄")</f>
        <v/>
      </c>
      <c r="Q32" s="28" t="inlineStr">
        <is>
          <t>본 체크리스트는 동탄트램 전기분야 노면전차선로 적합성 검증 업무 이행에 대해한국전기철도기술협회에 차량 시운전 전까지 수량조서, 시공도면 및 시험성적서 제출(처리기간 15일)하여 적합성 검증 승인 완수 관련 실무 요소를 100...</t>
        </is>
      </c>
      <c r="R32" s="81">
        <f>HYPERLINK(LEFT(CELL("filename",A1),FIND("[",CELL("filename",A1))-1)&amp;"8.전기분야\31_전차선로 적합성 검증\체크리스트\전차선로 적합성 검증_체크리스트.html", "👉 [클릭] 체크리스트 열기 📄")</f>
        <v/>
      </c>
      <c r="S32" s="9" t="n"/>
      <c r="T32" s="73" t="inlineStr">
        <is>
          <t>● 관련분야 설계기준서 준수</t>
        </is>
      </c>
      <c r="U32" s="73" t="inlineStr">
        <is>
          <t>1) 👉 [더블클릭] 체크리스트 열기 📄</t>
        </is>
      </c>
      <c r="V32" s="29" t="n"/>
    </row>
    <row r="33" ht="268.2" customHeight="1">
      <c r="A33" s="17" t="inlineStr">
        <is>
          <t>9000</t>
        </is>
      </c>
      <c r="B33" s="17" t="inlineStr">
        <is>
          <t>9000-3</t>
        </is>
      </c>
      <c r="C33" s="28" t="inlineStr">
        <is>
          <t>전기분야</t>
        </is>
      </c>
      <c r="D33" s="17" t="inlineStr">
        <is>
          <t>9000-3-32</t>
        </is>
      </c>
      <c r="E33" s="17">
        <f>D32</f>
        <v/>
      </c>
      <c r="F33" s="17">
        <f>D34</f>
        <v/>
      </c>
      <c r="G33" s="17" t="inlineStr">
        <is>
          <t>전기 사용전검사 (전력/전차선/송변전)</t>
        </is>
      </c>
      <c r="H33" s="17" t="inlineStr">
        <is>
          <t>D+375~D+414</t>
        </is>
      </c>
      <c r="I33" s="17" t="inlineStr">
        <is>
          <t>현장공사팀</t>
        </is>
      </c>
      <c r="J33" s="16" t="inlineStr">
        <is>
          <t>준공 전 설비의 안전성 및 안전기준 부합 여부 판정</t>
        </is>
      </c>
      <c r="K33" s="34" t="inlineStr">
        <is>
          <t xml:space="preserve"> • 관련법령: 전기사업법 제63조
 • 제출기관: 시공사 → 관할 한국전기안전공사
 • 제출시기: 전기시설물 설치 완료 후
 • 처리기간: 검사 7일전 신청
 • 작성서류: 사용전검사신청서,공사계획인가서,감리원배치확인서, 전기안전관리자 선임신고증명서, 접지계산서/도면(단선결선도 및 배치평면도),각종케이블/자재 시험성적서 )
'[도로점용허가] → 도로점용허가서
 • 관련법령: 도로법시행령 제56조
 • 제출기관: 지방국토청/지자체
 • 제출/처리기간: 도로점용 2주 전/ 7~10일
[도로공사 신고] → 도로공사신고서
 • 관련법령: 도로교통법 제69조
 • 제출기관: 관할경찰서
 • 제출/처리기간: 공사 3일전/ 2~3일</t>
        </is>
      </c>
      <c r="L33" s="28" t="inlineStr">
        <is>
          <t>사용전검사 확인증(필증)
※ 송변전의 경우 한국전기안전공사 검사에 시공사 입회</t>
        </is>
      </c>
      <c r="M33" s="28" t="inlineStr">
        <is>
          <t>"전기설비 설치 완료 후 7일 전 사용전검사신청서, 감리배치서, 단선도, 자재성적서 제출"</t>
        </is>
      </c>
      <c r="N33" s="75">
        <f>HYPERLINK(LEFT(CELL("filename",A1),FIND("[",CELL("filename",A1))-1)&amp;"8.전기분야\32_전기 사용전검사 (전력_전차선_송변전)\표준서\전기 사용전검사 (전력_전차선_송변전)_표준서.html", "👉 [클릭] 표준서 열기 📄")</f>
        <v/>
      </c>
      <c r="O33" s="28" t="inlineStr">
        <is>
          <t>전기사업법 제63조, 도로법 제56조, 도로교통법 제69조에 의거 한국전기안전공사 사용전검사(7일전 신청), 지자체 도로점용허가(2주전), 경찰서 도로공사신고(3일전) 통합 수검 완료</t>
        </is>
      </c>
      <c r="P33" s="76">
        <f>HYPERLINK(LEFT(CELL("filename",A1),FIND("[",CELL("filename",A1))-1)&amp;"8.전기분야\32_전기 사용전검사 (전력_전차선_송변전)\수행지침\전기 사용전검사 (전력_전차선_송변전)_수행지침.html", "👉 [클릭] 수행지침 열기 📄")</f>
        <v/>
      </c>
      <c r="Q33" s="28" t="inlineStr">
        <is>
          <t>본 체크리스트는 동탄트램 전기분야 전기 사용전검사 (전력/전차선/송변전) 업무 이행에 대해전기사업법 제63조, 도로법 제56조, 도로교통법 제69조에 의거 한국전기안전공사 사용전검사(7일전 신청), 지자체 도로점용허가(2주전...</t>
        </is>
      </c>
      <c r="R33" s="81">
        <f>HYPERLINK(LEFT(CELL("filename",A1),FIND("[",CELL("filename",A1))-1)&amp;"8.전기분야\32_전기 사용전검사 (전력_전차선_송변전)\체크리스트\전기 사용전검사 (전력_전차선_송변전)_체크리스트.html", "👉 [클릭] 체크리스트 열기 📄")</f>
        <v/>
      </c>
      <c r="S33" s="9" t="n"/>
      <c r="T33" s="73" t="inlineStr">
        <is>
          <t>● 관련분야 설계기준서 준수</t>
        </is>
      </c>
      <c r="U33" s="73" t="inlineStr">
        <is>
          <t>1) 👉 [더블클릭] 체크리스트 열기 📄</t>
        </is>
      </c>
      <c r="V33" s="29" t="n"/>
    </row>
    <row r="34">
      <c r="E34" s="2">
        <f>D33</f>
        <v/>
      </c>
      <c r="F34" s="2">
        <f>D35</f>
        <v/>
      </c>
      <c r="N34" s="78">
        <f>HYPERLINK(LEFT(CELL("filename",A1),FIND("[",CELL("filename",A1))-1)&amp;"8.전기분야\33_Task_33\표준서\Task_33_표준서.html", "👉 [클릭] 표준서 열기 📄")</f>
        <v/>
      </c>
      <c r="P34" s="79">
        <f>HYPERLINK(LEFT(CELL("filename",A1),FIND("[",CELL("filename",A1))-1)&amp;"8.전기분야\33_Task_33\수행지침\Task_33_수행지침.html", "👉 [클릭] 수행지침 열기 📄")</f>
        <v/>
      </c>
      <c r="R34" s="80">
        <f>HYPERLINK(LEFT(CELL("filename",A1),FIND("[",CELL("filename",A1))-1)&amp;"8.전기분야\33_Task_33\체크리스트\Task_33_체크리스트.html", "👉 [클릭] 체크리스트 열기 📄")</f>
        <v/>
      </c>
    </row>
    <row r="35">
      <c r="E35" s="2">
        <f>D34</f>
        <v/>
      </c>
      <c r="F35" s="2">
        <f>D36</f>
        <v/>
      </c>
    </row>
    <row r="36">
      <c r="E36" s="2">
        <f>D35</f>
        <v/>
      </c>
      <c r="F36" s="2">
        <f>D37</f>
        <v/>
      </c>
    </row>
    <row r="37">
      <c r="E37" s="2">
        <f>D36</f>
        <v/>
      </c>
      <c r="F37" s="2">
        <f>D38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7" verticalDpi="0"/>
  <rowBreaks count="1" manualBreakCount="1">
    <brk id="28" min="0" max="15" man="1"/>
  </rowBreaks>
</worksheet>
</file>

<file path=xl/worksheets/sheet9.xml><?xml version="1.0" encoding="utf-8"?>
<worksheet xmlns="http://schemas.openxmlformats.org/spreadsheetml/2006/main">
  <sheetPr codeName="Sheet8">
    <tabColor rgb="FFFFFF00"/>
    <outlinePr summaryBelow="1" summaryRight="1"/>
    <pageSetUpPr/>
  </sheetPr>
  <dimension ref="A1:V39"/>
  <sheetViews>
    <sheetView view="pageBreakPreview" zoomScale="55" zoomScaleNormal="40" zoomScaleSheetLayoutView="55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A1" sqref="A1:XFD1048576"/>
    </sheetView>
  </sheetViews>
  <sheetFormatPr baseColWidth="8" defaultRowHeight="19.2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2.59765625" customWidth="1" style="3" min="10" max="10"/>
    <col width="73.09765625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7" min="18" max="18"/>
    <col width="15.796875" customWidth="1" style="3" min="19" max="19"/>
    <col width="45" customWidth="1" style="27" min="20" max="20"/>
    <col width="22" customWidth="1" style="27" min="21" max="21"/>
    <col width="45" customWidth="1" style="3" min="22" max="38"/>
    <col width="8.796875" customWidth="1" style="3" min="39" max="75"/>
    <col width="8.796875" customWidth="1" style="3" min="76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  <c r="T1" s="11" t="inlineStr">
        <is>
          <t>첨부서류 연계 상세 설계기준</t>
        </is>
      </c>
      <c r="U1" s="11" t="inlineStr">
        <is>
          <t>집행단계 리스크 체크리스트</t>
        </is>
      </c>
      <c r="V1" s="11" t="inlineStr">
        <is>
          <t>협력사 시공/공사관리 자문</t>
        </is>
      </c>
    </row>
    <row r="2" ht="199.2" customHeight="1">
      <c r="A2" s="17" t="inlineStr">
        <is>
          <t>9000</t>
        </is>
      </c>
      <c r="B2" s="17" t="inlineStr">
        <is>
          <t>9000-2</t>
        </is>
      </c>
      <c r="C2" s="17" t="inlineStr">
        <is>
          <t>통신분야</t>
        </is>
      </c>
      <c r="D2" s="17" t="inlineStr">
        <is>
          <t>9000-2-1</t>
        </is>
      </c>
      <c r="E2" s="17" t="n"/>
      <c r="F2" s="17">
        <f>D3</f>
        <v/>
      </c>
      <c r="G2" s="17" t="inlineStr">
        <is>
          <t>설계적정성 검토</t>
        </is>
      </c>
      <c r="H2" s="17" t="inlineStr">
        <is>
          <t>D-300
~240</t>
        </is>
      </c>
      <c r="I2" s="17" t="inlineStr">
        <is>
          <t>현장 공무팀</t>
        </is>
      </c>
      <c r="J2" s="16" t="inlineStr">
        <is>
          <t>설계적정성 및 시공성 검토</t>
        </is>
      </c>
      <c r="K2" s="33" t="inlineStr">
        <is>
          <t>- 입찰 요구사항에 대한 설계 반영여부 검토
- 설계도서 및 철도표준 자재 반영여부 확인
- 타 시스템과의 인터페이스 가능 여부, 용량, 성능요구 및 통신 트렌드를 고려한 통신 시스템 선정
- 설계단계에서 통신 음영지역이 있는지를 샘플링 시뮬레이션을 통해 확인하는지 체크 (민원방지 및 롤백 예방을 위한 방안 수립)
- 기지/역사/터널 배선 적정성 검토
- 현장설치 시공성 및 공기 Risk 검토
- 공정계획의 적정성 검토</t>
        </is>
      </c>
      <c r="L2" s="17" t="inlineStr">
        <is>
          <t>회의록, 설계검토 보고서</t>
        </is>
      </c>
      <c r="M2" s="26" t="inlineStr">
        <is>
          <t>1) 정보통신공사업법, KDS 47 철도설계기준 및 입찰안내서 특기시방 준수 여부 사전 검증
2) LTE-R 무선망, 8대 이종 통신시스템, 타공종 간섭 및 리스크 헷지·기회반영 설계변경 승인 표준 적용</t>
        </is>
      </c>
      <c r="N2" s="75">
        <f>HYPERLINK(LEFT(CELL("filename",A1),FIND("[",CELL("filename",A1))-1)&amp;"9.통신분야\1_설계적정성 검토\표준서\설계적정성 검토_표준서.html", "👉 [클릭] 표준서 열기 📄")</f>
        <v/>
      </c>
      <c r="O2" s="26" t="inlineStr">
        <is>
          <t>1) 설계적정성 검토: [도면↔수량산출서↔내역서] 삼각 교차대조, 법령/KDS 매핑 체크리스트 검증 및 통신계통 계산서 검토
2) 시공성 및 설계변경: 현장 지장물 실측 조사, 타공종 3D 간섭 조정, 공법/안전 검토 및 현장 전직원+본사 동시 검토 회의로 설계변경 수립</t>
        </is>
      </c>
      <c r="P2" s="76">
        <f>HYPERLINK(LEFT(CELL("filename",A1),FIND("[",CELL("filename",A1))-1)&amp;"9.통신분야\1_설계적정성 검토\수행지침\설계적정성 검토_수행지침.html", "👉 [클릭] 수행지침 열기 📄")</f>
        <v/>
      </c>
      <c r="Q2" s="26" t="inlineStr">
        <is>
          <t>1) 통신 관계 법령, KDS 47 00 00 철도설계기준, 입찰안내서 시방 준수 및 도면·수량·내역 교차 검증을 완료하였는가?
2) LTE-R 무선망, 타공종 3D 간섭조정, 8대 이종 통신시스템, 관제연동 적정성 검토 및 현장전직원+본사 동시 검토 승인을 완료하였는가?</t>
        </is>
      </c>
      <c r="R2" s="77">
        <f>HYPERLINK(LEFT(CELL("filename",A1),FIND("[",CELL("filename",A1))-1)&amp;"9.통신분야\1_설계적정성 검토\체크리스트\9000-2-1_설계적정성 검토_체크리스트.html", "👉 [클릭] 체크리스트 열기 📄")</f>
        <v/>
      </c>
      <c r="S2" s="22" t="n"/>
      <c r="T2" s="74" t="inlineStr">
        <is>
          <t>● 관련분야 설계기준서 준수</t>
        </is>
      </c>
      <c r="U2" s="73" t="inlineStr">
        <is>
          <t>1) 👉 [더블클릭] 체크리스트 열기 📄</t>
        </is>
      </c>
      <c r="V2" s="25" t="n"/>
    </row>
    <row r="3" ht="219.6" customHeight="1">
      <c r="A3" s="18" t="inlineStr">
        <is>
          <t>9000</t>
        </is>
      </c>
      <c r="B3" s="18" t="inlineStr">
        <is>
          <t>9000-2</t>
        </is>
      </c>
      <c r="C3" s="18" t="inlineStr">
        <is>
          <t>통신분야</t>
        </is>
      </c>
      <c r="D3" s="18" t="inlineStr">
        <is>
          <t>9000-2-2</t>
        </is>
      </c>
      <c r="E3" s="17">
        <f>D2</f>
        <v/>
      </c>
      <c r="F3" s="17">
        <f>D4</f>
        <v/>
      </c>
      <c r="G3" s="18" t="inlineStr">
        <is>
          <t>착수전략 KOM</t>
        </is>
      </c>
      <c r="H3" s="18" t="inlineStr">
        <is>
          <t>D-240
~210</t>
        </is>
      </c>
      <c r="I3" s="17" t="inlineStr">
        <is>
          <t>현장소장</t>
        </is>
      </c>
      <c r="J3" s="16" t="inlineStr">
        <is>
          <t>통신설비 공사 발주 전략수립</t>
        </is>
      </c>
      <c r="K3" s="33" t="inlineStr">
        <is>
          <t>- 통신설계 설계 및 변동요인 검토
- 통신공사 공사 시공실적 업체Pool 검토
- 유사사례 영업운행 실적이 확보된 시스템적용
1) 공정계획 및 통신자재 제작 기간
2) 통신설비 구축 실적 보유 (철도, 도시철도, 경전철)
3) 예비품 및 소모품 포함
4) 시공전시 통신설비 운전 및 교육 지원 (비용 포함)
5) 예상내역상 누락 예비품 여부
6) 현장 자재보관 창고 임대 비용 포함
7) 공사용 전기, 물수, 청소 비용 포함
8) 가동 후 현장 기술지원 및 기술 전수 인력기간 및 비용 포함</t>
        </is>
      </c>
      <c r="L3" s="17" t="inlineStr">
        <is>
          <t>KOM 검토결과서, 현장설명서</t>
        </is>
      </c>
      <c r="M3" s="26" t="inlineStr">
        <is>
          <t>1) 통신공사 발주 착수 전 입찰조건, 적격 시공업체 Pool 분석 및 8대 현장조건 반영 발주전략 수립
2) 주요 통신 자재 납품 수급 계획 및 시공 적격성 평가를 반영한 발주전략 KOM 보고서 승인 표준 적용</t>
        </is>
      </c>
      <c r="N3" s="75">
        <f>HYPERLINK(LEFT(CELL("filename",A1),FIND("[",CELL("filename",A1))-1)&amp;"9.통신분야\2_착수전략 KOM\표준서\발주전략 KOM_표준서.html", "👉 [클릭] 표준서 열기 📄")</f>
        <v/>
      </c>
      <c r="O3" s="26" t="inlineStr">
        <is>
          <t>1) 발주조건 &amp; 공법 분석: 공사 범위, 자재 자급/사급 조건, 공기 타당성 및 타공종 인터페이스 선행 공종 분석
2) 전략 수립 및 승인: 리스크 헷지형 계약 조건 도출 및 현장소장/공무팀 주관 발주전략 KOM 보고서 확정</t>
        </is>
      </c>
      <c r="P3" s="76">
        <f>HYPERLINK(LEFT(CELL("filename",A1),FIND("[",CELL("filename",A1))-1)&amp;"9.통신분야\2_착수전략 KOM\수행지침\발주전략 KOM_수행지침.html", "👉 [클릭] 수행지침 열기 📄")</f>
        <v/>
      </c>
      <c r="Q3" s="26" t="inlineStr">
        <is>
          <t>1) 통신공사 발주 착수 전 입찰안내서 요구조건 및 현장여건 8대 특기사항을 발주 전략에 반영하였는가?
2) 주요 자재 납품 수급 계획 및 적격 시공업체 평가 기준을 마련하여 발주전략 KOM 승인을 완수하였는가?</t>
        </is>
      </c>
      <c r="R3" s="77">
        <f>HYPERLINK(LEFT(CELL("filename",A1),FIND("[",CELL("filename",A1))-1)&amp;"9.통신분야\2_착수전략 KOM\체크리스트\발주전략 KOM_체크리스트.html", "👉 [클릭] 체크리스트 열기 📄")</f>
        <v/>
      </c>
      <c r="S3" s="22" t="n"/>
      <c r="T3" s="74" t="inlineStr">
        <is>
          <t>● 관련분야 설계기준서 준수</t>
        </is>
      </c>
      <c r="U3" s="73" t="inlineStr">
        <is>
          <t>1) 👉 [더블클릭] 체크리스트 열기 📄</t>
        </is>
      </c>
      <c r="V3" s="25" t="n"/>
    </row>
    <row r="4" ht="133.8" customHeight="1">
      <c r="A4" s="17" t="inlineStr">
        <is>
          <t>9000</t>
        </is>
      </c>
      <c r="B4" s="17" t="inlineStr">
        <is>
          <t>9000-2</t>
        </is>
      </c>
      <c r="C4" s="17" t="inlineStr">
        <is>
          <t>통신분야</t>
        </is>
      </c>
      <c r="D4" s="17" t="inlineStr">
        <is>
          <t>9000-2-3</t>
        </is>
      </c>
      <c r="E4" s="17">
        <f>D3</f>
        <v/>
      </c>
      <c r="F4" s="17">
        <f>D5</f>
        <v/>
      </c>
      <c r="G4" s="17" t="inlineStr">
        <is>
          <t>토목 / 건축 인터페이스 협의</t>
        </is>
      </c>
      <c r="H4" s="18" t="inlineStr">
        <is>
          <t>D-210
~180</t>
        </is>
      </c>
      <c r="I4" s="17" t="inlineStr">
        <is>
          <t>현장 시스템팀</t>
        </is>
      </c>
      <c r="J4" s="16" t="inlineStr">
        <is>
          <t>통신설비 설치를 위한 요구사항 검토</t>
        </is>
      </c>
      <c r="K4" s="33" t="inlineStr">
        <is>
          <t>- 자재 반입전/공동구/케이블 인입구 등 확인, 기능실마감 및 출입문 상태</t>
        </is>
      </c>
      <c r="L4" s="17" t="inlineStr">
        <is>
          <t>인터페이스 회의록 및 관리대장</t>
        </is>
      </c>
      <c r="M4" s="26" t="inlineStr">
        <is>
          <t>1) 토목·건축 구조물 내 통신 관로, 케이블 트레이, 기계실 배치 및 인입 배관 인터페이스 사전 검토
2) 타공종 구조체 타설 전 통신 매립 배관 위치 검증 및 인터페이스 협의록 작성 표준 적용</t>
        </is>
      </c>
      <c r="N4" s="75">
        <f>HYPERLINK(LEFT(CELL("filename",A1),FIND("[",CELL("filename",A1))-1)&amp;"9.통신분야\3_토목 _ 건축 인터페이스 협의\표준서\토목 _ 건축 인터페이스 협의_표준서.html", "👉 [클릭] 표준서 열기 📄")</f>
        <v/>
      </c>
      <c r="O4" s="26" t="inlineStr">
        <is>
          <t>1) 구조체 간섭 검토: 토목·건축 도면 대조를 통한 통신 관로 굴곡율, 트레이 설치 경로 및 기계실 벽체 관통부 실측 조사
2) 협의 수행 및 승인: 타공종 구조체 콘크리트 타설 전 통신 배관 매립 위치 현장 확인 및 3D 간섭 조정 협의록 확정</t>
        </is>
      </c>
      <c r="P4" s="76">
        <f>HYPERLINK(LEFT(CELL("filename",A1),FIND("[",CELL("filename",A1))-1)&amp;"9.통신분야\3_토목 _ 건축 인터페이스 협의\수행지침\토목 _ 건축 인터페이스 협의_수행지침.html", "👉 [클릭] 수행지침 열기 📄")</f>
        <v/>
      </c>
      <c r="Q4" s="26" t="inlineStr">
        <is>
          <t>1) 시방 대조[도면 및 여건] 자재 반입 동선/공동구/케이블 인입구 등 확인, 기능실마감 및 출입문 확인 수칙을 사전 대조 확인하였는가?
2) 업체 Pool[적격 업체] 철도/트램 시공 및 영업운행 실적이 입증된 적격 업체 Pool을 검토하였는가?</t>
        </is>
      </c>
      <c r="R4" s="77">
        <f>HYPERLINK(LEFT(CELL("filename",A1),FIND("[",CELL("filename",A1))-1)&amp;"9.통신분야\3_토목 _ 건축 인터페이스 협의\체크리스트\9000-2-3_토목 _ 건축 인터페이스 협의_체크리스트.html", "👉 [클릭] 체크리스트 열기 📄")</f>
        <v/>
      </c>
      <c r="S4" s="22" t="n"/>
      <c r="T4" s="74" t="inlineStr">
        <is>
          <t>● 관련분야 설계기준서 준수</t>
        </is>
      </c>
      <c r="U4" s="73" t="inlineStr">
        <is>
          <t>1) 👉 [더블클릭] 체크리스트 열기 📄</t>
        </is>
      </c>
      <c r="V4" s="25" t="n"/>
    </row>
    <row r="5" ht="133.8" customHeight="1">
      <c r="A5" s="17" t="inlineStr">
        <is>
          <t>9000</t>
        </is>
      </c>
      <c r="B5" s="17" t="inlineStr">
        <is>
          <t>9000-2</t>
        </is>
      </c>
      <c r="C5" s="17" t="inlineStr">
        <is>
          <t>통신분야</t>
        </is>
      </c>
      <c r="D5" s="17" t="inlineStr">
        <is>
          <t>9000-2-4</t>
        </is>
      </c>
      <c r="E5" s="17">
        <f>D4</f>
        <v/>
      </c>
      <c r="F5" s="17">
        <f>D6</f>
        <v/>
      </c>
      <c r="G5" s="17" t="inlineStr">
        <is>
          <t>전기 / 신호 / 기계 / PSD / 차량 인터페이스 협의</t>
        </is>
      </c>
      <c r="H5" s="17" t="inlineStr">
        <is>
          <t>D-180
(D-200~180)</t>
        </is>
      </c>
      <c r="I5" s="17" t="inlineStr">
        <is>
          <t>현장 시스템팀 / 통신 협력업체</t>
        </is>
      </c>
      <c r="J5" s="16" t="inlineStr">
        <is>
          <t>연계분야간 사전조율 및 인터페이스 사항 조율로 재작업 예방</t>
        </is>
      </c>
      <c r="K5" s="33" t="inlineStr">
        <is>
          <t>- 연계분야별 조율 및 협의사항 도출
1) 전기: 소요전력 외
2) 신호: 공동관로 포설계획 외
3) 차량: 차량 통신장치-차량간 연계
4) 전기, 신호, 기계, PSD와 통신망 계통 조율
- 일정, 분야별 필요 통신회선 수/종류, 기계실 케이블 및 세부 작업 범위</t>
        </is>
      </c>
      <c r="L5" s="17" t="inlineStr">
        <is>
          <t>인터페이스 회의록 및 관리대장</t>
        </is>
      </c>
      <c r="M5" s="26" t="inlineStr">
        <is>
          <t>1) 전기, 신호, PSD, 차량, 관제 등 이종 시스템 간 전원, 신호선 및 데이터 통신 인터페이스 통합 검토
2) 타공종 간 전자기 적합성(EMC/EMI), 전력 케이블 유도장해 차폐 및 서지 보호 표준 적용</t>
        </is>
      </c>
      <c r="N5" s="75">
        <f>HYPERLINK(LEFT(CELL("filename",A1),FIND("[",CELL("filename",A1))-1)&amp;"9.통신분야\4_전기 _ 신호 _ 기계 _ PSD _ 차량 인터페이스 협의\표준서\전기 _ 신호 _ 기계 _ PSD _ 차량 인터페이스 협의_표준서.html", "👉 [클릭] 표준서 열기 📄")</f>
        <v/>
      </c>
      <c r="O5" s="26" t="inlineStr">
        <is>
          <t>1) 설비 간 인터페이스 기술 검토: 전전류/고전압 케이블 유도장해 이격거리(≥30cm) 및 타공종 신호선 서지 보호 검토
2) 3D/BIM 간섭조정 및 승인: 이종 시스템 간 인터페이스 핀 맵, 데이터 포맷 교차 검증 및 시스템 합동 인터페이스 협의록 작성</t>
        </is>
      </c>
      <c r="P5" s="76">
        <f>HYPERLINK(LEFT(CELL("filename",A1),FIND("[",CELL("filename",A1))-1)&amp;"9.통신분야\4_전기 _ 신호 _ 기계 _ PSD _ 차량 인터페이스 협의\수행지침\전기 _ 신호 _ 기계 _ PSD _ 차량 인터페이스 협의_수행지침.html", "👉 [클릭] 수행지침 열기 📄")</f>
        <v/>
      </c>
      <c r="Q5" s="26" t="inlineStr">
        <is>
          <t>1) 96Core 광망[통합 포설] 통신(48C)+전기(2C)+신호(12C)를 OF-SM-96Core×2조 통합 포설로 확정하였는가?
2) KEC 점유율[KEC 33%] 전선관 내부 단면적 점유율 33% 이하 및 ELP ø150mm×6개×2조 배관을 확인하였는가?</t>
        </is>
      </c>
      <c r="R5" s="77">
        <f>HYPERLINK(LEFT(CELL("filename",A1),FIND("[",CELL("filename",A1))-1)&amp;"9.통신분야\4_전기 _ 신호 _ 기계 _ PSD _ 차량 인터페이스 협의\체크리스트\9000-2-4_전기 _ 신호 _ 기계 _ PSD _ 차량 인터페이스 협의_체크리스트.html", "👉 [클릭] 체크리스트 열기 📄")</f>
        <v/>
      </c>
      <c r="S5" s="22" t="n"/>
      <c r="T5" s="74" t="inlineStr">
        <is>
          <t>● 관련분야 설계기준서 준수</t>
        </is>
      </c>
      <c r="U5" s="73" t="inlineStr">
        <is>
          <t>1) 👉 [더블클릭] 체크리스트 열기 📄</t>
        </is>
      </c>
      <c r="V5" s="25" t="n"/>
    </row>
    <row r="6" ht="133.8" customHeight="1">
      <c r="A6" s="17" t="inlineStr">
        <is>
          <t>9000</t>
        </is>
      </c>
      <c r="B6" s="17" t="inlineStr">
        <is>
          <t>9000-2</t>
        </is>
      </c>
      <c r="C6" s="17" t="inlineStr">
        <is>
          <t>통신분야</t>
        </is>
      </c>
      <c r="D6" s="17" t="inlineStr">
        <is>
          <t>9000-2-5</t>
        </is>
      </c>
      <c r="E6" s="17">
        <f>D5</f>
        <v/>
      </c>
      <c r="F6" s="17">
        <f>D7</f>
        <v/>
      </c>
      <c r="G6" s="17" t="inlineStr">
        <is>
          <t>통신설비 제작사 인터페이스 협의</t>
        </is>
      </c>
      <c r="H6" s="17" t="inlineStr">
        <is>
          <t>D-180
(D-200~180)</t>
        </is>
      </c>
      <c r="I6" s="17" t="inlineStr">
        <is>
          <t>현장 시스템팀</t>
        </is>
      </c>
      <c r="J6" s="16" t="inlineStr">
        <is>
          <t>통신설비간 연동방안 검토</t>
        </is>
      </c>
      <c r="K6" s="33" t="inlineStr">
        <is>
          <t>- 내부 인터페이스 및 인허가사항 확인, 보안성검토 요청서</t>
        </is>
      </c>
      <c r="L6" s="17" t="inlineStr">
        <is>
          <t>인터페이스 회의록 및 관리대장</t>
        </is>
      </c>
      <c r="M6" s="26" t="inlineStr">
        <is>
          <t>1) 통신 주요 설비(LTE-R, 방송, CCTV, 역무, 관제 등) 제작사 간 프로토콜, 연동 규격 및 인터페이스 검토
2) 제작사 간 데이터 입출력 포맷 및 연동 케이블 사양서 확정 협의록 승인 표준 적용</t>
        </is>
      </c>
      <c r="N6" s="75">
        <f>HYPERLINK(LEFT(CELL("filename",A1),FIND("[",CELL("filename",A1))-1)&amp;"9.통신분야\5_통신설비 제작사 인터페이스 협의\표준서\통신설비 제작사 인터페이스 협의_표준서.html", "👉 [클릭] 표준서 열기 📄")</f>
        <v/>
      </c>
      <c r="O6" s="26" t="inlineStr">
        <is>
          <t>1) 프로토콜 &amp; 연동 검토: 제작사 간 데이터 입출력 규격, 네트워크 프로토콜(TCP/IP, RS-485 등) 및 랙 치수 대조
2) 연동 시험 수칙 수립: 제작사 간 신호 연동 핀 배열 확정 및 상호 연동 인터페이스 사양서 감리 승인 절차 수행</t>
        </is>
      </c>
      <c r="P6" s="76">
        <f>HYPERLINK(LEFT(CELL("filename",A1),FIND("[",CELL("filename",A1))-1)&amp;"9.통신분야\5_통신설비 제작사 인터페이스 협의\수행지침\통신설비 제작사 인터페이스 협의_수행지침.html", "👉 [클릭] 수행지침 열기 📄")</f>
        <v/>
      </c>
      <c r="Q6" s="26" t="inlineStr">
        <is>
          <t>1) 핀 구멍 대조[연결선 대조] A회사와 B회사 장비 연결선 핀(Pin) 구멍 위치가 똑맞는지 1:1 도면으로 대조하였는가?
2) 전원 잭 확인[코드 잭 준비] 각 장비에 220V 코드를 꽂을지 48V 전기를 줄지 전원 잭을 사전에 확인하였는가?</t>
        </is>
      </c>
      <c r="R6" s="77">
        <f>HYPERLINK(LEFT(CELL("filename",A1),FIND("[",CELL("filename",A1))-1)&amp;"9.통신분야\5_통신설비 제작사 인터페이스 협의\체크리스트\9000-2-5_통신설비 제작사 인터페이스 협의_체크리스트.html", "👉 [클릭] 체크리스트 열기 📄")</f>
        <v/>
      </c>
      <c r="S6" s="22" t="n"/>
      <c r="T6" s="74" t="inlineStr">
        <is>
          <t>● 관련분야 설계기준서 준수</t>
        </is>
      </c>
      <c r="U6" s="73" t="inlineStr">
        <is>
          <t>1) 👉 [더블클릭] 체크리스트 열기 📄</t>
        </is>
      </c>
      <c r="V6" s="25" t="n"/>
    </row>
    <row r="7" ht="145.2" customHeight="1">
      <c r="A7" s="17" t="inlineStr">
        <is>
          <t>9000</t>
        </is>
      </c>
      <c r="B7" s="17" t="inlineStr">
        <is>
          <t>9000-2</t>
        </is>
      </c>
      <c r="C7" s="17" t="inlineStr">
        <is>
          <t>통신분야</t>
        </is>
      </c>
      <c r="D7" s="17" t="inlineStr">
        <is>
          <t>9000-2-6</t>
        </is>
      </c>
      <c r="E7" s="17">
        <f>D6</f>
        <v/>
      </c>
      <c r="F7" s="17">
        <f>D8</f>
        <v/>
      </c>
      <c r="G7" s="17" t="inlineStr">
        <is>
          <t>관제 및 운영사 인터페이스 협의</t>
        </is>
      </c>
      <c r="H7" s="17" t="inlineStr">
        <is>
          <t>D-180
(D-200~180)</t>
        </is>
      </c>
      <c r="I7" s="17" t="inlineStr">
        <is>
          <t>현장 시스템팀 / 통신 협력업체</t>
        </is>
      </c>
      <c r="J7" s="16" t="inlineStr">
        <is>
          <t>관제 및 운영사 요구사항 사전 반영 및 시공범위 최적화</t>
        </is>
      </c>
      <c r="K7" s="33" t="inlineStr">
        <is>
          <t>- 시운전 조율사항 및 시운전시 정보 항목도출
- 철도 교통관제(구로/대전)와 연동할 수 있는 무선기능추가(관제/유지보수자 등), 실시간 사진 확인의 편리성 향상을 위한 기능 추가(CCTV카메라 등)
- 합동운영자, 운영사 인터페이스 협의</t>
        </is>
      </c>
      <c r="L7" s="17" t="inlineStr">
        <is>
          <t>인터페이스 회의록 및 관리대장</t>
        </is>
      </c>
      <c r="M7" s="26" t="inlineStr">
        <is>
          <t>1) 종합관제센터 및 철도운영사 요구조건 반영 관제 화면, 통신 프로토콜 및 비상 제어 인터페이스 검토
2) 관제 서버, 네트워크 스위치 및 운영사 통합 수선 체계 부합성 확인 승인 표준 적용</t>
        </is>
      </c>
      <c r="N7" s="75">
        <f>HYPERLINK(LEFT(CELL("filename",A1),FIND("[",CELL("filename",A1))-1)&amp;"9.통신분야\6_관제 및 운영사 인터페이스 협의\표준서\관제 및 운영사 인터페이스 협의_표준서.html", "👉 [클릭] 표준서 열기 📄")</f>
        <v/>
      </c>
      <c r="O7" s="26" t="inlineStr">
        <is>
          <t>1) 관제 연동 요구조건 검토: 종합관제 MMI 화면 구성, 비상 통화 프로토콜 및 운영사 통합 수선 요구사항 반영 조사
2) 관제 인터페이스 승인: 관제 서버-현장 장치 간 제어 데이터 송수신 시험 절차 수립 및 운영사 합동 검토서 확정</t>
        </is>
      </c>
      <c r="P7" s="76">
        <f>HYPERLINK(LEFT(CELL("filename",A1),FIND("[",CELL("filename",A1))-1)&amp;"9.통신분야\6_관제 및 운영사 인터페이스 협의\수행지침\관제 및 운영사 인터페이스 협의_수행지침.html", "👉 [클릭] 수행지침 열기 📄")</f>
        <v/>
      </c>
      <c r="Q7" s="26" t="inlineStr">
        <is>
          <t>1) OCC 화면배치[화면 맞추기] 동탄 종합관제실(OCC) 모니터에 트램 운행 상황이 한눈에 들어오도록 화면을 배치하였는가?
2) 4K CCTV 65개[명당 자리] 교차로 4K CCTV 카메라 65개소가 사각지대 없이 보이도록 명당 자리를 배치하였는가?</t>
        </is>
      </c>
      <c r="R7" s="77">
        <f>HYPERLINK(LEFT(CELL("filename",A1),FIND("[",CELL("filename",A1))-1)&amp;"9.통신분야\6_관제 및 운영사 인터페이스 협의\체크리스트\9000-2-6_관제 및 운영사 인터페이스 협의_체크리스트.html", "👉 [클릭] 체크리스트 열기 📄")</f>
        <v/>
      </c>
      <c r="S7" s="22" t="n"/>
      <c r="T7" s="74" t="inlineStr">
        <is>
          <t>● 관련분야 설계기준서 준수</t>
        </is>
      </c>
      <c r="U7" s="73" t="inlineStr">
        <is>
          <t>1) 👉 [더블클릭] 체크리스트 열기 📄</t>
        </is>
      </c>
      <c r="V7" s="25" t="n"/>
    </row>
    <row r="8" ht="115.2" customHeight="1">
      <c r="A8" s="17" t="inlineStr">
        <is>
          <t>9000</t>
        </is>
      </c>
      <c r="B8" s="17" t="inlineStr">
        <is>
          <t>9000-2</t>
        </is>
      </c>
      <c r="C8" s="17" t="inlineStr">
        <is>
          <t>통신분야</t>
        </is>
      </c>
      <c r="D8" s="17" t="inlineStr">
        <is>
          <t>9000-2-7</t>
        </is>
      </c>
      <c r="E8" s="17">
        <f>D7</f>
        <v/>
      </c>
      <c r="F8" s="17">
        <f>D9</f>
        <v/>
      </c>
      <c r="G8" s="17" t="inlineStr">
        <is>
          <t>발주처 품질 요구사항 검토</t>
        </is>
      </c>
      <c r="H8" s="17" t="inlineStr">
        <is>
          <t>D-180
(D-200~180)</t>
        </is>
      </c>
      <c r="I8" s="17" t="inlineStr">
        <is>
          <t>현장 시스템팀</t>
        </is>
      </c>
      <c r="J8" s="16" t="inlineStr">
        <is>
          <t>발주처 품질관리 기준/검사방안 확인</t>
        </is>
      </c>
      <c r="K8" s="34" t="inlineStr">
        <is>
          <t>- 감리/감독과 품질검사(ITP/ITC) 항목 검토</t>
        </is>
      </c>
      <c r="L8" s="17" t="inlineStr">
        <is>
          <t>ITP/ITC</t>
        </is>
      </c>
      <c r="M8" s="26" t="inlineStr">
        <is>
          <t>1) 발주처 입찰안내서 및 시방서 상의 통신 품질 시험 기준, 자재 승인 및 시험성적서 요구조건 검토
2) 품질시험계획서 수립 및 발주처 승인 품질 기준 준수서 작성 표준 적용</t>
        </is>
      </c>
      <c r="N8" s="75">
        <f>HYPERLINK(LEFT(CELL("filename",A1),FIND("[",CELL("filename",A1))-1)&amp;"9.통신분야\7_발주처 품질 요구사항 검토\표준서\발주처 품질 요구사항 검토_표준서.html", "👉 [클릭] 표준서 열기 📄")</f>
        <v/>
      </c>
      <c r="O8" s="26" t="inlineStr">
        <is>
          <t>1) 품질 기준 실측 수칙: 발주처 특기시방서 상의 품질 시험 항목, 샘플링 검사 비율 및 KS 규격 부합 여부 파악
2) 품질 관리 수립: 현장 품질시험계획서 수립, 불합격 자재 반출 절차 확립 및 발주처 승인 품질 수칙 이행</t>
        </is>
      </c>
      <c r="P8" s="76">
        <f>HYPERLINK(LEFT(CELL("filename",A1),FIND("[",CELL("filename",A1))-1)&amp;"9.통신분야\7_발주처 품질 요구사항 검토\수행지침\발주처 품질 요구사항 검토_수행지침.html", "👉 [클릭] 수행지침 열기 📄")</f>
        <v/>
      </c>
      <c r="Q8" s="26" t="inlineStr">
        <is>
          <t>1) [품질 계획] 발주처 품질검사 계획서(ITP)와 공사시방서의 품질 기준을 사전 정밀 대조하였는가?
2) [Hold Point] 감리원 현장 직접 입회 검측 항목(Hold Point)을 사전 분류 지정하였는가?</t>
        </is>
      </c>
      <c r="R8" s="77">
        <f>HYPERLINK(LEFT(CELL("filename",A1),FIND("[",CELL("filename",A1))-1)&amp;"9.통신분야\7_발주처 품질 요구사항 검토\체크리스트\9000-2-7_발주처 품질 요구사항 검토_체크리스트.html", "👉 [클릭] 체크리스트 열기 📄")</f>
        <v/>
      </c>
      <c r="S8" s="22" t="n"/>
      <c r="T8" s="74" t="inlineStr">
        <is>
          <t>● 관련분야 설계기준서 준수</t>
        </is>
      </c>
      <c r="U8" s="73" t="inlineStr">
        <is>
          <t>1) 👉 [더블클릭] 체크리스트 열기 📄</t>
        </is>
      </c>
      <c r="V8" s="25" t="n"/>
    </row>
    <row r="9" ht="115.2" customHeight="1">
      <c r="A9" s="17" t="inlineStr">
        <is>
          <t>9000</t>
        </is>
      </c>
      <c r="B9" s="17" t="inlineStr">
        <is>
          <t>9000-2</t>
        </is>
      </c>
      <c r="C9" s="17" t="inlineStr">
        <is>
          <t>통신분야</t>
        </is>
      </c>
      <c r="D9" s="17" t="inlineStr">
        <is>
          <t>9000-2-8</t>
        </is>
      </c>
      <c r="E9" s="17">
        <f>D8</f>
        <v/>
      </c>
      <c r="F9" s="17">
        <f>D10</f>
        <v/>
      </c>
      <c r="G9" s="17" t="inlineStr">
        <is>
          <t>자재 / 인원 / 장비 등 투입 사전 검토</t>
        </is>
      </c>
      <c r="H9" s="17" t="inlineStr">
        <is>
          <t>D-180
(D-200~180)</t>
        </is>
      </c>
      <c r="I9" s="17" t="inlineStr">
        <is>
          <t>현장 시스템팀 / 협력업체 / 관리</t>
        </is>
      </c>
      <c r="J9" s="16" t="inlineStr">
        <is>
          <t>자재 / 인원 / 장비 투입 계획 수립</t>
        </is>
      </c>
      <c r="K9" s="33" t="inlineStr">
        <is>
          <t>- 현장 여건 및 수량을 기준으로 투입(인원, 장비, 자재) 검토</t>
        </is>
      </c>
      <c r="L9" s="17" t="inlineStr">
        <is>
          <t>세부 공정계획 수립 및 조율</t>
        </is>
      </c>
      <c r="M9" s="26" t="inlineStr">
        <is>
          <t>1) 통신 공사 착수 전 전문 인력 기술자격, 자재 투입 일정 및 전용 시험장비/공구 사전 검토
2) 예정공정표 대비 인원·장비 투입 수급 타당성 및 안전 수칙 준수 검토 승인 표준 적용</t>
        </is>
      </c>
      <c r="N9" s="75">
        <f>HYPERLINK(LEFT(CELL("filename",A1),FIND("[",CELL("filename",A1))-1)&amp;"9.통신분야\8_자재 _ 인원 _ 장비 등 투입 사전 검토\표준서\자재 인력 장비 등 투입 사전 검토_표준서.html", "👉 [클릭] 표준서 열기 📄")</f>
        <v/>
      </c>
      <c r="O9" s="26" t="inlineStr">
        <is>
          <t>1) 투입 자원 타당성 분석: 통신 고급/중급 기술자 자격 검증, 광접속기/OTDR 시험장비 보유 상태 및 자재 수급 계획 검토
2) 공정 수급 승인: 예정공정표 대비 적정 투입 인원 산출, 작업 안전 구역 확보 및 현장소장 투입 승인 절차 수행</t>
        </is>
      </c>
      <c r="P9" s="76">
        <f>HYPERLINK(LEFT(CELL("filename",A1),FIND("[",CELL("filename",A1))-1)&amp;"9.통신분야\8_자재 _ 인원 _ 장비 등 투입 사전 검토\수행지침\자재 인력 장비 등 투입 사전 검토_수행지침.html", "👉 [클릭] 수행지침 열기 📄")</f>
        <v/>
      </c>
      <c r="Q9" s="26" t="inlineStr">
        <is>
          <t>1) [자원 계획] 공정별 통신 인력, 장비 수급 및 자재 수량을 사전 정밀 대조하였는가?
2) [인력 자격] 통신 공종별 특급/고급 기술자 자격증 및 현장 배치 계획을 확인하였는가?</t>
        </is>
      </c>
      <c r="R9" s="77">
        <f>HYPERLINK(LEFT(CELL("filename",A1),FIND("[",CELL("filename",A1))-1)&amp;"9.통신분야\8_자재 _ 인원 _ 장비 등 투입 사전 검토\체크리스트\자재 인력 장비 등 투입 사전 검토_체크리스트.html", "👉 [클릭] 체크리스트 열기 📄")</f>
        <v/>
      </c>
      <c r="S9" s="22" t="n"/>
      <c r="T9" s="74" t="inlineStr">
        <is>
          <t>● 관련분야 설계기준서 준수</t>
        </is>
      </c>
      <c r="U9" s="73" t="inlineStr">
        <is>
          <t>1) 👉 [더블클릭] 체크리스트 열기 📄</t>
        </is>
      </c>
      <c r="V9" s="25" t="n"/>
    </row>
    <row r="10" ht="210.6" customHeight="1">
      <c r="A10" s="17" t="inlineStr">
        <is>
          <t>9000</t>
        </is>
      </c>
      <c r="B10" s="17" t="inlineStr">
        <is>
          <t>9000-2</t>
        </is>
      </c>
      <c r="C10" s="17" t="inlineStr">
        <is>
          <t>통신분야</t>
        </is>
      </c>
      <c r="D10" s="17" t="inlineStr">
        <is>
          <t>9000-2-9</t>
        </is>
      </c>
      <c r="E10" s="17">
        <f>D9</f>
        <v/>
      </c>
      <c r="F10" s="17">
        <f>D11</f>
        <v/>
      </c>
      <c r="G10" s="17" t="inlineStr">
        <is>
          <t>착수 전 Big Room 회의</t>
        </is>
      </c>
      <c r="H10" s="17" t="inlineStr">
        <is>
          <t>D-170</t>
        </is>
      </c>
      <c r="I10" s="17" t="inlineStr">
        <is>
          <t>현장소장</t>
        </is>
      </c>
      <c r="J10" s="16" t="inlineStr">
        <is>
          <t>통신공사 수행 시, 선행공정 간섭사항 및 각종 Risk에 대한 대책 수립</t>
        </is>
      </c>
      <c r="K10" s="33" t="inlineStr">
        <is>
          <t>본사/현장/협력사 협의체 구축 후 세부내용 검토
- 공종별 간섭사항 검토: 노반(궤도)/전기/신호/기계/PSD/차량 인터페이스
- 통신자재 반입/토목(도로/궤도)/자재 야적장/제작사 공장 검토
- 통신자재 성능보장, 유사사례 리스크관리 및 성능보증 사항 검토
- 하자 예방, 타 프로젝트 하자사례 검토 후 재발방지방안 수립
- 인원, 자재, 장비 투입계획, 인허가사항 요건계획 검토
- 검사의 각 안전공사 기준 공유, 감리검사 계획 확인
- 공종별 Risk Hedge 방안 검토
1) 안전/품질 Risk 요소 및 대책 수립
2) 민원 대응방안 수립</t>
        </is>
      </c>
      <c r="L10" s="17" t="inlineStr">
        <is>
          <t>Big Room 회의록(참석자 전원 서명)</t>
        </is>
      </c>
      <c r="M10" s="26" t="inlineStr">
        <is>
          <t>1) 공사 착수 전 발주처, 감리단, 시공사 및 타공종 합동 Big Room 회의를 통한 종합 공정 및 위험요인 검토
2) 간섭사항 사전 도출 및 공종 간 공정 마일스톤 협의록 작성 표준 적용</t>
        </is>
      </c>
      <c r="N10" s="75">
        <f>HYPERLINK(LEFT(CELL("filename",A1),FIND("[",CELL("filename",A1))-1)&amp;"9.통신분야\8_자재 인력 장비 등 투입 사전 검토\표준서\자재 인력 장비 등 투입 사전 검토_표준서.html", "👉 [클릭] 표준서 열기 📄")</f>
        <v/>
      </c>
      <c r="O10" s="26" t="inlineStr">
        <is>
          <t>1) Big Room 공조 기법: 발주처·감리단·타공종 시공사 참사 종합 공정 3D 워크스루 및 선행 공종 마일스톤 점검
2) 간섭 리스크 해소: 공사 착수 전 분야별 간섭 위험 요소를 발굴하여 헷지 방안 수립 및 Big Room 회의록 최종 승인</t>
        </is>
      </c>
      <c r="P10" s="76">
        <f>HYPERLINK(LEFT(CELL("filename",A1),FIND("[",CELL("filename",A1))-1)&amp;"9.통신분야\8_자재 인력 장비 등 투입 사전 검토\수행지침\자재 인력 장비 등 투입 사전 검토_수행지침.html", "👉 [클릭] 수행지침 열기 📄")</f>
        <v/>
      </c>
      <c r="Q10" s="26" t="inlineStr">
        <is>
          <t>1) [Big Room 체계] 본사/현장/협력사 3자 Big Room 협의체를 구축하고 착수 세부 실행계획을 대조하였는가?
2) [인터페이스] 노반(궤도)/전기/신호/기계/차량 5대 공종 간 관통 경로 및 간섭점을 사전 도출 검출하였는가?</t>
        </is>
      </c>
      <c r="R10" s="77">
        <f>HYPERLINK(LEFT(CELL("filename",A1),FIND("[",CELL("filename",A1))-1)&amp;"9.통신분야\8_자재 인력 장비 등 투입 사전 검토\체크리스트\자재 인력 장비 등 투입 사전 검토_체크리스트.html", "👉 [클릭] 체크리스트 열기 📄")</f>
        <v/>
      </c>
      <c r="S10" s="22" t="n"/>
      <c r="T10" s="74" t="inlineStr">
        <is>
          <t>● 관련분야 설계기준서 준수</t>
        </is>
      </c>
      <c r="U10" s="73" t="inlineStr">
        <is>
          <t>1) 👉 [더블클릭] 체크리스트 열기 📄</t>
        </is>
      </c>
      <c r="V10" s="25" t="n"/>
    </row>
    <row r="11" ht="115.2" customHeight="1">
      <c r="A11" s="17" t="inlineStr">
        <is>
          <t>9000</t>
        </is>
      </c>
      <c r="B11" s="17" t="inlineStr">
        <is>
          <t>9000-2</t>
        </is>
      </c>
      <c r="C11" s="17" t="inlineStr">
        <is>
          <t>통신분야</t>
        </is>
      </c>
      <c r="D11" s="17" t="inlineStr">
        <is>
          <t>9000-2-10</t>
        </is>
      </c>
      <c r="E11" s="17">
        <f>D10</f>
        <v/>
      </c>
      <c r="F11" s="17">
        <f>D12</f>
        <v/>
      </c>
      <c r="G11" s="17" t="inlineStr">
        <is>
          <t>통신설비 제작 사양서 작성 / 승인</t>
        </is>
      </c>
      <c r="H11" s="17" t="inlineStr">
        <is>
          <t>D-90
(180~90)</t>
        </is>
      </c>
      <c r="I11" s="17" t="inlineStr">
        <is>
          <t>현장 시스템팀</t>
        </is>
      </c>
      <c r="J11" s="16" t="inlineStr">
        <is>
          <t>실제 설치되는 통신설비의 사양서를 확정하고 제작 사양서를 작성/승인</t>
        </is>
      </c>
      <c r="K11" s="33" t="inlineStr">
        <is>
          <t>- 현장여건 및 실시설계계획보고서/포함자재사양서의 요구사항 충족 여부를 확인
- 제작사양서, 제작도면 작성 후 감리단 승인</t>
        </is>
      </c>
      <c r="L11" s="17" t="inlineStr">
        <is>
          <t>제작사양서, 제작도면</t>
        </is>
      </c>
      <c r="M11" s="26" t="inlineStr">
        <is>
          <t>1) 통신설비 세부 기술사양서, 랙 배열도(Shop Drawing) 및 전기적/기계적 상세 도면 작성 검토
2) 감리단 및 발주처 승인을 위한 제작사양서 승인 신청서 및 공학적 승인 표준 적용</t>
        </is>
      </c>
      <c r="N11" s="75">
        <f>HYPERLINK(LEFT(CELL("filename",A1),FIND("[",CELL("filename",A1))-1)&amp;"9.통신분야\9_착수 전 Big Room 회의\표준서\착수 전 Big Room 회의_표준서.html", "👉 [클릭] 표준서 열기 📄")</f>
        <v/>
      </c>
      <c r="O11" s="26" t="inlineStr">
        <is>
          <t>1) 제작도서 상세 검토: 통신 랙 배열도(Shop Drawing), 전원 분배기 용량 및 단위 기기 기술 사양서 정밀 분석
2) 공학적 승인 신청: 발주처 입찰시방과 제작사양서 1:1 대조 검증 및 감리단 공학적 승인 제출 절차 수행</t>
        </is>
      </c>
      <c r="P11" s="76">
        <f>HYPERLINK(LEFT(CELL("filename",A1),FIND("[",CELL("filename",A1))-1)&amp;"9.통신분야\9_착수 전 Big Room 회의\수행지침\착수 전 Big Room 회의_수행지침.html", "👉 [클릭] 수행지침 열기 📄")</f>
        <v/>
      </c>
      <c r="Q11" s="26" t="inlineStr">
        <is>
          <t>1) [도서 대조] 기본/실시설계도서(보고서, 도면, 자재사양서)와 현장 기계실·역사 치수를 1:1 대조·확인하였는가?
2) [사양서 정의] 실제 제작·설치될 통신설비의 전기적·기계적 세부 규격 및 제작도면(Shop Drawing)을 작성하였는가?</t>
        </is>
      </c>
      <c r="R11" s="77">
        <f>HYPERLINK(LEFT(CELL("filename",A1),FIND("[",CELL("filename",A1))-1)&amp;"9.통신분야\9_착수 전 Big Room 회의\체크리스트\9000-2-9_착수 전 Big Room 회의_체크리스트.html", "👉 [클릭] 체크리스트 열기 📄")</f>
        <v/>
      </c>
      <c r="S11" s="22" t="n"/>
      <c r="T11" s="74" t="inlineStr">
        <is>
          <t>● 관련분야 설계기준서 준수</t>
        </is>
      </c>
      <c r="U11" s="73" t="inlineStr">
        <is>
          <t>1) 👉 [더블클릭] 체크리스트 열기 📄</t>
        </is>
      </c>
      <c r="V11" s="25" t="n"/>
    </row>
    <row r="12" ht="115.2" customHeight="1">
      <c r="A12" s="17" t="inlineStr">
        <is>
          <t>9000</t>
        </is>
      </c>
      <c r="B12" s="17" t="inlineStr">
        <is>
          <t>9000-2</t>
        </is>
      </c>
      <c r="C12" s="17" t="inlineStr">
        <is>
          <t>통신분야</t>
        </is>
      </c>
      <c r="D12" s="17" t="inlineStr">
        <is>
          <t>9000-2-11</t>
        </is>
      </c>
      <c r="E12" s="17">
        <f>D11</f>
        <v/>
      </c>
      <c r="F12" s="17">
        <f>D13</f>
        <v/>
      </c>
      <c r="G12" s="17" t="inlineStr">
        <is>
          <t>시공 계획 수립 / 승인</t>
        </is>
      </c>
      <c r="H12" s="17" t="inlineStr">
        <is>
          <t>D-60
(D-90~60)</t>
        </is>
      </c>
      <c r="I12" s="17" t="inlineStr">
        <is>
          <t>현장 시스템팀</t>
        </is>
      </c>
      <c r="J12" s="16" t="inlineStr">
        <is>
          <t>안전/품질이 확보된 시공계획 수립</t>
        </is>
      </c>
      <c r="K12" s="34" t="inlineStr">
        <is>
          <t>- 공사계획: 예정공정표, 인원/장비/자재투입 계획, 통신자재 설치 절차서 등
- 안전관리: 위험요인/대책, 안전교육/시설/점검 계획 수립
- 품질관리: 품질하자 Risk 및 대책 수립
- 인허가: 자가전기통신설비 설치신고 접수</t>
        </is>
      </c>
      <c r="L12" s="17" t="inlineStr">
        <is>
          <t>시공계획서&amp;시공상세도, 자가전기통신설비 신고서/계획서</t>
        </is>
      </c>
      <c r="M12" s="26" t="inlineStr">
        <is>
          <t>1) 통신공사 공정별 상세 시공절차서, 안전관리계획서, 품질관리계획서 및 세부 공정표 수립
2) 통신설비 설치 공법 타당성 및 감리단 시공계획서 승인 제출 표준 적용</t>
        </is>
      </c>
      <c r="N12" s="75">
        <f>HYPERLINK(LEFT(CELL("filename",A1),FIND("[",CELL("filename",A1))-1)&amp;"9.통신분야\10_통신설비 제작 사양서 작성 _ 승인\표준서\통신설비 제작 사양서 작성 _ 승인_표준서.html", "👉 [클릭] 표준서 열기 📄")</f>
        <v/>
      </c>
      <c r="O12" s="26" t="inlineStr">
        <is>
          <t>1) 세부 시공절차 수립: 통신 관로/트레이 포설, 광케이블 접속, 기계실 랙 설치 절차서 및 안전/품질 관리계획 작성
2) 감리 승인 및 이행: 시공상세도(Shop Drawing) 첨부, 현장 안전 위험성 평가 실시 및 감리단 시공계획서 승인 완료</t>
        </is>
      </c>
      <c r="P12" s="76">
        <f>HYPERLINK(LEFT(CELL("filename",A1),FIND("[",CELL("filename",A1))-1)&amp;"9.통신분야\10_통신설비 제작 사양서 작성 _ 승인\수행지침\통신설비 제작 사양서 작성 _ 승인_수행지침.html", "👉 [클릭] 수행지침 열기 📄")</f>
        <v/>
      </c>
      <c r="Q12" s="26" t="inlineStr">
        <is>
          <t>1) [도서 대조] 기본/실시설계 보고서, 시방서 수치와 현장 통신기계실 실측 치수를 1:1 대조·확인하였는가?
2) [안전 대책] 통신기계실 DC -48V 감전 방지 및 정거장 고소작업 시 안전대/2인1조 작업 대책을 수립하였는가?</t>
        </is>
      </c>
      <c r="R12" s="77">
        <f>HYPERLINK(LEFT(CELL("filename",A1),FIND("[",CELL("filename",A1))-1)&amp;"9.통신분야\10_통신설비 제작 사양서 작성 _ 승인\체크리스트\9000-2-10_통신설비 제작 사양서 작성 _ 승인_체크리스트.html", "👉 [클릭] 체크리스트 열기 📄")</f>
        <v/>
      </c>
      <c r="S12" s="22" t="n"/>
      <c r="T12" s="74" t="inlineStr">
        <is>
          <t>● 관련분야 설계기준서 준수</t>
        </is>
      </c>
      <c r="U12" s="73" t="inlineStr">
        <is>
          <t>1) 👉 [더블클릭] 체크리스트 열기 📄</t>
        </is>
      </c>
      <c r="V12" s="25" t="n"/>
    </row>
    <row r="13" ht="115.2" customHeight="1">
      <c r="A13" s="17" t="inlineStr">
        <is>
          <t>9000</t>
        </is>
      </c>
      <c r="B13" s="17" t="inlineStr">
        <is>
          <t>9000-2</t>
        </is>
      </c>
      <c r="C13" s="17" t="inlineStr">
        <is>
          <t>통신분야</t>
        </is>
      </c>
      <c r="D13" s="17" t="inlineStr">
        <is>
          <t>9000-2-12</t>
        </is>
      </c>
      <c r="E13" s="17">
        <f>D12</f>
        <v/>
      </c>
      <c r="F13" s="17">
        <f>D14</f>
        <v/>
      </c>
      <c r="G13" s="17" t="inlineStr">
        <is>
          <t>자재공급원 검토 및 승인</t>
        </is>
      </c>
      <c r="H13" s="17" t="inlineStr">
        <is>
          <t>D-30
(D-60~30)</t>
        </is>
      </c>
      <c r="I13" s="17" t="inlineStr">
        <is>
          <t>현장 시스템팀</t>
        </is>
      </c>
      <c r="J13" s="16" t="inlineStr">
        <is>
          <t>통신설비의 시공성과 품질, 기능 확보를 위한 자재 공급원 검토 및 승인</t>
        </is>
      </c>
      <c r="K13" s="34" t="inlineStr">
        <is>
          <t>- 통신자재제작능력, 유사사례 납품실적 확인
- 성능보증 가능한 통신자재 업체 Pool 검토
- 통신자재 설치 실적 및 설계능력 확인
- 보안성검토 결과 확인</t>
        </is>
      </c>
      <c r="L13" s="17" t="inlineStr">
        <is>
          <t>자재공급원/제작도서 승인 서류, 보안성검토 결과서</t>
        </is>
      </c>
      <c r="M13" s="26" t="inlineStr">
        <is>
          <t>1) 통신 주요 자재 및 기기 자재공급원 승인 서류(KS 인증, 시험성적서, 사업자등록증 등) 검토
2) 성능보증이 가능한 복수 자재공급원 승인 서류 수립 및 감리 승인 표준 적용</t>
        </is>
      </c>
      <c r="N13" s="75">
        <f>HYPERLINK(LEFT(CELL("filename",A1),FIND("[",CELL("filename",A1))-1)&amp;"9.통신분야\11_시공 계획 수립 _ 승인\표준서\시공 계획 수립 _ 승인_표준서.html", "👉 [클릭] 표준서 열기 📄")</f>
        <v/>
      </c>
      <c r="O13" s="26" t="inlineStr">
        <is>
          <t>1) 승인 서류 정밀 검토: 제조사 공장등록증, KS/KC 인증서, 최근 3년 납품 실적 및 공인시험기관 시험성적서 확인
2) 자재 승인 및 관리: 복수 공급원 비교 검토서 작성, 불량 자재 차단 헷지 및 감리단 자재공급원 승인 획득</t>
        </is>
      </c>
      <c r="P13" s="76">
        <f>HYPERLINK(LEFT(CELL("filename",A1),FIND("[",CELL("filename",A1))-1)&amp;"9.통신분야\11_시공 계획 수립 _ 승인\수행지침\시공 계획 수립 _ 승인_수행지침.html", "👉 [클릭] 수행지침 열기 📄")</f>
        <v/>
      </c>
      <c r="Q13" s="26" t="inlineStr">
        <is>
          <t>1) [서류 수집] 공장등록증, 사업자등록증, 카탈로그, A/S 확약서 등 6대 필수 제출 서류를 수집·확인하였는가?
2) [사양 대조] 설계도서 수치(KCS 31 10 00)와 자재 카탈로그 규격 간 1:1 대조표를 정확히 작성하였는가?</t>
        </is>
      </c>
      <c r="R13" s="77">
        <f>HYPERLINK(LEFT(CELL("filename",A1),FIND("[",CELL("filename",A1))-1)&amp;"9.통신분야\11_시공 계획 수립 _ 승인\체크리스트\9000-2-11_시공 계획 수립 _ 승인_체크리스트.html", "👉 [클릭] 체크리스트 열기 📄")</f>
        <v/>
      </c>
      <c r="S13" s="22" t="n"/>
      <c r="T13" s="74" t="inlineStr">
        <is>
          <t>● 관련분야 설계기준서 준수</t>
        </is>
      </c>
      <c r="U13" s="73" t="inlineStr">
        <is>
          <t>1) 👉 [더블클릭] 체크리스트 열기 📄</t>
        </is>
      </c>
      <c r="V13" s="25" t="n"/>
    </row>
    <row r="14" ht="192" customHeight="1">
      <c r="A14" s="17" t="inlineStr">
        <is>
          <t>9000</t>
        </is>
      </c>
      <c r="B14" s="17" t="inlineStr">
        <is>
          <t>9000-2</t>
        </is>
      </c>
      <c r="C14" s="17" t="inlineStr">
        <is>
          <t>통신분야</t>
        </is>
      </c>
      <c r="D14" s="17" t="inlineStr">
        <is>
          <t>9000-2-13</t>
        </is>
      </c>
      <c r="E14" s="17">
        <f>D13</f>
        <v/>
      </c>
      <c r="F14" s="17">
        <f>D15</f>
        <v/>
      </c>
      <c r="G14" s="17" t="inlineStr">
        <is>
          <t>통신설비 공정제작 / 제작사 공장검사</t>
        </is>
      </c>
      <c r="H14" s="17" t="inlineStr">
        <is>
          <t>D-30
(D-30~D+15)</t>
        </is>
      </c>
      <c r="I14" s="17" t="inlineStr">
        <is>
          <t>현장 시스템팀</t>
        </is>
      </c>
      <c r="J14" s="16" t="inlineStr">
        <is>
          <t>제작사양서/제작도면의 일치여부검토 및 현장반입 전 공장 성능검사 확인</t>
        </is>
      </c>
      <c r="K14" s="34" t="inlineStr">
        <is>
          <t>- 외산자재 등 Delivery 일정 확인
- 제작도서 기준으로 최종 제작상태 확인
- 제작도면과 일치여부 확인
- 공장 내 성능검사 시험 실시
[공장검사 대상 항목]
- 영상장치장치, 행선안내장치, 구내방송장치, 전송설비, 역무자동화설비, 열차무선안내장치, 여객자동안내장치, 열차무선설비, 재난방송수신설비, 선로변 통합인터페이스 통신설비, 역무용통신설비, 백본스위치, L3스위치, 광케이블, 케이블 안테나 CCTV용 Pole</t>
        </is>
      </c>
      <c r="L14" s="17" t="inlineStr">
        <is>
          <t>공장검사 결과보고서 (감리 및 관계기관 입회)</t>
        </is>
      </c>
      <c r="M14" s="26" t="inlineStr">
        <is>
          <t>1) 통신 기기 제작 공정 진행률 점검 및 공장시험(FAT, Factory Acceptance Test) 절차서 작성
2) 공장 수검 검사, 품질 성능 시험성적서 확인 및 공장검사 합격증명서 발급 표준 적용</t>
        </is>
      </c>
      <c r="N14" s="75">
        <f>HYPERLINK(LEFT(CELL("filename",A1),FIND("[",CELL("filename",A1))-1)&amp;"9.통신분야\12_자재공급원 검토 및 승인\표준서\자재공급원 검토 및 승인_표준서.html", "👉 [클릭] 표준서 열기 📄")</f>
        <v/>
      </c>
      <c r="O14" s="26" t="inlineStr">
        <is>
          <t>1) 공장검사(FAT) 준비: 제작사 공장 제작 공정률 점검, FAT 시험절차서 검토 및 검사 입회 일정 수립
2) 입회 검사 실시: 전원 인입, 기능 시험, 방수/내열 공인시험 실측 확인 및 FAT 공장검사 합격증명서 획득</t>
        </is>
      </c>
      <c r="P14" s="76">
        <f>HYPERLINK(LEFT(CELL("filename",A1),FIND("[",CELL("filename",A1))-1)&amp;"9.통신분야\12_자재공급원 검토 및 승인\수행지침\자재공급원 검토 및 승인_수행지침.html", "👉 [클릭] 수행지침 열기 📄")</f>
        <v/>
      </c>
      <c r="Q14" s="26" t="inlineStr">
        <is>
          <t>1) [외산자재 납기] 수입 광모듈, 스위치 칩셋의 선적/통관 서류(B/L)를 검수하여 현장 기계실 반입 주공정표(CPM) 대비 납기를 확인하였는가?
2) [ITP 승인] 감리 승인된 ITP 절차서와 절연저항계(Megger), OTDR의 교정 유효기간 증명서를 사전 확인하였는가?</t>
        </is>
      </c>
      <c r="R14" s="77">
        <f>HYPERLINK(LEFT(CELL("filename",A1),FIND("[",CELL("filename",A1))-1)&amp;"9.통신분야\12_자재공급원 검토 및 승인\체크리스트\9000-2-12_자재공급원 검토 및 승인_체크리스트.html", "👉 [클릭] 체크리스트 열기 📄")</f>
        <v/>
      </c>
      <c r="S14" s="22" t="n"/>
      <c r="T14" s="74" t="inlineStr">
        <is>
          <t>● 관련분야 설계기준서 준수</t>
        </is>
      </c>
      <c r="U14" s="73" t="inlineStr">
        <is>
          <t>1) 👉 [더블클릭] 체크리스트 열기 📄</t>
        </is>
      </c>
      <c r="V14" s="25" t="n"/>
    </row>
    <row r="15" ht="115.2" customHeight="1">
      <c r="A15" s="17" t="inlineStr">
        <is>
          <t>9000</t>
        </is>
      </c>
      <c r="B15" s="17" t="inlineStr">
        <is>
          <t>9000-2</t>
        </is>
      </c>
      <c r="C15" s="17" t="inlineStr">
        <is>
          <t>통신분야</t>
        </is>
      </c>
      <c r="D15" s="17" t="inlineStr">
        <is>
          <t>9000-2-14</t>
        </is>
      </c>
      <c r="E15" s="17">
        <f>D14</f>
        <v/>
      </c>
      <c r="F15" s="17">
        <f>D16</f>
        <v/>
      </c>
      <c r="G15" s="17" t="inlineStr">
        <is>
          <t>본공사 전 선행공정 인수인계 점검</t>
        </is>
      </c>
      <c r="H15" s="17" t="inlineStr">
        <is>
          <t>D-10
(D-20~10)</t>
        </is>
      </c>
      <c r="I15" s="17" t="inlineStr">
        <is>
          <t>현장 시스템팀</t>
        </is>
      </c>
      <c r="J15" s="16" t="inlineStr">
        <is>
          <t>통신설비 설치를 위한 현장점검/정리 상태 확인(기능실: 건축,전기/현장: 노반)</t>
        </is>
      </c>
      <c r="K15" s="34" t="inlineStr">
        <is>
          <t>- 통신설비 설치 시 간섭여부 점검
- 현장 정리상태 점검 (건축마감, 공조, 조명, 전원 등)
- 장비설치를 위한 자체반입구 및 케이블 설치를 위한 공동구/오프닝 위치 확인</t>
        </is>
      </c>
      <c r="L15" s="17" t="inlineStr">
        <is>
          <t>기록지, 현장점검결과보고서(감리입회)</t>
        </is>
      </c>
      <c r="M15" s="26" t="inlineStr">
        <is>
          <t>1) 토목·건축 선행 공정 완료 후 통신 기계실, 케이블 트레이, 관로 인수인계 현장 상태 검측
2) 바닥 엑세스플로어, 방화 구획 및 기초 구조체 인수인계 확인서 작성 표준 적용</t>
        </is>
      </c>
      <c r="N15" s="75">
        <f>HYPERLINK(LEFT(CELL("filename",A1),FIND("[",CELL("filename",A1))-1)&amp;"9.통신분야\13_통신설비 공정제작 _ 제작사 공장검사\표준서\통신설비 공정제작 _ 제작사 공장검사_표준서.html", "👉 [클릭] 표준서 열기 📄")</f>
        <v/>
      </c>
      <c r="O15" s="26" t="inlineStr">
        <is>
          <t>1) 선행 공종 실측 검측: 토목·건축 완료 기계실 바닥 엑세스플로어, 케이블 트레이, 방화 구획 및 랙 기초 상태 검사
2) 인수인계 승인: 미비 사항 현장 보완 조치 요구 및 통신 시공 적격 선행 공정 인수인계 확인서 최종 승인</t>
        </is>
      </c>
      <c r="P15" s="76">
        <f>HYPERLINK(LEFT(CELL("filename",A1),FIND("[",CELL("filename",A1))-1)&amp;"9.통신분야\13_통신설비 공정제작 _ 제작사 공장검사\수행지침\통신설비 공정제작 _ 제작사 공장검사_수행지침.html", "👉 [클릭] 수행지침 열기 📄")</f>
        <v/>
      </c>
      <c r="Q15" s="26" t="inlineStr">
        <is>
          <t>1) 토목 배관 도면 및 건축 구조물 도면을 대조하여 통신기계실 오프닝 위치, 지중관로 규격(Ø100/Ø50) 및 핸드홀 설치 좌표를 사전 검토하였는가?
2) 토목, 건축, 통신 현장 담당자 3자 공조 체계를 구성하고 현장 합동 점검표, Mandrel 도통시험기 및 레이저 레벨기를 사전 준비하였는가?</t>
        </is>
      </c>
      <c r="R15" s="77">
        <f>HYPERLINK(LEFT(CELL("filename",A1),FIND("[",CELL("filename",A1))-1)&amp;"9.통신분야\13_통신설비 공정제작 _ 제작사 공장검사\체크리스트\9000-2-13_통신설비 공정제작 _ 제작사 공장검사_체크리스트.html", "👉 [클릭] 체크리스트 열기 📄")</f>
        <v/>
      </c>
      <c r="S15" s="22" t="n"/>
      <c r="T15" s="74" t="inlineStr">
        <is>
          <t>● 관련분야 설계기준서 준수</t>
        </is>
      </c>
      <c r="U15" s="73" t="inlineStr">
        <is>
          <t>1) 👉 [더블클릭] 체크리스트 열기 📄</t>
        </is>
      </c>
      <c r="V15" s="25" t="n"/>
    </row>
    <row r="16" ht="115.2" customHeight="1">
      <c r="A16" s="17" t="inlineStr">
        <is>
          <t>9000</t>
        </is>
      </c>
      <c r="B16" s="17" t="inlineStr">
        <is>
          <t>9000-2</t>
        </is>
      </c>
      <c r="C16" s="17" t="inlineStr">
        <is>
          <t>통신분야</t>
        </is>
      </c>
      <c r="D16" s="17" t="inlineStr">
        <is>
          <t>9000-2-15</t>
        </is>
      </c>
      <c r="E16" s="17">
        <f>D15</f>
        <v/>
      </c>
      <c r="F16" s="17">
        <f>D17</f>
        <v/>
      </c>
      <c r="G16" s="17" t="inlineStr">
        <is>
          <t>장비반입 및 안전교육</t>
        </is>
      </c>
      <c r="H16" s="17" t="inlineStr">
        <is>
          <t>D-5
(D-10~5)</t>
        </is>
      </c>
      <c r="I16" s="17" t="inlineStr">
        <is>
          <t>현장 시스템팀 / 안전팀</t>
        </is>
      </c>
      <c r="J16" s="16" t="inlineStr">
        <is>
          <t>장비 반입 준비 및 안전교육 완료</t>
        </is>
      </c>
      <c r="K16" s="34" t="inlineStr">
        <is>
          <t>- 자재반입 경로, 적치장소에 대한 사전확인 및 타분야 일정, 간섭사항 협의/확인
- 장비 Spec확인, 장비상태 점검
- 작업원 안전교육 실시</t>
        </is>
      </c>
      <c r="L16" s="17" t="inlineStr">
        <is>
          <t>안전교육 결과서, 측량기록지</t>
        </is>
      </c>
      <c r="M16" s="26" t="inlineStr">
        <is>
          <t>1) 통신 시공 장비 및 차량 반입 전 장비 안전점검 및 작업자 특별안전보건교육 실시
2) 장비 반입 허가서 작성 및 안전 교육 이수 수료증 관리 표준 적용</t>
        </is>
      </c>
      <c r="N16" s="75">
        <f>HYPERLINK(LEFT(CELL("filename",A1),FIND("[",CELL("filename",A1))-1)&amp;"9.통신분야\14_본공사 전 선행공정 인수인계 점검\표준서\본공사 전 선행공정 인수인계 점검_표준서.html", "👉 [클릭] 표준서 열기 📄")</f>
        <v/>
      </c>
      <c r="O16" s="26" t="inlineStr">
        <is>
          <t>1) 장비 안전점검: 고소작업차, 광접속 차량 반입 전 안전 검사 및 작업 장비 반입 신청서 검토
2) 안전 교육 이수: 통신 시공 작업자 대상 특별안전보건교육, 보호구 착용 점검 및 안전 교육 이수 수료 관리</t>
        </is>
      </c>
      <c r="P16" s="76">
        <f>HYPERLINK(LEFT(CELL("filename",A1),FIND("[",CELL("filename",A1))-1)&amp;"9.통신분야\14_본공사 전 선행공정 인수인계 점검\수행지침\본공사 전 선행공정 인수인계 점검_수행지침.html", "👉 [클릭] 수행지침 열기 📄")</f>
        <v/>
      </c>
      <c r="Q16" s="26" t="inlineStr">
        <is>
          <t>1) 화물차 반입 도로의 유효 폭(W≥3.5m) 및 지상 가설재 장애물(0cm) 상태를 확인하였는가?
2) 토목/건축 등 타분야 양중 작업 간섭 여부를 사전 협의하고 양중 시간대를 분리 조율하였는가?</t>
        </is>
      </c>
      <c r="R16" s="77">
        <f>HYPERLINK(LEFT(CELL("filename",A1),FIND("[",CELL("filename",A1))-1)&amp;"9.통신분야\14_본공사 전 선행공정 인수인계 점검\체크리스트\9000-2-14_본공사 전 선행공정 인수인계 점검_체크리스트.html", "👉 [클릭] 체크리스트 열기 📄")</f>
        <v/>
      </c>
      <c r="S16" s="22" t="n"/>
      <c r="T16" s="74" t="inlineStr">
        <is>
          <t>● 관련분야 설계기준서 준수</t>
        </is>
      </c>
      <c r="U16" s="73" t="inlineStr">
        <is>
          <t>1) 👉 [더블클릭] 체크리스트 열기 📄</t>
        </is>
      </c>
      <c r="V16" s="25" t="n"/>
    </row>
    <row r="17" ht="115.2" customHeight="1">
      <c r="A17" s="17" t="inlineStr">
        <is>
          <t>9000</t>
        </is>
      </c>
      <c r="B17" s="17" t="inlineStr">
        <is>
          <t>9000-2</t>
        </is>
      </c>
      <c r="C17" s="17" t="inlineStr">
        <is>
          <t>통신분야</t>
        </is>
      </c>
      <c r="D17" s="17" t="inlineStr">
        <is>
          <t>9000-2-16</t>
        </is>
      </c>
      <c r="E17" s="17">
        <f>D16</f>
        <v/>
      </c>
      <c r="F17" s="17">
        <f>D18</f>
        <v/>
      </c>
      <c r="G17" s="17" t="inlineStr">
        <is>
          <t>자재 반입 및 검수</t>
        </is>
      </c>
      <c r="H17" s="17" t="inlineStr">
        <is>
          <t>D+0
~D+30</t>
        </is>
      </c>
      <c r="I17" s="17" t="inlineStr">
        <is>
          <t>현장소장 및 발주청/공동감리단</t>
        </is>
      </c>
      <c r="J17" s="16" t="inlineStr">
        <is>
          <t>공장검사 시행 완료된 자재반입과 현장 입고 검사</t>
        </is>
      </c>
      <c r="K17" s="34" t="inlineStr">
        <is>
          <t>- 자재 하차 위치 및 반입동선 확인
- 승인된 자재 일치여부 확인(Serial number 등)
- 제품의 규격, 수량 도면과 일치하는지 검토</t>
        </is>
      </c>
      <c r="L17" s="17" t="inlineStr">
        <is>
          <t>자재검수서</t>
        </is>
      </c>
      <c r="M17" s="26" t="inlineStr">
        <is>
          <t>1) 현장 반입 통신 자재 및 케이블의 승인 자재 일치성, 수량 및 운반 파손 여부 검수
2) 자재검수 요청서 작성 및 감리 입회 검수 합격 확인 표준 적용</t>
        </is>
      </c>
      <c r="N17" s="75">
        <f>HYPERLINK(LEFT(CELL("filename",A1),FIND("[",CELL("filename",A1))-1)&amp;"9.통신분야\15_장비반입 및 안전교육\표준서\장비반입 및 안전교육_표준서.html", "👉 [클릭] 표준서 열기 📄")</f>
        <v/>
      </c>
      <c r="O17" s="26" t="inlineStr">
        <is>
          <t>1) 반입 자재 현장 검측: 자재 반입 시 자재공급원 승인품 일치 여부, 운반 외관 파손 및 시리얼 번호 현장 검수
2) 자재검수 보고: 감리 입회 자재 검수 실시, 자재검수 요청서 결재 및 현장 통신 자재 창고 입고 관리</t>
        </is>
      </c>
      <c r="P17" s="76">
        <f>HYPERLINK(LEFT(CELL("filename",A1),FIND("[",CELL("filename",A1))-1)&amp;"9.통신분야\15_장비반입 및 안전교육\수행지침\장비반입 및 안전교육_수행지침.html", "👉 [클릭] 수행지침 열기 📄")</f>
        <v/>
      </c>
      <c r="Q17" s="26" t="inlineStr">
        <is>
          <t>1) 시방 대조[도면 및 여건] 자재 하차 위치 및 반입동선 확인 수칙을 사전 대조 확인하였는가?
2) 업체 Pool[적격 업체] 철도/트램 시공 및 영업운행 실적이 입증된 적격 업체 Pool을 검토하였는가?</t>
        </is>
      </c>
      <c r="R17" s="77">
        <f>HYPERLINK(LEFT(CELL("filename",A1),FIND("[",CELL("filename",A1))-1)&amp;"9.통신분야\15_장비반입 및 안전교육\체크리스트\9000-2-15_장비반입 및 안전교육_체크리스트.html", "👉 [클릭] 체크리스트 열기 📄")</f>
        <v/>
      </c>
      <c r="S17" s="22" t="n"/>
      <c r="T17" s="74" t="inlineStr">
        <is>
          <t>● 관련분야 설계기준서 준수</t>
        </is>
      </c>
      <c r="U17" s="73" t="inlineStr">
        <is>
          <t>1) 👉 [더블클릭] 체크리스트 열기 📄</t>
        </is>
      </c>
      <c r="V17" s="25" t="n"/>
    </row>
    <row r="18" ht="115.2" customHeight="1">
      <c r="A18" s="17" t="inlineStr">
        <is>
          <t>9000</t>
        </is>
      </c>
      <c r="B18" s="17" t="inlineStr">
        <is>
          <t>9000-2</t>
        </is>
      </c>
      <c r="C18" s="17" t="inlineStr">
        <is>
          <t>통신분야</t>
        </is>
      </c>
      <c r="D18" s="17" t="inlineStr">
        <is>
          <t>9000-2-17</t>
        </is>
      </c>
      <c r="E18" s="17">
        <f>D17</f>
        <v/>
      </c>
      <c r="F18" s="17">
        <f>D19</f>
        <v/>
      </c>
      <c r="G18" s="17" t="inlineStr">
        <is>
          <t>통신설비 반입 및 설치</t>
        </is>
      </c>
      <c r="H18" s="17" t="inlineStr">
        <is>
          <t>D+31
~D+360</t>
        </is>
      </c>
      <c r="I18" s="17" t="inlineStr">
        <is>
          <t>현장소장 및 분야별 전담팀</t>
        </is>
      </c>
      <c r="J18" s="16" t="inlineStr">
        <is>
          <t>설계에 부합되도록 통신설비 설치</t>
        </is>
      </c>
      <c r="K18" s="33" t="inlineStr">
        <is>
          <t>- 시공샘플이 필요한 대상을 감리/감독과 협의하여 선정후 시공검사 실시
- 현장 선로변 설비, 각종 케이블 포설
- 기계실 내 서버랙 및 각종 단말장치 설치 (카메라, 인터폰 등)
- 통신실내 케이블 배선
- 통신설비가 도면대로 설치되었는지 확인</t>
        </is>
      </c>
      <c r="L18" s="17" t="inlineStr">
        <is>
          <t>검측서</t>
        </is>
      </c>
      <c r="M18" s="26" t="inlineStr">
        <is>
          <t>1) 통신 기계실 랙 설비, 본선 관로 광케이블 포설 및 역무 통신 기기 수평/수직 시공 설치
2) 케이블 성단, OTDR 접속 및 설비 고정 상태 검측 표준 적용</t>
        </is>
      </c>
      <c r="N18" s="75">
        <f>HYPERLINK(LEFT(CELL("filename",A1),FIND("[",CELL("filename",A1))-1)&amp;"9.통신분야\16_자재 반입 및 검수\표준서\자재 반입 및 검수_표준서.html", "👉 [클릭] 표준서 열기 📄")</f>
        <v/>
      </c>
      <c r="O18" s="26" t="inlineStr">
        <is>
          <t>1) 설치 실무 절차: 통신 기계실 랙 고정, 광케이블/UTP 포설, 성단 작업 및 역사 역무 통신 기기 수평/수직 시공
2) 접속 및 검측: OTDR 접속 손실(≤0.05dB) 측정, 랙 전원 인입 배선 정리 및 설비 고정 상태 감리 검측</t>
        </is>
      </c>
      <c r="P18" s="76">
        <f>HYPERLINK(LEFT(CELL("filename",A1),FIND("[",CELL("filename",A1))-1)&amp;"9.통신분야\16_자재 반입 및 검수\수행지침\자재 반입 및 검수_수행지침.html", "👉 [클릭] 수행지침 열기 📄")</f>
        <v/>
      </c>
      <c r="Q18" s="26" t="inlineStr">
        <is>
          <t>1) 본 시공 착수 전 통신기계실 랙 배선 정돈 및 마킹 표찰 샘플을 감리단과 사전 검측하였는가?
2) 72-Core 광케이블 융착 접속 트레이 정돈 및 접속 손실 샘플 시공 승인을 획득하였는가?</t>
        </is>
      </c>
      <c r="R18" s="77">
        <f>HYPERLINK(LEFT(CELL("filename",A1),FIND("[",CELL("filename",A1))-1)&amp;"9.통신분야\16_자재 반입 및 검수\체크리스트\9000-2-16_자재 반입 및 검수_체크리스트.html", "👉 [클릭] 체크리스트 열기 📄")</f>
        <v/>
      </c>
      <c r="S18" s="22" t="n"/>
      <c r="T18" s="74" t="inlineStr">
        <is>
          <t>● 관련분야 설계기준서 준수</t>
        </is>
      </c>
      <c r="U18" s="73" t="inlineStr">
        <is>
          <t>1) 👉 [더블클릭] 체크리스트 열기 📄</t>
        </is>
      </c>
      <c r="V18" s="25" t="n"/>
    </row>
    <row r="19" ht="115.2" customHeight="1">
      <c r="A19" s="17" t="inlineStr">
        <is>
          <t>9000</t>
        </is>
      </c>
      <c r="B19" s="17" t="inlineStr">
        <is>
          <t>9000-2</t>
        </is>
      </c>
      <c r="C19" s="17" t="inlineStr">
        <is>
          <t>통신분야</t>
        </is>
      </c>
      <c r="D19" s="17" t="inlineStr">
        <is>
          <t>9000-2-18</t>
        </is>
      </c>
      <c r="E19" s="17">
        <f>D18</f>
        <v/>
      </c>
      <c r="F19" s="17">
        <f>D20</f>
        <v/>
      </c>
      <c r="G19" s="17" t="inlineStr">
        <is>
          <t>관제설비 설치</t>
        </is>
      </c>
      <c r="H19" s="17" t="inlineStr">
        <is>
          <t>D+121
~D+150</t>
        </is>
      </c>
      <c r="I19" s="17" t="inlineStr">
        <is>
          <t>현장소장</t>
        </is>
      </c>
      <c r="J19" s="16" t="inlineStr">
        <is>
          <t>관제설비의 정위치 배치 및 설치</t>
        </is>
      </c>
      <c r="K19" s="33" t="inlineStr">
        <is>
          <t>- 랙 베이스/케이블 등 설치 위치를 확인하고 설치후에는 도면과 일치 여부를 체크
- 철도 교통관제(구로/대전)와 연동할 수 있게 광전송/열차무선 설비 등을 설치하고 확인</t>
        </is>
      </c>
      <c r="L19" s="17" t="inlineStr">
        <is>
          <t>검측서</t>
        </is>
      </c>
      <c r="M19" s="26" t="inlineStr">
        <is>
          <t>1) 종합관제센터 관제 콘솔, 대형 표시장치(DLP/LFD), 관제 서버 및 네트워크 설비 설치
2) 관제 시스템 전원 인입, 배선 정리 및 관제 환경 설치 검측 표준 적용</t>
        </is>
      </c>
      <c r="N19" s="75">
        <f>HYPERLINK(LEFT(CELL("filename",A1),FIND("[",CELL("filename",A1))-1)&amp;"9.통신분야\17_통신설비 반입 및 설치\표준서\통신설비 반입 및 설치_표준서.html", "👉 [클릭] 표준서 열기 📄")</f>
        <v/>
      </c>
      <c r="O19" s="26" t="inlineStr">
        <is>
          <t>1) 관제 환경 설치 절차: 종합관제센터 관제 콘솔 고정, DLP/LFD 대형 화면 설치, 관제 서버 랙 반입 및 배선 정리
2) 전원 및 계통 검측: 관제 전원 분배기 전원 인입, 이중화 네트워크 케이블 성단 및 관제실 설치 상태 확인</t>
        </is>
      </c>
      <c r="P19" s="76">
        <f>HYPERLINK(LEFT(CELL("filename",A1),FIND("[",CELL("filename",A1))-1)&amp;"9.통신분야\17_통신설비 반입 및 설치\수행지침\통신설비 반입 및 설치_수행지침.html", "👉 [클릭] 수행지침 열기 📄")</f>
        <v/>
      </c>
      <c r="Q19" s="26" t="inlineStr">
        <is>
          <t>1) OCC 관제실 전면 비디오 월 마운트 거치 프레임 레이저 수평 오차(±1.0mm 이내)를 실측하였는가?
2) 멀티 디스플레이 패널 간 베젤 이격 단차(≤0.5mm) 미세 조율 및 방진 가스켓 부착을 완료하였는가?</t>
        </is>
      </c>
      <c r="R19" s="77">
        <f>HYPERLINK(LEFT(CELL("filename",A1),FIND("[",CELL("filename",A1))-1)&amp;"9.통신분야\17_통신설비 반입 및 설치\체크리스트\9000-2-17_통신설비 반입 및 설치_체크리스트.html", "👉 [클릭] 체크리스트 열기 📄")</f>
        <v/>
      </c>
      <c r="S19" s="22" t="n"/>
      <c r="T19" s="74" t="inlineStr">
        <is>
          <t>● 관련분야 설계기준서 준수</t>
        </is>
      </c>
      <c r="U19" s="73" t="inlineStr">
        <is>
          <t>1) 👉 [더블클릭] 체크리스트 열기 📄</t>
        </is>
      </c>
      <c r="V19" s="25" t="n"/>
    </row>
    <row r="20" ht="115.2" customHeight="1">
      <c r="A20" s="17" t="inlineStr">
        <is>
          <t>9000</t>
        </is>
      </c>
      <c r="B20" s="17" t="inlineStr">
        <is>
          <t>9000-2</t>
        </is>
      </c>
      <c r="C20" s="17" t="inlineStr">
        <is>
          <t>통신분야</t>
        </is>
      </c>
      <c r="D20" s="17" t="inlineStr">
        <is>
          <t>9000-2-19</t>
        </is>
      </c>
      <c r="E20" s="17">
        <f>D19</f>
        <v/>
      </c>
      <c r="F20" s="17">
        <f>D21</f>
        <v/>
      </c>
      <c r="G20" s="17" t="inlineStr">
        <is>
          <t>통신시스템 단위시험</t>
        </is>
      </c>
      <c r="H20" s="17" t="inlineStr">
        <is>
          <t>D+151
~D+195</t>
        </is>
      </c>
      <c r="I20" s="17" t="inlineStr">
        <is>
          <t>현장 시스템팀</t>
        </is>
      </c>
      <c r="J20" s="16" t="inlineStr">
        <is>
          <t>통신설비(열차에 설치하는 차상통신 장치 포함)설치 후 전원투입 및 기능검증</t>
        </is>
      </c>
      <c r="K20" s="33" t="inlineStr">
        <is>
          <t>- ITP/ITC에 따라 시험/검사를 감리 확인</t>
        </is>
      </c>
      <c r="L20" s="17" t="inlineStr">
        <is>
          <t>감리단 입회검사 및 시험점검표(ITP/ITC)</t>
        </is>
      </c>
      <c r="M20" s="26" t="inlineStr">
        <is>
          <t>1) 통신 개별 단위 설비(LTE-R, 방송, CCTV, 역무, 전화 등) 전원 투입 및 단독 시험 실시
2) 설비별 단위시험 절차서 준수 및 단독 기능 시험성적서 작성 표준 적용</t>
        </is>
      </c>
      <c r="N20" s="75">
        <f>HYPERLINK(LEFT(CELL("filename",A1),FIND("[",CELL("filename",A1))-1)&amp;"9.통신분야\18_관제설비 설치\표준서\관제설비 설치_표준서.html", "👉 [클릭] 표준서 열기 📄")</f>
        <v/>
      </c>
      <c r="O20" s="26" t="inlineStr">
        <is>
          <t>1) 단독 시험 수행: LTE-R 기지국/제어기, 방송, CCTV, 역무, 전화 등 개별 시스템 단위 전원 인입 및 단독 시험
2) 단위성적서 작성: 단위시험 절차서 항목별 성능 측정, 불합격 항목 보완 조치 및 단위시험 성과표 확정</t>
        </is>
      </c>
      <c r="P20" s="76">
        <f>HYPERLINK(LEFT(CELL("filename",A1),FIND("[",CELL("filename",A1))-1)&amp;"9.통신분야\18_관제설비 설치\수행지침\관제설비 설치_수행지침.html", "👉 [클릭] 수행지침 열기 📄")</f>
        <v/>
      </c>
      <c r="Q20" s="26" t="inlineStr">
        <is>
          <t>1) 통신기계실 LTE-R DU 제어기 및 옥외 RU 무선장치에 단독 전원(220V/48V) 투입 후 부팅 정상 상태를 확인하였는가?
2) RF 파워메터로 무선장치(RU) 송신 출력을 계측하여 표준 규격(43dBm ±0.5dB) 이내임을 검측하였는가?</t>
        </is>
      </c>
      <c r="R20" s="77">
        <f>HYPERLINK(LEFT(CELL("filename",A1),FIND("[",CELL("filename",A1))-1)&amp;"9.통신분야\18_관제설비 설치\체크리스트\9000-2-18_관제설비 설치_체크리스트.html", "👉 [클릭] 체크리스트 열기 📄")</f>
        <v/>
      </c>
      <c r="S20" s="22" t="n"/>
      <c r="T20" s="74" t="inlineStr">
        <is>
          <t>● 관련분야 설계기준서 준수</t>
        </is>
      </c>
      <c r="U20" s="73" t="inlineStr">
        <is>
          <t>1) 👉 [더블클릭] 체크리스트 열기 📄</t>
        </is>
      </c>
      <c r="V20" s="25" t="n"/>
    </row>
    <row r="21" ht="115.2" customHeight="1">
      <c r="A21" s="17" t="inlineStr">
        <is>
          <t>9000</t>
        </is>
      </c>
      <c r="B21" s="17" t="inlineStr">
        <is>
          <t>9000-2</t>
        </is>
      </c>
      <c r="C21" s="17" t="inlineStr">
        <is>
          <t>통신분야</t>
        </is>
      </c>
      <c r="D21" s="17" t="inlineStr">
        <is>
          <t>9000-2-20</t>
        </is>
      </c>
      <c r="E21" s="17">
        <f>D20</f>
        <v/>
      </c>
      <c r="F21" s="17">
        <f>D22</f>
        <v/>
      </c>
      <c r="G21" s="17" t="inlineStr">
        <is>
          <t>통신시스템 통합시험</t>
        </is>
      </c>
      <c r="H21" s="17" t="inlineStr">
        <is>
          <t>D+196
~D+255</t>
        </is>
      </c>
      <c r="I21" s="17" t="inlineStr">
        <is>
          <t>현장 시스템팀</t>
        </is>
      </c>
      <c r="J21" s="16" t="inlineStr">
        <is>
          <t>관제설비를 포함한 통신망 통합 검증</t>
        </is>
      </c>
      <c r="K21" s="34" t="inlineStr">
        <is>
          <t>- 감리단 입회하에 검사/시험절차대로 수행
1) 관제실/현장설비간 인터페이스 시험
2) 지상 및 차상 인터페이스 시험</t>
        </is>
      </c>
      <c r="L21" s="17" t="inlineStr">
        <is>
          <t>감리단 입회검사 및 시험점검표(ITP/ITC)</t>
        </is>
      </c>
      <c r="M21" s="26" t="inlineStr">
        <is>
          <t>1) 통신 설비 간 데이터 연동, LTE-R 무선망 백본 이중화 절체 및 종합 네트워크 연동 시험
2) 통합시험 절차서 준수 및 이종 통신 설비 간 상호 연동성 검측 표준 적용</t>
        </is>
      </c>
      <c r="N21" s="75">
        <f>HYPERLINK(LEFT(CELL("filename",A1),FIND("[",CELL("filename",A1))-1)&amp;"9.통신분야\19_통신시스템 단위시험\표준서\통신시스템 단위시험_표준서.html", "👉 [클릭] 표준서 열기 📄")</f>
        <v/>
      </c>
      <c r="O21" s="26" t="inlineStr">
        <is>
          <t>1) 연동 시험 수행: 통신 이종 시스템 간 데이터 연동, LTE-R 코어망 백본 이중화 절체 및 종합 네트워크 연동 시험
2) 통합 성과 확인: 관제-현장 장치 간 제어 응답속도 검측, 통합 시험 성과표 작성 및 감리 승인 완료</t>
        </is>
      </c>
      <c r="P21" s="76">
        <f>HYPERLINK(LEFT(CELL("filename",A1),FIND("[",CELL("filename",A1))-1)&amp;"9.통신분야\19_통신시스템 단위시험\수행지침\통신시스템 단위시험_수행지침.html", "👉 [클릭] 수행지침 열기 📄")</f>
        <v/>
      </c>
      <c r="Q21" s="26" t="inlineStr">
        <is>
          <t>1) 관제센터 메인 방송 서버와 각 정거장 PIS 제어기 간 광전송 유선 인터페이스 통신 상태를 확인하였는가?
2) 관제 콘솔에서 PIS 문구 송출 명령 전송 시 현장 안내표시기 반응 지연 시간(≤0.5초 이내)을 검측하였는가?</t>
        </is>
      </c>
      <c r="R21" s="77">
        <f>HYPERLINK(LEFT(CELL("filename",A1),FIND("[",CELL("filename",A1))-1)&amp;"9.통신분야\19_통신시스템 단위시험\체크리스트\9000-2-19_통신시스템 단위시험_체크리스트.html", "👉 [클릭] 체크리스트 열기 📄")</f>
        <v/>
      </c>
      <c r="S21" s="22" t="n"/>
      <c r="T21" s="74" t="inlineStr">
        <is>
          <t>● 관련분야 설계기준서 준수</t>
        </is>
      </c>
      <c r="U21" s="73" t="inlineStr">
        <is>
          <t>1) 👉 [더블클릭] 체크리스트 열기 📄</t>
        </is>
      </c>
      <c r="V21" s="25" t="n"/>
    </row>
    <row r="22" ht="115.2" customHeight="1">
      <c r="A22" s="17" t="inlineStr">
        <is>
          <t>9000</t>
        </is>
      </c>
      <c r="B22" s="17" t="inlineStr">
        <is>
          <t>9000-2</t>
        </is>
      </c>
      <c r="C22" s="17" t="inlineStr">
        <is>
          <t>통신분야</t>
        </is>
      </c>
      <c r="D22" s="17" t="inlineStr">
        <is>
          <t>9000-2-21</t>
        </is>
      </c>
      <c r="E22" s="17">
        <f>D21</f>
        <v/>
      </c>
      <c r="F22" s="17">
        <f>D23</f>
        <v/>
      </c>
      <c r="G22" s="17" t="inlineStr">
        <is>
          <t>공종별 시험</t>
        </is>
      </c>
      <c r="H22" s="17" t="inlineStr">
        <is>
          <t>D+256
~D+285</t>
        </is>
      </c>
      <c r="I22" s="17" t="inlineStr">
        <is>
          <t>현장 시스템팀</t>
        </is>
      </c>
      <c r="J22" s="16" t="inlineStr">
        <is>
          <t>발주처가 관련 법령, 설계기준, 기술기준, 시방서 등의 요구사항에 적합하도록 설치되었는지를 확인</t>
        </is>
      </c>
      <c r="K22" s="34" t="inlineStr">
        <is>
          <t>- 철도종합시험운행 시행지침 제6조(공종별시험)에 따라 시행</t>
        </is>
      </c>
      <c r="L22" s="17" t="inlineStr">
        <is>
          <t>공종별 시험 결과보고서</t>
        </is>
      </c>
      <c r="M22" s="26" t="inlineStr">
        <is>
          <t>1) 철도 종합시험운행 지침에 의거한 통신 공종별 상세 시운전 시험 절차 수립
2) 공종별 시험 항목 검측, 무선 전계강도 측정 및 시험성적서 확정 표준 적용</t>
        </is>
      </c>
      <c r="N22" s="75">
        <f>HYPERLINK(LEFT(CELL("filename",A1),FIND("[",CELL("filename",A1))-1)&amp;"9.통신분야\20_통신시스템 통합시험\표준서\통신시스템 통합시험_표준서.html", "👉 [클릭] 표준서 열기 📄")</f>
        <v/>
      </c>
      <c r="O22" s="26" t="inlineStr">
        <is>
          <t>1) 공종 시운전 절차: 철도 종합시험운행 지침에 따른 통신 공종별 상세 시험 항목(무선 품질, 음성/영상 전송) 실측
2) 공종 시험 승인: 무선 전계강도 측정 성과표 및 공종별 시운전 시험 결과 보고서 제출 및 감리 승인</t>
        </is>
      </c>
      <c r="P22" s="76">
        <f>HYPERLINK(LEFT(CELL("filename",A1),FIND("[",CELL("filename",A1))-1)&amp;"9.통신분야\20_통신시스템 통합시험\수행지침\통신시스템 통합시험_수행지침.html", "👉 [클릭] 수행지침 열기 📄")</f>
        <v/>
      </c>
      <c r="Q22" s="26" t="inlineStr">
        <is>
          <t>1) 본선 및 정거장 광배선반(FDF) 포설 광케이블 전체 코어에 대하여 OTDR 전수 측정을 수행하였는가?
2) 광케이블 융착 접속점 접속 손실 수치가 시방 기준(≤0.1dB/접속점 이하)을 통과함을 확인하였는가?</t>
        </is>
      </c>
      <c r="R22" s="77">
        <f>HYPERLINK(LEFT(CELL("filename",A1),FIND("[",CELL("filename",A1))-1)&amp;"9.통신분야\20_통신시스템 통합시험\체크리스트\9000-2-20_통신시스템 통합시험_체크리스트.html", "👉 [클릭] 체크리스트 열기 📄")</f>
        <v/>
      </c>
      <c r="S22" s="22" t="n"/>
      <c r="T22" s="74" t="inlineStr">
        <is>
          <t>● 관련분야 설계기준서 준수</t>
        </is>
      </c>
      <c r="U22" s="73" t="inlineStr">
        <is>
          <t>1) 👉 [더블클릭] 체크리스트 열기 📄</t>
        </is>
      </c>
      <c r="V22" s="25" t="n"/>
    </row>
    <row r="23" ht="115.2" customHeight="1">
      <c r="A23" s="17" t="inlineStr">
        <is>
          <t>9000</t>
        </is>
      </c>
      <c r="B23" s="17" t="inlineStr">
        <is>
          <t>9000-2</t>
        </is>
      </c>
      <c r="C23" s="17" t="inlineStr">
        <is>
          <t>통신분야</t>
        </is>
      </c>
      <c r="D23" s="17" t="inlineStr">
        <is>
          <t>9000-2-22</t>
        </is>
      </c>
      <c r="E23" s="17">
        <f>D22</f>
        <v/>
      </c>
      <c r="F23" s="17">
        <f>D24</f>
        <v/>
      </c>
      <c r="G23" s="17" t="inlineStr">
        <is>
          <t>차량 투입 전 점검</t>
        </is>
      </c>
      <c r="H23" s="17" t="inlineStr">
        <is>
          <t>D+286
~D+300</t>
        </is>
      </c>
      <c r="I23" s="17" t="inlineStr">
        <is>
          <t>현장소장 및 시공전담팀</t>
        </is>
      </c>
      <c r="J23" s="16" t="inlineStr">
        <is>
          <t>발주처가 원활한 차량시운전이 되도록 노반, 건축, 궤도, 전철전력, 통신, 신호 분야를 종합하여 최종 점검</t>
        </is>
      </c>
      <c r="K23" s="33" t="inlineStr">
        <is>
          <t>- 노반/궤도 시공상태 점검
- 건축한계 및 차량한계 검사
1) 건축한계: 폭(3,600mm) / 높이(5,300mm)
2) 차량한계: 폭(3,200mm) / 높이(4,750mm)
- 전차선, 신호, 통신 작동상태 확인</t>
        </is>
      </c>
      <c r="L23" s="17" t="inlineStr">
        <is>
          <t>점검 결과보고서</t>
        </is>
      </c>
      <c r="M23" s="26" t="inlineStr">
        <is>
          <t>1) 본선 트램 차량 투입 전 LTE-R 차상 통신장치, 무선 안테나 및 관제 무선 연동태세 점검
2) 차량 투입 대비 통신 무무선 연동 안전 상태 확인 표준 적용</t>
        </is>
      </c>
      <c r="N23" s="75">
        <f>HYPERLINK(LEFT(CELL("filename",A1),FIND("[",CELL("filename",A1))-1)&amp;"9.통신분야\21_공종별 시험\표준서\9000-2-21_공종별 시험_표준서.html", "👉 [클릭] 표준서 열기 📄")</f>
        <v/>
      </c>
      <c r="O23" s="26" t="inlineStr">
        <is>
          <t>1) 차상 연동 점검: 본선 트램 차량 투입 전 차량 차상 LTE-R 통신장비, 무선 안테나 및 관제 무선 연동태세 실측
2) 투입 안전 승인: 차량 투입 시 무선 통신 끊김 예방 점검 및 차량 투입 전 통신 안전 확인서 작성</t>
        </is>
      </c>
      <c r="P23" s="76">
        <f>HYPERLINK(LEFT(CELL("filename",A1),FIND("[",CELL("filename",A1))-1)&amp;"9.통신분야\21_공종별 시험\수행지침\공종별 시험_수행지침.html", "👉 [클릭] 수행지침 열기 📄")</f>
        <v/>
      </c>
      <c r="Q23" s="26" t="inlineStr">
        <is>
          <t>1) 본선 전 구간 궤도변 건축한계 규격(폭 3,100mm / 높이 3,800mm) 내 침범 요소 유무를 실측 확인하였는가?
2) 궤도 주변 통신 케이블 트레이 및 광점퍼 선로 묶음이 건축한계 이내로 처지거나 돌출되지 않음을 확인하였는가?</t>
        </is>
      </c>
      <c r="R23" s="77">
        <f>HYPERLINK(LEFT(CELL("filename",A1),FIND("[",CELL("filename",A1))-1)&amp;"9.통신분야\21_공종별 시험\체크리스트\9000-2-21_공종별 시험_체크리스트.html", "👉 [클릭] 체크리스트 열기 📄")</f>
        <v/>
      </c>
      <c r="S23" s="22" t="n"/>
      <c r="T23" s="74" t="inlineStr">
        <is>
          <t>● 관련분야 설계기준서 준수</t>
        </is>
      </c>
      <c r="U23" s="73" t="inlineStr">
        <is>
          <t>1) 👉 [더블클릭] 체크리스트 열기 📄</t>
        </is>
      </c>
      <c r="V23" s="25" t="n"/>
    </row>
    <row r="24" ht="115.2" customHeight="1">
      <c r="A24" s="17" t="inlineStr">
        <is>
          <t>9000</t>
        </is>
      </c>
      <c r="B24" s="17" t="inlineStr">
        <is>
          <t>9000-2</t>
        </is>
      </c>
      <c r="C24" s="17" t="inlineStr">
        <is>
          <t>통신분야</t>
        </is>
      </c>
      <c r="D24" s="17" t="inlineStr">
        <is>
          <t>9000-2-23</t>
        </is>
      </c>
      <c r="E24" s="17">
        <f>D23</f>
        <v/>
      </c>
      <c r="F24" s="17">
        <f>D25</f>
        <v/>
      </c>
      <c r="G24" s="17" t="inlineStr">
        <is>
          <t>차량 시운전</t>
        </is>
      </c>
      <c r="H24" s="17" t="inlineStr">
        <is>
          <t>D+301~D+360</t>
        </is>
      </c>
      <c r="I24" s="17" t="inlineStr">
        <is>
          <t>현장 시스템팀</t>
        </is>
      </c>
      <c r="J24" s="16" t="inlineStr">
        <is>
          <t>철도안전법에 따른 철도차량 형식시험</t>
        </is>
      </c>
      <c r="K24" s="34" t="inlineStr">
        <is>
          <t>- 철도안전법 제26조(철도차량 형식승인)에 따라 이행(주로 본선구간 수행)
- 차량, 신호, 통신 시스템간 인터페이스 시험</t>
        </is>
      </c>
      <c r="L24" s="17" t="inlineStr">
        <is>
          <t>철도차량 형식승인 결과 보고서</t>
        </is>
      </c>
      <c r="M24" s="26" t="inlineStr">
        <is>
          <t>1) 트램 차량 본선 주행 시 LTE-R 무선 수신강도(RSSI/RSRP), 핸드오버 및 음성/데이터 통신 검측
2) 주행 중 통신 끊김 여부 및 차상-지상 간 통신 품질 성과표 작성 표준 적용</t>
        </is>
      </c>
      <c r="N24" s="75">
        <f>HYPERLINK(LEFT(CELL("filename",A1),FIND("[",CELL("filename",A1))-1)&amp;"9.통신분야\22_차량 투입 전 점검\표준서\차량 투입 전 점검_표준서.html", "👉 [클릭] 표준서 열기 📄")</f>
        <v/>
      </c>
      <c r="O24" s="26" t="inlineStr">
        <is>
          <t>1) 본선 주행 시험: 트램 차량 본선 주행 중 LTE-R 무선 수신강도(RSSI ≥ -95dBm), 핸드오버 성공률(≥99.5%) 실측
2) 주행 통신 검측: 차상-지상 간 CCTV 영상 전송 및 관제 데이터 무선 통신 품질 성과표 최종 확정</t>
        </is>
      </c>
      <c r="P24" s="76">
        <f>HYPERLINK(LEFT(CELL("filename",A1),FIND("[",CELL("filename",A1))-1)&amp;"9.통신분야\22_차량 투입 전 점검\수행지침\차량 투입 전 점검_수행지침.html", "👉 [클릭] 수행지침 열기 📄")</f>
        <v/>
      </c>
      <c r="Q24" s="26" t="inlineStr">
        <is>
          <t>1) 본선 실 주행 최고 속도 조건에서 LTE-R 차상 단말기 수신 감도(RSSI ≥ -85dBm)를 지속 유지하였는가?
2) 주행 중 LTE-R 기지국 간 이동 시 핸드오버 성공률 100% 및 음성 무선 통화 끊김 0건을 검측하였는가?</t>
        </is>
      </c>
      <c r="R24" s="77">
        <f>HYPERLINK(LEFT(CELL("filename",A1),FIND("[",CELL("filename",A1))-1)&amp;"9.통신분야\22_차량 투입 전 점검\체크리스트\9000-2-22_차량 투입 전 점검_체크리스트.html", "👉 [클릭] 체크리스트 열기 📄")</f>
        <v/>
      </c>
      <c r="S24" s="22" t="n"/>
      <c r="T24" s="74" t="inlineStr">
        <is>
          <t>● 관련분야 설계기준서 준수</t>
        </is>
      </c>
      <c r="U24" s="73" t="inlineStr">
        <is>
          <t>1) 👉 [더블클릭] 체크리스트 열기 📄</t>
        </is>
      </c>
      <c r="V24" s="25" t="n"/>
    </row>
    <row r="25" ht="115.2" customHeight="1">
      <c r="A25" s="17" t="inlineStr">
        <is>
          <t>9000</t>
        </is>
      </c>
      <c r="B25" s="17" t="inlineStr">
        <is>
          <t>9000-2</t>
        </is>
      </c>
      <c r="C25" s="17" t="inlineStr">
        <is>
          <t>통신분야</t>
        </is>
      </c>
      <c r="D25" s="17" t="inlineStr">
        <is>
          <t>9000-2-24</t>
        </is>
      </c>
      <c r="E25" s="17">
        <f>D24</f>
        <v/>
      </c>
      <c r="F25" s="17">
        <f>D26</f>
        <v/>
      </c>
      <c r="G25" s="17" t="inlineStr">
        <is>
          <t>운영자 교육시행</t>
        </is>
      </c>
      <c r="H25" s="17" t="inlineStr">
        <is>
          <t>D+361
~D+374</t>
        </is>
      </c>
      <c r="I25" s="17" t="inlineStr">
        <is>
          <t>현장 시스템팀</t>
        </is>
      </c>
      <c r="J25" s="16" t="inlineStr">
        <is>
          <t>영업시운전 전에 시설을 운영자를 대상으로 운영 및 유지관리방법에 대해 교육</t>
        </is>
      </c>
      <c r="K25" s="34" t="inlineStr">
        <is>
          <t>- 통신 시스템 제작사가 만든 매뉴얼로 운영자를 교육
: 관제설비등통신설비 운영/관리방법</t>
        </is>
      </c>
      <c r="L25" s="17" t="inlineStr">
        <is>
          <t>운영자 교육 결과서</t>
        </is>
      </c>
      <c r="M25" s="26" t="inlineStr">
        <is>
          <t>1) 시설물 인수인계 전 운영사 운영자 및 유지보수 요원 대상 통신 시스템 운영 교육 실시
2) 교육 교재 작성, 시스템 운용/장해 조치 실습 및 교육 이수 확인서 작성 표준 적용</t>
        </is>
      </c>
      <c r="N25" s="75">
        <f>HYPERLINK(LEFT(CELL("filename",A1),FIND("[",CELL("filename",A1))-1)&amp;"9.통신분야\23_차량 시운전\표준서\9000-2-23_차량 시운전_표준서.html", "👉 [클릭] 표준서 열기 📄")</f>
        <v/>
      </c>
      <c r="O25" s="26" t="inlineStr">
        <is>
          <t>1) 교육 프로그램 실시: 운영사 운영자 및 유지관리 요원 대상 통신 시스템 구조, HMI 운용 및 비상 조치 교육
2) 교육 이수 확정: 현장 실습 교육 수행, 질문/답변 점검 및 운영자 교육 참석 이수 확인서 최종 작성</t>
        </is>
      </c>
      <c r="P25" s="76">
        <f>HYPERLINK(LEFT(CELL("filename",A1),FIND("[",CELL("filename",A1))-1)&amp;"9.통신분야\23_차량 시운전\수행지침\차량 시운전_수행지침.html", "👉 [클릭] 수행지침 열기 📄")</f>
        <v/>
      </c>
      <c r="Q25" s="26" t="inlineStr">
        <is>
          <t>1) 통신 4대 계통(교환, 무선, PIS/PA, CCTV) 제작사 공식 기술 매뉴얼을 수집·구비하였는가?
2) 주요 장비 장애 시 대응할 수 있는 계통별 긴급 비상 조치 매뉴얼 교재를 편찬하였는가?</t>
        </is>
      </c>
      <c r="R25" s="77">
        <f>HYPERLINK(LEFT(CELL("filename",A1),FIND("[",CELL("filename",A1))-1)&amp;"9.통신분야\23_차량 시운전\체크리스트\9000-2-23_차량 시운전_체크리스트.html", "👉 [클릭] 체크리스트 열기 📄")</f>
        <v/>
      </c>
      <c r="S25" s="22" t="n"/>
      <c r="T25" s="74" t="inlineStr">
        <is>
          <t>● 관련분야 설계기준서 준수</t>
        </is>
      </c>
      <c r="U25" s="73" t="inlineStr">
        <is>
          <t>1) 👉 [더블클릭] 체크리스트 열기 📄</t>
        </is>
      </c>
      <c r="V25" s="25" t="n"/>
    </row>
    <row r="26" ht="115.2" customHeight="1">
      <c r="A26" s="17" t="inlineStr">
        <is>
          <t>9000</t>
        </is>
      </c>
      <c r="B26" s="17" t="inlineStr">
        <is>
          <t>9000-2</t>
        </is>
      </c>
      <c r="C26" s="17" t="inlineStr">
        <is>
          <t>통신분야</t>
        </is>
      </c>
      <c r="D26" s="17" t="inlineStr">
        <is>
          <t>9000-2-25</t>
        </is>
      </c>
      <c r="E26" s="17">
        <f>D25</f>
        <v/>
      </c>
      <c r="F26" s="17">
        <f>D27</f>
        <v/>
      </c>
      <c r="G26" s="17" t="inlineStr">
        <is>
          <t>사전점검</t>
        </is>
      </c>
      <c r="H26" s="17" t="inlineStr">
        <is>
          <t>D+375
~D+414</t>
        </is>
      </c>
      <c r="I26" s="17" t="inlineStr">
        <is>
          <t>현장소장 및 발주처 / 공동감리단</t>
        </is>
      </c>
      <c r="J26" s="16" t="inlineStr">
        <is>
          <t>시설물검증시험의 가능여부를 확인하기 위하여 발주처와 운영자가 합동으로 점검</t>
        </is>
      </c>
      <c r="K26" s="34" t="inlineStr">
        <is>
          <t>- (기준) 철도종합시험운행 시행지침 제8조 "종합시험운행을 위한 사전점검"에 따름
- 발주처는 공종별 시험을 완료한 후 시설물 검증시험의 가능여부를 확인하기 위하여 사전점검계획을 수립하고 운영자와 합동으로 실시
- 발주처와 운영자의 사전점검 결과보고서를 한국교통안전공단에 제출(점검후 7일 이내)</t>
        </is>
      </c>
      <c r="L26" s="17" t="inlineStr">
        <is>
          <t>사전점검 결과보고서/승인문서(한국교통안전공단)</t>
        </is>
      </c>
      <c r="M26" s="26" t="inlineStr">
        <is>
          <t>1) 철도종합시험운행 지침 제8조에 의거한 사전점검계획 수립 및 기술기준 부합성 종합 점검
2) 사전점검 결과 보고서 작성 및 한국교통안전공단 제출 승인 표준 적용</t>
        </is>
      </c>
      <c r="N26" s="75">
        <f>HYPERLINK(LEFT(CELL("filename",A1),FIND("[",CELL("filename",A1))-1)&amp;"9.통신분야\24_운영자 교육시행\표준서\운영자 교육시행_표준서.html", "👉 [클릭] 표준서 열기 📄")</f>
        <v/>
      </c>
      <c r="O26" s="26" t="inlineStr">
        <is>
          <t>1) 사전점검 수검 절차: 철도종합시험운행 지침 제8조에 의거 사전점검 수행반 구성 및 통신 설비 종합 점검
2) 점검 결과 승인: 기술기준 부합 여부 사전 검증, 지적사항 조치 완료 및 한국교통안전공단 사전점검 보고서 제출</t>
        </is>
      </c>
      <c r="P26" s="76">
        <f>HYPERLINK(LEFT(CELL("filename",A1),FIND("[",CELL("filename",A1))-1)&amp;"9.통신분야\24_운영자 교육시행\수행지침\운영자 교육시행_수행지침.html", "👉 [클릭] 수행지침 열기 📄")</f>
        <v/>
      </c>
      <c r="Q26" s="26" t="inlineStr">
        <is>
          <t>1) 철도종합시험운행 시행지침 제8조 규정에 맞춘 사전점검계획서를 작성하였는가?
2) 발주처, 운영기관, 책임감리단 및 현장소장이 포함된 3자 합동 사전점검반을 조직하였는가?</t>
        </is>
      </c>
      <c r="R26" s="77">
        <f>HYPERLINK(LEFT(CELL("filename",A1),FIND("[",CELL("filename",A1))-1)&amp;"9.통신분야\24_운영자 교육시행\체크리스트\9000-2-24_운영자 교육시행_체크리스트.html", "👉 [클릭] 체크리스트 열기 📄")</f>
        <v/>
      </c>
      <c r="S26" s="22" t="n"/>
      <c r="T26" s="74" t="inlineStr">
        <is>
          <t>● 관련분야 설계기준서 준수</t>
        </is>
      </c>
      <c r="U26" s="73" t="inlineStr">
        <is>
          <t>1) 👉 [더블클릭] 체크리스트 열기 📄</t>
        </is>
      </c>
      <c r="V26" s="25" t="n"/>
    </row>
    <row r="27" ht="153.6" customHeight="1">
      <c r="A27" s="17" t="inlineStr">
        <is>
          <t>9000</t>
        </is>
      </c>
      <c r="B27" s="17" t="inlineStr">
        <is>
          <t>9000-2</t>
        </is>
      </c>
      <c r="C27" s="17" t="inlineStr">
        <is>
          <t>통신분야</t>
        </is>
      </c>
      <c r="D27" s="17" t="inlineStr">
        <is>
          <t>9000-2-26</t>
        </is>
      </c>
      <c r="E27" s="17">
        <f>D26</f>
        <v/>
      </c>
      <c r="F27" s="17">
        <f>D28</f>
        <v/>
      </c>
      <c r="G27" s="17" t="inlineStr">
        <is>
          <t>시설물 검증시험</t>
        </is>
      </c>
      <c r="H27" s="17" t="inlineStr">
        <is>
          <t>D+415
~D+499</t>
        </is>
      </c>
      <c r="I27" s="17" t="inlineStr">
        <is>
          <t>현장소장 및 발주처 / 공동감리단</t>
        </is>
      </c>
      <c r="J27" s="16" t="inlineStr">
        <is>
          <t>발주처는 시설물의 정상작동 상태 등을 확인하기 위해 시설물 검증시험을 수행</t>
        </is>
      </c>
      <c r="K27" s="34" t="inlineStr">
        <is>
          <t>- (기준) 철도종합시험운행 시행지침 제12조(시설물검증시험계획의 수립), 13조(시설물검증시험의 시행)에 따름
- 발주처는 시설물검증시험계획을 운영자와 협의하여 수립하고 전문기관의 승인을 받은 후 시행
- 철도종합시험운행 시설물검증시험 점검항목: 시설물의 정상작동 상태, 철도시설의 안전상태, 철도차량의 운행적합성, 철도시설과 차량 간의 연계성
- 발주처와 운영자의 시설물 검증시험 결과보고서를 한국교통안전공단에 제출(점검후 7일 이내)</t>
        </is>
      </c>
      <c r="L27" s="17" t="inlineStr">
        <is>
          <t>시설물 검증시험 결과보고서/승인문서(한국교통안전공단)</t>
        </is>
      </c>
      <c r="M27" s="26" t="inlineStr">
        <is>
          <t>1) 시설물검증시험 계획 수립 및 본선 주행 시험 차량을 이용한 통신 설비 최고속도 성능 검증
2) LTE-R 무선 품질, 관제 데이터 전송률 및 시설물검증 합격 판정 표준 적용</t>
        </is>
      </c>
      <c r="N27" s="75">
        <f>HYPERLINK(LEFT(CELL("filename",A1),FIND("[",CELL("filename",A1))-1)&amp;"9.통신분야\25_사전점검\표준서\9000-2-25_사전점검_표준서.html", "👉 [클릭] 표준서 열기 📄")</f>
        <v/>
      </c>
      <c r="O27" s="26" t="inlineStr">
        <is>
          <t>1) 최고속도 주행 검증: 시설물검증시험 계획에 따라 시운전 열차를 최고 설계속도로 주행하며 통신 성능 실측
2) 검증 결과 확정: LTE-R 무선망 수신강도, 데이터 전송 지연시간 실측 및 시설물검증시험 합격 판정</t>
        </is>
      </c>
      <c r="P27" s="76">
        <f>HYPERLINK(LEFT(CELL("filename",A1),FIND("[",CELL("filename",A1))-1)&amp;"9.통신분야\25_사전점검\수행지침\9000-2-25_사전점검_수행지침.html", "👉 [클릭] 수행지침 열기 📄")</f>
        <v/>
      </c>
      <c r="Q27" s="26" t="inlineStr">
        <is>
          <t>1) 철도종합시험운행 시행지침 제14조에 따라 시설물검증시험계획을 작성하였는가?
2) 전문기관인 한국교통안전공단으로부터 시설물검증시험계획 적격 승인을 수령하였는가?</t>
        </is>
      </c>
      <c r="R27" s="77">
        <f>HYPERLINK(LEFT(CELL("filename",A1),FIND("[",CELL("filename",A1))-1)&amp;"9.통신분야\25_사전점검\체크리스트\9000-2-25_사전점검_체크리스트.html", "👉 [클릭] 체크리스트 열기 📄")</f>
        <v/>
      </c>
      <c r="S27" s="22" t="n"/>
      <c r="T27" s="74" t="inlineStr">
        <is>
          <t>● 관련분야 설계기준서 준수</t>
        </is>
      </c>
      <c r="U27" s="73" t="inlineStr">
        <is>
          <t>1) 👉 [더블클릭] 체크리스트 열기 📄</t>
        </is>
      </c>
      <c r="V27" s="25" t="n"/>
    </row>
    <row r="28" ht="211.2" customHeight="1">
      <c r="A28" s="17" t="inlineStr">
        <is>
          <t>9000</t>
        </is>
      </c>
      <c r="B28" s="17" t="inlineStr">
        <is>
          <t>9000-2</t>
        </is>
      </c>
      <c r="C28" s="17" t="inlineStr">
        <is>
          <t>통신분야</t>
        </is>
      </c>
      <c r="D28" s="17" t="inlineStr">
        <is>
          <t>9000-2-27</t>
        </is>
      </c>
      <c r="E28" s="17">
        <f>D27</f>
        <v/>
      </c>
      <c r="F28" s="17">
        <f>D29</f>
        <v/>
      </c>
      <c r="G28" s="17" t="inlineStr">
        <is>
          <t>영업시운전</t>
        </is>
      </c>
      <c r="H28" s="17" t="inlineStr">
        <is>
          <t>D+500
~D+581</t>
        </is>
      </c>
      <c r="I28" s="17" t="inlineStr">
        <is>
          <t>현장소장 및 발주처 / 공동감리단</t>
        </is>
      </c>
      <c r="J28" s="16" t="inlineStr">
        <is>
          <t>발주처는 영업시운전계획에 따라 열차운행체계를 확인하기 위해 영업시운전을 수행</t>
        </is>
      </c>
      <c r="K28" s="33" t="inlineStr">
        <is>
          <t>- (기준) 철도종합시험운행 시행지침 제22조(영업시운전계획의 수립), 23조(영업시운전의 시행)에 따름
- 운영자는 영업시운전계획을 발주처와 협의하여 수립하고 전문기관의 승인을 받은 후 시행
- 영업시운전 점검항목: 열차운행체계, 철도종사자(운전/관제 등)의 업무숙달, 영업서비스 준비사항
- 영업조건과 동일한 조건으로 열차운행을 수행하여 운전/영업분야 점검
- 운영자는 영업시운전 결과보고서를 한국교통안전공단에 제출(점검후 7일 이내)
- 한국교통안전공단은 보고서를 받은 날부터 14일 이내 국토교통부장관에게 보고하여야 하며, 국토부 장관은 검토 결과를 보고를 받은 날부터 7일 이내에 발주처와 시도지사에 통보</t>
        </is>
      </c>
      <c r="L28" s="17" t="inlineStr">
        <is>
          <t>영업시운전 결과보고서/승인문서(한국교통안전공단), 국토부 승인문서</t>
        </is>
      </c>
      <c r="M28" s="26" t="inlineStr">
        <is>
          <t>1) 실제 영업 조건과 동일한 환경에서의 통신 시스템 연속 가동 및 관제 운용 검증
2) 영업시운전 기간 중 통신 장애 0건 달성 및 시운전 완료 보고서 확정 표준 적용</t>
        </is>
      </c>
      <c r="N28" s="75">
        <f>HYPERLINK(LEFT(CELL("filename",A1),FIND("[",CELL("filename",A1))-1)&amp;"9.통신분야\26_시설물 검증시험\표준서\시설물 검증시험_표준서.html", "👉 [클릭] 표준서 열기 📄")</f>
        <v/>
      </c>
      <c r="O28" s="26" t="inlineStr">
        <is>
          <t>1) 영업환경 가동 검증: 영업 시운전 스케줄에 따른 통신 시스템 24시간 연속 가동 및 관제 시스템 연동 상태 검증
2) 시운전 준공 확정: 영업시운전 기간 중 통신 장해 0건 달성 및 영업시운전 종합 결과 보고서 확정</t>
        </is>
      </c>
      <c r="P28" s="76">
        <f>HYPERLINK(LEFT(CELL("filename",A1),FIND("[",CELL("filename",A1))-1)&amp;"9.통신분야\26_시설물 검증시험\수행지침\시설물 검증시험_수행지침.html", "👉 [클릭] 수행지침 열기 📄")</f>
        <v/>
      </c>
      <c r="Q28" s="26" t="inlineStr">
        <is>
          <t>1) 철도종합시험운행 시행지침 제22조에 따른 영업시운전계획을 수립하였는가?
2) 전 정거장 행선안내게시기(PIS) 도착 시각 및 열치 위치 안내 오송출 0건을 달성하였는가?</t>
        </is>
      </c>
      <c r="R28" s="77">
        <f>HYPERLINK(LEFT(CELL("filename",A1),FIND("[",CELL("filename",A1))-1)&amp;"9.통신분야\26_시설물 검증시험\체크리스트\9000-2-26_시설물 검증시험_체크리스트.html", "👉 [클릭] 체크리스트 열기 📄")</f>
        <v/>
      </c>
      <c r="S28" s="22" t="n"/>
      <c r="T28" s="74" t="inlineStr">
        <is>
          <t>● 관련분야 설계기준서 준수</t>
        </is>
      </c>
      <c r="U28" s="73" t="inlineStr">
        <is>
          <t>1) 👉 [더블클릭] 체크리스트 열기 📄</t>
        </is>
      </c>
      <c r="V28" s="25" t="n"/>
    </row>
    <row r="29" ht="115.2" customHeight="1">
      <c r="A29" s="17" t="inlineStr">
        <is>
          <t>9000</t>
        </is>
      </c>
      <c r="B29" s="17" t="inlineStr">
        <is>
          <t>9000-2</t>
        </is>
      </c>
      <c r="C29" s="17" t="inlineStr">
        <is>
          <t>통신분야</t>
        </is>
      </c>
      <c r="D29" s="17" t="inlineStr">
        <is>
          <t>9000-2-28</t>
        </is>
      </c>
      <c r="E29" s="17">
        <f>D28</f>
        <v/>
      </c>
      <c r="F29" s="17">
        <f>D30</f>
        <v/>
      </c>
      <c r="G29" s="17" t="inlineStr">
        <is>
          <t>자가용전기통신설비 설치신고</t>
        </is>
      </c>
      <c r="H29" s="17" t="inlineStr">
        <is>
          <t>D+375
~D+414</t>
        </is>
      </c>
      <c r="I29" s="17" t="inlineStr">
        <is>
          <t>시공사</t>
        </is>
      </c>
      <c r="J29" s="16" t="inlineStr">
        <is>
          <t>자가용전기통신설비의 합법적 설치</t>
        </is>
      </c>
      <c r="K29" s="34" t="inlineStr">
        <is>
          <t>- 관할 시청/구청에 설치공사 시작 21일 전까지 신고서와 설계도서 제출 (처리기간 15일)</t>
        </is>
      </c>
      <c r="L29" s="17" t="inlineStr">
        <is>
          <t>자가전기통신설비 설치신고 필증</t>
        </is>
      </c>
      <c r="M29" s="26" t="inlineStr">
        <is>
          <t>1) 전기통신사업법 제64조에 의거한 자가용전기통신설비 설치신고서 및 설비 개요서 작성
2) 관할 지자체(화성시 등) 제출 및 설치신고 수리증 발급 획득 표준 적용</t>
        </is>
      </c>
      <c r="N29" s="75">
        <f>HYPERLINK(LEFT(CELL("filename",A1),FIND("[",CELL("filename",A1))-1)&amp;"9.통신분야\27_영업시운전\표준서\9000-2-27_영업시운전_표준서.html", "👉 [클릭] 표준서 열기 📄")</f>
        <v/>
      </c>
      <c r="O29" s="26" t="inlineStr">
        <is>
          <t>1) 신고 서류 작성: 전기통신사업법 제64조에 따른 자가용전기통신설비 설치신고서 및 통신망 개요도 작성
2) 관할 관청 수리: 관할 지자체(화성시 등) 제출, 현장 서류 검토 수검 및 설치신고 수리증 발급 획득</t>
        </is>
      </c>
      <c r="P29" s="76">
        <f>HYPERLINK(LEFT(CELL("filename",A1),FIND("[",CELL("filename",A1))-1)&amp;"9.통신분야\27_영업시운전\수행지침\9000-2-27_영업시운전_수행지침.html", "👉 [클릭] 수행지침 열기 📄")</f>
        <v/>
      </c>
      <c r="Q29" s="26" t="inlineStr">
        <is>
          <t>1) 시방 대조[도면 및 여건] • 관련법령: 전기통신사업법 제64조 수칙을 사전 대조 확인하였는가?
2) 업체 Pool[적격 업체] 철도/트램 시공 및 영업운행 실적이 입증된 적격 업체 Pool을 검토하였는가?</t>
        </is>
      </c>
      <c r="R29" s="77">
        <f>HYPERLINK(LEFT(CELL("filename",A1),FIND("[",CELL("filename",A1))-1)&amp;"9.통신분야\27_영업시운전\체크리스트\9000-2-27_영업시운전_체크리스트.html", "👉 [클릭] 체크리스트 열기 📄")</f>
        <v/>
      </c>
      <c r="S29" s="22" t="n"/>
      <c r="T29" s="74" t="inlineStr">
        <is>
          <t>● 전기통신사업법 제64조</t>
        </is>
      </c>
      <c r="U29" s="73" t="inlineStr">
        <is>
          <t>1) 👉 [더블클릭] 체크리스트 열기 📄</t>
        </is>
      </c>
      <c r="V29" s="25" t="n"/>
    </row>
    <row r="30" ht="115.2" customHeight="1">
      <c r="A30" s="17" t="inlineStr">
        <is>
          <t>9000</t>
        </is>
      </c>
      <c r="B30" s="17" t="inlineStr">
        <is>
          <t>9000-2</t>
        </is>
      </c>
      <c r="C30" s="17" t="inlineStr">
        <is>
          <t>통신분야</t>
        </is>
      </c>
      <c r="D30" s="17" t="inlineStr">
        <is>
          <t>9000-2-29</t>
        </is>
      </c>
      <c r="E30" s="17">
        <f>D29</f>
        <v/>
      </c>
      <c r="F30" s="17">
        <f>D31</f>
        <v/>
      </c>
      <c r="G30" s="17" t="inlineStr">
        <is>
          <t>LTE-R 무선국허가</t>
        </is>
      </c>
      <c r="H30" s="17" t="inlineStr">
        <is>
          <t>D+375
~D+414</t>
        </is>
      </c>
      <c r="I30" s="17" t="inlineStr">
        <is>
          <t>발주처</t>
        </is>
      </c>
      <c r="J30" s="16" t="inlineStr">
        <is>
          <t>무선국 설치 후 사용을 위한 법적 허가 취득</t>
        </is>
      </c>
      <c r="K30" s="35" t="inlineStr">
        <is>
          <t>- 무선국(LTE-R) 설치 후 중앙전파관리소에 신청서, 시설개요서, 공사설계서 제출 (처리기간 14일)</t>
        </is>
      </c>
      <c r="L30" s="17" t="inlineStr">
        <is>
          <t>무선국허가증</t>
        </is>
      </c>
      <c r="M30" s="26" t="inlineStr">
        <is>
          <t>1) 전파법 제19조에 의거한 철도무선통신망(LTE-R) 무선국 개설허가 신청서 제출
2) KCA(한국방송통신전파진흥원) 제출 및 무선국 개설허가서 획득 표준 적용</t>
        </is>
      </c>
      <c r="N30" s="75">
        <f>HYPERLINK(LEFT(CELL("filename",A1),FIND("[",CELL("filename",A1))-1)&amp;"9.통신분야\28_자가용전기통신설비 설치신고\표준서\자가용전기통신설비 설치신고_표준서.html", "👉 [클릭] 표준서 열기 📄")</f>
        <v/>
      </c>
      <c r="O30" s="26" t="inlineStr">
        <is>
          <t>1) 허가 신청 절차: 전파법 제19조에 따른 LTE-R 무선국 개설허가 신청서, 안테나 제원표 및 기지국 좌표 작성
2) 무선국 허가 획득: KCA(한국방송통신전파진흥원) 서류 심사 수검 및 무선국 개설허가서 최종 발급</t>
        </is>
      </c>
      <c r="P30" s="76">
        <f>HYPERLINK(LEFT(CELL("filename",A1),FIND("[",CELL("filename",A1))-1)&amp;"9.통신분야\28_자가용전기통신설비 설치신고\수행지침\자가용전기통신설비 설치신고_수행지침.html", "👉 [클릭] 수행지침 열기 📄")</f>
        <v/>
      </c>
      <c r="Q30" s="26" t="inlineStr">
        <is>
          <t>1) 철도무선통신망 700MHz 대역(718~728MHz/773~783MHz) 주파수 할당 조건을 확인하였는가?
2) 본선 지상 기지국 안테나 설치 위치, 높이, 이득(dBi) 및 지향각 제원을 조사하였는가?</t>
        </is>
      </c>
      <c r="R30" s="77">
        <f>HYPERLINK(LEFT(CELL("filename",A1),FIND("[",CELL("filename",A1))-1)&amp;"9.통신분야\28_자가용전기통신설비 설치신고\체크리스트\9000-2-28_자가용전기통신설비 설치신고_체크리스트.html", "👉 [클릭] 체크리스트 열기 📄")</f>
        <v/>
      </c>
      <c r="S30" s="22" t="n"/>
      <c r="T30" s="74" t="inlineStr">
        <is>
          <t>● 전파법 제19조</t>
        </is>
      </c>
      <c r="U30" s="73" t="inlineStr">
        <is>
          <t>1) 👉 [더블클릭] 체크리스트 열기 📄</t>
        </is>
      </c>
      <c r="V30" s="25" t="n"/>
    </row>
    <row r="31" ht="115.2" customHeight="1">
      <c r="A31" s="17" t="inlineStr">
        <is>
          <t>9000</t>
        </is>
      </c>
      <c r="B31" s="17" t="inlineStr">
        <is>
          <t>9000-2</t>
        </is>
      </c>
      <c r="C31" s="17" t="inlineStr">
        <is>
          <t>통신분야</t>
        </is>
      </c>
      <c r="D31" s="17" t="inlineStr">
        <is>
          <t>9000-2-30</t>
        </is>
      </c>
      <c r="E31" s="17">
        <f>D30</f>
        <v/>
      </c>
      <c r="F31" s="17">
        <f>D32</f>
        <v/>
      </c>
      <c r="G31" s="17" t="inlineStr">
        <is>
          <t>LTE-R 상호운용성 및 보안적합성 검증</t>
        </is>
      </c>
      <c r="H31" s="17" t="inlineStr">
        <is>
          <t>D+375
~D+414</t>
        </is>
      </c>
      <c r="I31" s="17" t="inlineStr">
        <is>
          <t>시공사</t>
        </is>
      </c>
      <c r="J31" s="16" t="inlineStr">
        <is>
          <t>무선 장비의 보안성 및 타 기관 상호운용성 검증</t>
        </is>
      </c>
      <c r="K31" s="35" t="inlineStr">
        <is>
          <t>- 한국정보통신기술협회에 시험결과서 제출하여 검증 진행 (처리기간 1개월)</t>
        </is>
      </c>
      <c r="L31" s="17" t="inlineStr">
        <is>
          <t>상호운용성,보안적합성 시험 인증서</t>
        </is>
      </c>
      <c r="M31" s="26" t="inlineStr">
        <is>
          <t>1) 국토교통부 지침 및 국가용 보안요구사항에 의거한 LTE-R 상호운용성/보안적합성 검증
2) 국가정보원/KISA 보안 적합성 검증 승인서 및 상호연동 시험 합격 표준 적용</t>
        </is>
      </c>
      <c r="N31" s="75">
        <f>HYPERLINK(LEFT(CELL("filename",A1),FIND("[",CELL("filename",A1))-1)&amp;"9.통신분야\29_LTE-R 무선국 허가\표준서\LTE-R 무선국 허가_표준서.html", "👉 [클릭] 표준서 열기 📄")</f>
        <v/>
      </c>
      <c r="O31" s="26" t="inlineStr">
        <is>
          <t>1) 검증 시험 절차: 국토교통부 LTE-R 상호운용성 시험 및 국가용 보안요구사항 기반 네트워크 보안적합성 검증
2) 보안 승인 획득: KISA/국가정보원 보안 적합성 검증 수검 및 상호운용성 검증 합격 승인서 획득</t>
        </is>
      </c>
      <c r="P31" s="76">
        <f>HYPERLINK(LEFT(CELL("filename",A1),FIND("[",CELL("filename",A1))-1)&amp;"9.통신분야\29_LTE-R 무선국 허가\수행지침\LTE-R 무선국 허가_수행지침.html", "👉 [클릭] 수행지침 열기 📄")</f>
        <v/>
      </c>
      <c r="Q31" s="26" t="inlineStr">
        <is>
          <t>1) 시방 대조[도면 및 여건] 관련법령: 국가철도공단 표준규격(KRSA) 수칙을 사전 대조 확인하였는가?
2) 업체 Pool[적격 업체] 철도/트램 시공 및 영업운행 실적이 입증된 적격 업체 Pool을 검토하였는가?</t>
        </is>
      </c>
      <c r="R31" s="77">
        <f>HYPERLINK(LEFT(CELL("filename",A1),FIND("[",CELL("filename",A1))-1)&amp;"9.통신분야\29_LTE-R 무선국 허가\체크리스트\LTE-R 무선국 허가_체크리스트.html", "👉 [클릭] 체크리스트 열기 📄")</f>
        <v/>
      </c>
      <c r="S31" s="22" t="n"/>
      <c r="T31" s="74" t="inlineStr">
        <is>
          <t>● 국가철도공단 표준규격(KRSA) 5007-R3 / 5008-R2</t>
        </is>
      </c>
      <c r="U31" s="73" t="inlineStr">
        <is>
          <t>1) 👉 [더블클릭] 체크리스트 열기 📄</t>
        </is>
      </c>
      <c r="V31" s="25" t="n"/>
    </row>
    <row r="32" ht="115.2" customHeight="1">
      <c r="A32" s="17" t="inlineStr">
        <is>
          <t>9000</t>
        </is>
      </c>
      <c r="B32" s="17" t="inlineStr">
        <is>
          <t>9000-2</t>
        </is>
      </c>
      <c r="C32" s="17" t="inlineStr">
        <is>
          <t>통신분야</t>
        </is>
      </c>
      <c r="D32" s="17" t="inlineStr">
        <is>
          <t>9000-2-31</t>
        </is>
      </c>
      <c r="E32" s="17">
        <f>D31</f>
        <v/>
      </c>
      <c r="F32" s="17">
        <f>D33</f>
        <v/>
      </c>
      <c r="G32" s="17" t="inlineStr">
        <is>
          <t>정보통신사용전검사</t>
        </is>
      </c>
      <c r="H32" s="17" t="inlineStr">
        <is>
          <t>D+415
~D+499</t>
        </is>
      </c>
      <c r="I32" s="17" t="inlineStr">
        <is>
          <t>시공사</t>
        </is>
      </c>
      <c r="J32" s="16" t="inlineStr">
        <is>
          <t>시공 완료된 정보통신설비의 준공 전 사용 적합성 검증</t>
        </is>
      </c>
      <c r="K32" s="35" t="inlineStr">
        <is>
          <t>- 관할 시청/구청에 사용전검사 신청서와 준공설계도서 제출 (처리기간 14일)</t>
        </is>
      </c>
      <c r="L32" s="17" t="inlineStr">
        <is>
          <t>정보통신사용전검사 필증</t>
        </is>
      </c>
      <c r="M32" s="26" t="inlineStr">
        <is>
          <t>1) 정보통신공사업법 제36조에 의거한 구내 통신 및 정보통신설비 사용전검사 신청
2) 관할 지자체 현장 검측 수검 및 정보통신 사용전검사 필증 획득 표준 적용</t>
        </is>
      </c>
      <c r="N32" s="75">
        <f>HYPERLINK(LEFT(CELL("filename",A1),FIND("[",CELL("filename",A1))-1)&amp;"9.통신분야\29_LTE-R 무선국허가\표준서\LTE-R 무선국허가_표준서.html", "👉 [클릭] 표준서 열기 📄")</f>
        <v/>
      </c>
      <c r="O32" s="26" t="inlineStr">
        <is>
          <t>1) 사용전검사 신청: 정보통신공사업법 제36조에 따른 구내 통신 설비 사용전검측 신청서 작성 및 현장 준비
2) 필증 발급 획득: 관할 지자체 정보통신 검측 공무원 현장 실측 수검 및 정보통신 사용전검사 필증 획득</t>
        </is>
      </c>
      <c r="P32" s="76">
        <f>HYPERLINK(LEFT(CELL("filename",A1),FIND("[",CELL("filename",A1))-1)&amp;"9.통신분야\29_LTE-R 무선국허가\수행지침\LTE-R 무선국허가_수행지침.html", "👉 [클릭] 수행지침 열기 📄")</f>
        <v/>
      </c>
      <c r="Q32" s="26" t="inlineStr">
        <is>
          <t>1) 구내 UTP 랜선 전수에 대해 케이블 테스터 계측 Pass 100%를 달성하였는가?
2) 정거장 승강장 및 관제동 배관 입상부 배관 씰링 및 네임택 표기 상태를 확인하였는가?</t>
        </is>
      </c>
      <c r="R32" s="77">
        <f>HYPERLINK(LEFT(CELL("filename",A1),FIND("[",CELL("filename",A1))-1)&amp;"9.통신분야\29_LTE-R 무선국허가\체크리스트\9000-2-29_LTE-R 무선국허가_체크리스트.html", "👉 [클릭] 체크리스트 열기 📄")</f>
        <v/>
      </c>
      <c r="S32" s="22" t="n"/>
      <c r="T32" s="74" t="inlineStr">
        <is>
          <t>● 정보통신공사법 제36조</t>
        </is>
      </c>
      <c r="U32" s="73" t="inlineStr">
        <is>
          <t>1) 👉 [더블클릭] 체크리스트 열기 📄</t>
        </is>
      </c>
      <c r="V32" s="25" t="n"/>
    </row>
    <row r="33" ht="115.2" customHeight="1">
      <c r="A33" s="17" t="inlineStr">
        <is>
          <t>9000</t>
        </is>
      </c>
      <c r="B33" s="17" t="inlineStr">
        <is>
          <t>9000-2</t>
        </is>
      </c>
      <c r="C33" s="17" t="inlineStr">
        <is>
          <t>통신분야</t>
        </is>
      </c>
      <c r="D33" s="17" t="inlineStr">
        <is>
          <t>9000-2-32</t>
        </is>
      </c>
      <c r="E33" s="17">
        <f>D32</f>
        <v/>
      </c>
      <c r="F33" s="17">
        <f>D34</f>
        <v/>
      </c>
      <c r="G33" s="17" t="inlineStr">
        <is>
          <t>LTE-R 무선국 준공검사</t>
        </is>
      </c>
      <c r="H33" s="17" t="inlineStr">
        <is>
          <t>D+375
~D+414</t>
        </is>
      </c>
      <c r="I33" s="17" t="inlineStr">
        <is>
          <t>발주처</t>
        </is>
      </c>
      <c r="J33" s="16" t="inlineStr">
        <is>
          <t>무선국 전파 특성 검증 및 준공 처리</t>
        </is>
      </c>
      <c r="K33" s="35" t="inlineStr">
        <is>
          <t>- 한국방송통신전파진흥원에 준공신고서, 안테나전력/주파수편차/불요발사강도 측정표, 안테나 Pattern 도표 제출 (처리기간 14일)</t>
        </is>
      </c>
      <c r="L33" s="17" t="inlineStr">
        <is>
          <t>LTE-R 무선국 준공검사 확인서</t>
        </is>
      </c>
      <c r="M33" s="26" t="inlineStr">
        <is>
          <t>1) 전파법 제24조에 의거한 KCA 무선국 준공검사 현장 실측 수검 실시
2) 무선 전계강도 및 준공 상태 검사 합격 후 무선국 준공검사 합격증명서 획득 표준 적용</t>
        </is>
      </c>
      <c r="N33" s="75">
        <f>HYPERLINK(LEFT(CELL("filename",A1),FIND("[",CELL("filename",A1))-1)&amp;"9.통신분야\30_LTE-R 상호운용성 및 보안적합성 검증\표준서\LTE-R 상호운용성 및 보안적합성 검증_표준서.html", "👉 [클릭] 표준서 열기 📄")</f>
        <v/>
      </c>
      <c r="O33" s="26" t="inlineStr">
        <is>
          <t>1) KCA 준공검측 수검: 전파법 제24조에 따른 KCA 무선국 준공검사 현장 무선 전계강도 및 스펙트럼 실측
2) 합격 증명 획득: 준공 실측 합격 판정 수검 및 KCA 무선국 준공검사 합격증명서 최종 발급 획득</t>
        </is>
      </c>
      <c r="P33" s="76">
        <f>HYPERLINK(LEFT(CELL("filename",A1),FIND("[",CELL("filename",A1))-1)&amp;"9.통신분야\30_LTE-R 상호운용성 및 보안적합성 검증\수행지침\LTE-R 상호운용성 및 보안적합성 검증_수행지침.html", "👉 [클릭] 수행지침 열기 📄")</f>
        <v/>
      </c>
      <c r="Q33" s="26" t="inlineStr">
        <is>
          <t>1) 전파법 시행령 제38조 서식에 맞춘 무선국 준공신고서를 KCA에 제출하였는가?
2) 개설허가서 사본, 기지국 시공 내역서 및 안테나 제원표 구비를 완료하였는가?</t>
        </is>
      </c>
      <c r="R33" s="77">
        <f>HYPERLINK(LEFT(CELL("filename",A1),FIND("[",CELL("filename",A1))-1)&amp;"9.통신분야\30_LTE-R 상호운용성 및 보안적합성 검증\체크리스트\9000-2-30_LTE-R 상호운용성 및 보안적합성 검증_체크리스트.html", "👉 [클릭] 체크리스트 열기 📄")</f>
        <v/>
      </c>
      <c r="S33" s="22" t="n"/>
      <c r="T33" s="74" t="inlineStr">
        <is>
          <t>● 전파법 제24조</t>
        </is>
      </c>
      <c r="U33" s="73" t="inlineStr">
        <is>
          <t>1) 👉 [더블클릭] 체크리스트 열기 📄</t>
        </is>
      </c>
      <c r="V33" s="25" t="n"/>
    </row>
    <row r="34">
      <c r="E34" s="2">
        <f>D33</f>
        <v/>
      </c>
      <c r="F34" s="2">
        <f>D35</f>
        <v/>
      </c>
      <c r="N34" s="78">
        <f>HYPERLINK(LEFT(CELL("filename",A1),FIND("[",CELL("filename",A1))-1)&amp;"9.통신분야\30_LTE-R 상호운용성 및 상호연동성 검증\표준서\LTE-R 상호운용성 및 상호연동성 검증_표준서.html", "👉 [클릭] 표준서 열기 📄")</f>
        <v/>
      </c>
      <c r="P34" s="79">
        <f>HYPERLINK(LEFT(CELL("filename",A1),FIND("[",CELL("filename",A1))-1)&amp;"9.통신분야\30_LTE-R 상호운용성 및 상호연동성 검증\수행지침\LTE-R 상호운용성 및 상호연동성 검증_수행지침.html", "👉 [클릭] 수행지침 열기 📄")</f>
        <v/>
      </c>
      <c r="R34" s="80">
        <f>HYPERLINK(LEFT(CELL("filename",A1),FIND("[",CELL("filename",A1))-1)&amp;"9.통신분야\30_LTE-R 상호운용성 및 상호연동성 검증\체크리스트\LTE-R 상호운용성 및 상호연동성 검증_체크리스트.html", "👉 [클릭] 체크리스트 열기 📄")</f>
        <v/>
      </c>
    </row>
    <row r="35">
      <c r="E35" s="2">
        <f>D34</f>
        <v/>
      </c>
      <c r="F35" s="2">
        <f>D36</f>
        <v/>
      </c>
      <c r="N35" s="78">
        <f>HYPERLINK(LEFT(CELL("filename",A1),FIND("[",CELL("filename",A1))-1)&amp;"9.통신분야\31_정보통신사용전검사\표준서\정보통신사용전검사_표준서.html", "👉 [클릭] 표준서 열기 📄")</f>
        <v/>
      </c>
      <c r="P35" s="79">
        <f>HYPERLINK(LEFT(CELL("filename",A1),FIND("[",CELL("filename",A1))-1)&amp;"9.통신분야\31_정보통신사용전검사\수행지침\정보통신사용전검사_수행지침.html", "👉 [클릭] 수행지침 열기 📄")</f>
        <v/>
      </c>
      <c r="R35" s="80">
        <f>HYPERLINK(LEFT(CELL("filename",A1),FIND("[",CELL("filename",A1))-1)&amp;"9.통신분야\31_정보통신사용전검사\체크리스트\9000-2-31_정보통신사용전검사_체크리스트.html", "👉 [클릭] 체크리스트 열기 📄")</f>
        <v/>
      </c>
    </row>
    <row r="36">
      <c r="E36" s="2">
        <f>D35</f>
        <v/>
      </c>
      <c r="F36" s="2">
        <f>D37</f>
        <v/>
      </c>
      <c r="N36" s="78">
        <f>HYPERLINK(LEFT(CELL("filename",A1),FIND("[",CELL("filename",A1))-1)&amp;"9.통신분야\32_LTE-R 무선국 준공검사\표준서\LTE-R 무선국 준공검사_표준서.html", "👉 [클릭] 표준서 열기 📄")</f>
        <v/>
      </c>
      <c r="P36" s="79">
        <f>HYPERLINK(LEFT(CELL("filename",A1),FIND("[",CELL("filename",A1))-1)&amp;"9.통신분야\32_LTE-R 무선국 준공검사\수행지침\LTE-R 무선국 준공검사_수행지침.html", "👉 [클릭] 수행지침 열기 📄")</f>
        <v/>
      </c>
      <c r="R36" s="80">
        <f>HYPERLINK(LEFT(CELL("filename",A1),FIND("[",CELL("filename",A1))-1)&amp;"9.통신분야\32_LTE-R 무선국 준공검사\체크리스트\9000-2-32_LTE-R 무선국 준공검사_체크리스트.html", "👉 [클릭] 체크리스트 열기 📄")</f>
        <v/>
      </c>
    </row>
    <row r="37">
      <c r="E37" s="2">
        <f>D36</f>
        <v/>
      </c>
      <c r="F37" s="2">
        <f>D38</f>
        <v/>
      </c>
      <c r="N37" s="78">
        <f>HYPERLINK(LEFT(CELL("filename",A1),FIND("[",CELL("filename",A1))-1)&amp;"9.통신분야\33_Task_33\표준서\Task_33_표준서.html", "👉 [클릭] 표준서 열기 📄")</f>
        <v/>
      </c>
      <c r="P37" s="79">
        <f>HYPERLINK(LEFT(CELL("filename",A1),FIND("[",CELL("filename",A1))-1)&amp;"9.통신분야\33_Task_33\수행지침\Task_33_수행지침.html", "👉 [클릭] 수행지침 열기 📄")</f>
        <v/>
      </c>
      <c r="R37" s="80">
        <f>HYPERLINK(LEFT(CELL("filename",A1),FIND("[",CELL("filename",A1))-1)&amp;"9.통신분야\33_Task_33\체크리스트\Task_33_체크리스트.html", "👉 [클릭] 체크리스트 열기 📄")</f>
        <v/>
      </c>
    </row>
    <row r="38">
      <c r="E38" s="2">
        <f>D37</f>
        <v/>
      </c>
      <c r="F38" s="2">
        <f>D39</f>
        <v/>
      </c>
    </row>
    <row r="39">
      <c r="E39" s="2">
        <f>D38</f>
        <v/>
      </c>
    </row>
  </sheetData>
  <hyperlinks>
    <hyperlink xmlns:r="http://schemas.openxmlformats.org/officeDocument/2006/relationships" ref="T2" r:id="rId1"/>
    <hyperlink xmlns:r="http://schemas.openxmlformats.org/officeDocument/2006/relationships" ref="U2" r:id="rId2"/>
    <hyperlink xmlns:r="http://schemas.openxmlformats.org/officeDocument/2006/relationships" ref="T3" r:id="rId3"/>
    <hyperlink xmlns:r="http://schemas.openxmlformats.org/officeDocument/2006/relationships" ref="U3" r:id="rId4"/>
    <hyperlink xmlns:r="http://schemas.openxmlformats.org/officeDocument/2006/relationships" ref="T4" r:id="rId5"/>
    <hyperlink xmlns:r="http://schemas.openxmlformats.org/officeDocument/2006/relationships" ref="U4" r:id="rId6"/>
    <hyperlink xmlns:r="http://schemas.openxmlformats.org/officeDocument/2006/relationships" ref="T5" r:id="rId7"/>
    <hyperlink xmlns:r="http://schemas.openxmlformats.org/officeDocument/2006/relationships" ref="U5" r:id="rId8"/>
    <hyperlink xmlns:r="http://schemas.openxmlformats.org/officeDocument/2006/relationships" ref="T6" r:id="rId9"/>
    <hyperlink xmlns:r="http://schemas.openxmlformats.org/officeDocument/2006/relationships" ref="U6" r:id="rId10"/>
    <hyperlink xmlns:r="http://schemas.openxmlformats.org/officeDocument/2006/relationships" ref="T7" r:id="rId11"/>
    <hyperlink xmlns:r="http://schemas.openxmlformats.org/officeDocument/2006/relationships" ref="U7" r:id="rId12"/>
    <hyperlink xmlns:r="http://schemas.openxmlformats.org/officeDocument/2006/relationships" ref="T8" r:id="rId13"/>
    <hyperlink xmlns:r="http://schemas.openxmlformats.org/officeDocument/2006/relationships" ref="U8" r:id="rId14"/>
    <hyperlink xmlns:r="http://schemas.openxmlformats.org/officeDocument/2006/relationships" ref="T9" r:id="rId15"/>
    <hyperlink xmlns:r="http://schemas.openxmlformats.org/officeDocument/2006/relationships" ref="U9" r:id="rId16"/>
    <hyperlink xmlns:r="http://schemas.openxmlformats.org/officeDocument/2006/relationships" ref="T10" r:id="rId17"/>
    <hyperlink xmlns:r="http://schemas.openxmlformats.org/officeDocument/2006/relationships" ref="U10" r:id="rId18"/>
    <hyperlink xmlns:r="http://schemas.openxmlformats.org/officeDocument/2006/relationships" ref="T11" r:id="rId19"/>
    <hyperlink xmlns:r="http://schemas.openxmlformats.org/officeDocument/2006/relationships" ref="U11" r:id="rId20"/>
    <hyperlink xmlns:r="http://schemas.openxmlformats.org/officeDocument/2006/relationships" ref="T12" r:id="rId21"/>
    <hyperlink xmlns:r="http://schemas.openxmlformats.org/officeDocument/2006/relationships" ref="U12" r:id="rId22"/>
    <hyperlink xmlns:r="http://schemas.openxmlformats.org/officeDocument/2006/relationships" ref="T13" r:id="rId23"/>
    <hyperlink xmlns:r="http://schemas.openxmlformats.org/officeDocument/2006/relationships" ref="U13" r:id="rId24"/>
    <hyperlink xmlns:r="http://schemas.openxmlformats.org/officeDocument/2006/relationships" ref="T14" r:id="rId25"/>
    <hyperlink xmlns:r="http://schemas.openxmlformats.org/officeDocument/2006/relationships" ref="U14" r:id="rId26"/>
    <hyperlink xmlns:r="http://schemas.openxmlformats.org/officeDocument/2006/relationships" ref="T15" r:id="rId27"/>
    <hyperlink xmlns:r="http://schemas.openxmlformats.org/officeDocument/2006/relationships" ref="U15" r:id="rId28"/>
    <hyperlink xmlns:r="http://schemas.openxmlformats.org/officeDocument/2006/relationships" ref="T16" r:id="rId29"/>
    <hyperlink xmlns:r="http://schemas.openxmlformats.org/officeDocument/2006/relationships" ref="U16" r:id="rId30"/>
    <hyperlink xmlns:r="http://schemas.openxmlformats.org/officeDocument/2006/relationships" ref="T17" r:id="rId31"/>
    <hyperlink xmlns:r="http://schemas.openxmlformats.org/officeDocument/2006/relationships" ref="U17" r:id="rId32"/>
    <hyperlink xmlns:r="http://schemas.openxmlformats.org/officeDocument/2006/relationships" ref="T18" r:id="rId33"/>
    <hyperlink xmlns:r="http://schemas.openxmlformats.org/officeDocument/2006/relationships" ref="U18" r:id="rId34"/>
    <hyperlink xmlns:r="http://schemas.openxmlformats.org/officeDocument/2006/relationships" ref="T19" r:id="rId35"/>
    <hyperlink xmlns:r="http://schemas.openxmlformats.org/officeDocument/2006/relationships" ref="U19" r:id="rId36"/>
    <hyperlink xmlns:r="http://schemas.openxmlformats.org/officeDocument/2006/relationships" ref="T20" r:id="rId37"/>
    <hyperlink xmlns:r="http://schemas.openxmlformats.org/officeDocument/2006/relationships" ref="U20" r:id="rId38"/>
    <hyperlink xmlns:r="http://schemas.openxmlformats.org/officeDocument/2006/relationships" ref="T21" r:id="rId39"/>
    <hyperlink xmlns:r="http://schemas.openxmlformats.org/officeDocument/2006/relationships" ref="U21" r:id="rId40"/>
    <hyperlink xmlns:r="http://schemas.openxmlformats.org/officeDocument/2006/relationships" ref="T22" r:id="rId41"/>
    <hyperlink xmlns:r="http://schemas.openxmlformats.org/officeDocument/2006/relationships" ref="U22" r:id="rId42"/>
    <hyperlink xmlns:r="http://schemas.openxmlformats.org/officeDocument/2006/relationships" ref="T23" r:id="rId43"/>
    <hyperlink xmlns:r="http://schemas.openxmlformats.org/officeDocument/2006/relationships" ref="U23" r:id="rId44"/>
    <hyperlink xmlns:r="http://schemas.openxmlformats.org/officeDocument/2006/relationships" ref="T24" r:id="rId45"/>
    <hyperlink xmlns:r="http://schemas.openxmlformats.org/officeDocument/2006/relationships" ref="U24" r:id="rId46"/>
    <hyperlink xmlns:r="http://schemas.openxmlformats.org/officeDocument/2006/relationships" ref="T25" r:id="rId47"/>
    <hyperlink xmlns:r="http://schemas.openxmlformats.org/officeDocument/2006/relationships" ref="U25" r:id="rId48"/>
    <hyperlink xmlns:r="http://schemas.openxmlformats.org/officeDocument/2006/relationships" ref="T26" r:id="rId49"/>
    <hyperlink xmlns:r="http://schemas.openxmlformats.org/officeDocument/2006/relationships" ref="U26" r:id="rId50"/>
    <hyperlink xmlns:r="http://schemas.openxmlformats.org/officeDocument/2006/relationships" ref="T27" r:id="rId51"/>
    <hyperlink xmlns:r="http://schemas.openxmlformats.org/officeDocument/2006/relationships" ref="U27" r:id="rId52"/>
    <hyperlink xmlns:r="http://schemas.openxmlformats.org/officeDocument/2006/relationships" ref="T28" r:id="rId53"/>
    <hyperlink xmlns:r="http://schemas.openxmlformats.org/officeDocument/2006/relationships" ref="U28" r:id="rId54"/>
    <hyperlink xmlns:r="http://schemas.openxmlformats.org/officeDocument/2006/relationships" ref="T29" r:id="rId55"/>
    <hyperlink xmlns:r="http://schemas.openxmlformats.org/officeDocument/2006/relationships" ref="U29" r:id="rId56"/>
    <hyperlink xmlns:r="http://schemas.openxmlformats.org/officeDocument/2006/relationships" ref="T30" r:id="rId57"/>
    <hyperlink xmlns:r="http://schemas.openxmlformats.org/officeDocument/2006/relationships" ref="U30" r:id="rId58"/>
    <hyperlink xmlns:r="http://schemas.openxmlformats.org/officeDocument/2006/relationships" ref="T31" r:id="rId59"/>
    <hyperlink xmlns:r="http://schemas.openxmlformats.org/officeDocument/2006/relationships" ref="U31" r:id="rId60"/>
    <hyperlink xmlns:r="http://schemas.openxmlformats.org/officeDocument/2006/relationships" ref="T32" r:id="rId61"/>
    <hyperlink xmlns:r="http://schemas.openxmlformats.org/officeDocument/2006/relationships" ref="U32" r:id="rId62"/>
    <hyperlink xmlns:r="http://schemas.openxmlformats.org/officeDocument/2006/relationships" ref="T33" r:id="rId63"/>
    <hyperlink xmlns:r="http://schemas.openxmlformats.org/officeDocument/2006/relationships" ref="U33" r:id="rId64"/>
  </hyperlinks>
  <printOptions horizontalCentered="1"/>
  <pageMargins left="0.7480314960629921" right="0.7480314960629921" top="0.984251968503937" bottom="0.984251968503937" header="0.5118110236220472" footer="0.5118110236220472"/>
  <pageSetup orientation="landscape" paperSize="8" scale="38" verticalDpi="0"/>
</worksheet>
</file>

<file path=xl/worksheets/sheet10.xml><?xml version="1.0" encoding="utf-8"?>
<worksheet xmlns="http://schemas.openxmlformats.org/spreadsheetml/2006/main">
  <sheetPr codeName="Sheet10">
    <tabColor rgb="FFFFFF00"/>
    <outlinePr summaryBelow="1" summaryRight="1"/>
    <pageSetUpPr/>
  </sheetPr>
  <dimension ref="A1:V37"/>
  <sheetViews>
    <sheetView tabSelected="1" view="pageBreakPreview" topLeftCell="I5" zoomScale="55" zoomScaleNormal="40" zoomScaleSheetLayoutView="55" workbookViewId="0">
      <selection activeCell="J8" sqref="J8"/>
    </sheetView>
  </sheetViews>
  <sheetFormatPr baseColWidth="8" defaultRowHeight="17.4"/>
  <cols>
    <col width="9" bestFit="1" customWidth="1" style="4" min="1" max="2"/>
    <col width="13.19921875" bestFit="1" customWidth="1" style="4" min="3" max="3"/>
    <col width="11.19921875" bestFit="1" customWidth="1" style="4" min="4" max="4"/>
    <col width="16" customWidth="1" style="2" min="5" max="6"/>
    <col width="30.3984375" customWidth="1" style="4" min="7" max="7"/>
    <col width="23.296875" customWidth="1" style="4" min="8" max="8"/>
    <col width="21.69921875" customWidth="1" style="4" min="9" max="9"/>
    <col width="38" customWidth="1" style="3" min="10" max="10"/>
    <col width="52" customWidth="1" style="3" min="11" max="11"/>
    <col width="19.3984375" customWidth="1" style="4" min="12" max="12"/>
    <col width="53" customWidth="1" style="3" min="13" max="13"/>
    <col width="14.69921875" customWidth="1" style="3" min="14" max="14"/>
    <col width="45" customWidth="1" style="3" min="15" max="15"/>
    <col width="15.796875" customWidth="1" style="3" min="16" max="16"/>
    <col width="45" customWidth="1" style="3" min="17" max="17"/>
    <col width="16.09765625" customWidth="1" style="27" min="18" max="18"/>
    <col width="15.796875" customWidth="1" style="3" min="19" max="19"/>
    <col width="45" customWidth="1" style="27" min="20" max="20"/>
    <col width="22" customWidth="1" style="27" min="21" max="21"/>
    <col width="45" customWidth="1" style="3" min="22" max="38"/>
    <col width="8.796875" customWidth="1" style="3" min="39" max="16384"/>
  </cols>
  <sheetData>
    <row r="1" ht="57.6" customHeight="1">
      <c r="A1" s="12" t="inlineStr">
        <is>
          <t>L2 코드</t>
        </is>
      </c>
      <c r="B1" s="12" t="inlineStr">
        <is>
          <t>L3 코드</t>
        </is>
      </c>
      <c r="C1" s="12" t="inlineStr">
        <is>
          <t>L3 대공종명</t>
        </is>
      </c>
      <c r="D1" s="12" t="inlineStr">
        <is>
          <t>L4 코드</t>
        </is>
      </c>
      <c r="E1" s="6" t="inlineStr">
        <is>
          <t>선행</t>
        </is>
      </c>
      <c r="F1" s="6" t="inlineStr">
        <is>
          <t>후행</t>
        </is>
      </c>
      <c r="G1" s="12" t="inlineStr">
        <is>
          <t>작업단위 (Level 4 Task/Activity)</t>
        </is>
      </c>
      <c r="H1" s="12" t="inlineStr">
        <is>
          <t>일정 (D-Day)</t>
        </is>
      </c>
      <c r="I1" s="12" t="inlineStr">
        <is>
          <t>주관</t>
        </is>
      </c>
      <c r="J1" s="12" t="inlineStr">
        <is>
          <t>목적</t>
        </is>
      </c>
      <c r="K1" s="20" t="inlineStr">
        <is>
          <t>방법</t>
        </is>
      </c>
      <c r="L1" s="20" t="inlineStr">
        <is>
          <t>산출물(결과)</t>
        </is>
      </c>
      <c r="M1" s="20" t="inlineStr">
        <is>
          <t>표준서 (Standard) 요약</t>
        </is>
      </c>
      <c r="N1" s="13" t="inlineStr">
        <is>
          <t>표준서 파일 (HTML)</t>
        </is>
      </c>
      <c r="O1" s="20" t="inlineStr">
        <is>
          <t>수행지침 (Guideline) 요약</t>
        </is>
      </c>
      <c r="P1" s="13" t="inlineStr">
        <is>
          <t>수행지침 파일 (HTML)</t>
        </is>
      </c>
      <c r="Q1" s="20" t="inlineStr">
        <is>
          <t>체크리스트 (Checklist) 요약</t>
        </is>
      </c>
      <c r="R1" s="21" t="inlineStr">
        <is>
          <t>체크리스트 파일 (HTML)</t>
        </is>
      </c>
      <c r="S1" s="11" t="inlineStr">
        <is>
          <t>비고</t>
        </is>
      </c>
      <c r="T1" s="11" t="inlineStr">
        <is>
          <t>첨부서류 연계 상세 설계기준</t>
        </is>
      </c>
      <c r="U1" s="11" t="inlineStr">
        <is>
          <t>집행단계 리스크 체크리스트</t>
        </is>
      </c>
      <c r="V1" s="11" t="inlineStr">
        <is>
          <t>협력사 시공/공사관리 자문</t>
        </is>
      </c>
    </row>
    <row r="2" ht="48" customHeight="1">
      <c r="A2" s="17" t="inlineStr">
        <is>
          <t>9000</t>
        </is>
      </c>
      <c r="B2" s="17" t="inlineStr">
        <is>
          <t>9000-8</t>
        </is>
      </c>
      <c r="C2" s="17" t="inlineStr">
        <is>
          <t>기계설비·소방설비</t>
        </is>
      </c>
      <c r="D2" s="17" t="inlineStr">
        <is>
          <t>9000-8-1</t>
        </is>
      </c>
      <c r="E2" s="17" t="inlineStr">
        <is>
          <t>-</t>
        </is>
      </c>
      <c r="F2" s="17" t="inlineStr">
        <is>
          <t>9000-8-2</t>
        </is>
      </c>
      <c r="G2" s="17" t="inlineStr">
        <is>
          <t>설계 적정성 검토</t>
        </is>
      </c>
      <c r="H2" s="17" t="inlineStr">
        <is>
          <t>D-117</t>
        </is>
      </c>
      <c r="I2" s="17" t="inlineStr">
        <is>
          <t>기계/소방팀</t>
        </is>
      </c>
      <c r="J2" s="16" t="inlineStr">
        <is>
          <t>기계·소방설비 설계도서(도면/시방/계산서)의 KDS 47 및 NFTC 기준 적합성과 시공성·경제성 사전 검증</t>
        </is>
      </c>
      <c r="K2" s="33" t="inlineStr">
        <is>
          <t>1) STEP 1 (설계도서 삼각 대조): KDS 47/NFTC 기준에 따라 공조/환기 부하계산서, 설계도면, 수량산출서 1:1 정합성 검증
2) STEP 2 (주요 장비 용량 검토): 변전소 PAC(3대), 고내열 제연팬(250℃/1h), 인버터 펌프 정격 양정/유량 시방 일치성 확인
3) STEP 3 (인터페이스 및 개선안 도출): 건축 슬리브, 전기 NFR-8 내화배선, 신호 배수공동구 연계성 검토 및 설계변경안 감리 승인</t>
        </is>
      </c>
      <c r="L2" s="17" t="inlineStr">
        <is>
          <t>설계 적정성 검토 시공계획서, 검측요청서 및 공인 시험성적서</t>
        </is>
      </c>
      <c r="M2" s="26" t="inlineStr">
        <is>
          <t>1) 설계 적정성 검토 (9000-8-1) 과업 달성을 위해 KDS 47 철도설계기준 및 NFTC 화재안전기준을 100% 충족한다.
2) KDS 47 철도설계기준 및 KCS 41 건축설계기준에 따른 기계·소방설비 설계도서 삼각 대조 및 부하계산서 정밀 검증을 엄격히 완수하여 책임감리원 최종 승인을 획득한다.</t>
        </is>
      </c>
      <c r="N2" s="75">
        <f>HYPERLINK(LEFT(CELL("filename",A1),FIND("[",CELL("filename",A1))-1)&amp;"10.기계분야\1_설계 적정성 검토\표준서\1_설계 적정성 검토_표준서.html", "👉 [클릭] 표준서 열기 📄")</f>
        <v/>
      </c>
      <c r="O2" s="26" t="inlineStr">
        <is>
          <t>1) STEP 1: 설계도서 및 계산서 총괄 수집: 기계/소방 설계도면, 특기시방서, 부하계산서, 장비일람표 수집
2) STEP 2: 삼각 교차 대조 및 물량 정합성 검증: 도면 ↔ 수량산출서 ↔ 내역서 불일치 전수 색출</t>
        </is>
      </c>
      <c r="P2" s="76">
        <f>HYPERLINK(LEFT(CELL("filename",A1),FIND("[",CELL("filename",A1))-1)&amp;"10.기계분야\1_설계 적정성 검토\수행지침\1_설계 적정성 검토_수행지침.html", "👉 [클릭] 수행지침 열기 📄")</f>
        <v/>
      </c>
      <c r="Q2" s="26" t="inlineStr">
        <is>
          <t>1) 공조부하 계산 시방 및 정거장 및 변전소 냉난방 부하계산서 대조 기준을 100% 충족하였는가?
2) 소방설비 법적기준 검측 및 불합격 요소를 전면 차단하였는가?</t>
        </is>
      </c>
      <c r="R2" s="77">
        <f>HYPERLINK(LEFT(CELL("filename",A1),FIND("[",CELL("filename",A1))-1)&amp;"10.기계분야\1_설계 적정성 검토\체크리스트\1_설계 적정성 검토_체크리스트.html", "👉 [클릭] 체크리스트 열기 📄")</f>
        <v/>
      </c>
      <c r="S2" s="22" t="inlineStr">
        <is>
          <t>기계·소방 복합 시방 준수</t>
        </is>
      </c>
      <c r="T2" s="74" t="inlineStr">
        <is>
          <t>● KDS 47 철도설계기준, KCS 41 건축기계시방 및 NFTC/NFPC 화재안전기술기준 100% 준수</t>
        </is>
      </c>
      <c r="U2" s="73" t="inlineStr">
        <is>
          <t>1) 👉 [더블클릭] 체크리스트 열기 📄</t>
        </is>
      </c>
      <c r="V2" s="25" t="inlineStr">
        <is>
          <t>기계설비·소방 전문 감리 및 시공 기술자문단 상시 운영</t>
        </is>
      </c>
    </row>
    <row r="3" ht="48" customHeight="1">
      <c r="A3" s="18" t="inlineStr">
        <is>
          <t>9000</t>
        </is>
      </c>
      <c r="B3" s="18" t="inlineStr">
        <is>
          <t>9000-8</t>
        </is>
      </c>
      <c r="C3" s="18" t="inlineStr">
        <is>
          <t>기계설비·소방설비</t>
        </is>
      </c>
      <c r="D3" s="18" t="inlineStr">
        <is>
          <t>9000-8-2</t>
        </is>
      </c>
      <c r="E3" s="17" t="inlineStr">
        <is>
          <t>9000-8-1</t>
        </is>
      </c>
      <c r="F3" s="17" t="inlineStr">
        <is>
          <t>9000-8-3</t>
        </is>
      </c>
      <c r="G3" s="18" t="inlineStr">
        <is>
          <t>발주전략 KOM</t>
        </is>
      </c>
      <c r="H3" s="18" t="inlineStr">
        <is>
          <t>D-114</t>
        </is>
      </c>
      <c r="I3" s="17" t="inlineStr">
        <is>
          <t>기계/소방팀</t>
        </is>
      </c>
      <c r="J3" s="16" t="inlineStr">
        <is>
          <t>기계·소방 공종 3자(발주처-감리-시공) 킥오프를 통한 주요 자재 조달 라인 및 4대 공정 마일스톤 확정</t>
        </is>
      </c>
      <c r="K3" s="33" t="inlineStr">
        <is>
          <t>1) STEP 1 (3자 협의체 구성): 발주처, 책임감리단, 기계/소방 협력사 간 공정·품질·안전 관리체계 및 업무 R&amp;R 확정
2) STEP 2 (주요 자재 수급선 검토): STS 강관, 덕트, 펌프, 승강기 등 장납기 자재의 공장 승인 및 납품 스케줄 동기화
3) STEP 3 (핵심 마일스톤 수립): 3D BIM 간섭해소, FAT 공장검수, 수압시험, 소방 완공검사 등 공정 임계경로(CP) 관리</t>
        </is>
      </c>
      <c r="L3" s="17" t="inlineStr">
        <is>
          <t>발주전략 KOM 시공계획서, 검측요청서 및 공인 시험성적서</t>
        </is>
      </c>
      <c r="M3" s="26" t="inlineStr">
        <is>
          <t>1) 발주전략 KOM (9000-8-2) 과업 달성을 위해 KDS 47 철도설계기준 및 NFTC 화재안전기준을 100% 충족한다.
2) 감리단-시공사-기계/소방 전문협력사 3자 착수회의(KOM) 및 공종별 핵심 마일스톤 확정을 엄격히 완수하여 책임감리원 최종 승인을 획득한다.</t>
        </is>
      </c>
      <c r="N3" s="75">
        <f>HYPERLINK(LEFT(CELL("filename",A1),FIND("[",CELL("filename",A1))-1)&amp;"10.기계분야\2_발주전략 KOM\표준서\2_발주전략 KOM_표준서.html", "👉 [클릭] 표준서 열기 📄")</f>
        <v/>
      </c>
      <c r="O3" s="26" t="inlineStr">
        <is>
          <t>1) STEP 1: KOM 킥오프 회의 소집 및 R&amp;R 확정: 착수 협의체 가동 및 공종별 책임 범위 규정
2) STEP 2: 주요 장비 제작 및 조달 계획 수립: 공조기, 소방펌프, 인승용/화물용 승강기 납기 확정</t>
        </is>
      </c>
      <c r="P3" s="76">
        <f>HYPERLINK(LEFT(CELL("filename",A1),FIND("[",CELL("filename",A1))-1)&amp;"10.기계분야\2_발주전략 KOM\수행지침\2_발주전략 KOM_수행지침.html", "👉 [클릭] 수행지침 열기 📄")</f>
        <v/>
      </c>
      <c r="Q3" s="26" t="inlineStr">
        <is>
          <t>1) 협력체계 구축 시방 및 감리-시공-협력사 정기 협의체 구성 기준을 100% 충족하였는가?
2) 장비 발주계획 검측 및 불합격 요소를 전면 차단하였는가?</t>
        </is>
      </c>
      <c r="R3" s="77">
        <f>HYPERLINK(LEFT(CELL("filename",A1),FIND("[",CELL("filename",A1))-1)&amp;"10.기계분야\2_발주전략 KOM\체크리스트\2_발주전략 KOM_체크리스트.html", "👉 [클릭] 체크리스트 열기 📄")</f>
        <v/>
      </c>
      <c r="S3" s="22" t="inlineStr">
        <is>
          <t>기계·소방 복합 시방 준수</t>
        </is>
      </c>
      <c r="T3" s="74" t="inlineStr">
        <is>
          <t>● KDS 47 철도설계기준, KCS 41 건축기계시방 및 NFTC/NFPC 화재안전기술기준 100% 준수</t>
        </is>
      </c>
      <c r="U3" s="73" t="inlineStr">
        <is>
          <t>1) 👉 [더블클릭] 체크리스트 열기 📄</t>
        </is>
      </c>
      <c r="V3" s="25" t="inlineStr">
        <is>
          <t>기계설비·소방 전문 감리 및 시공 기술자문단 상시 운영</t>
        </is>
      </c>
    </row>
    <row r="4" ht="48" customHeight="1">
      <c r="A4" s="17" t="inlineStr">
        <is>
          <t>9000</t>
        </is>
      </c>
      <c r="B4" s="17" t="inlineStr">
        <is>
          <t>9000-8</t>
        </is>
      </c>
      <c r="C4" s="17" t="inlineStr">
        <is>
          <t>기계설비·소방설비</t>
        </is>
      </c>
      <c r="D4" s="17" t="inlineStr">
        <is>
          <t>9000-8-3</t>
        </is>
      </c>
      <c r="E4" s="17" t="inlineStr">
        <is>
          <t>9000-8-2</t>
        </is>
      </c>
      <c r="F4" s="17" t="inlineStr">
        <is>
          <t>9000-8-4</t>
        </is>
      </c>
      <c r="G4" s="17" t="inlineStr">
        <is>
          <t>3D BIM 기계_소방 간섭 검토</t>
        </is>
      </c>
      <c r="H4" s="18" t="inlineStr">
        <is>
          <t>D-111</t>
        </is>
      </c>
      <c r="I4" s="17" t="inlineStr">
        <is>
          <t>기계/소방팀</t>
        </is>
      </c>
      <c r="J4" s="16" t="inlineStr">
        <is>
          <t>LOD 350 기반 3D BIM을 활용하여 기계덕트·소화배관·전기트레이 간 Hard Clash 0건 달성 및 CSD 승인</t>
        </is>
      </c>
      <c r="K4" s="33" t="inlineStr">
        <is>
          <t>1) STEP 1 (LOD 350 3D 모델링): 기계 공조덕트, 소화배관, 위생배관 및 전기 트레이의 3D 통합 모델 구축
2) STEP 2 (복합 간섭체크 실행): Navisworks 간섭 체크 엔진을 가동하여 배관 교차 및 건축 골조 간섭(Clash) 전수 색출
3) STEP 3 (시공상세도 CSD 확정): 정거장 유효 천장고(CH ≥ 2.7m) 확보를 위한 배관 입체 재배치 및 감리단 CSD 최종 승인</t>
        </is>
      </c>
      <c r="L4" s="17" t="inlineStr">
        <is>
          <t>3D BIM 기계_소방 간섭 검토 시공계획서, 검측요청서 및 공인 시험성적서</t>
        </is>
      </c>
      <c r="M4" s="26" t="inlineStr">
        <is>
          <t>1) 3D BIM 기계_소방 간섭 검토 (9000-8-3) 과업 달성을 위해 KDS 47 철도설계기준 및 NFTC 화재안전기준을 100% 충족한다.
2) LOD 350 기반 기계덕트/배관↔전기트레이/건축골조/신호공동구 3D 공간 간섭 100% 제거을 엄격히 완수하여 책임감리원 최종 승인을 획득한다.</t>
        </is>
      </c>
      <c r="N4" s="75">
        <f>HYPERLINK(LEFT(CELL("filename",A1),FIND("[",CELL("filename",A1))-1)&amp;"10.기계분야\3_3D BIM 기계_소방 간섭 검토\표준서\3_3D BIM 기계_소방 간섭 검토_표준서.html", "👉 [클릭] 표준서 열기 📄")</f>
        <v/>
      </c>
      <c r="O4" s="26" t="inlineStr">
        <is>
          <t>1) STEP 1: 3D BIM 기계/소방 상세 모델링 (LOD 350): 배관 구배, 덕트 엘보, 장비 외형 정밀 모델링
2) STEP 2: 다공종 통합 모델 합성 및 간섭 체크: 건축/구조/전기/통신/신호 3D 모델 통합 검사</t>
        </is>
      </c>
      <c r="P4" s="76">
        <f>HYPERLINK(LEFT(CELL("filename",A1),FIND("[",CELL("filename",A1))-1)&amp;"10.기계분야\3_3D BIM 기계_소방 간섭 검토\수행지침\3_3D BIM 기계_소방 간섭 검토_수행지침.html", "👉 [클릭] 수행지침 열기 📄")</f>
        <v/>
      </c>
      <c r="Q4" s="26" t="inlineStr">
        <is>
          <t>1) 간섭 클러스터 분석 시방 및 Autodesk Navisworks 기반 Clash Detection 기준을 100% 충족하였는가?
2) 천장 공간 배분 검측 및 불합격 요소를 전면 차단하였는가?</t>
        </is>
      </c>
      <c r="R4" s="77">
        <f>HYPERLINK(LEFT(CELL("filename",A1),FIND("[",CELL("filename",A1))-1)&amp;"10.기계분야\3_3D BIM 기계_소방 간섭 검토\체크리스트\3_3D BIM 기계_소방 간섭 검토_체크리스트.html", "👉 [클릭] 체크리스트 열기 📄")</f>
        <v/>
      </c>
      <c r="S4" s="22" t="inlineStr">
        <is>
          <t>기계·소방 복합 시방 준수</t>
        </is>
      </c>
      <c r="T4" s="74" t="inlineStr">
        <is>
          <t>● KDS 47 철도설계기준, KCS 41 건축기계시방 및 NFTC/NFPC 화재안전기술기준 100% 준수</t>
        </is>
      </c>
      <c r="U4" s="73" t="inlineStr">
        <is>
          <t>1) 👉 [더블클릭] 체크리스트 열기 📄</t>
        </is>
      </c>
      <c r="V4" s="25" t="inlineStr">
        <is>
          <t>기계설비·소방 전문 감리 및 시공 기술자문단 상시 운영</t>
        </is>
      </c>
    </row>
    <row r="5" ht="48" customHeight="1">
      <c r="A5" s="17" t="inlineStr">
        <is>
          <t>9000</t>
        </is>
      </c>
      <c r="B5" s="17" t="inlineStr">
        <is>
          <t>9000-8</t>
        </is>
      </c>
      <c r="C5" s="17" t="inlineStr">
        <is>
          <t>기계설비·소방설비</t>
        </is>
      </c>
      <c r="D5" s="17" t="inlineStr">
        <is>
          <t>9000-8-4</t>
        </is>
      </c>
      <c r="E5" s="17" t="inlineStr">
        <is>
          <t>9000-8-3</t>
        </is>
      </c>
      <c r="F5" s="17" t="inlineStr">
        <is>
          <t>9000-8-5</t>
        </is>
      </c>
      <c r="G5" s="17" t="inlineStr">
        <is>
          <t>소방 및 환경 인허가</t>
        </is>
      </c>
      <c r="H5" s="17" t="inlineStr">
        <is>
          <t>D-108</t>
        </is>
      </c>
      <c r="I5" s="17" t="inlineStr">
        <is>
          <t>기계/소방팀</t>
        </is>
      </c>
      <c r="J5" s="16" t="inlineStr">
        <is>
          <t>소방시설공사업법 제13조에 따른 착공신고 및 위험물·오폐수 환경 인허가 적기 득</t>
        </is>
      </c>
      <c r="K5" s="33" t="inlineStr">
        <is>
          <t>1) STEP 1 (소방 착공신고): 소방기술자/감리원 배치신고서 및 소방 설계도서를 관할 화성소방서에 제출하여 착공필증 수령
2) STEP 2 (위험물 저장 승인): 비상발전기 유류탱크(경유) 저장소 설치허가 및 방유제(용량 110%) 안전기준 검증
3) STEP 3 (환경 인허가 완료): 차량기지 오폐수배출시설 설치신고 및 수질 TMS 연동 계획 관할 지자체 승인</t>
        </is>
      </c>
      <c r="L5" s="17" t="inlineStr">
        <is>
          <t>소방 및 환경 인허가 시공계획서, 검측요청서 및 공인 시험성적서</t>
        </is>
      </c>
      <c r="M5" s="26" t="inlineStr">
        <is>
          <t>1) 소방 및 환경 인허가 (9000-8-4) 과업 달성을 위해 KDS 47 철도설계기준 및 NFTC 화재안전기준을 100% 충족한다.
2) 관할 소방서 소방시설 착공신고/동의, 위험물 저장소 인허가 및 오수정화시설 신고을 엄격히 완수하여 책임감리원 최종 승인을 획득한다.</t>
        </is>
      </c>
      <c r="N5" s="75">
        <f>HYPERLINK(LEFT(CELL("filename",A1),FIND("[",CELL("filename",A1))-1)&amp;"10.기계분야\4_소방 및 환경 인허가\표준서\4_소방 및 환경 인허가_표준서.html", "👉 [클릭] 표준서 열기 📄")</f>
        <v/>
      </c>
      <c r="O5" s="26" t="inlineStr">
        <is>
          <t>1) STEP 1: 소방시설 착공신고서 작성 및 도서 구비: 설계도면, 소방시설 내역서, 시공사 면허 첨부
2) STEP 2: 소방시설 건축동의 및 기술 검토 보완: 소방서 보완 요구사항 신속 조치 및 승인</t>
        </is>
      </c>
      <c r="P5" s="76">
        <f>HYPERLINK(LEFT(CELL("filename",A1),FIND("[",CELL("filename",A1))-1)&amp;"10.기계분야\4_소방 및 환경 인허가\수행지침\4_소방 및 환경 인허가_수행지침.html", "👉 [클릭] 수행지침 열기 📄")</f>
        <v/>
      </c>
      <c r="Q5" s="26" t="inlineStr">
        <is>
          <t>1) 소방시설 착공신고 시방 및 소방시설공사업법 제13조에 따른 착공계 제출 기준을 100% 충족하였는가?
2) 소방공사 감리원 검측 및 불합격 요소를 전면 차단하였는가?</t>
        </is>
      </c>
      <c r="R5" s="77">
        <f>HYPERLINK(LEFT(CELL("filename",A1),FIND("[",CELL("filename",A1))-1)&amp;"10.기계분야\4_소방 및 환경 인허가\체크리스트\4_소방 및 환경 인허가_체크리스트.html", "👉 [클릭] 체크리스트 열기 📄")</f>
        <v/>
      </c>
      <c r="S5" s="22" t="inlineStr">
        <is>
          <t>기계·소방 복합 시방 준수</t>
        </is>
      </c>
      <c r="T5" s="74" t="inlineStr">
        <is>
          <t>● KDS 47 철도설계기준, KCS 41 건축기계시방 및 NFTC/NFPC 화재안전기술기준 100% 준수</t>
        </is>
      </c>
      <c r="U5" s="73" t="inlineStr">
        <is>
          <t>1) 👉 [더블클릭] 체크리스트 열기 📄</t>
        </is>
      </c>
      <c r="V5" s="25" t="inlineStr">
        <is>
          <t>기계설비·소방 전문 감리 및 시공 기술자문단 상시 운영</t>
        </is>
      </c>
    </row>
    <row r="6" ht="48" customHeight="1">
      <c r="A6" s="17" t="inlineStr">
        <is>
          <t>9000</t>
        </is>
      </c>
      <c r="B6" s="17" t="inlineStr">
        <is>
          <t>9000-8</t>
        </is>
      </c>
      <c r="C6" s="17" t="inlineStr">
        <is>
          <t>기계설비·소방설비</t>
        </is>
      </c>
      <c r="D6" s="17" t="inlineStr">
        <is>
          <t>9000-8-5</t>
        </is>
      </c>
      <c r="E6" s="17" t="inlineStr">
        <is>
          <t>9000-8-4</t>
        </is>
      </c>
      <c r="F6" s="17" t="inlineStr">
        <is>
          <t>9000-8-6</t>
        </is>
      </c>
      <c r="G6" s="17" t="inlineStr">
        <is>
          <t>장비 반입동선 및 야적장 계획</t>
        </is>
      </c>
      <c r="H6" s="17" t="inlineStr">
        <is>
          <t>D-105</t>
        </is>
      </c>
      <c r="I6" s="17" t="inlineStr">
        <is>
          <t>기계/소방팀</t>
        </is>
      </c>
      <c r="J6" s="16" t="inlineStr">
        <is>
          <t>지하 기계실 대형 장비(AHU, 펌프 등)의 DA 개구부 양중 및 안전 반입 동선 확보</t>
        </is>
      </c>
      <c r="K6" s="33" t="inlineStr">
        <is>
          <t>1) STEP 1 (양중 크레인 계획): 50ton 하이드로 크레인 작업반경 설정, 복공판 하부 지지력(K30 ≥ 150) 및 아웃트리거 보강
2) STEP 2 (개구부 통과 검토): 장비 분할 치수와 DA 개구부(W2.5m x L4.0m) 유효 통과폭 대조 및 호이스트/체인블록 가설
3) STEP 3 (수평 인입 및 안착): 운반 롤러 및 레일 시스템을 이용하여 기계실 기초 패드 위로 유도 후 레벨링 및 앵커링</t>
        </is>
      </c>
      <c r="L6" s="17" t="inlineStr">
        <is>
          <t>장비 반입동선 및 야적장 계획 시공계획서, 검측요청서 및 공인 시험성적서</t>
        </is>
      </c>
      <c r="M6" s="26" t="inlineStr">
        <is>
          <t>1) 장비 반입동선 및 야적장 계획 (9000-8-5) 과업 달성을 위해 KDS 47 철도설계기준 및 NFTC 화재안전기준을 100% 충족한다.
2) 대형 공조기(AHU), 냉동기, 소방펌프 반입구 크기 및 크레인 인양 작업반경 사전 검토을 엄격히 완수하여 책임감리원 최종 승인을 획득한다.</t>
        </is>
      </c>
      <c r="N6" s="75">
        <f>HYPERLINK(LEFT(CELL("filename",A1),FIND("[",CELL("filename",A1))-1)&amp;"10.기계분야\5_장비 반입동선 및 야적장 계획\표준서\5_장비 반입동선 및 야적장 계획_표준서.html", "👉 [클릭] 표준서 열기 📄")</f>
        <v/>
      </c>
      <c r="O6" s="26" t="inlineStr">
        <is>
          <t>1) STEP 1: 중량 장비 제원 및 반입 경로 실측: 장비 외형 치수, 중량, 반입구 크기 대조
2) STEP 2: 양중 크레인 작업 계획 및 안전성 검토: 크레인 전도 방지 및 슬래브 지지력 계산</t>
        </is>
      </c>
      <c r="P6" s="76">
        <f>HYPERLINK(LEFT(CELL("filename",A1),FIND("[",CELL("filename",A1))-1)&amp;"10.기계분야\5_장비 반입동선 및 야적장 계획\수행지침\5_장비 반입동선 및 야적장 계획_수행지침.html", "👉 [클릭] 수행지침 열기 📄")</f>
        <v/>
      </c>
      <c r="Q6" s="26" t="inlineStr">
        <is>
          <t>1) 장비 반입구 시방 및 지하 기계실 장비 반입구(DA) 크기 및 해치 확인 기준을 100% 충족하였는가?
2) 양중 크레인 계획 검측 및 불합격 요소를 전면 차단하였는가?</t>
        </is>
      </c>
      <c r="R6" s="77">
        <f>HYPERLINK(LEFT(CELL("filename",A1),FIND("[",CELL("filename",A1))-1)&amp;"10.기계분야\5_장비 반입동선 및 야적장 계획\체크리스트\5_장비 반입동선 및 야적장 계획_체크리스트.html", "👉 [클릭] 체크리스트 열기 📄")</f>
        <v/>
      </c>
      <c r="S6" s="22" t="inlineStr">
        <is>
          <t>기계·소방 복합 시방 준수</t>
        </is>
      </c>
      <c r="T6" s="74" t="inlineStr">
        <is>
          <t>● KDS 47 철도설계기준, KCS 41 건축기계시방 및 NFTC/NFPC 화재안전기술기준 100% 준수</t>
        </is>
      </c>
      <c r="U6" s="73" t="inlineStr">
        <is>
          <t>1) 👉 [더블클릭] 체크리스트 열기 📄</t>
        </is>
      </c>
      <c r="V6" s="25" t="inlineStr">
        <is>
          <t>기계설비·소방 전문 감리 및 시공 기술자문단 상시 운영</t>
        </is>
      </c>
    </row>
    <row r="7" ht="48" customHeight="1">
      <c r="A7" s="17" t="inlineStr">
        <is>
          <t>9000</t>
        </is>
      </c>
      <c r="B7" s="17" t="inlineStr">
        <is>
          <t>9000-8</t>
        </is>
      </c>
      <c r="C7" s="17" t="inlineStr">
        <is>
          <t>기계설비·소방설비</t>
        </is>
      </c>
      <c r="D7" s="17" t="inlineStr">
        <is>
          <t>9000-8-6</t>
        </is>
      </c>
      <c r="E7" s="17" t="inlineStr">
        <is>
          <t>9000-8-5</t>
        </is>
      </c>
      <c r="F7" s="17" t="inlineStr">
        <is>
          <t>9000-8-7</t>
        </is>
      </c>
      <c r="G7" s="17" t="inlineStr">
        <is>
          <t>Big Room 인터페이스 회의</t>
        </is>
      </c>
      <c r="H7" s="17" t="inlineStr">
        <is>
          <t>D-102</t>
        </is>
      </c>
      <c r="I7" s="17" t="inlineStr">
        <is>
          <t>기계/소방팀</t>
        </is>
      </c>
      <c r="J7" s="16" t="inlineStr">
        <is>
          <t>건축, 전기, 통신, 신호, 궤도 등 타 공종과의 시공 간섭 배제 및 시공 우선순위 룰 확립</t>
        </is>
      </c>
      <c r="K7" s="33" t="inlineStr">
        <is>
          <t>1) STEP 1 (Big Room 정례협의): 7대 공종 합동 주간 인터페이스 회의를 운영하여 주배관과 타 공종 지장물 간섭 해소
2) STEP 2 (시공 우선순위 확정): 슬리브 선매립(건축) ⟶ 대형 풍도/주배관(기계) ⟶ 케이블트레이(전기) 순차 시공 룰 적용
3) STEP 3 (인터페이스 체크시트 발행): 상호 인계인수 전 슬리브 위치, 방화구획, 배수구 트렌치 시공 상태 합동 서명 검측</t>
        </is>
      </c>
      <c r="L7" s="17" t="inlineStr">
        <is>
          <t>Big Room 인터페이스 회의 시공계획서, 검측요청서 및 공인 시험성적서</t>
        </is>
      </c>
      <c r="M7" s="26" t="inlineStr">
        <is>
          <t>1) Big Room 인터페이스 회의 (9000-8-6) 과업 달성을 위해 KDS 47 철도설계기준 및 NFTC 화재안전기준을 100% 충족한다.
2) 토목·궤도·건축·전기·신호·통신·기계 7대 공종 합동 간섭 조정 및 시공 우선순위 확정을 엄격히 완수하여 책임감리원 최종 승인을 획득한다.</t>
        </is>
      </c>
      <c r="N7" s="75">
        <f>HYPERLINK(LEFT(CELL("filename",A1),FIND("[",CELL("filename",A1))-1)&amp;"10.기계분야\6_Big Room 인터페이스 회의\표준서\6_Big Room 인터페이스 회의_표준서.html", "👉 [클릭] 표준서 열기 📄")</f>
        <v/>
      </c>
      <c r="O7" s="26" t="inlineStr">
        <is>
          <t>1) STEP 1: Big Room 합동 회의 안건 도출 및 3D 모델 준비: 공종간 충돌 부위 및 시공 간섭 이슈 리스트업
2) STEP 2: 7대 공종 합동 기술 조율 및 대안 확정: 현장 시공성 기반 최적 경로 협의 및 의사결정</t>
        </is>
      </c>
      <c r="P7" s="76">
        <f>HYPERLINK(LEFT(CELL("filename",A1),FIND("[",CELL("filename",A1))-1)&amp;"10.기계분야\6_Big Room 인터페이스 회의\수행지침\6_Big Room 인터페이스 회의_수행지침.html", "👉 [클릭] 수행지침 열기 📄")</f>
        <v/>
      </c>
      <c r="Q7" s="26" t="inlineStr">
        <is>
          <t>1) 7대 공종 합동 검토 시방 및 기계/소방↔토목/궤도/건축/전기/신호/통신 연계 기준을 100% 충족하였는가?
2) 관통 슬리브 확정 검측 및 불합격 요소를 전면 차단하였는가?</t>
        </is>
      </c>
      <c r="R7" s="77">
        <f>HYPERLINK(LEFT(CELL("filename",A1),FIND("[",CELL("filename",A1))-1)&amp;"10.기계분야\6_Big Room 인터페이스 회의\체크리스트\6_Big Room 인터페이스 회의_체크리스트.html", "👉 [클릭] 체크리스트 열기 📄")</f>
        <v/>
      </c>
      <c r="S7" s="22" t="inlineStr">
        <is>
          <t>기계·소방 복합 시방 준수</t>
        </is>
      </c>
      <c r="T7" s="74" t="inlineStr">
        <is>
          <t>● KDS 47 철도설계기준, KCS 41 건축기계시방 및 NFTC/NFPC 화재안전기술기준 100% 준수</t>
        </is>
      </c>
      <c r="U7" s="73" t="inlineStr">
        <is>
          <t>1) 👉 [더블클릭] 체크리스트 열기 📄</t>
        </is>
      </c>
      <c r="V7" s="25" t="inlineStr">
        <is>
          <t>기계설비·소방 전문 감리 및 시공 기술자문단 상시 운영</t>
        </is>
      </c>
    </row>
    <row r="8" ht="48" customHeight="1">
      <c r="A8" s="17" t="inlineStr">
        <is>
          <t>9000</t>
        </is>
      </c>
      <c r="B8" s="17" t="inlineStr">
        <is>
          <t>9000-8</t>
        </is>
      </c>
      <c r="C8" s="17" t="inlineStr">
        <is>
          <t>기계설비·소방설비</t>
        </is>
      </c>
      <c r="D8" s="17" t="inlineStr">
        <is>
          <t>9000-8-7</t>
        </is>
      </c>
      <c r="E8" s="17" t="inlineStr">
        <is>
          <t>9000-8-6</t>
        </is>
      </c>
      <c r="F8" s="17" t="inlineStr">
        <is>
          <t>9000-8-8</t>
        </is>
      </c>
      <c r="G8" s="17" t="inlineStr">
        <is>
          <t>지하매설 기계배관 협의</t>
        </is>
      </c>
      <c r="H8" s="17" t="inlineStr">
        <is>
          <t>D-99</t>
        </is>
      </c>
      <c r="I8" s="17" t="inlineStr">
        <is>
          <t>기계/소방팀</t>
        </is>
      </c>
      <c r="J8" s="16" t="inlineStr">
        <is>
          <t>트램 본선 도로 하부 지중매설 배관(상수도, 지열, 우오수)과 지하 지장물 간 안전 이격거리 확보</t>
        </is>
      </c>
      <c r="K8" s="34" t="inlineStr">
        <is>
          <t>1) STEP 1 (3D 지하매설물 탐사): GPR 탐사 및 줄파기를 통해 기존 가스관, 한전관로, 통신관로 심도와 좌표 정밀 확인
2) STEP 2 (안전 이격거리 유지): 타 지장물과 최소 300mm 이상 이격 배치하고 고저차 간섭 시 강관 보호공(Casing) 적용
3) STEP 3 (모래부설 및 다짐): 배관 주위 양질의 모래(두께 100mm) 부설 후 되메우기 층별 다짐(다짐도 ≥ 95%) 및 경고테이프 매설</t>
        </is>
      </c>
      <c r="L8" s="17" t="inlineStr">
        <is>
          <t>지하매설 기계배관 협의 시공계획서, 검측요청서 및 공인 시험성적서</t>
        </is>
      </c>
      <c r="M8" s="26" t="inlineStr">
        <is>
          <t>1) 지하매설 기계배관 협의 (9000-8-7) 과업 달성을 위해 KDS 47 철도설계기준 및 NFTC 화재안전기준을 100% 충족한다.
2) 도로 하부 상수도 인입관, 지열 PE배관, 오우수 관로 지장물 이설 및 도로점용 협의을 엄격히 완수하여 책임감리원 최종 승인을 획득한다.</t>
        </is>
      </c>
      <c r="N8" s="75">
        <f>HYPERLINK(LEFT(CELL("filename",A1),FIND("[",CELL("filename",A1))-1)&amp;"10.기계분야\7_지하매설 기계배관 협의\표준서\7_지하매설 기계배관 협의_표준서.html", "👉 [클릭] 표준서 열기 📄")</f>
        <v/>
      </c>
      <c r="O8" s="26" t="inlineStr">
        <is>
          <t>1) STEP 1: 지하 지장물 매설도 수집 및 3D GPR 탐사: 도로 하부 8대 지하매설물 도면 대조
2) STEP 2: 유관기관 협의 및 도로굴착점용 허가 획득: 지자체 및 관리기관 합동 현장 실사</t>
        </is>
      </c>
      <c r="P8" s="76">
        <f>HYPERLINK(LEFT(CELL("filename",A1),FIND("[",CELL("filename",A1))-1)&amp;"10.기계분야\7_지하매설 기계배관 협의\수행지침\7_지하매설 기계배관 협의_수행지침.html", "👉 [클릭] 수행지침 열기 📄")</f>
        <v/>
      </c>
      <c r="Q8" s="26" t="inlineStr">
        <is>
          <t>1) 지하관로 탐사 시방 및 3D GPR 지하 레이더 탐사 및 인력 줄파기 기준을 100% 충족하였는가?
2) 상수도 인입 협의 검측 및 불합격 요소를 전면 차단하였는가?</t>
        </is>
      </c>
      <c r="R8" s="77">
        <f>HYPERLINK(LEFT(CELL("filename",A1),FIND("[",CELL("filename",A1))-1)&amp;"10.기계분야\7_지하매설 기계배관 협의\체크리스트\7_지하매설 기계배관 협의_체크리스트.html", "👉 [클릭] 체크리스트 열기 📄")</f>
        <v/>
      </c>
      <c r="S8" s="22" t="inlineStr">
        <is>
          <t>기계·소방 복합 시방 준수</t>
        </is>
      </c>
      <c r="T8" s="74" t="inlineStr">
        <is>
          <t>● KDS 47 철도설계기준, KCS 41 건축기계시방 및 NFTC/NFPC 화재안전기술기준 100% 준수</t>
        </is>
      </c>
      <c r="U8" s="73" t="inlineStr">
        <is>
          <t>1) 👉 [더블클릭] 체크리스트 열기 📄</t>
        </is>
      </c>
      <c r="V8" s="25" t="inlineStr">
        <is>
          <t>기계설비·소방 전문 감리 및 시공 기술자문단 상시 운영</t>
        </is>
      </c>
    </row>
    <row r="9" ht="48" customHeight="1">
      <c r="A9" s="17" t="inlineStr">
        <is>
          <t>9000</t>
        </is>
      </c>
      <c r="B9" s="17" t="inlineStr">
        <is>
          <t>9000-8</t>
        </is>
      </c>
      <c r="C9" s="17" t="inlineStr">
        <is>
          <t>기계설비·소방설비</t>
        </is>
      </c>
      <c r="D9" s="17" t="inlineStr">
        <is>
          <t>9000-8-8</t>
        </is>
      </c>
      <c r="E9" s="17" t="inlineStr">
        <is>
          <t>9000-8-7</t>
        </is>
      </c>
      <c r="F9" s="17" t="inlineStr">
        <is>
          <t>9000-8-9</t>
        </is>
      </c>
      <c r="G9" s="17" t="inlineStr">
        <is>
          <t>기계설비 시공계획서 수립</t>
        </is>
      </c>
      <c r="H9" s="17" t="inlineStr">
        <is>
          <t>D-96</t>
        </is>
      </c>
      <c r="I9" s="17" t="inlineStr">
        <is>
          <t>기계/소방팀</t>
        </is>
      </c>
      <c r="J9" s="16" t="inlineStr">
        <is>
          <t>KCS 41 시방 기준 준수, 유자격 용접사 WPS 승인 및 밀폐공간 안전보건 체계 확립</t>
        </is>
      </c>
      <c r="K9" s="33" t="inlineStr">
        <is>
          <t>1) STEP 1 (공종별 절차서 수립): 배관, 덕트, 장비설치 등 세부 작업별 인원·장비·공정 계획 및 위험성평가서 작성
2) STEP 2 (WPS 용접절차 승인): 배관 재질별(STS, 탄소강) 용접절차시방서(WPS) 수립 및 유자격 용접사 시험편 PQR 검증
3) STEP 3 (밀폐공간 안전관리): 지하 집수조/탱크 작업 시 복합가스(산소, 황화수소) 측정, 송기마스크 착용 및 감시원 상주</t>
        </is>
      </c>
      <c r="L9" s="17" t="inlineStr">
        <is>
          <t>기계설비 시공계획서 수립 시공계획서, 검측요청서 및 공인 시험성적서</t>
        </is>
      </c>
      <c r="M9" s="26" t="inlineStr">
        <is>
          <t>1) 기계설비 시공계획서 수립 (9000-8-8) 과업 달성을 위해 KDS 47 철도설계기준 및 NFTC 화재안전기준을 100% 충족한다.
2) KCS 41 건축기계시방 기준 장비투입, 용접/비파괴검사, 수압시험 및 안전관리 마스터 플랜을 엄격히 완수하여 책임감리원 최종 승인을 획득한다.</t>
        </is>
      </c>
      <c r="N9" s="75">
        <f>HYPERLINK(LEFT(CELL("filename",A1),FIND("[",CELL("filename",A1))-1)&amp;"10.기계분야\8_기계설비 시공계획서 수립\표준서\8_기계설비 시공계획서 수립_표준서.html", "👉 [클릭] 표준서 열기 📄")</f>
        <v/>
      </c>
      <c r="O9" s="26" t="inlineStr">
        <is>
          <t>1) STEP 1: 공종별 세부 시공 방법 및 절차서 작성: 공조, 배관, 덕트, 소방, 자동제어 작업 기준
2) STEP 2: 자재 시험 및 품질관리 계획서 수립: 수압시험, 기밀시험, 비파괴검사(NDT) 빈도 확정</t>
        </is>
      </c>
      <c r="P9" s="76">
        <f>HYPERLINK(LEFT(CELL("filename",A1),FIND("[",CELL("filename",A1))-1)&amp;"10.기계분야\8_기계설비 시공계획서 수립\수행지침\8_기계설비 시공계획서 수립_수행지침.html", "👉 [클릭] 수행지침 열기 📄")</f>
        <v/>
      </c>
      <c r="Q9" s="26" t="inlineStr">
        <is>
          <t>1) 시공 방법 기술 시방 및 공조/위생/소방/오폐수/승강기 공종별 시공 절차 기준을 100% 충족하였는가?
2) 용접 절차서(WPS) 검측 및 불합격 요소를 전면 차단하였는가?</t>
        </is>
      </c>
      <c r="R9" s="77">
        <f>HYPERLINK(LEFT(CELL("filename",A1),FIND("[",CELL("filename",A1))-1)&amp;"10.기계분야\8_기계설비 시공계획서 수립\체크리스트\8_기계설비 시공계획서 수립_체크리스트.html", "👉 [클릭] 체크리스트 열기 📄")</f>
        <v/>
      </c>
      <c r="S9" s="22" t="inlineStr">
        <is>
          <t>기계·소방 복합 시방 준수</t>
        </is>
      </c>
      <c r="T9" s="74" t="inlineStr">
        <is>
          <t>● KDS 47 철도설계기준, KCS 41 건축기계시방 및 NFTC/NFPC 화재안전기술기준 100% 준수</t>
        </is>
      </c>
      <c r="U9" s="73" t="inlineStr">
        <is>
          <t>1) 👉 [더블클릭] 체크리스트 열기 📄</t>
        </is>
      </c>
      <c r="V9" s="25" t="inlineStr">
        <is>
          <t>기계설비·소방 전문 감리 및 시공 기술자문단 상시 운영</t>
        </is>
      </c>
    </row>
    <row r="10" ht="48" customHeight="1">
      <c r="A10" s="17" t="inlineStr">
        <is>
          <t>9000</t>
        </is>
      </c>
      <c r="B10" s="17" t="inlineStr">
        <is>
          <t>9000-8</t>
        </is>
      </c>
      <c r="C10" s="17" t="inlineStr">
        <is>
          <t>기계설비·소방설비</t>
        </is>
      </c>
      <c r="D10" s="17" t="inlineStr">
        <is>
          <t>9000-8-9</t>
        </is>
      </c>
      <c r="E10" s="17" t="inlineStr">
        <is>
          <t>9000-8-8</t>
        </is>
      </c>
      <c r="F10" s="17" t="inlineStr">
        <is>
          <t>9000-8-10</t>
        </is>
      </c>
      <c r="G10" s="17" t="inlineStr">
        <is>
          <t>주요 기계_소방 기자재 검수</t>
        </is>
      </c>
      <c r="H10" s="17" t="inlineStr">
        <is>
          <t>D-93</t>
        </is>
      </c>
      <c r="I10" s="17" t="inlineStr">
        <is>
          <t>기계/소방팀</t>
        </is>
      </c>
      <c r="J10" s="16" t="inlineStr">
        <is>
          <t>배관, 밸브, 펌프 등 주요 기계·소방 기자재의 KS/KFI 규격 검증 및 공장 시험(FAT) 수행</t>
        </is>
      </c>
      <c r="K10" s="33" t="inlineStr">
        <is>
          <t>1) STEP 1 (공장검수 FAT 실시): 인버터 부스터펌프, 공조기 공장을 방문하여 모터 효율, 정격 양정·유량, 소음·진동 시험 입회
2) STEP 2 (자재 현장 반입 검수): 밀시트(Mill Sheet), KS/KFI 인증서 확인 및 STS 강관 두께·진원도 마이크로미터 정밀 검측
3) STEP 3 (자재 보관 및 불합격 통제): 배관 단부 보호캡 체결, 옥내 전용 적치장 보관 및 불합격 자재 24시간 이내 반출 조치</t>
        </is>
      </c>
      <c r="L10" s="17" t="inlineStr">
        <is>
          <t>주요 기계_소방 기자재 검수 시공계획서, 검측요청서 및 공인 시험성적서</t>
        </is>
      </c>
      <c r="M10" s="26" t="inlineStr">
        <is>
          <t>1) 주요 기계_소방 기자재 검수 (9000-8-9) 과업 달성을 위해 KDS 47 철도설계기준 및 NFTC 화재안전기준을 100% 충족한다.
2) STS 강관(KSD 3576/3595), 인버터 부스터펌프, 호스릴 소화전함 KS 규격 및 공장검수(FAT)을 엄격히 완수하여 책임감리원 최종 승인을 획득한다.</t>
        </is>
      </c>
      <c r="N10" s="75">
        <f>HYPERLINK(LEFT(CELL("filename",A1),FIND("[",CELL("filename",A1))-1)&amp;"10.기계분야\9_주요 기계_소방 기자재 검수\표준서\9_주요 기계_소방 기자재 검수_표준서.html", "👉 [클릭] 표준서 열기 📄")</f>
        <v/>
      </c>
      <c r="O10" s="26" t="inlineStr">
        <is>
          <t>1) STEP 1: 자재 공급원 승인 요청서(MAR) 접수 및 검토: 제조사 공장등록증, KS인증서, 시험성적서
2) STEP 2: 주요 대형 장비 공장검수(FAT) 수행: 공조기, 부스터펌프 제작 공장 방문 입회 시험</t>
        </is>
      </c>
      <c r="P10" s="76">
        <f>HYPERLINK(LEFT(CELL("filename",A1),FIND("[",CELL("filename",A1))-1)&amp;"10.기계분야\9_주요 기계_소방 기자재 검수\수행지침\9_주요 기계_소방 기자재 검수_수행지침.html", "👉 [클릭] 수행지침 열기 📄")</f>
        <v/>
      </c>
      <c r="Q10" s="26" t="inlineStr">
        <is>
          <t>1) STS 강관 검수 시방 및 KSD 3576(배관용), KSD 3595(일반배관용) 두께/외경 기준을 100% 충족하였는가?
2) 부스터펌프 검수 검측 및 불합격 요소를 전면 차단하였는가?</t>
        </is>
      </c>
      <c r="R10" s="77">
        <f>HYPERLINK(LEFT(CELL("filename",A1),FIND("[",CELL("filename",A1))-1)&amp;"10.기계분야\9_주요 기계_소방 기자재 검수\체크리스트\9_주요 기계_소방 기자재 검수_체크리스트.html", "👉 [클릭] 체크리스트 열기 📄")</f>
        <v/>
      </c>
      <c r="S10" s="22" t="inlineStr">
        <is>
          <t>기계·소방 복합 시방 준수</t>
        </is>
      </c>
      <c r="T10" s="74" t="inlineStr">
        <is>
          <t>● KDS 47 철도설계기준, KCS 41 건축기계시방 및 NFTC/NFPC 화재안전기술기준 100% 준수</t>
        </is>
      </c>
      <c r="U10" s="73" t="inlineStr">
        <is>
          <t>1) 👉 [더블클릭] 체크리스트 열기 📄</t>
        </is>
      </c>
      <c r="V10" s="25" t="inlineStr">
        <is>
          <t>기계설비·소방 전문 감리 및 시공 기술자문단 상시 운영</t>
        </is>
      </c>
    </row>
    <row r="11" ht="48" customHeight="1">
      <c r="A11" s="17" t="inlineStr">
        <is>
          <t>9000</t>
        </is>
      </c>
      <c r="B11" s="17" t="inlineStr">
        <is>
          <t>9000-8</t>
        </is>
      </c>
      <c r="C11" s="17" t="inlineStr">
        <is>
          <t>기계설비·소방설비</t>
        </is>
      </c>
      <c r="D11" s="17" t="inlineStr">
        <is>
          <t>9000-8-10</t>
        </is>
      </c>
      <c r="E11" s="17" t="inlineStr">
        <is>
          <t>9000-8-9</t>
        </is>
      </c>
      <c r="F11" s="17" t="inlineStr">
        <is>
          <t>9000-8-11</t>
        </is>
      </c>
      <c r="G11" s="17" t="inlineStr">
        <is>
          <t>방화구획 내화채움구조 시공</t>
        </is>
      </c>
      <c r="H11" s="17" t="inlineStr">
        <is>
          <t>D-90</t>
        </is>
      </c>
      <c r="I11" s="17" t="inlineStr">
        <is>
          <t>기계/소방팀</t>
        </is>
      </c>
      <c r="J11" s="16" t="inlineStr">
        <is>
          <t>콘크리트 골조 타설 전 관통 슬리브 선매립 및 2시간 차열·차염 내화채움구조 시공</t>
        </is>
      </c>
      <c r="K11" s="33" t="inlineStr">
        <is>
          <t>1) STEP 1 (골조 슬리브 선매립): 구조체 철근 배근 시 배관경 대비 1~2규격 큰 강관/PVC 슬리브 설치 및 단단히 고정
2) STEP 2 (관통 틈새 내화충진): 배관 설치 후 슬리브 틈새에 고밀도 미네랄울(밀도 ≥ 100kg/㎥) 충진 및 방화실란트 15mm 도포
3) STEP 3 (내화성능 확인): 공인기관 2시간 차열·차염 성적서 확인 및 우레탄폼 등 가연성 자재 사용 전면 금지 검측</t>
        </is>
      </c>
      <c r="L11" s="17" t="inlineStr">
        <is>
          <t>방화구획 내화채움구조 시공 시공계획서, 검측요청서 및 공인 시험성적서</t>
        </is>
      </c>
      <c r="M11" s="26" t="inlineStr">
        <is>
          <t>1) 방화구획 내화채움구조 시공 (9000-8-10) 과업 달성을 위해 KDS 47 철도설계기준 및 NFTC 화재안전기준을 100% 충족한다.
2) 슬래브 및 방화벽체 관통 덕트·배관 틈새 법정 공인 내화충진재 100% 밀폐 시공을 엄격히 완수하여 책임감리원 최종 승인을 획득한다.</t>
        </is>
      </c>
      <c r="N11" s="75">
        <f>HYPERLINK(LEFT(CELL("filename",A1),FIND("[",CELL("filename",A1))-1)&amp;"10.기계분야\10_방화구획 내화채움구조 시공\표준서\10_방화구획 내화채움구조 시공_표준서.html", "👉 [클릭] 표준서 열기 📄")</f>
        <v/>
      </c>
      <c r="O11" s="26" t="inlineStr">
        <is>
          <t>1) STEP 1: 관통부 틈새 청소 및 공인 내화구조 매핑: 슬리브 내부 이물질, 분진 제거 및 성적서 대조
2) STEP 2: 내부 불연재(미네랄울) 고밀도 충진: 규정 밀도(100kg/㎥ 이상) 준수 다짐 충진</t>
        </is>
      </c>
      <c r="P11" s="76">
        <f>HYPERLINK(LEFT(CELL("filename",A1),FIND("[",CELL("filename",A1))-1)&amp;"10.기계분야\10_방화구획 내화채움구조 시공\수행지침\10_방화구획 내화채움구조 시공_수행지침.html", "👉 [클릭] 수행지침 열기 📄")</f>
        <v/>
      </c>
      <c r="Q11" s="26" t="inlineStr">
        <is>
          <t>1) 공인 성적서 확인 시방 및 한국건설기술연구원 인정 내화채움구조 성적서 기준을 100% 충족하였는가?
2) 암면/미네랄울 충진 검측 및 불합격 요소를 전면 차단하였는가?</t>
        </is>
      </c>
      <c r="R11" s="77">
        <f>HYPERLINK(LEFT(CELL("filename",A1),FIND("[",CELL("filename",A1))-1)&amp;"10.기계분야\10_방화구획 내화채움구조 시공\체크리스트\10_방화구획 내화채움구조 시공_체크리스트.html", "👉 [클릭] 체크리스트 열기 📄")</f>
        <v/>
      </c>
      <c r="S11" s="22" t="inlineStr">
        <is>
          <t>기계·소방 복합 시방 준수</t>
        </is>
      </c>
      <c r="T11" s="74" t="inlineStr">
        <is>
          <t>● KDS 47 철도설계기준, KCS 41 건축기계시방 및 NFTC/NFPC 화재안전기술기준 100% 준수</t>
        </is>
      </c>
      <c r="U11" s="73" t="inlineStr">
        <is>
          <t>1) 👉 [더블클릭] 체크리스트 열기 📄</t>
        </is>
      </c>
      <c r="V11" s="25" t="inlineStr">
        <is>
          <t>기계설비·소방 전문 감리 및 시공 기술자문단 상시 운영</t>
        </is>
      </c>
    </row>
    <row r="12" ht="48" customHeight="1">
      <c r="A12" s="17" t="inlineStr">
        <is>
          <t>9000</t>
        </is>
      </c>
      <c r="B12" s="17" t="inlineStr">
        <is>
          <t>9000-8</t>
        </is>
      </c>
      <c r="C12" s="17" t="inlineStr">
        <is>
          <t>기계설비·소방설비</t>
        </is>
      </c>
      <c r="D12" s="17" t="inlineStr">
        <is>
          <t>9000-8-11</t>
        </is>
      </c>
      <c r="E12" s="17" t="inlineStr">
        <is>
          <t>9000-8-10</t>
        </is>
      </c>
      <c r="F12" s="17" t="inlineStr">
        <is>
          <t>9000-8-12</t>
        </is>
      </c>
      <c r="G12" s="17" t="inlineStr">
        <is>
          <t>선로전환기 배수공동구 연계</t>
        </is>
      </c>
      <c r="H12" s="17" t="inlineStr">
        <is>
          <t>D-87</t>
        </is>
      </c>
      <c r="I12" s="17" t="inlineStr">
        <is>
          <t>기계/소방팀</t>
        </is>
      </c>
      <c r="J12" s="16" t="inlineStr">
        <is>
          <t>본선 및 차량기지 143개소 선로전환기 하부 배수관로 선시공으로 동절기 결빙 및 침수 방지</t>
        </is>
      </c>
      <c r="K12" s="34" t="inlineStr">
        <is>
          <t>1) STEP 1 (드레인 피트 가설): 선로전환기 구동부 하부에 침전 드레인 피트 및 STS 타공 스트레이너 설치
2) STEP 2 (횡단 배수관로 연결): 도상 횡단 배수관(D100/150)을 자연유하 구배(i ≥ 1.0%)로 선로변 주 집수정까지 직결
3) STEP 3 (궤도 타설 전 통수시험): 궤도 콘크리트 타설 전 통수 및 수압시험을 실시하여 관로 막힘 및 누수 0건 최종 확인</t>
        </is>
      </c>
      <c r="L12" s="17" t="inlineStr">
        <is>
          <t>선로전환기 배수공동구 연계 시공계획서, 검측요청서 및 공인 시험성적서</t>
        </is>
      </c>
      <c r="M12" s="26" t="inlineStr">
        <is>
          <t>1) 선로전환기 배수공동구 연계 (9000-8-11) 과업 달성을 위해 KDS 47 철도설계기준 및 NFTC 화재안전기준을 100% 충족한다.
2) 본선 및 차량기지 143개소 선로전환기 및 Axle Counter 하부 배수관로 공동구 선시공을 엄격히 완수하여 책임감리원 최종 승인을 획득한다.</t>
        </is>
      </c>
      <c r="N12" s="75">
        <f>HYPERLINK(LEFT(CELL("filename",A1),FIND("[",CELL("filename",A1))-1)&amp;"10.기계분야\11_선로전환기 배수공동구 연계\표준서\11_선로전환기 배수공동구 연계_표준서.html", "👉 [클릭] 표준서 열기 📄")</f>
        <v/>
      </c>
      <c r="O12" s="26" t="inlineStr">
        <is>
          <t>1) STEP 1: 신호·궤도팀 합동 분기기 143개소 좌표 실측: 선로전환기 하부 배수구 위치 3D 확정
2) STEP 2: 횡단 배수관로 매설 및 지지틀 고정: D100/150 고강도 배수관 가설 및 앵커링</t>
        </is>
      </c>
      <c r="P12" s="76">
        <f>HYPERLINK(LEFT(CELL("filename",A1),FIND("[",CELL("filename",A1))-1)&amp;"10.기계분야\11_선로전환기 배수공동구 연계\수행지침\11_선로전환기 배수공동구 연계_수행지침.html", "👉 [클릭] 수행지침 열기 📄")</f>
        <v/>
      </c>
      <c r="Q12" s="26" t="inlineStr">
        <is>
          <t>1) 배수관 위치 정합 시방 및 신호 선로전환기 143개소 설치 좌표와 1:1 대조 기준을 100% 충족하였는가?
2) 배수관경 및 재질 검측 및 불합격 요소를 전면 차단하였는가?</t>
        </is>
      </c>
      <c r="R12" s="77">
        <f>HYPERLINK(LEFT(CELL("filename",A1),FIND("[",CELL("filename",A1))-1)&amp;"10.기계분야\11_선로전환기 배수공동구 연계\체크리스트\11_선로전환기 배수공동구 연계_체크리스트.html", "👉 [클릭] 체크리스트 열기 📄")</f>
        <v/>
      </c>
      <c r="S12" s="22" t="inlineStr">
        <is>
          <t>기계·소방 복합 시방 준수</t>
        </is>
      </c>
      <c r="T12" s="74" t="inlineStr">
        <is>
          <t>● KDS 47 철도설계기준, KCS 41 건축기계시방 및 NFTC/NFPC 화재안전기술기준 100% 준수</t>
        </is>
      </c>
      <c r="U12" s="73" t="inlineStr">
        <is>
          <t>1) 👉 [더블클릭] 체크리스트 열기 📄</t>
        </is>
      </c>
      <c r="V12" s="25" t="inlineStr">
        <is>
          <t>기계설비·소방 전문 감리 및 시공 기술자문단 상시 운영</t>
        </is>
      </c>
    </row>
    <row r="13" ht="48" customHeight="1">
      <c r="A13" s="17" t="inlineStr">
        <is>
          <t>9000</t>
        </is>
      </c>
      <c r="B13" s="17" t="inlineStr">
        <is>
          <t>9000-8</t>
        </is>
      </c>
      <c r="C13" s="17" t="inlineStr">
        <is>
          <t>기계설비·소방설비</t>
        </is>
      </c>
      <c r="D13" s="17" t="inlineStr">
        <is>
          <t>9000-8-12</t>
        </is>
      </c>
      <c r="E13" s="17" t="inlineStr">
        <is>
          <t>9000-8-11</t>
        </is>
      </c>
      <c r="F13" s="17" t="inlineStr">
        <is>
          <t>9000-8-13</t>
        </is>
      </c>
      <c r="G13" s="17" t="inlineStr">
        <is>
          <t>소방 기계 전원 간선 연계</t>
        </is>
      </c>
      <c r="H13" s="17" t="inlineStr">
        <is>
          <t>D-84</t>
        </is>
      </c>
      <c r="I13" s="17" t="inlineStr">
        <is>
          <t>기계/소방팀</t>
        </is>
      </c>
      <c r="J13" s="16" t="inlineStr">
        <is>
          <t>소방펌프, 제연팬 등 소방설비의 10초 이내 비상전원 절환 및 NFR-8 내화배선 무중단 공급</t>
        </is>
      </c>
      <c r="K13" s="34" t="inlineStr">
        <is>
          <t>1) STEP 1 (비상전원 ATS 연계): 상용전원 정전 시 10초 이내 비상발전기 전원으로 자동 절환되는 ATS 인터록 구축
2) STEP 2 (NFR-8 내화케이블 포설): 소방용 동력 간선에 고내열 NFR-8 케이블을 전용 금속관에 단독 배선하여 850℃ 내열 확보
3) STEP 3 (MCC 제어반 세팅): 소방펌프 전용 MCC 제어반의 과부하 트립 기능을 배제(경보만 발생)하여 화재 시 연속 가동 보장</t>
        </is>
      </c>
      <c r="L13" s="17" t="inlineStr">
        <is>
          <t>소방 기계 전원 간선 연계 시공계획서, 검측요청서 및 공인 시험성적서</t>
        </is>
      </c>
      <c r="M13" s="26" t="inlineStr">
        <is>
          <t>1) 소방 기계 전원 간선 연계 (9000-8-12) 과업 달성을 위해 KDS 47 철도설계기준 및 NFTC 화재안전기준을 100% 충족한다.
2) 소방펌프, 제연팬용 전원선로 NFR-8/F-FR-8 내화케이블 적용 및 전기팀 인터페이스을 엄격히 완수하여 책임감리원 최종 승인을 획득한다.</t>
        </is>
      </c>
      <c r="N13" s="75">
        <f>HYPERLINK(LEFT(CELL("filename",A1),FIND("[",CELL("filename",A1))-1)&amp;"10.기계분야\12_소방 기계 전원 간선 연계\표준서\12_소방 기계 전원 간선 연계_표준서.html", "👉 [클릭] 표준서 열기 📄")</f>
        <v/>
      </c>
      <c r="O13" s="26" t="inlineStr">
        <is>
          <t>1) STEP 1: 소방 기계 부하 용량(kW) 산정 및 전기팀 통보: 소방펌프, 충압펌프, 제연팬 기동 전류 대조
2) STEP 2: NFR-8 고내열 내화케이블 전용 관로 시공: 일반 전선과 분리된 내화 배관 가설</t>
        </is>
      </c>
      <c r="P13" s="76">
        <f>HYPERLINK(LEFT(CELL("filename",A1),FIND("[",CELL("filename",A1))-1)&amp;"10.기계분야\12_소방 기계 전원 간선 연계\수행지침\12_소방 기계 전원 간선 연계_수행지침.html", "👉 [클릭] 수행지침 열기 📄")</f>
        <v/>
      </c>
      <c r="Q13" s="26" t="inlineStr">
        <is>
          <t>1) 내화케이블 규격 시방 및 KS C IEC 60331 내화성능 공인 인증(NFR-8/F-FR-8) 기준을 100% 충족하였는가?
2) 소방 간선 전용화 검측 및 불합격 요소를 전면 차단하였는가?</t>
        </is>
      </c>
      <c r="R13" s="77">
        <f>HYPERLINK(LEFT(CELL("filename",A1),FIND("[",CELL("filename",A1))-1)&amp;"10.기계분야\12_소방 기계 전원 간선 연계\체크리스트\12_소방 기계 전원 간선 연계_체크리스트.html", "👉 [클릭] 체크리스트 열기 📄")</f>
        <v/>
      </c>
      <c r="S13" s="22" t="inlineStr">
        <is>
          <t>기계·소방 복합 시방 준수</t>
        </is>
      </c>
      <c r="T13" s="74" t="inlineStr">
        <is>
          <t>● KDS 47 철도설계기준, KCS 41 건축기계시방 및 NFTC/NFPC 화재안전기술기준 100% 준수</t>
        </is>
      </c>
      <c r="U13" s="73" t="inlineStr">
        <is>
          <t>1) 👉 [더블클릭] 체크리스트 열기 📄</t>
        </is>
      </c>
      <c r="V13" s="25" t="inlineStr">
        <is>
          <t>기계설비·소방 전문 감리 및 시공 기술자문단 상시 운영</t>
        </is>
      </c>
    </row>
    <row r="14" ht="48" customHeight="1">
      <c r="A14" s="17" t="inlineStr">
        <is>
          <t>9000</t>
        </is>
      </c>
      <c r="B14" s="17" t="inlineStr">
        <is>
          <t>9000-8</t>
        </is>
      </c>
      <c r="C14" s="17" t="inlineStr">
        <is>
          <t>기계설비·소방설비</t>
        </is>
      </c>
      <c r="D14" s="17" t="inlineStr">
        <is>
          <t>9000-8-13</t>
        </is>
      </c>
      <c r="E14" s="17" t="inlineStr">
        <is>
          <t>9000-8-12</t>
        </is>
      </c>
      <c r="F14" s="17" t="inlineStr">
        <is>
          <t>9000-8-14</t>
        </is>
      </c>
      <c r="G14" s="17" t="inlineStr">
        <is>
          <t>저수조 사수방지 흡입배관</t>
        </is>
      </c>
      <c r="H14" s="17" t="inlineStr">
        <is>
          <t>D-81</t>
        </is>
      </c>
      <c r="I14" s="17" t="inlineStr">
        <is>
          <t>기계/소방팀</t>
        </is>
      </c>
      <c r="J14" s="16" t="inlineStr">
        <is>
          <t>위생적인 STS304 패널형 저수조 설치, 생활용수 사수 방지 배관 및 소화수 유효용량 상시 확보</t>
        </is>
      </c>
      <c r="K14" s="34" t="inlineStr">
        <is>
          <t>1) STEP 1 (STS 패널 조립 용접): STS304 패널 아르곤(TIG) 용접 조립 후 액체침투탐상(PT)으로 용접부 결함 100% 색출
2) STEP 2 (사수방지 흡입배관 분리): 급수펌프 흡입관은 소화수위 상단에, 소방펌프 흡입관은 바닥 최하단에 분리 배치
3) STEP 3 (만수 수밀시험): 저수조 만수 후 24시간 동안 수위 강하 및 외부 누수 유무를 정밀 측정하여 감리단 합격 승인</t>
        </is>
      </c>
      <c r="L14" s="17" t="inlineStr">
        <is>
          <t>저수조 사수방지 흡입배관 시공계획서, 검측요청서 및 공인 시험성적서</t>
        </is>
      </c>
      <c r="M14" s="26" t="inlineStr">
        <is>
          <t>1) 저수조 사수방지 흡입배관 (9000-8-13) 과업 달성을 위해 KDS 47 철도설계기준 및 NFTC 화재안전기준을 100% 충족한다.
2) 소화용수 유효수위 상향 흡입배관 및 중앙 1개소 칸막이 적용 위생수질 오염 원천 방지을 엄격히 완수하여 책임감리원 최종 승인을 획득한다.</t>
        </is>
      </c>
      <c r="N14" s="75">
        <f>HYPERLINK(LEFT(CELL("filename",A1),FIND("[",CELL("filename",A1))-1)&amp;"10.기계분야\13_저수조 사수방지 흡입배관\표준서\13_저수조 사수방지 흡입배관_표준서.html", "👉 [클릭] 표준서 열기 📄")</f>
        <v/>
      </c>
      <c r="O14" s="26" t="inlineStr">
        <is>
          <t>1) STEP 1: 저수조 용량 및 소화수 유효수위 계산: 위생수량과 법정 소화수량(옥내소화전/스프링클러) 분리
2) STEP 2: STS 패널형 저수조 조립 및 칸막이 가설: 용접부 비파괴검사 및 내식 보강</t>
        </is>
      </c>
      <c r="P14" s="76">
        <f>HYPERLINK(LEFT(CELL("filename",A1),FIND("[",CELL("filename",A1))-1)&amp;"10.기계분야\13_저수조 사수방지 흡입배관\수행지침\13_저수조 사수방지 흡입배관_수행지침.html", "👉 [클릭] 수행지침 열기 📄")</f>
        <v/>
      </c>
      <c r="Q14" s="26" t="inlineStr">
        <is>
          <t>1) 흡입배관 레벨 시방 및 급수펌프 흡입관 최저점을 소화수 유효높이 상단에 배치 기준을 100% 충족하였는가?
2) 사수방지 칸막이 검측 및 불합격 요소를 전면 차단하였는가?</t>
        </is>
      </c>
      <c r="R14" s="77">
        <f>HYPERLINK(LEFT(CELL("filename",A1),FIND("[",CELL("filename",A1))-1)&amp;"10.기계분야\13_저수조 사수방지 흡입배관\체크리스트\13_저수조 사수방지 흡입배관_체크리스트.html", "👉 [클릭] 체크리스트 열기 📄")</f>
        <v/>
      </c>
      <c r="S14" s="22" t="inlineStr">
        <is>
          <t>기계·소방 복합 시방 준수</t>
        </is>
      </c>
      <c r="T14" s="74" t="inlineStr">
        <is>
          <t>● KDS 47 철도설계기준, KCS 41 건축기계시방 및 NFTC/NFPC 화재안전기술기준 100% 준수</t>
        </is>
      </c>
      <c r="U14" s="73" t="inlineStr">
        <is>
          <t>1) 👉 [더블클릭] 체크리스트 열기 📄</t>
        </is>
      </c>
      <c r="V14" s="25" t="inlineStr">
        <is>
          <t>기계설비·소방 전문 감리 및 시공 기술자문단 상시 운영</t>
        </is>
      </c>
    </row>
    <row r="15" ht="48" customHeight="1">
      <c r="A15" s="17" t="inlineStr">
        <is>
          <t>9000</t>
        </is>
      </c>
      <c r="B15" s="17" t="inlineStr">
        <is>
          <t>9000-8</t>
        </is>
      </c>
      <c r="C15" s="17" t="inlineStr">
        <is>
          <t>기계설비·소방설비</t>
        </is>
      </c>
      <c r="D15" s="17" t="inlineStr">
        <is>
          <t>9000-8-14</t>
        </is>
      </c>
      <c r="E15" s="17" t="inlineStr">
        <is>
          <t>9000-8-13</t>
        </is>
      </c>
      <c r="F15" s="17" t="inlineStr">
        <is>
          <t>9000-8-15</t>
        </is>
      </c>
      <c r="G15" s="17" t="inlineStr">
        <is>
          <t>지열 신재생에너지 배관 매설</t>
        </is>
      </c>
      <c r="H15" s="17" t="inlineStr">
        <is>
          <t>D-78</t>
        </is>
      </c>
      <c r="I15" s="17" t="inlineStr">
        <is>
          <t>기계/소방팀</t>
        </is>
      </c>
      <c r="J15" s="16" t="inlineStr">
        <is>
          <t>수직 밀폐형 지열 U-Tube(심도 150m) 시공 및 친환경 지열 히트펌프 연계 열교환 극대화</t>
        </is>
      </c>
      <c r="K15" s="34" t="inlineStr">
        <is>
          <t>1) STEP 1 (천공 및 U-Tube 삽입): 직경 150mm x 심도 150m 천공 후 고밀도 PE 파이프(KSM 3408, SDR11) U-Tube 삽입
2) STEP 2 (열전도 그라우팅): 천공 하부부터 지표면까지 벤토나이트 혼합 그라우트재(열전도도 ≥ 1.8 W/m·K)를 가압 연속 주입
3) STEP 3 (수압시험 및 헤더 연결): 1.0 MPa 수압으로 2시간 동안 압력 유지 확인 후 기계실 지열 헤더 매니폴드 연결</t>
        </is>
      </c>
      <c r="L15" s="17" t="inlineStr">
        <is>
          <t>지열 신재생에너지 배관 매설 시공계획서, 검측요청서 및 공인 시험성적서</t>
        </is>
      </c>
      <c r="M15" s="26" t="inlineStr">
        <is>
          <t>1) 지열 신재생에너지 배관 매설 (9000-8-14) 과업 달성을 위해 KDS 47 철도설계기준 및 NFTC 화재안전기준을 100% 충족한다.
2) 옥외 지열 천공(150~200m), 고밀도 PE관(KSM 3408) 열교환기 융착 및 1.0MPa 수압시험을 엄격히 완수하여 책임감리원 최종 승인을 획득한다.</t>
        </is>
      </c>
      <c r="N15" s="75">
        <f>HYPERLINK(LEFT(CELL("filename",A1),FIND("[",CELL("filename",A1))-1)&amp;"10.기계분야\14_지열 신재생에너지 배관 매설\표준서\14_지열 신재생에너지 배관 매설_표준서.html", "👉 [클릭] 표준서 열기 📄")</f>
        <v/>
      </c>
      <c r="O15" s="26" t="inlineStr">
        <is>
          <t>1) STEP 1: 지열 천공 지점 측량 및 천공기 가설: 지하 지장물 이격거리 확보 및 지중 천공
2) STEP 2: U-Tube PE 열교환관 조립 및 1차 수압시험: U-Bend 헤드 융착 및 지상 수압 검측</t>
        </is>
      </c>
      <c r="P15" s="76">
        <f>HYPERLINK(LEFT(CELL("filename",A1),FIND("[",CELL("filename",A1))-1)&amp;"10.기계분야\14_지열 신재생에너지 배관 매설\수행지침\14_지열 신재생에너지 배관 매설_수행지침.html", "👉 [클릭] 수행지침 열기 📄")</f>
        <v/>
      </c>
      <c r="Q15" s="26" t="inlineStr">
        <is>
          <t>1) 지열 천공 심도 시방 및 지중 150~200m 수직 천공 및 공벽 붕괴 방지 기준을 100% 충족하였는가?
2) PE관 재질 검측 및 불합격 요소를 전면 차단하였는가?</t>
        </is>
      </c>
      <c r="R15" s="77">
        <f>HYPERLINK(LEFT(CELL("filename",A1),FIND("[",CELL("filename",A1))-1)&amp;"10.기계분야\14_지열 신재생에너지 배관 매설\체크리스트\14_지열 신재생에너지 배관 매설_체크리스트.html", "👉 [클릭] 체크리스트 열기 📄")</f>
        <v/>
      </c>
      <c r="S15" s="22" t="inlineStr">
        <is>
          <t>기계·소방 복합 시방 준수</t>
        </is>
      </c>
      <c r="T15" s="74" t="inlineStr">
        <is>
          <t>● KDS 47 철도설계기준, KCS 41 건축기계시방 및 NFTC/NFPC 화재안전기술기준 100% 준수</t>
        </is>
      </c>
      <c r="U15" s="73" t="inlineStr">
        <is>
          <t>1) 👉 [더블클릭] 체크리스트 열기 📄</t>
        </is>
      </c>
      <c r="V15" s="25" t="inlineStr">
        <is>
          <t>기계설비·소방 전문 감리 및 시공 기술자문단 상시 운영</t>
        </is>
      </c>
    </row>
    <row r="16" ht="48" customHeight="1">
      <c r="A16" s="17" t="inlineStr">
        <is>
          <t>9000</t>
        </is>
      </c>
      <c r="B16" s="17" t="inlineStr">
        <is>
          <t>9000-8</t>
        </is>
      </c>
      <c r="C16" s="17" t="inlineStr">
        <is>
          <t>기계설비·소방설비</t>
        </is>
      </c>
      <c r="D16" s="17" t="inlineStr">
        <is>
          <t>9000-8-15</t>
        </is>
      </c>
      <c r="E16" s="17" t="inlineStr">
        <is>
          <t>9000-8-14</t>
        </is>
      </c>
      <c r="F16" s="17" t="inlineStr">
        <is>
          <t>9000-8-16</t>
        </is>
      </c>
      <c r="G16" s="17" t="inlineStr">
        <is>
          <t>정거장_변전소 환기덕트 시공</t>
        </is>
      </c>
      <c r="H16" s="17" t="inlineStr">
        <is>
          <t>D-75</t>
        </is>
      </c>
      <c r="I16" s="17" t="inlineStr">
        <is>
          <t>기계/소방팀</t>
        </is>
      </c>
      <c r="J16" s="16" t="inlineStr">
        <is>
          <t>변전실 1종 급기가압(10회/h, 실온 ≤40℃) 및 화장실 3종 음압 환기, 역류방지(B.D.D) 구축</t>
        </is>
      </c>
      <c r="K16" s="34" t="inlineStr">
        <is>
          <t>1) STEP 1 (아연도강판 덕트 제작): KCS 41 시방 기준에 따라 아연도강판(GI) 피츠버그 록 성형 및 기밀 실링 시공
2) STEP 2 (방진행거 및 댐퍼 취부): 덕트 하중 지지를 위한 방진스프링 행거(간격 ≤ 2.0m) 및 역류방지 댐퍼(B.D.D) 체결
3) STEP 3 (덕트 누기시험): 연기발생기 및 차압계를 이용하여 허용 누기량(클래스 3 이하) 만족 여부 정밀 측정</t>
        </is>
      </c>
      <c r="L16" s="17" t="inlineStr">
        <is>
          <t>정거장_변전소 환기덕트 시공 시공계획서, 검측요청서 및 공인 시험성적서</t>
        </is>
      </c>
      <c r="M16" s="26" t="inlineStr">
        <is>
          <t>1) 정거장_변전소 환기덕트 시공 (9000-8-15) 과업 달성을 위해 KDS 47 철도설계기준 및 NFTC 화재안전기준을 100% 충족한다.
2) 전기실 1종 정압(10회/h, 실온≤40℃), 화장실 3종 음압(15~20회/h) 및 B.D.D 기류역류방지댐퍼을 엄격히 완수하여 책임감리원 최종 승인을 획득한다.</t>
        </is>
      </c>
      <c r="N16" s="75">
        <f>HYPERLINK(LEFT(CELL("filename",A1),FIND("[",CELL("filename",A1))-1)&amp;"10.기계분야\15_정거장_변전소 환기덕트 시공\표준서\15_정거장_변전소 환기덕트 시공_표준서.html", "👉 [클릭] 표준서 열기 📄")</f>
        <v/>
      </c>
      <c r="O16" s="26" t="inlineStr">
        <is>
          <t>1) STEP 1: 덕트 제작 치수 검수 및 아연도금강판 가공: 자동 절단/절곡기를 통한 각형 덕트 정밀 제작
2) STEP 2: 풍도 댐퍼 및 B.D.D 기류역류방지댐퍼 조립: 외기 침입 차단 및 풍량 조절 장치 가설</t>
        </is>
      </c>
      <c r="P16" s="76">
        <f>HYPERLINK(LEFT(CELL("filename",A1),FIND("[",CELL("filename",A1))-1)&amp;"10.기계분야\15_정거장_변전소 환기덕트 시공\수행지침\15_정거장_변전소 환기덕트 시공_수행지침.html", "👉 [클릭] 수행지침 열기 📄")</f>
        <v/>
      </c>
      <c r="Q16" s="26" t="inlineStr">
        <is>
          <t>1) 덕트 판두께 시방 및 아연도금강판(KSD 3506) 장변 크기별 규격 두께 준수 기준을 100% 충족하였는가?
2) 기류역류방지댐퍼 검측 및 불합격 요소를 전면 차단하였는가?</t>
        </is>
      </c>
      <c r="R16" s="77">
        <f>HYPERLINK(LEFT(CELL("filename",A1),FIND("[",CELL("filename",A1))-1)&amp;"10.기계분야\15_정거장_변전소 환기덕트 시공\체크리스트\15_정거장_변전소 환기덕트 시공_체크리스트.html", "👉 [클릭] 체크리스트 열기 📄")</f>
        <v/>
      </c>
      <c r="S16" s="22" t="inlineStr">
        <is>
          <t>기계·소방 복합 시방 준수</t>
        </is>
      </c>
      <c r="T16" s="74" t="inlineStr">
        <is>
          <t>● KDS 47 철도설계기준, KCS 41 건축기계시방 및 NFTC/NFPC 화재안전기술기준 100% 준수</t>
        </is>
      </c>
      <c r="U16" s="73" t="inlineStr">
        <is>
          <t>1) 👉 [더블클릭] 체크리스트 열기 📄</t>
        </is>
      </c>
      <c r="V16" s="25" t="inlineStr">
        <is>
          <t>기계설비·소방 전문 감리 및 시공 기술자문단 상시 운영</t>
        </is>
      </c>
    </row>
    <row r="17" ht="48" customHeight="1">
      <c r="A17" s="17" t="inlineStr">
        <is>
          <t>9000</t>
        </is>
      </c>
      <c r="B17" s="17" t="inlineStr">
        <is>
          <t>9000-8</t>
        </is>
      </c>
      <c r="C17" s="17" t="inlineStr">
        <is>
          <t>기계설비·소방설비</t>
        </is>
      </c>
      <c r="D17" s="17" t="inlineStr">
        <is>
          <t>9000-8-16</t>
        </is>
      </c>
      <c r="E17" s="17" t="inlineStr">
        <is>
          <t>9000-8-15</t>
        </is>
      </c>
      <c r="F17" s="17" t="inlineStr">
        <is>
          <t>9000-8-17</t>
        </is>
      </c>
      <c r="G17" s="17" t="inlineStr">
        <is>
          <t>고내열(250℃) 제연팬_풍도</t>
        </is>
      </c>
      <c r="H17" s="17" t="inlineStr">
        <is>
          <t>D-72</t>
        </is>
      </c>
      <c r="I17" s="17" t="inlineStr">
        <is>
          <t>기계/소방팀</t>
        </is>
      </c>
      <c r="J17" s="16" t="inlineStr">
        <is>
          <t>KFI 공인 250℃ 1시간 연속운전 고내열 제연팬 및 1.5mm 내화풍도 시공으로 화재 유독가스 배출</t>
        </is>
      </c>
      <c r="K17" s="34" t="inlineStr">
        <is>
          <t>1) STEP 1 (고내열 제연팬 거치): KFI 250℃/1h 내열인증 H종 절연 제연팬을 방진 스프링 베이스 위에 수평 거치
2) STEP 2 (내화 제연덕트 체결): 1.5mm 이상 두꺼운 강판 덕트에 1,000℃ 세라믹 불연 가스켓을 삽입하여 고장력 볼트 체결
3) STEP 3 (내진 브레이싱 및 기동 시험): 종·횡방향 내진 버팀대(간격 9m/4.5m) 시공 후 화재 신호 수신 시 30초 내 기동 검증</t>
        </is>
      </c>
      <c r="L17" s="17" t="inlineStr">
        <is>
          <t>고내열(250℃) 제연팬_풍도 시공계획서, 검측요청서 및 공인 시험성적서</t>
        </is>
      </c>
      <c r="M17" s="26" t="inlineStr">
        <is>
          <t>1) 고내열(250℃) 제연팬_풍도 (9000-8-16) 과업 달성을 위해 KDS 47 철도설계기준 및 NFTC 화재안전기준을 100% 충족한다.
2) 최고 250℃에서 1시간 이상 연속운전 공인 내열 제연팬, 풍도 댐퍼 및 고내열 캔버스 가설을 엄격히 완수하여 책임감리원 최종 승인을 획득한다.</t>
        </is>
      </c>
      <c r="N17" s="75">
        <f>HYPERLINK(LEFT(CELL("filename",A1),FIND("[",CELL("filename",A1))-1)&amp;"10.기계분야\16_고내열(250℃) 제연팬_풍도\표준서\16_고내열(250℃) 제연팬_풍도_표준서.html", "👉 [클릭] 표준서 열기 📄")</f>
        <v/>
      </c>
      <c r="O17" s="26" t="inlineStr">
        <is>
          <t>1) STEP 1: 250℃ 고내열 제연팬 사양 검토 및 반입 검수: 내열 모터, KFI 내열 인증서, 블레이드 점검
2) STEP 2: 1.5mm 이상 고강도 제연 풍도 및 내진 지지대 시공: 두꺼운 강판 용접 및 불연 가스켓 체결</t>
        </is>
      </c>
      <c r="P17" s="76">
        <f>HYPERLINK(LEFT(CELL("filename",A1),FIND("[",CELL("filename",A1))-1)&amp;"10.기계분야\16_고내열(250℃) 제연팬_풍도\수행지침\16_고내열(250℃) 제연팬_풍도_수행지침.html", "👉 [클릭] 수행지침 열기 📄")</f>
        <v/>
      </c>
      <c r="Q17" s="26" t="inlineStr">
        <is>
          <t>1) 제연팬 공인인증 시방 및 한국소방산업기술원(KFI) 250℃/1h 내열 성적서 기준을 100% 충족하였는가?
2) 풍도 강판 두께 검측 및 불합격 요소를 전면 차단하였는가?</t>
        </is>
      </c>
      <c r="R17" s="77">
        <f>HYPERLINK(LEFT(CELL("filename",A1),FIND("[",CELL("filename",A1))-1)&amp;"10.기계분야\16_고내열(250℃) 제연팬_풍도\체크리스트\16_고내열(250℃) 제연팬_풍도_체크리스트.html", "👉 [클릭] 체크리스트 열기 📄")</f>
        <v/>
      </c>
      <c r="S17" s="22" t="inlineStr">
        <is>
          <t>기계·소방 복합 시방 준수</t>
        </is>
      </c>
      <c r="T17" s="74" t="inlineStr">
        <is>
          <t>● KDS 47 철도설계기준, KCS 41 건축기계시방 및 NFTC/NFPC 화재안전기술기준 100% 준수</t>
        </is>
      </c>
      <c r="U17" s="73" t="inlineStr">
        <is>
          <t>1) 👉 [더블클릭] 체크리스트 열기 📄</t>
        </is>
      </c>
      <c r="V17" s="25" t="inlineStr">
        <is>
          <t>기계설비·소방 전문 감리 및 시공 기술자문단 상시 운영</t>
        </is>
      </c>
    </row>
    <row r="18" ht="48" customHeight="1">
      <c r="A18" s="17" t="inlineStr">
        <is>
          <t>9000</t>
        </is>
      </c>
      <c r="B18" s="17" t="inlineStr">
        <is>
          <t>9000-8</t>
        </is>
      </c>
      <c r="C18" s="17" t="inlineStr">
        <is>
          <t>기계설비·소방설비</t>
        </is>
      </c>
      <c r="D18" s="17" t="inlineStr">
        <is>
          <t>9000-8-17</t>
        </is>
      </c>
      <c r="E18" s="17" t="inlineStr">
        <is>
          <t>9000-8-16</t>
        </is>
      </c>
      <c r="F18" s="17" t="inlineStr">
        <is>
          <t>9000-8-18</t>
        </is>
      </c>
      <c r="G18" s="17" t="inlineStr">
        <is>
          <t>검수고 국부 냉난방 가설</t>
        </is>
      </c>
      <c r="H18" s="17" t="inlineStr">
        <is>
          <t>D-69</t>
        </is>
      </c>
      <c r="I18" s="17" t="inlineStr">
        <is>
          <t>기계/소방팀</t>
        </is>
      </c>
      <c r="J18" s="16" t="inlineStr">
        <is>
          <t>대공간 검수고 작업자 중심 국부 냉난방(이동식 에어컨/원적외선) 및 변전소 전용 PAC 3대 배치</t>
        </is>
      </c>
      <c r="K18" s="33" t="inlineStr">
        <is>
          <t>1) STEP 1 (변전소 PAC 3대 설치): 변전소별 패키지 에어컨(PAC) 3대를 등간격 배치하고 R-410A 냉매배관 기밀시험(3.8MPa)
2) STEP 2 (검수고 국부 냉난방 가설): 정비 피트 및 작업대 위치에 이동식 플렉시블 토출 에어컨과 고효율 원적외선 난방기 설치
3) STEP 3 (시운전 및 온습도 측정): 실별 자동온도조절기(TC) 세팅 및 24시간 연속 운전을 통해 실온 ≤ 28℃ 유지 성능 검증</t>
        </is>
      </c>
      <c r="L18" s="17" t="inlineStr">
        <is>
          <t>검수고 국부 냉난방 가설 시공계획서, 검측요청서 및 공인 시험성적서</t>
        </is>
      </c>
      <c r="M18" s="26" t="inlineStr">
        <is>
          <t>1) 검수고 국부 냉난방 가설 (9000-8-17) 과업 달성을 위해 KDS 47 철도설계기준 및 NFTC 화재안전기준을 100% 충족한다.
2) 차량기지 종합검수고 대공간 에너지 절감 이동식 에어컨/히터 및 변전실 PAC 가설을 엄격히 완수하여 책임감리원 최종 승인을 획득한다.</t>
        </is>
      </c>
      <c r="N18" s="75">
        <f>HYPERLINK(LEFT(CELL("filename",A1),FIND("[",CELL("filename",A1))-1)&amp;"10.기계분야\17_검수고 국부 냉난방 가설\표준서\17_검수고 국부 냉난방 가설_표준서.html", "👉 [클릭] 표준서 열기 📄")</f>
        <v/>
      </c>
      <c r="O18" s="26" t="inlineStr">
        <is>
          <t>1) STEP 1: 대공간 국부 작업 구역 부하 분석 및 장비 선정: 정비원 상주 위치 및 작업 패턴 맞춤 설계
2) STEP 2: 변전실 패키지 에어컨(PAC) 3대 정합성 가설: 내역서/도면 수량 일치 및 실내외기 배관</t>
        </is>
      </c>
      <c r="P18" s="76">
        <f>HYPERLINK(LEFT(CELL("filename",A1),FIND("[",CELL("filename",A1))-1)&amp;"10.기계분야\17_검수고 국부 냉난방 가설\수행지침\17_검수고 국부 냉난방 가설_수행지침.html", "👉 [클릭] 수행지침 열기 📄")</f>
        <v/>
      </c>
      <c r="Q18" s="26" t="inlineStr">
        <is>
          <t>1) 국부 장비 배치 시방 및 종합검수고 하부 피트 및 측면 작업대 전용 배치 기준을 100% 충족하였는가?
2) 이동식 에어컨 검측 및 불합격 요소를 전면 차단하였는가?</t>
        </is>
      </c>
      <c r="R18" s="77">
        <f>HYPERLINK(LEFT(CELL("filename",A1),FIND("[",CELL("filename",A1))-1)&amp;"10.기계분야\17_검수고 국부 냉난방 가설\체크리스트\17_검수고 국부 냉난방 가설_체크리스트.html", "👉 [클릭] 체크리스트 열기 📄")</f>
        <v/>
      </c>
      <c r="S18" s="22" t="inlineStr">
        <is>
          <t>기계·소방 복합 시방 준수</t>
        </is>
      </c>
      <c r="T18" s="74" t="inlineStr">
        <is>
          <t>● KDS 47 철도설계기준, KCS 41 건축기계시방 및 NFTC/NFPC 화재안전기술기준 100% 준수</t>
        </is>
      </c>
      <c r="U18" s="73" t="inlineStr">
        <is>
          <t>1) 👉 [더블클릭] 체크리스트 열기 📄</t>
        </is>
      </c>
      <c r="V18" s="25" t="inlineStr">
        <is>
          <t>기계설비·소방 전문 감리 및 시공 기술자문단 상시 운영</t>
        </is>
      </c>
    </row>
    <row r="19" ht="48" customHeight="1">
      <c r="A19" s="17" t="inlineStr">
        <is>
          <t>9000</t>
        </is>
      </c>
      <c r="B19" s="17" t="inlineStr">
        <is>
          <t>9000-8</t>
        </is>
      </c>
      <c r="C19" s="17" t="inlineStr">
        <is>
          <t>기계설비·소방설비</t>
        </is>
      </c>
      <c r="D19" s="17" t="inlineStr">
        <is>
          <t>9000-8-18</t>
        </is>
      </c>
      <c r="E19" s="17" t="inlineStr">
        <is>
          <t>9000-8-17</t>
        </is>
      </c>
      <c r="F19" s="17" t="inlineStr">
        <is>
          <t>9000-8-19</t>
        </is>
      </c>
      <c r="G19" s="17" t="inlineStr">
        <is>
          <t>냉온수_냉각수 배관 용접</t>
        </is>
      </c>
      <c r="H19" s="17" t="inlineStr">
        <is>
          <t>D-66</t>
        </is>
      </c>
      <c r="I19" s="17" t="inlineStr">
        <is>
          <t>기계/소방팀</t>
        </is>
      </c>
      <c r="J19" s="16" t="inlineStr">
        <is>
          <t>KSD 3562 탄소강관 맞대기 용접, 비파괴검사(RT ≥ 10%) 및 1.5MPa 수압시험을 통한 누수 Zero</t>
        </is>
      </c>
      <c r="K19" s="33" t="inlineStr">
        <is>
          <t>1) STEP 1 (그루브 가공 및 맞대기 용접): 배관 단부 30~35° 베벨 가공 후 TIG 루트패스 및 아크 다층 맞대기 용접
2) STEP 2 (방사선 비파괴검사 RT): 용접부의 10% 이상을 무작위 추출하여 방사선 투과 촬영(RT) 및 결함(기공, 슬래그) 100% 판독
3) STEP 3 (1.5배 수압시험 및 보온): 설계압력 1.5배(1.5MPa) 60분 무누수 확인 후 난연 고무발포 단열재(40mm) 밀착 시공</t>
        </is>
      </c>
      <c r="L19" s="17" t="inlineStr">
        <is>
          <t>냉온수_냉각수 배관 용접 시공계획서, 검측요청서 및 공인 시험성적서</t>
        </is>
      </c>
      <c r="M19" s="26" t="inlineStr">
        <is>
          <t>1) 냉온수_냉각수 배관 용접 (9000-8-18) 과업 달성을 위해 KDS 47 철도설계기준 및 NFTC 화재안전기준을 100% 충족한다.
2) 배관용 탄소강관(KSD 3507/3562) 아크용접, 비파괴검사(RT/UT) 및 1.5배 수압시험을 엄격히 완수하여 책임감리원 최종 승인을 획득한다.</t>
        </is>
      </c>
      <c r="N19" s="75">
        <f>HYPERLINK(LEFT(CELL("filename",A1),FIND("[",CELL("filename",A1))-1)&amp;"10.기계분야\18_냉온수_냉각수 배관 용접\표준서\18_냉온수_냉각수 배관 용접_표준서.html", "👉 [클릭] 표준서 열기 📄")</f>
        <v/>
      </c>
      <c r="O19" s="26" t="inlineStr">
        <is>
          <t>1) STEP 1: 배관 절단 및 개선(Beveling) 가공: 자동 파이프 절단기 및 그라인더 개선각(30~35°) 가공
2) STEP 2: 가접 및 다층 맞대기 용접(WPS 준수): 루트 패스 TIG 용접 + 캡 패스 아크용접</t>
        </is>
      </c>
      <c r="P19" s="76">
        <f>HYPERLINK(LEFT(CELL("filename",A1),FIND("[",CELL("filename",A1))-1)&amp;"10.기계분야\18_냉온수_냉각수 배관 용접\수행지침\18_냉온수_냉각수 배관 용접_수행지침.html", "👉 [클릭] 수행지침 열기 📄")</f>
        <v/>
      </c>
      <c r="Q19" s="26" t="inlineStr">
        <is>
          <t>1) 용접사 자격 검증 시방 및 국가기술자격(용접기능사 이상) 및 기량 시험 합격 기준을 100% 충족하였는가?
2) 용접부 비파괴(NDT) 검측 및 불합격 요소를 전면 차단하였는가?</t>
        </is>
      </c>
      <c r="R19" s="77">
        <f>HYPERLINK(LEFT(CELL("filename",A1),FIND("[",CELL("filename",A1))-1)&amp;"10.기계분야\18_냉온수_냉각수 배관 용접\체크리스트\18_냉온수_냉각수 배관 용접_체크리스트.html", "👉 [클릭] 체크리스트 열기 📄")</f>
        <v/>
      </c>
      <c r="S19" s="22" t="inlineStr">
        <is>
          <t>기계·소방 복합 시방 준수</t>
        </is>
      </c>
      <c r="T19" s="74" t="inlineStr">
        <is>
          <t>● KDS 47 철도설계기준, KCS 41 건축기계시방 및 NFTC/NFPC 화재안전기술기준 100% 준수</t>
        </is>
      </c>
      <c r="U19" s="73" t="inlineStr">
        <is>
          <t>1) 👉 [더블클릭] 체크리스트 열기 📄</t>
        </is>
      </c>
      <c r="V19" s="25" t="inlineStr">
        <is>
          <t>기계설비·소방 전문 감리 및 시공 기술자문단 상시 운영</t>
        </is>
      </c>
    </row>
    <row r="20" ht="48" customHeight="1">
      <c r="A20" s="17" t="inlineStr">
        <is>
          <t>9000</t>
        </is>
      </c>
      <c r="B20" s="17" t="inlineStr">
        <is>
          <t>9000-8</t>
        </is>
      </c>
      <c r="C20" s="17" t="inlineStr">
        <is>
          <t>기계설비·소방설비</t>
        </is>
      </c>
      <c r="D20" s="17" t="inlineStr">
        <is>
          <t>9000-8-19</t>
        </is>
      </c>
      <c r="E20" s="17" t="inlineStr">
        <is>
          <t>9000-8-18</t>
        </is>
      </c>
      <c r="F20" s="17" t="inlineStr">
        <is>
          <t>9000-8-20</t>
        </is>
      </c>
      <c r="G20" s="17" t="inlineStr">
        <is>
          <t>능동지하차도 전용터널 제연</t>
        </is>
      </c>
      <c r="H20" s="17" t="inlineStr">
        <is>
          <t>D-63</t>
        </is>
      </c>
      <c r="I20" s="17" t="inlineStr">
        <is>
          <t>기계/소방팀</t>
        </is>
      </c>
      <c r="J20" s="16" t="inlineStr">
        <is>
          <t>지하차도 트램 전용터널 제연(Jet Fan 임계풍속 ≥ 2.5m/s) 및 50m 간격 건식 연결송수관 구축</t>
        </is>
      </c>
      <c r="K20" s="33" t="inlineStr">
        <is>
          <t>1) STEP 1 (Jet Fan 천장 앵커링): 터널 천장부에 진동 감쇠 방진행거 및 고장력 케미컬 앵커로 Jet Fan 안전 체결
2) STEP 2 (3D CFD 풍속 검증): 터널 화재 시뮬레이션 기반 임계풍속(2.5m/s) 도출 및 연기 역류(Backlayering) 차단 검증
3) STEP 3 (건식 연결송수관 시공): 50m 간격 방수구함(D100 Sch40) 설치 및 2.0MPa 고압 수압시험을 통한 배관 내력 확인</t>
        </is>
      </c>
      <c r="L20" s="17" t="inlineStr">
        <is>
          <t>능동지하차도 전용터널 제연 시공계획서, 검측요청서 및 공인 시험성적서</t>
        </is>
      </c>
      <c r="M20" s="26" t="inlineStr">
        <is>
          <t>1) 능동지하차도 전용터널 제연 (9000-8-19) 과업 달성을 위해 KDS 47 철도설계기준 및 NFTC 화재안전기준을 100% 충족한다.
2) 트램 전용터널 제연팬, 건식 연결송수관 및 CFD 수치해석 시뮬레이션 기반 피난기류 검증을 엄격히 완수하여 책임감리원 최종 승인을 획득한다.</t>
        </is>
      </c>
      <c r="N20" s="75">
        <f>HYPERLINK(LEFT(CELL("filename",A1),FIND("[",CELL("filename",A1))-1)&amp;"10.기계분야\19_능동지하차도 전용터널 제연\표준서\19_능동지하차도 전용터널 제연_표준서.html", "👉 [클릭] 표준서 열기 📄")</f>
        <v/>
      </c>
      <c r="O20" s="26" t="inlineStr">
        <is>
          <t>1) STEP 1: 3D CFD 화재 및 피난 시뮬레이션 모델링: 화재 열방출률(HRR), 연기 확산 및 가시거리 해석
2) STEP 2: 터널 천장 제연팬(Jet Fan) 앵커링 및 내진 시공: 콘크리트 케미컬 앵커 및 방진 스프링</t>
        </is>
      </c>
      <c r="P20" s="76">
        <f>HYPERLINK(LEFT(CELL("filename",A1),FIND("[",CELL("filename",A1))-1)&amp;"10.기계분야\19_능동지하차도 전용터널 제연\수행지침\19_능동지하차도 전용터널 제연_수행지침.html", "👉 [클릭] 수행지침 열기 📄")</f>
        <v/>
      </c>
      <c r="Q20" s="26" t="inlineStr">
        <is>
          <t>1) CFD 화재 시뮬레이션 시방 및 화재 강도(5~10MW) 및 승객 피난 시뮬레이션 기준을 100% 충족하였는가?
2) 터널 제연팬(Jet Fan) 검측 및 불합격 요소를 전면 차단하였는가?</t>
        </is>
      </c>
      <c r="R20" s="77">
        <f>HYPERLINK(LEFT(CELL("filename",A1),FIND("[",CELL("filename",A1))-1)&amp;"10.기계분야\19_능동지하차도 전용터널 제연\체크리스트\19_능동지하차도 전용터널 제연_체크리스트.html", "👉 [클릭] 체크리스트 열기 📄")</f>
        <v/>
      </c>
      <c r="S20" s="22" t="inlineStr">
        <is>
          <t>기계·소방 복합 시방 준수</t>
        </is>
      </c>
      <c r="T20" s="74" t="inlineStr">
        <is>
          <t>● KDS 47 철도설계기준, KCS 41 건축기계시방 및 NFTC/NFPC 화재안전기술기준 100% 준수</t>
        </is>
      </c>
      <c r="U20" s="73" t="inlineStr">
        <is>
          <t>1) 👉 [더블클릭] 체크리스트 열기 📄</t>
        </is>
      </c>
      <c r="V20" s="25" t="inlineStr">
        <is>
          <t>기계설비·소방 전문 감리 및 시공 기술자문단 상시 운영</t>
        </is>
      </c>
    </row>
    <row r="21" ht="48" customHeight="1">
      <c r="A21" s="17" t="inlineStr">
        <is>
          <t>9000</t>
        </is>
      </c>
      <c r="B21" s="17" t="inlineStr">
        <is>
          <t>9000-8</t>
        </is>
      </c>
      <c r="C21" s="17" t="inlineStr">
        <is>
          <t>기계설비·소방설비</t>
        </is>
      </c>
      <c r="D21" s="17" t="inlineStr">
        <is>
          <t>9000-8-20</t>
        </is>
      </c>
      <c r="E21" s="17" t="inlineStr">
        <is>
          <t>9000-8-19</t>
        </is>
      </c>
      <c r="F21" s="17" t="inlineStr">
        <is>
          <t>9000-8-21</t>
        </is>
      </c>
      <c r="G21" s="17" t="inlineStr">
        <is>
          <t>공기조화기(AHU_PAC) 거치</t>
        </is>
      </c>
      <c r="H21" s="17" t="inlineStr">
        <is>
          <t>D-60</t>
        </is>
      </c>
      <c r="I21" s="17" t="inlineStr">
        <is>
          <t>기계/소방팀</t>
        </is>
      </c>
      <c r="J21" s="16" t="inlineStr">
        <is>
          <t>공조기 케이싱 수평 거치, 방진마운트(정적변위 ≥ 25mm) 진동 차단 및 딥 U-Trap 배수</t>
        </is>
      </c>
      <c r="K21" s="34" t="inlineStr">
        <is>
          <t>1) STEP 1 (기초 패드 및 방진마운트): 콘크리트 패드 위에 정적 변위 25mm 밀폐형 스프링 방진기 설치 및 수평 레벨링
2) STEP 2 (불연 캔버스 연결): 송풍기 토출구와 덕트 사이에 실리콘 코팅 불연 캔버스를 주름 없이 견고히 체결
3) STEP 3 (딥 U-Trap 드레인 시공): 흡입 부압에 견디도록 유효 봉수 100mm 이상의 드레인 트랩 시공 후 배수 통수시험</t>
        </is>
      </c>
      <c r="L21" s="17" t="inlineStr">
        <is>
          <t>공기조화기(AHU_PAC) 거치 시공계획서, 검측요청서 및 공인 시험성적서</t>
        </is>
      </c>
      <c r="M21" s="26" t="inlineStr">
        <is>
          <t>1) 공기조화기(AHU_PAC) 거치 (9000-8-20) 과업 달성을 위해 KDS 47 철도설계기준 및 NFTC 화재안전기준을 100% 충족한다.
2) 공조기계실 AHU, 전기실 항온항습기(PAC) 방진스프링 방진가대 가설 및 수평도 검측을 엄격히 완수하여 책임감리원 최종 승인을 획득한다.</t>
        </is>
      </c>
      <c r="N21" s="75">
        <f>HYPERLINK(LEFT(CELL("filename",A1),FIND("[",CELL("filename",A1))-1)&amp;"10.기계분야\20_공기조화기(AHU_PAC) 거치\표준서\20_공기조화기(AHU_PAC) 거치_표준서.html", "👉 [클릭] 표준서 열기 📄")</f>
        <v/>
      </c>
      <c r="O21" s="26" t="inlineStr">
        <is>
          <t>1) STEP 1: 기초 콘크리트 패드 검측 및 기준선 마킹: 기계실 바닥 패드 높이, 수평도, 앵커 위치 실측
2) STEP 2: AHU 분할 반입 및 블록 조립 결속: 송풍기부, 코일부, 필터부 정밀 밀착 체결</t>
        </is>
      </c>
      <c r="P21" s="76">
        <f>HYPERLINK(LEFT(CELL("filename",A1),FIND("[",CELL("filename",A1))-1)&amp;"10.기계분야\20_공기조화기(AHU_PAC) 거치\수행지침\20_공기조화기(AHU_PAC) 거치_수행지침.html", "👉 [클릭] 수행지침 열기 📄")</f>
        <v/>
      </c>
      <c r="Q21" s="26" t="inlineStr">
        <is>
          <t>1) 기초 패드 검측 시방 및 콘크리트 패드 강도(≥24MPa), 수평도 및 배근 기준을 100% 충족하였는가?
2) 방진 마운트 검측 및 불합격 요소를 전면 차단하였는가?</t>
        </is>
      </c>
      <c r="R21" s="77">
        <f>HYPERLINK(LEFT(CELL("filename",A1),FIND("[",CELL("filename",A1))-1)&amp;"10.기계분야\20_공기조화기(AHU_PAC) 거치\체크리스트\20_공기조화기(AHU_PAC) 거치_체크리스트.html", "👉 [클릭] 체크리스트 열기 📄")</f>
        <v/>
      </c>
      <c r="S21" s="22" t="inlineStr">
        <is>
          <t>기계·소방 복합 시방 준수</t>
        </is>
      </c>
      <c r="T21" s="74" t="inlineStr">
        <is>
          <t>● KDS 47 철도설계기준, KCS 41 건축기계시방 및 NFTC/NFPC 화재안전기술기준 100% 준수</t>
        </is>
      </c>
      <c r="U21" s="73" t="inlineStr">
        <is>
          <t>1) 👉 [더블클릭] 체크리스트 열기 📄</t>
        </is>
      </c>
      <c r="V21" s="25" t="inlineStr">
        <is>
          <t>기계설비·소방 전문 감리 및 시공 기술자문단 상시 운영</t>
        </is>
      </c>
    </row>
    <row r="22" ht="48" customHeight="1">
      <c r="A22" s="17" t="inlineStr">
        <is>
          <t>9000</t>
        </is>
      </c>
      <c r="B22" s="17" t="inlineStr">
        <is>
          <t>9000-8</t>
        </is>
      </c>
      <c r="C22" s="17" t="inlineStr">
        <is>
          <t>기계설비·소방설비</t>
        </is>
      </c>
      <c r="D22" s="17" t="inlineStr">
        <is>
          <t>9000-8-21</t>
        </is>
      </c>
      <c r="E22" s="17" t="inlineStr">
        <is>
          <t>9000-8-20</t>
        </is>
      </c>
      <c r="F22" s="17" t="inlineStr">
        <is>
          <t>9000-8-22</t>
        </is>
      </c>
      <c r="G22" s="17" t="inlineStr">
        <is>
          <t>급수_급탕 STS 배관 시공</t>
        </is>
      </c>
      <c r="H22" s="17" t="inlineStr">
        <is>
          <t>D+5</t>
        </is>
      </c>
      <c r="I22" s="17" t="inlineStr">
        <is>
          <t>기계/소방팀</t>
        </is>
      </c>
      <c r="J22" s="16" t="inlineStr">
        <is>
          <t>STS304 강관 무용접 프레스 피팅 전동 압착, 1.0MPa 수압시험 및 위생 염소소독 완료</t>
        </is>
      </c>
      <c r="K22" s="34" t="inlineStr">
        <is>
          <t>1) STEP 1 (관 절단 및 프레스 압착): 롤러 커터로 관 직각 절단, 리머 버 제거, EPDM 오링 삽입 후 전동 압착공구 체결
2) STEP 2 (육각 게이지 전수 검측): 전용 판정 게이지(Go/No-Go)를 결합부에 밀착하여 압착 치수 정밀도 100% 전수 검사
3) STEP 3 (수압시험 및 차아염소산 소독): 1.0MPa 60분 수압 무누수 확인 후 50ppm 염소수로 24시간 통수 살균 및 수질검사</t>
        </is>
      </c>
      <c r="L22" s="17" t="inlineStr">
        <is>
          <t>급수_급탕 STS 배관 시공 시공계획서, 검측요청서 및 공인 시험성적서</t>
        </is>
      </c>
      <c r="M22" s="26" t="inlineStr">
        <is>
          <t>1) 급수_급탕 STS 배관 시공 (9000-8-21) 과업 달성을 위해 KDS 47 철도설계기준 및 NFTC 화재안전기준을 100% 충족한다.
2) KSD 3595 무용접 프레스 압착이음/용접이음, 배관 세척 소독 및 1.0MPa 수압시험을 엄격히 완수하여 책임감리원 최종 승인을 획득한다.</t>
        </is>
      </c>
      <c r="N22" s="75">
        <f>HYPERLINK(LEFT(CELL("filename",A1),FIND("[",CELL("filename",A1))-1)&amp;"10.기계분야\21_급수_급탕 STS 배관 시공\표준서\21_급수_급탕 STS 배관 시공_표준서.html", "👉 [클릭] 표준서 열기 📄")</f>
        <v/>
      </c>
      <c r="O22" s="26" t="inlineStr">
        <is>
          <t>1) STEP 1: STS 파이프 정밀 절단 및 단부 버(Burr) 제거: 전용 롤러 커터 절단 및 리머 내·외부 모따기
2) STEP 2: 피팅 삽입 깊이 마킹 및 전동 압착 체결: 삽입선 마킹 확인 및 전용 조(Jaw) 압착</t>
        </is>
      </c>
      <c r="P22" s="76">
        <f>HYPERLINK(LEFT(CELL("filename",A1),FIND("[",CELL("filename",A1))-1)&amp;"10.기계분야\21_급수_급탕 STS 배관 시공\수행지침\21_급수_급탕 STS 배관 시공_수행지침.html", "👉 [클릭] 수행지침 열기 📄")</f>
        <v/>
      </c>
      <c r="Q22" s="26" t="inlineStr">
        <is>
          <t>1) STS 파이프 규격 시방 및 KSD 3595 SU 파이프 및 KSD 3576 Sch 10S/20S 기준을 100% 충족하였는가?
2) 무용접 프레스 압착 검측 및 불합격 요소를 전면 차단하였는가?</t>
        </is>
      </c>
      <c r="R22" s="77">
        <f>HYPERLINK(LEFT(CELL("filename",A1),FIND("[",CELL("filename",A1))-1)&amp;"10.기계분야\21_급수_급탕 STS 배관 시공\체크리스트\21_급수_급탕 STS 배관 시공_체크리스트.html", "👉 [클릭] 체크리스트 열기 📄")</f>
        <v/>
      </c>
      <c r="S22" s="22" t="inlineStr">
        <is>
          <t>기계·소방 복합 시방 준수</t>
        </is>
      </c>
      <c r="T22" s="74" t="inlineStr">
        <is>
          <t>● KDS 47 철도설계기준, KCS 41 건축기계시방 및 NFTC/NFPC 화재안전기술기준 100% 준수</t>
        </is>
      </c>
      <c r="U22" s="73" t="inlineStr">
        <is>
          <t>1) 👉 [더블클릭] 체크리스트 열기 📄</t>
        </is>
      </c>
      <c r="V22" s="25" t="inlineStr">
        <is>
          <t>기계설비·소방 전문 감리 및 시공 기술자문단 상시 운영</t>
        </is>
      </c>
    </row>
    <row r="23" ht="48" customHeight="1">
      <c r="A23" s="17" t="inlineStr">
        <is>
          <t>9000</t>
        </is>
      </c>
      <c r="B23" s="17" t="inlineStr">
        <is>
          <t>9000-8</t>
        </is>
      </c>
      <c r="C23" s="17" t="inlineStr">
        <is>
          <t>기계설비·소방설비</t>
        </is>
      </c>
      <c r="D23" s="17" t="inlineStr">
        <is>
          <t>9000-8-22</t>
        </is>
      </c>
      <c r="E23" s="17" t="inlineStr">
        <is>
          <t>9000-8-21</t>
        </is>
      </c>
      <c r="F23" s="17" t="inlineStr">
        <is>
          <t>9000-8-23</t>
        </is>
      </c>
      <c r="G23" s="17" t="inlineStr">
        <is>
          <t>오배수관 및 집수조 배수펌프</t>
        </is>
      </c>
      <c r="H23" s="17" t="inlineStr">
        <is>
          <t>D+10</t>
        </is>
      </c>
      <c r="I23" s="17" t="inlineStr">
        <is>
          <t>기계/소방팀</t>
        </is>
      </c>
      <c r="J23" s="16" t="inlineStr">
        <is>
          <t>오배수관 자연유하 구배(i ≥ 1/100) 유지 및 집수조 수중배수펌프 자동교번 4단 수위제어</t>
        </is>
      </c>
      <c r="K23" s="33" t="inlineStr">
        <is>
          <t>1) STEP 1 (자연유하 구배 시공): 레이저 레벨기를 이용하여 오수관 1/100, 배수관 1/50 구배를 철저히 유지하며 배관 포설
2) STEP 2 (수중펌프 자동교번 안착): 집수조 바닥에 상용 및 예비 수중펌프 2대를 자동탈착 가이드레일 방식으로 거치
3) STEP 3 (4단 전극봉 수위 인터록): 정지(LWL), 교번기동(HWL), 동시기동(E-HWL), 고수위경보(Alarm) 4단 센서 작동 검증</t>
        </is>
      </c>
      <c r="L23" s="17" t="inlineStr">
        <is>
          <t>오배수관 및 집수조 배수펌프 시공계획서, 검측요청서 및 공인 시험성적서</t>
        </is>
      </c>
      <c r="M23" s="26" t="inlineStr">
        <is>
          <t>1) 오배수관 및 집수조 배수펌프 (9000-8-22) 과업 달성을 위해 KDS 47 철도설계기준 및 NFTC 화재안전기준을 100% 충족한다.
2) 오배수 주철관/PVC관 구배(1/100) 시공, 집수조 수위센서 연동 자동교번 배수펌프 가설을 엄격히 완수하여 책임감리원 최종 승인을 획득한다.</t>
        </is>
      </c>
      <c r="N23" s="75">
        <f>HYPERLINK(LEFT(CELL("filename",A1),FIND("[",CELL("filename",A1))-1)&amp;"10.기계분야\22_오배수관 및 집수조 배수펌프\표준서\22_오배수관 및 집수조 배수펌프_표준서.html", "👉 [클릭] 표준서 열기 📄")</f>
        <v/>
      </c>
      <c r="O23" s="26" t="inlineStr">
        <is>
          <t>1) STEP 1: 오배수 배관 라인 먹매김 및 구배 계획: 자연유하 구배(1/100) 및 슬리브 높이 대조
2) STEP 2: 주철관/PVC관 포설 및 배관 행거 고정: 무소음 내화 PVC관 및 원터치 클램프 체결</t>
        </is>
      </c>
      <c r="P23" s="76">
        <f>HYPERLINK(LEFT(CELL("filename",A1),FIND("[",CELL("filename",A1))-1)&amp;"10.기계분야\22_오배수관 및 집수조 배수펌프\수행지침\22_오배수관 및 집수조 배수펌프_수행지침.html", "👉 [클릭] 수행지침 열기 📄")</f>
        <v/>
      </c>
      <c r="Q23" s="26" t="inlineStr">
        <is>
          <t>1) 오배수관 구배 시방 및 관경 D75 이하 1/50, D100 이상 1/100 자연유하 기준을 100% 충족하였는가?
2) 통기관(Vent) 시공 검측 및 불합격 요소를 전면 차단하였는가?</t>
        </is>
      </c>
      <c r="R23" s="77">
        <f>HYPERLINK(LEFT(CELL("filename",A1),FIND("[",CELL("filename",A1))-1)&amp;"10.기계분야\22_오배수관 및 집수조 배수펌프\체크리스트\22_오배수관 및 집수조 배수펌프_체크리스트.html", "👉 [클릭] 체크리스트 열기 📄")</f>
        <v/>
      </c>
      <c r="S23" s="22" t="inlineStr">
        <is>
          <t>기계·소방 복합 시방 준수</t>
        </is>
      </c>
      <c r="T23" s="74" t="inlineStr">
        <is>
          <t>● KDS 47 철도설계기준, KCS 41 건축기계시방 및 NFTC/NFPC 화재안전기술기준 100% 준수</t>
        </is>
      </c>
      <c r="U23" s="73" t="inlineStr">
        <is>
          <t>1) 👉 [더블클릭] 체크리스트 열기 📄</t>
        </is>
      </c>
      <c r="V23" s="25" t="inlineStr">
        <is>
          <t>기계설비·소방 전문 감리 및 시공 기술자문단 상시 운영</t>
        </is>
      </c>
    </row>
    <row r="24" ht="48" customHeight="1">
      <c r="A24" s="17" t="inlineStr">
        <is>
          <t>9000</t>
        </is>
      </c>
      <c r="B24" s="17" t="inlineStr">
        <is>
          <t>9000-8</t>
        </is>
      </c>
      <c r="C24" s="17" t="inlineStr">
        <is>
          <t>기계설비·소방설비</t>
        </is>
      </c>
      <c r="D24" s="17" t="inlineStr">
        <is>
          <t>9000-8-23</t>
        </is>
      </c>
      <c r="E24" s="17" t="inlineStr">
        <is>
          <t>9000-8-22</t>
        </is>
      </c>
      <c r="F24" s="17" t="inlineStr">
        <is>
          <t>9000-8-24</t>
        </is>
      </c>
      <c r="G24" s="17" t="inlineStr">
        <is>
          <t>차량기지 오폐수처리장(90㎡)</t>
        </is>
      </c>
      <c r="H24" s="17" t="inlineStr">
        <is>
          <t>D+15</t>
        </is>
      </c>
      <c r="I24" s="17" t="inlineStr">
        <is>
          <t>기계/소방팀</t>
        </is>
      </c>
      <c r="J24" s="16" t="inlineStr">
        <is>
          <t>중정비·경정비 발생 오폐수(35㎥/일)의 유수분리, 화학응집, 활성탄 흡착 및 수질 TMS 원격 방류</t>
        </is>
      </c>
      <c r="K24" s="34" t="inlineStr">
        <is>
          <t>1) STEP 1 (유수분리기 설치): 차량 정비 폐수의 비중차 유분 분리조 및 오일 스키머 설치로 유분 농도 90% 이상 제거
2) STEP 2 (응집 침전 및 가압부상): PAC 응집제 및 폴리머 자동 주입기를 통해 플록(Floc) 침전 및 슬러지 탈수기 케이크 처리
3) STEP 3 (활성탄 흡착 및 TMS 연동): 2단 활성탄 흡착탑 정화 후 BOD/COD ≤ 20mg/L 수질 TMS 데이터 환경청 자동 전송</t>
        </is>
      </c>
      <c r="L24" s="17" t="inlineStr">
        <is>
          <t>차량기지 오폐수처리장(90㎡) 시공계획서, 검측요청서 및 공인 시험성적서</t>
        </is>
      </c>
      <c r="M24" s="26" t="inlineStr">
        <is>
          <t>1) 차량기지 오폐수처리장(90㎡) (9000-8-23) 과업 달성을 위해 KDS 47 철도설계기준 및 NFTC 화재안전기준을 100% 충족한다.
2) 중정비(23.3㎥/일) 및 경정비 폐수 수집조, 화학 침전, 유수분리기 및 악취방지 덮개을 엄격히 완수하여 책임감리원 최종 승인을 획득한다.</t>
        </is>
      </c>
      <c r="N24" s="75">
        <f>HYPERLINK(LEFT(CELL("filename",A1),FIND("[",CELL("filename",A1))-1)&amp;"10.기계분야\23_차량기지 오폐수처리장(90㎡)\표준서\23_차량기지 오폐수처리장(90㎡)_표준서.html", "👉 [클릭] 표준서 열기 📄")</f>
        <v/>
      </c>
      <c r="O24" s="26" t="inlineStr">
        <is>
          <t>1) STEP 1: 폐수처리장(90㎡) 토목 구조물 및 방수 검측: 내화학 콘크리트 및 에폭시 3회 라이닝
2) STEP 2: 유수분리기 및 원수 수집조 설비 설치: 비중차 유수분리 스크린 및 오일 스키머</t>
        </is>
      </c>
      <c r="P24" s="76">
        <f>HYPERLINK(LEFT(CELL("filename",A1),FIND("[",CELL("filename",A1))-1)&amp;"10.기계분야\23_차량기지 오폐수처리장(90㎡)\수행지침\23_차량기지 오폐수처리장(90㎡)_수행지침.html", "👉 [클릭] 수행지침 열기 📄")</f>
        <v/>
      </c>
      <c r="Q24" s="26" t="inlineStr">
        <is>
          <t>1) 폐수 수집 관로 시방 및 내약품성 고밀도 PE관 및 내식성 이중배관 기준을 100% 충족하였는가?
2) 유수분리기(API/CPI) 검측 및 불합격 요소를 전면 차단하였는가?</t>
        </is>
      </c>
      <c r="R24" s="77">
        <f>HYPERLINK(LEFT(CELL("filename",A1),FIND("[",CELL("filename",A1))-1)&amp;"10.기계분야\23_차량기지 오폐수처리장(90㎡)\체크리스트\23_차량기지 오폐수처리장(90㎡)_체크리스트.html", "👉 [클릭] 체크리스트 열기 📄")</f>
        <v/>
      </c>
      <c r="S24" s="22" t="inlineStr">
        <is>
          <t>기계·소방 복합 시방 준수</t>
        </is>
      </c>
      <c r="T24" s="74" t="inlineStr">
        <is>
          <t>● KDS 47 철도설계기준, KCS 41 건축기계시방 및 NFTC/NFPC 화재안전기술기준 100% 준수</t>
        </is>
      </c>
      <c r="U24" s="73" t="inlineStr">
        <is>
          <t>1) 👉 [더블클릭] 체크리스트 열기 📄</t>
        </is>
      </c>
      <c r="V24" s="25" t="inlineStr">
        <is>
          <t>기계설비·소방 전문 감리 및 시공 기술자문단 상시 운영</t>
        </is>
      </c>
    </row>
    <row r="25" ht="48" customHeight="1">
      <c r="A25" s="17" t="inlineStr">
        <is>
          <t>9000</t>
        </is>
      </c>
      <c r="B25" s="17" t="inlineStr">
        <is>
          <t>9000-8</t>
        </is>
      </c>
      <c r="C25" s="17" t="inlineStr">
        <is>
          <t>기계설비·소방설비</t>
        </is>
      </c>
      <c r="D25" s="17" t="inlineStr">
        <is>
          <t>9000-8-24</t>
        </is>
      </c>
      <c r="E25" s="17" t="inlineStr">
        <is>
          <t>9000-8-23</t>
        </is>
      </c>
      <c r="F25" s="17" t="inlineStr">
        <is>
          <t>9000-8-25</t>
        </is>
      </c>
      <c r="G25" s="17" t="inlineStr">
        <is>
          <t>차체 자동세척설비(세차기)</t>
        </is>
      </c>
      <c r="H25" s="17" t="inlineStr">
        <is>
          <t>D+20</t>
        </is>
      </c>
      <c r="I25" s="17" t="inlineStr">
        <is>
          <t>기계/소방팀</t>
        </is>
      </c>
      <c r="J25" s="16" t="inlineStr">
        <is>
          <t>트램 전동차 청소선 세차 갠트리, EVA 무스크래치 브러시 및 세척수 85% 회수 재활용</t>
        </is>
      </c>
      <c r="K25" s="34" t="inlineStr">
        <is>
          <t>1) STEP 1 (세차 갠트리 프레임 가설): 청소선 궤도 상부에 고압 노즐 파이프 및 갠트리 구조물 용접 앵커링
2) STEP 2 (EVA 브러시 및 약품 분사): 전동차 차체 도장 손상을 방지하는 초미세 발포 EVA 브러시 및 중성 세제 분사 노즐 세팅
3) STEP 3 (세척수 회수 트렌치 통수): 하부 STS 그레이팅 트렌치를 통해 세척수 85% 이상 회수 및 순환 정화조 인입 검측</t>
        </is>
      </c>
      <c r="L25" s="17" t="inlineStr">
        <is>
          <t>차체 자동세척설비(세차기) 시공계획서, 검측요청서 및 공인 시험성적서</t>
        </is>
      </c>
      <c r="M25" s="26" t="inlineStr">
        <is>
          <t>1) 차체 자동세척설비(세차기) (9000-8-24) 과업 달성을 위해 KDS 47 철도설계기준 및 NFTC 화재안전기준을 100% 충족한다.
2) 청소선 대형 갠트리 세차기, 세제/린스 분사 노즐, 회전 브러시 및 폐수 회수 드레인을 엄격히 완수하여 책임감리원 최종 승인을 획득한다.</t>
        </is>
      </c>
      <c r="N25" s="75">
        <f>HYPERLINK(LEFT(CELL("filename",A1),FIND("[",CELL("filename",A1))-1)&amp;"10.기계분야\24_차체 자동세척설비(세차기)\표준서\24_차체 자동세척설비(세차기)_표준서.html", "👉 [클릭] 표준서 열기 📄")</f>
        <v/>
      </c>
      <c r="O25" s="26" t="inlineStr">
        <is>
          <t>1) STEP 1: 청소선 궤도 건축한계 대조 및 기초 앵커 시공: 열차 통과 한계선 및 세차기 중심선 측량
2) STEP 2: 세차기 메인 갠트리 프레임 및 브러시 조립: EVA 무스크래치 브러시 및 실린더 가설</t>
        </is>
      </c>
      <c r="P25" s="76">
        <f>HYPERLINK(LEFT(CELL("filename",A1),FIND("[",CELL("filename",A1))-1)&amp;"10.기계분야\24_차체 자동세척설비(세차기)\수행지침\24_차체 자동세척설비(세차기)_수행지침.html", "👉 [클릭] 수행지침 열기 📄")</f>
        <v/>
      </c>
      <c r="Q25" s="26" t="inlineStr">
        <is>
          <t>1) 세차기 프레임 시방 및 용융아연도금 및 STS304 내식성 갠트리 구조물 기준을 100% 충족하였는가?
2) 회전 브러시 검측 및 불합격 요소를 전면 차단하였는가?</t>
        </is>
      </c>
      <c r="R25" s="77">
        <f>HYPERLINK(LEFT(CELL("filename",A1),FIND("[",CELL("filename",A1))-1)&amp;"10.기계분야\24_차체 자동세척설비(세차기)\체크리스트\24_차체 자동세척설비(세차기)_체크리스트.html", "👉 [클릭] 체크리스트 열기 📄")</f>
        <v/>
      </c>
      <c r="S25" s="22" t="inlineStr">
        <is>
          <t>기계·소방 복합 시방 준수</t>
        </is>
      </c>
      <c r="T25" s="74" t="inlineStr">
        <is>
          <t>● KDS 47 철도설계기준, KCS 41 건축기계시방 및 NFTC/NFPC 화재안전기술기준 100% 준수</t>
        </is>
      </c>
      <c r="U25" s="73" t="inlineStr">
        <is>
          <t>1) 👉 [더블클릭] 체크리스트 열기 📄</t>
        </is>
      </c>
      <c r="V25" s="25" t="inlineStr">
        <is>
          <t>기계설비·소방 전문 감리 및 시공 기술자문단 상시 운영</t>
        </is>
      </c>
    </row>
    <row r="26" ht="48" customHeight="1">
      <c r="A26" s="17" t="inlineStr">
        <is>
          <t>9000</t>
        </is>
      </c>
      <c r="B26" s="17" t="inlineStr">
        <is>
          <t>9000-8</t>
        </is>
      </c>
      <c r="C26" s="17" t="inlineStr">
        <is>
          <t>기계설비·소방설비</t>
        </is>
      </c>
      <c r="D26" s="17" t="inlineStr">
        <is>
          <t>9000-8-25</t>
        </is>
      </c>
      <c r="E26" s="17" t="inlineStr">
        <is>
          <t>9000-8-24</t>
        </is>
      </c>
      <c r="F26" s="17" t="inlineStr">
        <is>
          <t>9000-8-26</t>
        </is>
      </c>
      <c r="G26" s="17" t="inlineStr">
        <is>
          <t>정화조 음압 탈취설비 시공</t>
        </is>
      </c>
      <c r="H26" s="17" t="inlineStr">
        <is>
          <t>D+25</t>
        </is>
      </c>
      <c r="I26" s="17" t="inlineStr">
        <is>
          <t>기계/소방팀</t>
        </is>
      </c>
      <c r="J26" s="16" t="inlineStr">
        <is>
          <t>정화조실 3종 음압(-20Pa) 유지 및 2단 약액세정탑(산/알칼리)+첨착활성탄 복합 탈취</t>
        </is>
      </c>
      <c r="K26" s="34" t="inlineStr">
        <is>
          <t>1) STEP 1 (음압 덕트 및 후드 설치): 정화조 발생원 상부에 내식성 FRP 배기 후드 및 전용 음압 배기팬(15~20회/h) 가설
2) STEP 2 (2단 스크러버 약액 세정): 산(H2SO4) 및 알칼리(NaOH) 세정탑 순환 펌프와 노즐을 통해 황화수소(H2S) 99% 중화
3) STEP 3 (첨착 활성탄 흡착 배출): 최종 첨착 활성탄 흡착탑을 거쳐 복합악취 희석배수 ≤ 500 이하 기준 충족 확인</t>
        </is>
      </c>
      <c r="L26" s="17" t="inlineStr">
        <is>
          <t>정화조 음압 탈취설비 시공 시공계획서, 검측요청서 및 공인 시험성적서</t>
        </is>
      </c>
      <c r="M26" s="26" t="inlineStr">
        <is>
          <t>1) 정화조 음압 탈취설비 시공 (9000-8-25) 과업 달성을 위해 KDS 47 철도설계기준 및 NFTC 화재안전기준을 100% 충족한다.
2) 정화조 관리층 유해/가연성 가스 배출용 약액세정식 탈취장치, 덕트 부압 및 가스센서을 엄격히 완수하여 책임감리원 최종 승인을 획득한다.</t>
        </is>
      </c>
      <c r="N26" s="75">
        <f>HYPERLINK(LEFT(CELL("filename",A1),FIND("[",CELL("filename",A1))-1)&amp;"10.기계분야\25_정화조 음압 탈취설비 시공\표준서\25_정화조 음압 탈취설비 시공_표준서.html", "👉 [클릭] 표준서 열기 📄")</f>
        <v/>
      </c>
      <c r="O26" s="26" t="inlineStr">
        <is>
          <t>1) STEP 1: 정화조실 음압 환기량 및 유해가스 농도 계산: 시간당 20회 배기량 및 수조 포집 후드 설계
2) STEP 2: 내식성 FRP 탈취 덕트 및 배기팬 가설: FRP 플랜지 체결 및 내화학 내식 송풍기</t>
        </is>
      </c>
      <c r="P26" s="76">
        <f>HYPERLINK(LEFT(CELL("filename",A1),FIND("[",CELL("filename",A1))-1)&amp;"10.기계분야\25_정화조 음압 탈취설비 시공\수행지침\25_정화조 음압 탈취설비 시공_수행지침.html", "👉 [클릭] 수행지침 열기 📄")</f>
        <v/>
      </c>
      <c r="Q26" s="26" t="inlineStr">
        <is>
          <t>1) 탈취탑 방식 시방 및 약액세정식(산/알칼리 세정) + 활성탄 2단 흡착 기준을 100% 충족하였는가?
2) 탈취 배기덕트 검측 및 불합격 요소를 전면 차단하였는가?</t>
        </is>
      </c>
      <c r="R26" s="77">
        <f>HYPERLINK(LEFT(CELL("filename",A1),FIND("[",CELL("filename",A1))-1)&amp;"10.기계분야\25_정화조 음압 탈취설비 시공\체크리스트\25_정화조 음압 탈취설비 시공_체크리스트.html", "👉 [클릭] 체크리스트 열기 📄")</f>
        <v/>
      </c>
      <c r="S26" s="22" t="inlineStr">
        <is>
          <t>기계·소방 복합 시방 준수</t>
        </is>
      </c>
      <c r="T26" s="74" t="inlineStr">
        <is>
          <t>● KDS 47 철도설계기준, KCS 41 건축기계시방 및 NFTC/NFPC 화재안전기술기준 100% 준수</t>
        </is>
      </c>
      <c r="U26" s="73" t="inlineStr">
        <is>
          <t>1) 👉 [더블클릭] 체크리스트 열기 📄</t>
        </is>
      </c>
      <c r="V26" s="25" t="inlineStr">
        <is>
          <t>기계설비·소방 전문 감리 및 시공 기술자문단 상시 운영</t>
        </is>
      </c>
    </row>
    <row r="27" ht="48" customHeight="1">
      <c r="A27" s="17" t="inlineStr">
        <is>
          <t>9000</t>
        </is>
      </c>
      <c r="B27" s="17" t="inlineStr">
        <is>
          <t>9000-8</t>
        </is>
      </c>
      <c r="C27" s="17" t="inlineStr">
        <is>
          <t>기계설비·소방설비</t>
        </is>
      </c>
      <c r="D27" s="17" t="inlineStr">
        <is>
          <t>9000-8-26</t>
        </is>
      </c>
      <c r="E27" s="17" t="inlineStr">
        <is>
          <t>9000-8-25</t>
        </is>
      </c>
      <c r="F27" s="17" t="inlineStr">
        <is>
          <t>9000-8-27</t>
        </is>
      </c>
      <c r="G27" s="17" t="inlineStr">
        <is>
          <t>호스릴 옥내소화전설비 시공</t>
        </is>
      </c>
      <c r="H27" s="17" t="inlineStr">
        <is>
          <t>D+30</t>
        </is>
      </c>
      <c r="I27" s="17" t="inlineStr">
        <is>
          <t>기계/소방팀</t>
        </is>
      </c>
      <c r="J27" s="16" t="inlineStr">
        <is>
          <t>STS304 호스릴 옥내소화전(보행거리 25m 이내, 방수압 0.17~0.7MPa) 1인 조작 화재 진압</t>
        </is>
      </c>
      <c r="K27" s="34" t="inlineStr">
        <is>
          <t>1) STEP 1 (STS304 소화전함 매립): 정거장 및 역사 벽체에 STS304 방청 소화전함을 수직·수평 정밀 매립
2) STEP 2 (25m 호스릴 및 밸브 체결): 1인 전개 인장력 5kgf 이하의 원형 회전 드럼식 25m 경량 호스릴 및 감압 앵글밸브 설치
3) STEP 3 (방수압력 및 방수량 실측): 피토게이지를 이용하여 노즐 방수압 0.17~0.7MPa 및 방수량 ≥ 130L/min 20분간 방수 실측</t>
        </is>
      </c>
      <c r="L27" s="17" t="inlineStr">
        <is>
          <t>호스릴 옥내소화전설비 시공 시공계획서, 검측요청서 및 공인 시험성적서</t>
        </is>
      </c>
      <c r="M27" s="26" t="inlineStr">
        <is>
          <t>1) 호스릴 옥내소화전설비 시공 (9000-8-26) 과업 달성을 위해 KDS 47 철도설계기준 및 NFTC 화재안전기준을 100% 충족한다.
2) STS 호스릴 소화전(분말소화기 내장), 방수압(≥0.17MPa), 노출/매립 STS 외함 완벽 시공을 엄격히 완수하여 책임감리원 최종 승인을 획득한다.</t>
        </is>
      </c>
      <c r="N27" s="75">
        <f>HYPERLINK(LEFT(CELL("filename",A1),FIND("[",CELL("filename",A1))-1)&amp;"10.기계분야\26_호스릴 옥내소화전설비 시공\표준서\26_호스릴 옥내소화전설비 시공_표준서.html", "👉 [클릭] 표준서 열기 📄")</f>
        <v/>
      </c>
      <c r="O27" s="26" t="inlineStr">
        <is>
          <t>1) STEP 1: 소화전함 설치 위치 먹매김 및 배관 인입선 실측: 보행거리 25m 이내 및 바닥고 1.5m 준수
2) STEP 2: 배관 가설 및 그루브 조인트(Grooved Joint) 체결: 용접 없는 기계적 이음 및 지진방지 버팀대</t>
        </is>
      </c>
      <c r="P27" s="76">
        <f>HYPERLINK(LEFT(CELL("filename",A1),FIND("[",CELL("filename",A1))-1)&amp;"10.기계분야\26_호스릴 옥내소화전설비 시공\수행지침\26_호스릴 옥내소화전설비 시공_수행지침.html", "👉 [클릭] 수행지침 열기 📄")</f>
        <v/>
      </c>
      <c r="Q27" s="26" t="inlineStr">
        <is>
          <t>1) 소화전함 규격 시방 및 STS304 두께 1.5mm, 분말소화기 일체형 외함 기준을 100% 충족하였는가?
2) 호스릴 릴 뭉치 검측 및 불합격 요소를 전면 차단하였는가?</t>
        </is>
      </c>
      <c r="R27" s="77">
        <f>HYPERLINK(LEFT(CELL("filename",A1),FIND("[",CELL("filename",A1))-1)&amp;"10.기계분야\26_호스릴 옥내소화전설비 시공\체크리스트\26_호스릴 옥내소화전설비 시공_체크리스트.html", "👉 [클릭] 체크리스트 열기 📄")</f>
        <v/>
      </c>
      <c r="S27" s="22" t="inlineStr">
        <is>
          <t>기계·소방 복합 시방 준수</t>
        </is>
      </c>
      <c r="T27" s="74" t="inlineStr">
        <is>
          <t>● KDS 47 철도설계기준, KCS 41 건축기계시방 및 NFTC/NFPC 화재안전기술기준 100% 준수</t>
        </is>
      </c>
      <c r="U27" s="73" t="inlineStr">
        <is>
          <t>1) 👉 [더블클릭] 체크리스트 열기 📄</t>
        </is>
      </c>
      <c r="V27" s="25" t="inlineStr">
        <is>
          <t>기계설비·소방 전문 감리 및 시공 기술자문단 상시 운영</t>
        </is>
      </c>
    </row>
    <row r="28" ht="48" customHeight="1">
      <c r="A28" s="17" t="inlineStr">
        <is>
          <t>9000</t>
        </is>
      </c>
      <c r="B28" s="17" t="inlineStr">
        <is>
          <t>9000-8</t>
        </is>
      </c>
      <c r="C28" s="17" t="inlineStr">
        <is>
          <t>기계설비·소방설비</t>
        </is>
      </c>
      <c r="D28" s="17" t="inlineStr">
        <is>
          <t>9000-8-27</t>
        </is>
      </c>
      <c r="E28" s="17" t="inlineStr">
        <is>
          <t>9000-8-26</t>
        </is>
      </c>
      <c r="F28" s="17" t="inlineStr">
        <is>
          <t>9000-8-28</t>
        </is>
      </c>
      <c r="G28" s="17" t="inlineStr">
        <is>
          <t>연결송수관-스프링클러 주배관 분리</t>
        </is>
      </c>
      <c r="H28" s="17" t="inlineStr">
        <is>
          <t>D+35</t>
        </is>
      </c>
      <c r="I28" s="17" t="inlineStr">
        <is>
          <t>기계/소방팀</t>
        </is>
      </c>
      <c r="J28" s="16" t="inlineStr">
        <is>
          <t>개정 화재안전기준에 따른 연결송수관과 스프링클러설비의 주배관 및 옥외 송수구 완전 물리적 분리</t>
        </is>
      </c>
      <c r="K28" s="33" t="inlineStr">
        <is>
          <t>1) STEP 1 (독립 배관 라인 포설): 연결송수관(고압 Sch40)과 스프링클러 알람밸브 2차측 배관을 완전 독립 경로로 가설
2) STEP 2 (쌍구형 송수구 분리 설치): 옥외 소방차 진입로에 연결송수관용 및 스프링클러용 쌍구형 송수구를 명판과 함께 분리 취부
3) STEP 3 (2.0MPa 고압 내압시험): 소방차 직결 가압을 상정하여 2.0MPa 압력으로 30분간 내압시험을 실시해 관로 안전성 입증</t>
        </is>
      </c>
      <c r="L28" s="17" t="inlineStr">
        <is>
          <t>연결송수관-스프링클러 주배관 분리 시공계획서, 검측요청서 및 공인 시험성적서</t>
        </is>
      </c>
      <c r="M28" s="26" t="inlineStr">
        <is>
          <t>1) 연결송수관-스프링클러 주배관 분리 (9000-8-27) 과업 달성을 위해 KDS 47 철도설계기준 및 NFTC 화재안전기준을 100% 충족한다.
2) 소방법 개정 기준 반영, 연결송수관설비와 스프링클러설비의 주배관 및 송수구 물리적 완전 분리을 엄격히 완수하여 책임감리원 최종 승인을 획득한다.</t>
        </is>
      </c>
      <c r="N28" s="75">
        <f>HYPERLINK(LEFT(CELL("filename",A1),FIND("[",CELL("filename",A1))-1)&amp;"10.기계분야\27_연결송수관-스프링클러 주배관 분리\표준서\27_연결송수관-스프링클러 주배관 분리_표준서.html", "👉 [클릭] 표준서 열기 📄")</f>
        <v/>
      </c>
      <c r="O28" s="26" t="inlineStr">
        <is>
          <t>1) STEP 1: 개정 화재안전기술기준 설계도서 대조 및 입상 경로 분리: 겸용 배관 여부 색출 및 독립 2열 배관 설계
2) STEP 2: 연결송수관 전용 고압 배관 시공: 압력배관용 탄소강관(KSD 3562, Sch 40) 용접/그루브</t>
        </is>
      </c>
      <c r="P28" s="76">
        <f>HYPERLINK(LEFT(CELL("filename",A1),FIND("[",CELL("filename",A1))-1)&amp;"10.기계분야\27_연결송수관-스프링클러 주배관 분리\수행지침\27_연결송수관-스프링클러 주배관 분리_수행지침.html", "👉 [클릭] 수행지침 열기 📄")</f>
        <v/>
      </c>
      <c r="Q28" s="26" t="inlineStr">
        <is>
          <t>1) 주배관 독립 관로 시방 및 연결송수관 전용 Sch40 배관 &amp; 스프링클러 전용 배관 기준을 100% 충족하였는가?
2) 옥외 송수구 분리 검측 및 불합격 요소를 전면 차단하였는가?</t>
        </is>
      </c>
      <c r="R28" s="77">
        <f>HYPERLINK(LEFT(CELL("filename",A1),FIND("[",CELL("filename",A1))-1)&amp;"10.기계분야\27_연결송수관-스프링클러 주배관 분리\체크리스트\27_연결송수관-스프링클러 주배관 분리_체크리스트.html", "👉 [클릭] 체크리스트 열기 📄")</f>
        <v/>
      </c>
      <c r="S28" s="22" t="inlineStr">
        <is>
          <t>기계·소방 복합 시방 준수</t>
        </is>
      </c>
      <c r="T28" s="74" t="inlineStr">
        <is>
          <t>● KDS 47 철도설계기준, KCS 41 건축기계시방 및 NFTC/NFPC 화재안전기술기준 100% 준수</t>
        </is>
      </c>
      <c r="U28" s="73" t="inlineStr">
        <is>
          <t>1) 👉 [더블클릭] 체크리스트 열기 📄</t>
        </is>
      </c>
      <c r="V28" s="25" t="inlineStr">
        <is>
          <t>기계설비·소방 전문 감리 및 시공 기술자문단 상시 운영</t>
        </is>
      </c>
    </row>
    <row r="29" ht="48" customHeight="1">
      <c r="A29" s="17" t="inlineStr">
        <is>
          <t>9000</t>
        </is>
      </c>
      <c r="B29" s="17" t="inlineStr">
        <is>
          <t>9000-8</t>
        </is>
      </c>
      <c r="C29" s="17" t="inlineStr">
        <is>
          <t>기계설비·소방설비</t>
        </is>
      </c>
      <c r="D29" s="17" t="inlineStr">
        <is>
          <t>9000-8-28</t>
        </is>
      </c>
      <c r="E29" s="17" t="inlineStr">
        <is>
          <t>9000-8-27</t>
        </is>
      </c>
      <c r="F29" s="17" t="inlineStr">
        <is>
          <t>9000-8-29</t>
        </is>
      </c>
      <c r="G29" s="17" t="inlineStr">
        <is>
          <t>큐비클 가스계_에어로졸 소화</t>
        </is>
      </c>
      <c r="H29" s="17" t="inlineStr">
        <is>
          <t>D+40</t>
        </is>
      </c>
      <c r="I29" s="17" t="inlineStr">
        <is>
          <t>기계/소방팀</t>
        </is>
      </c>
      <c r="J29" s="16" t="inlineStr">
        <is>
          <t>특고압/저압 수배전반 판넬 내부 KFI 인증 소공간 고체에어로졸 설치 및 3초 내 초기 진압</t>
        </is>
      </c>
      <c r="K29" s="34" t="inlineStr">
        <is>
          <t>1) STEP 1 (큐비클 내부 브래킷 고정): 수배전반 상단 발화 예상 지점에 내진 브래킷을 이용하여 에어로졸 소화장치 취부
2) STEP 2 (열감지선 및 기폭선 결선): 105℃ 정온식 열감지선을 판넬 내부 주요 부스바 주변에 포설하고 제어부 결선
3) STEP 3 (ACB 차단기 인터록 연동): 화재 감지 및 소화기 기폭 신호 출력 즉시 주차단기(ACB)가 자동 트립되는 인터록 검증</t>
        </is>
      </c>
      <c r="L29" s="17" t="inlineStr">
        <is>
          <t>큐비클 가스계_에어로졸 소화 시공계획서, 검측요청서 및 공인 시험성적서</t>
        </is>
      </c>
      <c r="M29" s="26" t="inlineStr">
        <is>
          <t>1) 큐비클 가스계_에어로졸 소화 (9000-8-28) 과업 달성을 위해 KDS 47 철도설계기준 및 NFTC 화재안전기준을 100% 충족한다.
2) 변전소, 충전 전기실, 정거장 31개소 특고압/저압 배전반 내부 고체에어로졸 자동소화장치을 엄격히 완수하여 책임감리원 최종 승인을 획득한다.</t>
        </is>
      </c>
      <c r="N29" s="75">
        <f>HYPERLINK(LEFT(CELL("filename",A1),FIND("[",CELL("filename",A1))-1)&amp;"10.기계분야\28_큐비클 가스계_에어로졸 소화\표준서\28_큐비클 가스계_에어로졸 소화_표준서.html", "👉 [클릭] 표준서 열기 📄")</f>
        <v/>
      </c>
      <c r="O29" s="26" t="inlineStr">
        <is>
          <t>1) STEP 1: 수배전반 큐비클 체적(㎥) 및 소화약제량 산정: 판넬 내부 공간 체적 및 발열 부품 조사
2) STEP 2: 고체에어로졸 소화장치 브라켓 고정: 판넬 천장부 내열 브라켓 볼트 체결</t>
        </is>
      </c>
      <c r="P29" s="76">
        <f>HYPERLINK(LEFT(CELL("filename",A1),FIND("[",CELL("filename",A1))-1)&amp;"10.기계분야\28_큐비클 가스계_에어로졸 소화\수행지침\28_큐비클 가스계_에어로졸 소화_수행지침.html", "👉 [클릭] 수행지침 열기 📄")</f>
        <v/>
      </c>
      <c r="Q29" s="26" t="inlineStr">
        <is>
          <t>1) 에어로졸 소화기 시방 및 KFI 인증 소공간용 고체에어로졸 자동소화장치 기준을 100% 충족하였는가?
2) 화재 감지 와이어 검측 및 불합격 요소를 전면 차단하였는가?</t>
        </is>
      </c>
      <c r="R29" s="77">
        <f>HYPERLINK(LEFT(CELL("filename",A1),FIND("[",CELL("filename",A1))-1)&amp;"10.기계분야\28_큐비클 가스계_에어로졸 소화\체크리스트\28_큐비클 가스계_에어로졸 소화_체크리스트.html", "👉 [클릭] 체크리스트 열기 📄")</f>
        <v/>
      </c>
      <c r="S29" s="22" t="inlineStr">
        <is>
          <t>기계·소방 복합 시방 준수</t>
        </is>
      </c>
      <c r="T29" s="74" t="inlineStr">
        <is>
          <t>● KDS 47 철도설계기준, KCS 41 건축기계시방 및 NFTC/NFPC 화재안전기술기준 100% 준수</t>
        </is>
      </c>
      <c r="U29" s="73" t="inlineStr">
        <is>
          <t>1) 👉 [더블클릭] 체크리스트 열기 📄</t>
        </is>
      </c>
      <c r="V29" s="25" t="inlineStr">
        <is>
          <t>기계설비·소방 전문 감리 및 시공 기술자문단 상시 운영</t>
        </is>
      </c>
    </row>
    <row r="30" ht="48" customHeight="1">
      <c r="A30" s="17" t="inlineStr">
        <is>
          <t>9000</t>
        </is>
      </c>
      <c r="B30" s="17" t="inlineStr">
        <is>
          <t>9000-8</t>
        </is>
      </c>
      <c r="C30" s="17" t="inlineStr">
        <is>
          <t>기계설비·소방설비</t>
        </is>
      </c>
      <c r="D30" s="17" t="inlineStr">
        <is>
          <t>9000-8-29</t>
        </is>
      </c>
      <c r="E30" s="17" t="inlineStr">
        <is>
          <t>9000-8-28</t>
        </is>
      </c>
      <c r="F30" s="17" t="inlineStr">
        <is>
          <t>9000-8-30</t>
        </is>
      </c>
      <c r="G30" s="17" t="inlineStr">
        <is>
          <t>가스소화구역 과압배출구(P.R.D)</t>
        </is>
      </c>
      <c r="H30" s="17" t="inlineStr">
        <is>
          <t>D+45</t>
        </is>
      </c>
      <c r="I30" s="17" t="inlineStr">
        <is>
          <t>기계/소방팀</t>
        </is>
      </c>
      <c r="J30" s="16" t="inlineStr">
        <is>
          <t>가스소화약제 방출 시 실내 과압(200Pa) 자동 해소 및 자중 폐쇄를 통한 10분 설계농도 유지</t>
        </is>
      </c>
      <c r="K30" s="35" t="inlineStr">
        <is>
          <t>1) STEP 1 (방화벽체 개구부 프레임 취부): 변전실 외벽 또는 복도측 방화벽체에 P.R.D 댐퍼 프레임 수평 매립 고정
2) STEP 2 (카운터웨이트 개방압 세팅): 실내 압력이 200Pa에 도달할 때 블레이드가 정확히 열리도록 카운터웨이트 추 정밀 교정
3) STEP 3 (자중 폐쇄 및 기밀도 검측): 압력 해소 후 중력으로 완벽히 닫혀 소화가스 누출(약제 설계농도 10분 유지) 방지 검증</t>
        </is>
      </c>
      <c r="L30" s="17" t="inlineStr">
        <is>
          <t>가스소화구역 과압배출구(P.R.D) 시공계획서, 검측요청서 및 공인 시험성적서</t>
        </is>
      </c>
      <c r="M30" s="26" t="inlineStr">
        <is>
          <t>1) 가스소화구역 과압배출구(P.R.D) (9000-8-29) 과업 달성을 위해 KDS 47 철도설계기준 및 NFTC 화재안전기준을 100% 충족한다.
2) 변전소 가스소화약제 방출 시 방화벽체 풍압 파손 방지용 P.R.D(과압배출) 댐퍼 규격 시공을 엄격히 완수하여 책임감리원 최종 승인을 획득한다.</t>
        </is>
      </c>
      <c r="N30" s="75">
        <f>HYPERLINK(LEFT(CELL("filename",A1),FIND("[",CELL("filename",A1))-1)&amp;"10.기계분야\29_가스소화구역 과압배출구(P.R.D)\표준서\29_가스소화구역 과압배출구(P.R.D)_표준서.html", "👉 [클릭] 표준서 열기 📄")</f>
        <v/>
      </c>
      <c r="O30" s="26" t="inlineStr">
        <is>
          <t>1) STEP 1: 가스 방출 압력 상승치 및 P.R.D 배출 면적 계산: NFPA 2001 및 소방 시방 계산 공식 검토
2) STEP 2: 방화벽체 개구부 타공 및 STS 프레임 가설: 건축 개구부 치수 대조 및 방화 슬리브 시공</t>
        </is>
      </c>
      <c r="P30" s="76">
        <f>HYPERLINK(LEFT(CELL("filename",A1),FIND("[",CELL("filename",A1))-1)&amp;"10.기계분야\29_가스소화구역 과압배출구(P.R.D)\수행지침\29_가스소화구역 과압배출구(P.R.D)_수행지침.html", "👉 [클릭] 수행지침 열기 📄")</f>
        <v/>
      </c>
      <c r="Q30" s="26" t="inlineStr">
        <is>
          <t>1) P.R.D 댐퍼 면적 시방 및 소화약제 방출량 대비 과압배출 면적(㎡) 계산서 기준을 100% 충족하였는가?
2) 블레이드 밸런싱 검측 및 불합격 요소를 전면 차단하였는가?</t>
        </is>
      </c>
      <c r="R30" s="77">
        <f>HYPERLINK(LEFT(CELL("filename",A1),FIND("[",CELL("filename",A1))-1)&amp;"10.기계분야\29_가스소화구역 과압배출구(P.R.D)\체크리스트\29_가스소화구역 과압배출구(P.R.D)_체크리스트.html", "👉 [클릭] 체크리스트 열기 📄")</f>
        <v/>
      </c>
      <c r="S30" s="22" t="inlineStr">
        <is>
          <t>기계·소방 복합 시방 준수</t>
        </is>
      </c>
      <c r="T30" s="74" t="inlineStr">
        <is>
          <t>● KDS 47 철도설계기준, KCS 41 건축기계시방 및 NFTC/NFPC 화재안전기술기준 100% 준수</t>
        </is>
      </c>
      <c r="U30" s="73" t="inlineStr">
        <is>
          <t>1) 👉 [더블클릭] 체크리스트 열기 📄</t>
        </is>
      </c>
      <c r="V30" s="25" t="inlineStr">
        <is>
          <t>기계설비·소방 전문 감리 및 시공 기술자문단 상시 운영</t>
        </is>
      </c>
    </row>
    <row r="31" ht="48" customHeight="1">
      <c r="A31" s="17" t="inlineStr">
        <is>
          <t>9000</t>
        </is>
      </c>
      <c r="B31" s="17" t="inlineStr">
        <is>
          <t>9000-8</t>
        </is>
      </c>
      <c r="C31" s="17" t="inlineStr">
        <is>
          <t>기계설비·소방설비</t>
        </is>
      </c>
      <c r="D31" s="17" t="inlineStr">
        <is>
          <t>9000-8-30</t>
        </is>
      </c>
      <c r="E31" s="17" t="inlineStr">
        <is>
          <t>9000-8-29</t>
        </is>
      </c>
      <c r="F31" s="17" t="inlineStr">
        <is>
          <t>9000-8-31</t>
        </is>
      </c>
      <c r="G31" s="17" t="inlineStr">
        <is>
          <t>소방펌프실 가설 및 성능시험</t>
        </is>
      </c>
      <c r="H31" s="17" t="inlineStr">
        <is>
          <t>D+50</t>
        </is>
      </c>
      <c r="I31" s="17" t="inlineStr">
        <is>
          <t>기계/소방팀</t>
        </is>
      </c>
      <c r="J31" s="16" t="inlineStr">
        <is>
          <t>소방펌프실 주/충압펌프 거치 및 체절압력(≤140%), 정격(100%), 150% 부하(≥65%) 법정 성능시험</t>
        </is>
      </c>
      <c r="K31" s="35" t="inlineStr">
        <is>
          <t>1) STEP 1 (펌프 기초 및 방진가설): 콘크리트 패드 위에 다단원심 소방 주펌프 및 충압펌프 방진마운트 거치 및 축정렬
2) STEP 2 (성능시험 배관 및 유량계): 주배관에서 분기된 오리피스 차압식 유량계 배관 및 순환배관 릴리프밸브 설치
3) STEP 3 (3대 법정 성능시험 입회): 감리원 입회 하에 체절운전(정격 140% 이하), 100% 정격부하, 150% 피크부하 곡선 검증</t>
        </is>
      </c>
      <c r="L31" s="17" t="inlineStr">
        <is>
          <t>소방펌프실 가설 및 성능시험 시공계획서, 검측요청서 및 공인 시험성적서</t>
        </is>
      </c>
      <c r="M31" s="26" t="inlineStr">
        <is>
          <t>1) 소방펌프실 가설 및 성능시험 (9000-8-30) 과업 달성을 위해 KDS 47 철도설계기준 및 NFTC 화재안전기준을 100% 충족한다.
2) 소방 주펌프(100%), 충압펌프, 체절압력(≤140%), 150% 유량 성능시험배관 및 릴리프밸브을 엄격히 완수하여 책임감리원 최종 승인을 획득한다.</t>
        </is>
      </c>
      <c r="N31" s="75">
        <f>HYPERLINK(LEFT(CELL("filename",A1),FIND("[",CELL("filename",A1))-1)&amp;"10.기계분야\30_소방펌프실 가설 및 성능시험\표준서\30_소방펌프실 가설 및 성능시험_표준서.html", "👉 [클릭] 표준서 열기 📄")</f>
        <v/>
      </c>
      <c r="O31" s="26" t="inlineStr">
        <is>
          <t>1) STEP 1: 소방펌프 콘크리트 기초 패드 및 방진가대 시공: 방진스프링 마운트 거치 및 축정렬(Alignment)
2) STEP 2: 흡입·토출 배관, 플렉시블 조인트 및 밸브류 체결: 편심 레듀샤, 버터플라이 밸브(OS&amp;Y), 스트레이너</t>
        </is>
      </c>
      <c r="P31" s="76">
        <f>HYPERLINK(LEFT(CELL("filename",A1),FIND("[",CELL("filename",A1))-1)&amp;"10.기계분야\30_소방펌프실 가설 및 성능시험\수행지침\30_소방펌프실 가설 및 성능시험_수행지침.html", "👉 [클릭] 수행지침 열기 📄")</f>
        <v/>
      </c>
      <c r="Q31" s="26" t="inlineStr">
        <is>
          <t>1) 소방 주펌프 시방 및 다단 원심펌프(정격유량/양정 시방 부합, IE3 모터) 기준을 100% 충족하였는가?
2) 성능시험배관 검측 및 불합격 요소를 전면 차단하였는가?</t>
        </is>
      </c>
      <c r="R31" s="77">
        <f>HYPERLINK(LEFT(CELL("filename",A1),FIND("[",CELL("filename",A1))-1)&amp;"10.기계분야\30_소방펌프실 가설 및 성능시험\체크리스트\30_소방펌프실 가설 및 성능시험_체크리스트.html", "👉 [클릭] 체크리스트 열기 📄")</f>
        <v/>
      </c>
      <c r="S31" s="22" t="inlineStr">
        <is>
          <t>기계·소방 복합 시방 준수</t>
        </is>
      </c>
      <c r="T31" s="74" t="inlineStr">
        <is>
          <t>● KDS 47 철도설계기준, KCS 41 건축기계시방 및 NFTC/NFPC 화재안전기술기준 100% 준수</t>
        </is>
      </c>
      <c r="U31" s="73" t="inlineStr">
        <is>
          <t>1) 👉 [더블클릭] 체크리스트 열기 📄</t>
        </is>
      </c>
      <c r="V31" s="25" t="inlineStr">
        <is>
          <t>기계설비·소방 전문 감리 및 시공 기술자문단 상시 운영</t>
        </is>
      </c>
    </row>
    <row r="32" ht="48" customHeight="1">
      <c r="A32" s="17" t="inlineStr">
        <is>
          <t>9000</t>
        </is>
      </c>
      <c r="B32" s="17" t="inlineStr">
        <is>
          <t>9000-8</t>
        </is>
      </c>
      <c r="C32" s="17" t="inlineStr">
        <is>
          <t>기계설비·소방설비</t>
        </is>
      </c>
      <c r="D32" s="17" t="inlineStr">
        <is>
          <t>9000-8-31</t>
        </is>
      </c>
      <c r="E32" s="17" t="inlineStr">
        <is>
          <t>9000-8-30</t>
        </is>
      </c>
      <c r="F32" s="17" t="inlineStr">
        <is>
          <t>9000-8-32</t>
        </is>
      </c>
      <c r="G32" s="17" t="inlineStr">
        <is>
          <t>정거장 인승용 승강기(17_24인승)</t>
        </is>
      </c>
      <c r="H32" s="17" t="inlineStr">
        <is>
          <t>D+55</t>
        </is>
      </c>
      <c r="I32" s="17" t="inlineStr">
        <is>
          <t>기계/소방팀</t>
        </is>
      </c>
      <c r="J32" s="16" t="inlineStr">
        <is>
          <t>정거장 MRL(기계실 없는) 인승용 승강기 설치 및 KoELSA 완성검사 필증 획득</t>
        </is>
      </c>
      <c r="K32" s="35" t="inlineStr">
        <is>
          <t>1) STEP 1 (승강로 수직도 및 레일 조립): 승강로 수직도(오차 ≤ ±5mm) 실측 후 13K 가이드레일 브래킷 앵커링 및 조립
2) STEP 2 (PMSM 권상기 및 카 조립): PMSM 영구자석 기어리스 권상기 안착, 메인로프(안전율 ≥ 12) 텐션 조정 및 카 조립
3) STEP 3 (KoELSA 법정 완성검사): 128채널 3D 도어센서, 정전 시 ARD 구출장치, 조속기 비상정지장치 실부하 시험 100% 합격</t>
        </is>
      </c>
      <c r="L32" s="17" t="inlineStr">
        <is>
          <t>정거장 인승용 승강기(17_24인승) 시공계획서, 검측요청서 및 공인 시험성적서</t>
        </is>
      </c>
      <c r="M32" s="26" t="inlineStr">
        <is>
          <t>1) 정거장 인승용 승강기(17_24인승) (9000-8-31) 과업 달성을 위해 KDS 47 철도설계기준 및 NFTC 화재안전기준을 100% 충족한다.
2) 승강로 수직도(±5mm), 도어 다점 안전센서, 비상통화장치 및 한국승강기안전공단(KoELSA) 검사을 엄격히 완수하여 책임감리원 최종 승인을 획득한다.</t>
        </is>
      </c>
      <c r="N32" s="75">
        <f>HYPERLINK(LEFT(CELL("filename",A1),FIND("[",CELL("filename",A1))-1)&amp;"10.기계분야\31_정거장 인승용 승강기(17_24인승)\표준서\31_정거장 인승용 승강기(17_24인승)_표준서.html", "👉 [클릭] 표준서 열기 📄")</f>
        <v/>
      </c>
      <c r="O32" s="26" t="inlineStr">
        <is>
          <t>1) STEP 1: 승강로 골조 치수, 피트 깊이 및 수직도 실측: 레이저 수직 측정기를 이용한 오차 검측
2) STEP 2: 가이드레일 브라켓 및 T형 레일 조립: 레일 브라켓 앵커링 및 조인트 플레이트 체결</t>
        </is>
      </c>
      <c r="P32" s="76">
        <f>HYPERLINK(LEFT(CELL("filename",A1),FIND("[",CELL("filename",A1))-1)&amp;"10.기계분야\31_정거장 인승용 승강기(17_24인승)\수행지침\31_정거장 인승용 승강기(17_24인승)_수행지침.html", "👉 [클릭] 수행지침 열기 📄")</f>
        <v/>
      </c>
      <c r="Q32" s="26" t="inlineStr">
        <is>
          <t>1) MRL 권상기 시방 및 영구자석 동기전동기(PMSM) 기어리스 권상기 기준을 100% 충족하였는가?
2) 가이드 레일 검측 및 불합격 요소를 전면 차단하였는가?</t>
        </is>
      </c>
      <c r="R32" s="77">
        <f>HYPERLINK(LEFT(CELL("filename",A1),FIND("[",CELL("filename",A1))-1)&amp;"10.기계분야\31_정거장 인승용 승강기(17_24인승)\체크리스트\31_정거장 인승용 승강기(17_24인승)_체크리스트.html", "👉 [클릭] 체크리스트 열기 📄")</f>
        <v/>
      </c>
      <c r="S32" s="22" t="inlineStr">
        <is>
          <t>기계·소방 복합 시방 준수</t>
        </is>
      </c>
      <c r="T32" s="74" t="inlineStr">
        <is>
          <t>● KDS 47 철도설계기준, KCS 41 건축기계시방 및 NFTC/NFPC 화재안전기술기준 100% 준수</t>
        </is>
      </c>
      <c r="U32" s="73" t="inlineStr">
        <is>
          <t>1) 👉 [더블클릭] 체크리스트 열기 📄</t>
        </is>
      </c>
      <c r="V32" s="25" t="inlineStr">
        <is>
          <t>기계설비·소방 전문 감리 및 시공 기술자문단 상시 운영</t>
        </is>
      </c>
    </row>
    <row r="33" ht="48" customHeight="1">
      <c r="A33" s="17" t="inlineStr">
        <is>
          <t>9000</t>
        </is>
      </c>
      <c r="B33" s="17" t="inlineStr">
        <is>
          <t>9000-8</t>
        </is>
      </c>
      <c r="C33" s="17" t="inlineStr">
        <is>
          <t>기계설비·소방설비</t>
        </is>
      </c>
      <c r="D33" s="17" t="inlineStr">
        <is>
          <t>9000-8-32</t>
        </is>
      </c>
      <c r="E33" s="17" t="inlineStr">
        <is>
          <t>9000-8-31</t>
        </is>
      </c>
      <c r="F33" s="17" t="inlineStr">
        <is>
          <t>9000-8-33</t>
        </is>
      </c>
      <c r="G33" s="17" t="inlineStr">
        <is>
          <t>검수고 관통형 화물용 EV</t>
        </is>
      </c>
      <c r="H33" s="17" t="inlineStr">
        <is>
          <t>D+60</t>
        </is>
      </c>
      <c r="I33" s="17" t="inlineStr">
        <is>
          <t>기계/소방팀</t>
        </is>
      </c>
      <c r="J33" s="16" t="inlineStr">
        <is>
          <t>차량기지 종합검수고 관통형(양방향 도어) 3~5ton 화물용 승강기 가설 및 지게차 진입 바닥 보강</t>
        </is>
      </c>
      <c r="K33" s="35" t="inlineStr">
        <is>
          <t>1) STEP 1 (중하중 승강로 구조 보강): 지게차(자중 4.5ton) 진입 하중을 견디도록 카 바닥 H형강 및 4.5T 체크플레이트 보강
2) STEP 2 (관통형 양방향 도어 인터록): 1층 전면 도어와 2층 후면 도어가 동시 개방되지 않도록 안전 인터록 릴레이 구축
3) STEP 3 (125% 과부하 하중시험): 정격 적재하중의 125%(6.25ton) 추를 탑재하여 권상 제동력 및 슬립 유무 정밀 안전검사</t>
        </is>
      </c>
      <c r="L33" s="17" t="inlineStr">
        <is>
          <t>검수고 관통형 화물용 EV 시공계획서, 검측요청서 및 공인 시험성적서</t>
        </is>
      </c>
      <c r="M33" s="26" t="inlineStr">
        <is>
          <t>1) 검수고 관통형 화물용 EV (9000-8-32) 과업 달성을 위해 KDS 47 철도설계기준 및 NFTC 화재안전기준을 100% 충족한다.
2) 차량기지 종합검수고 대형 중정비 자재 운반용 관통형(앞뒤 개폐) 화물 EV, 바닥 하중보강을 엄격히 완수하여 책임감리원 최종 승인을 획득한다.</t>
        </is>
      </c>
      <c r="N33" s="75">
        <f>HYPERLINK(LEFT(CELL("filename",A1),FIND("[",CELL("filename",A1))-1)&amp;"10.기계분야\32_검수고 관통형 화물용 EV\표준서\32_검수고 관통형 화물용 EV_표준서.html", "👉 [클릭] 표준서 열기 📄")</f>
        <v/>
      </c>
      <c r="O33" s="26" t="inlineStr">
        <is>
          <t>1) STEP 1: 대형 화물용 승강로 구조 및 지게차 동선 검토: 카 내부 치수(W2.5m x D3.5m 이상) 및 하중 대조
2) STEP 2: 대형 H형강 카 프레임 및 중량 레일 가설: T형 중량 가이드레일(24K/30K) 및 브라켓 체결</t>
        </is>
      </c>
      <c r="P33" s="76">
        <f>HYPERLINK(LEFT(CELL("filename",A1),FIND("[",CELL("filename",A1))-1)&amp;"10.기계분야\32_검수고 관통형 화물용 EV\수행지침\32_검수고 관통형 화물용 EV_수행지침.html", "👉 [클릭] 수행지침 열기 📄")</f>
        <v/>
      </c>
      <c r="Q33" s="26" t="inlineStr">
        <is>
          <t>1) 화물 적재 용량 시방 및 정격 적재 하중 3,000kg ~ 5,000kg 대형 카 기준을 100% 충족하였는가?
2) 관통형 도어(Through) 검측 및 불합격 요소를 전면 차단하였는가?</t>
        </is>
      </c>
      <c r="R33" s="77">
        <f>HYPERLINK(LEFT(CELL("filename",A1),FIND("[",CELL("filename",A1))-1)&amp;"10.기계분야\32_검수고 관통형 화물용 EV\체크리스트\32_검수고 관통형 화물용 EV_체크리스트.html", "👉 [클릭] 체크리스트 열기 📄")</f>
        <v/>
      </c>
      <c r="S33" s="22" t="inlineStr">
        <is>
          <t>기계·소방 복합 시방 준수</t>
        </is>
      </c>
      <c r="T33" s="74" t="inlineStr">
        <is>
          <t>● KDS 47 철도설계기준, KCS 41 건축기계시방 및 NFTC/NFPC 화재안전기술기준 100% 준수</t>
        </is>
      </c>
      <c r="U33" s="73" t="inlineStr">
        <is>
          <t>1) 👉 [더블클릭] 체크리스트 열기 📄</t>
        </is>
      </c>
      <c r="V33" s="25" t="inlineStr">
        <is>
          <t>기계설비·소방 전문 감리 및 시공 기술자문단 상시 운영</t>
        </is>
      </c>
    </row>
    <row r="34" ht="48" customHeight="1">
      <c r="A34" s="17" t="inlineStr">
        <is>
          <t>9000</t>
        </is>
      </c>
      <c r="B34" s="17" t="inlineStr">
        <is>
          <t>9000-8</t>
        </is>
      </c>
      <c r="C34" s="17" t="inlineStr">
        <is>
          <t>기계설비·소방설비</t>
        </is>
      </c>
      <c r="D34" s="17" t="inlineStr">
        <is>
          <t>9000-8-33</t>
        </is>
      </c>
      <c r="E34" s="17" t="inlineStr">
        <is>
          <t>9000-8-32</t>
        </is>
      </c>
      <c r="F34" s="17" t="inlineStr">
        <is>
          <t>9000-8-34</t>
        </is>
      </c>
      <c r="G34" s="17" t="inlineStr">
        <is>
          <t>DDC_IP DDC 자동제어 백업 이중화</t>
        </is>
      </c>
      <c r="H34" s="17" t="inlineStr">
        <is>
          <t>D+65</t>
        </is>
      </c>
      <c r="I34" s="17" t="inlineStr">
        <is>
          <t>기계/소방팀</t>
        </is>
      </c>
      <c r="J34" s="16" t="inlineStr">
        <is>
          <t>기계설비 직접디지털제어(IP DDC) 판넬 설치, BACnet 국제표준 통신 및 관제서버 무중단 이중화</t>
        </is>
      </c>
      <c r="K34" s="35" t="inlineStr">
        <is>
          <t>1) STEP 1 (IP DDC 필드 제어반 결선): 기계실 및 공조실 DDC 판넬에 아날로그(AI/AO), 디지털(DI/DO) 센서·밸브 케이블 결선
2) STEP 2 (BACnet 통신 루프 구축): 개방형 BACnet/IP 프로토콜을 적용하여 중앙 방재실 관제 컴퓨터와 실시간 데이터 통신 연동
3) STEP 3 (서버 0초 이중화 절환 시험): 메인 관제 서버 강제 다운 시 대기 중인 백업 서버로 데이터 손실 없이 0초 절환 검증</t>
        </is>
      </c>
      <c r="L34" s="17" t="inlineStr">
        <is>
          <t>DDC_IP DDC 자동제어 백업 이중화 시공계획서, 검측요청서 및 공인 시험성적서</t>
        </is>
      </c>
      <c r="M34" s="26" t="inlineStr">
        <is>
          <t>1) DDC_IP DDC 자동제어 백업 이중화 (9000-8-33) 과업 달성을 위해 KDS 47 철도설계기준 및 NFTC 화재안전기준을 100% 충족한다.
2) 원격 관제 DDC 패널, BACnet 표준 통신, 메인/백업 중앙 감시 서버 무중단 절환 체계을 엄격히 완수하여 책임감리원 최종 승인을 획득한다.</t>
        </is>
      </c>
      <c r="N34" s="75">
        <f>HYPERLINK(LEFT(CELL("filename",A1),FIND("[",CELL("filename",A1))-1)&amp;"10.기계분야\33_DDC_IP DDC 자동제어 백업 이중화\표준서\33_DDC_IP DDC 자동제어 백업 이중화_표준서.html", "👉 [클릭] 표준서 열기 📄")</f>
        <v/>
      </c>
      <c r="O34" s="26" t="inlineStr">
        <is>
          <t>1) STEP 1: 자동제어 I/O 포인트 일람표 및 통신 선로 설계 대조: 수천 개 감시/제어 포인트 1:1 매핑
2) STEP 2: 기계실 IP DDC 패널 가설 및 필드 센서/밸브 배선: 온습도센서, 차압스위치, 비례제어밸브 결선</t>
        </is>
      </c>
      <c r="P34" s="76">
        <f>HYPERLINK(LEFT(CELL("filename",A1),FIND("[",CELL("filename",A1))-1)&amp;"10.기계분야\33_DDC_IP DDC 자동제어 백업 이중화\수행지침\33_DDC_IP DDC 자동제어 백업 이중화_수행지침.html", "👉 [클릭] 수행지침 열기 📄")</f>
        <v/>
      </c>
      <c r="Q34" s="26" t="inlineStr">
        <is>
          <t>1) IP DDC 제어반 시방 및 32비트 고성능 마이크로프로세서 DDC 패널 기준을 100% 충족하였는가?
2) 개방형 프로토콜 검측 및 불합격 요소를 전면 차단하였는가?</t>
        </is>
      </c>
      <c r="R34" s="77">
        <f>HYPERLINK(LEFT(CELL("filename",A1),FIND("[",CELL("filename",A1))-1)&amp;"10.기계분야\33_DDC_IP DDC 자동제어 백업 이중화\체크리스트\33_DDC_IP DDC 자동제어 백업 이중화_체크리스트.html", "👉 [클릭] 체크리스트 열기 📄")</f>
        <v/>
      </c>
      <c r="S34" s="22" t="inlineStr">
        <is>
          <t>기계·소방 복합 시방 준수</t>
        </is>
      </c>
      <c r="T34" s="74" t="inlineStr">
        <is>
          <t>● KDS 47 철도설계기준, KCS 41 건축기계시방 및 NFTC/NFPC 화재안전기술기준 100% 준수</t>
        </is>
      </c>
      <c r="U34" s="73" t="inlineStr">
        <is>
          <t>1) 👉 [더블클릭] 체크리스트 열기 📄</t>
        </is>
      </c>
      <c r="V34" s="25" t="inlineStr">
        <is>
          <t>기계설비·소방 전문 감리 및 시공 기술자문단 상시 운영</t>
        </is>
      </c>
    </row>
    <row r="35" ht="48" customHeight="1">
      <c r="A35" s="17" t="inlineStr">
        <is>
          <t>9000</t>
        </is>
      </c>
      <c r="B35" s="17" t="inlineStr">
        <is>
          <t>9000-8</t>
        </is>
      </c>
      <c r="C35" s="17" t="inlineStr">
        <is>
          <t>기계설비·소방설비</t>
        </is>
      </c>
      <c r="D35" s="17" t="inlineStr">
        <is>
          <t>9000-8-34</t>
        </is>
      </c>
      <c r="E35" s="17" t="inlineStr">
        <is>
          <t>9000-8-33</t>
        </is>
      </c>
      <c r="F35" s="17" t="inlineStr">
        <is>
          <t>9000-8-35</t>
        </is>
      </c>
      <c r="G35" s="17" t="inlineStr">
        <is>
          <t>화재연동 인터록 실부하 시험</t>
        </is>
      </c>
      <c r="H35" s="17" t="inlineStr">
        <is>
          <t>D+70</t>
        </is>
      </c>
      <c r="I35" s="17" t="inlineStr">
        <is>
          <t>기계/소방팀</t>
        </is>
      </c>
      <c r="J35" s="16" t="inlineStr">
        <is>
          <t>화재 수신반 신호 수신 즉시 공조기 100% 강제 정지 및 제연팬 배연 모드 자동 인터록</t>
        </is>
      </c>
      <c r="K35" s="35" t="inlineStr">
        <is>
          <t>1) STEP 1 (하드와이어드 인터록 회로 구성): 화재수신반 경보 접점을 공조기 MCC 조작전원 차단 계전기(B접점)와 직결
2) STEP 2 (제연댐퍼 및 팬 시퀀스 연동): 화재 구역 제연 풍도 댐퍼가 완전 개방된 후 리미트 스위치 신호로 제연팬 자동 가동
3) STEP 3 (실부하 화재 모의시험): 연기감지기 실발화 시험을 실시하여 3초 이내 공조기 정지 및 제연팬 정상 기동 확인</t>
        </is>
      </c>
      <c r="L35" s="17" t="inlineStr">
        <is>
          <t>화재연동 인터록 실부하 시험 시공계획서, 검측요청서 및 공인 시험성적서</t>
        </is>
      </c>
      <c r="M35" s="26" t="inlineStr">
        <is>
          <t>1) 화재연동 인터록 실부하 시험 (9000-8-34) 과업 달성을 위해 KDS 47 철도설계기준 및 NFTC 화재안전기준을 100% 충족한다.
2) 화재수신반 경보 시 공조기 즉시 정지, 제연팬 배연 모드 자동 전환 및 방화댐퍼 연동을 엄격히 완수하여 책임감리원 최종 승인을 획득한다.</t>
        </is>
      </c>
      <c r="N35" s="75">
        <f>HYPERLINK(LEFT(CELL("filename",A1),FIND("[",CELL("filename",A1))-1)&amp;"10.기계분야\34_화재연동 인터록 실부하 시험\표준서\34_화재연동 인터록 실부하 시험_표준서.html", "👉 [클릭] 표준서 열기 📄")</f>
        <v/>
      </c>
      <c r="O35" s="26" t="inlineStr">
        <is>
          <t>1) STEP 1: 화재 연동 방재 매트릭스(Cause &amp; Effect) 수립: 구역별 화재 시나리오 및 인터록 시퀀스 확정
2) STEP 2: 공조기 MCC 정지 접점 및 제연팬 기동 결선 점검: 하드와이어드(Hardwired) 안전 인터록 확인</t>
        </is>
      </c>
      <c r="P35" s="76">
        <f>HYPERLINK(LEFT(CELL("filename",A1),FIND("[",CELL("filename",A1))-1)&amp;"10.기계분야\34_화재연동 인터록 실부하 시험\수행지침\34_화재연동 인터록 실부하 시험_수행지침.html", "👉 [클릭] 수행지침 열기 📄")</f>
        <v/>
      </c>
      <c r="Q35" s="26" t="inlineStr">
        <is>
          <t>1) 화재 감지기 연동 시방 및 광전식 연기감지기/차동식 열감지기 화재 신호 기준을 100% 충족하였는가?
2) 공조기 전원 차단 검측 및 불합격 요소를 전면 차단하였는가?</t>
        </is>
      </c>
      <c r="R35" s="77">
        <f>HYPERLINK(LEFT(CELL("filename",A1),FIND("[",CELL("filename",A1))-1)&amp;"10.기계분야\34_화재연동 인터록 실부하 시험\체크리스트\34_화재연동 인터록 실부하 시험_체크리스트.html", "👉 [클릭] 체크리스트 열기 📄")</f>
        <v/>
      </c>
      <c r="S35" s="22" t="inlineStr">
        <is>
          <t>기계·소방 복합 시방 준수</t>
        </is>
      </c>
      <c r="T35" s="74" t="inlineStr">
        <is>
          <t>● KDS 47 철도설계기준, KCS 41 건축기계시방 및 NFTC/NFPC 화재안전기술기준 100% 준수</t>
        </is>
      </c>
      <c r="U35" s="73" t="inlineStr">
        <is>
          <t>1) 👉 [더블클릭] 체크리스트 열기 📄</t>
        </is>
      </c>
      <c r="V35" s="25" t="inlineStr">
        <is>
          <t>기계설비·소방 전문 감리 및 시공 기술자문단 상시 운영</t>
        </is>
      </c>
    </row>
    <row r="36" ht="48" customHeight="1">
      <c r="A36" s="17" t="inlineStr">
        <is>
          <t>9000</t>
        </is>
      </c>
      <c r="B36" s="17" t="inlineStr">
        <is>
          <t>9000-8</t>
        </is>
      </c>
      <c r="C36" s="17" t="inlineStr">
        <is>
          <t>기계설비·소방설비</t>
        </is>
      </c>
      <c r="D36" s="17" t="inlineStr">
        <is>
          <t>9000-8-35</t>
        </is>
      </c>
      <c r="E36" s="17" t="inlineStr">
        <is>
          <t>9000-8-34</t>
        </is>
      </c>
      <c r="F36" s="17" t="inlineStr">
        <is>
          <t>9000-8-36</t>
        </is>
      </c>
      <c r="G36" s="17" t="inlineStr">
        <is>
          <t>TAB(풍량_수량 밸런싱) 측정</t>
        </is>
      </c>
      <c r="H36" s="17" t="inlineStr">
        <is>
          <t>D+75</t>
        </is>
      </c>
      <c r="I36" s="17" t="inlineStr">
        <is>
          <t>기계/소방팀</t>
        </is>
      </c>
      <c r="J36" s="16" t="inlineStr">
        <is>
          <t>공조 덕트 풍량(오차 ±10% 이내) 및 수배관 유량 정밀 측정·조정(TAB)으로 쾌적성 확보</t>
        </is>
      </c>
      <c r="K36" s="35" t="inlineStr">
        <is>
          <t>1) STEP 1 (공조 덕트 풍량 TAB): 피토관 및 플로우 후드를 이용하여 주덕트와 각 디퓨저 취출 풍량을 설계치 ±10%로 교정
2) STEP 2 (수배관 유량 TAB): 초음파 비파괴 유량계로 냉온수 배관 순환 유량을 측정하고 밸런싱 밸브 차압(ΔP) 정밀 조정
3) STEP 3 (소음 및 온습도 검증): 정거장 실내 소음(NC 35~40) 및 실별 온·습도 분포도를 24시간 연속 측정하여 TAB 성적서 발급</t>
        </is>
      </c>
      <c r="L36" s="17" t="inlineStr">
        <is>
          <t>TAB(풍량_수량 밸런싱) 측정 시공계획서, 검측요청서 및 공인 시험성적서</t>
        </is>
      </c>
      <c r="M36" s="26" t="inlineStr">
        <is>
          <t>1) TAB(풍량_수량 밸런싱) 측정 (9000-8-35) 과업 달성을 위해 KDS 47 철도설계기준 및 NFTC 화재안전기준을 100% 충족한다.
2) 실별 설계 풍량/수량 정밀 측정, 디퓨저 풍량비 ±10% 및 밸런싱 밸브 오차 조정을 엄격히 완수하여 책임감리원 최종 승인을 획득한다.</t>
        </is>
      </c>
      <c r="N36" s="75">
        <f>HYPERLINK(LEFT(CELL("filename",A1),FIND("[",CELL("filename",A1))-1)&amp;"10.기계분야\35_TAB(풍량_수량 밸런싱) 측정\표준서\35_TAB(풍량_수량 밸런싱) 측정_표준서.html", "👉 [클릭] 표준서 열기 📄")</f>
        <v/>
      </c>
      <c r="O36" s="26" t="inlineStr">
        <is>
          <t>1) STEP 1: TAB 사전 검토 및 측정 계획서 수립: 설계 도면, 장비 사양서, 계통도 사전 분석
2) STEP 2: 공조 덕트 주풍량 및 디퓨저 풍량 측정·조정: 피토관 및 플로우 후드를 이용한 비례조정</t>
        </is>
      </c>
      <c r="P36" s="76">
        <f>HYPERLINK(LEFT(CELL("filename",A1),FIND("[",CELL("filename",A1))-1)&amp;"10.기계분야\35_TAB(풍량_수량 밸런싱) 측정\수행지침\35_TAB(풍량_수량 밸런싱) 측정_수행지침.html", "👉 [클릭] 수행지침 열기 📄")</f>
        <v/>
      </c>
      <c r="Q36" s="26" t="inlineStr">
        <is>
          <t>1) 덕트 풍량 밸런싱 시방 및 주덕트 피토관 다점 측정 및 볼륨댐퍼(VD) 조정 기준을 100% 충족하였는가?
2) 디퓨저 취출 풍량 검측 및 불합격 요소를 전면 차단하였는가?</t>
        </is>
      </c>
      <c r="R36" s="77">
        <f>HYPERLINK(LEFT(CELL("filename",A1),FIND("[",CELL("filename",A1))-1)&amp;"10.기계분야\35_TAB(풍량_수량 밸런싱) 측정\체크리스트\35_TAB(풍량_수량 밸런싱) 측정_체크리스트.html", "👉 [클릭] 체크리스트 열기 📄")</f>
        <v/>
      </c>
      <c r="S36" s="22" t="inlineStr">
        <is>
          <t>기계·소방 복합 시방 준수</t>
        </is>
      </c>
      <c r="T36" s="74" t="inlineStr">
        <is>
          <t>● KDS 47 철도설계기준, KCS 41 건축기계시방 및 NFTC/NFPC 화재안전기술기준 100% 준수</t>
        </is>
      </c>
      <c r="U36" s="73" t="inlineStr">
        <is>
          <t>1) 👉 [더블클릭] 체크리스트 열기 📄</t>
        </is>
      </c>
      <c r="V36" s="25" t="inlineStr">
        <is>
          <t>기계설비·소방 전문 감리 및 시공 기술자문단 상시 운영</t>
        </is>
      </c>
    </row>
    <row r="37" ht="48" customHeight="1">
      <c r="A37" s="17" t="inlineStr">
        <is>
          <t>9000</t>
        </is>
      </c>
      <c r="B37" s="17" t="inlineStr">
        <is>
          <t>9000-8</t>
        </is>
      </c>
      <c r="C37" s="17" t="inlineStr">
        <is>
          <t>기계설비·소방설비</t>
        </is>
      </c>
      <c r="D37" s="17" t="inlineStr">
        <is>
          <t>9000-8-36</t>
        </is>
      </c>
      <c r="E37" s="17" t="inlineStr">
        <is>
          <t>9000-8-35</t>
        </is>
      </c>
      <c r="F37" s="17" t="inlineStr">
        <is>
          <t>-</t>
        </is>
      </c>
      <c r="G37" s="17" t="inlineStr">
        <is>
          <t>소방 완공검사 및 종합인계</t>
        </is>
      </c>
      <c r="H37" s="17" t="inlineStr">
        <is>
          <t>D+80</t>
        </is>
      </c>
      <c r="I37" s="17" t="inlineStr">
        <is>
          <t>기계/소방팀</t>
        </is>
      </c>
      <c r="J37" s="16" t="inlineStr">
        <is>
          <t>관할 소방서 완공검사필증 획득, As-Built 준공도서 편찬 및 운영사(화성도시공사) 무결점 인수인계</t>
        </is>
      </c>
      <c r="K37" s="35" t="inlineStr">
        <is>
          <t>1) STEP 1 (관할 소방서 완공 실사): 소방감리원 및 소방관 합동 현장 실사를 통해 소화·경보·피난설비 전수 작동 검사
2) STEP 2 (소방완공검사필증 수령): 지적사항 0건으로 소방시설 완공검사증명서(필증)를 정식 교부받아 법적 준공 완료
3) STEP 3 (준공도서 및 운영자 교육): 3D As-Built 준공도면, 시운전 성적서, 2년분 예비품을 인계하고 운영팀 40시간 기술교육 이수</t>
        </is>
      </c>
      <c r="L37" s="17" t="inlineStr">
        <is>
          <t>소방 완공검사 및 종합인계 시공계획서, 검측요청서 및 공인 시험성적서</t>
        </is>
      </c>
      <c r="M37" s="26" t="inlineStr">
        <is>
          <t>1) 소방 완공검사 및 종합인계 (9000-8-36) 과업 달성을 위해 KDS 47 철도설계기준 및 NFTC 화재안전기준을 100% 충족한다.
2) 관할 소방서 현장 실사 완공필증 획득, 시운전 성적서 및 기계/소방 시설물 종합 인수인계을 엄격히 완수하여 책임감리원 최종 승인을 획득한다.</t>
        </is>
      </c>
      <c r="N37" s="75">
        <f>HYPERLINK(LEFT(CELL("filename",A1),FIND("[",CELL("filename",A1))-1)&amp;"10.기계분야\36_소방 완공검사 및 종합인계\표준서\36_소방 완공검사 및 종합인계_표준서.html", "👉 [클릭] 표준서 열기 📄")</f>
        <v/>
      </c>
      <c r="O37" s="26" t="inlineStr">
        <is>
          <t>1) STEP 1: 소방시설 완공검사 신청서 제출 및 사전 자체 점검: 모든 소방 설비 100% 작동 사전 리허설
2) STEP 2: 관할 소방서 합동 현장 실사 및 성능 시연: 소방관 입회 옥내소화전 방수 및 제연 시험</t>
        </is>
      </c>
      <c r="P37" s="76">
        <f>HYPERLINK(LEFT(CELL("filename",A1),FIND("[",CELL("filename",A1))-1)&amp;"10.기계분야\36_소방 완공검사 및 종합인계\수행지침\36_소방 완공검사 및 종합인계_수행지침.html", "👉 [클릭] 수행지침 열기 📄")</f>
        <v/>
      </c>
      <c r="Q37" s="26" t="inlineStr">
        <is>
          <t>1) 소방 완공검사 시방 및 관할 소방서 공무원 입회 현장 실사 및 성능 시험 기준을 100% 충족하였는가?
2) 준공도서(As-Built) 검측 및 불합격 요소를 전면 차단하였는가?</t>
        </is>
      </c>
      <c r="R37" s="77">
        <f>HYPERLINK(LEFT(CELL("filename",A1),FIND("[",CELL("filename",A1))-1)&amp;"10.기계분야\36_소방 완공검사 및 종합인계\체크리스트\36_소방 완공검사 및 종합인계_체크리스트.html", "👉 [클릭] 체크리스트 열기 📄")</f>
        <v/>
      </c>
      <c r="S37" s="22" t="inlineStr">
        <is>
          <t>기계·소방 복합 시방 준수</t>
        </is>
      </c>
      <c r="T37" s="74" t="inlineStr">
        <is>
          <t>● KDS 47 철도설계기준, KCS 41 건축기계시방 및 NFTC/NFPC 화재안전기술기준 100% 준수</t>
        </is>
      </c>
      <c r="U37" s="73" t="inlineStr">
        <is>
          <t>1) 👉 [더블클릭] 체크리스트 열기 📄</t>
        </is>
      </c>
      <c r="V37" s="25" t="inlineStr">
        <is>
          <t>기계설비·소방 전문 감리 및 시공 기술자문단 상시 운영</t>
        </is>
      </c>
    </row>
    <row r="38" ht="19.2" customHeight="1"/>
    <row r="39" ht="19.2" customHeight="1"/>
  </sheetData>
  <pageMargins left="0.7086614173228347" right="0.7086614173228347" top="0.7480314960629921" bottom="0.7480314960629921" header="0.3149606299212598" footer="0.3149606299212598"/>
  <pageSetup orientation="landscape" paperSize="8" scale="35" verticalDpi="0"/>
  <colBreaks count="1" manualBreakCount="1">
    <brk id="19" min="0" max="1048575" man="1"/>
  </colBreaks>
</worksheet>
</file>

<file path=xl/worksheets/sheet11.xml><?xml version="1.0" encoding="utf-8"?>
<worksheet xmlns="http://schemas.openxmlformats.org/spreadsheetml/2006/main">
  <sheetPr codeName="Sheet11">
    <tabColor rgb="FFFFFF00"/>
    <outlinePr summaryBelow="1" summaryRight="1"/>
    <pageSetUpPr/>
  </sheetPr>
  <dimension ref="A1:A7"/>
  <sheetViews>
    <sheetView workbookViewId="0">
      <selection activeCell="N13" sqref="N13"/>
    </sheetView>
  </sheetViews>
  <sheetFormatPr baseColWidth="8" defaultRowHeight="17.4"/>
  <cols>
    <col width="29.69921875" customWidth="1" style="66" min="1" max="1"/>
  </cols>
  <sheetData>
    <row r="1">
      <c r="A1" s="67" t="inlineStr">
        <is>
          <t>창릉역</t>
        </is>
      </c>
    </row>
    <row r="2">
      <c r="A2" s="67" t="inlineStr">
        <is>
          <t>현장매뉴얼</t>
        </is>
      </c>
    </row>
    <row r="3">
      <c r="A3" s="67" t="inlineStr">
        <is>
          <t>트램특성적용</t>
        </is>
      </c>
    </row>
    <row r="4">
      <c r="A4" s="67" t="inlineStr">
        <is>
          <t>위례 계획 보고서</t>
        </is>
      </c>
    </row>
    <row r="5">
      <c r="A5" s="67" t="inlineStr">
        <is>
          <t>도로신호,기본설계보고서 참조</t>
        </is>
      </c>
    </row>
    <row r="6">
      <c r="A6" s="67" t="inlineStr">
        <is>
          <t>GTX A 전체본 (김영환 부장)</t>
        </is>
      </c>
    </row>
    <row r="7">
      <c r="A7" s="67" t="n"/>
    </row>
  </sheetData>
  <pageMargins left="0.7" right="0.7" top="0.75" bottom="0.75" header="0.3" footer="0.3"/>
  <pageSetup orientation="landscape" paperSize="8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2026-07-17T08:07:08Z</dcterms:created>
  <dcterms:modified xmlns:dcterms="http://purl.org/dc/terms/" xmlns:xsi="http://www.w3.org/2001/XMLSchema-instance" xsi:type="dcterms:W3CDTF">2026-08-14T14:07:47Z</dcterms:modified>
  <cp:lastModifiedBy>재형 김</cp:lastModifiedBy>
  <cp:lastPrinted>2026-08-14T14:04:48Z</cp:lastPrinted>
</cp:coreProperties>
</file>