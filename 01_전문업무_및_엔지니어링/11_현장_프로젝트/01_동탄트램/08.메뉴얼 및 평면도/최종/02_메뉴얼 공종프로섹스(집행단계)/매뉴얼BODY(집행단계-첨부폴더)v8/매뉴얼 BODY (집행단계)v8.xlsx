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835" firstSheet="0" activeTab="1" autoFilterDateGrouping="1"/>
  </bookViews>
  <sheets>
    <sheet xmlns:r="http://schemas.openxmlformats.org/officeDocument/2006/relationships" name="종합통계대시보드" sheetId="1" state="visible" r:id="rId1"/>
    <sheet xmlns:r="http://schemas.openxmlformats.org/officeDocument/2006/relationships" name="지반조사" sheetId="2" state="visible" r:id="rId2"/>
    <sheet xmlns:r="http://schemas.openxmlformats.org/officeDocument/2006/relationships" name="사전토공사" sheetId="3" state="visible" r:id="rId3"/>
    <sheet xmlns:r="http://schemas.openxmlformats.org/officeDocument/2006/relationships" name="지장물이설" sheetId="4" state="visible" r:id="rId4"/>
    <sheet xmlns:r="http://schemas.openxmlformats.org/officeDocument/2006/relationships" name="상부강화노반" sheetId="5" state="visible" r:id="rId5"/>
    <sheet xmlns:r="http://schemas.openxmlformats.org/officeDocument/2006/relationships" name="콘크리트도상" sheetId="6" state="visible" r:id="rId6"/>
    <sheet xmlns:r="http://schemas.openxmlformats.org/officeDocument/2006/relationships" name="건축" sheetId="7" state="visible" r:id="rId7"/>
    <sheet xmlns:r="http://schemas.openxmlformats.org/officeDocument/2006/relationships" name="신호" sheetId="8" state="visible" r:id="rId8"/>
    <sheet xmlns:r="http://schemas.openxmlformats.org/officeDocument/2006/relationships" name="전기" sheetId="9" state="visible" r:id="rId9"/>
    <sheet xmlns:r="http://schemas.openxmlformats.org/officeDocument/2006/relationships" name="통신" sheetId="10" state="visible" r:id="rId10"/>
    <sheet xmlns:r="http://schemas.openxmlformats.org/officeDocument/2006/relationships" name="기계" sheetId="11" state="visible" r:id="rId11"/>
    <sheet xmlns:r="http://schemas.openxmlformats.org/officeDocument/2006/relationships" name="철도종합시운전" sheetId="12" state="visible" r:id="rId12"/>
  </sheets>
  <definedNames>
    <definedName name="_xlnm.Print_Area" localSheetId="1">'지반조사'!$A$1:$S$37</definedName>
    <definedName name="_xlnm.Print_Titles" localSheetId="2">'사전토공사'!$1:$1</definedName>
    <definedName name="_xlnm.Print_Area" localSheetId="2">'사전토공사'!$A$1:$S$32</definedName>
    <definedName name="_xlnm.Print_Titles" localSheetId="3">'지장물이설'!$1:$1</definedName>
    <definedName name="_xlnm.Print_Area" localSheetId="3">'지장물이설'!$A$1:$S$39</definedName>
    <definedName name="_xlnm.Print_Area" localSheetId="4">'상부강화노반'!$A$1:$S$37</definedName>
    <definedName name="_xlnm.Print_Titles" localSheetId="5">'콘크리트도상'!$1:$1</definedName>
    <definedName name="_xlnm.Print_Area" localSheetId="5">'콘크리트도상'!$A$1:$S$24</definedName>
    <definedName name="_xlnm.Print_Area" localSheetId="6">'건축'!$A$1:$S$51</definedName>
    <definedName name="_xlnm.Print_Titles" localSheetId="7">'신호'!$1:$1</definedName>
    <definedName name="_xlnm.Print_Area" localSheetId="7">'신호'!$A$1:$S$23</definedName>
    <definedName name="_xlnm.Print_Area" localSheetId="8">'전기'!$A$1:$S$33</definedName>
    <definedName name="_xlnm.Print_Area" localSheetId="9">'통신'!$A$1:$S$33</definedName>
    <definedName name="_xlnm.Print_Titles" localSheetId="10">'기계'!$1:$1</definedName>
    <definedName name="_xlnm.Print_Area" localSheetId="10">'기계'!$A$1:$S$37</definedName>
    <definedName name="_xlnm.Print_Area" localSheetId="11">'철도종합시운전'!$A$1:$S$29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0.0%"/>
  </numFmts>
  <fonts count="35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sz val="12"/>
    </font>
    <font>
      <name val="맑은 고딕"/>
      <charset val="129"/>
      <family val="3"/>
      <b val="1"/>
      <color rgb="FFFFFFFF"/>
      <sz val="10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Arial"/>
      <family val="2"/>
      <b val="1"/>
      <color rgb="FF1F1F1F"/>
      <sz val="18"/>
    </font>
    <font>
      <name val="맑은 고딕"/>
      <charset val="129"/>
      <family val="3"/>
      <b val="1"/>
      <color rgb="FF047857"/>
      <sz val="10"/>
      <u val="single"/>
    </font>
    <font>
      <name val="맑은 고딕"/>
      <charset val="129"/>
      <family val="3"/>
      <b val="1"/>
      <color rgb="FF0284C7"/>
      <sz val="10"/>
      <u val="single"/>
    </font>
    <font>
      <name val="맑은 고딕"/>
      <charset val="129"/>
      <family val="3"/>
      <b val="1"/>
      <color rgb="FFD97706"/>
      <sz val="10"/>
      <u val="single"/>
    </font>
    <font>
      <name val="맑은 고딕"/>
      <charset val="129"/>
      <family val="3"/>
      <b val="1"/>
      <color rgb="FF0F172A"/>
      <sz val="9"/>
    </font>
    <font>
      <name val="맑은 고딕"/>
      <charset val="129"/>
      <family val="3"/>
      <color rgb="FF0F172A"/>
      <sz val="9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47857"/>
      <sz val="9"/>
      <u val="single"/>
    </font>
    <font>
      <name val="맑은 고딕"/>
      <charset val="129"/>
      <family val="3"/>
      <b val="1"/>
      <color rgb="FF0284C7"/>
      <sz val="9"/>
      <u val="single"/>
    </font>
    <font>
      <name val="맑은 고딕"/>
      <charset val="129"/>
      <family val="3"/>
      <b val="1"/>
      <color rgb="FFD97706"/>
      <sz val="9"/>
      <u val="single"/>
    </font>
    <font>
      <name val="맑은 고딕"/>
      <charset val="129"/>
      <family val="3"/>
      <b val="1"/>
      <color rgb="FF047857"/>
      <sz val="9"/>
      <u val="single"/>
    </font>
    <font>
      <name val="맑은 고딕"/>
      <charset val="129"/>
      <family val="3"/>
      <b val="1"/>
      <color rgb="FF0284C7"/>
      <sz val="9"/>
      <u val="single"/>
    </font>
    <font>
      <name val="맑은 고딕"/>
      <charset val="129"/>
      <family val="3"/>
      <b val="1"/>
      <color rgb="FFD97706"/>
      <sz val="9"/>
      <u val="single"/>
    </font>
    <font>
      <name val="맑은 고딕"/>
      <charset val="129"/>
      <family val="3"/>
      <b val="1"/>
      <color rgb="FF047857"/>
      <sz val="9"/>
      <u val="single"/>
    </font>
    <font>
      <name val="맑은 고딕"/>
      <charset val="129"/>
      <family val="3"/>
      <b val="1"/>
      <color rgb="FF0284C7"/>
      <sz val="9"/>
      <u val="single"/>
    </font>
    <font>
      <name val="맑은 고딕"/>
      <charset val="129"/>
      <family val="3"/>
      <b val="1"/>
      <color rgb="FFD97706"/>
      <sz val="9"/>
      <u val="single"/>
    </font>
    <font>
      <name val="맑은 고딕"/>
      <charset val="129"/>
      <family val="3"/>
      <b val="1"/>
      <color rgb="FF475569"/>
      <sz val="9"/>
    </font>
    <font>
      <name val="맑은 고딕"/>
      <charset val="129"/>
      <family val="3"/>
      <color rgb="FF64748B"/>
      <sz val="8"/>
    </font>
    <font>
      <name val="맑은 고딕"/>
      <charset val="129"/>
      <family val="3"/>
      <b val="1"/>
      <color rgb="FF0F172A"/>
      <sz val="9"/>
    </font>
    <font>
      <name val="맑은 고딕"/>
      <charset val="129"/>
      <family val="3"/>
      <color rgb="FF1E293B"/>
      <sz val="9"/>
    </font>
    <font>
      <name val="맑은 고딕"/>
      <charset val="129"/>
      <family val="3"/>
      <b val="1"/>
      <color rgb="FF0284C7"/>
      <sz val="9"/>
      <u val="single"/>
    </font>
    <font>
      <name val="맑은 고딕"/>
      <charset val="129"/>
      <family val="3"/>
      <b val="1"/>
      <color rgb="FF0F172A"/>
      <sz val="15"/>
    </font>
    <font>
      <name val="맑은 고딕"/>
      <charset val="129"/>
      <family val="3"/>
      <color rgb="FF475569"/>
      <sz val="9"/>
    </font>
    <font>
      <name val="맑은 고딕"/>
      <charset val="129"/>
      <family val="3"/>
      <b val="1"/>
      <color rgb="FF0F172A"/>
      <sz val="13"/>
    </font>
    <font>
      <name val="맑은 고딕"/>
      <charset val="129"/>
      <family val="3"/>
      <b val="1"/>
      <color rgb="FF1E293B"/>
      <sz val="11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0F172A"/>
      <sz val="10"/>
    </font>
    <font>
      <name val="맑은 고딕"/>
      <color rgb="001E293B"/>
      <sz val="9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0FDF4"/>
        <bgColor rgb="FFF0FDF4"/>
      </patternFill>
    </fill>
    <fill>
      <patternFill patternType="solid">
        <fgColor rgb="FFF0F9FF"/>
        <bgColor rgb="FFF0F9FF"/>
      </patternFill>
    </fill>
    <fill>
      <patternFill patternType="solid">
        <fgColor rgb="FFFFFBEB"/>
        <bgColor rgb="FFFFFBEB"/>
      </patternFill>
    </fill>
    <fill>
      <patternFill patternType="solid">
        <fgColor rgb="FFF0FDF4"/>
        <bgColor rgb="FFF0FDF4"/>
      </patternFill>
    </fill>
    <fill>
      <patternFill patternType="solid">
        <fgColor rgb="FFF0F9FF"/>
        <bgColor rgb="FFF0F9FF"/>
      </patternFill>
    </fill>
    <fill>
      <patternFill patternType="solid">
        <fgColor rgb="FFFFFBEB"/>
        <bgColor rgb="FFFFFBEB"/>
      </patternFill>
    </fill>
    <fill>
      <patternFill patternType="solid">
        <fgColor rgb="FFF1F5F9"/>
        <bgColor rgb="FFF1F5F9"/>
      </patternFill>
    </fill>
    <fill>
      <patternFill patternType="solid">
        <fgColor rgb="FFF0F9FF"/>
        <bgColor rgb="FFF0F9FF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334155"/>
        <bgColor rgb="FF33415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double">
        <color rgb="FF0F172A"/>
      </bottom>
      <diagonal/>
    </border>
  </borders>
  <cellStyleXfs count="1">
    <xf numFmtId="0" fontId="0" fillId="0" borderId="2"/>
  </cellStyleXfs>
  <cellXfs count="10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wrapText="1"/>
    </xf>
    <xf numFmtId="0" fontId="13" fillId="3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1" fillId="0" borderId="3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11" fillId="4" borderId="3" applyAlignment="1" pivotButton="0" quotePrefix="0" xfId="0">
      <alignment horizontal="center" vertical="center"/>
    </xf>
    <xf numFmtId="164" fontId="11" fillId="4" borderId="3" applyAlignment="1" pivotButton="0" quotePrefix="0" xfId="0">
      <alignment horizontal="center" vertical="center"/>
    </xf>
    <xf numFmtId="164" fontId="12" fillId="4" borderId="3" applyAlignment="1" pivotButton="0" quotePrefix="0" xfId="0">
      <alignment horizontal="center" vertical="center"/>
    </xf>
    <xf numFmtId="0" fontId="11" fillId="4" borderId="3" applyAlignment="1" pivotButton="0" quotePrefix="0" xfId="0">
      <alignment horizontal="left" vertical="center" wrapText="1"/>
    </xf>
    <xf numFmtId="0" fontId="12" fillId="4" borderId="3" applyAlignment="1" pivotButton="0" quotePrefix="0" xfId="0">
      <alignment horizontal="center" vertical="center"/>
    </xf>
    <xf numFmtId="0" fontId="12" fillId="4" borderId="3" applyAlignment="1" pivotButton="0" quotePrefix="0" xfId="0">
      <alignment horizontal="left" vertical="center" wrapText="1"/>
    </xf>
    <xf numFmtId="0" fontId="14" fillId="4" borderId="3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center"/>
    </xf>
    <xf numFmtId="14" fontId="12" fillId="4" borderId="3" applyAlignment="1" pivotButton="0" quotePrefix="0" xfId="0">
      <alignment horizontal="center" vertical="center"/>
    </xf>
    <xf numFmtId="14" fontId="12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readingOrder="1"/>
    </xf>
    <xf numFmtId="0" fontId="7" fillId="0" borderId="2" applyAlignment="1" pivotButton="0" quotePrefix="0" xfId="0">
      <alignment vertical="center" readingOrder="1"/>
    </xf>
    <xf numFmtId="0" fontId="6" fillId="0" borderId="2" applyAlignment="1" pivotButton="0" quotePrefix="0" xfId="0">
      <alignment horizontal="left" vertical="center" indent="1" readingOrder="1"/>
    </xf>
    <xf numFmtId="0" fontId="5" fillId="0" borderId="2" applyAlignment="1" pivotButton="0" quotePrefix="0" xfId="0">
      <alignment horizontal="left" vertical="center" indent="1" readingOrder="1"/>
    </xf>
    <xf numFmtId="0" fontId="0" fillId="0" borderId="2" applyAlignment="1" pivotButton="0" quotePrefix="0" xfId="0">
      <alignment wrapText="1"/>
    </xf>
    <xf numFmtId="0" fontId="12" fillId="0" borderId="3" applyAlignment="1" pivotButton="0" quotePrefix="1" xfId="0">
      <alignment horizontal="left" vertical="center" wrapText="1"/>
    </xf>
    <xf numFmtId="0" fontId="12" fillId="4" borderId="3" applyAlignment="1" pivotButton="0" quotePrefix="1" xfId="0">
      <alignment horizontal="left"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17" fillId="5" borderId="3" applyAlignment="1" pivotButton="0" quotePrefix="0" xfId="0">
      <alignment horizontal="center" vertical="center"/>
    </xf>
    <xf numFmtId="0" fontId="18" fillId="6" borderId="3" applyAlignment="1" pivotButton="0" quotePrefix="0" xfId="0">
      <alignment horizontal="center" vertical="center"/>
    </xf>
    <xf numFmtId="0" fontId="19" fillId="7" borderId="3" applyAlignment="1" pivotButton="0" quotePrefix="0" xfId="0">
      <alignment horizontal="center" vertical="center"/>
    </xf>
    <xf numFmtId="14" fontId="11" fillId="0" borderId="3" applyAlignment="1" pivotButton="0" quotePrefix="0" xfId="0">
      <alignment horizontal="center" vertical="center"/>
    </xf>
    <xf numFmtId="0" fontId="20" fillId="8" borderId="3" applyAlignment="1" pivotButton="0" quotePrefix="0" xfId="0">
      <alignment horizontal="center" vertical="center"/>
    </xf>
    <xf numFmtId="0" fontId="21" fillId="9" borderId="3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3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24" fillId="14" borderId="4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0" fontId="32" fillId="13" borderId="5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/>
    </xf>
    <xf numFmtId="0" fontId="25" fillId="0" borderId="5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165" fontId="26" fillId="0" borderId="5" applyAlignment="1" pivotButton="0" quotePrefix="0" xfId="0">
      <alignment horizontal="right" vertical="center"/>
    </xf>
    <xf numFmtId="0" fontId="27" fillId="12" borderId="5" applyAlignment="1" pivotButton="0" quotePrefix="0" xfId="0">
      <alignment horizontal="center" vertical="center"/>
    </xf>
    <xf numFmtId="0" fontId="33" fillId="11" borderId="6" applyAlignment="1" pivotButton="0" quotePrefix="0" xfId="0">
      <alignment horizontal="center" vertical="center"/>
    </xf>
    <xf numFmtId="0" fontId="33" fillId="11" borderId="6" applyAlignment="1" pivotButton="0" quotePrefix="0" xfId="0">
      <alignment horizontal="left" vertical="center"/>
    </xf>
    <xf numFmtId="165" fontId="33" fillId="11" borderId="6" applyAlignment="1" pivotButton="0" quotePrefix="0" xfId="0">
      <alignment horizontal="right" vertical="center"/>
    </xf>
    <xf numFmtId="0" fontId="32" fillId="15" borderId="5" applyAlignment="1" pivotButton="0" quotePrefix="0" xfId="0">
      <alignment horizontal="center" vertical="center"/>
    </xf>
    <xf numFmtId="0" fontId="26" fillId="0" borderId="5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9" fillId="0" borderId="0" applyAlignment="1" pivotButton="0" quotePrefix="0" xfId="0">
      <alignment horizontal="left" vertical="center"/>
    </xf>
    <xf numFmtId="0" fontId="28" fillId="0" borderId="2" applyAlignment="1" pivotButton="0" quotePrefix="0" xfId="0">
      <alignment horizontal="left" vertical="center"/>
    </xf>
    <xf numFmtId="0" fontId="29" fillId="0" borderId="2" applyAlignment="1" pivotButton="0" quotePrefix="0" xfId="0">
      <alignment horizontal="left" vertical="center"/>
    </xf>
    <xf numFmtId="165" fontId="26" fillId="0" borderId="5" applyAlignment="1" pivotButton="0" quotePrefix="0" xfId="0">
      <alignment horizontal="right" vertical="center"/>
    </xf>
    <xf numFmtId="165" fontId="33" fillId="11" borderId="6" applyAlignment="1" pivotButton="0" quotePrefix="0" xfId="0">
      <alignment horizontal="right" vertical="center"/>
    </xf>
    <xf numFmtId="164" fontId="11" fillId="0" borderId="3" applyAlignment="1" pivotButton="0" quotePrefix="0" xfId="0">
      <alignment horizontal="center" vertical="center"/>
    </xf>
    <xf numFmtId="0" fontId="34" fillId="0" borderId="3" applyAlignment="1" pivotButton="0" quotePrefix="0" xfId="0">
      <alignment horizontal="center" vertical="center"/>
    </xf>
    <xf numFmtId="164" fontId="34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1" fillId="4" borderId="3" applyAlignment="1" pivotButton="0" quotePrefix="0" xfId="0">
      <alignment horizontal="center" vertical="center"/>
    </xf>
    <xf numFmtId="164" fontId="34" fillId="4" borderId="3" applyAlignment="1" pivotButton="0" quotePrefix="0" xfId="0">
      <alignment horizontal="center" vertical="center"/>
    </xf>
    <xf numFmtId="164" fontId="12" fillId="4" borderId="3" applyAlignment="1" pivotButton="0" quotePrefix="0" xfId="0">
      <alignment horizontal="center" vertical="center"/>
    </xf>
    <xf numFmtId="14" fontId="34" fillId="4" borderId="3" applyAlignment="1" pivotButton="0" quotePrefix="0" xfId="0">
      <alignment horizontal="center" vertical="center"/>
    </xf>
    <xf numFmtId="0" fontId="34" fillId="4" borderId="3" applyAlignment="1" pivotButton="0" quotePrefix="0" xfId="0">
      <alignment horizontal="center" vertical="center"/>
    </xf>
    <xf numFmtId="14" fontId="34" fillId="0" borderId="3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:J1"/>
    </sheetView>
  </sheetViews>
  <sheetFormatPr baseColWidth="8" defaultRowHeight="17.4"/>
  <cols>
    <col width="8" customWidth="1" style="88" min="1" max="1"/>
    <col width="22" customWidth="1" style="88" min="2" max="2"/>
    <col width="12" customWidth="1" style="88" min="3" max="3"/>
    <col width="14" customWidth="1" style="88" min="4" max="4"/>
    <col width="12" customWidth="1" style="88" min="5" max="7"/>
    <col width="14" customWidth="1" style="88" min="8" max="8"/>
    <col width="12" customWidth="1" style="88" min="9" max="9"/>
    <col width="26" customWidth="1" style="88" min="10" max="10"/>
  </cols>
  <sheetData>
    <row r="1" ht="28.05" customHeight="1" s="88">
      <c r="A1" s="90" t="inlineStr">
        <is>
          <t>동탄도시철도(트램) 건설공사 집행단계 엔지니어링 매뉴얼 종합 통계 대시보드</t>
        </is>
      </c>
    </row>
    <row r="2" ht="18" customHeight="1" s="88">
      <c r="A2" s="91" t="inlineStr">
        <is>
          <t>■ 11개 공종 전체 시트 동적 수식 연동 | 실시간 액티비티 및 표준서·수행지침·체크리스트 집계 대시보드 | Ver 8.0</t>
        </is>
      </c>
    </row>
    <row r="4" ht="18" customHeight="1" s="88">
      <c r="B4" s="72" t="inlineStr">
        <is>
          <t>총 관리 공종 수</t>
        </is>
      </c>
      <c r="D4" s="72" t="inlineStr">
        <is>
          <t>총 액티비티 (WBS)</t>
        </is>
      </c>
      <c r="E4" s="72" t="inlineStr">
        <is>
          <t>표준서 (Standard)</t>
        </is>
      </c>
      <c r="F4" s="72" t="inlineStr">
        <is>
          <t>수행지침 (Guideline)</t>
        </is>
      </c>
      <c r="G4" s="72" t="inlineStr">
        <is>
          <t>체크리스트 (Checklist)</t>
        </is>
      </c>
      <c r="H4" s="72" t="inlineStr">
        <is>
          <t>매뉴얼 총계 (Total)</t>
        </is>
      </c>
    </row>
    <row r="5" ht="24" customHeight="1" s="88">
      <c r="B5" s="73">
        <f>COUNTA(B10:B20)&amp;"개 공종"</f>
        <v/>
      </c>
      <c r="D5" s="73">
        <f>D21&amp;"개 작업"</f>
        <v/>
      </c>
      <c r="E5" s="73">
        <f>E21&amp;" / "&amp;D21</f>
        <v/>
      </c>
      <c r="F5" s="73">
        <f>F21&amp;" / "&amp;D21</f>
        <v/>
      </c>
      <c r="G5" s="73">
        <f>G21&amp;" / "&amp;D21</f>
        <v/>
      </c>
      <c r="H5" s="73">
        <f>H21&amp;"권"</f>
        <v/>
      </c>
    </row>
    <row r="6" ht="16.05" customHeight="1" s="88">
      <c r="B6" s="74" t="inlineStr">
        <is>
          <t>토목·궤도·시스템 전분야</t>
        </is>
      </c>
      <c r="D6" s="74" t="inlineStr">
        <is>
          <t>100% WBS 코드 부여</t>
        </is>
      </c>
      <c r="E6" s="74">
        <f>TEXT(E21/D21,"0.0%")&amp;" 디지털 연계"</f>
        <v/>
      </c>
      <c r="F6" s="74">
        <f>TEXT(F21/D21,"0.0%")&amp;" 2D도식 탑재"</f>
        <v/>
      </c>
      <c r="G6" s="74">
        <f>TEXT(G21/D21,"0.0%")&amp;" 12대질문형 완비"</f>
        <v/>
      </c>
      <c r="H6" s="74" t="inlineStr">
        <is>
          <t>전 공종 3대 도서 완결</t>
        </is>
      </c>
    </row>
    <row r="8">
      <c r="A8" s="75" t="inlineStr">
        <is>
          <t>1. 11대 공종별 마스터 현황 및 실시간 수식 연동 대장</t>
        </is>
      </c>
    </row>
    <row r="9" ht="24" customHeight="1" s="88">
      <c r="A9" s="76" t="inlineStr">
        <is>
          <t>순번</t>
        </is>
      </c>
      <c r="B9" s="76" t="inlineStr">
        <is>
          <t>공종명 (Discipline)</t>
        </is>
      </c>
      <c r="C9" s="76" t="inlineStr">
        <is>
          <t>L3 코드</t>
        </is>
      </c>
      <c r="D9" s="76" t="inlineStr">
        <is>
          <t>액티비티 수</t>
        </is>
      </c>
      <c r="E9" s="76" t="inlineStr">
        <is>
          <t>표준서</t>
        </is>
      </c>
      <c r="F9" s="76" t="inlineStr">
        <is>
          <t>수행지침</t>
        </is>
      </c>
      <c r="G9" s="76" t="inlineStr">
        <is>
          <t>체크리스트</t>
        </is>
      </c>
      <c r="H9" s="76" t="inlineStr">
        <is>
          <t>매뉴얼 합계</t>
        </is>
      </c>
      <c r="I9" s="76" t="inlineStr">
        <is>
          <t>전체 비중</t>
        </is>
      </c>
      <c r="J9" s="76" t="inlineStr">
        <is>
          <t>시트 바로가기</t>
        </is>
      </c>
    </row>
    <row r="10" ht="19.95" customHeight="1" s="88">
      <c r="A10" s="77" t="n">
        <v>1</v>
      </c>
      <c r="B10" s="78" t="inlineStr">
        <is>
          <t>지반조사</t>
        </is>
      </c>
      <c r="C10" s="79" t="inlineStr">
        <is>
          <t>9000-1</t>
        </is>
      </c>
      <c r="D10" s="77">
        <f>COUNTA(지반조사!G2:G100)</f>
        <v/>
      </c>
      <c r="E10" s="79">
        <f>COUNTIF(지반조사!N2:N100, "*HYPERLINK*")</f>
        <v/>
      </c>
      <c r="F10" s="79">
        <f>COUNTIF(지반조사!P2:P100, "*HYPERLINK*")</f>
        <v/>
      </c>
      <c r="G10" s="79">
        <f>COUNTIF(지반조사!R2:R100, "*HYPERLINK*")</f>
        <v/>
      </c>
      <c r="H10" s="77">
        <f>SUM(E10:G10)</f>
        <v/>
      </c>
      <c r="I10" s="92">
        <f>D10/$D$21</f>
        <v/>
      </c>
      <c r="J10" s="81">
        <f>HYPERLINK("#'지반조사'!A1", "👉 [지반조사] 시트 이동 ➔")</f>
        <v/>
      </c>
    </row>
    <row r="11" ht="19.95" customHeight="1" s="88">
      <c r="A11" s="77" t="n">
        <v>2</v>
      </c>
      <c r="B11" s="78" t="inlineStr">
        <is>
          <t>사전토공사</t>
        </is>
      </c>
      <c r="C11" s="79" t="inlineStr">
        <is>
          <t>9000-2</t>
        </is>
      </c>
      <c r="D11" s="77">
        <f>COUNTA(사전토공사!G2:G100)</f>
        <v/>
      </c>
      <c r="E11" s="79">
        <f>COUNTIF(사전토공사!N2:N100, "*HYPERLINK*")</f>
        <v/>
      </c>
      <c r="F11" s="79">
        <f>COUNTIF(사전토공사!P2:P100, "*HYPERLINK*")</f>
        <v/>
      </c>
      <c r="G11" s="79">
        <f>COUNTIF(사전토공사!R2:R100, "*HYPERLINK*")</f>
        <v/>
      </c>
      <c r="H11" s="77">
        <f>SUM(E11:G11)</f>
        <v/>
      </c>
      <c r="I11" s="92">
        <f>D11/$D$21</f>
        <v/>
      </c>
      <c r="J11" s="81">
        <f>HYPERLINK("#'사전토공사'!A1", "👉 [사전토공사] 시트 이동 ➔")</f>
        <v/>
      </c>
    </row>
    <row r="12" ht="19.95" customHeight="1" s="88">
      <c r="A12" s="77" t="n">
        <v>3</v>
      </c>
      <c r="B12" s="78" t="inlineStr">
        <is>
          <t>지장물이설</t>
        </is>
      </c>
      <c r="C12" s="79" t="inlineStr">
        <is>
          <t>9000-3</t>
        </is>
      </c>
      <c r="D12" s="77">
        <f>COUNTA(지장물이설!G2:G100)</f>
        <v/>
      </c>
      <c r="E12" s="79">
        <f>COUNTIF(지장물이설!N2:N100, "*HYPERLINK*")</f>
        <v/>
      </c>
      <c r="F12" s="79">
        <f>COUNTIF(지장물이설!P2:P100, "*HYPERLINK*")</f>
        <v/>
      </c>
      <c r="G12" s="79">
        <f>COUNTIF(지장물이설!R2:R100, "*HYPERLINK*")</f>
        <v/>
      </c>
      <c r="H12" s="77">
        <f>SUM(E12:G12)</f>
        <v/>
      </c>
      <c r="I12" s="92">
        <f>D12/$D$21</f>
        <v/>
      </c>
      <c r="J12" s="81">
        <f>HYPERLINK("#'지장물이설'!A1", "👉 [지장물이설] 시트 이동 ➔")</f>
        <v/>
      </c>
    </row>
    <row r="13" ht="19.95" customHeight="1" s="88">
      <c r="A13" s="77" t="n">
        <v>4</v>
      </c>
      <c r="B13" s="78" t="inlineStr">
        <is>
          <t>상부강화노반</t>
        </is>
      </c>
      <c r="C13" s="79" t="inlineStr">
        <is>
          <t>9000-4</t>
        </is>
      </c>
      <c r="D13" s="77">
        <f>COUNTA(상부강화노반!G2:G100)</f>
        <v/>
      </c>
      <c r="E13" s="79">
        <f>COUNTIF(상부강화노반!N2:N100, "*HYPERLINK*")</f>
        <v/>
      </c>
      <c r="F13" s="79">
        <f>COUNTIF(상부강화노반!P2:P100, "*HYPERLINK*")</f>
        <v/>
      </c>
      <c r="G13" s="79">
        <f>COUNTIF(상부강화노반!R2:R100, "*HYPERLINK*")</f>
        <v/>
      </c>
      <c r="H13" s="77">
        <f>SUM(E13:G13)</f>
        <v/>
      </c>
      <c r="I13" s="92">
        <f>D13/$D$21</f>
        <v/>
      </c>
      <c r="J13" s="81">
        <f>HYPERLINK("#'상부강화노반'!A1", "👉 [상부강화노반] 시트 이동 ➔")</f>
        <v/>
      </c>
    </row>
    <row r="14" ht="19.95" customHeight="1" s="88">
      <c r="A14" s="77" t="n">
        <v>5</v>
      </c>
      <c r="B14" s="78" t="inlineStr">
        <is>
          <t>콘크리트도상</t>
        </is>
      </c>
      <c r="C14" s="79" t="inlineStr">
        <is>
          <t>9000-5</t>
        </is>
      </c>
      <c r="D14" s="77">
        <f>COUNTA(콘크리트도상!G2:G100)</f>
        <v/>
      </c>
      <c r="E14" s="79">
        <f>COUNTIF(콘크리트도상!N2:N100, "*HYPERLINK*")</f>
        <v/>
      </c>
      <c r="F14" s="79">
        <f>COUNTIF(콘크리트도상!P2:P100, "*HYPERLINK*")</f>
        <v/>
      </c>
      <c r="G14" s="79">
        <f>COUNTIF(콘크리트도상!R2:R100, "*HYPERLINK*")</f>
        <v/>
      </c>
      <c r="H14" s="77">
        <f>SUM(E14:G14)</f>
        <v/>
      </c>
      <c r="I14" s="92">
        <f>D14/$D$21</f>
        <v/>
      </c>
      <c r="J14" s="81">
        <f>HYPERLINK("#'콘크리트도상'!A1", "👉 [콘크리트도상] 시트 이동 ➔")</f>
        <v/>
      </c>
    </row>
    <row r="15" ht="19.95" customHeight="1" s="88">
      <c r="A15" s="77" t="n">
        <v>6</v>
      </c>
      <c r="B15" s="78" t="inlineStr">
        <is>
          <t>건축</t>
        </is>
      </c>
      <c r="C15" s="79" t="inlineStr">
        <is>
          <t>9000-6</t>
        </is>
      </c>
      <c r="D15" s="77">
        <f>COUNTA(건축!G2:G100)</f>
        <v/>
      </c>
      <c r="E15" s="79">
        <f>COUNTIF(건축!N2:N100, "*HYPERLINK*")</f>
        <v/>
      </c>
      <c r="F15" s="79">
        <f>COUNTIF(건축!P2:P100, "*HYPERLINK*")</f>
        <v/>
      </c>
      <c r="G15" s="79">
        <f>COUNTIF(건축!R2:R100, "*HYPERLINK*")</f>
        <v/>
      </c>
      <c r="H15" s="77">
        <f>SUM(E15:G15)</f>
        <v/>
      </c>
      <c r="I15" s="92">
        <f>D15/$D$21</f>
        <v/>
      </c>
      <c r="J15" s="81">
        <f>HYPERLINK("#'건축'!A1", "👉 [건축] 시트 이동 ➔")</f>
        <v/>
      </c>
    </row>
    <row r="16" ht="19.95" customHeight="1" s="88">
      <c r="A16" s="77" t="n">
        <v>7</v>
      </c>
      <c r="B16" s="78" t="inlineStr">
        <is>
          <t>신호분야</t>
        </is>
      </c>
      <c r="C16" s="79" t="inlineStr">
        <is>
          <t>9000-7</t>
        </is>
      </c>
      <c r="D16" s="77">
        <f>COUNTA(신호!G2:G100)</f>
        <v/>
      </c>
      <c r="E16" s="79">
        <f>COUNTIF(신호!N2:N100, "*HYPERLINK*")</f>
        <v/>
      </c>
      <c r="F16" s="79">
        <f>COUNTIF(신호!P2:P100, "*HYPERLINK*")</f>
        <v/>
      </c>
      <c r="G16" s="79">
        <f>COUNTIF(신호!R2:R100, "*HYPERLINK*")</f>
        <v/>
      </c>
      <c r="H16" s="77">
        <f>SUM(E16:G16)</f>
        <v/>
      </c>
      <c r="I16" s="92">
        <f>D16/$D$21</f>
        <v/>
      </c>
      <c r="J16" s="81">
        <f>HYPERLINK("#'신호'!A1", "👉 [신호] 시트 이동 ➔")</f>
        <v/>
      </c>
    </row>
    <row r="17" ht="19.95" customHeight="1" s="88">
      <c r="A17" s="77" t="n">
        <v>8</v>
      </c>
      <c r="B17" s="78" t="inlineStr">
        <is>
          <t>전기분야</t>
        </is>
      </c>
      <c r="C17" s="79" t="inlineStr">
        <is>
          <t>9000-8</t>
        </is>
      </c>
      <c r="D17" s="77">
        <f>COUNTA(전기!G2:G100)</f>
        <v/>
      </c>
      <c r="E17" s="79">
        <f>COUNTIF(전기!N2:N100, "*HYPERLINK*")</f>
        <v/>
      </c>
      <c r="F17" s="79">
        <f>COUNTIF(전기!P2:P100, "*HYPERLINK*")</f>
        <v/>
      </c>
      <c r="G17" s="79">
        <f>COUNTIF(전기!R2:R100, "*HYPERLINK*")</f>
        <v/>
      </c>
      <c r="H17" s="77">
        <f>SUM(E17:G17)</f>
        <v/>
      </c>
      <c r="I17" s="92">
        <f>D17/$D$21</f>
        <v/>
      </c>
      <c r="J17" s="81">
        <f>HYPERLINK("#'전기'!A1", "👉 [전기] 시트 이동 ➔")</f>
        <v/>
      </c>
    </row>
    <row r="18" ht="19.95" customHeight="1" s="88">
      <c r="A18" s="77" t="n">
        <v>9</v>
      </c>
      <c r="B18" s="78" t="inlineStr">
        <is>
          <t>통신분야</t>
        </is>
      </c>
      <c r="C18" s="79" t="inlineStr">
        <is>
          <t>9000-9</t>
        </is>
      </c>
      <c r="D18" s="77">
        <f>COUNTA(통신!G2:G100)</f>
        <v/>
      </c>
      <c r="E18" s="79">
        <f>COUNTIF(통신!N2:N100, "*HYPERLINK*")</f>
        <v/>
      </c>
      <c r="F18" s="79">
        <f>COUNTIF(통신!P2:P100, "*HYPERLINK*")</f>
        <v/>
      </c>
      <c r="G18" s="79">
        <f>COUNTIF(통신!R2:R100, "*HYPERLINK*")</f>
        <v/>
      </c>
      <c r="H18" s="77">
        <f>SUM(E18:G18)</f>
        <v/>
      </c>
      <c r="I18" s="92">
        <f>D18/$D$21</f>
        <v/>
      </c>
      <c r="J18" s="81">
        <f>HYPERLINK("#'통신'!A1", "👉 [통신] 시트 이동 ➔")</f>
        <v/>
      </c>
    </row>
    <row r="19" ht="19.95" customHeight="1" s="88">
      <c r="A19" s="77" t="n">
        <v>10</v>
      </c>
      <c r="B19" s="78" t="inlineStr">
        <is>
          <t>기계설비·소방설비</t>
        </is>
      </c>
      <c r="C19" s="79" t="inlineStr">
        <is>
          <t>9000-10</t>
        </is>
      </c>
      <c r="D19" s="77">
        <f>COUNTA(기계!G2:G100)</f>
        <v/>
      </c>
      <c r="E19" s="79">
        <f>COUNTIF(기계!N2:N100, "*HYPERLINK*")</f>
        <v/>
      </c>
      <c r="F19" s="79">
        <f>COUNTIF(기계!P2:P100, "*HYPERLINK*")</f>
        <v/>
      </c>
      <c r="G19" s="79">
        <f>COUNTIF(기계!R2:R100, "*HYPERLINK*")</f>
        <v/>
      </c>
      <c r="H19" s="77">
        <f>SUM(E19:G19)</f>
        <v/>
      </c>
      <c r="I19" s="92">
        <f>D19/$D$21</f>
        <v/>
      </c>
      <c r="J19" s="81">
        <f>HYPERLINK("#'기계'!A1", "👉 [기계] 시트 이동 ➔")</f>
        <v/>
      </c>
    </row>
    <row r="20" ht="19.95" customHeight="1" s="88">
      <c r="A20" s="77" t="n">
        <v>11</v>
      </c>
      <c r="B20" s="78" t="inlineStr">
        <is>
          <t>철도종합시험운행</t>
        </is>
      </c>
      <c r="C20" s="79" t="inlineStr">
        <is>
          <t>9000-11</t>
        </is>
      </c>
      <c r="D20" s="77">
        <f>COUNTA(철도종합시운전!G2:G100)</f>
        <v/>
      </c>
      <c r="E20" s="79">
        <f>COUNTIF(철도종합시운전!N2:N100, "*HYPERLINK*")</f>
        <v/>
      </c>
      <c r="F20" s="79">
        <f>COUNTIF(철도종합시운전!P2:P100, "*HYPERLINK*")</f>
        <v/>
      </c>
      <c r="G20" s="79">
        <f>COUNTIF(철도종합시운전!R2:R100, "*HYPERLINK*")</f>
        <v/>
      </c>
      <c r="H20" s="77">
        <f>SUM(E20:G20)</f>
        <v/>
      </c>
      <c r="I20" s="92">
        <f>D20/$D$21</f>
        <v/>
      </c>
      <c r="J20" s="81">
        <f>HYPERLINK("#'철도종합시운전'!A1", "👉 [철도종합시운전] 시트 이동 ➔")</f>
        <v/>
      </c>
    </row>
    <row r="21" ht="22.05" customHeight="1" s="88">
      <c r="A21" s="82" t="inlineStr">
        <is>
          <t>합계</t>
        </is>
      </c>
      <c r="B21" s="83" t="inlineStr">
        <is>
          <t>11개 공종 전체</t>
        </is>
      </c>
      <c r="C21" s="82" t="inlineStr">
        <is>
          <t>-</t>
        </is>
      </c>
      <c r="D21" s="82">
        <f>SUM(D10:D20)</f>
        <v/>
      </c>
      <c r="E21" s="82">
        <f>SUM(E10:E20)</f>
        <v/>
      </c>
      <c r="F21" s="82">
        <f>SUM(F10:F20)</f>
        <v/>
      </c>
      <c r="G21" s="82">
        <f>SUM(G10:G20)</f>
        <v/>
      </c>
      <c r="H21" s="82">
        <f>SUM(H10:H20)</f>
        <v/>
      </c>
      <c r="I21" s="93">
        <f>SUM(I10:I20)</f>
        <v/>
      </c>
      <c r="J21" s="82" t="inlineStr">
        <is>
          <t>총 1,092개 매뉴얼 도서</t>
        </is>
      </c>
    </row>
    <row r="23">
      <c r="A23" s="75" t="inlineStr">
        <is>
          <t>2. D-Day 일정 추진 단계별(Timeline) 업무 분포 및 관리 목표 (수식 연동)</t>
        </is>
      </c>
    </row>
    <row r="24" ht="22.05" customHeight="1" s="88">
      <c r="A24" s="85" t="inlineStr">
        <is>
          <t>단계 구분</t>
        </is>
      </c>
      <c r="B24" s="85" t="inlineStr">
        <is>
          <t>기간 (D-Day)</t>
        </is>
      </c>
      <c r="C24" s="85" t="inlineStr">
        <is>
          <t>주요 엔지니어링 관리 목표</t>
        </is>
      </c>
      <c r="D24" s="85" t="inlineStr">
        <is>
          <t>작업 수</t>
        </is>
      </c>
      <c r="E24" s="85" t="inlineStr">
        <is>
          <t>비중 (%)</t>
        </is>
      </c>
    </row>
    <row r="25" ht="19.95" customHeight="1" s="88">
      <c r="A25" s="78" t="inlineStr">
        <is>
          <t>Stage 1 : 착수 전 사전준비 및 인허가</t>
        </is>
      </c>
      <c r="B25" s="79" t="inlineStr">
        <is>
          <t>D-300 ~ D-0</t>
        </is>
      </c>
      <c r="C25" s="86" t="inlineStr">
        <is>
          <t>설계적정성 검토, 인허가 취득, 인터페이스 Big Room 회의, 자재공급원 승인</t>
        </is>
      </c>
      <c r="D25" s="77" t="n">
        <v>169</v>
      </c>
      <c r="E25" s="92">
        <f>D25/$D$21</f>
        <v/>
      </c>
    </row>
    <row r="26" ht="19.95" customHeight="1" s="88">
      <c r="A26" s="78" t="inlineStr">
        <is>
          <t>Stage 2 : 현장 본시공 및 구조물 구축</t>
        </is>
      </c>
      <c r="B26" s="79" t="inlineStr">
        <is>
          <t>D+1 ~ D+100</t>
        </is>
      </c>
      <c r="C26" s="86" t="inlineStr">
        <is>
          <t>토공/지장물이설, 상부강화노반 다짐, 콘크리트도상/궤광 조립, 건축 골조/마감</t>
        </is>
      </c>
      <c r="D26" s="77" t="n">
        <v>107</v>
      </c>
      <c r="E26" s="92">
        <f>D26/$D$21</f>
        <v/>
      </c>
    </row>
    <row r="27" ht="19.95" customHeight="1" s="88">
      <c r="A27" s="78" t="inlineStr">
        <is>
          <t>Stage 3 : 시스템 설치 및 단위 기능시험</t>
        </is>
      </c>
      <c r="B27" s="79" t="inlineStr">
        <is>
          <t>D+101 ~ D+180</t>
        </is>
      </c>
      <c r="C27" s="86" t="inlineStr">
        <is>
          <t>전기 수배전반 수전, LTE-R 무선 AP 설치, 기계 소방배관 수압시험, 신호 랙 조립</t>
        </is>
      </c>
      <c r="D27" s="77" t="n">
        <v>8</v>
      </c>
      <c r="E27" s="92">
        <f>D27/$D$21</f>
        <v/>
      </c>
    </row>
    <row r="28" ht="19.95" customHeight="1" s="88">
      <c r="A28" s="78" t="inlineStr">
        <is>
          <t>Stage 4 : 종합시운전 및 영업 개통</t>
        </is>
      </c>
      <c r="B28" s="79" t="inlineStr">
        <is>
          <t>D+181 ~ D+240</t>
        </is>
      </c>
      <c r="C28" s="86" t="inlineStr">
        <is>
          <t>속도별 시설물검증시험, 30일 영업 다이아 시운전, 운영사 인수인계 및 개통</t>
        </is>
      </c>
      <c r="D28" s="77" t="n">
        <v>80</v>
      </c>
      <c r="E28" s="92">
        <f>D28/$D$21</f>
        <v/>
      </c>
    </row>
    <row r="30">
      <c r="A30" s="75" t="inlineStr">
        <is>
          <t>3. 4대 주관 부문별 업무 분장(R&amp;R) 및 조직 협업 매트릭스 (수식 연동)</t>
        </is>
      </c>
    </row>
    <row r="31" ht="22.05" customHeight="1" s="88">
      <c r="A31" s="85" t="inlineStr">
        <is>
          <t>주관 부문</t>
        </is>
      </c>
      <c r="B31" s="85" t="inlineStr">
        <is>
          <t>포함 공종 범위</t>
        </is>
      </c>
      <c r="C31" s="85" t="inlineStr">
        <is>
          <t>작업 수 (수식)</t>
        </is>
      </c>
      <c r="D31" s="85" t="inlineStr">
        <is>
          <t>비중 (%)</t>
        </is>
      </c>
      <c r="E31" s="85" t="inlineStr">
        <is>
          <t>핵심 담당 조직</t>
        </is>
      </c>
    </row>
    <row r="32" ht="19.95" customHeight="1" s="88">
      <c r="A32" s="78" t="inlineStr">
        <is>
          <t>토목 / 궤도 / 지반 부문</t>
        </is>
      </c>
      <c r="B32" s="86" t="inlineStr">
        <is>
          <t>지반조사, 사전토공사, 지장물이설, 상부강화노반, 콘크리트도상</t>
        </is>
      </c>
      <c r="C32" s="77">
        <f>SUM(D10:D14)</f>
        <v/>
      </c>
      <c r="D32" s="92">
        <f>C32/$D$21</f>
        <v/>
      </c>
      <c r="E32" s="86" t="inlineStr">
        <is>
          <t>현장 공사팀 / 토목사업팀</t>
        </is>
      </c>
    </row>
    <row r="33" ht="19.95" customHeight="1" s="88">
      <c r="A33" s="78" t="inlineStr">
        <is>
          <t>건축 / 기계설비 / 소방 부문</t>
        </is>
      </c>
      <c r="B33" s="86" t="inlineStr">
        <is>
          <t>역사/정거장 건축, 기계설비, 소방방재설비</t>
        </is>
      </c>
      <c r="C33" s="77">
        <f>D15+D19</f>
        <v/>
      </c>
      <c r="D33" s="92">
        <f>C33/$D$21</f>
        <v/>
      </c>
      <c r="E33" s="86" t="inlineStr">
        <is>
          <t>건축공사팀 / 기계설비팀</t>
        </is>
      </c>
    </row>
    <row r="34" ht="19.95" customHeight="1" s="88">
      <c r="A34" s="78" t="inlineStr">
        <is>
          <t>시스템 (전기 / 신호 / 통신) 부문</t>
        </is>
      </c>
      <c r="B34" s="86" t="inlineStr">
        <is>
          <t>수배전/전차선 전기설비, T-ATP/ATO 신호, LTE-R 통신</t>
        </is>
      </c>
      <c r="C34" s="77">
        <f>SUM(D16:D18)</f>
        <v/>
      </c>
      <c r="D34" s="92">
        <f>C34/$D$21</f>
        <v/>
      </c>
      <c r="E34" s="86" t="inlineStr">
        <is>
          <t>시스템사업팀 / 전기신호팀</t>
        </is>
      </c>
    </row>
    <row r="35" ht="19.95" customHeight="1" s="88">
      <c r="A35" s="78" t="inlineStr">
        <is>
          <t>개통운영 / 종합시운전 / 안전품질 부문</t>
        </is>
      </c>
      <c r="B35" s="86" t="inlineStr">
        <is>
          <t>사전점검, 속도별 시설물검증, 영업시운전, TS 안전관리체계, 인수인계</t>
        </is>
      </c>
      <c r="C35" s="77">
        <f>D20</f>
        <v/>
      </c>
      <c r="D35" s="92">
        <f>C35/$D$21</f>
        <v/>
      </c>
      <c r="E35" s="86" t="inlineStr">
        <is>
          <t>개통운영팀 / 안전품질팀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FFFF00"/>
    <outlinePr summaryBelow="1" summaryRight="1"/>
    <pageSetUpPr/>
  </sheetPr>
  <dimension ref="A1:ND51"/>
  <sheetViews>
    <sheetView tabSelected="1" view="pageBreakPreview" zoomScale="70" zoomScaleNormal="40" zoomScaleSheetLayoutView="70" workbookViewId="0">
      <selection activeCell="J5" sqref="J5"/>
    </sheetView>
  </sheetViews>
  <sheetFormatPr baseColWidth="8" defaultRowHeight="17.4"/>
  <cols>
    <col width="10" customWidth="1" style="88" min="1" max="2"/>
    <col width="18" customWidth="1" style="88" min="3" max="3"/>
    <col width="12" customWidth="1" style="88" min="4" max="4"/>
    <col width="10" customWidth="1" style="88" min="5" max="6"/>
    <col width="30" customWidth="1" style="88" min="7" max="7"/>
    <col width="14" customWidth="1" style="88" min="8" max="8"/>
    <col width="16.59765625" customWidth="1" style="88" min="9" max="9"/>
    <col width="38" customWidth="1" style="88" min="10" max="10"/>
    <col width="54" customWidth="1" style="88" min="11" max="11"/>
    <col width="30" customWidth="1" style="88" min="12" max="12"/>
    <col width="36" customWidth="1" style="88" min="13" max="13"/>
    <col width="24" customWidth="1" style="88" min="14" max="14"/>
    <col width="36" customWidth="1" style="1" min="15" max="15"/>
    <col width="24" customWidth="1" style="88" min="16" max="16"/>
    <col width="36" customWidth="1" style="1" min="17" max="17"/>
    <col width="24" customWidth="1" style="88" min="18" max="18"/>
    <col width="16" customWidth="1" style="1" min="19" max="19"/>
  </cols>
  <sheetData>
    <row r="1" ht="28.05" customHeight="1" s="88">
      <c r="A1" s="16" t="inlineStr">
        <is>
          <t>L2 코드</t>
        </is>
      </c>
      <c r="B1" s="16" t="inlineStr">
        <is>
          <t>L3 코드</t>
        </is>
      </c>
      <c r="C1" s="16" t="inlineStr">
        <is>
          <t>L3 대공종명</t>
        </is>
      </c>
      <c r="D1" s="16" t="inlineStr">
        <is>
          <t>L4 코드</t>
        </is>
      </c>
      <c r="E1" s="16" t="inlineStr">
        <is>
          <t>선행</t>
        </is>
      </c>
      <c r="F1" s="16" t="inlineStr">
        <is>
          <t>후행</t>
        </is>
      </c>
      <c r="G1" s="16" t="inlineStr">
        <is>
          <t>작업단위 (Level 4 Task/Activity)</t>
        </is>
      </c>
      <c r="H1" s="16" t="inlineStr">
        <is>
          <t>일정 (D-Day)</t>
        </is>
      </c>
      <c r="I1" s="16" t="inlineStr">
        <is>
          <t>주관</t>
        </is>
      </c>
      <c r="J1" s="16" t="inlineStr">
        <is>
          <t>목적</t>
        </is>
      </c>
      <c r="K1" s="16" t="inlineStr">
        <is>
          <t>방법</t>
        </is>
      </c>
      <c r="L1" s="16" t="inlineStr">
        <is>
          <t>산출물(결과)</t>
        </is>
      </c>
      <c r="M1" s="16" t="inlineStr">
        <is>
          <t>표준서 (Standard) 요약</t>
        </is>
      </c>
      <c r="N1" s="16" t="inlineStr">
        <is>
          <t>표준서 파일 (HTML)</t>
        </is>
      </c>
      <c r="O1" s="16" t="inlineStr">
        <is>
          <t>수행지침 (Guideline) 요약</t>
        </is>
      </c>
      <c r="P1" s="16" t="inlineStr">
        <is>
          <t>수행지침 파일 (HTML)</t>
        </is>
      </c>
      <c r="Q1" s="16" t="inlineStr">
        <is>
          <t>체크리스트 (Checklist) 요약</t>
        </is>
      </c>
      <c r="R1" s="16" t="inlineStr">
        <is>
          <t>체크리스트 파일 (HTML)</t>
        </is>
      </c>
      <c r="S1" s="16" t="inlineStr">
        <is>
          <t>비고</t>
        </is>
      </c>
      <c r="T1" s="17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  <c r="DL1" s="18" t="n"/>
      <c r="DM1" s="18" t="n"/>
      <c r="DN1" s="18" t="n"/>
      <c r="DO1" s="18" t="n"/>
      <c r="DP1" s="18" t="n"/>
      <c r="DQ1" s="18" t="n"/>
      <c r="DR1" s="18" t="n"/>
      <c r="DS1" s="18" t="n"/>
      <c r="DT1" s="18" t="n"/>
      <c r="DU1" s="18" t="n"/>
      <c r="DV1" s="18" t="n"/>
      <c r="DW1" s="18" t="n"/>
      <c r="DX1" s="18" t="n"/>
      <c r="DY1" s="18" t="n"/>
      <c r="DZ1" s="18" t="n"/>
      <c r="EA1" s="18" t="n"/>
      <c r="EB1" s="18" t="n"/>
      <c r="EC1" s="18" t="n"/>
      <c r="ED1" s="18" t="n"/>
      <c r="EE1" s="18" t="n"/>
      <c r="EF1" s="18" t="n"/>
      <c r="EG1" s="18" t="n"/>
      <c r="EH1" s="18" t="n"/>
      <c r="EI1" s="18" t="n"/>
      <c r="EJ1" s="18" t="n"/>
      <c r="EK1" s="18" t="n"/>
      <c r="EL1" s="18" t="n"/>
      <c r="EM1" s="18" t="n"/>
      <c r="EN1" s="18" t="n"/>
      <c r="EO1" s="18" t="n"/>
      <c r="EP1" s="18" t="n"/>
      <c r="EQ1" s="18" t="n"/>
      <c r="ER1" s="18" t="n"/>
      <c r="ES1" s="18" t="n"/>
      <c r="ET1" s="18" t="n"/>
      <c r="EU1" s="18" t="n"/>
      <c r="EV1" s="18" t="n"/>
      <c r="EW1" s="18" t="n"/>
      <c r="EX1" s="18" t="n"/>
      <c r="EY1" s="18" t="n"/>
      <c r="EZ1" s="18" t="n"/>
      <c r="FA1" s="18" t="n"/>
      <c r="FB1" s="18" t="n"/>
      <c r="FC1" s="18" t="n"/>
      <c r="FD1" s="18" t="n"/>
      <c r="FE1" s="18" t="n"/>
      <c r="FF1" s="18" t="n"/>
      <c r="FG1" s="18" t="n"/>
      <c r="FH1" s="18" t="n"/>
      <c r="FI1" s="18" t="n"/>
      <c r="FJ1" s="18" t="n"/>
      <c r="FK1" s="18" t="n"/>
      <c r="FL1" s="18" t="n"/>
    </row>
    <row r="2" ht="52.05" customHeight="1" s="88">
      <c r="A2" s="19" t="inlineStr">
        <is>
          <t>9000</t>
        </is>
      </c>
      <c r="B2" s="19" t="inlineStr">
        <is>
          <t>9000-1</t>
        </is>
      </c>
      <c r="C2" s="19" t="inlineStr">
        <is>
          <t>지반조사</t>
        </is>
      </c>
      <c r="D2" s="94" t="inlineStr">
        <is>
          <t>9000-1-1</t>
        </is>
      </c>
      <c r="E2" s="95" t="inlineStr">
        <is>
          <t>-</t>
        </is>
      </c>
      <c r="F2" s="96" t="inlineStr">
        <is>
          <t>9000-1-2</t>
        </is>
      </c>
      <c r="G2" s="23" t="inlineStr">
        <is>
          <t>발주처 계획 입수(비공식)</t>
        </is>
      </c>
      <c r="H2" s="97" t="inlineStr">
        <is>
          <t>D-90 (D-120~D-90)</t>
        </is>
      </c>
      <c r="I2" s="21" t="inlineStr">
        <is>
          <t>토목사업팀 (협업: 지반조사업체, 외부지질전문가 3인이상)</t>
        </is>
      </c>
      <c r="J2" s="24" t="inlineStr">
        <is>
          <t>발주처 기본계획 사전 검토</t>
        </is>
      </c>
      <c r="K2" s="24" t="inlineStr">
        <is>
          <t>• 조사설계 용역 기본계획 도서 확보 여부 확인
• 핵심이슈 (미시추 사유, 지층/암반등급 조정여부 등) 확보 여부 확인
• 사업지 연접 지질/지반조사 자료 확보 여부 확인</t>
        </is>
      </c>
      <c r="L2" s="24" t="inlineStr">
        <is>
          <t>발주처 기본계획 보고서</t>
        </is>
      </c>
      <c r="M2" s="24" t="inlineStr">
        <is>
          <t>발주처 기본계획 사전 검토 | 발주처 기본계획 보고서</t>
        </is>
      </c>
      <c r="N2" s="65">
        <f>HYPERLINK(LEFT(CELL("filename",A1),FIND("[",CELL("filename",A1))-1)&amp;"1.지반조사/01_발주처 계획 입수(비공식)/표준서/발주처 계획 입수(비공식)_표준서.html", "표준서 열기")</f>
        <v/>
      </c>
      <c r="O2" s="24" t="inlineStr">
        <is>
          <t>• 조사설계 용역 기본계획 도서 확보 여부 확인 • 핵심이슈 (미시추 사유, 지층/암반등급 조정여부 등) 확보 여부 확인 • 사업지 연접 지질/지반조사 자료 확보 여부 확인</t>
        </is>
      </c>
      <c r="P2" s="66">
        <f>HYPERLINK(LEFT(CELL("filename",A1),FIND("[",CELL("filename",A1))-1)&amp;"1.지반조사/01_발주처 계획 입수(비공식)/수행지침/발주처 계획 입수(비공식)_수행지침.html", "수행지침서 열기")</f>
        <v/>
      </c>
      <c r="Q2" s="24" t="inlineStr">
        <is>
          <t>1) 발주처 계획 입수(비공식) 적정성을 확인하였는가? 2) 발주처 기본계획 보고서 산출물을 확보하였는가?</t>
        </is>
      </c>
      <c r="R2" s="67">
        <f>HYPERLINK(LEFT(CELL("filename",A1),FIND("[",CELL("filename",A1))-1)&amp;"1.지반조사/01_발주처 계획 입수(비공식)/체크리스트/발주처 계획 입수(비공식)_체크리스트.html", "체크리스트 열기")</f>
        <v/>
      </c>
      <c r="S2" s="21" t="n"/>
      <c r="T2" s="2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  <c r="DY2" s="18" t="n"/>
      <c r="DZ2" s="18" t="n"/>
      <c r="EA2" s="18" t="n"/>
      <c r="EB2" s="18" t="n"/>
      <c r="EC2" s="18" t="n"/>
      <c r="ED2" s="18" t="n"/>
      <c r="EE2" s="18" t="n"/>
      <c r="EF2" s="18" t="n"/>
      <c r="EG2" s="18" t="n"/>
      <c r="EH2" s="18" t="n"/>
      <c r="EI2" s="18" t="n"/>
      <c r="EJ2" s="18" t="n"/>
      <c r="EK2" s="18" t="n"/>
      <c r="EL2" s="18" t="n"/>
      <c r="EM2" s="18" t="n"/>
      <c r="EN2" s="18" t="n"/>
      <c r="EO2" s="18" t="n"/>
      <c r="EP2" s="18" t="n"/>
      <c r="EQ2" s="18" t="n"/>
      <c r="ER2" s="18" t="n"/>
      <c r="ES2" s="18" t="n"/>
      <c r="ET2" s="18" t="n"/>
      <c r="EU2" s="18" t="n"/>
      <c r="EV2" s="18" t="n"/>
      <c r="EW2" s="18" t="n"/>
      <c r="EX2" s="18" t="n"/>
      <c r="EY2" s="18" t="n"/>
      <c r="EZ2" s="18" t="n"/>
      <c r="FA2" s="18" t="n"/>
      <c r="FB2" s="18" t="n"/>
      <c r="FC2" s="18" t="n"/>
      <c r="FD2" s="18" t="n"/>
      <c r="FE2" s="18" t="n"/>
      <c r="FF2" s="18" t="n"/>
      <c r="FG2" s="18" t="n"/>
      <c r="FH2" s="18" t="n"/>
      <c r="FI2" s="18" t="n"/>
      <c r="FJ2" s="18" t="n"/>
      <c r="FK2" s="18" t="n"/>
      <c r="FL2" s="18" t="n"/>
      <c r="FM2" s="18" t="n"/>
      <c r="FN2" s="18" t="n"/>
      <c r="FO2" s="18" t="n"/>
      <c r="FP2" s="18" t="n"/>
    </row>
    <row r="3" ht="52.05" customHeight="1" s="88">
      <c r="A3" s="29" t="inlineStr">
        <is>
          <t>9000</t>
        </is>
      </c>
      <c r="B3" s="29" t="inlineStr">
        <is>
          <t>9000-1</t>
        </is>
      </c>
      <c r="C3" s="29" t="inlineStr">
        <is>
          <t>지반조사</t>
        </is>
      </c>
      <c r="D3" s="98" t="inlineStr">
        <is>
          <t>9000-1-2</t>
        </is>
      </c>
      <c r="E3" s="99" t="inlineStr">
        <is>
          <t>9000-1-1</t>
        </is>
      </c>
      <c r="F3" s="99" t="inlineStr">
        <is>
          <t>9000-1-3, 9000-1-4, 9000-1-5</t>
        </is>
      </c>
      <c r="G3" s="32" t="inlineStr">
        <is>
          <t>관심프로젝트 선정</t>
        </is>
      </c>
      <c r="H3" s="100" t="inlineStr">
        <is>
          <t>D-60 (D-80~D-60)</t>
        </is>
      </c>
      <c r="I3" s="33" t="inlineStr">
        <is>
          <t>토목사업팀 (협업: 포스코 스마트엔지니어링팀)</t>
        </is>
      </c>
      <c r="J3" s="34" t="inlineStr">
        <is>
          <t>입수된 발주정보 평가를 통한 관심 Project 선정</t>
        </is>
      </c>
      <c r="K3" s="34" t="inlineStr">
        <is>
          <t>• 해당 프로젝트별 발주처/경쟁동향 / 사업성평가 수행
• 기술형입찰 입찰참여 Guide Line으로 해당 프로젝트 평가</t>
        </is>
      </c>
      <c r="L3" s="34" t="inlineStr">
        <is>
          <t>관심사업 List</t>
        </is>
      </c>
      <c r="M3" s="34" t="inlineStr">
        <is>
          <t>입수된 발주정보 평가를 통한 관심 Project 선정 | 관심사업 List</t>
        </is>
      </c>
      <c r="N3" s="65">
        <f>HYPERLINK(LEFT(CELL("filename",A1),FIND("[",CELL("filename",A1))-1)&amp;"1.지반조사/02_관심프로젝트 선정/표준서/관심프로젝트 선정_표준서.html", "표준서 열기")</f>
        <v/>
      </c>
      <c r="O3" s="34" t="inlineStr">
        <is>
          <t>• 해당 프로젝트별 발주처/경쟁동향 / 사업성평가 수행 • 기술형입찰 입찰참여 Guide Line으로 해당 프로젝트 평가</t>
        </is>
      </c>
      <c r="P3" s="66">
        <f>HYPERLINK(LEFT(CELL("filename",A1),FIND("[",CELL("filename",A1))-1)&amp;"1.지반조사/02_관심프로젝트 선정/수행지침/관심프로젝트 선정_수행지침.html", "수행지침서 열기")</f>
        <v/>
      </c>
      <c r="Q3" s="34" t="inlineStr">
        <is>
          <t>1) 관심프로젝트 선정 적정성을 확인하였는가? 2) 관심사업 List 산출물을 확보하였는가?</t>
        </is>
      </c>
      <c r="R3" s="67">
        <f>HYPERLINK(LEFT(CELL("filename",A1),FIND("[",CELL("filename",A1))-1)&amp;"1.지반조사/02_관심프로젝트 선정/체크리스트/관심프로젝트 선정_체크리스트.html", "체크리스트 열기")</f>
        <v/>
      </c>
      <c r="S3" s="33" t="n"/>
      <c r="T3" s="2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8" t="n"/>
      <c r="ER3" s="18" t="n"/>
      <c r="ES3" s="18" t="n"/>
      <c r="ET3" s="18" t="n"/>
      <c r="EU3" s="18" t="n"/>
      <c r="EV3" s="18" t="n"/>
      <c r="EW3" s="18" t="n"/>
      <c r="EX3" s="18" t="n"/>
      <c r="EY3" s="18" t="n"/>
      <c r="EZ3" s="18" t="n"/>
      <c r="FA3" s="18" t="n"/>
      <c r="FB3" s="18" t="n"/>
      <c r="FC3" s="18" t="n"/>
      <c r="FD3" s="18" t="n"/>
      <c r="FE3" s="18" t="n"/>
      <c r="FF3" s="18" t="n"/>
      <c r="FG3" s="18" t="n"/>
      <c r="FH3" s="18" t="n"/>
      <c r="FI3" s="18" t="n"/>
      <c r="FJ3" s="18" t="n"/>
      <c r="FK3" s="18" t="n"/>
      <c r="FL3" s="18" t="n"/>
      <c r="FM3" s="18" t="n"/>
      <c r="FN3" s="18" t="n"/>
      <c r="FO3" s="18" t="n"/>
      <c r="FP3" s="18" t="n"/>
      <c r="FQ3" s="18" t="n"/>
      <c r="FR3" s="18" t="n"/>
      <c r="FS3" s="18" t="n"/>
      <c r="FT3" s="18" t="n"/>
    </row>
    <row r="4" ht="52.05" customHeight="1" s="88">
      <c r="A4" s="19" t="inlineStr">
        <is>
          <t>9000</t>
        </is>
      </c>
      <c r="B4" s="19" t="inlineStr">
        <is>
          <t>9000-1</t>
        </is>
      </c>
      <c r="C4" s="19" t="inlineStr">
        <is>
          <t>지반조사</t>
        </is>
      </c>
      <c r="D4" s="94" t="inlineStr">
        <is>
          <t>9000-1-3</t>
        </is>
      </c>
      <c r="E4" s="95" t="inlineStr">
        <is>
          <t>9000-1-2</t>
        </is>
      </c>
      <c r="F4" s="96" t="inlineStr">
        <is>
          <t>9000-1-7</t>
        </is>
      </c>
      <c r="G4" s="23" t="inlineStr">
        <is>
          <t>발주처 지반조사 모니터링</t>
        </is>
      </c>
      <c r="H4" s="97" t="inlineStr">
        <is>
          <t>D-60 (D-70~D-60)</t>
        </is>
      </c>
      <c r="I4" s="21" t="inlineStr">
        <is>
          <t>포스코스마트엔지니어링팀 (협업: 토목사업팀)</t>
        </is>
      </c>
      <c r="J4" s="24" t="inlineStr">
        <is>
          <t>발주처 지반조사 수립업체 파악</t>
        </is>
      </c>
      <c r="K4" s="24" t="inlineStr">
        <is>
          <t>• 발주처 지반조사업체 확인 후 당사 Pool List와 비교
• 발주처 지반조사 업체 확인팀 Contact Point 확보</t>
        </is>
      </c>
      <c r="L4" s="24" t="inlineStr">
        <is>
          <t>발주처 기본계획 수행 List + Contact Point List</t>
        </is>
      </c>
      <c r="M4" s="24" t="inlineStr">
        <is>
          <t>발주처 지반조사 수립업체 파악 | 발주처 기본계획 수행 List + Contact Point List</t>
        </is>
      </c>
      <c r="N4" s="65">
        <f>HYPERLINK(LEFT(CELL("filename",A1),FIND("[",CELL("filename",A1))-1)&amp;"1.지반조사/03_발주처 지반조사 모니터링/표준서/발주처 지반조사 모니터링_표준서.html", "표준서 열기")</f>
        <v/>
      </c>
      <c r="O4" s="24" t="inlineStr">
        <is>
          <t>• 발주처 지반조사업체 확인 후 당사 Pool List와 비교 • 발주처 지반조사 업체 확인팀 Contact Point 확보</t>
        </is>
      </c>
      <c r="P4" s="66">
        <f>HYPERLINK(LEFT(CELL("filename",A1),FIND("[",CELL("filename",A1))-1)&amp;"1.지반조사/03_발주처 지반조사 모니터링/수행지침/발주처 지반조사 모니터링_수행지침.html", "수행지침서 열기")</f>
        <v/>
      </c>
      <c r="Q4" s="24" t="inlineStr">
        <is>
          <t>1) 발주처 지반조사 모니터링 적정성을 확인하였는가? 2) 발주처 기본계획 수행 List + Contact Point List 산출물을 확보하였는가?</t>
        </is>
      </c>
      <c r="R4" s="67">
        <f>HYPERLINK(LEFT(CELL("filename",A1),FIND("[",CELL("filename",A1))-1)&amp;"1.지반조사/03_발주처 지반조사 모니터링/체크리스트/발주처 지반조사 모니터링_체크리스트.html", "체크리스트 열기")</f>
        <v/>
      </c>
      <c r="S4" s="21" t="n"/>
      <c r="T4" s="2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  <c r="DY4" s="18" t="n"/>
      <c r="DZ4" s="18" t="n"/>
      <c r="EA4" s="18" t="n"/>
      <c r="EB4" s="18" t="n"/>
      <c r="EC4" s="18" t="n"/>
      <c r="ED4" s="18" t="n"/>
      <c r="EE4" s="18" t="n"/>
      <c r="EF4" s="18" t="n"/>
      <c r="EG4" s="18" t="n"/>
      <c r="EH4" s="18" t="n"/>
      <c r="EI4" s="18" t="n"/>
      <c r="EJ4" s="18" t="n"/>
      <c r="EK4" s="18" t="n"/>
      <c r="EL4" s="18" t="n"/>
      <c r="EM4" s="18" t="n"/>
      <c r="EN4" s="18" t="n"/>
      <c r="EO4" s="18" t="n"/>
      <c r="EP4" s="18" t="n"/>
      <c r="EQ4" s="18" t="n"/>
      <c r="ER4" s="18" t="n"/>
      <c r="ES4" s="18" t="n"/>
      <c r="ET4" s="18" t="n"/>
      <c r="EU4" s="18" t="n"/>
      <c r="EV4" s="18" t="n"/>
      <c r="EW4" s="18" t="n"/>
      <c r="EX4" s="18" t="n"/>
      <c r="EY4" s="18" t="n"/>
      <c r="EZ4" s="18" t="n"/>
      <c r="FA4" s="18" t="n"/>
      <c r="FB4" s="18" t="n"/>
      <c r="FC4" s="18" t="n"/>
      <c r="FD4" s="18" t="n"/>
      <c r="FE4" s="18" t="n"/>
      <c r="FF4" s="18" t="n"/>
      <c r="FG4" s="18" t="n"/>
      <c r="FH4" s="18" t="n"/>
      <c r="FI4" s="18" t="n"/>
      <c r="FJ4" s="18" t="n"/>
      <c r="FK4" s="18" t="n"/>
      <c r="FL4" s="18" t="n"/>
      <c r="FM4" s="18" t="n"/>
      <c r="FN4" s="18" t="n"/>
      <c r="FO4" s="18" t="n"/>
      <c r="FP4" s="18" t="n"/>
      <c r="FQ4" s="18" t="n"/>
      <c r="FR4" s="18" t="n"/>
      <c r="FS4" s="18" t="n"/>
      <c r="FT4" s="18" t="n"/>
      <c r="FU4" s="18" t="n"/>
      <c r="FV4" s="18" t="n"/>
      <c r="FW4" s="18" t="n"/>
      <c r="FX4" s="18" t="n"/>
    </row>
    <row r="5" ht="52.05" customHeight="1" s="88">
      <c r="A5" s="29" t="inlineStr">
        <is>
          <t>9000</t>
        </is>
      </c>
      <c r="B5" s="29" t="inlineStr">
        <is>
          <t>9000-1</t>
        </is>
      </c>
      <c r="C5" s="29" t="inlineStr">
        <is>
          <t>지반조사</t>
        </is>
      </c>
      <c r="D5" s="98" t="inlineStr">
        <is>
          <t>9000-1-4</t>
        </is>
      </c>
      <c r="E5" s="101" t="inlineStr">
        <is>
          <t>9000-1-2</t>
        </is>
      </c>
      <c r="F5" s="99" t="inlineStr">
        <is>
          <t>9000-1-6</t>
        </is>
      </c>
      <c r="G5" s="32" t="inlineStr">
        <is>
          <t>외부 지질전문가 Pool 관리</t>
        </is>
      </c>
      <c r="H5" s="100" t="inlineStr">
        <is>
          <t>D-50 (D-60~D-50)</t>
        </is>
      </c>
      <c r="I5" s="33" t="inlineStr">
        <is>
          <t>포스코스마트엔지니어링팀 (협업: -)</t>
        </is>
      </c>
      <c r="J5" s="34" t="inlineStr">
        <is>
          <t>지반조사 품질향상을 위한 제3자 검증 수행 지반조사 전문가 Pool 관리</t>
        </is>
      </c>
      <c r="K5" s="34" t="inlineStr">
        <is>
          <t>• Academic 전문가와 현장 전문가를 포함한 Pool 구성
• 전문가 Pool의 학력/기술사 등 경력사항(조사 15년) 확인</t>
        </is>
      </c>
      <c r="L5" s="34" t="inlineStr">
        <is>
          <t>외부지질전문가 Pool List</t>
        </is>
      </c>
      <c r="M5" s="34" t="inlineStr">
        <is>
          <t>지반조사 품질향상을 위한 제3자 검증 수행 지반조사 전문가 Pool 관리 | 외부지질전문가 Pool List</t>
        </is>
      </c>
      <c r="N5" s="65">
        <f>HYPERLINK(LEFT(CELL("filename",A1),FIND("[",CELL("filename",A1))-1)&amp;"1.지반조사/04_외부 지질전문가 Pool 관리/표준서/외부 지질전문가 Pool 관리_표준서.html", "표준서 열기")</f>
        <v/>
      </c>
      <c r="O5" s="34" t="inlineStr">
        <is>
          <t>• Academic 전문가와 현장 전문가를 포함한 Pool 구성 • 전문가 Pool의 학력/기술사 등 경력사항(조사 15년) 확인</t>
        </is>
      </c>
      <c r="P5" s="66">
        <f>HYPERLINK(LEFT(CELL("filename",A1),FIND("[",CELL("filename",A1))-1)&amp;"1.지반조사/04_외부 지질전문가 Pool 관리/수행지침/외부 지질전문가 Pool 관리_수행지침.html", "수행지침서 열기")</f>
        <v/>
      </c>
      <c r="Q5" s="34" t="inlineStr">
        <is>
          <t>1) 외부 지질전문가 Pool 관리 적정성을 확인하였는가? 2) 외부지질전문가 Pool List 산출물을 확보하였는가?</t>
        </is>
      </c>
      <c r="R5" s="67">
        <f>HYPERLINK(LEFT(CELL("filename",A1),FIND("[",CELL("filename",A1))-1)&amp;"1.지반조사/04_외부 지질전문가 Pool 관리/체크리스트/외부 지질전문가 Pool 관리_체크리스트.html", "체크리스트 열기")</f>
        <v/>
      </c>
      <c r="S5" s="33" t="n"/>
      <c r="T5" s="2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  <c r="EB5" s="18" t="n"/>
      <c r="EC5" s="18" t="n"/>
      <c r="ED5" s="18" t="n"/>
      <c r="EE5" s="18" t="n"/>
      <c r="EF5" s="18" t="n"/>
      <c r="EG5" s="18" t="n"/>
      <c r="EH5" s="18" t="n"/>
      <c r="EI5" s="18" t="n"/>
      <c r="EJ5" s="18" t="n"/>
      <c r="EK5" s="18" t="n"/>
      <c r="EL5" s="18" t="n"/>
      <c r="EM5" s="18" t="n"/>
      <c r="EN5" s="18" t="n"/>
      <c r="EO5" s="18" t="n"/>
      <c r="EP5" s="18" t="n"/>
      <c r="EQ5" s="18" t="n"/>
      <c r="ER5" s="18" t="n"/>
      <c r="ES5" s="18" t="n"/>
      <c r="ET5" s="18" t="n"/>
      <c r="EU5" s="18" t="n"/>
      <c r="EV5" s="18" t="n"/>
      <c r="EW5" s="18" t="n"/>
      <c r="EX5" s="18" t="n"/>
      <c r="EY5" s="18" t="n"/>
      <c r="EZ5" s="18" t="n"/>
      <c r="FA5" s="18" t="n"/>
      <c r="FB5" s="18" t="n"/>
      <c r="FC5" s="18" t="n"/>
      <c r="FD5" s="18" t="n"/>
      <c r="FE5" s="18" t="n"/>
      <c r="FF5" s="18" t="n"/>
      <c r="FG5" s="18" t="n"/>
      <c r="FH5" s="18" t="n"/>
      <c r="FI5" s="18" t="n"/>
      <c r="FJ5" s="18" t="n"/>
      <c r="FK5" s="18" t="n"/>
      <c r="FL5" s="18" t="n"/>
      <c r="FM5" s="18" t="n"/>
      <c r="FN5" s="18" t="n"/>
      <c r="FO5" s="18" t="n"/>
      <c r="FP5" s="18" t="n"/>
      <c r="FQ5" s="18" t="n"/>
      <c r="FR5" s="18" t="n"/>
      <c r="FS5" s="18" t="n"/>
      <c r="FT5" s="18" t="n"/>
      <c r="FU5" s="18" t="n"/>
      <c r="FV5" s="18" t="n"/>
      <c r="FW5" s="18" t="n"/>
      <c r="FX5" s="18" t="n"/>
      <c r="FY5" s="18" t="n"/>
      <c r="FZ5" s="18" t="n"/>
      <c r="GA5" s="18" t="n"/>
      <c r="GB5" s="18" t="n"/>
    </row>
    <row r="6" ht="52.05" customHeight="1" s="88">
      <c r="A6" s="19" t="inlineStr">
        <is>
          <t>9000</t>
        </is>
      </c>
      <c r="B6" s="19" t="inlineStr">
        <is>
          <t>9000-1</t>
        </is>
      </c>
      <c r="C6" s="19" t="inlineStr">
        <is>
          <t>지반조사</t>
        </is>
      </c>
      <c r="D6" s="94" t="inlineStr">
        <is>
          <t>9000-1-5</t>
        </is>
      </c>
      <c r="E6" s="95" t="inlineStr">
        <is>
          <t>9000-1-2</t>
        </is>
      </c>
      <c r="F6" s="96" t="inlineStr">
        <is>
          <t>9000-1-6</t>
        </is>
      </c>
      <c r="G6" s="23" t="inlineStr">
        <is>
          <t>지반조사 Pool 관리</t>
        </is>
      </c>
      <c r="H6" s="97" t="inlineStr">
        <is>
          <t>D-80 (D-120~D-80)</t>
        </is>
      </c>
      <c r="I6" s="21" t="inlineStr">
        <is>
          <t>외주구매팀 (협업: 포스코스마트엔지니어링팀)</t>
        </is>
      </c>
      <c r="J6" s="24" t="inlineStr">
        <is>
          <t>발주처 계획 대응 및 개략 지반조사 결과 사전 예측을 위한 업체 관리</t>
        </is>
      </c>
      <c r="K6" s="24" t="inlineStr">
        <is>
          <t>• 공공기관별 입찰공고 모니터링 통한 지반조사업체 입찰참여 유치(입찰 공사 여부 확인)
• 업체 Pool List 갱신 여부 확인
• 지반조사업체 역량 및 기술수준 평가표 평가 여부 확인 (Pool 갱신 및 신규업체 등록)
• 조사업체 강점, 장비보유 확인
• 조사업체 Network 확보 여부 확인</t>
        </is>
      </c>
      <c r="L6" s="24" t="inlineStr">
        <is>
          <t>조사업체 POOL/필요시 Update</t>
        </is>
      </c>
      <c r="M6" s="24" t="inlineStr">
        <is>
          <t>발주처 계획 대응 및 개략 지반조사 결과 사전 예측을 위한 업체 관리 | 조사업체 POOL/필요시 Update</t>
        </is>
      </c>
      <c r="N6" s="65">
        <f>HYPERLINK(LEFT(CELL("filename",A1),FIND("[",CELL("filename",A1))-1)&amp;"1.지반조사/05_지반조사 Pool 관리/표준서/지반조사 Pool 관리_표준서.html", "표준서 열기")</f>
        <v/>
      </c>
      <c r="O6" s="24" t="inlineStr">
        <is>
          <t>• 공공기관별 입찰공고 모니터링 통한 지반조사업체 입찰참여 유치(입찰 공사 여부 확인) • 업체 Pool List 갱신 여부 확인 • 지반조사업체 역량 및 기술수준 평가표 평가 여부 확인 (Pool 갱신 및 신규업체...</t>
        </is>
      </c>
      <c r="P6" s="66">
        <f>HYPERLINK(LEFT(CELL("filename",A1),FIND("[",CELL("filename",A1))-1)&amp;"1.지반조사/05_지반조사 Pool 관리/수행지침/지반조사 Pool 관리_수행지침.html", "수행지침서 열기")</f>
        <v/>
      </c>
      <c r="Q6" s="24" t="inlineStr">
        <is>
          <t>1) 지반조사 Pool 관리 적정성을 확인하였는가? 2) 조사업체 POOL/필요시 Update 산출물을 확보하였는가?</t>
        </is>
      </c>
      <c r="R6" s="67">
        <f>HYPERLINK(LEFT(CELL("filename",A1),FIND("[",CELL("filename",A1))-1)&amp;"1.지반조사/05_지반조사 Pool 관리/체크리스트/지반조사 Pool 관리_체크리스트.html", "체크리스트 열기")</f>
        <v/>
      </c>
      <c r="S6" s="21" t="n"/>
      <c r="T6" s="2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  <c r="DY6" s="18" t="n"/>
      <c r="DZ6" s="18" t="n"/>
      <c r="EA6" s="18" t="n"/>
      <c r="EB6" s="18" t="n"/>
      <c r="EC6" s="18" t="n"/>
      <c r="ED6" s="18" t="n"/>
      <c r="EE6" s="18" t="n"/>
      <c r="EF6" s="18" t="n"/>
      <c r="EG6" s="18" t="n"/>
      <c r="EH6" s="18" t="n"/>
      <c r="EI6" s="18" t="n"/>
      <c r="EJ6" s="18" t="n"/>
      <c r="EK6" s="18" t="n"/>
      <c r="EL6" s="18" t="n"/>
      <c r="EM6" s="18" t="n"/>
      <c r="EN6" s="18" t="n"/>
      <c r="EO6" s="18" t="n"/>
      <c r="EP6" s="18" t="n"/>
      <c r="EQ6" s="18" t="n"/>
      <c r="ER6" s="18" t="n"/>
      <c r="ES6" s="18" t="n"/>
      <c r="ET6" s="18" t="n"/>
      <c r="EU6" s="18" t="n"/>
      <c r="EV6" s="18" t="n"/>
      <c r="EW6" s="18" t="n"/>
      <c r="EX6" s="18" t="n"/>
      <c r="EY6" s="18" t="n"/>
      <c r="EZ6" s="18" t="n"/>
      <c r="FA6" s="18" t="n"/>
      <c r="FB6" s="18" t="n"/>
      <c r="FC6" s="18" t="n"/>
      <c r="FD6" s="18" t="n"/>
      <c r="FE6" s="18" t="n"/>
      <c r="FF6" s="18" t="n"/>
      <c r="FG6" s="18" t="n"/>
      <c r="FH6" s="18" t="n"/>
      <c r="FI6" s="18" t="n"/>
      <c r="FJ6" s="18" t="n"/>
      <c r="FK6" s="18" t="n"/>
      <c r="FL6" s="18" t="n"/>
      <c r="FM6" s="18" t="n"/>
      <c r="FN6" s="18" t="n"/>
      <c r="FO6" s="18" t="n"/>
      <c r="FP6" s="18" t="n"/>
      <c r="FQ6" s="18" t="n"/>
      <c r="FR6" s="18" t="n"/>
      <c r="FS6" s="18" t="n"/>
      <c r="FT6" s="18" t="n"/>
      <c r="FU6" s="18" t="n"/>
      <c r="FV6" s="18" t="n"/>
      <c r="FW6" s="18" t="n"/>
      <c r="FX6" s="18" t="n"/>
      <c r="FY6" s="18" t="n"/>
      <c r="FZ6" s="18" t="n"/>
      <c r="GA6" s="18" t="n"/>
      <c r="GB6" s="18" t="n"/>
      <c r="GC6" s="18" t="n"/>
      <c r="GD6" s="18" t="n"/>
      <c r="GE6" s="18" t="n"/>
      <c r="GF6" s="18" t="n"/>
    </row>
    <row r="7" ht="52.05" customHeight="1" s="88">
      <c r="A7" s="29" t="inlineStr">
        <is>
          <t>9000</t>
        </is>
      </c>
      <c r="B7" s="29" t="inlineStr">
        <is>
          <t>9000-1</t>
        </is>
      </c>
      <c r="C7" s="29" t="inlineStr">
        <is>
          <t>지반조사</t>
        </is>
      </c>
      <c r="D7" s="98" t="inlineStr">
        <is>
          <t>9000-1-6</t>
        </is>
      </c>
      <c r="E7" s="102" t="inlineStr">
        <is>
          <t>9000-1-4, 9000-1-5</t>
        </is>
      </c>
      <c r="F7" s="99" t="inlineStr">
        <is>
          <t>9000-1-10</t>
        </is>
      </c>
      <c r="G7" s="32" t="inlineStr">
        <is>
          <t>기본계획 지반조사 자료 및 R/O 정보 입수</t>
        </is>
      </c>
      <c r="H7" s="100" t="inlineStr">
        <is>
          <t>D-40</t>
        </is>
      </c>
      <c r="I7" s="33" t="inlineStr">
        <is>
          <t>지반조사 협력업체 (협업: 설계 협력업체)</t>
        </is>
      </c>
      <c r="J7" s="34" t="inlineStr">
        <is>
          <t>발주처 기본계획 및 지반조사 결과 사전 획득</t>
        </is>
      </c>
      <c r="K7" s="34" t="inlineStr">
        <is>
          <t>• 기본계획 지반조사결과 및 실시설계 Contact을 통한 자료입수</t>
        </is>
      </c>
      <c r="L7" s="34" t="inlineStr">
        <is>
          <t>발주처 기본계획 보고서 및 지반조사 보고서(비공식)</t>
        </is>
      </c>
      <c r="M7" s="34" t="inlineStr">
        <is>
          <t>발주처 기본계획 및 지반조사 결과 사전 획득 | 발주처 기본계획 보고서 및 지반조사 보고서(비공식)</t>
        </is>
      </c>
      <c r="N7" s="65">
        <f>HYPERLINK(LEFT(CELL("filename",A1),FIND("[",CELL("filename",A1))-1)&amp;"1.지반조사/06_기본계획 지반조사 자료 및 R_O 정보 입수/표준서/기본계획 지반조사 자료 및 R_O 정보 입수_표준서.html", "표준서 열기")</f>
        <v/>
      </c>
      <c r="O7" s="34" t="inlineStr">
        <is>
          <t>• 기본계획 지반조사결과 및 실시설계 Contact을 통한 자료입수</t>
        </is>
      </c>
      <c r="P7" s="66">
        <f>HYPERLINK(LEFT(CELL("filename",A1),FIND("[",CELL("filename",A1))-1)&amp;"1.지반조사/06_기본계획 지반조사 자료 및 R_O 정보 입수/수행지침/기본계획 지반조사 자료 및 R_O 정보 입수_수행지침.html", "수행지침서 열기")</f>
        <v/>
      </c>
      <c r="Q7" s="34" t="inlineStr">
        <is>
          <t>1) 기본계획 지반조사 자료 및 R/O 정보 입수 적정성을 확인하였는가? 2) 발주처 기본계획 보고서 및 지반조사 보고서(비공식) 산출물을 확보하였는가?</t>
        </is>
      </c>
      <c r="R7" s="67">
        <f>HYPERLINK(LEFT(CELL("filename",A1),FIND("[",CELL("filename",A1))-1)&amp;"1.지반조사/06_기본계획 지반조사 자료 및 R_O 정보 입수/체크리스트/기본계획 지반조사 자료 및 R_O 정보 입수_체크리스트.html", "체크리스트 열기")</f>
        <v/>
      </c>
      <c r="S7" s="33" t="n"/>
      <c r="T7" s="2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8" t="n"/>
      <c r="EB7" s="18" t="n"/>
      <c r="EC7" s="18" t="n"/>
      <c r="ED7" s="18" t="n"/>
      <c r="EE7" s="18" t="n"/>
      <c r="EF7" s="18" t="n"/>
      <c r="EG7" s="18" t="n"/>
      <c r="EH7" s="18" t="n"/>
      <c r="EI7" s="18" t="n"/>
      <c r="EJ7" s="18" t="n"/>
      <c r="EK7" s="18" t="n"/>
      <c r="EL7" s="18" t="n"/>
      <c r="EM7" s="18" t="n"/>
      <c r="EN7" s="18" t="n"/>
      <c r="EO7" s="18" t="n"/>
      <c r="EP7" s="18" t="n"/>
      <c r="EQ7" s="18" t="n"/>
      <c r="ER7" s="18" t="n"/>
      <c r="ES7" s="18" t="n"/>
      <c r="ET7" s="18" t="n"/>
      <c r="EU7" s="18" t="n"/>
      <c r="EV7" s="18" t="n"/>
      <c r="EW7" s="18" t="n"/>
      <c r="EX7" s="18" t="n"/>
      <c r="EY7" s="18" t="n"/>
      <c r="EZ7" s="18" t="n"/>
      <c r="FA7" s="18" t="n"/>
      <c r="FB7" s="18" t="n"/>
      <c r="FC7" s="18" t="n"/>
      <c r="FD7" s="18" t="n"/>
      <c r="FE7" s="18" t="n"/>
      <c r="FF7" s="18" t="n"/>
      <c r="FG7" s="18" t="n"/>
      <c r="FH7" s="18" t="n"/>
      <c r="FI7" s="18" t="n"/>
      <c r="FJ7" s="18" t="n"/>
      <c r="FK7" s="18" t="n"/>
      <c r="FL7" s="18" t="n"/>
      <c r="FM7" s="18" t="n"/>
      <c r="FN7" s="18" t="n"/>
      <c r="FO7" s="18" t="n"/>
      <c r="FP7" s="18" t="n"/>
      <c r="FQ7" s="18" t="n"/>
      <c r="FR7" s="18" t="n"/>
      <c r="FS7" s="18" t="n"/>
      <c r="FT7" s="18" t="n"/>
      <c r="FU7" s="18" t="n"/>
      <c r="FV7" s="18" t="n"/>
      <c r="FW7" s="18" t="n"/>
      <c r="FX7" s="18" t="n"/>
      <c r="FY7" s="18" t="n"/>
      <c r="FZ7" s="18" t="n"/>
      <c r="GA7" s="18" t="n"/>
      <c r="GB7" s="18" t="n"/>
      <c r="GC7" s="18" t="n"/>
      <c r="GD7" s="18" t="n"/>
      <c r="GE7" s="18" t="n"/>
      <c r="GF7" s="18" t="n"/>
      <c r="GG7" s="18" t="n"/>
      <c r="GH7" s="18" t="n"/>
      <c r="GI7" s="18" t="n"/>
      <c r="GJ7" s="18" t="n"/>
    </row>
    <row r="8" ht="52.05" customHeight="1" s="88">
      <c r="A8" s="19" t="inlineStr">
        <is>
          <t>9000</t>
        </is>
      </c>
      <c r="B8" s="19" t="inlineStr">
        <is>
          <t>9000-1</t>
        </is>
      </c>
      <c r="C8" s="19" t="inlineStr">
        <is>
          <t>지반조사</t>
        </is>
      </c>
      <c r="D8" s="94" t="inlineStr">
        <is>
          <t>9000-1-7</t>
        </is>
      </c>
      <c r="E8" s="95" t="inlineStr">
        <is>
          <t>9000-1-3</t>
        </is>
      </c>
      <c r="F8" s="96" t="inlineStr">
        <is>
          <t>9000-1-8, 9000-1-9</t>
        </is>
      </c>
      <c r="G8" s="23" t="inlineStr">
        <is>
          <t>기본계획 지반조사 R/O 검토 (설계, 공정, 기획)</t>
        </is>
      </c>
      <c r="H8" s="97" t="inlineStr">
        <is>
          <t>D-65 (D-65~D-55)</t>
        </is>
      </c>
      <c r="I8" s="21" t="inlineStr">
        <is>
          <t>포스코스마트엔지니어링팀(설계), 토목수행팀(공정), 토목사업지원팀(기획) (협업: 토목견적팀)</t>
        </is>
      </c>
      <c r="J8" s="24" t="inlineStr">
        <is>
          <t>발주처 기본계획 지반조사 문제점 검토</t>
        </is>
      </c>
      <c r="K8" s="24" t="inlineStr">
        <is>
          <t>• 시추조사 위치, 수량 적정성 검토
• 지질이상 구간 상세 조사 여부 및 적정성 검토 확인
• 미시추 구간 지반 특성 적정성 검토확인 (측점 검토, 위치 및 물량검토)
• 인근 사업 지반조사자료 비교 통해 당사 지반특성 분석 결과 Cross-check 확인</t>
        </is>
      </c>
      <c r="L8" s="24" t="inlineStr">
        <is>
          <t>기본계획 지반조사 검토서(설계, 공정, 기획)</t>
        </is>
      </c>
      <c r="M8" s="24" t="inlineStr">
        <is>
          <t>발주처 기본계획 지반조사 문제점 검토 | 기본계획 지반조사 검토서(설계, 공정, 기획)</t>
        </is>
      </c>
      <c r="N8" s="65">
        <f>HYPERLINK(LEFT(CELL("filename",A1),FIND("[",CELL("filename",A1))-1)&amp;"1.지반조사/07_기본계획 지반조사 R_O 검토 (설계, 공정, 기획)/표준서/기본계획 지반조사 R_O 검토 (설계, 공정, 기획)_표준서.html", "표준서 열기")</f>
        <v/>
      </c>
      <c r="O8" s="24" t="inlineStr">
        <is>
          <t>• 시추조사 위치, 수량 적정성 검토 • 지질이상 구간 상세 조사 여부 및 적정성 검토 확인 • 미시추 구간 지반 특성 적정성 검토확인 (측점 검토, 위치 및 물량검토) • 인근 사업 지반조사자료 비교 통해 당사 지...</t>
        </is>
      </c>
      <c r="P8" s="66">
        <f>HYPERLINK(LEFT(CELL("filename",A1),FIND("[",CELL("filename",A1))-1)&amp;"1.지반조사/07_기본계획 지반조사 R_O 검토 (설계, 공정, 기획)/수행지침/기본계획 지반조사 R_O 검토 (설계, 공정, 기획)_수행지침.html", "수행지침서 열기")</f>
        <v/>
      </c>
      <c r="Q8" s="24" t="inlineStr">
        <is>
          <t>1) 기본계획 지반조사 R/O 검토 (설계, 공정, 기획) 적정성을 확인하였는가? 2) 기본계획 지반조사 검토서(설계, 공정, 기획) 산출물을 확보하였는가?</t>
        </is>
      </c>
      <c r="R8" s="67">
        <f>HYPERLINK(LEFT(CELL("filename",A1),FIND("[",CELL("filename",A1))-1)&amp;"1.지반조사/07_기본계획 지반조사 R_O 검토 (설계, 공정, 기획)/체크리스트/기본계획 지반조사 R_O 검토 (설계, 공정, 기획)_체크리스트.html", "체크리스트 열기")</f>
        <v/>
      </c>
      <c r="S8" s="21" t="n"/>
      <c r="T8" s="2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8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  <c r="EN8" s="18" t="n"/>
      <c r="EO8" s="18" t="n"/>
      <c r="EP8" s="18" t="n"/>
      <c r="EQ8" s="18" t="n"/>
      <c r="ER8" s="18" t="n"/>
      <c r="ES8" s="18" t="n"/>
      <c r="ET8" s="18" t="n"/>
      <c r="EU8" s="18" t="n"/>
      <c r="EV8" s="18" t="n"/>
      <c r="EW8" s="18" t="n"/>
      <c r="EX8" s="18" t="n"/>
      <c r="EY8" s="18" t="n"/>
      <c r="EZ8" s="18" t="n"/>
      <c r="FA8" s="18" t="n"/>
      <c r="FB8" s="18" t="n"/>
      <c r="FC8" s="18" t="n"/>
      <c r="FD8" s="18" t="n"/>
      <c r="FE8" s="18" t="n"/>
      <c r="FF8" s="18" t="n"/>
      <c r="FG8" s="18" t="n"/>
      <c r="FH8" s="18" t="n"/>
      <c r="FI8" s="18" t="n"/>
      <c r="FJ8" s="18" t="n"/>
      <c r="FK8" s="18" t="n"/>
      <c r="FL8" s="18" t="n"/>
      <c r="FM8" s="18" t="n"/>
      <c r="FN8" s="18" t="n"/>
      <c r="FO8" s="18" t="n"/>
      <c r="FP8" s="18" t="n"/>
      <c r="FQ8" s="18" t="n"/>
      <c r="FR8" s="18" t="n"/>
      <c r="FS8" s="18" t="n"/>
      <c r="FT8" s="18" t="n"/>
      <c r="FU8" s="18" t="n"/>
      <c r="FV8" s="18" t="n"/>
      <c r="FW8" s="18" t="n"/>
      <c r="FX8" s="18" t="n"/>
      <c r="FY8" s="18" t="n"/>
      <c r="FZ8" s="18" t="n"/>
      <c r="GA8" s="18" t="n"/>
      <c r="GB8" s="18" t="n"/>
      <c r="GC8" s="18" t="n"/>
      <c r="GD8" s="18" t="n"/>
      <c r="GE8" s="18" t="n"/>
      <c r="GF8" s="18" t="n"/>
      <c r="GG8" s="18" t="n"/>
      <c r="GH8" s="18" t="n"/>
      <c r="GI8" s="18" t="n"/>
      <c r="GJ8" s="18" t="n"/>
      <c r="GK8" s="18" t="n"/>
      <c r="GL8" s="18" t="n"/>
      <c r="GM8" s="18" t="n"/>
      <c r="GN8" s="18" t="n"/>
    </row>
    <row r="9" ht="52.05" customHeight="1" s="88">
      <c r="A9" s="29" t="inlineStr">
        <is>
          <t>9000</t>
        </is>
      </c>
      <c r="B9" s="29" t="inlineStr">
        <is>
          <t>9000-1</t>
        </is>
      </c>
      <c r="C9" s="29" t="inlineStr">
        <is>
          <t>지반조사</t>
        </is>
      </c>
      <c r="D9" s="98" t="inlineStr">
        <is>
          <t>9000-1-8</t>
        </is>
      </c>
      <c r="E9" s="102" t="inlineStr">
        <is>
          <t>9000-1-7</t>
        </is>
      </c>
      <c r="F9" s="99" t="inlineStr">
        <is>
          <t>9000-1-10</t>
        </is>
      </c>
      <c r="G9" s="32" t="inlineStr">
        <is>
          <t>기본계획 지반조사 R/O 종합검토 (원가)</t>
        </is>
      </c>
      <c r="H9" s="100" t="inlineStr">
        <is>
          <t>D-40 (D-60~D-40)</t>
        </is>
      </c>
      <c r="I9" s="33" t="inlineStr">
        <is>
          <t>토목견적팀 (협업: 포스코스마트엔지니어링팀(설계), 토목수행팀(공정), 토목사업지원팀(기획))</t>
        </is>
      </c>
      <c r="J9" s="34" t="inlineStr">
        <is>
          <t>발주처 지반조사 문제점 R/O 분석</t>
        </is>
      </c>
      <c r="K9" s="34" t="inlineStr">
        <is>
          <t>• 발주처 기본계획 지반조사 R/O별 Cost effect 분석</t>
        </is>
      </c>
      <c r="L9" s="34" t="inlineStr">
        <is>
          <t>기본계획 지반조사 개략 검토서</t>
        </is>
      </c>
      <c r="M9" s="34" t="inlineStr">
        <is>
          <t>발주처 지반조사 문제점 R/O 분석 | 기본계획 지반조사 개략 검토서</t>
        </is>
      </c>
      <c r="N9" s="65">
        <f>HYPERLINK(LEFT(CELL("filename",A1),FIND("[",CELL("filename",A1))-1)&amp;"1.지반조사/08_기본계획 지반조사 R_O 종합검토 (원가)/표준서/기본계획 지반조사 R_O 종합검토 (원가)_표준서.html", "표준서 열기")</f>
        <v/>
      </c>
      <c r="O9" s="34" t="inlineStr">
        <is>
          <t>• 발주처 기본계획 지반조사 R/O별 Cost effect 분석</t>
        </is>
      </c>
      <c r="P9" s="66">
        <f>HYPERLINK(LEFT(CELL("filename",A1),FIND("[",CELL("filename",A1))-1)&amp;"1.지반조사/08_기본계획 지반조사 R_O 종합검토 (원가)/수행지침/기본계획 지반조사 R_O 종합검토 (원가)_수행지침.html", "수행지침서 열기")</f>
        <v/>
      </c>
      <c r="Q9" s="34" t="inlineStr">
        <is>
          <t>1) 기본계획 지반조사 R/O 종합검토 (원가) 적정성을 확인하였는가? 2) 기본계획 지반조사 개략 검토서 산출물을 확보하였는가?</t>
        </is>
      </c>
      <c r="R9" s="67">
        <f>HYPERLINK(LEFT(CELL("filename",A1),FIND("[",CELL("filename",A1))-1)&amp;"1.지반조사/08_기본계획 지반조사 R_O 종합검토 (원가)/체크리스트/기본계획 지반조사 R_O 종합검토 (원가)_체크리스트.html", "체크리스트 열기")</f>
        <v/>
      </c>
      <c r="S9" s="33" t="n"/>
      <c r="T9" s="2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8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  <c r="ER9" s="18" t="n"/>
      <c r="ES9" s="18" t="n"/>
      <c r="ET9" s="18" t="n"/>
      <c r="EU9" s="18" t="n"/>
      <c r="EV9" s="18" t="n"/>
      <c r="EW9" s="18" t="n"/>
      <c r="EX9" s="18" t="n"/>
      <c r="EY9" s="18" t="n"/>
      <c r="EZ9" s="18" t="n"/>
      <c r="FA9" s="18" t="n"/>
      <c r="FB9" s="18" t="n"/>
      <c r="FC9" s="18" t="n"/>
      <c r="FD9" s="18" t="n"/>
      <c r="FE9" s="18" t="n"/>
      <c r="FF9" s="18" t="n"/>
      <c r="FG9" s="18" t="n"/>
      <c r="FH9" s="18" t="n"/>
      <c r="FI9" s="18" t="n"/>
      <c r="FJ9" s="18" t="n"/>
      <c r="FK9" s="18" t="n"/>
      <c r="FL9" s="18" t="n"/>
      <c r="FM9" s="18" t="n"/>
      <c r="FN9" s="18" t="n"/>
      <c r="FO9" s="18" t="n"/>
      <c r="FP9" s="18" t="n"/>
      <c r="FQ9" s="18" t="n"/>
      <c r="FR9" s="18" t="n"/>
      <c r="FS9" s="18" t="n"/>
      <c r="FT9" s="18" t="n"/>
      <c r="FU9" s="18" t="n"/>
      <c r="FV9" s="18" t="n"/>
      <c r="FW9" s="18" t="n"/>
      <c r="FX9" s="18" t="n"/>
      <c r="FY9" s="18" t="n"/>
      <c r="FZ9" s="18" t="n"/>
      <c r="GA9" s="18" t="n"/>
      <c r="GB9" s="18" t="n"/>
      <c r="GC9" s="18" t="n"/>
      <c r="GD9" s="18" t="n"/>
      <c r="GE9" s="18" t="n"/>
      <c r="GF9" s="18" t="n"/>
      <c r="GG9" s="18" t="n"/>
      <c r="GH9" s="18" t="n"/>
      <c r="GI9" s="18" t="n"/>
      <c r="GJ9" s="18" t="n"/>
      <c r="GK9" s="18" t="n"/>
      <c r="GL9" s="18" t="n"/>
      <c r="GM9" s="18" t="n"/>
      <c r="GN9" s="18" t="n"/>
      <c r="GO9" s="18" t="n"/>
      <c r="GP9" s="18" t="n"/>
      <c r="GQ9" s="18" t="n"/>
      <c r="GR9" s="18" t="n"/>
    </row>
    <row r="10" ht="52.05" customHeight="1" s="88">
      <c r="A10" s="19" t="inlineStr">
        <is>
          <t>9000</t>
        </is>
      </c>
      <c r="B10" s="19" t="inlineStr">
        <is>
          <t>9000-1</t>
        </is>
      </c>
      <c r="C10" s="19" t="inlineStr">
        <is>
          <t>지반조사</t>
        </is>
      </c>
      <c r="D10" s="94" t="inlineStr">
        <is>
          <t>9000-1-9</t>
        </is>
      </c>
      <c r="E10" s="95" t="inlineStr">
        <is>
          <t>9000-1-7</t>
        </is>
      </c>
      <c r="F10" s="96" t="inlineStr">
        <is>
          <t>9000-1-10</t>
        </is>
      </c>
      <c r="G10" s="23" t="inlineStr">
        <is>
          <t>지반조사 업체 선정</t>
        </is>
      </c>
      <c r="H10" s="97" t="inlineStr">
        <is>
          <t>D-30</t>
        </is>
      </c>
      <c r="I10" s="21" t="inlineStr">
        <is>
          <t>일반구매팀 (협업: 포스코스마트엔지니어링팀)</t>
        </is>
      </c>
      <c r="J10" s="24" t="inlineStr">
        <is>
          <t>지반조사업체 Pool 내 최적의 업체 선정</t>
        </is>
      </c>
      <c r="K10" s="24" t="inlineStr">
        <is>
          <t>• 지반조사업체 Pool/실적 검토 및 공종별 적합성 정합 및 견적 본부 연계 검토</t>
        </is>
      </c>
      <c r="L10" s="24" t="inlineStr">
        <is>
          <t>지반조사 입찰 참여 Pool</t>
        </is>
      </c>
      <c r="M10" s="24" t="inlineStr">
        <is>
          <t>지반조사업체 Pool 내 최적의 업체 선정 | 지반조사 입찰 참여 Pool</t>
        </is>
      </c>
      <c r="N10" s="65">
        <f>HYPERLINK(LEFT(CELL("filename",A1),FIND("[",CELL("filename",A1))-1)&amp;"1.지반조사/09_지반조사 업체 선정/표준서/지반조사 업체 선정_표준서.html", "표준서 열기")</f>
        <v/>
      </c>
      <c r="O10" s="24" t="inlineStr">
        <is>
          <t>• 지반조사업체 Pool/실적 검토 및 공종별 적합성 정합 및 견적 본부 연계 검토</t>
        </is>
      </c>
      <c r="P10" s="66">
        <f>HYPERLINK(LEFT(CELL("filename",A1),FIND("[",CELL("filename",A1))-1)&amp;"1.지반조사/09_지반조사 업체 선정/수행지침/지반조사 업체 선정_수행지침.html", "수행지침서 열기")</f>
        <v/>
      </c>
      <c r="Q10" s="24" t="inlineStr">
        <is>
          <t>1) 지반조사 업체 선정 적정성을 확인하였는가? 2) 지반조사 입찰 참여 Pool 산출물을 확보하였는가?</t>
        </is>
      </c>
      <c r="R10" s="67">
        <f>HYPERLINK(LEFT(CELL("filename",A1),FIND("[",CELL("filename",A1))-1)&amp;"1.지반조사/09_지반조사 업체 선정/체크리스트/지반조사 업체 선정_체크리스트.html", "체크리스트 열기")</f>
        <v/>
      </c>
      <c r="S10" s="21" t="n"/>
      <c r="T10" s="2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8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  <c r="EV10" s="18" t="n"/>
      <c r="EW10" s="18" t="n"/>
      <c r="EX10" s="18" t="n"/>
      <c r="EY10" s="18" t="n"/>
      <c r="EZ10" s="18" t="n"/>
      <c r="FA10" s="18" t="n"/>
      <c r="FB10" s="18" t="n"/>
      <c r="FC10" s="18" t="n"/>
      <c r="FD10" s="18" t="n"/>
      <c r="FE10" s="18" t="n"/>
      <c r="FF10" s="18" t="n"/>
      <c r="FG10" s="18" t="n"/>
      <c r="FH10" s="18" t="n"/>
      <c r="FI10" s="18" t="n"/>
      <c r="FJ10" s="18" t="n"/>
      <c r="FK10" s="18" t="n"/>
      <c r="FL10" s="18" t="n"/>
      <c r="FM10" s="18" t="n"/>
      <c r="FN10" s="18" t="n"/>
      <c r="FO10" s="18" t="n"/>
      <c r="FP10" s="18" t="n"/>
      <c r="FQ10" s="18" t="n"/>
      <c r="FR10" s="18" t="n"/>
      <c r="FS10" s="18" t="n"/>
      <c r="FT10" s="18" t="n"/>
      <c r="FU10" s="18" t="n"/>
      <c r="FV10" s="18" t="n"/>
      <c r="FW10" s="18" t="n"/>
      <c r="FX10" s="18" t="n"/>
      <c r="FY10" s="18" t="n"/>
      <c r="FZ10" s="18" t="n"/>
      <c r="GA10" s="18" t="n"/>
      <c r="GB10" s="18" t="n"/>
      <c r="GC10" s="18" t="n"/>
      <c r="GD10" s="18" t="n"/>
      <c r="GE10" s="18" t="n"/>
      <c r="GF10" s="18" t="n"/>
      <c r="GG10" s="18" t="n"/>
      <c r="GH10" s="18" t="n"/>
      <c r="GI10" s="18" t="n"/>
      <c r="GJ10" s="18" t="n"/>
      <c r="GK10" s="18" t="n"/>
      <c r="GL10" s="18" t="n"/>
      <c r="GM10" s="18" t="n"/>
      <c r="GN10" s="18" t="n"/>
      <c r="GO10" s="18" t="n"/>
      <c r="GP10" s="18" t="n"/>
      <c r="GQ10" s="18" t="n"/>
      <c r="GR10" s="18" t="n"/>
      <c r="GS10" s="18" t="n"/>
      <c r="GT10" s="18" t="n"/>
      <c r="GU10" s="18" t="n"/>
      <c r="GV10" s="18" t="n"/>
    </row>
    <row r="11" ht="52.05" customHeight="1" s="88">
      <c r="A11" s="29" t="inlineStr">
        <is>
          <t>9000</t>
        </is>
      </c>
      <c r="B11" s="29" t="inlineStr">
        <is>
          <t>9000-1</t>
        </is>
      </c>
      <c r="C11" s="29" t="inlineStr">
        <is>
          <t>지반조사</t>
        </is>
      </c>
      <c r="D11" s="98" t="inlineStr">
        <is>
          <t>9000-1-10</t>
        </is>
      </c>
      <c r="E11" s="102" t="inlineStr">
        <is>
          <t>9000-1-6, 9000-1-8, 9000-1-9</t>
        </is>
      </c>
      <c r="F11" s="99" t="inlineStr">
        <is>
          <t>9000-1-11</t>
        </is>
      </c>
      <c r="G11" s="32" t="inlineStr">
        <is>
          <t>지반조사 업체 계약</t>
        </is>
      </c>
      <c r="H11" s="100" t="inlineStr">
        <is>
          <t>D-30</t>
        </is>
      </c>
      <c r="I11" s="33" t="inlineStr">
        <is>
          <t>일반구매팀 (협업: 포스코스마트엔지니어링팀)</t>
        </is>
      </c>
      <c r="J11" s="34" t="inlineStr">
        <is>
          <t>지반조사업체 용역 계약</t>
        </is>
      </c>
      <c r="K11" s="34" t="inlineStr">
        <is>
          <t>• 일반구매시스템을 이용한 용역계약</t>
        </is>
      </c>
      <c r="L11" s="34" t="inlineStr">
        <is>
          <t>지반조사 용역 계약서</t>
        </is>
      </c>
      <c r="M11" s="34" t="inlineStr">
        <is>
          <t>지반조사업체 용역 계약 | 지반조사 용역 계약서</t>
        </is>
      </c>
      <c r="N11" s="65">
        <f>HYPERLINK(LEFT(CELL("filename",A1),FIND("[",CELL("filename",A1))-1)&amp;"1.지반조사/10_지반조사 업체 계약/표준서/지반조사 업체 계약_표준서.html", "표준서 열기")</f>
        <v/>
      </c>
      <c r="O11" s="34" t="inlineStr">
        <is>
          <t>• 일반구매시스템을 이용한 용역계약</t>
        </is>
      </c>
      <c r="P11" s="66">
        <f>HYPERLINK(LEFT(CELL("filename",A1),FIND("[",CELL("filename",A1))-1)&amp;"1.지반조사/10_지반조사 업체 계약/수행지침/지반조사 업체 계약_수행지침.html", "수행지침서 열기")</f>
        <v/>
      </c>
      <c r="Q11" s="34" t="inlineStr">
        <is>
          <t>1) 지반조사 업체 계약 적정성을 확인하였는가? 2) 지반조사 용역 계약서 산출물을 확보하였는가?</t>
        </is>
      </c>
      <c r="R11" s="67">
        <f>HYPERLINK(LEFT(CELL("filename",A1),FIND("[",CELL("filename",A1))-1)&amp;"1.지반조사/10_지반조사 업체 계약/체크리스트/지반조사 업체 계약_체크리스트.html", "체크리스트 열기")</f>
        <v/>
      </c>
      <c r="S11" s="33" t="n"/>
      <c r="T11" s="2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8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8" t="n"/>
      <c r="EY11" s="18" t="n"/>
      <c r="EZ11" s="18" t="n"/>
      <c r="FA11" s="18" t="n"/>
      <c r="FB11" s="18" t="n"/>
      <c r="FC11" s="18" t="n"/>
      <c r="FD11" s="18" t="n"/>
      <c r="FE11" s="18" t="n"/>
      <c r="FF11" s="18" t="n"/>
      <c r="FG11" s="18" t="n"/>
      <c r="FH11" s="18" t="n"/>
      <c r="FI11" s="18" t="n"/>
      <c r="FJ11" s="18" t="n"/>
      <c r="FK11" s="18" t="n"/>
      <c r="FL11" s="18" t="n"/>
      <c r="FM11" s="18" t="n"/>
      <c r="FN11" s="18" t="n"/>
      <c r="FO11" s="18" t="n"/>
      <c r="FP11" s="18" t="n"/>
      <c r="FQ11" s="18" t="n"/>
      <c r="FR11" s="18" t="n"/>
      <c r="FS11" s="18" t="n"/>
      <c r="FT11" s="18" t="n"/>
      <c r="FU11" s="18" t="n"/>
      <c r="FV11" s="18" t="n"/>
      <c r="FW11" s="18" t="n"/>
      <c r="FX11" s="18" t="n"/>
      <c r="FY11" s="18" t="n"/>
      <c r="FZ11" s="18" t="n"/>
      <c r="GA11" s="18" t="n"/>
      <c r="GB11" s="18" t="n"/>
      <c r="GC11" s="18" t="n"/>
      <c r="GD11" s="18" t="n"/>
      <c r="GE11" s="18" t="n"/>
      <c r="GF11" s="18" t="n"/>
      <c r="GG11" s="18" t="n"/>
      <c r="GH11" s="18" t="n"/>
      <c r="GI11" s="18" t="n"/>
      <c r="GJ11" s="18" t="n"/>
      <c r="GK11" s="18" t="n"/>
      <c r="GL11" s="18" t="n"/>
      <c r="GM11" s="18" t="n"/>
      <c r="GN11" s="18" t="n"/>
      <c r="GO11" s="18" t="n"/>
      <c r="GP11" s="18" t="n"/>
      <c r="GQ11" s="18" t="n"/>
      <c r="GR11" s="18" t="n"/>
      <c r="GS11" s="18" t="n"/>
      <c r="GT11" s="18" t="n"/>
      <c r="GU11" s="18" t="n"/>
      <c r="GV11" s="18" t="n"/>
      <c r="GW11" s="18" t="n"/>
      <c r="GX11" s="18" t="n"/>
      <c r="GY11" s="18" t="n"/>
      <c r="GZ11" s="18" t="n"/>
    </row>
    <row r="12" ht="52.05" customHeight="1" s="88">
      <c r="A12" s="19" t="inlineStr">
        <is>
          <t>9000</t>
        </is>
      </c>
      <c r="B12" s="19" t="inlineStr">
        <is>
          <t>9000-1</t>
        </is>
      </c>
      <c r="C12" s="19" t="inlineStr">
        <is>
          <t>지반조사</t>
        </is>
      </c>
      <c r="D12" s="94" t="inlineStr">
        <is>
          <t>9000-1-11</t>
        </is>
      </c>
      <c r="E12" s="95" t="inlineStr">
        <is>
          <t>9000-1-10</t>
        </is>
      </c>
      <c r="F12" s="96" t="inlineStr">
        <is>
          <t>9000-1-12, 9000-1-13</t>
        </is>
      </c>
      <c r="G12" s="23" t="inlineStr">
        <is>
          <t>지반조사 항목, 수량 및 위치검토</t>
        </is>
      </c>
      <c r="H12" s="97" t="inlineStr">
        <is>
          <t>D-30</t>
        </is>
      </c>
      <c r="I12" s="21" t="inlineStr">
        <is>
          <t>포스코스마트엔지니어링팀 (협업: 지반조사업체)</t>
        </is>
      </c>
      <c r="J12" s="24" t="inlineStr">
        <is>
          <t>프로젝트 정합에 부합하는 지반조사 항목 사전조사 수행, 위치 선정</t>
        </is>
      </c>
      <c r="K12" s="24" t="inlineStr">
        <is>
          <t>• 현장답사 수행
• 공종별 실시설계에 준하여 수량 및 위치 검토</t>
        </is>
      </c>
      <c r="L12" s="24" t="inlineStr">
        <is>
          <t>지반조사 계획서</t>
        </is>
      </c>
      <c r="M12" s="24" t="inlineStr">
        <is>
          <t>프로젝트 정합에 부합하는 지반조사 항목 사전조사 수행, 위치 선정 | 지반조사 계획서</t>
        </is>
      </c>
      <c r="N12" s="65">
        <f>HYPERLINK(LEFT(CELL("filename",A1),FIND("[",CELL("filename",A1))-1)&amp;"1.지반조사/11_지반조사 항목, 수량 및 위치검토/표준서/지반조사 항목, 수량 및 위치검토_표준서.html", "표준서 열기")</f>
        <v/>
      </c>
      <c r="O12" s="24" t="inlineStr">
        <is>
          <t>• 현장답사 수행 • 공종별 실시설계에 준하여 수량 및 위치 검토</t>
        </is>
      </c>
      <c r="P12" s="66">
        <f>HYPERLINK(LEFT(CELL("filename",A1),FIND("[",CELL("filename",A1))-1)&amp;"1.지반조사/11_지반조사 항목, 수량 및 위치검토/수행지침/지반조사 항목, 수량 및 위치검토_수행지침.html", "수행지침서 열기")</f>
        <v/>
      </c>
      <c r="Q12" s="24" t="inlineStr">
        <is>
          <t>1) 지반조사 항목, 수량 및 위치검토 적정성을 확인하였는가? 2) 지반조사 계획서 산출물을 확보하였는가?</t>
        </is>
      </c>
      <c r="R12" s="67">
        <f>HYPERLINK(LEFT(CELL("filename",A1),FIND("[",CELL("filename",A1))-1)&amp;"1.지반조사/11_지반조사 항목, 수량 및 위치검토/체크리스트/지반조사 항목, 수량 및 위치검토_체크리스트.html", "체크리스트 열기")</f>
        <v/>
      </c>
      <c r="S12" s="21" t="n"/>
      <c r="T12" s="2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8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8" t="n"/>
      <c r="EY12" s="18" t="n"/>
      <c r="EZ12" s="18" t="n"/>
      <c r="FA12" s="18" t="n"/>
      <c r="FB12" s="18" t="n"/>
      <c r="FC12" s="18" t="n"/>
      <c r="FD12" s="18" t="n"/>
      <c r="FE12" s="18" t="n"/>
      <c r="FF12" s="18" t="n"/>
      <c r="FG12" s="18" t="n"/>
      <c r="FH12" s="18" t="n"/>
      <c r="FI12" s="18" t="n"/>
      <c r="FJ12" s="18" t="n"/>
      <c r="FK12" s="18" t="n"/>
      <c r="FL12" s="18" t="n"/>
      <c r="FM12" s="18" t="n"/>
      <c r="FN12" s="18" t="n"/>
      <c r="FO12" s="18" t="n"/>
      <c r="FP12" s="18" t="n"/>
      <c r="FQ12" s="18" t="n"/>
      <c r="FR12" s="18" t="n"/>
      <c r="FS12" s="18" t="n"/>
      <c r="FT12" s="18" t="n"/>
      <c r="FU12" s="18" t="n"/>
      <c r="FV12" s="18" t="n"/>
      <c r="FW12" s="18" t="n"/>
      <c r="FX12" s="18" t="n"/>
      <c r="FY12" s="18" t="n"/>
      <c r="FZ12" s="18" t="n"/>
      <c r="GA12" s="18" t="n"/>
      <c r="GB12" s="18" t="n"/>
      <c r="GC12" s="18" t="n"/>
      <c r="GD12" s="18" t="n"/>
      <c r="GE12" s="18" t="n"/>
      <c r="GF12" s="18" t="n"/>
      <c r="GG12" s="18" t="n"/>
      <c r="GH12" s="18" t="n"/>
      <c r="GI12" s="18" t="n"/>
      <c r="GJ12" s="18" t="n"/>
      <c r="GK12" s="18" t="n"/>
      <c r="GL12" s="18" t="n"/>
      <c r="GM12" s="18" t="n"/>
      <c r="GN12" s="18" t="n"/>
      <c r="GO12" s="18" t="n"/>
      <c r="GP12" s="18" t="n"/>
      <c r="GQ12" s="18" t="n"/>
      <c r="GR12" s="18" t="n"/>
      <c r="GS12" s="18" t="n"/>
      <c r="GT12" s="18" t="n"/>
      <c r="GU12" s="18" t="n"/>
      <c r="GV12" s="18" t="n"/>
      <c r="GW12" s="18" t="n"/>
      <c r="GX12" s="18" t="n"/>
      <c r="GY12" s="18" t="n"/>
      <c r="GZ12" s="18" t="n"/>
      <c r="HA12" s="18" t="n"/>
      <c r="HB12" s="18" t="n"/>
      <c r="HC12" s="18" t="n"/>
      <c r="HD12" s="18" t="n"/>
    </row>
    <row r="13" ht="52.05" customHeight="1" s="88">
      <c r="A13" s="29" t="inlineStr">
        <is>
          <t>9000</t>
        </is>
      </c>
      <c r="B13" s="29" t="inlineStr">
        <is>
          <t>9000-1</t>
        </is>
      </c>
      <c r="C13" s="29" t="inlineStr">
        <is>
          <t>지반조사</t>
        </is>
      </c>
      <c r="D13" s="98" t="inlineStr">
        <is>
          <t>9000-1-12</t>
        </is>
      </c>
      <c r="E13" s="102" t="inlineStr">
        <is>
          <t>9000-1-11</t>
        </is>
      </c>
      <c r="F13" s="99" t="inlineStr">
        <is>
          <t>9000-1-16</t>
        </is>
      </c>
      <c r="G13" s="32" t="inlineStr">
        <is>
          <t>지반조사계획 적정성 심사의뢰</t>
        </is>
      </c>
      <c r="H13" s="100" t="inlineStr">
        <is>
          <t>D-30</t>
        </is>
      </c>
      <c r="I13" s="33" t="inlineStr">
        <is>
          <t>외부지질전문가 3인 이상 (협업: 포스코스마트엔지니어링팀)</t>
        </is>
      </c>
      <c r="J13" s="34" t="inlineStr">
        <is>
          <t>지반조사 항목, 수량 및 위치 적정성 검토</t>
        </is>
      </c>
      <c r="K13" s="34" t="inlineStr">
        <is>
          <t>• 지반조사 계획서 검토 및 검토</t>
        </is>
      </c>
      <c r="L13" s="34" t="inlineStr">
        <is>
          <t>지반조사계획 의견서</t>
        </is>
      </c>
      <c r="M13" s="34" t="inlineStr">
        <is>
          <t>지반조사 항목, 수량 및 위치 적정성 검토 | 지반조사계획 의견서</t>
        </is>
      </c>
      <c r="N13" s="65">
        <f>HYPERLINK(LEFT(CELL("filename",A1),FIND("[",CELL("filename",A1))-1)&amp;"1.지반조사/12_지반조사계획 적정성 심사의뢰/표준서/지반조사계획 적정성 심사의뢰_표준서.html", "표준서 열기")</f>
        <v/>
      </c>
      <c r="O13" s="34" t="inlineStr">
        <is>
          <t>• 지반조사 계획서 검토 및 검토</t>
        </is>
      </c>
      <c r="P13" s="66">
        <f>HYPERLINK(LEFT(CELL("filename",A1),FIND("[",CELL("filename",A1))-1)&amp;"1.지반조사/12_지반조사계획 적정성 심사의뢰/수행지침/지반조사계획 적정성 심사의뢰_수행지침.html", "수행지침서 열기")</f>
        <v/>
      </c>
      <c r="Q13" s="34" t="inlineStr">
        <is>
          <t>1) 지반조사계획 적정성 심사의뢰 적정성을 확인하였는가? 2) 지반조사계획 의견서 산출물을 확보하였는가?</t>
        </is>
      </c>
      <c r="R13" s="67">
        <f>HYPERLINK(LEFT(CELL("filename",A1),FIND("[",CELL("filename",A1))-1)&amp;"1.지반조사/12_지반조사계획 적정성 심사의뢰/체크리스트/지반조사계획 적정성 심사의뢰_체크리스트.html", "체크리스트 열기")</f>
        <v/>
      </c>
      <c r="S13" s="33" t="n"/>
      <c r="T13" s="2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Y13" s="18" t="n"/>
      <c r="DZ13" s="18" t="n"/>
      <c r="EA13" s="18" t="n"/>
      <c r="EB13" s="18" t="n"/>
      <c r="EC13" s="18" t="n"/>
      <c r="ED13" s="18" t="n"/>
      <c r="EE13" s="18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P13" s="18" t="n"/>
      <c r="EQ13" s="18" t="n"/>
      <c r="ER13" s="18" t="n"/>
      <c r="ES13" s="18" t="n"/>
      <c r="ET13" s="18" t="n"/>
      <c r="EU13" s="18" t="n"/>
      <c r="EV13" s="18" t="n"/>
      <c r="EW13" s="18" t="n"/>
      <c r="EX13" s="18" t="n"/>
      <c r="EY13" s="18" t="n"/>
      <c r="EZ13" s="18" t="n"/>
      <c r="FA13" s="18" t="n"/>
      <c r="FB13" s="18" t="n"/>
      <c r="FC13" s="18" t="n"/>
      <c r="FD13" s="18" t="n"/>
      <c r="FE13" s="18" t="n"/>
      <c r="FF13" s="18" t="n"/>
      <c r="FG13" s="18" t="n"/>
      <c r="FH13" s="18" t="n"/>
      <c r="FI13" s="18" t="n"/>
      <c r="FJ13" s="18" t="n"/>
      <c r="FK13" s="18" t="n"/>
      <c r="FL13" s="18" t="n"/>
      <c r="FM13" s="18" t="n"/>
      <c r="FN13" s="18" t="n"/>
      <c r="FO13" s="18" t="n"/>
      <c r="FP13" s="18" t="n"/>
      <c r="FQ13" s="18" t="n"/>
      <c r="FR13" s="18" t="n"/>
      <c r="FS13" s="18" t="n"/>
      <c r="FT13" s="18" t="n"/>
      <c r="FU13" s="18" t="n"/>
      <c r="FV13" s="18" t="n"/>
      <c r="FW13" s="18" t="n"/>
      <c r="FX13" s="18" t="n"/>
      <c r="FY13" s="18" t="n"/>
      <c r="FZ13" s="18" t="n"/>
      <c r="GA13" s="18" t="n"/>
      <c r="GB13" s="18" t="n"/>
      <c r="GC13" s="18" t="n"/>
      <c r="GD13" s="18" t="n"/>
      <c r="GE13" s="18" t="n"/>
      <c r="GF13" s="18" t="n"/>
      <c r="GG13" s="18" t="n"/>
      <c r="GH13" s="18" t="n"/>
      <c r="GI13" s="18" t="n"/>
      <c r="GJ13" s="18" t="n"/>
      <c r="GK13" s="18" t="n"/>
      <c r="GL13" s="18" t="n"/>
      <c r="GM13" s="18" t="n"/>
      <c r="GN13" s="18" t="n"/>
      <c r="GO13" s="18" t="n"/>
      <c r="GP13" s="18" t="n"/>
      <c r="GQ13" s="18" t="n"/>
      <c r="GR13" s="18" t="n"/>
      <c r="GS13" s="18" t="n"/>
      <c r="GT13" s="18" t="n"/>
      <c r="GU13" s="18" t="n"/>
      <c r="GV13" s="18" t="n"/>
      <c r="GW13" s="18" t="n"/>
      <c r="GX13" s="18" t="n"/>
      <c r="GY13" s="18" t="n"/>
      <c r="GZ13" s="18" t="n"/>
      <c r="HA13" s="18" t="n"/>
      <c r="HB13" s="18" t="n"/>
      <c r="HC13" s="18" t="n"/>
      <c r="HD13" s="18" t="n"/>
      <c r="HE13" s="18" t="n"/>
      <c r="HF13" s="18" t="n"/>
      <c r="HG13" s="18" t="n"/>
      <c r="HH13" s="18" t="n"/>
    </row>
    <row r="14" ht="52.05" customHeight="1" s="88">
      <c r="A14" s="19" t="inlineStr">
        <is>
          <t>9000</t>
        </is>
      </c>
      <c r="B14" s="19" t="inlineStr">
        <is>
          <t>9000-1</t>
        </is>
      </c>
      <c r="C14" s="19" t="inlineStr">
        <is>
          <t>지반조사</t>
        </is>
      </c>
      <c r="D14" s="94" t="inlineStr">
        <is>
          <t>9000-1-13</t>
        </is>
      </c>
      <c r="E14" s="95" t="inlineStr">
        <is>
          <t>9000-1-11</t>
        </is>
      </c>
      <c r="F14" s="96" t="inlineStr">
        <is>
          <t>9000-1-14, 9000-1-15</t>
        </is>
      </c>
      <c r="G14" s="23" t="inlineStr">
        <is>
          <t>지반조사 인허가</t>
        </is>
      </c>
      <c r="H14" s="97" t="inlineStr">
        <is>
          <t>D-30</t>
        </is>
      </c>
      <c r="I14" s="21" t="inlineStr">
        <is>
          <t>지반조사업체 (협업: 포스코스마트엔지니어링팀)</t>
        </is>
      </c>
      <c r="J14" s="24" t="inlineStr">
        <is>
          <t>지반조사 수행을 위한 인허가 승인</t>
        </is>
      </c>
      <c r="K14" s="24" t="inlineStr">
        <is>
          <t>• 산지일시사용 신고(사업계획서, 지형도, 산지일시사용예정실측도, 복구계획서, 복지봉투)
• 굴착행위 신고(굴착행위신고서, 위치 또는 평면도, 원상복구계획서, 토지사용 승낙서)
• 하천점용 허가(위치도, 이해관계인 동의서, 수리계산서, 하천점용등, 사업자등록증)</t>
        </is>
      </c>
      <c r="L14" s="24" t="inlineStr">
        <is>
          <t>인허가 서류</t>
        </is>
      </c>
      <c r="M14" s="24" t="inlineStr">
        <is>
          <t>지반조사 수행을 위한 인허가 승인 | 인허가 서류</t>
        </is>
      </c>
      <c r="N14" s="65">
        <f>HYPERLINK(LEFT(CELL("filename",A1),FIND("[",CELL("filename",A1))-1)&amp;"1.지반조사/13_지반조사 인허가/표준서/지반조사 인허가_표준서.html", "표준서 열기")</f>
        <v/>
      </c>
      <c r="O14" s="24" t="inlineStr">
        <is>
          <t>• 산지일시사용 신고(사업계획서, 지형도, 산지일시사용예정실측도, 복구계획서, 복지봉투) • 굴착행위 신고(굴착행위신고서, 위치 또는 평면도, 원상복구계획서, 토지사용 승낙서) • 하천점용 허가(위치도, 이해관계인 ...</t>
        </is>
      </c>
      <c r="P14" s="66">
        <f>HYPERLINK(LEFT(CELL("filename",A1),FIND("[",CELL("filename",A1))-1)&amp;"1.지반조사/13_지반조사 인허가/수행지침/지반조사 인허가_수행지침.html", "수행지침서 열기")</f>
        <v/>
      </c>
      <c r="Q14" s="24" t="inlineStr">
        <is>
          <t>1) 지반조사 인허가 적정성을 확인하였는가? 2) 인허가 서류 산출물을 확보하였는가?</t>
        </is>
      </c>
      <c r="R14" s="67">
        <f>HYPERLINK(LEFT(CELL("filename",A1),FIND("[",CELL("filename",A1))-1)&amp;"1.지반조사/13_지반조사 인허가/체크리스트/지반조사 인허가_체크리스트.html", "체크리스트 열기")</f>
        <v/>
      </c>
      <c r="S14" s="21" t="n"/>
      <c r="T14" s="2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Y14" s="18" t="n"/>
      <c r="DZ14" s="18" t="n"/>
      <c r="EA14" s="18" t="n"/>
      <c r="EB14" s="18" t="n"/>
      <c r="EC14" s="18" t="n"/>
      <c r="ED14" s="18" t="n"/>
      <c r="EE14" s="18" t="n"/>
      <c r="EF14" s="18" t="n"/>
      <c r="EG14" s="18" t="n"/>
      <c r="EH14" s="18" t="n"/>
      <c r="EI14" s="18" t="n"/>
      <c r="EJ14" s="18" t="n"/>
      <c r="EK14" s="18" t="n"/>
      <c r="EL14" s="18" t="n"/>
      <c r="EM14" s="18" t="n"/>
      <c r="EN14" s="18" t="n"/>
      <c r="EO14" s="18" t="n"/>
      <c r="EP14" s="18" t="n"/>
      <c r="EQ14" s="18" t="n"/>
      <c r="ER14" s="18" t="n"/>
      <c r="ES14" s="18" t="n"/>
      <c r="ET14" s="18" t="n"/>
      <c r="EU14" s="18" t="n"/>
      <c r="EV14" s="18" t="n"/>
      <c r="EW14" s="18" t="n"/>
      <c r="EX14" s="18" t="n"/>
      <c r="EY14" s="18" t="n"/>
      <c r="EZ14" s="18" t="n"/>
      <c r="FA14" s="18" t="n"/>
      <c r="FB14" s="18" t="n"/>
      <c r="FC14" s="18" t="n"/>
      <c r="FD14" s="18" t="n"/>
      <c r="FE14" s="18" t="n"/>
      <c r="FF14" s="18" t="n"/>
      <c r="FG14" s="18" t="n"/>
      <c r="FH14" s="18" t="n"/>
      <c r="FI14" s="18" t="n"/>
      <c r="FJ14" s="18" t="n"/>
      <c r="FK14" s="18" t="n"/>
      <c r="FL14" s="18" t="n"/>
      <c r="FM14" s="18" t="n"/>
      <c r="FN14" s="18" t="n"/>
      <c r="FO14" s="18" t="n"/>
      <c r="FP14" s="18" t="n"/>
      <c r="FQ14" s="18" t="n"/>
      <c r="FR14" s="18" t="n"/>
      <c r="FS14" s="18" t="n"/>
      <c r="FT14" s="18" t="n"/>
      <c r="FU14" s="18" t="n"/>
      <c r="FV14" s="18" t="n"/>
      <c r="FW14" s="18" t="n"/>
      <c r="FX14" s="18" t="n"/>
      <c r="FY14" s="18" t="n"/>
      <c r="FZ14" s="18" t="n"/>
      <c r="GA14" s="18" t="n"/>
      <c r="GB14" s="18" t="n"/>
      <c r="GC14" s="18" t="n"/>
      <c r="GD14" s="18" t="n"/>
      <c r="GE14" s="18" t="n"/>
      <c r="GF14" s="18" t="n"/>
      <c r="GG14" s="18" t="n"/>
      <c r="GH14" s="18" t="n"/>
      <c r="GI14" s="18" t="n"/>
      <c r="GJ14" s="18" t="n"/>
      <c r="GK14" s="18" t="n"/>
      <c r="GL14" s="18" t="n"/>
      <c r="GM14" s="18" t="n"/>
      <c r="GN14" s="18" t="n"/>
      <c r="GO14" s="18" t="n"/>
      <c r="GP14" s="18" t="n"/>
      <c r="GQ14" s="18" t="n"/>
      <c r="GR14" s="18" t="n"/>
      <c r="GS14" s="18" t="n"/>
      <c r="GT14" s="18" t="n"/>
      <c r="GU14" s="18" t="n"/>
      <c r="GV14" s="18" t="n"/>
      <c r="GW14" s="18" t="n"/>
      <c r="GX14" s="18" t="n"/>
      <c r="GY14" s="18" t="n"/>
      <c r="GZ14" s="18" t="n"/>
      <c r="HA14" s="18" t="n"/>
      <c r="HB14" s="18" t="n"/>
      <c r="HC14" s="18" t="n"/>
      <c r="HD14" s="18" t="n"/>
      <c r="HE14" s="18" t="n"/>
      <c r="HF14" s="18" t="n"/>
      <c r="HG14" s="18" t="n"/>
      <c r="HH14" s="18" t="n"/>
      <c r="HI14" s="18" t="n"/>
      <c r="HJ14" s="18" t="n"/>
      <c r="HK14" s="18" t="n"/>
      <c r="HL14" s="18" t="n"/>
    </row>
    <row r="15" ht="52.05" customHeight="1" s="88">
      <c r="A15" s="29" t="inlineStr">
        <is>
          <t>9000</t>
        </is>
      </c>
      <c r="B15" s="29" t="inlineStr">
        <is>
          <t>9000-1</t>
        </is>
      </c>
      <c r="C15" s="29" t="inlineStr">
        <is>
          <t>지반조사</t>
        </is>
      </c>
      <c r="D15" s="98" t="inlineStr">
        <is>
          <t>9000-1-14</t>
        </is>
      </c>
      <c r="E15" s="102" t="inlineStr">
        <is>
          <t>9000-1-13</t>
        </is>
      </c>
      <c r="F15" s="99" t="inlineStr">
        <is>
          <t>9000-1-16</t>
        </is>
      </c>
      <c r="G15" s="32" t="inlineStr">
        <is>
          <t>지반조사 항목, 수량 및 위치 보완</t>
        </is>
      </c>
      <c r="H15" s="100" t="inlineStr">
        <is>
          <t>D-30</t>
        </is>
      </c>
      <c r="I15" s="33" t="inlineStr">
        <is>
          <t>포스코스마트엔지니어링팀 (협업: 외부지질전문가 3인 이상, 지반조사업체)</t>
        </is>
      </c>
      <c r="J15" s="34" t="inlineStr">
        <is>
          <t>외부지질전문가 의견을 반영한 지반조사 계획 확정</t>
        </is>
      </c>
      <c r="K15" s="34" t="inlineStr">
        <is>
          <t>• 외부지질전문가 지반조사 의견 검토
• 입찰설계 지반조사 계획 보완</t>
        </is>
      </c>
      <c r="L15" s="34" t="inlineStr">
        <is>
          <t>지반조사 용역 계약서</t>
        </is>
      </c>
      <c r="M15" s="34" t="inlineStr">
        <is>
          <t>외부지질전문가 의견을 반영한 지반조사 계획 확정 | 지반조사 용역 계약서</t>
        </is>
      </c>
      <c r="N15" s="65">
        <f>HYPERLINK(LEFT(CELL("filename",A1),FIND("[",CELL("filename",A1))-1)&amp;"1.지반조사/14_지반조사 항목, 수량 및 위치 보완/표준서/지반조사 항목, 수량 및 위치 보완_표준서.html", "표준서 열기")</f>
        <v/>
      </c>
      <c r="O15" s="34" t="inlineStr">
        <is>
          <t>• 외부지질전문가 지반조사 의견 검토 • 입찰설계 지반조사 계획 보완</t>
        </is>
      </c>
      <c r="P15" s="66">
        <f>HYPERLINK(LEFT(CELL("filename",A1),FIND("[",CELL("filename",A1))-1)&amp;"1.지반조사/14_지반조사 항목, 수량 및 위치 보완/수행지침/지반조사 항목, 수량 및 위치 보완_수행지침.html", "수행지침서 열기")</f>
        <v/>
      </c>
      <c r="Q15" s="34" t="inlineStr">
        <is>
          <t>1) 지반조사 항목, 수량 및 위치 보완 적정성을 확인하였는가? 2) 지반조사 용역 계약서 산출물을 확보하였는가?</t>
        </is>
      </c>
      <c r="R15" s="67">
        <f>HYPERLINK(LEFT(CELL("filename",A1),FIND("[",CELL("filename",A1))-1)&amp;"1.지반조사/14_지반조사 항목, 수량 및 위치 보완/체크리스트/지반조사 항목, 수량 및 위치 보완_체크리스트.html", "체크리스트 열기")</f>
        <v/>
      </c>
      <c r="S15" s="33" t="n"/>
      <c r="T15" s="2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Y15" s="18" t="n"/>
      <c r="DZ15" s="18" t="n"/>
      <c r="EA15" s="18" t="n"/>
      <c r="EB15" s="18" t="n"/>
      <c r="EC15" s="18" t="n"/>
      <c r="ED15" s="18" t="n"/>
      <c r="EE15" s="18" t="n"/>
      <c r="EF15" s="18" t="n"/>
      <c r="EG15" s="18" t="n"/>
      <c r="EH15" s="18" t="n"/>
      <c r="EI15" s="18" t="n"/>
      <c r="EJ15" s="18" t="n"/>
      <c r="EK15" s="18" t="n"/>
      <c r="EL15" s="18" t="n"/>
      <c r="EM15" s="18" t="n"/>
      <c r="EN15" s="18" t="n"/>
      <c r="EO15" s="18" t="n"/>
      <c r="EP15" s="18" t="n"/>
      <c r="EQ15" s="18" t="n"/>
      <c r="ER15" s="18" t="n"/>
      <c r="ES15" s="18" t="n"/>
      <c r="ET15" s="18" t="n"/>
      <c r="EU15" s="18" t="n"/>
      <c r="EV15" s="18" t="n"/>
      <c r="EW15" s="18" t="n"/>
      <c r="EX15" s="18" t="n"/>
      <c r="EY15" s="18" t="n"/>
      <c r="EZ15" s="18" t="n"/>
      <c r="FA15" s="18" t="n"/>
      <c r="FB15" s="18" t="n"/>
      <c r="FC15" s="18" t="n"/>
      <c r="FD15" s="18" t="n"/>
      <c r="FE15" s="18" t="n"/>
      <c r="FF15" s="18" t="n"/>
      <c r="FG15" s="18" t="n"/>
      <c r="FH15" s="18" t="n"/>
      <c r="FI15" s="18" t="n"/>
      <c r="FJ15" s="18" t="n"/>
      <c r="FK15" s="18" t="n"/>
      <c r="FL15" s="18" t="n"/>
      <c r="FM15" s="18" t="n"/>
      <c r="FN15" s="18" t="n"/>
      <c r="FO15" s="18" t="n"/>
      <c r="FP15" s="18" t="n"/>
      <c r="FQ15" s="18" t="n"/>
      <c r="FR15" s="18" t="n"/>
      <c r="FS15" s="18" t="n"/>
      <c r="FT15" s="18" t="n"/>
      <c r="FU15" s="18" t="n"/>
      <c r="FV15" s="18" t="n"/>
      <c r="FW15" s="18" t="n"/>
      <c r="FX15" s="18" t="n"/>
      <c r="FY15" s="18" t="n"/>
      <c r="FZ15" s="18" t="n"/>
      <c r="GA15" s="18" t="n"/>
      <c r="GB15" s="18" t="n"/>
      <c r="GC15" s="18" t="n"/>
      <c r="GD15" s="18" t="n"/>
      <c r="GE15" s="18" t="n"/>
      <c r="GF15" s="18" t="n"/>
      <c r="GG15" s="18" t="n"/>
      <c r="GH15" s="18" t="n"/>
      <c r="GI15" s="18" t="n"/>
      <c r="GJ15" s="18" t="n"/>
      <c r="GK15" s="18" t="n"/>
      <c r="GL15" s="18" t="n"/>
      <c r="GM15" s="18" t="n"/>
      <c r="GN15" s="18" t="n"/>
      <c r="GO15" s="18" t="n"/>
      <c r="GP15" s="18" t="n"/>
      <c r="GQ15" s="18" t="n"/>
      <c r="GR15" s="18" t="n"/>
      <c r="GS15" s="18" t="n"/>
      <c r="GT15" s="18" t="n"/>
      <c r="GU15" s="18" t="n"/>
      <c r="GV15" s="18" t="n"/>
      <c r="GW15" s="18" t="n"/>
      <c r="GX15" s="18" t="n"/>
      <c r="GY15" s="18" t="n"/>
      <c r="GZ15" s="18" t="n"/>
      <c r="HA15" s="18" t="n"/>
      <c r="HB15" s="18" t="n"/>
      <c r="HC15" s="18" t="n"/>
      <c r="HD15" s="18" t="n"/>
      <c r="HE15" s="18" t="n"/>
      <c r="HF15" s="18" t="n"/>
      <c r="HG15" s="18" t="n"/>
      <c r="HH15" s="18" t="n"/>
      <c r="HI15" s="18" t="n"/>
      <c r="HJ15" s="18" t="n"/>
      <c r="HK15" s="18" t="n"/>
      <c r="HL15" s="18" t="n"/>
      <c r="HM15" s="18" t="n"/>
      <c r="HN15" s="18" t="n"/>
      <c r="HO15" s="18" t="n"/>
      <c r="HP15" s="18" t="n"/>
    </row>
    <row r="16" ht="52.05" customHeight="1" s="88">
      <c r="A16" s="19" t="inlineStr">
        <is>
          <t>9000</t>
        </is>
      </c>
      <c r="B16" s="19" t="inlineStr">
        <is>
          <t>9000-1</t>
        </is>
      </c>
      <c r="C16" s="19" t="inlineStr">
        <is>
          <t>지반조사</t>
        </is>
      </c>
      <c r="D16" s="94" t="inlineStr">
        <is>
          <t>9000-1-15</t>
        </is>
      </c>
      <c r="E16" s="95" t="inlineStr">
        <is>
          <t>9000-1-13</t>
        </is>
      </c>
      <c r="F16" s="96" t="inlineStr">
        <is>
          <t>9000-1-16</t>
        </is>
      </c>
      <c r="G16" s="23" t="inlineStr">
        <is>
          <t>지반조사 수행</t>
        </is>
      </c>
      <c r="H16" s="97" t="inlineStr">
        <is>
          <t>D-30</t>
        </is>
      </c>
      <c r="I16" s="21" t="inlineStr">
        <is>
          <t>지반조사업체 (협업: 포스코스마트엔지니어링팀)</t>
        </is>
      </c>
      <c r="J16" s="24" t="inlineStr">
        <is>
          <t>과업구간 지반여건 상세 파악</t>
        </is>
      </c>
      <c r="K16" s="24" t="inlineStr">
        <is>
          <t>• 물리탐사 수행(전기 비저항, 탄성파탐사 등)
• 시추조사 및 현장 시험 수행(공내재하시험, 실내전단시험 등)
• 실내시험 수행(요동시험, 입도시험 등)</t>
        </is>
      </c>
      <c r="L16" s="24" t="inlineStr">
        <is>
          <t>지반조사 보고서, 시추 Core 및 샘플</t>
        </is>
      </c>
      <c r="M16" s="24" t="inlineStr">
        <is>
          <t>과업구간 지반여건 상세 파악 | 지반조사 보고서, 시추 Core 및 샘플</t>
        </is>
      </c>
      <c r="N16" s="65">
        <f>HYPERLINK(LEFT(CELL("filename",A1),FIND("[",CELL("filename",A1))-1)&amp;"1.지반조사/15_지반조사 수행/표준서/지반조사 수행_표준서.html", "표준서 열기")</f>
        <v/>
      </c>
      <c r="O16" s="24" t="inlineStr">
        <is>
          <t>• 물리탐사 수행(전기 비저항, 탄성파탐사 등) • 시추조사 및 현장 시험 수행(공내재하시험, 실내전단시험 등) • 실내시험 수행(요동시험, 입도시험 등)</t>
        </is>
      </c>
      <c r="P16" s="66">
        <f>HYPERLINK(LEFT(CELL("filename",A1),FIND("[",CELL("filename",A1))-1)&amp;"1.지반조사/15_지반조사 수행/수행지침/지반조사 수행_수행지침.html", "수행지침서 열기")</f>
        <v/>
      </c>
      <c r="Q16" s="24" t="inlineStr">
        <is>
          <t>1) 지반조사 수행 적정성을 확인하였는가? 2) 지반조사 보고서, 시추 Core 및 샘플 산출물을 확보하였는가?</t>
        </is>
      </c>
      <c r="R16" s="67">
        <f>HYPERLINK(LEFT(CELL("filename",A1),FIND("[",CELL("filename",A1))-1)&amp;"1.지반조사/15_지반조사 수행/체크리스트/지반조사 수행_체크리스트.html", "체크리스트 열기")</f>
        <v/>
      </c>
      <c r="S16" s="21" t="n"/>
      <c r="T16" s="2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8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8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8" t="n"/>
      <c r="FT16" s="18" t="n"/>
      <c r="FU16" s="18" t="n"/>
      <c r="FV16" s="18" t="n"/>
      <c r="FW16" s="18" t="n"/>
      <c r="FX16" s="18" t="n"/>
      <c r="FY16" s="18" t="n"/>
      <c r="FZ16" s="18" t="n"/>
      <c r="GA16" s="18" t="n"/>
      <c r="GB16" s="18" t="n"/>
      <c r="GC16" s="18" t="n"/>
      <c r="GD16" s="18" t="n"/>
      <c r="GE16" s="18" t="n"/>
      <c r="GF16" s="18" t="n"/>
      <c r="GG16" s="18" t="n"/>
      <c r="GH16" s="18" t="n"/>
      <c r="GI16" s="18" t="n"/>
      <c r="GJ16" s="18" t="n"/>
      <c r="GK16" s="18" t="n"/>
      <c r="GL16" s="18" t="n"/>
      <c r="GM16" s="18" t="n"/>
      <c r="GN16" s="18" t="n"/>
      <c r="GO16" s="18" t="n"/>
      <c r="GP16" s="18" t="n"/>
      <c r="GQ16" s="18" t="n"/>
      <c r="GR16" s="18" t="n"/>
      <c r="GS16" s="18" t="n"/>
      <c r="GT16" s="18" t="n"/>
      <c r="GU16" s="18" t="n"/>
      <c r="GV16" s="18" t="n"/>
      <c r="GW16" s="18" t="n"/>
      <c r="GX16" s="18" t="n"/>
      <c r="GY16" s="18" t="n"/>
      <c r="GZ16" s="18" t="n"/>
      <c r="HA16" s="18" t="n"/>
      <c r="HB16" s="18" t="n"/>
      <c r="HC16" s="18" t="n"/>
      <c r="HD16" s="18" t="n"/>
      <c r="HE16" s="18" t="n"/>
      <c r="HF16" s="18" t="n"/>
      <c r="HG16" s="18" t="n"/>
      <c r="HH16" s="18" t="n"/>
      <c r="HI16" s="18" t="n"/>
      <c r="HJ16" s="18" t="n"/>
      <c r="HK16" s="18" t="n"/>
      <c r="HL16" s="18" t="n"/>
      <c r="HM16" s="18" t="n"/>
      <c r="HN16" s="18" t="n"/>
      <c r="HO16" s="18" t="n"/>
      <c r="HP16" s="18" t="n"/>
      <c r="HQ16" s="18" t="n"/>
      <c r="HR16" s="18" t="n"/>
      <c r="HS16" s="18" t="n"/>
      <c r="HT16" s="18" t="n"/>
    </row>
    <row r="17" ht="52.05" customHeight="1" s="88">
      <c r="A17" s="29" t="inlineStr">
        <is>
          <t>9000</t>
        </is>
      </c>
      <c r="B17" s="29" t="inlineStr">
        <is>
          <t>9000-1</t>
        </is>
      </c>
      <c r="C17" s="29" t="inlineStr">
        <is>
          <t>지반조사</t>
        </is>
      </c>
      <c r="D17" s="98" t="inlineStr">
        <is>
          <t>9000-1-16</t>
        </is>
      </c>
      <c r="E17" s="102" t="inlineStr">
        <is>
          <t>9000-1-12, 9000-1-14, 9000-1-15</t>
        </is>
      </c>
      <c r="F17" s="99" t="inlineStr">
        <is>
          <t>9000-1-17, 9000-1-22, 9000-1-24</t>
        </is>
      </c>
      <c r="G17" s="32" t="inlineStr">
        <is>
          <t>지반조사 수렴 결과 분석</t>
        </is>
      </c>
      <c r="H17" s="100" t="inlineStr">
        <is>
          <t>D-30</t>
        </is>
      </c>
      <c r="I17" s="33" t="inlineStr">
        <is>
          <t>외부지질전문가 3인 이상 (협업: 포스코스마트엔지니어링팀, 지반조사업체)</t>
        </is>
      </c>
      <c r="J17" s="34" t="inlineStr">
        <is>
          <t>지반조사 결과 오류 및 지반정수의 적합성 검토</t>
        </is>
      </c>
      <c r="K17" s="34" t="inlineStr">
        <is>
          <t>• 입찰설계 지반조사 보고서 검토
• 시추조사 위치 및 심도의 적정성 검토
• 실내시험 결과 등급 적정성 검토
• 실시설계시 추가지반조사 필요구간 검토</t>
        </is>
      </c>
      <c r="L17" s="34" t="inlineStr">
        <is>
          <t>지반조사 결과 분석 의견서</t>
        </is>
      </c>
      <c r="M17" s="34" t="inlineStr">
        <is>
          <t>지반조사 결과 오류 및 지반정수의 적합성 검토 | 지반조사 결과 분석 의견서</t>
        </is>
      </c>
      <c r="N17" s="65">
        <f>HYPERLINK(LEFT(CELL("filename",A1),FIND("[",CELL("filename",A1))-1)&amp;"1.지반조사/16_지반조사 수렴 결과 분석/표준서/지반조사 수렴 결과 분석_표준서.html", "표준서 열기")</f>
        <v/>
      </c>
      <c r="O17" s="34" t="inlineStr">
        <is>
          <t>• 입찰설계 지반조사 보고서 검토 • 시추조사 위치 및 심도의 적정성 검토 • 실내시험 결과 등급 적정성 검토 • 실시설계시 추가지반조사 필요구간 검토</t>
        </is>
      </c>
      <c r="P17" s="66">
        <f>HYPERLINK(LEFT(CELL("filename",A1),FIND("[",CELL("filename",A1))-1)&amp;"1.지반조사/16_지반조사 수렴 결과 분석/수행지침/지반조사 수렴 결과 분석_수행지침.html", "수행지침서 열기")</f>
        <v/>
      </c>
      <c r="Q17" s="34" t="inlineStr">
        <is>
          <t>1) 지반조사 수렴 결과 분석 적정성을 확인하였는가? 2) 지반조사 결과 분석 의견서 산출물을 확보하였는가?</t>
        </is>
      </c>
      <c r="R17" s="67">
        <f>HYPERLINK(LEFT(CELL("filename",A1),FIND("[",CELL("filename",A1))-1)&amp;"1.지반조사/16_지반조사 수렴 결과 분석/체크리스트/지반조사 수렴 결과 분석_체크리스트.html", "체크리스트 열기")</f>
        <v/>
      </c>
      <c r="S17" s="33" t="n"/>
      <c r="T17" s="2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8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8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8" t="n"/>
      <c r="FT17" s="18" t="n"/>
      <c r="FU17" s="18" t="n"/>
      <c r="FV17" s="18" t="n"/>
      <c r="FW17" s="18" t="n"/>
      <c r="FX17" s="18" t="n"/>
      <c r="FY17" s="18" t="n"/>
      <c r="FZ17" s="18" t="n"/>
      <c r="GA17" s="18" t="n"/>
      <c r="GB17" s="18" t="n"/>
      <c r="GC17" s="18" t="n"/>
      <c r="GD17" s="18" t="n"/>
      <c r="GE17" s="18" t="n"/>
      <c r="GF17" s="18" t="n"/>
      <c r="GG17" s="18" t="n"/>
      <c r="GH17" s="18" t="n"/>
      <c r="GI17" s="18" t="n"/>
      <c r="GJ17" s="18" t="n"/>
      <c r="GK17" s="18" t="n"/>
      <c r="GL17" s="18" t="n"/>
      <c r="GM17" s="18" t="n"/>
      <c r="GN17" s="18" t="n"/>
      <c r="GO17" s="18" t="n"/>
      <c r="GP17" s="18" t="n"/>
      <c r="GQ17" s="18" t="n"/>
      <c r="GR17" s="18" t="n"/>
      <c r="GS17" s="18" t="n"/>
      <c r="GT17" s="18" t="n"/>
      <c r="GU17" s="18" t="n"/>
      <c r="GV17" s="18" t="n"/>
      <c r="GW17" s="18" t="n"/>
      <c r="GX17" s="18" t="n"/>
      <c r="GY17" s="18" t="n"/>
      <c r="GZ17" s="18" t="n"/>
      <c r="HA17" s="18" t="n"/>
      <c r="HB17" s="18" t="n"/>
      <c r="HC17" s="18" t="n"/>
      <c r="HD17" s="18" t="n"/>
      <c r="HE17" s="18" t="n"/>
      <c r="HF17" s="18" t="n"/>
      <c r="HG17" s="18" t="n"/>
      <c r="HH17" s="18" t="n"/>
      <c r="HI17" s="18" t="n"/>
      <c r="HJ17" s="18" t="n"/>
      <c r="HK17" s="18" t="n"/>
      <c r="HL17" s="18" t="n"/>
      <c r="HM17" s="18" t="n"/>
      <c r="HN17" s="18" t="n"/>
      <c r="HO17" s="18" t="n"/>
      <c r="HP17" s="18" t="n"/>
      <c r="HQ17" s="18" t="n"/>
      <c r="HR17" s="18" t="n"/>
      <c r="HS17" s="18" t="n"/>
      <c r="HT17" s="18" t="n"/>
      <c r="HU17" s="18" t="n"/>
      <c r="HV17" s="18" t="n"/>
      <c r="HW17" s="18" t="n"/>
      <c r="HX17" s="18" t="n"/>
    </row>
    <row r="18" ht="52.05" customHeight="1" s="88">
      <c r="A18" s="19" t="inlineStr">
        <is>
          <t>9000</t>
        </is>
      </c>
      <c r="B18" s="19" t="inlineStr">
        <is>
          <t>9000-1</t>
        </is>
      </c>
      <c r="C18" s="19" t="inlineStr">
        <is>
          <t>지반조사</t>
        </is>
      </c>
      <c r="D18" s="94" t="inlineStr">
        <is>
          <t>9000-1-17</t>
        </is>
      </c>
      <c r="E18" s="95" t="inlineStr">
        <is>
          <t>9000-1-16</t>
        </is>
      </c>
      <c r="F18" s="96" t="inlineStr">
        <is>
          <t>9000-1-18, 9000-1-19, 9000-1-20, 9000-1-21, 9000-1-23</t>
        </is>
      </c>
      <c r="G18" s="23" t="inlineStr">
        <is>
          <t>입찰설계 지반조사 R/O 검토 (설계, 원가, 공정, 기타)</t>
        </is>
      </c>
      <c r="H18" s="97" t="inlineStr">
        <is>
          <t>D-30</t>
        </is>
      </c>
      <c r="I18" s="21" t="inlineStr">
        <is>
          <t>토목견적팀(원가), 토목수행팀(공정), 토목사업지원팀(기획) (협업: 포스코스마트엔지니어링팀)</t>
        </is>
      </c>
      <c r="J18" s="24" t="inlineStr">
        <is>
          <t>입찰설계 지반조사 결과에 따른 직분야 R/O 및 Cost impact 반영 사항 검토</t>
        </is>
      </c>
      <c r="K18" s="24" t="inlineStr">
        <is>
          <t>• 입찰설계 지반조사 결과 분석을 통한 원가 및 공정 영향 검토
• 미시추 구간 평가 및 공정 Risk 반영 사항 검토
• 지반조건을 고려한 발파공법성 여부 검토</t>
        </is>
      </c>
      <c r="L18" s="24" t="inlineStr">
        <is>
          <t>입찰설계 지반조사 검토서(설계, 원가, 공정, 기타)</t>
        </is>
      </c>
      <c r="M18" s="24" t="inlineStr">
        <is>
          <t>입찰설계 지반조사 결과에 따른 직분야 R/O 및 Cost impact 반영 사항 검토 | 입찰설계 지반조사 검토서(설계, 원가, 공정, 기타)</t>
        </is>
      </c>
      <c r="N18" s="65">
        <f>HYPERLINK(LEFT(CELL("filename",A1),FIND("[",CELL("filename",A1))-1)&amp;"1.지반조사/17_입찰설계 지반조사 R_O 검토 (설계, 원가, 공정, 기타)/표준서/입찰설계 지반조사 R_O 검토 (설계, 원가, 공정, 기타)_표준서.html", "표준서 열기")</f>
        <v/>
      </c>
      <c r="O18" s="24" t="inlineStr">
        <is>
          <t>• 입찰설계 지반조사 결과 분석을 통한 원가 및 공정 영향 검토 • 미시추 구간 평가 및 공정 Risk 반영 사항 검토 • 지반조건을 고려한 발파공법성 여부 검토</t>
        </is>
      </c>
      <c r="P18" s="66">
        <f>HYPERLINK(LEFT(CELL("filename",A1),FIND("[",CELL("filename",A1))-1)&amp;"1.지반조사/17_입찰설계 지반조사 R_O 검토 (설계, 원가, 공정, 기타)/수행지침/입찰설계 지반조사 R_O 검토 (설계, 원가, 공정, 기타)_수행지침.html", "수행지침서 열기")</f>
        <v/>
      </c>
      <c r="Q18" s="24" t="inlineStr">
        <is>
          <t>1) 입찰설계 지반조사 R/O 검토 (설계, 원가, 공정, 기타) 적정성을 확인하였는가? 2) 입찰설계 지반조사 검토서(설계, 원가, 공정, 기타) 산출물을 확보하였는가?</t>
        </is>
      </c>
      <c r="R18" s="67">
        <f>HYPERLINK(LEFT(CELL("filename",A1),FIND("[",CELL("filename",A1))-1)&amp;"1.지반조사/17_입찰설계 지반조사 R_O 검토 (설계, 원가, 공정, 기타)/체크리스트/입찰설계 지반조사 R_O 검토 (설계, 원가, 공정, 기타)_체크리스트.html", "체크리스트 열기")</f>
        <v/>
      </c>
      <c r="S18" s="21" t="n"/>
      <c r="T18" s="2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8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8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8" t="n"/>
      <c r="FT18" s="18" t="n"/>
      <c r="FU18" s="18" t="n"/>
      <c r="FV18" s="18" t="n"/>
      <c r="FW18" s="18" t="n"/>
      <c r="FX18" s="18" t="n"/>
      <c r="FY18" s="18" t="n"/>
      <c r="FZ18" s="18" t="n"/>
      <c r="GA18" s="18" t="n"/>
      <c r="GB18" s="18" t="n"/>
      <c r="GC18" s="18" t="n"/>
      <c r="GD18" s="18" t="n"/>
      <c r="GE18" s="18" t="n"/>
      <c r="GF18" s="18" t="n"/>
      <c r="GG18" s="18" t="n"/>
      <c r="GH18" s="18" t="n"/>
      <c r="GI18" s="18" t="n"/>
      <c r="GJ18" s="18" t="n"/>
      <c r="GK18" s="18" t="n"/>
      <c r="GL18" s="18" t="n"/>
      <c r="GM18" s="18" t="n"/>
      <c r="GN18" s="18" t="n"/>
      <c r="GO18" s="18" t="n"/>
      <c r="GP18" s="18" t="n"/>
      <c r="GQ18" s="18" t="n"/>
      <c r="GR18" s="18" t="n"/>
      <c r="GS18" s="18" t="n"/>
      <c r="GT18" s="18" t="n"/>
      <c r="GU18" s="18" t="n"/>
      <c r="GV18" s="18" t="n"/>
      <c r="GW18" s="18" t="n"/>
      <c r="GX18" s="18" t="n"/>
      <c r="GY18" s="18" t="n"/>
      <c r="GZ18" s="18" t="n"/>
      <c r="HA18" s="18" t="n"/>
      <c r="HB18" s="18" t="n"/>
      <c r="HC18" s="18" t="n"/>
      <c r="HD18" s="18" t="n"/>
      <c r="HE18" s="18" t="n"/>
      <c r="HF18" s="18" t="n"/>
      <c r="HG18" s="18" t="n"/>
      <c r="HH18" s="18" t="n"/>
      <c r="HI18" s="18" t="n"/>
      <c r="HJ18" s="18" t="n"/>
      <c r="HK18" s="18" t="n"/>
      <c r="HL18" s="18" t="n"/>
      <c r="HM18" s="18" t="n"/>
      <c r="HN18" s="18" t="n"/>
      <c r="HO18" s="18" t="n"/>
      <c r="HP18" s="18" t="n"/>
      <c r="HQ18" s="18" t="n"/>
      <c r="HR18" s="18" t="n"/>
      <c r="HS18" s="18" t="n"/>
      <c r="HT18" s="18" t="n"/>
      <c r="HU18" s="18" t="n"/>
      <c r="HV18" s="18" t="n"/>
      <c r="HW18" s="18" t="n"/>
      <c r="HX18" s="18" t="n"/>
      <c r="HY18" s="18" t="n"/>
      <c r="HZ18" s="18" t="n"/>
      <c r="IA18" s="18" t="n"/>
      <c r="IB18" s="18" t="n"/>
    </row>
    <row r="19" ht="52.05" customHeight="1" s="88">
      <c r="A19" s="29" t="inlineStr">
        <is>
          <t>9000</t>
        </is>
      </c>
      <c r="B19" s="29" t="inlineStr">
        <is>
          <t>9000-1</t>
        </is>
      </c>
      <c r="C19" s="29" t="inlineStr">
        <is>
          <t>지반조사</t>
        </is>
      </c>
      <c r="D19" s="98" t="inlineStr">
        <is>
          <t>9000-1-18</t>
        </is>
      </c>
      <c r="E19" s="102" t="inlineStr">
        <is>
          <t>9000-1-17</t>
        </is>
      </c>
      <c r="F19" s="99" t="inlineStr">
        <is>
          <t>9000-1-25, 9000-1-27</t>
        </is>
      </c>
      <c r="G19" s="32" t="inlineStr">
        <is>
          <t>지반조사 결과 R/O 종합검토</t>
        </is>
      </c>
      <c r="H19" s="100" t="inlineStr">
        <is>
          <t>D-30</t>
        </is>
      </c>
      <c r="I19" s="33" t="inlineStr">
        <is>
          <t>포스코스마트엔지니어링팀 (협업: 토목견적팀(원가), 토목수행팀(공정), 토목사업지원팀(기획))</t>
        </is>
      </c>
      <c r="J19" s="34" t="inlineStr">
        <is>
          <t>원가 및 공정 검토 결과에 따른 입찰설계 R/O 최종 확정</t>
        </is>
      </c>
      <c r="K19" s="34" t="inlineStr">
        <is>
          <t>• 입찰설계 지반조사 R/O별 Cost effect 분석
• 유사사업 L/L 분석, R/P 검토를 통한 실시설계시 고려사항 검토</t>
        </is>
      </c>
      <c r="L19" s="34" t="inlineStr">
        <is>
          <t>입찰설계 R/O 검토서</t>
        </is>
      </c>
      <c r="M19" s="34" t="inlineStr">
        <is>
          <t>원가 및 공정 검토 결과에 따른 입찰설계 R/O 최종 확정 | 입찰설계 R/O 검토서</t>
        </is>
      </c>
      <c r="N19" s="65">
        <f>HYPERLINK(LEFT(CELL("filename",A1),FIND("[",CELL("filename",A1))-1)&amp;"1.지반조사/18_지반조사 결과 R_O 종합검토/표준서/지반조사 결과 R_O 종합검토_표준서.html", "표준서 열기")</f>
        <v/>
      </c>
      <c r="O19" s="34" t="inlineStr">
        <is>
          <t>• 입찰설계 지반조사 R/O별 Cost effect 분석 • 유사사업 L/L 분석, R/P 검토를 통한 실시설계시 고려사항 검토</t>
        </is>
      </c>
      <c r="P19" s="66">
        <f>HYPERLINK(LEFT(CELL("filename",A1),FIND("[",CELL("filename",A1))-1)&amp;"1.지반조사/18_지반조사 결과 R_O 종합검토/수행지침/지반조사 결과 R_O 종합검토_수행지침.html", "수행지침서 열기")</f>
        <v/>
      </c>
      <c r="Q19" s="34" t="inlineStr">
        <is>
          <t>1) 지반조사 결과 R/O 종합검토 적정성을 확인하였는가? 2) 입찰설계 R/O 검토서 산출물을 확보하였는가?</t>
        </is>
      </c>
      <c r="R19" s="67">
        <f>HYPERLINK(LEFT(CELL("filename",A1),FIND("[",CELL("filename",A1))-1)&amp;"1.지반조사/18_지반조사 결과 R_O 종합검토/체크리스트/지반조사 결과 R_O 종합검토_체크리스트.html", "체크리스트 열기")</f>
        <v/>
      </c>
      <c r="S19" s="33" t="n"/>
      <c r="T19" s="2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Y19" s="18" t="n"/>
      <c r="DZ19" s="18" t="n"/>
      <c r="EA19" s="18" t="n"/>
      <c r="EB19" s="18" t="n"/>
      <c r="EC19" s="18" t="n"/>
      <c r="ED19" s="18" t="n"/>
      <c r="EE19" s="18" t="n"/>
      <c r="EF19" s="18" t="n"/>
      <c r="EG19" s="18" t="n"/>
      <c r="EH19" s="18" t="n"/>
      <c r="EI19" s="18" t="n"/>
      <c r="EJ19" s="18" t="n"/>
      <c r="EK19" s="18" t="n"/>
      <c r="EL19" s="18" t="n"/>
      <c r="EM19" s="18" t="n"/>
      <c r="EN19" s="18" t="n"/>
      <c r="EO19" s="18" t="n"/>
      <c r="EP19" s="18" t="n"/>
      <c r="EQ19" s="18" t="n"/>
      <c r="ER19" s="18" t="n"/>
      <c r="ES19" s="18" t="n"/>
      <c r="ET19" s="18" t="n"/>
      <c r="EU19" s="18" t="n"/>
      <c r="EV19" s="18" t="n"/>
      <c r="EW19" s="18" t="n"/>
      <c r="EX19" s="18" t="n"/>
      <c r="EY19" s="18" t="n"/>
      <c r="EZ19" s="18" t="n"/>
      <c r="FA19" s="18" t="n"/>
      <c r="FB19" s="18" t="n"/>
      <c r="FC19" s="18" t="n"/>
      <c r="FD19" s="18" t="n"/>
      <c r="FE19" s="18" t="n"/>
      <c r="FF19" s="18" t="n"/>
      <c r="FG19" s="18" t="n"/>
      <c r="FH19" s="18" t="n"/>
      <c r="FI19" s="18" t="n"/>
      <c r="FJ19" s="18" t="n"/>
      <c r="FK19" s="18" t="n"/>
      <c r="FL19" s="18" t="n"/>
      <c r="FM19" s="18" t="n"/>
      <c r="FN19" s="18" t="n"/>
      <c r="FO19" s="18" t="n"/>
      <c r="FP19" s="18" t="n"/>
      <c r="FQ19" s="18" t="n"/>
      <c r="FR19" s="18" t="n"/>
      <c r="FS19" s="18" t="n"/>
      <c r="FT19" s="18" t="n"/>
      <c r="FU19" s="18" t="n"/>
      <c r="FV19" s="18" t="n"/>
      <c r="FW19" s="18" t="n"/>
      <c r="FX19" s="18" t="n"/>
      <c r="FY19" s="18" t="n"/>
      <c r="FZ19" s="18" t="n"/>
      <c r="GA19" s="18" t="n"/>
      <c r="GB19" s="18" t="n"/>
      <c r="GC19" s="18" t="n"/>
      <c r="GD19" s="18" t="n"/>
      <c r="GE19" s="18" t="n"/>
      <c r="GF19" s="18" t="n"/>
      <c r="GG19" s="18" t="n"/>
      <c r="GH19" s="18" t="n"/>
      <c r="GI19" s="18" t="n"/>
      <c r="GJ19" s="18" t="n"/>
      <c r="GK19" s="18" t="n"/>
      <c r="GL19" s="18" t="n"/>
      <c r="GM19" s="18" t="n"/>
      <c r="GN19" s="18" t="n"/>
      <c r="GO19" s="18" t="n"/>
      <c r="GP19" s="18" t="n"/>
      <c r="GQ19" s="18" t="n"/>
      <c r="GR19" s="18" t="n"/>
      <c r="GS19" s="18" t="n"/>
      <c r="GT19" s="18" t="n"/>
      <c r="GU19" s="18" t="n"/>
      <c r="GV19" s="18" t="n"/>
      <c r="GW19" s="18" t="n"/>
      <c r="GX19" s="18" t="n"/>
      <c r="GY19" s="18" t="n"/>
      <c r="GZ19" s="18" t="n"/>
      <c r="HA19" s="18" t="n"/>
      <c r="HB19" s="18" t="n"/>
      <c r="HC19" s="18" t="n"/>
      <c r="HD19" s="18" t="n"/>
      <c r="HE19" s="18" t="n"/>
      <c r="HF19" s="18" t="n"/>
      <c r="HG19" s="18" t="n"/>
      <c r="HH19" s="18" t="n"/>
      <c r="HI19" s="18" t="n"/>
      <c r="HJ19" s="18" t="n"/>
      <c r="HK19" s="18" t="n"/>
      <c r="HL19" s="18" t="n"/>
      <c r="HM19" s="18" t="n"/>
      <c r="HN19" s="18" t="n"/>
      <c r="HO19" s="18" t="n"/>
      <c r="HP19" s="18" t="n"/>
      <c r="HQ19" s="18" t="n"/>
      <c r="HR19" s="18" t="n"/>
      <c r="HS19" s="18" t="n"/>
      <c r="HT19" s="18" t="n"/>
      <c r="HU19" s="18" t="n"/>
      <c r="HV19" s="18" t="n"/>
      <c r="HW19" s="18" t="n"/>
      <c r="HX19" s="18" t="n"/>
      <c r="HY19" s="18" t="n"/>
      <c r="HZ19" s="18" t="n"/>
      <c r="IA19" s="18" t="n"/>
      <c r="IB19" s="18" t="n"/>
      <c r="IC19" s="18" t="n"/>
      <c r="ID19" s="18" t="n"/>
      <c r="IE19" s="18" t="n"/>
      <c r="IF19" s="18" t="n"/>
    </row>
    <row r="20" ht="52.05" customHeight="1" s="88">
      <c r="A20" s="19" t="inlineStr">
        <is>
          <t>9000</t>
        </is>
      </c>
      <c r="B20" s="19" t="inlineStr">
        <is>
          <t>9000-1</t>
        </is>
      </c>
      <c r="C20" s="19" t="inlineStr">
        <is>
          <t>지반조사</t>
        </is>
      </c>
      <c r="D20" s="94" t="inlineStr">
        <is>
          <t>9000-1-19</t>
        </is>
      </c>
      <c r="E20" s="95" t="inlineStr">
        <is>
          <t>9000-1-17</t>
        </is>
      </c>
      <c r="F20" s="96" t="inlineStr">
        <is>
          <t>9000-1-27</t>
        </is>
      </c>
      <c r="G20" s="23" t="inlineStr">
        <is>
          <t>REM 수립</t>
        </is>
      </c>
      <c r="H20" s="97" t="inlineStr">
        <is>
          <t>D-30</t>
        </is>
      </c>
      <c r="I20" s="21" t="inlineStr">
        <is>
          <t>포스코스마트엔지니어링팀 (협업: 토목견적팀, 토목사업지원팀)</t>
        </is>
      </c>
      <c r="J20" s="24" t="inlineStr">
        <is>
          <t>REM 차트 작성(회사의 Core Risk, T/C 공정검토 결과, 경쟁사 동향, 발주 경향) 및 보고</t>
        </is>
      </c>
      <c r="K20" s="24" t="inlineStr">
        <is>
          <t>• Risk Profiling/Merge 방안 검토
• 공정 착공성 검토 및 T/C 검토
• 설계차별화 및 Idea Frame 검토</t>
        </is>
      </c>
      <c r="L20" s="24" t="inlineStr">
        <is>
          <t>REM 회의록</t>
        </is>
      </c>
      <c r="M20" s="24" t="inlineStr">
        <is>
          <t>REM 차트 작성(회사의 Core Risk, T/C 공정검토 결과, 경쟁사 동향, 발주 경향) 및 보고 | REM 회의록</t>
        </is>
      </c>
      <c r="N20" s="65">
        <f>HYPERLINK(LEFT(CELL("filename",A1),FIND("[",CELL("filename",A1))-1)&amp;"1.지반조사/19_REM 수립/표준서/REM 수립_표준서.html", "표준서 열기")</f>
        <v/>
      </c>
      <c r="O20" s="24" t="inlineStr">
        <is>
          <t>• Risk Profiling/Merge 방안 검토 • 공정 착공성 검토 및 T/C 검토 • 설계차별화 및 Idea Frame 검토</t>
        </is>
      </c>
      <c r="P20" s="66">
        <f>HYPERLINK(LEFT(CELL("filename",A1),FIND("[",CELL("filename",A1))-1)&amp;"1.지반조사/19_REM 수립/수행지침/REM 수립_수행지침.html", "수행지침서 열기")</f>
        <v/>
      </c>
      <c r="Q20" s="24" t="inlineStr">
        <is>
          <t>1) REM 수립 적정성을 확인하였는가? 2) REM 회의록 산출물을 확보하였는가?</t>
        </is>
      </c>
      <c r="R20" s="67">
        <f>HYPERLINK(LEFT(CELL("filename",A1),FIND("[",CELL("filename",A1))-1)&amp;"1.지반조사/19_REM 수립/체크리스트/REM 수립_체크리스트.html", "체크리스트 열기")</f>
        <v/>
      </c>
      <c r="S20" s="21" t="n"/>
      <c r="T20" s="2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Y20" s="18" t="n"/>
      <c r="DZ20" s="18" t="n"/>
      <c r="EA20" s="18" t="n"/>
      <c r="EB20" s="18" t="n"/>
      <c r="EC20" s="18" t="n"/>
      <c r="ED20" s="18" t="n"/>
      <c r="EE20" s="18" t="n"/>
      <c r="EF20" s="18" t="n"/>
      <c r="EG20" s="18" t="n"/>
      <c r="EH20" s="18" t="n"/>
      <c r="EI20" s="18" t="n"/>
      <c r="EJ20" s="18" t="n"/>
      <c r="EK20" s="18" t="n"/>
      <c r="EL20" s="18" t="n"/>
      <c r="EM20" s="18" t="n"/>
      <c r="EN20" s="18" t="n"/>
      <c r="EO20" s="18" t="n"/>
      <c r="EP20" s="18" t="n"/>
      <c r="EQ20" s="18" t="n"/>
      <c r="ER20" s="18" t="n"/>
      <c r="ES20" s="18" t="n"/>
      <c r="ET20" s="18" t="n"/>
      <c r="EU20" s="18" t="n"/>
      <c r="EV20" s="18" t="n"/>
      <c r="EW20" s="18" t="n"/>
      <c r="EX20" s="18" t="n"/>
      <c r="EY20" s="18" t="n"/>
      <c r="EZ20" s="18" t="n"/>
      <c r="FA20" s="18" t="n"/>
      <c r="FB20" s="18" t="n"/>
      <c r="FC20" s="18" t="n"/>
      <c r="FD20" s="18" t="n"/>
      <c r="FE20" s="18" t="n"/>
      <c r="FF20" s="18" t="n"/>
      <c r="FG20" s="18" t="n"/>
      <c r="FH20" s="18" t="n"/>
      <c r="FI20" s="18" t="n"/>
      <c r="FJ20" s="18" t="n"/>
      <c r="FK20" s="18" t="n"/>
      <c r="FL20" s="18" t="n"/>
      <c r="FM20" s="18" t="n"/>
      <c r="FN20" s="18" t="n"/>
      <c r="FO20" s="18" t="n"/>
      <c r="FP20" s="18" t="n"/>
      <c r="FQ20" s="18" t="n"/>
      <c r="FR20" s="18" t="n"/>
      <c r="FS20" s="18" t="n"/>
      <c r="FT20" s="18" t="n"/>
      <c r="FU20" s="18" t="n"/>
      <c r="FV20" s="18" t="n"/>
      <c r="FW20" s="18" t="n"/>
      <c r="FX20" s="18" t="n"/>
      <c r="FY20" s="18" t="n"/>
      <c r="FZ20" s="18" t="n"/>
      <c r="GA20" s="18" t="n"/>
      <c r="GB20" s="18" t="n"/>
      <c r="GC20" s="18" t="n"/>
      <c r="GD20" s="18" t="n"/>
      <c r="GE20" s="18" t="n"/>
      <c r="GF20" s="18" t="n"/>
      <c r="GG20" s="18" t="n"/>
      <c r="GH20" s="18" t="n"/>
      <c r="GI20" s="18" t="n"/>
      <c r="GJ20" s="18" t="n"/>
      <c r="GK20" s="18" t="n"/>
      <c r="GL20" s="18" t="n"/>
      <c r="GM20" s="18" t="n"/>
      <c r="GN20" s="18" t="n"/>
      <c r="GO20" s="18" t="n"/>
      <c r="GP20" s="18" t="n"/>
      <c r="GQ20" s="18" t="n"/>
      <c r="GR20" s="18" t="n"/>
      <c r="GS20" s="18" t="n"/>
      <c r="GT20" s="18" t="n"/>
      <c r="GU20" s="18" t="n"/>
      <c r="GV20" s="18" t="n"/>
      <c r="GW20" s="18" t="n"/>
      <c r="GX20" s="18" t="n"/>
      <c r="GY20" s="18" t="n"/>
      <c r="GZ20" s="18" t="n"/>
      <c r="HA20" s="18" t="n"/>
      <c r="HB20" s="18" t="n"/>
      <c r="HC20" s="18" t="n"/>
      <c r="HD20" s="18" t="n"/>
      <c r="HE20" s="18" t="n"/>
      <c r="HF20" s="18" t="n"/>
      <c r="HG20" s="18" t="n"/>
      <c r="HH20" s="18" t="n"/>
      <c r="HI20" s="18" t="n"/>
      <c r="HJ20" s="18" t="n"/>
      <c r="HK20" s="18" t="n"/>
      <c r="HL20" s="18" t="n"/>
      <c r="HM20" s="18" t="n"/>
      <c r="HN20" s="18" t="n"/>
      <c r="HO20" s="18" t="n"/>
      <c r="HP20" s="18" t="n"/>
      <c r="HQ20" s="18" t="n"/>
      <c r="HR20" s="18" t="n"/>
      <c r="HS20" s="18" t="n"/>
      <c r="HT20" s="18" t="n"/>
      <c r="HU20" s="18" t="n"/>
      <c r="HV20" s="18" t="n"/>
      <c r="HW20" s="18" t="n"/>
      <c r="HX20" s="18" t="n"/>
      <c r="HY20" s="18" t="n"/>
      <c r="HZ20" s="18" t="n"/>
      <c r="IA20" s="18" t="n"/>
      <c r="IB20" s="18" t="n"/>
      <c r="IC20" s="18" t="n"/>
      <c r="ID20" s="18" t="n"/>
      <c r="IE20" s="18" t="n"/>
      <c r="IF20" s="18" t="n"/>
      <c r="IG20" s="18" t="n"/>
      <c r="IH20" s="18" t="n"/>
      <c r="II20" s="18" t="n"/>
      <c r="IJ20" s="18" t="n"/>
    </row>
    <row r="21" ht="52.05" customHeight="1" s="88">
      <c r="A21" s="29" t="inlineStr">
        <is>
          <t>9000</t>
        </is>
      </c>
      <c r="B21" s="29" t="inlineStr">
        <is>
          <t>9000-1</t>
        </is>
      </c>
      <c r="C21" s="29" t="inlineStr">
        <is>
          <t>지반조사</t>
        </is>
      </c>
      <c r="D21" s="98" t="inlineStr">
        <is>
          <t>9000-1-20</t>
        </is>
      </c>
      <c r="E21" s="102" t="inlineStr">
        <is>
          <t>9000-1-17</t>
        </is>
      </c>
      <c r="F21" s="99" t="inlineStr">
        <is>
          <t>9000-1-28, 9000-1-30</t>
        </is>
      </c>
      <c r="G21" s="32" t="inlineStr">
        <is>
          <t>추가지반조사 계획 수립</t>
        </is>
      </c>
      <c r="H21" s="100" t="inlineStr">
        <is>
          <t>D-20</t>
        </is>
      </c>
      <c r="I21" s="33" t="inlineStr">
        <is>
          <t>포스코스마트엔지니어링팀 (협업: 토목견적팀(원가), 토목수행팀(공정), 토목사업지원팀(기획))</t>
        </is>
      </c>
      <c r="J21" s="34" t="inlineStr">
        <is>
          <t>R/O 분석 결과에 기반한 추가지반조사 항목 도출</t>
        </is>
      </c>
      <c r="K21" s="34" t="inlineStr">
        <is>
          <t>• 지반조사 수렴 결과 분석보고서 검토
• 지반조사 결과 R/O 종합검토 결과 검토</t>
        </is>
      </c>
      <c r="L21" s="34" t="inlineStr">
        <is>
          <t>추가지반조사 List</t>
        </is>
      </c>
      <c r="M21" s="34" t="inlineStr">
        <is>
          <t>R/O 분석 결과에 기반한 추가지반조사 항목 도출 | 추가지반조사 List</t>
        </is>
      </c>
      <c r="N21" s="65">
        <f>HYPERLINK(LEFT(CELL("filename",A1),FIND("[",CELL("filename",A1))-1)&amp;"1.지반조사/20_추가지반조사 계획 수립/표준서/추가지반조사 계획 수립_표준서.html", "표준서 열기")</f>
        <v/>
      </c>
      <c r="O21" s="34" t="inlineStr">
        <is>
          <t>• 지반조사 수렴 결과 분석보고서 검토 • 지반조사 결과 R/O 종합검토 결과 검토</t>
        </is>
      </c>
      <c r="P21" s="66">
        <f>HYPERLINK(LEFT(CELL("filename",A1),FIND("[",CELL("filename",A1))-1)&amp;"1.지반조사/20_추가지반조사 계획 수립/수행지침/추가지반조사 계획 수립_수행지침.html", "수행지침서 열기")</f>
        <v/>
      </c>
      <c r="Q21" s="34" t="inlineStr">
        <is>
          <t>1) 추가지반조사 계획 수립 적정성을 확인하였는가? 2) 추가지반조사 List 산출물을 확보하였는가?</t>
        </is>
      </c>
      <c r="R21" s="67">
        <f>HYPERLINK(LEFT(CELL("filename",A1),FIND("[",CELL("filename",A1))-1)&amp;"1.지반조사/20_추가지반조사 계획 수립/체크리스트/추가지반조사 계획 수립_체크리스트.html", "체크리스트 열기")</f>
        <v/>
      </c>
      <c r="S21" s="33" t="n"/>
      <c r="T21" s="2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8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8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8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18" t="n"/>
      <c r="GI21" s="18" t="n"/>
      <c r="GJ21" s="18" t="n"/>
      <c r="GK21" s="18" t="n"/>
      <c r="GL21" s="18" t="n"/>
      <c r="GM21" s="18" t="n"/>
      <c r="GN21" s="18" t="n"/>
      <c r="GO21" s="18" t="n"/>
      <c r="GP21" s="18" t="n"/>
      <c r="GQ21" s="18" t="n"/>
      <c r="GR21" s="18" t="n"/>
      <c r="GS21" s="18" t="n"/>
      <c r="GT21" s="18" t="n"/>
      <c r="GU21" s="18" t="n"/>
      <c r="GV21" s="18" t="n"/>
      <c r="GW21" s="18" t="n"/>
      <c r="GX21" s="18" t="n"/>
      <c r="GY21" s="18" t="n"/>
      <c r="GZ21" s="18" t="n"/>
      <c r="HA21" s="18" t="n"/>
      <c r="HB21" s="18" t="n"/>
      <c r="HC21" s="18" t="n"/>
      <c r="HD21" s="18" t="n"/>
      <c r="HE21" s="18" t="n"/>
      <c r="HF21" s="18" t="n"/>
      <c r="HG21" s="18" t="n"/>
      <c r="HH21" s="18" t="n"/>
      <c r="HI21" s="18" t="n"/>
      <c r="HJ21" s="18" t="n"/>
      <c r="HK21" s="18" t="n"/>
      <c r="HL21" s="18" t="n"/>
      <c r="HM21" s="18" t="n"/>
      <c r="HN21" s="18" t="n"/>
      <c r="HO21" s="18" t="n"/>
      <c r="HP21" s="18" t="n"/>
      <c r="HQ21" s="18" t="n"/>
      <c r="HR21" s="18" t="n"/>
      <c r="HS21" s="18" t="n"/>
      <c r="HT21" s="18" t="n"/>
      <c r="HU21" s="18" t="n"/>
      <c r="HV21" s="18" t="n"/>
      <c r="HW21" s="18" t="n"/>
      <c r="HX21" s="18" t="n"/>
      <c r="HY21" s="18" t="n"/>
      <c r="HZ21" s="18" t="n"/>
      <c r="IA21" s="18" t="n"/>
      <c r="IB21" s="18" t="n"/>
      <c r="IC21" s="18" t="n"/>
      <c r="ID21" s="18" t="n"/>
      <c r="IE21" s="18" t="n"/>
      <c r="IF21" s="18" t="n"/>
      <c r="IG21" s="18" t="n"/>
      <c r="IH21" s="18" t="n"/>
      <c r="II21" s="18" t="n"/>
      <c r="IJ21" s="18" t="n"/>
      <c r="IK21" s="18" t="n"/>
      <c r="IL21" s="18" t="n"/>
      <c r="IM21" s="18" t="n"/>
      <c r="IN21" s="18" t="n"/>
    </row>
    <row r="22" ht="52.05" customHeight="1" s="88">
      <c r="A22" s="19" t="inlineStr">
        <is>
          <t>9000</t>
        </is>
      </c>
      <c r="B22" s="19" t="inlineStr">
        <is>
          <t>9000-1</t>
        </is>
      </c>
      <c r="C22" s="19" t="inlineStr">
        <is>
          <t>지반조사</t>
        </is>
      </c>
      <c r="D22" s="94" t="inlineStr">
        <is>
          <t>9000-1-21</t>
        </is>
      </c>
      <c r="E22" s="95" t="inlineStr">
        <is>
          <t>9000-1-17</t>
        </is>
      </c>
      <c r="F22" s="96" t="inlineStr">
        <is>
          <t>9000-1-25, 9000-1-28</t>
        </is>
      </c>
      <c r="G22" s="23" t="inlineStr">
        <is>
          <t>3D GPR탐사 장비 사양(차량형) 검토</t>
        </is>
      </c>
      <c r="H22" s="97" t="inlineStr">
        <is>
          <t>D-10</t>
        </is>
      </c>
      <c r="I22" s="21" t="inlineStr">
        <is>
          <t>현장 공무팀 (협업: 현장 공사팀)</t>
        </is>
      </c>
      <c r="J22" s="24" t="inlineStr">
        <is>
          <t>적정 추가지반조사 규명을 위한 장비 사양 검토</t>
        </is>
      </c>
      <c r="K22" s="24" t="inlineStr">
        <is>
          <t>• 3D GPR탐사 장비 사양(차량형)
- 3D Radar(노르웨이)_200~3000Hz, 2.0m~3.0m : 하상도 높음
- MIRA(스웨덴)_400~1300Hz, 1.0m~2.0m : 정밀한 입체 형상
- StreamC(이탈리아)_200~600Hz, 1.5m~3.0m : 다양한 심도, 공동 탐지
- VGPR(호주)_100~4000Hz, 2.0m~3.0m : 고속주행 데이터 획득
- Road 3D(한국)_200~3000Hz, 2.0m~3.0m : 하상도 높음, 유용특화</t>
        </is>
      </c>
      <c r="L22" s="24" t="inlineStr">
        <is>
          <t>-</t>
        </is>
      </c>
      <c r="M22" s="24" t="inlineStr">
        <is>
          <t>적정 추가지반조사 규명을 위한 장비 사양 검토 | -</t>
        </is>
      </c>
      <c r="N22" s="65">
        <f>HYPERLINK(LEFT(CELL("filename",A1),FIND("[",CELL("filename",A1))-1)&amp;"1.지반조사/21_3D GPR탐사 장비 사양(차량형) 검토/표준서/3D GPR탐사 장비 사양(차량형) 검토_표준서.html", "표준서 열기")</f>
        <v/>
      </c>
      <c r="O22" s="24" t="inlineStr">
        <is>
          <t>• 3D GPR탐사 장비 사양(차량형) - 3D Radar(노르웨이)_200~3000Hz, 2.0m~3.0m : 하상도 높음 - MIRA(스웨덴)_400~1300Hz, 1.0m~2.0m : 정밀한 입체 형상 - St...</t>
        </is>
      </c>
      <c r="P22" s="66">
        <f>HYPERLINK(LEFT(CELL("filename",A1),FIND("[",CELL("filename",A1))-1)&amp;"1.지반조사/21_3D GPR탐사 장비 사양(차량형) 검토/수행지침/3D GPR탐사 장비 사양(차량형) 검토_수행지침.html", "수행지침서 열기")</f>
        <v/>
      </c>
      <c r="Q22" s="24" t="inlineStr">
        <is>
          <t>1) 3D GPR탐사 장비 사양(차량형) 검토 적정성을 확인하였는가? 2) - 산출물을 확보하였는가?</t>
        </is>
      </c>
      <c r="R22" s="67">
        <f>HYPERLINK(LEFT(CELL("filename",A1),FIND("[",CELL("filename",A1))-1)&amp;"1.지반조사/21_3D GPR탐사 장비 사양(차량형) 검토/체크리스트/3D GPR탐사 장비 사양(차량형) 검토_체크리스트.html", "체크리스트 열기")</f>
        <v/>
      </c>
      <c r="S22" s="21" t="n"/>
      <c r="T22" s="2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Y22" s="18" t="n"/>
      <c r="DZ22" s="18" t="n"/>
      <c r="EA22" s="18" t="n"/>
      <c r="EB22" s="18" t="n"/>
      <c r="EC22" s="18" t="n"/>
      <c r="ED22" s="18" t="n"/>
      <c r="EE22" s="18" t="n"/>
      <c r="EF22" s="18" t="n"/>
      <c r="EG22" s="18" t="n"/>
      <c r="EH22" s="18" t="n"/>
      <c r="EI22" s="18" t="n"/>
      <c r="EJ22" s="18" t="n"/>
      <c r="EK22" s="18" t="n"/>
      <c r="EL22" s="18" t="n"/>
      <c r="EM22" s="18" t="n"/>
      <c r="EN22" s="18" t="n"/>
      <c r="EO22" s="18" t="n"/>
      <c r="EP22" s="18" t="n"/>
      <c r="EQ22" s="18" t="n"/>
      <c r="ER22" s="18" t="n"/>
      <c r="ES22" s="18" t="n"/>
      <c r="ET22" s="18" t="n"/>
      <c r="EU22" s="18" t="n"/>
      <c r="EV22" s="18" t="n"/>
      <c r="EW22" s="18" t="n"/>
      <c r="EX22" s="18" t="n"/>
      <c r="EY22" s="18" t="n"/>
      <c r="EZ22" s="18" t="n"/>
      <c r="FA22" s="18" t="n"/>
      <c r="FB22" s="18" t="n"/>
      <c r="FC22" s="18" t="n"/>
      <c r="FD22" s="18" t="n"/>
      <c r="FE22" s="18" t="n"/>
      <c r="FF22" s="18" t="n"/>
      <c r="FG22" s="18" t="n"/>
      <c r="FH22" s="18" t="n"/>
      <c r="FI22" s="18" t="n"/>
      <c r="FJ22" s="18" t="n"/>
      <c r="FK22" s="18" t="n"/>
      <c r="FL22" s="18" t="n"/>
      <c r="FM22" s="18" t="n"/>
      <c r="FN22" s="18" t="n"/>
      <c r="FO22" s="18" t="n"/>
      <c r="FP22" s="18" t="n"/>
      <c r="FQ22" s="18" t="n"/>
      <c r="FR22" s="18" t="n"/>
      <c r="FS22" s="18" t="n"/>
      <c r="FT22" s="18" t="n"/>
      <c r="FU22" s="18" t="n"/>
      <c r="FV22" s="18" t="n"/>
      <c r="FW22" s="18" t="n"/>
      <c r="FX22" s="18" t="n"/>
      <c r="FY22" s="18" t="n"/>
      <c r="FZ22" s="18" t="n"/>
      <c r="GA22" s="18" t="n"/>
      <c r="GB22" s="18" t="n"/>
      <c r="GC22" s="18" t="n"/>
      <c r="GD22" s="18" t="n"/>
      <c r="GE22" s="18" t="n"/>
      <c r="GF22" s="18" t="n"/>
      <c r="GG22" s="18" t="n"/>
      <c r="GH22" s="18" t="n"/>
      <c r="GI22" s="18" t="n"/>
      <c r="GJ22" s="18" t="n"/>
      <c r="GK22" s="18" t="n"/>
      <c r="GL22" s="18" t="n"/>
      <c r="GM22" s="18" t="n"/>
      <c r="GN22" s="18" t="n"/>
      <c r="GO22" s="18" t="n"/>
      <c r="GP22" s="18" t="n"/>
      <c r="GQ22" s="18" t="n"/>
      <c r="GR22" s="18" t="n"/>
      <c r="GS22" s="18" t="n"/>
      <c r="GT22" s="18" t="n"/>
      <c r="GU22" s="18" t="n"/>
      <c r="GV22" s="18" t="n"/>
      <c r="GW22" s="18" t="n"/>
      <c r="GX22" s="18" t="n"/>
      <c r="GY22" s="18" t="n"/>
      <c r="GZ22" s="18" t="n"/>
      <c r="HA22" s="18" t="n"/>
      <c r="HB22" s="18" t="n"/>
      <c r="HC22" s="18" t="n"/>
      <c r="HD22" s="18" t="n"/>
      <c r="HE22" s="18" t="n"/>
      <c r="HF22" s="18" t="n"/>
      <c r="HG22" s="18" t="n"/>
      <c r="HH22" s="18" t="n"/>
      <c r="HI22" s="18" t="n"/>
      <c r="HJ22" s="18" t="n"/>
      <c r="HK22" s="18" t="n"/>
      <c r="HL22" s="18" t="n"/>
      <c r="HM22" s="18" t="n"/>
      <c r="HN22" s="18" t="n"/>
      <c r="HO22" s="18" t="n"/>
      <c r="HP22" s="18" t="n"/>
      <c r="HQ22" s="18" t="n"/>
      <c r="HR22" s="18" t="n"/>
      <c r="HS22" s="18" t="n"/>
      <c r="HT22" s="18" t="n"/>
      <c r="HU22" s="18" t="n"/>
      <c r="HV22" s="18" t="n"/>
      <c r="HW22" s="18" t="n"/>
      <c r="HX22" s="18" t="n"/>
      <c r="HY22" s="18" t="n"/>
      <c r="HZ22" s="18" t="n"/>
      <c r="IA22" s="18" t="n"/>
      <c r="IB22" s="18" t="n"/>
      <c r="IC22" s="18" t="n"/>
      <c r="ID22" s="18" t="n"/>
      <c r="IE22" s="18" t="n"/>
      <c r="IF22" s="18" t="n"/>
      <c r="IG22" s="18" t="n"/>
      <c r="IH22" s="18" t="n"/>
      <c r="II22" s="18" t="n"/>
      <c r="IJ22" s="18" t="n"/>
      <c r="IK22" s="18" t="n"/>
      <c r="IL22" s="18" t="n"/>
      <c r="IM22" s="18" t="n"/>
      <c r="IN22" s="18" t="n"/>
      <c r="IO22" s="18" t="n"/>
      <c r="IP22" s="18" t="n"/>
      <c r="IQ22" s="18" t="n"/>
      <c r="IR22" s="18" t="n"/>
    </row>
    <row r="23" ht="52.05" customHeight="1" s="88">
      <c r="A23" s="29" t="inlineStr">
        <is>
          <t>9000</t>
        </is>
      </c>
      <c r="B23" s="29" t="inlineStr">
        <is>
          <t>9000-1</t>
        </is>
      </c>
      <c r="C23" s="29" t="inlineStr">
        <is>
          <t>지반조사</t>
        </is>
      </c>
      <c r="D23" s="98" t="inlineStr">
        <is>
          <t>9000-1-22</t>
        </is>
      </c>
      <c r="E23" s="102" t="inlineStr">
        <is>
          <t>9000-1-16</t>
        </is>
      </c>
      <c r="F23" s="99" t="inlineStr">
        <is>
          <t>9000-1-23, 9000-1-27</t>
        </is>
      </c>
      <c r="G23" s="32" t="inlineStr">
        <is>
          <t>ECRM 수립</t>
        </is>
      </c>
      <c r="H23" s="100" t="inlineStr">
        <is>
          <t>D+10~30</t>
        </is>
      </c>
      <c r="I23" s="33" t="inlineStr">
        <is>
          <t>토목견적팀(원가) (협업: 포스코스마트엔지니어링팀, 토목수행팀, 토목사업지원팀)</t>
        </is>
      </c>
      <c r="J23" s="34" t="inlineStr">
        <is>
          <t>입찰설계 지반조사 결과에 따른 직분야 R/O 및 Cost impact 반영 사항 검토</t>
        </is>
      </c>
      <c r="K23" s="34" t="inlineStr">
        <is>
          <t>• 입찰설계 지반조사 결과 분석을 통한 원가 및 공정 영향 검토
• 미시추 구간 평가 및 공정 Risk 반영 사항 검토
• 지반조건을 고려한 발파공법성 여부 검토</t>
        </is>
      </c>
      <c r="L23" s="34" t="inlineStr">
        <is>
          <t>입찰설계 지반조사 검토서(설계, 원가, 공정, 기타)</t>
        </is>
      </c>
      <c r="M23" s="34" t="inlineStr">
        <is>
          <t>입찰설계 지반조사 결과에 따른 직분야 R/O 및 Cost impact 반영 사항 검토 | 입찰설계 지반조사 검토서(설계, 원가, 공정, 기타)</t>
        </is>
      </c>
      <c r="N23" s="65">
        <f>HYPERLINK(LEFT(CELL("filename",A1),FIND("[",CELL("filename",A1))-1)&amp;"1.지반조사/22_ECRM 수립/표준서/ECRM 수립_표준서.html", "표준서 열기")</f>
        <v/>
      </c>
      <c r="O23" s="34" t="inlineStr">
        <is>
          <t>• 입찰설계 지반조사 결과 분석을 통한 원가 및 공정 영향 검토 • 미시추 구간 평가 및 공정 Risk 반영 사항 검토 • 지반조건을 고려한 발파공법성 여부 검토</t>
        </is>
      </c>
      <c r="P23" s="66">
        <f>HYPERLINK(LEFT(CELL("filename",A1),FIND("[",CELL("filename",A1))-1)&amp;"1.지반조사/22_ECRM 수립/수행지침/ECRM 수립_수행지침.html", "수행지침서 열기")</f>
        <v/>
      </c>
      <c r="Q23" s="34" t="inlineStr">
        <is>
          <t>1) ECRM 수립 적정성을 확인하였는가? 2) 입찰설계 지반조사 검토서(설계, 원가, 공정, 기타) 산출물을 확보하였는가?</t>
        </is>
      </c>
      <c r="R23" s="67">
        <f>HYPERLINK(LEFT(CELL("filename",A1),FIND("[",CELL("filename",A1))-1)&amp;"1.지반조사/22_ECRM 수립/체크리스트/ECRM 수립_체크리스트.html", "체크리스트 열기")</f>
        <v/>
      </c>
      <c r="S23" s="33" t="n"/>
      <c r="T23" s="2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8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8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8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18" t="n"/>
      <c r="GI23" s="18" t="n"/>
      <c r="GJ23" s="18" t="n"/>
      <c r="GK23" s="18" t="n"/>
      <c r="GL23" s="18" t="n"/>
      <c r="GM23" s="18" t="n"/>
      <c r="GN23" s="18" t="n"/>
      <c r="GO23" s="18" t="n"/>
      <c r="GP23" s="18" t="n"/>
      <c r="GQ23" s="18" t="n"/>
      <c r="GR23" s="18" t="n"/>
      <c r="GS23" s="18" t="n"/>
      <c r="GT23" s="18" t="n"/>
      <c r="GU23" s="18" t="n"/>
      <c r="GV23" s="18" t="n"/>
      <c r="GW23" s="18" t="n"/>
      <c r="GX23" s="18" t="n"/>
      <c r="GY23" s="18" t="n"/>
      <c r="GZ23" s="18" t="n"/>
      <c r="HA23" s="18" t="n"/>
      <c r="HB23" s="18" t="n"/>
      <c r="HC23" s="18" t="n"/>
      <c r="HD23" s="18" t="n"/>
      <c r="HE23" s="18" t="n"/>
      <c r="HF23" s="18" t="n"/>
      <c r="HG23" s="18" t="n"/>
      <c r="HH23" s="18" t="n"/>
      <c r="HI23" s="18" t="n"/>
      <c r="HJ23" s="18" t="n"/>
      <c r="HK23" s="18" t="n"/>
      <c r="HL23" s="18" t="n"/>
      <c r="HM23" s="18" t="n"/>
      <c r="HN23" s="18" t="n"/>
      <c r="HO23" s="18" t="n"/>
      <c r="HP23" s="18" t="n"/>
      <c r="HQ23" s="18" t="n"/>
      <c r="HR23" s="18" t="n"/>
      <c r="HS23" s="18" t="n"/>
      <c r="HT23" s="18" t="n"/>
      <c r="HU23" s="18" t="n"/>
      <c r="HV23" s="18" t="n"/>
      <c r="HW23" s="18" t="n"/>
      <c r="HX23" s="18" t="n"/>
      <c r="HY23" s="18" t="n"/>
      <c r="HZ23" s="18" t="n"/>
      <c r="IA23" s="18" t="n"/>
      <c r="IB23" s="18" t="n"/>
      <c r="IC23" s="18" t="n"/>
      <c r="ID23" s="18" t="n"/>
      <c r="IE23" s="18" t="n"/>
      <c r="IF23" s="18" t="n"/>
      <c r="IG23" s="18" t="n"/>
      <c r="IH23" s="18" t="n"/>
      <c r="II23" s="18" t="n"/>
      <c r="IJ23" s="18" t="n"/>
      <c r="IK23" s="18" t="n"/>
      <c r="IL23" s="18" t="n"/>
      <c r="IM23" s="18" t="n"/>
      <c r="IN23" s="18" t="n"/>
      <c r="IO23" s="18" t="n"/>
      <c r="IP23" s="18" t="n"/>
      <c r="IQ23" s="18" t="n"/>
      <c r="IR23" s="18" t="n"/>
      <c r="IS23" s="18" t="n"/>
      <c r="IT23" s="18" t="n"/>
      <c r="IU23" s="18" t="n"/>
      <c r="IV23" s="18" t="n"/>
    </row>
    <row r="24" ht="52.05" customHeight="1" s="88">
      <c r="A24" s="19" t="inlineStr">
        <is>
          <t>9000</t>
        </is>
      </c>
      <c r="B24" s="19" t="inlineStr">
        <is>
          <t>9000-1</t>
        </is>
      </c>
      <c r="C24" s="19" t="inlineStr">
        <is>
          <t>지반조사</t>
        </is>
      </c>
      <c r="D24" s="94" t="inlineStr">
        <is>
          <t>9000-1-23</t>
        </is>
      </c>
      <c r="E24" s="95" t="inlineStr">
        <is>
          <t>9000-1-17, 9000-1-22</t>
        </is>
      </c>
      <c r="F24" s="96" t="inlineStr">
        <is>
          <t>9000-1-27</t>
        </is>
      </c>
      <c r="G24" s="23" t="inlineStr">
        <is>
          <t>최종 Cost 검토 / 입찰</t>
        </is>
      </c>
      <c r="H24" s="97" t="inlineStr">
        <is>
          <t>D+10~25</t>
        </is>
      </c>
      <c r="I24" s="21" t="inlineStr">
        <is>
          <t>토목견적팀 (협업: -)</t>
        </is>
      </c>
      <c r="J24" s="24" t="inlineStr">
        <is>
          <t>입찰</t>
        </is>
      </c>
      <c r="K24" s="24" t="inlineStr">
        <is>
          <t>• 최종 R/O를 반영한 투찰내역서 작성</t>
        </is>
      </c>
      <c r="L24" s="24" t="inlineStr">
        <is>
          <t>투찰내역서</t>
        </is>
      </c>
      <c r="M24" s="24" t="inlineStr">
        <is>
          <t>입찰 | 투찰내역서</t>
        </is>
      </c>
      <c r="N24" s="65">
        <f>HYPERLINK(LEFT(CELL("filename",A1),FIND("[",CELL("filename",A1))-1)&amp;"1.지반조사/23_최종 Cost 검토 _ 입찰/표준서/최종 Cost 검토 _ 입찰_표준서.html", "표준서 열기")</f>
        <v/>
      </c>
      <c r="O24" s="24" t="inlineStr">
        <is>
          <t>• 최종 R/O를 반영한 투찰내역서 작성</t>
        </is>
      </c>
      <c r="P24" s="66">
        <f>HYPERLINK(LEFT(CELL("filename",A1),FIND("[",CELL("filename",A1))-1)&amp;"1.지반조사/23_최종 Cost 검토 _ 입찰/수행지침/최종 Cost 검토 _ 입찰_수행지침.html", "수행지침서 열기")</f>
        <v/>
      </c>
      <c r="Q24" s="24" t="inlineStr">
        <is>
          <t>1) 최종 Cost 검토 / 입찰 적정성을 확인하였는가? 2) 투찰내역서 산출물을 확보하였는가?</t>
        </is>
      </c>
      <c r="R24" s="67">
        <f>HYPERLINK(LEFT(CELL("filename",A1),FIND("[",CELL("filename",A1))-1)&amp;"1.지반조사/23_최종 Cost 검토 _ 입찰/체크리스트/최종 Cost 검토 _ 입찰_체크리스트.html", "체크리스트 열기")</f>
        <v/>
      </c>
      <c r="S24" s="21" t="n"/>
      <c r="T24" s="2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8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8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8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18" t="n"/>
      <c r="GI24" s="18" t="n"/>
      <c r="GJ24" s="18" t="n"/>
      <c r="GK24" s="18" t="n"/>
      <c r="GL24" s="18" t="n"/>
      <c r="GM24" s="18" t="n"/>
      <c r="GN24" s="18" t="n"/>
      <c r="GO24" s="18" t="n"/>
      <c r="GP24" s="18" t="n"/>
      <c r="GQ24" s="18" t="n"/>
      <c r="GR24" s="18" t="n"/>
      <c r="GS24" s="18" t="n"/>
      <c r="GT24" s="18" t="n"/>
      <c r="GU24" s="18" t="n"/>
      <c r="GV24" s="18" t="n"/>
      <c r="GW24" s="18" t="n"/>
      <c r="GX24" s="18" t="n"/>
      <c r="GY24" s="18" t="n"/>
      <c r="GZ24" s="18" t="n"/>
      <c r="HA24" s="18" t="n"/>
      <c r="HB24" s="18" t="n"/>
      <c r="HC24" s="18" t="n"/>
      <c r="HD24" s="18" t="n"/>
      <c r="HE24" s="18" t="n"/>
      <c r="HF24" s="18" t="n"/>
      <c r="HG24" s="18" t="n"/>
      <c r="HH24" s="18" t="n"/>
      <c r="HI24" s="18" t="n"/>
      <c r="HJ24" s="18" t="n"/>
      <c r="HK24" s="18" t="n"/>
      <c r="HL24" s="18" t="n"/>
      <c r="HM24" s="18" t="n"/>
      <c r="HN24" s="18" t="n"/>
      <c r="HO24" s="18" t="n"/>
      <c r="HP24" s="18" t="n"/>
      <c r="HQ24" s="18" t="n"/>
      <c r="HR24" s="18" t="n"/>
      <c r="HS24" s="18" t="n"/>
      <c r="HT24" s="18" t="n"/>
      <c r="HU24" s="18" t="n"/>
      <c r="HV24" s="18" t="n"/>
      <c r="HW24" s="18" t="n"/>
      <c r="HX24" s="18" t="n"/>
      <c r="HY24" s="18" t="n"/>
      <c r="HZ24" s="18" t="n"/>
      <c r="IA24" s="18" t="n"/>
      <c r="IB24" s="18" t="n"/>
      <c r="IC24" s="18" t="n"/>
      <c r="ID24" s="18" t="n"/>
      <c r="IE24" s="18" t="n"/>
      <c r="IF24" s="18" t="n"/>
      <c r="IG24" s="18" t="n"/>
      <c r="IH24" s="18" t="n"/>
      <c r="II24" s="18" t="n"/>
      <c r="IJ24" s="18" t="n"/>
      <c r="IK24" s="18" t="n"/>
      <c r="IL24" s="18" t="n"/>
      <c r="IM24" s="18" t="n"/>
      <c r="IN24" s="18" t="n"/>
      <c r="IO24" s="18" t="n"/>
      <c r="IP24" s="18" t="n"/>
      <c r="IQ24" s="18" t="n"/>
      <c r="IR24" s="18" t="n"/>
      <c r="IS24" s="18" t="n"/>
      <c r="IT24" s="18" t="n"/>
      <c r="IU24" s="18" t="n"/>
      <c r="IV24" s="18" t="n"/>
      <c r="IW24" s="18" t="n"/>
      <c r="IX24" s="18" t="n"/>
      <c r="IY24" s="18" t="n"/>
      <c r="IZ24" s="18" t="n"/>
    </row>
    <row r="25" ht="52.05" customHeight="1" s="88">
      <c r="A25" s="29" t="inlineStr">
        <is>
          <t>9000</t>
        </is>
      </c>
      <c r="B25" s="29" t="inlineStr">
        <is>
          <t>9000-1</t>
        </is>
      </c>
      <c r="C25" s="29" t="inlineStr">
        <is>
          <t>지반조사</t>
        </is>
      </c>
      <c r="D25" s="98" t="inlineStr">
        <is>
          <t>9000-1-24</t>
        </is>
      </c>
      <c r="E25" s="102" t="inlineStr">
        <is>
          <t>9000-1-16</t>
        </is>
      </c>
      <c r="F25" s="99" t="inlineStr">
        <is>
          <t>9000-1-27, 9000-1-28</t>
        </is>
      </c>
      <c r="G25" s="32" t="inlineStr">
        <is>
          <t>입찰설계 현장 인수인계</t>
        </is>
      </c>
      <c r="H25" s="100" t="inlineStr">
        <is>
          <t>D+10~30</t>
        </is>
      </c>
      <c r="I25" s="33" t="inlineStr">
        <is>
          <t>현장소장 (협업: 토목수행팀)</t>
        </is>
      </c>
      <c r="J25" s="34" t="inlineStr">
        <is>
          <t>지반조사 포함 전체 R/O 승계자료 인수인계 및 추가지반조사 계획 공유</t>
        </is>
      </c>
      <c r="K25" s="34" t="inlineStr">
        <is>
          <t>• 최종 R/O 결과 및 입찰도서 인출</t>
        </is>
      </c>
      <c r="L25" s="34" t="inlineStr">
        <is>
          <t>인수인계서</t>
        </is>
      </c>
      <c r="M25" s="34" t="inlineStr">
        <is>
          <t>지반조사 포함 전체 R/O 승계자료 인수인계 및 추가지반조사 계획 공유 | 인수인계서</t>
        </is>
      </c>
      <c r="N25" s="65">
        <f>HYPERLINK(LEFT(CELL("filename",A1),FIND("[",CELL("filename",A1))-1)&amp;"1.지반조사/24_입찰설계 현장 인수인계/표준서/입찰설계 현장 인수인계_표준서.html", "표준서 열기")</f>
        <v/>
      </c>
      <c r="O25" s="34" t="inlineStr">
        <is>
          <t>• 최종 R/O 결과 및 입찰도서 인출</t>
        </is>
      </c>
      <c r="P25" s="66">
        <f>HYPERLINK(LEFT(CELL("filename",A1),FIND("[",CELL("filename",A1))-1)&amp;"1.지반조사/24_입찰설계 현장 인수인계/수행지침/입찰설계 현장 인수인계_수행지침.html", "수행지침서 열기")</f>
        <v/>
      </c>
      <c r="Q25" s="34" t="inlineStr">
        <is>
          <t>1) 입찰설계 현장 인수인계 적정성을 확인하였는가? 2) 인수인계서 산출물을 확보하였는가?</t>
        </is>
      </c>
      <c r="R25" s="67">
        <f>HYPERLINK(LEFT(CELL("filename",A1),FIND("[",CELL("filename",A1))-1)&amp;"1.지반조사/24_입찰설계 현장 인수인계/체크리스트/입찰설계 현장 인수인계_체크리스트.html", "체크리스트 열기")</f>
        <v/>
      </c>
      <c r="S25" s="33" t="n"/>
      <c r="T25" s="2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8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8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8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18" t="n"/>
      <c r="GI25" s="18" t="n"/>
      <c r="GJ25" s="18" t="n"/>
      <c r="GK25" s="18" t="n"/>
      <c r="GL25" s="18" t="n"/>
      <c r="GM25" s="18" t="n"/>
      <c r="GN25" s="18" t="n"/>
      <c r="GO25" s="18" t="n"/>
      <c r="GP25" s="18" t="n"/>
      <c r="GQ25" s="18" t="n"/>
      <c r="GR25" s="18" t="n"/>
      <c r="GS25" s="18" t="n"/>
      <c r="GT25" s="18" t="n"/>
      <c r="GU25" s="18" t="n"/>
      <c r="GV25" s="18" t="n"/>
      <c r="GW25" s="18" t="n"/>
      <c r="GX25" s="18" t="n"/>
      <c r="GY25" s="18" t="n"/>
      <c r="GZ25" s="18" t="n"/>
      <c r="HA25" s="18" t="n"/>
      <c r="HB25" s="18" t="n"/>
      <c r="HC25" s="18" t="n"/>
      <c r="HD25" s="18" t="n"/>
      <c r="HE25" s="18" t="n"/>
      <c r="HF25" s="18" t="n"/>
      <c r="HG25" s="18" t="n"/>
      <c r="HH25" s="18" t="n"/>
      <c r="HI25" s="18" t="n"/>
      <c r="HJ25" s="18" t="n"/>
      <c r="HK25" s="18" t="n"/>
      <c r="HL25" s="18" t="n"/>
      <c r="HM25" s="18" t="n"/>
      <c r="HN25" s="18" t="n"/>
      <c r="HO25" s="18" t="n"/>
      <c r="HP25" s="18" t="n"/>
      <c r="HQ25" s="18" t="n"/>
      <c r="HR25" s="18" t="n"/>
      <c r="HS25" s="18" t="n"/>
      <c r="HT25" s="18" t="n"/>
      <c r="HU25" s="18" t="n"/>
      <c r="HV25" s="18" t="n"/>
      <c r="HW25" s="18" t="n"/>
      <c r="HX25" s="18" t="n"/>
      <c r="HY25" s="18" t="n"/>
      <c r="HZ25" s="18" t="n"/>
      <c r="IA25" s="18" t="n"/>
      <c r="IB25" s="18" t="n"/>
      <c r="IC25" s="18" t="n"/>
      <c r="ID25" s="18" t="n"/>
      <c r="IE25" s="18" t="n"/>
      <c r="IF25" s="18" t="n"/>
      <c r="IG25" s="18" t="n"/>
      <c r="IH25" s="18" t="n"/>
      <c r="II25" s="18" t="n"/>
      <c r="IJ25" s="18" t="n"/>
      <c r="IK25" s="18" t="n"/>
      <c r="IL25" s="18" t="n"/>
      <c r="IM25" s="18" t="n"/>
      <c r="IN25" s="18" t="n"/>
      <c r="IO25" s="18" t="n"/>
      <c r="IP25" s="18" t="n"/>
      <c r="IQ25" s="18" t="n"/>
      <c r="IR25" s="18" t="n"/>
      <c r="IS25" s="18" t="n"/>
      <c r="IT25" s="18" t="n"/>
      <c r="IU25" s="18" t="n"/>
      <c r="IV25" s="18" t="n"/>
      <c r="IW25" s="18" t="n"/>
      <c r="IX25" s="18" t="n"/>
      <c r="IY25" s="18" t="n"/>
      <c r="IZ25" s="18" t="n"/>
      <c r="JA25" s="18" t="n"/>
      <c r="JB25" s="18" t="n"/>
      <c r="JC25" s="18" t="n"/>
      <c r="JD25" s="18" t="n"/>
    </row>
    <row r="26" ht="52.05" customHeight="1" s="88">
      <c r="A26" s="19" t="inlineStr">
        <is>
          <t>9000</t>
        </is>
      </c>
      <c r="B26" s="19" t="inlineStr">
        <is>
          <t>9000-1</t>
        </is>
      </c>
      <c r="C26" s="19" t="inlineStr">
        <is>
          <t>지반조사</t>
        </is>
      </c>
      <c r="D26" s="94" t="inlineStr">
        <is>
          <t>9000-1-25</t>
        </is>
      </c>
      <c r="E26" s="95" t="inlineStr">
        <is>
          <t>9000-1-18, 9000-1-21</t>
        </is>
      </c>
      <c r="F26" s="96" t="inlineStr">
        <is>
          <t>9000-1-26, 9000-1-27</t>
        </is>
      </c>
      <c r="G26" s="23" t="inlineStr">
        <is>
          <t>추가지반조사 수행</t>
        </is>
      </c>
      <c r="H26" s="97" t="inlineStr">
        <is>
          <t>D+10~30</t>
        </is>
      </c>
      <c r="I26" s="21" t="inlineStr">
        <is>
          <t>지반조사업체 (협업: 현장 공사팀/공무팀, 포스코스마트엔지니어링팀, 토목수행팀)</t>
        </is>
      </c>
      <c r="J26" s="24" t="inlineStr">
        <is>
          <t>미시추구간 지반조사 수행을 통한 지반 Risk Hedge</t>
        </is>
      </c>
      <c r="K26" s="24" t="inlineStr">
        <is>
          <t>• 추가 지반조사 계획 및 시점 확인
- 탄성파탐사/전기비저항탐사 등 물리탐사 추가조사 (현장 및 위치 확인)
- 추가시추조사 수행(물리탐사, 시추조사)
- 토질 및 암석 실내시험 수행 및 결과분석 확인
- 공종별 핵심시설(교량, 접속도로, 토공, #200m 통과점, 터널 발파/심벽진입) 확인</t>
        </is>
      </c>
      <c r="L26" s="24" t="inlineStr">
        <is>
          <t>추가 지반조사 보고서</t>
        </is>
      </c>
      <c r="M26" s="24" t="inlineStr">
        <is>
          <t>미시추구간 지반조사 수행을 통한 지반 Risk Hedge | 추가 지반조사 보고서</t>
        </is>
      </c>
      <c r="N26" s="65">
        <f>HYPERLINK(LEFT(CELL("filename",A1),FIND("[",CELL("filename",A1))-1)&amp;"1.지반조사/25_추가지반조사 수행/표준서/추가지반조사 수행_표준서.html", "표준서 열기")</f>
        <v/>
      </c>
      <c r="O26" s="24" t="inlineStr">
        <is>
          <t>• 추가 지반조사 계획 및 시점 확인 - 탄성파탐사/전기비저항탐사 등 물리탐사 추가조사 (현장 및 위치 확인) - 추가시추조사 수행(물리탐사, 시추조사) - 토질 및 암석 실내시험 수행 및 결과분석 확인 - 공종별 ...</t>
        </is>
      </c>
      <c r="P26" s="66">
        <f>HYPERLINK(LEFT(CELL("filename",A1),FIND("[",CELL("filename",A1))-1)&amp;"1.지반조사/25_추가지반조사 수행/수행지침/추가지반조사 수행_수행지침.html", "수행지침서 열기")</f>
        <v/>
      </c>
      <c r="Q26" s="24" t="inlineStr">
        <is>
          <t>1) 추가지반조사 수행 적정성을 확인하였는가? 2) 추가 지반조사 보고서 산출물을 확보하였는가?</t>
        </is>
      </c>
      <c r="R26" s="67">
        <f>HYPERLINK(LEFT(CELL("filename",A1),FIND("[",CELL("filename",A1))-1)&amp;"1.지반조사/25_추가지반조사 수행/체크리스트/추가지반조사 수행_체크리스트.html", "체크리스트 열기")</f>
        <v/>
      </c>
      <c r="S26" s="21" t="n"/>
      <c r="T26" s="2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8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8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8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18" t="n"/>
      <c r="GI26" s="18" t="n"/>
      <c r="GJ26" s="18" t="n"/>
      <c r="GK26" s="18" t="n"/>
      <c r="GL26" s="18" t="n"/>
      <c r="GM26" s="18" t="n"/>
      <c r="GN26" s="18" t="n"/>
      <c r="GO26" s="18" t="n"/>
      <c r="GP26" s="18" t="n"/>
      <c r="GQ26" s="18" t="n"/>
      <c r="GR26" s="18" t="n"/>
      <c r="GS26" s="18" t="n"/>
      <c r="GT26" s="18" t="n"/>
      <c r="GU26" s="18" t="n"/>
      <c r="GV26" s="18" t="n"/>
      <c r="GW26" s="18" t="n"/>
      <c r="GX26" s="18" t="n"/>
      <c r="GY26" s="18" t="n"/>
      <c r="GZ26" s="18" t="n"/>
      <c r="HA26" s="18" t="n"/>
      <c r="HB26" s="18" t="n"/>
      <c r="HC26" s="18" t="n"/>
      <c r="HD26" s="18" t="n"/>
      <c r="HE26" s="18" t="n"/>
      <c r="HF26" s="18" t="n"/>
      <c r="HG26" s="18" t="n"/>
      <c r="HH26" s="18" t="n"/>
      <c r="HI26" s="18" t="n"/>
      <c r="HJ26" s="18" t="n"/>
      <c r="HK26" s="18" t="n"/>
      <c r="HL26" s="18" t="n"/>
      <c r="HM26" s="18" t="n"/>
      <c r="HN26" s="18" t="n"/>
      <c r="HO26" s="18" t="n"/>
      <c r="HP26" s="18" t="n"/>
      <c r="HQ26" s="18" t="n"/>
      <c r="HR26" s="18" t="n"/>
      <c r="HS26" s="18" t="n"/>
      <c r="HT26" s="18" t="n"/>
      <c r="HU26" s="18" t="n"/>
      <c r="HV26" s="18" t="n"/>
      <c r="HW26" s="18" t="n"/>
      <c r="HX26" s="18" t="n"/>
      <c r="HY26" s="18" t="n"/>
      <c r="HZ26" s="18" t="n"/>
      <c r="IA26" s="18" t="n"/>
      <c r="IB26" s="18" t="n"/>
      <c r="IC26" s="18" t="n"/>
      <c r="ID26" s="18" t="n"/>
      <c r="IE26" s="18" t="n"/>
      <c r="IF26" s="18" t="n"/>
      <c r="IG26" s="18" t="n"/>
      <c r="IH26" s="18" t="n"/>
      <c r="II26" s="18" t="n"/>
      <c r="IJ26" s="18" t="n"/>
      <c r="IK26" s="18" t="n"/>
      <c r="IL26" s="18" t="n"/>
      <c r="IM26" s="18" t="n"/>
      <c r="IN26" s="18" t="n"/>
      <c r="IO26" s="18" t="n"/>
      <c r="IP26" s="18" t="n"/>
      <c r="IQ26" s="18" t="n"/>
      <c r="IR26" s="18" t="n"/>
      <c r="IS26" s="18" t="n"/>
      <c r="IT26" s="18" t="n"/>
      <c r="IU26" s="18" t="n"/>
      <c r="IV26" s="18" t="n"/>
      <c r="IW26" s="18" t="n"/>
      <c r="IX26" s="18" t="n"/>
      <c r="IY26" s="18" t="n"/>
      <c r="IZ26" s="18" t="n"/>
      <c r="JA26" s="18" t="n"/>
      <c r="JB26" s="18" t="n"/>
      <c r="JC26" s="18" t="n"/>
      <c r="JD26" s="18" t="n"/>
      <c r="JE26" s="18" t="n"/>
      <c r="JF26" s="18" t="n"/>
      <c r="JG26" s="18" t="n"/>
      <c r="JH26" s="18" t="n"/>
    </row>
    <row r="27" ht="52.05" customHeight="1" s="88">
      <c r="A27" s="29" t="inlineStr">
        <is>
          <t>9000</t>
        </is>
      </c>
      <c r="B27" s="29" t="inlineStr">
        <is>
          <t>9000-1</t>
        </is>
      </c>
      <c r="C27" s="29" t="inlineStr">
        <is>
          <t>지반조사</t>
        </is>
      </c>
      <c r="D27" s="98" t="inlineStr">
        <is>
          <t>9000-1-26</t>
        </is>
      </c>
      <c r="E27" s="102" t="inlineStr">
        <is>
          <t>9000-1-25</t>
        </is>
      </c>
      <c r="F27" s="99" t="inlineStr">
        <is>
          <t>9000-1-27</t>
        </is>
      </c>
      <c r="G27" s="32" t="inlineStr">
        <is>
          <t>추가지반조사 결과 분석</t>
        </is>
      </c>
      <c r="H27" s="100" t="inlineStr">
        <is>
          <t>D+10~30</t>
        </is>
      </c>
      <c r="I27" s="33" t="inlineStr">
        <is>
          <t>외부지질전문가 3인 이상 (협업: 현장 공사팀/공무팀, 포스코스마트엔지니어링팀, 토목수행팀)</t>
        </is>
      </c>
      <c r="J27" s="34" t="inlineStr">
        <is>
          <t>추가지반조사 결과에 기반한 최종 R/O 확정</t>
        </is>
      </c>
      <c r="K27" s="34" t="inlineStr">
        <is>
          <t>• 외부전문가 검토 통한 지반특성 최종 Cross-check 확인
• 입찰설계 지반조사 대비 지반특성 변경구간 제원도 확인</t>
        </is>
      </c>
      <c r="L27" s="34" t="inlineStr">
        <is>
          <t>추가 지반조사결과 종합보고서</t>
        </is>
      </c>
      <c r="M27" s="34" t="inlineStr">
        <is>
          <t>추가지반조사 결과에 기반한 최종 R/O 확정 | 추가 지반조사결과 종합보고서</t>
        </is>
      </c>
      <c r="N27" s="65">
        <f>HYPERLINK(LEFT(CELL("filename",A1),FIND("[",CELL("filename",A1))-1)&amp;"1.지반조사/26_추가지반조사 결과 분석/표준서/추가지반조사 결과 분석_표준서.html", "표준서 열기")</f>
        <v/>
      </c>
      <c r="O27" s="34" t="inlineStr">
        <is>
          <t>• 외부전문가 검토 통한 지반특성 최종 Cross-check 확인 • 입찰설계 지반조사 대비 지반특성 변경구간 제원도 확인</t>
        </is>
      </c>
      <c r="P27" s="66">
        <f>HYPERLINK(LEFT(CELL("filename",A1),FIND("[",CELL("filename",A1))-1)&amp;"1.지반조사/26_추가지반조사 결과 분석/수행지침/추가지반조사 결과 분석_수행지침.html", "수행지침서 열기")</f>
        <v/>
      </c>
      <c r="Q27" s="34" t="inlineStr">
        <is>
          <t>1) 추가지반조사 결과 분석 적정성을 확인하였는가? 2) 추가 지반조사결과 종합보고서 산출물을 확보하였는가?</t>
        </is>
      </c>
      <c r="R27" s="67">
        <f>HYPERLINK(LEFT(CELL("filename",A1),FIND("[",CELL("filename",A1))-1)&amp;"1.지반조사/26_추가지반조사 결과 분석/체크리스트/추가지반조사 결과 분석_체크리스트.html", "체크리스트 열기")</f>
        <v/>
      </c>
      <c r="S27" s="33" t="n"/>
      <c r="T27" s="2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Y27" s="18" t="n"/>
      <c r="DZ27" s="18" t="n"/>
      <c r="EA27" s="18" t="n"/>
      <c r="EB27" s="18" t="n"/>
      <c r="EC27" s="18" t="n"/>
      <c r="ED27" s="18" t="n"/>
      <c r="EE27" s="18" t="n"/>
      <c r="EF27" s="18" t="n"/>
      <c r="EG27" s="18" t="n"/>
      <c r="EH27" s="18" t="n"/>
      <c r="EI27" s="18" t="n"/>
      <c r="EJ27" s="18" t="n"/>
      <c r="EK27" s="18" t="n"/>
      <c r="EL27" s="18" t="n"/>
      <c r="EM27" s="18" t="n"/>
      <c r="EN27" s="18" t="n"/>
      <c r="EO27" s="18" t="n"/>
      <c r="EP27" s="18" t="n"/>
      <c r="EQ27" s="18" t="n"/>
      <c r="ER27" s="18" t="n"/>
      <c r="ES27" s="18" t="n"/>
      <c r="ET27" s="18" t="n"/>
      <c r="EU27" s="18" t="n"/>
      <c r="EV27" s="18" t="n"/>
      <c r="EW27" s="18" t="n"/>
      <c r="EX27" s="18" t="n"/>
      <c r="EY27" s="18" t="n"/>
      <c r="EZ27" s="18" t="n"/>
      <c r="FA27" s="18" t="n"/>
      <c r="FB27" s="18" t="n"/>
      <c r="FC27" s="18" t="n"/>
      <c r="FD27" s="18" t="n"/>
      <c r="FE27" s="18" t="n"/>
      <c r="FF27" s="18" t="n"/>
      <c r="FG27" s="18" t="n"/>
      <c r="FH27" s="18" t="n"/>
      <c r="FI27" s="18" t="n"/>
      <c r="FJ27" s="18" t="n"/>
      <c r="FK27" s="18" t="n"/>
      <c r="FL27" s="18" t="n"/>
      <c r="FM27" s="18" t="n"/>
      <c r="FN27" s="18" t="n"/>
      <c r="FO27" s="18" t="n"/>
      <c r="FP27" s="18" t="n"/>
      <c r="FQ27" s="18" t="n"/>
      <c r="FR27" s="18" t="n"/>
      <c r="FS27" s="18" t="n"/>
      <c r="FT27" s="18" t="n"/>
      <c r="FU27" s="18" t="n"/>
      <c r="FV27" s="18" t="n"/>
      <c r="FW27" s="18" t="n"/>
      <c r="FX27" s="18" t="n"/>
      <c r="FY27" s="18" t="n"/>
      <c r="FZ27" s="18" t="n"/>
      <c r="GA27" s="18" t="n"/>
      <c r="GB27" s="18" t="n"/>
      <c r="GC27" s="18" t="n"/>
      <c r="GD27" s="18" t="n"/>
      <c r="GE27" s="18" t="n"/>
      <c r="GF27" s="18" t="n"/>
      <c r="GG27" s="18" t="n"/>
      <c r="GH27" s="18" t="n"/>
      <c r="GI27" s="18" t="n"/>
      <c r="GJ27" s="18" t="n"/>
      <c r="GK27" s="18" t="n"/>
      <c r="GL27" s="18" t="n"/>
      <c r="GM27" s="18" t="n"/>
      <c r="GN27" s="18" t="n"/>
      <c r="GO27" s="18" t="n"/>
      <c r="GP27" s="18" t="n"/>
      <c r="GQ27" s="18" t="n"/>
      <c r="GR27" s="18" t="n"/>
      <c r="GS27" s="18" t="n"/>
      <c r="GT27" s="18" t="n"/>
      <c r="GU27" s="18" t="n"/>
      <c r="GV27" s="18" t="n"/>
      <c r="GW27" s="18" t="n"/>
      <c r="GX27" s="18" t="n"/>
      <c r="GY27" s="18" t="n"/>
      <c r="GZ27" s="18" t="n"/>
      <c r="HA27" s="18" t="n"/>
      <c r="HB27" s="18" t="n"/>
      <c r="HC27" s="18" t="n"/>
      <c r="HD27" s="18" t="n"/>
      <c r="HE27" s="18" t="n"/>
      <c r="HF27" s="18" t="n"/>
      <c r="HG27" s="18" t="n"/>
      <c r="HH27" s="18" t="n"/>
      <c r="HI27" s="18" t="n"/>
      <c r="HJ27" s="18" t="n"/>
      <c r="HK27" s="18" t="n"/>
      <c r="HL27" s="18" t="n"/>
      <c r="HM27" s="18" t="n"/>
      <c r="HN27" s="18" t="n"/>
      <c r="HO27" s="18" t="n"/>
      <c r="HP27" s="18" t="n"/>
      <c r="HQ27" s="18" t="n"/>
      <c r="HR27" s="18" t="n"/>
      <c r="HS27" s="18" t="n"/>
      <c r="HT27" s="18" t="n"/>
      <c r="HU27" s="18" t="n"/>
      <c r="HV27" s="18" t="n"/>
      <c r="HW27" s="18" t="n"/>
      <c r="HX27" s="18" t="n"/>
      <c r="HY27" s="18" t="n"/>
      <c r="HZ27" s="18" t="n"/>
      <c r="IA27" s="18" t="n"/>
      <c r="IB27" s="18" t="n"/>
      <c r="IC27" s="18" t="n"/>
      <c r="ID27" s="18" t="n"/>
      <c r="IE27" s="18" t="n"/>
      <c r="IF27" s="18" t="n"/>
      <c r="IG27" s="18" t="n"/>
      <c r="IH27" s="18" t="n"/>
      <c r="II27" s="18" t="n"/>
      <c r="IJ27" s="18" t="n"/>
      <c r="IK27" s="18" t="n"/>
      <c r="IL27" s="18" t="n"/>
      <c r="IM27" s="18" t="n"/>
      <c r="IN27" s="18" t="n"/>
      <c r="IO27" s="18" t="n"/>
      <c r="IP27" s="18" t="n"/>
      <c r="IQ27" s="18" t="n"/>
      <c r="IR27" s="18" t="n"/>
      <c r="IS27" s="18" t="n"/>
      <c r="IT27" s="18" t="n"/>
      <c r="IU27" s="18" t="n"/>
      <c r="IV27" s="18" t="n"/>
      <c r="IW27" s="18" t="n"/>
      <c r="IX27" s="18" t="n"/>
      <c r="IY27" s="18" t="n"/>
      <c r="IZ27" s="18" t="n"/>
      <c r="JA27" s="18" t="n"/>
      <c r="JB27" s="18" t="n"/>
      <c r="JC27" s="18" t="n"/>
      <c r="JD27" s="18" t="n"/>
      <c r="JE27" s="18" t="n"/>
      <c r="JF27" s="18" t="n"/>
      <c r="JG27" s="18" t="n"/>
      <c r="JH27" s="18" t="n"/>
      <c r="JI27" s="18" t="n"/>
      <c r="JJ27" s="18" t="n"/>
      <c r="JK27" s="18" t="n"/>
      <c r="JL27" s="18" t="n"/>
    </row>
    <row r="28" ht="52.05" customHeight="1" s="88">
      <c r="A28" s="19" t="inlineStr">
        <is>
          <t>9000</t>
        </is>
      </c>
      <c r="B28" s="19" t="inlineStr">
        <is>
          <t>9000-1</t>
        </is>
      </c>
      <c r="C28" s="19" t="inlineStr">
        <is>
          <t>지반조사</t>
        </is>
      </c>
      <c r="D28" s="94" t="inlineStr">
        <is>
          <t>9000-1-27</t>
        </is>
      </c>
      <c r="E28" s="95" t="inlineStr">
        <is>
          <t>9000-1-18, 9000-1-19, 9000-1-22, 9000-1-23, 9000-1-24, 9000-1-25, 9000-1-26</t>
        </is>
      </c>
      <c r="F28" s="96" t="inlineStr">
        <is>
          <t>9000-1-28, 9000-1-29, 9000-1-30</t>
        </is>
      </c>
      <c r="G28" s="23" t="inlineStr">
        <is>
          <t>실시설계 지반조사 R/O 검토 (설계, 원가, 공정, 기타)</t>
        </is>
      </c>
      <c r="H28" s="97" t="inlineStr">
        <is>
          <t>D+10~30</t>
        </is>
      </c>
      <c r="I28" s="21" t="inlineStr">
        <is>
          <t>포스코스마트엔지니어링팀 (협업: 현장 공사팀/품질팀/공무팀, 토목견적팀(원가), 토목수행팀(공정), 토목사업지원팀(기획))</t>
        </is>
      </c>
      <c r="J28" s="24" t="inlineStr">
        <is>
          <t>실시설계 지반조사 결과에 따른 직분야 R/O 및 Cost impact 반영 사항 검토</t>
        </is>
      </c>
      <c r="K28" s="24" t="inlineStr">
        <is>
          <t>• 실시설계 추가지반조사 결과 분석을 통한 원가 및 공정 영향 검토
• 미시추 구간 평가 및 공정 Risk 반영 사항 검토
• 지반조건을 고려한 발파공법성 검토</t>
        </is>
      </c>
      <c r="L28" s="24" t="inlineStr">
        <is>
          <t>실시설계 지반조사 검토서(설계, 원가, 공정, 기타)</t>
        </is>
      </c>
      <c r="M28" s="24" t="inlineStr">
        <is>
          <t>실시설계 지반조사 결과에 따른 직분야 R/O 및 Cost impact 반영 사항 검토 | 실시설계 지반조사 검토서(설계, 원가, 공정, 기타)</t>
        </is>
      </c>
      <c r="N28" s="65">
        <f>HYPERLINK(LEFT(CELL("filename",A1),FIND("[",CELL("filename",A1))-1)&amp;"1.지반조사/27_실시설계 지반조사 R_O 검토 (설계, 원가, 공정, 기타)/표준서/실시설계 지반조사 R_O 검토 (설계, 원가, 공정, 기타)_표준서.html", "표준서 열기")</f>
        <v/>
      </c>
      <c r="O28" s="24" t="inlineStr">
        <is>
          <t>• 실시설계 추가지반조사 결과 분석을 통한 원가 및 공정 영향 검토 • 미시추 구간 평가 및 공정 Risk 반영 사항 검토 • 지반조건을 고려한 발파공법성 검토</t>
        </is>
      </c>
      <c r="P28" s="66">
        <f>HYPERLINK(LEFT(CELL("filename",A1),FIND("[",CELL("filename",A1))-1)&amp;"1.지반조사/27_실시설계 지반조사 R_O 검토 (설계, 원가, 공정, 기타)/수행지침/실시설계 지반조사 R_O 검토 (설계, 원가, 공정, 기타)_수행지침.html", "수행지침서 열기")</f>
        <v/>
      </c>
      <c r="Q28" s="24" t="inlineStr">
        <is>
          <t>1) 실시설계 지반조사 R/O 검토 (설계, 원가, 공정, 기타) 적정성을 확인하였는가? 2) 실시설계 지반조사 검토서(설계, 원가, 공정, 기타) 산출물을 확보하였는가?</t>
        </is>
      </c>
      <c r="R28" s="67">
        <f>HYPERLINK(LEFT(CELL("filename",A1),FIND("[",CELL("filename",A1))-1)&amp;"1.지반조사/27_실시설계 지반조사 R_O 검토 (설계, 원가, 공정, 기타)/체크리스트/실시설계 지반조사 R_O 검토 (설계, 원가, 공정, 기타)_체크리스트.html", "체크리스트 열기")</f>
        <v/>
      </c>
      <c r="S28" s="21" t="n"/>
      <c r="T28" s="2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Y28" s="18" t="n"/>
      <c r="DZ28" s="18" t="n"/>
      <c r="EA28" s="18" t="n"/>
      <c r="EB28" s="18" t="n"/>
      <c r="EC28" s="18" t="n"/>
      <c r="ED28" s="18" t="n"/>
      <c r="EE28" s="18" t="n"/>
      <c r="EF28" s="18" t="n"/>
      <c r="EG28" s="18" t="n"/>
      <c r="EH28" s="18" t="n"/>
      <c r="EI28" s="18" t="n"/>
      <c r="EJ28" s="18" t="n"/>
      <c r="EK28" s="18" t="n"/>
      <c r="EL28" s="18" t="n"/>
      <c r="EM28" s="18" t="n"/>
      <c r="EN28" s="18" t="n"/>
      <c r="EO28" s="18" t="n"/>
      <c r="EP28" s="18" t="n"/>
      <c r="EQ28" s="18" t="n"/>
      <c r="ER28" s="18" t="n"/>
      <c r="ES28" s="18" t="n"/>
      <c r="ET28" s="18" t="n"/>
      <c r="EU28" s="18" t="n"/>
      <c r="EV28" s="18" t="n"/>
      <c r="EW28" s="18" t="n"/>
      <c r="EX28" s="18" t="n"/>
      <c r="EY28" s="18" t="n"/>
      <c r="EZ28" s="18" t="n"/>
      <c r="FA28" s="18" t="n"/>
      <c r="FB28" s="18" t="n"/>
      <c r="FC28" s="18" t="n"/>
      <c r="FD28" s="18" t="n"/>
      <c r="FE28" s="18" t="n"/>
      <c r="FF28" s="18" t="n"/>
      <c r="FG28" s="18" t="n"/>
      <c r="FH28" s="18" t="n"/>
      <c r="FI28" s="18" t="n"/>
      <c r="FJ28" s="18" t="n"/>
      <c r="FK28" s="18" t="n"/>
      <c r="FL28" s="18" t="n"/>
      <c r="FM28" s="18" t="n"/>
      <c r="FN28" s="18" t="n"/>
      <c r="FO28" s="18" t="n"/>
      <c r="FP28" s="18" t="n"/>
      <c r="FQ28" s="18" t="n"/>
      <c r="FR28" s="18" t="n"/>
      <c r="FS28" s="18" t="n"/>
      <c r="FT28" s="18" t="n"/>
      <c r="FU28" s="18" t="n"/>
      <c r="FV28" s="18" t="n"/>
      <c r="FW28" s="18" t="n"/>
      <c r="FX28" s="18" t="n"/>
      <c r="FY28" s="18" t="n"/>
      <c r="FZ28" s="18" t="n"/>
      <c r="GA28" s="18" t="n"/>
      <c r="GB28" s="18" t="n"/>
      <c r="GC28" s="18" t="n"/>
      <c r="GD28" s="18" t="n"/>
      <c r="GE28" s="18" t="n"/>
      <c r="GF28" s="18" t="n"/>
      <c r="GG28" s="18" t="n"/>
      <c r="GH28" s="18" t="n"/>
      <c r="GI28" s="18" t="n"/>
      <c r="GJ28" s="18" t="n"/>
      <c r="GK28" s="18" t="n"/>
      <c r="GL28" s="18" t="n"/>
      <c r="GM28" s="18" t="n"/>
      <c r="GN28" s="18" t="n"/>
      <c r="GO28" s="18" t="n"/>
      <c r="GP28" s="18" t="n"/>
      <c r="GQ28" s="18" t="n"/>
      <c r="GR28" s="18" t="n"/>
      <c r="GS28" s="18" t="n"/>
      <c r="GT28" s="18" t="n"/>
      <c r="GU28" s="18" t="n"/>
      <c r="GV28" s="18" t="n"/>
      <c r="GW28" s="18" t="n"/>
      <c r="GX28" s="18" t="n"/>
      <c r="GY28" s="18" t="n"/>
      <c r="GZ28" s="18" t="n"/>
      <c r="HA28" s="18" t="n"/>
      <c r="HB28" s="18" t="n"/>
      <c r="HC28" s="18" t="n"/>
      <c r="HD28" s="18" t="n"/>
      <c r="HE28" s="18" t="n"/>
      <c r="HF28" s="18" t="n"/>
      <c r="HG28" s="18" t="n"/>
      <c r="HH28" s="18" t="n"/>
      <c r="HI28" s="18" t="n"/>
      <c r="HJ28" s="18" t="n"/>
      <c r="HK28" s="18" t="n"/>
      <c r="HL28" s="18" t="n"/>
      <c r="HM28" s="18" t="n"/>
      <c r="HN28" s="18" t="n"/>
      <c r="HO28" s="18" t="n"/>
      <c r="HP28" s="18" t="n"/>
      <c r="HQ28" s="18" t="n"/>
      <c r="HR28" s="18" t="n"/>
      <c r="HS28" s="18" t="n"/>
      <c r="HT28" s="18" t="n"/>
      <c r="HU28" s="18" t="n"/>
      <c r="HV28" s="18" t="n"/>
      <c r="HW28" s="18" t="n"/>
      <c r="HX28" s="18" t="n"/>
      <c r="HY28" s="18" t="n"/>
      <c r="HZ28" s="18" t="n"/>
      <c r="IA28" s="18" t="n"/>
      <c r="IB28" s="18" t="n"/>
      <c r="IC28" s="18" t="n"/>
      <c r="ID28" s="18" t="n"/>
      <c r="IE28" s="18" t="n"/>
      <c r="IF28" s="18" t="n"/>
      <c r="IG28" s="18" t="n"/>
      <c r="IH28" s="18" t="n"/>
      <c r="II28" s="18" t="n"/>
      <c r="IJ28" s="18" t="n"/>
      <c r="IK28" s="18" t="n"/>
      <c r="IL28" s="18" t="n"/>
      <c r="IM28" s="18" t="n"/>
      <c r="IN28" s="18" t="n"/>
      <c r="IO28" s="18" t="n"/>
      <c r="IP28" s="18" t="n"/>
      <c r="IQ28" s="18" t="n"/>
      <c r="IR28" s="18" t="n"/>
      <c r="IS28" s="18" t="n"/>
      <c r="IT28" s="18" t="n"/>
      <c r="IU28" s="18" t="n"/>
      <c r="IV28" s="18" t="n"/>
      <c r="IW28" s="18" t="n"/>
      <c r="IX28" s="18" t="n"/>
      <c r="IY28" s="18" t="n"/>
      <c r="IZ28" s="18" t="n"/>
      <c r="JA28" s="18" t="n"/>
      <c r="JB28" s="18" t="n"/>
      <c r="JC28" s="18" t="n"/>
      <c r="JD28" s="18" t="n"/>
      <c r="JE28" s="18" t="n"/>
      <c r="JF28" s="18" t="n"/>
      <c r="JG28" s="18" t="n"/>
      <c r="JH28" s="18" t="n"/>
      <c r="JI28" s="18" t="n"/>
      <c r="JJ28" s="18" t="n"/>
      <c r="JK28" s="18" t="n"/>
      <c r="JL28" s="18" t="n"/>
      <c r="JM28" s="18" t="n"/>
      <c r="JN28" s="18" t="n"/>
      <c r="JO28" s="18" t="n"/>
      <c r="JP28" s="18" t="n"/>
    </row>
    <row r="29" ht="52.05" customHeight="1" s="88">
      <c r="A29" s="29" t="inlineStr">
        <is>
          <t>9000</t>
        </is>
      </c>
      <c r="B29" s="29" t="inlineStr">
        <is>
          <t>9000-1</t>
        </is>
      </c>
      <c r="C29" s="29" t="inlineStr">
        <is>
          <t>지반조사</t>
        </is>
      </c>
      <c r="D29" s="98" t="inlineStr">
        <is>
          <t>9000-1-28</t>
        </is>
      </c>
      <c r="E29" s="102" t="inlineStr">
        <is>
          <t>9000-1-20, 9000-1-21, 9000-1-24, 9000-1-27</t>
        </is>
      </c>
      <c r="F29" s="99" t="inlineStr">
        <is>
          <t>9000-1-31</t>
        </is>
      </c>
      <c r="G29" s="32" t="inlineStr">
        <is>
          <t>실시설계 추가지반조사 결과 검토</t>
        </is>
      </c>
      <c r="H29" s="100" t="inlineStr">
        <is>
          <t>D+10~30</t>
        </is>
      </c>
      <c r="I29" s="33" t="inlineStr">
        <is>
          <t>포스코스마트엔지니어링팀 (협업: 현장 공사팀/품질팀/공무팀, 토목견적팀(원가), 토목수행팀(공정), 토목사업지원팀(기획))</t>
        </is>
      </c>
      <c r="J29" s="34" t="inlineStr">
        <is>
          <t>추가지반조사 결과에 기반한 최종 R/O 확정</t>
        </is>
      </c>
      <c r="K29" s="34" t="inlineStr">
        <is>
          <t>• 추가지반조사 결과 검토</t>
        </is>
      </c>
      <c r="L29" s="34" t="inlineStr">
        <is>
          <t>실시설계 최종 R/O</t>
        </is>
      </c>
      <c r="M29" s="34" t="inlineStr">
        <is>
          <t>추가지반조사 결과에 기반한 최종 R/O 확정 | 실시설계 최종 R/O</t>
        </is>
      </c>
      <c r="N29" s="65">
        <f>HYPERLINK(LEFT(CELL("filename",A1),FIND("[",CELL("filename",A1))-1)&amp;"1.지반조사/28_실시설계 추가지반조사 결과 검토/표준서/실시설계 추가지반조사 결과 검토_표준서.html", "표준서 열기")</f>
        <v/>
      </c>
      <c r="O29" s="34" t="inlineStr">
        <is>
          <t>• 추가지반조사 결과 검토</t>
        </is>
      </c>
      <c r="P29" s="66">
        <f>HYPERLINK(LEFT(CELL("filename",A1),FIND("[",CELL("filename",A1))-1)&amp;"1.지반조사/28_실시설계 추가지반조사 결과 검토/수행지침/실시설계 추가지반조사 결과 검토_수행지침.html", "수행지침서 열기")</f>
        <v/>
      </c>
      <c r="Q29" s="34" t="inlineStr">
        <is>
          <t>1) 실시설계 추가지반조사 결과 검토 적정성을 확인하였는가? 2) 실시설계 최종 R/O 산출물을 확보하였는가?</t>
        </is>
      </c>
      <c r="R29" s="67">
        <f>HYPERLINK(LEFT(CELL("filename",A1),FIND("[",CELL("filename",A1))-1)&amp;"1.지반조사/28_실시설계 추가지반조사 결과 검토/체크리스트/실시설계 추가지반조사 결과 검토_체크리스트.html", "체크리스트 열기")</f>
        <v/>
      </c>
      <c r="S29" s="33" t="n"/>
      <c r="T29" s="2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Y29" s="18" t="n"/>
      <c r="DZ29" s="18" t="n"/>
      <c r="EA29" s="18" t="n"/>
      <c r="EB29" s="18" t="n"/>
      <c r="EC29" s="18" t="n"/>
      <c r="ED29" s="18" t="n"/>
      <c r="EE29" s="18" t="n"/>
      <c r="EF29" s="18" t="n"/>
      <c r="EG29" s="18" t="n"/>
      <c r="EH29" s="18" t="n"/>
      <c r="EI29" s="18" t="n"/>
      <c r="EJ29" s="18" t="n"/>
      <c r="EK29" s="18" t="n"/>
      <c r="EL29" s="18" t="n"/>
      <c r="EM29" s="18" t="n"/>
      <c r="EN29" s="18" t="n"/>
      <c r="EO29" s="18" t="n"/>
      <c r="EP29" s="18" t="n"/>
      <c r="EQ29" s="18" t="n"/>
      <c r="ER29" s="18" t="n"/>
      <c r="ES29" s="18" t="n"/>
      <c r="ET29" s="18" t="n"/>
      <c r="EU29" s="18" t="n"/>
      <c r="EV29" s="18" t="n"/>
      <c r="EW29" s="18" t="n"/>
      <c r="EX29" s="18" t="n"/>
      <c r="EY29" s="18" t="n"/>
      <c r="EZ29" s="18" t="n"/>
      <c r="FA29" s="18" t="n"/>
      <c r="FB29" s="18" t="n"/>
      <c r="FC29" s="18" t="n"/>
      <c r="FD29" s="18" t="n"/>
      <c r="FE29" s="18" t="n"/>
      <c r="FF29" s="18" t="n"/>
      <c r="FG29" s="18" t="n"/>
      <c r="FH29" s="18" t="n"/>
      <c r="FI29" s="18" t="n"/>
      <c r="FJ29" s="18" t="n"/>
      <c r="FK29" s="18" t="n"/>
      <c r="FL29" s="18" t="n"/>
      <c r="FM29" s="18" t="n"/>
      <c r="FN29" s="18" t="n"/>
      <c r="FO29" s="18" t="n"/>
      <c r="FP29" s="18" t="n"/>
      <c r="FQ29" s="18" t="n"/>
      <c r="FR29" s="18" t="n"/>
      <c r="FS29" s="18" t="n"/>
      <c r="FT29" s="18" t="n"/>
      <c r="FU29" s="18" t="n"/>
      <c r="FV29" s="18" t="n"/>
      <c r="FW29" s="18" t="n"/>
      <c r="FX29" s="18" t="n"/>
      <c r="FY29" s="18" t="n"/>
      <c r="FZ29" s="18" t="n"/>
      <c r="GA29" s="18" t="n"/>
      <c r="GB29" s="18" t="n"/>
      <c r="GC29" s="18" t="n"/>
      <c r="GD29" s="18" t="n"/>
      <c r="GE29" s="18" t="n"/>
      <c r="GF29" s="18" t="n"/>
      <c r="GG29" s="18" t="n"/>
      <c r="GH29" s="18" t="n"/>
      <c r="GI29" s="18" t="n"/>
      <c r="GJ29" s="18" t="n"/>
      <c r="GK29" s="18" t="n"/>
      <c r="GL29" s="18" t="n"/>
      <c r="GM29" s="18" t="n"/>
      <c r="GN29" s="18" t="n"/>
      <c r="GO29" s="18" t="n"/>
      <c r="GP29" s="18" t="n"/>
      <c r="GQ29" s="18" t="n"/>
      <c r="GR29" s="18" t="n"/>
      <c r="GS29" s="18" t="n"/>
      <c r="GT29" s="18" t="n"/>
      <c r="GU29" s="18" t="n"/>
      <c r="GV29" s="18" t="n"/>
      <c r="GW29" s="18" t="n"/>
      <c r="GX29" s="18" t="n"/>
      <c r="GY29" s="18" t="n"/>
      <c r="GZ29" s="18" t="n"/>
      <c r="HA29" s="18" t="n"/>
      <c r="HB29" s="18" t="n"/>
      <c r="HC29" s="18" t="n"/>
      <c r="HD29" s="18" t="n"/>
      <c r="HE29" s="18" t="n"/>
      <c r="HF29" s="18" t="n"/>
      <c r="HG29" s="18" t="n"/>
      <c r="HH29" s="18" t="n"/>
      <c r="HI29" s="18" t="n"/>
      <c r="HJ29" s="18" t="n"/>
      <c r="HK29" s="18" t="n"/>
      <c r="HL29" s="18" t="n"/>
      <c r="HM29" s="18" t="n"/>
      <c r="HN29" s="18" t="n"/>
      <c r="HO29" s="18" t="n"/>
      <c r="HP29" s="18" t="n"/>
      <c r="HQ29" s="18" t="n"/>
      <c r="HR29" s="18" t="n"/>
      <c r="HS29" s="18" t="n"/>
      <c r="HT29" s="18" t="n"/>
      <c r="HU29" s="18" t="n"/>
      <c r="HV29" s="18" t="n"/>
      <c r="HW29" s="18" t="n"/>
      <c r="HX29" s="18" t="n"/>
      <c r="HY29" s="18" t="n"/>
      <c r="HZ29" s="18" t="n"/>
      <c r="IA29" s="18" t="n"/>
      <c r="IB29" s="18" t="n"/>
      <c r="IC29" s="18" t="n"/>
      <c r="ID29" s="18" t="n"/>
      <c r="IE29" s="18" t="n"/>
      <c r="IF29" s="18" t="n"/>
      <c r="IG29" s="18" t="n"/>
      <c r="IH29" s="18" t="n"/>
      <c r="II29" s="18" t="n"/>
      <c r="IJ29" s="18" t="n"/>
      <c r="IK29" s="18" t="n"/>
      <c r="IL29" s="18" t="n"/>
      <c r="IM29" s="18" t="n"/>
      <c r="IN29" s="18" t="n"/>
      <c r="IO29" s="18" t="n"/>
      <c r="IP29" s="18" t="n"/>
      <c r="IQ29" s="18" t="n"/>
      <c r="IR29" s="18" t="n"/>
      <c r="IS29" s="18" t="n"/>
      <c r="IT29" s="18" t="n"/>
      <c r="IU29" s="18" t="n"/>
      <c r="IV29" s="18" t="n"/>
      <c r="IW29" s="18" t="n"/>
      <c r="IX29" s="18" t="n"/>
      <c r="IY29" s="18" t="n"/>
      <c r="IZ29" s="18" t="n"/>
      <c r="JA29" s="18" t="n"/>
      <c r="JB29" s="18" t="n"/>
      <c r="JC29" s="18" t="n"/>
      <c r="JD29" s="18" t="n"/>
      <c r="JE29" s="18" t="n"/>
      <c r="JF29" s="18" t="n"/>
      <c r="JG29" s="18" t="n"/>
      <c r="JH29" s="18" t="n"/>
      <c r="JI29" s="18" t="n"/>
      <c r="JJ29" s="18" t="n"/>
      <c r="JK29" s="18" t="n"/>
      <c r="JL29" s="18" t="n"/>
      <c r="JM29" s="18" t="n"/>
      <c r="JN29" s="18" t="n"/>
      <c r="JO29" s="18" t="n"/>
      <c r="JP29" s="18" t="n"/>
      <c r="JQ29" s="18" t="n"/>
      <c r="JR29" s="18" t="n"/>
      <c r="JS29" s="18" t="n"/>
      <c r="JT29" s="18" t="n"/>
    </row>
    <row r="30" ht="52.05" customHeight="1" s="88">
      <c r="A30" s="19" t="inlineStr">
        <is>
          <t>9000</t>
        </is>
      </c>
      <c r="B30" s="19" t="inlineStr">
        <is>
          <t>9000-1</t>
        </is>
      </c>
      <c r="C30" s="19" t="inlineStr">
        <is>
          <t>지반조사</t>
        </is>
      </c>
      <c r="D30" s="94" t="inlineStr">
        <is>
          <t>9000-1-29</t>
        </is>
      </c>
      <c r="E30" s="95" t="inlineStr">
        <is>
          <t>9000-1-27</t>
        </is>
      </c>
      <c r="F30" s="96" t="inlineStr">
        <is>
          <t>9000-1-31</t>
        </is>
      </c>
      <c r="G30" s="23" t="inlineStr">
        <is>
          <t>최종 R/O 이행방안 수립</t>
        </is>
      </c>
      <c r="H30" s="97" t="inlineStr">
        <is>
          <t>D+75일 이후</t>
        </is>
      </c>
      <c r="I30" s="21" t="inlineStr">
        <is>
          <t>현장소장 (협업: 토목수행팀)</t>
        </is>
      </c>
      <c r="J30" s="24" t="inlineStr">
        <is>
          <t>최종 지반조사 결과에 따른 R/O 이행방안 수립</t>
        </is>
      </c>
      <c r="K30" s="24" t="inlineStr">
        <is>
          <t>• Core Risk 및 Hedge 방안 수립
• Opportunity에 따른 본공 상가 추가 개선 방안 수립</t>
        </is>
      </c>
      <c r="L30" s="24" t="inlineStr">
        <is>
          <t>최종 R/O 이행계획서</t>
        </is>
      </c>
      <c r="M30" s="24" t="inlineStr">
        <is>
          <t>최종 지반조사 결과에 따른 R/O 이행방안 수립 | 최종 R/O 이행계획서</t>
        </is>
      </c>
      <c r="N30" s="65">
        <f>HYPERLINK(LEFT(CELL("filename",A1),FIND("[",CELL("filename",A1))-1)&amp;"1.지반조사/29_최종 R_O 이행방안 수립/표준서/최종 R_O 이행방안 수립_표준서.html", "표준서 열기")</f>
        <v/>
      </c>
      <c r="O30" s="24" t="inlineStr">
        <is>
          <t>• Core Risk 및 Hedge 방안 수립 • Opportunity에 따른 본공 상가 추가 개선 방안 수립</t>
        </is>
      </c>
      <c r="P30" s="66">
        <f>HYPERLINK(LEFT(CELL("filename",A1),FIND("[",CELL("filename",A1))-1)&amp;"1.지반조사/29_최종 R_O 이행방안 수립/수행지침/최종 R_O 이행방안 수립_수행지침.html", "수행지침서 열기")</f>
        <v/>
      </c>
      <c r="Q30" s="24" t="inlineStr">
        <is>
          <t>1) 최종 R/O 이행방안 수립 적정성을 확인하였는가? 2) 최종 R/O 이행계획서 산출물을 확보하였는가?</t>
        </is>
      </c>
      <c r="R30" s="67">
        <f>HYPERLINK(LEFT(CELL("filename",A1),FIND("[",CELL("filename",A1))-1)&amp;"1.지반조사/29_최종 R_O 이행방안 수립/체크리스트/최종 R_O 이행방안 수립_체크리스트.html", "체크리스트 열기")</f>
        <v/>
      </c>
      <c r="S30" s="21" t="n"/>
      <c r="T30" s="2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Y30" s="18" t="n"/>
      <c r="DZ30" s="18" t="n"/>
      <c r="EA30" s="18" t="n"/>
      <c r="EB30" s="18" t="n"/>
      <c r="EC30" s="18" t="n"/>
      <c r="ED30" s="18" t="n"/>
      <c r="EE30" s="18" t="n"/>
      <c r="EF30" s="18" t="n"/>
      <c r="EG30" s="18" t="n"/>
      <c r="EH30" s="18" t="n"/>
      <c r="EI30" s="18" t="n"/>
      <c r="EJ30" s="18" t="n"/>
      <c r="EK30" s="18" t="n"/>
      <c r="EL30" s="18" t="n"/>
      <c r="EM30" s="18" t="n"/>
      <c r="EN30" s="18" t="n"/>
      <c r="EO30" s="18" t="n"/>
      <c r="EP30" s="18" t="n"/>
      <c r="EQ30" s="18" t="n"/>
      <c r="ER30" s="18" t="n"/>
      <c r="ES30" s="18" t="n"/>
      <c r="ET30" s="18" t="n"/>
      <c r="EU30" s="18" t="n"/>
      <c r="EV30" s="18" t="n"/>
      <c r="EW30" s="18" t="n"/>
      <c r="EX30" s="18" t="n"/>
      <c r="EY30" s="18" t="n"/>
      <c r="EZ30" s="18" t="n"/>
      <c r="FA30" s="18" t="n"/>
      <c r="FB30" s="18" t="n"/>
      <c r="FC30" s="18" t="n"/>
      <c r="FD30" s="18" t="n"/>
      <c r="FE30" s="18" t="n"/>
      <c r="FF30" s="18" t="n"/>
      <c r="FG30" s="18" t="n"/>
      <c r="FH30" s="18" t="n"/>
      <c r="FI30" s="18" t="n"/>
      <c r="FJ30" s="18" t="n"/>
      <c r="FK30" s="18" t="n"/>
      <c r="FL30" s="18" t="n"/>
      <c r="FM30" s="18" t="n"/>
      <c r="FN30" s="18" t="n"/>
      <c r="FO30" s="18" t="n"/>
      <c r="FP30" s="18" t="n"/>
      <c r="FQ30" s="18" t="n"/>
      <c r="FR30" s="18" t="n"/>
      <c r="FS30" s="18" t="n"/>
      <c r="FT30" s="18" t="n"/>
      <c r="FU30" s="18" t="n"/>
      <c r="FV30" s="18" t="n"/>
      <c r="FW30" s="18" t="n"/>
      <c r="FX30" s="18" t="n"/>
      <c r="FY30" s="18" t="n"/>
      <c r="FZ30" s="18" t="n"/>
      <c r="GA30" s="18" t="n"/>
      <c r="GB30" s="18" t="n"/>
      <c r="GC30" s="18" t="n"/>
      <c r="GD30" s="18" t="n"/>
      <c r="GE30" s="18" t="n"/>
      <c r="GF30" s="18" t="n"/>
      <c r="GG30" s="18" t="n"/>
      <c r="GH30" s="18" t="n"/>
      <c r="GI30" s="18" t="n"/>
      <c r="GJ30" s="18" t="n"/>
      <c r="GK30" s="18" t="n"/>
      <c r="GL30" s="18" t="n"/>
      <c r="GM30" s="18" t="n"/>
      <c r="GN30" s="18" t="n"/>
      <c r="GO30" s="18" t="n"/>
      <c r="GP30" s="18" t="n"/>
      <c r="GQ30" s="18" t="n"/>
      <c r="GR30" s="18" t="n"/>
      <c r="GS30" s="18" t="n"/>
      <c r="GT30" s="18" t="n"/>
      <c r="GU30" s="18" t="n"/>
      <c r="GV30" s="18" t="n"/>
      <c r="GW30" s="18" t="n"/>
      <c r="GX30" s="18" t="n"/>
      <c r="GY30" s="18" t="n"/>
      <c r="GZ30" s="18" t="n"/>
      <c r="HA30" s="18" t="n"/>
      <c r="HB30" s="18" t="n"/>
      <c r="HC30" s="18" t="n"/>
      <c r="HD30" s="18" t="n"/>
      <c r="HE30" s="18" t="n"/>
      <c r="HF30" s="18" t="n"/>
      <c r="HG30" s="18" t="n"/>
      <c r="HH30" s="18" t="n"/>
      <c r="HI30" s="18" t="n"/>
      <c r="HJ30" s="18" t="n"/>
      <c r="HK30" s="18" t="n"/>
      <c r="HL30" s="18" t="n"/>
      <c r="HM30" s="18" t="n"/>
      <c r="HN30" s="18" t="n"/>
      <c r="HO30" s="18" t="n"/>
      <c r="HP30" s="18" t="n"/>
      <c r="HQ30" s="18" t="n"/>
      <c r="HR30" s="18" t="n"/>
      <c r="HS30" s="18" t="n"/>
      <c r="HT30" s="18" t="n"/>
      <c r="HU30" s="18" t="n"/>
      <c r="HV30" s="18" t="n"/>
      <c r="HW30" s="18" t="n"/>
      <c r="HX30" s="18" t="n"/>
      <c r="HY30" s="18" t="n"/>
      <c r="HZ30" s="18" t="n"/>
      <c r="IA30" s="18" t="n"/>
      <c r="IB30" s="18" t="n"/>
      <c r="IC30" s="18" t="n"/>
      <c r="ID30" s="18" t="n"/>
      <c r="IE30" s="18" t="n"/>
      <c r="IF30" s="18" t="n"/>
      <c r="IG30" s="18" t="n"/>
      <c r="IH30" s="18" t="n"/>
      <c r="II30" s="18" t="n"/>
      <c r="IJ30" s="18" t="n"/>
      <c r="IK30" s="18" t="n"/>
      <c r="IL30" s="18" t="n"/>
      <c r="IM30" s="18" t="n"/>
      <c r="IN30" s="18" t="n"/>
      <c r="IO30" s="18" t="n"/>
      <c r="IP30" s="18" t="n"/>
      <c r="IQ30" s="18" t="n"/>
      <c r="IR30" s="18" t="n"/>
      <c r="IS30" s="18" t="n"/>
      <c r="IT30" s="18" t="n"/>
      <c r="IU30" s="18" t="n"/>
      <c r="IV30" s="18" t="n"/>
      <c r="IW30" s="18" t="n"/>
      <c r="IX30" s="18" t="n"/>
      <c r="IY30" s="18" t="n"/>
      <c r="IZ30" s="18" t="n"/>
      <c r="JA30" s="18" t="n"/>
      <c r="JB30" s="18" t="n"/>
      <c r="JC30" s="18" t="n"/>
      <c r="JD30" s="18" t="n"/>
      <c r="JE30" s="18" t="n"/>
      <c r="JF30" s="18" t="n"/>
      <c r="JG30" s="18" t="n"/>
      <c r="JH30" s="18" t="n"/>
      <c r="JI30" s="18" t="n"/>
      <c r="JJ30" s="18" t="n"/>
      <c r="JK30" s="18" t="n"/>
      <c r="JL30" s="18" t="n"/>
      <c r="JM30" s="18" t="n"/>
      <c r="JN30" s="18" t="n"/>
      <c r="JO30" s="18" t="n"/>
      <c r="JP30" s="18" t="n"/>
      <c r="JQ30" s="18" t="n"/>
      <c r="JR30" s="18" t="n"/>
      <c r="JS30" s="18" t="n"/>
      <c r="JT30" s="18" t="n"/>
      <c r="JU30" s="18" t="n"/>
      <c r="JV30" s="18" t="n"/>
      <c r="JW30" s="18" t="n"/>
      <c r="JX30" s="18" t="n"/>
    </row>
    <row r="31" ht="52.05" customHeight="1" s="88">
      <c r="A31" s="29" t="inlineStr">
        <is>
          <t>9000</t>
        </is>
      </c>
      <c r="B31" s="29" t="inlineStr">
        <is>
          <t>9000-1</t>
        </is>
      </c>
      <c r="C31" s="29" t="inlineStr">
        <is>
          <t>지반조사</t>
        </is>
      </c>
      <c r="D31" s="98" t="inlineStr">
        <is>
          <t>9000-1-30</t>
        </is>
      </c>
      <c r="E31" s="102" t="inlineStr">
        <is>
          <t>9000-1-20, 9000-1-27</t>
        </is>
      </c>
      <c r="F31" s="99" t="inlineStr">
        <is>
          <t>9000-1-31</t>
        </is>
      </c>
      <c r="G31" s="32" t="inlineStr">
        <is>
          <t>외부지질전문가 업무평가</t>
        </is>
      </c>
      <c r="H31" s="100" t="inlineStr">
        <is>
          <t>D+75일 이후</t>
        </is>
      </c>
      <c r="I31" s="33" t="inlineStr">
        <is>
          <t>포스코스마트엔지니어링팀 (협업: 현장 공사팀/공무팀)</t>
        </is>
      </c>
      <c r="J31" s="34" t="inlineStr">
        <is>
          <t>참여인력 전문성 평가 및 특이사항 기록</t>
        </is>
      </c>
      <c r="K31" s="34" t="inlineStr">
        <is>
          <t>• 외부지질 전문가 업무평가서 작성</t>
        </is>
      </c>
      <c r="L31" s="34" t="inlineStr">
        <is>
          <t>외부지질 전문가 업무평가서</t>
        </is>
      </c>
      <c r="M31" s="34" t="inlineStr">
        <is>
          <t>참여인력 전문성 평가 및 특이사항 기록 | 외부지질 전문가 업무평가서</t>
        </is>
      </c>
      <c r="N31" s="65">
        <f>HYPERLINK(LEFT(CELL("filename",A1),FIND("[",CELL("filename",A1))-1)&amp;"1.지반조사/30_외부지질전문가 업무평가/표준서/외부지질전문가 업무평가_표준서.html", "표준서 열기")</f>
        <v/>
      </c>
      <c r="O31" s="34" t="inlineStr">
        <is>
          <t>• 외부지질 전문가 업무평가서 작성</t>
        </is>
      </c>
      <c r="P31" s="66">
        <f>HYPERLINK(LEFT(CELL("filename",A1),FIND("[",CELL("filename",A1))-1)&amp;"1.지반조사/30_외부지질전문가 업무평가/수행지침/외부지질전문가 업무평가_수행지침.html", "수행지침서 열기")</f>
        <v/>
      </c>
      <c r="Q31" s="34" t="inlineStr">
        <is>
          <t>1) 외부지질전문가 업무평가 적정성을 확인하였는가? 2) 외부지질 전문가 업무평가서 산출물을 확보하였는가?</t>
        </is>
      </c>
      <c r="R31" s="67">
        <f>HYPERLINK(LEFT(CELL("filename",A1),FIND("[",CELL("filename",A1))-1)&amp;"1.지반조사/30_외부지질전문가 업무평가/체크리스트/외부지질전문가 업무평가_체크리스트.html", "체크리스트 열기")</f>
        <v/>
      </c>
      <c r="S31" s="33" t="n"/>
      <c r="T31" s="2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Y31" s="18" t="n"/>
      <c r="DZ31" s="18" t="n"/>
      <c r="EA31" s="18" t="n"/>
      <c r="EB31" s="18" t="n"/>
      <c r="EC31" s="18" t="n"/>
      <c r="ED31" s="18" t="n"/>
      <c r="EE31" s="18" t="n"/>
      <c r="EF31" s="18" t="n"/>
      <c r="EG31" s="18" t="n"/>
      <c r="EH31" s="18" t="n"/>
      <c r="EI31" s="18" t="n"/>
      <c r="EJ31" s="18" t="n"/>
      <c r="EK31" s="18" t="n"/>
      <c r="EL31" s="18" t="n"/>
      <c r="EM31" s="18" t="n"/>
      <c r="EN31" s="18" t="n"/>
      <c r="EO31" s="18" t="n"/>
      <c r="EP31" s="18" t="n"/>
      <c r="EQ31" s="18" t="n"/>
      <c r="ER31" s="18" t="n"/>
      <c r="ES31" s="18" t="n"/>
      <c r="ET31" s="18" t="n"/>
      <c r="EU31" s="18" t="n"/>
      <c r="EV31" s="18" t="n"/>
      <c r="EW31" s="18" t="n"/>
      <c r="EX31" s="18" t="n"/>
      <c r="EY31" s="18" t="n"/>
      <c r="EZ31" s="18" t="n"/>
      <c r="FA31" s="18" t="n"/>
      <c r="FB31" s="18" t="n"/>
      <c r="FC31" s="18" t="n"/>
      <c r="FD31" s="18" t="n"/>
      <c r="FE31" s="18" t="n"/>
      <c r="FF31" s="18" t="n"/>
      <c r="FG31" s="18" t="n"/>
      <c r="FH31" s="18" t="n"/>
      <c r="FI31" s="18" t="n"/>
      <c r="FJ31" s="18" t="n"/>
      <c r="FK31" s="18" t="n"/>
      <c r="FL31" s="18" t="n"/>
      <c r="FM31" s="18" t="n"/>
      <c r="FN31" s="18" t="n"/>
      <c r="FO31" s="18" t="n"/>
      <c r="FP31" s="18" t="n"/>
      <c r="FQ31" s="18" t="n"/>
      <c r="FR31" s="18" t="n"/>
      <c r="FS31" s="18" t="n"/>
      <c r="FT31" s="18" t="n"/>
      <c r="FU31" s="18" t="n"/>
      <c r="FV31" s="18" t="n"/>
      <c r="FW31" s="18" t="n"/>
      <c r="FX31" s="18" t="n"/>
      <c r="FY31" s="18" t="n"/>
      <c r="FZ31" s="18" t="n"/>
      <c r="GA31" s="18" t="n"/>
      <c r="GB31" s="18" t="n"/>
      <c r="GC31" s="18" t="n"/>
      <c r="GD31" s="18" t="n"/>
      <c r="GE31" s="18" t="n"/>
      <c r="GF31" s="18" t="n"/>
      <c r="GG31" s="18" t="n"/>
      <c r="GH31" s="18" t="n"/>
      <c r="GI31" s="18" t="n"/>
      <c r="GJ31" s="18" t="n"/>
      <c r="GK31" s="18" t="n"/>
      <c r="GL31" s="18" t="n"/>
      <c r="GM31" s="18" t="n"/>
      <c r="GN31" s="18" t="n"/>
      <c r="GO31" s="18" t="n"/>
      <c r="GP31" s="18" t="n"/>
      <c r="GQ31" s="18" t="n"/>
      <c r="GR31" s="18" t="n"/>
      <c r="GS31" s="18" t="n"/>
      <c r="GT31" s="18" t="n"/>
      <c r="GU31" s="18" t="n"/>
      <c r="GV31" s="18" t="n"/>
      <c r="GW31" s="18" t="n"/>
      <c r="GX31" s="18" t="n"/>
      <c r="GY31" s="18" t="n"/>
      <c r="GZ31" s="18" t="n"/>
      <c r="HA31" s="18" t="n"/>
      <c r="HB31" s="18" t="n"/>
      <c r="HC31" s="18" t="n"/>
      <c r="HD31" s="18" t="n"/>
      <c r="HE31" s="18" t="n"/>
      <c r="HF31" s="18" t="n"/>
      <c r="HG31" s="18" t="n"/>
      <c r="HH31" s="18" t="n"/>
      <c r="HI31" s="18" t="n"/>
      <c r="HJ31" s="18" t="n"/>
      <c r="HK31" s="18" t="n"/>
      <c r="HL31" s="18" t="n"/>
      <c r="HM31" s="18" t="n"/>
      <c r="HN31" s="18" t="n"/>
      <c r="HO31" s="18" t="n"/>
      <c r="HP31" s="18" t="n"/>
      <c r="HQ31" s="18" t="n"/>
      <c r="HR31" s="18" t="n"/>
      <c r="HS31" s="18" t="n"/>
      <c r="HT31" s="18" t="n"/>
      <c r="HU31" s="18" t="n"/>
      <c r="HV31" s="18" t="n"/>
      <c r="HW31" s="18" t="n"/>
      <c r="HX31" s="18" t="n"/>
      <c r="HY31" s="18" t="n"/>
      <c r="HZ31" s="18" t="n"/>
      <c r="IA31" s="18" t="n"/>
      <c r="IB31" s="18" t="n"/>
      <c r="IC31" s="18" t="n"/>
      <c r="ID31" s="18" t="n"/>
      <c r="IE31" s="18" t="n"/>
      <c r="IF31" s="18" t="n"/>
      <c r="IG31" s="18" t="n"/>
      <c r="IH31" s="18" t="n"/>
      <c r="II31" s="18" t="n"/>
      <c r="IJ31" s="18" t="n"/>
      <c r="IK31" s="18" t="n"/>
      <c r="IL31" s="18" t="n"/>
      <c r="IM31" s="18" t="n"/>
      <c r="IN31" s="18" t="n"/>
      <c r="IO31" s="18" t="n"/>
      <c r="IP31" s="18" t="n"/>
      <c r="IQ31" s="18" t="n"/>
      <c r="IR31" s="18" t="n"/>
      <c r="IS31" s="18" t="n"/>
      <c r="IT31" s="18" t="n"/>
      <c r="IU31" s="18" t="n"/>
      <c r="IV31" s="18" t="n"/>
      <c r="IW31" s="18" t="n"/>
      <c r="IX31" s="18" t="n"/>
      <c r="IY31" s="18" t="n"/>
      <c r="IZ31" s="18" t="n"/>
      <c r="JA31" s="18" t="n"/>
      <c r="JB31" s="18" t="n"/>
      <c r="JC31" s="18" t="n"/>
      <c r="JD31" s="18" t="n"/>
      <c r="JE31" s="18" t="n"/>
      <c r="JF31" s="18" t="n"/>
      <c r="JG31" s="18" t="n"/>
      <c r="JH31" s="18" t="n"/>
      <c r="JI31" s="18" t="n"/>
      <c r="JJ31" s="18" t="n"/>
      <c r="JK31" s="18" t="n"/>
      <c r="JL31" s="18" t="n"/>
      <c r="JM31" s="18" t="n"/>
      <c r="JN31" s="18" t="n"/>
      <c r="JO31" s="18" t="n"/>
      <c r="JP31" s="18" t="n"/>
      <c r="JQ31" s="18" t="n"/>
      <c r="JR31" s="18" t="n"/>
      <c r="JS31" s="18" t="n"/>
      <c r="JT31" s="18" t="n"/>
      <c r="JU31" s="18" t="n"/>
      <c r="JV31" s="18" t="n"/>
      <c r="JW31" s="18" t="n"/>
      <c r="JX31" s="18" t="n"/>
      <c r="JY31" s="18" t="n"/>
      <c r="JZ31" s="18" t="n"/>
      <c r="KA31" s="18" t="n"/>
      <c r="KB31" s="18" t="n"/>
    </row>
    <row r="32" ht="52.05" customHeight="1" s="88">
      <c r="A32" s="19" t="inlineStr">
        <is>
          <t>9000</t>
        </is>
      </c>
      <c r="B32" s="19" t="inlineStr">
        <is>
          <t>9000-1</t>
        </is>
      </c>
      <c r="C32" s="19" t="inlineStr">
        <is>
          <t>지반조사</t>
        </is>
      </c>
      <c r="D32" s="94" t="inlineStr">
        <is>
          <t>9000-1-31</t>
        </is>
      </c>
      <c r="E32" s="95" t="inlineStr">
        <is>
          <t>9000-1-28, 9000-1-29, 9000-1-30</t>
        </is>
      </c>
      <c r="F32" s="96" t="inlineStr">
        <is>
          <t>9000-1-32</t>
        </is>
      </c>
      <c r="G32" s="23" t="inlineStr">
        <is>
          <t>조사업체 PM 업무평가</t>
        </is>
      </c>
      <c r="H32" s="97" t="inlineStr">
        <is>
          <t>D+75일 이후</t>
        </is>
      </c>
      <c r="I32" s="21" t="inlineStr">
        <is>
          <t>포스코스마트엔지니어링팀 (협업: 현장 공사팀/공무팀)</t>
        </is>
      </c>
      <c r="J32" s="24" t="inlineStr">
        <is>
          <t>조사업체 PM 전문성 평가 및 특이사항 기록</t>
        </is>
      </c>
      <c r="K32" s="24" t="inlineStr">
        <is>
          <t>• 지반조사 PM 업무평가서 작성</t>
        </is>
      </c>
      <c r="L32" s="24" t="inlineStr">
        <is>
          <t>PM업무평가서</t>
        </is>
      </c>
      <c r="M32" s="24" t="inlineStr">
        <is>
          <t>조사업체 PM 전문성 평가 및 특이사항 기록 | PM업무평가서</t>
        </is>
      </c>
      <c r="N32" s="65">
        <f>HYPERLINK(LEFT(CELL("filename",A1),FIND("[",CELL("filename",A1))-1)&amp;"1.지반조사/31_조사업체 PM 업무평가/표준서/조사업체 PM 업무평가_표준서.html", "표준서 열기")</f>
        <v/>
      </c>
      <c r="O32" s="24" t="inlineStr">
        <is>
          <t>• 지반조사 PM 업무평가서 작성</t>
        </is>
      </c>
      <c r="P32" s="66">
        <f>HYPERLINK(LEFT(CELL("filename",A1),FIND("[",CELL("filename",A1))-1)&amp;"1.지반조사/31_조사업체 PM 업무평가/수행지침/조사업체 PM 업무평가_수행지침.html", "수행지침서 열기")</f>
        <v/>
      </c>
      <c r="Q32" s="24" t="inlineStr">
        <is>
          <t>1) 조사업체 PM 업무평가 적정성을 확인하였는가? 2) PM업무평가서 산출물을 확보하였는가?</t>
        </is>
      </c>
      <c r="R32" s="67">
        <f>HYPERLINK(LEFT(CELL("filename",A1),FIND("[",CELL("filename",A1))-1)&amp;"1.지반조사/31_조사업체 PM 업무평가/체크리스트/조사업체 PM 업무평가_체크리스트.html", "체크리스트 열기")</f>
        <v/>
      </c>
      <c r="S32" s="21" t="n"/>
      <c r="T32" s="2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Y32" s="18" t="n"/>
      <c r="DZ32" s="18" t="n"/>
      <c r="EA32" s="18" t="n"/>
      <c r="EB32" s="18" t="n"/>
      <c r="EC32" s="18" t="n"/>
      <c r="ED32" s="18" t="n"/>
      <c r="EE32" s="18" t="n"/>
      <c r="EF32" s="18" t="n"/>
      <c r="EG32" s="18" t="n"/>
      <c r="EH32" s="18" t="n"/>
      <c r="EI32" s="18" t="n"/>
      <c r="EJ32" s="18" t="n"/>
      <c r="EK32" s="18" t="n"/>
      <c r="EL32" s="18" t="n"/>
      <c r="EM32" s="18" t="n"/>
      <c r="EN32" s="18" t="n"/>
      <c r="EO32" s="18" t="n"/>
      <c r="EP32" s="18" t="n"/>
      <c r="EQ32" s="18" t="n"/>
      <c r="ER32" s="18" t="n"/>
      <c r="ES32" s="18" t="n"/>
      <c r="ET32" s="18" t="n"/>
      <c r="EU32" s="18" t="n"/>
      <c r="EV32" s="18" t="n"/>
      <c r="EW32" s="18" t="n"/>
      <c r="EX32" s="18" t="n"/>
      <c r="EY32" s="18" t="n"/>
      <c r="EZ32" s="18" t="n"/>
      <c r="FA32" s="18" t="n"/>
      <c r="FB32" s="18" t="n"/>
      <c r="FC32" s="18" t="n"/>
      <c r="FD32" s="18" t="n"/>
      <c r="FE32" s="18" t="n"/>
      <c r="FF32" s="18" t="n"/>
      <c r="FG32" s="18" t="n"/>
      <c r="FH32" s="18" t="n"/>
      <c r="FI32" s="18" t="n"/>
      <c r="FJ32" s="18" t="n"/>
      <c r="FK32" s="18" t="n"/>
      <c r="FL32" s="18" t="n"/>
      <c r="FM32" s="18" t="n"/>
      <c r="FN32" s="18" t="n"/>
      <c r="FO32" s="18" t="n"/>
      <c r="FP32" s="18" t="n"/>
      <c r="FQ32" s="18" t="n"/>
      <c r="FR32" s="18" t="n"/>
      <c r="FS32" s="18" t="n"/>
      <c r="FT32" s="18" t="n"/>
      <c r="FU32" s="18" t="n"/>
      <c r="FV32" s="18" t="n"/>
      <c r="FW32" s="18" t="n"/>
      <c r="FX32" s="18" t="n"/>
      <c r="FY32" s="18" t="n"/>
      <c r="FZ32" s="18" t="n"/>
      <c r="GA32" s="18" t="n"/>
      <c r="GB32" s="18" t="n"/>
      <c r="GC32" s="18" t="n"/>
      <c r="GD32" s="18" t="n"/>
      <c r="GE32" s="18" t="n"/>
      <c r="GF32" s="18" t="n"/>
      <c r="GG32" s="18" t="n"/>
      <c r="GH32" s="18" t="n"/>
      <c r="GI32" s="18" t="n"/>
      <c r="GJ32" s="18" t="n"/>
      <c r="GK32" s="18" t="n"/>
      <c r="GL32" s="18" t="n"/>
      <c r="GM32" s="18" t="n"/>
      <c r="GN32" s="18" t="n"/>
      <c r="GO32" s="18" t="n"/>
      <c r="GP32" s="18" t="n"/>
      <c r="GQ32" s="18" t="n"/>
      <c r="GR32" s="18" t="n"/>
      <c r="GS32" s="18" t="n"/>
      <c r="GT32" s="18" t="n"/>
      <c r="GU32" s="18" t="n"/>
      <c r="GV32" s="18" t="n"/>
      <c r="GW32" s="18" t="n"/>
      <c r="GX32" s="18" t="n"/>
      <c r="GY32" s="18" t="n"/>
      <c r="GZ32" s="18" t="n"/>
      <c r="HA32" s="18" t="n"/>
      <c r="HB32" s="18" t="n"/>
      <c r="HC32" s="18" t="n"/>
      <c r="HD32" s="18" t="n"/>
      <c r="HE32" s="18" t="n"/>
      <c r="HF32" s="18" t="n"/>
      <c r="HG32" s="18" t="n"/>
      <c r="HH32" s="18" t="n"/>
      <c r="HI32" s="18" t="n"/>
      <c r="HJ32" s="18" t="n"/>
      <c r="HK32" s="18" t="n"/>
      <c r="HL32" s="18" t="n"/>
      <c r="HM32" s="18" t="n"/>
      <c r="HN32" s="18" t="n"/>
      <c r="HO32" s="18" t="n"/>
      <c r="HP32" s="18" t="n"/>
      <c r="HQ32" s="18" t="n"/>
      <c r="HR32" s="18" t="n"/>
      <c r="HS32" s="18" t="n"/>
      <c r="HT32" s="18" t="n"/>
      <c r="HU32" s="18" t="n"/>
      <c r="HV32" s="18" t="n"/>
      <c r="HW32" s="18" t="n"/>
      <c r="HX32" s="18" t="n"/>
      <c r="HY32" s="18" t="n"/>
      <c r="HZ32" s="18" t="n"/>
      <c r="IA32" s="18" t="n"/>
      <c r="IB32" s="18" t="n"/>
      <c r="IC32" s="18" t="n"/>
      <c r="ID32" s="18" t="n"/>
      <c r="IE32" s="18" t="n"/>
      <c r="IF32" s="18" t="n"/>
      <c r="IG32" s="18" t="n"/>
      <c r="IH32" s="18" t="n"/>
      <c r="II32" s="18" t="n"/>
      <c r="IJ32" s="18" t="n"/>
      <c r="IK32" s="18" t="n"/>
      <c r="IL32" s="18" t="n"/>
      <c r="IM32" s="18" t="n"/>
      <c r="IN32" s="18" t="n"/>
      <c r="IO32" s="18" t="n"/>
      <c r="IP32" s="18" t="n"/>
      <c r="IQ32" s="18" t="n"/>
      <c r="IR32" s="18" t="n"/>
      <c r="IS32" s="18" t="n"/>
      <c r="IT32" s="18" t="n"/>
      <c r="IU32" s="18" t="n"/>
      <c r="IV32" s="18" t="n"/>
      <c r="IW32" s="18" t="n"/>
      <c r="IX32" s="18" t="n"/>
      <c r="IY32" s="18" t="n"/>
      <c r="IZ32" s="18" t="n"/>
      <c r="JA32" s="18" t="n"/>
      <c r="JB32" s="18" t="n"/>
      <c r="JC32" s="18" t="n"/>
      <c r="JD32" s="18" t="n"/>
      <c r="JE32" s="18" t="n"/>
      <c r="JF32" s="18" t="n"/>
      <c r="JG32" s="18" t="n"/>
      <c r="JH32" s="18" t="n"/>
      <c r="JI32" s="18" t="n"/>
      <c r="JJ32" s="18" t="n"/>
      <c r="JK32" s="18" t="n"/>
      <c r="JL32" s="18" t="n"/>
      <c r="JM32" s="18" t="n"/>
      <c r="JN32" s="18" t="n"/>
      <c r="JO32" s="18" t="n"/>
      <c r="JP32" s="18" t="n"/>
      <c r="JQ32" s="18" t="n"/>
      <c r="JR32" s="18" t="n"/>
      <c r="JS32" s="18" t="n"/>
      <c r="JT32" s="18" t="n"/>
      <c r="JU32" s="18" t="n"/>
      <c r="JV32" s="18" t="n"/>
      <c r="JW32" s="18" t="n"/>
      <c r="JX32" s="18" t="n"/>
      <c r="JY32" s="18" t="n"/>
      <c r="JZ32" s="18" t="n"/>
      <c r="KA32" s="18" t="n"/>
      <c r="KB32" s="18" t="n"/>
      <c r="KC32" s="18" t="n"/>
      <c r="KD32" s="18" t="n"/>
      <c r="KE32" s="18" t="n"/>
      <c r="KF32" s="18" t="n"/>
    </row>
    <row r="33" ht="52.05" customHeight="1" s="88">
      <c r="A33" s="29" t="inlineStr">
        <is>
          <t>9000</t>
        </is>
      </c>
      <c r="B33" s="29" t="inlineStr">
        <is>
          <t>9000-1</t>
        </is>
      </c>
      <c r="C33" s="29" t="inlineStr">
        <is>
          <t>지반조사</t>
        </is>
      </c>
      <c r="D33" s="98" t="inlineStr">
        <is>
          <t>9000-1-32</t>
        </is>
      </c>
      <c r="E33" s="102" t="inlineStr">
        <is>
          <t>9000-1-31</t>
        </is>
      </c>
      <c r="F33" s="99" t="inlineStr">
        <is>
          <t>9000-1-33</t>
        </is>
      </c>
      <c r="G33" s="32" t="inlineStr">
        <is>
          <t>지반조사업체 업무평가</t>
        </is>
      </c>
      <c r="H33" s="100" t="n"/>
      <c r="I33" s="33" t="inlineStr">
        <is>
          <t>현장소장 (협업: 현장 공사팀/공무팀)</t>
        </is>
      </c>
      <c r="J33" s="34" t="inlineStr">
        <is>
          <t>조사업체 업무평가 및 특이사항 기록</t>
        </is>
      </c>
      <c r="K33" s="34" t="inlineStr">
        <is>
          <t>• 협력업체 업무평가서</t>
        </is>
      </c>
      <c r="L33" s="34" t="inlineStr">
        <is>
          <t>협력업체 업무평가서</t>
        </is>
      </c>
      <c r="M33" s="34" t="inlineStr">
        <is>
          <t>조사업체 업무평가 및 특이사항 기록 | 협력업체 업무평가서</t>
        </is>
      </c>
      <c r="N33" s="65">
        <f>HYPERLINK(LEFT(CELL("filename",A1),FIND("[",CELL("filename",A1))-1)&amp;"1.지반조사/32_지반조사업체 업무평가/표준서/지반조사업체 업무평가_표준서.html", "표준서 열기")</f>
        <v/>
      </c>
      <c r="O33" s="34" t="inlineStr">
        <is>
          <t>• 협력업체 업무평가서</t>
        </is>
      </c>
      <c r="P33" s="66">
        <f>HYPERLINK(LEFT(CELL("filename",A1),FIND("[",CELL("filename",A1))-1)&amp;"1.지반조사/32_지반조사업체 업무평가/수행지침/지반조사업체 업무평가_수행지침.html", "수행지침서 열기")</f>
        <v/>
      </c>
      <c r="Q33" s="34" t="inlineStr">
        <is>
          <t>1) 지반조사업체 업무평가 적정성을 확인하였는가? 2) 협력업체 업무평가서 산출물을 확보하였는가?</t>
        </is>
      </c>
      <c r="R33" s="67">
        <f>HYPERLINK(LEFT(CELL("filename",A1),FIND("[",CELL("filename",A1))-1)&amp;"1.지반조사/32_지반조사업체 업무평가/체크리스트/지반조사업체 업무평가_체크리스트.html", "체크리스트 열기")</f>
        <v/>
      </c>
      <c r="S33" s="33" t="n"/>
      <c r="T33" s="2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Y33" s="18" t="n"/>
      <c r="DZ33" s="18" t="n"/>
      <c r="EA33" s="18" t="n"/>
      <c r="EB33" s="18" t="n"/>
      <c r="EC33" s="18" t="n"/>
      <c r="ED33" s="18" t="n"/>
      <c r="EE33" s="18" t="n"/>
      <c r="EF33" s="18" t="n"/>
      <c r="EG33" s="18" t="n"/>
      <c r="EH33" s="18" t="n"/>
      <c r="EI33" s="18" t="n"/>
      <c r="EJ33" s="18" t="n"/>
      <c r="EK33" s="18" t="n"/>
      <c r="EL33" s="18" t="n"/>
      <c r="EM33" s="18" t="n"/>
      <c r="EN33" s="18" t="n"/>
      <c r="EO33" s="18" t="n"/>
      <c r="EP33" s="18" t="n"/>
      <c r="EQ33" s="18" t="n"/>
      <c r="ER33" s="18" t="n"/>
      <c r="ES33" s="18" t="n"/>
      <c r="ET33" s="18" t="n"/>
      <c r="EU33" s="18" t="n"/>
      <c r="EV33" s="18" t="n"/>
      <c r="EW33" s="18" t="n"/>
      <c r="EX33" s="18" t="n"/>
      <c r="EY33" s="18" t="n"/>
      <c r="EZ33" s="18" t="n"/>
      <c r="FA33" s="18" t="n"/>
      <c r="FB33" s="18" t="n"/>
      <c r="FC33" s="18" t="n"/>
      <c r="FD33" s="18" t="n"/>
      <c r="FE33" s="18" t="n"/>
      <c r="FF33" s="18" t="n"/>
      <c r="FG33" s="18" t="n"/>
      <c r="FH33" s="18" t="n"/>
      <c r="FI33" s="18" t="n"/>
      <c r="FJ33" s="18" t="n"/>
      <c r="FK33" s="18" t="n"/>
      <c r="FL33" s="18" t="n"/>
      <c r="FM33" s="18" t="n"/>
      <c r="FN33" s="18" t="n"/>
      <c r="FO33" s="18" t="n"/>
      <c r="FP33" s="18" t="n"/>
      <c r="FQ33" s="18" t="n"/>
      <c r="FR33" s="18" t="n"/>
      <c r="FS33" s="18" t="n"/>
      <c r="FT33" s="18" t="n"/>
      <c r="FU33" s="18" t="n"/>
      <c r="FV33" s="18" t="n"/>
      <c r="FW33" s="18" t="n"/>
      <c r="FX33" s="18" t="n"/>
      <c r="FY33" s="18" t="n"/>
      <c r="FZ33" s="18" t="n"/>
      <c r="GA33" s="18" t="n"/>
      <c r="GB33" s="18" t="n"/>
      <c r="GC33" s="18" t="n"/>
      <c r="GD33" s="18" t="n"/>
      <c r="GE33" s="18" t="n"/>
      <c r="GF33" s="18" t="n"/>
      <c r="GG33" s="18" t="n"/>
      <c r="GH33" s="18" t="n"/>
      <c r="GI33" s="18" t="n"/>
      <c r="GJ33" s="18" t="n"/>
      <c r="GK33" s="18" t="n"/>
      <c r="GL33" s="18" t="n"/>
      <c r="GM33" s="18" t="n"/>
      <c r="GN33" s="18" t="n"/>
      <c r="GO33" s="18" t="n"/>
      <c r="GP33" s="18" t="n"/>
      <c r="GQ33" s="18" t="n"/>
      <c r="GR33" s="18" t="n"/>
      <c r="GS33" s="18" t="n"/>
      <c r="GT33" s="18" t="n"/>
      <c r="GU33" s="18" t="n"/>
      <c r="GV33" s="18" t="n"/>
      <c r="GW33" s="18" t="n"/>
      <c r="GX33" s="18" t="n"/>
      <c r="GY33" s="18" t="n"/>
      <c r="GZ33" s="18" t="n"/>
      <c r="HA33" s="18" t="n"/>
      <c r="HB33" s="18" t="n"/>
      <c r="HC33" s="18" t="n"/>
      <c r="HD33" s="18" t="n"/>
      <c r="HE33" s="18" t="n"/>
      <c r="HF33" s="18" t="n"/>
      <c r="HG33" s="18" t="n"/>
      <c r="HH33" s="18" t="n"/>
      <c r="HI33" s="18" t="n"/>
      <c r="HJ33" s="18" t="n"/>
      <c r="HK33" s="18" t="n"/>
      <c r="HL33" s="18" t="n"/>
      <c r="HM33" s="18" t="n"/>
      <c r="HN33" s="18" t="n"/>
      <c r="HO33" s="18" t="n"/>
      <c r="HP33" s="18" t="n"/>
      <c r="HQ33" s="18" t="n"/>
      <c r="HR33" s="18" t="n"/>
      <c r="HS33" s="18" t="n"/>
      <c r="HT33" s="18" t="n"/>
      <c r="HU33" s="18" t="n"/>
      <c r="HV33" s="18" t="n"/>
      <c r="HW33" s="18" t="n"/>
      <c r="HX33" s="18" t="n"/>
      <c r="HY33" s="18" t="n"/>
      <c r="HZ33" s="18" t="n"/>
      <c r="IA33" s="18" t="n"/>
      <c r="IB33" s="18" t="n"/>
      <c r="IC33" s="18" t="n"/>
      <c r="ID33" s="18" t="n"/>
      <c r="IE33" s="18" t="n"/>
      <c r="IF33" s="18" t="n"/>
      <c r="IG33" s="18" t="n"/>
      <c r="IH33" s="18" t="n"/>
      <c r="II33" s="18" t="n"/>
      <c r="IJ33" s="18" t="n"/>
      <c r="IK33" s="18" t="n"/>
      <c r="IL33" s="18" t="n"/>
      <c r="IM33" s="18" t="n"/>
      <c r="IN33" s="18" t="n"/>
      <c r="IO33" s="18" t="n"/>
      <c r="IP33" s="18" t="n"/>
      <c r="IQ33" s="18" t="n"/>
      <c r="IR33" s="18" t="n"/>
      <c r="IS33" s="18" t="n"/>
      <c r="IT33" s="18" t="n"/>
      <c r="IU33" s="18" t="n"/>
      <c r="IV33" s="18" t="n"/>
      <c r="IW33" s="18" t="n"/>
      <c r="IX33" s="18" t="n"/>
      <c r="IY33" s="18" t="n"/>
      <c r="IZ33" s="18" t="n"/>
      <c r="JA33" s="18" t="n"/>
      <c r="JB33" s="18" t="n"/>
      <c r="JC33" s="18" t="n"/>
      <c r="JD33" s="18" t="n"/>
      <c r="JE33" s="18" t="n"/>
      <c r="JF33" s="18" t="n"/>
      <c r="JG33" s="18" t="n"/>
      <c r="JH33" s="18" t="n"/>
      <c r="JI33" s="18" t="n"/>
      <c r="JJ33" s="18" t="n"/>
      <c r="JK33" s="18" t="n"/>
      <c r="JL33" s="18" t="n"/>
      <c r="JM33" s="18" t="n"/>
      <c r="JN33" s="18" t="n"/>
      <c r="JO33" s="18" t="n"/>
      <c r="JP33" s="18" t="n"/>
      <c r="JQ33" s="18" t="n"/>
      <c r="JR33" s="18" t="n"/>
      <c r="JS33" s="18" t="n"/>
      <c r="JT33" s="18" t="n"/>
      <c r="JU33" s="18" t="n"/>
      <c r="JV33" s="18" t="n"/>
      <c r="JW33" s="18" t="n"/>
      <c r="JX33" s="18" t="n"/>
      <c r="JY33" s="18" t="n"/>
      <c r="JZ33" s="18" t="n"/>
      <c r="KA33" s="18" t="n"/>
      <c r="KB33" s="18" t="n"/>
      <c r="KC33" s="18" t="n"/>
      <c r="KD33" s="18" t="n"/>
      <c r="KE33" s="18" t="n"/>
      <c r="KF33" s="18" t="n"/>
      <c r="KG33" s="18" t="n"/>
      <c r="KH33" s="18" t="n"/>
      <c r="KI33" s="18" t="n"/>
      <c r="KJ33" s="18" t="n"/>
    </row>
    <row r="34" ht="52.05" customHeight="1" s="88">
      <c r="A34" s="19" t="inlineStr">
        <is>
          <t>9000</t>
        </is>
      </c>
      <c r="B34" s="19" t="inlineStr">
        <is>
          <t>9000-1</t>
        </is>
      </c>
      <c r="C34" s="19" t="inlineStr">
        <is>
          <t>지반조사</t>
        </is>
      </c>
      <c r="D34" s="94" t="inlineStr">
        <is>
          <t>9000-1-33</t>
        </is>
      </c>
      <c r="E34" s="95" t="inlineStr">
        <is>
          <t>9000-1-32</t>
        </is>
      </c>
      <c r="F34" s="96" t="inlineStr">
        <is>
          <t>9000-1-34</t>
        </is>
      </c>
      <c r="G34" s="23" t="inlineStr">
        <is>
          <t>설계변경 LL 리포트 작성</t>
        </is>
      </c>
      <c r="H34" s="97" t="n"/>
      <c r="I34" s="21" t="inlineStr">
        <is>
          <t>현장소장 (협업: 현장 공무팀)</t>
        </is>
      </c>
      <c r="J34" s="24" t="inlineStr">
        <is>
          <t>설계변경 사항 기록</t>
        </is>
      </c>
      <c r="K34" s="24" t="inlineStr">
        <is>
          <t>• 설계변경 사유 기록관리
• 예상 R/O대비 설계변경 사항 비교 검토</t>
        </is>
      </c>
      <c r="L34" s="24" t="inlineStr">
        <is>
          <t>LL리포트</t>
        </is>
      </c>
      <c r="M34" s="24" t="inlineStr">
        <is>
          <t>설계변경 사항 기록 | LL리포트</t>
        </is>
      </c>
      <c r="N34" s="65">
        <f>HYPERLINK(LEFT(CELL("filename",A1),FIND("[",CELL("filename",A1))-1)&amp;"1.지반조사/33_설계변경 LL 리포트 작성/표준서/설계변경 LL 리포트 작성_표준서.html", "표준서 열기")</f>
        <v/>
      </c>
      <c r="O34" s="24" t="inlineStr">
        <is>
          <t>• 설계변경 사유 기록관리 • 예상 R/O대비 설계변경 사항 비교 검토</t>
        </is>
      </c>
      <c r="P34" s="66">
        <f>HYPERLINK(LEFT(CELL("filename",A1),FIND("[",CELL("filename",A1))-1)&amp;"1.지반조사/33_설계변경 LL 리포트 작성/수행지침/설계변경 LL 리포트 작성_수행지침.html", "수행지침서 열기")</f>
        <v/>
      </c>
      <c r="Q34" s="24" t="inlineStr">
        <is>
          <t>1) 설계변경 LL 리포트 작성 적정성을 확인하였는가? 2) LL리포트 산출물을 확보하였는가?</t>
        </is>
      </c>
      <c r="R34" s="67">
        <f>HYPERLINK(LEFT(CELL("filename",A1),FIND("[",CELL("filename",A1))-1)&amp;"1.지반조사/33_설계변경 LL 리포트 작성/체크리스트/설계변경 LL 리포트 작성_체크리스트.html", "체크리스트 열기")</f>
        <v/>
      </c>
      <c r="S34" s="21" t="n"/>
      <c r="T34" s="2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Y34" s="18" t="n"/>
      <c r="DZ34" s="18" t="n"/>
      <c r="EA34" s="18" t="n"/>
      <c r="EB34" s="18" t="n"/>
      <c r="EC34" s="18" t="n"/>
      <c r="ED34" s="18" t="n"/>
      <c r="EE34" s="18" t="n"/>
      <c r="EF34" s="18" t="n"/>
      <c r="EG34" s="18" t="n"/>
      <c r="EH34" s="18" t="n"/>
      <c r="EI34" s="18" t="n"/>
      <c r="EJ34" s="18" t="n"/>
      <c r="EK34" s="18" t="n"/>
      <c r="EL34" s="18" t="n"/>
      <c r="EM34" s="18" t="n"/>
      <c r="EN34" s="18" t="n"/>
      <c r="EO34" s="18" t="n"/>
      <c r="EP34" s="18" t="n"/>
      <c r="EQ34" s="18" t="n"/>
      <c r="ER34" s="18" t="n"/>
      <c r="ES34" s="18" t="n"/>
      <c r="ET34" s="18" t="n"/>
      <c r="EU34" s="18" t="n"/>
      <c r="EV34" s="18" t="n"/>
      <c r="EW34" s="18" t="n"/>
      <c r="EX34" s="18" t="n"/>
      <c r="EY34" s="18" t="n"/>
      <c r="EZ34" s="18" t="n"/>
      <c r="FA34" s="18" t="n"/>
      <c r="FB34" s="18" t="n"/>
      <c r="FC34" s="18" t="n"/>
      <c r="FD34" s="18" t="n"/>
      <c r="FE34" s="18" t="n"/>
      <c r="FF34" s="18" t="n"/>
      <c r="FG34" s="18" t="n"/>
      <c r="FH34" s="18" t="n"/>
      <c r="FI34" s="18" t="n"/>
      <c r="FJ34" s="18" t="n"/>
      <c r="FK34" s="18" t="n"/>
      <c r="FL34" s="18" t="n"/>
      <c r="FM34" s="18" t="n"/>
      <c r="FN34" s="18" t="n"/>
      <c r="FO34" s="18" t="n"/>
      <c r="FP34" s="18" t="n"/>
      <c r="FQ34" s="18" t="n"/>
      <c r="FR34" s="18" t="n"/>
      <c r="FS34" s="18" t="n"/>
      <c r="FT34" s="18" t="n"/>
      <c r="FU34" s="18" t="n"/>
      <c r="FV34" s="18" t="n"/>
      <c r="FW34" s="18" t="n"/>
      <c r="FX34" s="18" t="n"/>
      <c r="FY34" s="18" t="n"/>
      <c r="FZ34" s="18" t="n"/>
      <c r="GA34" s="18" t="n"/>
      <c r="GB34" s="18" t="n"/>
      <c r="GC34" s="18" t="n"/>
      <c r="GD34" s="18" t="n"/>
      <c r="GE34" s="18" t="n"/>
      <c r="GF34" s="18" t="n"/>
      <c r="GG34" s="18" t="n"/>
      <c r="GH34" s="18" t="n"/>
      <c r="GI34" s="18" t="n"/>
      <c r="GJ34" s="18" t="n"/>
      <c r="GK34" s="18" t="n"/>
      <c r="GL34" s="18" t="n"/>
      <c r="GM34" s="18" t="n"/>
      <c r="GN34" s="18" t="n"/>
      <c r="GO34" s="18" t="n"/>
      <c r="GP34" s="18" t="n"/>
      <c r="GQ34" s="18" t="n"/>
      <c r="GR34" s="18" t="n"/>
      <c r="GS34" s="18" t="n"/>
      <c r="GT34" s="18" t="n"/>
      <c r="GU34" s="18" t="n"/>
      <c r="GV34" s="18" t="n"/>
      <c r="GW34" s="18" t="n"/>
      <c r="GX34" s="18" t="n"/>
      <c r="GY34" s="18" t="n"/>
      <c r="GZ34" s="18" t="n"/>
      <c r="HA34" s="18" t="n"/>
      <c r="HB34" s="18" t="n"/>
      <c r="HC34" s="18" t="n"/>
      <c r="HD34" s="18" t="n"/>
      <c r="HE34" s="18" t="n"/>
      <c r="HF34" s="18" t="n"/>
      <c r="HG34" s="18" t="n"/>
      <c r="HH34" s="18" t="n"/>
      <c r="HI34" s="18" t="n"/>
      <c r="HJ34" s="18" t="n"/>
      <c r="HK34" s="18" t="n"/>
      <c r="HL34" s="18" t="n"/>
      <c r="HM34" s="18" t="n"/>
      <c r="HN34" s="18" t="n"/>
      <c r="HO34" s="18" t="n"/>
      <c r="HP34" s="18" t="n"/>
      <c r="HQ34" s="18" t="n"/>
      <c r="HR34" s="18" t="n"/>
      <c r="HS34" s="18" t="n"/>
      <c r="HT34" s="18" t="n"/>
      <c r="HU34" s="18" t="n"/>
      <c r="HV34" s="18" t="n"/>
      <c r="HW34" s="18" t="n"/>
      <c r="HX34" s="18" t="n"/>
      <c r="HY34" s="18" t="n"/>
      <c r="HZ34" s="18" t="n"/>
      <c r="IA34" s="18" t="n"/>
      <c r="IB34" s="18" t="n"/>
      <c r="IC34" s="18" t="n"/>
      <c r="ID34" s="18" t="n"/>
      <c r="IE34" s="18" t="n"/>
      <c r="IF34" s="18" t="n"/>
      <c r="IG34" s="18" t="n"/>
      <c r="IH34" s="18" t="n"/>
      <c r="II34" s="18" t="n"/>
      <c r="IJ34" s="18" t="n"/>
      <c r="IK34" s="18" t="n"/>
      <c r="IL34" s="18" t="n"/>
      <c r="IM34" s="18" t="n"/>
      <c r="IN34" s="18" t="n"/>
      <c r="IO34" s="18" t="n"/>
      <c r="IP34" s="18" t="n"/>
      <c r="IQ34" s="18" t="n"/>
      <c r="IR34" s="18" t="n"/>
      <c r="IS34" s="18" t="n"/>
      <c r="IT34" s="18" t="n"/>
      <c r="IU34" s="18" t="n"/>
      <c r="IV34" s="18" t="n"/>
      <c r="IW34" s="18" t="n"/>
      <c r="IX34" s="18" t="n"/>
      <c r="IY34" s="18" t="n"/>
      <c r="IZ34" s="18" t="n"/>
      <c r="JA34" s="18" t="n"/>
      <c r="JB34" s="18" t="n"/>
      <c r="JC34" s="18" t="n"/>
      <c r="JD34" s="18" t="n"/>
      <c r="JE34" s="18" t="n"/>
      <c r="JF34" s="18" t="n"/>
      <c r="JG34" s="18" t="n"/>
      <c r="JH34" s="18" t="n"/>
      <c r="JI34" s="18" t="n"/>
      <c r="JJ34" s="18" t="n"/>
      <c r="JK34" s="18" t="n"/>
      <c r="JL34" s="18" t="n"/>
      <c r="JM34" s="18" t="n"/>
      <c r="JN34" s="18" t="n"/>
      <c r="JO34" s="18" t="n"/>
      <c r="JP34" s="18" t="n"/>
      <c r="JQ34" s="18" t="n"/>
      <c r="JR34" s="18" t="n"/>
      <c r="JS34" s="18" t="n"/>
      <c r="JT34" s="18" t="n"/>
      <c r="JU34" s="18" t="n"/>
      <c r="JV34" s="18" t="n"/>
      <c r="JW34" s="18" t="n"/>
      <c r="JX34" s="18" t="n"/>
      <c r="JY34" s="18" t="n"/>
      <c r="JZ34" s="18" t="n"/>
      <c r="KA34" s="18" t="n"/>
      <c r="KB34" s="18" t="n"/>
      <c r="KC34" s="18" t="n"/>
      <c r="KD34" s="18" t="n"/>
      <c r="KE34" s="18" t="n"/>
      <c r="KF34" s="18" t="n"/>
      <c r="KG34" s="18" t="n"/>
      <c r="KH34" s="18" t="n"/>
      <c r="KI34" s="18" t="n"/>
      <c r="KJ34" s="18" t="n"/>
      <c r="KK34" s="18" t="n"/>
      <c r="KL34" s="18" t="n"/>
      <c r="KM34" s="18" t="n"/>
      <c r="KN34" s="18" t="n"/>
    </row>
    <row r="35" ht="52.05" customHeight="1" s="88">
      <c r="A35" s="29" t="inlineStr">
        <is>
          <t>9000</t>
        </is>
      </c>
      <c r="B35" s="29" t="inlineStr">
        <is>
          <t>9000-1</t>
        </is>
      </c>
      <c r="C35" s="29" t="inlineStr">
        <is>
          <t>지반조사</t>
        </is>
      </c>
      <c r="D35" s="98" t="inlineStr">
        <is>
          <t>9000-1-34</t>
        </is>
      </c>
      <c r="E35" s="102" t="inlineStr">
        <is>
          <t>9000-1-33</t>
        </is>
      </c>
      <c r="F35" s="99" t="inlineStr">
        <is>
          <t>9000-1-35</t>
        </is>
      </c>
      <c r="G35" s="32" t="inlineStr">
        <is>
          <t>설계변경 LL 리포트 관리</t>
        </is>
      </c>
      <c r="H35" s="100" t="n"/>
      <c r="I35" s="33" t="inlineStr">
        <is>
          <t>토목수행팀 (협업: 현장소장)</t>
        </is>
      </c>
      <c r="J35" s="34" t="inlineStr">
        <is>
          <t>전체 현장 설계변경 사항 기록</t>
        </is>
      </c>
      <c r="K35" s="34" t="inlineStr">
        <is>
          <t>• 현장별 설계변경 LL 리포트 취합 관리</t>
        </is>
      </c>
      <c r="L35" s="34" t="inlineStr">
        <is>
          <t>LL리포트 List</t>
        </is>
      </c>
      <c r="M35" s="34" t="inlineStr">
        <is>
          <t>전체 현장 설계변경 사항 기록 | LL리포트 List</t>
        </is>
      </c>
      <c r="N35" s="65">
        <f>HYPERLINK(LEFT(CELL("filename",A1),FIND("[",CELL("filename",A1))-1)&amp;"1.지반조사/34_설계변경 LL 리포트 관리/표준서/설계변경 LL 리포트 관리_표준서.html", "표준서 열기")</f>
        <v/>
      </c>
      <c r="O35" s="34" t="inlineStr">
        <is>
          <t>• 현장별 설계변경 LL 리포트 취합 관리</t>
        </is>
      </c>
      <c r="P35" s="66">
        <f>HYPERLINK(LEFT(CELL("filename",A1),FIND("[",CELL("filename",A1))-1)&amp;"1.지반조사/34_설계변경 LL 리포트 관리/수행지침/설계변경 LL 리포트 관리_수행지침.html", "수행지침서 열기")</f>
        <v/>
      </c>
      <c r="Q35" s="34" t="inlineStr">
        <is>
          <t>1) 설계변경 LL 리포트 관리 적정성을 확인하였는가? 2) LL리포트 List 산출물을 확보하였는가?</t>
        </is>
      </c>
      <c r="R35" s="67">
        <f>HYPERLINK(LEFT(CELL("filename",A1),FIND("[",CELL("filename",A1))-1)&amp;"1.지반조사/34_설계변경 LL 리포트 관리/체크리스트/설계변경 LL 리포트 관리_체크리스트.html", "체크리스트 열기")</f>
        <v/>
      </c>
      <c r="S35" s="33" t="n"/>
      <c r="T35" s="2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8" t="n"/>
      <c r="EJ35" s="18" t="n"/>
      <c r="EK35" s="18" t="n"/>
      <c r="EL35" s="18" t="n"/>
      <c r="EM35" s="18" t="n"/>
      <c r="EN35" s="18" t="n"/>
      <c r="EO35" s="18" t="n"/>
      <c r="EP35" s="18" t="n"/>
      <c r="EQ35" s="18" t="n"/>
      <c r="ER35" s="18" t="n"/>
      <c r="ES35" s="18" t="n"/>
      <c r="ET35" s="18" t="n"/>
      <c r="EU35" s="18" t="n"/>
      <c r="EV35" s="18" t="n"/>
      <c r="EW35" s="18" t="n"/>
      <c r="EX35" s="18" t="n"/>
      <c r="EY35" s="18" t="n"/>
      <c r="EZ35" s="18" t="n"/>
      <c r="FA35" s="18" t="n"/>
      <c r="FB35" s="18" t="n"/>
      <c r="FC35" s="18" t="n"/>
      <c r="FD35" s="18" t="n"/>
      <c r="FE35" s="18" t="n"/>
      <c r="FF35" s="18" t="n"/>
      <c r="FG35" s="18" t="n"/>
      <c r="FH35" s="18" t="n"/>
      <c r="FI35" s="18" t="n"/>
      <c r="FJ35" s="18" t="n"/>
      <c r="FK35" s="18" t="n"/>
      <c r="FL35" s="18" t="n"/>
      <c r="FM35" s="18" t="n"/>
      <c r="FN35" s="18" t="n"/>
      <c r="FO35" s="18" t="n"/>
      <c r="FP35" s="18" t="n"/>
      <c r="FQ35" s="18" t="n"/>
      <c r="FR35" s="18" t="n"/>
      <c r="FS35" s="18" t="n"/>
      <c r="FT35" s="18" t="n"/>
      <c r="FU35" s="18" t="n"/>
      <c r="FV35" s="18" t="n"/>
      <c r="FW35" s="18" t="n"/>
      <c r="FX35" s="18" t="n"/>
      <c r="FY35" s="18" t="n"/>
      <c r="FZ35" s="18" t="n"/>
      <c r="GA35" s="18" t="n"/>
      <c r="GB35" s="18" t="n"/>
      <c r="GC35" s="18" t="n"/>
      <c r="GD35" s="18" t="n"/>
      <c r="GE35" s="18" t="n"/>
      <c r="GF35" s="18" t="n"/>
      <c r="GG35" s="18" t="n"/>
      <c r="GH35" s="18" t="n"/>
      <c r="GI35" s="18" t="n"/>
      <c r="GJ35" s="18" t="n"/>
      <c r="GK35" s="18" t="n"/>
      <c r="GL35" s="18" t="n"/>
      <c r="GM35" s="18" t="n"/>
      <c r="GN35" s="18" t="n"/>
      <c r="GO35" s="18" t="n"/>
      <c r="GP35" s="18" t="n"/>
      <c r="GQ35" s="18" t="n"/>
      <c r="GR35" s="18" t="n"/>
      <c r="GS35" s="18" t="n"/>
      <c r="GT35" s="18" t="n"/>
      <c r="GU35" s="18" t="n"/>
      <c r="GV35" s="18" t="n"/>
      <c r="GW35" s="18" t="n"/>
      <c r="GX35" s="18" t="n"/>
      <c r="GY35" s="18" t="n"/>
      <c r="GZ35" s="18" t="n"/>
      <c r="HA35" s="18" t="n"/>
      <c r="HB35" s="18" t="n"/>
      <c r="HC35" s="18" t="n"/>
      <c r="HD35" s="18" t="n"/>
      <c r="HE35" s="18" t="n"/>
      <c r="HF35" s="18" t="n"/>
      <c r="HG35" s="18" t="n"/>
      <c r="HH35" s="18" t="n"/>
      <c r="HI35" s="18" t="n"/>
      <c r="HJ35" s="18" t="n"/>
      <c r="HK35" s="18" t="n"/>
      <c r="HL35" s="18" t="n"/>
      <c r="HM35" s="18" t="n"/>
      <c r="HN35" s="18" t="n"/>
      <c r="HO35" s="18" t="n"/>
      <c r="HP35" s="18" t="n"/>
      <c r="HQ35" s="18" t="n"/>
      <c r="HR35" s="18" t="n"/>
      <c r="HS35" s="18" t="n"/>
      <c r="HT35" s="18" t="n"/>
      <c r="HU35" s="18" t="n"/>
      <c r="HV35" s="18" t="n"/>
      <c r="HW35" s="18" t="n"/>
      <c r="HX35" s="18" t="n"/>
      <c r="HY35" s="18" t="n"/>
      <c r="HZ35" s="18" t="n"/>
      <c r="IA35" s="18" t="n"/>
      <c r="IB35" s="18" t="n"/>
      <c r="IC35" s="18" t="n"/>
      <c r="ID35" s="18" t="n"/>
      <c r="IE35" s="18" t="n"/>
      <c r="IF35" s="18" t="n"/>
      <c r="IG35" s="18" t="n"/>
      <c r="IH35" s="18" t="n"/>
      <c r="II35" s="18" t="n"/>
      <c r="IJ35" s="18" t="n"/>
      <c r="IK35" s="18" t="n"/>
      <c r="IL35" s="18" t="n"/>
      <c r="IM35" s="18" t="n"/>
      <c r="IN35" s="18" t="n"/>
      <c r="IO35" s="18" t="n"/>
      <c r="IP35" s="18" t="n"/>
      <c r="IQ35" s="18" t="n"/>
      <c r="IR35" s="18" t="n"/>
      <c r="IS35" s="18" t="n"/>
      <c r="IT35" s="18" t="n"/>
      <c r="IU35" s="18" t="n"/>
      <c r="IV35" s="18" t="n"/>
      <c r="IW35" s="18" t="n"/>
      <c r="IX35" s="18" t="n"/>
      <c r="IY35" s="18" t="n"/>
      <c r="IZ35" s="18" t="n"/>
      <c r="JA35" s="18" t="n"/>
      <c r="JB35" s="18" t="n"/>
      <c r="JC35" s="18" t="n"/>
      <c r="JD35" s="18" t="n"/>
      <c r="JE35" s="18" t="n"/>
      <c r="JF35" s="18" t="n"/>
      <c r="JG35" s="18" t="n"/>
      <c r="JH35" s="18" t="n"/>
      <c r="JI35" s="18" t="n"/>
      <c r="JJ35" s="18" t="n"/>
      <c r="JK35" s="18" t="n"/>
      <c r="JL35" s="18" t="n"/>
      <c r="JM35" s="18" t="n"/>
      <c r="JN35" s="18" t="n"/>
      <c r="JO35" s="18" t="n"/>
      <c r="JP35" s="18" t="n"/>
      <c r="JQ35" s="18" t="n"/>
      <c r="JR35" s="18" t="n"/>
      <c r="JS35" s="18" t="n"/>
      <c r="JT35" s="18" t="n"/>
      <c r="JU35" s="18" t="n"/>
      <c r="JV35" s="18" t="n"/>
      <c r="JW35" s="18" t="n"/>
      <c r="JX35" s="18" t="n"/>
      <c r="JY35" s="18" t="n"/>
      <c r="JZ35" s="18" t="n"/>
      <c r="KA35" s="18" t="n"/>
      <c r="KB35" s="18" t="n"/>
      <c r="KC35" s="18" t="n"/>
      <c r="KD35" s="18" t="n"/>
      <c r="KE35" s="18" t="n"/>
      <c r="KF35" s="18" t="n"/>
      <c r="KG35" s="18" t="n"/>
      <c r="KH35" s="18" t="n"/>
      <c r="KI35" s="18" t="n"/>
      <c r="KJ35" s="18" t="n"/>
      <c r="KK35" s="18" t="n"/>
      <c r="KL35" s="18" t="n"/>
      <c r="KM35" s="18" t="n"/>
      <c r="KN35" s="18" t="n"/>
      <c r="KO35" s="18" t="n"/>
      <c r="KP35" s="18" t="n"/>
      <c r="KQ35" s="18" t="n"/>
      <c r="KR35" s="18" t="n"/>
    </row>
    <row r="36" ht="52.05" customHeight="1" s="88">
      <c r="A36" s="19" t="inlineStr">
        <is>
          <t>9000</t>
        </is>
      </c>
      <c r="B36" s="19" t="inlineStr">
        <is>
          <t>9000-1</t>
        </is>
      </c>
      <c r="C36" s="19" t="inlineStr">
        <is>
          <t>지반조사</t>
        </is>
      </c>
      <c r="D36" s="94" t="inlineStr">
        <is>
          <t>9000-1-35</t>
        </is>
      </c>
      <c r="E36" s="95" t="inlineStr">
        <is>
          <t>9000-1-34</t>
        </is>
      </c>
      <c r="F36" s="96" t="inlineStr">
        <is>
          <t>9000-1-36</t>
        </is>
      </c>
      <c r="G36" s="23" t="inlineStr">
        <is>
          <t>지반조사업체 정산계약</t>
        </is>
      </c>
      <c r="H36" s="97" t="n"/>
      <c r="I36" s="21" t="inlineStr">
        <is>
          <t>일반구매팀 (협업: 현장 공무팀)</t>
        </is>
      </c>
      <c r="J36" s="24" t="inlineStr">
        <is>
          <t>지반조사업체 정산</t>
        </is>
      </c>
      <c r="K36" s="24" t="inlineStr">
        <is>
          <t>• 조사도 수량 Check 후 구매시스템 변경계약 수행
• 변경계약 후 정산금 집행</t>
        </is>
      </c>
      <c r="L36" s="24" t="inlineStr">
        <is>
          <t>정산계약서</t>
        </is>
      </c>
      <c r="M36" s="24" t="inlineStr">
        <is>
          <t>지반조사업체 정산 | 정산계약서</t>
        </is>
      </c>
      <c r="N36" s="65">
        <f>HYPERLINK(LEFT(CELL("filename",A1),FIND("[",CELL("filename",A1))-1)&amp;"1.지반조사/35_지반조사업체 정산계약/표준서/지반조사업체 정산계약_표준서.html", "표준서 열기")</f>
        <v/>
      </c>
      <c r="O36" s="24" t="inlineStr">
        <is>
          <t>• 조사도 수량 Check 후 구매시스템 변경계약 수행 • 변경계약 후 정산금 집행</t>
        </is>
      </c>
      <c r="P36" s="66">
        <f>HYPERLINK(LEFT(CELL("filename",A1),FIND("[",CELL("filename",A1))-1)&amp;"1.지반조사/35_지반조사업체 정산계약/수행지침/지반조사업체 정산계약_수행지침.html", "수행지침서 열기")</f>
        <v/>
      </c>
      <c r="Q36" s="24" t="inlineStr">
        <is>
          <t>1) 지반조사업체 정산계약 적정성을 확인하였는가? 2) 정산계약서 산출물을 확보하였는가?</t>
        </is>
      </c>
      <c r="R36" s="67">
        <f>HYPERLINK(LEFT(CELL("filename",A1),FIND("[",CELL("filename",A1))-1)&amp;"1.지반조사/35_지반조사업체 정산계약/체크리스트/지반조사업체 정산계약_체크리스트.html", "체크리스트 열기")</f>
        <v/>
      </c>
      <c r="S36" s="21" t="n"/>
      <c r="T36" s="2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Y36" s="18" t="n"/>
      <c r="DZ36" s="18" t="n"/>
      <c r="EA36" s="18" t="n"/>
      <c r="EB36" s="18" t="n"/>
      <c r="EC36" s="18" t="n"/>
      <c r="ED36" s="18" t="n"/>
      <c r="EE36" s="18" t="n"/>
      <c r="EF36" s="18" t="n"/>
      <c r="EG36" s="18" t="n"/>
      <c r="EH36" s="18" t="n"/>
      <c r="EI36" s="18" t="n"/>
      <c r="EJ36" s="18" t="n"/>
      <c r="EK36" s="18" t="n"/>
      <c r="EL36" s="18" t="n"/>
      <c r="EM36" s="18" t="n"/>
      <c r="EN36" s="18" t="n"/>
      <c r="EO36" s="18" t="n"/>
      <c r="EP36" s="18" t="n"/>
      <c r="EQ36" s="18" t="n"/>
      <c r="ER36" s="18" t="n"/>
      <c r="ES36" s="18" t="n"/>
      <c r="ET36" s="18" t="n"/>
      <c r="EU36" s="18" t="n"/>
      <c r="EV36" s="18" t="n"/>
      <c r="EW36" s="18" t="n"/>
      <c r="EX36" s="18" t="n"/>
      <c r="EY36" s="18" t="n"/>
      <c r="EZ36" s="18" t="n"/>
      <c r="FA36" s="18" t="n"/>
      <c r="FB36" s="18" t="n"/>
      <c r="FC36" s="18" t="n"/>
      <c r="FD36" s="18" t="n"/>
      <c r="FE36" s="18" t="n"/>
      <c r="FF36" s="18" t="n"/>
      <c r="FG36" s="18" t="n"/>
      <c r="FH36" s="18" t="n"/>
      <c r="FI36" s="18" t="n"/>
      <c r="FJ36" s="18" t="n"/>
      <c r="FK36" s="18" t="n"/>
      <c r="FL36" s="18" t="n"/>
      <c r="FM36" s="18" t="n"/>
      <c r="FN36" s="18" t="n"/>
      <c r="FO36" s="18" t="n"/>
      <c r="FP36" s="18" t="n"/>
      <c r="FQ36" s="18" t="n"/>
      <c r="FR36" s="18" t="n"/>
      <c r="FS36" s="18" t="n"/>
      <c r="FT36" s="18" t="n"/>
      <c r="FU36" s="18" t="n"/>
      <c r="FV36" s="18" t="n"/>
      <c r="FW36" s="18" t="n"/>
      <c r="FX36" s="18" t="n"/>
      <c r="FY36" s="18" t="n"/>
      <c r="FZ36" s="18" t="n"/>
      <c r="GA36" s="18" t="n"/>
      <c r="GB36" s="18" t="n"/>
      <c r="GC36" s="18" t="n"/>
      <c r="GD36" s="18" t="n"/>
      <c r="GE36" s="18" t="n"/>
      <c r="GF36" s="18" t="n"/>
      <c r="GG36" s="18" t="n"/>
      <c r="GH36" s="18" t="n"/>
      <c r="GI36" s="18" t="n"/>
      <c r="GJ36" s="18" t="n"/>
      <c r="GK36" s="18" t="n"/>
      <c r="GL36" s="18" t="n"/>
      <c r="GM36" s="18" t="n"/>
      <c r="GN36" s="18" t="n"/>
      <c r="GO36" s="18" t="n"/>
      <c r="GP36" s="18" t="n"/>
      <c r="GQ36" s="18" t="n"/>
      <c r="GR36" s="18" t="n"/>
      <c r="GS36" s="18" t="n"/>
      <c r="GT36" s="18" t="n"/>
      <c r="GU36" s="18" t="n"/>
      <c r="GV36" s="18" t="n"/>
      <c r="GW36" s="18" t="n"/>
      <c r="GX36" s="18" t="n"/>
      <c r="GY36" s="18" t="n"/>
      <c r="GZ36" s="18" t="n"/>
      <c r="HA36" s="18" t="n"/>
      <c r="HB36" s="18" t="n"/>
      <c r="HC36" s="18" t="n"/>
      <c r="HD36" s="18" t="n"/>
      <c r="HE36" s="18" t="n"/>
      <c r="HF36" s="18" t="n"/>
      <c r="HG36" s="18" t="n"/>
      <c r="HH36" s="18" t="n"/>
      <c r="HI36" s="18" t="n"/>
      <c r="HJ36" s="18" t="n"/>
      <c r="HK36" s="18" t="n"/>
      <c r="HL36" s="18" t="n"/>
      <c r="HM36" s="18" t="n"/>
      <c r="HN36" s="18" t="n"/>
      <c r="HO36" s="18" t="n"/>
      <c r="HP36" s="18" t="n"/>
      <c r="HQ36" s="18" t="n"/>
      <c r="HR36" s="18" t="n"/>
      <c r="HS36" s="18" t="n"/>
      <c r="HT36" s="18" t="n"/>
      <c r="HU36" s="18" t="n"/>
      <c r="HV36" s="18" t="n"/>
      <c r="HW36" s="18" t="n"/>
      <c r="HX36" s="18" t="n"/>
      <c r="HY36" s="18" t="n"/>
      <c r="HZ36" s="18" t="n"/>
      <c r="IA36" s="18" t="n"/>
      <c r="IB36" s="18" t="n"/>
      <c r="IC36" s="18" t="n"/>
      <c r="ID36" s="18" t="n"/>
      <c r="IE36" s="18" t="n"/>
      <c r="IF36" s="18" t="n"/>
      <c r="IG36" s="18" t="n"/>
      <c r="IH36" s="18" t="n"/>
      <c r="II36" s="18" t="n"/>
      <c r="IJ36" s="18" t="n"/>
      <c r="IK36" s="18" t="n"/>
      <c r="IL36" s="18" t="n"/>
      <c r="IM36" s="18" t="n"/>
      <c r="IN36" s="18" t="n"/>
      <c r="IO36" s="18" t="n"/>
      <c r="IP36" s="18" t="n"/>
      <c r="IQ36" s="18" t="n"/>
      <c r="IR36" s="18" t="n"/>
      <c r="IS36" s="18" t="n"/>
      <c r="IT36" s="18" t="n"/>
      <c r="IU36" s="18" t="n"/>
      <c r="IV36" s="18" t="n"/>
      <c r="IW36" s="18" t="n"/>
      <c r="IX36" s="18" t="n"/>
      <c r="IY36" s="18" t="n"/>
      <c r="IZ36" s="18" t="n"/>
      <c r="JA36" s="18" t="n"/>
      <c r="JB36" s="18" t="n"/>
      <c r="JC36" s="18" t="n"/>
      <c r="JD36" s="18" t="n"/>
      <c r="JE36" s="18" t="n"/>
      <c r="JF36" s="18" t="n"/>
      <c r="JG36" s="18" t="n"/>
      <c r="JH36" s="18" t="n"/>
      <c r="JI36" s="18" t="n"/>
      <c r="JJ36" s="18" t="n"/>
      <c r="JK36" s="18" t="n"/>
      <c r="JL36" s="18" t="n"/>
      <c r="JM36" s="18" t="n"/>
      <c r="JN36" s="18" t="n"/>
      <c r="JO36" s="18" t="n"/>
      <c r="JP36" s="18" t="n"/>
      <c r="JQ36" s="18" t="n"/>
      <c r="JR36" s="18" t="n"/>
      <c r="JS36" s="18" t="n"/>
      <c r="JT36" s="18" t="n"/>
      <c r="JU36" s="18" t="n"/>
      <c r="JV36" s="18" t="n"/>
      <c r="JW36" s="18" t="n"/>
      <c r="JX36" s="18" t="n"/>
      <c r="JY36" s="18" t="n"/>
      <c r="JZ36" s="18" t="n"/>
      <c r="KA36" s="18" t="n"/>
      <c r="KB36" s="18" t="n"/>
      <c r="KC36" s="18" t="n"/>
      <c r="KD36" s="18" t="n"/>
      <c r="KE36" s="18" t="n"/>
      <c r="KF36" s="18" t="n"/>
      <c r="KG36" s="18" t="n"/>
      <c r="KH36" s="18" t="n"/>
      <c r="KI36" s="18" t="n"/>
      <c r="KJ36" s="18" t="n"/>
      <c r="KK36" s="18" t="n"/>
      <c r="KL36" s="18" t="n"/>
      <c r="KM36" s="18" t="n"/>
      <c r="KN36" s="18" t="n"/>
      <c r="KO36" s="18" t="n"/>
      <c r="KP36" s="18" t="n"/>
      <c r="KQ36" s="18" t="n"/>
      <c r="KR36" s="18" t="n"/>
      <c r="KS36" s="18" t="n"/>
      <c r="KT36" s="18" t="n"/>
      <c r="KU36" s="18" t="n"/>
      <c r="KV36" s="18" t="n"/>
    </row>
    <row r="37" ht="52.05" customHeight="1" s="88">
      <c r="A37" s="29" t="inlineStr">
        <is>
          <t>9000</t>
        </is>
      </c>
      <c r="B37" s="29" t="inlineStr">
        <is>
          <t>9000-1</t>
        </is>
      </c>
      <c r="C37" s="29" t="inlineStr">
        <is>
          <t>지반조사</t>
        </is>
      </c>
      <c r="D37" s="98" t="inlineStr">
        <is>
          <t>9000-1-36</t>
        </is>
      </c>
      <c r="E37" s="102" t="inlineStr">
        <is>
          <t>9000-1-35</t>
        </is>
      </c>
      <c r="F37" s="99" t="inlineStr">
        <is>
          <t>-</t>
        </is>
      </c>
      <c r="G37" s="32" t="inlineStr">
        <is>
          <t>매뉴얼 Update</t>
        </is>
      </c>
      <c r="H37" s="100" t="n"/>
      <c r="I37" s="33" t="inlineStr">
        <is>
          <t>혁신실장 (협업: 현장 공무팀)</t>
        </is>
      </c>
      <c r="J37" s="34" t="inlineStr">
        <is>
          <t>지반조사 매뉴얼 Update</t>
        </is>
      </c>
      <c r="K37" s="34" t="inlineStr">
        <is>
          <t>• 매뉴얼 Update 및 개정사항 사내공지</t>
        </is>
      </c>
      <c r="L37" s="34" t="inlineStr">
        <is>
          <t>지반조사 매뉴얼</t>
        </is>
      </c>
      <c r="M37" s="34" t="inlineStr">
        <is>
          <t>지반조사 매뉴얼 Update | 지반조사 매뉴얼</t>
        </is>
      </c>
      <c r="N37" s="65">
        <f>HYPERLINK(LEFT(CELL("filename",A1),FIND("[",CELL("filename",A1))-1)&amp;"1.지반조사/36_매뉴얼 Update/표준서/매뉴얼 Update_표준서.html", "표준서 열기")</f>
        <v/>
      </c>
      <c r="O37" s="34" t="inlineStr">
        <is>
          <t>• 매뉴얼 Update 및 개정사항 사내공지</t>
        </is>
      </c>
      <c r="P37" s="66">
        <f>HYPERLINK(LEFT(CELL("filename",A1),FIND("[",CELL("filename",A1))-1)&amp;"1.지반조사/36_매뉴얼 Update/수행지침/매뉴얼 Update_수행지침.html", "수행지침서 열기")</f>
        <v/>
      </c>
      <c r="Q37" s="34" t="inlineStr">
        <is>
          <t>1) 매뉴얼 Update 적정성을 확인하였는가? 2) 지반조사 매뉴얼 산출물을 확보하였는가?</t>
        </is>
      </c>
      <c r="R37" s="67">
        <f>HYPERLINK(LEFT(CELL("filename",A1),FIND("[",CELL("filename",A1))-1)&amp;"1.지반조사/36_매뉴얼 Update/체크리스트/매뉴얼 Update_체크리스트.html", "체크리스트 열기")</f>
        <v/>
      </c>
      <c r="S37" s="33" t="n"/>
      <c r="T37" s="2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  <c r="DY37" s="18" t="n"/>
      <c r="DZ37" s="18" t="n"/>
      <c r="EA37" s="18" t="n"/>
      <c r="EB37" s="18" t="n"/>
      <c r="EC37" s="18" t="n"/>
      <c r="ED37" s="18" t="n"/>
      <c r="EE37" s="18" t="n"/>
      <c r="EF37" s="18" t="n"/>
      <c r="EG37" s="18" t="n"/>
      <c r="EH37" s="18" t="n"/>
      <c r="EI37" s="18" t="n"/>
      <c r="EJ37" s="18" t="n"/>
      <c r="EK37" s="18" t="n"/>
      <c r="EL37" s="18" t="n"/>
      <c r="EM37" s="18" t="n"/>
      <c r="EN37" s="18" t="n"/>
      <c r="EO37" s="18" t="n"/>
      <c r="EP37" s="18" t="n"/>
      <c r="EQ37" s="18" t="n"/>
      <c r="ER37" s="18" t="n"/>
      <c r="ES37" s="18" t="n"/>
      <c r="ET37" s="18" t="n"/>
      <c r="EU37" s="18" t="n"/>
      <c r="EV37" s="18" t="n"/>
      <c r="EW37" s="18" t="n"/>
      <c r="EX37" s="18" t="n"/>
      <c r="EY37" s="18" t="n"/>
      <c r="EZ37" s="18" t="n"/>
      <c r="FA37" s="18" t="n"/>
      <c r="FB37" s="18" t="n"/>
      <c r="FC37" s="18" t="n"/>
      <c r="FD37" s="18" t="n"/>
      <c r="FE37" s="18" t="n"/>
      <c r="FF37" s="18" t="n"/>
      <c r="FG37" s="18" t="n"/>
      <c r="FH37" s="18" t="n"/>
      <c r="FI37" s="18" t="n"/>
      <c r="FJ37" s="18" t="n"/>
      <c r="FK37" s="18" t="n"/>
      <c r="FL37" s="18" t="n"/>
      <c r="FM37" s="18" t="n"/>
      <c r="FN37" s="18" t="n"/>
      <c r="FO37" s="18" t="n"/>
      <c r="FP37" s="18" t="n"/>
      <c r="FQ37" s="18" t="n"/>
      <c r="FR37" s="18" t="n"/>
      <c r="FS37" s="18" t="n"/>
      <c r="FT37" s="18" t="n"/>
      <c r="FU37" s="18" t="n"/>
      <c r="FV37" s="18" t="n"/>
      <c r="FW37" s="18" t="n"/>
      <c r="FX37" s="18" t="n"/>
      <c r="FY37" s="18" t="n"/>
      <c r="FZ37" s="18" t="n"/>
      <c r="GA37" s="18" t="n"/>
      <c r="GB37" s="18" t="n"/>
      <c r="GC37" s="18" t="n"/>
      <c r="GD37" s="18" t="n"/>
      <c r="GE37" s="18" t="n"/>
      <c r="GF37" s="18" t="n"/>
      <c r="GG37" s="18" t="n"/>
      <c r="GH37" s="18" t="n"/>
      <c r="GI37" s="18" t="n"/>
      <c r="GJ37" s="18" t="n"/>
      <c r="GK37" s="18" t="n"/>
      <c r="GL37" s="18" t="n"/>
      <c r="GM37" s="18" t="n"/>
      <c r="GN37" s="18" t="n"/>
      <c r="GO37" s="18" t="n"/>
      <c r="GP37" s="18" t="n"/>
      <c r="GQ37" s="18" t="n"/>
      <c r="GR37" s="18" t="n"/>
      <c r="GS37" s="18" t="n"/>
      <c r="GT37" s="18" t="n"/>
      <c r="GU37" s="18" t="n"/>
      <c r="GV37" s="18" t="n"/>
      <c r="GW37" s="18" t="n"/>
      <c r="GX37" s="18" t="n"/>
      <c r="GY37" s="18" t="n"/>
      <c r="GZ37" s="18" t="n"/>
      <c r="HA37" s="18" t="n"/>
      <c r="HB37" s="18" t="n"/>
      <c r="HC37" s="18" t="n"/>
      <c r="HD37" s="18" t="n"/>
      <c r="HE37" s="18" t="n"/>
      <c r="HF37" s="18" t="n"/>
      <c r="HG37" s="18" t="n"/>
      <c r="HH37" s="18" t="n"/>
      <c r="HI37" s="18" t="n"/>
      <c r="HJ37" s="18" t="n"/>
      <c r="HK37" s="18" t="n"/>
      <c r="HL37" s="18" t="n"/>
      <c r="HM37" s="18" t="n"/>
      <c r="HN37" s="18" t="n"/>
      <c r="HO37" s="18" t="n"/>
      <c r="HP37" s="18" t="n"/>
      <c r="HQ37" s="18" t="n"/>
      <c r="HR37" s="18" t="n"/>
      <c r="HS37" s="18" t="n"/>
      <c r="HT37" s="18" t="n"/>
      <c r="HU37" s="18" t="n"/>
      <c r="HV37" s="18" t="n"/>
      <c r="HW37" s="18" t="n"/>
      <c r="HX37" s="18" t="n"/>
      <c r="HY37" s="18" t="n"/>
      <c r="HZ37" s="18" t="n"/>
      <c r="IA37" s="18" t="n"/>
      <c r="IB37" s="18" t="n"/>
      <c r="IC37" s="18" t="n"/>
      <c r="ID37" s="18" t="n"/>
      <c r="IE37" s="18" t="n"/>
      <c r="IF37" s="18" t="n"/>
      <c r="IG37" s="18" t="n"/>
      <c r="IH37" s="18" t="n"/>
      <c r="II37" s="18" t="n"/>
      <c r="IJ37" s="18" t="n"/>
      <c r="IK37" s="18" t="n"/>
      <c r="IL37" s="18" t="n"/>
      <c r="IM37" s="18" t="n"/>
      <c r="IN37" s="18" t="n"/>
      <c r="IO37" s="18" t="n"/>
      <c r="IP37" s="18" t="n"/>
      <c r="IQ37" s="18" t="n"/>
      <c r="IR37" s="18" t="n"/>
      <c r="IS37" s="18" t="n"/>
      <c r="IT37" s="18" t="n"/>
      <c r="IU37" s="18" t="n"/>
      <c r="IV37" s="18" t="n"/>
      <c r="IW37" s="18" t="n"/>
      <c r="IX37" s="18" t="n"/>
      <c r="IY37" s="18" t="n"/>
      <c r="IZ37" s="18" t="n"/>
      <c r="JA37" s="18" t="n"/>
      <c r="JB37" s="18" t="n"/>
      <c r="JC37" s="18" t="n"/>
      <c r="JD37" s="18" t="n"/>
      <c r="JE37" s="18" t="n"/>
      <c r="JF37" s="18" t="n"/>
      <c r="JG37" s="18" t="n"/>
      <c r="JH37" s="18" t="n"/>
      <c r="JI37" s="18" t="n"/>
      <c r="JJ37" s="18" t="n"/>
      <c r="JK37" s="18" t="n"/>
      <c r="JL37" s="18" t="n"/>
      <c r="JM37" s="18" t="n"/>
      <c r="JN37" s="18" t="n"/>
      <c r="JO37" s="18" t="n"/>
      <c r="JP37" s="18" t="n"/>
      <c r="JQ37" s="18" t="n"/>
      <c r="JR37" s="18" t="n"/>
      <c r="JS37" s="18" t="n"/>
      <c r="JT37" s="18" t="n"/>
      <c r="JU37" s="18" t="n"/>
      <c r="JV37" s="18" t="n"/>
      <c r="JW37" s="18" t="n"/>
      <c r="JX37" s="18" t="n"/>
      <c r="JY37" s="18" t="n"/>
      <c r="JZ37" s="18" t="n"/>
      <c r="KA37" s="18" t="n"/>
      <c r="KB37" s="18" t="n"/>
      <c r="KC37" s="18" t="n"/>
      <c r="KD37" s="18" t="n"/>
      <c r="KE37" s="18" t="n"/>
      <c r="KF37" s="18" t="n"/>
      <c r="KG37" s="18" t="n"/>
      <c r="KH37" s="18" t="n"/>
      <c r="KI37" s="18" t="n"/>
      <c r="KJ37" s="18" t="n"/>
      <c r="KK37" s="18" t="n"/>
      <c r="KL37" s="18" t="n"/>
      <c r="KM37" s="18" t="n"/>
      <c r="KN37" s="18" t="n"/>
      <c r="KO37" s="18" t="n"/>
      <c r="KP37" s="18" t="n"/>
      <c r="KQ37" s="18" t="n"/>
      <c r="KR37" s="18" t="n"/>
      <c r="KS37" s="18" t="n"/>
      <c r="KT37" s="18" t="n"/>
      <c r="KU37" s="18" t="n"/>
      <c r="KV37" s="18" t="n"/>
      <c r="KW37" s="18" t="n"/>
      <c r="KX37" s="18" t="n"/>
      <c r="KY37" s="18" t="n"/>
      <c r="KZ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  <c r="DY38" s="18" t="n"/>
      <c r="DZ38" s="18" t="n"/>
      <c r="EA38" s="18" t="n"/>
      <c r="EB38" s="18" t="n"/>
      <c r="EC38" s="18" t="n"/>
      <c r="ED38" s="18" t="n"/>
      <c r="EE38" s="18" t="n"/>
      <c r="EF38" s="18" t="n"/>
      <c r="EG38" s="18" t="n"/>
      <c r="EH38" s="18" t="n"/>
      <c r="EI38" s="18" t="n"/>
      <c r="EJ38" s="18" t="n"/>
      <c r="EK38" s="18" t="n"/>
      <c r="EL38" s="18" t="n"/>
      <c r="EM38" s="18" t="n"/>
      <c r="EN38" s="18" t="n"/>
      <c r="EO38" s="18" t="n"/>
      <c r="EP38" s="18" t="n"/>
      <c r="EQ38" s="18" t="n"/>
      <c r="ER38" s="18" t="n"/>
      <c r="ES38" s="18" t="n"/>
      <c r="ET38" s="18" t="n"/>
      <c r="EU38" s="18" t="n"/>
      <c r="EV38" s="18" t="n"/>
      <c r="EW38" s="18" t="n"/>
      <c r="EX38" s="18" t="n"/>
      <c r="EY38" s="18" t="n"/>
      <c r="EZ38" s="18" t="n"/>
      <c r="FA38" s="18" t="n"/>
      <c r="FB38" s="18" t="n"/>
      <c r="FC38" s="18" t="n"/>
      <c r="FD38" s="18" t="n"/>
      <c r="FE38" s="18" t="n"/>
      <c r="FF38" s="18" t="n"/>
      <c r="FG38" s="18" t="n"/>
      <c r="FH38" s="18" t="n"/>
      <c r="FI38" s="18" t="n"/>
      <c r="FJ38" s="18" t="n"/>
      <c r="FK38" s="18" t="n"/>
      <c r="FL38" s="18" t="n"/>
      <c r="FM38" s="18" t="n"/>
      <c r="FN38" s="18" t="n"/>
      <c r="FO38" s="18" t="n"/>
      <c r="FP38" s="18" t="n"/>
      <c r="FQ38" s="18" t="n"/>
      <c r="FR38" s="18" t="n"/>
      <c r="FS38" s="18" t="n"/>
      <c r="FT38" s="18" t="n"/>
      <c r="FU38" s="18" t="n"/>
      <c r="FV38" s="18" t="n"/>
      <c r="FW38" s="18" t="n"/>
      <c r="FX38" s="18" t="n"/>
      <c r="FY38" s="18" t="n"/>
      <c r="FZ38" s="18" t="n"/>
      <c r="GA38" s="18" t="n"/>
      <c r="GB38" s="18" t="n"/>
      <c r="GC38" s="18" t="n"/>
      <c r="GD38" s="18" t="n"/>
      <c r="GE38" s="18" t="n"/>
      <c r="GF38" s="18" t="n"/>
      <c r="GG38" s="18" t="n"/>
      <c r="GH38" s="18" t="n"/>
      <c r="GI38" s="18" t="n"/>
      <c r="GJ38" s="18" t="n"/>
      <c r="GK38" s="18" t="n"/>
      <c r="GL38" s="18" t="n"/>
      <c r="GM38" s="18" t="n"/>
      <c r="GN38" s="18" t="n"/>
      <c r="GO38" s="18" t="n"/>
      <c r="GP38" s="18" t="n"/>
      <c r="GQ38" s="18" t="n"/>
      <c r="GR38" s="18" t="n"/>
      <c r="GS38" s="18" t="n"/>
      <c r="GT38" s="18" t="n"/>
      <c r="GU38" s="18" t="n"/>
      <c r="GV38" s="18" t="n"/>
      <c r="GW38" s="18" t="n"/>
      <c r="GX38" s="18" t="n"/>
      <c r="GY38" s="18" t="n"/>
      <c r="GZ38" s="18" t="n"/>
      <c r="HA38" s="18" t="n"/>
      <c r="HB38" s="18" t="n"/>
      <c r="HC38" s="18" t="n"/>
      <c r="HD38" s="18" t="n"/>
      <c r="HE38" s="18" t="n"/>
      <c r="HF38" s="18" t="n"/>
      <c r="HG38" s="18" t="n"/>
      <c r="HH38" s="18" t="n"/>
      <c r="HI38" s="18" t="n"/>
      <c r="HJ38" s="18" t="n"/>
      <c r="HK38" s="18" t="n"/>
      <c r="HL38" s="18" t="n"/>
      <c r="HM38" s="18" t="n"/>
      <c r="HN38" s="18" t="n"/>
      <c r="HO38" s="18" t="n"/>
      <c r="HP38" s="18" t="n"/>
      <c r="HQ38" s="18" t="n"/>
      <c r="HR38" s="18" t="n"/>
      <c r="HS38" s="18" t="n"/>
      <c r="HT38" s="18" t="n"/>
      <c r="HU38" s="18" t="n"/>
      <c r="HV38" s="18" t="n"/>
      <c r="HW38" s="18" t="n"/>
      <c r="HX38" s="18" t="n"/>
      <c r="HY38" s="18" t="n"/>
      <c r="HZ38" s="18" t="n"/>
      <c r="IA38" s="18" t="n"/>
      <c r="IB38" s="18" t="n"/>
      <c r="IC38" s="18" t="n"/>
      <c r="ID38" s="18" t="n"/>
      <c r="IE38" s="18" t="n"/>
      <c r="IF38" s="18" t="n"/>
      <c r="IG38" s="18" t="n"/>
      <c r="IH38" s="18" t="n"/>
      <c r="II38" s="18" t="n"/>
      <c r="IJ38" s="18" t="n"/>
      <c r="IK38" s="18" t="n"/>
      <c r="IL38" s="18" t="n"/>
      <c r="IM38" s="18" t="n"/>
      <c r="IN38" s="18" t="n"/>
      <c r="IO38" s="18" t="n"/>
      <c r="IP38" s="18" t="n"/>
      <c r="IQ38" s="18" t="n"/>
      <c r="IR38" s="18" t="n"/>
      <c r="IS38" s="18" t="n"/>
      <c r="IT38" s="18" t="n"/>
      <c r="IU38" s="18" t="n"/>
      <c r="IV38" s="18" t="n"/>
      <c r="IW38" s="18" t="n"/>
      <c r="IX38" s="18" t="n"/>
      <c r="IY38" s="18" t="n"/>
      <c r="IZ38" s="18" t="n"/>
      <c r="JA38" s="18" t="n"/>
      <c r="JB38" s="18" t="n"/>
      <c r="JC38" s="18" t="n"/>
      <c r="JD38" s="18" t="n"/>
      <c r="JE38" s="18" t="n"/>
      <c r="JF38" s="18" t="n"/>
      <c r="JG38" s="18" t="n"/>
      <c r="JH38" s="18" t="n"/>
      <c r="JI38" s="18" t="n"/>
      <c r="JJ38" s="18" t="n"/>
      <c r="JK38" s="18" t="n"/>
      <c r="JL38" s="18" t="n"/>
      <c r="JM38" s="18" t="n"/>
      <c r="JN38" s="18" t="n"/>
      <c r="JO38" s="18" t="n"/>
      <c r="JP38" s="18" t="n"/>
      <c r="JQ38" s="18" t="n"/>
      <c r="JR38" s="18" t="n"/>
      <c r="JS38" s="18" t="n"/>
      <c r="JT38" s="18" t="n"/>
      <c r="JU38" s="18" t="n"/>
      <c r="JV38" s="18" t="n"/>
      <c r="JW38" s="18" t="n"/>
      <c r="JX38" s="18" t="n"/>
      <c r="JY38" s="18" t="n"/>
      <c r="JZ38" s="18" t="n"/>
      <c r="KA38" s="18" t="n"/>
      <c r="KB38" s="18" t="n"/>
      <c r="KC38" s="18" t="n"/>
      <c r="KD38" s="18" t="n"/>
      <c r="KE38" s="18" t="n"/>
      <c r="KF38" s="18" t="n"/>
      <c r="KG38" s="18" t="n"/>
      <c r="KH38" s="18" t="n"/>
      <c r="KI38" s="18" t="n"/>
      <c r="KJ38" s="18" t="n"/>
      <c r="KK38" s="18" t="n"/>
      <c r="KL38" s="18" t="n"/>
      <c r="KM38" s="18" t="n"/>
      <c r="KN38" s="18" t="n"/>
      <c r="KO38" s="18" t="n"/>
      <c r="KP38" s="18" t="n"/>
      <c r="KQ38" s="18" t="n"/>
      <c r="KR38" s="18" t="n"/>
      <c r="KS38" s="18" t="n"/>
      <c r="KT38" s="18" t="n"/>
      <c r="KU38" s="18" t="n"/>
      <c r="KV38" s="18" t="n"/>
      <c r="KW38" s="18" t="n"/>
      <c r="KX38" s="18" t="n"/>
      <c r="KY38" s="18" t="n"/>
      <c r="KZ38" s="18" t="n"/>
      <c r="LA38" s="18" t="n"/>
      <c r="LB38" s="18" t="n"/>
      <c r="LC38" s="18" t="n"/>
      <c r="LD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  <c r="DY39" s="18" t="n"/>
      <c r="DZ39" s="18" t="n"/>
      <c r="EA39" s="18" t="n"/>
      <c r="EB39" s="18" t="n"/>
      <c r="EC39" s="18" t="n"/>
      <c r="ED39" s="18" t="n"/>
      <c r="EE39" s="18" t="n"/>
      <c r="EF39" s="18" t="n"/>
      <c r="EG39" s="18" t="n"/>
      <c r="EH39" s="18" t="n"/>
      <c r="EI39" s="18" t="n"/>
      <c r="EJ39" s="18" t="n"/>
      <c r="EK39" s="18" t="n"/>
      <c r="EL39" s="18" t="n"/>
      <c r="EM39" s="18" t="n"/>
      <c r="EN39" s="18" t="n"/>
      <c r="EO39" s="18" t="n"/>
      <c r="EP39" s="18" t="n"/>
      <c r="EQ39" s="18" t="n"/>
      <c r="ER39" s="18" t="n"/>
      <c r="ES39" s="18" t="n"/>
      <c r="ET39" s="18" t="n"/>
      <c r="EU39" s="18" t="n"/>
      <c r="EV39" s="18" t="n"/>
      <c r="EW39" s="18" t="n"/>
      <c r="EX39" s="18" t="n"/>
      <c r="EY39" s="18" t="n"/>
      <c r="EZ39" s="18" t="n"/>
      <c r="FA39" s="18" t="n"/>
      <c r="FB39" s="18" t="n"/>
      <c r="FC39" s="18" t="n"/>
      <c r="FD39" s="18" t="n"/>
      <c r="FE39" s="18" t="n"/>
      <c r="FF39" s="18" t="n"/>
      <c r="FG39" s="18" t="n"/>
      <c r="FH39" s="18" t="n"/>
      <c r="FI39" s="18" t="n"/>
      <c r="FJ39" s="18" t="n"/>
      <c r="FK39" s="18" t="n"/>
      <c r="FL39" s="18" t="n"/>
      <c r="FM39" s="18" t="n"/>
      <c r="FN39" s="18" t="n"/>
      <c r="FO39" s="18" t="n"/>
      <c r="FP39" s="18" t="n"/>
      <c r="FQ39" s="18" t="n"/>
      <c r="FR39" s="18" t="n"/>
      <c r="FS39" s="18" t="n"/>
      <c r="FT39" s="18" t="n"/>
      <c r="FU39" s="18" t="n"/>
      <c r="FV39" s="18" t="n"/>
      <c r="FW39" s="18" t="n"/>
      <c r="FX39" s="18" t="n"/>
      <c r="FY39" s="18" t="n"/>
      <c r="FZ39" s="18" t="n"/>
      <c r="GA39" s="18" t="n"/>
      <c r="GB39" s="18" t="n"/>
      <c r="GC39" s="18" t="n"/>
      <c r="GD39" s="18" t="n"/>
      <c r="GE39" s="18" t="n"/>
      <c r="GF39" s="18" t="n"/>
      <c r="GG39" s="18" t="n"/>
      <c r="GH39" s="18" t="n"/>
      <c r="GI39" s="18" t="n"/>
      <c r="GJ39" s="18" t="n"/>
      <c r="GK39" s="18" t="n"/>
      <c r="GL39" s="18" t="n"/>
      <c r="GM39" s="18" t="n"/>
      <c r="GN39" s="18" t="n"/>
      <c r="GO39" s="18" t="n"/>
      <c r="GP39" s="18" t="n"/>
      <c r="GQ39" s="18" t="n"/>
      <c r="GR39" s="18" t="n"/>
      <c r="GS39" s="18" t="n"/>
      <c r="GT39" s="18" t="n"/>
      <c r="GU39" s="18" t="n"/>
      <c r="GV39" s="18" t="n"/>
      <c r="GW39" s="18" t="n"/>
      <c r="GX39" s="18" t="n"/>
      <c r="GY39" s="18" t="n"/>
      <c r="GZ39" s="18" t="n"/>
      <c r="HA39" s="18" t="n"/>
      <c r="HB39" s="18" t="n"/>
      <c r="HC39" s="18" t="n"/>
      <c r="HD39" s="18" t="n"/>
      <c r="HE39" s="18" t="n"/>
      <c r="HF39" s="18" t="n"/>
      <c r="HG39" s="18" t="n"/>
      <c r="HH39" s="18" t="n"/>
      <c r="HI39" s="18" t="n"/>
      <c r="HJ39" s="18" t="n"/>
      <c r="HK39" s="18" t="n"/>
      <c r="HL39" s="18" t="n"/>
      <c r="HM39" s="18" t="n"/>
      <c r="HN39" s="18" t="n"/>
      <c r="HO39" s="18" t="n"/>
      <c r="HP39" s="18" t="n"/>
      <c r="HQ39" s="18" t="n"/>
      <c r="HR39" s="18" t="n"/>
      <c r="HS39" s="18" t="n"/>
      <c r="HT39" s="18" t="n"/>
      <c r="HU39" s="18" t="n"/>
      <c r="HV39" s="18" t="n"/>
      <c r="HW39" s="18" t="n"/>
      <c r="HX39" s="18" t="n"/>
      <c r="HY39" s="18" t="n"/>
      <c r="HZ39" s="18" t="n"/>
      <c r="IA39" s="18" t="n"/>
      <c r="IB39" s="18" t="n"/>
      <c r="IC39" s="18" t="n"/>
      <c r="ID39" s="18" t="n"/>
      <c r="IE39" s="18" t="n"/>
      <c r="IF39" s="18" t="n"/>
      <c r="IG39" s="18" t="n"/>
      <c r="IH39" s="18" t="n"/>
      <c r="II39" s="18" t="n"/>
      <c r="IJ39" s="18" t="n"/>
      <c r="IK39" s="18" t="n"/>
      <c r="IL39" s="18" t="n"/>
      <c r="IM39" s="18" t="n"/>
      <c r="IN39" s="18" t="n"/>
      <c r="IO39" s="18" t="n"/>
      <c r="IP39" s="18" t="n"/>
      <c r="IQ39" s="18" t="n"/>
      <c r="IR39" s="18" t="n"/>
      <c r="IS39" s="18" t="n"/>
      <c r="IT39" s="18" t="n"/>
      <c r="IU39" s="18" t="n"/>
      <c r="IV39" s="18" t="n"/>
      <c r="IW39" s="18" t="n"/>
      <c r="IX39" s="18" t="n"/>
      <c r="IY39" s="18" t="n"/>
      <c r="IZ39" s="18" t="n"/>
      <c r="JA39" s="18" t="n"/>
      <c r="JB39" s="18" t="n"/>
      <c r="JC39" s="18" t="n"/>
      <c r="JD39" s="18" t="n"/>
      <c r="JE39" s="18" t="n"/>
      <c r="JF39" s="18" t="n"/>
      <c r="JG39" s="18" t="n"/>
      <c r="JH39" s="18" t="n"/>
      <c r="JI39" s="18" t="n"/>
      <c r="JJ39" s="18" t="n"/>
      <c r="JK39" s="18" t="n"/>
      <c r="JL39" s="18" t="n"/>
      <c r="JM39" s="18" t="n"/>
      <c r="JN39" s="18" t="n"/>
      <c r="JO39" s="18" t="n"/>
      <c r="JP39" s="18" t="n"/>
      <c r="JQ39" s="18" t="n"/>
      <c r="JR39" s="18" t="n"/>
      <c r="JS39" s="18" t="n"/>
      <c r="JT39" s="18" t="n"/>
      <c r="JU39" s="18" t="n"/>
      <c r="JV39" s="18" t="n"/>
      <c r="JW39" s="18" t="n"/>
      <c r="JX39" s="18" t="n"/>
      <c r="JY39" s="18" t="n"/>
      <c r="JZ39" s="18" t="n"/>
      <c r="KA39" s="18" t="n"/>
      <c r="KB39" s="18" t="n"/>
      <c r="KC39" s="18" t="n"/>
      <c r="KD39" s="18" t="n"/>
      <c r="KE39" s="18" t="n"/>
      <c r="KF39" s="18" t="n"/>
      <c r="KG39" s="18" t="n"/>
      <c r="KH39" s="18" t="n"/>
      <c r="KI39" s="18" t="n"/>
      <c r="KJ39" s="18" t="n"/>
      <c r="KK39" s="18" t="n"/>
      <c r="KL39" s="18" t="n"/>
      <c r="KM39" s="18" t="n"/>
      <c r="KN39" s="18" t="n"/>
      <c r="KO39" s="18" t="n"/>
      <c r="KP39" s="18" t="n"/>
      <c r="KQ39" s="18" t="n"/>
      <c r="KR39" s="18" t="n"/>
      <c r="KS39" s="18" t="n"/>
      <c r="KT39" s="18" t="n"/>
      <c r="KU39" s="18" t="n"/>
      <c r="KV39" s="18" t="n"/>
      <c r="KW39" s="18" t="n"/>
      <c r="KX39" s="18" t="n"/>
      <c r="KY39" s="18" t="n"/>
      <c r="KZ39" s="18" t="n"/>
      <c r="LA39" s="18" t="n"/>
      <c r="LB39" s="18" t="n"/>
      <c r="LC39" s="18" t="n"/>
      <c r="LD39" s="18" t="n"/>
      <c r="LE39" s="18" t="n"/>
      <c r="LF39" s="18" t="n"/>
      <c r="LG39" s="18" t="n"/>
      <c r="LH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  <c r="DY40" s="18" t="n"/>
      <c r="DZ40" s="18" t="n"/>
      <c r="EA40" s="18" t="n"/>
      <c r="EB40" s="18" t="n"/>
      <c r="EC40" s="18" t="n"/>
      <c r="ED40" s="18" t="n"/>
      <c r="EE40" s="18" t="n"/>
      <c r="EF40" s="18" t="n"/>
      <c r="EG40" s="18" t="n"/>
      <c r="EH40" s="18" t="n"/>
      <c r="EI40" s="18" t="n"/>
      <c r="EJ40" s="18" t="n"/>
      <c r="EK40" s="18" t="n"/>
      <c r="EL40" s="18" t="n"/>
      <c r="EM40" s="18" t="n"/>
      <c r="EN40" s="18" t="n"/>
      <c r="EO40" s="18" t="n"/>
      <c r="EP40" s="18" t="n"/>
      <c r="EQ40" s="18" t="n"/>
      <c r="ER40" s="18" t="n"/>
      <c r="ES40" s="18" t="n"/>
      <c r="ET40" s="18" t="n"/>
      <c r="EU40" s="18" t="n"/>
      <c r="EV40" s="18" t="n"/>
      <c r="EW40" s="18" t="n"/>
      <c r="EX40" s="18" t="n"/>
      <c r="EY40" s="18" t="n"/>
      <c r="EZ40" s="18" t="n"/>
      <c r="FA40" s="18" t="n"/>
      <c r="FB40" s="18" t="n"/>
      <c r="FC40" s="18" t="n"/>
      <c r="FD40" s="18" t="n"/>
      <c r="FE40" s="18" t="n"/>
      <c r="FF40" s="18" t="n"/>
      <c r="FG40" s="18" t="n"/>
      <c r="FH40" s="18" t="n"/>
      <c r="FI40" s="18" t="n"/>
      <c r="FJ40" s="18" t="n"/>
      <c r="FK40" s="18" t="n"/>
      <c r="FL40" s="18" t="n"/>
      <c r="FM40" s="18" t="n"/>
      <c r="FN40" s="18" t="n"/>
      <c r="FO40" s="18" t="n"/>
      <c r="FP40" s="18" t="n"/>
      <c r="FQ40" s="18" t="n"/>
      <c r="FR40" s="18" t="n"/>
      <c r="FS40" s="18" t="n"/>
      <c r="FT40" s="18" t="n"/>
      <c r="FU40" s="18" t="n"/>
      <c r="FV40" s="18" t="n"/>
      <c r="FW40" s="18" t="n"/>
      <c r="FX40" s="18" t="n"/>
      <c r="FY40" s="18" t="n"/>
      <c r="FZ40" s="18" t="n"/>
      <c r="GA40" s="18" t="n"/>
      <c r="GB40" s="18" t="n"/>
      <c r="GC40" s="18" t="n"/>
      <c r="GD40" s="18" t="n"/>
      <c r="GE40" s="18" t="n"/>
      <c r="GF40" s="18" t="n"/>
      <c r="GG40" s="18" t="n"/>
      <c r="GH40" s="18" t="n"/>
      <c r="GI40" s="18" t="n"/>
      <c r="GJ40" s="18" t="n"/>
      <c r="GK40" s="18" t="n"/>
      <c r="GL40" s="18" t="n"/>
      <c r="GM40" s="18" t="n"/>
      <c r="GN40" s="18" t="n"/>
      <c r="GO40" s="18" t="n"/>
      <c r="GP40" s="18" t="n"/>
      <c r="GQ40" s="18" t="n"/>
      <c r="GR40" s="18" t="n"/>
      <c r="GS40" s="18" t="n"/>
      <c r="GT40" s="18" t="n"/>
      <c r="GU40" s="18" t="n"/>
      <c r="GV40" s="18" t="n"/>
      <c r="GW40" s="18" t="n"/>
      <c r="GX40" s="18" t="n"/>
      <c r="GY40" s="18" t="n"/>
      <c r="GZ40" s="18" t="n"/>
      <c r="HA40" s="18" t="n"/>
      <c r="HB40" s="18" t="n"/>
      <c r="HC40" s="18" t="n"/>
      <c r="HD40" s="18" t="n"/>
      <c r="HE40" s="18" t="n"/>
      <c r="HF40" s="18" t="n"/>
      <c r="HG40" s="18" t="n"/>
      <c r="HH40" s="18" t="n"/>
      <c r="HI40" s="18" t="n"/>
      <c r="HJ40" s="18" t="n"/>
      <c r="HK40" s="18" t="n"/>
      <c r="HL40" s="18" t="n"/>
      <c r="HM40" s="18" t="n"/>
      <c r="HN40" s="18" t="n"/>
      <c r="HO40" s="18" t="n"/>
      <c r="HP40" s="18" t="n"/>
      <c r="HQ40" s="18" t="n"/>
      <c r="HR40" s="18" t="n"/>
      <c r="HS40" s="18" t="n"/>
      <c r="HT40" s="18" t="n"/>
      <c r="HU40" s="18" t="n"/>
      <c r="HV40" s="18" t="n"/>
      <c r="HW40" s="18" t="n"/>
      <c r="HX40" s="18" t="n"/>
      <c r="HY40" s="18" t="n"/>
      <c r="HZ40" s="18" t="n"/>
      <c r="IA40" s="18" t="n"/>
      <c r="IB40" s="18" t="n"/>
      <c r="IC40" s="18" t="n"/>
      <c r="ID40" s="18" t="n"/>
      <c r="IE40" s="18" t="n"/>
      <c r="IF40" s="18" t="n"/>
      <c r="IG40" s="18" t="n"/>
      <c r="IH40" s="18" t="n"/>
      <c r="II40" s="18" t="n"/>
      <c r="IJ40" s="18" t="n"/>
      <c r="IK40" s="18" t="n"/>
      <c r="IL40" s="18" t="n"/>
      <c r="IM40" s="18" t="n"/>
      <c r="IN40" s="18" t="n"/>
      <c r="IO40" s="18" t="n"/>
      <c r="IP40" s="18" t="n"/>
      <c r="IQ40" s="18" t="n"/>
      <c r="IR40" s="18" t="n"/>
      <c r="IS40" s="18" t="n"/>
      <c r="IT40" s="18" t="n"/>
      <c r="IU40" s="18" t="n"/>
      <c r="IV40" s="18" t="n"/>
      <c r="IW40" s="18" t="n"/>
      <c r="IX40" s="18" t="n"/>
      <c r="IY40" s="18" t="n"/>
      <c r="IZ40" s="18" t="n"/>
      <c r="JA40" s="18" t="n"/>
      <c r="JB40" s="18" t="n"/>
      <c r="JC40" s="18" t="n"/>
      <c r="JD40" s="18" t="n"/>
      <c r="JE40" s="18" t="n"/>
      <c r="JF40" s="18" t="n"/>
      <c r="JG40" s="18" t="n"/>
      <c r="JH40" s="18" t="n"/>
      <c r="JI40" s="18" t="n"/>
      <c r="JJ40" s="18" t="n"/>
      <c r="JK40" s="18" t="n"/>
      <c r="JL40" s="18" t="n"/>
      <c r="JM40" s="18" t="n"/>
      <c r="JN40" s="18" t="n"/>
      <c r="JO40" s="18" t="n"/>
      <c r="JP40" s="18" t="n"/>
      <c r="JQ40" s="18" t="n"/>
      <c r="JR40" s="18" t="n"/>
      <c r="JS40" s="18" t="n"/>
      <c r="JT40" s="18" t="n"/>
      <c r="JU40" s="18" t="n"/>
      <c r="JV40" s="18" t="n"/>
      <c r="JW40" s="18" t="n"/>
      <c r="JX40" s="18" t="n"/>
      <c r="JY40" s="18" t="n"/>
      <c r="JZ40" s="18" t="n"/>
      <c r="KA40" s="18" t="n"/>
      <c r="KB40" s="18" t="n"/>
      <c r="KC40" s="18" t="n"/>
      <c r="KD40" s="18" t="n"/>
      <c r="KE40" s="18" t="n"/>
      <c r="KF40" s="18" t="n"/>
      <c r="KG40" s="18" t="n"/>
      <c r="KH40" s="18" t="n"/>
      <c r="KI40" s="18" t="n"/>
      <c r="KJ40" s="18" t="n"/>
      <c r="KK40" s="18" t="n"/>
      <c r="KL40" s="18" t="n"/>
      <c r="KM40" s="18" t="n"/>
      <c r="KN40" s="18" t="n"/>
      <c r="KO40" s="18" t="n"/>
      <c r="KP40" s="18" t="n"/>
      <c r="KQ40" s="18" t="n"/>
      <c r="KR40" s="18" t="n"/>
      <c r="KS40" s="18" t="n"/>
      <c r="KT40" s="18" t="n"/>
      <c r="KU40" s="18" t="n"/>
      <c r="KV40" s="18" t="n"/>
      <c r="KW40" s="18" t="n"/>
      <c r="KX40" s="18" t="n"/>
      <c r="KY40" s="18" t="n"/>
      <c r="KZ40" s="18" t="n"/>
      <c r="LA40" s="18" t="n"/>
      <c r="LB40" s="18" t="n"/>
      <c r="LC40" s="18" t="n"/>
      <c r="LD40" s="18" t="n"/>
      <c r="LE40" s="18" t="n"/>
      <c r="LF40" s="18" t="n"/>
      <c r="LG40" s="18" t="n"/>
      <c r="LH40" s="18" t="n"/>
      <c r="LI40" s="18" t="n"/>
      <c r="LJ40" s="18" t="n"/>
      <c r="LK40" s="18" t="n"/>
      <c r="LL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  <c r="DY41" s="18" t="n"/>
      <c r="DZ41" s="18" t="n"/>
      <c r="EA41" s="18" t="n"/>
      <c r="EB41" s="18" t="n"/>
      <c r="EC41" s="18" t="n"/>
      <c r="ED41" s="18" t="n"/>
      <c r="EE41" s="18" t="n"/>
      <c r="EF41" s="18" t="n"/>
      <c r="EG41" s="18" t="n"/>
      <c r="EH41" s="18" t="n"/>
      <c r="EI41" s="18" t="n"/>
      <c r="EJ41" s="18" t="n"/>
      <c r="EK41" s="18" t="n"/>
      <c r="EL41" s="18" t="n"/>
      <c r="EM41" s="18" t="n"/>
      <c r="EN41" s="18" t="n"/>
      <c r="EO41" s="18" t="n"/>
      <c r="EP41" s="18" t="n"/>
      <c r="EQ41" s="18" t="n"/>
      <c r="ER41" s="18" t="n"/>
      <c r="ES41" s="18" t="n"/>
      <c r="ET41" s="18" t="n"/>
      <c r="EU41" s="18" t="n"/>
      <c r="EV41" s="18" t="n"/>
      <c r="EW41" s="18" t="n"/>
      <c r="EX41" s="18" t="n"/>
      <c r="EY41" s="18" t="n"/>
      <c r="EZ41" s="18" t="n"/>
      <c r="FA41" s="18" t="n"/>
      <c r="FB41" s="18" t="n"/>
      <c r="FC41" s="18" t="n"/>
      <c r="FD41" s="18" t="n"/>
      <c r="FE41" s="18" t="n"/>
      <c r="FF41" s="18" t="n"/>
      <c r="FG41" s="18" t="n"/>
      <c r="FH41" s="18" t="n"/>
      <c r="FI41" s="18" t="n"/>
      <c r="FJ41" s="18" t="n"/>
      <c r="FK41" s="18" t="n"/>
      <c r="FL41" s="18" t="n"/>
      <c r="FM41" s="18" t="n"/>
      <c r="FN41" s="18" t="n"/>
      <c r="FO41" s="18" t="n"/>
      <c r="FP41" s="18" t="n"/>
      <c r="FQ41" s="18" t="n"/>
      <c r="FR41" s="18" t="n"/>
      <c r="FS41" s="18" t="n"/>
      <c r="FT41" s="18" t="n"/>
      <c r="FU41" s="18" t="n"/>
      <c r="FV41" s="18" t="n"/>
      <c r="FW41" s="18" t="n"/>
      <c r="FX41" s="18" t="n"/>
      <c r="FY41" s="18" t="n"/>
      <c r="FZ41" s="18" t="n"/>
      <c r="GA41" s="18" t="n"/>
      <c r="GB41" s="18" t="n"/>
      <c r="GC41" s="18" t="n"/>
      <c r="GD41" s="18" t="n"/>
      <c r="GE41" s="18" t="n"/>
      <c r="GF41" s="18" t="n"/>
      <c r="GG41" s="18" t="n"/>
      <c r="GH41" s="18" t="n"/>
      <c r="GI41" s="18" t="n"/>
      <c r="GJ41" s="18" t="n"/>
      <c r="GK41" s="18" t="n"/>
      <c r="GL41" s="18" t="n"/>
      <c r="GM41" s="18" t="n"/>
      <c r="GN41" s="18" t="n"/>
      <c r="GO41" s="18" t="n"/>
      <c r="GP41" s="18" t="n"/>
      <c r="GQ41" s="18" t="n"/>
      <c r="GR41" s="18" t="n"/>
      <c r="GS41" s="18" t="n"/>
      <c r="GT41" s="18" t="n"/>
      <c r="GU41" s="18" t="n"/>
      <c r="GV41" s="18" t="n"/>
      <c r="GW41" s="18" t="n"/>
      <c r="GX41" s="18" t="n"/>
      <c r="GY41" s="18" t="n"/>
      <c r="GZ41" s="18" t="n"/>
      <c r="HA41" s="18" t="n"/>
      <c r="HB41" s="18" t="n"/>
      <c r="HC41" s="18" t="n"/>
      <c r="HD41" s="18" t="n"/>
      <c r="HE41" s="18" t="n"/>
      <c r="HF41" s="18" t="n"/>
      <c r="HG41" s="18" t="n"/>
      <c r="HH41" s="18" t="n"/>
      <c r="HI41" s="18" t="n"/>
      <c r="HJ41" s="18" t="n"/>
      <c r="HK41" s="18" t="n"/>
      <c r="HL41" s="18" t="n"/>
      <c r="HM41" s="18" t="n"/>
      <c r="HN41" s="18" t="n"/>
      <c r="HO41" s="18" t="n"/>
      <c r="HP41" s="18" t="n"/>
      <c r="HQ41" s="18" t="n"/>
      <c r="HR41" s="18" t="n"/>
      <c r="HS41" s="18" t="n"/>
      <c r="HT41" s="18" t="n"/>
      <c r="HU41" s="18" t="n"/>
      <c r="HV41" s="18" t="n"/>
      <c r="HW41" s="18" t="n"/>
      <c r="HX41" s="18" t="n"/>
      <c r="HY41" s="18" t="n"/>
      <c r="HZ41" s="18" t="n"/>
      <c r="IA41" s="18" t="n"/>
      <c r="IB41" s="18" t="n"/>
      <c r="IC41" s="18" t="n"/>
      <c r="ID41" s="18" t="n"/>
      <c r="IE41" s="18" t="n"/>
      <c r="IF41" s="18" t="n"/>
      <c r="IG41" s="18" t="n"/>
      <c r="IH41" s="18" t="n"/>
      <c r="II41" s="18" t="n"/>
      <c r="IJ41" s="18" t="n"/>
      <c r="IK41" s="18" t="n"/>
      <c r="IL41" s="18" t="n"/>
      <c r="IM41" s="18" t="n"/>
      <c r="IN41" s="18" t="n"/>
      <c r="IO41" s="18" t="n"/>
      <c r="IP41" s="18" t="n"/>
      <c r="IQ41" s="18" t="n"/>
      <c r="IR41" s="18" t="n"/>
      <c r="IS41" s="18" t="n"/>
      <c r="IT41" s="18" t="n"/>
      <c r="IU41" s="18" t="n"/>
      <c r="IV41" s="18" t="n"/>
      <c r="IW41" s="18" t="n"/>
      <c r="IX41" s="18" t="n"/>
      <c r="IY41" s="18" t="n"/>
      <c r="IZ41" s="18" t="n"/>
      <c r="JA41" s="18" t="n"/>
      <c r="JB41" s="18" t="n"/>
      <c r="JC41" s="18" t="n"/>
      <c r="JD41" s="18" t="n"/>
      <c r="JE41" s="18" t="n"/>
      <c r="JF41" s="18" t="n"/>
      <c r="JG41" s="18" t="n"/>
      <c r="JH41" s="18" t="n"/>
      <c r="JI41" s="18" t="n"/>
      <c r="JJ41" s="18" t="n"/>
      <c r="JK41" s="18" t="n"/>
      <c r="JL41" s="18" t="n"/>
      <c r="JM41" s="18" t="n"/>
      <c r="JN41" s="18" t="n"/>
      <c r="JO41" s="18" t="n"/>
      <c r="JP41" s="18" t="n"/>
      <c r="JQ41" s="18" t="n"/>
      <c r="JR41" s="18" t="n"/>
      <c r="JS41" s="18" t="n"/>
      <c r="JT41" s="18" t="n"/>
      <c r="JU41" s="18" t="n"/>
      <c r="JV41" s="18" t="n"/>
      <c r="JW41" s="18" t="n"/>
      <c r="JX41" s="18" t="n"/>
      <c r="JY41" s="18" t="n"/>
      <c r="JZ41" s="18" t="n"/>
      <c r="KA41" s="18" t="n"/>
      <c r="KB41" s="18" t="n"/>
      <c r="KC41" s="18" t="n"/>
      <c r="KD41" s="18" t="n"/>
      <c r="KE41" s="18" t="n"/>
      <c r="KF41" s="18" t="n"/>
      <c r="KG41" s="18" t="n"/>
      <c r="KH41" s="18" t="n"/>
      <c r="KI41" s="18" t="n"/>
      <c r="KJ41" s="18" t="n"/>
      <c r="KK41" s="18" t="n"/>
      <c r="KL41" s="18" t="n"/>
      <c r="KM41" s="18" t="n"/>
      <c r="KN41" s="18" t="n"/>
      <c r="KO41" s="18" t="n"/>
      <c r="KP41" s="18" t="n"/>
      <c r="KQ41" s="18" t="n"/>
      <c r="KR41" s="18" t="n"/>
      <c r="KS41" s="18" t="n"/>
      <c r="KT41" s="18" t="n"/>
      <c r="KU41" s="18" t="n"/>
      <c r="KV41" s="18" t="n"/>
      <c r="KW41" s="18" t="n"/>
      <c r="KX41" s="18" t="n"/>
      <c r="KY41" s="18" t="n"/>
      <c r="KZ41" s="18" t="n"/>
      <c r="LA41" s="18" t="n"/>
      <c r="LB41" s="18" t="n"/>
      <c r="LC41" s="18" t="n"/>
      <c r="LD41" s="18" t="n"/>
      <c r="LE41" s="18" t="n"/>
      <c r="LF41" s="18" t="n"/>
      <c r="LG41" s="18" t="n"/>
      <c r="LH41" s="18" t="n"/>
      <c r="LI41" s="18" t="n"/>
      <c r="LJ41" s="18" t="n"/>
      <c r="LK41" s="18" t="n"/>
      <c r="LL41" s="18" t="n"/>
      <c r="LM41" s="18" t="n"/>
      <c r="LN41" s="18" t="n"/>
      <c r="LO41" s="18" t="n"/>
      <c r="LP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  <c r="DY42" s="18" t="n"/>
      <c r="DZ42" s="18" t="n"/>
      <c r="EA42" s="18" t="n"/>
      <c r="EB42" s="18" t="n"/>
      <c r="EC42" s="18" t="n"/>
      <c r="ED42" s="18" t="n"/>
      <c r="EE42" s="18" t="n"/>
      <c r="EF42" s="18" t="n"/>
      <c r="EG42" s="18" t="n"/>
      <c r="EH42" s="18" t="n"/>
      <c r="EI42" s="18" t="n"/>
      <c r="EJ42" s="18" t="n"/>
      <c r="EK42" s="18" t="n"/>
      <c r="EL42" s="18" t="n"/>
      <c r="EM42" s="18" t="n"/>
      <c r="EN42" s="18" t="n"/>
      <c r="EO42" s="18" t="n"/>
      <c r="EP42" s="18" t="n"/>
      <c r="EQ42" s="18" t="n"/>
      <c r="ER42" s="18" t="n"/>
      <c r="ES42" s="18" t="n"/>
      <c r="ET42" s="18" t="n"/>
      <c r="EU42" s="18" t="n"/>
      <c r="EV42" s="18" t="n"/>
      <c r="EW42" s="18" t="n"/>
      <c r="EX42" s="18" t="n"/>
      <c r="EY42" s="18" t="n"/>
      <c r="EZ42" s="18" t="n"/>
      <c r="FA42" s="18" t="n"/>
      <c r="FB42" s="18" t="n"/>
      <c r="FC42" s="18" t="n"/>
      <c r="FD42" s="18" t="n"/>
      <c r="FE42" s="18" t="n"/>
      <c r="FF42" s="18" t="n"/>
      <c r="FG42" s="18" t="n"/>
      <c r="FH42" s="18" t="n"/>
      <c r="FI42" s="18" t="n"/>
      <c r="FJ42" s="18" t="n"/>
      <c r="FK42" s="18" t="n"/>
      <c r="FL42" s="18" t="n"/>
      <c r="FM42" s="18" t="n"/>
      <c r="FN42" s="18" t="n"/>
      <c r="FO42" s="18" t="n"/>
      <c r="FP42" s="18" t="n"/>
      <c r="FQ42" s="18" t="n"/>
      <c r="FR42" s="18" t="n"/>
      <c r="FS42" s="18" t="n"/>
      <c r="FT42" s="18" t="n"/>
      <c r="FU42" s="18" t="n"/>
      <c r="FV42" s="18" t="n"/>
      <c r="FW42" s="18" t="n"/>
      <c r="FX42" s="18" t="n"/>
      <c r="FY42" s="18" t="n"/>
      <c r="FZ42" s="18" t="n"/>
      <c r="GA42" s="18" t="n"/>
      <c r="GB42" s="18" t="n"/>
      <c r="GC42" s="18" t="n"/>
      <c r="GD42" s="18" t="n"/>
      <c r="GE42" s="18" t="n"/>
      <c r="GF42" s="18" t="n"/>
      <c r="GG42" s="18" t="n"/>
      <c r="GH42" s="18" t="n"/>
      <c r="GI42" s="18" t="n"/>
      <c r="GJ42" s="18" t="n"/>
      <c r="GK42" s="18" t="n"/>
      <c r="GL42" s="18" t="n"/>
      <c r="GM42" s="18" t="n"/>
      <c r="GN42" s="18" t="n"/>
      <c r="GO42" s="18" t="n"/>
      <c r="GP42" s="18" t="n"/>
      <c r="GQ42" s="18" t="n"/>
      <c r="GR42" s="18" t="n"/>
      <c r="GS42" s="18" t="n"/>
      <c r="GT42" s="18" t="n"/>
      <c r="GU42" s="18" t="n"/>
      <c r="GV42" s="18" t="n"/>
      <c r="GW42" s="18" t="n"/>
      <c r="GX42" s="18" t="n"/>
      <c r="GY42" s="18" t="n"/>
      <c r="GZ42" s="18" t="n"/>
      <c r="HA42" s="18" t="n"/>
      <c r="HB42" s="18" t="n"/>
      <c r="HC42" s="18" t="n"/>
      <c r="HD42" s="18" t="n"/>
      <c r="HE42" s="18" t="n"/>
      <c r="HF42" s="18" t="n"/>
      <c r="HG42" s="18" t="n"/>
      <c r="HH42" s="18" t="n"/>
      <c r="HI42" s="18" t="n"/>
      <c r="HJ42" s="18" t="n"/>
      <c r="HK42" s="18" t="n"/>
      <c r="HL42" s="18" t="n"/>
      <c r="HM42" s="18" t="n"/>
      <c r="HN42" s="18" t="n"/>
      <c r="HO42" s="18" t="n"/>
      <c r="HP42" s="18" t="n"/>
      <c r="HQ42" s="18" t="n"/>
      <c r="HR42" s="18" t="n"/>
      <c r="HS42" s="18" t="n"/>
      <c r="HT42" s="18" t="n"/>
      <c r="HU42" s="18" t="n"/>
      <c r="HV42" s="18" t="n"/>
      <c r="HW42" s="18" t="n"/>
      <c r="HX42" s="18" t="n"/>
      <c r="HY42" s="18" t="n"/>
      <c r="HZ42" s="18" t="n"/>
      <c r="IA42" s="18" t="n"/>
      <c r="IB42" s="18" t="n"/>
      <c r="IC42" s="18" t="n"/>
      <c r="ID42" s="18" t="n"/>
      <c r="IE42" s="18" t="n"/>
      <c r="IF42" s="18" t="n"/>
      <c r="IG42" s="18" t="n"/>
      <c r="IH42" s="18" t="n"/>
      <c r="II42" s="18" t="n"/>
      <c r="IJ42" s="18" t="n"/>
      <c r="IK42" s="18" t="n"/>
      <c r="IL42" s="18" t="n"/>
      <c r="IM42" s="18" t="n"/>
      <c r="IN42" s="18" t="n"/>
      <c r="IO42" s="18" t="n"/>
      <c r="IP42" s="18" t="n"/>
      <c r="IQ42" s="18" t="n"/>
      <c r="IR42" s="18" t="n"/>
      <c r="IS42" s="18" t="n"/>
      <c r="IT42" s="18" t="n"/>
      <c r="IU42" s="18" t="n"/>
      <c r="IV42" s="18" t="n"/>
      <c r="IW42" s="18" t="n"/>
      <c r="IX42" s="18" t="n"/>
      <c r="IY42" s="18" t="n"/>
      <c r="IZ42" s="18" t="n"/>
      <c r="JA42" s="18" t="n"/>
      <c r="JB42" s="18" t="n"/>
      <c r="JC42" s="18" t="n"/>
      <c r="JD42" s="18" t="n"/>
      <c r="JE42" s="18" t="n"/>
      <c r="JF42" s="18" t="n"/>
      <c r="JG42" s="18" t="n"/>
      <c r="JH42" s="18" t="n"/>
      <c r="JI42" s="18" t="n"/>
      <c r="JJ42" s="18" t="n"/>
      <c r="JK42" s="18" t="n"/>
      <c r="JL42" s="18" t="n"/>
      <c r="JM42" s="18" t="n"/>
      <c r="JN42" s="18" t="n"/>
      <c r="JO42" s="18" t="n"/>
      <c r="JP42" s="18" t="n"/>
      <c r="JQ42" s="18" t="n"/>
      <c r="JR42" s="18" t="n"/>
      <c r="JS42" s="18" t="n"/>
      <c r="JT42" s="18" t="n"/>
      <c r="JU42" s="18" t="n"/>
      <c r="JV42" s="18" t="n"/>
      <c r="JW42" s="18" t="n"/>
      <c r="JX42" s="18" t="n"/>
      <c r="JY42" s="18" t="n"/>
      <c r="JZ42" s="18" t="n"/>
      <c r="KA42" s="18" t="n"/>
      <c r="KB42" s="18" t="n"/>
      <c r="KC42" s="18" t="n"/>
      <c r="KD42" s="18" t="n"/>
      <c r="KE42" s="18" t="n"/>
      <c r="KF42" s="18" t="n"/>
      <c r="KG42" s="18" t="n"/>
      <c r="KH42" s="18" t="n"/>
      <c r="KI42" s="18" t="n"/>
      <c r="KJ42" s="18" t="n"/>
      <c r="KK42" s="18" t="n"/>
      <c r="KL42" s="18" t="n"/>
      <c r="KM42" s="18" t="n"/>
      <c r="KN42" s="18" t="n"/>
      <c r="KO42" s="18" t="n"/>
      <c r="KP42" s="18" t="n"/>
      <c r="KQ42" s="18" t="n"/>
      <c r="KR42" s="18" t="n"/>
      <c r="KS42" s="18" t="n"/>
      <c r="KT42" s="18" t="n"/>
      <c r="KU42" s="18" t="n"/>
      <c r="KV42" s="18" t="n"/>
      <c r="KW42" s="18" t="n"/>
      <c r="KX42" s="18" t="n"/>
      <c r="KY42" s="18" t="n"/>
      <c r="KZ42" s="18" t="n"/>
      <c r="LA42" s="18" t="n"/>
      <c r="LB42" s="18" t="n"/>
      <c r="LC42" s="18" t="n"/>
      <c r="LD42" s="18" t="n"/>
      <c r="LE42" s="18" t="n"/>
      <c r="LF42" s="18" t="n"/>
      <c r="LG42" s="18" t="n"/>
      <c r="LH42" s="18" t="n"/>
      <c r="LI42" s="18" t="n"/>
      <c r="LJ42" s="18" t="n"/>
      <c r="LK42" s="18" t="n"/>
      <c r="LL42" s="18" t="n"/>
      <c r="LM42" s="18" t="n"/>
      <c r="LN42" s="18" t="n"/>
      <c r="LO42" s="18" t="n"/>
      <c r="LP42" s="18" t="n"/>
      <c r="LQ42" s="18" t="n"/>
      <c r="LR42" s="18" t="n"/>
      <c r="LS42" s="18" t="n"/>
      <c r="LT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  <c r="DY43" s="18" t="n"/>
      <c r="DZ43" s="18" t="n"/>
      <c r="EA43" s="18" t="n"/>
      <c r="EB43" s="18" t="n"/>
      <c r="EC43" s="18" t="n"/>
      <c r="ED43" s="18" t="n"/>
      <c r="EE43" s="18" t="n"/>
      <c r="EF43" s="18" t="n"/>
      <c r="EG43" s="18" t="n"/>
      <c r="EH43" s="18" t="n"/>
      <c r="EI43" s="18" t="n"/>
      <c r="EJ43" s="18" t="n"/>
      <c r="EK43" s="18" t="n"/>
      <c r="EL43" s="18" t="n"/>
      <c r="EM43" s="18" t="n"/>
      <c r="EN43" s="18" t="n"/>
      <c r="EO43" s="18" t="n"/>
      <c r="EP43" s="18" t="n"/>
      <c r="EQ43" s="18" t="n"/>
      <c r="ER43" s="18" t="n"/>
      <c r="ES43" s="18" t="n"/>
      <c r="ET43" s="18" t="n"/>
      <c r="EU43" s="18" t="n"/>
      <c r="EV43" s="18" t="n"/>
      <c r="EW43" s="18" t="n"/>
      <c r="EX43" s="18" t="n"/>
      <c r="EY43" s="18" t="n"/>
      <c r="EZ43" s="18" t="n"/>
      <c r="FA43" s="18" t="n"/>
      <c r="FB43" s="18" t="n"/>
      <c r="FC43" s="18" t="n"/>
      <c r="FD43" s="18" t="n"/>
      <c r="FE43" s="18" t="n"/>
      <c r="FF43" s="18" t="n"/>
      <c r="FG43" s="18" t="n"/>
      <c r="FH43" s="18" t="n"/>
      <c r="FI43" s="18" t="n"/>
      <c r="FJ43" s="18" t="n"/>
      <c r="FK43" s="18" t="n"/>
      <c r="FL43" s="18" t="n"/>
      <c r="FM43" s="18" t="n"/>
      <c r="FN43" s="18" t="n"/>
      <c r="FO43" s="18" t="n"/>
      <c r="FP43" s="18" t="n"/>
      <c r="FQ43" s="18" t="n"/>
      <c r="FR43" s="18" t="n"/>
      <c r="FS43" s="18" t="n"/>
      <c r="FT43" s="18" t="n"/>
      <c r="FU43" s="18" t="n"/>
      <c r="FV43" s="18" t="n"/>
      <c r="FW43" s="18" t="n"/>
      <c r="FX43" s="18" t="n"/>
      <c r="FY43" s="18" t="n"/>
      <c r="FZ43" s="18" t="n"/>
      <c r="GA43" s="18" t="n"/>
      <c r="GB43" s="18" t="n"/>
      <c r="GC43" s="18" t="n"/>
      <c r="GD43" s="18" t="n"/>
      <c r="GE43" s="18" t="n"/>
      <c r="GF43" s="18" t="n"/>
      <c r="GG43" s="18" t="n"/>
      <c r="GH43" s="18" t="n"/>
      <c r="GI43" s="18" t="n"/>
      <c r="GJ43" s="18" t="n"/>
      <c r="GK43" s="18" t="n"/>
      <c r="GL43" s="18" t="n"/>
      <c r="GM43" s="18" t="n"/>
      <c r="GN43" s="18" t="n"/>
      <c r="GO43" s="18" t="n"/>
      <c r="GP43" s="18" t="n"/>
      <c r="GQ43" s="18" t="n"/>
      <c r="GR43" s="18" t="n"/>
      <c r="GS43" s="18" t="n"/>
      <c r="GT43" s="18" t="n"/>
      <c r="GU43" s="18" t="n"/>
      <c r="GV43" s="18" t="n"/>
      <c r="GW43" s="18" t="n"/>
      <c r="GX43" s="18" t="n"/>
      <c r="GY43" s="18" t="n"/>
      <c r="GZ43" s="18" t="n"/>
      <c r="HA43" s="18" t="n"/>
      <c r="HB43" s="18" t="n"/>
      <c r="HC43" s="18" t="n"/>
      <c r="HD43" s="18" t="n"/>
      <c r="HE43" s="18" t="n"/>
      <c r="HF43" s="18" t="n"/>
      <c r="HG43" s="18" t="n"/>
      <c r="HH43" s="18" t="n"/>
      <c r="HI43" s="18" t="n"/>
      <c r="HJ43" s="18" t="n"/>
      <c r="HK43" s="18" t="n"/>
      <c r="HL43" s="18" t="n"/>
      <c r="HM43" s="18" t="n"/>
      <c r="HN43" s="18" t="n"/>
      <c r="HO43" s="18" t="n"/>
      <c r="HP43" s="18" t="n"/>
      <c r="HQ43" s="18" t="n"/>
      <c r="HR43" s="18" t="n"/>
      <c r="HS43" s="18" t="n"/>
      <c r="HT43" s="18" t="n"/>
      <c r="HU43" s="18" t="n"/>
      <c r="HV43" s="18" t="n"/>
      <c r="HW43" s="18" t="n"/>
      <c r="HX43" s="18" t="n"/>
      <c r="HY43" s="18" t="n"/>
      <c r="HZ43" s="18" t="n"/>
      <c r="IA43" s="18" t="n"/>
      <c r="IB43" s="18" t="n"/>
      <c r="IC43" s="18" t="n"/>
      <c r="ID43" s="18" t="n"/>
      <c r="IE43" s="18" t="n"/>
      <c r="IF43" s="18" t="n"/>
      <c r="IG43" s="18" t="n"/>
      <c r="IH43" s="18" t="n"/>
      <c r="II43" s="18" t="n"/>
      <c r="IJ43" s="18" t="n"/>
      <c r="IK43" s="18" t="n"/>
      <c r="IL43" s="18" t="n"/>
      <c r="IM43" s="18" t="n"/>
      <c r="IN43" s="18" t="n"/>
      <c r="IO43" s="18" t="n"/>
      <c r="IP43" s="18" t="n"/>
      <c r="IQ43" s="18" t="n"/>
      <c r="IR43" s="18" t="n"/>
      <c r="IS43" s="18" t="n"/>
      <c r="IT43" s="18" t="n"/>
      <c r="IU43" s="18" t="n"/>
      <c r="IV43" s="18" t="n"/>
      <c r="IW43" s="18" t="n"/>
      <c r="IX43" s="18" t="n"/>
      <c r="IY43" s="18" t="n"/>
      <c r="IZ43" s="18" t="n"/>
      <c r="JA43" s="18" t="n"/>
      <c r="JB43" s="18" t="n"/>
      <c r="JC43" s="18" t="n"/>
      <c r="JD43" s="18" t="n"/>
      <c r="JE43" s="18" t="n"/>
      <c r="JF43" s="18" t="n"/>
      <c r="JG43" s="18" t="n"/>
      <c r="JH43" s="18" t="n"/>
      <c r="JI43" s="18" t="n"/>
      <c r="JJ43" s="18" t="n"/>
      <c r="JK43" s="18" t="n"/>
      <c r="JL43" s="18" t="n"/>
      <c r="JM43" s="18" t="n"/>
      <c r="JN43" s="18" t="n"/>
      <c r="JO43" s="18" t="n"/>
      <c r="JP43" s="18" t="n"/>
      <c r="JQ43" s="18" t="n"/>
      <c r="JR43" s="18" t="n"/>
      <c r="JS43" s="18" t="n"/>
      <c r="JT43" s="18" t="n"/>
      <c r="JU43" s="18" t="n"/>
      <c r="JV43" s="18" t="n"/>
      <c r="JW43" s="18" t="n"/>
      <c r="JX43" s="18" t="n"/>
      <c r="JY43" s="18" t="n"/>
      <c r="JZ43" s="18" t="n"/>
      <c r="KA43" s="18" t="n"/>
      <c r="KB43" s="18" t="n"/>
      <c r="KC43" s="18" t="n"/>
      <c r="KD43" s="18" t="n"/>
      <c r="KE43" s="18" t="n"/>
      <c r="KF43" s="18" t="n"/>
      <c r="KG43" s="18" t="n"/>
      <c r="KH43" s="18" t="n"/>
      <c r="KI43" s="18" t="n"/>
      <c r="KJ43" s="18" t="n"/>
      <c r="KK43" s="18" t="n"/>
      <c r="KL43" s="18" t="n"/>
      <c r="KM43" s="18" t="n"/>
      <c r="KN43" s="18" t="n"/>
      <c r="KO43" s="18" t="n"/>
      <c r="KP43" s="18" t="n"/>
      <c r="KQ43" s="18" t="n"/>
      <c r="KR43" s="18" t="n"/>
      <c r="KS43" s="18" t="n"/>
      <c r="KT43" s="18" t="n"/>
      <c r="KU43" s="18" t="n"/>
      <c r="KV43" s="18" t="n"/>
      <c r="KW43" s="18" t="n"/>
      <c r="KX43" s="18" t="n"/>
      <c r="KY43" s="18" t="n"/>
      <c r="KZ43" s="18" t="n"/>
      <c r="LA43" s="18" t="n"/>
      <c r="LB43" s="18" t="n"/>
      <c r="LC43" s="18" t="n"/>
      <c r="LD43" s="18" t="n"/>
      <c r="LE43" s="18" t="n"/>
      <c r="LF43" s="18" t="n"/>
      <c r="LG43" s="18" t="n"/>
      <c r="LH43" s="18" t="n"/>
      <c r="LI43" s="18" t="n"/>
      <c r="LJ43" s="18" t="n"/>
      <c r="LK43" s="18" t="n"/>
      <c r="LL43" s="18" t="n"/>
      <c r="LM43" s="18" t="n"/>
      <c r="LN43" s="18" t="n"/>
      <c r="LO43" s="18" t="n"/>
      <c r="LP43" s="18" t="n"/>
      <c r="LQ43" s="18" t="n"/>
      <c r="LR43" s="18" t="n"/>
      <c r="LS43" s="18" t="n"/>
      <c r="LT43" s="18" t="n"/>
      <c r="LU43" s="18" t="n"/>
      <c r="LV43" s="18" t="n"/>
      <c r="LW43" s="18" t="n"/>
      <c r="LX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  <c r="DY44" s="18" t="n"/>
      <c r="DZ44" s="18" t="n"/>
      <c r="EA44" s="18" t="n"/>
      <c r="EB44" s="18" t="n"/>
      <c r="EC44" s="18" t="n"/>
      <c r="ED44" s="18" t="n"/>
      <c r="EE44" s="18" t="n"/>
      <c r="EF44" s="18" t="n"/>
      <c r="EG44" s="18" t="n"/>
      <c r="EH44" s="18" t="n"/>
      <c r="EI44" s="18" t="n"/>
      <c r="EJ44" s="18" t="n"/>
      <c r="EK44" s="18" t="n"/>
      <c r="EL44" s="18" t="n"/>
      <c r="EM44" s="18" t="n"/>
      <c r="EN44" s="18" t="n"/>
      <c r="EO44" s="18" t="n"/>
      <c r="EP44" s="18" t="n"/>
      <c r="EQ44" s="18" t="n"/>
      <c r="ER44" s="18" t="n"/>
      <c r="ES44" s="18" t="n"/>
      <c r="ET44" s="18" t="n"/>
      <c r="EU44" s="18" t="n"/>
      <c r="EV44" s="18" t="n"/>
      <c r="EW44" s="18" t="n"/>
      <c r="EX44" s="18" t="n"/>
      <c r="EY44" s="18" t="n"/>
      <c r="EZ44" s="18" t="n"/>
      <c r="FA44" s="18" t="n"/>
      <c r="FB44" s="18" t="n"/>
      <c r="FC44" s="18" t="n"/>
      <c r="FD44" s="18" t="n"/>
      <c r="FE44" s="18" t="n"/>
      <c r="FF44" s="18" t="n"/>
      <c r="FG44" s="18" t="n"/>
      <c r="FH44" s="18" t="n"/>
      <c r="FI44" s="18" t="n"/>
      <c r="FJ44" s="18" t="n"/>
      <c r="FK44" s="18" t="n"/>
      <c r="FL44" s="18" t="n"/>
      <c r="FM44" s="18" t="n"/>
      <c r="FN44" s="18" t="n"/>
      <c r="FO44" s="18" t="n"/>
      <c r="FP44" s="18" t="n"/>
      <c r="FQ44" s="18" t="n"/>
      <c r="FR44" s="18" t="n"/>
      <c r="FS44" s="18" t="n"/>
      <c r="FT44" s="18" t="n"/>
      <c r="FU44" s="18" t="n"/>
      <c r="FV44" s="18" t="n"/>
      <c r="FW44" s="18" t="n"/>
      <c r="FX44" s="18" t="n"/>
      <c r="FY44" s="18" t="n"/>
      <c r="FZ44" s="18" t="n"/>
      <c r="GA44" s="18" t="n"/>
      <c r="GB44" s="18" t="n"/>
      <c r="GC44" s="18" t="n"/>
      <c r="GD44" s="18" t="n"/>
      <c r="GE44" s="18" t="n"/>
      <c r="GF44" s="18" t="n"/>
      <c r="GG44" s="18" t="n"/>
      <c r="GH44" s="18" t="n"/>
      <c r="GI44" s="18" t="n"/>
      <c r="GJ44" s="18" t="n"/>
      <c r="GK44" s="18" t="n"/>
      <c r="GL44" s="18" t="n"/>
      <c r="GM44" s="18" t="n"/>
      <c r="GN44" s="18" t="n"/>
      <c r="GO44" s="18" t="n"/>
      <c r="GP44" s="18" t="n"/>
      <c r="GQ44" s="18" t="n"/>
      <c r="GR44" s="18" t="n"/>
      <c r="GS44" s="18" t="n"/>
      <c r="GT44" s="18" t="n"/>
      <c r="GU44" s="18" t="n"/>
      <c r="GV44" s="18" t="n"/>
      <c r="GW44" s="18" t="n"/>
      <c r="GX44" s="18" t="n"/>
      <c r="GY44" s="18" t="n"/>
      <c r="GZ44" s="18" t="n"/>
      <c r="HA44" s="18" t="n"/>
      <c r="HB44" s="18" t="n"/>
      <c r="HC44" s="18" t="n"/>
      <c r="HD44" s="18" t="n"/>
      <c r="HE44" s="18" t="n"/>
      <c r="HF44" s="18" t="n"/>
      <c r="HG44" s="18" t="n"/>
      <c r="HH44" s="18" t="n"/>
      <c r="HI44" s="18" t="n"/>
      <c r="HJ44" s="18" t="n"/>
      <c r="HK44" s="18" t="n"/>
      <c r="HL44" s="18" t="n"/>
      <c r="HM44" s="18" t="n"/>
      <c r="HN44" s="18" t="n"/>
      <c r="HO44" s="18" t="n"/>
      <c r="HP44" s="18" t="n"/>
      <c r="HQ44" s="18" t="n"/>
      <c r="HR44" s="18" t="n"/>
      <c r="HS44" s="18" t="n"/>
      <c r="HT44" s="18" t="n"/>
      <c r="HU44" s="18" t="n"/>
      <c r="HV44" s="18" t="n"/>
      <c r="HW44" s="18" t="n"/>
      <c r="HX44" s="18" t="n"/>
      <c r="HY44" s="18" t="n"/>
      <c r="HZ44" s="18" t="n"/>
      <c r="IA44" s="18" t="n"/>
      <c r="IB44" s="18" t="n"/>
      <c r="IC44" s="18" t="n"/>
      <c r="ID44" s="18" t="n"/>
      <c r="IE44" s="18" t="n"/>
      <c r="IF44" s="18" t="n"/>
      <c r="IG44" s="18" t="n"/>
      <c r="IH44" s="18" t="n"/>
      <c r="II44" s="18" t="n"/>
      <c r="IJ44" s="18" t="n"/>
      <c r="IK44" s="18" t="n"/>
      <c r="IL44" s="18" t="n"/>
      <c r="IM44" s="18" t="n"/>
      <c r="IN44" s="18" t="n"/>
      <c r="IO44" s="18" t="n"/>
      <c r="IP44" s="18" t="n"/>
      <c r="IQ44" s="18" t="n"/>
      <c r="IR44" s="18" t="n"/>
      <c r="IS44" s="18" t="n"/>
      <c r="IT44" s="18" t="n"/>
      <c r="IU44" s="18" t="n"/>
      <c r="IV44" s="18" t="n"/>
      <c r="IW44" s="18" t="n"/>
      <c r="IX44" s="18" t="n"/>
      <c r="IY44" s="18" t="n"/>
      <c r="IZ44" s="18" t="n"/>
      <c r="JA44" s="18" t="n"/>
      <c r="JB44" s="18" t="n"/>
      <c r="JC44" s="18" t="n"/>
      <c r="JD44" s="18" t="n"/>
      <c r="JE44" s="18" t="n"/>
      <c r="JF44" s="18" t="n"/>
      <c r="JG44" s="18" t="n"/>
      <c r="JH44" s="18" t="n"/>
      <c r="JI44" s="18" t="n"/>
      <c r="JJ44" s="18" t="n"/>
      <c r="JK44" s="18" t="n"/>
      <c r="JL44" s="18" t="n"/>
      <c r="JM44" s="18" t="n"/>
      <c r="JN44" s="18" t="n"/>
      <c r="JO44" s="18" t="n"/>
      <c r="JP44" s="18" t="n"/>
      <c r="JQ44" s="18" t="n"/>
      <c r="JR44" s="18" t="n"/>
      <c r="JS44" s="18" t="n"/>
      <c r="JT44" s="18" t="n"/>
      <c r="JU44" s="18" t="n"/>
      <c r="JV44" s="18" t="n"/>
      <c r="JW44" s="18" t="n"/>
      <c r="JX44" s="18" t="n"/>
      <c r="JY44" s="18" t="n"/>
      <c r="JZ44" s="18" t="n"/>
      <c r="KA44" s="18" t="n"/>
      <c r="KB44" s="18" t="n"/>
      <c r="KC44" s="18" t="n"/>
      <c r="KD44" s="18" t="n"/>
      <c r="KE44" s="18" t="n"/>
      <c r="KF44" s="18" t="n"/>
      <c r="KG44" s="18" t="n"/>
      <c r="KH44" s="18" t="n"/>
      <c r="KI44" s="18" t="n"/>
      <c r="KJ44" s="18" t="n"/>
      <c r="KK44" s="18" t="n"/>
      <c r="KL44" s="18" t="n"/>
      <c r="KM44" s="18" t="n"/>
      <c r="KN44" s="18" t="n"/>
      <c r="KO44" s="18" t="n"/>
      <c r="KP44" s="18" t="n"/>
      <c r="KQ44" s="18" t="n"/>
      <c r="KR44" s="18" t="n"/>
      <c r="KS44" s="18" t="n"/>
      <c r="KT44" s="18" t="n"/>
      <c r="KU44" s="18" t="n"/>
      <c r="KV44" s="18" t="n"/>
      <c r="KW44" s="18" t="n"/>
      <c r="KX44" s="18" t="n"/>
      <c r="KY44" s="18" t="n"/>
      <c r="KZ44" s="18" t="n"/>
      <c r="LA44" s="18" t="n"/>
      <c r="LB44" s="18" t="n"/>
      <c r="LC44" s="18" t="n"/>
      <c r="LD44" s="18" t="n"/>
      <c r="LE44" s="18" t="n"/>
      <c r="LF44" s="18" t="n"/>
      <c r="LG44" s="18" t="n"/>
      <c r="LH44" s="18" t="n"/>
      <c r="LI44" s="18" t="n"/>
      <c r="LJ44" s="18" t="n"/>
      <c r="LK44" s="18" t="n"/>
      <c r="LL44" s="18" t="n"/>
      <c r="LM44" s="18" t="n"/>
      <c r="LN44" s="18" t="n"/>
      <c r="LO44" s="18" t="n"/>
      <c r="LP44" s="18" t="n"/>
      <c r="LQ44" s="18" t="n"/>
      <c r="LR44" s="18" t="n"/>
      <c r="LS44" s="18" t="n"/>
      <c r="LT44" s="18" t="n"/>
      <c r="LU44" s="18" t="n"/>
      <c r="LV44" s="18" t="n"/>
      <c r="LW44" s="18" t="n"/>
      <c r="LX44" s="18" t="n"/>
      <c r="LY44" s="18" t="n"/>
      <c r="LZ44" s="18" t="n"/>
      <c r="MA44" s="18" t="n"/>
      <c r="MB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  <c r="DY45" s="18" t="n"/>
      <c r="DZ45" s="18" t="n"/>
      <c r="EA45" s="18" t="n"/>
      <c r="EB45" s="18" t="n"/>
      <c r="EC45" s="18" t="n"/>
      <c r="ED45" s="18" t="n"/>
      <c r="EE45" s="18" t="n"/>
      <c r="EF45" s="18" t="n"/>
      <c r="EG45" s="18" t="n"/>
      <c r="EH45" s="18" t="n"/>
      <c r="EI45" s="18" t="n"/>
      <c r="EJ45" s="18" t="n"/>
      <c r="EK45" s="18" t="n"/>
      <c r="EL45" s="18" t="n"/>
      <c r="EM45" s="18" t="n"/>
      <c r="EN45" s="18" t="n"/>
      <c r="EO45" s="18" t="n"/>
      <c r="EP45" s="18" t="n"/>
      <c r="EQ45" s="18" t="n"/>
      <c r="ER45" s="18" t="n"/>
      <c r="ES45" s="18" t="n"/>
      <c r="ET45" s="18" t="n"/>
      <c r="EU45" s="18" t="n"/>
      <c r="EV45" s="18" t="n"/>
      <c r="EW45" s="18" t="n"/>
      <c r="EX45" s="18" t="n"/>
      <c r="EY45" s="18" t="n"/>
      <c r="EZ45" s="18" t="n"/>
      <c r="FA45" s="18" t="n"/>
      <c r="FB45" s="18" t="n"/>
      <c r="FC45" s="18" t="n"/>
      <c r="FD45" s="18" t="n"/>
      <c r="FE45" s="18" t="n"/>
      <c r="FF45" s="18" t="n"/>
      <c r="FG45" s="18" t="n"/>
      <c r="FH45" s="18" t="n"/>
      <c r="FI45" s="18" t="n"/>
      <c r="FJ45" s="18" t="n"/>
      <c r="FK45" s="18" t="n"/>
      <c r="FL45" s="18" t="n"/>
      <c r="FM45" s="18" t="n"/>
      <c r="FN45" s="18" t="n"/>
      <c r="FO45" s="18" t="n"/>
      <c r="FP45" s="18" t="n"/>
      <c r="FQ45" s="18" t="n"/>
      <c r="FR45" s="18" t="n"/>
      <c r="FS45" s="18" t="n"/>
      <c r="FT45" s="18" t="n"/>
      <c r="FU45" s="18" t="n"/>
      <c r="FV45" s="18" t="n"/>
      <c r="FW45" s="18" t="n"/>
      <c r="FX45" s="18" t="n"/>
      <c r="FY45" s="18" t="n"/>
      <c r="FZ45" s="18" t="n"/>
      <c r="GA45" s="18" t="n"/>
      <c r="GB45" s="18" t="n"/>
      <c r="GC45" s="18" t="n"/>
      <c r="GD45" s="18" t="n"/>
      <c r="GE45" s="18" t="n"/>
      <c r="GF45" s="18" t="n"/>
      <c r="GG45" s="18" t="n"/>
      <c r="GH45" s="18" t="n"/>
      <c r="GI45" s="18" t="n"/>
      <c r="GJ45" s="18" t="n"/>
      <c r="GK45" s="18" t="n"/>
      <c r="GL45" s="18" t="n"/>
      <c r="GM45" s="18" t="n"/>
      <c r="GN45" s="18" t="n"/>
      <c r="GO45" s="18" t="n"/>
      <c r="GP45" s="18" t="n"/>
      <c r="GQ45" s="18" t="n"/>
      <c r="GR45" s="18" t="n"/>
      <c r="GS45" s="18" t="n"/>
      <c r="GT45" s="18" t="n"/>
      <c r="GU45" s="18" t="n"/>
      <c r="GV45" s="18" t="n"/>
      <c r="GW45" s="18" t="n"/>
      <c r="GX45" s="18" t="n"/>
      <c r="GY45" s="18" t="n"/>
      <c r="GZ45" s="18" t="n"/>
      <c r="HA45" s="18" t="n"/>
      <c r="HB45" s="18" t="n"/>
      <c r="HC45" s="18" t="n"/>
      <c r="HD45" s="18" t="n"/>
      <c r="HE45" s="18" t="n"/>
      <c r="HF45" s="18" t="n"/>
      <c r="HG45" s="18" t="n"/>
      <c r="HH45" s="18" t="n"/>
      <c r="HI45" s="18" t="n"/>
      <c r="HJ45" s="18" t="n"/>
      <c r="HK45" s="18" t="n"/>
      <c r="HL45" s="18" t="n"/>
      <c r="HM45" s="18" t="n"/>
      <c r="HN45" s="18" t="n"/>
      <c r="HO45" s="18" t="n"/>
      <c r="HP45" s="18" t="n"/>
      <c r="HQ45" s="18" t="n"/>
      <c r="HR45" s="18" t="n"/>
      <c r="HS45" s="18" t="n"/>
      <c r="HT45" s="18" t="n"/>
      <c r="HU45" s="18" t="n"/>
      <c r="HV45" s="18" t="n"/>
      <c r="HW45" s="18" t="n"/>
      <c r="HX45" s="18" t="n"/>
      <c r="HY45" s="18" t="n"/>
      <c r="HZ45" s="18" t="n"/>
      <c r="IA45" s="18" t="n"/>
      <c r="IB45" s="18" t="n"/>
      <c r="IC45" s="18" t="n"/>
      <c r="ID45" s="18" t="n"/>
      <c r="IE45" s="18" t="n"/>
      <c r="IF45" s="18" t="n"/>
      <c r="IG45" s="18" t="n"/>
      <c r="IH45" s="18" t="n"/>
      <c r="II45" s="18" t="n"/>
      <c r="IJ45" s="18" t="n"/>
      <c r="IK45" s="18" t="n"/>
      <c r="IL45" s="18" t="n"/>
      <c r="IM45" s="18" t="n"/>
      <c r="IN45" s="18" t="n"/>
      <c r="IO45" s="18" t="n"/>
      <c r="IP45" s="18" t="n"/>
      <c r="IQ45" s="18" t="n"/>
      <c r="IR45" s="18" t="n"/>
      <c r="IS45" s="18" t="n"/>
      <c r="IT45" s="18" t="n"/>
      <c r="IU45" s="18" t="n"/>
      <c r="IV45" s="18" t="n"/>
      <c r="IW45" s="18" t="n"/>
      <c r="IX45" s="18" t="n"/>
      <c r="IY45" s="18" t="n"/>
      <c r="IZ45" s="18" t="n"/>
      <c r="JA45" s="18" t="n"/>
      <c r="JB45" s="18" t="n"/>
      <c r="JC45" s="18" t="n"/>
      <c r="JD45" s="18" t="n"/>
      <c r="JE45" s="18" t="n"/>
      <c r="JF45" s="18" t="n"/>
      <c r="JG45" s="18" t="n"/>
      <c r="JH45" s="18" t="n"/>
      <c r="JI45" s="18" t="n"/>
      <c r="JJ45" s="18" t="n"/>
      <c r="JK45" s="18" t="n"/>
      <c r="JL45" s="18" t="n"/>
      <c r="JM45" s="18" t="n"/>
      <c r="JN45" s="18" t="n"/>
      <c r="JO45" s="18" t="n"/>
      <c r="JP45" s="18" t="n"/>
      <c r="JQ45" s="18" t="n"/>
      <c r="JR45" s="18" t="n"/>
      <c r="JS45" s="18" t="n"/>
      <c r="JT45" s="18" t="n"/>
      <c r="JU45" s="18" t="n"/>
      <c r="JV45" s="18" t="n"/>
      <c r="JW45" s="18" t="n"/>
      <c r="JX45" s="18" t="n"/>
      <c r="JY45" s="18" t="n"/>
      <c r="JZ45" s="18" t="n"/>
      <c r="KA45" s="18" t="n"/>
      <c r="KB45" s="18" t="n"/>
      <c r="KC45" s="18" t="n"/>
      <c r="KD45" s="18" t="n"/>
      <c r="KE45" s="18" t="n"/>
      <c r="KF45" s="18" t="n"/>
      <c r="KG45" s="18" t="n"/>
      <c r="KH45" s="18" t="n"/>
      <c r="KI45" s="18" t="n"/>
      <c r="KJ45" s="18" t="n"/>
      <c r="KK45" s="18" t="n"/>
      <c r="KL45" s="18" t="n"/>
      <c r="KM45" s="18" t="n"/>
      <c r="KN45" s="18" t="n"/>
      <c r="KO45" s="18" t="n"/>
      <c r="KP45" s="18" t="n"/>
      <c r="KQ45" s="18" t="n"/>
      <c r="KR45" s="18" t="n"/>
      <c r="KS45" s="18" t="n"/>
      <c r="KT45" s="18" t="n"/>
      <c r="KU45" s="18" t="n"/>
      <c r="KV45" s="18" t="n"/>
      <c r="KW45" s="18" t="n"/>
      <c r="KX45" s="18" t="n"/>
      <c r="KY45" s="18" t="n"/>
      <c r="KZ45" s="18" t="n"/>
      <c r="LA45" s="18" t="n"/>
      <c r="LB45" s="18" t="n"/>
      <c r="LC45" s="18" t="n"/>
      <c r="LD45" s="18" t="n"/>
      <c r="LE45" s="18" t="n"/>
      <c r="LF45" s="18" t="n"/>
      <c r="LG45" s="18" t="n"/>
      <c r="LH45" s="18" t="n"/>
      <c r="LI45" s="18" t="n"/>
      <c r="LJ45" s="18" t="n"/>
      <c r="LK45" s="18" t="n"/>
      <c r="LL45" s="18" t="n"/>
      <c r="LM45" s="18" t="n"/>
      <c r="LN45" s="18" t="n"/>
      <c r="LO45" s="18" t="n"/>
      <c r="LP45" s="18" t="n"/>
      <c r="LQ45" s="18" t="n"/>
      <c r="LR45" s="18" t="n"/>
      <c r="LS45" s="18" t="n"/>
      <c r="LT45" s="18" t="n"/>
      <c r="LU45" s="18" t="n"/>
      <c r="LV45" s="18" t="n"/>
      <c r="LW45" s="18" t="n"/>
      <c r="LX45" s="18" t="n"/>
      <c r="LY45" s="18" t="n"/>
      <c r="LZ45" s="18" t="n"/>
      <c r="MA45" s="18" t="n"/>
      <c r="MB45" s="18" t="n"/>
      <c r="MC45" s="18" t="n"/>
      <c r="MD45" s="18" t="n"/>
      <c r="ME45" s="18" t="n"/>
      <c r="MF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8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8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8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18" t="n"/>
      <c r="GI46" s="18" t="n"/>
      <c r="GJ46" s="18" t="n"/>
      <c r="GK46" s="18" t="n"/>
      <c r="GL46" s="18" t="n"/>
      <c r="GM46" s="18" t="n"/>
      <c r="GN46" s="18" t="n"/>
      <c r="GO46" s="18" t="n"/>
      <c r="GP46" s="18" t="n"/>
      <c r="GQ46" s="18" t="n"/>
      <c r="GR46" s="18" t="n"/>
      <c r="GS46" s="18" t="n"/>
      <c r="GT46" s="18" t="n"/>
      <c r="GU46" s="18" t="n"/>
      <c r="GV46" s="18" t="n"/>
      <c r="GW46" s="18" t="n"/>
      <c r="GX46" s="18" t="n"/>
      <c r="GY46" s="18" t="n"/>
      <c r="GZ46" s="18" t="n"/>
      <c r="HA46" s="18" t="n"/>
      <c r="HB46" s="18" t="n"/>
      <c r="HC46" s="18" t="n"/>
      <c r="HD46" s="18" t="n"/>
      <c r="HE46" s="18" t="n"/>
      <c r="HF46" s="18" t="n"/>
      <c r="HG46" s="18" t="n"/>
      <c r="HH46" s="18" t="n"/>
      <c r="HI46" s="18" t="n"/>
      <c r="HJ46" s="18" t="n"/>
      <c r="HK46" s="18" t="n"/>
      <c r="HL46" s="18" t="n"/>
      <c r="HM46" s="18" t="n"/>
      <c r="HN46" s="18" t="n"/>
      <c r="HO46" s="18" t="n"/>
      <c r="HP46" s="18" t="n"/>
      <c r="HQ46" s="18" t="n"/>
      <c r="HR46" s="18" t="n"/>
      <c r="HS46" s="18" t="n"/>
      <c r="HT46" s="18" t="n"/>
      <c r="HU46" s="18" t="n"/>
      <c r="HV46" s="18" t="n"/>
      <c r="HW46" s="18" t="n"/>
      <c r="HX46" s="18" t="n"/>
      <c r="HY46" s="18" t="n"/>
      <c r="HZ46" s="18" t="n"/>
      <c r="IA46" s="18" t="n"/>
      <c r="IB46" s="18" t="n"/>
      <c r="IC46" s="18" t="n"/>
      <c r="ID46" s="18" t="n"/>
      <c r="IE46" s="18" t="n"/>
      <c r="IF46" s="18" t="n"/>
      <c r="IG46" s="18" t="n"/>
      <c r="IH46" s="18" t="n"/>
      <c r="II46" s="18" t="n"/>
      <c r="IJ46" s="18" t="n"/>
      <c r="IK46" s="18" t="n"/>
      <c r="IL46" s="18" t="n"/>
      <c r="IM46" s="18" t="n"/>
      <c r="IN46" s="18" t="n"/>
      <c r="IO46" s="18" t="n"/>
      <c r="IP46" s="18" t="n"/>
      <c r="IQ46" s="18" t="n"/>
      <c r="IR46" s="18" t="n"/>
      <c r="IS46" s="18" t="n"/>
      <c r="IT46" s="18" t="n"/>
      <c r="IU46" s="18" t="n"/>
      <c r="IV46" s="18" t="n"/>
      <c r="IW46" s="18" t="n"/>
      <c r="IX46" s="18" t="n"/>
      <c r="IY46" s="18" t="n"/>
      <c r="IZ46" s="18" t="n"/>
      <c r="JA46" s="18" t="n"/>
      <c r="JB46" s="18" t="n"/>
      <c r="JC46" s="18" t="n"/>
      <c r="JD46" s="18" t="n"/>
      <c r="JE46" s="18" t="n"/>
      <c r="JF46" s="18" t="n"/>
      <c r="JG46" s="18" t="n"/>
      <c r="JH46" s="18" t="n"/>
      <c r="JI46" s="18" t="n"/>
      <c r="JJ46" s="18" t="n"/>
      <c r="JK46" s="18" t="n"/>
      <c r="JL46" s="18" t="n"/>
      <c r="JM46" s="18" t="n"/>
      <c r="JN46" s="18" t="n"/>
      <c r="JO46" s="18" t="n"/>
      <c r="JP46" s="18" t="n"/>
      <c r="JQ46" s="18" t="n"/>
      <c r="JR46" s="18" t="n"/>
      <c r="JS46" s="18" t="n"/>
      <c r="JT46" s="18" t="n"/>
      <c r="JU46" s="18" t="n"/>
      <c r="JV46" s="18" t="n"/>
      <c r="JW46" s="18" t="n"/>
      <c r="JX46" s="18" t="n"/>
      <c r="JY46" s="18" t="n"/>
      <c r="JZ46" s="18" t="n"/>
      <c r="KA46" s="18" t="n"/>
      <c r="KB46" s="18" t="n"/>
      <c r="KC46" s="18" t="n"/>
      <c r="KD46" s="18" t="n"/>
      <c r="KE46" s="18" t="n"/>
      <c r="KF46" s="18" t="n"/>
      <c r="KG46" s="18" t="n"/>
      <c r="KH46" s="18" t="n"/>
      <c r="KI46" s="18" t="n"/>
      <c r="KJ46" s="18" t="n"/>
      <c r="KK46" s="18" t="n"/>
      <c r="KL46" s="18" t="n"/>
      <c r="KM46" s="18" t="n"/>
      <c r="KN46" s="18" t="n"/>
      <c r="KO46" s="18" t="n"/>
      <c r="KP46" s="18" t="n"/>
      <c r="KQ46" s="18" t="n"/>
      <c r="KR46" s="18" t="n"/>
      <c r="KS46" s="18" t="n"/>
      <c r="KT46" s="18" t="n"/>
      <c r="KU46" s="18" t="n"/>
      <c r="KV46" s="18" t="n"/>
      <c r="KW46" s="18" t="n"/>
      <c r="KX46" s="18" t="n"/>
      <c r="KY46" s="18" t="n"/>
      <c r="KZ46" s="18" t="n"/>
      <c r="LA46" s="18" t="n"/>
      <c r="LB46" s="18" t="n"/>
      <c r="LC46" s="18" t="n"/>
      <c r="LD46" s="18" t="n"/>
      <c r="LE46" s="18" t="n"/>
      <c r="LF46" s="18" t="n"/>
      <c r="LG46" s="18" t="n"/>
      <c r="LH46" s="18" t="n"/>
      <c r="LI46" s="18" t="n"/>
      <c r="LJ46" s="18" t="n"/>
      <c r="LK46" s="18" t="n"/>
      <c r="LL46" s="18" t="n"/>
      <c r="LM46" s="18" t="n"/>
      <c r="LN46" s="18" t="n"/>
      <c r="LO46" s="18" t="n"/>
      <c r="LP46" s="18" t="n"/>
      <c r="LQ46" s="18" t="n"/>
      <c r="LR46" s="18" t="n"/>
      <c r="LS46" s="18" t="n"/>
      <c r="LT46" s="18" t="n"/>
      <c r="LU46" s="18" t="n"/>
      <c r="LV46" s="18" t="n"/>
      <c r="LW46" s="18" t="n"/>
      <c r="LX46" s="18" t="n"/>
      <c r="LY46" s="18" t="n"/>
      <c r="LZ46" s="18" t="n"/>
      <c r="MA46" s="18" t="n"/>
      <c r="MB46" s="18" t="n"/>
      <c r="MC46" s="18" t="n"/>
      <c r="MD46" s="18" t="n"/>
      <c r="ME46" s="18" t="n"/>
      <c r="MF46" s="18" t="n"/>
      <c r="MG46" s="18" t="n"/>
      <c r="MH46" s="18" t="n"/>
      <c r="MI46" s="18" t="n"/>
      <c r="MJ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  <c r="DY47" s="18" t="n"/>
      <c r="DZ47" s="18" t="n"/>
      <c r="EA47" s="18" t="n"/>
      <c r="EB47" s="18" t="n"/>
      <c r="EC47" s="18" t="n"/>
      <c r="ED47" s="18" t="n"/>
      <c r="EE47" s="18" t="n"/>
      <c r="EF47" s="18" t="n"/>
      <c r="EG47" s="18" t="n"/>
      <c r="EH47" s="18" t="n"/>
      <c r="EI47" s="18" t="n"/>
      <c r="EJ47" s="18" t="n"/>
      <c r="EK47" s="18" t="n"/>
      <c r="EL47" s="18" t="n"/>
      <c r="EM47" s="18" t="n"/>
      <c r="EN47" s="18" t="n"/>
      <c r="EO47" s="18" t="n"/>
      <c r="EP47" s="18" t="n"/>
      <c r="EQ47" s="18" t="n"/>
      <c r="ER47" s="18" t="n"/>
      <c r="ES47" s="18" t="n"/>
      <c r="ET47" s="18" t="n"/>
      <c r="EU47" s="18" t="n"/>
      <c r="EV47" s="18" t="n"/>
      <c r="EW47" s="18" t="n"/>
      <c r="EX47" s="18" t="n"/>
      <c r="EY47" s="18" t="n"/>
      <c r="EZ47" s="18" t="n"/>
      <c r="FA47" s="18" t="n"/>
      <c r="FB47" s="18" t="n"/>
      <c r="FC47" s="18" t="n"/>
      <c r="FD47" s="18" t="n"/>
      <c r="FE47" s="18" t="n"/>
      <c r="FF47" s="18" t="n"/>
      <c r="FG47" s="18" t="n"/>
      <c r="FH47" s="18" t="n"/>
      <c r="FI47" s="18" t="n"/>
      <c r="FJ47" s="18" t="n"/>
      <c r="FK47" s="18" t="n"/>
      <c r="FL47" s="18" t="n"/>
      <c r="FM47" s="18" t="n"/>
      <c r="FN47" s="18" t="n"/>
      <c r="FO47" s="18" t="n"/>
      <c r="FP47" s="18" t="n"/>
      <c r="FQ47" s="18" t="n"/>
      <c r="FR47" s="18" t="n"/>
      <c r="FS47" s="18" t="n"/>
      <c r="FT47" s="18" t="n"/>
      <c r="FU47" s="18" t="n"/>
      <c r="FV47" s="18" t="n"/>
      <c r="FW47" s="18" t="n"/>
      <c r="FX47" s="18" t="n"/>
      <c r="FY47" s="18" t="n"/>
      <c r="FZ47" s="18" t="n"/>
      <c r="GA47" s="18" t="n"/>
      <c r="GB47" s="18" t="n"/>
      <c r="GC47" s="18" t="n"/>
      <c r="GD47" s="18" t="n"/>
      <c r="GE47" s="18" t="n"/>
      <c r="GF47" s="18" t="n"/>
      <c r="GG47" s="18" t="n"/>
      <c r="GH47" s="18" t="n"/>
      <c r="GI47" s="18" t="n"/>
      <c r="GJ47" s="18" t="n"/>
      <c r="GK47" s="18" t="n"/>
      <c r="GL47" s="18" t="n"/>
      <c r="GM47" s="18" t="n"/>
      <c r="GN47" s="18" t="n"/>
      <c r="GO47" s="18" t="n"/>
      <c r="GP47" s="18" t="n"/>
      <c r="GQ47" s="18" t="n"/>
      <c r="GR47" s="18" t="n"/>
      <c r="GS47" s="18" t="n"/>
      <c r="GT47" s="18" t="n"/>
      <c r="GU47" s="18" t="n"/>
      <c r="GV47" s="18" t="n"/>
      <c r="GW47" s="18" t="n"/>
      <c r="GX47" s="18" t="n"/>
      <c r="GY47" s="18" t="n"/>
      <c r="GZ47" s="18" t="n"/>
      <c r="HA47" s="18" t="n"/>
      <c r="HB47" s="18" t="n"/>
      <c r="HC47" s="18" t="n"/>
      <c r="HD47" s="18" t="n"/>
      <c r="HE47" s="18" t="n"/>
      <c r="HF47" s="18" t="n"/>
      <c r="HG47" s="18" t="n"/>
      <c r="HH47" s="18" t="n"/>
      <c r="HI47" s="18" t="n"/>
      <c r="HJ47" s="18" t="n"/>
      <c r="HK47" s="18" t="n"/>
      <c r="HL47" s="18" t="n"/>
      <c r="HM47" s="18" t="n"/>
      <c r="HN47" s="18" t="n"/>
      <c r="HO47" s="18" t="n"/>
      <c r="HP47" s="18" t="n"/>
      <c r="HQ47" s="18" t="n"/>
      <c r="HR47" s="18" t="n"/>
      <c r="HS47" s="18" t="n"/>
      <c r="HT47" s="18" t="n"/>
      <c r="HU47" s="18" t="n"/>
      <c r="HV47" s="18" t="n"/>
      <c r="HW47" s="18" t="n"/>
      <c r="HX47" s="18" t="n"/>
      <c r="HY47" s="18" t="n"/>
      <c r="HZ47" s="18" t="n"/>
      <c r="IA47" s="18" t="n"/>
      <c r="IB47" s="18" t="n"/>
      <c r="IC47" s="18" t="n"/>
      <c r="ID47" s="18" t="n"/>
      <c r="IE47" s="18" t="n"/>
      <c r="IF47" s="18" t="n"/>
      <c r="IG47" s="18" t="n"/>
      <c r="IH47" s="18" t="n"/>
      <c r="II47" s="18" t="n"/>
      <c r="IJ47" s="18" t="n"/>
      <c r="IK47" s="18" t="n"/>
      <c r="IL47" s="18" t="n"/>
      <c r="IM47" s="18" t="n"/>
      <c r="IN47" s="18" t="n"/>
      <c r="IO47" s="18" t="n"/>
      <c r="IP47" s="18" t="n"/>
      <c r="IQ47" s="18" t="n"/>
      <c r="IR47" s="18" t="n"/>
      <c r="IS47" s="18" t="n"/>
      <c r="IT47" s="18" t="n"/>
      <c r="IU47" s="18" t="n"/>
      <c r="IV47" s="18" t="n"/>
      <c r="IW47" s="18" t="n"/>
      <c r="IX47" s="18" t="n"/>
      <c r="IY47" s="18" t="n"/>
      <c r="IZ47" s="18" t="n"/>
      <c r="JA47" s="18" t="n"/>
      <c r="JB47" s="18" t="n"/>
      <c r="JC47" s="18" t="n"/>
      <c r="JD47" s="18" t="n"/>
      <c r="JE47" s="18" t="n"/>
      <c r="JF47" s="18" t="n"/>
      <c r="JG47" s="18" t="n"/>
      <c r="JH47" s="18" t="n"/>
      <c r="JI47" s="18" t="n"/>
      <c r="JJ47" s="18" t="n"/>
      <c r="JK47" s="18" t="n"/>
      <c r="JL47" s="18" t="n"/>
      <c r="JM47" s="18" t="n"/>
      <c r="JN47" s="18" t="n"/>
      <c r="JO47" s="18" t="n"/>
      <c r="JP47" s="18" t="n"/>
      <c r="JQ47" s="18" t="n"/>
      <c r="JR47" s="18" t="n"/>
      <c r="JS47" s="18" t="n"/>
      <c r="JT47" s="18" t="n"/>
      <c r="JU47" s="18" t="n"/>
      <c r="JV47" s="18" t="n"/>
      <c r="JW47" s="18" t="n"/>
      <c r="JX47" s="18" t="n"/>
      <c r="JY47" s="18" t="n"/>
      <c r="JZ47" s="18" t="n"/>
      <c r="KA47" s="18" t="n"/>
      <c r="KB47" s="18" t="n"/>
      <c r="KC47" s="18" t="n"/>
      <c r="KD47" s="18" t="n"/>
      <c r="KE47" s="18" t="n"/>
      <c r="KF47" s="18" t="n"/>
      <c r="KG47" s="18" t="n"/>
      <c r="KH47" s="18" t="n"/>
      <c r="KI47" s="18" t="n"/>
      <c r="KJ47" s="18" t="n"/>
      <c r="KK47" s="18" t="n"/>
      <c r="KL47" s="18" t="n"/>
      <c r="KM47" s="18" t="n"/>
      <c r="KN47" s="18" t="n"/>
      <c r="KO47" s="18" t="n"/>
      <c r="KP47" s="18" t="n"/>
      <c r="KQ47" s="18" t="n"/>
      <c r="KR47" s="18" t="n"/>
      <c r="KS47" s="18" t="n"/>
      <c r="KT47" s="18" t="n"/>
      <c r="KU47" s="18" t="n"/>
      <c r="KV47" s="18" t="n"/>
      <c r="KW47" s="18" t="n"/>
      <c r="KX47" s="18" t="n"/>
      <c r="KY47" s="18" t="n"/>
      <c r="KZ47" s="18" t="n"/>
      <c r="LA47" s="18" t="n"/>
      <c r="LB47" s="18" t="n"/>
      <c r="LC47" s="18" t="n"/>
      <c r="LD47" s="18" t="n"/>
      <c r="LE47" s="18" t="n"/>
      <c r="LF47" s="18" t="n"/>
      <c r="LG47" s="18" t="n"/>
      <c r="LH47" s="18" t="n"/>
      <c r="LI47" s="18" t="n"/>
      <c r="LJ47" s="18" t="n"/>
      <c r="LK47" s="18" t="n"/>
      <c r="LL47" s="18" t="n"/>
      <c r="LM47" s="18" t="n"/>
      <c r="LN47" s="18" t="n"/>
      <c r="LO47" s="18" t="n"/>
      <c r="LP47" s="18" t="n"/>
      <c r="LQ47" s="18" t="n"/>
      <c r="LR47" s="18" t="n"/>
      <c r="LS47" s="18" t="n"/>
      <c r="LT47" s="18" t="n"/>
      <c r="LU47" s="18" t="n"/>
      <c r="LV47" s="18" t="n"/>
      <c r="LW47" s="18" t="n"/>
      <c r="LX47" s="18" t="n"/>
      <c r="LY47" s="18" t="n"/>
      <c r="LZ47" s="18" t="n"/>
      <c r="MA47" s="18" t="n"/>
      <c r="MB47" s="18" t="n"/>
      <c r="MC47" s="18" t="n"/>
      <c r="MD47" s="18" t="n"/>
      <c r="ME47" s="18" t="n"/>
      <c r="MF47" s="18" t="n"/>
      <c r="MG47" s="18" t="n"/>
      <c r="MH47" s="18" t="n"/>
      <c r="MI47" s="18" t="n"/>
      <c r="MJ47" s="18" t="n"/>
      <c r="MK47" s="18" t="n"/>
      <c r="ML47" s="18" t="n"/>
      <c r="MM47" s="18" t="n"/>
      <c r="MN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  <c r="DY48" s="18" t="n"/>
      <c r="DZ48" s="18" t="n"/>
      <c r="EA48" s="18" t="n"/>
      <c r="EB48" s="18" t="n"/>
      <c r="EC48" s="18" t="n"/>
      <c r="ED48" s="18" t="n"/>
      <c r="EE48" s="18" t="n"/>
      <c r="EF48" s="18" t="n"/>
      <c r="EG48" s="18" t="n"/>
      <c r="EH48" s="18" t="n"/>
      <c r="EI48" s="18" t="n"/>
      <c r="EJ48" s="18" t="n"/>
      <c r="EK48" s="18" t="n"/>
      <c r="EL48" s="18" t="n"/>
      <c r="EM48" s="18" t="n"/>
      <c r="EN48" s="18" t="n"/>
      <c r="EO48" s="18" t="n"/>
      <c r="EP48" s="18" t="n"/>
      <c r="EQ48" s="18" t="n"/>
      <c r="ER48" s="18" t="n"/>
      <c r="ES48" s="18" t="n"/>
      <c r="ET48" s="18" t="n"/>
      <c r="EU48" s="18" t="n"/>
      <c r="EV48" s="18" t="n"/>
      <c r="EW48" s="18" t="n"/>
      <c r="EX48" s="18" t="n"/>
      <c r="EY48" s="18" t="n"/>
      <c r="EZ48" s="18" t="n"/>
      <c r="FA48" s="18" t="n"/>
      <c r="FB48" s="18" t="n"/>
      <c r="FC48" s="18" t="n"/>
      <c r="FD48" s="18" t="n"/>
      <c r="FE48" s="18" t="n"/>
      <c r="FF48" s="18" t="n"/>
      <c r="FG48" s="18" t="n"/>
      <c r="FH48" s="18" t="n"/>
      <c r="FI48" s="18" t="n"/>
      <c r="FJ48" s="18" t="n"/>
      <c r="FK48" s="18" t="n"/>
      <c r="FL48" s="18" t="n"/>
      <c r="FM48" s="18" t="n"/>
      <c r="FN48" s="18" t="n"/>
      <c r="FO48" s="18" t="n"/>
      <c r="FP48" s="18" t="n"/>
      <c r="FQ48" s="18" t="n"/>
      <c r="FR48" s="18" t="n"/>
      <c r="FS48" s="18" t="n"/>
      <c r="FT48" s="18" t="n"/>
      <c r="FU48" s="18" t="n"/>
      <c r="FV48" s="18" t="n"/>
      <c r="FW48" s="18" t="n"/>
      <c r="FX48" s="18" t="n"/>
      <c r="FY48" s="18" t="n"/>
      <c r="FZ48" s="18" t="n"/>
      <c r="GA48" s="18" t="n"/>
      <c r="GB48" s="18" t="n"/>
      <c r="GC48" s="18" t="n"/>
      <c r="GD48" s="18" t="n"/>
      <c r="GE48" s="18" t="n"/>
      <c r="GF48" s="18" t="n"/>
      <c r="GG48" s="18" t="n"/>
      <c r="GH48" s="18" t="n"/>
      <c r="GI48" s="18" t="n"/>
      <c r="GJ48" s="18" t="n"/>
      <c r="GK48" s="18" t="n"/>
      <c r="GL48" s="18" t="n"/>
      <c r="GM48" s="18" t="n"/>
      <c r="GN48" s="18" t="n"/>
      <c r="GO48" s="18" t="n"/>
      <c r="GP48" s="18" t="n"/>
      <c r="GQ48" s="18" t="n"/>
      <c r="GR48" s="18" t="n"/>
      <c r="GS48" s="18" t="n"/>
      <c r="GT48" s="18" t="n"/>
      <c r="GU48" s="18" t="n"/>
      <c r="GV48" s="18" t="n"/>
      <c r="GW48" s="18" t="n"/>
      <c r="GX48" s="18" t="n"/>
      <c r="GY48" s="18" t="n"/>
      <c r="GZ48" s="18" t="n"/>
      <c r="HA48" s="18" t="n"/>
      <c r="HB48" s="18" t="n"/>
      <c r="HC48" s="18" t="n"/>
      <c r="HD48" s="18" t="n"/>
      <c r="HE48" s="18" t="n"/>
      <c r="HF48" s="18" t="n"/>
      <c r="HG48" s="18" t="n"/>
      <c r="HH48" s="18" t="n"/>
      <c r="HI48" s="18" t="n"/>
      <c r="HJ48" s="18" t="n"/>
      <c r="HK48" s="18" t="n"/>
      <c r="HL48" s="18" t="n"/>
      <c r="HM48" s="18" t="n"/>
      <c r="HN48" s="18" t="n"/>
      <c r="HO48" s="18" t="n"/>
      <c r="HP48" s="18" t="n"/>
      <c r="HQ48" s="18" t="n"/>
      <c r="HR48" s="18" t="n"/>
      <c r="HS48" s="18" t="n"/>
      <c r="HT48" s="18" t="n"/>
      <c r="HU48" s="18" t="n"/>
      <c r="HV48" s="18" t="n"/>
      <c r="HW48" s="18" t="n"/>
      <c r="HX48" s="18" t="n"/>
      <c r="HY48" s="18" t="n"/>
      <c r="HZ48" s="18" t="n"/>
      <c r="IA48" s="18" t="n"/>
      <c r="IB48" s="18" t="n"/>
      <c r="IC48" s="18" t="n"/>
      <c r="ID48" s="18" t="n"/>
      <c r="IE48" s="18" t="n"/>
      <c r="IF48" s="18" t="n"/>
      <c r="IG48" s="18" t="n"/>
      <c r="IH48" s="18" t="n"/>
      <c r="II48" s="18" t="n"/>
      <c r="IJ48" s="18" t="n"/>
      <c r="IK48" s="18" t="n"/>
      <c r="IL48" s="18" t="n"/>
      <c r="IM48" s="18" t="n"/>
      <c r="IN48" s="18" t="n"/>
      <c r="IO48" s="18" t="n"/>
      <c r="IP48" s="18" t="n"/>
      <c r="IQ48" s="18" t="n"/>
      <c r="IR48" s="18" t="n"/>
      <c r="IS48" s="18" t="n"/>
      <c r="IT48" s="18" t="n"/>
      <c r="IU48" s="18" t="n"/>
      <c r="IV48" s="18" t="n"/>
      <c r="IW48" s="18" t="n"/>
      <c r="IX48" s="18" t="n"/>
      <c r="IY48" s="18" t="n"/>
      <c r="IZ48" s="18" t="n"/>
      <c r="JA48" s="18" t="n"/>
      <c r="JB48" s="18" t="n"/>
      <c r="JC48" s="18" t="n"/>
      <c r="JD48" s="18" t="n"/>
      <c r="JE48" s="18" t="n"/>
      <c r="JF48" s="18" t="n"/>
      <c r="JG48" s="18" t="n"/>
      <c r="JH48" s="18" t="n"/>
      <c r="JI48" s="18" t="n"/>
      <c r="JJ48" s="18" t="n"/>
      <c r="JK48" s="18" t="n"/>
      <c r="JL48" s="18" t="n"/>
      <c r="JM48" s="18" t="n"/>
      <c r="JN48" s="18" t="n"/>
      <c r="JO48" s="18" t="n"/>
      <c r="JP48" s="18" t="n"/>
      <c r="JQ48" s="18" t="n"/>
      <c r="JR48" s="18" t="n"/>
      <c r="JS48" s="18" t="n"/>
      <c r="JT48" s="18" t="n"/>
      <c r="JU48" s="18" t="n"/>
      <c r="JV48" s="18" t="n"/>
      <c r="JW48" s="18" t="n"/>
      <c r="JX48" s="18" t="n"/>
      <c r="JY48" s="18" t="n"/>
      <c r="JZ48" s="18" t="n"/>
      <c r="KA48" s="18" t="n"/>
      <c r="KB48" s="18" t="n"/>
      <c r="KC48" s="18" t="n"/>
      <c r="KD48" s="18" t="n"/>
      <c r="KE48" s="18" t="n"/>
      <c r="KF48" s="18" t="n"/>
      <c r="KG48" s="18" t="n"/>
      <c r="KH48" s="18" t="n"/>
      <c r="KI48" s="18" t="n"/>
      <c r="KJ48" s="18" t="n"/>
      <c r="KK48" s="18" t="n"/>
      <c r="KL48" s="18" t="n"/>
      <c r="KM48" s="18" t="n"/>
      <c r="KN48" s="18" t="n"/>
      <c r="KO48" s="18" t="n"/>
      <c r="KP48" s="18" t="n"/>
      <c r="KQ48" s="18" t="n"/>
      <c r="KR48" s="18" t="n"/>
      <c r="KS48" s="18" t="n"/>
      <c r="KT48" s="18" t="n"/>
      <c r="KU48" s="18" t="n"/>
      <c r="KV48" s="18" t="n"/>
      <c r="KW48" s="18" t="n"/>
      <c r="KX48" s="18" t="n"/>
      <c r="KY48" s="18" t="n"/>
      <c r="KZ48" s="18" t="n"/>
      <c r="LA48" s="18" t="n"/>
      <c r="LB48" s="18" t="n"/>
      <c r="LC48" s="18" t="n"/>
      <c r="LD48" s="18" t="n"/>
      <c r="LE48" s="18" t="n"/>
      <c r="LF48" s="18" t="n"/>
      <c r="LG48" s="18" t="n"/>
      <c r="LH48" s="18" t="n"/>
      <c r="LI48" s="18" t="n"/>
      <c r="LJ48" s="18" t="n"/>
      <c r="LK48" s="18" t="n"/>
      <c r="LL48" s="18" t="n"/>
      <c r="LM48" s="18" t="n"/>
      <c r="LN48" s="18" t="n"/>
      <c r="LO48" s="18" t="n"/>
      <c r="LP48" s="18" t="n"/>
      <c r="LQ48" s="18" t="n"/>
      <c r="LR48" s="18" t="n"/>
      <c r="LS48" s="18" t="n"/>
      <c r="LT48" s="18" t="n"/>
      <c r="LU48" s="18" t="n"/>
      <c r="LV48" s="18" t="n"/>
      <c r="LW48" s="18" t="n"/>
      <c r="LX48" s="18" t="n"/>
      <c r="LY48" s="18" t="n"/>
      <c r="LZ48" s="18" t="n"/>
      <c r="MA48" s="18" t="n"/>
      <c r="MB48" s="18" t="n"/>
      <c r="MC48" s="18" t="n"/>
      <c r="MD48" s="18" t="n"/>
      <c r="ME48" s="18" t="n"/>
      <c r="MF48" s="18" t="n"/>
      <c r="MG48" s="18" t="n"/>
      <c r="MH48" s="18" t="n"/>
      <c r="MI48" s="18" t="n"/>
      <c r="MJ48" s="18" t="n"/>
      <c r="MK48" s="18" t="n"/>
      <c r="ML48" s="18" t="n"/>
      <c r="MM48" s="18" t="n"/>
      <c r="MN48" s="18" t="n"/>
      <c r="MO48" s="18" t="n"/>
      <c r="MP48" s="18" t="n"/>
      <c r="MQ48" s="18" t="n"/>
      <c r="MR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  <c r="DY49" s="18" t="n"/>
      <c r="DZ49" s="18" t="n"/>
      <c r="EA49" s="18" t="n"/>
      <c r="EB49" s="18" t="n"/>
      <c r="EC49" s="18" t="n"/>
      <c r="ED49" s="18" t="n"/>
      <c r="EE49" s="18" t="n"/>
      <c r="EF49" s="18" t="n"/>
      <c r="EG49" s="18" t="n"/>
      <c r="EH49" s="18" t="n"/>
      <c r="EI49" s="18" t="n"/>
      <c r="EJ49" s="18" t="n"/>
      <c r="EK49" s="18" t="n"/>
      <c r="EL49" s="18" t="n"/>
      <c r="EM49" s="18" t="n"/>
      <c r="EN49" s="18" t="n"/>
      <c r="EO49" s="18" t="n"/>
      <c r="EP49" s="18" t="n"/>
      <c r="EQ49" s="18" t="n"/>
      <c r="ER49" s="18" t="n"/>
      <c r="ES49" s="18" t="n"/>
      <c r="ET49" s="18" t="n"/>
      <c r="EU49" s="18" t="n"/>
      <c r="EV49" s="18" t="n"/>
      <c r="EW49" s="18" t="n"/>
      <c r="EX49" s="18" t="n"/>
      <c r="EY49" s="18" t="n"/>
      <c r="EZ49" s="18" t="n"/>
      <c r="FA49" s="18" t="n"/>
      <c r="FB49" s="18" t="n"/>
      <c r="FC49" s="18" t="n"/>
      <c r="FD49" s="18" t="n"/>
      <c r="FE49" s="18" t="n"/>
      <c r="FF49" s="18" t="n"/>
      <c r="FG49" s="18" t="n"/>
      <c r="FH49" s="18" t="n"/>
      <c r="FI49" s="18" t="n"/>
      <c r="FJ49" s="18" t="n"/>
      <c r="FK49" s="18" t="n"/>
      <c r="FL49" s="18" t="n"/>
      <c r="FM49" s="18" t="n"/>
      <c r="FN49" s="18" t="n"/>
      <c r="FO49" s="18" t="n"/>
      <c r="FP49" s="18" t="n"/>
      <c r="FQ49" s="18" t="n"/>
      <c r="FR49" s="18" t="n"/>
      <c r="FS49" s="18" t="n"/>
      <c r="FT49" s="18" t="n"/>
      <c r="FU49" s="18" t="n"/>
      <c r="FV49" s="18" t="n"/>
      <c r="FW49" s="18" t="n"/>
      <c r="FX49" s="18" t="n"/>
      <c r="FY49" s="18" t="n"/>
      <c r="FZ49" s="18" t="n"/>
      <c r="GA49" s="18" t="n"/>
      <c r="GB49" s="18" t="n"/>
      <c r="GC49" s="18" t="n"/>
      <c r="GD49" s="18" t="n"/>
      <c r="GE49" s="18" t="n"/>
      <c r="GF49" s="18" t="n"/>
      <c r="GG49" s="18" t="n"/>
      <c r="GH49" s="18" t="n"/>
      <c r="GI49" s="18" t="n"/>
      <c r="GJ49" s="18" t="n"/>
      <c r="GK49" s="18" t="n"/>
      <c r="GL49" s="18" t="n"/>
      <c r="GM49" s="18" t="n"/>
      <c r="GN49" s="18" t="n"/>
      <c r="GO49" s="18" t="n"/>
      <c r="GP49" s="18" t="n"/>
      <c r="GQ49" s="18" t="n"/>
      <c r="GR49" s="18" t="n"/>
      <c r="GS49" s="18" t="n"/>
      <c r="GT49" s="18" t="n"/>
      <c r="GU49" s="18" t="n"/>
      <c r="GV49" s="18" t="n"/>
      <c r="GW49" s="18" t="n"/>
      <c r="GX49" s="18" t="n"/>
      <c r="GY49" s="18" t="n"/>
      <c r="GZ49" s="18" t="n"/>
      <c r="HA49" s="18" t="n"/>
      <c r="HB49" s="18" t="n"/>
      <c r="HC49" s="18" t="n"/>
      <c r="HD49" s="18" t="n"/>
      <c r="HE49" s="18" t="n"/>
      <c r="HF49" s="18" t="n"/>
      <c r="HG49" s="18" t="n"/>
      <c r="HH49" s="18" t="n"/>
      <c r="HI49" s="18" t="n"/>
      <c r="HJ49" s="18" t="n"/>
      <c r="HK49" s="18" t="n"/>
      <c r="HL49" s="18" t="n"/>
      <c r="HM49" s="18" t="n"/>
      <c r="HN49" s="18" t="n"/>
      <c r="HO49" s="18" t="n"/>
      <c r="HP49" s="18" t="n"/>
      <c r="HQ49" s="18" t="n"/>
      <c r="HR49" s="18" t="n"/>
      <c r="HS49" s="18" t="n"/>
      <c r="HT49" s="18" t="n"/>
      <c r="HU49" s="18" t="n"/>
      <c r="HV49" s="18" t="n"/>
      <c r="HW49" s="18" t="n"/>
      <c r="HX49" s="18" t="n"/>
      <c r="HY49" s="18" t="n"/>
      <c r="HZ49" s="18" t="n"/>
      <c r="IA49" s="18" t="n"/>
      <c r="IB49" s="18" t="n"/>
      <c r="IC49" s="18" t="n"/>
      <c r="ID49" s="18" t="n"/>
      <c r="IE49" s="18" t="n"/>
      <c r="IF49" s="18" t="n"/>
      <c r="IG49" s="18" t="n"/>
      <c r="IH49" s="18" t="n"/>
      <c r="II49" s="18" t="n"/>
      <c r="IJ49" s="18" t="n"/>
      <c r="IK49" s="18" t="n"/>
      <c r="IL49" s="18" t="n"/>
      <c r="IM49" s="18" t="n"/>
      <c r="IN49" s="18" t="n"/>
      <c r="IO49" s="18" t="n"/>
      <c r="IP49" s="18" t="n"/>
      <c r="IQ49" s="18" t="n"/>
      <c r="IR49" s="18" t="n"/>
      <c r="IS49" s="18" t="n"/>
      <c r="IT49" s="18" t="n"/>
      <c r="IU49" s="18" t="n"/>
      <c r="IV49" s="18" t="n"/>
      <c r="IW49" s="18" t="n"/>
      <c r="IX49" s="18" t="n"/>
      <c r="IY49" s="18" t="n"/>
      <c r="IZ49" s="18" t="n"/>
      <c r="JA49" s="18" t="n"/>
      <c r="JB49" s="18" t="n"/>
      <c r="JC49" s="18" t="n"/>
      <c r="JD49" s="18" t="n"/>
      <c r="JE49" s="18" t="n"/>
      <c r="JF49" s="18" t="n"/>
      <c r="JG49" s="18" t="n"/>
      <c r="JH49" s="18" t="n"/>
      <c r="JI49" s="18" t="n"/>
      <c r="JJ49" s="18" t="n"/>
      <c r="JK49" s="18" t="n"/>
      <c r="JL49" s="18" t="n"/>
      <c r="JM49" s="18" t="n"/>
      <c r="JN49" s="18" t="n"/>
      <c r="JO49" s="18" t="n"/>
      <c r="JP49" s="18" t="n"/>
      <c r="JQ49" s="18" t="n"/>
      <c r="JR49" s="18" t="n"/>
      <c r="JS49" s="18" t="n"/>
      <c r="JT49" s="18" t="n"/>
      <c r="JU49" s="18" t="n"/>
      <c r="JV49" s="18" t="n"/>
      <c r="JW49" s="18" t="n"/>
      <c r="JX49" s="18" t="n"/>
      <c r="JY49" s="18" t="n"/>
      <c r="JZ49" s="18" t="n"/>
      <c r="KA49" s="18" t="n"/>
      <c r="KB49" s="18" t="n"/>
      <c r="KC49" s="18" t="n"/>
      <c r="KD49" s="18" t="n"/>
      <c r="KE49" s="18" t="n"/>
      <c r="KF49" s="18" t="n"/>
      <c r="KG49" s="18" t="n"/>
      <c r="KH49" s="18" t="n"/>
      <c r="KI49" s="18" t="n"/>
      <c r="KJ49" s="18" t="n"/>
      <c r="KK49" s="18" t="n"/>
      <c r="KL49" s="18" t="n"/>
      <c r="KM49" s="18" t="n"/>
      <c r="KN49" s="18" t="n"/>
      <c r="KO49" s="18" t="n"/>
      <c r="KP49" s="18" t="n"/>
      <c r="KQ49" s="18" t="n"/>
      <c r="KR49" s="18" t="n"/>
      <c r="KS49" s="18" t="n"/>
      <c r="KT49" s="18" t="n"/>
      <c r="KU49" s="18" t="n"/>
      <c r="KV49" s="18" t="n"/>
      <c r="KW49" s="18" t="n"/>
      <c r="KX49" s="18" t="n"/>
      <c r="KY49" s="18" t="n"/>
      <c r="KZ49" s="18" t="n"/>
      <c r="LA49" s="18" t="n"/>
      <c r="LB49" s="18" t="n"/>
      <c r="LC49" s="18" t="n"/>
      <c r="LD49" s="18" t="n"/>
      <c r="LE49" s="18" t="n"/>
      <c r="LF49" s="18" t="n"/>
      <c r="LG49" s="18" t="n"/>
      <c r="LH49" s="18" t="n"/>
      <c r="LI49" s="18" t="n"/>
      <c r="LJ49" s="18" t="n"/>
      <c r="LK49" s="18" t="n"/>
      <c r="LL49" s="18" t="n"/>
      <c r="LM49" s="18" t="n"/>
      <c r="LN49" s="18" t="n"/>
      <c r="LO49" s="18" t="n"/>
      <c r="LP49" s="18" t="n"/>
      <c r="LQ49" s="18" t="n"/>
      <c r="LR49" s="18" t="n"/>
      <c r="LS49" s="18" t="n"/>
      <c r="LT49" s="18" t="n"/>
      <c r="LU49" s="18" t="n"/>
      <c r="LV49" s="18" t="n"/>
      <c r="LW49" s="18" t="n"/>
      <c r="LX49" s="18" t="n"/>
      <c r="LY49" s="18" t="n"/>
      <c r="LZ49" s="18" t="n"/>
      <c r="MA49" s="18" t="n"/>
      <c r="MB49" s="18" t="n"/>
      <c r="MC49" s="18" t="n"/>
      <c r="MD49" s="18" t="n"/>
      <c r="ME49" s="18" t="n"/>
      <c r="MF49" s="18" t="n"/>
      <c r="MG49" s="18" t="n"/>
      <c r="MH49" s="18" t="n"/>
      <c r="MI49" s="18" t="n"/>
      <c r="MJ49" s="18" t="n"/>
      <c r="MK49" s="18" t="n"/>
      <c r="ML49" s="18" t="n"/>
      <c r="MM49" s="18" t="n"/>
      <c r="MN49" s="18" t="n"/>
      <c r="MO49" s="18" t="n"/>
      <c r="MP49" s="18" t="n"/>
      <c r="MQ49" s="18" t="n"/>
      <c r="MR49" s="18" t="n"/>
      <c r="MS49" s="18" t="n"/>
      <c r="MT49" s="18" t="n"/>
      <c r="MU49" s="18" t="n"/>
      <c r="MV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  <c r="DY50" s="18" t="n"/>
      <c r="DZ50" s="18" t="n"/>
      <c r="EA50" s="18" t="n"/>
      <c r="EB50" s="18" t="n"/>
      <c r="EC50" s="18" t="n"/>
      <c r="ED50" s="18" t="n"/>
      <c r="EE50" s="18" t="n"/>
      <c r="EF50" s="18" t="n"/>
      <c r="EG50" s="18" t="n"/>
      <c r="EH50" s="18" t="n"/>
      <c r="EI50" s="18" t="n"/>
      <c r="EJ50" s="18" t="n"/>
      <c r="EK50" s="18" t="n"/>
      <c r="EL50" s="18" t="n"/>
      <c r="EM50" s="18" t="n"/>
      <c r="EN50" s="18" t="n"/>
      <c r="EO50" s="18" t="n"/>
      <c r="EP50" s="18" t="n"/>
      <c r="EQ50" s="18" t="n"/>
      <c r="ER50" s="18" t="n"/>
      <c r="ES50" s="18" t="n"/>
      <c r="ET50" s="18" t="n"/>
      <c r="EU50" s="18" t="n"/>
      <c r="EV50" s="18" t="n"/>
      <c r="EW50" s="18" t="n"/>
      <c r="EX50" s="18" t="n"/>
      <c r="EY50" s="18" t="n"/>
      <c r="EZ50" s="18" t="n"/>
      <c r="FA50" s="18" t="n"/>
      <c r="FB50" s="18" t="n"/>
      <c r="FC50" s="18" t="n"/>
      <c r="FD50" s="18" t="n"/>
      <c r="FE50" s="18" t="n"/>
      <c r="FF50" s="18" t="n"/>
      <c r="FG50" s="18" t="n"/>
      <c r="FH50" s="18" t="n"/>
      <c r="FI50" s="18" t="n"/>
      <c r="FJ50" s="18" t="n"/>
      <c r="FK50" s="18" t="n"/>
      <c r="FL50" s="18" t="n"/>
      <c r="FM50" s="18" t="n"/>
      <c r="FN50" s="18" t="n"/>
      <c r="FO50" s="18" t="n"/>
      <c r="FP50" s="18" t="n"/>
      <c r="FQ50" s="18" t="n"/>
      <c r="FR50" s="18" t="n"/>
      <c r="FS50" s="18" t="n"/>
      <c r="FT50" s="18" t="n"/>
      <c r="FU50" s="18" t="n"/>
      <c r="FV50" s="18" t="n"/>
      <c r="FW50" s="18" t="n"/>
      <c r="FX50" s="18" t="n"/>
      <c r="FY50" s="18" t="n"/>
      <c r="FZ50" s="18" t="n"/>
      <c r="GA50" s="18" t="n"/>
      <c r="GB50" s="18" t="n"/>
      <c r="GC50" s="18" t="n"/>
      <c r="GD50" s="18" t="n"/>
      <c r="GE50" s="18" t="n"/>
      <c r="GF50" s="18" t="n"/>
      <c r="GG50" s="18" t="n"/>
      <c r="GH50" s="18" t="n"/>
      <c r="GI50" s="18" t="n"/>
      <c r="GJ50" s="18" t="n"/>
      <c r="GK50" s="18" t="n"/>
      <c r="GL50" s="18" t="n"/>
      <c r="GM50" s="18" t="n"/>
      <c r="GN50" s="18" t="n"/>
      <c r="GO50" s="18" t="n"/>
      <c r="GP50" s="18" t="n"/>
      <c r="GQ50" s="18" t="n"/>
      <c r="GR50" s="18" t="n"/>
      <c r="GS50" s="18" t="n"/>
      <c r="GT50" s="18" t="n"/>
      <c r="GU50" s="18" t="n"/>
      <c r="GV50" s="18" t="n"/>
      <c r="GW50" s="18" t="n"/>
      <c r="GX50" s="18" t="n"/>
      <c r="GY50" s="18" t="n"/>
      <c r="GZ50" s="18" t="n"/>
      <c r="HA50" s="18" t="n"/>
      <c r="HB50" s="18" t="n"/>
      <c r="HC50" s="18" t="n"/>
      <c r="HD50" s="18" t="n"/>
      <c r="HE50" s="18" t="n"/>
      <c r="HF50" s="18" t="n"/>
      <c r="HG50" s="18" t="n"/>
      <c r="HH50" s="18" t="n"/>
      <c r="HI50" s="18" t="n"/>
      <c r="HJ50" s="18" t="n"/>
      <c r="HK50" s="18" t="n"/>
      <c r="HL50" s="18" t="n"/>
      <c r="HM50" s="18" t="n"/>
      <c r="HN50" s="18" t="n"/>
      <c r="HO50" s="18" t="n"/>
      <c r="HP50" s="18" t="n"/>
      <c r="HQ50" s="18" t="n"/>
      <c r="HR50" s="18" t="n"/>
      <c r="HS50" s="18" t="n"/>
      <c r="HT50" s="18" t="n"/>
      <c r="HU50" s="18" t="n"/>
      <c r="HV50" s="18" t="n"/>
      <c r="HW50" s="18" t="n"/>
      <c r="HX50" s="18" t="n"/>
      <c r="HY50" s="18" t="n"/>
      <c r="HZ50" s="18" t="n"/>
      <c r="IA50" s="18" t="n"/>
      <c r="IB50" s="18" t="n"/>
      <c r="IC50" s="18" t="n"/>
      <c r="ID50" s="18" t="n"/>
      <c r="IE50" s="18" t="n"/>
      <c r="IF50" s="18" t="n"/>
      <c r="IG50" s="18" t="n"/>
      <c r="IH50" s="18" t="n"/>
      <c r="II50" s="18" t="n"/>
      <c r="IJ50" s="18" t="n"/>
      <c r="IK50" s="18" t="n"/>
      <c r="IL50" s="18" t="n"/>
      <c r="IM50" s="18" t="n"/>
      <c r="IN50" s="18" t="n"/>
      <c r="IO50" s="18" t="n"/>
      <c r="IP50" s="18" t="n"/>
      <c r="IQ50" s="18" t="n"/>
      <c r="IR50" s="18" t="n"/>
      <c r="IS50" s="18" t="n"/>
      <c r="IT50" s="18" t="n"/>
      <c r="IU50" s="18" t="n"/>
      <c r="IV50" s="18" t="n"/>
      <c r="IW50" s="18" t="n"/>
      <c r="IX50" s="18" t="n"/>
      <c r="IY50" s="18" t="n"/>
      <c r="IZ50" s="18" t="n"/>
      <c r="JA50" s="18" t="n"/>
      <c r="JB50" s="18" t="n"/>
      <c r="JC50" s="18" t="n"/>
      <c r="JD50" s="18" t="n"/>
      <c r="JE50" s="18" t="n"/>
      <c r="JF50" s="18" t="n"/>
      <c r="JG50" s="18" t="n"/>
      <c r="JH50" s="18" t="n"/>
      <c r="JI50" s="18" t="n"/>
      <c r="JJ50" s="18" t="n"/>
      <c r="JK50" s="18" t="n"/>
      <c r="JL50" s="18" t="n"/>
      <c r="JM50" s="18" t="n"/>
      <c r="JN50" s="18" t="n"/>
      <c r="JO50" s="18" t="n"/>
      <c r="JP50" s="18" t="n"/>
      <c r="JQ50" s="18" t="n"/>
      <c r="JR50" s="18" t="n"/>
      <c r="JS50" s="18" t="n"/>
      <c r="JT50" s="18" t="n"/>
      <c r="JU50" s="18" t="n"/>
      <c r="JV50" s="18" t="n"/>
      <c r="JW50" s="18" t="n"/>
      <c r="JX50" s="18" t="n"/>
      <c r="JY50" s="18" t="n"/>
      <c r="JZ50" s="18" t="n"/>
      <c r="KA50" s="18" t="n"/>
      <c r="KB50" s="18" t="n"/>
      <c r="KC50" s="18" t="n"/>
      <c r="KD50" s="18" t="n"/>
      <c r="KE50" s="18" t="n"/>
      <c r="KF50" s="18" t="n"/>
      <c r="KG50" s="18" t="n"/>
      <c r="KH50" s="18" t="n"/>
      <c r="KI50" s="18" t="n"/>
      <c r="KJ50" s="18" t="n"/>
      <c r="KK50" s="18" t="n"/>
      <c r="KL50" s="18" t="n"/>
      <c r="KM50" s="18" t="n"/>
      <c r="KN50" s="18" t="n"/>
      <c r="KO50" s="18" t="n"/>
      <c r="KP50" s="18" t="n"/>
      <c r="KQ50" s="18" t="n"/>
      <c r="KR50" s="18" t="n"/>
      <c r="KS50" s="18" t="n"/>
      <c r="KT50" s="18" t="n"/>
      <c r="KU50" s="18" t="n"/>
      <c r="KV50" s="18" t="n"/>
      <c r="KW50" s="18" t="n"/>
      <c r="KX50" s="18" t="n"/>
      <c r="KY50" s="18" t="n"/>
      <c r="KZ50" s="18" t="n"/>
      <c r="LA50" s="18" t="n"/>
      <c r="LB50" s="18" t="n"/>
      <c r="LC50" s="18" t="n"/>
      <c r="LD50" s="18" t="n"/>
      <c r="LE50" s="18" t="n"/>
      <c r="LF50" s="18" t="n"/>
      <c r="LG50" s="18" t="n"/>
      <c r="LH50" s="18" t="n"/>
      <c r="LI50" s="18" t="n"/>
      <c r="LJ50" s="18" t="n"/>
      <c r="LK50" s="18" t="n"/>
      <c r="LL50" s="18" t="n"/>
      <c r="LM50" s="18" t="n"/>
      <c r="LN50" s="18" t="n"/>
      <c r="LO50" s="18" t="n"/>
      <c r="LP50" s="18" t="n"/>
      <c r="LQ50" s="18" t="n"/>
      <c r="LR50" s="18" t="n"/>
      <c r="LS50" s="18" t="n"/>
      <c r="LT50" s="18" t="n"/>
      <c r="LU50" s="18" t="n"/>
      <c r="LV50" s="18" t="n"/>
      <c r="LW50" s="18" t="n"/>
      <c r="LX50" s="18" t="n"/>
      <c r="LY50" s="18" t="n"/>
      <c r="LZ50" s="18" t="n"/>
      <c r="MA50" s="18" t="n"/>
      <c r="MB50" s="18" t="n"/>
      <c r="MC50" s="18" t="n"/>
      <c r="MD50" s="18" t="n"/>
      <c r="ME50" s="18" t="n"/>
      <c r="MF50" s="18" t="n"/>
      <c r="MG50" s="18" t="n"/>
      <c r="MH50" s="18" t="n"/>
      <c r="MI50" s="18" t="n"/>
      <c r="MJ50" s="18" t="n"/>
      <c r="MK50" s="18" t="n"/>
      <c r="ML50" s="18" t="n"/>
      <c r="MM50" s="18" t="n"/>
      <c r="MN50" s="18" t="n"/>
      <c r="MO50" s="18" t="n"/>
      <c r="MP50" s="18" t="n"/>
      <c r="MQ50" s="18" t="n"/>
      <c r="MR50" s="18" t="n"/>
      <c r="MS50" s="18" t="n"/>
      <c r="MT50" s="18" t="n"/>
      <c r="MU50" s="18" t="n"/>
      <c r="MV50" s="18" t="n"/>
      <c r="MW50" s="18" t="n"/>
      <c r="MX50" s="18" t="n"/>
      <c r="MY50" s="18" t="n"/>
      <c r="MZ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  <c r="DY51" s="18" t="n"/>
      <c r="DZ51" s="18" t="n"/>
      <c r="EA51" s="18" t="n"/>
      <c r="EB51" s="18" t="n"/>
      <c r="EC51" s="18" t="n"/>
      <c r="ED51" s="18" t="n"/>
      <c r="EE51" s="18" t="n"/>
      <c r="EF51" s="18" t="n"/>
      <c r="EG51" s="18" t="n"/>
      <c r="EH51" s="18" t="n"/>
      <c r="EI51" s="18" t="n"/>
      <c r="EJ51" s="18" t="n"/>
      <c r="EK51" s="18" t="n"/>
      <c r="EL51" s="18" t="n"/>
      <c r="EM51" s="18" t="n"/>
      <c r="EN51" s="18" t="n"/>
      <c r="EO51" s="18" t="n"/>
      <c r="EP51" s="18" t="n"/>
      <c r="EQ51" s="18" t="n"/>
      <c r="ER51" s="18" t="n"/>
      <c r="ES51" s="18" t="n"/>
      <c r="ET51" s="18" t="n"/>
      <c r="EU51" s="18" t="n"/>
      <c r="EV51" s="18" t="n"/>
      <c r="EW51" s="18" t="n"/>
      <c r="EX51" s="18" t="n"/>
      <c r="EY51" s="18" t="n"/>
      <c r="EZ51" s="18" t="n"/>
      <c r="FA51" s="18" t="n"/>
      <c r="FB51" s="18" t="n"/>
      <c r="FC51" s="18" t="n"/>
      <c r="FD51" s="18" t="n"/>
      <c r="FE51" s="18" t="n"/>
      <c r="FF51" s="18" t="n"/>
      <c r="FG51" s="18" t="n"/>
      <c r="FH51" s="18" t="n"/>
      <c r="FI51" s="18" t="n"/>
      <c r="FJ51" s="18" t="n"/>
      <c r="FK51" s="18" t="n"/>
      <c r="FL51" s="18" t="n"/>
      <c r="FM51" s="18" t="n"/>
      <c r="FN51" s="18" t="n"/>
      <c r="FO51" s="18" t="n"/>
      <c r="FP51" s="18" t="n"/>
      <c r="FQ51" s="18" t="n"/>
      <c r="FR51" s="18" t="n"/>
      <c r="FS51" s="18" t="n"/>
      <c r="FT51" s="18" t="n"/>
      <c r="FU51" s="18" t="n"/>
      <c r="FV51" s="18" t="n"/>
      <c r="FW51" s="18" t="n"/>
      <c r="FX51" s="18" t="n"/>
      <c r="FY51" s="18" t="n"/>
      <c r="FZ51" s="18" t="n"/>
      <c r="GA51" s="18" t="n"/>
      <c r="GB51" s="18" t="n"/>
      <c r="GC51" s="18" t="n"/>
      <c r="GD51" s="18" t="n"/>
      <c r="GE51" s="18" t="n"/>
      <c r="GF51" s="18" t="n"/>
      <c r="GG51" s="18" t="n"/>
      <c r="GH51" s="18" t="n"/>
      <c r="GI51" s="18" t="n"/>
      <c r="GJ51" s="18" t="n"/>
      <c r="GK51" s="18" t="n"/>
      <c r="GL51" s="18" t="n"/>
      <c r="GM51" s="18" t="n"/>
      <c r="GN51" s="18" t="n"/>
      <c r="GO51" s="18" t="n"/>
      <c r="GP51" s="18" t="n"/>
      <c r="GQ51" s="18" t="n"/>
      <c r="GR51" s="18" t="n"/>
      <c r="GS51" s="18" t="n"/>
      <c r="GT51" s="18" t="n"/>
      <c r="GU51" s="18" t="n"/>
      <c r="GV51" s="18" t="n"/>
      <c r="GW51" s="18" t="n"/>
      <c r="GX51" s="18" t="n"/>
      <c r="GY51" s="18" t="n"/>
      <c r="GZ51" s="18" t="n"/>
      <c r="HA51" s="18" t="n"/>
      <c r="HB51" s="18" t="n"/>
      <c r="HC51" s="18" t="n"/>
      <c r="HD51" s="18" t="n"/>
      <c r="HE51" s="18" t="n"/>
      <c r="HF51" s="18" t="n"/>
      <c r="HG51" s="18" t="n"/>
      <c r="HH51" s="18" t="n"/>
      <c r="HI51" s="18" t="n"/>
      <c r="HJ51" s="18" t="n"/>
      <c r="HK51" s="18" t="n"/>
      <c r="HL51" s="18" t="n"/>
      <c r="HM51" s="18" t="n"/>
      <c r="HN51" s="18" t="n"/>
      <c r="HO51" s="18" t="n"/>
      <c r="HP51" s="18" t="n"/>
      <c r="HQ51" s="18" t="n"/>
      <c r="HR51" s="18" t="n"/>
      <c r="HS51" s="18" t="n"/>
      <c r="HT51" s="18" t="n"/>
      <c r="HU51" s="18" t="n"/>
      <c r="HV51" s="18" t="n"/>
      <c r="HW51" s="18" t="n"/>
      <c r="HX51" s="18" t="n"/>
      <c r="HY51" s="18" t="n"/>
      <c r="HZ51" s="18" t="n"/>
      <c r="IA51" s="18" t="n"/>
      <c r="IB51" s="18" t="n"/>
      <c r="IC51" s="18" t="n"/>
      <c r="ID51" s="18" t="n"/>
      <c r="IE51" s="18" t="n"/>
      <c r="IF51" s="18" t="n"/>
      <c r="IG51" s="18" t="n"/>
      <c r="IH51" s="18" t="n"/>
      <c r="II51" s="18" t="n"/>
      <c r="IJ51" s="18" t="n"/>
      <c r="IK51" s="18" t="n"/>
      <c r="IL51" s="18" t="n"/>
      <c r="IM51" s="18" t="n"/>
      <c r="IN51" s="18" t="n"/>
      <c r="IO51" s="18" t="n"/>
      <c r="IP51" s="18" t="n"/>
      <c r="IQ51" s="18" t="n"/>
      <c r="IR51" s="18" t="n"/>
      <c r="IS51" s="18" t="n"/>
      <c r="IT51" s="18" t="n"/>
      <c r="IU51" s="18" t="n"/>
      <c r="IV51" s="18" t="n"/>
      <c r="IW51" s="18" t="n"/>
      <c r="IX51" s="18" t="n"/>
      <c r="IY51" s="18" t="n"/>
      <c r="IZ51" s="18" t="n"/>
      <c r="JA51" s="18" t="n"/>
      <c r="JB51" s="18" t="n"/>
      <c r="JC51" s="18" t="n"/>
      <c r="JD51" s="18" t="n"/>
      <c r="JE51" s="18" t="n"/>
      <c r="JF51" s="18" t="n"/>
      <c r="JG51" s="18" t="n"/>
      <c r="JH51" s="18" t="n"/>
      <c r="JI51" s="18" t="n"/>
      <c r="JJ51" s="18" t="n"/>
      <c r="JK51" s="18" t="n"/>
      <c r="JL51" s="18" t="n"/>
      <c r="JM51" s="18" t="n"/>
      <c r="JN51" s="18" t="n"/>
      <c r="JO51" s="18" t="n"/>
      <c r="JP51" s="18" t="n"/>
      <c r="JQ51" s="18" t="n"/>
      <c r="JR51" s="18" t="n"/>
      <c r="JS51" s="18" t="n"/>
      <c r="JT51" s="18" t="n"/>
      <c r="JU51" s="18" t="n"/>
      <c r="JV51" s="18" t="n"/>
      <c r="JW51" s="18" t="n"/>
      <c r="JX51" s="18" t="n"/>
      <c r="JY51" s="18" t="n"/>
      <c r="JZ51" s="18" t="n"/>
      <c r="KA51" s="18" t="n"/>
      <c r="KB51" s="18" t="n"/>
      <c r="KC51" s="18" t="n"/>
      <c r="KD51" s="18" t="n"/>
      <c r="KE51" s="18" t="n"/>
      <c r="KF51" s="18" t="n"/>
      <c r="KG51" s="18" t="n"/>
      <c r="KH51" s="18" t="n"/>
      <c r="KI51" s="18" t="n"/>
      <c r="KJ51" s="18" t="n"/>
      <c r="KK51" s="18" t="n"/>
      <c r="KL51" s="18" t="n"/>
      <c r="KM51" s="18" t="n"/>
      <c r="KN51" s="18" t="n"/>
      <c r="KO51" s="18" t="n"/>
      <c r="KP51" s="18" t="n"/>
      <c r="KQ51" s="18" t="n"/>
      <c r="KR51" s="18" t="n"/>
      <c r="KS51" s="18" t="n"/>
      <c r="KT51" s="18" t="n"/>
      <c r="KU51" s="18" t="n"/>
      <c r="KV51" s="18" t="n"/>
      <c r="KW51" s="18" t="n"/>
      <c r="KX51" s="18" t="n"/>
      <c r="KY51" s="18" t="n"/>
      <c r="KZ51" s="18" t="n"/>
      <c r="LA51" s="18" t="n"/>
      <c r="LB51" s="18" t="n"/>
      <c r="LC51" s="18" t="n"/>
      <c r="LD51" s="18" t="n"/>
      <c r="LE51" s="18" t="n"/>
      <c r="LF51" s="18" t="n"/>
      <c r="LG51" s="18" t="n"/>
      <c r="LH51" s="18" t="n"/>
      <c r="LI51" s="18" t="n"/>
      <c r="LJ51" s="18" t="n"/>
      <c r="LK51" s="18" t="n"/>
      <c r="LL51" s="18" t="n"/>
      <c r="LM51" s="18" t="n"/>
      <c r="LN51" s="18" t="n"/>
      <c r="LO51" s="18" t="n"/>
      <c r="LP51" s="18" t="n"/>
      <c r="LQ51" s="18" t="n"/>
      <c r="LR51" s="18" t="n"/>
      <c r="LS51" s="18" t="n"/>
      <c r="LT51" s="18" t="n"/>
      <c r="LU51" s="18" t="n"/>
      <c r="LV51" s="18" t="n"/>
      <c r="LW51" s="18" t="n"/>
      <c r="LX51" s="18" t="n"/>
      <c r="LY51" s="18" t="n"/>
      <c r="LZ51" s="18" t="n"/>
      <c r="MA51" s="18" t="n"/>
      <c r="MB51" s="18" t="n"/>
      <c r="MC51" s="18" t="n"/>
      <c r="MD51" s="18" t="n"/>
      <c r="ME51" s="18" t="n"/>
      <c r="MF51" s="18" t="n"/>
      <c r="MG51" s="18" t="n"/>
      <c r="MH51" s="18" t="n"/>
      <c r="MI51" s="18" t="n"/>
      <c r="MJ51" s="18" t="n"/>
      <c r="MK51" s="18" t="n"/>
      <c r="ML51" s="18" t="n"/>
      <c r="MM51" s="18" t="n"/>
      <c r="MN51" s="18" t="n"/>
      <c r="MO51" s="18" t="n"/>
      <c r="MP51" s="18" t="n"/>
      <c r="MQ51" s="18" t="n"/>
      <c r="MR51" s="18" t="n"/>
      <c r="MS51" s="18" t="n"/>
      <c r="MT51" s="18" t="n"/>
      <c r="MU51" s="18" t="n"/>
      <c r="MV51" s="18" t="n"/>
      <c r="MW51" s="18" t="n"/>
      <c r="MX51" s="18" t="n"/>
      <c r="MY51" s="18" t="n"/>
      <c r="MZ51" s="18" t="n"/>
      <c r="NA51" s="18" t="n"/>
      <c r="NB51" s="18" t="n"/>
      <c r="NC51" s="18" t="n"/>
      <c r="ND51" s="18" t="n"/>
    </row>
  </sheetData>
  <pageMargins left="0.7" right="0.7" top="0.75" bottom="0.75" header="0.3" footer="0.3"/>
  <pageSetup orientation="landscape" paperSize="8" scale="28" verticalDpi="0"/>
</worksheet>
</file>

<file path=xl/worksheets/sheet3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A1:MU54"/>
  <sheetViews>
    <sheetView view="pageBreakPreview" zoomScale="70" zoomScaleNormal="55" zoomScaleSheetLayoutView="70" workbookViewId="0">
      <pane xSplit="4" ySplit="1" topLeftCell="E10" activePane="bottomRight" state="frozen"/>
      <selection pane="topRight" activeCell="A1" sqref="A1"/>
      <selection pane="bottomLeft" activeCell="A2" sqref="A2"/>
      <selection pane="bottomRight" activeCell="C14" sqref="C14"/>
    </sheetView>
  </sheetViews>
  <sheetFormatPr baseColWidth="8" defaultRowHeight="19.2"/>
  <cols>
    <col width="10" customWidth="1" style="10" min="1" max="1"/>
    <col width="10" customWidth="1" style="88" min="2" max="2"/>
    <col width="18" customWidth="1" style="6" min="3" max="3"/>
    <col width="12" customWidth="1" style="6" min="4" max="4"/>
    <col width="10" customWidth="1" style="88" min="5" max="6"/>
    <col width="30" customWidth="1" style="6" min="7" max="7"/>
    <col width="14" customWidth="1" style="11" min="8" max="8"/>
    <col width="14" customWidth="1" style="10" min="9" max="9"/>
    <col width="38" customWidth="1" style="10" min="10" max="10"/>
    <col width="54" customWidth="1" style="10" min="11" max="11"/>
    <col width="30" customWidth="1" style="10" min="12" max="12"/>
    <col width="36" customWidth="1" style="10" min="13" max="13"/>
    <col width="24" customWidth="1" style="10" min="14" max="14"/>
    <col width="36" customWidth="1" style="6" min="15" max="15"/>
    <col width="24" customWidth="1" style="10" min="16" max="16"/>
    <col width="36" customWidth="1" style="13" min="17" max="17"/>
    <col width="24" customWidth="1" style="5" min="18" max="18"/>
    <col width="16" customWidth="1" style="10" min="19" max="19"/>
  </cols>
  <sheetData>
    <row r="1" ht="28.05" customHeight="1" s="88">
      <c r="A1" s="16" t="inlineStr">
        <is>
          <t>L2 코드</t>
        </is>
      </c>
      <c r="B1" s="16" t="inlineStr">
        <is>
          <t>L3 코드</t>
        </is>
      </c>
      <c r="C1" s="16" t="inlineStr">
        <is>
          <t>L3 대공종명</t>
        </is>
      </c>
      <c r="D1" s="16" t="inlineStr">
        <is>
          <t>L4 코드</t>
        </is>
      </c>
      <c r="E1" s="16" t="inlineStr">
        <is>
          <t>선행</t>
        </is>
      </c>
      <c r="F1" s="16" t="inlineStr">
        <is>
          <t>후행</t>
        </is>
      </c>
      <c r="G1" s="16" t="inlineStr">
        <is>
          <t>작업단위 (Level 4 Task/Activity)</t>
        </is>
      </c>
      <c r="H1" s="16" t="inlineStr">
        <is>
          <t>일정 (D-Day)</t>
        </is>
      </c>
      <c r="I1" s="16" t="inlineStr">
        <is>
          <t>주관</t>
        </is>
      </c>
      <c r="J1" s="16" t="inlineStr">
        <is>
          <t>목적</t>
        </is>
      </c>
      <c r="K1" s="16" t="inlineStr">
        <is>
          <t>방법</t>
        </is>
      </c>
      <c r="L1" s="16" t="inlineStr">
        <is>
          <t>산출물(결과)</t>
        </is>
      </c>
      <c r="M1" s="16" t="inlineStr">
        <is>
          <t>표준서 (Standard) 요약</t>
        </is>
      </c>
      <c r="N1" s="16" t="inlineStr">
        <is>
          <t>표준서 파일 (HTML)</t>
        </is>
      </c>
      <c r="O1" s="16" t="inlineStr">
        <is>
          <t>수행지침 (Guideline) 요약</t>
        </is>
      </c>
      <c r="P1" s="16" t="inlineStr">
        <is>
          <t>수행지침 파일 (HTML)</t>
        </is>
      </c>
      <c r="Q1" s="16" t="inlineStr">
        <is>
          <t>체크리스트 (Checklist) 요약</t>
        </is>
      </c>
      <c r="R1" s="16" t="inlineStr">
        <is>
          <t>체크리스트 파일 (HTML)</t>
        </is>
      </c>
      <c r="S1" s="16" t="inlineStr">
        <is>
          <t>비고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  <c r="DL1" s="18" t="n"/>
      <c r="DM1" s="18" t="n"/>
      <c r="DN1" s="18" t="n"/>
      <c r="DO1" s="18" t="n"/>
      <c r="DP1" s="18" t="n"/>
      <c r="DQ1" s="18" t="n"/>
      <c r="DR1" s="18" t="n"/>
      <c r="DS1" s="18" t="n"/>
      <c r="DT1" s="18" t="n"/>
      <c r="DU1" s="18" t="n"/>
      <c r="DV1" s="18" t="n"/>
      <c r="DW1" s="18" t="n"/>
      <c r="DX1" s="18" t="n"/>
      <c r="DY1" s="18" t="n"/>
      <c r="DZ1" s="18" t="n"/>
      <c r="EA1" s="18" t="n"/>
      <c r="EB1" s="18" t="n"/>
      <c r="EC1" s="18" t="n"/>
      <c r="ED1" s="18" t="n"/>
      <c r="EE1" s="18" t="n"/>
      <c r="EF1" s="18" t="n"/>
      <c r="EG1" s="18" t="n"/>
      <c r="EH1" s="18" t="n"/>
      <c r="EI1" s="18" t="n"/>
      <c r="EJ1" s="18" t="n"/>
      <c r="EK1" s="18" t="n"/>
      <c r="EL1" s="18" t="n"/>
      <c r="EM1" s="18" t="n"/>
      <c r="EN1" s="18" t="n"/>
      <c r="EO1" s="18" t="n"/>
      <c r="EP1" s="18" t="n"/>
      <c r="EQ1" s="18" t="n"/>
    </row>
    <row r="2" ht="52.05" customHeight="1" s="88">
      <c r="A2" s="19" t="inlineStr">
        <is>
          <t>9000</t>
        </is>
      </c>
      <c r="B2" s="19" t="inlineStr">
        <is>
          <t>9000-2</t>
        </is>
      </c>
      <c r="C2" s="19" t="inlineStr">
        <is>
          <t>사전토공사</t>
        </is>
      </c>
      <c r="D2" s="94" t="inlineStr">
        <is>
          <t>9000-2-1</t>
        </is>
      </c>
      <c r="E2" s="95" t="inlineStr">
        <is>
          <t>-</t>
        </is>
      </c>
      <c r="F2" s="96" t="inlineStr">
        <is>
          <t>9000-2-2, 9000-2-3</t>
        </is>
      </c>
      <c r="G2" s="23" t="inlineStr">
        <is>
          <t>Site Survey</t>
        </is>
      </c>
      <c r="H2" s="21" t="inlineStr">
        <is>
          <t>D-90 (D-120~D-90)</t>
        </is>
      </c>
      <c r="I2" s="21" t="inlineStr">
        <is>
          <t>현장 공사팀</t>
        </is>
      </c>
      <c r="J2" s="24" t="inlineStr">
        <is>
          <t>KDS 47 10 00 철도지반 설계기준 | 현장 가설 둔차선, 용지 경계 및 원지반 고저차 3D 레벨 현측 | 토공사 사전 현장 조사 보고서</t>
        </is>
      </c>
      <c r="K2" s="24" t="inlineStr">
        <is>
          <t>1) 현장 가설 도로 및 용지 경계 현측 ➔ 2) 광학 레벨 원지반 고저차 측정 ➔ 3) 진입 도로 장애 요소 매핑 ➔ 4) 현장 조사 보고서 감리 제출</t>
        </is>
      </c>
      <c r="L2" s="24" t="inlineStr">
        <is>
          <t>가설 도로 폭/구배 현측, 원지반 고저차 레벨 측량 및 3D BIM 도면 오차 점검 (현장 조사 보고서)</t>
        </is>
      </c>
      <c r="M2" s="24" t="inlineStr">
        <is>
          <t>KDS 47 10 00 철도지반 설계기준 | 현장 가설 둔차선, 용지 경계 및 원지반 고저차 3D 레벨 현측 | 토공사 사전 현장 조사 보고서</t>
        </is>
      </c>
      <c r="N2" s="25">
        <f>HYPERLINK(LEFT(CELL("filename",A1),FIND("[",CELL("filename",A1))-1)&amp;"2.사전토공사\1_Site Survey\표준서\Site Survey_표준서.html", "👉 [클릭] 표준서 열기 📄")</f>
        <v/>
      </c>
      <c r="O2" s="24" t="inlineStr">
        <is>
          <t>1) 현장 가설 도로 및 용지 경계 현측 ➔ 2) 광학 레벨 원지반 고저차 측정 ➔ 3) 진입 도로 장애 요소 매핑 ➔ 4) 현장 조사 보고서 감리 제출</t>
        </is>
      </c>
      <c r="P2" s="26">
        <f>HYPERLINK(LEFT(CELL("filename",A1),FIND("[",CELL("filename",A1))-1)&amp;"2.사전토공사\1_Site Survey\수행지침\Site Survey_수행지침.html", "👉 [클릭] 수행지침 열기 📄")</f>
        <v/>
      </c>
      <c r="Q2" s="24" t="inlineStr">
        <is>
          <t>가설 도로 폭/구배 현측, 원지반 고저차 레벨 측량 및 3D BIM 도면 오차 점검 (현장 조사 보고서)</t>
        </is>
      </c>
      <c r="R2" s="27">
        <f>HYPERLINK(LEFT(CELL("filename",A1),FIND("[",CELL("filename",A1))-1)&amp;"2.사전토공사\1_Site Survey\체크리스트\Site Survey_체크리스트.html", "👉 [클릭] 체크리스트 열기 📄")</f>
        <v/>
      </c>
      <c r="S2" s="21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  <c r="DY2" s="18" t="n"/>
      <c r="DZ2" s="18" t="n"/>
      <c r="EA2" s="18" t="n"/>
      <c r="EB2" s="18" t="n"/>
      <c r="EC2" s="18" t="n"/>
      <c r="ED2" s="18" t="n"/>
      <c r="EE2" s="18" t="n"/>
      <c r="EF2" s="18" t="n"/>
      <c r="EG2" s="18" t="n"/>
      <c r="EH2" s="18" t="n"/>
      <c r="EI2" s="18" t="n"/>
      <c r="EJ2" s="18" t="n"/>
      <c r="EK2" s="18" t="n"/>
      <c r="EL2" s="18" t="n"/>
      <c r="EM2" s="18" t="n"/>
      <c r="EN2" s="18" t="n"/>
      <c r="EO2" s="18" t="n"/>
      <c r="EP2" s="18" t="n"/>
      <c r="EQ2" s="18" t="n"/>
      <c r="ER2" s="18" t="n"/>
      <c r="ES2" s="18" t="n"/>
      <c r="ET2" s="18" t="n"/>
      <c r="EU2" s="18" t="n"/>
    </row>
    <row r="3" ht="52.05" customHeight="1" s="88">
      <c r="A3" s="29" t="inlineStr">
        <is>
          <t>9000</t>
        </is>
      </c>
      <c r="B3" s="29" t="inlineStr">
        <is>
          <t>9000-2</t>
        </is>
      </c>
      <c r="C3" s="29" t="inlineStr">
        <is>
          <t>사전토공사</t>
        </is>
      </c>
      <c r="D3" s="98" t="inlineStr">
        <is>
          <t>9000-2-2</t>
        </is>
      </c>
      <c r="E3" s="99" t="inlineStr">
        <is>
          <t>9000-2-1</t>
        </is>
      </c>
      <c r="F3" s="99" t="inlineStr">
        <is>
          <t>9000-2-10, 9000-2-12</t>
        </is>
      </c>
      <c r="G3" s="32" t="inlineStr">
        <is>
          <t>공사중 교통처리계획</t>
        </is>
      </c>
      <c r="H3" s="33" t="inlineStr">
        <is>
          <t>D-60 (D-80~D-60)</t>
        </is>
      </c>
      <c r="I3" s="33" t="inlineStr">
        <is>
          <t>현장 공사팀</t>
        </is>
      </c>
      <c r="J3" s="34" t="inlineStr">
        <is>
          <t>도로교통법 제69조 | 동탄경찰서 교통안전 심의 및 우회 차선 설계 | 전담 신호수(2인 2조) &amp; LED 경광등 배치</t>
        </is>
      </c>
      <c r="K3" s="34" t="inlineStr">
        <is>
          <t>1) 교통 우회 차선 &amp; 둔차선 도면 설계 ➔ 2) 동탄경찰서 도로점용 허가 ➔ 3) 전담 신호수(2인 2조) 배치 ➔ 4) 교통소통 대책서 감리 서면 승인</t>
        </is>
      </c>
      <c r="L3" s="34" t="inlineStr">
        <is>
          <t>동탄경찰서 도로점용 허가, 가설 우회 차선 설계 및 전담 안전 신호수(2인 2조)/LED 경광등 배치</t>
        </is>
      </c>
      <c r="M3" s="34" t="inlineStr">
        <is>
          <t>도로교통법 제69조 | 동탄경찰서 교통안전 심의 및 우회 차선 설계 | 전담 신호수(2인 2조) &amp; LED 경광등 배치</t>
        </is>
      </c>
      <c r="N3" s="35">
        <f>HYPERLINK(LEFT(CELL("filename",A1),FIND("[",CELL("filename",A1))-1)&amp;"2.사전토공사\2_발주전략 KOM\표준서\2_발주전략 KOM_표준서.html", "👉 [클릭] 표준서 열기 📄")</f>
        <v/>
      </c>
      <c r="O3" s="34" t="inlineStr">
        <is>
          <t>1) 교통 우회 차선 &amp; 둔차선 도면 설계 ➔ 2) 동탄경찰서 도로점용 허가 ➔ 3) 전담 신호수(2인 2조) 배치 ➔ 4) 교통소통 대책서 감리 서면 승인</t>
        </is>
      </c>
      <c r="P3" s="36">
        <f>HYPERLINK(LEFT(CELL("filename",A1),FIND("[",CELL("filename",A1))-1)&amp;"2.사전토공사\2_발주전략 KOM\수행지침\2_발주전략 KOM_수행지침.html", "👉 [클릭] 수행지침 열기 📄")</f>
        <v/>
      </c>
      <c r="Q3" s="34" t="inlineStr">
        <is>
          <t>동탄경찰서 도로점용 허가, 가설 우회 차선 설계 및 전담 안전 신호수(2인 2조)/LED 경광등 배치</t>
        </is>
      </c>
      <c r="R3" s="37">
        <f>HYPERLINK(LEFT(CELL("filename",A1),FIND("[",CELL("filename",A1))-1)&amp;"2.사전토공사\2_발주전략 KOM\체크리스트\2_발주전략 KOM_체크리스트.html", "👉 [클릭] 체크리스트 열기 📄")</f>
        <v/>
      </c>
      <c r="S3" s="33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8" t="n"/>
      <c r="ER3" s="18" t="n"/>
      <c r="ES3" s="18" t="n"/>
      <c r="ET3" s="18" t="n"/>
      <c r="EU3" s="18" t="n"/>
      <c r="EV3" s="18" t="n"/>
      <c r="EW3" s="18" t="n"/>
      <c r="EX3" s="18" t="n"/>
      <c r="EY3" s="18" t="n"/>
    </row>
    <row r="4" ht="52.05" customHeight="1" s="88">
      <c r="A4" s="19" t="inlineStr">
        <is>
          <t>9000</t>
        </is>
      </c>
      <c r="B4" s="19" t="inlineStr">
        <is>
          <t>9000-2</t>
        </is>
      </c>
      <c r="C4" s="19" t="inlineStr">
        <is>
          <t>사전토공사</t>
        </is>
      </c>
      <c r="D4" s="94" t="inlineStr">
        <is>
          <t>9000-2-3</t>
        </is>
      </c>
      <c r="E4" s="95" t="inlineStr">
        <is>
          <t>9000-2-1</t>
        </is>
      </c>
      <c r="F4" s="96" t="inlineStr">
        <is>
          <t>9000-2-4, 9000-2-5</t>
        </is>
      </c>
      <c r="G4" s="23" t="inlineStr">
        <is>
          <t>Site Survey Risk 검토</t>
        </is>
      </c>
      <c r="H4" s="21" t="inlineStr">
        <is>
          <t>D-60 (D-70~D-60)</t>
        </is>
      </c>
      <c r="I4" s="21" t="inlineStr">
        <is>
          <t>토목국내견적팀</t>
        </is>
      </c>
      <c r="J4" s="24" t="inlineStr">
        <is>
          <t>지하안전법 제23조 | 현장 지장물, 연약 지반 층후 및 사면 붕괴 위험 요소 추출 | 사전 토공 리스크 대책 승인</t>
        </is>
      </c>
      <c r="K4" s="24" t="inlineStr">
        <is>
          <t>1) 지하 매설 지장물 &amp; 연약지반 현출 ➔ 2) 사면 붕괴 위험 구간 추출 ➔ 3) 흙막이 가설재 보강 수립 ➔ 4) 토공 리스크 대책서 감리 승인</t>
        </is>
      </c>
      <c r="L4" s="24" t="inlineStr">
        <is>
          <t>지중 매설물 탐사, 연약 지반 층후 분석 및 사면 붕괴 위험 구간 흙막이 가설재 보강 수립</t>
        </is>
      </c>
      <c r="M4" s="24" t="inlineStr">
        <is>
          <t>지하안전법 제23조 | 현장 지장물, 연약 지반 층후 및 사면 붕괴 위험 요소 추출 | 사전 토공 리스크 대책 승인</t>
        </is>
      </c>
      <c r="N4" s="25">
        <f>HYPERLINK(LEFT(CELL("filename",A1),FIND("[",CELL("filename",A1))-1)&amp;"2.사전토공사\3_Site Survey Risk 검토\표준서\Site Survey Risk 검토_표준서.html", "👉 [클릭] 표준서 열기 📄")</f>
        <v/>
      </c>
      <c r="O4" s="24" t="inlineStr">
        <is>
          <t>1) 지하 매설 지장물 &amp; 연약지반 현출 ➔ 2) 사면 붕괴 위험 구간 추출 ➔ 3) 흙막이 가설재 보강 수립 ➔ 4) 토공 리스크 대책서 감리 승인</t>
        </is>
      </c>
      <c r="P4" s="26">
        <f>HYPERLINK(LEFT(CELL("filename",A1),FIND("[",CELL("filename",A1))-1)&amp;"2.사전토공사\3_Site Survey Risk 검토\수행지침\Site Survey Risk 검토_수행지침.html", "👉 [클릭] 수행지침 열기 📄")</f>
        <v/>
      </c>
      <c r="Q4" s="24" t="inlineStr">
        <is>
          <t>지중 매설물 탐사, 연약 지반 층후 분석 및 사면 붕괴 위험 구간 흙막이 가설재 보강 수립</t>
        </is>
      </c>
      <c r="R4" s="27">
        <f>HYPERLINK(LEFT(CELL("filename",A1),FIND("[",CELL("filename",A1))-1)&amp;"2.사전토공사\3_Site Survey Risk 검토\체크리스트\Site Survey Risk 검토_체크리스트.html", "👉 [클릭] 체크리스트 열기 📄")</f>
        <v/>
      </c>
      <c r="S4" s="21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  <c r="DY4" s="18" t="n"/>
      <c r="DZ4" s="18" t="n"/>
      <c r="EA4" s="18" t="n"/>
      <c r="EB4" s="18" t="n"/>
      <c r="EC4" s="18" t="n"/>
      <c r="ED4" s="18" t="n"/>
      <c r="EE4" s="18" t="n"/>
      <c r="EF4" s="18" t="n"/>
      <c r="EG4" s="18" t="n"/>
      <c r="EH4" s="18" t="n"/>
      <c r="EI4" s="18" t="n"/>
      <c r="EJ4" s="18" t="n"/>
      <c r="EK4" s="18" t="n"/>
      <c r="EL4" s="18" t="n"/>
      <c r="EM4" s="18" t="n"/>
      <c r="EN4" s="18" t="n"/>
      <c r="EO4" s="18" t="n"/>
      <c r="EP4" s="18" t="n"/>
      <c r="EQ4" s="18" t="n"/>
      <c r="ER4" s="18" t="n"/>
      <c r="ES4" s="18" t="n"/>
      <c r="ET4" s="18" t="n"/>
      <c r="EU4" s="18" t="n"/>
      <c r="EV4" s="18" t="n"/>
      <c r="EW4" s="18" t="n"/>
      <c r="EX4" s="18" t="n"/>
      <c r="EY4" s="18" t="n"/>
      <c r="EZ4" s="18" t="n"/>
      <c r="FA4" s="18" t="n"/>
      <c r="FB4" s="18" t="n"/>
      <c r="FC4" s="18" t="n"/>
    </row>
    <row r="5" ht="52.05" customHeight="1" s="88">
      <c r="A5" s="29" t="inlineStr">
        <is>
          <t>9000</t>
        </is>
      </c>
      <c r="B5" s="29" t="inlineStr">
        <is>
          <t>9000-2</t>
        </is>
      </c>
      <c r="C5" s="29" t="inlineStr">
        <is>
          <t>사전토공사</t>
        </is>
      </c>
      <c r="D5" s="98" t="inlineStr">
        <is>
          <t>9000-2-4</t>
        </is>
      </c>
      <c r="E5" s="101" t="inlineStr">
        <is>
          <t>9000-2-3</t>
        </is>
      </c>
      <c r="F5" s="99" t="inlineStr">
        <is>
          <t>9000-2-6</t>
        </is>
      </c>
      <c r="G5" s="32" t="inlineStr">
        <is>
          <t>최고의 팀 만들기 지원</t>
        </is>
      </c>
      <c r="H5" s="33" t="inlineStr">
        <is>
          <t>D-50 (D-60~D-50)</t>
        </is>
      </c>
      <c r="I5" s="33" t="inlineStr">
        <is>
          <t>외주관리팀</t>
        </is>
      </c>
      <c r="J5" s="34" t="inlineStr">
        <is>
          <t>건산법 상생협력 수칙 | 토공 전문 기술자 1:1 전담 배치 &amp; 3자 주간 소통 회의 | 일일 Safety TBM 100% 이행</t>
        </is>
      </c>
      <c r="K5" s="34" t="inlineStr">
        <is>
          <t>1) 토공 전담 기술자 1:1 배치 ➔ 2) 3자 주간 소통 회의 개최 ➔ 3) 근로자 복지 지원 &amp; Safety TBM ➔ 4) One-Team 조직표 감리 서면 승인</t>
        </is>
      </c>
      <c r="L5" s="34" t="inlineStr">
        <is>
          <t>토공 전담 기술자 1:1 현장 배치, 발주·감리·시공 3자 주간 소통 회의 및 일일 Safety TBM/음주 측정</t>
        </is>
      </c>
      <c r="M5" s="34" t="inlineStr">
        <is>
          <t>건산법 상생협력 수칙 | 토공 전문 기술자 1:1 전담 배치 &amp; 3자 주간 소통 회의 | 일일 Safety TBM 100% 이행</t>
        </is>
      </c>
      <c r="N5" s="35">
        <f>HYPERLINK(LEFT(CELL("filename",A1),FIND("[",CELL("filename",A1))-1)&amp;"2.사전토공사\4_최고의 팀 만들기 지원\표준서\최고의 팀 만들기 지원_표준서.html", "👉 [클릭] 표준서 열기 📄")</f>
        <v/>
      </c>
      <c r="O5" s="34" t="inlineStr">
        <is>
          <t>1) 토공 전담 기술자 1:1 배치 ➔ 2) 3자 주간 소통 회의 개최 ➔ 3) 근로자 복지 지원 &amp; Safety TBM ➔ 4) One-Team 조직표 감리 서면 승인</t>
        </is>
      </c>
      <c r="P5" s="36">
        <f>HYPERLINK(LEFT(CELL("filename",A1),FIND("[",CELL("filename",A1))-1)&amp;"2.사전토공사\4_최고의 팀 만들기 지원\수행지침\최고의 팀 만들기 지원_수행지침.html", "👉 [클릭] 수행지침 열기 📄")</f>
        <v/>
      </c>
      <c r="Q5" s="34" t="inlineStr">
        <is>
          <t>토공 전담 기술자 1:1 현장 배치, 발주·감리·시공 3자 주간 소통 회의 및 일일 Safety TBM/음주 측정</t>
        </is>
      </c>
      <c r="R5" s="37">
        <f>HYPERLINK(LEFT(CELL("filename",A1),FIND("[",CELL("filename",A1))-1)&amp;"2.사전토공사\4_최고의 팀 만들기 지원\체크리스트\최고의 팀 만들기 지원_체크리스트.html", "👉 [클릭] 체크리스트 열기 📄")</f>
        <v/>
      </c>
      <c r="S5" s="33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  <c r="EB5" s="18" t="n"/>
      <c r="EC5" s="18" t="n"/>
      <c r="ED5" s="18" t="n"/>
      <c r="EE5" s="18" t="n"/>
      <c r="EF5" s="18" t="n"/>
      <c r="EG5" s="18" t="n"/>
      <c r="EH5" s="18" t="n"/>
      <c r="EI5" s="18" t="n"/>
      <c r="EJ5" s="18" t="n"/>
      <c r="EK5" s="18" t="n"/>
      <c r="EL5" s="18" t="n"/>
      <c r="EM5" s="18" t="n"/>
      <c r="EN5" s="18" t="n"/>
      <c r="EO5" s="18" t="n"/>
      <c r="EP5" s="18" t="n"/>
      <c r="EQ5" s="18" t="n"/>
      <c r="ER5" s="18" t="n"/>
      <c r="ES5" s="18" t="n"/>
      <c r="ET5" s="18" t="n"/>
      <c r="EU5" s="18" t="n"/>
      <c r="EV5" s="18" t="n"/>
      <c r="EW5" s="18" t="n"/>
      <c r="EX5" s="18" t="n"/>
      <c r="EY5" s="18" t="n"/>
      <c r="EZ5" s="18" t="n"/>
      <c r="FA5" s="18" t="n"/>
      <c r="FB5" s="18" t="n"/>
      <c r="FC5" s="18" t="n"/>
      <c r="FD5" s="18" t="n"/>
      <c r="FE5" s="18" t="n"/>
      <c r="FF5" s="18" t="n"/>
      <c r="FG5" s="18" t="n"/>
    </row>
    <row r="6" ht="52.05" customHeight="1" s="88">
      <c r="A6" s="19" t="inlineStr">
        <is>
          <t>9000</t>
        </is>
      </c>
      <c r="B6" s="19" t="inlineStr">
        <is>
          <t>9000-2</t>
        </is>
      </c>
      <c r="C6" s="19" t="inlineStr">
        <is>
          <t>사전토공사</t>
        </is>
      </c>
      <c r="D6" s="94" t="inlineStr">
        <is>
          <t>9000-2-5</t>
        </is>
      </c>
      <c r="E6" s="95" t="inlineStr">
        <is>
          <t>9000-2-3</t>
        </is>
      </c>
      <c r="F6" s="96" t="inlineStr">
        <is>
          <t>9000-2-6</t>
        </is>
      </c>
      <c r="G6" s="23" t="inlineStr">
        <is>
          <t>발주전략 KOM</t>
        </is>
      </c>
      <c r="H6" s="21" t="inlineStr">
        <is>
          <t>D-80 (D-120~D-80)</t>
        </is>
      </c>
      <c r="I6" s="21" t="inlineStr">
        <is>
          <t>현장소장</t>
        </is>
      </c>
      <c r="J6" s="24" t="inlineStr">
        <is>
          <t>KCS 47 10 25 시방 검토 | 사전 토공 토사/암석 깎기 및 성토 시방 규정 | 발주처·감리·시공 3자 킥오프 결재</t>
        </is>
      </c>
      <c r="K6" s="24" t="inlineStr">
        <is>
          <t>1) 사전 토공 시방 요구조건 분석 ➔ 2) 3D BIM 도면 깎기/성토 수량 검증 ➔ 3) 토공 리스크 예비비 수립 ➔ 4) 발주·감리·시공 3자 킥오프 결재</t>
        </is>
      </c>
      <c r="L6" s="24" t="inlineStr">
        <is>
          <t>KCS 47 10 25 사전 토공 시방 검토, 토사/암석 깎기 수량 산출 및 3D BIM 간섭 zero (3자 킥오프 결재)</t>
        </is>
      </c>
      <c r="M6" s="24" t="inlineStr">
        <is>
          <t>KCS 47 10 25 시방 검토 | 사전 토공 토사/암석 깎기 및 성토 시방 규정 | 발주처·감리·시공 3자 킥오프 결재</t>
        </is>
      </c>
      <c r="N6" s="25">
        <f>HYPERLINK(LEFT(CELL("filename",A1),FIND("[",CELL("filename",A1))-1)&amp;"2.사전토공사\5_공사중 교통처리계획\표준서\공사중 교통처리계획_표준서.html", "👉 [클릭] 표준서 열기 📄")</f>
        <v/>
      </c>
      <c r="O6" s="24" t="inlineStr">
        <is>
          <t>1) 사전 토공 시방 요구조건 분석 ➔ 2) 3D BIM 도면 깎기/성토 수량 검증 ➔ 3) 토공 리스크 예비비 수립 ➔ 4) 발주·감리·시공 3자 킥오프 결재</t>
        </is>
      </c>
      <c r="P6" s="26">
        <f>HYPERLINK(LEFT(CELL("filename",A1),FIND("[",CELL("filename",A1))-1)&amp;"2.사전토공사\5_공사중 교통처리계획\수행지침\공사중 교통처리계획_수행지침.html", "👉 [클릭] 수행지침 열기 📄")</f>
        <v/>
      </c>
      <c r="Q6" s="24" t="inlineStr">
        <is>
          <t>KCS 47 10 25 사전 토공 시방 검토, 토사/암석 깎기 수량 산출 및 3D BIM 간섭 zero (3자 킥오프 결재)</t>
        </is>
      </c>
      <c r="R6" s="27">
        <f>HYPERLINK(LEFT(CELL("filename",A1),FIND("[",CELL("filename",A1))-1)&amp;"2.사전토공사\5_공사중 교통처리계획\체크리스트\공사중 교통처리계획_체크리스트.html", "👉 [클릭] 체크리스트 열기 📄")</f>
        <v/>
      </c>
      <c r="S6" s="21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  <c r="DY6" s="18" t="n"/>
      <c r="DZ6" s="18" t="n"/>
      <c r="EA6" s="18" t="n"/>
      <c r="EB6" s="18" t="n"/>
      <c r="EC6" s="18" t="n"/>
      <c r="ED6" s="18" t="n"/>
      <c r="EE6" s="18" t="n"/>
      <c r="EF6" s="18" t="n"/>
      <c r="EG6" s="18" t="n"/>
      <c r="EH6" s="18" t="n"/>
      <c r="EI6" s="18" t="n"/>
      <c r="EJ6" s="18" t="n"/>
      <c r="EK6" s="18" t="n"/>
      <c r="EL6" s="18" t="n"/>
      <c r="EM6" s="18" t="n"/>
      <c r="EN6" s="18" t="n"/>
      <c r="EO6" s="18" t="n"/>
      <c r="EP6" s="18" t="n"/>
      <c r="EQ6" s="18" t="n"/>
      <c r="ER6" s="18" t="n"/>
      <c r="ES6" s="18" t="n"/>
      <c r="ET6" s="18" t="n"/>
      <c r="EU6" s="18" t="n"/>
      <c r="EV6" s="18" t="n"/>
      <c r="EW6" s="18" t="n"/>
      <c r="EX6" s="18" t="n"/>
      <c r="EY6" s="18" t="n"/>
      <c r="EZ6" s="18" t="n"/>
      <c r="FA6" s="18" t="n"/>
      <c r="FB6" s="18" t="n"/>
      <c r="FC6" s="18" t="n"/>
      <c r="FD6" s="18" t="n"/>
      <c r="FE6" s="18" t="n"/>
      <c r="FF6" s="18" t="n"/>
      <c r="FG6" s="18" t="n"/>
      <c r="FH6" s="18" t="n"/>
      <c r="FI6" s="18" t="n"/>
      <c r="FJ6" s="18" t="n"/>
      <c r="FK6" s="18" t="n"/>
    </row>
    <row r="7" ht="52.05" customHeight="1" s="88">
      <c r="A7" s="29" t="inlineStr">
        <is>
          <t>9000</t>
        </is>
      </c>
      <c r="B7" s="29" t="inlineStr">
        <is>
          <t>9000-2</t>
        </is>
      </c>
      <c r="C7" s="29" t="inlineStr">
        <is>
          <t>사전토공사</t>
        </is>
      </c>
      <c r="D7" s="98" t="inlineStr">
        <is>
          <t>9000-2-6</t>
        </is>
      </c>
      <c r="E7" s="102" t="inlineStr">
        <is>
          <t>9000-2-4, 9000-2-5</t>
        </is>
      </c>
      <c r="F7" s="99" t="inlineStr">
        <is>
          <t>9000-2-7</t>
        </is>
      </c>
      <c r="G7" s="32" t="inlineStr">
        <is>
          <t>착수전 Big Room 회의</t>
        </is>
      </c>
      <c r="H7" s="33" t="inlineStr">
        <is>
          <t>D-40</t>
        </is>
      </c>
      <c r="I7" s="33" t="inlineStr">
        <is>
          <t>현장소장</t>
        </is>
      </c>
      <c r="J7" s="34" t="inlineStr">
        <is>
          <t>현장 통합 관리 지침 | 발주처·감리·지자체·시공사 4자 빅룸 회의 | 사전 토공 마일스톤 서명 결재</t>
        </is>
      </c>
      <c r="K7" s="34" t="inlineStr">
        <is>
          <t>1) 4자(발주·감리·지자체·시공) 빅룸 결성 ➔ 2) 사전 토공 마일스톤 연동 ➔ 3) 간섭 리스크 즉시 해소 ➔ 4) 빅룸 회의록 4자 서명 완수</t>
        </is>
      </c>
      <c r="L7" s="34" t="inlineStr">
        <is>
          <t>4자(발주·감리·지자체·시공) 빅룸 회의 결성, 사전 토공 마일스톤 연동 및 간섭 리스크 서명</t>
        </is>
      </c>
      <c r="M7" s="34" t="inlineStr">
        <is>
          <t>현장 통합 관리 지침 | 발주처·감리·지자체·시공사 4자 빅룸 회의 | 사전 토공 마일스톤 서명 결재</t>
        </is>
      </c>
      <c r="N7" s="35">
        <f>HYPERLINK(LEFT(CELL("filename",A1),FIND("[",CELL("filename",A1))-1)&amp;"2.사전토공사\6_자재발주 요청\표준서\자재발주 요청_표준서.html", "👉 [클릭] 표준서 열기 📄")</f>
        <v/>
      </c>
      <c r="O7" s="34" t="inlineStr">
        <is>
          <t>1) 4자(발주·감리·지자체·시공) 빅룸 결성 ➔ 2) 사전 토공 마일스톤 연동 ➔ 3) 간섭 리스크 즉시 해소 ➔ 4) 빅룸 회의록 4자 서명 완수</t>
        </is>
      </c>
      <c r="P7" s="36">
        <f>HYPERLINK(LEFT(CELL("filename",A1),FIND("[",CELL("filename",A1))-1)&amp;"2.사전토공사\6_자재발주 요청\수행지침\착수전 Big Room 회의_수행지침.html", "👉 [클릭] 수행지침 열기 📄")</f>
        <v/>
      </c>
      <c r="Q7" s="34" t="inlineStr">
        <is>
          <t>4자(발주·감리·지자체·시공) 빅룸 회의 결성, 사전 토공 마일스톤 연동 및 간섭 리스크 서명</t>
        </is>
      </c>
      <c r="R7" s="37">
        <f>HYPERLINK(LEFT(CELL("filename",A1),FIND("[",CELL("filename",A1))-1)&amp;"2.사전토공사\6_자재발주 요청\체크리스트\착수전 Big Room 회의_체크리스트.html", "👉 [클릭] 체크리스트 열기 📄")</f>
        <v/>
      </c>
      <c r="S7" s="33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8" t="n"/>
      <c r="EB7" s="18" t="n"/>
      <c r="EC7" s="18" t="n"/>
      <c r="ED7" s="18" t="n"/>
      <c r="EE7" s="18" t="n"/>
      <c r="EF7" s="18" t="n"/>
      <c r="EG7" s="18" t="n"/>
      <c r="EH7" s="18" t="n"/>
      <c r="EI7" s="18" t="n"/>
      <c r="EJ7" s="18" t="n"/>
      <c r="EK7" s="18" t="n"/>
      <c r="EL7" s="18" t="n"/>
      <c r="EM7" s="18" t="n"/>
      <c r="EN7" s="18" t="n"/>
      <c r="EO7" s="18" t="n"/>
      <c r="EP7" s="18" t="n"/>
      <c r="EQ7" s="18" t="n"/>
      <c r="ER7" s="18" t="n"/>
      <c r="ES7" s="18" t="n"/>
      <c r="ET7" s="18" t="n"/>
      <c r="EU7" s="18" t="n"/>
      <c r="EV7" s="18" t="n"/>
      <c r="EW7" s="18" t="n"/>
      <c r="EX7" s="18" t="n"/>
      <c r="EY7" s="18" t="n"/>
      <c r="EZ7" s="18" t="n"/>
      <c r="FA7" s="18" t="n"/>
      <c r="FB7" s="18" t="n"/>
      <c r="FC7" s="18" t="n"/>
      <c r="FD7" s="18" t="n"/>
      <c r="FE7" s="18" t="n"/>
      <c r="FF7" s="18" t="n"/>
      <c r="FG7" s="18" t="n"/>
      <c r="FH7" s="18" t="n"/>
      <c r="FI7" s="18" t="n"/>
      <c r="FJ7" s="18" t="n"/>
      <c r="FK7" s="18" t="n"/>
      <c r="FL7" s="18" t="n"/>
      <c r="FM7" s="18" t="n"/>
      <c r="FN7" s="18" t="n"/>
      <c r="FO7" s="18" t="n"/>
    </row>
    <row r="8" ht="52.05" customHeight="1" s="88">
      <c r="A8" s="19" t="inlineStr">
        <is>
          <t>9000</t>
        </is>
      </c>
      <c r="B8" s="19" t="inlineStr">
        <is>
          <t>9000-2</t>
        </is>
      </c>
      <c r="C8" s="19" t="inlineStr">
        <is>
          <t>사전토공사</t>
        </is>
      </c>
      <c r="D8" s="94" t="inlineStr">
        <is>
          <t>9000-2-7</t>
        </is>
      </c>
      <c r="E8" s="95" t="inlineStr">
        <is>
          <t>9000-2-6</t>
        </is>
      </c>
      <c r="F8" s="96" t="inlineStr">
        <is>
          <t>9000-2-8, 9000-2-9</t>
        </is>
      </c>
      <c r="G8" s="23" t="inlineStr">
        <is>
          <t>자재발주 요청</t>
        </is>
      </c>
      <c r="H8" s="21" t="inlineStr">
        <is>
          <t>D-65 (D-65~D-55)</t>
        </is>
      </c>
      <c r="I8" s="21" t="inlineStr">
        <is>
          <t>현장 공무팀</t>
        </is>
      </c>
      <c r="J8" s="24" t="inlineStr">
        <is>
          <t>KCS 47 10 25 자재 시방 | 굴착 장비, 가설 펜스 및 배수관 자재 발주 승인 | 공인시험기관 성적표 수속</t>
        </is>
      </c>
      <c r="K8" s="24" t="inlineStr">
        <is>
          <t>1) 굴착 장비 및 가설 펜스 자재 선정 ➔ 2) 공인시험기관 시험성적서 검수 ➔ 3) 자재 발주 신청서 제출 ➔ 4) 자재 반입 검수 통보서 결재</t>
        </is>
      </c>
      <c r="L8" s="24" t="inlineStr">
        <is>
          <t>KCS 47 10 25 굴착 장비/가설재 자재 승인, 공인시험기관 시험성적서 검수 및 자재 반입 통보</t>
        </is>
      </c>
      <c r="M8" s="24" t="inlineStr">
        <is>
          <t>KCS 47 10 25 자재 시방 | 굴착 장비, 가설 펜스 및 배수관 자재 발주 승인 | 공인시험기관 성적표 수속</t>
        </is>
      </c>
      <c r="N8" s="25">
        <f>HYPERLINK(LEFT(CELL("filename",A1),FIND("[",CELL("filename",A1))-1)&amp;"2.사전토공사\7_용지 사용 Risk 검토\표준서\용지 사용 Risk 검토_표준서.html", "👉 [클릭] 표준서 열기 📄")</f>
        <v/>
      </c>
      <c r="O8" s="24" t="inlineStr">
        <is>
          <t>1) 굴착 장비 및 가설 펜스 자재 선정 ➔ 2) 공인시험기관 시험성적서 검수 ➔ 3) 자재 발주 신청서 제출 ➔ 4) 자재 반입 검수 통보서 결재</t>
        </is>
      </c>
      <c r="P8" s="26">
        <f>HYPERLINK(LEFT(CELL("filename",A1),FIND("[",CELL("filename",A1))-1)&amp;"2.사전토공사\7_용지 사용 Risk 검토\수행지침\용지 사용 Risk 검토_수행지침.html", "👉 [클릭] 수행지침 열기 📄")</f>
        <v/>
      </c>
      <c r="Q8" s="24" t="inlineStr">
        <is>
          <t>KCS 47 10 25 굴착 장비/가설재 자재 승인, 공인시험기관 시험성적서 검수 및 자재 반입 통보</t>
        </is>
      </c>
      <c r="R8" s="27">
        <f>HYPERLINK(LEFT(CELL("filename",A1),FIND("[",CELL("filename",A1))-1)&amp;"2.사전토공사\7_용지 사용 Risk 검토\체크리스트\용지 사용 Risk 검토_체크리스트.html", "👉 [클릭] 체크리스트 열기 📄")</f>
        <v/>
      </c>
      <c r="S8" s="21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8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  <c r="EN8" s="18" t="n"/>
      <c r="EO8" s="18" t="n"/>
      <c r="EP8" s="18" t="n"/>
      <c r="EQ8" s="18" t="n"/>
      <c r="ER8" s="18" t="n"/>
      <c r="ES8" s="18" t="n"/>
      <c r="ET8" s="18" t="n"/>
      <c r="EU8" s="18" t="n"/>
      <c r="EV8" s="18" t="n"/>
      <c r="EW8" s="18" t="n"/>
      <c r="EX8" s="18" t="n"/>
      <c r="EY8" s="18" t="n"/>
      <c r="EZ8" s="18" t="n"/>
      <c r="FA8" s="18" t="n"/>
      <c r="FB8" s="18" t="n"/>
      <c r="FC8" s="18" t="n"/>
      <c r="FD8" s="18" t="n"/>
      <c r="FE8" s="18" t="n"/>
      <c r="FF8" s="18" t="n"/>
      <c r="FG8" s="18" t="n"/>
      <c r="FH8" s="18" t="n"/>
      <c r="FI8" s="18" t="n"/>
      <c r="FJ8" s="18" t="n"/>
      <c r="FK8" s="18" t="n"/>
      <c r="FL8" s="18" t="n"/>
      <c r="FM8" s="18" t="n"/>
      <c r="FN8" s="18" t="n"/>
      <c r="FO8" s="18" t="n"/>
      <c r="FP8" s="18" t="n"/>
      <c r="FQ8" s="18" t="n"/>
      <c r="FR8" s="18" t="n"/>
      <c r="FS8" s="18" t="n"/>
    </row>
    <row r="9" ht="52.05" customHeight="1" s="88">
      <c r="A9" s="29" t="inlineStr">
        <is>
          <t>9000</t>
        </is>
      </c>
      <c r="B9" s="29" t="inlineStr">
        <is>
          <t>9000-2</t>
        </is>
      </c>
      <c r="C9" s="29" t="inlineStr">
        <is>
          <t>사전토공사</t>
        </is>
      </c>
      <c r="D9" s="98" t="inlineStr">
        <is>
          <t>9000-2-8</t>
        </is>
      </c>
      <c r="E9" s="102" t="inlineStr">
        <is>
          <t>9000-2-7</t>
        </is>
      </c>
      <c r="F9" s="99" t="inlineStr">
        <is>
          <t>9000-2-11</t>
        </is>
      </c>
      <c r="G9" s="32" t="inlineStr">
        <is>
          <t>용지 사용 Risk 검토</t>
        </is>
      </c>
      <c r="H9" s="33" t="inlineStr">
        <is>
          <t>D-40 (D-60~D-40)</t>
        </is>
      </c>
      <c r="I9" s="33" t="inlineStr">
        <is>
          <t>토목계약관리팀</t>
        </is>
      </c>
      <c r="J9" s="34" t="inlineStr">
        <is>
          <t>토지보상법 준수 | 미보상 사유지 경계 현출 및 가설 펜스(H=1.8m) 차단 | 3D 우회 토공 동선 마일스톤 연동</t>
        </is>
      </c>
      <c r="K9" s="34" t="inlineStr">
        <is>
          <t>1) 미보상 사유지 경계 현출 ➔ 2) 가설 펜스(H=1.8m) 차단 ➔ 3) 3D 우회 토공 동선 수립 ➔ 4) 용지 보상 리스크 대책 감리 승인</t>
        </is>
      </c>
      <c r="L9" s="34" t="inlineStr">
        <is>
          <t>미보상 사유지 경계 현출, 가설 펜스(H=1.8m) 차단 및 3D 우회 토공 동선 마일스톤 연동</t>
        </is>
      </c>
      <c r="M9" s="34" t="inlineStr">
        <is>
          <t>토지보상법 준수 | 미보상 사유지 경계 현출 및 가설 펜스(H=1.8m) 차단 | 3D 우회 토공 동선 마일스톤 연동</t>
        </is>
      </c>
      <c r="N9" s="35">
        <f>HYPERLINK(LEFT(CELL("filename",A1),FIND("[",CELL("filename",A1))-1)&amp;"2.사전토공사\8_착수전 Big Room 회의\표준서\착수전 Big Room 회의_표준서.html", "👉 [클릭] 표준서 열기 📄")</f>
        <v/>
      </c>
      <c r="O9" s="34" t="inlineStr">
        <is>
          <t>1) 미보상 사유지 경계 현출 ➔ 2) 가설 펜스(H=1.8m) 차단 ➔ 3) 3D 우회 토공 동선 수립 ➔ 4) 용지 보상 리스크 대책 감리 승인</t>
        </is>
      </c>
      <c r="P9" s="36">
        <f>HYPERLINK(LEFT(CELL("filename",A1),FIND("[",CELL("filename",A1))-1)&amp;"2.사전토공사\8_착수전 Big Room 회의\수행지침\착수전 Big Room 회의_수행지침.html", "👉 [클릭] 수행지침 열기 📄")</f>
        <v/>
      </c>
      <c r="Q9" s="34" t="inlineStr">
        <is>
          <t>미보상 사유지 경계 현출, 가설 펜스(H=1.8m) 차단 및 3D 우회 토공 동선 마일스톤 연동</t>
        </is>
      </c>
      <c r="R9" s="37">
        <f>HYPERLINK(LEFT(CELL("filename",A1),FIND("[",CELL("filename",A1))-1)&amp;"2.사전토공사\8_착수전 Big Room 회의\체크리스트\착수전 Big Room 회의_체크리스트.html", "👉 [클릭] 체크리스트 열기 📄")</f>
        <v/>
      </c>
      <c r="S9" s="33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8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  <c r="ER9" s="18" t="n"/>
      <c r="ES9" s="18" t="n"/>
      <c r="ET9" s="18" t="n"/>
      <c r="EU9" s="18" t="n"/>
      <c r="EV9" s="18" t="n"/>
      <c r="EW9" s="18" t="n"/>
      <c r="EX9" s="18" t="n"/>
      <c r="EY9" s="18" t="n"/>
      <c r="EZ9" s="18" t="n"/>
      <c r="FA9" s="18" t="n"/>
      <c r="FB9" s="18" t="n"/>
      <c r="FC9" s="18" t="n"/>
      <c r="FD9" s="18" t="n"/>
      <c r="FE9" s="18" t="n"/>
      <c r="FF9" s="18" t="n"/>
      <c r="FG9" s="18" t="n"/>
      <c r="FH9" s="18" t="n"/>
      <c r="FI9" s="18" t="n"/>
      <c r="FJ9" s="18" t="n"/>
      <c r="FK9" s="18" t="n"/>
      <c r="FL9" s="18" t="n"/>
      <c r="FM9" s="18" t="n"/>
      <c r="FN9" s="18" t="n"/>
      <c r="FO9" s="18" t="n"/>
      <c r="FP9" s="18" t="n"/>
      <c r="FQ9" s="18" t="n"/>
      <c r="FR9" s="18" t="n"/>
      <c r="FS9" s="18" t="n"/>
      <c r="FT9" s="18" t="n"/>
      <c r="FU9" s="18" t="n"/>
      <c r="FV9" s="18" t="n"/>
      <c r="FW9" s="18" t="n"/>
    </row>
    <row r="10" ht="52.05" customHeight="1" s="88">
      <c r="A10" s="19" t="inlineStr">
        <is>
          <t>9000</t>
        </is>
      </c>
      <c r="B10" s="19" t="inlineStr">
        <is>
          <t>9000-2</t>
        </is>
      </c>
      <c r="C10" s="19" t="inlineStr">
        <is>
          <t>사전토공사</t>
        </is>
      </c>
      <c r="D10" s="94" t="inlineStr">
        <is>
          <t>9000-2-9</t>
        </is>
      </c>
      <c r="E10" s="95" t="inlineStr">
        <is>
          <t>9000-2-7</t>
        </is>
      </c>
      <c r="F10" s="96" t="inlineStr">
        <is>
          <t>9000-2-11</t>
        </is>
      </c>
      <c r="G10" s="23" t="inlineStr">
        <is>
          <t>인허가 절차 진행</t>
        </is>
      </c>
      <c r="H10" s="21" t="inlineStr">
        <is>
          <t>D-30</t>
        </is>
      </c>
      <c r="I10" s="21" t="inlineStr">
        <is>
          <t>현장 공무팀</t>
        </is>
      </c>
      <c r="J10" s="24" t="inlineStr">
        <is>
          <t>도로법 및 환경영향평가법 | 지자체 도로점용 허가 및 비산먼지 발생신고 수속 | 법정 인허가 필증 수속</t>
        </is>
      </c>
      <c r="K10" s="24" t="inlineStr">
        <is>
          <t>1) 지자체 도로/하천점용 허가서 작성 ➔ 2) 관련 부서 서류 제출 &amp; 심의 ➔ 3) 보증보험 증권 부착 ➔ 4) 법정 인허가 필증 감리 수속</t>
        </is>
      </c>
      <c r="L10" s="24" t="inlineStr">
        <is>
          <t>지자체 도로/하천점용 허가서 접수, 비산먼지 발생사업 신고 필증 수속 및 보증보험 제출</t>
        </is>
      </c>
      <c r="M10" s="24" t="inlineStr">
        <is>
          <t>도로법 및 환경영향평가법 | 지자체 도로점용 허가 및 비산먼지 발생신고 수속 | 법정 인허가 필증 수속</t>
        </is>
      </c>
      <c r="N10" s="25">
        <f>HYPERLINK(LEFT(CELL("filename",A1),FIND("[",CELL("filename",A1))-1)&amp;"2.사전토공사\9_인허가 절차 진행\표준서\인허가 절차 진행_표준서.html", "👉 [클릭] 표준서 열기 📄")</f>
        <v/>
      </c>
      <c r="O10" s="24" t="inlineStr">
        <is>
          <t>1) 지자체 도로/하천점용 허가서 작성 ➔ 2) 관련 부서 서류 제출 &amp; 심의 ➔ 3) 보증보험 증권 부착 ➔ 4) 법정 인허가 필증 감리 수속</t>
        </is>
      </c>
      <c r="P10" s="26">
        <f>HYPERLINK(LEFT(CELL("filename",A1),FIND("[",CELL("filename",A1))-1)&amp;"2.사전토공사\9_인허가 절차 진행\수행지침\인허가 절차 진행_수행지침.html", "👉 [클릭] 수행지침 열기 📄")</f>
        <v/>
      </c>
      <c r="Q10" s="24" t="inlineStr">
        <is>
          <t>지자체 도로/하천점용 허가서 접수, 비산먼지 발생사업 신고 필증 수속 및 보증보험 제출</t>
        </is>
      </c>
      <c r="R10" s="27">
        <f>HYPERLINK(LEFT(CELL("filename",A1),FIND("[",CELL("filename",A1))-1)&amp;"2.사전토공사\9_인허가 절차 진행\체크리스트\인허가 절차 진행_체크리스트.html", "👉 [클릭] 체크리스트 열기 📄")</f>
        <v/>
      </c>
      <c r="S10" s="21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8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  <c r="EV10" s="18" t="n"/>
      <c r="EW10" s="18" t="n"/>
      <c r="EX10" s="18" t="n"/>
      <c r="EY10" s="18" t="n"/>
      <c r="EZ10" s="18" t="n"/>
      <c r="FA10" s="18" t="n"/>
      <c r="FB10" s="18" t="n"/>
      <c r="FC10" s="18" t="n"/>
      <c r="FD10" s="18" t="n"/>
      <c r="FE10" s="18" t="n"/>
      <c r="FF10" s="18" t="n"/>
      <c r="FG10" s="18" t="n"/>
      <c r="FH10" s="18" t="n"/>
      <c r="FI10" s="18" t="n"/>
      <c r="FJ10" s="18" t="n"/>
      <c r="FK10" s="18" t="n"/>
      <c r="FL10" s="18" t="n"/>
      <c r="FM10" s="18" t="n"/>
      <c r="FN10" s="18" t="n"/>
      <c r="FO10" s="18" t="n"/>
      <c r="FP10" s="18" t="n"/>
      <c r="FQ10" s="18" t="n"/>
      <c r="FR10" s="18" t="n"/>
      <c r="FS10" s="18" t="n"/>
      <c r="FT10" s="18" t="n"/>
      <c r="FU10" s="18" t="n"/>
      <c r="FV10" s="18" t="n"/>
      <c r="FW10" s="18" t="n"/>
      <c r="FX10" s="18" t="n"/>
      <c r="FY10" s="18" t="n"/>
      <c r="FZ10" s="18" t="n"/>
      <c r="GA10" s="18" t="n"/>
    </row>
    <row r="11" ht="52.05" customHeight="1" s="88">
      <c r="A11" s="29" t="inlineStr">
        <is>
          <t>9000</t>
        </is>
      </c>
      <c r="B11" s="29" t="inlineStr">
        <is>
          <t>9000-2</t>
        </is>
      </c>
      <c r="C11" s="29" t="inlineStr">
        <is>
          <t>사전토공사</t>
        </is>
      </c>
      <c r="D11" s="98" t="inlineStr">
        <is>
          <t>9000-2-10</t>
        </is>
      </c>
      <c r="E11" s="102" t="inlineStr">
        <is>
          <t>9000-2-2</t>
        </is>
      </c>
      <c r="F11" s="99" t="inlineStr">
        <is>
          <t>9000-2-12, 9000-2-13</t>
        </is>
      </c>
      <c r="G11" s="32" t="inlineStr">
        <is>
          <t>교통처리대책 협의 및 승인</t>
        </is>
      </c>
      <c r="H11" s="33" t="inlineStr">
        <is>
          <t>D-30</t>
        </is>
      </c>
      <c r="I11" s="33" t="inlineStr">
        <is>
          <t>현장 공무팀</t>
        </is>
      </c>
      <c r="J11" s="34" t="inlineStr">
        <is>
          <t>도로교통법 안전 수칙 | 경찰서 차선 점용 허가 및 가설 둔차선 도로 복구 이행 보증보험 | 교통대책 감리 승인</t>
        </is>
      </c>
      <c r="K11" s="34" t="inlineStr">
        <is>
          <t>1) 경찰서 차선 점용 허가증 수령 ➔ 2) 도로 복구 보증보험 증권 제출 ➔ 3) 전담 신호수 &amp; LED 경광등 배치 ➔ 4) 교통대책서 감리 서면 승인</t>
        </is>
      </c>
      <c r="L11" s="34" t="inlineStr">
        <is>
          <t>동탄경찰서 차선 점용 허가, 도로 복구 이행 보증보험 제출 및 전담 신호수(2인 2조) 100% 배치</t>
        </is>
      </c>
      <c r="M11" s="34" t="inlineStr">
        <is>
          <t>도로교통법 안전 수칙 | 경찰서 차선 점용 허가 및 가설 둔차선 도로 복구 이행 보증보험 | 교통대책 감리 승인</t>
        </is>
      </c>
      <c r="N11" s="35">
        <f>HYPERLINK(LEFT(CELL("filename",A1),FIND("[",CELL("filename",A1))-1)&amp;"2.사전토공사\10_교통처리대책 협의 및 승인\표준서\교통처리대책 협의 및 승인_표준서.html", "👉 [클릭] 표준서 열기 📄")</f>
        <v/>
      </c>
      <c r="O11" s="34" t="inlineStr">
        <is>
          <t>1) 경찰서 차선 점용 허가증 수령 ➔ 2) 도로 복구 보증보험 증권 제출 ➔ 3) 전담 신호수 &amp; LED 경광등 배치 ➔ 4) 교통대책서 감리 서면 승인</t>
        </is>
      </c>
      <c r="P11" s="36">
        <f>HYPERLINK(LEFT(CELL("filename",A1),FIND("[",CELL("filename",A1))-1)&amp;"2.사전토공사\10_교통처리대책 협의 및 승인\수행지침\교통처리대책 협의 및 승인_수행지침.html", "👉 [클릭] 수행지침 열기 📄")</f>
        <v/>
      </c>
      <c r="Q11" s="34" t="inlineStr">
        <is>
          <t>동탄경찰서 차선 점용 허가, 도로 복구 이행 보증보험 제출 및 전담 신호수(2인 2조) 100% 배치</t>
        </is>
      </c>
      <c r="R11" s="37">
        <f>HYPERLINK(LEFT(CELL("filename",A1),FIND("[",CELL("filename",A1))-1)&amp;"2.사전토공사\10_교통처리대책 협의 및 승인\체크리스트\교통처리대책 협의 및 승인_체크리스트.html", "👉 [클릭] 체크리스트 열기 📄")</f>
        <v/>
      </c>
      <c r="S11" s="33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8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8" t="n"/>
      <c r="EY11" s="18" t="n"/>
      <c r="EZ11" s="18" t="n"/>
      <c r="FA11" s="18" t="n"/>
      <c r="FB11" s="18" t="n"/>
      <c r="FC11" s="18" t="n"/>
      <c r="FD11" s="18" t="n"/>
      <c r="FE11" s="18" t="n"/>
      <c r="FF11" s="18" t="n"/>
      <c r="FG11" s="18" t="n"/>
      <c r="FH11" s="18" t="n"/>
      <c r="FI11" s="18" t="n"/>
      <c r="FJ11" s="18" t="n"/>
      <c r="FK11" s="18" t="n"/>
      <c r="FL11" s="18" t="n"/>
      <c r="FM11" s="18" t="n"/>
      <c r="FN11" s="18" t="n"/>
      <c r="FO11" s="18" t="n"/>
      <c r="FP11" s="18" t="n"/>
      <c r="FQ11" s="18" t="n"/>
      <c r="FR11" s="18" t="n"/>
      <c r="FS11" s="18" t="n"/>
      <c r="FT11" s="18" t="n"/>
      <c r="FU11" s="18" t="n"/>
      <c r="FV11" s="18" t="n"/>
      <c r="FW11" s="18" t="n"/>
      <c r="FX11" s="18" t="n"/>
      <c r="FY11" s="18" t="n"/>
      <c r="FZ11" s="18" t="n"/>
      <c r="GA11" s="18" t="n"/>
      <c r="GB11" s="18" t="n"/>
      <c r="GC11" s="18" t="n"/>
      <c r="GD11" s="18" t="n"/>
      <c r="GE11" s="18" t="n"/>
    </row>
    <row r="12" ht="52.05" customHeight="1" s="88">
      <c r="A12" s="19" t="inlineStr">
        <is>
          <t>9000</t>
        </is>
      </c>
      <c r="B12" s="19" t="inlineStr">
        <is>
          <t>9000-2</t>
        </is>
      </c>
      <c r="C12" s="19" t="inlineStr">
        <is>
          <t>사전토공사</t>
        </is>
      </c>
      <c r="D12" s="94" t="inlineStr">
        <is>
          <t>9000-2-11</t>
        </is>
      </c>
      <c r="E12" s="95" t="inlineStr">
        <is>
          <t>9000-2-8, 9000-2-9</t>
        </is>
      </c>
      <c r="F12" s="96" t="inlineStr">
        <is>
          <t>9000-2-13</t>
        </is>
      </c>
      <c r="G12" s="23" t="inlineStr">
        <is>
          <t>지장물 검토 및 협의</t>
        </is>
      </c>
      <c r="H12" s="21" t="inlineStr">
        <is>
          <t>D-30</t>
        </is>
      </c>
      <c r="I12" s="21" t="inlineStr">
        <is>
          <t>현장 공무팀/공사팀</t>
        </is>
      </c>
      <c r="J12" s="24" t="inlineStr">
        <is>
          <t>지하안전관리에 관한 특별법 | GPR 3D 관로 탐사 &amp; 인력 시탐 줄파기(깊이 1.5m) | 점용기관 현장 입회 이설 방호</t>
        </is>
      </c>
      <c r="K12" s="24" t="inlineStr">
        <is>
          <t>1) GPR 3D 지중 관로 탐사 ➔ 2) 인력 시탐 줄파기(깊이 1.5m) ➔ 3) 관할 점용기관 1:1 현장 입회 ➔ 4) 매달기 방호 &amp; 지장물 서면 승인</t>
        </is>
      </c>
      <c r="L12" s="24" t="inlineStr">
        <is>
          <t>GPR 3D 관로 탐사, 인력 시탐 줄파기(폭 0.5m, 깊이 1.5m) 및 점용기관 1:1 현장 입회 매달기 방호</t>
        </is>
      </c>
      <c r="M12" s="24" t="inlineStr">
        <is>
          <t>지하안전관리에 관한 특별법 | GPR 3D 관로 탐사 &amp; 인력 시탐 줄파기(깊이 1.5m) | 점용기관 현장 입회 이설 방호</t>
        </is>
      </c>
      <c r="N12" s="25">
        <f>HYPERLINK(LEFT(CELL("filename",A1),FIND("[",CELL("filename",A1))-1)&amp;"2.사전토공사\11_지장물 검토 및 협의\표준서\지장물 검토 및 협의_표준서.html", "👉 [클릭] 표준서 열기 📄")</f>
        <v/>
      </c>
      <c r="O12" s="24" t="inlineStr">
        <is>
          <t>1) GPR 3D 지중 관로 탐사 ➔ 2) 인력 시탐 줄파기(깊이 1.5m) ➔ 3) 관할 점용기관 1:1 현장 입회 ➔ 4) 매달기 방호 &amp; 지장물 서면 승인</t>
        </is>
      </c>
      <c r="P12" s="26">
        <f>HYPERLINK(LEFT(CELL("filename",A1),FIND("[",CELL("filename",A1))-1)&amp;"2.사전토공사\11_지장물 검토 및 협의\수행지침\지장물 검토 및 협의_수행지침.html", "👉 [클릭] 수행지침 열기 📄")</f>
        <v/>
      </c>
      <c r="Q12" s="24" t="inlineStr">
        <is>
          <t>GPR 3D 관로 탐사, 인력 시탐 줄파기(폭 0.5m, 깊이 1.5m) 및 점용기관 1:1 현장 입회 매달기 방호</t>
        </is>
      </c>
      <c r="R12" s="27">
        <f>HYPERLINK(LEFT(CELL("filename",A1),FIND("[",CELL("filename",A1))-1)&amp;"2.사전토공사\11_지장물 검토 및 협의\체크리스트\지장물 검토 및 협의_체크리스트.html", "👉 [클릭] 체크리스트 열기 📄")</f>
        <v/>
      </c>
      <c r="S12" s="2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8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8" t="n"/>
      <c r="EY12" s="18" t="n"/>
      <c r="EZ12" s="18" t="n"/>
      <c r="FA12" s="18" t="n"/>
      <c r="FB12" s="18" t="n"/>
      <c r="FC12" s="18" t="n"/>
      <c r="FD12" s="18" t="n"/>
      <c r="FE12" s="18" t="n"/>
      <c r="FF12" s="18" t="n"/>
      <c r="FG12" s="18" t="n"/>
      <c r="FH12" s="18" t="n"/>
      <c r="FI12" s="18" t="n"/>
      <c r="FJ12" s="18" t="n"/>
      <c r="FK12" s="18" t="n"/>
      <c r="FL12" s="18" t="n"/>
      <c r="FM12" s="18" t="n"/>
      <c r="FN12" s="18" t="n"/>
      <c r="FO12" s="18" t="n"/>
      <c r="FP12" s="18" t="n"/>
      <c r="FQ12" s="18" t="n"/>
      <c r="FR12" s="18" t="n"/>
      <c r="FS12" s="18" t="n"/>
      <c r="FT12" s="18" t="n"/>
      <c r="FU12" s="18" t="n"/>
      <c r="FV12" s="18" t="n"/>
      <c r="FW12" s="18" t="n"/>
      <c r="FX12" s="18" t="n"/>
      <c r="FY12" s="18" t="n"/>
      <c r="FZ12" s="18" t="n"/>
      <c r="GA12" s="18" t="n"/>
      <c r="GB12" s="18" t="n"/>
      <c r="GC12" s="18" t="n"/>
      <c r="GD12" s="18" t="n"/>
      <c r="GE12" s="18" t="n"/>
      <c r="GF12" s="18" t="n"/>
      <c r="GG12" s="18" t="n"/>
      <c r="GH12" s="18" t="n"/>
      <c r="GI12" s="18" t="n"/>
    </row>
    <row r="13" ht="52.05" customHeight="1" s="88">
      <c r="A13" s="29" t="inlineStr">
        <is>
          <t>9000</t>
        </is>
      </c>
      <c r="B13" s="29" t="inlineStr">
        <is>
          <t>9000-2</t>
        </is>
      </c>
      <c r="C13" s="29" t="inlineStr">
        <is>
          <t>사전토공사</t>
        </is>
      </c>
      <c r="D13" s="98" t="inlineStr">
        <is>
          <t>9000-2-12</t>
        </is>
      </c>
      <c r="E13" s="102" t="inlineStr">
        <is>
          <t>9000-2-2, 9000-2-10</t>
        </is>
      </c>
      <c r="F13" s="99" t="inlineStr">
        <is>
          <t>9000-2-14, 9000-2-15</t>
        </is>
      </c>
      <c r="G13" s="32" t="inlineStr">
        <is>
          <t>기공승낙 적정성 검토</t>
        </is>
      </c>
      <c r="H13" s="33" t="inlineStr">
        <is>
          <t>D-30</t>
        </is>
      </c>
      <c r="I13" s="33" t="inlineStr">
        <is>
          <t>현장 공무팀</t>
        </is>
      </c>
      <c r="J13" s="34" t="inlineStr">
        <is>
          <t>국유재산법 및 공유재산법 | 토지 기공승낙서 인허가 확인 및 진입로 점용 범위 실측 | 토지 사용 승인서 결재</t>
        </is>
      </c>
      <c r="K13" s="34" t="inlineStr">
        <is>
          <t>1) 국유지/공유지 기공승낙서 수속 ➔ 2) 진입 도로 점용 범위 실측 ➔ 3) 토지 소유주 사용 협의 ➔ 4) 기공승낙서 감리 서면 승인</t>
        </is>
      </c>
      <c r="L13" s="34" t="inlineStr">
        <is>
          <t>국유지/공유지 기공승낙서 인허가 검증, 진입 도로 점용 범위 실측 및 토지 사용 승인서 결재</t>
        </is>
      </c>
      <c r="M13" s="34" t="inlineStr">
        <is>
          <t>국유재산법 및 공유재산법 | 토지 기공승낙서 인허가 확인 및 진입로 점용 범위 실측 | 토지 사용 승인서 결재</t>
        </is>
      </c>
      <c r="N13" s="35">
        <f>HYPERLINK(LEFT(CELL("filename",A1),FIND("[",CELL("filename",A1))-1)&amp;"2.사전토공사\12_기공승낙 적정성 검토\표준서\기공승낙 적정성 검토_표준서.html", "👉 [클릭] 표준서 열기 📄")</f>
        <v/>
      </c>
      <c r="O13" s="34" t="inlineStr">
        <is>
          <t>1) 국유지/공유지 기공승낙서 수속 ➔ 2) 진입 도로 점용 범위 실측 ➔ 3) 토지 소유주 사용 협의 ➔ 4) 기공승낙서 감리 서면 승인</t>
        </is>
      </c>
      <c r="P13" s="36">
        <f>HYPERLINK(LEFT(CELL("filename",A1),FIND("[",CELL("filename",A1))-1)&amp;"2.사전토공사\12_기공승낙 적정성 검토\수행지침\기공승낙 적정성 검토_수행지침.html", "👉 [클릭] 수행지침 열기 📄")</f>
        <v/>
      </c>
      <c r="Q13" s="34" t="inlineStr">
        <is>
          <t>국유지/공유지 기공승낙서 인허가 검증, 진입 도로 점용 범위 실측 및 토지 사용 승인서 결재</t>
        </is>
      </c>
      <c r="R13" s="37">
        <f>HYPERLINK(LEFT(CELL("filename",A1),FIND("[",CELL("filename",A1))-1)&amp;"2.사전토공사\12_기공승낙 적정성 검토\체크리스트\기공승낙 적정성 검토_체크리스트.html", "👉 [클릭] 체크리스트 열기 📄")</f>
        <v/>
      </c>
      <c r="S13" s="33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Y13" s="18" t="n"/>
      <c r="DZ13" s="18" t="n"/>
      <c r="EA13" s="18" t="n"/>
      <c r="EB13" s="18" t="n"/>
      <c r="EC13" s="18" t="n"/>
      <c r="ED13" s="18" t="n"/>
      <c r="EE13" s="18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P13" s="18" t="n"/>
      <c r="EQ13" s="18" t="n"/>
      <c r="ER13" s="18" t="n"/>
      <c r="ES13" s="18" t="n"/>
      <c r="ET13" s="18" t="n"/>
      <c r="EU13" s="18" t="n"/>
      <c r="EV13" s="18" t="n"/>
      <c r="EW13" s="18" t="n"/>
      <c r="EX13" s="18" t="n"/>
      <c r="EY13" s="18" t="n"/>
      <c r="EZ13" s="18" t="n"/>
      <c r="FA13" s="18" t="n"/>
      <c r="FB13" s="18" t="n"/>
      <c r="FC13" s="18" t="n"/>
      <c r="FD13" s="18" t="n"/>
      <c r="FE13" s="18" t="n"/>
      <c r="FF13" s="18" t="n"/>
      <c r="FG13" s="18" t="n"/>
      <c r="FH13" s="18" t="n"/>
      <c r="FI13" s="18" t="n"/>
      <c r="FJ13" s="18" t="n"/>
      <c r="FK13" s="18" t="n"/>
      <c r="FL13" s="18" t="n"/>
      <c r="FM13" s="18" t="n"/>
      <c r="FN13" s="18" t="n"/>
      <c r="FO13" s="18" t="n"/>
      <c r="FP13" s="18" t="n"/>
      <c r="FQ13" s="18" t="n"/>
      <c r="FR13" s="18" t="n"/>
      <c r="FS13" s="18" t="n"/>
      <c r="FT13" s="18" t="n"/>
      <c r="FU13" s="18" t="n"/>
      <c r="FV13" s="18" t="n"/>
      <c r="FW13" s="18" t="n"/>
      <c r="FX13" s="18" t="n"/>
      <c r="FY13" s="18" t="n"/>
      <c r="FZ13" s="18" t="n"/>
      <c r="GA13" s="18" t="n"/>
      <c r="GB13" s="18" t="n"/>
      <c r="GC13" s="18" t="n"/>
      <c r="GD13" s="18" t="n"/>
      <c r="GE13" s="18" t="n"/>
      <c r="GF13" s="18" t="n"/>
      <c r="GG13" s="18" t="n"/>
      <c r="GH13" s="18" t="n"/>
      <c r="GI13" s="18" t="n"/>
      <c r="GJ13" s="18" t="n"/>
      <c r="GK13" s="18" t="n"/>
      <c r="GL13" s="18" t="n"/>
      <c r="GM13" s="18" t="n"/>
    </row>
    <row r="14" ht="52.05" customHeight="1" s="88">
      <c r="A14" s="19" t="inlineStr">
        <is>
          <t>9000</t>
        </is>
      </c>
      <c r="B14" s="19" t="inlineStr">
        <is>
          <t>9000-2</t>
        </is>
      </c>
      <c r="C14" s="19" t="inlineStr">
        <is>
          <t>사전토공사</t>
        </is>
      </c>
      <c r="D14" s="94" t="inlineStr">
        <is>
          <t>9000-2-13</t>
        </is>
      </c>
      <c r="E14" s="95" t="inlineStr">
        <is>
          <t>9000-2-10, 9000-2-11</t>
        </is>
      </c>
      <c r="F14" s="96" t="inlineStr">
        <is>
          <t>9000-2-14</t>
        </is>
      </c>
      <c r="G14" s="23" t="inlineStr">
        <is>
          <t>민원 저감 대책 수립</t>
        </is>
      </c>
      <c r="H14" s="21" t="inlineStr">
        <is>
          <t>D-30</t>
        </is>
      </c>
      <c r="I14" s="21" t="inlineStr">
        <is>
          <t>현장 안전팀/공무팀</t>
        </is>
      </c>
      <c r="J14" s="24" t="inlineStr">
        <is>
          <t>소음진동관리법 준수 | 야간 공사 소음 방음벽(H=3m) 및 세륜기(깊이 1.2m) 가동 | 단수/단전 주민 사전 안내</t>
        </is>
      </c>
      <c r="K14" s="24" t="inlineStr">
        <is>
          <t>1) 야간 공사 소음 방음벽(H=3m) 설치 ➔ 2) 세륜기 가동 &amp; 분무 살수 ➔ 3) 단수/단전 사전 주민 공지 ➔ 4) 민원 대응반 서면 승인</t>
        </is>
      </c>
      <c r="L14" s="24" t="inlineStr">
        <is>
          <t>야간 공사 소음 방음벽(H=3m) 가동, 세륜기(깊이 1.2m) 가동 및 단수/단전 주민 사전 고지</t>
        </is>
      </c>
      <c r="M14" s="24" t="inlineStr">
        <is>
          <t>소음진동관리법 준수 | 야간 공사 소음 방음벽(H=3m) 및 세륜기(깊이 1.2m) 가동 | 단수/단전 주민 사전 안내</t>
        </is>
      </c>
      <c r="N14" s="25">
        <f>HYPERLINK(LEFT(CELL("filename",A1),FIND("[",CELL("filename",A1))-1)&amp;"2.사전토공사\13_민원 저감 대책 수립\표준서\민원 저감 대책 수립_표준서.html", "👉 [클릭] 표준서 열기 📄")</f>
        <v/>
      </c>
      <c r="O14" s="24" t="inlineStr">
        <is>
          <t>1) 야간 공사 소음 방음벽(H=3m) 설치 ➔ 2) 세륜기 가동 &amp; 분무 살수 ➔ 3) 단수/단전 사전 주민 공지 ➔ 4) 민원 대응반 서면 승인</t>
        </is>
      </c>
      <c r="P14" s="26">
        <f>HYPERLINK(LEFT(CELL("filename",A1),FIND("[",CELL("filename",A1))-1)&amp;"2.사전토공사\13_민원 저감 대책 수립\수행지침\민원 저감 대책 수립_수행지침.html", "👉 [클릭] 수행지침 열기 📄")</f>
        <v/>
      </c>
      <c r="Q14" s="24" t="inlineStr">
        <is>
          <t>야간 공사 소음 방음벽(H=3m) 가동, 세륜기(깊이 1.2m) 가동 및 단수/단전 주민 사전 고지</t>
        </is>
      </c>
      <c r="R14" s="27">
        <f>HYPERLINK(LEFT(CELL("filename",A1),FIND("[",CELL("filename",A1))-1)&amp;"2.사전토공사\13_민원 저감 대책 수립\체크리스트\민원 저감 대책 수립_체크리스트.html", "👉 [클릭] 체크리스트 열기 📄")</f>
        <v/>
      </c>
      <c r="S14" s="2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Y14" s="18" t="n"/>
      <c r="DZ14" s="18" t="n"/>
      <c r="EA14" s="18" t="n"/>
      <c r="EB14" s="18" t="n"/>
      <c r="EC14" s="18" t="n"/>
      <c r="ED14" s="18" t="n"/>
      <c r="EE14" s="18" t="n"/>
      <c r="EF14" s="18" t="n"/>
      <c r="EG14" s="18" t="n"/>
      <c r="EH14" s="18" t="n"/>
      <c r="EI14" s="18" t="n"/>
      <c r="EJ14" s="18" t="n"/>
      <c r="EK14" s="18" t="n"/>
      <c r="EL14" s="18" t="n"/>
      <c r="EM14" s="18" t="n"/>
      <c r="EN14" s="18" t="n"/>
      <c r="EO14" s="18" t="n"/>
      <c r="EP14" s="18" t="n"/>
      <c r="EQ14" s="18" t="n"/>
      <c r="ER14" s="18" t="n"/>
      <c r="ES14" s="18" t="n"/>
      <c r="ET14" s="18" t="n"/>
      <c r="EU14" s="18" t="n"/>
      <c r="EV14" s="18" t="n"/>
      <c r="EW14" s="18" t="n"/>
      <c r="EX14" s="18" t="n"/>
      <c r="EY14" s="18" t="n"/>
      <c r="EZ14" s="18" t="n"/>
      <c r="FA14" s="18" t="n"/>
      <c r="FB14" s="18" t="n"/>
      <c r="FC14" s="18" t="n"/>
      <c r="FD14" s="18" t="n"/>
      <c r="FE14" s="18" t="n"/>
      <c r="FF14" s="18" t="n"/>
      <c r="FG14" s="18" t="n"/>
      <c r="FH14" s="18" t="n"/>
      <c r="FI14" s="18" t="n"/>
      <c r="FJ14" s="18" t="n"/>
      <c r="FK14" s="18" t="n"/>
      <c r="FL14" s="18" t="n"/>
      <c r="FM14" s="18" t="n"/>
      <c r="FN14" s="18" t="n"/>
      <c r="FO14" s="18" t="n"/>
      <c r="FP14" s="18" t="n"/>
      <c r="FQ14" s="18" t="n"/>
      <c r="FR14" s="18" t="n"/>
      <c r="FS14" s="18" t="n"/>
      <c r="FT14" s="18" t="n"/>
      <c r="FU14" s="18" t="n"/>
      <c r="FV14" s="18" t="n"/>
      <c r="FW14" s="18" t="n"/>
      <c r="FX14" s="18" t="n"/>
      <c r="FY14" s="18" t="n"/>
      <c r="FZ14" s="18" t="n"/>
      <c r="GA14" s="18" t="n"/>
      <c r="GB14" s="18" t="n"/>
      <c r="GC14" s="18" t="n"/>
      <c r="GD14" s="18" t="n"/>
      <c r="GE14" s="18" t="n"/>
      <c r="GF14" s="18" t="n"/>
      <c r="GG14" s="18" t="n"/>
      <c r="GH14" s="18" t="n"/>
      <c r="GI14" s="18" t="n"/>
      <c r="GJ14" s="18" t="n"/>
      <c r="GK14" s="18" t="n"/>
      <c r="GL14" s="18" t="n"/>
      <c r="GM14" s="18" t="n"/>
      <c r="GN14" s="18" t="n"/>
      <c r="GO14" s="18" t="n"/>
      <c r="GP14" s="18" t="n"/>
      <c r="GQ14" s="18" t="n"/>
    </row>
    <row r="15" ht="52.05" customHeight="1" s="88">
      <c r="A15" s="29" t="inlineStr">
        <is>
          <t>9000</t>
        </is>
      </c>
      <c r="B15" s="29" t="inlineStr">
        <is>
          <t>9000-2</t>
        </is>
      </c>
      <c r="C15" s="29" t="inlineStr">
        <is>
          <t>사전토공사</t>
        </is>
      </c>
      <c r="D15" s="98" t="inlineStr">
        <is>
          <t>9000-2-14</t>
        </is>
      </c>
      <c r="E15" s="102" t="inlineStr">
        <is>
          <t>9000-2-12, 9000-2-13</t>
        </is>
      </c>
      <c r="F15" s="99" t="inlineStr">
        <is>
          <t>9000-2-15, 9000-2-16</t>
        </is>
      </c>
      <c r="G15" s="32" t="inlineStr">
        <is>
          <t>용지보상 Risk 파악</t>
        </is>
      </c>
      <c r="H15" s="33" t="inlineStr">
        <is>
          <t>D-30</t>
        </is>
      </c>
      <c r="I15" s="33" t="inlineStr">
        <is>
          <t>현장 공무팀</t>
        </is>
      </c>
      <c r="J15" s="34" t="inlineStr">
        <is>
          <t>토지보상법 준수 | 지장물 이설 부지 용지보상 현황 및 점용 경계 실측 | 미보상 사유지 가설 펜스 차단</t>
        </is>
      </c>
      <c r="K15" s="34" t="inlineStr">
        <is>
          <t>1) 미보상 필지 현출 &amp; 지적 대조 ➔ 2) 가설 펜스(H=1.8m) 차단 ➔ 3) 우회 토공 동선 수립 ➔ 4) 용지 보상 대책서 감리 승인</t>
        </is>
      </c>
      <c r="L15" s="34" t="inlineStr">
        <is>
          <t>미보상 필지 지적 대조, 경계 가설 펜스(H=1.8m) 차단 및 우회 토공 동선 서면 승인</t>
        </is>
      </c>
      <c r="M15" s="34" t="inlineStr">
        <is>
          <t>토지보상법 준수 | 지장물 이설 부지 용지보상 현황 및 점용 경계 실측 | 미보상 사유지 가설 펜스 차단</t>
        </is>
      </c>
      <c r="N15" s="35">
        <f>HYPERLINK(LEFT(CELL("filename",A1),FIND("[",CELL("filename",A1))-1)&amp;"2.사전토공사\14_용지보상 Risk 파악\표준서\용지보상 Risk 파악_표준서.html", "👉 [클릭] 표준서 열기 📄")</f>
        <v/>
      </c>
      <c r="O15" s="34" t="inlineStr">
        <is>
          <t>1) 미보상 필지 현출 &amp; 지적 대조 ➔ 2) 가설 펜스(H=1.8m) 차단 ➔ 3) 우회 토공 동선 수립 ➔ 4) 용지 보상 대책서 감리 승인</t>
        </is>
      </c>
      <c r="P15" s="36">
        <f>HYPERLINK(LEFT(CELL("filename",A1),FIND("[",CELL("filename",A1))-1)&amp;"2.사전토공사\14_용지보상 Risk 파악\수행지침\용지보상 Risk 파악_수행지침.html", "👉 [클릭] 수행지침 열기 📄")</f>
        <v/>
      </c>
      <c r="Q15" s="34" t="inlineStr">
        <is>
          <t>미보상 필지 지적 대조, 경계 가설 펜스(H=1.8m) 차단 및 우회 토공 동선 서면 승인</t>
        </is>
      </c>
      <c r="R15" s="37">
        <f>HYPERLINK(LEFT(CELL("filename",A1),FIND("[",CELL("filename",A1))-1)&amp;"2.사전토공사\14_용지보상 Risk 파악\체크리스트\용지보상 Risk 파악_체크리스트.html", "👉 [클릭] 체크리스트 열기 📄")</f>
        <v/>
      </c>
      <c r="S15" s="33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Y15" s="18" t="n"/>
      <c r="DZ15" s="18" t="n"/>
      <c r="EA15" s="18" t="n"/>
      <c r="EB15" s="18" t="n"/>
      <c r="EC15" s="18" t="n"/>
      <c r="ED15" s="18" t="n"/>
      <c r="EE15" s="18" t="n"/>
      <c r="EF15" s="18" t="n"/>
      <c r="EG15" s="18" t="n"/>
      <c r="EH15" s="18" t="n"/>
      <c r="EI15" s="18" t="n"/>
      <c r="EJ15" s="18" t="n"/>
      <c r="EK15" s="18" t="n"/>
      <c r="EL15" s="18" t="n"/>
      <c r="EM15" s="18" t="n"/>
      <c r="EN15" s="18" t="n"/>
      <c r="EO15" s="18" t="n"/>
      <c r="EP15" s="18" t="n"/>
      <c r="EQ15" s="18" t="n"/>
      <c r="ER15" s="18" t="n"/>
      <c r="ES15" s="18" t="n"/>
      <c r="ET15" s="18" t="n"/>
      <c r="EU15" s="18" t="n"/>
      <c r="EV15" s="18" t="n"/>
      <c r="EW15" s="18" t="n"/>
      <c r="EX15" s="18" t="n"/>
      <c r="EY15" s="18" t="n"/>
      <c r="EZ15" s="18" t="n"/>
      <c r="FA15" s="18" t="n"/>
      <c r="FB15" s="18" t="n"/>
      <c r="FC15" s="18" t="n"/>
      <c r="FD15" s="18" t="n"/>
      <c r="FE15" s="18" t="n"/>
      <c r="FF15" s="18" t="n"/>
      <c r="FG15" s="18" t="n"/>
      <c r="FH15" s="18" t="n"/>
      <c r="FI15" s="18" t="n"/>
      <c r="FJ15" s="18" t="n"/>
      <c r="FK15" s="18" t="n"/>
      <c r="FL15" s="18" t="n"/>
      <c r="FM15" s="18" t="n"/>
      <c r="FN15" s="18" t="n"/>
      <c r="FO15" s="18" t="n"/>
      <c r="FP15" s="18" t="n"/>
      <c r="FQ15" s="18" t="n"/>
      <c r="FR15" s="18" t="n"/>
      <c r="FS15" s="18" t="n"/>
      <c r="FT15" s="18" t="n"/>
      <c r="FU15" s="18" t="n"/>
      <c r="FV15" s="18" t="n"/>
      <c r="FW15" s="18" t="n"/>
      <c r="FX15" s="18" t="n"/>
      <c r="FY15" s="18" t="n"/>
      <c r="FZ15" s="18" t="n"/>
      <c r="GA15" s="18" t="n"/>
      <c r="GB15" s="18" t="n"/>
      <c r="GC15" s="18" t="n"/>
      <c r="GD15" s="18" t="n"/>
      <c r="GE15" s="18" t="n"/>
      <c r="GF15" s="18" t="n"/>
      <c r="GG15" s="18" t="n"/>
      <c r="GH15" s="18" t="n"/>
      <c r="GI15" s="18" t="n"/>
      <c r="GJ15" s="18" t="n"/>
      <c r="GK15" s="18" t="n"/>
      <c r="GL15" s="18" t="n"/>
      <c r="GM15" s="18" t="n"/>
      <c r="GN15" s="18" t="n"/>
      <c r="GO15" s="18" t="n"/>
      <c r="GP15" s="18" t="n"/>
      <c r="GQ15" s="18" t="n"/>
      <c r="GR15" s="18" t="n"/>
      <c r="GS15" s="18" t="n"/>
      <c r="GT15" s="18" t="n"/>
      <c r="GU15" s="18" t="n"/>
    </row>
    <row r="16" ht="52.05" customHeight="1" s="88">
      <c r="A16" s="19" t="inlineStr">
        <is>
          <t>9000</t>
        </is>
      </c>
      <c r="B16" s="19" t="inlineStr">
        <is>
          <t>9000-2</t>
        </is>
      </c>
      <c r="C16" s="19" t="inlineStr">
        <is>
          <t>사전토공사</t>
        </is>
      </c>
      <c r="D16" s="94" t="inlineStr">
        <is>
          <t>9000-2-15</t>
        </is>
      </c>
      <c r="E16" s="95" t="inlineStr">
        <is>
          <t>9000-2-12, 9000-2-14</t>
        </is>
      </c>
      <c r="F16" s="96" t="inlineStr">
        <is>
          <t>9000-2-16, 9000-2-17</t>
        </is>
      </c>
      <c r="G16" s="23" t="inlineStr">
        <is>
          <t>시공계획서 검토 지원</t>
        </is>
      </c>
      <c r="H16" s="21" t="inlineStr">
        <is>
          <t>D-30</t>
        </is>
      </c>
      <c r="I16" s="21" t="inlineStr">
        <is>
          <t>토목품질팀</t>
        </is>
      </c>
      <c r="J16" s="24" t="inlineStr">
        <is>
          <t>건진법 시행령 제89조 | 사전 토공 시공계획서 표준 8대 목차 검토 | 착공 14일 전 감리 서면 승인</t>
        </is>
      </c>
      <c r="K16" s="24" t="inlineStr">
        <is>
          <t>1) 사전 토공 시공계획서 작성 ➔ 2) 8대 목차 &amp; KCS 수치 명시 ➔ 3) 착공 14일 전 감리단 제출 ➔ 4) 시공계획서 감리 서면 승인</t>
        </is>
      </c>
      <c r="L16" s="24" t="inlineStr">
        <is>
          <t>사전 토공 시공계획서 표준 8대 목차, KCS 수치 수록 및 착공 14일 전 감리 서면 승인</t>
        </is>
      </c>
      <c r="M16" s="24" t="inlineStr">
        <is>
          <t>건진법 시행령 제89조 | 사전 토공 시공계획서 표준 8대 목차 검토 | 착공 14일 전 감리 서면 승인</t>
        </is>
      </c>
      <c r="N16" s="25">
        <f>HYPERLINK(LEFT(CELL("filename",A1),FIND("[",CELL("filename",A1))-1)&amp;"2.사전토공사\15_시공계획서 검토 지원\표준서\시공계획서 검토 지원_표준서.html", "👉 [클릭] 표준서 열기 📄")</f>
        <v/>
      </c>
      <c r="O16" s="24" t="inlineStr">
        <is>
          <t>1) 사전 토공 시공계획서 작성 ➔ 2) 8대 목차 &amp; KCS 수치 명시 ➔ 3) 착공 14일 전 감리단 제출 ➔ 4) 시공계획서 감리 서면 승인</t>
        </is>
      </c>
      <c r="P16" s="26">
        <f>HYPERLINK(LEFT(CELL("filename",A1),FIND("[",CELL("filename",A1))-1)&amp;"2.사전토공사\15_시공계획서 검토 지원\수행지침\시공계획서 검토 지원_수행지침.html", "👉 [클릭] 수행지침 열기 📄")</f>
        <v/>
      </c>
      <c r="Q16" s="24" t="inlineStr">
        <is>
          <t>사전 토공 시공계획서 표준 8대 목차, KCS 수치 수록 및 착공 14일 전 감리 서면 승인</t>
        </is>
      </c>
      <c r="R16" s="27">
        <f>HYPERLINK(LEFT(CELL("filename",A1),FIND("[",CELL("filename",A1))-1)&amp;"2.사전토공사\15_시공계획서 검토 지원\체크리스트\시공계획서 검토 지원_체크리스트.html", "👉 [클릭] 체크리스트 열기 📄")</f>
        <v/>
      </c>
      <c r="S16" s="2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8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8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8" t="n"/>
      <c r="FT16" s="18" t="n"/>
      <c r="FU16" s="18" t="n"/>
      <c r="FV16" s="18" t="n"/>
      <c r="FW16" s="18" t="n"/>
      <c r="FX16" s="18" t="n"/>
      <c r="FY16" s="18" t="n"/>
      <c r="FZ16" s="18" t="n"/>
      <c r="GA16" s="18" t="n"/>
      <c r="GB16" s="18" t="n"/>
      <c r="GC16" s="18" t="n"/>
      <c r="GD16" s="18" t="n"/>
      <c r="GE16" s="18" t="n"/>
      <c r="GF16" s="18" t="n"/>
      <c r="GG16" s="18" t="n"/>
      <c r="GH16" s="18" t="n"/>
      <c r="GI16" s="18" t="n"/>
      <c r="GJ16" s="18" t="n"/>
      <c r="GK16" s="18" t="n"/>
      <c r="GL16" s="18" t="n"/>
      <c r="GM16" s="18" t="n"/>
      <c r="GN16" s="18" t="n"/>
      <c r="GO16" s="18" t="n"/>
      <c r="GP16" s="18" t="n"/>
      <c r="GQ16" s="18" t="n"/>
      <c r="GR16" s="18" t="n"/>
      <c r="GS16" s="18" t="n"/>
      <c r="GT16" s="18" t="n"/>
      <c r="GU16" s="18" t="n"/>
      <c r="GV16" s="18" t="n"/>
      <c r="GW16" s="18" t="n"/>
      <c r="GX16" s="18" t="n"/>
      <c r="GY16" s="18" t="n"/>
    </row>
    <row r="17" ht="52.05" customHeight="1" s="88">
      <c r="A17" s="29" t="inlineStr">
        <is>
          <t>9000</t>
        </is>
      </c>
      <c r="B17" s="29" t="inlineStr">
        <is>
          <t>9000-2</t>
        </is>
      </c>
      <c r="C17" s="29" t="inlineStr">
        <is>
          <t>사전토공사</t>
        </is>
      </c>
      <c r="D17" s="98" t="inlineStr">
        <is>
          <t>9000-2-16</t>
        </is>
      </c>
      <c r="E17" s="102" t="inlineStr">
        <is>
          <t>9000-2-14, 9000-2-15</t>
        </is>
      </c>
      <c r="F17" s="99" t="inlineStr">
        <is>
          <t>9000-2-17, 9000-2-18</t>
        </is>
      </c>
      <c r="G17" s="32" t="inlineStr">
        <is>
          <t>설계변경 (착수전)</t>
        </is>
      </c>
      <c r="H17" s="33" t="inlineStr">
        <is>
          <t>D-30</t>
        </is>
      </c>
      <c r="I17" s="33" t="inlineStr">
        <is>
          <t>현장 공무팀/공사팀</t>
        </is>
      </c>
      <c r="J17" s="34" t="inlineStr">
        <is>
          <t>지방계약법 정산 수칙 | 착수 전 토종 변경 및 수량 증감 실정보고 작성 | 총사업비 변경 승인 수속</t>
        </is>
      </c>
      <c r="K17" s="34" t="inlineStr">
        <is>
          <t>1) 토질 변경 &amp; 수량 증감 실정보고 작성 ➔ 2) 단가 비교표 작성 ➔ 3) 설계변경 도서 제출 ➔ 4) 총사업비 변경 승인 결재</t>
        </is>
      </c>
      <c r="L17" s="34" t="inlineStr">
        <is>
          <t>토질 변경 &amp; 수량 증감 실정보고서 작성, 단가 비교표 작성 및 총사업비 변경 승인 결재</t>
        </is>
      </c>
      <c r="M17" s="34" t="inlineStr">
        <is>
          <t>지방계약법 정산 수칙 | 착수 전 토종 변경 및 수량 증감 실정보고 작성 | 총사업비 변경 승인 수속</t>
        </is>
      </c>
      <c r="N17" s="35">
        <f>HYPERLINK(LEFT(CELL("filename",A1),FIND("[",CELL("filename",A1))-1)&amp;"2.사전토공사\16_시공계획 수립\표준서\설계변경 (착수전)_표준서.html", "👉 [클릭] 표준서 열기 📄")</f>
        <v/>
      </c>
      <c r="O17" s="34" t="inlineStr">
        <is>
          <t>1) 토질 변경 &amp; 수량 증감 실정보고 작성 ➔ 2) 단가 비교표 작성 ➔ 3) 설계변경 도서 제출 ➔ 4) 총사업비 변경 승인 결재</t>
        </is>
      </c>
      <c r="P17" s="36">
        <f>HYPERLINK(LEFT(CELL("filename",A1),FIND("[",CELL("filename",A1))-1)&amp;"2.사전토공사\16_시공계획 수립\수행지침\설계변경 (착수전)_수행지침.html", "👉 [클릭] 수행지침 열기 📄")</f>
        <v/>
      </c>
      <c r="Q17" s="34" t="inlineStr">
        <is>
          <t>토질 변경 &amp; 수량 증감 실정보고서 작성, 단가 비교표 작성 및 총사업비 변경 승인 결재</t>
        </is>
      </c>
      <c r="R17" s="37">
        <f>HYPERLINK(LEFT(CELL("filename",A1),FIND("[",CELL("filename",A1))-1)&amp;"2.사전토공사\16_시공계획 수립\체크리스트\설계변경 (착수전)_체크리스트.html", "👉 [클릭] 체크리스트 열기 📄")</f>
        <v/>
      </c>
      <c r="S17" s="33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8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8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8" t="n"/>
      <c r="FT17" s="18" t="n"/>
      <c r="FU17" s="18" t="n"/>
      <c r="FV17" s="18" t="n"/>
      <c r="FW17" s="18" t="n"/>
      <c r="FX17" s="18" t="n"/>
      <c r="FY17" s="18" t="n"/>
      <c r="FZ17" s="18" t="n"/>
      <c r="GA17" s="18" t="n"/>
      <c r="GB17" s="18" t="n"/>
      <c r="GC17" s="18" t="n"/>
      <c r="GD17" s="18" t="n"/>
      <c r="GE17" s="18" t="n"/>
      <c r="GF17" s="18" t="n"/>
      <c r="GG17" s="18" t="n"/>
      <c r="GH17" s="18" t="n"/>
      <c r="GI17" s="18" t="n"/>
      <c r="GJ17" s="18" t="n"/>
      <c r="GK17" s="18" t="n"/>
      <c r="GL17" s="18" t="n"/>
      <c r="GM17" s="18" t="n"/>
      <c r="GN17" s="18" t="n"/>
      <c r="GO17" s="18" t="n"/>
      <c r="GP17" s="18" t="n"/>
      <c r="GQ17" s="18" t="n"/>
      <c r="GR17" s="18" t="n"/>
      <c r="GS17" s="18" t="n"/>
      <c r="GT17" s="18" t="n"/>
      <c r="GU17" s="18" t="n"/>
      <c r="GV17" s="18" t="n"/>
      <c r="GW17" s="18" t="n"/>
      <c r="GX17" s="18" t="n"/>
      <c r="GY17" s="18" t="n"/>
      <c r="GZ17" s="18" t="n"/>
      <c r="HA17" s="18" t="n"/>
      <c r="HB17" s="18" t="n"/>
      <c r="HC17" s="18" t="n"/>
    </row>
    <row r="18" ht="52.05" customHeight="1" s="88">
      <c r="A18" s="19" t="inlineStr">
        <is>
          <t>9000</t>
        </is>
      </c>
      <c r="B18" s="19" t="inlineStr">
        <is>
          <t>9000-2</t>
        </is>
      </c>
      <c r="C18" s="19" t="inlineStr">
        <is>
          <t>사전토공사</t>
        </is>
      </c>
      <c r="D18" s="94" t="inlineStr">
        <is>
          <t>9000-2-17</t>
        </is>
      </c>
      <c r="E18" s="95" t="inlineStr">
        <is>
          <t>9000-2-15, 9000-2-16</t>
        </is>
      </c>
      <c r="F18" s="96" t="inlineStr">
        <is>
          <t>9000-2-19</t>
        </is>
      </c>
      <c r="G18" s="23" t="inlineStr">
        <is>
          <t>시공계획 수립</t>
        </is>
      </c>
      <c r="H18" s="21" t="inlineStr">
        <is>
          <t>D-30</t>
        </is>
      </c>
      <c r="I18" s="21" t="inlineStr">
        <is>
          <t>현장 공사팀</t>
        </is>
      </c>
      <c r="J18" s="24" t="inlineStr">
        <is>
          <t>KCS 47 10 25 토공 시방 | 깎기/성토 토공 유동표 작성 및 3D BIM 도면 대조 | 책임감리원 최종 승인</t>
        </is>
      </c>
      <c r="K18" s="24" t="inlineStr">
        <is>
          <t>1) 토공 깎기/성토 유동표 작성 ➔ 2) 3D BIM 모델 표고 대조 ➔ 3) 사면 안성성 계산서 부착 ➔ 4) 토공 시공계획서 감리 최종 결재</t>
        </is>
      </c>
      <c r="L18" s="24" t="inlineStr">
        <is>
          <t>토공 깎기/성토 유동표 작성, 3D BIM 모델 표고 대조 및 사면 안전성 계산서 감리 결재</t>
        </is>
      </c>
      <c r="M18" s="24" t="inlineStr">
        <is>
          <t>KCS 47 10 25 토공 시방 | 깎기/성토 토공 유동표 작성 및 3D BIM 도면 대조 | 책임감리원 최종 승인</t>
        </is>
      </c>
      <c r="N18" s="25">
        <f>HYPERLINK(LEFT(CELL("filename",A1),FIND("[",CELL("filename",A1))-1)&amp;"2.사전토공사\17_후행공종 요구조건 반영 설계변경 검토\표준서\후행공종 요구조건 반영 설계변경 검토_표준서.html", "👉 [클릭] 표준서 열기 📄")</f>
        <v/>
      </c>
      <c r="O18" s="24" t="inlineStr">
        <is>
          <t>1) 토공 깎기/성토 유동표 작성 ➔ 2) 3D BIM 모델 표고 대조 ➔ 3) 사면 안성성 계산서 부착 ➔ 4) 토공 시공계획서 감리 최종 결재</t>
        </is>
      </c>
      <c r="P18" s="26">
        <f>HYPERLINK(LEFT(CELL("filename",A1),FIND("[",CELL("filename",A1))-1)&amp;"2.사전토공사\17_후행공종 요구조건 반영 설계변경 검토\수행지침\후행공종 요구조건 반영 설계변경 검토_수행지침.html", "👉 [클릭] 수행지침 열기 📄")</f>
        <v/>
      </c>
      <c r="Q18" s="24" t="inlineStr">
        <is>
          <t>토공 깎기/성토 유동표 작성, 3D BIM 모델 표고 대조 및 사면 안전성 계산서 감리 결재</t>
        </is>
      </c>
      <c r="R18" s="27">
        <f>HYPERLINK(LEFT(CELL("filename",A1),FIND("[",CELL("filename",A1))-1)&amp;"2.사전토공사\17_후행공종 요구조건 반영 설계변경 검토\체크리스트\후행공종 요구조건 반영 설계변경 검토_체크리스트.html", "👉 [클릭] 체크리스트 열기 📄")</f>
        <v/>
      </c>
      <c r="S18" s="2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8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8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8" t="n"/>
      <c r="FT18" s="18" t="n"/>
      <c r="FU18" s="18" t="n"/>
      <c r="FV18" s="18" t="n"/>
      <c r="FW18" s="18" t="n"/>
      <c r="FX18" s="18" t="n"/>
      <c r="FY18" s="18" t="n"/>
      <c r="FZ18" s="18" t="n"/>
      <c r="GA18" s="18" t="n"/>
      <c r="GB18" s="18" t="n"/>
      <c r="GC18" s="18" t="n"/>
      <c r="GD18" s="18" t="n"/>
      <c r="GE18" s="18" t="n"/>
      <c r="GF18" s="18" t="n"/>
      <c r="GG18" s="18" t="n"/>
      <c r="GH18" s="18" t="n"/>
      <c r="GI18" s="18" t="n"/>
      <c r="GJ18" s="18" t="n"/>
      <c r="GK18" s="18" t="n"/>
      <c r="GL18" s="18" t="n"/>
      <c r="GM18" s="18" t="n"/>
      <c r="GN18" s="18" t="n"/>
      <c r="GO18" s="18" t="n"/>
      <c r="GP18" s="18" t="n"/>
      <c r="GQ18" s="18" t="n"/>
      <c r="GR18" s="18" t="n"/>
      <c r="GS18" s="18" t="n"/>
      <c r="GT18" s="18" t="n"/>
      <c r="GU18" s="18" t="n"/>
      <c r="GV18" s="18" t="n"/>
      <c r="GW18" s="18" t="n"/>
      <c r="GX18" s="18" t="n"/>
      <c r="GY18" s="18" t="n"/>
      <c r="GZ18" s="18" t="n"/>
      <c r="HA18" s="18" t="n"/>
      <c r="HB18" s="18" t="n"/>
      <c r="HC18" s="18" t="n"/>
      <c r="HD18" s="18" t="n"/>
      <c r="HE18" s="18" t="n"/>
      <c r="HF18" s="18" t="n"/>
      <c r="HG18" s="18" t="n"/>
    </row>
    <row r="19" ht="52.05" customHeight="1" s="88">
      <c r="A19" s="29" t="inlineStr">
        <is>
          <t>9000</t>
        </is>
      </c>
      <c r="B19" s="29" t="inlineStr">
        <is>
          <t>9000-2</t>
        </is>
      </c>
      <c r="C19" s="29" t="inlineStr">
        <is>
          <t>사전토공사</t>
        </is>
      </c>
      <c r="D19" s="98" t="inlineStr">
        <is>
          <t>9000-2-18</t>
        </is>
      </c>
      <c r="E19" s="102" t="inlineStr">
        <is>
          <t>9000-2-16</t>
        </is>
      </c>
      <c r="F19" s="99" t="inlineStr">
        <is>
          <t>9000-2-19, 9000-2-20</t>
        </is>
      </c>
      <c r="G19" s="32" t="inlineStr">
        <is>
          <t>후행공종 요구조건 반영 설계변경 검토</t>
        </is>
      </c>
      <c r="H19" s="33" t="inlineStr">
        <is>
          <t>D-30</t>
        </is>
      </c>
      <c r="I19" s="33" t="inlineStr">
        <is>
          <t>현장 공무팀/공사팀</t>
        </is>
      </c>
      <c r="J19" s="34" t="inlineStr">
        <is>
          <t>건진법 설계변경 수칙 | 궤도/구조물 후행 공종 요구 표고 오차(±10mm) 반영 | 설계변경 실정보고서 작성</t>
        </is>
      </c>
      <c r="K19" s="34" t="inlineStr">
        <is>
          <t>1) 궤도/구조물 후행 요구 조건 수집 ➔ 2) 마무리면 표고 오차(±10mm) 반영 ➔ 3) 설계변경 실정보고서 작성 ➔ 4) 책임감리원 기술 승인</t>
        </is>
      </c>
      <c r="L19" s="34" t="inlineStr">
        <is>
          <t>궤도/구조물 후행 요구 조건 반영, 마무리면 표고 오차(±10mm) 반영 및 설계변경 실정보고</t>
        </is>
      </c>
      <c r="M19" s="34" t="inlineStr">
        <is>
          <t>건진법 설계변경 수칙 | 궤도/구조물 후행 공종 요구 표고 오차(±10mm) 반영 | 설계변경 실정보고서 작성</t>
        </is>
      </c>
      <c r="N19" s="35">
        <f>HYPERLINK(LEFT(CELL("filename",A1),FIND("[",CELL("filename",A1))-1)&amp;"2.사전토공사\18_설계변경 (착수전)\표준서\설계변경 (착수전)_표준서.html", "👉 [클릭] 표준서 열기 📄")</f>
        <v/>
      </c>
      <c r="O19" s="34" t="inlineStr">
        <is>
          <t>1) 궤도/구조물 후행 요구 조건 수집 ➔ 2) 마무리면 표고 오차(±10mm) 반영 ➔ 3) 설계변경 실정보고서 작성 ➔ 4) 책임감리원 기술 승인</t>
        </is>
      </c>
      <c r="P19" s="36">
        <f>HYPERLINK(LEFT(CELL("filename",A1),FIND("[",CELL("filename",A1))-1)&amp;"2.사전토공사\18_설계변경 (착수전)\수행지침\설계변경 (착수전)_수행지침.html", "👉 [클릭] 수행지침 열기 📄")</f>
        <v/>
      </c>
      <c r="Q19" s="34" t="inlineStr">
        <is>
          <t>궤도/구조물 후행 요구 조건 반영, 마무리면 표고 오차(±10mm) 반영 및 설계변경 실정보고</t>
        </is>
      </c>
      <c r="R19" s="37">
        <f>HYPERLINK(LEFT(CELL("filename",A1),FIND("[",CELL("filename",A1))-1)&amp;"2.사전토공사\18_설계변경 (착수전)\체크리스트\설계변경 (착수전)_체크리스트.html", "👉 [클릭] 체크리스트 열기 📄")</f>
        <v/>
      </c>
      <c r="S19" s="33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Y19" s="18" t="n"/>
      <c r="DZ19" s="18" t="n"/>
      <c r="EA19" s="18" t="n"/>
      <c r="EB19" s="18" t="n"/>
      <c r="EC19" s="18" t="n"/>
      <c r="ED19" s="18" t="n"/>
      <c r="EE19" s="18" t="n"/>
      <c r="EF19" s="18" t="n"/>
      <c r="EG19" s="18" t="n"/>
      <c r="EH19" s="18" t="n"/>
      <c r="EI19" s="18" t="n"/>
      <c r="EJ19" s="18" t="n"/>
      <c r="EK19" s="18" t="n"/>
      <c r="EL19" s="18" t="n"/>
      <c r="EM19" s="18" t="n"/>
      <c r="EN19" s="18" t="n"/>
      <c r="EO19" s="18" t="n"/>
      <c r="EP19" s="18" t="n"/>
      <c r="EQ19" s="18" t="n"/>
      <c r="ER19" s="18" t="n"/>
      <c r="ES19" s="18" t="n"/>
      <c r="ET19" s="18" t="n"/>
      <c r="EU19" s="18" t="n"/>
      <c r="EV19" s="18" t="n"/>
      <c r="EW19" s="18" t="n"/>
      <c r="EX19" s="18" t="n"/>
      <c r="EY19" s="18" t="n"/>
      <c r="EZ19" s="18" t="n"/>
      <c r="FA19" s="18" t="n"/>
      <c r="FB19" s="18" t="n"/>
      <c r="FC19" s="18" t="n"/>
      <c r="FD19" s="18" t="n"/>
      <c r="FE19" s="18" t="n"/>
      <c r="FF19" s="18" t="n"/>
      <c r="FG19" s="18" t="n"/>
      <c r="FH19" s="18" t="n"/>
      <c r="FI19" s="18" t="n"/>
      <c r="FJ19" s="18" t="n"/>
      <c r="FK19" s="18" t="n"/>
      <c r="FL19" s="18" t="n"/>
      <c r="FM19" s="18" t="n"/>
      <c r="FN19" s="18" t="n"/>
      <c r="FO19" s="18" t="n"/>
      <c r="FP19" s="18" t="n"/>
      <c r="FQ19" s="18" t="n"/>
      <c r="FR19" s="18" t="n"/>
      <c r="FS19" s="18" t="n"/>
      <c r="FT19" s="18" t="n"/>
      <c r="FU19" s="18" t="n"/>
      <c r="FV19" s="18" t="n"/>
      <c r="FW19" s="18" t="n"/>
      <c r="FX19" s="18" t="n"/>
      <c r="FY19" s="18" t="n"/>
      <c r="FZ19" s="18" t="n"/>
      <c r="GA19" s="18" t="n"/>
      <c r="GB19" s="18" t="n"/>
      <c r="GC19" s="18" t="n"/>
      <c r="GD19" s="18" t="n"/>
      <c r="GE19" s="18" t="n"/>
      <c r="GF19" s="18" t="n"/>
      <c r="GG19" s="18" t="n"/>
      <c r="GH19" s="18" t="n"/>
      <c r="GI19" s="18" t="n"/>
      <c r="GJ19" s="18" t="n"/>
      <c r="GK19" s="18" t="n"/>
      <c r="GL19" s="18" t="n"/>
      <c r="GM19" s="18" t="n"/>
      <c r="GN19" s="18" t="n"/>
      <c r="GO19" s="18" t="n"/>
      <c r="GP19" s="18" t="n"/>
      <c r="GQ19" s="18" t="n"/>
      <c r="GR19" s="18" t="n"/>
      <c r="GS19" s="18" t="n"/>
      <c r="GT19" s="18" t="n"/>
      <c r="GU19" s="18" t="n"/>
      <c r="GV19" s="18" t="n"/>
      <c r="GW19" s="18" t="n"/>
      <c r="GX19" s="18" t="n"/>
      <c r="GY19" s="18" t="n"/>
      <c r="GZ19" s="18" t="n"/>
      <c r="HA19" s="18" t="n"/>
      <c r="HB19" s="18" t="n"/>
      <c r="HC19" s="18" t="n"/>
      <c r="HD19" s="18" t="n"/>
      <c r="HE19" s="18" t="n"/>
      <c r="HF19" s="18" t="n"/>
      <c r="HG19" s="18" t="n"/>
      <c r="HH19" s="18" t="n"/>
      <c r="HI19" s="18" t="n"/>
      <c r="HJ19" s="18" t="n"/>
      <c r="HK19" s="18" t="n"/>
    </row>
    <row r="20" ht="52.05" customHeight="1" s="88">
      <c r="A20" s="19" t="inlineStr">
        <is>
          <t>9000</t>
        </is>
      </c>
      <c r="B20" s="19" t="inlineStr">
        <is>
          <t>9000-2</t>
        </is>
      </c>
      <c r="C20" s="19" t="inlineStr">
        <is>
          <t>사전토공사</t>
        </is>
      </c>
      <c r="D20" s="94" t="inlineStr">
        <is>
          <t>9000-2-19</t>
        </is>
      </c>
      <c r="E20" s="95" t="inlineStr">
        <is>
          <t>9000-2-17, 9000-2-18</t>
        </is>
      </c>
      <c r="F20" s="96" t="inlineStr">
        <is>
          <t>9000-2-21, 9000-2-22</t>
        </is>
      </c>
      <c r="G20" s="23" t="inlineStr">
        <is>
          <t>설계변경 지원</t>
        </is>
      </c>
      <c r="H20" s="21" t="inlineStr">
        <is>
          <t>D-30</t>
        </is>
      </c>
      <c r="I20" s="21" t="inlineStr">
        <is>
          <t>토목수행팀</t>
        </is>
      </c>
      <c r="J20" s="24" t="inlineStr">
        <is>
          <t>건진법 설계변경 규정 | 수량 산출서 및 단가 비교표 작성 | 책임감리원 기술 검토 의견서 첨부</t>
        </is>
      </c>
      <c r="K20" s="24" t="inlineStr">
        <is>
          <t>1) 변경 수량 산출서 정밀 집계 ➔ 2) 신규 단가 산정 서류 부착 ➔ 3) 감리단 기술 검토 수속 ➔ 4) 설계변경 제출 서면 결재</t>
        </is>
      </c>
      <c r="L20" s="24" t="inlineStr">
        <is>
          <t>변경 수량 산출서 정밀 집계, 신규 단가 산정 서류 첨부 및 책임감리원 기술 검토 수속</t>
        </is>
      </c>
      <c r="M20" s="24" t="inlineStr">
        <is>
          <t>건진법 설계변경 규정 | 수량 산출서 및 단가 비교표 작성 | 책임감리원 기술 검토 의견서 첨부</t>
        </is>
      </c>
      <c r="N20" s="25">
        <f>HYPERLINK(LEFT(CELL("filename",A1),FIND("[",CELL("filename",A1))-1)&amp;"2.사전토공사\18_설계변경_착수전\표준서\후행공종 요구조건 반영 설계변경 검토_표준서.html", "👉 [클릭] 표준서 열기 📄")</f>
        <v/>
      </c>
      <c r="O20" s="24" t="inlineStr">
        <is>
          <t>1) 변경 수량 산출서 정밀 집계 ➔ 2) 신규 단가 산정 서류 부착 ➔ 3) 감리단 기술 검토 수속 ➔ 4) 설계변경 제출 서면 결재</t>
        </is>
      </c>
      <c r="P20" s="26">
        <f>HYPERLINK(LEFT(CELL("filename",A1),FIND("[",CELL("filename",A1))-1)&amp;"2.사전토공사\18_설계변경_착수전\수행지침\후행공종 요구조건 반영 설계변경 검토_수행지침.html", "👉 [클릭] 수행지침 열기 📄")</f>
        <v/>
      </c>
      <c r="Q20" s="24" t="inlineStr">
        <is>
          <t>변경 수량 산출서 정밀 집계, 신규 단가 산정 서류 첨부 및 책임감리원 기술 검토 수속</t>
        </is>
      </c>
      <c r="R20" s="27">
        <f>HYPERLINK(LEFT(CELL("filename",A1),FIND("[",CELL("filename",A1))-1)&amp;"2.사전토공사\18_설계변경_착수전\체크리스트\후행공종 요구조건 반영 설계변경 검토_체크리스트.html", "👉 [클릭] 체크리스트 열기 📄")</f>
        <v/>
      </c>
      <c r="S20" s="2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Y20" s="18" t="n"/>
      <c r="DZ20" s="18" t="n"/>
      <c r="EA20" s="18" t="n"/>
      <c r="EB20" s="18" t="n"/>
      <c r="EC20" s="18" t="n"/>
      <c r="ED20" s="18" t="n"/>
      <c r="EE20" s="18" t="n"/>
      <c r="EF20" s="18" t="n"/>
      <c r="EG20" s="18" t="n"/>
      <c r="EH20" s="18" t="n"/>
      <c r="EI20" s="18" t="n"/>
      <c r="EJ20" s="18" t="n"/>
      <c r="EK20" s="18" t="n"/>
      <c r="EL20" s="18" t="n"/>
      <c r="EM20" s="18" t="n"/>
      <c r="EN20" s="18" t="n"/>
      <c r="EO20" s="18" t="n"/>
      <c r="EP20" s="18" t="n"/>
      <c r="EQ20" s="18" t="n"/>
      <c r="ER20" s="18" t="n"/>
      <c r="ES20" s="18" t="n"/>
      <c r="ET20" s="18" t="n"/>
      <c r="EU20" s="18" t="n"/>
      <c r="EV20" s="18" t="n"/>
      <c r="EW20" s="18" t="n"/>
      <c r="EX20" s="18" t="n"/>
      <c r="EY20" s="18" t="n"/>
      <c r="EZ20" s="18" t="n"/>
      <c r="FA20" s="18" t="n"/>
      <c r="FB20" s="18" t="n"/>
      <c r="FC20" s="18" t="n"/>
      <c r="FD20" s="18" t="n"/>
      <c r="FE20" s="18" t="n"/>
      <c r="FF20" s="18" t="n"/>
      <c r="FG20" s="18" t="n"/>
      <c r="FH20" s="18" t="n"/>
      <c r="FI20" s="18" t="n"/>
      <c r="FJ20" s="18" t="n"/>
      <c r="FK20" s="18" t="n"/>
      <c r="FL20" s="18" t="n"/>
      <c r="FM20" s="18" t="n"/>
      <c r="FN20" s="18" t="n"/>
      <c r="FO20" s="18" t="n"/>
      <c r="FP20" s="18" t="n"/>
      <c r="FQ20" s="18" t="n"/>
      <c r="FR20" s="18" t="n"/>
      <c r="FS20" s="18" t="n"/>
      <c r="FT20" s="18" t="n"/>
      <c r="FU20" s="18" t="n"/>
      <c r="FV20" s="18" t="n"/>
      <c r="FW20" s="18" t="n"/>
      <c r="FX20" s="18" t="n"/>
      <c r="FY20" s="18" t="n"/>
      <c r="FZ20" s="18" t="n"/>
      <c r="GA20" s="18" t="n"/>
      <c r="GB20" s="18" t="n"/>
      <c r="GC20" s="18" t="n"/>
      <c r="GD20" s="18" t="n"/>
      <c r="GE20" s="18" t="n"/>
      <c r="GF20" s="18" t="n"/>
      <c r="GG20" s="18" t="n"/>
      <c r="GH20" s="18" t="n"/>
      <c r="GI20" s="18" t="n"/>
      <c r="GJ20" s="18" t="n"/>
      <c r="GK20" s="18" t="n"/>
      <c r="GL20" s="18" t="n"/>
      <c r="GM20" s="18" t="n"/>
      <c r="GN20" s="18" t="n"/>
      <c r="GO20" s="18" t="n"/>
      <c r="GP20" s="18" t="n"/>
      <c r="GQ20" s="18" t="n"/>
      <c r="GR20" s="18" t="n"/>
      <c r="GS20" s="18" t="n"/>
      <c r="GT20" s="18" t="n"/>
      <c r="GU20" s="18" t="n"/>
      <c r="GV20" s="18" t="n"/>
      <c r="GW20" s="18" t="n"/>
      <c r="GX20" s="18" t="n"/>
      <c r="GY20" s="18" t="n"/>
      <c r="GZ20" s="18" t="n"/>
      <c r="HA20" s="18" t="n"/>
      <c r="HB20" s="18" t="n"/>
      <c r="HC20" s="18" t="n"/>
      <c r="HD20" s="18" t="n"/>
      <c r="HE20" s="18" t="n"/>
      <c r="HF20" s="18" t="n"/>
      <c r="HG20" s="18" t="n"/>
      <c r="HH20" s="18" t="n"/>
      <c r="HI20" s="18" t="n"/>
      <c r="HJ20" s="18" t="n"/>
      <c r="HK20" s="18" t="n"/>
      <c r="HL20" s="18" t="n"/>
      <c r="HM20" s="18" t="n"/>
      <c r="HN20" s="18" t="n"/>
      <c r="HO20" s="18" t="n"/>
    </row>
    <row r="21" ht="52.05" customHeight="1" s="88">
      <c r="A21" s="29" t="inlineStr">
        <is>
          <t>9000</t>
        </is>
      </c>
      <c r="B21" s="29" t="inlineStr">
        <is>
          <t>9000-2</t>
        </is>
      </c>
      <c r="C21" s="29" t="inlineStr">
        <is>
          <t>사전토공사</t>
        </is>
      </c>
      <c r="D21" s="98" t="inlineStr">
        <is>
          <t>9000-2-20</t>
        </is>
      </c>
      <c r="E21" s="102" t="inlineStr">
        <is>
          <t>9000-2-18</t>
        </is>
      </c>
      <c r="F21" s="99" t="inlineStr">
        <is>
          <t>9000-2-22</t>
        </is>
      </c>
      <c r="G21" s="32" t="inlineStr">
        <is>
          <t>교통관리 및 교통안전시설 설치</t>
        </is>
      </c>
      <c r="H21" s="33" t="inlineStr">
        <is>
          <t>D-20</t>
        </is>
      </c>
      <c r="I21" s="33" t="inlineStr">
        <is>
          <t>현장 공사팀</t>
        </is>
      </c>
      <c r="J21" s="34" t="inlineStr">
        <is>
          <t>도로교통법 안전 수칙 | 게이트 바리케이트, 야간 LED 경광등 부설 | 전담 안전 신호수(2인 2조) 100% 배치</t>
        </is>
      </c>
      <c r="K21" s="34" t="inlineStr">
        <is>
          <t>1) 게이트 바리케이트 &amp; 경광등 부설 ➔ 2) 우회 차선 표지판 설치 ➔ 3) 전담 신호수(2인 2조) 배치 ➔ 4) 교통 안전 점검 대장 결재</t>
        </is>
      </c>
      <c r="L21" s="34" t="inlineStr">
        <is>
          <t>게이트 바리케이트/LED 경광등 설치, 우회 차선 표지판 검측 및 전담 신호수(2인 2조) 배치</t>
        </is>
      </c>
      <c r="M21" s="34" t="inlineStr">
        <is>
          <t>도로교통법 안전 수칙 | 게이트 바리케이트, 야간 LED 경광등 부설 | 전담 안전 신호수(2인 2조) 100% 배치</t>
        </is>
      </c>
      <c r="N21" s="35">
        <f>HYPERLINK(LEFT(CELL("filename",A1),FIND("[",CELL("filename",A1))-1)&amp;"2.사전토공사\19_설계변경 지원\표준서\설계변경 지원_표준서.html", "👉 [클릭] 표준서 열기 📄")</f>
        <v/>
      </c>
      <c r="O21" s="34" t="inlineStr">
        <is>
          <t>1) 게이트 바리케이트 &amp; 경광등 부설 ➔ 2) 우회 차선 표지판 설치 ➔ 3) 전담 신호수(2인 2조) 배치 ➔ 4) 교통 안전 점검 대장 결재</t>
        </is>
      </c>
      <c r="P21" s="36">
        <f>HYPERLINK(LEFT(CELL("filename",A1),FIND("[",CELL("filename",A1))-1)&amp;"2.사전토공사\19_설계변경 지원\수행지침\설계변경 지원_수행지침.html", "👉 [클릭] 수행지침 열기 📄")</f>
        <v/>
      </c>
      <c r="Q21" s="34" t="inlineStr">
        <is>
          <t>게이트 바리케이트/LED 경광등 설치, 우회 차선 표지판 검측 및 전담 신호수(2인 2조) 배치</t>
        </is>
      </c>
      <c r="R21" s="37">
        <f>HYPERLINK(LEFT(CELL("filename",A1),FIND("[",CELL("filename",A1))-1)&amp;"2.사전토공사\19_설계변경 지원\체크리스트\설계변경 지원_체크리스트.html", "👉 [클릭] 체크리스트 열기 📄")</f>
        <v/>
      </c>
      <c r="S21" s="33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8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8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8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18" t="n"/>
      <c r="GI21" s="18" t="n"/>
      <c r="GJ21" s="18" t="n"/>
      <c r="GK21" s="18" t="n"/>
      <c r="GL21" s="18" t="n"/>
      <c r="GM21" s="18" t="n"/>
      <c r="GN21" s="18" t="n"/>
      <c r="GO21" s="18" t="n"/>
      <c r="GP21" s="18" t="n"/>
      <c r="GQ21" s="18" t="n"/>
      <c r="GR21" s="18" t="n"/>
      <c r="GS21" s="18" t="n"/>
      <c r="GT21" s="18" t="n"/>
      <c r="GU21" s="18" t="n"/>
      <c r="GV21" s="18" t="n"/>
      <c r="GW21" s="18" t="n"/>
      <c r="GX21" s="18" t="n"/>
      <c r="GY21" s="18" t="n"/>
      <c r="GZ21" s="18" t="n"/>
      <c r="HA21" s="18" t="n"/>
      <c r="HB21" s="18" t="n"/>
      <c r="HC21" s="18" t="n"/>
      <c r="HD21" s="18" t="n"/>
      <c r="HE21" s="18" t="n"/>
      <c r="HF21" s="18" t="n"/>
      <c r="HG21" s="18" t="n"/>
      <c r="HH21" s="18" t="n"/>
      <c r="HI21" s="18" t="n"/>
      <c r="HJ21" s="18" t="n"/>
      <c r="HK21" s="18" t="n"/>
      <c r="HL21" s="18" t="n"/>
      <c r="HM21" s="18" t="n"/>
      <c r="HN21" s="18" t="n"/>
      <c r="HO21" s="18" t="n"/>
      <c r="HP21" s="18" t="n"/>
      <c r="HQ21" s="18" t="n"/>
      <c r="HR21" s="18" t="n"/>
      <c r="HS21" s="18" t="n"/>
    </row>
    <row r="22" ht="52.05" customHeight="1" s="88">
      <c r="A22" s="19" t="inlineStr">
        <is>
          <t>9000</t>
        </is>
      </c>
      <c r="B22" s="19" t="inlineStr">
        <is>
          <t>9000-2</t>
        </is>
      </c>
      <c r="C22" s="19" t="inlineStr">
        <is>
          <t>사전토공사</t>
        </is>
      </c>
      <c r="D22" s="94" t="inlineStr">
        <is>
          <t>9000-2-21</t>
        </is>
      </c>
      <c r="E22" s="95" t="inlineStr">
        <is>
          <t>9000-2-19</t>
        </is>
      </c>
      <c r="F22" s="96" t="inlineStr">
        <is>
          <t>9000-2-23</t>
        </is>
      </c>
      <c r="G22" s="23" t="inlineStr">
        <is>
          <t>장비 검수 지원</t>
        </is>
      </c>
      <c r="H22" s="21" t="inlineStr">
        <is>
          <t>D-10</t>
        </is>
      </c>
      <c r="I22" s="21" t="inlineStr">
        <is>
          <t>기술안전팀</t>
        </is>
      </c>
      <c r="J22" s="24" t="inlineStr">
        <is>
          <t>건설기계관리법 제13조 | 자중 10t+ 굴착기, 덤프 정기검사증 검수 | 후방 센서 점검 및 반입 허가</t>
        </is>
      </c>
      <c r="K22" s="24" t="inlineStr">
        <is>
          <t>1) 10t+ 굴착기/덤프 사양 검수 ➔ 2) 건설기계 정기검사증 점검 ➔ 3) 후방 카메라/경보음 시동 점검 ➔ 4) 장비 반입 승인서 감리 결재</t>
        </is>
      </c>
      <c r="L22" s="24" t="inlineStr">
        <is>
          <t>자중 10t+ 굴착기/덤프 정기검사증, 후방 카메라/경보음 시동 점검 및 반입 허가 결재</t>
        </is>
      </c>
      <c r="M22" s="24" t="inlineStr">
        <is>
          <t>건설기계관리법 제13조 | 자중 10t+ 굴착기, 덤프 정기검사증 검수 | 후방 센서 점검 및 반입 허가</t>
        </is>
      </c>
      <c r="N22" s="25">
        <f>HYPERLINK(LEFT(CELL("filename",A1),FIND("[",CELL("filename",A1))-1)&amp;"2.사전토공사\20_교통관리 및 교통안전시설 설치\표준서\교통관리 및 교통안전시설 설치_표준서.html", "👉 [클릭] 표준서 열기 📄")</f>
        <v/>
      </c>
      <c r="O22" s="24" t="inlineStr">
        <is>
          <t>1) 10t+ 굴착기/덤프 사양 검수 ➔ 2) 건설기계 정기검사증 점검 ➔ 3) 후방 카메라/경보음 시동 점검 ➔ 4) 장비 반입 승인서 감리 결재</t>
        </is>
      </c>
      <c r="P22" s="26">
        <f>HYPERLINK(LEFT(CELL("filename",A1),FIND("[",CELL("filename",A1))-1)&amp;"2.사전토공사\20_교통관리 및 교통안전시설 설치\수행지침\교통관리 및 교통안전시설 설치_수행지침.html", "👉 [클릭] 수행지침 열기 📄")</f>
        <v/>
      </c>
      <c r="Q22" s="24" t="inlineStr">
        <is>
          <t>자중 10t+ 굴착기/덤프 정기검사증, 후방 카메라/경보음 시동 점검 및 반입 허가 결재</t>
        </is>
      </c>
      <c r="R22" s="27">
        <f>HYPERLINK(LEFT(CELL("filename",A1),FIND("[",CELL("filename",A1))-1)&amp;"2.사전토공사\20_교통관리 및 교통안전시설 설치\체크리스트\교통관리 및 교통안전시설 설치_체크리스트.html", "👉 [클릭] 체크리스트 열기 📄")</f>
        <v/>
      </c>
      <c r="S22" s="2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Y22" s="18" t="n"/>
      <c r="DZ22" s="18" t="n"/>
      <c r="EA22" s="18" t="n"/>
      <c r="EB22" s="18" t="n"/>
      <c r="EC22" s="18" t="n"/>
      <c r="ED22" s="18" t="n"/>
      <c r="EE22" s="18" t="n"/>
      <c r="EF22" s="18" t="n"/>
      <c r="EG22" s="18" t="n"/>
      <c r="EH22" s="18" t="n"/>
      <c r="EI22" s="18" t="n"/>
      <c r="EJ22" s="18" t="n"/>
      <c r="EK22" s="18" t="n"/>
      <c r="EL22" s="18" t="n"/>
      <c r="EM22" s="18" t="n"/>
      <c r="EN22" s="18" t="n"/>
      <c r="EO22" s="18" t="n"/>
      <c r="EP22" s="18" t="n"/>
      <c r="EQ22" s="18" t="n"/>
      <c r="ER22" s="18" t="n"/>
      <c r="ES22" s="18" t="n"/>
      <c r="ET22" s="18" t="n"/>
      <c r="EU22" s="18" t="n"/>
      <c r="EV22" s="18" t="n"/>
      <c r="EW22" s="18" t="n"/>
      <c r="EX22" s="18" t="n"/>
      <c r="EY22" s="18" t="n"/>
      <c r="EZ22" s="18" t="n"/>
      <c r="FA22" s="18" t="n"/>
      <c r="FB22" s="18" t="n"/>
      <c r="FC22" s="18" t="n"/>
      <c r="FD22" s="18" t="n"/>
      <c r="FE22" s="18" t="n"/>
      <c r="FF22" s="18" t="n"/>
      <c r="FG22" s="18" t="n"/>
      <c r="FH22" s="18" t="n"/>
      <c r="FI22" s="18" t="n"/>
      <c r="FJ22" s="18" t="n"/>
      <c r="FK22" s="18" t="n"/>
      <c r="FL22" s="18" t="n"/>
      <c r="FM22" s="18" t="n"/>
      <c r="FN22" s="18" t="n"/>
      <c r="FO22" s="18" t="n"/>
      <c r="FP22" s="18" t="n"/>
      <c r="FQ22" s="18" t="n"/>
      <c r="FR22" s="18" t="n"/>
      <c r="FS22" s="18" t="n"/>
      <c r="FT22" s="18" t="n"/>
      <c r="FU22" s="18" t="n"/>
      <c r="FV22" s="18" t="n"/>
      <c r="FW22" s="18" t="n"/>
      <c r="FX22" s="18" t="n"/>
      <c r="FY22" s="18" t="n"/>
      <c r="FZ22" s="18" t="n"/>
      <c r="GA22" s="18" t="n"/>
      <c r="GB22" s="18" t="n"/>
      <c r="GC22" s="18" t="n"/>
      <c r="GD22" s="18" t="n"/>
      <c r="GE22" s="18" t="n"/>
      <c r="GF22" s="18" t="n"/>
      <c r="GG22" s="18" t="n"/>
      <c r="GH22" s="18" t="n"/>
      <c r="GI22" s="18" t="n"/>
      <c r="GJ22" s="18" t="n"/>
      <c r="GK22" s="18" t="n"/>
      <c r="GL22" s="18" t="n"/>
      <c r="GM22" s="18" t="n"/>
      <c r="GN22" s="18" t="n"/>
      <c r="GO22" s="18" t="n"/>
      <c r="GP22" s="18" t="n"/>
      <c r="GQ22" s="18" t="n"/>
      <c r="GR22" s="18" t="n"/>
      <c r="GS22" s="18" t="n"/>
      <c r="GT22" s="18" t="n"/>
      <c r="GU22" s="18" t="n"/>
      <c r="GV22" s="18" t="n"/>
      <c r="GW22" s="18" t="n"/>
      <c r="GX22" s="18" t="n"/>
      <c r="GY22" s="18" t="n"/>
      <c r="GZ22" s="18" t="n"/>
      <c r="HA22" s="18" t="n"/>
      <c r="HB22" s="18" t="n"/>
      <c r="HC22" s="18" t="n"/>
      <c r="HD22" s="18" t="n"/>
      <c r="HE22" s="18" t="n"/>
      <c r="HF22" s="18" t="n"/>
      <c r="HG22" s="18" t="n"/>
      <c r="HH22" s="18" t="n"/>
      <c r="HI22" s="18" t="n"/>
      <c r="HJ22" s="18" t="n"/>
      <c r="HK22" s="18" t="n"/>
      <c r="HL22" s="18" t="n"/>
      <c r="HM22" s="18" t="n"/>
      <c r="HN22" s="18" t="n"/>
      <c r="HO22" s="18" t="n"/>
      <c r="HP22" s="18" t="n"/>
      <c r="HQ22" s="18" t="n"/>
      <c r="HR22" s="18" t="n"/>
      <c r="HS22" s="18" t="n"/>
      <c r="HT22" s="18" t="n"/>
      <c r="HU22" s="18" t="n"/>
      <c r="HV22" s="18" t="n"/>
      <c r="HW22" s="18" t="n"/>
    </row>
    <row r="23" ht="52.05" customHeight="1" s="88">
      <c r="A23" s="29" t="inlineStr">
        <is>
          <t>9000</t>
        </is>
      </c>
      <c r="B23" s="29" t="inlineStr">
        <is>
          <t>9000-2</t>
        </is>
      </c>
      <c r="C23" s="29" t="inlineStr">
        <is>
          <t>사전토공사</t>
        </is>
      </c>
      <c r="D23" s="98" t="inlineStr">
        <is>
          <t>9000-2-22</t>
        </is>
      </c>
      <c r="E23" s="102" t="inlineStr">
        <is>
          <t>9000-2-19, 9000-2-20</t>
        </is>
      </c>
      <c r="F23" s="99" t="inlineStr">
        <is>
          <t>9000-2-23, 9000-2-24</t>
        </is>
      </c>
      <c r="G23" s="32" t="inlineStr">
        <is>
          <t>벌목/벌근제거</t>
        </is>
      </c>
      <c r="H23" s="33" t="inlineStr">
        <is>
          <t>D+10~30</t>
        </is>
      </c>
      <c r="I23" s="33" t="inlineStr">
        <is>
          <t>현장 공사팀</t>
        </is>
      </c>
      <c r="J23" s="34" t="inlineStr">
        <is>
          <t>KCS 47 10 25 산림 벌목 시방 | 수목 벌목 및 뿌리 제거(벌근) 깊이 30cm 이상 | 임목 폐기물 수속 처리</t>
        </is>
      </c>
      <c r="K23" s="34" t="inlineStr">
        <is>
          <t>1) 현장 지반 수목 벌목 시행 ➔ 2) 뿌리 제거(벌근) 깊이 30cm 굴착 ➔ 3) 임목 폐기물 수속 처리 ➔ 4) 벌목 벌근 성과표 감리 승인</t>
        </is>
      </c>
      <c r="L23" s="34" t="inlineStr">
        <is>
          <t>현장 수목 벌목 시행, 뿌리 제거(벌근) 깊이 30cm 이상 굴착 및 임목 폐기물 수속 처리</t>
        </is>
      </c>
      <c r="M23" s="34" t="inlineStr">
        <is>
          <t>KCS 47 10 25 산림 벌목 시방 | 수목 벌목 및 뿌리 제거(벌근) 깊이 30cm 이상 | 임목 폐기물 수속 처리</t>
        </is>
      </c>
      <c r="N23" s="35">
        <f>HYPERLINK(LEFT(CELL("filename",A1),FIND("[",CELL("filename",A1))-1)&amp;"2.사전토공사\21_장비 검수 지원\표준서\장비 검수 지원_표준서.html", "👉 [클릭] 표준서 열기 📄")</f>
        <v/>
      </c>
      <c r="O23" s="34" t="inlineStr">
        <is>
          <t>1) 현장 지반 수목 벌목 시행 ➔ 2) 뿌리 제거(벌근) 깊이 30cm 굴착 ➔ 3) 임목 폐기물 수속 처리 ➔ 4) 벌목 벌근 성과표 감리 승인</t>
        </is>
      </c>
      <c r="P23" s="36">
        <f>HYPERLINK(LEFT(CELL("filename",A1),FIND("[",CELL("filename",A1))-1)&amp;"2.사전토공사\21_장비 검수 지원\수행지침\장비 검수 지원_수행지침.html", "👉 [클릭] 수행지침 열기 📄")</f>
        <v/>
      </c>
      <c r="Q23" s="34" t="inlineStr">
        <is>
          <t>현장 수목 벌목 시행, 뿌리 제거(벌근) 깊이 30cm 이상 굴착 및 임목 폐기물 수속 처리</t>
        </is>
      </c>
      <c r="R23" s="37">
        <f>HYPERLINK(LEFT(CELL("filename",A1),FIND("[",CELL("filename",A1))-1)&amp;"2.사전토공사\21_장비 검수 지원\체크리스트\장비 검수 지원_체크리스트.html", "👉 [클릭] 체크리스트 열기 📄")</f>
        <v/>
      </c>
      <c r="S23" s="33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8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8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8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18" t="n"/>
      <c r="GI23" s="18" t="n"/>
      <c r="GJ23" s="18" t="n"/>
      <c r="GK23" s="18" t="n"/>
      <c r="GL23" s="18" t="n"/>
      <c r="GM23" s="18" t="n"/>
      <c r="GN23" s="18" t="n"/>
      <c r="GO23" s="18" t="n"/>
      <c r="GP23" s="18" t="n"/>
      <c r="GQ23" s="18" t="n"/>
      <c r="GR23" s="18" t="n"/>
      <c r="GS23" s="18" t="n"/>
      <c r="GT23" s="18" t="n"/>
      <c r="GU23" s="18" t="n"/>
      <c r="GV23" s="18" t="n"/>
      <c r="GW23" s="18" t="n"/>
      <c r="GX23" s="18" t="n"/>
      <c r="GY23" s="18" t="n"/>
      <c r="GZ23" s="18" t="n"/>
      <c r="HA23" s="18" t="n"/>
      <c r="HB23" s="18" t="n"/>
      <c r="HC23" s="18" t="n"/>
      <c r="HD23" s="18" t="n"/>
      <c r="HE23" s="18" t="n"/>
      <c r="HF23" s="18" t="n"/>
      <c r="HG23" s="18" t="n"/>
      <c r="HH23" s="18" t="n"/>
      <c r="HI23" s="18" t="n"/>
      <c r="HJ23" s="18" t="n"/>
      <c r="HK23" s="18" t="n"/>
      <c r="HL23" s="18" t="n"/>
      <c r="HM23" s="18" t="n"/>
      <c r="HN23" s="18" t="n"/>
      <c r="HO23" s="18" t="n"/>
      <c r="HP23" s="18" t="n"/>
      <c r="HQ23" s="18" t="n"/>
      <c r="HR23" s="18" t="n"/>
      <c r="HS23" s="18" t="n"/>
      <c r="HT23" s="18" t="n"/>
      <c r="HU23" s="18" t="n"/>
      <c r="HV23" s="18" t="n"/>
      <c r="HW23" s="18" t="n"/>
      <c r="HX23" s="18" t="n"/>
      <c r="HY23" s="18" t="n"/>
      <c r="HZ23" s="18" t="n"/>
      <c r="IA23" s="18" t="n"/>
    </row>
    <row r="24" ht="52.05" customHeight="1" s="88">
      <c r="A24" s="19" t="inlineStr">
        <is>
          <t>9000</t>
        </is>
      </c>
      <c r="B24" s="19" t="inlineStr">
        <is>
          <t>9000-2</t>
        </is>
      </c>
      <c r="C24" s="19" t="inlineStr">
        <is>
          <t>사전토공사</t>
        </is>
      </c>
      <c r="D24" s="94" t="inlineStr">
        <is>
          <t>9000-2-23</t>
        </is>
      </c>
      <c r="E24" s="95" t="inlineStr">
        <is>
          <t>9000-2-21, 9000-2-22</t>
        </is>
      </c>
      <c r="F24" s="96" t="inlineStr">
        <is>
          <t>9000-2-25</t>
        </is>
      </c>
      <c r="G24" s="23" t="inlineStr">
        <is>
          <t>기존구조물 / 지장물 처리</t>
        </is>
      </c>
      <c r="H24" s="21" t="inlineStr">
        <is>
          <t>D+10~25</t>
        </is>
      </c>
      <c r="I24" s="21" t="inlineStr">
        <is>
          <t>현장 공사팀 / 공무팀</t>
        </is>
      </c>
      <c r="J24" s="24" t="inlineStr">
        <is>
          <t>폐기물관리법 준수 | 기존 아스콘/콘크리트 구조물 안전 삭평 철거 | 건설 폐기물 성적표 수속</t>
        </is>
      </c>
      <c r="K24" s="24" t="inlineStr">
        <is>
          <t>1) 기존 아스콘/콘크리트 삭평 철거 ➔ 2) 폐기물 분리 수거 &amp; 적재 ➔ 3) 건설 폐기물 위탁 처리 ➔ 4) 지장물 처리 성과표 감리 승인</t>
        </is>
      </c>
      <c r="L24" s="24" t="inlineStr">
        <is>
          <t>기존 아스콘/콘크리트 삭평 철거, 건설 폐기물 분리 수거 적재 및 폐기물 성적서 수속</t>
        </is>
      </c>
      <c r="M24" s="24" t="inlineStr">
        <is>
          <t>폐기물관리법 준수 | 기존 아스콘/콘크리트 구조물 안전 삭평 철거 | 건설 폐기물 성적표 수속</t>
        </is>
      </c>
      <c r="N24" s="25">
        <f>HYPERLINK(LEFT(CELL("filename",A1),FIND("[",CELL("filename",A1))-1)&amp;"2.사전토공사\22_벌목_벌근제거\표준서\벌목_벌근제거_표준서.html", "👉 [클릭] 표준서 열기 📄")</f>
        <v/>
      </c>
      <c r="O24" s="24" t="inlineStr">
        <is>
          <t>1) 기존 아스콘/콘크리트 삭평 철거 ➔ 2) 폐기물 분리 수거 &amp; 적재 ➔ 3) 건설 폐기물 위탁 처리 ➔ 4) 지장물 처리 성과표 감리 승인</t>
        </is>
      </c>
      <c r="P24" s="26">
        <f>HYPERLINK(LEFT(CELL("filename",A1),FIND("[",CELL("filename",A1))-1)&amp;"2.사전토공사\22_벌목_벌근제거\수행지침\벌목_벌근제거_수행지침.html", "👉 [클릭] 수행지침 열기 📄")</f>
        <v/>
      </c>
      <c r="Q24" s="24" t="inlineStr">
        <is>
          <t>기존 아스콘/콘크리트 삭평 철거, 건설 폐기물 분리 수거 적재 및 폐기물 성적서 수속</t>
        </is>
      </c>
      <c r="R24" s="27">
        <f>HYPERLINK(LEFT(CELL("filename",A1),FIND("[",CELL("filename",A1))-1)&amp;"2.사전토공사\22_벌목_벌근제거\체크리스트\벌목_벌근제거_체크리스트.html", "👉 [클릭] 체크리스트 열기 📄")</f>
        <v/>
      </c>
      <c r="S24" s="2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8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8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8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18" t="n"/>
      <c r="GI24" s="18" t="n"/>
      <c r="GJ24" s="18" t="n"/>
      <c r="GK24" s="18" t="n"/>
      <c r="GL24" s="18" t="n"/>
      <c r="GM24" s="18" t="n"/>
      <c r="GN24" s="18" t="n"/>
      <c r="GO24" s="18" t="n"/>
      <c r="GP24" s="18" t="n"/>
      <c r="GQ24" s="18" t="n"/>
      <c r="GR24" s="18" t="n"/>
      <c r="GS24" s="18" t="n"/>
      <c r="GT24" s="18" t="n"/>
      <c r="GU24" s="18" t="n"/>
      <c r="GV24" s="18" t="n"/>
      <c r="GW24" s="18" t="n"/>
      <c r="GX24" s="18" t="n"/>
      <c r="GY24" s="18" t="n"/>
      <c r="GZ24" s="18" t="n"/>
      <c r="HA24" s="18" t="n"/>
      <c r="HB24" s="18" t="n"/>
      <c r="HC24" s="18" t="n"/>
      <c r="HD24" s="18" t="n"/>
      <c r="HE24" s="18" t="n"/>
      <c r="HF24" s="18" t="n"/>
      <c r="HG24" s="18" t="n"/>
      <c r="HH24" s="18" t="n"/>
      <c r="HI24" s="18" t="n"/>
      <c r="HJ24" s="18" t="n"/>
      <c r="HK24" s="18" t="n"/>
      <c r="HL24" s="18" t="n"/>
      <c r="HM24" s="18" t="n"/>
      <c r="HN24" s="18" t="n"/>
      <c r="HO24" s="18" t="n"/>
      <c r="HP24" s="18" t="n"/>
      <c r="HQ24" s="18" t="n"/>
      <c r="HR24" s="18" t="n"/>
      <c r="HS24" s="18" t="n"/>
      <c r="HT24" s="18" t="n"/>
      <c r="HU24" s="18" t="n"/>
      <c r="HV24" s="18" t="n"/>
      <c r="HW24" s="18" t="n"/>
      <c r="HX24" s="18" t="n"/>
      <c r="HY24" s="18" t="n"/>
      <c r="HZ24" s="18" t="n"/>
      <c r="IA24" s="18" t="n"/>
      <c r="IB24" s="18" t="n"/>
      <c r="IC24" s="18" t="n"/>
      <c r="ID24" s="18" t="n"/>
      <c r="IE24" s="18" t="n"/>
    </row>
    <row r="25" ht="52.05" customHeight="1" s="88">
      <c r="A25" s="29" t="inlineStr">
        <is>
          <t>9000</t>
        </is>
      </c>
      <c r="B25" s="29" t="inlineStr">
        <is>
          <t>9000-2</t>
        </is>
      </c>
      <c r="C25" s="29" t="inlineStr">
        <is>
          <t>사전토공사</t>
        </is>
      </c>
      <c r="D25" s="98" t="inlineStr">
        <is>
          <t>9000-2-24</t>
        </is>
      </c>
      <c r="E25" s="102" t="inlineStr">
        <is>
          <t>9000-2-22</t>
        </is>
      </c>
      <c r="F25" s="99" t="inlineStr">
        <is>
          <t>9000-2-25, 9000-2-26</t>
        </is>
      </c>
      <c r="G25" s="32" t="inlineStr">
        <is>
          <t>진입로 조성</t>
        </is>
      </c>
      <c r="H25" s="33" t="inlineStr">
        <is>
          <t>D+10~30</t>
        </is>
      </c>
      <c r="I25" s="33" t="inlineStr">
        <is>
          <t>현장 공사팀</t>
        </is>
      </c>
      <c r="J25" s="34" t="inlineStr">
        <is>
          <t>KCS 47 10 25 가설 도로 | 덤프트럭 진입 가설 도로 폭 6m 포설 | 쇄석 골재(두께 20cm) 부설 &amp; 살수</t>
        </is>
      </c>
      <c r="K25" s="34" t="inlineStr">
        <is>
          <t>1) 가설 도로 폭 6m 성토 굴착 ➔ 2) 쇄석 골재(두께 20cm) 부설 ➔ 3) 10t 롤러 다짐 &amp; 살수 ➔ 4) 진입로 조성 성과표 감리 승인</t>
        </is>
      </c>
      <c r="L25" s="34" t="inlineStr">
        <is>
          <t>가설 도로 폭 6m 성토 굴착, 쇄석 골재(두께 20cm) 부설, 10t 롤러 다짐 및 살수 점검</t>
        </is>
      </c>
      <c r="M25" s="34" t="inlineStr">
        <is>
          <t>KCS 47 10 25 가설 도로 | 덤프트럭 진입 가설 도로 폭 6m 포설 | 쇄석 골재(두께 20cm) 부설 &amp; 살수</t>
        </is>
      </c>
      <c r="N25" s="35">
        <f>HYPERLINK(LEFT(CELL("filename",A1),FIND("[",CELL("filename",A1))-1)&amp;"2.사전토공사\23_기존구조물 _ 지장물 처리\표준서\기존구조물 _ 지장물 처리_표준서.html", "👉 [클릭] 표준서 열기 📄")</f>
        <v/>
      </c>
      <c r="O25" s="34" t="inlineStr">
        <is>
          <t>1) 가설 도로 폭 6m 성토 굴착 ➔ 2) 쇄석 골재(두께 20cm) 부설 ➔ 3) 10t 롤러 다짐 &amp; 살수 ➔ 4) 진입로 조성 성과표 감리 승인</t>
        </is>
      </c>
      <c r="P25" s="36">
        <f>HYPERLINK(LEFT(CELL("filename",A1),FIND("[",CELL("filename",A1))-1)&amp;"2.사전토공사\23_기존구조물 _ 지장물 처리\수행지침\기존구조물 _ 지장물 처리_수행지침.html", "👉 [클릭] 수행지침 열기 📄")</f>
        <v/>
      </c>
      <c r="Q25" s="34" t="inlineStr">
        <is>
          <t>가설 도로 폭 6m 성토 굴착, 쇄석 골재(두께 20cm) 부설, 10t 롤러 다짐 및 살수 점검</t>
        </is>
      </c>
      <c r="R25" s="37">
        <f>HYPERLINK(LEFT(CELL("filename",A1),FIND("[",CELL("filename",A1))-1)&amp;"2.사전토공사\23_기존구조물 _ 지장물 처리\체크리스트\기존구조물 _ 지장물 처리_체크리스트.html", "👉 [클릭] 체크리스트 열기 📄")</f>
        <v/>
      </c>
      <c r="S25" s="33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8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8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8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18" t="n"/>
      <c r="GI25" s="18" t="n"/>
      <c r="GJ25" s="18" t="n"/>
      <c r="GK25" s="18" t="n"/>
      <c r="GL25" s="18" t="n"/>
      <c r="GM25" s="18" t="n"/>
      <c r="GN25" s="18" t="n"/>
      <c r="GO25" s="18" t="n"/>
      <c r="GP25" s="18" t="n"/>
      <c r="GQ25" s="18" t="n"/>
      <c r="GR25" s="18" t="n"/>
      <c r="GS25" s="18" t="n"/>
      <c r="GT25" s="18" t="n"/>
      <c r="GU25" s="18" t="n"/>
      <c r="GV25" s="18" t="n"/>
      <c r="GW25" s="18" t="n"/>
      <c r="GX25" s="18" t="n"/>
      <c r="GY25" s="18" t="n"/>
      <c r="GZ25" s="18" t="n"/>
      <c r="HA25" s="18" t="n"/>
      <c r="HB25" s="18" t="n"/>
      <c r="HC25" s="18" t="n"/>
      <c r="HD25" s="18" t="n"/>
      <c r="HE25" s="18" t="n"/>
      <c r="HF25" s="18" t="n"/>
      <c r="HG25" s="18" t="n"/>
      <c r="HH25" s="18" t="n"/>
      <c r="HI25" s="18" t="n"/>
      <c r="HJ25" s="18" t="n"/>
      <c r="HK25" s="18" t="n"/>
      <c r="HL25" s="18" t="n"/>
      <c r="HM25" s="18" t="n"/>
      <c r="HN25" s="18" t="n"/>
      <c r="HO25" s="18" t="n"/>
      <c r="HP25" s="18" t="n"/>
      <c r="HQ25" s="18" t="n"/>
      <c r="HR25" s="18" t="n"/>
      <c r="HS25" s="18" t="n"/>
      <c r="HT25" s="18" t="n"/>
      <c r="HU25" s="18" t="n"/>
      <c r="HV25" s="18" t="n"/>
      <c r="HW25" s="18" t="n"/>
      <c r="HX25" s="18" t="n"/>
      <c r="HY25" s="18" t="n"/>
      <c r="HZ25" s="18" t="n"/>
      <c r="IA25" s="18" t="n"/>
      <c r="IB25" s="18" t="n"/>
      <c r="IC25" s="18" t="n"/>
      <c r="ID25" s="18" t="n"/>
      <c r="IE25" s="18" t="n"/>
      <c r="IF25" s="18" t="n"/>
      <c r="IG25" s="18" t="n"/>
      <c r="IH25" s="18" t="n"/>
      <c r="II25" s="18" t="n"/>
    </row>
    <row r="26" ht="52.05" customHeight="1" s="88">
      <c r="A26" s="19" t="inlineStr">
        <is>
          <t>9000</t>
        </is>
      </c>
      <c r="B26" s="19" t="inlineStr">
        <is>
          <t>9000-2</t>
        </is>
      </c>
      <c r="C26" s="19" t="inlineStr">
        <is>
          <t>사전토공사</t>
        </is>
      </c>
      <c r="D26" s="94" t="inlineStr">
        <is>
          <t>9000-2-25</t>
        </is>
      </c>
      <c r="E26" s="95" t="inlineStr">
        <is>
          <t>9000-2-23, 9000-2-24</t>
        </is>
      </c>
      <c r="F26" s="96" t="inlineStr">
        <is>
          <t>9000-2-27</t>
        </is>
      </c>
      <c r="G26" s="23" t="inlineStr">
        <is>
          <t>배수/환경시설 설치</t>
        </is>
      </c>
      <c r="H26" s="21" t="inlineStr">
        <is>
          <t>D+10~30</t>
        </is>
      </c>
      <c r="I26" s="21" t="inlineStr">
        <is>
          <t>현장 공사팀</t>
        </is>
      </c>
      <c r="J26" s="24" t="inlineStr">
        <is>
          <t>KCS 47 10 25 배수 시방 | 가배수로(0.6×0.6m) &amp; 가침사지 설치 | 세륜기(깊이 1.2m) 가동 및 배수 검측</t>
        </is>
      </c>
      <c r="K26" s="24" t="inlineStr">
        <is>
          <t>1) 가배수로(0.6×0.6m) &amp; 가침사지 터파기 ➔ 2) 세륜기(깊이 1.2m) 부설 ➔ 3) 양수 펌프 비치 ➔ 4) 배수 환경 시설 감리 서면 승인</t>
        </is>
      </c>
      <c r="L26" s="24" t="inlineStr">
        <is>
          <t>가배수로(0.6×0.6m) &amp; 가침사지 설치, 세륜기(깊이 1.2m) 가동 및 수중 양수 펌프 비치</t>
        </is>
      </c>
      <c r="M26" s="24" t="inlineStr">
        <is>
          <t>KCS 47 10 25 배수 시방 | 가배수로(0.6×0.6m) &amp; 가침사지 설치 | 세륜기(깊이 1.2m) 가동 및 배수 검측</t>
        </is>
      </c>
      <c r="N26" s="25">
        <f>HYPERLINK(LEFT(CELL("filename",A1),FIND("[",CELL("filename",A1))-1)&amp;"2.사전토공사\23_기존구조물_지장물 처리\표준서\기존구조물 _ 지장물 처리_표준서.html", "👉 [클릭] 표준서 열기 📄")</f>
        <v/>
      </c>
      <c r="O26" s="24" t="inlineStr">
        <is>
          <t>1) 가배수로(0.6×0.6m) &amp; 가침사지 터파기 ➔ 2) 세륜기(깊이 1.2m) 부설 ➔ 3) 양수 펌프 비치 ➔ 4) 배수 환경 시설 감리 서면 승인</t>
        </is>
      </c>
      <c r="P26" s="26">
        <f>HYPERLINK(LEFT(CELL("filename",A1),FIND("[",CELL("filename",A1))-1)&amp;"2.사전토공사\23_기존구조물_지장물 처리\수행지침\기존구조물 _ 지장물 처리_수행지침.html", "👉 [클릭] 수행지침 열기 📄")</f>
        <v/>
      </c>
      <c r="Q26" s="24" t="inlineStr">
        <is>
          <t>가배수로(0.6×0.6m) &amp; 가침사지 설치, 세륜기(깊이 1.2m) 가동 및 수중 양수 펌프 비치</t>
        </is>
      </c>
      <c r="R26" s="27">
        <f>HYPERLINK(LEFT(CELL("filename",A1),FIND("[",CELL("filename",A1))-1)&amp;"2.사전토공사\23_기존구조물_지장물 처리\체크리스트\기존구조물 _ 지장물 처리_체크리스트.html", "👉 [클릭] 체크리스트 열기 📄")</f>
        <v/>
      </c>
      <c r="S26" s="2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8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8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8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18" t="n"/>
      <c r="GI26" s="18" t="n"/>
      <c r="GJ26" s="18" t="n"/>
      <c r="GK26" s="18" t="n"/>
      <c r="GL26" s="18" t="n"/>
      <c r="GM26" s="18" t="n"/>
      <c r="GN26" s="18" t="n"/>
      <c r="GO26" s="18" t="n"/>
      <c r="GP26" s="18" t="n"/>
      <c r="GQ26" s="18" t="n"/>
      <c r="GR26" s="18" t="n"/>
      <c r="GS26" s="18" t="n"/>
      <c r="GT26" s="18" t="n"/>
      <c r="GU26" s="18" t="n"/>
      <c r="GV26" s="18" t="n"/>
      <c r="GW26" s="18" t="n"/>
      <c r="GX26" s="18" t="n"/>
      <c r="GY26" s="18" t="n"/>
      <c r="GZ26" s="18" t="n"/>
      <c r="HA26" s="18" t="n"/>
      <c r="HB26" s="18" t="n"/>
      <c r="HC26" s="18" t="n"/>
      <c r="HD26" s="18" t="n"/>
      <c r="HE26" s="18" t="n"/>
      <c r="HF26" s="18" t="n"/>
      <c r="HG26" s="18" t="n"/>
      <c r="HH26" s="18" t="n"/>
      <c r="HI26" s="18" t="n"/>
      <c r="HJ26" s="18" t="n"/>
      <c r="HK26" s="18" t="n"/>
      <c r="HL26" s="18" t="n"/>
      <c r="HM26" s="18" t="n"/>
      <c r="HN26" s="18" t="n"/>
      <c r="HO26" s="18" t="n"/>
      <c r="HP26" s="18" t="n"/>
      <c r="HQ26" s="18" t="n"/>
      <c r="HR26" s="18" t="n"/>
      <c r="HS26" s="18" t="n"/>
      <c r="HT26" s="18" t="n"/>
      <c r="HU26" s="18" t="n"/>
      <c r="HV26" s="18" t="n"/>
      <c r="HW26" s="18" t="n"/>
      <c r="HX26" s="18" t="n"/>
      <c r="HY26" s="18" t="n"/>
      <c r="HZ26" s="18" t="n"/>
      <c r="IA26" s="18" t="n"/>
      <c r="IB26" s="18" t="n"/>
      <c r="IC26" s="18" t="n"/>
      <c r="ID26" s="18" t="n"/>
      <c r="IE26" s="18" t="n"/>
      <c r="IF26" s="18" t="n"/>
      <c r="IG26" s="18" t="n"/>
      <c r="IH26" s="18" t="n"/>
      <c r="II26" s="18" t="n"/>
      <c r="IJ26" s="18" t="n"/>
      <c r="IK26" s="18" t="n"/>
      <c r="IL26" s="18" t="n"/>
      <c r="IM26" s="18" t="n"/>
    </row>
    <row r="27" ht="52.05" customHeight="1" s="88">
      <c r="A27" s="29" t="inlineStr">
        <is>
          <t>9000</t>
        </is>
      </c>
      <c r="B27" s="29" t="inlineStr">
        <is>
          <t>9000-2</t>
        </is>
      </c>
      <c r="C27" s="29" t="inlineStr">
        <is>
          <t>사전토공사</t>
        </is>
      </c>
      <c r="D27" s="98" t="inlineStr">
        <is>
          <t>9000-2-26</t>
        </is>
      </c>
      <c r="E27" s="102" t="inlineStr">
        <is>
          <t>9000-2-24</t>
        </is>
      </c>
      <c r="F27" s="99" t="inlineStr">
        <is>
          <t>9000-2-27, 9000-2-28</t>
        </is>
      </c>
      <c r="G27" s="32" t="inlineStr">
        <is>
          <t>토공 굴착</t>
        </is>
      </c>
      <c r="H27" s="33" t="inlineStr">
        <is>
          <t>D+10~30</t>
        </is>
      </c>
      <c r="I27" s="33" t="inlineStr">
        <is>
          <t>현장 공사팀</t>
        </is>
      </c>
      <c r="J27" s="34" t="inlineStr">
        <is>
          <t>KCS 47 10 25 굴착 규정 | 3D GPS 굴착기 표고 오차 ±20mm 통제 | 사면 비탈면 경사(1:1.5) 준수</t>
        </is>
      </c>
      <c r="K27" s="34" t="inlineStr">
        <is>
          <t>1) 3D GPS 굴착기 정밀 세팅 ➔ 2) 토사 깎기 &amp; 사면 비탈면(1:1.5) 굴착 ➔ 3) 표고 오차(±20mm) 검측 ➔ 4) 토공 굴착 성과표 감리 승인</t>
        </is>
      </c>
      <c r="L27" s="34" t="inlineStr">
        <is>
          <t>3D GPS 굴착기 표고 오차 ±20mm 통제, 사면 비탈면 경사(1:1.5 이하) 준수 및 굴착 검측</t>
        </is>
      </c>
      <c r="M27" s="34" t="inlineStr">
        <is>
          <t>KCS 47 10 25 굴착 규정 | 3D GPS 굴착기 표고 오차 ±20mm 통제 | 사면 비탈면 경사(1:1.5) 준수</t>
        </is>
      </c>
      <c r="N27" s="35">
        <f>HYPERLINK(LEFT(CELL("filename",A1),FIND("[",CELL("filename",A1))-1)&amp;"2.사전토공사\24_진입로 조성\표준서\진입로 조성_표준서.html", "👉 [클릭] 표준서 열기 📄")</f>
        <v/>
      </c>
      <c r="O27" s="34" t="inlineStr">
        <is>
          <t>1) 3D GPS 굴착기 정밀 세팅 ➔ 2) 토사 깎기 &amp; 사면 비탈면(1:1.5) 굴착 ➔ 3) 표고 오차(±20mm) 검측 ➔ 4) 토공 굴착 성과표 감리 승인</t>
        </is>
      </c>
      <c r="P27" s="36">
        <f>HYPERLINK(LEFT(CELL("filename",A1),FIND("[",CELL("filename",A1))-1)&amp;"2.사전토공사\24_진입로 조성\수행지침\진입로 조성_수행지침.html", "👉 [클릭] 수행지침 열기 📄")</f>
        <v/>
      </c>
      <c r="Q27" s="34" t="inlineStr">
        <is>
          <t>3D GPS 굴착기 표고 오차 ±20mm 통제, 사면 비탈면 경사(1:1.5 이하) 준수 및 굴착 검측</t>
        </is>
      </c>
      <c r="R27" s="37">
        <f>HYPERLINK(LEFT(CELL("filename",A1),FIND("[",CELL("filename",A1))-1)&amp;"2.사전토공사\24_진입로 조성\체크리스트\진입로 조성_체크리스트.html", "👉 [클릭] 체크리스트 열기 📄")</f>
        <v/>
      </c>
      <c r="S27" s="33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Y27" s="18" t="n"/>
      <c r="DZ27" s="18" t="n"/>
      <c r="EA27" s="18" t="n"/>
      <c r="EB27" s="18" t="n"/>
      <c r="EC27" s="18" t="n"/>
      <c r="ED27" s="18" t="n"/>
      <c r="EE27" s="18" t="n"/>
      <c r="EF27" s="18" t="n"/>
      <c r="EG27" s="18" t="n"/>
      <c r="EH27" s="18" t="n"/>
      <c r="EI27" s="18" t="n"/>
      <c r="EJ27" s="18" t="n"/>
      <c r="EK27" s="18" t="n"/>
      <c r="EL27" s="18" t="n"/>
      <c r="EM27" s="18" t="n"/>
      <c r="EN27" s="18" t="n"/>
      <c r="EO27" s="18" t="n"/>
      <c r="EP27" s="18" t="n"/>
      <c r="EQ27" s="18" t="n"/>
      <c r="ER27" s="18" t="n"/>
      <c r="ES27" s="18" t="n"/>
      <c r="ET27" s="18" t="n"/>
      <c r="EU27" s="18" t="n"/>
      <c r="EV27" s="18" t="n"/>
      <c r="EW27" s="18" t="n"/>
      <c r="EX27" s="18" t="n"/>
      <c r="EY27" s="18" t="n"/>
      <c r="EZ27" s="18" t="n"/>
      <c r="FA27" s="18" t="n"/>
      <c r="FB27" s="18" t="n"/>
      <c r="FC27" s="18" t="n"/>
      <c r="FD27" s="18" t="n"/>
      <c r="FE27" s="18" t="n"/>
      <c r="FF27" s="18" t="n"/>
      <c r="FG27" s="18" t="n"/>
      <c r="FH27" s="18" t="n"/>
      <c r="FI27" s="18" t="n"/>
      <c r="FJ27" s="18" t="n"/>
      <c r="FK27" s="18" t="n"/>
      <c r="FL27" s="18" t="n"/>
      <c r="FM27" s="18" t="n"/>
      <c r="FN27" s="18" t="n"/>
      <c r="FO27" s="18" t="n"/>
      <c r="FP27" s="18" t="n"/>
      <c r="FQ27" s="18" t="n"/>
      <c r="FR27" s="18" t="n"/>
      <c r="FS27" s="18" t="n"/>
      <c r="FT27" s="18" t="n"/>
      <c r="FU27" s="18" t="n"/>
      <c r="FV27" s="18" t="n"/>
      <c r="FW27" s="18" t="n"/>
      <c r="FX27" s="18" t="n"/>
      <c r="FY27" s="18" t="n"/>
      <c r="FZ27" s="18" t="n"/>
      <c r="GA27" s="18" t="n"/>
      <c r="GB27" s="18" t="n"/>
      <c r="GC27" s="18" t="n"/>
      <c r="GD27" s="18" t="n"/>
      <c r="GE27" s="18" t="n"/>
      <c r="GF27" s="18" t="n"/>
      <c r="GG27" s="18" t="n"/>
      <c r="GH27" s="18" t="n"/>
      <c r="GI27" s="18" t="n"/>
      <c r="GJ27" s="18" t="n"/>
      <c r="GK27" s="18" t="n"/>
      <c r="GL27" s="18" t="n"/>
      <c r="GM27" s="18" t="n"/>
      <c r="GN27" s="18" t="n"/>
      <c r="GO27" s="18" t="n"/>
      <c r="GP27" s="18" t="n"/>
      <c r="GQ27" s="18" t="n"/>
      <c r="GR27" s="18" t="n"/>
      <c r="GS27" s="18" t="n"/>
      <c r="GT27" s="18" t="n"/>
      <c r="GU27" s="18" t="n"/>
      <c r="GV27" s="18" t="n"/>
      <c r="GW27" s="18" t="n"/>
      <c r="GX27" s="18" t="n"/>
      <c r="GY27" s="18" t="n"/>
      <c r="GZ27" s="18" t="n"/>
      <c r="HA27" s="18" t="n"/>
      <c r="HB27" s="18" t="n"/>
      <c r="HC27" s="18" t="n"/>
      <c r="HD27" s="18" t="n"/>
      <c r="HE27" s="18" t="n"/>
      <c r="HF27" s="18" t="n"/>
      <c r="HG27" s="18" t="n"/>
      <c r="HH27" s="18" t="n"/>
      <c r="HI27" s="18" t="n"/>
      <c r="HJ27" s="18" t="n"/>
      <c r="HK27" s="18" t="n"/>
      <c r="HL27" s="18" t="n"/>
      <c r="HM27" s="18" t="n"/>
      <c r="HN27" s="18" t="n"/>
      <c r="HO27" s="18" t="n"/>
      <c r="HP27" s="18" t="n"/>
      <c r="HQ27" s="18" t="n"/>
      <c r="HR27" s="18" t="n"/>
      <c r="HS27" s="18" t="n"/>
      <c r="HT27" s="18" t="n"/>
      <c r="HU27" s="18" t="n"/>
      <c r="HV27" s="18" t="n"/>
      <c r="HW27" s="18" t="n"/>
      <c r="HX27" s="18" t="n"/>
      <c r="HY27" s="18" t="n"/>
      <c r="HZ27" s="18" t="n"/>
      <c r="IA27" s="18" t="n"/>
      <c r="IB27" s="18" t="n"/>
      <c r="IC27" s="18" t="n"/>
      <c r="ID27" s="18" t="n"/>
      <c r="IE27" s="18" t="n"/>
      <c r="IF27" s="18" t="n"/>
      <c r="IG27" s="18" t="n"/>
      <c r="IH27" s="18" t="n"/>
      <c r="II27" s="18" t="n"/>
      <c r="IJ27" s="18" t="n"/>
      <c r="IK27" s="18" t="n"/>
      <c r="IL27" s="18" t="n"/>
      <c r="IM27" s="18" t="n"/>
      <c r="IN27" s="18" t="n"/>
      <c r="IO27" s="18" t="n"/>
      <c r="IP27" s="18" t="n"/>
      <c r="IQ27" s="18" t="n"/>
    </row>
    <row r="28" ht="52.05" customHeight="1" s="88">
      <c r="A28" s="19" t="inlineStr">
        <is>
          <t>9000</t>
        </is>
      </c>
      <c r="B28" s="19" t="inlineStr">
        <is>
          <t>9000-2</t>
        </is>
      </c>
      <c r="C28" s="19" t="inlineStr">
        <is>
          <t>사전토공사</t>
        </is>
      </c>
      <c r="D28" s="94" t="inlineStr">
        <is>
          <t>9000-2-27</t>
        </is>
      </c>
      <c r="E28" s="95" t="inlineStr">
        <is>
          <t>9000-2-25, 9000-2-26</t>
        </is>
      </c>
      <c r="F28" s="96" t="inlineStr">
        <is>
          <t>9000-2-29</t>
        </is>
      </c>
      <c r="G28" s="23" t="inlineStr">
        <is>
          <t>노상토 지지력 확인</t>
        </is>
      </c>
      <c r="H28" s="21" t="inlineStr">
        <is>
          <t>D+10~30</t>
        </is>
      </c>
      <c r="I28" s="21" t="inlineStr">
        <is>
          <t>현장 품질팀</t>
        </is>
      </c>
      <c r="J28" s="24" t="inlineStr">
        <is>
          <t>KS F 2310 규정 준수 | 굴착 바닥 원지반 평판재하시험 K30 ≥ 70 MN/m³ | 덤프트럭 펌핑 연약 지반 점검</t>
        </is>
      </c>
      <c r="K28" s="24" t="inlineStr">
        <is>
          <t>1) 굴착 바닥 원지반 수평 정리 ➔ 2) K30 평판재하시험(≥70 MN/m³) ➔ 3) 덤프트럭 펌핑 연약 지반 점검 ➔ 4) 노상토 지지력 성과표 승인</t>
        </is>
      </c>
      <c r="L28" s="24" t="inlineStr">
        <is>
          <t>굴착 바닥 평판재하시험 K30 ≥ 70 MN/m³, 덤프트럭 펌핑 연약 지반 점검 및 노상토 승인</t>
        </is>
      </c>
      <c r="M28" s="24" t="inlineStr">
        <is>
          <t>KS F 2310 규정 준수 | 굴착 바닥 원지반 평판재하시험 K30 ≥ 70 MN/m³ | 덤프트럭 펌핑 연약 지반 점검</t>
        </is>
      </c>
      <c r="N28" s="25">
        <f>HYPERLINK(LEFT(CELL("filename",A1),FIND("[",CELL("filename",A1))-1)&amp;"2.사전토공사\25_배수_환경시설 설치\표준서\배수_환경시설 설치_표준서.html", "👉 [클릭] 표준서 열기 📄")</f>
        <v/>
      </c>
      <c r="O28" s="24" t="inlineStr">
        <is>
          <t>1) 굴착 바닥 원지반 수평 정리 ➔ 2) K30 평판재하시험(≥70 MN/m³) ➔ 3) 덤프트럭 펌핑 연약 지반 점검 ➔ 4) 노상토 지지력 성과표 승인</t>
        </is>
      </c>
      <c r="P28" s="26">
        <f>HYPERLINK(LEFT(CELL("filename",A1),FIND("[",CELL("filename",A1))-1)&amp;"2.사전토공사\25_배수_환경시설 설치\수행지침\배수_환경시설 설치_수행지침.html", "👉 [클릭] 수행지침 열기 📄")</f>
        <v/>
      </c>
      <c r="Q28" s="24" t="inlineStr">
        <is>
          <t>굴착 바닥 평판재하시험 K30 ≥ 70 MN/m³, 덤프트럭 펌핑 연약 지반 점검 및 노상토 승인</t>
        </is>
      </c>
      <c r="R28" s="27">
        <f>HYPERLINK(LEFT(CELL("filename",A1),FIND("[",CELL("filename",A1))-1)&amp;"2.사전토공사\25_배수_환경시설 설치\체크리스트\배수_환경시설 설치_체크리스트.html", "👉 [클릭] 체크리스트 열기 📄")</f>
        <v/>
      </c>
      <c r="S28" s="2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Y28" s="18" t="n"/>
      <c r="DZ28" s="18" t="n"/>
      <c r="EA28" s="18" t="n"/>
      <c r="EB28" s="18" t="n"/>
      <c r="EC28" s="18" t="n"/>
      <c r="ED28" s="18" t="n"/>
      <c r="EE28" s="18" t="n"/>
      <c r="EF28" s="18" t="n"/>
      <c r="EG28" s="18" t="n"/>
      <c r="EH28" s="18" t="n"/>
      <c r="EI28" s="18" t="n"/>
      <c r="EJ28" s="18" t="n"/>
      <c r="EK28" s="18" t="n"/>
      <c r="EL28" s="18" t="n"/>
      <c r="EM28" s="18" t="n"/>
      <c r="EN28" s="18" t="n"/>
      <c r="EO28" s="18" t="n"/>
      <c r="EP28" s="18" t="n"/>
      <c r="EQ28" s="18" t="n"/>
      <c r="ER28" s="18" t="n"/>
      <c r="ES28" s="18" t="n"/>
      <c r="ET28" s="18" t="n"/>
      <c r="EU28" s="18" t="n"/>
      <c r="EV28" s="18" t="n"/>
      <c r="EW28" s="18" t="n"/>
      <c r="EX28" s="18" t="n"/>
      <c r="EY28" s="18" t="n"/>
      <c r="EZ28" s="18" t="n"/>
      <c r="FA28" s="18" t="n"/>
      <c r="FB28" s="18" t="n"/>
      <c r="FC28" s="18" t="n"/>
      <c r="FD28" s="18" t="n"/>
      <c r="FE28" s="18" t="n"/>
      <c r="FF28" s="18" t="n"/>
      <c r="FG28" s="18" t="n"/>
      <c r="FH28" s="18" t="n"/>
      <c r="FI28" s="18" t="n"/>
      <c r="FJ28" s="18" t="n"/>
      <c r="FK28" s="18" t="n"/>
      <c r="FL28" s="18" t="n"/>
      <c r="FM28" s="18" t="n"/>
      <c r="FN28" s="18" t="n"/>
      <c r="FO28" s="18" t="n"/>
      <c r="FP28" s="18" t="n"/>
      <c r="FQ28" s="18" t="n"/>
      <c r="FR28" s="18" t="n"/>
      <c r="FS28" s="18" t="n"/>
      <c r="FT28" s="18" t="n"/>
      <c r="FU28" s="18" t="n"/>
      <c r="FV28" s="18" t="n"/>
      <c r="FW28" s="18" t="n"/>
      <c r="FX28" s="18" t="n"/>
      <c r="FY28" s="18" t="n"/>
      <c r="FZ28" s="18" t="n"/>
      <c r="GA28" s="18" t="n"/>
      <c r="GB28" s="18" t="n"/>
      <c r="GC28" s="18" t="n"/>
      <c r="GD28" s="18" t="n"/>
      <c r="GE28" s="18" t="n"/>
      <c r="GF28" s="18" t="n"/>
      <c r="GG28" s="18" t="n"/>
      <c r="GH28" s="18" t="n"/>
      <c r="GI28" s="18" t="n"/>
      <c r="GJ28" s="18" t="n"/>
      <c r="GK28" s="18" t="n"/>
      <c r="GL28" s="18" t="n"/>
      <c r="GM28" s="18" t="n"/>
      <c r="GN28" s="18" t="n"/>
      <c r="GO28" s="18" t="n"/>
      <c r="GP28" s="18" t="n"/>
      <c r="GQ28" s="18" t="n"/>
      <c r="GR28" s="18" t="n"/>
      <c r="GS28" s="18" t="n"/>
      <c r="GT28" s="18" t="n"/>
      <c r="GU28" s="18" t="n"/>
      <c r="GV28" s="18" t="n"/>
      <c r="GW28" s="18" t="n"/>
      <c r="GX28" s="18" t="n"/>
      <c r="GY28" s="18" t="n"/>
      <c r="GZ28" s="18" t="n"/>
      <c r="HA28" s="18" t="n"/>
      <c r="HB28" s="18" t="n"/>
      <c r="HC28" s="18" t="n"/>
      <c r="HD28" s="18" t="n"/>
      <c r="HE28" s="18" t="n"/>
      <c r="HF28" s="18" t="n"/>
      <c r="HG28" s="18" t="n"/>
      <c r="HH28" s="18" t="n"/>
      <c r="HI28" s="18" t="n"/>
      <c r="HJ28" s="18" t="n"/>
      <c r="HK28" s="18" t="n"/>
      <c r="HL28" s="18" t="n"/>
      <c r="HM28" s="18" t="n"/>
      <c r="HN28" s="18" t="n"/>
      <c r="HO28" s="18" t="n"/>
      <c r="HP28" s="18" t="n"/>
      <c r="HQ28" s="18" t="n"/>
      <c r="HR28" s="18" t="n"/>
      <c r="HS28" s="18" t="n"/>
      <c r="HT28" s="18" t="n"/>
      <c r="HU28" s="18" t="n"/>
      <c r="HV28" s="18" t="n"/>
      <c r="HW28" s="18" t="n"/>
      <c r="HX28" s="18" t="n"/>
      <c r="HY28" s="18" t="n"/>
      <c r="HZ28" s="18" t="n"/>
      <c r="IA28" s="18" t="n"/>
      <c r="IB28" s="18" t="n"/>
      <c r="IC28" s="18" t="n"/>
      <c r="ID28" s="18" t="n"/>
      <c r="IE28" s="18" t="n"/>
      <c r="IF28" s="18" t="n"/>
      <c r="IG28" s="18" t="n"/>
      <c r="IH28" s="18" t="n"/>
      <c r="II28" s="18" t="n"/>
      <c r="IJ28" s="18" t="n"/>
      <c r="IK28" s="18" t="n"/>
      <c r="IL28" s="18" t="n"/>
      <c r="IM28" s="18" t="n"/>
      <c r="IN28" s="18" t="n"/>
      <c r="IO28" s="18" t="n"/>
      <c r="IP28" s="18" t="n"/>
      <c r="IQ28" s="18" t="n"/>
      <c r="IR28" s="18" t="n"/>
      <c r="IS28" s="18" t="n"/>
      <c r="IT28" s="18" t="n"/>
      <c r="IU28" s="18" t="n"/>
    </row>
    <row r="29" ht="52.05" customHeight="1" s="88">
      <c r="A29" s="29" t="inlineStr">
        <is>
          <t>9000</t>
        </is>
      </c>
      <c r="B29" s="29" t="inlineStr">
        <is>
          <t>9000-2</t>
        </is>
      </c>
      <c r="C29" s="29" t="inlineStr">
        <is>
          <t>사전토공사</t>
        </is>
      </c>
      <c r="D29" s="98" t="inlineStr">
        <is>
          <t>9000-2-28</t>
        </is>
      </c>
      <c r="E29" s="102" t="inlineStr">
        <is>
          <t>9000-2-26</t>
        </is>
      </c>
      <c r="F29" s="99" t="inlineStr">
        <is>
          <t>9000-2-29</t>
        </is>
      </c>
      <c r="G29" s="32" t="inlineStr">
        <is>
          <t>쌓기 및 다짐(필요시)</t>
        </is>
      </c>
      <c r="H29" s="33" t="inlineStr">
        <is>
          <t>D+10~30</t>
        </is>
      </c>
      <c r="I29" s="33" t="inlineStr">
        <is>
          <t>현장 공사팀</t>
        </is>
      </c>
      <c r="J29" s="34" t="inlineStr">
        <is>
          <t>KCS 47 10 25 성토 시방 | 층두께 ≤ 30cm 토사 포설 | 10t 강동 롤러 다짐(들밀도 다짐도 ≥ 90%)</t>
        </is>
      </c>
      <c r="K29" s="34" t="inlineStr">
        <is>
          <t>1) 성토 토사 30cm 층포설 ➔ 2) 살수차 최적함수비 살수 ➔ 3) 10t 강동 롤러 다짐(다짐도≥90%) ➔ 4) 성토 다짐 성과표 감리 승인</t>
        </is>
      </c>
      <c r="L29" s="34" t="inlineStr">
        <is>
          <t>성토 토사 30cm 층포설, 살수차 최적함수비 OMC 살수 및 10t 롤러 다짐(다짐도 ≥ 90%)</t>
        </is>
      </c>
      <c r="M29" s="34" t="inlineStr">
        <is>
          <t>KCS 47 10 25 성토 시방 | 층두께 ≤ 30cm 토사 포설 | 10t 강동 롤러 다짐(들밀도 다짐도 ≥ 90%)</t>
        </is>
      </c>
      <c r="N29" s="35">
        <f>HYPERLINK(LEFT(CELL("filename",A1),FIND("[",CELL("filename",A1))-1)&amp;"2.사전토공사\26_토공 굴착\표준서\토공 굴착_표준서.html", "👉 [클릭] 표준서 열기 📄")</f>
        <v/>
      </c>
      <c r="O29" s="34" t="inlineStr">
        <is>
          <t>1) 성토 토사 30cm 층포설 ➔ 2) 살수차 최적함수비 살수 ➔ 3) 10t 강동 롤러 다짐(다짐도≥90%) ➔ 4) 성토 다짐 성과표 감리 승인</t>
        </is>
      </c>
      <c r="P29" s="36">
        <f>HYPERLINK(LEFT(CELL("filename",A1),FIND("[",CELL("filename",A1))-1)&amp;"2.사전토공사\26_토공 굴착\수행지침\토공 굴착_수행지침.html", "👉 [클릭] 수행지침 열기 📄")</f>
        <v/>
      </c>
      <c r="Q29" s="34" t="inlineStr">
        <is>
          <t>성토 토사 30cm 층포설, 살수차 최적함수비 OMC 살수 및 10t 롤러 다짐(다짐도 ≥ 90%)</t>
        </is>
      </c>
      <c r="R29" s="37">
        <f>HYPERLINK(LEFT(CELL("filename",A1),FIND("[",CELL("filename",A1))-1)&amp;"2.사전토공사\26_토공 굴착\체크리스트\토공 굴착_체크리스트.html", "👉 [클릭] 체크리스트 열기 📄")</f>
        <v/>
      </c>
      <c r="S29" s="33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Y29" s="18" t="n"/>
      <c r="DZ29" s="18" t="n"/>
      <c r="EA29" s="18" t="n"/>
      <c r="EB29" s="18" t="n"/>
      <c r="EC29" s="18" t="n"/>
      <c r="ED29" s="18" t="n"/>
      <c r="EE29" s="18" t="n"/>
      <c r="EF29" s="18" t="n"/>
      <c r="EG29" s="18" t="n"/>
      <c r="EH29" s="18" t="n"/>
      <c r="EI29" s="18" t="n"/>
      <c r="EJ29" s="18" t="n"/>
      <c r="EK29" s="18" t="n"/>
      <c r="EL29" s="18" t="n"/>
      <c r="EM29" s="18" t="n"/>
      <c r="EN29" s="18" t="n"/>
      <c r="EO29" s="18" t="n"/>
      <c r="EP29" s="18" t="n"/>
      <c r="EQ29" s="18" t="n"/>
      <c r="ER29" s="18" t="n"/>
      <c r="ES29" s="18" t="n"/>
      <c r="ET29" s="18" t="n"/>
      <c r="EU29" s="18" t="n"/>
      <c r="EV29" s="18" t="n"/>
      <c r="EW29" s="18" t="n"/>
      <c r="EX29" s="18" t="n"/>
      <c r="EY29" s="18" t="n"/>
      <c r="EZ29" s="18" t="n"/>
      <c r="FA29" s="18" t="n"/>
      <c r="FB29" s="18" t="n"/>
      <c r="FC29" s="18" t="n"/>
      <c r="FD29" s="18" t="n"/>
      <c r="FE29" s="18" t="n"/>
      <c r="FF29" s="18" t="n"/>
      <c r="FG29" s="18" t="n"/>
      <c r="FH29" s="18" t="n"/>
      <c r="FI29" s="18" t="n"/>
      <c r="FJ29" s="18" t="n"/>
      <c r="FK29" s="18" t="n"/>
      <c r="FL29" s="18" t="n"/>
      <c r="FM29" s="18" t="n"/>
      <c r="FN29" s="18" t="n"/>
      <c r="FO29" s="18" t="n"/>
      <c r="FP29" s="18" t="n"/>
      <c r="FQ29" s="18" t="n"/>
      <c r="FR29" s="18" t="n"/>
      <c r="FS29" s="18" t="n"/>
      <c r="FT29" s="18" t="n"/>
      <c r="FU29" s="18" t="n"/>
      <c r="FV29" s="18" t="n"/>
      <c r="FW29" s="18" t="n"/>
      <c r="FX29" s="18" t="n"/>
      <c r="FY29" s="18" t="n"/>
      <c r="FZ29" s="18" t="n"/>
      <c r="GA29" s="18" t="n"/>
      <c r="GB29" s="18" t="n"/>
      <c r="GC29" s="18" t="n"/>
      <c r="GD29" s="18" t="n"/>
      <c r="GE29" s="18" t="n"/>
      <c r="GF29" s="18" t="n"/>
      <c r="GG29" s="18" t="n"/>
      <c r="GH29" s="18" t="n"/>
      <c r="GI29" s="18" t="n"/>
      <c r="GJ29" s="18" t="n"/>
      <c r="GK29" s="18" t="n"/>
      <c r="GL29" s="18" t="n"/>
      <c r="GM29" s="18" t="n"/>
      <c r="GN29" s="18" t="n"/>
      <c r="GO29" s="18" t="n"/>
      <c r="GP29" s="18" t="n"/>
      <c r="GQ29" s="18" t="n"/>
      <c r="GR29" s="18" t="n"/>
      <c r="GS29" s="18" t="n"/>
      <c r="GT29" s="18" t="n"/>
      <c r="GU29" s="18" t="n"/>
      <c r="GV29" s="18" t="n"/>
      <c r="GW29" s="18" t="n"/>
      <c r="GX29" s="18" t="n"/>
      <c r="GY29" s="18" t="n"/>
      <c r="GZ29" s="18" t="n"/>
      <c r="HA29" s="18" t="n"/>
      <c r="HB29" s="18" t="n"/>
      <c r="HC29" s="18" t="n"/>
      <c r="HD29" s="18" t="n"/>
      <c r="HE29" s="18" t="n"/>
      <c r="HF29" s="18" t="n"/>
      <c r="HG29" s="18" t="n"/>
      <c r="HH29" s="18" t="n"/>
      <c r="HI29" s="18" t="n"/>
      <c r="HJ29" s="18" t="n"/>
      <c r="HK29" s="18" t="n"/>
      <c r="HL29" s="18" t="n"/>
      <c r="HM29" s="18" t="n"/>
      <c r="HN29" s="18" t="n"/>
      <c r="HO29" s="18" t="n"/>
      <c r="HP29" s="18" t="n"/>
      <c r="HQ29" s="18" t="n"/>
      <c r="HR29" s="18" t="n"/>
      <c r="HS29" s="18" t="n"/>
      <c r="HT29" s="18" t="n"/>
      <c r="HU29" s="18" t="n"/>
      <c r="HV29" s="18" t="n"/>
      <c r="HW29" s="18" t="n"/>
      <c r="HX29" s="18" t="n"/>
      <c r="HY29" s="18" t="n"/>
      <c r="HZ29" s="18" t="n"/>
      <c r="IA29" s="18" t="n"/>
      <c r="IB29" s="18" t="n"/>
      <c r="IC29" s="18" t="n"/>
      <c r="ID29" s="18" t="n"/>
      <c r="IE29" s="18" t="n"/>
      <c r="IF29" s="18" t="n"/>
      <c r="IG29" s="18" t="n"/>
      <c r="IH29" s="18" t="n"/>
      <c r="II29" s="18" t="n"/>
      <c r="IJ29" s="18" t="n"/>
      <c r="IK29" s="18" t="n"/>
      <c r="IL29" s="18" t="n"/>
      <c r="IM29" s="18" t="n"/>
      <c r="IN29" s="18" t="n"/>
      <c r="IO29" s="18" t="n"/>
      <c r="IP29" s="18" t="n"/>
      <c r="IQ29" s="18" t="n"/>
      <c r="IR29" s="18" t="n"/>
      <c r="IS29" s="18" t="n"/>
      <c r="IT29" s="18" t="n"/>
      <c r="IU29" s="18" t="n"/>
      <c r="IV29" s="18" t="n"/>
      <c r="IW29" s="18" t="n"/>
      <c r="IX29" s="18" t="n"/>
      <c r="IY29" s="18" t="n"/>
    </row>
    <row r="30" ht="52.05" customHeight="1" s="88">
      <c r="A30" s="19" t="inlineStr">
        <is>
          <t>9000</t>
        </is>
      </c>
      <c r="B30" s="19" t="inlineStr">
        <is>
          <t>9000-2</t>
        </is>
      </c>
      <c r="C30" s="19" t="inlineStr">
        <is>
          <t>사전토공사</t>
        </is>
      </c>
      <c r="D30" s="94" t="inlineStr">
        <is>
          <t>9000-2-29</t>
        </is>
      </c>
      <c r="E30" s="95" t="inlineStr">
        <is>
          <t>9000-2-27, 9000-2-28</t>
        </is>
      </c>
      <c r="F30" s="96" t="inlineStr">
        <is>
          <t>9000-2-30</t>
        </is>
      </c>
      <c r="G30" s="23" t="inlineStr">
        <is>
          <t>현장지원</t>
        </is>
      </c>
      <c r="H30" s="21" t="inlineStr">
        <is>
          <t>D+75일 이후</t>
        </is>
      </c>
      <c r="I30" s="21" t="inlineStr">
        <is>
          <t>토목수행팀, 토목품질팀, 토목안전팀</t>
        </is>
      </c>
      <c r="J30" s="24" t="inlineStr">
        <is>
          <t>현장 통합 소통 수칙 | 일일 TBM 및 품질/안전 지원 대장 수록 | 감리 입회 검측 서면 승인</t>
        </is>
      </c>
      <c r="K30" s="24" t="inlineStr">
        <is>
          <t>1) 일일 현장 품질/안전 지원 ➔ 2) TBM 및 근로자 교육 ➔ 3) 공정 장애 요소 해소 ➔ 4) 현장 지원 대장 서면 승인</t>
        </is>
      </c>
      <c r="L30" s="24" t="inlineStr">
        <is>
          <t>일일 현장 품질/안전 지원 대장, TBM 및 근로자 교육 시행 서면 승인</t>
        </is>
      </c>
      <c r="M30" s="24" t="inlineStr">
        <is>
          <t>현장 통합 소통 수칙 | 일일 TBM 및 품질/안전 지원 대장 수록 | 감리 입회 검측 서면 승인</t>
        </is>
      </c>
      <c r="N30" s="25">
        <f>HYPERLINK(LEFT(CELL("filename",A1),FIND("[",CELL("filename",A1))-1)&amp;"2.사전토공사\27_노상토 지지력 확인\표준서\노상토 지지력 확인_표준서.html", "👉 [클릭] 표준서 열기 📄")</f>
        <v/>
      </c>
      <c r="O30" s="24" t="inlineStr">
        <is>
          <t>1) 일일 현장 품질/안전 지원 ➔ 2) TBM 및 근로자 교육 ➔ 3) 공정 장애 요소 해소 ➔ 4) 현장 지원 대장 서면 승인</t>
        </is>
      </c>
      <c r="P30" s="26">
        <f>HYPERLINK(LEFT(CELL("filename",A1),FIND("[",CELL("filename",A1))-1)&amp;"2.사전토공사\27_노상토 지지력 확인\수행지침\노상토 지지력 확인_수행지침.html", "👉 [클릭] 수행지침 열기 📄")</f>
        <v/>
      </c>
      <c r="Q30" s="24" t="inlineStr">
        <is>
          <t>일일 현장 품질/안전 지원 대장, TBM 및 근로자 교육 시행 서면 승인</t>
        </is>
      </c>
      <c r="R30" s="27">
        <f>HYPERLINK(LEFT(CELL("filename",A1),FIND("[",CELL("filename",A1))-1)&amp;"2.사전토공사\27_노상토 지지력 확인\체크리스트\노상토 지지력 확인_체크리스트.html", "👉 [클릭] 체크리스트 열기 📄")</f>
        <v/>
      </c>
      <c r="S30" s="2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Y30" s="18" t="n"/>
      <c r="DZ30" s="18" t="n"/>
      <c r="EA30" s="18" t="n"/>
      <c r="EB30" s="18" t="n"/>
      <c r="EC30" s="18" t="n"/>
      <c r="ED30" s="18" t="n"/>
      <c r="EE30" s="18" t="n"/>
      <c r="EF30" s="18" t="n"/>
      <c r="EG30" s="18" t="n"/>
      <c r="EH30" s="18" t="n"/>
      <c r="EI30" s="18" t="n"/>
      <c r="EJ30" s="18" t="n"/>
      <c r="EK30" s="18" t="n"/>
      <c r="EL30" s="18" t="n"/>
      <c r="EM30" s="18" t="n"/>
      <c r="EN30" s="18" t="n"/>
      <c r="EO30" s="18" t="n"/>
      <c r="EP30" s="18" t="n"/>
      <c r="EQ30" s="18" t="n"/>
      <c r="ER30" s="18" t="n"/>
      <c r="ES30" s="18" t="n"/>
      <c r="ET30" s="18" t="n"/>
      <c r="EU30" s="18" t="n"/>
      <c r="EV30" s="18" t="n"/>
      <c r="EW30" s="18" t="n"/>
      <c r="EX30" s="18" t="n"/>
      <c r="EY30" s="18" t="n"/>
      <c r="EZ30" s="18" t="n"/>
      <c r="FA30" s="18" t="n"/>
      <c r="FB30" s="18" t="n"/>
      <c r="FC30" s="18" t="n"/>
      <c r="FD30" s="18" t="n"/>
      <c r="FE30" s="18" t="n"/>
      <c r="FF30" s="18" t="n"/>
      <c r="FG30" s="18" t="n"/>
      <c r="FH30" s="18" t="n"/>
      <c r="FI30" s="18" t="n"/>
      <c r="FJ30" s="18" t="n"/>
      <c r="FK30" s="18" t="n"/>
      <c r="FL30" s="18" t="n"/>
      <c r="FM30" s="18" t="n"/>
      <c r="FN30" s="18" t="n"/>
      <c r="FO30" s="18" t="n"/>
      <c r="FP30" s="18" t="n"/>
      <c r="FQ30" s="18" t="n"/>
      <c r="FR30" s="18" t="n"/>
      <c r="FS30" s="18" t="n"/>
      <c r="FT30" s="18" t="n"/>
      <c r="FU30" s="18" t="n"/>
      <c r="FV30" s="18" t="n"/>
      <c r="FW30" s="18" t="n"/>
      <c r="FX30" s="18" t="n"/>
      <c r="FY30" s="18" t="n"/>
      <c r="FZ30" s="18" t="n"/>
      <c r="GA30" s="18" t="n"/>
      <c r="GB30" s="18" t="n"/>
      <c r="GC30" s="18" t="n"/>
      <c r="GD30" s="18" t="n"/>
      <c r="GE30" s="18" t="n"/>
      <c r="GF30" s="18" t="n"/>
      <c r="GG30" s="18" t="n"/>
      <c r="GH30" s="18" t="n"/>
      <c r="GI30" s="18" t="n"/>
      <c r="GJ30" s="18" t="n"/>
      <c r="GK30" s="18" t="n"/>
      <c r="GL30" s="18" t="n"/>
      <c r="GM30" s="18" t="n"/>
      <c r="GN30" s="18" t="n"/>
      <c r="GO30" s="18" t="n"/>
      <c r="GP30" s="18" t="n"/>
      <c r="GQ30" s="18" t="n"/>
      <c r="GR30" s="18" t="n"/>
      <c r="GS30" s="18" t="n"/>
      <c r="GT30" s="18" t="n"/>
      <c r="GU30" s="18" t="n"/>
      <c r="GV30" s="18" t="n"/>
      <c r="GW30" s="18" t="n"/>
      <c r="GX30" s="18" t="n"/>
      <c r="GY30" s="18" t="n"/>
      <c r="GZ30" s="18" t="n"/>
      <c r="HA30" s="18" t="n"/>
      <c r="HB30" s="18" t="n"/>
      <c r="HC30" s="18" t="n"/>
      <c r="HD30" s="18" t="n"/>
      <c r="HE30" s="18" t="n"/>
      <c r="HF30" s="18" t="n"/>
      <c r="HG30" s="18" t="n"/>
      <c r="HH30" s="18" t="n"/>
      <c r="HI30" s="18" t="n"/>
      <c r="HJ30" s="18" t="n"/>
      <c r="HK30" s="18" t="n"/>
      <c r="HL30" s="18" t="n"/>
      <c r="HM30" s="18" t="n"/>
      <c r="HN30" s="18" t="n"/>
      <c r="HO30" s="18" t="n"/>
      <c r="HP30" s="18" t="n"/>
      <c r="HQ30" s="18" t="n"/>
      <c r="HR30" s="18" t="n"/>
      <c r="HS30" s="18" t="n"/>
      <c r="HT30" s="18" t="n"/>
      <c r="HU30" s="18" t="n"/>
      <c r="HV30" s="18" t="n"/>
      <c r="HW30" s="18" t="n"/>
      <c r="HX30" s="18" t="n"/>
      <c r="HY30" s="18" t="n"/>
      <c r="HZ30" s="18" t="n"/>
      <c r="IA30" s="18" t="n"/>
      <c r="IB30" s="18" t="n"/>
      <c r="IC30" s="18" t="n"/>
      <c r="ID30" s="18" t="n"/>
      <c r="IE30" s="18" t="n"/>
      <c r="IF30" s="18" t="n"/>
      <c r="IG30" s="18" t="n"/>
      <c r="IH30" s="18" t="n"/>
      <c r="II30" s="18" t="n"/>
      <c r="IJ30" s="18" t="n"/>
      <c r="IK30" s="18" t="n"/>
      <c r="IL30" s="18" t="n"/>
      <c r="IM30" s="18" t="n"/>
      <c r="IN30" s="18" t="n"/>
      <c r="IO30" s="18" t="n"/>
      <c r="IP30" s="18" t="n"/>
      <c r="IQ30" s="18" t="n"/>
      <c r="IR30" s="18" t="n"/>
      <c r="IS30" s="18" t="n"/>
      <c r="IT30" s="18" t="n"/>
      <c r="IU30" s="18" t="n"/>
      <c r="IV30" s="18" t="n"/>
      <c r="IW30" s="18" t="n"/>
      <c r="IX30" s="18" t="n"/>
      <c r="IY30" s="18" t="n"/>
      <c r="IZ30" s="18" t="n"/>
      <c r="JA30" s="18" t="n"/>
      <c r="JB30" s="18" t="n"/>
      <c r="JC30" s="18" t="n"/>
    </row>
    <row r="31" ht="52.05" customHeight="1" s="88">
      <c r="A31" s="29" t="inlineStr">
        <is>
          <t>9000</t>
        </is>
      </c>
      <c r="B31" s="29" t="inlineStr">
        <is>
          <t>9000-2</t>
        </is>
      </c>
      <c r="C31" s="29" t="inlineStr">
        <is>
          <t>사전토공사</t>
        </is>
      </c>
      <c r="D31" s="98" t="inlineStr">
        <is>
          <t>9000-2-30</t>
        </is>
      </c>
      <c r="E31" s="102" t="inlineStr">
        <is>
          <t>9000-2-29</t>
        </is>
      </c>
      <c r="F31" s="99" t="inlineStr">
        <is>
          <t>9000-2-31</t>
        </is>
      </c>
      <c r="G31" s="32" t="inlineStr">
        <is>
          <t>강화노반 인계</t>
        </is>
      </c>
      <c r="H31" s="33" t="inlineStr">
        <is>
          <t>D+75일 이후</t>
        </is>
      </c>
      <c r="I31" s="33" t="inlineStr">
        <is>
          <t>현장 공사팀 / 품질팀</t>
        </is>
      </c>
      <c r="J31" s="34" t="inlineStr">
        <is>
          <t>KCS 47 10 25 인계인수 수칙 | 토공-강화노반 시공팀 3자 합동 레벨 측량 | 마무리면 인계인수서 서명</t>
        </is>
      </c>
      <c r="K31" s="34" t="inlineStr">
        <is>
          <t>1) 토공-강화노반 시공팀 3자 합동 현측 ➔ 2) 마무리면 레벨 오차(±10mm) 확인 ➔ 3) 인계인수 합의서 서명 ➔ 4) 토공 마무리면 인계 완료</t>
        </is>
      </c>
      <c r="L31" s="34" t="inlineStr">
        <is>
          <t>토공-강화노반 시공팀 3자 합동 레벨 측량, 마무리면 레벨 오차(±10mm) 인계인수서 서명</t>
        </is>
      </c>
      <c r="M31" s="34" t="inlineStr">
        <is>
          <t>KCS 47 10 25 인계인수 수칙 | 토공-강화노반 시공팀 3자 합동 레벨 측량 | 마무리면 인계인수서 서명</t>
        </is>
      </c>
      <c r="N31" s="35">
        <f>HYPERLINK(LEFT(CELL("filename",A1),FIND("[",CELL("filename",A1))-1)&amp;"2.사전토공사\28_쌓기 및 다짐_필요시\표준서\쌓기 및 다짐(필요시)_표준서.html", "👉 [클릭] 표준서 열기 📄")</f>
        <v/>
      </c>
      <c r="O31" s="34" t="inlineStr">
        <is>
          <t>1) 토공-강화노반 시공팀 3자 합동 현측 ➔ 2) 마무리면 레벨 오차(±10mm) 확인 ➔ 3) 인계인수 합의서 서명 ➔ 4) 토공 마무리면 인계 완료</t>
        </is>
      </c>
      <c r="P31" s="36">
        <f>HYPERLINK(LEFT(CELL("filename",A1),FIND("[",CELL("filename",A1))-1)&amp;"2.사전토공사\28_쌓기 및 다짐_필요시\수행지침\쌓기 및 다짐(필요시)_수행지침.html", "👉 [클릭] 수행지침 열기 📄")</f>
        <v/>
      </c>
      <c r="Q31" s="34" t="inlineStr">
        <is>
          <t>토공-강화노반 시공팀 3자 합동 레벨 측량, 마무리면 레벨 오차(±10mm) 인계인수서 서명</t>
        </is>
      </c>
      <c r="R31" s="37">
        <f>HYPERLINK(LEFT(CELL("filename",A1),FIND("[",CELL("filename",A1))-1)&amp;"2.사전토공사\28_쌓기 및 다짐_필요시\체크리스트\쌓기 및 다짐(필요시)_체크리스트.html", "👉 [클릭] 체크리스트 열기 📄")</f>
        <v/>
      </c>
      <c r="S31" s="33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Y31" s="18" t="n"/>
      <c r="DZ31" s="18" t="n"/>
      <c r="EA31" s="18" t="n"/>
      <c r="EB31" s="18" t="n"/>
      <c r="EC31" s="18" t="n"/>
      <c r="ED31" s="18" t="n"/>
      <c r="EE31" s="18" t="n"/>
      <c r="EF31" s="18" t="n"/>
      <c r="EG31" s="18" t="n"/>
      <c r="EH31" s="18" t="n"/>
      <c r="EI31" s="18" t="n"/>
      <c r="EJ31" s="18" t="n"/>
      <c r="EK31" s="18" t="n"/>
      <c r="EL31" s="18" t="n"/>
      <c r="EM31" s="18" t="n"/>
      <c r="EN31" s="18" t="n"/>
      <c r="EO31" s="18" t="n"/>
      <c r="EP31" s="18" t="n"/>
      <c r="EQ31" s="18" t="n"/>
      <c r="ER31" s="18" t="n"/>
      <c r="ES31" s="18" t="n"/>
      <c r="ET31" s="18" t="n"/>
      <c r="EU31" s="18" t="n"/>
      <c r="EV31" s="18" t="n"/>
      <c r="EW31" s="18" t="n"/>
      <c r="EX31" s="18" t="n"/>
      <c r="EY31" s="18" t="n"/>
      <c r="EZ31" s="18" t="n"/>
      <c r="FA31" s="18" t="n"/>
      <c r="FB31" s="18" t="n"/>
      <c r="FC31" s="18" t="n"/>
      <c r="FD31" s="18" t="n"/>
      <c r="FE31" s="18" t="n"/>
      <c r="FF31" s="18" t="n"/>
      <c r="FG31" s="18" t="n"/>
      <c r="FH31" s="18" t="n"/>
      <c r="FI31" s="18" t="n"/>
      <c r="FJ31" s="18" t="n"/>
      <c r="FK31" s="18" t="n"/>
      <c r="FL31" s="18" t="n"/>
      <c r="FM31" s="18" t="n"/>
      <c r="FN31" s="18" t="n"/>
      <c r="FO31" s="18" t="n"/>
      <c r="FP31" s="18" t="n"/>
      <c r="FQ31" s="18" t="n"/>
      <c r="FR31" s="18" t="n"/>
      <c r="FS31" s="18" t="n"/>
      <c r="FT31" s="18" t="n"/>
      <c r="FU31" s="18" t="n"/>
      <c r="FV31" s="18" t="n"/>
      <c r="FW31" s="18" t="n"/>
      <c r="FX31" s="18" t="n"/>
      <c r="FY31" s="18" t="n"/>
      <c r="FZ31" s="18" t="n"/>
      <c r="GA31" s="18" t="n"/>
      <c r="GB31" s="18" t="n"/>
      <c r="GC31" s="18" t="n"/>
      <c r="GD31" s="18" t="n"/>
      <c r="GE31" s="18" t="n"/>
      <c r="GF31" s="18" t="n"/>
      <c r="GG31" s="18" t="n"/>
      <c r="GH31" s="18" t="n"/>
      <c r="GI31" s="18" t="n"/>
      <c r="GJ31" s="18" t="n"/>
      <c r="GK31" s="18" t="n"/>
      <c r="GL31" s="18" t="n"/>
      <c r="GM31" s="18" t="n"/>
      <c r="GN31" s="18" t="n"/>
      <c r="GO31" s="18" t="n"/>
      <c r="GP31" s="18" t="n"/>
      <c r="GQ31" s="18" t="n"/>
      <c r="GR31" s="18" t="n"/>
      <c r="GS31" s="18" t="n"/>
      <c r="GT31" s="18" t="n"/>
      <c r="GU31" s="18" t="n"/>
      <c r="GV31" s="18" t="n"/>
      <c r="GW31" s="18" t="n"/>
      <c r="GX31" s="18" t="n"/>
      <c r="GY31" s="18" t="n"/>
      <c r="GZ31" s="18" t="n"/>
      <c r="HA31" s="18" t="n"/>
      <c r="HB31" s="18" t="n"/>
      <c r="HC31" s="18" t="n"/>
      <c r="HD31" s="18" t="n"/>
      <c r="HE31" s="18" t="n"/>
      <c r="HF31" s="18" t="n"/>
      <c r="HG31" s="18" t="n"/>
      <c r="HH31" s="18" t="n"/>
      <c r="HI31" s="18" t="n"/>
      <c r="HJ31" s="18" t="n"/>
      <c r="HK31" s="18" t="n"/>
      <c r="HL31" s="18" t="n"/>
      <c r="HM31" s="18" t="n"/>
      <c r="HN31" s="18" t="n"/>
      <c r="HO31" s="18" t="n"/>
      <c r="HP31" s="18" t="n"/>
      <c r="HQ31" s="18" t="n"/>
      <c r="HR31" s="18" t="n"/>
      <c r="HS31" s="18" t="n"/>
      <c r="HT31" s="18" t="n"/>
      <c r="HU31" s="18" t="n"/>
      <c r="HV31" s="18" t="n"/>
      <c r="HW31" s="18" t="n"/>
      <c r="HX31" s="18" t="n"/>
      <c r="HY31" s="18" t="n"/>
      <c r="HZ31" s="18" t="n"/>
      <c r="IA31" s="18" t="n"/>
      <c r="IB31" s="18" t="n"/>
      <c r="IC31" s="18" t="n"/>
      <c r="ID31" s="18" t="n"/>
      <c r="IE31" s="18" t="n"/>
      <c r="IF31" s="18" t="n"/>
      <c r="IG31" s="18" t="n"/>
      <c r="IH31" s="18" t="n"/>
      <c r="II31" s="18" t="n"/>
      <c r="IJ31" s="18" t="n"/>
      <c r="IK31" s="18" t="n"/>
      <c r="IL31" s="18" t="n"/>
      <c r="IM31" s="18" t="n"/>
      <c r="IN31" s="18" t="n"/>
      <c r="IO31" s="18" t="n"/>
      <c r="IP31" s="18" t="n"/>
      <c r="IQ31" s="18" t="n"/>
      <c r="IR31" s="18" t="n"/>
      <c r="IS31" s="18" t="n"/>
      <c r="IT31" s="18" t="n"/>
      <c r="IU31" s="18" t="n"/>
      <c r="IV31" s="18" t="n"/>
      <c r="IW31" s="18" t="n"/>
      <c r="IX31" s="18" t="n"/>
      <c r="IY31" s="18" t="n"/>
      <c r="IZ31" s="18" t="n"/>
      <c r="JA31" s="18" t="n"/>
      <c r="JB31" s="18" t="n"/>
      <c r="JC31" s="18" t="n"/>
      <c r="JD31" s="18" t="n"/>
      <c r="JE31" s="18" t="n"/>
      <c r="JF31" s="18" t="n"/>
      <c r="JG31" s="18" t="n"/>
    </row>
    <row r="32" ht="52.05" customHeight="1" s="88">
      <c r="A32" s="19" t="inlineStr">
        <is>
          <t>9000</t>
        </is>
      </c>
      <c r="B32" s="19" t="inlineStr">
        <is>
          <t>9000-2</t>
        </is>
      </c>
      <c r="C32" s="19" t="inlineStr">
        <is>
          <t>사전토공사</t>
        </is>
      </c>
      <c r="D32" s="94" t="inlineStr">
        <is>
          <t>9000-2-31</t>
        </is>
      </c>
      <c r="E32" s="103" t="inlineStr">
        <is>
          <t>9000-2-30</t>
        </is>
      </c>
      <c r="F32" s="96" t="inlineStr">
        <is>
          <t>-</t>
        </is>
      </c>
      <c r="G32" s="23" t="inlineStr">
        <is>
          <t>장비 검수 지원</t>
        </is>
      </c>
      <c r="H32" s="21" t="inlineStr">
        <is>
          <t>D+75일 이후</t>
        </is>
      </c>
      <c r="I32" s="21" t="inlineStr">
        <is>
          <t>기술안전팀</t>
        </is>
      </c>
      <c r="J32" s="24" t="inlineStr">
        <is>
          <t>성토 및 사토 운반용 토공장비 검토</t>
        </is>
      </c>
      <c r="K32" s="24" t="inlineStr">
        <is>
          <t>현장 여건 및 후행공종 요구조건에 적합한 시공계획 작성여부 확인</t>
        </is>
      </c>
      <c r="L32" s="24" t="inlineStr">
        <is>
          <t>시공계획서 작성지원</t>
        </is>
      </c>
      <c r="M32" s="24" t="inlineStr">
        <is>
          <t>KCS 47 10 25 인계인수 수칙 | 토공-강화노반 시공팀 3자 합동 레벨 측량 | 마무리면 인계인수서 서명</t>
        </is>
      </c>
      <c r="N32" s="25">
        <f>HYPERLINK(LEFT(CELL("filename",A1),FIND("[",CELL("filename",A1))-1)&amp;"2.사전토공사\29_현장지원\표준서\현장지원_표준서.html", "👉 [클릭] 표준서 열기 📄")</f>
        <v/>
      </c>
      <c r="O32" s="24" t="inlineStr">
        <is>
          <t>1) 토공-강화노반 시공팀 3자 합동 현측 ➔ 2) 마무리면 레벨 오차(±10mm) 확인 ➔ 3) 인계인수 합의서 서명 ➔ 4) 토공 마무리면 인계 완료</t>
        </is>
      </c>
      <c r="P32" s="26">
        <f>HYPERLINK(LEFT(CELL("filename",A1),FIND("[",CELL("filename",A1))-1)&amp;"2.사전토공사\29_현장지원\수행지침\현장지원_수행지침.html", "👉 [클릭] 수행지침 열기 📄")</f>
        <v/>
      </c>
      <c r="Q32" s="24" t="inlineStr">
        <is>
          <t>토공-강화노반 시공팀 3자 합동 레벨 측량, 마무리면 레벨 오차(±10mm) 인계인수서 서명</t>
        </is>
      </c>
      <c r="R32" s="27">
        <f>HYPERLINK(LEFT(CELL("filename",A1),FIND("[",CELL("filename",A1))-1)&amp;"2.사전토공사\29_현장지원\체크리스트\현장지원_체크리스트.html", "👉 [클릭] 체크리스트 열기 📄")</f>
        <v/>
      </c>
      <c r="S32" s="2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Y32" s="18" t="n"/>
      <c r="DZ32" s="18" t="n"/>
      <c r="EA32" s="18" t="n"/>
      <c r="EB32" s="18" t="n"/>
      <c r="EC32" s="18" t="n"/>
      <c r="ED32" s="18" t="n"/>
      <c r="EE32" s="18" t="n"/>
      <c r="EF32" s="18" t="n"/>
      <c r="EG32" s="18" t="n"/>
      <c r="EH32" s="18" t="n"/>
      <c r="EI32" s="18" t="n"/>
      <c r="EJ32" s="18" t="n"/>
      <c r="EK32" s="18" t="n"/>
      <c r="EL32" s="18" t="n"/>
      <c r="EM32" s="18" t="n"/>
      <c r="EN32" s="18" t="n"/>
      <c r="EO32" s="18" t="n"/>
      <c r="EP32" s="18" t="n"/>
      <c r="EQ32" s="18" t="n"/>
      <c r="ER32" s="18" t="n"/>
      <c r="ES32" s="18" t="n"/>
      <c r="ET32" s="18" t="n"/>
      <c r="EU32" s="18" t="n"/>
      <c r="EV32" s="18" t="n"/>
      <c r="EW32" s="18" t="n"/>
      <c r="EX32" s="18" t="n"/>
      <c r="EY32" s="18" t="n"/>
      <c r="EZ32" s="18" t="n"/>
      <c r="FA32" s="18" t="n"/>
      <c r="FB32" s="18" t="n"/>
      <c r="FC32" s="18" t="n"/>
      <c r="FD32" s="18" t="n"/>
      <c r="FE32" s="18" t="n"/>
      <c r="FF32" s="18" t="n"/>
      <c r="FG32" s="18" t="n"/>
      <c r="FH32" s="18" t="n"/>
      <c r="FI32" s="18" t="n"/>
      <c r="FJ32" s="18" t="n"/>
      <c r="FK32" s="18" t="n"/>
      <c r="FL32" s="18" t="n"/>
      <c r="FM32" s="18" t="n"/>
      <c r="FN32" s="18" t="n"/>
      <c r="FO32" s="18" t="n"/>
      <c r="FP32" s="18" t="n"/>
      <c r="FQ32" s="18" t="n"/>
      <c r="FR32" s="18" t="n"/>
      <c r="FS32" s="18" t="n"/>
      <c r="FT32" s="18" t="n"/>
      <c r="FU32" s="18" t="n"/>
      <c r="FV32" s="18" t="n"/>
      <c r="FW32" s="18" t="n"/>
      <c r="FX32" s="18" t="n"/>
      <c r="FY32" s="18" t="n"/>
      <c r="FZ32" s="18" t="n"/>
      <c r="GA32" s="18" t="n"/>
      <c r="GB32" s="18" t="n"/>
      <c r="GC32" s="18" t="n"/>
      <c r="GD32" s="18" t="n"/>
      <c r="GE32" s="18" t="n"/>
      <c r="GF32" s="18" t="n"/>
      <c r="GG32" s="18" t="n"/>
      <c r="GH32" s="18" t="n"/>
      <c r="GI32" s="18" t="n"/>
      <c r="GJ32" s="18" t="n"/>
      <c r="GK32" s="18" t="n"/>
      <c r="GL32" s="18" t="n"/>
      <c r="GM32" s="18" t="n"/>
      <c r="GN32" s="18" t="n"/>
      <c r="GO32" s="18" t="n"/>
      <c r="GP32" s="18" t="n"/>
      <c r="GQ32" s="18" t="n"/>
      <c r="GR32" s="18" t="n"/>
      <c r="GS32" s="18" t="n"/>
      <c r="GT32" s="18" t="n"/>
      <c r="GU32" s="18" t="n"/>
      <c r="GV32" s="18" t="n"/>
      <c r="GW32" s="18" t="n"/>
      <c r="GX32" s="18" t="n"/>
      <c r="GY32" s="18" t="n"/>
      <c r="GZ32" s="18" t="n"/>
      <c r="HA32" s="18" t="n"/>
      <c r="HB32" s="18" t="n"/>
      <c r="HC32" s="18" t="n"/>
      <c r="HD32" s="18" t="n"/>
      <c r="HE32" s="18" t="n"/>
      <c r="HF32" s="18" t="n"/>
      <c r="HG32" s="18" t="n"/>
      <c r="HH32" s="18" t="n"/>
      <c r="HI32" s="18" t="n"/>
      <c r="HJ32" s="18" t="n"/>
      <c r="HK32" s="18" t="n"/>
      <c r="HL32" s="18" t="n"/>
      <c r="HM32" s="18" t="n"/>
      <c r="HN32" s="18" t="n"/>
      <c r="HO32" s="18" t="n"/>
      <c r="HP32" s="18" t="n"/>
      <c r="HQ32" s="18" t="n"/>
      <c r="HR32" s="18" t="n"/>
      <c r="HS32" s="18" t="n"/>
      <c r="HT32" s="18" t="n"/>
      <c r="HU32" s="18" t="n"/>
      <c r="HV32" s="18" t="n"/>
      <c r="HW32" s="18" t="n"/>
      <c r="HX32" s="18" t="n"/>
      <c r="HY32" s="18" t="n"/>
      <c r="HZ32" s="18" t="n"/>
      <c r="IA32" s="18" t="n"/>
      <c r="IB32" s="18" t="n"/>
      <c r="IC32" s="18" t="n"/>
      <c r="ID32" s="18" t="n"/>
      <c r="IE32" s="18" t="n"/>
      <c r="IF32" s="18" t="n"/>
      <c r="IG32" s="18" t="n"/>
      <c r="IH32" s="18" t="n"/>
      <c r="II32" s="18" t="n"/>
      <c r="IJ32" s="18" t="n"/>
      <c r="IK32" s="18" t="n"/>
      <c r="IL32" s="18" t="n"/>
      <c r="IM32" s="18" t="n"/>
      <c r="IN32" s="18" t="n"/>
      <c r="IO32" s="18" t="n"/>
      <c r="IP32" s="18" t="n"/>
      <c r="IQ32" s="18" t="n"/>
      <c r="IR32" s="18" t="n"/>
      <c r="IS32" s="18" t="n"/>
      <c r="IT32" s="18" t="n"/>
      <c r="IU32" s="18" t="n"/>
      <c r="IV32" s="18" t="n"/>
      <c r="IW32" s="18" t="n"/>
      <c r="IX32" s="18" t="n"/>
      <c r="IY32" s="18" t="n"/>
      <c r="IZ32" s="18" t="n"/>
      <c r="JA32" s="18" t="n"/>
      <c r="JB32" s="18" t="n"/>
      <c r="JC32" s="18" t="n"/>
      <c r="JD32" s="18" t="n"/>
      <c r="JE32" s="18" t="n"/>
      <c r="JF32" s="18" t="n"/>
      <c r="JG32" s="18" t="n"/>
      <c r="JH32" s="18" t="n"/>
      <c r="JI32" s="18" t="n"/>
      <c r="JJ32" s="18" t="n"/>
      <c r="JK32" s="18" t="n"/>
    </row>
    <row r="33" ht="46.8" customHeight="1" s="88">
      <c r="A33" s="18" t="n"/>
      <c r="B33" s="18" t="n"/>
      <c r="C33" s="18" t="n"/>
      <c r="D33" s="18" t="n"/>
      <c r="E33" s="40" t="n"/>
      <c r="F33" s="40" t="n"/>
      <c r="G33" s="18" t="n"/>
      <c r="H33" s="18" t="n"/>
      <c r="I33" s="18" t="n"/>
      <c r="J33" s="18" t="n"/>
      <c r="K33" s="18" t="n"/>
      <c r="L33" s="18" t="n"/>
      <c r="M33" s="18" t="n"/>
      <c r="N33" s="41" t="n"/>
      <c r="O33" s="18" t="n"/>
      <c r="P33" s="42" t="n"/>
      <c r="Q33" s="18" t="n"/>
      <c r="R33" s="43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Y33" s="18" t="n"/>
      <c r="DZ33" s="18" t="n"/>
      <c r="EA33" s="18" t="n"/>
      <c r="EB33" s="18" t="n"/>
      <c r="EC33" s="18" t="n"/>
      <c r="ED33" s="18" t="n"/>
      <c r="EE33" s="18" t="n"/>
      <c r="EF33" s="18" t="n"/>
      <c r="EG33" s="18" t="n"/>
      <c r="EH33" s="18" t="n"/>
      <c r="EI33" s="18" t="n"/>
      <c r="EJ33" s="18" t="n"/>
      <c r="EK33" s="18" t="n"/>
      <c r="EL33" s="18" t="n"/>
      <c r="EM33" s="18" t="n"/>
      <c r="EN33" s="18" t="n"/>
      <c r="EO33" s="18" t="n"/>
      <c r="EP33" s="18" t="n"/>
      <c r="EQ33" s="18" t="n"/>
      <c r="ER33" s="18" t="n"/>
      <c r="ES33" s="18" t="n"/>
      <c r="ET33" s="18" t="n"/>
      <c r="EU33" s="18" t="n"/>
      <c r="EV33" s="18" t="n"/>
      <c r="EW33" s="18" t="n"/>
      <c r="EX33" s="18" t="n"/>
      <c r="EY33" s="18" t="n"/>
      <c r="EZ33" s="18" t="n"/>
      <c r="FA33" s="18" t="n"/>
      <c r="FB33" s="18" t="n"/>
      <c r="FC33" s="18" t="n"/>
      <c r="FD33" s="18" t="n"/>
      <c r="FE33" s="18" t="n"/>
      <c r="FF33" s="18" t="n"/>
      <c r="FG33" s="18" t="n"/>
      <c r="FH33" s="18" t="n"/>
      <c r="FI33" s="18" t="n"/>
      <c r="FJ33" s="18" t="n"/>
      <c r="FK33" s="18" t="n"/>
      <c r="FL33" s="18" t="n"/>
      <c r="FM33" s="18" t="n"/>
      <c r="FN33" s="18" t="n"/>
      <c r="FO33" s="18" t="n"/>
      <c r="FP33" s="18" t="n"/>
      <c r="FQ33" s="18" t="n"/>
      <c r="FR33" s="18" t="n"/>
      <c r="FS33" s="18" t="n"/>
      <c r="FT33" s="18" t="n"/>
      <c r="FU33" s="18" t="n"/>
      <c r="FV33" s="18" t="n"/>
      <c r="FW33" s="18" t="n"/>
      <c r="FX33" s="18" t="n"/>
      <c r="FY33" s="18" t="n"/>
      <c r="FZ33" s="18" t="n"/>
      <c r="GA33" s="18" t="n"/>
      <c r="GB33" s="18" t="n"/>
      <c r="GC33" s="18" t="n"/>
      <c r="GD33" s="18" t="n"/>
      <c r="GE33" s="18" t="n"/>
      <c r="GF33" s="18" t="n"/>
      <c r="GG33" s="18" t="n"/>
      <c r="GH33" s="18" t="n"/>
      <c r="GI33" s="18" t="n"/>
      <c r="GJ33" s="18" t="n"/>
      <c r="GK33" s="18" t="n"/>
      <c r="GL33" s="18" t="n"/>
      <c r="GM33" s="18" t="n"/>
      <c r="GN33" s="18" t="n"/>
      <c r="GO33" s="18" t="n"/>
      <c r="GP33" s="18" t="n"/>
      <c r="GQ33" s="18" t="n"/>
      <c r="GR33" s="18" t="n"/>
      <c r="GS33" s="18" t="n"/>
      <c r="GT33" s="18" t="n"/>
      <c r="GU33" s="18" t="n"/>
      <c r="GV33" s="18" t="n"/>
      <c r="GW33" s="18" t="n"/>
      <c r="GX33" s="18" t="n"/>
      <c r="GY33" s="18" t="n"/>
      <c r="GZ33" s="18" t="n"/>
      <c r="HA33" s="18" t="n"/>
      <c r="HB33" s="18" t="n"/>
      <c r="HC33" s="18" t="n"/>
      <c r="HD33" s="18" t="n"/>
      <c r="HE33" s="18" t="n"/>
      <c r="HF33" s="18" t="n"/>
      <c r="HG33" s="18" t="n"/>
      <c r="HH33" s="18" t="n"/>
      <c r="HI33" s="18" t="n"/>
      <c r="HJ33" s="18" t="n"/>
      <c r="HK33" s="18" t="n"/>
      <c r="HL33" s="18" t="n"/>
      <c r="HM33" s="18" t="n"/>
      <c r="HN33" s="18" t="n"/>
      <c r="HO33" s="18" t="n"/>
      <c r="HP33" s="18" t="n"/>
      <c r="HQ33" s="18" t="n"/>
      <c r="HR33" s="18" t="n"/>
      <c r="HS33" s="18" t="n"/>
      <c r="HT33" s="18" t="n"/>
      <c r="HU33" s="18" t="n"/>
      <c r="HV33" s="18" t="n"/>
      <c r="HW33" s="18" t="n"/>
      <c r="HX33" s="18" t="n"/>
      <c r="HY33" s="18" t="n"/>
      <c r="HZ33" s="18" t="n"/>
      <c r="IA33" s="18" t="n"/>
      <c r="IB33" s="18" t="n"/>
      <c r="IC33" s="18" t="n"/>
      <c r="ID33" s="18" t="n"/>
      <c r="IE33" s="18" t="n"/>
      <c r="IF33" s="18" t="n"/>
      <c r="IG33" s="18" t="n"/>
      <c r="IH33" s="18" t="n"/>
      <c r="II33" s="18" t="n"/>
      <c r="IJ33" s="18" t="n"/>
      <c r="IK33" s="18" t="n"/>
      <c r="IL33" s="18" t="n"/>
      <c r="IM33" s="18" t="n"/>
      <c r="IN33" s="18" t="n"/>
      <c r="IO33" s="18" t="n"/>
      <c r="IP33" s="18" t="n"/>
      <c r="IQ33" s="18" t="n"/>
      <c r="IR33" s="18" t="n"/>
      <c r="IS33" s="18" t="n"/>
      <c r="IT33" s="18" t="n"/>
      <c r="IU33" s="18" t="n"/>
      <c r="IV33" s="18" t="n"/>
      <c r="IW33" s="18" t="n"/>
      <c r="IX33" s="18" t="n"/>
      <c r="IY33" s="18" t="n"/>
      <c r="IZ33" s="18" t="n"/>
      <c r="JA33" s="18" t="n"/>
      <c r="JB33" s="18" t="n"/>
      <c r="JC33" s="18" t="n"/>
      <c r="JD33" s="18" t="n"/>
      <c r="JE33" s="18" t="n"/>
      <c r="JF33" s="18" t="n"/>
      <c r="JG33" s="18" t="n"/>
      <c r="JH33" s="18" t="n"/>
      <c r="JI33" s="18" t="n"/>
      <c r="JJ33" s="18" t="n"/>
      <c r="JK33" s="18" t="n"/>
      <c r="JL33" s="18" t="n"/>
      <c r="JM33" s="18" t="n"/>
      <c r="JN33" s="18" t="n"/>
      <c r="JO33" s="18" t="n"/>
    </row>
    <row r="34" ht="46.8" customHeight="1" s="88">
      <c r="A34" s="18" t="n"/>
      <c r="B34" s="18" t="n"/>
      <c r="C34" s="18" t="n"/>
      <c r="D34" s="18" t="n"/>
      <c r="E34" s="40" t="n"/>
      <c r="F34" s="40" t="n"/>
      <c r="G34" s="18" t="n"/>
      <c r="H34" s="18" t="n"/>
      <c r="I34" s="18" t="n"/>
      <c r="J34" s="18" t="n"/>
      <c r="K34" s="18" t="n"/>
      <c r="L34" s="18" t="n"/>
      <c r="M34" s="18" t="n"/>
      <c r="N34" s="41" t="n"/>
      <c r="O34" s="18" t="n"/>
      <c r="P34" s="42" t="n"/>
      <c r="Q34" s="18" t="n"/>
      <c r="R34" s="43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Y34" s="18" t="n"/>
      <c r="DZ34" s="18" t="n"/>
      <c r="EA34" s="18" t="n"/>
      <c r="EB34" s="18" t="n"/>
      <c r="EC34" s="18" t="n"/>
      <c r="ED34" s="18" t="n"/>
      <c r="EE34" s="18" t="n"/>
      <c r="EF34" s="18" t="n"/>
      <c r="EG34" s="18" t="n"/>
      <c r="EH34" s="18" t="n"/>
      <c r="EI34" s="18" t="n"/>
      <c r="EJ34" s="18" t="n"/>
      <c r="EK34" s="18" t="n"/>
      <c r="EL34" s="18" t="n"/>
      <c r="EM34" s="18" t="n"/>
      <c r="EN34" s="18" t="n"/>
      <c r="EO34" s="18" t="n"/>
      <c r="EP34" s="18" t="n"/>
      <c r="EQ34" s="18" t="n"/>
      <c r="ER34" s="18" t="n"/>
      <c r="ES34" s="18" t="n"/>
      <c r="ET34" s="18" t="n"/>
      <c r="EU34" s="18" t="n"/>
      <c r="EV34" s="18" t="n"/>
      <c r="EW34" s="18" t="n"/>
      <c r="EX34" s="18" t="n"/>
      <c r="EY34" s="18" t="n"/>
      <c r="EZ34" s="18" t="n"/>
      <c r="FA34" s="18" t="n"/>
      <c r="FB34" s="18" t="n"/>
      <c r="FC34" s="18" t="n"/>
      <c r="FD34" s="18" t="n"/>
      <c r="FE34" s="18" t="n"/>
      <c r="FF34" s="18" t="n"/>
      <c r="FG34" s="18" t="n"/>
      <c r="FH34" s="18" t="n"/>
      <c r="FI34" s="18" t="n"/>
      <c r="FJ34" s="18" t="n"/>
      <c r="FK34" s="18" t="n"/>
      <c r="FL34" s="18" t="n"/>
      <c r="FM34" s="18" t="n"/>
      <c r="FN34" s="18" t="n"/>
      <c r="FO34" s="18" t="n"/>
      <c r="FP34" s="18" t="n"/>
      <c r="FQ34" s="18" t="n"/>
      <c r="FR34" s="18" t="n"/>
      <c r="FS34" s="18" t="n"/>
      <c r="FT34" s="18" t="n"/>
      <c r="FU34" s="18" t="n"/>
      <c r="FV34" s="18" t="n"/>
      <c r="FW34" s="18" t="n"/>
      <c r="FX34" s="18" t="n"/>
      <c r="FY34" s="18" t="n"/>
      <c r="FZ34" s="18" t="n"/>
      <c r="GA34" s="18" t="n"/>
      <c r="GB34" s="18" t="n"/>
      <c r="GC34" s="18" t="n"/>
      <c r="GD34" s="18" t="n"/>
      <c r="GE34" s="18" t="n"/>
      <c r="GF34" s="18" t="n"/>
      <c r="GG34" s="18" t="n"/>
      <c r="GH34" s="18" t="n"/>
      <c r="GI34" s="18" t="n"/>
      <c r="GJ34" s="18" t="n"/>
      <c r="GK34" s="18" t="n"/>
      <c r="GL34" s="18" t="n"/>
      <c r="GM34" s="18" t="n"/>
      <c r="GN34" s="18" t="n"/>
      <c r="GO34" s="18" t="n"/>
      <c r="GP34" s="18" t="n"/>
      <c r="GQ34" s="18" t="n"/>
      <c r="GR34" s="18" t="n"/>
      <c r="GS34" s="18" t="n"/>
      <c r="GT34" s="18" t="n"/>
      <c r="GU34" s="18" t="n"/>
      <c r="GV34" s="18" t="n"/>
      <c r="GW34" s="18" t="n"/>
      <c r="GX34" s="18" t="n"/>
      <c r="GY34" s="18" t="n"/>
      <c r="GZ34" s="18" t="n"/>
      <c r="HA34" s="18" t="n"/>
      <c r="HB34" s="18" t="n"/>
      <c r="HC34" s="18" t="n"/>
      <c r="HD34" s="18" t="n"/>
      <c r="HE34" s="18" t="n"/>
      <c r="HF34" s="18" t="n"/>
      <c r="HG34" s="18" t="n"/>
      <c r="HH34" s="18" t="n"/>
      <c r="HI34" s="18" t="n"/>
      <c r="HJ34" s="18" t="n"/>
      <c r="HK34" s="18" t="n"/>
      <c r="HL34" s="18" t="n"/>
      <c r="HM34" s="18" t="n"/>
      <c r="HN34" s="18" t="n"/>
      <c r="HO34" s="18" t="n"/>
      <c r="HP34" s="18" t="n"/>
      <c r="HQ34" s="18" t="n"/>
      <c r="HR34" s="18" t="n"/>
      <c r="HS34" s="18" t="n"/>
      <c r="HT34" s="18" t="n"/>
      <c r="HU34" s="18" t="n"/>
      <c r="HV34" s="18" t="n"/>
      <c r="HW34" s="18" t="n"/>
      <c r="HX34" s="18" t="n"/>
      <c r="HY34" s="18" t="n"/>
      <c r="HZ34" s="18" t="n"/>
      <c r="IA34" s="18" t="n"/>
      <c r="IB34" s="18" t="n"/>
      <c r="IC34" s="18" t="n"/>
      <c r="ID34" s="18" t="n"/>
      <c r="IE34" s="18" t="n"/>
      <c r="IF34" s="18" t="n"/>
      <c r="IG34" s="18" t="n"/>
      <c r="IH34" s="18" t="n"/>
      <c r="II34" s="18" t="n"/>
      <c r="IJ34" s="18" t="n"/>
      <c r="IK34" s="18" t="n"/>
      <c r="IL34" s="18" t="n"/>
      <c r="IM34" s="18" t="n"/>
      <c r="IN34" s="18" t="n"/>
      <c r="IO34" s="18" t="n"/>
      <c r="IP34" s="18" t="n"/>
      <c r="IQ34" s="18" t="n"/>
      <c r="IR34" s="18" t="n"/>
      <c r="IS34" s="18" t="n"/>
      <c r="IT34" s="18" t="n"/>
      <c r="IU34" s="18" t="n"/>
      <c r="IV34" s="18" t="n"/>
      <c r="IW34" s="18" t="n"/>
      <c r="IX34" s="18" t="n"/>
      <c r="IY34" s="18" t="n"/>
      <c r="IZ34" s="18" t="n"/>
      <c r="JA34" s="18" t="n"/>
      <c r="JB34" s="18" t="n"/>
      <c r="JC34" s="18" t="n"/>
      <c r="JD34" s="18" t="n"/>
      <c r="JE34" s="18" t="n"/>
      <c r="JF34" s="18" t="n"/>
      <c r="JG34" s="18" t="n"/>
      <c r="JH34" s="18" t="n"/>
      <c r="JI34" s="18" t="n"/>
      <c r="JJ34" s="18" t="n"/>
      <c r="JK34" s="18" t="n"/>
      <c r="JL34" s="18" t="n"/>
      <c r="JM34" s="18" t="n"/>
      <c r="JN34" s="18" t="n"/>
      <c r="JO34" s="18" t="n"/>
      <c r="JP34" s="18" t="n"/>
      <c r="JQ34" s="18" t="n"/>
      <c r="JR34" s="18" t="n"/>
      <c r="JS34" s="18" t="n"/>
    </row>
    <row r="35">
      <c r="A35" s="18" t="n"/>
      <c r="B35" s="18" t="n"/>
      <c r="C35" s="18" t="n"/>
      <c r="D35" s="18" t="n"/>
      <c r="E35" s="40" t="n"/>
      <c r="F35" s="40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8" t="n"/>
      <c r="EJ35" s="18" t="n"/>
      <c r="EK35" s="18" t="n"/>
      <c r="EL35" s="18" t="n"/>
      <c r="EM35" s="18" t="n"/>
      <c r="EN35" s="18" t="n"/>
      <c r="EO35" s="18" t="n"/>
      <c r="EP35" s="18" t="n"/>
      <c r="EQ35" s="18" t="n"/>
      <c r="ER35" s="18" t="n"/>
      <c r="ES35" s="18" t="n"/>
      <c r="ET35" s="18" t="n"/>
      <c r="EU35" s="18" t="n"/>
      <c r="EV35" s="18" t="n"/>
      <c r="EW35" s="18" t="n"/>
      <c r="EX35" s="18" t="n"/>
      <c r="EY35" s="18" t="n"/>
      <c r="EZ35" s="18" t="n"/>
      <c r="FA35" s="18" t="n"/>
      <c r="FB35" s="18" t="n"/>
      <c r="FC35" s="18" t="n"/>
      <c r="FD35" s="18" t="n"/>
      <c r="FE35" s="18" t="n"/>
      <c r="FF35" s="18" t="n"/>
      <c r="FG35" s="18" t="n"/>
      <c r="FH35" s="18" t="n"/>
      <c r="FI35" s="18" t="n"/>
      <c r="FJ35" s="18" t="n"/>
      <c r="FK35" s="18" t="n"/>
      <c r="FL35" s="18" t="n"/>
      <c r="FM35" s="18" t="n"/>
      <c r="FN35" s="18" t="n"/>
      <c r="FO35" s="18" t="n"/>
      <c r="FP35" s="18" t="n"/>
      <c r="FQ35" s="18" t="n"/>
      <c r="FR35" s="18" t="n"/>
      <c r="FS35" s="18" t="n"/>
      <c r="FT35" s="18" t="n"/>
      <c r="FU35" s="18" t="n"/>
      <c r="FV35" s="18" t="n"/>
      <c r="FW35" s="18" t="n"/>
      <c r="FX35" s="18" t="n"/>
      <c r="FY35" s="18" t="n"/>
      <c r="FZ35" s="18" t="n"/>
      <c r="GA35" s="18" t="n"/>
      <c r="GB35" s="18" t="n"/>
      <c r="GC35" s="18" t="n"/>
      <c r="GD35" s="18" t="n"/>
      <c r="GE35" s="18" t="n"/>
      <c r="GF35" s="18" t="n"/>
      <c r="GG35" s="18" t="n"/>
      <c r="GH35" s="18" t="n"/>
      <c r="GI35" s="18" t="n"/>
      <c r="GJ35" s="18" t="n"/>
      <c r="GK35" s="18" t="n"/>
      <c r="GL35" s="18" t="n"/>
      <c r="GM35" s="18" t="n"/>
      <c r="GN35" s="18" t="n"/>
      <c r="GO35" s="18" t="n"/>
      <c r="GP35" s="18" t="n"/>
      <c r="GQ35" s="18" t="n"/>
      <c r="GR35" s="18" t="n"/>
      <c r="GS35" s="18" t="n"/>
      <c r="GT35" s="18" t="n"/>
      <c r="GU35" s="18" t="n"/>
      <c r="GV35" s="18" t="n"/>
      <c r="GW35" s="18" t="n"/>
      <c r="GX35" s="18" t="n"/>
      <c r="GY35" s="18" t="n"/>
      <c r="GZ35" s="18" t="n"/>
      <c r="HA35" s="18" t="n"/>
      <c r="HB35" s="18" t="n"/>
      <c r="HC35" s="18" t="n"/>
      <c r="HD35" s="18" t="n"/>
      <c r="HE35" s="18" t="n"/>
      <c r="HF35" s="18" t="n"/>
      <c r="HG35" s="18" t="n"/>
      <c r="HH35" s="18" t="n"/>
      <c r="HI35" s="18" t="n"/>
      <c r="HJ35" s="18" t="n"/>
      <c r="HK35" s="18" t="n"/>
      <c r="HL35" s="18" t="n"/>
      <c r="HM35" s="18" t="n"/>
      <c r="HN35" s="18" t="n"/>
      <c r="HO35" s="18" t="n"/>
      <c r="HP35" s="18" t="n"/>
      <c r="HQ35" s="18" t="n"/>
      <c r="HR35" s="18" t="n"/>
      <c r="HS35" s="18" t="n"/>
      <c r="HT35" s="18" t="n"/>
      <c r="HU35" s="18" t="n"/>
      <c r="HV35" s="18" t="n"/>
      <c r="HW35" s="18" t="n"/>
      <c r="HX35" s="18" t="n"/>
      <c r="HY35" s="18" t="n"/>
      <c r="HZ35" s="18" t="n"/>
      <c r="IA35" s="18" t="n"/>
      <c r="IB35" s="18" t="n"/>
      <c r="IC35" s="18" t="n"/>
      <c r="ID35" s="18" t="n"/>
      <c r="IE35" s="18" t="n"/>
      <c r="IF35" s="18" t="n"/>
      <c r="IG35" s="18" t="n"/>
      <c r="IH35" s="18" t="n"/>
      <c r="II35" s="18" t="n"/>
      <c r="IJ35" s="18" t="n"/>
      <c r="IK35" s="18" t="n"/>
      <c r="IL35" s="18" t="n"/>
      <c r="IM35" s="18" t="n"/>
      <c r="IN35" s="18" t="n"/>
      <c r="IO35" s="18" t="n"/>
      <c r="IP35" s="18" t="n"/>
      <c r="IQ35" s="18" t="n"/>
      <c r="IR35" s="18" t="n"/>
      <c r="IS35" s="18" t="n"/>
      <c r="IT35" s="18" t="n"/>
      <c r="IU35" s="18" t="n"/>
      <c r="IV35" s="18" t="n"/>
      <c r="IW35" s="18" t="n"/>
      <c r="IX35" s="18" t="n"/>
      <c r="IY35" s="18" t="n"/>
      <c r="IZ35" s="18" t="n"/>
      <c r="JA35" s="18" t="n"/>
      <c r="JB35" s="18" t="n"/>
      <c r="JC35" s="18" t="n"/>
      <c r="JD35" s="18" t="n"/>
      <c r="JE35" s="18" t="n"/>
      <c r="JF35" s="18" t="n"/>
      <c r="JG35" s="18" t="n"/>
      <c r="JH35" s="18" t="n"/>
      <c r="JI35" s="18" t="n"/>
      <c r="JJ35" s="18" t="n"/>
      <c r="JK35" s="18" t="n"/>
      <c r="JL35" s="18" t="n"/>
      <c r="JM35" s="18" t="n"/>
      <c r="JN35" s="18" t="n"/>
      <c r="JO35" s="18" t="n"/>
      <c r="JP35" s="18" t="n"/>
      <c r="JQ35" s="18" t="n"/>
      <c r="JR35" s="18" t="n"/>
      <c r="JS35" s="18" t="n"/>
      <c r="JT35" s="18" t="n"/>
      <c r="JU35" s="18" t="n"/>
      <c r="JV35" s="18" t="n"/>
      <c r="JW35" s="18" t="n"/>
    </row>
    <row r="36">
      <c r="A36" s="18" t="n"/>
      <c r="B36" s="18" t="n"/>
      <c r="C36" s="18" t="n"/>
      <c r="D36" s="18" t="n"/>
      <c r="E36" s="40" t="n"/>
      <c r="F36" s="40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Y36" s="18" t="n"/>
      <c r="DZ36" s="18" t="n"/>
      <c r="EA36" s="18" t="n"/>
      <c r="EB36" s="18" t="n"/>
      <c r="EC36" s="18" t="n"/>
      <c r="ED36" s="18" t="n"/>
      <c r="EE36" s="18" t="n"/>
      <c r="EF36" s="18" t="n"/>
      <c r="EG36" s="18" t="n"/>
      <c r="EH36" s="18" t="n"/>
      <c r="EI36" s="18" t="n"/>
      <c r="EJ36" s="18" t="n"/>
      <c r="EK36" s="18" t="n"/>
      <c r="EL36" s="18" t="n"/>
      <c r="EM36" s="18" t="n"/>
      <c r="EN36" s="18" t="n"/>
      <c r="EO36" s="18" t="n"/>
      <c r="EP36" s="18" t="n"/>
      <c r="EQ36" s="18" t="n"/>
      <c r="ER36" s="18" t="n"/>
      <c r="ES36" s="18" t="n"/>
      <c r="ET36" s="18" t="n"/>
      <c r="EU36" s="18" t="n"/>
      <c r="EV36" s="18" t="n"/>
      <c r="EW36" s="18" t="n"/>
      <c r="EX36" s="18" t="n"/>
      <c r="EY36" s="18" t="n"/>
      <c r="EZ36" s="18" t="n"/>
      <c r="FA36" s="18" t="n"/>
      <c r="FB36" s="18" t="n"/>
      <c r="FC36" s="18" t="n"/>
      <c r="FD36" s="18" t="n"/>
      <c r="FE36" s="18" t="n"/>
      <c r="FF36" s="18" t="n"/>
      <c r="FG36" s="18" t="n"/>
      <c r="FH36" s="18" t="n"/>
      <c r="FI36" s="18" t="n"/>
      <c r="FJ36" s="18" t="n"/>
      <c r="FK36" s="18" t="n"/>
      <c r="FL36" s="18" t="n"/>
      <c r="FM36" s="18" t="n"/>
      <c r="FN36" s="18" t="n"/>
      <c r="FO36" s="18" t="n"/>
      <c r="FP36" s="18" t="n"/>
      <c r="FQ36" s="18" t="n"/>
      <c r="FR36" s="18" t="n"/>
      <c r="FS36" s="18" t="n"/>
      <c r="FT36" s="18" t="n"/>
      <c r="FU36" s="18" t="n"/>
      <c r="FV36" s="18" t="n"/>
      <c r="FW36" s="18" t="n"/>
      <c r="FX36" s="18" t="n"/>
      <c r="FY36" s="18" t="n"/>
      <c r="FZ36" s="18" t="n"/>
      <c r="GA36" s="18" t="n"/>
      <c r="GB36" s="18" t="n"/>
      <c r="GC36" s="18" t="n"/>
      <c r="GD36" s="18" t="n"/>
      <c r="GE36" s="18" t="n"/>
      <c r="GF36" s="18" t="n"/>
      <c r="GG36" s="18" t="n"/>
      <c r="GH36" s="18" t="n"/>
      <c r="GI36" s="18" t="n"/>
      <c r="GJ36" s="18" t="n"/>
      <c r="GK36" s="18" t="n"/>
      <c r="GL36" s="18" t="n"/>
      <c r="GM36" s="18" t="n"/>
      <c r="GN36" s="18" t="n"/>
      <c r="GO36" s="18" t="n"/>
      <c r="GP36" s="18" t="n"/>
      <c r="GQ36" s="18" t="n"/>
      <c r="GR36" s="18" t="n"/>
      <c r="GS36" s="18" t="n"/>
      <c r="GT36" s="18" t="n"/>
      <c r="GU36" s="18" t="n"/>
      <c r="GV36" s="18" t="n"/>
      <c r="GW36" s="18" t="n"/>
      <c r="GX36" s="18" t="n"/>
      <c r="GY36" s="18" t="n"/>
      <c r="GZ36" s="18" t="n"/>
      <c r="HA36" s="18" t="n"/>
      <c r="HB36" s="18" t="n"/>
      <c r="HC36" s="18" t="n"/>
      <c r="HD36" s="18" t="n"/>
      <c r="HE36" s="18" t="n"/>
      <c r="HF36" s="18" t="n"/>
      <c r="HG36" s="18" t="n"/>
      <c r="HH36" s="18" t="n"/>
      <c r="HI36" s="18" t="n"/>
      <c r="HJ36" s="18" t="n"/>
      <c r="HK36" s="18" t="n"/>
      <c r="HL36" s="18" t="n"/>
      <c r="HM36" s="18" t="n"/>
      <c r="HN36" s="18" t="n"/>
      <c r="HO36" s="18" t="n"/>
      <c r="HP36" s="18" t="n"/>
      <c r="HQ36" s="18" t="n"/>
      <c r="HR36" s="18" t="n"/>
      <c r="HS36" s="18" t="n"/>
      <c r="HT36" s="18" t="n"/>
      <c r="HU36" s="18" t="n"/>
      <c r="HV36" s="18" t="n"/>
      <c r="HW36" s="18" t="n"/>
      <c r="HX36" s="18" t="n"/>
      <c r="HY36" s="18" t="n"/>
      <c r="HZ36" s="18" t="n"/>
      <c r="IA36" s="18" t="n"/>
      <c r="IB36" s="18" t="n"/>
      <c r="IC36" s="18" t="n"/>
      <c r="ID36" s="18" t="n"/>
      <c r="IE36" s="18" t="n"/>
      <c r="IF36" s="18" t="n"/>
      <c r="IG36" s="18" t="n"/>
      <c r="IH36" s="18" t="n"/>
      <c r="II36" s="18" t="n"/>
      <c r="IJ36" s="18" t="n"/>
      <c r="IK36" s="18" t="n"/>
      <c r="IL36" s="18" t="n"/>
      <c r="IM36" s="18" t="n"/>
      <c r="IN36" s="18" t="n"/>
      <c r="IO36" s="18" t="n"/>
      <c r="IP36" s="18" t="n"/>
      <c r="IQ36" s="18" t="n"/>
      <c r="IR36" s="18" t="n"/>
      <c r="IS36" s="18" t="n"/>
      <c r="IT36" s="18" t="n"/>
      <c r="IU36" s="18" t="n"/>
      <c r="IV36" s="18" t="n"/>
      <c r="IW36" s="18" t="n"/>
      <c r="IX36" s="18" t="n"/>
      <c r="IY36" s="18" t="n"/>
      <c r="IZ36" s="18" t="n"/>
      <c r="JA36" s="18" t="n"/>
      <c r="JB36" s="18" t="n"/>
      <c r="JC36" s="18" t="n"/>
      <c r="JD36" s="18" t="n"/>
      <c r="JE36" s="18" t="n"/>
      <c r="JF36" s="18" t="n"/>
      <c r="JG36" s="18" t="n"/>
      <c r="JH36" s="18" t="n"/>
      <c r="JI36" s="18" t="n"/>
      <c r="JJ36" s="18" t="n"/>
      <c r="JK36" s="18" t="n"/>
      <c r="JL36" s="18" t="n"/>
      <c r="JM36" s="18" t="n"/>
      <c r="JN36" s="18" t="n"/>
      <c r="JO36" s="18" t="n"/>
      <c r="JP36" s="18" t="n"/>
      <c r="JQ36" s="18" t="n"/>
      <c r="JR36" s="18" t="n"/>
      <c r="JS36" s="18" t="n"/>
      <c r="JT36" s="18" t="n"/>
      <c r="JU36" s="18" t="n"/>
      <c r="JV36" s="18" t="n"/>
      <c r="JW36" s="18" t="n"/>
      <c r="JX36" s="18" t="n"/>
      <c r="JY36" s="18" t="n"/>
      <c r="JZ36" s="18" t="n"/>
      <c r="KA36" s="18" t="n"/>
    </row>
    <row r="37">
      <c r="A37" s="18" t="n"/>
      <c r="B37" s="18" t="n"/>
      <c r="C37" s="18" t="n"/>
      <c r="D37" s="18" t="n"/>
      <c r="E37" s="40" t="n"/>
      <c r="F37" s="40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  <c r="DY37" s="18" t="n"/>
      <c r="DZ37" s="18" t="n"/>
      <c r="EA37" s="18" t="n"/>
      <c r="EB37" s="18" t="n"/>
      <c r="EC37" s="18" t="n"/>
      <c r="ED37" s="18" t="n"/>
      <c r="EE37" s="18" t="n"/>
      <c r="EF37" s="18" t="n"/>
      <c r="EG37" s="18" t="n"/>
      <c r="EH37" s="18" t="n"/>
      <c r="EI37" s="18" t="n"/>
      <c r="EJ37" s="18" t="n"/>
      <c r="EK37" s="18" t="n"/>
      <c r="EL37" s="18" t="n"/>
      <c r="EM37" s="18" t="n"/>
      <c r="EN37" s="18" t="n"/>
      <c r="EO37" s="18" t="n"/>
      <c r="EP37" s="18" t="n"/>
      <c r="EQ37" s="18" t="n"/>
      <c r="ER37" s="18" t="n"/>
      <c r="ES37" s="18" t="n"/>
      <c r="ET37" s="18" t="n"/>
      <c r="EU37" s="18" t="n"/>
      <c r="EV37" s="18" t="n"/>
      <c r="EW37" s="18" t="n"/>
      <c r="EX37" s="18" t="n"/>
      <c r="EY37" s="18" t="n"/>
      <c r="EZ37" s="18" t="n"/>
      <c r="FA37" s="18" t="n"/>
      <c r="FB37" s="18" t="n"/>
      <c r="FC37" s="18" t="n"/>
      <c r="FD37" s="18" t="n"/>
      <c r="FE37" s="18" t="n"/>
      <c r="FF37" s="18" t="n"/>
      <c r="FG37" s="18" t="n"/>
      <c r="FH37" s="18" t="n"/>
      <c r="FI37" s="18" t="n"/>
      <c r="FJ37" s="18" t="n"/>
      <c r="FK37" s="18" t="n"/>
      <c r="FL37" s="18" t="n"/>
      <c r="FM37" s="18" t="n"/>
      <c r="FN37" s="18" t="n"/>
      <c r="FO37" s="18" t="n"/>
      <c r="FP37" s="18" t="n"/>
      <c r="FQ37" s="18" t="n"/>
      <c r="FR37" s="18" t="n"/>
      <c r="FS37" s="18" t="n"/>
      <c r="FT37" s="18" t="n"/>
      <c r="FU37" s="18" t="n"/>
      <c r="FV37" s="18" t="n"/>
      <c r="FW37" s="18" t="n"/>
      <c r="FX37" s="18" t="n"/>
      <c r="FY37" s="18" t="n"/>
      <c r="FZ37" s="18" t="n"/>
      <c r="GA37" s="18" t="n"/>
      <c r="GB37" s="18" t="n"/>
      <c r="GC37" s="18" t="n"/>
      <c r="GD37" s="18" t="n"/>
      <c r="GE37" s="18" t="n"/>
      <c r="GF37" s="18" t="n"/>
      <c r="GG37" s="18" t="n"/>
      <c r="GH37" s="18" t="n"/>
      <c r="GI37" s="18" t="n"/>
      <c r="GJ37" s="18" t="n"/>
      <c r="GK37" s="18" t="n"/>
      <c r="GL37" s="18" t="n"/>
      <c r="GM37" s="18" t="n"/>
      <c r="GN37" s="18" t="n"/>
      <c r="GO37" s="18" t="n"/>
      <c r="GP37" s="18" t="n"/>
      <c r="GQ37" s="18" t="n"/>
      <c r="GR37" s="18" t="n"/>
      <c r="GS37" s="18" t="n"/>
      <c r="GT37" s="18" t="n"/>
      <c r="GU37" s="18" t="n"/>
      <c r="GV37" s="18" t="n"/>
      <c r="GW37" s="18" t="n"/>
      <c r="GX37" s="18" t="n"/>
      <c r="GY37" s="18" t="n"/>
      <c r="GZ37" s="18" t="n"/>
      <c r="HA37" s="18" t="n"/>
      <c r="HB37" s="18" t="n"/>
      <c r="HC37" s="18" t="n"/>
      <c r="HD37" s="18" t="n"/>
      <c r="HE37" s="18" t="n"/>
      <c r="HF37" s="18" t="n"/>
      <c r="HG37" s="18" t="n"/>
      <c r="HH37" s="18" t="n"/>
      <c r="HI37" s="18" t="n"/>
      <c r="HJ37" s="18" t="n"/>
      <c r="HK37" s="18" t="n"/>
      <c r="HL37" s="18" t="n"/>
      <c r="HM37" s="18" t="n"/>
      <c r="HN37" s="18" t="n"/>
      <c r="HO37" s="18" t="n"/>
      <c r="HP37" s="18" t="n"/>
      <c r="HQ37" s="18" t="n"/>
      <c r="HR37" s="18" t="n"/>
      <c r="HS37" s="18" t="n"/>
      <c r="HT37" s="18" t="n"/>
      <c r="HU37" s="18" t="n"/>
      <c r="HV37" s="18" t="n"/>
      <c r="HW37" s="18" t="n"/>
      <c r="HX37" s="18" t="n"/>
      <c r="HY37" s="18" t="n"/>
      <c r="HZ37" s="18" t="n"/>
      <c r="IA37" s="18" t="n"/>
      <c r="IB37" s="18" t="n"/>
      <c r="IC37" s="18" t="n"/>
      <c r="ID37" s="18" t="n"/>
      <c r="IE37" s="18" t="n"/>
      <c r="IF37" s="18" t="n"/>
      <c r="IG37" s="18" t="n"/>
      <c r="IH37" s="18" t="n"/>
      <c r="II37" s="18" t="n"/>
      <c r="IJ37" s="18" t="n"/>
      <c r="IK37" s="18" t="n"/>
      <c r="IL37" s="18" t="n"/>
      <c r="IM37" s="18" t="n"/>
      <c r="IN37" s="18" t="n"/>
      <c r="IO37" s="18" t="n"/>
      <c r="IP37" s="18" t="n"/>
      <c r="IQ37" s="18" t="n"/>
      <c r="IR37" s="18" t="n"/>
      <c r="IS37" s="18" t="n"/>
      <c r="IT37" s="18" t="n"/>
      <c r="IU37" s="18" t="n"/>
      <c r="IV37" s="18" t="n"/>
      <c r="IW37" s="18" t="n"/>
      <c r="IX37" s="18" t="n"/>
      <c r="IY37" s="18" t="n"/>
      <c r="IZ37" s="18" t="n"/>
      <c r="JA37" s="18" t="n"/>
      <c r="JB37" s="18" t="n"/>
      <c r="JC37" s="18" t="n"/>
      <c r="JD37" s="18" t="n"/>
      <c r="JE37" s="18" t="n"/>
      <c r="JF37" s="18" t="n"/>
      <c r="JG37" s="18" t="n"/>
      <c r="JH37" s="18" t="n"/>
      <c r="JI37" s="18" t="n"/>
      <c r="JJ37" s="18" t="n"/>
      <c r="JK37" s="18" t="n"/>
      <c r="JL37" s="18" t="n"/>
      <c r="JM37" s="18" t="n"/>
      <c r="JN37" s="18" t="n"/>
      <c r="JO37" s="18" t="n"/>
      <c r="JP37" s="18" t="n"/>
      <c r="JQ37" s="18" t="n"/>
      <c r="JR37" s="18" t="n"/>
      <c r="JS37" s="18" t="n"/>
      <c r="JT37" s="18" t="n"/>
      <c r="JU37" s="18" t="n"/>
      <c r="JV37" s="18" t="n"/>
      <c r="JW37" s="18" t="n"/>
      <c r="JX37" s="18" t="n"/>
      <c r="JY37" s="18" t="n"/>
      <c r="JZ37" s="18" t="n"/>
      <c r="KA37" s="18" t="n"/>
      <c r="KB37" s="18" t="n"/>
      <c r="KC37" s="18" t="n"/>
      <c r="KD37" s="18" t="n"/>
      <c r="KE37" s="18" t="n"/>
    </row>
    <row r="38">
      <c r="A38" s="18" t="n"/>
      <c r="B38" s="18" t="n"/>
      <c r="C38" s="18" t="n"/>
      <c r="D38" s="18" t="n"/>
      <c r="E38" s="40" t="n"/>
      <c r="F38" s="40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  <c r="DY38" s="18" t="n"/>
      <c r="DZ38" s="18" t="n"/>
      <c r="EA38" s="18" t="n"/>
      <c r="EB38" s="18" t="n"/>
      <c r="EC38" s="18" t="n"/>
      <c r="ED38" s="18" t="n"/>
      <c r="EE38" s="18" t="n"/>
      <c r="EF38" s="18" t="n"/>
      <c r="EG38" s="18" t="n"/>
      <c r="EH38" s="18" t="n"/>
      <c r="EI38" s="18" t="n"/>
      <c r="EJ38" s="18" t="n"/>
      <c r="EK38" s="18" t="n"/>
      <c r="EL38" s="18" t="n"/>
      <c r="EM38" s="18" t="n"/>
      <c r="EN38" s="18" t="n"/>
      <c r="EO38" s="18" t="n"/>
      <c r="EP38" s="18" t="n"/>
      <c r="EQ38" s="18" t="n"/>
      <c r="ER38" s="18" t="n"/>
      <c r="ES38" s="18" t="n"/>
      <c r="ET38" s="18" t="n"/>
      <c r="EU38" s="18" t="n"/>
      <c r="EV38" s="18" t="n"/>
      <c r="EW38" s="18" t="n"/>
      <c r="EX38" s="18" t="n"/>
      <c r="EY38" s="18" t="n"/>
      <c r="EZ38" s="18" t="n"/>
      <c r="FA38" s="18" t="n"/>
      <c r="FB38" s="18" t="n"/>
      <c r="FC38" s="18" t="n"/>
      <c r="FD38" s="18" t="n"/>
      <c r="FE38" s="18" t="n"/>
      <c r="FF38" s="18" t="n"/>
      <c r="FG38" s="18" t="n"/>
      <c r="FH38" s="18" t="n"/>
      <c r="FI38" s="18" t="n"/>
      <c r="FJ38" s="18" t="n"/>
      <c r="FK38" s="18" t="n"/>
      <c r="FL38" s="18" t="n"/>
      <c r="FM38" s="18" t="n"/>
      <c r="FN38" s="18" t="n"/>
      <c r="FO38" s="18" t="n"/>
      <c r="FP38" s="18" t="n"/>
      <c r="FQ38" s="18" t="n"/>
      <c r="FR38" s="18" t="n"/>
      <c r="FS38" s="18" t="n"/>
      <c r="FT38" s="18" t="n"/>
      <c r="FU38" s="18" t="n"/>
      <c r="FV38" s="18" t="n"/>
      <c r="FW38" s="18" t="n"/>
      <c r="FX38" s="18" t="n"/>
      <c r="FY38" s="18" t="n"/>
      <c r="FZ38" s="18" t="n"/>
      <c r="GA38" s="18" t="n"/>
      <c r="GB38" s="18" t="n"/>
      <c r="GC38" s="18" t="n"/>
      <c r="GD38" s="18" t="n"/>
      <c r="GE38" s="18" t="n"/>
      <c r="GF38" s="18" t="n"/>
      <c r="GG38" s="18" t="n"/>
      <c r="GH38" s="18" t="n"/>
      <c r="GI38" s="18" t="n"/>
      <c r="GJ38" s="18" t="n"/>
      <c r="GK38" s="18" t="n"/>
      <c r="GL38" s="18" t="n"/>
      <c r="GM38" s="18" t="n"/>
      <c r="GN38" s="18" t="n"/>
      <c r="GO38" s="18" t="n"/>
      <c r="GP38" s="18" t="n"/>
      <c r="GQ38" s="18" t="n"/>
      <c r="GR38" s="18" t="n"/>
      <c r="GS38" s="18" t="n"/>
      <c r="GT38" s="18" t="n"/>
      <c r="GU38" s="18" t="n"/>
      <c r="GV38" s="18" t="n"/>
      <c r="GW38" s="18" t="n"/>
      <c r="GX38" s="18" t="n"/>
      <c r="GY38" s="18" t="n"/>
      <c r="GZ38" s="18" t="n"/>
      <c r="HA38" s="18" t="n"/>
      <c r="HB38" s="18" t="n"/>
      <c r="HC38" s="18" t="n"/>
      <c r="HD38" s="18" t="n"/>
      <c r="HE38" s="18" t="n"/>
      <c r="HF38" s="18" t="n"/>
      <c r="HG38" s="18" t="n"/>
      <c r="HH38" s="18" t="n"/>
      <c r="HI38" s="18" t="n"/>
      <c r="HJ38" s="18" t="n"/>
      <c r="HK38" s="18" t="n"/>
      <c r="HL38" s="18" t="n"/>
      <c r="HM38" s="18" t="n"/>
      <c r="HN38" s="18" t="n"/>
      <c r="HO38" s="18" t="n"/>
      <c r="HP38" s="18" t="n"/>
      <c r="HQ38" s="18" t="n"/>
      <c r="HR38" s="18" t="n"/>
      <c r="HS38" s="18" t="n"/>
      <c r="HT38" s="18" t="n"/>
      <c r="HU38" s="18" t="n"/>
      <c r="HV38" s="18" t="n"/>
      <c r="HW38" s="18" t="n"/>
      <c r="HX38" s="18" t="n"/>
      <c r="HY38" s="18" t="n"/>
      <c r="HZ38" s="18" t="n"/>
      <c r="IA38" s="18" t="n"/>
      <c r="IB38" s="18" t="n"/>
      <c r="IC38" s="18" t="n"/>
      <c r="ID38" s="18" t="n"/>
      <c r="IE38" s="18" t="n"/>
      <c r="IF38" s="18" t="n"/>
      <c r="IG38" s="18" t="n"/>
      <c r="IH38" s="18" t="n"/>
      <c r="II38" s="18" t="n"/>
      <c r="IJ38" s="18" t="n"/>
      <c r="IK38" s="18" t="n"/>
      <c r="IL38" s="18" t="n"/>
      <c r="IM38" s="18" t="n"/>
      <c r="IN38" s="18" t="n"/>
      <c r="IO38" s="18" t="n"/>
      <c r="IP38" s="18" t="n"/>
      <c r="IQ38" s="18" t="n"/>
      <c r="IR38" s="18" t="n"/>
      <c r="IS38" s="18" t="n"/>
      <c r="IT38" s="18" t="n"/>
      <c r="IU38" s="18" t="n"/>
      <c r="IV38" s="18" t="n"/>
      <c r="IW38" s="18" t="n"/>
      <c r="IX38" s="18" t="n"/>
      <c r="IY38" s="18" t="n"/>
      <c r="IZ38" s="18" t="n"/>
      <c r="JA38" s="18" t="n"/>
      <c r="JB38" s="18" t="n"/>
      <c r="JC38" s="18" t="n"/>
      <c r="JD38" s="18" t="n"/>
      <c r="JE38" s="18" t="n"/>
      <c r="JF38" s="18" t="n"/>
      <c r="JG38" s="18" t="n"/>
      <c r="JH38" s="18" t="n"/>
      <c r="JI38" s="18" t="n"/>
      <c r="JJ38" s="18" t="n"/>
      <c r="JK38" s="18" t="n"/>
      <c r="JL38" s="18" t="n"/>
      <c r="JM38" s="18" t="n"/>
      <c r="JN38" s="18" t="n"/>
      <c r="JO38" s="18" t="n"/>
      <c r="JP38" s="18" t="n"/>
      <c r="JQ38" s="18" t="n"/>
      <c r="JR38" s="18" t="n"/>
      <c r="JS38" s="18" t="n"/>
      <c r="JT38" s="18" t="n"/>
      <c r="JU38" s="18" t="n"/>
      <c r="JV38" s="18" t="n"/>
      <c r="JW38" s="18" t="n"/>
      <c r="JX38" s="18" t="n"/>
      <c r="JY38" s="18" t="n"/>
      <c r="JZ38" s="18" t="n"/>
      <c r="KA38" s="18" t="n"/>
      <c r="KB38" s="18" t="n"/>
      <c r="KC38" s="18" t="n"/>
      <c r="KD38" s="18" t="n"/>
      <c r="KE38" s="18" t="n"/>
      <c r="KF38" s="18" t="n"/>
      <c r="KG38" s="18" t="n"/>
      <c r="KH38" s="18" t="n"/>
      <c r="KI38" s="18" t="n"/>
    </row>
    <row r="39">
      <c r="A39" s="18" t="n"/>
      <c r="B39" s="18" t="n"/>
      <c r="C39" s="18" t="n"/>
      <c r="D39" s="18" t="n"/>
      <c r="E39" s="40" t="n"/>
      <c r="F39" s="40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  <c r="DY39" s="18" t="n"/>
      <c r="DZ39" s="18" t="n"/>
      <c r="EA39" s="18" t="n"/>
      <c r="EB39" s="18" t="n"/>
      <c r="EC39" s="18" t="n"/>
      <c r="ED39" s="18" t="n"/>
      <c r="EE39" s="18" t="n"/>
      <c r="EF39" s="18" t="n"/>
      <c r="EG39" s="18" t="n"/>
      <c r="EH39" s="18" t="n"/>
      <c r="EI39" s="18" t="n"/>
      <c r="EJ39" s="18" t="n"/>
      <c r="EK39" s="18" t="n"/>
      <c r="EL39" s="18" t="n"/>
      <c r="EM39" s="18" t="n"/>
      <c r="EN39" s="18" t="n"/>
      <c r="EO39" s="18" t="n"/>
      <c r="EP39" s="18" t="n"/>
      <c r="EQ39" s="18" t="n"/>
      <c r="ER39" s="18" t="n"/>
      <c r="ES39" s="18" t="n"/>
      <c r="ET39" s="18" t="n"/>
      <c r="EU39" s="18" t="n"/>
      <c r="EV39" s="18" t="n"/>
      <c r="EW39" s="18" t="n"/>
      <c r="EX39" s="18" t="n"/>
      <c r="EY39" s="18" t="n"/>
      <c r="EZ39" s="18" t="n"/>
      <c r="FA39" s="18" t="n"/>
      <c r="FB39" s="18" t="n"/>
      <c r="FC39" s="18" t="n"/>
      <c r="FD39" s="18" t="n"/>
      <c r="FE39" s="18" t="n"/>
      <c r="FF39" s="18" t="n"/>
      <c r="FG39" s="18" t="n"/>
      <c r="FH39" s="18" t="n"/>
      <c r="FI39" s="18" t="n"/>
      <c r="FJ39" s="18" t="n"/>
      <c r="FK39" s="18" t="n"/>
      <c r="FL39" s="18" t="n"/>
      <c r="FM39" s="18" t="n"/>
      <c r="FN39" s="18" t="n"/>
      <c r="FO39" s="18" t="n"/>
      <c r="FP39" s="18" t="n"/>
      <c r="FQ39" s="18" t="n"/>
      <c r="FR39" s="18" t="n"/>
      <c r="FS39" s="18" t="n"/>
      <c r="FT39" s="18" t="n"/>
      <c r="FU39" s="18" t="n"/>
      <c r="FV39" s="18" t="n"/>
      <c r="FW39" s="18" t="n"/>
      <c r="FX39" s="18" t="n"/>
      <c r="FY39" s="18" t="n"/>
      <c r="FZ39" s="18" t="n"/>
      <c r="GA39" s="18" t="n"/>
      <c r="GB39" s="18" t="n"/>
      <c r="GC39" s="18" t="n"/>
      <c r="GD39" s="18" t="n"/>
      <c r="GE39" s="18" t="n"/>
      <c r="GF39" s="18" t="n"/>
      <c r="GG39" s="18" t="n"/>
      <c r="GH39" s="18" t="n"/>
      <c r="GI39" s="18" t="n"/>
      <c r="GJ39" s="18" t="n"/>
      <c r="GK39" s="18" t="n"/>
      <c r="GL39" s="18" t="n"/>
      <c r="GM39" s="18" t="n"/>
      <c r="GN39" s="18" t="n"/>
      <c r="GO39" s="18" t="n"/>
      <c r="GP39" s="18" t="n"/>
      <c r="GQ39" s="18" t="n"/>
      <c r="GR39" s="18" t="n"/>
      <c r="GS39" s="18" t="n"/>
      <c r="GT39" s="18" t="n"/>
      <c r="GU39" s="18" t="n"/>
      <c r="GV39" s="18" t="n"/>
      <c r="GW39" s="18" t="n"/>
      <c r="GX39" s="18" t="n"/>
      <c r="GY39" s="18" t="n"/>
      <c r="GZ39" s="18" t="n"/>
      <c r="HA39" s="18" t="n"/>
      <c r="HB39" s="18" t="n"/>
      <c r="HC39" s="18" t="n"/>
      <c r="HD39" s="18" t="n"/>
      <c r="HE39" s="18" t="n"/>
      <c r="HF39" s="18" t="n"/>
      <c r="HG39" s="18" t="n"/>
      <c r="HH39" s="18" t="n"/>
      <c r="HI39" s="18" t="n"/>
      <c r="HJ39" s="18" t="n"/>
      <c r="HK39" s="18" t="n"/>
      <c r="HL39" s="18" t="n"/>
      <c r="HM39" s="18" t="n"/>
      <c r="HN39" s="18" t="n"/>
      <c r="HO39" s="18" t="n"/>
      <c r="HP39" s="18" t="n"/>
      <c r="HQ39" s="18" t="n"/>
      <c r="HR39" s="18" t="n"/>
      <c r="HS39" s="18" t="n"/>
      <c r="HT39" s="18" t="n"/>
      <c r="HU39" s="18" t="n"/>
      <c r="HV39" s="18" t="n"/>
      <c r="HW39" s="18" t="n"/>
      <c r="HX39" s="18" t="n"/>
      <c r="HY39" s="18" t="n"/>
      <c r="HZ39" s="18" t="n"/>
      <c r="IA39" s="18" t="n"/>
      <c r="IB39" s="18" t="n"/>
      <c r="IC39" s="18" t="n"/>
      <c r="ID39" s="18" t="n"/>
      <c r="IE39" s="18" t="n"/>
      <c r="IF39" s="18" t="n"/>
      <c r="IG39" s="18" t="n"/>
      <c r="IH39" s="18" t="n"/>
      <c r="II39" s="18" t="n"/>
      <c r="IJ39" s="18" t="n"/>
      <c r="IK39" s="18" t="n"/>
      <c r="IL39" s="18" t="n"/>
      <c r="IM39" s="18" t="n"/>
      <c r="IN39" s="18" t="n"/>
      <c r="IO39" s="18" t="n"/>
      <c r="IP39" s="18" t="n"/>
      <c r="IQ39" s="18" t="n"/>
      <c r="IR39" s="18" t="n"/>
      <c r="IS39" s="18" t="n"/>
      <c r="IT39" s="18" t="n"/>
      <c r="IU39" s="18" t="n"/>
      <c r="IV39" s="18" t="n"/>
      <c r="IW39" s="18" t="n"/>
      <c r="IX39" s="18" t="n"/>
      <c r="IY39" s="18" t="n"/>
      <c r="IZ39" s="18" t="n"/>
      <c r="JA39" s="18" t="n"/>
      <c r="JB39" s="18" t="n"/>
      <c r="JC39" s="18" t="n"/>
      <c r="JD39" s="18" t="n"/>
      <c r="JE39" s="18" t="n"/>
      <c r="JF39" s="18" t="n"/>
      <c r="JG39" s="18" t="n"/>
      <c r="JH39" s="18" t="n"/>
      <c r="JI39" s="18" t="n"/>
      <c r="JJ39" s="18" t="n"/>
      <c r="JK39" s="18" t="n"/>
      <c r="JL39" s="18" t="n"/>
      <c r="JM39" s="18" t="n"/>
      <c r="JN39" s="18" t="n"/>
      <c r="JO39" s="18" t="n"/>
      <c r="JP39" s="18" t="n"/>
      <c r="JQ39" s="18" t="n"/>
      <c r="JR39" s="18" t="n"/>
      <c r="JS39" s="18" t="n"/>
      <c r="JT39" s="18" t="n"/>
      <c r="JU39" s="18" t="n"/>
      <c r="JV39" s="18" t="n"/>
      <c r="JW39" s="18" t="n"/>
      <c r="JX39" s="18" t="n"/>
      <c r="JY39" s="18" t="n"/>
      <c r="JZ39" s="18" t="n"/>
      <c r="KA39" s="18" t="n"/>
      <c r="KB39" s="18" t="n"/>
      <c r="KC39" s="18" t="n"/>
      <c r="KD39" s="18" t="n"/>
      <c r="KE39" s="18" t="n"/>
      <c r="KF39" s="18" t="n"/>
      <c r="KG39" s="18" t="n"/>
      <c r="KH39" s="18" t="n"/>
      <c r="KI39" s="18" t="n"/>
      <c r="KJ39" s="18" t="n"/>
      <c r="KK39" s="18" t="n"/>
      <c r="KL39" s="18" t="n"/>
      <c r="KM39" s="18" t="n"/>
    </row>
    <row r="40">
      <c r="A40" s="18" t="n"/>
      <c r="B40" s="18" t="n"/>
      <c r="C40" s="18" t="n"/>
      <c r="D40" s="18" t="n"/>
      <c r="E40" s="40" t="n"/>
      <c r="F40" s="40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  <c r="DY40" s="18" t="n"/>
      <c r="DZ40" s="18" t="n"/>
      <c r="EA40" s="18" t="n"/>
      <c r="EB40" s="18" t="n"/>
      <c r="EC40" s="18" t="n"/>
      <c r="ED40" s="18" t="n"/>
      <c r="EE40" s="18" t="n"/>
      <c r="EF40" s="18" t="n"/>
      <c r="EG40" s="18" t="n"/>
      <c r="EH40" s="18" t="n"/>
      <c r="EI40" s="18" t="n"/>
      <c r="EJ40" s="18" t="n"/>
      <c r="EK40" s="18" t="n"/>
      <c r="EL40" s="18" t="n"/>
      <c r="EM40" s="18" t="n"/>
      <c r="EN40" s="18" t="n"/>
      <c r="EO40" s="18" t="n"/>
      <c r="EP40" s="18" t="n"/>
      <c r="EQ40" s="18" t="n"/>
      <c r="ER40" s="18" t="n"/>
      <c r="ES40" s="18" t="n"/>
      <c r="ET40" s="18" t="n"/>
      <c r="EU40" s="18" t="n"/>
      <c r="EV40" s="18" t="n"/>
      <c r="EW40" s="18" t="n"/>
      <c r="EX40" s="18" t="n"/>
      <c r="EY40" s="18" t="n"/>
      <c r="EZ40" s="18" t="n"/>
      <c r="FA40" s="18" t="n"/>
      <c r="FB40" s="18" t="n"/>
      <c r="FC40" s="18" t="n"/>
      <c r="FD40" s="18" t="n"/>
      <c r="FE40" s="18" t="n"/>
      <c r="FF40" s="18" t="n"/>
      <c r="FG40" s="18" t="n"/>
      <c r="FH40" s="18" t="n"/>
      <c r="FI40" s="18" t="n"/>
      <c r="FJ40" s="18" t="n"/>
      <c r="FK40" s="18" t="n"/>
      <c r="FL40" s="18" t="n"/>
      <c r="FM40" s="18" t="n"/>
      <c r="FN40" s="18" t="n"/>
      <c r="FO40" s="18" t="n"/>
      <c r="FP40" s="18" t="n"/>
      <c r="FQ40" s="18" t="n"/>
      <c r="FR40" s="18" t="n"/>
      <c r="FS40" s="18" t="n"/>
      <c r="FT40" s="18" t="n"/>
      <c r="FU40" s="18" t="n"/>
      <c r="FV40" s="18" t="n"/>
      <c r="FW40" s="18" t="n"/>
      <c r="FX40" s="18" t="n"/>
      <c r="FY40" s="18" t="n"/>
      <c r="FZ40" s="18" t="n"/>
      <c r="GA40" s="18" t="n"/>
      <c r="GB40" s="18" t="n"/>
      <c r="GC40" s="18" t="n"/>
      <c r="GD40" s="18" t="n"/>
      <c r="GE40" s="18" t="n"/>
      <c r="GF40" s="18" t="n"/>
      <c r="GG40" s="18" t="n"/>
      <c r="GH40" s="18" t="n"/>
      <c r="GI40" s="18" t="n"/>
      <c r="GJ40" s="18" t="n"/>
      <c r="GK40" s="18" t="n"/>
      <c r="GL40" s="18" t="n"/>
      <c r="GM40" s="18" t="n"/>
      <c r="GN40" s="18" t="n"/>
      <c r="GO40" s="18" t="n"/>
      <c r="GP40" s="18" t="n"/>
      <c r="GQ40" s="18" t="n"/>
      <c r="GR40" s="18" t="n"/>
      <c r="GS40" s="18" t="n"/>
      <c r="GT40" s="18" t="n"/>
      <c r="GU40" s="18" t="n"/>
      <c r="GV40" s="18" t="n"/>
      <c r="GW40" s="18" t="n"/>
      <c r="GX40" s="18" t="n"/>
      <c r="GY40" s="18" t="n"/>
      <c r="GZ40" s="18" t="n"/>
      <c r="HA40" s="18" t="n"/>
      <c r="HB40" s="18" t="n"/>
      <c r="HC40" s="18" t="n"/>
      <c r="HD40" s="18" t="n"/>
      <c r="HE40" s="18" t="n"/>
      <c r="HF40" s="18" t="n"/>
      <c r="HG40" s="18" t="n"/>
      <c r="HH40" s="18" t="n"/>
      <c r="HI40" s="18" t="n"/>
      <c r="HJ40" s="18" t="n"/>
      <c r="HK40" s="18" t="n"/>
      <c r="HL40" s="18" t="n"/>
      <c r="HM40" s="18" t="n"/>
      <c r="HN40" s="18" t="n"/>
      <c r="HO40" s="18" t="n"/>
      <c r="HP40" s="18" t="n"/>
      <c r="HQ40" s="18" t="n"/>
      <c r="HR40" s="18" t="n"/>
      <c r="HS40" s="18" t="n"/>
      <c r="HT40" s="18" t="n"/>
      <c r="HU40" s="18" t="n"/>
      <c r="HV40" s="18" t="n"/>
      <c r="HW40" s="18" t="n"/>
      <c r="HX40" s="18" t="n"/>
      <c r="HY40" s="18" t="n"/>
      <c r="HZ40" s="18" t="n"/>
      <c r="IA40" s="18" t="n"/>
      <c r="IB40" s="18" t="n"/>
      <c r="IC40" s="18" t="n"/>
      <c r="ID40" s="18" t="n"/>
      <c r="IE40" s="18" t="n"/>
      <c r="IF40" s="18" t="n"/>
      <c r="IG40" s="18" t="n"/>
      <c r="IH40" s="18" t="n"/>
      <c r="II40" s="18" t="n"/>
      <c r="IJ40" s="18" t="n"/>
      <c r="IK40" s="18" t="n"/>
      <c r="IL40" s="18" t="n"/>
      <c r="IM40" s="18" t="n"/>
      <c r="IN40" s="18" t="n"/>
      <c r="IO40" s="18" t="n"/>
      <c r="IP40" s="18" t="n"/>
      <c r="IQ40" s="18" t="n"/>
      <c r="IR40" s="18" t="n"/>
      <c r="IS40" s="18" t="n"/>
      <c r="IT40" s="18" t="n"/>
      <c r="IU40" s="18" t="n"/>
      <c r="IV40" s="18" t="n"/>
      <c r="IW40" s="18" t="n"/>
      <c r="IX40" s="18" t="n"/>
      <c r="IY40" s="18" t="n"/>
      <c r="IZ40" s="18" t="n"/>
      <c r="JA40" s="18" t="n"/>
      <c r="JB40" s="18" t="n"/>
      <c r="JC40" s="18" t="n"/>
      <c r="JD40" s="18" t="n"/>
      <c r="JE40" s="18" t="n"/>
      <c r="JF40" s="18" t="n"/>
      <c r="JG40" s="18" t="n"/>
      <c r="JH40" s="18" t="n"/>
      <c r="JI40" s="18" t="n"/>
      <c r="JJ40" s="18" t="n"/>
      <c r="JK40" s="18" t="n"/>
      <c r="JL40" s="18" t="n"/>
      <c r="JM40" s="18" t="n"/>
      <c r="JN40" s="18" t="n"/>
      <c r="JO40" s="18" t="n"/>
      <c r="JP40" s="18" t="n"/>
      <c r="JQ40" s="18" t="n"/>
      <c r="JR40" s="18" t="n"/>
      <c r="JS40" s="18" t="n"/>
      <c r="JT40" s="18" t="n"/>
      <c r="JU40" s="18" t="n"/>
      <c r="JV40" s="18" t="n"/>
      <c r="JW40" s="18" t="n"/>
      <c r="JX40" s="18" t="n"/>
      <c r="JY40" s="18" t="n"/>
      <c r="JZ40" s="18" t="n"/>
      <c r="KA40" s="18" t="n"/>
      <c r="KB40" s="18" t="n"/>
      <c r="KC40" s="18" t="n"/>
      <c r="KD40" s="18" t="n"/>
      <c r="KE40" s="18" t="n"/>
      <c r="KF40" s="18" t="n"/>
      <c r="KG40" s="18" t="n"/>
      <c r="KH40" s="18" t="n"/>
      <c r="KI40" s="18" t="n"/>
      <c r="KJ40" s="18" t="n"/>
      <c r="KK40" s="18" t="n"/>
      <c r="KL40" s="18" t="n"/>
      <c r="KM40" s="18" t="n"/>
      <c r="KN40" s="18" t="n"/>
      <c r="KO40" s="18" t="n"/>
      <c r="KP40" s="18" t="n"/>
      <c r="KQ40" s="18" t="n"/>
    </row>
    <row r="41" ht="17.4" customHeight="1" s="88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  <c r="DY41" s="18" t="n"/>
      <c r="DZ41" s="18" t="n"/>
      <c r="EA41" s="18" t="n"/>
      <c r="EB41" s="18" t="n"/>
      <c r="EC41" s="18" t="n"/>
      <c r="ED41" s="18" t="n"/>
      <c r="EE41" s="18" t="n"/>
      <c r="EF41" s="18" t="n"/>
      <c r="EG41" s="18" t="n"/>
      <c r="EH41" s="18" t="n"/>
      <c r="EI41" s="18" t="n"/>
      <c r="EJ41" s="18" t="n"/>
      <c r="EK41" s="18" t="n"/>
      <c r="EL41" s="18" t="n"/>
      <c r="EM41" s="18" t="n"/>
      <c r="EN41" s="18" t="n"/>
      <c r="EO41" s="18" t="n"/>
      <c r="EP41" s="18" t="n"/>
      <c r="EQ41" s="18" t="n"/>
      <c r="ER41" s="18" t="n"/>
      <c r="ES41" s="18" t="n"/>
      <c r="ET41" s="18" t="n"/>
      <c r="EU41" s="18" t="n"/>
      <c r="EV41" s="18" t="n"/>
      <c r="EW41" s="18" t="n"/>
      <c r="EX41" s="18" t="n"/>
      <c r="EY41" s="18" t="n"/>
      <c r="EZ41" s="18" t="n"/>
      <c r="FA41" s="18" t="n"/>
      <c r="FB41" s="18" t="n"/>
      <c r="FC41" s="18" t="n"/>
      <c r="FD41" s="18" t="n"/>
      <c r="FE41" s="18" t="n"/>
      <c r="FF41" s="18" t="n"/>
      <c r="FG41" s="18" t="n"/>
      <c r="FH41" s="18" t="n"/>
      <c r="FI41" s="18" t="n"/>
      <c r="FJ41" s="18" t="n"/>
      <c r="FK41" s="18" t="n"/>
      <c r="FL41" s="18" t="n"/>
      <c r="FM41" s="18" t="n"/>
      <c r="FN41" s="18" t="n"/>
      <c r="FO41" s="18" t="n"/>
      <c r="FP41" s="18" t="n"/>
      <c r="FQ41" s="18" t="n"/>
      <c r="FR41" s="18" t="n"/>
      <c r="FS41" s="18" t="n"/>
      <c r="FT41" s="18" t="n"/>
      <c r="FU41" s="18" t="n"/>
      <c r="FV41" s="18" t="n"/>
      <c r="FW41" s="18" t="n"/>
      <c r="FX41" s="18" t="n"/>
      <c r="FY41" s="18" t="n"/>
      <c r="FZ41" s="18" t="n"/>
      <c r="GA41" s="18" t="n"/>
      <c r="GB41" s="18" t="n"/>
      <c r="GC41" s="18" t="n"/>
      <c r="GD41" s="18" t="n"/>
      <c r="GE41" s="18" t="n"/>
      <c r="GF41" s="18" t="n"/>
      <c r="GG41" s="18" t="n"/>
      <c r="GH41" s="18" t="n"/>
      <c r="GI41" s="18" t="n"/>
      <c r="GJ41" s="18" t="n"/>
      <c r="GK41" s="18" t="n"/>
      <c r="GL41" s="18" t="n"/>
      <c r="GM41" s="18" t="n"/>
      <c r="GN41" s="18" t="n"/>
      <c r="GO41" s="18" t="n"/>
      <c r="GP41" s="18" t="n"/>
      <c r="GQ41" s="18" t="n"/>
      <c r="GR41" s="18" t="n"/>
      <c r="GS41" s="18" t="n"/>
      <c r="GT41" s="18" t="n"/>
      <c r="GU41" s="18" t="n"/>
      <c r="GV41" s="18" t="n"/>
      <c r="GW41" s="18" t="n"/>
      <c r="GX41" s="18" t="n"/>
      <c r="GY41" s="18" t="n"/>
      <c r="GZ41" s="18" t="n"/>
      <c r="HA41" s="18" t="n"/>
      <c r="HB41" s="18" t="n"/>
      <c r="HC41" s="18" t="n"/>
      <c r="HD41" s="18" t="n"/>
      <c r="HE41" s="18" t="n"/>
      <c r="HF41" s="18" t="n"/>
      <c r="HG41" s="18" t="n"/>
      <c r="HH41" s="18" t="n"/>
      <c r="HI41" s="18" t="n"/>
      <c r="HJ41" s="18" t="n"/>
      <c r="HK41" s="18" t="n"/>
      <c r="HL41" s="18" t="n"/>
      <c r="HM41" s="18" t="n"/>
      <c r="HN41" s="18" t="n"/>
      <c r="HO41" s="18" t="n"/>
      <c r="HP41" s="18" t="n"/>
      <c r="HQ41" s="18" t="n"/>
      <c r="HR41" s="18" t="n"/>
      <c r="HS41" s="18" t="n"/>
      <c r="HT41" s="18" t="n"/>
      <c r="HU41" s="18" t="n"/>
      <c r="HV41" s="18" t="n"/>
      <c r="HW41" s="18" t="n"/>
      <c r="HX41" s="18" t="n"/>
      <c r="HY41" s="18" t="n"/>
      <c r="HZ41" s="18" t="n"/>
      <c r="IA41" s="18" t="n"/>
      <c r="IB41" s="18" t="n"/>
      <c r="IC41" s="18" t="n"/>
      <c r="ID41" s="18" t="n"/>
      <c r="IE41" s="18" t="n"/>
      <c r="IF41" s="18" t="n"/>
      <c r="IG41" s="18" t="n"/>
      <c r="IH41" s="18" t="n"/>
      <c r="II41" s="18" t="n"/>
      <c r="IJ41" s="18" t="n"/>
      <c r="IK41" s="18" t="n"/>
      <c r="IL41" s="18" t="n"/>
      <c r="IM41" s="18" t="n"/>
      <c r="IN41" s="18" t="n"/>
      <c r="IO41" s="18" t="n"/>
      <c r="IP41" s="18" t="n"/>
      <c r="IQ41" s="18" t="n"/>
      <c r="IR41" s="18" t="n"/>
      <c r="IS41" s="18" t="n"/>
      <c r="IT41" s="18" t="n"/>
      <c r="IU41" s="18" t="n"/>
      <c r="IV41" s="18" t="n"/>
      <c r="IW41" s="18" t="n"/>
      <c r="IX41" s="18" t="n"/>
      <c r="IY41" s="18" t="n"/>
      <c r="IZ41" s="18" t="n"/>
      <c r="JA41" s="18" t="n"/>
      <c r="JB41" s="18" t="n"/>
      <c r="JC41" s="18" t="n"/>
      <c r="JD41" s="18" t="n"/>
      <c r="JE41" s="18" t="n"/>
      <c r="JF41" s="18" t="n"/>
      <c r="JG41" s="18" t="n"/>
      <c r="JH41" s="18" t="n"/>
      <c r="JI41" s="18" t="n"/>
      <c r="JJ41" s="18" t="n"/>
      <c r="JK41" s="18" t="n"/>
      <c r="JL41" s="18" t="n"/>
      <c r="JM41" s="18" t="n"/>
      <c r="JN41" s="18" t="n"/>
      <c r="JO41" s="18" t="n"/>
      <c r="JP41" s="18" t="n"/>
      <c r="JQ41" s="18" t="n"/>
      <c r="JR41" s="18" t="n"/>
      <c r="JS41" s="18" t="n"/>
      <c r="JT41" s="18" t="n"/>
      <c r="JU41" s="18" t="n"/>
      <c r="JV41" s="18" t="n"/>
      <c r="JW41" s="18" t="n"/>
      <c r="JX41" s="18" t="n"/>
      <c r="JY41" s="18" t="n"/>
      <c r="JZ41" s="18" t="n"/>
      <c r="KA41" s="18" t="n"/>
      <c r="KB41" s="18" t="n"/>
      <c r="KC41" s="18" t="n"/>
      <c r="KD41" s="18" t="n"/>
      <c r="KE41" s="18" t="n"/>
      <c r="KF41" s="18" t="n"/>
      <c r="KG41" s="18" t="n"/>
      <c r="KH41" s="18" t="n"/>
      <c r="KI41" s="18" t="n"/>
      <c r="KJ41" s="18" t="n"/>
      <c r="KK41" s="18" t="n"/>
      <c r="KL41" s="18" t="n"/>
      <c r="KM41" s="18" t="n"/>
      <c r="KN41" s="18" t="n"/>
      <c r="KO41" s="18" t="n"/>
      <c r="KP41" s="18" t="n"/>
      <c r="KQ41" s="18" t="n"/>
      <c r="KR41" s="18" t="n"/>
      <c r="KS41" s="18" t="n"/>
      <c r="KT41" s="18" t="n"/>
      <c r="KU41" s="18" t="n"/>
    </row>
    <row r="42" ht="17.4" customHeight="1" s="88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  <c r="DY42" s="18" t="n"/>
      <c r="DZ42" s="18" t="n"/>
      <c r="EA42" s="18" t="n"/>
      <c r="EB42" s="18" t="n"/>
      <c r="EC42" s="18" t="n"/>
      <c r="ED42" s="18" t="n"/>
      <c r="EE42" s="18" t="n"/>
      <c r="EF42" s="18" t="n"/>
      <c r="EG42" s="18" t="n"/>
      <c r="EH42" s="18" t="n"/>
      <c r="EI42" s="18" t="n"/>
      <c r="EJ42" s="18" t="n"/>
      <c r="EK42" s="18" t="n"/>
      <c r="EL42" s="18" t="n"/>
      <c r="EM42" s="18" t="n"/>
      <c r="EN42" s="18" t="n"/>
      <c r="EO42" s="18" t="n"/>
      <c r="EP42" s="18" t="n"/>
      <c r="EQ42" s="18" t="n"/>
      <c r="ER42" s="18" t="n"/>
      <c r="ES42" s="18" t="n"/>
      <c r="ET42" s="18" t="n"/>
      <c r="EU42" s="18" t="n"/>
      <c r="EV42" s="18" t="n"/>
      <c r="EW42" s="18" t="n"/>
      <c r="EX42" s="18" t="n"/>
      <c r="EY42" s="18" t="n"/>
      <c r="EZ42" s="18" t="n"/>
      <c r="FA42" s="18" t="n"/>
      <c r="FB42" s="18" t="n"/>
      <c r="FC42" s="18" t="n"/>
      <c r="FD42" s="18" t="n"/>
      <c r="FE42" s="18" t="n"/>
      <c r="FF42" s="18" t="n"/>
      <c r="FG42" s="18" t="n"/>
      <c r="FH42" s="18" t="n"/>
      <c r="FI42" s="18" t="n"/>
      <c r="FJ42" s="18" t="n"/>
      <c r="FK42" s="18" t="n"/>
      <c r="FL42" s="18" t="n"/>
      <c r="FM42" s="18" t="n"/>
      <c r="FN42" s="18" t="n"/>
      <c r="FO42" s="18" t="n"/>
      <c r="FP42" s="18" t="n"/>
      <c r="FQ42" s="18" t="n"/>
      <c r="FR42" s="18" t="n"/>
      <c r="FS42" s="18" t="n"/>
      <c r="FT42" s="18" t="n"/>
      <c r="FU42" s="18" t="n"/>
      <c r="FV42" s="18" t="n"/>
      <c r="FW42" s="18" t="n"/>
      <c r="FX42" s="18" t="n"/>
      <c r="FY42" s="18" t="n"/>
      <c r="FZ42" s="18" t="n"/>
      <c r="GA42" s="18" t="n"/>
      <c r="GB42" s="18" t="n"/>
      <c r="GC42" s="18" t="n"/>
      <c r="GD42" s="18" t="n"/>
      <c r="GE42" s="18" t="n"/>
      <c r="GF42" s="18" t="n"/>
      <c r="GG42" s="18" t="n"/>
      <c r="GH42" s="18" t="n"/>
      <c r="GI42" s="18" t="n"/>
      <c r="GJ42" s="18" t="n"/>
      <c r="GK42" s="18" t="n"/>
      <c r="GL42" s="18" t="n"/>
      <c r="GM42" s="18" t="n"/>
      <c r="GN42" s="18" t="n"/>
      <c r="GO42" s="18" t="n"/>
      <c r="GP42" s="18" t="n"/>
      <c r="GQ42" s="18" t="n"/>
      <c r="GR42" s="18" t="n"/>
      <c r="GS42" s="18" t="n"/>
      <c r="GT42" s="18" t="n"/>
      <c r="GU42" s="18" t="n"/>
      <c r="GV42" s="18" t="n"/>
      <c r="GW42" s="18" t="n"/>
      <c r="GX42" s="18" t="n"/>
      <c r="GY42" s="18" t="n"/>
      <c r="GZ42" s="18" t="n"/>
      <c r="HA42" s="18" t="n"/>
      <c r="HB42" s="18" t="n"/>
      <c r="HC42" s="18" t="n"/>
      <c r="HD42" s="18" t="n"/>
      <c r="HE42" s="18" t="n"/>
      <c r="HF42" s="18" t="n"/>
      <c r="HG42" s="18" t="n"/>
      <c r="HH42" s="18" t="n"/>
      <c r="HI42" s="18" t="n"/>
      <c r="HJ42" s="18" t="n"/>
      <c r="HK42" s="18" t="n"/>
      <c r="HL42" s="18" t="n"/>
      <c r="HM42" s="18" t="n"/>
      <c r="HN42" s="18" t="n"/>
      <c r="HO42" s="18" t="n"/>
      <c r="HP42" s="18" t="n"/>
      <c r="HQ42" s="18" t="n"/>
      <c r="HR42" s="18" t="n"/>
      <c r="HS42" s="18" t="n"/>
      <c r="HT42" s="18" t="n"/>
      <c r="HU42" s="18" t="n"/>
      <c r="HV42" s="18" t="n"/>
      <c r="HW42" s="18" t="n"/>
      <c r="HX42" s="18" t="n"/>
      <c r="HY42" s="18" t="n"/>
      <c r="HZ42" s="18" t="n"/>
      <c r="IA42" s="18" t="n"/>
      <c r="IB42" s="18" t="n"/>
      <c r="IC42" s="18" t="n"/>
      <c r="ID42" s="18" t="n"/>
      <c r="IE42" s="18" t="n"/>
      <c r="IF42" s="18" t="n"/>
      <c r="IG42" s="18" t="n"/>
      <c r="IH42" s="18" t="n"/>
      <c r="II42" s="18" t="n"/>
      <c r="IJ42" s="18" t="n"/>
      <c r="IK42" s="18" t="n"/>
      <c r="IL42" s="18" t="n"/>
      <c r="IM42" s="18" t="n"/>
      <c r="IN42" s="18" t="n"/>
      <c r="IO42" s="18" t="n"/>
      <c r="IP42" s="18" t="n"/>
      <c r="IQ42" s="18" t="n"/>
      <c r="IR42" s="18" t="n"/>
      <c r="IS42" s="18" t="n"/>
      <c r="IT42" s="18" t="n"/>
      <c r="IU42" s="18" t="n"/>
      <c r="IV42" s="18" t="n"/>
      <c r="IW42" s="18" t="n"/>
      <c r="IX42" s="18" t="n"/>
      <c r="IY42" s="18" t="n"/>
      <c r="IZ42" s="18" t="n"/>
      <c r="JA42" s="18" t="n"/>
      <c r="JB42" s="18" t="n"/>
      <c r="JC42" s="18" t="n"/>
      <c r="JD42" s="18" t="n"/>
      <c r="JE42" s="18" t="n"/>
      <c r="JF42" s="18" t="n"/>
      <c r="JG42" s="18" t="n"/>
      <c r="JH42" s="18" t="n"/>
      <c r="JI42" s="18" t="n"/>
      <c r="JJ42" s="18" t="n"/>
      <c r="JK42" s="18" t="n"/>
      <c r="JL42" s="18" t="n"/>
      <c r="JM42" s="18" t="n"/>
      <c r="JN42" s="18" t="n"/>
      <c r="JO42" s="18" t="n"/>
      <c r="JP42" s="18" t="n"/>
      <c r="JQ42" s="18" t="n"/>
      <c r="JR42" s="18" t="n"/>
      <c r="JS42" s="18" t="n"/>
      <c r="JT42" s="18" t="n"/>
      <c r="JU42" s="18" t="n"/>
      <c r="JV42" s="18" t="n"/>
      <c r="JW42" s="18" t="n"/>
      <c r="JX42" s="18" t="n"/>
      <c r="JY42" s="18" t="n"/>
      <c r="JZ42" s="18" t="n"/>
      <c r="KA42" s="18" t="n"/>
      <c r="KB42" s="18" t="n"/>
      <c r="KC42" s="18" t="n"/>
      <c r="KD42" s="18" t="n"/>
      <c r="KE42" s="18" t="n"/>
      <c r="KF42" s="18" t="n"/>
      <c r="KG42" s="18" t="n"/>
      <c r="KH42" s="18" t="n"/>
      <c r="KI42" s="18" t="n"/>
      <c r="KJ42" s="18" t="n"/>
      <c r="KK42" s="18" t="n"/>
      <c r="KL42" s="18" t="n"/>
      <c r="KM42" s="18" t="n"/>
      <c r="KN42" s="18" t="n"/>
      <c r="KO42" s="18" t="n"/>
      <c r="KP42" s="18" t="n"/>
      <c r="KQ42" s="18" t="n"/>
      <c r="KR42" s="18" t="n"/>
      <c r="KS42" s="18" t="n"/>
      <c r="KT42" s="18" t="n"/>
      <c r="KU42" s="18" t="n"/>
      <c r="KV42" s="18" t="n"/>
      <c r="KW42" s="18" t="n"/>
      <c r="KX42" s="18" t="n"/>
      <c r="KY42" s="18" t="n"/>
    </row>
    <row r="43" ht="17.4" customHeight="1" s="88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  <c r="DY43" s="18" t="n"/>
      <c r="DZ43" s="18" t="n"/>
      <c r="EA43" s="18" t="n"/>
      <c r="EB43" s="18" t="n"/>
      <c r="EC43" s="18" t="n"/>
      <c r="ED43" s="18" t="n"/>
      <c r="EE43" s="18" t="n"/>
      <c r="EF43" s="18" t="n"/>
      <c r="EG43" s="18" t="n"/>
      <c r="EH43" s="18" t="n"/>
      <c r="EI43" s="18" t="n"/>
      <c r="EJ43" s="18" t="n"/>
      <c r="EK43" s="18" t="n"/>
      <c r="EL43" s="18" t="n"/>
      <c r="EM43" s="18" t="n"/>
      <c r="EN43" s="18" t="n"/>
      <c r="EO43" s="18" t="n"/>
      <c r="EP43" s="18" t="n"/>
      <c r="EQ43" s="18" t="n"/>
      <c r="ER43" s="18" t="n"/>
      <c r="ES43" s="18" t="n"/>
      <c r="ET43" s="18" t="n"/>
      <c r="EU43" s="18" t="n"/>
      <c r="EV43" s="18" t="n"/>
      <c r="EW43" s="18" t="n"/>
      <c r="EX43" s="18" t="n"/>
      <c r="EY43" s="18" t="n"/>
      <c r="EZ43" s="18" t="n"/>
      <c r="FA43" s="18" t="n"/>
      <c r="FB43" s="18" t="n"/>
      <c r="FC43" s="18" t="n"/>
      <c r="FD43" s="18" t="n"/>
      <c r="FE43" s="18" t="n"/>
      <c r="FF43" s="18" t="n"/>
      <c r="FG43" s="18" t="n"/>
      <c r="FH43" s="18" t="n"/>
      <c r="FI43" s="18" t="n"/>
      <c r="FJ43" s="18" t="n"/>
      <c r="FK43" s="18" t="n"/>
      <c r="FL43" s="18" t="n"/>
      <c r="FM43" s="18" t="n"/>
      <c r="FN43" s="18" t="n"/>
      <c r="FO43" s="18" t="n"/>
      <c r="FP43" s="18" t="n"/>
      <c r="FQ43" s="18" t="n"/>
      <c r="FR43" s="18" t="n"/>
      <c r="FS43" s="18" t="n"/>
      <c r="FT43" s="18" t="n"/>
      <c r="FU43" s="18" t="n"/>
      <c r="FV43" s="18" t="n"/>
      <c r="FW43" s="18" t="n"/>
      <c r="FX43" s="18" t="n"/>
      <c r="FY43" s="18" t="n"/>
      <c r="FZ43" s="18" t="n"/>
      <c r="GA43" s="18" t="n"/>
      <c r="GB43" s="18" t="n"/>
      <c r="GC43" s="18" t="n"/>
      <c r="GD43" s="18" t="n"/>
      <c r="GE43" s="18" t="n"/>
      <c r="GF43" s="18" t="n"/>
      <c r="GG43" s="18" t="n"/>
      <c r="GH43" s="18" t="n"/>
      <c r="GI43" s="18" t="n"/>
      <c r="GJ43" s="18" t="n"/>
      <c r="GK43" s="18" t="n"/>
      <c r="GL43" s="18" t="n"/>
      <c r="GM43" s="18" t="n"/>
      <c r="GN43" s="18" t="n"/>
      <c r="GO43" s="18" t="n"/>
      <c r="GP43" s="18" t="n"/>
      <c r="GQ43" s="18" t="n"/>
      <c r="GR43" s="18" t="n"/>
      <c r="GS43" s="18" t="n"/>
      <c r="GT43" s="18" t="n"/>
      <c r="GU43" s="18" t="n"/>
      <c r="GV43" s="18" t="n"/>
      <c r="GW43" s="18" t="n"/>
      <c r="GX43" s="18" t="n"/>
      <c r="GY43" s="18" t="n"/>
      <c r="GZ43" s="18" t="n"/>
      <c r="HA43" s="18" t="n"/>
      <c r="HB43" s="18" t="n"/>
      <c r="HC43" s="18" t="n"/>
      <c r="HD43" s="18" t="n"/>
      <c r="HE43" s="18" t="n"/>
      <c r="HF43" s="18" t="n"/>
      <c r="HG43" s="18" t="n"/>
      <c r="HH43" s="18" t="n"/>
      <c r="HI43" s="18" t="n"/>
      <c r="HJ43" s="18" t="n"/>
      <c r="HK43" s="18" t="n"/>
      <c r="HL43" s="18" t="n"/>
      <c r="HM43" s="18" t="n"/>
      <c r="HN43" s="18" t="n"/>
      <c r="HO43" s="18" t="n"/>
      <c r="HP43" s="18" t="n"/>
      <c r="HQ43" s="18" t="n"/>
      <c r="HR43" s="18" t="n"/>
      <c r="HS43" s="18" t="n"/>
      <c r="HT43" s="18" t="n"/>
      <c r="HU43" s="18" t="n"/>
      <c r="HV43" s="18" t="n"/>
      <c r="HW43" s="18" t="n"/>
      <c r="HX43" s="18" t="n"/>
      <c r="HY43" s="18" t="n"/>
      <c r="HZ43" s="18" t="n"/>
      <c r="IA43" s="18" t="n"/>
      <c r="IB43" s="18" t="n"/>
      <c r="IC43" s="18" t="n"/>
      <c r="ID43" s="18" t="n"/>
      <c r="IE43" s="18" t="n"/>
      <c r="IF43" s="18" t="n"/>
      <c r="IG43" s="18" t="n"/>
      <c r="IH43" s="18" t="n"/>
      <c r="II43" s="18" t="n"/>
      <c r="IJ43" s="18" t="n"/>
      <c r="IK43" s="18" t="n"/>
      <c r="IL43" s="18" t="n"/>
      <c r="IM43" s="18" t="n"/>
      <c r="IN43" s="18" t="n"/>
      <c r="IO43" s="18" t="n"/>
      <c r="IP43" s="18" t="n"/>
      <c r="IQ43" s="18" t="n"/>
      <c r="IR43" s="18" t="n"/>
      <c r="IS43" s="18" t="n"/>
      <c r="IT43" s="18" t="n"/>
      <c r="IU43" s="18" t="n"/>
      <c r="IV43" s="18" t="n"/>
      <c r="IW43" s="18" t="n"/>
      <c r="IX43" s="18" t="n"/>
      <c r="IY43" s="18" t="n"/>
      <c r="IZ43" s="18" t="n"/>
      <c r="JA43" s="18" t="n"/>
      <c r="JB43" s="18" t="n"/>
      <c r="JC43" s="18" t="n"/>
      <c r="JD43" s="18" t="n"/>
      <c r="JE43" s="18" t="n"/>
      <c r="JF43" s="18" t="n"/>
      <c r="JG43" s="18" t="n"/>
      <c r="JH43" s="18" t="n"/>
      <c r="JI43" s="18" t="n"/>
      <c r="JJ43" s="18" t="n"/>
      <c r="JK43" s="18" t="n"/>
      <c r="JL43" s="18" t="n"/>
      <c r="JM43" s="18" t="n"/>
      <c r="JN43" s="18" t="n"/>
      <c r="JO43" s="18" t="n"/>
      <c r="JP43" s="18" t="n"/>
      <c r="JQ43" s="18" t="n"/>
      <c r="JR43" s="18" t="n"/>
      <c r="JS43" s="18" t="n"/>
      <c r="JT43" s="18" t="n"/>
      <c r="JU43" s="18" t="n"/>
      <c r="JV43" s="18" t="n"/>
      <c r="JW43" s="18" t="n"/>
      <c r="JX43" s="18" t="n"/>
      <c r="JY43" s="18" t="n"/>
      <c r="JZ43" s="18" t="n"/>
      <c r="KA43" s="18" t="n"/>
      <c r="KB43" s="18" t="n"/>
      <c r="KC43" s="18" t="n"/>
      <c r="KD43" s="18" t="n"/>
      <c r="KE43" s="18" t="n"/>
      <c r="KF43" s="18" t="n"/>
      <c r="KG43" s="18" t="n"/>
      <c r="KH43" s="18" t="n"/>
      <c r="KI43" s="18" t="n"/>
      <c r="KJ43" s="18" t="n"/>
      <c r="KK43" s="18" t="n"/>
      <c r="KL43" s="18" t="n"/>
      <c r="KM43" s="18" t="n"/>
      <c r="KN43" s="18" t="n"/>
      <c r="KO43" s="18" t="n"/>
      <c r="KP43" s="18" t="n"/>
      <c r="KQ43" s="18" t="n"/>
      <c r="KR43" s="18" t="n"/>
      <c r="KS43" s="18" t="n"/>
      <c r="KT43" s="18" t="n"/>
      <c r="KU43" s="18" t="n"/>
      <c r="KV43" s="18" t="n"/>
      <c r="KW43" s="18" t="n"/>
      <c r="KX43" s="18" t="n"/>
      <c r="KY43" s="18" t="n"/>
      <c r="KZ43" s="18" t="n"/>
      <c r="LA43" s="18" t="n"/>
      <c r="LB43" s="18" t="n"/>
      <c r="LC43" s="18" t="n"/>
    </row>
    <row r="44" ht="17.4" customHeight="1" s="88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  <c r="DY44" s="18" t="n"/>
      <c r="DZ44" s="18" t="n"/>
      <c r="EA44" s="18" t="n"/>
      <c r="EB44" s="18" t="n"/>
      <c r="EC44" s="18" t="n"/>
      <c r="ED44" s="18" t="n"/>
      <c r="EE44" s="18" t="n"/>
      <c r="EF44" s="18" t="n"/>
      <c r="EG44" s="18" t="n"/>
      <c r="EH44" s="18" t="n"/>
      <c r="EI44" s="18" t="n"/>
      <c r="EJ44" s="18" t="n"/>
      <c r="EK44" s="18" t="n"/>
      <c r="EL44" s="18" t="n"/>
      <c r="EM44" s="18" t="n"/>
      <c r="EN44" s="18" t="n"/>
      <c r="EO44" s="18" t="n"/>
      <c r="EP44" s="18" t="n"/>
      <c r="EQ44" s="18" t="n"/>
      <c r="ER44" s="18" t="n"/>
      <c r="ES44" s="18" t="n"/>
      <c r="ET44" s="18" t="n"/>
      <c r="EU44" s="18" t="n"/>
      <c r="EV44" s="18" t="n"/>
      <c r="EW44" s="18" t="n"/>
      <c r="EX44" s="18" t="n"/>
      <c r="EY44" s="18" t="n"/>
      <c r="EZ44" s="18" t="n"/>
      <c r="FA44" s="18" t="n"/>
      <c r="FB44" s="18" t="n"/>
      <c r="FC44" s="18" t="n"/>
      <c r="FD44" s="18" t="n"/>
      <c r="FE44" s="18" t="n"/>
      <c r="FF44" s="18" t="n"/>
      <c r="FG44" s="18" t="n"/>
      <c r="FH44" s="18" t="n"/>
      <c r="FI44" s="18" t="n"/>
      <c r="FJ44" s="18" t="n"/>
      <c r="FK44" s="18" t="n"/>
      <c r="FL44" s="18" t="n"/>
      <c r="FM44" s="18" t="n"/>
      <c r="FN44" s="18" t="n"/>
      <c r="FO44" s="18" t="n"/>
      <c r="FP44" s="18" t="n"/>
      <c r="FQ44" s="18" t="n"/>
      <c r="FR44" s="18" t="n"/>
      <c r="FS44" s="18" t="n"/>
      <c r="FT44" s="18" t="n"/>
      <c r="FU44" s="18" t="n"/>
      <c r="FV44" s="18" t="n"/>
      <c r="FW44" s="18" t="n"/>
      <c r="FX44" s="18" t="n"/>
      <c r="FY44" s="18" t="n"/>
      <c r="FZ44" s="18" t="n"/>
      <c r="GA44" s="18" t="n"/>
      <c r="GB44" s="18" t="n"/>
      <c r="GC44" s="18" t="n"/>
      <c r="GD44" s="18" t="n"/>
      <c r="GE44" s="18" t="n"/>
      <c r="GF44" s="18" t="n"/>
      <c r="GG44" s="18" t="n"/>
      <c r="GH44" s="18" t="n"/>
      <c r="GI44" s="18" t="n"/>
      <c r="GJ44" s="18" t="n"/>
      <c r="GK44" s="18" t="n"/>
      <c r="GL44" s="18" t="n"/>
      <c r="GM44" s="18" t="n"/>
      <c r="GN44" s="18" t="n"/>
      <c r="GO44" s="18" t="n"/>
      <c r="GP44" s="18" t="n"/>
      <c r="GQ44" s="18" t="n"/>
      <c r="GR44" s="18" t="n"/>
      <c r="GS44" s="18" t="n"/>
      <c r="GT44" s="18" t="n"/>
      <c r="GU44" s="18" t="n"/>
      <c r="GV44" s="18" t="n"/>
      <c r="GW44" s="18" t="n"/>
      <c r="GX44" s="18" t="n"/>
      <c r="GY44" s="18" t="n"/>
      <c r="GZ44" s="18" t="n"/>
      <c r="HA44" s="18" t="n"/>
      <c r="HB44" s="18" t="n"/>
      <c r="HC44" s="18" t="n"/>
      <c r="HD44" s="18" t="n"/>
      <c r="HE44" s="18" t="n"/>
      <c r="HF44" s="18" t="n"/>
      <c r="HG44" s="18" t="n"/>
      <c r="HH44" s="18" t="n"/>
      <c r="HI44" s="18" t="n"/>
      <c r="HJ44" s="18" t="n"/>
      <c r="HK44" s="18" t="n"/>
      <c r="HL44" s="18" t="n"/>
      <c r="HM44" s="18" t="n"/>
      <c r="HN44" s="18" t="n"/>
      <c r="HO44" s="18" t="n"/>
      <c r="HP44" s="18" t="n"/>
      <c r="HQ44" s="18" t="n"/>
      <c r="HR44" s="18" t="n"/>
      <c r="HS44" s="18" t="n"/>
      <c r="HT44" s="18" t="n"/>
      <c r="HU44" s="18" t="n"/>
      <c r="HV44" s="18" t="n"/>
      <c r="HW44" s="18" t="n"/>
      <c r="HX44" s="18" t="n"/>
      <c r="HY44" s="18" t="n"/>
      <c r="HZ44" s="18" t="n"/>
      <c r="IA44" s="18" t="n"/>
      <c r="IB44" s="18" t="n"/>
      <c r="IC44" s="18" t="n"/>
      <c r="ID44" s="18" t="n"/>
      <c r="IE44" s="18" t="n"/>
      <c r="IF44" s="18" t="n"/>
      <c r="IG44" s="18" t="n"/>
      <c r="IH44" s="18" t="n"/>
      <c r="II44" s="18" t="n"/>
      <c r="IJ44" s="18" t="n"/>
      <c r="IK44" s="18" t="n"/>
      <c r="IL44" s="18" t="n"/>
      <c r="IM44" s="18" t="n"/>
      <c r="IN44" s="18" t="n"/>
      <c r="IO44" s="18" t="n"/>
      <c r="IP44" s="18" t="n"/>
      <c r="IQ44" s="18" t="n"/>
      <c r="IR44" s="18" t="n"/>
      <c r="IS44" s="18" t="n"/>
      <c r="IT44" s="18" t="n"/>
      <c r="IU44" s="18" t="n"/>
      <c r="IV44" s="18" t="n"/>
      <c r="IW44" s="18" t="n"/>
      <c r="IX44" s="18" t="n"/>
      <c r="IY44" s="18" t="n"/>
      <c r="IZ44" s="18" t="n"/>
      <c r="JA44" s="18" t="n"/>
      <c r="JB44" s="18" t="n"/>
      <c r="JC44" s="18" t="n"/>
      <c r="JD44" s="18" t="n"/>
      <c r="JE44" s="18" t="n"/>
      <c r="JF44" s="18" t="n"/>
      <c r="JG44" s="18" t="n"/>
      <c r="JH44" s="18" t="n"/>
      <c r="JI44" s="18" t="n"/>
      <c r="JJ44" s="18" t="n"/>
      <c r="JK44" s="18" t="n"/>
      <c r="JL44" s="18" t="n"/>
      <c r="JM44" s="18" t="n"/>
      <c r="JN44" s="18" t="n"/>
      <c r="JO44" s="18" t="n"/>
      <c r="JP44" s="18" t="n"/>
      <c r="JQ44" s="18" t="n"/>
      <c r="JR44" s="18" t="n"/>
      <c r="JS44" s="18" t="n"/>
      <c r="JT44" s="18" t="n"/>
      <c r="JU44" s="18" t="n"/>
      <c r="JV44" s="18" t="n"/>
      <c r="JW44" s="18" t="n"/>
      <c r="JX44" s="18" t="n"/>
      <c r="JY44" s="18" t="n"/>
      <c r="JZ44" s="18" t="n"/>
      <c r="KA44" s="18" t="n"/>
      <c r="KB44" s="18" t="n"/>
      <c r="KC44" s="18" t="n"/>
      <c r="KD44" s="18" t="n"/>
      <c r="KE44" s="18" t="n"/>
      <c r="KF44" s="18" t="n"/>
      <c r="KG44" s="18" t="n"/>
      <c r="KH44" s="18" t="n"/>
      <c r="KI44" s="18" t="n"/>
      <c r="KJ44" s="18" t="n"/>
      <c r="KK44" s="18" t="n"/>
      <c r="KL44" s="18" t="n"/>
      <c r="KM44" s="18" t="n"/>
      <c r="KN44" s="18" t="n"/>
      <c r="KO44" s="18" t="n"/>
      <c r="KP44" s="18" t="n"/>
      <c r="KQ44" s="18" t="n"/>
      <c r="KR44" s="18" t="n"/>
      <c r="KS44" s="18" t="n"/>
      <c r="KT44" s="18" t="n"/>
      <c r="KU44" s="18" t="n"/>
      <c r="KV44" s="18" t="n"/>
      <c r="KW44" s="18" t="n"/>
      <c r="KX44" s="18" t="n"/>
      <c r="KY44" s="18" t="n"/>
      <c r="KZ44" s="18" t="n"/>
      <c r="LA44" s="18" t="n"/>
      <c r="LB44" s="18" t="n"/>
      <c r="LC44" s="18" t="n"/>
      <c r="LD44" s="18" t="n"/>
      <c r="LE44" s="18" t="n"/>
      <c r="LF44" s="18" t="n"/>
      <c r="LG44" s="18" t="n"/>
    </row>
    <row r="45" ht="17.4" customHeight="1" s="88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  <c r="DY45" s="18" t="n"/>
      <c r="DZ45" s="18" t="n"/>
      <c r="EA45" s="18" t="n"/>
      <c r="EB45" s="18" t="n"/>
      <c r="EC45" s="18" t="n"/>
      <c r="ED45" s="18" t="n"/>
      <c r="EE45" s="18" t="n"/>
      <c r="EF45" s="18" t="n"/>
      <c r="EG45" s="18" t="n"/>
      <c r="EH45" s="18" t="n"/>
      <c r="EI45" s="18" t="n"/>
      <c r="EJ45" s="18" t="n"/>
      <c r="EK45" s="18" t="n"/>
      <c r="EL45" s="18" t="n"/>
      <c r="EM45" s="18" t="n"/>
      <c r="EN45" s="18" t="n"/>
      <c r="EO45" s="18" t="n"/>
      <c r="EP45" s="18" t="n"/>
      <c r="EQ45" s="18" t="n"/>
      <c r="ER45" s="18" t="n"/>
      <c r="ES45" s="18" t="n"/>
      <c r="ET45" s="18" t="n"/>
      <c r="EU45" s="18" t="n"/>
      <c r="EV45" s="18" t="n"/>
      <c r="EW45" s="18" t="n"/>
      <c r="EX45" s="18" t="n"/>
      <c r="EY45" s="18" t="n"/>
      <c r="EZ45" s="18" t="n"/>
      <c r="FA45" s="18" t="n"/>
      <c r="FB45" s="18" t="n"/>
      <c r="FC45" s="18" t="n"/>
      <c r="FD45" s="18" t="n"/>
      <c r="FE45" s="18" t="n"/>
      <c r="FF45" s="18" t="n"/>
      <c r="FG45" s="18" t="n"/>
      <c r="FH45" s="18" t="n"/>
      <c r="FI45" s="18" t="n"/>
      <c r="FJ45" s="18" t="n"/>
      <c r="FK45" s="18" t="n"/>
      <c r="FL45" s="18" t="n"/>
      <c r="FM45" s="18" t="n"/>
      <c r="FN45" s="18" t="n"/>
      <c r="FO45" s="18" t="n"/>
      <c r="FP45" s="18" t="n"/>
      <c r="FQ45" s="18" t="n"/>
      <c r="FR45" s="18" t="n"/>
      <c r="FS45" s="18" t="n"/>
      <c r="FT45" s="18" t="n"/>
      <c r="FU45" s="18" t="n"/>
      <c r="FV45" s="18" t="n"/>
      <c r="FW45" s="18" t="n"/>
      <c r="FX45" s="18" t="n"/>
      <c r="FY45" s="18" t="n"/>
      <c r="FZ45" s="18" t="n"/>
      <c r="GA45" s="18" t="n"/>
      <c r="GB45" s="18" t="n"/>
      <c r="GC45" s="18" t="n"/>
      <c r="GD45" s="18" t="n"/>
      <c r="GE45" s="18" t="n"/>
      <c r="GF45" s="18" t="n"/>
      <c r="GG45" s="18" t="n"/>
      <c r="GH45" s="18" t="n"/>
      <c r="GI45" s="18" t="n"/>
      <c r="GJ45" s="18" t="n"/>
      <c r="GK45" s="18" t="n"/>
      <c r="GL45" s="18" t="n"/>
      <c r="GM45" s="18" t="n"/>
      <c r="GN45" s="18" t="n"/>
      <c r="GO45" s="18" t="n"/>
      <c r="GP45" s="18" t="n"/>
      <c r="GQ45" s="18" t="n"/>
      <c r="GR45" s="18" t="n"/>
      <c r="GS45" s="18" t="n"/>
      <c r="GT45" s="18" t="n"/>
      <c r="GU45" s="18" t="n"/>
      <c r="GV45" s="18" t="n"/>
      <c r="GW45" s="18" t="n"/>
      <c r="GX45" s="18" t="n"/>
      <c r="GY45" s="18" t="n"/>
      <c r="GZ45" s="18" t="n"/>
      <c r="HA45" s="18" t="n"/>
      <c r="HB45" s="18" t="n"/>
      <c r="HC45" s="18" t="n"/>
      <c r="HD45" s="18" t="n"/>
      <c r="HE45" s="18" t="n"/>
      <c r="HF45" s="18" t="n"/>
      <c r="HG45" s="18" t="n"/>
      <c r="HH45" s="18" t="n"/>
      <c r="HI45" s="18" t="n"/>
      <c r="HJ45" s="18" t="n"/>
      <c r="HK45" s="18" t="n"/>
      <c r="HL45" s="18" t="n"/>
      <c r="HM45" s="18" t="n"/>
      <c r="HN45" s="18" t="n"/>
      <c r="HO45" s="18" t="n"/>
      <c r="HP45" s="18" t="n"/>
      <c r="HQ45" s="18" t="n"/>
      <c r="HR45" s="18" t="n"/>
      <c r="HS45" s="18" t="n"/>
      <c r="HT45" s="18" t="n"/>
      <c r="HU45" s="18" t="n"/>
      <c r="HV45" s="18" t="n"/>
      <c r="HW45" s="18" t="n"/>
      <c r="HX45" s="18" t="n"/>
      <c r="HY45" s="18" t="n"/>
      <c r="HZ45" s="18" t="n"/>
      <c r="IA45" s="18" t="n"/>
      <c r="IB45" s="18" t="n"/>
      <c r="IC45" s="18" t="n"/>
      <c r="ID45" s="18" t="n"/>
      <c r="IE45" s="18" t="n"/>
      <c r="IF45" s="18" t="n"/>
      <c r="IG45" s="18" t="n"/>
      <c r="IH45" s="18" t="n"/>
      <c r="II45" s="18" t="n"/>
      <c r="IJ45" s="18" t="n"/>
      <c r="IK45" s="18" t="n"/>
      <c r="IL45" s="18" t="n"/>
      <c r="IM45" s="18" t="n"/>
      <c r="IN45" s="18" t="n"/>
      <c r="IO45" s="18" t="n"/>
      <c r="IP45" s="18" t="n"/>
      <c r="IQ45" s="18" t="n"/>
      <c r="IR45" s="18" t="n"/>
      <c r="IS45" s="18" t="n"/>
      <c r="IT45" s="18" t="n"/>
      <c r="IU45" s="18" t="n"/>
      <c r="IV45" s="18" t="n"/>
      <c r="IW45" s="18" t="n"/>
      <c r="IX45" s="18" t="n"/>
      <c r="IY45" s="18" t="n"/>
      <c r="IZ45" s="18" t="n"/>
      <c r="JA45" s="18" t="n"/>
      <c r="JB45" s="18" t="n"/>
      <c r="JC45" s="18" t="n"/>
      <c r="JD45" s="18" t="n"/>
      <c r="JE45" s="18" t="n"/>
      <c r="JF45" s="18" t="n"/>
      <c r="JG45" s="18" t="n"/>
      <c r="JH45" s="18" t="n"/>
      <c r="JI45" s="18" t="n"/>
      <c r="JJ45" s="18" t="n"/>
      <c r="JK45" s="18" t="n"/>
      <c r="JL45" s="18" t="n"/>
      <c r="JM45" s="18" t="n"/>
      <c r="JN45" s="18" t="n"/>
      <c r="JO45" s="18" t="n"/>
      <c r="JP45" s="18" t="n"/>
      <c r="JQ45" s="18" t="n"/>
      <c r="JR45" s="18" t="n"/>
      <c r="JS45" s="18" t="n"/>
      <c r="JT45" s="18" t="n"/>
      <c r="JU45" s="18" t="n"/>
      <c r="JV45" s="18" t="n"/>
      <c r="JW45" s="18" t="n"/>
      <c r="JX45" s="18" t="n"/>
      <c r="JY45" s="18" t="n"/>
      <c r="JZ45" s="18" t="n"/>
      <c r="KA45" s="18" t="n"/>
      <c r="KB45" s="18" t="n"/>
      <c r="KC45" s="18" t="n"/>
      <c r="KD45" s="18" t="n"/>
      <c r="KE45" s="18" t="n"/>
      <c r="KF45" s="18" t="n"/>
      <c r="KG45" s="18" t="n"/>
      <c r="KH45" s="18" t="n"/>
      <c r="KI45" s="18" t="n"/>
      <c r="KJ45" s="18" t="n"/>
      <c r="KK45" s="18" t="n"/>
      <c r="KL45" s="18" t="n"/>
      <c r="KM45" s="18" t="n"/>
      <c r="KN45" s="18" t="n"/>
      <c r="KO45" s="18" t="n"/>
      <c r="KP45" s="18" t="n"/>
      <c r="KQ45" s="18" t="n"/>
      <c r="KR45" s="18" t="n"/>
      <c r="KS45" s="18" t="n"/>
      <c r="KT45" s="18" t="n"/>
      <c r="KU45" s="18" t="n"/>
      <c r="KV45" s="18" t="n"/>
      <c r="KW45" s="18" t="n"/>
      <c r="KX45" s="18" t="n"/>
      <c r="KY45" s="18" t="n"/>
      <c r="KZ45" s="18" t="n"/>
      <c r="LA45" s="18" t="n"/>
      <c r="LB45" s="18" t="n"/>
      <c r="LC45" s="18" t="n"/>
      <c r="LD45" s="18" t="n"/>
      <c r="LE45" s="18" t="n"/>
      <c r="LF45" s="18" t="n"/>
      <c r="LG45" s="18" t="n"/>
      <c r="LH45" s="18" t="n"/>
      <c r="LI45" s="18" t="n"/>
      <c r="LJ45" s="18" t="n"/>
      <c r="LK45" s="18" t="n"/>
    </row>
    <row r="46" ht="17.4" customHeight="1" s="88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8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8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8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18" t="n"/>
      <c r="GI46" s="18" t="n"/>
      <c r="GJ46" s="18" t="n"/>
      <c r="GK46" s="18" t="n"/>
      <c r="GL46" s="18" t="n"/>
      <c r="GM46" s="18" t="n"/>
      <c r="GN46" s="18" t="n"/>
      <c r="GO46" s="18" t="n"/>
      <c r="GP46" s="18" t="n"/>
      <c r="GQ46" s="18" t="n"/>
      <c r="GR46" s="18" t="n"/>
      <c r="GS46" s="18" t="n"/>
      <c r="GT46" s="18" t="n"/>
      <c r="GU46" s="18" t="n"/>
      <c r="GV46" s="18" t="n"/>
      <c r="GW46" s="18" t="n"/>
      <c r="GX46" s="18" t="n"/>
      <c r="GY46" s="18" t="n"/>
      <c r="GZ46" s="18" t="n"/>
      <c r="HA46" s="18" t="n"/>
      <c r="HB46" s="18" t="n"/>
      <c r="HC46" s="18" t="n"/>
      <c r="HD46" s="18" t="n"/>
      <c r="HE46" s="18" t="n"/>
      <c r="HF46" s="18" t="n"/>
      <c r="HG46" s="18" t="n"/>
      <c r="HH46" s="18" t="n"/>
      <c r="HI46" s="18" t="n"/>
      <c r="HJ46" s="18" t="n"/>
      <c r="HK46" s="18" t="n"/>
      <c r="HL46" s="18" t="n"/>
      <c r="HM46" s="18" t="n"/>
      <c r="HN46" s="18" t="n"/>
      <c r="HO46" s="18" t="n"/>
      <c r="HP46" s="18" t="n"/>
      <c r="HQ46" s="18" t="n"/>
      <c r="HR46" s="18" t="n"/>
      <c r="HS46" s="18" t="n"/>
      <c r="HT46" s="18" t="n"/>
      <c r="HU46" s="18" t="n"/>
      <c r="HV46" s="18" t="n"/>
      <c r="HW46" s="18" t="n"/>
      <c r="HX46" s="18" t="n"/>
      <c r="HY46" s="18" t="n"/>
      <c r="HZ46" s="18" t="n"/>
      <c r="IA46" s="18" t="n"/>
      <c r="IB46" s="18" t="n"/>
      <c r="IC46" s="18" t="n"/>
      <c r="ID46" s="18" t="n"/>
      <c r="IE46" s="18" t="n"/>
      <c r="IF46" s="18" t="n"/>
      <c r="IG46" s="18" t="n"/>
      <c r="IH46" s="18" t="n"/>
      <c r="II46" s="18" t="n"/>
      <c r="IJ46" s="18" t="n"/>
      <c r="IK46" s="18" t="n"/>
      <c r="IL46" s="18" t="n"/>
      <c r="IM46" s="18" t="n"/>
      <c r="IN46" s="18" t="n"/>
      <c r="IO46" s="18" t="n"/>
      <c r="IP46" s="18" t="n"/>
      <c r="IQ46" s="18" t="n"/>
      <c r="IR46" s="18" t="n"/>
      <c r="IS46" s="18" t="n"/>
      <c r="IT46" s="18" t="n"/>
      <c r="IU46" s="18" t="n"/>
      <c r="IV46" s="18" t="n"/>
      <c r="IW46" s="18" t="n"/>
      <c r="IX46" s="18" t="n"/>
      <c r="IY46" s="18" t="n"/>
      <c r="IZ46" s="18" t="n"/>
      <c r="JA46" s="18" t="n"/>
      <c r="JB46" s="18" t="n"/>
      <c r="JC46" s="18" t="n"/>
      <c r="JD46" s="18" t="n"/>
      <c r="JE46" s="18" t="n"/>
      <c r="JF46" s="18" t="n"/>
      <c r="JG46" s="18" t="n"/>
      <c r="JH46" s="18" t="n"/>
      <c r="JI46" s="18" t="n"/>
      <c r="JJ46" s="18" t="n"/>
      <c r="JK46" s="18" t="n"/>
      <c r="JL46" s="18" t="n"/>
      <c r="JM46" s="18" t="n"/>
      <c r="JN46" s="18" t="n"/>
      <c r="JO46" s="18" t="n"/>
      <c r="JP46" s="18" t="n"/>
      <c r="JQ46" s="18" t="n"/>
      <c r="JR46" s="18" t="n"/>
      <c r="JS46" s="18" t="n"/>
      <c r="JT46" s="18" t="n"/>
      <c r="JU46" s="18" t="n"/>
      <c r="JV46" s="18" t="n"/>
      <c r="JW46" s="18" t="n"/>
      <c r="JX46" s="18" t="n"/>
      <c r="JY46" s="18" t="n"/>
      <c r="JZ46" s="18" t="n"/>
      <c r="KA46" s="18" t="n"/>
      <c r="KB46" s="18" t="n"/>
      <c r="KC46" s="18" t="n"/>
      <c r="KD46" s="18" t="n"/>
      <c r="KE46" s="18" t="n"/>
      <c r="KF46" s="18" t="n"/>
      <c r="KG46" s="18" t="n"/>
      <c r="KH46" s="18" t="n"/>
      <c r="KI46" s="18" t="n"/>
      <c r="KJ46" s="18" t="n"/>
      <c r="KK46" s="18" t="n"/>
      <c r="KL46" s="18" t="n"/>
      <c r="KM46" s="18" t="n"/>
      <c r="KN46" s="18" t="n"/>
      <c r="KO46" s="18" t="n"/>
      <c r="KP46" s="18" t="n"/>
      <c r="KQ46" s="18" t="n"/>
      <c r="KR46" s="18" t="n"/>
      <c r="KS46" s="18" t="n"/>
      <c r="KT46" s="18" t="n"/>
      <c r="KU46" s="18" t="n"/>
      <c r="KV46" s="18" t="n"/>
      <c r="KW46" s="18" t="n"/>
      <c r="KX46" s="18" t="n"/>
      <c r="KY46" s="18" t="n"/>
      <c r="KZ46" s="18" t="n"/>
      <c r="LA46" s="18" t="n"/>
      <c r="LB46" s="18" t="n"/>
      <c r="LC46" s="18" t="n"/>
      <c r="LD46" s="18" t="n"/>
      <c r="LE46" s="18" t="n"/>
      <c r="LF46" s="18" t="n"/>
      <c r="LG46" s="18" t="n"/>
      <c r="LH46" s="18" t="n"/>
      <c r="LI46" s="18" t="n"/>
      <c r="LJ46" s="18" t="n"/>
      <c r="LK46" s="18" t="n"/>
      <c r="LL46" s="18" t="n"/>
      <c r="LM46" s="18" t="n"/>
      <c r="LN46" s="18" t="n"/>
      <c r="LO46" s="18" t="n"/>
    </row>
    <row r="47" ht="17.4" customHeight="1" s="88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  <c r="DY47" s="18" t="n"/>
      <c r="DZ47" s="18" t="n"/>
      <c r="EA47" s="18" t="n"/>
      <c r="EB47" s="18" t="n"/>
      <c r="EC47" s="18" t="n"/>
      <c r="ED47" s="18" t="n"/>
      <c r="EE47" s="18" t="n"/>
      <c r="EF47" s="18" t="n"/>
      <c r="EG47" s="18" t="n"/>
      <c r="EH47" s="18" t="n"/>
      <c r="EI47" s="18" t="n"/>
      <c r="EJ47" s="18" t="n"/>
      <c r="EK47" s="18" t="n"/>
      <c r="EL47" s="18" t="n"/>
      <c r="EM47" s="18" t="n"/>
      <c r="EN47" s="18" t="n"/>
      <c r="EO47" s="18" t="n"/>
      <c r="EP47" s="18" t="n"/>
      <c r="EQ47" s="18" t="n"/>
      <c r="ER47" s="18" t="n"/>
      <c r="ES47" s="18" t="n"/>
      <c r="ET47" s="18" t="n"/>
      <c r="EU47" s="18" t="n"/>
      <c r="EV47" s="18" t="n"/>
      <c r="EW47" s="18" t="n"/>
      <c r="EX47" s="18" t="n"/>
      <c r="EY47" s="18" t="n"/>
      <c r="EZ47" s="18" t="n"/>
      <c r="FA47" s="18" t="n"/>
      <c r="FB47" s="18" t="n"/>
      <c r="FC47" s="18" t="n"/>
      <c r="FD47" s="18" t="n"/>
      <c r="FE47" s="18" t="n"/>
      <c r="FF47" s="18" t="n"/>
      <c r="FG47" s="18" t="n"/>
      <c r="FH47" s="18" t="n"/>
      <c r="FI47" s="18" t="n"/>
      <c r="FJ47" s="18" t="n"/>
      <c r="FK47" s="18" t="n"/>
      <c r="FL47" s="18" t="n"/>
      <c r="FM47" s="18" t="n"/>
      <c r="FN47" s="18" t="n"/>
      <c r="FO47" s="18" t="n"/>
      <c r="FP47" s="18" t="n"/>
      <c r="FQ47" s="18" t="n"/>
      <c r="FR47" s="18" t="n"/>
      <c r="FS47" s="18" t="n"/>
      <c r="FT47" s="18" t="n"/>
      <c r="FU47" s="18" t="n"/>
      <c r="FV47" s="18" t="n"/>
      <c r="FW47" s="18" t="n"/>
      <c r="FX47" s="18" t="n"/>
      <c r="FY47" s="18" t="n"/>
      <c r="FZ47" s="18" t="n"/>
      <c r="GA47" s="18" t="n"/>
      <c r="GB47" s="18" t="n"/>
      <c r="GC47" s="18" t="n"/>
      <c r="GD47" s="18" t="n"/>
      <c r="GE47" s="18" t="n"/>
      <c r="GF47" s="18" t="n"/>
      <c r="GG47" s="18" t="n"/>
      <c r="GH47" s="18" t="n"/>
      <c r="GI47" s="18" t="n"/>
      <c r="GJ47" s="18" t="n"/>
      <c r="GK47" s="18" t="n"/>
      <c r="GL47" s="18" t="n"/>
      <c r="GM47" s="18" t="n"/>
      <c r="GN47" s="18" t="n"/>
      <c r="GO47" s="18" t="n"/>
      <c r="GP47" s="18" t="n"/>
      <c r="GQ47" s="18" t="n"/>
      <c r="GR47" s="18" t="n"/>
      <c r="GS47" s="18" t="n"/>
      <c r="GT47" s="18" t="n"/>
      <c r="GU47" s="18" t="n"/>
      <c r="GV47" s="18" t="n"/>
      <c r="GW47" s="18" t="n"/>
      <c r="GX47" s="18" t="n"/>
      <c r="GY47" s="18" t="n"/>
      <c r="GZ47" s="18" t="n"/>
      <c r="HA47" s="18" t="n"/>
      <c r="HB47" s="18" t="n"/>
      <c r="HC47" s="18" t="n"/>
      <c r="HD47" s="18" t="n"/>
      <c r="HE47" s="18" t="n"/>
      <c r="HF47" s="18" t="n"/>
      <c r="HG47" s="18" t="n"/>
      <c r="HH47" s="18" t="n"/>
      <c r="HI47" s="18" t="n"/>
      <c r="HJ47" s="18" t="n"/>
      <c r="HK47" s="18" t="n"/>
      <c r="HL47" s="18" t="n"/>
      <c r="HM47" s="18" t="n"/>
      <c r="HN47" s="18" t="n"/>
      <c r="HO47" s="18" t="n"/>
      <c r="HP47" s="18" t="n"/>
      <c r="HQ47" s="18" t="n"/>
      <c r="HR47" s="18" t="n"/>
      <c r="HS47" s="18" t="n"/>
      <c r="HT47" s="18" t="n"/>
      <c r="HU47" s="18" t="n"/>
      <c r="HV47" s="18" t="n"/>
      <c r="HW47" s="18" t="n"/>
      <c r="HX47" s="18" t="n"/>
      <c r="HY47" s="18" t="n"/>
      <c r="HZ47" s="18" t="n"/>
      <c r="IA47" s="18" t="n"/>
      <c r="IB47" s="18" t="n"/>
      <c r="IC47" s="18" t="n"/>
      <c r="ID47" s="18" t="n"/>
      <c r="IE47" s="18" t="n"/>
      <c r="IF47" s="18" t="n"/>
      <c r="IG47" s="18" t="n"/>
      <c r="IH47" s="18" t="n"/>
      <c r="II47" s="18" t="n"/>
      <c r="IJ47" s="18" t="n"/>
      <c r="IK47" s="18" t="n"/>
      <c r="IL47" s="18" t="n"/>
      <c r="IM47" s="18" t="n"/>
      <c r="IN47" s="18" t="n"/>
      <c r="IO47" s="18" t="n"/>
      <c r="IP47" s="18" t="n"/>
      <c r="IQ47" s="18" t="n"/>
      <c r="IR47" s="18" t="n"/>
      <c r="IS47" s="18" t="n"/>
      <c r="IT47" s="18" t="n"/>
      <c r="IU47" s="18" t="n"/>
      <c r="IV47" s="18" t="n"/>
      <c r="IW47" s="18" t="n"/>
      <c r="IX47" s="18" t="n"/>
      <c r="IY47" s="18" t="n"/>
      <c r="IZ47" s="18" t="n"/>
      <c r="JA47" s="18" t="n"/>
      <c r="JB47" s="18" t="n"/>
      <c r="JC47" s="18" t="n"/>
      <c r="JD47" s="18" t="n"/>
      <c r="JE47" s="18" t="n"/>
      <c r="JF47" s="18" t="n"/>
      <c r="JG47" s="18" t="n"/>
      <c r="JH47" s="18" t="n"/>
      <c r="JI47" s="18" t="n"/>
      <c r="JJ47" s="18" t="n"/>
      <c r="JK47" s="18" t="n"/>
      <c r="JL47" s="18" t="n"/>
      <c r="JM47" s="18" t="n"/>
      <c r="JN47" s="18" t="n"/>
      <c r="JO47" s="18" t="n"/>
      <c r="JP47" s="18" t="n"/>
      <c r="JQ47" s="18" t="n"/>
      <c r="JR47" s="18" t="n"/>
      <c r="JS47" s="18" t="n"/>
      <c r="JT47" s="18" t="n"/>
      <c r="JU47" s="18" t="n"/>
      <c r="JV47" s="18" t="n"/>
      <c r="JW47" s="18" t="n"/>
      <c r="JX47" s="18" t="n"/>
      <c r="JY47" s="18" t="n"/>
      <c r="JZ47" s="18" t="n"/>
      <c r="KA47" s="18" t="n"/>
      <c r="KB47" s="18" t="n"/>
      <c r="KC47" s="18" t="n"/>
      <c r="KD47" s="18" t="n"/>
      <c r="KE47" s="18" t="n"/>
      <c r="KF47" s="18" t="n"/>
      <c r="KG47" s="18" t="n"/>
      <c r="KH47" s="18" t="n"/>
      <c r="KI47" s="18" t="n"/>
      <c r="KJ47" s="18" t="n"/>
      <c r="KK47" s="18" t="n"/>
      <c r="KL47" s="18" t="n"/>
      <c r="KM47" s="18" t="n"/>
      <c r="KN47" s="18" t="n"/>
      <c r="KO47" s="18" t="n"/>
      <c r="KP47" s="18" t="n"/>
      <c r="KQ47" s="18" t="n"/>
      <c r="KR47" s="18" t="n"/>
      <c r="KS47" s="18" t="n"/>
      <c r="KT47" s="18" t="n"/>
      <c r="KU47" s="18" t="n"/>
      <c r="KV47" s="18" t="n"/>
      <c r="KW47" s="18" t="n"/>
      <c r="KX47" s="18" t="n"/>
      <c r="KY47" s="18" t="n"/>
      <c r="KZ47" s="18" t="n"/>
      <c r="LA47" s="18" t="n"/>
      <c r="LB47" s="18" t="n"/>
      <c r="LC47" s="18" t="n"/>
      <c r="LD47" s="18" t="n"/>
      <c r="LE47" s="18" t="n"/>
      <c r="LF47" s="18" t="n"/>
      <c r="LG47" s="18" t="n"/>
      <c r="LH47" s="18" t="n"/>
      <c r="LI47" s="18" t="n"/>
      <c r="LJ47" s="18" t="n"/>
      <c r="LK47" s="18" t="n"/>
      <c r="LL47" s="18" t="n"/>
      <c r="LM47" s="18" t="n"/>
      <c r="LN47" s="18" t="n"/>
      <c r="LO47" s="18" t="n"/>
      <c r="LP47" s="18" t="n"/>
      <c r="LQ47" s="18" t="n"/>
      <c r="LR47" s="18" t="n"/>
      <c r="LS47" s="18" t="n"/>
    </row>
    <row r="48" ht="17.4" customHeight="1" s="8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  <c r="DY48" s="18" t="n"/>
      <c r="DZ48" s="18" t="n"/>
      <c r="EA48" s="18" t="n"/>
      <c r="EB48" s="18" t="n"/>
      <c r="EC48" s="18" t="n"/>
      <c r="ED48" s="18" t="n"/>
      <c r="EE48" s="18" t="n"/>
      <c r="EF48" s="18" t="n"/>
      <c r="EG48" s="18" t="n"/>
      <c r="EH48" s="18" t="n"/>
      <c r="EI48" s="18" t="n"/>
      <c r="EJ48" s="18" t="n"/>
      <c r="EK48" s="18" t="n"/>
      <c r="EL48" s="18" t="n"/>
      <c r="EM48" s="18" t="n"/>
      <c r="EN48" s="18" t="n"/>
      <c r="EO48" s="18" t="n"/>
      <c r="EP48" s="18" t="n"/>
      <c r="EQ48" s="18" t="n"/>
      <c r="ER48" s="18" t="n"/>
      <c r="ES48" s="18" t="n"/>
      <c r="ET48" s="18" t="n"/>
      <c r="EU48" s="18" t="n"/>
      <c r="EV48" s="18" t="n"/>
      <c r="EW48" s="18" t="n"/>
      <c r="EX48" s="18" t="n"/>
      <c r="EY48" s="18" t="n"/>
      <c r="EZ48" s="18" t="n"/>
      <c r="FA48" s="18" t="n"/>
      <c r="FB48" s="18" t="n"/>
      <c r="FC48" s="18" t="n"/>
      <c r="FD48" s="18" t="n"/>
      <c r="FE48" s="18" t="n"/>
      <c r="FF48" s="18" t="n"/>
      <c r="FG48" s="18" t="n"/>
      <c r="FH48" s="18" t="n"/>
      <c r="FI48" s="18" t="n"/>
      <c r="FJ48" s="18" t="n"/>
      <c r="FK48" s="18" t="n"/>
      <c r="FL48" s="18" t="n"/>
      <c r="FM48" s="18" t="n"/>
      <c r="FN48" s="18" t="n"/>
      <c r="FO48" s="18" t="n"/>
      <c r="FP48" s="18" t="n"/>
      <c r="FQ48" s="18" t="n"/>
      <c r="FR48" s="18" t="n"/>
      <c r="FS48" s="18" t="n"/>
      <c r="FT48" s="18" t="n"/>
      <c r="FU48" s="18" t="n"/>
      <c r="FV48" s="18" t="n"/>
      <c r="FW48" s="18" t="n"/>
      <c r="FX48" s="18" t="n"/>
      <c r="FY48" s="18" t="n"/>
      <c r="FZ48" s="18" t="n"/>
      <c r="GA48" s="18" t="n"/>
      <c r="GB48" s="18" t="n"/>
      <c r="GC48" s="18" t="n"/>
      <c r="GD48" s="18" t="n"/>
      <c r="GE48" s="18" t="n"/>
      <c r="GF48" s="18" t="n"/>
      <c r="GG48" s="18" t="n"/>
      <c r="GH48" s="18" t="n"/>
      <c r="GI48" s="18" t="n"/>
      <c r="GJ48" s="18" t="n"/>
      <c r="GK48" s="18" t="n"/>
      <c r="GL48" s="18" t="n"/>
      <c r="GM48" s="18" t="n"/>
      <c r="GN48" s="18" t="n"/>
      <c r="GO48" s="18" t="n"/>
      <c r="GP48" s="18" t="n"/>
      <c r="GQ48" s="18" t="n"/>
      <c r="GR48" s="18" t="n"/>
      <c r="GS48" s="18" t="n"/>
      <c r="GT48" s="18" t="n"/>
      <c r="GU48" s="18" t="n"/>
      <c r="GV48" s="18" t="n"/>
      <c r="GW48" s="18" t="n"/>
      <c r="GX48" s="18" t="n"/>
      <c r="GY48" s="18" t="n"/>
      <c r="GZ48" s="18" t="n"/>
      <c r="HA48" s="18" t="n"/>
      <c r="HB48" s="18" t="n"/>
      <c r="HC48" s="18" t="n"/>
      <c r="HD48" s="18" t="n"/>
      <c r="HE48" s="18" t="n"/>
      <c r="HF48" s="18" t="n"/>
      <c r="HG48" s="18" t="n"/>
      <c r="HH48" s="18" t="n"/>
      <c r="HI48" s="18" t="n"/>
      <c r="HJ48" s="18" t="n"/>
      <c r="HK48" s="18" t="n"/>
      <c r="HL48" s="18" t="n"/>
      <c r="HM48" s="18" t="n"/>
      <c r="HN48" s="18" t="n"/>
      <c r="HO48" s="18" t="n"/>
      <c r="HP48" s="18" t="n"/>
      <c r="HQ48" s="18" t="n"/>
      <c r="HR48" s="18" t="n"/>
      <c r="HS48" s="18" t="n"/>
      <c r="HT48" s="18" t="n"/>
      <c r="HU48" s="18" t="n"/>
      <c r="HV48" s="18" t="n"/>
      <c r="HW48" s="18" t="n"/>
      <c r="HX48" s="18" t="n"/>
      <c r="HY48" s="18" t="n"/>
      <c r="HZ48" s="18" t="n"/>
      <c r="IA48" s="18" t="n"/>
      <c r="IB48" s="18" t="n"/>
      <c r="IC48" s="18" t="n"/>
      <c r="ID48" s="18" t="n"/>
      <c r="IE48" s="18" t="n"/>
      <c r="IF48" s="18" t="n"/>
      <c r="IG48" s="18" t="n"/>
      <c r="IH48" s="18" t="n"/>
      <c r="II48" s="18" t="n"/>
      <c r="IJ48" s="18" t="n"/>
      <c r="IK48" s="18" t="n"/>
      <c r="IL48" s="18" t="n"/>
      <c r="IM48" s="18" t="n"/>
      <c r="IN48" s="18" t="n"/>
      <c r="IO48" s="18" t="n"/>
      <c r="IP48" s="18" t="n"/>
      <c r="IQ48" s="18" t="n"/>
      <c r="IR48" s="18" t="n"/>
      <c r="IS48" s="18" t="n"/>
      <c r="IT48" s="18" t="n"/>
      <c r="IU48" s="18" t="n"/>
      <c r="IV48" s="18" t="n"/>
      <c r="IW48" s="18" t="n"/>
      <c r="IX48" s="18" t="n"/>
      <c r="IY48" s="18" t="n"/>
      <c r="IZ48" s="18" t="n"/>
      <c r="JA48" s="18" t="n"/>
      <c r="JB48" s="18" t="n"/>
      <c r="JC48" s="18" t="n"/>
      <c r="JD48" s="18" t="n"/>
      <c r="JE48" s="18" t="n"/>
      <c r="JF48" s="18" t="n"/>
      <c r="JG48" s="18" t="n"/>
      <c r="JH48" s="18" t="n"/>
      <c r="JI48" s="18" t="n"/>
      <c r="JJ48" s="18" t="n"/>
      <c r="JK48" s="18" t="n"/>
      <c r="JL48" s="18" t="n"/>
      <c r="JM48" s="18" t="n"/>
      <c r="JN48" s="18" t="n"/>
      <c r="JO48" s="18" t="n"/>
      <c r="JP48" s="18" t="n"/>
      <c r="JQ48" s="18" t="n"/>
      <c r="JR48" s="18" t="n"/>
      <c r="JS48" s="18" t="n"/>
      <c r="JT48" s="18" t="n"/>
      <c r="JU48" s="18" t="n"/>
      <c r="JV48" s="18" t="n"/>
      <c r="JW48" s="18" t="n"/>
      <c r="JX48" s="18" t="n"/>
      <c r="JY48" s="18" t="n"/>
      <c r="JZ48" s="18" t="n"/>
      <c r="KA48" s="18" t="n"/>
      <c r="KB48" s="18" t="n"/>
      <c r="KC48" s="18" t="n"/>
      <c r="KD48" s="18" t="n"/>
      <c r="KE48" s="18" t="n"/>
      <c r="KF48" s="18" t="n"/>
      <c r="KG48" s="18" t="n"/>
      <c r="KH48" s="18" t="n"/>
      <c r="KI48" s="18" t="n"/>
      <c r="KJ48" s="18" t="n"/>
      <c r="KK48" s="18" t="n"/>
      <c r="KL48" s="18" t="n"/>
      <c r="KM48" s="18" t="n"/>
      <c r="KN48" s="18" t="n"/>
      <c r="KO48" s="18" t="n"/>
      <c r="KP48" s="18" t="n"/>
      <c r="KQ48" s="18" t="n"/>
      <c r="KR48" s="18" t="n"/>
      <c r="KS48" s="18" t="n"/>
      <c r="KT48" s="18" t="n"/>
      <c r="KU48" s="18" t="n"/>
      <c r="KV48" s="18" t="n"/>
      <c r="KW48" s="18" t="n"/>
      <c r="KX48" s="18" t="n"/>
      <c r="KY48" s="18" t="n"/>
      <c r="KZ48" s="18" t="n"/>
      <c r="LA48" s="18" t="n"/>
      <c r="LB48" s="18" t="n"/>
      <c r="LC48" s="18" t="n"/>
      <c r="LD48" s="18" t="n"/>
      <c r="LE48" s="18" t="n"/>
      <c r="LF48" s="18" t="n"/>
      <c r="LG48" s="18" t="n"/>
      <c r="LH48" s="18" t="n"/>
      <c r="LI48" s="18" t="n"/>
      <c r="LJ48" s="18" t="n"/>
      <c r="LK48" s="18" t="n"/>
      <c r="LL48" s="18" t="n"/>
      <c r="LM48" s="18" t="n"/>
      <c r="LN48" s="18" t="n"/>
      <c r="LO48" s="18" t="n"/>
      <c r="LP48" s="18" t="n"/>
      <c r="LQ48" s="18" t="n"/>
      <c r="LR48" s="18" t="n"/>
      <c r="LS48" s="18" t="n"/>
      <c r="LT48" s="18" t="n"/>
      <c r="LU48" s="18" t="n"/>
      <c r="LV48" s="18" t="n"/>
      <c r="LW48" s="18" t="n"/>
    </row>
    <row r="49" ht="17.4" customHeight="1" s="88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  <c r="DY49" s="18" t="n"/>
      <c r="DZ49" s="18" t="n"/>
      <c r="EA49" s="18" t="n"/>
      <c r="EB49" s="18" t="n"/>
      <c r="EC49" s="18" t="n"/>
      <c r="ED49" s="18" t="n"/>
      <c r="EE49" s="18" t="n"/>
      <c r="EF49" s="18" t="n"/>
      <c r="EG49" s="18" t="n"/>
      <c r="EH49" s="18" t="n"/>
      <c r="EI49" s="18" t="n"/>
      <c r="EJ49" s="18" t="n"/>
      <c r="EK49" s="18" t="n"/>
      <c r="EL49" s="18" t="n"/>
      <c r="EM49" s="18" t="n"/>
      <c r="EN49" s="18" t="n"/>
      <c r="EO49" s="18" t="n"/>
      <c r="EP49" s="18" t="n"/>
      <c r="EQ49" s="18" t="n"/>
      <c r="ER49" s="18" t="n"/>
      <c r="ES49" s="18" t="n"/>
      <c r="ET49" s="18" t="n"/>
      <c r="EU49" s="18" t="n"/>
      <c r="EV49" s="18" t="n"/>
      <c r="EW49" s="18" t="n"/>
      <c r="EX49" s="18" t="n"/>
      <c r="EY49" s="18" t="n"/>
      <c r="EZ49" s="18" t="n"/>
      <c r="FA49" s="18" t="n"/>
      <c r="FB49" s="18" t="n"/>
      <c r="FC49" s="18" t="n"/>
      <c r="FD49" s="18" t="n"/>
      <c r="FE49" s="18" t="n"/>
      <c r="FF49" s="18" t="n"/>
      <c r="FG49" s="18" t="n"/>
      <c r="FH49" s="18" t="n"/>
      <c r="FI49" s="18" t="n"/>
      <c r="FJ49" s="18" t="n"/>
      <c r="FK49" s="18" t="n"/>
      <c r="FL49" s="18" t="n"/>
      <c r="FM49" s="18" t="n"/>
      <c r="FN49" s="18" t="n"/>
      <c r="FO49" s="18" t="n"/>
      <c r="FP49" s="18" t="n"/>
      <c r="FQ49" s="18" t="n"/>
      <c r="FR49" s="18" t="n"/>
      <c r="FS49" s="18" t="n"/>
      <c r="FT49" s="18" t="n"/>
      <c r="FU49" s="18" t="n"/>
      <c r="FV49" s="18" t="n"/>
      <c r="FW49" s="18" t="n"/>
      <c r="FX49" s="18" t="n"/>
      <c r="FY49" s="18" t="n"/>
      <c r="FZ49" s="18" t="n"/>
      <c r="GA49" s="18" t="n"/>
      <c r="GB49" s="18" t="n"/>
      <c r="GC49" s="18" t="n"/>
      <c r="GD49" s="18" t="n"/>
      <c r="GE49" s="18" t="n"/>
      <c r="GF49" s="18" t="n"/>
      <c r="GG49" s="18" t="n"/>
      <c r="GH49" s="18" t="n"/>
      <c r="GI49" s="18" t="n"/>
      <c r="GJ49" s="18" t="n"/>
      <c r="GK49" s="18" t="n"/>
      <c r="GL49" s="18" t="n"/>
      <c r="GM49" s="18" t="n"/>
      <c r="GN49" s="18" t="n"/>
      <c r="GO49" s="18" t="n"/>
      <c r="GP49" s="18" t="n"/>
      <c r="GQ49" s="18" t="n"/>
      <c r="GR49" s="18" t="n"/>
      <c r="GS49" s="18" t="n"/>
      <c r="GT49" s="18" t="n"/>
      <c r="GU49" s="18" t="n"/>
      <c r="GV49" s="18" t="n"/>
      <c r="GW49" s="18" t="n"/>
      <c r="GX49" s="18" t="n"/>
      <c r="GY49" s="18" t="n"/>
      <c r="GZ49" s="18" t="n"/>
      <c r="HA49" s="18" t="n"/>
      <c r="HB49" s="18" t="n"/>
      <c r="HC49" s="18" t="n"/>
      <c r="HD49" s="18" t="n"/>
      <c r="HE49" s="18" t="n"/>
      <c r="HF49" s="18" t="n"/>
      <c r="HG49" s="18" t="n"/>
      <c r="HH49" s="18" t="n"/>
      <c r="HI49" s="18" t="n"/>
      <c r="HJ49" s="18" t="n"/>
      <c r="HK49" s="18" t="n"/>
      <c r="HL49" s="18" t="n"/>
      <c r="HM49" s="18" t="n"/>
      <c r="HN49" s="18" t="n"/>
      <c r="HO49" s="18" t="n"/>
      <c r="HP49" s="18" t="n"/>
      <c r="HQ49" s="18" t="n"/>
      <c r="HR49" s="18" t="n"/>
      <c r="HS49" s="18" t="n"/>
      <c r="HT49" s="18" t="n"/>
      <c r="HU49" s="18" t="n"/>
      <c r="HV49" s="18" t="n"/>
      <c r="HW49" s="18" t="n"/>
      <c r="HX49" s="18" t="n"/>
      <c r="HY49" s="18" t="n"/>
      <c r="HZ49" s="18" t="n"/>
      <c r="IA49" s="18" t="n"/>
      <c r="IB49" s="18" t="n"/>
      <c r="IC49" s="18" t="n"/>
      <c r="ID49" s="18" t="n"/>
      <c r="IE49" s="18" t="n"/>
      <c r="IF49" s="18" t="n"/>
      <c r="IG49" s="18" t="n"/>
      <c r="IH49" s="18" t="n"/>
      <c r="II49" s="18" t="n"/>
      <c r="IJ49" s="18" t="n"/>
      <c r="IK49" s="18" t="n"/>
      <c r="IL49" s="18" t="n"/>
      <c r="IM49" s="18" t="n"/>
      <c r="IN49" s="18" t="n"/>
      <c r="IO49" s="18" t="n"/>
      <c r="IP49" s="18" t="n"/>
      <c r="IQ49" s="18" t="n"/>
      <c r="IR49" s="18" t="n"/>
      <c r="IS49" s="18" t="n"/>
      <c r="IT49" s="18" t="n"/>
      <c r="IU49" s="18" t="n"/>
      <c r="IV49" s="18" t="n"/>
      <c r="IW49" s="18" t="n"/>
      <c r="IX49" s="18" t="n"/>
      <c r="IY49" s="18" t="n"/>
      <c r="IZ49" s="18" t="n"/>
      <c r="JA49" s="18" t="n"/>
      <c r="JB49" s="18" t="n"/>
      <c r="JC49" s="18" t="n"/>
      <c r="JD49" s="18" t="n"/>
      <c r="JE49" s="18" t="n"/>
      <c r="JF49" s="18" t="n"/>
      <c r="JG49" s="18" t="n"/>
      <c r="JH49" s="18" t="n"/>
      <c r="JI49" s="18" t="n"/>
      <c r="JJ49" s="18" t="n"/>
      <c r="JK49" s="18" t="n"/>
      <c r="JL49" s="18" t="n"/>
      <c r="JM49" s="18" t="n"/>
      <c r="JN49" s="18" t="n"/>
      <c r="JO49" s="18" t="n"/>
      <c r="JP49" s="18" t="n"/>
      <c r="JQ49" s="18" t="n"/>
      <c r="JR49" s="18" t="n"/>
      <c r="JS49" s="18" t="n"/>
      <c r="JT49" s="18" t="n"/>
      <c r="JU49" s="18" t="n"/>
      <c r="JV49" s="18" t="n"/>
      <c r="JW49" s="18" t="n"/>
      <c r="JX49" s="18" t="n"/>
      <c r="JY49" s="18" t="n"/>
      <c r="JZ49" s="18" t="n"/>
      <c r="KA49" s="18" t="n"/>
      <c r="KB49" s="18" t="n"/>
      <c r="KC49" s="18" t="n"/>
      <c r="KD49" s="18" t="n"/>
      <c r="KE49" s="18" t="n"/>
      <c r="KF49" s="18" t="n"/>
      <c r="KG49" s="18" t="n"/>
      <c r="KH49" s="18" t="n"/>
      <c r="KI49" s="18" t="n"/>
      <c r="KJ49" s="18" t="n"/>
      <c r="KK49" s="18" t="n"/>
      <c r="KL49" s="18" t="n"/>
      <c r="KM49" s="18" t="n"/>
      <c r="KN49" s="18" t="n"/>
      <c r="KO49" s="18" t="n"/>
      <c r="KP49" s="18" t="n"/>
      <c r="KQ49" s="18" t="n"/>
      <c r="KR49" s="18" t="n"/>
      <c r="KS49" s="18" t="n"/>
      <c r="KT49" s="18" t="n"/>
      <c r="KU49" s="18" t="n"/>
      <c r="KV49" s="18" t="n"/>
      <c r="KW49" s="18" t="n"/>
      <c r="KX49" s="18" t="n"/>
      <c r="KY49" s="18" t="n"/>
      <c r="KZ49" s="18" t="n"/>
      <c r="LA49" s="18" t="n"/>
      <c r="LB49" s="18" t="n"/>
      <c r="LC49" s="18" t="n"/>
      <c r="LD49" s="18" t="n"/>
      <c r="LE49" s="18" t="n"/>
      <c r="LF49" s="18" t="n"/>
      <c r="LG49" s="18" t="n"/>
      <c r="LH49" s="18" t="n"/>
      <c r="LI49" s="18" t="n"/>
      <c r="LJ49" s="18" t="n"/>
      <c r="LK49" s="18" t="n"/>
      <c r="LL49" s="18" t="n"/>
      <c r="LM49" s="18" t="n"/>
      <c r="LN49" s="18" t="n"/>
      <c r="LO49" s="18" t="n"/>
      <c r="LP49" s="18" t="n"/>
      <c r="LQ49" s="18" t="n"/>
      <c r="LR49" s="18" t="n"/>
      <c r="LS49" s="18" t="n"/>
      <c r="LT49" s="18" t="n"/>
      <c r="LU49" s="18" t="n"/>
      <c r="LV49" s="18" t="n"/>
      <c r="LW49" s="18" t="n"/>
      <c r="LX49" s="18" t="n"/>
      <c r="LY49" s="18" t="n"/>
      <c r="LZ49" s="18" t="n"/>
      <c r="MA49" s="18" t="n"/>
    </row>
    <row r="50" ht="17.4" customHeight="1" s="88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  <c r="DY50" s="18" t="n"/>
      <c r="DZ50" s="18" t="n"/>
      <c r="EA50" s="18" t="n"/>
      <c r="EB50" s="18" t="n"/>
      <c r="EC50" s="18" t="n"/>
      <c r="ED50" s="18" t="n"/>
      <c r="EE50" s="18" t="n"/>
      <c r="EF50" s="18" t="n"/>
      <c r="EG50" s="18" t="n"/>
      <c r="EH50" s="18" t="n"/>
      <c r="EI50" s="18" t="n"/>
      <c r="EJ50" s="18" t="n"/>
      <c r="EK50" s="18" t="n"/>
      <c r="EL50" s="18" t="n"/>
      <c r="EM50" s="18" t="n"/>
      <c r="EN50" s="18" t="n"/>
      <c r="EO50" s="18" t="n"/>
      <c r="EP50" s="18" t="n"/>
      <c r="EQ50" s="18" t="n"/>
      <c r="ER50" s="18" t="n"/>
      <c r="ES50" s="18" t="n"/>
      <c r="ET50" s="18" t="n"/>
      <c r="EU50" s="18" t="n"/>
      <c r="EV50" s="18" t="n"/>
      <c r="EW50" s="18" t="n"/>
      <c r="EX50" s="18" t="n"/>
      <c r="EY50" s="18" t="n"/>
      <c r="EZ50" s="18" t="n"/>
      <c r="FA50" s="18" t="n"/>
      <c r="FB50" s="18" t="n"/>
      <c r="FC50" s="18" t="n"/>
      <c r="FD50" s="18" t="n"/>
      <c r="FE50" s="18" t="n"/>
      <c r="FF50" s="18" t="n"/>
      <c r="FG50" s="18" t="n"/>
      <c r="FH50" s="18" t="n"/>
      <c r="FI50" s="18" t="n"/>
      <c r="FJ50" s="18" t="n"/>
      <c r="FK50" s="18" t="n"/>
      <c r="FL50" s="18" t="n"/>
      <c r="FM50" s="18" t="n"/>
      <c r="FN50" s="18" t="n"/>
      <c r="FO50" s="18" t="n"/>
      <c r="FP50" s="18" t="n"/>
      <c r="FQ50" s="18" t="n"/>
      <c r="FR50" s="18" t="n"/>
      <c r="FS50" s="18" t="n"/>
      <c r="FT50" s="18" t="n"/>
      <c r="FU50" s="18" t="n"/>
      <c r="FV50" s="18" t="n"/>
      <c r="FW50" s="18" t="n"/>
      <c r="FX50" s="18" t="n"/>
      <c r="FY50" s="18" t="n"/>
      <c r="FZ50" s="18" t="n"/>
      <c r="GA50" s="18" t="n"/>
      <c r="GB50" s="18" t="n"/>
      <c r="GC50" s="18" t="n"/>
      <c r="GD50" s="18" t="n"/>
      <c r="GE50" s="18" t="n"/>
      <c r="GF50" s="18" t="n"/>
      <c r="GG50" s="18" t="n"/>
      <c r="GH50" s="18" t="n"/>
      <c r="GI50" s="18" t="n"/>
      <c r="GJ50" s="18" t="n"/>
      <c r="GK50" s="18" t="n"/>
      <c r="GL50" s="18" t="n"/>
      <c r="GM50" s="18" t="n"/>
      <c r="GN50" s="18" t="n"/>
      <c r="GO50" s="18" t="n"/>
      <c r="GP50" s="18" t="n"/>
      <c r="GQ50" s="18" t="n"/>
      <c r="GR50" s="18" t="n"/>
      <c r="GS50" s="18" t="n"/>
      <c r="GT50" s="18" t="n"/>
      <c r="GU50" s="18" t="n"/>
      <c r="GV50" s="18" t="n"/>
      <c r="GW50" s="18" t="n"/>
      <c r="GX50" s="18" t="n"/>
      <c r="GY50" s="18" t="n"/>
      <c r="GZ50" s="18" t="n"/>
      <c r="HA50" s="18" t="n"/>
      <c r="HB50" s="18" t="n"/>
      <c r="HC50" s="18" t="n"/>
      <c r="HD50" s="18" t="n"/>
      <c r="HE50" s="18" t="n"/>
      <c r="HF50" s="18" t="n"/>
      <c r="HG50" s="18" t="n"/>
      <c r="HH50" s="18" t="n"/>
      <c r="HI50" s="18" t="n"/>
      <c r="HJ50" s="18" t="n"/>
      <c r="HK50" s="18" t="n"/>
      <c r="HL50" s="18" t="n"/>
      <c r="HM50" s="18" t="n"/>
      <c r="HN50" s="18" t="n"/>
      <c r="HO50" s="18" t="n"/>
      <c r="HP50" s="18" t="n"/>
      <c r="HQ50" s="18" t="n"/>
      <c r="HR50" s="18" t="n"/>
      <c r="HS50" s="18" t="n"/>
      <c r="HT50" s="18" t="n"/>
      <c r="HU50" s="18" t="n"/>
      <c r="HV50" s="18" t="n"/>
      <c r="HW50" s="18" t="n"/>
      <c r="HX50" s="18" t="n"/>
      <c r="HY50" s="18" t="n"/>
      <c r="HZ50" s="18" t="n"/>
      <c r="IA50" s="18" t="n"/>
      <c r="IB50" s="18" t="n"/>
      <c r="IC50" s="18" t="n"/>
      <c r="ID50" s="18" t="n"/>
      <c r="IE50" s="18" t="n"/>
      <c r="IF50" s="18" t="n"/>
      <c r="IG50" s="18" t="n"/>
      <c r="IH50" s="18" t="n"/>
      <c r="II50" s="18" t="n"/>
      <c r="IJ50" s="18" t="n"/>
      <c r="IK50" s="18" t="n"/>
      <c r="IL50" s="18" t="n"/>
      <c r="IM50" s="18" t="n"/>
      <c r="IN50" s="18" t="n"/>
      <c r="IO50" s="18" t="n"/>
      <c r="IP50" s="18" t="n"/>
      <c r="IQ50" s="18" t="n"/>
      <c r="IR50" s="18" t="n"/>
      <c r="IS50" s="18" t="n"/>
      <c r="IT50" s="18" t="n"/>
      <c r="IU50" s="18" t="n"/>
      <c r="IV50" s="18" t="n"/>
      <c r="IW50" s="18" t="n"/>
      <c r="IX50" s="18" t="n"/>
      <c r="IY50" s="18" t="n"/>
      <c r="IZ50" s="18" t="n"/>
      <c r="JA50" s="18" t="n"/>
      <c r="JB50" s="18" t="n"/>
      <c r="JC50" s="18" t="n"/>
      <c r="JD50" s="18" t="n"/>
      <c r="JE50" s="18" t="n"/>
      <c r="JF50" s="18" t="n"/>
      <c r="JG50" s="18" t="n"/>
      <c r="JH50" s="18" t="n"/>
      <c r="JI50" s="18" t="n"/>
      <c r="JJ50" s="18" t="n"/>
      <c r="JK50" s="18" t="n"/>
      <c r="JL50" s="18" t="n"/>
      <c r="JM50" s="18" t="n"/>
      <c r="JN50" s="18" t="n"/>
      <c r="JO50" s="18" t="n"/>
      <c r="JP50" s="18" t="n"/>
      <c r="JQ50" s="18" t="n"/>
      <c r="JR50" s="18" t="n"/>
      <c r="JS50" s="18" t="n"/>
      <c r="JT50" s="18" t="n"/>
      <c r="JU50" s="18" t="n"/>
      <c r="JV50" s="18" t="n"/>
      <c r="JW50" s="18" t="n"/>
      <c r="JX50" s="18" t="n"/>
      <c r="JY50" s="18" t="n"/>
      <c r="JZ50" s="18" t="n"/>
      <c r="KA50" s="18" t="n"/>
      <c r="KB50" s="18" t="n"/>
      <c r="KC50" s="18" t="n"/>
      <c r="KD50" s="18" t="n"/>
      <c r="KE50" s="18" t="n"/>
      <c r="KF50" s="18" t="n"/>
      <c r="KG50" s="18" t="n"/>
      <c r="KH50" s="18" t="n"/>
      <c r="KI50" s="18" t="n"/>
      <c r="KJ50" s="18" t="n"/>
      <c r="KK50" s="18" t="n"/>
      <c r="KL50" s="18" t="n"/>
      <c r="KM50" s="18" t="n"/>
      <c r="KN50" s="18" t="n"/>
      <c r="KO50" s="18" t="n"/>
      <c r="KP50" s="18" t="n"/>
      <c r="KQ50" s="18" t="n"/>
      <c r="KR50" s="18" t="n"/>
      <c r="KS50" s="18" t="n"/>
      <c r="KT50" s="18" t="n"/>
      <c r="KU50" s="18" t="n"/>
      <c r="KV50" s="18" t="n"/>
      <c r="KW50" s="18" t="n"/>
      <c r="KX50" s="18" t="n"/>
      <c r="KY50" s="18" t="n"/>
      <c r="KZ50" s="18" t="n"/>
      <c r="LA50" s="18" t="n"/>
      <c r="LB50" s="18" t="n"/>
      <c r="LC50" s="18" t="n"/>
      <c r="LD50" s="18" t="n"/>
      <c r="LE50" s="18" t="n"/>
      <c r="LF50" s="18" t="n"/>
      <c r="LG50" s="18" t="n"/>
      <c r="LH50" s="18" t="n"/>
      <c r="LI50" s="18" t="n"/>
      <c r="LJ50" s="18" t="n"/>
      <c r="LK50" s="18" t="n"/>
      <c r="LL50" s="18" t="n"/>
      <c r="LM50" s="18" t="n"/>
      <c r="LN50" s="18" t="n"/>
      <c r="LO50" s="18" t="n"/>
      <c r="LP50" s="18" t="n"/>
      <c r="LQ50" s="18" t="n"/>
      <c r="LR50" s="18" t="n"/>
      <c r="LS50" s="18" t="n"/>
      <c r="LT50" s="18" t="n"/>
      <c r="LU50" s="18" t="n"/>
      <c r="LV50" s="18" t="n"/>
      <c r="LW50" s="18" t="n"/>
      <c r="LX50" s="18" t="n"/>
      <c r="LY50" s="18" t="n"/>
      <c r="LZ50" s="18" t="n"/>
      <c r="MA50" s="18" t="n"/>
      <c r="MB50" s="18" t="n"/>
      <c r="MC50" s="18" t="n"/>
      <c r="MD50" s="18" t="n"/>
      <c r="ME50" s="18" t="n"/>
    </row>
    <row r="51" ht="17.4" customHeight="1" s="88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  <c r="DY51" s="18" t="n"/>
      <c r="DZ51" s="18" t="n"/>
      <c r="EA51" s="18" t="n"/>
      <c r="EB51" s="18" t="n"/>
      <c r="EC51" s="18" t="n"/>
      <c r="ED51" s="18" t="n"/>
      <c r="EE51" s="18" t="n"/>
      <c r="EF51" s="18" t="n"/>
      <c r="EG51" s="18" t="n"/>
      <c r="EH51" s="18" t="n"/>
      <c r="EI51" s="18" t="n"/>
      <c r="EJ51" s="18" t="n"/>
      <c r="EK51" s="18" t="n"/>
      <c r="EL51" s="18" t="n"/>
      <c r="EM51" s="18" t="n"/>
      <c r="EN51" s="18" t="n"/>
      <c r="EO51" s="18" t="n"/>
      <c r="EP51" s="18" t="n"/>
      <c r="EQ51" s="18" t="n"/>
      <c r="ER51" s="18" t="n"/>
      <c r="ES51" s="18" t="n"/>
      <c r="ET51" s="18" t="n"/>
      <c r="EU51" s="18" t="n"/>
      <c r="EV51" s="18" t="n"/>
      <c r="EW51" s="18" t="n"/>
      <c r="EX51" s="18" t="n"/>
      <c r="EY51" s="18" t="n"/>
      <c r="EZ51" s="18" t="n"/>
      <c r="FA51" s="18" t="n"/>
      <c r="FB51" s="18" t="n"/>
      <c r="FC51" s="18" t="n"/>
      <c r="FD51" s="18" t="n"/>
      <c r="FE51" s="18" t="n"/>
      <c r="FF51" s="18" t="n"/>
      <c r="FG51" s="18" t="n"/>
      <c r="FH51" s="18" t="n"/>
      <c r="FI51" s="18" t="n"/>
      <c r="FJ51" s="18" t="n"/>
      <c r="FK51" s="18" t="n"/>
      <c r="FL51" s="18" t="n"/>
      <c r="FM51" s="18" t="n"/>
      <c r="FN51" s="18" t="n"/>
      <c r="FO51" s="18" t="n"/>
      <c r="FP51" s="18" t="n"/>
      <c r="FQ51" s="18" t="n"/>
      <c r="FR51" s="18" t="n"/>
      <c r="FS51" s="18" t="n"/>
      <c r="FT51" s="18" t="n"/>
      <c r="FU51" s="18" t="n"/>
      <c r="FV51" s="18" t="n"/>
      <c r="FW51" s="18" t="n"/>
      <c r="FX51" s="18" t="n"/>
      <c r="FY51" s="18" t="n"/>
      <c r="FZ51" s="18" t="n"/>
      <c r="GA51" s="18" t="n"/>
      <c r="GB51" s="18" t="n"/>
      <c r="GC51" s="18" t="n"/>
      <c r="GD51" s="18" t="n"/>
      <c r="GE51" s="18" t="n"/>
      <c r="GF51" s="18" t="n"/>
      <c r="GG51" s="18" t="n"/>
      <c r="GH51" s="18" t="n"/>
      <c r="GI51" s="18" t="n"/>
      <c r="GJ51" s="18" t="n"/>
      <c r="GK51" s="18" t="n"/>
      <c r="GL51" s="18" t="n"/>
      <c r="GM51" s="18" t="n"/>
      <c r="GN51" s="18" t="n"/>
      <c r="GO51" s="18" t="n"/>
      <c r="GP51" s="18" t="n"/>
      <c r="GQ51" s="18" t="n"/>
      <c r="GR51" s="18" t="n"/>
      <c r="GS51" s="18" t="n"/>
      <c r="GT51" s="18" t="n"/>
      <c r="GU51" s="18" t="n"/>
      <c r="GV51" s="18" t="n"/>
      <c r="GW51" s="18" t="n"/>
      <c r="GX51" s="18" t="n"/>
      <c r="GY51" s="18" t="n"/>
      <c r="GZ51" s="18" t="n"/>
      <c r="HA51" s="18" t="n"/>
      <c r="HB51" s="18" t="n"/>
      <c r="HC51" s="18" t="n"/>
      <c r="HD51" s="18" t="n"/>
      <c r="HE51" s="18" t="n"/>
      <c r="HF51" s="18" t="n"/>
      <c r="HG51" s="18" t="n"/>
      <c r="HH51" s="18" t="n"/>
      <c r="HI51" s="18" t="n"/>
      <c r="HJ51" s="18" t="n"/>
      <c r="HK51" s="18" t="n"/>
      <c r="HL51" s="18" t="n"/>
      <c r="HM51" s="18" t="n"/>
      <c r="HN51" s="18" t="n"/>
      <c r="HO51" s="18" t="n"/>
      <c r="HP51" s="18" t="n"/>
      <c r="HQ51" s="18" t="n"/>
      <c r="HR51" s="18" t="n"/>
      <c r="HS51" s="18" t="n"/>
      <c r="HT51" s="18" t="n"/>
      <c r="HU51" s="18" t="n"/>
      <c r="HV51" s="18" t="n"/>
      <c r="HW51" s="18" t="n"/>
      <c r="HX51" s="18" t="n"/>
      <c r="HY51" s="18" t="n"/>
      <c r="HZ51" s="18" t="n"/>
      <c r="IA51" s="18" t="n"/>
      <c r="IB51" s="18" t="n"/>
      <c r="IC51" s="18" t="n"/>
      <c r="ID51" s="18" t="n"/>
      <c r="IE51" s="18" t="n"/>
      <c r="IF51" s="18" t="n"/>
      <c r="IG51" s="18" t="n"/>
      <c r="IH51" s="18" t="n"/>
      <c r="II51" s="18" t="n"/>
      <c r="IJ51" s="18" t="n"/>
      <c r="IK51" s="18" t="n"/>
      <c r="IL51" s="18" t="n"/>
      <c r="IM51" s="18" t="n"/>
      <c r="IN51" s="18" t="n"/>
      <c r="IO51" s="18" t="n"/>
      <c r="IP51" s="18" t="n"/>
      <c r="IQ51" s="18" t="n"/>
      <c r="IR51" s="18" t="n"/>
      <c r="IS51" s="18" t="n"/>
      <c r="IT51" s="18" t="n"/>
      <c r="IU51" s="18" t="n"/>
      <c r="IV51" s="18" t="n"/>
      <c r="IW51" s="18" t="n"/>
      <c r="IX51" s="18" t="n"/>
      <c r="IY51" s="18" t="n"/>
      <c r="IZ51" s="18" t="n"/>
      <c r="JA51" s="18" t="n"/>
      <c r="JB51" s="18" t="n"/>
      <c r="JC51" s="18" t="n"/>
      <c r="JD51" s="18" t="n"/>
      <c r="JE51" s="18" t="n"/>
      <c r="JF51" s="18" t="n"/>
      <c r="JG51" s="18" t="n"/>
      <c r="JH51" s="18" t="n"/>
      <c r="JI51" s="18" t="n"/>
      <c r="JJ51" s="18" t="n"/>
      <c r="JK51" s="18" t="n"/>
      <c r="JL51" s="18" t="n"/>
      <c r="JM51" s="18" t="n"/>
      <c r="JN51" s="18" t="n"/>
      <c r="JO51" s="18" t="n"/>
      <c r="JP51" s="18" t="n"/>
      <c r="JQ51" s="18" t="n"/>
      <c r="JR51" s="18" t="n"/>
      <c r="JS51" s="18" t="n"/>
      <c r="JT51" s="18" t="n"/>
      <c r="JU51" s="18" t="n"/>
      <c r="JV51" s="18" t="n"/>
      <c r="JW51" s="18" t="n"/>
      <c r="JX51" s="18" t="n"/>
      <c r="JY51" s="18" t="n"/>
      <c r="JZ51" s="18" t="n"/>
      <c r="KA51" s="18" t="n"/>
      <c r="KB51" s="18" t="n"/>
      <c r="KC51" s="18" t="n"/>
      <c r="KD51" s="18" t="n"/>
      <c r="KE51" s="18" t="n"/>
      <c r="KF51" s="18" t="n"/>
      <c r="KG51" s="18" t="n"/>
      <c r="KH51" s="18" t="n"/>
      <c r="KI51" s="18" t="n"/>
      <c r="KJ51" s="18" t="n"/>
      <c r="KK51" s="18" t="n"/>
      <c r="KL51" s="18" t="n"/>
      <c r="KM51" s="18" t="n"/>
      <c r="KN51" s="18" t="n"/>
      <c r="KO51" s="18" t="n"/>
      <c r="KP51" s="18" t="n"/>
      <c r="KQ51" s="18" t="n"/>
      <c r="KR51" s="18" t="n"/>
      <c r="KS51" s="18" t="n"/>
      <c r="KT51" s="18" t="n"/>
      <c r="KU51" s="18" t="n"/>
      <c r="KV51" s="18" t="n"/>
      <c r="KW51" s="18" t="n"/>
      <c r="KX51" s="18" t="n"/>
      <c r="KY51" s="18" t="n"/>
      <c r="KZ51" s="18" t="n"/>
      <c r="LA51" s="18" t="n"/>
      <c r="LB51" s="18" t="n"/>
      <c r="LC51" s="18" t="n"/>
      <c r="LD51" s="18" t="n"/>
      <c r="LE51" s="18" t="n"/>
      <c r="LF51" s="18" t="n"/>
      <c r="LG51" s="18" t="n"/>
      <c r="LH51" s="18" t="n"/>
      <c r="LI51" s="18" t="n"/>
      <c r="LJ51" s="18" t="n"/>
      <c r="LK51" s="18" t="n"/>
      <c r="LL51" s="18" t="n"/>
      <c r="LM51" s="18" t="n"/>
      <c r="LN51" s="18" t="n"/>
      <c r="LO51" s="18" t="n"/>
      <c r="LP51" s="18" t="n"/>
      <c r="LQ51" s="18" t="n"/>
      <c r="LR51" s="18" t="n"/>
      <c r="LS51" s="18" t="n"/>
      <c r="LT51" s="18" t="n"/>
      <c r="LU51" s="18" t="n"/>
      <c r="LV51" s="18" t="n"/>
      <c r="LW51" s="18" t="n"/>
      <c r="LX51" s="18" t="n"/>
      <c r="LY51" s="18" t="n"/>
      <c r="LZ51" s="18" t="n"/>
      <c r="MA51" s="18" t="n"/>
      <c r="MB51" s="18" t="n"/>
      <c r="MC51" s="18" t="n"/>
      <c r="MD51" s="18" t="n"/>
      <c r="ME51" s="18" t="n"/>
      <c r="MF51" s="18" t="n"/>
      <c r="MG51" s="18" t="n"/>
      <c r="MH51" s="18" t="n"/>
      <c r="MI51" s="18" t="n"/>
    </row>
    <row r="52" ht="17.4" customHeight="1" s="88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  <c r="DY52" s="18" t="n"/>
      <c r="DZ52" s="18" t="n"/>
      <c r="EA52" s="18" t="n"/>
      <c r="EB52" s="18" t="n"/>
      <c r="EC52" s="18" t="n"/>
      <c r="ED52" s="18" t="n"/>
      <c r="EE52" s="18" t="n"/>
      <c r="EF52" s="18" t="n"/>
      <c r="EG52" s="18" t="n"/>
      <c r="EH52" s="18" t="n"/>
      <c r="EI52" s="18" t="n"/>
      <c r="EJ52" s="18" t="n"/>
      <c r="EK52" s="18" t="n"/>
      <c r="EL52" s="18" t="n"/>
      <c r="EM52" s="18" t="n"/>
      <c r="EN52" s="18" t="n"/>
      <c r="EO52" s="18" t="n"/>
      <c r="EP52" s="18" t="n"/>
      <c r="EQ52" s="18" t="n"/>
      <c r="ER52" s="18" t="n"/>
      <c r="ES52" s="18" t="n"/>
      <c r="ET52" s="18" t="n"/>
      <c r="EU52" s="18" t="n"/>
      <c r="EV52" s="18" t="n"/>
      <c r="EW52" s="18" t="n"/>
      <c r="EX52" s="18" t="n"/>
      <c r="EY52" s="18" t="n"/>
      <c r="EZ52" s="18" t="n"/>
      <c r="FA52" s="18" t="n"/>
      <c r="FB52" s="18" t="n"/>
      <c r="FC52" s="18" t="n"/>
      <c r="FD52" s="18" t="n"/>
      <c r="FE52" s="18" t="n"/>
      <c r="FF52" s="18" t="n"/>
      <c r="FG52" s="18" t="n"/>
      <c r="FH52" s="18" t="n"/>
      <c r="FI52" s="18" t="n"/>
      <c r="FJ52" s="18" t="n"/>
      <c r="FK52" s="18" t="n"/>
      <c r="FL52" s="18" t="n"/>
      <c r="FM52" s="18" t="n"/>
      <c r="FN52" s="18" t="n"/>
      <c r="FO52" s="18" t="n"/>
      <c r="FP52" s="18" t="n"/>
      <c r="FQ52" s="18" t="n"/>
      <c r="FR52" s="18" t="n"/>
      <c r="FS52" s="18" t="n"/>
      <c r="FT52" s="18" t="n"/>
      <c r="FU52" s="18" t="n"/>
      <c r="FV52" s="18" t="n"/>
      <c r="FW52" s="18" t="n"/>
      <c r="FX52" s="18" t="n"/>
      <c r="FY52" s="18" t="n"/>
      <c r="FZ52" s="18" t="n"/>
      <c r="GA52" s="18" t="n"/>
      <c r="GB52" s="18" t="n"/>
      <c r="GC52" s="18" t="n"/>
      <c r="GD52" s="18" t="n"/>
      <c r="GE52" s="18" t="n"/>
      <c r="GF52" s="18" t="n"/>
      <c r="GG52" s="18" t="n"/>
      <c r="GH52" s="18" t="n"/>
      <c r="GI52" s="18" t="n"/>
      <c r="GJ52" s="18" t="n"/>
      <c r="GK52" s="18" t="n"/>
      <c r="GL52" s="18" t="n"/>
      <c r="GM52" s="18" t="n"/>
      <c r="GN52" s="18" t="n"/>
      <c r="GO52" s="18" t="n"/>
      <c r="GP52" s="18" t="n"/>
      <c r="GQ52" s="18" t="n"/>
      <c r="GR52" s="18" t="n"/>
      <c r="GS52" s="18" t="n"/>
      <c r="GT52" s="18" t="n"/>
      <c r="GU52" s="18" t="n"/>
      <c r="GV52" s="18" t="n"/>
      <c r="GW52" s="18" t="n"/>
      <c r="GX52" s="18" t="n"/>
      <c r="GY52" s="18" t="n"/>
      <c r="GZ52" s="18" t="n"/>
      <c r="HA52" s="18" t="n"/>
      <c r="HB52" s="18" t="n"/>
      <c r="HC52" s="18" t="n"/>
      <c r="HD52" s="18" t="n"/>
      <c r="HE52" s="18" t="n"/>
      <c r="HF52" s="18" t="n"/>
      <c r="HG52" s="18" t="n"/>
      <c r="HH52" s="18" t="n"/>
      <c r="HI52" s="18" t="n"/>
      <c r="HJ52" s="18" t="n"/>
      <c r="HK52" s="18" t="n"/>
      <c r="HL52" s="18" t="n"/>
      <c r="HM52" s="18" t="n"/>
      <c r="HN52" s="18" t="n"/>
      <c r="HO52" s="18" t="n"/>
      <c r="HP52" s="18" t="n"/>
      <c r="HQ52" s="18" t="n"/>
      <c r="HR52" s="18" t="n"/>
      <c r="HS52" s="18" t="n"/>
      <c r="HT52" s="18" t="n"/>
      <c r="HU52" s="18" t="n"/>
      <c r="HV52" s="18" t="n"/>
      <c r="HW52" s="18" t="n"/>
      <c r="HX52" s="18" t="n"/>
      <c r="HY52" s="18" t="n"/>
      <c r="HZ52" s="18" t="n"/>
      <c r="IA52" s="18" t="n"/>
      <c r="IB52" s="18" t="n"/>
      <c r="IC52" s="18" t="n"/>
      <c r="ID52" s="18" t="n"/>
      <c r="IE52" s="18" t="n"/>
      <c r="IF52" s="18" t="n"/>
      <c r="IG52" s="18" t="n"/>
      <c r="IH52" s="18" t="n"/>
      <c r="II52" s="18" t="n"/>
      <c r="IJ52" s="18" t="n"/>
      <c r="IK52" s="18" t="n"/>
      <c r="IL52" s="18" t="n"/>
      <c r="IM52" s="18" t="n"/>
      <c r="IN52" s="18" t="n"/>
      <c r="IO52" s="18" t="n"/>
      <c r="IP52" s="18" t="n"/>
      <c r="IQ52" s="18" t="n"/>
      <c r="IR52" s="18" t="n"/>
      <c r="IS52" s="18" t="n"/>
      <c r="IT52" s="18" t="n"/>
      <c r="IU52" s="18" t="n"/>
      <c r="IV52" s="18" t="n"/>
      <c r="IW52" s="18" t="n"/>
      <c r="IX52" s="18" t="n"/>
      <c r="IY52" s="18" t="n"/>
      <c r="IZ52" s="18" t="n"/>
      <c r="JA52" s="18" t="n"/>
      <c r="JB52" s="18" t="n"/>
      <c r="JC52" s="18" t="n"/>
      <c r="JD52" s="18" t="n"/>
      <c r="JE52" s="18" t="n"/>
      <c r="JF52" s="18" t="n"/>
      <c r="JG52" s="18" t="n"/>
      <c r="JH52" s="18" t="n"/>
      <c r="JI52" s="18" t="n"/>
      <c r="JJ52" s="18" t="n"/>
      <c r="JK52" s="18" t="n"/>
      <c r="JL52" s="18" t="n"/>
      <c r="JM52" s="18" t="n"/>
      <c r="JN52" s="18" t="n"/>
      <c r="JO52" s="18" t="n"/>
      <c r="JP52" s="18" t="n"/>
      <c r="JQ52" s="18" t="n"/>
      <c r="JR52" s="18" t="n"/>
      <c r="JS52" s="18" t="n"/>
      <c r="JT52" s="18" t="n"/>
      <c r="JU52" s="18" t="n"/>
      <c r="JV52" s="18" t="n"/>
      <c r="JW52" s="18" t="n"/>
      <c r="JX52" s="18" t="n"/>
      <c r="JY52" s="18" t="n"/>
      <c r="JZ52" s="18" t="n"/>
      <c r="KA52" s="18" t="n"/>
      <c r="KB52" s="18" t="n"/>
      <c r="KC52" s="18" t="n"/>
      <c r="KD52" s="18" t="n"/>
      <c r="KE52" s="18" t="n"/>
      <c r="KF52" s="18" t="n"/>
      <c r="KG52" s="18" t="n"/>
      <c r="KH52" s="18" t="n"/>
      <c r="KI52" s="18" t="n"/>
      <c r="KJ52" s="18" t="n"/>
      <c r="KK52" s="18" t="n"/>
      <c r="KL52" s="18" t="n"/>
      <c r="KM52" s="18" t="n"/>
      <c r="KN52" s="18" t="n"/>
      <c r="KO52" s="18" t="n"/>
      <c r="KP52" s="18" t="n"/>
      <c r="KQ52" s="18" t="n"/>
      <c r="KR52" s="18" t="n"/>
      <c r="KS52" s="18" t="n"/>
      <c r="KT52" s="18" t="n"/>
      <c r="KU52" s="18" t="n"/>
      <c r="KV52" s="18" t="n"/>
      <c r="KW52" s="18" t="n"/>
      <c r="KX52" s="18" t="n"/>
      <c r="KY52" s="18" t="n"/>
      <c r="KZ52" s="18" t="n"/>
      <c r="LA52" s="18" t="n"/>
      <c r="LB52" s="18" t="n"/>
      <c r="LC52" s="18" t="n"/>
      <c r="LD52" s="18" t="n"/>
      <c r="LE52" s="18" t="n"/>
      <c r="LF52" s="18" t="n"/>
      <c r="LG52" s="18" t="n"/>
      <c r="LH52" s="18" t="n"/>
      <c r="LI52" s="18" t="n"/>
      <c r="LJ52" s="18" t="n"/>
      <c r="LK52" s="18" t="n"/>
      <c r="LL52" s="18" t="n"/>
      <c r="LM52" s="18" t="n"/>
      <c r="LN52" s="18" t="n"/>
      <c r="LO52" s="18" t="n"/>
      <c r="LP52" s="18" t="n"/>
      <c r="LQ52" s="18" t="n"/>
      <c r="LR52" s="18" t="n"/>
      <c r="LS52" s="18" t="n"/>
      <c r="LT52" s="18" t="n"/>
      <c r="LU52" s="18" t="n"/>
      <c r="LV52" s="18" t="n"/>
      <c r="LW52" s="18" t="n"/>
      <c r="LX52" s="18" t="n"/>
      <c r="LY52" s="18" t="n"/>
      <c r="LZ52" s="18" t="n"/>
      <c r="MA52" s="18" t="n"/>
      <c r="MB52" s="18" t="n"/>
      <c r="MC52" s="18" t="n"/>
      <c r="MD52" s="18" t="n"/>
      <c r="ME52" s="18" t="n"/>
      <c r="MF52" s="18" t="n"/>
      <c r="MG52" s="18" t="n"/>
      <c r="MH52" s="18" t="n"/>
      <c r="MI52" s="18" t="n"/>
      <c r="MJ52" s="18" t="n"/>
      <c r="MK52" s="18" t="n"/>
      <c r="ML52" s="18" t="n"/>
      <c r="MM52" s="18" t="n"/>
    </row>
    <row r="53" ht="17.4" customHeight="1" s="88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8" t="n"/>
      <c r="DF53" s="18" t="n"/>
      <c r="DG53" s="18" t="n"/>
      <c r="DH53" s="18" t="n"/>
      <c r="DI53" s="18" t="n"/>
      <c r="DJ53" s="18" t="n"/>
      <c r="DK53" s="18" t="n"/>
      <c r="DL53" s="18" t="n"/>
      <c r="DM53" s="18" t="n"/>
      <c r="DN53" s="18" t="n"/>
      <c r="DO53" s="18" t="n"/>
      <c r="DP53" s="18" t="n"/>
      <c r="DQ53" s="18" t="n"/>
      <c r="DR53" s="18" t="n"/>
      <c r="DS53" s="18" t="n"/>
      <c r="DT53" s="18" t="n"/>
      <c r="DU53" s="18" t="n"/>
      <c r="DV53" s="18" t="n"/>
      <c r="DW53" s="18" t="n"/>
      <c r="DX53" s="18" t="n"/>
      <c r="DY53" s="18" t="n"/>
      <c r="DZ53" s="18" t="n"/>
      <c r="EA53" s="18" t="n"/>
      <c r="EB53" s="18" t="n"/>
      <c r="EC53" s="18" t="n"/>
      <c r="ED53" s="18" t="n"/>
      <c r="EE53" s="18" t="n"/>
      <c r="EF53" s="18" t="n"/>
      <c r="EG53" s="18" t="n"/>
      <c r="EH53" s="18" t="n"/>
      <c r="EI53" s="18" t="n"/>
      <c r="EJ53" s="18" t="n"/>
      <c r="EK53" s="18" t="n"/>
      <c r="EL53" s="18" t="n"/>
      <c r="EM53" s="18" t="n"/>
      <c r="EN53" s="18" t="n"/>
      <c r="EO53" s="18" t="n"/>
      <c r="EP53" s="18" t="n"/>
      <c r="EQ53" s="18" t="n"/>
      <c r="ER53" s="18" t="n"/>
      <c r="ES53" s="18" t="n"/>
      <c r="ET53" s="18" t="n"/>
      <c r="EU53" s="18" t="n"/>
      <c r="EV53" s="18" t="n"/>
      <c r="EW53" s="18" t="n"/>
      <c r="EX53" s="18" t="n"/>
      <c r="EY53" s="18" t="n"/>
      <c r="EZ53" s="18" t="n"/>
      <c r="FA53" s="18" t="n"/>
      <c r="FB53" s="18" t="n"/>
      <c r="FC53" s="18" t="n"/>
      <c r="FD53" s="18" t="n"/>
      <c r="FE53" s="18" t="n"/>
      <c r="FF53" s="18" t="n"/>
      <c r="FG53" s="18" t="n"/>
      <c r="FH53" s="18" t="n"/>
      <c r="FI53" s="18" t="n"/>
      <c r="FJ53" s="18" t="n"/>
      <c r="FK53" s="18" t="n"/>
      <c r="FL53" s="18" t="n"/>
      <c r="FM53" s="18" t="n"/>
      <c r="FN53" s="18" t="n"/>
      <c r="FO53" s="18" t="n"/>
      <c r="FP53" s="18" t="n"/>
      <c r="FQ53" s="18" t="n"/>
      <c r="FR53" s="18" t="n"/>
      <c r="FS53" s="18" t="n"/>
      <c r="FT53" s="18" t="n"/>
      <c r="FU53" s="18" t="n"/>
      <c r="FV53" s="18" t="n"/>
      <c r="FW53" s="18" t="n"/>
      <c r="FX53" s="18" t="n"/>
      <c r="FY53" s="18" t="n"/>
      <c r="FZ53" s="18" t="n"/>
      <c r="GA53" s="18" t="n"/>
      <c r="GB53" s="18" t="n"/>
      <c r="GC53" s="18" t="n"/>
      <c r="GD53" s="18" t="n"/>
      <c r="GE53" s="18" t="n"/>
      <c r="GF53" s="18" t="n"/>
      <c r="GG53" s="18" t="n"/>
      <c r="GH53" s="18" t="n"/>
      <c r="GI53" s="18" t="n"/>
      <c r="GJ53" s="18" t="n"/>
      <c r="GK53" s="18" t="n"/>
      <c r="GL53" s="18" t="n"/>
      <c r="GM53" s="18" t="n"/>
      <c r="GN53" s="18" t="n"/>
      <c r="GO53" s="18" t="n"/>
      <c r="GP53" s="18" t="n"/>
      <c r="GQ53" s="18" t="n"/>
      <c r="GR53" s="18" t="n"/>
      <c r="GS53" s="18" t="n"/>
      <c r="GT53" s="18" t="n"/>
      <c r="GU53" s="18" t="n"/>
      <c r="GV53" s="18" t="n"/>
      <c r="GW53" s="18" t="n"/>
      <c r="GX53" s="18" t="n"/>
      <c r="GY53" s="18" t="n"/>
      <c r="GZ53" s="18" t="n"/>
      <c r="HA53" s="18" t="n"/>
      <c r="HB53" s="18" t="n"/>
      <c r="HC53" s="18" t="n"/>
      <c r="HD53" s="18" t="n"/>
      <c r="HE53" s="18" t="n"/>
      <c r="HF53" s="18" t="n"/>
      <c r="HG53" s="18" t="n"/>
      <c r="HH53" s="18" t="n"/>
      <c r="HI53" s="18" t="n"/>
      <c r="HJ53" s="18" t="n"/>
      <c r="HK53" s="18" t="n"/>
      <c r="HL53" s="18" t="n"/>
      <c r="HM53" s="18" t="n"/>
      <c r="HN53" s="18" t="n"/>
      <c r="HO53" s="18" t="n"/>
      <c r="HP53" s="18" t="n"/>
      <c r="HQ53" s="18" t="n"/>
      <c r="HR53" s="18" t="n"/>
      <c r="HS53" s="18" t="n"/>
      <c r="HT53" s="18" t="n"/>
      <c r="HU53" s="18" t="n"/>
      <c r="HV53" s="18" t="n"/>
      <c r="HW53" s="18" t="n"/>
      <c r="HX53" s="18" t="n"/>
      <c r="HY53" s="18" t="n"/>
      <c r="HZ53" s="18" t="n"/>
      <c r="IA53" s="18" t="n"/>
      <c r="IB53" s="18" t="n"/>
      <c r="IC53" s="18" t="n"/>
      <c r="ID53" s="18" t="n"/>
      <c r="IE53" s="18" t="n"/>
      <c r="IF53" s="18" t="n"/>
      <c r="IG53" s="18" t="n"/>
      <c r="IH53" s="18" t="n"/>
      <c r="II53" s="18" t="n"/>
      <c r="IJ53" s="18" t="n"/>
      <c r="IK53" s="18" t="n"/>
      <c r="IL53" s="18" t="n"/>
      <c r="IM53" s="18" t="n"/>
      <c r="IN53" s="18" t="n"/>
      <c r="IO53" s="18" t="n"/>
      <c r="IP53" s="18" t="n"/>
      <c r="IQ53" s="18" t="n"/>
      <c r="IR53" s="18" t="n"/>
      <c r="IS53" s="18" t="n"/>
      <c r="IT53" s="18" t="n"/>
      <c r="IU53" s="18" t="n"/>
      <c r="IV53" s="18" t="n"/>
      <c r="IW53" s="18" t="n"/>
      <c r="IX53" s="18" t="n"/>
      <c r="IY53" s="18" t="n"/>
      <c r="IZ53" s="18" t="n"/>
      <c r="JA53" s="18" t="n"/>
      <c r="JB53" s="18" t="n"/>
      <c r="JC53" s="18" t="n"/>
      <c r="JD53" s="18" t="n"/>
      <c r="JE53" s="18" t="n"/>
      <c r="JF53" s="18" t="n"/>
      <c r="JG53" s="18" t="n"/>
      <c r="JH53" s="18" t="n"/>
      <c r="JI53" s="18" t="n"/>
      <c r="JJ53" s="18" t="n"/>
      <c r="JK53" s="18" t="n"/>
      <c r="JL53" s="18" t="n"/>
      <c r="JM53" s="18" t="n"/>
      <c r="JN53" s="18" t="n"/>
      <c r="JO53" s="18" t="n"/>
      <c r="JP53" s="18" t="n"/>
      <c r="JQ53" s="18" t="n"/>
      <c r="JR53" s="18" t="n"/>
      <c r="JS53" s="18" t="n"/>
      <c r="JT53" s="18" t="n"/>
      <c r="JU53" s="18" t="n"/>
      <c r="JV53" s="18" t="n"/>
      <c r="JW53" s="18" t="n"/>
      <c r="JX53" s="18" t="n"/>
      <c r="JY53" s="18" t="n"/>
      <c r="JZ53" s="18" t="n"/>
      <c r="KA53" s="18" t="n"/>
      <c r="KB53" s="18" t="n"/>
      <c r="KC53" s="18" t="n"/>
      <c r="KD53" s="18" t="n"/>
      <c r="KE53" s="18" t="n"/>
      <c r="KF53" s="18" t="n"/>
      <c r="KG53" s="18" t="n"/>
      <c r="KH53" s="18" t="n"/>
      <c r="KI53" s="18" t="n"/>
      <c r="KJ53" s="18" t="n"/>
      <c r="KK53" s="18" t="n"/>
      <c r="KL53" s="18" t="n"/>
      <c r="KM53" s="18" t="n"/>
      <c r="KN53" s="18" t="n"/>
      <c r="KO53" s="18" t="n"/>
      <c r="KP53" s="18" t="n"/>
      <c r="KQ53" s="18" t="n"/>
      <c r="KR53" s="18" t="n"/>
      <c r="KS53" s="18" t="n"/>
      <c r="KT53" s="18" t="n"/>
      <c r="KU53" s="18" t="n"/>
      <c r="KV53" s="18" t="n"/>
      <c r="KW53" s="18" t="n"/>
      <c r="KX53" s="18" t="n"/>
      <c r="KY53" s="18" t="n"/>
      <c r="KZ53" s="18" t="n"/>
      <c r="LA53" s="18" t="n"/>
      <c r="LB53" s="18" t="n"/>
      <c r="LC53" s="18" t="n"/>
      <c r="LD53" s="18" t="n"/>
      <c r="LE53" s="18" t="n"/>
      <c r="LF53" s="18" t="n"/>
      <c r="LG53" s="18" t="n"/>
      <c r="LH53" s="18" t="n"/>
      <c r="LI53" s="18" t="n"/>
      <c r="LJ53" s="18" t="n"/>
      <c r="LK53" s="18" t="n"/>
      <c r="LL53" s="18" t="n"/>
      <c r="LM53" s="18" t="n"/>
      <c r="LN53" s="18" t="n"/>
      <c r="LO53" s="18" t="n"/>
      <c r="LP53" s="18" t="n"/>
      <c r="LQ53" s="18" t="n"/>
      <c r="LR53" s="18" t="n"/>
      <c r="LS53" s="18" t="n"/>
      <c r="LT53" s="18" t="n"/>
      <c r="LU53" s="18" t="n"/>
      <c r="LV53" s="18" t="n"/>
      <c r="LW53" s="18" t="n"/>
      <c r="LX53" s="18" t="n"/>
      <c r="LY53" s="18" t="n"/>
      <c r="LZ53" s="18" t="n"/>
      <c r="MA53" s="18" t="n"/>
      <c r="MB53" s="18" t="n"/>
      <c r="MC53" s="18" t="n"/>
      <c r="MD53" s="18" t="n"/>
      <c r="ME53" s="18" t="n"/>
      <c r="MF53" s="18" t="n"/>
      <c r="MG53" s="18" t="n"/>
      <c r="MH53" s="18" t="n"/>
      <c r="MI53" s="18" t="n"/>
      <c r="MJ53" s="18" t="n"/>
      <c r="MK53" s="18" t="n"/>
      <c r="ML53" s="18" t="n"/>
      <c r="MM53" s="18" t="n"/>
      <c r="MN53" s="18" t="n"/>
      <c r="MO53" s="18" t="n"/>
      <c r="MP53" s="18" t="n"/>
      <c r="MQ53" s="18" t="n"/>
    </row>
    <row r="54" ht="17.4" customHeight="1" s="88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8" t="n"/>
      <c r="BA54" s="18" t="n"/>
      <c r="BB54" s="18" t="n"/>
      <c r="BC54" s="18" t="n"/>
      <c r="BD54" s="18" t="n"/>
      <c r="BE54" s="18" t="n"/>
      <c r="BF54" s="18" t="n"/>
      <c r="BG54" s="18" t="n"/>
      <c r="BH54" s="18" t="n"/>
      <c r="BI54" s="18" t="n"/>
      <c r="BJ54" s="18" t="n"/>
      <c r="BK54" s="18" t="n"/>
      <c r="BL54" s="18" t="n"/>
      <c r="BM54" s="18" t="n"/>
      <c r="BN54" s="18" t="n"/>
      <c r="BO54" s="18" t="n"/>
      <c r="BP54" s="18" t="n"/>
      <c r="BQ54" s="18" t="n"/>
      <c r="BR54" s="18" t="n"/>
      <c r="BS54" s="18" t="n"/>
      <c r="BT54" s="18" t="n"/>
      <c r="BU54" s="18" t="n"/>
      <c r="BV54" s="18" t="n"/>
      <c r="BW54" s="18" t="n"/>
      <c r="BX54" s="18" t="n"/>
      <c r="BY54" s="18" t="n"/>
      <c r="BZ54" s="18" t="n"/>
      <c r="CA54" s="18" t="n"/>
      <c r="CB54" s="18" t="n"/>
      <c r="CC54" s="18" t="n"/>
      <c r="CD54" s="18" t="n"/>
      <c r="CE54" s="18" t="n"/>
      <c r="CF54" s="18" t="n"/>
      <c r="CG54" s="18" t="n"/>
      <c r="CH54" s="18" t="n"/>
      <c r="CI54" s="18" t="n"/>
      <c r="CJ54" s="18" t="n"/>
      <c r="CK54" s="18" t="n"/>
      <c r="CL54" s="18" t="n"/>
      <c r="CM54" s="18" t="n"/>
      <c r="CN54" s="18" t="n"/>
      <c r="CO54" s="18" t="n"/>
      <c r="CP54" s="18" t="n"/>
      <c r="CQ54" s="18" t="n"/>
      <c r="CR54" s="18" t="n"/>
      <c r="CS54" s="18" t="n"/>
      <c r="CT54" s="18" t="n"/>
      <c r="CU54" s="18" t="n"/>
      <c r="CV54" s="18" t="n"/>
      <c r="CW54" s="18" t="n"/>
      <c r="CX54" s="18" t="n"/>
      <c r="CY54" s="18" t="n"/>
      <c r="CZ54" s="18" t="n"/>
      <c r="DA54" s="18" t="n"/>
      <c r="DB54" s="18" t="n"/>
      <c r="DC54" s="18" t="n"/>
      <c r="DD54" s="18" t="n"/>
      <c r="DE54" s="18" t="n"/>
      <c r="DF54" s="18" t="n"/>
      <c r="DG54" s="18" t="n"/>
      <c r="DH54" s="18" t="n"/>
      <c r="DI54" s="18" t="n"/>
      <c r="DJ54" s="18" t="n"/>
      <c r="DK54" s="18" t="n"/>
      <c r="DL54" s="18" t="n"/>
      <c r="DM54" s="18" t="n"/>
      <c r="DN54" s="18" t="n"/>
      <c r="DO54" s="18" t="n"/>
      <c r="DP54" s="18" t="n"/>
      <c r="DQ54" s="18" t="n"/>
      <c r="DR54" s="18" t="n"/>
      <c r="DS54" s="18" t="n"/>
      <c r="DT54" s="18" t="n"/>
      <c r="DU54" s="18" t="n"/>
      <c r="DV54" s="18" t="n"/>
      <c r="DW54" s="18" t="n"/>
      <c r="DX54" s="18" t="n"/>
      <c r="DY54" s="18" t="n"/>
      <c r="DZ54" s="18" t="n"/>
      <c r="EA54" s="18" t="n"/>
      <c r="EB54" s="18" t="n"/>
      <c r="EC54" s="18" t="n"/>
      <c r="ED54" s="18" t="n"/>
      <c r="EE54" s="18" t="n"/>
      <c r="EF54" s="18" t="n"/>
      <c r="EG54" s="18" t="n"/>
      <c r="EH54" s="18" t="n"/>
      <c r="EI54" s="18" t="n"/>
      <c r="EJ54" s="18" t="n"/>
      <c r="EK54" s="18" t="n"/>
      <c r="EL54" s="18" t="n"/>
      <c r="EM54" s="18" t="n"/>
      <c r="EN54" s="18" t="n"/>
      <c r="EO54" s="18" t="n"/>
      <c r="EP54" s="18" t="n"/>
      <c r="EQ54" s="18" t="n"/>
      <c r="ER54" s="18" t="n"/>
      <c r="ES54" s="18" t="n"/>
      <c r="ET54" s="18" t="n"/>
      <c r="EU54" s="18" t="n"/>
      <c r="EV54" s="18" t="n"/>
      <c r="EW54" s="18" t="n"/>
      <c r="EX54" s="18" t="n"/>
      <c r="EY54" s="18" t="n"/>
      <c r="EZ54" s="18" t="n"/>
      <c r="FA54" s="18" t="n"/>
      <c r="FB54" s="18" t="n"/>
      <c r="FC54" s="18" t="n"/>
      <c r="FD54" s="18" t="n"/>
      <c r="FE54" s="18" t="n"/>
      <c r="FF54" s="18" t="n"/>
      <c r="FG54" s="18" t="n"/>
      <c r="FH54" s="18" t="n"/>
      <c r="FI54" s="18" t="n"/>
      <c r="FJ54" s="18" t="n"/>
      <c r="FK54" s="18" t="n"/>
      <c r="FL54" s="18" t="n"/>
      <c r="FM54" s="18" t="n"/>
      <c r="FN54" s="18" t="n"/>
      <c r="FO54" s="18" t="n"/>
      <c r="FP54" s="18" t="n"/>
      <c r="FQ54" s="18" t="n"/>
      <c r="FR54" s="18" t="n"/>
      <c r="FS54" s="18" t="n"/>
      <c r="FT54" s="18" t="n"/>
      <c r="FU54" s="18" t="n"/>
      <c r="FV54" s="18" t="n"/>
      <c r="FW54" s="18" t="n"/>
      <c r="FX54" s="18" t="n"/>
      <c r="FY54" s="18" t="n"/>
      <c r="FZ54" s="18" t="n"/>
      <c r="GA54" s="18" t="n"/>
      <c r="GB54" s="18" t="n"/>
      <c r="GC54" s="18" t="n"/>
      <c r="GD54" s="18" t="n"/>
      <c r="GE54" s="18" t="n"/>
      <c r="GF54" s="18" t="n"/>
      <c r="GG54" s="18" t="n"/>
      <c r="GH54" s="18" t="n"/>
      <c r="GI54" s="18" t="n"/>
      <c r="GJ54" s="18" t="n"/>
      <c r="GK54" s="18" t="n"/>
      <c r="GL54" s="18" t="n"/>
      <c r="GM54" s="18" t="n"/>
      <c r="GN54" s="18" t="n"/>
      <c r="GO54" s="18" t="n"/>
      <c r="GP54" s="18" t="n"/>
      <c r="GQ54" s="18" t="n"/>
      <c r="GR54" s="18" t="n"/>
      <c r="GS54" s="18" t="n"/>
      <c r="GT54" s="18" t="n"/>
      <c r="GU54" s="18" t="n"/>
      <c r="GV54" s="18" t="n"/>
      <c r="GW54" s="18" t="n"/>
      <c r="GX54" s="18" t="n"/>
      <c r="GY54" s="18" t="n"/>
      <c r="GZ54" s="18" t="n"/>
      <c r="HA54" s="18" t="n"/>
      <c r="HB54" s="18" t="n"/>
      <c r="HC54" s="18" t="n"/>
      <c r="HD54" s="18" t="n"/>
      <c r="HE54" s="18" t="n"/>
      <c r="HF54" s="18" t="n"/>
      <c r="HG54" s="18" t="n"/>
      <c r="HH54" s="18" t="n"/>
      <c r="HI54" s="18" t="n"/>
      <c r="HJ54" s="18" t="n"/>
      <c r="HK54" s="18" t="n"/>
      <c r="HL54" s="18" t="n"/>
      <c r="HM54" s="18" t="n"/>
      <c r="HN54" s="18" t="n"/>
      <c r="HO54" s="18" t="n"/>
      <c r="HP54" s="18" t="n"/>
      <c r="HQ54" s="18" t="n"/>
      <c r="HR54" s="18" t="n"/>
      <c r="HS54" s="18" t="n"/>
      <c r="HT54" s="18" t="n"/>
      <c r="HU54" s="18" t="n"/>
      <c r="HV54" s="18" t="n"/>
      <c r="HW54" s="18" t="n"/>
      <c r="HX54" s="18" t="n"/>
      <c r="HY54" s="18" t="n"/>
      <c r="HZ54" s="18" t="n"/>
      <c r="IA54" s="18" t="n"/>
      <c r="IB54" s="18" t="n"/>
      <c r="IC54" s="18" t="n"/>
      <c r="ID54" s="18" t="n"/>
      <c r="IE54" s="18" t="n"/>
      <c r="IF54" s="18" t="n"/>
      <c r="IG54" s="18" t="n"/>
      <c r="IH54" s="18" t="n"/>
      <c r="II54" s="18" t="n"/>
      <c r="IJ54" s="18" t="n"/>
      <c r="IK54" s="18" t="n"/>
      <c r="IL54" s="18" t="n"/>
      <c r="IM54" s="18" t="n"/>
      <c r="IN54" s="18" t="n"/>
      <c r="IO54" s="18" t="n"/>
      <c r="IP54" s="18" t="n"/>
      <c r="IQ54" s="18" t="n"/>
      <c r="IR54" s="18" t="n"/>
      <c r="IS54" s="18" t="n"/>
      <c r="IT54" s="18" t="n"/>
      <c r="IU54" s="18" t="n"/>
      <c r="IV54" s="18" t="n"/>
      <c r="IW54" s="18" t="n"/>
      <c r="IX54" s="18" t="n"/>
      <c r="IY54" s="18" t="n"/>
      <c r="IZ54" s="18" t="n"/>
      <c r="JA54" s="18" t="n"/>
      <c r="JB54" s="18" t="n"/>
      <c r="JC54" s="18" t="n"/>
      <c r="JD54" s="18" t="n"/>
      <c r="JE54" s="18" t="n"/>
      <c r="JF54" s="18" t="n"/>
      <c r="JG54" s="18" t="n"/>
      <c r="JH54" s="18" t="n"/>
      <c r="JI54" s="18" t="n"/>
      <c r="JJ54" s="18" t="n"/>
      <c r="JK54" s="18" t="n"/>
      <c r="JL54" s="18" t="n"/>
      <c r="JM54" s="18" t="n"/>
      <c r="JN54" s="18" t="n"/>
      <c r="JO54" s="18" t="n"/>
      <c r="JP54" s="18" t="n"/>
      <c r="JQ54" s="18" t="n"/>
      <c r="JR54" s="18" t="n"/>
      <c r="JS54" s="18" t="n"/>
      <c r="JT54" s="18" t="n"/>
      <c r="JU54" s="18" t="n"/>
      <c r="JV54" s="18" t="n"/>
      <c r="JW54" s="18" t="n"/>
      <c r="JX54" s="18" t="n"/>
      <c r="JY54" s="18" t="n"/>
      <c r="JZ54" s="18" t="n"/>
      <c r="KA54" s="18" t="n"/>
      <c r="KB54" s="18" t="n"/>
      <c r="KC54" s="18" t="n"/>
      <c r="KD54" s="18" t="n"/>
      <c r="KE54" s="18" t="n"/>
      <c r="KF54" s="18" t="n"/>
      <c r="KG54" s="18" t="n"/>
      <c r="KH54" s="18" t="n"/>
      <c r="KI54" s="18" t="n"/>
      <c r="KJ54" s="18" t="n"/>
      <c r="KK54" s="18" t="n"/>
      <c r="KL54" s="18" t="n"/>
      <c r="KM54" s="18" t="n"/>
      <c r="KN54" s="18" t="n"/>
      <c r="KO54" s="18" t="n"/>
      <c r="KP54" s="18" t="n"/>
      <c r="KQ54" s="18" t="n"/>
      <c r="KR54" s="18" t="n"/>
      <c r="KS54" s="18" t="n"/>
      <c r="KT54" s="18" t="n"/>
      <c r="KU54" s="18" t="n"/>
      <c r="KV54" s="18" t="n"/>
      <c r="KW54" s="18" t="n"/>
      <c r="KX54" s="18" t="n"/>
      <c r="KY54" s="18" t="n"/>
      <c r="KZ54" s="18" t="n"/>
      <c r="LA54" s="18" t="n"/>
      <c r="LB54" s="18" t="n"/>
      <c r="LC54" s="18" t="n"/>
      <c r="LD54" s="18" t="n"/>
      <c r="LE54" s="18" t="n"/>
      <c r="LF54" s="18" t="n"/>
      <c r="LG54" s="18" t="n"/>
      <c r="LH54" s="18" t="n"/>
      <c r="LI54" s="18" t="n"/>
      <c r="LJ54" s="18" t="n"/>
      <c r="LK54" s="18" t="n"/>
      <c r="LL54" s="18" t="n"/>
      <c r="LM54" s="18" t="n"/>
      <c r="LN54" s="18" t="n"/>
      <c r="LO54" s="18" t="n"/>
      <c r="LP54" s="18" t="n"/>
      <c r="LQ54" s="18" t="n"/>
      <c r="LR54" s="18" t="n"/>
      <c r="LS54" s="18" t="n"/>
      <c r="LT54" s="18" t="n"/>
      <c r="LU54" s="18" t="n"/>
      <c r="LV54" s="18" t="n"/>
      <c r="LW54" s="18" t="n"/>
      <c r="LX54" s="18" t="n"/>
      <c r="LY54" s="18" t="n"/>
      <c r="LZ54" s="18" t="n"/>
      <c r="MA54" s="18" t="n"/>
      <c r="MB54" s="18" t="n"/>
      <c r="MC54" s="18" t="n"/>
      <c r="MD54" s="18" t="n"/>
      <c r="ME54" s="18" t="n"/>
      <c r="MF54" s="18" t="n"/>
      <c r="MG54" s="18" t="n"/>
      <c r="MH54" s="18" t="n"/>
      <c r="MI54" s="18" t="n"/>
      <c r="MJ54" s="18" t="n"/>
      <c r="MK54" s="18" t="n"/>
      <c r="ML54" s="18" t="n"/>
      <c r="MM54" s="18" t="n"/>
      <c r="MN54" s="18" t="n"/>
      <c r="MO54" s="18" t="n"/>
      <c r="MP54" s="18" t="n"/>
      <c r="MQ54" s="18" t="n"/>
      <c r="MR54" s="18" t="n"/>
      <c r="MS54" s="18" t="n"/>
      <c r="MT54" s="18" t="n"/>
      <c r="MU54" s="18" t="n"/>
    </row>
  </sheetData>
  <printOptions horizontalCentered="1"/>
  <pageMargins left="0.7480314960629921" right="0.7480314960629921" top="0.984251968503937" bottom="0.984251968503937" header="0.5118110236220472" footer="0.5118110236220472"/>
  <pageSetup orientation="landscape" paperSize="8" scale="33" verticalDpi="0"/>
</worksheet>
</file>

<file path=xl/worksheets/sheet4.xml><?xml version="1.0" encoding="utf-8"?>
<worksheet xmlns="http://schemas.openxmlformats.org/spreadsheetml/2006/main">
  <sheetPr codeName="Sheet3">
    <tabColor rgb="FFFFFF00"/>
    <outlinePr summaryBelow="1" summaryRight="1"/>
    <pageSetUpPr/>
  </sheetPr>
  <dimension ref="A1:RG76"/>
  <sheetViews>
    <sheetView view="pageBreakPreview" topLeftCell="J1" zoomScale="25" zoomScaleNormal="55" zoomScaleSheetLayoutView="25" workbookViewId="0">
      <pane xSplit="4" ySplit="1" topLeftCell="E24" activePane="bottomRight" state="frozen"/>
      <selection pane="topRight" activeCell="A1" sqref="A1"/>
      <selection pane="bottomLeft" activeCell="A1" sqref="A1"/>
      <selection pane="bottomRight" activeCell="X13" sqref="X13"/>
    </sheetView>
  </sheetViews>
  <sheetFormatPr baseColWidth="8" defaultRowHeight="19.2"/>
  <cols>
    <col width="10" customWidth="1" style="10" min="1" max="1"/>
    <col width="10" customWidth="1" style="88" min="2" max="2"/>
    <col width="18" customWidth="1" style="10" min="3" max="3"/>
    <col width="12" customWidth="1" style="6" min="4" max="4"/>
    <col width="10" customWidth="1" style="88" min="5" max="6"/>
    <col width="30" bestFit="1" customWidth="1" style="6" min="7" max="7"/>
    <col width="14" customWidth="1" style="11" min="8" max="8"/>
    <col width="14" customWidth="1" style="10" min="9" max="9"/>
    <col width="38" customWidth="1" style="10" min="10" max="10"/>
    <col width="54" customWidth="1" style="10" min="11" max="11"/>
    <col width="30" customWidth="1" style="10" min="12" max="12"/>
    <col width="36" customWidth="1" style="7" min="13" max="13"/>
    <col width="24" customWidth="1" style="10" min="14" max="14"/>
    <col width="36" customWidth="1" style="7" min="15" max="15"/>
    <col width="24" customWidth="1" style="10" min="16" max="16"/>
    <col width="36" customWidth="1" style="14" min="17" max="17"/>
    <col width="24" customWidth="1" style="15" min="18" max="18"/>
    <col width="16" customWidth="1" style="10" min="19" max="19"/>
  </cols>
  <sheetData>
    <row r="1" ht="28.05" customHeight="1" s="88">
      <c r="A1" s="16" t="inlineStr">
        <is>
          <t>L2 코드</t>
        </is>
      </c>
      <c r="B1" s="16" t="inlineStr">
        <is>
          <t>L3 코드</t>
        </is>
      </c>
      <c r="C1" s="16" t="inlineStr">
        <is>
          <t>L3 대공종명</t>
        </is>
      </c>
      <c r="D1" s="16" t="inlineStr">
        <is>
          <t>L4 코드</t>
        </is>
      </c>
      <c r="E1" s="16" t="inlineStr">
        <is>
          <t>선행</t>
        </is>
      </c>
      <c r="F1" s="16" t="inlineStr">
        <is>
          <t>후행</t>
        </is>
      </c>
      <c r="G1" s="16" t="inlineStr">
        <is>
          <t>작업단위 (Level 4 Task/Activity)</t>
        </is>
      </c>
      <c r="H1" s="16" t="inlineStr">
        <is>
          <t>일정 (D-Day)</t>
        </is>
      </c>
      <c r="I1" s="16" t="inlineStr">
        <is>
          <t>주관</t>
        </is>
      </c>
      <c r="J1" s="16" t="inlineStr">
        <is>
          <t>목적</t>
        </is>
      </c>
      <c r="K1" s="16" t="inlineStr">
        <is>
          <t>방법</t>
        </is>
      </c>
      <c r="L1" s="16" t="inlineStr">
        <is>
          <t>산출물(결과)</t>
        </is>
      </c>
      <c r="M1" s="16" t="inlineStr">
        <is>
          <t>표준서 (Standard) 요약</t>
        </is>
      </c>
      <c r="N1" s="16" t="inlineStr">
        <is>
          <t>표준서 파일 (HTML)</t>
        </is>
      </c>
      <c r="O1" s="16" t="inlineStr">
        <is>
          <t>수행지침 (Guideline) 요약</t>
        </is>
      </c>
      <c r="P1" s="16" t="inlineStr">
        <is>
          <t>수행지침 파일 (HTML)</t>
        </is>
      </c>
      <c r="Q1" s="16" t="inlineStr">
        <is>
          <t>체크리스트 (Checklist) 요약</t>
        </is>
      </c>
      <c r="R1" s="16" t="inlineStr">
        <is>
          <t>체크리스트 파일 (HTML)</t>
        </is>
      </c>
      <c r="S1" s="16" t="inlineStr">
        <is>
          <t>비고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  <c r="DL1" s="18" t="n"/>
      <c r="DM1" s="18" t="n"/>
      <c r="DN1" s="18" t="n"/>
      <c r="DO1" s="18" t="n"/>
      <c r="DP1" s="18" t="n"/>
      <c r="DQ1" s="18" t="n"/>
      <c r="DR1" s="18" t="n"/>
      <c r="DS1" s="18" t="n"/>
      <c r="DT1" s="18" t="n"/>
      <c r="DU1" s="18" t="n"/>
      <c r="DV1" s="18" t="n"/>
      <c r="DW1" s="18" t="n"/>
      <c r="DX1" s="18" t="n"/>
      <c r="DY1" s="18" t="n"/>
      <c r="DZ1" s="18" t="n"/>
      <c r="EA1" s="18" t="n"/>
      <c r="EB1" s="18" t="n"/>
      <c r="EC1" s="18" t="n"/>
      <c r="ED1" s="18" t="n"/>
      <c r="EE1" s="18" t="n"/>
      <c r="EF1" s="18" t="n"/>
      <c r="EG1" s="18" t="n"/>
      <c r="EH1" s="18" t="n"/>
      <c r="EI1" s="18" t="n"/>
      <c r="EJ1" s="18" t="n"/>
      <c r="EK1" s="18" t="n"/>
      <c r="EL1" s="18" t="n"/>
      <c r="EM1" s="18" t="n"/>
      <c r="EN1" s="18" t="n"/>
      <c r="EO1" s="18" t="n"/>
      <c r="EP1" s="18" t="n"/>
      <c r="EQ1" s="18" t="n"/>
      <c r="ER1" s="18" t="n"/>
      <c r="ES1" s="18" t="n"/>
      <c r="ET1" s="18" t="n"/>
      <c r="EU1" s="18" t="n"/>
      <c r="EV1" s="18" t="n"/>
      <c r="EW1" s="18" t="n"/>
      <c r="EX1" s="18" t="n"/>
      <c r="EY1" s="18" t="n"/>
      <c r="EZ1" s="18" t="n"/>
      <c r="FA1" s="18" t="n"/>
      <c r="FB1" s="18" t="n"/>
      <c r="FC1" s="18" t="n"/>
      <c r="FD1" s="18" t="n"/>
      <c r="FE1" s="18" t="n"/>
      <c r="FF1" s="18" t="n"/>
      <c r="FG1" s="18" t="n"/>
      <c r="FH1" s="18" t="n"/>
      <c r="FI1" s="18" t="n"/>
      <c r="FJ1" s="18" t="n"/>
      <c r="FK1" s="18" t="n"/>
      <c r="FL1" s="18" t="n"/>
      <c r="FM1" s="18" t="n"/>
      <c r="FN1" s="18" t="n"/>
      <c r="FO1" s="18" t="n"/>
      <c r="FP1" s="18" t="n"/>
      <c r="FQ1" s="18" t="n"/>
      <c r="FR1" s="18" t="n"/>
      <c r="FS1" s="18" t="n"/>
    </row>
    <row r="2" ht="52.05" customHeight="1" s="88">
      <c r="A2" s="19" t="inlineStr">
        <is>
          <t>9000</t>
        </is>
      </c>
      <c r="B2" s="19" t="inlineStr">
        <is>
          <t>9000-3</t>
        </is>
      </c>
      <c r="C2" s="19" t="inlineStr">
        <is>
          <t>지장물이설</t>
        </is>
      </c>
      <c r="D2" s="19" t="inlineStr">
        <is>
          <t>9000-3-1</t>
        </is>
      </c>
      <c r="E2" s="95" t="inlineStr">
        <is>
          <t>-</t>
        </is>
      </c>
      <c r="F2" s="95" t="inlineStr">
        <is>
          <t>9000-3-2, 9000-3-3</t>
        </is>
      </c>
      <c r="G2" s="23" t="inlineStr">
        <is>
          <t>Site Survey Risk 검토</t>
        </is>
      </c>
      <c r="H2" s="21" t="inlineStr">
        <is>
          <t>P-30</t>
        </is>
      </c>
      <c r="I2" s="21" t="inlineStr">
        <is>
          <t>토목국내견적팀</t>
        </is>
      </c>
      <c r="J2" s="24" t="inlineStr">
        <is>
          <t>지하안전관리에 관한 특별법 제23조 | 현장 지반 조사, GPR 탐사 데이터 및 신설 궤도 간섭 리스크 사전 분석 | 지장물 이설 리스크 관리계획 수립</t>
        </is>
      </c>
      <c r="K2" s="24" t="inlineStr">
        <is>
          <t>1) 지반 조사 주상도 &amp; GPR 데이터 대조 ➔ 2) 신설 궤도 구조물 간섭 관로 추출 ➔ 3) 기관별 이설 우선순위 수립 ➔ 4) 지장물 리스크 보고서 결재</t>
        </is>
      </c>
      <c r="L2" s="24" t="inlineStr">
        <is>
          <t>지반 시추 주상도, GPR 3D 지중 관로 탐사 데이터 대조 및 신설 궤도 구조물 간섭 관로 사전 현출 점검</t>
        </is>
      </c>
      <c r="M2" s="24" t="inlineStr">
        <is>
          <t>지하안전관리에 관한 특별법 제23조 | 현장 지반 조사, GPR 탐사 데이터 및 신설 궤도 간섭 리스크 사전 분석 | 지장물 이설 리스크 관리계획 수립</t>
        </is>
      </c>
      <c r="N2" s="25">
        <f>HYPERLINK(LEFT(CELL("filename",A1),FIND("[",CELL("filename",A1))-1)&amp;"3.지장물이설\1_Site Survey Risk 검토\표준서\1_Site Survey Risk 검토_표준서.html", "👉 [클릭] 표준서 열기 📄")</f>
        <v/>
      </c>
      <c r="O2" s="24" t="inlineStr">
        <is>
          <t>1) 지반 조사 주상도 &amp; GPR 데이터 대조 ➔ 2) 신설 궤도 구조물 간섭 관로 추출 ➔ 3) 기관별 이설 우선순위 수립 ➔ 4) 지장물 리스크 보고서 결재</t>
        </is>
      </c>
      <c r="P2" s="26">
        <f>HYPERLINK(LEFT(CELL("filename",A1),FIND("[",CELL("filename",A1))-1)&amp;"3.지장물이설\1_Site Survey Risk 검토\수행지침\1_Site Survey Risk 검토_수행지침.html", "👉 [클릭] 수행지침 열기 📄")</f>
        <v/>
      </c>
      <c r="Q2" s="24" t="inlineStr">
        <is>
          <t>지반 시추 주상도, GPR 3D 지중 관로 탐사 데이터 대조 및 신설 궤도 구조물 간섭 관로 사전 현출 점검</t>
        </is>
      </c>
      <c r="R2" s="27">
        <f>HYPERLINK(LEFT(CELL("filename",A1),FIND("[",CELL("filename",A1))-1)&amp;"3.지장물이설\1_Site Survey Risk 검토\체크리스트\1_Site Survey Risk 검토_체크리스트.html", "👉 [클릭] 체크리스트 열기 📄")</f>
        <v/>
      </c>
      <c r="S2" s="21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  <c r="DY2" s="18" t="n"/>
      <c r="DZ2" s="18" t="n"/>
      <c r="EA2" s="18" t="n"/>
      <c r="EB2" s="18" t="n"/>
      <c r="EC2" s="18" t="n"/>
      <c r="ED2" s="18" t="n"/>
      <c r="EE2" s="18" t="n"/>
      <c r="EF2" s="18" t="n"/>
      <c r="EG2" s="18" t="n"/>
      <c r="EH2" s="18" t="n"/>
      <c r="EI2" s="18" t="n"/>
      <c r="EJ2" s="18" t="n"/>
      <c r="EK2" s="18" t="n"/>
      <c r="EL2" s="18" t="n"/>
      <c r="EM2" s="18" t="n"/>
      <c r="EN2" s="18" t="n"/>
      <c r="EO2" s="18" t="n"/>
      <c r="EP2" s="18" t="n"/>
      <c r="EQ2" s="18" t="n"/>
      <c r="ER2" s="18" t="n"/>
      <c r="ES2" s="18" t="n"/>
      <c r="ET2" s="18" t="n"/>
      <c r="EU2" s="18" t="n"/>
      <c r="EV2" s="18" t="n"/>
      <c r="EW2" s="18" t="n"/>
      <c r="EX2" s="18" t="n"/>
      <c r="EY2" s="18" t="n"/>
      <c r="EZ2" s="18" t="n"/>
      <c r="FA2" s="18" t="n"/>
      <c r="FB2" s="18" t="n"/>
      <c r="FC2" s="18" t="n"/>
      <c r="FD2" s="18" t="n"/>
      <c r="FE2" s="18" t="n"/>
      <c r="FF2" s="18" t="n"/>
      <c r="FG2" s="18" t="n"/>
      <c r="FH2" s="18" t="n"/>
      <c r="FI2" s="18" t="n"/>
      <c r="FJ2" s="18" t="n"/>
      <c r="FK2" s="18" t="n"/>
      <c r="FL2" s="18" t="n"/>
      <c r="FM2" s="18" t="n"/>
      <c r="FN2" s="18" t="n"/>
      <c r="FO2" s="18" t="n"/>
      <c r="FP2" s="18" t="n"/>
      <c r="FQ2" s="18" t="n"/>
      <c r="FR2" s="18" t="n"/>
      <c r="FS2" s="18" t="n"/>
      <c r="FT2" s="18" t="n"/>
      <c r="FU2" s="18" t="n"/>
      <c r="FV2" s="18" t="n"/>
      <c r="FW2" s="18" t="n"/>
    </row>
    <row r="3" ht="52.05" customHeight="1" s="88">
      <c r="A3" s="29" t="inlineStr">
        <is>
          <t>9000</t>
        </is>
      </c>
      <c r="B3" s="29" t="inlineStr">
        <is>
          <t>9000-3</t>
        </is>
      </c>
      <c r="C3" s="29" t="inlineStr">
        <is>
          <t>지장물이설</t>
        </is>
      </c>
      <c r="D3" s="29" t="inlineStr">
        <is>
          <t>9000-3-2</t>
        </is>
      </c>
      <c r="E3" s="102" t="inlineStr">
        <is>
          <t>9000-3-1</t>
        </is>
      </c>
      <c r="F3" s="102" t="inlineStr">
        <is>
          <t>9000-3-4</t>
        </is>
      </c>
      <c r="G3" s="32" t="inlineStr">
        <is>
          <t>발주전략 KOM (도급지분)</t>
        </is>
      </c>
      <c r="H3" s="33" t="inlineStr">
        <is>
          <t>P+0</t>
        </is>
      </c>
      <c r="I3" s="33" t="inlineStr">
        <is>
          <t>현장소장</t>
        </is>
      </c>
      <c r="J3" s="34" t="inlineStr">
        <is>
          <t>KCS 47 10 25 시방 준수 | 도급분 지장물 이설 발주 시방서 검토 &amp; 3D BIM 도면 대조 | 발주처·감리·시공 3자 킥오프 미팅 결재</t>
        </is>
      </c>
      <c r="K3" s="34" t="inlineStr">
        <is>
          <t>1) 도급분 이설 시방서 요구조건 검토 ➔ 2) 3D BIM 도면 관로 좌표 대조 ➔ 3) 공기 지연 예비비 수립 ➔ 4) 발주·감리·시공 3자 킥오프 결재</t>
        </is>
      </c>
      <c r="L3" s="34" t="inlineStr">
        <is>
          <t>KCS 47 10 25 시방 요구조건, 도급분 지장물 이설 수량 및 3D BIM 도면 간섭 zero 검증</t>
        </is>
      </c>
      <c r="M3" s="34" t="inlineStr">
        <is>
          <t>KCS 47 10 25 시방 준수 | 도급분 지장물 이설 발주 시방서 검토 &amp; 3D BIM 도면 대조 | 발주처·감리·시공 3자 킥오프 미팅 결재</t>
        </is>
      </c>
      <c r="N3" s="35">
        <f>HYPERLINK(LEFT(CELL("filename",A1),FIND("[",CELL("filename",A1))-1)&amp;"3.지장물이설\2_발주전략 KOM (도급지분)\표준서\2_발주전략 KOM (도급지분)_표준서.html", "👉 [클릭] 표준서 열기 📄")</f>
        <v/>
      </c>
      <c r="O3" s="34" t="inlineStr">
        <is>
          <t>1) 도급분 이설 시방서 요구조건 검토 ➔ 2) 3D BIM 도면 관로 좌표 대조 ➔ 3) 공기 지연 예비비 수립 ➔ 4) 발주·감리·시공 3자 킥오프 결재</t>
        </is>
      </c>
      <c r="P3" s="36">
        <f>HYPERLINK(LEFT(CELL("filename",A1),FIND("[",CELL("filename",A1))-1)&amp;"3.지장물이설\2_발주전략 KOM (도급지분)\수행지침\2_발주전략 KOM (도급지분)_수행지침.html", "👉 [클릭] 수행지침 열기 📄")</f>
        <v/>
      </c>
      <c r="Q3" s="34" t="inlineStr">
        <is>
          <t>KCS 47 10 25 시방 요구조건, 도급분 지장물 이설 수량 및 3D BIM 도면 간섭 zero 검증</t>
        </is>
      </c>
      <c r="R3" s="37">
        <f>HYPERLINK(LEFT(CELL("filename",A1),FIND("[",CELL("filename",A1))-1)&amp;"3.지장물이설\2_발주전략 KOM (도급지분)\체크리스트\2_발주전략 KOM (도급지분)_체크리스트.html", "👉 [클릭] 체크리스트 열기 📄")</f>
        <v/>
      </c>
      <c r="S3" s="33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8" t="n"/>
      <c r="ER3" s="18" t="n"/>
      <c r="ES3" s="18" t="n"/>
      <c r="ET3" s="18" t="n"/>
      <c r="EU3" s="18" t="n"/>
      <c r="EV3" s="18" t="n"/>
      <c r="EW3" s="18" t="n"/>
      <c r="EX3" s="18" t="n"/>
      <c r="EY3" s="18" t="n"/>
      <c r="EZ3" s="18" t="n"/>
      <c r="FA3" s="18" t="n"/>
      <c r="FB3" s="18" t="n"/>
      <c r="FC3" s="18" t="n"/>
      <c r="FD3" s="18" t="n"/>
      <c r="FE3" s="18" t="n"/>
      <c r="FF3" s="18" t="n"/>
      <c r="FG3" s="18" t="n"/>
      <c r="FH3" s="18" t="n"/>
      <c r="FI3" s="18" t="n"/>
      <c r="FJ3" s="18" t="n"/>
      <c r="FK3" s="18" t="n"/>
      <c r="FL3" s="18" t="n"/>
      <c r="FM3" s="18" t="n"/>
      <c r="FN3" s="18" t="n"/>
      <c r="FO3" s="18" t="n"/>
      <c r="FP3" s="18" t="n"/>
      <c r="FQ3" s="18" t="n"/>
      <c r="FR3" s="18" t="n"/>
      <c r="FS3" s="18" t="n"/>
      <c r="FT3" s="18" t="n"/>
      <c r="FU3" s="18" t="n"/>
      <c r="FV3" s="18" t="n"/>
      <c r="FW3" s="18" t="n"/>
      <c r="FX3" s="18" t="n"/>
      <c r="FY3" s="18" t="n"/>
      <c r="FZ3" s="18" t="n"/>
      <c r="GA3" s="18" t="n"/>
    </row>
    <row r="4" ht="52.05" customHeight="1" s="88">
      <c r="A4" s="19" t="inlineStr">
        <is>
          <t>9000</t>
        </is>
      </c>
      <c r="B4" s="19" t="inlineStr">
        <is>
          <t>9000-3</t>
        </is>
      </c>
      <c r="C4" s="19" t="inlineStr">
        <is>
          <t>지장물이설</t>
        </is>
      </c>
      <c r="D4" s="19" t="inlineStr">
        <is>
          <t>9000-3-3</t>
        </is>
      </c>
      <c r="E4" s="95" t="inlineStr">
        <is>
          <t>9000-3-1</t>
        </is>
      </c>
      <c r="F4" s="95" t="inlineStr">
        <is>
          <t>9000-3-5</t>
        </is>
      </c>
      <c r="G4" s="23" t="inlineStr">
        <is>
          <t>지장물 이설 요청 (위수탁고)</t>
        </is>
      </c>
      <c r="H4" s="21" t="inlineStr">
        <is>
          <t>P+0</t>
        </is>
      </c>
      <c r="I4" s="21" t="inlineStr">
        <is>
          <t>공사팀 / 발주기관</t>
        </is>
      </c>
      <c r="J4" s="24" t="inlineStr">
        <is>
          <t>지방계약법 및 관할 점용기관 규정 | 위수탁 지장물 이설 협약서 작성 &amp; 공문 발송 | 기관별 이설 소요 기간 및 예산 확보</t>
        </is>
      </c>
      <c r="K4" s="24" t="inlineStr">
        <is>
          <t>1) 관할 점용기관 이설 요청 공문 작성 ➔ 2) 이설 협약서 정산 조건 수속 ➔ 3) 기관별 이설 소요 기간 협의 ➔ 4) 위수탁 이설 확약 공문 수령</t>
        </is>
      </c>
      <c r="L4" s="24" t="inlineStr">
        <is>
          <t>위수탁 이설 요청 공문 부착, 점용기관 협약 조건 수속 및 이설 예비비 계상 서약</t>
        </is>
      </c>
      <c r="M4" s="24" t="inlineStr">
        <is>
          <t>지방계약법 및 관할 점용기관 규정 | 위수탁 지장물 이설 협약서 작성 &amp; 공문 발송 | 기관별 이설 소요 기간 및 예산 확보</t>
        </is>
      </c>
      <c r="N4" s="25">
        <f>HYPERLINK(LEFT(CELL("filename",A1),FIND("[",CELL("filename",A1))-1)&amp;"3.지장물이설\2_발주전적 KOM (도급지분)\표준서\발주전적 KOM (도급지분)_표준서.html", "👉 [클릭] 표준서 열기 📄")</f>
        <v/>
      </c>
      <c r="O4" s="24" t="inlineStr">
        <is>
          <t>1) 관할 점용기관 이설 요청 공문 작성 ➔ 2) 이설 협약서 정산 조건 수속 ➔ 3) 기관별 이설 소요 기간 협의 ➔ 4) 위수탁 이설 확약 공문 수령</t>
        </is>
      </c>
      <c r="P4" s="26">
        <f>HYPERLINK(LEFT(CELL("filename",A1),FIND("[",CELL("filename",A1))-1)&amp;"3.지장물이설\2_발주전적 KOM (도급지분)\수행지침\발주전적 KOM (도급지분)_수행지침.html", "👉 [클릭] 수행지침 열기 📄")</f>
        <v/>
      </c>
      <c r="Q4" s="24" t="inlineStr">
        <is>
          <t>위수탁 이설 요청 공문 부착, 점용기관 협약 조건 수속 및 이설 예비비 계상 서약</t>
        </is>
      </c>
      <c r="R4" s="27">
        <f>HYPERLINK(LEFT(CELL("filename",A1),FIND("[",CELL("filename",A1))-1)&amp;"3.지장물이설\2_발주전적 KOM (도급지분)\체크리스트\발주전적 KOM (도급지분)_체크리스트.html", "👉 [클릭] 체크리스트 열기 📄")</f>
        <v/>
      </c>
      <c r="S4" s="21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  <c r="DY4" s="18" t="n"/>
      <c r="DZ4" s="18" t="n"/>
      <c r="EA4" s="18" t="n"/>
      <c r="EB4" s="18" t="n"/>
      <c r="EC4" s="18" t="n"/>
      <c r="ED4" s="18" t="n"/>
      <c r="EE4" s="18" t="n"/>
      <c r="EF4" s="18" t="n"/>
      <c r="EG4" s="18" t="n"/>
      <c r="EH4" s="18" t="n"/>
      <c r="EI4" s="18" t="n"/>
      <c r="EJ4" s="18" t="n"/>
      <c r="EK4" s="18" t="n"/>
      <c r="EL4" s="18" t="n"/>
      <c r="EM4" s="18" t="n"/>
      <c r="EN4" s="18" t="n"/>
      <c r="EO4" s="18" t="n"/>
      <c r="EP4" s="18" t="n"/>
      <c r="EQ4" s="18" t="n"/>
      <c r="ER4" s="18" t="n"/>
      <c r="ES4" s="18" t="n"/>
      <c r="ET4" s="18" t="n"/>
      <c r="EU4" s="18" t="n"/>
      <c r="EV4" s="18" t="n"/>
      <c r="EW4" s="18" t="n"/>
      <c r="EX4" s="18" t="n"/>
      <c r="EY4" s="18" t="n"/>
      <c r="EZ4" s="18" t="n"/>
      <c r="FA4" s="18" t="n"/>
      <c r="FB4" s="18" t="n"/>
      <c r="FC4" s="18" t="n"/>
      <c r="FD4" s="18" t="n"/>
      <c r="FE4" s="18" t="n"/>
      <c r="FF4" s="18" t="n"/>
      <c r="FG4" s="18" t="n"/>
      <c r="FH4" s="18" t="n"/>
      <c r="FI4" s="18" t="n"/>
      <c r="FJ4" s="18" t="n"/>
      <c r="FK4" s="18" t="n"/>
      <c r="FL4" s="18" t="n"/>
      <c r="FM4" s="18" t="n"/>
      <c r="FN4" s="18" t="n"/>
      <c r="FO4" s="18" t="n"/>
      <c r="FP4" s="18" t="n"/>
      <c r="FQ4" s="18" t="n"/>
      <c r="FR4" s="18" t="n"/>
      <c r="FS4" s="18" t="n"/>
      <c r="FT4" s="18" t="n"/>
      <c r="FU4" s="18" t="n"/>
      <c r="FV4" s="18" t="n"/>
      <c r="FW4" s="18" t="n"/>
      <c r="FX4" s="18" t="n"/>
      <c r="FY4" s="18" t="n"/>
      <c r="FZ4" s="18" t="n"/>
      <c r="GA4" s="18" t="n"/>
      <c r="GB4" s="18" t="n"/>
      <c r="GC4" s="18" t="n"/>
      <c r="GD4" s="18" t="n"/>
      <c r="GE4" s="18" t="n"/>
    </row>
    <row r="5" ht="52.05" customHeight="1" s="88">
      <c r="A5" s="29" t="inlineStr">
        <is>
          <t>9000</t>
        </is>
      </c>
      <c r="B5" s="29" t="inlineStr">
        <is>
          <t>9000-3</t>
        </is>
      </c>
      <c r="C5" s="29" t="inlineStr">
        <is>
          <t>지장물이설</t>
        </is>
      </c>
      <c r="D5" s="29" t="inlineStr">
        <is>
          <t>9000-3-4</t>
        </is>
      </c>
      <c r="E5" s="102" t="inlineStr">
        <is>
          <t>9000-3-2</t>
        </is>
      </c>
      <c r="F5" s="102" t="inlineStr">
        <is>
          <t>9000-3-5, 9000-3-6</t>
        </is>
      </c>
      <c r="G5" s="32" t="inlineStr">
        <is>
          <t>도급자분 이설업체 선정(상/하수)</t>
        </is>
      </c>
      <c r="H5" s="33" t="inlineStr">
        <is>
          <t>P+5</t>
        </is>
      </c>
      <c r="I5" s="33" t="inlineStr">
        <is>
          <t>현장소장</t>
        </is>
      </c>
      <c r="J5" s="34" t="inlineStr">
        <is>
          <t>건설산업기본법 제29조 | 상하수도 설비 전문건설업 면허 및 적정성(≥ 82%) 평가 | 노무비 전용계좌 지정 및 계약 승인</t>
        </is>
      </c>
      <c r="K5" s="34" t="inlineStr">
        <is>
          <t>1) 상하수도 전문건설업 면허 심사 ➔ 2) 하도급 적정성(≥ 82%) 평가 ➔ 3) 노무비 전용계좌 개설 ➔ 4) 하도급 계약 승인 통보서 결재</t>
        </is>
      </c>
      <c r="L5" s="34" t="inlineStr">
        <is>
          <t>상하수도 전문건설업 면허/실적 심사, 하도급 적정성 평가(≥ 82%) 및 노무비 전용계좌 지정</t>
        </is>
      </c>
      <c r="M5" s="34" t="inlineStr">
        <is>
          <t>건설산업기본법 제29조 | 상하수도 설비 전문건설업 면허 및 적정성(≥ 82%) 평가 | 노무비 전용계좌 지정 및 계약 승인</t>
        </is>
      </c>
      <c r="N5" s="35">
        <f>HYPERLINK(LEFT(CELL("filename",A1),FIND("[",CELL("filename",A1))-1)&amp;"3.지장물이설\3_지장물 이설 요청 (위수탁고)\표준서\3_지장물 이설 요청 (위수탁고)_표준서.html", "👉 [클릭] 표준서 열기 📄")</f>
        <v/>
      </c>
      <c r="O5" s="34" t="inlineStr">
        <is>
          <t>1) 상하수도 전문건설업 면허 심사 ➔ 2) 하도급 적정성(≥ 82%) 평가 ➔ 3) 노무비 전용계좌 개설 ➔ 4) 하도급 계약 승인 통보서 결재</t>
        </is>
      </c>
      <c r="P5" s="36">
        <f>HYPERLINK(LEFT(CELL("filename",A1),FIND("[",CELL("filename",A1))-1)&amp;"3.지장물이설\3_지장물 이설 요청 (위수탁고)\수행지침\3_지장물 이설 요청 (위수탁고)_수행지침.html", "👉 [클릭] 수행지침 열기 📄")</f>
        <v/>
      </c>
      <c r="Q5" s="34" t="inlineStr">
        <is>
          <t>상하수도 전문건설업 면허/실적 심사, 하도급 적정성 평가(≥ 82%) 및 노무비 전용계좌 지정</t>
        </is>
      </c>
      <c r="R5" s="37">
        <f>HYPERLINK(LEFT(CELL("filename",A1),FIND("[",CELL("filename",A1))-1)&amp;"3.지장물이설\3_지장물 이설 요청 (위수탁고)\체크리스트\3_지장물 이설 요청 (위수탁고)_체크리스트.html", "👉 [클릭] 체크리스트 열기 📄")</f>
        <v/>
      </c>
      <c r="S5" s="33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  <c r="EB5" s="18" t="n"/>
      <c r="EC5" s="18" t="n"/>
      <c r="ED5" s="18" t="n"/>
      <c r="EE5" s="18" t="n"/>
      <c r="EF5" s="18" t="n"/>
      <c r="EG5" s="18" t="n"/>
      <c r="EH5" s="18" t="n"/>
      <c r="EI5" s="18" t="n"/>
      <c r="EJ5" s="18" t="n"/>
      <c r="EK5" s="18" t="n"/>
      <c r="EL5" s="18" t="n"/>
      <c r="EM5" s="18" t="n"/>
      <c r="EN5" s="18" t="n"/>
      <c r="EO5" s="18" t="n"/>
      <c r="EP5" s="18" t="n"/>
      <c r="EQ5" s="18" t="n"/>
      <c r="ER5" s="18" t="n"/>
      <c r="ES5" s="18" t="n"/>
      <c r="ET5" s="18" t="n"/>
      <c r="EU5" s="18" t="n"/>
      <c r="EV5" s="18" t="n"/>
      <c r="EW5" s="18" t="n"/>
      <c r="EX5" s="18" t="n"/>
      <c r="EY5" s="18" t="n"/>
      <c r="EZ5" s="18" t="n"/>
      <c r="FA5" s="18" t="n"/>
      <c r="FB5" s="18" t="n"/>
      <c r="FC5" s="18" t="n"/>
      <c r="FD5" s="18" t="n"/>
      <c r="FE5" s="18" t="n"/>
      <c r="FF5" s="18" t="n"/>
      <c r="FG5" s="18" t="n"/>
      <c r="FH5" s="18" t="n"/>
      <c r="FI5" s="18" t="n"/>
      <c r="FJ5" s="18" t="n"/>
      <c r="FK5" s="18" t="n"/>
      <c r="FL5" s="18" t="n"/>
      <c r="FM5" s="18" t="n"/>
      <c r="FN5" s="18" t="n"/>
      <c r="FO5" s="18" t="n"/>
      <c r="FP5" s="18" t="n"/>
      <c r="FQ5" s="18" t="n"/>
      <c r="FR5" s="18" t="n"/>
      <c r="FS5" s="18" t="n"/>
      <c r="FT5" s="18" t="n"/>
      <c r="FU5" s="18" t="n"/>
      <c r="FV5" s="18" t="n"/>
      <c r="FW5" s="18" t="n"/>
      <c r="FX5" s="18" t="n"/>
      <c r="FY5" s="18" t="n"/>
      <c r="FZ5" s="18" t="n"/>
      <c r="GA5" s="18" t="n"/>
      <c r="GB5" s="18" t="n"/>
      <c r="GC5" s="18" t="n"/>
      <c r="GD5" s="18" t="n"/>
      <c r="GE5" s="18" t="n"/>
      <c r="GF5" s="18" t="n"/>
      <c r="GG5" s="18" t="n"/>
      <c r="GH5" s="18" t="n"/>
      <c r="GI5" s="18" t="n"/>
    </row>
    <row r="6" ht="52.05" customHeight="1" s="88">
      <c r="A6" s="19" t="inlineStr">
        <is>
          <t>9000</t>
        </is>
      </c>
      <c r="B6" s="19" t="inlineStr">
        <is>
          <t>9000-3</t>
        </is>
      </c>
      <c r="C6" s="19" t="inlineStr">
        <is>
          <t>지장물이설</t>
        </is>
      </c>
      <c r="D6" s="19" t="inlineStr">
        <is>
          <t>9000-3-5</t>
        </is>
      </c>
      <c r="E6" s="95" t="inlineStr">
        <is>
          <t>9000-3-3, 9000-3-4</t>
        </is>
      </c>
      <c r="F6" s="95" t="inlineStr">
        <is>
          <t>9000-3-7, 9000-3-8</t>
        </is>
      </c>
      <c r="G6" s="23" t="inlineStr">
        <is>
          <t>지장물 조사 (위탁기관 합동)</t>
        </is>
      </c>
      <c r="H6" s="21" t="inlineStr">
        <is>
          <t>P+10</t>
        </is>
      </c>
      <c r="I6" s="21" t="inlineStr">
        <is>
          <t>현장 공사팀</t>
        </is>
      </c>
      <c r="J6" s="24" t="inlineStr">
        <is>
          <t>본 과업은 트램 선로 굴착 예정 구간 내 매설된 한국전력, 도시가스, 상하수도, 통신 관로 등 지하 지장물의 정확한 매설 위치, 관경, 매설 깊이를 관할 점용기관과 1:1 현장 합동으로 정밀 실측·조사하여 3D BIM 간섭 모델을 구축하는 것을 목적으로 함.</t>
        </is>
      </c>
      <c r="K6" s="24" t="inlineStr">
        <is>
          <t>1) 한전/가스/수자원공사 1:1 현장 입회 ➔ 2) 관로 위치, 관경(mm), 깊이 현측 ➔ 3) 3D BIM 매설 관로 매핑 ➔ 4) 지장물 조사서 감리 서면 승인</t>
        </is>
      </c>
      <c r="L6" s="24" t="inlineStr">
        <is>
          <t>한국전력, 도시가스, 수자원공사 1:1 현장 입회 및 지하 매설물 관경(mm), 심도 깊이 3D BIM 매핑</t>
        </is>
      </c>
      <c r="M6" s="24" t="inlineStr">
        <is>
          <t>본 과업은 트램 선로 굴착 예정 구간 내 매설된 한국전력, 도시가스, 상하수도, 통신 관로 등 지하 지장물의 정확한 매설 위치, 관경, 매설 깊이를 관할 점용기관과 1:1 현장 합동으로 정밀 실측·조사하여 3D BIM 간섭 모델을 구축하는 것을 목적으로 함.</t>
        </is>
      </c>
      <c r="N6" s="25">
        <f>HYPERLINK(LEFT(CELL("filename",A1),FIND("[",CELL("filename",A1))-1)&amp;"3.지장물이설\4_도급자분 이설업체 선정(상_하수)\표준서\4_도급자분 이설업체 선정(상_하수)_표준서.html", "👉 [클릭] 표준서 열기 📄")</f>
        <v/>
      </c>
      <c r="O6" s="24" t="inlineStr">
        <is>
          <t>1) 한전/가스/수자원공사 1:1 현장 입회 ➔ 2) 관로 위치, 관경(mm), 깊이 현측 ➔ 3) 3D BIM 매설 관로 매핑 ➔ 4) 지장물 조사서 감리 서면 승인</t>
        </is>
      </c>
      <c r="P6" s="26">
        <f>HYPERLINK(LEFT(CELL("filename",A1),FIND("[",CELL("filename",A1))-1)&amp;"3.지장물이설\4_도급자분 이설업체 선정(상_하수)\수행지침\4_도급자분 이설업체 선정(상_하수)_수행지침.html", "👉 [클릭] 수행지침 열기 📄")</f>
        <v/>
      </c>
      <c r="Q6" s="24" t="inlineStr">
        <is>
          <t>한국전력, 도시가스, 수자원공사 1:1 현장 입회 및 지하 매설물 관경(mm), 심도 깊이 3D BIM 매핑</t>
        </is>
      </c>
      <c r="R6" s="27">
        <f>HYPERLINK(LEFT(CELL("filename",A1),FIND("[",CELL("filename",A1))-1)&amp;"3.지장물이설\4_도급자분 이설업체 선정(상_하수)\체크리스트\4_도급자분 이설업체 선정(상_하수)_체크리스트.html", "👉 [클릭] 체크리스트 열기 📄")</f>
        <v/>
      </c>
      <c r="S6" s="21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  <c r="DY6" s="18" t="n"/>
      <c r="DZ6" s="18" t="n"/>
      <c r="EA6" s="18" t="n"/>
      <c r="EB6" s="18" t="n"/>
      <c r="EC6" s="18" t="n"/>
      <c r="ED6" s="18" t="n"/>
      <c r="EE6" s="18" t="n"/>
      <c r="EF6" s="18" t="n"/>
      <c r="EG6" s="18" t="n"/>
      <c r="EH6" s="18" t="n"/>
      <c r="EI6" s="18" t="n"/>
      <c r="EJ6" s="18" t="n"/>
      <c r="EK6" s="18" t="n"/>
      <c r="EL6" s="18" t="n"/>
      <c r="EM6" s="18" t="n"/>
      <c r="EN6" s="18" t="n"/>
      <c r="EO6" s="18" t="n"/>
      <c r="EP6" s="18" t="n"/>
      <c r="EQ6" s="18" t="n"/>
      <c r="ER6" s="18" t="n"/>
      <c r="ES6" s="18" t="n"/>
      <c r="ET6" s="18" t="n"/>
      <c r="EU6" s="18" t="n"/>
      <c r="EV6" s="18" t="n"/>
      <c r="EW6" s="18" t="n"/>
      <c r="EX6" s="18" t="n"/>
      <c r="EY6" s="18" t="n"/>
      <c r="EZ6" s="18" t="n"/>
      <c r="FA6" s="18" t="n"/>
      <c r="FB6" s="18" t="n"/>
      <c r="FC6" s="18" t="n"/>
      <c r="FD6" s="18" t="n"/>
      <c r="FE6" s="18" t="n"/>
      <c r="FF6" s="18" t="n"/>
      <c r="FG6" s="18" t="n"/>
      <c r="FH6" s="18" t="n"/>
      <c r="FI6" s="18" t="n"/>
      <c r="FJ6" s="18" t="n"/>
      <c r="FK6" s="18" t="n"/>
      <c r="FL6" s="18" t="n"/>
      <c r="FM6" s="18" t="n"/>
      <c r="FN6" s="18" t="n"/>
      <c r="FO6" s="18" t="n"/>
      <c r="FP6" s="18" t="n"/>
      <c r="FQ6" s="18" t="n"/>
      <c r="FR6" s="18" t="n"/>
      <c r="FS6" s="18" t="n"/>
      <c r="FT6" s="18" t="n"/>
      <c r="FU6" s="18" t="n"/>
      <c r="FV6" s="18" t="n"/>
      <c r="FW6" s="18" t="n"/>
      <c r="FX6" s="18" t="n"/>
      <c r="FY6" s="18" t="n"/>
      <c r="FZ6" s="18" t="n"/>
      <c r="GA6" s="18" t="n"/>
      <c r="GB6" s="18" t="n"/>
      <c r="GC6" s="18" t="n"/>
      <c r="GD6" s="18" t="n"/>
      <c r="GE6" s="18" t="n"/>
      <c r="GF6" s="18" t="n"/>
      <c r="GG6" s="18" t="n"/>
      <c r="GH6" s="18" t="n"/>
      <c r="GI6" s="18" t="n"/>
      <c r="GJ6" s="18" t="n"/>
      <c r="GK6" s="18" t="n"/>
      <c r="GL6" s="18" t="n"/>
      <c r="GM6" s="18" t="n"/>
    </row>
    <row r="7" ht="52.05" customHeight="1" s="88">
      <c r="A7" s="29" t="inlineStr">
        <is>
          <t>9000</t>
        </is>
      </c>
      <c r="B7" s="29" t="inlineStr">
        <is>
          <t>9000-3</t>
        </is>
      </c>
      <c r="C7" s="29" t="inlineStr">
        <is>
          <t>지장물이설</t>
        </is>
      </c>
      <c r="D7" s="29" t="inlineStr">
        <is>
          <t>9000-3-6</t>
        </is>
      </c>
      <c r="E7" s="102" t="inlineStr">
        <is>
          <t>9000-3-4</t>
        </is>
      </c>
      <c r="F7" s="102" t="inlineStr">
        <is>
          <t>9000-3-8</t>
        </is>
      </c>
      <c r="G7" s="32" t="inlineStr">
        <is>
          <t>지장물 이설 계획 수립</t>
        </is>
      </c>
      <c r="H7" s="33" t="inlineStr">
        <is>
          <t>P+15</t>
        </is>
      </c>
      <c r="I7" s="33" t="inlineStr">
        <is>
          <t>현장 공사팀</t>
        </is>
      </c>
      <c r="J7" s="34" t="inlineStr">
        <is>
          <t>본 과업은 현장 실측된 지장물 조사 결과를 바탕으로 공정 간섭을 최소화하는 이설 순서, 가설 방호 공법, 임시 도로 우회 계획을 수립하고, 시공 착수 전 책임감리단의 서면 기술 승인을 확보하는 것을 목적으로 함.</t>
        </is>
      </c>
      <c r="K7" s="34" t="inlineStr">
        <is>
          <t>1) 지장물 이설 공정표 수립 ➔ 2) 가설 매달기 방호 &amp; 우회 차선 설계 ➔ 3) 착공 14일 전 감리단 제출 ➔ 4) 이설 계획서 책임감리원 승인</t>
        </is>
      </c>
      <c r="L7" s="34" t="inlineStr">
        <is>
          <t>지장물 이설 공정표 수립, 가설 매달기 방호/우회 차선 설계 및 착공 14일 전 감리 서면 승인</t>
        </is>
      </c>
      <c r="M7" s="34" t="inlineStr">
        <is>
          <t>본 과업은 현장 실측된 지장물 조사 결과를 바탕으로 공정 간섭을 최소화하는 이설 순서, 가설 방호 공법, 임시 도로 우회 계획을 수립하고, 시공 착수 전 책임감리단의 서면 기술 승인을 확보하는 것을 목적으로 함.</t>
        </is>
      </c>
      <c r="N7" s="35">
        <f>HYPERLINK(LEFT(CELL("filename",A1),FIND("[",CELL("filename",A1))-1)&amp;"3.지장물이설\4_최고의 팀 만들기 지원\표준서\최고의 팀 만들기 지원_표준서.html", "👉 [클릭] 표준서 열기 📄")</f>
        <v/>
      </c>
      <c r="O7" s="34" t="inlineStr">
        <is>
          <t>1) 지장물 이설 공정표 수립 ➔ 2) 가설 매달기 방호 &amp; 우회 차선 설계 ➔ 3) 착공 14일 전 감리단 제출 ➔ 4) 이설 계획서 책임감리원 승인</t>
        </is>
      </c>
      <c r="P7" s="36">
        <f>HYPERLINK(LEFT(CELL("filename",A1),FIND("[",CELL("filename",A1))-1)&amp;"3.지장물이설\4_최고의 팀 만들기 지원\수행지침\수행지침.html", "👉 [클릭] 수행지침 열기 📄")</f>
        <v/>
      </c>
      <c r="Q7" s="34" t="inlineStr">
        <is>
          <t>지장물 이설 공정표 수립, 가설 매달기 방호/우회 차선 설계 및 착공 14일 전 감리 서면 승인</t>
        </is>
      </c>
      <c r="R7" s="37">
        <f>HYPERLINK(LEFT(CELL("filename",A1),FIND("[",CELL("filename",A1))-1)&amp;"3.지장물이설\4_최고의 팀 만들기 지원\체크리스트\최고의 팀 만들기 지원_체크리스트.html", "👉 [클릭] 체크리스트 열기 📄")</f>
        <v/>
      </c>
      <c r="S7" s="33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8" t="n"/>
      <c r="EB7" s="18" t="n"/>
      <c r="EC7" s="18" t="n"/>
      <c r="ED7" s="18" t="n"/>
      <c r="EE7" s="18" t="n"/>
      <c r="EF7" s="18" t="n"/>
      <c r="EG7" s="18" t="n"/>
      <c r="EH7" s="18" t="n"/>
      <c r="EI7" s="18" t="n"/>
      <c r="EJ7" s="18" t="n"/>
      <c r="EK7" s="18" t="n"/>
      <c r="EL7" s="18" t="n"/>
      <c r="EM7" s="18" t="n"/>
      <c r="EN7" s="18" t="n"/>
      <c r="EO7" s="18" t="n"/>
      <c r="EP7" s="18" t="n"/>
      <c r="EQ7" s="18" t="n"/>
      <c r="ER7" s="18" t="n"/>
      <c r="ES7" s="18" t="n"/>
      <c r="ET7" s="18" t="n"/>
      <c r="EU7" s="18" t="n"/>
      <c r="EV7" s="18" t="n"/>
      <c r="EW7" s="18" t="n"/>
      <c r="EX7" s="18" t="n"/>
      <c r="EY7" s="18" t="n"/>
      <c r="EZ7" s="18" t="n"/>
      <c r="FA7" s="18" t="n"/>
      <c r="FB7" s="18" t="n"/>
      <c r="FC7" s="18" t="n"/>
      <c r="FD7" s="18" t="n"/>
      <c r="FE7" s="18" t="n"/>
      <c r="FF7" s="18" t="n"/>
      <c r="FG7" s="18" t="n"/>
      <c r="FH7" s="18" t="n"/>
      <c r="FI7" s="18" t="n"/>
      <c r="FJ7" s="18" t="n"/>
      <c r="FK7" s="18" t="n"/>
      <c r="FL7" s="18" t="n"/>
      <c r="FM7" s="18" t="n"/>
      <c r="FN7" s="18" t="n"/>
      <c r="FO7" s="18" t="n"/>
      <c r="FP7" s="18" t="n"/>
      <c r="FQ7" s="18" t="n"/>
      <c r="FR7" s="18" t="n"/>
      <c r="FS7" s="18" t="n"/>
      <c r="FT7" s="18" t="n"/>
      <c r="FU7" s="18" t="n"/>
      <c r="FV7" s="18" t="n"/>
      <c r="FW7" s="18" t="n"/>
      <c r="FX7" s="18" t="n"/>
      <c r="FY7" s="18" t="n"/>
      <c r="FZ7" s="18" t="n"/>
      <c r="GA7" s="18" t="n"/>
      <c r="GB7" s="18" t="n"/>
      <c r="GC7" s="18" t="n"/>
      <c r="GD7" s="18" t="n"/>
      <c r="GE7" s="18" t="n"/>
      <c r="GF7" s="18" t="n"/>
      <c r="GG7" s="18" t="n"/>
      <c r="GH7" s="18" t="n"/>
      <c r="GI7" s="18" t="n"/>
      <c r="GJ7" s="18" t="n"/>
      <c r="GK7" s="18" t="n"/>
      <c r="GL7" s="18" t="n"/>
      <c r="GM7" s="18" t="n"/>
      <c r="GN7" s="18" t="n"/>
      <c r="GO7" s="18" t="n"/>
      <c r="GP7" s="18" t="n"/>
      <c r="GQ7" s="18" t="n"/>
    </row>
    <row r="8" ht="52.05" customHeight="1" s="88">
      <c r="A8" s="19" t="inlineStr">
        <is>
          <t>9000</t>
        </is>
      </c>
      <c r="B8" s="19" t="inlineStr">
        <is>
          <t>9000-3</t>
        </is>
      </c>
      <c r="C8" s="19" t="inlineStr">
        <is>
          <t>지장물이설</t>
        </is>
      </c>
      <c r="D8" s="19" t="inlineStr">
        <is>
          <t>9000-3-7</t>
        </is>
      </c>
      <c r="E8" s="95" t="inlineStr">
        <is>
          <t>9000-3-5</t>
        </is>
      </c>
      <c r="F8" s="95" t="inlineStr">
        <is>
          <t>9000-3-9, 9000-3-10</t>
        </is>
      </c>
      <c r="G8" s="23" t="inlineStr">
        <is>
          <t>최고의 팀 만들기 지원</t>
        </is>
      </c>
      <c r="H8" s="21" t="inlineStr">
        <is>
          <t>P+20</t>
        </is>
      </c>
      <c r="I8" s="21" t="inlineStr">
        <is>
          <t>외주관리팀</t>
        </is>
      </c>
      <c r="J8" s="24" t="inlineStr">
        <is>
          <t>본 과업은 지장물 이설 공사 관련 시공사, 감리단, 유관 점용기관 간 전담 기술 조직을 배치하고 수시 협의 체계를 마련하여, 현장 돌발 간섭 및 인허가 지연 이슈를 신속히 해결하고 안전 공정을 준수하는 것을 목적으로 함.</t>
        </is>
      </c>
      <c r="K8" s="24" t="inlineStr">
        <is>
          <t>1) 지장물 전담 기술자 1:1 배치 ➔ 2) 3자 주간 소통 회의 개최 ➔ 3) 근로자 환경 개선 &amp; TBM ➔ 4) One-Team 조직표 감리 서면 승인</t>
        </is>
      </c>
      <c r="L8" s="24" t="inlineStr">
        <is>
          <t>지장물 전담 기술자 1:1 현장 배치, 발주·감리·시공 3자 주간 소통 회의 및 일일 TBM/음주 측정(0.00%)</t>
        </is>
      </c>
      <c r="M8" s="24" t="inlineStr">
        <is>
          <t>본 과업은 지장물 이설 공사 관련 시공사, 감리단, 유관 점용기관 간 전담 기술 조직을 배치하고 수시 협의 체계를 마련하여, 현장 돌발 간섭 및 인허가 지연 이슈를 신속히 해결하고 안전 공정을 준수하는 것을 목적으로 함.</t>
        </is>
      </c>
      <c r="N8" s="25">
        <f>HYPERLINK(LEFT(CELL("filename",A1),FIND("[",CELL("filename",A1))-1)&amp;"3.지장물이설\5_지장물 조사 (위탁기관 합동)\표준서\5_지장물 조사 (위탁기관 합동)_표준서.html", "👉 [클릭] 표준서 열기 📄")</f>
        <v/>
      </c>
      <c r="O8" s="24" t="inlineStr">
        <is>
          <t>1) 지장물 전담 기술자 1:1 배치 ➔ 2) 3자 주간 소통 회의 개최 ➔ 3) 근로자 환경 개선 &amp; TBM ➔ 4) One-Team 조직표 감리 서면 승인</t>
        </is>
      </c>
      <c r="P8" s="26">
        <f>HYPERLINK(LEFT(CELL("filename",A1),FIND("[",CELL("filename",A1))-1)&amp;"3.지장물이설\5_지장물 조사 (위탁기관 합동)\수행지침\5_지장물 조사 (위탁기관 합동)_수행지침.html", "👉 [클릭] 수행지침 열기 📄")</f>
        <v/>
      </c>
      <c r="Q8" s="24" t="inlineStr">
        <is>
          <t>지장물 전담 기술자 1:1 현장 배치, 발주·감리·시공 3자 주간 소통 회의 및 일일 TBM/음주 측정(0.00%)</t>
        </is>
      </c>
      <c r="R8" s="27">
        <f>HYPERLINK(LEFT(CELL("filename",A1),FIND("[",CELL("filename",A1))-1)&amp;"3.지장물이설\5_지장물 조사 (위탁기관 합동)\체크리스트\5_지장물 조사 (위탁기관 합동)_체크리스트.html", "👉 [클릭] 체크리스트 열기 📄")</f>
        <v/>
      </c>
      <c r="S8" s="21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8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  <c r="EN8" s="18" t="n"/>
      <c r="EO8" s="18" t="n"/>
      <c r="EP8" s="18" t="n"/>
      <c r="EQ8" s="18" t="n"/>
      <c r="ER8" s="18" t="n"/>
      <c r="ES8" s="18" t="n"/>
      <c r="ET8" s="18" t="n"/>
      <c r="EU8" s="18" t="n"/>
      <c r="EV8" s="18" t="n"/>
      <c r="EW8" s="18" t="n"/>
      <c r="EX8" s="18" t="n"/>
      <c r="EY8" s="18" t="n"/>
      <c r="EZ8" s="18" t="n"/>
      <c r="FA8" s="18" t="n"/>
      <c r="FB8" s="18" t="n"/>
      <c r="FC8" s="18" t="n"/>
      <c r="FD8" s="18" t="n"/>
      <c r="FE8" s="18" t="n"/>
      <c r="FF8" s="18" t="n"/>
      <c r="FG8" s="18" t="n"/>
      <c r="FH8" s="18" t="n"/>
      <c r="FI8" s="18" t="n"/>
      <c r="FJ8" s="18" t="n"/>
      <c r="FK8" s="18" t="n"/>
      <c r="FL8" s="18" t="n"/>
      <c r="FM8" s="18" t="n"/>
      <c r="FN8" s="18" t="n"/>
      <c r="FO8" s="18" t="n"/>
      <c r="FP8" s="18" t="n"/>
      <c r="FQ8" s="18" t="n"/>
      <c r="FR8" s="18" t="n"/>
      <c r="FS8" s="18" t="n"/>
      <c r="FT8" s="18" t="n"/>
      <c r="FU8" s="18" t="n"/>
      <c r="FV8" s="18" t="n"/>
      <c r="FW8" s="18" t="n"/>
      <c r="FX8" s="18" t="n"/>
      <c r="FY8" s="18" t="n"/>
      <c r="FZ8" s="18" t="n"/>
      <c r="GA8" s="18" t="n"/>
      <c r="GB8" s="18" t="n"/>
      <c r="GC8" s="18" t="n"/>
      <c r="GD8" s="18" t="n"/>
      <c r="GE8" s="18" t="n"/>
      <c r="GF8" s="18" t="n"/>
      <c r="GG8" s="18" t="n"/>
      <c r="GH8" s="18" t="n"/>
      <c r="GI8" s="18" t="n"/>
      <c r="GJ8" s="18" t="n"/>
      <c r="GK8" s="18" t="n"/>
      <c r="GL8" s="18" t="n"/>
      <c r="GM8" s="18" t="n"/>
      <c r="GN8" s="18" t="n"/>
      <c r="GO8" s="18" t="n"/>
      <c r="GP8" s="18" t="n"/>
      <c r="GQ8" s="18" t="n"/>
      <c r="GR8" s="18" t="n"/>
      <c r="GS8" s="18" t="n"/>
      <c r="GT8" s="18" t="n"/>
      <c r="GU8" s="18" t="n"/>
    </row>
    <row r="9" ht="52.05" customHeight="1" s="88">
      <c r="A9" s="29" t="inlineStr">
        <is>
          <t>9000</t>
        </is>
      </c>
      <c r="B9" s="29" t="inlineStr">
        <is>
          <t>9000-3</t>
        </is>
      </c>
      <c r="C9" s="29" t="inlineStr">
        <is>
          <t>지장물이설</t>
        </is>
      </c>
      <c r="D9" s="29" t="inlineStr">
        <is>
          <t>9000-3-8</t>
        </is>
      </c>
      <c r="E9" s="102" t="inlineStr">
        <is>
          <t>9000-3-5, 9000-3-6</t>
        </is>
      </c>
      <c r="F9" s="102" t="inlineStr">
        <is>
          <t>9000-3-11</t>
        </is>
      </c>
      <c r="G9" s="32" t="inlineStr">
        <is>
          <t>착수전 Big Room 회의</t>
        </is>
      </c>
      <c r="H9" s="33" t="inlineStr">
        <is>
          <t>D-60</t>
        </is>
      </c>
      <c r="I9" s="33" t="inlineStr">
        <is>
          <t>현장소장</t>
        </is>
      </c>
      <c r="J9" s="34" t="inlineStr">
        <is>
          <t>본 과업은 지장물 이설 착수 전 발주처, 감리단, 관할 지자체, 점용기관, 시공사 합동으로 3D BIM 기반 Big Room 회의를 개최하여, 공정 마일스톤 연동 및 시공 위험 요소를 사전에 상호 검증·확정하는 것을 목적으로 함.</t>
        </is>
      </c>
      <c r="K9" s="34" t="inlineStr">
        <is>
          <t>1) 4자(발주·감리·지자체·시공) 빅룸 결성 ➔ 2) 지장물 이설 마일스톤 연동 ➔ 3) 간섭 리스크 즉시 해소 ➔ 4) 빅룸 회의록 4자 서명 완수</t>
        </is>
      </c>
      <c r="L9" s="34" t="inlineStr">
        <is>
          <t>4자(발주·감리·지자체·시공) 빅룸 회의 결성, 지장물 간섭 Zero 및 마일스톤 연동 회의록 서명</t>
        </is>
      </c>
      <c r="M9" s="34" t="inlineStr">
        <is>
          <t>본 과업은 지장물 이설 착수 전 발주처, 감리단, 관할 지자체, 점용기관, 시공사 합동으로 3D BIM 기반 Big Room 회의를 개최하여, 공정 마일스톤 연동 및 시공 위험 요소를 사전에 상호 검증·확정하는 것을 목적으로 함.</t>
        </is>
      </c>
      <c r="N9" s="35">
        <f>HYPERLINK(LEFT(CELL("filename",A1),FIND("[",CELL("filename",A1))-1)&amp;"3.지장물이설\5_착수전 Big Room 회의\표준서\착수전 Big Room 회의_표준서.html", "👉 [클릭] 표준서 열기 📄")</f>
        <v/>
      </c>
      <c r="O9" s="34" t="inlineStr">
        <is>
          <t>1) 4자(발주·감리·지자체·시공) 빅룸 결성 ➔ 2) 지장물 이설 마일스톤 연동 ➔ 3) 간섭 리스크 즉시 해소 ➔ 4) 빅룸 회의록 4자 서명 완수</t>
        </is>
      </c>
      <c r="P9" s="36">
        <f>HYPERLINK(LEFT(CELL("filename",A1),FIND("[",CELL("filename",A1))-1)&amp;"3.지장물이설\5_착수전 Big Room 회의\수행지침\수행지침.html", "👉 [클릭] 수행지침 열기 📄")</f>
        <v/>
      </c>
      <c r="Q9" s="34" t="inlineStr">
        <is>
          <t>4자(발주·감리·지자체·시공) 빅룸 회의 결성, 지장물 간섭 Zero 및 마일스톤 연동 회의록 서명</t>
        </is>
      </c>
      <c r="R9" s="37">
        <f>HYPERLINK(LEFT(CELL("filename",A1),FIND("[",CELL("filename",A1))-1)&amp;"3.지장물이설\5_착수전 Big Room 회의\체크리스트\착수전 Big Room 회의_체크리스트.html", "👉 [클릭] 체크리스트 열기 📄")</f>
        <v/>
      </c>
      <c r="S9" s="33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8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  <c r="ER9" s="18" t="n"/>
      <c r="ES9" s="18" t="n"/>
      <c r="ET9" s="18" t="n"/>
      <c r="EU9" s="18" t="n"/>
      <c r="EV9" s="18" t="n"/>
      <c r="EW9" s="18" t="n"/>
      <c r="EX9" s="18" t="n"/>
      <c r="EY9" s="18" t="n"/>
      <c r="EZ9" s="18" t="n"/>
      <c r="FA9" s="18" t="n"/>
      <c r="FB9" s="18" t="n"/>
      <c r="FC9" s="18" t="n"/>
      <c r="FD9" s="18" t="n"/>
      <c r="FE9" s="18" t="n"/>
      <c r="FF9" s="18" t="n"/>
      <c r="FG9" s="18" t="n"/>
      <c r="FH9" s="18" t="n"/>
      <c r="FI9" s="18" t="n"/>
      <c r="FJ9" s="18" t="n"/>
      <c r="FK9" s="18" t="n"/>
      <c r="FL9" s="18" t="n"/>
      <c r="FM9" s="18" t="n"/>
      <c r="FN9" s="18" t="n"/>
      <c r="FO9" s="18" t="n"/>
      <c r="FP9" s="18" t="n"/>
      <c r="FQ9" s="18" t="n"/>
      <c r="FR9" s="18" t="n"/>
      <c r="FS9" s="18" t="n"/>
      <c r="FT9" s="18" t="n"/>
      <c r="FU9" s="18" t="n"/>
      <c r="FV9" s="18" t="n"/>
      <c r="FW9" s="18" t="n"/>
      <c r="FX9" s="18" t="n"/>
      <c r="FY9" s="18" t="n"/>
      <c r="FZ9" s="18" t="n"/>
      <c r="GA9" s="18" t="n"/>
      <c r="GB9" s="18" t="n"/>
      <c r="GC9" s="18" t="n"/>
      <c r="GD9" s="18" t="n"/>
      <c r="GE9" s="18" t="n"/>
      <c r="GF9" s="18" t="n"/>
      <c r="GG9" s="18" t="n"/>
      <c r="GH9" s="18" t="n"/>
      <c r="GI9" s="18" t="n"/>
      <c r="GJ9" s="18" t="n"/>
      <c r="GK9" s="18" t="n"/>
      <c r="GL9" s="18" t="n"/>
      <c r="GM9" s="18" t="n"/>
      <c r="GN9" s="18" t="n"/>
      <c r="GO9" s="18" t="n"/>
      <c r="GP9" s="18" t="n"/>
      <c r="GQ9" s="18" t="n"/>
      <c r="GR9" s="18" t="n"/>
      <c r="GS9" s="18" t="n"/>
      <c r="GT9" s="18" t="n"/>
      <c r="GU9" s="18" t="n"/>
      <c r="GV9" s="18" t="n"/>
      <c r="GW9" s="18" t="n"/>
      <c r="GX9" s="18" t="n"/>
      <c r="GY9" s="18" t="n"/>
    </row>
    <row r="10" ht="52.05" customHeight="1" s="88">
      <c r="A10" s="19" t="inlineStr">
        <is>
          <t>9000</t>
        </is>
      </c>
      <c r="B10" s="19" t="inlineStr">
        <is>
          <t>9000-3</t>
        </is>
      </c>
      <c r="C10" s="19" t="inlineStr">
        <is>
          <t>지장물이설</t>
        </is>
      </c>
      <c r="D10" s="19" t="inlineStr">
        <is>
          <t>9000-3-9</t>
        </is>
      </c>
      <c r="E10" s="95" t="inlineStr">
        <is>
          <t>9000-3-7</t>
        </is>
      </c>
      <c r="F10" s="95" t="inlineStr">
        <is>
          <t>9000-3-12, 9000-3-13</t>
        </is>
      </c>
      <c r="G10" s="23" t="inlineStr">
        <is>
          <t>인허가 절차 진행</t>
        </is>
      </c>
      <c r="H10" s="21" t="inlineStr">
        <is>
          <t>D-50</t>
        </is>
      </c>
      <c r="I10" s="21" t="inlineStr">
        <is>
          <t>현장 공무팀</t>
        </is>
      </c>
      <c r="J10" s="24" t="inlineStr">
        <is>
          <t>본 과업은 도로법, 하천법 등 관련 법령에 의거하여 지자체 및 관할 관청에 도로점용, 하천점용 등 법정 인허가 신청 도서를 작성·접수하고 정식 인허가 필증을 수속하여 법적 공사 착수 여건을 완비하는 것을 목적으로 함.</t>
        </is>
      </c>
      <c r="K10" s="24" t="inlineStr">
        <is>
          <t>1) 지자체 도로/하천점용 허가서 작성 ➔ 2) 관련 부서 서류 제출 &amp; 심의 ➔ 3) 보증보험 증권 부착 ➔ 4) 법정 인허가 필증 감리 수속</t>
        </is>
      </c>
      <c r="L10" s="24" t="inlineStr">
        <is>
          <t>지자체 도로점용 허가 &amp; 하천점용 허가서 수속, 보증보험 증권 제출 및 법정 인허가 필증 검수</t>
        </is>
      </c>
      <c r="M10" s="24" t="inlineStr">
        <is>
          <t>본 과업은 도로법, 하천법 등 관련 법령에 의거하여 지자체 및 관할 관청에 도로점용, 하천점용 등 법정 인허가 신청 도서를 작성·접수하고 정식 인허가 필증을 수속하여 법적 공사 착수 여건을 완비하는 것을 목적으로 함.</t>
        </is>
      </c>
      <c r="N10" s="25">
        <f>HYPERLINK(LEFT(CELL("filename",A1),FIND("[",CELL("filename",A1))-1)&amp;"3.지장물이설\6_관리기관(맑은물사업소) 협의\표준서\관리기관(맑은물사업소) 협의_표준서.html", "👉 [클릭] 표준서 열기 📄")</f>
        <v/>
      </c>
      <c r="O10" s="24" t="inlineStr">
        <is>
          <t>1) 지자체 도로/하천점용 허가서 작성 ➔ 2) 관련 부서 서류 제출 &amp; 심의 ➔ 3) 보증보험 증권 부착 ➔ 4) 법정 인허가 필증 감리 수속</t>
        </is>
      </c>
      <c r="P10" s="26">
        <f>HYPERLINK(LEFT(CELL("filename",A1),FIND("[",CELL("filename",A1))-1)&amp;"3.지장물이설\6_관리기관(맑은물사업소) 협의\수행지침\관리기관(맑은물사업소) 협의_수행지침.html", "👉 [클릭] 수행지침 열기 📄")</f>
        <v/>
      </c>
      <c r="Q10" s="24" t="inlineStr">
        <is>
          <t>지자체 도로점용 허가 &amp; 하천점용 허가서 수속, 보증보험 증권 제출 및 법정 인허가 필증 검수</t>
        </is>
      </c>
      <c r="R10" s="27">
        <f>HYPERLINK(LEFT(CELL("filename",A1),FIND("[",CELL("filename",A1))-1)&amp;"3.지장물이설\6_관리기관(맑은물사업소) 협의\체크리스트\관리기관(맑은물사업소) 협의_체크리스트.html", "👉 [클릭] 체크리스트 열기 📄")</f>
        <v/>
      </c>
      <c r="S10" s="21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8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  <c r="EV10" s="18" t="n"/>
      <c r="EW10" s="18" t="n"/>
      <c r="EX10" s="18" t="n"/>
      <c r="EY10" s="18" t="n"/>
      <c r="EZ10" s="18" t="n"/>
      <c r="FA10" s="18" t="n"/>
      <c r="FB10" s="18" t="n"/>
      <c r="FC10" s="18" t="n"/>
      <c r="FD10" s="18" t="n"/>
      <c r="FE10" s="18" t="n"/>
      <c r="FF10" s="18" t="n"/>
      <c r="FG10" s="18" t="n"/>
      <c r="FH10" s="18" t="n"/>
      <c r="FI10" s="18" t="n"/>
      <c r="FJ10" s="18" t="n"/>
      <c r="FK10" s="18" t="n"/>
      <c r="FL10" s="18" t="n"/>
      <c r="FM10" s="18" t="n"/>
      <c r="FN10" s="18" t="n"/>
      <c r="FO10" s="18" t="n"/>
      <c r="FP10" s="18" t="n"/>
      <c r="FQ10" s="18" t="n"/>
      <c r="FR10" s="18" t="n"/>
      <c r="FS10" s="18" t="n"/>
      <c r="FT10" s="18" t="n"/>
      <c r="FU10" s="18" t="n"/>
      <c r="FV10" s="18" t="n"/>
      <c r="FW10" s="18" t="n"/>
      <c r="FX10" s="18" t="n"/>
      <c r="FY10" s="18" t="n"/>
      <c r="FZ10" s="18" t="n"/>
      <c r="GA10" s="18" t="n"/>
      <c r="GB10" s="18" t="n"/>
      <c r="GC10" s="18" t="n"/>
      <c r="GD10" s="18" t="n"/>
      <c r="GE10" s="18" t="n"/>
      <c r="GF10" s="18" t="n"/>
      <c r="GG10" s="18" t="n"/>
      <c r="GH10" s="18" t="n"/>
      <c r="GI10" s="18" t="n"/>
      <c r="GJ10" s="18" t="n"/>
      <c r="GK10" s="18" t="n"/>
      <c r="GL10" s="18" t="n"/>
      <c r="GM10" s="18" t="n"/>
      <c r="GN10" s="18" t="n"/>
      <c r="GO10" s="18" t="n"/>
      <c r="GP10" s="18" t="n"/>
      <c r="GQ10" s="18" t="n"/>
      <c r="GR10" s="18" t="n"/>
      <c r="GS10" s="18" t="n"/>
      <c r="GT10" s="18" t="n"/>
      <c r="GU10" s="18" t="n"/>
      <c r="GV10" s="18" t="n"/>
      <c r="GW10" s="18" t="n"/>
      <c r="GX10" s="18" t="n"/>
      <c r="GY10" s="18" t="n"/>
      <c r="GZ10" s="18" t="n"/>
      <c r="HA10" s="18" t="n"/>
      <c r="HB10" s="18" t="n"/>
      <c r="HC10" s="18" t="n"/>
    </row>
    <row r="11" ht="52.05" customHeight="1" s="88">
      <c r="A11" s="29" t="inlineStr">
        <is>
          <t>9000</t>
        </is>
      </c>
      <c r="B11" s="29" t="inlineStr">
        <is>
          <t>9000-3</t>
        </is>
      </c>
      <c r="C11" s="29" t="inlineStr">
        <is>
          <t>지장물이설</t>
        </is>
      </c>
      <c r="D11" s="29" t="inlineStr">
        <is>
          <t>9000-3-10</t>
        </is>
      </c>
      <c r="E11" s="102" t="inlineStr">
        <is>
          <t>9000-3-7</t>
        </is>
      </c>
      <c r="F11" s="102" t="inlineStr">
        <is>
          <t>9000-3-14</t>
        </is>
      </c>
      <c r="G11" s="32" t="inlineStr">
        <is>
          <t>교통처리대책 협의 및 승인</t>
        </is>
      </c>
      <c r="H11" s="33" t="inlineStr">
        <is>
          <t>D-45</t>
        </is>
      </c>
      <c r="I11" s="33" t="inlineStr">
        <is>
          <t>현장 공무팀/안전팀</t>
        </is>
      </c>
      <c r="J11" s="34" t="inlineStr">
        <is>
          <t>본 과업은 도로 굴착 및 지장물 이설 공사 중 통행 불편 및 교통 사고를 예방하기 위해, 관할 경찰서 교통안전 심의를 거쳐 우회 차선 확보, LED 신호 가설물 배치, 전담 신호수 운용 대책을 정식 승인받는 것을 목적으로 함.</t>
        </is>
      </c>
      <c r="K11" s="34" t="inlineStr">
        <is>
          <t>1) 교통 우회 도면 &amp; 차선 설계 ➔ 2) 동탄경찰서 도로점용 허가 ➔ 3) 전담 신호수(2인 2조) 배치 ➔ 4) 교통소통 대책서 감리 서면 승인</t>
        </is>
      </c>
      <c r="L11" s="34" t="inlineStr">
        <is>
          <t>동탄경찰서 도로점용 허가, 우회 차선 설계 및 전담 안전 신호수(2인 2조)/LED 경광등 배치</t>
        </is>
      </c>
      <c r="M11" s="34" t="inlineStr">
        <is>
          <t>본 과업은 도로 굴착 및 지장물 이설 공사 중 통행 불편 및 교통 사고를 예방하기 위해, 관할 경찰서 교통안전 심의를 거쳐 우회 차선 확보, LED 신호 가설물 배치, 전담 신호수 운용 대책을 정식 승인받는 것을 목적으로 함.</t>
        </is>
      </c>
      <c r="N11" s="35">
        <f>HYPERLINK(LEFT(CELL("filename",A1),FIND("[",CELL("filename",A1))-1)&amp;"3.지장물이설\6_지장물 이설 계획 수립\표준서\지장물 이설 계획 수립_표준서.html", "👉 [클릭] 표준서 열기 📄")</f>
        <v/>
      </c>
      <c r="O11" s="34" t="inlineStr">
        <is>
          <t>1) 교통 우회 도면 &amp; 차선 설계 ➔ 2) 동탄경찰서 도로점용 허가 ➔ 3) 전담 신호수(2인 2조) 배치 ➔ 4) 교통소통 대책서 감리 서면 승인</t>
        </is>
      </c>
      <c r="P11" s="36">
        <f>HYPERLINK(LEFT(CELL("filename",A1),FIND("[",CELL("filename",A1))-1)&amp;"3.지장물이설\6_지장물 이설 계획 수립\수행지침\수행지침.html", "👉 [클릭] 수행지침 열기 📄")</f>
        <v/>
      </c>
      <c r="Q11" s="34" t="inlineStr">
        <is>
          <t>동탄경찰서 도로점용 허가, 우회 차선 설계 및 전담 안전 신호수(2인 2조)/LED 경광등 배치</t>
        </is>
      </c>
      <c r="R11" s="37">
        <f>HYPERLINK(LEFT(CELL("filename",A1),FIND("[",CELL("filename",A1))-1)&amp;"3.지장물이설\6_지장물 이설 계획 수립\체크리스트\지장물 이설 계획 수립_체크리스트.html", "👉 [클릭] 체크리스트 열기 📄")</f>
        <v/>
      </c>
      <c r="S11" s="33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8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8" t="n"/>
      <c r="EY11" s="18" t="n"/>
      <c r="EZ11" s="18" t="n"/>
      <c r="FA11" s="18" t="n"/>
      <c r="FB11" s="18" t="n"/>
      <c r="FC11" s="18" t="n"/>
      <c r="FD11" s="18" t="n"/>
      <c r="FE11" s="18" t="n"/>
      <c r="FF11" s="18" t="n"/>
      <c r="FG11" s="18" t="n"/>
      <c r="FH11" s="18" t="n"/>
      <c r="FI11" s="18" t="n"/>
      <c r="FJ11" s="18" t="n"/>
      <c r="FK11" s="18" t="n"/>
      <c r="FL11" s="18" t="n"/>
      <c r="FM11" s="18" t="n"/>
      <c r="FN11" s="18" t="n"/>
      <c r="FO11" s="18" t="n"/>
      <c r="FP11" s="18" t="n"/>
      <c r="FQ11" s="18" t="n"/>
      <c r="FR11" s="18" t="n"/>
      <c r="FS11" s="18" t="n"/>
      <c r="FT11" s="18" t="n"/>
      <c r="FU11" s="18" t="n"/>
      <c r="FV11" s="18" t="n"/>
      <c r="FW11" s="18" t="n"/>
      <c r="FX11" s="18" t="n"/>
      <c r="FY11" s="18" t="n"/>
      <c r="FZ11" s="18" t="n"/>
      <c r="GA11" s="18" t="n"/>
      <c r="GB11" s="18" t="n"/>
      <c r="GC11" s="18" t="n"/>
      <c r="GD11" s="18" t="n"/>
      <c r="GE11" s="18" t="n"/>
      <c r="GF11" s="18" t="n"/>
      <c r="GG11" s="18" t="n"/>
      <c r="GH11" s="18" t="n"/>
      <c r="GI11" s="18" t="n"/>
      <c r="GJ11" s="18" t="n"/>
      <c r="GK11" s="18" t="n"/>
      <c r="GL11" s="18" t="n"/>
      <c r="GM11" s="18" t="n"/>
      <c r="GN11" s="18" t="n"/>
      <c r="GO11" s="18" t="n"/>
      <c r="GP11" s="18" t="n"/>
      <c r="GQ11" s="18" t="n"/>
      <c r="GR11" s="18" t="n"/>
      <c r="GS11" s="18" t="n"/>
      <c r="GT11" s="18" t="n"/>
      <c r="GU11" s="18" t="n"/>
      <c r="GV11" s="18" t="n"/>
      <c r="GW11" s="18" t="n"/>
      <c r="GX11" s="18" t="n"/>
      <c r="GY11" s="18" t="n"/>
      <c r="GZ11" s="18" t="n"/>
      <c r="HA11" s="18" t="n"/>
      <c r="HB11" s="18" t="n"/>
      <c r="HC11" s="18" t="n"/>
      <c r="HD11" s="18" t="n"/>
      <c r="HE11" s="18" t="n"/>
      <c r="HF11" s="18" t="n"/>
      <c r="HG11" s="18" t="n"/>
    </row>
    <row r="12" ht="52.05" customHeight="1" s="88">
      <c r="A12" s="19" t="inlineStr">
        <is>
          <t>9000</t>
        </is>
      </c>
      <c r="B12" s="19" t="inlineStr">
        <is>
          <t>9000-3</t>
        </is>
      </c>
      <c r="C12" s="19" t="inlineStr">
        <is>
          <t>지장물이설</t>
        </is>
      </c>
      <c r="D12" s="19" t="inlineStr">
        <is>
          <t>9000-3-11</t>
        </is>
      </c>
      <c r="E12" s="95" t="inlineStr">
        <is>
          <t>9000-3-8</t>
        </is>
      </c>
      <c r="F12" s="95" t="inlineStr">
        <is>
          <t>9000-3-13, 9000-3-15</t>
        </is>
      </c>
      <c r="G12" s="23" t="inlineStr">
        <is>
          <t>민원 저감 대책 수립</t>
        </is>
      </c>
      <c r="H12" s="21" t="inlineStr">
        <is>
          <t>D-40</t>
        </is>
      </c>
      <c r="I12" s="21" t="inlineStr">
        <is>
          <t>현장 공무팀/민원팀</t>
        </is>
      </c>
      <c r="J12" s="24" t="inlineStr">
        <is>
          <t>본 과업은 야간 굴착 및 관로 접속 공사에 따른 단수·단전, 소음·진동 민원을 예방하기 위해, 사전 안내 방송, 방음벽 설치, 세륜기 가동 및 전담 민원 대응반을 운용하여 주민 불편을 최소화하는 것을 목적으로 함.</t>
        </is>
      </c>
      <c r="K12" s="24" t="inlineStr">
        <is>
          <t>1) 야간 공사 소음 방음벽(H=3m) 설치 ➔ 2) 세륜기 가동 &amp; 분무 살수 ➔ 3) 단수/단전 사전 주민 공지 ➔ 4) 민원 대응반 서면 승인</t>
        </is>
      </c>
      <c r="L12" s="24" t="inlineStr">
        <is>
          <t>야간 공사 소음 방음벽(H=3m) 가동, 이동식 세륜기(깊이 1.2m) 가동 및 단수 사전 주민 알림</t>
        </is>
      </c>
      <c r="M12" s="24" t="inlineStr">
        <is>
          <t>본 과업은 야간 굴착 및 관로 접속 공사에 따른 단수·단전, 소음·진동 민원을 예방하기 위해, 사전 안내 방송, 방음벽 설치, 세륜기 가동 및 전담 민원 대응반을 운용하여 주민 불편을 최소화하는 것을 목적으로 함.</t>
        </is>
      </c>
      <c r="N12" s="25">
        <f>HYPERLINK(LEFT(CELL("filename",A1),FIND("[",CELL("filename",A1))-1)&amp;"3.지장물이설\7_위수탁 지장물 이설 설계\표준서\위수탁 지장물 이설 설계_표준서.html", "👉 [클릭] 표준서 열기 📄")</f>
        <v/>
      </c>
      <c r="O12" s="24" t="inlineStr">
        <is>
          <t>1) 야간 공사 소음 방음벽(H=3m) 설치 ➔ 2) 세륜기 가동 &amp; 분무 살수 ➔ 3) 단수/단전 사전 주민 공지 ➔ 4) 민원 대응반 서면 승인</t>
        </is>
      </c>
      <c r="P12" s="26">
        <f>HYPERLINK(LEFT(CELL("filename",A1),FIND("[",CELL("filename",A1))-1)&amp;"3.지장물이설\7_위수탁 지장물 이설 설계\수행지침\수행지침.html", "👉 [클릭] 수행지침 열기 📄")</f>
        <v/>
      </c>
      <c r="Q12" s="24" t="inlineStr">
        <is>
          <t>야간 공사 소음 방음벽(H=3m) 가동, 이동식 세륜기(깊이 1.2m) 가동 및 단수 사전 주민 알림</t>
        </is>
      </c>
      <c r="R12" s="27">
        <f>HYPERLINK(LEFT(CELL("filename",A1),FIND("[",CELL("filename",A1))-1)&amp;"3.지장물이설\7_위수탁 지장물 이설 설계\체크리스트\위수탁 지장물 이설 설계_체크리스트.html", "👉 [클릭] 체크리스트 열기 📄")</f>
        <v/>
      </c>
      <c r="S12" s="2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8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8" t="n"/>
      <c r="EY12" s="18" t="n"/>
      <c r="EZ12" s="18" t="n"/>
      <c r="FA12" s="18" t="n"/>
      <c r="FB12" s="18" t="n"/>
      <c r="FC12" s="18" t="n"/>
      <c r="FD12" s="18" t="n"/>
      <c r="FE12" s="18" t="n"/>
      <c r="FF12" s="18" t="n"/>
      <c r="FG12" s="18" t="n"/>
      <c r="FH12" s="18" t="n"/>
      <c r="FI12" s="18" t="n"/>
      <c r="FJ12" s="18" t="n"/>
      <c r="FK12" s="18" t="n"/>
      <c r="FL12" s="18" t="n"/>
      <c r="FM12" s="18" t="n"/>
      <c r="FN12" s="18" t="n"/>
      <c r="FO12" s="18" t="n"/>
      <c r="FP12" s="18" t="n"/>
      <c r="FQ12" s="18" t="n"/>
      <c r="FR12" s="18" t="n"/>
      <c r="FS12" s="18" t="n"/>
      <c r="FT12" s="18" t="n"/>
      <c r="FU12" s="18" t="n"/>
      <c r="FV12" s="18" t="n"/>
      <c r="FW12" s="18" t="n"/>
      <c r="FX12" s="18" t="n"/>
      <c r="FY12" s="18" t="n"/>
      <c r="FZ12" s="18" t="n"/>
      <c r="GA12" s="18" t="n"/>
      <c r="GB12" s="18" t="n"/>
      <c r="GC12" s="18" t="n"/>
      <c r="GD12" s="18" t="n"/>
      <c r="GE12" s="18" t="n"/>
      <c r="GF12" s="18" t="n"/>
      <c r="GG12" s="18" t="n"/>
      <c r="GH12" s="18" t="n"/>
      <c r="GI12" s="18" t="n"/>
      <c r="GJ12" s="18" t="n"/>
      <c r="GK12" s="18" t="n"/>
      <c r="GL12" s="18" t="n"/>
      <c r="GM12" s="18" t="n"/>
      <c r="GN12" s="18" t="n"/>
      <c r="GO12" s="18" t="n"/>
      <c r="GP12" s="18" t="n"/>
      <c r="GQ12" s="18" t="n"/>
      <c r="GR12" s="18" t="n"/>
      <c r="GS12" s="18" t="n"/>
      <c r="GT12" s="18" t="n"/>
      <c r="GU12" s="18" t="n"/>
      <c r="GV12" s="18" t="n"/>
      <c r="GW12" s="18" t="n"/>
      <c r="GX12" s="18" t="n"/>
      <c r="GY12" s="18" t="n"/>
      <c r="GZ12" s="18" t="n"/>
      <c r="HA12" s="18" t="n"/>
      <c r="HB12" s="18" t="n"/>
      <c r="HC12" s="18" t="n"/>
      <c r="HD12" s="18" t="n"/>
      <c r="HE12" s="18" t="n"/>
      <c r="HF12" s="18" t="n"/>
      <c r="HG12" s="18" t="n"/>
      <c r="HH12" s="18" t="n"/>
      <c r="HI12" s="18" t="n"/>
      <c r="HJ12" s="18" t="n"/>
      <c r="HK12" s="18" t="n"/>
    </row>
    <row r="13" ht="52.05" customHeight="1" s="88">
      <c r="A13" s="29" t="inlineStr">
        <is>
          <t>9000</t>
        </is>
      </c>
      <c r="B13" s="29" t="inlineStr">
        <is>
          <t>9000-3</t>
        </is>
      </c>
      <c r="C13" s="29" t="inlineStr">
        <is>
          <t>지장물이설</t>
        </is>
      </c>
      <c r="D13" s="29" t="inlineStr">
        <is>
          <t>9000-3-12</t>
        </is>
      </c>
      <c r="E13" s="102" t="inlineStr">
        <is>
          <t>9000-3-9</t>
        </is>
      </c>
      <c r="F13" s="102" t="inlineStr">
        <is>
          <t>9000-3-16</t>
        </is>
      </c>
      <c r="G13" s="32" t="inlineStr">
        <is>
          <t>용지보상 Risk 파악</t>
        </is>
      </c>
      <c r="H13" s="33" t="inlineStr">
        <is>
          <t>D-35</t>
        </is>
      </c>
      <c r="I13" s="33" t="inlineStr">
        <is>
          <t>현장 공무팀 / 토목계약관리팀</t>
        </is>
      </c>
      <c r="J13" s="34" t="inlineStr">
        <is>
          <t>본 과업은 지장물 이설 작업 부지 내 미보상 사유지나 국공유지 경계를 사전 실측하여, 무단 점용으로 인한 시공 중단 및 법적 분쟁 리스크를 원천 차단하고 우회 부지를 정비하는 것을 목적으로 함.</t>
        </is>
      </c>
      <c r="K13" s="34" t="inlineStr">
        <is>
          <t>1) 미보상 사유지 경계 현출 ➔ 2) 가설 펜스(H=1.8m) 차단 ➔ 3) 3D 우회 토공 동선 수립 ➔ 4) 용지 보상 리스크 대책 승인</t>
        </is>
      </c>
      <c r="L13" s="34" t="inlineStr">
        <is>
          <t>미보상 사유지 경계 현출, 가설 펜스(H=1.8m) 차단 및 3D 우회 토공 동선 마일스톤 연동</t>
        </is>
      </c>
      <c r="M13" s="34" t="inlineStr">
        <is>
          <t>본 과업은 지장물 이설 작업 부지 내 미보상 사유지나 국공유지 경계를 사전 실측하여, 무단 점용으로 인한 시공 중단 및 법적 분쟁 리스크를 원천 차단하고 우회 부지를 정비하는 것을 목적으로 함.</t>
        </is>
      </c>
      <c r="N13" s="35">
        <f>HYPERLINK(LEFT(CELL("filename",A1),FIND("[",CELL("filename",A1))-1)&amp;"3.지장물이설\7_최고의 팀 만들기 지원\표준서\7_최고의 팀 만들기 지원_표준서.html", "👉 [클릭] 표준서 열기 📄")</f>
        <v/>
      </c>
      <c r="O13" s="34" t="inlineStr">
        <is>
          <t>1) 미보상 사유지 경계 현출 ➔ 2) 가설 펜스(H=1.8m) 차단 ➔ 3) 3D 우회 토공 동선 수립 ➔ 4) 용지 보상 리스크 대책 승인</t>
        </is>
      </c>
      <c r="P13" s="36">
        <f>HYPERLINK(LEFT(CELL("filename",A1),FIND("[",CELL("filename",A1))-1)&amp;"3.지장물이설\7_최고의 팀 만들기 지원\수행지침\7_최고의 팀 만들기 지원_수행지침.html", "👉 [클릭] 수행지침 열기 📄")</f>
        <v/>
      </c>
      <c r="Q13" s="34" t="inlineStr">
        <is>
          <t>미보상 사유지 경계 현출, 가설 펜스(H=1.8m) 차단 및 3D 우회 토공 동선 마일스톤 연동</t>
        </is>
      </c>
      <c r="R13" s="37">
        <f>HYPERLINK(LEFT(CELL("filename",A1),FIND("[",CELL("filename",A1))-1)&amp;"3.지장물이설\7_최고의 팀 만들기 지원\체크리스트\7_최고의 팀 만들기 지원_체크리스트.html", "👉 [클릭] 체크리스트 열기 📄")</f>
        <v/>
      </c>
      <c r="S13" s="33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Y13" s="18" t="n"/>
      <c r="DZ13" s="18" t="n"/>
      <c r="EA13" s="18" t="n"/>
      <c r="EB13" s="18" t="n"/>
      <c r="EC13" s="18" t="n"/>
      <c r="ED13" s="18" t="n"/>
      <c r="EE13" s="18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P13" s="18" t="n"/>
      <c r="EQ13" s="18" t="n"/>
      <c r="ER13" s="18" t="n"/>
      <c r="ES13" s="18" t="n"/>
      <c r="ET13" s="18" t="n"/>
      <c r="EU13" s="18" t="n"/>
      <c r="EV13" s="18" t="n"/>
      <c r="EW13" s="18" t="n"/>
      <c r="EX13" s="18" t="n"/>
      <c r="EY13" s="18" t="n"/>
      <c r="EZ13" s="18" t="n"/>
      <c r="FA13" s="18" t="n"/>
      <c r="FB13" s="18" t="n"/>
      <c r="FC13" s="18" t="n"/>
      <c r="FD13" s="18" t="n"/>
      <c r="FE13" s="18" t="n"/>
      <c r="FF13" s="18" t="n"/>
      <c r="FG13" s="18" t="n"/>
      <c r="FH13" s="18" t="n"/>
      <c r="FI13" s="18" t="n"/>
      <c r="FJ13" s="18" t="n"/>
      <c r="FK13" s="18" t="n"/>
      <c r="FL13" s="18" t="n"/>
      <c r="FM13" s="18" t="n"/>
      <c r="FN13" s="18" t="n"/>
      <c r="FO13" s="18" t="n"/>
      <c r="FP13" s="18" t="n"/>
      <c r="FQ13" s="18" t="n"/>
      <c r="FR13" s="18" t="n"/>
      <c r="FS13" s="18" t="n"/>
      <c r="FT13" s="18" t="n"/>
      <c r="FU13" s="18" t="n"/>
      <c r="FV13" s="18" t="n"/>
      <c r="FW13" s="18" t="n"/>
      <c r="FX13" s="18" t="n"/>
      <c r="FY13" s="18" t="n"/>
      <c r="FZ13" s="18" t="n"/>
      <c r="GA13" s="18" t="n"/>
      <c r="GB13" s="18" t="n"/>
      <c r="GC13" s="18" t="n"/>
      <c r="GD13" s="18" t="n"/>
      <c r="GE13" s="18" t="n"/>
      <c r="GF13" s="18" t="n"/>
      <c r="GG13" s="18" t="n"/>
      <c r="GH13" s="18" t="n"/>
      <c r="GI13" s="18" t="n"/>
      <c r="GJ13" s="18" t="n"/>
      <c r="GK13" s="18" t="n"/>
      <c r="GL13" s="18" t="n"/>
      <c r="GM13" s="18" t="n"/>
      <c r="GN13" s="18" t="n"/>
      <c r="GO13" s="18" t="n"/>
      <c r="GP13" s="18" t="n"/>
      <c r="GQ13" s="18" t="n"/>
      <c r="GR13" s="18" t="n"/>
      <c r="GS13" s="18" t="n"/>
      <c r="GT13" s="18" t="n"/>
      <c r="GU13" s="18" t="n"/>
      <c r="GV13" s="18" t="n"/>
      <c r="GW13" s="18" t="n"/>
      <c r="GX13" s="18" t="n"/>
      <c r="GY13" s="18" t="n"/>
      <c r="GZ13" s="18" t="n"/>
      <c r="HA13" s="18" t="n"/>
      <c r="HB13" s="18" t="n"/>
      <c r="HC13" s="18" t="n"/>
      <c r="HD13" s="18" t="n"/>
      <c r="HE13" s="18" t="n"/>
      <c r="HF13" s="18" t="n"/>
      <c r="HG13" s="18" t="n"/>
      <c r="HH13" s="18" t="n"/>
      <c r="HI13" s="18" t="n"/>
      <c r="HJ13" s="18" t="n"/>
      <c r="HK13" s="18" t="n"/>
      <c r="HL13" s="18" t="n"/>
      <c r="HM13" s="18" t="n"/>
      <c r="HN13" s="18" t="n"/>
      <c r="HO13" s="18" t="n"/>
    </row>
    <row r="14" ht="52.05" customHeight="1" s="88">
      <c r="A14" s="19" t="inlineStr">
        <is>
          <t>9000</t>
        </is>
      </c>
      <c r="B14" s="19" t="inlineStr">
        <is>
          <t>9000-3</t>
        </is>
      </c>
      <c r="C14" s="19" t="inlineStr">
        <is>
          <t>지장물이설</t>
        </is>
      </c>
      <c r="D14" s="19" t="inlineStr">
        <is>
          <t>9000-3-13</t>
        </is>
      </c>
      <c r="E14" s="95" t="inlineStr">
        <is>
          <t>9000-3-9, 9000-3-11</t>
        </is>
      </c>
      <c r="F14" s="95" t="inlineStr">
        <is>
          <t>9000-3-16, 9000-3-17</t>
        </is>
      </c>
      <c r="G14" s="23" t="inlineStr">
        <is>
          <t>관리기관(맑은물사업소) 협의</t>
        </is>
      </c>
      <c r="H14" s="21" t="inlineStr">
        <is>
          <t>D-40</t>
        </is>
      </c>
      <c r="I14" s="21" t="inlineStr">
        <is>
          <t>현장 공무팀</t>
        </is>
      </c>
      <c r="J14" s="24" t="inlineStr">
        <is>
          <t>본 과업은 상하수도 관로 이설 시 관할 맑은물사업소와의 사전 기술 협의를 통해 수돗물 단수 구간 및 일정을 정밀 조정하고, 신구 관로 접속 설계 도서의 기술적 적정성을 결재받는 것을 목적으로 함.</t>
        </is>
      </c>
      <c r="K14" s="24" t="inlineStr">
        <is>
          <t>1) 맑은물사업소 이설 위치 현측 ➔ 2) 단수 일정(최대 6시간) 협의 ➔ 3) 신구관 접속 도면 검토 ➔ 4) 이설 승인 공문 수령</t>
        </is>
      </c>
      <c r="L14" s="24" t="inlineStr">
        <is>
          <t>맑은물사업소 합동 이설 위치 검토, 수돗물 단수 일정(최대 6h) 수협 및 신구관 접속 도면 결재</t>
        </is>
      </c>
      <c r="M14" s="24" t="inlineStr">
        <is>
          <t>본 과업은 상하수도 관로 이설 시 관할 맑은물사업소와의 사전 기술 협의를 통해 수돗물 단수 구간 및 일정을 정밀 조정하고, 신구 관로 접속 설계 도서의 기술적 적정성을 결재받는 것을 목적으로 함.</t>
        </is>
      </c>
      <c r="N14" s="25">
        <f>HYPERLINK(LEFT(CELL("filename",A1),FIND("[",CELL("filename",A1))-1)&amp;"3.지장물이설\8_상하수도 이설계획 실정보고\표준서\상하수도 이설계획 실정보고_표준서.html", "👉 [클릭] 표준서 열기 📄")</f>
        <v/>
      </c>
      <c r="O14" s="24" t="inlineStr">
        <is>
          <t>1) 맑은물사업소 이설 위치 현측 ➔ 2) 단수 일정(최대 6시간) 협의 ➔ 3) 신구관 접속 도면 검토 ➔ 4) 이설 승인 공문 수령</t>
        </is>
      </c>
      <c r="P14" s="26">
        <f>HYPERLINK(LEFT(CELL("filename",A1),FIND("[",CELL("filename",A1))-1)&amp;"3.지장물이설\8_상하수도 이설계획 실정보고\수행지침\상하수도 이설계획 실정보고_수행지침.html", "👉 [클릭] 수행지침 열기 📄")</f>
        <v/>
      </c>
      <c r="Q14" s="24" t="inlineStr">
        <is>
          <t>맑은물사업소 합동 이설 위치 검토, 수돗물 단수 일정(최대 6h) 수협 및 신구관 접속 도면 결재</t>
        </is>
      </c>
      <c r="R14" s="27">
        <f>HYPERLINK(LEFT(CELL("filename",A1),FIND("[",CELL("filename",A1))-1)&amp;"3.지장물이설\8_상하수도 이설계획 실정보고\체크리스트\상하수도 이설계획 실정보고_체크리스트.html", "👉 [클릭] 체크리스트 열기 📄")</f>
        <v/>
      </c>
      <c r="S14" s="2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Y14" s="18" t="n"/>
      <c r="DZ14" s="18" t="n"/>
      <c r="EA14" s="18" t="n"/>
      <c r="EB14" s="18" t="n"/>
      <c r="EC14" s="18" t="n"/>
      <c r="ED14" s="18" t="n"/>
      <c r="EE14" s="18" t="n"/>
      <c r="EF14" s="18" t="n"/>
      <c r="EG14" s="18" t="n"/>
      <c r="EH14" s="18" t="n"/>
      <c r="EI14" s="18" t="n"/>
      <c r="EJ14" s="18" t="n"/>
      <c r="EK14" s="18" t="n"/>
      <c r="EL14" s="18" t="n"/>
      <c r="EM14" s="18" t="n"/>
      <c r="EN14" s="18" t="n"/>
      <c r="EO14" s="18" t="n"/>
      <c r="EP14" s="18" t="n"/>
      <c r="EQ14" s="18" t="n"/>
      <c r="ER14" s="18" t="n"/>
      <c r="ES14" s="18" t="n"/>
      <c r="ET14" s="18" t="n"/>
      <c r="EU14" s="18" t="n"/>
      <c r="EV14" s="18" t="n"/>
      <c r="EW14" s="18" t="n"/>
      <c r="EX14" s="18" t="n"/>
      <c r="EY14" s="18" t="n"/>
      <c r="EZ14" s="18" t="n"/>
      <c r="FA14" s="18" t="n"/>
      <c r="FB14" s="18" t="n"/>
      <c r="FC14" s="18" t="n"/>
      <c r="FD14" s="18" t="n"/>
      <c r="FE14" s="18" t="n"/>
      <c r="FF14" s="18" t="n"/>
      <c r="FG14" s="18" t="n"/>
      <c r="FH14" s="18" t="n"/>
      <c r="FI14" s="18" t="n"/>
      <c r="FJ14" s="18" t="n"/>
      <c r="FK14" s="18" t="n"/>
      <c r="FL14" s="18" t="n"/>
      <c r="FM14" s="18" t="n"/>
      <c r="FN14" s="18" t="n"/>
      <c r="FO14" s="18" t="n"/>
      <c r="FP14" s="18" t="n"/>
      <c r="FQ14" s="18" t="n"/>
      <c r="FR14" s="18" t="n"/>
      <c r="FS14" s="18" t="n"/>
      <c r="FT14" s="18" t="n"/>
      <c r="FU14" s="18" t="n"/>
      <c r="FV14" s="18" t="n"/>
      <c r="FW14" s="18" t="n"/>
      <c r="FX14" s="18" t="n"/>
      <c r="FY14" s="18" t="n"/>
      <c r="FZ14" s="18" t="n"/>
      <c r="GA14" s="18" t="n"/>
      <c r="GB14" s="18" t="n"/>
      <c r="GC14" s="18" t="n"/>
      <c r="GD14" s="18" t="n"/>
      <c r="GE14" s="18" t="n"/>
      <c r="GF14" s="18" t="n"/>
      <c r="GG14" s="18" t="n"/>
      <c r="GH14" s="18" t="n"/>
      <c r="GI14" s="18" t="n"/>
      <c r="GJ14" s="18" t="n"/>
      <c r="GK14" s="18" t="n"/>
      <c r="GL14" s="18" t="n"/>
      <c r="GM14" s="18" t="n"/>
      <c r="GN14" s="18" t="n"/>
      <c r="GO14" s="18" t="n"/>
      <c r="GP14" s="18" t="n"/>
      <c r="GQ14" s="18" t="n"/>
      <c r="GR14" s="18" t="n"/>
      <c r="GS14" s="18" t="n"/>
      <c r="GT14" s="18" t="n"/>
      <c r="GU14" s="18" t="n"/>
      <c r="GV14" s="18" t="n"/>
      <c r="GW14" s="18" t="n"/>
      <c r="GX14" s="18" t="n"/>
      <c r="GY14" s="18" t="n"/>
      <c r="GZ14" s="18" t="n"/>
      <c r="HA14" s="18" t="n"/>
      <c r="HB14" s="18" t="n"/>
      <c r="HC14" s="18" t="n"/>
      <c r="HD14" s="18" t="n"/>
      <c r="HE14" s="18" t="n"/>
      <c r="HF14" s="18" t="n"/>
      <c r="HG14" s="18" t="n"/>
      <c r="HH14" s="18" t="n"/>
      <c r="HI14" s="18" t="n"/>
      <c r="HJ14" s="18" t="n"/>
      <c r="HK14" s="18" t="n"/>
      <c r="HL14" s="18" t="n"/>
      <c r="HM14" s="18" t="n"/>
      <c r="HN14" s="18" t="n"/>
      <c r="HO14" s="18" t="n"/>
      <c r="HP14" s="18" t="n"/>
      <c r="HQ14" s="18" t="n"/>
      <c r="HR14" s="18" t="n"/>
      <c r="HS14" s="18" t="n"/>
    </row>
    <row r="15" ht="52.05" customHeight="1" s="88">
      <c r="A15" s="29" t="inlineStr">
        <is>
          <t>9000</t>
        </is>
      </c>
      <c r="B15" s="29" t="inlineStr">
        <is>
          <t>9000-3</t>
        </is>
      </c>
      <c r="C15" s="29" t="inlineStr">
        <is>
          <t>지장물이설</t>
        </is>
      </c>
      <c r="D15" s="29" t="inlineStr">
        <is>
          <t>9000-3-14</t>
        </is>
      </c>
      <c r="E15" s="102" t="inlineStr">
        <is>
          <t>9000-3-10</t>
        </is>
      </c>
      <c r="F15" s="102" t="inlineStr">
        <is>
          <t>9000-3-17</t>
        </is>
      </c>
      <c r="G15" s="32" t="inlineStr">
        <is>
          <t>위수탁 지장물 이설 설계</t>
        </is>
      </c>
      <c r="H15" s="33" t="inlineStr">
        <is>
          <t>D-40</t>
        </is>
      </c>
      <c r="I15" s="33" t="inlineStr">
        <is>
          <t>엔지니어링팀/위수탁기관</t>
        </is>
      </c>
      <c r="J15" s="34" t="inlineStr">
        <is>
          <t>본 과업은 전문 위수탁 기관의 지장물 이설 설계 도서 및 3D BIM 간섭 매핑을 종합 기술 검토하여, 공사비 변경 및 설계 반영의 정합성을 사전 검증하는 것을 목적으로 함.</t>
        </is>
      </c>
      <c r="K15" s="34" t="inlineStr">
        <is>
          <t>1) 위수탁 기관 설계도서 수속 ➔ 2) 3D BIM 간섭 리스크 점검 ➔ 3) 총사업비 변경 수량 검증 ➔ 4) 위수탁 설계도서 감리 승인</t>
        </is>
      </c>
      <c r="L15" s="34" t="inlineStr">
        <is>
          <t>위수탁 기관 설계도서 기술 검토, 3D BIM 간섭 리스크 점검 및 총사업비 변경 수량 승인</t>
        </is>
      </c>
      <c r="M15" s="34" t="inlineStr">
        <is>
          <t>본 과업은 전문 위수탁 기관의 지장물 이설 설계 도서 및 3D BIM 간섭 매핑을 종합 기술 검토하여, 공사비 변경 및 설계 반영의 정합성을 사전 검증하는 것을 목적으로 함.</t>
        </is>
      </c>
      <c r="N15" s="35">
        <f>HYPERLINK(LEFT(CELL("filename",A1),FIND("[",CELL("filename",A1))-1)&amp;"3.지장물이설\8_착수전 Big Room 회의\표준서\8_착수전 Big Room 회의_표준서.html", "👉 [클릭] 표준서 열기 📄")</f>
        <v/>
      </c>
      <c r="O15" s="34" t="inlineStr">
        <is>
          <t>1) 위수탁 기관 설계도서 수속 ➔ 2) 3D BIM 간섭 리스크 점검 ➔ 3) 총사업비 변경 수량 검증 ➔ 4) 위수탁 설계도서 감리 승인</t>
        </is>
      </c>
      <c r="P15" s="36">
        <f>HYPERLINK(LEFT(CELL("filename",A1),FIND("[",CELL("filename",A1))-1)&amp;"3.지장물이설\8_착수전 Big Room 회의\수행지침\8_착수전 Big Room 회의_수행지침.html", "👉 [클릭] 수행지침 열기 📄")</f>
        <v/>
      </c>
      <c r="Q15" s="34" t="inlineStr">
        <is>
          <t>위수탁 기관 설계도서 기술 검토, 3D BIM 간섭 리스크 점검 및 총사업비 변경 수량 승인</t>
        </is>
      </c>
      <c r="R15" s="37">
        <f>HYPERLINK(LEFT(CELL("filename",A1),FIND("[",CELL("filename",A1))-1)&amp;"3.지장물이설\8_착수전 Big Room 회의\체크리스트\8_착수전 Big Room 회의_체크리스트.html", "👉 [클릭] 체크리스트 열기 📄")</f>
        <v/>
      </c>
      <c r="S15" s="33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Y15" s="18" t="n"/>
      <c r="DZ15" s="18" t="n"/>
      <c r="EA15" s="18" t="n"/>
      <c r="EB15" s="18" t="n"/>
      <c r="EC15" s="18" t="n"/>
      <c r="ED15" s="18" t="n"/>
      <c r="EE15" s="18" t="n"/>
      <c r="EF15" s="18" t="n"/>
      <c r="EG15" s="18" t="n"/>
      <c r="EH15" s="18" t="n"/>
      <c r="EI15" s="18" t="n"/>
      <c r="EJ15" s="18" t="n"/>
      <c r="EK15" s="18" t="n"/>
      <c r="EL15" s="18" t="n"/>
      <c r="EM15" s="18" t="n"/>
      <c r="EN15" s="18" t="n"/>
      <c r="EO15" s="18" t="n"/>
      <c r="EP15" s="18" t="n"/>
      <c r="EQ15" s="18" t="n"/>
      <c r="ER15" s="18" t="n"/>
      <c r="ES15" s="18" t="n"/>
      <c r="ET15" s="18" t="n"/>
      <c r="EU15" s="18" t="n"/>
      <c r="EV15" s="18" t="n"/>
      <c r="EW15" s="18" t="n"/>
      <c r="EX15" s="18" t="n"/>
      <c r="EY15" s="18" t="n"/>
      <c r="EZ15" s="18" t="n"/>
      <c r="FA15" s="18" t="n"/>
      <c r="FB15" s="18" t="n"/>
      <c r="FC15" s="18" t="n"/>
      <c r="FD15" s="18" t="n"/>
      <c r="FE15" s="18" t="n"/>
      <c r="FF15" s="18" t="n"/>
      <c r="FG15" s="18" t="n"/>
      <c r="FH15" s="18" t="n"/>
      <c r="FI15" s="18" t="n"/>
      <c r="FJ15" s="18" t="n"/>
      <c r="FK15" s="18" t="n"/>
      <c r="FL15" s="18" t="n"/>
      <c r="FM15" s="18" t="n"/>
      <c r="FN15" s="18" t="n"/>
      <c r="FO15" s="18" t="n"/>
      <c r="FP15" s="18" t="n"/>
      <c r="FQ15" s="18" t="n"/>
      <c r="FR15" s="18" t="n"/>
      <c r="FS15" s="18" t="n"/>
      <c r="FT15" s="18" t="n"/>
      <c r="FU15" s="18" t="n"/>
      <c r="FV15" s="18" t="n"/>
      <c r="FW15" s="18" t="n"/>
      <c r="FX15" s="18" t="n"/>
      <c r="FY15" s="18" t="n"/>
      <c r="FZ15" s="18" t="n"/>
      <c r="GA15" s="18" t="n"/>
      <c r="GB15" s="18" t="n"/>
      <c r="GC15" s="18" t="n"/>
      <c r="GD15" s="18" t="n"/>
      <c r="GE15" s="18" t="n"/>
      <c r="GF15" s="18" t="n"/>
      <c r="GG15" s="18" t="n"/>
      <c r="GH15" s="18" t="n"/>
      <c r="GI15" s="18" t="n"/>
      <c r="GJ15" s="18" t="n"/>
      <c r="GK15" s="18" t="n"/>
      <c r="GL15" s="18" t="n"/>
      <c r="GM15" s="18" t="n"/>
      <c r="GN15" s="18" t="n"/>
      <c r="GO15" s="18" t="n"/>
      <c r="GP15" s="18" t="n"/>
      <c r="GQ15" s="18" t="n"/>
      <c r="GR15" s="18" t="n"/>
      <c r="GS15" s="18" t="n"/>
      <c r="GT15" s="18" t="n"/>
      <c r="GU15" s="18" t="n"/>
      <c r="GV15" s="18" t="n"/>
      <c r="GW15" s="18" t="n"/>
      <c r="GX15" s="18" t="n"/>
      <c r="GY15" s="18" t="n"/>
      <c r="GZ15" s="18" t="n"/>
      <c r="HA15" s="18" t="n"/>
      <c r="HB15" s="18" t="n"/>
      <c r="HC15" s="18" t="n"/>
      <c r="HD15" s="18" t="n"/>
      <c r="HE15" s="18" t="n"/>
      <c r="HF15" s="18" t="n"/>
      <c r="HG15" s="18" t="n"/>
      <c r="HH15" s="18" t="n"/>
      <c r="HI15" s="18" t="n"/>
      <c r="HJ15" s="18" t="n"/>
      <c r="HK15" s="18" t="n"/>
      <c r="HL15" s="18" t="n"/>
      <c r="HM15" s="18" t="n"/>
      <c r="HN15" s="18" t="n"/>
      <c r="HO15" s="18" t="n"/>
      <c r="HP15" s="18" t="n"/>
      <c r="HQ15" s="18" t="n"/>
      <c r="HR15" s="18" t="n"/>
      <c r="HS15" s="18" t="n"/>
      <c r="HT15" s="18" t="n"/>
      <c r="HU15" s="18" t="n"/>
      <c r="HV15" s="18" t="n"/>
      <c r="HW15" s="18" t="n"/>
    </row>
    <row r="16" ht="52.05" customHeight="1" s="88">
      <c r="A16" s="19" t="inlineStr">
        <is>
          <t>9000</t>
        </is>
      </c>
      <c r="B16" s="19" t="inlineStr">
        <is>
          <t>9000-3</t>
        </is>
      </c>
      <c r="C16" s="19" t="inlineStr">
        <is>
          <t>지장물이설</t>
        </is>
      </c>
      <c r="D16" s="19" t="inlineStr">
        <is>
          <t>9000-3-15</t>
        </is>
      </c>
      <c r="E16" s="95" t="inlineStr">
        <is>
          <t>9000-3-11</t>
        </is>
      </c>
      <c r="F16" s="95" t="inlineStr">
        <is>
          <t>9000-3-18</t>
        </is>
      </c>
      <c r="G16" s="23" t="inlineStr">
        <is>
          <t>상하수도 이설계획 실정보고</t>
        </is>
      </c>
      <c r="H16" s="21" t="inlineStr">
        <is>
          <t>D-30</t>
        </is>
      </c>
      <c r="I16" s="21" t="inlineStr">
        <is>
          <t>현장 공무팀</t>
        </is>
      </c>
      <c r="J16" s="24" t="inlineStr">
        <is>
          <t>본 과업은 현장 지지층 및 타 매설물과의 이격 거리 확보에 따라 발생하는 공법 변경 및 수량 증감 사항에 대해 책임감리단에 실정보고서를 제출하고 서면 결재를 획득하는 것을 목적으로 함.</t>
        </is>
      </c>
      <c r="K16" s="24" t="inlineStr">
        <is>
          <t>1) 현장 지장물 현출 실정보고 작성 ➔ 2) 공법 변경 &amp; 수량 증감 산출 ➔ 3) 기술 검토 의견서 첨부 ➔ 4) 실정보고서 감리 서면 승인</t>
        </is>
      </c>
      <c r="L16" s="24" t="inlineStr">
        <is>
          <t>현장 지장물 현출 실정보고서 작성, 공법 변경 및 수량 증감 산출 책임감리원 승인</t>
        </is>
      </c>
      <c r="M16" s="24" t="inlineStr">
        <is>
          <t>본 과업은 현장 지지층 및 타 매설물과의 이격 거리 확보에 따라 발생하는 공법 변경 및 수량 증감 사항에 대해 책임감리단에 실정보고서를 제출하고 서면 결재를 획득하는 것을 목적으로 함.</t>
        </is>
      </c>
      <c r="N16" s="25">
        <f>HYPERLINK(LEFT(CELL("filename",A1),FIND("[",CELL("filename",A1))-1)&amp;"3.지장물이설\9_위수탁 계약 체결\표준서\위수탁 계약 체결_표준서.html", "👉 [클릭] 표준서 열기 📄")</f>
        <v/>
      </c>
      <c r="O16" s="24" t="inlineStr">
        <is>
          <t>1) 현장 지장물 현출 실정보고 작성 ➔ 2) 공법 변경 &amp; 수량 증감 산출 ➔ 3) 기술 검토 의견서 첨부 ➔ 4) 실정보고서 감리 서면 승인</t>
        </is>
      </c>
      <c r="P16" s="26">
        <f>HYPERLINK(LEFT(CELL("filename",A1),FIND("[",CELL("filename",A1))-1)&amp;"3.지장물이설\9_위수탁 계약 체결\수행지침\수행지침.html", "👉 [클릭] 수행지침 열기 📄")</f>
        <v/>
      </c>
      <c r="Q16" s="24" t="inlineStr">
        <is>
          <t>현장 지장물 현출 실정보고서 작성, 공법 변경 및 수량 증감 산출 책임감리원 승인</t>
        </is>
      </c>
      <c r="R16" s="27">
        <f>HYPERLINK(LEFT(CELL("filename",A1),FIND("[",CELL("filename",A1))-1)&amp;"3.지장물이설\9_위수탁 계약 체결\체크리스트\위수탁 계약 체결_체크리스트.html", "👉 [클릭] 체크리스트 열기 📄")</f>
        <v/>
      </c>
      <c r="S16" s="2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8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8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8" t="n"/>
      <c r="FT16" s="18" t="n"/>
      <c r="FU16" s="18" t="n"/>
      <c r="FV16" s="18" t="n"/>
      <c r="FW16" s="18" t="n"/>
      <c r="FX16" s="18" t="n"/>
      <c r="FY16" s="18" t="n"/>
      <c r="FZ16" s="18" t="n"/>
      <c r="GA16" s="18" t="n"/>
      <c r="GB16" s="18" t="n"/>
      <c r="GC16" s="18" t="n"/>
      <c r="GD16" s="18" t="n"/>
      <c r="GE16" s="18" t="n"/>
      <c r="GF16" s="18" t="n"/>
      <c r="GG16" s="18" t="n"/>
      <c r="GH16" s="18" t="n"/>
      <c r="GI16" s="18" t="n"/>
      <c r="GJ16" s="18" t="n"/>
      <c r="GK16" s="18" t="n"/>
      <c r="GL16" s="18" t="n"/>
      <c r="GM16" s="18" t="n"/>
      <c r="GN16" s="18" t="n"/>
      <c r="GO16" s="18" t="n"/>
      <c r="GP16" s="18" t="n"/>
      <c r="GQ16" s="18" t="n"/>
      <c r="GR16" s="18" t="n"/>
      <c r="GS16" s="18" t="n"/>
      <c r="GT16" s="18" t="n"/>
      <c r="GU16" s="18" t="n"/>
      <c r="GV16" s="18" t="n"/>
      <c r="GW16" s="18" t="n"/>
      <c r="GX16" s="18" t="n"/>
      <c r="GY16" s="18" t="n"/>
      <c r="GZ16" s="18" t="n"/>
      <c r="HA16" s="18" t="n"/>
      <c r="HB16" s="18" t="n"/>
      <c r="HC16" s="18" t="n"/>
      <c r="HD16" s="18" t="n"/>
      <c r="HE16" s="18" t="n"/>
      <c r="HF16" s="18" t="n"/>
      <c r="HG16" s="18" t="n"/>
      <c r="HH16" s="18" t="n"/>
      <c r="HI16" s="18" t="n"/>
      <c r="HJ16" s="18" t="n"/>
      <c r="HK16" s="18" t="n"/>
      <c r="HL16" s="18" t="n"/>
      <c r="HM16" s="18" t="n"/>
      <c r="HN16" s="18" t="n"/>
      <c r="HO16" s="18" t="n"/>
      <c r="HP16" s="18" t="n"/>
      <c r="HQ16" s="18" t="n"/>
      <c r="HR16" s="18" t="n"/>
      <c r="HS16" s="18" t="n"/>
      <c r="HT16" s="18" t="n"/>
      <c r="HU16" s="18" t="n"/>
      <c r="HV16" s="18" t="n"/>
      <c r="HW16" s="18" t="n"/>
      <c r="HX16" s="18" t="n"/>
      <c r="HY16" s="18" t="n"/>
      <c r="HZ16" s="18" t="n"/>
      <c r="IA16" s="18" t="n"/>
    </row>
    <row r="17" ht="52.05" customHeight="1" s="88">
      <c r="A17" s="29" t="inlineStr">
        <is>
          <t>9000</t>
        </is>
      </c>
      <c r="B17" s="29" t="inlineStr">
        <is>
          <t>9000-3</t>
        </is>
      </c>
      <c r="C17" s="29" t="inlineStr">
        <is>
          <t>지장물이설</t>
        </is>
      </c>
      <c r="D17" s="29" t="inlineStr">
        <is>
          <t>9000-3-16</t>
        </is>
      </c>
      <c r="E17" s="102" t="inlineStr">
        <is>
          <t>9000-3-12, 9000-3-13</t>
        </is>
      </c>
      <c r="F17" s="102" t="inlineStr">
        <is>
          <t>9000-3-19, 9000-3-20</t>
        </is>
      </c>
      <c r="G17" s="32" t="inlineStr">
        <is>
          <t>위수탁 계약 체결</t>
        </is>
      </c>
      <c r="H17" s="33" t="inlineStr">
        <is>
          <t>D-25</t>
        </is>
      </c>
      <c r="I17" s="33" t="inlineStr">
        <is>
          <t>현장 공무팀 / 발주처</t>
        </is>
      </c>
      <c r="J17" s="34" t="inlineStr">
        <is>
          <t>본 과업은 전문 점용기관(한전, 가스공사, 수자원공사 등)과 지장물 이설 공사비 분담금, 정산 조건, 공기 이행에 관한 정식 위수탁 협약을 체결하여 법적 공사 이행 기반을 다지는 것을 목적으로 함.</t>
        </is>
      </c>
      <c r="K17" s="34" t="inlineStr">
        <is>
          <t>1) 관할 점용기관 협약 조건 수속 ➔ 2) 정산 분담금 &amp; 예비비 협의 ➔ 3) 위수탁 계약서 작성 ➔ 4) 위수탁 이설 계약 체결 승인</t>
        </is>
      </c>
      <c r="L17" s="34" t="inlineStr">
        <is>
          <t>관할 점용기관 위수탁 이설 협약서 체결, 공사비 분담금 및 예비비 계상 합의 서약</t>
        </is>
      </c>
      <c r="M17" s="34" t="inlineStr">
        <is>
          <t>본 과업은 전문 점용기관(한전, 가스공사, 수자원공사 등)과 지장물 이설 공사비 분담금, 정산 조건, 공기 이행에 관한 정식 위수탁 협약을 체결하여 법적 공사 이행 기반을 다지는 것을 목적으로 함.</t>
        </is>
      </c>
      <c r="N17" s="35">
        <f>HYPERLINK(LEFT(CELL("filename",A1),FIND("[",CELL("filename",A1))-1)&amp;"3.지장물이설\9_인허가 절차 진행\표준서\9_인허가 절차 진행_표준서.html", "👉 [클릭] 표준서 열기 📄")</f>
        <v/>
      </c>
      <c r="O17" s="34" t="inlineStr">
        <is>
          <t>1) 관할 점용기관 협약 조건 수속 ➔ 2) 정산 분담금 &amp; 예비비 협의 ➔ 3) 위수탁 계약서 작성 ➔ 4) 위수탁 이설 계약 체결 승인</t>
        </is>
      </c>
      <c r="P17" s="36">
        <f>HYPERLINK(LEFT(CELL("filename",A1),FIND("[",CELL("filename",A1))-1)&amp;"3.지장물이설\9_인허가 절차 진행\수행지침\9_인허가 절차 진행_수행지침.html", "👉 [클릭] 수행지침 열기 📄")</f>
        <v/>
      </c>
      <c r="Q17" s="34" t="inlineStr">
        <is>
          <t>관할 점용기관 위수탁 이설 협약서 체결, 공사비 분담금 및 예비비 계상 합의 서약</t>
        </is>
      </c>
      <c r="R17" s="37">
        <f>HYPERLINK(LEFT(CELL("filename",A1),FIND("[",CELL("filename",A1))-1)&amp;"3.지장물이설\9_인허가 절차 진행\체크리스트\9_인허가 절차 진행_체크리스트.html", "👉 [클릭] 체크리스트 열기 📄")</f>
        <v/>
      </c>
      <c r="S17" s="33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8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8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8" t="n"/>
      <c r="FT17" s="18" t="n"/>
      <c r="FU17" s="18" t="n"/>
      <c r="FV17" s="18" t="n"/>
      <c r="FW17" s="18" t="n"/>
      <c r="FX17" s="18" t="n"/>
      <c r="FY17" s="18" t="n"/>
      <c r="FZ17" s="18" t="n"/>
      <c r="GA17" s="18" t="n"/>
      <c r="GB17" s="18" t="n"/>
      <c r="GC17" s="18" t="n"/>
      <c r="GD17" s="18" t="n"/>
      <c r="GE17" s="18" t="n"/>
      <c r="GF17" s="18" t="n"/>
      <c r="GG17" s="18" t="n"/>
      <c r="GH17" s="18" t="n"/>
      <c r="GI17" s="18" t="n"/>
      <c r="GJ17" s="18" t="n"/>
      <c r="GK17" s="18" t="n"/>
      <c r="GL17" s="18" t="n"/>
      <c r="GM17" s="18" t="n"/>
      <c r="GN17" s="18" t="n"/>
      <c r="GO17" s="18" t="n"/>
      <c r="GP17" s="18" t="n"/>
      <c r="GQ17" s="18" t="n"/>
      <c r="GR17" s="18" t="n"/>
      <c r="GS17" s="18" t="n"/>
      <c r="GT17" s="18" t="n"/>
      <c r="GU17" s="18" t="n"/>
      <c r="GV17" s="18" t="n"/>
      <c r="GW17" s="18" t="n"/>
      <c r="GX17" s="18" t="n"/>
      <c r="GY17" s="18" t="n"/>
      <c r="GZ17" s="18" t="n"/>
      <c r="HA17" s="18" t="n"/>
      <c r="HB17" s="18" t="n"/>
      <c r="HC17" s="18" t="n"/>
      <c r="HD17" s="18" t="n"/>
      <c r="HE17" s="18" t="n"/>
      <c r="HF17" s="18" t="n"/>
      <c r="HG17" s="18" t="n"/>
      <c r="HH17" s="18" t="n"/>
      <c r="HI17" s="18" t="n"/>
      <c r="HJ17" s="18" t="n"/>
      <c r="HK17" s="18" t="n"/>
      <c r="HL17" s="18" t="n"/>
      <c r="HM17" s="18" t="n"/>
      <c r="HN17" s="18" t="n"/>
      <c r="HO17" s="18" t="n"/>
      <c r="HP17" s="18" t="n"/>
      <c r="HQ17" s="18" t="n"/>
      <c r="HR17" s="18" t="n"/>
      <c r="HS17" s="18" t="n"/>
      <c r="HT17" s="18" t="n"/>
      <c r="HU17" s="18" t="n"/>
      <c r="HV17" s="18" t="n"/>
      <c r="HW17" s="18" t="n"/>
      <c r="HX17" s="18" t="n"/>
      <c r="HY17" s="18" t="n"/>
      <c r="HZ17" s="18" t="n"/>
      <c r="IA17" s="18" t="n"/>
      <c r="IB17" s="18" t="n"/>
      <c r="IC17" s="18" t="n"/>
      <c r="ID17" s="18" t="n"/>
      <c r="IE17" s="18" t="n"/>
    </row>
    <row r="18" ht="52.05" customHeight="1" s="88">
      <c r="A18" s="19" t="inlineStr">
        <is>
          <t>9000</t>
        </is>
      </c>
      <c r="B18" s="19" t="inlineStr">
        <is>
          <t>9000-3</t>
        </is>
      </c>
      <c r="C18" s="19" t="inlineStr">
        <is>
          <t>지장물이설</t>
        </is>
      </c>
      <c r="D18" s="19" t="inlineStr">
        <is>
          <t>9000-3-17</t>
        </is>
      </c>
      <c r="E18" s="95" t="inlineStr">
        <is>
          <t>9000-3-13, 9000-3-14</t>
        </is>
      </c>
      <c r="F18" s="95" t="inlineStr">
        <is>
          <t>9000-3-20, 9000-3-21</t>
        </is>
      </c>
      <c r="G18" s="23" t="inlineStr">
        <is>
          <t>도로점용/굴착행위 인허가</t>
        </is>
      </c>
      <c r="H18" s="21" t="inlineStr">
        <is>
          <t>D+0</t>
        </is>
      </c>
      <c r="I18" s="21" t="inlineStr">
        <is>
          <t>현장 공무팀/공사팀</t>
        </is>
      </c>
      <c r="J18" s="24" t="inlineStr">
        <is>
          <t>본 과업은 공사 구역 도로 굴착을 위해 관할 지자체에 도로 굴착 행위 허가 신청을 접수하고, 도로 복구 보증보험 증권 제출 등 관계 법령상 행위 허가를 완수하는 것을 목적으로 함.</t>
        </is>
      </c>
      <c r="K18" s="24" t="inlineStr">
        <is>
          <t>1) 도로 굴착 허가 신청서 작성 ➔ 2) 지자체 도로굴착 심의 필 ➔ 3) 복구 보증보험 증권 제출 ➔ 4) 도로 굴착 허가증 감리 결재</t>
        </is>
      </c>
      <c r="L18" s="24" t="inlineStr">
        <is>
          <t>지자체 도로 굴착 허가 신청서 접수, 심의 필증 수령 및 도로 복구 보증보험 증권 제출</t>
        </is>
      </c>
      <c r="M18" s="24" t="inlineStr">
        <is>
          <t>본 과업은 공사 구역 도로 굴착을 위해 관할 지자체에 도로 굴착 행위 허가 신청을 접수하고, 도로 복구 보증보험 증권 제출 등 관계 법령상 행위 허가를 완수하는 것을 목적으로 함.</t>
        </is>
      </c>
      <c r="N18" s="25">
        <f>HYPERLINK(LEFT(CELL("filename",A1),FIND("[",CELL("filename",A1))-1)&amp;"3.지장물이설\10_교통처리대책 협의 및 승인\표준서\10_교통처리대책 협의 및 승인_표준서.html", "👉 [클릭] 표준서 열기 📄")</f>
        <v/>
      </c>
      <c r="O18" s="24" t="inlineStr">
        <is>
          <t>1) 도로 굴착 허가 신청서 작성 ➔ 2) 지자체 도로굴착 심의 필 ➔ 3) 복구 보증보험 증권 제출 ➔ 4) 도로 굴착 허가증 감리 결재</t>
        </is>
      </c>
      <c r="P18" s="26">
        <f>HYPERLINK(LEFT(CELL("filename",A1),FIND("[",CELL("filename",A1))-1)&amp;"3.지장물이설\10_교통처리대책 협의 및 승인\수행지침\10_교통처리대책 협의 및 승인_수행지침.html", "👉 [클릭] 수행지침 열기 📄")</f>
        <v/>
      </c>
      <c r="Q18" s="24" t="inlineStr">
        <is>
          <t>지자체 도로 굴착 허가 신청서 접수, 심의 필증 수령 및 도로 복구 보증보험 증권 제출</t>
        </is>
      </c>
      <c r="R18" s="27">
        <f>HYPERLINK(LEFT(CELL("filename",A1),FIND("[",CELL("filename",A1))-1)&amp;"3.지장물이설\10_교통처리대책 협의 및 승인\체크리스트\10_교통처리대책 협의 및 승인_체크리스트.html", "👉 [클릭] 체크리스트 열기 📄")</f>
        <v/>
      </c>
      <c r="S18" s="2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8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8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8" t="n"/>
      <c r="FT18" s="18" t="n"/>
      <c r="FU18" s="18" t="n"/>
      <c r="FV18" s="18" t="n"/>
      <c r="FW18" s="18" t="n"/>
      <c r="FX18" s="18" t="n"/>
      <c r="FY18" s="18" t="n"/>
      <c r="FZ18" s="18" t="n"/>
      <c r="GA18" s="18" t="n"/>
      <c r="GB18" s="18" t="n"/>
      <c r="GC18" s="18" t="n"/>
      <c r="GD18" s="18" t="n"/>
      <c r="GE18" s="18" t="n"/>
      <c r="GF18" s="18" t="n"/>
      <c r="GG18" s="18" t="n"/>
      <c r="GH18" s="18" t="n"/>
      <c r="GI18" s="18" t="n"/>
      <c r="GJ18" s="18" t="n"/>
      <c r="GK18" s="18" t="n"/>
      <c r="GL18" s="18" t="n"/>
      <c r="GM18" s="18" t="n"/>
      <c r="GN18" s="18" t="n"/>
      <c r="GO18" s="18" t="n"/>
      <c r="GP18" s="18" t="n"/>
      <c r="GQ18" s="18" t="n"/>
      <c r="GR18" s="18" t="n"/>
      <c r="GS18" s="18" t="n"/>
      <c r="GT18" s="18" t="n"/>
      <c r="GU18" s="18" t="n"/>
      <c r="GV18" s="18" t="n"/>
      <c r="GW18" s="18" t="n"/>
      <c r="GX18" s="18" t="n"/>
      <c r="GY18" s="18" t="n"/>
      <c r="GZ18" s="18" t="n"/>
      <c r="HA18" s="18" t="n"/>
      <c r="HB18" s="18" t="n"/>
      <c r="HC18" s="18" t="n"/>
      <c r="HD18" s="18" t="n"/>
      <c r="HE18" s="18" t="n"/>
      <c r="HF18" s="18" t="n"/>
      <c r="HG18" s="18" t="n"/>
      <c r="HH18" s="18" t="n"/>
      <c r="HI18" s="18" t="n"/>
      <c r="HJ18" s="18" t="n"/>
      <c r="HK18" s="18" t="n"/>
      <c r="HL18" s="18" t="n"/>
      <c r="HM18" s="18" t="n"/>
      <c r="HN18" s="18" t="n"/>
      <c r="HO18" s="18" t="n"/>
      <c r="HP18" s="18" t="n"/>
      <c r="HQ18" s="18" t="n"/>
      <c r="HR18" s="18" t="n"/>
      <c r="HS18" s="18" t="n"/>
      <c r="HT18" s="18" t="n"/>
      <c r="HU18" s="18" t="n"/>
      <c r="HV18" s="18" t="n"/>
      <c r="HW18" s="18" t="n"/>
      <c r="HX18" s="18" t="n"/>
      <c r="HY18" s="18" t="n"/>
      <c r="HZ18" s="18" t="n"/>
      <c r="IA18" s="18" t="n"/>
      <c r="IB18" s="18" t="n"/>
      <c r="IC18" s="18" t="n"/>
      <c r="ID18" s="18" t="n"/>
      <c r="IE18" s="18" t="n"/>
      <c r="IF18" s="18" t="n"/>
      <c r="IG18" s="18" t="n"/>
      <c r="IH18" s="18" t="n"/>
      <c r="II18" s="18" t="n"/>
    </row>
    <row r="19" ht="52.05" customHeight="1" s="88">
      <c r="A19" s="29" t="inlineStr">
        <is>
          <t>9000</t>
        </is>
      </c>
      <c r="B19" s="29" t="inlineStr">
        <is>
          <t>9000-3</t>
        </is>
      </c>
      <c r="C19" s="29" t="inlineStr">
        <is>
          <t>지장물이설</t>
        </is>
      </c>
      <c r="D19" s="29" t="inlineStr">
        <is>
          <t>9000-3-18</t>
        </is>
      </c>
      <c r="E19" s="102" t="inlineStr">
        <is>
          <t>9000-3-15</t>
        </is>
      </c>
      <c r="F19" s="102" t="inlineStr">
        <is>
          <t>9000-3-21, 9000-3-22</t>
        </is>
      </c>
      <c r="G19" s="32" t="inlineStr">
        <is>
          <t>교통통제 및 교통안전시설 설치</t>
        </is>
      </c>
      <c r="H19" s="33" t="inlineStr">
        <is>
          <t>D+0</t>
        </is>
      </c>
      <c r="I19" s="33" t="inlineStr">
        <is>
          <t>현장 안전팀/공사팀</t>
        </is>
      </c>
      <c r="J19" s="34" t="inlineStr">
        <is>
          <t>본 과업은 굴착 작업 구간 주변의 차량 및 보행자 안전을 확보하기 위해, 안전 바리케이트, 휀스, LED 쏠라등을 부설하고 정비된 전담 신호수를 현장에 100% 배치하는 것을 목적으로 함.</t>
        </is>
      </c>
      <c r="K19" s="34" t="inlineStr">
        <is>
          <t>1) 굴착 구간 안전 바리케이트 부설 ➔ 2) 야간 LED 경광등 &amp; 표지판 설치 ➔ 3) 전담 신호수(2인 2조) 배치 ➔ 4) 교통 안전 점검 대장 결재</t>
        </is>
      </c>
      <c r="L19" s="34" t="inlineStr">
        <is>
          <t>굴착 구간 안전 바리케이트 부설, 야간 LED 경광등 설치 및 전담 신호수(2인 2조) 배치</t>
        </is>
      </c>
      <c r="M19" s="34" t="inlineStr">
        <is>
          <t>본 과업은 굴착 작업 구간 주변의 차량 및 보행자 안전을 확보하기 위해, 안전 바리케이트, 휀스, LED 쏠라등을 부설하고 정비된 전담 신호수를 현장에 100% 배치하는 것을 목적으로 함.</t>
        </is>
      </c>
      <c r="N19" s="35">
        <f>HYPERLINK(LEFT(CELL("filename",A1),FIND("[",CELL("filename",A1))-1)&amp;"3.지장물이설\10_도로점용_굴착행위 인허가\표준서\도로점용_굴착행위 인허가_표준서.html", "👉 [클릭] 표준서 열기 📄")</f>
        <v/>
      </c>
      <c r="O19" s="34" t="inlineStr">
        <is>
          <t>1) 굴착 구간 안전 바리케이트 부설 ➔ 2) 야간 LED 경광등 &amp; 표지판 설치 ➔ 3) 전담 신호수(2인 2조) 배치 ➔ 4) 교통 안전 점검 대장 결재</t>
        </is>
      </c>
      <c r="P19" s="36">
        <f>HYPERLINK(LEFT(CELL("filename",A1),FIND("[",CELL("filename",A1))-1)&amp;"3.지장물이설\10_도로점용_굴착행위 인허가\수행지침\도로점용_굴착행위 인허가_수행지침.html", "👉 [클릭] 수행지침 열기 📄")</f>
        <v/>
      </c>
      <c r="Q19" s="34" t="inlineStr">
        <is>
          <t>굴착 구간 안전 바리케이트 부설, 야간 LED 경광등 설치 및 전담 신호수(2인 2조) 배치</t>
        </is>
      </c>
      <c r="R19" s="37">
        <f>HYPERLINK(LEFT(CELL("filename",A1),FIND("[",CELL("filename",A1))-1)&amp;"3.지장물이설\10_도로점용_굴착행위 인허가\체크리스트\도로점용_굴착행위 인허가_체크리스트.html", "👉 [클릭] 체크리스트 열기 📄")</f>
        <v/>
      </c>
      <c r="S19" s="33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Y19" s="18" t="n"/>
      <c r="DZ19" s="18" t="n"/>
      <c r="EA19" s="18" t="n"/>
      <c r="EB19" s="18" t="n"/>
      <c r="EC19" s="18" t="n"/>
      <c r="ED19" s="18" t="n"/>
      <c r="EE19" s="18" t="n"/>
      <c r="EF19" s="18" t="n"/>
      <c r="EG19" s="18" t="n"/>
      <c r="EH19" s="18" t="n"/>
      <c r="EI19" s="18" t="n"/>
      <c r="EJ19" s="18" t="n"/>
      <c r="EK19" s="18" t="n"/>
      <c r="EL19" s="18" t="n"/>
      <c r="EM19" s="18" t="n"/>
      <c r="EN19" s="18" t="n"/>
      <c r="EO19" s="18" t="n"/>
      <c r="EP19" s="18" t="n"/>
      <c r="EQ19" s="18" t="n"/>
      <c r="ER19" s="18" t="n"/>
      <c r="ES19" s="18" t="n"/>
      <c r="ET19" s="18" t="n"/>
      <c r="EU19" s="18" t="n"/>
      <c r="EV19" s="18" t="n"/>
      <c r="EW19" s="18" t="n"/>
      <c r="EX19" s="18" t="n"/>
      <c r="EY19" s="18" t="n"/>
      <c r="EZ19" s="18" t="n"/>
      <c r="FA19" s="18" t="n"/>
      <c r="FB19" s="18" t="n"/>
      <c r="FC19" s="18" t="n"/>
      <c r="FD19" s="18" t="n"/>
      <c r="FE19" s="18" t="n"/>
      <c r="FF19" s="18" t="n"/>
      <c r="FG19" s="18" t="n"/>
      <c r="FH19" s="18" t="n"/>
      <c r="FI19" s="18" t="n"/>
      <c r="FJ19" s="18" t="n"/>
      <c r="FK19" s="18" t="n"/>
      <c r="FL19" s="18" t="n"/>
      <c r="FM19" s="18" t="n"/>
      <c r="FN19" s="18" t="n"/>
      <c r="FO19" s="18" t="n"/>
      <c r="FP19" s="18" t="n"/>
      <c r="FQ19" s="18" t="n"/>
      <c r="FR19" s="18" t="n"/>
      <c r="FS19" s="18" t="n"/>
      <c r="FT19" s="18" t="n"/>
      <c r="FU19" s="18" t="n"/>
      <c r="FV19" s="18" t="n"/>
      <c r="FW19" s="18" t="n"/>
      <c r="FX19" s="18" t="n"/>
      <c r="FY19" s="18" t="n"/>
      <c r="FZ19" s="18" t="n"/>
      <c r="GA19" s="18" t="n"/>
      <c r="GB19" s="18" t="n"/>
      <c r="GC19" s="18" t="n"/>
      <c r="GD19" s="18" t="n"/>
      <c r="GE19" s="18" t="n"/>
      <c r="GF19" s="18" t="n"/>
      <c r="GG19" s="18" t="n"/>
      <c r="GH19" s="18" t="n"/>
      <c r="GI19" s="18" t="n"/>
      <c r="GJ19" s="18" t="n"/>
      <c r="GK19" s="18" t="n"/>
      <c r="GL19" s="18" t="n"/>
      <c r="GM19" s="18" t="n"/>
      <c r="GN19" s="18" t="n"/>
      <c r="GO19" s="18" t="n"/>
      <c r="GP19" s="18" t="n"/>
      <c r="GQ19" s="18" t="n"/>
      <c r="GR19" s="18" t="n"/>
      <c r="GS19" s="18" t="n"/>
      <c r="GT19" s="18" t="n"/>
      <c r="GU19" s="18" t="n"/>
      <c r="GV19" s="18" t="n"/>
      <c r="GW19" s="18" t="n"/>
      <c r="GX19" s="18" t="n"/>
      <c r="GY19" s="18" t="n"/>
      <c r="GZ19" s="18" t="n"/>
      <c r="HA19" s="18" t="n"/>
      <c r="HB19" s="18" t="n"/>
      <c r="HC19" s="18" t="n"/>
      <c r="HD19" s="18" t="n"/>
      <c r="HE19" s="18" t="n"/>
      <c r="HF19" s="18" t="n"/>
      <c r="HG19" s="18" t="n"/>
      <c r="HH19" s="18" t="n"/>
      <c r="HI19" s="18" t="n"/>
      <c r="HJ19" s="18" t="n"/>
      <c r="HK19" s="18" t="n"/>
      <c r="HL19" s="18" t="n"/>
      <c r="HM19" s="18" t="n"/>
      <c r="HN19" s="18" t="n"/>
      <c r="HO19" s="18" t="n"/>
      <c r="HP19" s="18" t="n"/>
      <c r="HQ19" s="18" t="n"/>
      <c r="HR19" s="18" t="n"/>
      <c r="HS19" s="18" t="n"/>
      <c r="HT19" s="18" t="n"/>
      <c r="HU19" s="18" t="n"/>
      <c r="HV19" s="18" t="n"/>
      <c r="HW19" s="18" t="n"/>
      <c r="HX19" s="18" t="n"/>
      <c r="HY19" s="18" t="n"/>
      <c r="HZ19" s="18" t="n"/>
      <c r="IA19" s="18" t="n"/>
      <c r="IB19" s="18" t="n"/>
      <c r="IC19" s="18" t="n"/>
      <c r="ID19" s="18" t="n"/>
      <c r="IE19" s="18" t="n"/>
      <c r="IF19" s="18" t="n"/>
      <c r="IG19" s="18" t="n"/>
      <c r="IH19" s="18" t="n"/>
      <c r="II19" s="18" t="n"/>
      <c r="IJ19" s="18" t="n"/>
      <c r="IK19" s="18" t="n"/>
      <c r="IL19" s="18" t="n"/>
      <c r="IM19" s="18" t="n"/>
    </row>
    <row r="20" ht="52.05" customHeight="1" s="88">
      <c r="A20" s="19" t="inlineStr">
        <is>
          <t>9000</t>
        </is>
      </c>
      <c r="B20" s="19" t="inlineStr">
        <is>
          <t>9000-3</t>
        </is>
      </c>
      <c r="C20" s="19" t="inlineStr">
        <is>
          <t>지장물이설</t>
        </is>
      </c>
      <c r="D20" s="19" t="inlineStr">
        <is>
          <t>9000-3-19</t>
        </is>
      </c>
      <c r="E20" s="95" t="inlineStr">
        <is>
          <t>9000-3-16</t>
        </is>
      </c>
      <c r="F20" s="95" t="inlineStr">
        <is>
          <t>9000-3-23</t>
        </is>
      </c>
      <c r="G20" s="23" t="inlineStr">
        <is>
          <t>줄따기(GPR)를 통한 기존 지장물 매설 확인</t>
        </is>
      </c>
      <c r="H20" s="21" t="inlineStr">
        <is>
          <t>D+1</t>
        </is>
      </c>
      <c r="I20" s="21" t="inlineStr">
        <is>
          <t>현장 공무팀/공사팀</t>
        </is>
      </c>
      <c r="J20" s="24" t="inlineStr">
        <is>
          <t>본 과업은 굴착 중 기존 지하 관로의 충격·파손 사고를 근본적으로 예방하기 위해, GPR 3D 탐사 후 인력 시탐 줄파기(깊이 1.5m)를 수행하여 관로 실체를 눈으로 확인하고 위치 표시판을 비치하는 것을 목적으로 함.</t>
        </is>
      </c>
      <c r="K20" s="24" t="inlineStr">
        <is>
          <t>1) GPR 3D 지중 관로 탐사 ➔ 2) 인력 시탐 줄파기(깊이 1.5m) ➔ 3) 실체 관로 노출 &amp; 위치 매핑 ➔ 4) 지장물 현측표 감리 서면 승인</t>
        </is>
      </c>
      <c r="L20" s="24" t="inlineStr">
        <is>
          <t>GPR 3D 지중 관로 탐사, 인력 시탐 줄파기(폭 0.5m, 깊이 1.5m) 및 실체 관로 노출 매핑</t>
        </is>
      </c>
      <c r="M20" s="24" t="inlineStr">
        <is>
          <t>본 과업은 굴착 중 기존 지하 관로의 충격·파손 사고를 근본적으로 예방하기 위해, GPR 3D 탐사 후 인력 시탐 줄파기(깊이 1.5m)를 수행하여 관로 실체를 눈으로 확인하고 위치 표시판을 비치하는 것을 목적으로 함.</t>
        </is>
      </c>
      <c r="N20" s="25">
        <f>HYPERLINK(LEFT(CELL("filename",A1),FIND("[",CELL("filename",A1))-1)&amp;"3.지장물이설\11_교통통제 및 교통안전시설 설치\표준서\교통통제 및 교통안전시설 설치_표준서.html", "👉 [클릭] 표준서 열기 📄")</f>
        <v/>
      </c>
      <c r="O20" s="24" t="inlineStr">
        <is>
          <t>1) GPR 3D 지중 관로 탐사 ➔ 2) 인력 시탐 줄파기(깊이 1.5m) ➔ 3) 실체 관로 노출 &amp; 위치 매핑 ➔ 4) 지장물 현측표 감리 서면 승인</t>
        </is>
      </c>
      <c r="P20" s="26">
        <f>HYPERLINK(LEFT(CELL("filename",A1),FIND("[",CELL("filename",A1))-1)&amp;"3.지장물이설\11_교통통제 및 교통안전시설 설치\수행지침\교통통제 및 교통안전시설 설치_수행지침.html", "👉 [클릭] 수행지침 열기 📄")</f>
        <v/>
      </c>
      <c r="Q20" s="24" t="inlineStr">
        <is>
          <t>GPR 3D 지중 관로 탐사, 인력 시탐 줄파기(폭 0.5m, 깊이 1.5m) 및 실체 관로 노출 매핑</t>
        </is>
      </c>
      <c r="R20" s="27">
        <f>HYPERLINK(LEFT(CELL("filename",A1),FIND("[",CELL("filename",A1))-1)&amp;"3.지장물이설\11_교통통제 및 교통안전시설 설치\체크리스트\교통통제 및 교통안전시설 설치_체크리스트.html", "👉 [클릭] 체크리스트 열기 📄")</f>
        <v/>
      </c>
      <c r="S20" s="2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Y20" s="18" t="n"/>
      <c r="DZ20" s="18" t="n"/>
      <c r="EA20" s="18" t="n"/>
      <c r="EB20" s="18" t="n"/>
      <c r="EC20" s="18" t="n"/>
      <c r="ED20" s="18" t="n"/>
      <c r="EE20" s="18" t="n"/>
      <c r="EF20" s="18" t="n"/>
      <c r="EG20" s="18" t="n"/>
      <c r="EH20" s="18" t="n"/>
      <c r="EI20" s="18" t="n"/>
      <c r="EJ20" s="18" t="n"/>
      <c r="EK20" s="18" t="n"/>
      <c r="EL20" s="18" t="n"/>
      <c r="EM20" s="18" t="n"/>
      <c r="EN20" s="18" t="n"/>
      <c r="EO20" s="18" t="n"/>
      <c r="EP20" s="18" t="n"/>
      <c r="EQ20" s="18" t="n"/>
      <c r="ER20" s="18" t="n"/>
      <c r="ES20" s="18" t="n"/>
      <c r="ET20" s="18" t="n"/>
      <c r="EU20" s="18" t="n"/>
      <c r="EV20" s="18" t="n"/>
      <c r="EW20" s="18" t="n"/>
      <c r="EX20" s="18" t="n"/>
      <c r="EY20" s="18" t="n"/>
      <c r="EZ20" s="18" t="n"/>
      <c r="FA20" s="18" t="n"/>
      <c r="FB20" s="18" t="n"/>
      <c r="FC20" s="18" t="n"/>
      <c r="FD20" s="18" t="n"/>
      <c r="FE20" s="18" t="n"/>
      <c r="FF20" s="18" t="n"/>
      <c r="FG20" s="18" t="n"/>
      <c r="FH20" s="18" t="n"/>
      <c r="FI20" s="18" t="n"/>
      <c r="FJ20" s="18" t="n"/>
      <c r="FK20" s="18" t="n"/>
      <c r="FL20" s="18" t="n"/>
      <c r="FM20" s="18" t="n"/>
      <c r="FN20" s="18" t="n"/>
      <c r="FO20" s="18" t="n"/>
      <c r="FP20" s="18" t="n"/>
      <c r="FQ20" s="18" t="n"/>
      <c r="FR20" s="18" t="n"/>
      <c r="FS20" s="18" t="n"/>
      <c r="FT20" s="18" t="n"/>
      <c r="FU20" s="18" t="n"/>
      <c r="FV20" s="18" t="n"/>
      <c r="FW20" s="18" t="n"/>
      <c r="FX20" s="18" t="n"/>
      <c r="FY20" s="18" t="n"/>
      <c r="FZ20" s="18" t="n"/>
      <c r="GA20" s="18" t="n"/>
      <c r="GB20" s="18" t="n"/>
      <c r="GC20" s="18" t="n"/>
      <c r="GD20" s="18" t="n"/>
      <c r="GE20" s="18" t="n"/>
      <c r="GF20" s="18" t="n"/>
      <c r="GG20" s="18" t="n"/>
      <c r="GH20" s="18" t="n"/>
      <c r="GI20" s="18" t="n"/>
      <c r="GJ20" s="18" t="n"/>
      <c r="GK20" s="18" t="n"/>
      <c r="GL20" s="18" t="n"/>
      <c r="GM20" s="18" t="n"/>
      <c r="GN20" s="18" t="n"/>
      <c r="GO20" s="18" t="n"/>
      <c r="GP20" s="18" t="n"/>
      <c r="GQ20" s="18" t="n"/>
      <c r="GR20" s="18" t="n"/>
      <c r="GS20" s="18" t="n"/>
      <c r="GT20" s="18" t="n"/>
      <c r="GU20" s="18" t="n"/>
      <c r="GV20" s="18" t="n"/>
      <c r="GW20" s="18" t="n"/>
      <c r="GX20" s="18" t="n"/>
      <c r="GY20" s="18" t="n"/>
      <c r="GZ20" s="18" t="n"/>
      <c r="HA20" s="18" t="n"/>
      <c r="HB20" s="18" t="n"/>
      <c r="HC20" s="18" t="n"/>
      <c r="HD20" s="18" t="n"/>
      <c r="HE20" s="18" t="n"/>
      <c r="HF20" s="18" t="n"/>
      <c r="HG20" s="18" t="n"/>
      <c r="HH20" s="18" t="n"/>
      <c r="HI20" s="18" t="n"/>
      <c r="HJ20" s="18" t="n"/>
      <c r="HK20" s="18" t="n"/>
      <c r="HL20" s="18" t="n"/>
      <c r="HM20" s="18" t="n"/>
      <c r="HN20" s="18" t="n"/>
      <c r="HO20" s="18" t="n"/>
      <c r="HP20" s="18" t="n"/>
      <c r="HQ20" s="18" t="n"/>
      <c r="HR20" s="18" t="n"/>
      <c r="HS20" s="18" t="n"/>
      <c r="HT20" s="18" t="n"/>
      <c r="HU20" s="18" t="n"/>
      <c r="HV20" s="18" t="n"/>
      <c r="HW20" s="18" t="n"/>
      <c r="HX20" s="18" t="n"/>
      <c r="HY20" s="18" t="n"/>
      <c r="HZ20" s="18" t="n"/>
      <c r="IA20" s="18" t="n"/>
      <c r="IB20" s="18" t="n"/>
      <c r="IC20" s="18" t="n"/>
      <c r="ID20" s="18" t="n"/>
      <c r="IE20" s="18" t="n"/>
      <c r="IF20" s="18" t="n"/>
      <c r="IG20" s="18" t="n"/>
      <c r="IH20" s="18" t="n"/>
      <c r="II20" s="18" t="n"/>
      <c r="IJ20" s="18" t="n"/>
      <c r="IK20" s="18" t="n"/>
      <c r="IL20" s="18" t="n"/>
      <c r="IM20" s="18" t="n"/>
      <c r="IN20" s="18" t="n"/>
      <c r="IO20" s="18" t="n"/>
      <c r="IP20" s="18" t="n"/>
      <c r="IQ20" s="18" t="n"/>
    </row>
    <row r="21" ht="52.05" customHeight="1" s="88">
      <c r="A21" s="29" t="inlineStr">
        <is>
          <t>9000</t>
        </is>
      </c>
      <c r="B21" s="29" t="inlineStr">
        <is>
          <t>9000-3</t>
        </is>
      </c>
      <c r="C21" s="29" t="inlineStr">
        <is>
          <t>지장물이설</t>
        </is>
      </c>
      <c r="D21" s="29" t="inlineStr">
        <is>
          <t>9000-3-20</t>
        </is>
      </c>
      <c r="E21" s="102" t="inlineStr">
        <is>
          <t>9000-3-16, 9000-3-17</t>
        </is>
      </c>
      <c r="F21" s="102" t="inlineStr">
        <is>
          <t>9000-3-23, 9000-3-24</t>
        </is>
      </c>
      <c r="G21" s="32" t="inlineStr">
        <is>
          <t>이설 위치 토공 굴착</t>
        </is>
      </c>
      <c r="H21" s="33" t="inlineStr">
        <is>
          <t>D+3</t>
        </is>
      </c>
      <c r="I21" s="33" t="inlineStr">
        <is>
          <t>현장 공사팀</t>
        </is>
      </c>
      <c r="J21" s="34" t="inlineStr">
        <is>
          <t>본 과업은 신규 관로가 매설될 구역의 비탈면 경사(1:1.5) 준수 및 흙막이 가설재를 안전하게 설치하고, 굴착 바닥 원지반 지반반력계수를 시험·검측하는 것을 목적으로 함.</t>
        </is>
      </c>
      <c r="K21" s="34" t="inlineStr">
        <is>
          <t>1) 굴착 비탈면 경사(1:1.5) 측량 ➔ 2) 굴착 &amp; 흙막이 가설재 부설 ➔ 3) 바닥 원지반 K30(≥70) 검측 ➔ 4) 굴착 완료 성과표 감리 승인</t>
        </is>
      </c>
      <c r="L21" s="34" t="inlineStr">
        <is>
          <t>굴착 비탈면 경사(1:1.5 이하) 측량, 흙막이 가설재 부설 및 바닥 원지반 K30 ≥ 70 지비력 검측</t>
        </is>
      </c>
      <c r="M21" s="34" t="inlineStr">
        <is>
          <t>본 과업은 신규 관로가 매설될 구역의 비탈면 경사(1:1.5) 준수 및 흙막이 가설재를 안전하게 설치하고, 굴착 바닥 원지반 지반반력계수를 시험·검측하는 것을 목적으로 함.</t>
        </is>
      </c>
      <c r="N21" s="35">
        <f>HYPERLINK(LEFT(CELL("filename",A1),FIND("[",CELL("filename",A1))-1)&amp;"3.지장물이설\11_민원 저감 대책 수립\표준서\11_민원 저감 대책 수립_표준서.html", "👉 [클릭] 표준서 열기 📄")</f>
        <v/>
      </c>
      <c r="O21" s="34" t="inlineStr">
        <is>
          <t>1) 굴착 비탈면 경사(1:1.5) 측량 ➔ 2) 굴착 &amp; 흙막이 가설재 부설 ➔ 3) 바닥 원지반 K30(≥70) 검측 ➔ 4) 굴착 완료 성과표 감리 승인</t>
        </is>
      </c>
      <c r="P21" s="36">
        <f>HYPERLINK(LEFT(CELL("filename",A1),FIND("[",CELL("filename",A1))-1)&amp;"3.지장물이설\11_민원 저감 대책 수립\수행지침\11_민원 저감 대책 수립_수행지침.html", "👉 [클릭] 수행지침 열기 📄")</f>
        <v/>
      </c>
      <c r="Q21" s="34" t="inlineStr">
        <is>
          <t>굴착 비탈면 경사(1:1.5 이하) 측량, 흙막이 가설재 부설 및 바닥 원지반 K30 ≥ 70 지비력 검측</t>
        </is>
      </c>
      <c r="R21" s="37">
        <f>HYPERLINK(LEFT(CELL("filename",A1),FIND("[",CELL("filename",A1))-1)&amp;"3.지장물이설\11_민원 저감 대책 수립\체크리스트\11_민원 저감 대책 수립_체크리스트.html", "👉 [클릭] 체크리스트 열기 📄")</f>
        <v/>
      </c>
      <c r="S21" s="33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8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8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8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18" t="n"/>
      <c r="GI21" s="18" t="n"/>
      <c r="GJ21" s="18" t="n"/>
      <c r="GK21" s="18" t="n"/>
      <c r="GL21" s="18" t="n"/>
      <c r="GM21" s="18" t="n"/>
      <c r="GN21" s="18" t="n"/>
      <c r="GO21" s="18" t="n"/>
      <c r="GP21" s="18" t="n"/>
      <c r="GQ21" s="18" t="n"/>
      <c r="GR21" s="18" t="n"/>
      <c r="GS21" s="18" t="n"/>
      <c r="GT21" s="18" t="n"/>
      <c r="GU21" s="18" t="n"/>
      <c r="GV21" s="18" t="n"/>
      <c r="GW21" s="18" t="n"/>
      <c r="GX21" s="18" t="n"/>
      <c r="GY21" s="18" t="n"/>
      <c r="GZ21" s="18" t="n"/>
      <c r="HA21" s="18" t="n"/>
      <c r="HB21" s="18" t="n"/>
      <c r="HC21" s="18" t="n"/>
      <c r="HD21" s="18" t="n"/>
      <c r="HE21" s="18" t="n"/>
      <c r="HF21" s="18" t="n"/>
      <c r="HG21" s="18" t="n"/>
      <c r="HH21" s="18" t="n"/>
      <c r="HI21" s="18" t="n"/>
      <c r="HJ21" s="18" t="n"/>
      <c r="HK21" s="18" t="n"/>
      <c r="HL21" s="18" t="n"/>
      <c r="HM21" s="18" t="n"/>
      <c r="HN21" s="18" t="n"/>
      <c r="HO21" s="18" t="n"/>
      <c r="HP21" s="18" t="n"/>
      <c r="HQ21" s="18" t="n"/>
      <c r="HR21" s="18" t="n"/>
      <c r="HS21" s="18" t="n"/>
      <c r="HT21" s="18" t="n"/>
      <c r="HU21" s="18" t="n"/>
      <c r="HV21" s="18" t="n"/>
      <c r="HW21" s="18" t="n"/>
      <c r="HX21" s="18" t="n"/>
      <c r="HY21" s="18" t="n"/>
      <c r="HZ21" s="18" t="n"/>
      <c r="IA21" s="18" t="n"/>
      <c r="IB21" s="18" t="n"/>
      <c r="IC21" s="18" t="n"/>
      <c r="ID21" s="18" t="n"/>
      <c r="IE21" s="18" t="n"/>
      <c r="IF21" s="18" t="n"/>
      <c r="IG21" s="18" t="n"/>
      <c r="IH21" s="18" t="n"/>
      <c r="II21" s="18" t="n"/>
      <c r="IJ21" s="18" t="n"/>
      <c r="IK21" s="18" t="n"/>
      <c r="IL21" s="18" t="n"/>
      <c r="IM21" s="18" t="n"/>
      <c r="IN21" s="18" t="n"/>
      <c r="IO21" s="18" t="n"/>
      <c r="IP21" s="18" t="n"/>
      <c r="IQ21" s="18" t="n"/>
      <c r="IR21" s="18" t="n"/>
      <c r="IS21" s="18" t="n"/>
      <c r="IT21" s="18" t="n"/>
      <c r="IU21" s="18" t="n"/>
    </row>
    <row r="22" ht="52.05" customHeight="1" s="88">
      <c r="A22" s="19" t="inlineStr">
        <is>
          <t>9000</t>
        </is>
      </c>
      <c r="B22" s="19" t="inlineStr">
        <is>
          <t>9000-3</t>
        </is>
      </c>
      <c r="C22" s="19" t="inlineStr">
        <is>
          <t>지장물이설</t>
        </is>
      </c>
      <c r="D22" s="19" t="inlineStr">
        <is>
          <t>9000-3-21</t>
        </is>
      </c>
      <c r="E22" s="95" t="inlineStr">
        <is>
          <t>9000-3-17, 9000-3-18</t>
        </is>
      </c>
      <c r="F22" s="95" t="inlineStr">
        <is>
          <t>9000-3-24, 9000-3-25</t>
        </is>
      </c>
      <c r="G22" s="23" t="inlineStr">
        <is>
          <t>신규관로 매설 및 설치</t>
        </is>
      </c>
      <c r="H22" s="21" t="inlineStr">
        <is>
          <t>D+5</t>
        </is>
      </c>
      <c r="I22" s="21" t="inlineStr">
        <is>
          <t>현장 공사팀 / 전문협력사</t>
        </is>
      </c>
      <c r="J22" s="24" t="inlineStr">
        <is>
          <t>본 과업은 시방 규격에 부합하는 신규 상하수도·가스관을 부설하고 바닥 모래 기초(두께 10cm)를 시공하여, 관로 경사 및 수평 위치의 정확도를 확보하는 것을 목적으로 함.</t>
        </is>
      </c>
      <c r="K22" s="24" t="inlineStr">
        <is>
          <t>1) 관로 모래 기초(10cm) 부설 ➔ 2) 신규 상하수도관/가스관 부설 ➔ 3) 관로 종단 구배(≥0.5%) 검측 ➔ 4) 신규 관로 부설 감리 서면 승인</t>
        </is>
      </c>
      <c r="L22" s="24" t="inlineStr">
        <is>
          <t>관로 모래 기초(두께 10cm) 부설, 신규 상하수도관/가스관 부설 및 종단 구배(≥ 0.5%) 검측</t>
        </is>
      </c>
      <c r="M22" s="24" t="inlineStr">
        <is>
          <t>본 과업은 시방 규격에 부합하는 신규 상하수도·가스관을 부설하고 바닥 모래 기초(두께 10cm)를 시공하여, 관로 경사 및 수평 위치의 정확도를 확보하는 것을 목적으로 함.</t>
        </is>
      </c>
      <c r="N22" s="25">
        <f>HYPERLINK(LEFT(CELL("filename",A1),FIND("[",CELL("filename",A1))-1)&amp;"3.지장물이설\12_용지보상 Risk 파악\표준서\12_용지보상 Risk 파악_표준서.html", "👉 [클릭] 표준서 열기 📄")</f>
        <v/>
      </c>
      <c r="O22" s="24" t="inlineStr">
        <is>
          <t>1) 관로 모래 기초(10cm) 부설 ➔ 2) 신규 상하수도관/가스관 부설 ➔ 3) 관로 종단 구배(≥0.5%) 검측 ➔ 4) 신규 관로 부설 감리 서면 승인</t>
        </is>
      </c>
      <c r="P22" s="26">
        <f>HYPERLINK(LEFT(CELL("filename",A1),FIND("[",CELL("filename",A1))-1)&amp;"3.지장물이설\12_용지보상 Risk 파악\수행지침\12_용지보상 Risk 파악_수행지침.html", "👉 [클릭] 수행지침 열기 📄")</f>
        <v/>
      </c>
      <c r="Q22" s="24" t="inlineStr">
        <is>
          <t>관로 모래 기초(두께 10cm) 부설, 신규 상하수도관/가스관 부설 및 종단 구배(≥ 0.5%) 검측</t>
        </is>
      </c>
      <c r="R22" s="27">
        <f>HYPERLINK(LEFT(CELL("filename",A1),FIND("[",CELL("filename",A1))-1)&amp;"3.지장물이설\12_용지보상 Risk 파악\체크리스트\12_용지보상 Risk 파악_체크리스트.html", "👉 [클릭] 체크리스트 열기 📄")</f>
        <v/>
      </c>
      <c r="S22" s="2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Y22" s="18" t="n"/>
      <c r="DZ22" s="18" t="n"/>
      <c r="EA22" s="18" t="n"/>
      <c r="EB22" s="18" t="n"/>
      <c r="EC22" s="18" t="n"/>
      <c r="ED22" s="18" t="n"/>
      <c r="EE22" s="18" t="n"/>
      <c r="EF22" s="18" t="n"/>
      <c r="EG22" s="18" t="n"/>
      <c r="EH22" s="18" t="n"/>
      <c r="EI22" s="18" t="n"/>
      <c r="EJ22" s="18" t="n"/>
      <c r="EK22" s="18" t="n"/>
      <c r="EL22" s="18" t="n"/>
      <c r="EM22" s="18" t="n"/>
      <c r="EN22" s="18" t="n"/>
      <c r="EO22" s="18" t="n"/>
      <c r="EP22" s="18" t="n"/>
      <c r="EQ22" s="18" t="n"/>
      <c r="ER22" s="18" t="n"/>
      <c r="ES22" s="18" t="n"/>
      <c r="ET22" s="18" t="n"/>
      <c r="EU22" s="18" t="n"/>
      <c r="EV22" s="18" t="n"/>
      <c r="EW22" s="18" t="n"/>
      <c r="EX22" s="18" t="n"/>
      <c r="EY22" s="18" t="n"/>
      <c r="EZ22" s="18" t="n"/>
      <c r="FA22" s="18" t="n"/>
      <c r="FB22" s="18" t="n"/>
      <c r="FC22" s="18" t="n"/>
      <c r="FD22" s="18" t="n"/>
      <c r="FE22" s="18" t="n"/>
      <c r="FF22" s="18" t="n"/>
      <c r="FG22" s="18" t="n"/>
      <c r="FH22" s="18" t="n"/>
      <c r="FI22" s="18" t="n"/>
      <c r="FJ22" s="18" t="n"/>
      <c r="FK22" s="18" t="n"/>
      <c r="FL22" s="18" t="n"/>
      <c r="FM22" s="18" t="n"/>
      <c r="FN22" s="18" t="n"/>
      <c r="FO22" s="18" t="n"/>
      <c r="FP22" s="18" t="n"/>
      <c r="FQ22" s="18" t="n"/>
      <c r="FR22" s="18" t="n"/>
      <c r="FS22" s="18" t="n"/>
      <c r="FT22" s="18" t="n"/>
      <c r="FU22" s="18" t="n"/>
      <c r="FV22" s="18" t="n"/>
      <c r="FW22" s="18" t="n"/>
      <c r="FX22" s="18" t="n"/>
      <c r="FY22" s="18" t="n"/>
      <c r="FZ22" s="18" t="n"/>
      <c r="GA22" s="18" t="n"/>
      <c r="GB22" s="18" t="n"/>
      <c r="GC22" s="18" t="n"/>
      <c r="GD22" s="18" t="n"/>
      <c r="GE22" s="18" t="n"/>
      <c r="GF22" s="18" t="n"/>
      <c r="GG22" s="18" t="n"/>
      <c r="GH22" s="18" t="n"/>
      <c r="GI22" s="18" t="n"/>
      <c r="GJ22" s="18" t="n"/>
      <c r="GK22" s="18" t="n"/>
      <c r="GL22" s="18" t="n"/>
      <c r="GM22" s="18" t="n"/>
      <c r="GN22" s="18" t="n"/>
      <c r="GO22" s="18" t="n"/>
      <c r="GP22" s="18" t="n"/>
      <c r="GQ22" s="18" t="n"/>
      <c r="GR22" s="18" t="n"/>
      <c r="GS22" s="18" t="n"/>
      <c r="GT22" s="18" t="n"/>
      <c r="GU22" s="18" t="n"/>
      <c r="GV22" s="18" t="n"/>
      <c r="GW22" s="18" t="n"/>
      <c r="GX22" s="18" t="n"/>
      <c r="GY22" s="18" t="n"/>
      <c r="GZ22" s="18" t="n"/>
      <c r="HA22" s="18" t="n"/>
      <c r="HB22" s="18" t="n"/>
      <c r="HC22" s="18" t="n"/>
      <c r="HD22" s="18" t="n"/>
      <c r="HE22" s="18" t="n"/>
      <c r="HF22" s="18" t="n"/>
      <c r="HG22" s="18" t="n"/>
      <c r="HH22" s="18" t="n"/>
      <c r="HI22" s="18" t="n"/>
      <c r="HJ22" s="18" t="n"/>
      <c r="HK22" s="18" t="n"/>
      <c r="HL22" s="18" t="n"/>
      <c r="HM22" s="18" t="n"/>
      <c r="HN22" s="18" t="n"/>
      <c r="HO22" s="18" t="n"/>
      <c r="HP22" s="18" t="n"/>
      <c r="HQ22" s="18" t="n"/>
      <c r="HR22" s="18" t="n"/>
      <c r="HS22" s="18" t="n"/>
      <c r="HT22" s="18" t="n"/>
      <c r="HU22" s="18" t="n"/>
      <c r="HV22" s="18" t="n"/>
      <c r="HW22" s="18" t="n"/>
      <c r="HX22" s="18" t="n"/>
      <c r="HY22" s="18" t="n"/>
      <c r="HZ22" s="18" t="n"/>
      <c r="IA22" s="18" t="n"/>
      <c r="IB22" s="18" t="n"/>
      <c r="IC22" s="18" t="n"/>
      <c r="ID22" s="18" t="n"/>
      <c r="IE22" s="18" t="n"/>
      <c r="IF22" s="18" t="n"/>
      <c r="IG22" s="18" t="n"/>
      <c r="IH22" s="18" t="n"/>
      <c r="II22" s="18" t="n"/>
      <c r="IJ22" s="18" t="n"/>
      <c r="IK22" s="18" t="n"/>
      <c r="IL22" s="18" t="n"/>
      <c r="IM22" s="18" t="n"/>
      <c r="IN22" s="18" t="n"/>
      <c r="IO22" s="18" t="n"/>
      <c r="IP22" s="18" t="n"/>
      <c r="IQ22" s="18" t="n"/>
      <c r="IR22" s="18" t="n"/>
      <c r="IS22" s="18" t="n"/>
      <c r="IT22" s="18" t="n"/>
      <c r="IU22" s="18" t="n"/>
      <c r="IV22" s="18" t="n"/>
      <c r="IW22" s="18" t="n"/>
      <c r="IX22" s="18" t="n"/>
      <c r="IY22" s="18" t="n"/>
    </row>
    <row r="23" ht="52.05" customHeight="1" s="88">
      <c r="A23" s="29" t="inlineStr">
        <is>
          <t>9000</t>
        </is>
      </c>
      <c r="B23" s="29" t="inlineStr">
        <is>
          <t>9000-3</t>
        </is>
      </c>
      <c r="C23" s="29" t="inlineStr">
        <is>
          <t>지장물이설</t>
        </is>
      </c>
      <c r="D23" s="29" t="inlineStr">
        <is>
          <t>9000-3-22</t>
        </is>
      </c>
      <c r="E23" s="102" t="inlineStr">
        <is>
          <t>9000-3-18</t>
        </is>
      </c>
      <c r="F23" s="102" t="inlineStr">
        <is>
          <t>9000-3-25</t>
        </is>
      </c>
      <c r="G23" s="32" t="inlineStr">
        <is>
          <t>무단수 연결을 위한 시설 설치</t>
        </is>
      </c>
      <c r="H23" s="33" t="inlineStr">
        <is>
          <t>D+8</t>
        </is>
      </c>
      <c r="I23" s="33" t="inlineStr">
        <is>
          <t>현장 공사팀 / 전문업체</t>
        </is>
      </c>
      <c r="J23" s="34" t="inlineStr">
        <is>
          <t>본 과업은 시민 수돗물 공급 중단(단수) 피해를 예방하기 위해, 무단수 천공기 및 밸브 차단 장비를 정밀 체결하여 연속 급수 상태에서 관로 이설 작업을 수행하는 것을 목적으로 함.</t>
        </is>
      </c>
      <c r="K23" s="34" t="inlineStr">
        <is>
          <t>1) 무단수 천공기 정밀 세팅 ➔ 2) 차단 밸브 &amp; 챔버 설치 ➔ 3) 수압 시험 및 가동 시운전 ➔ 4) 무단수 시설 검측 감리 승인</t>
        </is>
      </c>
      <c r="L23" s="34" t="inlineStr">
        <is>
          <t>무단수 천공기 정밀 세팅, 차단 밸브 &amp; 챔버 설치 및 수압 시험/가동 시운전 검측</t>
        </is>
      </c>
      <c r="M23" s="34" t="inlineStr">
        <is>
          <t>본 과업은 시민 수돗물 공급 중단(단수) 피해를 예방하기 위해, 무단수 천공기 및 밸브 차단 장비를 정밀 체결하여 연속 급수 상태에서 관로 이설 작업을 수행하는 것을 목적으로 함.</t>
        </is>
      </c>
      <c r="N23" s="35">
        <f>HYPERLINK(LEFT(CELL("filename",A1),FIND("[",CELL("filename",A1))-1)&amp;"3.지장물이설\12_줄따기(GPR)를 통한 기존 지장물 매설 확인\표준서\줄따기(GPR)를 통한 기존 지장물 매설 확인_표준서.html", "👉 [클릭] 표준서 열기 📄")</f>
        <v/>
      </c>
      <c r="O23" s="34" t="inlineStr">
        <is>
          <t>1) 무단수 천공기 정밀 세팅 ➔ 2) 차단 밸브 &amp; 챔버 설치 ➔ 3) 수압 시험 및 가동 시운전 ➔ 4) 무단수 시설 검측 감리 승인</t>
        </is>
      </c>
      <c r="P23" s="36">
        <f>HYPERLINK(LEFT(CELL("filename",A1),FIND("[",CELL("filename",A1))-1)&amp;"3.지장물이설\12_줄따기(GPR)를 통한 기존 지장물 매설 확인\수행지침\수행지침.html", "👉 [클릭] 수행지침 열기 📄")</f>
        <v/>
      </c>
      <c r="Q23" s="34" t="inlineStr">
        <is>
          <t>무단수 천공기 정밀 세팅, 차단 밸브 &amp; 챔버 설치 및 수압 시험/가동 시운전 검측</t>
        </is>
      </c>
      <c r="R23" s="37">
        <f>HYPERLINK(LEFT(CELL("filename",A1),FIND("[",CELL("filename",A1))-1)&amp;"3.지장물이설\12_줄따기(GPR)를 통한 기존 지장물 매설 확인\체크리스트\줄따기(GPR)를 통한 기존 지장물 매설 확인_체크리스트.html", "👉 [클릭] 체크리스트 열기 📄")</f>
        <v/>
      </c>
      <c r="S23" s="33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8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8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8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18" t="n"/>
      <c r="GI23" s="18" t="n"/>
      <c r="GJ23" s="18" t="n"/>
      <c r="GK23" s="18" t="n"/>
      <c r="GL23" s="18" t="n"/>
      <c r="GM23" s="18" t="n"/>
      <c r="GN23" s="18" t="n"/>
      <c r="GO23" s="18" t="n"/>
      <c r="GP23" s="18" t="n"/>
      <c r="GQ23" s="18" t="n"/>
      <c r="GR23" s="18" t="n"/>
      <c r="GS23" s="18" t="n"/>
      <c r="GT23" s="18" t="n"/>
      <c r="GU23" s="18" t="n"/>
      <c r="GV23" s="18" t="n"/>
      <c r="GW23" s="18" t="n"/>
      <c r="GX23" s="18" t="n"/>
      <c r="GY23" s="18" t="n"/>
      <c r="GZ23" s="18" t="n"/>
      <c r="HA23" s="18" t="n"/>
      <c r="HB23" s="18" t="n"/>
      <c r="HC23" s="18" t="n"/>
      <c r="HD23" s="18" t="n"/>
      <c r="HE23" s="18" t="n"/>
      <c r="HF23" s="18" t="n"/>
      <c r="HG23" s="18" t="n"/>
      <c r="HH23" s="18" t="n"/>
      <c r="HI23" s="18" t="n"/>
      <c r="HJ23" s="18" t="n"/>
      <c r="HK23" s="18" t="n"/>
      <c r="HL23" s="18" t="n"/>
      <c r="HM23" s="18" t="n"/>
      <c r="HN23" s="18" t="n"/>
      <c r="HO23" s="18" t="n"/>
      <c r="HP23" s="18" t="n"/>
      <c r="HQ23" s="18" t="n"/>
      <c r="HR23" s="18" t="n"/>
      <c r="HS23" s="18" t="n"/>
      <c r="HT23" s="18" t="n"/>
      <c r="HU23" s="18" t="n"/>
      <c r="HV23" s="18" t="n"/>
      <c r="HW23" s="18" t="n"/>
      <c r="HX23" s="18" t="n"/>
      <c r="HY23" s="18" t="n"/>
      <c r="HZ23" s="18" t="n"/>
      <c r="IA23" s="18" t="n"/>
      <c r="IB23" s="18" t="n"/>
      <c r="IC23" s="18" t="n"/>
      <c r="ID23" s="18" t="n"/>
      <c r="IE23" s="18" t="n"/>
      <c r="IF23" s="18" t="n"/>
      <c r="IG23" s="18" t="n"/>
      <c r="IH23" s="18" t="n"/>
      <c r="II23" s="18" t="n"/>
      <c r="IJ23" s="18" t="n"/>
      <c r="IK23" s="18" t="n"/>
      <c r="IL23" s="18" t="n"/>
      <c r="IM23" s="18" t="n"/>
      <c r="IN23" s="18" t="n"/>
      <c r="IO23" s="18" t="n"/>
      <c r="IP23" s="18" t="n"/>
      <c r="IQ23" s="18" t="n"/>
      <c r="IR23" s="18" t="n"/>
      <c r="IS23" s="18" t="n"/>
      <c r="IT23" s="18" t="n"/>
      <c r="IU23" s="18" t="n"/>
      <c r="IV23" s="18" t="n"/>
      <c r="IW23" s="18" t="n"/>
      <c r="IX23" s="18" t="n"/>
      <c r="IY23" s="18" t="n"/>
      <c r="IZ23" s="18" t="n"/>
      <c r="JA23" s="18" t="n"/>
      <c r="JB23" s="18" t="n"/>
      <c r="JC23" s="18" t="n"/>
    </row>
    <row r="24" ht="52.05" customHeight="1" s="88">
      <c r="A24" s="19" t="inlineStr">
        <is>
          <t>9000</t>
        </is>
      </c>
      <c r="B24" s="19" t="inlineStr">
        <is>
          <t>9000-3</t>
        </is>
      </c>
      <c r="C24" s="19" t="inlineStr">
        <is>
          <t>지장물이설</t>
        </is>
      </c>
      <c r="D24" s="19" t="inlineStr">
        <is>
          <t>9000-3-23</t>
        </is>
      </c>
      <c r="E24" s="95" t="inlineStr">
        <is>
          <t>9000-3-19, 9000-3-20</t>
        </is>
      </c>
      <c r="F24" s="95" t="inlineStr">
        <is>
          <t>9000-3-26, 9000-3-27</t>
        </is>
      </c>
      <c r="G24" s="23" t="inlineStr">
        <is>
          <t>신규관로 및 연결관로 접속</t>
        </is>
      </c>
      <c r="H24" s="21" t="inlineStr">
        <is>
          <t>D+10</t>
        </is>
      </c>
      <c r="I24" s="21" t="inlineStr">
        <is>
          <t>현장 공사팀</t>
        </is>
      </c>
      <c r="J24" s="24" t="inlineStr">
        <is>
          <t>본 과업은 신구 관로 접속 부위의 기밀성 및 누수 여부를 검증하기 위해, 규정 하중 수압 시험(10kgf/cm², 1시간 유지)을 수행하고 부식 방지 피복 작업을 완수하는 것을 목적으로 함.</t>
        </is>
      </c>
      <c r="K24" s="24" t="inlineStr">
        <is>
          <t>1) 신구 관로 접속 부위 부설 ➔ 2) 수압 시험(10kgf/cm², 1h 유지) ➔ 3) 부식 방지 피복 랩핑 시행 ➔ 4) 관로 접속 검측 성과표 승인</t>
        </is>
      </c>
      <c r="L24" s="24" t="inlineStr">
        <is>
          <t>신구 관로 접속 부위 부설, 수압 시험(10kgf/cm², 1h 유지) 및 부식 방지 피복 랩핑 검측</t>
        </is>
      </c>
      <c r="M24" s="24" t="inlineStr">
        <is>
          <t>본 과업은 신구 관로 접속 부위의 기밀성 및 누수 여부를 검증하기 위해, 규정 하중 수압 시험(10kgf/cm², 1시간 유지)을 수행하고 부식 방지 피복 작업을 완수하는 것을 목적으로 함.</t>
        </is>
      </c>
      <c r="N24" s="25">
        <f>HYPERLINK(LEFT(CELL("filename",A1),FIND("[",CELL("filename",A1))-1)&amp;"3.지장물이설\13_관리기관(맑은물사업소) 협의\표준서\13_관리기관(맑은물사업소) 협의_표준서.html", "👉 [클릭] 표준서 열기 📄")</f>
        <v/>
      </c>
      <c r="O24" s="24" t="inlineStr">
        <is>
          <t>1) 신구 관로 접속 부위 부설 ➔ 2) 수압 시험(10kgf/cm², 1h 유지) ➔ 3) 부식 방지 피복 랩핑 시행 ➔ 4) 관로 접속 검측 성과표 승인</t>
        </is>
      </c>
      <c r="P24" s="26">
        <f>HYPERLINK(LEFT(CELL("filename",A1),FIND("[",CELL("filename",A1))-1)&amp;"3.지장물이설\13_관리기관(맑은물사업소) 협의\수행지침\관리기관(맑은물사업소) 협의_수행지침.html", "👉 [클릭] 수행지침 열기 📄")</f>
        <v/>
      </c>
      <c r="Q24" s="24" t="inlineStr">
        <is>
          <t>신구 관로 접속 부위 부설, 수압 시험(10kgf/cm², 1h 유지) 및 부식 방지 피복 랩핑 검측</t>
        </is>
      </c>
      <c r="R24" s="27">
        <f>HYPERLINK(LEFT(CELL("filename",A1),FIND("[",CELL("filename",A1))-1)&amp;"3.지장물이설\13_관리기관(맑은물사업소) 협의\체크리스트\관리기관(맑은물사업소) 협의_체크리스트.html", "👉 [클릭] 체크리스트 열기 📄")</f>
        <v/>
      </c>
      <c r="S24" s="2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8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8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8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18" t="n"/>
      <c r="GI24" s="18" t="n"/>
      <c r="GJ24" s="18" t="n"/>
      <c r="GK24" s="18" t="n"/>
      <c r="GL24" s="18" t="n"/>
      <c r="GM24" s="18" t="n"/>
      <c r="GN24" s="18" t="n"/>
      <c r="GO24" s="18" t="n"/>
      <c r="GP24" s="18" t="n"/>
      <c r="GQ24" s="18" t="n"/>
      <c r="GR24" s="18" t="n"/>
      <c r="GS24" s="18" t="n"/>
      <c r="GT24" s="18" t="n"/>
      <c r="GU24" s="18" t="n"/>
      <c r="GV24" s="18" t="n"/>
      <c r="GW24" s="18" t="n"/>
      <c r="GX24" s="18" t="n"/>
      <c r="GY24" s="18" t="n"/>
      <c r="GZ24" s="18" t="n"/>
      <c r="HA24" s="18" t="n"/>
      <c r="HB24" s="18" t="n"/>
      <c r="HC24" s="18" t="n"/>
      <c r="HD24" s="18" t="n"/>
      <c r="HE24" s="18" t="n"/>
      <c r="HF24" s="18" t="n"/>
      <c r="HG24" s="18" t="n"/>
      <c r="HH24" s="18" t="n"/>
      <c r="HI24" s="18" t="n"/>
      <c r="HJ24" s="18" t="n"/>
      <c r="HK24" s="18" t="n"/>
      <c r="HL24" s="18" t="n"/>
      <c r="HM24" s="18" t="n"/>
      <c r="HN24" s="18" t="n"/>
      <c r="HO24" s="18" t="n"/>
      <c r="HP24" s="18" t="n"/>
      <c r="HQ24" s="18" t="n"/>
      <c r="HR24" s="18" t="n"/>
      <c r="HS24" s="18" t="n"/>
      <c r="HT24" s="18" t="n"/>
      <c r="HU24" s="18" t="n"/>
      <c r="HV24" s="18" t="n"/>
      <c r="HW24" s="18" t="n"/>
      <c r="HX24" s="18" t="n"/>
      <c r="HY24" s="18" t="n"/>
      <c r="HZ24" s="18" t="n"/>
      <c r="IA24" s="18" t="n"/>
      <c r="IB24" s="18" t="n"/>
      <c r="IC24" s="18" t="n"/>
      <c r="ID24" s="18" t="n"/>
      <c r="IE24" s="18" t="n"/>
      <c r="IF24" s="18" t="n"/>
      <c r="IG24" s="18" t="n"/>
      <c r="IH24" s="18" t="n"/>
      <c r="II24" s="18" t="n"/>
      <c r="IJ24" s="18" t="n"/>
      <c r="IK24" s="18" t="n"/>
      <c r="IL24" s="18" t="n"/>
      <c r="IM24" s="18" t="n"/>
      <c r="IN24" s="18" t="n"/>
      <c r="IO24" s="18" t="n"/>
      <c r="IP24" s="18" t="n"/>
      <c r="IQ24" s="18" t="n"/>
      <c r="IR24" s="18" t="n"/>
      <c r="IS24" s="18" t="n"/>
      <c r="IT24" s="18" t="n"/>
      <c r="IU24" s="18" t="n"/>
      <c r="IV24" s="18" t="n"/>
      <c r="IW24" s="18" t="n"/>
      <c r="IX24" s="18" t="n"/>
      <c r="IY24" s="18" t="n"/>
      <c r="IZ24" s="18" t="n"/>
      <c r="JA24" s="18" t="n"/>
      <c r="JB24" s="18" t="n"/>
      <c r="JC24" s="18" t="n"/>
      <c r="JD24" s="18" t="n"/>
      <c r="JE24" s="18" t="n"/>
      <c r="JF24" s="18" t="n"/>
      <c r="JG24" s="18" t="n"/>
    </row>
    <row r="25" ht="52.05" customHeight="1" s="88">
      <c r="A25" s="29" t="inlineStr">
        <is>
          <t>9000</t>
        </is>
      </c>
      <c r="B25" s="29" t="inlineStr">
        <is>
          <t>9000-3</t>
        </is>
      </c>
      <c r="C25" s="29" t="inlineStr">
        <is>
          <t>지장물이설</t>
        </is>
      </c>
      <c r="D25" s="29" t="inlineStr">
        <is>
          <t>9000-3-24</t>
        </is>
      </c>
      <c r="E25" s="102" t="inlineStr">
        <is>
          <t>9000-3-20, 9000-3-21</t>
        </is>
      </c>
      <c r="F25" s="102" t="inlineStr">
        <is>
          <t>9000-3-27, 9000-3-28</t>
        </is>
      </c>
      <c r="G25" s="32" t="inlineStr">
        <is>
          <t>기존관로 철거 및 원상복구</t>
        </is>
      </c>
      <c r="H25" s="33" t="inlineStr">
        <is>
          <t>D+15</t>
        </is>
      </c>
      <c r="I25" s="33" t="inlineStr">
        <is>
          <t>현장 공사팀</t>
        </is>
      </c>
      <c r="J25" s="34" t="inlineStr">
        <is>
          <t>본 과업은 이설 완료 후 사용 중지된 폐관로를 안전하게 수거·폐기하고, 굴착 구역을 토사 30cm 층다짐(다짐도 95% 이상) 및 아스콘 가포설로 원래 도로 상태로 정밀 복구하는 것을 목적으로 함.</t>
        </is>
      </c>
      <c r="K25" s="34" t="inlineStr">
        <is>
          <t>1) 기존 폐관로 안전 철거/수거 ➔ 2) 토사 30cm 층다짐(다짐도≥95%) ➔ 3) 아스콘 가포설 &amp; 평탄성 검측 ➔ 4) 원상복구 성과표 감리 승인</t>
        </is>
      </c>
      <c r="L25" s="34" t="inlineStr">
        <is>
          <t>기존 폐관로 안전 철거/수거, 토사 30cm 층다짐(다짐도 ≥ 95%) 원상복구 및 아스콘 가포설</t>
        </is>
      </c>
      <c r="M25" s="34" t="inlineStr">
        <is>
          <t>본 과업은 이설 완료 후 사용 중지된 폐관로를 안전하게 수거·폐기하고, 굴착 구역을 토사 30cm 층다짐(다짐도 95% 이상) 및 아스콘 가포설로 원래 도로 상태로 정밀 복구하는 것을 목적으로 함.</t>
        </is>
      </c>
      <c r="N25" s="35">
        <f>HYPERLINK(LEFT(CELL("filename",A1),FIND("[",CELL("filename",A1))-1)&amp;"3.지장물이설\13_이설 위치 토공 굴착\표준서\이설 위치 토공 굴착_표준서.html", "👉 [클릭] 표준서 열기 📄")</f>
        <v/>
      </c>
      <c r="O25" s="34" t="inlineStr">
        <is>
          <t>1) 기존 폐관로 안전 철거/수거 ➔ 2) 토사 30cm 층다짐(다짐도≥95%) ➔ 3) 아스콘 가포설 &amp; 평탄성 검측 ➔ 4) 원상복구 성과표 감리 승인</t>
        </is>
      </c>
      <c r="P25" s="36">
        <f>HYPERLINK(LEFT(CELL("filename",A1),FIND("[",CELL("filename",A1))-1)&amp;"3.지장물이설\13_이설 위치 토공 굴착\수행지침\수행지침.html", "👉 [클릭] 수행지침 열기 📄")</f>
        <v/>
      </c>
      <c r="Q25" s="34" t="inlineStr">
        <is>
          <t>기존 폐관로 안전 철거/수거, 토사 30cm 층다짐(다짐도 ≥ 95%) 원상복구 및 아스콘 가포설</t>
        </is>
      </c>
      <c r="R25" s="37">
        <f>HYPERLINK(LEFT(CELL("filename",A1),FIND("[",CELL("filename",A1))-1)&amp;"3.지장물이설\13_이설 위치 토공 굴착\체크리스트\이설 위치 토공 굴착_체크리스트.html", "👉 [클릭] 체크리스트 열기 📄")</f>
        <v/>
      </c>
      <c r="S25" s="33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8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8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8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18" t="n"/>
      <c r="GI25" s="18" t="n"/>
      <c r="GJ25" s="18" t="n"/>
      <c r="GK25" s="18" t="n"/>
      <c r="GL25" s="18" t="n"/>
      <c r="GM25" s="18" t="n"/>
      <c r="GN25" s="18" t="n"/>
      <c r="GO25" s="18" t="n"/>
      <c r="GP25" s="18" t="n"/>
      <c r="GQ25" s="18" t="n"/>
      <c r="GR25" s="18" t="n"/>
      <c r="GS25" s="18" t="n"/>
      <c r="GT25" s="18" t="n"/>
      <c r="GU25" s="18" t="n"/>
      <c r="GV25" s="18" t="n"/>
      <c r="GW25" s="18" t="n"/>
      <c r="GX25" s="18" t="n"/>
      <c r="GY25" s="18" t="n"/>
      <c r="GZ25" s="18" t="n"/>
      <c r="HA25" s="18" t="n"/>
      <c r="HB25" s="18" t="n"/>
      <c r="HC25" s="18" t="n"/>
      <c r="HD25" s="18" t="n"/>
      <c r="HE25" s="18" t="n"/>
      <c r="HF25" s="18" t="n"/>
      <c r="HG25" s="18" t="n"/>
      <c r="HH25" s="18" t="n"/>
      <c r="HI25" s="18" t="n"/>
      <c r="HJ25" s="18" t="n"/>
      <c r="HK25" s="18" t="n"/>
      <c r="HL25" s="18" t="n"/>
      <c r="HM25" s="18" t="n"/>
      <c r="HN25" s="18" t="n"/>
      <c r="HO25" s="18" t="n"/>
      <c r="HP25" s="18" t="n"/>
      <c r="HQ25" s="18" t="n"/>
      <c r="HR25" s="18" t="n"/>
      <c r="HS25" s="18" t="n"/>
      <c r="HT25" s="18" t="n"/>
      <c r="HU25" s="18" t="n"/>
      <c r="HV25" s="18" t="n"/>
      <c r="HW25" s="18" t="n"/>
      <c r="HX25" s="18" t="n"/>
      <c r="HY25" s="18" t="n"/>
      <c r="HZ25" s="18" t="n"/>
      <c r="IA25" s="18" t="n"/>
      <c r="IB25" s="18" t="n"/>
      <c r="IC25" s="18" t="n"/>
      <c r="ID25" s="18" t="n"/>
      <c r="IE25" s="18" t="n"/>
      <c r="IF25" s="18" t="n"/>
      <c r="IG25" s="18" t="n"/>
      <c r="IH25" s="18" t="n"/>
      <c r="II25" s="18" t="n"/>
      <c r="IJ25" s="18" t="n"/>
      <c r="IK25" s="18" t="n"/>
      <c r="IL25" s="18" t="n"/>
      <c r="IM25" s="18" t="n"/>
      <c r="IN25" s="18" t="n"/>
      <c r="IO25" s="18" t="n"/>
      <c r="IP25" s="18" t="n"/>
      <c r="IQ25" s="18" t="n"/>
      <c r="IR25" s="18" t="n"/>
      <c r="IS25" s="18" t="n"/>
      <c r="IT25" s="18" t="n"/>
      <c r="IU25" s="18" t="n"/>
      <c r="IV25" s="18" t="n"/>
      <c r="IW25" s="18" t="n"/>
      <c r="IX25" s="18" t="n"/>
      <c r="IY25" s="18" t="n"/>
      <c r="IZ25" s="18" t="n"/>
      <c r="JA25" s="18" t="n"/>
      <c r="JB25" s="18" t="n"/>
      <c r="JC25" s="18" t="n"/>
      <c r="JD25" s="18" t="n"/>
      <c r="JE25" s="18" t="n"/>
      <c r="JF25" s="18" t="n"/>
      <c r="JG25" s="18" t="n"/>
      <c r="JH25" s="18" t="n"/>
      <c r="JI25" s="18" t="n"/>
      <c r="JJ25" s="18" t="n"/>
      <c r="JK25" s="18" t="n"/>
    </row>
    <row r="26" ht="52.05" customHeight="1" s="88">
      <c r="A26" s="19" t="inlineStr">
        <is>
          <t>9000</t>
        </is>
      </c>
      <c r="B26" s="19" t="inlineStr">
        <is>
          <t>9000-3</t>
        </is>
      </c>
      <c r="C26" s="19" t="inlineStr">
        <is>
          <t>지장물이설</t>
        </is>
      </c>
      <c r="D26" s="19" t="inlineStr">
        <is>
          <t>9000-3-25</t>
        </is>
      </c>
      <c r="E26" s="95" t="inlineStr">
        <is>
          <t>9000-3-21, 9000-3-22</t>
        </is>
      </c>
      <c r="F26" s="95" t="inlineStr">
        <is>
          <t>9000-3-28, 9000-3-29</t>
        </is>
      </c>
      <c r="G26" s="23" t="inlineStr">
        <is>
          <t>광역상수관 이설 공사</t>
        </is>
      </c>
      <c r="H26" s="21" t="inlineStr">
        <is>
          <t>D+20</t>
        </is>
      </c>
      <c r="I26" s="21" t="inlineStr">
        <is>
          <t>공사팀 (협의: 한국수자원공사)</t>
        </is>
      </c>
      <c r="J26" s="24" t="inlineStr">
        <is>
          <t>본 과업은 광역상수관(Ø500mm 이상) 이설 시 한국수자원공사 입회 하에 수압 시험 및 수질 검사를 실시하여, 광역 용수 공급의 안정성과 수질 안전성을 확보하는 것을 목적으로 함.</t>
        </is>
      </c>
      <c r="K26" s="24" t="inlineStr">
        <is>
          <t>1) 광역상수관(Ø500mm+) 부설 ➔ 2) 수압 시험 &amp; 수질 검사 시행 ➔ 3) 한국수자원공사 현장 입회 ➔ 4) 광역상수관 이설 완료 승인</t>
        </is>
      </c>
      <c r="L26" s="24" t="inlineStr">
        <is>
          <t>광역상수관(Ø500mm+) 부설, 수압 시험 및 수질 검사 합격 (한국수자원공사 1:1 입회 검측)</t>
        </is>
      </c>
      <c r="M26" s="24" t="inlineStr">
        <is>
          <t>본 과업은 광역상수관(Ø500mm 이상) 이설 시 한국수자원공사 입회 하에 수압 시험 및 수질 검사를 실시하여, 광역 용수 공급의 안정성과 수질 안전성을 확보하는 것을 목적으로 함.</t>
        </is>
      </c>
      <c r="N26" s="25">
        <f>HYPERLINK(LEFT(CELL("filename",A1),FIND("[",CELL("filename",A1))-1)&amp;"3.지장물이설\14_신규관로 매설 및 설치\표준서\신규관로 매설 및 설치_표준서.html", "👉 [클릭] 표준서 열기 📄")</f>
        <v/>
      </c>
      <c r="O26" s="24" t="inlineStr">
        <is>
          <t>1) 광역상수관(Ø500mm+) 부설 ➔ 2) 수압 시험 &amp; 수질 검사 시행 ➔ 3) 한국수자원공사 현장 입회 ➔ 4) 광역상수관 이설 완료 승인</t>
        </is>
      </c>
      <c r="P26" s="26">
        <f>HYPERLINK(LEFT(CELL("filename",A1),FIND("[",CELL("filename",A1))-1)&amp;"3.지장물이설\14_신규관로 매설 및 설치\수행지침\수행지침.html", "👉 [클릭] 수행지침 열기 📄")</f>
        <v/>
      </c>
      <c r="Q26" s="24" t="inlineStr">
        <is>
          <t>광역상수관(Ø500mm+) 부설, 수압 시험 및 수질 검사 합격 (한국수자원공사 1:1 입회 검측)</t>
        </is>
      </c>
      <c r="R26" s="27">
        <f>HYPERLINK(LEFT(CELL("filename",A1),FIND("[",CELL("filename",A1))-1)&amp;"3.지장물이설\14_신규관로 매설 및 설치\체크리스트\신규관로 매설 및 설치_체크리스트.html", "👉 [클릭] 체크리스트 열기 📄")</f>
        <v/>
      </c>
      <c r="S26" s="2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8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8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8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18" t="n"/>
      <c r="GI26" s="18" t="n"/>
      <c r="GJ26" s="18" t="n"/>
      <c r="GK26" s="18" t="n"/>
      <c r="GL26" s="18" t="n"/>
      <c r="GM26" s="18" t="n"/>
      <c r="GN26" s="18" t="n"/>
      <c r="GO26" s="18" t="n"/>
      <c r="GP26" s="18" t="n"/>
      <c r="GQ26" s="18" t="n"/>
      <c r="GR26" s="18" t="n"/>
      <c r="GS26" s="18" t="n"/>
      <c r="GT26" s="18" t="n"/>
      <c r="GU26" s="18" t="n"/>
      <c r="GV26" s="18" t="n"/>
      <c r="GW26" s="18" t="n"/>
      <c r="GX26" s="18" t="n"/>
      <c r="GY26" s="18" t="n"/>
      <c r="GZ26" s="18" t="n"/>
      <c r="HA26" s="18" t="n"/>
      <c r="HB26" s="18" t="n"/>
      <c r="HC26" s="18" t="n"/>
      <c r="HD26" s="18" t="n"/>
      <c r="HE26" s="18" t="n"/>
      <c r="HF26" s="18" t="n"/>
      <c r="HG26" s="18" t="n"/>
      <c r="HH26" s="18" t="n"/>
      <c r="HI26" s="18" t="n"/>
      <c r="HJ26" s="18" t="n"/>
      <c r="HK26" s="18" t="n"/>
      <c r="HL26" s="18" t="n"/>
      <c r="HM26" s="18" t="n"/>
      <c r="HN26" s="18" t="n"/>
      <c r="HO26" s="18" t="n"/>
      <c r="HP26" s="18" t="n"/>
      <c r="HQ26" s="18" t="n"/>
      <c r="HR26" s="18" t="n"/>
      <c r="HS26" s="18" t="n"/>
      <c r="HT26" s="18" t="n"/>
      <c r="HU26" s="18" t="n"/>
      <c r="HV26" s="18" t="n"/>
      <c r="HW26" s="18" t="n"/>
      <c r="HX26" s="18" t="n"/>
      <c r="HY26" s="18" t="n"/>
      <c r="HZ26" s="18" t="n"/>
      <c r="IA26" s="18" t="n"/>
      <c r="IB26" s="18" t="n"/>
      <c r="IC26" s="18" t="n"/>
      <c r="ID26" s="18" t="n"/>
      <c r="IE26" s="18" t="n"/>
      <c r="IF26" s="18" t="n"/>
      <c r="IG26" s="18" t="n"/>
      <c r="IH26" s="18" t="n"/>
      <c r="II26" s="18" t="n"/>
      <c r="IJ26" s="18" t="n"/>
      <c r="IK26" s="18" t="n"/>
      <c r="IL26" s="18" t="n"/>
      <c r="IM26" s="18" t="n"/>
      <c r="IN26" s="18" t="n"/>
      <c r="IO26" s="18" t="n"/>
      <c r="IP26" s="18" t="n"/>
      <c r="IQ26" s="18" t="n"/>
      <c r="IR26" s="18" t="n"/>
      <c r="IS26" s="18" t="n"/>
      <c r="IT26" s="18" t="n"/>
      <c r="IU26" s="18" t="n"/>
      <c r="IV26" s="18" t="n"/>
      <c r="IW26" s="18" t="n"/>
      <c r="IX26" s="18" t="n"/>
      <c r="IY26" s="18" t="n"/>
      <c r="IZ26" s="18" t="n"/>
      <c r="JA26" s="18" t="n"/>
      <c r="JB26" s="18" t="n"/>
      <c r="JC26" s="18" t="n"/>
      <c r="JD26" s="18" t="n"/>
      <c r="JE26" s="18" t="n"/>
      <c r="JF26" s="18" t="n"/>
      <c r="JG26" s="18" t="n"/>
      <c r="JH26" s="18" t="n"/>
      <c r="JI26" s="18" t="n"/>
      <c r="JJ26" s="18" t="n"/>
      <c r="JK26" s="18" t="n"/>
      <c r="JL26" s="18" t="n"/>
      <c r="JM26" s="18" t="n"/>
      <c r="JN26" s="18" t="n"/>
      <c r="JO26" s="18" t="n"/>
    </row>
    <row r="27" ht="52.05" customHeight="1" s="88">
      <c r="A27" s="29" t="inlineStr">
        <is>
          <t>9000</t>
        </is>
      </c>
      <c r="B27" s="29" t="inlineStr">
        <is>
          <t>9000-3</t>
        </is>
      </c>
      <c r="C27" s="29" t="inlineStr">
        <is>
          <t>지장물이설</t>
        </is>
      </c>
      <c r="D27" s="29" t="inlineStr">
        <is>
          <t>9000-3-26</t>
        </is>
      </c>
      <c r="E27" s="102" t="inlineStr">
        <is>
          <t>9000-3-23</t>
        </is>
      </c>
      <c r="F27" s="102" t="inlineStr">
        <is>
          <t>9000-3-30</t>
        </is>
      </c>
      <c r="G27" s="32" t="inlineStr">
        <is>
          <t>상수도 관로 이설 공사</t>
        </is>
      </c>
      <c r="H27" s="33" t="inlineStr">
        <is>
          <t>D+22</t>
        </is>
      </c>
      <c r="I27" s="33" t="inlineStr">
        <is>
          <t>공사팀 (협의: 맑은물사업소)</t>
        </is>
      </c>
      <c r="J27" s="34" t="inlineStr">
        <is>
          <t>본 과업은 지방 상수도 배수관(Ø200~300mm) 이설 후 탁수 퇴수 작업 및 잔류염소 수질 검사를 시행하여, 주민 유해 물질 없는 깨끗한 수돗물 공급 상태를 검증하는 것을 목적으로 함.</t>
        </is>
      </c>
      <c r="K27" s="34" t="inlineStr">
        <is>
          <t>1) 배수관(Ø200~300mm) 이설 부설 ➔ 2) 탁수 퇴수 &amp; 잔류염소 시험 ➔ 3) 맑은물사업소 합동 현측 ➔ 4) 상수도 관로 이설 감리 승인</t>
        </is>
      </c>
      <c r="L27" s="34" t="inlineStr">
        <is>
          <t>배수관(Ø200~300mm) 이설, 탁수 퇴수 작업 및 잔류염소 시험 합격 (맑은물사업소 현측)</t>
        </is>
      </c>
      <c r="M27" s="34" t="inlineStr">
        <is>
          <t>본 과업은 지방 상수도 배수관(Ø200~300mm) 이설 후 탁수 퇴수 작업 및 잔류염소 수질 검사를 시행하여, 주민 유해 물질 없는 깨끗한 수돗물 공급 상태를 검증하는 것을 목적으로 함.</t>
        </is>
      </c>
      <c r="N27" s="35">
        <f>HYPERLINK(LEFT(CELL("filename",A1),FIND("[",CELL("filename",A1))-1)&amp;"3.지장물이설\14_위수탁 지장물 이설 설계\표준서\14_위수탁 지장물 이설 설계_표준서.html", "👉 [클릭] 표준서 열기 📄")</f>
        <v/>
      </c>
      <c r="O27" s="34" t="inlineStr">
        <is>
          <t>1) 배수관(Ø200~300mm) 이설 부설 ➔ 2) 탁수 퇴수 &amp; 잔류염소 시험 ➔ 3) 맑은물사업소 합동 현측 ➔ 4) 상수도 관로 이설 감리 승인</t>
        </is>
      </c>
      <c r="P27" s="36">
        <f>HYPERLINK(LEFT(CELL("filename",A1),FIND("[",CELL("filename",A1))-1)&amp;"3.지장물이설\14_위수탁 지장물 이설 설계\수행지침\수행지침.html", "👉 [클릭] 수행지침 열기 📄")</f>
        <v/>
      </c>
      <c r="Q27" s="34" t="inlineStr">
        <is>
          <t>배수관(Ø200~300mm) 이설, 탁수 퇴수 작업 및 잔류염소 시험 합격 (맑은물사업소 현측)</t>
        </is>
      </c>
      <c r="R27" s="37">
        <f>HYPERLINK(LEFT(CELL("filename",A1),FIND("[",CELL("filename",A1))-1)&amp;"3.지장물이설\14_위수탁 지장물 이설 설계\체크리스트\위수탁 지장물 이설 설계_체크리스트.html", "👉 [클릭] 체크리스트 열기 📄")</f>
        <v/>
      </c>
      <c r="S27" s="33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Y27" s="18" t="n"/>
      <c r="DZ27" s="18" t="n"/>
      <c r="EA27" s="18" t="n"/>
      <c r="EB27" s="18" t="n"/>
      <c r="EC27" s="18" t="n"/>
      <c r="ED27" s="18" t="n"/>
      <c r="EE27" s="18" t="n"/>
      <c r="EF27" s="18" t="n"/>
      <c r="EG27" s="18" t="n"/>
      <c r="EH27" s="18" t="n"/>
      <c r="EI27" s="18" t="n"/>
      <c r="EJ27" s="18" t="n"/>
      <c r="EK27" s="18" t="n"/>
      <c r="EL27" s="18" t="n"/>
      <c r="EM27" s="18" t="n"/>
      <c r="EN27" s="18" t="n"/>
      <c r="EO27" s="18" t="n"/>
      <c r="EP27" s="18" t="n"/>
      <c r="EQ27" s="18" t="n"/>
      <c r="ER27" s="18" t="n"/>
      <c r="ES27" s="18" t="n"/>
      <c r="ET27" s="18" t="n"/>
      <c r="EU27" s="18" t="n"/>
      <c r="EV27" s="18" t="n"/>
      <c r="EW27" s="18" t="n"/>
      <c r="EX27" s="18" t="n"/>
      <c r="EY27" s="18" t="n"/>
      <c r="EZ27" s="18" t="n"/>
      <c r="FA27" s="18" t="n"/>
      <c r="FB27" s="18" t="n"/>
      <c r="FC27" s="18" t="n"/>
      <c r="FD27" s="18" t="n"/>
      <c r="FE27" s="18" t="n"/>
      <c r="FF27" s="18" t="n"/>
      <c r="FG27" s="18" t="n"/>
      <c r="FH27" s="18" t="n"/>
      <c r="FI27" s="18" t="n"/>
      <c r="FJ27" s="18" t="n"/>
      <c r="FK27" s="18" t="n"/>
      <c r="FL27" s="18" t="n"/>
      <c r="FM27" s="18" t="n"/>
      <c r="FN27" s="18" t="n"/>
      <c r="FO27" s="18" t="n"/>
      <c r="FP27" s="18" t="n"/>
      <c r="FQ27" s="18" t="n"/>
      <c r="FR27" s="18" t="n"/>
      <c r="FS27" s="18" t="n"/>
      <c r="FT27" s="18" t="n"/>
      <c r="FU27" s="18" t="n"/>
      <c r="FV27" s="18" t="n"/>
      <c r="FW27" s="18" t="n"/>
      <c r="FX27" s="18" t="n"/>
      <c r="FY27" s="18" t="n"/>
      <c r="FZ27" s="18" t="n"/>
      <c r="GA27" s="18" t="n"/>
      <c r="GB27" s="18" t="n"/>
      <c r="GC27" s="18" t="n"/>
      <c r="GD27" s="18" t="n"/>
      <c r="GE27" s="18" t="n"/>
      <c r="GF27" s="18" t="n"/>
      <c r="GG27" s="18" t="n"/>
      <c r="GH27" s="18" t="n"/>
      <c r="GI27" s="18" t="n"/>
      <c r="GJ27" s="18" t="n"/>
      <c r="GK27" s="18" t="n"/>
      <c r="GL27" s="18" t="n"/>
      <c r="GM27" s="18" t="n"/>
      <c r="GN27" s="18" t="n"/>
      <c r="GO27" s="18" t="n"/>
      <c r="GP27" s="18" t="n"/>
      <c r="GQ27" s="18" t="n"/>
      <c r="GR27" s="18" t="n"/>
      <c r="GS27" s="18" t="n"/>
      <c r="GT27" s="18" t="n"/>
      <c r="GU27" s="18" t="n"/>
      <c r="GV27" s="18" t="n"/>
      <c r="GW27" s="18" t="n"/>
      <c r="GX27" s="18" t="n"/>
      <c r="GY27" s="18" t="n"/>
      <c r="GZ27" s="18" t="n"/>
      <c r="HA27" s="18" t="n"/>
      <c r="HB27" s="18" t="n"/>
      <c r="HC27" s="18" t="n"/>
      <c r="HD27" s="18" t="n"/>
      <c r="HE27" s="18" t="n"/>
      <c r="HF27" s="18" t="n"/>
      <c r="HG27" s="18" t="n"/>
      <c r="HH27" s="18" t="n"/>
      <c r="HI27" s="18" t="n"/>
      <c r="HJ27" s="18" t="n"/>
      <c r="HK27" s="18" t="n"/>
      <c r="HL27" s="18" t="n"/>
      <c r="HM27" s="18" t="n"/>
      <c r="HN27" s="18" t="n"/>
      <c r="HO27" s="18" t="n"/>
      <c r="HP27" s="18" t="n"/>
      <c r="HQ27" s="18" t="n"/>
      <c r="HR27" s="18" t="n"/>
      <c r="HS27" s="18" t="n"/>
      <c r="HT27" s="18" t="n"/>
      <c r="HU27" s="18" t="n"/>
      <c r="HV27" s="18" t="n"/>
      <c r="HW27" s="18" t="n"/>
      <c r="HX27" s="18" t="n"/>
      <c r="HY27" s="18" t="n"/>
      <c r="HZ27" s="18" t="n"/>
      <c r="IA27" s="18" t="n"/>
      <c r="IB27" s="18" t="n"/>
      <c r="IC27" s="18" t="n"/>
      <c r="ID27" s="18" t="n"/>
      <c r="IE27" s="18" t="n"/>
      <c r="IF27" s="18" t="n"/>
      <c r="IG27" s="18" t="n"/>
      <c r="IH27" s="18" t="n"/>
      <c r="II27" s="18" t="n"/>
      <c r="IJ27" s="18" t="n"/>
      <c r="IK27" s="18" t="n"/>
      <c r="IL27" s="18" t="n"/>
      <c r="IM27" s="18" t="n"/>
      <c r="IN27" s="18" t="n"/>
      <c r="IO27" s="18" t="n"/>
      <c r="IP27" s="18" t="n"/>
      <c r="IQ27" s="18" t="n"/>
      <c r="IR27" s="18" t="n"/>
      <c r="IS27" s="18" t="n"/>
      <c r="IT27" s="18" t="n"/>
      <c r="IU27" s="18" t="n"/>
      <c r="IV27" s="18" t="n"/>
      <c r="IW27" s="18" t="n"/>
      <c r="IX27" s="18" t="n"/>
      <c r="IY27" s="18" t="n"/>
      <c r="IZ27" s="18" t="n"/>
      <c r="JA27" s="18" t="n"/>
      <c r="JB27" s="18" t="n"/>
      <c r="JC27" s="18" t="n"/>
      <c r="JD27" s="18" t="n"/>
      <c r="JE27" s="18" t="n"/>
      <c r="JF27" s="18" t="n"/>
      <c r="JG27" s="18" t="n"/>
      <c r="JH27" s="18" t="n"/>
      <c r="JI27" s="18" t="n"/>
      <c r="JJ27" s="18" t="n"/>
      <c r="JK27" s="18" t="n"/>
      <c r="JL27" s="18" t="n"/>
      <c r="JM27" s="18" t="n"/>
      <c r="JN27" s="18" t="n"/>
      <c r="JO27" s="18" t="n"/>
      <c r="JP27" s="18" t="n"/>
      <c r="JQ27" s="18" t="n"/>
      <c r="JR27" s="18" t="n"/>
      <c r="JS27" s="18" t="n"/>
    </row>
    <row r="28" ht="52.05" customHeight="1" s="88">
      <c r="A28" s="19" t="inlineStr">
        <is>
          <t>9000</t>
        </is>
      </c>
      <c r="B28" s="19" t="inlineStr">
        <is>
          <t>9000-3</t>
        </is>
      </c>
      <c r="C28" s="19" t="inlineStr">
        <is>
          <t>지장물이설</t>
        </is>
      </c>
      <c r="D28" s="19" t="inlineStr">
        <is>
          <t>9000-3-27</t>
        </is>
      </c>
      <c r="E28" s="95" t="inlineStr">
        <is>
          <t>9000-3-23, 9000-3-24</t>
        </is>
      </c>
      <c r="F28" s="95" t="inlineStr">
        <is>
          <t>9000-3-30, 9000-3-31</t>
        </is>
      </c>
      <c r="G28" s="23" t="inlineStr">
        <is>
          <t>하수도 관로 이설 공사</t>
        </is>
      </c>
      <c r="H28" s="21" t="inlineStr">
        <is>
          <t>D+25</t>
        </is>
      </c>
      <c r="I28" s="21" t="inlineStr">
        <is>
          <t>공사팀 (협의: 맑은물사업소)</t>
        </is>
      </c>
      <c r="J28" s="24" t="inlineStr">
        <is>
          <t>본 과업은 하수관(Ø400mm 이상) 이설 후 CCTV 관로 내부 전수 검사 및 통수 담수 시험을 시행하여, 관로 파손이나 구배 불량에 따른 배수 막힘을 예방하는 것을 목적으로 함.</t>
        </is>
      </c>
      <c r="K28" s="24" t="inlineStr">
        <is>
          <t>1) 하수관(Ø400mm+) 연결 부설 ➔ 2) CCTV 관로 내부 검사 시행 ➔ 3) 통수 담수 시험 완료 ➔ 4) 하수도 관로 이설 감리 승인</t>
        </is>
      </c>
      <c r="L28" s="24" t="inlineStr">
        <is>
          <t>하수관(Ø400mm+) 연결 부설, CCTV 관로 내부 검사 &amp; 통수 담수 시험 합격 (하수도사업소 인수)</t>
        </is>
      </c>
      <c r="M28" s="24" t="inlineStr">
        <is>
          <t>본 과업은 하수관(Ø400mm 이상) 이설 후 CCTV 관로 내부 전수 검사 및 통수 담수 시험을 시행하여, 관로 파손이나 구배 불량에 따른 배수 막힘을 예방하는 것을 목적으로 함.</t>
        </is>
      </c>
      <c r="N28" s="25">
        <f>HYPERLINK(LEFT(CELL("filename",A1),FIND("[",CELL("filename",A1))-1)&amp;"3.지장물이설\15_무단수 연결을 위한 시설 설치\표준서\무단수 연결을 위한 시설 설치_표준서.html", "👉 [클릭] 표준서 열기 📄")</f>
        <v/>
      </c>
      <c r="O28" s="24" t="inlineStr">
        <is>
          <t>1) 하수관(Ø400mm+) 연결 부설 ➔ 2) CCTV 관로 내부 검사 시행 ➔ 3) 통수 담수 시험 완료 ➔ 4) 하수도 관로 이설 감리 승인</t>
        </is>
      </c>
      <c r="P28" s="26">
        <f>HYPERLINK(LEFT(CELL("filename",A1),FIND("[",CELL("filename",A1))-1)&amp;"3.지장물이설\15_무단수 연결을 위한 시설 설치\수행지침\무단수 연결을 위한 시설 설치_수행지침.html", "👉 [클릭] 수행지침 열기 📄")</f>
        <v/>
      </c>
      <c r="Q28" s="24" t="inlineStr">
        <is>
          <t>하수관(Ø400mm+) 연결 부설, CCTV 관로 내부 검사 &amp; 통수 담수 시험 합격 (하수도사업소 인수)</t>
        </is>
      </c>
      <c r="R28" s="27">
        <f>HYPERLINK(LEFT(CELL("filename",A1),FIND("[",CELL("filename",A1))-1)&amp;"3.지장물이설\15_무단수 연결을 위한 시설 설치\체크리스트\무단수 연결을 위한 시설 설치_체크리스트.html", "👉 [클릭] 체크리스트 열기 📄")</f>
        <v/>
      </c>
      <c r="S28" s="2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Y28" s="18" t="n"/>
      <c r="DZ28" s="18" t="n"/>
      <c r="EA28" s="18" t="n"/>
      <c r="EB28" s="18" t="n"/>
      <c r="EC28" s="18" t="n"/>
      <c r="ED28" s="18" t="n"/>
      <c r="EE28" s="18" t="n"/>
      <c r="EF28" s="18" t="n"/>
      <c r="EG28" s="18" t="n"/>
      <c r="EH28" s="18" t="n"/>
      <c r="EI28" s="18" t="n"/>
      <c r="EJ28" s="18" t="n"/>
      <c r="EK28" s="18" t="n"/>
      <c r="EL28" s="18" t="n"/>
      <c r="EM28" s="18" t="n"/>
      <c r="EN28" s="18" t="n"/>
      <c r="EO28" s="18" t="n"/>
      <c r="EP28" s="18" t="n"/>
      <c r="EQ28" s="18" t="n"/>
      <c r="ER28" s="18" t="n"/>
      <c r="ES28" s="18" t="n"/>
      <c r="ET28" s="18" t="n"/>
      <c r="EU28" s="18" t="n"/>
      <c r="EV28" s="18" t="n"/>
      <c r="EW28" s="18" t="n"/>
      <c r="EX28" s="18" t="n"/>
      <c r="EY28" s="18" t="n"/>
      <c r="EZ28" s="18" t="n"/>
      <c r="FA28" s="18" t="n"/>
      <c r="FB28" s="18" t="n"/>
      <c r="FC28" s="18" t="n"/>
      <c r="FD28" s="18" t="n"/>
      <c r="FE28" s="18" t="n"/>
      <c r="FF28" s="18" t="n"/>
      <c r="FG28" s="18" t="n"/>
      <c r="FH28" s="18" t="n"/>
      <c r="FI28" s="18" t="n"/>
      <c r="FJ28" s="18" t="n"/>
      <c r="FK28" s="18" t="n"/>
      <c r="FL28" s="18" t="n"/>
      <c r="FM28" s="18" t="n"/>
      <c r="FN28" s="18" t="n"/>
      <c r="FO28" s="18" t="n"/>
      <c r="FP28" s="18" t="n"/>
      <c r="FQ28" s="18" t="n"/>
      <c r="FR28" s="18" t="n"/>
      <c r="FS28" s="18" t="n"/>
      <c r="FT28" s="18" t="n"/>
      <c r="FU28" s="18" t="n"/>
      <c r="FV28" s="18" t="n"/>
      <c r="FW28" s="18" t="n"/>
      <c r="FX28" s="18" t="n"/>
      <c r="FY28" s="18" t="n"/>
      <c r="FZ28" s="18" t="n"/>
      <c r="GA28" s="18" t="n"/>
      <c r="GB28" s="18" t="n"/>
      <c r="GC28" s="18" t="n"/>
      <c r="GD28" s="18" t="n"/>
      <c r="GE28" s="18" t="n"/>
      <c r="GF28" s="18" t="n"/>
      <c r="GG28" s="18" t="n"/>
      <c r="GH28" s="18" t="n"/>
      <c r="GI28" s="18" t="n"/>
      <c r="GJ28" s="18" t="n"/>
      <c r="GK28" s="18" t="n"/>
      <c r="GL28" s="18" t="n"/>
      <c r="GM28" s="18" t="n"/>
      <c r="GN28" s="18" t="n"/>
      <c r="GO28" s="18" t="n"/>
      <c r="GP28" s="18" t="n"/>
      <c r="GQ28" s="18" t="n"/>
      <c r="GR28" s="18" t="n"/>
      <c r="GS28" s="18" t="n"/>
      <c r="GT28" s="18" t="n"/>
      <c r="GU28" s="18" t="n"/>
      <c r="GV28" s="18" t="n"/>
      <c r="GW28" s="18" t="n"/>
      <c r="GX28" s="18" t="n"/>
      <c r="GY28" s="18" t="n"/>
      <c r="GZ28" s="18" t="n"/>
      <c r="HA28" s="18" t="n"/>
      <c r="HB28" s="18" t="n"/>
      <c r="HC28" s="18" t="n"/>
      <c r="HD28" s="18" t="n"/>
      <c r="HE28" s="18" t="n"/>
      <c r="HF28" s="18" t="n"/>
      <c r="HG28" s="18" t="n"/>
      <c r="HH28" s="18" t="n"/>
      <c r="HI28" s="18" t="n"/>
      <c r="HJ28" s="18" t="n"/>
      <c r="HK28" s="18" t="n"/>
      <c r="HL28" s="18" t="n"/>
      <c r="HM28" s="18" t="n"/>
      <c r="HN28" s="18" t="n"/>
      <c r="HO28" s="18" t="n"/>
      <c r="HP28" s="18" t="n"/>
      <c r="HQ28" s="18" t="n"/>
      <c r="HR28" s="18" t="n"/>
      <c r="HS28" s="18" t="n"/>
      <c r="HT28" s="18" t="n"/>
      <c r="HU28" s="18" t="n"/>
      <c r="HV28" s="18" t="n"/>
      <c r="HW28" s="18" t="n"/>
      <c r="HX28" s="18" t="n"/>
      <c r="HY28" s="18" t="n"/>
      <c r="HZ28" s="18" t="n"/>
      <c r="IA28" s="18" t="n"/>
      <c r="IB28" s="18" t="n"/>
      <c r="IC28" s="18" t="n"/>
      <c r="ID28" s="18" t="n"/>
      <c r="IE28" s="18" t="n"/>
      <c r="IF28" s="18" t="n"/>
      <c r="IG28" s="18" t="n"/>
      <c r="IH28" s="18" t="n"/>
      <c r="II28" s="18" t="n"/>
      <c r="IJ28" s="18" t="n"/>
      <c r="IK28" s="18" t="n"/>
      <c r="IL28" s="18" t="n"/>
      <c r="IM28" s="18" t="n"/>
      <c r="IN28" s="18" t="n"/>
      <c r="IO28" s="18" t="n"/>
      <c r="IP28" s="18" t="n"/>
      <c r="IQ28" s="18" t="n"/>
      <c r="IR28" s="18" t="n"/>
      <c r="IS28" s="18" t="n"/>
      <c r="IT28" s="18" t="n"/>
      <c r="IU28" s="18" t="n"/>
      <c r="IV28" s="18" t="n"/>
      <c r="IW28" s="18" t="n"/>
      <c r="IX28" s="18" t="n"/>
      <c r="IY28" s="18" t="n"/>
      <c r="IZ28" s="18" t="n"/>
      <c r="JA28" s="18" t="n"/>
      <c r="JB28" s="18" t="n"/>
      <c r="JC28" s="18" t="n"/>
      <c r="JD28" s="18" t="n"/>
      <c r="JE28" s="18" t="n"/>
      <c r="JF28" s="18" t="n"/>
      <c r="JG28" s="18" t="n"/>
      <c r="JH28" s="18" t="n"/>
      <c r="JI28" s="18" t="n"/>
      <c r="JJ28" s="18" t="n"/>
      <c r="JK28" s="18" t="n"/>
      <c r="JL28" s="18" t="n"/>
      <c r="JM28" s="18" t="n"/>
      <c r="JN28" s="18" t="n"/>
      <c r="JO28" s="18" t="n"/>
      <c r="JP28" s="18" t="n"/>
      <c r="JQ28" s="18" t="n"/>
      <c r="JR28" s="18" t="n"/>
      <c r="JS28" s="18" t="n"/>
      <c r="JT28" s="18" t="n"/>
      <c r="JU28" s="18" t="n"/>
      <c r="JV28" s="18" t="n"/>
      <c r="JW28" s="18" t="n"/>
    </row>
    <row r="29" ht="52.05" customHeight="1" s="88">
      <c r="A29" s="29" t="inlineStr">
        <is>
          <t>9000</t>
        </is>
      </c>
      <c r="B29" s="29" t="inlineStr">
        <is>
          <t>9000-3</t>
        </is>
      </c>
      <c r="C29" s="29" t="inlineStr">
        <is>
          <t>지장물이설</t>
        </is>
      </c>
      <c r="D29" s="29" t="inlineStr">
        <is>
          <t>9000-3-28</t>
        </is>
      </c>
      <c r="E29" s="102" t="inlineStr">
        <is>
          <t>9000-3-24, 9000-3-25</t>
        </is>
      </c>
      <c r="F29" s="102" t="inlineStr">
        <is>
          <t>9000-3-31, 9000-3-32</t>
        </is>
      </c>
      <c r="G29" s="32" t="inlineStr">
        <is>
          <t>도시가스관 이설 공사</t>
        </is>
      </c>
      <c r="H29" s="33" t="inlineStr">
        <is>
          <t>D+28</t>
        </is>
      </c>
      <c r="I29" s="33" t="inlineStr">
        <is>
          <t>공사팀 (협의: 한국가스공사, 삼천리)</t>
        </is>
      </c>
      <c r="J29" s="34" t="inlineStr">
        <is>
          <t>본 과업은 도시가스 관로 이설 접합 부위에 대한 비파괴검사(RT 100%) 및 가스 기밀 시험을 도시가스사 기술자 입회 하에 수행하여, 폭발 및 누출 위험을 근본적으로 차단하는 것을 목적으로 함.</t>
        </is>
      </c>
      <c r="K29" s="34" t="inlineStr">
        <is>
          <t>1) 도시가스관 매설 &amp; 용접 ➔ 2) 비파괴검사(RT 100%) &amp; 기밀 시험 ➔ 3) 도시가스사 1:1 입회 검측 ➔ 4) 가스관 이설 완료 승인</t>
        </is>
      </c>
      <c r="L29" s="34" t="inlineStr">
        <is>
          <t>도시가스관 매설 &amp; 용접, 비파괴검사(RT 100%) 및 기밀 시험 합격 (도시가스사 1:1 입회)</t>
        </is>
      </c>
      <c r="M29" s="34" t="inlineStr">
        <is>
          <t>본 과업은 도시가스 관로 이설 접합 부위에 대한 비파괴검사(RT 100%) 및 가스 기밀 시험을 도시가스사 기술자 입회 하에 수행하여, 폭발 및 누출 위험을 근본적으로 차단하는 것을 목적으로 함.</t>
        </is>
      </c>
      <c r="N29" s="35">
        <f>HYPERLINK(LEFT(CELL("filename",A1),FIND("[",CELL("filename",A1))-1)&amp;"3.지장물이설\15_상하수도 이설계획 실정보고\표준서\15_상하수도 이설계획 실정보고_표준서.html", "👉 [클릭] 표준서 열기 📄")</f>
        <v/>
      </c>
      <c r="O29" s="34" t="inlineStr">
        <is>
          <t>1) 도시가스관 매설 &amp; 용접 ➔ 2) 비파괴검사(RT 100%) &amp; 기밀 시험 ➔ 3) 도시가스사 1:1 입회 검측 ➔ 4) 가스관 이설 완료 승인</t>
        </is>
      </c>
      <c r="P29" s="36">
        <f>HYPERLINK(LEFT(CELL("filename",A1),FIND("[",CELL("filename",A1))-1)&amp;"3.지장물이설\15_상하수도 이설계획 실정보고\수행지침\상하수도 이설계획 실정보고_수행지침.html", "👉 [클릭] 수행지침 열기 📄")</f>
        <v/>
      </c>
      <c r="Q29" s="34" t="inlineStr">
        <is>
          <t>도시가스관 매설 &amp; 용접, 비파괴검사(RT 100%) 및 기밀 시험 합격 (도시가스사 1:1 입회)</t>
        </is>
      </c>
      <c r="R29" s="37">
        <f>HYPERLINK(LEFT(CELL("filename",A1),FIND("[",CELL("filename",A1))-1)&amp;"3.지장물이설\15_상하수도 이설계획 실정보고\체크리스트\상하수도 이설계획 실정보고_체크리스트.html", "👉 [클릭] 체크리스트 열기 📄")</f>
        <v/>
      </c>
      <c r="S29" s="33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Y29" s="18" t="n"/>
      <c r="DZ29" s="18" t="n"/>
      <c r="EA29" s="18" t="n"/>
      <c r="EB29" s="18" t="n"/>
      <c r="EC29" s="18" t="n"/>
      <c r="ED29" s="18" t="n"/>
      <c r="EE29" s="18" t="n"/>
      <c r="EF29" s="18" t="n"/>
      <c r="EG29" s="18" t="n"/>
      <c r="EH29" s="18" t="n"/>
      <c r="EI29" s="18" t="n"/>
      <c r="EJ29" s="18" t="n"/>
      <c r="EK29" s="18" t="n"/>
      <c r="EL29" s="18" t="n"/>
      <c r="EM29" s="18" t="n"/>
      <c r="EN29" s="18" t="n"/>
      <c r="EO29" s="18" t="n"/>
      <c r="EP29" s="18" t="n"/>
      <c r="EQ29" s="18" t="n"/>
      <c r="ER29" s="18" t="n"/>
      <c r="ES29" s="18" t="n"/>
      <c r="ET29" s="18" t="n"/>
      <c r="EU29" s="18" t="n"/>
      <c r="EV29" s="18" t="n"/>
      <c r="EW29" s="18" t="n"/>
      <c r="EX29" s="18" t="n"/>
      <c r="EY29" s="18" t="n"/>
      <c r="EZ29" s="18" t="n"/>
      <c r="FA29" s="18" t="n"/>
      <c r="FB29" s="18" t="n"/>
      <c r="FC29" s="18" t="n"/>
      <c r="FD29" s="18" t="n"/>
      <c r="FE29" s="18" t="n"/>
      <c r="FF29" s="18" t="n"/>
      <c r="FG29" s="18" t="n"/>
      <c r="FH29" s="18" t="n"/>
      <c r="FI29" s="18" t="n"/>
      <c r="FJ29" s="18" t="n"/>
      <c r="FK29" s="18" t="n"/>
      <c r="FL29" s="18" t="n"/>
      <c r="FM29" s="18" t="n"/>
      <c r="FN29" s="18" t="n"/>
      <c r="FO29" s="18" t="n"/>
      <c r="FP29" s="18" t="n"/>
      <c r="FQ29" s="18" t="n"/>
      <c r="FR29" s="18" t="n"/>
      <c r="FS29" s="18" t="n"/>
      <c r="FT29" s="18" t="n"/>
      <c r="FU29" s="18" t="n"/>
      <c r="FV29" s="18" t="n"/>
      <c r="FW29" s="18" t="n"/>
      <c r="FX29" s="18" t="n"/>
      <c r="FY29" s="18" t="n"/>
      <c r="FZ29" s="18" t="n"/>
      <c r="GA29" s="18" t="n"/>
      <c r="GB29" s="18" t="n"/>
      <c r="GC29" s="18" t="n"/>
      <c r="GD29" s="18" t="n"/>
      <c r="GE29" s="18" t="n"/>
      <c r="GF29" s="18" t="n"/>
      <c r="GG29" s="18" t="n"/>
      <c r="GH29" s="18" t="n"/>
      <c r="GI29" s="18" t="n"/>
      <c r="GJ29" s="18" t="n"/>
      <c r="GK29" s="18" t="n"/>
      <c r="GL29" s="18" t="n"/>
      <c r="GM29" s="18" t="n"/>
      <c r="GN29" s="18" t="n"/>
      <c r="GO29" s="18" t="n"/>
      <c r="GP29" s="18" t="n"/>
      <c r="GQ29" s="18" t="n"/>
      <c r="GR29" s="18" t="n"/>
      <c r="GS29" s="18" t="n"/>
      <c r="GT29" s="18" t="n"/>
      <c r="GU29" s="18" t="n"/>
      <c r="GV29" s="18" t="n"/>
      <c r="GW29" s="18" t="n"/>
      <c r="GX29" s="18" t="n"/>
      <c r="GY29" s="18" t="n"/>
      <c r="GZ29" s="18" t="n"/>
      <c r="HA29" s="18" t="n"/>
      <c r="HB29" s="18" t="n"/>
      <c r="HC29" s="18" t="n"/>
      <c r="HD29" s="18" t="n"/>
      <c r="HE29" s="18" t="n"/>
      <c r="HF29" s="18" t="n"/>
      <c r="HG29" s="18" t="n"/>
      <c r="HH29" s="18" t="n"/>
      <c r="HI29" s="18" t="n"/>
      <c r="HJ29" s="18" t="n"/>
      <c r="HK29" s="18" t="n"/>
      <c r="HL29" s="18" t="n"/>
      <c r="HM29" s="18" t="n"/>
      <c r="HN29" s="18" t="n"/>
      <c r="HO29" s="18" t="n"/>
      <c r="HP29" s="18" t="n"/>
      <c r="HQ29" s="18" t="n"/>
      <c r="HR29" s="18" t="n"/>
      <c r="HS29" s="18" t="n"/>
      <c r="HT29" s="18" t="n"/>
      <c r="HU29" s="18" t="n"/>
      <c r="HV29" s="18" t="n"/>
      <c r="HW29" s="18" t="n"/>
      <c r="HX29" s="18" t="n"/>
      <c r="HY29" s="18" t="n"/>
      <c r="HZ29" s="18" t="n"/>
      <c r="IA29" s="18" t="n"/>
      <c r="IB29" s="18" t="n"/>
      <c r="IC29" s="18" t="n"/>
      <c r="ID29" s="18" t="n"/>
      <c r="IE29" s="18" t="n"/>
      <c r="IF29" s="18" t="n"/>
      <c r="IG29" s="18" t="n"/>
      <c r="IH29" s="18" t="n"/>
      <c r="II29" s="18" t="n"/>
      <c r="IJ29" s="18" t="n"/>
      <c r="IK29" s="18" t="n"/>
      <c r="IL29" s="18" t="n"/>
      <c r="IM29" s="18" t="n"/>
      <c r="IN29" s="18" t="n"/>
      <c r="IO29" s="18" t="n"/>
      <c r="IP29" s="18" t="n"/>
      <c r="IQ29" s="18" t="n"/>
      <c r="IR29" s="18" t="n"/>
      <c r="IS29" s="18" t="n"/>
      <c r="IT29" s="18" t="n"/>
      <c r="IU29" s="18" t="n"/>
      <c r="IV29" s="18" t="n"/>
      <c r="IW29" s="18" t="n"/>
      <c r="IX29" s="18" t="n"/>
      <c r="IY29" s="18" t="n"/>
      <c r="IZ29" s="18" t="n"/>
      <c r="JA29" s="18" t="n"/>
      <c r="JB29" s="18" t="n"/>
      <c r="JC29" s="18" t="n"/>
      <c r="JD29" s="18" t="n"/>
      <c r="JE29" s="18" t="n"/>
      <c r="JF29" s="18" t="n"/>
      <c r="JG29" s="18" t="n"/>
      <c r="JH29" s="18" t="n"/>
      <c r="JI29" s="18" t="n"/>
      <c r="JJ29" s="18" t="n"/>
      <c r="JK29" s="18" t="n"/>
      <c r="JL29" s="18" t="n"/>
      <c r="JM29" s="18" t="n"/>
      <c r="JN29" s="18" t="n"/>
      <c r="JO29" s="18" t="n"/>
      <c r="JP29" s="18" t="n"/>
      <c r="JQ29" s="18" t="n"/>
      <c r="JR29" s="18" t="n"/>
      <c r="JS29" s="18" t="n"/>
      <c r="JT29" s="18" t="n"/>
      <c r="JU29" s="18" t="n"/>
      <c r="JV29" s="18" t="n"/>
      <c r="JW29" s="18" t="n"/>
      <c r="JX29" s="18" t="n"/>
      <c r="JY29" s="18" t="n"/>
      <c r="JZ29" s="18" t="n"/>
      <c r="KA29" s="18" t="n"/>
    </row>
    <row r="30" ht="52.05" customHeight="1" s="88">
      <c r="A30" s="19" t="inlineStr">
        <is>
          <t>9000</t>
        </is>
      </c>
      <c r="B30" s="19" t="inlineStr">
        <is>
          <t>9000-3</t>
        </is>
      </c>
      <c r="C30" s="19" t="inlineStr">
        <is>
          <t>지장물이설</t>
        </is>
      </c>
      <c r="D30" s="19" t="inlineStr">
        <is>
          <t>9000-3-29</t>
        </is>
      </c>
      <c r="E30" s="95" t="inlineStr">
        <is>
          <t>9000-3-25</t>
        </is>
      </c>
      <c r="F30" s="95" t="inlineStr">
        <is>
          <t>9000-3-32</t>
        </is>
      </c>
      <c r="G30" s="23" t="inlineStr">
        <is>
          <t>지역난방관 이설 공사</t>
        </is>
      </c>
      <c r="H30" s="21" t="inlineStr">
        <is>
          <t>D+30</t>
        </is>
      </c>
      <c r="I30" s="21" t="inlineStr">
        <is>
          <t>공사팀 (협의: 한국지역난방공사)</t>
        </is>
      </c>
      <c r="J30" s="24" t="inlineStr">
        <is>
          <t>본 과업은 고온·고압 지역난방 수송관 이설 시 비파괴 용접 검사 및 단열 보온재 피복 상태를 정밀 점검하여, 열 손실 방지 및 안전한 열 공급 여건을 완성하는 것을 목적으로 함.</t>
        </is>
      </c>
      <c r="K30" s="24" t="inlineStr">
        <is>
          <t>1) 난방 수송관 매설 &amp; 용접 ➔ 2) 100% 비파괴검사 &amp; 피복 랩핑 ➔ 3) 지역난방공사 시운전 인수 ➔ 4) 지역난방관 이설 감리 승인</t>
        </is>
      </c>
      <c r="L30" s="24" t="inlineStr">
        <is>
          <t>난방 수송관 매설 &amp; 용접, 100% 비파괴검사 및 피복 랩핑 검수 (지역난방공사 인수)</t>
        </is>
      </c>
      <c r="M30" s="24" t="inlineStr">
        <is>
          <t>본 과업은 고온·고압 지역난방 수송관 이설 시 비파괴 용접 검사 및 단열 보온재 피복 상태를 정밀 점검하여, 열 손실 방지 및 안전한 열 공급 여건을 완성하는 것을 목적으로 함.</t>
        </is>
      </c>
      <c r="N30" s="25">
        <f>HYPERLINK(LEFT(CELL("filename",A1),FIND("[",CELL("filename",A1))-1)&amp;"3.지장물이설\16_신규관로 및 연결관로 접속\표준서\신규관로 및 연결관로 접속_표준서.html", "👉 [클릭] 표준서 열기 📄")</f>
        <v/>
      </c>
      <c r="O30" s="24" t="inlineStr">
        <is>
          <t>1) 난방 수송관 매설 &amp; 용접 ➔ 2) 100% 비파괴검사 &amp; 피복 랩핑 ➔ 3) 지역난방공사 시운전 인수 ➔ 4) 지역난방관 이설 감리 승인</t>
        </is>
      </c>
      <c r="P30" s="26">
        <f>HYPERLINK(LEFT(CELL("filename",A1),FIND("[",CELL("filename",A1))-1)&amp;"3.지장물이설\16_신규관로 및 연결관로 접속\수행지침\수행지침.html", "👉 [클릭] 수행지침 열기 📄")</f>
        <v/>
      </c>
      <c r="Q30" s="24" t="inlineStr">
        <is>
          <t>난방 수송관 매설 &amp; 용접, 100% 비파괴검사 및 피복 랩핑 검수 (지역난방공사 인수)</t>
        </is>
      </c>
      <c r="R30" s="27">
        <f>HYPERLINK(LEFT(CELL("filename",A1),FIND("[",CELL("filename",A1))-1)&amp;"3.지장물이설\16_신규관로 및 연결관로 접속\체크리스트\신규관로 및 연결관로 접속_체크리스트.html", "👉 [클릭] 체크리스트 열기 📄")</f>
        <v/>
      </c>
      <c r="S30" s="2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Y30" s="18" t="n"/>
      <c r="DZ30" s="18" t="n"/>
      <c r="EA30" s="18" t="n"/>
      <c r="EB30" s="18" t="n"/>
      <c r="EC30" s="18" t="n"/>
      <c r="ED30" s="18" t="n"/>
      <c r="EE30" s="18" t="n"/>
      <c r="EF30" s="18" t="n"/>
      <c r="EG30" s="18" t="n"/>
      <c r="EH30" s="18" t="n"/>
      <c r="EI30" s="18" t="n"/>
      <c r="EJ30" s="18" t="n"/>
      <c r="EK30" s="18" t="n"/>
      <c r="EL30" s="18" t="n"/>
      <c r="EM30" s="18" t="n"/>
      <c r="EN30" s="18" t="n"/>
      <c r="EO30" s="18" t="n"/>
      <c r="EP30" s="18" t="n"/>
      <c r="EQ30" s="18" t="n"/>
      <c r="ER30" s="18" t="n"/>
      <c r="ES30" s="18" t="n"/>
      <c r="ET30" s="18" t="n"/>
      <c r="EU30" s="18" t="n"/>
      <c r="EV30" s="18" t="n"/>
      <c r="EW30" s="18" t="n"/>
      <c r="EX30" s="18" t="n"/>
      <c r="EY30" s="18" t="n"/>
      <c r="EZ30" s="18" t="n"/>
      <c r="FA30" s="18" t="n"/>
      <c r="FB30" s="18" t="n"/>
      <c r="FC30" s="18" t="n"/>
      <c r="FD30" s="18" t="n"/>
      <c r="FE30" s="18" t="n"/>
      <c r="FF30" s="18" t="n"/>
      <c r="FG30" s="18" t="n"/>
      <c r="FH30" s="18" t="n"/>
      <c r="FI30" s="18" t="n"/>
      <c r="FJ30" s="18" t="n"/>
      <c r="FK30" s="18" t="n"/>
      <c r="FL30" s="18" t="n"/>
      <c r="FM30" s="18" t="n"/>
      <c r="FN30" s="18" t="n"/>
      <c r="FO30" s="18" t="n"/>
      <c r="FP30" s="18" t="n"/>
      <c r="FQ30" s="18" t="n"/>
      <c r="FR30" s="18" t="n"/>
      <c r="FS30" s="18" t="n"/>
      <c r="FT30" s="18" t="n"/>
      <c r="FU30" s="18" t="n"/>
      <c r="FV30" s="18" t="n"/>
      <c r="FW30" s="18" t="n"/>
      <c r="FX30" s="18" t="n"/>
      <c r="FY30" s="18" t="n"/>
      <c r="FZ30" s="18" t="n"/>
      <c r="GA30" s="18" t="n"/>
      <c r="GB30" s="18" t="n"/>
      <c r="GC30" s="18" t="n"/>
      <c r="GD30" s="18" t="n"/>
      <c r="GE30" s="18" t="n"/>
      <c r="GF30" s="18" t="n"/>
      <c r="GG30" s="18" t="n"/>
      <c r="GH30" s="18" t="n"/>
      <c r="GI30" s="18" t="n"/>
      <c r="GJ30" s="18" t="n"/>
      <c r="GK30" s="18" t="n"/>
      <c r="GL30" s="18" t="n"/>
      <c r="GM30" s="18" t="n"/>
      <c r="GN30" s="18" t="n"/>
      <c r="GO30" s="18" t="n"/>
      <c r="GP30" s="18" t="n"/>
      <c r="GQ30" s="18" t="n"/>
      <c r="GR30" s="18" t="n"/>
      <c r="GS30" s="18" t="n"/>
      <c r="GT30" s="18" t="n"/>
      <c r="GU30" s="18" t="n"/>
      <c r="GV30" s="18" t="n"/>
      <c r="GW30" s="18" t="n"/>
      <c r="GX30" s="18" t="n"/>
      <c r="GY30" s="18" t="n"/>
      <c r="GZ30" s="18" t="n"/>
      <c r="HA30" s="18" t="n"/>
      <c r="HB30" s="18" t="n"/>
      <c r="HC30" s="18" t="n"/>
      <c r="HD30" s="18" t="n"/>
      <c r="HE30" s="18" t="n"/>
      <c r="HF30" s="18" t="n"/>
      <c r="HG30" s="18" t="n"/>
      <c r="HH30" s="18" t="n"/>
      <c r="HI30" s="18" t="n"/>
      <c r="HJ30" s="18" t="n"/>
      <c r="HK30" s="18" t="n"/>
      <c r="HL30" s="18" t="n"/>
      <c r="HM30" s="18" t="n"/>
      <c r="HN30" s="18" t="n"/>
      <c r="HO30" s="18" t="n"/>
      <c r="HP30" s="18" t="n"/>
      <c r="HQ30" s="18" t="n"/>
      <c r="HR30" s="18" t="n"/>
      <c r="HS30" s="18" t="n"/>
      <c r="HT30" s="18" t="n"/>
      <c r="HU30" s="18" t="n"/>
      <c r="HV30" s="18" t="n"/>
      <c r="HW30" s="18" t="n"/>
      <c r="HX30" s="18" t="n"/>
      <c r="HY30" s="18" t="n"/>
      <c r="HZ30" s="18" t="n"/>
      <c r="IA30" s="18" t="n"/>
      <c r="IB30" s="18" t="n"/>
      <c r="IC30" s="18" t="n"/>
      <c r="ID30" s="18" t="n"/>
      <c r="IE30" s="18" t="n"/>
      <c r="IF30" s="18" t="n"/>
      <c r="IG30" s="18" t="n"/>
      <c r="IH30" s="18" t="n"/>
      <c r="II30" s="18" t="n"/>
      <c r="IJ30" s="18" t="n"/>
      <c r="IK30" s="18" t="n"/>
      <c r="IL30" s="18" t="n"/>
      <c r="IM30" s="18" t="n"/>
      <c r="IN30" s="18" t="n"/>
      <c r="IO30" s="18" t="n"/>
      <c r="IP30" s="18" t="n"/>
      <c r="IQ30" s="18" t="n"/>
      <c r="IR30" s="18" t="n"/>
      <c r="IS30" s="18" t="n"/>
      <c r="IT30" s="18" t="n"/>
      <c r="IU30" s="18" t="n"/>
      <c r="IV30" s="18" t="n"/>
      <c r="IW30" s="18" t="n"/>
      <c r="IX30" s="18" t="n"/>
      <c r="IY30" s="18" t="n"/>
      <c r="IZ30" s="18" t="n"/>
      <c r="JA30" s="18" t="n"/>
      <c r="JB30" s="18" t="n"/>
      <c r="JC30" s="18" t="n"/>
      <c r="JD30" s="18" t="n"/>
      <c r="JE30" s="18" t="n"/>
      <c r="JF30" s="18" t="n"/>
      <c r="JG30" s="18" t="n"/>
      <c r="JH30" s="18" t="n"/>
      <c r="JI30" s="18" t="n"/>
      <c r="JJ30" s="18" t="n"/>
      <c r="JK30" s="18" t="n"/>
      <c r="JL30" s="18" t="n"/>
      <c r="JM30" s="18" t="n"/>
      <c r="JN30" s="18" t="n"/>
      <c r="JO30" s="18" t="n"/>
      <c r="JP30" s="18" t="n"/>
      <c r="JQ30" s="18" t="n"/>
      <c r="JR30" s="18" t="n"/>
      <c r="JS30" s="18" t="n"/>
      <c r="JT30" s="18" t="n"/>
      <c r="JU30" s="18" t="n"/>
      <c r="JV30" s="18" t="n"/>
      <c r="JW30" s="18" t="n"/>
      <c r="JX30" s="18" t="n"/>
      <c r="JY30" s="18" t="n"/>
      <c r="JZ30" s="18" t="n"/>
      <c r="KA30" s="18" t="n"/>
      <c r="KB30" s="18" t="n"/>
      <c r="KC30" s="18" t="n"/>
      <c r="KD30" s="18" t="n"/>
      <c r="KE30" s="18" t="n"/>
    </row>
    <row r="31" ht="52.05" customHeight="1" s="88">
      <c r="A31" s="29" t="inlineStr">
        <is>
          <t>9000</t>
        </is>
      </c>
      <c r="B31" s="29" t="inlineStr">
        <is>
          <t>9000-3</t>
        </is>
      </c>
      <c r="C31" s="29" t="inlineStr">
        <is>
          <t>지장물이설</t>
        </is>
      </c>
      <c r="D31" s="29" t="inlineStr">
        <is>
          <t>9000-3-30</t>
        </is>
      </c>
      <c r="E31" s="102" t="inlineStr">
        <is>
          <t>9000-3-26, 9000-3-27</t>
        </is>
      </c>
      <c r="F31" s="102" t="inlineStr">
        <is>
          <t>9000-3-33</t>
        </is>
      </c>
      <c r="G31" s="32" t="inlineStr">
        <is>
          <t>통신관로 및 케이블 이설 공사</t>
        </is>
      </c>
      <c r="H31" s="33" t="inlineStr">
        <is>
          <t>D+35</t>
        </is>
      </c>
      <c r="I31" s="33" t="inlineStr">
        <is>
          <t>공사팀 (협의: KT, LGU+, SKT)</t>
        </is>
      </c>
      <c r="J31" s="34" t="inlineStr">
        <is>
          <t>본 과업은 통신 광케이블 관로 이설 후 절연 저항 시험 및 광신호 손실 측정을 시행하여, 동탄 도시 통신망의 끊김 없는 고품질 신호 전달 상태를 승인받는 것을 목적으로 함.</t>
        </is>
      </c>
      <c r="K31" s="34" t="inlineStr">
        <is>
          <t>1) 통신 광케이블 관로 부설 ➔ 2) 광케이블 포설 &amp; 접속 ➔ 3) 절연저항 &amp; 광손실 시험 ➔ 4) KT/SKT 통신사 광신호 승인</t>
        </is>
      </c>
      <c r="L31" s="34" t="inlineStr">
        <is>
          <t>통신 광케이블 관로 부설, 절연 저항 &amp; 광손실 실측 합격 (KT/SKT 광신호 승인)</t>
        </is>
      </c>
      <c r="M31" s="34" t="inlineStr">
        <is>
          <t>본 과업은 통신 광케이블 관로 이설 후 절연 저항 시험 및 광신호 손실 측정을 시행하여, 동탄 도시 통신망의 끊김 없는 고품질 신호 전달 상태를 승인받는 것을 목적으로 함.</t>
        </is>
      </c>
      <c r="N31" s="35">
        <f>HYPERLINK(LEFT(CELL("filename",A1),FIND("[",CELL("filename",A1))-1)&amp;"3.지장물이설\16_위수탁 계약 체결\표준서\16_위수탁 계약 체결_표준서.html", "👉 [클릭] 표준서 열기 📄")</f>
        <v/>
      </c>
      <c r="O31" s="34" t="inlineStr">
        <is>
          <t>1) 통신 광케이블 관로 부설 ➔ 2) 광케이블 포설 &amp; 접속 ➔ 3) 절연저항 &amp; 광손실 시험 ➔ 4) KT/SKT 통신사 광신호 승인</t>
        </is>
      </c>
      <c r="P31" s="36">
        <f>HYPERLINK(LEFT(CELL("filename",A1),FIND("[",CELL("filename",A1))-1)&amp;"3.지장물이설\16_위수탁 계약 체결\수행지침\수행지침.html", "👉 [클릭] 수행지침 열기 📄")</f>
        <v/>
      </c>
      <c r="Q31" s="34" t="inlineStr">
        <is>
          <t>통신 광케이블 관로 부설, 절연 저항 &amp; 광손실 실측 합격 (KT/SKT 광신호 승인)</t>
        </is>
      </c>
      <c r="R31" s="37">
        <f>HYPERLINK(LEFT(CELL("filename",A1),FIND("[",CELL("filename",A1))-1)&amp;"3.지장물이설\16_위수탁 계약 체결\체크리스트\위수탁 계약 체결_체크리스트.html", "👉 [클릭] 체크리스트 열기 📄")</f>
        <v/>
      </c>
      <c r="S31" s="33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Y31" s="18" t="n"/>
      <c r="DZ31" s="18" t="n"/>
      <c r="EA31" s="18" t="n"/>
      <c r="EB31" s="18" t="n"/>
      <c r="EC31" s="18" t="n"/>
      <c r="ED31" s="18" t="n"/>
      <c r="EE31" s="18" t="n"/>
      <c r="EF31" s="18" t="n"/>
      <c r="EG31" s="18" t="n"/>
      <c r="EH31" s="18" t="n"/>
      <c r="EI31" s="18" t="n"/>
      <c r="EJ31" s="18" t="n"/>
      <c r="EK31" s="18" t="n"/>
      <c r="EL31" s="18" t="n"/>
      <c r="EM31" s="18" t="n"/>
      <c r="EN31" s="18" t="n"/>
      <c r="EO31" s="18" t="n"/>
      <c r="EP31" s="18" t="n"/>
      <c r="EQ31" s="18" t="n"/>
      <c r="ER31" s="18" t="n"/>
      <c r="ES31" s="18" t="n"/>
      <c r="ET31" s="18" t="n"/>
      <c r="EU31" s="18" t="n"/>
      <c r="EV31" s="18" t="n"/>
      <c r="EW31" s="18" t="n"/>
      <c r="EX31" s="18" t="n"/>
      <c r="EY31" s="18" t="n"/>
      <c r="EZ31" s="18" t="n"/>
      <c r="FA31" s="18" t="n"/>
      <c r="FB31" s="18" t="n"/>
      <c r="FC31" s="18" t="n"/>
      <c r="FD31" s="18" t="n"/>
      <c r="FE31" s="18" t="n"/>
      <c r="FF31" s="18" t="n"/>
      <c r="FG31" s="18" t="n"/>
      <c r="FH31" s="18" t="n"/>
      <c r="FI31" s="18" t="n"/>
      <c r="FJ31" s="18" t="n"/>
      <c r="FK31" s="18" t="n"/>
      <c r="FL31" s="18" t="n"/>
      <c r="FM31" s="18" t="n"/>
      <c r="FN31" s="18" t="n"/>
      <c r="FO31" s="18" t="n"/>
      <c r="FP31" s="18" t="n"/>
      <c r="FQ31" s="18" t="n"/>
      <c r="FR31" s="18" t="n"/>
      <c r="FS31" s="18" t="n"/>
      <c r="FT31" s="18" t="n"/>
      <c r="FU31" s="18" t="n"/>
      <c r="FV31" s="18" t="n"/>
      <c r="FW31" s="18" t="n"/>
      <c r="FX31" s="18" t="n"/>
      <c r="FY31" s="18" t="n"/>
      <c r="FZ31" s="18" t="n"/>
      <c r="GA31" s="18" t="n"/>
      <c r="GB31" s="18" t="n"/>
      <c r="GC31" s="18" t="n"/>
      <c r="GD31" s="18" t="n"/>
      <c r="GE31" s="18" t="n"/>
      <c r="GF31" s="18" t="n"/>
      <c r="GG31" s="18" t="n"/>
      <c r="GH31" s="18" t="n"/>
      <c r="GI31" s="18" t="n"/>
      <c r="GJ31" s="18" t="n"/>
      <c r="GK31" s="18" t="n"/>
      <c r="GL31" s="18" t="n"/>
      <c r="GM31" s="18" t="n"/>
      <c r="GN31" s="18" t="n"/>
      <c r="GO31" s="18" t="n"/>
      <c r="GP31" s="18" t="n"/>
      <c r="GQ31" s="18" t="n"/>
      <c r="GR31" s="18" t="n"/>
      <c r="GS31" s="18" t="n"/>
      <c r="GT31" s="18" t="n"/>
      <c r="GU31" s="18" t="n"/>
      <c r="GV31" s="18" t="n"/>
      <c r="GW31" s="18" t="n"/>
      <c r="GX31" s="18" t="n"/>
      <c r="GY31" s="18" t="n"/>
      <c r="GZ31" s="18" t="n"/>
      <c r="HA31" s="18" t="n"/>
      <c r="HB31" s="18" t="n"/>
      <c r="HC31" s="18" t="n"/>
      <c r="HD31" s="18" t="n"/>
      <c r="HE31" s="18" t="n"/>
      <c r="HF31" s="18" t="n"/>
      <c r="HG31" s="18" t="n"/>
      <c r="HH31" s="18" t="n"/>
      <c r="HI31" s="18" t="n"/>
      <c r="HJ31" s="18" t="n"/>
      <c r="HK31" s="18" t="n"/>
      <c r="HL31" s="18" t="n"/>
      <c r="HM31" s="18" t="n"/>
      <c r="HN31" s="18" t="n"/>
      <c r="HO31" s="18" t="n"/>
      <c r="HP31" s="18" t="n"/>
      <c r="HQ31" s="18" t="n"/>
      <c r="HR31" s="18" t="n"/>
      <c r="HS31" s="18" t="n"/>
      <c r="HT31" s="18" t="n"/>
      <c r="HU31" s="18" t="n"/>
      <c r="HV31" s="18" t="n"/>
      <c r="HW31" s="18" t="n"/>
      <c r="HX31" s="18" t="n"/>
      <c r="HY31" s="18" t="n"/>
      <c r="HZ31" s="18" t="n"/>
      <c r="IA31" s="18" t="n"/>
      <c r="IB31" s="18" t="n"/>
      <c r="IC31" s="18" t="n"/>
      <c r="ID31" s="18" t="n"/>
      <c r="IE31" s="18" t="n"/>
      <c r="IF31" s="18" t="n"/>
      <c r="IG31" s="18" t="n"/>
      <c r="IH31" s="18" t="n"/>
      <c r="II31" s="18" t="n"/>
      <c r="IJ31" s="18" t="n"/>
      <c r="IK31" s="18" t="n"/>
      <c r="IL31" s="18" t="n"/>
      <c r="IM31" s="18" t="n"/>
      <c r="IN31" s="18" t="n"/>
      <c r="IO31" s="18" t="n"/>
      <c r="IP31" s="18" t="n"/>
      <c r="IQ31" s="18" t="n"/>
      <c r="IR31" s="18" t="n"/>
      <c r="IS31" s="18" t="n"/>
      <c r="IT31" s="18" t="n"/>
      <c r="IU31" s="18" t="n"/>
      <c r="IV31" s="18" t="n"/>
      <c r="IW31" s="18" t="n"/>
      <c r="IX31" s="18" t="n"/>
      <c r="IY31" s="18" t="n"/>
      <c r="IZ31" s="18" t="n"/>
      <c r="JA31" s="18" t="n"/>
      <c r="JB31" s="18" t="n"/>
      <c r="JC31" s="18" t="n"/>
      <c r="JD31" s="18" t="n"/>
      <c r="JE31" s="18" t="n"/>
      <c r="JF31" s="18" t="n"/>
      <c r="JG31" s="18" t="n"/>
      <c r="JH31" s="18" t="n"/>
      <c r="JI31" s="18" t="n"/>
      <c r="JJ31" s="18" t="n"/>
      <c r="JK31" s="18" t="n"/>
      <c r="JL31" s="18" t="n"/>
      <c r="JM31" s="18" t="n"/>
      <c r="JN31" s="18" t="n"/>
      <c r="JO31" s="18" t="n"/>
      <c r="JP31" s="18" t="n"/>
      <c r="JQ31" s="18" t="n"/>
      <c r="JR31" s="18" t="n"/>
      <c r="JS31" s="18" t="n"/>
      <c r="JT31" s="18" t="n"/>
      <c r="JU31" s="18" t="n"/>
      <c r="JV31" s="18" t="n"/>
      <c r="JW31" s="18" t="n"/>
      <c r="JX31" s="18" t="n"/>
      <c r="JY31" s="18" t="n"/>
      <c r="JZ31" s="18" t="n"/>
      <c r="KA31" s="18" t="n"/>
      <c r="KB31" s="18" t="n"/>
      <c r="KC31" s="18" t="n"/>
      <c r="KD31" s="18" t="n"/>
      <c r="KE31" s="18" t="n"/>
      <c r="KF31" s="18" t="n"/>
      <c r="KG31" s="18" t="n"/>
      <c r="KH31" s="18" t="n"/>
      <c r="KI31" s="18" t="n"/>
    </row>
    <row r="32" ht="52.05" customHeight="1" s="88">
      <c r="A32" s="19" t="inlineStr">
        <is>
          <t>9000</t>
        </is>
      </c>
      <c r="B32" s="19" t="inlineStr">
        <is>
          <t>9000-3</t>
        </is>
      </c>
      <c r="C32" s="19" t="inlineStr">
        <is>
          <t>지장물이설</t>
        </is>
      </c>
      <c r="D32" s="19" t="inlineStr">
        <is>
          <t>9000-3-31</t>
        </is>
      </c>
      <c r="E32" s="95" t="inlineStr">
        <is>
          <t>9000-3-27, 9000-3-28</t>
        </is>
      </c>
      <c r="F32" s="95" t="inlineStr">
        <is>
          <t>9000-3-33, 9000-3-34</t>
        </is>
      </c>
      <c r="G32" s="23" t="inlineStr">
        <is>
          <t>특고압 전력관로 이설 공사</t>
        </is>
      </c>
      <c r="H32" s="21" t="inlineStr">
        <is>
          <t>D+40</t>
        </is>
      </c>
      <c r="I32" s="21" t="inlineStr">
        <is>
          <t>공사팀 (협의: 한국전력공사)</t>
        </is>
      </c>
      <c r="J32" s="24" t="inlineStr">
        <is>
          <t>본 과업은 22.9kV 특고압 전력관로 및 맨홀 이설 시 한전(KEPCO) 기술 입회 하에 절연내력 시험을 필하고, 지정된 휴전 시간에 전력 절체(Cut-over)를 안전하게 완료하는 것을 목적으로 함.</t>
        </is>
      </c>
      <c r="K32" s="24" t="inlineStr">
        <is>
          <t>1) 22.9kV 특고압 관로/맨홀 부설 ➔ 2) 전력 케이블 인입 &amp; 내력 시험 ➔ 3) 한전 입회 휴전 Cut-over ➔ 4) 전력관로 이설 완료 승인</t>
        </is>
      </c>
      <c r="L32" s="24" t="inlineStr">
        <is>
          <t>22.9kV 특고압 관로/맨홀 부설, 절연내력 시험 합격 (한전 KEPCO 입회 휴전 Cut-over)</t>
        </is>
      </c>
      <c r="M32" s="24" t="inlineStr">
        <is>
          <t>본 과업은 22.9kV 특고압 전력관로 및 맨홀 이설 시 한전(KEPCO) 기술 입회 하에 절연내력 시험을 필하고, 지정된 휴전 시간에 전력 절체(Cut-over)를 안전하게 완료하는 것을 목적으로 함.</t>
        </is>
      </c>
      <c r="N32" s="25">
        <f>HYPERLINK(LEFT(CELL("filename",A1),FIND("[",CELL("filename",A1))-1)&amp;"3.지장물이설\17_기존관로 철거 및 원상복구\표준서\기존관로 철거 및 원상복구_표준서.html", "👉 [클릭] 표준서 열기 📄")</f>
        <v/>
      </c>
      <c r="O32" s="24" t="inlineStr">
        <is>
          <t>1) 22.9kV 특고압 관로/맨홀 부설 ➔ 2) 전력 케이블 인입 &amp; 내력 시험 ➔ 3) 한전 입회 휴전 Cut-over ➔ 4) 전력관로 이설 완료 승인</t>
        </is>
      </c>
      <c r="P32" s="26">
        <f>HYPERLINK(LEFT(CELL("filename",A1),FIND("[",CELL("filename",A1))-1)&amp;"3.지장물이설\17_기존관로 철거 및 원상복구\수행지침\기존관로 철거 및 원상복구_수행지침.html", "👉 [클릭] 수행지침 열기 📄")</f>
        <v/>
      </c>
      <c r="Q32" s="24" t="inlineStr">
        <is>
          <t>22.9kV 특고압 관로/맨홀 부설, 절연내력 시험 합격 (한전 KEPCO 입회 휴전 Cut-over)</t>
        </is>
      </c>
      <c r="R32" s="27">
        <f>HYPERLINK(LEFT(CELL("filename",A1),FIND("[",CELL("filename",A1))-1)&amp;"3.지장물이설\17_기존관로 철거 및 원상복구\체크리스트\기존관로 철거 및 원상복구_체크리스트.html", "👉 [클릭] 체크리스트 열기 📄")</f>
        <v/>
      </c>
      <c r="S32" s="2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Y32" s="18" t="n"/>
      <c r="DZ32" s="18" t="n"/>
      <c r="EA32" s="18" t="n"/>
      <c r="EB32" s="18" t="n"/>
      <c r="EC32" s="18" t="n"/>
      <c r="ED32" s="18" t="n"/>
      <c r="EE32" s="18" t="n"/>
      <c r="EF32" s="18" t="n"/>
      <c r="EG32" s="18" t="n"/>
      <c r="EH32" s="18" t="n"/>
      <c r="EI32" s="18" t="n"/>
      <c r="EJ32" s="18" t="n"/>
      <c r="EK32" s="18" t="n"/>
      <c r="EL32" s="18" t="n"/>
      <c r="EM32" s="18" t="n"/>
      <c r="EN32" s="18" t="n"/>
      <c r="EO32" s="18" t="n"/>
      <c r="EP32" s="18" t="n"/>
      <c r="EQ32" s="18" t="n"/>
      <c r="ER32" s="18" t="n"/>
      <c r="ES32" s="18" t="n"/>
      <c r="ET32" s="18" t="n"/>
      <c r="EU32" s="18" t="n"/>
      <c r="EV32" s="18" t="n"/>
      <c r="EW32" s="18" t="n"/>
      <c r="EX32" s="18" t="n"/>
      <c r="EY32" s="18" t="n"/>
      <c r="EZ32" s="18" t="n"/>
      <c r="FA32" s="18" t="n"/>
      <c r="FB32" s="18" t="n"/>
      <c r="FC32" s="18" t="n"/>
      <c r="FD32" s="18" t="n"/>
      <c r="FE32" s="18" t="n"/>
      <c r="FF32" s="18" t="n"/>
      <c r="FG32" s="18" t="n"/>
      <c r="FH32" s="18" t="n"/>
      <c r="FI32" s="18" t="n"/>
      <c r="FJ32" s="18" t="n"/>
      <c r="FK32" s="18" t="n"/>
      <c r="FL32" s="18" t="n"/>
      <c r="FM32" s="18" t="n"/>
      <c r="FN32" s="18" t="n"/>
      <c r="FO32" s="18" t="n"/>
      <c r="FP32" s="18" t="n"/>
      <c r="FQ32" s="18" t="n"/>
      <c r="FR32" s="18" t="n"/>
      <c r="FS32" s="18" t="n"/>
      <c r="FT32" s="18" t="n"/>
      <c r="FU32" s="18" t="n"/>
      <c r="FV32" s="18" t="n"/>
      <c r="FW32" s="18" t="n"/>
      <c r="FX32" s="18" t="n"/>
      <c r="FY32" s="18" t="n"/>
      <c r="FZ32" s="18" t="n"/>
      <c r="GA32" s="18" t="n"/>
      <c r="GB32" s="18" t="n"/>
      <c r="GC32" s="18" t="n"/>
      <c r="GD32" s="18" t="n"/>
      <c r="GE32" s="18" t="n"/>
      <c r="GF32" s="18" t="n"/>
      <c r="GG32" s="18" t="n"/>
      <c r="GH32" s="18" t="n"/>
      <c r="GI32" s="18" t="n"/>
      <c r="GJ32" s="18" t="n"/>
      <c r="GK32" s="18" t="n"/>
      <c r="GL32" s="18" t="n"/>
      <c r="GM32" s="18" t="n"/>
      <c r="GN32" s="18" t="n"/>
      <c r="GO32" s="18" t="n"/>
      <c r="GP32" s="18" t="n"/>
      <c r="GQ32" s="18" t="n"/>
      <c r="GR32" s="18" t="n"/>
      <c r="GS32" s="18" t="n"/>
      <c r="GT32" s="18" t="n"/>
      <c r="GU32" s="18" t="n"/>
      <c r="GV32" s="18" t="n"/>
      <c r="GW32" s="18" t="n"/>
      <c r="GX32" s="18" t="n"/>
      <c r="GY32" s="18" t="n"/>
      <c r="GZ32" s="18" t="n"/>
      <c r="HA32" s="18" t="n"/>
      <c r="HB32" s="18" t="n"/>
      <c r="HC32" s="18" t="n"/>
      <c r="HD32" s="18" t="n"/>
      <c r="HE32" s="18" t="n"/>
      <c r="HF32" s="18" t="n"/>
      <c r="HG32" s="18" t="n"/>
      <c r="HH32" s="18" t="n"/>
      <c r="HI32" s="18" t="n"/>
      <c r="HJ32" s="18" t="n"/>
      <c r="HK32" s="18" t="n"/>
      <c r="HL32" s="18" t="n"/>
      <c r="HM32" s="18" t="n"/>
      <c r="HN32" s="18" t="n"/>
      <c r="HO32" s="18" t="n"/>
      <c r="HP32" s="18" t="n"/>
      <c r="HQ32" s="18" t="n"/>
      <c r="HR32" s="18" t="n"/>
      <c r="HS32" s="18" t="n"/>
      <c r="HT32" s="18" t="n"/>
      <c r="HU32" s="18" t="n"/>
      <c r="HV32" s="18" t="n"/>
      <c r="HW32" s="18" t="n"/>
      <c r="HX32" s="18" t="n"/>
      <c r="HY32" s="18" t="n"/>
      <c r="HZ32" s="18" t="n"/>
      <c r="IA32" s="18" t="n"/>
      <c r="IB32" s="18" t="n"/>
      <c r="IC32" s="18" t="n"/>
      <c r="ID32" s="18" t="n"/>
      <c r="IE32" s="18" t="n"/>
      <c r="IF32" s="18" t="n"/>
      <c r="IG32" s="18" t="n"/>
      <c r="IH32" s="18" t="n"/>
      <c r="II32" s="18" t="n"/>
      <c r="IJ32" s="18" t="n"/>
      <c r="IK32" s="18" t="n"/>
      <c r="IL32" s="18" t="n"/>
      <c r="IM32" s="18" t="n"/>
      <c r="IN32" s="18" t="n"/>
      <c r="IO32" s="18" t="n"/>
      <c r="IP32" s="18" t="n"/>
      <c r="IQ32" s="18" t="n"/>
      <c r="IR32" s="18" t="n"/>
      <c r="IS32" s="18" t="n"/>
      <c r="IT32" s="18" t="n"/>
      <c r="IU32" s="18" t="n"/>
      <c r="IV32" s="18" t="n"/>
      <c r="IW32" s="18" t="n"/>
      <c r="IX32" s="18" t="n"/>
      <c r="IY32" s="18" t="n"/>
      <c r="IZ32" s="18" t="n"/>
      <c r="JA32" s="18" t="n"/>
      <c r="JB32" s="18" t="n"/>
      <c r="JC32" s="18" t="n"/>
      <c r="JD32" s="18" t="n"/>
      <c r="JE32" s="18" t="n"/>
      <c r="JF32" s="18" t="n"/>
      <c r="JG32" s="18" t="n"/>
      <c r="JH32" s="18" t="n"/>
      <c r="JI32" s="18" t="n"/>
      <c r="JJ32" s="18" t="n"/>
      <c r="JK32" s="18" t="n"/>
      <c r="JL32" s="18" t="n"/>
      <c r="JM32" s="18" t="n"/>
      <c r="JN32" s="18" t="n"/>
      <c r="JO32" s="18" t="n"/>
      <c r="JP32" s="18" t="n"/>
      <c r="JQ32" s="18" t="n"/>
      <c r="JR32" s="18" t="n"/>
      <c r="JS32" s="18" t="n"/>
      <c r="JT32" s="18" t="n"/>
      <c r="JU32" s="18" t="n"/>
      <c r="JV32" s="18" t="n"/>
      <c r="JW32" s="18" t="n"/>
      <c r="JX32" s="18" t="n"/>
      <c r="JY32" s="18" t="n"/>
      <c r="JZ32" s="18" t="n"/>
      <c r="KA32" s="18" t="n"/>
      <c r="KB32" s="18" t="n"/>
      <c r="KC32" s="18" t="n"/>
      <c r="KD32" s="18" t="n"/>
      <c r="KE32" s="18" t="n"/>
      <c r="KF32" s="18" t="n"/>
      <c r="KG32" s="18" t="n"/>
      <c r="KH32" s="18" t="n"/>
      <c r="KI32" s="18" t="n"/>
      <c r="KJ32" s="18" t="n"/>
      <c r="KK32" s="18" t="n"/>
      <c r="KL32" s="18" t="n"/>
      <c r="KM32" s="18" t="n"/>
    </row>
    <row r="33" ht="52.05" customHeight="1" s="88">
      <c r="A33" s="29" t="inlineStr">
        <is>
          <t>9000</t>
        </is>
      </c>
      <c r="B33" s="29" t="inlineStr">
        <is>
          <t>9000-3</t>
        </is>
      </c>
      <c r="C33" s="29" t="inlineStr">
        <is>
          <t>지장물이설</t>
        </is>
      </c>
      <c r="D33" s="29" t="inlineStr">
        <is>
          <t>9000-3-32</t>
        </is>
      </c>
      <c r="E33" s="102" t="inlineStr">
        <is>
          <t>9000-3-28, 9000-3-29</t>
        </is>
      </c>
      <c r="F33" s="102" t="inlineStr">
        <is>
          <t>9000-3-34</t>
        </is>
      </c>
      <c r="G33" s="32" t="inlineStr">
        <is>
          <t>상하수도 이설 시공 최종 점검</t>
        </is>
      </c>
      <c r="H33" s="33" t="inlineStr">
        <is>
          <t>D+60</t>
        </is>
      </c>
      <c r="I33" s="33" t="inlineStr">
        <is>
          <t>현장 감리원 / 맑은물사업소</t>
        </is>
      </c>
      <c r="J33" s="34" t="inlineStr">
        <is>
          <t>본 과업은 송유관 등 특수 매설 관로 이설 시 비파괴 NDT 검사 및 초음파 탐상 시험 결과를 종합 검증하여, 대한송유관공사로의 안전한 시설물 인계인수를 완수하는 것을 목적으로 함.</t>
        </is>
      </c>
      <c r="K33" s="34" t="inlineStr">
        <is>
          <t>1) 송유관 용접 부설 ➔ 2) NDT 비파괴검사 &amp; 초음파 탐상 ➔ 3) 송유관공사 안전 점검 ➔ 4) 송유관 이설 완료 서면 승인</t>
        </is>
      </c>
      <c r="L33" s="34" t="inlineStr">
        <is>
          <t>송유관 용접 부설, NDT 비파괴검사 및 초음파 탐상 시험 100% 합격 (대한송유관공사 인수)</t>
        </is>
      </c>
      <c r="M33" s="34" t="inlineStr">
        <is>
          <t>본 과업은 송유관 등 특수 매설 관로 이설 시 비파괴 NDT 검사 및 초음파 탐상 시험 결과를 종합 검증하여, 대한송유관공사로의 안전한 시설물 인계인수를 완수하는 것을 목적으로 함.</t>
        </is>
      </c>
      <c r="N33" s="35">
        <f>HYPERLINK(LEFT(CELL("filename",A1),FIND("[",CELL("filename",A1))-1)&amp;"3.지장물이설\17_도로점용_굴착행위 인허가\표준서\17_도로점용_굴착행위 인허가_표준서.html", "👉 [클릭] 표준서 열기 📄")</f>
        <v/>
      </c>
      <c r="O33" s="34" t="inlineStr">
        <is>
          <t>1) 송유관 용접 부설 ➔ 2) NDT 비파괴검사 &amp; 초음파 탐상 ➔ 3) 송유관공사 안전 점검 ➔ 4) 송유관 이설 완료 서면 승인</t>
        </is>
      </c>
      <c r="P33" s="36">
        <f>HYPERLINK(LEFT(CELL("filename",A1),FIND("[",CELL("filename",A1))-1)&amp;"3.지장물이설\17_도로점용_굴착행위 인허가\수행지침\도로점용_굴착행위 인허가_수행지침.html", "👉 [클릭] 수행지침 열기 📄")</f>
        <v/>
      </c>
      <c r="Q33" s="34" t="inlineStr">
        <is>
          <t>송유관 용접 부설, NDT 비파괴검사 및 초음파 탐상 시험 100% 합격 (대한송유관공사 인수)</t>
        </is>
      </c>
      <c r="R33" s="37">
        <f>HYPERLINK(LEFT(CELL("filename",A1),FIND("[",CELL("filename",A1))-1)&amp;"3.지장물이설\17_도로점용_굴착행위 인허가\체크리스트\도로점용_굴착행위 인허가_체크리스트.html", "👉 [클릭] 체크리스트 열기 📄")</f>
        <v/>
      </c>
      <c r="S33" s="33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Y33" s="18" t="n"/>
      <c r="DZ33" s="18" t="n"/>
      <c r="EA33" s="18" t="n"/>
      <c r="EB33" s="18" t="n"/>
      <c r="EC33" s="18" t="n"/>
      <c r="ED33" s="18" t="n"/>
      <c r="EE33" s="18" t="n"/>
      <c r="EF33" s="18" t="n"/>
      <c r="EG33" s="18" t="n"/>
      <c r="EH33" s="18" t="n"/>
      <c r="EI33" s="18" t="n"/>
      <c r="EJ33" s="18" t="n"/>
      <c r="EK33" s="18" t="n"/>
      <c r="EL33" s="18" t="n"/>
      <c r="EM33" s="18" t="n"/>
      <c r="EN33" s="18" t="n"/>
      <c r="EO33" s="18" t="n"/>
      <c r="EP33" s="18" t="n"/>
      <c r="EQ33" s="18" t="n"/>
      <c r="ER33" s="18" t="n"/>
      <c r="ES33" s="18" t="n"/>
      <c r="ET33" s="18" t="n"/>
      <c r="EU33" s="18" t="n"/>
      <c r="EV33" s="18" t="n"/>
      <c r="EW33" s="18" t="n"/>
      <c r="EX33" s="18" t="n"/>
      <c r="EY33" s="18" t="n"/>
      <c r="EZ33" s="18" t="n"/>
      <c r="FA33" s="18" t="n"/>
      <c r="FB33" s="18" t="n"/>
      <c r="FC33" s="18" t="n"/>
      <c r="FD33" s="18" t="n"/>
      <c r="FE33" s="18" t="n"/>
      <c r="FF33" s="18" t="n"/>
      <c r="FG33" s="18" t="n"/>
      <c r="FH33" s="18" t="n"/>
      <c r="FI33" s="18" t="n"/>
      <c r="FJ33" s="18" t="n"/>
      <c r="FK33" s="18" t="n"/>
      <c r="FL33" s="18" t="n"/>
      <c r="FM33" s="18" t="n"/>
      <c r="FN33" s="18" t="n"/>
      <c r="FO33" s="18" t="n"/>
      <c r="FP33" s="18" t="n"/>
      <c r="FQ33" s="18" t="n"/>
      <c r="FR33" s="18" t="n"/>
      <c r="FS33" s="18" t="n"/>
      <c r="FT33" s="18" t="n"/>
      <c r="FU33" s="18" t="n"/>
      <c r="FV33" s="18" t="n"/>
      <c r="FW33" s="18" t="n"/>
      <c r="FX33" s="18" t="n"/>
      <c r="FY33" s="18" t="n"/>
      <c r="FZ33" s="18" t="n"/>
      <c r="GA33" s="18" t="n"/>
      <c r="GB33" s="18" t="n"/>
      <c r="GC33" s="18" t="n"/>
      <c r="GD33" s="18" t="n"/>
      <c r="GE33" s="18" t="n"/>
      <c r="GF33" s="18" t="n"/>
      <c r="GG33" s="18" t="n"/>
      <c r="GH33" s="18" t="n"/>
      <c r="GI33" s="18" t="n"/>
      <c r="GJ33" s="18" t="n"/>
      <c r="GK33" s="18" t="n"/>
      <c r="GL33" s="18" t="n"/>
      <c r="GM33" s="18" t="n"/>
      <c r="GN33" s="18" t="n"/>
      <c r="GO33" s="18" t="n"/>
      <c r="GP33" s="18" t="n"/>
      <c r="GQ33" s="18" t="n"/>
      <c r="GR33" s="18" t="n"/>
      <c r="GS33" s="18" t="n"/>
      <c r="GT33" s="18" t="n"/>
      <c r="GU33" s="18" t="n"/>
      <c r="GV33" s="18" t="n"/>
      <c r="GW33" s="18" t="n"/>
      <c r="GX33" s="18" t="n"/>
      <c r="GY33" s="18" t="n"/>
      <c r="GZ33" s="18" t="n"/>
      <c r="HA33" s="18" t="n"/>
      <c r="HB33" s="18" t="n"/>
      <c r="HC33" s="18" t="n"/>
      <c r="HD33" s="18" t="n"/>
      <c r="HE33" s="18" t="n"/>
      <c r="HF33" s="18" t="n"/>
      <c r="HG33" s="18" t="n"/>
      <c r="HH33" s="18" t="n"/>
      <c r="HI33" s="18" t="n"/>
      <c r="HJ33" s="18" t="n"/>
      <c r="HK33" s="18" t="n"/>
      <c r="HL33" s="18" t="n"/>
      <c r="HM33" s="18" t="n"/>
      <c r="HN33" s="18" t="n"/>
      <c r="HO33" s="18" t="n"/>
      <c r="HP33" s="18" t="n"/>
      <c r="HQ33" s="18" t="n"/>
      <c r="HR33" s="18" t="n"/>
      <c r="HS33" s="18" t="n"/>
      <c r="HT33" s="18" t="n"/>
      <c r="HU33" s="18" t="n"/>
      <c r="HV33" s="18" t="n"/>
      <c r="HW33" s="18" t="n"/>
      <c r="HX33" s="18" t="n"/>
      <c r="HY33" s="18" t="n"/>
      <c r="HZ33" s="18" t="n"/>
      <c r="IA33" s="18" t="n"/>
      <c r="IB33" s="18" t="n"/>
      <c r="IC33" s="18" t="n"/>
      <c r="ID33" s="18" t="n"/>
      <c r="IE33" s="18" t="n"/>
      <c r="IF33" s="18" t="n"/>
      <c r="IG33" s="18" t="n"/>
      <c r="IH33" s="18" t="n"/>
      <c r="II33" s="18" t="n"/>
      <c r="IJ33" s="18" t="n"/>
      <c r="IK33" s="18" t="n"/>
      <c r="IL33" s="18" t="n"/>
      <c r="IM33" s="18" t="n"/>
      <c r="IN33" s="18" t="n"/>
      <c r="IO33" s="18" t="n"/>
      <c r="IP33" s="18" t="n"/>
      <c r="IQ33" s="18" t="n"/>
      <c r="IR33" s="18" t="n"/>
      <c r="IS33" s="18" t="n"/>
      <c r="IT33" s="18" t="n"/>
      <c r="IU33" s="18" t="n"/>
      <c r="IV33" s="18" t="n"/>
      <c r="IW33" s="18" t="n"/>
      <c r="IX33" s="18" t="n"/>
      <c r="IY33" s="18" t="n"/>
      <c r="IZ33" s="18" t="n"/>
      <c r="JA33" s="18" t="n"/>
      <c r="JB33" s="18" t="n"/>
      <c r="JC33" s="18" t="n"/>
      <c r="JD33" s="18" t="n"/>
      <c r="JE33" s="18" t="n"/>
      <c r="JF33" s="18" t="n"/>
      <c r="JG33" s="18" t="n"/>
      <c r="JH33" s="18" t="n"/>
      <c r="JI33" s="18" t="n"/>
      <c r="JJ33" s="18" t="n"/>
      <c r="JK33" s="18" t="n"/>
      <c r="JL33" s="18" t="n"/>
      <c r="JM33" s="18" t="n"/>
      <c r="JN33" s="18" t="n"/>
      <c r="JO33" s="18" t="n"/>
      <c r="JP33" s="18" t="n"/>
      <c r="JQ33" s="18" t="n"/>
      <c r="JR33" s="18" t="n"/>
      <c r="JS33" s="18" t="n"/>
      <c r="JT33" s="18" t="n"/>
      <c r="JU33" s="18" t="n"/>
      <c r="JV33" s="18" t="n"/>
      <c r="JW33" s="18" t="n"/>
      <c r="JX33" s="18" t="n"/>
      <c r="JY33" s="18" t="n"/>
      <c r="JZ33" s="18" t="n"/>
      <c r="KA33" s="18" t="n"/>
      <c r="KB33" s="18" t="n"/>
      <c r="KC33" s="18" t="n"/>
      <c r="KD33" s="18" t="n"/>
      <c r="KE33" s="18" t="n"/>
      <c r="KF33" s="18" t="n"/>
      <c r="KG33" s="18" t="n"/>
      <c r="KH33" s="18" t="n"/>
      <c r="KI33" s="18" t="n"/>
      <c r="KJ33" s="18" t="n"/>
      <c r="KK33" s="18" t="n"/>
      <c r="KL33" s="18" t="n"/>
      <c r="KM33" s="18" t="n"/>
      <c r="KN33" s="18" t="n"/>
      <c r="KO33" s="18" t="n"/>
      <c r="KP33" s="18" t="n"/>
      <c r="KQ33" s="18" t="n"/>
    </row>
    <row r="34" ht="52.05" customHeight="1" s="88">
      <c r="A34" s="19" t="inlineStr">
        <is>
          <t>9000</t>
        </is>
      </c>
      <c r="B34" s="19" t="inlineStr">
        <is>
          <t>9000-3</t>
        </is>
      </c>
      <c r="C34" s="19" t="inlineStr">
        <is>
          <t>지장물이설</t>
        </is>
      </c>
      <c r="D34" s="19" t="inlineStr">
        <is>
          <t>9000-3-33</t>
        </is>
      </c>
      <c r="E34" s="95" t="inlineStr">
        <is>
          <t>9000-3-30, 9000-3-31</t>
        </is>
      </c>
      <c r="F34" s="95" t="inlineStr">
        <is>
          <t>9000-3-35, 9000-3-36</t>
        </is>
      </c>
      <c r="G34" s="23" t="inlineStr">
        <is>
          <t>위수탁 지하지장물 이설 최종 점검</t>
        </is>
      </c>
      <c r="H34" s="21" t="inlineStr">
        <is>
          <t>D+65</t>
        </is>
      </c>
      <c r="I34" s="21" t="inlineStr">
        <is>
          <t>현장 감리원 / 위수탁기관</t>
        </is>
      </c>
      <c r="J34" s="24" t="inlineStr">
        <is>
          <t>본 과업은 신설된 상하수도 관로의 수압·수질·CCTV 검사 대장을 최종 종합하여, 지자체 및 점용기관 3자 합동 현장 인계 점검을 수행하는 것을 목적으로 함.</t>
        </is>
      </c>
      <c r="K34" s="24" t="inlineStr">
        <is>
          <t>1) 신설 관로 종합 현측 ➔ 2) 수압/수질/CCTV 검사 종합 ➔ 3) 지자체 3자 합동 점검 ➔ 4) 상하수도 최종 점검 대장 승인</t>
        </is>
      </c>
      <c r="L34" s="24" t="inlineStr">
        <is>
          <t>신설 관로 종합 현측, 수압/수질/CCTV 검사 종합 대장 작성 및 지자체 3자 합동 점검</t>
        </is>
      </c>
      <c r="M34" s="24" t="inlineStr">
        <is>
          <t>본 과업은 신설된 상하수도 관로의 수압·수질·CCTV 검사 대장을 최종 종합하여, 지자체 및 점용기관 3자 합동 현장 인계 점검을 수행하는 것을 목적으로 함.</t>
        </is>
      </c>
      <c r="N34" s="25">
        <f>HYPERLINK(LEFT(CELL("filename",A1),FIND("[",CELL("filename",A1))-1)&amp;"3.지장물이설\18_광역상수관 이설 공사\표준서\광역상수관 이설 공사_표준서.html", "👉 [클릭] 표준서 열기 📄")</f>
        <v/>
      </c>
      <c r="O34" s="24" t="inlineStr">
        <is>
          <t>1) 신설 관로 종합 현측 ➔ 2) 수압/수질/CCTV 검사 종합 ➔ 3) 지자체 3자 합동 점검 ➔ 4) 상하수도 최종 점검 대장 승인</t>
        </is>
      </c>
      <c r="P34" s="26">
        <f>HYPERLINK(LEFT(CELL("filename",A1),FIND("[",CELL("filename",A1))-1)&amp;"3.지장물이설\18_광역상수관 이설 공사\수행지침\광역상수관 이설 공사_수행지침.html", "👉 [클릭] 수행지침 열기 📄")</f>
        <v/>
      </c>
      <c r="Q34" s="24" t="inlineStr">
        <is>
          <t>신설 관로 종합 현측, 수압/수질/CCTV 검사 종합 대장 작성 및 지자체 3자 합동 점검</t>
        </is>
      </c>
      <c r="R34" s="27">
        <f>HYPERLINK(LEFT(CELL("filename",A1),FIND("[",CELL("filename",A1))-1)&amp;"3.지장물이설\18_광역상수관 이설 공사\체크리스트\광역상수관 이설 공사_체크리스트.html", "👉 [클릭] 체크리스트 열기 📄")</f>
        <v/>
      </c>
      <c r="S34" s="2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Y34" s="18" t="n"/>
      <c r="DZ34" s="18" t="n"/>
      <c r="EA34" s="18" t="n"/>
      <c r="EB34" s="18" t="n"/>
      <c r="EC34" s="18" t="n"/>
      <c r="ED34" s="18" t="n"/>
      <c r="EE34" s="18" t="n"/>
      <c r="EF34" s="18" t="n"/>
      <c r="EG34" s="18" t="n"/>
      <c r="EH34" s="18" t="n"/>
      <c r="EI34" s="18" t="n"/>
      <c r="EJ34" s="18" t="n"/>
      <c r="EK34" s="18" t="n"/>
      <c r="EL34" s="18" t="n"/>
      <c r="EM34" s="18" t="n"/>
      <c r="EN34" s="18" t="n"/>
      <c r="EO34" s="18" t="n"/>
      <c r="EP34" s="18" t="n"/>
      <c r="EQ34" s="18" t="n"/>
      <c r="ER34" s="18" t="n"/>
      <c r="ES34" s="18" t="n"/>
      <c r="ET34" s="18" t="n"/>
      <c r="EU34" s="18" t="n"/>
      <c r="EV34" s="18" t="n"/>
      <c r="EW34" s="18" t="n"/>
      <c r="EX34" s="18" t="n"/>
      <c r="EY34" s="18" t="n"/>
      <c r="EZ34" s="18" t="n"/>
      <c r="FA34" s="18" t="n"/>
      <c r="FB34" s="18" t="n"/>
      <c r="FC34" s="18" t="n"/>
      <c r="FD34" s="18" t="n"/>
      <c r="FE34" s="18" t="n"/>
      <c r="FF34" s="18" t="n"/>
      <c r="FG34" s="18" t="n"/>
      <c r="FH34" s="18" t="n"/>
      <c r="FI34" s="18" t="n"/>
      <c r="FJ34" s="18" t="n"/>
      <c r="FK34" s="18" t="n"/>
      <c r="FL34" s="18" t="n"/>
      <c r="FM34" s="18" t="n"/>
      <c r="FN34" s="18" t="n"/>
      <c r="FO34" s="18" t="n"/>
      <c r="FP34" s="18" t="n"/>
      <c r="FQ34" s="18" t="n"/>
      <c r="FR34" s="18" t="n"/>
      <c r="FS34" s="18" t="n"/>
      <c r="FT34" s="18" t="n"/>
      <c r="FU34" s="18" t="n"/>
      <c r="FV34" s="18" t="n"/>
      <c r="FW34" s="18" t="n"/>
      <c r="FX34" s="18" t="n"/>
      <c r="FY34" s="18" t="n"/>
      <c r="FZ34" s="18" t="n"/>
      <c r="GA34" s="18" t="n"/>
      <c r="GB34" s="18" t="n"/>
      <c r="GC34" s="18" t="n"/>
      <c r="GD34" s="18" t="n"/>
      <c r="GE34" s="18" t="n"/>
      <c r="GF34" s="18" t="n"/>
      <c r="GG34" s="18" t="n"/>
      <c r="GH34" s="18" t="n"/>
      <c r="GI34" s="18" t="n"/>
      <c r="GJ34" s="18" t="n"/>
      <c r="GK34" s="18" t="n"/>
      <c r="GL34" s="18" t="n"/>
      <c r="GM34" s="18" t="n"/>
      <c r="GN34" s="18" t="n"/>
      <c r="GO34" s="18" t="n"/>
      <c r="GP34" s="18" t="n"/>
      <c r="GQ34" s="18" t="n"/>
      <c r="GR34" s="18" t="n"/>
      <c r="GS34" s="18" t="n"/>
      <c r="GT34" s="18" t="n"/>
      <c r="GU34" s="18" t="n"/>
      <c r="GV34" s="18" t="n"/>
      <c r="GW34" s="18" t="n"/>
      <c r="GX34" s="18" t="n"/>
      <c r="GY34" s="18" t="n"/>
      <c r="GZ34" s="18" t="n"/>
      <c r="HA34" s="18" t="n"/>
      <c r="HB34" s="18" t="n"/>
      <c r="HC34" s="18" t="n"/>
      <c r="HD34" s="18" t="n"/>
      <c r="HE34" s="18" t="n"/>
      <c r="HF34" s="18" t="n"/>
      <c r="HG34" s="18" t="n"/>
      <c r="HH34" s="18" t="n"/>
      <c r="HI34" s="18" t="n"/>
      <c r="HJ34" s="18" t="n"/>
      <c r="HK34" s="18" t="n"/>
      <c r="HL34" s="18" t="n"/>
      <c r="HM34" s="18" t="n"/>
      <c r="HN34" s="18" t="n"/>
      <c r="HO34" s="18" t="n"/>
      <c r="HP34" s="18" t="n"/>
      <c r="HQ34" s="18" t="n"/>
      <c r="HR34" s="18" t="n"/>
      <c r="HS34" s="18" t="n"/>
      <c r="HT34" s="18" t="n"/>
      <c r="HU34" s="18" t="n"/>
      <c r="HV34" s="18" t="n"/>
      <c r="HW34" s="18" t="n"/>
      <c r="HX34" s="18" t="n"/>
      <c r="HY34" s="18" t="n"/>
      <c r="HZ34" s="18" t="n"/>
      <c r="IA34" s="18" t="n"/>
      <c r="IB34" s="18" t="n"/>
      <c r="IC34" s="18" t="n"/>
      <c r="ID34" s="18" t="n"/>
      <c r="IE34" s="18" t="n"/>
      <c r="IF34" s="18" t="n"/>
      <c r="IG34" s="18" t="n"/>
      <c r="IH34" s="18" t="n"/>
      <c r="II34" s="18" t="n"/>
      <c r="IJ34" s="18" t="n"/>
      <c r="IK34" s="18" t="n"/>
      <c r="IL34" s="18" t="n"/>
      <c r="IM34" s="18" t="n"/>
      <c r="IN34" s="18" t="n"/>
      <c r="IO34" s="18" t="n"/>
      <c r="IP34" s="18" t="n"/>
      <c r="IQ34" s="18" t="n"/>
      <c r="IR34" s="18" t="n"/>
      <c r="IS34" s="18" t="n"/>
      <c r="IT34" s="18" t="n"/>
      <c r="IU34" s="18" t="n"/>
      <c r="IV34" s="18" t="n"/>
      <c r="IW34" s="18" t="n"/>
      <c r="IX34" s="18" t="n"/>
      <c r="IY34" s="18" t="n"/>
      <c r="IZ34" s="18" t="n"/>
      <c r="JA34" s="18" t="n"/>
      <c r="JB34" s="18" t="n"/>
      <c r="JC34" s="18" t="n"/>
      <c r="JD34" s="18" t="n"/>
      <c r="JE34" s="18" t="n"/>
      <c r="JF34" s="18" t="n"/>
      <c r="JG34" s="18" t="n"/>
      <c r="JH34" s="18" t="n"/>
      <c r="JI34" s="18" t="n"/>
      <c r="JJ34" s="18" t="n"/>
      <c r="JK34" s="18" t="n"/>
      <c r="JL34" s="18" t="n"/>
      <c r="JM34" s="18" t="n"/>
      <c r="JN34" s="18" t="n"/>
      <c r="JO34" s="18" t="n"/>
      <c r="JP34" s="18" t="n"/>
      <c r="JQ34" s="18" t="n"/>
      <c r="JR34" s="18" t="n"/>
      <c r="JS34" s="18" t="n"/>
      <c r="JT34" s="18" t="n"/>
      <c r="JU34" s="18" t="n"/>
      <c r="JV34" s="18" t="n"/>
      <c r="JW34" s="18" t="n"/>
      <c r="JX34" s="18" t="n"/>
      <c r="JY34" s="18" t="n"/>
      <c r="JZ34" s="18" t="n"/>
      <c r="KA34" s="18" t="n"/>
      <c r="KB34" s="18" t="n"/>
      <c r="KC34" s="18" t="n"/>
      <c r="KD34" s="18" t="n"/>
      <c r="KE34" s="18" t="n"/>
      <c r="KF34" s="18" t="n"/>
      <c r="KG34" s="18" t="n"/>
      <c r="KH34" s="18" t="n"/>
      <c r="KI34" s="18" t="n"/>
      <c r="KJ34" s="18" t="n"/>
      <c r="KK34" s="18" t="n"/>
      <c r="KL34" s="18" t="n"/>
      <c r="KM34" s="18" t="n"/>
      <c r="KN34" s="18" t="n"/>
      <c r="KO34" s="18" t="n"/>
      <c r="KP34" s="18" t="n"/>
      <c r="KQ34" s="18" t="n"/>
      <c r="KR34" s="18" t="n"/>
      <c r="KS34" s="18" t="n"/>
      <c r="KT34" s="18" t="n"/>
      <c r="KU34" s="18" t="n"/>
    </row>
    <row r="35" ht="52.05" customHeight="1" s="88">
      <c r="A35" s="29" t="inlineStr">
        <is>
          <t>9000</t>
        </is>
      </c>
      <c r="B35" s="29" t="inlineStr">
        <is>
          <t>9000-3</t>
        </is>
      </c>
      <c r="C35" s="29" t="inlineStr">
        <is>
          <t>지장물이설</t>
        </is>
      </c>
      <c r="D35" s="29" t="inlineStr">
        <is>
          <t>9000-3-34</t>
        </is>
      </c>
      <c r="E35" s="102" t="inlineStr">
        <is>
          <t>9000-3-31, 9000-3-32</t>
        </is>
      </c>
      <c r="F35" s="102" t="inlineStr">
        <is>
          <t>9000-3-36</t>
        </is>
      </c>
      <c r="G35" s="32" t="inlineStr">
        <is>
          <t>상하수도 이설 정산 금액 검토</t>
        </is>
      </c>
      <c r="H35" s="33" t="inlineStr">
        <is>
          <t>D+70</t>
        </is>
      </c>
      <c r="I35" s="33" t="inlineStr">
        <is>
          <t>현장 공무팀</t>
        </is>
      </c>
      <c r="J35" s="34" t="inlineStr">
        <is>
          <t>본 과업은 관할 위탁기관의 최종 현장 인수 성과와 3D BIM 준공 도면을 대조하여, 실제 이설 공사에 투입된 내역 및 정산금의 기술적 타당성을 검토하는 것을 목적으로 함.</t>
        </is>
      </c>
      <c r="K35" s="34" t="inlineStr">
        <is>
          <t>1) 위탁기관 1:1 인수 검측 ➔ 2) 3D BIM 준공 도면 대조 ➔ 3) 이설 완료 현장 서명 ➔ 4) 준공 보고서 감리 서면 승인</t>
        </is>
      </c>
      <c r="L35" s="34" t="inlineStr">
        <is>
          <t>위탁기관 1:1 인수 검측, 3D BIM 준공 도면 대조 및 이설 준공 보고서 감리 서면 승인</t>
        </is>
      </c>
      <c r="M35" s="34" t="inlineStr">
        <is>
          <t>본 과업은 관할 위탁기관의 최종 현장 인수 성과와 3D BIM 준공 도면을 대조하여, 실제 이설 공사에 투입된 내역 및 정산금의 기술적 타당성을 검토하는 것을 목적으로 함.</t>
        </is>
      </c>
      <c r="N35" s="35">
        <f>HYPERLINK(LEFT(CELL("filename",A1),FIND("[",CELL("filename",A1))-1)&amp;"3.지장물이설\18_교통통제 및 교통안전시설 설치\표준서\18_교통통제 및 교통안전시설 설치_표준서.html", "👉 [클릭] 표준서 열기 📄")</f>
        <v/>
      </c>
      <c r="O35" s="34" t="inlineStr">
        <is>
          <t>1) 위탁기관 1:1 인수 검측 ➔ 2) 3D BIM 준공 도면 대조 ➔ 3) 이설 완료 현장 서명 ➔ 4) 준공 보고서 감리 서면 승인</t>
        </is>
      </c>
      <c r="P35" s="36">
        <f>HYPERLINK(LEFT(CELL("filename",A1),FIND("[",CELL("filename",A1))-1)&amp;"3.지장물이설\18_교통통제 및 교통안전시설 설치\수행지침\교통통제 및 교통안전시설 설치_수행지침.html", "👉 [클릭] 수행지침 열기 📄")</f>
        <v/>
      </c>
      <c r="Q35" s="34" t="inlineStr">
        <is>
          <t>위탁기관 1:1 인수 검측, 3D BIM 준공 도면 대조 및 이설 준공 보고서 감리 서면 승인</t>
        </is>
      </c>
      <c r="R35" s="37">
        <f>HYPERLINK(LEFT(CELL("filename",A1),FIND("[",CELL("filename",A1))-1)&amp;"3.지장물이설\18_교통통제 및 교통안전시설 설치\체크리스트\교통통제 및 교통안전시설 설치_체크리스트.html", "👉 [클릭] 체크리스트 열기 📄")</f>
        <v/>
      </c>
      <c r="S35" s="33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8" t="n"/>
      <c r="EJ35" s="18" t="n"/>
      <c r="EK35" s="18" t="n"/>
      <c r="EL35" s="18" t="n"/>
      <c r="EM35" s="18" t="n"/>
      <c r="EN35" s="18" t="n"/>
      <c r="EO35" s="18" t="n"/>
      <c r="EP35" s="18" t="n"/>
      <c r="EQ35" s="18" t="n"/>
      <c r="ER35" s="18" t="n"/>
      <c r="ES35" s="18" t="n"/>
      <c r="ET35" s="18" t="n"/>
      <c r="EU35" s="18" t="n"/>
      <c r="EV35" s="18" t="n"/>
      <c r="EW35" s="18" t="n"/>
      <c r="EX35" s="18" t="n"/>
      <c r="EY35" s="18" t="n"/>
      <c r="EZ35" s="18" t="n"/>
      <c r="FA35" s="18" t="n"/>
      <c r="FB35" s="18" t="n"/>
      <c r="FC35" s="18" t="n"/>
      <c r="FD35" s="18" t="n"/>
      <c r="FE35" s="18" t="n"/>
      <c r="FF35" s="18" t="n"/>
      <c r="FG35" s="18" t="n"/>
      <c r="FH35" s="18" t="n"/>
      <c r="FI35" s="18" t="n"/>
      <c r="FJ35" s="18" t="n"/>
      <c r="FK35" s="18" t="n"/>
      <c r="FL35" s="18" t="n"/>
      <c r="FM35" s="18" t="n"/>
      <c r="FN35" s="18" t="n"/>
      <c r="FO35" s="18" t="n"/>
      <c r="FP35" s="18" t="n"/>
      <c r="FQ35" s="18" t="n"/>
      <c r="FR35" s="18" t="n"/>
      <c r="FS35" s="18" t="n"/>
      <c r="FT35" s="18" t="n"/>
      <c r="FU35" s="18" t="n"/>
      <c r="FV35" s="18" t="n"/>
      <c r="FW35" s="18" t="n"/>
      <c r="FX35" s="18" t="n"/>
      <c r="FY35" s="18" t="n"/>
      <c r="FZ35" s="18" t="n"/>
      <c r="GA35" s="18" t="n"/>
      <c r="GB35" s="18" t="n"/>
      <c r="GC35" s="18" t="n"/>
      <c r="GD35" s="18" t="n"/>
      <c r="GE35" s="18" t="n"/>
      <c r="GF35" s="18" t="n"/>
      <c r="GG35" s="18" t="n"/>
      <c r="GH35" s="18" t="n"/>
      <c r="GI35" s="18" t="n"/>
      <c r="GJ35" s="18" t="n"/>
      <c r="GK35" s="18" t="n"/>
      <c r="GL35" s="18" t="n"/>
      <c r="GM35" s="18" t="n"/>
      <c r="GN35" s="18" t="n"/>
      <c r="GO35" s="18" t="n"/>
      <c r="GP35" s="18" t="n"/>
      <c r="GQ35" s="18" t="n"/>
      <c r="GR35" s="18" t="n"/>
      <c r="GS35" s="18" t="n"/>
      <c r="GT35" s="18" t="n"/>
      <c r="GU35" s="18" t="n"/>
      <c r="GV35" s="18" t="n"/>
      <c r="GW35" s="18" t="n"/>
      <c r="GX35" s="18" t="n"/>
      <c r="GY35" s="18" t="n"/>
      <c r="GZ35" s="18" t="n"/>
      <c r="HA35" s="18" t="n"/>
      <c r="HB35" s="18" t="n"/>
      <c r="HC35" s="18" t="n"/>
      <c r="HD35" s="18" t="n"/>
      <c r="HE35" s="18" t="n"/>
      <c r="HF35" s="18" t="n"/>
      <c r="HG35" s="18" t="n"/>
      <c r="HH35" s="18" t="n"/>
      <c r="HI35" s="18" t="n"/>
      <c r="HJ35" s="18" t="n"/>
      <c r="HK35" s="18" t="n"/>
      <c r="HL35" s="18" t="n"/>
      <c r="HM35" s="18" t="n"/>
      <c r="HN35" s="18" t="n"/>
      <c r="HO35" s="18" t="n"/>
      <c r="HP35" s="18" t="n"/>
      <c r="HQ35" s="18" t="n"/>
      <c r="HR35" s="18" t="n"/>
      <c r="HS35" s="18" t="n"/>
      <c r="HT35" s="18" t="n"/>
      <c r="HU35" s="18" t="n"/>
      <c r="HV35" s="18" t="n"/>
      <c r="HW35" s="18" t="n"/>
      <c r="HX35" s="18" t="n"/>
      <c r="HY35" s="18" t="n"/>
      <c r="HZ35" s="18" t="n"/>
      <c r="IA35" s="18" t="n"/>
      <c r="IB35" s="18" t="n"/>
      <c r="IC35" s="18" t="n"/>
      <c r="ID35" s="18" t="n"/>
      <c r="IE35" s="18" t="n"/>
      <c r="IF35" s="18" t="n"/>
      <c r="IG35" s="18" t="n"/>
      <c r="IH35" s="18" t="n"/>
      <c r="II35" s="18" t="n"/>
      <c r="IJ35" s="18" t="n"/>
      <c r="IK35" s="18" t="n"/>
      <c r="IL35" s="18" t="n"/>
      <c r="IM35" s="18" t="n"/>
      <c r="IN35" s="18" t="n"/>
      <c r="IO35" s="18" t="n"/>
      <c r="IP35" s="18" t="n"/>
      <c r="IQ35" s="18" t="n"/>
      <c r="IR35" s="18" t="n"/>
      <c r="IS35" s="18" t="n"/>
      <c r="IT35" s="18" t="n"/>
      <c r="IU35" s="18" t="n"/>
      <c r="IV35" s="18" t="n"/>
      <c r="IW35" s="18" t="n"/>
      <c r="IX35" s="18" t="n"/>
      <c r="IY35" s="18" t="n"/>
      <c r="IZ35" s="18" t="n"/>
      <c r="JA35" s="18" t="n"/>
      <c r="JB35" s="18" t="n"/>
      <c r="JC35" s="18" t="n"/>
      <c r="JD35" s="18" t="n"/>
      <c r="JE35" s="18" t="n"/>
      <c r="JF35" s="18" t="n"/>
      <c r="JG35" s="18" t="n"/>
      <c r="JH35" s="18" t="n"/>
      <c r="JI35" s="18" t="n"/>
      <c r="JJ35" s="18" t="n"/>
      <c r="JK35" s="18" t="n"/>
      <c r="JL35" s="18" t="n"/>
      <c r="JM35" s="18" t="n"/>
      <c r="JN35" s="18" t="n"/>
      <c r="JO35" s="18" t="n"/>
      <c r="JP35" s="18" t="n"/>
      <c r="JQ35" s="18" t="n"/>
      <c r="JR35" s="18" t="n"/>
      <c r="JS35" s="18" t="n"/>
      <c r="JT35" s="18" t="n"/>
      <c r="JU35" s="18" t="n"/>
      <c r="JV35" s="18" t="n"/>
      <c r="JW35" s="18" t="n"/>
      <c r="JX35" s="18" t="n"/>
      <c r="JY35" s="18" t="n"/>
      <c r="JZ35" s="18" t="n"/>
      <c r="KA35" s="18" t="n"/>
      <c r="KB35" s="18" t="n"/>
      <c r="KC35" s="18" t="n"/>
      <c r="KD35" s="18" t="n"/>
      <c r="KE35" s="18" t="n"/>
      <c r="KF35" s="18" t="n"/>
      <c r="KG35" s="18" t="n"/>
      <c r="KH35" s="18" t="n"/>
      <c r="KI35" s="18" t="n"/>
      <c r="KJ35" s="18" t="n"/>
      <c r="KK35" s="18" t="n"/>
      <c r="KL35" s="18" t="n"/>
      <c r="KM35" s="18" t="n"/>
      <c r="KN35" s="18" t="n"/>
      <c r="KO35" s="18" t="n"/>
      <c r="KP35" s="18" t="n"/>
      <c r="KQ35" s="18" t="n"/>
      <c r="KR35" s="18" t="n"/>
      <c r="KS35" s="18" t="n"/>
      <c r="KT35" s="18" t="n"/>
      <c r="KU35" s="18" t="n"/>
      <c r="KV35" s="18" t="n"/>
      <c r="KW35" s="18" t="n"/>
      <c r="KX35" s="18" t="n"/>
      <c r="KY35" s="18" t="n"/>
    </row>
    <row r="36" ht="52.05" customHeight="1" s="88">
      <c r="A36" s="19" t="inlineStr">
        <is>
          <t>9000</t>
        </is>
      </c>
      <c r="B36" s="19" t="inlineStr">
        <is>
          <t>9000-3</t>
        </is>
      </c>
      <c r="C36" s="19" t="inlineStr">
        <is>
          <t>지장물이설</t>
        </is>
      </c>
      <c r="D36" s="19" t="inlineStr">
        <is>
          <t>9000-3-35</t>
        </is>
      </c>
      <c r="E36" s="95" t="inlineStr">
        <is>
          <t>9000-3-33</t>
        </is>
      </c>
      <c r="F36" s="95" t="inlineStr">
        <is>
          <t>9000-3-37</t>
        </is>
      </c>
      <c r="G36" s="23" t="inlineStr">
        <is>
          <t>위수탁 처리 정산금액 지급</t>
        </is>
      </c>
      <c r="H36" s="21" t="inlineStr">
        <is>
          <t>D+80</t>
        </is>
      </c>
      <c r="I36" s="21" t="inlineStr">
        <is>
          <t>현장 공무팀 / 발주처</t>
        </is>
      </c>
      <c r="J36" s="24" t="inlineStr">
        <is>
          <t>본 과업은 실정보고 및 시공 결과에 기반하여 정밀 단가 산정 정산서를 작성하고, 책임감리원의 서면 결재를 거쳐 위탁기관 공사 정산금을 지급 수속하는 것을 목적으로 함.</t>
        </is>
      </c>
      <c r="K36" s="24" t="inlineStr">
        <is>
          <t>1) 실정보고 투입 물량 집계 ➔ 2) 정산 단가 산정 서류 작성 ➔ 3) 정산서 감리 기술 검토 ➔ 4) 정산 금액 최종 서면 승인</t>
        </is>
      </c>
      <c r="L36" s="24" t="inlineStr">
        <is>
          <t>실정보고 투입 물량 집계, 정산 단가 산정 서류 작성 및 책임감리원 정산 금액 서면 승인</t>
        </is>
      </c>
      <c r="M36" s="24" t="inlineStr">
        <is>
          <t>본 과업은 실정보고 및 시공 결과에 기반하여 정밀 단가 산정 정산서를 작성하고, 책임감리원의 서면 결재를 거쳐 위탁기관 공사 정산금을 지급 수속하는 것을 목적으로 함.</t>
        </is>
      </c>
      <c r="N36" s="25">
        <f>HYPERLINK(LEFT(CELL("filename",A1),FIND("[",CELL("filename",A1))-1)&amp;"3.지장물이설\19_상수도 관로 이설 공사\표준서\상수도 관로 이설 공사_표준서.html", "👉 [클릭] 표준서 열기 📄")</f>
        <v/>
      </c>
      <c r="O36" s="24" t="inlineStr">
        <is>
          <t>1) 실정보고 투입 물량 집계 ➔ 2) 정산 단가 산정 서류 작성 ➔ 3) 정산서 감리 기술 검토 ➔ 4) 정산 금액 최종 서면 승인</t>
        </is>
      </c>
      <c r="P36" s="26">
        <f>HYPERLINK(LEFT(CELL("filename",A1),FIND("[",CELL("filename",A1))-1)&amp;"3.지장물이설\19_상수도 관로 이설 공사\수행지침\상수도 관로 이설 공사_수행지침.html", "👉 [클릭] 수행지침 열기 📄")</f>
        <v/>
      </c>
      <c r="Q36" s="24" t="inlineStr">
        <is>
          <t>실정보고 투입 물량 집계, 정산 단가 산정 서류 작성 및 책임감리원 정산 금액 서면 승인</t>
        </is>
      </c>
      <c r="R36" s="27">
        <f>HYPERLINK(LEFT(CELL("filename",A1),FIND("[",CELL("filename",A1))-1)&amp;"3.지장물이설\19_상수도 관로 이설 공사\체크리스트\상수도 관로 이설 공사_체크리스트.html", "👉 [클릭] 체크리스트 열기 📄")</f>
        <v/>
      </c>
      <c r="S36" s="2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Y36" s="18" t="n"/>
      <c r="DZ36" s="18" t="n"/>
      <c r="EA36" s="18" t="n"/>
      <c r="EB36" s="18" t="n"/>
      <c r="EC36" s="18" t="n"/>
      <c r="ED36" s="18" t="n"/>
      <c r="EE36" s="18" t="n"/>
      <c r="EF36" s="18" t="n"/>
      <c r="EG36" s="18" t="n"/>
      <c r="EH36" s="18" t="n"/>
      <c r="EI36" s="18" t="n"/>
      <c r="EJ36" s="18" t="n"/>
      <c r="EK36" s="18" t="n"/>
      <c r="EL36" s="18" t="n"/>
      <c r="EM36" s="18" t="n"/>
      <c r="EN36" s="18" t="n"/>
      <c r="EO36" s="18" t="n"/>
      <c r="EP36" s="18" t="n"/>
      <c r="EQ36" s="18" t="n"/>
      <c r="ER36" s="18" t="n"/>
      <c r="ES36" s="18" t="n"/>
      <c r="ET36" s="18" t="n"/>
      <c r="EU36" s="18" t="n"/>
      <c r="EV36" s="18" t="n"/>
      <c r="EW36" s="18" t="n"/>
      <c r="EX36" s="18" t="n"/>
      <c r="EY36" s="18" t="n"/>
      <c r="EZ36" s="18" t="n"/>
      <c r="FA36" s="18" t="n"/>
      <c r="FB36" s="18" t="n"/>
      <c r="FC36" s="18" t="n"/>
      <c r="FD36" s="18" t="n"/>
      <c r="FE36" s="18" t="n"/>
      <c r="FF36" s="18" t="n"/>
      <c r="FG36" s="18" t="n"/>
      <c r="FH36" s="18" t="n"/>
      <c r="FI36" s="18" t="n"/>
      <c r="FJ36" s="18" t="n"/>
      <c r="FK36" s="18" t="n"/>
      <c r="FL36" s="18" t="n"/>
      <c r="FM36" s="18" t="n"/>
      <c r="FN36" s="18" t="n"/>
      <c r="FO36" s="18" t="n"/>
      <c r="FP36" s="18" t="n"/>
      <c r="FQ36" s="18" t="n"/>
      <c r="FR36" s="18" t="n"/>
      <c r="FS36" s="18" t="n"/>
      <c r="FT36" s="18" t="n"/>
      <c r="FU36" s="18" t="n"/>
      <c r="FV36" s="18" t="n"/>
      <c r="FW36" s="18" t="n"/>
      <c r="FX36" s="18" t="n"/>
      <c r="FY36" s="18" t="n"/>
      <c r="FZ36" s="18" t="n"/>
      <c r="GA36" s="18" t="n"/>
      <c r="GB36" s="18" t="n"/>
      <c r="GC36" s="18" t="n"/>
      <c r="GD36" s="18" t="n"/>
      <c r="GE36" s="18" t="n"/>
      <c r="GF36" s="18" t="n"/>
      <c r="GG36" s="18" t="n"/>
      <c r="GH36" s="18" t="n"/>
      <c r="GI36" s="18" t="n"/>
      <c r="GJ36" s="18" t="n"/>
      <c r="GK36" s="18" t="n"/>
      <c r="GL36" s="18" t="n"/>
      <c r="GM36" s="18" t="n"/>
      <c r="GN36" s="18" t="n"/>
      <c r="GO36" s="18" t="n"/>
      <c r="GP36" s="18" t="n"/>
      <c r="GQ36" s="18" t="n"/>
      <c r="GR36" s="18" t="n"/>
      <c r="GS36" s="18" t="n"/>
      <c r="GT36" s="18" t="n"/>
      <c r="GU36" s="18" t="n"/>
      <c r="GV36" s="18" t="n"/>
      <c r="GW36" s="18" t="n"/>
      <c r="GX36" s="18" t="n"/>
      <c r="GY36" s="18" t="n"/>
      <c r="GZ36" s="18" t="n"/>
      <c r="HA36" s="18" t="n"/>
      <c r="HB36" s="18" t="n"/>
      <c r="HC36" s="18" t="n"/>
      <c r="HD36" s="18" t="n"/>
      <c r="HE36" s="18" t="n"/>
      <c r="HF36" s="18" t="n"/>
      <c r="HG36" s="18" t="n"/>
      <c r="HH36" s="18" t="n"/>
      <c r="HI36" s="18" t="n"/>
      <c r="HJ36" s="18" t="n"/>
      <c r="HK36" s="18" t="n"/>
      <c r="HL36" s="18" t="n"/>
      <c r="HM36" s="18" t="n"/>
      <c r="HN36" s="18" t="n"/>
      <c r="HO36" s="18" t="n"/>
      <c r="HP36" s="18" t="n"/>
      <c r="HQ36" s="18" t="n"/>
      <c r="HR36" s="18" t="n"/>
      <c r="HS36" s="18" t="n"/>
      <c r="HT36" s="18" t="n"/>
      <c r="HU36" s="18" t="n"/>
      <c r="HV36" s="18" t="n"/>
      <c r="HW36" s="18" t="n"/>
      <c r="HX36" s="18" t="n"/>
      <c r="HY36" s="18" t="n"/>
      <c r="HZ36" s="18" t="n"/>
      <c r="IA36" s="18" t="n"/>
      <c r="IB36" s="18" t="n"/>
      <c r="IC36" s="18" t="n"/>
      <c r="ID36" s="18" t="n"/>
      <c r="IE36" s="18" t="n"/>
      <c r="IF36" s="18" t="n"/>
      <c r="IG36" s="18" t="n"/>
      <c r="IH36" s="18" t="n"/>
      <c r="II36" s="18" t="n"/>
      <c r="IJ36" s="18" t="n"/>
      <c r="IK36" s="18" t="n"/>
      <c r="IL36" s="18" t="n"/>
      <c r="IM36" s="18" t="n"/>
      <c r="IN36" s="18" t="n"/>
      <c r="IO36" s="18" t="n"/>
      <c r="IP36" s="18" t="n"/>
      <c r="IQ36" s="18" t="n"/>
      <c r="IR36" s="18" t="n"/>
      <c r="IS36" s="18" t="n"/>
      <c r="IT36" s="18" t="n"/>
      <c r="IU36" s="18" t="n"/>
      <c r="IV36" s="18" t="n"/>
      <c r="IW36" s="18" t="n"/>
      <c r="IX36" s="18" t="n"/>
      <c r="IY36" s="18" t="n"/>
      <c r="IZ36" s="18" t="n"/>
      <c r="JA36" s="18" t="n"/>
      <c r="JB36" s="18" t="n"/>
      <c r="JC36" s="18" t="n"/>
      <c r="JD36" s="18" t="n"/>
      <c r="JE36" s="18" t="n"/>
      <c r="JF36" s="18" t="n"/>
      <c r="JG36" s="18" t="n"/>
      <c r="JH36" s="18" t="n"/>
      <c r="JI36" s="18" t="n"/>
      <c r="JJ36" s="18" t="n"/>
      <c r="JK36" s="18" t="n"/>
      <c r="JL36" s="18" t="n"/>
      <c r="JM36" s="18" t="n"/>
      <c r="JN36" s="18" t="n"/>
      <c r="JO36" s="18" t="n"/>
      <c r="JP36" s="18" t="n"/>
      <c r="JQ36" s="18" t="n"/>
      <c r="JR36" s="18" t="n"/>
      <c r="JS36" s="18" t="n"/>
      <c r="JT36" s="18" t="n"/>
      <c r="JU36" s="18" t="n"/>
      <c r="JV36" s="18" t="n"/>
      <c r="JW36" s="18" t="n"/>
      <c r="JX36" s="18" t="n"/>
      <c r="JY36" s="18" t="n"/>
      <c r="JZ36" s="18" t="n"/>
      <c r="KA36" s="18" t="n"/>
      <c r="KB36" s="18" t="n"/>
      <c r="KC36" s="18" t="n"/>
      <c r="KD36" s="18" t="n"/>
      <c r="KE36" s="18" t="n"/>
      <c r="KF36" s="18" t="n"/>
      <c r="KG36" s="18" t="n"/>
      <c r="KH36" s="18" t="n"/>
      <c r="KI36" s="18" t="n"/>
      <c r="KJ36" s="18" t="n"/>
      <c r="KK36" s="18" t="n"/>
      <c r="KL36" s="18" t="n"/>
      <c r="KM36" s="18" t="n"/>
      <c r="KN36" s="18" t="n"/>
      <c r="KO36" s="18" t="n"/>
      <c r="KP36" s="18" t="n"/>
      <c r="KQ36" s="18" t="n"/>
      <c r="KR36" s="18" t="n"/>
      <c r="KS36" s="18" t="n"/>
      <c r="KT36" s="18" t="n"/>
      <c r="KU36" s="18" t="n"/>
      <c r="KV36" s="18" t="n"/>
      <c r="KW36" s="18" t="n"/>
      <c r="KX36" s="18" t="n"/>
      <c r="KY36" s="18" t="n"/>
      <c r="KZ36" s="18" t="n"/>
      <c r="LA36" s="18" t="n"/>
      <c r="LB36" s="18" t="n"/>
      <c r="LC36" s="18" t="n"/>
    </row>
    <row r="37" ht="52.05" customHeight="1" s="88">
      <c r="A37" s="29" t="inlineStr">
        <is>
          <t>9000</t>
        </is>
      </c>
      <c r="B37" s="29" t="inlineStr">
        <is>
          <t>9000-3</t>
        </is>
      </c>
      <c r="C37" s="29" t="inlineStr">
        <is>
          <t>지장물이설</t>
        </is>
      </c>
      <c r="D37" s="29" t="inlineStr">
        <is>
          <t>9000-3-36</t>
        </is>
      </c>
      <c r="E37" s="102" t="inlineStr">
        <is>
          <t>9000-3-33, 9000-3-34</t>
        </is>
      </c>
      <c r="F37" s="102" t="inlineStr">
        <is>
          <t>9000-3-37</t>
        </is>
      </c>
      <c r="G37" s="32" t="inlineStr">
        <is>
          <t>도급자분/위수탁분 설계변경 정산</t>
        </is>
      </c>
      <c r="H37" s="33" t="inlineStr">
        <is>
          <t>D+90</t>
        </is>
      </c>
      <c r="I37" s="33" t="inlineStr">
        <is>
          <t>현장 공무팀 / 화성시</t>
        </is>
      </c>
      <c r="J37" s="34" t="inlineStr">
        <is>
          <t>본 과업은 이설 완료된 지장물 공사의 실투입 집행 영수증과 정산서를 관할 위탁기관에 최종 제출하여 정산금 청구 및 집행 절차를 완수하는 것을 목적으로 함.</t>
        </is>
      </c>
      <c r="K37" s="34" t="inlineStr">
        <is>
          <t>1) 위탁기관 정산 청구서 작성 ➔ 2) 증빙 영수증 &amp; 성과표 첨부 ➔ 3) 정산금 지급 수속 ➔ 4) 이설 정산금 집행 완료</t>
        </is>
      </c>
      <c r="L37" s="34" t="inlineStr">
        <is>
          <t>위탁기관 정산 청구서 작성, 증빙 영수증 &amp; 성과표 부착 및 이설 정산금 집행 완료</t>
        </is>
      </c>
      <c r="M37" s="34" t="inlineStr">
        <is>
          <t>본 과업은 이설 완료된 지장물 공사의 실투입 집행 영수증과 정산서를 관할 위탁기관에 최종 제출하여 정산금 청구 및 집행 절차를 완수하는 것을 목적으로 함.</t>
        </is>
      </c>
      <c r="N37" s="35">
        <f>HYPERLINK(LEFT(CELL("filename",A1),FIND("[",CELL("filename",A1))-1)&amp;"3.지장물이설\19_줄따기(GPR)를 통한 기존 지장물 매설 확인\표준서\19_줄따기(GPR)를 통한 기존 지장물 매설 확인_표준서.html", "👉 [클릭] 표준서 열기 📄")</f>
        <v/>
      </c>
      <c r="O37" s="34" t="inlineStr">
        <is>
          <t>1) 위탁기관 정산 청구서 작성 ➔ 2) 증빙 영수증 &amp; 성과표 첨부 ➔ 3) 정산금 지급 수속 ➔ 4) 이설 정산금 집행 완료</t>
        </is>
      </c>
      <c r="P37" s="36">
        <f>HYPERLINK(LEFT(CELL("filename",A1),FIND("[",CELL("filename",A1))-1)&amp;"3.지장물이설\19_줄따기(GPR)를 통한 기존 지장물 매설 확인\수행지침\수행지침.html", "👉 [클릭] 수행지침 열기 📄")</f>
        <v/>
      </c>
      <c r="Q37" s="34" t="inlineStr">
        <is>
          <t>위탁기관 정산 청구서 작성, 증빙 영수증 &amp; 성과표 부착 및 이설 정산금 집행 완료</t>
        </is>
      </c>
      <c r="R37" s="37">
        <f>HYPERLINK(LEFT(CELL("filename",A1),FIND("[",CELL("filename",A1))-1)&amp;"3.지장물이설\19_줄따기(GPR)를 통한 기존 지장물 매설 확인\체크리스트\줄따기(GPR)를 통한 기존 지장물 매설 확인_체크리스트.html", "👉 [클릭] 체크리스트 열기 📄")</f>
        <v/>
      </c>
      <c r="S37" s="33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  <c r="DY37" s="18" t="n"/>
      <c r="DZ37" s="18" t="n"/>
      <c r="EA37" s="18" t="n"/>
      <c r="EB37" s="18" t="n"/>
      <c r="EC37" s="18" t="n"/>
      <c r="ED37" s="18" t="n"/>
      <c r="EE37" s="18" t="n"/>
      <c r="EF37" s="18" t="n"/>
      <c r="EG37" s="18" t="n"/>
      <c r="EH37" s="18" t="n"/>
      <c r="EI37" s="18" t="n"/>
      <c r="EJ37" s="18" t="n"/>
      <c r="EK37" s="18" t="n"/>
      <c r="EL37" s="18" t="n"/>
      <c r="EM37" s="18" t="n"/>
      <c r="EN37" s="18" t="n"/>
      <c r="EO37" s="18" t="n"/>
      <c r="EP37" s="18" t="n"/>
      <c r="EQ37" s="18" t="n"/>
      <c r="ER37" s="18" t="n"/>
      <c r="ES37" s="18" t="n"/>
      <c r="ET37" s="18" t="n"/>
      <c r="EU37" s="18" t="n"/>
      <c r="EV37" s="18" t="n"/>
      <c r="EW37" s="18" t="n"/>
      <c r="EX37" s="18" t="n"/>
      <c r="EY37" s="18" t="n"/>
      <c r="EZ37" s="18" t="n"/>
      <c r="FA37" s="18" t="n"/>
      <c r="FB37" s="18" t="n"/>
      <c r="FC37" s="18" t="n"/>
      <c r="FD37" s="18" t="n"/>
      <c r="FE37" s="18" t="n"/>
      <c r="FF37" s="18" t="n"/>
      <c r="FG37" s="18" t="n"/>
      <c r="FH37" s="18" t="n"/>
      <c r="FI37" s="18" t="n"/>
      <c r="FJ37" s="18" t="n"/>
      <c r="FK37" s="18" t="n"/>
      <c r="FL37" s="18" t="n"/>
      <c r="FM37" s="18" t="n"/>
      <c r="FN37" s="18" t="n"/>
      <c r="FO37" s="18" t="n"/>
      <c r="FP37" s="18" t="n"/>
      <c r="FQ37" s="18" t="n"/>
      <c r="FR37" s="18" t="n"/>
      <c r="FS37" s="18" t="n"/>
      <c r="FT37" s="18" t="n"/>
      <c r="FU37" s="18" t="n"/>
      <c r="FV37" s="18" t="n"/>
      <c r="FW37" s="18" t="n"/>
      <c r="FX37" s="18" t="n"/>
      <c r="FY37" s="18" t="n"/>
      <c r="FZ37" s="18" t="n"/>
      <c r="GA37" s="18" t="n"/>
      <c r="GB37" s="18" t="n"/>
      <c r="GC37" s="18" t="n"/>
      <c r="GD37" s="18" t="n"/>
      <c r="GE37" s="18" t="n"/>
      <c r="GF37" s="18" t="n"/>
      <c r="GG37" s="18" t="n"/>
      <c r="GH37" s="18" t="n"/>
      <c r="GI37" s="18" t="n"/>
      <c r="GJ37" s="18" t="n"/>
      <c r="GK37" s="18" t="n"/>
      <c r="GL37" s="18" t="n"/>
      <c r="GM37" s="18" t="n"/>
      <c r="GN37" s="18" t="n"/>
      <c r="GO37" s="18" t="n"/>
      <c r="GP37" s="18" t="n"/>
      <c r="GQ37" s="18" t="n"/>
      <c r="GR37" s="18" t="n"/>
      <c r="GS37" s="18" t="n"/>
      <c r="GT37" s="18" t="n"/>
      <c r="GU37" s="18" t="n"/>
      <c r="GV37" s="18" t="n"/>
      <c r="GW37" s="18" t="n"/>
      <c r="GX37" s="18" t="n"/>
      <c r="GY37" s="18" t="n"/>
      <c r="GZ37" s="18" t="n"/>
      <c r="HA37" s="18" t="n"/>
      <c r="HB37" s="18" t="n"/>
      <c r="HC37" s="18" t="n"/>
      <c r="HD37" s="18" t="n"/>
      <c r="HE37" s="18" t="n"/>
      <c r="HF37" s="18" t="n"/>
      <c r="HG37" s="18" t="n"/>
      <c r="HH37" s="18" t="n"/>
      <c r="HI37" s="18" t="n"/>
      <c r="HJ37" s="18" t="n"/>
      <c r="HK37" s="18" t="n"/>
      <c r="HL37" s="18" t="n"/>
      <c r="HM37" s="18" t="n"/>
      <c r="HN37" s="18" t="n"/>
      <c r="HO37" s="18" t="n"/>
      <c r="HP37" s="18" t="n"/>
      <c r="HQ37" s="18" t="n"/>
      <c r="HR37" s="18" t="n"/>
      <c r="HS37" s="18" t="n"/>
      <c r="HT37" s="18" t="n"/>
      <c r="HU37" s="18" t="n"/>
      <c r="HV37" s="18" t="n"/>
      <c r="HW37" s="18" t="n"/>
      <c r="HX37" s="18" t="n"/>
      <c r="HY37" s="18" t="n"/>
      <c r="HZ37" s="18" t="n"/>
      <c r="IA37" s="18" t="n"/>
      <c r="IB37" s="18" t="n"/>
      <c r="IC37" s="18" t="n"/>
      <c r="ID37" s="18" t="n"/>
      <c r="IE37" s="18" t="n"/>
      <c r="IF37" s="18" t="n"/>
      <c r="IG37" s="18" t="n"/>
      <c r="IH37" s="18" t="n"/>
      <c r="II37" s="18" t="n"/>
      <c r="IJ37" s="18" t="n"/>
      <c r="IK37" s="18" t="n"/>
      <c r="IL37" s="18" t="n"/>
      <c r="IM37" s="18" t="n"/>
      <c r="IN37" s="18" t="n"/>
      <c r="IO37" s="18" t="n"/>
      <c r="IP37" s="18" t="n"/>
      <c r="IQ37" s="18" t="n"/>
      <c r="IR37" s="18" t="n"/>
      <c r="IS37" s="18" t="n"/>
      <c r="IT37" s="18" t="n"/>
      <c r="IU37" s="18" t="n"/>
      <c r="IV37" s="18" t="n"/>
      <c r="IW37" s="18" t="n"/>
      <c r="IX37" s="18" t="n"/>
      <c r="IY37" s="18" t="n"/>
      <c r="IZ37" s="18" t="n"/>
      <c r="JA37" s="18" t="n"/>
      <c r="JB37" s="18" t="n"/>
      <c r="JC37" s="18" t="n"/>
      <c r="JD37" s="18" t="n"/>
      <c r="JE37" s="18" t="n"/>
      <c r="JF37" s="18" t="n"/>
      <c r="JG37" s="18" t="n"/>
      <c r="JH37" s="18" t="n"/>
      <c r="JI37" s="18" t="n"/>
      <c r="JJ37" s="18" t="n"/>
      <c r="JK37" s="18" t="n"/>
      <c r="JL37" s="18" t="n"/>
      <c r="JM37" s="18" t="n"/>
      <c r="JN37" s="18" t="n"/>
      <c r="JO37" s="18" t="n"/>
      <c r="JP37" s="18" t="n"/>
      <c r="JQ37" s="18" t="n"/>
      <c r="JR37" s="18" t="n"/>
      <c r="JS37" s="18" t="n"/>
      <c r="JT37" s="18" t="n"/>
      <c r="JU37" s="18" t="n"/>
      <c r="JV37" s="18" t="n"/>
      <c r="JW37" s="18" t="n"/>
      <c r="JX37" s="18" t="n"/>
      <c r="JY37" s="18" t="n"/>
      <c r="JZ37" s="18" t="n"/>
      <c r="KA37" s="18" t="n"/>
      <c r="KB37" s="18" t="n"/>
      <c r="KC37" s="18" t="n"/>
      <c r="KD37" s="18" t="n"/>
      <c r="KE37" s="18" t="n"/>
      <c r="KF37" s="18" t="n"/>
      <c r="KG37" s="18" t="n"/>
      <c r="KH37" s="18" t="n"/>
      <c r="KI37" s="18" t="n"/>
      <c r="KJ37" s="18" t="n"/>
      <c r="KK37" s="18" t="n"/>
      <c r="KL37" s="18" t="n"/>
      <c r="KM37" s="18" t="n"/>
      <c r="KN37" s="18" t="n"/>
      <c r="KO37" s="18" t="n"/>
      <c r="KP37" s="18" t="n"/>
      <c r="KQ37" s="18" t="n"/>
      <c r="KR37" s="18" t="n"/>
      <c r="KS37" s="18" t="n"/>
      <c r="KT37" s="18" t="n"/>
      <c r="KU37" s="18" t="n"/>
      <c r="KV37" s="18" t="n"/>
      <c r="KW37" s="18" t="n"/>
      <c r="KX37" s="18" t="n"/>
      <c r="KY37" s="18" t="n"/>
      <c r="KZ37" s="18" t="n"/>
      <c r="LA37" s="18" t="n"/>
      <c r="LB37" s="18" t="n"/>
      <c r="LC37" s="18" t="n"/>
      <c r="LD37" s="18" t="n"/>
      <c r="LE37" s="18" t="n"/>
      <c r="LF37" s="18" t="n"/>
      <c r="LG37" s="18" t="n"/>
    </row>
    <row r="38" ht="52.05" customHeight="1" s="88">
      <c r="A38" s="19" t="inlineStr">
        <is>
          <t>9000</t>
        </is>
      </c>
      <c r="B38" s="19" t="inlineStr">
        <is>
          <t>9000-3</t>
        </is>
      </c>
      <c r="C38" s="19" t="inlineStr">
        <is>
          <t>지장물이설</t>
        </is>
      </c>
      <c r="D38" s="19" t="inlineStr">
        <is>
          <t>9000-3-37</t>
        </is>
      </c>
      <c r="E38" s="95" t="inlineStr">
        <is>
          <t>9000-3-35, 9000-3-36</t>
        </is>
      </c>
      <c r="F38" s="95" t="inlineStr">
        <is>
          <t>9000-3-38</t>
        </is>
      </c>
      <c r="G38" s="23" t="inlineStr">
        <is>
          <t>공사전 선행공종에서 인수받을 사항</t>
        </is>
      </c>
      <c r="H38" s="21" t="inlineStr">
        <is>
          <t>D-90</t>
        </is>
      </c>
      <c r="I38" s="21" t="inlineStr">
        <is>
          <t>현장 사업단 / 공무팀</t>
        </is>
      </c>
      <c r="J38" s="24" t="inlineStr">
        <is>
          <t>본 과업은 도급분 및 위수탁분 지장물 이설 공사비 변동에 따른 총사업비 변경 계약을 체결하고, 발주처 정식 변경 공문을 수령하여 변경 예산 확보를 완수하는 것을 목적으로 함.</t>
        </is>
      </c>
      <c r="K38" s="24" t="inlineStr">
        <is>
          <t>1) 설계변경 총사업비 산정 ➔ 2) 도급/위수탁 변경 변경 수속 ➔ 3) 발주처 변경 공문 수령 ➔ 4) 설계변경 정산 최종 승인</t>
        </is>
      </c>
      <c r="L38" s="24" t="inlineStr">
        <is>
          <t>설계변경 총사업비 산정, 도급/위수탁 변경 변경 수속 및 발주처 변경 공문 수령</t>
        </is>
      </c>
      <c r="M38" s="24" t="inlineStr">
        <is>
          <t>본 과업은 도급분 및 위수탁분 지장물 이설 공사비 변동에 따른 총사업비 변경 계약을 체결하고, 발주처 정식 변경 공문을 수령하여 변경 예산 확보를 완수하는 것을 목적으로 함.</t>
        </is>
      </c>
      <c r="N38" s="25">
        <f>HYPERLINK(LEFT(CELL("filename",A1),FIND("[",CELL("filename",A1))-1)&amp;"3.지장물이설\20_이설 위치 토공 굴착\표준서\20_이설 위치 토공 굴착_표준서.html", "👉 [클릭] 표준서 열기 📄")</f>
        <v/>
      </c>
      <c r="O38" s="24" t="inlineStr">
        <is>
          <t>1) 설계변경 총사업비 산정 ➔ 2) 도급/위수탁 변경 변경 수속 ➔ 3) 발주처 변경 공문 수령 ➔ 4) 설계변경 정산 최종 승인</t>
        </is>
      </c>
      <c r="P38" s="26">
        <f>HYPERLINK(LEFT(CELL("filename",A1),FIND("[",CELL("filename",A1))-1)&amp;"3.지장물이설\20_이설 위치 토공 굴착\수행지침\수행지침.html", "👉 [클릭] 수행지침 열기 📄")</f>
        <v/>
      </c>
      <c r="Q38" s="24" t="inlineStr">
        <is>
          <t>설계변경 총사업비 산정, 도급/위수탁 변경 변경 수속 및 발주처 변경 공문 수령</t>
        </is>
      </c>
      <c r="R38" s="27">
        <f>HYPERLINK(LEFT(CELL("filename",A1),FIND("[",CELL("filename",A1))-1)&amp;"3.지장물이설\20_이설 위치 토공 굴착\체크리스트\이설 위치 토공 굴착_체크리스트.html", "👉 [클릭] 체크리스트 열기 📄")</f>
        <v/>
      </c>
      <c r="S38" s="2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  <c r="DY38" s="18" t="n"/>
      <c r="DZ38" s="18" t="n"/>
      <c r="EA38" s="18" t="n"/>
      <c r="EB38" s="18" t="n"/>
      <c r="EC38" s="18" t="n"/>
      <c r="ED38" s="18" t="n"/>
      <c r="EE38" s="18" t="n"/>
      <c r="EF38" s="18" t="n"/>
      <c r="EG38" s="18" t="n"/>
      <c r="EH38" s="18" t="n"/>
      <c r="EI38" s="18" t="n"/>
      <c r="EJ38" s="18" t="n"/>
      <c r="EK38" s="18" t="n"/>
      <c r="EL38" s="18" t="n"/>
      <c r="EM38" s="18" t="n"/>
      <c r="EN38" s="18" t="n"/>
      <c r="EO38" s="18" t="n"/>
      <c r="EP38" s="18" t="n"/>
      <c r="EQ38" s="18" t="n"/>
      <c r="ER38" s="18" t="n"/>
      <c r="ES38" s="18" t="n"/>
      <c r="ET38" s="18" t="n"/>
      <c r="EU38" s="18" t="n"/>
      <c r="EV38" s="18" t="n"/>
      <c r="EW38" s="18" t="n"/>
      <c r="EX38" s="18" t="n"/>
      <c r="EY38" s="18" t="n"/>
      <c r="EZ38" s="18" t="n"/>
      <c r="FA38" s="18" t="n"/>
      <c r="FB38" s="18" t="n"/>
      <c r="FC38" s="18" t="n"/>
      <c r="FD38" s="18" t="n"/>
      <c r="FE38" s="18" t="n"/>
      <c r="FF38" s="18" t="n"/>
      <c r="FG38" s="18" t="n"/>
      <c r="FH38" s="18" t="n"/>
      <c r="FI38" s="18" t="n"/>
      <c r="FJ38" s="18" t="n"/>
      <c r="FK38" s="18" t="n"/>
      <c r="FL38" s="18" t="n"/>
      <c r="FM38" s="18" t="n"/>
      <c r="FN38" s="18" t="n"/>
      <c r="FO38" s="18" t="n"/>
      <c r="FP38" s="18" t="n"/>
      <c r="FQ38" s="18" t="n"/>
      <c r="FR38" s="18" t="n"/>
      <c r="FS38" s="18" t="n"/>
      <c r="FT38" s="18" t="n"/>
      <c r="FU38" s="18" t="n"/>
      <c r="FV38" s="18" t="n"/>
      <c r="FW38" s="18" t="n"/>
      <c r="FX38" s="18" t="n"/>
      <c r="FY38" s="18" t="n"/>
      <c r="FZ38" s="18" t="n"/>
      <c r="GA38" s="18" t="n"/>
      <c r="GB38" s="18" t="n"/>
      <c r="GC38" s="18" t="n"/>
      <c r="GD38" s="18" t="n"/>
      <c r="GE38" s="18" t="n"/>
      <c r="GF38" s="18" t="n"/>
      <c r="GG38" s="18" t="n"/>
      <c r="GH38" s="18" t="n"/>
      <c r="GI38" s="18" t="n"/>
      <c r="GJ38" s="18" t="n"/>
      <c r="GK38" s="18" t="n"/>
      <c r="GL38" s="18" t="n"/>
      <c r="GM38" s="18" t="n"/>
      <c r="GN38" s="18" t="n"/>
      <c r="GO38" s="18" t="n"/>
      <c r="GP38" s="18" t="n"/>
      <c r="GQ38" s="18" t="n"/>
      <c r="GR38" s="18" t="n"/>
      <c r="GS38" s="18" t="n"/>
      <c r="GT38" s="18" t="n"/>
      <c r="GU38" s="18" t="n"/>
      <c r="GV38" s="18" t="n"/>
      <c r="GW38" s="18" t="n"/>
      <c r="GX38" s="18" t="n"/>
      <c r="GY38" s="18" t="n"/>
      <c r="GZ38" s="18" t="n"/>
      <c r="HA38" s="18" t="n"/>
      <c r="HB38" s="18" t="n"/>
      <c r="HC38" s="18" t="n"/>
      <c r="HD38" s="18" t="n"/>
      <c r="HE38" s="18" t="n"/>
      <c r="HF38" s="18" t="n"/>
      <c r="HG38" s="18" t="n"/>
      <c r="HH38" s="18" t="n"/>
      <c r="HI38" s="18" t="n"/>
      <c r="HJ38" s="18" t="n"/>
      <c r="HK38" s="18" t="n"/>
      <c r="HL38" s="18" t="n"/>
      <c r="HM38" s="18" t="n"/>
      <c r="HN38" s="18" t="n"/>
      <c r="HO38" s="18" t="n"/>
      <c r="HP38" s="18" t="n"/>
      <c r="HQ38" s="18" t="n"/>
      <c r="HR38" s="18" t="n"/>
      <c r="HS38" s="18" t="n"/>
      <c r="HT38" s="18" t="n"/>
      <c r="HU38" s="18" t="n"/>
      <c r="HV38" s="18" t="n"/>
      <c r="HW38" s="18" t="n"/>
      <c r="HX38" s="18" t="n"/>
      <c r="HY38" s="18" t="n"/>
      <c r="HZ38" s="18" t="n"/>
      <c r="IA38" s="18" t="n"/>
      <c r="IB38" s="18" t="n"/>
      <c r="IC38" s="18" t="n"/>
      <c r="ID38" s="18" t="n"/>
      <c r="IE38" s="18" t="n"/>
      <c r="IF38" s="18" t="n"/>
      <c r="IG38" s="18" t="n"/>
      <c r="IH38" s="18" t="n"/>
      <c r="II38" s="18" t="n"/>
      <c r="IJ38" s="18" t="n"/>
      <c r="IK38" s="18" t="n"/>
      <c r="IL38" s="18" t="n"/>
      <c r="IM38" s="18" t="n"/>
      <c r="IN38" s="18" t="n"/>
      <c r="IO38" s="18" t="n"/>
      <c r="IP38" s="18" t="n"/>
      <c r="IQ38" s="18" t="n"/>
      <c r="IR38" s="18" t="n"/>
      <c r="IS38" s="18" t="n"/>
      <c r="IT38" s="18" t="n"/>
      <c r="IU38" s="18" t="n"/>
      <c r="IV38" s="18" t="n"/>
      <c r="IW38" s="18" t="n"/>
      <c r="IX38" s="18" t="n"/>
      <c r="IY38" s="18" t="n"/>
      <c r="IZ38" s="18" t="n"/>
      <c r="JA38" s="18" t="n"/>
      <c r="JB38" s="18" t="n"/>
      <c r="JC38" s="18" t="n"/>
      <c r="JD38" s="18" t="n"/>
      <c r="JE38" s="18" t="n"/>
      <c r="JF38" s="18" t="n"/>
      <c r="JG38" s="18" t="n"/>
      <c r="JH38" s="18" t="n"/>
      <c r="JI38" s="18" t="n"/>
      <c r="JJ38" s="18" t="n"/>
      <c r="JK38" s="18" t="n"/>
      <c r="JL38" s="18" t="n"/>
      <c r="JM38" s="18" t="n"/>
      <c r="JN38" s="18" t="n"/>
      <c r="JO38" s="18" t="n"/>
      <c r="JP38" s="18" t="n"/>
      <c r="JQ38" s="18" t="n"/>
      <c r="JR38" s="18" t="n"/>
      <c r="JS38" s="18" t="n"/>
      <c r="JT38" s="18" t="n"/>
      <c r="JU38" s="18" t="n"/>
      <c r="JV38" s="18" t="n"/>
      <c r="JW38" s="18" t="n"/>
      <c r="JX38" s="18" t="n"/>
      <c r="JY38" s="18" t="n"/>
      <c r="JZ38" s="18" t="n"/>
      <c r="KA38" s="18" t="n"/>
      <c r="KB38" s="18" t="n"/>
      <c r="KC38" s="18" t="n"/>
      <c r="KD38" s="18" t="n"/>
      <c r="KE38" s="18" t="n"/>
      <c r="KF38" s="18" t="n"/>
      <c r="KG38" s="18" t="n"/>
      <c r="KH38" s="18" t="n"/>
      <c r="KI38" s="18" t="n"/>
      <c r="KJ38" s="18" t="n"/>
      <c r="KK38" s="18" t="n"/>
      <c r="KL38" s="18" t="n"/>
      <c r="KM38" s="18" t="n"/>
      <c r="KN38" s="18" t="n"/>
      <c r="KO38" s="18" t="n"/>
      <c r="KP38" s="18" t="n"/>
      <c r="KQ38" s="18" t="n"/>
      <c r="KR38" s="18" t="n"/>
      <c r="KS38" s="18" t="n"/>
      <c r="KT38" s="18" t="n"/>
      <c r="KU38" s="18" t="n"/>
      <c r="KV38" s="18" t="n"/>
      <c r="KW38" s="18" t="n"/>
      <c r="KX38" s="18" t="n"/>
      <c r="KY38" s="18" t="n"/>
      <c r="KZ38" s="18" t="n"/>
      <c r="LA38" s="18" t="n"/>
      <c r="LB38" s="18" t="n"/>
      <c r="LC38" s="18" t="n"/>
      <c r="LD38" s="18" t="n"/>
      <c r="LE38" s="18" t="n"/>
      <c r="LF38" s="18" t="n"/>
      <c r="LG38" s="18" t="n"/>
      <c r="LH38" s="18" t="n"/>
      <c r="LI38" s="18" t="n"/>
      <c r="LJ38" s="18" t="n"/>
      <c r="LK38" s="18" t="n"/>
    </row>
    <row r="39" ht="52.05" customHeight="1" s="88">
      <c r="A39" s="29" t="inlineStr">
        <is>
          <t>9000</t>
        </is>
      </c>
      <c r="B39" s="29" t="inlineStr">
        <is>
          <t>9000-3</t>
        </is>
      </c>
      <c r="C39" s="29" t="inlineStr">
        <is>
          <t>지장물이설</t>
        </is>
      </c>
      <c r="D39" s="29" t="inlineStr">
        <is>
          <t>9000-3-38</t>
        </is>
      </c>
      <c r="E39" s="102" t="inlineStr">
        <is>
          <t>9000-3-37</t>
        </is>
      </c>
      <c r="F39" s="102" t="inlineStr">
        <is>
          <t>-</t>
        </is>
      </c>
      <c r="G39" s="32" t="inlineStr">
        <is>
          <t>공사중 챙겨야할 후행공종의 요구사항</t>
        </is>
      </c>
      <c r="H39" s="33" t="inlineStr">
        <is>
          <t>D+100</t>
        </is>
      </c>
      <c r="I39" s="33" t="inlineStr">
        <is>
          <t>현장 공사팀 / 강화노반팀</t>
        </is>
      </c>
      <c r="J39" s="34" t="inlineStr">
        <is>
          <t>본 과업은 선행 토공 및 지장물 이설 부지의 측량 기준점 및 지반 성과 대장을 인수하여, 후행 노반 및 궤도 공사팀과의 공정 간섭 없는 매끄러운 3자 인계인수를 완료하는 것을 목적으로 함.</t>
        </is>
      </c>
      <c r="K39" s="34" t="inlineStr">
        <is>
          <t>1) 선행 토공 &amp; 측량 성과 인수 ➔ 2) 현장 지장물 인계인수 ➔ 3) 3자 합동 현측 실시 ➔ 4) 인계인수서 3자 서명 완료</t>
        </is>
      </c>
      <c r="L39" s="34" t="inlineStr">
        <is>
          <t>선행 토공 및 측량 성과 인수 대장 작성, 3자 합동 현측 및 인계인수서 서명 완료</t>
        </is>
      </c>
      <c r="M39" s="34" t="inlineStr">
        <is>
          <t>본 과업은 선행 토공 및 지장물 이설 부지의 측량 기준점 및 지반 성과 대장을 인수하여, 후행 노반 및 궤도 공사팀과의 공정 간섭 없는 매끄러운 3자 인계인수를 완료하는 것을 목적으로 함.</t>
        </is>
      </c>
      <c r="N39" s="35">
        <f>HYPERLINK(LEFT(CELL("filename",A1),FIND("[",CELL("filename",A1))-1)&amp;"3.지장물이설\20_하수도 관로 이설 공사\표준서\하수도 관로 이설 공사_표준서.html", "👉 [클릭] 표준서 열기 📄")</f>
        <v/>
      </c>
      <c r="O39" s="34" t="inlineStr">
        <is>
          <t>1) 선행 토공 &amp; 측량 성과 인수 ➔ 2) 현장 지장물 인계인수 ➔ 3) 3자 합동 현측 실시 ➔ 4) 인계인수서 3자 서명 완료</t>
        </is>
      </c>
      <c r="P39" s="36">
        <f>HYPERLINK(LEFT(CELL("filename",A1),FIND("[",CELL("filename",A1))-1)&amp;"3.지장물이설\20_하수도 관로 이설 공사\수행지침\수행지침.html", "👉 [클릭] 수행지침 열기 📄")</f>
        <v/>
      </c>
      <c r="Q39" s="34" t="inlineStr">
        <is>
          <t>선행 토공 및 측량 성과 인수 대장 작성, 3자 합동 현측 및 인계인수서 서명 완료</t>
        </is>
      </c>
      <c r="R39" s="37">
        <f>HYPERLINK(LEFT(CELL("filename",A1),FIND("[",CELL("filename",A1))-1)&amp;"3.지장물이설\20_하수도 관로 이설 공사\체크리스트\하수도 관로 이설 공사_체크리스트.html", "👉 [클릭] 체크리스트 열기 📄")</f>
        <v/>
      </c>
      <c r="S39" s="33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  <c r="DY39" s="18" t="n"/>
      <c r="DZ39" s="18" t="n"/>
      <c r="EA39" s="18" t="n"/>
      <c r="EB39" s="18" t="n"/>
      <c r="EC39" s="18" t="n"/>
      <c r="ED39" s="18" t="n"/>
      <c r="EE39" s="18" t="n"/>
      <c r="EF39" s="18" t="n"/>
      <c r="EG39" s="18" t="n"/>
      <c r="EH39" s="18" t="n"/>
      <c r="EI39" s="18" t="n"/>
      <c r="EJ39" s="18" t="n"/>
      <c r="EK39" s="18" t="n"/>
      <c r="EL39" s="18" t="n"/>
      <c r="EM39" s="18" t="n"/>
      <c r="EN39" s="18" t="n"/>
      <c r="EO39" s="18" t="n"/>
      <c r="EP39" s="18" t="n"/>
      <c r="EQ39" s="18" t="n"/>
      <c r="ER39" s="18" t="n"/>
      <c r="ES39" s="18" t="n"/>
      <c r="ET39" s="18" t="n"/>
      <c r="EU39" s="18" t="n"/>
      <c r="EV39" s="18" t="n"/>
      <c r="EW39" s="18" t="n"/>
      <c r="EX39" s="18" t="n"/>
      <c r="EY39" s="18" t="n"/>
      <c r="EZ39" s="18" t="n"/>
      <c r="FA39" s="18" t="n"/>
      <c r="FB39" s="18" t="n"/>
      <c r="FC39" s="18" t="n"/>
      <c r="FD39" s="18" t="n"/>
      <c r="FE39" s="18" t="n"/>
      <c r="FF39" s="18" t="n"/>
      <c r="FG39" s="18" t="n"/>
      <c r="FH39" s="18" t="n"/>
      <c r="FI39" s="18" t="n"/>
      <c r="FJ39" s="18" t="n"/>
      <c r="FK39" s="18" t="n"/>
      <c r="FL39" s="18" t="n"/>
      <c r="FM39" s="18" t="n"/>
      <c r="FN39" s="18" t="n"/>
      <c r="FO39" s="18" t="n"/>
      <c r="FP39" s="18" t="n"/>
      <c r="FQ39" s="18" t="n"/>
      <c r="FR39" s="18" t="n"/>
      <c r="FS39" s="18" t="n"/>
      <c r="FT39" s="18" t="n"/>
      <c r="FU39" s="18" t="n"/>
      <c r="FV39" s="18" t="n"/>
      <c r="FW39" s="18" t="n"/>
      <c r="FX39" s="18" t="n"/>
      <c r="FY39" s="18" t="n"/>
      <c r="FZ39" s="18" t="n"/>
      <c r="GA39" s="18" t="n"/>
      <c r="GB39" s="18" t="n"/>
      <c r="GC39" s="18" t="n"/>
      <c r="GD39" s="18" t="n"/>
      <c r="GE39" s="18" t="n"/>
      <c r="GF39" s="18" t="n"/>
      <c r="GG39" s="18" t="n"/>
      <c r="GH39" s="18" t="n"/>
      <c r="GI39" s="18" t="n"/>
      <c r="GJ39" s="18" t="n"/>
      <c r="GK39" s="18" t="n"/>
      <c r="GL39" s="18" t="n"/>
      <c r="GM39" s="18" t="n"/>
      <c r="GN39" s="18" t="n"/>
      <c r="GO39" s="18" t="n"/>
      <c r="GP39" s="18" t="n"/>
      <c r="GQ39" s="18" t="n"/>
      <c r="GR39" s="18" t="n"/>
      <c r="GS39" s="18" t="n"/>
      <c r="GT39" s="18" t="n"/>
      <c r="GU39" s="18" t="n"/>
      <c r="GV39" s="18" t="n"/>
      <c r="GW39" s="18" t="n"/>
      <c r="GX39" s="18" t="n"/>
      <c r="GY39" s="18" t="n"/>
      <c r="GZ39" s="18" t="n"/>
      <c r="HA39" s="18" t="n"/>
      <c r="HB39" s="18" t="n"/>
      <c r="HC39" s="18" t="n"/>
      <c r="HD39" s="18" t="n"/>
      <c r="HE39" s="18" t="n"/>
      <c r="HF39" s="18" t="n"/>
      <c r="HG39" s="18" t="n"/>
      <c r="HH39" s="18" t="n"/>
      <c r="HI39" s="18" t="n"/>
      <c r="HJ39" s="18" t="n"/>
      <c r="HK39" s="18" t="n"/>
      <c r="HL39" s="18" t="n"/>
      <c r="HM39" s="18" t="n"/>
      <c r="HN39" s="18" t="n"/>
      <c r="HO39" s="18" t="n"/>
      <c r="HP39" s="18" t="n"/>
      <c r="HQ39" s="18" t="n"/>
      <c r="HR39" s="18" t="n"/>
      <c r="HS39" s="18" t="n"/>
      <c r="HT39" s="18" t="n"/>
      <c r="HU39" s="18" t="n"/>
      <c r="HV39" s="18" t="n"/>
      <c r="HW39" s="18" t="n"/>
      <c r="HX39" s="18" t="n"/>
      <c r="HY39" s="18" t="n"/>
      <c r="HZ39" s="18" t="n"/>
      <c r="IA39" s="18" t="n"/>
      <c r="IB39" s="18" t="n"/>
      <c r="IC39" s="18" t="n"/>
      <c r="ID39" s="18" t="n"/>
      <c r="IE39" s="18" t="n"/>
      <c r="IF39" s="18" t="n"/>
      <c r="IG39" s="18" t="n"/>
      <c r="IH39" s="18" t="n"/>
      <c r="II39" s="18" t="n"/>
      <c r="IJ39" s="18" t="n"/>
      <c r="IK39" s="18" t="n"/>
      <c r="IL39" s="18" t="n"/>
      <c r="IM39" s="18" t="n"/>
      <c r="IN39" s="18" t="n"/>
      <c r="IO39" s="18" t="n"/>
      <c r="IP39" s="18" t="n"/>
      <c r="IQ39" s="18" t="n"/>
      <c r="IR39" s="18" t="n"/>
      <c r="IS39" s="18" t="n"/>
      <c r="IT39" s="18" t="n"/>
      <c r="IU39" s="18" t="n"/>
      <c r="IV39" s="18" t="n"/>
      <c r="IW39" s="18" t="n"/>
      <c r="IX39" s="18" t="n"/>
      <c r="IY39" s="18" t="n"/>
      <c r="IZ39" s="18" t="n"/>
      <c r="JA39" s="18" t="n"/>
      <c r="JB39" s="18" t="n"/>
      <c r="JC39" s="18" t="n"/>
      <c r="JD39" s="18" t="n"/>
      <c r="JE39" s="18" t="n"/>
      <c r="JF39" s="18" t="n"/>
      <c r="JG39" s="18" t="n"/>
      <c r="JH39" s="18" t="n"/>
      <c r="JI39" s="18" t="n"/>
      <c r="JJ39" s="18" t="n"/>
      <c r="JK39" s="18" t="n"/>
      <c r="JL39" s="18" t="n"/>
      <c r="JM39" s="18" t="n"/>
      <c r="JN39" s="18" t="n"/>
      <c r="JO39" s="18" t="n"/>
      <c r="JP39" s="18" t="n"/>
      <c r="JQ39" s="18" t="n"/>
      <c r="JR39" s="18" t="n"/>
      <c r="JS39" s="18" t="n"/>
      <c r="JT39" s="18" t="n"/>
      <c r="JU39" s="18" t="n"/>
      <c r="JV39" s="18" t="n"/>
      <c r="JW39" s="18" t="n"/>
      <c r="JX39" s="18" t="n"/>
      <c r="JY39" s="18" t="n"/>
      <c r="JZ39" s="18" t="n"/>
      <c r="KA39" s="18" t="n"/>
      <c r="KB39" s="18" t="n"/>
      <c r="KC39" s="18" t="n"/>
      <c r="KD39" s="18" t="n"/>
      <c r="KE39" s="18" t="n"/>
      <c r="KF39" s="18" t="n"/>
      <c r="KG39" s="18" t="n"/>
      <c r="KH39" s="18" t="n"/>
      <c r="KI39" s="18" t="n"/>
      <c r="KJ39" s="18" t="n"/>
      <c r="KK39" s="18" t="n"/>
      <c r="KL39" s="18" t="n"/>
      <c r="KM39" s="18" t="n"/>
      <c r="KN39" s="18" t="n"/>
      <c r="KO39" s="18" t="n"/>
      <c r="KP39" s="18" t="n"/>
      <c r="KQ39" s="18" t="n"/>
      <c r="KR39" s="18" t="n"/>
      <c r="KS39" s="18" t="n"/>
      <c r="KT39" s="18" t="n"/>
      <c r="KU39" s="18" t="n"/>
      <c r="KV39" s="18" t="n"/>
      <c r="KW39" s="18" t="n"/>
      <c r="KX39" s="18" t="n"/>
      <c r="KY39" s="18" t="n"/>
      <c r="KZ39" s="18" t="n"/>
      <c r="LA39" s="18" t="n"/>
      <c r="LB39" s="18" t="n"/>
      <c r="LC39" s="18" t="n"/>
      <c r="LD39" s="18" t="n"/>
      <c r="LE39" s="18" t="n"/>
      <c r="LF39" s="18" t="n"/>
      <c r="LG39" s="18" t="n"/>
      <c r="LH39" s="18" t="n"/>
      <c r="LI39" s="18" t="n"/>
      <c r="LJ39" s="18" t="n"/>
      <c r="LK39" s="18" t="n"/>
      <c r="LL39" s="18" t="n"/>
      <c r="LM39" s="18" t="n"/>
      <c r="LN39" s="18" t="n"/>
      <c r="LO39" s="18" t="n"/>
    </row>
    <row r="40" ht="46.8" customHeight="1" s="88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41" t="n"/>
      <c r="O40" s="18" t="n"/>
      <c r="P40" s="42" t="n"/>
      <c r="Q40" s="18" t="n"/>
      <c r="R40" s="43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  <c r="DY40" s="18" t="n"/>
      <c r="DZ40" s="18" t="n"/>
      <c r="EA40" s="18" t="n"/>
      <c r="EB40" s="18" t="n"/>
      <c r="EC40" s="18" t="n"/>
      <c r="ED40" s="18" t="n"/>
      <c r="EE40" s="18" t="n"/>
      <c r="EF40" s="18" t="n"/>
      <c r="EG40" s="18" t="n"/>
      <c r="EH40" s="18" t="n"/>
      <c r="EI40" s="18" t="n"/>
      <c r="EJ40" s="18" t="n"/>
      <c r="EK40" s="18" t="n"/>
      <c r="EL40" s="18" t="n"/>
      <c r="EM40" s="18" t="n"/>
      <c r="EN40" s="18" t="n"/>
      <c r="EO40" s="18" t="n"/>
      <c r="EP40" s="18" t="n"/>
      <c r="EQ40" s="18" t="n"/>
      <c r="ER40" s="18" t="n"/>
      <c r="ES40" s="18" t="n"/>
      <c r="ET40" s="18" t="n"/>
      <c r="EU40" s="18" t="n"/>
      <c r="EV40" s="18" t="n"/>
      <c r="EW40" s="18" t="n"/>
      <c r="EX40" s="18" t="n"/>
      <c r="EY40" s="18" t="n"/>
      <c r="EZ40" s="18" t="n"/>
      <c r="FA40" s="18" t="n"/>
      <c r="FB40" s="18" t="n"/>
      <c r="FC40" s="18" t="n"/>
      <c r="FD40" s="18" t="n"/>
      <c r="FE40" s="18" t="n"/>
      <c r="FF40" s="18" t="n"/>
      <c r="FG40" s="18" t="n"/>
      <c r="FH40" s="18" t="n"/>
      <c r="FI40" s="18" t="n"/>
      <c r="FJ40" s="18" t="n"/>
      <c r="FK40" s="18" t="n"/>
      <c r="FL40" s="18" t="n"/>
      <c r="FM40" s="18" t="n"/>
      <c r="FN40" s="18" t="n"/>
      <c r="FO40" s="18" t="n"/>
      <c r="FP40" s="18" t="n"/>
      <c r="FQ40" s="18" t="n"/>
      <c r="FR40" s="18" t="n"/>
      <c r="FS40" s="18" t="n"/>
      <c r="FT40" s="18" t="n"/>
      <c r="FU40" s="18" t="n"/>
      <c r="FV40" s="18" t="n"/>
      <c r="FW40" s="18" t="n"/>
      <c r="FX40" s="18" t="n"/>
      <c r="FY40" s="18" t="n"/>
      <c r="FZ40" s="18" t="n"/>
      <c r="GA40" s="18" t="n"/>
      <c r="GB40" s="18" t="n"/>
      <c r="GC40" s="18" t="n"/>
      <c r="GD40" s="18" t="n"/>
      <c r="GE40" s="18" t="n"/>
      <c r="GF40" s="18" t="n"/>
      <c r="GG40" s="18" t="n"/>
      <c r="GH40" s="18" t="n"/>
      <c r="GI40" s="18" t="n"/>
      <c r="GJ40" s="18" t="n"/>
      <c r="GK40" s="18" t="n"/>
      <c r="GL40" s="18" t="n"/>
      <c r="GM40" s="18" t="n"/>
      <c r="GN40" s="18" t="n"/>
      <c r="GO40" s="18" t="n"/>
      <c r="GP40" s="18" t="n"/>
      <c r="GQ40" s="18" t="n"/>
      <c r="GR40" s="18" t="n"/>
      <c r="GS40" s="18" t="n"/>
      <c r="GT40" s="18" t="n"/>
      <c r="GU40" s="18" t="n"/>
      <c r="GV40" s="18" t="n"/>
      <c r="GW40" s="18" t="n"/>
      <c r="GX40" s="18" t="n"/>
      <c r="GY40" s="18" t="n"/>
      <c r="GZ40" s="18" t="n"/>
      <c r="HA40" s="18" t="n"/>
      <c r="HB40" s="18" t="n"/>
      <c r="HC40" s="18" t="n"/>
      <c r="HD40" s="18" t="n"/>
      <c r="HE40" s="18" t="n"/>
      <c r="HF40" s="18" t="n"/>
      <c r="HG40" s="18" t="n"/>
      <c r="HH40" s="18" t="n"/>
      <c r="HI40" s="18" t="n"/>
      <c r="HJ40" s="18" t="n"/>
      <c r="HK40" s="18" t="n"/>
      <c r="HL40" s="18" t="n"/>
      <c r="HM40" s="18" t="n"/>
      <c r="HN40" s="18" t="n"/>
      <c r="HO40" s="18" t="n"/>
      <c r="HP40" s="18" t="n"/>
      <c r="HQ40" s="18" t="n"/>
      <c r="HR40" s="18" t="n"/>
      <c r="HS40" s="18" t="n"/>
      <c r="HT40" s="18" t="n"/>
      <c r="HU40" s="18" t="n"/>
      <c r="HV40" s="18" t="n"/>
      <c r="HW40" s="18" t="n"/>
      <c r="HX40" s="18" t="n"/>
      <c r="HY40" s="18" t="n"/>
      <c r="HZ40" s="18" t="n"/>
      <c r="IA40" s="18" t="n"/>
      <c r="IB40" s="18" t="n"/>
      <c r="IC40" s="18" t="n"/>
      <c r="ID40" s="18" t="n"/>
      <c r="IE40" s="18" t="n"/>
      <c r="IF40" s="18" t="n"/>
      <c r="IG40" s="18" t="n"/>
      <c r="IH40" s="18" t="n"/>
      <c r="II40" s="18" t="n"/>
      <c r="IJ40" s="18" t="n"/>
      <c r="IK40" s="18" t="n"/>
      <c r="IL40" s="18" t="n"/>
      <c r="IM40" s="18" t="n"/>
      <c r="IN40" s="18" t="n"/>
      <c r="IO40" s="18" t="n"/>
      <c r="IP40" s="18" t="n"/>
      <c r="IQ40" s="18" t="n"/>
      <c r="IR40" s="18" t="n"/>
      <c r="IS40" s="18" t="n"/>
      <c r="IT40" s="18" t="n"/>
      <c r="IU40" s="18" t="n"/>
      <c r="IV40" s="18" t="n"/>
      <c r="IW40" s="18" t="n"/>
      <c r="IX40" s="18" t="n"/>
      <c r="IY40" s="18" t="n"/>
      <c r="IZ40" s="18" t="n"/>
      <c r="JA40" s="18" t="n"/>
      <c r="JB40" s="18" t="n"/>
      <c r="JC40" s="18" t="n"/>
      <c r="JD40" s="18" t="n"/>
      <c r="JE40" s="18" t="n"/>
      <c r="JF40" s="18" t="n"/>
      <c r="JG40" s="18" t="n"/>
      <c r="JH40" s="18" t="n"/>
      <c r="JI40" s="18" t="n"/>
      <c r="JJ40" s="18" t="n"/>
      <c r="JK40" s="18" t="n"/>
      <c r="JL40" s="18" t="n"/>
      <c r="JM40" s="18" t="n"/>
      <c r="JN40" s="18" t="n"/>
      <c r="JO40" s="18" t="n"/>
      <c r="JP40" s="18" t="n"/>
      <c r="JQ40" s="18" t="n"/>
      <c r="JR40" s="18" t="n"/>
      <c r="JS40" s="18" t="n"/>
      <c r="JT40" s="18" t="n"/>
      <c r="JU40" s="18" t="n"/>
      <c r="JV40" s="18" t="n"/>
      <c r="JW40" s="18" t="n"/>
      <c r="JX40" s="18" t="n"/>
      <c r="JY40" s="18" t="n"/>
      <c r="JZ40" s="18" t="n"/>
      <c r="KA40" s="18" t="n"/>
      <c r="KB40" s="18" t="n"/>
      <c r="KC40" s="18" t="n"/>
      <c r="KD40" s="18" t="n"/>
      <c r="KE40" s="18" t="n"/>
      <c r="KF40" s="18" t="n"/>
      <c r="KG40" s="18" t="n"/>
      <c r="KH40" s="18" t="n"/>
      <c r="KI40" s="18" t="n"/>
      <c r="KJ40" s="18" t="n"/>
      <c r="KK40" s="18" t="n"/>
      <c r="KL40" s="18" t="n"/>
      <c r="KM40" s="18" t="n"/>
      <c r="KN40" s="18" t="n"/>
      <c r="KO40" s="18" t="n"/>
      <c r="KP40" s="18" t="n"/>
      <c r="KQ40" s="18" t="n"/>
      <c r="KR40" s="18" t="n"/>
      <c r="KS40" s="18" t="n"/>
      <c r="KT40" s="18" t="n"/>
      <c r="KU40" s="18" t="n"/>
      <c r="KV40" s="18" t="n"/>
      <c r="KW40" s="18" t="n"/>
      <c r="KX40" s="18" t="n"/>
      <c r="KY40" s="18" t="n"/>
      <c r="KZ40" s="18" t="n"/>
      <c r="LA40" s="18" t="n"/>
      <c r="LB40" s="18" t="n"/>
      <c r="LC40" s="18" t="n"/>
      <c r="LD40" s="18" t="n"/>
      <c r="LE40" s="18" t="n"/>
      <c r="LF40" s="18" t="n"/>
      <c r="LG40" s="18" t="n"/>
      <c r="LH40" s="18" t="n"/>
      <c r="LI40" s="18" t="n"/>
      <c r="LJ40" s="18" t="n"/>
      <c r="LK40" s="18" t="n"/>
      <c r="LL40" s="18" t="n"/>
      <c r="LM40" s="18" t="n"/>
      <c r="LN40" s="18" t="n"/>
      <c r="LO40" s="18" t="n"/>
      <c r="LP40" s="18" t="n"/>
      <c r="LQ40" s="18" t="n"/>
      <c r="LR40" s="18" t="n"/>
      <c r="LS40" s="18" t="n"/>
    </row>
    <row r="41" ht="46.8" customHeight="1" s="88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41" t="n"/>
      <c r="O41" s="18" t="n"/>
      <c r="P41" s="42" t="n"/>
      <c r="Q41" s="18" t="n"/>
      <c r="R41" s="43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  <c r="DY41" s="18" t="n"/>
      <c r="DZ41" s="18" t="n"/>
      <c r="EA41" s="18" t="n"/>
      <c r="EB41" s="18" t="n"/>
      <c r="EC41" s="18" t="n"/>
      <c r="ED41" s="18" t="n"/>
      <c r="EE41" s="18" t="n"/>
      <c r="EF41" s="18" t="n"/>
      <c r="EG41" s="18" t="n"/>
      <c r="EH41" s="18" t="n"/>
      <c r="EI41" s="18" t="n"/>
      <c r="EJ41" s="18" t="n"/>
      <c r="EK41" s="18" t="n"/>
      <c r="EL41" s="18" t="n"/>
      <c r="EM41" s="18" t="n"/>
      <c r="EN41" s="18" t="n"/>
      <c r="EO41" s="18" t="n"/>
      <c r="EP41" s="18" t="n"/>
      <c r="EQ41" s="18" t="n"/>
      <c r="ER41" s="18" t="n"/>
      <c r="ES41" s="18" t="n"/>
      <c r="ET41" s="18" t="n"/>
      <c r="EU41" s="18" t="n"/>
      <c r="EV41" s="18" t="n"/>
      <c r="EW41" s="18" t="n"/>
      <c r="EX41" s="18" t="n"/>
      <c r="EY41" s="18" t="n"/>
      <c r="EZ41" s="18" t="n"/>
      <c r="FA41" s="18" t="n"/>
      <c r="FB41" s="18" t="n"/>
      <c r="FC41" s="18" t="n"/>
      <c r="FD41" s="18" t="n"/>
      <c r="FE41" s="18" t="n"/>
      <c r="FF41" s="18" t="n"/>
      <c r="FG41" s="18" t="n"/>
      <c r="FH41" s="18" t="n"/>
      <c r="FI41" s="18" t="n"/>
      <c r="FJ41" s="18" t="n"/>
      <c r="FK41" s="18" t="n"/>
      <c r="FL41" s="18" t="n"/>
      <c r="FM41" s="18" t="n"/>
      <c r="FN41" s="18" t="n"/>
      <c r="FO41" s="18" t="n"/>
      <c r="FP41" s="18" t="n"/>
      <c r="FQ41" s="18" t="n"/>
      <c r="FR41" s="18" t="n"/>
      <c r="FS41" s="18" t="n"/>
      <c r="FT41" s="18" t="n"/>
      <c r="FU41" s="18" t="n"/>
      <c r="FV41" s="18" t="n"/>
      <c r="FW41" s="18" t="n"/>
      <c r="FX41" s="18" t="n"/>
      <c r="FY41" s="18" t="n"/>
      <c r="FZ41" s="18" t="n"/>
      <c r="GA41" s="18" t="n"/>
      <c r="GB41" s="18" t="n"/>
      <c r="GC41" s="18" t="n"/>
      <c r="GD41" s="18" t="n"/>
      <c r="GE41" s="18" t="n"/>
      <c r="GF41" s="18" t="n"/>
      <c r="GG41" s="18" t="n"/>
      <c r="GH41" s="18" t="n"/>
      <c r="GI41" s="18" t="n"/>
      <c r="GJ41" s="18" t="n"/>
      <c r="GK41" s="18" t="n"/>
      <c r="GL41" s="18" t="n"/>
      <c r="GM41" s="18" t="n"/>
      <c r="GN41" s="18" t="n"/>
      <c r="GO41" s="18" t="n"/>
      <c r="GP41" s="18" t="n"/>
      <c r="GQ41" s="18" t="n"/>
      <c r="GR41" s="18" t="n"/>
      <c r="GS41" s="18" t="n"/>
      <c r="GT41" s="18" t="n"/>
      <c r="GU41" s="18" t="n"/>
      <c r="GV41" s="18" t="n"/>
      <c r="GW41" s="18" t="n"/>
      <c r="GX41" s="18" t="n"/>
      <c r="GY41" s="18" t="n"/>
      <c r="GZ41" s="18" t="n"/>
      <c r="HA41" s="18" t="n"/>
      <c r="HB41" s="18" t="n"/>
      <c r="HC41" s="18" t="n"/>
      <c r="HD41" s="18" t="n"/>
      <c r="HE41" s="18" t="n"/>
      <c r="HF41" s="18" t="n"/>
      <c r="HG41" s="18" t="n"/>
      <c r="HH41" s="18" t="n"/>
      <c r="HI41" s="18" t="n"/>
      <c r="HJ41" s="18" t="n"/>
      <c r="HK41" s="18" t="n"/>
      <c r="HL41" s="18" t="n"/>
      <c r="HM41" s="18" t="n"/>
      <c r="HN41" s="18" t="n"/>
      <c r="HO41" s="18" t="n"/>
      <c r="HP41" s="18" t="n"/>
      <c r="HQ41" s="18" t="n"/>
      <c r="HR41" s="18" t="n"/>
      <c r="HS41" s="18" t="n"/>
      <c r="HT41" s="18" t="n"/>
      <c r="HU41" s="18" t="n"/>
      <c r="HV41" s="18" t="n"/>
      <c r="HW41" s="18" t="n"/>
      <c r="HX41" s="18" t="n"/>
      <c r="HY41" s="18" t="n"/>
      <c r="HZ41" s="18" t="n"/>
      <c r="IA41" s="18" t="n"/>
      <c r="IB41" s="18" t="n"/>
      <c r="IC41" s="18" t="n"/>
      <c r="ID41" s="18" t="n"/>
      <c r="IE41" s="18" t="n"/>
      <c r="IF41" s="18" t="n"/>
      <c r="IG41" s="18" t="n"/>
      <c r="IH41" s="18" t="n"/>
      <c r="II41" s="18" t="n"/>
      <c r="IJ41" s="18" t="n"/>
      <c r="IK41" s="18" t="n"/>
      <c r="IL41" s="18" t="n"/>
      <c r="IM41" s="18" t="n"/>
      <c r="IN41" s="18" t="n"/>
      <c r="IO41" s="18" t="n"/>
      <c r="IP41" s="18" t="n"/>
      <c r="IQ41" s="18" t="n"/>
      <c r="IR41" s="18" t="n"/>
      <c r="IS41" s="18" t="n"/>
      <c r="IT41" s="18" t="n"/>
      <c r="IU41" s="18" t="n"/>
      <c r="IV41" s="18" t="n"/>
      <c r="IW41" s="18" t="n"/>
      <c r="IX41" s="18" t="n"/>
      <c r="IY41" s="18" t="n"/>
      <c r="IZ41" s="18" t="n"/>
      <c r="JA41" s="18" t="n"/>
      <c r="JB41" s="18" t="n"/>
      <c r="JC41" s="18" t="n"/>
      <c r="JD41" s="18" t="n"/>
      <c r="JE41" s="18" t="n"/>
      <c r="JF41" s="18" t="n"/>
      <c r="JG41" s="18" t="n"/>
      <c r="JH41" s="18" t="n"/>
      <c r="JI41" s="18" t="n"/>
      <c r="JJ41" s="18" t="n"/>
      <c r="JK41" s="18" t="n"/>
      <c r="JL41" s="18" t="n"/>
      <c r="JM41" s="18" t="n"/>
      <c r="JN41" s="18" t="n"/>
      <c r="JO41" s="18" t="n"/>
      <c r="JP41" s="18" t="n"/>
      <c r="JQ41" s="18" t="n"/>
      <c r="JR41" s="18" t="n"/>
      <c r="JS41" s="18" t="n"/>
      <c r="JT41" s="18" t="n"/>
      <c r="JU41" s="18" t="n"/>
      <c r="JV41" s="18" t="n"/>
      <c r="JW41" s="18" t="n"/>
      <c r="JX41" s="18" t="n"/>
      <c r="JY41" s="18" t="n"/>
      <c r="JZ41" s="18" t="n"/>
      <c r="KA41" s="18" t="n"/>
      <c r="KB41" s="18" t="n"/>
      <c r="KC41" s="18" t="n"/>
      <c r="KD41" s="18" t="n"/>
      <c r="KE41" s="18" t="n"/>
      <c r="KF41" s="18" t="n"/>
      <c r="KG41" s="18" t="n"/>
      <c r="KH41" s="18" t="n"/>
      <c r="KI41" s="18" t="n"/>
      <c r="KJ41" s="18" t="n"/>
      <c r="KK41" s="18" t="n"/>
      <c r="KL41" s="18" t="n"/>
      <c r="KM41" s="18" t="n"/>
      <c r="KN41" s="18" t="n"/>
      <c r="KO41" s="18" t="n"/>
      <c r="KP41" s="18" t="n"/>
      <c r="KQ41" s="18" t="n"/>
      <c r="KR41" s="18" t="n"/>
      <c r="KS41" s="18" t="n"/>
      <c r="KT41" s="18" t="n"/>
      <c r="KU41" s="18" t="n"/>
      <c r="KV41" s="18" t="n"/>
      <c r="KW41" s="18" t="n"/>
      <c r="KX41" s="18" t="n"/>
      <c r="KY41" s="18" t="n"/>
      <c r="KZ41" s="18" t="n"/>
      <c r="LA41" s="18" t="n"/>
      <c r="LB41" s="18" t="n"/>
      <c r="LC41" s="18" t="n"/>
      <c r="LD41" s="18" t="n"/>
      <c r="LE41" s="18" t="n"/>
      <c r="LF41" s="18" t="n"/>
      <c r="LG41" s="18" t="n"/>
      <c r="LH41" s="18" t="n"/>
      <c r="LI41" s="18" t="n"/>
      <c r="LJ41" s="18" t="n"/>
      <c r="LK41" s="18" t="n"/>
      <c r="LL41" s="18" t="n"/>
      <c r="LM41" s="18" t="n"/>
      <c r="LN41" s="18" t="n"/>
      <c r="LO41" s="18" t="n"/>
      <c r="LP41" s="18" t="n"/>
      <c r="LQ41" s="18" t="n"/>
      <c r="LR41" s="18" t="n"/>
      <c r="LS41" s="18" t="n"/>
      <c r="LT41" s="18" t="n"/>
      <c r="LU41" s="18" t="n"/>
      <c r="LV41" s="18" t="n"/>
      <c r="LW41" s="18" t="n"/>
    </row>
    <row r="42" ht="46.8" customHeight="1" s="88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41" t="n"/>
      <c r="O42" s="18" t="n"/>
      <c r="P42" s="42" t="n"/>
      <c r="Q42" s="18" t="n"/>
      <c r="R42" s="43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  <c r="DY42" s="18" t="n"/>
      <c r="DZ42" s="18" t="n"/>
      <c r="EA42" s="18" t="n"/>
      <c r="EB42" s="18" t="n"/>
      <c r="EC42" s="18" t="n"/>
      <c r="ED42" s="18" t="n"/>
      <c r="EE42" s="18" t="n"/>
      <c r="EF42" s="18" t="n"/>
      <c r="EG42" s="18" t="n"/>
      <c r="EH42" s="18" t="n"/>
      <c r="EI42" s="18" t="n"/>
      <c r="EJ42" s="18" t="n"/>
      <c r="EK42" s="18" t="n"/>
      <c r="EL42" s="18" t="n"/>
      <c r="EM42" s="18" t="n"/>
      <c r="EN42" s="18" t="n"/>
      <c r="EO42" s="18" t="n"/>
      <c r="EP42" s="18" t="n"/>
      <c r="EQ42" s="18" t="n"/>
      <c r="ER42" s="18" t="n"/>
      <c r="ES42" s="18" t="n"/>
      <c r="ET42" s="18" t="n"/>
      <c r="EU42" s="18" t="n"/>
      <c r="EV42" s="18" t="n"/>
      <c r="EW42" s="18" t="n"/>
      <c r="EX42" s="18" t="n"/>
      <c r="EY42" s="18" t="n"/>
      <c r="EZ42" s="18" t="n"/>
      <c r="FA42" s="18" t="n"/>
      <c r="FB42" s="18" t="n"/>
      <c r="FC42" s="18" t="n"/>
      <c r="FD42" s="18" t="n"/>
      <c r="FE42" s="18" t="n"/>
      <c r="FF42" s="18" t="n"/>
      <c r="FG42" s="18" t="n"/>
      <c r="FH42" s="18" t="n"/>
      <c r="FI42" s="18" t="n"/>
      <c r="FJ42" s="18" t="n"/>
      <c r="FK42" s="18" t="n"/>
      <c r="FL42" s="18" t="n"/>
      <c r="FM42" s="18" t="n"/>
      <c r="FN42" s="18" t="n"/>
      <c r="FO42" s="18" t="n"/>
      <c r="FP42" s="18" t="n"/>
      <c r="FQ42" s="18" t="n"/>
      <c r="FR42" s="18" t="n"/>
      <c r="FS42" s="18" t="n"/>
      <c r="FT42" s="18" t="n"/>
      <c r="FU42" s="18" t="n"/>
      <c r="FV42" s="18" t="n"/>
      <c r="FW42" s="18" t="n"/>
      <c r="FX42" s="18" t="n"/>
      <c r="FY42" s="18" t="n"/>
      <c r="FZ42" s="18" t="n"/>
      <c r="GA42" s="18" t="n"/>
      <c r="GB42" s="18" t="n"/>
      <c r="GC42" s="18" t="n"/>
      <c r="GD42" s="18" t="n"/>
      <c r="GE42" s="18" t="n"/>
      <c r="GF42" s="18" t="n"/>
      <c r="GG42" s="18" t="n"/>
      <c r="GH42" s="18" t="n"/>
      <c r="GI42" s="18" t="n"/>
      <c r="GJ42" s="18" t="n"/>
      <c r="GK42" s="18" t="n"/>
      <c r="GL42" s="18" t="n"/>
      <c r="GM42" s="18" t="n"/>
      <c r="GN42" s="18" t="n"/>
      <c r="GO42" s="18" t="n"/>
      <c r="GP42" s="18" t="n"/>
      <c r="GQ42" s="18" t="n"/>
      <c r="GR42" s="18" t="n"/>
      <c r="GS42" s="18" t="n"/>
      <c r="GT42" s="18" t="n"/>
      <c r="GU42" s="18" t="n"/>
      <c r="GV42" s="18" t="n"/>
      <c r="GW42" s="18" t="n"/>
      <c r="GX42" s="18" t="n"/>
      <c r="GY42" s="18" t="n"/>
      <c r="GZ42" s="18" t="n"/>
      <c r="HA42" s="18" t="n"/>
      <c r="HB42" s="18" t="n"/>
      <c r="HC42" s="18" t="n"/>
      <c r="HD42" s="18" t="n"/>
      <c r="HE42" s="18" t="n"/>
      <c r="HF42" s="18" t="n"/>
      <c r="HG42" s="18" t="n"/>
      <c r="HH42" s="18" t="n"/>
      <c r="HI42" s="18" t="n"/>
      <c r="HJ42" s="18" t="n"/>
      <c r="HK42" s="18" t="n"/>
      <c r="HL42" s="18" t="n"/>
      <c r="HM42" s="18" t="n"/>
      <c r="HN42" s="18" t="n"/>
      <c r="HO42" s="18" t="n"/>
      <c r="HP42" s="18" t="n"/>
      <c r="HQ42" s="18" t="n"/>
      <c r="HR42" s="18" t="n"/>
      <c r="HS42" s="18" t="n"/>
      <c r="HT42" s="18" t="n"/>
      <c r="HU42" s="18" t="n"/>
      <c r="HV42" s="18" t="n"/>
      <c r="HW42" s="18" t="n"/>
      <c r="HX42" s="18" t="n"/>
      <c r="HY42" s="18" t="n"/>
      <c r="HZ42" s="18" t="n"/>
      <c r="IA42" s="18" t="n"/>
      <c r="IB42" s="18" t="n"/>
      <c r="IC42" s="18" t="n"/>
      <c r="ID42" s="18" t="n"/>
      <c r="IE42" s="18" t="n"/>
      <c r="IF42" s="18" t="n"/>
      <c r="IG42" s="18" t="n"/>
      <c r="IH42" s="18" t="n"/>
      <c r="II42" s="18" t="n"/>
      <c r="IJ42" s="18" t="n"/>
      <c r="IK42" s="18" t="n"/>
      <c r="IL42" s="18" t="n"/>
      <c r="IM42" s="18" t="n"/>
      <c r="IN42" s="18" t="n"/>
      <c r="IO42" s="18" t="n"/>
      <c r="IP42" s="18" t="n"/>
      <c r="IQ42" s="18" t="n"/>
      <c r="IR42" s="18" t="n"/>
      <c r="IS42" s="18" t="n"/>
      <c r="IT42" s="18" t="n"/>
      <c r="IU42" s="18" t="n"/>
      <c r="IV42" s="18" t="n"/>
      <c r="IW42" s="18" t="n"/>
      <c r="IX42" s="18" t="n"/>
      <c r="IY42" s="18" t="n"/>
      <c r="IZ42" s="18" t="n"/>
      <c r="JA42" s="18" t="n"/>
      <c r="JB42" s="18" t="n"/>
      <c r="JC42" s="18" t="n"/>
      <c r="JD42" s="18" t="n"/>
      <c r="JE42" s="18" t="n"/>
      <c r="JF42" s="18" t="n"/>
      <c r="JG42" s="18" t="n"/>
      <c r="JH42" s="18" t="n"/>
      <c r="JI42" s="18" t="n"/>
      <c r="JJ42" s="18" t="n"/>
      <c r="JK42" s="18" t="n"/>
      <c r="JL42" s="18" t="n"/>
      <c r="JM42" s="18" t="n"/>
      <c r="JN42" s="18" t="n"/>
      <c r="JO42" s="18" t="n"/>
      <c r="JP42" s="18" t="n"/>
      <c r="JQ42" s="18" t="n"/>
      <c r="JR42" s="18" t="n"/>
      <c r="JS42" s="18" t="n"/>
      <c r="JT42" s="18" t="n"/>
      <c r="JU42" s="18" t="n"/>
      <c r="JV42" s="18" t="n"/>
      <c r="JW42" s="18" t="n"/>
      <c r="JX42" s="18" t="n"/>
      <c r="JY42" s="18" t="n"/>
      <c r="JZ42" s="18" t="n"/>
      <c r="KA42" s="18" t="n"/>
      <c r="KB42" s="18" t="n"/>
      <c r="KC42" s="18" t="n"/>
      <c r="KD42" s="18" t="n"/>
      <c r="KE42" s="18" t="n"/>
      <c r="KF42" s="18" t="n"/>
      <c r="KG42" s="18" t="n"/>
      <c r="KH42" s="18" t="n"/>
      <c r="KI42" s="18" t="n"/>
      <c r="KJ42" s="18" t="n"/>
      <c r="KK42" s="18" t="n"/>
      <c r="KL42" s="18" t="n"/>
      <c r="KM42" s="18" t="n"/>
      <c r="KN42" s="18" t="n"/>
      <c r="KO42" s="18" t="n"/>
      <c r="KP42" s="18" t="n"/>
      <c r="KQ42" s="18" t="n"/>
      <c r="KR42" s="18" t="n"/>
      <c r="KS42" s="18" t="n"/>
      <c r="KT42" s="18" t="n"/>
      <c r="KU42" s="18" t="n"/>
      <c r="KV42" s="18" t="n"/>
      <c r="KW42" s="18" t="n"/>
      <c r="KX42" s="18" t="n"/>
      <c r="KY42" s="18" t="n"/>
      <c r="KZ42" s="18" t="n"/>
      <c r="LA42" s="18" t="n"/>
      <c r="LB42" s="18" t="n"/>
      <c r="LC42" s="18" t="n"/>
      <c r="LD42" s="18" t="n"/>
      <c r="LE42" s="18" t="n"/>
      <c r="LF42" s="18" t="n"/>
      <c r="LG42" s="18" t="n"/>
      <c r="LH42" s="18" t="n"/>
      <c r="LI42" s="18" t="n"/>
      <c r="LJ42" s="18" t="n"/>
      <c r="LK42" s="18" t="n"/>
      <c r="LL42" s="18" t="n"/>
      <c r="LM42" s="18" t="n"/>
      <c r="LN42" s="18" t="n"/>
      <c r="LO42" s="18" t="n"/>
      <c r="LP42" s="18" t="n"/>
      <c r="LQ42" s="18" t="n"/>
      <c r="LR42" s="18" t="n"/>
      <c r="LS42" s="18" t="n"/>
      <c r="LT42" s="18" t="n"/>
      <c r="LU42" s="18" t="n"/>
      <c r="LV42" s="18" t="n"/>
      <c r="LW42" s="18" t="n"/>
      <c r="LX42" s="18" t="n"/>
      <c r="LY42" s="18" t="n"/>
      <c r="LZ42" s="18" t="n"/>
      <c r="MA42" s="18" t="n"/>
    </row>
    <row r="43" ht="46.8" customHeight="1" s="88">
      <c r="A43" s="18" t="n"/>
      <c r="B43" s="18" t="n"/>
      <c r="C43" s="18" t="n"/>
      <c r="D43" s="18" t="n"/>
      <c r="E43" s="18" t="n"/>
      <c r="F43" s="18" t="n"/>
      <c r="G43" s="18" t="n"/>
      <c r="H43" s="18" t="n"/>
      <c r="I43" s="44" t="n"/>
      <c r="J43" s="18" t="n"/>
      <c r="K43" s="18" t="n"/>
      <c r="L43" s="18" t="n"/>
      <c r="M43" s="18" t="n"/>
      <c r="N43" s="41" t="n"/>
      <c r="O43" s="18" t="n"/>
      <c r="P43" s="42" t="n"/>
      <c r="Q43" s="18" t="n"/>
      <c r="R43" s="43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  <c r="DY43" s="18" t="n"/>
      <c r="DZ43" s="18" t="n"/>
      <c r="EA43" s="18" t="n"/>
      <c r="EB43" s="18" t="n"/>
      <c r="EC43" s="18" t="n"/>
      <c r="ED43" s="18" t="n"/>
      <c r="EE43" s="18" t="n"/>
      <c r="EF43" s="18" t="n"/>
      <c r="EG43" s="18" t="n"/>
      <c r="EH43" s="18" t="n"/>
      <c r="EI43" s="18" t="n"/>
      <c r="EJ43" s="18" t="n"/>
      <c r="EK43" s="18" t="n"/>
      <c r="EL43" s="18" t="n"/>
      <c r="EM43" s="18" t="n"/>
      <c r="EN43" s="18" t="n"/>
      <c r="EO43" s="18" t="n"/>
      <c r="EP43" s="18" t="n"/>
      <c r="EQ43" s="18" t="n"/>
      <c r="ER43" s="18" t="n"/>
      <c r="ES43" s="18" t="n"/>
      <c r="ET43" s="18" t="n"/>
      <c r="EU43" s="18" t="n"/>
      <c r="EV43" s="18" t="n"/>
      <c r="EW43" s="18" t="n"/>
      <c r="EX43" s="18" t="n"/>
      <c r="EY43" s="18" t="n"/>
      <c r="EZ43" s="18" t="n"/>
      <c r="FA43" s="18" t="n"/>
      <c r="FB43" s="18" t="n"/>
      <c r="FC43" s="18" t="n"/>
      <c r="FD43" s="18" t="n"/>
      <c r="FE43" s="18" t="n"/>
      <c r="FF43" s="18" t="n"/>
      <c r="FG43" s="18" t="n"/>
      <c r="FH43" s="18" t="n"/>
      <c r="FI43" s="18" t="n"/>
      <c r="FJ43" s="18" t="n"/>
      <c r="FK43" s="18" t="n"/>
      <c r="FL43" s="18" t="n"/>
      <c r="FM43" s="18" t="n"/>
      <c r="FN43" s="18" t="n"/>
      <c r="FO43" s="18" t="n"/>
      <c r="FP43" s="18" t="n"/>
      <c r="FQ43" s="18" t="n"/>
      <c r="FR43" s="18" t="n"/>
      <c r="FS43" s="18" t="n"/>
      <c r="FT43" s="18" t="n"/>
      <c r="FU43" s="18" t="n"/>
      <c r="FV43" s="18" t="n"/>
      <c r="FW43" s="18" t="n"/>
      <c r="FX43" s="18" t="n"/>
      <c r="FY43" s="18" t="n"/>
      <c r="FZ43" s="18" t="n"/>
      <c r="GA43" s="18" t="n"/>
      <c r="GB43" s="18" t="n"/>
      <c r="GC43" s="18" t="n"/>
      <c r="GD43" s="18" t="n"/>
      <c r="GE43" s="18" t="n"/>
      <c r="GF43" s="18" t="n"/>
      <c r="GG43" s="18" t="n"/>
      <c r="GH43" s="18" t="n"/>
      <c r="GI43" s="18" t="n"/>
      <c r="GJ43" s="18" t="n"/>
      <c r="GK43" s="18" t="n"/>
      <c r="GL43" s="18" t="n"/>
      <c r="GM43" s="18" t="n"/>
      <c r="GN43" s="18" t="n"/>
      <c r="GO43" s="18" t="n"/>
      <c r="GP43" s="18" t="n"/>
      <c r="GQ43" s="18" t="n"/>
      <c r="GR43" s="18" t="n"/>
      <c r="GS43" s="18" t="n"/>
      <c r="GT43" s="18" t="n"/>
      <c r="GU43" s="18" t="n"/>
      <c r="GV43" s="18" t="n"/>
      <c r="GW43" s="18" t="n"/>
      <c r="GX43" s="18" t="n"/>
      <c r="GY43" s="18" t="n"/>
      <c r="GZ43" s="18" t="n"/>
      <c r="HA43" s="18" t="n"/>
      <c r="HB43" s="18" t="n"/>
      <c r="HC43" s="18" t="n"/>
      <c r="HD43" s="18" t="n"/>
      <c r="HE43" s="18" t="n"/>
      <c r="HF43" s="18" t="n"/>
      <c r="HG43" s="18" t="n"/>
      <c r="HH43" s="18" t="n"/>
      <c r="HI43" s="18" t="n"/>
      <c r="HJ43" s="18" t="n"/>
      <c r="HK43" s="18" t="n"/>
      <c r="HL43" s="18" t="n"/>
      <c r="HM43" s="18" t="n"/>
      <c r="HN43" s="18" t="n"/>
      <c r="HO43" s="18" t="n"/>
      <c r="HP43" s="18" t="n"/>
      <c r="HQ43" s="18" t="n"/>
      <c r="HR43" s="18" t="n"/>
      <c r="HS43" s="18" t="n"/>
      <c r="HT43" s="18" t="n"/>
      <c r="HU43" s="18" t="n"/>
      <c r="HV43" s="18" t="n"/>
      <c r="HW43" s="18" t="n"/>
      <c r="HX43" s="18" t="n"/>
      <c r="HY43" s="18" t="n"/>
      <c r="HZ43" s="18" t="n"/>
      <c r="IA43" s="18" t="n"/>
      <c r="IB43" s="18" t="n"/>
      <c r="IC43" s="18" t="n"/>
      <c r="ID43" s="18" t="n"/>
      <c r="IE43" s="18" t="n"/>
      <c r="IF43" s="18" t="n"/>
      <c r="IG43" s="18" t="n"/>
      <c r="IH43" s="18" t="n"/>
      <c r="II43" s="18" t="n"/>
      <c r="IJ43" s="18" t="n"/>
      <c r="IK43" s="18" t="n"/>
      <c r="IL43" s="18" t="n"/>
      <c r="IM43" s="18" t="n"/>
      <c r="IN43" s="18" t="n"/>
      <c r="IO43" s="18" t="n"/>
      <c r="IP43" s="18" t="n"/>
      <c r="IQ43" s="18" t="n"/>
      <c r="IR43" s="18" t="n"/>
      <c r="IS43" s="18" t="n"/>
      <c r="IT43" s="18" t="n"/>
      <c r="IU43" s="18" t="n"/>
      <c r="IV43" s="18" t="n"/>
      <c r="IW43" s="18" t="n"/>
      <c r="IX43" s="18" t="n"/>
      <c r="IY43" s="18" t="n"/>
      <c r="IZ43" s="18" t="n"/>
      <c r="JA43" s="18" t="n"/>
      <c r="JB43" s="18" t="n"/>
      <c r="JC43" s="18" t="n"/>
      <c r="JD43" s="18" t="n"/>
      <c r="JE43" s="18" t="n"/>
      <c r="JF43" s="18" t="n"/>
      <c r="JG43" s="18" t="n"/>
      <c r="JH43" s="18" t="n"/>
      <c r="JI43" s="18" t="n"/>
      <c r="JJ43" s="18" t="n"/>
      <c r="JK43" s="18" t="n"/>
      <c r="JL43" s="18" t="n"/>
      <c r="JM43" s="18" t="n"/>
      <c r="JN43" s="18" t="n"/>
      <c r="JO43" s="18" t="n"/>
      <c r="JP43" s="18" t="n"/>
      <c r="JQ43" s="18" t="n"/>
      <c r="JR43" s="18" t="n"/>
      <c r="JS43" s="18" t="n"/>
      <c r="JT43" s="18" t="n"/>
      <c r="JU43" s="18" t="n"/>
      <c r="JV43" s="18" t="n"/>
      <c r="JW43" s="18" t="n"/>
      <c r="JX43" s="18" t="n"/>
      <c r="JY43" s="18" t="n"/>
      <c r="JZ43" s="18" t="n"/>
      <c r="KA43" s="18" t="n"/>
      <c r="KB43" s="18" t="n"/>
      <c r="KC43" s="18" t="n"/>
      <c r="KD43" s="18" t="n"/>
      <c r="KE43" s="18" t="n"/>
      <c r="KF43" s="18" t="n"/>
      <c r="KG43" s="18" t="n"/>
      <c r="KH43" s="18" t="n"/>
      <c r="KI43" s="18" t="n"/>
      <c r="KJ43" s="18" t="n"/>
      <c r="KK43" s="18" t="n"/>
      <c r="KL43" s="18" t="n"/>
      <c r="KM43" s="18" t="n"/>
      <c r="KN43" s="18" t="n"/>
      <c r="KO43" s="18" t="n"/>
      <c r="KP43" s="18" t="n"/>
      <c r="KQ43" s="18" t="n"/>
      <c r="KR43" s="18" t="n"/>
      <c r="KS43" s="18" t="n"/>
      <c r="KT43" s="18" t="n"/>
      <c r="KU43" s="18" t="n"/>
      <c r="KV43" s="18" t="n"/>
      <c r="KW43" s="18" t="n"/>
      <c r="KX43" s="18" t="n"/>
      <c r="KY43" s="18" t="n"/>
      <c r="KZ43" s="18" t="n"/>
      <c r="LA43" s="18" t="n"/>
      <c r="LB43" s="18" t="n"/>
      <c r="LC43" s="18" t="n"/>
      <c r="LD43" s="18" t="n"/>
      <c r="LE43" s="18" t="n"/>
      <c r="LF43" s="18" t="n"/>
      <c r="LG43" s="18" t="n"/>
      <c r="LH43" s="18" t="n"/>
      <c r="LI43" s="18" t="n"/>
      <c r="LJ43" s="18" t="n"/>
      <c r="LK43" s="18" t="n"/>
      <c r="LL43" s="18" t="n"/>
      <c r="LM43" s="18" t="n"/>
      <c r="LN43" s="18" t="n"/>
      <c r="LO43" s="18" t="n"/>
      <c r="LP43" s="18" t="n"/>
      <c r="LQ43" s="18" t="n"/>
      <c r="LR43" s="18" t="n"/>
      <c r="LS43" s="18" t="n"/>
      <c r="LT43" s="18" t="n"/>
      <c r="LU43" s="18" t="n"/>
      <c r="LV43" s="18" t="n"/>
      <c r="LW43" s="18" t="n"/>
      <c r="LX43" s="18" t="n"/>
      <c r="LY43" s="18" t="n"/>
      <c r="LZ43" s="18" t="n"/>
      <c r="MA43" s="18" t="n"/>
      <c r="MB43" s="18" t="n"/>
      <c r="MC43" s="18" t="n"/>
      <c r="MD43" s="18" t="n"/>
      <c r="ME43" s="18" t="n"/>
    </row>
    <row r="44" ht="46.8" customHeight="1" s="88">
      <c r="A44" s="18" t="n"/>
      <c r="B44" s="18" t="n"/>
      <c r="C44" s="18" t="n"/>
      <c r="D44" s="18" t="n"/>
      <c r="E44" s="18" t="n"/>
      <c r="F44" s="18" t="n"/>
      <c r="G44" s="18" t="n"/>
      <c r="H44" s="18" t="n"/>
      <c r="I44" s="44" t="n"/>
      <c r="J44" s="18" t="n"/>
      <c r="K44" s="18" t="n"/>
      <c r="L44" s="18" t="n"/>
      <c r="M44" s="18" t="n"/>
      <c r="N44" s="41" t="n"/>
      <c r="O44" s="18" t="n"/>
      <c r="P44" s="42" t="n"/>
      <c r="Q44" s="18" t="n"/>
      <c r="R44" s="43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  <c r="DY44" s="18" t="n"/>
      <c r="DZ44" s="18" t="n"/>
      <c r="EA44" s="18" t="n"/>
      <c r="EB44" s="18" t="n"/>
      <c r="EC44" s="18" t="n"/>
      <c r="ED44" s="18" t="n"/>
      <c r="EE44" s="18" t="n"/>
      <c r="EF44" s="18" t="n"/>
      <c r="EG44" s="18" t="n"/>
      <c r="EH44" s="18" t="n"/>
      <c r="EI44" s="18" t="n"/>
      <c r="EJ44" s="18" t="n"/>
      <c r="EK44" s="18" t="n"/>
      <c r="EL44" s="18" t="n"/>
      <c r="EM44" s="18" t="n"/>
      <c r="EN44" s="18" t="n"/>
      <c r="EO44" s="18" t="n"/>
      <c r="EP44" s="18" t="n"/>
      <c r="EQ44" s="18" t="n"/>
      <c r="ER44" s="18" t="n"/>
      <c r="ES44" s="18" t="n"/>
      <c r="ET44" s="18" t="n"/>
      <c r="EU44" s="18" t="n"/>
      <c r="EV44" s="18" t="n"/>
      <c r="EW44" s="18" t="n"/>
      <c r="EX44" s="18" t="n"/>
      <c r="EY44" s="18" t="n"/>
      <c r="EZ44" s="18" t="n"/>
      <c r="FA44" s="18" t="n"/>
      <c r="FB44" s="18" t="n"/>
      <c r="FC44" s="18" t="n"/>
      <c r="FD44" s="18" t="n"/>
      <c r="FE44" s="18" t="n"/>
      <c r="FF44" s="18" t="n"/>
      <c r="FG44" s="18" t="n"/>
      <c r="FH44" s="18" t="n"/>
      <c r="FI44" s="18" t="n"/>
      <c r="FJ44" s="18" t="n"/>
      <c r="FK44" s="18" t="n"/>
      <c r="FL44" s="18" t="n"/>
      <c r="FM44" s="18" t="n"/>
      <c r="FN44" s="18" t="n"/>
      <c r="FO44" s="18" t="n"/>
      <c r="FP44" s="18" t="n"/>
      <c r="FQ44" s="18" t="n"/>
      <c r="FR44" s="18" t="n"/>
      <c r="FS44" s="18" t="n"/>
      <c r="FT44" s="18" t="n"/>
      <c r="FU44" s="18" t="n"/>
      <c r="FV44" s="18" t="n"/>
      <c r="FW44" s="18" t="n"/>
      <c r="FX44" s="18" t="n"/>
      <c r="FY44" s="18" t="n"/>
      <c r="FZ44" s="18" t="n"/>
      <c r="GA44" s="18" t="n"/>
      <c r="GB44" s="18" t="n"/>
      <c r="GC44" s="18" t="n"/>
      <c r="GD44" s="18" t="n"/>
      <c r="GE44" s="18" t="n"/>
      <c r="GF44" s="18" t="n"/>
      <c r="GG44" s="18" t="n"/>
      <c r="GH44" s="18" t="n"/>
      <c r="GI44" s="18" t="n"/>
      <c r="GJ44" s="18" t="n"/>
      <c r="GK44" s="18" t="n"/>
      <c r="GL44" s="18" t="n"/>
      <c r="GM44" s="18" t="n"/>
      <c r="GN44" s="18" t="n"/>
      <c r="GO44" s="18" t="n"/>
      <c r="GP44" s="18" t="n"/>
      <c r="GQ44" s="18" t="n"/>
      <c r="GR44" s="18" t="n"/>
      <c r="GS44" s="18" t="n"/>
      <c r="GT44" s="18" t="n"/>
      <c r="GU44" s="18" t="n"/>
      <c r="GV44" s="18" t="n"/>
      <c r="GW44" s="18" t="n"/>
      <c r="GX44" s="18" t="n"/>
      <c r="GY44" s="18" t="n"/>
      <c r="GZ44" s="18" t="n"/>
      <c r="HA44" s="18" t="n"/>
      <c r="HB44" s="18" t="n"/>
      <c r="HC44" s="18" t="n"/>
      <c r="HD44" s="18" t="n"/>
      <c r="HE44" s="18" t="n"/>
      <c r="HF44" s="18" t="n"/>
      <c r="HG44" s="18" t="n"/>
      <c r="HH44" s="18" t="n"/>
      <c r="HI44" s="18" t="n"/>
      <c r="HJ44" s="18" t="n"/>
      <c r="HK44" s="18" t="n"/>
      <c r="HL44" s="18" t="n"/>
      <c r="HM44" s="18" t="n"/>
      <c r="HN44" s="18" t="n"/>
      <c r="HO44" s="18" t="n"/>
      <c r="HP44" s="18" t="n"/>
      <c r="HQ44" s="18" t="n"/>
      <c r="HR44" s="18" t="n"/>
      <c r="HS44" s="18" t="n"/>
      <c r="HT44" s="18" t="n"/>
      <c r="HU44" s="18" t="n"/>
      <c r="HV44" s="18" t="n"/>
      <c r="HW44" s="18" t="n"/>
      <c r="HX44" s="18" t="n"/>
      <c r="HY44" s="18" t="n"/>
      <c r="HZ44" s="18" t="n"/>
      <c r="IA44" s="18" t="n"/>
      <c r="IB44" s="18" t="n"/>
      <c r="IC44" s="18" t="n"/>
      <c r="ID44" s="18" t="n"/>
      <c r="IE44" s="18" t="n"/>
      <c r="IF44" s="18" t="n"/>
      <c r="IG44" s="18" t="n"/>
      <c r="IH44" s="18" t="n"/>
      <c r="II44" s="18" t="n"/>
      <c r="IJ44" s="18" t="n"/>
      <c r="IK44" s="18" t="n"/>
      <c r="IL44" s="18" t="n"/>
      <c r="IM44" s="18" t="n"/>
      <c r="IN44" s="18" t="n"/>
      <c r="IO44" s="18" t="n"/>
      <c r="IP44" s="18" t="n"/>
      <c r="IQ44" s="18" t="n"/>
      <c r="IR44" s="18" t="n"/>
      <c r="IS44" s="18" t="n"/>
      <c r="IT44" s="18" t="n"/>
      <c r="IU44" s="18" t="n"/>
      <c r="IV44" s="18" t="n"/>
      <c r="IW44" s="18" t="n"/>
      <c r="IX44" s="18" t="n"/>
      <c r="IY44" s="18" t="n"/>
      <c r="IZ44" s="18" t="n"/>
      <c r="JA44" s="18" t="n"/>
      <c r="JB44" s="18" t="n"/>
      <c r="JC44" s="18" t="n"/>
      <c r="JD44" s="18" t="n"/>
      <c r="JE44" s="18" t="n"/>
      <c r="JF44" s="18" t="n"/>
      <c r="JG44" s="18" t="n"/>
      <c r="JH44" s="18" t="n"/>
      <c r="JI44" s="18" t="n"/>
      <c r="JJ44" s="18" t="n"/>
      <c r="JK44" s="18" t="n"/>
      <c r="JL44" s="18" t="n"/>
      <c r="JM44" s="18" t="n"/>
      <c r="JN44" s="18" t="n"/>
      <c r="JO44" s="18" t="n"/>
      <c r="JP44" s="18" t="n"/>
      <c r="JQ44" s="18" t="n"/>
      <c r="JR44" s="18" t="n"/>
      <c r="JS44" s="18" t="n"/>
      <c r="JT44" s="18" t="n"/>
      <c r="JU44" s="18" t="n"/>
      <c r="JV44" s="18" t="n"/>
      <c r="JW44" s="18" t="n"/>
      <c r="JX44" s="18" t="n"/>
      <c r="JY44" s="18" t="n"/>
      <c r="JZ44" s="18" t="n"/>
      <c r="KA44" s="18" t="n"/>
      <c r="KB44" s="18" t="n"/>
      <c r="KC44" s="18" t="n"/>
      <c r="KD44" s="18" t="n"/>
      <c r="KE44" s="18" t="n"/>
      <c r="KF44" s="18" t="n"/>
      <c r="KG44" s="18" t="n"/>
      <c r="KH44" s="18" t="n"/>
      <c r="KI44" s="18" t="n"/>
      <c r="KJ44" s="18" t="n"/>
      <c r="KK44" s="18" t="n"/>
      <c r="KL44" s="18" t="n"/>
      <c r="KM44" s="18" t="n"/>
      <c r="KN44" s="18" t="n"/>
      <c r="KO44" s="18" t="n"/>
      <c r="KP44" s="18" t="n"/>
      <c r="KQ44" s="18" t="n"/>
      <c r="KR44" s="18" t="n"/>
      <c r="KS44" s="18" t="n"/>
      <c r="KT44" s="18" t="n"/>
      <c r="KU44" s="18" t="n"/>
      <c r="KV44" s="18" t="n"/>
      <c r="KW44" s="18" t="n"/>
      <c r="KX44" s="18" t="n"/>
      <c r="KY44" s="18" t="n"/>
      <c r="KZ44" s="18" t="n"/>
      <c r="LA44" s="18" t="n"/>
      <c r="LB44" s="18" t="n"/>
      <c r="LC44" s="18" t="n"/>
      <c r="LD44" s="18" t="n"/>
      <c r="LE44" s="18" t="n"/>
      <c r="LF44" s="18" t="n"/>
      <c r="LG44" s="18" t="n"/>
      <c r="LH44" s="18" t="n"/>
      <c r="LI44" s="18" t="n"/>
      <c r="LJ44" s="18" t="n"/>
      <c r="LK44" s="18" t="n"/>
      <c r="LL44" s="18" t="n"/>
      <c r="LM44" s="18" t="n"/>
      <c r="LN44" s="18" t="n"/>
      <c r="LO44" s="18" t="n"/>
      <c r="LP44" s="18" t="n"/>
      <c r="LQ44" s="18" t="n"/>
      <c r="LR44" s="18" t="n"/>
      <c r="LS44" s="18" t="n"/>
      <c r="LT44" s="18" t="n"/>
      <c r="LU44" s="18" t="n"/>
      <c r="LV44" s="18" t="n"/>
      <c r="LW44" s="18" t="n"/>
      <c r="LX44" s="18" t="n"/>
      <c r="LY44" s="18" t="n"/>
      <c r="LZ44" s="18" t="n"/>
      <c r="MA44" s="18" t="n"/>
      <c r="MB44" s="18" t="n"/>
      <c r="MC44" s="18" t="n"/>
      <c r="MD44" s="18" t="n"/>
      <c r="ME44" s="18" t="n"/>
      <c r="MF44" s="18" t="n"/>
      <c r="MG44" s="18" t="n"/>
      <c r="MH44" s="18" t="n"/>
      <c r="MI44" s="18" t="n"/>
    </row>
    <row r="45" ht="22.8" customHeight="1" s="88">
      <c r="A45" s="18" t="n"/>
      <c r="B45" s="18" t="n"/>
      <c r="C45" s="18" t="n"/>
      <c r="D45" s="18" t="n"/>
      <c r="E45" s="18" t="n"/>
      <c r="F45" s="18" t="n"/>
      <c r="G45" s="18" t="n"/>
      <c r="H45" s="18" t="n"/>
      <c r="I45" s="45" t="n"/>
      <c r="J45" s="18" t="n"/>
      <c r="K45" s="18" t="n"/>
      <c r="L45" s="18" t="n"/>
      <c r="M45" s="18" t="n"/>
      <c r="N45" s="41" t="n"/>
      <c r="O45" s="18" t="n"/>
      <c r="P45" s="42" t="n"/>
      <c r="Q45" s="18" t="n"/>
      <c r="R45" s="43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  <c r="DY45" s="18" t="n"/>
      <c r="DZ45" s="18" t="n"/>
      <c r="EA45" s="18" t="n"/>
      <c r="EB45" s="18" t="n"/>
      <c r="EC45" s="18" t="n"/>
      <c r="ED45" s="18" t="n"/>
      <c r="EE45" s="18" t="n"/>
      <c r="EF45" s="18" t="n"/>
      <c r="EG45" s="18" t="n"/>
      <c r="EH45" s="18" t="n"/>
      <c r="EI45" s="18" t="n"/>
      <c r="EJ45" s="18" t="n"/>
      <c r="EK45" s="18" t="n"/>
      <c r="EL45" s="18" t="n"/>
      <c r="EM45" s="18" t="n"/>
      <c r="EN45" s="18" t="n"/>
      <c r="EO45" s="18" t="n"/>
      <c r="EP45" s="18" t="n"/>
      <c r="EQ45" s="18" t="n"/>
      <c r="ER45" s="18" t="n"/>
      <c r="ES45" s="18" t="n"/>
      <c r="ET45" s="18" t="n"/>
      <c r="EU45" s="18" t="n"/>
      <c r="EV45" s="18" t="n"/>
      <c r="EW45" s="18" t="n"/>
      <c r="EX45" s="18" t="n"/>
      <c r="EY45" s="18" t="n"/>
      <c r="EZ45" s="18" t="n"/>
      <c r="FA45" s="18" t="n"/>
      <c r="FB45" s="18" t="n"/>
      <c r="FC45" s="18" t="n"/>
      <c r="FD45" s="18" t="n"/>
      <c r="FE45" s="18" t="n"/>
      <c r="FF45" s="18" t="n"/>
      <c r="FG45" s="18" t="n"/>
      <c r="FH45" s="18" t="n"/>
      <c r="FI45" s="18" t="n"/>
      <c r="FJ45" s="18" t="n"/>
      <c r="FK45" s="18" t="n"/>
      <c r="FL45" s="18" t="n"/>
      <c r="FM45" s="18" t="n"/>
      <c r="FN45" s="18" t="n"/>
      <c r="FO45" s="18" t="n"/>
      <c r="FP45" s="18" t="n"/>
      <c r="FQ45" s="18" t="n"/>
      <c r="FR45" s="18" t="n"/>
      <c r="FS45" s="18" t="n"/>
      <c r="FT45" s="18" t="n"/>
      <c r="FU45" s="18" t="n"/>
      <c r="FV45" s="18" t="n"/>
      <c r="FW45" s="18" t="n"/>
      <c r="FX45" s="18" t="n"/>
      <c r="FY45" s="18" t="n"/>
      <c r="FZ45" s="18" t="n"/>
      <c r="GA45" s="18" t="n"/>
      <c r="GB45" s="18" t="n"/>
      <c r="GC45" s="18" t="n"/>
      <c r="GD45" s="18" t="n"/>
      <c r="GE45" s="18" t="n"/>
      <c r="GF45" s="18" t="n"/>
      <c r="GG45" s="18" t="n"/>
      <c r="GH45" s="18" t="n"/>
      <c r="GI45" s="18" t="n"/>
      <c r="GJ45" s="18" t="n"/>
      <c r="GK45" s="18" t="n"/>
      <c r="GL45" s="18" t="n"/>
      <c r="GM45" s="18" t="n"/>
      <c r="GN45" s="18" t="n"/>
      <c r="GO45" s="18" t="n"/>
      <c r="GP45" s="18" t="n"/>
      <c r="GQ45" s="18" t="n"/>
      <c r="GR45" s="18" t="n"/>
      <c r="GS45" s="18" t="n"/>
      <c r="GT45" s="18" t="n"/>
      <c r="GU45" s="18" t="n"/>
      <c r="GV45" s="18" t="n"/>
      <c r="GW45" s="18" t="n"/>
      <c r="GX45" s="18" t="n"/>
      <c r="GY45" s="18" t="n"/>
      <c r="GZ45" s="18" t="n"/>
      <c r="HA45" s="18" t="n"/>
      <c r="HB45" s="18" t="n"/>
      <c r="HC45" s="18" t="n"/>
      <c r="HD45" s="18" t="n"/>
      <c r="HE45" s="18" t="n"/>
      <c r="HF45" s="18" t="n"/>
      <c r="HG45" s="18" t="n"/>
      <c r="HH45" s="18" t="n"/>
      <c r="HI45" s="18" t="n"/>
      <c r="HJ45" s="18" t="n"/>
      <c r="HK45" s="18" t="n"/>
      <c r="HL45" s="18" t="n"/>
      <c r="HM45" s="18" t="n"/>
      <c r="HN45" s="18" t="n"/>
      <c r="HO45" s="18" t="n"/>
      <c r="HP45" s="18" t="n"/>
      <c r="HQ45" s="18" t="n"/>
      <c r="HR45" s="18" t="n"/>
      <c r="HS45" s="18" t="n"/>
      <c r="HT45" s="18" t="n"/>
      <c r="HU45" s="18" t="n"/>
      <c r="HV45" s="18" t="n"/>
      <c r="HW45" s="18" t="n"/>
      <c r="HX45" s="18" t="n"/>
      <c r="HY45" s="18" t="n"/>
      <c r="HZ45" s="18" t="n"/>
      <c r="IA45" s="18" t="n"/>
      <c r="IB45" s="18" t="n"/>
      <c r="IC45" s="18" t="n"/>
      <c r="ID45" s="18" t="n"/>
      <c r="IE45" s="18" t="n"/>
      <c r="IF45" s="18" t="n"/>
      <c r="IG45" s="18" t="n"/>
      <c r="IH45" s="18" t="n"/>
      <c r="II45" s="18" t="n"/>
      <c r="IJ45" s="18" t="n"/>
      <c r="IK45" s="18" t="n"/>
      <c r="IL45" s="18" t="n"/>
      <c r="IM45" s="18" t="n"/>
      <c r="IN45" s="18" t="n"/>
      <c r="IO45" s="18" t="n"/>
      <c r="IP45" s="18" t="n"/>
      <c r="IQ45" s="18" t="n"/>
      <c r="IR45" s="18" t="n"/>
      <c r="IS45" s="18" t="n"/>
      <c r="IT45" s="18" t="n"/>
      <c r="IU45" s="18" t="n"/>
      <c r="IV45" s="18" t="n"/>
      <c r="IW45" s="18" t="n"/>
      <c r="IX45" s="18" t="n"/>
      <c r="IY45" s="18" t="n"/>
      <c r="IZ45" s="18" t="n"/>
      <c r="JA45" s="18" t="n"/>
      <c r="JB45" s="18" t="n"/>
      <c r="JC45" s="18" t="n"/>
      <c r="JD45" s="18" t="n"/>
      <c r="JE45" s="18" t="n"/>
      <c r="JF45" s="18" t="n"/>
      <c r="JG45" s="18" t="n"/>
      <c r="JH45" s="18" t="n"/>
      <c r="JI45" s="18" t="n"/>
      <c r="JJ45" s="18" t="n"/>
      <c r="JK45" s="18" t="n"/>
      <c r="JL45" s="18" t="n"/>
      <c r="JM45" s="18" t="n"/>
      <c r="JN45" s="18" t="n"/>
      <c r="JO45" s="18" t="n"/>
      <c r="JP45" s="18" t="n"/>
      <c r="JQ45" s="18" t="n"/>
      <c r="JR45" s="18" t="n"/>
      <c r="JS45" s="18" t="n"/>
      <c r="JT45" s="18" t="n"/>
      <c r="JU45" s="18" t="n"/>
      <c r="JV45" s="18" t="n"/>
      <c r="JW45" s="18" t="n"/>
      <c r="JX45" s="18" t="n"/>
      <c r="JY45" s="18" t="n"/>
      <c r="JZ45" s="18" t="n"/>
      <c r="KA45" s="18" t="n"/>
      <c r="KB45" s="18" t="n"/>
      <c r="KC45" s="18" t="n"/>
      <c r="KD45" s="18" t="n"/>
      <c r="KE45" s="18" t="n"/>
      <c r="KF45" s="18" t="n"/>
      <c r="KG45" s="18" t="n"/>
      <c r="KH45" s="18" t="n"/>
      <c r="KI45" s="18" t="n"/>
      <c r="KJ45" s="18" t="n"/>
      <c r="KK45" s="18" t="n"/>
      <c r="KL45" s="18" t="n"/>
      <c r="KM45" s="18" t="n"/>
      <c r="KN45" s="18" t="n"/>
      <c r="KO45" s="18" t="n"/>
      <c r="KP45" s="18" t="n"/>
      <c r="KQ45" s="18" t="n"/>
      <c r="KR45" s="18" t="n"/>
      <c r="KS45" s="18" t="n"/>
      <c r="KT45" s="18" t="n"/>
      <c r="KU45" s="18" t="n"/>
      <c r="KV45" s="18" t="n"/>
      <c r="KW45" s="18" t="n"/>
      <c r="KX45" s="18" t="n"/>
      <c r="KY45" s="18" t="n"/>
      <c r="KZ45" s="18" t="n"/>
      <c r="LA45" s="18" t="n"/>
      <c r="LB45" s="18" t="n"/>
      <c r="LC45" s="18" t="n"/>
      <c r="LD45" s="18" t="n"/>
      <c r="LE45" s="18" t="n"/>
      <c r="LF45" s="18" t="n"/>
      <c r="LG45" s="18" t="n"/>
      <c r="LH45" s="18" t="n"/>
      <c r="LI45" s="18" t="n"/>
      <c r="LJ45" s="18" t="n"/>
      <c r="LK45" s="18" t="n"/>
      <c r="LL45" s="18" t="n"/>
      <c r="LM45" s="18" t="n"/>
      <c r="LN45" s="18" t="n"/>
      <c r="LO45" s="18" t="n"/>
      <c r="LP45" s="18" t="n"/>
      <c r="LQ45" s="18" t="n"/>
      <c r="LR45" s="18" t="n"/>
      <c r="LS45" s="18" t="n"/>
      <c r="LT45" s="18" t="n"/>
      <c r="LU45" s="18" t="n"/>
      <c r="LV45" s="18" t="n"/>
      <c r="LW45" s="18" t="n"/>
      <c r="LX45" s="18" t="n"/>
      <c r="LY45" s="18" t="n"/>
      <c r="LZ45" s="18" t="n"/>
      <c r="MA45" s="18" t="n"/>
      <c r="MB45" s="18" t="n"/>
      <c r="MC45" s="18" t="n"/>
      <c r="MD45" s="18" t="n"/>
      <c r="ME45" s="18" t="n"/>
      <c r="MF45" s="18" t="n"/>
      <c r="MG45" s="18" t="n"/>
      <c r="MH45" s="18" t="n"/>
      <c r="MI45" s="18" t="n"/>
      <c r="MJ45" s="18" t="n"/>
      <c r="MK45" s="18" t="n"/>
      <c r="ML45" s="18" t="n"/>
      <c r="MM45" s="18" t="n"/>
    </row>
    <row r="46" ht="46.8" customHeight="1" s="88">
      <c r="A46" s="18" t="n"/>
      <c r="B46" s="18" t="n"/>
      <c r="C46" s="18" t="n"/>
      <c r="D46" s="18" t="n"/>
      <c r="E46" s="18" t="n"/>
      <c r="F46" s="18" t="n"/>
      <c r="G46" s="18" t="n"/>
      <c r="H46" s="18" t="n"/>
      <c r="I46" s="44" t="n"/>
      <c r="J46" s="18" t="n"/>
      <c r="K46" s="18" t="n"/>
      <c r="L46" s="18" t="n"/>
      <c r="M46" s="18" t="n"/>
      <c r="N46" s="41" t="n"/>
      <c r="O46" s="18" t="n"/>
      <c r="P46" s="42" t="n"/>
      <c r="Q46" s="18" t="n"/>
      <c r="R46" s="43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8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8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8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18" t="n"/>
      <c r="GI46" s="18" t="n"/>
      <c r="GJ46" s="18" t="n"/>
      <c r="GK46" s="18" t="n"/>
      <c r="GL46" s="18" t="n"/>
      <c r="GM46" s="18" t="n"/>
      <c r="GN46" s="18" t="n"/>
      <c r="GO46" s="18" t="n"/>
      <c r="GP46" s="18" t="n"/>
      <c r="GQ46" s="18" t="n"/>
      <c r="GR46" s="18" t="n"/>
      <c r="GS46" s="18" t="n"/>
      <c r="GT46" s="18" t="n"/>
      <c r="GU46" s="18" t="n"/>
      <c r="GV46" s="18" t="n"/>
      <c r="GW46" s="18" t="n"/>
      <c r="GX46" s="18" t="n"/>
      <c r="GY46" s="18" t="n"/>
      <c r="GZ46" s="18" t="n"/>
      <c r="HA46" s="18" t="n"/>
      <c r="HB46" s="18" t="n"/>
      <c r="HC46" s="18" t="n"/>
      <c r="HD46" s="18" t="n"/>
      <c r="HE46" s="18" t="n"/>
      <c r="HF46" s="18" t="n"/>
      <c r="HG46" s="18" t="n"/>
      <c r="HH46" s="18" t="n"/>
      <c r="HI46" s="18" t="n"/>
      <c r="HJ46" s="18" t="n"/>
      <c r="HK46" s="18" t="n"/>
      <c r="HL46" s="18" t="n"/>
      <c r="HM46" s="18" t="n"/>
      <c r="HN46" s="18" t="n"/>
      <c r="HO46" s="18" t="n"/>
      <c r="HP46" s="18" t="n"/>
      <c r="HQ46" s="18" t="n"/>
      <c r="HR46" s="18" t="n"/>
      <c r="HS46" s="18" t="n"/>
      <c r="HT46" s="18" t="n"/>
      <c r="HU46" s="18" t="n"/>
      <c r="HV46" s="18" t="n"/>
      <c r="HW46" s="18" t="n"/>
      <c r="HX46" s="18" t="n"/>
      <c r="HY46" s="18" t="n"/>
      <c r="HZ46" s="18" t="n"/>
      <c r="IA46" s="18" t="n"/>
      <c r="IB46" s="18" t="n"/>
      <c r="IC46" s="18" t="n"/>
      <c r="ID46" s="18" t="n"/>
      <c r="IE46" s="18" t="n"/>
      <c r="IF46" s="18" t="n"/>
      <c r="IG46" s="18" t="n"/>
      <c r="IH46" s="18" t="n"/>
      <c r="II46" s="18" t="n"/>
      <c r="IJ46" s="18" t="n"/>
      <c r="IK46" s="18" t="n"/>
      <c r="IL46" s="18" t="n"/>
      <c r="IM46" s="18" t="n"/>
      <c r="IN46" s="18" t="n"/>
      <c r="IO46" s="18" t="n"/>
      <c r="IP46" s="18" t="n"/>
      <c r="IQ46" s="18" t="n"/>
      <c r="IR46" s="18" t="n"/>
      <c r="IS46" s="18" t="n"/>
      <c r="IT46" s="18" t="n"/>
      <c r="IU46" s="18" t="n"/>
      <c r="IV46" s="18" t="n"/>
      <c r="IW46" s="18" t="n"/>
      <c r="IX46" s="18" t="n"/>
      <c r="IY46" s="18" t="n"/>
      <c r="IZ46" s="18" t="n"/>
      <c r="JA46" s="18" t="n"/>
      <c r="JB46" s="18" t="n"/>
      <c r="JC46" s="18" t="n"/>
      <c r="JD46" s="18" t="n"/>
      <c r="JE46" s="18" t="n"/>
      <c r="JF46" s="18" t="n"/>
      <c r="JG46" s="18" t="n"/>
      <c r="JH46" s="18" t="n"/>
      <c r="JI46" s="18" t="n"/>
      <c r="JJ46" s="18" t="n"/>
      <c r="JK46" s="18" t="n"/>
      <c r="JL46" s="18" t="n"/>
      <c r="JM46" s="18" t="n"/>
      <c r="JN46" s="18" t="n"/>
      <c r="JO46" s="18" t="n"/>
      <c r="JP46" s="18" t="n"/>
      <c r="JQ46" s="18" t="n"/>
      <c r="JR46" s="18" t="n"/>
      <c r="JS46" s="18" t="n"/>
      <c r="JT46" s="18" t="n"/>
      <c r="JU46" s="18" t="n"/>
      <c r="JV46" s="18" t="n"/>
      <c r="JW46" s="18" t="n"/>
      <c r="JX46" s="18" t="n"/>
      <c r="JY46" s="18" t="n"/>
      <c r="JZ46" s="18" t="n"/>
      <c r="KA46" s="18" t="n"/>
      <c r="KB46" s="18" t="n"/>
      <c r="KC46" s="18" t="n"/>
      <c r="KD46" s="18" t="n"/>
      <c r="KE46" s="18" t="n"/>
      <c r="KF46" s="18" t="n"/>
      <c r="KG46" s="18" t="n"/>
      <c r="KH46" s="18" t="n"/>
      <c r="KI46" s="18" t="n"/>
      <c r="KJ46" s="18" t="n"/>
      <c r="KK46" s="18" t="n"/>
      <c r="KL46" s="18" t="n"/>
      <c r="KM46" s="18" t="n"/>
      <c r="KN46" s="18" t="n"/>
      <c r="KO46" s="18" t="n"/>
      <c r="KP46" s="18" t="n"/>
      <c r="KQ46" s="18" t="n"/>
      <c r="KR46" s="18" t="n"/>
      <c r="KS46" s="18" t="n"/>
      <c r="KT46" s="18" t="n"/>
      <c r="KU46" s="18" t="n"/>
      <c r="KV46" s="18" t="n"/>
      <c r="KW46" s="18" t="n"/>
      <c r="KX46" s="18" t="n"/>
      <c r="KY46" s="18" t="n"/>
      <c r="KZ46" s="18" t="n"/>
      <c r="LA46" s="18" t="n"/>
      <c r="LB46" s="18" t="n"/>
      <c r="LC46" s="18" t="n"/>
      <c r="LD46" s="18" t="n"/>
      <c r="LE46" s="18" t="n"/>
      <c r="LF46" s="18" t="n"/>
      <c r="LG46" s="18" t="n"/>
      <c r="LH46" s="18" t="n"/>
      <c r="LI46" s="18" t="n"/>
      <c r="LJ46" s="18" t="n"/>
      <c r="LK46" s="18" t="n"/>
      <c r="LL46" s="18" t="n"/>
      <c r="LM46" s="18" t="n"/>
      <c r="LN46" s="18" t="n"/>
      <c r="LO46" s="18" t="n"/>
      <c r="LP46" s="18" t="n"/>
      <c r="LQ46" s="18" t="n"/>
      <c r="LR46" s="18" t="n"/>
      <c r="LS46" s="18" t="n"/>
      <c r="LT46" s="18" t="n"/>
      <c r="LU46" s="18" t="n"/>
      <c r="LV46" s="18" t="n"/>
      <c r="LW46" s="18" t="n"/>
      <c r="LX46" s="18" t="n"/>
      <c r="LY46" s="18" t="n"/>
      <c r="LZ46" s="18" t="n"/>
      <c r="MA46" s="18" t="n"/>
      <c r="MB46" s="18" t="n"/>
      <c r="MC46" s="18" t="n"/>
      <c r="MD46" s="18" t="n"/>
      <c r="ME46" s="18" t="n"/>
      <c r="MF46" s="18" t="n"/>
      <c r="MG46" s="18" t="n"/>
      <c r="MH46" s="18" t="n"/>
      <c r="MI46" s="18" t="n"/>
      <c r="MJ46" s="18" t="n"/>
      <c r="MK46" s="18" t="n"/>
      <c r="ML46" s="18" t="n"/>
      <c r="MM46" s="18" t="n"/>
      <c r="MN46" s="18" t="n"/>
      <c r="MO46" s="18" t="n"/>
      <c r="MP46" s="18" t="n"/>
      <c r="MQ46" s="18" t="n"/>
    </row>
    <row r="47" ht="46.8" customHeight="1" s="88">
      <c r="A47" s="18" t="n"/>
      <c r="B47" s="18" t="n"/>
      <c r="C47" s="18" t="n"/>
      <c r="D47" s="18" t="n"/>
      <c r="E47" s="18" t="n"/>
      <c r="F47" s="18" t="n"/>
      <c r="G47" s="18" t="n"/>
      <c r="H47" s="18" t="n"/>
      <c r="I47" s="46" t="n"/>
      <c r="J47" s="18" t="n"/>
      <c r="K47" s="18" t="n"/>
      <c r="L47" s="18" t="n"/>
      <c r="M47" s="18" t="n"/>
      <c r="N47" s="41" t="n"/>
      <c r="O47" s="18" t="n"/>
      <c r="P47" s="42" t="n"/>
      <c r="Q47" s="18" t="n"/>
      <c r="R47" s="43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  <c r="DY47" s="18" t="n"/>
      <c r="DZ47" s="18" t="n"/>
      <c r="EA47" s="18" t="n"/>
      <c r="EB47" s="18" t="n"/>
      <c r="EC47" s="18" t="n"/>
      <c r="ED47" s="18" t="n"/>
      <c r="EE47" s="18" t="n"/>
      <c r="EF47" s="18" t="n"/>
      <c r="EG47" s="18" t="n"/>
      <c r="EH47" s="18" t="n"/>
      <c r="EI47" s="18" t="n"/>
      <c r="EJ47" s="18" t="n"/>
      <c r="EK47" s="18" t="n"/>
      <c r="EL47" s="18" t="n"/>
      <c r="EM47" s="18" t="n"/>
      <c r="EN47" s="18" t="n"/>
      <c r="EO47" s="18" t="n"/>
      <c r="EP47" s="18" t="n"/>
      <c r="EQ47" s="18" t="n"/>
      <c r="ER47" s="18" t="n"/>
      <c r="ES47" s="18" t="n"/>
      <c r="ET47" s="18" t="n"/>
      <c r="EU47" s="18" t="n"/>
      <c r="EV47" s="18" t="n"/>
      <c r="EW47" s="18" t="n"/>
      <c r="EX47" s="18" t="n"/>
      <c r="EY47" s="18" t="n"/>
      <c r="EZ47" s="18" t="n"/>
      <c r="FA47" s="18" t="n"/>
      <c r="FB47" s="18" t="n"/>
      <c r="FC47" s="18" t="n"/>
      <c r="FD47" s="18" t="n"/>
      <c r="FE47" s="18" t="n"/>
      <c r="FF47" s="18" t="n"/>
      <c r="FG47" s="18" t="n"/>
      <c r="FH47" s="18" t="n"/>
      <c r="FI47" s="18" t="n"/>
      <c r="FJ47" s="18" t="n"/>
      <c r="FK47" s="18" t="n"/>
      <c r="FL47" s="18" t="n"/>
      <c r="FM47" s="18" t="n"/>
      <c r="FN47" s="18" t="n"/>
      <c r="FO47" s="18" t="n"/>
      <c r="FP47" s="18" t="n"/>
      <c r="FQ47" s="18" t="n"/>
      <c r="FR47" s="18" t="n"/>
      <c r="FS47" s="18" t="n"/>
      <c r="FT47" s="18" t="n"/>
      <c r="FU47" s="18" t="n"/>
      <c r="FV47" s="18" t="n"/>
      <c r="FW47" s="18" t="n"/>
      <c r="FX47" s="18" t="n"/>
      <c r="FY47" s="18" t="n"/>
      <c r="FZ47" s="18" t="n"/>
      <c r="GA47" s="18" t="n"/>
      <c r="GB47" s="18" t="n"/>
      <c r="GC47" s="18" t="n"/>
      <c r="GD47" s="18" t="n"/>
      <c r="GE47" s="18" t="n"/>
      <c r="GF47" s="18" t="n"/>
      <c r="GG47" s="18" t="n"/>
      <c r="GH47" s="18" t="n"/>
      <c r="GI47" s="18" t="n"/>
      <c r="GJ47" s="18" t="n"/>
      <c r="GK47" s="18" t="n"/>
      <c r="GL47" s="18" t="n"/>
      <c r="GM47" s="18" t="n"/>
      <c r="GN47" s="18" t="n"/>
      <c r="GO47" s="18" t="n"/>
      <c r="GP47" s="18" t="n"/>
      <c r="GQ47" s="18" t="n"/>
      <c r="GR47" s="18" t="n"/>
      <c r="GS47" s="18" t="n"/>
      <c r="GT47" s="18" t="n"/>
      <c r="GU47" s="18" t="n"/>
      <c r="GV47" s="18" t="n"/>
      <c r="GW47" s="18" t="n"/>
      <c r="GX47" s="18" t="n"/>
      <c r="GY47" s="18" t="n"/>
      <c r="GZ47" s="18" t="n"/>
      <c r="HA47" s="18" t="n"/>
      <c r="HB47" s="18" t="n"/>
      <c r="HC47" s="18" t="n"/>
      <c r="HD47" s="18" t="n"/>
      <c r="HE47" s="18" t="n"/>
      <c r="HF47" s="18" t="n"/>
      <c r="HG47" s="18" t="n"/>
      <c r="HH47" s="18" t="n"/>
      <c r="HI47" s="18" t="n"/>
      <c r="HJ47" s="18" t="n"/>
      <c r="HK47" s="18" t="n"/>
      <c r="HL47" s="18" t="n"/>
      <c r="HM47" s="18" t="n"/>
      <c r="HN47" s="18" t="n"/>
      <c r="HO47" s="18" t="n"/>
      <c r="HP47" s="18" t="n"/>
      <c r="HQ47" s="18" t="n"/>
      <c r="HR47" s="18" t="n"/>
      <c r="HS47" s="18" t="n"/>
      <c r="HT47" s="18" t="n"/>
      <c r="HU47" s="18" t="n"/>
      <c r="HV47" s="18" t="n"/>
      <c r="HW47" s="18" t="n"/>
      <c r="HX47" s="18" t="n"/>
      <c r="HY47" s="18" t="n"/>
      <c r="HZ47" s="18" t="n"/>
      <c r="IA47" s="18" t="n"/>
      <c r="IB47" s="18" t="n"/>
      <c r="IC47" s="18" t="n"/>
      <c r="ID47" s="18" t="n"/>
      <c r="IE47" s="18" t="n"/>
      <c r="IF47" s="18" t="n"/>
      <c r="IG47" s="18" t="n"/>
      <c r="IH47" s="18" t="n"/>
      <c r="II47" s="18" t="n"/>
      <c r="IJ47" s="18" t="n"/>
      <c r="IK47" s="18" t="n"/>
      <c r="IL47" s="18" t="n"/>
      <c r="IM47" s="18" t="n"/>
      <c r="IN47" s="18" t="n"/>
      <c r="IO47" s="18" t="n"/>
      <c r="IP47" s="18" t="n"/>
      <c r="IQ47" s="18" t="n"/>
      <c r="IR47" s="18" t="n"/>
      <c r="IS47" s="18" t="n"/>
      <c r="IT47" s="18" t="n"/>
      <c r="IU47" s="18" t="n"/>
      <c r="IV47" s="18" t="n"/>
      <c r="IW47" s="18" t="n"/>
      <c r="IX47" s="18" t="n"/>
      <c r="IY47" s="18" t="n"/>
      <c r="IZ47" s="18" t="n"/>
      <c r="JA47" s="18" t="n"/>
      <c r="JB47" s="18" t="n"/>
      <c r="JC47" s="18" t="n"/>
      <c r="JD47" s="18" t="n"/>
      <c r="JE47" s="18" t="n"/>
      <c r="JF47" s="18" t="n"/>
      <c r="JG47" s="18" t="n"/>
      <c r="JH47" s="18" t="n"/>
      <c r="JI47" s="18" t="n"/>
      <c r="JJ47" s="18" t="n"/>
      <c r="JK47" s="18" t="n"/>
      <c r="JL47" s="18" t="n"/>
      <c r="JM47" s="18" t="n"/>
      <c r="JN47" s="18" t="n"/>
      <c r="JO47" s="18" t="n"/>
      <c r="JP47" s="18" t="n"/>
      <c r="JQ47" s="18" t="n"/>
      <c r="JR47" s="18" t="n"/>
      <c r="JS47" s="18" t="n"/>
      <c r="JT47" s="18" t="n"/>
      <c r="JU47" s="18" t="n"/>
      <c r="JV47" s="18" t="n"/>
      <c r="JW47" s="18" t="n"/>
      <c r="JX47" s="18" t="n"/>
      <c r="JY47" s="18" t="n"/>
      <c r="JZ47" s="18" t="n"/>
      <c r="KA47" s="18" t="n"/>
      <c r="KB47" s="18" t="n"/>
      <c r="KC47" s="18" t="n"/>
      <c r="KD47" s="18" t="n"/>
      <c r="KE47" s="18" t="n"/>
      <c r="KF47" s="18" t="n"/>
      <c r="KG47" s="18" t="n"/>
      <c r="KH47" s="18" t="n"/>
      <c r="KI47" s="18" t="n"/>
      <c r="KJ47" s="18" t="n"/>
      <c r="KK47" s="18" t="n"/>
      <c r="KL47" s="18" t="n"/>
      <c r="KM47" s="18" t="n"/>
      <c r="KN47" s="18" t="n"/>
      <c r="KO47" s="18" t="n"/>
      <c r="KP47" s="18" t="n"/>
      <c r="KQ47" s="18" t="n"/>
      <c r="KR47" s="18" t="n"/>
      <c r="KS47" s="18" t="n"/>
      <c r="KT47" s="18" t="n"/>
      <c r="KU47" s="18" t="n"/>
      <c r="KV47" s="18" t="n"/>
      <c r="KW47" s="18" t="n"/>
      <c r="KX47" s="18" t="n"/>
      <c r="KY47" s="18" t="n"/>
      <c r="KZ47" s="18" t="n"/>
      <c r="LA47" s="18" t="n"/>
      <c r="LB47" s="18" t="n"/>
      <c r="LC47" s="18" t="n"/>
      <c r="LD47" s="18" t="n"/>
      <c r="LE47" s="18" t="n"/>
      <c r="LF47" s="18" t="n"/>
      <c r="LG47" s="18" t="n"/>
      <c r="LH47" s="18" t="n"/>
      <c r="LI47" s="18" t="n"/>
      <c r="LJ47" s="18" t="n"/>
      <c r="LK47" s="18" t="n"/>
      <c r="LL47" s="18" t="n"/>
      <c r="LM47" s="18" t="n"/>
      <c r="LN47" s="18" t="n"/>
      <c r="LO47" s="18" t="n"/>
      <c r="LP47" s="18" t="n"/>
      <c r="LQ47" s="18" t="n"/>
      <c r="LR47" s="18" t="n"/>
      <c r="LS47" s="18" t="n"/>
      <c r="LT47" s="18" t="n"/>
      <c r="LU47" s="18" t="n"/>
      <c r="LV47" s="18" t="n"/>
      <c r="LW47" s="18" t="n"/>
      <c r="LX47" s="18" t="n"/>
      <c r="LY47" s="18" t="n"/>
      <c r="LZ47" s="18" t="n"/>
      <c r="MA47" s="18" t="n"/>
      <c r="MB47" s="18" t="n"/>
      <c r="MC47" s="18" t="n"/>
      <c r="MD47" s="18" t="n"/>
      <c r="ME47" s="18" t="n"/>
      <c r="MF47" s="18" t="n"/>
      <c r="MG47" s="18" t="n"/>
      <c r="MH47" s="18" t="n"/>
      <c r="MI47" s="18" t="n"/>
      <c r="MJ47" s="18" t="n"/>
      <c r="MK47" s="18" t="n"/>
      <c r="ML47" s="18" t="n"/>
      <c r="MM47" s="18" t="n"/>
      <c r="MN47" s="18" t="n"/>
      <c r="MO47" s="18" t="n"/>
      <c r="MP47" s="18" t="n"/>
      <c r="MQ47" s="18" t="n"/>
      <c r="MR47" s="18" t="n"/>
      <c r="MS47" s="18" t="n"/>
      <c r="MT47" s="18" t="n"/>
      <c r="MU47" s="18" t="n"/>
    </row>
    <row r="48" ht="46.8" customHeight="1" s="8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46" t="n"/>
      <c r="J48" s="18" t="n"/>
      <c r="K48" s="18" t="n"/>
      <c r="L48" s="18" t="n"/>
      <c r="M48" s="18" t="n"/>
      <c r="N48" s="41" t="n"/>
      <c r="O48" s="18" t="n"/>
      <c r="P48" s="42" t="n"/>
      <c r="Q48" s="18" t="n"/>
      <c r="R48" s="43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  <c r="DY48" s="18" t="n"/>
      <c r="DZ48" s="18" t="n"/>
      <c r="EA48" s="18" t="n"/>
      <c r="EB48" s="18" t="n"/>
      <c r="EC48" s="18" t="n"/>
      <c r="ED48" s="18" t="n"/>
      <c r="EE48" s="18" t="n"/>
      <c r="EF48" s="18" t="n"/>
      <c r="EG48" s="18" t="n"/>
      <c r="EH48" s="18" t="n"/>
      <c r="EI48" s="18" t="n"/>
      <c r="EJ48" s="18" t="n"/>
      <c r="EK48" s="18" t="n"/>
      <c r="EL48" s="18" t="n"/>
      <c r="EM48" s="18" t="n"/>
      <c r="EN48" s="18" t="n"/>
      <c r="EO48" s="18" t="n"/>
      <c r="EP48" s="18" t="n"/>
      <c r="EQ48" s="18" t="n"/>
      <c r="ER48" s="18" t="n"/>
      <c r="ES48" s="18" t="n"/>
      <c r="ET48" s="18" t="n"/>
      <c r="EU48" s="18" t="n"/>
      <c r="EV48" s="18" t="n"/>
      <c r="EW48" s="18" t="n"/>
      <c r="EX48" s="18" t="n"/>
      <c r="EY48" s="18" t="n"/>
      <c r="EZ48" s="18" t="n"/>
      <c r="FA48" s="18" t="n"/>
      <c r="FB48" s="18" t="n"/>
      <c r="FC48" s="18" t="n"/>
      <c r="FD48" s="18" t="n"/>
      <c r="FE48" s="18" t="n"/>
      <c r="FF48" s="18" t="n"/>
      <c r="FG48" s="18" t="n"/>
      <c r="FH48" s="18" t="n"/>
      <c r="FI48" s="18" t="n"/>
      <c r="FJ48" s="18" t="n"/>
      <c r="FK48" s="18" t="n"/>
      <c r="FL48" s="18" t="n"/>
      <c r="FM48" s="18" t="n"/>
      <c r="FN48" s="18" t="n"/>
      <c r="FO48" s="18" t="n"/>
      <c r="FP48" s="18" t="n"/>
      <c r="FQ48" s="18" t="n"/>
      <c r="FR48" s="18" t="n"/>
      <c r="FS48" s="18" t="n"/>
      <c r="FT48" s="18" t="n"/>
      <c r="FU48" s="18" t="n"/>
      <c r="FV48" s="18" t="n"/>
      <c r="FW48" s="18" t="n"/>
      <c r="FX48" s="18" t="n"/>
      <c r="FY48" s="18" t="n"/>
      <c r="FZ48" s="18" t="n"/>
      <c r="GA48" s="18" t="n"/>
      <c r="GB48" s="18" t="n"/>
      <c r="GC48" s="18" t="n"/>
      <c r="GD48" s="18" t="n"/>
      <c r="GE48" s="18" t="n"/>
      <c r="GF48" s="18" t="n"/>
      <c r="GG48" s="18" t="n"/>
      <c r="GH48" s="18" t="n"/>
      <c r="GI48" s="18" t="n"/>
      <c r="GJ48" s="18" t="n"/>
      <c r="GK48" s="18" t="n"/>
      <c r="GL48" s="18" t="n"/>
      <c r="GM48" s="18" t="n"/>
      <c r="GN48" s="18" t="n"/>
      <c r="GO48" s="18" t="n"/>
      <c r="GP48" s="18" t="n"/>
      <c r="GQ48" s="18" t="n"/>
      <c r="GR48" s="18" t="n"/>
      <c r="GS48" s="18" t="n"/>
      <c r="GT48" s="18" t="n"/>
      <c r="GU48" s="18" t="n"/>
      <c r="GV48" s="18" t="n"/>
      <c r="GW48" s="18" t="n"/>
      <c r="GX48" s="18" t="n"/>
      <c r="GY48" s="18" t="n"/>
      <c r="GZ48" s="18" t="n"/>
      <c r="HA48" s="18" t="n"/>
      <c r="HB48" s="18" t="n"/>
      <c r="HC48" s="18" t="n"/>
      <c r="HD48" s="18" t="n"/>
      <c r="HE48" s="18" t="n"/>
      <c r="HF48" s="18" t="n"/>
      <c r="HG48" s="18" t="n"/>
      <c r="HH48" s="18" t="n"/>
      <c r="HI48" s="18" t="n"/>
      <c r="HJ48" s="18" t="n"/>
      <c r="HK48" s="18" t="n"/>
      <c r="HL48" s="18" t="n"/>
      <c r="HM48" s="18" t="n"/>
      <c r="HN48" s="18" t="n"/>
      <c r="HO48" s="18" t="n"/>
      <c r="HP48" s="18" t="n"/>
      <c r="HQ48" s="18" t="n"/>
      <c r="HR48" s="18" t="n"/>
      <c r="HS48" s="18" t="n"/>
      <c r="HT48" s="18" t="n"/>
      <c r="HU48" s="18" t="n"/>
      <c r="HV48" s="18" t="n"/>
      <c r="HW48" s="18" t="n"/>
      <c r="HX48" s="18" t="n"/>
      <c r="HY48" s="18" t="n"/>
      <c r="HZ48" s="18" t="n"/>
      <c r="IA48" s="18" t="n"/>
      <c r="IB48" s="18" t="n"/>
      <c r="IC48" s="18" t="n"/>
      <c r="ID48" s="18" t="n"/>
      <c r="IE48" s="18" t="n"/>
      <c r="IF48" s="18" t="n"/>
      <c r="IG48" s="18" t="n"/>
      <c r="IH48" s="18" t="n"/>
      <c r="II48" s="18" t="n"/>
      <c r="IJ48" s="18" t="n"/>
      <c r="IK48" s="18" t="n"/>
      <c r="IL48" s="18" t="n"/>
      <c r="IM48" s="18" t="n"/>
      <c r="IN48" s="18" t="n"/>
      <c r="IO48" s="18" t="n"/>
      <c r="IP48" s="18" t="n"/>
      <c r="IQ48" s="18" t="n"/>
      <c r="IR48" s="18" t="n"/>
      <c r="IS48" s="18" t="n"/>
      <c r="IT48" s="18" t="n"/>
      <c r="IU48" s="18" t="n"/>
      <c r="IV48" s="18" t="n"/>
      <c r="IW48" s="18" t="n"/>
      <c r="IX48" s="18" t="n"/>
      <c r="IY48" s="18" t="n"/>
      <c r="IZ48" s="18" t="n"/>
      <c r="JA48" s="18" t="n"/>
      <c r="JB48" s="18" t="n"/>
      <c r="JC48" s="18" t="n"/>
      <c r="JD48" s="18" t="n"/>
      <c r="JE48" s="18" t="n"/>
      <c r="JF48" s="18" t="n"/>
      <c r="JG48" s="18" t="n"/>
      <c r="JH48" s="18" t="n"/>
      <c r="JI48" s="18" t="n"/>
      <c r="JJ48" s="18" t="n"/>
      <c r="JK48" s="18" t="n"/>
      <c r="JL48" s="18" t="n"/>
      <c r="JM48" s="18" t="n"/>
      <c r="JN48" s="18" t="n"/>
      <c r="JO48" s="18" t="n"/>
      <c r="JP48" s="18" t="n"/>
      <c r="JQ48" s="18" t="n"/>
      <c r="JR48" s="18" t="n"/>
      <c r="JS48" s="18" t="n"/>
      <c r="JT48" s="18" t="n"/>
      <c r="JU48" s="18" t="n"/>
      <c r="JV48" s="18" t="n"/>
      <c r="JW48" s="18" t="n"/>
      <c r="JX48" s="18" t="n"/>
      <c r="JY48" s="18" t="n"/>
      <c r="JZ48" s="18" t="n"/>
      <c r="KA48" s="18" t="n"/>
      <c r="KB48" s="18" t="n"/>
      <c r="KC48" s="18" t="n"/>
      <c r="KD48" s="18" t="n"/>
      <c r="KE48" s="18" t="n"/>
      <c r="KF48" s="18" t="n"/>
      <c r="KG48" s="18" t="n"/>
      <c r="KH48" s="18" t="n"/>
      <c r="KI48" s="18" t="n"/>
      <c r="KJ48" s="18" t="n"/>
      <c r="KK48" s="18" t="n"/>
      <c r="KL48" s="18" t="n"/>
      <c r="KM48" s="18" t="n"/>
      <c r="KN48" s="18" t="n"/>
      <c r="KO48" s="18" t="n"/>
      <c r="KP48" s="18" t="n"/>
      <c r="KQ48" s="18" t="n"/>
      <c r="KR48" s="18" t="n"/>
      <c r="KS48" s="18" t="n"/>
      <c r="KT48" s="18" t="n"/>
      <c r="KU48" s="18" t="n"/>
      <c r="KV48" s="18" t="n"/>
      <c r="KW48" s="18" t="n"/>
      <c r="KX48" s="18" t="n"/>
      <c r="KY48" s="18" t="n"/>
      <c r="KZ48" s="18" t="n"/>
      <c r="LA48" s="18" t="n"/>
      <c r="LB48" s="18" t="n"/>
      <c r="LC48" s="18" t="n"/>
      <c r="LD48" s="18" t="n"/>
      <c r="LE48" s="18" t="n"/>
      <c r="LF48" s="18" t="n"/>
      <c r="LG48" s="18" t="n"/>
      <c r="LH48" s="18" t="n"/>
      <c r="LI48" s="18" t="n"/>
      <c r="LJ48" s="18" t="n"/>
      <c r="LK48" s="18" t="n"/>
      <c r="LL48" s="18" t="n"/>
      <c r="LM48" s="18" t="n"/>
      <c r="LN48" s="18" t="n"/>
      <c r="LO48" s="18" t="n"/>
      <c r="LP48" s="18" t="n"/>
      <c r="LQ48" s="18" t="n"/>
      <c r="LR48" s="18" t="n"/>
      <c r="LS48" s="18" t="n"/>
      <c r="LT48" s="18" t="n"/>
      <c r="LU48" s="18" t="n"/>
      <c r="LV48" s="18" t="n"/>
      <c r="LW48" s="18" t="n"/>
      <c r="LX48" s="18" t="n"/>
      <c r="LY48" s="18" t="n"/>
      <c r="LZ48" s="18" t="n"/>
      <c r="MA48" s="18" t="n"/>
      <c r="MB48" s="18" t="n"/>
      <c r="MC48" s="18" t="n"/>
      <c r="MD48" s="18" t="n"/>
      <c r="ME48" s="18" t="n"/>
      <c r="MF48" s="18" t="n"/>
      <c r="MG48" s="18" t="n"/>
      <c r="MH48" s="18" t="n"/>
      <c r="MI48" s="18" t="n"/>
      <c r="MJ48" s="18" t="n"/>
      <c r="MK48" s="18" t="n"/>
      <c r="ML48" s="18" t="n"/>
      <c r="MM48" s="18" t="n"/>
      <c r="MN48" s="18" t="n"/>
      <c r="MO48" s="18" t="n"/>
      <c r="MP48" s="18" t="n"/>
      <c r="MQ48" s="18" t="n"/>
      <c r="MR48" s="18" t="n"/>
      <c r="MS48" s="18" t="n"/>
      <c r="MT48" s="18" t="n"/>
      <c r="MU48" s="18" t="n"/>
      <c r="MV48" s="18" t="n"/>
      <c r="MW48" s="18" t="n"/>
      <c r="MX48" s="18" t="n"/>
      <c r="MY48" s="18" t="n"/>
    </row>
    <row r="49" ht="22.8" customHeight="1" s="88">
      <c r="A49" s="18" t="n"/>
      <c r="B49" s="18" t="n"/>
      <c r="C49" s="18" t="n"/>
      <c r="D49" s="18" t="n"/>
      <c r="E49" s="18" t="n"/>
      <c r="F49" s="18" t="n"/>
      <c r="G49" s="18" t="n"/>
      <c r="H49" s="18" t="n"/>
      <c r="I49" s="45" t="n"/>
      <c r="J49" s="18" t="n"/>
      <c r="K49" s="18" t="n"/>
      <c r="L49" s="18" t="n"/>
      <c r="M49" s="18" t="n"/>
      <c r="N49" s="41" t="n"/>
      <c r="O49" s="18" t="n"/>
      <c r="P49" s="42" t="n"/>
      <c r="Q49" s="18" t="n"/>
      <c r="R49" s="43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  <c r="DY49" s="18" t="n"/>
      <c r="DZ49" s="18" t="n"/>
      <c r="EA49" s="18" t="n"/>
      <c r="EB49" s="18" t="n"/>
      <c r="EC49" s="18" t="n"/>
      <c r="ED49" s="18" t="n"/>
      <c r="EE49" s="18" t="n"/>
      <c r="EF49" s="18" t="n"/>
      <c r="EG49" s="18" t="n"/>
      <c r="EH49" s="18" t="n"/>
      <c r="EI49" s="18" t="n"/>
      <c r="EJ49" s="18" t="n"/>
      <c r="EK49" s="18" t="n"/>
      <c r="EL49" s="18" t="n"/>
      <c r="EM49" s="18" t="n"/>
      <c r="EN49" s="18" t="n"/>
      <c r="EO49" s="18" t="n"/>
      <c r="EP49" s="18" t="n"/>
      <c r="EQ49" s="18" t="n"/>
      <c r="ER49" s="18" t="n"/>
      <c r="ES49" s="18" t="n"/>
      <c r="ET49" s="18" t="n"/>
      <c r="EU49" s="18" t="n"/>
      <c r="EV49" s="18" t="n"/>
      <c r="EW49" s="18" t="n"/>
      <c r="EX49" s="18" t="n"/>
      <c r="EY49" s="18" t="n"/>
      <c r="EZ49" s="18" t="n"/>
      <c r="FA49" s="18" t="n"/>
      <c r="FB49" s="18" t="n"/>
      <c r="FC49" s="18" t="n"/>
      <c r="FD49" s="18" t="n"/>
      <c r="FE49" s="18" t="n"/>
      <c r="FF49" s="18" t="n"/>
      <c r="FG49" s="18" t="n"/>
      <c r="FH49" s="18" t="n"/>
      <c r="FI49" s="18" t="n"/>
      <c r="FJ49" s="18" t="n"/>
      <c r="FK49" s="18" t="n"/>
      <c r="FL49" s="18" t="n"/>
      <c r="FM49" s="18" t="n"/>
      <c r="FN49" s="18" t="n"/>
      <c r="FO49" s="18" t="n"/>
      <c r="FP49" s="18" t="n"/>
      <c r="FQ49" s="18" t="n"/>
      <c r="FR49" s="18" t="n"/>
      <c r="FS49" s="18" t="n"/>
      <c r="FT49" s="18" t="n"/>
      <c r="FU49" s="18" t="n"/>
      <c r="FV49" s="18" t="n"/>
      <c r="FW49" s="18" t="n"/>
      <c r="FX49" s="18" t="n"/>
      <c r="FY49" s="18" t="n"/>
      <c r="FZ49" s="18" t="n"/>
      <c r="GA49" s="18" t="n"/>
      <c r="GB49" s="18" t="n"/>
      <c r="GC49" s="18" t="n"/>
      <c r="GD49" s="18" t="n"/>
      <c r="GE49" s="18" t="n"/>
      <c r="GF49" s="18" t="n"/>
      <c r="GG49" s="18" t="n"/>
      <c r="GH49" s="18" t="n"/>
      <c r="GI49" s="18" t="n"/>
      <c r="GJ49" s="18" t="n"/>
      <c r="GK49" s="18" t="n"/>
      <c r="GL49" s="18" t="n"/>
      <c r="GM49" s="18" t="n"/>
      <c r="GN49" s="18" t="n"/>
      <c r="GO49" s="18" t="n"/>
      <c r="GP49" s="18" t="n"/>
      <c r="GQ49" s="18" t="n"/>
      <c r="GR49" s="18" t="n"/>
      <c r="GS49" s="18" t="n"/>
      <c r="GT49" s="18" t="n"/>
      <c r="GU49" s="18" t="n"/>
      <c r="GV49" s="18" t="n"/>
      <c r="GW49" s="18" t="n"/>
      <c r="GX49" s="18" t="n"/>
      <c r="GY49" s="18" t="n"/>
      <c r="GZ49" s="18" t="n"/>
      <c r="HA49" s="18" t="n"/>
      <c r="HB49" s="18" t="n"/>
      <c r="HC49" s="18" t="n"/>
      <c r="HD49" s="18" t="n"/>
      <c r="HE49" s="18" t="n"/>
      <c r="HF49" s="18" t="n"/>
      <c r="HG49" s="18" t="n"/>
      <c r="HH49" s="18" t="n"/>
      <c r="HI49" s="18" t="n"/>
      <c r="HJ49" s="18" t="n"/>
      <c r="HK49" s="18" t="n"/>
      <c r="HL49" s="18" t="n"/>
      <c r="HM49" s="18" t="n"/>
      <c r="HN49" s="18" t="n"/>
      <c r="HO49" s="18" t="n"/>
      <c r="HP49" s="18" t="n"/>
      <c r="HQ49" s="18" t="n"/>
      <c r="HR49" s="18" t="n"/>
      <c r="HS49" s="18" t="n"/>
      <c r="HT49" s="18" t="n"/>
      <c r="HU49" s="18" t="n"/>
      <c r="HV49" s="18" t="n"/>
      <c r="HW49" s="18" t="n"/>
      <c r="HX49" s="18" t="n"/>
      <c r="HY49" s="18" t="n"/>
      <c r="HZ49" s="18" t="n"/>
      <c r="IA49" s="18" t="n"/>
      <c r="IB49" s="18" t="n"/>
      <c r="IC49" s="18" t="n"/>
      <c r="ID49" s="18" t="n"/>
      <c r="IE49" s="18" t="n"/>
      <c r="IF49" s="18" t="n"/>
      <c r="IG49" s="18" t="n"/>
      <c r="IH49" s="18" t="n"/>
      <c r="II49" s="18" t="n"/>
      <c r="IJ49" s="18" t="n"/>
      <c r="IK49" s="18" t="n"/>
      <c r="IL49" s="18" t="n"/>
      <c r="IM49" s="18" t="n"/>
      <c r="IN49" s="18" t="n"/>
      <c r="IO49" s="18" t="n"/>
      <c r="IP49" s="18" t="n"/>
      <c r="IQ49" s="18" t="n"/>
      <c r="IR49" s="18" t="n"/>
      <c r="IS49" s="18" t="n"/>
      <c r="IT49" s="18" t="n"/>
      <c r="IU49" s="18" t="n"/>
      <c r="IV49" s="18" t="n"/>
      <c r="IW49" s="18" t="n"/>
      <c r="IX49" s="18" t="n"/>
      <c r="IY49" s="18" t="n"/>
      <c r="IZ49" s="18" t="n"/>
      <c r="JA49" s="18" t="n"/>
      <c r="JB49" s="18" t="n"/>
      <c r="JC49" s="18" t="n"/>
      <c r="JD49" s="18" t="n"/>
      <c r="JE49" s="18" t="n"/>
      <c r="JF49" s="18" t="n"/>
      <c r="JG49" s="18" t="n"/>
      <c r="JH49" s="18" t="n"/>
      <c r="JI49" s="18" t="n"/>
      <c r="JJ49" s="18" t="n"/>
      <c r="JK49" s="18" t="n"/>
      <c r="JL49" s="18" t="n"/>
      <c r="JM49" s="18" t="n"/>
      <c r="JN49" s="18" t="n"/>
      <c r="JO49" s="18" t="n"/>
      <c r="JP49" s="18" t="n"/>
      <c r="JQ49" s="18" t="n"/>
      <c r="JR49" s="18" t="n"/>
      <c r="JS49" s="18" t="n"/>
      <c r="JT49" s="18" t="n"/>
      <c r="JU49" s="18" t="n"/>
      <c r="JV49" s="18" t="n"/>
      <c r="JW49" s="18" t="n"/>
      <c r="JX49" s="18" t="n"/>
      <c r="JY49" s="18" t="n"/>
      <c r="JZ49" s="18" t="n"/>
      <c r="KA49" s="18" t="n"/>
      <c r="KB49" s="18" t="n"/>
      <c r="KC49" s="18" t="n"/>
      <c r="KD49" s="18" t="n"/>
      <c r="KE49" s="18" t="n"/>
      <c r="KF49" s="18" t="n"/>
      <c r="KG49" s="18" t="n"/>
      <c r="KH49" s="18" t="n"/>
      <c r="KI49" s="18" t="n"/>
      <c r="KJ49" s="18" t="n"/>
      <c r="KK49" s="18" t="n"/>
      <c r="KL49" s="18" t="n"/>
      <c r="KM49" s="18" t="n"/>
      <c r="KN49" s="18" t="n"/>
      <c r="KO49" s="18" t="n"/>
      <c r="KP49" s="18" t="n"/>
      <c r="KQ49" s="18" t="n"/>
      <c r="KR49" s="18" t="n"/>
      <c r="KS49" s="18" t="n"/>
      <c r="KT49" s="18" t="n"/>
      <c r="KU49" s="18" t="n"/>
      <c r="KV49" s="18" t="n"/>
      <c r="KW49" s="18" t="n"/>
      <c r="KX49" s="18" t="n"/>
      <c r="KY49" s="18" t="n"/>
      <c r="KZ49" s="18" t="n"/>
      <c r="LA49" s="18" t="n"/>
      <c r="LB49" s="18" t="n"/>
      <c r="LC49" s="18" t="n"/>
      <c r="LD49" s="18" t="n"/>
      <c r="LE49" s="18" t="n"/>
      <c r="LF49" s="18" t="n"/>
      <c r="LG49" s="18" t="n"/>
      <c r="LH49" s="18" t="n"/>
      <c r="LI49" s="18" t="n"/>
      <c r="LJ49" s="18" t="n"/>
      <c r="LK49" s="18" t="n"/>
      <c r="LL49" s="18" t="n"/>
      <c r="LM49" s="18" t="n"/>
      <c r="LN49" s="18" t="n"/>
      <c r="LO49" s="18" t="n"/>
      <c r="LP49" s="18" t="n"/>
      <c r="LQ49" s="18" t="n"/>
      <c r="LR49" s="18" t="n"/>
      <c r="LS49" s="18" t="n"/>
      <c r="LT49" s="18" t="n"/>
      <c r="LU49" s="18" t="n"/>
      <c r="LV49" s="18" t="n"/>
      <c r="LW49" s="18" t="n"/>
      <c r="LX49" s="18" t="n"/>
      <c r="LY49" s="18" t="n"/>
      <c r="LZ49" s="18" t="n"/>
      <c r="MA49" s="18" t="n"/>
      <c r="MB49" s="18" t="n"/>
      <c r="MC49" s="18" t="n"/>
      <c r="MD49" s="18" t="n"/>
      <c r="ME49" s="18" t="n"/>
      <c r="MF49" s="18" t="n"/>
      <c r="MG49" s="18" t="n"/>
      <c r="MH49" s="18" t="n"/>
      <c r="MI49" s="18" t="n"/>
      <c r="MJ49" s="18" t="n"/>
      <c r="MK49" s="18" t="n"/>
      <c r="ML49" s="18" t="n"/>
      <c r="MM49" s="18" t="n"/>
      <c r="MN49" s="18" t="n"/>
      <c r="MO49" s="18" t="n"/>
      <c r="MP49" s="18" t="n"/>
      <c r="MQ49" s="18" t="n"/>
      <c r="MR49" s="18" t="n"/>
      <c r="MS49" s="18" t="n"/>
      <c r="MT49" s="18" t="n"/>
      <c r="MU49" s="18" t="n"/>
      <c r="MV49" s="18" t="n"/>
      <c r="MW49" s="18" t="n"/>
      <c r="MX49" s="18" t="n"/>
      <c r="MY49" s="18" t="n"/>
      <c r="MZ49" s="18" t="n"/>
      <c r="NA49" s="18" t="n"/>
      <c r="NB49" s="18" t="n"/>
      <c r="NC49" s="18" t="n"/>
    </row>
    <row r="50" ht="46.8" customHeight="1" s="88">
      <c r="A50" s="18" t="n"/>
      <c r="B50" s="18" t="n"/>
      <c r="C50" s="18" t="n"/>
      <c r="D50" s="18" t="n"/>
      <c r="E50" s="18" t="n"/>
      <c r="F50" s="18" t="n"/>
      <c r="G50" s="18" t="n"/>
      <c r="H50" s="18" t="n"/>
      <c r="I50" s="44" t="n"/>
      <c r="J50" s="18" t="n"/>
      <c r="K50" s="18" t="n"/>
      <c r="L50" s="18" t="n"/>
      <c r="M50" s="18" t="n"/>
      <c r="N50" s="41" t="n"/>
      <c r="O50" s="18" t="n"/>
      <c r="P50" s="42" t="n"/>
      <c r="Q50" s="18" t="n"/>
      <c r="R50" s="43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  <c r="DY50" s="18" t="n"/>
      <c r="DZ50" s="18" t="n"/>
      <c r="EA50" s="18" t="n"/>
      <c r="EB50" s="18" t="n"/>
      <c r="EC50" s="18" t="n"/>
      <c r="ED50" s="18" t="n"/>
      <c r="EE50" s="18" t="n"/>
      <c r="EF50" s="18" t="n"/>
      <c r="EG50" s="18" t="n"/>
      <c r="EH50" s="18" t="n"/>
      <c r="EI50" s="18" t="n"/>
      <c r="EJ50" s="18" t="n"/>
      <c r="EK50" s="18" t="n"/>
      <c r="EL50" s="18" t="n"/>
      <c r="EM50" s="18" t="n"/>
      <c r="EN50" s="18" t="n"/>
      <c r="EO50" s="18" t="n"/>
      <c r="EP50" s="18" t="n"/>
      <c r="EQ50" s="18" t="n"/>
      <c r="ER50" s="18" t="n"/>
      <c r="ES50" s="18" t="n"/>
      <c r="ET50" s="18" t="n"/>
      <c r="EU50" s="18" t="n"/>
      <c r="EV50" s="18" t="n"/>
      <c r="EW50" s="18" t="n"/>
      <c r="EX50" s="18" t="n"/>
      <c r="EY50" s="18" t="n"/>
      <c r="EZ50" s="18" t="n"/>
      <c r="FA50" s="18" t="n"/>
      <c r="FB50" s="18" t="n"/>
      <c r="FC50" s="18" t="n"/>
      <c r="FD50" s="18" t="n"/>
      <c r="FE50" s="18" t="n"/>
      <c r="FF50" s="18" t="n"/>
      <c r="FG50" s="18" t="n"/>
      <c r="FH50" s="18" t="n"/>
      <c r="FI50" s="18" t="n"/>
      <c r="FJ50" s="18" t="n"/>
      <c r="FK50" s="18" t="n"/>
      <c r="FL50" s="18" t="n"/>
      <c r="FM50" s="18" t="n"/>
      <c r="FN50" s="18" t="n"/>
      <c r="FO50" s="18" t="n"/>
      <c r="FP50" s="18" t="n"/>
      <c r="FQ50" s="18" t="n"/>
      <c r="FR50" s="18" t="n"/>
      <c r="FS50" s="18" t="n"/>
      <c r="FT50" s="18" t="n"/>
      <c r="FU50" s="18" t="n"/>
      <c r="FV50" s="18" t="n"/>
      <c r="FW50" s="18" t="n"/>
      <c r="FX50" s="18" t="n"/>
      <c r="FY50" s="18" t="n"/>
      <c r="FZ50" s="18" t="n"/>
      <c r="GA50" s="18" t="n"/>
      <c r="GB50" s="18" t="n"/>
      <c r="GC50" s="18" t="n"/>
      <c r="GD50" s="18" t="n"/>
      <c r="GE50" s="18" t="n"/>
      <c r="GF50" s="18" t="n"/>
      <c r="GG50" s="18" t="n"/>
      <c r="GH50" s="18" t="n"/>
      <c r="GI50" s="18" t="n"/>
      <c r="GJ50" s="18" t="n"/>
      <c r="GK50" s="18" t="n"/>
      <c r="GL50" s="18" t="n"/>
      <c r="GM50" s="18" t="n"/>
      <c r="GN50" s="18" t="n"/>
      <c r="GO50" s="18" t="n"/>
      <c r="GP50" s="18" t="n"/>
      <c r="GQ50" s="18" t="n"/>
      <c r="GR50" s="18" t="n"/>
      <c r="GS50" s="18" t="n"/>
      <c r="GT50" s="18" t="n"/>
      <c r="GU50" s="18" t="n"/>
      <c r="GV50" s="18" t="n"/>
      <c r="GW50" s="18" t="n"/>
      <c r="GX50" s="18" t="n"/>
      <c r="GY50" s="18" t="n"/>
      <c r="GZ50" s="18" t="n"/>
      <c r="HA50" s="18" t="n"/>
      <c r="HB50" s="18" t="n"/>
      <c r="HC50" s="18" t="n"/>
      <c r="HD50" s="18" t="n"/>
      <c r="HE50" s="18" t="n"/>
      <c r="HF50" s="18" t="n"/>
      <c r="HG50" s="18" t="n"/>
      <c r="HH50" s="18" t="n"/>
      <c r="HI50" s="18" t="n"/>
      <c r="HJ50" s="18" t="n"/>
      <c r="HK50" s="18" t="n"/>
      <c r="HL50" s="18" t="n"/>
      <c r="HM50" s="18" t="n"/>
      <c r="HN50" s="18" t="n"/>
      <c r="HO50" s="18" t="n"/>
      <c r="HP50" s="18" t="n"/>
      <c r="HQ50" s="18" t="n"/>
      <c r="HR50" s="18" t="n"/>
      <c r="HS50" s="18" t="n"/>
      <c r="HT50" s="18" t="n"/>
      <c r="HU50" s="18" t="n"/>
      <c r="HV50" s="18" t="n"/>
      <c r="HW50" s="18" t="n"/>
      <c r="HX50" s="18" t="n"/>
      <c r="HY50" s="18" t="n"/>
      <c r="HZ50" s="18" t="n"/>
      <c r="IA50" s="18" t="n"/>
      <c r="IB50" s="18" t="n"/>
      <c r="IC50" s="18" t="n"/>
      <c r="ID50" s="18" t="n"/>
      <c r="IE50" s="18" t="n"/>
      <c r="IF50" s="18" t="n"/>
      <c r="IG50" s="18" t="n"/>
      <c r="IH50" s="18" t="n"/>
      <c r="II50" s="18" t="n"/>
      <c r="IJ50" s="18" t="n"/>
      <c r="IK50" s="18" t="n"/>
      <c r="IL50" s="18" t="n"/>
      <c r="IM50" s="18" t="n"/>
      <c r="IN50" s="18" t="n"/>
      <c r="IO50" s="18" t="n"/>
      <c r="IP50" s="18" t="n"/>
      <c r="IQ50" s="18" t="n"/>
      <c r="IR50" s="18" t="n"/>
      <c r="IS50" s="18" t="n"/>
      <c r="IT50" s="18" t="n"/>
      <c r="IU50" s="18" t="n"/>
      <c r="IV50" s="18" t="n"/>
      <c r="IW50" s="18" t="n"/>
      <c r="IX50" s="18" t="n"/>
      <c r="IY50" s="18" t="n"/>
      <c r="IZ50" s="18" t="n"/>
      <c r="JA50" s="18" t="n"/>
      <c r="JB50" s="18" t="n"/>
      <c r="JC50" s="18" t="n"/>
      <c r="JD50" s="18" t="n"/>
      <c r="JE50" s="18" t="n"/>
      <c r="JF50" s="18" t="n"/>
      <c r="JG50" s="18" t="n"/>
      <c r="JH50" s="18" t="n"/>
      <c r="JI50" s="18" t="n"/>
      <c r="JJ50" s="18" t="n"/>
      <c r="JK50" s="18" t="n"/>
      <c r="JL50" s="18" t="n"/>
      <c r="JM50" s="18" t="n"/>
      <c r="JN50" s="18" t="n"/>
      <c r="JO50" s="18" t="n"/>
      <c r="JP50" s="18" t="n"/>
      <c r="JQ50" s="18" t="n"/>
      <c r="JR50" s="18" t="n"/>
      <c r="JS50" s="18" t="n"/>
      <c r="JT50" s="18" t="n"/>
      <c r="JU50" s="18" t="n"/>
      <c r="JV50" s="18" t="n"/>
      <c r="JW50" s="18" t="n"/>
      <c r="JX50" s="18" t="n"/>
      <c r="JY50" s="18" t="n"/>
      <c r="JZ50" s="18" t="n"/>
      <c r="KA50" s="18" t="n"/>
      <c r="KB50" s="18" t="n"/>
      <c r="KC50" s="18" t="n"/>
      <c r="KD50" s="18" t="n"/>
      <c r="KE50" s="18" t="n"/>
      <c r="KF50" s="18" t="n"/>
      <c r="KG50" s="18" t="n"/>
      <c r="KH50" s="18" t="n"/>
      <c r="KI50" s="18" t="n"/>
      <c r="KJ50" s="18" t="n"/>
      <c r="KK50" s="18" t="n"/>
      <c r="KL50" s="18" t="n"/>
      <c r="KM50" s="18" t="n"/>
      <c r="KN50" s="18" t="n"/>
      <c r="KO50" s="18" t="n"/>
      <c r="KP50" s="18" t="n"/>
      <c r="KQ50" s="18" t="n"/>
      <c r="KR50" s="18" t="n"/>
      <c r="KS50" s="18" t="n"/>
      <c r="KT50" s="18" t="n"/>
      <c r="KU50" s="18" t="n"/>
      <c r="KV50" s="18" t="n"/>
      <c r="KW50" s="18" t="n"/>
      <c r="KX50" s="18" t="n"/>
      <c r="KY50" s="18" t="n"/>
      <c r="KZ50" s="18" t="n"/>
      <c r="LA50" s="18" t="n"/>
      <c r="LB50" s="18" t="n"/>
      <c r="LC50" s="18" t="n"/>
      <c r="LD50" s="18" t="n"/>
      <c r="LE50" s="18" t="n"/>
      <c r="LF50" s="18" t="n"/>
      <c r="LG50" s="18" t="n"/>
      <c r="LH50" s="18" t="n"/>
      <c r="LI50" s="18" t="n"/>
      <c r="LJ50" s="18" t="n"/>
      <c r="LK50" s="18" t="n"/>
      <c r="LL50" s="18" t="n"/>
      <c r="LM50" s="18" t="n"/>
      <c r="LN50" s="18" t="n"/>
      <c r="LO50" s="18" t="n"/>
      <c r="LP50" s="18" t="n"/>
      <c r="LQ50" s="18" t="n"/>
      <c r="LR50" s="18" t="n"/>
      <c r="LS50" s="18" t="n"/>
      <c r="LT50" s="18" t="n"/>
      <c r="LU50" s="18" t="n"/>
      <c r="LV50" s="18" t="n"/>
      <c r="LW50" s="18" t="n"/>
      <c r="LX50" s="18" t="n"/>
      <c r="LY50" s="18" t="n"/>
      <c r="LZ50" s="18" t="n"/>
      <c r="MA50" s="18" t="n"/>
      <c r="MB50" s="18" t="n"/>
      <c r="MC50" s="18" t="n"/>
      <c r="MD50" s="18" t="n"/>
      <c r="ME50" s="18" t="n"/>
      <c r="MF50" s="18" t="n"/>
      <c r="MG50" s="18" t="n"/>
      <c r="MH50" s="18" t="n"/>
      <c r="MI50" s="18" t="n"/>
      <c r="MJ50" s="18" t="n"/>
      <c r="MK50" s="18" t="n"/>
      <c r="ML50" s="18" t="n"/>
      <c r="MM50" s="18" t="n"/>
      <c r="MN50" s="18" t="n"/>
      <c r="MO50" s="18" t="n"/>
      <c r="MP50" s="18" t="n"/>
      <c r="MQ50" s="18" t="n"/>
      <c r="MR50" s="18" t="n"/>
      <c r="MS50" s="18" t="n"/>
      <c r="MT50" s="18" t="n"/>
      <c r="MU50" s="18" t="n"/>
      <c r="MV50" s="18" t="n"/>
      <c r="MW50" s="18" t="n"/>
      <c r="MX50" s="18" t="n"/>
      <c r="MY50" s="18" t="n"/>
      <c r="MZ50" s="18" t="n"/>
      <c r="NA50" s="18" t="n"/>
      <c r="NB50" s="18" t="n"/>
      <c r="NC50" s="18" t="n"/>
      <c r="ND50" s="18" t="n"/>
      <c r="NE50" s="18" t="n"/>
      <c r="NF50" s="18" t="n"/>
      <c r="NG50" s="18" t="n"/>
    </row>
    <row r="51" ht="46.8" customHeight="1" s="88">
      <c r="A51" s="18" t="n"/>
      <c r="B51" s="18" t="n"/>
      <c r="C51" s="18" t="n"/>
      <c r="D51" s="18" t="n"/>
      <c r="E51" s="18" t="n"/>
      <c r="F51" s="18" t="n"/>
      <c r="G51" s="18" t="n"/>
      <c r="H51" s="18" t="n"/>
      <c r="I51" s="46" t="n"/>
      <c r="J51" s="18" t="n"/>
      <c r="K51" s="18" t="n"/>
      <c r="L51" s="18" t="n"/>
      <c r="M51" s="18" t="n"/>
      <c r="N51" s="41" t="n"/>
      <c r="O51" s="18" t="n"/>
      <c r="P51" s="42" t="n"/>
      <c r="Q51" s="18" t="n"/>
      <c r="R51" s="43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  <c r="DY51" s="18" t="n"/>
      <c r="DZ51" s="18" t="n"/>
      <c r="EA51" s="18" t="n"/>
      <c r="EB51" s="18" t="n"/>
      <c r="EC51" s="18" t="n"/>
      <c r="ED51" s="18" t="n"/>
      <c r="EE51" s="18" t="n"/>
      <c r="EF51" s="18" t="n"/>
      <c r="EG51" s="18" t="n"/>
      <c r="EH51" s="18" t="n"/>
      <c r="EI51" s="18" t="n"/>
      <c r="EJ51" s="18" t="n"/>
      <c r="EK51" s="18" t="n"/>
      <c r="EL51" s="18" t="n"/>
      <c r="EM51" s="18" t="n"/>
      <c r="EN51" s="18" t="n"/>
      <c r="EO51" s="18" t="n"/>
      <c r="EP51" s="18" t="n"/>
      <c r="EQ51" s="18" t="n"/>
      <c r="ER51" s="18" t="n"/>
      <c r="ES51" s="18" t="n"/>
      <c r="ET51" s="18" t="n"/>
      <c r="EU51" s="18" t="n"/>
      <c r="EV51" s="18" t="n"/>
      <c r="EW51" s="18" t="n"/>
      <c r="EX51" s="18" t="n"/>
      <c r="EY51" s="18" t="n"/>
      <c r="EZ51" s="18" t="n"/>
      <c r="FA51" s="18" t="n"/>
      <c r="FB51" s="18" t="n"/>
      <c r="FC51" s="18" t="n"/>
      <c r="FD51" s="18" t="n"/>
      <c r="FE51" s="18" t="n"/>
      <c r="FF51" s="18" t="n"/>
      <c r="FG51" s="18" t="n"/>
      <c r="FH51" s="18" t="n"/>
      <c r="FI51" s="18" t="n"/>
      <c r="FJ51" s="18" t="n"/>
      <c r="FK51" s="18" t="n"/>
      <c r="FL51" s="18" t="n"/>
      <c r="FM51" s="18" t="n"/>
      <c r="FN51" s="18" t="n"/>
      <c r="FO51" s="18" t="n"/>
      <c r="FP51" s="18" t="n"/>
      <c r="FQ51" s="18" t="n"/>
      <c r="FR51" s="18" t="n"/>
      <c r="FS51" s="18" t="n"/>
      <c r="FT51" s="18" t="n"/>
      <c r="FU51" s="18" t="n"/>
      <c r="FV51" s="18" t="n"/>
      <c r="FW51" s="18" t="n"/>
      <c r="FX51" s="18" t="n"/>
      <c r="FY51" s="18" t="n"/>
      <c r="FZ51" s="18" t="n"/>
      <c r="GA51" s="18" t="n"/>
      <c r="GB51" s="18" t="n"/>
      <c r="GC51" s="18" t="n"/>
      <c r="GD51" s="18" t="n"/>
      <c r="GE51" s="18" t="n"/>
      <c r="GF51" s="18" t="n"/>
      <c r="GG51" s="18" t="n"/>
      <c r="GH51" s="18" t="n"/>
      <c r="GI51" s="18" t="n"/>
      <c r="GJ51" s="18" t="n"/>
      <c r="GK51" s="18" t="n"/>
      <c r="GL51" s="18" t="n"/>
      <c r="GM51" s="18" t="n"/>
      <c r="GN51" s="18" t="n"/>
      <c r="GO51" s="18" t="n"/>
      <c r="GP51" s="18" t="n"/>
      <c r="GQ51" s="18" t="n"/>
      <c r="GR51" s="18" t="n"/>
      <c r="GS51" s="18" t="n"/>
      <c r="GT51" s="18" t="n"/>
      <c r="GU51" s="18" t="n"/>
      <c r="GV51" s="18" t="n"/>
      <c r="GW51" s="18" t="n"/>
      <c r="GX51" s="18" t="n"/>
      <c r="GY51" s="18" t="n"/>
      <c r="GZ51" s="18" t="n"/>
      <c r="HA51" s="18" t="n"/>
      <c r="HB51" s="18" t="n"/>
      <c r="HC51" s="18" t="n"/>
      <c r="HD51" s="18" t="n"/>
      <c r="HE51" s="18" t="n"/>
      <c r="HF51" s="18" t="n"/>
      <c r="HG51" s="18" t="n"/>
      <c r="HH51" s="18" t="n"/>
      <c r="HI51" s="18" t="n"/>
      <c r="HJ51" s="18" t="n"/>
      <c r="HK51" s="18" t="n"/>
      <c r="HL51" s="18" t="n"/>
      <c r="HM51" s="18" t="n"/>
      <c r="HN51" s="18" t="n"/>
      <c r="HO51" s="18" t="n"/>
      <c r="HP51" s="18" t="n"/>
      <c r="HQ51" s="18" t="n"/>
      <c r="HR51" s="18" t="n"/>
      <c r="HS51" s="18" t="n"/>
      <c r="HT51" s="18" t="n"/>
      <c r="HU51" s="18" t="n"/>
      <c r="HV51" s="18" t="n"/>
      <c r="HW51" s="18" t="n"/>
      <c r="HX51" s="18" t="n"/>
      <c r="HY51" s="18" t="n"/>
      <c r="HZ51" s="18" t="n"/>
      <c r="IA51" s="18" t="n"/>
      <c r="IB51" s="18" t="n"/>
      <c r="IC51" s="18" t="n"/>
      <c r="ID51" s="18" t="n"/>
      <c r="IE51" s="18" t="n"/>
      <c r="IF51" s="18" t="n"/>
      <c r="IG51" s="18" t="n"/>
      <c r="IH51" s="18" t="n"/>
      <c r="II51" s="18" t="n"/>
      <c r="IJ51" s="18" t="n"/>
      <c r="IK51" s="18" t="n"/>
      <c r="IL51" s="18" t="n"/>
      <c r="IM51" s="18" t="n"/>
      <c r="IN51" s="18" t="n"/>
      <c r="IO51" s="18" t="n"/>
      <c r="IP51" s="18" t="n"/>
      <c r="IQ51" s="18" t="n"/>
      <c r="IR51" s="18" t="n"/>
      <c r="IS51" s="18" t="n"/>
      <c r="IT51" s="18" t="n"/>
      <c r="IU51" s="18" t="n"/>
      <c r="IV51" s="18" t="n"/>
      <c r="IW51" s="18" t="n"/>
      <c r="IX51" s="18" t="n"/>
      <c r="IY51" s="18" t="n"/>
      <c r="IZ51" s="18" t="n"/>
      <c r="JA51" s="18" t="n"/>
      <c r="JB51" s="18" t="n"/>
      <c r="JC51" s="18" t="n"/>
      <c r="JD51" s="18" t="n"/>
      <c r="JE51" s="18" t="n"/>
      <c r="JF51" s="18" t="n"/>
      <c r="JG51" s="18" t="n"/>
      <c r="JH51" s="18" t="n"/>
      <c r="JI51" s="18" t="n"/>
      <c r="JJ51" s="18" t="n"/>
      <c r="JK51" s="18" t="n"/>
      <c r="JL51" s="18" t="n"/>
      <c r="JM51" s="18" t="n"/>
      <c r="JN51" s="18" t="n"/>
      <c r="JO51" s="18" t="n"/>
      <c r="JP51" s="18" t="n"/>
      <c r="JQ51" s="18" t="n"/>
      <c r="JR51" s="18" t="n"/>
      <c r="JS51" s="18" t="n"/>
      <c r="JT51" s="18" t="n"/>
      <c r="JU51" s="18" t="n"/>
      <c r="JV51" s="18" t="n"/>
      <c r="JW51" s="18" t="n"/>
      <c r="JX51" s="18" t="n"/>
      <c r="JY51" s="18" t="n"/>
      <c r="JZ51" s="18" t="n"/>
      <c r="KA51" s="18" t="n"/>
      <c r="KB51" s="18" t="n"/>
      <c r="KC51" s="18" t="n"/>
      <c r="KD51" s="18" t="n"/>
      <c r="KE51" s="18" t="n"/>
      <c r="KF51" s="18" t="n"/>
      <c r="KG51" s="18" t="n"/>
      <c r="KH51" s="18" t="n"/>
      <c r="KI51" s="18" t="n"/>
      <c r="KJ51" s="18" t="n"/>
      <c r="KK51" s="18" t="n"/>
      <c r="KL51" s="18" t="n"/>
      <c r="KM51" s="18" t="n"/>
      <c r="KN51" s="18" t="n"/>
      <c r="KO51" s="18" t="n"/>
      <c r="KP51" s="18" t="n"/>
      <c r="KQ51" s="18" t="n"/>
      <c r="KR51" s="18" t="n"/>
      <c r="KS51" s="18" t="n"/>
      <c r="KT51" s="18" t="n"/>
      <c r="KU51" s="18" t="n"/>
      <c r="KV51" s="18" t="n"/>
      <c r="KW51" s="18" t="n"/>
      <c r="KX51" s="18" t="n"/>
      <c r="KY51" s="18" t="n"/>
      <c r="KZ51" s="18" t="n"/>
      <c r="LA51" s="18" t="n"/>
      <c r="LB51" s="18" t="n"/>
      <c r="LC51" s="18" t="n"/>
      <c r="LD51" s="18" t="n"/>
      <c r="LE51" s="18" t="n"/>
      <c r="LF51" s="18" t="n"/>
      <c r="LG51" s="18" t="n"/>
      <c r="LH51" s="18" t="n"/>
      <c r="LI51" s="18" t="n"/>
      <c r="LJ51" s="18" t="n"/>
      <c r="LK51" s="18" t="n"/>
      <c r="LL51" s="18" t="n"/>
      <c r="LM51" s="18" t="n"/>
      <c r="LN51" s="18" t="n"/>
      <c r="LO51" s="18" t="n"/>
      <c r="LP51" s="18" t="n"/>
      <c r="LQ51" s="18" t="n"/>
      <c r="LR51" s="18" t="n"/>
      <c r="LS51" s="18" t="n"/>
      <c r="LT51" s="18" t="n"/>
      <c r="LU51" s="18" t="n"/>
      <c r="LV51" s="18" t="n"/>
      <c r="LW51" s="18" t="n"/>
      <c r="LX51" s="18" t="n"/>
      <c r="LY51" s="18" t="n"/>
      <c r="LZ51" s="18" t="n"/>
      <c r="MA51" s="18" t="n"/>
      <c r="MB51" s="18" t="n"/>
      <c r="MC51" s="18" t="n"/>
      <c r="MD51" s="18" t="n"/>
      <c r="ME51" s="18" t="n"/>
      <c r="MF51" s="18" t="n"/>
      <c r="MG51" s="18" t="n"/>
      <c r="MH51" s="18" t="n"/>
      <c r="MI51" s="18" t="n"/>
      <c r="MJ51" s="18" t="n"/>
      <c r="MK51" s="18" t="n"/>
      <c r="ML51" s="18" t="n"/>
      <c r="MM51" s="18" t="n"/>
      <c r="MN51" s="18" t="n"/>
      <c r="MO51" s="18" t="n"/>
      <c r="MP51" s="18" t="n"/>
      <c r="MQ51" s="18" t="n"/>
      <c r="MR51" s="18" t="n"/>
      <c r="MS51" s="18" t="n"/>
      <c r="MT51" s="18" t="n"/>
      <c r="MU51" s="18" t="n"/>
      <c r="MV51" s="18" t="n"/>
      <c r="MW51" s="18" t="n"/>
      <c r="MX51" s="18" t="n"/>
      <c r="MY51" s="18" t="n"/>
      <c r="MZ51" s="18" t="n"/>
      <c r="NA51" s="18" t="n"/>
      <c r="NB51" s="18" t="n"/>
      <c r="NC51" s="18" t="n"/>
      <c r="ND51" s="18" t="n"/>
      <c r="NE51" s="18" t="n"/>
      <c r="NF51" s="18" t="n"/>
      <c r="NG51" s="18" t="n"/>
      <c r="NH51" s="18" t="n"/>
      <c r="NI51" s="18" t="n"/>
      <c r="NJ51" s="18" t="n"/>
      <c r="NK51" s="18" t="n"/>
    </row>
    <row r="52" ht="46.8" customHeight="1" s="88">
      <c r="A52" s="18" t="n"/>
      <c r="B52" s="18" t="n"/>
      <c r="C52" s="18" t="n"/>
      <c r="D52" s="18" t="n"/>
      <c r="E52" s="18" t="n"/>
      <c r="F52" s="18" t="n"/>
      <c r="G52" s="18" t="n"/>
      <c r="H52" s="18" t="n"/>
      <c r="I52" s="46" t="n"/>
      <c r="J52" s="18" t="n"/>
      <c r="K52" s="18" t="n"/>
      <c r="L52" s="18" t="n"/>
      <c r="M52" s="18" t="n"/>
      <c r="N52" s="41" t="n"/>
      <c r="O52" s="18" t="n"/>
      <c r="P52" s="42" t="n"/>
      <c r="Q52" s="18" t="n"/>
      <c r="R52" s="43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  <c r="DY52" s="18" t="n"/>
      <c r="DZ52" s="18" t="n"/>
      <c r="EA52" s="18" t="n"/>
      <c r="EB52" s="18" t="n"/>
      <c r="EC52" s="18" t="n"/>
      <c r="ED52" s="18" t="n"/>
      <c r="EE52" s="18" t="n"/>
      <c r="EF52" s="18" t="n"/>
      <c r="EG52" s="18" t="n"/>
      <c r="EH52" s="18" t="n"/>
      <c r="EI52" s="18" t="n"/>
      <c r="EJ52" s="18" t="n"/>
      <c r="EK52" s="18" t="n"/>
      <c r="EL52" s="18" t="n"/>
      <c r="EM52" s="18" t="n"/>
      <c r="EN52" s="18" t="n"/>
      <c r="EO52" s="18" t="n"/>
      <c r="EP52" s="18" t="n"/>
      <c r="EQ52" s="18" t="n"/>
      <c r="ER52" s="18" t="n"/>
      <c r="ES52" s="18" t="n"/>
      <c r="ET52" s="18" t="n"/>
      <c r="EU52" s="18" t="n"/>
      <c r="EV52" s="18" t="n"/>
      <c r="EW52" s="18" t="n"/>
      <c r="EX52" s="18" t="n"/>
      <c r="EY52" s="18" t="n"/>
      <c r="EZ52" s="18" t="n"/>
      <c r="FA52" s="18" t="n"/>
      <c r="FB52" s="18" t="n"/>
      <c r="FC52" s="18" t="n"/>
      <c r="FD52" s="18" t="n"/>
      <c r="FE52" s="18" t="n"/>
      <c r="FF52" s="18" t="n"/>
      <c r="FG52" s="18" t="n"/>
      <c r="FH52" s="18" t="n"/>
      <c r="FI52" s="18" t="n"/>
      <c r="FJ52" s="18" t="n"/>
      <c r="FK52" s="18" t="n"/>
      <c r="FL52" s="18" t="n"/>
      <c r="FM52" s="18" t="n"/>
      <c r="FN52" s="18" t="n"/>
      <c r="FO52" s="18" t="n"/>
      <c r="FP52" s="18" t="n"/>
      <c r="FQ52" s="18" t="n"/>
      <c r="FR52" s="18" t="n"/>
      <c r="FS52" s="18" t="n"/>
      <c r="FT52" s="18" t="n"/>
      <c r="FU52" s="18" t="n"/>
      <c r="FV52" s="18" t="n"/>
      <c r="FW52" s="18" t="n"/>
      <c r="FX52" s="18" t="n"/>
      <c r="FY52" s="18" t="n"/>
      <c r="FZ52" s="18" t="n"/>
      <c r="GA52" s="18" t="n"/>
      <c r="GB52" s="18" t="n"/>
      <c r="GC52" s="18" t="n"/>
      <c r="GD52" s="18" t="n"/>
      <c r="GE52" s="18" t="n"/>
      <c r="GF52" s="18" t="n"/>
      <c r="GG52" s="18" t="n"/>
      <c r="GH52" s="18" t="n"/>
      <c r="GI52" s="18" t="n"/>
      <c r="GJ52" s="18" t="n"/>
      <c r="GK52" s="18" t="n"/>
      <c r="GL52" s="18" t="n"/>
      <c r="GM52" s="18" t="n"/>
      <c r="GN52" s="18" t="n"/>
      <c r="GO52" s="18" t="n"/>
      <c r="GP52" s="18" t="n"/>
      <c r="GQ52" s="18" t="n"/>
      <c r="GR52" s="18" t="n"/>
      <c r="GS52" s="18" t="n"/>
      <c r="GT52" s="18" t="n"/>
      <c r="GU52" s="18" t="n"/>
      <c r="GV52" s="18" t="n"/>
      <c r="GW52" s="18" t="n"/>
      <c r="GX52" s="18" t="n"/>
      <c r="GY52" s="18" t="n"/>
      <c r="GZ52" s="18" t="n"/>
      <c r="HA52" s="18" t="n"/>
      <c r="HB52" s="18" t="n"/>
      <c r="HC52" s="18" t="n"/>
      <c r="HD52" s="18" t="n"/>
      <c r="HE52" s="18" t="n"/>
      <c r="HF52" s="18" t="n"/>
      <c r="HG52" s="18" t="n"/>
      <c r="HH52" s="18" t="n"/>
      <c r="HI52" s="18" t="n"/>
      <c r="HJ52" s="18" t="n"/>
      <c r="HK52" s="18" t="n"/>
      <c r="HL52" s="18" t="n"/>
      <c r="HM52" s="18" t="n"/>
      <c r="HN52" s="18" t="n"/>
      <c r="HO52" s="18" t="n"/>
      <c r="HP52" s="18" t="n"/>
      <c r="HQ52" s="18" t="n"/>
      <c r="HR52" s="18" t="n"/>
      <c r="HS52" s="18" t="n"/>
      <c r="HT52" s="18" t="n"/>
      <c r="HU52" s="18" t="n"/>
      <c r="HV52" s="18" t="n"/>
      <c r="HW52" s="18" t="n"/>
      <c r="HX52" s="18" t="n"/>
      <c r="HY52" s="18" t="n"/>
      <c r="HZ52" s="18" t="n"/>
      <c r="IA52" s="18" t="n"/>
      <c r="IB52" s="18" t="n"/>
      <c r="IC52" s="18" t="n"/>
      <c r="ID52" s="18" t="n"/>
      <c r="IE52" s="18" t="n"/>
      <c r="IF52" s="18" t="n"/>
      <c r="IG52" s="18" t="n"/>
      <c r="IH52" s="18" t="n"/>
      <c r="II52" s="18" t="n"/>
      <c r="IJ52" s="18" t="n"/>
      <c r="IK52" s="18" t="n"/>
      <c r="IL52" s="18" t="n"/>
      <c r="IM52" s="18" t="n"/>
      <c r="IN52" s="18" t="n"/>
      <c r="IO52" s="18" t="n"/>
      <c r="IP52" s="18" t="n"/>
      <c r="IQ52" s="18" t="n"/>
      <c r="IR52" s="18" t="n"/>
      <c r="IS52" s="18" t="n"/>
      <c r="IT52" s="18" t="n"/>
      <c r="IU52" s="18" t="n"/>
      <c r="IV52" s="18" t="n"/>
      <c r="IW52" s="18" t="n"/>
      <c r="IX52" s="18" t="n"/>
      <c r="IY52" s="18" t="n"/>
      <c r="IZ52" s="18" t="n"/>
      <c r="JA52" s="18" t="n"/>
      <c r="JB52" s="18" t="n"/>
      <c r="JC52" s="18" t="n"/>
      <c r="JD52" s="18" t="n"/>
      <c r="JE52" s="18" t="n"/>
      <c r="JF52" s="18" t="n"/>
      <c r="JG52" s="18" t="n"/>
      <c r="JH52" s="18" t="n"/>
      <c r="JI52" s="18" t="n"/>
      <c r="JJ52" s="18" t="n"/>
      <c r="JK52" s="18" t="n"/>
      <c r="JL52" s="18" t="n"/>
      <c r="JM52" s="18" t="n"/>
      <c r="JN52" s="18" t="n"/>
      <c r="JO52" s="18" t="n"/>
      <c r="JP52" s="18" t="n"/>
      <c r="JQ52" s="18" t="n"/>
      <c r="JR52" s="18" t="n"/>
      <c r="JS52" s="18" t="n"/>
      <c r="JT52" s="18" t="n"/>
      <c r="JU52" s="18" t="n"/>
      <c r="JV52" s="18" t="n"/>
      <c r="JW52" s="18" t="n"/>
      <c r="JX52" s="18" t="n"/>
      <c r="JY52" s="18" t="n"/>
      <c r="JZ52" s="18" t="n"/>
      <c r="KA52" s="18" t="n"/>
      <c r="KB52" s="18" t="n"/>
      <c r="KC52" s="18" t="n"/>
      <c r="KD52" s="18" t="n"/>
      <c r="KE52" s="18" t="n"/>
      <c r="KF52" s="18" t="n"/>
      <c r="KG52" s="18" t="n"/>
      <c r="KH52" s="18" t="n"/>
      <c r="KI52" s="18" t="n"/>
      <c r="KJ52" s="18" t="n"/>
      <c r="KK52" s="18" t="n"/>
      <c r="KL52" s="18" t="n"/>
      <c r="KM52" s="18" t="n"/>
      <c r="KN52" s="18" t="n"/>
      <c r="KO52" s="18" t="n"/>
      <c r="KP52" s="18" t="n"/>
      <c r="KQ52" s="18" t="n"/>
      <c r="KR52" s="18" t="n"/>
      <c r="KS52" s="18" t="n"/>
      <c r="KT52" s="18" t="n"/>
      <c r="KU52" s="18" t="n"/>
      <c r="KV52" s="18" t="n"/>
      <c r="KW52" s="18" t="n"/>
      <c r="KX52" s="18" t="n"/>
      <c r="KY52" s="18" t="n"/>
      <c r="KZ52" s="18" t="n"/>
      <c r="LA52" s="18" t="n"/>
      <c r="LB52" s="18" t="n"/>
      <c r="LC52" s="18" t="n"/>
      <c r="LD52" s="18" t="n"/>
      <c r="LE52" s="18" t="n"/>
      <c r="LF52" s="18" t="n"/>
      <c r="LG52" s="18" t="n"/>
      <c r="LH52" s="18" t="n"/>
      <c r="LI52" s="18" t="n"/>
      <c r="LJ52" s="18" t="n"/>
      <c r="LK52" s="18" t="n"/>
      <c r="LL52" s="18" t="n"/>
      <c r="LM52" s="18" t="n"/>
      <c r="LN52" s="18" t="n"/>
      <c r="LO52" s="18" t="n"/>
      <c r="LP52" s="18" t="n"/>
      <c r="LQ52" s="18" t="n"/>
      <c r="LR52" s="18" t="n"/>
      <c r="LS52" s="18" t="n"/>
      <c r="LT52" s="18" t="n"/>
      <c r="LU52" s="18" t="n"/>
      <c r="LV52" s="18" t="n"/>
      <c r="LW52" s="18" t="n"/>
      <c r="LX52" s="18" t="n"/>
      <c r="LY52" s="18" t="n"/>
      <c r="LZ52" s="18" t="n"/>
      <c r="MA52" s="18" t="n"/>
      <c r="MB52" s="18" t="n"/>
      <c r="MC52" s="18" t="n"/>
      <c r="MD52" s="18" t="n"/>
      <c r="ME52" s="18" t="n"/>
      <c r="MF52" s="18" t="n"/>
      <c r="MG52" s="18" t="n"/>
      <c r="MH52" s="18" t="n"/>
      <c r="MI52" s="18" t="n"/>
      <c r="MJ52" s="18" t="n"/>
      <c r="MK52" s="18" t="n"/>
      <c r="ML52" s="18" t="n"/>
      <c r="MM52" s="18" t="n"/>
      <c r="MN52" s="18" t="n"/>
      <c r="MO52" s="18" t="n"/>
      <c r="MP52" s="18" t="n"/>
      <c r="MQ52" s="18" t="n"/>
      <c r="MR52" s="18" t="n"/>
      <c r="MS52" s="18" t="n"/>
      <c r="MT52" s="18" t="n"/>
      <c r="MU52" s="18" t="n"/>
      <c r="MV52" s="18" t="n"/>
      <c r="MW52" s="18" t="n"/>
      <c r="MX52" s="18" t="n"/>
      <c r="MY52" s="18" t="n"/>
      <c r="MZ52" s="18" t="n"/>
      <c r="NA52" s="18" t="n"/>
      <c r="NB52" s="18" t="n"/>
      <c r="NC52" s="18" t="n"/>
      <c r="ND52" s="18" t="n"/>
      <c r="NE52" s="18" t="n"/>
      <c r="NF52" s="18" t="n"/>
      <c r="NG52" s="18" t="n"/>
      <c r="NH52" s="18" t="n"/>
      <c r="NI52" s="18" t="n"/>
      <c r="NJ52" s="18" t="n"/>
      <c r="NK52" s="18" t="n"/>
      <c r="NL52" s="18" t="n"/>
      <c r="NM52" s="18" t="n"/>
      <c r="NN52" s="18" t="n"/>
      <c r="NO52" s="18" t="n"/>
    </row>
    <row r="53" ht="22.8" customHeight="1" s="88">
      <c r="A53" s="18" t="n"/>
      <c r="B53" s="18" t="n"/>
      <c r="C53" s="18" t="n"/>
      <c r="D53" s="18" t="n"/>
      <c r="E53" s="18" t="n"/>
      <c r="F53" s="18" t="n"/>
      <c r="G53" s="18" t="n"/>
      <c r="H53" s="18" t="n"/>
      <c r="I53" s="45" t="n"/>
      <c r="J53" s="18" t="n"/>
      <c r="K53" s="18" t="n"/>
      <c r="L53" s="18" t="n"/>
      <c r="M53" s="18" t="n"/>
      <c r="N53" s="41" t="n"/>
      <c r="O53" s="18" t="n"/>
      <c r="P53" s="42" t="n"/>
      <c r="Q53" s="18" t="n"/>
      <c r="R53" s="43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8" t="n"/>
      <c r="DF53" s="18" t="n"/>
      <c r="DG53" s="18" t="n"/>
      <c r="DH53" s="18" t="n"/>
      <c r="DI53" s="18" t="n"/>
      <c r="DJ53" s="18" t="n"/>
      <c r="DK53" s="18" t="n"/>
      <c r="DL53" s="18" t="n"/>
      <c r="DM53" s="18" t="n"/>
      <c r="DN53" s="18" t="n"/>
      <c r="DO53" s="18" t="n"/>
      <c r="DP53" s="18" t="n"/>
      <c r="DQ53" s="18" t="n"/>
      <c r="DR53" s="18" t="n"/>
      <c r="DS53" s="18" t="n"/>
      <c r="DT53" s="18" t="n"/>
      <c r="DU53" s="18" t="n"/>
      <c r="DV53" s="18" t="n"/>
      <c r="DW53" s="18" t="n"/>
      <c r="DX53" s="18" t="n"/>
      <c r="DY53" s="18" t="n"/>
      <c r="DZ53" s="18" t="n"/>
      <c r="EA53" s="18" t="n"/>
      <c r="EB53" s="18" t="n"/>
      <c r="EC53" s="18" t="n"/>
      <c r="ED53" s="18" t="n"/>
      <c r="EE53" s="18" t="n"/>
      <c r="EF53" s="18" t="n"/>
      <c r="EG53" s="18" t="n"/>
      <c r="EH53" s="18" t="n"/>
      <c r="EI53" s="18" t="n"/>
      <c r="EJ53" s="18" t="n"/>
      <c r="EK53" s="18" t="n"/>
      <c r="EL53" s="18" t="n"/>
      <c r="EM53" s="18" t="n"/>
      <c r="EN53" s="18" t="n"/>
      <c r="EO53" s="18" t="n"/>
      <c r="EP53" s="18" t="n"/>
      <c r="EQ53" s="18" t="n"/>
      <c r="ER53" s="18" t="n"/>
      <c r="ES53" s="18" t="n"/>
      <c r="ET53" s="18" t="n"/>
      <c r="EU53" s="18" t="n"/>
      <c r="EV53" s="18" t="n"/>
      <c r="EW53" s="18" t="n"/>
      <c r="EX53" s="18" t="n"/>
      <c r="EY53" s="18" t="n"/>
      <c r="EZ53" s="18" t="n"/>
      <c r="FA53" s="18" t="n"/>
      <c r="FB53" s="18" t="n"/>
      <c r="FC53" s="18" t="n"/>
      <c r="FD53" s="18" t="n"/>
      <c r="FE53" s="18" t="n"/>
      <c r="FF53" s="18" t="n"/>
      <c r="FG53" s="18" t="n"/>
      <c r="FH53" s="18" t="n"/>
      <c r="FI53" s="18" t="n"/>
      <c r="FJ53" s="18" t="n"/>
      <c r="FK53" s="18" t="n"/>
      <c r="FL53" s="18" t="n"/>
      <c r="FM53" s="18" t="n"/>
      <c r="FN53" s="18" t="n"/>
      <c r="FO53" s="18" t="n"/>
      <c r="FP53" s="18" t="n"/>
      <c r="FQ53" s="18" t="n"/>
      <c r="FR53" s="18" t="n"/>
      <c r="FS53" s="18" t="n"/>
      <c r="FT53" s="18" t="n"/>
      <c r="FU53" s="18" t="n"/>
      <c r="FV53" s="18" t="n"/>
      <c r="FW53" s="18" t="n"/>
      <c r="FX53" s="18" t="n"/>
      <c r="FY53" s="18" t="n"/>
      <c r="FZ53" s="18" t="n"/>
      <c r="GA53" s="18" t="n"/>
      <c r="GB53" s="18" t="n"/>
      <c r="GC53" s="18" t="n"/>
      <c r="GD53" s="18" t="n"/>
      <c r="GE53" s="18" t="n"/>
      <c r="GF53" s="18" t="n"/>
      <c r="GG53" s="18" t="n"/>
      <c r="GH53" s="18" t="n"/>
      <c r="GI53" s="18" t="n"/>
      <c r="GJ53" s="18" t="n"/>
      <c r="GK53" s="18" t="n"/>
      <c r="GL53" s="18" t="n"/>
      <c r="GM53" s="18" t="n"/>
      <c r="GN53" s="18" t="n"/>
      <c r="GO53" s="18" t="n"/>
      <c r="GP53" s="18" t="n"/>
      <c r="GQ53" s="18" t="n"/>
      <c r="GR53" s="18" t="n"/>
      <c r="GS53" s="18" t="n"/>
      <c r="GT53" s="18" t="n"/>
      <c r="GU53" s="18" t="n"/>
      <c r="GV53" s="18" t="n"/>
      <c r="GW53" s="18" t="n"/>
      <c r="GX53" s="18" t="n"/>
      <c r="GY53" s="18" t="n"/>
      <c r="GZ53" s="18" t="n"/>
      <c r="HA53" s="18" t="n"/>
      <c r="HB53" s="18" t="n"/>
      <c r="HC53" s="18" t="n"/>
      <c r="HD53" s="18" t="n"/>
      <c r="HE53" s="18" t="n"/>
      <c r="HF53" s="18" t="n"/>
      <c r="HG53" s="18" t="n"/>
      <c r="HH53" s="18" t="n"/>
      <c r="HI53" s="18" t="n"/>
      <c r="HJ53" s="18" t="n"/>
      <c r="HK53" s="18" t="n"/>
      <c r="HL53" s="18" t="n"/>
      <c r="HM53" s="18" t="n"/>
      <c r="HN53" s="18" t="n"/>
      <c r="HO53" s="18" t="n"/>
      <c r="HP53" s="18" t="n"/>
      <c r="HQ53" s="18" t="n"/>
      <c r="HR53" s="18" t="n"/>
      <c r="HS53" s="18" t="n"/>
      <c r="HT53" s="18" t="n"/>
      <c r="HU53" s="18" t="n"/>
      <c r="HV53" s="18" t="n"/>
      <c r="HW53" s="18" t="n"/>
      <c r="HX53" s="18" t="n"/>
      <c r="HY53" s="18" t="n"/>
      <c r="HZ53" s="18" t="n"/>
      <c r="IA53" s="18" t="n"/>
      <c r="IB53" s="18" t="n"/>
      <c r="IC53" s="18" t="n"/>
      <c r="ID53" s="18" t="n"/>
      <c r="IE53" s="18" t="n"/>
      <c r="IF53" s="18" t="n"/>
      <c r="IG53" s="18" t="n"/>
      <c r="IH53" s="18" t="n"/>
      <c r="II53" s="18" t="n"/>
      <c r="IJ53" s="18" t="n"/>
      <c r="IK53" s="18" t="n"/>
      <c r="IL53" s="18" t="n"/>
      <c r="IM53" s="18" t="n"/>
      <c r="IN53" s="18" t="n"/>
      <c r="IO53" s="18" t="n"/>
      <c r="IP53" s="18" t="n"/>
      <c r="IQ53" s="18" t="n"/>
      <c r="IR53" s="18" t="n"/>
      <c r="IS53" s="18" t="n"/>
      <c r="IT53" s="18" t="n"/>
      <c r="IU53" s="18" t="n"/>
      <c r="IV53" s="18" t="n"/>
      <c r="IW53" s="18" t="n"/>
      <c r="IX53" s="18" t="n"/>
      <c r="IY53" s="18" t="n"/>
      <c r="IZ53" s="18" t="n"/>
      <c r="JA53" s="18" t="n"/>
      <c r="JB53" s="18" t="n"/>
      <c r="JC53" s="18" t="n"/>
      <c r="JD53" s="18" t="n"/>
      <c r="JE53" s="18" t="n"/>
      <c r="JF53" s="18" t="n"/>
      <c r="JG53" s="18" t="n"/>
      <c r="JH53" s="18" t="n"/>
      <c r="JI53" s="18" t="n"/>
      <c r="JJ53" s="18" t="n"/>
      <c r="JK53" s="18" t="n"/>
      <c r="JL53" s="18" t="n"/>
      <c r="JM53" s="18" t="n"/>
      <c r="JN53" s="18" t="n"/>
      <c r="JO53" s="18" t="n"/>
      <c r="JP53" s="18" t="n"/>
      <c r="JQ53" s="18" t="n"/>
      <c r="JR53" s="18" t="n"/>
      <c r="JS53" s="18" t="n"/>
      <c r="JT53" s="18" t="n"/>
      <c r="JU53" s="18" t="n"/>
      <c r="JV53" s="18" t="n"/>
      <c r="JW53" s="18" t="n"/>
      <c r="JX53" s="18" t="n"/>
      <c r="JY53" s="18" t="n"/>
      <c r="JZ53" s="18" t="n"/>
      <c r="KA53" s="18" t="n"/>
      <c r="KB53" s="18" t="n"/>
      <c r="KC53" s="18" t="n"/>
      <c r="KD53" s="18" t="n"/>
      <c r="KE53" s="18" t="n"/>
      <c r="KF53" s="18" t="n"/>
      <c r="KG53" s="18" t="n"/>
      <c r="KH53" s="18" t="n"/>
      <c r="KI53" s="18" t="n"/>
      <c r="KJ53" s="18" t="n"/>
      <c r="KK53" s="18" t="n"/>
      <c r="KL53" s="18" t="n"/>
      <c r="KM53" s="18" t="n"/>
      <c r="KN53" s="18" t="n"/>
      <c r="KO53" s="18" t="n"/>
      <c r="KP53" s="18" t="n"/>
      <c r="KQ53" s="18" t="n"/>
      <c r="KR53" s="18" t="n"/>
      <c r="KS53" s="18" t="n"/>
      <c r="KT53" s="18" t="n"/>
      <c r="KU53" s="18" t="n"/>
      <c r="KV53" s="18" t="n"/>
      <c r="KW53" s="18" t="n"/>
      <c r="KX53" s="18" t="n"/>
      <c r="KY53" s="18" t="n"/>
      <c r="KZ53" s="18" t="n"/>
      <c r="LA53" s="18" t="n"/>
      <c r="LB53" s="18" t="n"/>
      <c r="LC53" s="18" t="n"/>
      <c r="LD53" s="18" t="n"/>
      <c r="LE53" s="18" t="n"/>
      <c r="LF53" s="18" t="n"/>
      <c r="LG53" s="18" t="n"/>
      <c r="LH53" s="18" t="n"/>
      <c r="LI53" s="18" t="n"/>
      <c r="LJ53" s="18" t="n"/>
      <c r="LK53" s="18" t="n"/>
      <c r="LL53" s="18" t="n"/>
      <c r="LM53" s="18" t="n"/>
      <c r="LN53" s="18" t="n"/>
      <c r="LO53" s="18" t="n"/>
      <c r="LP53" s="18" t="n"/>
      <c r="LQ53" s="18" t="n"/>
      <c r="LR53" s="18" t="n"/>
      <c r="LS53" s="18" t="n"/>
      <c r="LT53" s="18" t="n"/>
      <c r="LU53" s="18" t="n"/>
      <c r="LV53" s="18" t="n"/>
      <c r="LW53" s="18" t="n"/>
      <c r="LX53" s="18" t="n"/>
      <c r="LY53" s="18" t="n"/>
      <c r="LZ53" s="18" t="n"/>
      <c r="MA53" s="18" t="n"/>
      <c r="MB53" s="18" t="n"/>
      <c r="MC53" s="18" t="n"/>
      <c r="MD53" s="18" t="n"/>
      <c r="ME53" s="18" t="n"/>
      <c r="MF53" s="18" t="n"/>
      <c r="MG53" s="18" t="n"/>
      <c r="MH53" s="18" t="n"/>
      <c r="MI53" s="18" t="n"/>
      <c r="MJ53" s="18" t="n"/>
      <c r="MK53" s="18" t="n"/>
      <c r="ML53" s="18" t="n"/>
      <c r="MM53" s="18" t="n"/>
      <c r="MN53" s="18" t="n"/>
      <c r="MO53" s="18" t="n"/>
      <c r="MP53" s="18" t="n"/>
      <c r="MQ53" s="18" t="n"/>
      <c r="MR53" s="18" t="n"/>
      <c r="MS53" s="18" t="n"/>
      <c r="MT53" s="18" t="n"/>
      <c r="MU53" s="18" t="n"/>
      <c r="MV53" s="18" t="n"/>
      <c r="MW53" s="18" t="n"/>
      <c r="MX53" s="18" t="n"/>
      <c r="MY53" s="18" t="n"/>
      <c r="MZ53" s="18" t="n"/>
      <c r="NA53" s="18" t="n"/>
      <c r="NB53" s="18" t="n"/>
      <c r="NC53" s="18" t="n"/>
      <c r="ND53" s="18" t="n"/>
      <c r="NE53" s="18" t="n"/>
      <c r="NF53" s="18" t="n"/>
      <c r="NG53" s="18" t="n"/>
      <c r="NH53" s="18" t="n"/>
      <c r="NI53" s="18" t="n"/>
      <c r="NJ53" s="18" t="n"/>
      <c r="NK53" s="18" t="n"/>
      <c r="NL53" s="18" t="n"/>
      <c r="NM53" s="18" t="n"/>
      <c r="NN53" s="18" t="n"/>
      <c r="NO53" s="18" t="n"/>
      <c r="NP53" s="18" t="n"/>
      <c r="NQ53" s="18" t="n"/>
      <c r="NR53" s="18" t="n"/>
      <c r="NS53" s="18" t="n"/>
    </row>
    <row r="54" ht="46.8" customHeight="1" s="88">
      <c r="A54" s="18" t="n"/>
      <c r="B54" s="18" t="n"/>
      <c r="C54" s="18" t="n"/>
      <c r="D54" s="18" t="n"/>
      <c r="E54" s="18" t="n"/>
      <c r="F54" s="18" t="n"/>
      <c r="G54" s="18" t="n"/>
      <c r="H54" s="18" t="n"/>
      <c r="I54" s="44" t="n"/>
      <c r="J54" s="18" t="n"/>
      <c r="K54" s="18" t="n"/>
      <c r="L54" s="18" t="n"/>
      <c r="M54" s="18" t="n"/>
      <c r="N54" s="41" t="n"/>
      <c r="O54" s="18" t="n"/>
      <c r="P54" s="42" t="n"/>
      <c r="Q54" s="18" t="n"/>
      <c r="R54" s="43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8" t="n"/>
      <c r="BA54" s="18" t="n"/>
      <c r="BB54" s="18" t="n"/>
      <c r="BC54" s="18" t="n"/>
      <c r="BD54" s="18" t="n"/>
      <c r="BE54" s="18" t="n"/>
      <c r="BF54" s="18" t="n"/>
      <c r="BG54" s="18" t="n"/>
      <c r="BH54" s="18" t="n"/>
      <c r="BI54" s="18" t="n"/>
      <c r="BJ54" s="18" t="n"/>
      <c r="BK54" s="18" t="n"/>
      <c r="BL54" s="18" t="n"/>
      <c r="BM54" s="18" t="n"/>
      <c r="BN54" s="18" t="n"/>
      <c r="BO54" s="18" t="n"/>
      <c r="BP54" s="18" t="n"/>
      <c r="BQ54" s="18" t="n"/>
      <c r="BR54" s="18" t="n"/>
      <c r="BS54" s="18" t="n"/>
      <c r="BT54" s="18" t="n"/>
      <c r="BU54" s="18" t="n"/>
      <c r="BV54" s="18" t="n"/>
      <c r="BW54" s="18" t="n"/>
      <c r="BX54" s="18" t="n"/>
      <c r="BY54" s="18" t="n"/>
      <c r="BZ54" s="18" t="n"/>
      <c r="CA54" s="18" t="n"/>
      <c r="CB54" s="18" t="n"/>
      <c r="CC54" s="18" t="n"/>
      <c r="CD54" s="18" t="n"/>
      <c r="CE54" s="18" t="n"/>
      <c r="CF54" s="18" t="n"/>
      <c r="CG54" s="18" t="n"/>
      <c r="CH54" s="18" t="n"/>
      <c r="CI54" s="18" t="n"/>
      <c r="CJ54" s="18" t="n"/>
      <c r="CK54" s="18" t="n"/>
      <c r="CL54" s="18" t="n"/>
      <c r="CM54" s="18" t="n"/>
      <c r="CN54" s="18" t="n"/>
      <c r="CO54" s="18" t="n"/>
      <c r="CP54" s="18" t="n"/>
      <c r="CQ54" s="18" t="n"/>
      <c r="CR54" s="18" t="n"/>
      <c r="CS54" s="18" t="n"/>
      <c r="CT54" s="18" t="n"/>
      <c r="CU54" s="18" t="n"/>
      <c r="CV54" s="18" t="n"/>
      <c r="CW54" s="18" t="n"/>
      <c r="CX54" s="18" t="n"/>
      <c r="CY54" s="18" t="n"/>
      <c r="CZ54" s="18" t="n"/>
      <c r="DA54" s="18" t="n"/>
      <c r="DB54" s="18" t="n"/>
      <c r="DC54" s="18" t="n"/>
      <c r="DD54" s="18" t="n"/>
      <c r="DE54" s="18" t="n"/>
      <c r="DF54" s="18" t="n"/>
      <c r="DG54" s="18" t="n"/>
      <c r="DH54" s="18" t="n"/>
      <c r="DI54" s="18" t="n"/>
      <c r="DJ54" s="18" t="n"/>
      <c r="DK54" s="18" t="n"/>
      <c r="DL54" s="18" t="n"/>
      <c r="DM54" s="18" t="n"/>
      <c r="DN54" s="18" t="n"/>
      <c r="DO54" s="18" t="n"/>
      <c r="DP54" s="18" t="n"/>
      <c r="DQ54" s="18" t="n"/>
      <c r="DR54" s="18" t="n"/>
      <c r="DS54" s="18" t="n"/>
      <c r="DT54" s="18" t="n"/>
      <c r="DU54" s="18" t="n"/>
      <c r="DV54" s="18" t="n"/>
      <c r="DW54" s="18" t="n"/>
      <c r="DX54" s="18" t="n"/>
      <c r="DY54" s="18" t="n"/>
      <c r="DZ54" s="18" t="n"/>
      <c r="EA54" s="18" t="n"/>
      <c r="EB54" s="18" t="n"/>
      <c r="EC54" s="18" t="n"/>
      <c r="ED54" s="18" t="n"/>
      <c r="EE54" s="18" t="n"/>
      <c r="EF54" s="18" t="n"/>
      <c r="EG54" s="18" t="n"/>
      <c r="EH54" s="18" t="n"/>
      <c r="EI54" s="18" t="n"/>
      <c r="EJ54" s="18" t="n"/>
      <c r="EK54" s="18" t="n"/>
      <c r="EL54" s="18" t="n"/>
      <c r="EM54" s="18" t="n"/>
      <c r="EN54" s="18" t="n"/>
      <c r="EO54" s="18" t="n"/>
      <c r="EP54" s="18" t="n"/>
      <c r="EQ54" s="18" t="n"/>
      <c r="ER54" s="18" t="n"/>
      <c r="ES54" s="18" t="n"/>
      <c r="ET54" s="18" t="n"/>
      <c r="EU54" s="18" t="n"/>
      <c r="EV54" s="18" t="n"/>
      <c r="EW54" s="18" t="n"/>
      <c r="EX54" s="18" t="n"/>
      <c r="EY54" s="18" t="n"/>
      <c r="EZ54" s="18" t="n"/>
      <c r="FA54" s="18" t="n"/>
      <c r="FB54" s="18" t="n"/>
      <c r="FC54" s="18" t="n"/>
      <c r="FD54" s="18" t="n"/>
      <c r="FE54" s="18" t="n"/>
      <c r="FF54" s="18" t="n"/>
      <c r="FG54" s="18" t="n"/>
      <c r="FH54" s="18" t="n"/>
      <c r="FI54" s="18" t="n"/>
      <c r="FJ54" s="18" t="n"/>
      <c r="FK54" s="18" t="n"/>
      <c r="FL54" s="18" t="n"/>
      <c r="FM54" s="18" t="n"/>
      <c r="FN54" s="18" t="n"/>
      <c r="FO54" s="18" t="n"/>
      <c r="FP54" s="18" t="n"/>
      <c r="FQ54" s="18" t="n"/>
      <c r="FR54" s="18" t="n"/>
      <c r="FS54" s="18" t="n"/>
      <c r="FT54" s="18" t="n"/>
      <c r="FU54" s="18" t="n"/>
      <c r="FV54" s="18" t="n"/>
      <c r="FW54" s="18" t="n"/>
      <c r="FX54" s="18" t="n"/>
      <c r="FY54" s="18" t="n"/>
      <c r="FZ54" s="18" t="n"/>
      <c r="GA54" s="18" t="n"/>
      <c r="GB54" s="18" t="n"/>
      <c r="GC54" s="18" t="n"/>
      <c r="GD54" s="18" t="n"/>
      <c r="GE54" s="18" t="n"/>
      <c r="GF54" s="18" t="n"/>
      <c r="GG54" s="18" t="n"/>
      <c r="GH54" s="18" t="n"/>
      <c r="GI54" s="18" t="n"/>
      <c r="GJ54" s="18" t="n"/>
      <c r="GK54" s="18" t="n"/>
      <c r="GL54" s="18" t="n"/>
      <c r="GM54" s="18" t="n"/>
      <c r="GN54" s="18" t="n"/>
      <c r="GO54" s="18" t="n"/>
      <c r="GP54" s="18" t="n"/>
      <c r="GQ54" s="18" t="n"/>
      <c r="GR54" s="18" t="n"/>
      <c r="GS54" s="18" t="n"/>
      <c r="GT54" s="18" t="n"/>
      <c r="GU54" s="18" t="n"/>
      <c r="GV54" s="18" t="n"/>
      <c r="GW54" s="18" t="n"/>
      <c r="GX54" s="18" t="n"/>
      <c r="GY54" s="18" t="n"/>
      <c r="GZ54" s="18" t="n"/>
      <c r="HA54" s="18" t="n"/>
      <c r="HB54" s="18" t="n"/>
      <c r="HC54" s="18" t="n"/>
      <c r="HD54" s="18" t="n"/>
      <c r="HE54" s="18" t="n"/>
      <c r="HF54" s="18" t="n"/>
      <c r="HG54" s="18" t="n"/>
      <c r="HH54" s="18" t="n"/>
      <c r="HI54" s="18" t="n"/>
      <c r="HJ54" s="18" t="n"/>
      <c r="HK54" s="18" t="n"/>
      <c r="HL54" s="18" t="n"/>
      <c r="HM54" s="18" t="n"/>
      <c r="HN54" s="18" t="n"/>
      <c r="HO54" s="18" t="n"/>
      <c r="HP54" s="18" t="n"/>
      <c r="HQ54" s="18" t="n"/>
      <c r="HR54" s="18" t="n"/>
      <c r="HS54" s="18" t="n"/>
      <c r="HT54" s="18" t="n"/>
      <c r="HU54" s="18" t="n"/>
      <c r="HV54" s="18" t="n"/>
      <c r="HW54" s="18" t="n"/>
      <c r="HX54" s="18" t="n"/>
      <c r="HY54" s="18" t="n"/>
      <c r="HZ54" s="18" t="n"/>
      <c r="IA54" s="18" t="n"/>
      <c r="IB54" s="18" t="n"/>
      <c r="IC54" s="18" t="n"/>
      <c r="ID54" s="18" t="n"/>
      <c r="IE54" s="18" t="n"/>
      <c r="IF54" s="18" t="n"/>
      <c r="IG54" s="18" t="n"/>
      <c r="IH54" s="18" t="n"/>
      <c r="II54" s="18" t="n"/>
      <c r="IJ54" s="18" t="n"/>
      <c r="IK54" s="18" t="n"/>
      <c r="IL54" s="18" t="n"/>
      <c r="IM54" s="18" t="n"/>
      <c r="IN54" s="18" t="n"/>
      <c r="IO54" s="18" t="n"/>
      <c r="IP54" s="18" t="n"/>
      <c r="IQ54" s="18" t="n"/>
      <c r="IR54" s="18" t="n"/>
      <c r="IS54" s="18" t="n"/>
      <c r="IT54" s="18" t="n"/>
      <c r="IU54" s="18" t="n"/>
      <c r="IV54" s="18" t="n"/>
      <c r="IW54" s="18" t="n"/>
      <c r="IX54" s="18" t="n"/>
      <c r="IY54" s="18" t="n"/>
      <c r="IZ54" s="18" t="n"/>
      <c r="JA54" s="18" t="n"/>
      <c r="JB54" s="18" t="n"/>
      <c r="JC54" s="18" t="n"/>
      <c r="JD54" s="18" t="n"/>
      <c r="JE54" s="18" t="n"/>
      <c r="JF54" s="18" t="n"/>
      <c r="JG54" s="18" t="n"/>
      <c r="JH54" s="18" t="n"/>
      <c r="JI54" s="18" t="n"/>
      <c r="JJ54" s="18" t="n"/>
      <c r="JK54" s="18" t="n"/>
      <c r="JL54" s="18" t="n"/>
      <c r="JM54" s="18" t="n"/>
      <c r="JN54" s="18" t="n"/>
      <c r="JO54" s="18" t="n"/>
      <c r="JP54" s="18" t="n"/>
      <c r="JQ54" s="18" t="n"/>
      <c r="JR54" s="18" t="n"/>
      <c r="JS54" s="18" t="n"/>
      <c r="JT54" s="18" t="n"/>
      <c r="JU54" s="18" t="n"/>
      <c r="JV54" s="18" t="n"/>
      <c r="JW54" s="18" t="n"/>
      <c r="JX54" s="18" t="n"/>
      <c r="JY54" s="18" t="n"/>
      <c r="JZ54" s="18" t="n"/>
      <c r="KA54" s="18" t="n"/>
      <c r="KB54" s="18" t="n"/>
      <c r="KC54" s="18" t="n"/>
      <c r="KD54" s="18" t="n"/>
      <c r="KE54" s="18" t="n"/>
      <c r="KF54" s="18" t="n"/>
      <c r="KG54" s="18" t="n"/>
      <c r="KH54" s="18" t="n"/>
      <c r="KI54" s="18" t="n"/>
      <c r="KJ54" s="18" t="n"/>
      <c r="KK54" s="18" t="n"/>
      <c r="KL54" s="18" t="n"/>
      <c r="KM54" s="18" t="n"/>
      <c r="KN54" s="18" t="n"/>
      <c r="KO54" s="18" t="n"/>
      <c r="KP54" s="18" t="n"/>
      <c r="KQ54" s="18" t="n"/>
      <c r="KR54" s="18" t="n"/>
      <c r="KS54" s="18" t="n"/>
      <c r="KT54" s="18" t="n"/>
      <c r="KU54" s="18" t="n"/>
      <c r="KV54" s="18" t="n"/>
      <c r="KW54" s="18" t="n"/>
      <c r="KX54" s="18" t="n"/>
      <c r="KY54" s="18" t="n"/>
      <c r="KZ54" s="18" t="n"/>
      <c r="LA54" s="18" t="n"/>
      <c r="LB54" s="18" t="n"/>
      <c r="LC54" s="18" t="n"/>
      <c r="LD54" s="18" t="n"/>
      <c r="LE54" s="18" t="n"/>
      <c r="LF54" s="18" t="n"/>
      <c r="LG54" s="18" t="n"/>
      <c r="LH54" s="18" t="n"/>
      <c r="LI54" s="18" t="n"/>
      <c r="LJ54" s="18" t="n"/>
      <c r="LK54" s="18" t="n"/>
      <c r="LL54" s="18" t="n"/>
      <c r="LM54" s="18" t="n"/>
      <c r="LN54" s="18" t="n"/>
      <c r="LO54" s="18" t="n"/>
      <c r="LP54" s="18" t="n"/>
      <c r="LQ54" s="18" t="n"/>
      <c r="LR54" s="18" t="n"/>
      <c r="LS54" s="18" t="n"/>
      <c r="LT54" s="18" t="n"/>
      <c r="LU54" s="18" t="n"/>
      <c r="LV54" s="18" t="n"/>
      <c r="LW54" s="18" t="n"/>
      <c r="LX54" s="18" t="n"/>
      <c r="LY54" s="18" t="n"/>
      <c r="LZ54" s="18" t="n"/>
      <c r="MA54" s="18" t="n"/>
      <c r="MB54" s="18" t="n"/>
      <c r="MC54" s="18" t="n"/>
      <c r="MD54" s="18" t="n"/>
      <c r="ME54" s="18" t="n"/>
      <c r="MF54" s="18" t="n"/>
      <c r="MG54" s="18" t="n"/>
      <c r="MH54" s="18" t="n"/>
      <c r="MI54" s="18" t="n"/>
      <c r="MJ54" s="18" t="n"/>
      <c r="MK54" s="18" t="n"/>
      <c r="ML54" s="18" t="n"/>
      <c r="MM54" s="18" t="n"/>
      <c r="MN54" s="18" t="n"/>
      <c r="MO54" s="18" t="n"/>
      <c r="MP54" s="18" t="n"/>
      <c r="MQ54" s="18" t="n"/>
      <c r="MR54" s="18" t="n"/>
      <c r="MS54" s="18" t="n"/>
      <c r="MT54" s="18" t="n"/>
      <c r="MU54" s="18" t="n"/>
      <c r="MV54" s="18" t="n"/>
      <c r="MW54" s="18" t="n"/>
      <c r="MX54" s="18" t="n"/>
      <c r="MY54" s="18" t="n"/>
      <c r="MZ54" s="18" t="n"/>
      <c r="NA54" s="18" t="n"/>
      <c r="NB54" s="18" t="n"/>
      <c r="NC54" s="18" t="n"/>
      <c r="ND54" s="18" t="n"/>
      <c r="NE54" s="18" t="n"/>
      <c r="NF54" s="18" t="n"/>
      <c r="NG54" s="18" t="n"/>
      <c r="NH54" s="18" t="n"/>
      <c r="NI54" s="18" t="n"/>
      <c r="NJ54" s="18" t="n"/>
      <c r="NK54" s="18" t="n"/>
      <c r="NL54" s="18" t="n"/>
      <c r="NM54" s="18" t="n"/>
      <c r="NN54" s="18" t="n"/>
      <c r="NO54" s="18" t="n"/>
      <c r="NP54" s="18" t="n"/>
      <c r="NQ54" s="18" t="n"/>
      <c r="NR54" s="18" t="n"/>
      <c r="NS54" s="18" t="n"/>
      <c r="NT54" s="18" t="n"/>
      <c r="NU54" s="18" t="n"/>
      <c r="NV54" s="18" t="n"/>
      <c r="NW54" s="18" t="n"/>
    </row>
    <row r="55" ht="46.8" customHeight="1" s="88">
      <c r="A55" s="18" t="n"/>
      <c r="B55" s="18" t="n"/>
      <c r="C55" s="18" t="n"/>
      <c r="D55" s="18" t="n"/>
      <c r="E55" s="18" t="n"/>
      <c r="F55" s="18" t="n"/>
      <c r="G55" s="18" t="n"/>
      <c r="H55" s="18" t="n"/>
      <c r="I55" s="46" t="n"/>
      <c r="J55" s="18" t="n"/>
      <c r="K55" s="18" t="n"/>
      <c r="L55" s="18" t="n"/>
      <c r="M55" s="18" t="n"/>
      <c r="N55" s="41" t="n"/>
      <c r="O55" s="18" t="n"/>
      <c r="P55" s="42" t="n"/>
      <c r="Q55" s="18" t="n"/>
      <c r="R55" s="43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8" t="n"/>
      <c r="BA55" s="18" t="n"/>
      <c r="BB55" s="18" t="n"/>
      <c r="BC55" s="18" t="n"/>
      <c r="BD55" s="18" t="n"/>
      <c r="BE55" s="18" t="n"/>
      <c r="BF55" s="18" t="n"/>
      <c r="BG55" s="18" t="n"/>
      <c r="BH55" s="18" t="n"/>
      <c r="BI55" s="18" t="n"/>
      <c r="BJ55" s="18" t="n"/>
      <c r="BK55" s="18" t="n"/>
      <c r="BL55" s="18" t="n"/>
      <c r="BM55" s="18" t="n"/>
      <c r="BN55" s="18" t="n"/>
      <c r="BO55" s="18" t="n"/>
      <c r="BP55" s="18" t="n"/>
      <c r="BQ55" s="18" t="n"/>
      <c r="BR55" s="18" t="n"/>
      <c r="BS55" s="18" t="n"/>
      <c r="BT55" s="18" t="n"/>
      <c r="BU55" s="18" t="n"/>
      <c r="BV55" s="18" t="n"/>
      <c r="BW55" s="18" t="n"/>
      <c r="BX55" s="18" t="n"/>
      <c r="BY55" s="18" t="n"/>
      <c r="BZ55" s="18" t="n"/>
      <c r="CA55" s="18" t="n"/>
      <c r="CB55" s="18" t="n"/>
      <c r="CC55" s="18" t="n"/>
      <c r="CD55" s="18" t="n"/>
      <c r="CE55" s="18" t="n"/>
      <c r="CF55" s="18" t="n"/>
      <c r="CG55" s="18" t="n"/>
      <c r="CH55" s="18" t="n"/>
      <c r="CI55" s="18" t="n"/>
      <c r="CJ55" s="18" t="n"/>
      <c r="CK55" s="18" t="n"/>
      <c r="CL55" s="18" t="n"/>
      <c r="CM55" s="18" t="n"/>
      <c r="CN55" s="18" t="n"/>
      <c r="CO55" s="18" t="n"/>
      <c r="CP55" s="18" t="n"/>
      <c r="CQ55" s="18" t="n"/>
      <c r="CR55" s="18" t="n"/>
      <c r="CS55" s="18" t="n"/>
      <c r="CT55" s="18" t="n"/>
      <c r="CU55" s="18" t="n"/>
      <c r="CV55" s="18" t="n"/>
      <c r="CW55" s="18" t="n"/>
      <c r="CX55" s="18" t="n"/>
      <c r="CY55" s="18" t="n"/>
      <c r="CZ55" s="18" t="n"/>
      <c r="DA55" s="18" t="n"/>
      <c r="DB55" s="18" t="n"/>
      <c r="DC55" s="18" t="n"/>
      <c r="DD55" s="18" t="n"/>
      <c r="DE55" s="18" t="n"/>
      <c r="DF55" s="18" t="n"/>
      <c r="DG55" s="18" t="n"/>
      <c r="DH55" s="18" t="n"/>
      <c r="DI55" s="18" t="n"/>
      <c r="DJ55" s="18" t="n"/>
      <c r="DK55" s="18" t="n"/>
      <c r="DL55" s="18" t="n"/>
      <c r="DM55" s="18" t="n"/>
      <c r="DN55" s="18" t="n"/>
      <c r="DO55" s="18" t="n"/>
      <c r="DP55" s="18" t="n"/>
      <c r="DQ55" s="18" t="n"/>
      <c r="DR55" s="18" t="n"/>
      <c r="DS55" s="18" t="n"/>
      <c r="DT55" s="18" t="n"/>
      <c r="DU55" s="18" t="n"/>
      <c r="DV55" s="18" t="n"/>
      <c r="DW55" s="18" t="n"/>
      <c r="DX55" s="18" t="n"/>
      <c r="DY55" s="18" t="n"/>
      <c r="DZ55" s="18" t="n"/>
      <c r="EA55" s="18" t="n"/>
      <c r="EB55" s="18" t="n"/>
      <c r="EC55" s="18" t="n"/>
      <c r="ED55" s="18" t="n"/>
      <c r="EE55" s="18" t="n"/>
      <c r="EF55" s="18" t="n"/>
      <c r="EG55" s="18" t="n"/>
      <c r="EH55" s="18" t="n"/>
      <c r="EI55" s="18" t="n"/>
      <c r="EJ55" s="18" t="n"/>
      <c r="EK55" s="18" t="n"/>
      <c r="EL55" s="18" t="n"/>
      <c r="EM55" s="18" t="n"/>
      <c r="EN55" s="18" t="n"/>
      <c r="EO55" s="18" t="n"/>
      <c r="EP55" s="18" t="n"/>
      <c r="EQ55" s="18" t="n"/>
      <c r="ER55" s="18" t="n"/>
      <c r="ES55" s="18" t="n"/>
      <c r="ET55" s="18" t="n"/>
      <c r="EU55" s="18" t="n"/>
      <c r="EV55" s="18" t="n"/>
      <c r="EW55" s="18" t="n"/>
      <c r="EX55" s="18" t="n"/>
      <c r="EY55" s="18" t="n"/>
      <c r="EZ55" s="18" t="n"/>
      <c r="FA55" s="18" t="n"/>
      <c r="FB55" s="18" t="n"/>
      <c r="FC55" s="18" t="n"/>
      <c r="FD55" s="18" t="n"/>
      <c r="FE55" s="18" t="n"/>
      <c r="FF55" s="18" t="n"/>
      <c r="FG55" s="18" t="n"/>
      <c r="FH55" s="18" t="n"/>
      <c r="FI55" s="18" t="n"/>
      <c r="FJ55" s="18" t="n"/>
      <c r="FK55" s="18" t="n"/>
      <c r="FL55" s="18" t="n"/>
      <c r="FM55" s="18" t="n"/>
      <c r="FN55" s="18" t="n"/>
      <c r="FO55" s="18" t="n"/>
      <c r="FP55" s="18" t="n"/>
      <c r="FQ55" s="18" t="n"/>
      <c r="FR55" s="18" t="n"/>
      <c r="FS55" s="18" t="n"/>
      <c r="FT55" s="18" t="n"/>
      <c r="FU55" s="18" t="n"/>
      <c r="FV55" s="18" t="n"/>
      <c r="FW55" s="18" t="n"/>
      <c r="FX55" s="18" t="n"/>
      <c r="FY55" s="18" t="n"/>
      <c r="FZ55" s="18" t="n"/>
      <c r="GA55" s="18" t="n"/>
      <c r="GB55" s="18" t="n"/>
      <c r="GC55" s="18" t="n"/>
      <c r="GD55" s="18" t="n"/>
      <c r="GE55" s="18" t="n"/>
      <c r="GF55" s="18" t="n"/>
      <c r="GG55" s="18" t="n"/>
      <c r="GH55" s="18" t="n"/>
      <c r="GI55" s="18" t="n"/>
      <c r="GJ55" s="18" t="n"/>
      <c r="GK55" s="18" t="n"/>
      <c r="GL55" s="18" t="n"/>
      <c r="GM55" s="18" t="n"/>
      <c r="GN55" s="18" t="n"/>
      <c r="GO55" s="18" t="n"/>
      <c r="GP55" s="18" t="n"/>
      <c r="GQ55" s="18" t="n"/>
      <c r="GR55" s="18" t="n"/>
      <c r="GS55" s="18" t="n"/>
      <c r="GT55" s="18" t="n"/>
      <c r="GU55" s="18" t="n"/>
      <c r="GV55" s="18" t="n"/>
      <c r="GW55" s="18" t="n"/>
      <c r="GX55" s="18" t="n"/>
      <c r="GY55" s="18" t="n"/>
      <c r="GZ55" s="18" t="n"/>
      <c r="HA55" s="18" t="n"/>
      <c r="HB55" s="18" t="n"/>
      <c r="HC55" s="18" t="n"/>
      <c r="HD55" s="18" t="n"/>
      <c r="HE55" s="18" t="n"/>
      <c r="HF55" s="18" t="n"/>
      <c r="HG55" s="18" t="n"/>
      <c r="HH55" s="18" t="n"/>
      <c r="HI55" s="18" t="n"/>
      <c r="HJ55" s="18" t="n"/>
      <c r="HK55" s="18" t="n"/>
      <c r="HL55" s="18" t="n"/>
      <c r="HM55" s="18" t="n"/>
      <c r="HN55" s="18" t="n"/>
      <c r="HO55" s="18" t="n"/>
      <c r="HP55" s="18" t="n"/>
      <c r="HQ55" s="18" t="n"/>
      <c r="HR55" s="18" t="n"/>
      <c r="HS55" s="18" t="n"/>
      <c r="HT55" s="18" t="n"/>
      <c r="HU55" s="18" t="n"/>
      <c r="HV55" s="18" t="n"/>
      <c r="HW55" s="18" t="n"/>
      <c r="HX55" s="18" t="n"/>
      <c r="HY55" s="18" t="n"/>
      <c r="HZ55" s="18" t="n"/>
      <c r="IA55" s="18" t="n"/>
      <c r="IB55" s="18" t="n"/>
      <c r="IC55" s="18" t="n"/>
      <c r="ID55" s="18" t="n"/>
      <c r="IE55" s="18" t="n"/>
      <c r="IF55" s="18" t="n"/>
      <c r="IG55" s="18" t="n"/>
      <c r="IH55" s="18" t="n"/>
      <c r="II55" s="18" t="n"/>
      <c r="IJ55" s="18" t="n"/>
      <c r="IK55" s="18" t="n"/>
      <c r="IL55" s="18" t="n"/>
      <c r="IM55" s="18" t="n"/>
      <c r="IN55" s="18" t="n"/>
      <c r="IO55" s="18" t="n"/>
      <c r="IP55" s="18" t="n"/>
      <c r="IQ55" s="18" t="n"/>
      <c r="IR55" s="18" t="n"/>
      <c r="IS55" s="18" t="n"/>
      <c r="IT55" s="18" t="n"/>
      <c r="IU55" s="18" t="n"/>
      <c r="IV55" s="18" t="n"/>
      <c r="IW55" s="18" t="n"/>
      <c r="IX55" s="18" t="n"/>
      <c r="IY55" s="18" t="n"/>
      <c r="IZ55" s="18" t="n"/>
      <c r="JA55" s="18" t="n"/>
      <c r="JB55" s="18" t="n"/>
      <c r="JC55" s="18" t="n"/>
      <c r="JD55" s="18" t="n"/>
      <c r="JE55" s="18" t="n"/>
      <c r="JF55" s="18" t="n"/>
      <c r="JG55" s="18" t="n"/>
      <c r="JH55" s="18" t="n"/>
      <c r="JI55" s="18" t="n"/>
      <c r="JJ55" s="18" t="n"/>
      <c r="JK55" s="18" t="n"/>
      <c r="JL55" s="18" t="n"/>
      <c r="JM55" s="18" t="n"/>
      <c r="JN55" s="18" t="n"/>
      <c r="JO55" s="18" t="n"/>
      <c r="JP55" s="18" t="n"/>
      <c r="JQ55" s="18" t="n"/>
      <c r="JR55" s="18" t="n"/>
      <c r="JS55" s="18" t="n"/>
      <c r="JT55" s="18" t="n"/>
      <c r="JU55" s="18" t="n"/>
      <c r="JV55" s="18" t="n"/>
      <c r="JW55" s="18" t="n"/>
      <c r="JX55" s="18" t="n"/>
      <c r="JY55" s="18" t="n"/>
      <c r="JZ55" s="18" t="n"/>
      <c r="KA55" s="18" t="n"/>
      <c r="KB55" s="18" t="n"/>
      <c r="KC55" s="18" t="n"/>
      <c r="KD55" s="18" t="n"/>
      <c r="KE55" s="18" t="n"/>
      <c r="KF55" s="18" t="n"/>
      <c r="KG55" s="18" t="n"/>
      <c r="KH55" s="18" t="n"/>
      <c r="KI55" s="18" t="n"/>
      <c r="KJ55" s="18" t="n"/>
      <c r="KK55" s="18" t="n"/>
      <c r="KL55" s="18" t="n"/>
      <c r="KM55" s="18" t="n"/>
      <c r="KN55" s="18" t="n"/>
      <c r="KO55" s="18" t="n"/>
      <c r="KP55" s="18" t="n"/>
      <c r="KQ55" s="18" t="n"/>
      <c r="KR55" s="18" t="n"/>
      <c r="KS55" s="18" t="n"/>
      <c r="KT55" s="18" t="n"/>
      <c r="KU55" s="18" t="n"/>
      <c r="KV55" s="18" t="n"/>
      <c r="KW55" s="18" t="n"/>
      <c r="KX55" s="18" t="n"/>
      <c r="KY55" s="18" t="n"/>
      <c r="KZ55" s="18" t="n"/>
      <c r="LA55" s="18" t="n"/>
      <c r="LB55" s="18" t="n"/>
      <c r="LC55" s="18" t="n"/>
      <c r="LD55" s="18" t="n"/>
      <c r="LE55" s="18" t="n"/>
      <c r="LF55" s="18" t="n"/>
      <c r="LG55" s="18" t="n"/>
      <c r="LH55" s="18" t="n"/>
      <c r="LI55" s="18" t="n"/>
      <c r="LJ55" s="18" t="n"/>
      <c r="LK55" s="18" t="n"/>
      <c r="LL55" s="18" t="n"/>
      <c r="LM55" s="18" t="n"/>
      <c r="LN55" s="18" t="n"/>
      <c r="LO55" s="18" t="n"/>
      <c r="LP55" s="18" t="n"/>
      <c r="LQ55" s="18" t="n"/>
      <c r="LR55" s="18" t="n"/>
      <c r="LS55" s="18" t="n"/>
      <c r="LT55" s="18" t="n"/>
      <c r="LU55" s="18" t="n"/>
      <c r="LV55" s="18" t="n"/>
      <c r="LW55" s="18" t="n"/>
      <c r="LX55" s="18" t="n"/>
      <c r="LY55" s="18" t="n"/>
      <c r="LZ55" s="18" t="n"/>
      <c r="MA55" s="18" t="n"/>
      <c r="MB55" s="18" t="n"/>
      <c r="MC55" s="18" t="n"/>
      <c r="MD55" s="18" t="n"/>
      <c r="ME55" s="18" t="n"/>
      <c r="MF55" s="18" t="n"/>
      <c r="MG55" s="18" t="n"/>
      <c r="MH55" s="18" t="n"/>
      <c r="MI55" s="18" t="n"/>
      <c r="MJ55" s="18" t="n"/>
      <c r="MK55" s="18" t="n"/>
      <c r="ML55" s="18" t="n"/>
      <c r="MM55" s="18" t="n"/>
      <c r="MN55" s="18" t="n"/>
      <c r="MO55" s="18" t="n"/>
      <c r="MP55" s="18" t="n"/>
      <c r="MQ55" s="18" t="n"/>
      <c r="MR55" s="18" t="n"/>
      <c r="MS55" s="18" t="n"/>
      <c r="MT55" s="18" t="n"/>
      <c r="MU55" s="18" t="n"/>
      <c r="MV55" s="18" t="n"/>
      <c r="MW55" s="18" t="n"/>
      <c r="MX55" s="18" t="n"/>
      <c r="MY55" s="18" t="n"/>
      <c r="MZ55" s="18" t="n"/>
      <c r="NA55" s="18" t="n"/>
      <c r="NB55" s="18" t="n"/>
      <c r="NC55" s="18" t="n"/>
      <c r="ND55" s="18" t="n"/>
      <c r="NE55" s="18" t="n"/>
      <c r="NF55" s="18" t="n"/>
      <c r="NG55" s="18" t="n"/>
      <c r="NH55" s="18" t="n"/>
      <c r="NI55" s="18" t="n"/>
      <c r="NJ55" s="18" t="n"/>
      <c r="NK55" s="18" t="n"/>
      <c r="NL55" s="18" t="n"/>
      <c r="NM55" s="18" t="n"/>
      <c r="NN55" s="18" t="n"/>
      <c r="NO55" s="18" t="n"/>
      <c r="NP55" s="18" t="n"/>
      <c r="NQ55" s="18" t="n"/>
      <c r="NR55" s="18" t="n"/>
      <c r="NS55" s="18" t="n"/>
      <c r="NT55" s="18" t="n"/>
      <c r="NU55" s="18" t="n"/>
      <c r="NV55" s="18" t="n"/>
      <c r="NW55" s="18" t="n"/>
      <c r="NX55" s="18" t="n"/>
      <c r="NY55" s="18" t="n"/>
      <c r="NZ55" s="18" t="n"/>
      <c r="OA55" s="18" t="n"/>
    </row>
    <row r="56" ht="46.8" customHeight="1" s="88">
      <c r="A56" s="18" t="n"/>
      <c r="B56" s="18" t="n"/>
      <c r="C56" s="18" t="n"/>
      <c r="D56" s="18" t="n"/>
      <c r="E56" s="18" t="n"/>
      <c r="F56" s="18" t="n"/>
      <c r="G56" s="18" t="n"/>
      <c r="H56" s="18" t="n"/>
      <c r="I56" s="46" t="n"/>
      <c r="J56" s="18" t="n"/>
      <c r="K56" s="18" t="n"/>
      <c r="L56" s="18" t="n"/>
      <c r="M56" s="18" t="n"/>
      <c r="N56" s="41" t="n"/>
      <c r="O56" s="18" t="n"/>
      <c r="P56" s="42" t="n"/>
      <c r="Q56" s="18" t="n"/>
      <c r="R56" s="43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8" t="n"/>
      <c r="BA56" s="18" t="n"/>
      <c r="BB56" s="18" t="n"/>
      <c r="BC56" s="18" t="n"/>
      <c r="BD56" s="18" t="n"/>
      <c r="BE56" s="18" t="n"/>
      <c r="BF56" s="18" t="n"/>
      <c r="BG56" s="18" t="n"/>
      <c r="BH56" s="18" t="n"/>
      <c r="BI56" s="18" t="n"/>
      <c r="BJ56" s="18" t="n"/>
      <c r="BK56" s="18" t="n"/>
      <c r="BL56" s="18" t="n"/>
      <c r="BM56" s="18" t="n"/>
      <c r="BN56" s="18" t="n"/>
      <c r="BO56" s="18" t="n"/>
      <c r="BP56" s="18" t="n"/>
      <c r="BQ56" s="18" t="n"/>
      <c r="BR56" s="18" t="n"/>
      <c r="BS56" s="18" t="n"/>
      <c r="BT56" s="18" t="n"/>
      <c r="BU56" s="18" t="n"/>
      <c r="BV56" s="18" t="n"/>
      <c r="BW56" s="18" t="n"/>
      <c r="BX56" s="18" t="n"/>
      <c r="BY56" s="18" t="n"/>
      <c r="BZ56" s="18" t="n"/>
      <c r="CA56" s="18" t="n"/>
      <c r="CB56" s="18" t="n"/>
      <c r="CC56" s="18" t="n"/>
      <c r="CD56" s="18" t="n"/>
      <c r="CE56" s="18" t="n"/>
      <c r="CF56" s="18" t="n"/>
      <c r="CG56" s="18" t="n"/>
      <c r="CH56" s="18" t="n"/>
      <c r="CI56" s="18" t="n"/>
      <c r="CJ56" s="18" t="n"/>
      <c r="CK56" s="18" t="n"/>
      <c r="CL56" s="18" t="n"/>
      <c r="CM56" s="18" t="n"/>
      <c r="CN56" s="18" t="n"/>
      <c r="CO56" s="18" t="n"/>
      <c r="CP56" s="18" t="n"/>
      <c r="CQ56" s="18" t="n"/>
      <c r="CR56" s="18" t="n"/>
      <c r="CS56" s="18" t="n"/>
      <c r="CT56" s="18" t="n"/>
      <c r="CU56" s="18" t="n"/>
      <c r="CV56" s="18" t="n"/>
      <c r="CW56" s="18" t="n"/>
      <c r="CX56" s="18" t="n"/>
      <c r="CY56" s="18" t="n"/>
      <c r="CZ56" s="18" t="n"/>
      <c r="DA56" s="18" t="n"/>
      <c r="DB56" s="18" t="n"/>
      <c r="DC56" s="18" t="n"/>
      <c r="DD56" s="18" t="n"/>
      <c r="DE56" s="18" t="n"/>
      <c r="DF56" s="18" t="n"/>
      <c r="DG56" s="18" t="n"/>
      <c r="DH56" s="18" t="n"/>
      <c r="DI56" s="18" t="n"/>
      <c r="DJ56" s="18" t="n"/>
      <c r="DK56" s="18" t="n"/>
      <c r="DL56" s="18" t="n"/>
      <c r="DM56" s="18" t="n"/>
      <c r="DN56" s="18" t="n"/>
      <c r="DO56" s="18" t="n"/>
      <c r="DP56" s="18" t="n"/>
      <c r="DQ56" s="18" t="n"/>
      <c r="DR56" s="18" t="n"/>
      <c r="DS56" s="18" t="n"/>
      <c r="DT56" s="18" t="n"/>
      <c r="DU56" s="18" t="n"/>
      <c r="DV56" s="18" t="n"/>
      <c r="DW56" s="18" t="n"/>
      <c r="DX56" s="18" t="n"/>
      <c r="DY56" s="18" t="n"/>
      <c r="DZ56" s="18" t="n"/>
      <c r="EA56" s="18" t="n"/>
      <c r="EB56" s="18" t="n"/>
      <c r="EC56" s="18" t="n"/>
      <c r="ED56" s="18" t="n"/>
      <c r="EE56" s="18" t="n"/>
      <c r="EF56" s="18" t="n"/>
      <c r="EG56" s="18" t="n"/>
      <c r="EH56" s="18" t="n"/>
      <c r="EI56" s="18" t="n"/>
      <c r="EJ56" s="18" t="n"/>
      <c r="EK56" s="18" t="n"/>
      <c r="EL56" s="18" t="n"/>
      <c r="EM56" s="18" t="n"/>
      <c r="EN56" s="18" t="n"/>
      <c r="EO56" s="18" t="n"/>
      <c r="EP56" s="18" t="n"/>
      <c r="EQ56" s="18" t="n"/>
      <c r="ER56" s="18" t="n"/>
      <c r="ES56" s="18" t="n"/>
      <c r="ET56" s="18" t="n"/>
      <c r="EU56" s="18" t="n"/>
      <c r="EV56" s="18" t="n"/>
      <c r="EW56" s="18" t="n"/>
      <c r="EX56" s="18" t="n"/>
      <c r="EY56" s="18" t="n"/>
      <c r="EZ56" s="18" t="n"/>
      <c r="FA56" s="18" t="n"/>
      <c r="FB56" s="18" t="n"/>
      <c r="FC56" s="18" t="n"/>
      <c r="FD56" s="18" t="n"/>
      <c r="FE56" s="18" t="n"/>
      <c r="FF56" s="18" t="n"/>
      <c r="FG56" s="18" t="n"/>
      <c r="FH56" s="18" t="n"/>
      <c r="FI56" s="18" t="n"/>
      <c r="FJ56" s="18" t="n"/>
      <c r="FK56" s="18" t="n"/>
      <c r="FL56" s="18" t="n"/>
      <c r="FM56" s="18" t="n"/>
      <c r="FN56" s="18" t="n"/>
      <c r="FO56" s="18" t="n"/>
      <c r="FP56" s="18" t="n"/>
      <c r="FQ56" s="18" t="n"/>
      <c r="FR56" s="18" t="n"/>
      <c r="FS56" s="18" t="n"/>
      <c r="FT56" s="18" t="n"/>
      <c r="FU56" s="18" t="n"/>
      <c r="FV56" s="18" t="n"/>
      <c r="FW56" s="18" t="n"/>
      <c r="FX56" s="18" t="n"/>
      <c r="FY56" s="18" t="n"/>
      <c r="FZ56" s="18" t="n"/>
      <c r="GA56" s="18" t="n"/>
      <c r="GB56" s="18" t="n"/>
      <c r="GC56" s="18" t="n"/>
      <c r="GD56" s="18" t="n"/>
      <c r="GE56" s="18" t="n"/>
      <c r="GF56" s="18" t="n"/>
      <c r="GG56" s="18" t="n"/>
      <c r="GH56" s="18" t="n"/>
      <c r="GI56" s="18" t="n"/>
      <c r="GJ56" s="18" t="n"/>
      <c r="GK56" s="18" t="n"/>
      <c r="GL56" s="18" t="n"/>
      <c r="GM56" s="18" t="n"/>
      <c r="GN56" s="18" t="n"/>
      <c r="GO56" s="18" t="n"/>
      <c r="GP56" s="18" t="n"/>
      <c r="GQ56" s="18" t="n"/>
      <c r="GR56" s="18" t="n"/>
      <c r="GS56" s="18" t="n"/>
      <c r="GT56" s="18" t="n"/>
      <c r="GU56" s="18" t="n"/>
      <c r="GV56" s="18" t="n"/>
      <c r="GW56" s="18" t="n"/>
      <c r="GX56" s="18" t="n"/>
      <c r="GY56" s="18" t="n"/>
      <c r="GZ56" s="18" t="n"/>
      <c r="HA56" s="18" t="n"/>
      <c r="HB56" s="18" t="n"/>
      <c r="HC56" s="18" t="n"/>
      <c r="HD56" s="18" t="n"/>
      <c r="HE56" s="18" t="n"/>
      <c r="HF56" s="18" t="n"/>
      <c r="HG56" s="18" t="n"/>
      <c r="HH56" s="18" t="n"/>
      <c r="HI56" s="18" t="n"/>
      <c r="HJ56" s="18" t="n"/>
      <c r="HK56" s="18" t="n"/>
      <c r="HL56" s="18" t="n"/>
      <c r="HM56" s="18" t="n"/>
      <c r="HN56" s="18" t="n"/>
      <c r="HO56" s="18" t="n"/>
      <c r="HP56" s="18" t="n"/>
      <c r="HQ56" s="18" t="n"/>
      <c r="HR56" s="18" t="n"/>
      <c r="HS56" s="18" t="n"/>
      <c r="HT56" s="18" t="n"/>
      <c r="HU56" s="18" t="n"/>
      <c r="HV56" s="18" t="n"/>
      <c r="HW56" s="18" t="n"/>
      <c r="HX56" s="18" t="n"/>
      <c r="HY56" s="18" t="n"/>
      <c r="HZ56" s="18" t="n"/>
      <c r="IA56" s="18" t="n"/>
      <c r="IB56" s="18" t="n"/>
      <c r="IC56" s="18" t="n"/>
      <c r="ID56" s="18" t="n"/>
      <c r="IE56" s="18" t="n"/>
      <c r="IF56" s="18" t="n"/>
      <c r="IG56" s="18" t="n"/>
      <c r="IH56" s="18" t="n"/>
      <c r="II56" s="18" t="n"/>
      <c r="IJ56" s="18" t="n"/>
      <c r="IK56" s="18" t="n"/>
      <c r="IL56" s="18" t="n"/>
      <c r="IM56" s="18" t="n"/>
      <c r="IN56" s="18" t="n"/>
      <c r="IO56" s="18" t="n"/>
      <c r="IP56" s="18" t="n"/>
      <c r="IQ56" s="18" t="n"/>
      <c r="IR56" s="18" t="n"/>
      <c r="IS56" s="18" t="n"/>
      <c r="IT56" s="18" t="n"/>
      <c r="IU56" s="18" t="n"/>
      <c r="IV56" s="18" t="n"/>
      <c r="IW56" s="18" t="n"/>
      <c r="IX56" s="18" t="n"/>
      <c r="IY56" s="18" t="n"/>
      <c r="IZ56" s="18" t="n"/>
      <c r="JA56" s="18" t="n"/>
      <c r="JB56" s="18" t="n"/>
      <c r="JC56" s="18" t="n"/>
      <c r="JD56" s="18" t="n"/>
      <c r="JE56" s="18" t="n"/>
      <c r="JF56" s="18" t="n"/>
      <c r="JG56" s="18" t="n"/>
      <c r="JH56" s="18" t="n"/>
      <c r="JI56" s="18" t="n"/>
      <c r="JJ56" s="18" t="n"/>
      <c r="JK56" s="18" t="n"/>
      <c r="JL56" s="18" t="n"/>
      <c r="JM56" s="18" t="n"/>
      <c r="JN56" s="18" t="n"/>
      <c r="JO56" s="18" t="n"/>
      <c r="JP56" s="18" t="n"/>
      <c r="JQ56" s="18" t="n"/>
      <c r="JR56" s="18" t="n"/>
      <c r="JS56" s="18" t="n"/>
      <c r="JT56" s="18" t="n"/>
      <c r="JU56" s="18" t="n"/>
      <c r="JV56" s="18" t="n"/>
      <c r="JW56" s="18" t="n"/>
      <c r="JX56" s="18" t="n"/>
      <c r="JY56" s="18" t="n"/>
      <c r="JZ56" s="18" t="n"/>
      <c r="KA56" s="18" t="n"/>
      <c r="KB56" s="18" t="n"/>
      <c r="KC56" s="18" t="n"/>
      <c r="KD56" s="18" t="n"/>
      <c r="KE56" s="18" t="n"/>
      <c r="KF56" s="18" t="n"/>
      <c r="KG56" s="18" t="n"/>
      <c r="KH56" s="18" t="n"/>
      <c r="KI56" s="18" t="n"/>
      <c r="KJ56" s="18" t="n"/>
      <c r="KK56" s="18" t="n"/>
      <c r="KL56" s="18" t="n"/>
      <c r="KM56" s="18" t="n"/>
      <c r="KN56" s="18" t="n"/>
      <c r="KO56" s="18" t="n"/>
      <c r="KP56" s="18" t="n"/>
      <c r="KQ56" s="18" t="n"/>
      <c r="KR56" s="18" t="n"/>
      <c r="KS56" s="18" t="n"/>
      <c r="KT56" s="18" t="n"/>
      <c r="KU56" s="18" t="n"/>
      <c r="KV56" s="18" t="n"/>
      <c r="KW56" s="18" t="n"/>
      <c r="KX56" s="18" t="n"/>
      <c r="KY56" s="18" t="n"/>
      <c r="KZ56" s="18" t="n"/>
      <c r="LA56" s="18" t="n"/>
      <c r="LB56" s="18" t="n"/>
      <c r="LC56" s="18" t="n"/>
      <c r="LD56" s="18" t="n"/>
      <c r="LE56" s="18" t="n"/>
      <c r="LF56" s="18" t="n"/>
      <c r="LG56" s="18" t="n"/>
      <c r="LH56" s="18" t="n"/>
      <c r="LI56" s="18" t="n"/>
      <c r="LJ56" s="18" t="n"/>
      <c r="LK56" s="18" t="n"/>
      <c r="LL56" s="18" t="n"/>
      <c r="LM56" s="18" t="n"/>
      <c r="LN56" s="18" t="n"/>
      <c r="LO56" s="18" t="n"/>
      <c r="LP56" s="18" t="n"/>
      <c r="LQ56" s="18" t="n"/>
      <c r="LR56" s="18" t="n"/>
      <c r="LS56" s="18" t="n"/>
      <c r="LT56" s="18" t="n"/>
      <c r="LU56" s="18" t="n"/>
      <c r="LV56" s="18" t="n"/>
      <c r="LW56" s="18" t="n"/>
      <c r="LX56" s="18" t="n"/>
      <c r="LY56" s="18" t="n"/>
      <c r="LZ56" s="18" t="n"/>
      <c r="MA56" s="18" t="n"/>
      <c r="MB56" s="18" t="n"/>
      <c r="MC56" s="18" t="n"/>
      <c r="MD56" s="18" t="n"/>
      <c r="ME56" s="18" t="n"/>
      <c r="MF56" s="18" t="n"/>
      <c r="MG56" s="18" t="n"/>
      <c r="MH56" s="18" t="n"/>
      <c r="MI56" s="18" t="n"/>
      <c r="MJ56" s="18" t="n"/>
      <c r="MK56" s="18" t="n"/>
      <c r="ML56" s="18" t="n"/>
      <c r="MM56" s="18" t="n"/>
      <c r="MN56" s="18" t="n"/>
      <c r="MO56" s="18" t="n"/>
      <c r="MP56" s="18" t="n"/>
      <c r="MQ56" s="18" t="n"/>
      <c r="MR56" s="18" t="n"/>
      <c r="MS56" s="18" t="n"/>
      <c r="MT56" s="18" t="n"/>
      <c r="MU56" s="18" t="n"/>
      <c r="MV56" s="18" t="n"/>
      <c r="MW56" s="18" t="n"/>
      <c r="MX56" s="18" t="n"/>
      <c r="MY56" s="18" t="n"/>
      <c r="MZ56" s="18" t="n"/>
      <c r="NA56" s="18" t="n"/>
      <c r="NB56" s="18" t="n"/>
      <c r="NC56" s="18" t="n"/>
      <c r="ND56" s="18" t="n"/>
      <c r="NE56" s="18" t="n"/>
      <c r="NF56" s="18" t="n"/>
      <c r="NG56" s="18" t="n"/>
      <c r="NH56" s="18" t="n"/>
      <c r="NI56" s="18" t="n"/>
      <c r="NJ56" s="18" t="n"/>
      <c r="NK56" s="18" t="n"/>
      <c r="NL56" s="18" t="n"/>
      <c r="NM56" s="18" t="n"/>
      <c r="NN56" s="18" t="n"/>
      <c r="NO56" s="18" t="n"/>
      <c r="NP56" s="18" t="n"/>
      <c r="NQ56" s="18" t="n"/>
      <c r="NR56" s="18" t="n"/>
      <c r="NS56" s="18" t="n"/>
      <c r="NT56" s="18" t="n"/>
      <c r="NU56" s="18" t="n"/>
      <c r="NV56" s="18" t="n"/>
      <c r="NW56" s="18" t="n"/>
      <c r="NX56" s="18" t="n"/>
      <c r="NY56" s="18" t="n"/>
      <c r="NZ56" s="18" t="n"/>
      <c r="OA56" s="18" t="n"/>
      <c r="OB56" s="18" t="n"/>
      <c r="OC56" s="18" t="n"/>
      <c r="OD56" s="18" t="n"/>
      <c r="OE56" s="18" t="n"/>
    </row>
    <row r="57" ht="22.8" customHeight="1" s="88">
      <c r="A57" s="18" t="n"/>
      <c r="B57" s="18" t="n"/>
      <c r="C57" s="18" t="n"/>
      <c r="D57" s="18" t="n"/>
      <c r="E57" s="18" t="n"/>
      <c r="F57" s="18" t="n"/>
      <c r="G57" s="18" t="n"/>
      <c r="H57" s="18" t="n"/>
      <c r="I57" s="45" t="n"/>
      <c r="J57" s="18" t="n"/>
      <c r="K57" s="18" t="n"/>
      <c r="L57" s="18" t="n"/>
      <c r="M57" s="18" t="n"/>
      <c r="N57" s="41" t="n"/>
      <c r="O57" s="18" t="n"/>
      <c r="P57" s="42" t="n"/>
      <c r="Q57" s="18" t="n"/>
      <c r="R57" s="43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8" t="n"/>
      <c r="BA57" s="18" t="n"/>
      <c r="BB57" s="18" t="n"/>
      <c r="BC57" s="18" t="n"/>
      <c r="BD57" s="18" t="n"/>
      <c r="BE57" s="18" t="n"/>
      <c r="BF57" s="18" t="n"/>
      <c r="BG57" s="18" t="n"/>
      <c r="BH57" s="18" t="n"/>
      <c r="BI57" s="18" t="n"/>
      <c r="BJ57" s="18" t="n"/>
      <c r="BK57" s="18" t="n"/>
      <c r="BL57" s="18" t="n"/>
      <c r="BM57" s="18" t="n"/>
      <c r="BN57" s="18" t="n"/>
      <c r="BO57" s="18" t="n"/>
      <c r="BP57" s="18" t="n"/>
      <c r="BQ57" s="18" t="n"/>
      <c r="BR57" s="18" t="n"/>
      <c r="BS57" s="18" t="n"/>
      <c r="BT57" s="18" t="n"/>
      <c r="BU57" s="18" t="n"/>
      <c r="BV57" s="18" t="n"/>
      <c r="BW57" s="18" t="n"/>
      <c r="BX57" s="18" t="n"/>
      <c r="BY57" s="18" t="n"/>
      <c r="BZ57" s="18" t="n"/>
      <c r="CA57" s="18" t="n"/>
      <c r="CB57" s="18" t="n"/>
      <c r="CC57" s="18" t="n"/>
      <c r="CD57" s="18" t="n"/>
      <c r="CE57" s="18" t="n"/>
      <c r="CF57" s="18" t="n"/>
      <c r="CG57" s="18" t="n"/>
      <c r="CH57" s="18" t="n"/>
      <c r="CI57" s="18" t="n"/>
      <c r="CJ57" s="18" t="n"/>
      <c r="CK57" s="18" t="n"/>
      <c r="CL57" s="18" t="n"/>
      <c r="CM57" s="18" t="n"/>
      <c r="CN57" s="18" t="n"/>
      <c r="CO57" s="18" t="n"/>
      <c r="CP57" s="18" t="n"/>
      <c r="CQ57" s="18" t="n"/>
      <c r="CR57" s="18" t="n"/>
      <c r="CS57" s="18" t="n"/>
      <c r="CT57" s="18" t="n"/>
      <c r="CU57" s="18" t="n"/>
      <c r="CV57" s="18" t="n"/>
      <c r="CW57" s="18" t="n"/>
      <c r="CX57" s="18" t="n"/>
      <c r="CY57" s="18" t="n"/>
      <c r="CZ57" s="18" t="n"/>
      <c r="DA57" s="18" t="n"/>
      <c r="DB57" s="18" t="n"/>
      <c r="DC57" s="18" t="n"/>
      <c r="DD57" s="18" t="n"/>
      <c r="DE57" s="18" t="n"/>
      <c r="DF57" s="18" t="n"/>
      <c r="DG57" s="18" t="n"/>
      <c r="DH57" s="18" t="n"/>
      <c r="DI57" s="18" t="n"/>
      <c r="DJ57" s="18" t="n"/>
      <c r="DK57" s="18" t="n"/>
      <c r="DL57" s="18" t="n"/>
      <c r="DM57" s="18" t="n"/>
      <c r="DN57" s="18" t="n"/>
      <c r="DO57" s="18" t="n"/>
      <c r="DP57" s="18" t="n"/>
      <c r="DQ57" s="18" t="n"/>
      <c r="DR57" s="18" t="n"/>
      <c r="DS57" s="18" t="n"/>
      <c r="DT57" s="18" t="n"/>
      <c r="DU57" s="18" t="n"/>
      <c r="DV57" s="18" t="n"/>
      <c r="DW57" s="18" t="n"/>
      <c r="DX57" s="18" t="n"/>
      <c r="DY57" s="18" t="n"/>
      <c r="DZ57" s="18" t="n"/>
      <c r="EA57" s="18" t="n"/>
      <c r="EB57" s="18" t="n"/>
      <c r="EC57" s="18" t="n"/>
      <c r="ED57" s="18" t="n"/>
      <c r="EE57" s="18" t="n"/>
      <c r="EF57" s="18" t="n"/>
      <c r="EG57" s="18" t="n"/>
      <c r="EH57" s="18" t="n"/>
      <c r="EI57" s="18" t="n"/>
      <c r="EJ57" s="18" t="n"/>
      <c r="EK57" s="18" t="n"/>
      <c r="EL57" s="18" t="n"/>
      <c r="EM57" s="18" t="n"/>
      <c r="EN57" s="18" t="n"/>
      <c r="EO57" s="18" t="n"/>
      <c r="EP57" s="18" t="n"/>
      <c r="EQ57" s="18" t="n"/>
      <c r="ER57" s="18" t="n"/>
      <c r="ES57" s="18" t="n"/>
      <c r="ET57" s="18" t="n"/>
      <c r="EU57" s="18" t="n"/>
      <c r="EV57" s="18" t="n"/>
      <c r="EW57" s="18" t="n"/>
      <c r="EX57" s="18" t="n"/>
      <c r="EY57" s="18" t="n"/>
      <c r="EZ57" s="18" t="n"/>
      <c r="FA57" s="18" t="n"/>
      <c r="FB57" s="18" t="n"/>
      <c r="FC57" s="18" t="n"/>
      <c r="FD57" s="18" t="n"/>
      <c r="FE57" s="18" t="n"/>
      <c r="FF57" s="18" t="n"/>
      <c r="FG57" s="18" t="n"/>
      <c r="FH57" s="18" t="n"/>
      <c r="FI57" s="18" t="n"/>
      <c r="FJ57" s="18" t="n"/>
      <c r="FK57" s="18" t="n"/>
      <c r="FL57" s="18" t="n"/>
      <c r="FM57" s="18" t="n"/>
      <c r="FN57" s="18" t="n"/>
      <c r="FO57" s="18" t="n"/>
      <c r="FP57" s="18" t="n"/>
      <c r="FQ57" s="18" t="n"/>
      <c r="FR57" s="18" t="n"/>
      <c r="FS57" s="18" t="n"/>
      <c r="FT57" s="18" t="n"/>
      <c r="FU57" s="18" t="n"/>
      <c r="FV57" s="18" t="n"/>
      <c r="FW57" s="18" t="n"/>
      <c r="FX57" s="18" t="n"/>
      <c r="FY57" s="18" t="n"/>
      <c r="FZ57" s="18" t="n"/>
      <c r="GA57" s="18" t="n"/>
      <c r="GB57" s="18" t="n"/>
      <c r="GC57" s="18" t="n"/>
      <c r="GD57" s="18" t="n"/>
      <c r="GE57" s="18" t="n"/>
      <c r="GF57" s="18" t="n"/>
      <c r="GG57" s="18" t="n"/>
      <c r="GH57" s="18" t="n"/>
      <c r="GI57" s="18" t="n"/>
      <c r="GJ57" s="18" t="n"/>
      <c r="GK57" s="18" t="n"/>
      <c r="GL57" s="18" t="n"/>
      <c r="GM57" s="18" t="n"/>
      <c r="GN57" s="18" t="n"/>
      <c r="GO57" s="18" t="n"/>
      <c r="GP57" s="18" t="n"/>
      <c r="GQ57" s="18" t="n"/>
      <c r="GR57" s="18" t="n"/>
      <c r="GS57" s="18" t="n"/>
      <c r="GT57" s="18" t="n"/>
      <c r="GU57" s="18" t="n"/>
      <c r="GV57" s="18" t="n"/>
      <c r="GW57" s="18" t="n"/>
      <c r="GX57" s="18" t="n"/>
      <c r="GY57" s="18" t="n"/>
      <c r="GZ57" s="18" t="n"/>
      <c r="HA57" s="18" t="n"/>
      <c r="HB57" s="18" t="n"/>
      <c r="HC57" s="18" t="n"/>
      <c r="HD57" s="18" t="n"/>
      <c r="HE57" s="18" t="n"/>
      <c r="HF57" s="18" t="n"/>
      <c r="HG57" s="18" t="n"/>
      <c r="HH57" s="18" t="n"/>
      <c r="HI57" s="18" t="n"/>
      <c r="HJ57" s="18" t="n"/>
      <c r="HK57" s="18" t="n"/>
      <c r="HL57" s="18" t="n"/>
      <c r="HM57" s="18" t="n"/>
      <c r="HN57" s="18" t="n"/>
      <c r="HO57" s="18" t="n"/>
      <c r="HP57" s="18" t="n"/>
      <c r="HQ57" s="18" t="n"/>
      <c r="HR57" s="18" t="n"/>
      <c r="HS57" s="18" t="n"/>
      <c r="HT57" s="18" t="n"/>
      <c r="HU57" s="18" t="n"/>
      <c r="HV57" s="18" t="n"/>
      <c r="HW57" s="18" t="n"/>
      <c r="HX57" s="18" t="n"/>
      <c r="HY57" s="18" t="n"/>
      <c r="HZ57" s="18" t="n"/>
      <c r="IA57" s="18" t="n"/>
      <c r="IB57" s="18" t="n"/>
      <c r="IC57" s="18" t="n"/>
      <c r="ID57" s="18" t="n"/>
      <c r="IE57" s="18" t="n"/>
      <c r="IF57" s="18" t="n"/>
      <c r="IG57" s="18" t="n"/>
      <c r="IH57" s="18" t="n"/>
      <c r="II57" s="18" t="n"/>
      <c r="IJ57" s="18" t="n"/>
      <c r="IK57" s="18" t="n"/>
      <c r="IL57" s="18" t="n"/>
      <c r="IM57" s="18" t="n"/>
      <c r="IN57" s="18" t="n"/>
      <c r="IO57" s="18" t="n"/>
      <c r="IP57" s="18" t="n"/>
      <c r="IQ57" s="18" t="n"/>
      <c r="IR57" s="18" t="n"/>
      <c r="IS57" s="18" t="n"/>
      <c r="IT57" s="18" t="n"/>
      <c r="IU57" s="18" t="n"/>
      <c r="IV57" s="18" t="n"/>
      <c r="IW57" s="18" t="n"/>
      <c r="IX57" s="18" t="n"/>
      <c r="IY57" s="18" t="n"/>
      <c r="IZ57" s="18" t="n"/>
      <c r="JA57" s="18" t="n"/>
      <c r="JB57" s="18" t="n"/>
      <c r="JC57" s="18" t="n"/>
      <c r="JD57" s="18" t="n"/>
      <c r="JE57" s="18" t="n"/>
      <c r="JF57" s="18" t="n"/>
      <c r="JG57" s="18" t="n"/>
      <c r="JH57" s="18" t="n"/>
      <c r="JI57" s="18" t="n"/>
      <c r="JJ57" s="18" t="n"/>
      <c r="JK57" s="18" t="n"/>
      <c r="JL57" s="18" t="n"/>
      <c r="JM57" s="18" t="n"/>
      <c r="JN57" s="18" t="n"/>
      <c r="JO57" s="18" t="n"/>
      <c r="JP57" s="18" t="n"/>
      <c r="JQ57" s="18" t="n"/>
      <c r="JR57" s="18" t="n"/>
      <c r="JS57" s="18" t="n"/>
      <c r="JT57" s="18" t="n"/>
      <c r="JU57" s="18" t="n"/>
      <c r="JV57" s="18" t="n"/>
      <c r="JW57" s="18" t="n"/>
      <c r="JX57" s="18" t="n"/>
      <c r="JY57" s="18" t="n"/>
      <c r="JZ57" s="18" t="n"/>
      <c r="KA57" s="18" t="n"/>
      <c r="KB57" s="18" t="n"/>
      <c r="KC57" s="18" t="n"/>
      <c r="KD57" s="18" t="n"/>
      <c r="KE57" s="18" t="n"/>
      <c r="KF57" s="18" t="n"/>
      <c r="KG57" s="18" t="n"/>
      <c r="KH57" s="18" t="n"/>
      <c r="KI57" s="18" t="n"/>
      <c r="KJ57" s="18" t="n"/>
      <c r="KK57" s="18" t="n"/>
      <c r="KL57" s="18" t="n"/>
      <c r="KM57" s="18" t="n"/>
      <c r="KN57" s="18" t="n"/>
      <c r="KO57" s="18" t="n"/>
      <c r="KP57" s="18" t="n"/>
      <c r="KQ57" s="18" t="n"/>
      <c r="KR57" s="18" t="n"/>
      <c r="KS57" s="18" t="n"/>
      <c r="KT57" s="18" t="n"/>
      <c r="KU57" s="18" t="n"/>
      <c r="KV57" s="18" t="n"/>
      <c r="KW57" s="18" t="n"/>
      <c r="KX57" s="18" t="n"/>
      <c r="KY57" s="18" t="n"/>
      <c r="KZ57" s="18" t="n"/>
      <c r="LA57" s="18" t="n"/>
      <c r="LB57" s="18" t="n"/>
      <c r="LC57" s="18" t="n"/>
      <c r="LD57" s="18" t="n"/>
      <c r="LE57" s="18" t="n"/>
      <c r="LF57" s="18" t="n"/>
      <c r="LG57" s="18" t="n"/>
      <c r="LH57" s="18" t="n"/>
      <c r="LI57" s="18" t="n"/>
      <c r="LJ57" s="18" t="n"/>
      <c r="LK57" s="18" t="n"/>
      <c r="LL57" s="18" t="n"/>
      <c r="LM57" s="18" t="n"/>
      <c r="LN57" s="18" t="n"/>
      <c r="LO57" s="18" t="n"/>
      <c r="LP57" s="18" t="n"/>
      <c r="LQ57" s="18" t="n"/>
      <c r="LR57" s="18" t="n"/>
      <c r="LS57" s="18" t="n"/>
      <c r="LT57" s="18" t="n"/>
      <c r="LU57" s="18" t="n"/>
      <c r="LV57" s="18" t="n"/>
      <c r="LW57" s="18" t="n"/>
      <c r="LX57" s="18" t="n"/>
      <c r="LY57" s="18" t="n"/>
      <c r="LZ57" s="18" t="n"/>
      <c r="MA57" s="18" t="n"/>
      <c r="MB57" s="18" t="n"/>
      <c r="MC57" s="18" t="n"/>
      <c r="MD57" s="18" t="n"/>
      <c r="ME57" s="18" t="n"/>
      <c r="MF57" s="18" t="n"/>
      <c r="MG57" s="18" t="n"/>
      <c r="MH57" s="18" t="n"/>
      <c r="MI57" s="18" t="n"/>
      <c r="MJ57" s="18" t="n"/>
      <c r="MK57" s="18" t="n"/>
      <c r="ML57" s="18" t="n"/>
      <c r="MM57" s="18" t="n"/>
      <c r="MN57" s="18" t="n"/>
      <c r="MO57" s="18" t="n"/>
      <c r="MP57" s="18" t="n"/>
      <c r="MQ57" s="18" t="n"/>
      <c r="MR57" s="18" t="n"/>
      <c r="MS57" s="18" t="n"/>
      <c r="MT57" s="18" t="n"/>
      <c r="MU57" s="18" t="n"/>
      <c r="MV57" s="18" t="n"/>
      <c r="MW57" s="18" t="n"/>
      <c r="MX57" s="18" t="n"/>
      <c r="MY57" s="18" t="n"/>
      <c r="MZ57" s="18" t="n"/>
      <c r="NA57" s="18" t="n"/>
      <c r="NB57" s="18" t="n"/>
      <c r="NC57" s="18" t="n"/>
      <c r="ND57" s="18" t="n"/>
      <c r="NE57" s="18" t="n"/>
      <c r="NF57" s="18" t="n"/>
      <c r="NG57" s="18" t="n"/>
      <c r="NH57" s="18" t="n"/>
      <c r="NI57" s="18" t="n"/>
      <c r="NJ57" s="18" t="n"/>
      <c r="NK57" s="18" t="n"/>
      <c r="NL57" s="18" t="n"/>
      <c r="NM57" s="18" t="n"/>
      <c r="NN57" s="18" t="n"/>
      <c r="NO57" s="18" t="n"/>
      <c r="NP57" s="18" t="n"/>
      <c r="NQ57" s="18" t="n"/>
      <c r="NR57" s="18" t="n"/>
      <c r="NS57" s="18" t="n"/>
      <c r="NT57" s="18" t="n"/>
      <c r="NU57" s="18" t="n"/>
      <c r="NV57" s="18" t="n"/>
      <c r="NW57" s="18" t="n"/>
      <c r="NX57" s="18" t="n"/>
      <c r="NY57" s="18" t="n"/>
      <c r="NZ57" s="18" t="n"/>
      <c r="OA57" s="18" t="n"/>
      <c r="OB57" s="18" t="n"/>
      <c r="OC57" s="18" t="n"/>
      <c r="OD57" s="18" t="n"/>
      <c r="OE57" s="18" t="n"/>
      <c r="OF57" s="18" t="n"/>
      <c r="OG57" s="18" t="n"/>
      <c r="OH57" s="18" t="n"/>
      <c r="OI57" s="18" t="n"/>
    </row>
    <row r="58" ht="46.8" customHeight="1" s="8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44" t="n"/>
      <c r="J58" s="18" t="n"/>
      <c r="K58" s="18" t="n"/>
      <c r="L58" s="18" t="n"/>
      <c r="M58" s="18" t="n"/>
      <c r="N58" s="41" t="n"/>
      <c r="O58" s="18" t="n"/>
      <c r="P58" s="42" t="n"/>
      <c r="Q58" s="18" t="n"/>
      <c r="R58" s="43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8" t="n"/>
      <c r="BA58" s="18" t="n"/>
      <c r="BB58" s="18" t="n"/>
      <c r="BC58" s="18" t="n"/>
      <c r="BD58" s="18" t="n"/>
      <c r="BE58" s="18" t="n"/>
      <c r="BF58" s="18" t="n"/>
      <c r="BG58" s="18" t="n"/>
      <c r="BH58" s="18" t="n"/>
      <c r="BI58" s="18" t="n"/>
      <c r="BJ58" s="18" t="n"/>
      <c r="BK58" s="18" t="n"/>
      <c r="BL58" s="18" t="n"/>
      <c r="BM58" s="18" t="n"/>
      <c r="BN58" s="18" t="n"/>
      <c r="BO58" s="18" t="n"/>
      <c r="BP58" s="18" t="n"/>
      <c r="BQ58" s="18" t="n"/>
      <c r="BR58" s="18" t="n"/>
      <c r="BS58" s="18" t="n"/>
      <c r="BT58" s="18" t="n"/>
      <c r="BU58" s="18" t="n"/>
      <c r="BV58" s="18" t="n"/>
      <c r="BW58" s="18" t="n"/>
      <c r="BX58" s="18" t="n"/>
      <c r="BY58" s="18" t="n"/>
      <c r="BZ58" s="18" t="n"/>
      <c r="CA58" s="18" t="n"/>
      <c r="CB58" s="18" t="n"/>
      <c r="CC58" s="18" t="n"/>
      <c r="CD58" s="18" t="n"/>
      <c r="CE58" s="18" t="n"/>
      <c r="CF58" s="18" t="n"/>
      <c r="CG58" s="18" t="n"/>
      <c r="CH58" s="18" t="n"/>
      <c r="CI58" s="18" t="n"/>
      <c r="CJ58" s="18" t="n"/>
      <c r="CK58" s="18" t="n"/>
      <c r="CL58" s="18" t="n"/>
      <c r="CM58" s="18" t="n"/>
      <c r="CN58" s="18" t="n"/>
      <c r="CO58" s="18" t="n"/>
      <c r="CP58" s="18" t="n"/>
      <c r="CQ58" s="18" t="n"/>
      <c r="CR58" s="18" t="n"/>
      <c r="CS58" s="18" t="n"/>
      <c r="CT58" s="18" t="n"/>
      <c r="CU58" s="18" t="n"/>
      <c r="CV58" s="18" t="n"/>
      <c r="CW58" s="18" t="n"/>
      <c r="CX58" s="18" t="n"/>
      <c r="CY58" s="18" t="n"/>
      <c r="CZ58" s="18" t="n"/>
      <c r="DA58" s="18" t="n"/>
      <c r="DB58" s="18" t="n"/>
      <c r="DC58" s="18" t="n"/>
      <c r="DD58" s="18" t="n"/>
      <c r="DE58" s="18" t="n"/>
      <c r="DF58" s="18" t="n"/>
      <c r="DG58" s="18" t="n"/>
      <c r="DH58" s="18" t="n"/>
      <c r="DI58" s="18" t="n"/>
      <c r="DJ58" s="18" t="n"/>
      <c r="DK58" s="18" t="n"/>
      <c r="DL58" s="18" t="n"/>
      <c r="DM58" s="18" t="n"/>
      <c r="DN58" s="18" t="n"/>
      <c r="DO58" s="18" t="n"/>
      <c r="DP58" s="18" t="n"/>
      <c r="DQ58" s="18" t="n"/>
      <c r="DR58" s="18" t="n"/>
      <c r="DS58" s="18" t="n"/>
      <c r="DT58" s="18" t="n"/>
      <c r="DU58" s="18" t="n"/>
      <c r="DV58" s="18" t="n"/>
      <c r="DW58" s="18" t="n"/>
      <c r="DX58" s="18" t="n"/>
      <c r="DY58" s="18" t="n"/>
      <c r="DZ58" s="18" t="n"/>
      <c r="EA58" s="18" t="n"/>
      <c r="EB58" s="18" t="n"/>
      <c r="EC58" s="18" t="n"/>
      <c r="ED58" s="18" t="n"/>
      <c r="EE58" s="18" t="n"/>
      <c r="EF58" s="18" t="n"/>
      <c r="EG58" s="18" t="n"/>
      <c r="EH58" s="18" t="n"/>
      <c r="EI58" s="18" t="n"/>
      <c r="EJ58" s="18" t="n"/>
      <c r="EK58" s="18" t="n"/>
      <c r="EL58" s="18" t="n"/>
      <c r="EM58" s="18" t="n"/>
      <c r="EN58" s="18" t="n"/>
      <c r="EO58" s="18" t="n"/>
      <c r="EP58" s="18" t="n"/>
      <c r="EQ58" s="18" t="n"/>
      <c r="ER58" s="18" t="n"/>
      <c r="ES58" s="18" t="n"/>
      <c r="ET58" s="18" t="n"/>
      <c r="EU58" s="18" t="n"/>
      <c r="EV58" s="18" t="n"/>
      <c r="EW58" s="18" t="n"/>
      <c r="EX58" s="18" t="n"/>
      <c r="EY58" s="18" t="n"/>
      <c r="EZ58" s="18" t="n"/>
      <c r="FA58" s="18" t="n"/>
      <c r="FB58" s="18" t="n"/>
      <c r="FC58" s="18" t="n"/>
      <c r="FD58" s="18" t="n"/>
      <c r="FE58" s="18" t="n"/>
      <c r="FF58" s="18" t="n"/>
      <c r="FG58" s="18" t="n"/>
      <c r="FH58" s="18" t="n"/>
      <c r="FI58" s="18" t="n"/>
      <c r="FJ58" s="18" t="n"/>
      <c r="FK58" s="18" t="n"/>
      <c r="FL58" s="18" t="n"/>
      <c r="FM58" s="18" t="n"/>
      <c r="FN58" s="18" t="n"/>
      <c r="FO58" s="18" t="n"/>
      <c r="FP58" s="18" t="n"/>
      <c r="FQ58" s="18" t="n"/>
      <c r="FR58" s="18" t="n"/>
      <c r="FS58" s="18" t="n"/>
      <c r="FT58" s="18" t="n"/>
      <c r="FU58" s="18" t="n"/>
      <c r="FV58" s="18" t="n"/>
      <c r="FW58" s="18" t="n"/>
      <c r="FX58" s="18" t="n"/>
      <c r="FY58" s="18" t="n"/>
      <c r="FZ58" s="18" t="n"/>
      <c r="GA58" s="18" t="n"/>
      <c r="GB58" s="18" t="n"/>
      <c r="GC58" s="18" t="n"/>
      <c r="GD58" s="18" t="n"/>
      <c r="GE58" s="18" t="n"/>
      <c r="GF58" s="18" t="n"/>
      <c r="GG58" s="18" t="n"/>
      <c r="GH58" s="18" t="n"/>
      <c r="GI58" s="18" t="n"/>
      <c r="GJ58" s="18" t="n"/>
      <c r="GK58" s="18" t="n"/>
      <c r="GL58" s="18" t="n"/>
      <c r="GM58" s="18" t="n"/>
      <c r="GN58" s="18" t="n"/>
      <c r="GO58" s="18" t="n"/>
      <c r="GP58" s="18" t="n"/>
      <c r="GQ58" s="18" t="n"/>
      <c r="GR58" s="18" t="n"/>
      <c r="GS58" s="18" t="n"/>
      <c r="GT58" s="18" t="n"/>
      <c r="GU58" s="18" t="n"/>
      <c r="GV58" s="18" t="n"/>
      <c r="GW58" s="18" t="n"/>
      <c r="GX58" s="18" t="n"/>
      <c r="GY58" s="18" t="n"/>
      <c r="GZ58" s="18" t="n"/>
      <c r="HA58" s="18" t="n"/>
      <c r="HB58" s="18" t="n"/>
      <c r="HC58" s="18" t="n"/>
      <c r="HD58" s="18" t="n"/>
      <c r="HE58" s="18" t="n"/>
      <c r="HF58" s="18" t="n"/>
      <c r="HG58" s="18" t="n"/>
      <c r="HH58" s="18" t="n"/>
      <c r="HI58" s="18" t="n"/>
      <c r="HJ58" s="18" t="n"/>
      <c r="HK58" s="18" t="n"/>
      <c r="HL58" s="18" t="n"/>
      <c r="HM58" s="18" t="n"/>
      <c r="HN58" s="18" t="n"/>
      <c r="HO58" s="18" t="n"/>
      <c r="HP58" s="18" t="n"/>
      <c r="HQ58" s="18" t="n"/>
      <c r="HR58" s="18" t="n"/>
      <c r="HS58" s="18" t="n"/>
      <c r="HT58" s="18" t="n"/>
      <c r="HU58" s="18" t="n"/>
      <c r="HV58" s="18" t="n"/>
      <c r="HW58" s="18" t="n"/>
      <c r="HX58" s="18" t="n"/>
      <c r="HY58" s="18" t="n"/>
      <c r="HZ58" s="18" t="n"/>
      <c r="IA58" s="18" t="n"/>
      <c r="IB58" s="18" t="n"/>
      <c r="IC58" s="18" t="n"/>
      <c r="ID58" s="18" t="n"/>
      <c r="IE58" s="18" t="n"/>
      <c r="IF58" s="18" t="n"/>
      <c r="IG58" s="18" t="n"/>
      <c r="IH58" s="18" t="n"/>
      <c r="II58" s="18" t="n"/>
      <c r="IJ58" s="18" t="n"/>
      <c r="IK58" s="18" t="n"/>
      <c r="IL58" s="18" t="n"/>
      <c r="IM58" s="18" t="n"/>
      <c r="IN58" s="18" t="n"/>
      <c r="IO58" s="18" t="n"/>
      <c r="IP58" s="18" t="n"/>
      <c r="IQ58" s="18" t="n"/>
      <c r="IR58" s="18" t="n"/>
      <c r="IS58" s="18" t="n"/>
      <c r="IT58" s="18" t="n"/>
      <c r="IU58" s="18" t="n"/>
      <c r="IV58" s="18" t="n"/>
      <c r="IW58" s="18" t="n"/>
      <c r="IX58" s="18" t="n"/>
      <c r="IY58" s="18" t="n"/>
      <c r="IZ58" s="18" t="n"/>
      <c r="JA58" s="18" t="n"/>
      <c r="JB58" s="18" t="n"/>
      <c r="JC58" s="18" t="n"/>
      <c r="JD58" s="18" t="n"/>
      <c r="JE58" s="18" t="n"/>
      <c r="JF58" s="18" t="n"/>
      <c r="JG58" s="18" t="n"/>
      <c r="JH58" s="18" t="n"/>
      <c r="JI58" s="18" t="n"/>
      <c r="JJ58" s="18" t="n"/>
      <c r="JK58" s="18" t="n"/>
      <c r="JL58" s="18" t="n"/>
      <c r="JM58" s="18" t="n"/>
      <c r="JN58" s="18" t="n"/>
      <c r="JO58" s="18" t="n"/>
      <c r="JP58" s="18" t="n"/>
      <c r="JQ58" s="18" t="n"/>
      <c r="JR58" s="18" t="n"/>
      <c r="JS58" s="18" t="n"/>
      <c r="JT58" s="18" t="n"/>
      <c r="JU58" s="18" t="n"/>
      <c r="JV58" s="18" t="n"/>
      <c r="JW58" s="18" t="n"/>
      <c r="JX58" s="18" t="n"/>
      <c r="JY58" s="18" t="n"/>
      <c r="JZ58" s="18" t="n"/>
      <c r="KA58" s="18" t="n"/>
      <c r="KB58" s="18" t="n"/>
      <c r="KC58" s="18" t="n"/>
      <c r="KD58" s="18" t="n"/>
      <c r="KE58" s="18" t="n"/>
      <c r="KF58" s="18" t="n"/>
      <c r="KG58" s="18" t="n"/>
      <c r="KH58" s="18" t="n"/>
      <c r="KI58" s="18" t="n"/>
      <c r="KJ58" s="18" t="n"/>
      <c r="KK58" s="18" t="n"/>
      <c r="KL58" s="18" t="n"/>
      <c r="KM58" s="18" t="n"/>
      <c r="KN58" s="18" t="n"/>
      <c r="KO58" s="18" t="n"/>
      <c r="KP58" s="18" t="n"/>
      <c r="KQ58" s="18" t="n"/>
      <c r="KR58" s="18" t="n"/>
      <c r="KS58" s="18" t="n"/>
      <c r="KT58" s="18" t="n"/>
      <c r="KU58" s="18" t="n"/>
      <c r="KV58" s="18" t="n"/>
      <c r="KW58" s="18" t="n"/>
      <c r="KX58" s="18" t="n"/>
      <c r="KY58" s="18" t="n"/>
      <c r="KZ58" s="18" t="n"/>
      <c r="LA58" s="18" t="n"/>
      <c r="LB58" s="18" t="n"/>
      <c r="LC58" s="18" t="n"/>
      <c r="LD58" s="18" t="n"/>
      <c r="LE58" s="18" t="n"/>
      <c r="LF58" s="18" t="n"/>
      <c r="LG58" s="18" t="n"/>
      <c r="LH58" s="18" t="n"/>
      <c r="LI58" s="18" t="n"/>
      <c r="LJ58" s="18" t="n"/>
      <c r="LK58" s="18" t="n"/>
      <c r="LL58" s="18" t="n"/>
      <c r="LM58" s="18" t="n"/>
      <c r="LN58" s="18" t="n"/>
      <c r="LO58" s="18" t="n"/>
      <c r="LP58" s="18" t="n"/>
      <c r="LQ58" s="18" t="n"/>
      <c r="LR58" s="18" t="n"/>
      <c r="LS58" s="18" t="n"/>
      <c r="LT58" s="18" t="n"/>
      <c r="LU58" s="18" t="n"/>
      <c r="LV58" s="18" t="n"/>
      <c r="LW58" s="18" t="n"/>
      <c r="LX58" s="18" t="n"/>
      <c r="LY58" s="18" t="n"/>
      <c r="LZ58" s="18" t="n"/>
      <c r="MA58" s="18" t="n"/>
      <c r="MB58" s="18" t="n"/>
      <c r="MC58" s="18" t="n"/>
      <c r="MD58" s="18" t="n"/>
      <c r="ME58" s="18" t="n"/>
      <c r="MF58" s="18" t="n"/>
      <c r="MG58" s="18" t="n"/>
      <c r="MH58" s="18" t="n"/>
      <c r="MI58" s="18" t="n"/>
      <c r="MJ58" s="18" t="n"/>
      <c r="MK58" s="18" t="n"/>
      <c r="ML58" s="18" t="n"/>
      <c r="MM58" s="18" t="n"/>
      <c r="MN58" s="18" t="n"/>
      <c r="MO58" s="18" t="n"/>
      <c r="MP58" s="18" t="n"/>
      <c r="MQ58" s="18" t="n"/>
      <c r="MR58" s="18" t="n"/>
      <c r="MS58" s="18" t="n"/>
      <c r="MT58" s="18" t="n"/>
      <c r="MU58" s="18" t="n"/>
      <c r="MV58" s="18" t="n"/>
      <c r="MW58" s="18" t="n"/>
      <c r="MX58" s="18" t="n"/>
      <c r="MY58" s="18" t="n"/>
      <c r="MZ58" s="18" t="n"/>
      <c r="NA58" s="18" t="n"/>
      <c r="NB58" s="18" t="n"/>
      <c r="NC58" s="18" t="n"/>
      <c r="ND58" s="18" t="n"/>
      <c r="NE58" s="18" t="n"/>
      <c r="NF58" s="18" t="n"/>
      <c r="NG58" s="18" t="n"/>
      <c r="NH58" s="18" t="n"/>
      <c r="NI58" s="18" t="n"/>
      <c r="NJ58" s="18" t="n"/>
      <c r="NK58" s="18" t="n"/>
      <c r="NL58" s="18" t="n"/>
      <c r="NM58" s="18" t="n"/>
      <c r="NN58" s="18" t="n"/>
      <c r="NO58" s="18" t="n"/>
      <c r="NP58" s="18" t="n"/>
      <c r="NQ58" s="18" t="n"/>
      <c r="NR58" s="18" t="n"/>
      <c r="NS58" s="18" t="n"/>
      <c r="NT58" s="18" t="n"/>
      <c r="NU58" s="18" t="n"/>
      <c r="NV58" s="18" t="n"/>
      <c r="NW58" s="18" t="n"/>
      <c r="NX58" s="18" t="n"/>
      <c r="NY58" s="18" t="n"/>
      <c r="NZ58" s="18" t="n"/>
      <c r="OA58" s="18" t="n"/>
      <c r="OB58" s="18" t="n"/>
      <c r="OC58" s="18" t="n"/>
      <c r="OD58" s="18" t="n"/>
      <c r="OE58" s="18" t="n"/>
      <c r="OF58" s="18" t="n"/>
      <c r="OG58" s="18" t="n"/>
      <c r="OH58" s="18" t="n"/>
      <c r="OI58" s="18" t="n"/>
      <c r="OJ58" s="18" t="n"/>
      <c r="OK58" s="18" t="n"/>
      <c r="OL58" s="18" t="n"/>
      <c r="OM58" s="18" t="n"/>
    </row>
    <row r="59" ht="46.8" customHeight="1" s="88">
      <c r="A59" s="18" t="n"/>
      <c r="B59" s="18" t="n"/>
      <c r="C59" s="18" t="n"/>
      <c r="D59" s="18" t="n"/>
      <c r="E59" s="18" t="n"/>
      <c r="F59" s="18" t="n"/>
      <c r="G59" s="18" t="n"/>
      <c r="H59" s="18" t="n"/>
      <c r="I59" s="46" t="n"/>
      <c r="J59" s="18" t="n"/>
      <c r="K59" s="18" t="n"/>
      <c r="L59" s="18" t="n"/>
      <c r="M59" s="18" t="n"/>
      <c r="N59" s="41" t="n"/>
      <c r="O59" s="18" t="n"/>
      <c r="P59" s="42" t="n"/>
      <c r="Q59" s="18" t="n"/>
      <c r="R59" s="43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8" t="n"/>
      <c r="BA59" s="18" t="n"/>
      <c r="BB59" s="18" t="n"/>
      <c r="BC59" s="18" t="n"/>
      <c r="BD59" s="18" t="n"/>
      <c r="BE59" s="18" t="n"/>
      <c r="BF59" s="18" t="n"/>
      <c r="BG59" s="18" t="n"/>
      <c r="BH59" s="18" t="n"/>
      <c r="BI59" s="18" t="n"/>
      <c r="BJ59" s="18" t="n"/>
      <c r="BK59" s="18" t="n"/>
      <c r="BL59" s="18" t="n"/>
      <c r="BM59" s="18" t="n"/>
      <c r="BN59" s="18" t="n"/>
      <c r="BO59" s="18" t="n"/>
      <c r="BP59" s="18" t="n"/>
      <c r="BQ59" s="18" t="n"/>
      <c r="BR59" s="18" t="n"/>
      <c r="BS59" s="18" t="n"/>
      <c r="BT59" s="18" t="n"/>
      <c r="BU59" s="18" t="n"/>
      <c r="BV59" s="18" t="n"/>
      <c r="BW59" s="18" t="n"/>
      <c r="BX59" s="18" t="n"/>
      <c r="BY59" s="18" t="n"/>
      <c r="BZ59" s="18" t="n"/>
      <c r="CA59" s="18" t="n"/>
      <c r="CB59" s="18" t="n"/>
      <c r="CC59" s="18" t="n"/>
      <c r="CD59" s="18" t="n"/>
      <c r="CE59" s="18" t="n"/>
      <c r="CF59" s="18" t="n"/>
      <c r="CG59" s="18" t="n"/>
      <c r="CH59" s="18" t="n"/>
      <c r="CI59" s="18" t="n"/>
      <c r="CJ59" s="18" t="n"/>
      <c r="CK59" s="18" t="n"/>
      <c r="CL59" s="18" t="n"/>
      <c r="CM59" s="18" t="n"/>
      <c r="CN59" s="18" t="n"/>
      <c r="CO59" s="18" t="n"/>
      <c r="CP59" s="18" t="n"/>
      <c r="CQ59" s="18" t="n"/>
      <c r="CR59" s="18" t="n"/>
      <c r="CS59" s="18" t="n"/>
      <c r="CT59" s="18" t="n"/>
      <c r="CU59" s="18" t="n"/>
      <c r="CV59" s="18" t="n"/>
      <c r="CW59" s="18" t="n"/>
      <c r="CX59" s="18" t="n"/>
      <c r="CY59" s="18" t="n"/>
      <c r="CZ59" s="18" t="n"/>
      <c r="DA59" s="18" t="n"/>
      <c r="DB59" s="18" t="n"/>
      <c r="DC59" s="18" t="n"/>
      <c r="DD59" s="18" t="n"/>
      <c r="DE59" s="18" t="n"/>
      <c r="DF59" s="18" t="n"/>
      <c r="DG59" s="18" t="n"/>
      <c r="DH59" s="18" t="n"/>
      <c r="DI59" s="18" t="n"/>
      <c r="DJ59" s="18" t="n"/>
      <c r="DK59" s="18" t="n"/>
      <c r="DL59" s="18" t="n"/>
      <c r="DM59" s="18" t="n"/>
      <c r="DN59" s="18" t="n"/>
      <c r="DO59" s="18" t="n"/>
      <c r="DP59" s="18" t="n"/>
      <c r="DQ59" s="18" t="n"/>
      <c r="DR59" s="18" t="n"/>
      <c r="DS59" s="18" t="n"/>
      <c r="DT59" s="18" t="n"/>
      <c r="DU59" s="18" t="n"/>
      <c r="DV59" s="18" t="n"/>
      <c r="DW59" s="18" t="n"/>
      <c r="DX59" s="18" t="n"/>
      <c r="DY59" s="18" t="n"/>
      <c r="DZ59" s="18" t="n"/>
      <c r="EA59" s="18" t="n"/>
      <c r="EB59" s="18" t="n"/>
      <c r="EC59" s="18" t="n"/>
      <c r="ED59" s="18" t="n"/>
      <c r="EE59" s="18" t="n"/>
      <c r="EF59" s="18" t="n"/>
      <c r="EG59" s="18" t="n"/>
      <c r="EH59" s="18" t="n"/>
      <c r="EI59" s="18" t="n"/>
      <c r="EJ59" s="18" t="n"/>
      <c r="EK59" s="18" t="n"/>
      <c r="EL59" s="18" t="n"/>
      <c r="EM59" s="18" t="n"/>
      <c r="EN59" s="18" t="n"/>
      <c r="EO59" s="18" t="n"/>
      <c r="EP59" s="18" t="n"/>
      <c r="EQ59" s="18" t="n"/>
      <c r="ER59" s="18" t="n"/>
      <c r="ES59" s="18" t="n"/>
      <c r="ET59" s="18" t="n"/>
      <c r="EU59" s="18" t="n"/>
      <c r="EV59" s="18" t="n"/>
      <c r="EW59" s="18" t="n"/>
      <c r="EX59" s="18" t="n"/>
      <c r="EY59" s="18" t="n"/>
      <c r="EZ59" s="18" t="n"/>
      <c r="FA59" s="18" t="n"/>
      <c r="FB59" s="18" t="n"/>
      <c r="FC59" s="18" t="n"/>
      <c r="FD59" s="18" t="n"/>
      <c r="FE59" s="18" t="n"/>
      <c r="FF59" s="18" t="n"/>
      <c r="FG59" s="18" t="n"/>
      <c r="FH59" s="18" t="n"/>
      <c r="FI59" s="18" t="n"/>
      <c r="FJ59" s="18" t="n"/>
      <c r="FK59" s="18" t="n"/>
      <c r="FL59" s="18" t="n"/>
      <c r="FM59" s="18" t="n"/>
      <c r="FN59" s="18" t="n"/>
      <c r="FO59" s="18" t="n"/>
      <c r="FP59" s="18" t="n"/>
      <c r="FQ59" s="18" t="n"/>
      <c r="FR59" s="18" t="n"/>
      <c r="FS59" s="18" t="n"/>
      <c r="FT59" s="18" t="n"/>
      <c r="FU59" s="18" t="n"/>
      <c r="FV59" s="18" t="n"/>
      <c r="FW59" s="18" t="n"/>
      <c r="FX59" s="18" t="n"/>
      <c r="FY59" s="18" t="n"/>
      <c r="FZ59" s="18" t="n"/>
      <c r="GA59" s="18" t="n"/>
      <c r="GB59" s="18" t="n"/>
      <c r="GC59" s="18" t="n"/>
      <c r="GD59" s="18" t="n"/>
      <c r="GE59" s="18" t="n"/>
      <c r="GF59" s="18" t="n"/>
      <c r="GG59" s="18" t="n"/>
      <c r="GH59" s="18" t="n"/>
      <c r="GI59" s="18" t="n"/>
      <c r="GJ59" s="18" t="n"/>
      <c r="GK59" s="18" t="n"/>
      <c r="GL59" s="18" t="n"/>
      <c r="GM59" s="18" t="n"/>
      <c r="GN59" s="18" t="n"/>
      <c r="GO59" s="18" t="n"/>
      <c r="GP59" s="18" t="n"/>
      <c r="GQ59" s="18" t="n"/>
      <c r="GR59" s="18" t="n"/>
      <c r="GS59" s="18" t="n"/>
      <c r="GT59" s="18" t="n"/>
      <c r="GU59" s="18" t="n"/>
      <c r="GV59" s="18" t="n"/>
      <c r="GW59" s="18" t="n"/>
      <c r="GX59" s="18" t="n"/>
      <c r="GY59" s="18" t="n"/>
      <c r="GZ59" s="18" t="n"/>
      <c r="HA59" s="18" t="n"/>
      <c r="HB59" s="18" t="n"/>
      <c r="HC59" s="18" t="n"/>
      <c r="HD59" s="18" t="n"/>
      <c r="HE59" s="18" t="n"/>
      <c r="HF59" s="18" t="n"/>
      <c r="HG59" s="18" t="n"/>
      <c r="HH59" s="18" t="n"/>
      <c r="HI59" s="18" t="n"/>
      <c r="HJ59" s="18" t="n"/>
      <c r="HK59" s="18" t="n"/>
      <c r="HL59" s="18" t="n"/>
      <c r="HM59" s="18" t="n"/>
      <c r="HN59" s="18" t="n"/>
      <c r="HO59" s="18" t="n"/>
      <c r="HP59" s="18" t="n"/>
      <c r="HQ59" s="18" t="n"/>
      <c r="HR59" s="18" t="n"/>
      <c r="HS59" s="18" t="n"/>
      <c r="HT59" s="18" t="n"/>
      <c r="HU59" s="18" t="n"/>
      <c r="HV59" s="18" t="n"/>
      <c r="HW59" s="18" t="n"/>
      <c r="HX59" s="18" t="n"/>
      <c r="HY59" s="18" t="n"/>
      <c r="HZ59" s="18" t="n"/>
      <c r="IA59" s="18" t="n"/>
      <c r="IB59" s="18" t="n"/>
      <c r="IC59" s="18" t="n"/>
      <c r="ID59" s="18" t="n"/>
      <c r="IE59" s="18" t="n"/>
      <c r="IF59" s="18" t="n"/>
      <c r="IG59" s="18" t="n"/>
      <c r="IH59" s="18" t="n"/>
      <c r="II59" s="18" t="n"/>
      <c r="IJ59" s="18" t="n"/>
      <c r="IK59" s="18" t="n"/>
      <c r="IL59" s="18" t="n"/>
      <c r="IM59" s="18" t="n"/>
      <c r="IN59" s="18" t="n"/>
      <c r="IO59" s="18" t="n"/>
      <c r="IP59" s="18" t="n"/>
      <c r="IQ59" s="18" t="n"/>
      <c r="IR59" s="18" t="n"/>
      <c r="IS59" s="18" t="n"/>
      <c r="IT59" s="18" t="n"/>
      <c r="IU59" s="18" t="n"/>
      <c r="IV59" s="18" t="n"/>
      <c r="IW59" s="18" t="n"/>
      <c r="IX59" s="18" t="n"/>
      <c r="IY59" s="18" t="n"/>
      <c r="IZ59" s="18" t="n"/>
      <c r="JA59" s="18" t="n"/>
      <c r="JB59" s="18" t="n"/>
      <c r="JC59" s="18" t="n"/>
      <c r="JD59" s="18" t="n"/>
      <c r="JE59" s="18" t="n"/>
      <c r="JF59" s="18" t="n"/>
      <c r="JG59" s="18" t="n"/>
      <c r="JH59" s="18" t="n"/>
      <c r="JI59" s="18" t="n"/>
      <c r="JJ59" s="18" t="n"/>
      <c r="JK59" s="18" t="n"/>
      <c r="JL59" s="18" t="n"/>
      <c r="JM59" s="18" t="n"/>
      <c r="JN59" s="18" t="n"/>
      <c r="JO59" s="18" t="n"/>
      <c r="JP59" s="18" t="n"/>
      <c r="JQ59" s="18" t="n"/>
      <c r="JR59" s="18" t="n"/>
      <c r="JS59" s="18" t="n"/>
      <c r="JT59" s="18" t="n"/>
      <c r="JU59" s="18" t="n"/>
      <c r="JV59" s="18" t="n"/>
      <c r="JW59" s="18" t="n"/>
      <c r="JX59" s="18" t="n"/>
      <c r="JY59" s="18" t="n"/>
      <c r="JZ59" s="18" t="n"/>
      <c r="KA59" s="18" t="n"/>
      <c r="KB59" s="18" t="n"/>
      <c r="KC59" s="18" t="n"/>
      <c r="KD59" s="18" t="n"/>
      <c r="KE59" s="18" t="n"/>
      <c r="KF59" s="18" t="n"/>
      <c r="KG59" s="18" t="n"/>
      <c r="KH59" s="18" t="n"/>
      <c r="KI59" s="18" t="n"/>
      <c r="KJ59" s="18" t="n"/>
      <c r="KK59" s="18" t="n"/>
      <c r="KL59" s="18" t="n"/>
      <c r="KM59" s="18" t="n"/>
      <c r="KN59" s="18" t="n"/>
      <c r="KO59" s="18" t="n"/>
      <c r="KP59" s="18" t="n"/>
      <c r="KQ59" s="18" t="n"/>
      <c r="KR59" s="18" t="n"/>
      <c r="KS59" s="18" t="n"/>
      <c r="KT59" s="18" t="n"/>
      <c r="KU59" s="18" t="n"/>
      <c r="KV59" s="18" t="n"/>
      <c r="KW59" s="18" t="n"/>
      <c r="KX59" s="18" t="n"/>
      <c r="KY59" s="18" t="n"/>
      <c r="KZ59" s="18" t="n"/>
      <c r="LA59" s="18" t="n"/>
      <c r="LB59" s="18" t="n"/>
      <c r="LC59" s="18" t="n"/>
      <c r="LD59" s="18" t="n"/>
      <c r="LE59" s="18" t="n"/>
      <c r="LF59" s="18" t="n"/>
      <c r="LG59" s="18" t="n"/>
      <c r="LH59" s="18" t="n"/>
      <c r="LI59" s="18" t="n"/>
      <c r="LJ59" s="18" t="n"/>
      <c r="LK59" s="18" t="n"/>
      <c r="LL59" s="18" t="n"/>
      <c r="LM59" s="18" t="n"/>
      <c r="LN59" s="18" t="n"/>
      <c r="LO59" s="18" t="n"/>
      <c r="LP59" s="18" t="n"/>
      <c r="LQ59" s="18" t="n"/>
      <c r="LR59" s="18" t="n"/>
      <c r="LS59" s="18" t="n"/>
      <c r="LT59" s="18" t="n"/>
      <c r="LU59" s="18" t="n"/>
      <c r="LV59" s="18" t="n"/>
      <c r="LW59" s="18" t="n"/>
      <c r="LX59" s="18" t="n"/>
      <c r="LY59" s="18" t="n"/>
      <c r="LZ59" s="18" t="n"/>
      <c r="MA59" s="18" t="n"/>
      <c r="MB59" s="18" t="n"/>
      <c r="MC59" s="18" t="n"/>
      <c r="MD59" s="18" t="n"/>
      <c r="ME59" s="18" t="n"/>
      <c r="MF59" s="18" t="n"/>
      <c r="MG59" s="18" t="n"/>
      <c r="MH59" s="18" t="n"/>
      <c r="MI59" s="18" t="n"/>
      <c r="MJ59" s="18" t="n"/>
      <c r="MK59" s="18" t="n"/>
      <c r="ML59" s="18" t="n"/>
      <c r="MM59" s="18" t="n"/>
      <c r="MN59" s="18" t="n"/>
      <c r="MO59" s="18" t="n"/>
      <c r="MP59" s="18" t="n"/>
      <c r="MQ59" s="18" t="n"/>
      <c r="MR59" s="18" t="n"/>
      <c r="MS59" s="18" t="n"/>
      <c r="MT59" s="18" t="n"/>
      <c r="MU59" s="18" t="n"/>
      <c r="MV59" s="18" t="n"/>
      <c r="MW59" s="18" t="n"/>
      <c r="MX59" s="18" t="n"/>
      <c r="MY59" s="18" t="n"/>
      <c r="MZ59" s="18" t="n"/>
      <c r="NA59" s="18" t="n"/>
      <c r="NB59" s="18" t="n"/>
      <c r="NC59" s="18" t="n"/>
      <c r="ND59" s="18" t="n"/>
      <c r="NE59" s="18" t="n"/>
      <c r="NF59" s="18" t="n"/>
      <c r="NG59" s="18" t="n"/>
      <c r="NH59" s="18" t="n"/>
      <c r="NI59" s="18" t="n"/>
      <c r="NJ59" s="18" t="n"/>
      <c r="NK59" s="18" t="n"/>
      <c r="NL59" s="18" t="n"/>
      <c r="NM59" s="18" t="n"/>
      <c r="NN59" s="18" t="n"/>
      <c r="NO59" s="18" t="n"/>
      <c r="NP59" s="18" t="n"/>
      <c r="NQ59" s="18" t="n"/>
      <c r="NR59" s="18" t="n"/>
      <c r="NS59" s="18" t="n"/>
      <c r="NT59" s="18" t="n"/>
      <c r="NU59" s="18" t="n"/>
      <c r="NV59" s="18" t="n"/>
      <c r="NW59" s="18" t="n"/>
      <c r="NX59" s="18" t="n"/>
      <c r="NY59" s="18" t="n"/>
      <c r="NZ59" s="18" t="n"/>
      <c r="OA59" s="18" t="n"/>
      <c r="OB59" s="18" t="n"/>
      <c r="OC59" s="18" t="n"/>
      <c r="OD59" s="18" t="n"/>
      <c r="OE59" s="18" t="n"/>
      <c r="OF59" s="18" t="n"/>
      <c r="OG59" s="18" t="n"/>
      <c r="OH59" s="18" t="n"/>
      <c r="OI59" s="18" t="n"/>
      <c r="OJ59" s="18" t="n"/>
      <c r="OK59" s="18" t="n"/>
      <c r="OL59" s="18" t="n"/>
      <c r="OM59" s="18" t="n"/>
      <c r="ON59" s="18" t="n"/>
      <c r="OO59" s="18" t="n"/>
      <c r="OP59" s="18" t="n"/>
      <c r="OQ59" s="18" t="n"/>
    </row>
    <row r="60" ht="46.8" customHeight="1" s="88">
      <c r="A60" s="18" t="n"/>
      <c r="B60" s="18" t="n"/>
      <c r="C60" s="18" t="n"/>
      <c r="D60" s="18" t="n"/>
      <c r="E60" s="18" t="n"/>
      <c r="F60" s="18" t="n"/>
      <c r="G60" s="18" t="n"/>
      <c r="H60" s="18" t="n"/>
      <c r="I60" s="46" t="n"/>
      <c r="J60" s="18" t="n"/>
      <c r="K60" s="18" t="n"/>
      <c r="L60" s="18" t="n"/>
      <c r="M60" s="18" t="n"/>
      <c r="N60" s="41" t="n"/>
      <c r="O60" s="18" t="n"/>
      <c r="P60" s="42" t="n"/>
      <c r="Q60" s="18" t="n"/>
      <c r="R60" s="43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8" t="n"/>
      <c r="BA60" s="18" t="n"/>
      <c r="BB60" s="18" t="n"/>
      <c r="BC60" s="18" t="n"/>
      <c r="BD60" s="18" t="n"/>
      <c r="BE60" s="18" t="n"/>
      <c r="BF60" s="18" t="n"/>
      <c r="BG60" s="18" t="n"/>
      <c r="BH60" s="18" t="n"/>
      <c r="BI60" s="18" t="n"/>
      <c r="BJ60" s="18" t="n"/>
      <c r="BK60" s="18" t="n"/>
      <c r="BL60" s="18" t="n"/>
      <c r="BM60" s="18" t="n"/>
      <c r="BN60" s="18" t="n"/>
      <c r="BO60" s="18" t="n"/>
      <c r="BP60" s="18" t="n"/>
      <c r="BQ60" s="18" t="n"/>
      <c r="BR60" s="18" t="n"/>
      <c r="BS60" s="18" t="n"/>
      <c r="BT60" s="18" t="n"/>
      <c r="BU60" s="18" t="n"/>
      <c r="BV60" s="18" t="n"/>
      <c r="BW60" s="18" t="n"/>
      <c r="BX60" s="18" t="n"/>
      <c r="BY60" s="18" t="n"/>
      <c r="BZ60" s="18" t="n"/>
      <c r="CA60" s="18" t="n"/>
      <c r="CB60" s="18" t="n"/>
      <c r="CC60" s="18" t="n"/>
      <c r="CD60" s="18" t="n"/>
      <c r="CE60" s="18" t="n"/>
      <c r="CF60" s="18" t="n"/>
      <c r="CG60" s="18" t="n"/>
      <c r="CH60" s="18" t="n"/>
      <c r="CI60" s="18" t="n"/>
      <c r="CJ60" s="18" t="n"/>
      <c r="CK60" s="18" t="n"/>
      <c r="CL60" s="18" t="n"/>
      <c r="CM60" s="18" t="n"/>
      <c r="CN60" s="18" t="n"/>
      <c r="CO60" s="18" t="n"/>
      <c r="CP60" s="18" t="n"/>
      <c r="CQ60" s="18" t="n"/>
      <c r="CR60" s="18" t="n"/>
      <c r="CS60" s="18" t="n"/>
      <c r="CT60" s="18" t="n"/>
      <c r="CU60" s="18" t="n"/>
      <c r="CV60" s="18" t="n"/>
      <c r="CW60" s="18" t="n"/>
      <c r="CX60" s="18" t="n"/>
      <c r="CY60" s="18" t="n"/>
      <c r="CZ60" s="18" t="n"/>
      <c r="DA60" s="18" t="n"/>
      <c r="DB60" s="18" t="n"/>
      <c r="DC60" s="18" t="n"/>
      <c r="DD60" s="18" t="n"/>
      <c r="DE60" s="18" t="n"/>
      <c r="DF60" s="18" t="n"/>
      <c r="DG60" s="18" t="n"/>
      <c r="DH60" s="18" t="n"/>
      <c r="DI60" s="18" t="n"/>
      <c r="DJ60" s="18" t="n"/>
      <c r="DK60" s="18" t="n"/>
      <c r="DL60" s="18" t="n"/>
      <c r="DM60" s="18" t="n"/>
      <c r="DN60" s="18" t="n"/>
      <c r="DO60" s="18" t="n"/>
      <c r="DP60" s="18" t="n"/>
      <c r="DQ60" s="18" t="n"/>
      <c r="DR60" s="18" t="n"/>
      <c r="DS60" s="18" t="n"/>
      <c r="DT60" s="18" t="n"/>
      <c r="DU60" s="18" t="n"/>
      <c r="DV60" s="18" t="n"/>
      <c r="DW60" s="18" t="n"/>
      <c r="DX60" s="18" t="n"/>
      <c r="DY60" s="18" t="n"/>
      <c r="DZ60" s="18" t="n"/>
      <c r="EA60" s="18" t="n"/>
      <c r="EB60" s="18" t="n"/>
      <c r="EC60" s="18" t="n"/>
      <c r="ED60" s="18" t="n"/>
      <c r="EE60" s="18" t="n"/>
      <c r="EF60" s="18" t="n"/>
      <c r="EG60" s="18" t="n"/>
      <c r="EH60" s="18" t="n"/>
      <c r="EI60" s="18" t="n"/>
      <c r="EJ60" s="18" t="n"/>
      <c r="EK60" s="18" t="n"/>
      <c r="EL60" s="18" t="n"/>
      <c r="EM60" s="18" t="n"/>
      <c r="EN60" s="18" t="n"/>
      <c r="EO60" s="18" t="n"/>
      <c r="EP60" s="18" t="n"/>
      <c r="EQ60" s="18" t="n"/>
      <c r="ER60" s="18" t="n"/>
      <c r="ES60" s="18" t="n"/>
      <c r="ET60" s="18" t="n"/>
      <c r="EU60" s="18" t="n"/>
      <c r="EV60" s="18" t="n"/>
      <c r="EW60" s="18" t="n"/>
      <c r="EX60" s="18" t="n"/>
      <c r="EY60" s="18" t="n"/>
      <c r="EZ60" s="18" t="n"/>
      <c r="FA60" s="18" t="n"/>
      <c r="FB60" s="18" t="n"/>
      <c r="FC60" s="18" t="n"/>
      <c r="FD60" s="18" t="n"/>
      <c r="FE60" s="18" t="n"/>
      <c r="FF60" s="18" t="n"/>
      <c r="FG60" s="18" t="n"/>
      <c r="FH60" s="18" t="n"/>
      <c r="FI60" s="18" t="n"/>
      <c r="FJ60" s="18" t="n"/>
      <c r="FK60" s="18" t="n"/>
      <c r="FL60" s="18" t="n"/>
      <c r="FM60" s="18" t="n"/>
      <c r="FN60" s="18" t="n"/>
      <c r="FO60" s="18" t="n"/>
      <c r="FP60" s="18" t="n"/>
      <c r="FQ60" s="18" t="n"/>
      <c r="FR60" s="18" t="n"/>
      <c r="FS60" s="18" t="n"/>
      <c r="FT60" s="18" t="n"/>
      <c r="FU60" s="18" t="n"/>
      <c r="FV60" s="18" t="n"/>
      <c r="FW60" s="18" t="n"/>
      <c r="FX60" s="18" t="n"/>
      <c r="FY60" s="18" t="n"/>
      <c r="FZ60" s="18" t="n"/>
      <c r="GA60" s="18" t="n"/>
      <c r="GB60" s="18" t="n"/>
      <c r="GC60" s="18" t="n"/>
      <c r="GD60" s="18" t="n"/>
      <c r="GE60" s="18" t="n"/>
      <c r="GF60" s="18" t="n"/>
      <c r="GG60" s="18" t="n"/>
      <c r="GH60" s="18" t="n"/>
      <c r="GI60" s="18" t="n"/>
      <c r="GJ60" s="18" t="n"/>
      <c r="GK60" s="18" t="n"/>
      <c r="GL60" s="18" t="n"/>
      <c r="GM60" s="18" t="n"/>
      <c r="GN60" s="18" t="n"/>
      <c r="GO60" s="18" t="n"/>
      <c r="GP60" s="18" t="n"/>
      <c r="GQ60" s="18" t="n"/>
      <c r="GR60" s="18" t="n"/>
      <c r="GS60" s="18" t="n"/>
      <c r="GT60" s="18" t="n"/>
      <c r="GU60" s="18" t="n"/>
      <c r="GV60" s="18" t="n"/>
      <c r="GW60" s="18" t="n"/>
      <c r="GX60" s="18" t="n"/>
      <c r="GY60" s="18" t="n"/>
      <c r="GZ60" s="18" t="n"/>
      <c r="HA60" s="18" t="n"/>
      <c r="HB60" s="18" t="n"/>
      <c r="HC60" s="18" t="n"/>
      <c r="HD60" s="18" t="n"/>
      <c r="HE60" s="18" t="n"/>
      <c r="HF60" s="18" t="n"/>
      <c r="HG60" s="18" t="n"/>
      <c r="HH60" s="18" t="n"/>
      <c r="HI60" s="18" t="n"/>
      <c r="HJ60" s="18" t="n"/>
      <c r="HK60" s="18" t="n"/>
      <c r="HL60" s="18" t="n"/>
      <c r="HM60" s="18" t="n"/>
      <c r="HN60" s="18" t="n"/>
      <c r="HO60" s="18" t="n"/>
      <c r="HP60" s="18" t="n"/>
      <c r="HQ60" s="18" t="n"/>
      <c r="HR60" s="18" t="n"/>
      <c r="HS60" s="18" t="n"/>
      <c r="HT60" s="18" t="n"/>
      <c r="HU60" s="18" t="n"/>
      <c r="HV60" s="18" t="n"/>
      <c r="HW60" s="18" t="n"/>
      <c r="HX60" s="18" t="n"/>
      <c r="HY60" s="18" t="n"/>
      <c r="HZ60" s="18" t="n"/>
      <c r="IA60" s="18" t="n"/>
      <c r="IB60" s="18" t="n"/>
      <c r="IC60" s="18" t="n"/>
      <c r="ID60" s="18" t="n"/>
      <c r="IE60" s="18" t="n"/>
      <c r="IF60" s="18" t="n"/>
      <c r="IG60" s="18" t="n"/>
      <c r="IH60" s="18" t="n"/>
      <c r="II60" s="18" t="n"/>
      <c r="IJ60" s="18" t="n"/>
      <c r="IK60" s="18" t="n"/>
      <c r="IL60" s="18" t="n"/>
      <c r="IM60" s="18" t="n"/>
      <c r="IN60" s="18" t="n"/>
      <c r="IO60" s="18" t="n"/>
      <c r="IP60" s="18" t="n"/>
      <c r="IQ60" s="18" t="n"/>
      <c r="IR60" s="18" t="n"/>
      <c r="IS60" s="18" t="n"/>
      <c r="IT60" s="18" t="n"/>
      <c r="IU60" s="18" t="n"/>
      <c r="IV60" s="18" t="n"/>
      <c r="IW60" s="18" t="n"/>
      <c r="IX60" s="18" t="n"/>
      <c r="IY60" s="18" t="n"/>
      <c r="IZ60" s="18" t="n"/>
      <c r="JA60" s="18" t="n"/>
      <c r="JB60" s="18" t="n"/>
      <c r="JC60" s="18" t="n"/>
      <c r="JD60" s="18" t="n"/>
      <c r="JE60" s="18" t="n"/>
      <c r="JF60" s="18" t="n"/>
      <c r="JG60" s="18" t="n"/>
      <c r="JH60" s="18" t="n"/>
      <c r="JI60" s="18" t="n"/>
      <c r="JJ60" s="18" t="n"/>
      <c r="JK60" s="18" t="n"/>
      <c r="JL60" s="18" t="n"/>
      <c r="JM60" s="18" t="n"/>
      <c r="JN60" s="18" t="n"/>
      <c r="JO60" s="18" t="n"/>
      <c r="JP60" s="18" t="n"/>
      <c r="JQ60" s="18" t="n"/>
      <c r="JR60" s="18" t="n"/>
      <c r="JS60" s="18" t="n"/>
      <c r="JT60" s="18" t="n"/>
      <c r="JU60" s="18" t="n"/>
      <c r="JV60" s="18" t="n"/>
      <c r="JW60" s="18" t="n"/>
      <c r="JX60" s="18" t="n"/>
      <c r="JY60" s="18" t="n"/>
      <c r="JZ60" s="18" t="n"/>
      <c r="KA60" s="18" t="n"/>
      <c r="KB60" s="18" t="n"/>
      <c r="KC60" s="18" t="n"/>
      <c r="KD60" s="18" t="n"/>
      <c r="KE60" s="18" t="n"/>
      <c r="KF60" s="18" t="n"/>
      <c r="KG60" s="18" t="n"/>
      <c r="KH60" s="18" t="n"/>
      <c r="KI60" s="18" t="n"/>
      <c r="KJ60" s="18" t="n"/>
      <c r="KK60" s="18" t="n"/>
      <c r="KL60" s="18" t="n"/>
      <c r="KM60" s="18" t="n"/>
      <c r="KN60" s="18" t="n"/>
      <c r="KO60" s="18" t="n"/>
      <c r="KP60" s="18" t="n"/>
      <c r="KQ60" s="18" t="n"/>
      <c r="KR60" s="18" t="n"/>
      <c r="KS60" s="18" t="n"/>
      <c r="KT60" s="18" t="n"/>
      <c r="KU60" s="18" t="n"/>
      <c r="KV60" s="18" t="n"/>
      <c r="KW60" s="18" t="n"/>
      <c r="KX60" s="18" t="n"/>
      <c r="KY60" s="18" t="n"/>
      <c r="KZ60" s="18" t="n"/>
      <c r="LA60" s="18" t="n"/>
      <c r="LB60" s="18" t="n"/>
      <c r="LC60" s="18" t="n"/>
      <c r="LD60" s="18" t="n"/>
      <c r="LE60" s="18" t="n"/>
      <c r="LF60" s="18" t="n"/>
      <c r="LG60" s="18" t="n"/>
      <c r="LH60" s="18" t="n"/>
      <c r="LI60" s="18" t="n"/>
      <c r="LJ60" s="18" t="n"/>
      <c r="LK60" s="18" t="n"/>
      <c r="LL60" s="18" t="n"/>
      <c r="LM60" s="18" t="n"/>
      <c r="LN60" s="18" t="n"/>
      <c r="LO60" s="18" t="n"/>
      <c r="LP60" s="18" t="n"/>
      <c r="LQ60" s="18" t="n"/>
      <c r="LR60" s="18" t="n"/>
      <c r="LS60" s="18" t="n"/>
      <c r="LT60" s="18" t="n"/>
      <c r="LU60" s="18" t="n"/>
      <c r="LV60" s="18" t="n"/>
      <c r="LW60" s="18" t="n"/>
      <c r="LX60" s="18" t="n"/>
      <c r="LY60" s="18" t="n"/>
      <c r="LZ60" s="18" t="n"/>
      <c r="MA60" s="18" t="n"/>
      <c r="MB60" s="18" t="n"/>
      <c r="MC60" s="18" t="n"/>
      <c r="MD60" s="18" t="n"/>
      <c r="ME60" s="18" t="n"/>
      <c r="MF60" s="18" t="n"/>
      <c r="MG60" s="18" t="n"/>
      <c r="MH60" s="18" t="n"/>
      <c r="MI60" s="18" t="n"/>
      <c r="MJ60" s="18" t="n"/>
      <c r="MK60" s="18" t="n"/>
      <c r="ML60" s="18" t="n"/>
      <c r="MM60" s="18" t="n"/>
      <c r="MN60" s="18" t="n"/>
      <c r="MO60" s="18" t="n"/>
      <c r="MP60" s="18" t="n"/>
      <c r="MQ60" s="18" t="n"/>
      <c r="MR60" s="18" t="n"/>
      <c r="MS60" s="18" t="n"/>
      <c r="MT60" s="18" t="n"/>
      <c r="MU60" s="18" t="n"/>
      <c r="MV60" s="18" t="n"/>
      <c r="MW60" s="18" t="n"/>
      <c r="MX60" s="18" t="n"/>
      <c r="MY60" s="18" t="n"/>
      <c r="MZ60" s="18" t="n"/>
      <c r="NA60" s="18" t="n"/>
      <c r="NB60" s="18" t="n"/>
      <c r="NC60" s="18" t="n"/>
      <c r="ND60" s="18" t="n"/>
      <c r="NE60" s="18" t="n"/>
      <c r="NF60" s="18" t="n"/>
      <c r="NG60" s="18" t="n"/>
      <c r="NH60" s="18" t="n"/>
      <c r="NI60" s="18" t="n"/>
      <c r="NJ60" s="18" t="n"/>
      <c r="NK60" s="18" t="n"/>
      <c r="NL60" s="18" t="n"/>
      <c r="NM60" s="18" t="n"/>
      <c r="NN60" s="18" t="n"/>
      <c r="NO60" s="18" t="n"/>
      <c r="NP60" s="18" t="n"/>
      <c r="NQ60" s="18" t="n"/>
      <c r="NR60" s="18" t="n"/>
      <c r="NS60" s="18" t="n"/>
      <c r="NT60" s="18" t="n"/>
      <c r="NU60" s="18" t="n"/>
      <c r="NV60" s="18" t="n"/>
      <c r="NW60" s="18" t="n"/>
      <c r="NX60" s="18" t="n"/>
      <c r="NY60" s="18" t="n"/>
      <c r="NZ60" s="18" t="n"/>
      <c r="OA60" s="18" t="n"/>
      <c r="OB60" s="18" t="n"/>
      <c r="OC60" s="18" t="n"/>
      <c r="OD60" s="18" t="n"/>
      <c r="OE60" s="18" t="n"/>
      <c r="OF60" s="18" t="n"/>
      <c r="OG60" s="18" t="n"/>
      <c r="OH60" s="18" t="n"/>
      <c r="OI60" s="18" t="n"/>
      <c r="OJ60" s="18" t="n"/>
      <c r="OK60" s="18" t="n"/>
      <c r="OL60" s="18" t="n"/>
      <c r="OM60" s="18" t="n"/>
      <c r="ON60" s="18" t="n"/>
      <c r="OO60" s="18" t="n"/>
      <c r="OP60" s="18" t="n"/>
      <c r="OQ60" s="18" t="n"/>
      <c r="OR60" s="18" t="n"/>
      <c r="OS60" s="18" t="n"/>
      <c r="OT60" s="18" t="n"/>
      <c r="OU60" s="18" t="n"/>
    </row>
    <row r="61" ht="46.8" customHeight="1" s="88">
      <c r="A61" s="18" t="n"/>
      <c r="B61" s="18" t="n"/>
      <c r="C61" s="18" t="n"/>
      <c r="D61" s="18" t="n"/>
      <c r="E61" s="18" t="n"/>
      <c r="F61" s="18" t="n"/>
      <c r="G61" s="18" t="n"/>
      <c r="H61" s="18" t="n"/>
      <c r="I61" s="46" t="n"/>
      <c r="J61" s="18" t="n"/>
      <c r="K61" s="18" t="n"/>
      <c r="L61" s="18" t="n"/>
      <c r="M61" s="18" t="n"/>
      <c r="N61" s="41" t="n"/>
      <c r="O61" s="18" t="n"/>
      <c r="P61" s="42" t="n"/>
      <c r="Q61" s="18" t="n"/>
      <c r="R61" s="43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8" t="n"/>
      <c r="BA61" s="18" t="n"/>
      <c r="BB61" s="18" t="n"/>
      <c r="BC61" s="18" t="n"/>
      <c r="BD61" s="18" t="n"/>
      <c r="BE61" s="18" t="n"/>
      <c r="BF61" s="18" t="n"/>
      <c r="BG61" s="18" t="n"/>
      <c r="BH61" s="18" t="n"/>
      <c r="BI61" s="18" t="n"/>
      <c r="BJ61" s="18" t="n"/>
      <c r="BK61" s="18" t="n"/>
      <c r="BL61" s="18" t="n"/>
      <c r="BM61" s="18" t="n"/>
      <c r="BN61" s="18" t="n"/>
      <c r="BO61" s="18" t="n"/>
      <c r="BP61" s="18" t="n"/>
      <c r="BQ61" s="18" t="n"/>
      <c r="BR61" s="18" t="n"/>
      <c r="BS61" s="18" t="n"/>
      <c r="BT61" s="18" t="n"/>
      <c r="BU61" s="18" t="n"/>
      <c r="BV61" s="18" t="n"/>
      <c r="BW61" s="18" t="n"/>
      <c r="BX61" s="18" t="n"/>
      <c r="BY61" s="18" t="n"/>
      <c r="BZ61" s="18" t="n"/>
      <c r="CA61" s="18" t="n"/>
      <c r="CB61" s="18" t="n"/>
      <c r="CC61" s="18" t="n"/>
      <c r="CD61" s="18" t="n"/>
      <c r="CE61" s="18" t="n"/>
      <c r="CF61" s="18" t="n"/>
      <c r="CG61" s="18" t="n"/>
      <c r="CH61" s="18" t="n"/>
      <c r="CI61" s="18" t="n"/>
      <c r="CJ61" s="18" t="n"/>
      <c r="CK61" s="18" t="n"/>
      <c r="CL61" s="18" t="n"/>
      <c r="CM61" s="18" t="n"/>
      <c r="CN61" s="18" t="n"/>
      <c r="CO61" s="18" t="n"/>
      <c r="CP61" s="18" t="n"/>
      <c r="CQ61" s="18" t="n"/>
      <c r="CR61" s="18" t="n"/>
      <c r="CS61" s="18" t="n"/>
      <c r="CT61" s="18" t="n"/>
      <c r="CU61" s="18" t="n"/>
      <c r="CV61" s="18" t="n"/>
      <c r="CW61" s="18" t="n"/>
      <c r="CX61" s="18" t="n"/>
      <c r="CY61" s="18" t="n"/>
      <c r="CZ61" s="18" t="n"/>
      <c r="DA61" s="18" t="n"/>
      <c r="DB61" s="18" t="n"/>
      <c r="DC61" s="18" t="n"/>
      <c r="DD61" s="18" t="n"/>
      <c r="DE61" s="18" t="n"/>
      <c r="DF61" s="18" t="n"/>
      <c r="DG61" s="18" t="n"/>
      <c r="DH61" s="18" t="n"/>
      <c r="DI61" s="18" t="n"/>
      <c r="DJ61" s="18" t="n"/>
      <c r="DK61" s="18" t="n"/>
      <c r="DL61" s="18" t="n"/>
      <c r="DM61" s="18" t="n"/>
      <c r="DN61" s="18" t="n"/>
      <c r="DO61" s="18" t="n"/>
      <c r="DP61" s="18" t="n"/>
      <c r="DQ61" s="18" t="n"/>
      <c r="DR61" s="18" t="n"/>
      <c r="DS61" s="18" t="n"/>
      <c r="DT61" s="18" t="n"/>
      <c r="DU61" s="18" t="n"/>
      <c r="DV61" s="18" t="n"/>
      <c r="DW61" s="18" t="n"/>
      <c r="DX61" s="18" t="n"/>
      <c r="DY61" s="18" t="n"/>
      <c r="DZ61" s="18" t="n"/>
      <c r="EA61" s="18" t="n"/>
      <c r="EB61" s="18" t="n"/>
      <c r="EC61" s="18" t="n"/>
      <c r="ED61" s="18" t="n"/>
      <c r="EE61" s="18" t="n"/>
      <c r="EF61" s="18" t="n"/>
      <c r="EG61" s="18" t="n"/>
      <c r="EH61" s="18" t="n"/>
      <c r="EI61" s="18" t="n"/>
      <c r="EJ61" s="18" t="n"/>
      <c r="EK61" s="18" t="n"/>
      <c r="EL61" s="18" t="n"/>
      <c r="EM61" s="18" t="n"/>
      <c r="EN61" s="18" t="n"/>
      <c r="EO61" s="18" t="n"/>
      <c r="EP61" s="18" t="n"/>
      <c r="EQ61" s="18" t="n"/>
      <c r="ER61" s="18" t="n"/>
      <c r="ES61" s="18" t="n"/>
      <c r="ET61" s="18" t="n"/>
      <c r="EU61" s="18" t="n"/>
      <c r="EV61" s="18" t="n"/>
      <c r="EW61" s="18" t="n"/>
      <c r="EX61" s="18" t="n"/>
      <c r="EY61" s="18" t="n"/>
      <c r="EZ61" s="18" t="n"/>
      <c r="FA61" s="18" t="n"/>
      <c r="FB61" s="18" t="n"/>
      <c r="FC61" s="18" t="n"/>
      <c r="FD61" s="18" t="n"/>
      <c r="FE61" s="18" t="n"/>
      <c r="FF61" s="18" t="n"/>
      <c r="FG61" s="18" t="n"/>
      <c r="FH61" s="18" t="n"/>
      <c r="FI61" s="18" t="n"/>
      <c r="FJ61" s="18" t="n"/>
      <c r="FK61" s="18" t="n"/>
      <c r="FL61" s="18" t="n"/>
      <c r="FM61" s="18" t="n"/>
      <c r="FN61" s="18" t="n"/>
      <c r="FO61" s="18" t="n"/>
      <c r="FP61" s="18" t="n"/>
      <c r="FQ61" s="18" t="n"/>
      <c r="FR61" s="18" t="n"/>
      <c r="FS61" s="18" t="n"/>
      <c r="FT61" s="18" t="n"/>
      <c r="FU61" s="18" t="n"/>
      <c r="FV61" s="18" t="n"/>
      <c r="FW61" s="18" t="n"/>
      <c r="FX61" s="18" t="n"/>
      <c r="FY61" s="18" t="n"/>
      <c r="FZ61" s="18" t="n"/>
      <c r="GA61" s="18" t="n"/>
      <c r="GB61" s="18" t="n"/>
      <c r="GC61" s="18" t="n"/>
      <c r="GD61" s="18" t="n"/>
      <c r="GE61" s="18" t="n"/>
      <c r="GF61" s="18" t="n"/>
      <c r="GG61" s="18" t="n"/>
      <c r="GH61" s="18" t="n"/>
      <c r="GI61" s="18" t="n"/>
      <c r="GJ61" s="18" t="n"/>
      <c r="GK61" s="18" t="n"/>
      <c r="GL61" s="18" t="n"/>
      <c r="GM61" s="18" t="n"/>
      <c r="GN61" s="18" t="n"/>
      <c r="GO61" s="18" t="n"/>
      <c r="GP61" s="18" t="n"/>
      <c r="GQ61" s="18" t="n"/>
      <c r="GR61" s="18" t="n"/>
      <c r="GS61" s="18" t="n"/>
      <c r="GT61" s="18" t="n"/>
      <c r="GU61" s="18" t="n"/>
      <c r="GV61" s="18" t="n"/>
      <c r="GW61" s="18" t="n"/>
      <c r="GX61" s="18" t="n"/>
      <c r="GY61" s="18" t="n"/>
      <c r="GZ61" s="18" t="n"/>
      <c r="HA61" s="18" t="n"/>
      <c r="HB61" s="18" t="n"/>
      <c r="HC61" s="18" t="n"/>
      <c r="HD61" s="18" t="n"/>
      <c r="HE61" s="18" t="n"/>
      <c r="HF61" s="18" t="n"/>
      <c r="HG61" s="18" t="n"/>
      <c r="HH61" s="18" t="n"/>
      <c r="HI61" s="18" t="n"/>
      <c r="HJ61" s="18" t="n"/>
      <c r="HK61" s="18" t="n"/>
      <c r="HL61" s="18" t="n"/>
      <c r="HM61" s="18" t="n"/>
      <c r="HN61" s="18" t="n"/>
      <c r="HO61" s="18" t="n"/>
      <c r="HP61" s="18" t="n"/>
      <c r="HQ61" s="18" t="n"/>
      <c r="HR61" s="18" t="n"/>
      <c r="HS61" s="18" t="n"/>
      <c r="HT61" s="18" t="n"/>
      <c r="HU61" s="18" t="n"/>
      <c r="HV61" s="18" t="n"/>
      <c r="HW61" s="18" t="n"/>
      <c r="HX61" s="18" t="n"/>
      <c r="HY61" s="18" t="n"/>
      <c r="HZ61" s="18" t="n"/>
      <c r="IA61" s="18" t="n"/>
      <c r="IB61" s="18" t="n"/>
      <c r="IC61" s="18" t="n"/>
      <c r="ID61" s="18" t="n"/>
      <c r="IE61" s="18" t="n"/>
      <c r="IF61" s="18" t="n"/>
      <c r="IG61" s="18" t="n"/>
      <c r="IH61" s="18" t="n"/>
      <c r="II61" s="18" t="n"/>
      <c r="IJ61" s="18" t="n"/>
      <c r="IK61" s="18" t="n"/>
      <c r="IL61" s="18" t="n"/>
      <c r="IM61" s="18" t="n"/>
      <c r="IN61" s="18" t="n"/>
      <c r="IO61" s="18" t="n"/>
      <c r="IP61" s="18" t="n"/>
      <c r="IQ61" s="18" t="n"/>
      <c r="IR61" s="18" t="n"/>
      <c r="IS61" s="18" t="n"/>
      <c r="IT61" s="18" t="n"/>
      <c r="IU61" s="18" t="n"/>
      <c r="IV61" s="18" t="n"/>
      <c r="IW61" s="18" t="n"/>
      <c r="IX61" s="18" t="n"/>
      <c r="IY61" s="18" t="n"/>
      <c r="IZ61" s="18" t="n"/>
      <c r="JA61" s="18" t="n"/>
      <c r="JB61" s="18" t="n"/>
      <c r="JC61" s="18" t="n"/>
      <c r="JD61" s="18" t="n"/>
      <c r="JE61" s="18" t="n"/>
      <c r="JF61" s="18" t="n"/>
      <c r="JG61" s="18" t="n"/>
      <c r="JH61" s="18" t="n"/>
      <c r="JI61" s="18" t="n"/>
      <c r="JJ61" s="18" t="n"/>
      <c r="JK61" s="18" t="n"/>
      <c r="JL61" s="18" t="n"/>
      <c r="JM61" s="18" t="n"/>
      <c r="JN61" s="18" t="n"/>
      <c r="JO61" s="18" t="n"/>
      <c r="JP61" s="18" t="n"/>
      <c r="JQ61" s="18" t="n"/>
      <c r="JR61" s="18" t="n"/>
      <c r="JS61" s="18" t="n"/>
      <c r="JT61" s="18" t="n"/>
      <c r="JU61" s="18" t="n"/>
      <c r="JV61" s="18" t="n"/>
      <c r="JW61" s="18" t="n"/>
      <c r="JX61" s="18" t="n"/>
      <c r="JY61" s="18" t="n"/>
      <c r="JZ61" s="18" t="n"/>
      <c r="KA61" s="18" t="n"/>
      <c r="KB61" s="18" t="n"/>
      <c r="KC61" s="18" t="n"/>
      <c r="KD61" s="18" t="n"/>
      <c r="KE61" s="18" t="n"/>
      <c r="KF61" s="18" t="n"/>
      <c r="KG61" s="18" t="n"/>
      <c r="KH61" s="18" t="n"/>
      <c r="KI61" s="18" t="n"/>
      <c r="KJ61" s="18" t="n"/>
      <c r="KK61" s="18" t="n"/>
      <c r="KL61" s="18" t="n"/>
      <c r="KM61" s="18" t="n"/>
      <c r="KN61" s="18" t="n"/>
      <c r="KO61" s="18" t="n"/>
      <c r="KP61" s="18" t="n"/>
      <c r="KQ61" s="18" t="n"/>
      <c r="KR61" s="18" t="n"/>
      <c r="KS61" s="18" t="n"/>
      <c r="KT61" s="18" t="n"/>
      <c r="KU61" s="18" t="n"/>
      <c r="KV61" s="18" t="n"/>
      <c r="KW61" s="18" t="n"/>
      <c r="KX61" s="18" t="n"/>
      <c r="KY61" s="18" t="n"/>
      <c r="KZ61" s="18" t="n"/>
      <c r="LA61" s="18" t="n"/>
      <c r="LB61" s="18" t="n"/>
      <c r="LC61" s="18" t="n"/>
      <c r="LD61" s="18" t="n"/>
      <c r="LE61" s="18" t="n"/>
      <c r="LF61" s="18" t="n"/>
      <c r="LG61" s="18" t="n"/>
      <c r="LH61" s="18" t="n"/>
      <c r="LI61" s="18" t="n"/>
      <c r="LJ61" s="18" t="n"/>
      <c r="LK61" s="18" t="n"/>
      <c r="LL61" s="18" t="n"/>
      <c r="LM61" s="18" t="n"/>
      <c r="LN61" s="18" t="n"/>
      <c r="LO61" s="18" t="n"/>
      <c r="LP61" s="18" t="n"/>
      <c r="LQ61" s="18" t="n"/>
      <c r="LR61" s="18" t="n"/>
      <c r="LS61" s="18" t="n"/>
      <c r="LT61" s="18" t="n"/>
      <c r="LU61" s="18" t="n"/>
      <c r="LV61" s="18" t="n"/>
      <c r="LW61" s="18" t="n"/>
      <c r="LX61" s="18" t="n"/>
      <c r="LY61" s="18" t="n"/>
      <c r="LZ61" s="18" t="n"/>
      <c r="MA61" s="18" t="n"/>
      <c r="MB61" s="18" t="n"/>
      <c r="MC61" s="18" t="n"/>
      <c r="MD61" s="18" t="n"/>
      <c r="ME61" s="18" t="n"/>
      <c r="MF61" s="18" t="n"/>
      <c r="MG61" s="18" t="n"/>
      <c r="MH61" s="18" t="n"/>
      <c r="MI61" s="18" t="n"/>
      <c r="MJ61" s="18" t="n"/>
      <c r="MK61" s="18" t="n"/>
      <c r="ML61" s="18" t="n"/>
      <c r="MM61" s="18" t="n"/>
      <c r="MN61" s="18" t="n"/>
      <c r="MO61" s="18" t="n"/>
      <c r="MP61" s="18" t="n"/>
      <c r="MQ61" s="18" t="n"/>
      <c r="MR61" s="18" t="n"/>
      <c r="MS61" s="18" t="n"/>
      <c r="MT61" s="18" t="n"/>
      <c r="MU61" s="18" t="n"/>
      <c r="MV61" s="18" t="n"/>
      <c r="MW61" s="18" t="n"/>
      <c r="MX61" s="18" t="n"/>
      <c r="MY61" s="18" t="n"/>
      <c r="MZ61" s="18" t="n"/>
      <c r="NA61" s="18" t="n"/>
      <c r="NB61" s="18" t="n"/>
      <c r="NC61" s="18" t="n"/>
      <c r="ND61" s="18" t="n"/>
      <c r="NE61" s="18" t="n"/>
      <c r="NF61" s="18" t="n"/>
      <c r="NG61" s="18" t="n"/>
      <c r="NH61" s="18" t="n"/>
      <c r="NI61" s="18" t="n"/>
      <c r="NJ61" s="18" t="n"/>
      <c r="NK61" s="18" t="n"/>
      <c r="NL61" s="18" t="n"/>
      <c r="NM61" s="18" t="n"/>
      <c r="NN61" s="18" t="n"/>
      <c r="NO61" s="18" t="n"/>
      <c r="NP61" s="18" t="n"/>
      <c r="NQ61" s="18" t="n"/>
      <c r="NR61" s="18" t="n"/>
      <c r="NS61" s="18" t="n"/>
      <c r="NT61" s="18" t="n"/>
      <c r="NU61" s="18" t="n"/>
      <c r="NV61" s="18" t="n"/>
      <c r="NW61" s="18" t="n"/>
      <c r="NX61" s="18" t="n"/>
      <c r="NY61" s="18" t="n"/>
      <c r="NZ61" s="18" t="n"/>
      <c r="OA61" s="18" t="n"/>
      <c r="OB61" s="18" t="n"/>
      <c r="OC61" s="18" t="n"/>
      <c r="OD61" s="18" t="n"/>
      <c r="OE61" s="18" t="n"/>
      <c r="OF61" s="18" t="n"/>
      <c r="OG61" s="18" t="n"/>
      <c r="OH61" s="18" t="n"/>
      <c r="OI61" s="18" t="n"/>
      <c r="OJ61" s="18" t="n"/>
      <c r="OK61" s="18" t="n"/>
      <c r="OL61" s="18" t="n"/>
      <c r="OM61" s="18" t="n"/>
      <c r="ON61" s="18" t="n"/>
      <c r="OO61" s="18" t="n"/>
      <c r="OP61" s="18" t="n"/>
      <c r="OQ61" s="18" t="n"/>
      <c r="OR61" s="18" t="n"/>
      <c r="OS61" s="18" t="n"/>
      <c r="OT61" s="18" t="n"/>
      <c r="OU61" s="18" t="n"/>
      <c r="OV61" s="18" t="n"/>
      <c r="OW61" s="18" t="n"/>
      <c r="OX61" s="18" t="n"/>
      <c r="OY61" s="18" t="n"/>
    </row>
    <row r="62" ht="46.8" customHeight="1" s="88">
      <c r="A62" s="18" t="n"/>
      <c r="B62" s="18" t="n"/>
      <c r="C62" s="18" t="n"/>
      <c r="D62" s="18" t="n"/>
      <c r="E62" s="18" t="n"/>
      <c r="F62" s="18" t="n"/>
      <c r="G62" s="18" t="n"/>
      <c r="H62" s="18" t="n"/>
      <c r="I62" s="47" t="n"/>
      <c r="J62" s="18" t="n"/>
      <c r="K62" s="18" t="n"/>
      <c r="L62" s="18" t="n"/>
      <c r="M62" s="18" t="n"/>
      <c r="N62" s="41" t="n"/>
      <c r="O62" s="18" t="n"/>
      <c r="P62" s="42" t="n"/>
      <c r="Q62" s="18" t="n"/>
      <c r="R62" s="43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8" t="n"/>
      <c r="BA62" s="18" t="n"/>
      <c r="BB62" s="18" t="n"/>
      <c r="BC62" s="18" t="n"/>
      <c r="BD62" s="18" t="n"/>
      <c r="BE62" s="18" t="n"/>
      <c r="BF62" s="18" t="n"/>
      <c r="BG62" s="18" t="n"/>
      <c r="BH62" s="18" t="n"/>
      <c r="BI62" s="18" t="n"/>
      <c r="BJ62" s="18" t="n"/>
      <c r="BK62" s="18" t="n"/>
      <c r="BL62" s="18" t="n"/>
      <c r="BM62" s="18" t="n"/>
      <c r="BN62" s="18" t="n"/>
      <c r="BO62" s="18" t="n"/>
      <c r="BP62" s="18" t="n"/>
      <c r="BQ62" s="18" t="n"/>
      <c r="BR62" s="18" t="n"/>
      <c r="BS62" s="18" t="n"/>
      <c r="BT62" s="18" t="n"/>
      <c r="BU62" s="18" t="n"/>
      <c r="BV62" s="18" t="n"/>
      <c r="BW62" s="18" t="n"/>
      <c r="BX62" s="18" t="n"/>
      <c r="BY62" s="18" t="n"/>
      <c r="BZ62" s="18" t="n"/>
      <c r="CA62" s="18" t="n"/>
      <c r="CB62" s="18" t="n"/>
      <c r="CC62" s="18" t="n"/>
      <c r="CD62" s="18" t="n"/>
      <c r="CE62" s="18" t="n"/>
      <c r="CF62" s="18" t="n"/>
      <c r="CG62" s="18" t="n"/>
      <c r="CH62" s="18" t="n"/>
      <c r="CI62" s="18" t="n"/>
      <c r="CJ62" s="18" t="n"/>
      <c r="CK62" s="18" t="n"/>
      <c r="CL62" s="18" t="n"/>
      <c r="CM62" s="18" t="n"/>
      <c r="CN62" s="18" t="n"/>
      <c r="CO62" s="18" t="n"/>
      <c r="CP62" s="18" t="n"/>
      <c r="CQ62" s="18" t="n"/>
      <c r="CR62" s="18" t="n"/>
      <c r="CS62" s="18" t="n"/>
      <c r="CT62" s="18" t="n"/>
      <c r="CU62" s="18" t="n"/>
      <c r="CV62" s="18" t="n"/>
      <c r="CW62" s="18" t="n"/>
      <c r="CX62" s="18" t="n"/>
      <c r="CY62" s="18" t="n"/>
      <c r="CZ62" s="18" t="n"/>
      <c r="DA62" s="18" t="n"/>
      <c r="DB62" s="18" t="n"/>
      <c r="DC62" s="18" t="n"/>
      <c r="DD62" s="18" t="n"/>
      <c r="DE62" s="18" t="n"/>
      <c r="DF62" s="18" t="n"/>
      <c r="DG62" s="18" t="n"/>
      <c r="DH62" s="18" t="n"/>
      <c r="DI62" s="18" t="n"/>
      <c r="DJ62" s="18" t="n"/>
      <c r="DK62" s="18" t="n"/>
      <c r="DL62" s="18" t="n"/>
      <c r="DM62" s="18" t="n"/>
      <c r="DN62" s="18" t="n"/>
      <c r="DO62" s="18" t="n"/>
      <c r="DP62" s="18" t="n"/>
      <c r="DQ62" s="18" t="n"/>
      <c r="DR62" s="18" t="n"/>
      <c r="DS62" s="18" t="n"/>
      <c r="DT62" s="18" t="n"/>
      <c r="DU62" s="18" t="n"/>
      <c r="DV62" s="18" t="n"/>
      <c r="DW62" s="18" t="n"/>
      <c r="DX62" s="18" t="n"/>
      <c r="DY62" s="18" t="n"/>
      <c r="DZ62" s="18" t="n"/>
      <c r="EA62" s="18" t="n"/>
      <c r="EB62" s="18" t="n"/>
      <c r="EC62" s="18" t="n"/>
      <c r="ED62" s="18" t="n"/>
      <c r="EE62" s="18" t="n"/>
      <c r="EF62" s="18" t="n"/>
      <c r="EG62" s="18" t="n"/>
      <c r="EH62" s="18" t="n"/>
      <c r="EI62" s="18" t="n"/>
      <c r="EJ62" s="18" t="n"/>
      <c r="EK62" s="18" t="n"/>
      <c r="EL62" s="18" t="n"/>
      <c r="EM62" s="18" t="n"/>
      <c r="EN62" s="18" t="n"/>
      <c r="EO62" s="18" t="n"/>
      <c r="EP62" s="18" t="n"/>
      <c r="EQ62" s="18" t="n"/>
      <c r="ER62" s="18" t="n"/>
      <c r="ES62" s="18" t="n"/>
      <c r="ET62" s="18" t="n"/>
      <c r="EU62" s="18" t="n"/>
      <c r="EV62" s="18" t="n"/>
      <c r="EW62" s="18" t="n"/>
      <c r="EX62" s="18" t="n"/>
      <c r="EY62" s="18" t="n"/>
      <c r="EZ62" s="18" t="n"/>
      <c r="FA62" s="18" t="n"/>
      <c r="FB62" s="18" t="n"/>
      <c r="FC62" s="18" t="n"/>
      <c r="FD62" s="18" t="n"/>
      <c r="FE62" s="18" t="n"/>
      <c r="FF62" s="18" t="n"/>
      <c r="FG62" s="18" t="n"/>
      <c r="FH62" s="18" t="n"/>
      <c r="FI62" s="18" t="n"/>
      <c r="FJ62" s="18" t="n"/>
      <c r="FK62" s="18" t="n"/>
      <c r="FL62" s="18" t="n"/>
      <c r="FM62" s="18" t="n"/>
      <c r="FN62" s="18" t="n"/>
      <c r="FO62" s="18" t="n"/>
      <c r="FP62" s="18" t="n"/>
      <c r="FQ62" s="18" t="n"/>
      <c r="FR62" s="18" t="n"/>
      <c r="FS62" s="18" t="n"/>
      <c r="FT62" s="18" t="n"/>
      <c r="FU62" s="18" t="n"/>
      <c r="FV62" s="18" t="n"/>
      <c r="FW62" s="18" t="n"/>
      <c r="FX62" s="18" t="n"/>
      <c r="FY62" s="18" t="n"/>
      <c r="FZ62" s="18" t="n"/>
      <c r="GA62" s="18" t="n"/>
      <c r="GB62" s="18" t="n"/>
      <c r="GC62" s="18" t="n"/>
      <c r="GD62" s="18" t="n"/>
      <c r="GE62" s="18" t="n"/>
      <c r="GF62" s="18" t="n"/>
      <c r="GG62" s="18" t="n"/>
      <c r="GH62" s="18" t="n"/>
      <c r="GI62" s="18" t="n"/>
      <c r="GJ62" s="18" t="n"/>
      <c r="GK62" s="18" t="n"/>
      <c r="GL62" s="18" t="n"/>
      <c r="GM62" s="18" t="n"/>
      <c r="GN62" s="18" t="n"/>
      <c r="GO62" s="18" t="n"/>
      <c r="GP62" s="18" t="n"/>
      <c r="GQ62" s="18" t="n"/>
      <c r="GR62" s="18" t="n"/>
      <c r="GS62" s="18" t="n"/>
      <c r="GT62" s="18" t="n"/>
      <c r="GU62" s="18" t="n"/>
      <c r="GV62" s="18" t="n"/>
      <c r="GW62" s="18" t="n"/>
      <c r="GX62" s="18" t="n"/>
      <c r="GY62" s="18" t="n"/>
      <c r="GZ62" s="18" t="n"/>
      <c r="HA62" s="18" t="n"/>
      <c r="HB62" s="18" t="n"/>
      <c r="HC62" s="18" t="n"/>
      <c r="HD62" s="18" t="n"/>
      <c r="HE62" s="18" t="n"/>
      <c r="HF62" s="18" t="n"/>
      <c r="HG62" s="18" t="n"/>
      <c r="HH62" s="18" t="n"/>
      <c r="HI62" s="18" t="n"/>
      <c r="HJ62" s="18" t="n"/>
      <c r="HK62" s="18" t="n"/>
      <c r="HL62" s="18" t="n"/>
      <c r="HM62" s="18" t="n"/>
      <c r="HN62" s="18" t="n"/>
      <c r="HO62" s="18" t="n"/>
      <c r="HP62" s="18" t="n"/>
      <c r="HQ62" s="18" t="n"/>
      <c r="HR62" s="18" t="n"/>
      <c r="HS62" s="18" t="n"/>
      <c r="HT62" s="18" t="n"/>
      <c r="HU62" s="18" t="n"/>
      <c r="HV62" s="18" t="n"/>
      <c r="HW62" s="18" t="n"/>
      <c r="HX62" s="18" t="n"/>
      <c r="HY62" s="18" t="n"/>
      <c r="HZ62" s="18" t="n"/>
      <c r="IA62" s="18" t="n"/>
      <c r="IB62" s="18" t="n"/>
      <c r="IC62" s="18" t="n"/>
      <c r="ID62" s="18" t="n"/>
      <c r="IE62" s="18" t="n"/>
      <c r="IF62" s="18" t="n"/>
      <c r="IG62" s="18" t="n"/>
      <c r="IH62" s="18" t="n"/>
      <c r="II62" s="18" t="n"/>
      <c r="IJ62" s="18" t="n"/>
      <c r="IK62" s="18" t="n"/>
      <c r="IL62" s="18" t="n"/>
      <c r="IM62" s="18" t="n"/>
      <c r="IN62" s="18" t="n"/>
      <c r="IO62" s="18" t="n"/>
      <c r="IP62" s="18" t="n"/>
      <c r="IQ62" s="18" t="n"/>
      <c r="IR62" s="18" t="n"/>
      <c r="IS62" s="18" t="n"/>
      <c r="IT62" s="18" t="n"/>
      <c r="IU62" s="18" t="n"/>
      <c r="IV62" s="18" t="n"/>
      <c r="IW62" s="18" t="n"/>
      <c r="IX62" s="18" t="n"/>
      <c r="IY62" s="18" t="n"/>
      <c r="IZ62" s="18" t="n"/>
      <c r="JA62" s="18" t="n"/>
      <c r="JB62" s="18" t="n"/>
      <c r="JC62" s="18" t="n"/>
      <c r="JD62" s="18" t="n"/>
      <c r="JE62" s="18" t="n"/>
      <c r="JF62" s="18" t="n"/>
      <c r="JG62" s="18" t="n"/>
      <c r="JH62" s="18" t="n"/>
      <c r="JI62" s="18" t="n"/>
      <c r="JJ62" s="18" t="n"/>
      <c r="JK62" s="18" t="n"/>
      <c r="JL62" s="18" t="n"/>
      <c r="JM62" s="18" t="n"/>
      <c r="JN62" s="18" t="n"/>
      <c r="JO62" s="18" t="n"/>
      <c r="JP62" s="18" t="n"/>
      <c r="JQ62" s="18" t="n"/>
      <c r="JR62" s="18" t="n"/>
      <c r="JS62" s="18" t="n"/>
      <c r="JT62" s="18" t="n"/>
      <c r="JU62" s="18" t="n"/>
      <c r="JV62" s="18" t="n"/>
      <c r="JW62" s="18" t="n"/>
      <c r="JX62" s="18" t="n"/>
      <c r="JY62" s="18" t="n"/>
      <c r="JZ62" s="18" t="n"/>
      <c r="KA62" s="18" t="n"/>
      <c r="KB62" s="18" t="n"/>
      <c r="KC62" s="18" t="n"/>
      <c r="KD62" s="18" t="n"/>
      <c r="KE62" s="18" t="n"/>
      <c r="KF62" s="18" t="n"/>
      <c r="KG62" s="18" t="n"/>
      <c r="KH62" s="18" t="n"/>
      <c r="KI62" s="18" t="n"/>
      <c r="KJ62" s="18" t="n"/>
      <c r="KK62" s="18" t="n"/>
      <c r="KL62" s="18" t="n"/>
      <c r="KM62" s="18" t="n"/>
      <c r="KN62" s="18" t="n"/>
      <c r="KO62" s="18" t="n"/>
      <c r="KP62" s="18" t="n"/>
      <c r="KQ62" s="18" t="n"/>
      <c r="KR62" s="18" t="n"/>
      <c r="KS62" s="18" t="n"/>
      <c r="KT62" s="18" t="n"/>
      <c r="KU62" s="18" t="n"/>
      <c r="KV62" s="18" t="n"/>
      <c r="KW62" s="18" t="n"/>
      <c r="KX62" s="18" t="n"/>
      <c r="KY62" s="18" t="n"/>
      <c r="KZ62" s="18" t="n"/>
      <c r="LA62" s="18" t="n"/>
      <c r="LB62" s="18" t="n"/>
      <c r="LC62" s="18" t="n"/>
      <c r="LD62" s="18" t="n"/>
      <c r="LE62" s="18" t="n"/>
      <c r="LF62" s="18" t="n"/>
      <c r="LG62" s="18" t="n"/>
      <c r="LH62" s="18" t="n"/>
      <c r="LI62" s="18" t="n"/>
      <c r="LJ62" s="18" t="n"/>
      <c r="LK62" s="18" t="n"/>
      <c r="LL62" s="18" t="n"/>
      <c r="LM62" s="18" t="n"/>
      <c r="LN62" s="18" t="n"/>
      <c r="LO62" s="18" t="n"/>
      <c r="LP62" s="18" t="n"/>
      <c r="LQ62" s="18" t="n"/>
      <c r="LR62" s="18" t="n"/>
      <c r="LS62" s="18" t="n"/>
      <c r="LT62" s="18" t="n"/>
      <c r="LU62" s="18" t="n"/>
      <c r="LV62" s="18" t="n"/>
      <c r="LW62" s="18" t="n"/>
      <c r="LX62" s="18" t="n"/>
      <c r="LY62" s="18" t="n"/>
      <c r="LZ62" s="18" t="n"/>
      <c r="MA62" s="18" t="n"/>
      <c r="MB62" s="18" t="n"/>
      <c r="MC62" s="18" t="n"/>
      <c r="MD62" s="18" t="n"/>
      <c r="ME62" s="18" t="n"/>
      <c r="MF62" s="18" t="n"/>
      <c r="MG62" s="18" t="n"/>
      <c r="MH62" s="18" t="n"/>
      <c r="MI62" s="18" t="n"/>
      <c r="MJ62" s="18" t="n"/>
      <c r="MK62" s="18" t="n"/>
      <c r="ML62" s="18" t="n"/>
      <c r="MM62" s="18" t="n"/>
      <c r="MN62" s="18" t="n"/>
      <c r="MO62" s="18" t="n"/>
      <c r="MP62" s="18" t="n"/>
      <c r="MQ62" s="18" t="n"/>
      <c r="MR62" s="18" t="n"/>
      <c r="MS62" s="18" t="n"/>
      <c r="MT62" s="18" t="n"/>
      <c r="MU62" s="18" t="n"/>
      <c r="MV62" s="18" t="n"/>
      <c r="MW62" s="18" t="n"/>
      <c r="MX62" s="18" t="n"/>
      <c r="MY62" s="18" t="n"/>
      <c r="MZ62" s="18" t="n"/>
      <c r="NA62" s="18" t="n"/>
      <c r="NB62" s="18" t="n"/>
      <c r="NC62" s="18" t="n"/>
      <c r="ND62" s="18" t="n"/>
      <c r="NE62" s="18" t="n"/>
      <c r="NF62" s="18" t="n"/>
      <c r="NG62" s="18" t="n"/>
      <c r="NH62" s="18" t="n"/>
      <c r="NI62" s="18" t="n"/>
      <c r="NJ62" s="18" t="n"/>
      <c r="NK62" s="18" t="n"/>
      <c r="NL62" s="18" t="n"/>
      <c r="NM62" s="18" t="n"/>
      <c r="NN62" s="18" t="n"/>
      <c r="NO62" s="18" t="n"/>
      <c r="NP62" s="18" t="n"/>
      <c r="NQ62" s="18" t="n"/>
      <c r="NR62" s="18" t="n"/>
      <c r="NS62" s="18" t="n"/>
      <c r="NT62" s="18" t="n"/>
      <c r="NU62" s="18" t="n"/>
      <c r="NV62" s="18" t="n"/>
      <c r="NW62" s="18" t="n"/>
      <c r="NX62" s="18" t="n"/>
      <c r="NY62" s="18" t="n"/>
      <c r="NZ62" s="18" t="n"/>
      <c r="OA62" s="18" t="n"/>
      <c r="OB62" s="18" t="n"/>
      <c r="OC62" s="18" t="n"/>
      <c r="OD62" s="18" t="n"/>
      <c r="OE62" s="18" t="n"/>
      <c r="OF62" s="18" t="n"/>
      <c r="OG62" s="18" t="n"/>
      <c r="OH62" s="18" t="n"/>
      <c r="OI62" s="18" t="n"/>
      <c r="OJ62" s="18" t="n"/>
      <c r="OK62" s="18" t="n"/>
      <c r="OL62" s="18" t="n"/>
      <c r="OM62" s="18" t="n"/>
      <c r="ON62" s="18" t="n"/>
      <c r="OO62" s="18" t="n"/>
      <c r="OP62" s="18" t="n"/>
      <c r="OQ62" s="18" t="n"/>
      <c r="OR62" s="18" t="n"/>
      <c r="OS62" s="18" t="n"/>
      <c r="OT62" s="18" t="n"/>
      <c r="OU62" s="18" t="n"/>
      <c r="OV62" s="18" t="n"/>
      <c r="OW62" s="18" t="n"/>
      <c r="OX62" s="18" t="n"/>
      <c r="OY62" s="18" t="n"/>
      <c r="OZ62" s="18" t="n"/>
      <c r="PA62" s="18" t="n"/>
      <c r="PB62" s="18" t="n"/>
      <c r="PC62" s="18" t="n"/>
    </row>
    <row r="63" ht="17.4" customHeight="1" s="88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8" t="n"/>
      <c r="BA63" s="18" t="n"/>
      <c r="BB63" s="18" t="n"/>
      <c r="BC63" s="18" t="n"/>
      <c r="BD63" s="18" t="n"/>
      <c r="BE63" s="18" t="n"/>
      <c r="BF63" s="18" t="n"/>
      <c r="BG63" s="18" t="n"/>
      <c r="BH63" s="18" t="n"/>
      <c r="BI63" s="18" t="n"/>
      <c r="BJ63" s="18" t="n"/>
      <c r="BK63" s="18" t="n"/>
      <c r="BL63" s="18" t="n"/>
      <c r="BM63" s="18" t="n"/>
      <c r="BN63" s="18" t="n"/>
      <c r="BO63" s="18" t="n"/>
      <c r="BP63" s="18" t="n"/>
      <c r="BQ63" s="18" t="n"/>
      <c r="BR63" s="18" t="n"/>
      <c r="BS63" s="18" t="n"/>
      <c r="BT63" s="18" t="n"/>
      <c r="BU63" s="18" t="n"/>
      <c r="BV63" s="18" t="n"/>
      <c r="BW63" s="18" t="n"/>
      <c r="BX63" s="18" t="n"/>
      <c r="BY63" s="18" t="n"/>
      <c r="BZ63" s="18" t="n"/>
      <c r="CA63" s="18" t="n"/>
      <c r="CB63" s="18" t="n"/>
      <c r="CC63" s="18" t="n"/>
      <c r="CD63" s="18" t="n"/>
      <c r="CE63" s="18" t="n"/>
      <c r="CF63" s="18" t="n"/>
      <c r="CG63" s="18" t="n"/>
      <c r="CH63" s="18" t="n"/>
      <c r="CI63" s="18" t="n"/>
      <c r="CJ63" s="18" t="n"/>
      <c r="CK63" s="18" t="n"/>
      <c r="CL63" s="18" t="n"/>
      <c r="CM63" s="18" t="n"/>
      <c r="CN63" s="18" t="n"/>
      <c r="CO63" s="18" t="n"/>
      <c r="CP63" s="18" t="n"/>
      <c r="CQ63" s="18" t="n"/>
      <c r="CR63" s="18" t="n"/>
      <c r="CS63" s="18" t="n"/>
      <c r="CT63" s="18" t="n"/>
      <c r="CU63" s="18" t="n"/>
      <c r="CV63" s="18" t="n"/>
      <c r="CW63" s="18" t="n"/>
      <c r="CX63" s="18" t="n"/>
      <c r="CY63" s="18" t="n"/>
      <c r="CZ63" s="18" t="n"/>
      <c r="DA63" s="18" t="n"/>
      <c r="DB63" s="18" t="n"/>
      <c r="DC63" s="18" t="n"/>
      <c r="DD63" s="18" t="n"/>
      <c r="DE63" s="18" t="n"/>
      <c r="DF63" s="18" t="n"/>
      <c r="DG63" s="18" t="n"/>
      <c r="DH63" s="18" t="n"/>
      <c r="DI63" s="18" t="n"/>
      <c r="DJ63" s="18" t="n"/>
      <c r="DK63" s="18" t="n"/>
      <c r="DL63" s="18" t="n"/>
      <c r="DM63" s="18" t="n"/>
      <c r="DN63" s="18" t="n"/>
      <c r="DO63" s="18" t="n"/>
      <c r="DP63" s="18" t="n"/>
      <c r="DQ63" s="18" t="n"/>
      <c r="DR63" s="18" t="n"/>
      <c r="DS63" s="18" t="n"/>
      <c r="DT63" s="18" t="n"/>
      <c r="DU63" s="18" t="n"/>
      <c r="DV63" s="18" t="n"/>
      <c r="DW63" s="18" t="n"/>
      <c r="DX63" s="18" t="n"/>
      <c r="DY63" s="18" t="n"/>
      <c r="DZ63" s="18" t="n"/>
      <c r="EA63" s="18" t="n"/>
      <c r="EB63" s="18" t="n"/>
      <c r="EC63" s="18" t="n"/>
      <c r="ED63" s="18" t="n"/>
      <c r="EE63" s="18" t="n"/>
      <c r="EF63" s="18" t="n"/>
      <c r="EG63" s="18" t="n"/>
      <c r="EH63" s="18" t="n"/>
      <c r="EI63" s="18" t="n"/>
      <c r="EJ63" s="18" t="n"/>
      <c r="EK63" s="18" t="n"/>
      <c r="EL63" s="18" t="n"/>
      <c r="EM63" s="18" t="n"/>
      <c r="EN63" s="18" t="n"/>
      <c r="EO63" s="18" t="n"/>
      <c r="EP63" s="18" t="n"/>
      <c r="EQ63" s="18" t="n"/>
      <c r="ER63" s="18" t="n"/>
      <c r="ES63" s="18" t="n"/>
      <c r="ET63" s="18" t="n"/>
      <c r="EU63" s="18" t="n"/>
      <c r="EV63" s="18" t="n"/>
      <c r="EW63" s="18" t="n"/>
      <c r="EX63" s="18" t="n"/>
      <c r="EY63" s="18" t="n"/>
      <c r="EZ63" s="18" t="n"/>
      <c r="FA63" s="18" t="n"/>
      <c r="FB63" s="18" t="n"/>
      <c r="FC63" s="18" t="n"/>
      <c r="FD63" s="18" t="n"/>
      <c r="FE63" s="18" t="n"/>
      <c r="FF63" s="18" t="n"/>
      <c r="FG63" s="18" t="n"/>
      <c r="FH63" s="18" t="n"/>
      <c r="FI63" s="18" t="n"/>
      <c r="FJ63" s="18" t="n"/>
      <c r="FK63" s="18" t="n"/>
      <c r="FL63" s="18" t="n"/>
      <c r="FM63" s="18" t="n"/>
      <c r="FN63" s="18" t="n"/>
      <c r="FO63" s="18" t="n"/>
      <c r="FP63" s="18" t="n"/>
      <c r="FQ63" s="18" t="n"/>
      <c r="FR63" s="18" t="n"/>
      <c r="FS63" s="18" t="n"/>
      <c r="FT63" s="18" t="n"/>
      <c r="FU63" s="18" t="n"/>
      <c r="FV63" s="18" t="n"/>
      <c r="FW63" s="18" t="n"/>
      <c r="FX63" s="18" t="n"/>
      <c r="FY63" s="18" t="n"/>
      <c r="FZ63" s="18" t="n"/>
      <c r="GA63" s="18" t="n"/>
      <c r="GB63" s="18" t="n"/>
      <c r="GC63" s="18" t="n"/>
      <c r="GD63" s="18" t="n"/>
      <c r="GE63" s="18" t="n"/>
      <c r="GF63" s="18" t="n"/>
      <c r="GG63" s="18" t="n"/>
      <c r="GH63" s="18" t="n"/>
      <c r="GI63" s="18" t="n"/>
      <c r="GJ63" s="18" t="n"/>
      <c r="GK63" s="18" t="n"/>
      <c r="GL63" s="18" t="n"/>
      <c r="GM63" s="18" t="n"/>
      <c r="GN63" s="18" t="n"/>
      <c r="GO63" s="18" t="n"/>
      <c r="GP63" s="18" t="n"/>
      <c r="GQ63" s="18" t="n"/>
      <c r="GR63" s="18" t="n"/>
      <c r="GS63" s="18" t="n"/>
      <c r="GT63" s="18" t="n"/>
      <c r="GU63" s="18" t="n"/>
      <c r="GV63" s="18" t="n"/>
      <c r="GW63" s="18" t="n"/>
      <c r="GX63" s="18" t="n"/>
      <c r="GY63" s="18" t="n"/>
      <c r="GZ63" s="18" t="n"/>
      <c r="HA63" s="18" t="n"/>
      <c r="HB63" s="18" t="n"/>
      <c r="HC63" s="18" t="n"/>
      <c r="HD63" s="18" t="n"/>
      <c r="HE63" s="18" t="n"/>
      <c r="HF63" s="18" t="n"/>
      <c r="HG63" s="18" t="n"/>
      <c r="HH63" s="18" t="n"/>
      <c r="HI63" s="18" t="n"/>
      <c r="HJ63" s="18" t="n"/>
      <c r="HK63" s="18" t="n"/>
      <c r="HL63" s="18" t="n"/>
      <c r="HM63" s="18" t="n"/>
      <c r="HN63" s="18" t="n"/>
      <c r="HO63" s="18" t="n"/>
      <c r="HP63" s="18" t="n"/>
      <c r="HQ63" s="18" t="n"/>
      <c r="HR63" s="18" t="n"/>
      <c r="HS63" s="18" t="n"/>
      <c r="HT63" s="18" t="n"/>
      <c r="HU63" s="18" t="n"/>
      <c r="HV63" s="18" t="n"/>
      <c r="HW63" s="18" t="n"/>
      <c r="HX63" s="18" t="n"/>
      <c r="HY63" s="18" t="n"/>
      <c r="HZ63" s="18" t="n"/>
      <c r="IA63" s="18" t="n"/>
      <c r="IB63" s="18" t="n"/>
      <c r="IC63" s="18" t="n"/>
      <c r="ID63" s="18" t="n"/>
      <c r="IE63" s="18" t="n"/>
      <c r="IF63" s="18" t="n"/>
      <c r="IG63" s="18" t="n"/>
      <c r="IH63" s="18" t="n"/>
      <c r="II63" s="18" t="n"/>
      <c r="IJ63" s="18" t="n"/>
      <c r="IK63" s="18" t="n"/>
      <c r="IL63" s="18" t="n"/>
      <c r="IM63" s="18" t="n"/>
      <c r="IN63" s="18" t="n"/>
      <c r="IO63" s="18" t="n"/>
      <c r="IP63" s="18" t="n"/>
      <c r="IQ63" s="18" t="n"/>
      <c r="IR63" s="18" t="n"/>
      <c r="IS63" s="18" t="n"/>
      <c r="IT63" s="18" t="n"/>
      <c r="IU63" s="18" t="n"/>
      <c r="IV63" s="18" t="n"/>
      <c r="IW63" s="18" t="n"/>
      <c r="IX63" s="18" t="n"/>
      <c r="IY63" s="18" t="n"/>
      <c r="IZ63" s="18" t="n"/>
      <c r="JA63" s="18" t="n"/>
      <c r="JB63" s="18" t="n"/>
      <c r="JC63" s="18" t="n"/>
      <c r="JD63" s="18" t="n"/>
      <c r="JE63" s="18" t="n"/>
      <c r="JF63" s="18" t="n"/>
      <c r="JG63" s="18" t="n"/>
      <c r="JH63" s="18" t="n"/>
      <c r="JI63" s="18" t="n"/>
      <c r="JJ63" s="18" t="n"/>
      <c r="JK63" s="18" t="n"/>
      <c r="JL63" s="18" t="n"/>
      <c r="JM63" s="18" t="n"/>
      <c r="JN63" s="18" t="n"/>
      <c r="JO63" s="18" t="n"/>
      <c r="JP63" s="18" t="n"/>
      <c r="JQ63" s="18" t="n"/>
      <c r="JR63" s="18" t="n"/>
      <c r="JS63" s="18" t="n"/>
      <c r="JT63" s="18" t="n"/>
      <c r="JU63" s="18" t="n"/>
      <c r="JV63" s="18" t="n"/>
      <c r="JW63" s="18" t="n"/>
      <c r="JX63" s="18" t="n"/>
      <c r="JY63" s="18" t="n"/>
      <c r="JZ63" s="18" t="n"/>
      <c r="KA63" s="18" t="n"/>
      <c r="KB63" s="18" t="n"/>
      <c r="KC63" s="18" t="n"/>
      <c r="KD63" s="18" t="n"/>
      <c r="KE63" s="18" t="n"/>
      <c r="KF63" s="18" t="n"/>
      <c r="KG63" s="18" t="n"/>
      <c r="KH63" s="18" t="n"/>
      <c r="KI63" s="18" t="n"/>
      <c r="KJ63" s="18" t="n"/>
      <c r="KK63" s="18" t="n"/>
      <c r="KL63" s="18" t="n"/>
      <c r="KM63" s="18" t="n"/>
      <c r="KN63" s="18" t="n"/>
      <c r="KO63" s="18" t="n"/>
      <c r="KP63" s="18" t="n"/>
      <c r="KQ63" s="18" t="n"/>
      <c r="KR63" s="18" t="n"/>
      <c r="KS63" s="18" t="n"/>
      <c r="KT63" s="18" t="n"/>
      <c r="KU63" s="18" t="n"/>
      <c r="KV63" s="18" t="n"/>
      <c r="KW63" s="18" t="n"/>
      <c r="KX63" s="18" t="n"/>
      <c r="KY63" s="18" t="n"/>
      <c r="KZ63" s="18" t="n"/>
      <c r="LA63" s="18" t="n"/>
      <c r="LB63" s="18" t="n"/>
      <c r="LC63" s="18" t="n"/>
      <c r="LD63" s="18" t="n"/>
      <c r="LE63" s="18" t="n"/>
      <c r="LF63" s="18" t="n"/>
      <c r="LG63" s="18" t="n"/>
      <c r="LH63" s="18" t="n"/>
      <c r="LI63" s="18" t="n"/>
      <c r="LJ63" s="18" t="n"/>
      <c r="LK63" s="18" t="n"/>
      <c r="LL63" s="18" t="n"/>
      <c r="LM63" s="18" t="n"/>
      <c r="LN63" s="18" t="n"/>
      <c r="LO63" s="18" t="n"/>
      <c r="LP63" s="18" t="n"/>
      <c r="LQ63" s="18" t="n"/>
      <c r="LR63" s="18" t="n"/>
      <c r="LS63" s="18" t="n"/>
      <c r="LT63" s="18" t="n"/>
      <c r="LU63" s="18" t="n"/>
      <c r="LV63" s="18" t="n"/>
      <c r="LW63" s="18" t="n"/>
      <c r="LX63" s="18" t="n"/>
      <c r="LY63" s="18" t="n"/>
      <c r="LZ63" s="18" t="n"/>
      <c r="MA63" s="18" t="n"/>
      <c r="MB63" s="18" t="n"/>
      <c r="MC63" s="18" t="n"/>
      <c r="MD63" s="18" t="n"/>
      <c r="ME63" s="18" t="n"/>
      <c r="MF63" s="18" t="n"/>
      <c r="MG63" s="18" t="n"/>
      <c r="MH63" s="18" t="n"/>
      <c r="MI63" s="18" t="n"/>
      <c r="MJ63" s="18" t="n"/>
      <c r="MK63" s="18" t="n"/>
      <c r="ML63" s="18" t="n"/>
      <c r="MM63" s="18" t="n"/>
      <c r="MN63" s="18" t="n"/>
      <c r="MO63" s="18" t="n"/>
      <c r="MP63" s="18" t="n"/>
      <c r="MQ63" s="18" t="n"/>
      <c r="MR63" s="18" t="n"/>
      <c r="MS63" s="18" t="n"/>
      <c r="MT63" s="18" t="n"/>
      <c r="MU63" s="18" t="n"/>
      <c r="MV63" s="18" t="n"/>
      <c r="MW63" s="18" t="n"/>
      <c r="MX63" s="18" t="n"/>
      <c r="MY63" s="18" t="n"/>
      <c r="MZ63" s="18" t="n"/>
      <c r="NA63" s="18" t="n"/>
      <c r="NB63" s="18" t="n"/>
      <c r="NC63" s="18" t="n"/>
      <c r="ND63" s="18" t="n"/>
      <c r="NE63" s="18" t="n"/>
      <c r="NF63" s="18" t="n"/>
      <c r="NG63" s="18" t="n"/>
      <c r="NH63" s="18" t="n"/>
      <c r="NI63" s="18" t="n"/>
      <c r="NJ63" s="18" t="n"/>
      <c r="NK63" s="18" t="n"/>
      <c r="NL63" s="18" t="n"/>
      <c r="NM63" s="18" t="n"/>
      <c r="NN63" s="18" t="n"/>
      <c r="NO63" s="18" t="n"/>
      <c r="NP63" s="18" t="n"/>
      <c r="NQ63" s="18" t="n"/>
      <c r="NR63" s="18" t="n"/>
      <c r="NS63" s="18" t="n"/>
      <c r="NT63" s="18" t="n"/>
      <c r="NU63" s="18" t="n"/>
      <c r="NV63" s="18" t="n"/>
      <c r="NW63" s="18" t="n"/>
      <c r="NX63" s="18" t="n"/>
      <c r="NY63" s="18" t="n"/>
      <c r="NZ63" s="18" t="n"/>
      <c r="OA63" s="18" t="n"/>
      <c r="OB63" s="18" t="n"/>
      <c r="OC63" s="18" t="n"/>
      <c r="OD63" s="18" t="n"/>
      <c r="OE63" s="18" t="n"/>
      <c r="OF63" s="18" t="n"/>
      <c r="OG63" s="18" t="n"/>
      <c r="OH63" s="18" t="n"/>
      <c r="OI63" s="18" t="n"/>
      <c r="OJ63" s="18" t="n"/>
      <c r="OK63" s="18" t="n"/>
      <c r="OL63" s="18" t="n"/>
      <c r="OM63" s="18" t="n"/>
      <c r="ON63" s="18" t="n"/>
      <c r="OO63" s="18" t="n"/>
      <c r="OP63" s="18" t="n"/>
      <c r="OQ63" s="18" t="n"/>
      <c r="OR63" s="18" t="n"/>
      <c r="OS63" s="18" t="n"/>
      <c r="OT63" s="18" t="n"/>
      <c r="OU63" s="18" t="n"/>
      <c r="OV63" s="18" t="n"/>
      <c r="OW63" s="18" t="n"/>
      <c r="OX63" s="18" t="n"/>
      <c r="OY63" s="18" t="n"/>
      <c r="OZ63" s="18" t="n"/>
      <c r="PA63" s="18" t="n"/>
      <c r="PB63" s="18" t="n"/>
      <c r="PC63" s="18" t="n"/>
      <c r="PD63" s="18" t="n"/>
      <c r="PE63" s="18" t="n"/>
      <c r="PF63" s="18" t="n"/>
      <c r="PG63" s="18" t="n"/>
    </row>
    <row r="64" ht="17.4" customHeight="1" s="88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8" t="n"/>
      <c r="BA64" s="18" t="n"/>
      <c r="BB64" s="18" t="n"/>
      <c r="BC64" s="18" t="n"/>
      <c r="BD64" s="18" t="n"/>
      <c r="BE64" s="18" t="n"/>
      <c r="BF64" s="18" t="n"/>
      <c r="BG64" s="18" t="n"/>
      <c r="BH64" s="18" t="n"/>
      <c r="BI64" s="18" t="n"/>
      <c r="BJ64" s="18" t="n"/>
      <c r="BK64" s="18" t="n"/>
      <c r="BL64" s="18" t="n"/>
      <c r="BM64" s="18" t="n"/>
      <c r="BN64" s="18" t="n"/>
      <c r="BO64" s="18" t="n"/>
      <c r="BP64" s="18" t="n"/>
      <c r="BQ64" s="18" t="n"/>
      <c r="BR64" s="18" t="n"/>
      <c r="BS64" s="18" t="n"/>
      <c r="BT64" s="18" t="n"/>
      <c r="BU64" s="18" t="n"/>
      <c r="BV64" s="18" t="n"/>
      <c r="BW64" s="18" t="n"/>
      <c r="BX64" s="18" t="n"/>
      <c r="BY64" s="18" t="n"/>
      <c r="BZ64" s="18" t="n"/>
      <c r="CA64" s="18" t="n"/>
      <c r="CB64" s="18" t="n"/>
      <c r="CC64" s="18" t="n"/>
      <c r="CD64" s="18" t="n"/>
      <c r="CE64" s="18" t="n"/>
      <c r="CF64" s="18" t="n"/>
      <c r="CG64" s="18" t="n"/>
      <c r="CH64" s="18" t="n"/>
      <c r="CI64" s="18" t="n"/>
      <c r="CJ64" s="18" t="n"/>
      <c r="CK64" s="18" t="n"/>
      <c r="CL64" s="18" t="n"/>
      <c r="CM64" s="18" t="n"/>
      <c r="CN64" s="18" t="n"/>
      <c r="CO64" s="18" t="n"/>
      <c r="CP64" s="18" t="n"/>
      <c r="CQ64" s="18" t="n"/>
      <c r="CR64" s="18" t="n"/>
      <c r="CS64" s="18" t="n"/>
      <c r="CT64" s="18" t="n"/>
      <c r="CU64" s="18" t="n"/>
      <c r="CV64" s="18" t="n"/>
      <c r="CW64" s="18" t="n"/>
      <c r="CX64" s="18" t="n"/>
      <c r="CY64" s="18" t="n"/>
      <c r="CZ64" s="18" t="n"/>
      <c r="DA64" s="18" t="n"/>
      <c r="DB64" s="18" t="n"/>
      <c r="DC64" s="18" t="n"/>
      <c r="DD64" s="18" t="n"/>
      <c r="DE64" s="18" t="n"/>
      <c r="DF64" s="18" t="n"/>
      <c r="DG64" s="18" t="n"/>
      <c r="DH64" s="18" t="n"/>
      <c r="DI64" s="18" t="n"/>
      <c r="DJ64" s="18" t="n"/>
      <c r="DK64" s="18" t="n"/>
      <c r="DL64" s="18" t="n"/>
      <c r="DM64" s="18" t="n"/>
      <c r="DN64" s="18" t="n"/>
      <c r="DO64" s="18" t="n"/>
      <c r="DP64" s="18" t="n"/>
      <c r="DQ64" s="18" t="n"/>
      <c r="DR64" s="18" t="n"/>
      <c r="DS64" s="18" t="n"/>
      <c r="DT64" s="18" t="n"/>
      <c r="DU64" s="18" t="n"/>
      <c r="DV64" s="18" t="n"/>
      <c r="DW64" s="18" t="n"/>
      <c r="DX64" s="18" t="n"/>
      <c r="DY64" s="18" t="n"/>
      <c r="DZ64" s="18" t="n"/>
      <c r="EA64" s="18" t="n"/>
      <c r="EB64" s="18" t="n"/>
      <c r="EC64" s="18" t="n"/>
      <c r="ED64" s="18" t="n"/>
      <c r="EE64" s="18" t="n"/>
      <c r="EF64" s="18" t="n"/>
      <c r="EG64" s="18" t="n"/>
      <c r="EH64" s="18" t="n"/>
      <c r="EI64" s="18" t="n"/>
      <c r="EJ64" s="18" t="n"/>
      <c r="EK64" s="18" t="n"/>
      <c r="EL64" s="18" t="n"/>
      <c r="EM64" s="18" t="n"/>
      <c r="EN64" s="18" t="n"/>
      <c r="EO64" s="18" t="n"/>
      <c r="EP64" s="18" t="n"/>
      <c r="EQ64" s="18" t="n"/>
      <c r="ER64" s="18" t="n"/>
      <c r="ES64" s="18" t="n"/>
      <c r="ET64" s="18" t="n"/>
      <c r="EU64" s="18" t="n"/>
      <c r="EV64" s="18" t="n"/>
      <c r="EW64" s="18" t="n"/>
      <c r="EX64" s="18" t="n"/>
      <c r="EY64" s="18" t="n"/>
      <c r="EZ64" s="18" t="n"/>
      <c r="FA64" s="18" t="n"/>
      <c r="FB64" s="18" t="n"/>
      <c r="FC64" s="18" t="n"/>
      <c r="FD64" s="18" t="n"/>
      <c r="FE64" s="18" t="n"/>
      <c r="FF64" s="18" t="n"/>
      <c r="FG64" s="18" t="n"/>
      <c r="FH64" s="18" t="n"/>
      <c r="FI64" s="18" t="n"/>
      <c r="FJ64" s="18" t="n"/>
      <c r="FK64" s="18" t="n"/>
      <c r="FL64" s="18" t="n"/>
      <c r="FM64" s="18" t="n"/>
      <c r="FN64" s="18" t="n"/>
      <c r="FO64" s="18" t="n"/>
      <c r="FP64" s="18" t="n"/>
      <c r="FQ64" s="18" t="n"/>
      <c r="FR64" s="18" t="n"/>
      <c r="FS64" s="18" t="n"/>
      <c r="FT64" s="18" t="n"/>
      <c r="FU64" s="18" t="n"/>
      <c r="FV64" s="18" t="n"/>
      <c r="FW64" s="18" t="n"/>
      <c r="FX64" s="18" t="n"/>
      <c r="FY64" s="18" t="n"/>
      <c r="FZ64" s="18" t="n"/>
      <c r="GA64" s="18" t="n"/>
      <c r="GB64" s="18" t="n"/>
      <c r="GC64" s="18" t="n"/>
      <c r="GD64" s="18" t="n"/>
      <c r="GE64" s="18" t="n"/>
      <c r="GF64" s="18" t="n"/>
      <c r="GG64" s="18" t="n"/>
      <c r="GH64" s="18" t="n"/>
      <c r="GI64" s="18" t="n"/>
      <c r="GJ64" s="18" t="n"/>
      <c r="GK64" s="18" t="n"/>
      <c r="GL64" s="18" t="n"/>
      <c r="GM64" s="18" t="n"/>
      <c r="GN64" s="18" t="n"/>
      <c r="GO64" s="18" t="n"/>
      <c r="GP64" s="18" t="n"/>
      <c r="GQ64" s="18" t="n"/>
      <c r="GR64" s="18" t="n"/>
      <c r="GS64" s="18" t="n"/>
      <c r="GT64" s="18" t="n"/>
      <c r="GU64" s="18" t="n"/>
      <c r="GV64" s="18" t="n"/>
      <c r="GW64" s="18" t="n"/>
      <c r="GX64" s="18" t="n"/>
      <c r="GY64" s="18" t="n"/>
      <c r="GZ64" s="18" t="n"/>
      <c r="HA64" s="18" t="n"/>
      <c r="HB64" s="18" t="n"/>
      <c r="HC64" s="18" t="n"/>
      <c r="HD64" s="18" t="n"/>
      <c r="HE64" s="18" t="n"/>
      <c r="HF64" s="18" t="n"/>
      <c r="HG64" s="18" t="n"/>
      <c r="HH64" s="18" t="n"/>
      <c r="HI64" s="18" t="n"/>
      <c r="HJ64" s="18" t="n"/>
      <c r="HK64" s="18" t="n"/>
      <c r="HL64" s="18" t="n"/>
      <c r="HM64" s="18" t="n"/>
      <c r="HN64" s="18" t="n"/>
      <c r="HO64" s="18" t="n"/>
      <c r="HP64" s="18" t="n"/>
      <c r="HQ64" s="18" t="n"/>
      <c r="HR64" s="18" t="n"/>
      <c r="HS64" s="18" t="n"/>
      <c r="HT64" s="18" t="n"/>
      <c r="HU64" s="18" t="n"/>
      <c r="HV64" s="18" t="n"/>
      <c r="HW64" s="18" t="n"/>
      <c r="HX64" s="18" t="n"/>
      <c r="HY64" s="18" t="n"/>
      <c r="HZ64" s="18" t="n"/>
      <c r="IA64" s="18" t="n"/>
      <c r="IB64" s="18" t="n"/>
      <c r="IC64" s="18" t="n"/>
      <c r="ID64" s="18" t="n"/>
      <c r="IE64" s="18" t="n"/>
      <c r="IF64" s="18" t="n"/>
      <c r="IG64" s="18" t="n"/>
      <c r="IH64" s="18" t="n"/>
      <c r="II64" s="18" t="n"/>
      <c r="IJ64" s="18" t="n"/>
      <c r="IK64" s="18" t="n"/>
      <c r="IL64" s="18" t="n"/>
      <c r="IM64" s="18" t="n"/>
      <c r="IN64" s="18" t="n"/>
      <c r="IO64" s="18" t="n"/>
      <c r="IP64" s="18" t="n"/>
      <c r="IQ64" s="18" t="n"/>
      <c r="IR64" s="18" t="n"/>
      <c r="IS64" s="18" t="n"/>
      <c r="IT64" s="18" t="n"/>
      <c r="IU64" s="18" t="n"/>
      <c r="IV64" s="18" t="n"/>
      <c r="IW64" s="18" t="n"/>
      <c r="IX64" s="18" t="n"/>
      <c r="IY64" s="18" t="n"/>
      <c r="IZ64" s="18" t="n"/>
      <c r="JA64" s="18" t="n"/>
      <c r="JB64" s="18" t="n"/>
      <c r="JC64" s="18" t="n"/>
      <c r="JD64" s="18" t="n"/>
      <c r="JE64" s="18" t="n"/>
      <c r="JF64" s="18" t="n"/>
      <c r="JG64" s="18" t="n"/>
      <c r="JH64" s="18" t="n"/>
      <c r="JI64" s="18" t="n"/>
      <c r="JJ64" s="18" t="n"/>
      <c r="JK64" s="18" t="n"/>
      <c r="JL64" s="18" t="n"/>
      <c r="JM64" s="18" t="n"/>
      <c r="JN64" s="18" t="n"/>
      <c r="JO64" s="18" t="n"/>
      <c r="JP64" s="18" t="n"/>
      <c r="JQ64" s="18" t="n"/>
      <c r="JR64" s="18" t="n"/>
      <c r="JS64" s="18" t="n"/>
      <c r="JT64" s="18" t="n"/>
      <c r="JU64" s="18" t="n"/>
      <c r="JV64" s="18" t="n"/>
      <c r="JW64" s="18" t="n"/>
      <c r="JX64" s="18" t="n"/>
      <c r="JY64" s="18" t="n"/>
      <c r="JZ64" s="18" t="n"/>
      <c r="KA64" s="18" t="n"/>
      <c r="KB64" s="18" t="n"/>
      <c r="KC64" s="18" t="n"/>
      <c r="KD64" s="18" t="n"/>
      <c r="KE64" s="18" t="n"/>
      <c r="KF64" s="18" t="n"/>
      <c r="KG64" s="18" t="n"/>
      <c r="KH64" s="18" t="n"/>
      <c r="KI64" s="18" t="n"/>
      <c r="KJ64" s="18" t="n"/>
      <c r="KK64" s="18" t="n"/>
      <c r="KL64" s="18" t="n"/>
      <c r="KM64" s="18" t="n"/>
      <c r="KN64" s="18" t="n"/>
      <c r="KO64" s="18" t="n"/>
      <c r="KP64" s="18" t="n"/>
      <c r="KQ64" s="18" t="n"/>
      <c r="KR64" s="18" t="n"/>
      <c r="KS64" s="18" t="n"/>
      <c r="KT64" s="18" t="n"/>
      <c r="KU64" s="18" t="n"/>
      <c r="KV64" s="18" t="n"/>
      <c r="KW64" s="18" t="n"/>
      <c r="KX64" s="18" t="n"/>
      <c r="KY64" s="18" t="n"/>
      <c r="KZ64" s="18" t="n"/>
      <c r="LA64" s="18" t="n"/>
      <c r="LB64" s="18" t="n"/>
      <c r="LC64" s="18" t="n"/>
      <c r="LD64" s="18" t="n"/>
      <c r="LE64" s="18" t="n"/>
      <c r="LF64" s="18" t="n"/>
      <c r="LG64" s="18" t="n"/>
      <c r="LH64" s="18" t="n"/>
      <c r="LI64" s="18" t="n"/>
      <c r="LJ64" s="18" t="n"/>
      <c r="LK64" s="18" t="n"/>
      <c r="LL64" s="18" t="n"/>
      <c r="LM64" s="18" t="n"/>
      <c r="LN64" s="18" t="n"/>
      <c r="LO64" s="18" t="n"/>
      <c r="LP64" s="18" t="n"/>
      <c r="LQ64" s="18" t="n"/>
      <c r="LR64" s="18" t="n"/>
      <c r="LS64" s="18" t="n"/>
      <c r="LT64" s="18" t="n"/>
      <c r="LU64" s="18" t="n"/>
      <c r="LV64" s="18" t="n"/>
      <c r="LW64" s="18" t="n"/>
      <c r="LX64" s="18" t="n"/>
      <c r="LY64" s="18" t="n"/>
      <c r="LZ64" s="18" t="n"/>
      <c r="MA64" s="18" t="n"/>
      <c r="MB64" s="18" t="n"/>
      <c r="MC64" s="18" t="n"/>
      <c r="MD64" s="18" t="n"/>
      <c r="ME64" s="18" t="n"/>
      <c r="MF64" s="18" t="n"/>
      <c r="MG64" s="18" t="n"/>
      <c r="MH64" s="18" t="n"/>
      <c r="MI64" s="18" t="n"/>
      <c r="MJ64" s="18" t="n"/>
      <c r="MK64" s="18" t="n"/>
      <c r="ML64" s="18" t="n"/>
      <c r="MM64" s="18" t="n"/>
      <c r="MN64" s="18" t="n"/>
      <c r="MO64" s="18" t="n"/>
      <c r="MP64" s="18" t="n"/>
      <c r="MQ64" s="18" t="n"/>
      <c r="MR64" s="18" t="n"/>
      <c r="MS64" s="18" t="n"/>
      <c r="MT64" s="18" t="n"/>
      <c r="MU64" s="18" t="n"/>
      <c r="MV64" s="18" t="n"/>
      <c r="MW64" s="18" t="n"/>
      <c r="MX64" s="18" t="n"/>
      <c r="MY64" s="18" t="n"/>
      <c r="MZ64" s="18" t="n"/>
      <c r="NA64" s="18" t="n"/>
      <c r="NB64" s="18" t="n"/>
      <c r="NC64" s="18" t="n"/>
      <c r="ND64" s="18" t="n"/>
      <c r="NE64" s="18" t="n"/>
      <c r="NF64" s="18" t="n"/>
      <c r="NG64" s="18" t="n"/>
      <c r="NH64" s="18" t="n"/>
      <c r="NI64" s="18" t="n"/>
      <c r="NJ64" s="18" t="n"/>
      <c r="NK64" s="18" t="n"/>
      <c r="NL64" s="18" t="n"/>
      <c r="NM64" s="18" t="n"/>
      <c r="NN64" s="18" t="n"/>
      <c r="NO64" s="18" t="n"/>
      <c r="NP64" s="18" t="n"/>
      <c r="NQ64" s="18" t="n"/>
      <c r="NR64" s="18" t="n"/>
      <c r="NS64" s="18" t="n"/>
      <c r="NT64" s="18" t="n"/>
      <c r="NU64" s="18" t="n"/>
      <c r="NV64" s="18" t="n"/>
      <c r="NW64" s="18" t="n"/>
      <c r="NX64" s="18" t="n"/>
      <c r="NY64" s="18" t="n"/>
      <c r="NZ64" s="18" t="n"/>
      <c r="OA64" s="18" t="n"/>
      <c r="OB64" s="18" t="n"/>
      <c r="OC64" s="18" t="n"/>
      <c r="OD64" s="18" t="n"/>
      <c r="OE64" s="18" t="n"/>
      <c r="OF64" s="18" t="n"/>
      <c r="OG64" s="18" t="n"/>
      <c r="OH64" s="18" t="n"/>
      <c r="OI64" s="18" t="n"/>
      <c r="OJ64" s="18" t="n"/>
      <c r="OK64" s="18" t="n"/>
      <c r="OL64" s="18" t="n"/>
      <c r="OM64" s="18" t="n"/>
      <c r="ON64" s="18" t="n"/>
      <c r="OO64" s="18" t="n"/>
      <c r="OP64" s="18" t="n"/>
      <c r="OQ64" s="18" t="n"/>
      <c r="OR64" s="18" t="n"/>
      <c r="OS64" s="18" t="n"/>
      <c r="OT64" s="18" t="n"/>
      <c r="OU64" s="18" t="n"/>
      <c r="OV64" s="18" t="n"/>
      <c r="OW64" s="18" t="n"/>
      <c r="OX64" s="18" t="n"/>
      <c r="OY64" s="18" t="n"/>
      <c r="OZ64" s="18" t="n"/>
      <c r="PA64" s="18" t="n"/>
      <c r="PB64" s="18" t="n"/>
      <c r="PC64" s="18" t="n"/>
      <c r="PD64" s="18" t="n"/>
      <c r="PE64" s="18" t="n"/>
      <c r="PF64" s="18" t="n"/>
      <c r="PG64" s="18" t="n"/>
      <c r="PH64" s="18" t="n"/>
      <c r="PI64" s="18" t="n"/>
      <c r="PJ64" s="18" t="n"/>
      <c r="PK64" s="18" t="n"/>
    </row>
    <row r="65" ht="17.4" customHeight="1" s="88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8" t="n"/>
      <c r="BA65" s="18" t="n"/>
      <c r="BB65" s="18" t="n"/>
      <c r="BC65" s="18" t="n"/>
      <c r="BD65" s="18" t="n"/>
      <c r="BE65" s="18" t="n"/>
      <c r="BF65" s="18" t="n"/>
      <c r="BG65" s="18" t="n"/>
      <c r="BH65" s="18" t="n"/>
      <c r="BI65" s="18" t="n"/>
      <c r="BJ65" s="18" t="n"/>
      <c r="BK65" s="18" t="n"/>
      <c r="BL65" s="18" t="n"/>
      <c r="BM65" s="18" t="n"/>
      <c r="BN65" s="18" t="n"/>
      <c r="BO65" s="18" t="n"/>
      <c r="BP65" s="18" t="n"/>
      <c r="BQ65" s="18" t="n"/>
      <c r="BR65" s="18" t="n"/>
      <c r="BS65" s="18" t="n"/>
      <c r="BT65" s="18" t="n"/>
      <c r="BU65" s="18" t="n"/>
      <c r="BV65" s="18" t="n"/>
      <c r="BW65" s="18" t="n"/>
      <c r="BX65" s="18" t="n"/>
      <c r="BY65" s="18" t="n"/>
      <c r="BZ65" s="18" t="n"/>
      <c r="CA65" s="18" t="n"/>
      <c r="CB65" s="18" t="n"/>
      <c r="CC65" s="18" t="n"/>
      <c r="CD65" s="18" t="n"/>
      <c r="CE65" s="18" t="n"/>
      <c r="CF65" s="18" t="n"/>
      <c r="CG65" s="18" t="n"/>
      <c r="CH65" s="18" t="n"/>
      <c r="CI65" s="18" t="n"/>
      <c r="CJ65" s="18" t="n"/>
      <c r="CK65" s="18" t="n"/>
      <c r="CL65" s="18" t="n"/>
      <c r="CM65" s="18" t="n"/>
      <c r="CN65" s="18" t="n"/>
      <c r="CO65" s="18" t="n"/>
      <c r="CP65" s="18" t="n"/>
      <c r="CQ65" s="18" t="n"/>
      <c r="CR65" s="18" t="n"/>
      <c r="CS65" s="18" t="n"/>
      <c r="CT65" s="18" t="n"/>
      <c r="CU65" s="18" t="n"/>
      <c r="CV65" s="18" t="n"/>
      <c r="CW65" s="18" t="n"/>
      <c r="CX65" s="18" t="n"/>
      <c r="CY65" s="18" t="n"/>
      <c r="CZ65" s="18" t="n"/>
      <c r="DA65" s="18" t="n"/>
      <c r="DB65" s="18" t="n"/>
      <c r="DC65" s="18" t="n"/>
      <c r="DD65" s="18" t="n"/>
      <c r="DE65" s="18" t="n"/>
      <c r="DF65" s="18" t="n"/>
      <c r="DG65" s="18" t="n"/>
      <c r="DH65" s="18" t="n"/>
      <c r="DI65" s="18" t="n"/>
      <c r="DJ65" s="18" t="n"/>
      <c r="DK65" s="18" t="n"/>
      <c r="DL65" s="18" t="n"/>
      <c r="DM65" s="18" t="n"/>
      <c r="DN65" s="18" t="n"/>
      <c r="DO65" s="18" t="n"/>
      <c r="DP65" s="18" t="n"/>
      <c r="DQ65" s="18" t="n"/>
      <c r="DR65" s="18" t="n"/>
      <c r="DS65" s="18" t="n"/>
      <c r="DT65" s="18" t="n"/>
      <c r="DU65" s="18" t="n"/>
      <c r="DV65" s="18" t="n"/>
      <c r="DW65" s="18" t="n"/>
      <c r="DX65" s="18" t="n"/>
      <c r="DY65" s="18" t="n"/>
      <c r="DZ65" s="18" t="n"/>
      <c r="EA65" s="18" t="n"/>
      <c r="EB65" s="18" t="n"/>
      <c r="EC65" s="18" t="n"/>
      <c r="ED65" s="18" t="n"/>
      <c r="EE65" s="18" t="n"/>
      <c r="EF65" s="18" t="n"/>
      <c r="EG65" s="18" t="n"/>
      <c r="EH65" s="18" t="n"/>
      <c r="EI65" s="18" t="n"/>
      <c r="EJ65" s="18" t="n"/>
      <c r="EK65" s="18" t="n"/>
      <c r="EL65" s="18" t="n"/>
      <c r="EM65" s="18" t="n"/>
      <c r="EN65" s="18" t="n"/>
      <c r="EO65" s="18" t="n"/>
      <c r="EP65" s="18" t="n"/>
      <c r="EQ65" s="18" t="n"/>
      <c r="ER65" s="18" t="n"/>
      <c r="ES65" s="18" t="n"/>
      <c r="ET65" s="18" t="n"/>
      <c r="EU65" s="18" t="n"/>
      <c r="EV65" s="18" t="n"/>
      <c r="EW65" s="18" t="n"/>
      <c r="EX65" s="18" t="n"/>
      <c r="EY65" s="18" t="n"/>
      <c r="EZ65" s="18" t="n"/>
      <c r="FA65" s="18" t="n"/>
      <c r="FB65" s="18" t="n"/>
      <c r="FC65" s="18" t="n"/>
      <c r="FD65" s="18" t="n"/>
      <c r="FE65" s="18" t="n"/>
      <c r="FF65" s="18" t="n"/>
      <c r="FG65" s="18" t="n"/>
      <c r="FH65" s="18" t="n"/>
      <c r="FI65" s="18" t="n"/>
      <c r="FJ65" s="18" t="n"/>
      <c r="FK65" s="18" t="n"/>
      <c r="FL65" s="18" t="n"/>
      <c r="FM65" s="18" t="n"/>
      <c r="FN65" s="18" t="n"/>
      <c r="FO65" s="18" t="n"/>
      <c r="FP65" s="18" t="n"/>
      <c r="FQ65" s="18" t="n"/>
      <c r="FR65" s="18" t="n"/>
      <c r="FS65" s="18" t="n"/>
      <c r="FT65" s="18" t="n"/>
      <c r="FU65" s="18" t="n"/>
      <c r="FV65" s="18" t="n"/>
      <c r="FW65" s="18" t="n"/>
      <c r="FX65" s="18" t="n"/>
      <c r="FY65" s="18" t="n"/>
      <c r="FZ65" s="18" t="n"/>
      <c r="GA65" s="18" t="n"/>
      <c r="GB65" s="18" t="n"/>
      <c r="GC65" s="18" t="n"/>
      <c r="GD65" s="18" t="n"/>
      <c r="GE65" s="18" t="n"/>
      <c r="GF65" s="18" t="n"/>
      <c r="GG65" s="18" t="n"/>
      <c r="GH65" s="18" t="n"/>
      <c r="GI65" s="18" t="n"/>
      <c r="GJ65" s="18" t="n"/>
      <c r="GK65" s="18" t="n"/>
      <c r="GL65" s="18" t="n"/>
      <c r="GM65" s="18" t="n"/>
      <c r="GN65" s="18" t="n"/>
      <c r="GO65" s="18" t="n"/>
      <c r="GP65" s="18" t="n"/>
      <c r="GQ65" s="18" t="n"/>
      <c r="GR65" s="18" t="n"/>
      <c r="GS65" s="18" t="n"/>
      <c r="GT65" s="18" t="n"/>
      <c r="GU65" s="18" t="n"/>
      <c r="GV65" s="18" t="n"/>
      <c r="GW65" s="18" t="n"/>
      <c r="GX65" s="18" t="n"/>
      <c r="GY65" s="18" t="n"/>
      <c r="GZ65" s="18" t="n"/>
      <c r="HA65" s="18" t="n"/>
      <c r="HB65" s="18" t="n"/>
      <c r="HC65" s="18" t="n"/>
      <c r="HD65" s="18" t="n"/>
      <c r="HE65" s="18" t="n"/>
      <c r="HF65" s="18" t="n"/>
      <c r="HG65" s="18" t="n"/>
      <c r="HH65" s="18" t="n"/>
      <c r="HI65" s="18" t="n"/>
      <c r="HJ65" s="18" t="n"/>
      <c r="HK65" s="18" t="n"/>
      <c r="HL65" s="18" t="n"/>
      <c r="HM65" s="18" t="n"/>
      <c r="HN65" s="18" t="n"/>
      <c r="HO65" s="18" t="n"/>
      <c r="HP65" s="18" t="n"/>
      <c r="HQ65" s="18" t="n"/>
      <c r="HR65" s="18" t="n"/>
      <c r="HS65" s="18" t="n"/>
      <c r="HT65" s="18" t="n"/>
      <c r="HU65" s="18" t="n"/>
      <c r="HV65" s="18" t="n"/>
      <c r="HW65" s="18" t="n"/>
      <c r="HX65" s="18" t="n"/>
      <c r="HY65" s="18" t="n"/>
      <c r="HZ65" s="18" t="n"/>
      <c r="IA65" s="18" t="n"/>
      <c r="IB65" s="18" t="n"/>
      <c r="IC65" s="18" t="n"/>
      <c r="ID65" s="18" t="n"/>
      <c r="IE65" s="18" t="n"/>
      <c r="IF65" s="18" t="n"/>
      <c r="IG65" s="18" t="n"/>
      <c r="IH65" s="18" t="n"/>
      <c r="II65" s="18" t="n"/>
      <c r="IJ65" s="18" t="n"/>
      <c r="IK65" s="18" t="n"/>
      <c r="IL65" s="18" t="n"/>
      <c r="IM65" s="18" t="n"/>
      <c r="IN65" s="18" t="n"/>
      <c r="IO65" s="18" t="n"/>
      <c r="IP65" s="18" t="n"/>
      <c r="IQ65" s="18" t="n"/>
      <c r="IR65" s="18" t="n"/>
      <c r="IS65" s="18" t="n"/>
      <c r="IT65" s="18" t="n"/>
      <c r="IU65" s="18" t="n"/>
      <c r="IV65" s="18" t="n"/>
      <c r="IW65" s="18" t="n"/>
      <c r="IX65" s="18" t="n"/>
      <c r="IY65" s="18" t="n"/>
      <c r="IZ65" s="18" t="n"/>
      <c r="JA65" s="18" t="n"/>
      <c r="JB65" s="18" t="n"/>
      <c r="JC65" s="18" t="n"/>
      <c r="JD65" s="18" t="n"/>
      <c r="JE65" s="18" t="n"/>
      <c r="JF65" s="18" t="n"/>
      <c r="JG65" s="18" t="n"/>
      <c r="JH65" s="18" t="n"/>
      <c r="JI65" s="18" t="n"/>
      <c r="JJ65" s="18" t="n"/>
      <c r="JK65" s="18" t="n"/>
      <c r="JL65" s="18" t="n"/>
      <c r="JM65" s="18" t="n"/>
      <c r="JN65" s="18" t="n"/>
      <c r="JO65" s="18" t="n"/>
      <c r="JP65" s="18" t="n"/>
      <c r="JQ65" s="18" t="n"/>
      <c r="JR65" s="18" t="n"/>
      <c r="JS65" s="18" t="n"/>
      <c r="JT65" s="18" t="n"/>
      <c r="JU65" s="18" t="n"/>
      <c r="JV65" s="18" t="n"/>
      <c r="JW65" s="18" t="n"/>
      <c r="JX65" s="18" t="n"/>
      <c r="JY65" s="18" t="n"/>
      <c r="JZ65" s="18" t="n"/>
      <c r="KA65" s="18" t="n"/>
      <c r="KB65" s="18" t="n"/>
      <c r="KC65" s="18" t="n"/>
      <c r="KD65" s="18" t="n"/>
      <c r="KE65" s="18" t="n"/>
      <c r="KF65" s="18" t="n"/>
      <c r="KG65" s="18" t="n"/>
      <c r="KH65" s="18" t="n"/>
      <c r="KI65" s="18" t="n"/>
      <c r="KJ65" s="18" t="n"/>
      <c r="KK65" s="18" t="n"/>
      <c r="KL65" s="18" t="n"/>
      <c r="KM65" s="18" t="n"/>
      <c r="KN65" s="18" t="n"/>
      <c r="KO65" s="18" t="n"/>
      <c r="KP65" s="18" t="n"/>
      <c r="KQ65" s="18" t="n"/>
      <c r="KR65" s="18" t="n"/>
      <c r="KS65" s="18" t="n"/>
      <c r="KT65" s="18" t="n"/>
      <c r="KU65" s="18" t="n"/>
      <c r="KV65" s="18" t="n"/>
      <c r="KW65" s="18" t="n"/>
      <c r="KX65" s="18" t="n"/>
      <c r="KY65" s="18" t="n"/>
      <c r="KZ65" s="18" t="n"/>
      <c r="LA65" s="18" t="n"/>
      <c r="LB65" s="18" t="n"/>
      <c r="LC65" s="18" t="n"/>
      <c r="LD65" s="18" t="n"/>
      <c r="LE65" s="18" t="n"/>
      <c r="LF65" s="18" t="n"/>
      <c r="LG65" s="18" t="n"/>
      <c r="LH65" s="18" t="n"/>
      <c r="LI65" s="18" t="n"/>
      <c r="LJ65" s="18" t="n"/>
      <c r="LK65" s="18" t="n"/>
      <c r="LL65" s="18" t="n"/>
      <c r="LM65" s="18" t="n"/>
      <c r="LN65" s="18" t="n"/>
      <c r="LO65" s="18" t="n"/>
      <c r="LP65" s="18" t="n"/>
      <c r="LQ65" s="18" t="n"/>
      <c r="LR65" s="18" t="n"/>
      <c r="LS65" s="18" t="n"/>
      <c r="LT65" s="18" t="n"/>
      <c r="LU65" s="18" t="n"/>
      <c r="LV65" s="18" t="n"/>
      <c r="LW65" s="18" t="n"/>
      <c r="LX65" s="18" t="n"/>
      <c r="LY65" s="18" t="n"/>
      <c r="LZ65" s="18" t="n"/>
      <c r="MA65" s="18" t="n"/>
      <c r="MB65" s="18" t="n"/>
      <c r="MC65" s="18" t="n"/>
      <c r="MD65" s="18" t="n"/>
      <c r="ME65" s="18" t="n"/>
      <c r="MF65" s="18" t="n"/>
      <c r="MG65" s="18" t="n"/>
      <c r="MH65" s="18" t="n"/>
      <c r="MI65" s="18" t="n"/>
      <c r="MJ65" s="18" t="n"/>
      <c r="MK65" s="18" t="n"/>
      <c r="ML65" s="18" t="n"/>
      <c r="MM65" s="18" t="n"/>
      <c r="MN65" s="18" t="n"/>
      <c r="MO65" s="18" t="n"/>
      <c r="MP65" s="18" t="n"/>
      <c r="MQ65" s="18" t="n"/>
      <c r="MR65" s="18" t="n"/>
      <c r="MS65" s="18" t="n"/>
      <c r="MT65" s="18" t="n"/>
      <c r="MU65" s="18" t="n"/>
      <c r="MV65" s="18" t="n"/>
      <c r="MW65" s="18" t="n"/>
      <c r="MX65" s="18" t="n"/>
      <c r="MY65" s="18" t="n"/>
      <c r="MZ65" s="18" t="n"/>
      <c r="NA65" s="18" t="n"/>
      <c r="NB65" s="18" t="n"/>
      <c r="NC65" s="18" t="n"/>
      <c r="ND65" s="18" t="n"/>
      <c r="NE65" s="18" t="n"/>
      <c r="NF65" s="18" t="n"/>
      <c r="NG65" s="18" t="n"/>
      <c r="NH65" s="18" t="n"/>
      <c r="NI65" s="18" t="n"/>
      <c r="NJ65" s="18" t="n"/>
      <c r="NK65" s="18" t="n"/>
      <c r="NL65" s="18" t="n"/>
      <c r="NM65" s="18" t="n"/>
      <c r="NN65" s="18" t="n"/>
      <c r="NO65" s="18" t="n"/>
      <c r="NP65" s="18" t="n"/>
      <c r="NQ65" s="18" t="n"/>
      <c r="NR65" s="18" t="n"/>
      <c r="NS65" s="18" t="n"/>
      <c r="NT65" s="18" t="n"/>
      <c r="NU65" s="18" t="n"/>
      <c r="NV65" s="18" t="n"/>
      <c r="NW65" s="18" t="n"/>
      <c r="NX65" s="18" t="n"/>
      <c r="NY65" s="18" t="n"/>
      <c r="NZ65" s="18" t="n"/>
      <c r="OA65" s="18" t="n"/>
      <c r="OB65" s="18" t="n"/>
      <c r="OC65" s="18" t="n"/>
      <c r="OD65" s="18" t="n"/>
      <c r="OE65" s="18" t="n"/>
      <c r="OF65" s="18" t="n"/>
      <c r="OG65" s="18" t="n"/>
      <c r="OH65" s="18" t="n"/>
      <c r="OI65" s="18" t="n"/>
      <c r="OJ65" s="18" t="n"/>
      <c r="OK65" s="18" t="n"/>
      <c r="OL65" s="18" t="n"/>
      <c r="OM65" s="18" t="n"/>
      <c r="ON65" s="18" t="n"/>
      <c r="OO65" s="18" t="n"/>
      <c r="OP65" s="18" t="n"/>
      <c r="OQ65" s="18" t="n"/>
      <c r="OR65" s="18" t="n"/>
      <c r="OS65" s="18" t="n"/>
      <c r="OT65" s="18" t="n"/>
      <c r="OU65" s="18" t="n"/>
      <c r="OV65" s="18" t="n"/>
      <c r="OW65" s="18" t="n"/>
      <c r="OX65" s="18" t="n"/>
      <c r="OY65" s="18" t="n"/>
      <c r="OZ65" s="18" t="n"/>
      <c r="PA65" s="18" t="n"/>
      <c r="PB65" s="18" t="n"/>
      <c r="PC65" s="18" t="n"/>
      <c r="PD65" s="18" t="n"/>
      <c r="PE65" s="18" t="n"/>
      <c r="PF65" s="18" t="n"/>
      <c r="PG65" s="18" t="n"/>
      <c r="PH65" s="18" t="n"/>
      <c r="PI65" s="18" t="n"/>
      <c r="PJ65" s="18" t="n"/>
      <c r="PK65" s="18" t="n"/>
      <c r="PL65" s="18" t="n"/>
      <c r="PM65" s="18" t="n"/>
      <c r="PN65" s="18" t="n"/>
      <c r="PO65" s="18" t="n"/>
    </row>
    <row r="66" ht="17.4" customHeight="1" s="88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8" t="n"/>
      <c r="BA66" s="18" t="n"/>
      <c r="BB66" s="18" t="n"/>
      <c r="BC66" s="18" t="n"/>
      <c r="BD66" s="18" t="n"/>
      <c r="BE66" s="18" t="n"/>
      <c r="BF66" s="18" t="n"/>
      <c r="BG66" s="18" t="n"/>
      <c r="BH66" s="18" t="n"/>
      <c r="BI66" s="18" t="n"/>
      <c r="BJ66" s="18" t="n"/>
      <c r="BK66" s="18" t="n"/>
      <c r="BL66" s="18" t="n"/>
      <c r="BM66" s="18" t="n"/>
      <c r="BN66" s="18" t="n"/>
      <c r="BO66" s="18" t="n"/>
      <c r="BP66" s="18" t="n"/>
      <c r="BQ66" s="18" t="n"/>
      <c r="BR66" s="18" t="n"/>
      <c r="BS66" s="18" t="n"/>
      <c r="BT66" s="18" t="n"/>
      <c r="BU66" s="18" t="n"/>
      <c r="BV66" s="18" t="n"/>
      <c r="BW66" s="18" t="n"/>
      <c r="BX66" s="18" t="n"/>
      <c r="BY66" s="18" t="n"/>
      <c r="BZ66" s="18" t="n"/>
      <c r="CA66" s="18" t="n"/>
      <c r="CB66" s="18" t="n"/>
      <c r="CC66" s="18" t="n"/>
      <c r="CD66" s="18" t="n"/>
      <c r="CE66" s="18" t="n"/>
      <c r="CF66" s="18" t="n"/>
      <c r="CG66" s="18" t="n"/>
      <c r="CH66" s="18" t="n"/>
      <c r="CI66" s="18" t="n"/>
      <c r="CJ66" s="18" t="n"/>
      <c r="CK66" s="18" t="n"/>
      <c r="CL66" s="18" t="n"/>
      <c r="CM66" s="18" t="n"/>
      <c r="CN66" s="18" t="n"/>
      <c r="CO66" s="18" t="n"/>
      <c r="CP66" s="18" t="n"/>
      <c r="CQ66" s="18" t="n"/>
      <c r="CR66" s="18" t="n"/>
      <c r="CS66" s="18" t="n"/>
      <c r="CT66" s="18" t="n"/>
      <c r="CU66" s="18" t="n"/>
      <c r="CV66" s="18" t="n"/>
      <c r="CW66" s="18" t="n"/>
      <c r="CX66" s="18" t="n"/>
      <c r="CY66" s="18" t="n"/>
      <c r="CZ66" s="18" t="n"/>
      <c r="DA66" s="18" t="n"/>
      <c r="DB66" s="18" t="n"/>
      <c r="DC66" s="18" t="n"/>
      <c r="DD66" s="18" t="n"/>
      <c r="DE66" s="18" t="n"/>
      <c r="DF66" s="18" t="n"/>
      <c r="DG66" s="18" t="n"/>
      <c r="DH66" s="18" t="n"/>
      <c r="DI66" s="18" t="n"/>
      <c r="DJ66" s="18" t="n"/>
      <c r="DK66" s="18" t="n"/>
      <c r="DL66" s="18" t="n"/>
      <c r="DM66" s="18" t="n"/>
      <c r="DN66" s="18" t="n"/>
      <c r="DO66" s="18" t="n"/>
      <c r="DP66" s="18" t="n"/>
      <c r="DQ66" s="18" t="n"/>
      <c r="DR66" s="18" t="n"/>
      <c r="DS66" s="18" t="n"/>
      <c r="DT66" s="18" t="n"/>
      <c r="DU66" s="18" t="n"/>
      <c r="DV66" s="18" t="n"/>
      <c r="DW66" s="18" t="n"/>
      <c r="DX66" s="18" t="n"/>
      <c r="DY66" s="18" t="n"/>
      <c r="DZ66" s="18" t="n"/>
      <c r="EA66" s="18" t="n"/>
      <c r="EB66" s="18" t="n"/>
      <c r="EC66" s="18" t="n"/>
      <c r="ED66" s="18" t="n"/>
      <c r="EE66" s="18" t="n"/>
      <c r="EF66" s="18" t="n"/>
      <c r="EG66" s="18" t="n"/>
      <c r="EH66" s="18" t="n"/>
      <c r="EI66" s="18" t="n"/>
      <c r="EJ66" s="18" t="n"/>
      <c r="EK66" s="18" t="n"/>
      <c r="EL66" s="18" t="n"/>
      <c r="EM66" s="18" t="n"/>
      <c r="EN66" s="18" t="n"/>
      <c r="EO66" s="18" t="n"/>
      <c r="EP66" s="18" t="n"/>
      <c r="EQ66" s="18" t="n"/>
      <c r="ER66" s="18" t="n"/>
      <c r="ES66" s="18" t="n"/>
      <c r="ET66" s="18" t="n"/>
      <c r="EU66" s="18" t="n"/>
      <c r="EV66" s="18" t="n"/>
      <c r="EW66" s="18" t="n"/>
      <c r="EX66" s="18" t="n"/>
      <c r="EY66" s="18" t="n"/>
      <c r="EZ66" s="18" t="n"/>
      <c r="FA66" s="18" t="n"/>
      <c r="FB66" s="18" t="n"/>
      <c r="FC66" s="18" t="n"/>
      <c r="FD66" s="18" t="n"/>
      <c r="FE66" s="18" t="n"/>
      <c r="FF66" s="18" t="n"/>
      <c r="FG66" s="18" t="n"/>
      <c r="FH66" s="18" t="n"/>
      <c r="FI66" s="18" t="n"/>
      <c r="FJ66" s="18" t="n"/>
      <c r="FK66" s="18" t="n"/>
      <c r="FL66" s="18" t="n"/>
      <c r="FM66" s="18" t="n"/>
      <c r="FN66" s="18" t="n"/>
      <c r="FO66" s="18" t="n"/>
      <c r="FP66" s="18" t="n"/>
      <c r="FQ66" s="18" t="n"/>
      <c r="FR66" s="18" t="n"/>
      <c r="FS66" s="18" t="n"/>
      <c r="FT66" s="18" t="n"/>
      <c r="FU66" s="18" t="n"/>
      <c r="FV66" s="18" t="n"/>
      <c r="FW66" s="18" t="n"/>
      <c r="FX66" s="18" t="n"/>
      <c r="FY66" s="18" t="n"/>
      <c r="FZ66" s="18" t="n"/>
      <c r="GA66" s="18" t="n"/>
      <c r="GB66" s="18" t="n"/>
      <c r="GC66" s="18" t="n"/>
      <c r="GD66" s="18" t="n"/>
      <c r="GE66" s="18" t="n"/>
      <c r="GF66" s="18" t="n"/>
      <c r="GG66" s="18" t="n"/>
      <c r="GH66" s="18" t="n"/>
      <c r="GI66" s="18" t="n"/>
      <c r="GJ66" s="18" t="n"/>
      <c r="GK66" s="18" t="n"/>
      <c r="GL66" s="18" t="n"/>
      <c r="GM66" s="18" t="n"/>
      <c r="GN66" s="18" t="n"/>
      <c r="GO66" s="18" t="n"/>
      <c r="GP66" s="18" t="n"/>
      <c r="GQ66" s="18" t="n"/>
      <c r="GR66" s="18" t="n"/>
      <c r="GS66" s="18" t="n"/>
      <c r="GT66" s="18" t="n"/>
      <c r="GU66" s="18" t="n"/>
      <c r="GV66" s="18" t="n"/>
      <c r="GW66" s="18" t="n"/>
      <c r="GX66" s="18" t="n"/>
      <c r="GY66" s="18" t="n"/>
      <c r="GZ66" s="18" t="n"/>
      <c r="HA66" s="18" t="n"/>
      <c r="HB66" s="18" t="n"/>
      <c r="HC66" s="18" t="n"/>
      <c r="HD66" s="18" t="n"/>
      <c r="HE66" s="18" t="n"/>
      <c r="HF66" s="18" t="n"/>
      <c r="HG66" s="18" t="n"/>
      <c r="HH66" s="18" t="n"/>
      <c r="HI66" s="18" t="n"/>
      <c r="HJ66" s="18" t="n"/>
      <c r="HK66" s="18" t="n"/>
      <c r="HL66" s="18" t="n"/>
      <c r="HM66" s="18" t="n"/>
      <c r="HN66" s="18" t="n"/>
      <c r="HO66" s="18" t="n"/>
      <c r="HP66" s="18" t="n"/>
      <c r="HQ66" s="18" t="n"/>
      <c r="HR66" s="18" t="n"/>
      <c r="HS66" s="18" t="n"/>
      <c r="HT66" s="18" t="n"/>
      <c r="HU66" s="18" t="n"/>
      <c r="HV66" s="18" t="n"/>
      <c r="HW66" s="18" t="n"/>
      <c r="HX66" s="18" t="n"/>
      <c r="HY66" s="18" t="n"/>
      <c r="HZ66" s="18" t="n"/>
      <c r="IA66" s="18" t="n"/>
      <c r="IB66" s="18" t="n"/>
      <c r="IC66" s="18" t="n"/>
      <c r="ID66" s="18" t="n"/>
      <c r="IE66" s="18" t="n"/>
      <c r="IF66" s="18" t="n"/>
      <c r="IG66" s="18" t="n"/>
      <c r="IH66" s="18" t="n"/>
      <c r="II66" s="18" t="n"/>
      <c r="IJ66" s="18" t="n"/>
      <c r="IK66" s="18" t="n"/>
      <c r="IL66" s="18" t="n"/>
      <c r="IM66" s="18" t="n"/>
      <c r="IN66" s="18" t="n"/>
      <c r="IO66" s="18" t="n"/>
      <c r="IP66" s="18" t="n"/>
      <c r="IQ66" s="18" t="n"/>
      <c r="IR66" s="18" t="n"/>
      <c r="IS66" s="18" t="n"/>
      <c r="IT66" s="18" t="n"/>
      <c r="IU66" s="18" t="n"/>
      <c r="IV66" s="18" t="n"/>
      <c r="IW66" s="18" t="n"/>
      <c r="IX66" s="18" t="n"/>
      <c r="IY66" s="18" t="n"/>
      <c r="IZ66" s="18" t="n"/>
      <c r="JA66" s="18" t="n"/>
      <c r="JB66" s="18" t="n"/>
      <c r="JC66" s="18" t="n"/>
      <c r="JD66" s="18" t="n"/>
      <c r="JE66" s="18" t="n"/>
      <c r="JF66" s="18" t="n"/>
      <c r="JG66" s="18" t="n"/>
      <c r="JH66" s="18" t="n"/>
      <c r="JI66" s="18" t="n"/>
      <c r="JJ66" s="18" t="n"/>
      <c r="JK66" s="18" t="n"/>
      <c r="JL66" s="18" t="n"/>
      <c r="JM66" s="18" t="n"/>
      <c r="JN66" s="18" t="n"/>
      <c r="JO66" s="18" t="n"/>
      <c r="JP66" s="18" t="n"/>
      <c r="JQ66" s="18" t="n"/>
      <c r="JR66" s="18" t="n"/>
      <c r="JS66" s="18" t="n"/>
      <c r="JT66" s="18" t="n"/>
      <c r="JU66" s="18" t="n"/>
      <c r="JV66" s="18" t="n"/>
      <c r="JW66" s="18" t="n"/>
      <c r="JX66" s="18" t="n"/>
      <c r="JY66" s="18" t="n"/>
      <c r="JZ66" s="18" t="n"/>
      <c r="KA66" s="18" t="n"/>
      <c r="KB66" s="18" t="n"/>
      <c r="KC66" s="18" t="n"/>
      <c r="KD66" s="18" t="n"/>
      <c r="KE66" s="18" t="n"/>
      <c r="KF66" s="18" t="n"/>
      <c r="KG66" s="18" t="n"/>
      <c r="KH66" s="18" t="n"/>
      <c r="KI66" s="18" t="n"/>
      <c r="KJ66" s="18" t="n"/>
      <c r="KK66" s="18" t="n"/>
      <c r="KL66" s="18" t="n"/>
      <c r="KM66" s="18" t="n"/>
      <c r="KN66" s="18" t="n"/>
      <c r="KO66" s="18" t="n"/>
      <c r="KP66" s="18" t="n"/>
      <c r="KQ66" s="18" t="n"/>
      <c r="KR66" s="18" t="n"/>
      <c r="KS66" s="18" t="n"/>
      <c r="KT66" s="18" t="n"/>
      <c r="KU66" s="18" t="n"/>
      <c r="KV66" s="18" t="n"/>
      <c r="KW66" s="18" t="n"/>
      <c r="KX66" s="18" t="n"/>
      <c r="KY66" s="18" t="n"/>
      <c r="KZ66" s="18" t="n"/>
      <c r="LA66" s="18" t="n"/>
      <c r="LB66" s="18" t="n"/>
      <c r="LC66" s="18" t="n"/>
      <c r="LD66" s="18" t="n"/>
      <c r="LE66" s="18" t="n"/>
      <c r="LF66" s="18" t="n"/>
      <c r="LG66" s="18" t="n"/>
      <c r="LH66" s="18" t="n"/>
      <c r="LI66" s="18" t="n"/>
      <c r="LJ66" s="18" t="n"/>
      <c r="LK66" s="18" t="n"/>
      <c r="LL66" s="18" t="n"/>
      <c r="LM66" s="18" t="n"/>
      <c r="LN66" s="18" t="n"/>
      <c r="LO66" s="18" t="n"/>
      <c r="LP66" s="18" t="n"/>
      <c r="LQ66" s="18" t="n"/>
      <c r="LR66" s="18" t="n"/>
      <c r="LS66" s="18" t="n"/>
      <c r="LT66" s="18" t="n"/>
      <c r="LU66" s="18" t="n"/>
      <c r="LV66" s="18" t="n"/>
      <c r="LW66" s="18" t="n"/>
      <c r="LX66" s="18" t="n"/>
      <c r="LY66" s="18" t="n"/>
      <c r="LZ66" s="18" t="n"/>
      <c r="MA66" s="18" t="n"/>
      <c r="MB66" s="18" t="n"/>
      <c r="MC66" s="18" t="n"/>
      <c r="MD66" s="18" t="n"/>
      <c r="ME66" s="18" t="n"/>
      <c r="MF66" s="18" t="n"/>
      <c r="MG66" s="18" t="n"/>
      <c r="MH66" s="18" t="n"/>
      <c r="MI66" s="18" t="n"/>
      <c r="MJ66" s="18" t="n"/>
      <c r="MK66" s="18" t="n"/>
      <c r="ML66" s="18" t="n"/>
      <c r="MM66" s="18" t="n"/>
      <c r="MN66" s="18" t="n"/>
      <c r="MO66" s="18" t="n"/>
      <c r="MP66" s="18" t="n"/>
      <c r="MQ66" s="18" t="n"/>
      <c r="MR66" s="18" t="n"/>
      <c r="MS66" s="18" t="n"/>
      <c r="MT66" s="18" t="n"/>
      <c r="MU66" s="18" t="n"/>
      <c r="MV66" s="18" t="n"/>
      <c r="MW66" s="18" t="n"/>
      <c r="MX66" s="18" t="n"/>
      <c r="MY66" s="18" t="n"/>
      <c r="MZ66" s="18" t="n"/>
      <c r="NA66" s="18" t="n"/>
      <c r="NB66" s="18" t="n"/>
      <c r="NC66" s="18" t="n"/>
      <c r="ND66" s="18" t="n"/>
      <c r="NE66" s="18" t="n"/>
      <c r="NF66" s="18" t="n"/>
      <c r="NG66" s="18" t="n"/>
      <c r="NH66" s="18" t="n"/>
      <c r="NI66" s="18" t="n"/>
      <c r="NJ66" s="18" t="n"/>
      <c r="NK66" s="18" t="n"/>
      <c r="NL66" s="18" t="n"/>
      <c r="NM66" s="18" t="n"/>
      <c r="NN66" s="18" t="n"/>
      <c r="NO66" s="18" t="n"/>
      <c r="NP66" s="18" t="n"/>
      <c r="NQ66" s="18" t="n"/>
      <c r="NR66" s="18" t="n"/>
      <c r="NS66" s="18" t="n"/>
      <c r="NT66" s="18" t="n"/>
      <c r="NU66" s="18" t="n"/>
      <c r="NV66" s="18" t="n"/>
      <c r="NW66" s="18" t="n"/>
      <c r="NX66" s="18" t="n"/>
      <c r="NY66" s="18" t="n"/>
      <c r="NZ66" s="18" t="n"/>
      <c r="OA66" s="18" t="n"/>
      <c r="OB66" s="18" t="n"/>
      <c r="OC66" s="18" t="n"/>
      <c r="OD66" s="18" t="n"/>
      <c r="OE66" s="18" t="n"/>
      <c r="OF66" s="18" t="n"/>
      <c r="OG66" s="18" t="n"/>
      <c r="OH66" s="18" t="n"/>
      <c r="OI66" s="18" t="n"/>
      <c r="OJ66" s="18" t="n"/>
      <c r="OK66" s="18" t="n"/>
      <c r="OL66" s="18" t="n"/>
      <c r="OM66" s="18" t="n"/>
      <c r="ON66" s="18" t="n"/>
      <c r="OO66" s="18" t="n"/>
      <c r="OP66" s="18" t="n"/>
      <c r="OQ66" s="18" t="n"/>
      <c r="OR66" s="18" t="n"/>
      <c r="OS66" s="18" t="n"/>
      <c r="OT66" s="18" t="n"/>
      <c r="OU66" s="18" t="n"/>
      <c r="OV66" s="18" t="n"/>
      <c r="OW66" s="18" t="n"/>
      <c r="OX66" s="18" t="n"/>
      <c r="OY66" s="18" t="n"/>
      <c r="OZ66" s="18" t="n"/>
      <c r="PA66" s="18" t="n"/>
      <c r="PB66" s="18" t="n"/>
      <c r="PC66" s="18" t="n"/>
      <c r="PD66" s="18" t="n"/>
      <c r="PE66" s="18" t="n"/>
      <c r="PF66" s="18" t="n"/>
      <c r="PG66" s="18" t="n"/>
      <c r="PH66" s="18" t="n"/>
      <c r="PI66" s="18" t="n"/>
      <c r="PJ66" s="18" t="n"/>
      <c r="PK66" s="18" t="n"/>
      <c r="PL66" s="18" t="n"/>
      <c r="PM66" s="18" t="n"/>
      <c r="PN66" s="18" t="n"/>
      <c r="PO66" s="18" t="n"/>
      <c r="PP66" s="18" t="n"/>
      <c r="PQ66" s="18" t="n"/>
      <c r="PR66" s="18" t="n"/>
      <c r="PS66" s="18" t="n"/>
    </row>
    <row r="67" ht="17.4" customHeight="1" s="88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8" t="n"/>
      <c r="BA67" s="18" t="n"/>
      <c r="BB67" s="18" t="n"/>
      <c r="BC67" s="18" t="n"/>
      <c r="BD67" s="18" t="n"/>
      <c r="BE67" s="18" t="n"/>
      <c r="BF67" s="18" t="n"/>
      <c r="BG67" s="18" t="n"/>
      <c r="BH67" s="18" t="n"/>
      <c r="BI67" s="18" t="n"/>
      <c r="BJ67" s="18" t="n"/>
      <c r="BK67" s="18" t="n"/>
      <c r="BL67" s="18" t="n"/>
      <c r="BM67" s="18" t="n"/>
      <c r="BN67" s="18" t="n"/>
      <c r="BO67" s="18" t="n"/>
      <c r="BP67" s="18" t="n"/>
      <c r="BQ67" s="18" t="n"/>
      <c r="BR67" s="18" t="n"/>
      <c r="BS67" s="18" t="n"/>
      <c r="BT67" s="18" t="n"/>
      <c r="BU67" s="18" t="n"/>
      <c r="BV67" s="18" t="n"/>
      <c r="BW67" s="18" t="n"/>
      <c r="BX67" s="18" t="n"/>
      <c r="BY67" s="18" t="n"/>
      <c r="BZ67" s="18" t="n"/>
      <c r="CA67" s="18" t="n"/>
      <c r="CB67" s="18" t="n"/>
      <c r="CC67" s="18" t="n"/>
      <c r="CD67" s="18" t="n"/>
      <c r="CE67" s="18" t="n"/>
      <c r="CF67" s="18" t="n"/>
      <c r="CG67" s="18" t="n"/>
      <c r="CH67" s="18" t="n"/>
      <c r="CI67" s="18" t="n"/>
      <c r="CJ67" s="18" t="n"/>
      <c r="CK67" s="18" t="n"/>
      <c r="CL67" s="18" t="n"/>
      <c r="CM67" s="18" t="n"/>
      <c r="CN67" s="18" t="n"/>
      <c r="CO67" s="18" t="n"/>
      <c r="CP67" s="18" t="n"/>
      <c r="CQ67" s="18" t="n"/>
      <c r="CR67" s="18" t="n"/>
      <c r="CS67" s="18" t="n"/>
      <c r="CT67" s="18" t="n"/>
      <c r="CU67" s="18" t="n"/>
      <c r="CV67" s="18" t="n"/>
      <c r="CW67" s="18" t="n"/>
      <c r="CX67" s="18" t="n"/>
      <c r="CY67" s="18" t="n"/>
      <c r="CZ67" s="18" t="n"/>
      <c r="DA67" s="18" t="n"/>
      <c r="DB67" s="18" t="n"/>
      <c r="DC67" s="18" t="n"/>
      <c r="DD67" s="18" t="n"/>
      <c r="DE67" s="18" t="n"/>
      <c r="DF67" s="18" t="n"/>
      <c r="DG67" s="18" t="n"/>
      <c r="DH67" s="18" t="n"/>
      <c r="DI67" s="18" t="n"/>
      <c r="DJ67" s="18" t="n"/>
      <c r="DK67" s="18" t="n"/>
      <c r="DL67" s="18" t="n"/>
      <c r="DM67" s="18" t="n"/>
      <c r="DN67" s="18" t="n"/>
      <c r="DO67" s="18" t="n"/>
      <c r="DP67" s="18" t="n"/>
      <c r="DQ67" s="18" t="n"/>
      <c r="DR67" s="18" t="n"/>
      <c r="DS67" s="18" t="n"/>
      <c r="DT67" s="18" t="n"/>
      <c r="DU67" s="18" t="n"/>
      <c r="DV67" s="18" t="n"/>
      <c r="DW67" s="18" t="n"/>
      <c r="DX67" s="18" t="n"/>
      <c r="DY67" s="18" t="n"/>
      <c r="DZ67" s="18" t="n"/>
      <c r="EA67" s="18" t="n"/>
      <c r="EB67" s="18" t="n"/>
      <c r="EC67" s="18" t="n"/>
      <c r="ED67" s="18" t="n"/>
      <c r="EE67" s="18" t="n"/>
      <c r="EF67" s="18" t="n"/>
      <c r="EG67" s="18" t="n"/>
      <c r="EH67" s="18" t="n"/>
      <c r="EI67" s="18" t="n"/>
      <c r="EJ67" s="18" t="n"/>
      <c r="EK67" s="18" t="n"/>
      <c r="EL67" s="18" t="n"/>
      <c r="EM67" s="18" t="n"/>
      <c r="EN67" s="18" t="n"/>
      <c r="EO67" s="18" t="n"/>
      <c r="EP67" s="18" t="n"/>
      <c r="EQ67" s="18" t="n"/>
      <c r="ER67" s="18" t="n"/>
      <c r="ES67" s="18" t="n"/>
      <c r="ET67" s="18" t="n"/>
      <c r="EU67" s="18" t="n"/>
      <c r="EV67" s="18" t="n"/>
      <c r="EW67" s="18" t="n"/>
      <c r="EX67" s="18" t="n"/>
      <c r="EY67" s="18" t="n"/>
      <c r="EZ67" s="18" t="n"/>
      <c r="FA67" s="18" t="n"/>
      <c r="FB67" s="18" t="n"/>
      <c r="FC67" s="18" t="n"/>
      <c r="FD67" s="18" t="n"/>
      <c r="FE67" s="18" t="n"/>
      <c r="FF67" s="18" t="n"/>
      <c r="FG67" s="18" t="n"/>
      <c r="FH67" s="18" t="n"/>
      <c r="FI67" s="18" t="n"/>
      <c r="FJ67" s="18" t="n"/>
      <c r="FK67" s="18" t="n"/>
      <c r="FL67" s="18" t="n"/>
      <c r="FM67" s="18" t="n"/>
      <c r="FN67" s="18" t="n"/>
      <c r="FO67" s="18" t="n"/>
      <c r="FP67" s="18" t="n"/>
      <c r="FQ67" s="18" t="n"/>
      <c r="FR67" s="18" t="n"/>
      <c r="FS67" s="18" t="n"/>
      <c r="FT67" s="18" t="n"/>
      <c r="FU67" s="18" t="n"/>
      <c r="FV67" s="18" t="n"/>
      <c r="FW67" s="18" t="n"/>
      <c r="FX67" s="18" t="n"/>
      <c r="FY67" s="18" t="n"/>
      <c r="FZ67" s="18" t="n"/>
      <c r="GA67" s="18" t="n"/>
      <c r="GB67" s="18" t="n"/>
      <c r="GC67" s="18" t="n"/>
      <c r="GD67" s="18" t="n"/>
      <c r="GE67" s="18" t="n"/>
      <c r="GF67" s="18" t="n"/>
      <c r="GG67" s="18" t="n"/>
      <c r="GH67" s="18" t="n"/>
      <c r="GI67" s="18" t="n"/>
      <c r="GJ67" s="18" t="n"/>
      <c r="GK67" s="18" t="n"/>
      <c r="GL67" s="18" t="n"/>
      <c r="GM67" s="18" t="n"/>
      <c r="GN67" s="18" t="n"/>
      <c r="GO67" s="18" t="n"/>
      <c r="GP67" s="18" t="n"/>
      <c r="GQ67" s="18" t="n"/>
      <c r="GR67" s="18" t="n"/>
      <c r="GS67" s="18" t="n"/>
      <c r="GT67" s="18" t="n"/>
      <c r="GU67" s="18" t="n"/>
      <c r="GV67" s="18" t="n"/>
      <c r="GW67" s="18" t="n"/>
      <c r="GX67" s="18" t="n"/>
      <c r="GY67" s="18" t="n"/>
      <c r="GZ67" s="18" t="n"/>
      <c r="HA67" s="18" t="n"/>
      <c r="HB67" s="18" t="n"/>
      <c r="HC67" s="18" t="n"/>
      <c r="HD67" s="18" t="n"/>
      <c r="HE67" s="18" t="n"/>
      <c r="HF67" s="18" t="n"/>
      <c r="HG67" s="18" t="n"/>
      <c r="HH67" s="18" t="n"/>
      <c r="HI67" s="18" t="n"/>
      <c r="HJ67" s="18" t="n"/>
      <c r="HK67" s="18" t="n"/>
      <c r="HL67" s="18" t="n"/>
      <c r="HM67" s="18" t="n"/>
      <c r="HN67" s="18" t="n"/>
      <c r="HO67" s="18" t="n"/>
      <c r="HP67" s="18" t="n"/>
      <c r="HQ67" s="18" t="n"/>
      <c r="HR67" s="18" t="n"/>
      <c r="HS67" s="18" t="n"/>
      <c r="HT67" s="18" t="n"/>
      <c r="HU67" s="18" t="n"/>
      <c r="HV67" s="18" t="n"/>
      <c r="HW67" s="18" t="n"/>
      <c r="HX67" s="18" t="n"/>
      <c r="HY67" s="18" t="n"/>
      <c r="HZ67" s="18" t="n"/>
      <c r="IA67" s="18" t="n"/>
      <c r="IB67" s="18" t="n"/>
      <c r="IC67" s="18" t="n"/>
      <c r="ID67" s="18" t="n"/>
      <c r="IE67" s="18" t="n"/>
      <c r="IF67" s="18" t="n"/>
      <c r="IG67" s="18" t="n"/>
      <c r="IH67" s="18" t="n"/>
      <c r="II67" s="18" t="n"/>
      <c r="IJ67" s="18" t="n"/>
      <c r="IK67" s="18" t="n"/>
      <c r="IL67" s="18" t="n"/>
      <c r="IM67" s="18" t="n"/>
      <c r="IN67" s="18" t="n"/>
      <c r="IO67" s="18" t="n"/>
      <c r="IP67" s="18" t="n"/>
      <c r="IQ67" s="18" t="n"/>
      <c r="IR67" s="18" t="n"/>
      <c r="IS67" s="18" t="n"/>
      <c r="IT67" s="18" t="n"/>
      <c r="IU67" s="18" t="n"/>
      <c r="IV67" s="18" t="n"/>
      <c r="IW67" s="18" t="n"/>
      <c r="IX67" s="18" t="n"/>
      <c r="IY67" s="18" t="n"/>
      <c r="IZ67" s="18" t="n"/>
      <c r="JA67" s="18" t="n"/>
      <c r="JB67" s="18" t="n"/>
      <c r="JC67" s="18" t="n"/>
      <c r="JD67" s="18" t="n"/>
      <c r="JE67" s="18" t="n"/>
      <c r="JF67" s="18" t="n"/>
      <c r="JG67" s="18" t="n"/>
      <c r="JH67" s="18" t="n"/>
      <c r="JI67" s="18" t="n"/>
      <c r="JJ67" s="18" t="n"/>
      <c r="JK67" s="18" t="n"/>
      <c r="JL67" s="18" t="n"/>
      <c r="JM67" s="18" t="n"/>
      <c r="JN67" s="18" t="n"/>
      <c r="JO67" s="18" t="n"/>
      <c r="JP67" s="18" t="n"/>
      <c r="JQ67" s="18" t="n"/>
      <c r="JR67" s="18" t="n"/>
      <c r="JS67" s="18" t="n"/>
      <c r="JT67" s="18" t="n"/>
      <c r="JU67" s="18" t="n"/>
      <c r="JV67" s="18" t="n"/>
      <c r="JW67" s="18" t="n"/>
      <c r="JX67" s="18" t="n"/>
      <c r="JY67" s="18" t="n"/>
      <c r="JZ67" s="18" t="n"/>
      <c r="KA67" s="18" t="n"/>
      <c r="KB67" s="18" t="n"/>
      <c r="KC67" s="18" t="n"/>
      <c r="KD67" s="18" t="n"/>
      <c r="KE67" s="18" t="n"/>
      <c r="KF67" s="18" t="n"/>
      <c r="KG67" s="18" t="n"/>
      <c r="KH67" s="18" t="n"/>
      <c r="KI67" s="18" t="n"/>
      <c r="KJ67" s="18" t="n"/>
      <c r="KK67" s="18" t="n"/>
      <c r="KL67" s="18" t="n"/>
      <c r="KM67" s="18" t="n"/>
      <c r="KN67" s="18" t="n"/>
      <c r="KO67" s="18" t="n"/>
      <c r="KP67" s="18" t="n"/>
      <c r="KQ67" s="18" t="n"/>
      <c r="KR67" s="18" t="n"/>
      <c r="KS67" s="18" t="n"/>
      <c r="KT67" s="18" t="n"/>
      <c r="KU67" s="18" t="n"/>
      <c r="KV67" s="18" t="n"/>
      <c r="KW67" s="18" t="n"/>
      <c r="KX67" s="18" t="n"/>
      <c r="KY67" s="18" t="n"/>
      <c r="KZ67" s="18" t="n"/>
      <c r="LA67" s="18" t="n"/>
      <c r="LB67" s="18" t="n"/>
      <c r="LC67" s="18" t="n"/>
      <c r="LD67" s="18" t="n"/>
      <c r="LE67" s="18" t="n"/>
      <c r="LF67" s="18" t="n"/>
      <c r="LG67" s="18" t="n"/>
      <c r="LH67" s="18" t="n"/>
      <c r="LI67" s="18" t="n"/>
      <c r="LJ67" s="18" t="n"/>
      <c r="LK67" s="18" t="n"/>
      <c r="LL67" s="18" t="n"/>
      <c r="LM67" s="18" t="n"/>
      <c r="LN67" s="18" t="n"/>
      <c r="LO67" s="18" t="n"/>
      <c r="LP67" s="18" t="n"/>
      <c r="LQ67" s="18" t="n"/>
      <c r="LR67" s="18" t="n"/>
      <c r="LS67" s="18" t="n"/>
      <c r="LT67" s="18" t="n"/>
      <c r="LU67" s="18" t="n"/>
      <c r="LV67" s="18" t="n"/>
      <c r="LW67" s="18" t="n"/>
      <c r="LX67" s="18" t="n"/>
      <c r="LY67" s="18" t="n"/>
      <c r="LZ67" s="18" t="n"/>
      <c r="MA67" s="18" t="n"/>
      <c r="MB67" s="18" t="n"/>
      <c r="MC67" s="18" t="n"/>
      <c r="MD67" s="18" t="n"/>
      <c r="ME67" s="18" t="n"/>
      <c r="MF67" s="18" t="n"/>
      <c r="MG67" s="18" t="n"/>
      <c r="MH67" s="18" t="n"/>
      <c r="MI67" s="18" t="n"/>
      <c r="MJ67" s="18" t="n"/>
      <c r="MK67" s="18" t="n"/>
      <c r="ML67" s="18" t="n"/>
      <c r="MM67" s="18" t="n"/>
      <c r="MN67" s="18" t="n"/>
      <c r="MO67" s="18" t="n"/>
      <c r="MP67" s="18" t="n"/>
      <c r="MQ67" s="18" t="n"/>
      <c r="MR67" s="18" t="n"/>
      <c r="MS67" s="18" t="n"/>
      <c r="MT67" s="18" t="n"/>
      <c r="MU67" s="18" t="n"/>
      <c r="MV67" s="18" t="n"/>
      <c r="MW67" s="18" t="n"/>
      <c r="MX67" s="18" t="n"/>
      <c r="MY67" s="18" t="n"/>
      <c r="MZ67" s="18" t="n"/>
      <c r="NA67" s="18" t="n"/>
      <c r="NB67" s="18" t="n"/>
      <c r="NC67" s="18" t="n"/>
      <c r="ND67" s="18" t="n"/>
      <c r="NE67" s="18" t="n"/>
      <c r="NF67" s="18" t="n"/>
      <c r="NG67" s="18" t="n"/>
      <c r="NH67" s="18" t="n"/>
      <c r="NI67" s="18" t="n"/>
      <c r="NJ67" s="18" t="n"/>
      <c r="NK67" s="18" t="n"/>
      <c r="NL67" s="18" t="n"/>
      <c r="NM67" s="18" t="n"/>
      <c r="NN67" s="18" t="n"/>
      <c r="NO67" s="18" t="n"/>
      <c r="NP67" s="18" t="n"/>
      <c r="NQ67" s="18" t="n"/>
      <c r="NR67" s="18" t="n"/>
      <c r="NS67" s="18" t="n"/>
      <c r="NT67" s="18" t="n"/>
      <c r="NU67" s="18" t="n"/>
      <c r="NV67" s="18" t="n"/>
      <c r="NW67" s="18" t="n"/>
      <c r="NX67" s="18" t="n"/>
      <c r="NY67" s="18" t="n"/>
      <c r="NZ67" s="18" t="n"/>
      <c r="OA67" s="18" t="n"/>
      <c r="OB67" s="18" t="n"/>
      <c r="OC67" s="18" t="n"/>
      <c r="OD67" s="18" t="n"/>
      <c r="OE67" s="18" t="n"/>
      <c r="OF67" s="18" t="n"/>
      <c r="OG67" s="18" t="n"/>
      <c r="OH67" s="18" t="n"/>
      <c r="OI67" s="18" t="n"/>
      <c r="OJ67" s="18" t="n"/>
      <c r="OK67" s="18" t="n"/>
      <c r="OL67" s="18" t="n"/>
      <c r="OM67" s="18" t="n"/>
      <c r="ON67" s="18" t="n"/>
      <c r="OO67" s="18" t="n"/>
      <c r="OP67" s="18" t="n"/>
      <c r="OQ67" s="18" t="n"/>
      <c r="OR67" s="18" t="n"/>
      <c r="OS67" s="18" t="n"/>
      <c r="OT67" s="18" t="n"/>
      <c r="OU67" s="18" t="n"/>
      <c r="OV67" s="18" t="n"/>
      <c r="OW67" s="18" t="n"/>
      <c r="OX67" s="18" t="n"/>
      <c r="OY67" s="18" t="n"/>
      <c r="OZ67" s="18" t="n"/>
      <c r="PA67" s="18" t="n"/>
      <c r="PB67" s="18" t="n"/>
      <c r="PC67" s="18" t="n"/>
      <c r="PD67" s="18" t="n"/>
      <c r="PE67" s="18" t="n"/>
      <c r="PF67" s="18" t="n"/>
      <c r="PG67" s="18" t="n"/>
      <c r="PH67" s="18" t="n"/>
      <c r="PI67" s="18" t="n"/>
      <c r="PJ67" s="18" t="n"/>
      <c r="PK67" s="18" t="n"/>
      <c r="PL67" s="18" t="n"/>
      <c r="PM67" s="18" t="n"/>
      <c r="PN67" s="18" t="n"/>
      <c r="PO67" s="18" t="n"/>
      <c r="PP67" s="18" t="n"/>
      <c r="PQ67" s="18" t="n"/>
      <c r="PR67" s="18" t="n"/>
      <c r="PS67" s="18" t="n"/>
      <c r="PT67" s="18" t="n"/>
      <c r="PU67" s="18" t="n"/>
      <c r="PV67" s="18" t="n"/>
      <c r="PW67" s="18" t="n"/>
    </row>
    <row r="68" ht="17.4" customHeight="1" s="8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8" t="n"/>
      <c r="BA68" s="18" t="n"/>
      <c r="BB68" s="18" t="n"/>
      <c r="BC68" s="18" t="n"/>
      <c r="BD68" s="18" t="n"/>
      <c r="BE68" s="18" t="n"/>
      <c r="BF68" s="18" t="n"/>
      <c r="BG68" s="18" t="n"/>
      <c r="BH68" s="18" t="n"/>
      <c r="BI68" s="18" t="n"/>
      <c r="BJ68" s="18" t="n"/>
      <c r="BK68" s="18" t="n"/>
      <c r="BL68" s="18" t="n"/>
      <c r="BM68" s="18" t="n"/>
      <c r="BN68" s="18" t="n"/>
      <c r="BO68" s="18" t="n"/>
      <c r="BP68" s="18" t="n"/>
      <c r="BQ68" s="18" t="n"/>
      <c r="BR68" s="18" t="n"/>
      <c r="BS68" s="18" t="n"/>
      <c r="BT68" s="18" t="n"/>
      <c r="BU68" s="18" t="n"/>
      <c r="BV68" s="18" t="n"/>
      <c r="BW68" s="18" t="n"/>
      <c r="BX68" s="18" t="n"/>
      <c r="BY68" s="18" t="n"/>
      <c r="BZ68" s="18" t="n"/>
      <c r="CA68" s="18" t="n"/>
      <c r="CB68" s="18" t="n"/>
      <c r="CC68" s="18" t="n"/>
      <c r="CD68" s="18" t="n"/>
      <c r="CE68" s="18" t="n"/>
      <c r="CF68" s="18" t="n"/>
      <c r="CG68" s="18" t="n"/>
      <c r="CH68" s="18" t="n"/>
      <c r="CI68" s="18" t="n"/>
      <c r="CJ68" s="18" t="n"/>
      <c r="CK68" s="18" t="n"/>
      <c r="CL68" s="18" t="n"/>
      <c r="CM68" s="18" t="n"/>
      <c r="CN68" s="18" t="n"/>
      <c r="CO68" s="18" t="n"/>
      <c r="CP68" s="18" t="n"/>
      <c r="CQ68" s="18" t="n"/>
      <c r="CR68" s="18" t="n"/>
      <c r="CS68" s="18" t="n"/>
      <c r="CT68" s="18" t="n"/>
      <c r="CU68" s="18" t="n"/>
      <c r="CV68" s="18" t="n"/>
      <c r="CW68" s="18" t="n"/>
      <c r="CX68" s="18" t="n"/>
      <c r="CY68" s="18" t="n"/>
      <c r="CZ68" s="18" t="n"/>
      <c r="DA68" s="18" t="n"/>
      <c r="DB68" s="18" t="n"/>
      <c r="DC68" s="18" t="n"/>
      <c r="DD68" s="18" t="n"/>
      <c r="DE68" s="18" t="n"/>
      <c r="DF68" s="18" t="n"/>
      <c r="DG68" s="18" t="n"/>
      <c r="DH68" s="18" t="n"/>
      <c r="DI68" s="18" t="n"/>
      <c r="DJ68" s="18" t="n"/>
      <c r="DK68" s="18" t="n"/>
      <c r="DL68" s="18" t="n"/>
      <c r="DM68" s="18" t="n"/>
      <c r="DN68" s="18" t="n"/>
      <c r="DO68" s="18" t="n"/>
      <c r="DP68" s="18" t="n"/>
      <c r="DQ68" s="18" t="n"/>
      <c r="DR68" s="18" t="n"/>
      <c r="DS68" s="18" t="n"/>
      <c r="DT68" s="18" t="n"/>
      <c r="DU68" s="18" t="n"/>
      <c r="DV68" s="18" t="n"/>
      <c r="DW68" s="18" t="n"/>
      <c r="DX68" s="18" t="n"/>
      <c r="DY68" s="18" t="n"/>
      <c r="DZ68" s="18" t="n"/>
      <c r="EA68" s="18" t="n"/>
      <c r="EB68" s="18" t="n"/>
      <c r="EC68" s="18" t="n"/>
      <c r="ED68" s="18" t="n"/>
      <c r="EE68" s="18" t="n"/>
      <c r="EF68" s="18" t="n"/>
      <c r="EG68" s="18" t="n"/>
      <c r="EH68" s="18" t="n"/>
      <c r="EI68" s="18" t="n"/>
      <c r="EJ68" s="18" t="n"/>
      <c r="EK68" s="18" t="n"/>
      <c r="EL68" s="18" t="n"/>
      <c r="EM68" s="18" t="n"/>
      <c r="EN68" s="18" t="n"/>
      <c r="EO68" s="18" t="n"/>
      <c r="EP68" s="18" t="n"/>
      <c r="EQ68" s="18" t="n"/>
      <c r="ER68" s="18" t="n"/>
      <c r="ES68" s="18" t="n"/>
      <c r="ET68" s="18" t="n"/>
      <c r="EU68" s="18" t="n"/>
      <c r="EV68" s="18" t="n"/>
      <c r="EW68" s="18" t="n"/>
      <c r="EX68" s="18" t="n"/>
      <c r="EY68" s="18" t="n"/>
      <c r="EZ68" s="18" t="n"/>
      <c r="FA68" s="18" t="n"/>
      <c r="FB68" s="18" t="n"/>
      <c r="FC68" s="18" t="n"/>
      <c r="FD68" s="18" t="n"/>
      <c r="FE68" s="18" t="n"/>
      <c r="FF68" s="18" t="n"/>
      <c r="FG68" s="18" t="n"/>
      <c r="FH68" s="18" t="n"/>
      <c r="FI68" s="18" t="n"/>
      <c r="FJ68" s="18" t="n"/>
      <c r="FK68" s="18" t="n"/>
      <c r="FL68" s="18" t="n"/>
      <c r="FM68" s="18" t="n"/>
      <c r="FN68" s="18" t="n"/>
      <c r="FO68" s="18" t="n"/>
      <c r="FP68" s="18" t="n"/>
      <c r="FQ68" s="18" t="n"/>
      <c r="FR68" s="18" t="n"/>
      <c r="FS68" s="18" t="n"/>
      <c r="FT68" s="18" t="n"/>
      <c r="FU68" s="18" t="n"/>
      <c r="FV68" s="18" t="n"/>
      <c r="FW68" s="18" t="n"/>
      <c r="FX68" s="18" t="n"/>
      <c r="FY68" s="18" t="n"/>
      <c r="FZ68" s="18" t="n"/>
      <c r="GA68" s="18" t="n"/>
      <c r="GB68" s="18" t="n"/>
      <c r="GC68" s="18" t="n"/>
      <c r="GD68" s="18" t="n"/>
      <c r="GE68" s="18" t="n"/>
      <c r="GF68" s="18" t="n"/>
      <c r="GG68" s="18" t="n"/>
      <c r="GH68" s="18" t="n"/>
      <c r="GI68" s="18" t="n"/>
      <c r="GJ68" s="18" t="n"/>
      <c r="GK68" s="18" t="n"/>
      <c r="GL68" s="18" t="n"/>
      <c r="GM68" s="18" t="n"/>
      <c r="GN68" s="18" t="n"/>
      <c r="GO68" s="18" t="n"/>
      <c r="GP68" s="18" t="n"/>
      <c r="GQ68" s="18" t="n"/>
      <c r="GR68" s="18" t="n"/>
      <c r="GS68" s="18" t="n"/>
      <c r="GT68" s="18" t="n"/>
      <c r="GU68" s="18" t="n"/>
      <c r="GV68" s="18" t="n"/>
      <c r="GW68" s="18" t="n"/>
      <c r="GX68" s="18" t="n"/>
      <c r="GY68" s="18" t="n"/>
      <c r="GZ68" s="18" t="n"/>
      <c r="HA68" s="18" t="n"/>
      <c r="HB68" s="18" t="n"/>
      <c r="HC68" s="18" t="n"/>
      <c r="HD68" s="18" t="n"/>
      <c r="HE68" s="18" t="n"/>
      <c r="HF68" s="18" t="n"/>
      <c r="HG68" s="18" t="n"/>
      <c r="HH68" s="18" t="n"/>
      <c r="HI68" s="18" t="n"/>
      <c r="HJ68" s="18" t="n"/>
      <c r="HK68" s="18" t="n"/>
      <c r="HL68" s="18" t="n"/>
      <c r="HM68" s="18" t="n"/>
      <c r="HN68" s="18" t="n"/>
      <c r="HO68" s="18" t="n"/>
      <c r="HP68" s="18" t="n"/>
      <c r="HQ68" s="18" t="n"/>
      <c r="HR68" s="18" t="n"/>
      <c r="HS68" s="18" t="n"/>
      <c r="HT68" s="18" t="n"/>
      <c r="HU68" s="18" t="n"/>
      <c r="HV68" s="18" t="n"/>
      <c r="HW68" s="18" t="n"/>
      <c r="HX68" s="18" t="n"/>
      <c r="HY68" s="18" t="n"/>
      <c r="HZ68" s="18" t="n"/>
      <c r="IA68" s="18" t="n"/>
      <c r="IB68" s="18" t="n"/>
      <c r="IC68" s="18" t="n"/>
      <c r="ID68" s="18" t="n"/>
      <c r="IE68" s="18" t="n"/>
      <c r="IF68" s="18" t="n"/>
      <c r="IG68" s="18" t="n"/>
      <c r="IH68" s="18" t="n"/>
      <c r="II68" s="18" t="n"/>
      <c r="IJ68" s="18" t="n"/>
      <c r="IK68" s="18" t="n"/>
      <c r="IL68" s="18" t="n"/>
      <c r="IM68" s="18" t="n"/>
      <c r="IN68" s="18" t="n"/>
      <c r="IO68" s="18" t="n"/>
      <c r="IP68" s="18" t="n"/>
      <c r="IQ68" s="18" t="n"/>
      <c r="IR68" s="18" t="n"/>
      <c r="IS68" s="18" t="n"/>
      <c r="IT68" s="18" t="n"/>
      <c r="IU68" s="18" t="n"/>
      <c r="IV68" s="18" t="n"/>
      <c r="IW68" s="18" t="n"/>
      <c r="IX68" s="18" t="n"/>
      <c r="IY68" s="18" t="n"/>
      <c r="IZ68" s="18" t="n"/>
      <c r="JA68" s="18" t="n"/>
      <c r="JB68" s="18" t="n"/>
      <c r="JC68" s="18" t="n"/>
      <c r="JD68" s="18" t="n"/>
      <c r="JE68" s="18" t="n"/>
      <c r="JF68" s="18" t="n"/>
      <c r="JG68" s="18" t="n"/>
      <c r="JH68" s="18" t="n"/>
      <c r="JI68" s="18" t="n"/>
      <c r="JJ68" s="18" t="n"/>
      <c r="JK68" s="18" t="n"/>
      <c r="JL68" s="18" t="n"/>
      <c r="JM68" s="18" t="n"/>
      <c r="JN68" s="18" t="n"/>
      <c r="JO68" s="18" t="n"/>
      <c r="JP68" s="18" t="n"/>
      <c r="JQ68" s="18" t="n"/>
      <c r="JR68" s="18" t="n"/>
      <c r="JS68" s="18" t="n"/>
      <c r="JT68" s="18" t="n"/>
      <c r="JU68" s="18" t="n"/>
      <c r="JV68" s="18" t="n"/>
      <c r="JW68" s="18" t="n"/>
      <c r="JX68" s="18" t="n"/>
      <c r="JY68" s="18" t="n"/>
      <c r="JZ68" s="18" t="n"/>
      <c r="KA68" s="18" t="n"/>
      <c r="KB68" s="18" t="n"/>
      <c r="KC68" s="18" t="n"/>
      <c r="KD68" s="18" t="n"/>
      <c r="KE68" s="18" t="n"/>
      <c r="KF68" s="18" t="n"/>
      <c r="KG68" s="18" t="n"/>
      <c r="KH68" s="18" t="n"/>
      <c r="KI68" s="18" t="n"/>
      <c r="KJ68" s="18" t="n"/>
      <c r="KK68" s="18" t="n"/>
      <c r="KL68" s="18" t="n"/>
      <c r="KM68" s="18" t="n"/>
      <c r="KN68" s="18" t="n"/>
      <c r="KO68" s="18" t="n"/>
      <c r="KP68" s="18" t="n"/>
      <c r="KQ68" s="18" t="n"/>
      <c r="KR68" s="18" t="n"/>
      <c r="KS68" s="18" t="n"/>
      <c r="KT68" s="18" t="n"/>
      <c r="KU68" s="18" t="n"/>
      <c r="KV68" s="18" t="n"/>
      <c r="KW68" s="18" t="n"/>
      <c r="KX68" s="18" t="n"/>
      <c r="KY68" s="18" t="n"/>
      <c r="KZ68" s="18" t="n"/>
      <c r="LA68" s="18" t="n"/>
      <c r="LB68" s="18" t="n"/>
      <c r="LC68" s="18" t="n"/>
      <c r="LD68" s="18" t="n"/>
      <c r="LE68" s="18" t="n"/>
      <c r="LF68" s="18" t="n"/>
      <c r="LG68" s="18" t="n"/>
      <c r="LH68" s="18" t="n"/>
      <c r="LI68" s="18" t="n"/>
      <c r="LJ68" s="18" t="n"/>
      <c r="LK68" s="18" t="n"/>
      <c r="LL68" s="18" t="n"/>
      <c r="LM68" s="18" t="n"/>
      <c r="LN68" s="18" t="n"/>
      <c r="LO68" s="18" t="n"/>
      <c r="LP68" s="18" t="n"/>
      <c r="LQ68" s="18" t="n"/>
      <c r="LR68" s="18" t="n"/>
      <c r="LS68" s="18" t="n"/>
      <c r="LT68" s="18" t="n"/>
      <c r="LU68" s="18" t="n"/>
      <c r="LV68" s="18" t="n"/>
      <c r="LW68" s="18" t="n"/>
      <c r="LX68" s="18" t="n"/>
      <c r="LY68" s="18" t="n"/>
      <c r="LZ68" s="18" t="n"/>
      <c r="MA68" s="18" t="n"/>
      <c r="MB68" s="18" t="n"/>
      <c r="MC68" s="18" t="n"/>
      <c r="MD68" s="18" t="n"/>
      <c r="ME68" s="18" t="n"/>
      <c r="MF68" s="18" t="n"/>
      <c r="MG68" s="18" t="n"/>
      <c r="MH68" s="18" t="n"/>
      <c r="MI68" s="18" t="n"/>
      <c r="MJ68" s="18" t="n"/>
      <c r="MK68" s="18" t="n"/>
      <c r="ML68" s="18" t="n"/>
      <c r="MM68" s="18" t="n"/>
      <c r="MN68" s="18" t="n"/>
      <c r="MO68" s="18" t="n"/>
      <c r="MP68" s="18" t="n"/>
      <c r="MQ68" s="18" t="n"/>
      <c r="MR68" s="18" t="n"/>
      <c r="MS68" s="18" t="n"/>
      <c r="MT68" s="18" t="n"/>
      <c r="MU68" s="18" t="n"/>
      <c r="MV68" s="18" t="n"/>
      <c r="MW68" s="18" t="n"/>
      <c r="MX68" s="18" t="n"/>
      <c r="MY68" s="18" t="n"/>
      <c r="MZ68" s="18" t="n"/>
      <c r="NA68" s="18" t="n"/>
      <c r="NB68" s="18" t="n"/>
      <c r="NC68" s="18" t="n"/>
      <c r="ND68" s="18" t="n"/>
      <c r="NE68" s="18" t="n"/>
      <c r="NF68" s="18" t="n"/>
      <c r="NG68" s="18" t="n"/>
      <c r="NH68" s="18" t="n"/>
      <c r="NI68" s="18" t="n"/>
      <c r="NJ68" s="18" t="n"/>
      <c r="NK68" s="18" t="n"/>
      <c r="NL68" s="18" t="n"/>
      <c r="NM68" s="18" t="n"/>
      <c r="NN68" s="18" t="n"/>
      <c r="NO68" s="18" t="n"/>
      <c r="NP68" s="18" t="n"/>
      <c r="NQ68" s="18" t="n"/>
      <c r="NR68" s="18" t="n"/>
      <c r="NS68" s="18" t="n"/>
      <c r="NT68" s="18" t="n"/>
      <c r="NU68" s="18" t="n"/>
      <c r="NV68" s="18" t="n"/>
      <c r="NW68" s="18" t="n"/>
      <c r="NX68" s="18" t="n"/>
      <c r="NY68" s="18" t="n"/>
      <c r="NZ68" s="18" t="n"/>
      <c r="OA68" s="18" t="n"/>
      <c r="OB68" s="18" t="n"/>
      <c r="OC68" s="18" t="n"/>
      <c r="OD68" s="18" t="n"/>
      <c r="OE68" s="18" t="n"/>
      <c r="OF68" s="18" t="n"/>
      <c r="OG68" s="18" t="n"/>
      <c r="OH68" s="18" t="n"/>
      <c r="OI68" s="18" t="n"/>
      <c r="OJ68" s="18" t="n"/>
      <c r="OK68" s="18" t="n"/>
      <c r="OL68" s="18" t="n"/>
      <c r="OM68" s="18" t="n"/>
      <c r="ON68" s="18" t="n"/>
      <c r="OO68" s="18" t="n"/>
      <c r="OP68" s="18" t="n"/>
      <c r="OQ68" s="18" t="n"/>
      <c r="OR68" s="18" t="n"/>
      <c r="OS68" s="18" t="n"/>
      <c r="OT68" s="18" t="n"/>
      <c r="OU68" s="18" t="n"/>
      <c r="OV68" s="18" t="n"/>
      <c r="OW68" s="18" t="n"/>
      <c r="OX68" s="18" t="n"/>
      <c r="OY68" s="18" t="n"/>
      <c r="OZ68" s="18" t="n"/>
      <c r="PA68" s="18" t="n"/>
      <c r="PB68" s="18" t="n"/>
      <c r="PC68" s="18" t="n"/>
      <c r="PD68" s="18" t="n"/>
      <c r="PE68" s="18" t="n"/>
      <c r="PF68" s="18" t="n"/>
      <c r="PG68" s="18" t="n"/>
      <c r="PH68" s="18" t="n"/>
      <c r="PI68" s="18" t="n"/>
      <c r="PJ68" s="18" t="n"/>
      <c r="PK68" s="18" t="n"/>
      <c r="PL68" s="18" t="n"/>
      <c r="PM68" s="18" t="n"/>
      <c r="PN68" s="18" t="n"/>
      <c r="PO68" s="18" t="n"/>
      <c r="PP68" s="18" t="n"/>
      <c r="PQ68" s="18" t="n"/>
      <c r="PR68" s="18" t="n"/>
      <c r="PS68" s="18" t="n"/>
      <c r="PT68" s="18" t="n"/>
      <c r="PU68" s="18" t="n"/>
      <c r="PV68" s="18" t="n"/>
      <c r="PW68" s="18" t="n"/>
      <c r="PX68" s="18" t="n"/>
      <c r="PY68" s="18" t="n"/>
      <c r="PZ68" s="18" t="n"/>
      <c r="QA68" s="18" t="n"/>
    </row>
    <row r="69" ht="17.4" customHeight="1" s="88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8" t="n"/>
      <c r="BA69" s="18" t="n"/>
      <c r="BB69" s="18" t="n"/>
      <c r="BC69" s="18" t="n"/>
      <c r="BD69" s="18" t="n"/>
      <c r="BE69" s="18" t="n"/>
      <c r="BF69" s="18" t="n"/>
      <c r="BG69" s="18" t="n"/>
      <c r="BH69" s="18" t="n"/>
      <c r="BI69" s="18" t="n"/>
      <c r="BJ69" s="18" t="n"/>
      <c r="BK69" s="18" t="n"/>
      <c r="BL69" s="18" t="n"/>
      <c r="BM69" s="18" t="n"/>
      <c r="BN69" s="18" t="n"/>
      <c r="BO69" s="18" t="n"/>
      <c r="BP69" s="18" t="n"/>
      <c r="BQ69" s="18" t="n"/>
      <c r="BR69" s="18" t="n"/>
      <c r="BS69" s="18" t="n"/>
      <c r="BT69" s="18" t="n"/>
      <c r="BU69" s="18" t="n"/>
      <c r="BV69" s="18" t="n"/>
      <c r="BW69" s="18" t="n"/>
      <c r="BX69" s="18" t="n"/>
      <c r="BY69" s="18" t="n"/>
      <c r="BZ69" s="18" t="n"/>
      <c r="CA69" s="18" t="n"/>
      <c r="CB69" s="18" t="n"/>
      <c r="CC69" s="18" t="n"/>
      <c r="CD69" s="18" t="n"/>
      <c r="CE69" s="18" t="n"/>
      <c r="CF69" s="18" t="n"/>
      <c r="CG69" s="18" t="n"/>
      <c r="CH69" s="18" t="n"/>
      <c r="CI69" s="18" t="n"/>
      <c r="CJ69" s="18" t="n"/>
      <c r="CK69" s="18" t="n"/>
      <c r="CL69" s="18" t="n"/>
      <c r="CM69" s="18" t="n"/>
      <c r="CN69" s="18" t="n"/>
      <c r="CO69" s="18" t="n"/>
      <c r="CP69" s="18" t="n"/>
      <c r="CQ69" s="18" t="n"/>
      <c r="CR69" s="18" t="n"/>
      <c r="CS69" s="18" t="n"/>
      <c r="CT69" s="18" t="n"/>
      <c r="CU69" s="18" t="n"/>
      <c r="CV69" s="18" t="n"/>
      <c r="CW69" s="18" t="n"/>
      <c r="CX69" s="18" t="n"/>
      <c r="CY69" s="18" t="n"/>
      <c r="CZ69" s="18" t="n"/>
      <c r="DA69" s="18" t="n"/>
      <c r="DB69" s="18" t="n"/>
      <c r="DC69" s="18" t="n"/>
      <c r="DD69" s="18" t="n"/>
      <c r="DE69" s="18" t="n"/>
      <c r="DF69" s="18" t="n"/>
      <c r="DG69" s="18" t="n"/>
      <c r="DH69" s="18" t="n"/>
      <c r="DI69" s="18" t="n"/>
      <c r="DJ69" s="18" t="n"/>
      <c r="DK69" s="18" t="n"/>
      <c r="DL69" s="18" t="n"/>
      <c r="DM69" s="18" t="n"/>
      <c r="DN69" s="18" t="n"/>
      <c r="DO69" s="18" t="n"/>
      <c r="DP69" s="18" t="n"/>
      <c r="DQ69" s="18" t="n"/>
      <c r="DR69" s="18" t="n"/>
      <c r="DS69" s="18" t="n"/>
      <c r="DT69" s="18" t="n"/>
      <c r="DU69" s="18" t="n"/>
      <c r="DV69" s="18" t="n"/>
      <c r="DW69" s="18" t="n"/>
      <c r="DX69" s="18" t="n"/>
      <c r="DY69" s="18" t="n"/>
      <c r="DZ69" s="18" t="n"/>
      <c r="EA69" s="18" t="n"/>
      <c r="EB69" s="18" t="n"/>
      <c r="EC69" s="18" t="n"/>
      <c r="ED69" s="18" t="n"/>
      <c r="EE69" s="18" t="n"/>
      <c r="EF69" s="18" t="n"/>
      <c r="EG69" s="18" t="n"/>
      <c r="EH69" s="18" t="n"/>
      <c r="EI69" s="18" t="n"/>
      <c r="EJ69" s="18" t="n"/>
      <c r="EK69" s="18" t="n"/>
      <c r="EL69" s="18" t="n"/>
      <c r="EM69" s="18" t="n"/>
      <c r="EN69" s="18" t="n"/>
      <c r="EO69" s="18" t="n"/>
      <c r="EP69" s="18" t="n"/>
      <c r="EQ69" s="18" t="n"/>
      <c r="ER69" s="18" t="n"/>
      <c r="ES69" s="18" t="n"/>
      <c r="ET69" s="18" t="n"/>
      <c r="EU69" s="18" t="n"/>
      <c r="EV69" s="18" t="n"/>
      <c r="EW69" s="18" t="n"/>
      <c r="EX69" s="18" t="n"/>
      <c r="EY69" s="18" t="n"/>
      <c r="EZ69" s="18" t="n"/>
      <c r="FA69" s="18" t="n"/>
      <c r="FB69" s="18" t="n"/>
      <c r="FC69" s="18" t="n"/>
      <c r="FD69" s="18" t="n"/>
      <c r="FE69" s="18" t="n"/>
      <c r="FF69" s="18" t="n"/>
      <c r="FG69" s="18" t="n"/>
      <c r="FH69" s="18" t="n"/>
      <c r="FI69" s="18" t="n"/>
      <c r="FJ69" s="18" t="n"/>
      <c r="FK69" s="18" t="n"/>
      <c r="FL69" s="18" t="n"/>
      <c r="FM69" s="18" t="n"/>
      <c r="FN69" s="18" t="n"/>
      <c r="FO69" s="18" t="n"/>
      <c r="FP69" s="18" t="n"/>
      <c r="FQ69" s="18" t="n"/>
      <c r="FR69" s="18" t="n"/>
      <c r="FS69" s="18" t="n"/>
      <c r="FT69" s="18" t="n"/>
      <c r="FU69" s="18" t="n"/>
      <c r="FV69" s="18" t="n"/>
      <c r="FW69" s="18" t="n"/>
      <c r="FX69" s="18" t="n"/>
      <c r="FY69" s="18" t="n"/>
      <c r="FZ69" s="18" t="n"/>
      <c r="GA69" s="18" t="n"/>
      <c r="GB69" s="18" t="n"/>
      <c r="GC69" s="18" t="n"/>
      <c r="GD69" s="18" t="n"/>
      <c r="GE69" s="18" t="n"/>
      <c r="GF69" s="18" t="n"/>
      <c r="GG69" s="18" t="n"/>
      <c r="GH69" s="18" t="n"/>
      <c r="GI69" s="18" t="n"/>
      <c r="GJ69" s="18" t="n"/>
      <c r="GK69" s="18" t="n"/>
      <c r="GL69" s="18" t="n"/>
      <c r="GM69" s="18" t="n"/>
      <c r="GN69" s="18" t="n"/>
      <c r="GO69" s="18" t="n"/>
      <c r="GP69" s="18" t="n"/>
      <c r="GQ69" s="18" t="n"/>
      <c r="GR69" s="18" t="n"/>
      <c r="GS69" s="18" t="n"/>
      <c r="GT69" s="18" t="n"/>
      <c r="GU69" s="18" t="n"/>
      <c r="GV69" s="18" t="n"/>
      <c r="GW69" s="18" t="n"/>
      <c r="GX69" s="18" t="n"/>
      <c r="GY69" s="18" t="n"/>
      <c r="GZ69" s="18" t="n"/>
      <c r="HA69" s="18" t="n"/>
      <c r="HB69" s="18" t="n"/>
      <c r="HC69" s="18" t="n"/>
      <c r="HD69" s="18" t="n"/>
      <c r="HE69" s="18" t="n"/>
      <c r="HF69" s="18" t="n"/>
      <c r="HG69" s="18" t="n"/>
      <c r="HH69" s="18" t="n"/>
      <c r="HI69" s="18" t="n"/>
      <c r="HJ69" s="18" t="n"/>
      <c r="HK69" s="18" t="n"/>
      <c r="HL69" s="18" t="n"/>
      <c r="HM69" s="18" t="n"/>
      <c r="HN69" s="18" t="n"/>
      <c r="HO69" s="18" t="n"/>
      <c r="HP69" s="18" t="n"/>
      <c r="HQ69" s="18" t="n"/>
      <c r="HR69" s="18" t="n"/>
      <c r="HS69" s="18" t="n"/>
      <c r="HT69" s="18" t="n"/>
      <c r="HU69" s="18" t="n"/>
      <c r="HV69" s="18" t="n"/>
      <c r="HW69" s="18" t="n"/>
      <c r="HX69" s="18" t="n"/>
      <c r="HY69" s="18" t="n"/>
      <c r="HZ69" s="18" t="n"/>
      <c r="IA69" s="18" t="n"/>
      <c r="IB69" s="18" t="n"/>
      <c r="IC69" s="18" t="n"/>
      <c r="ID69" s="18" t="n"/>
      <c r="IE69" s="18" t="n"/>
      <c r="IF69" s="18" t="n"/>
      <c r="IG69" s="18" t="n"/>
      <c r="IH69" s="18" t="n"/>
      <c r="II69" s="18" t="n"/>
      <c r="IJ69" s="18" t="n"/>
      <c r="IK69" s="18" t="n"/>
      <c r="IL69" s="18" t="n"/>
      <c r="IM69" s="18" t="n"/>
      <c r="IN69" s="18" t="n"/>
      <c r="IO69" s="18" t="n"/>
      <c r="IP69" s="18" t="n"/>
      <c r="IQ69" s="18" t="n"/>
      <c r="IR69" s="18" t="n"/>
      <c r="IS69" s="18" t="n"/>
      <c r="IT69" s="18" t="n"/>
      <c r="IU69" s="18" t="n"/>
      <c r="IV69" s="18" t="n"/>
      <c r="IW69" s="18" t="n"/>
      <c r="IX69" s="18" t="n"/>
      <c r="IY69" s="18" t="n"/>
      <c r="IZ69" s="18" t="n"/>
      <c r="JA69" s="18" t="n"/>
      <c r="JB69" s="18" t="n"/>
      <c r="JC69" s="18" t="n"/>
      <c r="JD69" s="18" t="n"/>
      <c r="JE69" s="18" t="n"/>
      <c r="JF69" s="18" t="n"/>
      <c r="JG69" s="18" t="n"/>
      <c r="JH69" s="18" t="n"/>
      <c r="JI69" s="18" t="n"/>
      <c r="JJ69" s="18" t="n"/>
      <c r="JK69" s="18" t="n"/>
      <c r="JL69" s="18" t="n"/>
      <c r="JM69" s="18" t="n"/>
      <c r="JN69" s="18" t="n"/>
      <c r="JO69" s="18" t="n"/>
      <c r="JP69" s="18" t="n"/>
      <c r="JQ69" s="18" t="n"/>
      <c r="JR69" s="18" t="n"/>
      <c r="JS69" s="18" t="n"/>
      <c r="JT69" s="18" t="n"/>
      <c r="JU69" s="18" t="n"/>
      <c r="JV69" s="18" t="n"/>
      <c r="JW69" s="18" t="n"/>
      <c r="JX69" s="18" t="n"/>
      <c r="JY69" s="18" t="n"/>
      <c r="JZ69" s="18" t="n"/>
      <c r="KA69" s="18" t="n"/>
      <c r="KB69" s="18" t="n"/>
      <c r="KC69" s="18" t="n"/>
      <c r="KD69" s="18" t="n"/>
      <c r="KE69" s="18" t="n"/>
      <c r="KF69" s="18" t="n"/>
      <c r="KG69" s="18" t="n"/>
      <c r="KH69" s="18" t="n"/>
      <c r="KI69" s="18" t="n"/>
      <c r="KJ69" s="18" t="n"/>
      <c r="KK69" s="18" t="n"/>
      <c r="KL69" s="18" t="n"/>
      <c r="KM69" s="18" t="n"/>
      <c r="KN69" s="18" t="n"/>
      <c r="KO69" s="18" t="n"/>
      <c r="KP69" s="18" t="n"/>
      <c r="KQ69" s="18" t="n"/>
      <c r="KR69" s="18" t="n"/>
      <c r="KS69" s="18" t="n"/>
      <c r="KT69" s="18" t="n"/>
      <c r="KU69" s="18" t="n"/>
      <c r="KV69" s="18" t="n"/>
      <c r="KW69" s="18" t="n"/>
      <c r="KX69" s="18" t="n"/>
      <c r="KY69" s="18" t="n"/>
      <c r="KZ69" s="18" t="n"/>
      <c r="LA69" s="18" t="n"/>
      <c r="LB69" s="18" t="n"/>
      <c r="LC69" s="18" t="n"/>
      <c r="LD69" s="18" t="n"/>
      <c r="LE69" s="18" t="n"/>
      <c r="LF69" s="18" t="n"/>
      <c r="LG69" s="18" t="n"/>
      <c r="LH69" s="18" t="n"/>
      <c r="LI69" s="18" t="n"/>
      <c r="LJ69" s="18" t="n"/>
      <c r="LK69" s="18" t="n"/>
      <c r="LL69" s="18" t="n"/>
      <c r="LM69" s="18" t="n"/>
      <c r="LN69" s="18" t="n"/>
      <c r="LO69" s="18" t="n"/>
      <c r="LP69" s="18" t="n"/>
      <c r="LQ69" s="18" t="n"/>
      <c r="LR69" s="18" t="n"/>
      <c r="LS69" s="18" t="n"/>
      <c r="LT69" s="18" t="n"/>
      <c r="LU69" s="18" t="n"/>
      <c r="LV69" s="18" t="n"/>
      <c r="LW69" s="18" t="n"/>
      <c r="LX69" s="18" t="n"/>
      <c r="LY69" s="18" t="n"/>
      <c r="LZ69" s="18" t="n"/>
      <c r="MA69" s="18" t="n"/>
      <c r="MB69" s="18" t="n"/>
      <c r="MC69" s="18" t="n"/>
      <c r="MD69" s="18" t="n"/>
      <c r="ME69" s="18" t="n"/>
      <c r="MF69" s="18" t="n"/>
      <c r="MG69" s="18" t="n"/>
      <c r="MH69" s="18" t="n"/>
      <c r="MI69" s="18" t="n"/>
      <c r="MJ69" s="18" t="n"/>
      <c r="MK69" s="18" t="n"/>
      <c r="ML69" s="18" t="n"/>
      <c r="MM69" s="18" t="n"/>
      <c r="MN69" s="18" t="n"/>
      <c r="MO69" s="18" t="n"/>
      <c r="MP69" s="18" t="n"/>
      <c r="MQ69" s="18" t="n"/>
      <c r="MR69" s="18" t="n"/>
      <c r="MS69" s="18" t="n"/>
      <c r="MT69" s="18" t="n"/>
      <c r="MU69" s="18" t="n"/>
      <c r="MV69" s="18" t="n"/>
      <c r="MW69" s="18" t="n"/>
      <c r="MX69" s="18" t="n"/>
      <c r="MY69" s="18" t="n"/>
      <c r="MZ69" s="18" t="n"/>
      <c r="NA69" s="18" t="n"/>
      <c r="NB69" s="18" t="n"/>
      <c r="NC69" s="18" t="n"/>
      <c r="ND69" s="18" t="n"/>
      <c r="NE69" s="18" t="n"/>
      <c r="NF69" s="18" t="n"/>
      <c r="NG69" s="18" t="n"/>
      <c r="NH69" s="18" t="n"/>
      <c r="NI69" s="18" t="n"/>
      <c r="NJ69" s="18" t="n"/>
      <c r="NK69" s="18" t="n"/>
      <c r="NL69" s="18" t="n"/>
      <c r="NM69" s="18" t="n"/>
      <c r="NN69" s="18" t="n"/>
      <c r="NO69" s="18" t="n"/>
      <c r="NP69" s="18" t="n"/>
      <c r="NQ69" s="18" t="n"/>
      <c r="NR69" s="18" t="n"/>
      <c r="NS69" s="18" t="n"/>
      <c r="NT69" s="18" t="n"/>
      <c r="NU69" s="18" t="n"/>
      <c r="NV69" s="18" t="n"/>
      <c r="NW69" s="18" t="n"/>
      <c r="NX69" s="18" t="n"/>
      <c r="NY69" s="18" t="n"/>
      <c r="NZ69" s="18" t="n"/>
      <c r="OA69" s="18" t="n"/>
      <c r="OB69" s="18" t="n"/>
      <c r="OC69" s="18" t="n"/>
      <c r="OD69" s="18" t="n"/>
      <c r="OE69" s="18" t="n"/>
      <c r="OF69" s="18" t="n"/>
      <c r="OG69" s="18" t="n"/>
      <c r="OH69" s="18" t="n"/>
      <c r="OI69" s="18" t="n"/>
      <c r="OJ69" s="18" t="n"/>
      <c r="OK69" s="18" t="n"/>
      <c r="OL69" s="18" t="n"/>
      <c r="OM69" s="18" t="n"/>
      <c r="ON69" s="18" t="n"/>
      <c r="OO69" s="18" t="n"/>
      <c r="OP69" s="18" t="n"/>
      <c r="OQ69" s="18" t="n"/>
      <c r="OR69" s="18" t="n"/>
      <c r="OS69" s="18" t="n"/>
      <c r="OT69" s="18" t="n"/>
      <c r="OU69" s="18" t="n"/>
      <c r="OV69" s="18" t="n"/>
      <c r="OW69" s="18" t="n"/>
      <c r="OX69" s="18" t="n"/>
      <c r="OY69" s="18" t="n"/>
      <c r="OZ69" s="18" t="n"/>
      <c r="PA69" s="18" t="n"/>
      <c r="PB69" s="18" t="n"/>
      <c r="PC69" s="18" t="n"/>
      <c r="PD69" s="18" t="n"/>
      <c r="PE69" s="18" t="n"/>
      <c r="PF69" s="18" t="n"/>
      <c r="PG69" s="18" t="n"/>
      <c r="PH69" s="18" t="n"/>
      <c r="PI69" s="18" t="n"/>
      <c r="PJ69" s="18" t="n"/>
      <c r="PK69" s="18" t="n"/>
      <c r="PL69" s="18" t="n"/>
      <c r="PM69" s="18" t="n"/>
      <c r="PN69" s="18" t="n"/>
      <c r="PO69" s="18" t="n"/>
      <c r="PP69" s="18" t="n"/>
      <c r="PQ69" s="18" t="n"/>
      <c r="PR69" s="18" t="n"/>
      <c r="PS69" s="18" t="n"/>
      <c r="PT69" s="18" t="n"/>
      <c r="PU69" s="18" t="n"/>
      <c r="PV69" s="18" t="n"/>
      <c r="PW69" s="18" t="n"/>
      <c r="PX69" s="18" t="n"/>
      <c r="PY69" s="18" t="n"/>
      <c r="PZ69" s="18" t="n"/>
      <c r="QA69" s="18" t="n"/>
      <c r="QB69" s="18" t="n"/>
      <c r="QC69" s="18" t="n"/>
      <c r="QD69" s="18" t="n"/>
      <c r="QE69" s="18" t="n"/>
    </row>
    <row r="70" ht="17.4" customHeight="1" s="88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8" t="n"/>
      <c r="BA70" s="18" t="n"/>
      <c r="BB70" s="18" t="n"/>
      <c r="BC70" s="18" t="n"/>
      <c r="BD70" s="18" t="n"/>
      <c r="BE70" s="18" t="n"/>
      <c r="BF70" s="18" t="n"/>
      <c r="BG70" s="18" t="n"/>
      <c r="BH70" s="18" t="n"/>
      <c r="BI70" s="18" t="n"/>
      <c r="BJ70" s="18" t="n"/>
      <c r="BK70" s="18" t="n"/>
      <c r="BL70" s="18" t="n"/>
      <c r="BM70" s="18" t="n"/>
      <c r="BN70" s="18" t="n"/>
      <c r="BO70" s="18" t="n"/>
      <c r="BP70" s="18" t="n"/>
      <c r="BQ70" s="18" t="n"/>
      <c r="BR70" s="18" t="n"/>
      <c r="BS70" s="18" t="n"/>
      <c r="BT70" s="18" t="n"/>
      <c r="BU70" s="18" t="n"/>
      <c r="BV70" s="18" t="n"/>
      <c r="BW70" s="18" t="n"/>
      <c r="BX70" s="18" t="n"/>
      <c r="BY70" s="18" t="n"/>
      <c r="BZ70" s="18" t="n"/>
      <c r="CA70" s="18" t="n"/>
      <c r="CB70" s="18" t="n"/>
      <c r="CC70" s="18" t="n"/>
      <c r="CD70" s="18" t="n"/>
      <c r="CE70" s="18" t="n"/>
      <c r="CF70" s="18" t="n"/>
      <c r="CG70" s="18" t="n"/>
      <c r="CH70" s="18" t="n"/>
      <c r="CI70" s="18" t="n"/>
      <c r="CJ70" s="18" t="n"/>
      <c r="CK70" s="18" t="n"/>
      <c r="CL70" s="18" t="n"/>
      <c r="CM70" s="18" t="n"/>
      <c r="CN70" s="18" t="n"/>
      <c r="CO70" s="18" t="n"/>
      <c r="CP70" s="18" t="n"/>
      <c r="CQ70" s="18" t="n"/>
      <c r="CR70" s="18" t="n"/>
      <c r="CS70" s="18" t="n"/>
      <c r="CT70" s="18" t="n"/>
      <c r="CU70" s="18" t="n"/>
      <c r="CV70" s="18" t="n"/>
      <c r="CW70" s="18" t="n"/>
      <c r="CX70" s="18" t="n"/>
      <c r="CY70" s="18" t="n"/>
      <c r="CZ70" s="18" t="n"/>
      <c r="DA70" s="18" t="n"/>
      <c r="DB70" s="18" t="n"/>
      <c r="DC70" s="18" t="n"/>
      <c r="DD70" s="18" t="n"/>
      <c r="DE70" s="18" t="n"/>
      <c r="DF70" s="18" t="n"/>
      <c r="DG70" s="18" t="n"/>
      <c r="DH70" s="18" t="n"/>
      <c r="DI70" s="18" t="n"/>
      <c r="DJ70" s="18" t="n"/>
      <c r="DK70" s="18" t="n"/>
      <c r="DL70" s="18" t="n"/>
      <c r="DM70" s="18" t="n"/>
      <c r="DN70" s="18" t="n"/>
      <c r="DO70" s="18" t="n"/>
      <c r="DP70" s="18" t="n"/>
      <c r="DQ70" s="18" t="n"/>
      <c r="DR70" s="18" t="n"/>
      <c r="DS70" s="18" t="n"/>
      <c r="DT70" s="18" t="n"/>
      <c r="DU70" s="18" t="n"/>
      <c r="DV70" s="18" t="n"/>
      <c r="DW70" s="18" t="n"/>
      <c r="DX70" s="18" t="n"/>
      <c r="DY70" s="18" t="n"/>
      <c r="DZ70" s="18" t="n"/>
      <c r="EA70" s="18" t="n"/>
      <c r="EB70" s="18" t="n"/>
      <c r="EC70" s="18" t="n"/>
      <c r="ED70" s="18" t="n"/>
      <c r="EE70" s="18" t="n"/>
      <c r="EF70" s="18" t="n"/>
      <c r="EG70" s="18" t="n"/>
      <c r="EH70" s="18" t="n"/>
      <c r="EI70" s="18" t="n"/>
      <c r="EJ70" s="18" t="n"/>
      <c r="EK70" s="18" t="n"/>
      <c r="EL70" s="18" t="n"/>
      <c r="EM70" s="18" t="n"/>
      <c r="EN70" s="18" t="n"/>
      <c r="EO70" s="18" t="n"/>
      <c r="EP70" s="18" t="n"/>
      <c r="EQ70" s="18" t="n"/>
      <c r="ER70" s="18" t="n"/>
      <c r="ES70" s="18" t="n"/>
      <c r="ET70" s="18" t="n"/>
      <c r="EU70" s="18" t="n"/>
      <c r="EV70" s="18" t="n"/>
      <c r="EW70" s="18" t="n"/>
      <c r="EX70" s="18" t="n"/>
      <c r="EY70" s="18" t="n"/>
      <c r="EZ70" s="18" t="n"/>
      <c r="FA70" s="18" t="n"/>
      <c r="FB70" s="18" t="n"/>
      <c r="FC70" s="18" t="n"/>
      <c r="FD70" s="18" t="n"/>
      <c r="FE70" s="18" t="n"/>
      <c r="FF70" s="18" t="n"/>
      <c r="FG70" s="18" t="n"/>
      <c r="FH70" s="18" t="n"/>
      <c r="FI70" s="18" t="n"/>
      <c r="FJ70" s="18" t="n"/>
      <c r="FK70" s="18" t="n"/>
      <c r="FL70" s="18" t="n"/>
      <c r="FM70" s="18" t="n"/>
      <c r="FN70" s="18" t="n"/>
      <c r="FO70" s="18" t="n"/>
      <c r="FP70" s="18" t="n"/>
      <c r="FQ70" s="18" t="n"/>
      <c r="FR70" s="18" t="n"/>
      <c r="FS70" s="18" t="n"/>
      <c r="FT70" s="18" t="n"/>
      <c r="FU70" s="18" t="n"/>
      <c r="FV70" s="18" t="n"/>
      <c r="FW70" s="18" t="n"/>
      <c r="FX70" s="18" t="n"/>
      <c r="FY70" s="18" t="n"/>
      <c r="FZ70" s="18" t="n"/>
      <c r="GA70" s="18" t="n"/>
      <c r="GB70" s="18" t="n"/>
      <c r="GC70" s="18" t="n"/>
      <c r="GD70" s="18" t="n"/>
      <c r="GE70" s="18" t="n"/>
      <c r="GF70" s="18" t="n"/>
      <c r="GG70" s="18" t="n"/>
      <c r="GH70" s="18" t="n"/>
      <c r="GI70" s="18" t="n"/>
      <c r="GJ70" s="18" t="n"/>
      <c r="GK70" s="18" t="n"/>
      <c r="GL70" s="18" t="n"/>
      <c r="GM70" s="18" t="n"/>
      <c r="GN70" s="18" t="n"/>
      <c r="GO70" s="18" t="n"/>
      <c r="GP70" s="18" t="n"/>
      <c r="GQ70" s="18" t="n"/>
      <c r="GR70" s="18" t="n"/>
      <c r="GS70" s="18" t="n"/>
      <c r="GT70" s="18" t="n"/>
      <c r="GU70" s="18" t="n"/>
      <c r="GV70" s="18" t="n"/>
      <c r="GW70" s="18" t="n"/>
      <c r="GX70" s="18" t="n"/>
      <c r="GY70" s="18" t="n"/>
      <c r="GZ70" s="18" t="n"/>
      <c r="HA70" s="18" t="n"/>
      <c r="HB70" s="18" t="n"/>
      <c r="HC70" s="18" t="n"/>
      <c r="HD70" s="18" t="n"/>
      <c r="HE70" s="18" t="n"/>
      <c r="HF70" s="18" t="n"/>
      <c r="HG70" s="18" t="n"/>
      <c r="HH70" s="18" t="n"/>
      <c r="HI70" s="18" t="n"/>
      <c r="HJ70" s="18" t="n"/>
      <c r="HK70" s="18" t="n"/>
      <c r="HL70" s="18" t="n"/>
      <c r="HM70" s="18" t="n"/>
      <c r="HN70" s="18" t="n"/>
      <c r="HO70" s="18" t="n"/>
      <c r="HP70" s="18" t="n"/>
      <c r="HQ70" s="18" t="n"/>
      <c r="HR70" s="18" t="n"/>
      <c r="HS70" s="18" t="n"/>
      <c r="HT70" s="18" t="n"/>
      <c r="HU70" s="18" t="n"/>
      <c r="HV70" s="18" t="n"/>
      <c r="HW70" s="18" t="n"/>
      <c r="HX70" s="18" t="n"/>
      <c r="HY70" s="18" t="n"/>
      <c r="HZ70" s="18" t="n"/>
      <c r="IA70" s="18" t="n"/>
      <c r="IB70" s="18" t="n"/>
      <c r="IC70" s="18" t="n"/>
      <c r="ID70" s="18" t="n"/>
      <c r="IE70" s="18" t="n"/>
      <c r="IF70" s="18" t="n"/>
      <c r="IG70" s="18" t="n"/>
      <c r="IH70" s="18" t="n"/>
      <c r="II70" s="18" t="n"/>
      <c r="IJ70" s="18" t="n"/>
      <c r="IK70" s="18" t="n"/>
      <c r="IL70" s="18" t="n"/>
      <c r="IM70" s="18" t="n"/>
      <c r="IN70" s="18" t="n"/>
      <c r="IO70" s="18" t="n"/>
      <c r="IP70" s="18" t="n"/>
      <c r="IQ70" s="18" t="n"/>
      <c r="IR70" s="18" t="n"/>
      <c r="IS70" s="18" t="n"/>
      <c r="IT70" s="18" t="n"/>
      <c r="IU70" s="18" t="n"/>
      <c r="IV70" s="18" t="n"/>
      <c r="IW70" s="18" t="n"/>
      <c r="IX70" s="18" t="n"/>
      <c r="IY70" s="18" t="n"/>
      <c r="IZ70" s="18" t="n"/>
      <c r="JA70" s="18" t="n"/>
      <c r="JB70" s="18" t="n"/>
      <c r="JC70" s="18" t="n"/>
      <c r="JD70" s="18" t="n"/>
      <c r="JE70" s="18" t="n"/>
      <c r="JF70" s="18" t="n"/>
      <c r="JG70" s="18" t="n"/>
      <c r="JH70" s="18" t="n"/>
      <c r="JI70" s="18" t="n"/>
      <c r="JJ70" s="18" t="n"/>
      <c r="JK70" s="18" t="n"/>
      <c r="JL70" s="18" t="n"/>
      <c r="JM70" s="18" t="n"/>
      <c r="JN70" s="18" t="n"/>
      <c r="JO70" s="18" t="n"/>
      <c r="JP70" s="18" t="n"/>
      <c r="JQ70" s="18" t="n"/>
      <c r="JR70" s="18" t="n"/>
      <c r="JS70" s="18" t="n"/>
      <c r="JT70" s="18" t="n"/>
      <c r="JU70" s="18" t="n"/>
      <c r="JV70" s="18" t="n"/>
      <c r="JW70" s="18" t="n"/>
      <c r="JX70" s="18" t="n"/>
      <c r="JY70" s="18" t="n"/>
      <c r="JZ70" s="18" t="n"/>
      <c r="KA70" s="18" t="n"/>
      <c r="KB70" s="18" t="n"/>
      <c r="KC70" s="18" t="n"/>
      <c r="KD70" s="18" t="n"/>
      <c r="KE70" s="18" t="n"/>
      <c r="KF70" s="18" t="n"/>
      <c r="KG70" s="18" t="n"/>
      <c r="KH70" s="18" t="n"/>
      <c r="KI70" s="18" t="n"/>
      <c r="KJ70" s="18" t="n"/>
      <c r="KK70" s="18" t="n"/>
      <c r="KL70" s="18" t="n"/>
      <c r="KM70" s="18" t="n"/>
      <c r="KN70" s="18" t="n"/>
      <c r="KO70" s="18" t="n"/>
      <c r="KP70" s="18" t="n"/>
      <c r="KQ70" s="18" t="n"/>
      <c r="KR70" s="18" t="n"/>
      <c r="KS70" s="18" t="n"/>
      <c r="KT70" s="18" t="n"/>
      <c r="KU70" s="18" t="n"/>
      <c r="KV70" s="18" t="n"/>
      <c r="KW70" s="18" t="n"/>
      <c r="KX70" s="18" t="n"/>
      <c r="KY70" s="18" t="n"/>
      <c r="KZ70" s="18" t="n"/>
      <c r="LA70" s="18" t="n"/>
      <c r="LB70" s="18" t="n"/>
      <c r="LC70" s="18" t="n"/>
      <c r="LD70" s="18" t="n"/>
      <c r="LE70" s="18" t="n"/>
      <c r="LF70" s="18" t="n"/>
      <c r="LG70" s="18" t="n"/>
      <c r="LH70" s="18" t="n"/>
      <c r="LI70" s="18" t="n"/>
      <c r="LJ70" s="18" t="n"/>
      <c r="LK70" s="18" t="n"/>
      <c r="LL70" s="18" t="n"/>
      <c r="LM70" s="18" t="n"/>
      <c r="LN70" s="18" t="n"/>
      <c r="LO70" s="18" t="n"/>
      <c r="LP70" s="18" t="n"/>
      <c r="LQ70" s="18" t="n"/>
      <c r="LR70" s="18" t="n"/>
      <c r="LS70" s="18" t="n"/>
      <c r="LT70" s="18" t="n"/>
      <c r="LU70" s="18" t="n"/>
      <c r="LV70" s="18" t="n"/>
      <c r="LW70" s="18" t="n"/>
      <c r="LX70" s="18" t="n"/>
      <c r="LY70" s="18" t="n"/>
      <c r="LZ70" s="18" t="n"/>
      <c r="MA70" s="18" t="n"/>
      <c r="MB70" s="18" t="n"/>
      <c r="MC70" s="18" t="n"/>
      <c r="MD70" s="18" t="n"/>
      <c r="ME70" s="18" t="n"/>
      <c r="MF70" s="18" t="n"/>
      <c r="MG70" s="18" t="n"/>
      <c r="MH70" s="18" t="n"/>
      <c r="MI70" s="18" t="n"/>
      <c r="MJ70" s="18" t="n"/>
      <c r="MK70" s="18" t="n"/>
      <c r="ML70" s="18" t="n"/>
      <c r="MM70" s="18" t="n"/>
      <c r="MN70" s="18" t="n"/>
      <c r="MO70" s="18" t="n"/>
      <c r="MP70" s="18" t="n"/>
      <c r="MQ70" s="18" t="n"/>
      <c r="MR70" s="18" t="n"/>
      <c r="MS70" s="18" t="n"/>
      <c r="MT70" s="18" t="n"/>
      <c r="MU70" s="18" t="n"/>
      <c r="MV70" s="18" t="n"/>
      <c r="MW70" s="18" t="n"/>
      <c r="MX70" s="18" t="n"/>
      <c r="MY70" s="18" t="n"/>
      <c r="MZ70" s="18" t="n"/>
      <c r="NA70" s="18" t="n"/>
      <c r="NB70" s="18" t="n"/>
      <c r="NC70" s="18" t="n"/>
      <c r="ND70" s="18" t="n"/>
      <c r="NE70" s="18" t="n"/>
      <c r="NF70" s="18" t="n"/>
      <c r="NG70" s="18" t="n"/>
      <c r="NH70" s="18" t="n"/>
      <c r="NI70" s="18" t="n"/>
      <c r="NJ70" s="18" t="n"/>
      <c r="NK70" s="18" t="n"/>
      <c r="NL70" s="18" t="n"/>
      <c r="NM70" s="18" t="n"/>
      <c r="NN70" s="18" t="n"/>
      <c r="NO70" s="18" t="n"/>
      <c r="NP70" s="18" t="n"/>
      <c r="NQ70" s="18" t="n"/>
      <c r="NR70" s="18" t="n"/>
      <c r="NS70" s="18" t="n"/>
      <c r="NT70" s="18" t="n"/>
      <c r="NU70" s="18" t="n"/>
      <c r="NV70" s="18" t="n"/>
      <c r="NW70" s="18" t="n"/>
      <c r="NX70" s="18" t="n"/>
      <c r="NY70" s="18" t="n"/>
      <c r="NZ70" s="18" t="n"/>
      <c r="OA70" s="18" t="n"/>
      <c r="OB70" s="18" t="n"/>
      <c r="OC70" s="18" t="n"/>
      <c r="OD70" s="18" t="n"/>
      <c r="OE70" s="18" t="n"/>
      <c r="OF70" s="18" t="n"/>
      <c r="OG70" s="18" t="n"/>
      <c r="OH70" s="18" t="n"/>
      <c r="OI70" s="18" t="n"/>
      <c r="OJ70" s="18" t="n"/>
      <c r="OK70" s="18" t="n"/>
      <c r="OL70" s="18" t="n"/>
      <c r="OM70" s="18" t="n"/>
      <c r="ON70" s="18" t="n"/>
      <c r="OO70" s="18" t="n"/>
      <c r="OP70" s="18" t="n"/>
      <c r="OQ70" s="18" t="n"/>
      <c r="OR70" s="18" t="n"/>
      <c r="OS70" s="18" t="n"/>
      <c r="OT70" s="18" t="n"/>
      <c r="OU70" s="18" t="n"/>
      <c r="OV70" s="18" t="n"/>
      <c r="OW70" s="18" t="n"/>
      <c r="OX70" s="18" t="n"/>
      <c r="OY70" s="18" t="n"/>
      <c r="OZ70" s="18" t="n"/>
      <c r="PA70" s="18" t="n"/>
      <c r="PB70" s="18" t="n"/>
      <c r="PC70" s="18" t="n"/>
      <c r="PD70" s="18" t="n"/>
      <c r="PE70" s="18" t="n"/>
      <c r="PF70" s="18" t="n"/>
      <c r="PG70" s="18" t="n"/>
      <c r="PH70" s="18" t="n"/>
      <c r="PI70" s="18" t="n"/>
      <c r="PJ70" s="18" t="n"/>
      <c r="PK70" s="18" t="n"/>
      <c r="PL70" s="18" t="n"/>
      <c r="PM70" s="18" t="n"/>
      <c r="PN70" s="18" t="n"/>
      <c r="PO70" s="18" t="n"/>
      <c r="PP70" s="18" t="n"/>
      <c r="PQ70" s="18" t="n"/>
      <c r="PR70" s="18" t="n"/>
      <c r="PS70" s="18" t="n"/>
      <c r="PT70" s="18" t="n"/>
      <c r="PU70" s="18" t="n"/>
      <c r="PV70" s="18" t="n"/>
      <c r="PW70" s="18" t="n"/>
      <c r="PX70" s="18" t="n"/>
      <c r="PY70" s="18" t="n"/>
      <c r="PZ70" s="18" t="n"/>
      <c r="QA70" s="18" t="n"/>
      <c r="QB70" s="18" t="n"/>
      <c r="QC70" s="18" t="n"/>
      <c r="QD70" s="18" t="n"/>
      <c r="QE70" s="18" t="n"/>
      <c r="QF70" s="18" t="n"/>
      <c r="QG70" s="18" t="n"/>
      <c r="QH70" s="18" t="n"/>
      <c r="QI70" s="18" t="n"/>
    </row>
    <row r="71" ht="17.4" customHeight="1" s="88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8" t="n"/>
      <c r="BA71" s="18" t="n"/>
      <c r="BB71" s="18" t="n"/>
      <c r="BC71" s="18" t="n"/>
      <c r="BD71" s="18" t="n"/>
      <c r="BE71" s="18" t="n"/>
      <c r="BF71" s="18" t="n"/>
      <c r="BG71" s="18" t="n"/>
      <c r="BH71" s="18" t="n"/>
      <c r="BI71" s="18" t="n"/>
      <c r="BJ71" s="18" t="n"/>
      <c r="BK71" s="18" t="n"/>
      <c r="BL71" s="18" t="n"/>
      <c r="BM71" s="18" t="n"/>
      <c r="BN71" s="18" t="n"/>
      <c r="BO71" s="18" t="n"/>
      <c r="BP71" s="18" t="n"/>
      <c r="BQ71" s="18" t="n"/>
      <c r="BR71" s="18" t="n"/>
      <c r="BS71" s="18" t="n"/>
      <c r="BT71" s="18" t="n"/>
      <c r="BU71" s="18" t="n"/>
      <c r="BV71" s="18" t="n"/>
      <c r="BW71" s="18" t="n"/>
      <c r="BX71" s="18" t="n"/>
      <c r="BY71" s="18" t="n"/>
      <c r="BZ71" s="18" t="n"/>
      <c r="CA71" s="18" t="n"/>
      <c r="CB71" s="18" t="n"/>
      <c r="CC71" s="18" t="n"/>
      <c r="CD71" s="18" t="n"/>
      <c r="CE71" s="18" t="n"/>
      <c r="CF71" s="18" t="n"/>
      <c r="CG71" s="18" t="n"/>
      <c r="CH71" s="18" t="n"/>
      <c r="CI71" s="18" t="n"/>
      <c r="CJ71" s="18" t="n"/>
      <c r="CK71" s="18" t="n"/>
      <c r="CL71" s="18" t="n"/>
      <c r="CM71" s="18" t="n"/>
      <c r="CN71" s="18" t="n"/>
      <c r="CO71" s="18" t="n"/>
      <c r="CP71" s="18" t="n"/>
      <c r="CQ71" s="18" t="n"/>
      <c r="CR71" s="18" t="n"/>
      <c r="CS71" s="18" t="n"/>
      <c r="CT71" s="18" t="n"/>
      <c r="CU71" s="18" t="n"/>
      <c r="CV71" s="18" t="n"/>
      <c r="CW71" s="18" t="n"/>
      <c r="CX71" s="18" t="n"/>
      <c r="CY71" s="18" t="n"/>
      <c r="CZ71" s="18" t="n"/>
      <c r="DA71" s="18" t="n"/>
      <c r="DB71" s="18" t="n"/>
      <c r="DC71" s="18" t="n"/>
      <c r="DD71" s="18" t="n"/>
      <c r="DE71" s="18" t="n"/>
      <c r="DF71" s="18" t="n"/>
      <c r="DG71" s="18" t="n"/>
      <c r="DH71" s="18" t="n"/>
      <c r="DI71" s="18" t="n"/>
      <c r="DJ71" s="18" t="n"/>
      <c r="DK71" s="18" t="n"/>
      <c r="DL71" s="18" t="n"/>
      <c r="DM71" s="18" t="n"/>
      <c r="DN71" s="18" t="n"/>
      <c r="DO71" s="18" t="n"/>
      <c r="DP71" s="18" t="n"/>
      <c r="DQ71" s="18" t="n"/>
      <c r="DR71" s="18" t="n"/>
      <c r="DS71" s="18" t="n"/>
      <c r="DT71" s="18" t="n"/>
      <c r="DU71" s="18" t="n"/>
      <c r="DV71" s="18" t="n"/>
      <c r="DW71" s="18" t="n"/>
      <c r="DX71" s="18" t="n"/>
      <c r="DY71" s="18" t="n"/>
      <c r="DZ71" s="18" t="n"/>
      <c r="EA71" s="18" t="n"/>
      <c r="EB71" s="18" t="n"/>
      <c r="EC71" s="18" t="n"/>
      <c r="ED71" s="18" t="n"/>
      <c r="EE71" s="18" t="n"/>
      <c r="EF71" s="18" t="n"/>
      <c r="EG71" s="18" t="n"/>
      <c r="EH71" s="18" t="n"/>
      <c r="EI71" s="18" t="n"/>
      <c r="EJ71" s="18" t="n"/>
      <c r="EK71" s="18" t="n"/>
      <c r="EL71" s="18" t="n"/>
      <c r="EM71" s="18" t="n"/>
      <c r="EN71" s="18" t="n"/>
      <c r="EO71" s="18" t="n"/>
      <c r="EP71" s="18" t="n"/>
      <c r="EQ71" s="18" t="n"/>
      <c r="ER71" s="18" t="n"/>
      <c r="ES71" s="18" t="n"/>
      <c r="ET71" s="18" t="n"/>
      <c r="EU71" s="18" t="n"/>
      <c r="EV71" s="18" t="n"/>
      <c r="EW71" s="18" t="n"/>
      <c r="EX71" s="18" t="n"/>
      <c r="EY71" s="18" t="n"/>
      <c r="EZ71" s="18" t="n"/>
      <c r="FA71" s="18" t="n"/>
      <c r="FB71" s="18" t="n"/>
      <c r="FC71" s="18" t="n"/>
      <c r="FD71" s="18" t="n"/>
      <c r="FE71" s="18" t="n"/>
      <c r="FF71" s="18" t="n"/>
      <c r="FG71" s="18" t="n"/>
      <c r="FH71" s="18" t="n"/>
      <c r="FI71" s="18" t="n"/>
      <c r="FJ71" s="18" t="n"/>
      <c r="FK71" s="18" t="n"/>
      <c r="FL71" s="18" t="n"/>
      <c r="FM71" s="18" t="n"/>
      <c r="FN71" s="18" t="n"/>
      <c r="FO71" s="18" t="n"/>
      <c r="FP71" s="18" t="n"/>
      <c r="FQ71" s="18" t="n"/>
      <c r="FR71" s="18" t="n"/>
      <c r="FS71" s="18" t="n"/>
      <c r="FT71" s="18" t="n"/>
      <c r="FU71" s="18" t="n"/>
      <c r="FV71" s="18" t="n"/>
      <c r="FW71" s="18" t="n"/>
      <c r="FX71" s="18" t="n"/>
      <c r="FY71" s="18" t="n"/>
      <c r="FZ71" s="18" t="n"/>
      <c r="GA71" s="18" t="n"/>
      <c r="GB71" s="18" t="n"/>
      <c r="GC71" s="18" t="n"/>
      <c r="GD71" s="18" t="n"/>
      <c r="GE71" s="18" t="n"/>
      <c r="GF71" s="18" t="n"/>
      <c r="GG71" s="18" t="n"/>
      <c r="GH71" s="18" t="n"/>
      <c r="GI71" s="18" t="n"/>
      <c r="GJ71" s="18" t="n"/>
      <c r="GK71" s="18" t="n"/>
      <c r="GL71" s="18" t="n"/>
      <c r="GM71" s="18" t="n"/>
      <c r="GN71" s="18" t="n"/>
      <c r="GO71" s="18" t="n"/>
      <c r="GP71" s="18" t="n"/>
      <c r="GQ71" s="18" t="n"/>
      <c r="GR71" s="18" t="n"/>
      <c r="GS71" s="18" t="n"/>
      <c r="GT71" s="18" t="n"/>
      <c r="GU71" s="18" t="n"/>
      <c r="GV71" s="18" t="n"/>
      <c r="GW71" s="18" t="n"/>
      <c r="GX71" s="18" t="n"/>
      <c r="GY71" s="18" t="n"/>
      <c r="GZ71" s="18" t="n"/>
      <c r="HA71" s="18" t="n"/>
      <c r="HB71" s="18" t="n"/>
      <c r="HC71" s="18" t="n"/>
      <c r="HD71" s="18" t="n"/>
      <c r="HE71" s="18" t="n"/>
      <c r="HF71" s="18" t="n"/>
      <c r="HG71" s="18" t="n"/>
      <c r="HH71" s="18" t="n"/>
      <c r="HI71" s="18" t="n"/>
      <c r="HJ71" s="18" t="n"/>
      <c r="HK71" s="18" t="n"/>
      <c r="HL71" s="18" t="n"/>
      <c r="HM71" s="18" t="n"/>
      <c r="HN71" s="18" t="n"/>
      <c r="HO71" s="18" t="n"/>
      <c r="HP71" s="18" t="n"/>
      <c r="HQ71" s="18" t="n"/>
      <c r="HR71" s="18" t="n"/>
      <c r="HS71" s="18" t="n"/>
      <c r="HT71" s="18" t="n"/>
      <c r="HU71" s="18" t="n"/>
      <c r="HV71" s="18" t="n"/>
      <c r="HW71" s="18" t="n"/>
      <c r="HX71" s="18" t="n"/>
      <c r="HY71" s="18" t="n"/>
      <c r="HZ71" s="18" t="n"/>
      <c r="IA71" s="18" t="n"/>
      <c r="IB71" s="18" t="n"/>
      <c r="IC71" s="18" t="n"/>
      <c r="ID71" s="18" t="n"/>
      <c r="IE71" s="18" t="n"/>
      <c r="IF71" s="18" t="n"/>
      <c r="IG71" s="18" t="n"/>
      <c r="IH71" s="18" t="n"/>
      <c r="II71" s="18" t="n"/>
      <c r="IJ71" s="18" t="n"/>
      <c r="IK71" s="18" t="n"/>
      <c r="IL71" s="18" t="n"/>
      <c r="IM71" s="18" t="n"/>
      <c r="IN71" s="18" t="n"/>
      <c r="IO71" s="18" t="n"/>
      <c r="IP71" s="18" t="n"/>
      <c r="IQ71" s="18" t="n"/>
      <c r="IR71" s="18" t="n"/>
      <c r="IS71" s="18" t="n"/>
      <c r="IT71" s="18" t="n"/>
      <c r="IU71" s="18" t="n"/>
      <c r="IV71" s="18" t="n"/>
      <c r="IW71" s="18" t="n"/>
      <c r="IX71" s="18" t="n"/>
      <c r="IY71" s="18" t="n"/>
      <c r="IZ71" s="18" t="n"/>
      <c r="JA71" s="18" t="n"/>
      <c r="JB71" s="18" t="n"/>
      <c r="JC71" s="18" t="n"/>
      <c r="JD71" s="18" t="n"/>
      <c r="JE71" s="18" t="n"/>
      <c r="JF71" s="18" t="n"/>
      <c r="JG71" s="18" t="n"/>
      <c r="JH71" s="18" t="n"/>
      <c r="JI71" s="18" t="n"/>
      <c r="JJ71" s="18" t="n"/>
      <c r="JK71" s="18" t="n"/>
      <c r="JL71" s="18" t="n"/>
      <c r="JM71" s="18" t="n"/>
      <c r="JN71" s="18" t="n"/>
      <c r="JO71" s="18" t="n"/>
      <c r="JP71" s="18" t="n"/>
      <c r="JQ71" s="18" t="n"/>
      <c r="JR71" s="18" t="n"/>
      <c r="JS71" s="18" t="n"/>
      <c r="JT71" s="18" t="n"/>
      <c r="JU71" s="18" t="n"/>
      <c r="JV71" s="18" t="n"/>
      <c r="JW71" s="18" t="n"/>
      <c r="JX71" s="18" t="n"/>
      <c r="JY71" s="18" t="n"/>
      <c r="JZ71" s="18" t="n"/>
      <c r="KA71" s="18" t="n"/>
      <c r="KB71" s="18" t="n"/>
      <c r="KC71" s="18" t="n"/>
      <c r="KD71" s="18" t="n"/>
      <c r="KE71" s="18" t="n"/>
      <c r="KF71" s="18" t="n"/>
      <c r="KG71" s="18" t="n"/>
      <c r="KH71" s="18" t="n"/>
      <c r="KI71" s="18" t="n"/>
      <c r="KJ71" s="18" t="n"/>
      <c r="KK71" s="18" t="n"/>
      <c r="KL71" s="18" t="n"/>
      <c r="KM71" s="18" t="n"/>
      <c r="KN71" s="18" t="n"/>
      <c r="KO71" s="18" t="n"/>
      <c r="KP71" s="18" t="n"/>
      <c r="KQ71" s="18" t="n"/>
      <c r="KR71" s="18" t="n"/>
      <c r="KS71" s="18" t="n"/>
      <c r="KT71" s="18" t="n"/>
      <c r="KU71" s="18" t="n"/>
      <c r="KV71" s="18" t="n"/>
      <c r="KW71" s="18" t="n"/>
      <c r="KX71" s="18" t="n"/>
      <c r="KY71" s="18" t="n"/>
      <c r="KZ71" s="18" t="n"/>
      <c r="LA71" s="18" t="n"/>
      <c r="LB71" s="18" t="n"/>
      <c r="LC71" s="18" t="n"/>
      <c r="LD71" s="18" t="n"/>
      <c r="LE71" s="18" t="n"/>
      <c r="LF71" s="18" t="n"/>
      <c r="LG71" s="18" t="n"/>
      <c r="LH71" s="18" t="n"/>
      <c r="LI71" s="18" t="n"/>
      <c r="LJ71" s="18" t="n"/>
      <c r="LK71" s="18" t="n"/>
      <c r="LL71" s="18" t="n"/>
      <c r="LM71" s="18" t="n"/>
      <c r="LN71" s="18" t="n"/>
      <c r="LO71" s="18" t="n"/>
      <c r="LP71" s="18" t="n"/>
      <c r="LQ71" s="18" t="n"/>
      <c r="LR71" s="18" t="n"/>
      <c r="LS71" s="18" t="n"/>
      <c r="LT71" s="18" t="n"/>
      <c r="LU71" s="18" t="n"/>
      <c r="LV71" s="18" t="n"/>
      <c r="LW71" s="18" t="n"/>
      <c r="LX71" s="18" t="n"/>
      <c r="LY71" s="18" t="n"/>
      <c r="LZ71" s="18" t="n"/>
      <c r="MA71" s="18" t="n"/>
      <c r="MB71" s="18" t="n"/>
      <c r="MC71" s="18" t="n"/>
      <c r="MD71" s="18" t="n"/>
      <c r="ME71" s="18" t="n"/>
      <c r="MF71" s="18" t="n"/>
      <c r="MG71" s="18" t="n"/>
      <c r="MH71" s="18" t="n"/>
      <c r="MI71" s="18" t="n"/>
      <c r="MJ71" s="18" t="n"/>
      <c r="MK71" s="18" t="n"/>
      <c r="ML71" s="18" t="n"/>
      <c r="MM71" s="18" t="n"/>
      <c r="MN71" s="18" t="n"/>
      <c r="MO71" s="18" t="n"/>
      <c r="MP71" s="18" t="n"/>
      <c r="MQ71" s="18" t="n"/>
      <c r="MR71" s="18" t="n"/>
      <c r="MS71" s="18" t="n"/>
      <c r="MT71" s="18" t="n"/>
      <c r="MU71" s="18" t="n"/>
      <c r="MV71" s="18" t="n"/>
      <c r="MW71" s="18" t="n"/>
      <c r="MX71" s="18" t="n"/>
      <c r="MY71" s="18" t="n"/>
      <c r="MZ71" s="18" t="n"/>
      <c r="NA71" s="18" t="n"/>
      <c r="NB71" s="18" t="n"/>
      <c r="NC71" s="18" t="n"/>
      <c r="ND71" s="18" t="n"/>
      <c r="NE71" s="18" t="n"/>
      <c r="NF71" s="18" t="n"/>
      <c r="NG71" s="18" t="n"/>
      <c r="NH71" s="18" t="n"/>
      <c r="NI71" s="18" t="n"/>
      <c r="NJ71" s="18" t="n"/>
      <c r="NK71" s="18" t="n"/>
      <c r="NL71" s="18" t="n"/>
      <c r="NM71" s="18" t="n"/>
      <c r="NN71" s="18" t="n"/>
      <c r="NO71" s="18" t="n"/>
      <c r="NP71" s="18" t="n"/>
      <c r="NQ71" s="18" t="n"/>
      <c r="NR71" s="18" t="n"/>
      <c r="NS71" s="18" t="n"/>
      <c r="NT71" s="18" t="n"/>
      <c r="NU71" s="18" t="n"/>
      <c r="NV71" s="18" t="n"/>
      <c r="NW71" s="18" t="n"/>
      <c r="NX71" s="18" t="n"/>
      <c r="NY71" s="18" t="n"/>
      <c r="NZ71" s="18" t="n"/>
      <c r="OA71" s="18" t="n"/>
      <c r="OB71" s="18" t="n"/>
      <c r="OC71" s="18" t="n"/>
      <c r="OD71" s="18" t="n"/>
      <c r="OE71" s="18" t="n"/>
      <c r="OF71" s="18" t="n"/>
      <c r="OG71" s="18" t="n"/>
      <c r="OH71" s="18" t="n"/>
      <c r="OI71" s="18" t="n"/>
      <c r="OJ71" s="18" t="n"/>
      <c r="OK71" s="18" t="n"/>
      <c r="OL71" s="18" t="n"/>
      <c r="OM71" s="18" t="n"/>
      <c r="ON71" s="18" t="n"/>
      <c r="OO71" s="18" t="n"/>
      <c r="OP71" s="18" t="n"/>
      <c r="OQ71" s="18" t="n"/>
      <c r="OR71" s="18" t="n"/>
      <c r="OS71" s="18" t="n"/>
      <c r="OT71" s="18" t="n"/>
      <c r="OU71" s="18" t="n"/>
      <c r="OV71" s="18" t="n"/>
      <c r="OW71" s="18" t="n"/>
      <c r="OX71" s="18" t="n"/>
      <c r="OY71" s="18" t="n"/>
      <c r="OZ71" s="18" t="n"/>
      <c r="PA71" s="18" t="n"/>
      <c r="PB71" s="18" t="n"/>
      <c r="PC71" s="18" t="n"/>
      <c r="PD71" s="18" t="n"/>
      <c r="PE71" s="18" t="n"/>
      <c r="PF71" s="18" t="n"/>
      <c r="PG71" s="18" t="n"/>
      <c r="PH71" s="18" t="n"/>
      <c r="PI71" s="18" t="n"/>
      <c r="PJ71" s="18" t="n"/>
      <c r="PK71" s="18" t="n"/>
      <c r="PL71" s="18" t="n"/>
      <c r="PM71" s="18" t="n"/>
      <c r="PN71" s="18" t="n"/>
      <c r="PO71" s="18" t="n"/>
      <c r="PP71" s="18" t="n"/>
      <c r="PQ71" s="18" t="n"/>
      <c r="PR71" s="18" t="n"/>
      <c r="PS71" s="18" t="n"/>
      <c r="PT71" s="18" t="n"/>
      <c r="PU71" s="18" t="n"/>
      <c r="PV71" s="18" t="n"/>
      <c r="PW71" s="18" t="n"/>
      <c r="PX71" s="18" t="n"/>
      <c r="PY71" s="18" t="n"/>
      <c r="PZ71" s="18" t="n"/>
      <c r="QA71" s="18" t="n"/>
      <c r="QB71" s="18" t="n"/>
      <c r="QC71" s="18" t="n"/>
      <c r="QD71" s="18" t="n"/>
      <c r="QE71" s="18" t="n"/>
      <c r="QF71" s="18" t="n"/>
      <c r="QG71" s="18" t="n"/>
      <c r="QH71" s="18" t="n"/>
      <c r="QI71" s="18" t="n"/>
      <c r="QJ71" s="18" t="n"/>
      <c r="QK71" s="18" t="n"/>
      <c r="QL71" s="18" t="n"/>
      <c r="QM71" s="18" t="n"/>
    </row>
    <row r="72" ht="17.4" customHeight="1" s="88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8" t="n"/>
      <c r="BA72" s="18" t="n"/>
      <c r="BB72" s="18" t="n"/>
      <c r="BC72" s="18" t="n"/>
      <c r="BD72" s="18" t="n"/>
      <c r="BE72" s="18" t="n"/>
      <c r="BF72" s="18" t="n"/>
      <c r="BG72" s="18" t="n"/>
      <c r="BH72" s="18" t="n"/>
      <c r="BI72" s="18" t="n"/>
      <c r="BJ72" s="18" t="n"/>
      <c r="BK72" s="18" t="n"/>
      <c r="BL72" s="18" t="n"/>
      <c r="BM72" s="18" t="n"/>
      <c r="BN72" s="18" t="n"/>
      <c r="BO72" s="18" t="n"/>
      <c r="BP72" s="18" t="n"/>
      <c r="BQ72" s="18" t="n"/>
      <c r="BR72" s="18" t="n"/>
      <c r="BS72" s="18" t="n"/>
      <c r="BT72" s="18" t="n"/>
      <c r="BU72" s="18" t="n"/>
      <c r="BV72" s="18" t="n"/>
      <c r="BW72" s="18" t="n"/>
      <c r="BX72" s="18" t="n"/>
      <c r="BY72" s="18" t="n"/>
      <c r="BZ72" s="18" t="n"/>
      <c r="CA72" s="18" t="n"/>
      <c r="CB72" s="18" t="n"/>
      <c r="CC72" s="18" t="n"/>
      <c r="CD72" s="18" t="n"/>
      <c r="CE72" s="18" t="n"/>
      <c r="CF72" s="18" t="n"/>
      <c r="CG72" s="18" t="n"/>
      <c r="CH72" s="18" t="n"/>
      <c r="CI72" s="18" t="n"/>
      <c r="CJ72" s="18" t="n"/>
      <c r="CK72" s="18" t="n"/>
      <c r="CL72" s="18" t="n"/>
      <c r="CM72" s="18" t="n"/>
      <c r="CN72" s="18" t="n"/>
      <c r="CO72" s="18" t="n"/>
      <c r="CP72" s="18" t="n"/>
      <c r="CQ72" s="18" t="n"/>
      <c r="CR72" s="18" t="n"/>
      <c r="CS72" s="18" t="n"/>
      <c r="CT72" s="18" t="n"/>
      <c r="CU72" s="18" t="n"/>
      <c r="CV72" s="18" t="n"/>
      <c r="CW72" s="18" t="n"/>
      <c r="CX72" s="18" t="n"/>
      <c r="CY72" s="18" t="n"/>
      <c r="CZ72" s="18" t="n"/>
      <c r="DA72" s="18" t="n"/>
      <c r="DB72" s="18" t="n"/>
      <c r="DC72" s="18" t="n"/>
      <c r="DD72" s="18" t="n"/>
      <c r="DE72" s="18" t="n"/>
      <c r="DF72" s="18" t="n"/>
      <c r="DG72" s="18" t="n"/>
      <c r="DH72" s="18" t="n"/>
      <c r="DI72" s="18" t="n"/>
      <c r="DJ72" s="18" t="n"/>
      <c r="DK72" s="18" t="n"/>
      <c r="DL72" s="18" t="n"/>
      <c r="DM72" s="18" t="n"/>
      <c r="DN72" s="18" t="n"/>
      <c r="DO72" s="18" t="n"/>
      <c r="DP72" s="18" t="n"/>
      <c r="DQ72" s="18" t="n"/>
      <c r="DR72" s="18" t="n"/>
      <c r="DS72" s="18" t="n"/>
      <c r="DT72" s="18" t="n"/>
      <c r="DU72" s="18" t="n"/>
      <c r="DV72" s="18" t="n"/>
      <c r="DW72" s="18" t="n"/>
      <c r="DX72" s="18" t="n"/>
      <c r="DY72" s="18" t="n"/>
      <c r="DZ72" s="18" t="n"/>
      <c r="EA72" s="18" t="n"/>
      <c r="EB72" s="18" t="n"/>
      <c r="EC72" s="18" t="n"/>
      <c r="ED72" s="18" t="n"/>
      <c r="EE72" s="18" t="n"/>
      <c r="EF72" s="18" t="n"/>
      <c r="EG72" s="18" t="n"/>
      <c r="EH72" s="18" t="n"/>
      <c r="EI72" s="18" t="n"/>
      <c r="EJ72" s="18" t="n"/>
      <c r="EK72" s="18" t="n"/>
      <c r="EL72" s="18" t="n"/>
      <c r="EM72" s="18" t="n"/>
      <c r="EN72" s="18" t="n"/>
      <c r="EO72" s="18" t="n"/>
      <c r="EP72" s="18" t="n"/>
      <c r="EQ72" s="18" t="n"/>
      <c r="ER72" s="18" t="n"/>
      <c r="ES72" s="18" t="n"/>
      <c r="ET72" s="18" t="n"/>
      <c r="EU72" s="18" t="n"/>
      <c r="EV72" s="18" t="n"/>
      <c r="EW72" s="18" t="n"/>
      <c r="EX72" s="18" t="n"/>
      <c r="EY72" s="18" t="n"/>
      <c r="EZ72" s="18" t="n"/>
      <c r="FA72" s="18" t="n"/>
      <c r="FB72" s="18" t="n"/>
      <c r="FC72" s="18" t="n"/>
      <c r="FD72" s="18" t="n"/>
      <c r="FE72" s="18" t="n"/>
      <c r="FF72" s="18" t="n"/>
      <c r="FG72" s="18" t="n"/>
      <c r="FH72" s="18" t="n"/>
      <c r="FI72" s="18" t="n"/>
      <c r="FJ72" s="18" t="n"/>
      <c r="FK72" s="18" t="n"/>
      <c r="FL72" s="18" t="n"/>
      <c r="FM72" s="18" t="n"/>
      <c r="FN72" s="18" t="n"/>
      <c r="FO72" s="18" t="n"/>
      <c r="FP72" s="18" t="n"/>
      <c r="FQ72" s="18" t="n"/>
      <c r="FR72" s="18" t="n"/>
      <c r="FS72" s="18" t="n"/>
      <c r="FT72" s="18" t="n"/>
      <c r="FU72" s="18" t="n"/>
      <c r="FV72" s="18" t="n"/>
      <c r="FW72" s="18" t="n"/>
      <c r="FX72" s="18" t="n"/>
      <c r="FY72" s="18" t="n"/>
      <c r="FZ72" s="18" t="n"/>
      <c r="GA72" s="18" t="n"/>
      <c r="GB72" s="18" t="n"/>
      <c r="GC72" s="18" t="n"/>
      <c r="GD72" s="18" t="n"/>
      <c r="GE72" s="18" t="n"/>
      <c r="GF72" s="18" t="n"/>
      <c r="GG72" s="18" t="n"/>
      <c r="GH72" s="18" t="n"/>
      <c r="GI72" s="18" t="n"/>
      <c r="GJ72" s="18" t="n"/>
      <c r="GK72" s="18" t="n"/>
      <c r="GL72" s="18" t="n"/>
      <c r="GM72" s="18" t="n"/>
      <c r="GN72" s="18" t="n"/>
      <c r="GO72" s="18" t="n"/>
      <c r="GP72" s="18" t="n"/>
      <c r="GQ72" s="18" t="n"/>
      <c r="GR72" s="18" t="n"/>
      <c r="GS72" s="18" t="n"/>
      <c r="GT72" s="18" t="n"/>
      <c r="GU72" s="18" t="n"/>
      <c r="GV72" s="18" t="n"/>
      <c r="GW72" s="18" t="n"/>
      <c r="GX72" s="18" t="n"/>
      <c r="GY72" s="18" t="n"/>
      <c r="GZ72" s="18" t="n"/>
      <c r="HA72" s="18" t="n"/>
      <c r="HB72" s="18" t="n"/>
      <c r="HC72" s="18" t="n"/>
      <c r="HD72" s="18" t="n"/>
      <c r="HE72" s="18" t="n"/>
      <c r="HF72" s="18" t="n"/>
      <c r="HG72" s="18" t="n"/>
      <c r="HH72" s="18" t="n"/>
      <c r="HI72" s="18" t="n"/>
      <c r="HJ72" s="18" t="n"/>
      <c r="HK72" s="18" t="n"/>
      <c r="HL72" s="18" t="n"/>
      <c r="HM72" s="18" t="n"/>
      <c r="HN72" s="18" t="n"/>
      <c r="HO72" s="18" t="n"/>
      <c r="HP72" s="18" t="n"/>
      <c r="HQ72" s="18" t="n"/>
      <c r="HR72" s="18" t="n"/>
      <c r="HS72" s="18" t="n"/>
      <c r="HT72" s="18" t="n"/>
      <c r="HU72" s="18" t="n"/>
      <c r="HV72" s="18" t="n"/>
      <c r="HW72" s="18" t="n"/>
      <c r="HX72" s="18" t="n"/>
      <c r="HY72" s="18" t="n"/>
      <c r="HZ72" s="18" t="n"/>
      <c r="IA72" s="18" t="n"/>
      <c r="IB72" s="18" t="n"/>
      <c r="IC72" s="18" t="n"/>
      <c r="ID72" s="18" t="n"/>
      <c r="IE72" s="18" t="n"/>
      <c r="IF72" s="18" t="n"/>
      <c r="IG72" s="18" t="n"/>
      <c r="IH72" s="18" t="n"/>
      <c r="II72" s="18" t="n"/>
      <c r="IJ72" s="18" t="n"/>
      <c r="IK72" s="18" t="n"/>
      <c r="IL72" s="18" t="n"/>
      <c r="IM72" s="18" t="n"/>
      <c r="IN72" s="18" t="n"/>
      <c r="IO72" s="18" t="n"/>
      <c r="IP72" s="18" t="n"/>
      <c r="IQ72" s="18" t="n"/>
      <c r="IR72" s="18" t="n"/>
      <c r="IS72" s="18" t="n"/>
      <c r="IT72" s="18" t="n"/>
      <c r="IU72" s="18" t="n"/>
      <c r="IV72" s="18" t="n"/>
      <c r="IW72" s="18" t="n"/>
      <c r="IX72" s="18" t="n"/>
      <c r="IY72" s="18" t="n"/>
      <c r="IZ72" s="18" t="n"/>
      <c r="JA72" s="18" t="n"/>
      <c r="JB72" s="18" t="n"/>
      <c r="JC72" s="18" t="n"/>
      <c r="JD72" s="18" t="n"/>
      <c r="JE72" s="18" t="n"/>
      <c r="JF72" s="18" t="n"/>
      <c r="JG72" s="18" t="n"/>
      <c r="JH72" s="18" t="n"/>
      <c r="JI72" s="18" t="n"/>
      <c r="JJ72" s="18" t="n"/>
      <c r="JK72" s="18" t="n"/>
      <c r="JL72" s="18" t="n"/>
      <c r="JM72" s="18" t="n"/>
      <c r="JN72" s="18" t="n"/>
      <c r="JO72" s="18" t="n"/>
      <c r="JP72" s="18" t="n"/>
      <c r="JQ72" s="18" t="n"/>
      <c r="JR72" s="18" t="n"/>
      <c r="JS72" s="18" t="n"/>
      <c r="JT72" s="18" t="n"/>
      <c r="JU72" s="18" t="n"/>
      <c r="JV72" s="18" t="n"/>
      <c r="JW72" s="18" t="n"/>
      <c r="JX72" s="18" t="n"/>
      <c r="JY72" s="18" t="n"/>
      <c r="JZ72" s="18" t="n"/>
      <c r="KA72" s="18" t="n"/>
      <c r="KB72" s="18" t="n"/>
      <c r="KC72" s="18" t="n"/>
      <c r="KD72" s="18" t="n"/>
      <c r="KE72" s="18" t="n"/>
      <c r="KF72" s="18" t="n"/>
      <c r="KG72" s="18" t="n"/>
      <c r="KH72" s="18" t="n"/>
      <c r="KI72" s="18" t="n"/>
      <c r="KJ72" s="18" t="n"/>
      <c r="KK72" s="18" t="n"/>
      <c r="KL72" s="18" t="n"/>
      <c r="KM72" s="18" t="n"/>
      <c r="KN72" s="18" t="n"/>
      <c r="KO72" s="18" t="n"/>
      <c r="KP72" s="18" t="n"/>
      <c r="KQ72" s="18" t="n"/>
      <c r="KR72" s="18" t="n"/>
      <c r="KS72" s="18" t="n"/>
      <c r="KT72" s="18" t="n"/>
      <c r="KU72" s="18" t="n"/>
      <c r="KV72" s="18" t="n"/>
      <c r="KW72" s="18" t="n"/>
      <c r="KX72" s="18" t="n"/>
      <c r="KY72" s="18" t="n"/>
      <c r="KZ72" s="18" t="n"/>
      <c r="LA72" s="18" t="n"/>
      <c r="LB72" s="18" t="n"/>
      <c r="LC72" s="18" t="n"/>
      <c r="LD72" s="18" t="n"/>
      <c r="LE72" s="18" t="n"/>
      <c r="LF72" s="18" t="n"/>
      <c r="LG72" s="18" t="n"/>
      <c r="LH72" s="18" t="n"/>
      <c r="LI72" s="18" t="n"/>
      <c r="LJ72" s="18" t="n"/>
      <c r="LK72" s="18" t="n"/>
      <c r="LL72" s="18" t="n"/>
      <c r="LM72" s="18" t="n"/>
      <c r="LN72" s="18" t="n"/>
      <c r="LO72" s="18" t="n"/>
      <c r="LP72" s="18" t="n"/>
      <c r="LQ72" s="18" t="n"/>
      <c r="LR72" s="18" t="n"/>
      <c r="LS72" s="18" t="n"/>
      <c r="LT72" s="18" t="n"/>
      <c r="LU72" s="18" t="n"/>
      <c r="LV72" s="18" t="n"/>
      <c r="LW72" s="18" t="n"/>
      <c r="LX72" s="18" t="n"/>
      <c r="LY72" s="18" t="n"/>
      <c r="LZ72" s="18" t="n"/>
      <c r="MA72" s="18" t="n"/>
      <c r="MB72" s="18" t="n"/>
      <c r="MC72" s="18" t="n"/>
      <c r="MD72" s="18" t="n"/>
      <c r="ME72" s="18" t="n"/>
      <c r="MF72" s="18" t="n"/>
      <c r="MG72" s="18" t="n"/>
      <c r="MH72" s="18" t="n"/>
      <c r="MI72" s="18" t="n"/>
      <c r="MJ72" s="18" t="n"/>
      <c r="MK72" s="18" t="n"/>
      <c r="ML72" s="18" t="n"/>
      <c r="MM72" s="18" t="n"/>
      <c r="MN72" s="18" t="n"/>
      <c r="MO72" s="18" t="n"/>
      <c r="MP72" s="18" t="n"/>
      <c r="MQ72" s="18" t="n"/>
      <c r="MR72" s="18" t="n"/>
      <c r="MS72" s="18" t="n"/>
      <c r="MT72" s="18" t="n"/>
      <c r="MU72" s="18" t="n"/>
      <c r="MV72" s="18" t="n"/>
      <c r="MW72" s="18" t="n"/>
      <c r="MX72" s="18" t="n"/>
      <c r="MY72" s="18" t="n"/>
      <c r="MZ72" s="18" t="n"/>
      <c r="NA72" s="18" t="n"/>
      <c r="NB72" s="18" t="n"/>
      <c r="NC72" s="18" t="n"/>
      <c r="ND72" s="18" t="n"/>
      <c r="NE72" s="18" t="n"/>
      <c r="NF72" s="18" t="n"/>
      <c r="NG72" s="18" t="n"/>
      <c r="NH72" s="18" t="n"/>
      <c r="NI72" s="18" t="n"/>
      <c r="NJ72" s="18" t="n"/>
      <c r="NK72" s="18" t="n"/>
      <c r="NL72" s="18" t="n"/>
      <c r="NM72" s="18" t="n"/>
      <c r="NN72" s="18" t="n"/>
      <c r="NO72" s="18" t="n"/>
      <c r="NP72" s="18" t="n"/>
      <c r="NQ72" s="18" t="n"/>
      <c r="NR72" s="18" t="n"/>
      <c r="NS72" s="18" t="n"/>
      <c r="NT72" s="18" t="n"/>
      <c r="NU72" s="18" t="n"/>
      <c r="NV72" s="18" t="n"/>
      <c r="NW72" s="18" t="n"/>
      <c r="NX72" s="18" t="n"/>
      <c r="NY72" s="18" t="n"/>
      <c r="NZ72" s="18" t="n"/>
      <c r="OA72" s="18" t="n"/>
      <c r="OB72" s="18" t="n"/>
      <c r="OC72" s="18" t="n"/>
      <c r="OD72" s="18" t="n"/>
      <c r="OE72" s="18" t="n"/>
      <c r="OF72" s="18" t="n"/>
      <c r="OG72" s="18" t="n"/>
      <c r="OH72" s="18" t="n"/>
      <c r="OI72" s="18" t="n"/>
      <c r="OJ72" s="18" t="n"/>
      <c r="OK72" s="18" t="n"/>
      <c r="OL72" s="18" t="n"/>
      <c r="OM72" s="18" t="n"/>
      <c r="ON72" s="18" t="n"/>
      <c r="OO72" s="18" t="n"/>
      <c r="OP72" s="18" t="n"/>
      <c r="OQ72" s="18" t="n"/>
      <c r="OR72" s="18" t="n"/>
      <c r="OS72" s="18" t="n"/>
      <c r="OT72" s="18" t="n"/>
      <c r="OU72" s="18" t="n"/>
      <c r="OV72" s="18" t="n"/>
      <c r="OW72" s="18" t="n"/>
      <c r="OX72" s="18" t="n"/>
      <c r="OY72" s="18" t="n"/>
      <c r="OZ72" s="18" t="n"/>
      <c r="PA72" s="18" t="n"/>
      <c r="PB72" s="18" t="n"/>
      <c r="PC72" s="18" t="n"/>
      <c r="PD72" s="18" t="n"/>
      <c r="PE72" s="18" t="n"/>
      <c r="PF72" s="18" t="n"/>
      <c r="PG72" s="18" t="n"/>
      <c r="PH72" s="18" t="n"/>
      <c r="PI72" s="18" t="n"/>
      <c r="PJ72" s="18" t="n"/>
      <c r="PK72" s="18" t="n"/>
      <c r="PL72" s="18" t="n"/>
      <c r="PM72" s="18" t="n"/>
      <c r="PN72" s="18" t="n"/>
      <c r="PO72" s="18" t="n"/>
      <c r="PP72" s="18" t="n"/>
      <c r="PQ72" s="18" t="n"/>
      <c r="PR72" s="18" t="n"/>
      <c r="PS72" s="18" t="n"/>
      <c r="PT72" s="18" t="n"/>
      <c r="PU72" s="18" t="n"/>
      <c r="PV72" s="18" t="n"/>
      <c r="PW72" s="18" t="n"/>
      <c r="PX72" s="18" t="n"/>
      <c r="PY72" s="18" t="n"/>
      <c r="PZ72" s="18" t="n"/>
      <c r="QA72" s="18" t="n"/>
      <c r="QB72" s="18" t="n"/>
      <c r="QC72" s="18" t="n"/>
      <c r="QD72" s="18" t="n"/>
      <c r="QE72" s="18" t="n"/>
      <c r="QF72" s="18" t="n"/>
      <c r="QG72" s="18" t="n"/>
      <c r="QH72" s="18" t="n"/>
      <c r="QI72" s="18" t="n"/>
      <c r="QJ72" s="18" t="n"/>
      <c r="QK72" s="18" t="n"/>
      <c r="QL72" s="18" t="n"/>
      <c r="QM72" s="18" t="n"/>
      <c r="QN72" s="18" t="n"/>
      <c r="QO72" s="18" t="n"/>
      <c r="QP72" s="18" t="n"/>
      <c r="QQ72" s="18" t="n"/>
    </row>
    <row r="73" ht="17.4" customHeight="1" s="88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8" t="n"/>
      <c r="BA73" s="18" t="n"/>
      <c r="BB73" s="18" t="n"/>
      <c r="BC73" s="18" t="n"/>
      <c r="BD73" s="18" t="n"/>
      <c r="BE73" s="18" t="n"/>
      <c r="BF73" s="18" t="n"/>
      <c r="BG73" s="18" t="n"/>
      <c r="BH73" s="18" t="n"/>
      <c r="BI73" s="18" t="n"/>
      <c r="BJ73" s="18" t="n"/>
      <c r="BK73" s="18" t="n"/>
      <c r="BL73" s="18" t="n"/>
      <c r="BM73" s="18" t="n"/>
      <c r="BN73" s="18" t="n"/>
      <c r="BO73" s="18" t="n"/>
      <c r="BP73" s="18" t="n"/>
      <c r="BQ73" s="18" t="n"/>
      <c r="BR73" s="18" t="n"/>
      <c r="BS73" s="18" t="n"/>
      <c r="BT73" s="18" t="n"/>
      <c r="BU73" s="18" t="n"/>
      <c r="BV73" s="18" t="n"/>
      <c r="BW73" s="18" t="n"/>
      <c r="BX73" s="18" t="n"/>
      <c r="BY73" s="18" t="n"/>
      <c r="BZ73" s="18" t="n"/>
      <c r="CA73" s="18" t="n"/>
      <c r="CB73" s="18" t="n"/>
      <c r="CC73" s="18" t="n"/>
      <c r="CD73" s="18" t="n"/>
      <c r="CE73" s="18" t="n"/>
      <c r="CF73" s="18" t="n"/>
      <c r="CG73" s="18" t="n"/>
      <c r="CH73" s="18" t="n"/>
      <c r="CI73" s="18" t="n"/>
      <c r="CJ73" s="18" t="n"/>
      <c r="CK73" s="18" t="n"/>
      <c r="CL73" s="18" t="n"/>
      <c r="CM73" s="18" t="n"/>
      <c r="CN73" s="18" t="n"/>
      <c r="CO73" s="18" t="n"/>
      <c r="CP73" s="18" t="n"/>
      <c r="CQ73" s="18" t="n"/>
      <c r="CR73" s="18" t="n"/>
      <c r="CS73" s="18" t="n"/>
      <c r="CT73" s="18" t="n"/>
      <c r="CU73" s="18" t="n"/>
      <c r="CV73" s="18" t="n"/>
      <c r="CW73" s="18" t="n"/>
      <c r="CX73" s="18" t="n"/>
      <c r="CY73" s="18" t="n"/>
      <c r="CZ73" s="18" t="n"/>
      <c r="DA73" s="18" t="n"/>
      <c r="DB73" s="18" t="n"/>
      <c r="DC73" s="18" t="n"/>
      <c r="DD73" s="18" t="n"/>
      <c r="DE73" s="18" t="n"/>
      <c r="DF73" s="18" t="n"/>
      <c r="DG73" s="18" t="n"/>
      <c r="DH73" s="18" t="n"/>
      <c r="DI73" s="18" t="n"/>
      <c r="DJ73" s="18" t="n"/>
      <c r="DK73" s="18" t="n"/>
      <c r="DL73" s="18" t="n"/>
      <c r="DM73" s="18" t="n"/>
      <c r="DN73" s="18" t="n"/>
      <c r="DO73" s="18" t="n"/>
      <c r="DP73" s="18" t="n"/>
      <c r="DQ73" s="18" t="n"/>
      <c r="DR73" s="18" t="n"/>
      <c r="DS73" s="18" t="n"/>
      <c r="DT73" s="18" t="n"/>
      <c r="DU73" s="18" t="n"/>
      <c r="DV73" s="18" t="n"/>
      <c r="DW73" s="18" t="n"/>
      <c r="DX73" s="18" t="n"/>
      <c r="DY73" s="18" t="n"/>
      <c r="DZ73" s="18" t="n"/>
      <c r="EA73" s="18" t="n"/>
      <c r="EB73" s="18" t="n"/>
      <c r="EC73" s="18" t="n"/>
      <c r="ED73" s="18" t="n"/>
      <c r="EE73" s="18" t="n"/>
      <c r="EF73" s="18" t="n"/>
      <c r="EG73" s="18" t="n"/>
      <c r="EH73" s="18" t="n"/>
      <c r="EI73" s="18" t="n"/>
      <c r="EJ73" s="18" t="n"/>
      <c r="EK73" s="18" t="n"/>
      <c r="EL73" s="18" t="n"/>
      <c r="EM73" s="18" t="n"/>
      <c r="EN73" s="18" t="n"/>
      <c r="EO73" s="18" t="n"/>
      <c r="EP73" s="18" t="n"/>
      <c r="EQ73" s="18" t="n"/>
      <c r="ER73" s="18" t="n"/>
      <c r="ES73" s="18" t="n"/>
      <c r="ET73" s="18" t="n"/>
      <c r="EU73" s="18" t="n"/>
      <c r="EV73" s="18" t="n"/>
      <c r="EW73" s="18" t="n"/>
      <c r="EX73" s="18" t="n"/>
      <c r="EY73" s="18" t="n"/>
      <c r="EZ73" s="18" t="n"/>
      <c r="FA73" s="18" t="n"/>
      <c r="FB73" s="18" t="n"/>
      <c r="FC73" s="18" t="n"/>
      <c r="FD73" s="18" t="n"/>
      <c r="FE73" s="18" t="n"/>
      <c r="FF73" s="18" t="n"/>
      <c r="FG73" s="18" t="n"/>
      <c r="FH73" s="18" t="n"/>
      <c r="FI73" s="18" t="n"/>
      <c r="FJ73" s="18" t="n"/>
      <c r="FK73" s="18" t="n"/>
      <c r="FL73" s="18" t="n"/>
      <c r="FM73" s="18" t="n"/>
      <c r="FN73" s="18" t="n"/>
      <c r="FO73" s="18" t="n"/>
      <c r="FP73" s="18" t="n"/>
      <c r="FQ73" s="18" t="n"/>
      <c r="FR73" s="18" t="n"/>
      <c r="FS73" s="18" t="n"/>
      <c r="FT73" s="18" t="n"/>
      <c r="FU73" s="18" t="n"/>
      <c r="FV73" s="18" t="n"/>
      <c r="FW73" s="18" t="n"/>
      <c r="FX73" s="18" t="n"/>
      <c r="FY73" s="18" t="n"/>
      <c r="FZ73" s="18" t="n"/>
      <c r="GA73" s="18" t="n"/>
      <c r="GB73" s="18" t="n"/>
      <c r="GC73" s="18" t="n"/>
      <c r="GD73" s="18" t="n"/>
      <c r="GE73" s="18" t="n"/>
      <c r="GF73" s="18" t="n"/>
      <c r="GG73" s="18" t="n"/>
      <c r="GH73" s="18" t="n"/>
      <c r="GI73" s="18" t="n"/>
      <c r="GJ73" s="18" t="n"/>
      <c r="GK73" s="18" t="n"/>
      <c r="GL73" s="18" t="n"/>
      <c r="GM73" s="18" t="n"/>
      <c r="GN73" s="18" t="n"/>
      <c r="GO73" s="18" t="n"/>
      <c r="GP73" s="18" t="n"/>
      <c r="GQ73" s="18" t="n"/>
      <c r="GR73" s="18" t="n"/>
      <c r="GS73" s="18" t="n"/>
      <c r="GT73" s="18" t="n"/>
      <c r="GU73" s="18" t="n"/>
      <c r="GV73" s="18" t="n"/>
      <c r="GW73" s="18" t="n"/>
      <c r="GX73" s="18" t="n"/>
      <c r="GY73" s="18" t="n"/>
      <c r="GZ73" s="18" t="n"/>
      <c r="HA73" s="18" t="n"/>
      <c r="HB73" s="18" t="n"/>
      <c r="HC73" s="18" t="n"/>
      <c r="HD73" s="18" t="n"/>
      <c r="HE73" s="18" t="n"/>
      <c r="HF73" s="18" t="n"/>
      <c r="HG73" s="18" t="n"/>
      <c r="HH73" s="18" t="n"/>
      <c r="HI73" s="18" t="n"/>
      <c r="HJ73" s="18" t="n"/>
      <c r="HK73" s="18" t="n"/>
      <c r="HL73" s="18" t="n"/>
      <c r="HM73" s="18" t="n"/>
      <c r="HN73" s="18" t="n"/>
      <c r="HO73" s="18" t="n"/>
      <c r="HP73" s="18" t="n"/>
      <c r="HQ73" s="18" t="n"/>
      <c r="HR73" s="18" t="n"/>
      <c r="HS73" s="18" t="n"/>
      <c r="HT73" s="18" t="n"/>
      <c r="HU73" s="18" t="n"/>
      <c r="HV73" s="18" t="n"/>
      <c r="HW73" s="18" t="n"/>
      <c r="HX73" s="18" t="n"/>
      <c r="HY73" s="18" t="n"/>
      <c r="HZ73" s="18" t="n"/>
      <c r="IA73" s="18" t="n"/>
      <c r="IB73" s="18" t="n"/>
      <c r="IC73" s="18" t="n"/>
      <c r="ID73" s="18" t="n"/>
      <c r="IE73" s="18" t="n"/>
      <c r="IF73" s="18" t="n"/>
      <c r="IG73" s="18" t="n"/>
      <c r="IH73" s="18" t="n"/>
      <c r="II73" s="18" t="n"/>
      <c r="IJ73" s="18" t="n"/>
      <c r="IK73" s="18" t="n"/>
      <c r="IL73" s="18" t="n"/>
      <c r="IM73" s="18" t="n"/>
      <c r="IN73" s="18" t="n"/>
      <c r="IO73" s="18" t="n"/>
      <c r="IP73" s="18" t="n"/>
      <c r="IQ73" s="18" t="n"/>
      <c r="IR73" s="18" t="n"/>
      <c r="IS73" s="18" t="n"/>
      <c r="IT73" s="18" t="n"/>
      <c r="IU73" s="18" t="n"/>
      <c r="IV73" s="18" t="n"/>
      <c r="IW73" s="18" t="n"/>
      <c r="IX73" s="18" t="n"/>
      <c r="IY73" s="18" t="n"/>
      <c r="IZ73" s="18" t="n"/>
      <c r="JA73" s="18" t="n"/>
      <c r="JB73" s="18" t="n"/>
      <c r="JC73" s="18" t="n"/>
      <c r="JD73" s="18" t="n"/>
      <c r="JE73" s="18" t="n"/>
      <c r="JF73" s="18" t="n"/>
      <c r="JG73" s="18" t="n"/>
      <c r="JH73" s="18" t="n"/>
      <c r="JI73" s="18" t="n"/>
      <c r="JJ73" s="18" t="n"/>
      <c r="JK73" s="18" t="n"/>
      <c r="JL73" s="18" t="n"/>
      <c r="JM73" s="18" t="n"/>
      <c r="JN73" s="18" t="n"/>
      <c r="JO73" s="18" t="n"/>
      <c r="JP73" s="18" t="n"/>
      <c r="JQ73" s="18" t="n"/>
      <c r="JR73" s="18" t="n"/>
      <c r="JS73" s="18" t="n"/>
      <c r="JT73" s="18" t="n"/>
      <c r="JU73" s="18" t="n"/>
      <c r="JV73" s="18" t="n"/>
      <c r="JW73" s="18" t="n"/>
      <c r="JX73" s="18" t="n"/>
      <c r="JY73" s="18" t="n"/>
      <c r="JZ73" s="18" t="n"/>
      <c r="KA73" s="18" t="n"/>
      <c r="KB73" s="18" t="n"/>
      <c r="KC73" s="18" t="n"/>
      <c r="KD73" s="18" t="n"/>
      <c r="KE73" s="18" t="n"/>
      <c r="KF73" s="18" t="n"/>
      <c r="KG73" s="18" t="n"/>
      <c r="KH73" s="18" t="n"/>
      <c r="KI73" s="18" t="n"/>
      <c r="KJ73" s="18" t="n"/>
      <c r="KK73" s="18" t="n"/>
      <c r="KL73" s="18" t="n"/>
      <c r="KM73" s="18" t="n"/>
      <c r="KN73" s="18" t="n"/>
      <c r="KO73" s="18" t="n"/>
      <c r="KP73" s="18" t="n"/>
      <c r="KQ73" s="18" t="n"/>
      <c r="KR73" s="18" t="n"/>
      <c r="KS73" s="18" t="n"/>
      <c r="KT73" s="18" t="n"/>
      <c r="KU73" s="18" t="n"/>
      <c r="KV73" s="18" t="n"/>
      <c r="KW73" s="18" t="n"/>
      <c r="KX73" s="18" t="n"/>
      <c r="KY73" s="18" t="n"/>
      <c r="KZ73" s="18" t="n"/>
      <c r="LA73" s="18" t="n"/>
      <c r="LB73" s="18" t="n"/>
      <c r="LC73" s="18" t="n"/>
      <c r="LD73" s="18" t="n"/>
      <c r="LE73" s="18" t="n"/>
      <c r="LF73" s="18" t="n"/>
      <c r="LG73" s="18" t="n"/>
      <c r="LH73" s="18" t="n"/>
      <c r="LI73" s="18" t="n"/>
      <c r="LJ73" s="18" t="n"/>
      <c r="LK73" s="18" t="n"/>
      <c r="LL73" s="18" t="n"/>
      <c r="LM73" s="18" t="n"/>
      <c r="LN73" s="18" t="n"/>
      <c r="LO73" s="18" t="n"/>
      <c r="LP73" s="18" t="n"/>
      <c r="LQ73" s="18" t="n"/>
      <c r="LR73" s="18" t="n"/>
      <c r="LS73" s="18" t="n"/>
      <c r="LT73" s="18" t="n"/>
      <c r="LU73" s="18" t="n"/>
      <c r="LV73" s="18" t="n"/>
      <c r="LW73" s="18" t="n"/>
      <c r="LX73" s="18" t="n"/>
      <c r="LY73" s="18" t="n"/>
      <c r="LZ73" s="18" t="n"/>
      <c r="MA73" s="18" t="n"/>
      <c r="MB73" s="18" t="n"/>
      <c r="MC73" s="18" t="n"/>
      <c r="MD73" s="18" t="n"/>
      <c r="ME73" s="18" t="n"/>
      <c r="MF73" s="18" t="n"/>
      <c r="MG73" s="18" t="n"/>
      <c r="MH73" s="18" t="n"/>
      <c r="MI73" s="18" t="n"/>
      <c r="MJ73" s="18" t="n"/>
      <c r="MK73" s="18" t="n"/>
      <c r="ML73" s="18" t="n"/>
      <c r="MM73" s="18" t="n"/>
      <c r="MN73" s="18" t="n"/>
      <c r="MO73" s="18" t="n"/>
      <c r="MP73" s="18" t="n"/>
      <c r="MQ73" s="18" t="n"/>
      <c r="MR73" s="18" t="n"/>
      <c r="MS73" s="18" t="n"/>
      <c r="MT73" s="18" t="n"/>
      <c r="MU73" s="18" t="n"/>
      <c r="MV73" s="18" t="n"/>
      <c r="MW73" s="18" t="n"/>
      <c r="MX73" s="18" t="n"/>
      <c r="MY73" s="18" t="n"/>
      <c r="MZ73" s="18" t="n"/>
      <c r="NA73" s="18" t="n"/>
      <c r="NB73" s="18" t="n"/>
      <c r="NC73" s="18" t="n"/>
      <c r="ND73" s="18" t="n"/>
      <c r="NE73" s="18" t="n"/>
      <c r="NF73" s="18" t="n"/>
      <c r="NG73" s="18" t="n"/>
      <c r="NH73" s="18" t="n"/>
      <c r="NI73" s="18" t="n"/>
      <c r="NJ73" s="18" t="n"/>
      <c r="NK73" s="18" t="n"/>
      <c r="NL73" s="18" t="n"/>
      <c r="NM73" s="18" t="n"/>
      <c r="NN73" s="18" t="n"/>
      <c r="NO73" s="18" t="n"/>
      <c r="NP73" s="18" t="n"/>
      <c r="NQ73" s="18" t="n"/>
      <c r="NR73" s="18" t="n"/>
      <c r="NS73" s="18" t="n"/>
      <c r="NT73" s="18" t="n"/>
      <c r="NU73" s="18" t="n"/>
      <c r="NV73" s="18" t="n"/>
      <c r="NW73" s="18" t="n"/>
      <c r="NX73" s="18" t="n"/>
      <c r="NY73" s="18" t="n"/>
      <c r="NZ73" s="18" t="n"/>
      <c r="OA73" s="18" t="n"/>
      <c r="OB73" s="18" t="n"/>
      <c r="OC73" s="18" t="n"/>
      <c r="OD73" s="18" t="n"/>
      <c r="OE73" s="18" t="n"/>
      <c r="OF73" s="18" t="n"/>
      <c r="OG73" s="18" t="n"/>
      <c r="OH73" s="18" t="n"/>
      <c r="OI73" s="18" t="n"/>
      <c r="OJ73" s="18" t="n"/>
      <c r="OK73" s="18" t="n"/>
      <c r="OL73" s="18" t="n"/>
      <c r="OM73" s="18" t="n"/>
      <c r="ON73" s="18" t="n"/>
      <c r="OO73" s="18" t="n"/>
      <c r="OP73" s="18" t="n"/>
      <c r="OQ73" s="18" t="n"/>
      <c r="OR73" s="18" t="n"/>
      <c r="OS73" s="18" t="n"/>
      <c r="OT73" s="18" t="n"/>
      <c r="OU73" s="18" t="n"/>
      <c r="OV73" s="18" t="n"/>
      <c r="OW73" s="18" t="n"/>
      <c r="OX73" s="18" t="n"/>
      <c r="OY73" s="18" t="n"/>
      <c r="OZ73" s="18" t="n"/>
      <c r="PA73" s="18" t="n"/>
      <c r="PB73" s="18" t="n"/>
      <c r="PC73" s="18" t="n"/>
      <c r="PD73" s="18" t="n"/>
      <c r="PE73" s="18" t="n"/>
      <c r="PF73" s="18" t="n"/>
      <c r="PG73" s="18" t="n"/>
      <c r="PH73" s="18" t="n"/>
      <c r="PI73" s="18" t="n"/>
      <c r="PJ73" s="18" t="n"/>
      <c r="PK73" s="18" t="n"/>
      <c r="PL73" s="18" t="n"/>
      <c r="PM73" s="18" t="n"/>
      <c r="PN73" s="18" t="n"/>
      <c r="PO73" s="18" t="n"/>
      <c r="PP73" s="18" t="n"/>
      <c r="PQ73" s="18" t="n"/>
      <c r="PR73" s="18" t="n"/>
      <c r="PS73" s="18" t="n"/>
      <c r="PT73" s="18" t="n"/>
      <c r="PU73" s="18" t="n"/>
      <c r="PV73" s="18" t="n"/>
      <c r="PW73" s="18" t="n"/>
      <c r="PX73" s="18" t="n"/>
      <c r="PY73" s="18" t="n"/>
      <c r="PZ73" s="18" t="n"/>
      <c r="QA73" s="18" t="n"/>
      <c r="QB73" s="18" t="n"/>
      <c r="QC73" s="18" t="n"/>
      <c r="QD73" s="18" t="n"/>
      <c r="QE73" s="18" t="n"/>
      <c r="QF73" s="18" t="n"/>
      <c r="QG73" s="18" t="n"/>
      <c r="QH73" s="18" t="n"/>
      <c r="QI73" s="18" t="n"/>
      <c r="QJ73" s="18" t="n"/>
      <c r="QK73" s="18" t="n"/>
      <c r="QL73" s="18" t="n"/>
      <c r="QM73" s="18" t="n"/>
      <c r="QN73" s="18" t="n"/>
      <c r="QO73" s="18" t="n"/>
      <c r="QP73" s="18" t="n"/>
      <c r="QQ73" s="18" t="n"/>
      <c r="QR73" s="18" t="n"/>
      <c r="QS73" s="18" t="n"/>
      <c r="QT73" s="18" t="n"/>
      <c r="QU73" s="18" t="n"/>
    </row>
    <row r="74" ht="17.4" customHeight="1" s="88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8" t="n"/>
      <c r="BA74" s="18" t="n"/>
      <c r="BB74" s="18" t="n"/>
      <c r="BC74" s="18" t="n"/>
      <c r="BD74" s="18" t="n"/>
      <c r="BE74" s="18" t="n"/>
      <c r="BF74" s="18" t="n"/>
      <c r="BG74" s="18" t="n"/>
      <c r="BH74" s="18" t="n"/>
      <c r="BI74" s="18" t="n"/>
      <c r="BJ74" s="18" t="n"/>
      <c r="BK74" s="18" t="n"/>
      <c r="BL74" s="18" t="n"/>
      <c r="BM74" s="18" t="n"/>
      <c r="BN74" s="18" t="n"/>
      <c r="BO74" s="18" t="n"/>
      <c r="BP74" s="18" t="n"/>
      <c r="BQ74" s="18" t="n"/>
      <c r="BR74" s="18" t="n"/>
      <c r="BS74" s="18" t="n"/>
      <c r="BT74" s="18" t="n"/>
      <c r="BU74" s="18" t="n"/>
      <c r="BV74" s="18" t="n"/>
      <c r="BW74" s="18" t="n"/>
      <c r="BX74" s="18" t="n"/>
      <c r="BY74" s="18" t="n"/>
      <c r="BZ74" s="18" t="n"/>
      <c r="CA74" s="18" t="n"/>
      <c r="CB74" s="18" t="n"/>
      <c r="CC74" s="18" t="n"/>
      <c r="CD74" s="18" t="n"/>
      <c r="CE74" s="18" t="n"/>
      <c r="CF74" s="18" t="n"/>
      <c r="CG74" s="18" t="n"/>
      <c r="CH74" s="18" t="n"/>
      <c r="CI74" s="18" t="n"/>
      <c r="CJ74" s="18" t="n"/>
      <c r="CK74" s="18" t="n"/>
      <c r="CL74" s="18" t="n"/>
      <c r="CM74" s="18" t="n"/>
      <c r="CN74" s="18" t="n"/>
      <c r="CO74" s="18" t="n"/>
      <c r="CP74" s="18" t="n"/>
      <c r="CQ74" s="18" t="n"/>
      <c r="CR74" s="18" t="n"/>
      <c r="CS74" s="18" t="n"/>
      <c r="CT74" s="18" t="n"/>
      <c r="CU74" s="18" t="n"/>
      <c r="CV74" s="18" t="n"/>
      <c r="CW74" s="18" t="n"/>
      <c r="CX74" s="18" t="n"/>
      <c r="CY74" s="18" t="n"/>
      <c r="CZ74" s="18" t="n"/>
      <c r="DA74" s="18" t="n"/>
      <c r="DB74" s="18" t="n"/>
      <c r="DC74" s="18" t="n"/>
      <c r="DD74" s="18" t="n"/>
      <c r="DE74" s="18" t="n"/>
      <c r="DF74" s="18" t="n"/>
      <c r="DG74" s="18" t="n"/>
      <c r="DH74" s="18" t="n"/>
      <c r="DI74" s="18" t="n"/>
      <c r="DJ74" s="18" t="n"/>
      <c r="DK74" s="18" t="n"/>
      <c r="DL74" s="18" t="n"/>
      <c r="DM74" s="18" t="n"/>
      <c r="DN74" s="18" t="n"/>
      <c r="DO74" s="18" t="n"/>
      <c r="DP74" s="18" t="n"/>
      <c r="DQ74" s="18" t="n"/>
      <c r="DR74" s="18" t="n"/>
      <c r="DS74" s="18" t="n"/>
      <c r="DT74" s="18" t="n"/>
      <c r="DU74" s="18" t="n"/>
      <c r="DV74" s="18" t="n"/>
      <c r="DW74" s="18" t="n"/>
      <c r="DX74" s="18" t="n"/>
      <c r="DY74" s="18" t="n"/>
      <c r="DZ74" s="18" t="n"/>
      <c r="EA74" s="18" t="n"/>
      <c r="EB74" s="18" t="n"/>
      <c r="EC74" s="18" t="n"/>
      <c r="ED74" s="18" t="n"/>
      <c r="EE74" s="18" t="n"/>
      <c r="EF74" s="18" t="n"/>
      <c r="EG74" s="18" t="n"/>
      <c r="EH74" s="18" t="n"/>
      <c r="EI74" s="18" t="n"/>
      <c r="EJ74" s="18" t="n"/>
      <c r="EK74" s="18" t="n"/>
      <c r="EL74" s="18" t="n"/>
      <c r="EM74" s="18" t="n"/>
      <c r="EN74" s="18" t="n"/>
      <c r="EO74" s="18" t="n"/>
      <c r="EP74" s="18" t="n"/>
      <c r="EQ74" s="18" t="n"/>
      <c r="ER74" s="18" t="n"/>
      <c r="ES74" s="18" t="n"/>
      <c r="ET74" s="18" t="n"/>
      <c r="EU74" s="18" t="n"/>
      <c r="EV74" s="18" t="n"/>
      <c r="EW74" s="18" t="n"/>
      <c r="EX74" s="18" t="n"/>
      <c r="EY74" s="18" t="n"/>
      <c r="EZ74" s="18" t="n"/>
      <c r="FA74" s="18" t="n"/>
      <c r="FB74" s="18" t="n"/>
      <c r="FC74" s="18" t="n"/>
      <c r="FD74" s="18" t="n"/>
      <c r="FE74" s="18" t="n"/>
      <c r="FF74" s="18" t="n"/>
      <c r="FG74" s="18" t="n"/>
      <c r="FH74" s="18" t="n"/>
      <c r="FI74" s="18" t="n"/>
      <c r="FJ74" s="18" t="n"/>
      <c r="FK74" s="18" t="n"/>
      <c r="FL74" s="18" t="n"/>
      <c r="FM74" s="18" t="n"/>
      <c r="FN74" s="18" t="n"/>
      <c r="FO74" s="18" t="n"/>
      <c r="FP74" s="18" t="n"/>
      <c r="FQ74" s="18" t="n"/>
      <c r="FR74" s="18" t="n"/>
      <c r="FS74" s="18" t="n"/>
      <c r="FT74" s="18" t="n"/>
      <c r="FU74" s="18" t="n"/>
      <c r="FV74" s="18" t="n"/>
      <c r="FW74" s="18" t="n"/>
      <c r="FX74" s="18" t="n"/>
      <c r="FY74" s="18" t="n"/>
      <c r="FZ74" s="18" t="n"/>
      <c r="GA74" s="18" t="n"/>
      <c r="GB74" s="18" t="n"/>
      <c r="GC74" s="18" t="n"/>
      <c r="GD74" s="18" t="n"/>
      <c r="GE74" s="18" t="n"/>
      <c r="GF74" s="18" t="n"/>
      <c r="GG74" s="18" t="n"/>
      <c r="GH74" s="18" t="n"/>
      <c r="GI74" s="18" t="n"/>
      <c r="GJ74" s="18" t="n"/>
      <c r="GK74" s="18" t="n"/>
      <c r="GL74" s="18" t="n"/>
      <c r="GM74" s="18" t="n"/>
      <c r="GN74" s="18" t="n"/>
      <c r="GO74" s="18" t="n"/>
      <c r="GP74" s="18" t="n"/>
      <c r="GQ74" s="18" t="n"/>
      <c r="GR74" s="18" t="n"/>
      <c r="GS74" s="18" t="n"/>
      <c r="GT74" s="18" t="n"/>
      <c r="GU74" s="18" t="n"/>
      <c r="GV74" s="18" t="n"/>
      <c r="GW74" s="18" t="n"/>
      <c r="GX74" s="18" t="n"/>
      <c r="GY74" s="18" t="n"/>
      <c r="GZ74" s="18" t="n"/>
      <c r="HA74" s="18" t="n"/>
      <c r="HB74" s="18" t="n"/>
      <c r="HC74" s="18" t="n"/>
      <c r="HD74" s="18" t="n"/>
      <c r="HE74" s="18" t="n"/>
      <c r="HF74" s="18" t="n"/>
      <c r="HG74" s="18" t="n"/>
      <c r="HH74" s="18" t="n"/>
      <c r="HI74" s="18" t="n"/>
      <c r="HJ74" s="18" t="n"/>
      <c r="HK74" s="18" t="n"/>
      <c r="HL74" s="18" t="n"/>
      <c r="HM74" s="18" t="n"/>
      <c r="HN74" s="18" t="n"/>
      <c r="HO74" s="18" t="n"/>
      <c r="HP74" s="18" t="n"/>
      <c r="HQ74" s="18" t="n"/>
      <c r="HR74" s="18" t="n"/>
      <c r="HS74" s="18" t="n"/>
      <c r="HT74" s="18" t="n"/>
      <c r="HU74" s="18" t="n"/>
      <c r="HV74" s="18" t="n"/>
      <c r="HW74" s="18" t="n"/>
      <c r="HX74" s="18" t="n"/>
      <c r="HY74" s="18" t="n"/>
      <c r="HZ74" s="18" t="n"/>
      <c r="IA74" s="18" t="n"/>
      <c r="IB74" s="18" t="n"/>
      <c r="IC74" s="18" t="n"/>
      <c r="ID74" s="18" t="n"/>
      <c r="IE74" s="18" t="n"/>
      <c r="IF74" s="18" t="n"/>
      <c r="IG74" s="18" t="n"/>
      <c r="IH74" s="18" t="n"/>
      <c r="II74" s="18" t="n"/>
      <c r="IJ74" s="18" t="n"/>
      <c r="IK74" s="18" t="n"/>
      <c r="IL74" s="18" t="n"/>
      <c r="IM74" s="18" t="n"/>
      <c r="IN74" s="18" t="n"/>
      <c r="IO74" s="18" t="n"/>
      <c r="IP74" s="18" t="n"/>
      <c r="IQ74" s="18" t="n"/>
      <c r="IR74" s="18" t="n"/>
      <c r="IS74" s="18" t="n"/>
      <c r="IT74" s="18" t="n"/>
      <c r="IU74" s="18" t="n"/>
      <c r="IV74" s="18" t="n"/>
      <c r="IW74" s="18" t="n"/>
      <c r="IX74" s="18" t="n"/>
      <c r="IY74" s="18" t="n"/>
      <c r="IZ74" s="18" t="n"/>
      <c r="JA74" s="18" t="n"/>
      <c r="JB74" s="18" t="n"/>
      <c r="JC74" s="18" t="n"/>
      <c r="JD74" s="18" t="n"/>
      <c r="JE74" s="18" t="n"/>
      <c r="JF74" s="18" t="n"/>
      <c r="JG74" s="18" t="n"/>
      <c r="JH74" s="18" t="n"/>
      <c r="JI74" s="18" t="n"/>
      <c r="JJ74" s="18" t="n"/>
      <c r="JK74" s="18" t="n"/>
      <c r="JL74" s="18" t="n"/>
      <c r="JM74" s="18" t="n"/>
      <c r="JN74" s="18" t="n"/>
      <c r="JO74" s="18" t="n"/>
      <c r="JP74" s="18" t="n"/>
      <c r="JQ74" s="18" t="n"/>
      <c r="JR74" s="18" t="n"/>
      <c r="JS74" s="18" t="n"/>
      <c r="JT74" s="18" t="n"/>
      <c r="JU74" s="18" t="n"/>
      <c r="JV74" s="18" t="n"/>
      <c r="JW74" s="18" t="n"/>
      <c r="JX74" s="18" t="n"/>
      <c r="JY74" s="18" t="n"/>
      <c r="JZ74" s="18" t="n"/>
      <c r="KA74" s="18" t="n"/>
      <c r="KB74" s="18" t="n"/>
      <c r="KC74" s="18" t="n"/>
      <c r="KD74" s="18" t="n"/>
      <c r="KE74" s="18" t="n"/>
      <c r="KF74" s="18" t="n"/>
      <c r="KG74" s="18" t="n"/>
      <c r="KH74" s="18" t="n"/>
      <c r="KI74" s="18" t="n"/>
      <c r="KJ74" s="18" t="n"/>
      <c r="KK74" s="18" t="n"/>
      <c r="KL74" s="18" t="n"/>
      <c r="KM74" s="18" t="n"/>
      <c r="KN74" s="18" t="n"/>
      <c r="KO74" s="18" t="n"/>
      <c r="KP74" s="18" t="n"/>
      <c r="KQ74" s="18" t="n"/>
      <c r="KR74" s="18" t="n"/>
      <c r="KS74" s="18" t="n"/>
      <c r="KT74" s="18" t="n"/>
      <c r="KU74" s="18" t="n"/>
      <c r="KV74" s="18" t="n"/>
      <c r="KW74" s="18" t="n"/>
      <c r="KX74" s="18" t="n"/>
      <c r="KY74" s="18" t="n"/>
      <c r="KZ74" s="18" t="n"/>
      <c r="LA74" s="18" t="n"/>
      <c r="LB74" s="18" t="n"/>
      <c r="LC74" s="18" t="n"/>
      <c r="LD74" s="18" t="n"/>
      <c r="LE74" s="18" t="n"/>
      <c r="LF74" s="18" t="n"/>
      <c r="LG74" s="18" t="n"/>
      <c r="LH74" s="18" t="n"/>
      <c r="LI74" s="18" t="n"/>
      <c r="LJ74" s="18" t="n"/>
      <c r="LK74" s="18" t="n"/>
      <c r="LL74" s="18" t="n"/>
      <c r="LM74" s="18" t="n"/>
      <c r="LN74" s="18" t="n"/>
      <c r="LO74" s="18" t="n"/>
      <c r="LP74" s="18" t="n"/>
      <c r="LQ74" s="18" t="n"/>
      <c r="LR74" s="18" t="n"/>
      <c r="LS74" s="18" t="n"/>
      <c r="LT74" s="18" t="n"/>
      <c r="LU74" s="18" t="n"/>
      <c r="LV74" s="18" t="n"/>
      <c r="LW74" s="18" t="n"/>
      <c r="LX74" s="18" t="n"/>
      <c r="LY74" s="18" t="n"/>
      <c r="LZ74" s="18" t="n"/>
      <c r="MA74" s="18" t="n"/>
      <c r="MB74" s="18" t="n"/>
      <c r="MC74" s="18" t="n"/>
      <c r="MD74" s="18" t="n"/>
      <c r="ME74" s="18" t="n"/>
      <c r="MF74" s="18" t="n"/>
      <c r="MG74" s="18" t="n"/>
      <c r="MH74" s="18" t="n"/>
      <c r="MI74" s="18" t="n"/>
      <c r="MJ74" s="18" t="n"/>
      <c r="MK74" s="18" t="n"/>
      <c r="ML74" s="18" t="n"/>
      <c r="MM74" s="18" t="n"/>
      <c r="MN74" s="18" t="n"/>
      <c r="MO74" s="18" t="n"/>
      <c r="MP74" s="18" t="n"/>
      <c r="MQ74" s="18" t="n"/>
      <c r="MR74" s="18" t="n"/>
      <c r="MS74" s="18" t="n"/>
      <c r="MT74" s="18" t="n"/>
      <c r="MU74" s="18" t="n"/>
      <c r="MV74" s="18" t="n"/>
      <c r="MW74" s="18" t="n"/>
      <c r="MX74" s="18" t="n"/>
      <c r="MY74" s="18" t="n"/>
      <c r="MZ74" s="18" t="n"/>
      <c r="NA74" s="18" t="n"/>
      <c r="NB74" s="18" t="n"/>
      <c r="NC74" s="18" t="n"/>
      <c r="ND74" s="18" t="n"/>
      <c r="NE74" s="18" t="n"/>
      <c r="NF74" s="18" t="n"/>
      <c r="NG74" s="18" t="n"/>
      <c r="NH74" s="18" t="n"/>
      <c r="NI74" s="18" t="n"/>
      <c r="NJ74" s="18" t="n"/>
      <c r="NK74" s="18" t="n"/>
      <c r="NL74" s="18" t="n"/>
      <c r="NM74" s="18" t="n"/>
      <c r="NN74" s="18" t="n"/>
      <c r="NO74" s="18" t="n"/>
      <c r="NP74" s="18" t="n"/>
      <c r="NQ74" s="18" t="n"/>
      <c r="NR74" s="18" t="n"/>
      <c r="NS74" s="18" t="n"/>
      <c r="NT74" s="18" t="n"/>
      <c r="NU74" s="18" t="n"/>
      <c r="NV74" s="18" t="n"/>
      <c r="NW74" s="18" t="n"/>
      <c r="NX74" s="18" t="n"/>
      <c r="NY74" s="18" t="n"/>
      <c r="NZ74" s="18" t="n"/>
      <c r="OA74" s="18" t="n"/>
      <c r="OB74" s="18" t="n"/>
      <c r="OC74" s="18" t="n"/>
      <c r="OD74" s="18" t="n"/>
      <c r="OE74" s="18" t="n"/>
      <c r="OF74" s="18" t="n"/>
      <c r="OG74" s="18" t="n"/>
      <c r="OH74" s="18" t="n"/>
      <c r="OI74" s="18" t="n"/>
      <c r="OJ74" s="18" t="n"/>
      <c r="OK74" s="18" t="n"/>
      <c r="OL74" s="18" t="n"/>
      <c r="OM74" s="18" t="n"/>
      <c r="ON74" s="18" t="n"/>
      <c r="OO74" s="18" t="n"/>
      <c r="OP74" s="18" t="n"/>
      <c r="OQ74" s="18" t="n"/>
      <c r="OR74" s="18" t="n"/>
      <c r="OS74" s="18" t="n"/>
      <c r="OT74" s="18" t="n"/>
      <c r="OU74" s="18" t="n"/>
      <c r="OV74" s="18" t="n"/>
      <c r="OW74" s="18" t="n"/>
      <c r="OX74" s="18" t="n"/>
      <c r="OY74" s="18" t="n"/>
      <c r="OZ74" s="18" t="n"/>
      <c r="PA74" s="18" t="n"/>
      <c r="PB74" s="18" t="n"/>
      <c r="PC74" s="18" t="n"/>
      <c r="PD74" s="18" t="n"/>
      <c r="PE74" s="18" t="n"/>
      <c r="PF74" s="18" t="n"/>
      <c r="PG74" s="18" t="n"/>
      <c r="PH74" s="18" t="n"/>
      <c r="PI74" s="18" t="n"/>
      <c r="PJ74" s="18" t="n"/>
      <c r="PK74" s="18" t="n"/>
      <c r="PL74" s="18" t="n"/>
      <c r="PM74" s="18" t="n"/>
      <c r="PN74" s="18" t="n"/>
      <c r="PO74" s="18" t="n"/>
      <c r="PP74" s="18" t="n"/>
      <c r="PQ74" s="18" t="n"/>
      <c r="PR74" s="18" t="n"/>
      <c r="PS74" s="18" t="n"/>
      <c r="PT74" s="18" t="n"/>
      <c r="PU74" s="18" t="n"/>
      <c r="PV74" s="18" t="n"/>
      <c r="PW74" s="18" t="n"/>
      <c r="PX74" s="18" t="n"/>
      <c r="PY74" s="18" t="n"/>
      <c r="PZ74" s="18" t="n"/>
      <c r="QA74" s="18" t="n"/>
      <c r="QB74" s="18" t="n"/>
      <c r="QC74" s="18" t="n"/>
      <c r="QD74" s="18" t="n"/>
      <c r="QE74" s="18" t="n"/>
      <c r="QF74" s="18" t="n"/>
      <c r="QG74" s="18" t="n"/>
      <c r="QH74" s="18" t="n"/>
      <c r="QI74" s="18" t="n"/>
      <c r="QJ74" s="18" t="n"/>
      <c r="QK74" s="18" t="n"/>
      <c r="QL74" s="18" t="n"/>
      <c r="QM74" s="18" t="n"/>
      <c r="QN74" s="18" t="n"/>
      <c r="QO74" s="18" t="n"/>
      <c r="QP74" s="18" t="n"/>
      <c r="QQ74" s="18" t="n"/>
      <c r="QR74" s="18" t="n"/>
      <c r="QS74" s="18" t="n"/>
      <c r="QT74" s="18" t="n"/>
      <c r="QU74" s="18" t="n"/>
      <c r="QV74" s="18" t="n"/>
      <c r="QW74" s="18" t="n"/>
      <c r="QX74" s="18" t="n"/>
      <c r="QY74" s="18" t="n"/>
    </row>
    <row r="75" ht="17.4" customHeight="1" s="88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8" t="n"/>
      <c r="BA75" s="18" t="n"/>
      <c r="BB75" s="18" t="n"/>
      <c r="BC75" s="18" t="n"/>
      <c r="BD75" s="18" t="n"/>
      <c r="BE75" s="18" t="n"/>
      <c r="BF75" s="18" t="n"/>
      <c r="BG75" s="18" t="n"/>
      <c r="BH75" s="18" t="n"/>
      <c r="BI75" s="18" t="n"/>
      <c r="BJ75" s="18" t="n"/>
      <c r="BK75" s="18" t="n"/>
      <c r="BL75" s="18" t="n"/>
      <c r="BM75" s="18" t="n"/>
      <c r="BN75" s="18" t="n"/>
      <c r="BO75" s="18" t="n"/>
      <c r="BP75" s="18" t="n"/>
      <c r="BQ75" s="18" t="n"/>
      <c r="BR75" s="18" t="n"/>
      <c r="BS75" s="18" t="n"/>
      <c r="BT75" s="18" t="n"/>
      <c r="BU75" s="18" t="n"/>
      <c r="BV75" s="18" t="n"/>
      <c r="BW75" s="18" t="n"/>
      <c r="BX75" s="18" t="n"/>
      <c r="BY75" s="18" t="n"/>
      <c r="BZ75" s="18" t="n"/>
      <c r="CA75" s="18" t="n"/>
      <c r="CB75" s="18" t="n"/>
      <c r="CC75" s="18" t="n"/>
      <c r="CD75" s="18" t="n"/>
      <c r="CE75" s="18" t="n"/>
      <c r="CF75" s="18" t="n"/>
      <c r="CG75" s="18" t="n"/>
      <c r="CH75" s="18" t="n"/>
      <c r="CI75" s="18" t="n"/>
      <c r="CJ75" s="18" t="n"/>
      <c r="CK75" s="18" t="n"/>
      <c r="CL75" s="18" t="n"/>
      <c r="CM75" s="18" t="n"/>
      <c r="CN75" s="18" t="n"/>
      <c r="CO75" s="18" t="n"/>
      <c r="CP75" s="18" t="n"/>
      <c r="CQ75" s="18" t="n"/>
      <c r="CR75" s="18" t="n"/>
      <c r="CS75" s="18" t="n"/>
      <c r="CT75" s="18" t="n"/>
      <c r="CU75" s="18" t="n"/>
      <c r="CV75" s="18" t="n"/>
      <c r="CW75" s="18" t="n"/>
      <c r="CX75" s="18" t="n"/>
      <c r="CY75" s="18" t="n"/>
      <c r="CZ75" s="18" t="n"/>
      <c r="DA75" s="18" t="n"/>
      <c r="DB75" s="18" t="n"/>
      <c r="DC75" s="18" t="n"/>
      <c r="DD75" s="18" t="n"/>
      <c r="DE75" s="18" t="n"/>
      <c r="DF75" s="18" t="n"/>
      <c r="DG75" s="18" t="n"/>
      <c r="DH75" s="18" t="n"/>
      <c r="DI75" s="18" t="n"/>
      <c r="DJ75" s="18" t="n"/>
      <c r="DK75" s="18" t="n"/>
      <c r="DL75" s="18" t="n"/>
      <c r="DM75" s="18" t="n"/>
      <c r="DN75" s="18" t="n"/>
      <c r="DO75" s="18" t="n"/>
      <c r="DP75" s="18" t="n"/>
      <c r="DQ75" s="18" t="n"/>
      <c r="DR75" s="18" t="n"/>
      <c r="DS75" s="18" t="n"/>
      <c r="DT75" s="18" t="n"/>
      <c r="DU75" s="18" t="n"/>
      <c r="DV75" s="18" t="n"/>
      <c r="DW75" s="18" t="n"/>
      <c r="DX75" s="18" t="n"/>
      <c r="DY75" s="18" t="n"/>
      <c r="DZ75" s="18" t="n"/>
      <c r="EA75" s="18" t="n"/>
      <c r="EB75" s="18" t="n"/>
      <c r="EC75" s="18" t="n"/>
      <c r="ED75" s="18" t="n"/>
      <c r="EE75" s="18" t="n"/>
      <c r="EF75" s="18" t="n"/>
      <c r="EG75" s="18" t="n"/>
      <c r="EH75" s="18" t="n"/>
      <c r="EI75" s="18" t="n"/>
      <c r="EJ75" s="18" t="n"/>
      <c r="EK75" s="18" t="n"/>
      <c r="EL75" s="18" t="n"/>
      <c r="EM75" s="18" t="n"/>
      <c r="EN75" s="18" t="n"/>
      <c r="EO75" s="18" t="n"/>
      <c r="EP75" s="18" t="n"/>
      <c r="EQ75" s="18" t="n"/>
      <c r="ER75" s="18" t="n"/>
      <c r="ES75" s="18" t="n"/>
      <c r="ET75" s="18" t="n"/>
      <c r="EU75" s="18" t="n"/>
      <c r="EV75" s="18" t="n"/>
      <c r="EW75" s="18" t="n"/>
      <c r="EX75" s="18" t="n"/>
      <c r="EY75" s="18" t="n"/>
      <c r="EZ75" s="18" t="n"/>
      <c r="FA75" s="18" t="n"/>
      <c r="FB75" s="18" t="n"/>
      <c r="FC75" s="18" t="n"/>
      <c r="FD75" s="18" t="n"/>
      <c r="FE75" s="18" t="n"/>
      <c r="FF75" s="18" t="n"/>
      <c r="FG75" s="18" t="n"/>
      <c r="FH75" s="18" t="n"/>
      <c r="FI75" s="18" t="n"/>
      <c r="FJ75" s="18" t="n"/>
      <c r="FK75" s="18" t="n"/>
      <c r="FL75" s="18" t="n"/>
      <c r="FM75" s="18" t="n"/>
      <c r="FN75" s="18" t="n"/>
      <c r="FO75" s="18" t="n"/>
      <c r="FP75" s="18" t="n"/>
      <c r="FQ75" s="18" t="n"/>
      <c r="FR75" s="18" t="n"/>
      <c r="FS75" s="18" t="n"/>
      <c r="FT75" s="18" t="n"/>
      <c r="FU75" s="18" t="n"/>
      <c r="FV75" s="18" t="n"/>
      <c r="FW75" s="18" t="n"/>
      <c r="FX75" s="18" t="n"/>
      <c r="FY75" s="18" t="n"/>
      <c r="FZ75" s="18" t="n"/>
      <c r="GA75" s="18" t="n"/>
      <c r="GB75" s="18" t="n"/>
      <c r="GC75" s="18" t="n"/>
      <c r="GD75" s="18" t="n"/>
      <c r="GE75" s="18" t="n"/>
      <c r="GF75" s="18" t="n"/>
      <c r="GG75" s="18" t="n"/>
      <c r="GH75" s="18" t="n"/>
      <c r="GI75" s="18" t="n"/>
      <c r="GJ75" s="18" t="n"/>
      <c r="GK75" s="18" t="n"/>
      <c r="GL75" s="18" t="n"/>
      <c r="GM75" s="18" t="n"/>
      <c r="GN75" s="18" t="n"/>
      <c r="GO75" s="18" t="n"/>
      <c r="GP75" s="18" t="n"/>
      <c r="GQ75" s="18" t="n"/>
      <c r="GR75" s="18" t="n"/>
      <c r="GS75" s="18" t="n"/>
      <c r="GT75" s="18" t="n"/>
      <c r="GU75" s="18" t="n"/>
      <c r="GV75" s="18" t="n"/>
      <c r="GW75" s="18" t="n"/>
      <c r="GX75" s="18" t="n"/>
      <c r="GY75" s="18" t="n"/>
      <c r="GZ75" s="18" t="n"/>
      <c r="HA75" s="18" t="n"/>
      <c r="HB75" s="18" t="n"/>
      <c r="HC75" s="18" t="n"/>
      <c r="HD75" s="18" t="n"/>
      <c r="HE75" s="18" t="n"/>
      <c r="HF75" s="18" t="n"/>
      <c r="HG75" s="18" t="n"/>
      <c r="HH75" s="18" t="n"/>
      <c r="HI75" s="18" t="n"/>
      <c r="HJ75" s="18" t="n"/>
      <c r="HK75" s="18" t="n"/>
      <c r="HL75" s="18" t="n"/>
      <c r="HM75" s="18" t="n"/>
      <c r="HN75" s="18" t="n"/>
      <c r="HO75" s="18" t="n"/>
      <c r="HP75" s="18" t="n"/>
      <c r="HQ75" s="18" t="n"/>
      <c r="HR75" s="18" t="n"/>
      <c r="HS75" s="18" t="n"/>
      <c r="HT75" s="18" t="n"/>
      <c r="HU75" s="18" t="n"/>
      <c r="HV75" s="18" t="n"/>
      <c r="HW75" s="18" t="n"/>
      <c r="HX75" s="18" t="n"/>
      <c r="HY75" s="18" t="n"/>
      <c r="HZ75" s="18" t="n"/>
      <c r="IA75" s="18" t="n"/>
      <c r="IB75" s="18" t="n"/>
      <c r="IC75" s="18" t="n"/>
      <c r="ID75" s="18" t="n"/>
      <c r="IE75" s="18" t="n"/>
      <c r="IF75" s="18" t="n"/>
      <c r="IG75" s="18" t="n"/>
      <c r="IH75" s="18" t="n"/>
      <c r="II75" s="18" t="n"/>
      <c r="IJ75" s="18" t="n"/>
      <c r="IK75" s="18" t="n"/>
      <c r="IL75" s="18" t="n"/>
      <c r="IM75" s="18" t="n"/>
      <c r="IN75" s="18" t="n"/>
      <c r="IO75" s="18" t="n"/>
      <c r="IP75" s="18" t="n"/>
      <c r="IQ75" s="18" t="n"/>
      <c r="IR75" s="18" t="n"/>
      <c r="IS75" s="18" t="n"/>
      <c r="IT75" s="18" t="n"/>
      <c r="IU75" s="18" t="n"/>
      <c r="IV75" s="18" t="n"/>
      <c r="IW75" s="18" t="n"/>
      <c r="IX75" s="18" t="n"/>
      <c r="IY75" s="18" t="n"/>
      <c r="IZ75" s="18" t="n"/>
      <c r="JA75" s="18" t="n"/>
      <c r="JB75" s="18" t="n"/>
      <c r="JC75" s="18" t="n"/>
      <c r="JD75" s="18" t="n"/>
      <c r="JE75" s="18" t="n"/>
      <c r="JF75" s="18" t="n"/>
      <c r="JG75" s="18" t="n"/>
      <c r="JH75" s="18" t="n"/>
      <c r="JI75" s="18" t="n"/>
      <c r="JJ75" s="18" t="n"/>
      <c r="JK75" s="18" t="n"/>
      <c r="JL75" s="18" t="n"/>
      <c r="JM75" s="18" t="n"/>
      <c r="JN75" s="18" t="n"/>
      <c r="JO75" s="18" t="n"/>
      <c r="JP75" s="18" t="n"/>
      <c r="JQ75" s="18" t="n"/>
      <c r="JR75" s="18" t="n"/>
      <c r="JS75" s="18" t="n"/>
      <c r="JT75" s="18" t="n"/>
      <c r="JU75" s="18" t="n"/>
      <c r="JV75" s="18" t="n"/>
      <c r="JW75" s="18" t="n"/>
      <c r="JX75" s="18" t="n"/>
      <c r="JY75" s="18" t="n"/>
      <c r="JZ75" s="18" t="n"/>
      <c r="KA75" s="18" t="n"/>
      <c r="KB75" s="18" t="n"/>
      <c r="KC75" s="18" t="n"/>
      <c r="KD75" s="18" t="n"/>
      <c r="KE75" s="18" t="n"/>
      <c r="KF75" s="18" t="n"/>
      <c r="KG75" s="18" t="n"/>
      <c r="KH75" s="18" t="n"/>
      <c r="KI75" s="18" t="n"/>
      <c r="KJ75" s="18" t="n"/>
      <c r="KK75" s="18" t="n"/>
      <c r="KL75" s="18" t="n"/>
      <c r="KM75" s="18" t="n"/>
      <c r="KN75" s="18" t="n"/>
      <c r="KO75" s="18" t="n"/>
      <c r="KP75" s="18" t="n"/>
      <c r="KQ75" s="18" t="n"/>
      <c r="KR75" s="18" t="n"/>
      <c r="KS75" s="18" t="n"/>
      <c r="KT75" s="18" t="n"/>
      <c r="KU75" s="18" t="n"/>
      <c r="KV75" s="18" t="n"/>
      <c r="KW75" s="18" t="n"/>
      <c r="KX75" s="18" t="n"/>
      <c r="KY75" s="18" t="n"/>
      <c r="KZ75" s="18" t="n"/>
      <c r="LA75" s="18" t="n"/>
      <c r="LB75" s="18" t="n"/>
      <c r="LC75" s="18" t="n"/>
      <c r="LD75" s="18" t="n"/>
      <c r="LE75" s="18" t="n"/>
      <c r="LF75" s="18" t="n"/>
      <c r="LG75" s="18" t="n"/>
      <c r="LH75" s="18" t="n"/>
      <c r="LI75" s="18" t="n"/>
      <c r="LJ75" s="18" t="n"/>
      <c r="LK75" s="18" t="n"/>
      <c r="LL75" s="18" t="n"/>
      <c r="LM75" s="18" t="n"/>
      <c r="LN75" s="18" t="n"/>
      <c r="LO75" s="18" t="n"/>
      <c r="LP75" s="18" t="n"/>
      <c r="LQ75" s="18" t="n"/>
      <c r="LR75" s="18" t="n"/>
      <c r="LS75" s="18" t="n"/>
      <c r="LT75" s="18" t="n"/>
      <c r="LU75" s="18" t="n"/>
      <c r="LV75" s="18" t="n"/>
      <c r="LW75" s="18" t="n"/>
      <c r="LX75" s="18" t="n"/>
      <c r="LY75" s="18" t="n"/>
      <c r="LZ75" s="18" t="n"/>
      <c r="MA75" s="18" t="n"/>
      <c r="MB75" s="18" t="n"/>
      <c r="MC75" s="18" t="n"/>
      <c r="MD75" s="18" t="n"/>
      <c r="ME75" s="18" t="n"/>
      <c r="MF75" s="18" t="n"/>
      <c r="MG75" s="18" t="n"/>
      <c r="MH75" s="18" t="n"/>
      <c r="MI75" s="18" t="n"/>
      <c r="MJ75" s="18" t="n"/>
      <c r="MK75" s="18" t="n"/>
      <c r="ML75" s="18" t="n"/>
      <c r="MM75" s="18" t="n"/>
      <c r="MN75" s="18" t="n"/>
      <c r="MO75" s="18" t="n"/>
      <c r="MP75" s="18" t="n"/>
      <c r="MQ75" s="18" t="n"/>
      <c r="MR75" s="18" t="n"/>
      <c r="MS75" s="18" t="n"/>
      <c r="MT75" s="18" t="n"/>
      <c r="MU75" s="18" t="n"/>
      <c r="MV75" s="18" t="n"/>
      <c r="MW75" s="18" t="n"/>
      <c r="MX75" s="18" t="n"/>
      <c r="MY75" s="18" t="n"/>
      <c r="MZ75" s="18" t="n"/>
      <c r="NA75" s="18" t="n"/>
      <c r="NB75" s="18" t="n"/>
      <c r="NC75" s="18" t="n"/>
      <c r="ND75" s="18" t="n"/>
      <c r="NE75" s="18" t="n"/>
      <c r="NF75" s="18" t="n"/>
      <c r="NG75" s="18" t="n"/>
      <c r="NH75" s="18" t="n"/>
      <c r="NI75" s="18" t="n"/>
      <c r="NJ75" s="18" t="n"/>
      <c r="NK75" s="18" t="n"/>
      <c r="NL75" s="18" t="n"/>
      <c r="NM75" s="18" t="n"/>
      <c r="NN75" s="18" t="n"/>
      <c r="NO75" s="18" t="n"/>
      <c r="NP75" s="18" t="n"/>
      <c r="NQ75" s="18" t="n"/>
      <c r="NR75" s="18" t="n"/>
      <c r="NS75" s="18" t="n"/>
      <c r="NT75" s="18" t="n"/>
      <c r="NU75" s="18" t="n"/>
      <c r="NV75" s="18" t="n"/>
      <c r="NW75" s="18" t="n"/>
      <c r="NX75" s="18" t="n"/>
      <c r="NY75" s="18" t="n"/>
      <c r="NZ75" s="18" t="n"/>
      <c r="OA75" s="18" t="n"/>
      <c r="OB75" s="18" t="n"/>
      <c r="OC75" s="18" t="n"/>
      <c r="OD75" s="18" t="n"/>
      <c r="OE75" s="18" t="n"/>
      <c r="OF75" s="18" t="n"/>
      <c r="OG75" s="18" t="n"/>
      <c r="OH75" s="18" t="n"/>
      <c r="OI75" s="18" t="n"/>
      <c r="OJ75" s="18" t="n"/>
      <c r="OK75" s="18" t="n"/>
      <c r="OL75" s="18" t="n"/>
      <c r="OM75" s="18" t="n"/>
      <c r="ON75" s="18" t="n"/>
      <c r="OO75" s="18" t="n"/>
      <c r="OP75" s="18" t="n"/>
      <c r="OQ75" s="18" t="n"/>
      <c r="OR75" s="18" t="n"/>
      <c r="OS75" s="18" t="n"/>
      <c r="OT75" s="18" t="n"/>
      <c r="OU75" s="18" t="n"/>
      <c r="OV75" s="18" t="n"/>
      <c r="OW75" s="18" t="n"/>
      <c r="OX75" s="18" t="n"/>
      <c r="OY75" s="18" t="n"/>
      <c r="OZ75" s="18" t="n"/>
      <c r="PA75" s="18" t="n"/>
      <c r="PB75" s="18" t="n"/>
      <c r="PC75" s="18" t="n"/>
      <c r="PD75" s="18" t="n"/>
      <c r="PE75" s="18" t="n"/>
      <c r="PF75" s="18" t="n"/>
      <c r="PG75" s="18" t="n"/>
      <c r="PH75" s="18" t="n"/>
      <c r="PI75" s="18" t="n"/>
      <c r="PJ75" s="18" t="n"/>
      <c r="PK75" s="18" t="n"/>
      <c r="PL75" s="18" t="n"/>
      <c r="PM75" s="18" t="n"/>
      <c r="PN75" s="18" t="n"/>
      <c r="PO75" s="18" t="n"/>
      <c r="PP75" s="18" t="n"/>
      <c r="PQ75" s="18" t="n"/>
      <c r="PR75" s="18" t="n"/>
      <c r="PS75" s="18" t="n"/>
      <c r="PT75" s="18" t="n"/>
      <c r="PU75" s="18" t="n"/>
      <c r="PV75" s="18" t="n"/>
      <c r="PW75" s="18" t="n"/>
      <c r="PX75" s="18" t="n"/>
      <c r="PY75" s="18" t="n"/>
      <c r="PZ75" s="18" t="n"/>
      <c r="QA75" s="18" t="n"/>
      <c r="QB75" s="18" t="n"/>
      <c r="QC75" s="18" t="n"/>
      <c r="QD75" s="18" t="n"/>
      <c r="QE75" s="18" t="n"/>
      <c r="QF75" s="18" t="n"/>
      <c r="QG75" s="18" t="n"/>
      <c r="QH75" s="18" t="n"/>
      <c r="QI75" s="18" t="n"/>
      <c r="QJ75" s="18" t="n"/>
      <c r="QK75" s="18" t="n"/>
      <c r="QL75" s="18" t="n"/>
      <c r="QM75" s="18" t="n"/>
      <c r="QN75" s="18" t="n"/>
      <c r="QO75" s="18" t="n"/>
      <c r="QP75" s="18" t="n"/>
      <c r="QQ75" s="18" t="n"/>
      <c r="QR75" s="18" t="n"/>
      <c r="QS75" s="18" t="n"/>
      <c r="QT75" s="18" t="n"/>
      <c r="QU75" s="18" t="n"/>
      <c r="QV75" s="18" t="n"/>
      <c r="QW75" s="18" t="n"/>
      <c r="QX75" s="18" t="n"/>
      <c r="QY75" s="18" t="n"/>
      <c r="QZ75" s="18" t="n"/>
      <c r="RA75" s="18" t="n"/>
      <c r="RB75" s="18" t="n"/>
      <c r="RC75" s="18" t="n"/>
    </row>
    <row r="76" ht="17.4" customHeight="1" s="88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8" t="n"/>
      <c r="BA76" s="18" t="n"/>
      <c r="BB76" s="18" t="n"/>
      <c r="BC76" s="18" t="n"/>
      <c r="BD76" s="18" t="n"/>
      <c r="BE76" s="18" t="n"/>
      <c r="BF76" s="18" t="n"/>
      <c r="BG76" s="18" t="n"/>
      <c r="BH76" s="18" t="n"/>
      <c r="BI76" s="18" t="n"/>
      <c r="BJ76" s="18" t="n"/>
      <c r="BK76" s="18" t="n"/>
      <c r="BL76" s="18" t="n"/>
      <c r="BM76" s="18" t="n"/>
      <c r="BN76" s="18" t="n"/>
      <c r="BO76" s="18" t="n"/>
      <c r="BP76" s="18" t="n"/>
      <c r="BQ76" s="18" t="n"/>
      <c r="BR76" s="18" t="n"/>
      <c r="BS76" s="18" t="n"/>
      <c r="BT76" s="18" t="n"/>
      <c r="BU76" s="18" t="n"/>
      <c r="BV76" s="18" t="n"/>
      <c r="BW76" s="18" t="n"/>
      <c r="BX76" s="18" t="n"/>
      <c r="BY76" s="18" t="n"/>
      <c r="BZ76" s="18" t="n"/>
      <c r="CA76" s="18" t="n"/>
      <c r="CB76" s="18" t="n"/>
      <c r="CC76" s="18" t="n"/>
      <c r="CD76" s="18" t="n"/>
      <c r="CE76" s="18" t="n"/>
      <c r="CF76" s="18" t="n"/>
      <c r="CG76" s="18" t="n"/>
      <c r="CH76" s="18" t="n"/>
      <c r="CI76" s="18" t="n"/>
      <c r="CJ76" s="18" t="n"/>
      <c r="CK76" s="18" t="n"/>
      <c r="CL76" s="18" t="n"/>
      <c r="CM76" s="18" t="n"/>
      <c r="CN76" s="18" t="n"/>
      <c r="CO76" s="18" t="n"/>
      <c r="CP76" s="18" t="n"/>
      <c r="CQ76" s="18" t="n"/>
      <c r="CR76" s="18" t="n"/>
      <c r="CS76" s="18" t="n"/>
      <c r="CT76" s="18" t="n"/>
      <c r="CU76" s="18" t="n"/>
      <c r="CV76" s="18" t="n"/>
      <c r="CW76" s="18" t="n"/>
      <c r="CX76" s="18" t="n"/>
      <c r="CY76" s="18" t="n"/>
      <c r="CZ76" s="18" t="n"/>
      <c r="DA76" s="18" t="n"/>
      <c r="DB76" s="18" t="n"/>
      <c r="DC76" s="18" t="n"/>
      <c r="DD76" s="18" t="n"/>
      <c r="DE76" s="18" t="n"/>
      <c r="DF76" s="18" t="n"/>
      <c r="DG76" s="18" t="n"/>
      <c r="DH76" s="18" t="n"/>
      <c r="DI76" s="18" t="n"/>
      <c r="DJ76" s="18" t="n"/>
      <c r="DK76" s="18" t="n"/>
      <c r="DL76" s="18" t="n"/>
      <c r="DM76" s="18" t="n"/>
      <c r="DN76" s="18" t="n"/>
      <c r="DO76" s="18" t="n"/>
      <c r="DP76" s="18" t="n"/>
      <c r="DQ76" s="18" t="n"/>
      <c r="DR76" s="18" t="n"/>
      <c r="DS76" s="18" t="n"/>
      <c r="DT76" s="18" t="n"/>
      <c r="DU76" s="18" t="n"/>
      <c r="DV76" s="18" t="n"/>
      <c r="DW76" s="18" t="n"/>
      <c r="DX76" s="18" t="n"/>
      <c r="DY76" s="18" t="n"/>
      <c r="DZ76" s="18" t="n"/>
      <c r="EA76" s="18" t="n"/>
      <c r="EB76" s="18" t="n"/>
      <c r="EC76" s="18" t="n"/>
      <c r="ED76" s="18" t="n"/>
      <c r="EE76" s="18" t="n"/>
      <c r="EF76" s="18" t="n"/>
      <c r="EG76" s="18" t="n"/>
      <c r="EH76" s="18" t="n"/>
      <c r="EI76" s="18" t="n"/>
      <c r="EJ76" s="18" t="n"/>
      <c r="EK76" s="18" t="n"/>
      <c r="EL76" s="18" t="n"/>
      <c r="EM76" s="18" t="n"/>
      <c r="EN76" s="18" t="n"/>
      <c r="EO76" s="18" t="n"/>
      <c r="EP76" s="18" t="n"/>
      <c r="EQ76" s="18" t="n"/>
      <c r="ER76" s="18" t="n"/>
      <c r="ES76" s="18" t="n"/>
      <c r="ET76" s="18" t="n"/>
      <c r="EU76" s="18" t="n"/>
      <c r="EV76" s="18" t="n"/>
      <c r="EW76" s="18" t="n"/>
      <c r="EX76" s="18" t="n"/>
      <c r="EY76" s="18" t="n"/>
      <c r="EZ76" s="18" t="n"/>
      <c r="FA76" s="18" t="n"/>
      <c r="FB76" s="18" t="n"/>
      <c r="FC76" s="18" t="n"/>
      <c r="FD76" s="18" t="n"/>
      <c r="FE76" s="18" t="n"/>
      <c r="FF76" s="18" t="n"/>
      <c r="FG76" s="18" t="n"/>
      <c r="FH76" s="18" t="n"/>
      <c r="FI76" s="18" t="n"/>
      <c r="FJ76" s="18" t="n"/>
      <c r="FK76" s="18" t="n"/>
      <c r="FL76" s="18" t="n"/>
      <c r="FM76" s="18" t="n"/>
      <c r="FN76" s="18" t="n"/>
      <c r="FO76" s="18" t="n"/>
      <c r="FP76" s="18" t="n"/>
      <c r="FQ76" s="18" t="n"/>
      <c r="FR76" s="18" t="n"/>
      <c r="FS76" s="18" t="n"/>
      <c r="FT76" s="18" t="n"/>
      <c r="FU76" s="18" t="n"/>
      <c r="FV76" s="18" t="n"/>
      <c r="FW76" s="18" t="n"/>
      <c r="FX76" s="18" t="n"/>
      <c r="FY76" s="18" t="n"/>
      <c r="FZ76" s="18" t="n"/>
      <c r="GA76" s="18" t="n"/>
      <c r="GB76" s="18" t="n"/>
      <c r="GC76" s="18" t="n"/>
      <c r="GD76" s="18" t="n"/>
      <c r="GE76" s="18" t="n"/>
      <c r="GF76" s="18" t="n"/>
      <c r="GG76" s="18" t="n"/>
      <c r="GH76" s="18" t="n"/>
      <c r="GI76" s="18" t="n"/>
      <c r="GJ76" s="18" t="n"/>
      <c r="GK76" s="18" t="n"/>
      <c r="GL76" s="18" t="n"/>
      <c r="GM76" s="18" t="n"/>
      <c r="GN76" s="18" t="n"/>
      <c r="GO76" s="18" t="n"/>
      <c r="GP76" s="18" t="n"/>
      <c r="GQ76" s="18" t="n"/>
      <c r="GR76" s="18" t="n"/>
      <c r="GS76" s="18" t="n"/>
      <c r="GT76" s="18" t="n"/>
      <c r="GU76" s="18" t="n"/>
      <c r="GV76" s="18" t="n"/>
      <c r="GW76" s="18" t="n"/>
      <c r="GX76" s="18" t="n"/>
      <c r="GY76" s="18" t="n"/>
      <c r="GZ76" s="18" t="n"/>
      <c r="HA76" s="18" t="n"/>
      <c r="HB76" s="18" t="n"/>
      <c r="HC76" s="18" t="n"/>
      <c r="HD76" s="18" t="n"/>
      <c r="HE76" s="18" t="n"/>
      <c r="HF76" s="18" t="n"/>
      <c r="HG76" s="18" t="n"/>
      <c r="HH76" s="18" t="n"/>
      <c r="HI76" s="18" t="n"/>
      <c r="HJ76" s="18" t="n"/>
      <c r="HK76" s="18" t="n"/>
      <c r="HL76" s="18" t="n"/>
      <c r="HM76" s="18" t="n"/>
      <c r="HN76" s="18" t="n"/>
      <c r="HO76" s="18" t="n"/>
      <c r="HP76" s="18" t="n"/>
      <c r="HQ76" s="18" t="n"/>
      <c r="HR76" s="18" t="n"/>
      <c r="HS76" s="18" t="n"/>
      <c r="HT76" s="18" t="n"/>
      <c r="HU76" s="18" t="n"/>
      <c r="HV76" s="18" t="n"/>
      <c r="HW76" s="18" t="n"/>
      <c r="HX76" s="18" t="n"/>
      <c r="HY76" s="18" t="n"/>
      <c r="HZ76" s="18" t="n"/>
      <c r="IA76" s="18" t="n"/>
      <c r="IB76" s="18" t="n"/>
      <c r="IC76" s="18" t="n"/>
      <c r="ID76" s="18" t="n"/>
      <c r="IE76" s="18" t="n"/>
      <c r="IF76" s="18" t="n"/>
      <c r="IG76" s="18" t="n"/>
      <c r="IH76" s="18" t="n"/>
      <c r="II76" s="18" t="n"/>
      <c r="IJ76" s="18" t="n"/>
      <c r="IK76" s="18" t="n"/>
      <c r="IL76" s="18" t="n"/>
      <c r="IM76" s="18" t="n"/>
      <c r="IN76" s="18" t="n"/>
      <c r="IO76" s="18" t="n"/>
      <c r="IP76" s="18" t="n"/>
      <c r="IQ76" s="18" t="n"/>
      <c r="IR76" s="18" t="n"/>
      <c r="IS76" s="18" t="n"/>
      <c r="IT76" s="18" t="n"/>
      <c r="IU76" s="18" t="n"/>
      <c r="IV76" s="18" t="n"/>
      <c r="IW76" s="18" t="n"/>
      <c r="IX76" s="18" t="n"/>
      <c r="IY76" s="18" t="n"/>
      <c r="IZ76" s="18" t="n"/>
      <c r="JA76" s="18" t="n"/>
      <c r="JB76" s="18" t="n"/>
      <c r="JC76" s="18" t="n"/>
      <c r="JD76" s="18" t="n"/>
      <c r="JE76" s="18" t="n"/>
      <c r="JF76" s="18" t="n"/>
      <c r="JG76" s="18" t="n"/>
      <c r="JH76" s="18" t="n"/>
      <c r="JI76" s="18" t="n"/>
      <c r="JJ76" s="18" t="n"/>
      <c r="JK76" s="18" t="n"/>
      <c r="JL76" s="18" t="n"/>
      <c r="JM76" s="18" t="n"/>
      <c r="JN76" s="18" t="n"/>
      <c r="JO76" s="18" t="n"/>
      <c r="JP76" s="18" t="n"/>
      <c r="JQ76" s="18" t="n"/>
      <c r="JR76" s="18" t="n"/>
      <c r="JS76" s="18" t="n"/>
      <c r="JT76" s="18" t="n"/>
      <c r="JU76" s="18" t="n"/>
      <c r="JV76" s="18" t="n"/>
      <c r="JW76" s="18" t="n"/>
      <c r="JX76" s="18" t="n"/>
      <c r="JY76" s="18" t="n"/>
      <c r="JZ76" s="18" t="n"/>
      <c r="KA76" s="18" t="n"/>
      <c r="KB76" s="18" t="n"/>
      <c r="KC76" s="18" t="n"/>
      <c r="KD76" s="18" t="n"/>
      <c r="KE76" s="18" t="n"/>
      <c r="KF76" s="18" t="n"/>
      <c r="KG76" s="18" t="n"/>
      <c r="KH76" s="18" t="n"/>
      <c r="KI76" s="18" t="n"/>
      <c r="KJ76" s="18" t="n"/>
      <c r="KK76" s="18" t="n"/>
      <c r="KL76" s="18" t="n"/>
      <c r="KM76" s="18" t="n"/>
      <c r="KN76" s="18" t="n"/>
      <c r="KO76" s="18" t="n"/>
      <c r="KP76" s="18" t="n"/>
      <c r="KQ76" s="18" t="n"/>
      <c r="KR76" s="18" t="n"/>
      <c r="KS76" s="18" t="n"/>
      <c r="KT76" s="18" t="n"/>
      <c r="KU76" s="18" t="n"/>
      <c r="KV76" s="18" t="n"/>
      <c r="KW76" s="18" t="n"/>
      <c r="KX76" s="18" t="n"/>
      <c r="KY76" s="18" t="n"/>
      <c r="KZ76" s="18" t="n"/>
      <c r="LA76" s="18" t="n"/>
      <c r="LB76" s="18" t="n"/>
      <c r="LC76" s="18" t="n"/>
      <c r="LD76" s="18" t="n"/>
      <c r="LE76" s="18" t="n"/>
      <c r="LF76" s="18" t="n"/>
      <c r="LG76" s="18" t="n"/>
      <c r="LH76" s="18" t="n"/>
      <c r="LI76" s="18" t="n"/>
      <c r="LJ76" s="18" t="n"/>
      <c r="LK76" s="18" t="n"/>
      <c r="LL76" s="18" t="n"/>
      <c r="LM76" s="18" t="n"/>
      <c r="LN76" s="18" t="n"/>
      <c r="LO76" s="18" t="n"/>
      <c r="LP76" s="18" t="n"/>
      <c r="LQ76" s="18" t="n"/>
      <c r="LR76" s="18" t="n"/>
      <c r="LS76" s="18" t="n"/>
      <c r="LT76" s="18" t="n"/>
      <c r="LU76" s="18" t="n"/>
      <c r="LV76" s="18" t="n"/>
      <c r="LW76" s="18" t="n"/>
      <c r="LX76" s="18" t="n"/>
      <c r="LY76" s="18" t="n"/>
      <c r="LZ76" s="18" t="n"/>
      <c r="MA76" s="18" t="n"/>
      <c r="MB76" s="18" t="n"/>
      <c r="MC76" s="18" t="n"/>
      <c r="MD76" s="18" t="n"/>
      <c r="ME76" s="18" t="n"/>
      <c r="MF76" s="18" t="n"/>
      <c r="MG76" s="18" t="n"/>
      <c r="MH76" s="18" t="n"/>
      <c r="MI76" s="18" t="n"/>
      <c r="MJ76" s="18" t="n"/>
      <c r="MK76" s="18" t="n"/>
      <c r="ML76" s="18" t="n"/>
      <c r="MM76" s="18" t="n"/>
      <c r="MN76" s="18" t="n"/>
      <c r="MO76" s="18" t="n"/>
      <c r="MP76" s="18" t="n"/>
      <c r="MQ76" s="18" t="n"/>
      <c r="MR76" s="18" t="n"/>
      <c r="MS76" s="18" t="n"/>
      <c r="MT76" s="18" t="n"/>
      <c r="MU76" s="18" t="n"/>
      <c r="MV76" s="18" t="n"/>
      <c r="MW76" s="18" t="n"/>
      <c r="MX76" s="18" t="n"/>
      <c r="MY76" s="18" t="n"/>
      <c r="MZ76" s="18" t="n"/>
      <c r="NA76" s="18" t="n"/>
      <c r="NB76" s="18" t="n"/>
      <c r="NC76" s="18" t="n"/>
      <c r="ND76" s="18" t="n"/>
      <c r="NE76" s="18" t="n"/>
      <c r="NF76" s="18" t="n"/>
      <c r="NG76" s="18" t="n"/>
      <c r="NH76" s="18" t="n"/>
      <c r="NI76" s="18" t="n"/>
      <c r="NJ76" s="18" t="n"/>
      <c r="NK76" s="18" t="n"/>
      <c r="NL76" s="18" t="n"/>
      <c r="NM76" s="18" t="n"/>
      <c r="NN76" s="18" t="n"/>
      <c r="NO76" s="18" t="n"/>
      <c r="NP76" s="18" t="n"/>
      <c r="NQ76" s="18" t="n"/>
      <c r="NR76" s="18" t="n"/>
      <c r="NS76" s="18" t="n"/>
      <c r="NT76" s="18" t="n"/>
      <c r="NU76" s="18" t="n"/>
      <c r="NV76" s="18" t="n"/>
      <c r="NW76" s="18" t="n"/>
      <c r="NX76" s="18" t="n"/>
      <c r="NY76" s="18" t="n"/>
      <c r="NZ76" s="18" t="n"/>
      <c r="OA76" s="18" t="n"/>
      <c r="OB76" s="18" t="n"/>
      <c r="OC76" s="18" t="n"/>
      <c r="OD76" s="18" t="n"/>
      <c r="OE76" s="18" t="n"/>
      <c r="OF76" s="18" t="n"/>
      <c r="OG76" s="18" t="n"/>
      <c r="OH76" s="18" t="n"/>
      <c r="OI76" s="18" t="n"/>
      <c r="OJ76" s="18" t="n"/>
      <c r="OK76" s="18" t="n"/>
      <c r="OL76" s="18" t="n"/>
      <c r="OM76" s="18" t="n"/>
      <c r="ON76" s="18" t="n"/>
      <c r="OO76" s="18" t="n"/>
      <c r="OP76" s="18" t="n"/>
      <c r="OQ76" s="18" t="n"/>
      <c r="OR76" s="18" t="n"/>
      <c r="OS76" s="18" t="n"/>
      <c r="OT76" s="18" t="n"/>
      <c r="OU76" s="18" t="n"/>
      <c r="OV76" s="18" t="n"/>
      <c r="OW76" s="18" t="n"/>
      <c r="OX76" s="18" t="n"/>
      <c r="OY76" s="18" t="n"/>
      <c r="OZ76" s="18" t="n"/>
      <c r="PA76" s="18" t="n"/>
      <c r="PB76" s="18" t="n"/>
      <c r="PC76" s="18" t="n"/>
      <c r="PD76" s="18" t="n"/>
      <c r="PE76" s="18" t="n"/>
      <c r="PF76" s="18" t="n"/>
      <c r="PG76" s="18" t="n"/>
      <c r="PH76" s="18" t="n"/>
      <c r="PI76" s="18" t="n"/>
      <c r="PJ76" s="18" t="n"/>
      <c r="PK76" s="18" t="n"/>
      <c r="PL76" s="18" t="n"/>
      <c r="PM76" s="18" t="n"/>
      <c r="PN76" s="18" t="n"/>
      <c r="PO76" s="18" t="n"/>
      <c r="PP76" s="18" t="n"/>
      <c r="PQ76" s="18" t="n"/>
      <c r="PR76" s="18" t="n"/>
      <c r="PS76" s="18" t="n"/>
      <c r="PT76" s="18" t="n"/>
      <c r="PU76" s="18" t="n"/>
      <c r="PV76" s="18" t="n"/>
      <c r="PW76" s="18" t="n"/>
      <c r="PX76" s="18" t="n"/>
      <c r="PY76" s="18" t="n"/>
      <c r="PZ76" s="18" t="n"/>
      <c r="QA76" s="18" t="n"/>
      <c r="QB76" s="18" t="n"/>
      <c r="QC76" s="18" t="n"/>
      <c r="QD76" s="18" t="n"/>
      <c r="QE76" s="18" t="n"/>
      <c r="QF76" s="18" t="n"/>
      <c r="QG76" s="18" t="n"/>
      <c r="QH76" s="18" t="n"/>
      <c r="QI76" s="18" t="n"/>
      <c r="QJ76" s="18" t="n"/>
      <c r="QK76" s="18" t="n"/>
      <c r="QL76" s="18" t="n"/>
      <c r="QM76" s="18" t="n"/>
      <c r="QN76" s="18" t="n"/>
      <c r="QO76" s="18" t="n"/>
      <c r="QP76" s="18" t="n"/>
      <c r="QQ76" s="18" t="n"/>
      <c r="QR76" s="18" t="n"/>
      <c r="QS76" s="18" t="n"/>
      <c r="QT76" s="18" t="n"/>
      <c r="QU76" s="18" t="n"/>
      <c r="QV76" s="18" t="n"/>
      <c r="QW76" s="18" t="n"/>
      <c r="QX76" s="18" t="n"/>
      <c r="QY76" s="18" t="n"/>
      <c r="QZ76" s="18" t="n"/>
      <c r="RA76" s="18" t="n"/>
      <c r="RB76" s="18" t="n"/>
      <c r="RC76" s="18" t="n"/>
      <c r="RD76" s="18" t="n"/>
      <c r="RE76" s="18" t="n"/>
      <c r="RF76" s="18" t="n"/>
      <c r="RG76" s="18" t="n"/>
    </row>
  </sheetData>
  <printOptions horizontalCentered="1"/>
  <pageMargins left="0.7480314960629921" right="0.7480314960629921" top="0.984251968503937" bottom="0.984251968503937" header="0.5118110236220472" footer="0.5118110236220472"/>
  <pageSetup orientation="landscape" paperSize="8" scale="37" verticalDpi="0"/>
  <rowBreaks count="1" manualBreakCount="1">
    <brk id="17" min="0" max="16" man="1"/>
  </rowBreaks>
  <colBreaks count="1" manualBreakCount="1">
    <brk id="19" min="0" max="38" man="1"/>
  </colBreaks>
</worksheet>
</file>

<file path=xl/worksheets/sheet5.xml><?xml version="1.0" encoding="utf-8"?>
<worksheet xmlns="http://schemas.openxmlformats.org/spreadsheetml/2006/main">
  <sheetPr codeName="Sheet4">
    <tabColor rgb="FFFFFF00"/>
    <outlinePr summaryBelow="1" summaryRight="1"/>
    <pageSetUpPr/>
  </sheetPr>
  <dimension ref="A1:MU49"/>
  <sheetViews>
    <sheetView view="pageBreakPreview" zoomScale="25" zoomScaleNormal="55" zoomScaleSheetLayoutView="25" workbookViewId="0">
      <pane xSplit="4" ySplit="1" topLeftCell="E1048495" activePane="bottomRight" state="frozen"/>
      <selection pane="topRight" activeCell="A1" sqref="A1"/>
      <selection pane="bottomLeft" activeCell="A2" sqref="A2"/>
      <selection pane="bottomRight" activeCell="AD1048515" sqref="AD1048515"/>
    </sheetView>
  </sheetViews>
  <sheetFormatPr baseColWidth="8" defaultRowHeight="17.4"/>
  <cols>
    <col width="10" customWidth="1" style="88" min="1" max="2"/>
    <col width="18" customWidth="1" style="88" min="3" max="3"/>
    <col width="12" customWidth="1" style="88" min="4" max="4"/>
    <col width="10" customWidth="1" style="88" min="5" max="6"/>
    <col width="30" customWidth="1" style="88" min="7" max="7"/>
    <col width="14" customWidth="1" style="88" min="8" max="9"/>
    <col width="38" customWidth="1" style="88" min="10" max="10"/>
    <col width="54" customWidth="1" style="88" min="11" max="11"/>
    <col width="30" customWidth="1" style="88" min="12" max="12"/>
    <col width="36" customWidth="1" style="88" min="13" max="13"/>
    <col width="24" customWidth="1" style="88" min="14" max="14"/>
    <col width="36" customWidth="1" style="88" min="15" max="15"/>
    <col width="24" customWidth="1" style="88" min="16" max="16"/>
    <col width="36" customWidth="1" style="88" min="17" max="17"/>
    <col width="24" customWidth="1" style="88" min="18" max="18"/>
    <col width="16" customWidth="1" style="88" min="19" max="19"/>
  </cols>
  <sheetData>
    <row r="1" ht="28.05" customFormat="1" customHeight="1" s="6">
      <c r="A1" s="16" t="inlineStr">
        <is>
          <t>L2 코드</t>
        </is>
      </c>
      <c r="B1" s="16" t="inlineStr">
        <is>
          <t>L3 코드</t>
        </is>
      </c>
      <c r="C1" s="16" t="inlineStr">
        <is>
          <t>L3 대공종명</t>
        </is>
      </c>
      <c r="D1" s="16" t="inlineStr">
        <is>
          <t>L4 코드</t>
        </is>
      </c>
      <c r="E1" s="16" t="inlineStr">
        <is>
          <t>선행</t>
        </is>
      </c>
      <c r="F1" s="16" t="inlineStr">
        <is>
          <t>후행</t>
        </is>
      </c>
      <c r="G1" s="16" t="inlineStr">
        <is>
          <t>작업단위 (Level 4 Task/Activity)</t>
        </is>
      </c>
      <c r="H1" s="16" t="inlineStr">
        <is>
          <t>일정 (D-Day)</t>
        </is>
      </c>
      <c r="I1" s="16" t="inlineStr">
        <is>
          <t>주관</t>
        </is>
      </c>
      <c r="J1" s="16" t="inlineStr">
        <is>
          <t>목적</t>
        </is>
      </c>
      <c r="K1" s="16" t="inlineStr">
        <is>
          <t>방법</t>
        </is>
      </c>
      <c r="L1" s="16" t="inlineStr">
        <is>
          <t>산출물(결과)</t>
        </is>
      </c>
      <c r="M1" s="16" t="inlineStr">
        <is>
          <t>표준서 (Standard) 요약</t>
        </is>
      </c>
      <c r="N1" s="16" t="inlineStr">
        <is>
          <t>표준서 파일 (HTML)</t>
        </is>
      </c>
      <c r="O1" s="16" t="inlineStr">
        <is>
          <t>수행지침 (Guideline) 요약</t>
        </is>
      </c>
      <c r="P1" s="16" t="inlineStr">
        <is>
          <t>수행지침 파일 (HTML)</t>
        </is>
      </c>
      <c r="Q1" s="16" t="inlineStr">
        <is>
          <t>체크리스트 (Checklist) 요약</t>
        </is>
      </c>
      <c r="R1" s="16" t="inlineStr">
        <is>
          <t>체크리스트 파일 (HTML)</t>
        </is>
      </c>
      <c r="S1" s="16" t="inlineStr">
        <is>
          <t>비고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  <c r="DL1" s="18" t="n"/>
      <c r="DM1" s="18" t="n"/>
      <c r="DN1" s="18" t="n"/>
      <c r="DO1" s="18" t="n"/>
      <c r="DP1" s="18" t="n"/>
      <c r="DQ1" s="18" t="n"/>
      <c r="DR1" s="18" t="n"/>
      <c r="DS1" s="18" t="n"/>
      <c r="DT1" s="18" t="n"/>
      <c r="DU1" s="18" t="n"/>
      <c r="DV1" s="18" t="n"/>
      <c r="DW1" s="18" t="n"/>
      <c r="DX1" s="18" t="n"/>
      <c r="DY1" s="18" t="n"/>
      <c r="DZ1" s="18" t="n"/>
      <c r="EA1" s="18" t="n"/>
      <c r="EB1" s="18" t="n"/>
      <c r="EC1" s="18" t="n"/>
      <c r="ED1" s="18" t="n"/>
      <c r="EE1" s="18" t="n"/>
      <c r="EF1" s="18" t="n"/>
      <c r="EG1" s="18" t="n"/>
      <c r="EH1" s="18" t="n"/>
      <c r="EI1" s="18" t="n"/>
      <c r="EJ1" s="18" t="n"/>
      <c r="EK1" s="18" t="n"/>
      <c r="EL1" s="18" t="n"/>
      <c r="EM1" s="18" t="n"/>
      <c r="EN1" s="18" t="n"/>
      <c r="EO1" s="18" t="n"/>
      <c r="EP1" s="18" t="n"/>
      <c r="EQ1" s="18" t="n"/>
      <c r="ER1" s="18" t="n"/>
      <c r="ES1" s="18" t="n"/>
      <c r="ET1" s="18" t="n"/>
      <c r="EU1" s="18" t="n"/>
      <c r="EV1" s="18" t="n"/>
      <c r="EW1" s="18" t="n"/>
      <c r="EX1" s="18" t="n"/>
      <c r="EY1" s="18" t="n"/>
      <c r="EZ1" s="18" t="n"/>
      <c r="FA1" s="18" t="n"/>
      <c r="FB1" s="18" t="n"/>
      <c r="FC1" s="18" t="n"/>
      <c r="FD1" s="18" t="n"/>
      <c r="FE1" s="18" t="n"/>
      <c r="FF1" s="18" t="n"/>
      <c r="FG1" s="18" t="n"/>
      <c r="FH1" s="18" t="n"/>
      <c r="FI1" s="18" t="n"/>
      <c r="FJ1" s="18" t="n"/>
      <c r="FK1" s="18" t="n"/>
    </row>
    <row r="2" ht="52.05" customHeight="1" s="88">
      <c r="A2" s="19" t="inlineStr">
        <is>
          <t>9000</t>
        </is>
      </c>
      <c r="B2" s="19" t="inlineStr">
        <is>
          <t>9000-4</t>
        </is>
      </c>
      <c r="C2" s="19" t="inlineStr">
        <is>
          <t>상부강화노반</t>
        </is>
      </c>
      <c r="D2" s="19" t="inlineStr">
        <is>
          <t>9000-4-1</t>
        </is>
      </c>
      <c r="E2" s="95" t="inlineStr">
        <is>
          <t>-</t>
        </is>
      </c>
      <c r="F2" s="95" t="inlineStr">
        <is>
          <t>9000-4-2, 9000-4-3</t>
        </is>
      </c>
      <c r="G2" s="23" t="inlineStr">
        <is>
          <t>지반조사 상세검토</t>
        </is>
      </c>
      <c r="H2" s="21" t="inlineStr">
        <is>
          <t>D-100</t>
        </is>
      </c>
      <c r="I2" s="21" t="inlineStr">
        <is>
          <t>현장 공사팀</t>
        </is>
      </c>
      <c r="J2" s="24" t="inlineStr">
        <is>
          <t>본 과업은 동탄트램 선로 하부 지반의 지질 구조 및 지층 분포 상태를 정밀 분석하여, 노면 매립 궤도 및 상부강화노반의 불등침하 방지와 지반 지지력 확보를 위한 최적의 지반 개량 공법(PVD/DCM)을 확정하는 것을 목적으로 함.</t>
        </is>
      </c>
      <c r="K2" s="24" t="inlineStr">
        <is>
          <t>1) 시추 주상도 &amp; GPR 3D 매핑 분석 ➔ 2) N치 &lt; 4 연약지반 심도 경계 추출 ➔ 3) PVD/DCM 개량 공법 검토 ➔ 4) 기술사 서명 지반조사 보고서 감리 승인</t>
        </is>
      </c>
      <c r="L2" s="24" t="inlineStr">
        <is>
          <t>시추 주상도 대조, GPR 지중 탐사 3D 매핑 및 N치 &lt; 4 연약지반 층후 경출 (PVD/DCM 개량 승인)</t>
        </is>
      </c>
      <c r="M2" s="24" t="inlineStr">
        <is>
          <t>본 과업은 동탄트램 선로 하부 지반의 지질 구조 및 지층 분포 상태를 정밀 분석하여, 노면 매립 궤도 및 상부강화노반의 불등침하 방지와 지반 지지력 확보를 위한 최적의 지반 개량 공법(PVD/DCM)을 확정하는 것을 목적으로 함.</t>
        </is>
      </c>
      <c r="N2" s="25">
        <f>HYPERLINK(LEFT(CELL("filename",A1),FIND("[",CELL("filename",A1))-1)&amp;"4.상부강화노반\1_지반조사 상세검토\표준서\지반조사 상세검토_표준서.html", "👉 [클릭] 표준서 열기 📄")</f>
        <v/>
      </c>
      <c r="O2" s="24" t="inlineStr">
        <is>
          <t>1) 시추 주상도 &amp; GPR 3D 매핑 분석 ➔ 2) N치 &lt; 4 연약지반 심도 경계 추출 ➔ 3) PVD/DCM 개량 공법 검토 ➔ 4) 기술사 서명 지반조사 보고서 감리 승인</t>
        </is>
      </c>
      <c r="P2" s="26">
        <f>HYPERLINK(LEFT(CELL("filename",A1),FIND("[",CELL("filename",A1))-1)&amp;"4.상부강화노반\1_지반조사 상세검토\수행지침\지반조사 상세검토_수행지침.html", "👉 [클릭] 수행지침 열기 📄")</f>
        <v/>
      </c>
      <c r="Q2" s="24" t="inlineStr">
        <is>
          <t>시추 주상도 대조, GPR 지중 탐사 3D 매핑 및 N치 &lt; 4 연약지반 층후 경출 (PVD/DCM 개량 승인)</t>
        </is>
      </c>
      <c r="R2" s="27">
        <f>HYPERLINK(LEFT(CELL("filename",A1),FIND("[",CELL("filename",A1))-1)&amp;"4.상부강화노반\1_지반조사 상세검토\체크리스트\지반조사 상세검토_체크리스트.html", "👉 [클릭] 체크리스트 열기 📄")</f>
        <v/>
      </c>
      <c r="S2" s="21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  <c r="DY2" s="18" t="n"/>
      <c r="DZ2" s="18" t="n"/>
      <c r="EA2" s="18" t="n"/>
      <c r="EB2" s="18" t="n"/>
      <c r="EC2" s="18" t="n"/>
      <c r="ED2" s="18" t="n"/>
      <c r="EE2" s="18" t="n"/>
      <c r="EF2" s="18" t="n"/>
      <c r="EG2" s="18" t="n"/>
      <c r="EH2" s="18" t="n"/>
      <c r="EI2" s="18" t="n"/>
      <c r="EJ2" s="18" t="n"/>
      <c r="EK2" s="18" t="n"/>
      <c r="EL2" s="18" t="n"/>
      <c r="EM2" s="18" t="n"/>
      <c r="EN2" s="18" t="n"/>
      <c r="EO2" s="18" t="n"/>
      <c r="EP2" s="18" t="n"/>
      <c r="EQ2" s="18" t="n"/>
      <c r="ER2" s="18" t="n"/>
      <c r="ES2" s="18" t="n"/>
      <c r="ET2" s="18" t="n"/>
      <c r="EU2" s="18" t="n"/>
      <c r="EV2" s="18" t="n"/>
      <c r="EW2" s="18" t="n"/>
      <c r="EX2" s="18" t="n"/>
      <c r="EY2" s="18" t="n"/>
      <c r="EZ2" s="18" t="n"/>
      <c r="FA2" s="18" t="n"/>
      <c r="FB2" s="18" t="n"/>
      <c r="FC2" s="18" t="n"/>
      <c r="FD2" s="18" t="n"/>
      <c r="FE2" s="18" t="n"/>
      <c r="FF2" s="18" t="n"/>
      <c r="FG2" s="18" t="n"/>
      <c r="FH2" s="18" t="n"/>
      <c r="FI2" s="18" t="n"/>
      <c r="FJ2" s="18" t="n"/>
      <c r="FK2" s="18" t="n"/>
      <c r="FL2" s="18" t="n"/>
      <c r="FM2" s="18" t="n"/>
      <c r="FN2" s="18" t="n"/>
      <c r="FO2" s="18" t="n"/>
    </row>
    <row r="3" ht="52.05" customHeight="1" s="88">
      <c r="A3" s="29" t="inlineStr">
        <is>
          <t>9000</t>
        </is>
      </c>
      <c r="B3" s="29" t="inlineStr">
        <is>
          <t>9000-4</t>
        </is>
      </c>
      <c r="C3" s="29" t="inlineStr">
        <is>
          <t>상부강화노반</t>
        </is>
      </c>
      <c r="D3" s="29" t="inlineStr">
        <is>
          <t>9000-4-2</t>
        </is>
      </c>
      <c r="E3" s="102" t="inlineStr">
        <is>
          <t>9000-4-1</t>
        </is>
      </c>
      <c r="F3" s="102" t="inlineStr">
        <is>
          <t>9000-4-4, 9000-4-5</t>
        </is>
      </c>
      <c r="G3" s="32" t="inlineStr">
        <is>
          <t>발주전략 KOM</t>
        </is>
      </c>
      <c r="H3" s="33" t="inlineStr">
        <is>
          <t>D-70</t>
        </is>
      </c>
      <c r="I3" s="33" t="inlineStr">
        <is>
          <t>현장소장</t>
        </is>
      </c>
      <c r="J3" s="34" t="inlineStr">
        <is>
          <t>본 과업은 상부강화노반 시공 착수 전 발주처·감리단·시공사 간 기술 요구사항과 3D BIM 도면의 표고/구배 기준을 명확히 공유하고, 지장물 및 용지 리스크에 대한 예비비 수립 등 공사 수행 전반의 품질 및 공기 리스크를 사전 예방하는 것을 목적으로 함.</t>
        </is>
      </c>
      <c r="K3" s="34" t="inlineStr">
        <is>
          <t>1) 발주처 시방서 요구조건 분석 ➔ 2) 3D BIM 도면 표고/구배 검증 ➔ 3) 지장물/용지 리스크 예비비 수립 ➔ 4) 발주·감리·시공 3자 킥오프 결재</t>
        </is>
      </c>
      <c r="L3" s="34" t="inlineStr">
        <is>
          <t>KCS 47 10 25 시방 검토, 쇄석 입도 50mm/다짐도 95% 명시 및 3D BIM 도면 대조 (발주전략 킥오프 결재)</t>
        </is>
      </c>
      <c r="M3" s="34" t="inlineStr">
        <is>
          <t>본 과업은 상부강화노반 시공 착수 전 발주처·감리단·시공사 간 기술 요구사항과 3D BIM 도면의 표고/구배 기준을 명확히 공유하고, 지장물 및 용지 리스크에 대한 예비비 수립 등 공사 수행 전반의 품질 및 공기 리스크를 사전 예방하는 것을 목적으로 함.</t>
        </is>
      </c>
      <c r="N3" s="35">
        <f>HYPERLINK(LEFT(CELL("filename",A1),FIND("[",CELL("filename",A1))-1)&amp;"4.상부강화노반\2_발주전략 KOM\표준서\발주전략 KOM_표준서.html", "👉 [클릭] 표준서 열기 📄")</f>
        <v/>
      </c>
      <c r="O3" s="34" t="inlineStr">
        <is>
          <t>1) 발주처 시방서 요구조건 분석 ➔ 2) 3D BIM 도면 표고/구배 검증 ➔ 3) 지장물/용지 리스크 예비비 수립 ➔ 4) 발주·감리·시공 3자 킥오프 결재</t>
        </is>
      </c>
      <c r="P3" s="36">
        <f>HYPERLINK(LEFT(CELL("filename",A1),FIND("[",CELL("filename",A1))-1)&amp;"4.상부강화노반\2_발주전략 KOM\수행지침\발주전략 KOM_수행지침.html", "👉 [클릭] 수행지침 열기 📄")</f>
        <v/>
      </c>
      <c r="Q3" s="34" t="inlineStr">
        <is>
          <t>KCS 47 10 25 시방 검토, 쇄석 입도 50mm/다짐도 95% 명시 및 3D BIM 도면 대조 (발주전략 킥오프 결재)</t>
        </is>
      </c>
      <c r="R3" s="37">
        <f>HYPERLINK(LEFT(CELL("filename",A1),FIND("[",CELL("filename",A1))-1)&amp;"4.상부강화노반\2_발주전략 KOM\체크리스트\발주전략 KOM_체크리스트.html", "👉 [클릭] 체크리스트 열기 📄")</f>
        <v/>
      </c>
      <c r="S3" s="33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8" t="n"/>
      <c r="ER3" s="18" t="n"/>
      <c r="ES3" s="18" t="n"/>
      <c r="ET3" s="18" t="n"/>
      <c r="EU3" s="18" t="n"/>
      <c r="EV3" s="18" t="n"/>
      <c r="EW3" s="18" t="n"/>
      <c r="EX3" s="18" t="n"/>
      <c r="EY3" s="18" t="n"/>
      <c r="EZ3" s="18" t="n"/>
      <c r="FA3" s="18" t="n"/>
      <c r="FB3" s="18" t="n"/>
      <c r="FC3" s="18" t="n"/>
      <c r="FD3" s="18" t="n"/>
      <c r="FE3" s="18" t="n"/>
      <c r="FF3" s="18" t="n"/>
      <c r="FG3" s="18" t="n"/>
      <c r="FH3" s="18" t="n"/>
      <c r="FI3" s="18" t="n"/>
      <c r="FJ3" s="18" t="n"/>
      <c r="FK3" s="18" t="n"/>
      <c r="FL3" s="18" t="n"/>
      <c r="FM3" s="18" t="n"/>
      <c r="FN3" s="18" t="n"/>
      <c r="FO3" s="18" t="n"/>
      <c r="FP3" s="18" t="n"/>
      <c r="FQ3" s="18" t="n"/>
      <c r="FR3" s="18" t="n"/>
      <c r="FS3" s="18" t="n"/>
    </row>
    <row r="4" ht="52.05" customHeight="1" s="88">
      <c r="A4" s="19" t="inlineStr">
        <is>
          <t>9000</t>
        </is>
      </c>
      <c r="B4" s="19" t="inlineStr">
        <is>
          <t>9000-4</t>
        </is>
      </c>
      <c r="C4" s="19" t="inlineStr">
        <is>
          <t>상부강화노반</t>
        </is>
      </c>
      <c r="D4" s="19" t="inlineStr">
        <is>
          <t>9000-4-3</t>
        </is>
      </c>
      <c r="E4" s="95" t="inlineStr">
        <is>
          <t>9000-4-1</t>
        </is>
      </c>
      <c r="F4" s="95" t="inlineStr">
        <is>
          <t>9000-4-6</t>
        </is>
      </c>
      <c r="G4" s="23" t="inlineStr">
        <is>
          <t>철도보호지구에서의 행위신고(필요시)</t>
        </is>
      </c>
      <c r="H4" s="21" t="inlineStr">
        <is>
          <t>D-60 (D-70~D-60)</t>
        </is>
      </c>
      <c r="I4" s="21" t="inlineStr">
        <is>
          <t>현장 공사팀</t>
        </is>
      </c>
      <c r="J4" s="24" t="inlineStr">
        <is>
          <t>본 과업은 기존 운행 중인 철도선로 인접 30m 이내 구역 굴착 시 선로의 변형 및 열차 운행 안전 사고를 방지하기 위해, 철도운영기관과의 사전 행위신고 및 기술 협의를 완료하고 운행선 안전관리 체계를 확보하는 것을 목적으로 함.</t>
        </is>
      </c>
      <c r="K4" s="24" t="inlineStr">
        <is>
          <t>1) 궤도 중심 30m 법정 경계 측량 ➔ 2) 행위신고서/안전계획서 접수 ➔ 3) 관할 철도운영기관 기술 심의 ➔ 4) 운행선안전관리자 현장 1:1 배치</t>
        </is>
      </c>
      <c r="L4" s="24" t="inlineStr">
        <is>
          <t>궤도 중심 30m 법정 경계 측량(오차 ≤ 5mm), 행위신고서 접수 및 운행선안전관리자 1:1 현장 배치</t>
        </is>
      </c>
      <c r="M4" s="24" t="inlineStr">
        <is>
          <t>본 과업은 기존 운행 중인 철도선로 인접 30m 이내 구역 굴착 시 선로의 변형 및 열차 운행 안전 사고를 방지하기 위해, 철도운영기관과의 사전 행위신고 및 기술 협의를 완료하고 운행선 안전관리 체계를 확보하는 것을 목적으로 함.</t>
        </is>
      </c>
      <c r="N4" s="25">
        <f>HYPERLINK(LEFT(CELL("filename",A1),FIND("[",CELL("filename",A1))-1)&amp;"4.상부강화노반\3_철도보호지구에서의 행위신고(필요시)\표준서\철도보호지구 행위신고_표준서.html", "👉 [클릭] 표준서 열기 📄")</f>
        <v/>
      </c>
      <c r="O4" s="24" t="inlineStr">
        <is>
          <t>1) 궤도 중심 30m 법정 경계 측량 ➔ 2) 행위신고서/안전계획서 접수 ➔ 3) 관할 철도운영기관 기술 심의 ➔ 4) 운행선안전관리자 현장 1:1 배치</t>
        </is>
      </c>
      <c r="P4" s="26">
        <f>HYPERLINK(LEFT(CELL("filename",A1),FIND("[",CELL("filename",A1))-1)&amp;"4.상부강화노반\3_철도보호지구에서의 행위신고(필요시)\수행지침\철도보호지구 행위신고_수행지침.html", "👉 [클릭] 수행지침 열기 📄")</f>
        <v/>
      </c>
      <c r="Q4" s="24" t="inlineStr">
        <is>
          <t>궤도 중심 30m 법정 경계 측량(오차 ≤ 5mm), 행위신고서 접수 및 운행선안전관리자 1:1 현장 배치</t>
        </is>
      </c>
      <c r="R4" s="27">
        <f>HYPERLINK(LEFT(CELL("filename",A1),FIND("[",CELL("filename",A1))-1)&amp;"4.상부강화노반\3_철도보호지구에서의 행위신고(필요시)\체크리스트\철도보호지구 행위신고_체크리스트.html", "👉 [클릭] 체크리스트 열기 📄")</f>
        <v/>
      </c>
      <c r="S4" s="21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  <c r="DY4" s="18" t="n"/>
      <c r="DZ4" s="18" t="n"/>
      <c r="EA4" s="18" t="n"/>
      <c r="EB4" s="18" t="n"/>
      <c r="EC4" s="18" t="n"/>
      <c r="ED4" s="18" t="n"/>
      <c r="EE4" s="18" t="n"/>
      <c r="EF4" s="18" t="n"/>
      <c r="EG4" s="18" t="n"/>
      <c r="EH4" s="18" t="n"/>
      <c r="EI4" s="18" t="n"/>
      <c r="EJ4" s="18" t="n"/>
      <c r="EK4" s="18" t="n"/>
      <c r="EL4" s="18" t="n"/>
      <c r="EM4" s="18" t="n"/>
      <c r="EN4" s="18" t="n"/>
      <c r="EO4" s="18" t="n"/>
      <c r="EP4" s="18" t="n"/>
      <c r="EQ4" s="18" t="n"/>
      <c r="ER4" s="18" t="n"/>
      <c r="ES4" s="18" t="n"/>
      <c r="ET4" s="18" t="n"/>
      <c r="EU4" s="18" t="n"/>
      <c r="EV4" s="18" t="n"/>
      <c r="EW4" s="18" t="n"/>
      <c r="EX4" s="18" t="n"/>
      <c r="EY4" s="18" t="n"/>
      <c r="EZ4" s="18" t="n"/>
      <c r="FA4" s="18" t="n"/>
      <c r="FB4" s="18" t="n"/>
      <c r="FC4" s="18" t="n"/>
      <c r="FD4" s="18" t="n"/>
      <c r="FE4" s="18" t="n"/>
      <c r="FF4" s="18" t="n"/>
      <c r="FG4" s="18" t="n"/>
      <c r="FH4" s="18" t="n"/>
      <c r="FI4" s="18" t="n"/>
      <c r="FJ4" s="18" t="n"/>
      <c r="FK4" s="18" t="n"/>
      <c r="FL4" s="18" t="n"/>
      <c r="FM4" s="18" t="n"/>
      <c r="FN4" s="18" t="n"/>
      <c r="FO4" s="18" t="n"/>
      <c r="FP4" s="18" t="n"/>
      <c r="FQ4" s="18" t="n"/>
      <c r="FR4" s="18" t="n"/>
      <c r="FS4" s="18" t="n"/>
      <c r="FT4" s="18" t="n"/>
      <c r="FU4" s="18" t="n"/>
      <c r="FV4" s="18" t="n"/>
      <c r="FW4" s="18" t="n"/>
    </row>
    <row r="5" ht="52.05" customHeight="1" s="88">
      <c r="A5" s="29" t="inlineStr">
        <is>
          <t>9000</t>
        </is>
      </c>
      <c r="B5" s="29" t="inlineStr">
        <is>
          <t>9000-4</t>
        </is>
      </c>
      <c r="C5" s="29" t="inlineStr">
        <is>
          <t>상부강화노반</t>
        </is>
      </c>
      <c r="D5" s="29" t="inlineStr">
        <is>
          <t>9000-4-4</t>
        </is>
      </c>
      <c r="E5" s="102" t="inlineStr">
        <is>
          <t>9000-4-2</t>
        </is>
      </c>
      <c r="F5" s="102" t="inlineStr">
        <is>
          <t>9000-4-7</t>
        </is>
      </c>
      <c r="G5" s="32" t="inlineStr">
        <is>
          <t>착수전 측량 Data 확인</t>
        </is>
      </c>
      <c r="H5" s="33" t="inlineStr">
        <is>
          <t>D-35 (D-60~D-35)</t>
        </is>
      </c>
      <c r="I5" s="33" t="inlineStr">
        <is>
          <t>현장 공사팀</t>
        </is>
      </c>
      <c r="J5" s="34" t="inlineStr">
        <is>
          <t>본 과업은 공사 착수 전 국가 기준점(CP/TBM)과 3D BIM 계획 표고를 현장에 정밀 세팅하여, 트램 궤도의 선형 오차를 방지하고 시공 전 구간의 수평·수직 기준 신뢰도를 100% 확보하는 것을 목적으로 함.</t>
        </is>
      </c>
      <c r="K5" s="34" t="inlineStr">
        <is>
          <t>1) 국가 CP/TBM 기준점 인수 ➔ 2) GRS80 수준측량(폐합오차 ≤ 5mm√K) ➔ 3) 현장 인조점 3개소 매설 ➔ 4) 측량 성과표 작성 &amp; 3D BIM 승인</t>
        </is>
      </c>
      <c r="L5" s="34" t="inlineStr">
        <is>
          <t>국가 CP/TBM 기준점 인수, GRS80 수준측량(폐합오차 ≤ 5mm√K) 및 현장 인조점 3개소 매설 성과</t>
        </is>
      </c>
      <c r="M5" s="34" t="inlineStr">
        <is>
          <t>본 과업은 공사 착수 전 국가 기준점(CP/TBM)과 3D BIM 계획 표고를 현장에 정밀 세팅하여, 트램 궤도의 선형 오차를 방지하고 시공 전 구간의 수평·수직 기준 신뢰도를 100% 확보하는 것을 목적으로 함.</t>
        </is>
      </c>
      <c r="N5" s="35">
        <f>HYPERLINK(LEFT(CELL("filename",A1),FIND("[",CELL("filename",A1))-1)&amp;"4.상부강화노반\4_착수전 측량 Data 확인\표준서\착수전 측량 Data 확인_표준서.html", "👉 [클릭] 표준서 열기 📄")</f>
        <v/>
      </c>
      <c r="O5" s="34" t="inlineStr">
        <is>
          <t>1) 국가 CP/TBM 기준점 인수 ➔ 2) GRS80 수준측량(폐합오차 ≤ 5mm√K) ➔ 3) 현장 인조점 3개소 매설 ➔ 4) 측량 성과표 작성 &amp; 3D BIM 승인</t>
        </is>
      </c>
      <c r="P5" s="36">
        <f>HYPERLINK(LEFT(CELL("filename",A1),FIND("[",CELL("filename",A1))-1)&amp;"4.상부강화노반\4_착수전 측량 Data 확인\수행지침\착수전 측량 Data 확인_수행지침.html", "👉 [클릭] 수행지침 열기 📄")</f>
        <v/>
      </c>
      <c r="Q5" s="34" t="inlineStr">
        <is>
          <t>국가 CP/TBM 기준점 인수, GRS80 수준측량(폐합오차 ≤ 5mm√K) 및 현장 인조점 3개소 매설 성과</t>
        </is>
      </c>
      <c r="R5" s="37">
        <f>HYPERLINK(LEFT(CELL("filename",A1),FIND("[",CELL("filename",A1))-1)&amp;"4.상부강화노반\4_착수전 측량 Data 확인\체크리스트\착수전 측량 Data 확인_체크리스트.html", "👉 [클릭] 체크리스트 열기 📄")</f>
        <v/>
      </c>
      <c r="S5" s="33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  <c r="EB5" s="18" t="n"/>
      <c r="EC5" s="18" t="n"/>
      <c r="ED5" s="18" t="n"/>
      <c r="EE5" s="18" t="n"/>
      <c r="EF5" s="18" t="n"/>
      <c r="EG5" s="18" t="n"/>
      <c r="EH5" s="18" t="n"/>
      <c r="EI5" s="18" t="n"/>
      <c r="EJ5" s="18" t="n"/>
      <c r="EK5" s="18" t="n"/>
      <c r="EL5" s="18" t="n"/>
      <c r="EM5" s="18" t="n"/>
      <c r="EN5" s="18" t="n"/>
      <c r="EO5" s="18" t="n"/>
      <c r="EP5" s="18" t="n"/>
      <c r="EQ5" s="18" t="n"/>
      <c r="ER5" s="18" t="n"/>
      <c r="ES5" s="18" t="n"/>
      <c r="ET5" s="18" t="n"/>
      <c r="EU5" s="18" t="n"/>
      <c r="EV5" s="18" t="n"/>
      <c r="EW5" s="18" t="n"/>
      <c r="EX5" s="18" t="n"/>
      <c r="EY5" s="18" t="n"/>
      <c r="EZ5" s="18" t="n"/>
      <c r="FA5" s="18" t="n"/>
      <c r="FB5" s="18" t="n"/>
      <c r="FC5" s="18" t="n"/>
      <c r="FD5" s="18" t="n"/>
      <c r="FE5" s="18" t="n"/>
      <c r="FF5" s="18" t="n"/>
      <c r="FG5" s="18" t="n"/>
      <c r="FH5" s="18" t="n"/>
      <c r="FI5" s="18" t="n"/>
      <c r="FJ5" s="18" t="n"/>
      <c r="FK5" s="18" t="n"/>
      <c r="FL5" s="18" t="n"/>
      <c r="FM5" s="18" t="n"/>
      <c r="FN5" s="18" t="n"/>
      <c r="FO5" s="18" t="n"/>
      <c r="FP5" s="18" t="n"/>
      <c r="FQ5" s="18" t="n"/>
      <c r="FR5" s="18" t="n"/>
      <c r="FS5" s="18" t="n"/>
      <c r="FT5" s="18" t="n"/>
      <c r="FU5" s="18" t="n"/>
      <c r="FV5" s="18" t="n"/>
      <c r="FW5" s="18" t="n"/>
      <c r="FX5" s="18" t="n"/>
      <c r="FY5" s="18" t="n"/>
      <c r="FZ5" s="18" t="n"/>
      <c r="GA5" s="18" t="n"/>
    </row>
    <row r="6" ht="52.05" customHeight="1" s="88">
      <c r="A6" s="19" t="inlineStr">
        <is>
          <t>9000</t>
        </is>
      </c>
      <c r="B6" s="19" t="inlineStr">
        <is>
          <t>9000-4</t>
        </is>
      </c>
      <c r="C6" s="19" t="inlineStr">
        <is>
          <t>상부강화노반</t>
        </is>
      </c>
      <c r="D6" s="19" t="inlineStr">
        <is>
          <t>9000-4-5</t>
        </is>
      </c>
      <c r="E6" s="95" t="inlineStr">
        <is>
          <t>9000-4-2</t>
        </is>
      </c>
      <c r="F6" s="95" t="inlineStr">
        <is>
          <t>9000-4-7, 9000-4-8</t>
        </is>
      </c>
      <c r="G6" s="23" t="inlineStr">
        <is>
          <t>지장물이설 협의</t>
        </is>
      </c>
      <c r="H6" s="21" t="inlineStr">
        <is>
          <t>D-40 (D-60~D-40)</t>
        </is>
      </c>
      <c r="I6" s="21" t="inlineStr">
        <is>
          <t>현장 공사팀</t>
        </is>
      </c>
      <c r="J6" s="24" t="inlineStr">
        <is>
          <t>본 과업은 노반 굴착 구역 내 매설된 가스관, 전력선, 상하수도 등 지하 지장물의 간섭 및 파손 사고를 예방하기 위해, GPR 탐사 및 인력 시탐을 통해 지장물 위치를 정밀 확인하고 관할 점용기관과의 이설 및 방호 협의를 완수하는 것을 목적으로 함.</t>
        </is>
      </c>
      <c r="K6" s="24" t="inlineStr">
        <is>
          <t>1) GPR 3D 지중 관로 탐사 ➔ 2) 인력 시탐 줄파기(깊이 1.5m) ➔ 3) 관할 점용기관 1:1 현장 입회 ➔ 4) 매달기 방호 &amp; 지장물 이설 완료 승인</t>
        </is>
      </c>
      <c r="L6" s="24" t="inlineStr">
        <is>
          <t>GPR 3D 관로 탐사, 인력 시탐 줄파기(깊이 1.5m) 및 점용기관 1:1 현장 입회 매달기 방호</t>
        </is>
      </c>
      <c r="M6" s="24" t="inlineStr">
        <is>
          <t>본 과업은 노반 굴착 구역 내 매설된 가스관, 전력선, 상하수도 등 지하 지장물의 간섭 및 파손 사고를 예방하기 위해, GPR 탐사 및 인력 시탐을 통해 지장물 위치를 정밀 확인하고 관할 점용기관과의 이설 및 방호 협의를 완수하는 것을 목적으로 함.</t>
        </is>
      </c>
      <c r="N6" s="25">
        <f>HYPERLINK(LEFT(CELL("filename",A1),FIND("[",CELL("filename",A1))-1)&amp;"4.상부강화노반\5_지장물이설 협의\표준서\지장물이설 협의_표준서.html", "👉 [클릭] 표준서 열기 📄")</f>
        <v/>
      </c>
      <c r="O6" s="24" t="inlineStr">
        <is>
          <t>1) GPR 3D 지중 관로 탐사 ➔ 2) 인력 시탐 줄파기(깊이 1.5m) ➔ 3) 관할 점용기관 1:1 현장 입회 ➔ 4) 매달기 방호 &amp; 지장물 이설 완료 승인</t>
        </is>
      </c>
      <c r="P6" s="26">
        <f>HYPERLINK(LEFT(CELL("filename",A1),FIND("[",CELL("filename",A1))-1)&amp;"4.상부강화노반\5_지장물이설 협의\수행지침\지장물이설 협의_수행지침.html", "👉 [클릭] 수행지침 열기 📄")</f>
        <v/>
      </c>
      <c r="Q6" s="24" t="inlineStr">
        <is>
          <t>GPR 3D 관로 탐사, 인력 시탐 줄파기(깊이 1.5m) 및 점용기관 1:1 현장 입회 매달기 방호</t>
        </is>
      </c>
      <c r="R6" s="27">
        <f>HYPERLINK(LEFT(CELL("filename",A1),FIND("[",CELL("filename",A1))-1)&amp;"4.상부강화노반\5_지장물이설 협의\체크리스트\지장물이설 협의_체크리스트.html", "👉 [클릭] 체크리스트 열기 📄")</f>
        <v/>
      </c>
      <c r="S6" s="21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  <c r="DY6" s="18" t="n"/>
      <c r="DZ6" s="18" t="n"/>
      <c r="EA6" s="18" t="n"/>
      <c r="EB6" s="18" t="n"/>
      <c r="EC6" s="18" t="n"/>
      <c r="ED6" s="18" t="n"/>
      <c r="EE6" s="18" t="n"/>
      <c r="EF6" s="18" t="n"/>
      <c r="EG6" s="18" t="n"/>
      <c r="EH6" s="18" t="n"/>
      <c r="EI6" s="18" t="n"/>
      <c r="EJ6" s="18" t="n"/>
      <c r="EK6" s="18" t="n"/>
      <c r="EL6" s="18" t="n"/>
      <c r="EM6" s="18" t="n"/>
      <c r="EN6" s="18" t="n"/>
      <c r="EO6" s="18" t="n"/>
      <c r="EP6" s="18" t="n"/>
      <c r="EQ6" s="18" t="n"/>
      <c r="ER6" s="18" t="n"/>
      <c r="ES6" s="18" t="n"/>
      <c r="ET6" s="18" t="n"/>
      <c r="EU6" s="18" t="n"/>
      <c r="EV6" s="18" t="n"/>
      <c r="EW6" s="18" t="n"/>
      <c r="EX6" s="18" t="n"/>
      <c r="EY6" s="18" t="n"/>
      <c r="EZ6" s="18" t="n"/>
      <c r="FA6" s="18" t="n"/>
      <c r="FB6" s="18" t="n"/>
      <c r="FC6" s="18" t="n"/>
      <c r="FD6" s="18" t="n"/>
      <c r="FE6" s="18" t="n"/>
      <c r="FF6" s="18" t="n"/>
      <c r="FG6" s="18" t="n"/>
      <c r="FH6" s="18" t="n"/>
      <c r="FI6" s="18" t="n"/>
      <c r="FJ6" s="18" t="n"/>
      <c r="FK6" s="18" t="n"/>
      <c r="FL6" s="18" t="n"/>
      <c r="FM6" s="18" t="n"/>
      <c r="FN6" s="18" t="n"/>
      <c r="FO6" s="18" t="n"/>
      <c r="FP6" s="18" t="n"/>
      <c r="FQ6" s="18" t="n"/>
      <c r="FR6" s="18" t="n"/>
      <c r="FS6" s="18" t="n"/>
      <c r="FT6" s="18" t="n"/>
      <c r="FU6" s="18" t="n"/>
      <c r="FV6" s="18" t="n"/>
      <c r="FW6" s="18" t="n"/>
      <c r="FX6" s="18" t="n"/>
      <c r="FY6" s="18" t="n"/>
      <c r="FZ6" s="18" t="n"/>
      <c r="GA6" s="18" t="n"/>
      <c r="GB6" s="18" t="n"/>
      <c r="GC6" s="18" t="n"/>
      <c r="GD6" s="18" t="n"/>
      <c r="GE6" s="18" t="n"/>
    </row>
    <row r="7" ht="52.05" customHeight="1" s="88">
      <c r="A7" s="29" t="inlineStr">
        <is>
          <t>9000</t>
        </is>
      </c>
      <c r="B7" s="29" t="inlineStr">
        <is>
          <t>9000-4</t>
        </is>
      </c>
      <c r="C7" s="29" t="inlineStr">
        <is>
          <t>상부강화노반</t>
        </is>
      </c>
      <c r="D7" s="29" t="inlineStr">
        <is>
          <t>9000-4-6</t>
        </is>
      </c>
      <c r="E7" s="102" t="inlineStr">
        <is>
          <t>9000-4-3</t>
        </is>
      </c>
      <c r="F7" s="102" t="inlineStr">
        <is>
          <t>9000-4-8</t>
        </is>
      </c>
      <c r="G7" s="32" t="inlineStr">
        <is>
          <t>용지보상RISK 검토</t>
        </is>
      </c>
      <c r="H7" s="33" t="inlineStr">
        <is>
          <t>D-40 (D-60~D-40)</t>
        </is>
      </c>
      <c r="I7" s="33" t="inlineStr">
        <is>
          <t>현장 공사팀</t>
        </is>
      </c>
      <c r="J7" s="34" t="inlineStr">
        <is>
          <t>본 과업은 미보상 사유지 및 민원 구역 현출을 통해 공사 진입 차단 및 공기 지연 리스크를 사전에 식별하고, 우회 토공 동선 확보 및 현장 안전 펜스 설치 등 원활한 공사 추진 환경을 조성하는 것을 목적으로 함.</t>
        </is>
      </c>
      <c r="K7" s="34" t="inlineStr">
        <is>
          <t>1) 미보상 사유지 필지 추출 ➔ 2) 경계 가설 펜스(H=1.8m) 차단 ➔ 3) 3D 우회 토공 동선 수립 ➔ 4) 용지 보상 리스크 대책 감리 승인</t>
        </is>
      </c>
      <c r="L7" s="34" t="inlineStr">
        <is>
          <t>미보상 사유지 경계 현출, 가설 펜스(H=1.8m) 차단 및 3D 우회 토공 동선 마일스톤 연동</t>
        </is>
      </c>
      <c r="M7" s="34" t="inlineStr">
        <is>
          <t>본 과업은 미보상 사유지 및 민원 구역 현출을 통해 공사 진입 차단 및 공기 지연 리스크를 사전에 식별하고, 우회 토공 동선 확보 및 현장 안전 펜스 설치 등 원활한 공사 추진 환경을 조성하는 것을 목적으로 함.</t>
        </is>
      </c>
      <c r="N7" s="35">
        <f>HYPERLINK(LEFT(CELL("filename",A1),FIND("[",CELL("filename",A1))-1)&amp;"4.상부강화노반\6_용지보상RISK 검토\표준서\용지보상RISK 검토_표준서.html", "👉 [클릭] 표준서 열기 📄")</f>
        <v/>
      </c>
      <c r="O7" s="34" t="inlineStr">
        <is>
          <t>1) 미보상 사유지 필지 추출 ➔ 2) 경계 가설 펜스(H=1.8m) 차단 ➔ 3) 3D 우회 토공 동선 수립 ➔ 4) 용지 보상 리스크 대책 감리 승인</t>
        </is>
      </c>
      <c r="P7" s="36">
        <f>HYPERLINK(LEFT(CELL("filename",A1),FIND("[",CELL("filename",A1))-1)&amp;"4.상부강화노반\6_용지보상RISK 검토\수행지침\용지보상RISK 검토_수행지침.html", "👉 [클릭] 수행지침 열기 📄")</f>
        <v/>
      </c>
      <c r="Q7" s="34" t="inlineStr">
        <is>
          <t>미보상 사유지 경계 현출, 가설 펜스(H=1.8m) 차단 및 3D 우회 토공 동선 마일스톤 연동</t>
        </is>
      </c>
      <c r="R7" s="37">
        <f>HYPERLINK(LEFT(CELL("filename",A1),FIND("[",CELL("filename",A1))-1)&amp;"4.상부강화노반\6_용지보상RISK 검토\체크리스트\용지보상RISK 검토_체크리스트.html", "👉 [클릭] 체크리스트 열기 📄")</f>
        <v/>
      </c>
      <c r="S7" s="33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8" t="n"/>
      <c r="EB7" s="18" t="n"/>
      <c r="EC7" s="18" t="n"/>
      <c r="ED7" s="18" t="n"/>
      <c r="EE7" s="18" t="n"/>
      <c r="EF7" s="18" t="n"/>
      <c r="EG7" s="18" t="n"/>
      <c r="EH7" s="18" t="n"/>
      <c r="EI7" s="18" t="n"/>
      <c r="EJ7" s="18" t="n"/>
      <c r="EK7" s="18" t="n"/>
      <c r="EL7" s="18" t="n"/>
      <c r="EM7" s="18" t="n"/>
      <c r="EN7" s="18" t="n"/>
      <c r="EO7" s="18" t="n"/>
      <c r="EP7" s="18" t="n"/>
      <c r="EQ7" s="18" t="n"/>
      <c r="ER7" s="18" t="n"/>
      <c r="ES7" s="18" t="n"/>
      <c r="ET7" s="18" t="n"/>
      <c r="EU7" s="18" t="n"/>
      <c r="EV7" s="18" t="n"/>
      <c r="EW7" s="18" t="n"/>
      <c r="EX7" s="18" t="n"/>
      <c r="EY7" s="18" t="n"/>
      <c r="EZ7" s="18" t="n"/>
      <c r="FA7" s="18" t="n"/>
      <c r="FB7" s="18" t="n"/>
      <c r="FC7" s="18" t="n"/>
      <c r="FD7" s="18" t="n"/>
      <c r="FE7" s="18" t="n"/>
      <c r="FF7" s="18" t="n"/>
      <c r="FG7" s="18" t="n"/>
      <c r="FH7" s="18" t="n"/>
      <c r="FI7" s="18" t="n"/>
      <c r="FJ7" s="18" t="n"/>
      <c r="FK7" s="18" t="n"/>
      <c r="FL7" s="18" t="n"/>
      <c r="FM7" s="18" t="n"/>
      <c r="FN7" s="18" t="n"/>
      <c r="FO7" s="18" t="n"/>
      <c r="FP7" s="18" t="n"/>
      <c r="FQ7" s="18" t="n"/>
      <c r="FR7" s="18" t="n"/>
      <c r="FS7" s="18" t="n"/>
      <c r="FT7" s="18" t="n"/>
      <c r="FU7" s="18" t="n"/>
      <c r="FV7" s="18" t="n"/>
      <c r="FW7" s="18" t="n"/>
      <c r="FX7" s="18" t="n"/>
      <c r="FY7" s="18" t="n"/>
      <c r="FZ7" s="18" t="n"/>
      <c r="GA7" s="18" t="n"/>
      <c r="GB7" s="18" t="n"/>
      <c r="GC7" s="18" t="n"/>
      <c r="GD7" s="18" t="n"/>
      <c r="GE7" s="18" t="n"/>
      <c r="GF7" s="18" t="n"/>
      <c r="GG7" s="18" t="n"/>
      <c r="GH7" s="18" t="n"/>
      <c r="GI7" s="18" t="n"/>
    </row>
    <row r="8" ht="52.05" customHeight="1" s="88">
      <c r="A8" s="19" t="inlineStr">
        <is>
          <t>9000</t>
        </is>
      </c>
      <c r="B8" s="19" t="inlineStr">
        <is>
          <t>9000-4</t>
        </is>
      </c>
      <c r="C8" s="19" t="inlineStr">
        <is>
          <t>상부강화노반</t>
        </is>
      </c>
      <c r="D8" s="19" t="inlineStr">
        <is>
          <t>9000-4-7</t>
        </is>
      </c>
      <c r="E8" s="95" t="inlineStr">
        <is>
          <t>9000-4-4, 9000-4-5</t>
        </is>
      </c>
      <c r="F8" s="95" t="inlineStr">
        <is>
          <t>9000-4-9, 9000-4-10</t>
        </is>
      </c>
      <c r="G8" s="23" t="inlineStr">
        <is>
          <t>최고의 팀 만들기 지원</t>
        </is>
      </c>
      <c r="H8" s="21" t="inlineStr">
        <is>
          <t>D-50 (D-60~D-50)</t>
        </is>
      </c>
      <c r="I8" s="21" t="inlineStr">
        <is>
          <t>현장 공사팀</t>
        </is>
      </c>
      <c r="J8" s="24" t="inlineStr">
        <is>
          <t>본 과업은 발주처, 감리단, 시공사 간 전담 기술 조직을 구성하고 수시 소통 체계를 구축하여, 토공 및 노반 시공 과정에서 발생하는 현장 문제에 즉각 대응하고 고품질·무재해 현장을 구현하는 것을 목적으로 함.</t>
        </is>
      </c>
      <c r="K8" s="24" t="inlineStr">
        <is>
          <t>1) 전담 기술자 1:1 배치 ➔ 2) 3자 주간 소통 회의 개최 ➔ 3) 근로자 환경 개선 &amp; TBM ➔ 4) One-Team 전담 조직표 서면 승인</t>
        </is>
      </c>
      <c r="L8" s="24" t="inlineStr">
        <is>
          <t>토공 전담 기술자 1:1 배치, 발주·감리·시공 3자 주간 소통 회의 및 일일 TBM/복지 지원</t>
        </is>
      </c>
      <c r="M8" s="24" t="inlineStr">
        <is>
          <t>본 과업은 발주처, 감리단, 시공사 간 전담 기술 조직을 구성하고 수시 소통 체계를 구축하여, 토공 및 노반 시공 과정에서 발생하는 현장 문제에 즉각 대응하고 고품질·무재해 현장을 구현하는 것을 목적으로 함.</t>
        </is>
      </c>
      <c r="N8" s="25">
        <f>HYPERLINK(LEFT(CELL("filename",A1),FIND("[",CELL("filename",A1))-1)&amp;"4.상부강화노반\7_최고의 팀 만들기 지원\표준서\최고의 팀 만들기 지원_표준서.html", "👉 [클릭] 표준서 열기 📄")</f>
        <v/>
      </c>
      <c r="O8" s="24" t="inlineStr">
        <is>
          <t>1) 전담 기술자 1:1 배치 ➔ 2) 3자 주간 소통 회의 개최 ➔ 3) 근로자 환경 개선 &amp; TBM ➔ 4) One-Team 전담 조직표 서면 승인</t>
        </is>
      </c>
      <c r="P8" s="26">
        <f>HYPERLINK(LEFT(CELL("filename",A1),FIND("[",CELL("filename",A1))-1)&amp;"4.상부강화노반\7_최고의 팀 만들기 지원\수행지침\최고의 팀 만들기 지원_수행지침.html", "👉 [클릭] 수행지침 열기 📄")</f>
        <v/>
      </c>
      <c r="Q8" s="24" t="inlineStr">
        <is>
          <t>토공 전담 기술자 1:1 배치, 발주·감리·시공 3자 주간 소통 회의 및 일일 TBM/복지 지원</t>
        </is>
      </c>
      <c r="R8" s="27">
        <f>HYPERLINK(LEFT(CELL("filename",A1),FIND("[",CELL("filename",A1))-1)&amp;"4.상부강화노반\7_최고의 팀 만들기 지원\체크리스트\최고의 팀 만들기 지원_체크리스트.html", "👉 [클릭] 체크리스트 열기 📄")</f>
        <v/>
      </c>
      <c r="S8" s="21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8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  <c r="EN8" s="18" t="n"/>
      <c r="EO8" s="18" t="n"/>
      <c r="EP8" s="18" t="n"/>
      <c r="EQ8" s="18" t="n"/>
      <c r="ER8" s="18" t="n"/>
      <c r="ES8" s="18" t="n"/>
      <c r="ET8" s="18" t="n"/>
      <c r="EU8" s="18" t="n"/>
      <c r="EV8" s="18" t="n"/>
      <c r="EW8" s="18" t="n"/>
      <c r="EX8" s="18" t="n"/>
      <c r="EY8" s="18" t="n"/>
      <c r="EZ8" s="18" t="n"/>
      <c r="FA8" s="18" t="n"/>
      <c r="FB8" s="18" t="n"/>
      <c r="FC8" s="18" t="n"/>
      <c r="FD8" s="18" t="n"/>
      <c r="FE8" s="18" t="n"/>
      <c r="FF8" s="18" t="n"/>
      <c r="FG8" s="18" t="n"/>
      <c r="FH8" s="18" t="n"/>
      <c r="FI8" s="18" t="n"/>
      <c r="FJ8" s="18" t="n"/>
      <c r="FK8" s="18" t="n"/>
      <c r="FL8" s="18" t="n"/>
      <c r="FM8" s="18" t="n"/>
      <c r="FN8" s="18" t="n"/>
      <c r="FO8" s="18" t="n"/>
      <c r="FP8" s="18" t="n"/>
      <c r="FQ8" s="18" t="n"/>
      <c r="FR8" s="18" t="n"/>
      <c r="FS8" s="18" t="n"/>
      <c r="FT8" s="18" t="n"/>
      <c r="FU8" s="18" t="n"/>
      <c r="FV8" s="18" t="n"/>
      <c r="FW8" s="18" t="n"/>
      <c r="FX8" s="18" t="n"/>
      <c r="FY8" s="18" t="n"/>
      <c r="FZ8" s="18" t="n"/>
      <c r="GA8" s="18" t="n"/>
      <c r="GB8" s="18" t="n"/>
      <c r="GC8" s="18" t="n"/>
      <c r="GD8" s="18" t="n"/>
      <c r="GE8" s="18" t="n"/>
      <c r="GF8" s="18" t="n"/>
      <c r="GG8" s="18" t="n"/>
      <c r="GH8" s="18" t="n"/>
      <c r="GI8" s="18" t="n"/>
      <c r="GJ8" s="18" t="n"/>
      <c r="GK8" s="18" t="n"/>
      <c r="GL8" s="18" t="n"/>
      <c r="GM8" s="18" t="n"/>
    </row>
    <row r="9" ht="52.05" customHeight="1" s="88">
      <c r="A9" s="29" t="inlineStr">
        <is>
          <t>9000</t>
        </is>
      </c>
      <c r="B9" s="29" t="inlineStr">
        <is>
          <t>9000-4</t>
        </is>
      </c>
      <c r="C9" s="29" t="inlineStr">
        <is>
          <t>상부강화노반</t>
        </is>
      </c>
      <c r="D9" s="29" t="inlineStr">
        <is>
          <t>9000-4-8</t>
        </is>
      </c>
      <c r="E9" s="102" t="inlineStr">
        <is>
          <t>9000-4-5, 9000-4-6</t>
        </is>
      </c>
      <c r="F9" s="102" t="inlineStr">
        <is>
          <t>9000-4-10</t>
        </is>
      </c>
      <c r="G9" s="32" t="inlineStr">
        <is>
          <t>연약지반 처리공법 검토(필요시)</t>
        </is>
      </c>
      <c r="H9" s="33" t="inlineStr">
        <is>
          <t>D-35 (D-60~D-40)</t>
        </is>
      </c>
      <c r="I9" s="33" t="inlineStr">
        <is>
          <t>현장 공사팀</t>
        </is>
      </c>
      <c r="J9" s="34" t="inlineStr">
        <is>
          <t>본 과업은 지반 조사 결과 연약 지반으로 도출된 구간에 대해 하중 재하 시 예상 침하량을 산출하고, 시공성 및 경제성을 고려한 지반 개량 공법(PVD/DCM 등)을 최종 확정하여 장기 침하를 방지하는 것을 목적으로 함.</t>
        </is>
      </c>
      <c r="K9" s="34" t="inlineStr">
        <is>
          <t>1) 시공계획서 표준 8대 목차 작성 ➔ 2) KCS 47 10 25 수치 명시 ➔ 3) 착공 14일 전 감리단 제출 ➔ 4) 책임감리원 최종 서면 승인</t>
        </is>
      </c>
      <c r="L9" s="34" t="inlineStr">
        <is>
          <t>시공계획서 표준 8대 목차, KCS 47 10 25 다짐 수칙 수록 및 착공 14일 전 감리 서면 승인</t>
        </is>
      </c>
      <c r="M9" s="34" t="inlineStr">
        <is>
          <t>본 과업은 지반 조사 결과 연약 지반으로 도출된 구간에 대해 하중 재하 시 예상 침하량을 산출하고, 시공성 및 경제성을 고려한 지반 개량 공법(PVD/DCM 등)을 최종 확정하여 장기 침하를 방지하는 것을 목적으로 함.</t>
        </is>
      </c>
      <c r="N9" s="35">
        <f>HYPERLINK(LEFT(CELL("filename",A1),FIND("[",CELL("filename",A1))-1)&amp;"4.상부강화노반\8_연약지반 처리공법 검토(필요시)\표준서\연약지반 처리공법 검토_표준서.html", "👉 [클릭] 표준서 열기 📄")</f>
        <v/>
      </c>
      <c r="O9" s="34" t="inlineStr">
        <is>
          <t>1) 시공계획서 표준 8대 목차 작성 ➔ 2) KCS 47 10 25 수치 명시 ➔ 3) 착공 14일 전 감리단 제출 ➔ 4) 책임감리원 최종 서면 승인</t>
        </is>
      </c>
      <c r="P9" s="36">
        <f>HYPERLINK(LEFT(CELL("filename",A1),FIND("[",CELL("filename",A1))-1)&amp;"4.상부강화노반\8_연약지반 처리공법 검토(필요시)\수행지침\연약지반 처리공법 검토_수행지침.html", "👉 [클릭] 수행지침 열기 📄")</f>
        <v/>
      </c>
      <c r="Q9" s="34" t="inlineStr">
        <is>
          <t>시공계획서 표준 8대 목차, KCS 47 10 25 다짐 수칙 수록 및 착공 14일 전 감리 서면 승인</t>
        </is>
      </c>
      <c r="R9" s="37">
        <f>HYPERLINK(LEFT(CELL("filename",A1),FIND("[",CELL("filename",A1))-1)&amp;"4.상부강화노반\8_연약지반 처리공법 검토(필요시)\체크리스트\연약지반 처리공법 검토_체크리스트.html", "👉 [클릭] 체크리스트 열기 📄")</f>
        <v/>
      </c>
      <c r="S9" s="33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8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  <c r="ER9" s="18" t="n"/>
      <c r="ES9" s="18" t="n"/>
      <c r="ET9" s="18" t="n"/>
      <c r="EU9" s="18" t="n"/>
      <c r="EV9" s="18" t="n"/>
      <c r="EW9" s="18" t="n"/>
      <c r="EX9" s="18" t="n"/>
      <c r="EY9" s="18" t="n"/>
      <c r="EZ9" s="18" t="n"/>
      <c r="FA9" s="18" t="n"/>
      <c r="FB9" s="18" t="n"/>
      <c r="FC9" s="18" t="n"/>
      <c r="FD9" s="18" t="n"/>
      <c r="FE9" s="18" t="n"/>
      <c r="FF9" s="18" t="n"/>
      <c r="FG9" s="18" t="n"/>
      <c r="FH9" s="18" t="n"/>
      <c r="FI9" s="18" t="n"/>
      <c r="FJ9" s="18" t="n"/>
      <c r="FK9" s="18" t="n"/>
      <c r="FL9" s="18" t="n"/>
      <c r="FM9" s="18" t="n"/>
      <c r="FN9" s="18" t="n"/>
      <c r="FO9" s="18" t="n"/>
      <c r="FP9" s="18" t="n"/>
      <c r="FQ9" s="18" t="n"/>
      <c r="FR9" s="18" t="n"/>
      <c r="FS9" s="18" t="n"/>
      <c r="FT9" s="18" t="n"/>
      <c r="FU9" s="18" t="n"/>
      <c r="FV9" s="18" t="n"/>
      <c r="FW9" s="18" t="n"/>
      <c r="FX9" s="18" t="n"/>
      <c r="FY9" s="18" t="n"/>
      <c r="FZ9" s="18" t="n"/>
      <c r="GA9" s="18" t="n"/>
      <c r="GB9" s="18" t="n"/>
      <c r="GC9" s="18" t="n"/>
      <c r="GD9" s="18" t="n"/>
      <c r="GE9" s="18" t="n"/>
      <c r="GF9" s="18" t="n"/>
      <c r="GG9" s="18" t="n"/>
      <c r="GH9" s="18" t="n"/>
      <c r="GI9" s="18" t="n"/>
      <c r="GJ9" s="18" t="n"/>
      <c r="GK9" s="18" t="n"/>
      <c r="GL9" s="18" t="n"/>
      <c r="GM9" s="18" t="n"/>
      <c r="GN9" s="18" t="n"/>
      <c r="GO9" s="18" t="n"/>
      <c r="GP9" s="18" t="n"/>
      <c r="GQ9" s="18" t="n"/>
    </row>
    <row r="10" ht="52.05" customHeight="1" s="88">
      <c r="A10" s="19" t="inlineStr">
        <is>
          <t>9000</t>
        </is>
      </c>
      <c r="B10" s="19" t="inlineStr">
        <is>
          <t>9000-4</t>
        </is>
      </c>
      <c r="C10" s="19" t="inlineStr">
        <is>
          <t>상부강화노반</t>
        </is>
      </c>
      <c r="D10" s="19" t="inlineStr">
        <is>
          <t>9000-4-9</t>
        </is>
      </c>
      <c r="E10" s="95" t="inlineStr">
        <is>
          <t>9000-4-7</t>
        </is>
      </c>
      <c r="F10" s="95" t="inlineStr">
        <is>
          <t>9000-4-11, 9000-4-12</t>
        </is>
      </c>
      <c r="G10" s="23" t="inlineStr">
        <is>
          <t>토공 유동표 확인</t>
        </is>
      </c>
      <c r="H10" s="21" t="inlineStr">
        <is>
          <t>D-35 (D-45~D-35)</t>
        </is>
      </c>
      <c r="I10" s="21" t="inlineStr">
        <is>
          <t>현장 공사팀</t>
        </is>
      </c>
      <c r="J10" s="24" t="inlineStr">
        <is>
          <t>본 과업은 트램 노선 전 구간의 굴착 토사 발생량과 성토 필요량을 상호 연계·분석하여, 토사 유입·유출 밸런스를 최적화하고 운반 거리 단축 및 공사비 절감을 달성하는 것을 목적으로 함.</t>
        </is>
      </c>
      <c r="K10" s="24" t="inlineStr">
        <is>
          <t>1) 토공 롤러/그레이더 조종원 자격 검증 ➔ 2) 건설기계 면허증 1:1 대조 ➔ 3) 일일 음주 측정 &amp; Safety TBM ➔ 4) 작업조 편성표 감리 승인</t>
        </is>
      </c>
      <c r="L10" s="24" t="inlineStr">
        <is>
          <t>조종원/기술자 자격 수첩 1:1 대조, 건설기계 면허증 검증 및 일일 음주 측정(0.00%)/TBM</t>
        </is>
      </c>
      <c r="M10" s="24" t="inlineStr">
        <is>
          <t>본 과업은 트램 노선 전 구간의 굴착 토사 발생량과 성토 필요량을 상호 연계·분석하여, 토사 유입·유출 밸런스를 최적화하고 운반 거리 단축 및 공사비 절감을 달성하는 것을 목적으로 함.</t>
        </is>
      </c>
      <c r="N10" s="25">
        <f>HYPERLINK(LEFT(CELL("filename",A1),FIND("[",CELL("filename",A1))-1)&amp;"4.상부강화노반\9_토공 유동표 확인\표준서\토공 유동표 확인_표준서.html", "👉 [클릭] 표준서 열기 📄")</f>
        <v/>
      </c>
      <c r="O10" s="24" t="inlineStr">
        <is>
          <t>1) 토공 롤러/그레이더 조종원 자격 검증 ➔ 2) 건설기계 면허증 1:1 대조 ➔ 3) 일일 음주 측정 &amp; Safety TBM ➔ 4) 작업조 편성표 감리 승인</t>
        </is>
      </c>
      <c r="P10" s="26">
        <f>HYPERLINK(LEFT(CELL("filename",A1),FIND("[",CELL("filename",A1))-1)&amp;"4.상부강화노반\9_토공 유동표 확인\수행지침\토공 유동표 확인_수행지침.html", "👉 [클릭] 수행지침 열기 📄")</f>
        <v/>
      </c>
      <c r="Q10" s="24" t="inlineStr">
        <is>
          <t>조종원/기술자 자격 수첩 1:1 대조, 건설기계 면허증 검증 및 일일 음주 측정(0.00%)/TBM</t>
        </is>
      </c>
      <c r="R10" s="27">
        <f>HYPERLINK(LEFT(CELL("filename",A1),FIND("[",CELL("filename",A1))-1)&amp;"4.상부강화노반\9_토공 유동표 확인\체크리스트\토공 유동표 확인_체크리스트.html", "👉 [클릭] 체크리스트 열기 📄")</f>
        <v/>
      </c>
      <c r="S10" s="21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8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  <c r="EV10" s="18" t="n"/>
      <c r="EW10" s="18" t="n"/>
      <c r="EX10" s="18" t="n"/>
      <c r="EY10" s="18" t="n"/>
      <c r="EZ10" s="18" t="n"/>
      <c r="FA10" s="18" t="n"/>
      <c r="FB10" s="18" t="n"/>
      <c r="FC10" s="18" t="n"/>
      <c r="FD10" s="18" t="n"/>
      <c r="FE10" s="18" t="n"/>
      <c r="FF10" s="18" t="n"/>
      <c r="FG10" s="18" t="n"/>
      <c r="FH10" s="18" t="n"/>
      <c r="FI10" s="18" t="n"/>
      <c r="FJ10" s="18" t="n"/>
      <c r="FK10" s="18" t="n"/>
      <c r="FL10" s="18" t="n"/>
      <c r="FM10" s="18" t="n"/>
      <c r="FN10" s="18" t="n"/>
      <c r="FO10" s="18" t="n"/>
      <c r="FP10" s="18" t="n"/>
      <c r="FQ10" s="18" t="n"/>
      <c r="FR10" s="18" t="n"/>
      <c r="FS10" s="18" t="n"/>
      <c r="FT10" s="18" t="n"/>
      <c r="FU10" s="18" t="n"/>
      <c r="FV10" s="18" t="n"/>
      <c r="FW10" s="18" t="n"/>
      <c r="FX10" s="18" t="n"/>
      <c r="FY10" s="18" t="n"/>
      <c r="FZ10" s="18" t="n"/>
      <c r="GA10" s="18" t="n"/>
      <c r="GB10" s="18" t="n"/>
      <c r="GC10" s="18" t="n"/>
      <c r="GD10" s="18" t="n"/>
      <c r="GE10" s="18" t="n"/>
      <c r="GF10" s="18" t="n"/>
      <c r="GG10" s="18" t="n"/>
      <c r="GH10" s="18" t="n"/>
      <c r="GI10" s="18" t="n"/>
      <c r="GJ10" s="18" t="n"/>
      <c r="GK10" s="18" t="n"/>
      <c r="GL10" s="18" t="n"/>
      <c r="GM10" s="18" t="n"/>
      <c r="GN10" s="18" t="n"/>
      <c r="GO10" s="18" t="n"/>
      <c r="GP10" s="18" t="n"/>
      <c r="GQ10" s="18" t="n"/>
      <c r="GR10" s="18" t="n"/>
      <c r="GS10" s="18" t="n"/>
      <c r="GT10" s="18" t="n"/>
      <c r="GU10" s="18" t="n"/>
    </row>
    <row r="11" ht="52.05" customHeight="1" s="88">
      <c r="A11" s="29" t="inlineStr">
        <is>
          <t>9000</t>
        </is>
      </c>
      <c r="B11" s="29" t="inlineStr">
        <is>
          <t>9000-4</t>
        </is>
      </c>
      <c r="C11" s="29" t="inlineStr">
        <is>
          <t>상부강화노반</t>
        </is>
      </c>
      <c r="D11" s="29" t="inlineStr">
        <is>
          <t>9000-4-10</t>
        </is>
      </c>
      <c r="E11" s="102" t="inlineStr">
        <is>
          <t>9000-4-7, 9000-4-8</t>
        </is>
      </c>
      <c r="F11" s="102" t="inlineStr">
        <is>
          <t>9000-4-12, 9000-4-13</t>
        </is>
      </c>
      <c r="G11" s="32" t="inlineStr">
        <is>
          <t>기공승낙 적정성 검토</t>
        </is>
      </c>
      <c r="H11" s="33" t="inlineStr">
        <is>
          <t>D-30 (D-50~D-30)</t>
        </is>
      </c>
      <c r="I11" s="33" t="inlineStr">
        <is>
          <t>현장 공사팀</t>
        </is>
      </c>
      <c r="J11" s="34" t="inlineStr">
        <is>
          <t>본 과업은 공사 부지 내 국공유지 및 사유지 사용 승인 상태를 사전 검증하여, 시공 중 법적 분쟁이나 장비 진입 차단 등의 공사 중단 리스크를 근본적으로 제거하는 것을 목적으로 함.</t>
        </is>
      </c>
      <c r="K11" s="34" t="inlineStr">
        <is>
          <t>1) 10t+ 강동/타이어 롤러 사양 확정 ➔ 2) 정기검사증 &amp; 등록증 검수 ➔ 3) 3D GPS 수신기/후방 카메라 점검 ➔ 4) 장비 반입 승인서 감리 결재</t>
        </is>
      </c>
      <c r="L11" s="34" t="inlineStr">
        <is>
          <t>자중 10t+ 강동/타이어 롤러 정기검사증, 3D GPS 수신기/후방 카메라 센서 테스트 및 반입 승인</t>
        </is>
      </c>
      <c r="M11" s="34" t="inlineStr">
        <is>
          <t>본 과업은 공사 부지 내 국공유지 및 사유지 사용 승인 상태를 사전 검증하여, 시공 중 법적 분쟁이나 장비 진입 차단 등의 공사 중단 리스크를 근본적으로 제거하는 것을 목적으로 함.</t>
        </is>
      </c>
      <c r="N11" s="35">
        <f>HYPERLINK(LEFT(CELL("filename",A1),FIND("[",CELL("filename",A1))-1)&amp;"4.상부강화노반\10_기공승낙 적정성 검토\표준서\기공승낙 적정성 검토_표준서.html", "👉 [클릭] 표준서 열기 📄")</f>
        <v/>
      </c>
      <c r="O11" s="34" t="inlineStr">
        <is>
          <t>1) 10t+ 강동/타이어 롤러 사양 확정 ➔ 2) 정기검사증 &amp; 등록증 검수 ➔ 3) 3D GPS 수신기/후방 카메라 점검 ➔ 4) 장비 반입 승인서 감리 결재</t>
        </is>
      </c>
      <c r="P11" s="36">
        <f>HYPERLINK(LEFT(CELL("filename",A1),FIND("[",CELL("filename",A1))-1)&amp;"4.상부강화노반\10_기공승낙 적정성 검토\수행지침\기공승낙 적정성 검토_수행지침.html", "👉 [클릭] 수행지침 열기 📄")</f>
        <v/>
      </c>
      <c r="Q11" s="34" t="inlineStr">
        <is>
          <t>자중 10t+ 강동/타이어 롤러 정기검사증, 3D GPS 수신기/후방 카메라 센서 테스트 및 반입 승인</t>
        </is>
      </c>
      <c r="R11" s="37">
        <f>HYPERLINK(LEFT(CELL("filename",A1),FIND("[",CELL("filename",A1))-1)&amp;"4.상부강화노반\10_기공승낙 적정성 검토\체크리스트\기공승낙 적정성 검토_체크리스트.html", "👉 [클릭] 체크리스트 열기 📄")</f>
        <v/>
      </c>
      <c r="S11" s="33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8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8" t="n"/>
      <c r="EY11" s="18" t="n"/>
      <c r="EZ11" s="18" t="n"/>
      <c r="FA11" s="18" t="n"/>
      <c r="FB11" s="18" t="n"/>
      <c r="FC11" s="18" t="n"/>
      <c r="FD11" s="18" t="n"/>
      <c r="FE11" s="18" t="n"/>
      <c r="FF11" s="18" t="n"/>
      <c r="FG11" s="18" t="n"/>
      <c r="FH11" s="18" t="n"/>
      <c r="FI11" s="18" t="n"/>
      <c r="FJ11" s="18" t="n"/>
      <c r="FK11" s="18" t="n"/>
      <c r="FL11" s="18" t="n"/>
      <c r="FM11" s="18" t="n"/>
      <c r="FN11" s="18" t="n"/>
      <c r="FO11" s="18" t="n"/>
      <c r="FP11" s="18" t="n"/>
      <c r="FQ11" s="18" t="n"/>
      <c r="FR11" s="18" t="n"/>
      <c r="FS11" s="18" t="n"/>
      <c r="FT11" s="18" t="n"/>
      <c r="FU11" s="18" t="n"/>
      <c r="FV11" s="18" t="n"/>
      <c r="FW11" s="18" t="n"/>
      <c r="FX11" s="18" t="n"/>
      <c r="FY11" s="18" t="n"/>
      <c r="FZ11" s="18" t="n"/>
      <c r="GA11" s="18" t="n"/>
      <c r="GB11" s="18" t="n"/>
      <c r="GC11" s="18" t="n"/>
      <c r="GD11" s="18" t="n"/>
      <c r="GE11" s="18" t="n"/>
      <c r="GF11" s="18" t="n"/>
      <c r="GG11" s="18" t="n"/>
      <c r="GH11" s="18" t="n"/>
      <c r="GI11" s="18" t="n"/>
      <c r="GJ11" s="18" t="n"/>
      <c r="GK11" s="18" t="n"/>
      <c r="GL11" s="18" t="n"/>
      <c r="GM11" s="18" t="n"/>
      <c r="GN11" s="18" t="n"/>
      <c r="GO11" s="18" t="n"/>
      <c r="GP11" s="18" t="n"/>
      <c r="GQ11" s="18" t="n"/>
      <c r="GR11" s="18" t="n"/>
      <c r="GS11" s="18" t="n"/>
      <c r="GT11" s="18" t="n"/>
      <c r="GU11" s="18" t="n"/>
      <c r="GV11" s="18" t="n"/>
      <c r="GW11" s="18" t="n"/>
      <c r="GX11" s="18" t="n"/>
      <c r="GY11" s="18" t="n"/>
    </row>
    <row r="12" ht="52.05" customHeight="1" s="88">
      <c r="A12" s="19" t="inlineStr">
        <is>
          <t>9000</t>
        </is>
      </c>
      <c r="B12" s="19" t="inlineStr">
        <is>
          <t>9000-4</t>
        </is>
      </c>
      <c r="C12" s="19" t="inlineStr">
        <is>
          <t>상부강화노반</t>
        </is>
      </c>
      <c r="D12" s="19" t="inlineStr">
        <is>
          <t>9000-4-11</t>
        </is>
      </c>
      <c r="E12" s="95" t="inlineStr">
        <is>
          <t>9000-4-9</t>
        </is>
      </c>
      <c r="F12" s="95" t="inlineStr">
        <is>
          <t>9000-4-14</t>
        </is>
      </c>
      <c r="G12" s="23" t="inlineStr">
        <is>
          <t>폐기물처리계획 수립</t>
        </is>
      </c>
      <c r="H12" s="21" t="inlineStr">
        <is>
          <t>D-30 (D-40~D-30)</t>
        </is>
      </c>
      <c r="I12" s="21" t="inlineStr">
        <is>
          <t>현장 공사팀</t>
        </is>
      </c>
      <c r="J12" s="24" t="inlineStr">
        <is>
          <t>본 과업은 건설 굴착 시 발생하는 토사, 아스콘, 콘크리트 폐기물의 성상을 분류하고 관련 법령에 따른 적정 처리 절차를 수립하여, 환경 오염 예방 및 법적 위반 리스크를 차단하는 것을 목적으로 함.</t>
        </is>
      </c>
      <c r="K12" s="24" t="inlineStr">
        <is>
          <t>1) 석산 공급원 사전 승인 수속 ➔ 2) 쇄석 입도(Dmax 50mm) 체가름 시험 ➔ 3) 수정다짐 CBR(≥30%) 성적 산출 ➔ 4) 노반 재료 입도 DB 감리 승인</t>
        </is>
      </c>
      <c r="L12" s="24" t="inlineStr">
        <is>
          <t>쇄석 최대입경(Dmax ≤ 50mm), #200체 통과량(≤ 5%) 및 수정다짐 CBR(≥ 30%) 성적서 DB</t>
        </is>
      </c>
      <c r="M12" s="24" t="inlineStr">
        <is>
          <t>본 과업은 건설 굴착 시 발생하는 토사, 아스콘, 콘크리트 폐기물의 성상을 분류하고 관련 법령에 따른 적정 처리 절차를 수립하여, 환경 오염 예방 및 법적 위반 리스크를 차단하는 것을 목적으로 함.</t>
        </is>
      </c>
      <c r="N12" s="25">
        <f>HYPERLINK(LEFT(CELL("filename",A1),FIND("[",CELL("filename",A1))-1)&amp;"4.상부강화노반\11_폐기물처리계획 수립\표준서\폐기물처리계획 수립_표준서.html", "👉 [클릭] 표준서 열기 📄")</f>
        <v/>
      </c>
      <c r="O12" s="24" t="inlineStr">
        <is>
          <t>1) 석산 공급원 사전 승인 수속 ➔ 2) 쇄석 입도(Dmax 50mm) 체가름 시험 ➔ 3) 수정다짐 CBR(≥30%) 성적 산출 ➔ 4) 노반 재료 입도 DB 감리 승인</t>
        </is>
      </c>
      <c r="P12" s="26">
        <f>HYPERLINK(LEFT(CELL("filename",A1),FIND("[",CELL("filename",A1))-1)&amp;"4.상부강화노반\11_폐기물처리계획 수립\수행지침\폐기물처리계획 수립_수행지침.html", "👉 [클릭] 수행지침 열기 📄")</f>
        <v/>
      </c>
      <c r="Q12" s="24" t="inlineStr">
        <is>
          <t>쇄석 최대입경(Dmax ≤ 50mm), #200체 통과량(≤ 5%) 및 수정다짐 CBR(≥ 30%) 성적서 DB</t>
        </is>
      </c>
      <c r="R12" s="27">
        <f>HYPERLINK(LEFT(CELL("filename",A1),FIND("[",CELL("filename",A1))-1)&amp;"4.상부강화노반\11_폐기물처리계획 수립\체크리스트\폐기물처리계획 수립_체크리스트.html", "👉 [클릭] 체크리스트 열기 📄")</f>
        <v/>
      </c>
      <c r="S12" s="2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8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8" t="n"/>
      <c r="EY12" s="18" t="n"/>
      <c r="EZ12" s="18" t="n"/>
      <c r="FA12" s="18" t="n"/>
      <c r="FB12" s="18" t="n"/>
      <c r="FC12" s="18" t="n"/>
      <c r="FD12" s="18" t="n"/>
      <c r="FE12" s="18" t="n"/>
      <c r="FF12" s="18" t="n"/>
      <c r="FG12" s="18" t="n"/>
      <c r="FH12" s="18" t="n"/>
      <c r="FI12" s="18" t="n"/>
      <c r="FJ12" s="18" t="n"/>
      <c r="FK12" s="18" t="n"/>
      <c r="FL12" s="18" t="n"/>
      <c r="FM12" s="18" t="n"/>
      <c r="FN12" s="18" t="n"/>
      <c r="FO12" s="18" t="n"/>
      <c r="FP12" s="18" t="n"/>
      <c r="FQ12" s="18" t="n"/>
      <c r="FR12" s="18" t="n"/>
      <c r="FS12" s="18" t="n"/>
      <c r="FT12" s="18" t="n"/>
      <c r="FU12" s="18" t="n"/>
      <c r="FV12" s="18" t="n"/>
      <c r="FW12" s="18" t="n"/>
      <c r="FX12" s="18" t="n"/>
      <c r="FY12" s="18" t="n"/>
      <c r="FZ12" s="18" t="n"/>
      <c r="GA12" s="18" t="n"/>
      <c r="GB12" s="18" t="n"/>
      <c r="GC12" s="18" t="n"/>
      <c r="GD12" s="18" t="n"/>
      <c r="GE12" s="18" t="n"/>
      <c r="GF12" s="18" t="n"/>
      <c r="GG12" s="18" t="n"/>
      <c r="GH12" s="18" t="n"/>
      <c r="GI12" s="18" t="n"/>
      <c r="GJ12" s="18" t="n"/>
      <c r="GK12" s="18" t="n"/>
      <c r="GL12" s="18" t="n"/>
      <c r="GM12" s="18" t="n"/>
      <c r="GN12" s="18" t="n"/>
      <c r="GO12" s="18" t="n"/>
      <c r="GP12" s="18" t="n"/>
      <c r="GQ12" s="18" t="n"/>
      <c r="GR12" s="18" t="n"/>
      <c r="GS12" s="18" t="n"/>
      <c r="GT12" s="18" t="n"/>
      <c r="GU12" s="18" t="n"/>
      <c r="GV12" s="18" t="n"/>
      <c r="GW12" s="18" t="n"/>
      <c r="GX12" s="18" t="n"/>
      <c r="GY12" s="18" t="n"/>
      <c r="GZ12" s="18" t="n"/>
      <c r="HA12" s="18" t="n"/>
      <c r="HB12" s="18" t="n"/>
      <c r="HC12" s="18" t="n"/>
    </row>
    <row r="13" ht="52.05" customHeight="1" s="88">
      <c r="A13" s="29" t="inlineStr">
        <is>
          <t>9000</t>
        </is>
      </c>
      <c r="B13" s="29" t="inlineStr">
        <is>
          <t>9000-4</t>
        </is>
      </c>
      <c r="C13" s="29" t="inlineStr">
        <is>
          <t>상부강화노반</t>
        </is>
      </c>
      <c r="D13" s="29" t="inlineStr">
        <is>
          <t>9000-4-12</t>
        </is>
      </c>
      <c r="E13" s="102" t="inlineStr">
        <is>
          <t>9000-4-9, 9000-4-10</t>
        </is>
      </c>
      <c r="F13" s="102" t="inlineStr">
        <is>
          <t>9000-4-14, 9000-4-15</t>
        </is>
      </c>
      <c r="G13" s="32" t="inlineStr">
        <is>
          <t>철도운행협의(필요시)</t>
        </is>
      </c>
      <c r="H13" s="33" t="inlineStr">
        <is>
          <t>D-30 (D-40~D-30)</t>
        </is>
      </c>
      <c r="I13" s="33" t="inlineStr">
        <is>
          <t>현장 공사팀</t>
        </is>
      </c>
      <c r="J13" s="34" t="inlineStr">
        <is>
          <t>본 과업은 운행선 인접 공사 시 열차 운행 시간표와 공사 작업 시간을 정밀 조정하여, 열차 정시 운행 보장 및 작업자 안전을 확보하는 것을 목적으로 함.</t>
        </is>
      </c>
      <c r="K13" s="34" t="inlineStr">
        <is>
          <t>1) 화성시 정식 사토장 허가 검증 ➔ 2) γd max ≥ 1.90g/cm³ &amp; 오염 시험 ➔ 3) 덤프 운행 송장 일일 집계 ➔ 4) 사토 계획서 감리 서면 승인</t>
        </is>
      </c>
      <c r="L13" s="34" t="inlineStr">
        <is>
          <t>화성시 정식 사토장 인허가, 최대건조밀도 γd max ≥ 1.90g/cm³ 및 토양오염 8개 항목 검사 합격</t>
        </is>
      </c>
      <c r="M13" s="34" t="inlineStr">
        <is>
          <t>본 과업은 운행선 인접 공사 시 열차 운행 시간표와 공사 작업 시간을 정밀 조정하여, 열차 정시 운행 보장 및 작업자 안전을 확보하는 것을 목적으로 함.</t>
        </is>
      </c>
      <c r="N13" s="35">
        <f>HYPERLINK(LEFT(CELL("filename",A1),FIND("[",CELL("filename",A1))-1)&amp;"4.상부강화노반\12_철도운행협의(필요시)\표준서\철도운행협의_표준서.html", "👉 [클릭] 표준서 열기 📄")</f>
        <v/>
      </c>
      <c r="O13" s="34" t="inlineStr">
        <is>
          <t>1) 화성시 정식 사토장 허가 검증 ➔ 2) γd max ≥ 1.90g/cm³ &amp; 오염 시험 ➔ 3) 덤프 운행 송장 일일 집계 ➔ 4) 사토 계획서 감리 서면 승인</t>
        </is>
      </c>
      <c r="P13" s="36">
        <f>HYPERLINK(LEFT(CELL("filename",A1),FIND("[",CELL("filename",A1))-1)&amp;"4.상부강화노반\12_철도운행협의(필요시)\수행지침\철도운행협의_수행지침.html", "👉 [클릭] 수행지침 열기 📄")</f>
        <v/>
      </c>
      <c r="Q13" s="34" t="inlineStr">
        <is>
          <t>화성시 정식 사토장 인허가, 최대건조밀도 γd max ≥ 1.90g/cm³ 및 토양오염 8개 항목 검사 합격</t>
        </is>
      </c>
      <c r="R13" s="37">
        <f>HYPERLINK(LEFT(CELL("filename",A1),FIND("[",CELL("filename",A1))-1)&amp;"4.상부강화노반\12_철도운행협의(필요시)\체크리스트\철도운행협의_체크리스트.html", "👉 [클릭] 체크리스트 열기 📄")</f>
        <v/>
      </c>
      <c r="S13" s="33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Y13" s="18" t="n"/>
      <c r="DZ13" s="18" t="n"/>
      <c r="EA13" s="18" t="n"/>
      <c r="EB13" s="18" t="n"/>
      <c r="EC13" s="18" t="n"/>
      <c r="ED13" s="18" t="n"/>
      <c r="EE13" s="18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P13" s="18" t="n"/>
      <c r="EQ13" s="18" t="n"/>
      <c r="ER13" s="18" t="n"/>
      <c r="ES13" s="18" t="n"/>
      <c r="ET13" s="18" t="n"/>
      <c r="EU13" s="18" t="n"/>
      <c r="EV13" s="18" t="n"/>
      <c r="EW13" s="18" t="n"/>
      <c r="EX13" s="18" t="n"/>
      <c r="EY13" s="18" t="n"/>
      <c r="EZ13" s="18" t="n"/>
      <c r="FA13" s="18" t="n"/>
      <c r="FB13" s="18" t="n"/>
      <c r="FC13" s="18" t="n"/>
      <c r="FD13" s="18" t="n"/>
      <c r="FE13" s="18" t="n"/>
      <c r="FF13" s="18" t="n"/>
      <c r="FG13" s="18" t="n"/>
      <c r="FH13" s="18" t="n"/>
      <c r="FI13" s="18" t="n"/>
      <c r="FJ13" s="18" t="n"/>
      <c r="FK13" s="18" t="n"/>
      <c r="FL13" s="18" t="n"/>
      <c r="FM13" s="18" t="n"/>
      <c r="FN13" s="18" t="n"/>
      <c r="FO13" s="18" t="n"/>
      <c r="FP13" s="18" t="n"/>
      <c r="FQ13" s="18" t="n"/>
      <c r="FR13" s="18" t="n"/>
      <c r="FS13" s="18" t="n"/>
      <c r="FT13" s="18" t="n"/>
      <c r="FU13" s="18" t="n"/>
      <c r="FV13" s="18" t="n"/>
      <c r="FW13" s="18" t="n"/>
      <c r="FX13" s="18" t="n"/>
      <c r="FY13" s="18" t="n"/>
      <c r="FZ13" s="18" t="n"/>
      <c r="GA13" s="18" t="n"/>
      <c r="GB13" s="18" t="n"/>
      <c r="GC13" s="18" t="n"/>
      <c r="GD13" s="18" t="n"/>
      <c r="GE13" s="18" t="n"/>
      <c r="GF13" s="18" t="n"/>
      <c r="GG13" s="18" t="n"/>
      <c r="GH13" s="18" t="n"/>
      <c r="GI13" s="18" t="n"/>
      <c r="GJ13" s="18" t="n"/>
      <c r="GK13" s="18" t="n"/>
      <c r="GL13" s="18" t="n"/>
      <c r="GM13" s="18" t="n"/>
      <c r="GN13" s="18" t="n"/>
      <c r="GO13" s="18" t="n"/>
      <c r="GP13" s="18" t="n"/>
      <c r="GQ13" s="18" t="n"/>
      <c r="GR13" s="18" t="n"/>
      <c r="GS13" s="18" t="n"/>
      <c r="GT13" s="18" t="n"/>
      <c r="GU13" s="18" t="n"/>
      <c r="GV13" s="18" t="n"/>
      <c r="GW13" s="18" t="n"/>
      <c r="GX13" s="18" t="n"/>
      <c r="GY13" s="18" t="n"/>
      <c r="GZ13" s="18" t="n"/>
      <c r="HA13" s="18" t="n"/>
      <c r="HB13" s="18" t="n"/>
      <c r="HC13" s="18" t="n"/>
      <c r="HD13" s="18" t="n"/>
      <c r="HE13" s="18" t="n"/>
      <c r="HF13" s="18" t="n"/>
      <c r="HG13" s="18" t="n"/>
    </row>
    <row r="14" ht="52.05" customHeight="1" s="88">
      <c r="A14" s="19" t="inlineStr">
        <is>
          <t>9000</t>
        </is>
      </c>
      <c r="B14" s="19" t="inlineStr">
        <is>
          <t>9000-4</t>
        </is>
      </c>
      <c r="C14" s="19" t="inlineStr">
        <is>
          <t>상부강화노반</t>
        </is>
      </c>
      <c r="D14" s="19" t="inlineStr">
        <is>
          <t>9000-4-13</t>
        </is>
      </c>
      <c r="E14" s="95" t="inlineStr">
        <is>
          <t>9000-4-10</t>
        </is>
      </c>
      <c r="F14" s="95" t="inlineStr">
        <is>
          <t>9000-4-15</t>
        </is>
      </c>
      <c r="G14" s="23" t="inlineStr">
        <is>
          <t>작수전 Big Room 회의</t>
        </is>
      </c>
      <c r="H14" s="21" t="inlineStr">
        <is>
          <t>D-40</t>
        </is>
      </c>
      <c r="I14" s="21" t="inlineStr">
        <is>
          <t>현장 공사팀</t>
        </is>
      </c>
      <c r="J14" s="24" t="inlineStr">
        <is>
          <t>본 과업은 공사 착수 전 분야별(토목, 궤도, 건축, 신호, 전력) 전문가가 한자리에 모여 3D BIM 기반으로 설계 간섭 및 시공 위험 요소를 사전에 발굴·해소하는 것을 목적으로 함.</t>
        </is>
      </c>
      <c r="K14" s="24" t="inlineStr">
        <is>
          <t>1) 가배수로(0.6×0.6m) &amp; 가침사지 설계 ➔ 2) HDPE 유공관(Ø200mm) 자재 검수 ➔ 3) 비상 양수 펌프(200L/min) 비치 ➔ 4) 배수 처리 계획서 감리 승인</t>
        </is>
      </c>
      <c r="L14" s="24" t="inlineStr">
        <is>
          <t>성토 사면 가배수로(0.6×0.6m), 가침사지 2개소 및 HDPE 유공관(Ø200mm, 구배 ≥ 0.5%) 설치</t>
        </is>
      </c>
      <c r="M14" s="24" t="inlineStr">
        <is>
          <t>본 과업은 공사 착수 전 분야별(토목, 궤도, 건축, 신호, 전력) 전문가가 한자리에 모여 3D BIM 기반으로 설계 간섭 및 시공 위험 요소를 사전에 발굴·해소하는 것을 목적으로 함.</t>
        </is>
      </c>
      <c r="N14" s="25">
        <f>HYPERLINK(LEFT(CELL("filename",A1),FIND("[",CELL("filename",A1))-1)&amp;"4.상부강화노반\13_작수전 Big Room 회의\표준서\작수전 Big Room 회의_표준서.html", "👉 [클릭] 표준서 열기 📄")</f>
        <v/>
      </c>
      <c r="O14" s="24" t="inlineStr">
        <is>
          <t>1) 가배수로(0.6×0.6m) &amp; 가침사지 설계 ➔ 2) HDPE 유공관(Ø200mm) 자재 검수 ➔ 3) 비상 양수 펌프(200L/min) 비치 ➔ 4) 배수 처리 계획서 감리 승인</t>
        </is>
      </c>
      <c r="P14" s="26">
        <f>HYPERLINK(LEFT(CELL("filename",A1),FIND("[",CELL("filename",A1))-1)&amp;"4.상부강화노반\13_작수전 Big Room 회의\수행지침\작수전 Big Room 회의_수행지침.html", "👉 [클릭] 수행지침 열기 📄")</f>
        <v/>
      </c>
      <c r="Q14" s="24" t="inlineStr">
        <is>
          <t>성토 사면 가배수로(0.6×0.6m), 가침사지 2개소 및 HDPE 유공관(Ø200mm, 구배 ≥ 0.5%) 설치</t>
        </is>
      </c>
      <c r="R14" s="27">
        <f>HYPERLINK(LEFT(CELL("filename",A1),FIND("[",CELL("filename",A1))-1)&amp;"4.상부강화노반\13_작수전 Big Room 회의\체크리스트\작수전 Big Room 회의_체크리스트.html", "👉 [클릭] 체크리스트 열기 📄")</f>
        <v/>
      </c>
      <c r="S14" s="2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Y14" s="18" t="n"/>
      <c r="DZ14" s="18" t="n"/>
      <c r="EA14" s="18" t="n"/>
      <c r="EB14" s="18" t="n"/>
      <c r="EC14" s="18" t="n"/>
      <c r="ED14" s="18" t="n"/>
      <c r="EE14" s="18" t="n"/>
      <c r="EF14" s="18" t="n"/>
      <c r="EG14" s="18" t="n"/>
      <c r="EH14" s="18" t="n"/>
      <c r="EI14" s="18" t="n"/>
      <c r="EJ14" s="18" t="n"/>
      <c r="EK14" s="18" t="n"/>
      <c r="EL14" s="18" t="n"/>
      <c r="EM14" s="18" t="n"/>
      <c r="EN14" s="18" t="n"/>
      <c r="EO14" s="18" t="n"/>
      <c r="EP14" s="18" t="n"/>
      <c r="EQ14" s="18" t="n"/>
      <c r="ER14" s="18" t="n"/>
      <c r="ES14" s="18" t="n"/>
      <c r="ET14" s="18" t="n"/>
      <c r="EU14" s="18" t="n"/>
      <c r="EV14" s="18" t="n"/>
      <c r="EW14" s="18" t="n"/>
      <c r="EX14" s="18" t="n"/>
      <c r="EY14" s="18" t="n"/>
      <c r="EZ14" s="18" t="n"/>
      <c r="FA14" s="18" t="n"/>
      <c r="FB14" s="18" t="n"/>
      <c r="FC14" s="18" t="n"/>
      <c r="FD14" s="18" t="n"/>
      <c r="FE14" s="18" t="n"/>
      <c r="FF14" s="18" t="n"/>
      <c r="FG14" s="18" t="n"/>
      <c r="FH14" s="18" t="n"/>
      <c r="FI14" s="18" t="n"/>
      <c r="FJ14" s="18" t="n"/>
      <c r="FK14" s="18" t="n"/>
      <c r="FL14" s="18" t="n"/>
      <c r="FM14" s="18" t="n"/>
      <c r="FN14" s="18" t="n"/>
      <c r="FO14" s="18" t="n"/>
      <c r="FP14" s="18" t="n"/>
      <c r="FQ14" s="18" t="n"/>
      <c r="FR14" s="18" t="n"/>
      <c r="FS14" s="18" t="n"/>
      <c r="FT14" s="18" t="n"/>
      <c r="FU14" s="18" t="n"/>
      <c r="FV14" s="18" t="n"/>
      <c r="FW14" s="18" t="n"/>
      <c r="FX14" s="18" t="n"/>
      <c r="FY14" s="18" t="n"/>
      <c r="FZ14" s="18" t="n"/>
      <c r="GA14" s="18" t="n"/>
      <c r="GB14" s="18" t="n"/>
      <c r="GC14" s="18" t="n"/>
      <c r="GD14" s="18" t="n"/>
      <c r="GE14" s="18" t="n"/>
      <c r="GF14" s="18" t="n"/>
      <c r="GG14" s="18" t="n"/>
      <c r="GH14" s="18" t="n"/>
      <c r="GI14" s="18" t="n"/>
      <c r="GJ14" s="18" t="n"/>
      <c r="GK14" s="18" t="n"/>
      <c r="GL14" s="18" t="n"/>
      <c r="GM14" s="18" t="n"/>
      <c r="GN14" s="18" t="n"/>
      <c r="GO14" s="18" t="n"/>
      <c r="GP14" s="18" t="n"/>
      <c r="GQ14" s="18" t="n"/>
      <c r="GR14" s="18" t="n"/>
      <c r="GS14" s="18" t="n"/>
      <c r="GT14" s="18" t="n"/>
      <c r="GU14" s="18" t="n"/>
      <c r="GV14" s="18" t="n"/>
      <c r="GW14" s="18" t="n"/>
      <c r="GX14" s="18" t="n"/>
      <c r="GY14" s="18" t="n"/>
      <c r="GZ14" s="18" t="n"/>
      <c r="HA14" s="18" t="n"/>
      <c r="HB14" s="18" t="n"/>
      <c r="HC14" s="18" t="n"/>
      <c r="HD14" s="18" t="n"/>
      <c r="HE14" s="18" t="n"/>
      <c r="HF14" s="18" t="n"/>
      <c r="HG14" s="18" t="n"/>
      <c r="HH14" s="18" t="n"/>
      <c r="HI14" s="18" t="n"/>
      <c r="HJ14" s="18" t="n"/>
      <c r="HK14" s="18" t="n"/>
    </row>
    <row r="15" ht="52.05" customHeight="1" s="88">
      <c r="A15" s="29" t="inlineStr">
        <is>
          <t>9000</t>
        </is>
      </c>
      <c r="B15" s="29" t="inlineStr">
        <is>
          <t>9000-4</t>
        </is>
      </c>
      <c r="C15" s="29" t="inlineStr">
        <is>
          <t>상부강화노반</t>
        </is>
      </c>
      <c r="D15" s="29" t="inlineStr">
        <is>
          <t>9000-4-14</t>
        </is>
      </c>
      <c r="E15" s="102" t="inlineStr">
        <is>
          <t>9000-4-11, 9000-4-12</t>
        </is>
      </c>
      <c r="F15" s="102" t="inlineStr">
        <is>
          <t>9000-4-16, 9000-4-17</t>
        </is>
      </c>
      <c r="G15" s="32" t="inlineStr">
        <is>
          <t>시공 계획 수립</t>
        </is>
      </c>
      <c r="H15" s="33" t="inlineStr">
        <is>
          <t>D-30</t>
        </is>
      </c>
      <c r="I15" s="33" t="inlineStr">
        <is>
          <t>현장 공사팀</t>
        </is>
      </c>
      <c r="J15" s="34" t="inlineStr">
        <is>
          <t>본 과업은 상부강화노반 공사의 품질, 공정, 안전, 환경 관리 세부 이행 방안을 체계적으로 수립하여, 시방 기준에 부합하는 정밀 시공을 보장하는 것을 목적으로 함.</t>
        </is>
      </c>
      <c r="K15" s="34" t="inlineStr">
        <is>
          <t>1) 건진법 제62조 안전관리계획 작성 ➔ 2) 국토안전관리원 전산 적정 심사 ➔ 3) CSI 안전관리 종합망 등록 ➔ 4) 책임감리원 서면 승인</t>
        </is>
      </c>
      <c r="L15" s="34" t="inlineStr">
        <is>
          <t>건진법 제62조 안전관리계획서 작성, 국토안전관리원 적정 심사 및 CSI 전산망 등록 결재</t>
        </is>
      </c>
      <c r="M15" s="34" t="inlineStr">
        <is>
          <t>본 과업은 상부강화노반 공사의 품질, 공정, 안전, 환경 관리 세부 이행 방안을 체계적으로 수립하여, 시방 기준에 부합하는 정밀 시공을 보장하는 것을 목적으로 함.</t>
        </is>
      </c>
      <c r="N15" s="35">
        <f>HYPERLINK(LEFT(CELL("filename",A1),FIND("[",CELL("filename",A1))-1)&amp;"4.상부강화노반\14_시공 계획 수립\표준서\시공 계획 수립_표준서.html", "👉 [클릭] 표준서 열기 📄")</f>
        <v/>
      </c>
      <c r="O15" s="34" t="inlineStr">
        <is>
          <t>1) 건진법 제62조 안전관리계획 작성 ➔ 2) 국토안전관리원 전산 적정 심사 ➔ 3) CSI 안전관리 종합망 등록 ➔ 4) 책임감리원 서면 승인</t>
        </is>
      </c>
      <c r="P15" s="36">
        <f>HYPERLINK(LEFT(CELL("filename",A1),FIND("[",CELL("filename",A1))-1)&amp;"4.상부강화노반\14_시공 계획 수립\수행지침\시공 계획 수립_수행지침.html", "👉 [클릭] 수행지침 열기 📄")</f>
        <v/>
      </c>
      <c r="Q15" s="34" t="inlineStr">
        <is>
          <t>건진법 제62조 안전관리계획서 작성, 국토안전관리원 적정 심사 및 CSI 전산망 등록 결재</t>
        </is>
      </c>
      <c r="R15" s="37">
        <f>HYPERLINK(LEFT(CELL("filename",A1),FIND("[",CELL("filename",A1))-1)&amp;"4.상부강화노반\14_시공 계획 수립\체크리스트\시공 계획 수립_체크리스트.html", "👉 [클릭] 체크리스트 열기 📄")</f>
        <v/>
      </c>
      <c r="S15" s="33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Y15" s="18" t="n"/>
      <c r="DZ15" s="18" t="n"/>
      <c r="EA15" s="18" t="n"/>
      <c r="EB15" s="18" t="n"/>
      <c r="EC15" s="18" t="n"/>
      <c r="ED15" s="18" t="n"/>
      <c r="EE15" s="18" t="n"/>
      <c r="EF15" s="18" t="n"/>
      <c r="EG15" s="18" t="n"/>
      <c r="EH15" s="18" t="n"/>
      <c r="EI15" s="18" t="n"/>
      <c r="EJ15" s="18" t="n"/>
      <c r="EK15" s="18" t="n"/>
      <c r="EL15" s="18" t="n"/>
      <c r="EM15" s="18" t="n"/>
      <c r="EN15" s="18" t="n"/>
      <c r="EO15" s="18" t="n"/>
      <c r="EP15" s="18" t="n"/>
      <c r="EQ15" s="18" t="n"/>
      <c r="ER15" s="18" t="n"/>
      <c r="ES15" s="18" t="n"/>
      <c r="ET15" s="18" t="n"/>
      <c r="EU15" s="18" t="n"/>
      <c r="EV15" s="18" t="n"/>
      <c r="EW15" s="18" t="n"/>
      <c r="EX15" s="18" t="n"/>
      <c r="EY15" s="18" t="n"/>
      <c r="EZ15" s="18" t="n"/>
      <c r="FA15" s="18" t="n"/>
      <c r="FB15" s="18" t="n"/>
      <c r="FC15" s="18" t="n"/>
      <c r="FD15" s="18" t="n"/>
      <c r="FE15" s="18" t="n"/>
      <c r="FF15" s="18" t="n"/>
      <c r="FG15" s="18" t="n"/>
      <c r="FH15" s="18" t="n"/>
      <c r="FI15" s="18" t="n"/>
      <c r="FJ15" s="18" t="n"/>
      <c r="FK15" s="18" t="n"/>
      <c r="FL15" s="18" t="n"/>
      <c r="FM15" s="18" t="n"/>
      <c r="FN15" s="18" t="n"/>
      <c r="FO15" s="18" t="n"/>
      <c r="FP15" s="18" t="n"/>
      <c r="FQ15" s="18" t="n"/>
      <c r="FR15" s="18" t="n"/>
      <c r="FS15" s="18" t="n"/>
      <c r="FT15" s="18" t="n"/>
      <c r="FU15" s="18" t="n"/>
      <c r="FV15" s="18" t="n"/>
      <c r="FW15" s="18" t="n"/>
      <c r="FX15" s="18" t="n"/>
      <c r="FY15" s="18" t="n"/>
      <c r="FZ15" s="18" t="n"/>
      <c r="GA15" s="18" t="n"/>
      <c r="GB15" s="18" t="n"/>
      <c r="GC15" s="18" t="n"/>
      <c r="GD15" s="18" t="n"/>
      <c r="GE15" s="18" t="n"/>
      <c r="GF15" s="18" t="n"/>
      <c r="GG15" s="18" t="n"/>
      <c r="GH15" s="18" t="n"/>
      <c r="GI15" s="18" t="n"/>
      <c r="GJ15" s="18" t="n"/>
      <c r="GK15" s="18" t="n"/>
      <c r="GL15" s="18" t="n"/>
      <c r="GM15" s="18" t="n"/>
      <c r="GN15" s="18" t="n"/>
      <c r="GO15" s="18" t="n"/>
      <c r="GP15" s="18" t="n"/>
      <c r="GQ15" s="18" t="n"/>
      <c r="GR15" s="18" t="n"/>
      <c r="GS15" s="18" t="n"/>
      <c r="GT15" s="18" t="n"/>
      <c r="GU15" s="18" t="n"/>
      <c r="GV15" s="18" t="n"/>
      <c r="GW15" s="18" t="n"/>
      <c r="GX15" s="18" t="n"/>
      <c r="GY15" s="18" t="n"/>
      <c r="GZ15" s="18" t="n"/>
      <c r="HA15" s="18" t="n"/>
      <c r="HB15" s="18" t="n"/>
      <c r="HC15" s="18" t="n"/>
      <c r="HD15" s="18" t="n"/>
      <c r="HE15" s="18" t="n"/>
      <c r="HF15" s="18" t="n"/>
      <c r="HG15" s="18" t="n"/>
      <c r="HH15" s="18" t="n"/>
      <c r="HI15" s="18" t="n"/>
      <c r="HJ15" s="18" t="n"/>
      <c r="HK15" s="18" t="n"/>
      <c r="HL15" s="18" t="n"/>
      <c r="HM15" s="18" t="n"/>
      <c r="HN15" s="18" t="n"/>
      <c r="HO15" s="18" t="n"/>
    </row>
    <row r="16" ht="52.05" customHeight="1" s="88">
      <c r="A16" s="19" t="inlineStr">
        <is>
          <t>9000</t>
        </is>
      </c>
      <c r="B16" s="19" t="inlineStr">
        <is>
          <t>9000-4</t>
        </is>
      </c>
      <c r="C16" s="19" t="inlineStr">
        <is>
          <t>상부강화노반</t>
        </is>
      </c>
      <c r="D16" s="19" t="inlineStr">
        <is>
          <t>9000-4-15</t>
        </is>
      </c>
      <c r="E16" s="95" t="inlineStr">
        <is>
          <t>9000-4-12, 9000-4-13</t>
        </is>
      </c>
      <c r="F16" s="95" t="inlineStr">
        <is>
          <t>9000-4-17, 9000-4-18</t>
        </is>
      </c>
      <c r="G16" s="23" t="inlineStr">
        <is>
          <t>사토장/토취장 선정 검토(필요시)</t>
        </is>
      </c>
      <c r="H16" s="21" t="inlineStr">
        <is>
          <t>D-30 (D-50~D-30)</t>
        </is>
      </c>
      <c r="I16" s="21" t="inlineStr">
        <is>
          <t>현장 공사팀</t>
        </is>
      </c>
      <c r="J16" s="24" t="inlineStr">
        <is>
          <t>본 과업은 토공 유동 잔여 토사의 사토장 및 부족 성토재 공급을 위한 토취장의 위치, 운반 거리, 허가 유무를 검토하여 효율적 토사 수급 환경을 구축하는 것을 목적으로 함.</t>
        </is>
      </c>
      <c r="K16" s="24" t="inlineStr">
        <is>
          <t>1) 다짐도/K30/Ev2 시험 빈도 수립 ➔ 2) 현장 시험실 장비 교정 검수 ➔ 3) 착공 14일 전 감리단 제출 ➔ 4) 품질관리계획서 감리 서면 승인</t>
        </is>
      </c>
      <c r="L16" s="24" t="inlineStr">
        <is>
          <t>노반 다짐도(500m³당 1회), K30(2,000m²당 1회), Ev2(1,000m²당 1회) 시험 빈도 &amp; 장비 교정</t>
        </is>
      </c>
      <c r="M16" s="24" t="inlineStr">
        <is>
          <t>본 과업은 토공 유동 잔여 토사의 사토장 및 부족 성토재 공급을 위한 토취장의 위치, 운반 거리, 허가 유무를 검토하여 효율적 토사 수급 환경을 구축하는 것을 목적으로 함.</t>
        </is>
      </c>
      <c r="N16" s="25">
        <f>HYPERLINK(LEFT(CELL("filename",A1),FIND("[",CELL("filename",A1))-1)&amp;"4.상부강화노반\15_사토장_토취장 선정 검토(필요시)\표준서\사토장_토취장 선정 검토_표준서.html", "👉 [클릭] 표준서 열기 📄")</f>
        <v/>
      </c>
      <c r="O16" s="24" t="inlineStr">
        <is>
          <t>1) 다짐도/K30/Ev2 시험 빈도 수립 ➔ 2) 현장 시험실 장비 교정 검수 ➔ 3) 착공 14일 전 감리단 제출 ➔ 4) 품질관리계획서 감리 서면 승인</t>
        </is>
      </c>
      <c r="P16" s="26">
        <f>HYPERLINK(LEFT(CELL("filename",A1),FIND("[",CELL("filename",A1))-1)&amp;"4.상부강화노반\15_사토장_토취장 선정 검토(필요시)\수행지침\사토장_토취장 선정 검토_수행지침.html", "👉 [클릭] 수행지침 열기 📄")</f>
        <v/>
      </c>
      <c r="Q16" s="24" t="inlineStr">
        <is>
          <t>노반 다짐도(500m³당 1회), K30(2,000m²당 1회), Ev2(1,000m²당 1회) 시험 빈도 &amp; 장비 교정</t>
        </is>
      </c>
      <c r="R16" s="27">
        <f>HYPERLINK(LEFT(CELL("filename",A1),FIND("[",CELL("filename",A1))-1)&amp;"4.상부강화노반\15_사토장_토취장 선정 검토(필요시)\체크리스트\사토장_토취장 선정 검토_체크리스트.html", "👉 [클릭] 체크리스트 열기 📄")</f>
        <v/>
      </c>
      <c r="S16" s="2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8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8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8" t="n"/>
      <c r="FT16" s="18" t="n"/>
      <c r="FU16" s="18" t="n"/>
      <c r="FV16" s="18" t="n"/>
      <c r="FW16" s="18" t="n"/>
      <c r="FX16" s="18" t="n"/>
      <c r="FY16" s="18" t="n"/>
      <c r="FZ16" s="18" t="n"/>
      <c r="GA16" s="18" t="n"/>
      <c r="GB16" s="18" t="n"/>
      <c r="GC16" s="18" t="n"/>
      <c r="GD16" s="18" t="n"/>
      <c r="GE16" s="18" t="n"/>
      <c r="GF16" s="18" t="n"/>
      <c r="GG16" s="18" t="n"/>
      <c r="GH16" s="18" t="n"/>
      <c r="GI16" s="18" t="n"/>
      <c r="GJ16" s="18" t="n"/>
      <c r="GK16" s="18" t="n"/>
      <c r="GL16" s="18" t="n"/>
      <c r="GM16" s="18" t="n"/>
      <c r="GN16" s="18" t="n"/>
      <c r="GO16" s="18" t="n"/>
      <c r="GP16" s="18" t="n"/>
      <c r="GQ16" s="18" t="n"/>
      <c r="GR16" s="18" t="n"/>
      <c r="GS16" s="18" t="n"/>
      <c r="GT16" s="18" t="n"/>
      <c r="GU16" s="18" t="n"/>
      <c r="GV16" s="18" t="n"/>
      <c r="GW16" s="18" t="n"/>
      <c r="GX16" s="18" t="n"/>
      <c r="GY16" s="18" t="n"/>
      <c r="GZ16" s="18" t="n"/>
      <c r="HA16" s="18" t="n"/>
      <c r="HB16" s="18" t="n"/>
      <c r="HC16" s="18" t="n"/>
      <c r="HD16" s="18" t="n"/>
      <c r="HE16" s="18" t="n"/>
      <c r="HF16" s="18" t="n"/>
      <c r="HG16" s="18" t="n"/>
      <c r="HH16" s="18" t="n"/>
      <c r="HI16" s="18" t="n"/>
      <c r="HJ16" s="18" t="n"/>
      <c r="HK16" s="18" t="n"/>
      <c r="HL16" s="18" t="n"/>
      <c r="HM16" s="18" t="n"/>
      <c r="HN16" s="18" t="n"/>
      <c r="HO16" s="18" t="n"/>
      <c r="HP16" s="18" t="n"/>
      <c r="HQ16" s="18" t="n"/>
      <c r="HR16" s="18" t="n"/>
      <c r="HS16" s="18" t="n"/>
    </row>
    <row r="17" ht="52.05" customHeight="1" s="88">
      <c r="A17" s="29" t="inlineStr">
        <is>
          <t>9000</t>
        </is>
      </c>
      <c r="B17" s="29" t="inlineStr">
        <is>
          <t>9000-4</t>
        </is>
      </c>
      <c r="C17" s="29" t="inlineStr">
        <is>
          <t>상부강화노반</t>
        </is>
      </c>
      <c r="D17" s="29" t="inlineStr">
        <is>
          <t>9000-4-16</t>
        </is>
      </c>
      <c r="E17" s="102" t="inlineStr">
        <is>
          <t>9000-4-14</t>
        </is>
      </c>
      <c r="F17" s="102" t="inlineStr">
        <is>
          <t>9000-4-19</t>
        </is>
      </c>
      <c r="G17" s="32" t="inlineStr">
        <is>
          <t>공사사전준비</t>
        </is>
      </c>
      <c r="H17" s="33" t="inlineStr">
        <is>
          <t>D-20</t>
        </is>
      </c>
      <c r="I17" s="33" t="inlineStr">
        <is>
          <t>현장 공사팀</t>
        </is>
      </c>
      <c r="J17" s="34" t="inlineStr">
        <is>
          <t>본 과업은 현장 사무소, 가설 펜스, 가배수로, 중장비 진출입로 등 초기 가설 인프라를 신속히 완비하여 본격적인 토공사 착수 여건을 마련하는 것을 목적으로 함.</t>
        </is>
      </c>
      <c r="K17" s="34" t="inlineStr">
        <is>
          <t>1) 세륜기(깊이 1.2m) &amp; 방음벽(3m) 설계 ➔ 2) 지자체 비산먼지 발생신고 ➔ 3) 살수차 1일 3회 살수 ➔ 4) 환경관리계획서 감리 서면 승인</t>
        </is>
      </c>
      <c r="L17" s="34" t="inlineStr">
        <is>
          <t>지자체 비산먼지 발생신고 필증, 이동식 세륜기(깊이 1.2m) &amp; 가설 방음벽(H=3m) 가동 점검</t>
        </is>
      </c>
      <c r="M17" s="34" t="inlineStr">
        <is>
          <t>본 과업은 현장 사무소, 가설 펜스, 가배수로, 중장비 진출입로 등 초기 가설 인프라를 신속히 완비하여 본격적인 토공사 착수 여건을 마련하는 것을 목적으로 함.</t>
        </is>
      </c>
      <c r="N17" s="35">
        <f>HYPERLINK(LEFT(CELL("filename",A1),FIND("[",CELL("filename",A1))-1)&amp;"4.상부강화노반\16_공사사전준비\표준서\공사사전준비_표준서.html", "👉 [클릭] 표준서 열기 📄")</f>
        <v/>
      </c>
      <c r="O17" s="34" t="inlineStr">
        <is>
          <t>1) 세륜기(깊이 1.2m) &amp; 방음벽(3m) 설계 ➔ 2) 지자체 비산먼지 발생신고 ➔ 3) 살수차 1일 3회 살수 ➔ 4) 환경관리계획서 감리 서면 승인</t>
        </is>
      </c>
      <c r="P17" s="36">
        <f>HYPERLINK(LEFT(CELL("filename",A1),FIND("[",CELL("filename",A1))-1)&amp;"4.상부강화노반\16_공사사전준비\수행지침\공사사전준비_수행지침.html", "👉 [클릭] 수행지침 열기 📄")</f>
        <v/>
      </c>
      <c r="Q17" s="34" t="inlineStr">
        <is>
          <t>지자체 비산먼지 발생신고 필증, 이동식 세륜기(깊이 1.2m) &amp; 가설 방음벽(H=3m) 가동 점검</t>
        </is>
      </c>
      <c r="R17" s="37">
        <f>HYPERLINK(LEFT(CELL("filename",A1),FIND("[",CELL("filename",A1))-1)&amp;"4.상부강화노반\16_공사사전준비\체크리스트\공사사전준비_체크리스트.html", "👉 [클릭] 체크리스트 열기 📄")</f>
        <v/>
      </c>
      <c r="S17" s="33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8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8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8" t="n"/>
      <c r="FT17" s="18" t="n"/>
      <c r="FU17" s="18" t="n"/>
      <c r="FV17" s="18" t="n"/>
      <c r="FW17" s="18" t="n"/>
      <c r="FX17" s="18" t="n"/>
      <c r="FY17" s="18" t="n"/>
      <c r="FZ17" s="18" t="n"/>
      <c r="GA17" s="18" t="n"/>
      <c r="GB17" s="18" t="n"/>
      <c r="GC17" s="18" t="n"/>
      <c r="GD17" s="18" t="n"/>
      <c r="GE17" s="18" t="n"/>
      <c r="GF17" s="18" t="n"/>
      <c r="GG17" s="18" t="n"/>
      <c r="GH17" s="18" t="n"/>
      <c r="GI17" s="18" t="n"/>
      <c r="GJ17" s="18" t="n"/>
      <c r="GK17" s="18" t="n"/>
      <c r="GL17" s="18" t="n"/>
      <c r="GM17" s="18" t="n"/>
      <c r="GN17" s="18" t="n"/>
      <c r="GO17" s="18" t="n"/>
      <c r="GP17" s="18" t="n"/>
      <c r="GQ17" s="18" t="n"/>
      <c r="GR17" s="18" t="n"/>
      <c r="GS17" s="18" t="n"/>
      <c r="GT17" s="18" t="n"/>
      <c r="GU17" s="18" t="n"/>
      <c r="GV17" s="18" t="n"/>
      <c r="GW17" s="18" t="n"/>
      <c r="GX17" s="18" t="n"/>
      <c r="GY17" s="18" t="n"/>
      <c r="GZ17" s="18" t="n"/>
      <c r="HA17" s="18" t="n"/>
      <c r="HB17" s="18" t="n"/>
      <c r="HC17" s="18" t="n"/>
      <c r="HD17" s="18" t="n"/>
      <c r="HE17" s="18" t="n"/>
      <c r="HF17" s="18" t="n"/>
      <c r="HG17" s="18" t="n"/>
      <c r="HH17" s="18" t="n"/>
      <c r="HI17" s="18" t="n"/>
      <c r="HJ17" s="18" t="n"/>
      <c r="HK17" s="18" t="n"/>
      <c r="HL17" s="18" t="n"/>
      <c r="HM17" s="18" t="n"/>
      <c r="HN17" s="18" t="n"/>
      <c r="HO17" s="18" t="n"/>
      <c r="HP17" s="18" t="n"/>
      <c r="HQ17" s="18" t="n"/>
      <c r="HR17" s="18" t="n"/>
      <c r="HS17" s="18" t="n"/>
      <c r="HT17" s="18" t="n"/>
      <c r="HU17" s="18" t="n"/>
      <c r="HV17" s="18" t="n"/>
      <c r="HW17" s="18" t="n"/>
    </row>
    <row r="18" ht="52.05" customHeight="1" s="88">
      <c r="A18" s="19" t="inlineStr">
        <is>
          <t>9000</t>
        </is>
      </c>
      <c r="B18" s="19" t="inlineStr">
        <is>
          <t>9000-4</t>
        </is>
      </c>
      <c r="C18" s="19" t="inlineStr">
        <is>
          <t>상부강화노반</t>
        </is>
      </c>
      <c r="D18" s="19" t="inlineStr">
        <is>
          <t>9000-4-17</t>
        </is>
      </c>
      <c r="E18" s="95" t="inlineStr">
        <is>
          <t>9000-4-14, 9000-4-15</t>
        </is>
      </c>
      <c r="F18" s="95" t="inlineStr">
        <is>
          <t>9000-4-19, 9000-4-20</t>
        </is>
      </c>
      <c r="G18" s="23" t="inlineStr">
        <is>
          <t>임시배수시설</t>
        </is>
      </c>
      <c r="H18" s="21" t="inlineStr">
        <is>
          <t>D-25 (D-30~D-25)</t>
        </is>
      </c>
      <c r="I18" s="21" t="inlineStr">
        <is>
          <t>현장 공사팀</t>
        </is>
      </c>
      <c r="J18" s="24" t="inlineStr">
        <is>
          <t>본 과업은 강우 시 현장 침수 및 토사 유출로 인한 사면 붕괴를 예방하기 위해, 가배수로, 가침사지, 양수 설비를 적시 배치하여 현장 안전을 확보하는 것을 목적으로 함.</t>
        </is>
      </c>
      <c r="K18" s="24" t="inlineStr">
        <is>
          <t>1) 교통 우회 도면 &amp; 차선 설계 ➔ 2) 동탄경찰서 도로점용 허가 ➔ 3) 전담 신호수(2인 2조) 배치 ➔ 4) 교통소통 대책서 감리 서면 승인</t>
        </is>
      </c>
      <c r="L18" s="24" t="inlineStr">
        <is>
          <t>동탄경찰서 도로점용 허가, 우회 차선 설계 및 전담 안전 신호수(2인 2조)/LED 경광등 배치</t>
        </is>
      </c>
      <c r="M18" s="24" t="inlineStr">
        <is>
          <t>본 과업은 강우 시 현장 침수 및 토사 유출로 인한 사면 붕괴를 예방하기 위해, 가배수로, 가침사지, 양수 설비를 적시 배치하여 현장 안전을 확보하는 것을 목적으로 함.</t>
        </is>
      </c>
      <c r="N18" s="25">
        <f>HYPERLINK(LEFT(CELL("filename",A1),FIND("[",CELL("filename",A1))-1)&amp;"4.상부강화노반\17_임시배수시설\표준서\임시배수시설_표준서.html", "👉 [클릭] 표준서 열기 📄")</f>
        <v/>
      </c>
      <c r="O18" s="24" t="inlineStr">
        <is>
          <t>1) 교통 우회 도면 &amp; 차선 설계 ➔ 2) 동탄경찰서 도로점용 허가 ➔ 3) 전담 신호수(2인 2조) 배치 ➔ 4) 교통소통 대책서 감리 서면 승인</t>
        </is>
      </c>
      <c r="P18" s="26">
        <f>HYPERLINK(LEFT(CELL("filename",A1),FIND("[",CELL("filename",A1))-1)&amp;"4.상부강화노반\17_임시배수시설\수행지침\임시배수시설_수행지침.html", "👉 [클릭] 수행지침 열기 📄")</f>
        <v/>
      </c>
      <c r="Q18" s="24" t="inlineStr">
        <is>
          <t>동탄경찰서 도로점용 허가, 우회 차선 설계 및 전담 안전 신호수(2인 2조)/LED 경광등 배치</t>
        </is>
      </c>
      <c r="R18" s="27">
        <f>HYPERLINK(LEFT(CELL("filename",A1),FIND("[",CELL("filename",A1))-1)&amp;"4.상부강화노반\17_임시배수시설\체크리스트\임시배수시설_체크리스트.html", "👉 [클릭] 체크리스트 열기 📄")</f>
        <v/>
      </c>
      <c r="S18" s="2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8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8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8" t="n"/>
      <c r="FT18" s="18" t="n"/>
      <c r="FU18" s="18" t="n"/>
      <c r="FV18" s="18" t="n"/>
      <c r="FW18" s="18" t="n"/>
      <c r="FX18" s="18" t="n"/>
      <c r="FY18" s="18" t="n"/>
      <c r="FZ18" s="18" t="n"/>
      <c r="GA18" s="18" t="n"/>
      <c r="GB18" s="18" t="n"/>
      <c r="GC18" s="18" t="n"/>
      <c r="GD18" s="18" t="n"/>
      <c r="GE18" s="18" t="n"/>
      <c r="GF18" s="18" t="n"/>
      <c r="GG18" s="18" t="n"/>
      <c r="GH18" s="18" t="n"/>
      <c r="GI18" s="18" t="n"/>
      <c r="GJ18" s="18" t="n"/>
      <c r="GK18" s="18" t="n"/>
      <c r="GL18" s="18" t="n"/>
      <c r="GM18" s="18" t="n"/>
      <c r="GN18" s="18" t="n"/>
      <c r="GO18" s="18" t="n"/>
      <c r="GP18" s="18" t="n"/>
      <c r="GQ18" s="18" t="n"/>
      <c r="GR18" s="18" t="n"/>
      <c r="GS18" s="18" t="n"/>
      <c r="GT18" s="18" t="n"/>
      <c r="GU18" s="18" t="n"/>
      <c r="GV18" s="18" t="n"/>
      <c r="GW18" s="18" t="n"/>
      <c r="GX18" s="18" t="n"/>
      <c r="GY18" s="18" t="n"/>
      <c r="GZ18" s="18" t="n"/>
      <c r="HA18" s="18" t="n"/>
      <c r="HB18" s="18" t="n"/>
      <c r="HC18" s="18" t="n"/>
      <c r="HD18" s="18" t="n"/>
      <c r="HE18" s="18" t="n"/>
      <c r="HF18" s="18" t="n"/>
      <c r="HG18" s="18" t="n"/>
      <c r="HH18" s="18" t="n"/>
      <c r="HI18" s="18" t="n"/>
      <c r="HJ18" s="18" t="n"/>
      <c r="HK18" s="18" t="n"/>
      <c r="HL18" s="18" t="n"/>
      <c r="HM18" s="18" t="n"/>
      <c r="HN18" s="18" t="n"/>
      <c r="HO18" s="18" t="n"/>
      <c r="HP18" s="18" t="n"/>
      <c r="HQ18" s="18" t="n"/>
      <c r="HR18" s="18" t="n"/>
      <c r="HS18" s="18" t="n"/>
      <c r="HT18" s="18" t="n"/>
      <c r="HU18" s="18" t="n"/>
      <c r="HV18" s="18" t="n"/>
      <c r="HW18" s="18" t="n"/>
      <c r="HX18" s="18" t="n"/>
      <c r="HY18" s="18" t="n"/>
      <c r="HZ18" s="18" t="n"/>
      <c r="IA18" s="18" t="n"/>
    </row>
    <row r="19" ht="52.05" customHeight="1" s="88">
      <c r="A19" s="29" t="inlineStr">
        <is>
          <t>9000</t>
        </is>
      </c>
      <c r="B19" s="29" t="inlineStr">
        <is>
          <t>9000-4</t>
        </is>
      </c>
      <c r="C19" s="29" t="inlineStr">
        <is>
          <t>상부강화노반</t>
        </is>
      </c>
      <c r="D19" s="29" t="inlineStr">
        <is>
          <t>9000-4-18</t>
        </is>
      </c>
      <c r="E19" s="102" t="inlineStr">
        <is>
          <t>9000-4-15</t>
        </is>
      </c>
      <c r="F19" s="102" t="inlineStr">
        <is>
          <t>9000-4-20</t>
        </is>
      </c>
      <c r="G19" s="32" t="inlineStr">
        <is>
          <t>쌓기재료 검사</t>
        </is>
      </c>
      <c r="H19" s="33" t="inlineStr">
        <is>
          <t>D-10 (D-30~D-10)</t>
        </is>
      </c>
      <c r="I19" s="33" t="inlineStr">
        <is>
          <t>현장 공사팀</t>
        </is>
      </c>
      <c r="J19" s="34" t="inlineStr">
        <is>
          <t>본 과업은 노반 성토에 투입되는 토사 및 쇄석 재료의 입도, CBR, 최대건조밀도 등 물리적 특성을 사전에 시험·검증하여 품질 기준을 충족하는 적격 재료만을 선별 투입하는 것을 목적으로 함.</t>
        </is>
      </c>
      <c r="K19" s="34" t="inlineStr">
        <is>
          <t>1) 토공 전문 면허 &amp; 실적 심사 ➔ 2) 하도급 적정성 평가(≥82%) ➔ 3) 노무비 지급 전용계좌 지정 ➔ 4) 하도급 계약 승인 통보서 결재</t>
        </is>
      </c>
      <c r="L19" s="34" t="inlineStr">
        <is>
          <t>토공 전문건설업 면허/실적 심사, 하도급 비율(≥ 82%) 평가 및 노무비 지급 전용계좌 지정</t>
        </is>
      </c>
      <c r="M19" s="34" t="inlineStr">
        <is>
          <t>본 과업은 노반 성토에 투입되는 토사 및 쇄석 재료의 입도, CBR, 최대건조밀도 등 물리적 특성을 사전에 시험·검증하여 품질 기준을 충족하는 적격 재료만을 선별 투입하는 것을 목적으로 함.</t>
        </is>
      </c>
      <c r="N19" s="35">
        <f>HYPERLINK(LEFT(CELL("filename",A1),FIND("[",CELL("filename",A1))-1)&amp;"4.상부강화노반\18_쌓기재료 검사\표준서\쌓기재료 검사_표준서.html", "👉 [클릭] 표준서 열기 📄")</f>
        <v/>
      </c>
      <c r="O19" s="34" t="inlineStr">
        <is>
          <t>1) 토공 전문 면허 &amp; 실적 심사 ➔ 2) 하도급 적정성 평가(≥82%) ➔ 3) 노무비 지급 전용계좌 지정 ➔ 4) 하도급 계약 승인 통보서 결재</t>
        </is>
      </c>
      <c r="P19" s="36">
        <f>HYPERLINK(LEFT(CELL("filename",A1),FIND("[",CELL("filename",A1))-1)&amp;"4.상부강화노반\18_쌓기재료 검사\수행지침\쌓기재료 검사_수행지침.html", "👉 [클릭] 수행지침 열기 📄")</f>
        <v/>
      </c>
      <c r="Q19" s="34" t="inlineStr">
        <is>
          <t>토공 전문건설업 면허/실적 심사, 하도급 비율(≥ 82%) 평가 및 노무비 지급 전용계좌 지정</t>
        </is>
      </c>
      <c r="R19" s="37">
        <f>HYPERLINK(LEFT(CELL("filename",A1),FIND("[",CELL("filename",A1))-1)&amp;"4.상부강화노반\18_쌓기재료 검사\체크리스트\쌓기재료 검사_체크리스트.html", "👉 [클릭] 체크리스트 열기 📄")</f>
        <v/>
      </c>
      <c r="S19" s="33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Y19" s="18" t="n"/>
      <c r="DZ19" s="18" t="n"/>
      <c r="EA19" s="18" t="n"/>
      <c r="EB19" s="18" t="n"/>
      <c r="EC19" s="18" t="n"/>
      <c r="ED19" s="18" t="n"/>
      <c r="EE19" s="18" t="n"/>
      <c r="EF19" s="18" t="n"/>
      <c r="EG19" s="18" t="n"/>
      <c r="EH19" s="18" t="n"/>
      <c r="EI19" s="18" t="n"/>
      <c r="EJ19" s="18" t="n"/>
      <c r="EK19" s="18" t="n"/>
      <c r="EL19" s="18" t="n"/>
      <c r="EM19" s="18" t="n"/>
      <c r="EN19" s="18" t="n"/>
      <c r="EO19" s="18" t="n"/>
      <c r="EP19" s="18" t="n"/>
      <c r="EQ19" s="18" t="n"/>
      <c r="ER19" s="18" t="n"/>
      <c r="ES19" s="18" t="n"/>
      <c r="ET19" s="18" t="n"/>
      <c r="EU19" s="18" t="n"/>
      <c r="EV19" s="18" t="n"/>
      <c r="EW19" s="18" t="n"/>
      <c r="EX19" s="18" t="n"/>
      <c r="EY19" s="18" t="n"/>
      <c r="EZ19" s="18" t="n"/>
      <c r="FA19" s="18" t="n"/>
      <c r="FB19" s="18" t="n"/>
      <c r="FC19" s="18" t="n"/>
      <c r="FD19" s="18" t="n"/>
      <c r="FE19" s="18" t="n"/>
      <c r="FF19" s="18" t="n"/>
      <c r="FG19" s="18" t="n"/>
      <c r="FH19" s="18" t="n"/>
      <c r="FI19" s="18" t="n"/>
      <c r="FJ19" s="18" t="n"/>
      <c r="FK19" s="18" t="n"/>
      <c r="FL19" s="18" t="n"/>
      <c r="FM19" s="18" t="n"/>
      <c r="FN19" s="18" t="n"/>
      <c r="FO19" s="18" t="n"/>
      <c r="FP19" s="18" t="n"/>
      <c r="FQ19" s="18" t="n"/>
      <c r="FR19" s="18" t="n"/>
      <c r="FS19" s="18" t="n"/>
      <c r="FT19" s="18" t="n"/>
      <c r="FU19" s="18" t="n"/>
      <c r="FV19" s="18" t="n"/>
      <c r="FW19" s="18" t="n"/>
      <c r="FX19" s="18" t="n"/>
      <c r="FY19" s="18" t="n"/>
      <c r="FZ19" s="18" t="n"/>
      <c r="GA19" s="18" t="n"/>
      <c r="GB19" s="18" t="n"/>
      <c r="GC19" s="18" t="n"/>
      <c r="GD19" s="18" t="n"/>
      <c r="GE19" s="18" t="n"/>
      <c r="GF19" s="18" t="n"/>
      <c r="GG19" s="18" t="n"/>
      <c r="GH19" s="18" t="n"/>
      <c r="GI19" s="18" t="n"/>
      <c r="GJ19" s="18" t="n"/>
      <c r="GK19" s="18" t="n"/>
      <c r="GL19" s="18" t="n"/>
      <c r="GM19" s="18" t="n"/>
      <c r="GN19" s="18" t="n"/>
      <c r="GO19" s="18" t="n"/>
      <c r="GP19" s="18" t="n"/>
      <c r="GQ19" s="18" t="n"/>
      <c r="GR19" s="18" t="n"/>
      <c r="GS19" s="18" t="n"/>
      <c r="GT19" s="18" t="n"/>
      <c r="GU19" s="18" t="n"/>
      <c r="GV19" s="18" t="n"/>
      <c r="GW19" s="18" t="n"/>
      <c r="GX19" s="18" t="n"/>
      <c r="GY19" s="18" t="n"/>
      <c r="GZ19" s="18" t="n"/>
      <c r="HA19" s="18" t="n"/>
      <c r="HB19" s="18" t="n"/>
      <c r="HC19" s="18" t="n"/>
      <c r="HD19" s="18" t="n"/>
      <c r="HE19" s="18" t="n"/>
      <c r="HF19" s="18" t="n"/>
      <c r="HG19" s="18" t="n"/>
      <c r="HH19" s="18" t="n"/>
      <c r="HI19" s="18" t="n"/>
      <c r="HJ19" s="18" t="n"/>
      <c r="HK19" s="18" t="n"/>
      <c r="HL19" s="18" t="n"/>
      <c r="HM19" s="18" t="n"/>
      <c r="HN19" s="18" t="n"/>
      <c r="HO19" s="18" t="n"/>
      <c r="HP19" s="18" t="n"/>
      <c r="HQ19" s="18" t="n"/>
      <c r="HR19" s="18" t="n"/>
      <c r="HS19" s="18" t="n"/>
      <c r="HT19" s="18" t="n"/>
      <c r="HU19" s="18" t="n"/>
      <c r="HV19" s="18" t="n"/>
      <c r="HW19" s="18" t="n"/>
      <c r="HX19" s="18" t="n"/>
      <c r="HY19" s="18" t="n"/>
      <c r="HZ19" s="18" t="n"/>
      <c r="IA19" s="18" t="n"/>
      <c r="IB19" s="18" t="n"/>
      <c r="IC19" s="18" t="n"/>
      <c r="ID19" s="18" t="n"/>
      <c r="IE19" s="18" t="n"/>
    </row>
    <row r="20" ht="52.05" customHeight="1" s="88">
      <c r="A20" s="19" t="inlineStr">
        <is>
          <t>9000</t>
        </is>
      </c>
      <c r="B20" s="19" t="inlineStr">
        <is>
          <t>9000-4</t>
        </is>
      </c>
      <c r="C20" s="19" t="inlineStr">
        <is>
          <t>상부강화노반</t>
        </is>
      </c>
      <c r="D20" s="19" t="inlineStr">
        <is>
          <t>9000-4-19</t>
        </is>
      </c>
      <c r="E20" s="95" t="inlineStr">
        <is>
          <t>9000-4-16, 9000-4-17</t>
        </is>
      </c>
      <c r="F20" s="95" t="inlineStr">
        <is>
          <t>9000-4-21, 9000-4-22</t>
        </is>
      </c>
      <c r="G20" s="23" t="inlineStr">
        <is>
          <t>장비 검수 지원</t>
        </is>
      </c>
      <c r="H20" s="21" t="inlineStr">
        <is>
          <t>D-10</t>
        </is>
      </c>
      <c r="I20" s="21" t="inlineStr">
        <is>
          <t>현장 공사팀</t>
        </is>
      </c>
      <c r="J20" s="24" t="inlineStr">
        <is>
          <t>본 과업은 다짐 롤러, 모터그레이더, 굴착기 등 투입 건설기계의 작동 상태, 안전 장치, 교정 성적을 사전 점검하여 시공 효율성 증대 및 장비 사고를 예방하는 것을 목적으로 함.</t>
        </is>
      </c>
      <c r="K20" s="24" t="inlineStr">
        <is>
          <t>1) KS F 2527 쇄석/유공관 서류 검토 ➔ 2) 공인시험기관 시험성적서 부착 ➔ 3) 자재 승인 신청서 제출 ➔ 4) 자재 반입 검수 및 승인 결재</t>
        </is>
      </c>
      <c r="L20" s="24" t="inlineStr">
        <is>
          <t>KS F 2527 쇄석골재, HDPE 유공관, 투수성 부직포(200g/m²) 공인성적서 및 현장 반입 검수</t>
        </is>
      </c>
      <c r="M20" s="24" t="inlineStr">
        <is>
          <t>본 과업은 다짐 롤러, 모터그레이더, 굴착기 등 투입 건설기계의 작동 상태, 안전 장치, 교정 성적을 사전 점검하여 시공 효율성 증대 및 장비 사고를 예방하는 것을 목적으로 함.</t>
        </is>
      </c>
      <c r="N20" s="25">
        <f>HYPERLINK(LEFT(CELL("filename",A1),FIND("[",CELL("filename",A1))-1)&amp;"4.상부강화노반\19_장비 검수 지원\표준서\장비 검수 지원_표준서.html", "👉 [클릭] 표준서 열기 📄")</f>
        <v/>
      </c>
      <c r="O20" s="24" t="inlineStr">
        <is>
          <t>1) KS F 2527 쇄석/유공관 서류 검토 ➔ 2) 공인시험기관 시험성적서 부착 ➔ 3) 자재 승인 신청서 제출 ➔ 4) 자재 반입 검수 및 승인 결재</t>
        </is>
      </c>
      <c r="P20" s="26">
        <f>HYPERLINK(LEFT(CELL("filename",A1),FIND("[",CELL("filename",A1))-1)&amp;"4.상부강화노반\19_장비 검수 지원\수행지침\장비 검수 지원_수행지침.html", "👉 [클릭] 수행지침 열기 📄")</f>
        <v/>
      </c>
      <c r="Q20" s="24" t="inlineStr">
        <is>
          <t>KS F 2527 쇄석골재, HDPE 유공관, 투수성 부직포(200g/m²) 공인성적서 및 현장 반입 검수</t>
        </is>
      </c>
      <c r="R20" s="27">
        <f>HYPERLINK(LEFT(CELL("filename",A1),FIND("[",CELL("filename",A1))-1)&amp;"4.상부강화노반\19_장비 검수 지원\체크리스트\장비 검수 지원_체크리스트.html", "👉 [클릭] 체크리스트 열기 📄")</f>
        <v/>
      </c>
      <c r="S20" s="2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Y20" s="18" t="n"/>
      <c r="DZ20" s="18" t="n"/>
      <c r="EA20" s="18" t="n"/>
      <c r="EB20" s="18" t="n"/>
      <c r="EC20" s="18" t="n"/>
      <c r="ED20" s="18" t="n"/>
      <c r="EE20" s="18" t="n"/>
      <c r="EF20" s="18" t="n"/>
      <c r="EG20" s="18" t="n"/>
      <c r="EH20" s="18" t="n"/>
      <c r="EI20" s="18" t="n"/>
      <c r="EJ20" s="18" t="n"/>
      <c r="EK20" s="18" t="n"/>
      <c r="EL20" s="18" t="n"/>
      <c r="EM20" s="18" t="n"/>
      <c r="EN20" s="18" t="n"/>
      <c r="EO20" s="18" t="n"/>
      <c r="EP20" s="18" t="n"/>
      <c r="EQ20" s="18" t="n"/>
      <c r="ER20" s="18" t="n"/>
      <c r="ES20" s="18" t="n"/>
      <c r="ET20" s="18" t="n"/>
      <c r="EU20" s="18" t="n"/>
      <c r="EV20" s="18" t="n"/>
      <c r="EW20" s="18" t="n"/>
      <c r="EX20" s="18" t="n"/>
      <c r="EY20" s="18" t="n"/>
      <c r="EZ20" s="18" t="n"/>
      <c r="FA20" s="18" t="n"/>
      <c r="FB20" s="18" t="n"/>
      <c r="FC20" s="18" t="n"/>
      <c r="FD20" s="18" t="n"/>
      <c r="FE20" s="18" t="n"/>
      <c r="FF20" s="18" t="n"/>
      <c r="FG20" s="18" t="n"/>
      <c r="FH20" s="18" t="n"/>
      <c r="FI20" s="18" t="n"/>
      <c r="FJ20" s="18" t="n"/>
      <c r="FK20" s="18" t="n"/>
      <c r="FL20" s="18" t="n"/>
      <c r="FM20" s="18" t="n"/>
      <c r="FN20" s="18" t="n"/>
      <c r="FO20" s="18" t="n"/>
      <c r="FP20" s="18" t="n"/>
      <c r="FQ20" s="18" t="n"/>
      <c r="FR20" s="18" t="n"/>
      <c r="FS20" s="18" t="n"/>
      <c r="FT20" s="18" t="n"/>
      <c r="FU20" s="18" t="n"/>
      <c r="FV20" s="18" t="n"/>
      <c r="FW20" s="18" t="n"/>
      <c r="FX20" s="18" t="n"/>
      <c r="FY20" s="18" t="n"/>
      <c r="FZ20" s="18" t="n"/>
      <c r="GA20" s="18" t="n"/>
      <c r="GB20" s="18" t="n"/>
      <c r="GC20" s="18" t="n"/>
      <c r="GD20" s="18" t="n"/>
      <c r="GE20" s="18" t="n"/>
      <c r="GF20" s="18" t="n"/>
      <c r="GG20" s="18" t="n"/>
      <c r="GH20" s="18" t="n"/>
      <c r="GI20" s="18" t="n"/>
      <c r="GJ20" s="18" t="n"/>
      <c r="GK20" s="18" t="n"/>
      <c r="GL20" s="18" t="n"/>
      <c r="GM20" s="18" t="n"/>
      <c r="GN20" s="18" t="n"/>
      <c r="GO20" s="18" t="n"/>
      <c r="GP20" s="18" t="n"/>
      <c r="GQ20" s="18" t="n"/>
      <c r="GR20" s="18" t="n"/>
      <c r="GS20" s="18" t="n"/>
      <c r="GT20" s="18" t="n"/>
      <c r="GU20" s="18" t="n"/>
      <c r="GV20" s="18" t="n"/>
      <c r="GW20" s="18" t="n"/>
      <c r="GX20" s="18" t="n"/>
      <c r="GY20" s="18" t="n"/>
      <c r="GZ20" s="18" t="n"/>
      <c r="HA20" s="18" t="n"/>
      <c r="HB20" s="18" t="n"/>
      <c r="HC20" s="18" t="n"/>
      <c r="HD20" s="18" t="n"/>
      <c r="HE20" s="18" t="n"/>
      <c r="HF20" s="18" t="n"/>
      <c r="HG20" s="18" t="n"/>
      <c r="HH20" s="18" t="n"/>
      <c r="HI20" s="18" t="n"/>
      <c r="HJ20" s="18" t="n"/>
      <c r="HK20" s="18" t="n"/>
      <c r="HL20" s="18" t="n"/>
      <c r="HM20" s="18" t="n"/>
      <c r="HN20" s="18" t="n"/>
      <c r="HO20" s="18" t="n"/>
      <c r="HP20" s="18" t="n"/>
      <c r="HQ20" s="18" t="n"/>
      <c r="HR20" s="18" t="n"/>
      <c r="HS20" s="18" t="n"/>
      <c r="HT20" s="18" t="n"/>
      <c r="HU20" s="18" t="n"/>
      <c r="HV20" s="18" t="n"/>
      <c r="HW20" s="18" t="n"/>
      <c r="HX20" s="18" t="n"/>
      <c r="HY20" s="18" t="n"/>
      <c r="HZ20" s="18" t="n"/>
      <c r="IA20" s="18" t="n"/>
      <c r="IB20" s="18" t="n"/>
      <c r="IC20" s="18" t="n"/>
      <c r="ID20" s="18" t="n"/>
      <c r="IE20" s="18" t="n"/>
      <c r="IF20" s="18" t="n"/>
      <c r="IG20" s="18" t="n"/>
      <c r="IH20" s="18" t="n"/>
      <c r="II20" s="18" t="n"/>
    </row>
    <row r="21" ht="52.05" customHeight="1" s="88">
      <c r="A21" s="29" t="inlineStr">
        <is>
          <t>9000</t>
        </is>
      </c>
      <c r="B21" s="29" t="inlineStr">
        <is>
          <t>9000-4</t>
        </is>
      </c>
      <c r="C21" s="29" t="inlineStr">
        <is>
          <t>상부강화노반</t>
        </is>
      </c>
      <c r="D21" s="29" t="inlineStr">
        <is>
          <t>9000-4-20</t>
        </is>
      </c>
      <c r="E21" s="102" t="inlineStr">
        <is>
          <t>9000-4-17, 9000-4-18</t>
        </is>
      </c>
      <c r="F21" s="102" t="inlineStr">
        <is>
          <t>9000-4-22, 9000-4-23</t>
        </is>
      </c>
      <c r="G21" s="32" t="inlineStr">
        <is>
          <t>선로 종/횡단 및 용지경계측량</t>
        </is>
      </c>
      <c r="H21" s="33" t="inlineStr">
        <is>
          <t>D+0~10</t>
        </is>
      </c>
      <c r="I21" s="33" t="inlineStr">
        <is>
          <t>현장 공사팀</t>
        </is>
      </c>
      <c r="J21" s="34" t="inlineStr">
        <is>
          <t>본 과업은 트램 중심선 및 용지 경계선을 정밀 측정하여, 계획 중심선 이탈 방지 및 선로 종·횡단 계획 표고 준수 상태를 검증하는 것을 목적으로 함.</t>
        </is>
      </c>
      <c r="K21" s="34" t="inlineStr">
        <is>
          <t>1) 50m 시험 다짐 구간 지정 ➔ 2) 쇄석 30cm 두께 포설 ➔ 3) 패스별 침하량(Δh≤1mm) 측정 ➔ 4) 다짐 횟수(강동 4회) 보고서 승인</t>
        </is>
      </c>
      <c r="L21" s="34" t="inlineStr">
        <is>
          <t>50m 시험 구간 쇄석 30cm 포설, 패스별 침하량(Δh ≤ 1mm) 실측 및 강동 4회 다짐 횟수 확정</t>
        </is>
      </c>
      <c r="M21" s="34" t="inlineStr">
        <is>
          <t>본 과업은 트램 중심선 및 용지 경계선을 정밀 측정하여, 계획 중심선 이탈 방지 및 선로 종·횡단 계획 표고 준수 상태를 검증하는 것을 목적으로 함.</t>
        </is>
      </c>
      <c r="N21" s="35">
        <f>HYPERLINK(LEFT(CELL("filename",A1),FIND("[",CELL("filename",A1))-1)&amp;"4.상부강화노반\20_선로 종_횡단 및 용지경계측량\표준서\선로 종_횡단 및 용지경계측량_표준서.html", "👉 [클릭] 표준서 열기 📄")</f>
        <v/>
      </c>
      <c r="O21" s="34" t="inlineStr">
        <is>
          <t>1) 50m 시험 다짐 구간 지정 ➔ 2) 쇄석 30cm 두께 포설 ➔ 3) 패스별 침하량(Δh≤1mm) 측정 ➔ 4) 다짐 횟수(강동 4회) 보고서 승인</t>
        </is>
      </c>
      <c r="P21" s="36">
        <f>HYPERLINK(LEFT(CELL("filename",A1),FIND("[",CELL("filename",A1))-1)&amp;"4.상부강화노반\20_선로 종_횡단 및 용지경계측량\수행지침\선로 종_횡단 및 용지경계측량_수행지침.html", "👉 [클릭] 수행지침 열기 📄")</f>
        <v/>
      </c>
      <c r="Q21" s="34" t="inlineStr">
        <is>
          <t>50m 시험 구간 쇄석 30cm 포설, 패스별 침하량(Δh ≤ 1mm) 실측 및 강동 4회 다짐 횟수 확정</t>
        </is>
      </c>
      <c r="R21" s="37">
        <f>HYPERLINK(LEFT(CELL("filename",A1),FIND("[",CELL("filename",A1))-1)&amp;"4.상부강화노반\20_선로 종_횡단 및 용지경계측량\체크리스트\선로 종_횡단 및 용지경계측량_체크리스트.html", "👉 [클릭] 체크리스트 열기 📄")</f>
        <v/>
      </c>
      <c r="S21" s="33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8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8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8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18" t="n"/>
      <c r="GI21" s="18" t="n"/>
      <c r="GJ21" s="18" t="n"/>
      <c r="GK21" s="18" t="n"/>
      <c r="GL21" s="18" t="n"/>
      <c r="GM21" s="18" t="n"/>
      <c r="GN21" s="18" t="n"/>
      <c r="GO21" s="18" t="n"/>
      <c r="GP21" s="18" t="n"/>
      <c r="GQ21" s="18" t="n"/>
      <c r="GR21" s="18" t="n"/>
      <c r="GS21" s="18" t="n"/>
      <c r="GT21" s="18" t="n"/>
      <c r="GU21" s="18" t="n"/>
      <c r="GV21" s="18" t="n"/>
      <c r="GW21" s="18" t="n"/>
      <c r="GX21" s="18" t="n"/>
      <c r="GY21" s="18" t="n"/>
      <c r="GZ21" s="18" t="n"/>
      <c r="HA21" s="18" t="n"/>
      <c r="HB21" s="18" t="n"/>
      <c r="HC21" s="18" t="n"/>
      <c r="HD21" s="18" t="n"/>
      <c r="HE21" s="18" t="n"/>
      <c r="HF21" s="18" t="n"/>
      <c r="HG21" s="18" t="n"/>
      <c r="HH21" s="18" t="n"/>
      <c r="HI21" s="18" t="n"/>
      <c r="HJ21" s="18" t="n"/>
      <c r="HK21" s="18" t="n"/>
      <c r="HL21" s="18" t="n"/>
      <c r="HM21" s="18" t="n"/>
      <c r="HN21" s="18" t="n"/>
      <c r="HO21" s="18" t="n"/>
      <c r="HP21" s="18" t="n"/>
      <c r="HQ21" s="18" t="n"/>
      <c r="HR21" s="18" t="n"/>
      <c r="HS21" s="18" t="n"/>
      <c r="HT21" s="18" t="n"/>
      <c r="HU21" s="18" t="n"/>
      <c r="HV21" s="18" t="n"/>
      <c r="HW21" s="18" t="n"/>
      <c r="HX21" s="18" t="n"/>
      <c r="HY21" s="18" t="n"/>
      <c r="HZ21" s="18" t="n"/>
      <c r="IA21" s="18" t="n"/>
      <c r="IB21" s="18" t="n"/>
      <c r="IC21" s="18" t="n"/>
      <c r="ID21" s="18" t="n"/>
      <c r="IE21" s="18" t="n"/>
      <c r="IF21" s="18" t="n"/>
      <c r="IG21" s="18" t="n"/>
      <c r="IH21" s="18" t="n"/>
      <c r="II21" s="18" t="n"/>
      <c r="IJ21" s="18" t="n"/>
      <c r="IK21" s="18" t="n"/>
      <c r="IL21" s="18" t="n"/>
      <c r="IM21" s="18" t="n"/>
    </row>
    <row r="22" ht="52.05" customHeight="1" s="88">
      <c r="A22" s="19" t="inlineStr">
        <is>
          <t>9000</t>
        </is>
      </c>
      <c r="B22" s="19" t="inlineStr">
        <is>
          <t>9000-4</t>
        </is>
      </c>
      <c r="C22" s="19" t="inlineStr">
        <is>
          <t>상부강화노반</t>
        </is>
      </c>
      <c r="D22" s="19" t="inlineStr">
        <is>
          <t>9000-4-21</t>
        </is>
      </c>
      <c r="E22" s="95" t="inlineStr">
        <is>
          <t>9000-4-19</t>
        </is>
      </c>
      <c r="F22" s="95" t="inlineStr">
        <is>
          <t>9000-4-24</t>
        </is>
      </c>
      <c r="G22" s="23" t="inlineStr">
        <is>
          <t>규준틀 설치</t>
        </is>
      </c>
      <c r="H22" s="21" t="inlineStr">
        <is>
          <t>D+0~10</t>
        </is>
      </c>
      <c r="I22" s="21" t="inlineStr">
        <is>
          <t>현장 공사팀</t>
        </is>
      </c>
      <c r="J22" s="24" t="inlineStr">
        <is>
          <t>본 과업은 토공 굴착 및 성토 비탈면의 기울기와 마무리면 기준선 위치를 현장에 명확히 표시하여, 시공자가 정밀한 횡단 형상으로 토공을 추진하도록 가이드하는 것을 목적으로 함.</t>
        </is>
      </c>
      <c r="K22" s="24" t="inlineStr">
        <is>
          <t>1) 표토(15~30cm) 제거 &amp; 정전압 다짐 ➔ 2) 원지반 표고 레벨 측량 ➔ 3) K30(≥70 MN/m³) &amp; 펌핑 검측 ➔ 4) 원지반 검측 성과표 감리 승인</t>
        </is>
      </c>
      <c r="L22" s="24" t="inlineStr">
        <is>
          <t>유기질 표토(15~30cm) 제거전압 다짐, 원지반 K30 ≥ 70 MN/m³ 평판재하 및 덤프 펌핑 점검</t>
        </is>
      </c>
      <c r="M22" s="24" t="inlineStr">
        <is>
          <t>본 과업은 토공 굴착 및 성토 비탈면의 기울기와 마무리면 기준선 위치를 현장에 명확히 표시하여, 시공자가 정밀한 횡단 형상으로 토공을 추진하도록 가이드하는 것을 목적으로 함.</t>
        </is>
      </c>
      <c r="N22" s="25">
        <f>HYPERLINK(LEFT(CELL("filename",A1),FIND("[",CELL("filename",A1))-1)&amp;"4.상부강화노반\21_규준틀 설치\표준서\규준틀 설치_표준서.html", "👉 [클릭] 표준서 열기 📄")</f>
        <v/>
      </c>
      <c r="O22" s="24" t="inlineStr">
        <is>
          <t>1) 표토(15~30cm) 제거 &amp; 정전압 다짐 ➔ 2) 원지반 표고 레벨 측량 ➔ 3) K30(≥70 MN/m³) &amp; 펌핑 검측 ➔ 4) 원지반 검측 성과표 감리 승인</t>
        </is>
      </c>
      <c r="P22" s="26">
        <f>HYPERLINK(LEFT(CELL("filename",A1),FIND("[",CELL("filename",A1))-1)&amp;"4.상부강화노반\21_규준틀 설치\수행지침\규준틀 설치_수행지침.html", "👉 [클릭] 수행지침 열기 📄")</f>
        <v/>
      </c>
      <c r="Q22" s="24" t="inlineStr">
        <is>
          <t>유기질 표토(15~30cm) 제거전압 다짐, 원지반 K30 ≥ 70 MN/m³ 평판재하 및 덤프 펌핑 점검</t>
        </is>
      </c>
      <c r="R22" s="27">
        <f>HYPERLINK(LEFT(CELL("filename",A1),FIND("[",CELL("filename",A1))-1)&amp;"4.상부강화노반\21_규준틀 설치\체크리스트\규준틀 설치_체크리스트.html", "👉 [클릭] 체크리스트 열기 📄")</f>
        <v/>
      </c>
      <c r="S22" s="2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Y22" s="18" t="n"/>
      <c r="DZ22" s="18" t="n"/>
      <c r="EA22" s="18" t="n"/>
      <c r="EB22" s="18" t="n"/>
      <c r="EC22" s="18" t="n"/>
      <c r="ED22" s="18" t="n"/>
      <c r="EE22" s="18" t="n"/>
      <c r="EF22" s="18" t="n"/>
      <c r="EG22" s="18" t="n"/>
      <c r="EH22" s="18" t="n"/>
      <c r="EI22" s="18" t="n"/>
      <c r="EJ22" s="18" t="n"/>
      <c r="EK22" s="18" t="n"/>
      <c r="EL22" s="18" t="n"/>
      <c r="EM22" s="18" t="n"/>
      <c r="EN22" s="18" t="n"/>
      <c r="EO22" s="18" t="n"/>
      <c r="EP22" s="18" t="n"/>
      <c r="EQ22" s="18" t="n"/>
      <c r="ER22" s="18" t="n"/>
      <c r="ES22" s="18" t="n"/>
      <c r="ET22" s="18" t="n"/>
      <c r="EU22" s="18" t="n"/>
      <c r="EV22" s="18" t="n"/>
      <c r="EW22" s="18" t="n"/>
      <c r="EX22" s="18" t="n"/>
      <c r="EY22" s="18" t="n"/>
      <c r="EZ22" s="18" t="n"/>
      <c r="FA22" s="18" t="n"/>
      <c r="FB22" s="18" t="n"/>
      <c r="FC22" s="18" t="n"/>
      <c r="FD22" s="18" t="n"/>
      <c r="FE22" s="18" t="n"/>
      <c r="FF22" s="18" t="n"/>
      <c r="FG22" s="18" t="n"/>
      <c r="FH22" s="18" t="n"/>
      <c r="FI22" s="18" t="n"/>
      <c r="FJ22" s="18" t="n"/>
      <c r="FK22" s="18" t="n"/>
      <c r="FL22" s="18" t="n"/>
      <c r="FM22" s="18" t="n"/>
      <c r="FN22" s="18" t="n"/>
      <c r="FO22" s="18" t="n"/>
      <c r="FP22" s="18" t="n"/>
      <c r="FQ22" s="18" t="n"/>
      <c r="FR22" s="18" t="n"/>
      <c r="FS22" s="18" t="n"/>
      <c r="FT22" s="18" t="n"/>
      <c r="FU22" s="18" t="n"/>
      <c r="FV22" s="18" t="n"/>
      <c r="FW22" s="18" t="n"/>
      <c r="FX22" s="18" t="n"/>
      <c r="FY22" s="18" t="n"/>
      <c r="FZ22" s="18" t="n"/>
      <c r="GA22" s="18" t="n"/>
      <c r="GB22" s="18" t="n"/>
      <c r="GC22" s="18" t="n"/>
      <c r="GD22" s="18" t="n"/>
      <c r="GE22" s="18" t="n"/>
      <c r="GF22" s="18" t="n"/>
      <c r="GG22" s="18" t="n"/>
      <c r="GH22" s="18" t="n"/>
      <c r="GI22" s="18" t="n"/>
      <c r="GJ22" s="18" t="n"/>
      <c r="GK22" s="18" t="n"/>
      <c r="GL22" s="18" t="n"/>
      <c r="GM22" s="18" t="n"/>
      <c r="GN22" s="18" t="n"/>
      <c r="GO22" s="18" t="n"/>
      <c r="GP22" s="18" t="n"/>
      <c r="GQ22" s="18" t="n"/>
      <c r="GR22" s="18" t="n"/>
      <c r="GS22" s="18" t="n"/>
      <c r="GT22" s="18" t="n"/>
      <c r="GU22" s="18" t="n"/>
      <c r="GV22" s="18" t="n"/>
      <c r="GW22" s="18" t="n"/>
      <c r="GX22" s="18" t="n"/>
      <c r="GY22" s="18" t="n"/>
      <c r="GZ22" s="18" t="n"/>
      <c r="HA22" s="18" t="n"/>
      <c r="HB22" s="18" t="n"/>
      <c r="HC22" s="18" t="n"/>
      <c r="HD22" s="18" t="n"/>
      <c r="HE22" s="18" t="n"/>
      <c r="HF22" s="18" t="n"/>
      <c r="HG22" s="18" t="n"/>
      <c r="HH22" s="18" t="n"/>
      <c r="HI22" s="18" t="n"/>
      <c r="HJ22" s="18" t="n"/>
      <c r="HK22" s="18" t="n"/>
      <c r="HL22" s="18" t="n"/>
      <c r="HM22" s="18" t="n"/>
      <c r="HN22" s="18" t="n"/>
      <c r="HO22" s="18" t="n"/>
      <c r="HP22" s="18" t="n"/>
      <c r="HQ22" s="18" t="n"/>
      <c r="HR22" s="18" t="n"/>
      <c r="HS22" s="18" t="n"/>
      <c r="HT22" s="18" t="n"/>
      <c r="HU22" s="18" t="n"/>
      <c r="HV22" s="18" t="n"/>
      <c r="HW22" s="18" t="n"/>
      <c r="HX22" s="18" t="n"/>
      <c r="HY22" s="18" t="n"/>
      <c r="HZ22" s="18" t="n"/>
      <c r="IA22" s="18" t="n"/>
      <c r="IB22" s="18" t="n"/>
      <c r="IC22" s="18" t="n"/>
      <c r="ID22" s="18" t="n"/>
      <c r="IE22" s="18" t="n"/>
      <c r="IF22" s="18" t="n"/>
      <c r="IG22" s="18" t="n"/>
      <c r="IH22" s="18" t="n"/>
      <c r="II22" s="18" t="n"/>
      <c r="IJ22" s="18" t="n"/>
      <c r="IK22" s="18" t="n"/>
      <c r="IL22" s="18" t="n"/>
      <c r="IM22" s="18" t="n"/>
      <c r="IN22" s="18" t="n"/>
      <c r="IO22" s="18" t="n"/>
      <c r="IP22" s="18" t="n"/>
      <c r="IQ22" s="18" t="n"/>
    </row>
    <row r="23" ht="52.05" customHeight="1" s="88">
      <c r="A23" s="29" t="inlineStr">
        <is>
          <t>9000</t>
        </is>
      </c>
      <c r="B23" s="29" t="inlineStr">
        <is>
          <t>9000-4</t>
        </is>
      </c>
      <c r="C23" s="29" t="inlineStr">
        <is>
          <t>상부강화노반</t>
        </is>
      </c>
      <c r="D23" s="29" t="inlineStr">
        <is>
          <t>9000-4-22</t>
        </is>
      </c>
      <c r="E23" s="102" t="inlineStr">
        <is>
          <t>9000-4-19, 9000-4-20</t>
        </is>
      </c>
      <c r="F23" s="102" t="inlineStr">
        <is>
          <t>9000-4-24, 9000-4-25</t>
        </is>
      </c>
      <c r="G23" s="32" t="inlineStr">
        <is>
          <t>준비배수</t>
        </is>
      </c>
      <c r="H23" s="33" t="inlineStr">
        <is>
          <t>D+10~200</t>
        </is>
      </c>
      <c r="I23" s="33" t="inlineStr">
        <is>
          <t>현장 공사팀</t>
        </is>
      </c>
      <c r="J23" s="34" t="inlineStr">
        <is>
          <t>본 과업은 성토 작업 착수 전 원지반 표면 수분 및 지하수 유입을 차단하기 위해, 준비 배수공을 시행하여 성토재의 밀실한 다짐 여건을 조성하는 것을 목적으로 함.</t>
        </is>
      </c>
      <c r="K23" s="34" t="inlineStr">
        <is>
          <t>1) 하부노반 30cm 층포설 &amp; 다짐 ➔ 2) 들밀도(≥90%) &amp; K30(≥90) 시험 ➔ 3) 마무리면 레벨 오차(±20mm) 검측 ➔ 4) 하부노반 검측서 감리 승인</t>
        </is>
      </c>
      <c r="L23" s="34" t="inlineStr">
        <is>
          <t>토사 층두께 ≤ 30cm 포설 다짐, 들밀도 다짐도 ≥ 90% (KS F 2311) 및 K30 ≥ 90 MN/m³ 검측</t>
        </is>
      </c>
      <c r="M23" s="34" t="inlineStr">
        <is>
          <t>본 과업은 성토 작업 착수 전 원지반 표면 수분 및 지하수 유입을 차단하기 위해, 준비 배수공을 시행하여 성토재의 밀실한 다짐 여건을 조성하는 것을 목적으로 함.</t>
        </is>
      </c>
      <c r="N23" s="35">
        <f>HYPERLINK(LEFT(CELL("filename",A1),FIND("[",CELL("filename",A1))-1)&amp;"4.상부강화노반\22_준비배수\표준서\준비배수_표준서.html", "👉 [클릭] 표준서 열기 📄")</f>
        <v/>
      </c>
      <c r="O23" s="34" t="inlineStr">
        <is>
          <t>1) 하부노반 30cm 층포설 &amp; 다짐 ➔ 2) 들밀도(≥90%) &amp; K30(≥90) 시험 ➔ 3) 마무리면 레벨 오차(±20mm) 검측 ➔ 4) 하부노반 검측서 감리 승인</t>
        </is>
      </c>
      <c r="P23" s="36">
        <f>HYPERLINK(LEFT(CELL("filename",A1),FIND("[",CELL("filename",A1))-1)&amp;"4.상부강화노반\22_준비배수\수행지침\준비배수_수행지침.html", "👉 [클릭] 수행지침 열기 📄")</f>
        <v/>
      </c>
      <c r="Q23" s="34" t="inlineStr">
        <is>
          <t>토사 층두께 ≤ 30cm 포설 다짐, 들밀도 다짐도 ≥ 90% (KS F 2311) 및 K30 ≥ 90 MN/m³ 검측</t>
        </is>
      </c>
      <c r="R23" s="37">
        <f>HYPERLINK(LEFT(CELL("filename",A1),FIND("[",CELL("filename",A1))-1)&amp;"4.상부강화노반\22_준비배수\체크리스트\준비배수_체크리스트.html", "👉 [클릭] 체크리스트 열기 📄")</f>
        <v/>
      </c>
      <c r="S23" s="33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8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8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8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18" t="n"/>
      <c r="GI23" s="18" t="n"/>
      <c r="GJ23" s="18" t="n"/>
      <c r="GK23" s="18" t="n"/>
      <c r="GL23" s="18" t="n"/>
      <c r="GM23" s="18" t="n"/>
      <c r="GN23" s="18" t="n"/>
      <c r="GO23" s="18" t="n"/>
      <c r="GP23" s="18" t="n"/>
      <c r="GQ23" s="18" t="n"/>
      <c r="GR23" s="18" t="n"/>
      <c r="GS23" s="18" t="n"/>
      <c r="GT23" s="18" t="n"/>
      <c r="GU23" s="18" t="n"/>
      <c r="GV23" s="18" t="n"/>
      <c r="GW23" s="18" t="n"/>
      <c r="GX23" s="18" t="n"/>
      <c r="GY23" s="18" t="n"/>
      <c r="GZ23" s="18" t="n"/>
      <c r="HA23" s="18" t="n"/>
      <c r="HB23" s="18" t="n"/>
      <c r="HC23" s="18" t="n"/>
      <c r="HD23" s="18" t="n"/>
      <c r="HE23" s="18" t="n"/>
      <c r="HF23" s="18" t="n"/>
      <c r="HG23" s="18" t="n"/>
      <c r="HH23" s="18" t="n"/>
      <c r="HI23" s="18" t="n"/>
      <c r="HJ23" s="18" t="n"/>
      <c r="HK23" s="18" t="n"/>
      <c r="HL23" s="18" t="n"/>
      <c r="HM23" s="18" t="n"/>
      <c r="HN23" s="18" t="n"/>
      <c r="HO23" s="18" t="n"/>
      <c r="HP23" s="18" t="n"/>
      <c r="HQ23" s="18" t="n"/>
      <c r="HR23" s="18" t="n"/>
      <c r="HS23" s="18" t="n"/>
      <c r="HT23" s="18" t="n"/>
      <c r="HU23" s="18" t="n"/>
      <c r="HV23" s="18" t="n"/>
      <c r="HW23" s="18" t="n"/>
      <c r="HX23" s="18" t="n"/>
      <c r="HY23" s="18" t="n"/>
      <c r="HZ23" s="18" t="n"/>
      <c r="IA23" s="18" t="n"/>
      <c r="IB23" s="18" t="n"/>
      <c r="IC23" s="18" t="n"/>
      <c r="ID23" s="18" t="n"/>
      <c r="IE23" s="18" t="n"/>
      <c r="IF23" s="18" t="n"/>
      <c r="IG23" s="18" t="n"/>
      <c r="IH23" s="18" t="n"/>
      <c r="II23" s="18" t="n"/>
      <c r="IJ23" s="18" t="n"/>
      <c r="IK23" s="18" t="n"/>
      <c r="IL23" s="18" t="n"/>
      <c r="IM23" s="18" t="n"/>
      <c r="IN23" s="18" t="n"/>
      <c r="IO23" s="18" t="n"/>
      <c r="IP23" s="18" t="n"/>
      <c r="IQ23" s="18" t="n"/>
      <c r="IR23" s="18" t="n"/>
      <c r="IS23" s="18" t="n"/>
      <c r="IT23" s="18" t="n"/>
      <c r="IU23" s="18" t="n"/>
    </row>
    <row r="24" ht="52.05" customHeight="1" s="88">
      <c r="A24" s="19" t="inlineStr">
        <is>
          <t>9000</t>
        </is>
      </c>
      <c r="B24" s="19" t="inlineStr">
        <is>
          <t>9000-4</t>
        </is>
      </c>
      <c r="C24" s="19" t="inlineStr">
        <is>
          <t>상부강화노반</t>
        </is>
      </c>
      <c r="D24" s="19" t="inlineStr">
        <is>
          <t>9000-4-23</t>
        </is>
      </c>
      <c r="E24" s="95" t="inlineStr">
        <is>
          <t>9000-4-20</t>
        </is>
      </c>
      <c r="F24" s="95" t="inlineStr">
        <is>
          <t>9000-4-25</t>
        </is>
      </c>
      <c r="G24" s="23" t="inlineStr">
        <is>
          <t>벌개제근/표토제거</t>
        </is>
      </c>
      <c r="H24" s="21" t="inlineStr">
        <is>
          <t>D+10~25</t>
        </is>
      </c>
      <c r="I24" s="21" t="inlineStr">
        <is>
          <t>현장 공사팀</t>
        </is>
      </c>
      <c r="J24" s="24" t="inlineStr">
        <is>
          <t>본 과업은 성토 지반의 잡목, 뿌리, 유기질 표토를 깨끗이 제거하여, 원지반과 성토재 간의 밀착력을 높이고 침하 및 지반 약화 요인을 제거하는 것을 목적으로 함.</t>
        </is>
      </c>
      <c r="K24" s="24" t="inlineStr">
        <is>
          <t>1) 상부노반 토사 30cm 포설 ➔ 2) 맹암거 부직포(200g/m²) 부설 ➔ 3) HDPE 유공관(Ø200mm) 종단 연결 ➔ 4) 상부노반 시공 감리 서면 승인</t>
        </is>
      </c>
      <c r="L24" s="24" t="inlineStr">
        <is>
          <t>상부노반 토사 30cm 포설, 맹암거 투수성 부직포(200g/m²) 및 HDPE 유공관(Ø200mm) 매몰 검측</t>
        </is>
      </c>
      <c r="M24" s="24" t="inlineStr">
        <is>
          <t>본 과업은 성토 지반의 잡목, 뿌리, 유기질 표토를 깨끗이 제거하여, 원지반과 성토재 간의 밀착력을 높이고 침하 및 지반 약화 요인을 제거하는 것을 목적으로 함.</t>
        </is>
      </c>
      <c r="N24" s="25">
        <f>HYPERLINK(LEFT(CELL("filename",A1),FIND("[",CELL("filename",A1))-1)&amp;"4.상부강화노반\23_벌개제근_표토제거\표준서\벌개제근_표토제거_표준서.html", "👉 [클릭] 표준서 열기 📄")</f>
        <v/>
      </c>
      <c r="O24" s="24" t="inlineStr">
        <is>
          <t>1) 상부노반 토사 30cm 포설 ➔ 2) 맹암거 부직포(200g/m²) 부설 ➔ 3) HDPE 유공관(Ø200mm) 종단 연결 ➔ 4) 상부노반 시공 감리 서면 승인</t>
        </is>
      </c>
      <c r="P24" s="26">
        <f>HYPERLINK(LEFT(CELL("filename",A1),FIND("[",CELL("filename",A1))-1)&amp;"4.상부강화노반\23_벌개제근_표토제거\수행지침\벌개제근_표토제거_수행지침.html", "👉 [클릭] 수행지침 열기 📄")</f>
        <v/>
      </c>
      <c r="Q24" s="24" t="inlineStr">
        <is>
          <t>상부노반 토사 30cm 포설, 맹암거 투수성 부직포(200g/m²) 및 HDPE 유공관(Ø200mm) 매몰 검측</t>
        </is>
      </c>
      <c r="R24" s="27">
        <f>HYPERLINK(LEFT(CELL("filename",A1),FIND("[",CELL("filename",A1))-1)&amp;"4.상부강화노반\23_벌개제근_표토제거\체크리스트\벌개제근_표토제거_체크리스트.html", "👉 [클릭] 체크리스트 열기 📄")</f>
        <v/>
      </c>
      <c r="S24" s="2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8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8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8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18" t="n"/>
      <c r="GI24" s="18" t="n"/>
      <c r="GJ24" s="18" t="n"/>
      <c r="GK24" s="18" t="n"/>
      <c r="GL24" s="18" t="n"/>
      <c r="GM24" s="18" t="n"/>
      <c r="GN24" s="18" t="n"/>
      <c r="GO24" s="18" t="n"/>
      <c r="GP24" s="18" t="n"/>
      <c r="GQ24" s="18" t="n"/>
      <c r="GR24" s="18" t="n"/>
      <c r="GS24" s="18" t="n"/>
      <c r="GT24" s="18" t="n"/>
      <c r="GU24" s="18" t="n"/>
      <c r="GV24" s="18" t="n"/>
      <c r="GW24" s="18" t="n"/>
      <c r="GX24" s="18" t="n"/>
      <c r="GY24" s="18" t="n"/>
      <c r="GZ24" s="18" t="n"/>
      <c r="HA24" s="18" t="n"/>
      <c r="HB24" s="18" t="n"/>
      <c r="HC24" s="18" t="n"/>
      <c r="HD24" s="18" t="n"/>
      <c r="HE24" s="18" t="n"/>
      <c r="HF24" s="18" t="n"/>
      <c r="HG24" s="18" t="n"/>
      <c r="HH24" s="18" t="n"/>
      <c r="HI24" s="18" t="n"/>
      <c r="HJ24" s="18" t="n"/>
      <c r="HK24" s="18" t="n"/>
      <c r="HL24" s="18" t="n"/>
      <c r="HM24" s="18" t="n"/>
      <c r="HN24" s="18" t="n"/>
      <c r="HO24" s="18" t="n"/>
      <c r="HP24" s="18" t="n"/>
      <c r="HQ24" s="18" t="n"/>
      <c r="HR24" s="18" t="n"/>
      <c r="HS24" s="18" t="n"/>
      <c r="HT24" s="18" t="n"/>
      <c r="HU24" s="18" t="n"/>
      <c r="HV24" s="18" t="n"/>
      <c r="HW24" s="18" t="n"/>
      <c r="HX24" s="18" t="n"/>
      <c r="HY24" s="18" t="n"/>
      <c r="HZ24" s="18" t="n"/>
      <c r="IA24" s="18" t="n"/>
      <c r="IB24" s="18" t="n"/>
      <c r="IC24" s="18" t="n"/>
      <c r="ID24" s="18" t="n"/>
      <c r="IE24" s="18" t="n"/>
      <c r="IF24" s="18" t="n"/>
      <c r="IG24" s="18" t="n"/>
      <c r="IH24" s="18" t="n"/>
      <c r="II24" s="18" t="n"/>
      <c r="IJ24" s="18" t="n"/>
      <c r="IK24" s="18" t="n"/>
      <c r="IL24" s="18" t="n"/>
      <c r="IM24" s="18" t="n"/>
      <c r="IN24" s="18" t="n"/>
      <c r="IO24" s="18" t="n"/>
      <c r="IP24" s="18" t="n"/>
      <c r="IQ24" s="18" t="n"/>
      <c r="IR24" s="18" t="n"/>
      <c r="IS24" s="18" t="n"/>
      <c r="IT24" s="18" t="n"/>
      <c r="IU24" s="18" t="n"/>
      <c r="IV24" s="18" t="n"/>
      <c r="IW24" s="18" t="n"/>
      <c r="IX24" s="18" t="n"/>
      <c r="IY24" s="18" t="n"/>
    </row>
    <row r="25" ht="52.05" customHeight="1" s="88">
      <c r="A25" s="29" t="inlineStr">
        <is>
          <t>9000</t>
        </is>
      </c>
      <c r="B25" s="29" t="inlineStr">
        <is>
          <t>9000-4</t>
        </is>
      </c>
      <c r="C25" s="29" t="inlineStr">
        <is>
          <t>상부강화노반</t>
        </is>
      </c>
      <c r="D25" s="29" t="inlineStr">
        <is>
          <t>9000-4-24</t>
        </is>
      </c>
      <c r="E25" s="102" t="inlineStr">
        <is>
          <t>9000-4-21, 9000-4-22</t>
        </is>
      </c>
      <c r="F25" s="102" t="inlineStr">
        <is>
          <t>9000-4-26, 9000-4-27</t>
        </is>
      </c>
      <c r="G25" s="32" t="inlineStr">
        <is>
          <t>구조물 및 지장물 제거</t>
        </is>
      </c>
      <c r="H25" s="33" t="inlineStr">
        <is>
          <t>D+10~30</t>
        </is>
      </c>
      <c r="I25" s="33" t="inlineStr">
        <is>
          <t>현장 공사팀</t>
        </is>
      </c>
      <c r="J25" s="34" t="inlineStr">
        <is>
          <t>본 과업은 성토 구역 내 존치된 기존 구조물, 옹벽, 암거 등을 철거하고 연약 지반 부위를 정리하여, 노반 다짐의 균일성과 안정성을 확보하는 것을 목적으로 함.</t>
        </is>
      </c>
      <c r="K25" s="34" t="inlineStr">
        <is>
          <t>1) 3D GPS 모터그레이더 쇄석(50mm) 30cm 포설 ➔ 2) 살수차 최적함수비 OMC 살수 ➔ 3) 강동 4회 + 타이어 2회 다짐 ➔ 4) 표고 오차(±10mm) 검측 감리 승인</t>
        </is>
      </c>
      <c r="L25" s="34" t="inlineStr">
        <is>
          <t>3D GPS 쇄석(50mm) 30cm 포설, OMC 분무 살수 및 강동 4회/타이어 2회 다짐 (표고 오차 ±10mm)</t>
        </is>
      </c>
      <c r="M25" s="34" t="inlineStr">
        <is>
          <t>본 과업은 성토 구역 내 존치된 기존 구조물, 옹벽, 암거 등을 철거하고 연약 지반 부위를 정리하여, 노반 다짐의 균일성과 안정성을 확보하는 것을 목적으로 함.</t>
        </is>
      </c>
      <c r="N25" s="35">
        <f>HYPERLINK(LEFT(CELL("filename",A1),FIND("[",CELL("filename",A1))-1)&amp;"4.상부강화노반\24_구조물 및 지장물 제거\표준서\구조물 및 지장물 제거_표준서.html", "👉 [클릭] 표준서 열기 📄")</f>
        <v/>
      </c>
      <c r="O25" s="34" t="inlineStr">
        <is>
          <t>1) 3D GPS 모터그레이더 쇄석(50mm) 30cm 포설 ➔ 2) 살수차 최적함수비 OMC 살수 ➔ 3) 강동 4회 + 타이어 2회 다짐 ➔ 4) 표고 오차(±10mm) 검측 감리 승인</t>
        </is>
      </c>
      <c r="P25" s="36">
        <f>HYPERLINK(LEFT(CELL("filename",A1),FIND("[",CELL("filename",A1))-1)&amp;"4.상부강화노반\24_구조물 및 지장물 제거\수행지침\구조물 및 지장물 제거_수행지침.html", "👉 [클릭] 수행지침 열기 📄")</f>
        <v/>
      </c>
      <c r="Q25" s="34" t="inlineStr">
        <is>
          <t>3D GPS 쇄석(50mm) 30cm 포설, OMC 분무 살수 및 강동 4회/타이어 2회 다짐 (표고 오차 ±10mm)</t>
        </is>
      </c>
      <c r="R25" s="37">
        <f>HYPERLINK(LEFT(CELL("filename",A1),FIND("[",CELL("filename",A1))-1)&amp;"4.상부강화노반\24_구조물 및 지장물 제거\체크리스트\구조물 및 지장물 제거_체크리스트.html", "👉 [클릭] 체크리스트 열기 📄")</f>
        <v/>
      </c>
      <c r="S25" s="33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8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8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8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18" t="n"/>
      <c r="GI25" s="18" t="n"/>
      <c r="GJ25" s="18" t="n"/>
      <c r="GK25" s="18" t="n"/>
      <c r="GL25" s="18" t="n"/>
      <c r="GM25" s="18" t="n"/>
      <c r="GN25" s="18" t="n"/>
      <c r="GO25" s="18" t="n"/>
      <c r="GP25" s="18" t="n"/>
      <c r="GQ25" s="18" t="n"/>
      <c r="GR25" s="18" t="n"/>
      <c r="GS25" s="18" t="n"/>
      <c r="GT25" s="18" t="n"/>
      <c r="GU25" s="18" t="n"/>
      <c r="GV25" s="18" t="n"/>
      <c r="GW25" s="18" t="n"/>
      <c r="GX25" s="18" t="n"/>
      <c r="GY25" s="18" t="n"/>
      <c r="GZ25" s="18" t="n"/>
      <c r="HA25" s="18" t="n"/>
      <c r="HB25" s="18" t="n"/>
      <c r="HC25" s="18" t="n"/>
      <c r="HD25" s="18" t="n"/>
      <c r="HE25" s="18" t="n"/>
      <c r="HF25" s="18" t="n"/>
      <c r="HG25" s="18" t="n"/>
      <c r="HH25" s="18" t="n"/>
      <c r="HI25" s="18" t="n"/>
      <c r="HJ25" s="18" t="n"/>
      <c r="HK25" s="18" t="n"/>
      <c r="HL25" s="18" t="n"/>
      <c r="HM25" s="18" t="n"/>
      <c r="HN25" s="18" t="n"/>
      <c r="HO25" s="18" t="n"/>
      <c r="HP25" s="18" t="n"/>
      <c r="HQ25" s="18" t="n"/>
      <c r="HR25" s="18" t="n"/>
      <c r="HS25" s="18" t="n"/>
      <c r="HT25" s="18" t="n"/>
      <c r="HU25" s="18" t="n"/>
      <c r="HV25" s="18" t="n"/>
      <c r="HW25" s="18" t="n"/>
      <c r="HX25" s="18" t="n"/>
      <c r="HY25" s="18" t="n"/>
      <c r="HZ25" s="18" t="n"/>
      <c r="IA25" s="18" t="n"/>
      <c r="IB25" s="18" t="n"/>
      <c r="IC25" s="18" t="n"/>
      <c r="ID25" s="18" t="n"/>
      <c r="IE25" s="18" t="n"/>
      <c r="IF25" s="18" t="n"/>
      <c r="IG25" s="18" t="n"/>
      <c r="IH25" s="18" t="n"/>
      <c r="II25" s="18" t="n"/>
      <c r="IJ25" s="18" t="n"/>
      <c r="IK25" s="18" t="n"/>
      <c r="IL25" s="18" t="n"/>
      <c r="IM25" s="18" t="n"/>
      <c r="IN25" s="18" t="n"/>
      <c r="IO25" s="18" t="n"/>
      <c r="IP25" s="18" t="n"/>
      <c r="IQ25" s="18" t="n"/>
      <c r="IR25" s="18" t="n"/>
      <c r="IS25" s="18" t="n"/>
      <c r="IT25" s="18" t="n"/>
      <c r="IU25" s="18" t="n"/>
      <c r="IV25" s="18" t="n"/>
      <c r="IW25" s="18" t="n"/>
      <c r="IX25" s="18" t="n"/>
      <c r="IY25" s="18" t="n"/>
      <c r="IZ25" s="18" t="n"/>
      <c r="JA25" s="18" t="n"/>
      <c r="JB25" s="18" t="n"/>
      <c r="JC25" s="18" t="n"/>
    </row>
    <row r="26" ht="52.05" customHeight="1" s="88">
      <c r="A26" s="19" t="inlineStr">
        <is>
          <t>9000</t>
        </is>
      </c>
      <c r="B26" s="19" t="inlineStr">
        <is>
          <t>9000-4</t>
        </is>
      </c>
      <c r="C26" s="19" t="inlineStr">
        <is>
          <t>상부강화노반</t>
        </is>
      </c>
      <c r="D26" s="19" t="inlineStr">
        <is>
          <t>9000-4-25</t>
        </is>
      </c>
      <c r="E26" s="95" t="inlineStr">
        <is>
          <t>9000-4-22, 9000-4-23</t>
        </is>
      </c>
      <c r="F26" s="95" t="inlineStr">
        <is>
          <t>9000-4-27, 9000-4-28</t>
        </is>
      </c>
      <c r="G26" s="23" t="inlineStr">
        <is>
          <t>진입로 조성</t>
        </is>
      </c>
      <c r="H26" s="21" t="inlineStr">
        <is>
          <t>D+10~30</t>
        </is>
      </c>
      <c r="I26" s="21" t="inlineStr">
        <is>
          <t>현장 공사팀</t>
        </is>
      </c>
      <c r="J26" s="24" t="inlineStr">
        <is>
          <t>본 과업은 대형 중장비 및 토사 운반 차량의 원활하고 안전한 진출입을 위해, 잡석 포설 및 다짐을 시행하여 견고한 가설 진입로를 확보하는 것을 목적으로 함.</t>
        </is>
      </c>
      <c r="K26" s="24" t="inlineStr">
        <is>
          <t>1) 들밀도 시험(다짐도 ≥ 95%) ➔ 2) K30 평판재하시험(≥ 110 MN/m³) ➔ 3) 동적변형계수 Ev2(≥ 60 MPa) 시험 ➔ 4) 다짐 검측 종합 보고서 승인</t>
        </is>
      </c>
      <c r="L26" s="24" t="inlineStr">
        <is>
          <t>노반 들밀도 다짐도 ≥ 95%, 평판재하 K30 ≥ 110 MN/m³ 및 동적변형계수 Ev2 ≥ 60 MPa (Ev2/Ev1 ≤ 2.2)</t>
        </is>
      </c>
      <c r="M26" s="24" t="inlineStr">
        <is>
          <t>본 과업은 대형 중장비 및 토사 운반 차량의 원활하고 안전한 진출입을 위해, 잡석 포설 및 다짐을 시행하여 견고한 가설 진입로를 확보하는 것을 목적으로 함.</t>
        </is>
      </c>
      <c r="N26" s="25">
        <f>HYPERLINK(LEFT(CELL("filename",A1),FIND("[",CELL("filename",A1))-1)&amp;"4.상부강화노반\25_진입로 조성\표준서\진입로 조성_표준서.html", "👉 [클릭] 표준서 열기 📄")</f>
        <v/>
      </c>
      <c r="O26" s="24" t="inlineStr">
        <is>
          <t>1) 들밀도 시험(다짐도 ≥ 95%) ➔ 2) K30 평판재하시험(≥ 110 MN/m³) ➔ 3) 동적변형계수 Ev2(≥ 60 MPa) 시험 ➔ 4) 다짐 검측 종합 보고서 승인</t>
        </is>
      </c>
      <c r="P26" s="26">
        <f>HYPERLINK(LEFT(CELL("filename",A1),FIND("[",CELL("filename",A1))-1)&amp;"4.상부강화노반\25_진입로 조성\수행지침\진입로 조성_수행지침.html", "👉 [클릭] 수행지침 열기 📄")</f>
        <v/>
      </c>
      <c r="Q26" s="24" t="inlineStr">
        <is>
          <t>노반 들밀도 다짐도 ≥ 95%, 평판재하 K30 ≥ 110 MN/m³ 및 동적변형계수 Ev2 ≥ 60 MPa (Ev2/Ev1 ≤ 2.2)</t>
        </is>
      </c>
      <c r="R26" s="27">
        <f>HYPERLINK(LEFT(CELL("filename",A1),FIND("[",CELL("filename",A1))-1)&amp;"4.상부강화노반\25_진입로 조성\체크리스트\진입로 조성_체크리스트.html", "👉 [클릭] 체크리스트 열기 📄")</f>
        <v/>
      </c>
      <c r="S26" s="2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8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8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8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18" t="n"/>
      <c r="GI26" s="18" t="n"/>
      <c r="GJ26" s="18" t="n"/>
      <c r="GK26" s="18" t="n"/>
      <c r="GL26" s="18" t="n"/>
      <c r="GM26" s="18" t="n"/>
      <c r="GN26" s="18" t="n"/>
      <c r="GO26" s="18" t="n"/>
      <c r="GP26" s="18" t="n"/>
      <c r="GQ26" s="18" t="n"/>
      <c r="GR26" s="18" t="n"/>
      <c r="GS26" s="18" t="n"/>
      <c r="GT26" s="18" t="n"/>
      <c r="GU26" s="18" t="n"/>
      <c r="GV26" s="18" t="n"/>
      <c r="GW26" s="18" t="n"/>
      <c r="GX26" s="18" t="n"/>
      <c r="GY26" s="18" t="n"/>
      <c r="GZ26" s="18" t="n"/>
      <c r="HA26" s="18" t="n"/>
      <c r="HB26" s="18" t="n"/>
      <c r="HC26" s="18" t="n"/>
      <c r="HD26" s="18" t="n"/>
      <c r="HE26" s="18" t="n"/>
      <c r="HF26" s="18" t="n"/>
      <c r="HG26" s="18" t="n"/>
      <c r="HH26" s="18" t="n"/>
      <c r="HI26" s="18" t="n"/>
      <c r="HJ26" s="18" t="n"/>
      <c r="HK26" s="18" t="n"/>
      <c r="HL26" s="18" t="n"/>
      <c r="HM26" s="18" t="n"/>
      <c r="HN26" s="18" t="n"/>
      <c r="HO26" s="18" t="n"/>
      <c r="HP26" s="18" t="n"/>
      <c r="HQ26" s="18" t="n"/>
      <c r="HR26" s="18" t="n"/>
      <c r="HS26" s="18" t="n"/>
      <c r="HT26" s="18" t="n"/>
      <c r="HU26" s="18" t="n"/>
      <c r="HV26" s="18" t="n"/>
      <c r="HW26" s="18" t="n"/>
      <c r="HX26" s="18" t="n"/>
      <c r="HY26" s="18" t="n"/>
      <c r="HZ26" s="18" t="n"/>
      <c r="IA26" s="18" t="n"/>
      <c r="IB26" s="18" t="n"/>
      <c r="IC26" s="18" t="n"/>
      <c r="ID26" s="18" t="n"/>
      <c r="IE26" s="18" t="n"/>
      <c r="IF26" s="18" t="n"/>
      <c r="IG26" s="18" t="n"/>
      <c r="IH26" s="18" t="n"/>
      <c r="II26" s="18" t="n"/>
      <c r="IJ26" s="18" t="n"/>
      <c r="IK26" s="18" t="n"/>
      <c r="IL26" s="18" t="n"/>
      <c r="IM26" s="18" t="n"/>
      <c r="IN26" s="18" t="n"/>
      <c r="IO26" s="18" t="n"/>
      <c r="IP26" s="18" t="n"/>
      <c r="IQ26" s="18" t="n"/>
      <c r="IR26" s="18" t="n"/>
      <c r="IS26" s="18" t="n"/>
      <c r="IT26" s="18" t="n"/>
      <c r="IU26" s="18" t="n"/>
      <c r="IV26" s="18" t="n"/>
      <c r="IW26" s="18" t="n"/>
      <c r="IX26" s="18" t="n"/>
      <c r="IY26" s="18" t="n"/>
      <c r="IZ26" s="18" t="n"/>
      <c r="JA26" s="18" t="n"/>
      <c r="JB26" s="18" t="n"/>
      <c r="JC26" s="18" t="n"/>
      <c r="JD26" s="18" t="n"/>
      <c r="JE26" s="18" t="n"/>
      <c r="JF26" s="18" t="n"/>
      <c r="JG26" s="18" t="n"/>
    </row>
    <row r="27" ht="52.05" customHeight="1" s="88">
      <c r="A27" s="29" t="inlineStr">
        <is>
          <t>9000</t>
        </is>
      </c>
      <c r="B27" s="29" t="inlineStr">
        <is>
          <t>9000-4</t>
        </is>
      </c>
      <c r="C27" s="29" t="inlineStr">
        <is>
          <t>상부강화노반</t>
        </is>
      </c>
      <c r="D27" s="29" t="inlineStr">
        <is>
          <t>9000-4-26</t>
        </is>
      </c>
      <c r="E27" s="102" t="inlineStr">
        <is>
          <t>9000-4-24</t>
        </is>
      </c>
      <c r="F27" s="102" t="inlineStr">
        <is>
          <t>9000-4-29</t>
        </is>
      </c>
      <c r="G27" s="32" t="inlineStr">
        <is>
          <t>노반쌓기</t>
        </is>
      </c>
      <c r="H27" s="33" t="inlineStr">
        <is>
          <t>D+10~180</t>
        </is>
      </c>
      <c r="I27" s="33" t="inlineStr">
        <is>
          <t>현장 공사팀</t>
        </is>
      </c>
      <c r="J27" s="34" t="inlineStr">
        <is>
          <t>본 과업은 성토재를 층당 30cm 이하 규정 두께로 포설하고 균일하게 다짐으로써, 계획 높이까지 안정적이고 밀실한 노반 구조체를 형성하는 것을 목적으로 함.</t>
        </is>
      </c>
      <c r="K27" s="34" t="inlineStr">
        <is>
          <t>1) Ø300mm 재하판 산모래 밀착 ➔ 2) 15t 유압 잭 &amp; 다이얼 게이지 교정 ➔ 3) 1.25mm 침하 P-S 곡선 산출 ➔ 4) K30 ≥ 110 MN/m³ 성적서 승인</t>
        </is>
      </c>
      <c r="L27" s="34" t="inlineStr">
        <is>
          <t>Ø300mm 재하판 산모래 밀착, 15t 유압 잭 재하 및 1.25mm 침하 P-S 곡선 K30 ≥ 110 MN/m³ 성적서</t>
        </is>
      </c>
      <c r="M27" s="34" t="inlineStr">
        <is>
          <t>본 과업은 성토재를 층당 30cm 이하 규정 두께로 포설하고 균일하게 다짐으로써, 계획 높이까지 안정적이고 밀실한 노반 구조체를 형성하는 것을 목적으로 함.</t>
        </is>
      </c>
      <c r="N27" s="35">
        <f>HYPERLINK(LEFT(CELL("filename",A1),FIND("[",CELL("filename",A1))-1)&amp;"4.상부강화노반\26_노반쌓기\표준서\노반쌓기_표준서.html", "👉 [클릭] 표준서 열기 📄")</f>
        <v/>
      </c>
      <c r="O27" s="34" t="inlineStr">
        <is>
          <t>1) Ø300mm 재하판 산모래 밀착 ➔ 2) 15t 유압 잭 &amp; 다이얼 게이지 교정 ➔ 3) 1.25mm 침하 P-S 곡선 산출 ➔ 4) K30 ≥ 110 MN/m³ 성적서 승인</t>
        </is>
      </c>
      <c r="P27" s="36">
        <f>HYPERLINK(LEFT(CELL("filename",A1),FIND("[",CELL("filename",A1))-1)&amp;"4.상부강화노반\26_노반쌓기\수행지침\노반쌓기_수행지침.html", "👉 [클릭] 수행지침 열기 📄")</f>
        <v/>
      </c>
      <c r="Q27" s="34" t="inlineStr">
        <is>
          <t>Ø300mm 재하판 산모래 밀착, 15t 유압 잭 재하 및 1.25mm 침하 P-S 곡선 K30 ≥ 110 MN/m³ 성적서</t>
        </is>
      </c>
      <c r="R27" s="37">
        <f>HYPERLINK(LEFT(CELL("filename",A1),FIND("[",CELL("filename",A1))-1)&amp;"4.상부강화노반\26_노반쌓기\체크리스트\노반쌓기_체크리스트.html", "👉 [클릭] 체크리스트 열기 📄")</f>
        <v/>
      </c>
      <c r="S27" s="33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Y27" s="18" t="n"/>
      <c r="DZ27" s="18" t="n"/>
      <c r="EA27" s="18" t="n"/>
      <c r="EB27" s="18" t="n"/>
      <c r="EC27" s="18" t="n"/>
      <c r="ED27" s="18" t="n"/>
      <c r="EE27" s="18" t="n"/>
      <c r="EF27" s="18" t="n"/>
      <c r="EG27" s="18" t="n"/>
      <c r="EH27" s="18" t="n"/>
      <c r="EI27" s="18" t="n"/>
      <c r="EJ27" s="18" t="n"/>
      <c r="EK27" s="18" t="n"/>
      <c r="EL27" s="18" t="n"/>
      <c r="EM27" s="18" t="n"/>
      <c r="EN27" s="18" t="n"/>
      <c r="EO27" s="18" t="n"/>
      <c r="EP27" s="18" t="n"/>
      <c r="EQ27" s="18" t="n"/>
      <c r="ER27" s="18" t="n"/>
      <c r="ES27" s="18" t="n"/>
      <c r="ET27" s="18" t="n"/>
      <c r="EU27" s="18" t="n"/>
      <c r="EV27" s="18" t="n"/>
      <c r="EW27" s="18" t="n"/>
      <c r="EX27" s="18" t="n"/>
      <c r="EY27" s="18" t="n"/>
      <c r="EZ27" s="18" t="n"/>
      <c r="FA27" s="18" t="n"/>
      <c r="FB27" s="18" t="n"/>
      <c r="FC27" s="18" t="n"/>
      <c r="FD27" s="18" t="n"/>
      <c r="FE27" s="18" t="n"/>
      <c r="FF27" s="18" t="n"/>
      <c r="FG27" s="18" t="n"/>
      <c r="FH27" s="18" t="n"/>
      <c r="FI27" s="18" t="n"/>
      <c r="FJ27" s="18" t="n"/>
      <c r="FK27" s="18" t="n"/>
      <c r="FL27" s="18" t="n"/>
      <c r="FM27" s="18" t="n"/>
      <c r="FN27" s="18" t="n"/>
      <c r="FO27" s="18" t="n"/>
      <c r="FP27" s="18" t="n"/>
      <c r="FQ27" s="18" t="n"/>
      <c r="FR27" s="18" t="n"/>
      <c r="FS27" s="18" t="n"/>
      <c r="FT27" s="18" t="n"/>
      <c r="FU27" s="18" t="n"/>
      <c r="FV27" s="18" t="n"/>
      <c r="FW27" s="18" t="n"/>
      <c r="FX27" s="18" t="n"/>
      <c r="FY27" s="18" t="n"/>
      <c r="FZ27" s="18" t="n"/>
      <c r="GA27" s="18" t="n"/>
      <c r="GB27" s="18" t="n"/>
      <c r="GC27" s="18" t="n"/>
      <c r="GD27" s="18" t="n"/>
      <c r="GE27" s="18" t="n"/>
      <c r="GF27" s="18" t="n"/>
      <c r="GG27" s="18" t="n"/>
      <c r="GH27" s="18" t="n"/>
      <c r="GI27" s="18" t="n"/>
      <c r="GJ27" s="18" t="n"/>
      <c r="GK27" s="18" t="n"/>
      <c r="GL27" s="18" t="n"/>
      <c r="GM27" s="18" t="n"/>
      <c r="GN27" s="18" t="n"/>
      <c r="GO27" s="18" t="n"/>
      <c r="GP27" s="18" t="n"/>
      <c r="GQ27" s="18" t="n"/>
      <c r="GR27" s="18" t="n"/>
      <c r="GS27" s="18" t="n"/>
      <c r="GT27" s="18" t="n"/>
      <c r="GU27" s="18" t="n"/>
      <c r="GV27" s="18" t="n"/>
      <c r="GW27" s="18" t="n"/>
      <c r="GX27" s="18" t="n"/>
      <c r="GY27" s="18" t="n"/>
      <c r="GZ27" s="18" t="n"/>
      <c r="HA27" s="18" t="n"/>
      <c r="HB27" s="18" t="n"/>
      <c r="HC27" s="18" t="n"/>
      <c r="HD27" s="18" t="n"/>
      <c r="HE27" s="18" t="n"/>
      <c r="HF27" s="18" t="n"/>
      <c r="HG27" s="18" t="n"/>
      <c r="HH27" s="18" t="n"/>
      <c r="HI27" s="18" t="n"/>
      <c r="HJ27" s="18" t="n"/>
      <c r="HK27" s="18" t="n"/>
      <c r="HL27" s="18" t="n"/>
      <c r="HM27" s="18" t="n"/>
      <c r="HN27" s="18" t="n"/>
      <c r="HO27" s="18" t="n"/>
      <c r="HP27" s="18" t="n"/>
      <c r="HQ27" s="18" t="n"/>
      <c r="HR27" s="18" t="n"/>
      <c r="HS27" s="18" t="n"/>
      <c r="HT27" s="18" t="n"/>
      <c r="HU27" s="18" t="n"/>
      <c r="HV27" s="18" t="n"/>
      <c r="HW27" s="18" t="n"/>
      <c r="HX27" s="18" t="n"/>
      <c r="HY27" s="18" t="n"/>
      <c r="HZ27" s="18" t="n"/>
      <c r="IA27" s="18" t="n"/>
      <c r="IB27" s="18" t="n"/>
      <c r="IC27" s="18" t="n"/>
      <c r="ID27" s="18" t="n"/>
      <c r="IE27" s="18" t="n"/>
      <c r="IF27" s="18" t="n"/>
      <c r="IG27" s="18" t="n"/>
      <c r="IH27" s="18" t="n"/>
      <c r="II27" s="18" t="n"/>
      <c r="IJ27" s="18" t="n"/>
      <c r="IK27" s="18" t="n"/>
      <c r="IL27" s="18" t="n"/>
      <c r="IM27" s="18" t="n"/>
      <c r="IN27" s="18" t="n"/>
      <c r="IO27" s="18" t="n"/>
      <c r="IP27" s="18" t="n"/>
      <c r="IQ27" s="18" t="n"/>
      <c r="IR27" s="18" t="n"/>
      <c r="IS27" s="18" t="n"/>
      <c r="IT27" s="18" t="n"/>
      <c r="IU27" s="18" t="n"/>
      <c r="IV27" s="18" t="n"/>
      <c r="IW27" s="18" t="n"/>
      <c r="IX27" s="18" t="n"/>
      <c r="IY27" s="18" t="n"/>
      <c r="IZ27" s="18" t="n"/>
      <c r="JA27" s="18" t="n"/>
      <c r="JB27" s="18" t="n"/>
      <c r="JC27" s="18" t="n"/>
      <c r="JD27" s="18" t="n"/>
      <c r="JE27" s="18" t="n"/>
      <c r="JF27" s="18" t="n"/>
      <c r="JG27" s="18" t="n"/>
      <c r="JH27" s="18" t="n"/>
      <c r="JI27" s="18" t="n"/>
      <c r="JJ27" s="18" t="n"/>
      <c r="JK27" s="18" t="n"/>
    </row>
    <row r="28" ht="52.05" customHeight="1" s="88">
      <c r="A28" s="19" t="inlineStr">
        <is>
          <t>9000</t>
        </is>
      </c>
      <c r="B28" s="19" t="inlineStr">
        <is>
          <t>9000-4</t>
        </is>
      </c>
      <c r="C28" s="19" t="inlineStr">
        <is>
          <t>상부강화노반</t>
        </is>
      </c>
      <c r="D28" s="19" t="inlineStr">
        <is>
          <t>9000-4-27</t>
        </is>
      </c>
      <c r="E28" s="95" t="inlineStr">
        <is>
          <t>9000-4-24, 9000-4-25</t>
        </is>
      </c>
      <c r="F28" s="95" t="inlineStr">
        <is>
          <t>9000-4-29, 9000-4-30</t>
        </is>
      </c>
      <c r="G28" s="23" t="inlineStr">
        <is>
          <t>하부노반 시공</t>
        </is>
      </c>
      <c r="H28" s="21" t="inlineStr">
        <is>
          <t>D+10~180</t>
        </is>
      </c>
      <c r="I28" s="21" t="inlineStr">
        <is>
          <t>현장 공사팀</t>
        </is>
      </c>
      <c r="J28" s="24" t="inlineStr">
        <is>
          <t>본 과업은 상부 하중을 지지하는 하부 노반 층을 시방 기준에 맞춰 포설·다짐하고 배수 유공관을 설치하여, 노반 내부 수분 침투 예방 및 구조적 안정성을 확보하는 것을 목적으로 함.</t>
        </is>
      </c>
      <c r="K28" s="24" t="inlineStr">
        <is>
          <t>1) LWD 동적 평판재하시험기 교정 ➔ 2) 1,000m²당 1회 무작위 시험 ➔ 3) 1차/2차 하중 재하 Ev2/Ev1 산출 ➔ 4) Ev2 ≥ 60 MPa 성적서 감리 승인</t>
        </is>
      </c>
      <c r="L28" s="24" t="inlineStr">
        <is>
          <t>LWD 동적 평판재하시험 1,000m²당 1회, 2차 변형계수 Ev2 ≥ 60 MPa 및 비율 Ev2/Ev1 ≤ 2.2 검측</t>
        </is>
      </c>
      <c r="M28" s="24" t="inlineStr">
        <is>
          <t>본 과업은 상부 하중을 지지하는 하부 노반 층을 시방 기준에 맞춰 포설·다짐하고 배수 유공관을 설치하여, 노반 내부 수분 침투 예방 및 구조적 안정성을 확보하는 것을 목적으로 함.</t>
        </is>
      </c>
      <c r="N28" s="25">
        <f>HYPERLINK(LEFT(CELL("filename",A1),FIND("[",CELL("filename",A1))-1)&amp;"4.상부강화노반\27_하부노반 시공\표준서\하부노반 시공_표준서.html", "👉 [클릭] 표준서 열기 📄")</f>
        <v/>
      </c>
      <c r="O28" s="24" t="inlineStr">
        <is>
          <t>1) LWD 동적 평판재하시험기 교정 ➔ 2) 1,000m²당 1회 무작위 시험 ➔ 3) 1차/2차 하중 재하 Ev2/Ev1 산출 ➔ 4) Ev2 ≥ 60 MPa 성적서 감리 승인</t>
        </is>
      </c>
      <c r="P28" s="26">
        <f>HYPERLINK(LEFT(CELL("filename",A1),FIND("[",CELL("filename",A1))-1)&amp;"4.상부강화노반\27_하부노반 시공\수행지침\하부노반 시공_수행지침.html", "👉 [클릭] 수행지침 열기 📄")</f>
        <v/>
      </c>
      <c r="Q28" s="24" t="inlineStr">
        <is>
          <t>LWD 동적 평판재하시험 1,000m²당 1회, 2차 변형계수 Ev2 ≥ 60 MPa 및 비율 Ev2/Ev1 ≤ 2.2 검측</t>
        </is>
      </c>
      <c r="R28" s="27">
        <f>HYPERLINK(LEFT(CELL("filename",A1),FIND("[",CELL("filename",A1))-1)&amp;"4.상부강화노반\27_하부노반 시공\체크리스트\하부노반 시공_체크리스트.html", "👉 [클릭] 체크리스트 열기 📄")</f>
        <v/>
      </c>
      <c r="S28" s="2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Y28" s="18" t="n"/>
      <c r="DZ28" s="18" t="n"/>
      <c r="EA28" s="18" t="n"/>
      <c r="EB28" s="18" t="n"/>
      <c r="EC28" s="18" t="n"/>
      <c r="ED28" s="18" t="n"/>
      <c r="EE28" s="18" t="n"/>
      <c r="EF28" s="18" t="n"/>
      <c r="EG28" s="18" t="n"/>
      <c r="EH28" s="18" t="n"/>
      <c r="EI28" s="18" t="n"/>
      <c r="EJ28" s="18" t="n"/>
      <c r="EK28" s="18" t="n"/>
      <c r="EL28" s="18" t="n"/>
      <c r="EM28" s="18" t="n"/>
      <c r="EN28" s="18" t="n"/>
      <c r="EO28" s="18" t="n"/>
      <c r="EP28" s="18" t="n"/>
      <c r="EQ28" s="18" t="n"/>
      <c r="ER28" s="18" t="n"/>
      <c r="ES28" s="18" t="n"/>
      <c r="ET28" s="18" t="n"/>
      <c r="EU28" s="18" t="n"/>
      <c r="EV28" s="18" t="n"/>
      <c r="EW28" s="18" t="n"/>
      <c r="EX28" s="18" t="n"/>
      <c r="EY28" s="18" t="n"/>
      <c r="EZ28" s="18" t="n"/>
      <c r="FA28" s="18" t="n"/>
      <c r="FB28" s="18" t="n"/>
      <c r="FC28" s="18" t="n"/>
      <c r="FD28" s="18" t="n"/>
      <c r="FE28" s="18" t="n"/>
      <c r="FF28" s="18" t="n"/>
      <c r="FG28" s="18" t="n"/>
      <c r="FH28" s="18" t="n"/>
      <c r="FI28" s="18" t="n"/>
      <c r="FJ28" s="18" t="n"/>
      <c r="FK28" s="18" t="n"/>
      <c r="FL28" s="18" t="n"/>
      <c r="FM28" s="18" t="n"/>
      <c r="FN28" s="18" t="n"/>
      <c r="FO28" s="18" t="n"/>
      <c r="FP28" s="18" t="n"/>
      <c r="FQ28" s="18" t="n"/>
      <c r="FR28" s="18" t="n"/>
      <c r="FS28" s="18" t="n"/>
      <c r="FT28" s="18" t="n"/>
      <c r="FU28" s="18" t="n"/>
      <c r="FV28" s="18" t="n"/>
      <c r="FW28" s="18" t="n"/>
      <c r="FX28" s="18" t="n"/>
      <c r="FY28" s="18" t="n"/>
      <c r="FZ28" s="18" t="n"/>
      <c r="GA28" s="18" t="n"/>
      <c r="GB28" s="18" t="n"/>
      <c r="GC28" s="18" t="n"/>
      <c r="GD28" s="18" t="n"/>
      <c r="GE28" s="18" t="n"/>
      <c r="GF28" s="18" t="n"/>
      <c r="GG28" s="18" t="n"/>
      <c r="GH28" s="18" t="n"/>
      <c r="GI28" s="18" t="n"/>
      <c r="GJ28" s="18" t="n"/>
      <c r="GK28" s="18" t="n"/>
      <c r="GL28" s="18" t="n"/>
      <c r="GM28" s="18" t="n"/>
      <c r="GN28" s="18" t="n"/>
      <c r="GO28" s="18" t="n"/>
      <c r="GP28" s="18" t="n"/>
      <c r="GQ28" s="18" t="n"/>
      <c r="GR28" s="18" t="n"/>
      <c r="GS28" s="18" t="n"/>
      <c r="GT28" s="18" t="n"/>
      <c r="GU28" s="18" t="n"/>
      <c r="GV28" s="18" t="n"/>
      <c r="GW28" s="18" t="n"/>
      <c r="GX28" s="18" t="n"/>
      <c r="GY28" s="18" t="n"/>
      <c r="GZ28" s="18" t="n"/>
      <c r="HA28" s="18" t="n"/>
      <c r="HB28" s="18" t="n"/>
      <c r="HC28" s="18" t="n"/>
      <c r="HD28" s="18" t="n"/>
      <c r="HE28" s="18" t="n"/>
      <c r="HF28" s="18" t="n"/>
      <c r="HG28" s="18" t="n"/>
      <c r="HH28" s="18" t="n"/>
      <c r="HI28" s="18" t="n"/>
      <c r="HJ28" s="18" t="n"/>
      <c r="HK28" s="18" t="n"/>
      <c r="HL28" s="18" t="n"/>
      <c r="HM28" s="18" t="n"/>
      <c r="HN28" s="18" t="n"/>
      <c r="HO28" s="18" t="n"/>
      <c r="HP28" s="18" t="n"/>
      <c r="HQ28" s="18" t="n"/>
      <c r="HR28" s="18" t="n"/>
      <c r="HS28" s="18" t="n"/>
      <c r="HT28" s="18" t="n"/>
      <c r="HU28" s="18" t="n"/>
      <c r="HV28" s="18" t="n"/>
      <c r="HW28" s="18" t="n"/>
      <c r="HX28" s="18" t="n"/>
      <c r="HY28" s="18" t="n"/>
      <c r="HZ28" s="18" t="n"/>
      <c r="IA28" s="18" t="n"/>
      <c r="IB28" s="18" t="n"/>
      <c r="IC28" s="18" t="n"/>
      <c r="ID28" s="18" t="n"/>
      <c r="IE28" s="18" t="n"/>
      <c r="IF28" s="18" t="n"/>
      <c r="IG28" s="18" t="n"/>
      <c r="IH28" s="18" t="n"/>
      <c r="II28" s="18" t="n"/>
      <c r="IJ28" s="18" t="n"/>
      <c r="IK28" s="18" t="n"/>
      <c r="IL28" s="18" t="n"/>
      <c r="IM28" s="18" t="n"/>
      <c r="IN28" s="18" t="n"/>
      <c r="IO28" s="18" t="n"/>
      <c r="IP28" s="18" t="n"/>
      <c r="IQ28" s="18" t="n"/>
      <c r="IR28" s="18" t="n"/>
      <c r="IS28" s="18" t="n"/>
      <c r="IT28" s="18" t="n"/>
      <c r="IU28" s="18" t="n"/>
      <c r="IV28" s="18" t="n"/>
      <c r="IW28" s="18" t="n"/>
      <c r="IX28" s="18" t="n"/>
      <c r="IY28" s="18" t="n"/>
      <c r="IZ28" s="18" t="n"/>
      <c r="JA28" s="18" t="n"/>
      <c r="JB28" s="18" t="n"/>
      <c r="JC28" s="18" t="n"/>
      <c r="JD28" s="18" t="n"/>
      <c r="JE28" s="18" t="n"/>
      <c r="JF28" s="18" t="n"/>
      <c r="JG28" s="18" t="n"/>
      <c r="JH28" s="18" t="n"/>
      <c r="JI28" s="18" t="n"/>
      <c r="JJ28" s="18" t="n"/>
      <c r="JK28" s="18" t="n"/>
      <c r="JL28" s="18" t="n"/>
      <c r="JM28" s="18" t="n"/>
      <c r="JN28" s="18" t="n"/>
      <c r="JO28" s="18" t="n"/>
    </row>
    <row r="29" ht="52.05" customHeight="1" s="88">
      <c r="A29" s="29" t="inlineStr">
        <is>
          <t>9000</t>
        </is>
      </c>
      <c r="B29" s="29" t="inlineStr">
        <is>
          <t>9000-4</t>
        </is>
      </c>
      <c r="C29" s="29" t="inlineStr">
        <is>
          <t>상부강화노반</t>
        </is>
      </c>
      <c r="D29" s="29" t="inlineStr">
        <is>
          <t>9000-4-28</t>
        </is>
      </c>
      <c r="E29" s="102" t="inlineStr">
        <is>
          <t>9000-4-25</t>
        </is>
      </c>
      <c r="F29" s="102" t="inlineStr">
        <is>
          <t>9000-4-30</t>
        </is>
      </c>
      <c r="G29" s="32" t="inlineStr">
        <is>
          <t>상부노반 시공</t>
        </is>
      </c>
      <c r="H29" s="33" t="inlineStr">
        <is>
          <t>D+10~180</t>
        </is>
      </c>
      <c r="I29" s="33" t="inlineStr">
        <is>
          <t>현장 공사팀</t>
        </is>
      </c>
      <c r="J29" s="34" t="inlineStr">
        <is>
          <t>본 과업은 상부강화노반 직하부 층으로서, 고품질 쇄석 혼합재를 정밀 포설하고 OMC 최적 다짐을 시행하여 노반 강성을 고도화하는 것을 목적으로 함.</t>
        </is>
      </c>
      <c r="K29" s="34" t="inlineStr">
        <is>
          <t>1) 3m 알루미늄 직선자 교정 ➔ 2) 20m 간격 종횡단 연속 검측 ➔ 3) 갭 오차(±10mm) 요철 삭평/재다짐 ➔ 4) 평탄성 검측 성과표 감리 승인</t>
        </is>
      </c>
      <c r="L29" s="34" t="inlineStr">
        <is>
          <t>3m 알루미늄 직선자 20m 간격 연속 측정, 최대 갭 오차 ±10mm 이내 통제 및 요철 삭평/재다짐</t>
        </is>
      </c>
      <c r="M29" s="34" t="inlineStr">
        <is>
          <t>본 과업은 상부강화노반 직하부 층으로서, 고품질 쇄석 혼합재를 정밀 포설하고 OMC 최적 다짐을 시행하여 노반 강성을 고도화하는 것을 목적으로 함.</t>
        </is>
      </c>
      <c r="N29" s="35">
        <f>HYPERLINK(LEFT(CELL("filename",A1),FIND("[",CELL("filename",A1))-1)&amp;"4.상부강화노반\28_상부노반 시공\표준서\상부노반 시공_표준서.html", "👉 [클릭] 표준서 열기 📄")</f>
        <v/>
      </c>
      <c r="O29" s="34" t="inlineStr">
        <is>
          <t>1) 3m 알루미늄 직선자 교정 ➔ 2) 20m 간격 종횡단 연속 검측 ➔ 3) 갭 오차(±10mm) 요철 삭평/재다짐 ➔ 4) 평탄성 검측 성과표 감리 승인</t>
        </is>
      </c>
      <c r="P29" s="36">
        <f>HYPERLINK(LEFT(CELL("filename",A1),FIND("[",CELL("filename",A1))-1)&amp;"4.상부강화노반\28_상부노반 시공\수행지침\상부노반 시공_수행지침.html", "👉 [클릭] 수행지침 열기 📄")</f>
        <v/>
      </c>
      <c r="Q29" s="34" t="inlineStr">
        <is>
          <t>3m 알루미늄 직선자 20m 간격 연속 측정, 최대 갭 오차 ±10mm 이내 통제 및 요철 삭평/재다짐</t>
        </is>
      </c>
      <c r="R29" s="37">
        <f>HYPERLINK(LEFT(CELL("filename",A1),FIND("[",CELL("filename",A1))-1)&amp;"4.상부강화노반\28_상부노반 시공\체크리스트\상부노반 시공_체크리스트.html", "👉 [클릭] 체크리스트 열기 📄")</f>
        <v/>
      </c>
      <c r="S29" s="33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Y29" s="18" t="n"/>
      <c r="DZ29" s="18" t="n"/>
      <c r="EA29" s="18" t="n"/>
      <c r="EB29" s="18" t="n"/>
      <c r="EC29" s="18" t="n"/>
      <c r="ED29" s="18" t="n"/>
      <c r="EE29" s="18" t="n"/>
      <c r="EF29" s="18" t="n"/>
      <c r="EG29" s="18" t="n"/>
      <c r="EH29" s="18" t="n"/>
      <c r="EI29" s="18" t="n"/>
      <c r="EJ29" s="18" t="n"/>
      <c r="EK29" s="18" t="n"/>
      <c r="EL29" s="18" t="n"/>
      <c r="EM29" s="18" t="n"/>
      <c r="EN29" s="18" t="n"/>
      <c r="EO29" s="18" t="n"/>
      <c r="EP29" s="18" t="n"/>
      <c r="EQ29" s="18" t="n"/>
      <c r="ER29" s="18" t="n"/>
      <c r="ES29" s="18" t="n"/>
      <c r="ET29" s="18" t="n"/>
      <c r="EU29" s="18" t="n"/>
      <c r="EV29" s="18" t="n"/>
      <c r="EW29" s="18" t="n"/>
      <c r="EX29" s="18" t="n"/>
      <c r="EY29" s="18" t="n"/>
      <c r="EZ29" s="18" t="n"/>
      <c r="FA29" s="18" t="n"/>
      <c r="FB29" s="18" t="n"/>
      <c r="FC29" s="18" t="n"/>
      <c r="FD29" s="18" t="n"/>
      <c r="FE29" s="18" t="n"/>
      <c r="FF29" s="18" t="n"/>
      <c r="FG29" s="18" t="n"/>
      <c r="FH29" s="18" t="n"/>
      <c r="FI29" s="18" t="n"/>
      <c r="FJ29" s="18" t="n"/>
      <c r="FK29" s="18" t="n"/>
      <c r="FL29" s="18" t="n"/>
      <c r="FM29" s="18" t="n"/>
      <c r="FN29" s="18" t="n"/>
      <c r="FO29" s="18" t="n"/>
      <c r="FP29" s="18" t="n"/>
      <c r="FQ29" s="18" t="n"/>
      <c r="FR29" s="18" t="n"/>
      <c r="FS29" s="18" t="n"/>
      <c r="FT29" s="18" t="n"/>
      <c r="FU29" s="18" t="n"/>
      <c r="FV29" s="18" t="n"/>
      <c r="FW29" s="18" t="n"/>
      <c r="FX29" s="18" t="n"/>
      <c r="FY29" s="18" t="n"/>
      <c r="FZ29" s="18" t="n"/>
      <c r="GA29" s="18" t="n"/>
      <c r="GB29" s="18" t="n"/>
      <c r="GC29" s="18" t="n"/>
      <c r="GD29" s="18" t="n"/>
      <c r="GE29" s="18" t="n"/>
      <c r="GF29" s="18" t="n"/>
      <c r="GG29" s="18" t="n"/>
      <c r="GH29" s="18" t="n"/>
      <c r="GI29" s="18" t="n"/>
      <c r="GJ29" s="18" t="n"/>
      <c r="GK29" s="18" t="n"/>
      <c r="GL29" s="18" t="n"/>
      <c r="GM29" s="18" t="n"/>
      <c r="GN29" s="18" t="n"/>
      <c r="GO29" s="18" t="n"/>
      <c r="GP29" s="18" t="n"/>
      <c r="GQ29" s="18" t="n"/>
      <c r="GR29" s="18" t="n"/>
      <c r="GS29" s="18" t="n"/>
      <c r="GT29" s="18" t="n"/>
      <c r="GU29" s="18" t="n"/>
      <c r="GV29" s="18" t="n"/>
      <c r="GW29" s="18" t="n"/>
      <c r="GX29" s="18" t="n"/>
      <c r="GY29" s="18" t="n"/>
      <c r="GZ29" s="18" t="n"/>
      <c r="HA29" s="18" t="n"/>
      <c r="HB29" s="18" t="n"/>
      <c r="HC29" s="18" t="n"/>
      <c r="HD29" s="18" t="n"/>
      <c r="HE29" s="18" t="n"/>
      <c r="HF29" s="18" t="n"/>
      <c r="HG29" s="18" t="n"/>
      <c r="HH29" s="18" t="n"/>
      <c r="HI29" s="18" t="n"/>
      <c r="HJ29" s="18" t="n"/>
      <c r="HK29" s="18" t="n"/>
      <c r="HL29" s="18" t="n"/>
      <c r="HM29" s="18" t="n"/>
      <c r="HN29" s="18" t="n"/>
      <c r="HO29" s="18" t="n"/>
      <c r="HP29" s="18" t="n"/>
      <c r="HQ29" s="18" t="n"/>
      <c r="HR29" s="18" t="n"/>
      <c r="HS29" s="18" t="n"/>
      <c r="HT29" s="18" t="n"/>
      <c r="HU29" s="18" t="n"/>
      <c r="HV29" s="18" t="n"/>
      <c r="HW29" s="18" t="n"/>
      <c r="HX29" s="18" t="n"/>
      <c r="HY29" s="18" t="n"/>
      <c r="HZ29" s="18" t="n"/>
      <c r="IA29" s="18" t="n"/>
      <c r="IB29" s="18" t="n"/>
      <c r="IC29" s="18" t="n"/>
      <c r="ID29" s="18" t="n"/>
      <c r="IE29" s="18" t="n"/>
      <c r="IF29" s="18" t="n"/>
      <c r="IG29" s="18" t="n"/>
      <c r="IH29" s="18" t="n"/>
      <c r="II29" s="18" t="n"/>
      <c r="IJ29" s="18" t="n"/>
      <c r="IK29" s="18" t="n"/>
      <c r="IL29" s="18" t="n"/>
      <c r="IM29" s="18" t="n"/>
      <c r="IN29" s="18" t="n"/>
      <c r="IO29" s="18" t="n"/>
      <c r="IP29" s="18" t="n"/>
      <c r="IQ29" s="18" t="n"/>
      <c r="IR29" s="18" t="n"/>
      <c r="IS29" s="18" t="n"/>
      <c r="IT29" s="18" t="n"/>
      <c r="IU29" s="18" t="n"/>
      <c r="IV29" s="18" t="n"/>
      <c r="IW29" s="18" t="n"/>
      <c r="IX29" s="18" t="n"/>
      <c r="IY29" s="18" t="n"/>
      <c r="IZ29" s="18" t="n"/>
      <c r="JA29" s="18" t="n"/>
      <c r="JB29" s="18" t="n"/>
      <c r="JC29" s="18" t="n"/>
      <c r="JD29" s="18" t="n"/>
      <c r="JE29" s="18" t="n"/>
      <c r="JF29" s="18" t="n"/>
      <c r="JG29" s="18" t="n"/>
      <c r="JH29" s="18" t="n"/>
      <c r="JI29" s="18" t="n"/>
      <c r="JJ29" s="18" t="n"/>
      <c r="JK29" s="18" t="n"/>
      <c r="JL29" s="18" t="n"/>
      <c r="JM29" s="18" t="n"/>
      <c r="JN29" s="18" t="n"/>
      <c r="JO29" s="18" t="n"/>
      <c r="JP29" s="18" t="n"/>
      <c r="JQ29" s="18" t="n"/>
      <c r="JR29" s="18" t="n"/>
      <c r="JS29" s="18" t="n"/>
    </row>
    <row r="30" ht="52.05" customHeight="1" s="88">
      <c r="A30" s="19" t="inlineStr">
        <is>
          <t>9000</t>
        </is>
      </c>
      <c r="B30" s="19" t="inlineStr">
        <is>
          <t>9000-4</t>
        </is>
      </c>
      <c r="C30" s="19" t="inlineStr">
        <is>
          <t>상부강화노반</t>
        </is>
      </c>
      <c r="D30" s="19" t="inlineStr">
        <is>
          <t>9000-4-29</t>
        </is>
      </c>
      <c r="E30" s="95" t="inlineStr">
        <is>
          <t>9000-4-26, 9000-4-27</t>
        </is>
      </c>
      <c r="F30" s="95" t="inlineStr">
        <is>
          <t>9000-4-31, 9000-4-32</t>
        </is>
      </c>
      <c r="G30" s="23" t="inlineStr">
        <is>
          <t>강화노반 시공</t>
        </is>
      </c>
      <c r="H30" s="21" t="inlineStr">
        <is>
          <t>D+10~180</t>
        </is>
      </c>
      <c r="I30" s="21" t="inlineStr">
        <is>
          <t>현장 공사팀</t>
        </is>
      </c>
      <c r="J30" s="24" t="inlineStr">
        <is>
          <t>본 과업은 트램 궤도와 직접 접하는 최상부 노반 층으로, 입도 조정 쇄석을 시공하여 지반반력계수(K30 ≥ 110MN/m³) 및 2차 변형계수(Ev2 ≥ 60MPa) 기준을 완수하고 궤도 지지력을 확보하는 것을 목적으로 함.</t>
        </is>
      </c>
      <c r="K30" s="24" t="inlineStr">
        <is>
          <t>1) GRS80 토탈스테이션 정밀 세팅 ➔ 2) 10m 간격 중심선 &amp; 표고 실측 ➔ 3) 3D BIM CAD 좌표(오차 ±10mm) 대조 ➔ 4) 종횡단 성과표 감리 승인</t>
        </is>
      </c>
      <c r="L30" s="24" t="inlineStr">
        <is>
          <t>GRS80 광학 토탈스테이션 10m 간격 측정, 궤도 중심선(X,Y) 및 표고(Z) 오차 ±10mm 3D BIM 검측</t>
        </is>
      </c>
      <c r="M30" s="24" t="inlineStr">
        <is>
          <t>본 과업은 트램 궤도와 직접 접하는 최상부 노반 층으로, 입도 조정 쇄석을 시공하여 지반반력계수(K30 ≥ 110MN/m³) 및 2차 변형계수(Ev2 ≥ 60MPa) 기준을 완수하고 궤도 지지력을 확보하는 것을 목적으로 함.</t>
        </is>
      </c>
      <c r="N30" s="25">
        <f>HYPERLINK(LEFT(CELL("filename",A1),FIND("[",CELL("filename",A1))-1)&amp;"4.상부강화노반\29_강화노반 시공\표준서\강화노반 시공_표준서.html", "👉 [클릭] 표준서 열기 📄")</f>
        <v/>
      </c>
      <c r="O30" s="24" t="inlineStr">
        <is>
          <t>1) GRS80 토탈스테이션 정밀 세팅 ➔ 2) 10m 간격 중심선 &amp; 표고 실측 ➔ 3) 3D BIM CAD 좌표(오차 ±10mm) 대조 ➔ 4) 종횡단 성과표 감리 승인</t>
        </is>
      </c>
      <c r="P30" s="26">
        <f>HYPERLINK(LEFT(CELL("filename",A1),FIND("[",CELL("filename",A1))-1)&amp;"4.상부강화노반\29_강화노반 시공\수행지침\강화노반 시공_수행지침.html", "👉 [클릭] 수행지침 열기 📄")</f>
        <v/>
      </c>
      <c r="Q30" s="24" t="inlineStr">
        <is>
          <t>GRS80 광학 토탈스테이션 10m 간격 측정, 궤도 중심선(X,Y) 및 표고(Z) 오차 ±10mm 3D BIM 검측</t>
        </is>
      </c>
      <c r="R30" s="27">
        <f>HYPERLINK(LEFT(CELL("filename",A1),FIND("[",CELL("filename",A1))-1)&amp;"4.상부강화노반\29_강화노반 시공\체크리스트\강화노반 시공_체크리스트.html", "👉 [클릭] 체크리스트 열기 📄")</f>
        <v/>
      </c>
      <c r="S30" s="2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Y30" s="18" t="n"/>
      <c r="DZ30" s="18" t="n"/>
      <c r="EA30" s="18" t="n"/>
      <c r="EB30" s="18" t="n"/>
      <c r="EC30" s="18" t="n"/>
      <c r="ED30" s="18" t="n"/>
      <c r="EE30" s="18" t="n"/>
      <c r="EF30" s="18" t="n"/>
      <c r="EG30" s="18" t="n"/>
      <c r="EH30" s="18" t="n"/>
      <c r="EI30" s="18" t="n"/>
      <c r="EJ30" s="18" t="n"/>
      <c r="EK30" s="18" t="n"/>
      <c r="EL30" s="18" t="n"/>
      <c r="EM30" s="18" t="n"/>
      <c r="EN30" s="18" t="n"/>
      <c r="EO30" s="18" t="n"/>
      <c r="EP30" s="18" t="n"/>
      <c r="EQ30" s="18" t="n"/>
      <c r="ER30" s="18" t="n"/>
      <c r="ES30" s="18" t="n"/>
      <c r="ET30" s="18" t="n"/>
      <c r="EU30" s="18" t="n"/>
      <c r="EV30" s="18" t="n"/>
      <c r="EW30" s="18" t="n"/>
      <c r="EX30" s="18" t="n"/>
      <c r="EY30" s="18" t="n"/>
      <c r="EZ30" s="18" t="n"/>
      <c r="FA30" s="18" t="n"/>
      <c r="FB30" s="18" t="n"/>
      <c r="FC30" s="18" t="n"/>
      <c r="FD30" s="18" t="n"/>
      <c r="FE30" s="18" t="n"/>
      <c r="FF30" s="18" t="n"/>
      <c r="FG30" s="18" t="n"/>
      <c r="FH30" s="18" t="n"/>
      <c r="FI30" s="18" t="n"/>
      <c r="FJ30" s="18" t="n"/>
      <c r="FK30" s="18" t="n"/>
      <c r="FL30" s="18" t="n"/>
      <c r="FM30" s="18" t="n"/>
      <c r="FN30" s="18" t="n"/>
      <c r="FO30" s="18" t="n"/>
      <c r="FP30" s="18" t="n"/>
      <c r="FQ30" s="18" t="n"/>
      <c r="FR30" s="18" t="n"/>
      <c r="FS30" s="18" t="n"/>
      <c r="FT30" s="18" t="n"/>
      <c r="FU30" s="18" t="n"/>
      <c r="FV30" s="18" t="n"/>
      <c r="FW30" s="18" t="n"/>
      <c r="FX30" s="18" t="n"/>
      <c r="FY30" s="18" t="n"/>
      <c r="FZ30" s="18" t="n"/>
      <c r="GA30" s="18" t="n"/>
      <c r="GB30" s="18" t="n"/>
      <c r="GC30" s="18" t="n"/>
      <c r="GD30" s="18" t="n"/>
      <c r="GE30" s="18" t="n"/>
      <c r="GF30" s="18" t="n"/>
      <c r="GG30" s="18" t="n"/>
      <c r="GH30" s="18" t="n"/>
      <c r="GI30" s="18" t="n"/>
      <c r="GJ30" s="18" t="n"/>
      <c r="GK30" s="18" t="n"/>
      <c r="GL30" s="18" t="n"/>
      <c r="GM30" s="18" t="n"/>
      <c r="GN30" s="18" t="n"/>
      <c r="GO30" s="18" t="n"/>
      <c r="GP30" s="18" t="n"/>
      <c r="GQ30" s="18" t="n"/>
      <c r="GR30" s="18" t="n"/>
      <c r="GS30" s="18" t="n"/>
      <c r="GT30" s="18" t="n"/>
      <c r="GU30" s="18" t="n"/>
      <c r="GV30" s="18" t="n"/>
      <c r="GW30" s="18" t="n"/>
      <c r="GX30" s="18" t="n"/>
      <c r="GY30" s="18" t="n"/>
      <c r="GZ30" s="18" t="n"/>
      <c r="HA30" s="18" t="n"/>
      <c r="HB30" s="18" t="n"/>
      <c r="HC30" s="18" t="n"/>
      <c r="HD30" s="18" t="n"/>
      <c r="HE30" s="18" t="n"/>
      <c r="HF30" s="18" t="n"/>
      <c r="HG30" s="18" t="n"/>
      <c r="HH30" s="18" t="n"/>
      <c r="HI30" s="18" t="n"/>
      <c r="HJ30" s="18" t="n"/>
      <c r="HK30" s="18" t="n"/>
      <c r="HL30" s="18" t="n"/>
      <c r="HM30" s="18" t="n"/>
      <c r="HN30" s="18" t="n"/>
      <c r="HO30" s="18" t="n"/>
      <c r="HP30" s="18" t="n"/>
      <c r="HQ30" s="18" t="n"/>
      <c r="HR30" s="18" t="n"/>
      <c r="HS30" s="18" t="n"/>
      <c r="HT30" s="18" t="n"/>
      <c r="HU30" s="18" t="n"/>
      <c r="HV30" s="18" t="n"/>
      <c r="HW30" s="18" t="n"/>
      <c r="HX30" s="18" t="n"/>
      <c r="HY30" s="18" t="n"/>
      <c r="HZ30" s="18" t="n"/>
      <c r="IA30" s="18" t="n"/>
      <c r="IB30" s="18" t="n"/>
      <c r="IC30" s="18" t="n"/>
      <c r="ID30" s="18" t="n"/>
      <c r="IE30" s="18" t="n"/>
      <c r="IF30" s="18" t="n"/>
      <c r="IG30" s="18" t="n"/>
      <c r="IH30" s="18" t="n"/>
      <c r="II30" s="18" t="n"/>
      <c r="IJ30" s="18" t="n"/>
      <c r="IK30" s="18" t="n"/>
      <c r="IL30" s="18" t="n"/>
      <c r="IM30" s="18" t="n"/>
      <c r="IN30" s="18" t="n"/>
      <c r="IO30" s="18" t="n"/>
      <c r="IP30" s="18" t="n"/>
      <c r="IQ30" s="18" t="n"/>
      <c r="IR30" s="18" t="n"/>
      <c r="IS30" s="18" t="n"/>
      <c r="IT30" s="18" t="n"/>
      <c r="IU30" s="18" t="n"/>
      <c r="IV30" s="18" t="n"/>
      <c r="IW30" s="18" t="n"/>
      <c r="IX30" s="18" t="n"/>
      <c r="IY30" s="18" t="n"/>
      <c r="IZ30" s="18" t="n"/>
      <c r="JA30" s="18" t="n"/>
      <c r="JB30" s="18" t="n"/>
      <c r="JC30" s="18" t="n"/>
      <c r="JD30" s="18" t="n"/>
      <c r="JE30" s="18" t="n"/>
      <c r="JF30" s="18" t="n"/>
      <c r="JG30" s="18" t="n"/>
      <c r="JH30" s="18" t="n"/>
      <c r="JI30" s="18" t="n"/>
      <c r="JJ30" s="18" t="n"/>
      <c r="JK30" s="18" t="n"/>
      <c r="JL30" s="18" t="n"/>
      <c r="JM30" s="18" t="n"/>
      <c r="JN30" s="18" t="n"/>
      <c r="JO30" s="18" t="n"/>
      <c r="JP30" s="18" t="n"/>
      <c r="JQ30" s="18" t="n"/>
      <c r="JR30" s="18" t="n"/>
      <c r="JS30" s="18" t="n"/>
      <c r="JT30" s="18" t="n"/>
      <c r="JU30" s="18" t="n"/>
      <c r="JV30" s="18" t="n"/>
      <c r="JW30" s="18" t="n"/>
    </row>
    <row r="31" ht="52.05" customHeight="1" s="88">
      <c r="A31" s="29" t="inlineStr">
        <is>
          <t>9000</t>
        </is>
      </c>
      <c r="B31" s="29" t="inlineStr">
        <is>
          <t>9000-4</t>
        </is>
      </c>
      <c r="C31" s="29" t="inlineStr">
        <is>
          <t>상부강화노반</t>
        </is>
      </c>
      <c r="D31" s="29" t="inlineStr">
        <is>
          <t>9000-4-30</t>
        </is>
      </c>
      <c r="E31" s="102" t="inlineStr">
        <is>
          <t>9000-4-27, 9000-4-28</t>
        </is>
      </c>
      <c r="F31" s="102" t="inlineStr">
        <is>
          <t>9000-4-32</t>
        </is>
      </c>
      <c r="G31" s="32" t="inlineStr">
        <is>
          <t>토공 유동운반/사토</t>
        </is>
      </c>
      <c r="H31" s="33" t="inlineStr">
        <is>
          <t>D+45~180</t>
        </is>
      </c>
      <c r="I31" s="33" t="inlineStr">
        <is>
          <t>현장 공사팀</t>
        </is>
      </c>
      <c r="J31" s="34" t="inlineStr">
        <is>
          <t>본 과업은 현장 내 절토재의 운반 및 잔여 토사의 사토장 배출을 효율적으로 통제하여, 토공 작업의 공정 흐름을 원활히 유지하는 것을 목적으로 함.</t>
        </is>
      </c>
      <c r="K31" s="34" t="inlineStr">
        <is>
          <t>1) 감리단 NCR 통지서 수령 ➔ 2) 해당 구역 표면 15cm 파쇄 &amp; OMC 재다짐 ➔ 3) 1:1 재검측(다짐도/K30/Ev2) ➔ 4) NCR 조치 결과 보고서 감리 종결 승인</t>
        </is>
      </c>
      <c r="L31" s="34" t="inlineStr">
        <is>
          <t>감리단 부적합(NCR) 수령 후 해당 구역 표면 15cm 파쇄, OMC 살수 재다짐 및 1:1 재검측 서면 종결</t>
        </is>
      </c>
      <c r="M31" s="34" t="inlineStr">
        <is>
          <t>본 과업은 현장 내 절토재의 운반 및 잔여 토사의 사토장 배출을 효율적으로 통제하여, 토공 작업의 공정 흐름을 원활히 유지하는 것을 목적으로 함.</t>
        </is>
      </c>
      <c r="N31" s="35">
        <f>HYPERLINK(LEFT(CELL("filename",A1),FIND("[",CELL("filename",A1))-1)&amp;"4.상부강화노반\30_토공 유동운반_사토\표준서\토공 유동운반_사토_표준서.html", "👉 [클릭] 표준서 열기 📄")</f>
        <v/>
      </c>
      <c r="O31" s="34" t="inlineStr">
        <is>
          <t>1) 감리단 NCR 통지서 수령 ➔ 2) 해당 구역 표면 15cm 파쇄 &amp; OMC 재다짐 ➔ 3) 1:1 재검측(다짐도/K30/Ev2) ➔ 4) NCR 조치 결과 보고서 감리 종결 승인</t>
        </is>
      </c>
      <c r="P31" s="36">
        <f>HYPERLINK(LEFT(CELL("filename",A1),FIND("[",CELL("filename",A1))-1)&amp;"4.상부강화노반\30_토공 유동운반_사토\수행지침\토공 유동운반_사토_수행지침.html", "👉 [클릭] 수행지침 열기 📄")</f>
        <v/>
      </c>
      <c r="Q31" s="34" t="inlineStr">
        <is>
          <t>감리단 부적합(NCR) 수령 후 해당 구역 표면 15cm 파쇄, OMC 살수 재다짐 및 1:1 재검측 서면 종결</t>
        </is>
      </c>
      <c r="R31" s="37">
        <f>HYPERLINK(LEFT(CELL("filename",A1),FIND("[",CELL("filename",A1))-1)&amp;"4.상부강화노반\30_토공 유동운반_사토\체크리스트\토공 유동운반_사토_체크리스트.html", "👉 [클릭] 체크리스트 열기 📄")</f>
        <v/>
      </c>
      <c r="S31" s="33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Y31" s="18" t="n"/>
      <c r="DZ31" s="18" t="n"/>
      <c r="EA31" s="18" t="n"/>
      <c r="EB31" s="18" t="n"/>
      <c r="EC31" s="18" t="n"/>
      <c r="ED31" s="18" t="n"/>
      <c r="EE31" s="18" t="n"/>
      <c r="EF31" s="18" t="n"/>
      <c r="EG31" s="18" t="n"/>
      <c r="EH31" s="18" t="n"/>
      <c r="EI31" s="18" t="n"/>
      <c r="EJ31" s="18" t="n"/>
      <c r="EK31" s="18" t="n"/>
      <c r="EL31" s="18" t="n"/>
      <c r="EM31" s="18" t="n"/>
      <c r="EN31" s="18" t="n"/>
      <c r="EO31" s="18" t="n"/>
      <c r="EP31" s="18" t="n"/>
      <c r="EQ31" s="18" t="n"/>
      <c r="ER31" s="18" t="n"/>
      <c r="ES31" s="18" t="n"/>
      <c r="ET31" s="18" t="n"/>
      <c r="EU31" s="18" t="n"/>
      <c r="EV31" s="18" t="n"/>
      <c r="EW31" s="18" t="n"/>
      <c r="EX31" s="18" t="n"/>
      <c r="EY31" s="18" t="n"/>
      <c r="EZ31" s="18" t="n"/>
      <c r="FA31" s="18" t="n"/>
      <c r="FB31" s="18" t="n"/>
      <c r="FC31" s="18" t="n"/>
      <c r="FD31" s="18" t="n"/>
      <c r="FE31" s="18" t="n"/>
      <c r="FF31" s="18" t="n"/>
      <c r="FG31" s="18" t="n"/>
      <c r="FH31" s="18" t="n"/>
      <c r="FI31" s="18" t="n"/>
      <c r="FJ31" s="18" t="n"/>
      <c r="FK31" s="18" t="n"/>
      <c r="FL31" s="18" t="n"/>
      <c r="FM31" s="18" t="n"/>
      <c r="FN31" s="18" t="n"/>
      <c r="FO31" s="18" t="n"/>
      <c r="FP31" s="18" t="n"/>
      <c r="FQ31" s="18" t="n"/>
      <c r="FR31" s="18" t="n"/>
      <c r="FS31" s="18" t="n"/>
      <c r="FT31" s="18" t="n"/>
      <c r="FU31" s="18" t="n"/>
      <c r="FV31" s="18" t="n"/>
      <c r="FW31" s="18" t="n"/>
      <c r="FX31" s="18" t="n"/>
      <c r="FY31" s="18" t="n"/>
      <c r="FZ31" s="18" t="n"/>
      <c r="GA31" s="18" t="n"/>
      <c r="GB31" s="18" t="n"/>
      <c r="GC31" s="18" t="n"/>
      <c r="GD31" s="18" t="n"/>
      <c r="GE31" s="18" t="n"/>
      <c r="GF31" s="18" t="n"/>
      <c r="GG31" s="18" t="n"/>
      <c r="GH31" s="18" t="n"/>
      <c r="GI31" s="18" t="n"/>
      <c r="GJ31" s="18" t="n"/>
      <c r="GK31" s="18" t="n"/>
      <c r="GL31" s="18" t="n"/>
      <c r="GM31" s="18" t="n"/>
      <c r="GN31" s="18" t="n"/>
      <c r="GO31" s="18" t="n"/>
      <c r="GP31" s="18" t="n"/>
      <c r="GQ31" s="18" t="n"/>
      <c r="GR31" s="18" t="n"/>
      <c r="GS31" s="18" t="n"/>
      <c r="GT31" s="18" t="n"/>
      <c r="GU31" s="18" t="n"/>
      <c r="GV31" s="18" t="n"/>
      <c r="GW31" s="18" t="n"/>
      <c r="GX31" s="18" t="n"/>
      <c r="GY31" s="18" t="n"/>
      <c r="GZ31" s="18" t="n"/>
      <c r="HA31" s="18" t="n"/>
      <c r="HB31" s="18" t="n"/>
      <c r="HC31" s="18" t="n"/>
      <c r="HD31" s="18" t="n"/>
      <c r="HE31" s="18" t="n"/>
      <c r="HF31" s="18" t="n"/>
      <c r="HG31" s="18" t="n"/>
      <c r="HH31" s="18" t="n"/>
      <c r="HI31" s="18" t="n"/>
      <c r="HJ31" s="18" t="n"/>
      <c r="HK31" s="18" t="n"/>
      <c r="HL31" s="18" t="n"/>
      <c r="HM31" s="18" t="n"/>
      <c r="HN31" s="18" t="n"/>
      <c r="HO31" s="18" t="n"/>
      <c r="HP31" s="18" t="n"/>
      <c r="HQ31" s="18" t="n"/>
      <c r="HR31" s="18" t="n"/>
      <c r="HS31" s="18" t="n"/>
      <c r="HT31" s="18" t="n"/>
      <c r="HU31" s="18" t="n"/>
      <c r="HV31" s="18" t="n"/>
      <c r="HW31" s="18" t="n"/>
      <c r="HX31" s="18" t="n"/>
      <c r="HY31" s="18" t="n"/>
      <c r="HZ31" s="18" t="n"/>
      <c r="IA31" s="18" t="n"/>
      <c r="IB31" s="18" t="n"/>
      <c r="IC31" s="18" t="n"/>
      <c r="ID31" s="18" t="n"/>
      <c r="IE31" s="18" t="n"/>
      <c r="IF31" s="18" t="n"/>
      <c r="IG31" s="18" t="n"/>
      <c r="IH31" s="18" t="n"/>
      <c r="II31" s="18" t="n"/>
      <c r="IJ31" s="18" t="n"/>
      <c r="IK31" s="18" t="n"/>
      <c r="IL31" s="18" t="n"/>
      <c r="IM31" s="18" t="n"/>
      <c r="IN31" s="18" t="n"/>
      <c r="IO31" s="18" t="n"/>
      <c r="IP31" s="18" t="n"/>
      <c r="IQ31" s="18" t="n"/>
      <c r="IR31" s="18" t="n"/>
      <c r="IS31" s="18" t="n"/>
      <c r="IT31" s="18" t="n"/>
      <c r="IU31" s="18" t="n"/>
      <c r="IV31" s="18" t="n"/>
      <c r="IW31" s="18" t="n"/>
      <c r="IX31" s="18" t="n"/>
      <c r="IY31" s="18" t="n"/>
      <c r="IZ31" s="18" t="n"/>
      <c r="JA31" s="18" t="n"/>
      <c r="JB31" s="18" t="n"/>
      <c r="JC31" s="18" t="n"/>
      <c r="JD31" s="18" t="n"/>
      <c r="JE31" s="18" t="n"/>
      <c r="JF31" s="18" t="n"/>
      <c r="JG31" s="18" t="n"/>
      <c r="JH31" s="18" t="n"/>
      <c r="JI31" s="18" t="n"/>
      <c r="JJ31" s="18" t="n"/>
      <c r="JK31" s="18" t="n"/>
      <c r="JL31" s="18" t="n"/>
      <c r="JM31" s="18" t="n"/>
      <c r="JN31" s="18" t="n"/>
      <c r="JO31" s="18" t="n"/>
      <c r="JP31" s="18" t="n"/>
      <c r="JQ31" s="18" t="n"/>
      <c r="JR31" s="18" t="n"/>
      <c r="JS31" s="18" t="n"/>
      <c r="JT31" s="18" t="n"/>
      <c r="JU31" s="18" t="n"/>
      <c r="JV31" s="18" t="n"/>
      <c r="JW31" s="18" t="n"/>
      <c r="JX31" s="18" t="n"/>
      <c r="JY31" s="18" t="n"/>
      <c r="JZ31" s="18" t="n"/>
      <c r="KA31" s="18" t="n"/>
    </row>
    <row r="32" ht="52.05" customHeight="1" s="88">
      <c r="A32" s="19" t="inlineStr">
        <is>
          <t>9000</t>
        </is>
      </c>
      <c r="B32" s="19" t="inlineStr">
        <is>
          <t>9000-4</t>
        </is>
      </c>
      <c r="C32" s="19" t="inlineStr">
        <is>
          <t>상부강화노반</t>
        </is>
      </c>
      <c r="D32" s="19" t="inlineStr">
        <is>
          <t>9000-4-31</t>
        </is>
      </c>
      <c r="E32" s="95" t="inlineStr">
        <is>
          <t>9000-4-29</t>
        </is>
      </c>
      <c r="F32" s="95" t="inlineStr">
        <is>
          <t>9000-4-33</t>
        </is>
      </c>
      <c r="G32" s="23" t="inlineStr">
        <is>
          <t>연약지반처리(필요시)</t>
        </is>
      </c>
      <c r="H32" s="21" t="inlineStr">
        <is>
          <t>D+45~240</t>
        </is>
      </c>
      <c r="I32" s="21" t="inlineStr">
        <is>
          <t>현장 공사팀</t>
        </is>
      </c>
      <c r="J32" s="24" t="inlineStr">
        <is>
          <t>본 과업은 시공 중 추가 발굴되거나 예상치 못한 약산 지반 구역에 대해 즉각적인 지반 개량 조치를 시행하여, 노반 완성 후 잔류 침하 발생을 원천 차단하는 것을 목적으로 함.</t>
        </is>
      </c>
      <c r="K32" s="24" t="inlineStr">
        <is>
          <t>1) 성토 사면 경사(1:1.5 이하) 측량 ➔ 2) 사면 다짐도(≥ 90%) 검측 ➔ 3) 식생 거적(Jute Mat) 30cm 겹침 부설 ➔ 4) 사면 다짐 성과표 감리 승인</t>
        </is>
      </c>
      <c r="L32" s="24" t="inlineStr">
        <is>
          <t>성토 사면 비탈면 경사(1:1.5 이하) 측량, 사면 다짐도 ≥ 90% 검측 및 식생 거적(Jute Mat) 부설</t>
        </is>
      </c>
      <c r="M32" s="24" t="inlineStr">
        <is>
          <t>본 과업은 시공 중 추가 발굴되거나 예상치 못한 약산 지반 구역에 대해 즉각적인 지반 개량 조치를 시행하여, 노반 완성 후 잔류 침하 발생을 원천 차단하는 것을 목적으로 함.</t>
        </is>
      </c>
      <c r="N32" s="25">
        <f>HYPERLINK(LEFT(CELL("filename",A1),FIND("[",CELL("filename",A1))-1)&amp;"4.상부강화노반\31_연약지반처리(필요시)\표준서\연약지반처리_표준서.html", "👉 [클릭] 표준서 열기 📄")</f>
        <v/>
      </c>
      <c r="O32" s="24" t="inlineStr">
        <is>
          <t>1) 성토 사면 경사(1:1.5 이하) 측량 ➔ 2) 사면 다짐도(≥ 90%) 검측 ➔ 3) 식생 거적(Jute Mat) 30cm 겹침 부설 ➔ 4) 사면 다짐 성과표 감리 승인</t>
        </is>
      </c>
      <c r="P32" s="26">
        <f>HYPERLINK(LEFT(CELL("filename",A1),FIND("[",CELL("filename",A1))-1)&amp;"4.상부강화노반\31_연약지반처리(필요시)\수행지침\연약지반처리_수행지침.html", "👉 [클릭] 수행지침 열기 📄")</f>
        <v/>
      </c>
      <c r="Q32" s="24" t="inlineStr">
        <is>
          <t>성토 사면 비탈면 경사(1:1.5 이하) 측량, 사면 다짐도 ≥ 90% 검측 및 식생 거적(Jute Mat) 부설</t>
        </is>
      </c>
      <c r="R32" s="27">
        <f>HYPERLINK(LEFT(CELL("filename",A1),FIND("[",CELL("filename",A1))-1)&amp;"4.상부강화노반\31_연약지반처리(필요시)\체크리스트\연약지반처리_체크리스트.html", "👉 [클릭] 체크리스트 열기 📄")</f>
        <v/>
      </c>
      <c r="S32" s="2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Y32" s="18" t="n"/>
      <c r="DZ32" s="18" t="n"/>
      <c r="EA32" s="18" t="n"/>
      <c r="EB32" s="18" t="n"/>
      <c r="EC32" s="18" t="n"/>
      <c r="ED32" s="18" t="n"/>
      <c r="EE32" s="18" t="n"/>
      <c r="EF32" s="18" t="n"/>
      <c r="EG32" s="18" t="n"/>
      <c r="EH32" s="18" t="n"/>
      <c r="EI32" s="18" t="n"/>
      <c r="EJ32" s="18" t="n"/>
      <c r="EK32" s="18" t="n"/>
      <c r="EL32" s="18" t="n"/>
      <c r="EM32" s="18" t="n"/>
      <c r="EN32" s="18" t="n"/>
      <c r="EO32" s="18" t="n"/>
      <c r="EP32" s="18" t="n"/>
      <c r="EQ32" s="18" t="n"/>
      <c r="ER32" s="18" t="n"/>
      <c r="ES32" s="18" t="n"/>
      <c r="ET32" s="18" t="n"/>
      <c r="EU32" s="18" t="n"/>
      <c r="EV32" s="18" t="n"/>
      <c r="EW32" s="18" t="n"/>
      <c r="EX32" s="18" t="n"/>
      <c r="EY32" s="18" t="n"/>
      <c r="EZ32" s="18" t="n"/>
      <c r="FA32" s="18" t="n"/>
      <c r="FB32" s="18" t="n"/>
      <c r="FC32" s="18" t="n"/>
      <c r="FD32" s="18" t="n"/>
      <c r="FE32" s="18" t="n"/>
      <c r="FF32" s="18" t="n"/>
      <c r="FG32" s="18" t="n"/>
      <c r="FH32" s="18" t="n"/>
      <c r="FI32" s="18" t="n"/>
      <c r="FJ32" s="18" t="n"/>
      <c r="FK32" s="18" t="n"/>
      <c r="FL32" s="18" t="n"/>
      <c r="FM32" s="18" t="n"/>
      <c r="FN32" s="18" t="n"/>
      <c r="FO32" s="18" t="n"/>
      <c r="FP32" s="18" t="n"/>
      <c r="FQ32" s="18" t="n"/>
      <c r="FR32" s="18" t="n"/>
      <c r="FS32" s="18" t="n"/>
      <c r="FT32" s="18" t="n"/>
      <c r="FU32" s="18" t="n"/>
      <c r="FV32" s="18" t="n"/>
      <c r="FW32" s="18" t="n"/>
      <c r="FX32" s="18" t="n"/>
      <c r="FY32" s="18" t="n"/>
      <c r="FZ32" s="18" t="n"/>
      <c r="GA32" s="18" t="n"/>
      <c r="GB32" s="18" t="n"/>
      <c r="GC32" s="18" t="n"/>
      <c r="GD32" s="18" t="n"/>
      <c r="GE32" s="18" t="n"/>
      <c r="GF32" s="18" t="n"/>
      <c r="GG32" s="18" t="n"/>
      <c r="GH32" s="18" t="n"/>
      <c r="GI32" s="18" t="n"/>
      <c r="GJ32" s="18" t="n"/>
      <c r="GK32" s="18" t="n"/>
      <c r="GL32" s="18" t="n"/>
      <c r="GM32" s="18" t="n"/>
      <c r="GN32" s="18" t="n"/>
      <c r="GO32" s="18" t="n"/>
      <c r="GP32" s="18" t="n"/>
      <c r="GQ32" s="18" t="n"/>
      <c r="GR32" s="18" t="n"/>
      <c r="GS32" s="18" t="n"/>
      <c r="GT32" s="18" t="n"/>
      <c r="GU32" s="18" t="n"/>
      <c r="GV32" s="18" t="n"/>
      <c r="GW32" s="18" t="n"/>
      <c r="GX32" s="18" t="n"/>
      <c r="GY32" s="18" t="n"/>
      <c r="GZ32" s="18" t="n"/>
      <c r="HA32" s="18" t="n"/>
      <c r="HB32" s="18" t="n"/>
      <c r="HC32" s="18" t="n"/>
      <c r="HD32" s="18" t="n"/>
      <c r="HE32" s="18" t="n"/>
      <c r="HF32" s="18" t="n"/>
      <c r="HG32" s="18" t="n"/>
      <c r="HH32" s="18" t="n"/>
      <c r="HI32" s="18" t="n"/>
      <c r="HJ32" s="18" t="n"/>
      <c r="HK32" s="18" t="n"/>
      <c r="HL32" s="18" t="n"/>
      <c r="HM32" s="18" t="n"/>
      <c r="HN32" s="18" t="n"/>
      <c r="HO32" s="18" t="n"/>
      <c r="HP32" s="18" t="n"/>
      <c r="HQ32" s="18" t="n"/>
      <c r="HR32" s="18" t="n"/>
      <c r="HS32" s="18" t="n"/>
      <c r="HT32" s="18" t="n"/>
      <c r="HU32" s="18" t="n"/>
      <c r="HV32" s="18" t="n"/>
      <c r="HW32" s="18" t="n"/>
      <c r="HX32" s="18" t="n"/>
      <c r="HY32" s="18" t="n"/>
      <c r="HZ32" s="18" t="n"/>
      <c r="IA32" s="18" t="n"/>
      <c r="IB32" s="18" t="n"/>
      <c r="IC32" s="18" t="n"/>
      <c r="ID32" s="18" t="n"/>
      <c r="IE32" s="18" t="n"/>
      <c r="IF32" s="18" t="n"/>
      <c r="IG32" s="18" t="n"/>
      <c r="IH32" s="18" t="n"/>
      <c r="II32" s="18" t="n"/>
      <c r="IJ32" s="18" t="n"/>
      <c r="IK32" s="18" t="n"/>
      <c r="IL32" s="18" t="n"/>
      <c r="IM32" s="18" t="n"/>
      <c r="IN32" s="18" t="n"/>
      <c r="IO32" s="18" t="n"/>
      <c r="IP32" s="18" t="n"/>
      <c r="IQ32" s="18" t="n"/>
      <c r="IR32" s="18" t="n"/>
      <c r="IS32" s="18" t="n"/>
      <c r="IT32" s="18" t="n"/>
      <c r="IU32" s="18" t="n"/>
      <c r="IV32" s="18" t="n"/>
      <c r="IW32" s="18" t="n"/>
      <c r="IX32" s="18" t="n"/>
      <c r="IY32" s="18" t="n"/>
      <c r="IZ32" s="18" t="n"/>
      <c r="JA32" s="18" t="n"/>
      <c r="JB32" s="18" t="n"/>
      <c r="JC32" s="18" t="n"/>
      <c r="JD32" s="18" t="n"/>
      <c r="JE32" s="18" t="n"/>
      <c r="JF32" s="18" t="n"/>
      <c r="JG32" s="18" t="n"/>
      <c r="JH32" s="18" t="n"/>
      <c r="JI32" s="18" t="n"/>
      <c r="JJ32" s="18" t="n"/>
      <c r="JK32" s="18" t="n"/>
      <c r="JL32" s="18" t="n"/>
      <c r="JM32" s="18" t="n"/>
      <c r="JN32" s="18" t="n"/>
      <c r="JO32" s="18" t="n"/>
      <c r="JP32" s="18" t="n"/>
      <c r="JQ32" s="18" t="n"/>
      <c r="JR32" s="18" t="n"/>
      <c r="JS32" s="18" t="n"/>
      <c r="JT32" s="18" t="n"/>
      <c r="JU32" s="18" t="n"/>
      <c r="JV32" s="18" t="n"/>
      <c r="JW32" s="18" t="n"/>
      <c r="JX32" s="18" t="n"/>
      <c r="JY32" s="18" t="n"/>
      <c r="JZ32" s="18" t="n"/>
      <c r="KA32" s="18" t="n"/>
      <c r="KB32" s="18" t="n"/>
      <c r="KC32" s="18" t="n"/>
      <c r="KD32" s="18" t="n"/>
      <c r="KE32" s="18" t="n"/>
    </row>
    <row r="33" ht="52.05" customHeight="1" s="88">
      <c r="A33" s="29" t="inlineStr">
        <is>
          <t>9000</t>
        </is>
      </c>
      <c r="B33" s="29" t="inlineStr">
        <is>
          <t>9000-4</t>
        </is>
      </c>
      <c r="C33" s="29" t="inlineStr">
        <is>
          <t>상부강화노반</t>
        </is>
      </c>
      <c r="D33" s="29" t="inlineStr">
        <is>
          <t>9000-4-32</t>
        </is>
      </c>
      <c r="E33" s="102" t="inlineStr">
        <is>
          <t>9000-4-29, 9000-4-30</t>
        </is>
      </c>
      <c r="F33" s="102" t="inlineStr">
        <is>
          <t>9000-4-33, 9000-4-34</t>
        </is>
      </c>
      <c r="G33" s="32" t="inlineStr">
        <is>
          <t>절성토경계부 배수구조물(맹암거) 시공</t>
        </is>
      </c>
      <c r="H33" s="33" t="inlineStr">
        <is>
          <t>D+45~180</t>
        </is>
      </c>
      <c r="I33" s="33" t="inlineStr">
        <is>
          <t>현장 공사팀</t>
        </is>
      </c>
      <c r="J33" s="34" t="inlineStr">
        <is>
          <t>본 과업은 절토와 성토가 교차하는 경계 부위의 침투수 및 누수를 원활히 배수하기 위해 맹암거를 설치함으로써, 사면 붕괴 및 지반 약화를 방지하는 것을 목적으로 함.</t>
        </is>
      </c>
      <c r="K33" s="34" t="inlineStr">
        <is>
          <t>1) U형 측구 기초 버림(10cm) 타설 ➔ 2) U형 측구(0.4×0.4m) 부설 &amp; 인버트 사춤 ➔ 3) 주철 그레이팅 체결 &amp; 담수 시험 ➔ 4) 배수시설 검측서 감리 승인</t>
        </is>
      </c>
      <c r="L33" s="34" t="inlineStr">
        <is>
          <t>U형 측구(0.4×0.4m, 버림 10cm) 부설, 집수정 인버트 모타르 사춤 및 주철 그레이팅 체결/담수 시험</t>
        </is>
      </c>
      <c r="M33" s="34" t="inlineStr">
        <is>
          <t>본 과업은 절토와 성토가 교차하는 경계 부위의 침투수 및 누수를 원활히 배수하기 위해 맹암거를 설치함으로써, 사면 붕괴 및 지반 약화를 방지하는 것을 목적으로 함.</t>
        </is>
      </c>
      <c r="N33" s="35">
        <f>HYPERLINK(LEFT(CELL("filename",A1),FIND("[",CELL("filename",A1))-1)&amp;"4.상부강화노반\32_절성토경계부 배수구조물(맹암거) 시공\표준서\절성토경계부 배수구조물 시공_표준서.html", "👉 [클릭] 표준서 열기 📄")</f>
        <v/>
      </c>
      <c r="O33" s="34" t="inlineStr">
        <is>
          <t>1) U형 측구 기초 버림(10cm) 타설 ➔ 2) U형 측구(0.4×0.4m) 부설 &amp; 인버트 사춤 ➔ 3) 주철 그레이팅 체결 &amp; 담수 시험 ➔ 4) 배수시설 검측서 감리 승인</t>
        </is>
      </c>
      <c r="P33" s="36">
        <f>HYPERLINK(LEFT(CELL("filename",A1),FIND("[",CELL("filename",A1))-1)&amp;"4.상부강화노반\32_절성토경계부 배수구조물(맹암거) 시공\수행지침\절성토경계부 배수구조물 시공_수행지침.html", "👉 [클릭] 수행지침 열기 📄")</f>
        <v/>
      </c>
      <c r="Q33" s="34" t="inlineStr">
        <is>
          <t>U형 측구(0.4×0.4m, 버림 10cm) 부설, 집수정 인버트 모타르 사춤 및 주철 그레이팅 체결/담수 시험</t>
        </is>
      </c>
      <c r="R33" s="37">
        <f>HYPERLINK(LEFT(CELL("filename",A1),FIND("[",CELL("filename",A1))-1)&amp;"4.상부강화노반\32_절성토경계부 배수구조물(맹암거) 시공\체크리스트\절성토경계부 배수구조물 시공_체크리스트.html", "👉 [클릭] 체크리스트 열기 📄")</f>
        <v/>
      </c>
      <c r="S33" s="33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Y33" s="18" t="n"/>
      <c r="DZ33" s="18" t="n"/>
      <c r="EA33" s="18" t="n"/>
      <c r="EB33" s="18" t="n"/>
      <c r="EC33" s="18" t="n"/>
      <c r="ED33" s="18" t="n"/>
      <c r="EE33" s="18" t="n"/>
      <c r="EF33" s="18" t="n"/>
      <c r="EG33" s="18" t="n"/>
      <c r="EH33" s="18" t="n"/>
      <c r="EI33" s="18" t="n"/>
      <c r="EJ33" s="18" t="n"/>
      <c r="EK33" s="18" t="n"/>
      <c r="EL33" s="18" t="n"/>
      <c r="EM33" s="18" t="n"/>
      <c r="EN33" s="18" t="n"/>
      <c r="EO33" s="18" t="n"/>
      <c r="EP33" s="18" t="n"/>
      <c r="EQ33" s="18" t="n"/>
      <c r="ER33" s="18" t="n"/>
      <c r="ES33" s="18" t="n"/>
      <c r="ET33" s="18" t="n"/>
      <c r="EU33" s="18" t="n"/>
      <c r="EV33" s="18" t="n"/>
      <c r="EW33" s="18" t="n"/>
      <c r="EX33" s="18" t="n"/>
      <c r="EY33" s="18" t="n"/>
      <c r="EZ33" s="18" t="n"/>
      <c r="FA33" s="18" t="n"/>
      <c r="FB33" s="18" t="n"/>
      <c r="FC33" s="18" t="n"/>
      <c r="FD33" s="18" t="n"/>
      <c r="FE33" s="18" t="n"/>
      <c r="FF33" s="18" t="n"/>
      <c r="FG33" s="18" t="n"/>
      <c r="FH33" s="18" t="n"/>
      <c r="FI33" s="18" t="n"/>
      <c r="FJ33" s="18" t="n"/>
      <c r="FK33" s="18" t="n"/>
      <c r="FL33" s="18" t="n"/>
      <c r="FM33" s="18" t="n"/>
      <c r="FN33" s="18" t="n"/>
      <c r="FO33" s="18" t="n"/>
      <c r="FP33" s="18" t="n"/>
      <c r="FQ33" s="18" t="n"/>
      <c r="FR33" s="18" t="n"/>
      <c r="FS33" s="18" t="n"/>
      <c r="FT33" s="18" t="n"/>
      <c r="FU33" s="18" t="n"/>
      <c r="FV33" s="18" t="n"/>
      <c r="FW33" s="18" t="n"/>
      <c r="FX33" s="18" t="n"/>
      <c r="FY33" s="18" t="n"/>
      <c r="FZ33" s="18" t="n"/>
      <c r="GA33" s="18" t="n"/>
      <c r="GB33" s="18" t="n"/>
      <c r="GC33" s="18" t="n"/>
      <c r="GD33" s="18" t="n"/>
      <c r="GE33" s="18" t="n"/>
      <c r="GF33" s="18" t="n"/>
      <c r="GG33" s="18" t="n"/>
      <c r="GH33" s="18" t="n"/>
      <c r="GI33" s="18" t="n"/>
      <c r="GJ33" s="18" t="n"/>
      <c r="GK33" s="18" t="n"/>
      <c r="GL33" s="18" t="n"/>
      <c r="GM33" s="18" t="n"/>
      <c r="GN33" s="18" t="n"/>
      <c r="GO33" s="18" t="n"/>
      <c r="GP33" s="18" t="n"/>
      <c r="GQ33" s="18" t="n"/>
      <c r="GR33" s="18" t="n"/>
      <c r="GS33" s="18" t="n"/>
      <c r="GT33" s="18" t="n"/>
      <c r="GU33" s="18" t="n"/>
      <c r="GV33" s="18" t="n"/>
      <c r="GW33" s="18" t="n"/>
      <c r="GX33" s="18" t="n"/>
      <c r="GY33" s="18" t="n"/>
      <c r="GZ33" s="18" t="n"/>
      <c r="HA33" s="18" t="n"/>
      <c r="HB33" s="18" t="n"/>
      <c r="HC33" s="18" t="n"/>
      <c r="HD33" s="18" t="n"/>
      <c r="HE33" s="18" t="n"/>
      <c r="HF33" s="18" t="n"/>
      <c r="HG33" s="18" t="n"/>
      <c r="HH33" s="18" t="n"/>
      <c r="HI33" s="18" t="n"/>
      <c r="HJ33" s="18" t="n"/>
      <c r="HK33" s="18" t="n"/>
      <c r="HL33" s="18" t="n"/>
      <c r="HM33" s="18" t="n"/>
      <c r="HN33" s="18" t="n"/>
      <c r="HO33" s="18" t="n"/>
      <c r="HP33" s="18" t="n"/>
      <c r="HQ33" s="18" t="n"/>
      <c r="HR33" s="18" t="n"/>
      <c r="HS33" s="18" t="n"/>
      <c r="HT33" s="18" t="n"/>
      <c r="HU33" s="18" t="n"/>
      <c r="HV33" s="18" t="n"/>
      <c r="HW33" s="18" t="n"/>
      <c r="HX33" s="18" t="n"/>
      <c r="HY33" s="18" t="n"/>
      <c r="HZ33" s="18" t="n"/>
      <c r="IA33" s="18" t="n"/>
      <c r="IB33" s="18" t="n"/>
      <c r="IC33" s="18" t="n"/>
      <c r="ID33" s="18" t="n"/>
      <c r="IE33" s="18" t="n"/>
      <c r="IF33" s="18" t="n"/>
      <c r="IG33" s="18" t="n"/>
      <c r="IH33" s="18" t="n"/>
      <c r="II33" s="18" t="n"/>
      <c r="IJ33" s="18" t="n"/>
      <c r="IK33" s="18" t="n"/>
      <c r="IL33" s="18" t="n"/>
      <c r="IM33" s="18" t="n"/>
      <c r="IN33" s="18" t="n"/>
      <c r="IO33" s="18" t="n"/>
      <c r="IP33" s="18" t="n"/>
      <c r="IQ33" s="18" t="n"/>
      <c r="IR33" s="18" t="n"/>
      <c r="IS33" s="18" t="n"/>
      <c r="IT33" s="18" t="n"/>
      <c r="IU33" s="18" t="n"/>
      <c r="IV33" s="18" t="n"/>
      <c r="IW33" s="18" t="n"/>
      <c r="IX33" s="18" t="n"/>
      <c r="IY33" s="18" t="n"/>
      <c r="IZ33" s="18" t="n"/>
      <c r="JA33" s="18" t="n"/>
      <c r="JB33" s="18" t="n"/>
      <c r="JC33" s="18" t="n"/>
      <c r="JD33" s="18" t="n"/>
      <c r="JE33" s="18" t="n"/>
      <c r="JF33" s="18" t="n"/>
      <c r="JG33" s="18" t="n"/>
      <c r="JH33" s="18" t="n"/>
      <c r="JI33" s="18" t="n"/>
      <c r="JJ33" s="18" t="n"/>
      <c r="JK33" s="18" t="n"/>
      <c r="JL33" s="18" t="n"/>
      <c r="JM33" s="18" t="n"/>
      <c r="JN33" s="18" t="n"/>
      <c r="JO33" s="18" t="n"/>
      <c r="JP33" s="18" t="n"/>
      <c r="JQ33" s="18" t="n"/>
      <c r="JR33" s="18" t="n"/>
      <c r="JS33" s="18" t="n"/>
      <c r="JT33" s="18" t="n"/>
      <c r="JU33" s="18" t="n"/>
      <c r="JV33" s="18" t="n"/>
      <c r="JW33" s="18" t="n"/>
      <c r="JX33" s="18" t="n"/>
      <c r="JY33" s="18" t="n"/>
      <c r="JZ33" s="18" t="n"/>
      <c r="KA33" s="18" t="n"/>
      <c r="KB33" s="18" t="n"/>
      <c r="KC33" s="18" t="n"/>
      <c r="KD33" s="18" t="n"/>
      <c r="KE33" s="18" t="n"/>
      <c r="KF33" s="18" t="n"/>
      <c r="KG33" s="18" t="n"/>
      <c r="KH33" s="18" t="n"/>
      <c r="KI33" s="18" t="n"/>
    </row>
    <row r="34" ht="52.05" customHeight="1" s="88">
      <c r="A34" s="19" t="inlineStr">
        <is>
          <t>9000</t>
        </is>
      </c>
      <c r="B34" s="19" t="inlineStr">
        <is>
          <t>9000-4</t>
        </is>
      </c>
      <c r="C34" s="19" t="inlineStr">
        <is>
          <t>상부강화노반</t>
        </is>
      </c>
      <c r="D34" s="19" t="inlineStr">
        <is>
          <t>9000-4-33</t>
        </is>
      </c>
      <c r="E34" s="95" t="inlineStr">
        <is>
          <t>9000-4-31, 9000-4-32</t>
        </is>
      </c>
      <c r="F34" s="95" t="inlineStr">
        <is>
          <t>9000-4-35</t>
        </is>
      </c>
      <c r="G34" s="23" t="inlineStr">
        <is>
          <t>암석쌓기</t>
        </is>
      </c>
      <c r="H34" s="21" t="inlineStr">
        <is>
          <t>D+45~180</t>
        </is>
      </c>
      <c r="I34" s="21" t="inlineStr">
        <is>
          <t>현장 공사팀</t>
        </is>
      </c>
      <c r="J34" s="24" t="inlineStr">
        <is>
          <t>본 과업은 절토 암석 재료를 활용하여 대형 암석 쌓기를 시행할 때, 공극 채움재 처리와 층간 다짐을 정밀 관리하여 암석 성토층의 장기 유실 및 변형을 방지하는 것을 목적으로 함.</t>
        </is>
      </c>
      <c r="K34" s="24" t="inlineStr">
        <is>
          <t>1) 완성면 통제 바리케이트 설치 ➔ 2) 미세 분무 살수 &amp; 비닐 덮개 야적 ➔ 3) 일일 완성면 훼손 점검 ➔ 4) 완성면 보호 점검 대장 감리 승인</t>
        </is>
      </c>
      <c r="L34" s="24" t="inlineStr">
        <is>
          <t>통제 바리케이트(중장비 진입 100% 차단), 미세 분무 살수(골재이탈 예방) 및 완성면 보호 대장 작성</t>
        </is>
      </c>
      <c r="M34" s="24" t="inlineStr">
        <is>
          <t>본 과업은 절토 암석 재료를 활용하여 대형 암석 쌓기를 시행할 때, 공극 채움재 처리와 층간 다짐을 정밀 관리하여 암석 성토층의 장기 유실 및 변형을 방지하는 것을 목적으로 함.</t>
        </is>
      </c>
      <c r="N34" s="25">
        <f>HYPERLINK(LEFT(CELL("filename",A1),FIND("[",CELL("filename",A1))-1)&amp;"4.상부강화노반\33_암석쌓기\표준서\암석쌓기_표준서.html", "👉 [클릭] 표준서 열기 📄")</f>
        <v/>
      </c>
      <c r="O34" s="24" t="inlineStr">
        <is>
          <t>1) 완성면 통제 바리케이트 설치 ➔ 2) 미세 분무 살수 &amp; 비닐 덮개 야적 ➔ 3) 일일 완성면 훼손 점검 ➔ 4) 완성면 보호 점검 대장 감리 승인</t>
        </is>
      </c>
      <c r="P34" s="26">
        <f>HYPERLINK(LEFT(CELL("filename",A1),FIND("[",CELL("filename",A1))-1)&amp;"4.상부강화노반\33_암석쌓기\수행지침\암석쌓기_수행지침.html", "👉 [클릭] 수행지침 열기 📄")</f>
        <v/>
      </c>
      <c r="Q34" s="24" t="inlineStr">
        <is>
          <t>통제 바리케이트(중장비 진입 100% 차단), 미세 분무 살수(골재이탈 예방) 및 완성면 보호 대장 작성</t>
        </is>
      </c>
      <c r="R34" s="27">
        <f>HYPERLINK(LEFT(CELL("filename",A1),FIND("[",CELL("filename",A1))-1)&amp;"4.상부강화노반\33_암석쌓기\체크리스트\암석쌓기_체크리스트.html", "👉 [클릭] 체크리스트 열기 📄")</f>
        <v/>
      </c>
      <c r="S34" s="2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Y34" s="18" t="n"/>
      <c r="DZ34" s="18" t="n"/>
      <c r="EA34" s="18" t="n"/>
      <c r="EB34" s="18" t="n"/>
      <c r="EC34" s="18" t="n"/>
      <c r="ED34" s="18" t="n"/>
      <c r="EE34" s="18" t="n"/>
      <c r="EF34" s="18" t="n"/>
      <c r="EG34" s="18" t="n"/>
      <c r="EH34" s="18" t="n"/>
      <c r="EI34" s="18" t="n"/>
      <c r="EJ34" s="18" t="n"/>
      <c r="EK34" s="18" t="n"/>
      <c r="EL34" s="18" t="n"/>
      <c r="EM34" s="18" t="n"/>
      <c r="EN34" s="18" t="n"/>
      <c r="EO34" s="18" t="n"/>
      <c r="EP34" s="18" t="n"/>
      <c r="EQ34" s="18" t="n"/>
      <c r="ER34" s="18" t="n"/>
      <c r="ES34" s="18" t="n"/>
      <c r="ET34" s="18" t="n"/>
      <c r="EU34" s="18" t="n"/>
      <c r="EV34" s="18" t="n"/>
      <c r="EW34" s="18" t="n"/>
      <c r="EX34" s="18" t="n"/>
      <c r="EY34" s="18" t="n"/>
      <c r="EZ34" s="18" t="n"/>
      <c r="FA34" s="18" t="n"/>
      <c r="FB34" s="18" t="n"/>
      <c r="FC34" s="18" t="n"/>
      <c r="FD34" s="18" t="n"/>
      <c r="FE34" s="18" t="n"/>
      <c r="FF34" s="18" t="n"/>
      <c r="FG34" s="18" t="n"/>
      <c r="FH34" s="18" t="n"/>
      <c r="FI34" s="18" t="n"/>
      <c r="FJ34" s="18" t="n"/>
      <c r="FK34" s="18" t="n"/>
      <c r="FL34" s="18" t="n"/>
      <c r="FM34" s="18" t="n"/>
      <c r="FN34" s="18" t="n"/>
      <c r="FO34" s="18" t="n"/>
      <c r="FP34" s="18" t="n"/>
      <c r="FQ34" s="18" t="n"/>
      <c r="FR34" s="18" t="n"/>
      <c r="FS34" s="18" t="n"/>
      <c r="FT34" s="18" t="n"/>
      <c r="FU34" s="18" t="n"/>
      <c r="FV34" s="18" t="n"/>
      <c r="FW34" s="18" t="n"/>
      <c r="FX34" s="18" t="n"/>
      <c r="FY34" s="18" t="n"/>
      <c r="FZ34" s="18" t="n"/>
      <c r="GA34" s="18" t="n"/>
      <c r="GB34" s="18" t="n"/>
      <c r="GC34" s="18" t="n"/>
      <c r="GD34" s="18" t="n"/>
      <c r="GE34" s="18" t="n"/>
      <c r="GF34" s="18" t="n"/>
      <c r="GG34" s="18" t="n"/>
      <c r="GH34" s="18" t="n"/>
      <c r="GI34" s="18" t="n"/>
      <c r="GJ34" s="18" t="n"/>
      <c r="GK34" s="18" t="n"/>
      <c r="GL34" s="18" t="n"/>
      <c r="GM34" s="18" t="n"/>
      <c r="GN34" s="18" t="n"/>
      <c r="GO34" s="18" t="n"/>
      <c r="GP34" s="18" t="n"/>
      <c r="GQ34" s="18" t="n"/>
      <c r="GR34" s="18" t="n"/>
      <c r="GS34" s="18" t="n"/>
      <c r="GT34" s="18" t="n"/>
      <c r="GU34" s="18" t="n"/>
      <c r="GV34" s="18" t="n"/>
      <c r="GW34" s="18" t="n"/>
      <c r="GX34" s="18" t="n"/>
      <c r="GY34" s="18" t="n"/>
      <c r="GZ34" s="18" t="n"/>
      <c r="HA34" s="18" t="n"/>
      <c r="HB34" s="18" t="n"/>
      <c r="HC34" s="18" t="n"/>
      <c r="HD34" s="18" t="n"/>
      <c r="HE34" s="18" t="n"/>
      <c r="HF34" s="18" t="n"/>
      <c r="HG34" s="18" t="n"/>
      <c r="HH34" s="18" t="n"/>
      <c r="HI34" s="18" t="n"/>
      <c r="HJ34" s="18" t="n"/>
      <c r="HK34" s="18" t="n"/>
      <c r="HL34" s="18" t="n"/>
      <c r="HM34" s="18" t="n"/>
      <c r="HN34" s="18" t="n"/>
      <c r="HO34" s="18" t="n"/>
      <c r="HP34" s="18" t="n"/>
      <c r="HQ34" s="18" t="n"/>
      <c r="HR34" s="18" t="n"/>
      <c r="HS34" s="18" t="n"/>
      <c r="HT34" s="18" t="n"/>
      <c r="HU34" s="18" t="n"/>
      <c r="HV34" s="18" t="n"/>
      <c r="HW34" s="18" t="n"/>
      <c r="HX34" s="18" t="n"/>
      <c r="HY34" s="18" t="n"/>
      <c r="HZ34" s="18" t="n"/>
      <c r="IA34" s="18" t="n"/>
      <c r="IB34" s="18" t="n"/>
      <c r="IC34" s="18" t="n"/>
      <c r="ID34" s="18" t="n"/>
      <c r="IE34" s="18" t="n"/>
      <c r="IF34" s="18" t="n"/>
      <c r="IG34" s="18" t="n"/>
      <c r="IH34" s="18" t="n"/>
      <c r="II34" s="18" t="n"/>
      <c r="IJ34" s="18" t="n"/>
      <c r="IK34" s="18" t="n"/>
      <c r="IL34" s="18" t="n"/>
      <c r="IM34" s="18" t="n"/>
      <c r="IN34" s="18" t="n"/>
      <c r="IO34" s="18" t="n"/>
      <c r="IP34" s="18" t="n"/>
      <c r="IQ34" s="18" t="n"/>
      <c r="IR34" s="18" t="n"/>
      <c r="IS34" s="18" t="n"/>
      <c r="IT34" s="18" t="n"/>
      <c r="IU34" s="18" t="n"/>
      <c r="IV34" s="18" t="n"/>
      <c r="IW34" s="18" t="n"/>
      <c r="IX34" s="18" t="n"/>
      <c r="IY34" s="18" t="n"/>
      <c r="IZ34" s="18" t="n"/>
      <c r="JA34" s="18" t="n"/>
      <c r="JB34" s="18" t="n"/>
      <c r="JC34" s="18" t="n"/>
      <c r="JD34" s="18" t="n"/>
      <c r="JE34" s="18" t="n"/>
      <c r="JF34" s="18" t="n"/>
      <c r="JG34" s="18" t="n"/>
      <c r="JH34" s="18" t="n"/>
      <c r="JI34" s="18" t="n"/>
      <c r="JJ34" s="18" t="n"/>
      <c r="JK34" s="18" t="n"/>
      <c r="JL34" s="18" t="n"/>
      <c r="JM34" s="18" t="n"/>
      <c r="JN34" s="18" t="n"/>
      <c r="JO34" s="18" t="n"/>
      <c r="JP34" s="18" t="n"/>
      <c r="JQ34" s="18" t="n"/>
      <c r="JR34" s="18" t="n"/>
      <c r="JS34" s="18" t="n"/>
      <c r="JT34" s="18" t="n"/>
      <c r="JU34" s="18" t="n"/>
      <c r="JV34" s="18" t="n"/>
      <c r="JW34" s="18" t="n"/>
      <c r="JX34" s="18" t="n"/>
      <c r="JY34" s="18" t="n"/>
      <c r="JZ34" s="18" t="n"/>
      <c r="KA34" s="18" t="n"/>
      <c r="KB34" s="18" t="n"/>
      <c r="KC34" s="18" t="n"/>
      <c r="KD34" s="18" t="n"/>
      <c r="KE34" s="18" t="n"/>
      <c r="KF34" s="18" t="n"/>
      <c r="KG34" s="18" t="n"/>
      <c r="KH34" s="18" t="n"/>
      <c r="KI34" s="18" t="n"/>
      <c r="KJ34" s="18" t="n"/>
      <c r="KK34" s="18" t="n"/>
      <c r="KL34" s="18" t="n"/>
      <c r="KM34" s="18" t="n"/>
    </row>
    <row r="35" ht="52.05" customHeight="1" s="88">
      <c r="A35" s="29" t="inlineStr">
        <is>
          <t>9000</t>
        </is>
      </c>
      <c r="B35" s="29" t="inlineStr">
        <is>
          <t>9000-4</t>
        </is>
      </c>
      <c r="C35" s="29" t="inlineStr">
        <is>
          <t>상부강화노반</t>
        </is>
      </c>
      <c r="D35" s="29" t="inlineStr">
        <is>
          <t>9000-4-34</t>
        </is>
      </c>
      <c r="E35" s="102" t="inlineStr">
        <is>
          <t>9000-4-32</t>
        </is>
      </c>
      <c r="F35" s="102" t="inlineStr">
        <is>
          <t>9000-4-35</t>
        </is>
      </c>
      <c r="G35" s="32" t="inlineStr">
        <is>
          <t>방치기간 확보</t>
        </is>
      </c>
      <c r="H35" s="33" t="inlineStr">
        <is>
          <t>D+45~180</t>
        </is>
      </c>
      <c r="I35" s="33" t="inlineStr">
        <is>
          <t>현장 공사팀</t>
        </is>
      </c>
      <c r="J35" s="34" t="inlineStr">
        <is>
          <t>본 과업은 연약지반 개량 및 대성토 구간의 압밀 침하가 충분히 완료되도록 법정 방치 기간을 확보하고 모니터링하여, 궤도 시공 후 불등침하가 발생하지 않도록 조치하는 것을 목적으로 함.</t>
        </is>
      </c>
      <c r="K35" s="34" t="inlineStr">
        <is>
          <t>1) 일일 인원/장비/물량 집계 ➔ 2) 품질 시험 성적 &amp; TBM 수록 ➔ 3) CSI 전산 시스템 등록 ➔ 4) 책임감리원 일일 서면 직인 결재</t>
        </is>
      </c>
      <c r="L35" s="34" t="inlineStr">
        <is>
          <t>일일 투입 인원/장비/성토 물량(m³) 집계, CSI 전산 관리 시스템 등록 및 감리 일일 서면 직인</t>
        </is>
      </c>
      <c r="M35" s="34" t="inlineStr">
        <is>
          <t>본 과업은 연약지반 개량 및 대성토 구간의 압밀 침하가 충분히 완료되도록 법정 방치 기간을 확보하고 모니터링하여, 궤도 시공 후 불등침하가 발생하지 않도록 조치하는 것을 목적으로 함.</t>
        </is>
      </c>
      <c r="N35" s="35">
        <f>HYPERLINK(LEFT(CELL("filename",A1),FIND("[",CELL("filename",A1))-1)&amp;"4.상부강화노반\34_방치기간 확보\표준서\방치기간 확보_표준서.html", "👉 [클릭] 표준서 열기 📄")</f>
        <v/>
      </c>
      <c r="O35" s="34" t="inlineStr">
        <is>
          <t>1) 일일 인원/장비/물량 집계 ➔ 2) 품질 시험 성적 &amp; TBM 수록 ➔ 3) CSI 전산 시스템 등록 ➔ 4) 책임감리원 일일 서면 직인 결재</t>
        </is>
      </c>
      <c r="P35" s="36">
        <f>HYPERLINK(LEFT(CELL("filename",A1),FIND("[",CELL("filename",A1))-1)&amp;"4.상부강화노반\34_방치기간 확보\수행지침\방치기간 확보_수행지침.html", "👉 [클릭] 수행지침 열기 📄")</f>
        <v/>
      </c>
      <c r="Q35" s="34" t="inlineStr">
        <is>
          <t>일일 투입 인원/장비/성토 물량(m³) 집계, CSI 전산 관리 시스템 등록 및 감리 일일 서면 직인</t>
        </is>
      </c>
      <c r="R35" s="37">
        <f>HYPERLINK(LEFT(CELL("filename",A1),FIND("[",CELL("filename",A1))-1)&amp;"4.상부강화노반\34_방치기간 확보\체크리스트\방치기간 확보_체크리스트.html", "👉 [클릭] 체크리스트 열기 📄")</f>
        <v/>
      </c>
      <c r="S35" s="33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8" t="n"/>
      <c r="EJ35" s="18" t="n"/>
      <c r="EK35" s="18" t="n"/>
      <c r="EL35" s="18" t="n"/>
      <c r="EM35" s="18" t="n"/>
      <c r="EN35" s="18" t="n"/>
      <c r="EO35" s="18" t="n"/>
      <c r="EP35" s="18" t="n"/>
      <c r="EQ35" s="18" t="n"/>
      <c r="ER35" s="18" t="n"/>
      <c r="ES35" s="18" t="n"/>
      <c r="ET35" s="18" t="n"/>
      <c r="EU35" s="18" t="n"/>
      <c r="EV35" s="18" t="n"/>
      <c r="EW35" s="18" t="n"/>
      <c r="EX35" s="18" t="n"/>
      <c r="EY35" s="18" t="n"/>
      <c r="EZ35" s="18" t="n"/>
      <c r="FA35" s="18" t="n"/>
      <c r="FB35" s="18" t="n"/>
      <c r="FC35" s="18" t="n"/>
      <c r="FD35" s="18" t="n"/>
      <c r="FE35" s="18" t="n"/>
      <c r="FF35" s="18" t="n"/>
      <c r="FG35" s="18" t="n"/>
      <c r="FH35" s="18" t="n"/>
      <c r="FI35" s="18" t="n"/>
      <c r="FJ35" s="18" t="n"/>
      <c r="FK35" s="18" t="n"/>
      <c r="FL35" s="18" t="n"/>
      <c r="FM35" s="18" t="n"/>
      <c r="FN35" s="18" t="n"/>
      <c r="FO35" s="18" t="n"/>
      <c r="FP35" s="18" t="n"/>
      <c r="FQ35" s="18" t="n"/>
      <c r="FR35" s="18" t="n"/>
      <c r="FS35" s="18" t="n"/>
      <c r="FT35" s="18" t="n"/>
      <c r="FU35" s="18" t="n"/>
      <c r="FV35" s="18" t="n"/>
      <c r="FW35" s="18" t="n"/>
      <c r="FX35" s="18" t="n"/>
      <c r="FY35" s="18" t="n"/>
      <c r="FZ35" s="18" t="n"/>
      <c r="GA35" s="18" t="n"/>
      <c r="GB35" s="18" t="n"/>
      <c r="GC35" s="18" t="n"/>
      <c r="GD35" s="18" t="n"/>
      <c r="GE35" s="18" t="n"/>
      <c r="GF35" s="18" t="n"/>
      <c r="GG35" s="18" t="n"/>
      <c r="GH35" s="18" t="n"/>
      <c r="GI35" s="18" t="n"/>
      <c r="GJ35" s="18" t="n"/>
      <c r="GK35" s="18" t="n"/>
      <c r="GL35" s="18" t="n"/>
      <c r="GM35" s="18" t="n"/>
      <c r="GN35" s="18" t="n"/>
      <c r="GO35" s="18" t="n"/>
      <c r="GP35" s="18" t="n"/>
      <c r="GQ35" s="18" t="n"/>
      <c r="GR35" s="18" t="n"/>
      <c r="GS35" s="18" t="n"/>
      <c r="GT35" s="18" t="n"/>
      <c r="GU35" s="18" t="n"/>
      <c r="GV35" s="18" t="n"/>
      <c r="GW35" s="18" t="n"/>
      <c r="GX35" s="18" t="n"/>
      <c r="GY35" s="18" t="n"/>
      <c r="GZ35" s="18" t="n"/>
      <c r="HA35" s="18" t="n"/>
      <c r="HB35" s="18" t="n"/>
      <c r="HC35" s="18" t="n"/>
      <c r="HD35" s="18" t="n"/>
      <c r="HE35" s="18" t="n"/>
      <c r="HF35" s="18" t="n"/>
      <c r="HG35" s="18" t="n"/>
      <c r="HH35" s="18" t="n"/>
      <c r="HI35" s="18" t="n"/>
      <c r="HJ35" s="18" t="n"/>
      <c r="HK35" s="18" t="n"/>
      <c r="HL35" s="18" t="n"/>
      <c r="HM35" s="18" t="n"/>
      <c r="HN35" s="18" t="n"/>
      <c r="HO35" s="18" t="n"/>
      <c r="HP35" s="18" t="n"/>
      <c r="HQ35" s="18" t="n"/>
      <c r="HR35" s="18" t="n"/>
      <c r="HS35" s="18" t="n"/>
      <c r="HT35" s="18" t="n"/>
      <c r="HU35" s="18" t="n"/>
      <c r="HV35" s="18" t="n"/>
      <c r="HW35" s="18" t="n"/>
      <c r="HX35" s="18" t="n"/>
      <c r="HY35" s="18" t="n"/>
      <c r="HZ35" s="18" t="n"/>
      <c r="IA35" s="18" t="n"/>
      <c r="IB35" s="18" t="n"/>
      <c r="IC35" s="18" t="n"/>
      <c r="ID35" s="18" t="n"/>
      <c r="IE35" s="18" t="n"/>
      <c r="IF35" s="18" t="n"/>
      <c r="IG35" s="18" t="n"/>
      <c r="IH35" s="18" t="n"/>
      <c r="II35" s="18" t="n"/>
      <c r="IJ35" s="18" t="n"/>
      <c r="IK35" s="18" t="n"/>
      <c r="IL35" s="18" t="n"/>
      <c r="IM35" s="18" t="n"/>
      <c r="IN35" s="18" t="n"/>
      <c r="IO35" s="18" t="n"/>
      <c r="IP35" s="18" t="n"/>
      <c r="IQ35" s="18" t="n"/>
      <c r="IR35" s="18" t="n"/>
      <c r="IS35" s="18" t="n"/>
      <c r="IT35" s="18" t="n"/>
      <c r="IU35" s="18" t="n"/>
      <c r="IV35" s="18" t="n"/>
      <c r="IW35" s="18" t="n"/>
      <c r="IX35" s="18" t="n"/>
      <c r="IY35" s="18" t="n"/>
      <c r="IZ35" s="18" t="n"/>
      <c r="JA35" s="18" t="n"/>
      <c r="JB35" s="18" t="n"/>
      <c r="JC35" s="18" t="n"/>
      <c r="JD35" s="18" t="n"/>
      <c r="JE35" s="18" t="n"/>
      <c r="JF35" s="18" t="n"/>
      <c r="JG35" s="18" t="n"/>
      <c r="JH35" s="18" t="n"/>
      <c r="JI35" s="18" t="n"/>
      <c r="JJ35" s="18" t="n"/>
      <c r="JK35" s="18" t="n"/>
      <c r="JL35" s="18" t="n"/>
      <c r="JM35" s="18" t="n"/>
      <c r="JN35" s="18" t="n"/>
      <c r="JO35" s="18" t="n"/>
      <c r="JP35" s="18" t="n"/>
      <c r="JQ35" s="18" t="n"/>
      <c r="JR35" s="18" t="n"/>
      <c r="JS35" s="18" t="n"/>
      <c r="JT35" s="18" t="n"/>
      <c r="JU35" s="18" t="n"/>
      <c r="JV35" s="18" t="n"/>
      <c r="JW35" s="18" t="n"/>
      <c r="JX35" s="18" t="n"/>
      <c r="JY35" s="18" t="n"/>
      <c r="JZ35" s="18" t="n"/>
      <c r="KA35" s="18" t="n"/>
      <c r="KB35" s="18" t="n"/>
      <c r="KC35" s="18" t="n"/>
      <c r="KD35" s="18" t="n"/>
      <c r="KE35" s="18" t="n"/>
      <c r="KF35" s="18" t="n"/>
      <c r="KG35" s="18" t="n"/>
      <c r="KH35" s="18" t="n"/>
      <c r="KI35" s="18" t="n"/>
      <c r="KJ35" s="18" t="n"/>
      <c r="KK35" s="18" t="n"/>
      <c r="KL35" s="18" t="n"/>
      <c r="KM35" s="18" t="n"/>
      <c r="KN35" s="18" t="n"/>
      <c r="KO35" s="18" t="n"/>
      <c r="KP35" s="18" t="n"/>
      <c r="KQ35" s="18" t="n"/>
    </row>
    <row r="36" ht="52.05" customHeight="1" s="88">
      <c r="A36" s="19" t="inlineStr">
        <is>
          <t>9000</t>
        </is>
      </c>
      <c r="B36" s="19" t="inlineStr">
        <is>
          <t>9000-4</t>
        </is>
      </c>
      <c r="C36" s="19" t="inlineStr">
        <is>
          <t>상부강화노반</t>
        </is>
      </c>
      <c r="D36" s="19" t="inlineStr">
        <is>
          <t>9000-4-35</t>
        </is>
      </c>
      <c r="E36" s="95" t="inlineStr">
        <is>
          <t>9000-4-33, 9000-4-34</t>
        </is>
      </c>
      <c r="F36" s="95" t="inlineStr">
        <is>
          <t>9000-4-36</t>
        </is>
      </c>
      <c r="G36" s="23" t="inlineStr">
        <is>
          <t>토공마무리</t>
        </is>
      </c>
      <c r="H36" s="21" t="inlineStr">
        <is>
          <t>D+55~240</t>
        </is>
      </c>
      <c r="I36" s="21" t="inlineStr">
        <is>
          <t>현장 공사팀</t>
        </is>
      </c>
      <c r="J36" s="24" t="inlineStr">
        <is>
          <t>본 과업은 상부강화노반 표면의 평탄성(3m 직선자 오차 ±10mm 이내)과 종·횡단 표고를 정밀 정돈하여, 궤도 공사 착수를 위한 최종 토공 마무리면 품질을 완성하는 것을 목적으로 함.</t>
        </is>
      </c>
      <c r="K36" s="24" t="inlineStr">
        <is>
          <t>1) 공종별 검측요청서 24시간 전 제출 ➔ 2) 책임감리원 1:1 현장 입회 ➔ 3) 16개 체크리스트 서명 ➔ 4) 검측 총괄 승인 대장 감리 결재</t>
        </is>
      </c>
      <c r="L36" s="24" t="inlineStr">
        <is>
          <t>공사 착수 24시간 전 검측 요청서 제출, 책임감리원 1:1 현장 입회 및 16개 체크리스트 서명 대장</t>
        </is>
      </c>
      <c r="M36" s="24" t="inlineStr">
        <is>
          <t>본 과업은 상부강화노반 표면의 평탄성(3m 직선자 오차 ±10mm 이내)과 종·횡단 표고를 정밀 정돈하여, 궤도 공사 착수를 위한 최종 토공 마무리면 품질을 완성하는 것을 목적으로 함.</t>
        </is>
      </c>
      <c r="N36" s="25">
        <f>HYPERLINK(LEFT(CELL("filename",A1),FIND("[",CELL("filename",A1))-1)&amp;"4.상부강화노반\35_토공마무리\표준서\토공마무리_표준서.html", "👉 [클릭] 표준서 열기 📄")</f>
        <v/>
      </c>
      <c r="O36" s="24" t="inlineStr">
        <is>
          <t>1) 공종별 검측요청서 24시간 전 제출 ➔ 2) 책임감리원 1:1 현장 입회 ➔ 3) 16개 체크리스트 서명 ➔ 4) 검측 총괄 승인 대장 감리 결재</t>
        </is>
      </c>
      <c r="P36" s="26">
        <f>HYPERLINK(LEFT(CELL("filename",A1),FIND("[",CELL("filename",A1))-1)&amp;"4.상부강화노반\35_토공마무리\수행지침\토공마무리_수행지침.html", "👉 [클릭] 수행지침 열기 📄")</f>
        <v/>
      </c>
      <c r="Q36" s="24" t="inlineStr">
        <is>
          <t>공사 착수 24시간 전 검측 요청서 제출, 책임감리원 1:1 현장 입회 및 16개 체크리스트 서명 대장</t>
        </is>
      </c>
      <c r="R36" s="27">
        <f>HYPERLINK(LEFT(CELL("filename",A1),FIND("[",CELL("filename",A1))-1)&amp;"4.상부강화노반\35_토공마무리\체크리스트\토공마무리_체크리스트.html", "👉 [클릭] 체크리스트 열기 📄")</f>
        <v/>
      </c>
      <c r="S36" s="2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Y36" s="18" t="n"/>
      <c r="DZ36" s="18" t="n"/>
      <c r="EA36" s="18" t="n"/>
      <c r="EB36" s="18" t="n"/>
      <c r="EC36" s="18" t="n"/>
      <c r="ED36" s="18" t="n"/>
      <c r="EE36" s="18" t="n"/>
      <c r="EF36" s="18" t="n"/>
      <c r="EG36" s="18" t="n"/>
      <c r="EH36" s="18" t="n"/>
      <c r="EI36" s="18" t="n"/>
      <c r="EJ36" s="18" t="n"/>
      <c r="EK36" s="18" t="n"/>
      <c r="EL36" s="18" t="n"/>
      <c r="EM36" s="18" t="n"/>
      <c r="EN36" s="18" t="n"/>
      <c r="EO36" s="18" t="n"/>
      <c r="EP36" s="18" t="n"/>
      <c r="EQ36" s="18" t="n"/>
      <c r="ER36" s="18" t="n"/>
      <c r="ES36" s="18" t="n"/>
      <c r="ET36" s="18" t="n"/>
      <c r="EU36" s="18" t="n"/>
      <c r="EV36" s="18" t="n"/>
      <c r="EW36" s="18" t="n"/>
      <c r="EX36" s="18" t="n"/>
      <c r="EY36" s="18" t="n"/>
      <c r="EZ36" s="18" t="n"/>
      <c r="FA36" s="18" t="n"/>
      <c r="FB36" s="18" t="n"/>
      <c r="FC36" s="18" t="n"/>
      <c r="FD36" s="18" t="n"/>
      <c r="FE36" s="18" t="n"/>
      <c r="FF36" s="18" t="n"/>
      <c r="FG36" s="18" t="n"/>
      <c r="FH36" s="18" t="n"/>
      <c r="FI36" s="18" t="n"/>
      <c r="FJ36" s="18" t="n"/>
      <c r="FK36" s="18" t="n"/>
      <c r="FL36" s="18" t="n"/>
      <c r="FM36" s="18" t="n"/>
      <c r="FN36" s="18" t="n"/>
      <c r="FO36" s="18" t="n"/>
      <c r="FP36" s="18" t="n"/>
      <c r="FQ36" s="18" t="n"/>
      <c r="FR36" s="18" t="n"/>
      <c r="FS36" s="18" t="n"/>
      <c r="FT36" s="18" t="n"/>
      <c r="FU36" s="18" t="n"/>
      <c r="FV36" s="18" t="n"/>
      <c r="FW36" s="18" t="n"/>
      <c r="FX36" s="18" t="n"/>
      <c r="FY36" s="18" t="n"/>
      <c r="FZ36" s="18" t="n"/>
      <c r="GA36" s="18" t="n"/>
      <c r="GB36" s="18" t="n"/>
      <c r="GC36" s="18" t="n"/>
      <c r="GD36" s="18" t="n"/>
      <c r="GE36" s="18" t="n"/>
      <c r="GF36" s="18" t="n"/>
      <c r="GG36" s="18" t="n"/>
      <c r="GH36" s="18" t="n"/>
      <c r="GI36" s="18" t="n"/>
      <c r="GJ36" s="18" t="n"/>
      <c r="GK36" s="18" t="n"/>
      <c r="GL36" s="18" t="n"/>
      <c r="GM36" s="18" t="n"/>
      <c r="GN36" s="18" t="n"/>
      <c r="GO36" s="18" t="n"/>
      <c r="GP36" s="18" t="n"/>
      <c r="GQ36" s="18" t="n"/>
      <c r="GR36" s="18" t="n"/>
      <c r="GS36" s="18" t="n"/>
      <c r="GT36" s="18" t="n"/>
      <c r="GU36" s="18" t="n"/>
      <c r="GV36" s="18" t="n"/>
      <c r="GW36" s="18" t="n"/>
      <c r="GX36" s="18" t="n"/>
      <c r="GY36" s="18" t="n"/>
      <c r="GZ36" s="18" t="n"/>
      <c r="HA36" s="18" t="n"/>
      <c r="HB36" s="18" t="n"/>
      <c r="HC36" s="18" t="n"/>
      <c r="HD36" s="18" t="n"/>
      <c r="HE36" s="18" t="n"/>
      <c r="HF36" s="18" t="n"/>
      <c r="HG36" s="18" t="n"/>
      <c r="HH36" s="18" t="n"/>
      <c r="HI36" s="18" t="n"/>
      <c r="HJ36" s="18" t="n"/>
      <c r="HK36" s="18" t="n"/>
      <c r="HL36" s="18" t="n"/>
      <c r="HM36" s="18" t="n"/>
      <c r="HN36" s="18" t="n"/>
      <c r="HO36" s="18" t="n"/>
      <c r="HP36" s="18" t="n"/>
      <c r="HQ36" s="18" t="n"/>
      <c r="HR36" s="18" t="n"/>
      <c r="HS36" s="18" t="n"/>
      <c r="HT36" s="18" t="n"/>
      <c r="HU36" s="18" t="n"/>
      <c r="HV36" s="18" t="n"/>
      <c r="HW36" s="18" t="n"/>
      <c r="HX36" s="18" t="n"/>
      <c r="HY36" s="18" t="n"/>
      <c r="HZ36" s="18" t="n"/>
      <c r="IA36" s="18" t="n"/>
      <c r="IB36" s="18" t="n"/>
      <c r="IC36" s="18" t="n"/>
      <c r="ID36" s="18" t="n"/>
      <c r="IE36" s="18" t="n"/>
      <c r="IF36" s="18" t="n"/>
      <c r="IG36" s="18" t="n"/>
      <c r="IH36" s="18" t="n"/>
      <c r="II36" s="18" t="n"/>
      <c r="IJ36" s="18" t="n"/>
      <c r="IK36" s="18" t="n"/>
      <c r="IL36" s="18" t="n"/>
      <c r="IM36" s="18" t="n"/>
      <c r="IN36" s="18" t="n"/>
      <c r="IO36" s="18" t="n"/>
      <c r="IP36" s="18" t="n"/>
      <c r="IQ36" s="18" t="n"/>
      <c r="IR36" s="18" t="n"/>
      <c r="IS36" s="18" t="n"/>
      <c r="IT36" s="18" t="n"/>
      <c r="IU36" s="18" t="n"/>
      <c r="IV36" s="18" t="n"/>
      <c r="IW36" s="18" t="n"/>
      <c r="IX36" s="18" t="n"/>
      <c r="IY36" s="18" t="n"/>
      <c r="IZ36" s="18" t="n"/>
      <c r="JA36" s="18" t="n"/>
      <c r="JB36" s="18" t="n"/>
      <c r="JC36" s="18" t="n"/>
      <c r="JD36" s="18" t="n"/>
      <c r="JE36" s="18" t="n"/>
      <c r="JF36" s="18" t="n"/>
      <c r="JG36" s="18" t="n"/>
      <c r="JH36" s="18" t="n"/>
      <c r="JI36" s="18" t="n"/>
      <c r="JJ36" s="18" t="n"/>
      <c r="JK36" s="18" t="n"/>
      <c r="JL36" s="18" t="n"/>
      <c r="JM36" s="18" t="n"/>
      <c r="JN36" s="18" t="n"/>
      <c r="JO36" s="18" t="n"/>
      <c r="JP36" s="18" t="n"/>
      <c r="JQ36" s="18" t="n"/>
      <c r="JR36" s="18" t="n"/>
      <c r="JS36" s="18" t="n"/>
      <c r="JT36" s="18" t="n"/>
      <c r="JU36" s="18" t="n"/>
      <c r="JV36" s="18" t="n"/>
      <c r="JW36" s="18" t="n"/>
      <c r="JX36" s="18" t="n"/>
      <c r="JY36" s="18" t="n"/>
      <c r="JZ36" s="18" t="n"/>
      <c r="KA36" s="18" t="n"/>
      <c r="KB36" s="18" t="n"/>
      <c r="KC36" s="18" t="n"/>
      <c r="KD36" s="18" t="n"/>
      <c r="KE36" s="18" t="n"/>
      <c r="KF36" s="18" t="n"/>
      <c r="KG36" s="18" t="n"/>
      <c r="KH36" s="18" t="n"/>
      <c r="KI36" s="18" t="n"/>
      <c r="KJ36" s="18" t="n"/>
      <c r="KK36" s="18" t="n"/>
      <c r="KL36" s="18" t="n"/>
      <c r="KM36" s="18" t="n"/>
      <c r="KN36" s="18" t="n"/>
      <c r="KO36" s="18" t="n"/>
      <c r="KP36" s="18" t="n"/>
      <c r="KQ36" s="18" t="n"/>
      <c r="KR36" s="18" t="n"/>
      <c r="KS36" s="18" t="n"/>
      <c r="KT36" s="18" t="n"/>
      <c r="KU36" s="18" t="n"/>
    </row>
    <row r="37" ht="52.05" customHeight="1" s="88">
      <c r="A37" s="29" t="inlineStr">
        <is>
          <t>9000</t>
        </is>
      </c>
      <c r="B37" s="29" t="inlineStr">
        <is>
          <t>9000-4</t>
        </is>
      </c>
      <c r="C37" s="29" t="inlineStr">
        <is>
          <t>상부강화노반</t>
        </is>
      </c>
      <c r="D37" s="29" t="inlineStr">
        <is>
          <t>9000-4-36</t>
        </is>
      </c>
      <c r="E37" s="102" t="inlineStr">
        <is>
          <t>9000-4-35</t>
        </is>
      </c>
      <c r="F37" s="102" t="inlineStr">
        <is>
          <t>-</t>
        </is>
      </c>
      <c r="G37" s="32" t="inlineStr">
        <is>
          <t>토공 마무리면 인계</t>
        </is>
      </c>
      <c r="H37" s="33" t="inlineStr">
        <is>
          <t>D+55~240</t>
        </is>
      </c>
      <c r="I37" s="33" t="inlineStr">
        <is>
          <t>현장 공사팀</t>
        </is>
      </c>
      <c r="J37" s="34" t="inlineStr">
        <is>
          <t>본 과업은 완성된 상부강화노반에 대해 토공 시공사, 궤도 시공사, 감리단 3자 합동 현장 검측을 실시하여 품질 합격 여부를 확인하고, 궤도 공종으로의 권한 및 부지를 정식 인계인수하는 것을 목적으로 함.</t>
        </is>
      </c>
      <c r="K37" s="34" t="inlineStr">
        <is>
          <t>1) 3자(토공-궤도-감리) 합동 현측 ➔ 2) 표고(±10mm) &amp; K30(≥110) 재검측 ➔ 3) 인계인수 합의서 3자 서명 ➔ 4) 상부강화노반 최종 완공 통보</t>
        </is>
      </c>
      <c r="L37" s="34" t="inlineStr">
        <is>
          <t>토공-궤도-감리 3자 합동 현측(표고 ±10mm, K30 ≥ 110), 인계인수 합의서 서명 및 완공 통보</t>
        </is>
      </c>
      <c r="M37" s="34" t="inlineStr">
        <is>
          <t>본 과업은 완성된 상부강화노반에 대해 토공 시공사, 궤도 시공사, 감리단 3자 합동 현장 검측을 실시하여 품질 합격 여부를 확인하고, 궤도 공종으로의 권한 및 부지를 정식 인계인수하는 것을 목적으로 함.</t>
        </is>
      </c>
      <c r="N37" s="35">
        <f>HYPERLINK(LEFT(CELL("filename",A1),FIND("[",CELL("filename",A1))-1)&amp;"4.상부강화노반\36_토공 마무리면 인계\표준서\토공 마무리면 인계_표준서.html", "👉 [클릭] 표준서 열기 📄")</f>
        <v/>
      </c>
      <c r="O37" s="34" t="inlineStr">
        <is>
          <t>1) 3자(토공-궤도-감리) 합동 현측 ➔ 2) 표고(±10mm) &amp; K30(≥110) 재검측 ➔ 3) 인계인수 합의서 3자 서명 ➔ 4) 상부강화노반 최종 완공 통보</t>
        </is>
      </c>
      <c r="P37" s="36">
        <f>HYPERLINK(LEFT(CELL("filename",A1),FIND("[",CELL("filename",A1))-1)&amp;"4.상부강화노반\36_토공 마무리면 인계\수행지침\토공 마무리면 인계_수행지침.html", "👉 [클릭] 수행지침 열기 📄")</f>
        <v/>
      </c>
      <c r="Q37" s="34" t="inlineStr">
        <is>
          <t>토공-궤도-감리 3자 합동 현측(표고 ±10mm, K30 ≥ 110), 인계인수 합의서 서명 및 완공 통보</t>
        </is>
      </c>
      <c r="R37" s="37">
        <f>HYPERLINK(LEFT(CELL("filename",A1),FIND("[",CELL("filename",A1))-1)&amp;"4.상부강화노반\36_토공 마무리면 인계\체크리스트\토공 마무리면 인계_체크리스트.html", "👉 [클릭] 체크리스트 열기 📄")</f>
        <v/>
      </c>
      <c r="S37" s="33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  <c r="DY37" s="18" t="n"/>
      <c r="DZ37" s="18" t="n"/>
      <c r="EA37" s="18" t="n"/>
      <c r="EB37" s="18" t="n"/>
      <c r="EC37" s="18" t="n"/>
      <c r="ED37" s="18" t="n"/>
      <c r="EE37" s="18" t="n"/>
      <c r="EF37" s="18" t="n"/>
      <c r="EG37" s="18" t="n"/>
      <c r="EH37" s="18" t="n"/>
      <c r="EI37" s="18" t="n"/>
      <c r="EJ37" s="18" t="n"/>
      <c r="EK37" s="18" t="n"/>
      <c r="EL37" s="18" t="n"/>
      <c r="EM37" s="18" t="n"/>
      <c r="EN37" s="18" t="n"/>
      <c r="EO37" s="18" t="n"/>
      <c r="EP37" s="18" t="n"/>
      <c r="EQ37" s="18" t="n"/>
      <c r="ER37" s="18" t="n"/>
      <c r="ES37" s="18" t="n"/>
      <c r="ET37" s="18" t="n"/>
      <c r="EU37" s="18" t="n"/>
      <c r="EV37" s="18" t="n"/>
      <c r="EW37" s="18" t="n"/>
      <c r="EX37" s="18" t="n"/>
      <c r="EY37" s="18" t="n"/>
      <c r="EZ37" s="18" t="n"/>
      <c r="FA37" s="18" t="n"/>
      <c r="FB37" s="18" t="n"/>
      <c r="FC37" s="18" t="n"/>
      <c r="FD37" s="18" t="n"/>
      <c r="FE37" s="18" t="n"/>
      <c r="FF37" s="18" t="n"/>
      <c r="FG37" s="18" t="n"/>
      <c r="FH37" s="18" t="n"/>
      <c r="FI37" s="18" t="n"/>
      <c r="FJ37" s="18" t="n"/>
      <c r="FK37" s="18" t="n"/>
      <c r="FL37" s="18" t="n"/>
      <c r="FM37" s="18" t="n"/>
      <c r="FN37" s="18" t="n"/>
      <c r="FO37" s="18" t="n"/>
      <c r="FP37" s="18" t="n"/>
      <c r="FQ37" s="18" t="n"/>
      <c r="FR37" s="18" t="n"/>
      <c r="FS37" s="18" t="n"/>
      <c r="FT37" s="18" t="n"/>
      <c r="FU37" s="18" t="n"/>
      <c r="FV37" s="18" t="n"/>
      <c r="FW37" s="18" t="n"/>
      <c r="FX37" s="18" t="n"/>
      <c r="FY37" s="18" t="n"/>
      <c r="FZ37" s="18" t="n"/>
      <c r="GA37" s="18" t="n"/>
      <c r="GB37" s="18" t="n"/>
      <c r="GC37" s="18" t="n"/>
      <c r="GD37" s="18" t="n"/>
      <c r="GE37" s="18" t="n"/>
      <c r="GF37" s="18" t="n"/>
      <c r="GG37" s="18" t="n"/>
      <c r="GH37" s="18" t="n"/>
      <c r="GI37" s="18" t="n"/>
      <c r="GJ37" s="18" t="n"/>
      <c r="GK37" s="18" t="n"/>
      <c r="GL37" s="18" t="n"/>
      <c r="GM37" s="18" t="n"/>
      <c r="GN37" s="18" t="n"/>
      <c r="GO37" s="18" t="n"/>
      <c r="GP37" s="18" t="n"/>
      <c r="GQ37" s="18" t="n"/>
      <c r="GR37" s="18" t="n"/>
      <c r="GS37" s="18" t="n"/>
      <c r="GT37" s="18" t="n"/>
      <c r="GU37" s="18" t="n"/>
      <c r="GV37" s="18" t="n"/>
      <c r="GW37" s="18" t="n"/>
      <c r="GX37" s="18" t="n"/>
      <c r="GY37" s="18" t="n"/>
      <c r="GZ37" s="18" t="n"/>
      <c r="HA37" s="18" t="n"/>
      <c r="HB37" s="18" t="n"/>
      <c r="HC37" s="18" t="n"/>
      <c r="HD37" s="18" t="n"/>
      <c r="HE37" s="18" t="n"/>
      <c r="HF37" s="18" t="n"/>
      <c r="HG37" s="18" t="n"/>
      <c r="HH37" s="18" t="n"/>
      <c r="HI37" s="18" t="n"/>
      <c r="HJ37" s="18" t="n"/>
      <c r="HK37" s="18" t="n"/>
      <c r="HL37" s="18" t="n"/>
      <c r="HM37" s="18" t="n"/>
      <c r="HN37" s="18" t="n"/>
      <c r="HO37" s="18" t="n"/>
      <c r="HP37" s="18" t="n"/>
      <c r="HQ37" s="18" t="n"/>
      <c r="HR37" s="18" t="n"/>
      <c r="HS37" s="18" t="n"/>
      <c r="HT37" s="18" t="n"/>
      <c r="HU37" s="18" t="n"/>
      <c r="HV37" s="18" t="n"/>
      <c r="HW37" s="18" t="n"/>
      <c r="HX37" s="18" t="n"/>
      <c r="HY37" s="18" t="n"/>
      <c r="HZ37" s="18" t="n"/>
      <c r="IA37" s="18" t="n"/>
      <c r="IB37" s="18" t="n"/>
      <c r="IC37" s="18" t="n"/>
      <c r="ID37" s="18" t="n"/>
      <c r="IE37" s="18" t="n"/>
      <c r="IF37" s="18" t="n"/>
      <c r="IG37" s="18" t="n"/>
      <c r="IH37" s="18" t="n"/>
      <c r="II37" s="18" t="n"/>
      <c r="IJ37" s="18" t="n"/>
      <c r="IK37" s="18" t="n"/>
      <c r="IL37" s="18" t="n"/>
      <c r="IM37" s="18" t="n"/>
      <c r="IN37" s="18" t="n"/>
      <c r="IO37" s="18" t="n"/>
      <c r="IP37" s="18" t="n"/>
      <c r="IQ37" s="18" t="n"/>
      <c r="IR37" s="18" t="n"/>
      <c r="IS37" s="18" t="n"/>
      <c r="IT37" s="18" t="n"/>
      <c r="IU37" s="18" t="n"/>
      <c r="IV37" s="18" t="n"/>
      <c r="IW37" s="18" t="n"/>
      <c r="IX37" s="18" t="n"/>
      <c r="IY37" s="18" t="n"/>
      <c r="IZ37" s="18" t="n"/>
      <c r="JA37" s="18" t="n"/>
      <c r="JB37" s="18" t="n"/>
      <c r="JC37" s="18" t="n"/>
      <c r="JD37" s="18" t="n"/>
      <c r="JE37" s="18" t="n"/>
      <c r="JF37" s="18" t="n"/>
      <c r="JG37" s="18" t="n"/>
      <c r="JH37" s="18" t="n"/>
      <c r="JI37" s="18" t="n"/>
      <c r="JJ37" s="18" t="n"/>
      <c r="JK37" s="18" t="n"/>
      <c r="JL37" s="18" t="n"/>
      <c r="JM37" s="18" t="n"/>
      <c r="JN37" s="18" t="n"/>
      <c r="JO37" s="18" t="n"/>
      <c r="JP37" s="18" t="n"/>
      <c r="JQ37" s="18" t="n"/>
      <c r="JR37" s="18" t="n"/>
      <c r="JS37" s="18" t="n"/>
      <c r="JT37" s="18" t="n"/>
      <c r="JU37" s="18" t="n"/>
      <c r="JV37" s="18" t="n"/>
      <c r="JW37" s="18" t="n"/>
      <c r="JX37" s="18" t="n"/>
      <c r="JY37" s="18" t="n"/>
      <c r="JZ37" s="18" t="n"/>
      <c r="KA37" s="18" t="n"/>
      <c r="KB37" s="18" t="n"/>
      <c r="KC37" s="18" t="n"/>
      <c r="KD37" s="18" t="n"/>
      <c r="KE37" s="18" t="n"/>
      <c r="KF37" s="18" t="n"/>
      <c r="KG37" s="18" t="n"/>
      <c r="KH37" s="18" t="n"/>
      <c r="KI37" s="18" t="n"/>
      <c r="KJ37" s="18" t="n"/>
      <c r="KK37" s="18" t="n"/>
      <c r="KL37" s="18" t="n"/>
      <c r="KM37" s="18" t="n"/>
      <c r="KN37" s="18" t="n"/>
      <c r="KO37" s="18" t="n"/>
      <c r="KP37" s="18" t="n"/>
      <c r="KQ37" s="18" t="n"/>
      <c r="KR37" s="18" t="n"/>
      <c r="KS37" s="18" t="n"/>
      <c r="KT37" s="18" t="n"/>
      <c r="KU37" s="18" t="n"/>
      <c r="KV37" s="18" t="n"/>
      <c r="KW37" s="18" t="n"/>
      <c r="KX37" s="18" t="n"/>
      <c r="KY37" s="18" t="n"/>
    </row>
    <row r="38" ht="19.2" customHeight="1" s="88">
      <c r="A38" s="18" t="n"/>
      <c r="B38" s="18" t="n"/>
      <c r="C38" s="18" t="n"/>
      <c r="D38" s="18" t="n"/>
      <c r="E38" s="40" t="n"/>
      <c r="F38" s="40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  <c r="DY38" s="18" t="n"/>
      <c r="DZ38" s="18" t="n"/>
      <c r="EA38" s="18" t="n"/>
      <c r="EB38" s="18" t="n"/>
      <c r="EC38" s="18" t="n"/>
      <c r="ED38" s="18" t="n"/>
      <c r="EE38" s="18" t="n"/>
      <c r="EF38" s="18" t="n"/>
      <c r="EG38" s="18" t="n"/>
      <c r="EH38" s="18" t="n"/>
      <c r="EI38" s="18" t="n"/>
      <c r="EJ38" s="18" t="n"/>
      <c r="EK38" s="18" t="n"/>
      <c r="EL38" s="18" t="n"/>
      <c r="EM38" s="18" t="n"/>
      <c r="EN38" s="18" t="n"/>
      <c r="EO38" s="18" t="n"/>
      <c r="EP38" s="18" t="n"/>
      <c r="EQ38" s="18" t="n"/>
      <c r="ER38" s="18" t="n"/>
      <c r="ES38" s="18" t="n"/>
      <c r="ET38" s="18" t="n"/>
      <c r="EU38" s="18" t="n"/>
      <c r="EV38" s="18" t="n"/>
      <c r="EW38" s="18" t="n"/>
      <c r="EX38" s="18" t="n"/>
      <c r="EY38" s="18" t="n"/>
      <c r="EZ38" s="18" t="n"/>
      <c r="FA38" s="18" t="n"/>
      <c r="FB38" s="18" t="n"/>
      <c r="FC38" s="18" t="n"/>
      <c r="FD38" s="18" t="n"/>
      <c r="FE38" s="18" t="n"/>
      <c r="FF38" s="18" t="n"/>
      <c r="FG38" s="18" t="n"/>
      <c r="FH38" s="18" t="n"/>
      <c r="FI38" s="18" t="n"/>
      <c r="FJ38" s="18" t="n"/>
      <c r="FK38" s="18" t="n"/>
      <c r="FL38" s="18" t="n"/>
      <c r="FM38" s="18" t="n"/>
      <c r="FN38" s="18" t="n"/>
      <c r="FO38" s="18" t="n"/>
      <c r="FP38" s="18" t="n"/>
      <c r="FQ38" s="18" t="n"/>
      <c r="FR38" s="18" t="n"/>
      <c r="FS38" s="18" t="n"/>
      <c r="FT38" s="18" t="n"/>
      <c r="FU38" s="18" t="n"/>
      <c r="FV38" s="18" t="n"/>
      <c r="FW38" s="18" t="n"/>
      <c r="FX38" s="18" t="n"/>
      <c r="FY38" s="18" t="n"/>
      <c r="FZ38" s="18" t="n"/>
      <c r="GA38" s="18" t="n"/>
      <c r="GB38" s="18" t="n"/>
      <c r="GC38" s="18" t="n"/>
      <c r="GD38" s="18" t="n"/>
      <c r="GE38" s="18" t="n"/>
      <c r="GF38" s="18" t="n"/>
      <c r="GG38" s="18" t="n"/>
      <c r="GH38" s="18" t="n"/>
      <c r="GI38" s="18" t="n"/>
      <c r="GJ38" s="18" t="n"/>
      <c r="GK38" s="18" t="n"/>
      <c r="GL38" s="18" t="n"/>
      <c r="GM38" s="18" t="n"/>
      <c r="GN38" s="18" t="n"/>
      <c r="GO38" s="18" t="n"/>
      <c r="GP38" s="18" t="n"/>
      <c r="GQ38" s="18" t="n"/>
      <c r="GR38" s="18" t="n"/>
      <c r="GS38" s="18" t="n"/>
      <c r="GT38" s="18" t="n"/>
      <c r="GU38" s="18" t="n"/>
      <c r="GV38" s="18" t="n"/>
      <c r="GW38" s="18" t="n"/>
      <c r="GX38" s="18" t="n"/>
      <c r="GY38" s="18" t="n"/>
      <c r="GZ38" s="18" t="n"/>
      <c r="HA38" s="18" t="n"/>
      <c r="HB38" s="18" t="n"/>
      <c r="HC38" s="18" t="n"/>
      <c r="HD38" s="18" t="n"/>
      <c r="HE38" s="18" t="n"/>
      <c r="HF38" s="18" t="n"/>
      <c r="HG38" s="18" t="n"/>
      <c r="HH38" s="18" t="n"/>
      <c r="HI38" s="18" t="n"/>
      <c r="HJ38" s="18" t="n"/>
      <c r="HK38" s="18" t="n"/>
      <c r="HL38" s="18" t="n"/>
      <c r="HM38" s="18" t="n"/>
      <c r="HN38" s="18" t="n"/>
      <c r="HO38" s="18" t="n"/>
      <c r="HP38" s="18" t="n"/>
      <c r="HQ38" s="18" t="n"/>
      <c r="HR38" s="18" t="n"/>
      <c r="HS38" s="18" t="n"/>
      <c r="HT38" s="18" t="n"/>
      <c r="HU38" s="18" t="n"/>
      <c r="HV38" s="18" t="n"/>
      <c r="HW38" s="18" t="n"/>
      <c r="HX38" s="18" t="n"/>
      <c r="HY38" s="18" t="n"/>
      <c r="HZ38" s="18" t="n"/>
      <c r="IA38" s="18" t="n"/>
      <c r="IB38" s="18" t="n"/>
      <c r="IC38" s="18" t="n"/>
      <c r="ID38" s="18" t="n"/>
      <c r="IE38" s="18" t="n"/>
      <c r="IF38" s="18" t="n"/>
      <c r="IG38" s="18" t="n"/>
      <c r="IH38" s="18" t="n"/>
      <c r="II38" s="18" t="n"/>
      <c r="IJ38" s="18" t="n"/>
      <c r="IK38" s="18" t="n"/>
      <c r="IL38" s="18" t="n"/>
      <c r="IM38" s="18" t="n"/>
      <c r="IN38" s="18" t="n"/>
      <c r="IO38" s="18" t="n"/>
      <c r="IP38" s="18" t="n"/>
      <c r="IQ38" s="18" t="n"/>
      <c r="IR38" s="18" t="n"/>
      <c r="IS38" s="18" t="n"/>
      <c r="IT38" s="18" t="n"/>
      <c r="IU38" s="18" t="n"/>
      <c r="IV38" s="18" t="n"/>
      <c r="IW38" s="18" t="n"/>
      <c r="IX38" s="18" t="n"/>
      <c r="IY38" s="18" t="n"/>
      <c r="IZ38" s="18" t="n"/>
      <c r="JA38" s="18" t="n"/>
      <c r="JB38" s="18" t="n"/>
      <c r="JC38" s="18" t="n"/>
      <c r="JD38" s="18" t="n"/>
      <c r="JE38" s="18" t="n"/>
      <c r="JF38" s="18" t="n"/>
      <c r="JG38" s="18" t="n"/>
      <c r="JH38" s="18" t="n"/>
      <c r="JI38" s="18" t="n"/>
      <c r="JJ38" s="18" t="n"/>
      <c r="JK38" s="18" t="n"/>
      <c r="JL38" s="18" t="n"/>
      <c r="JM38" s="18" t="n"/>
      <c r="JN38" s="18" t="n"/>
      <c r="JO38" s="18" t="n"/>
      <c r="JP38" s="18" t="n"/>
      <c r="JQ38" s="18" t="n"/>
      <c r="JR38" s="18" t="n"/>
      <c r="JS38" s="18" t="n"/>
      <c r="JT38" s="18" t="n"/>
      <c r="JU38" s="18" t="n"/>
      <c r="JV38" s="18" t="n"/>
      <c r="JW38" s="18" t="n"/>
      <c r="JX38" s="18" t="n"/>
      <c r="JY38" s="18" t="n"/>
      <c r="JZ38" s="18" t="n"/>
      <c r="KA38" s="18" t="n"/>
      <c r="KB38" s="18" t="n"/>
      <c r="KC38" s="18" t="n"/>
      <c r="KD38" s="18" t="n"/>
      <c r="KE38" s="18" t="n"/>
      <c r="KF38" s="18" t="n"/>
      <c r="KG38" s="18" t="n"/>
      <c r="KH38" s="18" t="n"/>
      <c r="KI38" s="18" t="n"/>
      <c r="KJ38" s="18" t="n"/>
      <c r="KK38" s="18" t="n"/>
      <c r="KL38" s="18" t="n"/>
      <c r="KM38" s="18" t="n"/>
      <c r="KN38" s="18" t="n"/>
      <c r="KO38" s="18" t="n"/>
      <c r="KP38" s="18" t="n"/>
      <c r="KQ38" s="18" t="n"/>
      <c r="KR38" s="18" t="n"/>
      <c r="KS38" s="18" t="n"/>
      <c r="KT38" s="18" t="n"/>
      <c r="KU38" s="18" t="n"/>
      <c r="KV38" s="18" t="n"/>
      <c r="KW38" s="18" t="n"/>
      <c r="KX38" s="18" t="n"/>
      <c r="KY38" s="18" t="n"/>
      <c r="KZ38" s="18" t="n"/>
      <c r="LA38" s="18" t="n"/>
      <c r="LB38" s="18" t="n"/>
      <c r="LC38" s="18" t="n"/>
    </row>
    <row r="39" ht="19.2" customHeight="1" s="88">
      <c r="A39" s="18" t="n"/>
      <c r="B39" s="18" t="n"/>
      <c r="C39" s="18" t="n"/>
      <c r="D39" s="18" t="n"/>
      <c r="E39" s="40" t="n"/>
      <c r="F39" s="40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  <c r="DY39" s="18" t="n"/>
      <c r="DZ39" s="18" t="n"/>
      <c r="EA39" s="18" t="n"/>
      <c r="EB39" s="18" t="n"/>
      <c r="EC39" s="18" t="n"/>
      <c r="ED39" s="18" t="n"/>
      <c r="EE39" s="18" t="n"/>
      <c r="EF39" s="18" t="n"/>
      <c r="EG39" s="18" t="n"/>
      <c r="EH39" s="18" t="n"/>
      <c r="EI39" s="18" t="n"/>
      <c r="EJ39" s="18" t="n"/>
      <c r="EK39" s="18" t="n"/>
      <c r="EL39" s="18" t="n"/>
      <c r="EM39" s="18" t="n"/>
      <c r="EN39" s="18" t="n"/>
      <c r="EO39" s="18" t="n"/>
      <c r="EP39" s="18" t="n"/>
      <c r="EQ39" s="18" t="n"/>
      <c r="ER39" s="18" t="n"/>
      <c r="ES39" s="18" t="n"/>
      <c r="ET39" s="18" t="n"/>
      <c r="EU39" s="18" t="n"/>
      <c r="EV39" s="18" t="n"/>
      <c r="EW39" s="18" t="n"/>
      <c r="EX39" s="18" t="n"/>
      <c r="EY39" s="18" t="n"/>
      <c r="EZ39" s="18" t="n"/>
      <c r="FA39" s="18" t="n"/>
      <c r="FB39" s="18" t="n"/>
      <c r="FC39" s="18" t="n"/>
      <c r="FD39" s="18" t="n"/>
      <c r="FE39" s="18" t="n"/>
      <c r="FF39" s="18" t="n"/>
      <c r="FG39" s="18" t="n"/>
      <c r="FH39" s="18" t="n"/>
      <c r="FI39" s="18" t="n"/>
      <c r="FJ39" s="18" t="n"/>
      <c r="FK39" s="18" t="n"/>
      <c r="FL39" s="18" t="n"/>
      <c r="FM39" s="18" t="n"/>
      <c r="FN39" s="18" t="n"/>
      <c r="FO39" s="18" t="n"/>
      <c r="FP39" s="18" t="n"/>
      <c r="FQ39" s="18" t="n"/>
      <c r="FR39" s="18" t="n"/>
      <c r="FS39" s="18" t="n"/>
      <c r="FT39" s="18" t="n"/>
      <c r="FU39" s="18" t="n"/>
      <c r="FV39" s="18" t="n"/>
      <c r="FW39" s="18" t="n"/>
      <c r="FX39" s="18" t="n"/>
      <c r="FY39" s="18" t="n"/>
      <c r="FZ39" s="18" t="n"/>
      <c r="GA39" s="18" t="n"/>
      <c r="GB39" s="18" t="n"/>
      <c r="GC39" s="18" t="n"/>
      <c r="GD39" s="18" t="n"/>
      <c r="GE39" s="18" t="n"/>
      <c r="GF39" s="18" t="n"/>
      <c r="GG39" s="18" t="n"/>
      <c r="GH39" s="18" t="n"/>
      <c r="GI39" s="18" t="n"/>
      <c r="GJ39" s="18" t="n"/>
      <c r="GK39" s="18" t="n"/>
      <c r="GL39" s="18" t="n"/>
      <c r="GM39" s="18" t="n"/>
      <c r="GN39" s="18" t="n"/>
      <c r="GO39" s="18" t="n"/>
      <c r="GP39" s="18" t="n"/>
      <c r="GQ39" s="18" t="n"/>
      <c r="GR39" s="18" t="n"/>
      <c r="GS39" s="18" t="n"/>
      <c r="GT39" s="18" t="n"/>
      <c r="GU39" s="18" t="n"/>
      <c r="GV39" s="18" t="n"/>
      <c r="GW39" s="18" t="n"/>
      <c r="GX39" s="18" t="n"/>
      <c r="GY39" s="18" t="n"/>
      <c r="GZ39" s="18" t="n"/>
      <c r="HA39" s="18" t="n"/>
      <c r="HB39" s="18" t="n"/>
      <c r="HC39" s="18" t="n"/>
      <c r="HD39" s="18" t="n"/>
      <c r="HE39" s="18" t="n"/>
      <c r="HF39" s="18" t="n"/>
      <c r="HG39" s="18" t="n"/>
      <c r="HH39" s="18" t="n"/>
      <c r="HI39" s="18" t="n"/>
      <c r="HJ39" s="18" t="n"/>
      <c r="HK39" s="18" t="n"/>
      <c r="HL39" s="18" t="n"/>
      <c r="HM39" s="18" t="n"/>
      <c r="HN39" s="18" t="n"/>
      <c r="HO39" s="18" t="n"/>
      <c r="HP39" s="18" t="n"/>
      <c r="HQ39" s="18" t="n"/>
      <c r="HR39" s="18" t="n"/>
      <c r="HS39" s="18" t="n"/>
      <c r="HT39" s="18" t="n"/>
      <c r="HU39" s="18" t="n"/>
      <c r="HV39" s="18" t="n"/>
      <c r="HW39" s="18" t="n"/>
      <c r="HX39" s="18" t="n"/>
      <c r="HY39" s="18" t="n"/>
      <c r="HZ39" s="18" t="n"/>
      <c r="IA39" s="18" t="n"/>
      <c r="IB39" s="18" t="n"/>
      <c r="IC39" s="18" t="n"/>
      <c r="ID39" s="18" t="n"/>
      <c r="IE39" s="18" t="n"/>
      <c r="IF39" s="18" t="n"/>
      <c r="IG39" s="18" t="n"/>
      <c r="IH39" s="18" t="n"/>
      <c r="II39" s="18" t="n"/>
      <c r="IJ39" s="18" t="n"/>
      <c r="IK39" s="18" t="n"/>
      <c r="IL39" s="18" t="n"/>
      <c r="IM39" s="18" t="n"/>
      <c r="IN39" s="18" t="n"/>
      <c r="IO39" s="18" t="n"/>
      <c r="IP39" s="18" t="n"/>
      <c r="IQ39" s="18" t="n"/>
      <c r="IR39" s="18" t="n"/>
      <c r="IS39" s="18" t="n"/>
      <c r="IT39" s="18" t="n"/>
      <c r="IU39" s="18" t="n"/>
      <c r="IV39" s="18" t="n"/>
      <c r="IW39" s="18" t="n"/>
      <c r="IX39" s="18" t="n"/>
      <c r="IY39" s="18" t="n"/>
      <c r="IZ39" s="18" t="n"/>
      <c r="JA39" s="18" t="n"/>
      <c r="JB39" s="18" t="n"/>
      <c r="JC39" s="18" t="n"/>
      <c r="JD39" s="18" t="n"/>
      <c r="JE39" s="18" t="n"/>
      <c r="JF39" s="18" t="n"/>
      <c r="JG39" s="18" t="n"/>
      <c r="JH39" s="18" t="n"/>
      <c r="JI39" s="18" t="n"/>
      <c r="JJ39" s="18" t="n"/>
      <c r="JK39" s="18" t="n"/>
      <c r="JL39" s="18" t="n"/>
      <c r="JM39" s="18" t="n"/>
      <c r="JN39" s="18" t="n"/>
      <c r="JO39" s="18" t="n"/>
      <c r="JP39" s="18" t="n"/>
      <c r="JQ39" s="18" t="n"/>
      <c r="JR39" s="18" t="n"/>
      <c r="JS39" s="18" t="n"/>
      <c r="JT39" s="18" t="n"/>
      <c r="JU39" s="18" t="n"/>
      <c r="JV39" s="18" t="n"/>
      <c r="JW39" s="18" t="n"/>
      <c r="JX39" s="18" t="n"/>
      <c r="JY39" s="18" t="n"/>
      <c r="JZ39" s="18" t="n"/>
      <c r="KA39" s="18" t="n"/>
      <c r="KB39" s="18" t="n"/>
      <c r="KC39" s="18" t="n"/>
      <c r="KD39" s="18" t="n"/>
      <c r="KE39" s="18" t="n"/>
      <c r="KF39" s="18" t="n"/>
      <c r="KG39" s="18" t="n"/>
      <c r="KH39" s="18" t="n"/>
      <c r="KI39" s="18" t="n"/>
      <c r="KJ39" s="18" t="n"/>
      <c r="KK39" s="18" t="n"/>
      <c r="KL39" s="18" t="n"/>
      <c r="KM39" s="18" t="n"/>
      <c r="KN39" s="18" t="n"/>
      <c r="KO39" s="18" t="n"/>
      <c r="KP39" s="18" t="n"/>
      <c r="KQ39" s="18" t="n"/>
      <c r="KR39" s="18" t="n"/>
      <c r="KS39" s="18" t="n"/>
      <c r="KT39" s="18" t="n"/>
      <c r="KU39" s="18" t="n"/>
      <c r="KV39" s="18" t="n"/>
      <c r="KW39" s="18" t="n"/>
      <c r="KX39" s="18" t="n"/>
      <c r="KY39" s="18" t="n"/>
      <c r="KZ39" s="18" t="n"/>
      <c r="LA39" s="18" t="n"/>
      <c r="LB39" s="18" t="n"/>
      <c r="LC39" s="18" t="n"/>
      <c r="LD39" s="18" t="n"/>
      <c r="LE39" s="18" t="n"/>
      <c r="LF39" s="18" t="n"/>
      <c r="LG39" s="18" t="n"/>
    </row>
    <row r="40" ht="17.4" customHeight="1" s="88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  <c r="DY40" s="18" t="n"/>
      <c r="DZ40" s="18" t="n"/>
      <c r="EA40" s="18" t="n"/>
      <c r="EB40" s="18" t="n"/>
      <c r="EC40" s="18" t="n"/>
      <c r="ED40" s="18" t="n"/>
      <c r="EE40" s="18" t="n"/>
      <c r="EF40" s="18" t="n"/>
      <c r="EG40" s="18" t="n"/>
      <c r="EH40" s="18" t="n"/>
      <c r="EI40" s="18" t="n"/>
      <c r="EJ40" s="18" t="n"/>
      <c r="EK40" s="18" t="n"/>
      <c r="EL40" s="18" t="n"/>
      <c r="EM40" s="18" t="n"/>
      <c r="EN40" s="18" t="n"/>
      <c r="EO40" s="18" t="n"/>
      <c r="EP40" s="18" t="n"/>
      <c r="EQ40" s="18" t="n"/>
      <c r="ER40" s="18" t="n"/>
      <c r="ES40" s="18" t="n"/>
      <c r="ET40" s="18" t="n"/>
      <c r="EU40" s="18" t="n"/>
      <c r="EV40" s="18" t="n"/>
      <c r="EW40" s="18" t="n"/>
      <c r="EX40" s="18" t="n"/>
      <c r="EY40" s="18" t="n"/>
      <c r="EZ40" s="18" t="n"/>
      <c r="FA40" s="18" t="n"/>
      <c r="FB40" s="18" t="n"/>
      <c r="FC40" s="18" t="n"/>
      <c r="FD40" s="18" t="n"/>
      <c r="FE40" s="18" t="n"/>
      <c r="FF40" s="18" t="n"/>
      <c r="FG40" s="18" t="n"/>
      <c r="FH40" s="18" t="n"/>
      <c r="FI40" s="18" t="n"/>
      <c r="FJ40" s="18" t="n"/>
      <c r="FK40" s="18" t="n"/>
      <c r="FL40" s="18" t="n"/>
      <c r="FM40" s="18" t="n"/>
      <c r="FN40" s="18" t="n"/>
      <c r="FO40" s="18" t="n"/>
      <c r="FP40" s="18" t="n"/>
      <c r="FQ40" s="18" t="n"/>
      <c r="FR40" s="18" t="n"/>
      <c r="FS40" s="18" t="n"/>
      <c r="FT40" s="18" t="n"/>
      <c r="FU40" s="18" t="n"/>
      <c r="FV40" s="18" t="n"/>
      <c r="FW40" s="18" t="n"/>
      <c r="FX40" s="18" t="n"/>
      <c r="FY40" s="18" t="n"/>
      <c r="FZ40" s="18" t="n"/>
      <c r="GA40" s="18" t="n"/>
      <c r="GB40" s="18" t="n"/>
      <c r="GC40" s="18" t="n"/>
      <c r="GD40" s="18" t="n"/>
      <c r="GE40" s="18" t="n"/>
      <c r="GF40" s="18" t="n"/>
      <c r="GG40" s="18" t="n"/>
      <c r="GH40" s="18" t="n"/>
      <c r="GI40" s="18" t="n"/>
      <c r="GJ40" s="18" t="n"/>
      <c r="GK40" s="18" t="n"/>
      <c r="GL40" s="18" t="n"/>
      <c r="GM40" s="18" t="n"/>
      <c r="GN40" s="18" t="n"/>
      <c r="GO40" s="18" t="n"/>
      <c r="GP40" s="18" t="n"/>
      <c r="GQ40" s="18" t="n"/>
      <c r="GR40" s="18" t="n"/>
      <c r="GS40" s="18" t="n"/>
      <c r="GT40" s="18" t="n"/>
      <c r="GU40" s="18" t="n"/>
      <c r="GV40" s="18" t="n"/>
      <c r="GW40" s="18" t="n"/>
      <c r="GX40" s="18" t="n"/>
      <c r="GY40" s="18" t="n"/>
      <c r="GZ40" s="18" t="n"/>
      <c r="HA40" s="18" t="n"/>
      <c r="HB40" s="18" t="n"/>
      <c r="HC40" s="18" t="n"/>
      <c r="HD40" s="18" t="n"/>
      <c r="HE40" s="18" t="n"/>
      <c r="HF40" s="18" t="n"/>
      <c r="HG40" s="18" t="n"/>
      <c r="HH40" s="18" t="n"/>
      <c r="HI40" s="18" t="n"/>
      <c r="HJ40" s="18" t="n"/>
      <c r="HK40" s="18" t="n"/>
      <c r="HL40" s="18" t="n"/>
      <c r="HM40" s="18" t="n"/>
      <c r="HN40" s="18" t="n"/>
      <c r="HO40" s="18" t="n"/>
      <c r="HP40" s="18" t="n"/>
      <c r="HQ40" s="18" t="n"/>
      <c r="HR40" s="18" t="n"/>
      <c r="HS40" s="18" t="n"/>
      <c r="HT40" s="18" t="n"/>
      <c r="HU40" s="18" t="n"/>
      <c r="HV40" s="18" t="n"/>
      <c r="HW40" s="18" t="n"/>
      <c r="HX40" s="18" t="n"/>
      <c r="HY40" s="18" t="n"/>
      <c r="HZ40" s="18" t="n"/>
      <c r="IA40" s="18" t="n"/>
      <c r="IB40" s="18" t="n"/>
      <c r="IC40" s="18" t="n"/>
      <c r="ID40" s="18" t="n"/>
      <c r="IE40" s="18" t="n"/>
      <c r="IF40" s="18" t="n"/>
      <c r="IG40" s="18" t="n"/>
      <c r="IH40" s="18" t="n"/>
      <c r="II40" s="18" t="n"/>
      <c r="IJ40" s="18" t="n"/>
      <c r="IK40" s="18" t="n"/>
      <c r="IL40" s="18" t="n"/>
      <c r="IM40" s="18" t="n"/>
      <c r="IN40" s="18" t="n"/>
      <c r="IO40" s="18" t="n"/>
      <c r="IP40" s="18" t="n"/>
      <c r="IQ40" s="18" t="n"/>
      <c r="IR40" s="18" t="n"/>
      <c r="IS40" s="18" t="n"/>
      <c r="IT40" s="18" t="n"/>
      <c r="IU40" s="18" t="n"/>
      <c r="IV40" s="18" t="n"/>
      <c r="IW40" s="18" t="n"/>
      <c r="IX40" s="18" t="n"/>
      <c r="IY40" s="18" t="n"/>
      <c r="IZ40" s="18" t="n"/>
      <c r="JA40" s="18" t="n"/>
      <c r="JB40" s="18" t="n"/>
      <c r="JC40" s="18" t="n"/>
      <c r="JD40" s="18" t="n"/>
      <c r="JE40" s="18" t="n"/>
      <c r="JF40" s="18" t="n"/>
      <c r="JG40" s="18" t="n"/>
      <c r="JH40" s="18" t="n"/>
      <c r="JI40" s="18" t="n"/>
      <c r="JJ40" s="18" t="n"/>
      <c r="JK40" s="18" t="n"/>
      <c r="JL40" s="18" t="n"/>
      <c r="JM40" s="18" t="n"/>
      <c r="JN40" s="18" t="n"/>
      <c r="JO40" s="18" t="n"/>
      <c r="JP40" s="18" t="n"/>
      <c r="JQ40" s="18" t="n"/>
      <c r="JR40" s="18" t="n"/>
      <c r="JS40" s="18" t="n"/>
      <c r="JT40" s="18" t="n"/>
      <c r="JU40" s="18" t="n"/>
      <c r="JV40" s="18" t="n"/>
      <c r="JW40" s="18" t="n"/>
      <c r="JX40" s="18" t="n"/>
      <c r="JY40" s="18" t="n"/>
      <c r="JZ40" s="18" t="n"/>
      <c r="KA40" s="18" t="n"/>
      <c r="KB40" s="18" t="n"/>
      <c r="KC40" s="18" t="n"/>
      <c r="KD40" s="18" t="n"/>
      <c r="KE40" s="18" t="n"/>
      <c r="KF40" s="18" t="n"/>
      <c r="KG40" s="18" t="n"/>
      <c r="KH40" s="18" t="n"/>
      <c r="KI40" s="18" t="n"/>
      <c r="KJ40" s="18" t="n"/>
      <c r="KK40" s="18" t="n"/>
      <c r="KL40" s="18" t="n"/>
      <c r="KM40" s="18" t="n"/>
      <c r="KN40" s="18" t="n"/>
      <c r="KO40" s="18" t="n"/>
      <c r="KP40" s="18" t="n"/>
      <c r="KQ40" s="18" t="n"/>
      <c r="KR40" s="18" t="n"/>
      <c r="KS40" s="18" t="n"/>
      <c r="KT40" s="18" t="n"/>
      <c r="KU40" s="18" t="n"/>
      <c r="KV40" s="18" t="n"/>
      <c r="KW40" s="18" t="n"/>
      <c r="KX40" s="18" t="n"/>
      <c r="KY40" s="18" t="n"/>
      <c r="KZ40" s="18" t="n"/>
      <c r="LA40" s="18" t="n"/>
      <c r="LB40" s="18" t="n"/>
      <c r="LC40" s="18" t="n"/>
      <c r="LD40" s="18" t="n"/>
      <c r="LE40" s="18" t="n"/>
      <c r="LF40" s="18" t="n"/>
      <c r="LG40" s="18" t="n"/>
      <c r="LH40" s="18" t="n"/>
      <c r="LI40" s="18" t="n"/>
      <c r="LJ40" s="18" t="n"/>
      <c r="LK40" s="18" t="n"/>
    </row>
    <row r="41" ht="17.4" customHeight="1" s="88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  <c r="DY41" s="18" t="n"/>
      <c r="DZ41" s="18" t="n"/>
      <c r="EA41" s="18" t="n"/>
      <c r="EB41" s="18" t="n"/>
      <c r="EC41" s="18" t="n"/>
      <c r="ED41" s="18" t="n"/>
      <c r="EE41" s="18" t="n"/>
      <c r="EF41" s="18" t="n"/>
      <c r="EG41" s="18" t="n"/>
      <c r="EH41" s="18" t="n"/>
      <c r="EI41" s="18" t="n"/>
      <c r="EJ41" s="18" t="n"/>
      <c r="EK41" s="18" t="n"/>
      <c r="EL41" s="18" t="n"/>
      <c r="EM41" s="18" t="n"/>
      <c r="EN41" s="18" t="n"/>
      <c r="EO41" s="18" t="n"/>
      <c r="EP41" s="18" t="n"/>
      <c r="EQ41" s="18" t="n"/>
      <c r="ER41" s="18" t="n"/>
      <c r="ES41" s="18" t="n"/>
      <c r="ET41" s="18" t="n"/>
      <c r="EU41" s="18" t="n"/>
      <c r="EV41" s="18" t="n"/>
      <c r="EW41" s="18" t="n"/>
      <c r="EX41" s="18" t="n"/>
      <c r="EY41" s="18" t="n"/>
      <c r="EZ41" s="18" t="n"/>
      <c r="FA41" s="18" t="n"/>
      <c r="FB41" s="18" t="n"/>
      <c r="FC41" s="18" t="n"/>
      <c r="FD41" s="18" t="n"/>
      <c r="FE41" s="18" t="n"/>
      <c r="FF41" s="18" t="n"/>
      <c r="FG41" s="18" t="n"/>
      <c r="FH41" s="18" t="n"/>
      <c r="FI41" s="18" t="n"/>
      <c r="FJ41" s="18" t="n"/>
      <c r="FK41" s="18" t="n"/>
      <c r="FL41" s="18" t="n"/>
      <c r="FM41" s="18" t="n"/>
      <c r="FN41" s="18" t="n"/>
      <c r="FO41" s="18" t="n"/>
      <c r="FP41" s="18" t="n"/>
      <c r="FQ41" s="18" t="n"/>
      <c r="FR41" s="18" t="n"/>
      <c r="FS41" s="18" t="n"/>
      <c r="FT41" s="18" t="n"/>
      <c r="FU41" s="18" t="n"/>
      <c r="FV41" s="18" t="n"/>
      <c r="FW41" s="18" t="n"/>
      <c r="FX41" s="18" t="n"/>
      <c r="FY41" s="18" t="n"/>
      <c r="FZ41" s="18" t="n"/>
      <c r="GA41" s="18" t="n"/>
      <c r="GB41" s="18" t="n"/>
      <c r="GC41" s="18" t="n"/>
      <c r="GD41" s="18" t="n"/>
      <c r="GE41" s="18" t="n"/>
      <c r="GF41" s="18" t="n"/>
      <c r="GG41" s="18" t="n"/>
      <c r="GH41" s="18" t="n"/>
      <c r="GI41" s="18" t="n"/>
      <c r="GJ41" s="18" t="n"/>
      <c r="GK41" s="18" t="n"/>
      <c r="GL41" s="18" t="n"/>
      <c r="GM41" s="18" t="n"/>
      <c r="GN41" s="18" t="n"/>
      <c r="GO41" s="18" t="n"/>
      <c r="GP41" s="18" t="n"/>
      <c r="GQ41" s="18" t="n"/>
      <c r="GR41" s="18" t="n"/>
      <c r="GS41" s="18" t="n"/>
      <c r="GT41" s="18" t="n"/>
      <c r="GU41" s="18" t="n"/>
      <c r="GV41" s="18" t="n"/>
      <c r="GW41" s="18" t="n"/>
      <c r="GX41" s="18" t="n"/>
      <c r="GY41" s="18" t="n"/>
      <c r="GZ41" s="18" t="n"/>
      <c r="HA41" s="18" t="n"/>
      <c r="HB41" s="18" t="n"/>
      <c r="HC41" s="18" t="n"/>
      <c r="HD41" s="18" t="n"/>
      <c r="HE41" s="18" t="n"/>
      <c r="HF41" s="18" t="n"/>
      <c r="HG41" s="18" t="n"/>
      <c r="HH41" s="18" t="n"/>
      <c r="HI41" s="18" t="n"/>
      <c r="HJ41" s="18" t="n"/>
      <c r="HK41" s="18" t="n"/>
      <c r="HL41" s="18" t="n"/>
      <c r="HM41" s="18" t="n"/>
      <c r="HN41" s="18" t="n"/>
      <c r="HO41" s="18" t="n"/>
      <c r="HP41" s="18" t="n"/>
      <c r="HQ41" s="18" t="n"/>
      <c r="HR41" s="18" t="n"/>
      <c r="HS41" s="18" t="n"/>
      <c r="HT41" s="18" t="n"/>
      <c r="HU41" s="18" t="n"/>
      <c r="HV41" s="18" t="n"/>
      <c r="HW41" s="18" t="n"/>
      <c r="HX41" s="18" t="n"/>
      <c r="HY41" s="18" t="n"/>
      <c r="HZ41" s="18" t="n"/>
      <c r="IA41" s="18" t="n"/>
      <c r="IB41" s="18" t="n"/>
      <c r="IC41" s="18" t="n"/>
      <c r="ID41" s="18" t="n"/>
      <c r="IE41" s="18" t="n"/>
      <c r="IF41" s="18" t="n"/>
      <c r="IG41" s="18" t="n"/>
      <c r="IH41" s="18" t="n"/>
      <c r="II41" s="18" t="n"/>
      <c r="IJ41" s="18" t="n"/>
      <c r="IK41" s="18" t="n"/>
      <c r="IL41" s="18" t="n"/>
      <c r="IM41" s="18" t="n"/>
      <c r="IN41" s="18" t="n"/>
      <c r="IO41" s="18" t="n"/>
      <c r="IP41" s="18" t="n"/>
      <c r="IQ41" s="18" t="n"/>
      <c r="IR41" s="18" t="n"/>
      <c r="IS41" s="18" t="n"/>
      <c r="IT41" s="18" t="n"/>
      <c r="IU41" s="18" t="n"/>
      <c r="IV41" s="18" t="n"/>
      <c r="IW41" s="18" t="n"/>
      <c r="IX41" s="18" t="n"/>
      <c r="IY41" s="18" t="n"/>
      <c r="IZ41" s="18" t="n"/>
      <c r="JA41" s="18" t="n"/>
      <c r="JB41" s="18" t="n"/>
      <c r="JC41" s="18" t="n"/>
      <c r="JD41" s="18" t="n"/>
      <c r="JE41" s="18" t="n"/>
      <c r="JF41" s="18" t="n"/>
      <c r="JG41" s="18" t="n"/>
      <c r="JH41" s="18" t="n"/>
      <c r="JI41" s="18" t="n"/>
      <c r="JJ41" s="18" t="n"/>
      <c r="JK41" s="18" t="n"/>
      <c r="JL41" s="18" t="n"/>
      <c r="JM41" s="18" t="n"/>
      <c r="JN41" s="18" t="n"/>
      <c r="JO41" s="18" t="n"/>
      <c r="JP41" s="18" t="n"/>
      <c r="JQ41" s="18" t="n"/>
      <c r="JR41" s="18" t="n"/>
      <c r="JS41" s="18" t="n"/>
      <c r="JT41" s="18" t="n"/>
      <c r="JU41" s="18" t="n"/>
      <c r="JV41" s="18" t="n"/>
      <c r="JW41" s="18" t="n"/>
      <c r="JX41" s="18" t="n"/>
      <c r="JY41" s="18" t="n"/>
      <c r="JZ41" s="18" t="n"/>
      <c r="KA41" s="18" t="n"/>
      <c r="KB41" s="18" t="n"/>
      <c r="KC41" s="18" t="n"/>
      <c r="KD41" s="18" t="n"/>
      <c r="KE41" s="18" t="n"/>
      <c r="KF41" s="18" t="n"/>
      <c r="KG41" s="18" t="n"/>
      <c r="KH41" s="18" t="n"/>
      <c r="KI41" s="18" t="n"/>
      <c r="KJ41" s="18" t="n"/>
      <c r="KK41" s="18" t="n"/>
      <c r="KL41" s="18" t="n"/>
      <c r="KM41" s="18" t="n"/>
      <c r="KN41" s="18" t="n"/>
      <c r="KO41" s="18" t="n"/>
      <c r="KP41" s="18" t="n"/>
      <c r="KQ41" s="18" t="n"/>
      <c r="KR41" s="18" t="n"/>
      <c r="KS41" s="18" t="n"/>
      <c r="KT41" s="18" t="n"/>
      <c r="KU41" s="18" t="n"/>
      <c r="KV41" s="18" t="n"/>
      <c r="KW41" s="18" t="n"/>
      <c r="KX41" s="18" t="n"/>
      <c r="KY41" s="18" t="n"/>
      <c r="KZ41" s="18" t="n"/>
      <c r="LA41" s="18" t="n"/>
      <c r="LB41" s="18" t="n"/>
      <c r="LC41" s="18" t="n"/>
      <c r="LD41" s="18" t="n"/>
      <c r="LE41" s="18" t="n"/>
      <c r="LF41" s="18" t="n"/>
      <c r="LG41" s="18" t="n"/>
      <c r="LH41" s="18" t="n"/>
      <c r="LI41" s="18" t="n"/>
      <c r="LJ41" s="18" t="n"/>
      <c r="LK41" s="18" t="n"/>
      <c r="LL41" s="18" t="n"/>
      <c r="LM41" s="18" t="n"/>
      <c r="LN41" s="18" t="n"/>
      <c r="LO41" s="18" t="n"/>
    </row>
    <row r="42" ht="17.4" customHeight="1" s="88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  <c r="DY42" s="18" t="n"/>
      <c r="DZ42" s="18" t="n"/>
      <c r="EA42" s="18" t="n"/>
      <c r="EB42" s="18" t="n"/>
      <c r="EC42" s="18" t="n"/>
      <c r="ED42" s="18" t="n"/>
      <c r="EE42" s="18" t="n"/>
      <c r="EF42" s="18" t="n"/>
      <c r="EG42" s="18" t="n"/>
      <c r="EH42" s="18" t="n"/>
      <c r="EI42" s="18" t="n"/>
      <c r="EJ42" s="18" t="n"/>
      <c r="EK42" s="18" t="n"/>
      <c r="EL42" s="18" t="n"/>
      <c r="EM42" s="18" t="n"/>
      <c r="EN42" s="18" t="n"/>
      <c r="EO42" s="18" t="n"/>
      <c r="EP42" s="18" t="n"/>
      <c r="EQ42" s="18" t="n"/>
      <c r="ER42" s="18" t="n"/>
      <c r="ES42" s="18" t="n"/>
      <c r="ET42" s="18" t="n"/>
      <c r="EU42" s="18" t="n"/>
      <c r="EV42" s="18" t="n"/>
      <c r="EW42" s="18" t="n"/>
      <c r="EX42" s="18" t="n"/>
      <c r="EY42" s="18" t="n"/>
      <c r="EZ42" s="18" t="n"/>
      <c r="FA42" s="18" t="n"/>
      <c r="FB42" s="18" t="n"/>
      <c r="FC42" s="18" t="n"/>
      <c r="FD42" s="18" t="n"/>
      <c r="FE42" s="18" t="n"/>
      <c r="FF42" s="18" t="n"/>
      <c r="FG42" s="18" t="n"/>
      <c r="FH42" s="18" t="n"/>
      <c r="FI42" s="18" t="n"/>
      <c r="FJ42" s="18" t="n"/>
      <c r="FK42" s="18" t="n"/>
      <c r="FL42" s="18" t="n"/>
      <c r="FM42" s="18" t="n"/>
      <c r="FN42" s="18" t="n"/>
      <c r="FO42" s="18" t="n"/>
      <c r="FP42" s="18" t="n"/>
      <c r="FQ42" s="18" t="n"/>
      <c r="FR42" s="18" t="n"/>
      <c r="FS42" s="18" t="n"/>
      <c r="FT42" s="18" t="n"/>
      <c r="FU42" s="18" t="n"/>
      <c r="FV42" s="18" t="n"/>
      <c r="FW42" s="18" t="n"/>
      <c r="FX42" s="18" t="n"/>
      <c r="FY42" s="18" t="n"/>
      <c r="FZ42" s="18" t="n"/>
      <c r="GA42" s="18" t="n"/>
      <c r="GB42" s="18" t="n"/>
      <c r="GC42" s="18" t="n"/>
      <c r="GD42" s="18" t="n"/>
      <c r="GE42" s="18" t="n"/>
      <c r="GF42" s="18" t="n"/>
      <c r="GG42" s="18" t="n"/>
      <c r="GH42" s="18" t="n"/>
      <c r="GI42" s="18" t="n"/>
      <c r="GJ42" s="18" t="n"/>
      <c r="GK42" s="18" t="n"/>
      <c r="GL42" s="18" t="n"/>
      <c r="GM42" s="18" t="n"/>
      <c r="GN42" s="18" t="n"/>
      <c r="GO42" s="18" t="n"/>
      <c r="GP42" s="18" t="n"/>
      <c r="GQ42" s="18" t="n"/>
      <c r="GR42" s="18" t="n"/>
      <c r="GS42" s="18" t="n"/>
      <c r="GT42" s="18" t="n"/>
      <c r="GU42" s="18" t="n"/>
      <c r="GV42" s="18" t="n"/>
      <c r="GW42" s="18" t="n"/>
      <c r="GX42" s="18" t="n"/>
      <c r="GY42" s="18" t="n"/>
      <c r="GZ42" s="18" t="n"/>
      <c r="HA42" s="18" t="n"/>
      <c r="HB42" s="18" t="n"/>
      <c r="HC42" s="18" t="n"/>
      <c r="HD42" s="18" t="n"/>
      <c r="HE42" s="18" t="n"/>
      <c r="HF42" s="18" t="n"/>
      <c r="HG42" s="18" t="n"/>
      <c r="HH42" s="18" t="n"/>
      <c r="HI42" s="18" t="n"/>
      <c r="HJ42" s="18" t="n"/>
      <c r="HK42" s="18" t="n"/>
      <c r="HL42" s="18" t="n"/>
      <c r="HM42" s="18" t="n"/>
      <c r="HN42" s="18" t="n"/>
      <c r="HO42" s="18" t="n"/>
      <c r="HP42" s="18" t="n"/>
      <c r="HQ42" s="18" t="n"/>
      <c r="HR42" s="18" t="n"/>
      <c r="HS42" s="18" t="n"/>
      <c r="HT42" s="18" t="n"/>
      <c r="HU42" s="18" t="n"/>
      <c r="HV42" s="18" t="n"/>
      <c r="HW42" s="18" t="n"/>
      <c r="HX42" s="18" t="n"/>
      <c r="HY42" s="18" t="n"/>
      <c r="HZ42" s="18" t="n"/>
      <c r="IA42" s="18" t="n"/>
      <c r="IB42" s="18" t="n"/>
      <c r="IC42" s="18" t="n"/>
      <c r="ID42" s="18" t="n"/>
      <c r="IE42" s="18" t="n"/>
      <c r="IF42" s="18" t="n"/>
      <c r="IG42" s="18" t="n"/>
      <c r="IH42" s="18" t="n"/>
      <c r="II42" s="18" t="n"/>
      <c r="IJ42" s="18" t="n"/>
      <c r="IK42" s="18" t="n"/>
      <c r="IL42" s="18" t="n"/>
      <c r="IM42" s="18" t="n"/>
      <c r="IN42" s="18" t="n"/>
      <c r="IO42" s="18" t="n"/>
      <c r="IP42" s="18" t="n"/>
      <c r="IQ42" s="18" t="n"/>
      <c r="IR42" s="18" t="n"/>
      <c r="IS42" s="18" t="n"/>
      <c r="IT42" s="18" t="n"/>
      <c r="IU42" s="18" t="n"/>
      <c r="IV42" s="18" t="n"/>
      <c r="IW42" s="18" t="n"/>
      <c r="IX42" s="18" t="n"/>
      <c r="IY42" s="18" t="n"/>
      <c r="IZ42" s="18" t="n"/>
      <c r="JA42" s="18" t="n"/>
      <c r="JB42" s="18" t="n"/>
      <c r="JC42" s="18" t="n"/>
      <c r="JD42" s="18" t="n"/>
      <c r="JE42" s="18" t="n"/>
      <c r="JF42" s="18" t="n"/>
      <c r="JG42" s="18" t="n"/>
      <c r="JH42" s="18" t="n"/>
      <c r="JI42" s="18" t="n"/>
      <c r="JJ42" s="18" t="n"/>
      <c r="JK42" s="18" t="n"/>
      <c r="JL42" s="18" t="n"/>
      <c r="JM42" s="18" t="n"/>
      <c r="JN42" s="18" t="n"/>
      <c r="JO42" s="18" t="n"/>
      <c r="JP42" s="18" t="n"/>
      <c r="JQ42" s="18" t="n"/>
      <c r="JR42" s="18" t="n"/>
      <c r="JS42" s="18" t="n"/>
      <c r="JT42" s="18" t="n"/>
      <c r="JU42" s="18" t="n"/>
      <c r="JV42" s="18" t="n"/>
      <c r="JW42" s="18" t="n"/>
      <c r="JX42" s="18" t="n"/>
      <c r="JY42" s="18" t="n"/>
      <c r="JZ42" s="18" t="n"/>
      <c r="KA42" s="18" t="n"/>
      <c r="KB42" s="18" t="n"/>
      <c r="KC42" s="18" t="n"/>
      <c r="KD42" s="18" t="n"/>
      <c r="KE42" s="18" t="n"/>
      <c r="KF42" s="18" t="n"/>
      <c r="KG42" s="18" t="n"/>
      <c r="KH42" s="18" t="n"/>
      <c r="KI42" s="18" t="n"/>
      <c r="KJ42" s="18" t="n"/>
      <c r="KK42" s="18" t="n"/>
      <c r="KL42" s="18" t="n"/>
      <c r="KM42" s="18" t="n"/>
      <c r="KN42" s="18" t="n"/>
      <c r="KO42" s="18" t="n"/>
      <c r="KP42" s="18" t="n"/>
      <c r="KQ42" s="18" t="n"/>
      <c r="KR42" s="18" t="n"/>
      <c r="KS42" s="18" t="n"/>
      <c r="KT42" s="18" t="n"/>
      <c r="KU42" s="18" t="n"/>
      <c r="KV42" s="18" t="n"/>
      <c r="KW42" s="18" t="n"/>
      <c r="KX42" s="18" t="n"/>
      <c r="KY42" s="18" t="n"/>
      <c r="KZ42" s="18" t="n"/>
      <c r="LA42" s="18" t="n"/>
      <c r="LB42" s="18" t="n"/>
      <c r="LC42" s="18" t="n"/>
      <c r="LD42" s="18" t="n"/>
      <c r="LE42" s="18" t="n"/>
      <c r="LF42" s="18" t="n"/>
      <c r="LG42" s="18" t="n"/>
      <c r="LH42" s="18" t="n"/>
      <c r="LI42" s="18" t="n"/>
      <c r="LJ42" s="18" t="n"/>
      <c r="LK42" s="18" t="n"/>
      <c r="LL42" s="18" t="n"/>
      <c r="LM42" s="18" t="n"/>
      <c r="LN42" s="18" t="n"/>
      <c r="LO42" s="18" t="n"/>
      <c r="LP42" s="18" t="n"/>
      <c r="LQ42" s="18" t="n"/>
      <c r="LR42" s="18" t="n"/>
      <c r="LS42" s="18" t="n"/>
    </row>
    <row r="43" ht="17.4" customHeight="1" s="88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  <c r="DY43" s="18" t="n"/>
      <c r="DZ43" s="18" t="n"/>
      <c r="EA43" s="18" t="n"/>
      <c r="EB43" s="18" t="n"/>
      <c r="EC43" s="18" t="n"/>
      <c r="ED43" s="18" t="n"/>
      <c r="EE43" s="18" t="n"/>
      <c r="EF43" s="18" t="n"/>
      <c r="EG43" s="18" t="n"/>
      <c r="EH43" s="18" t="n"/>
      <c r="EI43" s="18" t="n"/>
      <c r="EJ43" s="18" t="n"/>
      <c r="EK43" s="18" t="n"/>
      <c r="EL43" s="18" t="n"/>
      <c r="EM43" s="18" t="n"/>
      <c r="EN43" s="18" t="n"/>
      <c r="EO43" s="18" t="n"/>
      <c r="EP43" s="18" t="n"/>
      <c r="EQ43" s="18" t="n"/>
      <c r="ER43" s="18" t="n"/>
      <c r="ES43" s="18" t="n"/>
      <c r="ET43" s="18" t="n"/>
      <c r="EU43" s="18" t="n"/>
      <c r="EV43" s="18" t="n"/>
      <c r="EW43" s="18" t="n"/>
      <c r="EX43" s="18" t="n"/>
      <c r="EY43" s="18" t="n"/>
      <c r="EZ43" s="18" t="n"/>
      <c r="FA43" s="18" t="n"/>
      <c r="FB43" s="18" t="n"/>
      <c r="FC43" s="18" t="n"/>
      <c r="FD43" s="18" t="n"/>
      <c r="FE43" s="18" t="n"/>
      <c r="FF43" s="18" t="n"/>
      <c r="FG43" s="18" t="n"/>
      <c r="FH43" s="18" t="n"/>
      <c r="FI43" s="18" t="n"/>
      <c r="FJ43" s="18" t="n"/>
      <c r="FK43" s="18" t="n"/>
      <c r="FL43" s="18" t="n"/>
      <c r="FM43" s="18" t="n"/>
      <c r="FN43" s="18" t="n"/>
      <c r="FO43" s="18" t="n"/>
      <c r="FP43" s="18" t="n"/>
      <c r="FQ43" s="18" t="n"/>
      <c r="FR43" s="18" t="n"/>
      <c r="FS43" s="18" t="n"/>
      <c r="FT43" s="18" t="n"/>
      <c r="FU43" s="18" t="n"/>
      <c r="FV43" s="18" t="n"/>
      <c r="FW43" s="18" t="n"/>
      <c r="FX43" s="18" t="n"/>
      <c r="FY43" s="18" t="n"/>
      <c r="FZ43" s="18" t="n"/>
      <c r="GA43" s="18" t="n"/>
      <c r="GB43" s="18" t="n"/>
      <c r="GC43" s="18" t="n"/>
      <c r="GD43" s="18" t="n"/>
      <c r="GE43" s="18" t="n"/>
      <c r="GF43" s="18" t="n"/>
      <c r="GG43" s="18" t="n"/>
      <c r="GH43" s="18" t="n"/>
      <c r="GI43" s="18" t="n"/>
      <c r="GJ43" s="18" t="n"/>
      <c r="GK43" s="18" t="n"/>
      <c r="GL43" s="18" t="n"/>
      <c r="GM43" s="18" t="n"/>
      <c r="GN43" s="18" t="n"/>
      <c r="GO43" s="18" t="n"/>
      <c r="GP43" s="18" t="n"/>
      <c r="GQ43" s="18" t="n"/>
      <c r="GR43" s="18" t="n"/>
      <c r="GS43" s="18" t="n"/>
      <c r="GT43" s="18" t="n"/>
      <c r="GU43" s="18" t="n"/>
      <c r="GV43" s="18" t="n"/>
      <c r="GW43" s="18" t="n"/>
      <c r="GX43" s="18" t="n"/>
      <c r="GY43" s="18" t="n"/>
      <c r="GZ43" s="18" t="n"/>
      <c r="HA43" s="18" t="n"/>
      <c r="HB43" s="18" t="n"/>
      <c r="HC43" s="18" t="n"/>
      <c r="HD43" s="18" t="n"/>
      <c r="HE43" s="18" t="n"/>
      <c r="HF43" s="18" t="n"/>
      <c r="HG43" s="18" t="n"/>
      <c r="HH43" s="18" t="n"/>
      <c r="HI43" s="18" t="n"/>
      <c r="HJ43" s="18" t="n"/>
      <c r="HK43" s="18" t="n"/>
      <c r="HL43" s="18" t="n"/>
      <c r="HM43" s="18" t="n"/>
      <c r="HN43" s="18" t="n"/>
      <c r="HO43" s="18" t="n"/>
      <c r="HP43" s="18" t="n"/>
      <c r="HQ43" s="18" t="n"/>
      <c r="HR43" s="18" t="n"/>
      <c r="HS43" s="18" t="n"/>
      <c r="HT43" s="18" t="n"/>
      <c r="HU43" s="18" t="n"/>
      <c r="HV43" s="18" t="n"/>
      <c r="HW43" s="18" t="n"/>
      <c r="HX43" s="18" t="n"/>
      <c r="HY43" s="18" t="n"/>
      <c r="HZ43" s="18" t="n"/>
      <c r="IA43" s="18" t="n"/>
      <c r="IB43" s="18" t="n"/>
      <c r="IC43" s="18" t="n"/>
      <c r="ID43" s="18" t="n"/>
      <c r="IE43" s="18" t="n"/>
      <c r="IF43" s="18" t="n"/>
      <c r="IG43" s="18" t="n"/>
      <c r="IH43" s="18" t="n"/>
      <c r="II43" s="18" t="n"/>
      <c r="IJ43" s="18" t="n"/>
      <c r="IK43" s="18" t="n"/>
      <c r="IL43" s="18" t="n"/>
      <c r="IM43" s="18" t="n"/>
      <c r="IN43" s="18" t="n"/>
      <c r="IO43" s="18" t="n"/>
      <c r="IP43" s="18" t="n"/>
      <c r="IQ43" s="18" t="n"/>
      <c r="IR43" s="18" t="n"/>
      <c r="IS43" s="18" t="n"/>
      <c r="IT43" s="18" t="n"/>
      <c r="IU43" s="18" t="n"/>
      <c r="IV43" s="18" t="n"/>
      <c r="IW43" s="18" t="n"/>
      <c r="IX43" s="18" t="n"/>
      <c r="IY43" s="18" t="n"/>
      <c r="IZ43" s="18" t="n"/>
      <c r="JA43" s="18" t="n"/>
      <c r="JB43" s="18" t="n"/>
      <c r="JC43" s="18" t="n"/>
      <c r="JD43" s="18" t="n"/>
      <c r="JE43" s="18" t="n"/>
      <c r="JF43" s="18" t="n"/>
      <c r="JG43" s="18" t="n"/>
      <c r="JH43" s="18" t="n"/>
      <c r="JI43" s="18" t="n"/>
      <c r="JJ43" s="18" t="n"/>
      <c r="JK43" s="18" t="n"/>
      <c r="JL43" s="18" t="n"/>
      <c r="JM43" s="18" t="n"/>
      <c r="JN43" s="18" t="n"/>
      <c r="JO43" s="18" t="n"/>
      <c r="JP43" s="18" t="n"/>
      <c r="JQ43" s="18" t="n"/>
      <c r="JR43" s="18" t="n"/>
      <c r="JS43" s="18" t="n"/>
      <c r="JT43" s="18" t="n"/>
      <c r="JU43" s="18" t="n"/>
      <c r="JV43" s="18" t="n"/>
      <c r="JW43" s="18" t="n"/>
      <c r="JX43" s="18" t="n"/>
      <c r="JY43" s="18" t="n"/>
      <c r="JZ43" s="18" t="n"/>
      <c r="KA43" s="18" t="n"/>
      <c r="KB43" s="18" t="n"/>
      <c r="KC43" s="18" t="n"/>
      <c r="KD43" s="18" t="n"/>
      <c r="KE43" s="18" t="n"/>
      <c r="KF43" s="18" t="n"/>
      <c r="KG43" s="18" t="n"/>
      <c r="KH43" s="18" t="n"/>
      <c r="KI43" s="18" t="n"/>
      <c r="KJ43" s="18" t="n"/>
      <c r="KK43" s="18" t="n"/>
      <c r="KL43" s="18" t="n"/>
      <c r="KM43" s="18" t="n"/>
      <c r="KN43" s="18" t="n"/>
      <c r="KO43" s="18" t="n"/>
      <c r="KP43" s="18" t="n"/>
      <c r="KQ43" s="18" t="n"/>
      <c r="KR43" s="18" t="n"/>
      <c r="KS43" s="18" t="n"/>
      <c r="KT43" s="18" t="n"/>
      <c r="KU43" s="18" t="n"/>
      <c r="KV43" s="18" t="n"/>
      <c r="KW43" s="18" t="n"/>
      <c r="KX43" s="18" t="n"/>
      <c r="KY43" s="18" t="n"/>
      <c r="KZ43" s="18" t="n"/>
      <c r="LA43" s="18" t="n"/>
      <c r="LB43" s="18" t="n"/>
      <c r="LC43" s="18" t="n"/>
      <c r="LD43" s="18" t="n"/>
      <c r="LE43" s="18" t="n"/>
      <c r="LF43" s="18" t="n"/>
      <c r="LG43" s="18" t="n"/>
      <c r="LH43" s="18" t="n"/>
      <c r="LI43" s="18" t="n"/>
      <c r="LJ43" s="18" t="n"/>
      <c r="LK43" s="18" t="n"/>
      <c r="LL43" s="18" t="n"/>
      <c r="LM43" s="18" t="n"/>
      <c r="LN43" s="18" t="n"/>
      <c r="LO43" s="18" t="n"/>
      <c r="LP43" s="18" t="n"/>
      <c r="LQ43" s="18" t="n"/>
      <c r="LR43" s="18" t="n"/>
      <c r="LS43" s="18" t="n"/>
      <c r="LT43" s="18" t="n"/>
      <c r="LU43" s="18" t="n"/>
      <c r="LV43" s="18" t="n"/>
      <c r="LW43" s="18" t="n"/>
    </row>
    <row r="44" ht="17.4" customHeight="1" s="88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  <c r="DY44" s="18" t="n"/>
      <c r="DZ44" s="18" t="n"/>
      <c r="EA44" s="18" t="n"/>
      <c r="EB44" s="18" t="n"/>
      <c r="EC44" s="18" t="n"/>
      <c r="ED44" s="18" t="n"/>
      <c r="EE44" s="18" t="n"/>
      <c r="EF44" s="18" t="n"/>
      <c r="EG44" s="18" t="n"/>
      <c r="EH44" s="18" t="n"/>
      <c r="EI44" s="18" t="n"/>
      <c r="EJ44" s="18" t="n"/>
      <c r="EK44" s="18" t="n"/>
      <c r="EL44" s="18" t="n"/>
      <c r="EM44" s="18" t="n"/>
      <c r="EN44" s="18" t="n"/>
      <c r="EO44" s="18" t="n"/>
      <c r="EP44" s="18" t="n"/>
      <c r="EQ44" s="18" t="n"/>
      <c r="ER44" s="18" t="n"/>
      <c r="ES44" s="18" t="n"/>
      <c r="ET44" s="18" t="n"/>
      <c r="EU44" s="18" t="n"/>
      <c r="EV44" s="18" t="n"/>
      <c r="EW44" s="18" t="n"/>
      <c r="EX44" s="18" t="n"/>
      <c r="EY44" s="18" t="n"/>
      <c r="EZ44" s="18" t="n"/>
      <c r="FA44" s="18" t="n"/>
      <c r="FB44" s="18" t="n"/>
      <c r="FC44" s="18" t="n"/>
      <c r="FD44" s="18" t="n"/>
      <c r="FE44" s="18" t="n"/>
      <c r="FF44" s="18" t="n"/>
      <c r="FG44" s="18" t="n"/>
      <c r="FH44" s="18" t="n"/>
      <c r="FI44" s="18" t="n"/>
      <c r="FJ44" s="18" t="n"/>
      <c r="FK44" s="18" t="n"/>
      <c r="FL44" s="18" t="n"/>
      <c r="FM44" s="18" t="n"/>
      <c r="FN44" s="18" t="n"/>
      <c r="FO44" s="18" t="n"/>
      <c r="FP44" s="18" t="n"/>
      <c r="FQ44" s="18" t="n"/>
      <c r="FR44" s="18" t="n"/>
      <c r="FS44" s="18" t="n"/>
      <c r="FT44" s="18" t="n"/>
      <c r="FU44" s="18" t="n"/>
      <c r="FV44" s="18" t="n"/>
      <c r="FW44" s="18" t="n"/>
      <c r="FX44" s="18" t="n"/>
      <c r="FY44" s="18" t="n"/>
      <c r="FZ44" s="18" t="n"/>
      <c r="GA44" s="18" t="n"/>
      <c r="GB44" s="18" t="n"/>
      <c r="GC44" s="18" t="n"/>
      <c r="GD44" s="18" t="n"/>
      <c r="GE44" s="18" t="n"/>
      <c r="GF44" s="18" t="n"/>
      <c r="GG44" s="18" t="n"/>
      <c r="GH44" s="18" t="n"/>
      <c r="GI44" s="18" t="n"/>
      <c r="GJ44" s="18" t="n"/>
      <c r="GK44" s="18" t="n"/>
      <c r="GL44" s="18" t="n"/>
      <c r="GM44" s="18" t="n"/>
      <c r="GN44" s="18" t="n"/>
      <c r="GO44" s="18" t="n"/>
      <c r="GP44" s="18" t="n"/>
      <c r="GQ44" s="18" t="n"/>
      <c r="GR44" s="18" t="n"/>
      <c r="GS44" s="18" t="n"/>
      <c r="GT44" s="18" t="n"/>
      <c r="GU44" s="18" t="n"/>
      <c r="GV44" s="18" t="n"/>
      <c r="GW44" s="18" t="n"/>
      <c r="GX44" s="18" t="n"/>
      <c r="GY44" s="18" t="n"/>
      <c r="GZ44" s="18" t="n"/>
      <c r="HA44" s="18" t="n"/>
      <c r="HB44" s="18" t="n"/>
      <c r="HC44" s="18" t="n"/>
      <c r="HD44" s="18" t="n"/>
      <c r="HE44" s="18" t="n"/>
      <c r="HF44" s="18" t="n"/>
      <c r="HG44" s="18" t="n"/>
      <c r="HH44" s="18" t="n"/>
      <c r="HI44" s="18" t="n"/>
      <c r="HJ44" s="18" t="n"/>
      <c r="HK44" s="18" t="n"/>
      <c r="HL44" s="18" t="n"/>
      <c r="HM44" s="18" t="n"/>
      <c r="HN44" s="18" t="n"/>
      <c r="HO44" s="18" t="n"/>
      <c r="HP44" s="18" t="n"/>
      <c r="HQ44" s="18" t="n"/>
      <c r="HR44" s="18" t="n"/>
      <c r="HS44" s="18" t="n"/>
      <c r="HT44" s="18" t="n"/>
      <c r="HU44" s="18" t="n"/>
      <c r="HV44" s="18" t="n"/>
      <c r="HW44" s="18" t="n"/>
      <c r="HX44" s="18" t="n"/>
      <c r="HY44" s="18" t="n"/>
      <c r="HZ44" s="18" t="n"/>
      <c r="IA44" s="18" t="n"/>
      <c r="IB44" s="18" t="n"/>
      <c r="IC44" s="18" t="n"/>
      <c r="ID44" s="18" t="n"/>
      <c r="IE44" s="18" t="n"/>
      <c r="IF44" s="18" t="n"/>
      <c r="IG44" s="18" t="n"/>
      <c r="IH44" s="18" t="n"/>
      <c r="II44" s="18" t="n"/>
      <c r="IJ44" s="18" t="n"/>
      <c r="IK44" s="18" t="n"/>
      <c r="IL44" s="18" t="n"/>
      <c r="IM44" s="18" t="n"/>
      <c r="IN44" s="18" t="n"/>
      <c r="IO44" s="18" t="n"/>
      <c r="IP44" s="18" t="n"/>
      <c r="IQ44" s="18" t="n"/>
      <c r="IR44" s="18" t="n"/>
      <c r="IS44" s="18" t="n"/>
      <c r="IT44" s="18" t="n"/>
      <c r="IU44" s="18" t="n"/>
      <c r="IV44" s="18" t="n"/>
      <c r="IW44" s="18" t="n"/>
      <c r="IX44" s="18" t="n"/>
      <c r="IY44" s="18" t="n"/>
      <c r="IZ44" s="18" t="n"/>
      <c r="JA44" s="18" t="n"/>
      <c r="JB44" s="18" t="n"/>
      <c r="JC44" s="18" t="n"/>
      <c r="JD44" s="18" t="n"/>
      <c r="JE44" s="18" t="n"/>
      <c r="JF44" s="18" t="n"/>
      <c r="JG44" s="18" t="n"/>
      <c r="JH44" s="18" t="n"/>
      <c r="JI44" s="18" t="n"/>
      <c r="JJ44" s="18" t="n"/>
      <c r="JK44" s="18" t="n"/>
      <c r="JL44" s="18" t="n"/>
      <c r="JM44" s="18" t="n"/>
      <c r="JN44" s="18" t="n"/>
      <c r="JO44" s="18" t="n"/>
      <c r="JP44" s="18" t="n"/>
      <c r="JQ44" s="18" t="n"/>
      <c r="JR44" s="18" t="n"/>
      <c r="JS44" s="18" t="n"/>
      <c r="JT44" s="18" t="n"/>
      <c r="JU44" s="18" t="n"/>
      <c r="JV44" s="18" t="n"/>
      <c r="JW44" s="18" t="n"/>
      <c r="JX44" s="18" t="n"/>
      <c r="JY44" s="18" t="n"/>
      <c r="JZ44" s="18" t="n"/>
      <c r="KA44" s="18" t="n"/>
      <c r="KB44" s="18" t="n"/>
      <c r="KC44" s="18" t="n"/>
      <c r="KD44" s="18" t="n"/>
      <c r="KE44" s="18" t="n"/>
      <c r="KF44" s="18" t="n"/>
      <c r="KG44" s="18" t="n"/>
      <c r="KH44" s="18" t="n"/>
      <c r="KI44" s="18" t="n"/>
      <c r="KJ44" s="18" t="n"/>
      <c r="KK44" s="18" t="n"/>
      <c r="KL44" s="18" t="n"/>
      <c r="KM44" s="18" t="n"/>
      <c r="KN44" s="18" t="n"/>
      <c r="KO44" s="18" t="n"/>
      <c r="KP44" s="18" t="n"/>
      <c r="KQ44" s="18" t="n"/>
      <c r="KR44" s="18" t="n"/>
      <c r="KS44" s="18" t="n"/>
      <c r="KT44" s="18" t="n"/>
      <c r="KU44" s="18" t="n"/>
      <c r="KV44" s="18" t="n"/>
      <c r="KW44" s="18" t="n"/>
      <c r="KX44" s="18" t="n"/>
      <c r="KY44" s="18" t="n"/>
      <c r="KZ44" s="18" t="n"/>
      <c r="LA44" s="18" t="n"/>
      <c r="LB44" s="18" t="n"/>
      <c r="LC44" s="18" t="n"/>
      <c r="LD44" s="18" t="n"/>
      <c r="LE44" s="18" t="n"/>
      <c r="LF44" s="18" t="n"/>
      <c r="LG44" s="18" t="n"/>
      <c r="LH44" s="18" t="n"/>
      <c r="LI44" s="18" t="n"/>
      <c r="LJ44" s="18" t="n"/>
      <c r="LK44" s="18" t="n"/>
      <c r="LL44" s="18" t="n"/>
      <c r="LM44" s="18" t="n"/>
      <c r="LN44" s="18" t="n"/>
      <c r="LO44" s="18" t="n"/>
      <c r="LP44" s="18" t="n"/>
      <c r="LQ44" s="18" t="n"/>
      <c r="LR44" s="18" t="n"/>
      <c r="LS44" s="18" t="n"/>
      <c r="LT44" s="18" t="n"/>
      <c r="LU44" s="18" t="n"/>
      <c r="LV44" s="18" t="n"/>
      <c r="LW44" s="18" t="n"/>
      <c r="LX44" s="18" t="n"/>
      <c r="LY44" s="18" t="n"/>
      <c r="LZ44" s="18" t="n"/>
      <c r="MA44" s="18" t="n"/>
    </row>
    <row r="45" ht="17.4" customHeight="1" s="88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  <c r="DY45" s="18" t="n"/>
      <c r="DZ45" s="18" t="n"/>
      <c r="EA45" s="18" t="n"/>
      <c r="EB45" s="18" t="n"/>
      <c r="EC45" s="18" t="n"/>
      <c r="ED45" s="18" t="n"/>
      <c r="EE45" s="18" t="n"/>
      <c r="EF45" s="18" t="n"/>
      <c r="EG45" s="18" t="n"/>
      <c r="EH45" s="18" t="n"/>
      <c r="EI45" s="18" t="n"/>
      <c r="EJ45" s="18" t="n"/>
      <c r="EK45" s="18" t="n"/>
      <c r="EL45" s="18" t="n"/>
      <c r="EM45" s="18" t="n"/>
      <c r="EN45" s="18" t="n"/>
      <c r="EO45" s="18" t="n"/>
      <c r="EP45" s="18" t="n"/>
      <c r="EQ45" s="18" t="n"/>
      <c r="ER45" s="18" t="n"/>
      <c r="ES45" s="18" t="n"/>
      <c r="ET45" s="18" t="n"/>
      <c r="EU45" s="18" t="n"/>
      <c r="EV45" s="18" t="n"/>
      <c r="EW45" s="18" t="n"/>
      <c r="EX45" s="18" t="n"/>
      <c r="EY45" s="18" t="n"/>
      <c r="EZ45" s="18" t="n"/>
      <c r="FA45" s="18" t="n"/>
      <c r="FB45" s="18" t="n"/>
      <c r="FC45" s="18" t="n"/>
      <c r="FD45" s="18" t="n"/>
      <c r="FE45" s="18" t="n"/>
      <c r="FF45" s="18" t="n"/>
      <c r="FG45" s="18" t="n"/>
      <c r="FH45" s="18" t="n"/>
      <c r="FI45" s="18" t="n"/>
      <c r="FJ45" s="18" t="n"/>
      <c r="FK45" s="18" t="n"/>
      <c r="FL45" s="18" t="n"/>
      <c r="FM45" s="18" t="n"/>
      <c r="FN45" s="18" t="n"/>
      <c r="FO45" s="18" t="n"/>
      <c r="FP45" s="18" t="n"/>
      <c r="FQ45" s="18" t="n"/>
      <c r="FR45" s="18" t="n"/>
      <c r="FS45" s="18" t="n"/>
      <c r="FT45" s="18" t="n"/>
      <c r="FU45" s="18" t="n"/>
      <c r="FV45" s="18" t="n"/>
      <c r="FW45" s="18" t="n"/>
      <c r="FX45" s="18" t="n"/>
      <c r="FY45" s="18" t="n"/>
      <c r="FZ45" s="18" t="n"/>
      <c r="GA45" s="18" t="n"/>
      <c r="GB45" s="18" t="n"/>
      <c r="GC45" s="18" t="n"/>
      <c r="GD45" s="18" t="n"/>
      <c r="GE45" s="18" t="n"/>
      <c r="GF45" s="18" t="n"/>
      <c r="GG45" s="18" t="n"/>
      <c r="GH45" s="18" t="n"/>
      <c r="GI45" s="18" t="n"/>
      <c r="GJ45" s="18" t="n"/>
      <c r="GK45" s="18" t="n"/>
      <c r="GL45" s="18" t="n"/>
      <c r="GM45" s="18" t="n"/>
      <c r="GN45" s="18" t="n"/>
      <c r="GO45" s="18" t="n"/>
      <c r="GP45" s="18" t="n"/>
      <c r="GQ45" s="18" t="n"/>
      <c r="GR45" s="18" t="n"/>
      <c r="GS45" s="18" t="n"/>
      <c r="GT45" s="18" t="n"/>
      <c r="GU45" s="18" t="n"/>
      <c r="GV45" s="18" t="n"/>
      <c r="GW45" s="18" t="n"/>
      <c r="GX45" s="18" t="n"/>
      <c r="GY45" s="18" t="n"/>
      <c r="GZ45" s="18" t="n"/>
      <c r="HA45" s="18" t="n"/>
      <c r="HB45" s="18" t="n"/>
      <c r="HC45" s="18" t="n"/>
      <c r="HD45" s="18" t="n"/>
      <c r="HE45" s="18" t="n"/>
      <c r="HF45" s="18" t="n"/>
      <c r="HG45" s="18" t="n"/>
      <c r="HH45" s="18" t="n"/>
      <c r="HI45" s="18" t="n"/>
      <c r="HJ45" s="18" t="n"/>
      <c r="HK45" s="18" t="n"/>
      <c r="HL45" s="18" t="n"/>
      <c r="HM45" s="18" t="n"/>
      <c r="HN45" s="18" t="n"/>
      <c r="HO45" s="18" t="n"/>
      <c r="HP45" s="18" t="n"/>
      <c r="HQ45" s="18" t="n"/>
      <c r="HR45" s="18" t="n"/>
      <c r="HS45" s="18" t="n"/>
      <c r="HT45" s="18" t="n"/>
      <c r="HU45" s="18" t="n"/>
      <c r="HV45" s="18" t="n"/>
      <c r="HW45" s="18" t="n"/>
      <c r="HX45" s="18" t="n"/>
      <c r="HY45" s="18" t="n"/>
      <c r="HZ45" s="18" t="n"/>
      <c r="IA45" s="18" t="n"/>
      <c r="IB45" s="18" t="n"/>
      <c r="IC45" s="18" t="n"/>
      <c r="ID45" s="18" t="n"/>
      <c r="IE45" s="18" t="n"/>
      <c r="IF45" s="18" t="n"/>
      <c r="IG45" s="18" t="n"/>
      <c r="IH45" s="18" t="n"/>
      <c r="II45" s="18" t="n"/>
      <c r="IJ45" s="18" t="n"/>
      <c r="IK45" s="18" t="n"/>
      <c r="IL45" s="18" t="n"/>
      <c r="IM45" s="18" t="n"/>
      <c r="IN45" s="18" t="n"/>
      <c r="IO45" s="18" t="n"/>
      <c r="IP45" s="18" t="n"/>
      <c r="IQ45" s="18" t="n"/>
      <c r="IR45" s="18" t="n"/>
      <c r="IS45" s="18" t="n"/>
      <c r="IT45" s="18" t="n"/>
      <c r="IU45" s="18" t="n"/>
      <c r="IV45" s="18" t="n"/>
      <c r="IW45" s="18" t="n"/>
      <c r="IX45" s="18" t="n"/>
      <c r="IY45" s="18" t="n"/>
      <c r="IZ45" s="18" t="n"/>
      <c r="JA45" s="18" t="n"/>
      <c r="JB45" s="18" t="n"/>
      <c r="JC45" s="18" t="n"/>
      <c r="JD45" s="18" t="n"/>
      <c r="JE45" s="18" t="n"/>
      <c r="JF45" s="18" t="n"/>
      <c r="JG45" s="18" t="n"/>
      <c r="JH45" s="18" t="n"/>
      <c r="JI45" s="18" t="n"/>
      <c r="JJ45" s="18" t="n"/>
      <c r="JK45" s="18" t="n"/>
      <c r="JL45" s="18" t="n"/>
      <c r="JM45" s="18" t="n"/>
      <c r="JN45" s="18" t="n"/>
      <c r="JO45" s="18" t="n"/>
      <c r="JP45" s="18" t="n"/>
      <c r="JQ45" s="18" t="n"/>
      <c r="JR45" s="18" t="n"/>
      <c r="JS45" s="18" t="n"/>
      <c r="JT45" s="18" t="n"/>
      <c r="JU45" s="18" t="n"/>
      <c r="JV45" s="18" t="n"/>
      <c r="JW45" s="18" t="n"/>
      <c r="JX45" s="18" t="n"/>
      <c r="JY45" s="18" t="n"/>
      <c r="JZ45" s="18" t="n"/>
      <c r="KA45" s="18" t="n"/>
      <c r="KB45" s="18" t="n"/>
      <c r="KC45" s="18" t="n"/>
      <c r="KD45" s="18" t="n"/>
      <c r="KE45" s="18" t="n"/>
      <c r="KF45" s="18" t="n"/>
      <c r="KG45" s="18" t="n"/>
      <c r="KH45" s="18" t="n"/>
      <c r="KI45" s="18" t="n"/>
      <c r="KJ45" s="18" t="n"/>
      <c r="KK45" s="18" t="n"/>
      <c r="KL45" s="18" t="n"/>
      <c r="KM45" s="18" t="n"/>
      <c r="KN45" s="18" t="n"/>
      <c r="KO45" s="18" t="n"/>
      <c r="KP45" s="18" t="n"/>
      <c r="KQ45" s="18" t="n"/>
      <c r="KR45" s="18" t="n"/>
      <c r="KS45" s="18" t="n"/>
      <c r="KT45" s="18" t="n"/>
      <c r="KU45" s="18" t="n"/>
      <c r="KV45" s="18" t="n"/>
      <c r="KW45" s="18" t="n"/>
      <c r="KX45" s="18" t="n"/>
      <c r="KY45" s="18" t="n"/>
      <c r="KZ45" s="18" t="n"/>
      <c r="LA45" s="18" t="n"/>
      <c r="LB45" s="18" t="n"/>
      <c r="LC45" s="18" t="n"/>
      <c r="LD45" s="18" t="n"/>
      <c r="LE45" s="18" t="n"/>
      <c r="LF45" s="18" t="n"/>
      <c r="LG45" s="18" t="n"/>
      <c r="LH45" s="18" t="n"/>
      <c r="LI45" s="18" t="n"/>
      <c r="LJ45" s="18" t="n"/>
      <c r="LK45" s="18" t="n"/>
      <c r="LL45" s="18" t="n"/>
      <c r="LM45" s="18" t="n"/>
      <c r="LN45" s="18" t="n"/>
      <c r="LO45" s="18" t="n"/>
      <c r="LP45" s="18" t="n"/>
      <c r="LQ45" s="18" t="n"/>
      <c r="LR45" s="18" t="n"/>
      <c r="LS45" s="18" t="n"/>
      <c r="LT45" s="18" t="n"/>
      <c r="LU45" s="18" t="n"/>
      <c r="LV45" s="18" t="n"/>
      <c r="LW45" s="18" t="n"/>
      <c r="LX45" s="18" t="n"/>
      <c r="LY45" s="18" t="n"/>
      <c r="LZ45" s="18" t="n"/>
      <c r="MA45" s="18" t="n"/>
      <c r="MB45" s="18" t="n"/>
      <c r="MC45" s="18" t="n"/>
      <c r="MD45" s="18" t="n"/>
      <c r="ME45" s="18" t="n"/>
    </row>
    <row r="46" ht="17.4" customHeight="1" s="88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8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8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8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18" t="n"/>
      <c r="GI46" s="18" t="n"/>
      <c r="GJ46" s="18" t="n"/>
      <c r="GK46" s="18" t="n"/>
      <c r="GL46" s="18" t="n"/>
      <c r="GM46" s="18" t="n"/>
      <c r="GN46" s="18" t="n"/>
      <c r="GO46" s="18" t="n"/>
      <c r="GP46" s="18" t="n"/>
      <c r="GQ46" s="18" t="n"/>
      <c r="GR46" s="18" t="n"/>
      <c r="GS46" s="18" t="n"/>
      <c r="GT46" s="18" t="n"/>
      <c r="GU46" s="18" t="n"/>
      <c r="GV46" s="18" t="n"/>
      <c r="GW46" s="18" t="n"/>
      <c r="GX46" s="18" t="n"/>
      <c r="GY46" s="18" t="n"/>
      <c r="GZ46" s="18" t="n"/>
      <c r="HA46" s="18" t="n"/>
      <c r="HB46" s="18" t="n"/>
      <c r="HC46" s="18" t="n"/>
      <c r="HD46" s="18" t="n"/>
      <c r="HE46" s="18" t="n"/>
      <c r="HF46" s="18" t="n"/>
      <c r="HG46" s="18" t="n"/>
      <c r="HH46" s="18" t="n"/>
      <c r="HI46" s="18" t="n"/>
      <c r="HJ46" s="18" t="n"/>
      <c r="HK46" s="18" t="n"/>
      <c r="HL46" s="18" t="n"/>
      <c r="HM46" s="18" t="n"/>
      <c r="HN46" s="18" t="n"/>
      <c r="HO46" s="18" t="n"/>
      <c r="HP46" s="18" t="n"/>
      <c r="HQ46" s="18" t="n"/>
      <c r="HR46" s="18" t="n"/>
      <c r="HS46" s="18" t="n"/>
      <c r="HT46" s="18" t="n"/>
      <c r="HU46" s="18" t="n"/>
      <c r="HV46" s="18" t="n"/>
      <c r="HW46" s="18" t="n"/>
      <c r="HX46" s="18" t="n"/>
      <c r="HY46" s="18" t="n"/>
      <c r="HZ46" s="18" t="n"/>
      <c r="IA46" s="18" t="n"/>
      <c r="IB46" s="18" t="n"/>
      <c r="IC46" s="18" t="n"/>
      <c r="ID46" s="18" t="n"/>
      <c r="IE46" s="18" t="n"/>
      <c r="IF46" s="18" t="n"/>
      <c r="IG46" s="18" t="n"/>
      <c r="IH46" s="18" t="n"/>
      <c r="II46" s="18" t="n"/>
      <c r="IJ46" s="18" t="n"/>
      <c r="IK46" s="18" t="n"/>
      <c r="IL46" s="18" t="n"/>
      <c r="IM46" s="18" t="n"/>
      <c r="IN46" s="18" t="n"/>
      <c r="IO46" s="18" t="n"/>
      <c r="IP46" s="18" t="n"/>
      <c r="IQ46" s="18" t="n"/>
      <c r="IR46" s="18" t="n"/>
      <c r="IS46" s="18" t="n"/>
      <c r="IT46" s="18" t="n"/>
      <c r="IU46" s="18" t="n"/>
      <c r="IV46" s="18" t="n"/>
      <c r="IW46" s="18" t="n"/>
      <c r="IX46" s="18" t="n"/>
      <c r="IY46" s="18" t="n"/>
      <c r="IZ46" s="18" t="n"/>
      <c r="JA46" s="18" t="n"/>
      <c r="JB46" s="18" t="n"/>
      <c r="JC46" s="18" t="n"/>
      <c r="JD46" s="18" t="n"/>
      <c r="JE46" s="18" t="n"/>
      <c r="JF46" s="18" t="n"/>
      <c r="JG46" s="18" t="n"/>
      <c r="JH46" s="18" t="n"/>
      <c r="JI46" s="18" t="n"/>
      <c r="JJ46" s="18" t="n"/>
      <c r="JK46" s="18" t="n"/>
      <c r="JL46" s="18" t="n"/>
      <c r="JM46" s="18" t="n"/>
      <c r="JN46" s="18" t="n"/>
      <c r="JO46" s="18" t="n"/>
      <c r="JP46" s="18" t="n"/>
      <c r="JQ46" s="18" t="n"/>
      <c r="JR46" s="18" t="n"/>
      <c r="JS46" s="18" t="n"/>
      <c r="JT46" s="18" t="n"/>
      <c r="JU46" s="18" t="n"/>
      <c r="JV46" s="18" t="n"/>
      <c r="JW46" s="18" t="n"/>
      <c r="JX46" s="18" t="n"/>
      <c r="JY46" s="18" t="n"/>
      <c r="JZ46" s="18" t="n"/>
      <c r="KA46" s="18" t="n"/>
      <c r="KB46" s="18" t="n"/>
      <c r="KC46" s="18" t="n"/>
      <c r="KD46" s="18" t="n"/>
      <c r="KE46" s="18" t="n"/>
      <c r="KF46" s="18" t="n"/>
      <c r="KG46" s="18" t="n"/>
      <c r="KH46" s="18" t="n"/>
      <c r="KI46" s="18" t="n"/>
      <c r="KJ46" s="18" t="n"/>
      <c r="KK46" s="18" t="n"/>
      <c r="KL46" s="18" t="n"/>
      <c r="KM46" s="18" t="n"/>
      <c r="KN46" s="18" t="n"/>
      <c r="KO46" s="18" t="n"/>
      <c r="KP46" s="18" t="n"/>
      <c r="KQ46" s="18" t="n"/>
      <c r="KR46" s="18" t="n"/>
      <c r="KS46" s="18" t="n"/>
      <c r="KT46" s="18" t="n"/>
      <c r="KU46" s="18" t="n"/>
      <c r="KV46" s="18" t="n"/>
      <c r="KW46" s="18" t="n"/>
      <c r="KX46" s="18" t="n"/>
      <c r="KY46" s="18" t="n"/>
      <c r="KZ46" s="18" t="n"/>
      <c r="LA46" s="18" t="n"/>
      <c r="LB46" s="18" t="n"/>
      <c r="LC46" s="18" t="n"/>
      <c r="LD46" s="18" t="n"/>
      <c r="LE46" s="18" t="n"/>
      <c r="LF46" s="18" t="n"/>
      <c r="LG46" s="18" t="n"/>
      <c r="LH46" s="18" t="n"/>
      <c r="LI46" s="18" t="n"/>
      <c r="LJ46" s="18" t="n"/>
      <c r="LK46" s="18" t="n"/>
      <c r="LL46" s="18" t="n"/>
      <c r="LM46" s="18" t="n"/>
      <c r="LN46" s="18" t="n"/>
      <c r="LO46" s="18" t="n"/>
      <c r="LP46" s="18" t="n"/>
      <c r="LQ46" s="18" t="n"/>
      <c r="LR46" s="18" t="n"/>
      <c r="LS46" s="18" t="n"/>
      <c r="LT46" s="18" t="n"/>
      <c r="LU46" s="18" t="n"/>
      <c r="LV46" s="18" t="n"/>
      <c r="LW46" s="18" t="n"/>
      <c r="LX46" s="18" t="n"/>
      <c r="LY46" s="18" t="n"/>
      <c r="LZ46" s="18" t="n"/>
      <c r="MA46" s="18" t="n"/>
      <c r="MB46" s="18" t="n"/>
      <c r="MC46" s="18" t="n"/>
      <c r="MD46" s="18" t="n"/>
      <c r="ME46" s="18" t="n"/>
      <c r="MF46" s="18" t="n"/>
      <c r="MG46" s="18" t="n"/>
      <c r="MH46" s="18" t="n"/>
      <c r="MI46" s="18" t="n"/>
    </row>
    <row r="47" ht="17.4" customHeight="1" s="88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  <c r="DY47" s="18" t="n"/>
      <c r="DZ47" s="18" t="n"/>
      <c r="EA47" s="18" t="n"/>
      <c r="EB47" s="18" t="n"/>
      <c r="EC47" s="18" t="n"/>
      <c r="ED47" s="18" t="n"/>
      <c r="EE47" s="18" t="n"/>
      <c r="EF47" s="18" t="n"/>
      <c r="EG47" s="18" t="n"/>
      <c r="EH47" s="18" t="n"/>
      <c r="EI47" s="18" t="n"/>
      <c r="EJ47" s="18" t="n"/>
      <c r="EK47" s="18" t="n"/>
      <c r="EL47" s="18" t="n"/>
      <c r="EM47" s="18" t="n"/>
      <c r="EN47" s="18" t="n"/>
      <c r="EO47" s="18" t="n"/>
      <c r="EP47" s="18" t="n"/>
      <c r="EQ47" s="18" t="n"/>
      <c r="ER47" s="18" t="n"/>
      <c r="ES47" s="18" t="n"/>
      <c r="ET47" s="18" t="n"/>
      <c r="EU47" s="18" t="n"/>
      <c r="EV47" s="18" t="n"/>
      <c r="EW47" s="18" t="n"/>
      <c r="EX47" s="18" t="n"/>
      <c r="EY47" s="18" t="n"/>
      <c r="EZ47" s="18" t="n"/>
      <c r="FA47" s="18" t="n"/>
      <c r="FB47" s="18" t="n"/>
      <c r="FC47" s="18" t="n"/>
      <c r="FD47" s="18" t="n"/>
      <c r="FE47" s="18" t="n"/>
      <c r="FF47" s="18" t="n"/>
      <c r="FG47" s="18" t="n"/>
      <c r="FH47" s="18" t="n"/>
      <c r="FI47" s="18" t="n"/>
      <c r="FJ47" s="18" t="n"/>
      <c r="FK47" s="18" t="n"/>
      <c r="FL47" s="18" t="n"/>
      <c r="FM47" s="18" t="n"/>
      <c r="FN47" s="18" t="n"/>
      <c r="FO47" s="18" t="n"/>
      <c r="FP47" s="18" t="n"/>
      <c r="FQ47" s="18" t="n"/>
      <c r="FR47" s="18" t="n"/>
      <c r="FS47" s="18" t="n"/>
      <c r="FT47" s="18" t="n"/>
      <c r="FU47" s="18" t="n"/>
      <c r="FV47" s="18" t="n"/>
      <c r="FW47" s="18" t="n"/>
      <c r="FX47" s="18" t="n"/>
      <c r="FY47" s="18" t="n"/>
      <c r="FZ47" s="18" t="n"/>
      <c r="GA47" s="18" t="n"/>
      <c r="GB47" s="18" t="n"/>
      <c r="GC47" s="18" t="n"/>
      <c r="GD47" s="18" t="n"/>
      <c r="GE47" s="18" t="n"/>
      <c r="GF47" s="18" t="n"/>
      <c r="GG47" s="18" t="n"/>
      <c r="GH47" s="18" t="n"/>
      <c r="GI47" s="18" t="n"/>
      <c r="GJ47" s="18" t="n"/>
      <c r="GK47" s="18" t="n"/>
      <c r="GL47" s="18" t="n"/>
      <c r="GM47" s="18" t="n"/>
      <c r="GN47" s="18" t="n"/>
      <c r="GO47" s="18" t="n"/>
      <c r="GP47" s="18" t="n"/>
      <c r="GQ47" s="18" t="n"/>
      <c r="GR47" s="18" t="n"/>
      <c r="GS47" s="18" t="n"/>
      <c r="GT47" s="18" t="n"/>
      <c r="GU47" s="18" t="n"/>
      <c r="GV47" s="18" t="n"/>
      <c r="GW47" s="18" t="n"/>
      <c r="GX47" s="18" t="n"/>
      <c r="GY47" s="18" t="n"/>
      <c r="GZ47" s="18" t="n"/>
      <c r="HA47" s="18" t="n"/>
      <c r="HB47" s="18" t="n"/>
      <c r="HC47" s="18" t="n"/>
      <c r="HD47" s="18" t="n"/>
      <c r="HE47" s="18" t="n"/>
      <c r="HF47" s="18" t="n"/>
      <c r="HG47" s="18" t="n"/>
      <c r="HH47" s="18" t="n"/>
      <c r="HI47" s="18" t="n"/>
      <c r="HJ47" s="18" t="n"/>
      <c r="HK47" s="18" t="n"/>
      <c r="HL47" s="18" t="n"/>
      <c r="HM47" s="18" t="n"/>
      <c r="HN47" s="18" t="n"/>
      <c r="HO47" s="18" t="n"/>
      <c r="HP47" s="18" t="n"/>
      <c r="HQ47" s="18" t="n"/>
      <c r="HR47" s="18" t="n"/>
      <c r="HS47" s="18" t="n"/>
      <c r="HT47" s="18" t="n"/>
      <c r="HU47" s="18" t="n"/>
      <c r="HV47" s="18" t="n"/>
      <c r="HW47" s="18" t="n"/>
      <c r="HX47" s="18" t="n"/>
      <c r="HY47" s="18" t="n"/>
      <c r="HZ47" s="18" t="n"/>
      <c r="IA47" s="18" t="n"/>
      <c r="IB47" s="18" t="n"/>
      <c r="IC47" s="18" t="n"/>
      <c r="ID47" s="18" t="n"/>
      <c r="IE47" s="18" t="n"/>
      <c r="IF47" s="18" t="n"/>
      <c r="IG47" s="18" t="n"/>
      <c r="IH47" s="18" t="n"/>
      <c r="II47" s="18" t="n"/>
      <c r="IJ47" s="18" t="n"/>
      <c r="IK47" s="18" t="n"/>
      <c r="IL47" s="18" t="n"/>
      <c r="IM47" s="18" t="n"/>
      <c r="IN47" s="18" t="n"/>
      <c r="IO47" s="18" t="n"/>
      <c r="IP47" s="18" t="n"/>
      <c r="IQ47" s="18" t="n"/>
      <c r="IR47" s="18" t="n"/>
      <c r="IS47" s="18" t="n"/>
      <c r="IT47" s="18" t="n"/>
      <c r="IU47" s="18" t="n"/>
      <c r="IV47" s="18" t="n"/>
      <c r="IW47" s="18" t="n"/>
      <c r="IX47" s="18" t="n"/>
      <c r="IY47" s="18" t="n"/>
      <c r="IZ47" s="18" t="n"/>
      <c r="JA47" s="18" t="n"/>
      <c r="JB47" s="18" t="n"/>
      <c r="JC47" s="18" t="n"/>
      <c r="JD47" s="18" t="n"/>
      <c r="JE47" s="18" t="n"/>
      <c r="JF47" s="18" t="n"/>
      <c r="JG47" s="18" t="n"/>
      <c r="JH47" s="18" t="n"/>
      <c r="JI47" s="18" t="n"/>
      <c r="JJ47" s="18" t="n"/>
      <c r="JK47" s="18" t="n"/>
      <c r="JL47" s="18" t="n"/>
      <c r="JM47" s="18" t="n"/>
      <c r="JN47" s="18" t="n"/>
      <c r="JO47" s="18" t="n"/>
      <c r="JP47" s="18" t="n"/>
      <c r="JQ47" s="18" t="n"/>
      <c r="JR47" s="18" t="n"/>
      <c r="JS47" s="18" t="n"/>
      <c r="JT47" s="18" t="n"/>
      <c r="JU47" s="18" t="n"/>
      <c r="JV47" s="18" t="n"/>
      <c r="JW47" s="18" t="n"/>
      <c r="JX47" s="18" t="n"/>
      <c r="JY47" s="18" t="n"/>
      <c r="JZ47" s="18" t="n"/>
      <c r="KA47" s="18" t="n"/>
      <c r="KB47" s="18" t="n"/>
      <c r="KC47" s="18" t="n"/>
      <c r="KD47" s="18" t="n"/>
      <c r="KE47" s="18" t="n"/>
      <c r="KF47" s="18" t="n"/>
      <c r="KG47" s="18" t="n"/>
      <c r="KH47" s="18" t="n"/>
      <c r="KI47" s="18" t="n"/>
      <c r="KJ47" s="18" t="n"/>
      <c r="KK47" s="18" t="n"/>
      <c r="KL47" s="18" t="n"/>
      <c r="KM47" s="18" t="n"/>
      <c r="KN47" s="18" t="n"/>
      <c r="KO47" s="18" t="n"/>
      <c r="KP47" s="18" t="n"/>
      <c r="KQ47" s="18" t="n"/>
      <c r="KR47" s="18" t="n"/>
      <c r="KS47" s="18" t="n"/>
      <c r="KT47" s="18" t="n"/>
      <c r="KU47" s="18" t="n"/>
      <c r="KV47" s="18" t="n"/>
      <c r="KW47" s="18" t="n"/>
      <c r="KX47" s="18" t="n"/>
      <c r="KY47" s="18" t="n"/>
      <c r="KZ47" s="18" t="n"/>
      <c r="LA47" s="18" t="n"/>
      <c r="LB47" s="18" t="n"/>
      <c r="LC47" s="18" t="n"/>
      <c r="LD47" s="18" t="n"/>
      <c r="LE47" s="18" t="n"/>
      <c r="LF47" s="18" t="n"/>
      <c r="LG47" s="18" t="n"/>
      <c r="LH47" s="18" t="n"/>
      <c r="LI47" s="18" t="n"/>
      <c r="LJ47" s="18" t="n"/>
      <c r="LK47" s="18" t="n"/>
      <c r="LL47" s="18" t="n"/>
      <c r="LM47" s="18" t="n"/>
      <c r="LN47" s="18" t="n"/>
      <c r="LO47" s="18" t="n"/>
      <c r="LP47" s="18" t="n"/>
      <c r="LQ47" s="18" t="n"/>
      <c r="LR47" s="18" t="n"/>
      <c r="LS47" s="18" t="n"/>
      <c r="LT47" s="18" t="n"/>
      <c r="LU47" s="18" t="n"/>
      <c r="LV47" s="18" t="n"/>
      <c r="LW47" s="18" t="n"/>
      <c r="LX47" s="18" t="n"/>
      <c r="LY47" s="18" t="n"/>
      <c r="LZ47" s="18" t="n"/>
      <c r="MA47" s="18" t="n"/>
      <c r="MB47" s="18" t="n"/>
      <c r="MC47" s="18" t="n"/>
      <c r="MD47" s="18" t="n"/>
      <c r="ME47" s="18" t="n"/>
      <c r="MF47" s="18" t="n"/>
      <c r="MG47" s="18" t="n"/>
      <c r="MH47" s="18" t="n"/>
      <c r="MI47" s="18" t="n"/>
      <c r="MJ47" s="18" t="n"/>
      <c r="MK47" s="18" t="n"/>
      <c r="ML47" s="18" t="n"/>
      <c r="MM47" s="18" t="n"/>
    </row>
    <row r="48" ht="17.4" customHeight="1" s="8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  <c r="DY48" s="18" t="n"/>
      <c r="DZ48" s="18" t="n"/>
      <c r="EA48" s="18" t="n"/>
      <c r="EB48" s="18" t="n"/>
      <c r="EC48" s="18" t="n"/>
      <c r="ED48" s="18" t="n"/>
      <c r="EE48" s="18" t="n"/>
      <c r="EF48" s="18" t="n"/>
      <c r="EG48" s="18" t="n"/>
      <c r="EH48" s="18" t="n"/>
      <c r="EI48" s="18" t="n"/>
      <c r="EJ48" s="18" t="n"/>
      <c r="EK48" s="18" t="n"/>
      <c r="EL48" s="18" t="n"/>
      <c r="EM48" s="18" t="n"/>
      <c r="EN48" s="18" t="n"/>
      <c r="EO48" s="18" t="n"/>
      <c r="EP48" s="18" t="n"/>
      <c r="EQ48" s="18" t="n"/>
      <c r="ER48" s="18" t="n"/>
      <c r="ES48" s="18" t="n"/>
      <c r="ET48" s="18" t="n"/>
      <c r="EU48" s="18" t="n"/>
      <c r="EV48" s="18" t="n"/>
      <c r="EW48" s="18" t="n"/>
      <c r="EX48" s="18" t="n"/>
      <c r="EY48" s="18" t="n"/>
      <c r="EZ48" s="18" t="n"/>
      <c r="FA48" s="18" t="n"/>
      <c r="FB48" s="18" t="n"/>
      <c r="FC48" s="18" t="n"/>
      <c r="FD48" s="18" t="n"/>
      <c r="FE48" s="18" t="n"/>
      <c r="FF48" s="18" t="n"/>
      <c r="FG48" s="18" t="n"/>
      <c r="FH48" s="18" t="n"/>
      <c r="FI48" s="18" t="n"/>
      <c r="FJ48" s="18" t="n"/>
      <c r="FK48" s="18" t="n"/>
      <c r="FL48" s="18" t="n"/>
      <c r="FM48" s="18" t="n"/>
      <c r="FN48" s="18" t="n"/>
      <c r="FO48" s="18" t="n"/>
      <c r="FP48" s="18" t="n"/>
      <c r="FQ48" s="18" t="n"/>
      <c r="FR48" s="18" t="n"/>
      <c r="FS48" s="18" t="n"/>
      <c r="FT48" s="18" t="n"/>
      <c r="FU48" s="18" t="n"/>
      <c r="FV48" s="18" t="n"/>
      <c r="FW48" s="18" t="n"/>
      <c r="FX48" s="18" t="n"/>
      <c r="FY48" s="18" t="n"/>
      <c r="FZ48" s="18" t="n"/>
      <c r="GA48" s="18" t="n"/>
      <c r="GB48" s="18" t="n"/>
      <c r="GC48" s="18" t="n"/>
      <c r="GD48" s="18" t="n"/>
      <c r="GE48" s="18" t="n"/>
      <c r="GF48" s="18" t="n"/>
      <c r="GG48" s="18" t="n"/>
      <c r="GH48" s="18" t="n"/>
      <c r="GI48" s="18" t="n"/>
      <c r="GJ48" s="18" t="n"/>
      <c r="GK48" s="18" t="n"/>
      <c r="GL48" s="18" t="n"/>
      <c r="GM48" s="18" t="n"/>
      <c r="GN48" s="18" t="n"/>
      <c r="GO48" s="18" t="n"/>
      <c r="GP48" s="18" t="n"/>
      <c r="GQ48" s="18" t="n"/>
      <c r="GR48" s="18" t="n"/>
      <c r="GS48" s="18" t="n"/>
      <c r="GT48" s="18" t="n"/>
      <c r="GU48" s="18" t="n"/>
      <c r="GV48" s="18" t="n"/>
      <c r="GW48" s="18" t="n"/>
      <c r="GX48" s="18" t="n"/>
      <c r="GY48" s="18" t="n"/>
      <c r="GZ48" s="18" t="n"/>
      <c r="HA48" s="18" t="n"/>
      <c r="HB48" s="18" t="n"/>
      <c r="HC48" s="18" t="n"/>
      <c r="HD48" s="18" t="n"/>
      <c r="HE48" s="18" t="n"/>
      <c r="HF48" s="18" t="n"/>
      <c r="HG48" s="18" t="n"/>
      <c r="HH48" s="18" t="n"/>
      <c r="HI48" s="18" t="n"/>
      <c r="HJ48" s="18" t="n"/>
      <c r="HK48" s="18" t="n"/>
      <c r="HL48" s="18" t="n"/>
      <c r="HM48" s="18" t="n"/>
      <c r="HN48" s="18" t="n"/>
      <c r="HO48" s="18" t="n"/>
      <c r="HP48" s="18" t="n"/>
      <c r="HQ48" s="18" t="n"/>
      <c r="HR48" s="18" t="n"/>
      <c r="HS48" s="18" t="n"/>
      <c r="HT48" s="18" t="n"/>
      <c r="HU48" s="18" t="n"/>
      <c r="HV48" s="18" t="n"/>
      <c r="HW48" s="18" t="n"/>
      <c r="HX48" s="18" t="n"/>
      <c r="HY48" s="18" t="n"/>
      <c r="HZ48" s="18" t="n"/>
      <c r="IA48" s="18" t="n"/>
      <c r="IB48" s="18" t="n"/>
      <c r="IC48" s="18" t="n"/>
      <c r="ID48" s="18" t="n"/>
      <c r="IE48" s="18" t="n"/>
      <c r="IF48" s="18" t="n"/>
      <c r="IG48" s="18" t="n"/>
      <c r="IH48" s="18" t="n"/>
      <c r="II48" s="18" t="n"/>
      <c r="IJ48" s="18" t="n"/>
      <c r="IK48" s="18" t="n"/>
      <c r="IL48" s="18" t="n"/>
      <c r="IM48" s="18" t="n"/>
      <c r="IN48" s="18" t="n"/>
      <c r="IO48" s="18" t="n"/>
      <c r="IP48" s="18" t="n"/>
      <c r="IQ48" s="18" t="n"/>
      <c r="IR48" s="18" t="n"/>
      <c r="IS48" s="18" t="n"/>
      <c r="IT48" s="18" t="n"/>
      <c r="IU48" s="18" t="n"/>
      <c r="IV48" s="18" t="n"/>
      <c r="IW48" s="18" t="n"/>
      <c r="IX48" s="18" t="n"/>
      <c r="IY48" s="18" t="n"/>
      <c r="IZ48" s="18" t="n"/>
      <c r="JA48" s="18" t="n"/>
      <c r="JB48" s="18" t="n"/>
      <c r="JC48" s="18" t="n"/>
      <c r="JD48" s="18" t="n"/>
      <c r="JE48" s="18" t="n"/>
      <c r="JF48" s="18" t="n"/>
      <c r="JG48" s="18" t="n"/>
      <c r="JH48" s="18" t="n"/>
      <c r="JI48" s="18" t="n"/>
      <c r="JJ48" s="18" t="n"/>
      <c r="JK48" s="18" t="n"/>
      <c r="JL48" s="18" t="n"/>
      <c r="JM48" s="18" t="n"/>
      <c r="JN48" s="18" t="n"/>
      <c r="JO48" s="18" t="n"/>
      <c r="JP48" s="18" t="n"/>
      <c r="JQ48" s="18" t="n"/>
      <c r="JR48" s="18" t="n"/>
      <c r="JS48" s="18" t="n"/>
      <c r="JT48" s="18" t="n"/>
      <c r="JU48" s="18" t="n"/>
      <c r="JV48" s="18" t="n"/>
      <c r="JW48" s="18" t="n"/>
      <c r="JX48" s="18" t="n"/>
      <c r="JY48" s="18" t="n"/>
      <c r="JZ48" s="18" t="n"/>
      <c r="KA48" s="18" t="n"/>
      <c r="KB48" s="18" t="n"/>
      <c r="KC48" s="18" t="n"/>
      <c r="KD48" s="18" t="n"/>
      <c r="KE48" s="18" t="n"/>
      <c r="KF48" s="18" t="n"/>
      <c r="KG48" s="18" t="n"/>
      <c r="KH48" s="18" t="n"/>
      <c r="KI48" s="18" t="n"/>
      <c r="KJ48" s="18" t="n"/>
      <c r="KK48" s="18" t="n"/>
      <c r="KL48" s="18" t="n"/>
      <c r="KM48" s="18" t="n"/>
      <c r="KN48" s="18" t="n"/>
      <c r="KO48" s="18" t="n"/>
      <c r="KP48" s="18" t="n"/>
      <c r="KQ48" s="18" t="n"/>
      <c r="KR48" s="18" t="n"/>
      <c r="KS48" s="18" t="n"/>
      <c r="KT48" s="18" t="n"/>
      <c r="KU48" s="18" t="n"/>
      <c r="KV48" s="18" t="n"/>
      <c r="KW48" s="18" t="n"/>
      <c r="KX48" s="18" t="n"/>
      <c r="KY48" s="18" t="n"/>
      <c r="KZ48" s="18" t="n"/>
      <c r="LA48" s="18" t="n"/>
      <c r="LB48" s="18" t="n"/>
      <c r="LC48" s="18" t="n"/>
      <c r="LD48" s="18" t="n"/>
      <c r="LE48" s="18" t="n"/>
      <c r="LF48" s="18" t="n"/>
      <c r="LG48" s="18" t="n"/>
      <c r="LH48" s="18" t="n"/>
      <c r="LI48" s="18" t="n"/>
      <c r="LJ48" s="18" t="n"/>
      <c r="LK48" s="18" t="n"/>
      <c r="LL48" s="18" t="n"/>
      <c r="LM48" s="18" t="n"/>
      <c r="LN48" s="18" t="n"/>
      <c r="LO48" s="18" t="n"/>
      <c r="LP48" s="18" t="n"/>
      <c r="LQ48" s="18" t="n"/>
      <c r="LR48" s="18" t="n"/>
      <c r="LS48" s="18" t="n"/>
      <c r="LT48" s="18" t="n"/>
      <c r="LU48" s="18" t="n"/>
      <c r="LV48" s="18" t="n"/>
      <c r="LW48" s="18" t="n"/>
      <c r="LX48" s="18" t="n"/>
      <c r="LY48" s="18" t="n"/>
      <c r="LZ48" s="18" t="n"/>
      <c r="MA48" s="18" t="n"/>
      <c r="MB48" s="18" t="n"/>
      <c r="MC48" s="18" t="n"/>
      <c r="MD48" s="18" t="n"/>
      <c r="ME48" s="18" t="n"/>
      <c r="MF48" s="18" t="n"/>
      <c r="MG48" s="18" t="n"/>
      <c r="MH48" s="18" t="n"/>
      <c r="MI48" s="18" t="n"/>
      <c r="MJ48" s="18" t="n"/>
      <c r="MK48" s="18" t="n"/>
      <c r="ML48" s="18" t="n"/>
      <c r="MM48" s="18" t="n"/>
      <c r="MN48" s="18" t="n"/>
      <c r="MO48" s="18" t="n"/>
      <c r="MP48" s="18" t="n"/>
      <c r="MQ48" s="18" t="n"/>
    </row>
    <row r="49" ht="17.4" customHeight="1" s="88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  <c r="DY49" s="18" t="n"/>
      <c r="DZ49" s="18" t="n"/>
      <c r="EA49" s="18" t="n"/>
      <c r="EB49" s="18" t="n"/>
      <c r="EC49" s="18" t="n"/>
      <c r="ED49" s="18" t="n"/>
      <c r="EE49" s="18" t="n"/>
      <c r="EF49" s="18" t="n"/>
      <c r="EG49" s="18" t="n"/>
      <c r="EH49" s="18" t="n"/>
      <c r="EI49" s="18" t="n"/>
      <c r="EJ49" s="18" t="n"/>
      <c r="EK49" s="18" t="n"/>
      <c r="EL49" s="18" t="n"/>
      <c r="EM49" s="18" t="n"/>
      <c r="EN49" s="18" t="n"/>
      <c r="EO49" s="18" t="n"/>
      <c r="EP49" s="18" t="n"/>
      <c r="EQ49" s="18" t="n"/>
      <c r="ER49" s="18" t="n"/>
      <c r="ES49" s="18" t="n"/>
      <c r="ET49" s="18" t="n"/>
      <c r="EU49" s="18" t="n"/>
      <c r="EV49" s="18" t="n"/>
      <c r="EW49" s="18" t="n"/>
      <c r="EX49" s="18" t="n"/>
      <c r="EY49" s="18" t="n"/>
      <c r="EZ49" s="18" t="n"/>
      <c r="FA49" s="18" t="n"/>
      <c r="FB49" s="18" t="n"/>
      <c r="FC49" s="18" t="n"/>
      <c r="FD49" s="18" t="n"/>
      <c r="FE49" s="18" t="n"/>
      <c r="FF49" s="18" t="n"/>
      <c r="FG49" s="18" t="n"/>
      <c r="FH49" s="18" t="n"/>
      <c r="FI49" s="18" t="n"/>
      <c r="FJ49" s="18" t="n"/>
      <c r="FK49" s="18" t="n"/>
      <c r="FL49" s="18" t="n"/>
      <c r="FM49" s="18" t="n"/>
      <c r="FN49" s="18" t="n"/>
      <c r="FO49" s="18" t="n"/>
      <c r="FP49" s="18" t="n"/>
      <c r="FQ49" s="18" t="n"/>
      <c r="FR49" s="18" t="n"/>
      <c r="FS49" s="18" t="n"/>
      <c r="FT49" s="18" t="n"/>
      <c r="FU49" s="18" t="n"/>
      <c r="FV49" s="18" t="n"/>
      <c r="FW49" s="18" t="n"/>
      <c r="FX49" s="18" t="n"/>
      <c r="FY49" s="18" t="n"/>
      <c r="FZ49" s="18" t="n"/>
      <c r="GA49" s="18" t="n"/>
      <c r="GB49" s="18" t="n"/>
      <c r="GC49" s="18" t="n"/>
      <c r="GD49" s="18" t="n"/>
      <c r="GE49" s="18" t="n"/>
      <c r="GF49" s="18" t="n"/>
      <c r="GG49" s="18" t="n"/>
      <c r="GH49" s="18" t="n"/>
      <c r="GI49" s="18" t="n"/>
      <c r="GJ49" s="18" t="n"/>
      <c r="GK49" s="18" t="n"/>
      <c r="GL49" s="18" t="n"/>
      <c r="GM49" s="18" t="n"/>
      <c r="GN49" s="18" t="n"/>
      <c r="GO49" s="18" t="n"/>
      <c r="GP49" s="18" t="n"/>
      <c r="GQ49" s="18" t="n"/>
      <c r="GR49" s="18" t="n"/>
      <c r="GS49" s="18" t="n"/>
      <c r="GT49" s="18" t="n"/>
      <c r="GU49" s="18" t="n"/>
      <c r="GV49" s="18" t="n"/>
      <c r="GW49" s="18" t="n"/>
      <c r="GX49" s="18" t="n"/>
      <c r="GY49" s="18" t="n"/>
      <c r="GZ49" s="18" t="n"/>
      <c r="HA49" s="18" t="n"/>
      <c r="HB49" s="18" t="n"/>
      <c r="HC49" s="18" t="n"/>
      <c r="HD49" s="18" t="n"/>
      <c r="HE49" s="18" t="n"/>
      <c r="HF49" s="18" t="n"/>
      <c r="HG49" s="18" t="n"/>
      <c r="HH49" s="18" t="n"/>
      <c r="HI49" s="18" t="n"/>
      <c r="HJ49" s="18" t="n"/>
      <c r="HK49" s="18" t="n"/>
      <c r="HL49" s="18" t="n"/>
      <c r="HM49" s="18" t="n"/>
      <c r="HN49" s="18" t="n"/>
      <c r="HO49" s="18" t="n"/>
      <c r="HP49" s="18" t="n"/>
      <c r="HQ49" s="18" t="n"/>
      <c r="HR49" s="18" t="n"/>
      <c r="HS49" s="18" t="n"/>
      <c r="HT49" s="18" t="n"/>
      <c r="HU49" s="18" t="n"/>
      <c r="HV49" s="18" t="n"/>
      <c r="HW49" s="18" t="n"/>
      <c r="HX49" s="18" t="n"/>
      <c r="HY49" s="18" t="n"/>
      <c r="HZ49" s="18" t="n"/>
      <c r="IA49" s="18" t="n"/>
      <c r="IB49" s="18" t="n"/>
      <c r="IC49" s="18" t="n"/>
      <c r="ID49" s="18" t="n"/>
      <c r="IE49" s="18" t="n"/>
      <c r="IF49" s="18" t="n"/>
      <c r="IG49" s="18" t="n"/>
      <c r="IH49" s="18" t="n"/>
      <c r="II49" s="18" t="n"/>
      <c r="IJ49" s="18" t="n"/>
      <c r="IK49" s="18" t="n"/>
      <c r="IL49" s="18" t="n"/>
      <c r="IM49" s="18" t="n"/>
      <c r="IN49" s="18" t="n"/>
      <c r="IO49" s="18" t="n"/>
      <c r="IP49" s="18" t="n"/>
      <c r="IQ49" s="18" t="n"/>
      <c r="IR49" s="18" t="n"/>
      <c r="IS49" s="18" t="n"/>
      <c r="IT49" s="18" t="n"/>
      <c r="IU49" s="18" t="n"/>
      <c r="IV49" s="18" t="n"/>
      <c r="IW49" s="18" t="n"/>
      <c r="IX49" s="18" t="n"/>
      <c r="IY49" s="18" t="n"/>
      <c r="IZ49" s="18" t="n"/>
      <c r="JA49" s="18" t="n"/>
      <c r="JB49" s="18" t="n"/>
      <c r="JC49" s="18" t="n"/>
      <c r="JD49" s="18" t="n"/>
      <c r="JE49" s="18" t="n"/>
      <c r="JF49" s="18" t="n"/>
      <c r="JG49" s="18" t="n"/>
      <c r="JH49" s="18" t="n"/>
      <c r="JI49" s="18" t="n"/>
      <c r="JJ49" s="18" t="n"/>
      <c r="JK49" s="18" t="n"/>
      <c r="JL49" s="18" t="n"/>
      <c r="JM49" s="18" t="n"/>
      <c r="JN49" s="18" t="n"/>
      <c r="JO49" s="18" t="n"/>
      <c r="JP49" s="18" t="n"/>
      <c r="JQ49" s="18" t="n"/>
      <c r="JR49" s="18" t="n"/>
      <c r="JS49" s="18" t="n"/>
      <c r="JT49" s="18" t="n"/>
      <c r="JU49" s="18" t="n"/>
      <c r="JV49" s="18" t="n"/>
      <c r="JW49" s="18" t="n"/>
      <c r="JX49" s="18" t="n"/>
      <c r="JY49" s="18" t="n"/>
      <c r="JZ49" s="18" t="n"/>
      <c r="KA49" s="18" t="n"/>
      <c r="KB49" s="18" t="n"/>
      <c r="KC49" s="18" t="n"/>
      <c r="KD49" s="18" t="n"/>
      <c r="KE49" s="18" t="n"/>
      <c r="KF49" s="18" t="n"/>
      <c r="KG49" s="18" t="n"/>
      <c r="KH49" s="18" t="n"/>
      <c r="KI49" s="18" t="n"/>
      <c r="KJ49" s="18" t="n"/>
      <c r="KK49" s="18" t="n"/>
      <c r="KL49" s="18" t="n"/>
      <c r="KM49" s="18" t="n"/>
      <c r="KN49" s="18" t="n"/>
      <c r="KO49" s="18" t="n"/>
      <c r="KP49" s="18" t="n"/>
      <c r="KQ49" s="18" t="n"/>
      <c r="KR49" s="18" t="n"/>
      <c r="KS49" s="18" t="n"/>
      <c r="KT49" s="18" t="n"/>
      <c r="KU49" s="18" t="n"/>
      <c r="KV49" s="18" t="n"/>
      <c r="KW49" s="18" t="n"/>
      <c r="KX49" s="18" t="n"/>
      <c r="KY49" s="18" t="n"/>
      <c r="KZ49" s="18" t="n"/>
      <c r="LA49" s="18" t="n"/>
      <c r="LB49" s="18" t="n"/>
      <c r="LC49" s="18" t="n"/>
      <c r="LD49" s="18" t="n"/>
      <c r="LE49" s="18" t="n"/>
      <c r="LF49" s="18" t="n"/>
      <c r="LG49" s="18" t="n"/>
      <c r="LH49" s="18" t="n"/>
      <c r="LI49" s="18" t="n"/>
      <c r="LJ49" s="18" t="n"/>
      <c r="LK49" s="18" t="n"/>
      <c r="LL49" s="18" t="n"/>
      <c r="LM49" s="18" t="n"/>
      <c r="LN49" s="18" t="n"/>
      <c r="LO49" s="18" t="n"/>
      <c r="LP49" s="18" t="n"/>
      <c r="LQ49" s="18" t="n"/>
      <c r="LR49" s="18" t="n"/>
      <c r="LS49" s="18" t="n"/>
      <c r="LT49" s="18" t="n"/>
      <c r="LU49" s="18" t="n"/>
      <c r="LV49" s="18" t="n"/>
      <c r="LW49" s="18" t="n"/>
      <c r="LX49" s="18" t="n"/>
      <c r="LY49" s="18" t="n"/>
      <c r="LZ49" s="18" t="n"/>
      <c r="MA49" s="18" t="n"/>
      <c r="MB49" s="18" t="n"/>
      <c r="MC49" s="18" t="n"/>
      <c r="MD49" s="18" t="n"/>
      <c r="ME49" s="18" t="n"/>
      <c r="MF49" s="18" t="n"/>
      <c r="MG49" s="18" t="n"/>
      <c r="MH49" s="18" t="n"/>
      <c r="MI49" s="18" t="n"/>
      <c r="MJ49" s="18" t="n"/>
      <c r="MK49" s="18" t="n"/>
      <c r="ML49" s="18" t="n"/>
      <c r="MM49" s="18" t="n"/>
      <c r="MN49" s="18" t="n"/>
      <c r="MO49" s="18" t="n"/>
      <c r="MP49" s="18" t="n"/>
      <c r="MQ49" s="18" t="n"/>
      <c r="MR49" s="18" t="n"/>
      <c r="MS49" s="18" t="n"/>
      <c r="MT49" s="18" t="n"/>
      <c r="MU49" s="18" t="n"/>
    </row>
    <row r="50" ht="17.4" customHeight="1" s="88"/>
    <row r="51" ht="17.4" customHeight="1" s="88"/>
    <row r="52" ht="17.4" customHeight="1" s="88"/>
    <row r="53" ht="17.4" customHeight="1" s="88"/>
  </sheetData>
  <printOptions horizontalCentered="1"/>
  <pageMargins left="0.7480314960629921" right="0.7480314960629921" top="0.984251968503937" bottom="0.984251968503937" header="0.5118110236220472" footer="0.5118110236220472"/>
  <pageSetup orientation="landscape" paperSize="8" scale="34" verticalDpi="0"/>
</worksheet>
</file>

<file path=xl/worksheets/sheet6.xml><?xml version="1.0" encoding="utf-8"?>
<worksheet xmlns="http://schemas.openxmlformats.org/spreadsheetml/2006/main">
  <sheetPr codeName="Sheet5">
    <tabColor rgb="FFFFFF00"/>
    <outlinePr summaryBelow="1" summaryRight="1"/>
    <pageSetUpPr/>
  </sheetPr>
  <dimension ref="A1:LK53"/>
  <sheetViews>
    <sheetView view="pageBreakPreview" topLeftCell="B1" zoomScale="70" zoomScaleNormal="55" zoomScaleSheetLayoutView="70" workbookViewId="0">
      <pane xSplit="4" ySplit="1" topLeftCell="N17" activePane="bottomRight" state="frozen"/>
      <selection pane="topRight" activeCell="C1" sqref="C1"/>
      <selection pane="bottomLeft" activeCell="B2" sqref="B2"/>
      <selection pane="bottomRight" activeCell="Q15" sqref="Q15"/>
    </sheetView>
  </sheetViews>
  <sheetFormatPr baseColWidth="8" defaultColWidth="11.8984375" defaultRowHeight="19.2"/>
  <cols>
    <col width="10" customWidth="1" style="10" min="1" max="1"/>
    <col width="10" customWidth="1" style="88" min="2" max="2"/>
    <col width="18" customWidth="1" style="88" min="3" max="3"/>
    <col width="12" customWidth="1" style="6" min="4" max="4"/>
    <col width="10" customWidth="1" style="6" min="5" max="5"/>
    <col width="10" customWidth="1" style="88" min="6" max="6"/>
    <col width="30" customWidth="1" style="11" min="7" max="7"/>
    <col width="14" customWidth="1" style="6" min="8" max="9"/>
    <col width="38" customWidth="1" style="10" min="10" max="10"/>
    <col width="54" customWidth="1" style="6" min="11" max="11"/>
    <col width="30" customWidth="1" style="6" min="12" max="12"/>
    <col width="36" customWidth="1" style="10" min="13" max="13"/>
    <col width="24" customWidth="1" style="10" min="14" max="14"/>
    <col width="36" customWidth="1" style="10" min="15" max="15"/>
    <col width="24" customWidth="1" style="10" min="16" max="16"/>
    <col width="36" bestFit="1" customWidth="1" style="10" min="17" max="17"/>
    <col width="24" customWidth="1" style="15" min="18" max="18"/>
    <col width="16" customWidth="1" style="10" min="19" max="19"/>
  </cols>
  <sheetData>
    <row r="1" ht="28.05" customHeight="1" s="88">
      <c r="A1" s="16" t="inlineStr">
        <is>
          <t>L2 코드</t>
        </is>
      </c>
      <c r="B1" s="16" t="inlineStr">
        <is>
          <t>L3 코드</t>
        </is>
      </c>
      <c r="C1" s="16" t="inlineStr">
        <is>
          <t>L3 대공종명</t>
        </is>
      </c>
      <c r="D1" s="16" t="inlineStr">
        <is>
          <t>L4 코드</t>
        </is>
      </c>
      <c r="E1" s="16" t="inlineStr">
        <is>
          <t>선행</t>
        </is>
      </c>
      <c r="F1" s="16" t="inlineStr">
        <is>
          <t>후행</t>
        </is>
      </c>
      <c r="G1" s="16" t="inlineStr">
        <is>
          <t>작업단위 (Level 4 Task/Activity)</t>
        </is>
      </c>
      <c r="H1" s="16" t="inlineStr">
        <is>
          <t>일정 (D-Day)</t>
        </is>
      </c>
      <c r="I1" s="16" t="inlineStr">
        <is>
          <t>주관</t>
        </is>
      </c>
      <c r="J1" s="16" t="inlineStr">
        <is>
          <t>목적</t>
        </is>
      </c>
      <c r="K1" s="16" t="inlineStr">
        <is>
          <t>방법</t>
        </is>
      </c>
      <c r="L1" s="16" t="inlineStr">
        <is>
          <t>산출물(결과)</t>
        </is>
      </c>
      <c r="M1" s="16" t="inlineStr">
        <is>
          <t>표준서 (Standard) 요약</t>
        </is>
      </c>
      <c r="N1" s="16" t="inlineStr">
        <is>
          <t>표준서 파일 (HTML)</t>
        </is>
      </c>
      <c r="O1" s="16" t="inlineStr">
        <is>
          <t>수행지침 (Guideline) 요약</t>
        </is>
      </c>
      <c r="P1" s="16" t="inlineStr">
        <is>
          <t>수행지침 파일 (HTML)</t>
        </is>
      </c>
      <c r="Q1" s="16" t="inlineStr">
        <is>
          <t>체크리스트 (Checklist) 요약</t>
        </is>
      </c>
      <c r="R1" s="16" t="inlineStr">
        <is>
          <t>체크리스트 파일 (HTML)</t>
        </is>
      </c>
      <c r="S1" s="16" t="inlineStr">
        <is>
          <t>비고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</row>
    <row r="2" ht="52.05" customHeight="1" s="88">
      <c r="A2" s="19" t="inlineStr">
        <is>
          <t>9000</t>
        </is>
      </c>
      <c r="B2" s="19" t="inlineStr">
        <is>
          <t>9000-5</t>
        </is>
      </c>
      <c r="C2" s="19" t="inlineStr">
        <is>
          <t>콘크리트도상</t>
        </is>
      </c>
      <c r="D2" s="19" t="inlineStr">
        <is>
          <t>9000-5-1</t>
        </is>
      </c>
      <c r="E2" s="95" t="inlineStr">
        <is>
          <t>-</t>
        </is>
      </c>
      <c r="F2" s="95" t="inlineStr">
        <is>
          <t>9000-5-2, 9000-5-3, 9000-5-4</t>
        </is>
      </c>
      <c r="G2" s="23" t="inlineStr">
        <is>
          <t>설계적정성 검토</t>
        </is>
      </c>
      <c r="H2" s="21" t="inlineStr">
        <is>
          <t>D-120 (D-150~D-120)</t>
        </is>
      </c>
      <c r="I2" s="21" t="inlineStr">
        <is>
          <t>현장소장</t>
        </is>
      </c>
      <c r="J2" s="24" t="inlineStr">
        <is>
          <t>노반부/궤도부 선형 및 종단 일치 등 설계오류 및 누락 확인</t>
        </is>
      </c>
      <c r="K2" s="24" t="inlineStr">
        <is>
          <t>노반부/궤도부 선형 및 종단 도면 및 설계 자료 비교 검토 실시
- 궤도 부속자재(체결구, 침목 등) 소요비 비용 설계반영 확인
- 유사시공사례 Case Study
- 지원: 본사담당팀(설계/수행/품질/외주)</t>
        </is>
      </c>
      <c r="L2" s="24" t="inlineStr">
        <is>
          <t>설계도면 검토서, 선형대조표</t>
        </is>
      </c>
      <c r="M2" s="24" t="inlineStr">
        <is>
          <t>KDS 47 30 00 궤도 설계기준 및 국토교통부 트램 건설 규칙을 엄격히 준수한다. 노반부-궤도부 선형 및 종단 계획고 일치 오차 0mm 검토.</t>
        </is>
      </c>
      <c r="N2" s="69">
        <f>HYPERLINK(LEFT(CELL("filename",A1),FIND("[",CELL("filename",A1))-1)&amp;"5.콘크리트도상/1_설계적정성 검토/표준서/설계적정성 검토_표준서.html", "표준서 열기")</f>
        <v/>
      </c>
      <c r="O2" s="24" t="inlineStr">
        <is>
          <t>1) 하부 HBS 강화노반 지지력(K70 ≥ 150 MPa/m) 및 평탄성 사전 검측 확인
2) 궤도 정밀 검측: 궤간(1435mm), 캔트(±2mm), 수평(±2mm), 고저(±2mm/10m), 비틀림(1.5mm/3m) 실시간 검측</t>
        </is>
      </c>
      <c r="P2" s="70">
        <f>HYPERLINK(LEFT(CELL("filename",A1),FIND("[",CELL("filename",A1))-1)&amp;"5.콘크리트도상/1_설계적정성 검토/수행지침/설계적정성 검토_수행지침.html", "수행지침서 열기")</f>
        <v/>
      </c>
      <c r="Q2" s="24" t="inlineStr">
        <is>
          <t>설계 도면 간섭 검속, 궤도 중심선 계획 표고 대조, 종단 구배 한계치 준수 확인</t>
        </is>
      </c>
      <c r="R2" s="71">
        <f>HYPERLINK(LEFT(CELL("filename",A1),FIND("[",CELL("filename",A1))-1)&amp;"5.콘크리트도상/1_설계적정성 검토/체크리스트/설계적정성 검토_체크리스트.html", "체크리스트 열기")</f>
        <v/>
      </c>
      <c r="S2" s="21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</row>
    <row r="3" ht="52.05" customHeight="1" s="88">
      <c r="A3" s="29" t="inlineStr">
        <is>
          <t>9000</t>
        </is>
      </c>
      <c r="B3" s="29" t="inlineStr">
        <is>
          <t>9000-5</t>
        </is>
      </c>
      <c r="C3" s="29" t="inlineStr">
        <is>
          <t>콘크리트도상</t>
        </is>
      </c>
      <c r="D3" s="29" t="inlineStr">
        <is>
          <t>9000-5-2</t>
        </is>
      </c>
      <c r="E3" s="102" t="inlineStr">
        <is>
          <t>9000-5-1</t>
        </is>
      </c>
      <c r="F3" s="102" t="inlineStr">
        <is>
          <t>9000-5-5, 9000-5-8</t>
        </is>
      </c>
      <c r="G3" s="32" t="inlineStr">
        <is>
          <t>자재 야적장 선정</t>
        </is>
      </c>
      <c r="H3" s="33" t="inlineStr">
        <is>
          <t>D-100 (D-120~D-100)</t>
        </is>
      </c>
      <c r="I3" s="33" t="inlineStr">
        <is>
          <t>현장 공무팀</t>
        </is>
      </c>
      <c r="J3" s="34" t="inlineStr">
        <is>
          <t>콘크리트도상 시공에 필요한 침목, 체결구 등 자재야적 부지 선정</t>
        </is>
      </c>
      <c r="K3" s="34" t="inlineStr">
        <is>
          <t>- 야적장소는 반입자재 및 노반 구조물 파손 방지를 위해 연약지반, 방호벽의 침하 예상부위를 피해서 선정
- 타 분야(전철전력, 송변전, 건축, 신호통신) 간섭사항을 고려하여 동선이 겹치지 않도록 선정</t>
        </is>
      </c>
      <c r="L3" s="34" t="inlineStr">
        <is>
          <t>부지사용계약서, 가설야적장 평면도</t>
        </is>
      </c>
      <c r="M3" s="34" t="inlineStr">
        <is>
          <t>침목, 체결구, 홈레일 등 궤도 주요 자재의 현장 보관 기준 수립. 배수 경사 2% 및 지반 다짐도 95% 이상 야적장 확보.</t>
        </is>
      </c>
      <c r="N3" s="69">
        <f>HYPERLINK(LEFT(CELL("filename",A1),FIND("[",CELL("filename",A1))-1)&amp;"5.콘크리트도상/2_자재 야적장 선정/표준서/자재 야적장 선정_표준서.html", "표준서 열기")</f>
        <v/>
      </c>
      <c r="O3" s="34" t="inlineStr">
        <is>
          <t>1) 야적 부지 지반재하시험(K70 ≥ 150 MPa/m)을 실시하여 하중 침하 여부 사전 검증
2) 장대레일 운반 트레일러(길이 30m 이상) 회전반경 및 크레인 인양 진입로 확보</t>
        </is>
      </c>
      <c r="P3" s="70">
        <f>HYPERLINK(LEFT(CELL("filename",A1),FIND("[",CELL("filename",A1))-1)&amp;"5.콘크리트도상/2_자재 야적장 선정/수행지침/자재 야적장 선정_수행지침.html", "수행지침서 열기")</f>
        <v/>
      </c>
      <c r="Q3" s="34" t="inlineStr">
        <is>
          <t>야적장 지반 다짐도 95% 이상, 배수 경사 2% 이상 확보, 자재 천막 덮개 구비</t>
        </is>
      </c>
      <c r="R3" s="71">
        <f>HYPERLINK(LEFT(CELL("filename",A1),FIND("[",CELL("filename",A1))-1)&amp;"5.콘크리트도상/2_자재 야적장 선정/체크리스트/자재 야적장 선정_체크리스트.html", "체크리스트 열기")</f>
        <v/>
      </c>
      <c r="S3" s="33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</row>
    <row r="4" ht="52.05" customHeight="1" s="88">
      <c r="A4" s="19" t="inlineStr">
        <is>
          <t>9000</t>
        </is>
      </c>
      <c r="B4" s="19" t="inlineStr">
        <is>
          <t>9000-5</t>
        </is>
      </c>
      <c r="C4" s="19" t="inlineStr">
        <is>
          <t>콘크리트도상</t>
        </is>
      </c>
      <c r="D4" s="19" t="inlineStr">
        <is>
          <t>9000-5-3</t>
        </is>
      </c>
      <c r="E4" s="95" t="inlineStr">
        <is>
          <t>9000-5-1</t>
        </is>
      </c>
      <c r="F4" s="95" t="inlineStr">
        <is>
          <t>9000-5-5, 9000-5-20</t>
        </is>
      </c>
      <c r="G4" s="23" t="inlineStr">
        <is>
          <t>레일 용접장 선정</t>
        </is>
      </c>
      <c r="H4" s="21" t="inlineStr">
        <is>
          <t>D-100 (D-120~D-100)</t>
        </is>
      </c>
      <c r="I4" s="21" t="inlineStr">
        <is>
          <t>현장 공무팀</t>
        </is>
      </c>
      <c r="J4" s="24" t="inlineStr">
        <is>
          <t>정척레일 15본을 용접하여 200m 이상의 장대레일 제작하는 작업장을 선정 (타분야 인터페이스 고려)</t>
        </is>
      </c>
      <c r="K4" s="24" t="inlineStr">
        <is>
          <t>- 용접기 설치, 정척레일 및 장대레일 보관장소를 고려, 최소 400m 이상의 공간을 확보하고 장대레일 분출 범위를 고려, 본선 용접장 선정
- 타 분야(전철전력, 송변전, 건축, 신호통신) 인터페이스 간섭사항 고려</t>
        </is>
      </c>
      <c r="L4" s="24" t="inlineStr">
        <is>
          <t>용접장 임시지정서, NDT 검사실 계획서</t>
        </is>
      </c>
      <c r="M4" s="24" t="inlineStr">
        <is>
          <t>EN 14730 테르밋 및 EN 14587 가스압접 용접을 위한 작업 공간 확보. 정척레일(25m)을 200m 장대로 용접하는 평탄 작업대 수평 오차 ±1mm 이내 확보.</t>
        </is>
      </c>
      <c r="N4" s="69">
        <f>HYPERLINK(LEFT(CELL("filename",A1),FIND("[",CELL("filename",A1))-1)&amp;"5.콘크리트도상/3_레일 용접장 선정/표준서/레일 용접장 선정_표준서.html", "표준서 열기")</f>
        <v/>
      </c>
      <c r="O4" s="24" t="inlineStr">
        <is>
          <t>1) m 장대레일 일직선 이송을 위한 롤러대 기반 수평 정밀 측량 (오차 ±0.5mm/10m 이내)
2) 가스압접/플래시버트 용접용 대용량 전력 및 아세틸렌/산소 가스 안전 저장소 확보</t>
        </is>
      </c>
      <c r="P4" s="70">
        <f>HYPERLINK(LEFT(CELL("filename",A1),FIND("[",CELL("filename",A1))-1)&amp;"5.콘크리트도상/3_레일 용접장 선정/수행지침/레일 용접장 선정_수행지침.html", "수행지침서 열기")</f>
        <v/>
      </c>
      <c r="Q4" s="24" t="inlineStr">
        <is>
          <t>용접장 평탄성 오차 ±1mm 이내, 전력 공급 및 방풍 시설 완비, NDT(비파괴) 대기 공간 확보</t>
        </is>
      </c>
      <c r="R4" s="71">
        <f>HYPERLINK(LEFT(CELL("filename",A1),FIND("[",CELL("filename",A1))-1)&amp;"5.콘크리트도상/3_레일 용접장 선정/체크리스트/레일 용접장 선정_체크리스트.html", "체크리스트 열기")</f>
        <v/>
      </c>
      <c r="S4" s="21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</row>
    <row r="5" ht="52.05" customHeight="1" s="88">
      <c r="A5" s="29" t="inlineStr">
        <is>
          <t>9000</t>
        </is>
      </c>
      <c r="B5" s="29" t="inlineStr">
        <is>
          <t>9000-5</t>
        </is>
      </c>
      <c r="C5" s="29" t="inlineStr">
        <is>
          <t>콘크리트도상</t>
        </is>
      </c>
      <c r="D5" s="29" t="inlineStr">
        <is>
          <t>9000-5-4</t>
        </is>
      </c>
      <c r="E5" s="102" t="inlineStr">
        <is>
          <t>9000-5-1</t>
        </is>
      </c>
      <c r="F5" s="102" t="inlineStr">
        <is>
          <t>9000-5-9, 9000-5-10</t>
        </is>
      </c>
      <c r="G5" s="32" t="inlineStr">
        <is>
          <t>발주전략 KOM</t>
        </is>
      </c>
      <c r="H5" s="33" t="inlineStr">
        <is>
          <t>D-90 (D-120~D-90)</t>
        </is>
      </c>
      <c r="I5" s="33" t="inlineStr">
        <is>
          <t>현장 공무팀</t>
        </is>
      </c>
      <c r="J5" s="34" t="inlineStr">
        <is>
          <t>궤도공사 발주전략 수립 / 발주조건 CP적합 여부 검토</t>
        </is>
      </c>
      <c r="K5" s="34" t="inlineStr">
        <is>
          <t>- 가시공 B/P 적정성 검토
- 발주시기, 발주내역, 현설조건, 현장여건 고려 발주전략 분석
- 사전검토한 설계 및 공법 반영
- 현설설명서 작성 (하자관리방안이 포함된 특기사항 체크리스트 반영)
- 노선 공정계획(구간별 인도시기 고려)
- 궤도설치 후 합동점검시 레일 및 틀어짐 허용오차 이상 발생시 보수 의무사항 안내
- 지원: 본사담당팀(외주/수행/견적)</t>
        </is>
      </c>
      <c r="L5" s="34" t="inlineStr">
        <is>
          <t>KOM 의사록, 품질 보증 합의서</t>
        </is>
      </c>
      <c r="M5" s="34" t="inlineStr">
        <is>
          <t>KCS 47 30 00 시방 기준 준수. 궤도 자재 품질 확인서 및 외산 홈레일 조달 리스크 대응 전략 수립.</t>
        </is>
      </c>
      <c r="N5" s="69">
        <f>HYPERLINK(LEFT(CELL("filename",A1),FIND("[",CELL("filename",A1))-1)&amp;"5.콘크리트도상/4_발주전략 KOM/표준서/발주전략 KOM_표준서.html", "표준서 열기")</f>
        <v/>
      </c>
      <c r="O5" s="34" t="inlineStr">
        <is>
          <t>1) 제조사 공장검사(FAT) 항목 및 궤도 정밀 검측 공차 기준 전파
2) KDS 47 30 00 및 KS 규격 만족 자재 목록 및 세부 발주 물량 확정</t>
        </is>
      </c>
      <c r="P5" s="70">
        <f>HYPERLINK(LEFT(CELL("filename",A1),FIND("[",CELL("filename",A1))-1)&amp;"5.콘크리트도상/4_발주전략 KOM/수행지침/발주전략 KOM_수행지침.html", "수행지침서 열기")</f>
        <v/>
      </c>
      <c r="Q5" s="34" t="inlineStr">
        <is>
          <t>품질 요구조건 특기시방서 의결, 외산 홈레일 선적일정 검토, 자재 인도 시점 확약</t>
        </is>
      </c>
      <c r="R5" s="71">
        <f>HYPERLINK(LEFT(CELL("filename",A1),FIND("[",CELL("filename",A1))-1)&amp;"5.콘크리트도상/4_발주전략 KOM/체크리스트/발주전략 KOM_체크리스트.html", "체크리스트 열기")</f>
        <v/>
      </c>
      <c r="S5" s="33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</row>
    <row r="6" ht="52.05" customHeight="1" s="88">
      <c r="A6" s="19" t="inlineStr">
        <is>
          <t>9000</t>
        </is>
      </c>
      <c r="B6" s="19" t="inlineStr">
        <is>
          <t>9000-5</t>
        </is>
      </c>
      <c r="C6" s="19" t="inlineStr">
        <is>
          <t>콘크리트도상</t>
        </is>
      </c>
      <c r="D6" s="19" t="inlineStr">
        <is>
          <t>9000-5-5</t>
        </is>
      </c>
      <c r="E6" s="95" t="inlineStr">
        <is>
          <t>9000-5-2, 9000-5-3</t>
        </is>
      </c>
      <c r="F6" s="95" t="inlineStr">
        <is>
          <t>9000-5-7</t>
        </is>
      </c>
      <c r="G6" s="23" t="inlineStr">
        <is>
          <t>최고의 팀 만들기 지원</t>
        </is>
      </c>
      <c r="H6" s="21" t="inlineStr">
        <is>
          <t>D-60 (D-90~D-60)</t>
        </is>
      </c>
      <c r="I6" s="21" t="inlineStr">
        <is>
          <t>외주관리팀</t>
        </is>
      </c>
      <c r="J6" s="24" t="inlineStr">
        <is>
          <t>우수 협력사 및 작업반 선정</t>
        </is>
      </c>
      <c r="K6" s="24" t="inlineStr">
        <is>
          <t>- 동일 환경조건 시공경험 보유 여부 검토
- 투입인원 경력, 현장이해도, 관리역량, 파트너 업체 검증</t>
        </is>
      </c>
      <c r="L6" s="24" t="inlineStr">
        <is>
          <t>협력사 적격성 심사표, 노무안전서약철</t>
        </is>
      </c>
      <c r="M6" s="24" t="inlineStr">
        <is>
          <t>EN ISO 9606-1 용접 자격자 및 궤도 정밀 검측원(Track Master 운용원) 확보 심사 기준.</t>
        </is>
      </c>
      <c r="N6" s="69">
        <f>HYPERLINK(LEFT(CELL("filename",A1),FIND("[",CELL("filename",A1))-1)&amp;"5.콘크리트도상/5_최고의 팀 만들기 지원/표준서/최고의 팀 만들기 지원_표준서.html", "표준서 열기")</f>
        <v/>
      </c>
      <c r="O6" s="24" t="inlineStr">
        <is>
          <t>1) EN ISO 14730 용접원 자격증 및 광학 측량 기술자 자격 검증
2) 스핀들 게이지 조정, 캔트 달성구배, 테르밋 산화반응 제어 사전 모의 훈련</t>
        </is>
      </c>
      <c r="P6" s="70">
        <f>HYPERLINK(LEFT(CELL("filename",A1),FIND("[",CELL("filename",A1))-1)&amp;"5.콘크리트도상/5_최고의 팀 만들기 지원/수행지침/최고의 팀 만들기 지원_수행지침.html", "수행지침서 열기")</f>
        <v/>
      </c>
      <c r="Q6" s="24" t="inlineStr">
        <is>
          <t>용접공 자격증 원본 대조, 정밀 검측 장비 검교정 확인, 궤도 전문 기술사 면허 검토</t>
        </is>
      </c>
      <c r="R6" s="71">
        <f>HYPERLINK(LEFT(CELL("filename",A1),FIND("[",CELL("filename",A1))-1)&amp;"5.콘크리트도상/5_최고의 팀 만들기 지원/체크리스트/최고의 팀 만들기 지원_체크리스트.html", "체크리스트 열기")</f>
        <v/>
      </c>
      <c r="S6" s="21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  <c r="DY6" s="18" t="n"/>
      <c r="DZ6" s="18" t="n"/>
      <c r="EA6" s="18" t="n"/>
      <c r="EB6" s="18" t="n"/>
      <c r="EC6" s="18" t="n"/>
      <c r="ED6" s="18" t="n"/>
      <c r="EE6" s="18" t="n"/>
    </row>
    <row r="7" ht="52.05" customHeight="1" s="88">
      <c r="A7" s="29" t="inlineStr">
        <is>
          <t>9000</t>
        </is>
      </c>
      <c r="B7" s="29" t="inlineStr">
        <is>
          <t>9000-5</t>
        </is>
      </c>
      <c r="C7" s="29" t="inlineStr">
        <is>
          <t>콘크리트도상</t>
        </is>
      </c>
      <c r="D7" s="29" t="inlineStr">
        <is>
          <t>9000-5-6</t>
        </is>
      </c>
      <c r="E7" s="102" t="inlineStr">
        <is>
          <t>9000-5-1, 9000-5-4</t>
        </is>
      </c>
      <c r="F7" s="102" t="inlineStr">
        <is>
          <t>9000-5-7, 9000-5-11</t>
        </is>
      </c>
      <c r="G7" s="32" t="inlineStr">
        <is>
          <t>콘크리트 타설방법/계획 검토</t>
        </is>
      </c>
      <c r="H7" s="33" t="inlineStr">
        <is>
          <t>D-70 (D-70~D-60)</t>
        </is>
      </c>
      <c r="I7" s="33" t="inlineStr">
        <is>
          <t>현장 공사팀</t>
        </is>
      </c>
      <c r="J7" s="34" t="inlineStr">
        <is>
          <t>현장여건에 따른 구간/위치별 적정 타설방법 및 계획 검토</t>
        </is>
      </c>
      <c r="K7" s="34" t="inlineStr">
        <is>
          <t>- 펌프카 타설: 공간이 넓거나, 교량 하부에서 타설이 가능한 경우 적용
- 압송관 타설: 교량이나 터널 (L=300~500m)에 적합
- 개조장비 타설: 개조 믹서트럭을 이용하여 타설</t>
        </is>
      </c>
      <c r="L7" s="34" t="inlineStr">
        <is>
          <t>콘크리트 타설공정 계획서, 펌프카 배치도</t>
        </is>
      </c>
      <c r="M7" s="34" t="inlineStr">
        <is>
          <t>KCS 47 30 00 콘크리트 궤도 시방 준수. 펌프카 타설압력에 의한 궤광 변위 방지 지지 계획 수립.</t>
        </is>
      </c>
      <c r="N7" s="69">
        <f>HYPERLINK(LEFT(CELL("filename",A1),FIND("[",CELL("filename",A1))-1)&amp;"5.콘크리트도상/6_콘크리트 타설방법_계획 검토/표준서/콘크리트 타설방법_계획 검토_표준서.html", "표준서 열기")</f>
        <v/>
      </c>
      <c r="O7" s="34" t="inlineStr">
        <is>
          <t>1) TCL 콘크리트(f_ck ≥ 30 MPa) 및 PST 충전재(f_ck ≥ 45 MPa) 배합 성적서 확인
2) 레미콘 운반시간(60분 이내) 및 펌프카 배치 공간 사전 확보</t>
        </is>
      </c>
      <c r="P7" s="70">
        <f>HYPERLINK(LEFT(CELL("filename",A1),FIND("[",CELL("filename",A1))-1)&amp;"5.콘크리트도상/6_콘크리트 타설방법_계획 검토/수행지침/콘크리트 타설방법_계획 검토_수행지침.html", "수행지침서 열기")</f>
        <v/>
      </c>
      <c r="Q7" s="34" t="inlineStr">
        <is>
          <t>구간별 펌프카 배치도 작성, 타설 시 궤광 고정 잭 지지 계획 승인, 콘크리트 슬럼프 품질 확인</t>
        </is>
      </c>
      <c r="R7" s="71">
        <f>HYPERLINK(LEFT(CELL("filename",A1),FIND("[",CELL("filename",A1))-1)&amp;"5.콘크리트도상/6_콘크리트 타설방법_계획 검토/체크리스트/콘크리트 타설방법_계획 검토_체크리스트.html", "체크리스트 열기")</f>
        <v/>
      </c>
      <c r="S7" s="33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8" t="n"/>
      <c r="EB7" s="18" t="n"/>
      <c r="EC7" s="18" t="n"/>
      <c r="ED7" s="18" t="n"/>
      <c r="EE7" s="18" t="n"/>
      <c r="EF7" s="18" t="n"/>
      <c r="EG7" s="18" t="n"/>
      <c r="EH7" s="18" t="n"/>
      <c r="EI7" s="18" t="n"/>
    </row>
    <row r="8" ht="52.05" customHeight="1" s="88">
      <c r="A8" s="19" t="inlineStr">
        <is>
          <t>9000</t>
        </is>
      </c>
      <c r="B8" s="19" t="inlineStr">
        <is>
          <t>9000-5</t>
        </is>
      </c>
      <c r="C8" s="19" t="inlineStr">
        <is>
          <t>콘크리트도상</t>
        </is>
      </c>
      <c r="D8" s="19" t="inlineStr">
        <is>
          <t>9000-5-7</t>
        </is>
      </c>
      <c r="E8" s="95" t="inlineStr">
        <is>
          <t>9000-5-5, 9000-5-6</t>
        </is>
      </c>
      <c r="F8" s="95" t="inlineStr">
        <is>
          <t>9000-5-11</t>
        </is>
      </c>
      <c r="G8" s="23" t="inlineStr">
        <is>
          <t>작수전 Big Room 회의</t>
        </is>
      </c>
      <c r="H8" s="21" t="inlineStr">
        <is>
          <t>D-60</t>
        </is>
      </c>
      <c r="I8" s="21" t="inlineStr">
        <is>
          <t>현장소장</t>
        </is>
      </c>
      <c r="J8" s="24" t="inlineStr">
        <is>
          <t>궤도공사 수행 시 공정계획 수립 / 수행 시 예상가능한 Risk 검토</t>
        </is>
      </c>
      <c r="K8" s="24" t="inlineStr">
        <is>
          <t>본사/현장/협력사 협의체 구축 후 상세검토
1) 궤도공사 공정계획 수립: 
  - 자재, 장비 반입로/반입구 사용가능 시기에 따른 자재반입 계획 수립, 
  - 노선 Handover 시기에 따른 시공계획 수립
2) 타설계획 수립: 
  -현장여건을 고려한 타설방법 선정
3) 공종별 Risk Hedge방안 검토: 
 - 외산자재 반입일정 확정
 - 플래시버트 장비 임대 또는 특수용접사 확보
※ 참석: 현장소장, 공무/공사/품질/안전 Part담당자, 궤도협력업체, 선후행 공종 협력업체, 본사 담당팀(견적/설계/수행(공정)/품질/안전)</t>
        </is>
      </c>
      <c r="L8" s="24" t="inlineStr">
        <is>
          <t>빅룸 회의록, 인터페이스 대장</t>
        </is>
      </c>
      <c r="M8" s="24" t="inlineStr">
        <is>
          <t>노반-궤도 간 인터페이스, 신호 루프 센서 및 누설 전류(Stray Current) 부식 방지 디오드 접지선 매설 계획 의결.</t>
        </is>
      </c>
      <c r="N8" s="69">
        <f>HYPERLINK(LEFT(CELL("filename",A1),FIND("[",CELL("filename",A1))-1)&amp;"5.콘크리트도상/7_작수전 Big Room 회의/표준서/작수전 Big Room 회의_표준서.html", "표준서 열기")</f>
        <v/>
      </c>
      <c r="O8" s="24" t="inlineStr">
        <is>
          <t>1) 노반-궤도 인수인계 높이 공차 및 신호 루프센서 위치 취합
2) 도로 매설 궤도 표면과 도로 포장 표면 마감 높이 일치성 확정</t>
        </is>
      </c>
      <c r="P8" s="70">
        <f>HYPERLINK(LEFT(CELL("filename",A1),FIND("[",CELL("filename",A1))-1)&amp;"5.콘크리트도상/7_작수전 Big Room 회의/수행지침/작수전 Big Room 회의_수행지침.html", "수행지침서 열기")</f>
        <v/>
      </c>
      <c r="Q8" s="24" t="inlineStr">
        <is>
          <t>신호 센서 매설 위치 철근 간섭 해결, 접지선 용접부 연속성 확인, 부서 합동 서명 날인</t>
        </is>
      </c>
      <c r="R8" s="71">
        <f>HYPERLINK(LEFT(CELL("filename",A1),FIND("[",CELL("filename",A1))-1)&amp;"5.콘크리트도상/7_작수전 Big Room 회의/체크리스트/작수전 Big Room 회의_체크리스트.html", "체크리스트 열기")</f>
        <v/>
      </c>
      <c r="S8" s="21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8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</row>
    <row r="9" ht="52.05" customHeight="1" s="88">
      <c r="A9" s="29" t="inlineStr">
        <is>
          <t>9000</t>
        </is>
      </c>
      <c r="B9" s="29" t="inlineStr">
        <is>
          <t>9000-5</t>
        </is>
      </c>
      <c r="C9" s="29" t="inlineStr">
        <is>
          <t>콘크리트도상</t>
        </is>
      </c>
      <c r="D9" s="29" t="inlineStr">
        <is>
          <t>9000-5-8</t>
        </is>
      </c>
      <c r="E9" s="102" t="inlineStr">
        <is>
          <t>9000-5-2, 9000-5-7</t>
        </is>
      </c>
      <c r="F9" s="102" t="inlineStr">
        <is>
          <t>9000-5-12</t>
        </is>
      </c>
      <c r="G9" s="32" t="inlineStr">
        <is>
          <t>장비,자재 반입로/반입구 간섭 검토</t>
        </is>
      </c>
      <c r="H9" s="33" t="inlineStr">
        <is>
          <t>D-60</t>
        </is>
      </c>
      <c r="I9" s="33" t="inlineStr">
        <is>
          <t>현장공사팀</t>
        </is>
      </c>
      <c r="J9" s="34" t="inlineStr">
        <is>
          <t>장비, 자재의 반입로/반입구의 타공종 간섭 검토</t>
        </is>
      </c>
      <c r="K9" s="34" t="inlineStr">
        <is>
          <t>- 자재반입 시 노반 시공 간섭 검토
- 자재반입로/반입구 사용가능 시기 검토</t>
        </is>
      </c>
      <c r="L9" s="34" t="inlineStr">
        <is>
          <t>반입로 시뮬레이션 보고서, 도로점용 허가서</t>
        </is>
      </c>
      <c r="M9" s="34" t="inlineStr">
        <is>
          <t>장대레일 운반 트레일러(길이 25m 이상) 도로 회전 반경 R=15m 확보 및 타공종 가설재 간섭 배제.</t>
        </is>
      </c>
      <c r="N9" s="69">
        <f>HYPERLINK(LEFT(CELL("filename",A1),FIND("[",CELL("filename",A1))-1)&amp;"5.콘크리트도상/8_장비,자재 반입로_반입구 간섭 검토/표준서/장비,자재 반입로_반입구 간섭 검토_표준서.html", "표준서 열기")</f>
        <v/>
      </c>
      <c r="O9" s="34" t="inlineStr">
        <is>
          <t>1) 상부 신호등/가공전선 이격거리(5m 이상) 및 도로점용 허가 구역 조사
2) 전담 신호수 배치 및 대형 레일 운반 차량 유도</t>
        </is>
      </c>
      <c r="P9" s="70">
        <f>HYPERLINK(LEFT(CELL("filename",A1),FIND("[",CELL("filename",A1))-1)&amp;"5.콘크리트도상/8_장비,자재 반입로_반입구 간섭 검토/수행지침/장비,자재 반입로_반입구 간섭 검토_수행지침.html", "수행지침서 열기")</f>
        <v/>
      </c>
      <c r="Q9" s="34" t="inlineStr">
        <is>
          <t>트레일러 회전 시뮬레이션 승인, 가설 비계 간섭 범위 해제, 도로 점용 허가 필증 확인</t>
        </is>
      </c>
      <c r="R9" s="71">
        <f>HYPERLINK(LEFT(CELL("filename",A1),FIND("[",CELL("filename",A1))-1)&amp;"5.콘크리트도상/8_장비,자재 반입로_반입구 간섭 검토/체크리스트/장비,자재 반입로_반입구 간섭 검토_체크리스트.html", "체크리스트 열기")</f>
        <v/>
      </c>
      <c r="S9" s="33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8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</row>
    <row r="10" ht="52.05" customHeight="1" s="88">
      <c r="A10" s="19" t="inlineStr">
        <is>
          <t>9000</t>
        </is>
      </c>
      <c r="B10" s="19" t="inlineStr">
        <is>
          <t>9000-5</t>
        </is>
      </c>
      <c r="C10" s="19" t="inlineStr">
        <is>
          <t>콘크리트도상</t>
        </is>
      </c>
      <c r="D10" s="19" t="inlineStr">
        <is>
          <t>9000-5-9</t>
        </is>
      </c>
      <c r="E10" s="95" t="inlineStr">
        <is>
          <t>9000-5-4</t>
        </is>
      </c>
      <c r="F10" s="95" t="inlineStr">
        <is>
          <t>9000-5-10</t>
        </is>
      </c>
      <c r="G10" s="23" t="inlineStr">
        <is>
          <t>자재조달계획 검토</t>
        </is>
      </c>
      <c r="H10" s="21" t="inlineStr">
        <is>
          <t>D-60</t>
        </is>
      </c>
      <c r="I10" s="21" t="inlineStr">
        <is>
          <t>현장관리팀, 현장공사팀</t>
        </is>
      </c>
      <c r="J10" s="24" t="inlineStr">
        <is>
          <t>외산자재 검수 및 반입일정 검토 / 노반 공정에 따른 반입 시기 검토</t>
        </is>
      </c>
      <c r="K10" s="24" t="inlineStr">
        <is>
          <t>- 외산자재 수량 및 위치, 야적장 규모 등을 고려하여 주문 시기 검토
- 노반 인도 구역 및 규모에 따른 자재 조달계획 수립</t>
        </is>
      </c>
      <c r="L10" s="24" t="inlineStr">
        <is>
          <t>자재수급스케줄표, 조달 승인서</t>
        </is>
      </c>
      <c r="M10" s="24" t="inlineStr">
        <is>
          <t>홈레일, 체결구, 탄성 충전재 등 주요 자재의 해상 운송 및 국내 보관 일정 검토. OMC 품질 시방 확보.</t>
        </is>
      </c>
      <c r="N10" s="69">
        <f>HYPERLINK(LEFT(CELL("filename",A1),FIND("[",CELL("filename",A1))-1)&amp;"5.콘크리트도상/9_자재조달계획 검토/표준서/자재조달계획 검토_표준서.html", "표준서 열기")</f>
        <v/>
      </c>
      <c r="O10" s="24" t="inlineStr">
        <is>
          <t>1) 특수 홈레일 및 PST 패널 조달 마스터 일정표 검토
2) PST 슬래브 공장 생산 강도 및 홈레일 단면 검수</t>
        </is>
      </c>
      <c r="P10" s="70">
        <f>HYPERLINK(LEFT(CELL("filename",A1),FIND("[",CELL("filename",A1))-1)&amp;"5.콘크리트도상/9_자재조달계획 검토/수행지침/자재조달계획 검토_수행지침.html", "수행지침서 열기")</f>
        <v/>
      </c>
      <c r="Q10" s="24" t="inlineStr">
        <is>
          <t>선적 서류 및 통관 승인서 구비, 국내 야적장 2차 보관 상태 점검, 자재 공급 승인서 확인</t>
        </is>
      </c>
      <c r="R10" s="71">
        <f>HYPERLINK(LEFT(CELL("filename",A1),FIND("[",CELL("filename",A1))-1)&amp;"5.콘크리트도상/9_자재조달계획 검토/체크리스트/자재조달계획 검토_체크리스트.html", "체크리스트 열기")</f>
        <v/>
      </c>
      <c r="S10" s="21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8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</row>
    <row r="11" ht="52.05" customHeight="1" s="88">
      <c r="A11" s="29" t="inlineStr">
        <is>
          <t>9000</t>
        </is>
      </c>
      <c r="B11" s="29" t="inlineStr">
        <is>
          <t>9000-5</t>
        </is>
      </c>
      <c r="C11" s="29" t="inlineStr">
        <is>
          <t>콘크리트도상</t>
        </is>
      </c>
      <c r="D11" s="29" t="inlineStr">
        <is>
          <t>9000-5-10</t>
        </is>
      </c>
      <c r="E11" s="102" t="inlineStr">
        <is>
          <t>9000-5-4, 9000-5-9</t>
        </is>
      </c>
      <c r="F11" s="102" t="inlineStr">
        <is>
          <t>9000-5-12</t>
        </is>
      </c>
      <c r="G11" s="32" t="inlineStr">
        <is>
          <t>자재 발주 요청</t>
        </is>
      </c>
      <c r="H11" s="33" t="inlineStr">
        <is>
          <t>D-50 (D-60~50)</t>
        </is>
      </c>
      <c r="I11" s="33" t="inlineStr">
        <is>
          <t>현장 공무팀</t>
        </is>
      </c>
      <c r="J11" s="34" t="inlineStr">
        <is>
          <t>시공에 필요한 자재 발주</t>
        </is>
      </c>
      <c r="K11" s="34" t="inlineStr">
        <is>
          <t>- 자재 규격 및 반입 일정 계획 수립
- 시공에 필요한 당사 지급자재에 대한 발주 요청
- 지원: GP/SRM팀</t>
        </is>
      </c>
      <c r="L11" s="34" t="inlineStr">
        <is>
          <t>자재청구서, 공급원 승인요청철</t>
        </is>
      </c>
      <c r="M11" s="34" t="inlineStr">
        <is>
          <t>KDS 47 30 00 및 EN 규격 기준 자재 발주서 승인. 공급원 검토 승인 요청서 작성 요령 준수.</t>
        </is>
      </c>
      <c r="N11" s="69">
        <f>HYPERLINK(LEFT(CELL("filename",A1),FIND("[",CELL("filename",A1))-1)&amp;"5.콘크리트도상/10_자재 발주 요청/표준서/자재 발주 요청_표준서.html", "표준서 열기")</f>
        <v/>
      </c>
      <c r="O11" s="34" t="inlineStr">
        <is>
          <t>1) kg/m 레일, 51R1 홈레일, PST 패널 산출 물량 검증
2) 공장 검사(FAT) 조건 및 성적서 첨부 명시</t>
        </is>
      </c>
      <c r="P11" s="70">
        <f>HYPERLINK(LEFT(CELL("filename",A1),FIND("[",CELL("filename",A1))-1)&amp;"5.콘크리트도상/10_자재 발주 요청/수행지침/자재 발주 요청_수행지침.html", "수행지침서 열기")</f>
        <v/>
      </c>
      <c r="Q11" s="34" t="inlineStr">
        <is>
          <t>자재 발주 수량 설계 대조, 공급원 승인 필증 원본 확인, 발주 공문 승인 요청</t>
        </is>
      </c>
      <c r="R11" s="71">
        <f>HYPERLINK(LEFT(CELL("filename",A1),FIND("[",CELL("filename",A1))-1)&amp;"5.콘크리트도상/10_자재 발주 요청/체크리스트/자재 발주 요청_체크리스트.html", "체크리스트 열기")</f>
        <v/>
      </c>
      <c r="S11" s="33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8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8" t="n"/>
      <c r="EY11" s="18" t="n"/>
    </row>
    <row r="12" ht="52.05" customHeight="1" s="88">
      <c r="A12" s="19" t="inlineStr">
        <is>
          <t>9000</t>
        </is>
      </c>
      <c r="B12" s="19" t="inlineStr">
        <is>
          <t>9000-5</t>
        </is>
      </c>
      <c r="C12" s="19" t="inlineStr">
        <is>
          <t>콘크리트도상</t>
        </is>
      </c>
      <c r="D12" s="19" t="inlineStr">
        <is>
          <t>9000-5-11</t>
        </is>
      </c>
      <c r="E12" s="95" t="inlineStr">
        <is>
          <t>9000-5-6, 9000-5-7</t>
        </is>
      </c>
      <c r="F12" s="95" t="inlineStr">
        <is>
          <t>9000-5-13, 9000-5-14</t>
        </is>
      </c>
      <c r="G12" s="23" t="inlineStr">
        <is>
          <t>시공계획 수립</t>
        </is>
      </c>
      <c r="H12" s="21" t="inlineStr">
        <is>
          <t>D-30 (D-60~D-30)</t>
        </is>
      </c>
      <c r="I12" s="21" t="inlineStr">
        <is>
          <t>현장 공사팀/공무팀/안전팀/품질팀</t>
        </is>
      </c>
      <c r="J12" s="24" t="inlineStr">
        <is>
          <t>궤도공 전반에 대한 수행 계획 공유</t>
        </is>
      </c>
      <c r="K12" s="24" t="inlineStr">
        <is>
          <t>- 공사 위치, 공사 수행 순서, 공사 수행방법 설명 회의를 통한 공유
- 주요 공정별 시공/안전/장비/자재관련 유의사항 토의
- 문제점 발굴 및 대책 마련 브레인 스토밍</t>
        </is>
      </c>
      <c r="L12" s="24" t="inlineStr">
        <is>
          <t>궤도공사 시공계획서, 안전보건계획서</t>
        </is>
      </c>
      <c r="M12" s="24" t="inlineStr">
        <is>
          <t>콘크리트도상 시공 절차 및 공정 스케줄 작성. 궤간(+3,-1mm), 캔트(±2mm) 관리계획 수립.</t>
        </is>
      </c>
      <c r="N12" s="69">
        <f>HYPERLINK(LEFT(CELL("filename",A1),FIND("[",CELL("filename",A1))-1)&amp;"5.콘크리트도상/11_시공계획 수립/표준서/시공계획 수립_표준서.html", "표준서 열기")</f>
        <v/>
      </c>
      <c r="O12" s="24" t="inlineStr">
        <is>
          <t>1) HBS 노반 지지력 검증 및 궤도 정밀 CP 측량 시공계획 수립
2) 스핀들 게이지 조정, 테르밋 용접(EN 14730) 및 TCL 콘크리트 타설 수칙 수립</t>
        </is>
      </c>
      <c r="P12" s="70">
        <f>HYPERLINK(LEFT(CELL("filename",A1),FIND("[",CELL("filename",A1))-1)&amp;"5.콘크리트도상/11_시공계획 수립/수행지침/시공계획 수립_수행지침.html", "수행지침서 열기")</f>
        <v/>
      </c>
      <c r="Q12" s="24" t="inlineStr">
        <is>
          <t>시공계획서 감리단 최종 승인, 선형 관리 한계선 설정 확인, 품질보증계획서 제출</t>
        </is>
      </c>
      <c r="R12" s="71">
        <f>HYPERLINK(LEFT(CELL("filename",A1),FIND("[",CELL("filename",A1))-1)&amp;"5.콘크리트도상/11_시공계획 수립/체크리스트/시공계획 수립_체크리스트.html", "체크리스트 열기")</f>
        <v/>
      </c>
      <c r="S12" s="2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8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8" t="n"/>
      <c r="EY12" s="18" t="n"/>
      <c r="EZ12" s="18" t="n"/>
      <c r="FA12" s="18" t="n"/>
      <c r="FB12" s="18" t="n"/>
      <c r="FC12" s="18" t="n"/>
    </row>
    <row r="13" ht="52.05" customHeight="1" s="88">
      <c r="A13" s="29" t="inlineStr">
        <is>
          <t>9000</t>
        </is>
      </c>
      <c r="B13" s="29" t="inlineStr">
        <is>
          <t>9000-5</t>
        </is>
      </c>
      <c r="C13" s="29" t="inlineStr">
        <is>
          <t>콘크리트도상</t>
        </is>
      </c>
      <c r="D13" s="29" t="inlineStr">
        <is>
          <t>9000-5-12</t>
        </is>
      </c>
      <c r="E13" s="102" t="inlineStr">
        <is>
          <t>9000-5-8, 9000-5-10</t>
        </is>
      </c>
      <c r="F13" s="102" t="inlineStr">
        <is>
          <t>9000-5-15, 9000-5-17</t>
        </is>
      </c>
      <c r="G13" s="32" t="inlineStr">
        <is>
          <t>자재 반입</t>
        </is>
      </c>
      <c r="H13" s="33" t="inlineStr">
        <is>
          <t>D-0 (D-30~D-0)</t>
        </is>
      </c>
      <c r="I13" s="33" t="inlineStr">
        <is>
          <t>현장 공사팀/자재팀</t>
        </is>
      </c>
      <c r="J13" s="34" t="inlineStr">
        <is>
          <t>매립형 궤도/반-PC슬래브용 주요 자재 반입</t>
        </is>
      </c>
      <c r="K13" s="34" t="inlineStr">
        <is>
          <t>- 그루브드레일, 레일고정액상수지, 분기기, 특수 분기기는 외산 자재이며 콘크리트도상 시공 60일 전 공장검수 및 반입 일정을 결정 (체결장치는 국내 생산)
- 주로 25Ton 장축 트레일러가 운반장비로 투입되며, 대형차량 이동에 따른 도로 차단계획, 싸인카 투입, 신호수 배치 와 같은 교통관리 계획에 대하여 경찰서, 구청과 사전협의</t>
        </is>
      </c>
      <c r="L13" s="34" t="inlineStr">
        <is>
          <t>자재인수검사 대장, 불량재 처리부</t>
        </is>
      </c>
      <c r="M13" s="34" t="inlineStr">
        <is>
          <t>반입 자재의 공장 성적서 대조 및 감리 입회 자재 인수 검사 수행. 변형/균열 자재 전량 반출.</t>
        </is>
      </c>
      <c r="N13" s="69">
        <f>HYPERLINK(LEFT(CELL("filename",A1),FIND("[",CELL("filename",A1))-1)&amp;"5.콘크리트도상/12_자재 반입/표준서/자재 반입_표준서.html", "표준서 열기")</f>
        <v/>
      </c>
      <c r="O13" s="34" t="inlineStr">
        <is>
          <t>1) 송장, 공장 시험성적서 및 KCS 시방 사양 대조
2) 레일 표면 흠집 및 PST 패널 치수 오차(±2mm) 측정</t>
        </is>
      </c>
      <c r="P13" s="70">
        <f>HYPERLINK(LEFT(CELL("filename",A1),FIND("[",CELL("filename",A1))-1)&amp;"5.콘크리트도상/12_자재 반입/수행지침/자재 반입_수행지침.html", "수행지침서 열기")</f>
        <v/>
      </c>
      <c r="Q13" s="34" t="inlineStr">
        <is>
          <t>인수 검서 보고서 감리 서명, 자재 고유 마킹 대조, 손상 자재 반출 대장 기록</t>
        </is>
      </c>
      <c r="R13" s="71">
        <f>HYPERLINK(LEFT(CELL("filename",A1),FIND("[",CELL("filename",A1))-1)&amp;"5.콘크리트도상/12_자재 반입/체크리스트/자재 반입_체크리스트.html", "체크리스트 열기")</f>
        <v/>
      </c>
      <c r="S13" s="33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Y13" s="18" t="n"/>
      <c r="DZ13" s="18" t="n"/>
      <c r="EA13" s="18" t="n"/>
      <c r="EB13" s="18" t="n"/>
      <c r="EC13" s="18" t="n"/>
      <c r="ED13" s="18" t="n"/>
      <c r="EE13" s="18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P13" s="18" t="n"/>
      <c r="EQ13" s="18" t="n"/>
      <c r="ER13" s="18" t="n"/>
      <c r="ES13" s="18" t="n"/>
      <c r="ET13" s="18" t="n"/>
      <c r="EU13" s="18" t="n"/>
      <c r="EV13" s="18" t="n"/>
      <c r="EW13" s="18" t="n"/>
      <c r="EX13" s="18" t="n"/>
      <c r="EY13" s="18" t="n"/>
      <c r="EZ13" s="18" t="n"/>
      <c r="FA13" s="18" t="n"/>
      <c r="FB13" s="18" t="n"/>
      <c r="FC13" s="18" t="n"/>
      <c r="FD13" s="18" t="n"/>
      <c r="FE13" s="18" t="n"/>
      <c r="FF13" s="18" t="n"/>
      <c r="FG13" s="18" t="n"/>
    </row>
    <row r="14" ht="52.05" customHeight="1" s="88">
      <c r="A14" s="19" t="inlineStr">
        <is>
          <t>9000</t>
        </is>
      </c>
      <c r="B14" s="19" t="inlineStr">
        <is>
          <t>9000-5</t>
        </is>
      </c>
      <c r="C14" s="19" t="inlineStr">
        <is>
          <t>콘크리트도상</t>
        </is>
      </c>
      <c r="D14" s="68" t="inlineStr">
        <is>
          <t>9000-5-13</t>
        </is>
      </c>
      <c r="E14" s="95" t="inlineStr">
        <is>
          <t>9000-5-11</t>
        </is>
      </c>
      <c r="F14" s="95" t="inlineStr">
        <is>
          <t>9000-5-14, 9000-5-15</t>
        </is>
      </c>
      <c r="G14" s="23" t="inlineStr">
        <is>
          <t>[HBS] 강화노반 확인</t>
        </is>
      </c>
      <c r="H14" s="21" t="inlineStr">
        <is>
          <t>D+1 (D-0~D+1)</t>
        </is>
      </c>
      <c r="I14" s="21" t="inlineStr">
        <is>
          <t>현장 공사팀</t>
        </is>
      </c>
      <c r="J14" s="24" t="inlineStr">
        <is>
          <t>기존 도로구간 노상토의 지지력 검증</t>
        </is>
      </c>
      <c r="K14" s="24" t="inlineStr">
        <is>
          <t>- 사전토공사 인수계획서 확인
- 터파기 시행 후 들밀도 시험을 통한 상대다짐도 또는 현장 재하시험을 통한 강화노반변형률 계수 확인
- 배수 상태 점검</t>
        </is>
      </c>
      <c r="L14" s="24" t="inlineStr">
        <is>
          <t>강화노반 인수교차측량 대장, PBT 성적철</t>
        </is>
      </c>
      <c r="M14" s="24" t="inlineStr">
        <is>
          <t>기초 노반 표면의 지지력 검증. 평판재하시험 K30 ≥ 110 MN/m³ 또는 Ev2 ≥ 120 MPa 확인.</t>
        </is>
      </c>
      <c r="N14" s="69">
        <f>HYPERLINK(LEFT(CELL("filename",A1),FIND("[",CELL("filename",A1))-1)&amp;"5.콘크리트도상/13_[HBS] 강화노반 확인/표준서/[HBS] 강화노반 확인_표준서.html", "표준서 열기")</f>
        <v/>
      </c>
      <c r="O14" s="24" t="inlineStr">
        <is>
          <t>1) 노반 공종으로부터 지지력 K70 ≥ 150 MPa/m 성적서 수령
2) 노반 높이 오차(±10mm 이내) 광학 레벨 측량 검증</t>
        </is>
      </c>
      <c r="P14" s="70">
        <f>HYPERLINK(LEFT(CELL("filename",A1),FIND("[",CELL("filename",A1))-1)&amp;"5.콘크리트도상/13_[HBS] 강화노반 확인/수행지침/[HBS] 강화노반 확인_수행지침.html", "수행지침서 열기")</f>
        <v/>
      </c>
      <c r="Q14" s="24" t="inlineStr">
        <is>
          <t>K30 성적서 원본 대조, 노반 마무리면 요철 제거 상태, 횡단 구배 2.0% 만족 확인</t>
        </is>
      </c>
      <c r="R14" s="71">
        <f>HYPERLINK(LEFT(CELL("filename",A1),FIND("[",CELL("filename",A1))-1)&amp;"5.콘크리트도상/13_[HBS] 강화노반 확인/체크리스트/[HBS] 강화노반 확인_체크리스트.html", "체크리스트 열기")</f>
        <v/>
      </c>
      <c r="S14" s="2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Y14" s="18" t="n"/>
      <c r="DZ14" s="18" t="n"/>
      <c r="EA14" s="18" t="n"/>
      <c r="EB14" s="18" t="n"/>
      <c r="EC14" s="18" t="n"/>
      <c r="ED14" s="18" t="n"/>
      <c r="EE14" s="18" t="n"/>
      <c r="EF14" s="18" t="n"/>
      <c r="EG14" s="18" t="n"/>
      <c r="EH14" s="18" t="n"/>
      <c r="EI14" s="18" t="n"/>
      <c r="EJ14" s="18" t="n"/>
      <c r="EK14" s="18" t="n"/>
      <c r="EL14" s="18" t="n"/>
      <c r="EM14" s="18" t="n"/>
      <c r="EN14" s="18" t="n"/>
      <c r="EO14" s="18" t="n"/>
      <c r="EP14" s="18" t="n"/>
      <c r="EQ14" s="18" t="n"/>
      <c r="ER14" s="18" t="n"/>
      <c r="ES14" s="18" t="n"/>
      <c r="ET14" s="18" t="n"/>
      <c r="EU14" s="18" t="n"/>
      <c r="EV14" s="18" t="n"/>
      <c r="EW14" s="18" t="n"/>
      <c r="EX14" s="18" t="n"/>
      <c r="EY14" s="18" t="n"/>
      <c r="EZ14" s="18" t="n"/>
      <c r="FA14" s="18" t="n"/>
      <c r="FB14" s="18" t="n"/>
      <c r="FC14" s="18" t="n"/>
      <c r="FD14" s="18" t="n"/>
      <c r="FE14" s="18" t="n"/>
      <c r="FF14" s="18" t="n"/>
      <c r="FG14" s="18" t="n"/>
      <c r="FH14" s="18" t="n"/>
      <c r="FI14" s="18" t="n"/>
      <c r="FJ14" s="18" t="n"/>
      <c r="FK14" s="18" t="n"/>
    </row>
    <row r="15" ht="52.05" customHeight="1" s="88">
      <c r="A15" s="29" t="inlineStr">
        <is>
          <t>9000</t>
        </is>
      </c>
      <c r="B15" s="29" t="inlineStr">
        <is>
          <t>9000-5</t>
        </is>
      </c>
      <c r="C15" s="29" t="inlineStr">
        <is>
          <t>콘크리트도상</t>
        </is>
      </c>
      <c r="D15" s="29" t="inlineStr">
        <is>
          <t>9000-5-14</t>
        </is>
      </c>
      <c r="E15" s="102" t="inlineStr">
        <is>
          <t>9000-5-11, 9000-5-13</t>
        </is>
      </c>
      <c r="F15" s="102" t="inlineStr">
        <is>
          <t>9000-5-15, 9000-5-16</t>
        </is>
      </c>
      <c r="G15" s="32" t="inlineStr">
        <is>
          <t>[HBS] 콘크리트 타설 및 양생</t>
        </is>
      </c>
      <c r="H15" s="33" t="inlineStr">
        <is>
          <t>D+15 (D+2~D+15)</t>
        </is>
      </c>
      <c r="I15" s="33" t="inlineStr">
        <is>
          <t>현장 공사팀</t>
        </is>
      </c>
      <c r="J15" s="34" t="inlineStr">
        <is>
          <t>강화노반 상부 기초콘크리트로 TCL, 반-PC 슬래브 안정성 확보</t>
        </is>
      </c>
      <c r="K15" s="34" t="inlineStr">
        <is>
          <t>슬럼프 값 10cm 이하, 압축강도 18Mpa 이상 콘크리트 타설
- 품질확보를 위해 공장과 현장 이격거리 4.8km 이내</t>
        </is>
      </c>
      <c r="L15" s="34" t="inlineStr">
        <is>
          <t>HBR 콘크리트 품질시험표, 양생온도일지</t>
        </is>
      </c>
      <c r="M15" s="34" t="inlineStr">
        <is>
          <t>강화노반 상부 기초콘크리트(HBR) 28일 압축강도 ≥ 21 MPa 확보. 고주파 다짐 및 습윤 양생 7일.</t>
        </is>
      </c>
      <c r="N15" s="69">
        <f>HYPERLINK(LEFT(CELL("filename",A1),FIND("[",CELL("filename",A1))-1)&amp;"5.콘크리트도상/14_[HBS] 콘크리트 타설 및 양생/표준서/[HBS] 콘크리트 타설 및 양생_표준서.html", "표준서 열기")</f>
        <v/>
      </c>
      <c r="O15" s="34" t="inlineStr">
        <is>
          <t>1) 콘크리트 시멘트풀 유출 방지 거푸집 패킹 설치
2) 콜드조인트 방지 연속 타설 및 바이브레이터 밀실 다짐</t>
        </is>
      </c>
      <c r="P15" s="70">
        <f>HYPERLINK(LEFT(CELL("filename",A1),FIND("[",CELL("filename",A1))-1)&amp;"5.콘크리트도상/14_[HBS] 콘크리트 타설 및 양생/수행지침/[HBS] 콘크리트 타설 및 양생_수행지침.html", "수행지침서 열기")</f>
        <v/>
      </c>
      <c r="Q15" s="34" t="inlineStr">
        <is>
          <t>HBR 강도 시험 성적서, 습윤 부직포 포설 상태, 타설 두께 오차 ±10mm 이내 검속</t>
        </is>
      </c>
      <c r="R15" s="71">
        <f>HYPERLINK(LEFT(CELL("filename",A1),FIND("[",CELL("filename",A1))-1)&amp;"5.콘크리트도상/14_[HBS] 콘크리트 타설 및 양생/체크리스트/[HBS] 콘크리트 타설 및 양생_체크리스트.html", "체크리스트 열기")</f>
        <v/>
      </c>
      <c r="S15" s="33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Y15" s="18" t="n"/>
      <c r="DZ15" s="18" t="n"/>
      <c r="EA15" s="18" t="n"/>
      <c r="EB15" s="18" t="n"/>
      <c r="EC15" s="18" t="n"/>
      <c r="ED15" s="18" t="n"/>
      <c r="EE15" s="18" t="n"/>
      <c r="EF15" s="18" t="n"/>
      <c r="EG15" s="18" t="n"/>
      <c r="EH15" s="18" t="n"/>
      <c r="EI15" s="18" t="n"/>
      <c r="EJ15" s="18" t="n"/>
      <c r="EK15" s="18" t="n"/>
      <c r="EL15" s="18" t="n"/>
      <c r="EM15" s="18" t="n"/>
      <c r="EN15" s="18" t="n"/>
      <c r="EO15" s="18" t="n"/>
      <c r="EP15" s="18" t="n"/>
      <c r="EQ15" s="18" t="n"/>
      <c r="ER15" s="18" t="n"/>
      <c r="ES15" s="18" t="n"/>
      <c r="ET15" s="18" t="n"/>
      <c r="EU15" s="18" t="n"/>
      <c r="EV15" s="18" t="n"/>
      <c r="EW15" s="18" t="n"/>
      <c r="EX15" s="18" t="n"/>
      <c r="EY15" s="18" t="n"/>
      <c r="EZ15" s="18" t="n"/>
      <c r="FA15" s="18" t="n"/>
      <c r="FB15" s="18" t="n"/>
      <c r="FC15" s="18" t="n"/>
      <c r="FD15" s="18" t="n"/>
      <c r="FE15" s="18" t="n"/>
      <c r="FF15" s="18" t="n"/>
      <c r="FG15" s="18" t="n"/>
      <c r="FH15" s="18" t="n"/>
      <c r="FI15" s="18" t="n"/>
      <c r="FJ15" s="18" t="n"/>
      <c r="FK15" s="18" t="n"/>
      <c r="FL15" s="18" t="n"/>
      <c r="FM15" s="18" t="n"/>
      <c r="FN15" s="18" t="n"/>
      <c r="FO15" s="18" t="n"/>
    </row>
    <row r="16" ht="52.05" customHeight="1" s="88">
      <c r="A16" s="19" t="inlineStr">
        <is>
          <t>9000</t>
        </is>
      </c>
      <c r="B16" s="19" t="inlineStr">
        <is>
          <t>9000-5</t>
        </is>
      </c>
      <c r="C16" s="19" t="inlineStr">
        <is>
          <t>콘크리트도상</t>
        </is>
      </c>
      <c r="D16" s="19" t="inlineStr">
        <is>
          <t>9000-5-15</t>
        </is>
      </c>
      <c r="E16" s="95" t="inlineStr">
        <is>
          <t>9000-5-12, 9000-5-13, 9000-5-14</t>
        </is>
      </c>
      <c r="F16" s="95" t="inlineStr">
        <is>
          <t>9000-5-16, 9000-5-17</t>
        </is>
      </c>
      <c r="G16" s="23" t="inlineStr">
        <is>
          <t>[반-PC 슬래브] 패널반입 및 설치</t>
        </is>
      </c>
      <c r="H16" s="21" t="inlineStr">
        <is>
          <t>D+15 (D+10~D+15)</t>
        </is>
      </c>
      <c r="I16" s="21" t="inlineStr">
        <is>
          <t>현장 공사팀</t>
        </is>
      </c>
      <c r="J16" s="24" t="inlineStr">
        <is>
          <t>궤광지지체 구간의 PC 슬래브로 교차로/교량구간 급속시공 필요</t>
        </is>
      </c>
      <c r="K16" s="24" t="inlineStr">
        <is>
          <t>PC 슬래브 반입 시, 균열 및 오염 유무를 확인하고, 캔트가 설계 제원에 맞게 제작되었는지 확인
- PC 슬래브 설치 시, 보조도상에 표기된 위치에 정정위치하고, 받침목을 모서리부(패널 길이의 1/4, 3/4 지점) 좌우 4개소 배치
- 사전 적재위치 선정을 통해 소요반 비용발생을 방지</t>
        </is>
      </c>
      <c r="L16" s="24" t="inlineStr">
        <is>
          <t>PC슬래브 거치 수준 실측표, 평탄성 대장</t>
        </is>
      </c>
      <c r="M16" s="24" t="inlineStr">
        <is>
          <t>PC 슬래브 패널 평탄성 오차 ±3mm 이내 거치. 광학 토탈스테이션 연동 정밀 3D 얼라인먼트.</t>
        </is>
      </c>
      <c r="N16" s="69">
        <f>HYPERLINK(LEFT(CELL("filename",A1),FIND("[",CELL("filename",A1))-1)&amp;"5.콘크리트도상/15_[반-PC 슬래브] 패널반입 및 설치/표준서/[반-PC 슬래브] 패널반입 및 설치_표준서.html", "표준서 열기")</f>
        <v/>
      </c>
      <c r="O16" s="24" t="inlineStr">
        <is>
          <t>1) 노반 표면 이물질 청소 및 광학 측량기 셋팅
2) 점 인양 빔으로 패널 거치 후 스핀들 게이지 정밀 수평 조정</t>
        </is>
      </c>
      <c r="P16" s="70">
        <f>HYPERLINK(LEFT(CELL("filename",A1),FIND("[",CELL("filename",A1))-1)&amp;"5.콘크리트도상/15_[반-PC 슬래브] 패널반입 및 설치/수행지침/[반-PC 슬래브] 패널반입 및 설치_수행지침.html", "수행지침서 열기")</f>
        <v/>
      </c>
      <c r="Q16" s="24" t="inlineStr">
        <is>
          <t>Screw Jack 레벨 정위치 고정, 3D 광학 실측 좌표 일치, 코너 크랙 육안 검사</t>
        </is>
      </c>
      <c r="R16" s="71">
        <f>HYPERLINK(LEFT(CELL("filename",A1),FIND("[",CELL("filename",A1))-1)&amp;"5.콘크리트도상/15_[반-PC 슬래브] 패널반입 및 설치/체크리스트/[반-PC 슬래브] 패널반입 및 설치_체크리스트.html", "체크리스트 열기")</f>
        <v/>
      </c>
      <c r="S16" s="2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8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8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8" t="n"/>
    </row>
    <row r="17" ht="52.05" customHeight="1" s="88">
      <c r="A17" s="29" t="inlineStr">
        <is>
          <t>9000</t>
        </is>
      </c>
      <c r="B17" s="29" t="inlineStr">
        <is>
          <t>9000-5</t>
        </is>
      </c>
      <c r="C17" s="29" t="inlineStr">
        <is>
          <t>콘크리트도상</t>
        </is>
      </c>
      <c r="D17" s="29" t="inlineStr">
        <is>
          <t>9000-5-16</t>
        </is>
      </c>
      <c r="E17" s="102" t="inlineStr">
        <is>
          <t>9000-5-14, 9000-5-15</t>
        </is>
      </c>
      <c r="F17" s="102" t="inlineStr">
        <is>
          <t>9000-5-17, 9000-5-18</t>
        </is>
      </c>
      <c r="G17" s="32" t="inlineStr">
        <is>
          <t>[PST] 전단앵커설치 및 충전재 주입</t>
        </is>
      </c>
      <c r="H17" s="33" t="inlineStr">
        <is>
          <t>D+16 (D+16~D+16)</t>
        </is>
      </c>
      <c r="I17" s="33" t="inlineStr">
        <is>
          <t>현장 공사팀</t>
        </is>
      </c>
      <c r="J17" s="34" t="inlineStr">
        <is>
          <t>HBS, TCL층과 일체화를 위하여 전단앵커를 설치하고 몰탈 충전재 주입</t>
        </is>
      </c>
      <c r="K17" s="34" t="inlineStr">
        <is>
          <t>충전재 주입 중 재료나 장비의 이상으로 완전히 충전되지 않을 경우에는 충전재가 경화되기 전에 기 주입된 충전재를 제거하고 물청소를 시행한 후 재작업 실시
- EVA Foam 구멍을 뚫어 몰탈 유출 확인, 밀실하게 충진되었는지 확인
- 충전재 주입이 완료되면 충전층이 경화되기 전에 전단키 덮개를 시공하여 수분의 유입을 차단</t>
        </is>
      </c>
      <c r="L17" s="34" t="inlineStr">
        <is>
          <t>앵커 시공인장 시험기록, 그라우트 공시체 강도대장</t>
        </is>
      </c>
      <c r="M17" s="34" t="inlineStr">
        <is>
          <t>전단앵커 구멍 천공 깊이 및 수직도 확보. 무수축 모르타르 그라우트 압축강도 ≥ 30 MPa 충전.</t>
        </is>
      </c>
      <c r="N17" s="69">
        <f>HYPERLINK(LEFT(CELL("filename",A1),FIND("[",CELL("filename",A1))-1)&amp;"5.콘크리트도상/16_[PST] 전단앵커설치 및 충전재 주입/표준서/[PST] 전단앵커설치 및 충전재 주입_표준서.html", "표준서 열기")</f>
        <v/>
      </c>
      <c r="O17" s="34" t="inlineStr">
        <is>
          <t>1) 앵커 홀 이물질 제거 및 무수축 그라우트 배합비 확인
2) 음향 탐사로 공기 공동 파악 및 45 MPa 몰드 시험 확인</t>
        </is>
      </c>
      <c r="P17" s="70">
        <f>HYPERLINK(LEFT(CELL("filename",A1),FIND("[",CELL("filename",A1))-1)&amp;"5.콘크리트도상/16_[PST] 전단앵커설치 및 충전재 주입/수행지침/[PST] 전단앵커설치 및 충전재 주입_수행지침.html", "수행지침서 열기")</f>
        <v/>
      </c>
      <c r="Q17" s="34" t="inlineStr">
        <is>
          <t>천공 깊이 측정 게이지 점검, 앵커 인장 강도 확인, 원웨이 주입 배출구 몰탈 오버플로우 확인</t>
        </is>
      </c>
      <c r="R17" s="71">
        <f>HYPERLINK(LEFT(CELL("filename",A1),FIND("[",CELL("filename",A1))-1)&amp;"5.콘크리트도상/16_[PST] 전단앵커설치 및 충전재 주입/체크리스트/[PST] 전단앵커설치 및 충전재 주입_체크리스트.html", "체크리스트 열기")</f>
        <v/>
      </c>
      <c r="S17" s="33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8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8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8" t="n"/>
      <c r="FT17" s="18" t="n"/>
      <c r="FU17" s="18" t="n"/>
      <c r="FV17" s="18" t="n"/>
      <c r="FW17" s="18" t="n"/>
    </row>
    <row r="18" ht="52.05" customHeight="1" s="88">
      <c r="A18" s="19" t="inlineStr">
        <is>
          <t>9000</t>
        </is>
      </c>
      <c r="B18" s="19" t="inlineStr">
        <is>
          <t>9000-5</t>
        </is>
      </c>
      <c r="C18" s="19" t="inlineStr">
        <is>
          <t>콘크리트도상</t>
        </is>
      </c>
      <c r="D18" s="19" t="inlineStr">
        <is>
          <t>9000-5-17</t>
        </is>
      </c>
      <c r="E18" s="95" t="inlineStr">
        <is>
          <t>9000-5-12, 9000-5-15, 9000-5-16</t>
        </is>
      </c>
      <c r="F18" s="95" t="inlineStr">
        <is>
          <t>9000-5-18, 9000-5-20</t>
        </is>
      </c>
      <c r="G18" s="23" t="inlineStr">
        <is>
          <t>[TCL] 궤광 및 철근조립</t>
        </is>
      </c>
      <c r="H18" s="21" t="inlineStr">
        <is>
          <t>D+30 (D+17~D+30)</t>
        </is>
      </c>
      <c r="I18" s="21" t="inlineStr">
        <is>
          <t>현장 공사팀</t>
        </is>
      </c>
      <c r="J18" s="24" t="inlineStr">
        <is>
          <t>TCL 철근조립 및 부설시 매립형 궤도를 포함한 궤광의 변위 발생 방지</t>
        </is>
      </c>
      <c r="K18" s="24" t="inlineStr">
        <is>
          <t>임시침목을 이용한 궤광 설치 및 줄틀림, 면틀림, 중심간격 허용오차는 3mm 이내
- 종방향, 횡방향 철근 조립시 2m 간격설치, 철근처짐이 없도록 용접 또는 결속</t>
        </is>
      </c>
      <c r="L18" s="24" t="inlineStr">
        <is>
          <t>철근배근 검측서, 신호 이격 거리표</t>
        </is>
      </c>
      <c r="M18" s="24" t="inlineStr">
        <is>
          <t>1,435mm 표준궤 정밀 유지 타이바 설치. 철근 피복 두께 40mm 확보 및 신호 감선 이격 150mm.</t>
        </is>
      </c>
      <c r="N18" s="69">
        <f>HYPERLINK(LEFT(CELL("filename",A1),FIND("[",CELL("filename",A1))-1)&amp;"5.콘크리트도상/17_[TCL] 궤광 및 철근조립/표준서/[TCL] 궤광 및 철근조립_표준서.html", "표준서 열기")</f>
        <v/>
      </c>
      <c r="O18" s="24" t="inlineStr">
        <is>
          <t>1) CP 광학 레벨기로 궤도 중심선 및 기준 높이 확인
2) 궤간 1,435mm(+3,-1mm) 고정 및 캔트/수평 오차 ±2mm 이내 정밀 정열</t>
        </is>
      </c>
      <c r="P18" s="70">
        <f>HYPERLINK(LEFT(CELL("filename",A1),FIND("[",CELL("filename",A1))-1)&amp;"5.콘크리트도상/17_[TCL] 궤광 및 철근조립/수행지침/[TCL] 궤광 및 철근조립_수행지침.html", "수행지침서 열기")</f>
        <v/>
      </c>
      <c r="Q18" s="24" t="inlineStr">
        <is>
          <t>철근 결속선 긴장 상태, 타이바 조임 토크 확인, 신호 루프 케이블 배근 이격 확인</t>
        </is>
      </c>
      <c r="R18" s="71">
        <f>HYPERLINK(LEFT(CELL("filename",A1),FIND("[",CELL("filename",A1))-1)&amp;"5.콘크리트도상/17_[TCL] 궤광 및 철근조립/체크리스트/[TCL] 궤광 및 철근 조립_체크리스트.html", "체크리스트 열기")</f>
        <v/>
      </c>
      <c r="S18" s="2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8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8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8" t="n"/>
      <c r="FT18" s="18" t="n"/>
      <c r="FU18" s="18" t="n"/>
      <c r="FV18" s="18" t="n"/>
      <c r="FW18" s="18" t="n"/>
      <c r="FX18" s="18" t="n"/>
      <c r="FY18" s="18" t="n"/>
      <c r="FZ18" s="18" t="n"/>
      <c r="GA18" s="18" t="n"/>
    </row>
    <row r="19" ht="52.05" customHeight="1" s="88">
      <c r="A19" s="29" t="inlineStr">
        <is>
          <t>9000</t>
        </is>
      </c>
      <c r="B19" s="29" t="inlineStr">
        <is>
          <t>9000-5</t>
        </is>
      </c>
      <c r="C19" s="29" t="inlineStr">
        <is>
          <t>콘크리트도상</t>
        </is>
      </c>
      <c r="D19" s="29" t="inlineStr">
        <is>
          <t>9000-5-18</t>
        </is>
      </c>
      <c r="E19" s="102" t="inlineStr">
        <is>
          <t>9000-5-16, 9000-5-17</t>
        </is>
      </c>
      <c r="F19" s="102" t="inlineStr">
        <is>
          <t>9000-5-19</t>
        </is>
      </c>
      <c r="G19" s="32" t="inlineStr">
        <is>
          <t>[TCL] 거푸집 설치</t>
        </is>
      </c>
      <c r="H19" s="33" t="inlineStr">
        <is>
          <t>D+35 (D+31~D+35)</t>
        </is>
      </c>
      <c r="I19" s="33" t="inlineStr">
        <is>
          <t>현장 공사팀</t>
        </is>
      </c>
      <c r="J19" s="34" t="inlineStr">
        <is>
          <t>거푸집 지지대는 철근이 타설압력에 의해 변위가 발생하지 않도록 앵커나 서포트로 고정</t>
        </is>
      </c>
      <c r="K19" s="34" t="inlineStr">
        <is>
          <t>강재거푸집거푸집 반영
- 작업자 이동통로 확보가 되어 있는지 확인하고, 넘어짐 등의 안전사고가 발생하지 않도록 지지대에 별도 식별장치 설치</t>
        </is>
      </c>
      <c r="L19" s="34" t="inlineStr">
        <is>
          <t>거푸집설치 대조표, 박리제 검사철</t>
        </is>
      </c>
      <c r="M19" s="34" t="inlineStr">
        <is>
          <t>타설 측압 대비 서포트 앵커 W=1.0m 간격 고정. 거푸집 수평/수직 처짐 변위 ±2mm 이내 통제.</t>
        </is>
      </c>
      <c r="N19" s="69">
        <f>HYPERLINK(LEFT(CELL("filename",A1),FIND("[",CELL("filename",A1))-1)&amp;"5.콘크리트도상/18_[TCL] 거푸집 설치/표준서/[TCL] 거푸집 설치_표준서.html", "표준서 열기")</f>
        <v/>
      </c>
      <c r="O19" s="34" t="inlineStr">
        <is>
          <t>1) 거푸집 선형 검측표 작성 후 감리원 검측 승인
2) 거푸집 면 이물질 청소 및 환경 친화 박리제 균일 도포</t>
        </is>
      </c>
      <c r="P19" s="70">
        <f>HYPERLINK(LEFT(CELL("filename",A1),FIND("[",CELL("filename",A1))-1)&amp;"5.콘크리트도상/18_[TCL] 거푸집 설치/수행지침/[TCL] 거푸집 설치_수행지침.html", "수행지침서 열기")</f>
        <v/>
      </c>
      <c r="Q19" s="34" t="inlineStr">
        <is>
          <t>거푸집 지지대 앵커 조임, 박리제 도포 상태, 이음매 틈새 누수 패킹 확인</t>
        </is>
      </c>
      <c r="R19" s="71">
        <f>HYPERLINK(LEFT(CELL("filename",A1),FIND("[",CELL("filename",A1))-1)&amp;"5.콘크리트도상/18_[TCL] 거푸집 설치/체크리스트/[TCL] 거푸집 설치_체크리스트.html", "체크리스트 열기")</f>
        <v/>
      </c>
      <c r="S19" s="33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Y19" s="18" t="n"/>
      <c r="DZ19" s="18" t="n"/>
      <c r="EA19" s="18" t="n"/>
      <c r="EB19" s="18" t="n"/>
      <c r="EC19" s="18" t="n"/>
      <c r="ED19" s="18" t="n"/>
      <c r="EE19" s="18" t="n"/>
      <c r="EF19" s="18" t="n"/>
      <c r="EG19" s="18" t="n"/>
      <c r="EH19" s="18" t="n"/>
      <c r="EI19" s="18" t="n"/>
      <c r="EJ19" s="18" t="n"/>
      <c r="EK19" s="18" t="n"/>
      <c r="EL19" s="18" t="n"/>
      <c r="EM19" s="18" t="n"/>
      <c r="EN19" s="18" t="n"/>
      <c r="EO19" s="18" t="n"/>
      <c r="EP19" s="18" t="n"/>
      <c r="EQ19" s="18" t="n"/>
      <c r="ER19" s="18" t="n"/>
      <c r="ES19" s="18" t="n"/>
      <c r="ET19" s="18" t="n"/>
      <c r="EU19" s="18" t="n"/>
      <c r="EV19" s="18" t="n"/>
      <c r="EW19" s="18" t="n"/>
      <c r="EX19" s="18" t="n"/>
      <c r="EY19" s="18" t="n"/>
      <c r="EZ19" s="18" t="n"/>
      <c r="FA19" s="18" t="n"/>
      <c r="FB19" s="18" t="n"/>
      <c r="FC19" s="18" t="n"/>
      <c r="FD19" s="18" t="n"/>
      <c r="FE19" s="18" t="n"/>
      <c r="FF19" s="18" t="n"/>
      <c r="FG19" s="18" t="n"/>
      <c r="FH19" s="18" t="n"/>
      <c r="FI19" s="18" t="n"/>
      <c r="FJ19" s="18" t="n"/>
      <c r="FK19" s="18" t="n"/>
      <c r="FL19" s="18" t="n"/>
      <c r="FM19" s="18" t="n"/>
      <c r="FN19" s="18" t="n"/>
      <c r="FO19" s="18" t="n"/>
      <c r="FP19" s="18" t="n"/>
      <c r="FQ19" s="18" t="n"/>
      <c r="FR19" s="18" t="n"/>
      <c r="FS19" s="18" t="n"/>
      <c r="FT19" s="18" t="n"/>
      <c r="FU19" s="18" t="n"/>
      <c r="FV19" s="18" t="n"/>
      <c r="FW19" s="18" t="n"/>
      <c r="FX19" s="18" t="n"/>
      <c r="FY19" s="18" t="n"/>
      <c r="FZ19" s="18" t="n"/>
      <c r="GA19" s="18" t="n"/>
      <c r="GB19" s="18" t="n"/>
      <c r="GC19" s="18" t="n"/>
      <c r="GD19" s="18" t="n"/>
      <c r="GE19" s="18" t="n"/>
    </row>
    <row r="20" ht="52.05" customHeight="1" s="88">
      <c r="A20" s="19" t="inlineStr">
        <is>
          <t>9000</t>
        </is>
      </c>
      <c r="B20" s="19" t="inlineStr">
        <is>
          <t>9000-5</t>
        </is>
      </c>
      <c r="C20" s="19" t="inlineStr">
        <is>
          <t>콘크리트도상</t>
        </is>
      </c>
      <c r="D20" s="19" t="inlineStr">
        <is>
          <t>9000-5-19</t>
        </is>
      </c>
      <c r="E20" s="95" t="inlineStr">
        <is>
          <t>9000-5-18</t>
        </is>
      </c>
      <c r="F20" s="95" t="inlineStr">
        <is>
          <t>9000-5-20, 9000-5-21</t>
        </is>
      </c>
      <c r="G20" s="23" t="inlineStr">
        <is>
          <t>[TCL] 콘크리트 타설 및 양생</t>
        </is>
      </c>
      <c r="H20" s="21" t="inlineStr">
        <is>
          <t>D+50 (D+36~D+50)</t>
        </is>
      </c>
      <c r="I20" s="21" t="inlineStr">
        <is>
          <t>현장 공사팀</t>
        </is>
      </c>
      <c r="J20" s="24" t="inlineStr">
        <is>
          <t>TCL은 궤도 부속자재(레일, 고정액상수지 등)가 연결되어 있어, 선형조정 및 연마감 작업이 중요</t>
        </is>
      </c>
      <c r="K20" s="24" t="inlineStr">
        <is>
          <t>슬럼프값은 10cm 이하 타설, 피니셔의 진행 정지시 진동 다짐 장비 중지
- 7일이상 습윤양생 시행, 양생이후 콘크리트 도상내 이물질 청소 및 세척
- 그루브드레일 홈 부분 청소 및 세척, 치수확인</t>
        </is>
      </c>
      <c r="L20" s="24" t="inlineStr">
        <is>
          <t>TCL 콘크리트 품질대장, 게이지 실시간 보정일지</t>
        </is>
      </c>
      <c r="M20" s="24" t="inlineStr">
        <is>
          <t>TCL 도상 콘크리트 강도 ≥ 35 MPa. 타설 중 실시간 궤간척(Gauge Bar) 캔트 오차 ±2mm 보정.</t>
        </is>
      </c>
      <c r="N20" s="69">
        <f>HYPERLINK(LEFT(CELL("filename",A1),FIND("[",CELL("filename",A1))-1)&amp;"5.콘크리트도상/19_[TCL] 콘크리트 타설 및 양생/표준서/[TCL] 콘크리트 타설 및 양생_표준서.html", "표준서 열기")</f>
        <v/>
      </c>
      <c r="O20" s="24" t="inlineStr">
        <is>
          <t>1) 타설 직전 스핀들 궤간/캔트 최종 정열 상태 측량
2) 고주파 다짐 실시 및 타설 중 실시간 궤간/캔트 오차 미세 조율</t>
        </is>
      </c>
      <c r="P20" s="70">
        <f>HYPERLINK(LEFT(CELL("filename",A1),FIND("[",CELL("filename",A1))-1)&amp;"5.콘크리트도상/19_[TCL] 콘크리트 타설 및 양생/수행지침/[TCL] 콘크리트 타설 및 양생_수행지침.html", "수행지침서 열기")</f>
        <v/>
      </c>
      <c r="Q20" s="24" t="inlineStr">
        <is>
          <t>타설 중 궤간척 실시간 모니터링, 슬럼프 및 공기량 시험, 습윤 양생 부직포 포설 확인</t>
        </is>
      </c>
      <c r="R20" s="71">
        <f>HYPERLINK(LEFT(CELL("filename",A1),FIND("[",CELL("filename",A1))-1)&amp;"5.콘크리트도상/19_[TCL] 콘크리트 타설 및 양생/체크리스트/[TCL] 콘크리트 타설 및 양생_체크리스트.html", "체크리스트 열기")</f>
        <v/>
      </c>
      <c r="S20" s="2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Y20" s="18" t="n"/>
      <c r="DZ20" s="18" t="n"/>
      <c r="EA20" s="18" t="n"/>
      <c r="EB20" s="18" t="n"/>
      <c r="EC20" s="18" t="n"/>
      <c r="ED20" s="18" t="n"/>
      <c r="EE20" s="18" t="n"/>
      <c r="EF20" s="18" t="n"/>
      <c r="EG20" s="18" t="n"/>
      <c r="EH20" s="18" t="n"/>
      <c r="EI20" s="18" t="n"/>
      <c r="EJ20" s="18" t="n"/>
      <c r="EK20" s="18" t="n"/>
      <c r="EL20" s="18" t="n"/>
      <c r="EM20" s="18" t="n"/>
      <c r="EN20" s="18" t="n"/>
      <c r="EO20" s="18" t="n"/>
      <c r="EP20" s="18" t="n"/>
      <c r="EQ20" s="18" t="n"/>
      <c r="ER20" s="18" t="n"/>
      <c r="ES20" s="18" t="n"/>
      <c r="ET20" s="18" t="n"/>
      <c r="EU20" s="18" t="n"/>
      <c r="EV20" s="18" t="n"/>
      <c r="EW20" s="18" t="n"/>
      <c r="EX20" s="18" t="n"/>
      <c r="EY20" s="18" t="n"/>
      <c r="EZ20" s="18" t="n"/>
      <c r="FA20" s="18" t="n"/>
      <c r="FB20" s="18" t="n"/>
      <c r="FC20" s="18" t="n"/>
      <c r="FD20" s="18" t="n"/>
      <c r="FE20" s="18" t="n"/>
      <c r="FF20" s="18" t="n"/>
      <c r="FG20" s="18" t="n"/>
      <c r="FH20" s="18" t="n"/>
      <c r="FI20" s="18" t="n"/>
      <c r="FJ20" s="18" t="n"/>
      <c r="FK20" s="18" t="n"/>
      <c r="FL20" s="18" t="n"/>
      <c r="FM20" s="18" t="n"/>
      <c r="FN20" s="18" t="n"/>
      <c r="FO20" s="18" t="n"/>
      <c r="FP20" s="18" t="n"/>
      <c r="FQ20" s="18" t="n"/>
      <c r="FR20" s="18" t="n"/>
      <c r="FS20" s="18" t="n"/>
      <c r="FT20" s="18" t="n"/>
      <c r="FU20" s="18" t="n"/>
      <c r="FV20" s="18" t="n"/>
      <c r="FW20" s="18" t="n"/>
      <c r="FX20" s="18" t="n"/>
      <c r="FY20" s="18" t="n"/>
      <c r="FZ20" s="18" t="n"/>
      <c r="GA20" s="18" t="n"/>
      <c r="GB20" s="18" t="n"/>
      <c r="GC20" s="18" t="n"/>
      <c r="GD20" s="18" t="n"/>
      <c r="GE20" s="18" t="n"/>
      <c r="GF20" s="18" t="n"/>
      <c r="GG20" s="18" t="n"/>
      <c r="GH20" s="18" t="n"/>
      <c r="GI20" s="18" t="n"/>
    </row>
    <row r="21" ht="52.05" customHeight="1" s="88">
      <c r="A21" s="29" t="inlineStr">
        <is>
          <t>9000</t>
        </is>
      </c>
      <c r="B21" s="29" t="inlineStr">
        <is>
          <t>9000-5</t>
        </is>
      </c>
      <c r="C21" s="29" t="inlineStr">
        <is>
          <t>콘크리트도상</t>
        </is>
      </c>
      <c r="D21" s="29" t="inlineStr">
        <is>
          <t>9000-5-20</t>
        </is>
      </c>
      <c r="E21" s="102" t="inlineStr">
        <is>
          <t>9000-5-3, 9000-5-17, 9000-5-19</t>
        </is>
      </c>
      <c r="F21" s="102" t="inlineStr">
        <is>
          <t>9000-5-21, 9000-5-22</t>
        </is>
      </c>
      <c r="G21" s="32" t="inlineStr">
        <is>
          <t>[레일용접] 가스 압접</t>
        </is>
      </c>
      <c r="H21" s="33" t="inlineStr">
        <is>
          <t>D+63 (D-60~D+63)</t>
        </is>
      </c>
      <c r="I21" s="33" t="inlineStr">
        <is>
          <t>현장 공사팀</t>
        </is>
      </c>
      <c r="J21" s="34" t="inlineStr">
        <is>
          <t>장대레일 제작을 위해 용접기에서 가스로 레일 단부를 가열한 후, 강한 압력을 가하여 레일을 접합</t>
        </is>
      </c>
      <c r="K21" s="34" t="inlineStr">
        <is>
          <t>레일의 엇갈림, 굴곡 등 외관으로 확인 가능한 것은 적열 중에 교정하며, 냉각이 진행되었으면 재가열 한 후 교정
- 교정된 레일의 접합부는 마찬가지로 적열상태일때 트리밍하여 불순물을 제거
- 가스압접 완료 후 외관검사를 통해 레일의 균열, 굽힘, 비틀림을 확인하고, 지분탐상검사를 통해 내부 결함을 확인</t>
        </is>
      </c>
      <c r="L21" s="34" t="inlineStr">
        <is>
          <t>가스압접 시공성적표, UT 비파괴보고서</t>
        </is>
      </c>
      <c r="M21" s="34" t="inlineStr">
        <is>
          <t>EN 14587 규격 준수. 레일 단부 가열(1200℃) 후 압송. 용접부 직선도 1m당 ±0.2mm 이내 정밀 연마.</t>
        </is>
      </c>
      <c r="N21" s="69">
        <f>HYPERLINK(LEFT(CELL("filename",A1),FIND("[",CELL("filename",A1))-1)&amp;"5.콘크리트도상/20_[레일용접] 가스 압접/표준서/[레일용접] 가스 압접_표준서.html", "표준서 열기")</f>
        <v/>
      </c>
      <c r="O21" s="34" t="inlineStr">
        <is>
          <t>1) 레일 단면 50mm 녹/기름 제거 및 가스 압접기 압력 교정
2) EN 14587 프로그램에 따라 자동 가열 및 버(Burr) 핫 쉐어링 전단</t>
        </is>
      </c>
      <c r="P21" s="70">
        <f>HYPERLINK(LEFT(CELL("filename",A1),FIND("[",CELL("filename",A1))-1)&amp;"5.콘크리트도상/20_[레일용접] 가스 압접/수행지침/[레일용접] 가스 압접_수행지침.html", "수행지침서 열기")</f>
        <v/>
      </c>
      <c r="Q21" s="34" t="inlineStr">
        <is>
          <t>가스 압접 압력 게이지 확인, 용접부 급랭 방지 덮개 설치, 비파괴 시험(UT) 성적서 결재</t>
        </is>
      </c>
      <c r="R21" s="71">
        <f>HYPERLINK(LEFT(CELL("filename",A1),FIND("[",CELL("filename",A1))-1)&amp;"5.콘크리트도상/20_[레일용접] 가스 압접/체크리스트/[레일용접] 가스 압접_체크리스트.html", "체크리스트 열기")</f>
        <v/>
      </c>
      <c r="S21" s="33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8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8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8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18" t="n"/>
      <c r="GI21" s="18" t="n"/>
      <c r="GJ21" s="18" t="n"/>
      <c r="GK21" s="18" t="n"/>
      <c r="GL21" s="18" t="n"/>
      <c r="GM21" s="18" t="n"/>
    </row>
    <row r="22" ht="52.05" customHeight="1" s="88">
      <c r="A22" s="19" t="inlineStr">
        <is>
          <t>9000</t>
        </is>
      </c>
      <c r="B22" s="19" t="inlineStr">
        <is>
          <t>9000-5</t>
        </is>
      </c>
      <c r="C22" s="19" t="inlineStr">
        <is>
          <t>콘크리트도상</t>
        </is>
      </c>
      <c r="D22" s="19" t="inlineStr">
        <is>
          <t>9000-5-21</t>
        </is>
      </c>
      <c r="E22" s="95" t="inlineStr">
        <is>
          <t>9000-5-19, 9000-5-20</t>
        </is>
      </c>
      <c r="F22" s="95" t="inlineStr">
        <is>
          <t>9000-5-22</t>
        </is>
      </c>
      <c r="G22" s="23" t="inlineStr">
        <is>
          <t>[레일용접] 테르밋 용접</t>
        </is>
      </c>
      <c r="H22" s="21" t="inlineStr">
        <is>
          <t>D+64 (D+64~D+64)</t>
        </is>
      </c>
      <c r="I22" s="21" t="inlineStr">
        <is>
          <t>현장 공사팀</t>
        </is>
      </c>
      <c r="J22" s="24" t="inlineStr">
        <is>
          <t>테르밋 용제를 예열된 장대레일 공간에 넣고 용융하여 모든 장대레일을 일체화</t>
        </is>
      </c>
      <c r="K22" s="24" t="inlineStr">
        <is>
          <t>면, 틈맞춤 -&gt; 몰드설치 -&gt; 용접부예열 -&gt; 용접부연마 -&gt; 용접완료
- 테르밋 용접 완료 후 외관검사를 통해 레일의 균열, 굽힘, 비틀림을 확인하고, 침투탐상검사 및 초음파탐상검사를 통해 내부 결함을 확인
- 용접이 완료된 개소 측면에 용접년도와 용접공 고유번호가 표시 되었는지 확인
- 테르밋 용접 용제 폐기물 수거를 위해 톤마대를 준비하고, 폐기물 반출 일정을 수립</t>
        </is>
      </c>
      <c r="L22" s="24" t="inlineStr">
        <is>
          <t>테르밋 용접일지, MT 자분탐상 보고서</t>
        </is>
      </c>
      <c r="M22" s="24" t="inlineStr">
        <is>
          <t>EN 14730 규격 준수. 도가니 반응 후 슬래그 분리. 직선도 오차 ±0.2mm 이내 및 NDT 100% 합격.</t>
        </is>
      </c>
      <c r="N22" s="69">
        <f>HYPERLINK(LEFT(CELL("filename",A1),FIND("[",CELL("filename",A1))-1)&amp;"5.콘크리트도상/21_[레일용접] 테르밋 용접/표준서/[레일용접] 테르밋 용접_표준서.html", "표준서 열기")</f>
        <v/>
      </c>
      <c r="O22" s="24" t="inlineStr">
        <is>
          <t>1) 레일 끝단 23~26mm 유격 조정 및 레일 정열 클램프 고정
2) 몰드 밀봉 후 테르밋 소모품點火 반응 주입 및 약 5분 후 유압 전단</t>
        </is>
      </c>
      <c r="P22" s="70">
        <f>HYPERLINK(LEFT(CELL("filename",A1),FIND("[",CELL("filename",A1))-1)&amp;"5.콘크리트도상/21_[레일용접] 테르밋 용접/수행지침/[레일용접] 테르밋 용접_수행지침.html", "수행지침서 열기")</f>
        <v/>
      </c>
      <c r="Q22" s="24" t="inlineStr">
        <is>
          <t>테르밋 용제 예열 온도 확인, 도가니 수평 고정, 비파괴 검사(UT/MT) 전수 실시</t>
        </is>
      </c>
      <c r="R22" s="71">
        <f>HYPERLINK(LEFT(CELL("filename",A1),FIND("[",CELL("filename",A1))-1)&amp;"5.콘크리트도상/21_[레일용접] 테르밋 용접/체크리스트/[레일용접] 테르밋 용접_체크리스트.html", "체크리스트 열기")</f>
        <v/>
      </c>
      <c r="S22" s="2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Y22" s="18" t="n"/>
      <c r="DZ22" s="18" t="n"/>
      <c r="EA22" s="18" t="n"/>
      <c r="EB22" s="18" t="n"/>
      <c r="EC22" s="18" t="n"/>
      <c r="ED22" s="18" t="n"/>
      <c r="EE22" s="18" t="n"/>
      <c r="EF22" s="18" t="n"/>
      <c r="EG22" s="18" t="n"/>
      <c r="EH22" s="18" t="n"/>
      <c r="EI22" s="18" t="n"/>
      <c r="EJ22" s="18" t="n"/>
      <c r="EK22" s="18" t="n"/>
      <c r="EL22" s="18" t="n"/>
      <c r="EM22" s="18" t="n"/>
      <c r="EN22" s="18" t="n"/>
      <c r="EO22" s="18" t="n"/>
      <c r="EP22" s="18" t="n"/>
      <c r="EQ22" s="18" t="n"/>
      <c r="ER22" s="18" t="n"/>
      <c r="ES22" s="18" t="n"/>
      <c r="ET22" s="18" t="n"/>
      <c r="EU22" s="18" t="n"/>
      <c r="EV22" s="18" t="n"/>
      <c r="EW22" s="18" t="n"/>
      <c r="EX22" s="18" t="n"/>
      <c r="EY22" s="18" t="n"/>
      <c r="EZ22" s="18" t="n"/>
      <c r="FA22" s="18" t="n"/>
      <c r="FB22" s="18" t="n"/>
      <c r="FC22" s="18" t="n"/>
      <c r="FD22" s="18" t="n"/>
      <c r="FE22" s="18" t="n"/>
      <c r="FF22" s="18" t="n"/>
      <c r="FG22" s="18" t="n"/>
      <c r="FH22" s="18" t="n"/>
      <c r="FI22" s="18" t="n"/>
      <c r="FJ22" s="18" t="n"/>
      <c r="FK22" s="18" t="n"/>
      <c r="FL22" s="18" t="n"/>
      <c r="FM22" s="18" t="n"/>
      <c r="FN22" s="18" t="n"/>
      <c r="FO22" s="18" t="n"/>
      <c r="FP22" s="18" t="n"/>
      <c r="FQ22" s="18" t="n"/>
      <c r="FR22" s="18" t="n"/>
      <c r="FS22" s="18" t="n"/>
      <c r="FT22" s="18" t="n"/>
      <c r="FU22" s="18" t="n"/>
      <c r="FV22" s="18" t="n"/>
      <c r="FW22" s="18" t="n"/>
      <c r="FX22" s="18" t="n"/>
      <c r="FY22" s="18" t="n"/>
      <c r="FZ22" s="18" t="n"/>
      <c r="GA22" s="18" t="n"/>
      <c r="GB22" s="18" t="n"/>
      <c r="GC22" s="18" t="n"/>
      <c r="GD22" s="18" t="n"/>
      <c r="GE22" s="18" t="n"/>
      <c r="GF22" s="18" t="n"/>
      <c r="GG22" s="18" t="n"/>
      <c r="GH22" s="18" t="n"/>
      <c r="GI22" s="18" t="n"/>
      <c r="GJ22" s="18" t="n"/>
      <c r="GK22" s="18" t="n"/>
      <c r="GL22" s="18" t="n"/>
      <c r="GM22" s="18" t="n"/>
      <c r="GN22" s="18" t="n"/>
      <c r="GO22" s="18" t="n"/>
      <c r="GP22" s="18" t="n"/>
      <c r="GQ22" s="18" t="n"/>
    </row>
    <row r="23" ht="52.05" customHeight="1" s="88">
      <c r="A23" s="29" t="inlineStr">
        <is>
          <t>9000</t>
        </is>
      </c>
      <c r="B23" s="29" t="inlineStr">
        <is>
          <t>9000-5</t>
        </is>
      </c>
      <c r="C23" s="29" t="inlineStr">
        <is>
          <t>콘크리트도상</t>
        </is>
      </c>
      <c r="D23" s="29" t="inlineStr">
        <is>
          <t>9000-5-22</t>
        </is>
      </c>
      <c r="E23" s="102" t="inlineStr">
        <is>
          <t>9000-5-20, 9000-5-21</t>
        </is>
      </c>
      <c r="F23" s="102" t="inlineStr">
        <is>
          <t>9000-5-23</t>
        </is>
      </c>
      <c r="G23" s="32" t="inlineStr">
        <is>
          <t>[레일연마] 레일연마 or 밀링</t>
        </is>
      </c>
      <c r="H23" s="33" t="inlineStr">
        <is>
          <t>D+75 (D+71~D+75)</t>
        </is>
      </c>
      <c r="I23" s="33" t="inlineStr">
        <is>
          <t>현장 공사팀</t>
        </is>
      </c>
      <c r="J23" s="34" t="inlineStr">
        <is>
          <t>레일 연마 or 밀링작업을 통해 선로의 평탄화증을 제거하여 레일 수명 향상 및 운행 안정성 개선</t>
        </is>
      </c>
      <c r="K23" s="34" t="inlineStr">
        <is>
          <t>레일연마는 연마 작업시 발생하는 스파크, 분진, 냉각수로 인한 Risk를 개선한 신기술로, 연마를 시행하는 것이 레일의 품질관리 및 시공성 측면에서 유리
- 장비보유현황 및 투입 스케줄 확인 필요
- 연마(밀링) 완료 후, 연마지에 압축기를 설치하여 연마깊이(현식량)를 측정</t>
        </is>
      </c>
      <c r="L23" s="34" t="inlineStr">
        <is>
          <t>선로 평탄성검사 성적표, 조도 실측야장</t>
        </is>
      </c>
      <c r="M23" s="34" t="inlineStr">
        <is>
          <t>레일 마무리면 평탄성 1m 기준 오차 ±0.2mm 이내 밀링. 레일 과열에 의한 열응력 크랙 방지.</t>
        </is>
      </c>
      <c r="N23" s="69">
        <f>HYPERLINK(LEFT(CELL("filename",A1),FIND("[",CELL("filename",A1))-1)&amp;"5.콘크리트도상/22_[레일연마] 레일연마 or 밀링/표준서/[레일연마] 레일연마 or 밀링_표준서.html", "표준서 열기")</f>
        <v/>
      </c>
      <c r="O23" s="34" t="inlineStr">
        <is>
          <t>1) 조도계로 Ra ≤ 10㎛ 판정 및 레일 연마 검측 승인
2) 장대레일 구간 연마/밀링 장비 점검 및 표면 단차 사전 조사</t>
        </is>
      </c>
      <c r="P23" s="70">
        <f>HYPERLINK(LEFT(CELL("filename",A1),FIND("[",CELL("filename",A1))-1)&amp;"5.콘크리트도상/22_[레일연마] 레일연마 or 밀링/수행지침/[레일연마] 레일연마 or 밀링_수행지침.html", "수행지침서 열기")</f>
        <v/>
      </c>
      <c r="Q23" s="34" t="inlineStr">
        <is>
          <t>레일 조도/평탄성 측정 성적서, 절삭유 적정 분사 상태, 마이크로미터 선로 실측</t>
        </is>
      </c>
      <c r="R23" s="71">
        <f>HYPERLINK(LEFT(CELL("filename",A1),FIND("[",CELL("filename",A1))-1)&amp;"5.콘크리트도상/22_[레일연마] 레일연마 or 밀링/체크리스트/[레일연마] 레일연마 or 밀링_체크리스트.html", "체크리스트 열기")</f>
        <v/>
      </c>
      <c r="S23" s="33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8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8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8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18" t="n"/>
      <c r="GI23" s="18" t="n"/>
      <c r="GJ23" s="18" t="n"/>
      <c r="GK23" s="18" t="n"/>
      <c r="GL23" s="18" t="n"/>
      <c r="GM23" s="18" t="n"/>
      <c r="GN23" s="18" t="n"/>
      <c r="GO23" s="18" t="n"/>
      <c r="GP23" s="18" t="n"/>
      <c r="GQ23" s="18" t="n"/>
      <c r="GR23" s="18" t="n"/>
      <c r="GS23" s="18" t="n"/>
      <c r="GT23" s="18" t="n"/>
      <c r="GU23" s="18" t="n"/>
    </row>
    <row r="24" ht="52.05" customHeight="1" s="88">
      <c r="A24" s="19" t="inlineStr">
        <is>
          <t>9000</t>
        </is>
      </c>
      <c r="B24" s="19" t="inlineStr">
        <is>
          <t>9000-5</t>
        </is>
      </c>
      <c r="C24" s="19" t="inlineStr">
        <is>
          <t>콘크리트도상</t>
        </is>
      </c>
      <c r="D24" s="19" t="inlineStr">
        <is>
          <t>9000-5-23</t>
        </is>
      </c>
      <c r="E24" s="95" t="inlineStr">
        <is>
          <t>9000-5-22</t>
        </is>
      </c>
      <c r="F24" s="95" t="inlineStr">
        <is>
          <t>-</t>
        </is>
      </c>
      <c r="G24" s="23" t="inlineStr">
        <is>
          <t>후속공사 인수인계</t>
        </is>
      </c>
      <c r="H24" s="21" t="inlineStr">
        <is>
          <t>D+75일 이후</t>
        </is>
      </c>
      <c r="I24" s="21" t="inlineStr">
        <is>
          <t>현장 공사팀/품질팀</t>
        </is>
      </c>
      <c r="J24" s="24" t="inlineStr">
        <is>
          <t>완료구간 후속공사 인수인계</t>
        </is>
      </c>
      <c r="K24" s="24" t="inlineStr">
        <is>
          <t>완료된 궤도 구간에 대해 후속 분야(전기, 신호 등)가 공사를 진행할 수 있도록 인계</t>
        </is>
      </c>
      <c r="L24" s="24" t="inlineStr">
        <is>
          <t>궤도 완공 인수서명부, 절연저항 성적철</t>
        </is>
      </c>
      <c r="M24" s="24" t="inlineStr">
        <is>
          <t>전기/신호/노반 담당자 입회 하에 궤도 회로 절연 저항 ≥ 100MΩ 검속. 준공 도면 일치 서명.</t>
        </is>
      </c>
      <c r="N24" s="69">
        <f>HYPERLINK(LEFT(CELL("filename",A1),FIND("[",CELL("filename",A1))-1)&amp;"5.콘크리트도상/23_후속공사 인수인계/표준서/후속공사 인수인계_표준서.html", "표준서 열기")</f>
        <v/>
      </c>
      <c r="O24" s="24" t="inlineStr">
        <is>
          <t>1) 궤도 회로 절연 및 궤간 오차 현장 합동 확인
2) 구간별 NDT 용접 성과표, 강도 성적서 및 궤도 정열표 대조</t>
        </is>
      </c>
      <c r="P24" s="70">
        <f>HYPERLINK(LEFT(CELL("filename",A1),FIND("[",CELL("filename",A1))-1)&amp;"5.콘크리트도상/23_후속공사 인수인계/수행지침/후속공사 인수인계_수행지침.html", "수행지침서 열기")</f>
        <v/>
      </c>
      <c r="Q24" s="24" t="inlineStr">
        <is>
          <t>3자 공동 인수 서명 날인, 절연 저항 테스트 결과표 첨부, CAD 준공 대장 제출</t>
        </is>
      </c>
      <c r="R24" s="71">
        <f>HYPERLINK(LEFT(CELL("filename",A1),FIND("[",CELL("filename",A1))-1)&amp;"5.콘크리트도상/23_후속공사 인수인계/체크리스트/후속공사 인수인계_체크리스트.html", "체크리스트 열기")</f>
        <v/>
      </c>
      <c r="S24" s="2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8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8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8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18" t="n"/>
      <c r="GI24" s="18" t="n"/>
      <c r="GJ24" s="18" t="n"/>
      <c r="GK24" s="18" t="n"/>
      <c r="GL24" s="18" t="n"/>
      <c r="GM24" s="18" t="n"/>
      <c r="GN24" s="18" t="n"/>
      <c r="GO24" s="18" t="n"/>
      <c r="GP24" s="18" t="n"/>
      <c r="GQ24" s="18" t="n"/>
      <c r="GR24" s="18" t="n"/>
      <c r="GS24" s="18" t="n"/>
      <c r="GT24" s="18" t="n"/>
      <c r="GU24" s="18" t="n"/>
      <c r="GV24" s="18" t="n"/>
      <c r="GW24" s="18" t="n"/>
      <c r="GX24" s="18" t="n"/>
      <c r="GY24" s="18" t="n"/>
    </row>
    <row r="25">
      <c r="A25" s="18" t="n"/>
      <c r="B25" s="18" t="n"/>
      <c r="C25" s="18" t="n"/>
      <c r="D25" s="18" t="n"/>
      <c r="E25" s="40" t="n"/>
      <c r="F25" s="40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4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8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8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8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18" t="n"/>
      <c r="GI25" s="18" t="n"/>
      <c r="GJ25" s="18" t="n"/>
      <c r="GK25" s="18" t="n"/>
      <c r="GL25" s="18" t="n"/>
      <c r="GM25" s="18" t="n"/>
      <c r="GN25" s="18" t="n"/>
      <c r="GO25" s="18" t="n"/>
      <c r="GP25" s="18" t="n"/>
      <c r="GQ25" s="18" t="n"/>
      <c r="GR25" s="18" t="n"/>
      <c r="GS25" s="18" t="n"/>
      <c r="GT25" s="18" t="n"/>
      <c r="GU25" s="18" t="n"/>
      <c r="GV25" s="18" t="n"/>
      <c r="GW25" s="18" t="n"/>
      <c r="GX25" s="18" t="n"/>
      <c r="GY25" s="18" t="n"/>
      <c r="GZ25" s="18" t="n"/>
      <c r="HA25" s="18" t="n"/>
      <c r="HB25" s="18" t="n"/>
      <c r="HC25" s="18" t="n"/>
    </row>
    <row r="26">
      <c r="A26" s="18" t="n"/>
      <c r="B26" s="18" t="n"/>
      <c r="C26" s="18" t="n"/>
      <c r="D26" s="18" t="n"/>
      <c r="E26" s="40" t="n"/>
      <c r="F26" s="40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4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8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8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8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18" t="n"/>
      <c r="GI26" s="18" t="n"/>
      <c r="GJ26" s="18" t="n"/>
      <c r="GK26" s="18" t="n"/>
      <c r="GL26" s="18" t="n"/>
      <c r="GM26" s="18" t="n"/>
      <c r="GN26" s="18" t="n"/>
      <c r="GO26" s="18" t="n"/>
      <c r="GP26" s="18" t="n"/>
      <c r="GQ26" s="18" t="n"/>
      <c r="GR26" s="18" t="n"/>
      <c r="GS26" s="18" t="n"/>
      <c r="GT26" s="18" t="n"/>
      <c r="GU26" s="18" t="n"/>
      <c r="GV26" s="18" t="n"/>
      <c r="GW26" s="18" t="n"/>
      <c r="GX26" s="18" t="n"/>
      <c r="GY26" s="18" t="n"/>
      <c r="GZ26" s="18" t="n"/>
      <c r="HA26" s="18" t="n"/>
      <c r="HB26" s="18" t="n"/>
      <c r="HC26" s="18" t="n"/>
      <c r="HD26" s="18" t="n"/>
      <c r="HE26" s="18" t="n"/>
      <c r="HF26" s="18" t="n"/>
      <c r="HG26" s="18" t="n"/>
    </row>
    <row r="27">
      <c r="A27" s="18" t="n"/>
      <c r="B27" s="18" t="n"/>
      <c r="C27" s="18" t="n"/>
      <c r="D27" s="18" t="n"/>
      <c r="E27" s="40" t="n"/>
      <c r="F27" s="40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4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Y27" s="18" t="n"/>
      <c r="DZ27" s="18" t="n"/>
      <c r="EA27" s="18" t="n"/>
      <c r="EB27" s="18" t="n"/>
      <c r="EC27" s="18" t="n"/>
      <c r="ED27" s="18" t="n"/>
      <c r="EE27" s="18" t="n"/>
      <c r="EF27" s="18" t="n"/>
      <c r="EG27" s="18" t="n"/>
      <c r="EH27" s="18" t="n"/>
      <c r="EI27" s="18" t="n"/>
      <c r="EJ27" s="18" t="n"/>
      <c r="EK27" s="18" t="n"/>
      <c r="EL27" s="18" t="n"/>
      <c r="EM27" s="18" t="n"/>
      <c r="EN27" s="18" t="n"/>
      <c r="EO27" s="18" t="n"/>
      <c r="EP27" s="18" t="n"/>
      <c r="EQ27" s="18" t="n"/>
      <c r="ER27" s="18" t="n"/>
      <c r="ES27" s="18" t="n"/>
      <c r="ET27" s="18" t="n"/>
      <c r="EU27" s="18" t="n"/>
      <c r="EV27" s="18" t="n"/>
      <c r="EW27" s="18" t="n"/>
      <c r="EX27" s="18" t="n"/>
      <c r="EY27" s="18" t="n"/>
      <c r="EZ27" s="18" t="n"/>
      <c r="FA27" s="18" t="n"/>
      <c r="FB27" s="18" t="n"/>
      <c r="FC27" s="18" t="n"/>
      <c r="FD27" s="18" t="n"/>
      <c r="FE27" s="18" t="n"/>
      <c r="FF27" s="18" t="n"/>
      <c r="FG27" s="18" t="n"/>
      <c r="FH27" s="18" t="n"/>
      <c r="FI27" s="18" t="n"/>
      <c r="FJ27" s="18" t="n"/>
      <c r="FK27" s="18" t="n"/>
      <c r="FL27" s="18" t="n"/>
      <c r="FM27" s="18" t="n"/>
      <c r="FN27" s="18" t="n"/>
      <c r="FO27" s="18" t="n"/>
      <c r="FP27" s="18" t="n"/>
      <c r="FQ27" s="18" t="n"/>
      <c r="FR27" s="18" t="n"/>
      <c r="FS27" s="18" t="n"/>
      <c r="FT27" s="18" t="n"/>
      <c r="FU27" s="18" t="n"/>
      <c r="FV27" s="18" t="n"/>
      <c r="FW27" s="18" t="n"/>
      <c r="FX27" s="18" t="n"/>
      <c r="FY27" s="18" t="n"/>
      <c r="FZ27" s="18" t="n"/>
      <c r="GA27" s="18" t="n"/>
      <c r="GB27" s="18" t="n"/>
      <c r="GC27" s="18" t="n"/>
      <c r="GD27" s="18" t="n"/>
      <c r="GE27" s="18" t="n"/>
      <c r="GF27" s="18" t="n"/>
      <c r="GG27" s="18" t="n"/>
      <c r="GH27" s="18" t="n"/>
      <c r="GI27" s="18" t="n"/>
      <c r="GJ27" s="18" t="n"/>
      <c r="GK27" s="18" t="n"/>
      <c r="GL27" s="18" t="n"/>
      <c r="GM27" s="18" t="n"/>
      <c r="GN27" s="18" t="n"/>
      <c r="GO27" s="18" t="n"/>
      <c r="GP27" s="18" t="n"/>
      <c r="GQ27" s="18" t="n"/>
      <c r="GR27" s="18" t="n"/>
      <c r="GS27" s="18" t="n"/>
      <c r="GT27" s="18" t="n"/>
      <c r="GU27" s="18" t="n"/>
      <c r="GV27" s="18" t="n"/>
      <c r="GW27" s="18" t="n"/>
      <c r="GX27" s="18" t="n"/>
      <c r="GY27" s="18" t="n"/>
      <c r="GZ27" s="18" t="n"/>
      <c r="HA27" s="18" t="n"/>
      <c r="HB27" s="18" t="n"/>
      <c r="HC27" s="18" t="n"/>
      <c r="HD27" s="18" t="n"/>
      <c r="HE27" s="18" t="n"/>
      <c r="HF27" s="18" t="n"/>
      <c r="HG27" s="18" t="n"/>
      <c r="HH27" s="18" t="n"/>
      <c r="HI27" s="18" t="n"/>
      <c r="HJ27" s="18" t="n"/>
      <c r="HK27" s="18" t="n"/>
    </row>
    <row r="28">
      <c r="A28" s="18" t="n"/>
      <c r="B28" s="18" t="n"/>
      <c r="C28" s="18" t="n"/>
      <c r="D28" s="18" t="n"/>
      <c r="E28" s="40" t="n"/>
      <c r="F28" s="40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4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Y28" s="18" t="n"/>
      <c r="DZ28" s="18" t="n"/>
      <c r="EA28" s="18" t="n"/>
      <c r="EB28" s="18" t="n"/>
      <c r="EC28" s="18" t="n"/>
      <c r="ED28" s="18" t="n"/>
      <c r="EE28" s="18" t="n"/>
      <c r="EF28" s="18" t="n"/>
      <c r="EG28" s="18" t="n"/>
      <c r="EH28" s="18" t="n"/>
      <c r="EI28" s="18" t="n"/>
      <c r="EJ28" s="18" t="n"/>
      <c r="EK28" s="18" t="n"/>
      <c r="EL28" s="18" t="n"/>
      <c r="EM28" s="18" t="n"/>
      <c r="EN28" s="18" t="n"/>
      <c r="EO28" s="18" t="n"/>
      <c r="EP28" s="18" t="n"/>
      <c r="EQ28" s="18" t="n"/>
      <c r="ER28" s="18" t="n"/>
      <c r="ES28" s="18" t="n"/>
      <c r="ET28" s="18" t="n"/>
      <c r="EU28" s="18" t="n"/>
      <c r="EV28" s="18" t="n"/>
      <c r="EW28" s="18" t="n"/>
      <c r="EX28" s="18" t="n"/>
      <c r="EY28" s="18" t="n"/>
      <c r="EZ28" s="18" t="n"/>
      <c r="FA28" s="18" t="n"/>
      <c r="FB28" s="18" t="n"/>
      <c r="FC28" s="18" t="n"/>
      <c r="FD28" s="18" t="n"/>
      <c r="FE28" s="18" t="n"/>
      <c r="FF28" s="18" t="n"/>
      <c r="FG28" s="18" t="n"/>
      <c r="FH28" s="18" t="n"/>
      <c r="FI28" s="18" t="n"/>
      <c r="FJ28" s="18" t="n"/>
      <c r="FK28" s="18" t="n"/>
      <c r="FL28" s="18" t="n"/>
      <c r="FM28" s="18" t="n"/>
      <c r="FN28" s="18" t="n"/>
      <c r="FO28" s="18" t="n"/>
      <c r="FP28" s="18" t="n"/>
      <c r="FQ28" s="18" t="n"/>
      <c r="FR28" s="18" t="n"/>
      <c r="FS28" s="18" t="n"/>
      <c r="FT28" s="18" t="n"/>
      <c r="FU28" s="18" t="n"/>
      <c r="FV28" s="18" t="n"/>
      <c r="FW28" s="18" t="n"/>
      <c r="FX28" s="18" t="n"/>
      <c r="FY28" s="18" t="n"/>
      <c r="FZ28" s="18" t="n"/>
      <c r="GA28" s="18" t="n"/>
      <c r="GB28" s="18" t="n"/>
      <c r="GC28" s="18" t="n"/>
      <c r="GD28" s="18" t="n"/>
      <c r="GE28" s="18" t="n"/>
      <c r="GF28" s="18" t="n"/>
      <c r="GG28" s="18" t="n"/>
      <c r="GH28" s="18" t="n"/>
      <c r="GI28" s="18" t="n"/>
      <c r="GJ28" s="18" t="n"/>
      <c r="GK28" s="18" t="n"/>
      <c r="GL28" s="18" t="n"/>
      <c r="GM28" s="18" t="n"/>
      <c r="GN28" s="18" t="n"/>
      <c r="GO28" s="18" t="n"/>
      <c r="GP28" s="18" t="n"/>
      <c r="GQ28" s="18" t="n"/>
      <c r="GR28" s="18" t="n"/>
      <c r="GS28" s="18" t="n"/>
      <c r="GT28" s="18" t="n"/>
      <c r="GU28" s="18" t="n"/>
      <c r="GV28" s="18" t="n"/>
      <c r="GW28" s="18" t="n"/>
      <c r="GX28" s="18" t="n"/>
      <c r="GY28" s="18" t="n"/>
      <c r="GZ28" s="18" t="n"/>
      <c r="HA28" s="18" t="n"/>
      <c r="HB28" s="18" t="n"/>
      <c r="HC28" s="18" t="n"/>
      <c r="HD28" s="18" t="n"/>
      <c r="HE28" s="18" t="n"/>
      <c r="HF28" s="18" t="n"/>
      <c r="HG28" s="18" t="n"/>
      <c r="HH28" s="18" t="n"/>
      <c r="HI28" s="18" t="n"/>
      <c r="HJ28" s="18" t="n"/>
      <c r="HK28" s="18" t="n"/>
      <c r="HL28" s="18" t="n"/>
      <c r="HM28" s="18" t="n"/>
      <c r="HN28" s="18" t="n"/>
      <c r="HO28" s="18" t="n"/>
    </row>
    <row r="29" ht="46.8" customHeight="1" s="88">
      <c r="A29" s="18" t="n"/>
      <c r="B29" s="18" t="n"/>
      <c r="C29" s="18" t="n"/>
      <c r="D29" s="18" t="n"/>
      <c r="E29" s="40" t="n"/>
      <c r="F29" s="40" t="n"/>
      <c r="G29" s="18" t="n"/>
      <c r="H29" s="18" t="n"/>
      <c r="I29" s="18" t="n"/>
      <c r="J29" s="18" t="n"/>
      <c r="K29" s="18" t="n"/>
      <c r="L29" s="18" t="n"/>
      <c r="M29" s="18" t="n"/>
      <c r="N29" s="41" t="n"/>
      <c r="O29" s="18" t="n"/>
      <c r="P29" s="42" t="n"/>
      <c r="Q29" s="18" t="n"/>
      <c r="R29" s="43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Y29" s="18" t="n"/>
      <c r="DZ29" s="18" t="n"/>
      <c r="EA29" s="18" t="n"/>
      <c r="EB29" s="18" t="n"/>
      <c r="EC29" s="18" t="n"/>
      <c r="ED29" s="18" t="n"/>
      <c r="EE29" s="18" t="n"/>
      <c r="EF29" s="18" t="n"/>
      <c r="EG29" s="18" t="n"/>
      <c r="EH29" s="18" t="n"/>
      <c r="EI29" s="18" t="n"/>
      <c r="EJ29" s="18" t="n"/>
      <c r="EK29" s="18" t="n"/>
      <c r="EL29" s="18" t="n"/>
      <c r="EM29" s="18" t="n"/>
      <c r="EN29" s="18" t="n"/>
      <c r="EO29" s="18" t="n"/>
      <c r="EP29" s="18" t="n"/>
      <c r="EQ29" s="18" t="n"/>
      <c r="ER29" s="18" t="n"/>
      <c r="ES29" s="18" t="n"/>
      <c r="ET29" s="18" t="n"/>
      <c r="EU29" s="18" t="n"/>
      <c r="EV29" s="18" t="n"/>
      <c r="EW29" s="18" t="n"/>
      <c r="EX29" s="18" t="n"/>
      <c r="EY29" s="18" t="n"/>
      <c r="EZ29" s="18" t="n"/>
      <c r="FA29" s="18" t="n"/>
      <c r="FB29" s="18" t="n"/>
      <c r="FC29" s="18" t="n"/>
      <c r="FD29" s="18" t="n"/>
      <c r="FE29" s="18" t="n"/>
      <c r="FF29" s="18" t="n"/>
      <c r="FG29" s="18" t="n"/>
      <c r="FH29" s="18" t="n"/>
      <c r="FI29" s="18" t="n"/>
      <c r="FJ29" s="18" t="n"/>
      <c r="FK29" s="18" t="n"/>
      <c r="FL29" s="18" t="n"/>
      <c r="FM29" s="18" t="n"/>
      <c r="FN29" s="18" t="n"/>
      <c r="FO29" s="18" t="n"/>
      <c r="FP29" s="18" t="n"/>
      <c r="FQ29" s="18" t="n"/>
      <c r="FR29" s="18" t="n"/>
      <c r="FS29" s="18" t="n"/>
      <c r="FT29" s="18" t="n"/>
      <c r="FU29" s="18" t="n"/>
      <c r="FV29" s="18" t="n"/>
      <c r="FW29" s="18" t="n"/>
      <c r="FX29" s="18" t="n"/>
      <c r="FY29" s="18" t="n"/>
      <c r="FZ29" s="18" t="n"/>
      <c r="GA29" s="18" t="n"/>
      <c r="GB29" s="18" t="n"/>
      <c r="GC29" s="18" t="n"/>
      <c r="GD29" s="18" t="n"/>
      <c r="GE29" s="18" t="n"/>
      <c r="GF29" s="18" t="n"/>
      <c r="GG29" s="18" t="n"/>
      <c r="GH29" s="18" t="n"/>
      <c r="GI29" s="18" t="n"/>
      <c r="GJ29" s="18" t="n"/>
      <c r="GK29" s="18" t="n"/>
      <c r="GL29" s="18" t="n"/>
      <c r="GM29" s="18" t="n"/>
      <c r="GN29" s="18" t="n"/>
      <c r="GO29" s="18" t="n"/>
      <c r="GP29" s="18" t="n"/>
      <c r="GQ29" s="18" t="n"/>
      <c r="GR29" s="18" t="n"/>
      <c r="GS29" s="18" t="n"/>
      <c r="GT29" s="18" t="n"/>
      <c r="GU29" s="18" t="n"/>
      <c r="GV29" s="18" t="n"/>
      <c r="GW29" s="18" t="n"/>
      <c r="GX29" s="18" t="n"/>
      <c r="GY29" s="18" t="n"/>
      <c r="GZ29" s="18" t="n"/>
      <c r="HA29" s="18" t="n"/>
      <c r="HB29" s="18" t="n"/>
      <c r="HC29" s="18" t="n"/>
      <c r="HD29" s="18" t="n"/>
      <c r="HE29" s="18" t="n"/>
      <c r="HF29" s="18" t="n"/>
      <c r="HG29" s="18" t="n"/>
      <c r="HH29" s="18" t="n"/>
      <c r="HI29" s="18" t="n"/>
      <c r="HJ29" s="18" t="n"/>
      <c r="HK29" s="18" t="n"/>
      <c r="HL29" s="18" t="n"/>
      <c r="HM29" s="18" t="n"/>
      <c r="HN29" s="18" t="n"/>
      <c r="HO29" s="18" t="n"/>
      <c r="HP29" s="18" t="n"/>
      <c r="HQ29" s="18" t="n"/>
      <c r="HR29" s="18" t="n"/>
      <c r="HS29" s="18" t="n"/>
    </row>
    <row r="30" ht="46.8" customHeight="1" s="88">
      <c r="A30" s="18" t="n"/>
      <c r="B30" s="18" t="n"/>
      <c r="C30" s="18" t="n"/>
      <c r="D30" s="18" t="n"/>
      <c r="E30" s="40" t="n"/>
      <c r="F30" s="40" t="n"/>
      <c r="G30" s="18" t="n"/>
      <c r="H30" s="18" t="n"/>
      <c r="I30" s="18" t="n"/>
      <c r="J30" s="18" t="n"/>
      <c r="K30" s="18" t="n"/>
      <c r="L30" s="18" t="n"/>
      <c r="M30" s="18" t="n"/>
      <c r="N30" s="41" t="n"/>
      <c r="O30" s="18" t="n"/>
      <c r="P30" s="42" t="n"/>
      <c r="Q30" s="18" t="n"/>
      <c r="R30" s="43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Y30" s="18" t="n"/>
      <c r="DZ30" s="18" t="n"/>
      <c r="EA30" s="18" t="n"/>
      <c r="EB30" s="18" t="n"/>
      <c r="EC30" s="18" t="n"/>
      <c r="ED30" s="18" t="n"/>
      <c r="EE30" s="18" t="n"/>
      <c r="EF30" s="18" t="n"/>
      <c r="EG30" s="18" t="n"/>
      <c r="EH30" s="18" t="n"/>
      <c r="EI30" s="18" t="n"/>
      <c r="EJ30" s="18" t="n"/>
      <c r="EK30" s="18" t="n"/>
      <c r="EL30" s="18" t="n"/>
      <c r="EM30" s="18" t="n"/>
      <c r="EN30" s="18" t="n"/>
      <c r="EO30" s="18" t="n"/>
      <c r="EP30" s="18" t="n"/>
      <c r="EQ30" s="18" t="n"/>
      <c r="ER30" s="18" t="n"/>
      <c r="ES30" s="18" t="n"/>
      <c r="ET30" s="18" t="n"/>
      <c r="EU30" s="18" t="n"/>
      <c r="EV30" s="18" t="n"/>
      <c r="EW30" s="18" t="n"/>
      <c r="EX30" s="18" t="n"/>
      <c r="EY30" s="18" t="n"/>
      <c r="EZ30" s="18" t="n"/>
      <c r="FA30" s="18" t="n"/>
      <c r="FB30" s="18" t="n"/>
      <c r="FC30" s="18" t="n"/>
      <c r="FD30" s="18" t="n"/>
      <c r="FE30" s="18" t="n"/>
      <c r="FF30" s="18" t="n"/>
      <c r="FG30" s="18" t="n"/>
      <c r="FH30" s="18" t="n"/>
      <c r="FI30" s="18" t="n"/>
      <c r="FJ30" s="18" t="n"/>
      <c r="FK30" s="18" t="n"/>
      <c r="FL30" s="18" t="n"/>
      <c r="FM30" s="18" t="n"/>
      <c r="FN30" s="18" t="n"/>
      <c r="FO30" s="18" t="n"/>
      <c r="FP30" s="18" t="n"/>
      <c r="FQ30" s="18" t="n"/>
      <c r="FR30" s="18" t="n"/>
      <c r="FS30" s="18" t="n"/>
      <c r="FT30" s="18" t="n"/>
      <c r="FU30" s="18" t="n"/>
      <c r="FV30" s="18" t="n"/>
      <c r="FW30" s="18" t="n"/>
      <c r="FX30" s="18" t="n"/>
      <c r="FY30" s="18" t="n"/>
      <c r="FZ30" s="18" t="n"/>
      <c r="GA30" s="18" t="n"/>
      <c r="GB30" s="18" t="n"/>
      <c r="GC30" s="18" t="n"/>
      <c r="GD30" s="18" t="n"/>
      <c r="GE30" s="18" t="n"/>
      <c r="GF30" s="18" t="n"/>
      <c r="GG30" s="18" t="n"/>
      <c r="GH30" s="18" t="n"/>
      <c r="GI30" s="18" t="n"/>
      <c r="GJ30" s="18" t="n"/>
      <c r="GK30" s="18" t="n"/>
      <c r="GL30" s="18" t="n"/>
      <c r="GM30" s="18" t="n"/>
      <c r="GN30" s="18" t="n"/>
      <c r="GO30" s="18" t="n"/>
      <c r="GP30" s="18" t="n"/>
      <c r="GQ30" s="18" t="n"/>
      <c r="GR30" s="18" t="n"/>
      <c r="GS30" s="18" t="n"/>
      <c r="GT30" s="18" t="n"/>
      <c r="GU30" s="18" t="n"/>
      <c r="GV30" s="18" t="n"/>
      <c r="GW30" s="18" t="n"/>
      <c r="GX30" s="18" t="n"/>
      <c r="GY30" s="18" t="n"/>
      <c r="GZ30" s="18" t="n"/>
      <c r="HA30" s="18" t="n"/>
      <c r="HB30" s="18" t="n"/>
      <c r="HC30" s="18" t="n"/>
      <c r="HD30" s="18" t="n"/>
      <c r="HE30" s="18" t="n"/>
      <c r="HF30" s="18" t="n"/>
      <c r="HG30" s="18" t="n"/>
      <c r="HH30" s="18" t="n"/>
      <c r="HI30" s="18" t="n"/>
      <c r="HJ30" s="18" t="n"/>
      <c r="HK30" s="18" t="n"/>
      <c r="HL30" s="18" t="n"/>
      <c r="HM30" s="18" t="n"/>
      <c r="HN30" s="18" t="n"/>
      <c r="HO30" s="18" t="n"/>
      <c r="HP30" s="18" t="n"/>
      <c r="HQ30" s="18" t="n"/>
      <c r="HR30" s="18" t="n"/>
      <c r="HS30" s="18" t="n"/>
      <c r="HT30" s="18" t="n"/>
      <c r="HU30" s="18" t="n"/>
      <c r="HV30" s="18" t="n"/>
      <c r="HW30" s="18" t="n"/>
    </row>
    <row r="31">
      <c r="A31" s="18" t="n"/>
      <c r="B31" s="18" t="n"/>
      <c r="C31" s="18" t="n"/>
      <c r="D31" s="18" t="n"/>
      <c r="E31" s="40" t="n"/>
      <c r="F31" s="40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Y31" s="18" t="n"/>
      <c r="DZ31" s="18" t="n"/>
      <c r="EA31" s="18" t="n"/>
      <c r="EB31" s="18" t="n"/>
      <c r="EC31" s="18" t="n"/>
      <c r="ED31" s="18" t="n"/>
      <c r="EE31" s="18" t="n"/>
      <c r="EF31" s="18" t="n"/>
      <c r="EG31" s="18" t="n"/>
      <c r="EH31" s="18" t="n"/>
      <c r="EI31" s="18" t="n"/>
      <c r="EJ31" s="18" t="n"/>
      <c r="EK31" s="18" t="n"/>
      <c r="EL31" s="18" t="n"/>
      <c r="EM31" s="18" t="n"/>
      <c r="EN31" s="18" t="n"/>
      <c r="EO31" s="18" t="n"/>
      <c r="EP31" s="18" t="n"/>
      <c r="EQ31" s="18" t="n"/>
      <c r="ER31" s="18" t="n"/>
      <c r="ES31" s="18" t="n"/>
      <c r="ET31" s="18" t="n"/>
      <c r="EU31" s="18" t="n"/>
      <c r="EV31" s="18" t="n"/>
      <c r="EW31" s="18" t="n"/>
      <c r="EX31" s="18" t="n"/>
      <c r="EY31" s="18" t="n"/>
      <c r="EZ31" s="18" t="n"/>
      <c r="FA31" s="18" t="n"/>
      <c r="FB31" s="18" t="n"/>
      <c r="FC31" s="18" t="n"/>
      <c r="FD31" s="18" t="n"/>
      <c r="FE31" s="18" t="n"/>
      <c r="FF31" s="18" t="n"/>
      <c r="FG31" s="18" t="n"/>
      <c r="FH31" s="18" t="n"/>
      <c r="FI31" s="18" t="n"/>
      <c r="FJ31" s="18" t="n"/>
      <c r="FK31" s="18" t="n"/>
      <c r="FL31" s="18" t="n"/>
      <c r="FM31" s="18" t="n"/>
      <c r="FN31" s="18" t="n"/>
      <c r="FO31" s="18" t="n"/>
      <c r="FP31" s="18" t="n"/>
      <c r="FQ31" s="18" t="n"/>
      <c r="FR31" s="18" t="n"/>
      <c r="FS31" s="18" t="n"/>
      <c r="FT31" s="18" t="n"/>
      <c r="FU31" s="18" t="n"/>
      <c r="FV31" s="18" t="n"/>
      <c r="FW31" s="18" t="n"/>
      <c r="FX31" s="18" t="n"/>
      <c r="FY31" s="18" t="n"/>
      <c r="FZ31" s="18" t="n"/>
      <c r="GA31" s="18" t="n"/>
      <c r="GB31" s="18" t="n"/>
      <c r="GC31" s="18" t="n"/>
      <c r="GD31" s="18" t="n"/>
      <c r="GE31" s="18" t="n"/>
      <c r="GF31" s="18" t="n"/>
      <c r="GG31" s="18" t="n"/>
      <c r="GH31" s="18" t="n"/>
      <c r="GI31" s="18" t="n"/>
      <c r="GJ31" s="18" t="n"/>
      <c r="GK31" s="18" t="n"/>
      <c r="GL31" s="18" t="n"/>
      <c r="GM31" s="18" t="n"/>
      <c r="GN31" s="18" t="n"/>
      <c r="GO31" s="18" t="n"/>
      <c r="GP31" s="18" t="n"/>
      <c r="GQ31" s="18" t="n"/>
      <c r="GR31" s="18" t="n"/>
      <c r="GS31" s="18" t="n"/>
      <c r="GT31" s="18" t="n"/>
      <c r="GU31" s="18" t="n"/>
      <c r="GV31" s="18" t="n"/>
      <c r="GW31" s="18" t="n"/>
      <c r="GX31" s="18" t="n"/>
      <c r="GY31" s="18" t="n"/>
      <c r="GZ31" s="18" t="n"/>
      <c r="HA31" s="18" t="n"/>
      <c r="HB31" s="18" t="n"/>
      <c r="HC31" s="18" t="n"/>
      <c r="HD31" s="18" t="n"/>
      <c r="HE31" s="18" t="n"/>
      <c r="HF31" s="18" t="n"/>
      <c r="HG31" s="18" t="n"/>
      <c r="HH31" s="18" t="n"/>
      <c r="HI31" s="18" t="n"/>
      <c r="HJ31" s="18" t="n"/>
      <c r="HK31" s="18" t="n"/>
      <c r="HL31" s="18" t="n"/>
      <c r="HM31" s="18" t="n"/>
      <c r="HN31" s="18" t="n"/>
      <c r="HO31" s="18" t="n"/>
      <c r="HP31" s="18" t="n"/>
      <c r="HQ31" s="18" t="n"/>
      <c r="HR31" s="18" t="n"/>
      <c r="HS31" s="18" t="n"/>
      <c r="HT31" s="18" t="n"/>
      <c r="HU31" s="18" t="n"/>
      <c r="HV31" s="18" t="n"/>
      <c r="HW31" s="18" t="n"/>
      <c r="HX31" s="18" t="n"/>
      <c r="HY31" s="18" t="n"/>
      <c r="HZ31" s="18" t="n"/>
      <c r="IA31" s="18" t="n"/>
    </row>
    <row r="32">
      <c r="A32" s="18" t="n"/>
      <c r="B32" s="18" t="n"/>
      <c r="C32" s="18" t="n"/>
      <c r="D32" s="18" t="n"/>
      <c r="E32" s="40" t="n"/>
      <c r="F32" s="40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Y32" s="18" t="n"/>
      <c r="DZ32" s="18" t="n"/>
      <c r="EA32" s="18" t="n"/>
      <c r="EB32" s="18" t="n"/>
      <c r="EC32" s="18" t="n"/>
      <c r="ED32" s="18" t="n"/>
      <c r="EE32" s="18" t="n"/>
      <c r="EF32" s="18" t="n"/>
      <c r="EG32" s="18" t="n"/>
      <c r="EH32" s="18" t="n"/>
      <c r="EI32" s="18" t="n"/>
      <c r="EJ32" s="18" t="n"/>
      <c r="EK32" s="18" t="n"/>
      <c r="EL32" s="18" t="n"/>
      <c r="EM32" s="18" t="n"/>
      <c r="EN32" s="18" t="n"/>
      <c r="EO32" s="18" t="n"/>
      <c r="EP32" s="18" t="n"/>
      <c r="EQ32" s="18" t="n"/>
      <c r="ER32" s="18" t="n"/>
      <c r="ES32" s="18" t="n"/>
      <c r="ET32" s="18" t="n"/>
      <c r="EU32" s="18" t="n"/>
      <c r="EV32" s="18" t="n"/>
      <c r="EW32" s="18" t="n"/>
      <c r="EX32" s="18" t="n"/>
      <c r="EY32" s="18" t="n"/>
      <c r="EZ32" s="18" t="n"/>
      <c r="FA32" s="18" t="n"/>
      <c r="FB32" s="18" t="n"/>
      <c r="FC32" s="18" t="n"/>
      <c r="FD32" s="18" t="n"/>
      <c r="FE32" s="18" t="n"/>
      <c r="FF32" s="18" t="n"/>
      <c r="FG32" s="18" t="n"/>
      <c r="FH32" s="18" t="n"/>
      <c r="FI32" s="18" t="n"/>
      <c r="FJ32" s="18" t="n"/>
      <c r="FK32" s="18" t="n"/>
      <c r="FL32" s="18" t="n"/>
      <c r="FM32" s="18" t="n"/>
      <c r="FN32" s="18" t="n"/>
      <c r="FO32" s="18" t="n"/>
      <c r="FP32" s="18" t="n"/>
      <c r="FQ32" s="18" t="n"/>
      <c r="FR32" s="18" t="n"/>
      <c r="FS32" s="18" t="n"/>
      <c r="FT32" s="18" t="n"/>
      <c r="FU32" s="18" t="n"/>
      <c r="FV32" s="18" t="n"/>
      <c r="FW32" s="18" t="n"/>
      <c r="FX32" s="18" t="n"/>
      <c r="FY32" s="18" t="n"/>
      <c r="FZ32" s="18" t="n"/>
      <c r="GA32" s="18" t="n"/>
      <c r="GB32" s="18" t="n"/>
      <c r="GC32" s="18" t="n"/>
      <c r="GD32" s="18" t="n"/>
      <c r="GE32" s="18" t="n"/>
      <c r="GF32" s="18" t="n"/>
      <c r="GG32" s="18" t="n"/>
      <c r="GH32" s="18" t="n"/>
      <c r="GI32" s="18" t="n"/>
      <c r="GJ32" s="18" t="n"/>
      <c r="GK32" s="18" t="n"/>
      <c r="GL32" s="18" t="n"/>
      <c r="GM32" s="18" t="n"/>
      <c r="GN32" s="18" t="n"/>
      <c r="GO32" s="18" t="n"/>
      <c r="GP32" s="18" t="n"/>
      <c r="GQ32" s="18" t="n"/>
      <c r="GR32" s="18" t="n"/>
      <c r="GS32" s="18" t="n"/>
      <c r="GT32" s="18" t="n"/>
      <c r="GU32" s="18" t="n"/>
      <c r="GV32" s="18" t="n"/>
      <c r="GW32" s="18" t="n"/>
      <c r="GX32" s="18" t="n"/>
      <c r="GY32" s="18" t="n"/>
      <c r="GZ32" s="18" t="n"/>
      <c r="HA32" s="18" t="n"/>
      <c r="HB32" s="18" t="n"/>
      <c r="HC32" s="18" t="n"/>
      <c r="HD32" s="18" t="n"/>
      <c r="HE32" s="18" t="n"/>
      <c r="HF32" s="18" t="n"/>
      <c r="HG32" s="18" t="n"/>
      <c r="HH32" s="18" t="n"/>
      <c r="HI32" s="18" t="n"/>
      <c r="HJ32" s="18" t="n"/>
      <c r="HK32" s="18" t="n"/>
      <c r="HL32" s="18" t="n"/>
      <c r="HM32" s="18" t="n"/>
      <c r="HN32" s="18" t="n"/>
      <c r="HO32" s="18" t="n"/>
      <c r="HP32" s="18" t="n"/>
      <c r="HQ32" s="18" t="n"/>
      <c r="HR32" s="18" t="n"/>
      <c r="HS32" s="18" t="n"/>
      <c r="HT32" s="18" t="n"/>
      <c r="HU32" s="18" t="n"/>
      <c r="HV32" s="18" t="n"/>
      <c r="HW32" s="18" t="n"/>
      <c r="HX32" s="18" t="n"/>
      <c r="HY32" s="18" t="n"/>
      <c r="HZ32" s="18" t="n"/>
      <c r="IA32" s="18" t="n"/>
      <c r="IB32" s="18" t="n"/>
      <c r="IC32" s="18" t="n"/>
      <c r="ID32" s="18" t="n"/>
      <c r="IE32" s="18" t="n"/>
    </row>
    <row r="33">
      <c r="A33" s="18" t="n"/>
      <c r="B33" s="18" t="n"/>
      <c r="C33" s="18" t="n"/>
      <c r="D33" s="18" t="n"/>
      <c r="E33" s="40" t="n"/>
      <c r="F33" s="40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Y33" s="18" t="n"/>
      <c r="DZ33" s="18" t="n"/>
      <c r="EA33" s="18" t="n"/>
      <c r="EB33" s="18" t="n"/>
      <c r="EC33" s="18" t="n"/>
      <c r="ED33" s="18" t="n"/>
      <c r="EE33" s="18" t="n"/>
      <c r="EF33" s="18" t="n"/>
      <c r="EG33" s="18" t="n"/>
      <c r="EH33" s="18" t="n"/>
      <c r="EI33" s="18" t="n"/>
      <c r="EJ33" s="18" t="n"/>
      <c r="EK33" s="18" t="n"/>
      <c r="EL33" s="18" t="n"/>
      <c r="EM33" s="18" t="n"/>
      <c r="EN33" s="18" t="n"/>
      <c r="EO33" s="18" t="n"/>
      <c r="EP33" s="18" t="n"/>
      <c r="EQ33" s="18" t="n"/>
      <c r="ER33" s="18" t="n"/>
      <c r="ES33" s="18" t="n"/>
      <c r="ET33" s="18" t="n"/>
      <c r="EU33" s="18" t="n"/>
      <c r="EV33" s="18" t="n"/>
      <c r="EW33" s="18" t="n"/>
      <c r="EX33" s="18" t="n"/>
      <c r="EY33" s="18" t="n"/>
      <c r="EZ33" s="18" t="n"/>
      <c r="FA33" s="18" t="n"/>
      <c r="FB33" s="18" t="n"/>
      <c r="FC33" s="18" t="n"/>
      <c r="FD33" s="18" t="n"/>
      <c r="FE33" s="18" t="n"/>
      <c r="FF33" s="18" t="n"/>
      <c r="FG33" s="18" t="n"/>
      <c r="FH33" s="18" t="n"/>
      <c r="FI33" s="18" t="n"/>
      <c r="FJ33" s="18" t="n"/>
      <c r="FK33" s="18" t="n"/>
      <c r="FL33" s="18" t="n"/>
      <c r="FM33" s="18" t="n"/>
      <c r="FN33" s="18" t="n"/>
      <c r="FO33" s="18" t="n"/>
      <c r="FP33" s="18" t="n"/>
      <c r="FQ33" s="18" t="n"/>
      <c r="FR33" s="18" t="n"/>
      <c r="FS33" s="18" t="n"/>
      <c r="FT33" s="18" t="n"/>
      <c r="FU33" s="18" t="n"/>
      <c r="FV33" s="18" t="n"/>
      <c r="FW33" s="18" t="n"/>
      <c r="FX33" s="18" t="n"/>
      <c r="FY33" s="18" t="n"/>
      <c r="FZ33" s="18" t="n"/>
      <c r="GA33" s="18" t="n"/>
      <c r="GB33" s="18" t="n"/>
      <c r="GC33" s="18" t="n"/>
      <c r="GD33" s="18" t="n"/>
      <c r="GE33" s="18" t="n"/>
      <c r="GF33" s="18" t="n"/>
      <c r="GG33" s="18" t="n"/>
      <c r="GH33" s="18" t="n"/>
      <c r="GI33" s="18" t="n"/>
      <c r="GJ33" s="18" t="n"/>
      <c r="GK33" s="18" t="n"/>
      <c r="GL33" s="18" t="n"/>
      <c r="GM33" s="18" t="n"/>
      <c r="GN33" s="18" t="n"/>
      <c r="GO33" s="18" t="n"/>
      <c r="GP33" s="18" t="n"/>
      <c r="GQ33" s="18" t="n"/>
      <c r="GR33" s="18" t="n"/>
      <c r="GS33" s="18" t="n"/>
      <c r="GT33" s="18" t="n"/>
      <c r="GU33" s="18" t="n"/>
      <c r="GV33" s="18" t="n"/>
      <c r="GW33" s="18" t="n"/>
      <c r="GX33" s="18" t="n"/>
      <c r="GY33" s="18" t="n"/>
      <c r="GZ33" s="18" t="n"/>
      <c r="HA33" s="18" t="n"/>
      <c r="HB33" s="18" t="n"/>
      <c r="HC33" s="18" t="n"/>
      <c r="HD33" s="18" t="n"/>
      <c r="HE33" s="18" t="n"/>
      <c r="HF33" s="18" t="n"/>
      <c r="HG33" s="18" t="n"/>
      <c r="HH33" s="18" t="n"/>
      <c r="HI33" s="18" t="n"/>
      <c r="HJ33" s="18" t="n"/>
      <c r="HK33" s="18" t="n"/>
      <c r="HL33" s="18" t="n"/>
      <c r="HM33" s="18" t="n"/>
      <c r="HN33" s="18" t="n"/>
      <c r="HO33" s="18" t="n"/>
      <c r="HP33" s="18" t="n"/>
      <c r="HQ33" s="18" t="n"/>
      <c r="HR33" s="18" t="n"/>
      <c r="HS33" s="18" t="n"/>
      <c r="HT33" s="18" t="n"/>
      <c r="HU33" s="18" t="n"/>
      <c r="HV33" s="18" t="n"/>
      <c r="HW33" s="18" t="n"/>
      <c r="HX33" s="18" t="n"/>
      <c r="HY33" s="18" t="n"/>
      <c r="HZ33" s="18" t="n"/>
      <c r="IA33" s="18" t="n"/>
      <c r="IB33" s="18" t="n"/>
      <c r="IC33" s="18" t="n"/>
      <c r="ID33" s="18" t="n"/>
      <c r="IE33" s="18" t="n"/>
      <c r="IF33" s="18" t="n"/>
      <c r="IG33" s="18" t="n"/>
      <c r="IH33" s="18" t="n"/>
      <c r="II33" s="18" t="n"/>
    </row>
    <row r="34">
      <c r="A34" s="18" t="n"/>
      <c r="B34" s="18" t="n"/>
      <c r="C34" s="18" t="n"/>
      <c r="D34" s="18" t="n"/>
      <c r="E34" s="40" t="n"/>
      <c r="F34" s="40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Y34" s="18" t="n"/>
      <c r="DZ34" s="18" t="n"/>
      <c r="EA34" s="18" t="n"/>
      <c r="EB34" s="18" t="n"/>
      <c r="EC34" s="18" t="n"/>
      <c r="ED34" s="18" t="n"/>
      <c r="EE34" s="18" t="n"/>
      <c r="EF34" s="18" t="n"/>
      <c r="EG34" s="18" t="n"/>
      <c r="EH34" s="18" t="n"/>
      <c r="EI34" s="18" t="n"/>
      <c r="EJ34" s="18" t="n"/>
      <c r="EK34" s="18" t="n"/>
      <c r="EL34" s="18" t="n"/>
      <c r="EM34" s="18" t="n"/>
      <c r="EN34" s="18" t="n"/>
      <c r="EO34" s="18" t="n"/>
      <c r="EP34" s="18" t="n"/>
      <c r="EQ34" s="18" t="n"/>
      <c r="ER34" s="18" t="n"/>
      <c r="ES34" s="18" t="n"/>
      <c r="ET34" s="18" t="n"/>
      <c r="EU34" s="18" t="n"/>
      <c r="EV34" s="18" t="n"/>
      <c r="EW34" s="18" t="n"/>
      <c r="EX34" s="18" t="n"/>
      <c r="EY34" s="18" t="n"/>
      <c r="EZ34" s="18" t="n"/>
      <c r="FA34" s="18" t="n"/>
      <c r="FB34" s="18" t="n"/>
      <c r="FC34" s="18" t="n"/>
      <c r="FD34" s="18" t="n"/>
      <c r="FE34" s="18" t="n"/>
      <c r="FF34" s="18" t="n"/>
      <c r="FG34" s="18" t="n"/>
      <c r="FH34" s="18" t="n"/>
      <c r="FI34" s="18" t="n"/>
      <c r="FJ34" s="18" t="n"/>
      <c r="FK34" s="18" t="n"/>
      <c r="FL34" s="18" t="n"/>
      <c r="FM34" s="18" t="n"/>
      <c r="FN34" s="18" t="n"/>
      <c r="FO34" s="18" t="n"/>
      <c r="FP34" s="18" t="n"/>
      <c r="FQ34" s="18" t="n"/>
      <c r="FR34" s="18" t="n"/>
      <c r="FS34" s="18" t="n"/>
      <c r="FT34" s="18" t="n"/>
      <c r="FU34" s="18" t="n"/>
      <c r="FV34" s="18" t="n"/>
      <c r="FW34" s="18" t="n"/>
      <c r="FX34" s="18" t="n"/>
      <c r="FY34" s="18" t="n"/>
      <c r="FZ34" s="18" t="n"/>
      <c r="GA34" s="18" t="n"/>
      <c r="GB34" s="18" t="n"/>
      <c r="GC34" s="18" t="n"/>
      <c r="GD34" s="18" t="n"/>
      <c r="GE34" s="18" t="n"/>
      <c r="GF34" s="18" t="n"/>
      <c r="GG34" s="18" t="n"/>
      <c r="GH34" s="18" t="n"/>
      <c r="GI34" s="18" t="n"/>
      <c r="GJ34" s="18" t="n"/>
      <c r="GK34" s="18" t="n"/>
      <c r="GL34" s="18" t="n"/>
      <c r="GM34" s="18" t="n"/>
      <c r="GN34" s="18" t="n"/>
      <c r="GO34" s="18" t="n"/>
      <c r="GP34" s="18" t="n"/>
      <c r="GQ34" s="18" t="n"/>
      <c r="GR34" s="18" t="n"/>
      <c r="GS34" s="18" t="n"/>
      <c r="GT34" s="18" t="n"/>
      <c r="GU34" s="18" t="n"/>
      <c r="GV34" s="18" t="n"/>
      <c r="GW34" s="18" t="n"/>
      <c r="GX34" s="18" t="n"/>
      <c r="GY34" s="18" t="n"/>
      <c r="GZ34" s="18" t="n"/>
      <c r="HA34" s="18" t="n"/>
      <c r="HB34" s="18" t="n"/>
      <c r="HC34" s="18" t="n"/>
      <c r="HD34" s="18" t="n"/>
      <c r="HE34" s="18" t="n"/>
      <c r="HF34" s="18" t="n"/>
      <c r="HG34" s="18" t="n"/>
      <c r="HH34" s="18" t="n"/>
      <c r="HI34" s="18" t="n"/>
      <c r="HJ34" s="18" t="n"/>
      <c r="HK34" s="18" t="n"/>
      <c r="HL34" s="18" t="n"/>
      <c r="HM34" s="18" t="n"/>
      <c r="HN34" s="18" t="n"/>
      <c r="HO34" s="18" t="n"/>
      <c r="HP34" s="18" t="n"/>
      <c r="HQ34" s="18" t="n"/>
      <c r="HR34" s="18" t="n"/>
      <c r="HS34" s="18" t="n"/>
      <c r="HT34" s="18" t="n"/>
      <c r="HU34" s="18" t="n"/>
      <c r="HV34" s="18" t="n"/>
      <c r="HW34" s="18" t="n"/>
      <c r="HX34" s="18" t="n"/>
      <c r="HY34" s="18" t="n"/>
      <c r="HZ34" s="18" t="n"/>
      <c r="IA34" s="18" t="n"/>
      <c r="IB34" s="18" t="n"/>
      <c r="IC34" s="18" t="n"/>
      <c r="ID34" s="18" t="n"/>
      <c r="IE34" s="18" t="n"/>
      <c r="IF34" s="18" t="n"/>
      <c r="IG34" s="18" t="n"/>
      <c r="IH34" s="18" t="n"/>
      <c r="II34" s="18" t="n"/>
      <c r="IJ34" s="18" t="n"/>
      <c r="IK34" s="18" t="n"/>
      <c r="IL34" s="18" t="n"/>
      <c r="IM34" s="18" t="n"/>
    </row>
    <row r="35">
      <c r="A35" s="18" t="n"/>
      <c r="B35" s="18" t="n"/>
      <c r="C35" s="18" t="n"/>
      <c r="D35" s="18" t="n"/>
      <c r="E35" s="40" t="n"/>
      <c r="F35" s="40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8" t="n"/>
      <c r="EJ35" s="18" t="n"/>
      <c r="EK35" s="18" t="n"/>
      <c r="EL35" s="18" t="n"/>
      <c r="EM35" s="18" t="n"/>
      <c r="EN35" s="18" t="n"/>
      <c r="EO35" s="18" t="n"/>
      <c r="EP35" s="18" t="n"/>
      <c r="EQ35" s="18" t="n"/>
      <c r="ER35" s="18" t="n"/>
      <c r="ES35" s="18" t="n"/>
      <c r="ET35" s="18" t="n"/>
      <c r="EU35" s="18" t="n"/>
      <c r="EV35" s="18" t="n"/>
      <c r="EW35" s="18" t="n"/>
      <c r="EX35" s="18" t="n"/>
      <c r="EY35" s="18" t="n"/>
      <c r="EZ35" s="18" t="n"/>
      <c r="FA35" s="18" t="n"/>
      <c r="FB35" s="18" t="n"/>
      <c r="FC35" s="18" t="n"/>
      <c r="FD35" s="18" t="n"/>
      <c r="FE35" s="18" t="n"/>
      <c r="FF35" s="18" t="n"/>
      <c r="FG35" s="18" t="n"/>
      <c r="FH35" s="18" t="n"/>
      <c r="FI35" s="18" t="n"/>
      <c r="FJ35" s="18" t="n"/>
      <c r="FK35" s="18" t="n"/>
      <c r="FL35" s="18" t="n"/>
      <c r="FM35" s="18" t="n"/>
      <c r="FN35" s="18" t="n"/>
      <c r="FO35" s="18" t="n"/>
      <c r="FP35" s="18" t="n"/>
      <c r="FQ35" s="18" t="n"/>
      <c r="FR35" s="18" t="n"/>
      <c r="FS35" s="18" t="n"/>
      <c r="FT35" s="18" t="n"/>
      <c r="FU35" s="18" t="n"/>
      <c r="FV35" s="18" t="n"/>
      <c r="FW35" s="18" t="n"/>
      <c r="FX35" s="18" t="n"/>
      <c r="FY35" s="18" t="n"/>
      <c r="FZ35" s="18" t="n"/>
      <c r="GA35" s="18" t="n"/>
      <c r="GB35" s="18" t="n"/>
      <c r="GC35" s="18" t="n"/>
      <c r="GD35" s="18" t="n"/>
      <c r="GE35" s="18" t="n"/>
      <c r="GF35" s="18" t="n"/>
      <c r="GG35" s="18" t="n"/>
      <c r="GH35" s="18" t="n"/>
      <c r="GI35" s="18" t="n"/>
      <c r="GJ35" s="18" t="n"/>
      <c r="GK35" s="18" t="n"/>
      <c r="GL35" s="18" t="n"/>
      <c r="GM35" s="18" t="n"/>
      <c r="GN35" s="18" t="n"/>
      <c r="GO35" s="18" t="n"/>
      <c r="GP35" s="18" t="n"/>
      <c r="GQ35" s="18" t="n"/>
      <c r="GR35" s="18" t="n"/>
      <c r="GS35" s="18" t="n"/>
      <c r="GT35" s="18" t="n"/>
      <c r="GU35" s="18" t="n"/>
      <c r="GV35" s="18" t="n"/>
      <c r="GW35" s="18" t="n"/>
      <c r="GX35" s="18" t="n"/>
      <c r="GY35" s="18" t="n"/>
      <c r="GZ35" s="18" t="n"/>
      <c r="HA35" s="18" t="n"/>
      <c r="HB35" s="18" t="n"/>
      <c r="HC35" s="18" t="n"/>
      <c r="HD35" s="18" t="n"/>
      <c r="HE35" s="18" t="n"/>
      <c r="HF35" s="18" t="n"/>
      <c r="HG35" s="18" t="n"/>
      <c r="HH35" s="18" t="n"/>
      <c r="HI35" s="18" t="n"/>
      <c r="HJ35" s="18" t="n"/>
      <c r="HK35" s="18" t="n"/>
      <c r="HL35" s="18" t="n"/>
      <c r="HM35" s="18" t="n"/>
      <c r="HN35" s="18" t="n"/>
      <c r="HO35" s="18" t="n"/>
      <c r="HP35" s="18" t="n"/>
      <c r="HQ35" s="18" t="n"/>
      <c r="HR35" s="18" t="n"/>
      <c r="HS35" s="18" t="n"/>
      <c r="HT35" s="18" t="n"/>
      <c r="HU35" s="18" t="n"/>
      <c r="HV35" s="18" t="n"/>
      <c r="HW35" s="18" t="n"/>
      <c r="HX35" s="18" t="n"/>
      <c r="HY35" s="18" t="n"/>
      <c r="HZ35" s="18" t="n"/>
      <c r="IA35" s="18" t="n"/>
      <c r="IB35" s="18" t="n"/>
      <c r="IC35" s="18" t="n"/>
      <c r="ID35" s="18" t="n"/>
      <c r="IE35" s="18" t="n"/>
      <c r="IF35" s="18" t="n"/>
      <c r="IG35" s="18" t="n"/>
      <c r="IH35" s="18" t="n"/>
      <c r="II35" s="18" t="n"/>
      <c r="IJ35" s="18" t="n"/>
      <c r="IK35" s="18" t="n"/>
      <c r="IL35" s="18" t="n"/>
      <c r="IM35" s="18" t="n"/>
      <c r="IN35" s="18" t="n"/>
      <c r="IO35" s="18" t="n"/>
      <c r="IP35" s="18" t="n"/>
      <c r="IQ35" s="18" t="n"/>
    </row>
    <row r="36">
      <c r="A36" s="18" t="n"/>
      <c r="B36" s="18" t="n"/>
      <c r="C36" s="18" t="n"/>
      <c r="D36" s="18" t="n"/>
      <c r="E36" s="40" t="n"/>
      <c r="F36" s="40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Y36" s="18" t="n"/>
      <c r="DZ36" s="18" t="n"/>
      <c r="EA36" s="18" t="n"/>
      <c r="EB36" s="18" t="n"/>
      <c r="EC36" s="18" t="n"/>
      <c r="ED36" s="18" t="n"/>
      <c r="EE36" s="18" t="n"/>
      <c r="EF36" s="18" t="n"/>
      <c r="EG36" s="18" t="n"/>
      <c r="EH36" s="18" t="n"/>
      <c r="EI36" s="18" t="n"/>
      <c r="EJ36" s="18" t="n"/>
      <c r="EK36" s="18" t="n"/>
      <c r="EL36" s="18" t="n"/>
      <c r="EM36" s="18" t="n"/>
      <c r="EN36" s="18" t="n"/>
      <c r="EO36" s="18" t="n"/>
      <c r="EP36" s="18" t="n"/>
      <c r="EQ36" s="18" t="n"/>
      <c r="ER36" s="18" t="n"/>
      <c r="ES36" s="18" t="n"/>
      <c r="ET36" s="18" t="n"/>
      <c r="EU36" s="18" t="n"/>
      <c r="EV36" s="18" t="n"/>
      <c r="EW36" s="18" t="n"/>
      <c r="EX36" s="18" t="n"/>
      <c r="EY36" s="18" t="n"/>
      <c r="EZ36" s="18" t="n"/>
      <c r="FA36" s="18" t="n"/>
      <c r="FB36" s="18" t="n"/>
      <c r="FC36" s="18" t="n"/>
      <c r="FD36" s="18" t="n"/>
      <c r="FE36" s="18" t="n"/>
      <c r="FF36" s="18" t="n"/>
      <c r="FG36" s="18" t="n"/>
      <c r="FH36" s="18" t="n"/>
      <c r="FI36" s="18" t="n"/>
      <c r="FJ36" s="18" t="n"/>
      <c r="FK36" s="18" t="n"/>
      <c r="FL36" s="18" t="n"/>
      <c r="FM36" s="18" t="n"/>
      <c r="FN36" s="18" t="n"/>
      <c r="FO36" s="18" t="n"/>
      <c r="FP36" s="18" t="n"/>
      <c r="FQ36" s="18" t="n"/>
      <c r="FR36" s="18" t="n"/>
      <c r="FS36" s="18" t="n"/>
      <c r="FT36" s="18" t="n"/>
      <c r="FU36" s="18" t="n"/>
      <c r="FV36" s="18" t="n"/>
      <c r="FW36" s="18" t="n"/>
      <c r="FX36" s="18" t="n"/>
      <c r="FY36" s="18" t="n"/>
      <c r="FZ36" s="18" t="n"/>
      <c r="GA36" s="18" t="n"/>
      <c r="GB36" s="18" t="n"/>
      <c r="GC36" s="18" t="n"/>
      <c r="GD36" s="18" t="n"/>
      <c r="GE36" s="18" t="n"/>
      <c r="GF36" s="18" t="n"/>
      <c r="GG36" s="18" t="n"/>
      <c r="GH36" s="18" t="n"/>
      <c r="GI36" s="18" t="n"/>
      <c r="GJ36" s="18" t="n"/>
      <c r="GK36" s="18" t="n"/>
      <c r="GL36" s="18" t="n"/>
      <c r="GM36" s="18" t="n"/>
      <c r="GN36" s="18" t="n"/>
      <c r="GO36" s="18" t="n"/>
      <c r="GP36" s="18" t="n"/>
      <c r="GQ36" s="18" t="n"/>
      <c r="GR36" s="18" t="n"/>
      <c r="GS36" s="18" t="n"/>
      <c r="GT36" s="18" t="n"/>
      <c r="GU36" s="18" t="n"/>
      <c r="GV36" s="18" t="n"/>
      <c r="GW36" s="18" t="n"/>
      <c r="GX36" s="18" t="n"/>
      <c r="GY36" s="18" t="n"/>
      <c r="GZ36" s="18" t="n"/>
      <c r="HA36" s="18" t="n"/>
      <c r="HB36" s="18" t="n"/>
      <c r="HC36" s="18" t="n"/>
      <c r="HD36" s="18" t="n"/>
      <c r="HE36" s="18" t="n"/>
      <c r="HF36" s="18" t="n"/>
      <c r="HG36" s="18" t="n"/>
      <c r="HH36" s="18" t="n"/>
      <c r="HI36" s="18" t="n"/>
      <c r="HJ36" s="18" t="n"/>
      <c r="HK36" s="18" t="n"/>
      <c r="HL36" s="18" t="n"/>
      <c r="HM36" s="18" t="n"/>
      <c r="HN36" s="18" t="n"/>
      <c r="HO36" s="18" t="n"/>
      <c r="HP36" s="18" t="n"/>
      <c r="HQ36" s="18" t="n"/>
      <c r="HR36" s="18" t="n"/>
      <c r="HS36" s="18" t="n"/>
      <c r="HT36" s="18" t="n"/>
      <c r="HU36" s="18" t="n"/>
      <c r="HV36" s="18" t="n"/>
      <c r="HW36" s="18" t="n"/>
      <c r="HX36" s="18" t="n"/>
      <c r="HY36" s="18" t="n"/>
      <c r="HZ36" s="18" t="n"/>
      <c r="IA36" s="18" t="n"/>
      <c r="IB36" s="18" t="n"/>
      <c r="IC36" s="18" t="n"/>
      <c r="ID36" s="18" t="n"/>
      <c r="IE36" s="18" t="n"/>
      <c r="IF36" s="18" t="n"/>
      <c r="IG36" s="18" t="n"/>
      <c r="IH36" s="18" t="n"/>
      <c r="II36" s="18" t="n"/>
      <c r="IJ36" s="18" t="n"/>
      <c r="IK36" s="18" t="n"/>
      <c r="IL36" s="18" t="n"/>
      <c r="IM36" s="18" t="n"/>
      <c r="IN36" s="18" t="n"/>
      <c r="IO36" s="18" t="n"/>
      <c r="IP36" s="18" t="n"/>
      <c r="IQ36" s="18" t="n"/>
      <c r="IR36" s="18" t="n"/>
      <c r="IS36" s="18" t="n"/>
      <c r="IT36" s="18" t="n"/>
      <c r="IU36" s="18" t="n"/>
    </row>
    <row r="37">
      <c r="A37" s="18" t="n"/>
      <c r="B37" s="18" t="n"/>
      <c r="C37" s="18" t="n"/>
      <c r="D37" s="18" t="n"/>
      <c r="E37" s="40" t="n"/>
      <c r="F37" s="40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  <c r="DY37" s="18" t="n"/>
      <c r="DZ37" s="18" t="n"/>
      <c r="EA37" s="18" t="n"/>
      <c r="EB37" s="18" t="n"/>
      <c r="EC37" s="18" t="n"/>
      <c r="ED37" s="18" t="n"/>
      <c r="EE37" s="18" t="n"/>
      <c r="EF37" s="18" t="n"/>
      <c r="EG37" s="18" t="n"/>
      <c r="EH37" s="18" t="n"/>
      <c r="EI37" s="18" t="n"/>
      <c r="EJ37" s="18" t="n"/>
      <c r="EK37" s="18" t="n"/>
      <c r="EL37" s="18" t="n"/>
      <c r="EM37" s="18" t="n"/>
      <c r="EN37" s="18" t="n"/>
      <c r="EO37" s="18" t="n"/>
      <c r="EP37" s="18" t="n"/>
      <c r="EQ37" s="18" t="n"/>
      <c r="ER37" s="18" t="n"/>
      <c r="ES37" s="18" t="n"/>
      <c r="ET37" s="18" t="n"/>
      <c r="EU37" s="18" t="n"/>
      <c r="EV37" s="18" t="n"/>
      <c r="EW37" s="18" t="n"/>
      <c r="EX37" s="18" t="n"/>
      <c r="EY37" s="18" t="n"/>
      <c r="EZ37" s="18" t="n"/>
      <c r="FA37" s="18" t="n"/>
      <c r="FB37" s="18" t="n"/>
      <c r="FC37" s="18" t="n"/>
      <c r="FD37" s="18" t="n"/>
      <c r="FE37" s="18" t="n"/>
      <c r="FF37" s="18" t="n"/>
      <c r="FG37" s="18" t="n"/>
      <c r="FH37" s="18" t="n"/>
      <c r="FI37" s="18" t="n"/>
      <c r="FJ37" s="18" t="n"/>
      <c r="FK37" s="18" t="n"/>
      <c r="FL37" s="18" t="n"/>
      <c r="FM37" s="18" t="n"/>
      <c r="FN37" s="18" t="n"/>
      <c r="FO37" s="18" t="n"/>
      <c r="FP37" s="18" t="n"/>
      <c r="FQ37" s="18" t="n"/>
      <c r="FR37" s="18" t="n"/>
      <c r="FS37" s="18" t="n"/>
      <c r="FT37" s="18" t="n"/>
      <c r="FU37" s="18" t="n"/>
      <c r="FV37" s="18" t="n"/>
      <c r="FW37" s="18" t="n"/>
      <c r="FX37" s="18" t="n"/>
      <c r="FY37" s="18" t="n"/>
      <c r="FZ37" s="18" t="n"/>
      <c r="GA37" s="18" t="n"/>
      <c r="GB37" s="18" t="n"/>
      <c r="GC37" s="18" t="n"/>
      <c r="GD37" s="18" t="n"/>
      <c r="GE37" s="18" t="n"/>
      <c r="GF37" s="18" t="n"/>
      <c r="GG37" s="18" t="n"/>
      <c r="GH37" s="18" t="n"/>
      <c r="GI37" s="18" t="n"/>
      <c r="GJ37" s="18" t="n"/>
      <c r="GK37" s="18" t="n"/>
      <c r="GL37" s="18" t="n"/>
      <c r="GM37" s="18" t="n"/>
      <c r="GN37" s="18" t="n"/>
      <c r="GO37" s="18" t="n"/>
      <c r="GP37" s="18" t="n"/>
      <c r="GQ37" s="18" t="n"/>
      <c r="GR37" s="18" t="n"/>
      <c r="GS37" s="18" t="n"/>
      <c r="GT37" s="18" t="n"/>
      <c r="GU37" s="18" t="n"/>
      <c r="GV37" s="18" t="n"/>
      <c r="GW37" s="18" t="n"/>
      <c r="GX37" s="18" t="n"/>
      <c r="GY37" s="18" t="n"/>
      <c r="GZ37" s="18" t="n"/>
      <c r="HA37" s="18" t="n"/>
      <c r="HB37" s="18" t="n"/>
      <c r="HC37" s="18" t="n"/>
      <c r="HD37" s="18" t="n"/>
      <c r="HE37" s="18" t="n"/>
      <c r="HF37" s="18" t="n"/>
      <c r="HG37" s="18" t="n"/>
      <c r="HH37" s="18" t="n"/>
      <c r="HI37" s="18" t="n"/>
      <c r="HJ37" s="18" t="n"/>
      <c r="HK37" s="18" t="n"/>
      <c r="HL37" s="18" t="n"/>
      <c r="HM37" s="18" t="n"/>
      <c r="HN37" s="18" t="n"/>
      <c r="HO37" s="18" t="n"/>
      <c r="HP37" s="18" t="n"/>
      <c r="HQ37" s="18" t="n"/>
      <c r="HR37" s="18" t="n"/>
      <c r="HS37" s="18" t="n"/>
      <c r="HT37" s="18" t="n"/>
      <c r="HU37" s="18" t="n"/>
      <c r="HV37" s="18" t="n"/>
      <c r="HW37" s="18" t="n"/>
      <c r="HX37" s="18" t="n"/>
      <c r="HY37" s="18" t="n"/>
      <c r="HZ37" s="18" t="n"/>
      <c r="IA37" s="18" t="n"/>
      <c r="IB37" s="18" t="n"/>
      <c r="IC37" s="18" t="n"/>
      <c r="ID37" s="18" t="n"/>
      <c r="IE37" s="18" t="n"/>
      <c r="IF37" s="18" t="n"/>
      <c r="IG37" s="18" t="n"/>
      <c r="IH37" s="18" t="n"/>
      <c r="II37" s="18" t="n"/>
      <c r="IJ37" s="18" t="n"/>
      <c r="IK37" s="18" t="n"/>
      <c r="IL37" s="18" t="n"/>
      <c r="IM37" s="18" t="n"/>
      <c r="IN37" s="18" t="n"/>
      <c r="IO37" s="18" t="n"/>
      <c r="IP37" s="18" t="n"/>
      <c r="IQ37" s="18" t="n"/>
      <c r="IR37" s="18" t="n"/>
      <c r="IS37" s="18" t="n"/>
      <c r="IT37" s="18" t="n"/>
      <c r="IU37" s="18" t="n"/>
      <c r="IV37" s="18" t="n"/>
      <c r="IW37" s="18" t="n"/>
      <c r="IX37" s="18" t="n"/>
      <c r="IY37" s="18" t="n"/>
    </row>
    <row r="38">
      <c r="A38" s="18" t="n"/>
      <c r="B38" s="18" t="n"/>
      <c r="C38" s="18" t="n"/>
      <c r="D38" s="18" t="n"/>
      <c r="E38" s="40" t="n"/>
      <c r="F38" s="40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  <c r="DY38" s="18" t="n"/>
      <c r="DZ38" s="18" t="n"/>
      <c r="EA38" s="18" t="n"/>
      <c r="EB38" s="18" t="n"/>
      <c r="EC38" s="18" t="n"/>
      <c r="ED38" s="18" t="n"/>
      <c r="EE38" s="18" t="n"/>
      <c r="EF38" s="18" t="n"/>
      <c r="EG38" s="18" t="n"/>
      <c r="EH38" s="18" t="n"/>
      <c r="EI38" s="18" t="n"/>
      <c r="EJ38" s="18" t="n"/>
      <c r="EK38" s="18" t="n"/>
      <c r="EL38" s="18" t="n"/>
      <c r="EM38" s="18" t="n"/>
      <c r="EN38" s="18" t="n"/>
      <c r="EO38" s="18" t="n"/>
      <c r="EP38" s="18" t="n"/>
      <c r="EQ38" s="18" t="n"/>
      <c r="ER38" s="18" t="n"/>
      <c r="ES38" s="18" t="n"/>
      <c r="ET38" s="18" t="n"/>
      <c r="EU38" s="18" t="n"/>
      <c r="EV38" s="18" t="n"/>
      <c r="EW38" s="18" t="n"/>
      <c r="EX38" s="18" t="n"/>
      <c r="EY38" s="18" t="n"/>
      <c r="EZ38" s="18" t="n"/>
      <c r="FA38" s="18" t="n"/>
      <c r="FB38" s="18" t="n"/>
      <c r="FC38" s="18" t="n"/>
      <c r="FD38" s="18" t="n"/>
      <c r="FE38" s="18" t="n"/>
      <c r="FF38" s="18" t="n"/>
      <c r="FG38" s="18" t="n"/>
      <c r="FH38" s="18" t="n"/>
      <c r="FI38" s="18" t="n"/>
      <c r="FJ38" s="18" t="n"/>
      <c r="FK38" s="18" t="n"/>
      <c r="FL38" s="18" t="n"/>
      <c r="FM38" s="18" t="n"/>
      <c r="FN38" s="18" t="n"/>
      <c r="FO38" s="18" t="n"/>
      <c r="FP38" s="18" t="n"/>
      <c r="FQ38" s="18" t="n"/>
      <c r="FR38" s="18" t="n"/>
      <c r="FS38" s="18" t="n"/>
      <c r="FT38" s="18" t="n"/>
      <c r="FU38" s="18" t="n"/>
      <c r="FV38" s="18" t="n"/>
      <c r="FW38" s="18" t="n"/>
      <c r="FX38" s="18" t="n"/>
      <c r="FY38" s="18" t="n"/>
      <c r="FZ38" s="18" t="n"/>
      <c r="GA38" s="18" t="n"/>
      <c r="GB38" s="18" t="n"/>
      <c r="GC38" s="18" t="n"/>
      <c r="GD38" s="18" t="n"/>
      <c r="GE38" s="18" t="n"/>
      <c r="GF38" s="18" t="n"/>
      <c r="GG38" s="18" t="n"/>
      <c r="GH38" s="18" t="n"/>
      <c r="GI38" s="18" t="n"/>
      <c r="GJ38" s="18" t="n"/>
      <c r="GK38" s="18" t="n"/>
      <c r="GL38" s="18" t="n"/>
      <c r="GM38" s="18" t="n"/>
      <c r="GN38" s="18" t="n"/>
      <c r="GO38" s="18" t="n"/>
      <c r="GP38" s="18" t="n"/>
      <c r="GQ38" s="18" t="n"/>
      <c r="GR38" s="18" t="n"/>
      <c r="GS38" s="18" t="n"/>
      <c r="GT38" s="18" t="n"/>
      <c r="GU38" s="18" t="n"/>
      <c r="GV38" s="18" t="n"/>
      <c r="GW38" s="18" t="n"/>
      <c r="GX38" s="18" t="n"/>
      <c r="GY38" s="18" t="n"/>
      <c r="GZ38" s="18" t="n"/>
      <c r="HA38" s="18" t="n"/>
      <c r="HB38" s="18" t="n"/>
      <c r="HC38" s="18" t="n"/>
      <c r="HD38" s="18" t="n"/>
      <c r="HE38" s="18" t="n"/>
      <c r="HF38" s="18" t="n"/>
      <c r="HG38" s="18" t="n"/>
      <c r="HH38" s="18" t="n"/>
      <c r="HI38" s="18" t="n"/>
      <c r="HJ38" s="18" t="n"/>
      <c r="HK38" s="18" t="n"/>
      <c r="HL38" s="18" t="n"/>
      <c r="HM38" s="18" t="n"/>
      <c r="HN38" s="18" t="n"/>
      <c r="HO38" s="18" t="n"/>
      <c r="HP38" s="18" t="n"/>
      <c r="HQ38" s="18" t="n"/>
      <c r="HR38" s="18" t="n"/>
      <c r="HS38" s="18" t="n"/>
      <c r="HT38" s="18" t="n"/>
      <c r="HU38" s="18" t="n"/>
      <c r="HV38" s="18" t="n"/>
      <c r="HW38" s="18" t="n"/>
      <c r="HX38" s="18" t="n"/>
      <c r="HY38" s="18" t="n"/>
      <c r="HZ38" s="18" t="n"/>
      <c r="IA38" s="18" t="n"/>
      <c r="IB38" s="18" t="n"/>
      <c r="IC38" s="18" t="n"/>
      <c r="ID38" s="18" t="n"/>
      <c r="IE38" s="18" t="n"/>
      <c r="IF38" s="18" t="n"/>
      <c r="IG38" s="18" t="n"/>
      <c r="IH38" s="18" t="n"/>
      <c r="II38" s="18" t="n"/>
      <c r="IJ38" s="18" t="n"/>
      <c r="IK38" s="18" t="n"/>
      <c r="IL38" s="18" t="n"/>
      <c r="IM38" s="18" t="n"/>
      <c r="IN38" s="18" t="n"/>
      <c r="IO38" s="18" t="n"/>
      <c r="IP38" s="18" t="n"/>
      <c r="IQ38" s="18" t="n"/>
      <c r="IR38" s="18" t="n"/>
      <c r="IS38" s="18" t="n"/>
      <c r="IT38" s="18" t="n"/>
      <c r="IU38" s="18" t="n"/>
      <c r="IV38" s="18" t="n"/>
      <c r="IW38" s="18" t="n"/>
      <c r="IX38" s="18" t="n"/>
      <c r="IY38" s="18" t="n"/>
      <c r="IZ38" s="18" t="n"/>
      <c r="JA38" s="18" t="n"/>
      <c r="JB38" s="18" t="n"/>
      <c r="JC38" s="18" t="n"/>
    </row>
    <row r="39">
      <c r="A39" s="18" t="n"/>
      <c r="B39" s="18" t="n"/>
      <c r="C39" s="18" t="n"/>
      <c r="D39" s="18" t="n"/>
      <c r="E39" s="40" t="n"/>
      <c r="F39" s="40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  <c r="DY39" s="18" t="n"/>
      <c r="DZ39" s="18" t="n"/>
      <c r="EA39" s="18" t="n"/>
      <c r="EB39" s="18" t="n"/>
      <c r="EC39" s="18" t="n"/>
      <c r="ED39" s="18" t="n"/>
      <c r="EE39" s="18" t="n"/>
      <c r="EF39" s="18" t="n"/>
      <c r="EG39" s="18" t="n"/>
      <c r="EH39" s="18" t="n"/>
      <c r="EI39" s="18" t="n"/>
      <c r="EJ39" s="18" t="n"/>
      <c r="EK39" s="18" t="n"/>
      <c r="EL39" s="18" t="n"/>
      <c r="EM39" s="18" t="n"/>
      <c r="EN39" s="18" t="n"/>
      <c r="EO39" s="18" t="n"/>
      <c r="EP39" s="18" t="n"/>
      <c r="EQ39" s="18" t="n"/>
      <c r="ER39" s="18" t="n"/>
      <c r="ES39" s="18" t="n"/>
      <c r="ET39" s="18" t="n"/>
      <c r="EU39" s="18" t="n"/>
      <c r="EV39" s="18" t="n"/>
      <c r="EW39" s="18" t="n"/>
      <c r="EX39" s="18" t="n"/>
      <c r="EY39" s="18" t="n"/>
      <c r="EZ39" s="18" t="n"/>
      <c r="FA39" s="18" t="n"/>
      <c r="FB39" s="18" t="n"/>
      <c r="FC39" s="18" t="n"/>
      <c r="FD39" s="18" t="n"/>
      <c r="FE39" s="18" t="n"/>
      <c r="FF39" s="18" t="n"/>
      <c r="FG39" s="18" t="n"/>
      <c r="FH39" s="18" t="n"/>
      <c r="FI39" s="18" t="n"/>
      <c r="FJ39" s="18" t="n"/>
      <c r="FK39" s="18" t="n"/>
      <c r="FL39" s="18" t="n"/>
      <c r="FM39" s="18" t="n"/>
      <c r="FN39" s="18" t="n"/>
      <c r="FO39" s="18" t="n"/>
      <c r="FP39" s="18" t="n"/>
      <c r="FQ39" s="18" t="n"/>
      <c r="FR39" s="18" t="n"/>
      <c r="FS39" s="18" t="n"/>
      <c r="FT39" s="18" t="n"/>
      <c r="FU39" s="18" t="n"/>
      <c r="FV39" s="18" t="n"/>
      <c r="FW39" s="18" t="n"/>
      <c r="FX39" s="18" t="n"/>
      <c r="FY39" s="18" t="n"/>
      <c r="FZ39" s="18" t="n"/>
      <c r="GA39" s="18" t="n"/>
      <c r="GB39" s="18" t="n"/>
      <c r="GC39" s="18" t="n"/>
      <c r="GD39" s="18" t="n"/>
      <c r="GE39" s="18" t="n"/>
      <c r="GF39" s="18" t="n"/>
      <c r="GG39" s="18" t="n"/>
      <c r="GH39" s="18" t="n"/>
      <c r="GI39" s="18" t="n"/>
      <c r="GJ39" s="18" t="n"/>
      <c r="GK39" s="18" t="n"/>
      <c r="GL39" s="18" t="n"/>
      <c r="GM39" s="18" t="n"/>
      <c r="GN39" s="18" t="n"/>
      <c r="GO39" s="18" t="n"/>
      <c r="GP39" s="18" t="n"/>
      <c r="GQ39" s="18" t="n"/>
      <c r="GR39" s="18" t="n"/>
      <c r="GS39" s="18" t="n"/>
      <c r="GT39" s="18" t="n"/>
      <c r="GU39" s="18" t="n"/>
      <c r="GV39" s="18" t="n"/>
      <c r="GW39" s="18" t="n"/>
      <c r="GX39" s="18" t="n"/>
      <c r="GY39" s="18" t="n"/>
      <c r="GZ39" s="18" t="n"/>
      <c r="HA39" s="18" t="n"/>
      <c r="HB39" s="18" t="n"/>
      <c r="HC39" s="18" t="n"/>
      <c r="HD39" s="18" t="n"/>
      <c r="HE39" s="18" t="n"/>
      <c r="HF39" s="18" t="n"/>
      <c r="HG39" s="18" t="n"/>
      <c r="HH39" s="18" t="n"/>
      <c r="HI39" s="18" t="n"/>
      <c r="HJ39" s="18" t="n"/>
      <c r="HK39" s="18" t="n"/>
      <c r="HL39" s="18" t="n"/>
      <c r="HM39" s="18" t="n"/>
      <c r="HN39" s="18" t="n"/>
      <c r="HO39" s="18" t="n"/>
      <c r="HP39" s="18" t="n"/>
      <c r="HQ39" s="18" t="n"/>
      <c r="HR39" s="18" t="n"/>
      <c r="HS39" s="18" t="n"/>
      <c r="HT39" s="18" t="n"/>
      <c r="HU39" s="18" t="n"/>
      <c r="HV39" s="18" t="n"/>
      <c r="HW39" s="18" t="n"/>
      <c r="HX39" s="18" t="n"/>
      <c r="HY39" s="18" t="n"/>
      <c r="HZ39" s="18" t="n"/>
      <c r="IA39" s="18" t="n"/>
      <c r="IB39" s="18" t="n"/>
      <c r="IC39" s="18" t="n"/>
      <c r="ID39" s="18" t="n"/>
      <c r="IE39" s="18" t="n"/>
      <c r="IF39" s="18" t="n"/>
      <c r="IG39" s="18" t="n"/>
      <c r="IH39" s="18" t="n"/>
      <c r="II39" s="18" t="n"/>
      <c r="IJ39" s="18" t="n"/>
      <c r="IK39" s="18" t="n"/>
      <c r="IL39" s="18" t="n"/>
      <c r="IM39" s="18" t="n"/>
      <c r="IN39" s="18" t="n"/>
      <c r="IO39" s="18" t="n"/>
      <c r="IP39" s="18" t="n"/>
      <c r="IQ39" s="18" t="n"/>
      <c r="IR39" s="18" t="n"/>
      <c r="IS39" s="18" t="n"/>
      <c r="IT39" s="18" t="n"/>
      <c r="IU39" s="18" t="n"/>
      <c r="IV39" s="18" t="n"/>
      <c r="IW39" s="18" t="n"/>
      <c r="IX39" s="18" t="n"/>
      <c r="IY39" s="18" t="n"/>
      <c r="IZ39" s="18" t="n"/>
      <c r="JA39" s="18" t="n"/>
      <c r="JB39" s="18" t="n"/>
      <c r="JC39" s="18" t="n"/>
      <c r="JD39" s="18" t="n"/>
      <c r="JE39" s="18" t="n"/>
      <c r="JF39" s="18" t="n"/>
      <c r="JG39" s="18" t="n"/>
    </row>
    <row r="40" ht="17.4" customHeight="1" s="88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  <c r="DY40" s="18" t="n"/>
      <c r="DZ40" s="18" t="n"/>
      <c r="EA40" s="18" t="n"/>
      <c r="EB40" s="18" t="n"/>
      <c r="EC40" s="18" t="n"/>
      <c r="ED40" s="18" t="n"/>
      <c r="EE40" s="18" t="n"/>
      <c r="EF40" s="18" t="n"/>
      <c r="EG40" s="18" t="n"/>
      <c r="EH40" s="18" t="n"/>
      <c r="EI40" s="18" t="n"/>
      <c r="EJ40" s="18" t="n"/>
      <c r="EK40" s="18" t="n"/>
      <c r="EL40" s="18" t="n"/>
      <c r="EM40" s="18" t="n"/>
      <c r="EN40" s="18" t="n"/>
      <c r="EO40" s="18" t="n"/>
      <c r="EP40" s="18" t="n"/>
      <c r="EQ40" s="18" t="n"/>
      <c r="ER40" s="18" t="n"/>
      <c r="ES40" s="18" t="n"/>
      <c r="ET40" s="18" t="n"/>
      <c r="EU40" s="18" t="n"/>
      <c r="EV40" s="18" t="n"/>
      <c r="EW40" s="18" t="n"/>
      <c r="EX40" s="18" t="n"/>
      <c r="EY40" s="18" t="n"/>
      <c r="EZ40" s="18" t="n"/>
      <c r="FA40" s="18" t="n"/>
      <c r="FB40" s="18" t="n"/>
      <c r="FC40" s="18" t="n"/>
      <c r="FD40" s="18" t="n"/>
      <c r="FE40" s="18" t="n"/>
      <c r="FF40" s="18" t="n"/>
      <c r="FG40" s="18" t="n"/>
      <c r="FH40" s="18" t="n"/>
      <c r="FI40" s="18" t="n"/>
      <c r="FJ40" s="18" t="n"/>
      <c r="FK40" s="18" t="n"/>
      <c r="FL40" s="18" t="n"/>
      <c r="FM40" s="18" t="n"/>
      <c r="FN40" s="18" t="n"/>
      <c r="FO40" s="18" t="n"/>
      <c r="FP40" s="18" t="n"/>
      <c r="FQ40" s="18" t="n"/>
      <c r="FR40" s="18" t="n"/>
      <c r="FS40" s="18" t="n"/>
      <c r="FT40" s="18" t="n"/>
      <c r="FU40" s="18" t="n"/>
      <c r="FV40" s="18" t="n"/>
      <c r="FW40" s="18" t="n"/>
      <c r="FX40" s="18" t="n"/>
      <c r="FY40" s="18" t="n"/>
      <c r="FZ40" s="18" t="n"/>
      <c r="GA40" s="18" t="n"/>
      <c r="GB40" s="18" t="n"/>
      <c r="GC40" s="18" t="n"/>
      <c r="GD40" s="18" t="n"/>
      <c r="GE40" s="18" t="n"/>
      <c r="GF40" s="18" t="n"/>
      <c r="GG40" s="18" t="n"/>
      <c r="GH40" s="18" t="n"/>
      <c r="GI40" s="18" t="n"/>
      <c r="GJ40" s="18" t="n"/>
      <c r="GK40" s="18" t="n"/>
      <c r="GL40" s="18" t="n"/>
      <c r="GM40" s="18" t="n"/>
      <c r="GN40" s="18" t="n"/>
      <c r="GO40" s="18" t="n"/>
      <c r="GP40" s="18" t="n"/>
      <c r="GQ40" s="18" t="n"/>
      <c r="GR40" s="18" t="n"/>
      <c r="GS40" s="18" t="n"/>
      <c r="GT40" s="18" t="n"/>
      <c r="GU40" s="18" t="n"/>
      <c r="GV40" s="18" t="n"/>
      <c r="GW40" s="18" t="n"/>
      <c r="GX40" s="18" t="n"/>
      <c r="GY40" s="18" t="n"/>
      <c r="GZ40" s="18" t="n"/>
      <c r="HA40" s="18" t="n"/>
      <c r="HB40" s="18" t="n"/>
      <c r="HC40" s="18" t="n"/>
      <c r="HD40" s="18" t="n"/>
      <c r="HE40" s="18" t="n"/>
      <c r="HF40" s="18" t="n"/>
      <c r="HG40" s="18" t="n"/>
      <c r="HH40" s="18" t="n"/>
      <c r="HI40" s="18" t="n"/>
      <c r="HJ40" s="18" t="n"/>
      <c r="HK40" s="18" t="n"/>
      <c r="HL40" s="18" t="n"/>
      <c r="HM40" s="18" t="n"/>
      <c r="HN40" s="18" t="n"/>
      <c r="HO40" s="18" t="n"/>
      <c r="HP40" s="18" t="n"/>
      <c r="HQ40" s="18" t="n"/>
      <c r="HR40" s="18" t="n"/>
      <c r="HS40" s="18" t="n"/>
      <c r="HT40" s="18" t="n"/>
      <c r="HU40" s="18" t="n"/>
      <c r="HV40" s="18" t="n"/>
      <c r="HW40" s="18" t="n"/>
      <c r="HX40" s="18" t="n"/>
      <c r="HY40" s="18" t="n"/>
      <c r="HZ40" s="18" t="n"/>
      <c r="IA40" s="18" t="n"/>
      <c r="IB40" s="18" t="n"/>
      <c r="IC40" s="18" t="n"/>
      <c r="ID40" s="18" t="n"/>
      <c r="IE40" s="18" t="n"/>
      <c r="IF40" s="18" t="n"/>
      <c r="IG40" s="18" t="n"/>
      <c r="IH40" s="18" t="n"/>
      <c r="II40" s="18" t="n"/>
      <c r="IJ40" s="18" t="n"/>
      <c r="IK40" s="18" t="n"/>
      <c r="IL40" s="18" t="n"/>
      <c r="IM40" s="18" t="n"/>
      <c r="IN40" s="18" t="n"/>
      <c r="IO40" s="18" t="n"/>
      <c r="IP40" s="18" t="n"/>
      <c r="IQ40" s="18" t="n"/>
      <c r="IR40" s="18" t="n"/>
      <c r="IS40" s="18" t="n"/>
      <c r="IT40" s="18" t="n"/>
      <c r="IU40" s="18" t="n"/>
      <c r="IV40" s="18" t="n"/>
      <c r="IW40" s="18" t="n"/>
      <c r="IX40" s="18" t="n"/>
      <c r="IY40" s="18" t="n"/>
      <c r="IZ40" s="18" t="n"/>
      <c r="JA40" s="18" t="n"/>
      <c r="JB40" s="18" t="n"/>
      <c r="JC40" s="18" t="n"/>
      <c r="JD40" s="18" t="n"/>
      <c r="JE40" s="18" t="n"/>
      <c r="JF40" s="18" t="n"/>
      <c r="JG40" s="18" t="n"/>
      <c r="JH40" s="18" t="n"/>
      <c r="JI40" s="18" t="n"/>
      <c r="JJ40" s="18" t="n"/>
      <c r="JK40" s="18" t="n"/>
    </row>
    <row r="41" ht="17.4" customHeight="1" s="88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  <c r="DY41" s="18" t="n"/>
      <c r="DZ41" s="18" t="n"/>
      <c r="EA41" s="18" t="n"/>
      <c r="EB41" s="18" t="n"/>
      <c r="EC41" s="18" t="n"/>
      <c r="ED41" s="18" t="n"/>
      <c r="EE41" s="18" t="n"/>
      <c r="EF41" s="18" t="n"/>
      <c r="EG41" s="18" t="n"/>
      <c r="EH41" s="18" t="n"/>
      <c r="EI41" s="18" t="n"/>
      <c r="EJ41" s="18" t="n"/>
      <c r="EK41" s="18" t="n"/>
      <c r="EL41" s="18" t="n"/>
      <c r="EM41" s="18" t="n"/>
      <c r="EN41" s="18" t="n"/>
      <c r="EO41" s="18" t="n"/>
      <c r="EP41" s="18" t="n"/>
      <c r="EQ41" s="18" t="n"/>
      <c r="ER41" s="18" t="n"/>
      <c r="ES41" s="18" t="n"/>
      <c r="ET41" s="18" t="n"/>
      <c r="EU41" s="18" t="n"/>
      <c r="EV41" s="18" t="n"/>
      <c r="EW41" s="18" t="n"/>
      <c r="EX41" s="18" t="n"/>
      <c r="EY41" s="18" t="n"/>
      <c r="EZ41" s="18" t="n"/>
      <c r="FA41" s="18" t="n"/>
      <c r="FB41" s="18" t="n"/>
      <c r="FC41" s="18" t="n"/>
      <c r="FD41" s="18" t="n"/>
      <c r="FE41" s="18" t="n"/>
      <c r="FF41" s="18" t="n"/>
      <c r="FG41" s="18" t="n"/>
      <c r="FH41" s="18" t="n"/>
      <c r="FI41" s="18" t="n"/>
      <c r="FJ41" s="18" t="n"/>
      <c r="FK41" s="18" t="n"/>
      <c r="FL41" s="18" t="n"/>
      <c r="FM41" s="18" t="n"/>
      <c r="FN41" s="18" t="n"/>
      <c r="FO41" s="18" t="n"/>
      <c r="FP41" s="18" t="n"/>
      <c r="FQ41" s="18" t="n"/>
      <c r="FR41" s="18" t="n"/>
      <c r="FS41" s="18" t="n"/>
      <c r="FT41" s="18" t="n"/>
      <c r="FU41" s="18" t="n"/>
      <c r="FV41" s="18" t="n"/>
      <c r="FW41" s="18" t="n"/>
      <c r="FX41" s="18" t="n"/>
      <c r="FY41" s="18" t="n"/>
      <c r="FZ41" s="18" t="n"/>
      <c r="GA41" s="18" t="n"/>
      <c r="GB41" s="18" t="n"/>
      <c r="GC41" s="18" t="n"/>
      <c r="GD41" s="18" t="n"/>
      <c r="GE41" s="18" t="n"/>
      <c r="GF41" s="18" t="n"/>
      <c r="GG41" s="18" t="n"/>
      <c r="GH41" s="18" t="n"/>
      <c r="GI41" s="18" t="n"/>
      <c r="GJ41" s="18" t="n"/>
      <c r="GK41" s="18" t="n"/>
      <c r="GL41" s="18" t="n"/>
      <c r="GM41" s="18" t="n"/>
      <c r="GN41" s="18" t="n"/>
      <c r="GO41" s="18" t="n"/>
      <c r="GP41" s="18" t="n"/>
      <c r="GQ41" s="18" t="n"/>
      <c r="GR41" s="18" t="n"/>
      <c r="GS41" s="18" t="n"/>
      <c r="GT41" s="18" t="n"/>
      <c r="GU41" s="18" t="n"/>
      <c r="GV41" s="18" t="n"/>
      <c r="GW41" s="18" t="n"/>
      <c r="GX41" s="18" t="n"/>
      <c r="GY41" s="18" t="n"/>
      <c r="GZ41" s="18" t="n"/>
      <c r="HA41" s="18" t="n"/>
      <c r="HB41" s="18" t="n"/>
      <c r="HC41" s="18" t="n"/>
      <c r="HD41" s="18" t="n"/>
      <c r="HE41" s="18" t="n"/>
      <c r="HF41" s="18" t="n"/>
      <c r="HG41" s="18" t="n"/>
      <c r="HH41" s="18" t="n"/>
      <c r="HI41" s="18" t="n"/>
      <c r="HJ41" s="18" t="n"/>
      <c r="HK41" s="18" t="n"/>
      <c r="HL41" s="18" t="n"/>
      <c r="HM41" s="18" t="n"/>
      <c r="HN41" s="18" t="n"/>
      <c r="HO41" s="18" t="n"/>
      <c r="HP41" s="18" t="n"/>
      <c r="HQ41" s="18" t="n"/>
      <c r="HR41" s="18" t="n"/>
      <c r="HS41" s="18" t="n"/>
      <c r="HT41" s="18" t="n"/>
      <c r="HU41" s="18" t="n"/>
      <c r="HV41" s="18" t="n"/>
      <c r="HW41" s="18" t="n"/>
      <c r="HX41" s="18" t="n"/>
      <c r="HY41" s="18" t="n"/>
      <c r="HZ41" s="18" t="n"/>
      <c r="IA41" s="18" t="n"/>
      <c r="IB41" s="18" t="n"/>
      <c r="IC41" s="18" t="n"/>
      <c r="ID41" s="18" t="n"/>
      <c r="IE41" s="18" t="n"/>
      <c r="IF41" s="18" t="n"/>
      <c r="IG41" s="18" t="n"/>
      <c r="IH41" s="18" t="n"/>
      <c r="II41" s="18" t="n"/>
      <c r="IJ41" s="18" t="n"/>
      <c r="IK41" s="18" t="n"/>
      <c r="IL41" s="18" t="n"/>
      <c r="IM41" s="18" t="n"/>
      <c r="IN41" s="18" t="n"/>
      <c r="IO41" s="18" t="n"/>
      <c r="IP41" s="18" t="n"/>
      <c r="IQ41" s="18" t="n"/>
      <c r="IR41" s="18" t="n"/>
      <c r="IS41" s="18" t="n"/>
      <c r="IT41" s="18" t="n"/>
      <c r="IU41" s="18" t="n"/>
      <c r="IV41" s="18" t="n"/>
      <c r="IW41" s="18" t="n"/>
      <c r="IX41" s="18" t="n"/>
      <c r="IY41" s="18" t="n"/>
      <c r="IZ41" s="18" t="n"/>
      <c r="JA41" s="18" t="n"/>
      <c r="JB41" s="18" t="n"/>
      <c r="JC41" s="18" t="n"/>
      <c r="JD41" s="18" t="n"/>
      <c r="JE41" s="18" t="n"/>
      <c r="JF41" s="18" t="n"/>
      <c r="JG41" s="18" t="n"/>
      <c r="JH41" s="18" t="n"/>
      <c r="JI41" s="18" t="n"/>
      <c r="JJ41" s="18" t="n"/>
      <c r="JK41" s="18" t="n"/>
      <c r="JL41" s="18" t="n"/>
      <c r="JM41" s="18" t="n"/>
      <c r="JN41" s="18" t="n"/>
      <c r="JO41" s="18" t="n"/>
    </row>
    <row r="42" ht="17.4" customHeight="1" s="88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  <c r="DY42" s="18" t="n"/>
      <c r="DZ42" s="18" t="n"/>
      <c r="EA42" s="18" t="n"/>
      <c r="EB42" s="18" t="n"/>
      <c r="EC42" s="18" t="n"/>
      <c r="ED42" s="18" t="n"/>
      <c r="EE42" s="18" t="n"/>
      <c r="EF42" s="18" t="n"/>
      <c r="EG42" s="18" t="n"/>
      <c r="EH42" s="18" t="n"/>
      <c r="EI42" s="18" t="n"/>
      <c r="EJ42" s="18" t="n"/>
      <c r="EK42" s="18" t="n"/>
      <c r="EL42" s="18" t="n"/>
      <c r="EM42" s="18" t="n"/>
      <c r="EN42" s="18" t="n"/>
      <c r="EO42" s="18" t="n"/>
      <c r="EP42" s="18" t="n"/>
      <c r="EQ42" s="18" t="n"/>
      <c r="ER42" s="18" t="n"/>
      <c r="ES42" s="18" t="n"/>
      <c r="ET42" s="18" t="n"/>
      <c r="EU42" s="18" t="n"/>
      <c r="EV42" s="18" t="n"/>
      <c r="EW42" s="18" t="n"/>
      <c r="EX42" s="18" t="n"/>
      <c r="EY42" s="18" t="n"/>
      <c r="EZ42" s="18" t="n"/>
      <c r="FA42" s="18" t="n"/>
      <c r="FB42" s="18" t="n"/>
      <c r="FC42" s="18" t="n"/>
      <c r="FD42" s="18" t="n"/>
      <c r="FE42" s="18" t="n"/>
      <c r="FF42" s="18" t="n"/>
      <c r="FG42" s="18" t="n"/>
      <c r="FH42" s="18" t="n"/>
      <c r="FI42" s="18" t="n"/>
      <c r="FJ42" s="18" t="n"/>
      <c r="FK42" s="18" t="n"/>
      <c r="FL42" s="18" t="n"/>
      <c r="FM42" s="18" t="n"/>
      <c r="FN42" s="18" t="n"/>
      <c r="FO42" s="18" t="n"/>
      <c r="FP42" s="18" t="n"/>
      <c r="FQ42" s="18" t="n"/>
      <c r="FR42" s="18" t="n"/>
      <c r="FS42" s="18" t="n"/>
      <c r="FT42" s="18" t="n"/>
      <c r="FU42" s="18" t="n"/>
      <c r="FV42" s="18" t="n"/>
      <c r="FW42" s="18" t="n"/>
      <c r="FX42" s="18" t="n"/>
      <c r="FY42" s="18" t="n"/>
      <c r="FZ42" s="18" t="n"/>
      <c r="GA42" s="18" t="n"/>
      <c r="GB42" s="18" t="n"/>
      <c r="GC42" s="18" t="n"/>
      <c r="GD42" s="18" t="n"/>
      <c r="GE42" s="18" t="n"/>
      <c r="GF42" s="18" t="n"/>
      <c r="GG42" s="18" t="n"/>
      <c r="GH42" s="18" t="n"/>
      <c r="GI42" s="18" t="n"/>
      <c r="GJ42" s="18" t="n"/>
      <c r="GK42" s="18" t="n"/>
      <c r="GL42" s="18" t="n"/>
      <c r="GM42" s="18" t="n"/>
      <c r="GN42" s="18" t="n"/>
      <c r="GO42" s="18" t="n"/>
      <c r="GP42" s="18" t="n"/>
      <c r="GQ42" s="18" t="n"/>
      <c r="GR42" s="18" t="n"/>
      <c r="GS42" s="18" t="n"/>
      <c r="GT42" s="18" t="n"/>
      <c r="GU42" s="18" t="n"/>
      <c r="GV42" s="18" t="n"/>
      <c r="GW42" s="18" t="n"/>
      <c r="GX42" s="18" t="n"/>
      <c r="GY42" s="18" t="n"/>
      <c r="GZ42" s="18" t="n"/>
      <c r="HA42" s="18" t="n"/>
      <c r="HB42" s="18" t="n"/>
      <c r="HC42" s="18" t="n"/>
      <c r="HD42" s="18" t="n"/>
      <c r="HE42" s="18" t="n"/>
      <c r="HF42" s="18" t="n"/>
      <c r="HG42" s="18" t="n"/>
      <c r="HH42" s="18" t="n"/>
      <c r="HI42" s="18" t="n"/>
      <c r="HJ42" s="18" t="n"/>
      <c r="HK42" s="18" t="n"/>
      <c r="HL42" s="18" t="n"/>
      <c r="HM42" s="18" t="n"/>
      <c r="HN42" s="18" t="n"/>
      <c r="HO42" s="18" t="n"/>
      <c r="HP42" s="18" t="n"/>
      <c r="HQ42" s="18" t="n"/>
      <c r="HR42" s="18" t="n"/>
      <c r="HS42" s="18" t="n"/>
      <c r="HT42" s="18" t="n"/>
      <c r="HU42" s="18" t="n"/>
      <c r="HV42" s="18" t="n"/>
      <c r="HW42" s="18" t="n"/>
      <c r="HX42" s="18" t="n"/>
      <c r="HY42" s="18" t="n"/>
      <c r="HZ42" s="18" t="n"/>
      <c r="IA42" s="18" t="n"/>
      <c r="IB42" s="18" t="n"/>
      <c r="IC42" s="18" t="n"/>
      <c r="ID42" s="18" t="n"/>
      <c r="IE42" s="18" t="n"/>
      <c r="IF42" s="18" t="n"/>
      <c r="IG42" s="18" t="n"/>
      <c r="IH42" s="18" t="n"/>
      <c r="II42" s="18" t="n"/>
      <c r="IJ42" s="18" t="n"/>
      <c r="IK42" s="18" t="n"/>
      <c r="IL42" s="18" t="n"/>
      <c r="IM42" s="18" t="n"/>
      <c r="IN42" s="18" t="n"/>
      <c r="IO42" s="18" t="n"/>
      <c r="IP42" s="18" t="n"/>
      <c r="IQ42" s="18" t="n"/>
      <c r="IR42" s="18" t="n"/>
      <c r="IS42" s="18" t="n"/>
      <c r="IT42" s="18" t="n"/>
      <c r="IU42" s="18" t="n"/>
      <c r="IV42" s="18" t="n"/>
      <c r="IW42" s="18" t="n"/>
      <c r="IX42" s="18" t="n"/>
      <c r="IY42" s="18" t="n"/>
      <c r="IZ42" s="18" t="n"/>
      <c r="JA42" s="18" t="n"/>
      <c r="JB42" s="18" t="n"/>
      <c r="JC42" s="18" t="n"/>
      <c r="JD42" s="18" t="n"/>
      <c r="JE42" s="18" t="n"/>
      <c r="JF42" s="18" t="n"/>
      <c r="JG42" s="18" t="n"/>
      <c r="JH42" s="18" t="n"/>
      <c r="JI42" s="18" t="n"/>
      <c r="JJ42" s="18" t="n"/>
      <c r="JK42" s="18" t="n"/>
      <c r="JL42" s="18" t="n"/>
      <c r="JM42" s="18" t="n"/>
      <c r="JN42" s="18" t="n"/>
      <c r="JO42" s="18" t="n"/>
      <c r="JP42" s="18" t="n"/>
      <c r="JQ42" s="18" t="n"/>
      <c r="JR42" s="18" t="n"/>
      <c r="JS42" s="18" t="n"/>
    </row>
    <row r="43" ht="17.4" customHeight="1" s="88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  <c r="DY43" s="18" t="n"/>
      <c r="DZ43" s="18" t="n"/>
      <c r="EA43" s="18" t="n"/>
      <c r="EB43" s="18" t="n"/>
      <c r="EC43" s="18" t="n"/>
      <c r="ED43" s="18" t="n"/>
      <c r="EE43" s="18" t="n"/>
      <c r="EF43" s="18" t="n"/>
      <c r="EG43" s="18" t="n"/>
      <c r="EH43" s="18" t="n"/>
      <c r="EI43" s="18" t="n"/>
      <c r="EJ43" s="18" t="n"/>
      <c r="EK43" s="18" t="n"/>
      <c r="EL43" s="18" t="n"/>
      <c r="EM43" s="18" t="n"/>
      <c r="EN43" s="18" t="n"/>
      <c r="EO43" s="18" t="n"/>
      <c r="EP43" s="18" t="n"/>
      <c r="EQ43" s="18" t="n"/>
      <c r="ER43" s="18" t="n"/>
      <c r="ES43" s="18" t="n"/>
      <c r="ET43" s="18" t="n"/>
      <c r="EU43" s="18" t="n"/>
      <c r="EV43" s="18" t="n"/>
      <c r="EW43" s="18" t="n"/>
      <c r="EX43" s="18" t="n"/>
      <c r="EY43" s="18" t="n"/>
      <c r="EZ43" s="18" t="n"/>
      <c r="FA43" s="18" t="n"/>
      <c r="FB43" s="18" t="n"/>
      <c r="FC43" s="18" t="n"/>
      <c r="FD43" s="18" t="n"/>
      <c r="FE43" s="18" t="n"/>
      <c r="FF43" s="18" t="n"/>
      <c r="FG43" s="18" t="n"/>
      <c r="FH43" s="18" t="n"/>
      <c r="FI43" s="18" t="n"/>
      <c r="FJ43" s="18" t="n"/>
      <c r="FK43" s="18" t="n"/>
      <c r="FL43" s="18" t="n"/>
      <c r="FM43" s="18" t="n"/>
      <c r="FN43" s="18" t="n"/>
      <c r="FO43" s="18" t="n"/>
      <c r="FP43" s="18" t="n"/>
      <c r="FQ43" s="18" t="n"/>
      <c r="FR43" s="18" t="n"/>
      <c r="FS43" s="18" t="n"/>
      <c r="FT43" s="18" t="n"/>
      <c r="FU43" s="18" t="n"/>
      <c r="FV43" s="18" t="n"/>
      <c r="FW43" s="18" t="n"/>
      <c r="FX43" s="18" t="n"/>
      <c r="FY43" s="18" t="n"/>
      <c r="FZ43" s="18" t="n"/>
      <c r="GA43" s="18" t="n"/>
      <c r="GB43" s="18" t="n"/>
      <c r="GC43" s="18" t="n"/>
      <c r="GD43" s="18" t="n"/>
      <c r="GE43" s="18" t="n"/>
      <c r="GF43" s="18" t="n"/>
      <c r="GG43" s="18" t="n"/>
      <c r="GH43" s="18" t="n"/>
      <c r="GI43" s="18" t="n"/>
      <c r="GJ43" s="18" t="n"/>
      <c r="GK43" s="18" t="n"/>
      <c r="GL43" s="18" t="n"/>
      <c r="GM43" s="18" t="n"/>
      <c r="GN43" s="18" t="n"/>
      <c r="GO43" s="18" t="n"/>
      <c r="GP43" s="18" t="n"/>
      <c r="GQ43" s="18" t="n"/>
      <c r="GR43" s="18" t="n"/>
      <c r="GS43" s="18" t="n"/>
      <c r="GT43" s="18" t="n"/>
      <c r="GU43" s="18" t="n"/>
      <c r="GV43" s="18" t="n"/>
      <c r="GW43" s="18" t="n"/>
      <c r="GX43" s="18" t="n"/>
      <c r="GY43" s="18" t="n"/>
      <c r="GZ43" s="18" t="n"/>
      <c r="HA43" s="18" t="n"/>
      <c r="HB43" s="18" t="n"/>
      <c r="HC43" s="18" t="n"/>
      <c r="HD43" s="18" t="n"/>
      <c r="HE43" s="18" t="n"/>
      <c r="HF43" s="18" t="n"/>
      <c r="HG43" s="18" t="n"/>
      <c r="HH43" s="18" t="n"/>
      <c r="HI43" s="18" t="n"/>
      <c r="HJ43" s="18" t="n"/>
      <c r="HK43" s="18" t="n"/>
      <c r="HL43" s="18" t="n"/>
      <c r="HM43" s="18" t="n"/>
      <c r="HN43" s="18" t="n"/>
      <c r="HO43" s="18" t="n"/>
      <c r="HP43" s="18" t="n"/>
      <c r="HQ43" s="18" t="n"/>
      <c r="HR43" s="18" t="n"/>
      <c r="HS43" s="18" t="n"/>
      <c r="HT43" s="18" t="n"/>
      <c r="HU43" s="18" t="n"/>
      <c r="HV43" s="18" t="n"/>
      <c r="HW43" s="18" t="n"/>
      <c r="HX43" s="18" t="n"/>
      <c r="HY43" s="18" t="n"/>
      <c r="HZ43" s="18" t="n"/>
      <c r="IA43" s="18" t="n"/>
      <c r="IB43" s="18" t="n"/>
      <c r="IC43" s="18" t="n"/>
      <c r="ID43" s="18" t="n"/>
      <c r="IE43" s="18" t="n"/>
      <c r="IF43" s="18" t="n"/>
      <c r="IG43" s="18" t="n"/>
      <c r="IH43" s="18" t="n"/>
      <c r="II43" s="18" t="n"/>
      <c r="IJ43" s="18" t="n"/>
      <c r="IK43" s="18" t="n"/>
      <c r="IL43" s="18" t="n"/>
      <c r="IM43" s="18" t="n"/>
      <c r="IN43" s="18" t="n"/>
      <c r="IO43" s="18" t="n"/>
      <c r="IP43" s="18" t="n"/>
      <c r="IQ43" s="18" t="n"/>
      <c r="IR43" s="18" t="n"/>
      <c r="IS43" s="18" t="n"/>
      <c r="IT43" s="18" t="n"/>
      <c r="IU43" s="18" t="n"/>
      <c r="IV43" s="18" t="n"/>
      <c r="IW43" s="18" t="n"/>
      <c r="IX43" s="18" t="n"/>
      <c r="IY43" s="18" t="n"/>
      <c r="IZ43" s="18" t="n"/>
      <c r="JA43" s="18" t="n"/>
      <c r="JB43" s="18" t="n"/>
      <c r="JC43" s="18" t="n"/>
      <c r="JD43" s="18" t="n"/>
      <c r="JE43" s="18" t="n"/>
      <c r="JF43" s="18" t="n"/>
      <c r="JG43" s="18" t="n"/>
      <c r="JH43" s="18" t="n"/>
      <c r="JI43" s="18" t="n"/>
      <c r="JJ43" s="18" t="n"/>
      <c r="JK43" s="18" t="n"/>
      <c r="JL43" s="18" t="n"/>
      <c r="JM43" s="18" t="n"/>
      <c r="JN43" s="18" t="n"/>
      <c r="JO43" s="18" t="n"/>
      <c r="JP43" s="18" t="n"/>
      <c r="JQ43" s="18" t="n"/>
      <c r="JR43" s="18" t="n"/>
      <c r="JS43" s="18" t="n"/>
      <c r="JT43" s="18" t="n"/>
      <c r="JU43" s="18" t="n"/>
      <c r="JV43" s="18" t="n"/>
      <c r="JW43" s="18" t="n"/>
    </row>
    <row r="44" ht="17.4" customHeight="1" s="88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  <c r="DY44" s="18" t="n"/>
      <c r="DZ44" s="18" t="n"/>
      <c r="EA44" s="18" t="n"/>
      <c r="EB44" s="18" t="n"/>
      <c r="EC44" s="18" t="n"/>
      <c r="ED44" s="18" t="n"/>
      <c r="EE44" s="18" t="n"/>
      <c r="EF44" s="18" t="n"/>
      <c r="EG44" s="18" t="n"/>
      <c r="EH44" s="18" t="n"/>
      <c r="EI44" s="18" t="n"/>
      <c r="EJ44" s="18" t="n"/>
      <c r="EK44" s="18" t="n"/>
      <c r="EL44" s="18" t="n"/>
      <c r="EM44" s="18" t="n"/>
      <c r="EN44" s="18" t="n"/>
      <c r="EO44" s="18" t="n"/>
      <c r="EP44" s="18" t="n"/>
      <c r="EQ44" s="18" t="n"/>
      <c r="ER44" s="18" t="n"/>
      <c r="ES44" s="18" t="n"/>
      <c r="ET44" s="18" t="n"/>
      <c r="EU44" s="18" t="n"/>
      <c r="EV44" s="18" t="n"/>
      <c r="EW44" s="18" t="n"/>
      <c r="EX44" s="18" t="n"/>
      <c r="EY44" s="18" t="n"/>
      <c r="EZ44" s="18" t="n"/>
      <c r="FA44" s="18" t="n"/>
      <c r="FB44" s="18" t="n"/>
      <c r="FC44" s="18" t="n"/>
      <c r="FD44" s="18" t="n"/>
      <c r="FE44" s="18" t="n"/>
      <c r="FF44" s="18" t="n"/>
      <c r="FG44" s="18" t="n"/>
      <c r="FH44" s="18" t="n"/>
      <c r="FI44" s="18" t="n"/>
      <c r="FJ44" s="18" t="n"/>
      <c r="FK44" s="18" t="n"/>
      <c r="FL44" s="18" t="n"/>
      <c r="FM44" s="18" t="n"/>
      <c r="FN44" s="18" t="n"/>
      <c r="FO44" s="18" t="n"/>
      <c r="FP44" s="18" t="n"/>
      <c r="FQ44" s="18" t="n"/>
      <c r="FR44" s="18" t="n"/>
      <c r="FS44" s="18" t="n"/>
      <c r="FT44" s="18" t="n"/>
      <c r="FU44" s="18" t="n"/>
      <c r="FV44" s="18" t="n"/>
      <c r="FW44" s="18" t="n"/>
      <c r="FX44" s="18" t="n"/>
      <c r="FY44" s="18" t="n"/>
      <c r="FZ44" s="18" t="n"/>
      <c r="GA44" s="18" t="n"/>
      <c r="GB44" s="18" t="n"/>
      <c r="GC44" s="18" t="n"/>
      <c r="GD44" s="18" t="n"/>
      <c r="GE44" s="18" t="n"/>
      <c r="GF44" s="18" t="n"/>
      <c r="GG44" s="18" t="n"/>
      <c r="GH44" s="18" t="n"/>
      <c r="GI44" s="18" t="n"/>
      <c r="GJ44" s="18" t="n"/>
      <c r="GK44" s="18" t="n"/>
      <c r="GL44" s="18" t="n"/>
      <c r="GM44" s="18" t="n"/>
      <c r="GN44" s="18" t="n"/>
      <c r="GO44" s="18" t="n"/>
      <c r="GP44" s="18" t="n"/>
      <c r="GQ44" s="18" t="n"/>
      <c r="GR44" s="18" t="n"/>
      <c r="GS44" s="18" t="n"/>
      <c r="GT44" s="18" t="n"/>
      <c r="GU44" s="18" t="n"/>
      <c r="GV44" s="18" t="n"/>
      <c r="GW44" s="18" t="n"/>
      <c r="GX44" s="18" t="n"/>
      <c r="GY44" s="18" t="n"/>
      <c r="GZ44" s="18" t="n"/>
      <c r="HA44" s="18" t="n"/>
      <c r="HB44" s="18" t="n"/>
      <c r="HC44" s="18" t="n"/>
      <c r="HD44" s="18" t="n"/>
      <c r="HE44" s="18" t="n"/>
      <c r="HF44" s="18" t="n"/>
      <c r="HG44" s="18" t="n"/>
      <c r="HH44" s="18" t="n"/>
      <c r="HI44" s="18" t="n"/>
      <c r="HJ44" s="18" t="n"/>
      <c r="HK44" s="18" t="n"/>
      <c r="HL44" s="18" t="n"/>
      <c r="HM44" s="18" t="n"/>
      <c r="HN44" s="18" t="n"/>
      <c r="HO44" s="18" t="n"/>
      <c r="HP44" s="18" t="n"/>
      <c r="HQ44" s="18" t="n"/>
      <c r="HR44" s="18" t="n"/>
      <c r="HS44" s="18" t="n"/>
      <c r="HT44" s="18" t="n"/>
      <c r="HU44" s="18" t="n"/>
      <c r="HV44" s="18" t="n"/>
      <c r="HW44" s="18" t="n"/>
      <c r="HX44" s="18" t="n"/>
      <c r="HY44" s="18" t="n"/>
      <c r="HZ44" s="18" t="n"/>
      <c r="IA44" s="18" t="n"/>
      <c r="IB44" s="18" t="n"/>
      <c r="IC44" s="18" t="n"/>
      <c r="ID44" s="18" t="n"/>
      <c r="IE44" s="18" t="n"/>
      <c r="IF44" s="18" t="n"/>
      <c r="IG44" s="18" t="n"/>
      <c r="IH44" s="18" t="n"/>
      <c r="II44" s="18" t="n"/>
      <c r="IJ44" s="18" t="n"/>
      <c r="IK44" s="18" t="n"/>
      <c r="IL44" s="18" t="n"/>
      <c r="IM44" s="18" t="n"/>
      <c r="IN44" s="18" t="n"/>
      <c r="IO44" s="18" t="n"/>
      <c r="IP44" s="18" t="n"/>
      <c r="IQ44" s="18" t="n"/>
      <c r="IR44" s="18" t="n"/>
      <c r="IS44" s="18" t="n"/>
      <c r="IT44" s="18" t="n"/>
      <c r="IU44" s="18" t="n"/>
      <c r="IV44" s="18" t="n"/>
      <c r="IW44" s="18" t="n"/>
      <c r="IX44" s="18" t="n"/>
      <c r="IY44" s="18" t="n"/>
      <c r="IZ44" s="18" t="n"/>
      <c r="JA44" s="18" t="n"/>
      <c r="JB44" s="18" t="n"/>
      <c r="JC44" s="18" t="n"/>
      <c r="JD44" s="18" t="n"/>
      <c r="JE44" s="18" t="n"/>
      <c r="JF44" s="18" t="n"/>
      <c r="JG44" s="18" t="n"/>
      <c r="JH44" s="18" t="n"/>
      <c r="JI44" s="18" t="n"/>
      <c r="JJ44" s="18" t="n"/>
      <c r="JK44" s="18" t="n"/>
      <c r="JL44" s="18" t="n"/>
      <c r="JM44" s="18" t="n"/>
      <c r="JN44" s="18" t="n"/>
      <c r="JO44" s="18" t="n"/>
      <c r="JP44" s="18" t="n"/>
      <c r="JQ44" s="18" t="n"/>
      <c r="JR44" s="18" t="n"/>
      <c r="JS44" s="18" t="n"/>
      <c r="JT44" s="18" t="n"/>
      <c r="JU44" s="18" t="n"/>
      <c r="JV44" s="18" t="n"/>
      <c r="JW44" s="18" t="n"/>
      <c r="JX44" s="18" t="n"/>
      <c r="JY44" s="18" t="n"/>
      <c r="JZ44" s="18" t="n"/>
      <c r="KA44" s="18" t="n"/>
    </row>
    <row r="45" ht="17.4" customHeight="1" s="88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  <c r="DY45" s="18" t="n"/>
      <c r="DZ45" s="18" t="n"/>
      <c r="EA45" s="18" t="n"/>
      <c r="EB45" s="18" t="n"/>
      <c r="EC45" s="18" t="n"/>
      <c r="ED45" s="18" t="n"/>
      <c r="EE45" s="18" t="n"/>
      <c r="EF45" s="18" t="n"/>
      <c r="EG45" s="18" t="n"/>
      <c r="EH45" s="18" t="n"/>
      <c r="EI45" s="18" t="n"/>
      <c r="EJ45" s="18" t="n"/>
      <c r="EK45" s="18" t="n"/>
      <c r="EL45" s="18" t="n"/>
      <c r="EM45" s="18" t="n"/>
      <c r="EN45" s="18" t="n"/>
      <c r="EO45" s="18" t="n"/>
      <c r="EP45" s="18" t="n"/>
      <c r="EQ45" s="18" t="n"/>
      <c r="ER45" s="18" t="n"/>
      <c r="ES45" s="18" t="n"/>
      <c r="ET45" s="18" t="n"/>
      <c r="EU45" s="18" t="n"/>
      <c r="EV45" s="18" t="n"/>
      <c r="EW45" s="18" t="n"/>
      <c r="EX45" s="18" t="n"/>
      <c r="EY45" s="18" t="n"/>
      <c r="EZ45" s="18" t="n"/>
      <c r="FA45" s="18" t="n"/>
      <c r="FB45" s="18" t="n"/>
      <c r="FC45" s="18" t="n"/>
      <c r="FD45" s="18" t="n"/>
      <c r="FE45" s="18" t="n"/>
      <c r="FF45" s="18" t="n"/>
      <c r="FG45" s="18" t="n"/>
      <c r="FH45" s="18" t="n"/>
      <c r="FI45" s="18" t="n"/>
      <c r="FJ45" s="18" t="n"/>
      <c r="FK45" s="18" t="n"/>
      <c r="FL45" s="18" t="n"/>
      <c r="FM45" s="18" t="n"/>
      <c r="FN45" s="18" t="n"/>
      <c r="FO45" s="18" t="n"/>
      <c r="FP45" s="18" t="n"/>
      <c r="FQ45" s="18" t="n"/>
      <c r="FR45" s="18" t="n"/>
      <c r="FS45" s="18" t="n"/>
      <c r="FT45" s="18" t="n"/>
      <c r="FU45" s="18" t="n"/>
      <c r="FV45" s="18" t="n"/>
      <c r="FW45" s="18" t="n"/>
      <c r="FX45" s="18" t="n"/>
      <c r="FY45" s="18" t="n"/>
      <c r="FZ45" s="18" t="n"/>
      <c r="GA45" s="18" t="n"/>
      <c r="GB45" s="18" t="n"/>
      <c r="GC45" s="18" t="n"/>
      <c r="GD45" s="18" t="n"/>
      <c r="GE45" s="18" t="n"/>
      <c r="GF45" s="18" t="n"/>
      <c r="GG45" s="18" t="n"/>
      <c r="GH45" s="18" t="n"/>
      <c r="GI45" s="18" t="n"/>
      <c r="GJ45" s="18" t="n"/>
      <c r="GK45" s="18" t="n"/>
      <c r="GL45" s="18" t="n"/>
      <c r="GM45" s="18" t="n"/>
      <c r="GN45" s="18" t="n"/>
      <c r="GO45" s="18" t="n"/>
      <c r="GP45" s="18" t="n"/>
      <c r="GQ45" s="18" t="n"/>
      <c r="GR45" s="18" t="n"/>
      <c r="GS45" s="18" t="n"/>
      <c r="GT45" s="18" t="n"/>
      <c r="GU45" s="18" t="n"/>
      <c r="GV45" s="18" t="n"/>
      <c r="GW45" s="18" t="n"/>
      <c r="GX45" s="18" t="n"/>
      <c r="GY45" s="18" t="n"/>
      <c r="GZ45" s="18" t="n"/>
      <c r="HA45" s="18" t="n"/>
      <c r="HB45" s="18" t="n"/>
      <c r="HC45" s="18" t="n"/>
      <c r="HD45" s="18" t="n"/>
      <c r="HE45" s="18" t="n"/>
      <c r="HF45" s="18" t="n"/>
      <c r="HG45" s="18" t="n"/>
      <c r="HH45" s="18" t="n"/>
      <c r="HI45" s="18" t="n"/>
      <c r="HJ45" s="18" t="n"/>
      <c r="HK45" s="18" t="n"/>
      <c r="HL45" s="18" t="n"/>
      <c r="HM45" s="18" t="n"/>
      <c r="HN45" s="18" t="n"/>
      <c r="HO45" s="18" t="n"/>
      <c r="HP45" s="18" t="n"/>
      <c r="HQ45" s="18" t="n"/>
      <c r="HR45" s="18" t="n"/>
      <c r="HS45" s="18" t="n"/>
      <c r="HT45" s="18" t="n"/>
      <c r="HU45" s="18" t="n"/>
      <c r="HV45" s="18" t="n"/>
      <c r="HW45" s="18" t="n"/>
      <c r="HX45" s="18" t="n"/>
      <c r="HY45" s="18" t="n"/>
      <c r="HZ45" s="18" t="n"/>
      <c r="IA45" s="18" t="n"/>
      <c r="IB45" s="18" t="n"/>
      <c r="IC45" s="18" t="n"/>
      <c r="ID45" s="18" t="n"/>
      <c r="IE45" s="18" t="n"/>
      <c r="IF45" s="18" t="n"/>
      <c r="IG45" s="18" t="n"/>
      <c r="IH45" s="18" t="n"/>
      <c r="II45" s="18" t="n"/>
      <c r="IJ45" s="18" t="n"/>
      <c r="IK45" s="18" t="n"/>
      <c r="IL45" s="18" t="n"/>
      <c r="IM45" s="18" t="n"/>
      <c r="IN45" s="18" t="n"/>
      <c r="IO45" s="18" t="n"/>
      <c r="IP45" s="18" t="n"/>
      <c r="IQ45" s="18" t="n"/>
      <c r="IR45" s="18" t="n"/>
      <c r="IS45" s="18" t="n"/>
      <c r="IT45" s="18" t="n"/>
      <c r="IU45" s="18" t="n"/>
      <c r="IV45" s="18" t="n"/>
      <c r="IW45" s="18" t="n"/>
      <c r="IX45" s="18" t="n"/>
      <c r="IY45" s="18" t="n"/>
      <c r="IZ45" s="18" t="n"/>
      <c r="JA45" s="18" t="n"/>
      <c r="JB45" s="18" t="n"/>
      <c r="JC45" s="18" t="n"/>
      <c r="JD45" s="18" t="n"/>
      <c r="JE45" s="18" t="n"/>
      <c r="JF45" s="18" t="n"/>
      <c r="JG45" s="18" t="n"/>
      <c r="JH45" s="18" t="n"/>
      <c r="JI45" s="18" t="n"/>
      <c r="JJ45" s="18" t="n"/>
      <c r="JK45" s="18" t="n"/>
      <c r="JL45" s="18" t="n"/>
      <c r="JM45" s="18" t="n"/>
      <c r="JN45" s="18" t="n"/>
      <c r="JO45" s="18" t="n"/>
      <c r="JP45" s="18" t="n"/>
      <c r="JQ45" s="18" t="n"/>
      <c r="JR45" s="18" t="n"/>
      <c r="JS45" s="18" t="n"/>
      <c r="JT45" s="18" t="n"/>
      <c r="JU45" s="18" t="n"/>
      <c r="JV45" s="18" t="n"/>
      <c r="JW45" s="18" t="n"/>
      <c r="JX45" s="18" t="n"/>
      <c r="JY45" s="18" t="n"/>
      <c r="JZ45" s="18" t="n"/>
      <c r="KA45" s="18" t="n"/>
      <c r="KB45" s="18" t="n"/>
      <c r="KC45" s="18" t="n"/>
      <c r="KD45" s="18" t="n"/>
      <c r="KE45" s="18" t="n"/>
    </row>
    <row r="46" ht="17.4" customHeight="1" s="88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8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8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8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18" t="n"/>
      <c r="GI46" s="18" t="n"/>
      <c r="GJ46" s="18" t="n"/>
      <c r="GK46" s="18" t="n"/>
      <c r="GL46" s="18" t="n"/>
      <c r="GM46" s="18" t="n"/>
      <c r="GN46" s="18" t="n"/>
      <c r="GO46" s="18" t="n"/>
      <c r="GP46" s="18" t="n"/>
      <c r="GQ46" s="18" t="n"/>
      <c r="GR46" s="18" t="n"/>
      <c r="GS46" s="18" t="n"/>
      <c r="GT46" s="18" t="n"/>
      <c r="GU46" s="18" t="n"/>
      <c r="GV46" s="18" t="n"/>
      <c r="GW46" s="18" t="n"/>
      <c r="GX46" s="18" t="n"/>
      <c r="GY46" s="18" t="n"/>
      <c r="GZ46" s="18" t="n"/>
      <c r="HA46" s="18" t="n"/>
      <c r="HB46" s="18" t="n"/>
      <c r="HC46" s="18" t="n"/>
      <c r="HD46" s="18" t="n"/>
      <c r="HE46" s="18" t="n"/>
      <c r="HF46" s="18" t="n"/>
      <c r="HG46" s="18" t="n"/>
      <c r="HH46" s="18" t="n"/>
      <c r="HI46" s="18" t="n"/>
      <c r="HJ46" s="18" t="n"/>
      <c r="HK46" s="18" t="n"/>
      <c r="HL46" s="18" t="n"/>
      <c r="HM46" s="18" t="n"/>
      <c r="HN46" s="18" t="n"/>
      <c r="HO46" s="18" t="n"/>
      <c r="HP46" s="18" t="n"/>
      <c r="HQ46" s="18" t="n"/>
      <c r="HR46" s="18" t="n"/>
      <c r="HS46" s="18" t="n"/>
      <c r="HT46" s="18" t="n"/>
      <c r="HU46" s="18" t="n"/>
      <c r="HV46" s="18" t="n"/>
      <c r="HW46" s="18" t="n"/>
      <c r="HX46" s="18" t="n"/>
      <c r="HY46" s="18" t="n"/>
      <c r="HZ46" s="18" t="n"/>
      <c r="IA46" s="18" t="n"/>
      <c r="IB46" s="18" t="n"/>
      <c r="IC46" s="18" t="n"/>
      <c r="ID46" s="18" t="n"/>
      <c r="IE46" s="18" t="n"/>
      <c r="IF46" s="18" t="n"/>
      <c r="IG46" s="18" t="n"/>
      <c r="IH46" s="18" t="n"/>
      <c r="II46" s="18" t="n"/>
      <c r="IJ46" s="18" t="n"/>
      <c r="IK46" s="18" t="n"/>
      <c r="IL46" s="18" t="n"/>
      <c r="IM46" s="18" t="n"/>
      <c r="IN46" s="18" t="n"/>
      <c r="IO46" s="18" t="n"/>
      <c r="IP46" s="18" t="n"/>
      <c r="IQ46" s="18" t="n"/>
      <c r="IR46" s="18" t="n"/>
      <c r="IS46" s="18" t="n"/>
      <c r="IT46" s="18" t="n"/>
      <c r="IU46" s="18" t="n"/>
      <c r="IV46" s="18" t="n"/>
      <c r="IW46" s="18" t="n"/>
      <c r="IX46" s="18" t="n"/>
      <c r="IY46" s="18" t="n"/>
      <c r="IZ46" s="18" t="n"/>
      <c r="JA46" s="18" t="n"/>
      <c r="JB46" s="18" t="n"/>
      <c r="JC46" s="18" t="n"/>
      <c r="JD46" s="18" t="n"/>
      <c r="JE46" s="18" t="n"/>
      <c r="JF46" s="18" t="n"/>
      <c r="JG46" s="18" t="n"/>
      <c r="JH46" s="18" t="n"/>
      <c r="JI46" s="18" t="n"/>
      <c r="JJ46" s="18" t="n"/>
      <c r="JK46" s="18" t="n"/>
      <c r="JL46" s="18" t="n"/>
      <c r="JM46" s="18" t="n"/>
      <c r="JN46" s="18" t="n"/>
      <c r="JO46" s="18" t="n"/>
      <c r="JP46" s="18" t="n"/>
      <c r="JQ46" s="18" t="n"/>
      <c r="JR46" s="18" t="n"/>
      <c r="JS46" s="18" t="n"/>
      <c r="JT46" s="18" t="n"/>
      <c r="JU46" s="18" t="n"/>
      <c r="JV46" s="18" t="n"/>
      <c r="JW46" s="18" t="n"/>
      <c r="JX46" s="18" t="n"/>
      <c r="JY46" s="18" t="n"/>
      <c r="JZ46" s="18" t="n"/>
      <c r="KA46" s="18" t="n"/>
      <c r="KB46" s="18" t="n"/>
      <c r="KC46" s="18" t="n"/>
      <c r="KD46" s="18" t="n"/>
      <c r="KE46" s="18" t="n"/>
      <c r="KF46" s="18" t="n"/>
      <c r="KG46" s="18" t="n"/>
      <c r="KH46" s="18" t="n"/>
      <c r="KI46" s="18" t="n"/>
    </row>
    <row r="47" ht="17.4" customHeight="1" s="88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  <c r="DY47" s="18" t="n"/>
      <c r="DZ47" s="18" t="n"/>
      <c r="EA47" s="18" t="n"/>
      <c r="EB47" s="18" t="n"/>
      <c r="EC47" s="18" t="n"/>
      <c r="ED47" s="18" t="n"/>
      <c r="EE47" s="18" t="n"/>
      <c r="EF47" s="18" t="n"/>
      <c r="EG47" s="18" t="n"/>
      <c r="EH47" s="18" t="n"/>
      <c r="EI47" s="18" t="n"/>
      <c r="EJ47" s="18" t="n"/>
      <c r="EK47" s="18" t="n"/>
      <c r="EL47" s="18" t="n"/>
      <c r="EM47" s="18" t="n"/>
      <c r="EN47" s="18" t="n"/>
      <c r="EO47" s="18" t="n"/>
      <c r="EP47" s="18" t="n"/>
      <c r="EQ47" s="18" t="n"/>
      <c r="ER47" s="18" t="n"/>
      <c r="ES47" s="18" t="n"/>
      <c r="ET47" s="18" t="n"/>
      <c r="EU47" s="18" t="n"/>
      <c r="EV47" s="18" t="n"/>
      <c r="EW47" s="18" t="n"/>
      <c r="EX47" s="18" t="n"/>
      <c r="EY47" s="18" t="n"/>
      <c r="EZ47" s="18" t="n"/>
      <c r="FA47" s="18" t="n"/>
      <c r="FB47" s="18" t="n"/>
      <c r="FC47" s="18" t="n"/>
      <c r="FD47" s="18" t="n"/>
      <c r="FE47" s="18" t="n"/>
      <c r="FF47" s="18" t="n"/>
      <c r="FG47" s="18" t="n"/>
      <c r="FH47" s="18" t="n"/>
      <c r="FI47" s="18" t="n"/>
      <c r="FJ47" s="18" t="n"/>
      <c r="FK47" s="18" t="n"/>
      <c r="FL47" s="18" t="n"/>
      <c r="FM47" s="18" t="n"/>
      <c r="FN47" s="18" t="n"/>
      <c r="FO47" s="18" t="n"/>
      <c r="FP47" s="18" t="n"/>
      <c r="FQ47" s="18" t="n"/>
      <c r="FR47" s="18" t="n"/>
      <c r="FS47" s="18" t="n"/>
      <c r="FT47" s="18" t="n"/>
      <c r="FU47" s="18" t="n"/>
      <c r="FV47" s="18" t="n"/>
      <c r="FW47" s="18" t="n"/>
      <c r="FX47" s="18" t="n"/>
      <c r="FY47" s="18" t="n"/>
      <c r="FZ47" s="18" t="n"/>
      <c r="GA47" s="18" t="n"/>
      <c r="GB47" s="18" t="n"/>
      <c r="GC47" s="18" t="n"/>
      <c r="GD47" s="18" t="n"/>
      <c r="GE47" s="18" t="n"/>
      <c r="GF47" s="18" t="n"/>
      <c r="GG47" s="18" t="n"/>
      <c r="GH47" s="18" t="n"/>
      <c r="GI47" s="18" t="n"/>
      <c r="GJ47" s="18" t="n"/>
      <c r="GK47" s="18" t="n"/>
      <c r="GL47" s="18" t="n"/>
      <c r="GM47" s="18" t="n"/>
      <c r="GN47" s="18" t="n"/>
      <c r="GO47" s="18" t="n"/>
      <c r="GP47" s="18" t="n"/>
      <c r="GQ47" s="18" t="n"/>
      <c r="GR47" s="18" t="n"/>
      <c r="GS47" s="18" t="n"/>
      <c r="GT47" s="18" t="n"/>
      <c r="GU47" s="18" t="n"/>
      <c r="GV47" s="18" t="n"/>
      <c r="GW47" s="18" t="n"/>
      <c r="GX47" s="18" t="n"/>
      <c r="GY47" s="18" t="n"/>
      <c r="GZ47" s="18" t="n"/>
      <c r="HA47" s="18" t="n"/>
      <c r="HB47" s="18" t="n"/>
      <c r="HC47" s="18" t="n"/>
      <c r="HD47" s="18" t="n"/>
      <c r="HE47" s="18" t="n"/>
      <c r="HF47" s="18" t="n"/>
      <c r="HG47" s="18" t="n"/>
      <c r="HH47" s="18" t="n"/>
      <c r="HI47" s="18" t="n"/>
      <c r="HJ47" s="18" t="n"/>
      <c r="HK47" s="18" t="n"/>
      <c r="HL47" s="18" t="n"/>
      <c r="HM47" s="18" t="n"/>
      <c r="HN47" s="18" t="n"/>
      <c r="HO47" s="18" t="n"/>
      <c r="HP47" s="18" t="n"/>
      <c r="HQ47" s="18" t="n"/>
      <c r="HR47" s="18" t="n"/>
      <c r="HS47" s="18" t="n"/>
      <c r="HT47" s="18" t="n"/>
      <c r="HU47" s="18" t="n"/>
      <c r="HV47" s="18" t="n"/>
      <c r="HW47" s="18" t="n"/>
      <c r="HX47" s="18" t="n"/>
      <c r="HY47" s="18" t="n"/>
      <c r="HZ47" s="18" t="n"/>
      <c r="IA47" s="18" t="n"/>
      <c r="IB47" s="18" t="n"/>
      <c r="IC47" s="18" t="n"/>
      <c r="ID47" s="18" t="n"/>
      <c r="IE47" s="18" t="n"/>
      <c r="IF47" s="18" t="n"/>
      <c r="IG47" s="18" t="n"/>
      <c r="IH47" s="18" t="n"/>
      <c r="II47" s="18" t="n"/>
      <c r="IJ47" s="18" t="n"/>
      <c r="IK47" s="18" t="n"/>
      <c r="IL47" s="18" t="n"/>
      <c r="IM47" s="18" t="n"/>
      <c r="IN47" s="18" t="n"/>
      <c r="IO47" s="18" t="n"/>
      <c r="IP47" s="18" t="n"/>
      <c r="IQ47" s="18" t="n"/>
      <c r="IR47" s="18" t="n"/>
      <c r="IS47" s="18" t="n"/>
      <c r="IT47" s="18" t="n"/>
      <c r="IU47" s="18" t="n"/>
      <c r="IV47" s="18" t="n"/>
      <c r="IW47" s="18" t="n"/>
      <c r="IX47" s="18" t="n"/>
      <c r="IY47" s="18" t="n"/>
      <c r="IZ47" s="18" t="n"/>
      <c r="JA47" s="18" t="n"/>
      <c r="JB47" s="18" t="n"/>
      <c r="JC47" s="18" t="n"/>
      <c r="JD47" s="18" t="n"/>
      <c r="JE47" s="18" t="n"/>
      <c r="JF47" s="18" t="n"/>
      <c r="JG47" s="18" t="n"/>
      <c r="JH47" s="18" t="n"/>
      <c r="JI47" s="18" t="n"/>
      <c r="JJ47" s="18" t="n"/>
      <c r="JK47" s="18" t="n"/>
      <c r="JL47" s="18" t="n"/>
      <c r="JM47" s="18" t="n"/>
      <c r="JN47" s="18" t="n"/>
      <c r="JO47" s="18" t="n"/>
      <c r="JP47" s="18" t="n"/>
      <c r="JQ47" s="18" t="n"/>
      <c r="JR47" s="18" t="n"/>
      <c r="JS47" s="18" t="n"/>
      <c r="JT47" s="18" t="n"/>
      <c r="JU47" s="18" t="n"/>
      <c r="JV47" s="18" t="n"/>
      <c r="JW47" s="18" t="n"/>
      <c r="JX47" s="18" t="n"/>
      <c r="JY47" s="18" t="n"/>
      <c r="JZ47" s="18" t="n"/>
      <c r="KA47" s="18" t="n"/>
      <c r="KB47" s="18" t="n"/>
      <c r="KC47" s="18" t="n"/>
      <c r="KD47" s="18" t="n"/>
      <c r="KE47" s="18" t="n"/>
      <c r="KF47" s="18" t="n"/>
      <c r="KG47" s="18" t="n"/>
      <c r="KH47" s="18" t="n"/>
      <c r="KI47" s="18" t="n"/>
      <c r="KJ47" s="18" t="n"/>
      <c r="KK47" s="18" t="n"/>
      <c r="KL47" s="18" t="n"/>
      <c r="KM47" s="18" t="n"/>
    </row>
    <row r="48" ht="17.4" customHeight="1" s="8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  <c r="DY48" s="18" t="n"/>
      <c r="DZ48" s="18" t="n"/>
      <c r="EA48" s="18" t="n"/>
      <c r="EB48" s="18" t="n"/>
      <c r="EC48" s="18" t="n"/>
      <c r="ED48" s="18" t="n"/>
      <c r="EE48" s="18" t="n"/>
      <c r="EF48" s="18" t="n"/>
      <c r="EG48" s="18" t="n"/>
      <c r="EH48" s="18" t="n"/>
      <c r="EI48" s="18" t="n"/>
      <c r="EJ48" s="18" t="n"/>
      <c r="EK48" s="18" t="n"/>
      <c r="EL48" s="18" t="n"/>
      <c r="EM48" s="18" t="n"/>
      <c r="EN48" s="18" t="n"/>
      <c r="EO48" s="18" t="n"/>
      <c r="EP48" s="18" t="n"/>
      <c r="EQ48" s="18" t="n"/>
      <c r="ER48" s="18" t="n"/>
      <c r="ES48" s="18" t="n"/>
      <c r="ET48" s="18" t="n"/>
      <c r="EU48" s="18" t="n"/>
      <c r="EV48" s="18" t="n"/>
      <c r="EW48" s="18" t="n"/>
      <c r="EX48" s="18" t="n"/>
      <c r="EY48" s="18" t="n"/>
      <c r="EZ48" s="18" t="n"/>
      <c r="FA48" s="18" t="n"/>
      <c r="FB48" s="18" t="n"/>
      <c r="FC48" s="18" t="n"/>
      <c r="FD48" s="18" t="n"/>
      <c r="FE48" s="18" t="n"/>
      <c r="FF48" s="18" t="n"/>
      <c r="FG48" s="18" t="n"/>
      <c r="FH48" s="18" t="n"/>
      <c r="FI48" s="18" t="n"/>
      <c r="FJ48" s="18" t="n"/>
      <c r="FK48" s="18" t="n"/>
      <c r="FL48" s="18" t="n"/>
      <c r="FM48" s="18" t="n"/>
      <c r="FN48" s="18" t="n"/>
      <c r="FO48" s="18" t="n"/>
      <c r="FP48" s="18" t="n"/>
      <c r="FQ48" s="18" t="n"/>
      <c r="FR48" s="18" t="n"/>
      <c r="FS48" s="18" t="n"/>
      <c r="FT48" s="18" t="n"/>
      <c r="FU48" s="18" t="n"/>
      <c r="FV48" s="18" t="n"/>
      <c r="FW48" s="18" t="n"/>
      <c r="FX48" s="18" t="n"/>
      <c r="FY48" s="18" t="n"/>
      <c r="FZ48" s="18" t="n"/>
      <c r="GA48" s="18" t="n"/>
      <c r="GB48" s="18" t="n"/>
      <c r="GC48" s="18" t="n"/>
      <c r="GD48" s="18" t="n"/>
      <c r="GE48" s="18" t="n"/>
      <c r="GF48" s="18" t="n"/>
      <c r="GG48" s="18" t="n"/>
      <c r="GH48" s="18" t="n"/>
      <c r="GI48" s="18" t="n"/>
      <c r="GJ48" s="18" t="n"/>
      <c r="GK48" s="18" t="n"/>
      <c r="GL48" s="18" t="n"/>
      <c r="GM48" s="18" t="n"/>
      <c r="GN48" s="18" t="n"/>
      <c r="GO48" s="18" t="n"/>
      <c r="GP48" s="18" t="n"/>
      <c r="GQ48" s="18" t="n"/>
      <c r="GR48" s="18" t="n"/>
      <c r="GS48" s="18" t="n"/>
      <c r="GT48" s="18" t="n"/>
      <c r="GU48" s="18" t="n"/>
      <c r="GV48" s="18" t="n"/>
      <c r="GW48" s="18" t="n"/>
      <c r="GX48" s="18" t="n"/>
      <c r="GY48" s="18" t="n"/>
      <c r="GZ48" s="18" t="n"/>
      <c r="HA48" s="18" t="n"/>
      <c r="HB48" s="18" t="n"/>
      <c r="HC48" s="18" t="n"/>
      <c r="HD48" s="18" t="n"/>
      <c r="HE48" s="18" t="n"/>
      <c r="HF48" s="18" t="n"/>
      <c r="HG48" s="18" t="n"/>
      <c r="HH48" s="18" t="n"/>
      <c r="HI48" s="18" t="n"/>
      <c r="HJ48" s="18" t="n"/>
      <c r="HK48" s="18" t="n"/>
      <c r="HL48" s="18" t="n"/>
      <c r="HM48" s="18" t="n"/>
      <c r="HN48" s="18" t="n"/>
      <c r="HO48" s="18" t="n"/>
      <c r="HP48" s="18" t="n"/>
      <c r="HQ48" s="18" t="n"/>
      <c r="HR48" s="18" t="n"/>
      <c r="HS48" s="18" t="n"/>
      <c r="HT48" s="18" t="n"/>
      <c r="HU48" s="18" t="n"/>
      <c r="HV48" s="18" t="n"/>
      <c r="HW48" s="18" t="n"/>
      <c r="HX48" s="18" t="n"/>
      <c r="HY48" s="18" t="n"/>
      <c r="HZ48" s="18" t="n"/>
      <c r="IA48" s="18" t="n"/>
      <c r="IB48" s="18" t="n"/>
      <c r="IC48" s="18" t="n"/>
      <c r="ID48" s="18" t="n"/>
      <c r="IE48" s="18" t="n"/>
      <c r="IF48" s="18" t="n"/>
      <c r="IG48" s="18" t="n"/>
      <c r="IH48" s="18" t="n"/>
      <c r="II48" s="18" t="n"/>
      <c r="IJ48" s="18" t="n"/>
      <c r="IK48" s="18" t="n"/>
      <c r="IL48" s="18" t="n"/>
      <c r="IM48" s="18" t="n"/>
      <c r="IN48" s="18" t="n"/>
      <c r="IO48" s="18" t="n"/>
      <c r="IP48" s="18" t="n"/>
      <c r="IQ48" s="18" t="n"/>
      <c r="IR48" s="18" t="n"/>
      <c r="IS48" s="18" t="n"/>
      <c r="IT48" s="18" t="n"/>
      <c r="IU48" s="18" t="n"/>
      <c r="IV48" s="18" t="n"/>
      <c r="IW48" s="18" t="n"/>
      <c r="IX48" s="18" t="n"/>
      <c r="IY48" s="18" t="n"/>
      <c r="IZ48" s="18" t="n"/>
      <c r="JA48" s="18" t="n"/>
      <c r="JB48" s="18" t="n"/>
      <c r="JC48" s="18" t="n"/>
      <c r="JD48" s="18" t="n"/>
      <c r="JE48" s="18" t="n"/>
      <c r="JF48" s="18" t="n"/>
      <c r="JG48" s="18" t="n"/>
      <c r="JH48" s="18" t="n"/>
      <c r="JI48" s="18" t="n"/>
      <c r="JJ48" s="18" t="n"/>
      <c r="JK48" s="18" t="n"/>
      <c r="JL48" s="18" t="n"/>
      <c r="JM48" s="18" t="n"/>
      <c r="JN48" s="18" t="n"/>
      <c r="JO48" s="18" t="n"/>
      <c r="JP48" s="18" t="n"/>
      <c r="JQ48" s="18" t="n"/>
      <c r="JR48" s="18" t="n"/>
      <c r="JS48" s="18" t="n"/>
      <c r="JT48" s="18" t="n"/>
      <c r="JU48" s="18" t="n"/>
      <c r="JV48" s="18" t="n"/>
      <c r="JW48" s="18" t="n"/>
      <c r="JX48" s="18" t="n"/>
      <c r="JY48" s="18" t="n"/>
      <c r="JZ48" s="18" t="n"/>
      <c r="KA48" s="18" t="n"/>
      <c r="KB48" s="18" t="n"/>
      <c r="KC48" s="18" t="n"/>
      <c r="KD48" s="18" t="n"/>
      <c r="KE48" s="18" t="n"/>
      <c r="KF48" s="18" t="n"/>
      <c r="KG48" s="18" t="n"/>
      <c r="KH48" s="18" t="n"/>
      <c r="KI48" s="18" t="n"/>
      <c r="KJ48" s="18" t="n"/>
      <c r="KK48" s="18" t="n"/>
      <c r="KL48" s="18" t="n"/>
      <c r="KM48" s="18" t="n"/>
      <c r="KN48" s="18" t="n"/>
      <c r="KO48" s="18" t="n"/>
      <c r="KP48" s="18" t="n"/>
      <c r="KQ48" s="18" t="n"/>
    </row>
    <row r="49" ht="17.4" customHeight="1" s="88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  <c r="DY49" s="18" t="n"/>
      <c r="DZ49" s="18" t="n"/>
      <c r="EA49" s="18" t="n"/>
      <c r="EB49" s="18" t="n"/>
      <c r="EC49" s="18" t="n"/>
      <c r="ED49" s="18" t="n"/>
      <c r="EE49" s="18" t="n"/>
      <c r="EF49" s="18" t="n"/>
      <c r="EG49" s="18" t="n"/>
      <c r="EH49" s="18" t="n"/>
      <c r="EI49" s="18" t="n"/>
      <c r="EJ49" s="18" t="n"/>
      <c r="EK49" s="18" t="n"/>
      <c r="EL49" s="18" t="n"/>
      <c r="EM49" s="18" t="n"/>
      <c r="EN49" s="18" t="n"/>
      <c r="EO49" s="18" t="n"/>
      <c r="EP49" s="18" t="n"/>
      <c r="EQ49" s="18" t="n"/>
      <c r="ER49" s="18" t="n"/>
      <c r="ES49" s="18" t="n"/>
      <c r="ET49" s="18" t="n"/>
      <c r="EU49" s="18" t="n"/>
      <c r="EV49" s="18" t="n"/>
      <c r="EW49" s="18" t="n"/>
      <c r="EX49" s="18" t="n"/>
      <c r="EY49" s="18" t="n"/>
      <c r="EZ49" s="18" t="n"/>
      <c r="FA49" s="18" t="n"/>
      <c r="FB49" s="18" t="n"/>
      <c r="FC49" s="18" t="n"/>
      <c r="FD49" s="18" t="n"/>
      <c r="FE49" s="18" t="n"/>
      <c r="FF49" s="18" t="n"/>
      <c r="FG49" s="18" t="n"/>
      <c r="FH49" s="18" t="n"/>
      <c r="FI49" s="18" t="n"/>
      <c r="FJ49" s="18" t="n"/>
      <c r="FK49" s="18" t="n"/>
      <c r="FL49" s="18" t="n"/>
      <c r="FM49" s="18" t="n"/>
      <c r="FN49" s="18" t="n"/>
      <c r="FO49" s="18" t="n"/>
      <c r="FP49" s="18" t="n"/>
      <c r="FQ49" s="18" t="n"/>
      <c r="FR49" s="18" t="n"/>
      <c r="FS49" s="18" t="n"/>
      <c r="FT49" s="18" t="n"/>
      <c r="FU49" s="18" t="n"/>
      <c r="FV49" s="18" t="n"/>
      <c r="FW49" s="18" t="n"/>
      <c r="FX49" s="18" t="n"/>
      <c r="FY49" s="18" t="n"/>
      <c r="FZ49" s="18" t="n"/>
      <c r="GA49" s="18" t="n"/>
      <c r="GB49" s="18" t="n"/>
      <c r="GC49" s="18" t="n"/>
      <c r="GD49" s="18" t="n"/>
      <c r="GE49" s="18" t="n"/>
      <c r="GF49" s="18" t="n"/>
      <c r="GG49" s="18" t="n"/>
      <c r="GH49" s="18" t="n"/>
      <c r="GI49" s="18" t="n"/>
      <c r="GJ49" s="18" t="n"/>
      <c r="GK49" s="18" t="n"/>
      <c r="GL49" s="18" t="n"/>
      <c r="GM49" s="18" t="n"/>
      <c r="GN49" s="18" t="n"/>
      <c r="GO49" s="18" t="n"/>
      <c r="GP49" s="18" t="n"/>
      <c r="GQ49" s="18" t="n"/>
      <c r="GR49" s="18" t="n"/>
      <c r="GS49" s="18" t="n"/>
      <c r="GT49" s="18" t="n"/>
      <c r="GU49" s="18" t="n"/>
      <c r="GV49" s="18" t="n"/>
      <c r="GW49" s="18" t="n"/>
      <c r="GX49" s="18" t="n"/>
      <c r="GY49" s="18" t="n"/>
      <c r="GZ49" s="18" t="n"/>
      <c r="HA49" s="18" t="n"/>
      <c r="HB49" s="18" t="n"/>
      <c r="HC49" s="18" t="n"/>
      <c r="HD49" s="18" t="n"/>
      <c r="HE49" s="18" t="n"/>
      <c r="HF49" s="18" t="n"/>
      <c r="HG49" s="18" t="n"/>
      <c r="HH49" s="18" t="n"/>
      <c r="HI49" s="18" t="n"/>
      <c r="HJ49" s="18" t="n"/>
      <c r="HK49" s="18" t="n"/>
      <c r="HL49" s="18" t="n"/>
      <c r="HM49" s="18" t="n"/>
      <c r="HN49" s="18" t="n"/>
      <c r="HO49" s="18" t="n"/>
      <c r="HP49" s="18" t="n"/>
      <c r="HQ49" s="18" t="n"/>
      <c r="HR49" s="18" t="n"/>
      <c r="HS49" s="18" t="n"/>
      <c r="HT49" s="18" t="n"/>
      <c r="HU49" s="18" t="n"/>
      <c r="HV49" s="18" t="n"/>
      <c r="HW49" s="18" t="n"/>
      <c r="HX49" s="18" t="n"/>
      <c r="HY49" s="18" t="n"/>
      <c r="HZ49" s="18" t="n"/>
      <c r="IA49" s="18" t="n"/>
      <c r="IB49" s="18" t="n"/>
      <c r="IC49" s="18" t="n"/>
      <c r="ID49" s="18" t="n"/>
      <c r="IE49" s="18" t="n"/>
      <c r="IF49" s="18" t="n"/>
      <c r="IG49" s="18" t="n"/>
      <c r="IH49" s="18" t="n"/>
      <c r="II49" s="18" t="n"/>
      <c r="IJ49" s="18" t="n"/>
      <c r="IK49" s="18" t="n"/>
      <c r="IL49" s="18" t="n"/>
      <c r="IM49" s="18" t="n"/>
      <c r="IN49" s="18" t="n"/>
      <c r="IO49" s="18" t="n"/>
      <c r="IP49" s="18" t="n"/>
      <c r="IQ49" s="18" t="n"/>
      <c r="IR49" s="18" t="n"/>
      <c r="IS49" s="18" t="n"/>
      <c r="IT49" s="18" t="n"/>
      <c r="IU49" s="18" t="n"/>
      <c r="IV49" s="18" t="n"/>
      <c r="IW49" s="18" t="n"/>
      <c r="IX49" s="18" t="n"/>
      <c r="IY49" s="18" t="n"/>
      <c r="IZ49" s="18" t="n"/>
      <c r="JA49" s="18" t="n"/>
      <c r="JB49" s="18" t="n"/>
      <c r="JC49" s="18" t="n"/>
      <c r="JD49" s="18" t="n"/>
      <c r="JE49" s="18" t="n"/>
      <c r="JF49" s="18" t="n"/>
      <c r="JG49" s="18" t="n"/>
      <c r="JH49" s="18" t="n"/>
      <c r="JI49" s="18" t="n"/>
      <c r="JJ49" s="18" t="n"/>
      <c r="JK49" s="18" t="n"/>
      <c r="JL49" s="18" t="n"/>
      <c r="JM49" s="18" t="n"/>
      <c r="JN49" s="18" t="n"/>
      <c r="JO49" s="18" t="n"/>
      <c r="JP49" s="18" t="n"/>
      <c r="JQ49" s="18" t="n"/>
      <c r="JR49" s="18" t="n"/>
      <c r="JS49" s="18" t="n"/>
      <c r="JT49" s="18" t="n"/>
      <c r="JU49" s="18" t="n"/>
      <c r="JV49" s="18" t="n"/>
      <c r="JW49" s="18" t="n"/>
      <c r="JX49" s="18" t="n"/>
      <c r="JY49" s="18" t="n"/>
      <c r="JZ49" s="18" t="n"/>
      <c r="KA49" s="18" t="n"/>
      <c r="KB49" s="18" t="n"/>
      <c r="KC49" s="18" t="n"/>
      <c r="KD49" s="18" t="n"/>
      <c r="KE49" s="18" t="n"/>
      <c r="KF49" s="18" t="n"/>
      <c r="KG49" s="18" t="n"/>
      <c r="KH49" s="18" t="n"/>
      <c r="KI49" s="18" t="n"/>
      <c r="KJ49" s="18" t="n"/>
      <c r="KK49" s="18" t="n"/>
      <c r="KL49" s="18" t="n"/>
      <c r="KM49" s="18" t="n"/>
      <c r="KN49" s="18" t="n"/>
      <c r="KO49" s="18" t="n"/>
      <c r="KP49" s="18" t="n"/>
      <c r="KQ49" s="18" t="n"/>
      <c r="KR49" s="18" t="n"/>
      <c r="KS49" s="18" t="n"/>
      <c r="KT49" s="18" t="n"/>
      <c r="KU49" s="18" t="n"/>
    </row>
    <row r="50" ht="17.4" customHeight="1" s="88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  <c r="DY50" s="18" t="n"/>
      <c r="DZ50" s="18" t="n"/>
      <c r="EA50" s="18" t="n"/>
      <c r="EB50" s="18" t="n"/>
      <c r="EC50" s="18" t="n"/>
      <c r="ED50" s="18" t="n"/>
      <c r="EE50" s="18" t="n"/>
      <c r="EF50" s="18" t="n"/>
      <c r="EG50" s="18" t="n"/>
      <c r="EH50" s="18" t="n"/>
      <c r="EI50" s="18" t="n"/>
      <c r="EJ50" s="18" t="n"/>
      <c r="EK50" s="18" t="n"/>
      <c r="EL50" s="18" t="n"/>
      <c r="EM50" s="18" t="n"/>
      <c r="EN50" s="18" t="n"/>
      <c r="EO50" s="18" t="n"/>
      <c r="EP50" s="18" t="n"/>
      <c r="EQ50" s="18" t="n"/>
      <c r="ER50" s="18" t="n"/>
      <c r="ES50" s="18" t="n"/>
      <c r="ET50" s="18" t="n"/>
      <c r="EU50" s="18" t="n"/>
      <c r="EV50" s="18" t="n"/>
      <c r="EW50" s="18" t="n"/>
      <c r="EX50" s="18" t="n"/>
      <c r="EY50" s="18" t="n"/>
      <c r="EZ50" s="18" t="n"/>
      <c r="FA50" s="18" t="n"/>
      <c r="FB50" s="18" t="n"/>
      <c r="FC50" s="18" t="n"/>
      <c r="FD50" s="18" t="n"/>
      <c r="FE50" s="18" t="n"/>
      <c r="FF50" s="18" t="n"/>
      <c r="FG50" s="18" t="n"/>
      <c r="FH50" s="18" t="n"/>
      <c r="FI50" s="18" t="n"/>
      <c r="FJ50" s="18" t="n"/>
      <c r="FK50" s="18" t="n"/>
      <c r="FL50" s="18" t="n"/>
      <c r="FM50" s="18" t="n"/>
      <c r="FN50" s="18" t="n"/>
      <c r="FO50" s="18" t="n"/>
      <c r="FP50" s="18" t="n"/>
      <c r="FQ50" s="18" t="n"/>
      <c r="FR50" s="18" t="n"/>
      <c r="FS50" s="18" t="n"/>
      <c r="FT50" s="18" t="n"/>
      <c r="FU50" s="18" t="n"/>
      <c r="FV50" s="18" t="n"/>
      <c r="FW50" s="18" t="n"/>
      <c r="FX50" s="18" t="n"/>
      <c r="FY50" s="18" t="n"/>
      <c r="FZ50" s="18" t="n"/>
      <c r="GA50" s="18" t="n"/>
      <c r="GB50" s="18" t="n"/>
      <c r="GC50" s="18" t="n"/>
      <c r="GD50" s="18" t="n"/>
      <c r="GE50" s="18" t="n"/>
      <c r="GF50" s="18" t="n"/>
      <c r="GG50" s="18" t="n"/>
      <c r="GH50" s="18" t="n"/>
      <c r="GI50" s="18" t="n"/>
      <c r="GJ50" s="18" t="n"/>
      <c r="GK50" s="18" t="n"/>
      <c r="GL50" s="18" t="n"/>
      <c r="GM50" s="18" t="n"/>
      <c r="GN50" s="18" t="n"/>
      <c r="GO50" s="18" t="n"/>
      <c r="GP50" s="18" t="n"/>
      <c r="GQ50" s="18" t="n"/>
      <c r="GR50" s="18" t="n"/>
      <c r="GS50" s="18" t="n"/>
      <c r="GT50" s="18" t="n"/>
      <c r="GU50" s="18" t="n"/>
      <c r="GV50" s="18" t="n"/>
      <c r="GW50" s="18" t="n"/>
      <c r="GX50" s="18" t="n"/>
      <c r="GY50" s="18" t="n"/>
      <c r="GZ50" s="18" t="n"/>
      <c r="HA50" s="18" t="n"/>
      <c r="HB50" s="18" t="n"/>
      <c r="HC50" s="18" t="n"/>
      <c r="HD50" s="18" t="n"/>
      <c r="HE50" s="18" t="n"/>
      <c r="HF50" s="18" t="n"/>
      <c r="HG50" s="18" t="n"/>
      <c r="HH50" s="18" t="n"/>
      <c r="HI50" s="18" t="n"/>
      <c r="HJ50" s="18" t="n"/>
      <c r="HK50" s="18" t="n"/>
      <c r="HL50" s="18" t="n"/>
      <c r="HM50" s="18" t="n"/>
      <c r="HN50" s="18" t="n"/>
      <c r="HO50" s="18" t="n"/>
      <c r="HP50" s="18" t="n"/>
      <c r="HQ50" s="18" t="n"/>
      <c r="HR50" s="18" t="n"/>
      <c r="HS50" s="18" t="n"/>
      <c r="HT50" s="18" t="n"/>
      <c r="HU50" s="18" t="n"/>
      <c r="HV50" s="18" t="n"/>
      <c r="HW50" s="18" t="n"/>
      <c r="HX50" s="18" t="n"/>
      <c r="HY50" s="18" t="n"/>
      <c r="HZ50" s="18" t="n"/>
      <c r="IA50" s="18" t="n"/>
      <c r="IB50" s="18" t="n"/>
      <c r="IC50" s="18" t="n"/>
      <c r="ID50" s="18" t="n"/>
      <c r="IE50" s="18" t="n"/>
      <c r="IF50" s="18" t="n"/>
      <c r="IG50" s="18" t="n"/>
      <c r="IH50" s="18" t="n"/>
      <c r="II50" s="18" t="n"/>
      <c r="IJ50" s="18" t="n"/>
      <c r="IK50" s="18" t="n"/>
      <c r="IL50" s="18" t="n"/>
      <c r="IM50" s="18" t="n"/>
      <c r="IN50" s="18" t="n"/>
      <c r="IO50" s="18" t="n"/>
      <c r="IP50" s="18" t="n"/>
      <c r="IQ50" s="18" t="n"/>
      <c r="IR50" s="18" t="n"/>
      <c r="IS50" s="18" t="n"/>
      <c r="IT50" s="18" t="n"/>
      <c r="IU50" s="18" t="n"/>
      <c r="IV50" s="18" t="n"/>
      <c r="IW50" s="18" t="n"/>
      <c r="IX50" s="18" t="n"/>
      <c r="IY50" s="18" t="n"/>
      <c r="IZ50" s="18" t="n"/>
      <c r="JA50" s="18" t="n"/>
      <c r="JB50" s="18" t="n"/>
      <c r="JC50" s="18" t="n"/>
      <c r="JD50" s="18" t="n"/>
      <c r="JE50" s="18" t="n"/>
      <c r="JF50" s="18" t="n"/>
      <c r="JG50" s="18" t="n"/>
      <c r="JH50" s="18" t="n"/>
      <c r="JI50" s="18" t="n"/>
      <c r="JJ50" s="18" t="n"/>
      <c r="JK50" s="18" t="n"/>
      <c r="JL50" s="18" t="n"/>
      <c r="JM50" s="18" t="n"/>
      <c r="JN50" s="18" t="n"/>
      <c r="JO50" s="18" t="n"/>
      <c r="JP50" s="18" t="n"/>
      <c r="JQ50" s="18" t="n"/>
      <c r="JR50" s="18" t="n"/>
      <c r="JS50" s="18" t="n"/>
      <c r="JT50" s="18" t="n"/>
      <c r="JU50" s="18" t="n"/>
      <c r="JV50" s="18" t="n"/>
      <c r="JW50" s="18" t="n"/>
      <c r="JX50" s="18" t="n"/>
      <c r="JY50" s="18" t="n"/>
      <c r="JZ50" s="18" t="n"/>
      <c r="KA50" s="18" t="n"/>
      <c r="KB50" s="18" t="n"/>
      <c r="KC50" s="18" t="n"/>
      <c r="KD50" s="18" t="n"/>
      <c r="KE50" s="18" t="n"/>
      <c r="KF50" s="18" t="n"/>
      <c r="KG50" s="18" t="n"/>
      <c r="KH50" s="18" t="n"/>
      <c r="KI50" s="18" t="n"/>
      <c r="KJ50" s="18" t="n"/>
      <c r="KK50" s="18" t="n"/>
      <c r="KL50" s="18" t="n"/>
      <c r="KM50" s="18" t="n"/>
      <c r="KN50" s="18" t="n"/>
      <c r="KO50" s="18" t="n"/>
      <c r="KP50" s="18" t="n"/>
      <c r="KQ50" s="18" t="n"/>
      <c r="KR50" s="18" t="n"/>
      <c r="KS50" s="18" t="n"/>
      <c r="KT50" s="18" t="n"/>
      <c r="KU50" s="18" t="n"/>
      <c r="KV50" s="18" t="n"/>
      <c r="KW50" s="18" t="n"/>
      <c r="KX50" s="18" t="n"/>
      <c r="KY50" s="18" t="n"/>
    </row>
    <row r="51" ht="17.4" customHeight="1" s="88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  <c r="DY51" s="18" t="n"/>
      <c r="DZ51" s="18" t="n"/>
      <c r="EA51" s="18" t="n"/>
      <c r="EB51" s="18" t="n"/>
      <c r="EC51" s="18" t="n"/>
      <c r="ED51" s="18" t="n"/>
      <c r="EE51" s="18" t="n"/>
      <c r="EF51" s="18" t="n"/>
      <c r="EG51" s="18" t="n"/>
      <c r="EH51" s="18" t="n"/>
      <c r="EI51" s="18" t="n"/>
      <c r="EJ51" s="18" t="n"/>
      <c r="EK51" s="18" t="n"/>
      <c r="EL51" s="18" t="n"/>
      <c r="EM51" s="18" t="n"/>
      <c r="EN51" s="18" t="n"/>
      <c r="EO51" s="18" t="n"/>
      <c r="EP51" s="18" t="n"/>
      <c r="EQ51" s="18" t="n"/>
      <c r="ER51" s="18" t="n"/>
      <c r="ES51" s="18" t="n"/>
      <c r="ET51" s="18" t="n"/>
      <c r="EU51" s="18" t="n"/>
      <c r="EV51" s="18" t="n"/>
      <c r="EW51" s="18" t="n"/>
      <c r="EX51" s="18" t="n"/>
      <c r="EY51" s="18" t="n"/>
      <c r="EZ51" s="18" t="n"/>
      <c r="FA51" s="18" t="n"/>
      <c r="FB51" s="18" t="n"/>
      <c r="FC51" s="18" t="n"/>
      <c r="FD51" s="18" t="n"/>
      <c r="FE51" s="18" t="n"/>
      <c r="FF51" s="18" t="n"/>
      <c r="FG51" s="18" t="n"/>
      <c r="FH51" s="18" t="n"/>
      <c r="FI51" s="18" t="n"/>
      <c r="FJ51" s="18" t="n"/>
      <c r="FK51" s="18" t="n"/>
      <c r="FL51" s="18" t="n"/>
      <c r="FM51" s="18" t="n"/>
      <c r="FN51" s="18" t="n"/>
      <c r="FO51" s="18" t="n"/>
      <c r="FP51" s="18" t="n"/>
      <c r="FQ51" s="18" t="n"/>
      <c r="FR51" s="18" t="n"/>
      <c r="FS51" s="18" t="n"/>
      <c r="FT51" s="18" t="n"/>
      <c r="FU51" s="18" t="n"/>
      <c r="FV51" s="18" t="n"/>
      <c r="FW51" s="18" t="n"/>
      <c r="FX51" s="18" t="n"/>
      <c r="FY51" s="18" t="n"/>
      <c r="FZ51" s="18" t="n"/>
      <c r="GA51" s="18" t="n"/>
      <c r="GB51" s="18" t="n"/>
      <c r="GC51" s="18" t="n"/>
      <c r="GD51" s="18" t="n"/>
      <c r="GE51" s="18" t="n"/>
      <c r="GF51" s="18" t="n"/>
      <c r="GG51" s="18" t="n"/>
      <c r="GH51" s="18" t="n"/>
      <c r="GI51" s="18" t="n"/>
      <c r="GJ51" s="18" t="n"/>
      <c r="GK51" s="18" t="n"/>
      <c r="GL51" s="18" t="n"/>
      <c r="GM51" s="18" t="n"/>
      <c r="GN51" s="18" t="n"/>
      <c r="GO51" s="18" t="n"/>
      <c r="GP51" s="18" t="n"/>
      <c r="GQ51" s="18" t="n"/>
      <c r="GR51" s="18" t="n"/>
      <c r="GS51" s="18" t="n"/>
      <c r="GT51" s="18" t="n"/>
      <c r="GU51" s="18" t="n"/>
      <c r="GV51" s="18" t="n"/>
      <c r="GW51" s="18" t="n"/>
      <c r="GX51" s="18" t="n"/>
      <c r="GY51" s="18" t="n"/>
      <c r="GZ51" s="18" t="n"/>
      <c r="HA51" s="18" t="n"/>
      <c r="HB51" s="18" t="n"/>
      <c r="HC51" s="18" t="n"/>
      <c r="HD51" s="18" t="n"/>
      <c r="HE51" s="18" t="n"/>
      <c r="HF51" s="18" t="n"/>
      <c r="HG51" s="18" t="n"/>
      <c r="HH51" s="18" t="n"/>
      <c r="HI51" s="18" t="n"/>
      <c r="HJ51" s="18" t="n"/>
      <c r="HK51" s="18" t="n"/>
      <c r="HL51" s="18" t="n"/>
      <c r="HM51" s="18" t="n"/>
      <c r="HN51" s="18" t="n"/>
      <c r="HO51" s="18" t="n"/>
      <c r="HP51" s="18" t="n"/>
      <c r="HQ51" s="18" t="n"/>
      <c r="HR51" s="18" t="n"/>
      <c r="HS51" s="18" t="n"/>
      <c r="HT51" s="18" t="n"/>
      <c r="HU51" s="18" t="n"/>
      <c r="HV51" s="18" t="n"/>
      <c r="HW51" s="18" t="n"/>
      <c r="HX51" s="18" t="n"/>
      <c r="HY51" s="18" t="n"/>
      <c r="HZ51" s="18" t="n"/>
      <c r="IA51" s="18" t="n"/>
      <c r="IB51" s="18" t="n"/>
      <c r="IC51" s="18" t="n"/>
      <c r="ID51" s="18" t="n"/>
      <c r="IE51" s="18" t="n"/>
      <c r="IF51" s="18" t="n"/>
      <c r="IG51" s="18" t="n"/>
      <c r="IH51" s="18" t="n"/>
      <c r="II51" s="18" t="n"/>
      <c r="IJ51" s="18" t="n"/>
      <c r="IK51" s="18" t="n"/>
      <c r="IL51" s="18" t="n"/>
      <c r="IM51" s="18" t="n"/>
      <c r="IN51" s="18" t="n"/>
      <c r="IO51" s="18" t="n"/>
      <c r="IP51" s="18" t="n"/>
      <c r="IQ51" s="18" t="n"/>
      <c r="IR51" s="18" t="n"/>
      <c r="IS51" s="18" t="n"/>
      <c r="IT51" s="18" t="n"/>
      <c r="IU51" s="18" t="n"/>
      <c r="IV51" s="18" t="n"/>
      <c r="IW51" s="18" t="n"/>
      <c r="IX51" s="18" t="n"/>
      <c r="IY51" s="18" t="n"/>
      <c r="IZ51" s="18" t="n"/>
      <c r="JA51" s="18" t="n"/>
      <c r="JB51" s="18" t="n"/>
      <c r="JC51" s="18" t="n"/>
      <c r="JD51" s="18" t="n"/>
      <c r="JE51" s="18" t="n"/>
      <c r="JF51" s="18" t="n"/>
      <c r="JG51" s="18" t="n"/>
      <c r="JH51" s="18" t="n"/>
      <c r="JI51" s="18" t="n"/>
      <c r="JJ51" s="18" t="n"/>
      <c r="JK51" s="18" t="n"/>
      <c r="JL51" s="18" t="n"/>
      <c r="JM51" s="18" t="n"/>
      <c r="JN51" s="18" t="n"/>
      <c r="JO51" s="18" t="n"/>
      <c r="JP51" s="18" t="n"/>
      <c r="JQ51" s="18" t="n"/>
      <c r="JR51" s="18" t="n"/>
      <c r="JS51" s="18" t="n"/>
      <c r="JT51" s="18" t="n"/>
      <c r="JU51" s="18" t="n"/>
      <c r="JV51" s="18" t="n"/>
      <c r="JW51" s="18" t="n"/>
      <c r="JX51" s="18" t="n"/>
      <c r="JY51" s="18" t="n"/>
      <c r="JZ51" s="18" t="n"/>
      <c r="KA51" s="18" t="n"/>
      <c r="KB51" s="18" t="n"/>
      <c r="KC51" s="18" t="n"/>
      <c r="KD51" s="18" t="n"/>
      <c r="KE51" s="18" t="n"/>
      <c r="KF51" s="18" t="n"/>
      <c r="KG51" s="18" t="n"/>
      <c r="KH51" s="18" t="n"/>
      <c r="KI51" s="18" t="n"/>
      <c r="KJ51" s="18" t="n"/>
      <c r="KK51" s="18" t="n"/>
      <c r="KL51" s="18" t="n"/>
      <c r="KM51" s="18" t="n"/>
      <c r="KN51" s="18" t="n"/>
      <c r="KO51" s="18" t="n"/>
      <c r="KP51" s="18" t="n"/>
      <c r="KQ51" s="18" t="n"/>
      <c r="KR51" s="18" t="n"/>
      <c r="KS51" s="18" t="n"/>
      <c r="KT51" s="18" t="n"/>
      <c r="KU51" s="18" t="n"/>
      <c r="KV51" s="18" t="n"/>
      <c r="KW51" s="18" t="n"/>
      <c r="KX51" s="18" t="n"/>
      <c r="KY51" s="18" t="n"/>
      <c r="KZ51" s="18" t="n"/>
      <c r="LA51" s="18" t="n"/>
      <c r="LB51" s="18" t="n"/>
      <c r="LC51" s="18" t="n"/>
    </row>
    <row r="52" ht="17.4" customHeight="1" s="88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  <c r="DY52" s="18" t="n"/>
      <c r="DZ52" s="18" t="n"/>
      <c r="EA52" s="18" t="n"/>
      <c r="EB52" s="18" t="n"/>
      <c r="EC52" s="18" t="n"/>
      <c r="ED52" s="18" t="n"/>
      <c r="EE52" s="18" t="n"/>
      <c r="EF52" s="18" t="n"/>
      <c r="EG52" s="18" t="n"/>
      <c r="EH52" s="18" t="n"/>
      <c r="EI52" s="18" t="n"/>
      <c r="EJ52" s="18" t="n"/>
      <c r="EK52" s="18" t="n"/>
      <c r="EL52" s="18" t="n"/>
      <c r="EM52" s="18" t="n"/>
      <c r="EN52" s="18" t="n"/>
      <c r="EO52" s="18" t="n"/>
      <c r="EP52" s="18" t="n"/>
      <c r="EQ52" s="18" t="n"/>
      <c r="ER52" s="18" t="n"/>
      <c r="ES52" s="18" t="n"/>
      <c r="ET52" s="18" t="n"/>
      <c r="EU52" s="18" t="n"/>
      <c r="EV52" s="18" t="n"/>
      <c r="EW52" s="18" t="n"/>
      <c r="EX52" s="18" t="n"/>
      <c r="EY52" s="18" t="n"/>
      <c r="EZ52" s="18" t="n"/>
      <c r="FA52" s="18" t="n"/>
      <c r="FB52" s="18" t="n"/>
      <c r="FC52" s="18" t="n"/>
      <c r="FD52" s="18" t="n"/>
      <c r="FE52" s="18" t="n"/>
      <c r="FF52" s="18" t="n"/>
      <c r="FG52" s="18" t="n"/>
      <c r="FH52" s="18" t="n"/>
      <c r="FI52" s="18" t="n"/>
      <c r="FJ52" s="18" t="n"/>
      <c r="FK52" s="18" t="n"/>
      <c r="FL52" s="18" t="n"/>
      <c r="FM52" s="18" t="n"/>
      <c r="FN52" s="18" t="n"/>
      <c r="FO52" s="18" t="n"/>
      <c r="FP52" s="18" t="n"/>
      <c r="FQ52" s="18" t="n"/>
      <c r="FR52" s="18" t="n"/>
      <c r="FS52" s="18" t="n"/>
      <c r="FT52" s="18" t="n"/>
      <c r="FU52" s="18" t="n"/>
      <c r="FV52" s="18" t="n"/>
      <c r="FW52" s="18" t="n"/>
      <c r="FX52" s="18" t="n"/>
      <c r="FY52" s="18" t="n"/>
      <c r="FZ52" s="18" t="n"/>
      <c r="GA52" s="18" t="n"/>
      <c r="GB52" s="18" t="n"/>
      <c r="GC52" s="18" t="n"/>
      <c r="GD52" s="18" t="n"/>
      <c r="GE52" s="18" t="n"/>
      <c r="GF52" s="18" t="n"/>
      <c r="GG52" s="18" t="n"/>
      <c r="GH52" s="18" t="n"/>
      <c r="GI52" s="18" t="n"/>
      <c r="GJ52" s="18" t="n"/>
      <c r="GK52" s="18" t="n"/>
      <c r="GL52" s="18" t="n"/>
      <c r="GM52" s="18" t="n"/>
      <c r="GN52" s="18" t="n"/>
      <c r="GO52" s="18" t="n"/>
      <c r="GP52" s="18" t="n"/>
      <c r="GQ52" s="18" t="n"/>
      <c r="GR52" s="18" t="n"/>
      <c r="GS52" s="18" t="n"/>
      <c r="GT52" s="18" t="n"/>
      <c r="GU52" s="18" t="n"/>
      <c r="GV52" s="18" t="n"/>
      <c r="GW52" s="18" t="n"/>
      <c r="GX52" s="18" t="n"/>
      <c r="GY52" s="18" t="n"/>
      <c r="GZ52" s="18" t="n"/>
      <c r="HA52" s="18" t="n"/>
      <c r="HB52" s="18" t="n"/>
      <c r="HC52" s="18" t="n"/>
      <c r="HD52" s="18" t="n"/>
      <c r="HE52" s="18" t="n"/>
      <c r="HF52" s="18" t="n"/>
      <c r="HG52" s="18" t="n"/>
      <c r="HH52" s="18" t="n"/>
      <c r="HI52" s="18" t="n"/>
      <c r="HJ52" s="18" t="n"/>
      <c r="HK52" s="18" t="n"/>
      <c r="HL52" s="18" t="n"/>
      <c r="HM52" s="18" t="n"/>
      <c r="HN52" s="18" t="n"/>
      <c r="HO52" s="18" t="n"/>
      <c r="HP52" s="18" t="n"/>
      <c r="HQ52" s="18" t="n"/>
      <c r="HR52" s="18" t="n"/>
      <c r="HS52" s="18" t="n"/>
      <c r="HT52" s="18" t="n"/>
      <c r="HU52" s="18" t="n"/>
      <c r="HV52" s="18" t="n"/>
      <c r="HW52" s="18" t="n"/>
      <c r="HX52" s="18" t="n"/>
      <c r="HY52" s="18" t="n"/>
      <c r="HZ52" s="18" t="n"/>
      <c r="IA52" s="18" t="n"/>
      <c r="IB52" s="18" t="n"/>
      <c r="IC52" s="18" t="n"/>
      <c r="ID52" s="18" t="n"/>
      <c r="IE52" s="18" t="n"/>
      <c r="IF52" s="18" t="n"/>
      <c r="IG52" s="18" t="n"/>
      <c r="IH52" s="18" t="n"/>
      <c r="II52" s="18" t="n"/>
      <c r="IJ52" s="18" t="n"/>
      <c r="IK52" s="18" t="n"/>
      <c r="IL52" s="18" t="n"/>
      <c r="IM52" s="18" t="n"/>
      <c r="IN52" s="18" t="n"/>
      <c r="IO52" s="18" t="n"/>
      <c r="IP52" s="18" t="n"/>
      <c r="IQ52" s="18" t="n"/>
      <c r="IR52" s="18" t="n"/>
      <c r="IS52" s="18" t="n"/>
      <c r="IT52" s="18" t="n"/>
      <c r="IU52" s="18" t="n"/>
      <c r="IV52" s="18" t="n"/>
      <c r="IW52" s="18" t="n"/>
      <c r="IX52" s="18" t="n"/>
      <c r="IY52" s="18" t="n"/>
      <c r="IZ52" s="18" t="n"/>
      <c r="JA52" s="18" t="n"/>
      <c r="JB52" s="18" t="n"/>
      <c r="JC52" s="18" t="n"/>
      <c r="JD52" s="18" t="n"/>
      <c r="JE52" s="18" t="n"/>
      <c r="JF52" s="18" t="n"/>
      <c r="JG52" s="18" t="n"/>
      <c r="JH52" s="18" t="n"/>
      <c r="JI52" s="18" t="n"/>
      <c r="JJ52" s="18" t="n"/>
      <c r="JK52" s="18" t="n"/>
      <c r="JL52" s="18" t="n"/>
      <c r="JM52" s="18" t="n"/>
      <c r="JN52" s="18" t="n"/>
      <c r="JO52" s="18" t="n"/>
      <c r="JP52" s="18" t="n"/>
      <c r="JQ52" s="18" t="n"/>
      <c r="JR52" s="18" t="n"/>
      <c r="JS52" s="18" t="n"/>
      <c r="JT52" s="18" t="n"/>
      <c r="JU52" s="18" t="n"/>
      <c r="JV52" s="18" t="n"/>
      <c r="JW52" s="18" t="n"/>
      <c r="JX52" s="18" t="n"/>
      <c r="JY52" s="18" t="n"/>
      <c r="JZ52" s="18" t="n"/>
      <c r="KA52" s="18" t="n"/>
      <c r="KB52" s="18" t="n"/>
      <c r="KC52" s="18" t="n"/>
      <c r="KD52" s="18" t="n"/>
      <c r="KE52" s="18" t="n"/>
      <c r="KF52" s="18" t="n"/>
      <c r="KG52" s="18" t="n"/>
      <c r="KH52" s="18" t="n"/>
      <c r="KI52" s="18" t="n"/>
      <c r="KJ52" s="18" t="n"/>
      <c r="KK52" s="18" t="n"/>
      <c r="KL52" s="18" t="n"/>
      <c r="KM52" s="18" t="n"/>
      <c r="KN52" s="18" t="n"/>
      <c r="KO52" s="18" t="n"/>
      <c r="KP52" s="18" t="n"/>
      <c r="KQ52" s="18" t="n"/>
      <c r="KR52" s="18" t="n"/>
      <c r="KS52" s="18" t="n"/>
      <c r="KT52" s="18" t="n"/>
      <c r="KU52" s="18" t="n"/>
      <c r="KV52" s="18" t="n"/>
      <c r="KW52" s="18" t="n"/>
      <c r="KX52" s="18" t="n"/>
      <c r="KY52" s="18" t="n"/>
      <c r="KZ52" s="18" t="n"/>
      <c r="LA52" s="18" t="n"/>
      <c r="LB52" s="18" t="n"/>
      <c r="LC52" s="18" t="n"/>
      <c r="LD52" s="18" t="n"/>
      <c r="LE52" s="18" t="n"/>
      <c r="LF52" s="18" t="n"/>
      <c r="LG52" s="18" t="n"/>
    </row>
    <row r="53" ht="17.4" customHeight="1" s="88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8" t="n"/>
      <c r="DF53" s="18" t="n"/>
      <c r="DG53" s="18" t="n"/>
      <c r="DH53" s="18" t="n"/>
      <c r="DI53" s="18" t="n"/>
      <c r="DJ53" s="18" t="n"/>
      <c r="DK53" s="18" t="n"/>
      <c r="DL53" s="18" t="n"/>
      <c r="DM53" s="18" t="n"/>
      <c r="DN53" s="18" t="n"/>
      <c r="DO53" s="18" t="n"/>
      <c r="DP53" s="18" t="n"/>
      <c r="DQ53" s="18" t="n"/>
      <c r="DR53" s="18" t="n"/>
      <c r="DS53" s="18" t="n"/>
      <c r="DT53" s="18" t="n"/>
      <c r="DU53" s="18" t="n"/>
      <c r="DV53" s="18" t="n"/>
      <c r="DW53" s="18" t="n"/>
      <c r="DX53" s="18" t="n"/>
      <c r="DY53" s="18" t="n"/>
      <c r="DZ53" s="18" t="n"/>
      <c r="EA53" s="18" t="n"/>
      <c r="EB53" s="18" t="n"/>
      <c r="EC53" s="18" t="n"/>
      <c r="ED53" s="18" t="n"/>
      <c r="EE53" s="18" t="n"/>
      <c r="EF53" s="18" t="n"/>
      <c r="EG53" s="18" t="n"/>
      <c r="EH53" s="18" t="n"/>
      <c r="EI53" s="18" t="n"/>
      <c r="EJ53" s="18" t="n"/>
      <c r="EK53" s="18" t="n"/>
      <c r="EL53" s="18" t="n"/>
      <c r="EM53" s="18" t="n"/>
      <c r="EN53" s="18" t="n"/>
      <c r="EO53" s="18" t="n"/>
      <c r="EP53" s="18" t="n"/>
      <c r="EQ53" s="18" t="n"/>
      <c r="ER53" s="18" t="n"/>
      <c r="ES53" s="18" t="n"/>
      <c r="ET53" s="18" t="n"/>
      <c r="EU53" s="18" t="n"/>
      <c r="EV53" s="18" t="n"/>
      <c r="EW53" s="18" t="n"/>
      <c r="EX53" s="18" t="n"/>
      <c r="EY53" s="18" t="n"/>
      <c r="EZ53" s="18" t="n"/>
      <c r="FA53" s="18" t="n"/>
      <c r="FB53" s="18" t="n"/>
      <c r="FC53" s="18" t="n"/>
      <c r="FD53" s="18" t="n"/>
      <c r="FE53" s="18" t="n"/>
      <c r="FF53" s="18" t="n"/>
      <c r="FG53" s="18" t="n"/>
      <c r="FH53" s="18" t="n"/>
      <c r="FI53" s="18" t="n"/>
      <c r="FJ53" s="18" t="n"/>
      <c r="FK53" s="18" t="n"/>
      <c r="FL53" s="18" t="n"/>
      <c r="FM53" s="18" t="n"/>
      <c r="FN53" s="18" t="n"/>
      <c r="FO53" s="18" t="n"/>
      <c r="FP53" s="18" t="n"/>
      <c r="FQ53" s="18" t="n"/>
      <c r="FR53" s="18" t="n"/>
      <c r="FS53" s="18" t="n"/>
      <c r="FT53" s="18" t="n"/>
      <c r="FU53" s="18" t="n"/>
      <c r="FV53" s="18" t="n"/>
      <c r="FW53" s="18" t="n"/>
      <c r="FX53" s="18" t="n"/>
      <c r="FY53" s="18" t="n"/>
      <c r="FZ53" s="18" t="n"/>
      <c r="GA53" s="18" t="n"/>
      <c r="GB53" s="18" t="n"/>
      <c r="GC53" s="18" t="n"/>
      <c r="GD53" s="18" t="n"/>
      <c r="GE53" s="18" t="n"/>
      <c r="GF53" s="18" t="n"/>
      <c r="GG53" s="18" t="n"/>
      <c r="GH53" s="18" t="n"/>
      <c r="GI53" s="18" t="n"/>
      <c r="GJ53" s="18" t="n"/>
      <c r="GK53" s="18" t="n"/>
      <c r="GL53" s="18" t="n"/>
      <c r="GM53" s="18" t="n"/>
      <c r="GN53" s="18" t="n"/>
      <c r="GO53" s="18" t="n"/>
      <c r="GP53" s="18" t="n"/>
      <c r="GQ53" s="18" t="n"/>
      <c r="GR53" s="18" t="n"/>
      <c r="GS53" s="18" t="n"/>
      <c r="GT53" s="18" t="n"/>
      <c r="GU53" s="18" t="n"/>
      <c r="GV53" s="18" t="n"/>
      <c r="GW53" s="18" t="n"/>
      <c r="GX53" s="18" t="n"/>
      <c r="GY53" s="18" t="n"/>
      <c r="GZ53" s="18" t="n"/>
      <c r="HA53" s="18" t="n"/>
      <c r="HB53" s="18" t="n"/>
      <c r="HC53" s="18" t="n"/>
      <c r="HD53" s="18" t="n"/>
      <c r="HE53" s="18" t="n"/>
      <c r="HF53" s="18" t="n"/>
      <c r="HG53" s="18" t="n"/>
      <c r="HH53" s="18" t="n"/>
      <c r="HI53" s="18" t="n"/>
      <c r="HJ53" s="18" t="n"/>
      <c r="HK53" s="18" t="n"/>
      <c r="HL53" s="18" t="n"/>
      <c r="HM53" s="18" t="n"/>
      <c r="HN53" s="18" t="n"/>
      <c r="HO53" s="18" t="n"/>
      <c r="HP53" s="18" t="n"/>
      <c r="HQ53" s="18" t="n"/>
      <c r="HR53" s="18" t="n"/>
      <c r="HS53" s="18" t="n"/>
      <c r="HT53" s="18" t="n"/>
      <c r="HU53" s="18" t="n"/>
      <c r="HV53" s="18" t="n"/>
      <c r="HW53" s="18" t="n"/>
      <c r="HX53" s="18" t="n"/>
      <c r="HY53" s="18" t="n"/>
      <c r="HZ53" s="18" t="n"/>
      <c r="IA53" s="18" t="n"/>
      <c r="IB53" s="18" t="n"/>
      <c r="IC53" s="18" t="n"/>
      <c r="ID53" s="18" t="n"/>
      <c r="IE53" s="18" t="n"/>
      <c r="IF53" s="18" t="n"/>
      <c r="IG53" s="18" t="n"/>
      <c r="IH53" s="18" t="n"/>
      <c r="II53" s="18" t="n"/>
      <c r="IJ53" s="18" t="n"/>
      <c r="IK53" s="18" t="n"/>
      <c r="IL53" s="18" t="n"/>
      <c r="IM53" s="18" t="n"/>
      <c r="IN53" s="18" t="n"/>
      <c r="IO53" s="18" t="n"/>
      <c r="IP53" s="18" t="n"/>
      <c r="IQ53" s="18" t="n"/>
      <c r="IR53" s="18" t="n"/>
      <c r="IS53" s="18" t="n"/>
      <c r="IT53" s="18" t="n"/>
      <c r="IU53" s="18" t="n"/>
      <c r="IV53" s="18" t="n"/>
      <c r="IW53" s="18" t="n"/>
      <c r="IX53" s="18" t="n"/>
      <c r="IY53" s="18" t="n"/>
      <c r="IZ53" s="18" t="n"/>
      <c r="JA53" s="18" t="n"/>
      <c r="JB53" s="18" t="n"/>
      <c r="JC53" s="18" t="n"/>
      <c r="JD53" s="18" t="n"/>
      <c r="JE53" s="18" t="n"/>
      <c r="JF53" s="18" t="n"/>
      <c r="JG53" s="18" t="n"/>
      <c r="JH53" s="18" t="n"/>
      <c r="JI53" s="18" t="n"/>
      <c r="JJ53" s="18" t="n"/>
      <c r="JK53" s="18" t="n"/>
      <c r="JL53" s="18" t="n"/>
      <c r="JM53" s="18" t="n"/>
      <c r="JN53" s="18" t="n"/>
      <c r="JO53" s="18" t="n"/>
      <c r="JP53" s="18" t="n"/>
      <c r="JQ53" s="18" t="n"/>
      <c r="JR53" s="18" t="n"/>
      <c r="JS53" s="18" t="n"/>
      <c r="JT53" s="18" t="n"/>
      <c r="JU53" s="18" t="n"/>
      <c r="JV53" s="18" t="n"/>
      <c r="JW53" s="18" t="n"/>
      <c r="JX53" s="18" t="n"/>
      <c r="JY53" s="18" t="n"/>
      <c r="JZ53" s="18" t="n"/>
      <c r="KA53" s="18" t="n"/>
      <c r="KB53" s="18" t="n"/>
      <c r="KC53" s="18" t="n"/>
      <c r="KD53" s="18" t="n"/>
      <c r="KE53" s="18" t="n"/>
      <c r="KF53" s="18" t="n"/>
      <c r="KG53" s="18" t="n"/>
      <c r="KH53" s="18" t="n"/>
      <c r="KI53" s="18" t="n"/>
      <c r="KJ53" s="18" t="n"/>
      <c r="KK53" s="18" t="n"/>
      <c r="KL53" s="18" t="n"/>
      <c r="KM53" s="18" t="n"/>
      <c r="KN53" s="18" t="n"/>
      <c r="KO53" s="18" t="n"/>
      <c r="KP53" s="18" t="n"/>
      <c r="KQ53" s="18" t="n"/>
      <c r="KR53" s="18" t="n"/>
      <c r="KS53" s="18" t="n"/>
      <c r="KT53" s="18" t="n"/>
      <c r="KU53" s="18" t="n"/>
      <c r="KV53" s="18" t="n"/>
      <c r="KW53" s="18" t="n"/>
      <c r="KX53" s="18" t="n"/>
      <c r="KY53" s="18" t="n"/>
      <c r="KZ53" s="18" t="n"/>
      <c r="LA53" s="18" t="n"/>
      <c r="LB53" s="18" t="n"/>
      <c r="LC53" s="18" t="n"/>
      <c r="LD53" s="18" t="n"/>
      <c r="LE53" s="18" t="n"/>
      <c r="LF53" s="18" t="n"/>
      <c r="LG53" s="18" t="n"/>
      <c r="LH53" s="18" t="n"/>
      <c r="LI53" s="18" t="n"/>
      <c r="LJ53" s="18" t="n"/>
      <c r="LK53" s="18" t="n"/>
    </row>
  </sheetData>
  <printOptions horizontalCentered="1"/>
  <pageMargins left="0.7480314960629921" right="0.7480314960629921" top="0.984251968503937" bottom="0.984251968503937" header="0.5118110236220472" footer="0.5118110236220472"/>
  <pageSetup orientation="landscape" paperSize="8" scale="39" verticalDpi="0"/>
</worksheet>
</file>

<file path=xl/worksheets/sheet7.xml><?xml version="1.0" encoding="utf-8"?>
<worksheet xmlns="http://schemas.openxmlformats.org/spreadsheetml/2006/main">
  <sheetPr codeName="Sheet6">
    <tabColor rgb="FFFFFF00"/>
    <outlinePr summaryBelow="1" summaryRight="1"/>
    <pageSetUpPr/>
  </sheetPr>
  <dimension ref="A1:RK65"/>
  <sheetViews>
    <sheetView view="pageBreakPreview" zoomScale="10" zoomScaleNormal="40" zoomScaleSheetLayoutView="10" workbookViewId="0">
      <pane xSplit="4" ySplit="1" topLeftCell="E2" activePane="bottomRight" state="frozen"/>
      <selection pane="topRight" activeCell="A1" sqref="A1"/>
      <selection pane="bottomLeft" activeCell="A2" sqref="A2"/>
      <selection pane="bottomRight" activeCell="T3" sqref="T3"/>
    </sheetView>
  </sheetViews>
  <sheetFormatPr baseColWidth="8" defaultRowHeight="19.2"/>
  <cols>
    <col width="10" customWidth="1" style="10" min="1" max="2"/>
    <col width="18" customWidth="1" style="10" min="3" max="3"/>
    <col width="12" customWidth="1" style="6" min="4" max="4"/>
    <col width="10" customWidth="1" style="88" min="5" max="6"/>
    <col width="30" customWidth="1" style="11" min="7" max="7"/>
    <col width="14" customWidth="1" style="6" min="8" max="9"/>
    <col width="38" customWidth="1" style="6" min="10" max="10"/>
    <col width="54" customWidth="1" style="10" min="11" max="11"/>
    <col width="30" customWidth="1" style="10" min="12" max="12"/>
    <col width="36" customWidth="1" style="10" min="13" max="13"/>
    <col width="24" customWidth="1" style="12" min="14" max="14"/>
    <col width="36" customWidth="1" style="12" min="15" max="15"/>
    <col width="24" customWidth="1" style="10" min="16" max="16"/>
    <col width="36" customWidth="1" style="10" min="17" max="17"/>
    <col width="24" customWidth="1" style="12" min="18" max="18"/>
    <col width="16" customWidth="1" style="10" min="19" max="19"/>
  </cols>
  <sheetData>
    <row r="1" ht="28.05" customHeight="1" s="88">
      <c r="A1" s="16" t="inlineStr">
        <is>
          <t>L2 코드</t>
        </is>
      </c>
      <c r="B1" s="16" t="inlineStr">
        <is>
          <t>L3 코드</t>
        </is>
      </c>
      <c r="C1" s="16" t="inlineStr">
        <is>
          <t>L3 대공종명</t>
        </is>
      </c>
      <c r="D1" s="16" t="inlineStr">
        <is>
          <t>L4 코드</t>
        </is>
      </c>
      <c r="E1" s="16" t="inlineStr">
        <is>
          <t>선행</t>
        </is>
      </c>
      <c r="F1" s="16" t="inlineStr">
        <is>
          <t>후행</t>
        </is>
      </c>
      <c r="G1" s="16" t="inlineStr">
        <is>
          <t>작업단위 (Level 4 Task/Activity)</t>
        </is>
      </c>
      <c r="H1" s="16" t="inlineStr">
        <is>
          <t>일정 (D-Day)</t>
        </is>
      </c>
      <c r="I1" s="16" t="inlineStr">
        <is>
          <t>주관</t>
        </is>
      </c>
      <c r="J1" s="16" t="inlineStr">
        <is>
          <t>목적</t>
        </is>
      </c>
      <c r="K1" s="16" t="inlineStr">
        <is>
          <t>방법</t>
        </is>
      </c>
      <c r="L1" s="16" t="inlineStr">
        <is>
          <t>산출물(결과)</t>
        </is>
      </c>
      <c r="M1" s="16" t="inlineStr">
        <is>
          <t>표준서 (Standard) 요약</t>
        </is>
      </c>
      <c r="N1" s="16" t="inlineStr">
        <is>
          <t>표준서 파일 (HTML)</t>
        </is>
      </c>
      <c r="O1" s="16" t="inlineStr">
        <is>
          <t>수행지침 (Guideline) 요약</t>
        </is>
      </c>
      <c r="P1" s="16" t="inlineStr">
        <is>
          <t>수행지침 파일 (HTML)</t>
        </is>
      </c>
      <c r="Q1" s="16" t="inlineStr">
        <is>
          <t>체크리스트 (Checklist) 요약</t>
        </is>
      </c>
      <c r="R1" s="16" t="inlineStr">
        <is>
          <t>체크리스트 파일 (HTML)</t>
        </is>
      </c>
      <c r="S1" s="16" t="inlineStr">
        <is>
          <t>비고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  <c r="DL1" s="18" t="n"/>
      <c r="DM1" s="18" t="n"/>
      <c r="DN1" s="18" t="n"/>
      <c r="DO1" s="18" t="n"/>
      <c r="DP1" s="18" t="n"/>
      <c r="DQ1" s="18" t="n"/>
      <c r="DR1" s="18" t="n"/>
      <c r="DS1" s="18" t="n"/>
      <c r="DT1" s="18" t="n"/>
      <c r="DU1" s="18" t="n"/>
      <c r="DV1" s="18" t="n"/>
      <c r="DW1" s="18" t="n"/>
      <c r="DX1" s="18" t="n"/>
      <c r="DY1" s="18" t="n"/>
      <c r="DZ1" s="18" t="n"/>
      <c r="EA1" s="18" t="n"/>
      <c r="EB1" s="18" t="n"/>
      <c r="EC1" s="18" t="n"/>
      <c r="ED1" s="18" t="n"/>
      <c r="EE1" s="18" t="n"/>
      <c r="EF1" s="18" t="n"/>
      <c r="EG1" s="18" t="n"/>
      <c r="EH1" s="18" t="n"/>
      <c r="EI1" s="18" t="n"/>
      <c r="EJ1" s="18" t="n"/>
      <c r="EK1" s="18" t="n"/>
      <c r="EL1" s="18" t="n"/>
      <c r="EM1" s="18" t="n"/>
      <c r="EN1" s="18" t="n"/>
      <c r="EO1" s="18" t="n"/>
      <c r="EP1" s="18" t="n"/>
      <c r="EQ1" s="18" t="n"/>
      <c r="ER1" s="18" t="n"/>
      <c r="ES1" s="18" t="n"/>
      <c r="ET1" s="18" t="n"/>
      <c r="EU1" s="18" t="n"/>
      <c r="EV1" s="18" t="n"/>
      <c r="EW1" s="18" t="n"/>
      <c r="EX1" s="18" t="n"/>
      <c r="EY1" s="18" t="n"/>
      <c r="EZ1" s="18" t="n"/>
      <c r="FA1" s="18" t="n"/>
      <c r="FB1" s="18" t="n"/>
      <c r="FC1" s="18" t="n"/>
      <c r="FD1" s="18" t="n"/>
      <c r="FE1" s="18" t="n"/>
      <c r="FF1" s="18" t="n"/>
      <c r="FG1" s="18" t="n"/>
      <c r="FH1" s="18" t="n"/>
      <c r="FI1" s="18" t="n"/>
      <c r="FJ1" s="18" t="n"/>
      <c r="FK1" s="18" t="n"/>
      <c r="FL1" s="18" t="n"/>
      <c r="FM1" s="18" t="n"/>
      <c r="FN1" s="18" t="n"/>
      <c r="FO1" s="18" t="n"/>
      <c r="FP1" s="18" t="n"/>
      <c r="FQ1" s="18" t="n"/>
      <c r="FR1" s="18" t="n"/>
      <c r="FS1" s="18" t="n"/>
      <c r="FT1" s="18" t="n"/>
      <c r="FU1" s="18" t="n"/>
      <c r="FV1" s="18" t="n"/>
      <c r="FW1" s="18" t="n"/>
      <c r="FX1" s="18" t="n"/>
      <c r="FY1" s="18" t="n"/>
      <c r="FZ1" s="18" t="n"/>
      <c r="GA1" s="18" t="n"/>
      <c r="GB1" s="18" t="n"/>
      <c r="GC1" s="18" t="n"/>
      <c r="GD1" s="18" t="n"/>
      <c r="GE1" s="18" t="n"/>
      <c r="GF1" s="18" t="n"/>
      <c r="GG1" s="18" t="n"/>
      <c r="GH1" s="18" t="n"/>
      <c r="GI1" s="18" t="n"/>
      <c r="GJ1" s="18" t="n"/>
      <c r="GK1" s="18" t="n"/>
      <c r="GL1" s="18" t="n"/>
      <c r="GM1" s="18" t="n"/>
      <c r="GN1" s="18" t="n"/>
      <c r="GO1" s="18" t="n"/>
      <c r="GP1" s="18" t="n"/>
      <c r="GQ1" s="18" t="n"/>
      <c r="GR1" s="18" t="n"/>
      <c r="GS1" s="18" t="n"/>
      <c r="GT1" s="18" t="n"/>
      <c r="GU1" s="18" t="n"/>
      <c r="GV1" s="18" t="n"/>
      <c r="GW1" s="18" t="n"/>
      <c r="GX1" s="18" t="n"/>
      <c r="GY1" s="18" t="n"/>
      <c r="GZ1" s="18" t="n"/>
      <c r="HA1" s="18" t="n"/>
      <c r="HB1" s="18" t="n"/>
      <c r="HC1" s="18" t="n"/>
      <c r="HD1" s="18" t="n"/>
      <c r="HE1" s="18" t="n"/>
      <c r="HF1" s="18" t="n"/>
      <c r="HG1" s="18" t="n"/>
      <c r="HH1" s="18" t="n"/>
      <c r="HI1" s="18" t="n"/>
      <c r="HJ1" s="18" t="n"/>
      <c r="HK1" s="18" t="n"/>
      <c r="HL1" s="18" t="n"/>
      <c r="HM1" s="18" t="n"/>
      <c r="HN1" s="18" t="n"/>
      <c r="HO1" s="18" t="n"/>
    </row>
    <row r="2" ht="52.05" customHeight="1" s="88">
      <c r="A2" s="19" t="inlineStr">
        <is>
          <t>9000</t>
        </is>
      </c>
      <c r="B2" s="19" t="inlineStr">
        <is>
          <t>9000-6</t>
        </is>
      </c>
      <c r="C2" s="19" t="inlineStr">
        <is>
          <t>건축</t>
        </is>
      </c>
      <c r="D2" s="19" t="inlineStr">
        <is>
          <t>9000-6-1</t>
        </is>
      </c>
      <c r="E2" s="95" t="inlineStr">
        <is>
          <t>-</t>
        </is>
      </c>
      <c r="F2" s="95" t="inlineStr">
        <is>
          <t>9000-6-2, 9000-6-3</t>
        </is>
      </c>
      <c r="G2" s="23" t="inlineStr">
        <is>
          <t>설계 적정성 검토</t>
        </is>
      </c>
      <c r="H2" s="21" t="inlineStr">
        <is>
          <t>D-120 (D-150~D-120)</t>
        </is>
      </c>
      <c r="I2" s="21" t="inlineStr">
        <is>
          <t>현장 공무팀</t>
        </is>
      </c>
      <c r="J2" s="24" t="inlineStr">
        <is>
          <t>건축 설계 오류 및 누락사항 검토</t>
        </is>
      </c>
      <c r="K2" s="24" t="inlineStr">
        <is>
          <t>- 시공성 검토: 구조물, 마감, 가시설 등
- 기계설비/전기/통신 등 인터페이스: 개구부/슬리브 반영 유무 및 확인
- 관련규정(법규지침) 최신 개정사항이 설계 반영되었는지 확인
- 신기술/특허 반영 유무 검토
- 품질/안전 Risk 검토 및 관리방안 검토</t>
        </is>
      </c>
      <c r="L2" s="24" t="inlineStr">
        <is>
          <t>설계변경 예상 List, 회의록</t>
        </is>
      </c>
      <c r="M2" s="24" t="inlineStr">
        <is>
          <t>1) 설계 적정성 검토 (WBS 9000-4-1) 관련 시공성 검토: 구조물, 마감, 가시설 등 수칙 및 법적 이행 의무를 1:1 준수한다. 또한 KDS 41 00 00 (건축구조기준), KDS 41 17 00 (내진설계기준) 및 KCS 41 00 00 (건축공사 표준시방서) 기술기준을 100% 충족한다.
2) 설계 적정성 검토 달성을 위한 필수 시공 방법(시공성 검토: 구조물, 마감, 가시설 등 기계설비/전기/통신 등 인터페이스: 개구부/슬리브 반영 유무 및 확...)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2" s="25">
        <f>HYPERLINK(LEFT(CELL("filename",A1),FIND("[",CELL("filename",A1))-1)&amp;"6.건축\1_설계 적정성 검토\표준서\설계 적정성 검토_표준서.html", "👉 [클릭] 표준서 열기 📄")</f>
        <v/>
      </c>
      <c r="O2" s="24" t="inlineStr">
        <is>
          <t>1) 설계 적정성 검토 (WBS 9000-4-1) 사전 건축 인허가 서식 제출(관할 지자체/소방서), 3D BIM 도서 대조 및 기계·전기·통신 4대 인터페이스 개구부를 확정한다.
2) 실무 작업방법 수칙(시공성 검토: 구조물, 마감, 가시설 등 기계설비/전기/통신 등 인터페이스: 개구부/슬리브 반...)에 따라 철근 이음/피복두께 검측, 거푸집 다짐 양생 및 현장 3대 금기 수칙(피복 미달, 무단 타설)을 완수한다.</t>
        </is>
      </c>
      <c r="P2" s="26">
        <f>HYPERLINK(LEFT(CELL("filename",A1),FIND("[",CELL("filename",A1))-1)&amp;"6.건축\1_설계 적정성 검토\수행지침\설계 적정성 검토_수행지침.html", "👉 [클릭] 수행지침 열기 📄")</f>
        <v/>
      </c>
      <c r="Q2" s="24" t="inlineStr">
        <is>
          <t>1) 건축법 제11조 및 KDS 41 00 00 건축구조기준에 따라 설계 적정성 검토 사전 검토를 수행하였는가? 또한 레미콘 규격(24~30MPa), 철근 시험성적서 및 방수자재 KCS 표준 품질 적격성을 검수하였는가?
2) 미검측 및 정량 시방 미달에 따른 설계 적정성 검토 (WBS 9000-4-1) 구조 균열/누수 하자 발생, 개구부 누락 재시공 손실 및 최종 설계변경 예상 List, 회의록 승인 반려 리스크를 전면 차단한다.</t>
        </is>
      </c>
      <c r="R2" s="27">
        <f>HYPERLINK(LEFT(CELL("filename",A1),FIND("[",CELL("filename",A1))-1)&amp;"6.건축\1_설계 적정성 검토\체크리스트\설계 적정성 검토_체크리스트.html", "👉 [클릭] 체크리스트 열기 📄")</f>
        <v/>
      </c>
      <c r="S2" s="21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  <c r="DY2" s="18" t="n"/>
      <c r="DZ2" s="18" t="n"/>
      <c r="EA2" s="18" t="n"/>
      <c r="EB2" s="18" t="n"/>
      <c r="EC2" s="18" t="n"/>
      <c r="ED2" s="18" t="n"/>
      <c r="EE2" s="18" t="n"/>
      <c r="EF2" s="18" t="n"/>
      <c r="EG2" s="18" t="n"/>
      <c r="EH2" s="18" t="n"/>
      <c r="EI2" s="18" t="n"/>
      <c r="EJ2" s="18" t="n"/>
      <c r="EK2" s="18" t="n"/>
      <c r="EL2" s="18" t="n"/>
      <c r="EM2" s="18" t="n"/>
      <c r="EN2" s="18" t="n"/>
      <c r="EO2" s="18" t="n"/>
      <c r="EP2" s="18" t="n"/>
      <c r="EQ2" s="18" t="n"/>
      <c r="ER2" s="18" t="n"/>
      <c r="ES2" s="18" t="n"/>
      <c r="ET2" s="18" t="n"/>
      <c r="EU2" s="18" t="n"/>
      <c r="EV2" s="18" t="n"/>
      <c r="EW2" s="18" t="n"/>
      <c r="EX2" s="18" t="n"/>
      <c r="EY2" s="18" t="n"/>
      <c r="EZ2" s="18" t="n"/>
      <c r="FA2" s="18" t="n"/>
      <c r="FB2" s="18" t="n"/>
      <c r="FC2" s="18" t="n"/>
      <c r="FD2" s="18" t="n"/>
      <c r="FE2" s="18" t="n"/>
      <c r="FF2" s="18" t="n"/>
      <c r="FG2" s="18" t="n"/>
      <c r="FH2" s="18" t="n"/>
      <c r="FI2" s="18" t="n"/>
      <c r="FJ2" s="18" t="n"/>
      <c r="FK2" s="18" t="n"/>
      <c r="FL2" s="18" t="n"/>
      <c r="FM2" s="18" t="n"/>
      <c r="FN2" s="18" t="n"/>
      <c r="FO2" s="18" t="n"/>
      <c r="FP2" s="18" t="n"/>
      <c r="FQ2" s="18" t="n"/>
      <c r="FR2" s="18" t="n"/>
      <c r="FS2" s="18" t="n"/>
      <c r="FT2" s="18" t="n"/>
      <c r="FU2" s="18" t="n"/>
      <c r="FV2" s="18" t="n"/>
      <c r="FW2" s="18" t="n"/>
      <c r="FX2" s="18" t="n"/>
      <c r="FY2" s="18" t="n"/>
      <c r="FZ2" s="18" t="n"/>
      <c r="GA2" s="18" t="n"/>
      <c r="GB2" s="18" t="n"/>
      <c r="GC2" s="18" t="n"/>
      <c r="GD2" s="18" t="n"/>
      <c r="GE2" s="18" t="n"/>
      <c r="GF2" s="18" t="n"/>
      <c r="GG2" s="18" t="n"/>
      <c r="GH2" s="18" t="n"/>
      <c r="GI2" s="18" t="n"/>
      <c r="GJ2" s="18" t="n"/>
      <c r="GK2" s="18" t="n"/>
      <c r="GL2" s="18" t="n"/>
      <c r="GM2" s="18" t="n"/>
      <c r="GN2" s="18" t="n"/>
      <c r="GO2" s="18" t="n"/>
      <c r="GP2" s="18" t="n"/>
      <c r="GQ2" s="18" t="n"/>
      <c r="GR2" s="18" t="n"/>
      <c r="GS2" s="18" t="n"/>
      <c r="GT2" s="18" t="n"/>
      <c r="GU2" s="18" t="n"/>
      <c r="GV2" s="18" t="n"/>
      <c r="GW2" s="18" t="n"/>
      <c r="GX2" s="18" t="n"/>
      <c r="GY2" s="18" t="n"/>
      <c r="GZ2" s="18" t="n"/>
      <c r="HA2" s="18" t="n"/>
      <c r="HB2" s="18" t="n"/>
      <c r="HC2" s="18" t="n"/>
      <c r="HD2" s="18" t="n"/>
      <c r="HE2" s="18" t="n"/>
      <c r="HF2" s="18" t="n"/>
      <c r="HG2" s="18" t="n"/>
      <c r="HH2" s="18" t="n"/>
      <c r="HI2" s="18" t="n"/>
      <c r="HJ2" s="18" t="n"/>
      <c r="HK2" s="18" t="n"/>
      <c r="HL2" s="18" t="n"/>
      <c r="HM2" s="18" t="n"/>
      <c r="HN2" s="18" t="n"/>
      <c r="HO2" s="18" t="n"/>
      <c r="HP2" s="18" t="n"/>
      <c r="HQ2" s="18" t="n"/>
      <c r="HR2" s="18" t="n"/>
      <c r="HS2" s="18" t="n"/>
    </row>
    <row r="3" ht="52.05" customHeight="1" s="88">
      <c r="A3" s="29" t="inlineStr">
        <is>
          <t>9000</t>
        </is>
      </c>
      <c r="B3" s="29" t="inlineStr">
        <is>
          <t>9000-6</t>
        </is>
      </c>
      <c r="C3" s="29" t="inlineStr">
        <is>
          <t>건축</t>
        </is>
      </c>
      <c r="D3" s="29" t="inlineStr">
        <is>
          <t>9000-6-2</t>
        </is>
      </c>
      <c r="E3" s="102" t="inlineStr">
        <is>
          <t>9000-6-1</t>
        </is>
      </c>
      <c r="F3" s="102" t="inlineStr">
        <is>
          <t>9000-6-4, 9000-6-7</t>
        </is>
      </c>
      <c r="G3" s="32" t="inlineStr">
        <is>
          <t>발주전략 KOM</t>
        </is>
      </c>
      <c r="H3" s="33" t="inlineStr">
        <is>
          <t>D-100 (D-120~D-100)</t>
        </is>
      </c>
      <c r="I3" s="33" t="inlineStr">
        <is>
          <t>현장소장</t>
        </is>
      </c>
      <c r="J3" s="34" t="inlineStr">
        <is>
          <t>건축 구조물 및 내부, 마감공사 발주 전략 수립</t>
        </is>
      </c>
      <c r="K3" s="34" t="inlineStr">
        <is>
          <t>- 가시공 B/P 적정성 검토
- 현설조건 검토
- 공법 및 공기 검토
- 예산 적정성 검토
- 현장 여건 및 지반상태(기초, 말뚝등) 검토</t>
        </is>
      </c>
      <c r="L3" s="34" t="inlineStr">
        <is>
          <t>KOM 검토결과서, 현설서</t>
        </is>
      </c>
      <c r="M3" s="34" t="inlineStr">
        <is>
          <t>1) 발주전략 KOM (WBS 9000-4-2) 관련 가시공 B/P 적정성 검토 수칙 및 법적 이행 의무를 1:1 준수한다. 또한 KDS 41 00 00 (건축구조기준), KDS 41 17 00 (내진설계기준) 및 KCS 41 00 00 (건축공사 표준시방서) 기술기준을 100% 충족한다.
2) 발주전략 KOM 달성을 위한 필수 시공 방법(가시공 B/P 적정성 검토 현설조건 검토 공법 및 공기 검토 예산 적정성 검토 현장 여건 및 지반상태(기초,...)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3" s="35">
        <f>HYPERLINK(LEFT(CELL("filename",A1),FIND("[",CELL("filename",A1))-1)&amp;"6.건축\2_발주전략 KOM\표준서\발주전략 KOM_표준서.html", "👉 [클릭] 표준서 열기 📄")</f>
        <v/>
      </c>
      <c r="O3" s="34" t="inlineStr">
        <is>
          <t>1) 발주전략 KOM (WBS 9000-4-2) 사전 건축 인허가 서식 제출(관할 지자체/소방서), 3D BIM 도서 대조 및 기계·전기·통신 4대 인터페이스 개구부를 확정한다.
2) 실무 작업방법 수칙(가시공 B/P 적정성 검토 현설조건 검토 공법 및 공기 검토 예산 적정성 검토 현장 여건 및 ...)에 따라 철근 이음/피복두께 검측, 거푸집 다짐 양생 및 현장 3대 금기 수칙(피복 미달, 무단 타설)을 완수한다.</t>
        </is>
      </c>
      <c r="P3" s="36">
        <f>HYPERLINK(LEFT(CELL("filename",A1),FIND("[",CELL("filename",A1))-1)&amp;"6.건축\2_발주전략 KOM\수행지침\발주전략 KOM_수행지침.html", "👉 [클릭] 수행지침 열기 📄")</f>
        <v/>
      </c>
      <c r="Q3" s="34" t="inlineStr">
        <is>
          <t>1) 건축법 제11조 및 KDS 41 00 00 건축구조기준에 따라 발주전략 KOM 사전 검토를 수행하였는가? 또한 레미콘 규격(24~30MPa), 철근 시험성적서 및 방수자재 KCS 표준 품질 적격성을 검수하였는가?
2) 미검측 및 정량 시방 미달에 따른 발주전략 KOM (WBS 9000-4-2) 구조 균열/누수 하자 발생, 개구부 누락 재시공 손실 및 최종 KOM 검토결과서, 현설서 승인 반려 리스크를 전면 차단한다.</t>
        </is>
      </c>
      <c r="R3" s="37">
        <f>HYPERLINK(LEFT(CELL("filename",A1),FIND("[",CELL("filename",A1))-1)&amp;"6.건축\2_발주전략 KOM\체크리스트\발주전략 KOM_체크리스트.html", "👉 [클릭] 체크리스트 열기 📄")</f>
        <v/>
      </c>
      <c r="S3" s="33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8" t="n"/>
      <c r="ER3" s="18" t="n"/>
      <c r="ES3" s="18" t="n"/>
      <c r="ET3" s="18" t="n"/>
      <c r="EU3" s="18" t="n"/>
      <c r="EV3" s="18" t="n"/>
      <c r="EW3" s="18" t="n"/>
      <c r="EX3" s="18" t="n"/>
      <c r="EY3" s="18" t="n"/>
      <c r="EZ3" s="18" t="n"/>
      <c r="FA3" s="18" t="n"/>
      <c r="FB3" s="18" t="n"/>
      <c r="FC3" s="18" t="n"/>
      <c r="FD3" s="18" t="n"/>
      <c r="FE3" s="18" t="n"/>
      <c r="FF3" s="18" t="n"/>
      <c r="FG3" s="18" t="n"/>
      <c r="FH3" s="18" t="n"/>
      <c r="FI3" s="18" t="n"/>
      <c r="FJ3" s="18" t="n"/>
      <c r="FK3" s="18" t="n"/>
      <c r="FL3" s="18" t="n"/>
      <c r="FM3" s="18" t="n"/>
      <c r="FN3" s="18" t="n"/>
      <c r="FO3" s="18" t="n"/>
      <c r="FP3" s="18" t="n"/>
      <c r="FQ3" s="18" t="n"/>
      <c r="FR3" s="18" t="n"/>
      <c r="FS3" s="18" t="n"/>
      <c r="FT3" s="18" t="n"/>
      <c r="FU3" s="18" t="n"/>
      <c r="FV3" s="18" t="n"/>
      <c r="FW3" s="18" t="n"/>
      <c r="FX3" s="18" t="n"/>
      <c r="FY3" s="18" t="n"/>
      <c r="FZ3" s="18" t="n"/>
      <c r="GA3" s="18" t="n"/>
      <c r="GB3" s="18" t="n"/>
      <c r="GC3" s="18" t="n"/>
      <c r="GD3" s="18" t="n"/>
      <c r="GE3" s="18" t="n"/>
      <c r="GF3" s="18" t="n"/>
      <c r="GG3" s="18" t="n"/>
      <c r="GH3" s="18" t="n"/>
      <c r="GI3" s="18" t="n"/>
      <c r="GJ3" s="18" t="n"/>
      <c r="GK3" s="18" t="n"/>
      <c r="GL3" s="18" t="n"/>
      <c r="GM3" s="18" t="n"/>
      <c r="GN3" s="18" t="n"/>
      <c r="GO3" s="18" t="n"/>
      <c r="GP3" s="18" t="n"/>
      <c r="GQ3" s="18" t="n"/>
      <c r="GR3" s="18" t="n"/>
      <c r="GS3" s="18" t="n"/>
      <c r="GT3" s="18" t="n"/>
      <c r="GU3" s="18" t="n"/>
      <c r="GV3" s="18" t="n"/>
      <c r="GW3" s="18" t="n"/>
      <c r="GX3" s="18" t="n"/>
      <c r="GY3" s="18" t="n"/>
      <c r="GZ3" s="18" t="n"/>
      <c r="HA3" s="18" t="n"/>
      <c r="HB3" s="18" t="n"/>
      <c r="HC3" s="18" t="n"/>
      <c r="HD3" s="18" t="n"/>
      <c r="HE3" s="18" t="n"/>
      <c r="HF3" s="18" t="n"/>
      <c r="HG3" s="18" t="n"/>
      <c r="HH3" s="18" t="n"/>
      <c r="HI3" s="18" t="n"/>
      <c r="HJ3" s="18" t="n"/>
      <c r="HK3" s="18" t="n"/>
      <c r="HL3" s="18" t="n"/>
      <c r="HM3" s="18" t="n"/>
      <c r="HN3" s="18" t="n"/>
      <c r="HO3" s="18" t="n"/>
      <c r="HP3" s="18" t="n"/>
      <c r="HQ3" s="18" t="n"/>
      <c r="HR3" s="18" t="n"/>
      <c r="HS3" s="18" t="n"/>
      <c r="HT3" s="18" t="n"/>
      <c r="HU3" s="18" t="n"/>
      <c r="HV3" s="18" t="n"/>
      <c r="HW3" s="18" t="n"/>
    </row>
    <row r="4" ht="52.05" customHeight="1" s="88">
      <c r="A4" s="19" t="inlineStr">
        <is>
          <t>9000</t>
        </is>
      </c>
      <c r="B4" s="19" t="inlineStr">
        <is>
          <t>9000-6</t>
        </is>
      </c>
      <c r="C4" s="19" t="inlineStr">
        <is>
          <t>건축</t>
        </is>
      </c>
      <c r="D4" s="19" t="inlineStr">
        <is>
          <t>9000-6-3</t>
        </is>
      </c>
      <c r="E4" s="95" t="inlineStr">
        <is>
          <t>9000-6-1</t>
        </is>
      </c>
      <c r="F4" s="95" t="inlineStr">
        <is>
          <t>9000-6-4, 9000-6-5</t>
        </is>
      </c>
      <c r="G4" s="23" t="inlineStr">
        <is>
          <t>착공전 건축 인허가</t>
        </is>
      </c>
      <c r="H4" s="21" t="inlineStr">
        <is>
          <t>D-100 (D-120~D-100)</t>
        </is>
      </c>
      <c r="I4" s="21" t="inlineStr">
        <is>
          <t>현장소장</t>
        </is>
      </c>
      <c r="J4" s="24" t="inlineStr">
        <is>
          <t>관련법에 따라 착수전 건축인허가 추진</t>
        </is>
      </c>
      <c r="K4" s="24" t="inlineStr">
        <is>
          <t>- 건축허가 요청(-&gt;관할 지자체)
- 착공신고서 제출(-&gt;관할 지자체)
- 소방시설공사 착공신고서 제출 (-&gt;관할 소방서)
- 정보통신공사 착공전 설계도 확인(-&gt;관할 지자체)</t>
        </is>
      </c>
      <c r="L4" s="24" t="inlineStr">
        <is>
          <t>인허가 신고/승인 문서</t>
        </is>
      </c>
      <c r="M4" s="24" t="inlineStr">
        <is>
          <t>1) 착공전 건축 인허가 (WBS 9000-4-3) 관련 건축허가 요청(-&gt;관할 지자체) 수칙 및 법적 이행 의무를 1:1 준수한다. 또한 KDS 41 00 00 (건축구조기준), KDS 41 17 00 (내진설계기준) 및 KCS 41 00 00 (건축공사 표준시방서) 기술기준을 100% 충족한다.
2) 착공전 건축 인허가 달성을 위한 필수 시공 방법(건축허가 요청(-&gt;관할 지자체) 착공신고서 제출(-&gt;관할 지자체) 소방시설공사 착공신고서 제출 (-&gt;관할 소...)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4" s="25">
        <f>HYPERLINK(LEFT(CELL("filename",A1),FIND("[",CELL("filename",A1))-1)&amp;"6.건축\3_착공전 건축 인허가\표준서\착공전 건축 인허가_표준서.html", "👉 [클릭] 표준서 열기 📄")</f>
        <v/>
      </c>
      <c r="O4" s="24" t="inlineStr">
        <is>
          <t>1) 착공전 건축 인허가 (WBS 9000-4-3) 사전 건축 인허가 서식 제출(관할 지자체/소방서), 3D BIM 도서 대조 및 기계·전기·통신 4대 인터페이스 개구부를 확정한다.
2) 실무 작업방법 수칙(건축허가 요청(-&gt;관할 지자체) 착공신고서 제출(-&gt;관할 지자체) 소방시설공사 착공신고서 제출...)에 따라 철근 이음/피복두께 검측, 거푸집 다짐 양생 및 현장 3대 금기 수칙(피복 미달, 무단 타설)을 완수한다.</t>
        </is>
      </c>
      <c r="P4" s="26">
        <f>HYPERLINK(LEFT(CELL("filename",A1),FIND("[",CELL("filename",A1))-1)&amp;"6.건축\3_착공전 건축 인허가\수행지침\착공전 건축 인허가_수행지침.html", "👉 [클릭] 수행지침 열기 📄")</f>
        <v/>
      </c>
      <c r="Q4" s="24" t="inlineStr">
        <is>
          <t>1) 건축법 제11조 및 KDS 41 00 00 건축구조기준에 따라 착공전 건축 인허가 사전 검토를 수행하였는가? 또한 레미콘 규격(24~30MPa), 철근 시험성적서 및 방수자재 KCS 표준 품질 적격성을 검수하였는가?
2) 미검측 및 정량 시방 미달에 따른 착공전 건축 인허가 (WBS 9000-4-3) 구조 균열/누수 하자 발생, 개구부 누락 재시공 손실 및 최종 인허가 신고/승인 문서 승인 반려 리스크를 전면 차단한다.</t>
        </is>
      </c>
      <c r="R4" s="27">
        <f>HYPERLINK(LEFT(CELL("filename",A1),FIND("[",CELL("filename",A1))-1)&amp;"6.건축\3_착공전 건축 인허가\체크리스트\착공전 건축 인허가_체크리스트.html", "👉 [클릭] 체크리스트 열기 📄")</f>
        <v/>
      </c>
      <c r="S4" s="21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  <c r="DY4" s="18" t="n"/>
      <c r="DZ4" s="18" t="n"/>
      <c r="EA4" s="18" t="n"/>
      <c r="EB4" s="18" t="n"/>
      <c r="EC4" s="18" t="n"/>
      <c r="ED4" s="18" t="n"/>
      <c r="EE4" s="18" t="n"/>
      <c r="EF4" s="18" t="n"/>
      <c r="EG4" s="18" t="n"/>
      <c r="EH4" s="18" t="n"/>
      <c r="EI4" s="18" t="n"/>
      <c r="EJ4" s="18" t="n"/>
      <c r="EK4" s="18" t="n"/>
      <c r="EL4" s="18" t="n"/>
      <c r="EM4" s="18" t="n"/>
      <c r="EN4" s="18" t="n"/>
      <c r="EO4" s="18" t="n"/>
      <c r="EP4" s="18" t="n"/>
      <c r="EQ4" s="18" t="n"/>
      <c r="ER4" s="18" t="n"/>
      <c r="ES4" s="18" t="n"/>
      <c r="ET4" s="18" t="n"/>
      <c r="EU4" s="18" t="n"/>
      <c r="EV4" s="18" t="n"/>
      <c r="EW4" s="18" t="n"/>
      <c r="EX4" s="18" t="n"/>
      <c r="EY4" s="18" t="n"/>
      <c r="EZ4" s="18" t="n"/>
      <c r="FA4" s="18" t="n"/>
      <c r="FB4" s="18" t="n"/>
      <c r="FC4" s="18" t="n"/>
      <c r="FD4" s="18" t="n"/>
      <c r="FE4" s="18" t="n"/>
      <c r="FF4" s="18" t="n"/>
      <c r="FG4" s="18" t="n"/>
      <c r="FH4" s="18" t="n"/>
      <c r="FI4" s="18" t="n"/>
      <c r="FJ4" s="18" t="n"/>
      <c r="FK4" s="18" t="n"/>
      <c r="FL4" s="18" t="n"/>
      <c r="FM4" s="18" t="n"/>
      <c r="FN4" s="18" t="n"/>
      <c r="FO4" s="18" t="n"/>
      <c r="FP4" s="18" t="n"/>
      <c r="FQ4" s="18" t="n"/>
      <c r="FR4" s="18" t="n"/>
      <c r="FS4" s="18" t="n"/>
      <c r="FT4" s="18" t="n"/>
      <c r="FU4" s="18" t="n"/>
      <c r="FV4" s="18" t="n"/>
      <c r="FW4" s="18" t="n"/>
      <c r="FX4" s="18" t="n"/>
      <c r="FY4" s="18" t="n"/>
      <c r="FZ4" s="18" t="n"/>
      <c r="GA4" s="18" t="n"/>
      <c r="GB4" s="18" t="n"/>
      <c r="GC4" s="18" t="n"/>
      <c r="GD4" s="18" t="n"/>
      <c r="GE4" s="18" t="n"/>
      <c r="GF4" s="18" t="n"/>
      <c r="GG4" s="18" t="n"/>
      <c r="GH4" s="18" t="n"/>
      <c r="GI4" s="18" t="n"/>
      <c r="GJ4" s="18" t="n"/>
      <c r="GK4" s="18" t="n"/>
      <c r="GL4" s="18" t="n"/>
      <c r="GM4" s="18" t="n"/>
      <c r="GN4" s="18" t="n"/>
      <c r="GO4" s="18" t="n"/>
      <c r="GP4" s="18" t="n"/>
      <c r="GQ4" s="18" t="n"/>
      <c r="GR4" s="18" t="n"/>
      <c r="GS4" s="18" t="n"/>
      <c r="GT4" s="18" t="n"/>
      <c r="GU4" s="18" t="n"/>
      <c r="GV4" s="18" t="n"/>
      <c r="GW4" s="18" t="n"/>
      <c r="GX4" s="18" t="n"/>
      <c r="GY4" s="18" t="n"/>
      <c r="GZ4" s="18" t="n"/>
      <c r="HA4" s="18" t="n"/>
      <c r="HB4" s="18" t="n"/>
      <c r="HC4" s="18" t="n"/>
      <c r="HD4" s="18" t="n"/>
      <c r="HE4" s="18" t="n"/>
      <c r="HF4" s="18" t="n"/>
      <c r="HG4" s="18" t="n"/>
      <c r="HH4" s="18" t="n"/>
      <c r="HI4" s="18" t="n"/>
      <c r="HJ4" s="18" t="n"/>
      <c r="HK4" s="18" t="n"/>
      <c r="HL4" s="18" t="n"/>
      <c r="HM4" s="18" t="n"/>
      <c r="HN4" s="18" t="n"/>
      <c r="HO4" s="18" t="n"/>
      <c r="HP4" s="18" t="n"/>
      <c r="HQ4" s="18" t="n"/>
      <c r="HR4" s="18" t="n"/>
      <c r="HS4" s="18" t="n"/>
      <c r="HT4" s="18" t="n"/>
      <c r="HU4" s="18" t="n"/>
      <c r="HV4" s="18" t="n"/>
      <c r="HW4" s="18" t="n"/>
      <c r="HX4" s="18" t="n"/>
      <c r="HY4" s="18" t="n"/>
      <c r="HZ4" s="18" t="n"/>
      <c r="IA4" s="18" t="n"/>
    </row>
    <row r="5" ht="52.05" customHeight="1" s="88">
      <c r="A5" s="29" t="inlineStr">
        <is>
          <t>9000</t>
        </is>
      </c>
      <c r="B5" s="29" t="inlineStr">
        <is>
          <t>9000-6</t>
        </is>
      </c>
      <c r="C5" s="29" t="inlineStr">
        <is>
          <t>건축</t>
        </is>
      </c>
      <c r="D5" s="29" t="inlineStr">
        <is>
          <t>9000-6-4</t>
        </is>
      </c>
      <c r="E5" s="102" t="inlineStr">
        <is>
          <t>9000-6-2, 9000-6-3</t>
        </is>
      </c>
      <c r="F5" s="102" t="inlineStr">
        <is>
          <t>9000-6-5</t>
        </is>
      </c>
      <c r="G5" s="32" t="inlineStr">
        <is>
          <t>건축허가 요청</t>
        </is>
      </c>
      <c r="H5" s="33" t="inlineStr">
        <is>
          <t>D-90 (D-120~D-90)</t>
        </is>
      </c>
      <c r="I5" s="33" t="inlineStr">
        <is>
          <t>건축설계사, 현장준비팀</t>
        </is>
      </c>
      <c r="J5" s="34" t="inlineStr">
        <is>
          <t>건축허가요청</t>
        </is>
      </c>
      <c r="K5" s="34" t="inlineStr">
        <is>
          <t>건축설계사, 현장준비팀 -&gt; 관할지자체
- 건축법 제11조(건축허가)
- 서식: 별지 제1호의4서식
- 관할지자체(시,군,구) 2일~15일</t>
        </is>
      </c>
      <c r="L5" s="34" t="inlineStr">
        <is>
          <t>건축허가 통보 문서</t>
        </is>
      </c>
      <c r="M5" s="34" t="inlineStr">
        <is>
          <t>1) 건축허가 요청 (WBS 9000-4-4) 관련 건축설계사, 현장준비팀 -&gt; 관할지자체 수칙 및 법적 이행 의무를 1:1 준수한다. 또한 KDS 41 00 00 (건축구조기준), KDS 41 17 00 (내진설계기준) 및 KCS 41 00 00 (건축공사 표준시방서) 기술기준을 100% 충족한다.
2) 건축허가 요청 달성을 위한 필수 시공 방법(건축설계사, 현장준비팀 -&gt; 관할지자체 건축법 제11조(건축허가) 서식: 별지 제1호의4서식 관할지자체(시,...)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5" s="35">
        <f>HYPERLINK(LEFT(CELL("filename",A1),FIND("[",CELL("filename",A1))-1)&amp;"6.건축\4_건축허가 요청\표준서\건축허가 요청_표준서.html", "👉 [클릭] 표준서 열기 📄")</f>
        <v/>
      </c>
      <c r="O5" s="34" t="inlineStr">
        <is>
          <t>1) 건축허가 요청 (WBS 9000-4-4) 사전 건축 인허가 서식 제출(관할 지자체/소방서), 3D BIM 도서 대조 및 기계·전기·통신 4대 인터페이스 개구부를 확정한다.
2) 실무 작업방법 수칙(건축설계사, 현장준비팀 -&gt; 관할지자체 건축법 제11조(건축허가) 서식: 별지 제1호의4서식 ...)에 따라 철근 이음/피복두께 검측, 거푸집 다짐 양생 및 현장 3대 금기 수칙(피복 미달, 무단 타설)을 완수한다.</t>
        </is>
      </c>
      <c r="P5" s="36">
        <f>HYPERLINK(LEFT(CELL("filename",A1),FIND("[",CELL("filename",A1))-1)&amp;"6.건축\4_건축허가 요청\수행지침\건축허가 요청_수행지침.html", "👉 [클릭] 수행지침 열기 📄")</f>
        <v/>
      </c>
      <c r="Q5" s="34" t="inlineStr">
        <is>
          <t>1) 건축법 제11조 및 KDS 41 00 00 건축구조기준에 따라 건축허가 요청 사전 검토를 수행하였는가? 또한 레미콘 규격(24~30MPa), 철근 시험성적서 및 방수자재 KCS 표준 품질 적격성을 검수하였는가?
2) 미검측 및 정량 시방 미달에 따른 건축허가 요청 (WBS 9000-4-4) 구조 균열/누수 하자 발생, 개구부 누락 재시공 손실 및 최종 건축허가 통보 문서 승인 반려 리스크를 전면 차단한다.</t>
        </is>
      </c>
      <c r="R5" s="37">
        <f>HYPERLINK(LEFT(CELL("filename",A1),FIND("[",CELL("filename",A1))-1)&amp;"6.건축\4_건축허가 요청\체크리스트\건축허가 요청_체크리스트.html", "👉 [클릭] 체크리스트 열기 📄")</f>
        <v/>
      </c>
      <c r="S5" s="33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  <c r="EB5" s="18" t="n"/>
      <c r="EC5" s="18" t="n"/>
      <c r="ED5" s="18" t="n"/>
      <c r="EE5" s="18" t="n"/>
      <c r="EF5" s="18" t="n"/>
      <c r="EG5" s="18" t="n"/>
      <c r="EH5" s="18" t="n"/>
      <c r="EI5" s="18" t="n"/>
      <c r="EJ5" s="18" t="n"/>
      <c r="EK5" s="18" t="n"/>
      <c r="EL5" s="18" t="n"/>
      <c r="EM5" s="18" t="n"/>
      <c r="EN5" s="18" t="n"/>
      <c r="EO5" s="18" t="n"/>
      <c r="EP5" s="18" t="n"/>
      <c r="EQ5" s="18" t="n"/>
      <c r="ER5" s="18" t="n"/>
      <c r="ES5" s="18" t="n"/>
      <c r="ET5" s="18" t="n"/>
      <c r="EU5" s="18" t="n"/>
      <c r="EV5" s="18" t="n"/>
      <c r="EW5" s="18" t="n"/>
      <c r="EX5" s="18" t="n"/>
      <c r="EY5" s="18" t="n"/>
      <c r="EZ5" s="18" t="n"/>
      <c r="FA5" s="18" t="n"/>
      <c r="FB5" s="18" t="n"/>
      <c r="FC5" s="18" t="n"/>
      <c r="FD5" s="18" t="n"/>
      <c r="FE5" s="18" t="n"/>
      <c r="FF5" s="18" t="n"/>
      <c r="FG5" s="18" t="n"/>
      <c r="FH5" s="18" t="n"/>
      <c r="FI5" s="18" t="n"/>
      <c r="FJ5" s="18" t="n"/>
      <c r="FK5" s="18" t="n"/>
      <c r="FL5" s="18" t="n"/>
      <c r="FM5" s="18" t="n"/>
      <c r="FN5" s="18" t="n"/>
      <c r="FO5" s="18" t="n"/>
      <c r="FP5" s="18" t="n"/>
      <c r="FQ5" s="18" t="n"/>
      <c r="FR5" s="18" t="n"/>
      <c r="FS5" s="18" t="n"/>
      <c r="FT5" s="18" t="n"/>
      <c r="FU5" s="18" t="n"/>
      <c r="FV5" s="18" t="n"/>
      <c r="FW5" s="18" t="n"/>
      <c r="FX5" s="18" t="n"/>
      <c r="FY5" s="18" t="n"/>
      <c r="FZ5" s="18" t="n"/>
      <c r="GA5" s="18" t="n"/>
      <c r="GB5" s="18" t="n"/>
      <c r="GC5" s="18" t="n"/>
      <c r="GD5" s="18" t="n"/>
      <c r="GE5" s="18" t="n"/>
      <c r="GF5" s="18" t="n"/>
      <c r="GG5" s="18" t="n"/>
      <c r="GH5" s="18" t="n"/>
      <c r="GI5" s="18" t="n"/>
      <c r="GJ5" s="18" t="n"/>
      <c r="GK5" s="18" t="n"/>
      <c r="GL5" s="18" t="n"/>
      <c r="GM5" s="18" t="n"/>
      <c r="GN5" s="18" t="n"/>
      <c r="GO5" s="18" t="n"/>
      <c r="GP5" s="18" t="n"/>
      <c r="GQ5" s="18" t="n"/>
      <c r="GR5" s="18" t="n"/>
      <c r="GS5" s="18" t="n"/>
      <c r="GT5" s="18" t="n"/>
      <c r="GU5" s="18" t="n"/>
      <c r="GV5" s="18" t="n"/>
      <c r="GW5" s="18" t="n"/>
      <c r="GX5" s="18" t="n"/>
      <c r="GY5" s="18" t="n"/>
      <c r="GZ5" s="18" t="n"/>
      <c r="HA5" s="18" t="n"/>
      <c r="HB5" s="18" t="n"/>
      <c r="HC5" s="18" t="n"/>
      <c r="HD5" s="18" t="n"/>
      <c r="HE5" s="18" t="n"/>
      <c r="HF5" s="18" t="n"/>
      <c r="HG5" s="18" t="n"/>
      <c r="HH5" s="18" t="n"/>
      <c r="HI5" s="18" t="n"/>
      <c r="HJ5" s="18" t="n"/>
      <c r="HK5" s="18" t="n"/>
      <c r="HL5" s="18" t="n"/>
      <c r="HM5" s="18" t="n"/>
      <c r="HN5" s="18" t="n"/>
      <c r="HO5" s="18" t="n"/>
      <c r="HP5" s="18" t="n"/>
      <c r="HQ5" s="18" t="n"/>
      <c r="HR5" s="18" t="n"/>
      <c r="HS5" s="18" t="n"/>
      <c r="HT5" s="18" t="n"/>
      <c r="HU5" s="18" t="n"/>
      <c r="HV5" s="18" t="n"/>
      <c r="HW5" s="18" t="n"/>
      <c r="HX5" s="18" t="n"/>
      <c r="HY5" s="18" t="n"/>
      <c r="HZ5" s="18" t="n"/>
      <c r="IA5" s="18" t="n"/>
      <c r="IB5" s="18" t="n"/>
      <c r="IC5" s="18" t="n"/>
      <c r="ID5" s="18" t="n"/>
      <c r="IE5" s="18" t="n"/>
    </row>
    <row r="6" ht="52.05" customHeight="1" s="88">
      <c r="A6" s="19" t="inlineStr">
        <is>
          <t>9000</t>
        </is>
      </c>
      <c r="B6" s="19" t="inlineStr">
        <is>
          <t>9000-6</t>
        </is>
      </c>
      <c r="C6" s="19" t="inlineStr">
        <is>
          <t>건축</t>
        </is>
      </c>
      <c r="D6" s="19" t="inlineStr">
        <is>
          <t>9000-6-5</t>
        </is>
      </c>
      <c r="E6" s="95" t="inlineStr">
        <is>
          <t>9000-6-3, 9000-6-4</t>
        </is>
      </c>
      <c r="F6" s="95" t="inlineStr">
        <is>
          <t>9000-6-6</t>
        </is>
      </c>
      <c r="G6" s="23" t="inlineStr">
        <is>
          <t>착공신고서 제출</t>
        </is>
      </c>
      <c r="H6" s="21" t="inlineStr">
        <is>
          <t>D-60 (D-90~D-60)</t>
        </is>
      </c>
      <c r="I6" s="21" t="inlineStr">
        <is>
          <t>현장소장, 건축 설계사</t>
        </is>
      </c>
      <c r="J6" s="24" t="inlineStr">
        <is>
          <t>착공신고서 제출</t>
        </is>
      </c>
      <c r="K6" s="24" t="inlineStr">
        <is>
          <t>현장 -&gt; 관할지자체
- 건축법 제21조(착공신고등)
- 서식: 별지 제13호 서식
- 제출후 지자체 처리기간 3일 이내</t>
        </is>
      </c>
      <c r="L6" s="24" t="inlineStr">
        <is>
          <t>착공신고서 승인 통보 문서</t>
        </is>
      </c>
      <c r="M6" s="24" t="inlineStr">
        <is>
          <t>1) 착공신고서 제출 (WBS 9000-4-5) 관련 현장 -&gt; 관할지자체 수칙 및 법적 이행 의무를 1:1 준수한다. 또한 KDS 41 00 00 (건축구조기준), KDS 41 17 00 (내진설계기준) 및 KCS 41 00 00 (건축공사 표준시방서) 기술기준을 100% 충족한다.
2) 착공신고서 제출 달성을 위한 필수 시공 방법(현장 -&gt; 관할지자체 건축법 제21조(착공신고등) 서식: 별지 제13호 서식 제출후 지자체 처리기간 3일 이...)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6" s="25">
        <f>HYPERLINK(LEFT(CELL("filename",A1),FIND("[",CELL("filename",A1))-1)&amp;"6.건축\5_착공신고서 제출\표준서\착공신고서 제출_표준서.html", "👉 [클릭] 표준서 열기 📄")</f>
        <v/>
      </c>
      <c r="O6" s="24" t="inlineStr">
        <is>
          <t>1) 착공신고서 제출 (WBS 9000-4-5) 사전 건축 인허가 서식 제출(관할 지자체/소방서), 3D BIM 도서 대조 및 기계·전기·통신 4대 인터페이스 개구부를 확정한다.
2) 실무 작업방법 수칙(현장 -&gt; 관할지자체 건축법 제21조(착공신고등) 서식: 별지 제13호 서식 제출후 지자체 처...)에 따라 철근 이음/피복두께 검측, 거푸집 다짐 양생 및 현장 3대 금기 수칙(피복 미달, 무단 타설)을 완수한다.</t>
        </is>
      </c>
      <c r="P6" s="26">
        <f>HYPERLINK(LEFT(CELL("filename",A1),FIND("[",CELL("filename",A1))-1)&amp;"6.건축\5_착공신고서 제출\수행지침\착공신고서 제출_수행지침.html", "👉 [클릭] 수행지침 열기 📄")</f>
        <v/>
      </c>
      <c r="Q6" s="24" t="inlineStr">
        <is>
          <t>1) 건축법 제11조 및 KDS 41 00 00 건축구조기준에 따라 착공신고서 제출 사전 검토를 수행하였는가? 또한 레미콘 규격(24~30MPa), 철근 시험성적서 및 방수자재 KCS 표준 품질 적격성을 검수하였는가?
2) 미검측 및 정량 시방 미달에 따른 착공신고서 제출 (WBS 9000-4-5) 구조 균열/누수 하자 발생, 개구부 누락 재시공 손실 및 최종 착공신고서 승인 통보 문서 승인 반려 리스크를 전면 차단한다.</t>
        </is>
      </c>
      <c r="R6" s="27">
        <f>HYPERLINK(LEFT(CELL("filename",A1),FIND("[",CELL("filename",A1))-1)&amp;"6.건축\5_착공신고서 제출\체크리스트\착공신고서 제출_체크리스트.html", "👉 [클릭] 체크리스트 열기 📄")</f>
        <v/>
      </c>
      <c r="S6" s="21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  <c r="DY6" s="18" t="n"/>
      <c r="DZ6" s="18" t="n"/>
      <c r="EA6" s="18" t="n"/>
      <c r="EB6" s="18" t="n"/>
      <c r="EC6" s="18" t="n"/>
      <c r="ED6" s="18" t="n"/>
      <c r="EE6" s="18" t="n"/>
      <c r="EF6" s="18" t="n"/>
      <c r="EG6" s="18" t="n"/>
      <c r="EH6" s="18" t="n"/>
      <c r="EI6" s="18" t="n"/>
      <c r="EJ6" s="18" t="n"/>
      <c r="EK6" s="18" t="n"/>
      <c r="EL6" s="18" t="n"/>
      <c r="EM6" s="18" t="n"/>
      <c r="EN6" s="18" t="n"/>
      <c r="EO6" s="18" t="n"/>
      <c r="EP6" s="18" t="n"/>
      <c r="EQ6" s="18" t="n"/>
      <c r="ER6" s="18" t="n"/>
      <c r="ES6" s="18" t="n"/>
      <c r="ET6" s="18" t="n"/>
      <c r="EU6" s="18" t="n"/>
      <c r="EV6" s="18" t="n"/>
      <c r="EW6" s="18" t="n"/>
      <c r="EX6" s="18" t="n"/>
      <c r="EY6" s="18" t="n"/>
      <c r="EZ6" s="18" t="n"/>
      <c r="FA6" s="18" t="n"/>
      <c r="FB6" s="18" t="n"/>
      <c r="FC6" s="18" t="n"/>
      <c r="FD6" s="18" t="n"/>
      <c r="FE6" s="18" t="n"/>
      <c r="FF6" s="18" t="n"/>
      <c r="FG6" s="18" t="n"/>
      <c r="FH6" s="18" t="n"/>
      <c r="FI6" s="18" t="n"/>
      <c r="FJ6" s="18" t="n"/>
      <c r="FK6" s="18" t="n"/>
      <c r="FL6" s="18" t="n"/>
      <c r="FM6" s="18" t="n"/>
      <c r="FN6" s="18" t="n"/>
      <c r="FO6" s="18" t="n"/>
      <c r="FP6" s="18" t="n"/>
      <c r="FQ6" s="18" t="n"/>
      <c r="FR6" s="18" t="n"/>
      <c r="FS6" s="18" t="n"/>
      <c r="FT6" s="18" t="n"/>
      <c r="FU6" s="18" t="n"/>
      <c r="FV6" s="18" t="n"/>
      <c r="FW6" s="18" t="n"/>
      <c r="FX6" s="18" t="n"/>
      <c r="FY6" s="18" t="n"/>
      <c r="FZ6" s="18" t="n"/>
      <c r="GA6" s="18" t="n"/>
      <c r="GB6" s="18" t="n"/>
      <c r="GC6" s="18" t="n"/>
      <c r="GD6" s="18" t="n"/>
      <c r="GE6" s="18" t="n"/>
      <c r="GF6" s="18" t="n"/>
      <c r="GG6" s="18" t="n"/>
      <c r="GH6" s="18" t="n"/>
      <c r="GI6" s="18" t="n"/>
      <c r="GJ6" s="18" t="n"/>
      <c r="GK6" s="18" t="n"/>
      <c r="GL6" s="18" t="n"/>
      <c r="GM6" s="18" t="n"/>
      <c r="GN6" s="18" t="n"/>
      <c r="GO6" s="18" t="n"/>
      <c r="GP6" s="18" t="n"/>
      <c r="GQ6" s="18" t="n"/>
      <c r="GR6" s="18" t="n"/>
      <c r="GS6" s="18" t="n"/>
      <c r="GT6" s="18" t="n"/>
      <c r="GU6" s="18" t="n"/>
      <c r="GV6" s="18" t="n"/>
      <c r="GW6" s="18" t="n"/>
      <c r="GX6" s="18" t="n"/>
      <c r="GY6" s="18" t="n"/>
      <c r="GZ6" s="18" t="n"/>
      <c r="HA6" s="18" t="n"/>
      <c r="HB6" s="18" t="n"/>
      <c r="HC6" s="18" t="n"/>
      <c r="HD6" s="18" t="n"/>
      <c r="HE6" s="18" t="n"/>
      <c r="HF6" s="18" t="n"/>
      <c r="HG6" s="18" t="n"/>
      <c r="HH6" s="18" t="n"/>
      <c r="HI6" s="18" t="n"/>
      <c r="HJ6" s="18" t="n"/>
      <c r="HK6" s="18" t="n"/>
      <c r="HL6" s="18" t="n"/>
      <c r="HM6" s="18" t="n"/>
      <c r="HN6" s="18" t="n"/>
      <c r="HO6" s="18" t="n"/>
      <c r="HP6" s="18" t="n"/>
      <c r="HQ6" s="18" t="n"/>
      <c r="HR6" s="18" t="n"/>
      <c r="HS6" s="18" t="n"/>
      <c r="HT6" s="18" t="n"/>
      <c r="HU6" s="18" t="n"/>
      <c r="HV6" s="18" t="n"/>
      <c r="HW6" s="18" t="n"/>
      <c r="HX6" s="18" t="n"/>
      <c r="HY6" s="18" t="n"/>
      <c r="HZ6" s="18" t="n"/>
      <c r="IA6" s="18" t="n"/>
      <c r="IB6" s="18" t="n"/>
      <c r="IC6" s="18" t="n"/>
      <c r="ID6" s="18" t="n"/>
      <c r="IE6" s="18" t="n"/>
      <c r="IF6" s="18" t="n"/>
      <c r="IG6" s="18" t="n"/>
      <c r="IH6" s="18" t="n"/>
      <c r="II6" s="18" t="n"/>
    </row>
    <row r="7" ht="52.05" customHeight="1" s="88">
      <c r="A7" s="29" t="inlineStr">
        <is>
          <t>9000</t>
        </is>
      </c>
      <c r="B7" s="29" t="inlineStr">
        <is>
          <t>9000-6</t>
        </is>
      </c>
      <c r="C7" s="29" t="inlineStr">
        <is>
          <t>건축</t>
        </is>
      </c>
      <c r="D7" s="29" t="inlineStr">
        <is>
          <t>9000-6-6</t>
        </is>
      </c>
      <c r="E7" s="102" t="inlineStr">
        <is>
          <t>9000-6-5</t>
        </is>
      </c>
      <c r="F7" s="102" t="inlineStr">
        <is>
          <t>9000-6-7, 9000-6-8</t>
        </is>
      </c>
      <c r="G7" s="32" t="inlineStr">
        <is>
          <t>소방시설공사 착공 신고서 제출</t>
        </is>
      </c>
      <c r="H7" s="33" t="inlineStr">
        <is>
          <t>D-70 (D-70~D-60)</t>
        </is>
      </c>
      <c r="I7" s="33" t="inlineStr">
        <is>
          <t>현장소장</t>
        </is>
      </c>
      <c r="J7" s="34" t="inlineStr">
        <is>
          <t>소방시설공사 착공신고서 제출</t>
        </is>
      </c>
      <c r="K7" s="34" t="inlineStr">
        <is>
          <t>현장 -&gt; 관할소방서, 소방시설공사업법 제13조(착공신고)
- 서식: 별지 제14호 서식
- 제출후 처리기간 2일 이내</t>
        </is>
      </c>
      <c r="L7" s="34" t="inlineStr">
        <is>
          <t>소방시설공사 착공신고필증</t>
        </is>
      </c>
      <c r="M7" s="34" t="inlineStr">
        <is>
          <t>1) 소방시설공사 착공 신고서 제출 (WBS 9000-4-6) 관련 현장 -&gt; 관할소방서, 소방시설공사업법 제13조(착공신고) 수칙 및 법적 이행 의무를 1:1 준수한다. 또한 KDS 41 00 00 (건축구조기준), KDS 41 17 00 (내진설계기준) 및 KCS 41 00 00 (건축공사 표준시방서) 기술기준을 100% 충족한다.
2) 소방시설공사 착공 신고서 제출 달성을 위한 필수 시공 방법(현장 -&gt; 관할소방서, 소방시설공사업법 제13조(착공신고) 서식: 별지 제14호 서식 제출후 처리기간 2일 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7" s="35">
        <f>HYPERLINK(LEFT(CELL("filename",A1),FIND("[",CELL("filename",A1))-1)&amp;"6.건축\6_소방시설공사 착공 신고서 제출\표준서\소방시설공사 착공 신고서 제출_표준서.html", "👉 [클릭] 표준서 열기 📄")</f>
        <v/>
      </c>
      <c r="O7" s="34" t="inlineStr">
        <is>
          <t>1) 소방시설공사 착공 신고서 제출 (WBS 9000-4-6) 사전 건축 인허가 서식 제출(관할 지자체/소방서), 3D BIM 도서 대조 및 기계·전기·통신 4대 인터페이스 개구부를 확정한다.
2) 실무 작업방법 수칙(현장 -&gt; 관할소방서, 소방시설공사업법 제13조(착공신고) 서식: 별지 제14호 서식 제출후 ...)에 따라 철근 이음/피복두께 검측, 거푸집 다짐 양생 및 현장 3대 금기 수칙(피복 미달, 무단 타설)을 완수한다.</t>
        </is>
      </c>
      <c r="P7" s="36">
        <f>HYPERLINK(LEFT(CELL("filename",A1),FIND("[",CELL("filename",A1))-1)&amp;"6.건축\6_소방시설공사 착공 신고서 제출\수행지침\소방시설공사 착공 신고서 제출_수행지침.html", "👉 [클릭] 수행지침 열기 📄")</f>
        <v/>
      </c>
      <c r="Q7" s="34" t="inlineStr">
        <is>
          <t>1) 건축법 제11조 및 KDS 41 00 00 건축구조기준에 따라 소방시설공사 착공 신고서 제출 사전 검토를 수행하였는가? 또한 레미콘 규격(24~30MPa), 철근 시험성적서 및 방수자재 KCS 표준 품질 적격성을 검수하였는가?
2) 미검측 및 정량 시방 미달에 따른 소방시설공사 착공 신고서 제출 (WBS 9000-4-6) 구조 균열/누수 하자 발생, 개구부 누락 재시공 손실 및 최종 소방시설공사 착공신고필증 승인 반려 리스크를 전면 차단한다.</t>
        </is>
      </c>
      <c r="R7" s="37">
        <f>HYPERLINK(LEFT(CELL("filename",A1),FIND("[",CELL("filename",A1))-1)&amp;"6.건축\6_소방시설공사 착공 신고서 제출\체크리스트\소방시설공사 착공 신고서 제출_체크리스트.html", "👉 [클릭] 체크리스트 열기 📄")</f>
        <v/>
      </c>
      <c r="S7" s="33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8" t="n"/>
      <c r="EB7" s="18" t="n"/>
      <c r="EC7" s="18" t="n"/>
      <c r="ED7" s="18" t="n"/>
      <c r="EE7" s="18" t="n"/>
      <c r="EF7" s="18" t="n"/>
      <c r="EG7" s="18" t="n"/>
      <c r="EH7" s="18" t="n"/>
      <c r="EI7" s="18" t="n"/>
      <c r="EJ7" s="18" t="n"/>
      <c r="EK7" s="18" t="n"/>
      <c r="EL7" s="18" t="n"/>
      <c r="EM7" s="18" t="n"/>
      <c r="EN7" s="18" t="n"/>
      <c r="EO7" s="18" t="n"/>
      <c r="EP7" s="18" t="n"/>
      <c r="EQ7" s="18" t="n"/>
      <c r="ER7" s="18" t="n"/>
      <c r="ES7" s="18" t="n"/>
      <c r="ET7" s="18" t="n"/>
      <c r="EU7" s="18" t="n"/>
      <c r="EV7" s="18" t="n"/>
      <c r="EW7" s="18" t="n"/>
      <c r="EX7" s="18" t="n"/>
      <c r="EY7" s="18" t="n"/>
      <c r="EZ7" s="18" t="n"/>
      <c r="FA7" s="18" t="n"/>
      <c r="FB7" s="18" t="n"/>
      <c r="FC7" s="18" t="n"/>
      <c r="FD7" s="18" t="n"/>
      <c r="FE7" s="18" t="n"/>
      <c r="FF7" s="18" t="n"/>
      <c r="FG7" s="18" t="n"/>
      <c r="FH7" s="18" t="n"/>
      <c r="FI7" s="18" t="n"/>
      <c r="FJ7" s="18" t="n"/>
      <c r="FK7" s="18" t="n"/>
      <c r="FL7" s="18" t="n"/>
      <c r="FM7" s="18" t="n"/>
      <c r="FN7" s="18" t="n"/>
      <c r="FO7" s="18" t="n"/>
      <c r="FP7" s="18" t="n"/>
      <c r="FQ7" s="18" t="n"/>
      <c r="FR7" s="18" t="n"/>
      <c r="FS7" s="18" t="n"/>
      <c r="FT7" s="18" t="n"/>
      <c r="FU7" s="18" t="n"/>
      <c r="FV7" s="18" t="n"/>
      <c r="FW7" s="18" t="n"/>
      <c r="FX7" s="18" t="n"/>
      <c r="FY7" s="18" t="n"/>
      <c r="FZ7" s="18" t="n"/>
      <c r="GA7" s="18" t="n"/>
      <c r="GB7" s="18" t="n"/>
      <c r="GC7" s="18" t="n"/>
      <c r="GD7" s="18" t="n"/>
      <c r="GE7" s="18" t="n"/>
      <c r="GF7" s="18" t="n"/>
      <c r="GG7" s="18" t="n"/>
      <c r="GH7" s="18" t="n"/>
      <c r="GI7" s="18" t="n"/>
      <c r="GJ7" s="18" t="n"/>
      <c r="GK7" s="18" t="n"/>
      <c r="GL7" s="18" t="n"/>
      <c r="GM7" s="18" t="n"/>
      <c r="GN7" s="18" t="n"/>
      <c r="GO7" s="18" t="n"/>
      <c r="GP7" s="18" t="n"/>
      <c r="GQ7" s="18" t="n"/>
      <c r="GR7" s="18" t="n"/>
      <c r="GS7" s="18" t="n"/>
      <c r="GT7" s="18" t="n"/>
      <c r="GU7" s="18" t="n"/>
      <c r="GV7" s="18" t="n"/>
      <c r="GW7" s="18" t="n"/>
      <c r="GX7" s="18" t="n"/>
      <c r="GY7" s="18" t="n"/>
      <c r="GZ7" s="18" t="n"/>
      <c r="HA7" s="18" t="n"/>
      <c r="HB7" s="18" t="n"/>
      <c r="HC7" s="18" t="n"/>
      <c r="HD7" s="18" t="n"/>
      <c r="HE7" s="18" t="n"/>
      <c r="HF7" s="18" t="n"/>
      <c r="HG7" s="18" t="n"/>
      <c r="HH7" s="18" t="n"/>
      <c r="HI7" s="18" t="n"/>
      <c r="HJ7" s="18" t="n"/>
      <c r="HK7" s="18" t="n"/>
      <c r="HL7" s="18" t="n"/>
      <c r="HM7" s="18" t="n"/>
      <c r="HN7" s="18" t="n"/>
      <c r="HO7" s="18" t="n"/>
      <c r="HP7" s="18" t="n"/>
      <c r="HQ7" s="18" t="n"/>
      <c r="HR7" s="18" t="n"/>
      <c r="HS7" s="18" t="n"/>
      <c r="HT7" s="18" t="n"/>
      <c r="HU7" s="18" t="n"/>
      <c r="HV7" s="18" t="n"/>
      <c r="HW7" s="18" t="n"/>
      <c r="HX7" s="18" t="n"/>
      <c r="HY7" s="18" t="n"/>
      <c r="HZ7" s="18" t="n"/>
      <c r="IA7" s="18" t="n"/>
      <c r="IB7" s="18" t="n"/>
      <c r="IC7" s="18" t="n"/>
      <c r="ID7" s="18" t="n"/>
      <c r="IE7" s="18" t="n"/>
      <c r="IF7" s="18" t="n"/>
      <c r="IG7" s="18" t="n"/>
      <c r="IH7" s="18" t="n"/>
      <c r="II7" s="18" t="n"/>
      <c r="IJ7" s="18" t="n"/>
      <c r="IK7" s="18" t="n"/>
      <c r="IL7" s="18" t="n"/>
      <c r="IM7" s="18" t="n"/>
    </row>
    <row r="8" ht="52.05" customHeight="1" s="88">
      <c r="A8" s="19" t="inlineStr">
        <is>
          <t>9000</t>
        </is>
      </c>
      <c r="B8" s="19" t="inlineStr">
        <is>
          <t>9000-6</t>
        </is>
      </c>
      <c r="C8" s="19" t="inlineStr">
        <is>
          <t>건축</t>
        </is>
      </c>
      <c r="D8" s="19" t="inlineStr">
        <is>
          <t>9000-6-7</t>
        </is>
      </c>
      <c r="E8" s="95" t="inlineStr">
        <is>
          <t>9000-6-2, 9000-6-6</t>
        </is>
      </c>
      <c r="F8" s="95" t="inlineStr">
        <is>
          <t>9000-6-9, 9000-6-10</t>
        </is>
      </c>
      <c r="G8" s="23" t="inlineStr">
        <is>
          <t>정보통신공사 착공전 설계도 확인 (신청서 제출 및 결과 접수)</t>
        </is>
      </c>
      <c r="H8" s="21" t="inlineStr">
        <is>
          <t>D-60</t>
        </is>
      </c>
      <c r="I8" s="21" t="inlineStr">
        <is>
          <t>현장소장</t>
        </is>
      </c>
      <c r="J8" s="24" t="inlineStr">
        <is>
          <t>정보통신공사 착공전 설계도 확인 신청 및 제출</t>
        </is>
      </c>
      <c r="K8" s="24" t="inlineStr">
        <is>
          <t>현장 -&gt; 관할지자체, 정보통신공사업법 시행령 제35조의 2
- 서식: 별지 제7호 서식
- 제출후 처리기간 14일 이내</t>
        </is>
      </c>
      <c r="L8" s="24" t="inlineStr">
        <is>
          <t>정보통신공사 착공전 설계도 확인결과 통보서</t>
        </is>
      </c>
      <c r="M8" s="24" t="inlineStr">
        <is>
          <t>1) 정보통신공사 착공전 설계도 확인 (신청서 제출 및 결과 접수) (WBS 9000-4-7) 관련 현장 -&gt; 관할지자체, 정보통신공사업법 시행령 제35조의 2 수칙 및 법적 이행 의무를 1:1 준수한다. 또한 KDS 41 00 00 (건축구조기준), KDS 41 17 00 (내진설계기준) 및 KCS 41 00 00 (건축공사 표준시방서) 기술기준을 100% 충족한다.
2) 정보통신공사 착공전 설계도 확인 (신청서 제출 및 결과 접수) 달성을 위한 필수 시공 방법(현장 -&gt; 관할지자체, 정보통신공사업법 시행령 제35조의 2 서식: 별지 제7호 서식 제출후 처리기간 14일...)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8" s="25">
        <f>HYPERLINK(LEFT(CELL("filename",A1),FIND("[",CELL("filename",A1))-1)&amp;"6.건축\7_정보통신공사 착공전 설계도 확인 (신청서 제출 및 결과 접수)\표준서\정보통신공사 착공전 설계도 확인 (신청서 제출 및 결과 접수)_표준서.html", "👉 [클릭] 표준서 열기 📄")</f>
        <v/>
      </c>
      <c r="O8" s="24" t="inlineStr">
        <is>
          <t>1) 정보통신공사 착공전 설계도 확인 (신청서 제출 및 결과 접수) (WBS 9000-4-7) 사전 건축 인허가 서식 제출(관할 지자체/소방서), 3D BIM 도서 대조 및 기계·전기·통신 4대 인터페이스 개구부를 확정한다.
2) 실무 작업방법 수칙(현장 -&gt; 관할지자체, 정보통신공사업법 시행령 제35조의 2 서식: 별지 제7호 서식 제출후 ...)에 따라 철근 이음/피복두께 검측, 거푸집 다짐 양생 및 현장 3대 금기 수칙(피복 미달, 무단 타설)을 완수한다.</t>
        </is>
      </c>
      <c r="P8" s="26">
        <f>HYPERLINK(LEFT(CELL("filename",A1),FIND("[",CELL("filename",A1))-1)&amp;"6.건축\7_정보통신공사 착공전 설계도 확인 (신청서 제출 및 결과 접수)\수행지침\정보통신공사 착공전 설계도 확인 (신청서 제출 및 결과 접수)_수행지침.html", "👉 [클릭] 수행지침 열기 📄")</f>
        <v/>
      </c>
      <c r="Q8" s="24" t="inlineStr">
        <is>
          <t>1) 건축법 제11조 및 KDS 41 00 00 건축구조기준에 따라 정보통신공사 착공전 설계도 확인 (신청서 제출 및 결과 접수) 사전 검토를 수행하였는가? 또한 레미콘 규격(24~30MPa), 철근 시험성적서 및 방수자재 KCS 표준 품질 적격성을 검수하였는가?
2) 미검측 및 정량 시방 미달에 따른 정보통신공사 착공전 설계도 확인 (신청서 제출 및 결과 접수) (WBS 9000-4-7) 구조 균열/누수 하자 발생, 개구부 누락 재시공 손실 및 최종 정보통신공사 착공전 설계도 확인결과 통보서 승인 반려 리스크를 전면 차단한다.</t>
        </is>
      </c>
      <c r="R8" s="27">
        <f>HYPERLINK(LEFT(CELL("filename",A1),FIND("[",CELL("filename",A1))-1)&amp;"6.건축\7_정보통신공사 착공전 설계도 확인 (신청서 제출 및 결과 접수)\체크리스트\정보통신공사 착공전 설계도 확인 (신청서 제출 및 결과 접수)_체크리스트.html", "👉 [클릭] 체크리스트 열기 📄")</f>
        <v/>
      </c>
      <c r="S8" s="21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8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  <c r="EN8" s="18" t="n"/>
      <c r="EO8" s="18" t="n"/>
      <c r="EP8" s="18" t="n"/>
      <c r="EQ8" s="18" t="n"/>
      <c r="ER8" s="18" t="n"/>
      <c r="ES8" s="18" t="n"/>
      <c r="ET8" s="18" t="n"/>
      <c r="EU8" s="18" t="n"/>
      <c r="EV8" s="18" t="n"/>
      <c r="EW8" s="18" t="n"/>
      <c r="EX8" s="18" t="n"/>
      <c r="EY8" s="18" t="n"/>
      <c r="EZ8" s="18" t="n"/>
      <c r="FA8" s="18" t="n"/>
      <c r="FB8" s="18" t="n"/>
      <c r="FC8" s="18" t="n"/>
      <c r="FD8" s="18" t="n"/>
      <c r="FE8" s="18" t="n"/>
      <c r="FF8" s="18" t="n"/>
      <c r="FG8" s="18" t="n"/>
      <c r="FH8" s="18" t="n"/>
      <c r="FI8" s="18" t="n"/>
      <c r="FJ8" s="18" t="n"/>
      <c r="FK8" s="18" t="n"/>
      <c r="FL8" s="18" t="n"/>
      <c r="FM8" s="18" t="n"/>
      <c r="FN8" s="18" t="n"/>
      <c r="FO8" s="18" t="n"/>
      <c r="FP8" s="18" t="n"/>
      <c r="FQ8" s="18" t="n"/>
      <c r="FR8" s="18" t="n"/>
      <c r="FS8" s="18" t="n"/>
      <c r="FT8" s="18" t="n"/>
      <c r="FU8" s="18" t="n"/>
      <c r="FV8" s="18" t="n"/>
      <c r="FW8" s="18" t="n"/>
      <c r="FX8" s="18" t="n"/>
      <c r="FY8" s="18" t="n"/>
      <c r="FZ8" s="18" t="n"/>
      <c r="GA8" s="18" t="n"/>
      <c r="GB8" s="18" t="n"/>
      <c r="GC8" s="18" t="n"/>
      <c r="GD8" s="18" t="n"/>
      <c r="GE8" s="18" t="n"/>
      <c r="GF8" s="18" t="n"/>
      <c r="GG8" s="18" t="n"/>
      <c r="GH8" s="18" t="n"/>
      <c r="GI8" s="18" t="n"/>
      <c r="GJ8" s="18" t="n"/>
      <c r="GK8" s="18" t="n"/>
      <c r="GL8" s="18" t="n"/>
      <c r="GM8" s="18" t="n"/>
      <c r="GN8" s="18" t="n"/>
      <c r="GO8" s="18" t="n"/>
      <c r="GP8" s="18" t="n"/>
      <c r="GQ8" s="18" t="n"/>
      <c r="GR8" s="18" t="n"/>
      <c r="GS8" s="18" t="n"/>
      <c r="GT8" s="18" t="n"/>
      <c r="GU8" s="18" t="n"/>
      <c r="GV8" s="18" t="n"/>
      <c r="GW8" s="18" t="n"/>
      <c r="GX8" s="18" t="n"/>
      <c r="GY8" s="18" t="n"/>
      <c r="GZ8" s="18" t="n"/>
      <c r="HA8" s="18" t="n"/>
      <c r="HB8" s="18" t="n"/>
      <c r="HC8" s="18" t="n"/>
      <c r="HD8" s="18" t="n"/>
      <c r="HE8" s="18" t="n"/>
      <c r="HF8" s="18" t="n"/>
      <c r="HG8" s="18" t="n"/>
      <c r="HH8" s="18" t="n"/>
      <c r="HI8" s="18" t="n"/>
      <c r="HJ8" s="18" t="n"/>
      <c r="HK8" s="18" t="n"/>
      <c r="HL8" s="18" t="n"/>
      <c r="HM8" s="18" t="n"/>
      <c r="HN8" s="18" t="n"/>
      <c r="HO8" s="18" t="n"/>
      <c r="HP8" s="18" t="n"/>
      <c r="HQ8" s="18" t="n"/>
      <c r="HR8" s="18" t="n"/>
      <c r="HS8" s="18" t="n"/>
      <c r="HT8" s="18" t="n"/>
      <c r="HU8" s="18" t="n"/>
      <c r="HV8" s="18" t="n"/>
      <c r="HW8" s="18" t="n"/>
      <c r="HX8" s="18" t="n"/>
      <c r="HY8" s="18" t="n"/>
      <c r="HZ8" s="18" t="n"/>
      <c r="IA8" s="18" t="n"/>
      <c r="IB8" s="18" t="n"/>
      <c r="IC8" s="18" t="n"/>
      <c r="ID8" s="18" t="n"/>
      <c r="IE8" s="18" t="n"/>
      <c r="IF8" s="18" t="n"/>
      <c r="IG8" s="18" t="n"/>
      <c r="IH8" s="18" t="n"/>
      <c r="II8" s="18" t="n"/>
      <c r="IJ8" s="18" t="n"/>
      <c r="IK8" s="18" t="n"/>
      <c r="IL8" s="18" t="n"/>
      <c r="IM8" s="18" t="n"/>
      <c r="IN8" s="18" t="n"/>
      <c r="IO8" s="18" t="n"/>
      <c r="IP8" s="18" t="n"/>
      <c r="IQ8" s="18" t="n"/>
    </row>
    <row r="9" ht="52.05" customHeight="1" s="88">
      <c r="A9" s="29" t="inlineStr">
        <is>
          <t>9000</t>
        </is>
      </c>
      <c r="B9" s="29" t="inlineStr">
        <is>
          <t>9000-6</t>
        </is>
      </c>
      <c r="C9" s="29" t="inlineStr">
        <is>
          <t>건축</t>
        </is>
      </c>
      <c r="D9" s="29" t="inlineStr">
        <is>
          <t>9000-6-8</t>
        </is>
      </c>
      <c r="E9" s="102" t="inlineStr">
        <is>
          <t>9000-6-6</t>
        </is>
      </c>
      <c r="F9" s="102" t="inlineStr">
        <is>
          <t>9000-6-10</t>
        </is>
      </c>
      <c r="G9" s="32" t="inlineStr">
        <is>
          <t>선행공종 인수사항 확인</t>
        </is>
      </c>
      <c r="H9" s="33" t="inlineStr">
        <is>
          <t>D-60</t>
        </is>
      </c>
      <c r="I9" s="33" t="inlineStr">
        <is>
          <t>현장공사팀</t>
        </is>
      </c>
      <c r="J9" s="34" t="inlineStr">
        <is>
          <t>선행공종 인수인계</t>
        </is>
      </c>
      <c r="K9" s="34" t="inlineStr">
        <is>
          <t>- 부지경계 측량 확인
- 업체간 현장확인+좌표화 Data 인수
- 지장물, 지반상태, 진입로, 작업장 현황</t>
        </is>
      </c>
      <c r="L9" s="34" t="inlineStr">
        <is>
          <t>회의록, 인수사항 List</t>
        </is>
      </c>
      <c r="M9" s="34" t="inlineStr">
        <is>
          <t>1) 선행공종 인수사항 확인 (WBS 9000-4-8) 관련 부지경계 측량 확인 수칙 및 법적 이행 의무를 1:1 준수한다. 또한 KDS 41 00 00 (건축구조기준), KDS 41 17 00 (내진설계기준) 및 KCS 41 00 00 (건축공사 표준시방서) 기술기준을 100% 충족한다.
2) 선행공종 인수사항 확인 달성을 위한 필수 시공 방법(부지경계 측량 확인 업체간 현장확인+좌표화 Data 인수 지장물, 지반상태, 진입로, 작업장 현황...)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9" s="35">
        <f>HYPERLINK(LEFT(CELL("filename",A1),FIND("[",CELL("filename",A1))-1)&amp;"6.건축\8_선행공종 인수사항 확인\표준서\선행공종 인수사항 확인_표준서.html", "👉 [클릭] 표준서 열기 📄")</f>
        <v/>
      </c>
      <c r="O9" s="34" t="inlineStr">
        <is>
          <t>1) 선행공종 인수사항 확인 (WBS 9000-4-8) 사전 건축 인허가 서식 제출(관할 지자체/소방서), 3D BIM 도서 대조 및 기계·전기·통신 4대 인터페이스 개구부를 확정한다.
2) 실무 작업방법 수칙(부지경계 측량 확인 업체간 현장확인+좌표화 Data 인수 지장물, 지반상태, 진입로, 작업장 현황)에 따라 철근 이음/피복두께 검측, 거푸집 다짐 양생 및 현장 3대 금기 수칙(피복 미달, 무단 타설)을 완수한다.</t>
        </is>
      </c>
      <c r="P9" s="36">
        <f>HYPERLINK(LEFT(CELL("filename",A1),FIND("[",CELL("filename",A1))-1)&amp;"6.건축\8_선행공종 인수사항 확인\수행지침\선행공종 인수사항 확인_수행지침.html", "👉 [클릭] 수행지침 열기 📄")</f>
        <v/>
      </c>
      <c r="Q9" s="34" t="inlineStr">
        <is>
          <t>1) 건축법 제11조 및 KDS 41 00 00 건축구조기준에 따라 선행공종 인수사항 확인 사전 검토를 수행하였는가? 또한 레미콘 규격(24~30MPa), 철근 시험성적서 및 방수자재 KCS 표준 품질 적격성을 검수하였는가?
2) 미검측 및 정량 시방 미달에 따른 선행공종 인수사항 확인 (WBS 9000-4-8) 구조 균열/누수 하자 발생, 개구부 누락 재시공 손실 및 최종 회의록, 인수사항 List 승인 반려 리스크를 전면 차단한다.</t>
        </is>
      </c>
      <c r="R9" s="37">
        <f>HYPERLINK(LEFT(CELL("filename",A1),FIND("[",CELL("filename",A1))-1)&amp;"6.건축\8_선행공종 인수사항 확인\체크리스트\선행공종 인수사항 확인_체크리스트.html", "👉 [클릭] 체크리스트 열기 📄")</f>
        <v/>
      </c>
      <c r="S9" s="33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8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  <c r="ER9" s="18" t="n"/>
      <c r="ES9" s="18" t="n"/>
      <c r="ET9" s="18" t="n"/>
      <c r="EU9" s="18" t="n"/>
      <c r="EV9" s="18" t="n"/>
      <c r="EW9" s="18" t="n"/>
      <c r="EX9" s="18" t="n"/>
      <c r="EY9" s="18" t="n"/>
      <c r="EZ9" s="18" t="n"/>
      <c r="FA9" s="18" t="n"/>
      <c r="FB9" s="18" t="n"/>
      <c r="FC9" s="18" t="n"/>
      <c r="FD9" s="18" t="n"/>
      <c r="FE9" s="18" t="n"/>
      <c r="FF9" s="18" t="n"/>
      <c r="FG9" s="18" t="n"/>
      <c r="FH9" s="18" t="n"/>
      <c r="FI9" s="18" t="n"/>
      <c r="FJ9" s="18" t="n"/>
      <c r="FK9" s="18" t="n"/>
      <c r="FL9" s="18" t="n"/>
      <c r="FM9" s="18" t="n"/>
      <c r="FN9" s="18" t="n"/>
      <c r="FO9" s="18" t="n"/>
      <c r="FP9" s="18" t="n"/>
      <c r="FQ9" s="18" t="n"/>
      <c r="FR9" s="18" t="n"/>
      <c r="FS9" s="18" t="n"/>
      <c r="FT9" s="18" t="n"/>
      <c r="FU9" s="18" t="n"/>
      <c r="FV9" s="18" t="n"/>
      <c r="FW9" s="18" t="n"/>
      <c r="FX9" s="18" t="n"/>
      <c r="FY9" s="18" t="n"/>
      <c r="FZ9" s="18" t="n"/>
      <c r="GA9" s="18" t="n"/>
      <c r="GB9" s="18" t="n"/>
      <c r="GC9" s="18" t="n"/>
      <c r="GD9" s="18" t="n"/>
      <c r="GE9" s="18" t="n"/>
      <c r="GF9" s="18" t="n"/>
      <c r="GG9" s="18" t="n"/>
      <c r="GH9" s="18" t="n"/>
      <c r="GI9" s="18" t="n"/>
      <c r="GJ9" s="18" t="n"/>
      <c r="GK9" s="18" t="n"/>
      <c r="GL9" s="18" t="n"/>
      <c r="GM9" s="18" t="n"/>
      <c r="GN9" s="18" t="n"/>
      <c r="GO9" s="18" t="n"/>
      <c r="GP9" s="18" t="n"/>
      <c r="GQ9" s="18" t="n"/>
      <c r="GR9" s="18" t="n"/>
      <c r="GS9" s="18" t="n"/>
      <c r="GT9" s="18" t="n"/>
      <c r="GU9" s="18" t="n"/>
      <c r="GV9" s="18" t="n"/>
      <c r="GW9" s="18" t="n"/>
      <c r="GX9" s="18" t="n"/>
      <c r="GY9" s="18" t="n"/>
      <c r="GZ9" s="18" t="n"/>
      <c r="HA9" s="18" t="n"/>
      <c r="HB9" s="18" t="n"/>
      <c r="HC9" s="18" t="n"/>
      <c r="HD9" s="18" t="n"/>
      <c r="HE9" s="18" t="n"/>
      <c r="HF9" s="18" t="n"/>
      <c r="HG9" s="18" t="n"/>
      <c r="HH9" s="18" t="n"/>
      <c r="HI9" s="18" t="n"/>
      <c r="HJ9" s="18" t="n"/>
      <c r="HK9" s="18" t="n"/>
      <c r="HL9" s="18" t="n"/>
      <c r="HM9" s="18" t="n"/>
      <c r="HN9" s="18" t="n"/>
      <c r="HO9" s="18" t="n"/>
      <c r="HP9" s="18" t="n"/>
      <c r="HQ9" s="18" t="n"/>
      <c r="HR9" s="18" t="n"/>
      <c r="HS9" s="18" t="n"/>
      <c r="HT9" s="18" t="n"/>
      <c r="HU9" s="18" t="n"/>
      <c r="HV9" s="18" t="n"/>
      <c r="HW9" s="18" t="n"/>
      <c r="HX9" s="18" t="n"/>
      <c r="HY9" s="18" t="n"/>
      <c r="HZ9" s="18" t="n"/>
      <c r="IA9" s="18" t="n"/>
      <c r="IB9" s="18" t="n"/>
      <c r="IC9" s="18" t="n"/>
      <c r="ID9" s="18" t="n"/>
      <c r="IE9" s="18" t="n"/>
      <c r="IF9" s="18" t="n"/>
      <c r="IG9" s="18" t="n"/>
      <c r="IH9" s="18" t="n"/>
      <c r="II9" s="18" t="n"/>
      <c r="IJ9" s="18" t="n"/>
      <c r="IK9" s="18" t="n"/>
      <c r="IL9" s="18" t="n"/>
      <c r="IM9" s="18" t="n"/>
      <c r="IN9" s="18" t="n"/>
      <c r="IO9" s="18" t="n"/>
      <c r="IP9" s="18" t="n"/>
      <c r="IQ9" s="18" t="n"/>
      <c r="IR9" s="18" t="n"/>
      <c r="IS9" s="18" t="n"/>
      <c r="IT9" s="18" t="n"/>
      <c r="IU9" s="18" t="n"/>
    </row>
    <row r="10" ht="52.05" customHeight="1" s="88">
      <c r="A10" s="19" t="inlineStr">
        <is>
          <t>9000</t>
        </is>
      </c>
      <c r="B10" s="19" t="inlineStr">
        <is>
          <t>9000-6</t>
        </is>
      </c>
      <c r="C10" s="19" t="inlineStr">
        <is>
          <t>건축</t>
        </is>
      </c>
      <c r="D10" s="19" t="inlineStr">
        <is>
          <t>9000-6-9</t>
        </is>
      </c>
      <c r="E10" s="95" t="inlineStr">
        <is>
          <t>9000-6-7</t>
        </is>
      </c>
      <c r="F10" s="95" t="inlineStr">
        <is>
          <t>9000-6-11, 9000-6-12</t>
        </is>
      </c>
      <c r="G10" s="23" t="inlineStr">
        <is>
          <t>인터페이스 사항 검토 및 지원</t>
        </is>
      </c>
      <c r="H10" s="21" t="inlineStr">
        <is>
          <t>D-60</t>
        </is>
      </c>
      <c r="I10" s="21" t="inlineStr">
        <is>
          <t>토목수행팀 / 현장 공사, 공무 Part</t>
        </is>
      </c>
      <c r="J10" s="24" t="inlineStr">
        <is>
          <t>후행공정 설계오류 및 변경검토</t>
        </is>
      </c>
      <c r="K10" s="24" t="inlineStr">
        <is>
          <t>- 설계도서 검토를 통한 공종간 인터페이스 사항에 대한 사전검토(오픈구 등)
- 유사공종 경험자 현장 지원 파견검토
- 콘크리트 타설전(기계설비, 전기, 통신) 사전 매입해야 할 배관,슬리브위치 타공정 확인</t>
        </is>
      </c>
      <c r="L10" s="24" t="inlineStr">
        <is>
          <t>회의록, 시공상세도</t>
        </is>
      </c>
      <c r="M10" s="24" t="inlineStr">
        <is>
          <t>1) 인터페이스 사항 검토 및 지원 (WBS 9000-4-9) 관련 설계도서 검토를 통한 공종간 인터페이스 사항에 대한 사전검토(오픈구 등) 수칙 및 법적 이행 의무를 1:1 준수한다. 또한 KDS 41 00 00 (건축구조기준), KDS 41 17 00 (내진설계기준) 및 KCS 41 00 00 (건축공사 표준시방서) 기술기준을 100% 충족한다.
2) 인터페이스 사항 검토 및 지원 달성을 위한 필수 시공 방법(설계도서 검토를 통한 공종간 인터페이스 사항에 대한 사전검토(오픈구 등) 유사공종 경험자 현장 지원 파견검토...)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10" s="25">
        <f>HYPERLINK(LEFT(CELL("filename",A1),FIND("[",CELL("filename",A1))-1)&amp;"6.건축\9_인터페이스 사항 검토 및 지원\표준서\인터페이스 사항 검토 및 지원_표준서.html", "👉 [클릭] 표준서 열기 📄")</f>
        <v/>
      </c>
      <c r="O10" s="24" t="inlineStr">
        <is>
          <t>1) 인터페이스 사항 검토 및 지원 (WBS 9000-4-9) 사전 건축 인허가 서식 제출(관할 지자체/소방서), 3D BIM 도서 대조 및 기계·전기·통신 4대 인터페이스 개구부를 확정한다.
2) 실무 작업방법 수칙(설계도서 검토를 통한 공종간 인터페이스 사항에 대한 사전검토(오픈구 등) 유사공종 경험자 현장...)에 따라 철근 이음/피복두께 검측, 거푸집 다짐 양생 및 현장 3대 금기 수칙(피복 미달, 무단 타설)을 완수한다.</t>
        </is>
      </c>
      <c r="P10" s="26">
        <f>HYPERLINK(LEFT(CELL("filename",A1),FIND("[",CELL("filename",A1))-1)&amp;"6.건축\9_인터페이스 사항 검토 및 지원\수행지침\인터페이스 사항 검토 및 지원_수행지침.html", "👉 [클릭] 수행지침 열기 📄")</f>
        <v/>
      </c>
      <c r="Q10" s="24" t="inlineStr">
        <is>
          <t>1) 건축법 제11조 및 KDS 41 00 00 건축구조기준에 따라 인터페이스 사항 검토 및 지원 사전 검토를 수행하였는가? 또한 레미콘 규격(24~30MPa), 철근 시험성적서 및 방수자재 KCS 표준 품질 적격성을 검수하였는가?
2) 미검측 및 정량 시방 미달에 따른 인터페이스 사항 검토 및 지원 (WBS 9000-4-9) 구조 균열/누수 하자 발생, 개구부 누락 재시공 손실 및 최종 회의록, 시공상세도 승인 반려 리스크를 전면 차단한다.</t>
        </is>
      </c>
      <c r="R10" s="27">
        <f>HYPERLINK(LEFT(CELL("filename",A1),FIND("[",CELL("filename",A1))-1)&amp;"6.건축\9_인터페이스 사항 검토 및 지원\체크리스트\인터페이스 사항 검토 및 지원_체크리스트.html", "👉 [클릭] 체크리스트 열기 📄")</f>
        <v/>
      </c>
      <c r="S10" s="21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8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  <c r="EV10" s="18" t="n"/>
      <c r="EW10" s="18" t="n"/>
      <c r="EX10" s="18" t="n"/>
      <c r="EY10" s="18" t="n"/>
      <c r="EZ10" s="18" t="n"/>
      <c r="FA10" s="18" t="n"/>
      <c r="FB10" s="18" t="n"/>
      <c r="FC10" s="18" t="n"/>
      <c r="FD10" s="18" t="n"/>
      <c r="FE10" s="18" t="n"/>
      <c r="FF10" s="18" t="n"/>
      <c r="FG10" s="18" t="n"/>
      <c r="FH10" s="18" t="n"/>
      <c r="FI10" s="18" t="n"/>
      <c r="FJ10" s="18" t="n"/>
      <c r="FK10" s="18" t="n"/>
      <c r="FL10" s="18" t="n"/>
      <c r="FM10" s="18" t="n"/>
      <c r="FN10" s="18" t="n"/>
      <c r="FO10" s="18" t="n"/>
      <c r="FP10" s="18" t="n"/>
      <c r="FQ10" s="18" t="n"/>
      <c r="FR10" s="18" t="n"/>
      <c r="FS10" s="18" t="n"/>
      <c r="FT10" s="18" t="n"/>
      <c r="FU10" s="18" t="n"/>
      <c r="FV10" s="18" t="n"/>
      <c r="FW10" s="18" t="n"/>
      <c r="FX10" s="18" t="n"/>
      <c r="FY10" s="18" t="n"/>
      <c r="FZ10" s="18" t="n"/>
      <c r="GA10" s="18" t="n"/>
      <c r="GB10" s="18" t="n"/>
      <c r="GC10" s="18" t="n"/>
      <c r="GD10" s="18" t="n"/>
      <c r="GE10" s="18" t="n"/>
      <c r="GF10" s="18" t="n"/>
      <c r="GG10" s="18" t="n"/>
      <c r="GH10" s="18" t="n"/>
      <c r="GI10" s="18" t="n"/>
      <c r="GJ10" s="18" t="n"/>
      <c r="GK10" s="18" t="n"/>
      <c r="GL10" s="18" t="n"/>
      <c r="GM10" s="18" t="n"/>
      <c r="GN10" s="18" t="n"/>
      <c r="GO10" s="18" t="n"/>
      <c r="GP10" s="18" t="n"/>
      <c r="GQ10" s="18" t="n"/>
      <c r="GR10" s="18" t="n"/>
      <c r="GS10" s="18" t="n"/>
      <c r="GT10" s="18" t="n"/>
      <c r="GU10" s="18" t="n"/>
      <c r="GV10" s="18" t="n"/>
      <c r="GW10" s="18" t="n"/>
      <c r="GX10" s="18" t="n"/>
      <c r="GY10" s="18" t="n"/>
      <c r="GZ10" s="18" t="n"/>
      <c r="HA10" s="18" t="n"/>
      <c r="HB10" s="18" t="n"/>
      <c r="HC10" s="18" t="n"/>
      <c r="HD10" s="18" t="n"/>
      <c r="HE10" s="18" t="n"/>
      <c r="HF10" s="18" t="n"/>
      <c r="HG10" s="18" t="n"/>
      <c r="HH10" s="18" t="n"/>
      <c r="HI10" s="18" t="n"/>
      <c r="HJ10" s="18" t="n"/>
      <c r="HK10" s="18" t="n"/>
      <c r="HL10" s="18" t="n"/>
      <c r="HM10" s="18" t="n"/>
      <c r="HN10" s="18" t="n"/>
      <c r="HO10" s="18" t="n"/>
      <c r="HP10" s="18" t="n"/>
      <c r="HQ10" s="18" t="n"/>
      <c r="HR10" s="18" t="n"/>
      <c r="HS10" s="18" t="n"/>
      <c r="HT10" s="18" t="n"/>
      <c r="HU10" s="18" t="n"/>
      <c r="HV10" s="18" t="n"/>
      <c r="HW10" s="18" t="n"/>
      <c r="HX10" s="18" t="n"/>
      <c r="HY10" s="18" t="n"/>
      <c r="HZ10" s="18" t="n"/>
      <c r="IA10" s="18" t="n"/>
      <c r="IB10" s="18" t="n"/>
      <c r="IC10" s="18" t="n"/>
      <c r="ID10" s="18" t="n"/>
      <c r="IE10" s="18" t="n"/>
      <c r="IF10" s="18" t="n"/>
      <c r="IG10" s="18" t="n"/>
      <c r="IH10" s="18" t="n"/>
      <c r="II10" s="18" t="n"/>
      <c r="IJ10" s="18" t="n"/>
      <c r="IK10" s="18" t="n"/>
      <c r="IL10" s="18" t="n"/>
      <c r="IM10" s="18" t="n"/>
      <c r="IN10" s="18" t="n"/>
      <c r="IO10" s="18" t="n"/>
      <c r="IP10" s="18" t="n"/>
      <c r="IQ10" s="18" t="n"/>
      <c r="IR10" s="18" t="n"/>
      <c r="IS10" s="18" t="n"/>
      <c r="IT10" s="18" t="n"/>
      <c r="IU10" s="18" t="n"/>
      <c r="IV10" s="18" t="n"/>
      <c r="IW10" s="18" t="n"/>
      <c r="IX10" s="18" t="n"/>
      <c r="IY10" s="18" t="n"/>
    </row>
    <row r="11" ht="52.05" customHeight="1" s="88">
      <c r="A11" s="29" t="inlineStr">
        <is>
          <t>9000</t>
        </is>
      </c>
      <c r="B11" s="29" t="inlineStr">
        <is>
          <t>9000-6</t>
        </is>
      </c>
      <c r="C11" s="29" t="inlineStr">
        <is>
          <t>건축</t>
        </is>
      </c>
      <c r="D11" s="29" t="inlineStr">
        <is>
          <t>9000-6-10</t>
        </is>
      </c>
      <c r="E11" s="102" t="inlineStr">
        <is>
          <t>9000-6-7, 9000-6-8</t>
        </is>
      </c>
      <c r="F11" s="102" t="inlineStr">
        <is>
          <t>9000-6-12, 9000-6-13</t>
        </is>
      </c>
      <c r="G11" s="32" t="inlineStr">
        <is>
          <t>품질/안전 LL 공유</t>
        </is>
      </c>
      <c r="H11" s="33" t="inlineStr">
        <is>
          <t>D-50 (D-60~50)</t>
        </is>
      </c>
      <c r="I11" s="33" t="inlineStr">
        <is>
          <t>현장 품질팀, 현장 안전팀</t>
        </is>
      </c>
      <c r="J11" s="34" t="inlineStr">
        <is>
          <t>품질/안전 하자 최소화</t>
        </is>
      </c>
      <c r="K11" s="34" t="inlineStr">
        <is>
          <t>시공시 발생가능 품질, 안전 하자 최소화</t>
        </is>
      </c>
      <c r="L11" s="34" t="inlineStr">
        <is>
          <t>시공계획수립시 반영</t>
        </is>
      </c>
      <c r="M11" s="34" t="inlineStr">
        <is>
          <t>1) 품질/안전 LL 공유 (WBS 9000-4-10) 관련 시공시 발생가능 품질, 안전 하자 최소화 수칙 및 법적 이행 의무를 1:1 준수한다. 또한 KDS 41 00 00 (건축구조기준), KDS 41 17 00 (내진설계기준) 및 KCS 41 00 00 (건축공사 표준시방서) 기술기준을 100% 충족한다.
2) 품질/안전 LL 공유 달성을 위한 필수 시공 방법(시공시 발생가능 품질, 안전 하자 최소화...)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11" s="35">
        <f>HYPERLINK(LEFT(CELL("filename",A1),FIND("[",CELL("filename",A1))-1)&amp;"6.건축\10_품질_안전 LL 공유\표준서\품질_안전 LL 공유_표준서.html", "👉 [클릭] 표준서 열기 📄")</f>
        <v/>
      </c>
      <c r="O11" s="34" t="inlineStr">
        <is>
          <t>1) 품질/안전 LL 공유 (WBS 9000-4-10) 사전 건축 인허가 서식 제출(관할 지자체/소방서), 3D BIM 도서 대조 및 기계·전기·통신 4대 인터페이스 개구부를 확정한다.
2) 실무 작업방법 수칙(시공시 발생가능 품질, 안전 하자 최소화)에 따라 철근 이음/피복두께 검측, 거푸집 다짐 양생 및 현장 3대 금기 수칙(피복 미달, 무단 타설)을 완수한다.</t>
        </is>
      </c>
      <c r="P11" s="36">
        <f>HYPERLINK(LEFT(CELL("filename",A1),FIND("[",CELL("filename",A1))-1)&amp;"6.건축\10_품질_안전 LL 공유\수행지침\품질_안전 LL 공유_수행지침.html", "👉 [클릭] 수행지침 열기 📄")</f>
        <v/>
      </c>
      <c r="Q11" s="34" t="inlineStr">
        <is>
          <t>1) 건축법 제11조 및 KDS 41 00 00 건축구조기준에 따라 품질/안전 LL 공유 사전 검토를 수행하였는가? 또한 레미콘 규격(24~30MPa), 철근 시험성적서 및 방수자재 KCS 표준 품질 적격성을 검수하였는가?
2) 미검측 및 정량 시방 미달에 따른 품질/안전 LL 공유 (WBS 9000-4-10) 구조 균열/누수 하자 발생, 개구부 누락 재시공 손실 및 최종 시공계획수립시 반영 승인 반려 리스크를 전면 차단한다.</t>
        </is>
      </c>
      <c r="R11" s="37">
        <f>HYPERLINK(LEFT(CELL("filename",A1),FIND("[",CELL("filename",A1))-1)&amp;"6.건축\10_품질_안전 LL 공유\체크리스트\품질_안전 LL 공유_체크리스트.html", "👉 [클릭] 체크리스트 열기 📄")</f>
        <v/>
      </c>
      <c r="S11" s="33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8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8" t="n"/>
      <c r="EY11" s="18" t="n"/>
      <c r="EZ11" s="18" t="n"/>
      <c r="FA11" s="18" t="n"/>
      <c r="FB11" s="18" t="n"/>
      <c r="FC11" s="18" t="n"/>
      <c r="FD11" s="18" t="n"/>
      <c r="FE11" s="18" t="n"/>
      <c r="FF11" s="18" t="n"/>
      <c r="FG11" s="18" t="n"/>
      <c r="FH11" s="18" t="n"/>
      <c r="FI11" s="18" t="n"/>
      <c r="FJ11" s="18" t="n"/>
      <c r="FK11" s="18" t="n"/>
      <c r="FL11" s="18" t="n"/>
      <c r="FM11" s="18" t="n"/>
      <c r="FN11" s="18" t="n"/>
      <c r="FO11" s="18" t="n"/>
      <c r="FP11" s="18" t="n"/>
      <c r="FQ11" s="18" t="n"/>
      <c r="FR11" s="18" t="n"/>
      <c r="FS11" s="18" t="n"/>
      <c r="FT11" s="18" t="n"/>
      <c r="FU11" s="18" t="n"/>
      <c r="FV11" s="18" t="n"/>
      <c r="FW11" s="18" t="n"/>
      <c r="FX11" s="18" t="n"/>
      <c r="FY11" s="18" t="n"/>
      <c r="FZ11" s="18" t="n"/>
      <c r="GA11" s="18" t="n"/>
      <c r="GB11" s="18" t="n"/>
      <c r="GC11" s="18" t="n"/>
      <c r="GD11" s="18" t="n"/>
      <c r="GE11" s="18" t="n"/>
      <c r="GF11" s="18" t="n"/>
      <c r="GG11" s="18" t="n"/>
      <c r="GH11" s="18" t="n"/>
      <c r="GI11" s="18" t="n"/>
      <c r="GJ11" s="18" t="n"/>
      <c r="GK11" s="18" t="n"/>
      <c r="GL11" s="18" t="n"/>
      <c r="GM11" s="18" t="n"/>
      <c r="GN11" s="18" t="n"/>
      <c r="GO11" s="18" t="n"/>
      <c r="GP11" s="18" t="n"/>
      <c r="GQ11" s="18" t="n"/>
      <c r="GR11" s="18" t="n"/>
      <c r="GS11" s="18" t="n"/>
      <c r="GT11" s="18" t="n"/>
      <c r="GU11" s="18" t="n"/>
      <c r="GV11" s="18" t="n"/>
      <c r="GW11" s="18" t="n"/>
      <c r="GX11" s="18" t="n"/>
      <c r="GY11" s="18" t="n"/>
      <c r="GZ11" s="18" t="n"/>
      <c r="HA11" s="18" t="n"/>
      <c r="HB11" s="18" t="n"/>
      <c r="HC11" s="18" t="n"/>
      <c r="HD11" s="18" t="n"/>
      <c r="HE11" s="18" t="n"/>
      <c r="HF11" s="18" t="n"/>
      <c r="HG11" s="18" t="n"/>
      <c r="HH11" s="18" t="n"/>
      <c r="HI11" s="18" t="n"/>
      <c r="HJ11" s="18" t="n"/>
      <c r="HK11" s="18" t="n"/>
      <c r="HL11" s="18" t="n"/>
      <c r="HM11" s="18" t="n"/>
      <c r="HN11" s="18" t="n"/>
      <c r="HO11" s="18" t="n"/>
      <c r="HP11" s="18" t="n"/>
      <c r="HQ11" s="18" t="n"/>
      <c r="HR11" s="18" t="n"/>
      <c r="HS11" s="18" t="n"/>
      <c r="HT11" s="18" t="n"/>
      <c r="HU11" s="18" t="n"/>
      <c r="HV11" s="18" t="n"/>
      <c r="HW11" s="18" t="n"/>
      <c r="HX11" s="18" t="n"/>
      <c r="HY11" s="18" t="n"/>
      <c r="HZ11" s="18" t="n"/>
      <c r="IA11" s="18" t="n"/>
      <c r="IB11" s="18" t="n"/>
      <c r="IC11" s="18" t="n"/>
      <c r="ID11" s="18" t="n"/>
      <c r="IE11" s="18" t="n"/>
      <c r="IF11" s="18" t="n"/>
      <c r="IG11" s="18" t="n"/>
      <c r="IH11" s="18" t="n"/>
      <c r="II11" s="18" t="n"/>
      <c r="IJ11" s="18" t="n"/>
      <c r="IK11" s="18" t="n"/>
      <c r="IL11" s="18" t="n"/>
      <c r="IM11" s="18" t="n"/>
      <c r="IN11" s="18" t="n"/>
      <c r="IO11" s="18" t="n"/>
      <c r="IP11" s="18" t="n"/>
      <c r="IQ11" s="18" t="n"/>
      <c r="IR11" s="18" t="n"/>
      <c r="IS11" s="18" t="n"/>
      <c r="IT11" s="18" t="n"/>
      <c r="IU11" s="18" t="n"/>
      <c r="IV11" s="18" t="n"/>
      <c r="IW11" s="18" t="n"/>
      <c r="IX11" s="18" t="n"/>
      <c r="IY11" s="18" t="n"/>
      <c r="IZ11" s="18" t="n"/>
      <c r="JA11" s="18" t="n"/>
      <c r="JB11" s="18" t="n"/>
      <c r="JC11" s="18" t="n"/>
    </row>
    <row r="12" ht="52.05" customHeight="1" s="88">
      <c r="A12" s="19" t="inlineStr">
        <is>
          <t>9000</t>
        </is>
      </c>
      <c r="B12" s="19" t="inlineStr">
        <is>
          <t>9000-6</t>
        </is>
      </c>
      <c r="C12" s="19" t="inlineStr">
        <is>
          <t>건축</t>
        </is>
      </c>
      <c r="D12" s="19" t="inlineStr">
        <is>
          <t>9000-6-11</t>
        </is>
      </c>
      <c r="E12" s="95" t="inlineStr">
        <is>
          <t>9000-6-9</t>
        </is>
      </c>
      <c r="F12" s="95" t="inlineStr">
        <is>
          <t>9000-6-14</t>
        </is>
      </c>
      <c r="G12" s="23" t="inlineStr">
        <is>
          <t>자재공급원승인 및 자재발주</t>
        </is>
      </c>
      <c r="H12" s="21" t="inlineStr">
        <is>
          <t>D-30 (D-60~D-30)</t>
        </is>
      </c>
      <c r="I12" s="21" t="inlineStr">
        <is>
          <t>현장 공무팀</t>
        </is>
      </c>
      <c r="J12" s="24" t="inlineStr">
        <is>
          <t>공사에 필요한 자재 발주</t>
        </is>
      </c>
      <c r="K12" s="24" t="inlineStr">
        <is>
          <t>- 자재 규격 및 반입 일정 계획 수립
- 시공에 필요한 당사 지급자재에 대한 발주 요청
- 자재공급원 승인 제출 및 확인</t>
        </is>
      </c>
      <c r="L12" s="24" t="inlineStr">
        <is>
          <t>구매 의뢰 승인, 자재공급원 승인서류</t>
        </is>
      </c>
      <c r="M12" s="24" t="inlineStr">
        <is>
          <t>1) 자재공급원승인 및 자재발주 (WBS 9000-4-11) 관련 자재 규격 및 반입 일정 계획 수립 수칙 및 법적 이행 의무를 1:1 준수한다. 또한 KDS 41 00 00 (건축구조기준), KDS 41 17 00 (내진설계기준) 및 KCS 41 00 00 (건축공사 표준시방서) 기술기준을 100% 충족한다.
2) 자재공급원승인 및 자재발주 달성을 위한 필수 시공 방법(자재 규격 및 반입 일정 계획 수립 시공에 필요한 당사 지급자재에 대한 발주 요청 자재공급원 승인 제출 및 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12" s="25">
        <f>HYPERLINK(LEFT(CELL("filename",A1),FIND("[",CELL("filename",A1))-1)&amp;"6.건축\11_자재공급원승인 및 자재발주\표준서\자재공급원승인 및 자재발주_표준서.html", "👉 [클릭] 표준서 열기 📄")</f>
        <v/>
      </c>
      <c r="O12" s="24" t="inlineStr">
        <is>
          <t>1) 자재공급원승인 및 자재발주 (WBS 9000-4-11) 사전 건축 인허가 서식 제출(관할 지자체/소방서), 3D BIM 도서 대조 및 기계·전기·통신 4대 인터페이스 개구부를 확정한다.
2) 실무 작업방법 수칙(자재 규격 및 반입 일정 계획 수립 시공에 필요한 당사 지급자재에 대한 발주 요청 자재공급원 ...)에 따라 철근 이음/피복두께 검측, 거푸집 다짐 양생 및 현장 3대 금기 수칙(피복 미달, 무단 타설)을 완수한다.</t>
        </is>
      </c>
      <c r="P12" s="26">
        <f>HYPERLINK(LEFT(CELL("filename",A1),FIND("[",CELL("filename",A1))-1)&amp;"6.건축\11_자재공급원승인 및 자재발주\수행지침\자재공급원승인 및 자재발주_수행지침.html", "👉 [클릭] 수행지침 열기 📄")</f>
        <v/>
      </c>
      <c r="Q12" s="24" t="inlineStr">
        <is>
          <t>1) 건축법 제11조 및 KDS 41 00 00 건축구조기준에 따라 자재공급원승인 및 자재발주 사전 검토를 수행하였는가? 또한 레미콘 규격(24~30MPa), 철근 시험성적서 및 방수자재 KCS 표준 품질 적격성을 검수하였는가?
2) 미검측 및 정량 시방 미달에 따른 자재공급원승인 및 자재발주 (WBS 9000-4-11) 구조 균열/누수 하자 발생, 개구부 누락 재시공 손실 및 최종 구매 의뢰 승인, 자재공급원 승인서류 승인 반려 리스크를 전면 차단한다.</t>
        </is>
      </c>
      <c r="R12" s="27">
        <f>HYPERLINK(LEFT(CELL("filename",A1),FIND("[",CELL("filename",A1))-1)&amp;"6.건축\11_자재공급원승인 및 자재발주\체크리스트\자재공급원승인 및 자재발주_체크리스트.html", "👉 [클릭] 체크리스트 열기 📄")</f>
        <v/>
      </c>
      <c r="S12" s="2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8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8" t="n"/>
      <c r="EY12" s="18" t="n"/>
      <c r="EZ12" s="18" t="n"/>
      <c r="FA12" s="18" t="n"/>
      <c r="FB12" s="18" t="n"/>
      <c r="FC12" s="18" t="n"/>
      <c r="FD12" s="18" t="n"/>
      <c r="FE12" s="18" t="n"/>
      <c r="FF12" s="18" t="n"/>
      <c r="FG12" s="18" t="n"/>
      <c r="FH12" s="18" t="n"/>
      <c r="FI12" s="18" t="n"/>
      <c r="FJ12" s="18" t="n"/>
      <c r="FK12" s="18" t="n"/>
      <c r="FL12" s="18" t="n"/>
      <c r="FM12" s="18" t="n"/>
      <c r="FN12" s="18" t="n"/>
      <c r="FO12" s="18" t="n"/>
      <c r="FP12" s="18" t="n"/>
      <c r="FQ12" s="18" t="n"/>
      <c r="FR12" s="18" t="n"/>
      <c r="FS12" s="18" t="n"/>
      <c r="FT12" s="18" t="n"/>
      <c r="FU12" s="18" t="n"/>
      <c r="FV12" s="18" t="n"/>
      <c r="FW12" s="18" t="n"/>
      <c r="FX12" s="18" t="n"/>
      <c r="FY12" s="18" t="n"/>
      <c r="FZ12" s="18" t="n"/>
      <c r="GA12" s="18" t="n"/>
      <c r="GB12" s="18" t="n"/>
      <c r="GC12" s="18" t="n"/>
      <c r="GD12" s="18" t="n"/>
      <c r="GE12" s="18" t="n"/>
      <c r="GF12" s="18" t="n"/>
      <c r="GG12" s="18" t="n"/>
      <c r="GH12" s="18" t="n"/>
      <c r="GI12" s="18" t="n"/>
      <c r="GJ12" s="18" t="n"/>
      <c r="GK12" s="18" t="n"/>
      <c r="GL12" s="18" t="n"/>
      <c r="GM12" s="18" t="n"/>
      <c r="GN12" s="18" t="n"/>
      <c r="GO12" s="18" t="n"/>
      <c r="GP12" s="18" t="n"/>
      <c r="GQ12" s="18" t="n"/>
      <c r="GR12" s="18" t="n"/>
      <c r="GS12" s="18" t="n"/>
      <c r="GT12" s="18" t="n"/>
      <c r="GU12" s="18" t="n"/>
      <c r="GV12" s="18" t="n"/>
      <c r="GW12" s="18" t="n"/>
      <c r="GX12" s="18" t="n"/>
      <c r="GY12" s="18" t="n"/>
      <c r="GZ12" s="18" t="n"/>
      <c r="HA12" s="18" t="n"/>
      <c r="HB12" s="18" t="n"/>
      <c r="HC12" s="18" t="n"/>
      <c r="HD12" s="18" t="n"/>
      <c r="HE12" s="18" t="n"/>
      <c r="HF12" s="18" t="n"/>
      <c r="HG12" s="18" t="n"/>
      <c r="HH12" s="18" t="n"/>
      <c r="HI12" s="18" t="n"/>
      <c r="HJ12" s="18" t="n"/>
      <c r="HK12" s="18" t="n"/>
      <c r="HL12" s="18" t="n"/>
      <c r="HM12" s="18" t="n"/>
      <c r="HN12" s="18" t="n"/>
      <c r="HO12" s="18" t="n"/>
      <c r="HP12" s="18" t="n"/>
      <c r="HQ12" s="18" t="n"/>
      <c r="HR12" s="18" t="n"/>
      <c r="HS12" s="18" t="n"/>
      <c r="HT12" s="18" t="n"/>
      <c r="HU12" s="18" t="n"/>
      <c r="HV12" s="18" t="n"/>
      <c r="HW12" s="18" t="n"/>
      <c r="HX12" s="18" t="n"/>
      <c r="HY12" s="18" t="n"/>
      <c r="HZ12" s="18" t="n"/>
      <c r="IA12" s="18" t="n"/>
      <c r="IB12" s="18" t="n"/>
      <c r="IC12" s="18" t="n"/>
      <c r="ID12" s="18" t="n"/>
      <c r="IE12" s="18" t="n"/>
      <c r="IF12" s="18" t="n"/>
      <c r="IG12" s="18" t="n"/>
      <c r="IH12" s="18" t="n"/>
      <c r="II12" s="18" t="n"/>
      <c r="IJ12" s="18" t="n"/>
      <c r="IK12" s="18" t="n"/>
      <c r="IL12" s="18" t="n"/>
      <c r="IM12" s="18" t="n"/>
      <c r="IN12" s="18" t="n"/>
      <c r="IO12" s="18" t="n"/>
      <c r="IP12" s="18" t="n"/>
      <c r="IQ12" s="18" t="n"/>
      <c r="IR12" s="18" t="n"/>
      <c r="IS12" s="18" t="n"/>
      <c r="IT12" s="18" t="n"/>
      <c r="IU12" s="18" t="n"/>
      <c r="IV12" s="18" t="n"/>
      <c r="IW12" s="18" t="n"/>
      <c r="IX12" s="18" t="n"/>
      <c r="IY12" s="18" t="n"/>
      <c r="IZ12" s="18" t="n"/>
      <c r="JA12" s="18" t="n"/>
      <c r="JB12" s="18" t="n"/>
      <c r="JC12" s="18" t="n"/>
      <c r="JD12" s="18" t="n"/>
      <c r="JE12" s="18" t="n"/>
      <c r="JF12" s="18" t="n"/>
      <c r="JG12" s="18" t="n"/>
    </row>
    <row r="13" ht="52.05" customHeight="1" s="88">
      <c r="A13" s="29" t="inlineStr">
        <is>
          <t>9000</t>
        </is>
      </c>
      <c r="B13" s="29" t="inlineStr">
        <is>
          <t>9000-6</t>
        </is>
      </c>
      <c r="C13" s="29" t="inlineStr">
        <is>
          <t>건축</t>
        </is>
      </c>
      <c r="D13" s="29" t="inlineStr">
        <is>
          <t>9000-6-12</t>
        </is>
      </c>
      <c r="E13" s="102" t="inlineStr">
        <is>
          <t>9000-6-9, 9000-6-10</t>
        </is>
      </c>
      <c r="F13" s="102" t="inlineStr">
        <is>
          <t>9000-6-14, 9000-6-15</t>
        </is>
      </c>
      <c r="G13" s="32" t="inlineStr">
        <is>
          <t>착수전 Big Room 회의</t>
        </is>
      </c>
      <c r="H13" s="33" t="inlineStr">
        <is>
          <t>D-0 (D-30~D-0)</t>
        </is>
      </c>
      <c r="I13" s="33" t="inlineStr">
        <is>
          <t>현장소장</t>
        </is>
      </c>
      <c r="J13" s="34" t="inlineStr">
        <is>
          <t>선후행공정 지원사항 도출, 수행시 예상가능 Risk 검토 및 대책 수립</t>
        </is>
      </c>
      <c r="K13" s="34" t="inlineStr">
        <is>
          <t>본사/현장/협력사 협의체 구축 후 상세검토
- 건축인허가 사항 체크 (건축허가, 착공계제출, 소방착공신고, 정보통신 착공신고 등)
- 가설계획수립(장비이동 동선, 철근가공장, 울타리 등)
- 공종별 간섭검토: 토목/기계/시스템 인터페이스
- 진입로/자재야적장/사토장 및 토취장 운영계획
- 공사중 배수계획(임시배수로, 배수펌프 운영 등)
- 장비 투입계획, 양중장비 운영계획 검토 및 안전검사 확인
- 측량 기준점 및 공사예정 부지 확인 / 인원 및 자재 투입 계획 검토
- 건설기술진흥법에 따른 정기안전점검 대상 / 점검 계획 공유
- 공종별 Risk Hedge방안 검토 (안전/품질 Risk, 민원 대응)</t>
        </is>
      </c>
      <c r="L13" s="34" t="inlineStr">
        <is>
          <t>Big Room 회의록(참석자 전원 서명)</t>
        </is>
      </c>
      <c r="M13" s="34" t="inlineStr">
        <is>
          <t>1) 착수전 Big Room 회의 (WBS 9000-4-12) 관련 본사/현장/협력사 협의체 구축 후 상세검토 수칙 및 법적 이행 의무를 1:1 준수한다. 또한 KDS 41 00 00 (건축구조기준), KDS 41 17 00 (내진설계기준) 및 KCS 41 00 00 (건축공사 표준시방서) 기술기준을 100% 충족한다.
2) 착수전 Big Room 회의 달성을 위한 필수 시공 방법(본사/현장/협력사 협의체 구축 후 상세검토 건축인허가 사항 체크 (건축허가, 착공계제출, 소방착공신고, 정보...)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13" s="35">
        <f>HYPERLINK(LEFT(CELL("filename",A1),FIND("[",CELL("filename",A1))-1)&amp;"6.건축\12_착수전 Big Room 회의\표준서\착수전 Big Room 회의_표준서.html", "👉 [클릭] 표준서 열기 📄")</f>
        <v/>
      </c>
      <c r="O13" s="34" t="inlineStr">
        <is>
          <t>1) 착수전 Big Room 회의 (WBS 9000-4-12) 사전 건축 인허가 서식 제출(관할 지자체/소방서), 3D BIM 도서 대조 및 기계·전기·통신 4대 인터페이스 개구부를 확정한다.
2) 실무 작업방법 수칙(본사/현장/협력사 협의체 구축 후 상세검토 건축인허가 사항 체크 (건축허가, 착공계제출, 소방...)에 따라 철근 이음/피복두께 검측, 거푸집 다짐 양생 및 현장 3대 금기 수칙(피복 미달, 무단 타설)을 완수한다.</t>
        </is>
      </c>
      <c r="P13" s="36">
        <f>HYPERLINK(LEFT(CELL("filename",A1),FIND("[",CELL("filename",A1))-1)&amp;"6.건축\12_착수전 Big Room 회의\수행지침\착수전 Big Room 회의_수행지침.html", "👉 [클릭] 수행지침 열기 📄")</f>
        <v/>
      </c>
      <c r="Q13" s="34" t="inlineStr">
        <is>
          <t>1) 건축법 제11조 및 KDS 41 00 00 건축구조기준에 따라 착수전 Big Room 회의 사전 검토를 수행하였는가? 또한 레미콘 규격(24~30MPa), 철근 시험성적서 및 방수자재 KCS 표준 품질 적격성을 검수하였는가?
2) 미검측 및 정량 시방 미달에 따른 착수전 Big Room 회의 (WBS 9000-4-12) 구조 균열/누수 하자 발생, 개구부 누락 재시공 손실 및 최종 Big Room 회의록(참석자 전원 서명) 승인 반려 리스크를 전면 차단한다.</t>
        </is>
      </c>
      <c r="R13" s="37">
        <f>HYPERLINK(LEFT(CELL("filename",A1),FIND("[",CELL("filename",A1))-1)&amp;"6.건축\12_착수전 Big Room 회의\체크리스트\착수전 Big Room 회의_체크리스트.html", "👉 [클릭] 체크리스트 열기 📄")</f>
        <v/>
      </c>
      <c r="S13" s="33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Y13" s="18" t="n"/>
      <c r="DZ13" s="18" t="n"/>
      <c r="EA13" s="18" t="n"/>
      <c r="EB13" s="18" t="n"/>
      <c r="EC13" s="18" t="n"/>
      <c r="ED13" s="18" t="n"/>
      <c r="EE13" s="18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P13" s="18" t="n"/>
      <c r="EQ13" s="18" t="n"/>
      <c r="ER13" s="18" t="n"/>
      <c r="ES13" s="18" t="n"/>
      <c r="ET13" s="18" t="n"/>
      <c r="EU13" s="18" t="n"/>
      <c r="EV13" s="18" t="n"/>
      <c r="EW13" s="18" t="n"/>
      <c r="EX13" s="18" t="n"/>
      <c r="EY13" s="18" t="n"/>
      <c r="EZ13" s="18" t="n"/>
      <c r="FA13" s="18" t="n"/>
      <c r="FB13" s="18" t="n"/>
      <c r="FC13" s="18" t="n"/>
      <c r="FD13" s="18" t="n"/>
      <c r="FE13" s="18" t="n"/>
      <c r="FF13" s="18" t="n"/>
      <c r="FG13" s="18" t="n"/>
      <c r="FH13" s="18" t="n"/>
      <c r="FI13" s="18" t="n"/>
      <c r="FJ13" s="18" t="n"/>
      <c r="FK13" s="18" t="n"/>
      <c r="FL13" s="18" t="n"/>
      <c r="FM13" s="18" t="n"/>
      <c r="FN13" s="18" t="n"/>
      <c r="FO13" s="18" t="n"/>
      <c r="FP13" s="18" t="n"/>
      <c r="FQ13" s="18" t="n"/>
      <c r="FR13" s="18" t="n"/>
      <c r="FS13" s="18" t="n"/>
      <c r="FT13" s="18" t="n"/>
      <c r="FU13" s="18" t="n"/>
      <c r="FV13" s="18" t="n"/>
      <c r="FW13" s="18" t="n"/>
      <c r="FX13" s="18" t="n"/>
      <c r="FY13" s="18" t="n"/>
      <c r="FZ13" s="18" t="n"/>
      <c r="GA13" s="18" t="n"/>
      <c r="GB13" s="18" t="n"/>
      <c r="GC13" s="18" t="n"/>
      <c r="GD13" s="18" t="n"/>
      <c r="GE13" s="18" t="n"/>
      <c r="GF13" s="18" t="n"/>
      <c r="GG13" s="18" t="n"/>
      <c r="GH13" s="18" t="n"/>
      <c r="GI13" s="18" t="n"/>
      <c r="GJ13" s="18" t="n"/>
      <c r="GK13" s="18" t="n"/>
      <c r="GL13" s="18" t="n"/>
      <c r="GM13" s="18" t="n"/>
      <c r="GN13" s="18" t="n"/>
      <c r="GO13" s="18" t="n"/>
      <c r="GP13" s="18" t="n"/>
      <c r="GQ13" s="18" t="n"/>
      <c r="GR13" s="18" t="n"/>
      <c r="GS13" s="18" t="n"/>
      <c r="GT13" s="18" t="n"/>
      <c r="GU13" s="18" t="n"/>
      <c r="GV13" s="18" t="n"/>
      <c r="GW13" s="18" t="n"/>
      <c r="GX13" s="18" t="n"/>
      <c r="GY13" s="18" t="n"/>
      <c r="GZ13" s="18" t="n"/>
      <c r="HA13" s="18" t="n"/>
      <c r="HB13" s="18" t="n"/>
      <c r="HC13" s="18" t="n"/>
      <c r="HD13" s="18" t="n"/>
      <c r="HE13" s="18" t="n"/>
      <c r="HF13" s="18" t="n"/>
      <c r="HG13" s="18" t="n"/>
      <c r="HH13" s="18" t="n"/>
      <c r="HI13" s="18" t="n"/>
      <c r="HJ13" s="18" t="n"/>
      <c r="HK13" s="18" t="n"/>
      <c r="HL13" s="18" t="n"/>
      <c r="HM13" s="18" t="n"/>
      <c r="HN13" s="18" t="n"/>
      <c r="HO13" s="18" t="n"/>
      <c r="HP13" s="18" t="n"/>
      <c r="HQ13" s="18" t="n"/>
      <c r="HR13" s="18" t="n"/>
      <c r="HS13" s="18" t="n"/>
      <c r="HT13" s="18" t="n"/>
      <c r="HU13" s="18" t="n"/>
      <c r="HV13" s="18" t="n"/>
      <c r="HW13" s="18" t="n"/>
      <c r="HX13" s="18" t="n"/>
      <c r="HY13" s="18" t="n"/>
      <c r="HZ13" s="18" t="n"/>
      <c r="IA13" s="18" t="n"/>
      <c r="IB13" s="18" t="n"/>
      <c r="IC13" s="18" t="n"/>
      <c r="ID13" s="18" t="n"/>
      <c r="IE13" s="18" t="n"/>
      <c r="IF13" s="18" t="n"/>
      <c r="IG13" s="18" t="n"/>
      <c r="IH13" s="18" t="n"/>
      <c r="II13" s="18" t="n"/>
      <c r="IJ13" s="18" t="n"/>
      <c r="IK13" s="18" t="n"/>
      <c r="IL13" s="18" t="n"/>
      <c r="IM13" s="18" t="n"/>
      <c r="IN13" s="18" t="n"/>
      <c r="IO13" s="18" t="n"/>
      <c r="IP13" s="18" t="n"/>
      <c r="IQ13" s="18" t="n"/>
      <c r="IR13" s="18" t="n"/>
      <c r="IS13" s="18" t="n"/>
      <c r="IT13" s="18" t="n"/>
      <c r="IU13" s="18" t="n"/>
      <c r="IV13" s="18" t="n"/>
      <c r="IW13" s="18" t="n"/>
      <c r="IX13" s="18" t="n"/>
      <c r="IY13" s="18" t="n"/>
      <c r="IZ13" s="18" t="n"/>
      <c r="JA13" s="18" t="n"/>
      <c r="JB13" s="18" t="n"/>
      <c r="JC13" s="18" t="n"/>
      <c r="JD13" s="18" t="n"/>
      <c r="JE13" s="18" t="n"/>
      <c r="JF13" s="18" t="n"/>
      <c r="JG13" s="18" t="n"/>
      <c r="JH13" s="18" t="n"/>
      <c r="JI13" s="18" t="n"/>
      <c r="JJ13" s="18" t="n"/>
      <c r="JK13" s="18" t="n"/>
    </row>
    <row r="14" ht="52.05" customHeight="1" s="88">
      <c r="A14" s="19" t="inlineStr">
        <is>
          <t>9000</t>
        </is>
      </c>
      <c r="B14" s="19" t="inlineStr">
        <is>
          <t>9000-6</t>
        </is>
      </c>
      <c r="C14" s="19" t="inlineStr">
        <is>
          <t>건축</t>
        </is>
      </c>
      <c r="D14" s="19" t="inlineStr">
        <is>
          <t>9000-6-13</t>
        </is>
      </c>
      <c r="E14" s="95" t="inlineStr">
        <is>
          <t>9000-6-10</t>
        </is>
      </c>
      <c r="F14" s="95" t="inlineStr">
        <is>
          <t>9000-6-15</t>
        </is>
      </c>
      <c r="G14" s="23" t="inlineStr">
        <is>
          <t>시공계획 수립/승인</t>
        </is>
      </c>
      <c r="H14" s="21" t="inlineStr">
        <is>
          <t>D+1 (D-0~D+1)</t>
        </is>
      </c>
      <c r="I14" s="21" t="inlineStr">
        <is>
          <t>현장소장</t>
        </is>
      </c>
      <c r="J14" s="24" t="inlineStr">
        <is>
          <t>인력, 품질이 확보된 시공계획 수립</t>
        </is>
      </c>
      <c r="K14" s="24" t="inlineStr">
        <is>
          <t>- 공사계획: 장비/자재배치, 동선, 인원/장비/자재투입 계획, 공정표, 배수계획 등
- 안전관리: 위험요인/대책, 안전교육/시설/점검 계획 수립
- 품질관리: 품질하자 Risk 및 대책수립
- 환경관리: 소음, 분진 등 환경대책 수립</t>
        </is>
      </c>
      <c r="L14" s="24" t="inlineStr">
        <is>
          <t>(승인)관리시공계획서&amp;시공상세도</t>
        </is>
      </c>
      <c r="M14" s="24" t="inlineStr">
        <is>
          <t>1) 시공계획 수립/승인 (WBS 9000-4-13) 관련 공사계획: 장비/자재배치, 동선, 인원/장비/자재투입 계획, 공정표, 배수계획 등 수칙 및 법적 이행 의무를 1:1 준수한다. 또한 KDS 41 00 00 (건축구조기준), KDS 41 17 00 (내진설계기준) 및 KCS 41 00 00 (건축공사 표준시방서) 기술기준을 100% 충족한다.
2) 시공계획 수립/승인 달성을 위한 필수 시공 방법(공사계획: 장비/자재배치, 동선, 인원/장비/자재투입 계획, 공정표, 배수계획 등 안전관리: 위험요인/대책,...)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14" s="25">
        <f>HYPERLINK(LEFT(CELL("filename",A1),FIND("[",CELL("filename",A1))-1)&amp;"6.건축\13_시공계획 수립_승인\표준서\시공계획 수립_승인_표준서.html", "👉 [클릭] 표준서 열기 📄")</f>
        <v/>
      </c>
      <c r="O14" s="24" t="inlineStr">
        <is>
          <t>1) 시공계획 수립/승인 (WBS 9000-4-13) 사전 건축 인허가 서식 제출(관할 지자체/소방서), 3D BIM 도서 대조 및 기계·전기·통신 4대 인터페이스 개구부를 확정한다.
2) 실무 작업방법 수칙(공사계획: 장비/자재배치, 동선, 인원/장비/자재투입 계획, 공정표, 배수계획 등 안전관리: ...)에 따라 철근 이음/피복두께 검측, 거푸집 다짐 양생 및 현장 3대 금기 수칙(피복 미달, 무단 타설)을 완수한다.</t>
        </is>
      </c>
      <c r="P14" s="26">
        <f>HYPERLINK(LEFT(CELL("filename",A1),FIND("[",CELL("filename",A1))-1)&amp;"6.건축\13_시공계획 수립_승인\수행지침\시공계획 수립_승인_수행지침.html", "👉 [클릭] 수행지침 열기 📄")</f>
        <v/>
      </c>
      <c r="Q14" s="24" t="inlineStr">
        <is>
          <t>1) 건축법 제11조 및 KDS 41 00 00 건축구조기준에 따라 시공계획 수립/승인 사전 검토를 수행하였는가? 또한 레미콘 규격(24~30MPa), 철근 시험성적서 및 방수자재 KCS 표준 품질 적격성을 검수하였는가?
2) 미검측 및 정량 시방 미달에 따른 시공계획 수립/승인 (WBS 9000-4-13) 구조 균열/누수 하자 발생, 개구부 누락 재시공 손실 및 최종 (승인)관리시공계획서&amp;시공상세도 승인 반려 리스크를 전면 차단한다.</t>
        </is>
      </c>
      <c r="R14" s="27">
        <f>HYPERLINK(LEFT(CELL("filename",A1),FIND("[",CELL("filename",A1))-1)&amp;"6.건축\13_시공계획 수립_승인\체크리스트\시공계획 수립_승인_체크리스트.html", "👉 [클릭] 체크리스트 열기 📄")</f>
        <v/>
      </c>
      <c r="S14" s="2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Y14" s="18" t="n"/>
      <c r="DZ14" s="18" t="n"/>
      <c r="EA14" s="18" t="n"/>
      <c r="EB14" s="18" t="n"/>
      <c r="EC14" s="18" t="n"/>
      <c r="ED14" s="18" t="n"/>
      <c r="EE14" s="18" t="n"/>
      <c r="EF14" s="18" t="n"/>
      <c r="EG14" s="18" t="n"/>
      <c r="EH14" s="18" t="n"/>
      <c r="EI14" s="18" t="n"/>
      <c r="EJ14" s="18" t="n"/>
      <c r="EK14" s="18" t="n"/>
      <c r="EL14" s="18" t="n"/>
      <c r="EM14" s="18" t="n"/>
      <c r="EN14" s="18" t="n"/>
      <c r="EO14" s="18" t="n"/>
      <c r="EP14" s="18" t="n"/>
      <c r="EQ14" s="18" t="n"/>
      <c r="ER14" s="18" t="n"/>
      <c r="ES14" s="18" t="n"/>
      <c r="ET14" s="18" t="n"/>
      <c r="EU14" s="18" t="n"/>
      <c r="EV14" s="18" t="n"/>
      <c r="EW14" s="18" t="n"/>
      <c r="EX14" s="18" t="n"/>
      <c r="EY14" s="18" t="n"/>
      <c r="EZ14" s="18" t="n"/>
      <c r="FA14" s="18" t="n"/>
      <c r="FB14" s="18" t="n"/>
      <c r="FC14" s="18" t="n"/>
      <c r="FD14" s="18" t="n"/>
      <c r="FE14" s="18" t="n"/>
      <c r="FF14" s="18" t="n"/>
      <c r="FG14" s="18" t="n"/>
      <c r="FH14" s="18" t="n"/>
      <c r="FI14" s="18" t="n"/>
      <c r="FJ14" s="18" t="n"/>
      <c r="FK14" s="18" t="n"/>
      <c r="FL14" s="18" t="n"/>
      <c r="FM14" s="18" t="n"/>
      <c r="FN14" s="18" t="n"/>
      <c r="FO14" s="18" t="n"/>
      <c r="FP14" s="18" t="n"/>
      <c r="FQ14" s="18" t="n"/>
      <c r="FR14" s="18" t="n"/>
      <c r="FS14" s="18" t="n"/>
      <c r="FT14" s="18" t="n"/>
      <c r="FU14" s="18" t="n"/>
      <c r="FV14" s="18" t="n"/>
      <c r="FW14" s="18" t="n"/>
      <c r="FX14" s="18" t="n"/>
      <c r="FY14" s="18" t="n"/>
      <c r="FZ14" s="18" t="n"/>
      <c r="GA14" s="18" t="n"/>
      <c r="GB14" s="18" t="n"/>
      <c r="GC14" s="18" t="n"/>
      <c r="GD14" s="18" t="n"/>
      <c r="GE14" s="18" t="n"/>
      <c r="GF14" s="18" t="n"/>
      <c r="GG14" s="18" t="n"/>
      <c r="GH14" s="18" t="n"/>
      <c r="GI14" s="18" t="n"/>
      <c r="GJ14" s="18" t="n"/>
      <c r="GK14" s="18" t="n"/>
      <c r="GL14" s="18" t="n"/>
      <c r="GM14" s="18" t="n"/>
      <c r="GN14" s="18" t="n"/>
      <c r="GO14" s="18" t="n"/>
      <c r="GP14" s="18" t="n"/>
      <c r="GQ14" s="18" t="n"/>
      <c r="GR14" s="18" t="n"/>
      <c r="GS14" s="18" t="n"/>
      <c r="GT14" s="18" t="n"/>
      <c r="GU14" s="18" t="n"/>
      <c r="GV14" s="18" t="n"/>
      <c r="GW14" s="18" t="n"/>
      <c r="GX14" s="18" t="n"/>
      <c r="GY14" s="18" t="n"/>
      <c r="GZ14" s="18" t="n"/>
      <c r="HA14" s="18" t="n"/>
      <c r="HB14" s="18" t="n"/>
      <c r="HC14" s="18" t="n"/>
      <c r="HD14" s="18" t="n"/>
      <c r="HE14" s="18" t="n"/>
      <c r="HF14" s="18" t="n"/>
      <c r="HG14" s="18" t="n"/>
      <c r="HH14" s="18" t="n"/>
      <c r="HI14" s="18" t="n"/>
      <c r="HJ14" s="18" t="n"/>
      <c r="HK14" s="18" t="n"/>
      <c r="HL14" s="18" t="n"/>
      <c r="HM14" s="18" t="n"/>
      <c r="HN14" s="18" t="n"/>
      <c r="HO14" s="18" t="n"/>
      <c r="HP14" s="18" t="n"/>
      <c r="HQ14" s="18" t="n"/>
      <c r="HR14" s="18" t="n"/>
      <c r="HS14" s="18" t="n"/>
      <c r="HT14" s="18" t="n"/>
      <c r="HU14" s="18" t="n"/>
      <c r="HV14" s="18" t="n"/>
      <c r="HW14" s="18" t="n"/>
      <c r="HX14" s="18" t="n"/>
      <c r="HY14" s="18" t="n"/>
      <c r="HZ14" s="18" t="n"/>
      <c r="IA14" s="18" t="n"/>
      <c r="IB14" s="18" t="n"/>
      <c r="IC14" s="18" t="n"/>
      <c r="ID14" s="18" t="n"/>
      <c r="IE14" s="18" t="n"/>
      <c r="IF14" s="18" t="n"/>
      <c r="IG14" s="18" t="n"/>
      <c r="IH14" s="18" t="n"/>
      <c r="II14" s="18" t="n"/>
      <c r="IJ14" s="18" t="n"/>
      <c r="IK14" s="18" t="n"/>
      <c r="IL14" s="18" t="n"/>
      <c r="IM14" s="18" t="n"/>
      <c r="IN14" s="18" t="n"/>
      <c r="IO14" s="18" t="n"/>
      <c r="IP14" s="18" t="n"/>
      <c r="IQ14" s="18" t="n"/>
      <c r="IR14" s="18" t="n"/>
      <c r="IS14" s="18" t="n"/>
      <c r="IT14" s="18" t="n"/>
      <c r="IU14" s="18" t="n"/>
      <c r="IV14" s="18" t="n"/>
      <c r="IW14" s="18" t="n"/>
      <c r="IX14" s="18" t="n"/>
      <c r="IY14" s="18" t="n"/>
      <c r="IZ14" s="18" t="n"/>
      <c r="JA14" s="18" t="n"/>
      <c r="JB14" s="18" t="n"/>
      <c r="JC14" s="18" t="n"/>
      <c r="JD14" s="18" t="n"/>
      <c r="JE14" s="18" t="n"/>
      <c r="JF14" s="18" t="n"/>
      <c r="JG14" s="18" t="n"/>
      <c r="JH14" s="18" t="n"/>
      <c r="JI14" s="18" t="n"/>
      <c r="JJ14" s="18" t="n"/>
      <c r="JK14" s="18" t="n"/>
      <c r="JL14" s="18" t="n"/>
      <c r="JM14" s="18" t="n"/>
      <c r="JN14" s="18" t="n"/>
      <c r="JO14" s="18" t="n"/>
    </row>
    <row r="15" ht="52.05" customHeight="1" s="88">
      <c r="A15" s="29" t="inlineStr">
        <is>
          <t>9000</t>
        </is>
      </c>
      <c r="B15" s="29" t="inlineStr">
        <is>
          <t>9000-6</t>
        </is>
      </c>
      <c r="C15" s="29" t="inlineStr">
        <is>
          <t>건축</t>
        </is>
      </c>
      <c r="D15" s="29" t="inlineStr">
        <is>
          <t>9000-6-14</t>
        </is>
      </c>
      <c r="E15" s="102" t="inlineStr">
        <is>
          <t>9000-6-11, 9000-6-12</t>
        </is>
      </c>
      <c r="F15" s="102" t="inlineStr">
        <is>
          <t>9000-6-16, 9000-6-17</t>
        </is>
      </c>
      <c r="G15" s="32" t="inlineStr">
        <is>
          <t>측량, 자재/장비 반입, 안전교육</t>
        </is>
      </c>
      <c r="H15" s="33" t="inlineStr">
        <is>
          <t>D+15 (D+2~D+15)</t>
        </is>
      </c>
      <c r="I15" s="33" t="inlineStr">
        <is>
          <t>현장소장</t>
        </is>
      </c>
      <c r="J15" s="34" t="inlineStr">
        <is>
          <t>D-day 전에 공사 준비완료</t>
        </is>
      </c>
      <c r="K15" s="34" t="inlineStr">
        <is>
          <t>- 측량: 측량기준점 설치, 공사위치 마킹
- 자재는 지정된 야적장에 보관
- 장비 Spec확인, 장비안전검사
- 작업원 안전교육 실시</t>
        </is>
      </c>
      <c r="L15" s="34" t="inlineStr">
        <is>
          <t>측량기록지, 안전교육 결과서</t>
        </is>
      </c>
      <c r="M15" s="34" t="inlineStr">
        <is>
          <t>1) 측량, 자재/장비 반입, 안전교육 (WBS 9000-4-14) 관련 측량: 측량기준점 설치, 공사위치 마킹 수칙 및 법적 이행 의무를 1:1 준수한다. 또한 KDS 41 00 00 (건축구조기준), KDS 41 17 00 (내진설계기준) 및 KCS 41 00 00 (건축공사 표준시방서) 기술기준을 100% 충족한다.
2) 측량, 자재/장비 반입, 안전교육 달성을 위한 필수 시공 방법(측량: 측량기준점 설치, 공사위치 마킹 자재는 지정된 야적장에 보관 장비 Spec확인, 장비안전검사 작업원 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15" s="35">
        <f>HYPERLINK(LEFT(CELL("filename",A1),FIND("[",CELL("filename",A1))-1)&amp;"6.건축\14_측량, 자재_장비 반입, 안전교육\표준서\측량, 자재_장비 반입, 안전교육_표준서.html", "👉 [클릭] 표준서 열기 📄")</f>
        <v/>
      </c>
      <c r="O15" s="34" t="inlineStr">
        <is>
          <t>1) 측량, 자재/장비 반입, 안전교육 (WBS 9000-4-14) 사전 건축 인허가 서식 제출(관할 지자체/소방서), 3D BIM 도서 대조 및 기계·전기·통신 4대 인터페이스 개구부를 확정한다.
2) 실무 작업방법 수칙(측량: 측량기준점 설치, 공사위치 마킹 자재는 지정된 야적장에 보관 장비 Spec확인, 장비안...)에 따라 철근 이음/피복두께 검측, 거푸집 다짐 양생 및 현장 3대 금기 수칙(피복 미달, 무단 타설)을 완수한다.</t>
        </is>
      </c>
      <c r="P15" s="36">
        <f>HYPERLINK(LEFT(CELL("filename",A1),FIND("[",CELL("filename",A1))-1)&amp;"6.건축\14_측량, 자재_장비 반입, 안전교육\수행지침\측량, 자재_장비 반입, 안전교육_수행지침.html", "👉 [클릭] 수행지침 열기 📄")</f>
        <v/>
      </c>
      <c r="Q15" s="34" t="inlineStr">
        <is>
          <t>1) 건축법 제11조 및 KDS 41 00 00 건축구조기준에 따라 측량, 자재/장비 반입, 안전교육 사전 검토를 수행하였는가? 또한 레미콘 규격(24~30MPa), 철근 시험성적서 및 방수자재 KCS 표준 품질 적격성을 검수하였는가?
2) 미검측 및 정량 시방 미달에 따른 측량, 자재/장비 반입, 안전교육 (WBS 9000-4-14) 구조 균열/누수 하자 발생, 개구부 누락 재시공 손실 및 최종 측량기록지, 안전교육 결과서 승인 반려 리스크를 전면 차단한다.</t>
        </is>
      </c>
      <c r="R15" s="37">
        <f>HYPERLINK(LEFT(CELL("filename",A1),FIND("[",CELL("filename",A1))-1)&amp;"6.건축\14_측량, 자재_장비 반입, 안전교육\체크리스트\측량, 자재_장비 반입, 안전교육_체크리스트.html", "👉 [클릭] 체크리스트 열기 📄")</f>
        <v/>
      </c>
      <c r="S15" s="33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Y15" s="18" t="n"/>
      <c r="DZ15" s="18" t="n"/>
      <c r="EA15" s="18" t="n"/>
      <c r="EB15" s="18" t="n"/>
      <c r="EC15" s="18" t="n"/>
      <c r="ED15" s="18" t="n"/>
      <c r="EE15" s="18" t="n"/>
      <c r="EF15" s="18" t="n"/>
      <c r="EG15" s="18" t="n"/>
      <c r="EH15" s="18" t="n"/>
      <c r="EI15" s="18" t="n"/>
      <c r="EJ15" s="18" t="n"/>
      <c r="EK15" s="18" t="n"/>
      <c r="EL15" s="18" t="n"/>
      <c r="EM15" s="18" t="n"/>
      <c r="EN15" s="18" t="n"/>
      <c r="EO15" s="18" t="n"/>
      <c r="EP15" s="18" t="n"/>
      <c r="EQ15" s="18" t="n"/>
      <c r="ER15" s="18" t="n"/>
      <c r="ES15" s="18" t="n"/>
      <c r="ET15" s="18" t="n"/>
      <c r="EU15" s="18" t="n"/>
      <c r="EV15" s="18" t="n"/>
      <c r="EW15" s="18" t="n"/>
      <c r="EX15" s="18" t="n"/>
      <c r="EY15" s="18" t="n"/>
      <c r="EZ15" s="18" t="n"/>
      <c r="FA15" s="18" t="n"/>
      <c r="FB15" s="18" t="n"/>
      <c r="FC15" s="18" t="n"/>
      <c r="FD15" s="18" t="n"/>
      <c r="FE15" s="18" t="n"/>
      <c r="FF15" s="18" t="n"/>
      <c r="FG15" s="18" t="n"/>
      <c r="FH15" s="18" t="n"/>
      <c r="FI15" s="18" t="n"/>
      <c r="FJ15" s="18" t="n"/>
      <c r="FK15" s="18" t="n"/>
      <c r="FL15" s="18" t="n"/>
      <c r="FM15" s="18" t="n"/>
      <c r="FN15" s="18" t="n"/>
      <c r="FO15" s="18" t="n"/>
      <c r="FP15" s="18" t="n"/>
      <c r="FQ15" s="18" t="n"/>
      <c r="FR15" s="18" t="n"/>
      <c r="FS15" s="18" t="n"/>
      <c r="FT15" s="18" t="n"/>
      <c r="FU15" s="18" t="n"/>
      <c r="FV15" s="18" t="n"/>
      <c r="FW15" s="18" t="n"/>
      <c r="FX15" s="18" t="n"/>
      <c r="FY15" s="18" t="n"/>
      <c r="FZ15" s="18" t="n"/>
      <c r="GA15" s="18" t="n"/>
      <c r="GB15" s="18" t="n"/>
      <c r="GC15" s="18" t="n"/>
      <c r="GD15" s="18" t="n"/>
      <c r="GE15" s="18" t="n"/>
      <c r="GF15" s="18" t="n"/>
      <c r="GG15" s="18" t="n"/>
      <c r="GH15" s="18" t="n"/>
      <c r="GI15" s="18" t="n"/>
      <c r="GJ15" s="18" t="n"/>
      <c r="GK15" s="18" t="n"/>
      <c r="GL15" s="18" t="n"/>
      <c r="GM15" s="18" t="n"/>
      <c r="GN15" s="18" t="n"/>
      <c r="GO15" s="18" t="n"/>
      <c r="GP15" s="18" t="n"/>
      <c r="GQ15" s="18" t="n"/>
      <c r="GR15" s="18" t="n"/>
      <c r="GS15" s="18" t="n"/>
      <c r="GT15" s="18" t="n"/>
      <c r="GU15" s="18" t="n"/>
      <c r="GV15" s="18" t="n"/>
      <c r="GW15" s="18" t="n"/>
      <c r="GX15" s="18" t="n"/>
      <c r="GY15" s="18" t="n"/>
      <c r="GZ15" s="18" t="n"/>
      <c r="HA15" s="18" t="n"/>
      <c r="HB15" s="18" t="n"/>
      <c r="HC15" s="18" t="n"/>
      <c r="HD15" s="18" t="n"/>
      <c r="HE15" s="18" t="n"/>
      <c r="HF15" s="18" t="n"/>
      <c r="HG15" s="18" t="n"/>
      <c r="HH15" s="18" t="n"/>
      <c r="HI15" s="18" t="n"/>
      <c r="HJ15" s="18" t="n"/>
      <c r="HK15" s="18" t="n"/>
      <c r="HL15" s="18" t="n"/>
      <c r="HM15" s="18" t="n"/>
      <c r="HN15" s="18" t="n"/>
      <c r="HO15" s="18" t="n"/>
      <c r="HP15" s="18" t="n"/>
      <c r="HQ15" s="18" t="n"/>
      <c r="HR15" s="18" t="n"/>
      <c r="HS15" s="18" t="n"/>
      <c r="HT15" s="18" t="n"/>
      <c r="HU15" s="18" t="n"/>
      <c r="HV15" s="18" t="n"/>
      <c r="HW15" s="18" t="n"/>
      <c r="HX15" s="18" t="n"/>
      <c r="HY15" s="18" t="n"/>
      <c r="HZ15" s="18" t="n"/>
      <c r="IA15" s="18" t="n"/>
      <c r="IB15" s="18" t="n"/>
      <c r="IC15" s="18" t="n"/>
      <c r="ID15" s="18" t="n"/>
      <c r="IE15" s="18" t="n"/>
      <c r="IF15" s="18" t="n"/>
      <c r="IG15" s="18" t="n"/>
      <c r="IH15" s="18" t="n"/>
      <c r="II15" s="18" t="n"/>
      <c r="IJ15" s="18" t="n"/>
      <c r="IK15" s="18" t="n"/>
      <c r="IL15" s="18" t="n"/>
      <c r="IM15" s="18" t="n"/>
      <c r="IN15" s="18" t="n"/>
      <c r="IO15" s="18" t="n"/>
      <c r="IP15" s="18" t="n"/>
      <c r="IQ15" s="18" t="n"/>
      <c r="IR15" s="18" t="n"/>
      <c r="IS15" s="18" t="n"/>
      <c r="IT15" s="18" t="n"/>
      <c r="IU15" s="18" t="n"/>
      <c r="IV15" s="18" t="n"/>
      <c r="IW15" s="18" t="n"/>
      <c r="IX15" s="18" t="n"/>
      <c r="IY15" s="18" t="n"/>
      <c r="IZ15" s="18" t="n"/>
      <c r="JA15" s="18" t="n"/>
      <c r="JB15" s="18" t="n"/>
      <c r="JC15" s="18" t="n"/>
      <c r="JD15" s="18" t="n"/>
      <c r="JE15" s="18" t="n"/>
      <c r="JF15" s="18" t="n"/>
      <c r="JG15" s="18" t="n"/>
      <c r="JH15" s="18" t="n"/>
      <c r="JI15" s="18" t="n"/>
      <c r="JJ15" s="18" t="n"/>
      <c r="JK15" s="18" t="n"/>
      <c r="JL15" s="18" t="n"/>
      <c r="JM15" s="18" t="n"/>
      <c r="JN15" s="18" t="n"/>
      <c r="JO15" s="18" t="n"/>
      <c r="JP15" s="18" t="n"/>
      <c r="JQ15" s="18" t="n"/>
      <c r="JR15" s="18" t="n"/>
      <c r="JS15" s="18" t="n"/>
    </row>
    <row r="16" ht="52.05" customHeight="1" s="88">
      <c r="A16" s="19" t="inlineStr">
        <is>
          <t>9000</t>
        </is>
      </c>
      <c r="B16" s="19" t="inlineStr">
        <is>
          <t>9000-6</t>
        </is>
      </c>
      <c r="C16" s="19" t="inlineStr">
        <is>
          <t>건축</t>
        </is>
      </c>
      <c r="D16" s="19" t="inlineStr">
        <is>
          <t>9000-6-15</t>
        </is>
      </c>
      <c r="E16" s="95" t="inlineStr">
        <is>
          <t>9000-6-12, 9000-6-13</t>
        </is>
      </c>
      <c r="F16" s="95" t="inlineStr">
        <is>
          <t>9000-6-17, 9000-6-18</t>
        </is>
      </c>
      <c r="G16" s="23" t="inlineStr">
        <is>
          <t>자재 검수</t>
        </is>
      </c>
      <c r="H16" s="21" t="inlineStr">
        <is>
          <t>D+15 (D+10~D+15)</t>
        </is>
      </c>
      <c r="I16" s="21" t="inlineStr">
        <is>
          <t>현장 자재팀 / 품질팀</t>
        </is>
      </c>
      <c r="J16" s="24" t="inlineStr">
        <is>
          <t>설계/시방기준에 적합한 자재 반입</t>
        </is>
      </c>
      <c r="K16" s="24" t="inlineStr">
        <is>
          <t>- 송장과 실물 확인(규격, 성능, 수량)
- 시방기준에 따른 품질시험 실시
- 훼손, 오반입시 반출조치</t>
        </is>
      </c>
      <c r="L16" s="24" t="inlineStr">
        <is>
          <t>자재검수서, 품질시험 보고서</t>
        </is>
      </c>
      <c r="M16" s="24" t="inlineStr">
        <is>
          <t>1) 자재 검수 (WBS 9000-4-15) 관련 송장과 실물 확인(규격, 성능, 수량) 수칙 및 법적 이행 의무를 1:1 준수한다. 또한 KDS 41 00 00 (건축구조기준), KDS 41 17 00 (내진설계기준) 및 KCS 41 00 00 (건축공사 표준시방서) 기술기준을 100% 충족한다.
2) 자재 검수 달성을 위한 필수 시공 방법(송장과 실물 확인(규격, 성능, 수량) 시방기준에 따른 품질시험 실시 훼손, 오반입시 반출조치...)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16" s="25">
        <f>HYPERLINK(LEFT(CELL("filename",A1),FIND("[",CELL("filename",A1))-1)&amp;"6.건축\15_자재 검수\표준서\자재 검수_표준서.html", "👉 [클릭] 표준서 열기 📄")</f>
        <v/>
      </c>
      <c r="O16" s="24" t="inlineStr">
        <is>
          <t>1) 자재 검수 (WBS 9000-4-15) 사전 건축 인허가 서식 제출(관할 지자체/소방서), 3D BIM 도서 대조 및 기계·전기·통신 4대 인터페이스 개구부를 확정한다.
2) 실무 작업방법 수칙(송장과 실물 확인(규격, 성능, 수량) 시방기준에 따른 품질시험 실시 훼손, 오반입시 반출조치)에 따라 철근 이음/피복두께 검측, 거푸집 다짐 양생 및 현장 3대 금기 수칙(피복 미달, 무단 타설)을 완수한다.</t>
        </is>
      </c>
      <c r="P16" s="26">
        <f>HYPERLINK(LEFT(CELL("filename",A1),FIND("[",CELL("filename",A1))-1)&amp;"6.건축\15_자재 검수\수행지침\자재 검수_수행지침.html", "👉 [클릭] 수행지침 열기 📄")</f>
        <v/>
      </c>
      <c r="Q16" s="24" t="inlineStr">
        <is>
          <t>1) 건축법 제11조 및 KDS 41 00 00 건축구조기준에 따라 자재 검수 사전 검토를 수행하였는가? 또한 레미콘 규격(24~30MPa), 철근 시험성적서 및 방수자재 KCS 표준 품질 적격성을 검수하였는가?
2) 미검측 및 정량 시방 미달에 따른 자재 검수 (WBS 9000-4-15) 구조 균열/누수 하자 발생, 개구부 누락 재시공 손실 및 최종 자재검수서, 품질시험 보고서 승인 반려 리스크를 전면 차단한다.</t>
        </is>
      </c>
      <c r="R16" s="27">
        <f>HYPERLINK(LEFT(CELL("filename",A1),FIND("[",CELL("filename",A1))-1)&amp;"6.건축\15_자재 검수\체크리스트\자재 검수_체크리스트.html", "👉 [클릭] 체크리스트 열기 📄")</f>
        <v/>
      </c>
      <c r="S16" s="2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8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8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8" t="n"/>
      <c r="FT16" s="18" t="n"/>
      <c r="FU16" s="18" t="n"/>
      <c r="FV16" s="18" t="n"/>
      <c r="FW16" s="18" t="n"/>
      <c r="FX16" s="18" t="n"/>
      <c r="FY16" s="18" t="n"/>
      <c r="FZ16" s="18" t="n"/>
      <c r="GA16" s="18" t="n"/>
      <c r="GB16" s="18" t="n"/>
      <c r="GC16" s="18" t="n"/>
      <c r="GD16" s="18" t="n"/>
      <c r="GE16" s="18" t="n"/>
      <c r="GF16" s="18" t="n"/>
      <c r="GG16" s="18" t="n"/>
      <c r="GH16" s="18" t="n"/>
      <c r="GI16" s="18" t="n"/>
      <c r="GJ16" s="18" t="n"/>
      <c r="GK16" s="18" t="n"/>
      <c r="GL16" s="18" t="n"/>
      <c r="GM16" s="18" t="n"/>
      <c r="GN16" s="18" t="n"/>
      <c r="GO16" s="18" t="n"/>
      <c r="GP16" s="18" t="n"/>
      <c r="GQ16" s="18" t="n"/>
      <c r="GR16" s="18" t="n"/>
      <c r="GS16" s="18" t="n"/>
      <c r="GT16" s="18" t="n"/>
      <c r="GU16" s="18" t="n"/>
      <c r="GV16" s="18" t="n"/>
      <c r="GW16" s="18" t="n"/>
      <c r="GX16" s="18" t="n"/>
      <c r="GY16" s="18" t="n"/>
      <c r="GZ16" s="18" t="n"/>
      <c r="HA16" s="18" t="n"/>
      <c r="HB16" s="18" t="n"/>
      <c r="HC16" s="18" t="n"/>
      <c r="HD16" s="18" t="n"/>
      <c r="HE16" s="18" t="n"/>
      <c r="HF16" s="18" t="n"/>
      <c r="HG16" s="18" t="n"/>
      <c r="HH16" s="18" t="n"/>
      <c r="HI16" s="18" t="n"/>
      <c r="HJ16" s="18" t="n"/>
      <c r="HK16" s="18" t="n"/>
      <c r="HL16" s="18" t="n"/>
      <c r="HM16" s="18" t="n"/>
      <c r="HN16" s="18" t="n"/>
      <c r="HO16" s="18" t="n"/>
      <c r="HP16" s="18" t="n"/>
      <c r="HQ16" s="18" t="n"/>
      <c r="HR16" s="18" t="n"/>
      <c r="HS16" s="18" t="n"/>
      <c r="HT16" s="18" t="n"/>
      <c r="HU16" s="18" t="n"/>
      <c r="HV16" s="18" t="n"/>
      <c r="HW16" s="18" t="n"/>
      <c r="HX16" s="18" t="n"/>
      <c r="HY16" s="18" t="n"/>
      <c r="HZ16" s="18" t="n"/>
      <c r="IA16" s="18" t="n"/>
      <c r="IB16" s="18" t="n"/>
      <c r="IC16" s="18" t="n"/>
      <c r="ID16" s="18" t="n"/>
      <c r="IE16" s="18" t="n"/>
      <c r="IF16" s="18" t="n"/>
      <c r="IG16" s="18" t="n"/>
      <c r="IH16" s="18" t="n"/>
      <c r="II16" s="18" t="n"/>
      <c r="IJ16" s="18" t="n"/>
      <c r="IK16" s="18" t="n"/>
      <c r="IL16" s="18" t="n"/>
      <c r="IM16" s="18" t="n"/>
      <c r="IN16" s="18" t="n"/>
      <c r="IO16" s="18" t="n"/>
      <c r="IP16" s="18" t="n"/>
      <c r="IQ16" s="18" t="n"/>
      <c r="IR16" s="18" t="n"/>
      <c r="IS16" s="18" t="n"/>
      <c r="IT16" s="18" t="n"/>
      <c r="IU16" s="18" t="n"/>
      <c r="IV16" s="18" t="n"/>
      <c r="IW16" s="18" t="n"/>
      <c r="IX16" s="18" t="n"/>
      <c r="IY16" s="18" t="n"/>
      <c r="IZ16" s="18" t="n"/>
      <c r="JA16" s="18" t="n"/>
      <c r="JB16" s="18" t="n"/>
      <c r="JC16" s="18" t="n"/>
      <c r="JD16" s="18" t="n"/>
      <c r="JE16" s="18" t="n"/>
      <c r="JF16" s="18" t="n"/>
      <c r="JG16" s="18" t="n"/>
      <c r="JH16" s="18" t="n"/>
      <c r="JI16" s="18" t="n"/>
      <c r="JJ16" s="18" t="n"/>
      <c r="JK16" s="18" t="n"/>
      <c r="JL16" s="18" t="n"/>
      <c r="JM16" s="18" t="n"/>
      <c r="JN16" s="18" t="n"/>
      <c r="JO16" s="18" t="n"/>
      <c r="JP16" s="18" t="n"/>
      <c r="JQ16" s="18" t="n"/>
      <c r="JR16" s="18" t="n"/>
      <c r="JS16" s="18" t="n"/>
      <c r="JT16" s="18" t="n"/>
      <c r="JU16" s="18" t="n"/>
      <c r="JV16" s="18" t="n"/>
      <c r="JW16" s="18" t="n"/>
    </row>
    <row r="17" ht="52.05" customHeight="1" s="88">
      <c r="A17" s="29" t="inlineStr">
        <is>
          <t>9000</t>
        </is>
      </c>
      <c r="B17" s="29" t="inlineStr">
        <is>
          <t>9000-6</t>
        </is>
      </c>
      <c r="C17" s="29" t="inlineStr">
        <is>
          <t>건축</t>
        </is>
      </c>
      <c r="D17" s="29" t="inlineStr">
        <is>
          <t>9000-6-16</t>
        </is>
      </c>
      <c r="E17" s="102" t="inlineStr">
        <is>
          <t>9000-6-14</t>
        </is>
      </c>
      <c r="F17" s="102" t="inlineStr">
        <is>
          <t>9000-6-19</t>
        </is>
      </c>
      <c r="G17" s="32" t="inlineStr">
        <is>
          <t>터파기/지반 정리</t>
        </is>
      </c>
      <c r="H17" s="33" t="inlineStr">
        <is>
          <t>D+16 (D+16~D+16)</t>
        </is>
      </c>
      <c r="I17" s="33" t="inlineStr">
        <is>
          <t>현장소장</t>
        </is>
      </c>
      <c r="J17" s="34" t="inlineStr">
        <is>
          <t>구조물 시공을 위한 바닥 확보</t>
        </is>
      </c>
      <c r="K17" s="34" t="inlineStr">
        <is>
          <t>측량을 통한 계획Level, 위치 확인, 바닥 지지력 시험</t>
        </is>
      </c>
      <c r="L17" s="34" t="inlineStr">
        <is>
          <t>측량 성과, 지지력시험성과 보고서</t>
        </is>
      </c>
      <c r="M17" s="34" t="inlineStr">
        <is>
          <t>1) 터파기/지반 정리 (WBS 9000-4-16) 관련 측량을 통한 계획Level, 위치 확인, 바닥 지지력 시험 수칙 및 법적 이행 의무를 1:1 준수한다. 또한 KDS 41 00 00 (건축구조기준), KDS 41 17 00 (내진설계기준) 및 KCS 41 00 00 (건축공사 표준시방서) 기술기준을 100% 충족한다.
2) 터파기/지반 정리 달성을 위한 필수 시공 방법(측량을 통한 계획Level, 위치 확인, 바닥 지지력 시험...)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17" s="35">
        <f>HYPERLINK(LEFT(CELL("filename",A1),FIND("[",CELL("filename",A1))-1)&amp;"6.건축\16_터파기_지반 정리\표준서\터파기_지반 정리_표준서.html", "👉 [클릭] 표준서 열기 📄")</f>
        <v/>
      </c>
      <c r="O17" s="34" t="inlineStr">
        <is>
          <t>1) 터파기/지반 정리 (WBS 9000-4-16) 사전 건축 인허가 서식 제출(관할 지자체/소방서), 3D BIM 도서 대조 및 기계·전기·통신 4대 인터페이스 개구부를 확정한다.
2) 실무 작업방법 수칙(측량을 통한 계획Level, 위치 확인, 바닥 지지력 시험)에 따라 철근 이음/피복두께 검측, 거푸집 다짐 양생 및 현장 3대 금기 수칙(피복 미달, 무단 타설)을 완수한다.</t>
        </is>
      </c>
      <c r="P17" s="36">
        <f>HYPERLINK(LEFT(CELL("filename",A1),FIND("[",CELL("filename",A1))-1)&amp;"6.건축\16_터파기_지반 정리\수행지침\터파기_지반 정리_수행지침.html", "👉 [클릭] 수행지침 열기 📄")</f>
        <v/>
      </c>
      <c r="Q17" s="34" t="inlineStr">
        <is>
          <t>1) 건축법 제11조 및 KDS 41 00 00 건축구조기준에 따라 터파기/지반 정리 사전 검토를 수행하였는가? 또한 레미콘 규격(24~30MPa), 철근 시험성적서 및 방수자재 KCS 표준 품질 적격성을 검수하였는가?
2) 미검측 및 정량 시방 미달에 따른 터파기/지반 정리 (WBS 9000-4-16) 구조 균열/누수 하자 발생, 개구부 누락 재시공 손실 및 최종 측량 성과, 지지력시험성과 보고서 승인 반려 리스크를 전면 차단한다.</t>
        </is>
      </c>
      <c r="R17" s="37">
        <f>HYPERLINK(LEFT(CELL("filename",A1),FIND("[",CELL("filename",A1))-1)&amp;"6.건축\16_터파기_지반 정리\체크리스트\터파기_지반 정리_체크리스트.html", "👉 [클릭] 체크리스트 열기 📄")</f>
        <v/>
      </c>
      <c r="S17" s="33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8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8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8" t="n"/>
      <c r="FT17" s="18" t="n"/>
      <c r="FU17" s="18" t="n"/>
      <c r="FV17" s="18" t="n"/>
      <c r="FW17" s="18" t="n"/>
      <c r="FX17" s="18" t="n"/>
      <c r="FY17" s="18" t="n"/>
      <c r="FZ17" s="18" t="n"/>
      <c r="GA17" s="18" t="n"/>
      <c r="GB17" s="18" t="n"/>
      <c r="GC17" s="18" t="n"/>
      <c r="GD17" s="18" t="n"/>
      <c r="GE17" s="18" t="n"/>
      <c r="GF17" s="18" t="n"/>
      <c r="GG17" s="18" t="n"/>
      <c r="GH17" s="18" t="n"/>
      <c r="GI17" s="18" t="n"/>
      <c r="GJ17" s="18" t="n"/>
      <c r="GK17" s="18" t="n"/>
      <c r="GL17" s="18" t="n"/>
      <c r="GM17" s="18" t="n"/>
      <c r="GN17" s="18" t="n"/>
      <c r="GO17" s="18" t="n"/>
      <c r="GP17" s="18" t="n"/>
      <c r="GQ17" s="18" t="n"/>
      <c r="GR17" s="18" t="n"/>
      <c r="GS17" s="18" t="n"/>
      <c r="GT17" s="18" t="n"/>
      <c r="GU17" s="18" t="n"/>
      <c r="GV17" s="18" t="n"/>
      <c r="GW17" s="18" t="n"/>
      <c r="GX17" s="18" t="n"/>
      <c r="GY17" s="18" t="n"/>
      <c r="GZ17" s="18" t="n"/>
      <c r="HA17" s="18" t="n"/>
      <c r="HB17" s="18" t="n"/>
      <c r="HC17" s="18" t="n"/>
      <c r="HD17" s="18" t="n"/>
      <c r="HE17" s="18" t="n"/>
      <c r="HF17" s="18" t="n"/>
      <c r="HG17" s="18" t="n"/>
      <c r="HH17" s="18" t="n"/>
      <c r="HI17" s="18" t="n"/>
      <c r="HJ17" s="18" t="n"/>
      <c r="HK17" s="18" t="n"/>
      <c r="HL17" s="18" t="n"/>
      <c r="HM17" s="18" t="n"/>
      <c r="HN17" s="18" t="n"/>
      <c r="HO17" s="18" t="n"/>
      <c r="HP17" s="18" t="n"/>
      <c r="HQ17" s="18" t="n"/>
      <c r="HR17" s="18" t="n"/>
      <c r="HS17" s="18" t="n"/>
      <c r="HT17" s="18" t="n"/>
      <c r="HU17" s="18" t="n"/>
      <c r="HV17" s="18" t="n"/>
      <c r="HW17" s="18" t="n"/>
      <c r="HX17" s="18" t="n"/>
      <c r="HY17" s="18" t="n"/>
      <c r="HZ17" s="18" t="n"/>
      <c r="IA17" s="18" t="n"/>
      <c r="IB17" s="18" t="n"/>
      <c r="IC17" s="18" t="n"/>
      <c r="ID17" s="18" t="n"/>
      <c r="IE17" s="18" t="n"/>
      <c r="IF17" s="18" t="n"/>
      <c r="IG17" s="18" t="n"/>
      <c r="IH17" s="18" t="n"/>
      <c r="II17" s="18" t="n"/>
      <c r="IJ17" s="18" t="n"/>
      <c r="IK17" s="18" t="n"/>
      <c r="IL17" s="18" t="n"/>
      <c r="IM17" s="18" t="n"/>
      <c r="IN17" s="18" t="n"/>
      <c r="IO17" s="18" t="n"/>
      <c r="IP17" s="18" t="n"/>
      <c r="IQ17" s="18" t="n"/>
      <c r="IR17" s="18" t="n"/>
      <c r="IS17" s="18" t="n"/>
      <c r="IT17" s="18" t="n"/>
      <c r="IU17" s="18" t="n"/>
      <c r="IV17" s="18" t="n"/>
      <c r="IW17" s="18" t="n"/>
      <c r="IX17" s="18" t="n"/>
      <c r="IY17" s="18" t="n"/>
      <c r="IZ17" s="18" t="n"/>
      <c r="JA17" s="18" t="n"/>
      <c r="JB17" s="18" t="n"/>
      <c r="JC17" s="18" t="n"/>
      <c r="JD17" s="18" t="n"/>
      <c r="JE17" s="18" t="n"/>
      <c r="JF17" s="18" t="n"/>
      <c r="JG17" s="18" t="n"/>
      <c r="JH17" s="18" t="n"/>
      <c r="JI17" s="18" t="n"/>
      <c r="JJ17" s="18" t="n"/>
      <c r="JK17" s="18" t="n"/>
      <c r="JL17" s="18" t="n"/>
      <c r="JM17" s="18" t="n"/>
      <c r="JN17" s="18" t="n"/>
      <c r="JO17" s="18" t="n"/>
      <c r="JP17" s="18" t="n"/>
      <c r="JQ17" s="18" t="n"/>
      <c r="JR17" s="18" t="n"/>
      <c r="JS17" s="18" t="n"/>
      <c r="JT17" s="18" t="n"/>
      <c r="JU17" s="18" t="n"/>
      <c r="JV17" s="18" t="n"/>
      <c r="JW17" s="18" t="n"/>
      <c r="JX17" s="18" t="n"/>
      <c r="JY17" s="18" t="n"/>
      <c r="JZ17" s="18" t="n"/>
      <c r="KA17" s="18" t="n"/>
    </row>
    <row r="18" ht="52.05" customHeight="1" s="88">
      <c r="A18" s="19" t="inlineStr">
        <is>
          <t>9000</t>
        </is>
      </c>
      <c r="B18" s="19" t="inlineStr">
        <is>
          <t>9000-6</t>
        </is>
      </c>
      <c r="C18" s="19" t="inlineStr">
        <is>
          <t>건축</t>
        </is>
      </c>
      <c r="D18" s="19" t="inlineStr">
        <is>
          <t>9000-6-17</t>
        </is>
      </c>
      <c r="E18" s="95" t="inlineStr">
        <is>
          <t>9000-6-14, 9000-6-15</t>
        </is>
      </c>
      <c r="F18" s="95" t="inlineStr">
        <is>
          <t>9000-6-19, 9000-6-20</t>
        </is>
      </c>
      <c r="G18" s="23" t="inlineStr">
        <is>
          <t>바닥(버림) 콘크리트 타설</t>
        </is>
      </c>
      <c r="H18" s="21" t="inlineStr">
        <is>
          <t>D+30 (D+17~D+30)</t>
        </is>
      </c>
      <c r="I18" s="21" t="inlineStr">
        <is>
          <t>현장소장</t>
        </is>
      </c>
      <c r="J18" s="24" t="inlineStr">
        <is>
          <t>철근을 깔 수 있는 평탄한 바닥확보</t>
        </is>
      </c>
      <c r="K18" s="24" t="inlineStr">
        <is>
          <t>도면에 따라 거푸집 조립, 버림con't타설, 양생, 거푸집 해체/정리</t>
        </is>
      </c>
      <c r="L18" s="24" t="inlineStr">
        <is>
          <t>검측서</t>
        </is>
      </c>
      <c r="M18" s="24" t="inlineStr">
        <is>
          <t>1) 바닥(버림) 콘크리트 타설 (WBS 9000-4-17) 관련 도면에 따라 거푸집 조립, 버림con't타설, 양생, 거푸집 해체/정리 수칙 및 법적 이행 의무를 1:1 준수한다. 또한 KDS 41 00 00 (건축구조기준), KDS 41 17 00 (내진설계기준) 및 KCS 41 00 00 (건축공사 표준시방서) 기술기준을 100% 충족한다.
2) 바닥(버림) 콘크리트 타설 달성을 위한 필수 시공 방법(도면에 따라 거푸집 조립, 버림con't타설, 양생, 거푸집 해체/정리...)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18" s="25">
        <f>HYPERLINK(LEFT(CELL("filename",A1),FIND("[",CELL("filename",A1))-1)&amp;"6.건축\17_바닥(버림) 콘크리트 타설\표준서\바닥(버림) 콘크리트 타설_표준서.html", "👉 [클릭] 표준서 열기 📄")</f>
        <v/>
      </c>
      <c r="O18" s="24" t="inlineStr">
        <is>
          <t>1) 바닥(버림) 콘크리트 타설 (WBS 9000-4-17) 사전 건축 인허가 서식 제출(관할 지자체/소방서), 3D BIM 도서 대조 및 기계·전기·통신 4대 인터페이스 개구부를 확정한다.
2) 실무 작업방법 수칙(도면에 따라 거푸집 조립, 버림con't타설, 양생, 거푸집 해체/정리)에 따라 철근 이음/피복두께 검측, 거푸집 다짐 양생 및 현장 3대 금기 수칙(피복 미달, 무단 타설)을 완수한다.</t>
        </is>
      </c>
      <c r="P18" s="26">
        <f>HYPERLINK(LEFT(CELL("filename",A1),FIND("[",CELL("filename",A1))-1)&amp;"6.건축\17_바닥(버림) 콘크리트 타설\수행지침\바닥(버림) 콘크리트 타설_수행지침.html", "👉 [클릭] 수행지침 열기 📄")</f>
        <v/>
      </c>
      <c r="Q18" s="24" t="inlineStr">
        <is>
          <t>1) 건축법 제11조 및 KDS 41 00 00 건축구조기준에 따라 바닥(버림) 콘크리트 타설 사전 검토를 수행하였는가? 또한 레미콘 규격(24~30MPa), 철근 시험성적서 및 방수자재 KCS 표준 품질 적격성을 검수하였는가?
2) 미검측 및 정량 시방 미달에 따른 바닥(버림) 콘크리트 타설 (WBS 9000-4-17) 구조 균열/누수 하자 발생, 개구부 누락 재시공 손실 및 최종 검측서 승인 반려 리스크를 전면 차단한다.</t>
        </is>
      </c>
      <c r="R18" s="27">
        <f>HYPERLINK(LEFT(CELL("filename",A1),FIND("[",CELL("filename",A1))-1)&amp;"6.건축\17_바닥(버림) 콘크리트 타설\체크리스트\바닥(버림) 콘크리트 타설_체크리스트.html", "👉 [클릭] 체크리스트 열기 📄")</f>
        <v/>
      </c>
      <c r="S18" s="2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8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8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8" t="n"/>
      <c r="FT18" s="18" t="n"/>
      <c r="FU18" s="18" t="n"/>
      <c r="FV18" s="18" t="n"/>
      <c r="FW18" s="18" t="n"/>
      <c r="FX18" s="18" t="n"/>
      <c r="FY18" s="18" t="n"/>
      <c r="FZ18" s="18" t="n"/>
      <c r="GA18" s="18" t="n"/>
      <c r="GB18" s="18" t="n"/>
      <c r="GC18" s="18" t="n"/>
      <c r="GD18" s="18" t="n"/>
      <c r="GE18" s="18" t="n"/>
      <c r="GF18" s="18" t="n"/>
      <c r="GG18" s="18" t="n"/>
      <c r="GH18" s="18" t="n"/>
      <c r="GI18" s="18" t="n"/>
      <c r="GJ18" s="18" t="n"/>
      <c r="GK18" s="18" t="n"/>
      <c r="GL18" s="18" t="n"/>
      <c r="GM18" s="18" t="n"/>
      <c r="GN18" s="18" t="n"/>
      <c r="GO18" s="18" t="n"/>
      <c r="GP18" s="18" t="n"/>
      <c r="GQ18" s="18" t="n"/>
      <c r="GR18" s="18" t="n"/>
      <c r="GS18" s="18" t="n"/>
      <c r="GT18" s="18" t="n"/>
      <c r="GU18" s="18" t="n"/>
      <c r="GV18" s="18" t="n"/>
      <c r="GW18" s="18" t="n"/>
      <c r="GX18" s="18" t="n"/>
      <c r="GY18" s="18" t="n"/>
      <c r="GZ18" s="18" t="n"/>
      <c r="HA18" s="18" t="n"/>
      <c r="HB18" s="18" t="n"/>
      <c r="HC18" s="18" t="n"/>
      <c r="HD18" s="18" t="n"/>
      <c r="HE18" s="18" t="n"/>
      <c r="HF18" s="18" t="n"/>
      <c r="HG18" s="18" t="n"/>
      <c r="HH18" s="18" t="n"/>
      <c r="HI18" s="18" t="n"/>
      <c r="HJ18" s="18" t="n"/>
      <c r="HK18" s="18" t="n"/>
      <c r="HL18" s="18" t="n"/>
      <c r="HM18" s="18" t="n"/>
      <c r="HN18" s="18" t="n"/>
      <c r="HO18" s="18" t="n"/>
      <c r="HP18" s="18" t="n"/>
      <c r="HQ18" s="18" t="n"/>
      <c r="HR18" s="18" t="n"/>
      <c r="HS18" s="18" t="n"/>
      <c r="HT18" s="18" t="n"/>
      <c r="HU18" s="18" t="n"/>
      <c r="HV18" s="18" t="n"/>
      <c r="HW18" s="18" t="n"/>
      <c r="HX18" s="18" t="n"/>
      <c r="HY18" s="18" t="n"/>
      <c r="HZ18" s="18" t="n"/>
      <c r="IA18" s="18" t="n"/>
      <c r="IB18" s="18" t="n"/>
      <c r="IC18" s="18" t="n"/>
      <c r="ID18" s="18" t="n"/>
      <c r="IE18" s="18" t="n"/>
      <c r="IF18" s="18" t="n"/>
      <c r="IG18" s="18" t="n"/>
      <c r="IH18" s="18" t="n"/>
      <c r="II18" s="18" t="n"/>
      <c r="IJ18" s="18" t="n"/>
      <c r="IK18" s="18" t="n"/>
      <c r="IL18" s="18" t="n"/>
      <c r="IM18" s="18" t="n"/>
      <c r="IN18" s="18" t="n"/>
      <c r="IO18" s="18" t="n"/>
      <c r="IP18" s="18" t="n"/>
      <c r="IQ18" s="18" t="n"/>
      <c r="IR18" s="18" t="n"/>
      <c r="IS18" s="18" t="n"/>
      <c r="IT18" s="18" t="n"/>
      <c r="IU18" s="18" t="n"/>
      <c r="IV18" s="18" t="n"/>
      <c r="IW18" s="18" t="n"/>
      <c r="IX18" s="18" t="n"/>
      <c r="IY18" s="18" t="n"/>
      <c r="IZ18" s="18" t="n"/>
      <c r="JA18" s="18" t="n"/>
      <c r="JB18" s="18" t="n"/>
      <c r="JC18" s="18" t="n"/>
      <c r="JD18" s="18" t="n"/>
      <c r="JE18" s="18" t="n"/>
      <c r="JF18" s="18" t="n"/>
      <c r="JG18" s="18" t="n"/>
      <c r="JH18" s="18" t="n"/>
      <c r="JI18" s="18" t="n"/>
      <c r="JJ18" s="18" t="n"/>
      <c r="JK18" s="18" t="n"/>
      <c r="JL18" s="18" t="n"/>
      <c r="JM18" s="18" t="n"/>
      <c r="JN18" s="18" t="n"/>
      <c r="JO18" s="18" t="n"/>
      <c r="JP18" s="18" t="n"/>
      <c r="JQ18" s="18" t="n"/>
      <c r="JR18" s="18" t="n"/>
      <c r="JS18" s="18" t="n"/>
      <c r="JT18" s="18" t="n"/>
      <c r="JU18" s="18" t="n"/>
      <c r="JV18" s="18" t="n"/>
      <c r="JW18" s="18" t="n"/>
      <c r="JX18" s="18" t="n"/>
      <c r="JY18" s="18" t="n"/>
      <c r="JZ18" s="18" t="n"/>
      <c r="KA18" s="18" t="n"/>
      <c r="KB18" s="18" t="n"/>
      <c r="KC18" s="18" t="n"/>
      <c r="KD18" s="18" t="n"/>
      <c r="KE18" s="18" t="n"/>
    </row>
    <row r="19" ht="52.05" customHeight="1" s="88">
      <c r="A19" s="29" t="inlineStr">
        <is>
          <t>9000</t>
        </is>
      </c>
      <c r="B19" s="29" t="inlineStr">
        <is>
          <t>9000-6</t>
        </is>
      </c>
      <c r="C19" s="29" t="inlineStr">
        <is>
          <t>건축</t>
        </is>
      </c>
      <c r="D19" s="29" t="inlineStr">
        <is>
          <t>9000-6-18</t>
        </is>
      </c>
      <c r="E19" s="102" t="inlineStr">
        <is>
          <t>9000-6-15</t>
        </is>
      </c>
      <c r="F19" s="102" t="inlineStr">
        <is>
          <t>9000-6-20</t>
        </is>
      </c>
      <c r="G19" s="32" t="inlineStr">
        <is>
          <t>인터페이스 회의(매주)</t>
        </is>
      </c>
      <c r="H19" s="33" t="inlineStr">
        <is>
          <t>D+35 (D+31~D+35)</t>
        </is>
      </c>
      <c r="I19" s="33" t="inlineStr">
        <is>
          <t>현장소장</t>
        </is>
      </c>
      <c r="J19" s="34" t="inlineStr">
        <is>
          <t>건축 구조물공사 中, 건축 마감공사 中 인터페이스 협의를 통한 재시공 최소화</t>
        </is>
      </c>
      <c r="K19" s="34" t="inlineStr">
        <is>
          <t>시공중 지속적인 인터페이스(기계, 전기, 통신 등) 회의를 통하여 시공전 계획했던 대로 원활한 선후행공정 시공진행</t>
        </is>
      </c>
      <c r="L19" s="34" t="inlineStr">
        <is>
          <t>인터페이스 회의록</t>
        </is>
      </c>
      <c r="M19" s="34" t="inlineStr">
        <is>
          <t>1) 인터페이스 회의(매주) (WBS 9000-4-18) 관련 시공중 지속적인 인터페이스(기계, 전기, 통신 등) 회의를 통하여 시공전 계획했던 대로 원활한 선후행공정 시공진행 수칙 및 법적 이행 의무를 1:1 준수한다. 또한 KDS 41 00 00 (건축구조기준), KDS 41 17 00 (내진설계기준) 및 KCS 41 00 00 (건축공사 표준시방서) 기술기준을 100% 충족한다.
2) 인터페이스 회의(매주) 달성을 위한 필수 시공 방법(시공중 지속적인 인터페이스(기계, 전기, 통신 등) 회의를 통하여 시공전 계획했던 대로 원활한 선후행공정 시...)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19" s="35">
        <f>HYPERLINK(LEFT(CELL("filename",A1),FIND("[",CELL("filename",A1))-1)&amp;"6.건축\18_인터페이스 회의(매주)\표준서\인터페이스 회의(매주)_표준서.html", "👉 [클릭] 표준서 열기 📄")</f>
        <v/>
      </c>
      <c r="O19" s="34" t="inlineStr">
        <is>
          <t>1) 인터페이스 회의(매주) (WBS 9000-4-18) 사전 건축 인허가 서식 제출(관할 지자체/소방서), 3D BIM 도서 대조 및 기계·전기·통신 4대 인터페이스 개구부를 확정한다.
2) 실무 작업방법 수칙(시공중 지속적인 인터페이스(기계, 전기, 통신 등) 회의를 통하여 시공전 계획했던 대로 원활한...)에 따라 철근 이음/피복두께 검측, 거푸집 다짐 양생 및 현장 3대 금기 수칙(피복 미달, 무단 타설)을 완수한다.</t>
        </is>
      </c>
      <c r="P19" s="36">
        <f>HYPERLINK(LEFT(CELL("filename",A1),FIND("[",CELL("filename",A1))-1)&amp;"6.건축\18_인터페이스 회의(매주)\수행지침\인터페이스 회의(매주)_수행지침.html", "👉 [클릭] 수행지침 열기 📄")</f>
        <v/>
      </c>
      <c r="Q19" s="34" t="inlineStr">
        <is>
          <t>1) 건축법 제11조 및 KDS 41 00 00 건축구조기준에 따라 인터페이스 회의(매주) 사전 검토를 수행하였는가? 또한 레미콘 규격(24~30MPa), 철근 시험성적서 및 방수자재 KCS 표준 품질 적격성을 검수하였는가?
2) 미검측 및 정량 시방 미달에 따른 인터페이스 회의(매주) (WBS 9000-4-18) 구조 균열/누수 하자 발생, 개구부 누락 재시공 손실 및 최종 인터페이스 회의록 승인 반려 리스크를 전면 차단한다.</t>
        </is>
      </c>
      <c r="R19" s="37">
        <f>HYPERLINK(LEFT(CELL("filename",A1),FIND("[",CELL("filename",A1))-1)&amp;"6.건축\18_인터페이스 회의(매주)\체크리스트\인터페이스 회의(매주)_체크리스트.html", "👉 [클릭] 체크리스트 열기 📄")</f>
        <v/>
      </c>
      <c r="S19" s="33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Y19" s="18" t="n"/>
      <c r="DZ19" s="18" t="n"/>
      <c r="EA19" s="18" t="n"/>
      <c r="EB19" s="18" t="n"/>
      <c r="EC19" s="18" t="n"/>
      <c r="ED19" s="18" t="n"/>
      <c r="EE19" s="18" t="n"/>
      <c r="EF19" s="18" t="n"/>
      <c r="EG19" s="18" t="n"/>
      <c r="EH19" s="18" t="n"/>
      <c r="EI19" s="18" t="n"/>
      <c r="EJ19" s="18" t="n"/>
      <c r="EK19" s="18" t="n"/>
      <c r="EL19" s="18" t="n"/>
      <c r="EM19" s="18" t="n"/>
      <c r="EN19" s="18" t="n"/>
      <c r="EO19" s="18" t="n"/>
      <c r="EP19" s="18" t="n"/>
      <c r="EQ19" s="18" t="n"/>
      <c r="ER19" s="18" t="n"/>
      <c r="ES19" s="18" t="n"/>
      <c r="ET19" s="18" t="n"/>
      <c r="EU19" s="18" t="n"/>
      <c r="EV19" s="18" t="n"/>
      <c r="EW19" s="18" t="n"/>
      <c r="EX19" s="18" t="n"/>
      <c r="EY19" s="18" t="n"/>
      <c r="EZ19" s="18" t="n"/>
      <c r="FA19" s="18" t="n"/>
      <c r="FB19" s="18" t="n"/>
      <c r="FC19" s="18" t="n"/>
      <c r="FD19" s="18" t="n"/>
      <c r="FE19" s="18" t="n"/>
      <c r="FF19" s="18" t="n"/>
      <c r="FG19" s="18" t="n"/>
      <c r="FH19" s="18" t="n"/>
      <c r="FI19" s="18" t="n"/>
      <c r="FJ19" s="18" t="n"/>
      <c r="FK19" s="18" t="n"/>
      <c r="FL19" s="18" t="n"/>
      <c r="FM19" s="18" t="n"/>
      <c r="FN19" s="18" t="n"/>
      <c r="FO19" s="18" t="n"/>
      <c r="FP19" s="18" t="n"/>
      <c r="FQ19" s="18" t="n"/>
      <c r="FR19" s="18" t="n"/>
      <c r="FS19" s="18" t="n"/>
      <c r="FT19" s="18" t="n"/>
      <c r="FU19" s="18" t="n"/>
      <c r="FV19" s="18" t="n"/>
      <c r="FW19" s="18" t="n"/>
      <c r="FX19" s="18" t="n"/>
      <c r="FY19" s="18" t="n"/>
      <c r="FZ19" s="18" t="n"/>
      <c r="GA19" s="18" t="n"/>
      <c r="GB19" s="18" t="n"/>
      <c r="GC19" s="18" t="n"/>
      <c r="GD19" s="18" t="n"/>
      <c r="GE19" s="18" t="n"/>
      <c r="GF19" s="18" t="n"/>
      <c r="GG19" s="18" t="n"/>
      <c r="GH19" s="18" t="n"/>
      <c r="GI19" s="18" t="n"/>
      <c r="GJ19" s="18" t="n"/>
      <c r="GK19" s="18" t="n"/>
      <c r="GL19" s="18" t="n"/>
      <c r="GM19" s="18" t="n"/>
      <c r="GN19" s="18" t="n"/>
      <c r="GO19" s="18" t="n"/>
      <c r="GP19" s="18" t="n"/>
      <c r="GQ19" s="18" t="n"/>
      <c r="GR19" s="18" t="n"/>
      <c r="GS19" s="18" t="n"/>
      <c r="GT19" s="18" t="n"/>
      <c r="GU19" s="18" t="n"/>
      <c r="GV19" s="18" t="n"/>
      <c r="GW19" s="18" t="n"/>
      <c r="GX19" s="18" t="n"/>
      <c r="GY19" s="18" t="n"/>
      <c r="GZ19" s="18" t="n"/>
      <c r="HA19" s="18" t="n"/>
      <c r="HB19" s="18" t="n"/>
      <c r="HC19" s="18" t="n"/>
      <c r="HD19" s="18" t="n"/>
      <c r="HE19" s="18" t="n"/>
      <c r="HF19" s="18" t="n"/>
      <c r="HG19" s="18" t="n"/>
      <c r="HH19" s="18" t="n"/>
      <c r="HI19" s="18" t="n"/>
      <c r="HJ19" s="18" t="n"/>
      <c r="HK19" s="18" t="n"/>
      <c r="HL19" s="18" t="n"/>
      <c r="HM19" s="18" t="n"/>
      <c r="HN19" s="18" t="n"/>
      <c r="HO19" s="18" t="n"/>
      <c r="HP19" s="18" t="n"/>
      <c r="HQ19" s="18" t="n"/>
      <c r="HR19" s="18" t="n"/>
      <c r="HS19" s="18" t="n"/>
      <c r="HT19" s="18" t="n"/>
      <c r="HU19" s="18" t="n"/>
      <c r="HV19" s="18" t="n"/>
      <c r="HW19" s="18" t="n"/>
      <c r="HX19" s="18" t="n"/>
      <c r="HY19" s="18" t="n"/>
      <c r="HZ19" s="18" t="n"/>
      <c r="IA19" s="18" t="n"/>
      <c r="IB19" s="18" t="n"/>
      <c r="IC19" s="18" t="n"/>
      <c r="ID19" s="18" t="n"/>
      <c r="IE19" s="18" t="n"/>
      <c r="IF19" s="18" t="n"/>
      <c r="IG19" s="18" t="n"/>
      <c r="IH19" s="18" t="n"/>
      <c r="II19" s="18" t="n"/>
      <c r="IJ19" s="18" t="n"/>
      <c r="IK19" s="18" t="n"/>
      <c r="IL19" s="18" t="n"/>
      <c r="IM19" s="18" t="n"/>
      <c r="IN19" s="18" t="n"/>
      <c r="IO19" s="18" t="n"/>
      <c r="IP19" s="18" t="n"/>
      <c r="IQ19" s="18" t="n"/>
      <c r="IR19" s="18" t="n"/>
      <c r="IS19" s="18" t="n"/>
      <c r="IT19" s="18" t="n"/>
      <c r="IU19" s="18" t="n"/>
      <c r="IV19" s="18" t="n"/>
      <c r="IW19" s="18" t="n"/>
      <c r="IX19" s="18" t="n"/>
      <c r="IY19" s="18" t="n"/>
      <c r="IZ19" s="18" t="n"/>
      <c r="JA19" s="18" t="n"/>
      <c r="JB19" s="18" t="n"/>
      <c r="JC19" s="18" t="n"/>
      <c r="JD19" s="18" t="n"/>
      <c r="JE19" s="18" t="n"/>
      <c r="JF19" s="18" t="n"/>
      <c r="JG19" s="18" t="n"/>
      <c r="JH19" s="18" t="n"/>
      <c r="JI19" s="18" t="n"/>
      <c r="JJ19" s="18" t="n"/>
      <c r="JK19" s="18" t="n"/>
      <c r="JL19" s="18" t="n"/>
      <c r="JM19" s="18" t="n"/>
      <c r="JN19" s="18" t="n"/>
      <c r="JO19" s="18" t="n"/>
      <c r="JP19" s="18" t="n"/>
      <c r="JQ19" s="18" t="n"/>
      <c r="JR19" s="18" t="n"/>
      <c r="JS19" s="18" t="n"/>
      <c r="JT19" s="18" t="n"/>
      <c r="JU19" s="18" t="n"/>
      <c r="JV19" s="18" t="n"/>
      <c r="JW19" s="18" t="n"/>
      <c r="JX19" s="18" t="n"/>
      <c r="JY19" s="18" t="n"/>
      <c r="JZ19" s="18" t="n"/>
      <c r="KA19" s="18" t="n"/>
      <c r="KB19" s="18" t="n"/>
      <c r="KC19" s="18" t="n"/>
      <c r="KD19" s="18" t="n"/>
      <c r="KE19" s="18" t="n"/>
      <c r="KF19" s="18" t="n"/>
      <c r="KG19" s="18" t="n"/>
      <c r="KH19" s="18" t="n"/>
      <c r="KI19" s="18" t="n"/>
    </row>
    <row r="20" ht="52.05" customHeight="1" s="88">
      <c r="A20" s="19" t="inlineStr">
        <is>
          <t>9000</t>
        </is>
      </c>
      <c r="B20" s="19" t="inlineStr">
        <is>
          <t>9000-6</t>
        </is>
      </c>
      <c r="C20" s="19" t="inlineStr">
        <is>
          <t>건축</t>
        </is>
      </c>
      <c r="D20" s="19" t="inlineStr">
        <is>
          <t>9000-6-19</t>
        </is>
      </c>
      <c r="E20" s="95" t="inlineStr">
        <is>
          <t>9000-6-16, 9000-6-17</t>
        </is>
      </c>
      <c r="F20" s="95" t="inlineStr">
        <is>
          <t>9000-6-21, 9000-6-22</t>
        </is>
      </c>
      <c r="G20" s="23" t="inlineStr">
        <is>
          <t>인터페이스 각 공종별 Issue (기계, 전기, 통신분야)</t>
        </is>
      </c>
      <c r="H20" s="21" t="inlineStr">
        <is>
          <t>D+50 (D+36~D+50)</t>
        </is>
      </c>
      <c r="I20" s="21" t="inlineStr">
        <is>
          <t>현장소장</t>
        </is>
      </c>
      <c r="J20" s="24" t="inlineStr">
        <is>
          <t>구조물 내,외부 인입공사 사전 인터페이스 회의를 통한 공사간섭 및 Rework방지</t>
        </is>
      </c>
      <c r="K20" s="24" t="inlineStr">
        <is>
          <t>각 해당공종(건축, 기계, 전기) 도면과 건축도면을 비교 및 현장여건 검토를 통한 시공방법 결정, 각종 필증 및 허가관련에 따른 우선순위 시공순서 결정</t>
        </is>
      </c>
      <c r="L20" s="24" t="inlineStr">
        <is>
          <t>인터페이스 회의록</t>
        </is>
      </c>
      <c r="M20" s="24" t="inlineStr">
        <is>
          <t>1) 인터페이스 각 공종별 Issue (기계, 전기, 통신분야) (WBS 9000-4-19) 관련 각 해당공종(건축, 기계, 전기) 도면과 건축도면을 비교 및 현장여건 검토를 통한 시공방법 결정, 각종 필증 및 허가관련에 따른 우선순위 시공순서 결정 수칙 및 법적 이행 의무를 1:1 준수한다. 또한 KDS 41 00 00 (건축구조기준), KDS 41 17 00 (내진설계기준) 및 KCS 41 00 00 (건축공사 표준시방서) 기술기준을 100% 충족한다.
2) 인터페이스 각 공종별 Issue (기계, 전기, 통신분야) 달성을 위한 필수 시공 방법(각 해당공종(건축, 기계, 전기) 도면과 건축도면을 비교 및 현장여건 검토를 통한 시공방법 결정, 각종 필증...)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20" s="25">
        <f>HYPERLINK(LEFT(CELL("filename",A1),FIND("[",CELL("filename",A1))-1)&amp;"6.건축\19_인터페이스 각 공종별 Issue (기계, 전기, 통신분야)\표준서\인터페이스 각 공종별 Issue (기계, 전기, 통신분야)_표준서.html", "👉 [클릭] 표준서 열기 📄")</f>
        <v/>
      </c>
      <c r="O20" s="24" t="inlineStr">
        <is>
          <t>1) 인터페이스 각 공종별 Issue (기계, 전기, 통신분야) (WBS 9000-4-19) 사전 건축 인허가 서식 제출(관할 지자체/소방서), 3D BIM 도서 대조 및 기계·전기·통신 4대 인터페이스 개구부를 확정한다.
2) 실무 작업방법 수칙(각 해당공종(건축, 기계, 전기) 도면과 건축도면을 비교 및 현장여건 검토를 통한 시공방법 결...)에 따라 철근 이음/피복두께 검측, 거푸집 다짐 양생 및 현장 3대 금기 수칙(피복 미달, 무단 타설)을 완수한다.</t>
        </is>
      </c>
      <c r="P20" s="26">
        <f>HYPERLINK(LEFT(CELL("filename",A1),FIND("[",CELL("filename",A1))-1)&amp;"6.건축\19_인터페이스 각 공종별 Issue (기계, 전기, 통신분야)\수행지침\인터페이스 각 공종별 Issue (기계, 전기, 통신분야)_수행지침.html", "👉 [클릭] 수행지침 열기 📄")</f>
        <v/>
      </c>
      <c r="Q20" s="24" t="inlineStr">
        <is>
          <t>1) 건축법 제11조 및 KDS 41 00 00 건축구조기준에 따라 인터페이스 각 공종별 Issue (기계, 전기, 통신분야) 사전 검토를 수행하였는가? 또한 레미콘 규격(24~30MPa), 철근 시험성적서 및 방수자재 KCS 표준 품질 적격성을 검수하였는가?
2) 미검측 및 정량 시방 미달에 따른 인터페이스 각 공종별 Issue (기계, 전기, 통신분야) (WBS 9000-4-19) 구조 균열/누수 하자 발생, 개구부 누락 재시공 손실 및 최종 인터페이스 회의록 승인 반려 리스크를 전면 차단한다.</t>
        </is>
      </c>
      <c r="R20" s="27">
        <f>HYPERLINK(LEFT(CELL("filename",A1),FIND("[",CELL("filename",A1))-1)&amp;"6.건축\19_인터페이스 각 공종별 Issue (기계, 전기, 통신분야)\체크리스트\인터페이스 각 공종별 Issue (기계, 전기, 통신분야)_체크리스트.html", "👉 [클릭] 체크리스트 열기 📄")</f>
        <v/>
      </c>
      <c r="S20" s="2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Y20" s="18" t="n"/>
      <c r="DZ20" s="18" t="n"/>
      <c r="EA20" s="18" t="n"/>
      <c r="EB20" s="18" t="n"/>
      <c r="EC20" s="18" t="n"/>
      <c r="ED20" s="18" t="n"/>
      <c r="EE20" s="18" t="n"/>
      <c r="EF20" s="18" t="n"/>
      <c r="EG20" s="18" t="n"/>
      <c r="EH20" s="18" t="n"/>
      <c r="EI20" s="18" t="n"/>
      <c r="EJ20" s="18" t="n"/>
      <c r="EK20" s="18" t="n"/>
      <c r="EL20" s="18" t="n"/>
      <c r="EM20" s="18" t="n"/>
      <c r="EN20" s="18" t="n"/>
      <c r="EO20" s="18" t="n"/>
      <c r="EP20" s="18" t="n"/>
      <c r="EQ20" s="18" t="n"/>
      <c r="ER20" s="18" t="n"/>
      <c r="ES20" s="18" t="n"/>
      <c r="ET20" s="18" t="n"/>
      <c r="EU20" s="18" t="n"/>
      <c r="EV20" s="18" t="n"/>
      <c r="EW20" s="18" t="n"/>
      <c r="EX20" s="18" t="n"/>
      <c r="EY20" s="18" t="n"/>
      <c r="EZ20" s="18" t="n"/>
      <c r="FA20" s="18" t="n"/>
      <c r="FB20" s="18" t="n"/>
      <c r="FC20" s="18" t="n"/>
      <c r="FD20" s="18" t="n"/>
      <c r="FE20" s="18" t="n"/>
      <c r="FF20" s="18" t="n"/>
      <c r="FG20" s="18" t="n"/>
      <c r="FH20" s="18" t="n"/>
      <c r="FI20" s="18" t="n"/>
      <c r="FJ20" s="18" t="n"/>
      <c r="FK20" s="18" t="n"/>
      <c r="FL20" s="18" t="n"/>
      <c r="FM20" s="18" t="n"/>
      <c r="FN20" s="18" t="n"/>
      <c r="FO20" s="18" t="n"/>
      <c r="FP20" s="18" t="n"/>
      <c r="FQ20" s="18" t="n"/>
      <c r="FR20" s="18" t="n"/>
      <c r="FS20" s="18" t="n"/>
      <c r="FT20" s="18" t="n"/>
      <c r="FU20" s="18" t="n"/>
      <c r="FV20" s="18" t="n"/>
      <c r="FW20" s="18" t="n"/>
      <c r="FX20" s="18" t="n"/>
      <c r="FY20" s="18" t="n"/>
      <c r="FZ20" s="18" t="n"/>
      <c r="GA20" s="18" t="n"/>
      <c r="GB20" s="18" t="n"/>
      <c r="GC20" s="18" t="n"/>
      <c r="GD20" s="18" t="n"/>
      <c r="GE20" s="18" t="n"/>
      <c r="GF20" s="18" t="n"/>
      <c r="GG20" s="18" t="n"/>
      <c r="GH20" s="18" t="n"/>
      <c r="GI20" s="18" t="n"/>
      <c r="GJ20" s="18" t="n"/>
      <c r="GK20" s="18" t="n"/>
      <c r="GL20" s="18" t="n"/>
      <c r="GM20" s="18" t="n"/>
      <c r="GN20" s="18" t="n"/>
      <c r="GO20" s="18" t="n"/>
      <c r="GP20" s="18" t="n"/>
      <c r="GQ20" s="18" t="n"/>
      <c r="GR20" s="18" t="n"/>
      <c r="GS20" s="18" t="n"/>
      <c r="GT20" s="18" t="n"/>
      <c r="GU20" s="18" t="n"/>
      <c r="GV20" s="18" t="n"/>
      <c r="GW20" s="18" t="n"/>
      <c r="GX20" s="18" t="n"/>
      <c r="GY20" s="18" t="n"/>
      <c r="GZ20" s="18" t="n"/>
      <c r="HA20" s="18" t="n"/>
      <c r="HB20" s="18" t="n"/>
      <c r="HC20" s="18" t="n"/>
      <c r="HD20" s="18" t="n"/>
      <c r="HE20" s="18" t="n"/>
      <c r="HF20" s="18" t="n"/>
      <c r="HG20" s="18" t="n"/>
      <c r="HH20" s="18" t="n"/>
      <c r="HI20" s="18" t="n"/>
      <c r="HJ20" s="18" t="n"/>
      <c r="HK20" s="18" t="n"/>
      <c r="HL20" s="18" t="n"/>
      <c r="HM20" s="18" t="n"/>
      <c r="HN20" s="18" t="n"/>
      <c r="HO20" s="18" t="n"/>
      <c r="HP20" s="18" t="n"/>
      <c r="HQ20" s="18" t="n"/>
      <c r="HR20" s="18" t="n"/>
      <c r="HS20" s="18" t="n"/>
      <c r="HT20" s="18" t="n"/>
      <c r="HU20" s="18" t="n"/>
      <c r="HV20" s="18" t="n"/>
      <c r="HW20" s="18" t="n"/>
      <c r="HX20" s="18" t="n"/>
      <c r="HY20" s="18" t="n"/>
      <c r="HZ20" s="18" t="n"/>
      <c r="IA20" s="18" t="n"/>
      <c r="IB20" s="18" t="n"/>
      <c r="IC20" s="18" t="n"/>
      <c r="ID20" s="18" t="n"/>
      <c r="IE20" s="18" t="n"/>
      <c r="IF20" s="18" t="n"/>
      <c r="IG20" s="18" t="n"/>
      <c r="IH20" s="18" t="n"/>
      <c r="II20" s="18" t="n"/>
      <c r="IJ20" s="18" t="n"/>
      <c r="IK20" s="18" t="n"/>
      <c r="IL20" s="18" t="n"/>
      <c r="IM20" s="18" t="n"/>
      <c r="IN20" s="18" t="n"/>
      <c r="IO20" s="18" t="n"/>
      <c r="IP20" s="18" t="n"/>
      <c r="IQ20" s="18" t="n"/>
      <c r="IR20" s="18" t="n"/>
      <c r="IS20" s="18" t="n"/>
      <c r="IT20" s="18" t="n"/>
      <c r="IU20" s="18" t="n"/>
      <c r="IV20" s="18" t="n"/>
      <c r="IW20" s="18" t="n"/>
      <c r="IX20" s="18" t="n"/>
      <c r="IY20" s="18" t="n"/>
      <c r="IZ20" s="18" t="n"/>
      <c r="JA20" s="18" t="n"/>
      <c r="JB20" s="18" t="n"/>
      <c r="JC20" s="18" t="n"/>
      <c r="JD20" s="18" t="n"/>
      <c r="JE20" s="18" t="n"/>
      <c r="JF20" s="18" t="n"/>
      <c r="JG20" s="18" t="n"/>
      <c r="JH20" s="18" t="n"/>
      <c r="JI20" s="18" t="n"/>
      <c r="JJ20" s="18" t="n"/>
      <c r="JK20" s="18" t="n"/>
      <c r="JL20" s="18" t="n"/>
      <c r="JM20" s="18" t="n"/>
      <c r="JN20" s="18" t="n"/>
      <c r="JO20" s="18" t="n"/>
      <c r="JP20" s="18" t="n"/>
      <c r="JQ20" s="18" t="n"/>
      <c r="JR20" s="18" t="n"/>
      <c r="JS20" s="18" t="n"/>
      <c r="JT20" s="18" t="n"/>
      <c r="JU20" s="18" t="n"/>
      <c r="JV20" s="18" t="n"/>
      <c r="JW20" s="18" t="n"/>
      <c r="JX20" s="18" t="n"/>
      <c r="JY20" s="18" t="n"/>
      <c r="JZ20" s="18" t="n"/>
      <c r="KA20" s="18" t="n"/>
      <c r="KB20" s="18" t="n"/>
      <c r="KC20" s="18" t="n"/>
      <c r="KD20" s="18" t="n"/>
      <c r="KE20" s="18" t="n"/>
      <c r="KF20" s="18" t="n"/>
      <c r="KG20" s="18" t="n"/>
      <c r="KH20" s="18" t="n"/>
      <c r="KI20" s="18" t="n"/>
      <c r="KJ20" s="18" t="n"/>
      <c r="KK20" s="18" t="n"/>
      <c r="KL20" s="18" t="n"/>
      <c r="KM20" s="18" t="n"/>
    </row>
    <row r="21" ht="52.05" customHeight="1" s="88">
      <c r="A21" s="29" t="inlineStr">
        <is>
          <t>9000</t>
        </is>
      </c>
      <c r="B21" s="29" t="inlineStr">
        <is>
          <t>9000-6</t>
        </is>
      </c>
      <c r="C21" s="29" t="inlineStr">
        <is>
          <t>건축</t>
        </is>
      </c>
      <c r="D21" s="29" t="inlineStr">
        <is>
          <t>9000-6-20</t>
        </is>
      </c>
      <c r="E21" s="102" t="inlineStr">
        <is>
          <t>9000-6-17, 9000-6-18</t>
        </is>
      </c>
      <c r="F21" s="102" t="inlineStr">
        <is>
          <t>9000-6-22, 9000-6-23</t>
        </is>
      </c>
      <c r="G21" s="32" t="inlineStr">
        <is>
          <t>인터페이스 각 공종별 Issue (토목분야)</t>
        </is>
      </c>
      <c r="H21" s="33" t="inlineStr">
        <is>
          <t>D+63 (D-60~D+63)</t>
        </is>
      </c>
      <c r="I21" s="33" t="inlineStr">
        <is>
          <t>현장소장</t>
        </is>
      </c>
      <c r="J21" s="34" t="inlineStr">
        <is>
          <t>건축공사와 토목공사 간섭 예방, 업무 Scope확인을 통한 설계/시공Gray zone제거</t>
        </is>
      </c>
      <c r="K21" s="34" t="inlineStr">
        <is>
          <t>구조물별 외부 배수 설계와 같은 현장 여건을 구성이 되었는지 확인</t>
        </is>
      </c>
      <c r="L21" s="34" t="inlineStr">
        <is>
          <t>회의록</t>
        </is>
      </c>
      <c r="M21" s="34" t="inlineStr">
        <is>
          <t>1) 인터페이스 각 공종별 Issue (토목분야) (WBS 9000-4-20) 관련 구조물별 외부 배수 설계와 같은 현장 여건을 구성이 되었는지 확인 수칙 및 법적 이행 의무를 1:1 준수한다. 또한 KDS 41 00 00 (건축구조기준), KDS 41 17 00 (내진설계기준) 및 KCS 41 00 00 (건축공사 표준시방서) 기술기준을 100% 충족한다.
2) 인터페이스 각 공종별 Issue (토목분야) 달성을 위한 필수 시공 방법(구조물별 외부 배수 설계와 같은 현장 여건을 구성이 되었는지 확인...)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21" s="35">
        <f>HYPERLINK(LEFT(CELL("filename",A1),FIND("[",CELL("filename",A1))-1)&amp;"6.건축\20_인터페이스 각 공종별 Issue (토목분야)\표준서\인터페이스 각 공종별 Issue (토목분야)_표준서.html", "👉 [클릭] 표준서 열기 📄")</f>
        <v/>
      </c>
      <c r="O21" s="34" t="inlineStr">
        <is>
          <t>1) 인터페이스 각 공종별 Issue (토목분야) (WBS 9000-4-20) 사전 건축 인허가 서식 제출(관할 지자체/소방서), 3D BIM 도서 대조 및 기계·전기·통신 4대 인터페이스 개구부를 확정한다.
2) 실무 작업방법 수칙(구조물별 외부 배수 설계와 같은 현장 여건을 구성이 되었는지 확인)에 따라 철근 이음/피복두께 검측, 거푸집 다짐 양생 및 현장 3대 금기 수칙(피복 미달, 무단 타설)을 완수한다.</t>
        </is>
      </c>
      <c r="P21" s="36">
        <f>HYPERLINK(LEFT(CELL("filename",A1),FIND("[",CELL("filename",A1))-1)&amp;"6.건축\20_인터페이스 각 공종별 Issue (토목분야)\수행지침\인터페이스 각 공종별 Issue (토목분야)_수행지침.html", "👉 [클릭] 수행지침 열기 📄")</f>
        <v/>
      </c>
      <c r="Q21" s="34" t="inlineStr">
        <is>
          <t>1) 건축법 제11조 및 KDS 41 00 00 건축구조기준에 따라 인터페이스 각 공종별 Issue (토목분야) 사전 검토를 수행하였는가? 또한 레미콘 규격(24~30MPa), 철근 시험성적서 및 방수자재 KCS 표준 품질 적격성을 검수하였는가?
2) 미검측 및 정량 시방 미달에 따른 인터페이스 각 공종별 Issue (토목분야) (WBS 9000-4-20) 구조 균열/누수 하자 발생, 개구부 누락 재시공 손실 및 최종 회의록 승인 반려 리스크를 전면 차단한다.</t>
        </is>
      </c>
      <c r="R21" s="37">
        <f>HYPERLINK(LEFT(CELL("filename",A1),FIND("[",CELL("filename",A1))-1)&amp;"6.건축\20_인터페이스 각 공종별 Issue (토목분야)\체크리스트\인터페이스 각 공종별 Issue (토목분야)_체크리스트.html", "👉 [클릭] 체크리스트 열기 📄")</f>
        <v/>
      </c>
      <c r="S21" s="33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8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8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8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18" t="n"/>
      <c r="GI21" s="18" t="n"/>
      <c r="GJ21" s="18" t="n"/>
      <c r="GK21" s="18" t="n"/>
      <c r="GL21" s="18" t="n"/>
      <c r="GM21" s="18" t="n"/>
      <c r="GN21" s="18" t="n"/>
      <c r="GO21" s="18" t="n"/>
      <c r="GP21" s="18" t="n"/>
      <c r="GQ21" s="18" t="n"/>
      <c r="GR21" s="18" t="n"/>
      <c r="GS21" s="18" t="n"/>
      <c r="GT21" s="18" t="n"/>
      <c r="GU21" s="18" t="n"/>
      <c r="GV21" s="18" t="n"/>
      <c r="GW21" s="18" t="n"/>
      <c r="GX21" s="18" t="n"/>
      <c r="GY21" s="18" t="n"/>
      <c r="GZ21" s="18" t="n"/>
      <c r="HA21" s="18" t="n"/>
      <c r="HB21" s="18" t="n"/>
      <c r="HC21" s="18" t="n"/>
      <c r="HD21" s="18" t="n"/>
      <c r="HE21" s="18" t="n"/>
      <c r="HF21" s="18" t="n"/>
      <c r="HG21" s="18" t="n"/>
      <c r="HH21" s="18" t="n"/>
      <c r="HI21" s="18" t="n"/>
      <c r="HJ21" s="18" t="n"/>
      <c r="HK21" s="18" t="n"/>
      <c r="HL21" s="18" t="n"/>
      <c r="HM21" s="18" t="n"/>
      <c r="HN21" s="18" t="n"/>
      <c r="HO21" s="18" t="n"/>
      <c r="HP21" s="18" t="n"/>
      <c r="HQ21" s="18" t="n"/>
      <c r="HR21" s="18" t="n"/>
      <c r="HS21" s="18" t="n"/>
      <c r="HT21" s="18" t="n"/>
      <c r="HU21" s="18" t="n"/>
      <c r="HV21" s="18" t="n"/>
      <c r="HW21" s="18" t="n"/>
      <c r="HX21" s="18" t="n"/>
      <c r="HY21" s="18" t="n"/>
      <c r="HZ21" s="18" t="n"/>
      <c r="IA21" s="18" t="n"/>
      <c r="IB21" s="18" t="n"/>
      <c r="IC21" s="18" t="n"/>
      <c r="ID21" s="18" t="n"/>
      <c r="IE21" s="18" t="n"/>
      <c r="IF21" s="18" t="n"/>
      <c r="IG21" s="18" t="n"/>
      <c r="IH21" s="18" t="n"/>
      <c r="II21" s="18" t="n"/>
      <c r="IJ21" s="18" t="n"/>
      <c r="IK21" s="18" t="n"/>
      <c r="IL21" s="18" t="n"/>
      <c r="IM21" s="18" t="n"/>
      <c r="IN21" s="18" t="n"/>
      <c r="IO21" s="18" t="n"/>
      <c r="IP21" s="18" t="n"/>
      <c r="IQ21" s="18" t="n"/>
      <c r="IR21" s="18" t="n"/>
      <c r="IS21" s="18" t="n"/>
      <c r="IT21" s="18" t="n"/>
      <c r="IU21" s="18" t="n"/>
      <c r="IV21" s="18" t="n"/>
      <c r="IW21" s="18" t="n"/>
      <c r="IX21" s="18" t="n"/>
      <c r="IY21" s="18" t="n"/>
      <c r="IZ21" s="18" t="n"/>
      <c r="JA21" s="18" t="n"/>
      <c r="JB21" s="18" t="n"/>
      <c r="JC21" s="18" t="n"/>
      <c r="JD21" s="18" t="n"/>
      <c r="JE21" s="18" t="n"/>
      <c r="JF21" s="18" t="n"/>
      <c r="JG21" s="18" t="n"/>
      <c r="JH21" s="18" t="n"/>
      <c r="JI21" s="18" t="n"/>
      <c r="JJ21" s="18" t="n"/>
      <c r="JK21" s="18" t="n"/>
      <c r="JL21" s="18" t="n"/>
      <c r="JM21" s="18" t="n"/>
      <c r="JN21" s="18" t="n"/>
      <c r="JO21" s="18" t="n"/>
      <c r="JP21" s="18" t="n"/>
      <c r="JQ21" s="18" t="n"/>
      <c r="JR21" s="18" t="n"/>
      <c r="JS21" s="18" t="n"/>
      <c r="JT21" s="18" t="n"/>
      <c r="JU21" s="18" t="n"/>
      <c r="JV21" s="18" t="n"/>
      <c r="JW21" s="18" t="n"/>
      <c r="JX21" s="18" t="n"/>
      <c r="JY21" s="18" t="n"/>
      <c r="JZ21" s="18" t="n"/>
      <c r="KA21" s="18" t="n"/>
      <c r="KB21" s="18" t="n"/>
      <c r="KC21" s="18" t="n"/>
      <c r="KD21" s="18" t="n"/>
      <c r="KE21" s="18" t="n"/>
      <c r="KF21" s="18" t="n"/>
      <c r="KG21" s="18" t="n"/>
      <c r="KH21" s="18" t="n"/>
      <c r="KI21" s="18" t="n"/>
      <c r="KJ21" s="18" t="n"/>
      <c r="KK21" s="18" t="n"/>
      <c r="KL21" s="18" t="n"/>
      <c r="KM21" s="18" t="n"/>
      <c r="KN21" s="18" t="n"/>
      <c r="KO21" s="18" t="n"/>
      <c r="KP21" s="18" t="n"/>
      <c r="KQ21" s="18" t="n"/>
    </row>
    <row r="22" ht="52.05" customHeight="1" s="88">
      <c r="A22" s="19" t="inlineStr">
        <is>
          <t>9000</t>
        </is>
      </c>
      <c r="B22" s="19" t="inlineStr">
        <is>
          <t>9000-6</t>
        </is>
      </c>
      <c r="C22" s="19" t="inlineStr">
        <is>
          <t>건축</t>
        </is>
      </c>
      <c r="D22" s="19" t="inlineStr">
        <is>
          <t>9000-6-21</t>
        </is>
      </c>
      <c r="E22" s="95" t="inlineStr">
        <is>
          <t>9000-6-19</t>
        </is>
      </c>
      <c r="F22" s="95" t="inlineStr">
        <is>
          <t>9000-6-24</t>
        </is>
      </c>
      <c r="G22" s="23" t="inlineStr">
        <is>
          <t>기초~상부슬라브 구조물 시공</t>
        </is>
      </c>
      <c r="H22" s="21" t="inlineStr">
        <is>
          <t>D+64 (D+64~D+64)</t>
        </is>
      </c>
      <c r="I22" s="21" t="inlineStr">
        <is>
          <t>현장소장</t>
        </is>
      </c>
      <c r="J22" s="24" t="inlineStr">
        <is>
          <t>기초, 기둥 및 슬라브 구조물 시공</t>
        </is>
      </c>
      <c r="K22" s="24" t="inlineStr">
        <is>
          <t>발주 이후 마감공정 연계, 거푸집 해체 이후 균열조사 및 보수조치 시행</t>
        </is>
      </c>
      <c r="L22" s="24" t="inlineStr">
        <is>
          <t>해당공종 검측서, 각종 품질시험결과 보고서, 마감공종 인수인계서</t>
        </is>
      </c>
      <c r="M22" s="24" t="inlineStr">
        <is>
          <t>1) 기초~상부슬라브 구조물 시공 (WBS 9000-4-21) 관련 발주 이후 마감공정 연계, 거푸집 해체 이후 균열조사 및 보수조치 시행 수칙 및 법적 이행 의무를 1:1 준수한다. 또한 KDS 41 00 00 (건축구조기준), KDS 41 17 00 (내진설계기준) 및 KCS 41 00 00 (건축공사 표준시방서) 기술기준을 100% 충족한다.
2) 기초~상부슬라브 구조물 시공 달성을 위한 필수 시공 방법(발주 이후 마감공정 연계, 거푸집 해체 이후 균열조사 및 보수조치 시행...)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22" s="25">
        <f>HYPERLINK(LEFT(CELL("filename",A1),FIND("[",CELL("filename",A1))-1)&amp;"6.건축\21_기초~상부슬라브 구조물 시공\표준서\기초~상부슬라브 구조물 시공_표준서.html", "👉 [클릭] 표준서 열기 📄")</f>
        <v/>
      </c>
      <c r="O22" s="24" t="inlineStr">
        <is>
          <t>1) 기초~상부슬라브 구조물 시공 (WBS 9000-4-21) 사전 건축 인허가 서식 제출(관할 지자체/소방서), 3D BIM 도서 대조 및 기계·전기·통신 4대 인터페이스 개구부를 확정한다.
2) 실무 작업방법 수칙(발주 이후 마감공정 연계, 거푸집 해체 이후 균열조사 및 보수조치 시행)에 따라 철근 이음/피복두께 검측, 거푸집 다짐 양생 및 현장 3대 금기 수칙(피복 미달, 무단 타설)을 완수한다.</t>
        </is>
      </c>
      <c r="P22" s="26">
        <f>HYPERLINK(LEFT(CELL("filename",A1),FIND("[",CELL("filename",A1))-1)&amp;"6.건축\21_기초~상부슬라브 구조물 시공\수행지침\기초~상부슬라브 구조물 시공_수행지침.html", "👉 [클릭] 수행지침 열기 📄")</f>
        <v/>
      </c>
      <c r="Q22" s="24" t="inlineStr">
        <is>
          <t>1) 건축법 제11조 및 KDS 41 00 00 건축구조기준에 따라 기초~상부슬라브 구조물 시공 사전 검토를 수행하였는가? 또한 레미콘 규격(24~30MPa), 철근 시험성적서 및 방수자재 KCS 표준 품질 적격성을 검수하였는가?
2) 미검측 및 정량 시방 미달에 따른 기초~상부슬라브 구조물 시공 (WBS 9000-4-21) 구조 균열/누수 하자 발생, 개구부 누락 재시공 손실 및 최종 해당공종 검측서, 각종 품질시험결과 보고서, 마감공종 인수인계서 승인 반려 리스크를 전면 차단한다.</t>
        </is>
      </c>
      <c r="R22" s="27">
        <f>HYPERLINK(LEFT(CELL("filename",A1),FIND("[",CELL("filename",A1))-1)&amp;"6.건축\21_기초~상부슬라브 구조물 시공\체크리스트\기초~상부슬라브 구조물 시공_체크리스트.html", "👉 [클릭] 체크리스트 열기 📄")</f>
        <v/>
      </c>
      <c r="S22" s="2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Y22" s="18" t="n"/>
      <c r="DZ22" s="18" t="n"/>
      <c r="EA22" s="18" t="n"/>
      <c r="EB22" s="18" t="n"/>
      <c r="EC22" s="18" t="n"/>
      <c r="ED22" s="18" t="n"/>
      <c r="EE22" s="18" t="n"/>
      <c r="EF22" s="18" t="n"/>
      <c r="EG22" s="18" t="n"/>
      <c r="EH22" s="18" t="n"/>
      <c r="EI22" s="18" t="n"/>
      <c r="EJ22" s="18" t="n"/>
      <c r="EK22" s="18" t="n"/>
      <c r="EL22" s="18" t="n"/>
      <c r="EM22" s="18" t="n"/>
      <c r="EN22" s="18" t="n"/>
      <c r="EO22" s="18" t="n"/>
      <c r="EP22" s="18" t="n"/>
      <c r="EQ22" s="18" t="n"/>
      <c r="ER22" s="18" t="n"/>
      <c r="ES22" s="18" t="n"/>
      <c r="ET22" s="18" t="n"/>
      <c r="EU22" s="18" t="n"/>
      <c r="EV22" s="18" t="n"/>
      <c r="EW22" s="18" t="n"/>
      <c r="EX22" s="18" t="n"/>
      <c r="EY22" s="18" t="n"/>
      <c r="EZ22" s="18" t="n"/>
      <c r="FA22" s="18" t="n"/>
      <c r="FB22" s="18" t="n"/>
      <c r="FC22" s="18" t="n"/>
      <c r="FD22" s="18" t="n"/>
      <c r="FE22" s="18" t="n"/>
      <c r="FF22" s="18" t="n"/>
      <c r="FG22" s="18" t="n"/>
      <c r="FH22" s="18" t="n"/>
      <c r="FI22" s="18" t="n"/>
      <c r="FJ22" s="18" t="n"/>
      <c r="FK22" s="18" t="n"/>
      <c r="FL22" s="18" t="n"/>
      <c r="FM22" s="18" t="n"/>
      <c r="FN22" s="18" t="n"/>
      <c r="FO22" s="18" t="n"/>
      <c r="FP22" s="18" t="n"/>
      <c r="FQ22" s="18" t="n"/>
      <c r="FR22" s="18" t="n"/>
      <c r="FS22" s="18" t="n"/>
      <c r="FT22" s="18" t="n"/>
      <c r="FU22" s="18" t="n"/>
      <c r="FV22" s="18" t="n"/>
      <c r="FW22" s="18" t="n"/>
      <c r="FX22" s="18" t="n"/>
      <c r="FY22" s="18" t="n"/>
      <c r="FZ22" s="18" t="n"/>
      <c r="GA22" s="18" t="n"/>
      <c r="GB22" s="18" t="n"/>
      <c r="GC22" s="18" t="n"/>
      <c r="GD22" s="18" t="n"/>
      <c r="GE22" s="18" t="n"/>
      <c r="GF22" s="18" t="n"/>
      <c r="GG22" s="18" t="n"/>
      <c r="GH22" s="18" t="n"/>
      <c r="GI22" s="18" t="n"/>
      <c r="GJ22" s="18" t="n"/>
      <c r="GK22" s="18" t="n"/>
      <c r="GL22" s="18" t="n"/>
      <c r="GM22" s="18" t="n"/>
      <c r="GN22" s="18" t="n"/>
      <c r="GO22" s="18" t="n"/>
      <c r="GP22" s="18" t="n"/>
      <c r="GQ22" s="18" t="n"/>
      <c r="GR22" s="18" t="n"/>
      <c r="GS22" s="18" t="n"/>
      <c r="GT22" s="18" t="n"/>
      <c r="GU22" s="18" t="n"/>
      <c r="GV22" s="18" t="n"/>
      <c r="GW22" s="18" t="n"/>
      <c r="GX22" s="18" t="n"/>
      <c r="GY22" s="18" t="n"/>
      <c r="GZ22" s="18" t="n"/>
      <c r="HA22" s="18" t="n"/>
      <c r="HB22" s="18" t="n"/>
      <c r="HC22" s="18" t="n"/>
      <c r="HD22" s="18" t="n"/>
      <c r="HE22" s="18" t="n"/>
      <c r="HF22" s="18" t="n"/>
      <c r="HG22" s="18" t="n"/>
      <c r="HH22" s="18" t="n"/>
      <c r="HI22" s="18" t="n"/>
      <c r="HJ22" s="18" t="n"/>
      <c r="HK22" s="18" t="n"/>
      <c r="HL22" s="18" t="n"/>
      <c r="HM22" s="18" t="n"/>
      <c r="HN22" s="18" t="n"/>
      <c r="HO22" s="18" t="n"/>
      <c r="HP22" s="18" t="n"/>
      <c r="HQ22" s="18" t="n"/>
      <c r="HR22" s="18" t="n"/>
      <c r="HS22" s="18" t="n"/>
      <c r="HT22" s="18" t="n"/>
      <c r="HU22" s="18" t="n"/>
      <c r="HV22" s="18" t="n"/>
      <c r="HW22" s="18" t="n"/>
      <c r="HX22" s="18" t="n"/>
      <c r="HY22" s="18" t="n"/>
      <c r="HZ22" s="18" t="n"/>
      <c r="IA22" s="18" t="n"/>
      <c r="IB22" s="18" t="n"/>
      <c r="IC22" s="18" t="n"/>
      <c r="ID22" s="18" t="n"/>
      <c r="IE22" s="18" t="n"/>
      <c r="IF22" s="18" t="n"/>
      <c r="IG22" s="18" t="n"/>
      <c r="IH22" s="18" t="n"/>
      <c r="II22" s="18" t="n"/>
      <c r="IJ22" s="18" t="n"/>
      <c r="IK22" s="18" t="n"/>
      <c r="IL22" s="18" t="n"/>
      <c r="IM22" s="18" t="n"/>
      <c r="IN22" s="18" t="n"/>
      <c r="IO22" s="18" t="n"/>
      <c r="IP22" s="18" t="n"/>
      <c r="IQ22" s="18" t="n"/>
      <c r="IR22" s="18" t="n"/>
      <c r="IS22" s="18" t="n"/>
      <c r="IT22" s="18" t="n"/>
      <c r="IU22" s="18" t="n"/>
      <c r="IV22" s="18" t="n"/>
      <c r="IW22" s="18" t="n"/>
      <c r="IX22" s="18" t="n"/>
      <c r="IY22" s="18" t="n"/>
      <c r="IZ22" s="18" t="n"/>
      <c r="JA22" s="18" t="n"/>
      <c r="JB22" s="18" t="n"/>
      <c r="JC22" s="18" t="n"/>
      <c r="JD22" s="18" t="n"/>
      <c r="JE22" s="18" t="n"/>
      <c r="JF22" s="18" t="n"/>
      <c r="JG22" s="18" t="n"/>
      <c r="JH22" s="18" t="n"/>
      <c r="JI22" s="18" t="n"/>
      <c r="JJ22" s="18" t="n"/>
      <c r="JK22" s="18" t="n"/>
      <c r="JL22" s="18" t="n"/>
      <c r="JM22" s="18" t="n"/>
      <c r="JN22" s="18" t="n"/>
      <c r="JO22" s="18" t="n"/>
      <c r="JP22" s="18" t="n"/>
      <c r="JQ22" s="18" t="n"/>
      <c r="JR22" s="18" t="n"/>
      <c r="JS22" s="18" t="n"/>
      <c r="JT22" s="18" t="n"/>
      <c r="JU22" s="18" t="n"/>
      <c r="JV22" s="18" t="n"/>
      <c r="JW22" s="18" t="n"/>
      <c r="JX22" s="18" t="n"/>
      <c r="JY22" s="18" t="n"/>
      <c r="JZ22" s="18" t="n"/>
      <c r="KA22" s="18" t="n"/>
      <c r="KB22" s="18" t="n"/>
      <c r="KC22" s="18" t="n"/>
      <c r="KD22" s="18" t="n"/>
      <c r="KE22" s="18" t="n"/>
      <c r="KF22" s="18" t="n"/>
      <c r="KG22" s="18" t="n"/>
      <c r="KH22" s="18" t="n"/>
      <c r="KI22" s="18" t="n"/>
      <c r="KJ22" s="18" t="n"/>
      <c r="KK22" s="18" t="n"/>
      <c r="KL22" s="18" t="n"/>
      <c r="KM22" s="18" t="n"/>
      <c r="KN22" s="18" t="n"/>
      <c r="KO22" s="18" t="n"/>
      <c r="KP22" s="18" t="n"/>
      <c r="KQ22" s="18" t="n"/>
      <c r="KR22" s="18" t="n"/>
      <c r="KS22" s="18" t="n"/>
      <c r="KT22" s="18" t="n"/>
      <c r="KU22" s="18" t="n"/>
    </row>
    <row r="23" ht="52.05" customHeight="1" s="88">
      <c r="A23" s="29" t="inlineStr">
        <is>
          <t>9000</t>
        </is>
      </c>
      <c r="B23" s="29" t="inlineStr">
        <is>
          <t>9000-6</t>
        </is>
      </c>
      <c r="C23" s="29" t="inlineStr">
        <is>
          <t>건축</t>
        </is>
      </c>
      <c r="D23" s="29" t="inlineStr">
        <is>
          <t>9000-6-22</t>
        </is>
      </c>
      <c r="E23" s="102" t="inlineStr">
        <is>
          <t>9000-6-19, 9000-6-20</t>
        </is>
      </c>
      <c r="F23" s="102" t="inlineStr">
        <is>
          <t>9000-6-24, 9000-6-25</t>
        </is>
      </c>
      <c r="G23" s="32" t="inlineStr">
        <is>
          <t>철근 가공</t>
        </is>
      </c>
      <c r="H23" s="33" t="inlineStr">
        <is>
          <t>D+75 (D+71~D+75)</t>
        </is>
      </c>
      <c r="I23" s="33" t="inlineStr">
        <is>
          <t>현장소장</t>
        </is>
      </c>
      <c r="J23" s="34" t="inlineStr">
        <is>
          <t>철근을 절곡 및 절단하는 작업</t>
        </is>
      </c>
      <c r="K23" s="34" t="inlineStr">
        <is>
          <t>설계도면과 가공상세가 일치하는지 확인 및 보강부분 시공상세도 확인</t>
        </is>
      </c>
      <c r="L23" s="34" t="inlineStr">
        <is>
          <t>철근 시공상세도</t>
        </is>
      </c>
      <c r="M23" s="34" t="inlineStr">
        <is>
          <t>1) 철근 가공 (WBS 9000-4-22) 관련 설계도면과 가공상세가 일치하는지 확인 및 보강부분 시공상세도 확인 수칙 및 법적 이행 의무를 1:1 준수한다. 또한 KDS 41 00 00 (건축구조기준), KDS 41 17 00 (내진설계기준) 및 KCS 41 00 00 (건축공사 표준시방서) 기술기준을 100% 충족한다.
2) 철근 가공 달성을 위한 필수 시공 방법(설계도면과 가공상세가 일치하는지 확인 및 보강부분 시공상세도 확인...)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23" s="35">
        <f>HYPERLINK(LEFT(CELL("filename",A1),FIND("[",CELL("filename",A1))-1)&amp;"6.건축\22_철근 가공\표준서\철근 가공_표준서.html", "👉 [클릭] 표준서 열기 📄")</f>
        <v/>
      </c>
      <c r="O23" s="34" t="inlineStr">
        <is>
          <t>1) 철근 가공 (WBS 9000-4-22) 사전 건축 인허가 서식 제출(관할 지자체/소방서), 3D BIM 도서 대조 및 기계·전기·통신 4대 인터페이스 개구부를 확정한다.
2) 실무 작업방법 수칙(설계도면과 가공상세가 일치하는지 확인 및 보강부분 시공상세도 확인)에 따라 철근 이음/피복두께 검측, 거푸집 다짐 양생 및 현장 3대 금기 수칙(피복 미달, 무단 타설)을 완수한다.</t>
        </is>
      </c>
      <c r="P23" s="36">
        <f>HYPERLINK(LEFT(CELL("filename",A1),FIND("[",CELL("filename",A1))-1)&amp;"6.건축\22_철근 가공\수행지침\철근 가공_수행지침.html", "👉 [클릭] 수행지침 열기 📄")</f>
        <v/>
      </c>
      <c r="Q23" s="34" t="inlineStr">
        <is>
          <t>1) 건축법 제11조 및 KDS 41 00 00 건축구조기준에 따라 철근 가공 사전 검토를 수행하였는가? 또한 레미콘 규격(24~30MPa), 철근 시험성적서 및 방수자재 KCS 표준 품질 적격성을 검수하였는가?
2) 미검측 및 정량 시방 미달에 따른 철근 가공 (WBS 9000-4-22) 구조 균열/누수 하자 발생, 개구부 누락 재시공 손실 및 최종 철근 시공상세도 승인 반려 리스크를 전면 차단한다.</t>
        </is>
      </c>
      <c r="R23" s="37">
        <f>HYPERLINK(LEFT(CELL("filename",A1),FIND("[",CELL("filename",A1))-1)&amp;"6.건축\22_철근 가공\체크리스트\철근 가공_체크리스트.html", "👉 [클릭] 체크리스트 열기 📄")</f>
        <v/>
      </c>
      <c r="S23" s="33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8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8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8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18" t="n"/>
      <c r="GI23" s="18" t="n"/>
      <c r="GJ23" s="18" t="n"/>
      <c r="GK23" s="18" t="n"/>
      <c r="GL23" s="18" t="n"/>
      <c r="GM23" s="18" t="n"/>
      <c r="GN23" s="18" t="n"/>
      <c r="GO23" s="18" t="n"/>
      <c r="GP23" s="18" t="n"/>
      <c r="GQ23" s="18" t="n"/>
      <c r="GR23" s="18" t="n"/>
      <c r="GS23" s="18" t="n"/>
      <c r="GT23" s="18" t="n"/>
      <c r="GU23" s="18" t="n"/>
      <c r="GV23" s="18" t="n"/>
      <c r="GW23" s="18" t="n"/>
      <c r="GX23" s="18" t="n"/>
      <c r="GY23" s="18" t="n"/>
      <c r="GZ23" s="18" t="n"/>
      <c r="HA23" s="18" t="n"/>
      <c r="HB23" s="18" t="n"/>
      <c r="HC23" s="18" t="n"/>
      <c r="HD23" s="18" t="n"/>
      <c r="HE23" s="18" t="n"/>
      <c r="HF23" s="18" t="n"/>
      <c r="HG23" s="18" t="n"/>
      <c r="HH23" s="18" t="n"/>
      <c r="HI23" s="18" t="n"/>
      <c r="HJ23" s="18" t="n"/>
      <c r="HK23" s="18" t="n"/>
      <c r="HL23" s="18" t="n"/>
      <c r="HM23" s="18" t="n"/>
      <c r="HN23" s="18" t="n"/>
      <c r="HO23" s="18" t="n"/>
      <c r="HP23" s="18" t="n"/>
      <c r="HQ23" s="18" t="n"/>
      <c r="HR23" s="18" t="n"/>
      <c r="HS23" s="18" t="n"/>
      <c r="HT23" s="18" t="n"/>
      <c r="HU23" s="18" t="n"/>
      <c r="HV23" s="18" t="n"/>
      <c r="HW23" s="18" t="n"/>
      <c r="HX23" s="18" t="n"/>
      <c r="HY23" s="18" t="n"/>
      <c r="HZ23" s="18" t="n"/>
      <c r="IA23" s="18" t="n"/>
      <c r="IB23" s="18" t="n"/>
      <c r="IC23" s="18" t="n"/>
      <c r="ID23" s="18" t="n"/>
      <c r="IE23" s="18" t="n"/>
      <c r="IF23" s="18" t="n"/>
      <c r="IG23" s="18" t="n"/>
      <c r="IH23" s="18" t="n"/>
      <c r="II23" s="18" t="n"/>
      <c r="IJ23" s="18" t="n"/>
      <c r="IK23" s="18" t="n"/>
      <c r="IL23" s="18" t="n"/>
      <c r="IM23" s="18" t="n"/>
      <c r="IN23" s="18" t="n"/>
      <c r="IO23" s="18" t="n"/>
      <c r="IP23" s="18" t="n"/>
      <c r="IQ23" s="18" t="n"/>
      <c r="IR23" s="18" t="n"/>
      <c r="IS23" s="18" t="n"/>
      <c r="IT23" s="18" t="n"/>
      <c r="IU23" s="18" t="n"/>
      <c r="IV23" s="18" t="n"/>
      <c r="IW23" s="18" t="n"/>
      <c r="IX23" s="18" t="n"/>
      <c r="IY23" s="18" t="n"/>
      <c r="IZ23" s="18" t="n"/>
      <c r="JA23" s="18" t="n"/>
      <c r="JB23" s="18" t="n"/>
      <c r="JC23" s="18" t="n"/>
      <c r="JD23" s="18" t="n"/>
      <c r="JE23" s="18" t="n"/>
      <c r="JF23" s="18" t="n"/>
      <c r="JG23" s="18" t="n"/>
      <c r="JH23" s="18" t="n"/>
      <c r="JI23" s="18" t="n"/>
      <c r="JJ23" s="18" t="n"/>
      <c r="JK23" s="18" t="n"/>
      <c r="JL23" s="18" t="n"/>
      <c r="JM23" s="18" t="n"/>
      <c r="JN23" s="18" t="n"/>
      <c r="JO23" s="18" t="n"/>
      <c r="JP23" s="18" t="n"/>
      <c r="JQ23" s="18" t="n"/>
      <c r="JR23" s="18" t="n"/>
      <c r="JS23" s="18" t="n"/>
      <c r="JT23" s="18" t="n"/>
      <c r="JU23" s="18" t="n"/>
      <c r="JV23" s="18" t="n"/>
      <c r="JW23" s="18" t="n"/>
      <c r="JX23" s="18" t="n"/>
      <c r="JY23" s="18" t="n"/>
      <c r="JZ23" s="18" t="n"/>
      <c r="KA23" s="18" t="n"/>
      <c r="KB23" s="18" t="n"/>
      <c r="KC23" s="18" t="n"/>
      <c r="KD23" s="18" t="n"/>
      <c r="KE23" s="18" t="n"/>
      <c r="KF23" s="18" t="n"/>
      <c r="KG23" s="18" t="n"/>
      <c r="KH23" s="18" t="n"/>
      <c r="KI23" s="18" t="n"/>
      <c r="KJ23" s="18" t="n"/>
      <c r="KK23" s="18" t="n"/>
      <c r="KL23" s="18" t="n"/>
      <c r="KM23" s="18" t="n"/>
      <c r="KN23" s="18" t="n"/>
      <c r="KO23" s="18" t="n"/>
      <c r="KP23" s="18" t="n"/>
      <c r="KQ23" s="18" t="n"/>
      <c r="KR23" s="18" t="n"/>
      <c r="KS23" s="18" t="n"/>
      <c r="KT23" s="18" t="n"/>
      <c r="KU23" s="18" t="n"/>
      <c r="KV23" s="18" t="n"/>
      <c r="KW23" s="18" t="n"/>
      <c r="KX23" s="18" t="n"/>
      <c r="KY23" s="18" t="n"/>
    </row>
    <row r="24" ht="52.05" customHeight="1" s="88">
      <c r="A24" s="19" t="inlineStr">
        <is>
          <t>9000</t>
        </is>
      </c>
      <c r="B24" s="19" t="inlineStr">
        <is>
          <t>9000-6</t>
        </is>
      </c>
      <c r="C24" s="19" t="inlineStr">
        <is>
          <t>건축</t>
        </is>
      </c>
      <c r="D24" s="19" t="inlineStr">
        <is>
          <t>9000-6-23</t>
        </is>
      </c>
      <c r="E24" s="95" t="inlineStr">
        <is>
          <t>9000-6-20</t>
        </is>
      </c>
      <c r="F24" s="95" t="inlineStr">
        <is>
          <t>9000-6-25</t>
        </is>
      </c>
      <c r="G24" s="23" t="inlineStr">
        <is>
          <t>작업발판, 비계 및 동바리 설치</t>
        </is>
      </c>
      <c r="H24" s="21" t="inlineStr">
        <is>
          <t>D+75일 이후</t>
        </is>
      </c>
      <c r="I24" s="21" t="inlineStr">
        <is>
          <t>현장소장</t>
        </is>
      </c>
      <c r="J24" s="24" t="inlineStr">
        <is>
          <t>구조물 시공을 위한 작업발판 및 후속 작업을 위해 비계 및 동바리 설치</t>
        </is>
      </c>
      <c r="K24" s="24" t="inlineStr">
        <is>
          <t>안전난간 및 발판 설치 이후 철근 조립 및 거푸집 설치를 위한 비계 및 동바리 설치</t>
        </is>
      </c>
      <c r="L24" s="24" t="inlineStr">
        <is>
          <t>비계 및 동바리 검측서</t>
        </is>
      </c>
      <c r="M24" s="24" t="inlineStr">
        <is>
          <t>1) 작업발판, 비계 및 동바리 설치 (WBS 9000-4-23) 관련 안전난간 및 발판 설치 이후 철근 조립 및 거푸집 설치를 위한 비계 및 동바리 설치 수칙 및 법적 이행 의무를 1:1 준수한다. 또한 KDS 41 00 00 (건축구조기준), KDS 41 17 00 (내진설계기준) 및 KCS 41 00 00 (건축공사 표준시방서) 기술기준을 100% 충족한다.
2) 작업발판, 비계 및 동바리 설치 달성을 위한 필수 시공 방법(안전난간 및 발판 설치 이후 철근 조립 및 거푸집 설치를 위한 비계 및 동바리 설치...)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24" s="25">
        <f>HYPERLINK(LEFT(CELL("filename",A1),FIND("[",CELL("filename",A1))-1)&amp;"6.건축\23_작업발판, 비계 및 동바리 설치\표준서\작업발판, 비계 및 동바리 설치_표준서.html", "👉 [클릭] 표준서 열기 📄")</f>
        <v/>
      </c>
      <c r="O24" s="24" t="inlineStr">
        <is>
          <t>1) 작업발판, 비계 및 동바리 설치 (WBS 9000-4-23) 사전 건축 인허가 서식 제출(관할 지자체/소방서), 3D BIM 도서 대조 및 기계·전기·통신 4대 인터페이스 개구부를 확정한다.
2) 실무 작업방법 수칙(안전난간 및 발판 설치 이후 철근 조립 및 거푸집 설치를 위한 비계 및 동바리 설치)에 따라 철근 이음/피복두께 검측, 거푸집 다짐 양생 및 현장 3대 금기 수칙(피복 미달, 무단 타설)을 완수한다.</t>
        </is>
      </c>
      <c r="P24" s="26">
        <f>HYPERLINK(LEFT(CELL("filename",A1),FIND("[",CELL("filename",A1))-1)&amp;"6.건축\23_작업발판, 비계 및 동바리 설치\수행지침\작업발판, 비계 및 동바리 설치_수행지침.html", "👉 [클릭] 수행지침 열기 📄")</f>
        <v/>
      </c>
      <c r="Q24" s="24" t="inlineStr">
        <is>
          <t>1) 건축법 제11조 및 KDS 41 00 00 건축구조기준에 따라 작업발판, 비계 및 동바리 설치 사전 검토를 수행하였는가? 또한 레미콘 규격(24~30MPa), 철근 시험성적서 및 방수자재 KCS 표준 품질 적격성을 검수하였는가?
2) 미검측 및 정량 시방 미달에 따른 작업발판, 비계 및 동바리 설치 (WBS 9000-4-23) 구조 균열/누수 하자 발생, 개구부 누락 재시공 손실 및 최종 비계 및 동바리 검측서 승인 반려 리스크를 전면 차단한다.</t>
        </is>
      </c>
      <c r="R24" s="27">
        <f>HYPERLINK(LEFT(CELL("filename",A1),FIND("[",CELL("filename",A1))-1)&amp;"6.건축\23_작업발판, 비계 및 동바리 설치\체크리스트\작업발판, 비계 및 동바리 설치_체크리스트.html", "👉 [클릭] 체크리스트 열기 📄")</f>
        <v/>
      </c>
      <c r="S24" s="2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8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8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8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18" t="n"/>
      <c r="GI24" s="18" t="n"/>
      <c r="GJ24" s="18" t="n"/>
      <c r="GK24" s="18" t="n"/>
      <c r="GL24" s="18" t="n"/>
      <c r="GM24" s="18" t="n"/>
      <c r="GN24" s="18" t="n"/>
      <c r="GO24" s="18" t="n"/>
      <c r="GP24" s="18" t="n"/>
      <c r="GQ24" s="18" t="n"/>
      <c r="GR24" s="18" t="n"/>
      <c r="GS24" s="18" t="n"/>
      <c r="GT24" s="18" t="n"/>
      <c r="GU24" s="18" t="n"/>
      <c r="GV24" s="18" t="n"/>
      <c r="GW24" s="18" t="n"/>
      <c r="GX24" s="18" t="n"/>
      <c r="GY24" s="18" t="n"/>
      <c r="GZ24" s="18" t="n"/>
      <c r="HA24" s="18" t="n"/>
      <c r="HB24" s="18" t="n"/>
      <c r="HC24" s="18" t="n"/>
      <c r="HD24" s="18" t="n"/>
      <c r="HE24" s="18" t="n"/>
      <c r="HF24" s="18" t="n"/>
      <c r="HG24" s="18" t="n"/>
      <c r="HH24" s="18" t="n"/>
      <c r="HI24" s="18" t="n"/>
      <c r="HJ24" s="18" t="n"/>
      <c r="HK24" s="18" t="n"/>
      <c r="HL24" s="18" t="n"/>
      <c r="HM24" s="18" t="n"/>
      <c r="HN24" s="18" t="n"/>
      <c r="HO24" s="18" t="n"/>
      <c r="HP24" s="18" t="n"/>
      <c r="HQ24" s="18" t="n"/>
      <c r="HR24" s="18" t="n"/>
      <c r="HS24" s="18" t="n"/>
      <c r="HT24" s="18" t="n"/>
      <c r="HU24" s="18" t="n"/>
      <c r="HV24" s="18" t="n"/>
      <c r="HW24" s="18" t="n"/>
      <c r="HX24" s="18" t="n"/>
      <c r="HY24" s="18" t="n"/>
      <c r="HZ24" s="18" t="n"/>
      <c r="IA24" s="18" t="n"/>
      <c r="IB24" s="18" t="n"/>
      <c r="IC24" s="18" t="n"/>
      <c r="ID24" s="18" t="n"/>
      <c r="IE24" s="18" t="n"/>
      <c r="IF24" s="18" t="n"/>
      <c r="IG24" s="18" t="n"/>
      <c r="IH24" s="18" t="n"/>
      <c r="II24" s="18" t="n"/>
      <c r="IJ24" s="18" t="n"/>
      <c r="IK24" s="18" t="n"/>
      <c r="IL24" s="18" t="n"/>
      <c r="IM24" s="18" t="n"/>
      <c r="IN24" s="18" t="n"/>
      <c r="IO24" s="18" t="n"/>
      <c r="IP24" s="18" t="n"/>
      <c r="IQ24" s="18" t="n"/>
      <c r="IR24" s="18" t="n"/>
      <c r="IS24" s="18" t="n"/>
      <c r="IT24" s="18" t="n"/>
      <c r="IU24" s="18" t="n"/>
      <c r="IV24" s="18" t="n"/>
      <c r="IW24" s="18" t="n"/>
      <c r="IX24" s="18" t="n"/>
      <c r="IY24" s="18" t="n"/>
      <c r="IZ24" s="18" t="n"/>
      <c r="JA24" s="18" t="n"/>
      <c r="JB24" s="18" t="n"/>
      <c r="JC24" s="18" t="n"/>
      <c r="JD24" s="18" t="n"/>
      <c r="JE24" s="18" t="n"/>
      <c r="JF24" s="18" t="n"/>
      <c r="JG24" s="18" t="n"/>
      <c r="JH24" s="18" t="n"/>
      <c r="JI24" s="18" t="n"/>
      <c r="JJ24" s="18" t="n"/>
      <c r="JK24" s="18" t="n"/>
      <c r="JL24" s="18" t="n"/>
      <c r="JM24" s="18" t="n"/>
      <c r="JN24" s="18" t="n"/>
      <c r="JO24" s="18" t="n"/>
      <c r="JP24" s="18" t="n"/>
      <c r="JQ24" s="18" t="n"/>
      <c r="JR24" s="18" t="n"/>
      <c r="JS24" s="18" t="n"/>
      <c r="JT24" s="18" t="n"/>
      <c r="JU24" s="18" t="n"/>
      <c r="JV24" s="18" t="n"/>
      <c r="JW24" s="18" t="n"/>
      <c r="JX24" s="18" t="n"/>
      <c r="JY24" s="18" t="n"/>
      <c r="JZ24" s="18" t="n"/>
      <c r="KA24" s="18" t="n"/>
      <c r="KB24" s="18" t="n"/>
      <c r="KC24" s="18" t="n"/>
      <c r="KD24" s="18" t="n"/>
      <c r="KE24" s="18" t="n"/>
      <c r="KF24" s="18" t="n"/>
      <c r="KG24" s="18" t="n"/>
      <c r="KH24" s="18" t="n"/>
      <c r="KI24" s="18" t="n"/>
      <c r="KJ24" s="18" t="n"/>
      <c r="KK24" s="18" t="n"/>
      <c r="KL24" s="18" t="n"/>
      <c r="KM24" s="18" t="n"/>
      <c r="KN24" s="18" t="n"/>
      <c r="KO24" s="18" t="n"/>
      <c r="KP24" s="18" t="n"/>
      <c r="KQ24" s="18" t="n"/>
      <c r="KR24" s="18" t="n"/>
      <c r="KS24" s="18" t="n"/>
      <c r="KT24" s="18" t="n"/>
      <c r="KU24" s="18" t="n"/>
      <c r="KV24" s="18" t="n"/>
      <c r="KW24" s="18" t="n"/>
      <c r="KX24" s="18" t="n"/>
      <c r="KY24" s="18" t="n"/>
      <c r="KZ24" s="18" t="n"/>
      <c r="LA24" s="18" t="n"/>
      <c r="LB24" s="18" t="n"/>
      <c r="LC24" s="18" t="n"/>
    </row>
    <row r="25" ht="52.05" customHeight="1" s="88">
      <c r="A25" s="29" t="inlineStr">
        <is>
          <t>9000</t>
        </is>
      </c>
      <c r="B25" s="29" t="inlineStr">
        <is>
          <t>9000-6</t>
        </is>
      </c>
      <c r="C25" s="29" t="inlineStr">
        <is>
          <t>건축</t>
        </is>
      </c>
      <c r="D25" s="29" t="inlineStr">
        <is>
          <t>9000-6-24</t>
        </is>
      </c>
      <c r="E25" s="102" t="inlineStr">
        <is>
          <t>9000-6-21, 9000-6-22</t>
        </is>
      </c>
      <c r="F25" s="102" t="inlineStr">
        <is>
          <t>9000-6-26, 9000-6-27</t>
        </is>
      </c>
      <c r="G25" s="32" t="inlineStr">
        <is>
          <t>철근 조립</t>
        </is>
      </c>
      <c r="H25" s="33" t="n"/>
      <c r="I25" s="33" t="inlineStr">
        <is>
          <t>현장소장</t>
        </is>
      </c>
      <c r="J25" s="34" t="inlineStr">
        <is>
          <t>구조물의 뼈대를 형성하도록 철근을 조립</t>
        </is>
      </c>
      <c r="K25" s="34" t="inlineStr">
        <is>
          <t>철근 배근, 철근 조립 및 결속, 철근 이물질 등 검사</t>
        </is>
      </c>
      <c r="L25" s="34" t="inlineStr">
        <is>
          <t>철근 검측서</t>
        </is>
      </c>
      <c r="M25" s="34" t="inlineStr">
        <is>
          <t>1) 철근 조립 (WBS 9000-4-24) 관련 철근 배근, 철근 조립 및 결속, 철근 이물질 등 검사 수칙 및 법적 이행 의무를 1:1 준수한다. 또한 KDS 41 00 00 (건축구조기준), KDS 41 17 00 (내진설계기준) 및 KCS 41 00 00 (건축공사 표준시방서) 기술기준을 100% 충족한다.
2) 철근 조립 달성을 위한 필수 시공 방법(철근 배근, 철근 조립 및 결속, 철근 이물질 등 검사...)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25" s="35">
        <f>HYPERLINK(LEFT(CELL("filename",A1),FIND("[",CELL("filename",A1))-1)&amp;"6.건축\24_철근 조립\표준서\철근 조립_표준서.html", "👉 [클릭] 표준서 열기 📄")</f>
        <v/>
      </c>
      <c r="O25" s="34" t="inlineStr">
        <is>
          <t>1) 철근 조립 (WBS 9000-4-24) 사전 건축 인허가 서식 제출(관할 지자체/소방서), 3D BIM 도서 대조 및 기계·전기·통신 4대 인터페이스 개구부를 확정한다.
2) 실무 작업방법 수칙(철근 배근, 철근 조립 및 결속, 철근 이물질 등 검사)에 따라 철근 이음/피복두께 검측, 거푸집 다짐 양생 및 현장 3대 금기 수칙(피복 미달, 무단 타설)을 완수한다.</t>
        </is>
      </c>
      <c r="P25" s="36">
        <f>HYPERLINK(LEFT(CELL("filename",A1),FIND("[",CELL("filename",A1))-1)&amp;"6.건축\24_철근 조립\수행지침\철근 조립_수행지침.html", "👉 [클릭] 수행지침 열기 📄")</f>
        <v/>
      </c>
      <c r="Q25" s="34" t="inlineStr">
        <is>
          <t>1) 건축법 제11조 및 KDS 41 00 00 건축구조기준에 따라 철근 조립 사전 검토를 수행하였는가? 또한 레미콘 규격(24~30MPa), 철근 시험성적서 및 방수자재 KCS 표준 품질 적격성을 검수하였는가?
2) 미검측 및 정량 시방 미달에 따른 철근 조립 (WBS 9000-4-24) 구조 균열/누수 하자 발생, 개구부 누락 재시공 손실 및 최종 철근 검측서 승인 반려 리스크를 전면 차단한다.</t>
        </is>
      </c>
      <c r="R25" s="37">
        <f>HYPERLINK(LEFT(CELL("filename",A1),FIND("[",CELL("filename",A1))-1)&amp;"6.건축\24_철근 조립\체크리스트\철근 조립_체크리스트.html", "👉 [클릭] 체크리스트 열기 📄")</f>
        <v/>
      </c>
      <c r="S25" s="33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8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8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8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18" t="n"/>
      <c r="GI25" s="18" t="n"/>
      <c r="GJ25" s="18" t="n"/>
      <c r="GK25" s="18" t="n"/>
      <c r="GL25" s="18" t="n"/>
      <c r="GM25" s="18" t="n"/>
      <c r="GN25" s="18" t="n"/>
      <c r="GO25" s="18" t="n"/>
      <c r="GP25" s="18" t="n"/>
      <c r="GQ25" s="18" t="n"/>
      <c r="GR25" s="18" t="n"/>
      <c r="GS25" s="18" t="n"/>
      <c r="GT25" s="18" t="n"/>
      <c r="GU25" s="18" t="n"/>
      <c r="GV25" s="18" t="n"/>
      <c r="GW25" s="18" t="n"/>
      <c r="GX25" s="18" t="n"/>
      <c r="GY25" s="18" t="n"/>
      <c r="GZ25" s="18" t="n"/>
      <c r="HA25" s="18" t="n"/>
      <c r="HB25" s="18" t="n"/>
      <c r="HC25" s="18" t="n"/>
      <c r="HD25" s="18" t="n"/>
      <c r="HE25" s="18" t="n"/>
      <c r="HF25" s="18" t="n"/>
      <c r="HG25" s="18" t="n"/>
      <c r="HH25" s="18" t="n"/>
      <c r="HI25" s="18" t="n"/>
      <c r="HJ25" s="18" t="n"/>
      <c r="HK25" s="18" t="n"/>
      <c r="HL25" s="18" t="n"/>
      <c r="HM25" s="18" t="n"/>
      <c r="HN25" s="18" t="n"/>
      <c r="HO25" s="18" t="n"/>
      <c r="HP25" s="18" t="n"/>
      <c r="HQ25" s="18" t="n"/>
      <c r="HR25" s="18" t="n"/>
      <c r="HS25" s="18" t="n"/>
      <c r="HT25" s="18" t="n"/>
      <c r="HU25" s="18" t="n"/>
      <c r="HV25" s="18" t="n"/>
      <c r="HW25" s="18" t="n"/>
      <c r="HX25" s="18" t="n"/>
      <c r="HY25" s="18" t="n"/>
      <c r="HZ25" s="18" t="n"/>
      <c r="IA25" s="18" t="n"/>
      <c r="IB25" s="18" t="n"/>
      <c r="IC25" s="18" t="n"/>
      <c r="ID25" s="18" t="n"/>
      <c r="IE25" s="18" t="n"/>
      <c r="IF25" s="18" t="n"/>
      <c r="IG25" s="18" t="n"/>
      <c r="IH25" s="18" t="n"/>
      <c r="II25" s="18" t="n"/>
      <c r="IJ25" s="18" t="n"/>
      <c r="IK25" s="18" t="n"/>
      <c r="IL25" s="18" t="n"/>
      <c r="IM25" s="18" t="n"/>
      <c r="IN25" s="18" t="n"/>
      <c r="IO25" s="18" t="n"/>
      <c r="IP25" s="18" t="n"/>
      <c r="IQ25" s="18" t="n"/>
      <c r="IR25" s="18" t="n"/>
      <c r="IS25" s="18" t="n"/>
      <c r="IT25" s="18" t="n"/>
      <c r="IU25" s="18" t="n"/>
      <c r="IV25" s="18" t="n"/>
      <c r="IW25" s="18" t="n"/>
      <c r="IX25" s="18" t="n"/>
      <c r="IY25" s="18" t="n"/>
      <c r="IZ25" s="18" t="n"/>
      <c r="JA25" s="18" t="n"/>
      <c r="JB25" s="18" t="n"/>
      <c r="JC25" s="18" t="n"/>
      <c r="JD25" s="18" t="n"/>
      <c r="JE25" s="18" t="n"/>
      <c r="JF25" s="18" t="n"/>
      <c r="JG25" s="18" t="n"/>
      <c r="JH25" s="18" t="n"/>
      <c r="JI25" s="18" t="n"/>
      <c r="JJ25" s="18" t="n"/>
      <c r="JK25" s="18" t="n"/>
      <c r="JL25" s="18" t="n"/>
      <c r="JM25" s="18" t="n"/>
      <c r="JN25" s="18" t="n"/>
      <c r="JO25" s="18" t="n"/>
      <c r="JP25" s="18" t="n"/>
      <c r="JQ25" s="18" t="n"/>
      <c r="JR25" s="18" t="n"/>
      <c r="JS25" s="18" t="n"/>
      <c r="JT25" s="18" t="n"/>
      <c r="JU25" s="18" t="n"/>
      <c r="JV25" s="18" t="n"/>
      <c r="JW25" s="18" t="n"/>
      <c r="JX25" s="18" t="n"/>
      <c r="JY25" s="18" t="n"/>
      <c r="JZ25" s="18" t="n"/>
      <c r="KA25" s="18" t="n"/>
      <c r="KB25" s="18" t="n"/>
      <c r="KC25" s="18" t="n"/>
      <c r="KD25" s="18" t="n"/>
      <c r="KE25" s="18" t="n"/>
      <c r="KF25" s="18" t="n"/>
      <c r="KG25" s="18" t="n"/>
      <c r="KH25" s="18" t="n"/>
      <c r="KI25" s="18" t="n"/>
      <c r="KJ25" s="18" t="n"/>
      <c r="KK25" s="18" t="n"/>
      <c r="KL25" s="18" t="n"/>
      <c r="KM25" s="18" t="n"/>
      <c r="KN25" s="18" t="n"/>
      <c r="KO25" s="18" t="n"/>
      <c r="KP25" s="18" t="n"/>
      <c r="KQ25" s="18" t="n"/>
      <c r="KR25" s="18" t="n"/>
      <c r="KS25" s="18" t="n"/>
      <c r="KT25" s="18" t="n"/>
      <c r="KU25" s="18" t="n"/>
      <c r="KV25" s="18" t="n"/>
      <c r="KW25" s="18" t="n"/>
      <c r="KX25" s="18" t="n"/>
      <c r="KY25" s="18" t="n"/>
      <c r="KZ25" s="18" t="n"/>
      <c r="LA25" s="18" t="n"/>
      <c r="LB25" s="18" t="n"/>
      <c r="LC25" s="18" t="n"/>
      <c r="LD25" s="18" t="n"/>
      <c r="LE25" s="18" t="n"/>
      <c r="LF25" s="18" t="n"/>
      <c r="LG25" s="18" t="n"/>
    </row>
    <row r="26" ht="52.05" customHeight="1" s="88">
      <c r="A26" s="19" t="inlineStr">
        <is>
          <t>9000</t>
        </is>
      </c>
      <c r="B26" s="19" t="inlineStr">
        <is>
          <t>9000-6</t>
        </is>
      </c>
      <c r="C26" s="19" t="inlineStr">
        <is>
          <t>건축</t>
        </is>
      </c>
      <c r="D26" s="19" t="inlineStr">
        <is>
          <t>9000-6-25</t>
        </is>
      </c>
      <c r="E26" s="95" t="inlineStr">
        <is>
          <t>9000-6-22, 9000-6-23</t>
        </is>
      </c>
      <c r="F26" s="95" t="inlineStr">
        <is>
          <t>9000-6-27, 9000-6-28</t>
        </is>
      </c>
      <c r="G26" s="23" t="inlineStr">
        <is>
          <t>거푸집 조립</t>
        </is>
      </c>
      <c r="H26" s="21" t="n"/>
      <c r="I26" s="21" t="inlineStr">
        <is>
          <t>현장소장</t>
        </is>
      </c>
      <c r="J26" s="24" t="inlineStr">
        <is>
          <t>콘크리트 타설 후 양생까지 유지하는 가설구조물 설치 작업</t>
        </is>
      </c>
      <c r="K26" s="24" t="inlineStr">
        <is>
          <t>합판, 강재등의 자재를 활용하여 설계도면 형상에 맞게 시공</t>
        </is>
      </c>
      <c r="L26" s="24" t="inlineStr">
        <is>
          <t>거푸집 검측서</t>
        </is>
      </c>
      <c r="M26" s="24" t="inlineStr">
        <is>
          <t>1) 거푸집 조립 (WBS 9000-4-25) 관련 합판, 강재등의 자재를 활용하여 설계도면 형상에 맞게 시공 수칙 및 법적 이행 의무를 1:1 준수한다. 또한 KDS 41 00 00 (건축구조기준), KDS 41 17 00 (내진설계기준) 및 KCS 41 00 00 (건축공사 표준시방서) 기술기준을 100% 충족한다.
2) 거푸집 조립 달성을 위한 필수 시공 방법(합판, 강재등의 자재를 활용하여 설계도면 형상에 맞게 시공...)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26" s="25">
        <f>HYPERLINK(LEFT(CELL("filename",A1),FIND("[",CELL("filename",A1))-1)&amp;"6.건축\25_거푸집 조립\표준서\거푸집 조립_표준서.html", "👉 [클릭] 표준서 열기 📄")</f>
        <v/>
      </c>
      <c r="O26" s="24" t="inlineStr">
        <is>
          <t>1) 거푸집 조립 (WBS 9000-4-25) 사전 건축 인허가 서식 제출(관할 지자체/소방서), 3D BIM 도서 대조 및 기계·전기·통신 4대 인터페이스 개구부를 확정한다.
2) 실무 작업방법 수칙(합판, 강재등의 자재를 활용하여 설계도면 형상에 맞게 시공)에 따라 철근 이음/피복두께 검측, 거푸집 다짐 양생 및 현장 3대 금기 수칙(피복 미달, 무단 타설)을 완수한다.</t>
        </is>
      </c>
      <c r="P26" s="26">
        <f>HYPERLINK(LEFT(CELL("filename",A1),FIND("[",CELL("filename",A1))-1)&amp;"6.건축\25_거푸집 조립\수행지침\거푸집 조립_수행지침.html", "👉 [클릭] 수행지침 열기 📄")</f>
        <v/>
      </c>
      <c r="Q26" s="24" t="inlineStr">
        <is>
          <t>1) 건축법 제11조 및 KDS 41 00 00 건축구조기준에 따라 거푸집 조립 사전 검토를 수행하였는가? 또한 레미콘 규격(24~30MPa), 철근 시험성적서 및 방수자재 KCS 표준 품질 적격성을 검수하였는가?
2) 미검측 및 정량 시방 미달에 따른 거푸집 조립 (WBS 9000-4-25) 구조 균열/누수 하자 발생, 개구부 누락 재시공 손실 및 최종 거푸집 검측서 승인 반려 리스크를 전면 차단한다.</t>
        </is>
      </c>
      <c r="R26" s="27">
        <f>HYPERLINK(LEFT(CELL("filename",A1),FIND("[",CELL("filename",A1))-1)&amp;"6.건축\25_거푸집 조립\체크리스트\거푸집 조립_체크리스트.html", "👉 [클릭] 체크리스트 열기 📄")</f>
        <v/>
      </c>
      <c r="S26" s="2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8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8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8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18" t="n"/>
      <c r="GI26" s="18" t="n"/>
      <c r="GJ26" s="18" t="n"/>
      <c r="GK26" s="18" t="n"/>
      <c r="GL26" s="18" t="n"/>
      <c r="GM26" s="18" t="n"/>
      <c r="GN26" s="18" t="n"/>
      <c r="GO26" s="18" t="n"/>
      <c r="GP26" s="18" t="n"/>
      <c r="GQ26" s="18" t="n"/>
      <c r="GR26" s="18" t="n"/>
      <c r="GS26" s="18" t="n"/>
      <c r="GT26" s="18" t="n"/>
      <c r="GU26" s="18" t="n"/>
      <c r="GV26" s="18" t="n"/>
      <c r="GW26" s="18" t="n"/>
      <c r="GX26" s="18" t="n"/>
      <c r="GY26" s="18" t="n"/>
      <c r="GZ26" s="18" t="n"/>
      <c r="HA26" s="18" t="n"/>
      <c r="HB26" s="18" t="n"/>
      <c r="HC26" s="18" t="n"/>
      <c r="HD26" s="18" t="n"/>
      <c r="HE26" s="18" t="n"/>
      <c r="HF26" s="18" t="n"/>
      <c r="HG26" s="18" t="n"/>
      <c r="HH26" s="18" t="n"/>
      <c r="HI26" s="18" t="n"/>
      <c r="HJ26" s="18" t="n"/>
      <c r="HK26" s="18" t="n"/>
      <c r="HL26" s="18" t="n"/>
      <c r="HM26" s="18" t="n"/>
      <c r="HN26" s="18" t="n"/>
      <c r="HO26" s="18" t="n"/>
      <c r="HP26" s="18" t="n"/>
      <c r="HQ26" s="18" t="n"/>
      <c r="HR26" s="18" t="n"/>
      <c r="HS26" s="18" t="n"/>
      <c r="HT26" s="18" t="n"/>
      <c r="HU26" s="18" t="n"/>
      <c r="HV26" s="18" t="n"/>
      <c r="HW26" s="18" t="n"/>
      <c r="HX26" s="18" t="n"/>
      <c r="HY26" s="18" t="n"/>
      <c r="HZ26" s="18" t="n"/>
      <c r="IA26" s="18" t="n"/>
      <c r="IB26" s="18" t="n"/>
      <c r="IC26" s="18" t="n"/>
      <c r="ID26" s="18" t="n"/>
      <c r="IE26" s="18" t="n"/>
      <c r="IF26" s="18" t="n"/>
      <c r="IG26" s="18" t="n"/>
      <c r="IH26" s="18" t="n"/>
      <c r="II26" s="18" t="n"/>
      <c r="IJ26" s="18" t="n"/>
      <c r="IK26" s="18" t="n"/>
      <c r="IL26" s="18" t="n"/>
      <c r="IM26" s="18" t="n"/>
      <c r="IN26" s="18" t="n"/>
      <c r="IO26" s="18" t="n"/>
      <c r="IP26" s="18" t="n"/>
      <c r="IQ26" s="18" t="n"/>
      <c r="IR26" s="18" t="n"/>
      <c r="IS26" s="18" t="n"/>
      <c r="IT26" s="18" t="n"/>
      <c r="IU26" s="18" t="n"/>
      <c r="IV26" s="18" t="n"/>
      <c r="IW26" s="18" t="n"/>
      <c r="IX26" s="18" t="n"/>
      <c r="IY26" s="18" t="n"/>
      <c r="IZ26" s="18" t="n"/>
      <c r="JA26" s="18" t="n"/>
      <c r="JB26" s="18" t="n"/>
      <c r="JC26" s="18" t="n"/>
      <c r="JD26" s="18" t="n"/>
      <c r="JE26" s="18" t="n"/>
      <c r="JF26" s="18" t="n"/>
      <c r="JG26" s="18" t="n"/>
      <c r="JH26" s="18" t="n"/>
      <c r="JI26" s="18" t="n"/>
      <c r="JJ26" s="18" t="n"/>
      <c r="JK26" s="18" t="n"/>
      <c r="JL26" s="18" t="n"/>
      <c r="JM26" s="18" t="n"/>
      <c r="JN26" s="18" t="n"/>
      <c r="JO26" s="18" t="n"/>
      <c r="JP26" s="18" t="n"/>
      <c r="JQ26" s="18" t="n"/>
      <c r="JR26" s="18" t="n"/>
      <c r="JS26" s="18" t="n"/>
      <c r="JT26" s="18" t="n"/>
      <c r="JU26" s="18" t="n"/>
      <c r="JV26" s="18" t="n"/>
      <c r="JW26" s="18" t="n"/>
      <c r="JX26" s="18" t="n"/>
      <c r="JY26" s="18" t="n"/>
      <c r="JZ26" s="18" t="n"/>
      <c r="KA26" s="18" t="n"/>
      <c r="KB26" s="18" t="n"/>
      <c r="KC26" s="18" t="n"/>
      <c r="KD26" s="18" t="n"/>
      <c r="KE26" s="18" t="n"/>
      <c r="KF26" s="18" t="n"/>
      <c r="KG26" s="18" t="n"/>
      <c r="KH26" s="18" t="n"/>
      <c r="KI26" s="18" t="n"/>
      <c r="KJ26" s="18" t="n"/>
      <c r="KK26" s="18" t="n"/>
      <c r="KL26" s="18" t="n"/>
      <c r="KM26" s="18" t="n"/>
      <c r="KN26" s="18" t="n"/>
      <c r="KO26" s="18" t="n"/>
      <c r="KP26" s="18" t="n"/>
      <c r="KQ26" s="18" t="n"/>
      <c r="KR26" s="18" t="n"/>
      <c r="KS26" s="18" t="n"/>
      <c r="KT26" s="18" t="n"/>
      <c r="KU26" s="18" t="n"/>
      <c r="KV26" s="18" t="n"/>
      <c r="KW26" s="18" t="n"/>
      <c r="KX26" s="18" t="n"/>
      <c r="KY26" s="18" t="n"/>
      <c r="KZ26" s="18" t="n"/>
      <c r="LA26" s="18" t="n"/>
      <c r="LB26" s="18" t="n"/>
      <c r="LC26" s="18" t="n"/>
      <c r="LD26" s="18" t="n"/>
      <c r="LE26" s="18" t="n"/>
      <c r="LF26" s="18" t="n"/>
      <c r="LG26" s="18" t="n"/>
      <c r="LH26" s="18" t="n"/>
      <c r="LI26" s="18" t="n"/>
      <c r="LJ26" s="18" t="n"/>
      <c r="LK26" s="18" t="n"/>
    </row>
    <row r="27" ht="52.05" customHeight="1" s="88">
      <c r="A27" s="29" t="inlineStr">
        <is>
          <t>9000</t>
        </is>
      </c>
      <c r="B27" s="29" t="inlineStr">
        <is>
          <t>9000-6</t>
        </is>
      </c>
      <c r="C27" s="29" t="inlineStr">
        <is>
          <t>건축</t>
        </is>
      </c>
      <c r="D27" s="29" t="inlineStr">
        <is>
          <t>9000-6-26</t>
        </is>
      </c>
      <c r="E27" s="102" t="inlineStr">
        <is>
          <t>9000-6-24</t>
        </is>
      </c>
      <c r="F27" s="102" t="inlineStr">
        <is>
          <t>9000-6-29</t>
        </is>
      </c>
      <c r="G27" s="32" t="inlineStr">
        <is>
          <t>콘크리트 타설 및 다짐</t>
        </is>
      </c>
      <c r="H27" s="33" t="n"/>
      <c r="I27" s="33" t="inlineStr">
        <is>
          <t>현장소장</t>
        </is>
      </c>
      <c r="J27" s="34" t="inlineStr">
        <is>
          <t>거푸집에 콘크리트를 붓고 강도발현 까지 밀도와 습도조절 유지</t>
        </is>
      </c>
      <c r="K27" s="34" t="inlineStr">
        <is>
          <t>- 타설과 동시에 적당한 공법으로 다짐, 양생관리
- 마감품질 관련하여, 재료, 균열관리방안
- 상부슬라브 타설시 동바리 변형 확인</t>
        </is>
      </c>
      <c r="L27" s="34" t="inlineStr">
        <is>
          <t>콘크리트 구조물 확보, 타설보고서</t>
        </is>
      </c>
      <c r="M27" s="34" t="inlineStr">
        <is>
          <t>1) 콘크리트 타설 및 다짐 (WBS 9000-4-26) 관련 타설과 동시에 적당한 공법으로 다짐, 양생관리 수칙 및 법적 이행 의무를 1:1 준수한다. 또한 KDS 41 00 00 (건축구조기준), KDS 41 17 00 (내진설계기준) 및 KCS 41 00 00 (건축공사 표준시방서) 기술기준을 100% 충족한다.
2) 콘크리트 타설 및 다짐 달성을 위한 필수 시공 방법(타설과 동시에 적당한 공법으로 다짐, 양생관리 마감품질 관련하여, 재료, 균열관리방안 상부슬라브 타설시 동바...)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27" s="35">
        <f>HYPERLINK(LEFT(CELL("filename",A1),FIND("[",CELL("filename",A1))-1)&amp;"6.건축\26_콘크리트 타설 및 다짐\표준서\콘크리트 타설 및 다짐_표준서.html", "👉 [클릭] 표준서 열기 📄")</f>
        <v/>
      </c>
      <c r="O27" s="34" t="inlineStr">
        <is>
          <t>1) 콘크리트 타설 및 다짐 (WBS 9000-4-26) 사전 건축 인허가 서식 제출(관할 지자체/소방서), 3D BIM 도서 대조 및 기계·전기·통신 4대 인터페이스 개구부를 확정한다.
2) 실무 작업방법 수칙(타설과 동시에 적당한 공법으로 다짐, 양생관리 마감품질 관련하여, 재료, 균열관리방안 상부슬라...)에 따라 철근 이음/피복두께 검측, 거푸집 다짐 양생 및 현장 3대 금기 수칙(피복 미달, 무단 타설)을 완수한다.</t>
        </is>
      </c>
      <c r="P27" s="36">
        <f>HYPERLINK(LEFT(CELL("filename",A1),FIND("[",CELL("filename",A1))-1)&amp;"6.건축\26_콘크리트 타설 및 다짐\수행지침\콘크리트 타설 및 다짐_수행지침.html", "👉 [클릭] 수행지침 열기 📄")</f>
        <v/>
      </c>
      <c r="Q27" s="34" t="inlineStr">
        <is>
          <t>1) 건축법 제11조 및 KDS 41 00 00 건축구조기준에 따라 콘크리트 타설 및 다짐 사전 검토를 수행하였는가? 또한 레미콘 규격(24~30MPa), 철근 시험성적서 및 방수자재 KCS 표준 품질 적격성을 검수하였는가?
2) 미검측 및 정량 시방 미달에 따른 콘크리트 타설 및 다짐 (WBS 9000-4-26) 구조 균열/누수 하자 발생, 개구부 누락 재시공 손실 및 최종 콘크리트 구조물 확보, 타설보고서 승인 반려 리스크를 전면 차단한다.</t>
        </is>
      </c>
      <c r="R27" s="37">
        <f>HYPERLINK(LEFT(CELL("filename",A1),FIND("[",CELL("filename",A1))-1)&amp;"6.건축\26_콘크리트 타설 및 다짐\체크리스트\콘크리트 타설 및 다짐_체크리스트.html", "👉 [클릭] 체크리스트 열기 📄")</f>
        <v/>
      </c>
      <c r="S27" s="33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Y27" s="18" t="n"/>
      <c r="DZ27" s="18" t="n"/>
      <c r="EA27" s="18" t="n"/>
      <c r="EB27" s="18" t="n"/>
      <c r="EC27" s="18" t="n"/>
      <c r="ED27" s="18" t="n"/>
      <c r="EE27" s="18" t="n"/>
      <c r="EF27" s="18" t="n"/>
      <c r="EG27" s="18" t="n"/>
      <c r="EH27" s="18" t="n"/>
      <c r="EI27" s="18" t="n"/>
      <c r="EJ27" s="18" t="n"/>
      <c r="EK27" s="18" t="n"/>
      <c r="EL27" s="18" t="n"/>
      <c r="EM27" s="18" t="n"/>
      <c r="EN27" s="18" t="n"/>
      <c r="EO27" s="18" t="n"/>
      <c r="EP27" s="18" t="n"/>
      <c r="EQ27" s="18" t="n"/>
      <c r="ER27" s="18" t="n"/>
      <c r="ES27" s="18" t="n"/>
      <c r="ET27" s="18" t="n"/>
      <c r="EU27" s="18" t="n"/>
      <c r="EV27" s="18" t="n"/>
      <c r="EW27" s="18" t="n"/>
      <c r="EX27" s="18" t="n"/>
      <c r="EY27" s="18" t="n"/>
      <c r="EZ27" s="18" t="n"/>
      <c r="FA27" s="18" t="n"/>
      <c r="FB27" s="18" t="n"/>
      <c r="FC27" s="18" t="n"/>
      <c r="FD27" s="18" t="n"/>
      <c r="FE27" s="18" t="n"/>
      <c r="FF27" s="18" t="n"/>
      <c r="FG27" s="18" t="n"/>
      <c r="FH27" s="18" t="n"/>
      <c r="FI27" s="18" t="n"/>
      <c r="FJ27" s="18" t="n"/>
      <c r="FK27" s="18" t="n"/>
      <c r="FL27" s="18" t="n"/>
      <c r="FM27" s="18" t="n"/>
      <c r="FN27" s="18" t="n"/>
      <c r="FO27" s="18" t="n"/>
      <c r="FP27" s="18" t="n"/>
      <c r="FQ27" s="18" t="n"/>
      <c r="FR27" s="18" t="n"/>
      <c r="FS27" s="18" t="n"/>
      <c r="FT27" s="18" t="n"/>
      <c r="FU27" s="18" t="n"/>
      <c r="FV27" s="18" t="n"/>
      <c r="FW27" s="18" t="n"/>
      <c r="FX27" s="18" t="n"/>
      <c r="FY27" s="18" t="n"/>
      <c r="FZ27" s="18" t="n"/>
      <c r="GA27" s="18" t="n"/>
      <c r="GB27" s="18" t="n"/>
      <c r="GC27" s="18" t="n"/>
      <c r="GD27" s="18" t="n"/>
      <c r="GE27" s="18" t="n"/>
      <c r="GF27" s="18" t="n"/>
      <c r="GG27" s="18" t="n"/>
      <c r="GH27" s="18" t="n"/>
      <c r="GI27" s="18" t="n"/>
      <c r="GJ27" s="18" t="n"/>
      <c r="GK27" s="18" t="n"/>
      <c r="GL27" s="18" t="n"/>
      <c r="GM27" s="18" t="n"/>
      <c r="GN27" s="18" t="n"/>
      <c r="GO27" s="18" t="n"/>
      <c r="GP27" s="18" t="n"/>
      <c r="GQ27" s="18" t="n"/>
      <c r="GR27" s="18" t="n"/>
      <c r="GS27" s="18" t="n"/>
      <c r="GT27" s="18" t="n"/>
      <c r="GU27" s="18" t="n"/>
      <c r="GV27" s="18" t="n"/>
      <c r="GW27" s="18" t="n"/>
      <c r="GX27" s="18" t="n"/>
      <c r="GY27" s="18" t="n"/>
      <c r="GZ27" s="18" t="n"/>
      <c r="HA27" s="18" t="n"/>
      <c r="HB27" s="18" t="n"/>
      <c r="HC27" s="18" t="n"/>
      <c r="HD27" s="18" t="n"/>
      <c r="HE27" s="18" t="n"/>
      <c r="HF27" s="18" t="n"/>
      <c r="HG27" s="18" t="n"/>
      <c r="HH27" s="18" t="n"/>
      <c r="HI27" s="18" t="n"/>
      <c r="HJ27" s="18" t="n"/>
      <c r="HK27" s="18" t="n"/>
      <c r="HL27" s="18" t="n"/>
      <c r="HM27" s="18" t="n"/>
      <c r="HN27" s="18" t="n"/>
      <c r="HO27" s="18" t="n"/>
      <c r="HP27" s="18" t="n"/>
      <c r="HQ27" s="18" t="n"/>
      <c r="HR27" s="18" t="n"/>
      <c r="HS27" s="18" t="n"/>
      <c r="HT27" s="18" t="n"/>
      <c r="HU27" s="18" t="n"/>
      <c r="HV27" s="18" t="n"/>
      <c r="HW27" s="18" t="n"/>
      <c r="HX27" s="18" t="n"/>
      <c r="HY27" s="18" t="n"/>
      <c r="HZ27" s="18" t="n"/>
      <c r="IA27" s="18" t="n"/>
      <c r="IB27" s="18" t="n"/>
      <c r="IC27" s="18" t="n"/>
      <c r="ID27" s="18" t="n"/>
      <c r="IE27" s="18" t="n"/>
      <c r="IF27" s="18" t="n"/>
      <c r="IG27" s="18" t="n"/>
      <c r="IH27" s="18" t="n"/>
      <c r="II27" s="18" t="n"/>
      <c r="IJ27" s="18" t="n"/>
      <c r="IK27" s="18" t="n"/>
      <c r="IL27" s="18" t="n"/>
      <c r="IM27" s="18" t="n"/>
      <c r="IN27" s="18" t="n"/>
      <c r="IO27" s="18" t="n"/>
      <c r="IP27" s="18" t="n"/>
      <c r="IQ27" s="18" t="n"/>
      <c r="IR27" s="18" t="n"/>
      <c r="IS27" s="18" t="n"/>
      <c r="IT27" s="18" t="n"/>
      <c r="IU27" s="18" t="n"/>
      <c r="IV27" s="18" t="n"/>
      <c r="IW27" s="18" t="n"/>
      <c r="IX27" s="18" t="n"/>
      <c r="IY27" s="18" t="n"/>
      <c r="IZ27" s="18" t="n"/>
      <c r="JA27" s="18" t="n"/>
      <c r="JB27" s="18" t="n"/>
      <c r="JC27" s="18" t="n"/>
      <c r="JD27" s="18" t="n"/>
      <c r="JE27" s="18" t="n"/>
      <c r="JF27" s="18" t="n"/>
      <c r="JG27" s="18" t="n"/>
      <c r="JH27" s="18" t="n"/>
      <c r="JI27" s="18" t="n"/>
      <c r="JJ27" s="18" t="n"/>
      <c r="JK27" s="18" t="n"/>
      <c r="JL27" s="18" t="n"/>
      <c r="JM27" s="18" t="n"/>
      <c r="JN27" s="18" t="n"/>
      <c r="JO27" s="18" t="n"/>
      <c r="JP27" s="18" t="n"/>
      <c r="JQ27" s="18" t="n"/>
      <c r="JR27" s="18" t="n"/>
      <c r="JS27" s="18" t="n"/>
      <c r="JT27" s="18" t="n"/>
      <c r="JU27" s="18" t="n"/>
      <c r="JV27" s="18" t="n"/>
      <c r="JW27" s="18" t="n"/>
      <c r="JX27" s="18" t="n"/>
      <c r="JY27" s="18" t="n"/>
      <c r="JZ27" s="18" t="n"/>
      <c r="KA27" s="18" t="n"/>
      <c r="KB27" s="18" t="n"/>
      <c r="KC27" s="18" t="n"/>
      <c r="KD27" s="18" t="n"/>
      <c r="KE27" s="18" t="n"/>
      <c r="KF27" s="18" t="n"/>
      <c r="KG27" s="18" t="n"/>
      <c r="KH27" s="18" t="n"/>
      <c r="KI27" s="18" t="n"/>
      <c r="KJ27" s="18" t="n"/>
      <c r="KK27" s="18" t="n"/>
      <c r="KL27" s="18" t="n"/>
      <c r="KM27" s="18" t="n"/>
      <c r="KN27" s="18" t="n"/>
      <c r="KO27" s="18" t="n"/>
      <c r="KP27" s="18" t="n"/>
      <c r="KQ27" s="18" t="n"/>
      <c r="KR27" s="18" t="n"/>
      <c r="KS27" s="18" t="n"/>
      <c r="KT27" s="18" t="n"/>
      <c r="KU27" s="18" t="n"/>
      <c r="KV27" s="18" t="n"/>
      <c r="KW27" s="18" t="n"/>
      <c r="KX27" s="18" t="n"/>
      <c r="KY27" s="18" t="n"/>
      <c r="KZ27" s="18" t="n"/>
      <c r="LA27" s="18" t="n"/>
      <c r="LB27" s="18" t="n"/>
      <c r="LC27" s="18" t="n"/>
      <c r="LD27" s="18" t="n"/>
      <c r="LE27" s="18" t="n"/>
      <c r="LF27" s="18" t="n"/>
      <c r="LG27" s="18" t="n"/>
      <c r="LH27" s="18" t="n"/>
      <c r="LI27" s="18" t="n"/>
      <c r="LJ27" s="18" t="n"/>
      <c r="LK27" s="18" t="n"/>
      <c r="LL27" s="18" t="n"/>
      <c r="LM27" s="18" t="n"/>
      <c r="LN27" s="18" t="n"/>
      <c r="LO27" s="18" t="n"/>
    </row>
    <row r="28" ht="52.05" customHeight="1" s="88">
      <c r="A28" s="19" t="inlineStr">
        <is>
          <t>9000</t>
        </is>
      </c>
      <c r="B28" s="19" t="inlineStr">
        <is>
          <t>9000-6</t>
        </is>
      </c>
      <c r="C28" s="19" t="inlineStr">
        <is>
          <t>건축</t>
        </is>
      </c>
      <c r="D28" s="19" t="inlineStr">
        <is>
          <t>9000-6-27</t>
        </is>
      </c>
      <c r="E28" s="95" t="inlineStr">
        <is>
          <t>9000-6-24, 9000-6-25</t>
        </is>
      </c>
      <c r="F28" s="95" t="inlineStr">
        <is>
          <t>9000-6-29, 9000-6-30</t>
        </is>
      </c>
      <c r="G28" s="23" t="inlineStr">
        <is>
          <t>거푸집 해체</t>
        </is>
      </c>
      <c r="H28" s="21" t="n"/>
      <c r="I28" s="21" t="inlineStr">
        <is>
          <t>현장소장</t>
        </is>
      </c>
      <c r="J28" s="24" t="inlineStr">
        <is>
          <t>구조물과 거푸집을 분리하는 작업</t>
        </is>
      </c>
      <c r="K28" s="24" t="inlineStr">
        <is>
          <t>구조물에 훼손이 없도록 주의하여 안전하게 해체, 부속자재(핀, 타이, 결속선 등) 제거, 상태 Double Check</t>
        </is>
      </c>
      <c r="L28" s="24" t="inlineStr">
        <is>
          <t>해체 완료</t>
        </is>
      </c>
      <c r="M28" s="24" t="inlineStr">
        <is>
          <t>1) 거푸집 해체 (WBS 9000-4-27) 관련 구조물에 훼손이 없도록 주의하여 안전하게 해체, 부속자재(핀, 타이, 결속선 등) 제거, 상태 Double Check 수칙 및 법적 이행 의무를 1:1 준수한다. 또한 KDS 41 00 00 (건축구조기준), KDS 41 17 00 (내진설계기준) 및 KCS 41 00 00 (건축공사 표준시방서) 기술기준을 100% 충족한다.
2) 거푸집 해체 달성을 위한 필수 시공 방법(구조물에 훼손이 없도록 주의하여 안전하게 해체, 부속자재(핀, 타이, 결속선 등) 제거, 상태 Double 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28" s="25">
        <f>HYPERLINK(LEFT(CELL("filename",A1),FIND("[",CELL("filename",A1))-1)&amp;"6.건축\27_거푸집 해체\표준서\거푸집 해체_표준서.html", "👉 [클릭] 표준서 열기 📄")</f>
        <v/>
      </c>
      <c r="O28" s="24" t="inlineStr">
        <is>
          <t>1) 거푸집 해체 (WBS 9000-4-27) 사전 건축 인허가 서식 제출(관할 지자체/소방서), 3D BIM 도서 대조 및 기계·전기·통신 4대 인터페이스 개구부를 확정한다.
2) 실무 작업방법 수칙(구조물에 훼손이 없도록 주의하여 안전하게 해체, 부속자재(핀, 타이, 결속선 등) 제거, 상태...)에 따라 철근 이음/피복두께 검측, 거푸집 다짐 양생 및 현장 3대 금기 수칙(피복 미달, 무단 타설)을 완수한다.</t>
        </is>
      </c>
      <c r="P28" s="26">
        <f>HYPERLINK(LEFT(CELL("filename",A1),FIND("[",CELL("filename",A1))-1)&amp;"6.건축\27_거푸집 해체\수행지침\거푸집 해체_수행지침.html", "👉 [클릭] 수행지침 열기 📄")</f>
        <v/>
      </c>
      <c r="Q28" s="24" t="inlineStr">
        <is>
          <t>1) 건축법 제11조 및 KDS 41 00 00 건축구조기준에 따라 거푸집 해체 사전 검토를 수행하였는가? 또한 레미콘 규격(24~30MPa), 철근 시험성적서 및 방수자재 KCS 표준 품질 적격성을 검수하였는가?
2) 미검측 및 정량 시방 미달에 따른 거푸집 해체 (WBS 9000-4-27) 구조 균열/누수 하자 발생, 개구부 누락 재시공 손실 및 최종 해체 완료 승인 반려 리스크를 전면 차단한다.</t>
        </is>
      </c>
      <c r="R28" s="27">
        <f>HYPERLINK(LEFT(CELL("filename",A1),FIND("[",CELL("filename",A1))-1)&amp;"6.건축\27_거푸집 해체\체크리스트\거푸집 해체_체크리스트.html", "👉 [클릭] 체크리스트 열기 📄")</f>
        <v/>
      </c>
      <c r="S28" s="2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Y28" s="18" t="n"/>
      <c r="DZ28" s="18" t="n"/>
      <c r="EA28" s="18" t="n"/>
      <c r="EB28" s="18" t="n"/>
      <c r="EC28" s="18" t="n"/>
      <c r="ED28" s="18" t="n"/>
      <c r="EE28" s="18" t="n"/>
      <c r="EF28" s="18" t="n"/>
      <c r="EG28" s="18" t="n"/>
      <c r="EH28" s="18" t="n"/>
      <c r="EI28" s="18" t="n"/>
      <c r="EJ28" s="18" t="n"/>
      <c r="EK28" s="18" t="n"/>
      <c r="EL28" s="18" t="n"/>
      <c r="EM28" s="18" t="n"/>
      <c r="EN28" s="18" t="n"/>
      <c r="EO28" s="18" t="n"/>
      <c r="EP28" s="18" t="n"/>
      <c r="EQ28" s="18" t="n"/>
      <c r="ER28" s="18" t="n"/>
      <c r="ES28" s="18" t="n"/>
      <c r="ET28" s="18" t="n"/>
      <c r="EU28" s="18" t="n"/>
      <c r="EV28" s="18" t="n"/>
      <c r="EW28" s="18" t="n"/>
      <c r="EX28" s="18" t="n"/>
      <c r="EY28" s="18" t="n"/>
      <c r="EZ28" s="18" t="n"/>
      <c r="FA28" s="18" t="n"/>
      <c r="FB28" s="18" t="n"/>
      <c r="FC28" s="18" t="n"/>
      <c r="FD28" s="18" t="n"/>
      <c r="FE28" s="18" t="n"/>
      <c r="FF28" s="18" t="n"/>
      <c r="FG28" s="18" t="n"/>
      <c r="FH28" s="18" t="n"/>
      <c r="FI28" s="18" t="n"/>
      <c r="FJ28" s="18" t="n"/>
      <c r="FK28" s="18" t="n"/>
      <c r="FL28" s="18" t="n"/>
      <c r="FM28" s="18" t="n"/>
      <c r="FN28" s="18" t="n"/>
      <c r="FO28" s="18" t="n"/>
      <c r="FP28" s="18" t="n"/>
      <c r="FQ28" s="18" t="n"/>
      <c r="FR28" s="18" t="n"/>
      <c r="FS28" s="18" t="n"/>
      <c r="FT28" s="18" t="n"/>
      <c r="FU28" s="18" t="n"/>
      <c r="FV28" s="18" t="n"/>
      <c r="FW28" s="18" t="n"/>
      <c r="FX28" s="18" t="n"/>
      <c r="FY28" s="18" t="n"/>
      <c r="FZ28" s="18" t="n"/>
      <c r="GA28" s="18" t="n"/>
      <c r="GB28" s="18" t="n"/>
      <c r="GC28" s="18" t="n"/>
      <c r="GD28" s="18" t="n"/>
      <c r="GE28" s="18" t="n"/>
      <c r="GF28" s="18" t="n"/>
      <c r="GG28" s="18" t="n"/>
      <c r="GH28" s="18" t="n"/>
      <c r="GI28" s="18" t="n"/>
      <c r="GJ28" s="18" t="n"/>
      <c r="GK28" s="18" t="n"/>
      <c r="GL28" s="18" t="n"/>
      <c r="GM28" s="18" t="n"/>
      <c r="GN28" s="18" t="n"/>
      <c r="GO28" s="18" t="n"/>
      <c r="GP28" s="18" t="n"/>
      <c r="GQ28" s="18" t="n"/>
      <c r="GR28" s="18" t="n"/>
      <c r="GS28" s="18" t="n"/>
      <c r="GT28" s="18" t="n"/>
      <c r="GU28" s="18" t="n"/>
      <c r="GV28" s="18" t="n"/>
      <c r="GW28" s="18" t="n"/>
      <c r="GX28" s="18" t="n"/>
      <c r="GY28" s="18" t="n"/>
      <c r="GZ28" s="18" t="n"/>
      <c r="HA28" s="18" t="n"/>
      <c r="HB28" s="18" t="n"/>
      <c r="HC28" s="18" t="n"/>
      <c r="HD28" s="18" t="n"/>
      <c r="HE28" s="18" t="n"/>
      <c r="HF28" s="18" t="n"/>
      <c r="HG28" s="18" t="n"/>
      <c r="HH28" s="18" t="n"/>
      <c r="HI28" s="18" t="n"/>
      <c r="HJ28" s="18" t="n"/>
      <c r="HK28" s="18" t="n"/>
      <c r="HL28" s="18" t="n"/>
      <c r="HM28" s="18" t="n"/>
      <c r="HN28" s="18" t="n"/>
      <c r="HO28" s="18" t="n"/>
      <c r="HP28" s="18" t="n"/>
      <c r="HQ28" s="18" t="n"/>
      <c r="HR28" s="18" t="n"/>
      <c r="HS28" s="18" t="n"/>
      <c r="HT28" s="18" t="n"/>
      <c r="HU28" s="18" t="n"/>
      <c r="HV28" s="18" t="n"/>
      <c r="HW28" s="18" t="n"/>
      <c r="HX28" s="18" t="n"/>
      <c r="HY28" s="18" t="n"/>
      <c r="HZ28" s="18" t="n"/>
      <c r="IA28" s="18" t="n"/>
      <c r="IB28" s="18" t="n"/>
      <c r="IC28" s="18" t="n"/>
      <c r="ID28" s="18" t="n"/>
      <c r="IE28" s="18" t="n"/>
      <c r="IF28" s="18" t="n"/>
      <c r="IG28" s="18" t="n"/>
      <c r="IH28" s="18" t="n"/>
      <c r="II28" s="18" t="n"/>
      <c r="IJ28" s="18" t="n"/>
      <c r="IK28" s="18" t="n"/>
      <c r="IL28" s="18" t="n"/>
      <c r="IM28" s="18" t="n"/>
      <c r="IN28" s="18" t="n"/>
      <c r="IO28" s="18" t="n"/>
      <c r="IP28" s="18" t="n"/>
      <c r="IQ28" s="18" t="n"/>
      <c r="IR28" s="18" t="n"/>
      <c r="IS28" s="18" t="n"/>
      <c r="IT28" s="18" t="n"/>
      <c r="IU28" s="18" t="n"/>
      <c r="IV28" s="18" t="n"/>
      <c r="IW28" s="18" t="n"/>
      <c r="IX28" s="18" t="n"/>
      <c r="IY28" s="18" t="n"/>
      <c r="IZ28" s="18" t="n"/>
      <c r="JA28" s="18" t="n"/>
      <c r="JB28" s="18" t="n"/>
      <c r="JC28" s="18" t="n"/>
      <c r="JD28" s="18" t="n"/>
      <c r="JE28" s="18" t="n"/>
      <c r="JF28" s="18" t="n"/>
      <c r="JG28" s="18" t="n"/>
      <c r="JH28" s="18" t="n"/>
      <c r="JI28" s="18" t="n"/>
      <c r="JJ28" s="18" t="n"/>
      <c r="JK28" s="18" t="n"/>
      <c r="JL28" s="18" t="n"/>
      <c r="JM28" s="18" t="n"/>
      <c r="JN28" s="18" t="n"/>
      <c r="JO28" s="18" t="n"/>
      <c r="JP28" s="18" t="n"/>
      <c r="JQ28" s="18" t="n"/>
      <c r="JR28" s="18" t="n"/>
      <c r="JS28" s="18" t="n"/>
      <c r="JT28" s="18" t="n"/>
      <c r="JU28" s="18" t="n"/>
      <c r="JV28" s="18" t="n"/>
      <c r="JW28" s="18" t="n"/>
      <c r="JX28" s="18" t="n"/>
      <c r="JY28" s="18" t="n"/>
      <c r="JZ28" s="18" t="n"/>
      <c r="KA28" s="18" t="n"/>
      <c r="KB28" s="18" t="n"/>
      <c r="KC28" s="18" t="n"/>
      <c r="KD28" s="18" t="n"/>
      <c r="KE28" s="18" t="n"/>
      <c r="KF28" s="18" t="n"/>
      <c r="KG28" s="18" t="n"/>
      <c r="KH28" s="18" t="n"/>
      <c r="KI28" s="18" t="n"/>
      <c r="KJ28" s="18" t="n"/>
      <c r="KK28" s="18" t="n"/>
      <c r="KL28" s="18" t="n"/>
      <c r="KM28" s="18" t="n"/>
      <c r="KN28" s="18" t="n"/>
      <c r="KO28" s="18" t="n"/>
      <c r="KP28" s="18" t="n"/>
      <c r="KQ28" s="18" t="n"/>
      <c r="KR28" s="18" t="n"/>
      <c r="KS28" s="18" t="n"/>
      <c r="KT28" s="18" t="n"/>
      <c r="KU28" s="18" t="n"/>
      <c r="KV28" s="18" t="n"/>
      <c r="KW28" s="18" t="n"/>
      <c r="KX28" s="18" t="n"/>
      <c r="KY28" s="18" t="n"/>
      <c r="KZ28" s="18" t="n"/>
      <c r="LA28" s="18" t="n"/>
      <c r="LB28" s="18" t="n"/>
      <c r="LC28" s="18" t="n"/>
      <c r="LD28" s="18" t="n"/>
      <c r="LE28" s="18" t="n"/>
      <c r="LF28" s="18" t="n"/>
      <c r="LG28" s="18" t="n"/>
      <c r="LH28" s="18" t="n"/>
      <c r="LI28" s="18" t="n"/>
      <c r="LJ28" s="18" t="n"/>
      <c r="LK28" s="18" t="n"/>
      <c r="LL28" s="18" t="n"/>
      <c r="LM28" s="18" t="n"/>
      <c r="LN28" s="18" t="n"/>
      <c r="LO28" s="18" t="n"/>
      <c r="LP28" s="18" t="n"/>
      <c r="LQ28" s="18" t="n"/>
      <c r="LR28" s="18" t="n"/>
      <c r="LS28" s="18" t="n"/>
    </row>
    <row r="29" ht="52.05" customHeight="1" s="88">
      <c r="A29" s="29" t="inlineStr">
        <is>
          <t>9000</t>
        </is>
      </c>
      <c r="B29" s="29" t="inlineStr">
        <is>
          <t>9000-6</t>
        </is>
      </c>
      <c r="C29" s="29" t="inlineStr">
        <is>
          <t>건축</t>
        </is>
      </c>
      <c r="D29" s="29" t="inlineStr">
        <is>
          <t>9000-6-28</t>
        </is>
      </c>
      <c r="E29" s="102" t="inlineStr">
        <is>
          <t>9000-6-25</t>
        </is>
      </c>
      <c r="F29" s="102" t="inlineStr">
        <is>
          <t>9000-6-30</t>
        </is>
      </c>
      <c r="G29" s="32" t="inlineStr">
        <is>
          <t>건축 내부 및 마감공사</t>
        </is>
      </c>
      <c r="H29" s="33" t="n"/>
      <c r="I29" s="33" t="inlineStr">
        <is>
          <t>현장소장</t>
        </is>
      </c>
      <c r="J29" s="34" t="inlineStr">
        <is>
          <t>건축구조물 완수단계후 방수 및 내부마감공사</t>
        </is>
      </c>
      <c r="K29" s="34" t="inlineStr">
        <is>
          <t>구조물 시공 이후 외벽 방수 진행, 내부 마감공사 연계, 선행공종 균열관리대책 확인</t>
        </is>
      </c>
      <c r="L29" s="34" t="inlineStr">
        <is>
          <t>해당공종 검측서, 품질시험결과 보고서, 마감공종 인수인계서</t>
        </is>
      </c>
      <c r="M29" s="34" t="inlineStr">
        <is>
          <t>1) 건축 내부 및 마감공사 (WBS 9000-4-28) 관련 구조물 시공 이후 외벽 방수 진행, 내부 마감공사 연계, 선행공종 균열관리대책 확인 수칙 및 법적 이행 의무를 1:1 준수한다. 또한 KDS 41 00 00 (건축구조기준), KDS 41 17 00 (내진설계기준) 및 KCS 41 00 00 (건축공사 표준시방서) 기술기준을 100% 충족한다.
2) 건축 내부 및 마감공사 달성을 위한 필수 시공 방법(구조물 시공 이후 외벽 방수 진행, 내부 마감공사 연계, 선행공종 균열관리대책 확인...)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29" s="35">
        <f>HYPERLINK(LEFT(CELL("filename",A1),FIND("[",CELL("filename",A1))-1)&amp;"6.건축\28_건축 내부 및 마감공사\표준서\건축 내부 및 마감공사_표준서.html", "👉 [클릭] 표준서 열기 📄")</f>
        <v/>
      </c>
      <c r="O29" s="34" t="inlineStr">
        <is>
          <t>1) 건축 내부 및 마감공사 (WBS 9000-4-28) 사전 건축 인허가 서식 제출(관할 지자체/소방서), 3D BIM 도서 대조 및 기계·전기·통신 4대 인터페이스 개구부를 확정한다.
2) 실무 작업방법 수칙(구조물 시공 이후 외벽 방수 진행, 내부 마감공사 연계, 선행공종 균열관리대책 확인)에 따라 철근 이음/피복두께 검측, 거푸집 다짐 양생 및 현장 3대 금기 수칙(피복 미달, 무단 타설)을 완수한다.</t>
        </is>
      </c>
      <c r="P29" s="36">
        <f>HYPERLINK(LEFT(CELL("filename",A1),FIND("[",CELL("filename",A1))-1)&amp;"6.건축\28_건축 내부 및 마감공사\수행지침\건축 내부 및 마감공사_수행지침.html", "👉 [클릭] 수행지침 열기 📄")</f>
        <v/>
      </c>
      <c r="Q29" s="34" t="inlineStr">
        <is>
          <t>1) 건축법 제11조 및 KDS 41 00 00 건축구조기준에 따라 건축 내부 및 마감공사 사전 검토를 수행하였는가? 또한 레미콘 규격(24~30MPa), 철근 시험성적서 및 방수자재 KCS 표준 품질 적격성을 검수하였는가?
2) 미검측 및 정량 시방 미달에 따른 건축 내부 및 마감공사 (WBS 9000-4-28) 구조 균열/누수 하자 발생, 개구부 누락 재시공 손실 및 최종 해당공종 검측서, 품질시험결과 보고서, 마감공종 인수인계서 승인 반려 리스크를 전면 차단한다.</t>
        </is>
      </c>
      <c r="R29" s="37">
        <f>HYPERLINK(LEFT(CELL("filename",A1),FIND("[",CELL("filename",A1))-1)&amp;"6.건축\28_건축 내부 및 마감공사\체크리스트\건축 내부 및 마감공사_체크리스트.html", "👉 [클릭] 체크리스트 열기 📄")</f>
        <v/>
      </c>
      <c r="S29" s="33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Y29" s="18" t="n"/>
      <c r="DZ29" s="18" t="n"/>
      <c r="EA29" s="18" t="n"/>
      <c r="EB29" s="18" t="n"/>
      <c r="EC29" s="18" t="n"/>
      <c r="ED29" s="18" t="n"/>
      <c r="EE29" s="18" t="n"/>
      <c r="EF29" s="18" t="n"/>
      <c r="EG29" s="18" t="n"/>
      <c r="EH29" s="18" t="n"/>
      <c r="EI29" s="18" t="n"/>
      <c r="EJ29" s="18" t="n"/>
      <c r="EK29" s="18" t="n"/>
      <c r="EL29" s="18" t="n"/>
      <c r="EM29" s="18" t="n"/>
      <c r="EN29" s="18" t="n"/>
      <c r="EO29" s="18" t="n"/>
      <c r="EP29" s="18" t="n"/>
      <c r="EQ29" s="18" t="n"/>
      <c r="ER29" s="18" t="n"/>
      <c r="ES29" s="18" t="n"/>
      <c r="ET29" s="18" t="n"/>
      <c r="EU29" s="18" t="n"/>
      <c r="EV29" s="18" t="n"/>
      <c r="EW29" s="18" t="n"/>
      <c r="EX29" s="18" t="n"/>
      <c r="EY29" s="18" t="n"/>
      <c r="EZ29" s="18" t="n"/>
      <c r="FA29" s="18" t="n"/>
      <c r="FB29" s="18" t="n"/>
      <c r="FC29" s="18" t="n"/>
      <c r="FD29" s="18" t="n"/>
      <c r="FE29" s="18" t="n"/>
      <c r="FF29" s="18" t="n"/>
      <c r="FG29" s="18" t="n"/>
      <c r="FH29" s="18" t="n"/>
      <c r="FI29" s="18" t="n"/>
      <c r="FJ29" s="18" t="n"/>
      <c r="FK29" s="18" t="n"/>
      <c r="FL29" s="18" t="n"/>
      <c r="FM29" s="18" t="n"/>
      <c r="FN29" s="18" t="n"/>
      <c r="FO29" s="18" t="n"/>
      <c r="FP29" s="18" t="n"/>
      <c r="FQ29" s="18" t="n"/>
      <c r="FR29" s="18" t="n"/>
      <c r="FS29" s="18" t="n"/>
      <c r="FT29" s="18" t="n"/>
      <c r="FU29" s="18" t="n"/>
      <c r="FV29" s="18" t="n"/>
      <c r="FW29" s="18" t="n"/>
      <c r="FX29" s="18" t="n"/>
      <c r="FY29" s="18" t="n"/>
      <c r="FZ29" s="18" t="n"/>
      <c r="GA29" s="18" t="n"/>
      <c r="GB29" s="18" t="n"/>
      <c r="GC29" s="18" t="n"/>
      <c r="GD29" s="18" t="n"/>
      <c r="GE29" s="18" t="n"/>
      <c r="GF29" s="18" t="n"/>
      <c r="GG29" s="18" t="n"/>
      <c r="GH29" s="18" t="n"/>
      <c r="GI29" s="18" t="n"/>
      <c r="GJ29" s="18" t="n"/>
      <c r="GK29" s="18" t="n"/>
      <c r="GL29" s="18" t="n"/>
      <c r="GM29" s="18" t="n"/>
      <c r="GN29" s="18" t="n"/>
      <c r="GO29" s="18" t="n"/>
      <c r="GP29" s="18" t="n"/>
      <c r="GQ29" s="18" t="n"/>
      <c r="GR29" s="18" t="n"/>
      <c r="GS29" s="18" t="n"/>
      <c r="GT29" s="18" t="n"/>
      <c r="GU29" s="18" t="n"/>
      <c r="GV29" s="18" t="n"/>
      <c r="GW29" s="18" t="n"/>
      <c r="GX29" s="18" t="n"/>
      <c r="GY29" s="18" t="n"/>
      <c r="GZ29" s="18" t="n"/>
      <c r="HA29" s="18" t="n"/>
      <c r="HB29" s="18" t="n"/>
      <c r="HC29" s="18" t="n"/>
      <c r="HD29" s="18" t="n"/>
      <c r="HE29" s="18" t="n"/>
      <c r="HF29" s="18" t="n"/>
      <c r="HG29" s="18" t="n"/>
      <c r="HH29" s="18" t="n"/>
      <c r="HI29" s="18" t="n"/>
      <c r="HJ29" s="18" t="n"/>
      <c r="HK29" s="18" t="n"/>
      <c r="HL29" s="18" t="n"/>
      <c r="HM29" s="18" t="n"/>
      <c r="HN29" s="18" t="n"/>
      <c r="HO29" s="18" t="n"/>
      <c r="HP29" s="18" t="n"/>
      <c r="HQ29" s="18" t="n"/>
      <c r="HR29" s="18" t="n"/>
      <c r="HS29" s="18" t="n"/>
      <c r="HT29" s="18" t="n"/>
      <c r="HU29" s="18" t="n"/>
      <c r="HV29" s="18" t="n"/>
      <c r="HW29" s="18" t="n"/>
      <c r="HX29" s="18" t="n"/>
      <c r="HY29" s="18" t="n"/>
      <c r="HZ29" s="18" t="n"/>
      <c r="IA29" s="18" t="n"/>
      <c r="IB29" s="18" t="n"/>
      <c r="IC29" s="18" t="n"/>
      <c r="ID29" s="18" t="n"/>
      <c r="IE29" s="18" t="n"/>
      <c r="IF29" s="18" t="n"/>
      <c r="IG29" s="18" t="n"/>
      <c r="IH29" s="18" t="n"/>
      <c r="II29" s="18" t="n"/>
      <c r="IJ29" s="18" t="n"/>
      <c r="IK29" s="18" t="n"/>
      <c r="IL29" s="18" t="n"/>
      <c r="IM29" s="18" t="n"/>
      <c r="IN29" s="18" t="n"/>
      <c r="IO29" s="18" t="n"/>
      <c r="IP29" s="18" t="n"/>
      <c r="IQ29" s="18" t="n"/>
      <c r="IR29" s="18" t="n"/>
      <c r="IS29" s="18" t="n"/>
      <c r="IT29" s="18" t="n"/>
      <c r="IU29" s="18" t="n"/>
      <c r="IV29" s="18" t="n"/>
      <c r="IW29" s="18" t="n"/>
      <c r="IX29" s="18" t="n"/>
      <c r="IY29" s="18" t="n"/>
      <c r="IZ29" s="18" t="n"/>
      <c r="JA29" s="18" t="n"/>
      <c r="JB29" s="18" t="n"/>
      <c r="JC29" s="18" t="n"/>
      <c r="JD29" s="18" t="n"/>
      <c r="JE29" s="18" t="n"/>
      <c r="JF29" s="18" t="n"/>
      <c r="JG29" s="18" t="n"/>
      <c r="JH29" s="18" t="n"/>
      <c r="JI29" s="18" t="n"/>
      <c r="JJ29" s="18" t="n"/>
      <c r="JK29" s="18" t="n"/>
      <c r="JL29" s="18" t="n"/>
      <c r="JM29" s="18" t="n"/>
      <c r="JN29" s="18" t="n"/>
      <c r="JO29" s="18" t="n"/>
      <c r="JP29" s="18" t="n"/>
      <c r="JQ29" s="18" t="n"/>
      <c r="JR29" s="18" t="n"/>
      <c r="JS29" s="18" t="n"/>
      <c r="JT29" s="18" t="n"/>
      <c r="JU29" s="18" t="n"/>
      <c r="JV29" s="18" t="n"/>
      <c r="JW29" s="18" t="n"/>
      <c r="JX29" s="18" t="n"/>
      <c r="JY29" s="18" t="n"/>
      <c r="JZ29" s="18" t="n"/>
      <c r="KA29" s="18" t="n"/>
      <c r="KB29" s="18" t="n"/>
      <c r="KC29" s="18" t="n"/>
      <c r="KD29" s="18" t="n"/>
      <c r="KE29" s="18" t="n"/>
      <c r="KF29" s="18" t="n"/>
      <c r="KG29" s="18" t="n"/>
      <c r="KH29" s="18" t="n"/>
      <c r="KI29" s="18" t="n"/>
      <c r="KJ29" s="18" t="n"/>
      <c r="KK29" s="18" t="n"/>
      <c r="KL29" s="18" t="n"/>
      <c r="KM29" s="18" t="n"/>
      <c r="KN29" s="18" t="n"/>
      <c r="KO29" s="18" t="n"/>
      <c r="KP29" s="18" t="n"/>
      <c r="KQ29" s="18" t="n"/>
      <c r="KR29" s="18" t="n"/>
      <c r="KS29" s="18" t="n"/>
      <c r="KT29" s="18" t="n"/>
      <c r="KU29" s="18" t="n"/>
      <c r="KV29" s="18" t="n"/>
      <c r="KW29" s="18" t="n"/>
      <c r="KX29" s="18" t="n"/>
      <c r="KY29" s="18" t="n"/>
      <c r="KZ29" s="18" t="n"/>
      <c r="LA29" s="18" t="n"/>
      <c r="LB29" s="18" t="n"/>
      <c r="LC29" s="18" t="n"/>
      <c r="LD29" s="18" t="n"/>
      <c r="LE29" s="18" t="n"/>
      <c r="LF29" s="18" t="n"/>
      <c r="LG29" s="18" t="n"/>
      <c r="LH29" s="18" t="n"/>
      <c r="LI29" s="18" t="n"/>
      <c r="LJ29" s="18" t="n"/>
      <c r="LK29" s="18" t="n"/>
      <c r="LL29" s="18" t="n"/>
      <c r="LM29" s="18" t="n"/>
      <c r="LN29" s="18" t="n"/>
      <c r="LO29" s="18" t="n"/>
      <c r="LP29" s="18" t="n"/>
      <c r="LQ29" s="18" t="n"/>
      <c r="LR29" s="18" t="n"/>
      <c r="LS29" s="18" t="n"/>
      <c r="LT29" s="18" t="n"/>
      <c r="LU29" s="18" t="n"/>
      <c r="LV29" s="18" t="n"/>
      <c r="LW29" s="18" t="n"/>
    </row>
    <row r="30" ht="52.05" customHeight="1" s="88">
      <c r="A30" s="19" t="inlineStr">
        <is>
          <t>9000</t>
        </is>
      </c>
      <c r="B30" s="19" t="inlineStr">
        <is>
          <t>9000-6</t>
        </is>
      </c>
      <c r="C30" s="19" t="inlineStr">
        <is>
          <t>건축</t>
        </is>
      </c>
      <c r="D30" s="19" t="inlineStr">
        <is>
          <t>9000-6-29</t>
        </is>
      </c>
      <c r="E30" s="95" t="inlineStr">
        <is>
          <t>9000-6-26, 9000-6-27</t>
        </is>
      </c>
      <c r="F30" s="95" t="inlineStr">
        <is>
          <t>9000-6-31, 9000-6-32</t>
        </is>
      </c>
      <c r="G30" s="23" t="inlineStr">
        <is>
          <t>창호,유리 및 금속지붕공사</t>
        </is>
      </c>
      <c r="H30" s="21" t="n"/>
      <c r="I30" s="21" t="inlineStr">
        <is>
          <t>현장소장</t>
        </is>
      </c>
      <c r="J30" s="24" t="inlineStr">
        <is>
          <t>외부, 내부 마감공사 수행 / 건축물 내부로 우수 침투 방지작업</t>
        </is>
      </c>
      <c r="K30" s="24" t="inlineStr">
        <is>
          <t>외벽 마감 공사(금속지붕 공사 / 내부 창호 및 유리 시공)</t>
        </is>
      </c>
      <c r="L30" s="24" t="inlineStr">
        <is>
          <t>시공상세도 및 검측서</t>
        </is>
      </c>
      <c r="M30" s="24" t="inlineStr">
        <is>
          <t>1) 창호,유리 및 금속지붕공사 (WBS 9000-4-29) 관련 외벽 마감 공사(금속지붕 공사 / 내부 창호 및 유리 시공) 수칙 및 법적 이행 의무를 1:1 준수한다. 또한 KDS 41 00 00 (건축구조기준), KDS 41 17 00 (내진설계기준) 및 KCS 41 00 00 (건축공사 표준시방서) 기술기준을 100% 충족한다.
2) 창호,유리 및 금속지붕공사 달성을 위한 필수 시공 방법(외벽 마감 공사(금속지붕 공사 / 내부 창호 및 유리 시공)...)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30" s="25">
        <f>HYPERLINK(LEFT(CELL("filename",A1),FIND("[",CELL("filename",A1))-1)&amp;"6.건축\29_창호,유리 및 금속지붕공사\표준서\창호,유리 및 금속지붕공사_표준서.html", "👉 [클릭] 표준서 열기 📄")</f>
        <v/>
      </c>
      <c r="O30" s="24" t="inlineStr">
        <is>
          <t>1) 창호,유리 및 금속지붕공사 (WBS 9000-4-29) 사전 건축 인허가 서식 제출(관할 지자체/소방서), 3D BIM 도서 대조 및 기계·전기·통신 4대 인터페이스 개구부를 확정한다.
2) 실무 작업방법 수칙(외벽 마감 공사(금속지붕 공사 / 내부 창호 및 유리 시공))에 따라 철근 이음/피복두께 검측, 거푸집 다짐 양생 및 현장 3대 금기 수칙(피복 미달, 무단 타설)을 완수한다.</t>
        </is>
      </c>
      <c r="P30" s="26">
        <f>HYPERLINK(LEFT(CELL("filename",A1),FIND("[",CELL("filename",A1))-1)&amp;"6.건축\29_창호,유리 및 금속지붕공사\수행지침\창호,유리 및 금속지붕공사_수행지침.html", "👉 [클릭] 수행지침 열기 📄")</f>
        <v/>
      </c>
      <c r="Q30" s="24" t="inlineStr">
        <is>
          <t>1) 건축법 제11조 및 KDS 41 00 00 건축구조기준에 따라 창호,유리 및 금속지붕공사 사전 검토를 수행하였는가? 또한 레미콘 규격(24~30MPa), 철근 시험성적서 및 방수자재 KCS 표준 품질 적격성을 검수하였는가?
2) 미검측 및 정량 시방 미달에 따른 창호,유리 및 금속지붕공사 (WBS 9000-4-29) 구조 균열/누수 하자 발생, 개구부 누락 재시공 손실 및 최종 시공상세도 및 검측서 승인 반려 리스크를 전면 차단한다.</t>
        </is>
      </c>
      <c r="R30" s="27">
        <f>HYPERLINK(LEFT(CELL("filename",A1),FIND("[",CELL("filename",A1))-1)&amp;"6.건축\29_창호,유리 및 금속지붕공사\체크리스트\창호,유리 및 금속지붕공사_체크리스트.html", "👉 [클릭] 체크리스트 열기 📄")</f>
        <v/>
      </c>
      <c r="S30" s="2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Y30" s="18" t="n"/>
      <c r="DZ30" s="18" t="n"/>
      <c r="EA30" s="18" t="n"/>
      <c r="EB30" s="18" t="n"/>
      <c r="EC30" s="18" t="n"/>
      <c r="ED30" s="18" t="n"/>
      <c r="EE30" s="18" t="n"/>
      <c r="EF30" s="18" t="n"/>
      <c r="EG30" s="18" t="n"/>
      <c r="EH30" s="18" t="n"/>
      <c r="EI30" s="18" t="n"/>
      <c r="EJ30" s="18" t="n"/>
      <c r="EK30" s="18" t="n"/>
      <c r="EL30" s="18" t="n"/>
      <c r="EM30" s="18" t="n"/>
      <c r="EN30" s="18" t="n"/>
      <c r="EO30" s="18" t="n"/>
      <c r="EP30" s="18" t="n"/>
      <c r="EQ30" s="18" t="n"/>
      <c r="ER30" s="18" t="n"/>
      <c r="ES30" s="18" t="n"/>
      <c r="ET30" s="18" t="n"/>
      <c r="EU30" s="18" t="n"/>
      <c r="EV30" s="18" t="n"/>
      <c r="EW30" s="18" t="n"/>
      <c r="EX30" s="18" t="n"/>
      <c r="EY30" s="18" t="n"/>
      <c r="EZ30" s="18" t="n"/>
      <c r="FA30" s="18" t="n"/>
      <c r="FB30" s="18" t="n"/>
      <c r="FC30" s="18" t="n"/>
      <c r="FD30" s="18" t="n"/>
      <c r="FE30" s="18" t="n"/>
      <c r="FF30" s="18" t="n"/>
      <c r="FG30" s="18" t="n"/>
      <c r="FH30" s="18" t="n"/>
      <c r="FI30" s="18" t="n"/>
      <c r="FJ30" s="18" t="n"/>
      <c r="FK30" s="18" t="n"/>
      <c r="FL30" s="18" t="n"/>
      <c r="FM30" s="18" t="n"/>
      <c r="FN30" s="18" t="n"/>
      <c r="FO30" s="18" t="n"/>
      <c r="FP30" s="18" t="n"/>
      <c r="FQ30" s="18" t="n"/>
      <c r="FR30" s="18" t="n"/>
      <c r="FS30" s="18" t="n"/>
      <c r="FT30" s="18" t="n"/>
      <c r="FU30" s="18" t="n"/>
      <c r="FV30" s="18" t="n"/>
      <c r="FW30" s="18" t="n"/>
      <c r="FX30" s="18" t="n"/>
      <c r="FY30" s="18" t="n"/>
      <c r="FZ30" s="18" t="n"/>
      <c r="GA30" s="18" t="n"/>
      <c r="GB30" s="18" t="n"/>
      <c r="GC30" s="18" t="n"/>
      <c r="GD30" s="18" t="n"/>
      <c r="GE30" s="18" t="n"/>
      <c r="GF30" s="18" t="n"/>
      <c r="GG30" s="18" t="n"/>
      <c r="GH30" s="18" t="n"/>
      <c r="GI30" s="18" t="n"/>
      <c r="GJ30" s="18" t="n"/>
      <c r="GK30" s="18" t="n"/>
      <c r="GL30" s="18" t="n"/>
      <c r="GM30" s="18" t="n"/>
      <c r="GN30" s="18" t="n"/>
      <c r="GO30" s="18" t="n"/>
      <c r="GP30" s="18" t="n"/>
      <c r="GQ30" s="18" t="n"/>
      <c r="GR30" s="18" t="n"/>
      <c r="GS30" s="18" t="n"/>
      <c r="GT30" s="18" t="n"/>
      <c r="GU30" s="18" t="n"/>
      <c r="GV30" s="18" t="n"/>
      <c r="GW30" s="18" t="n"/>
      <c r="GX30" s="18" t="n"/>
      <c r="GY30" s="18" t="n"/>
      <c r="GZ30" s="18" t="n"/>
      <c r="HA30" s="18" t="n"/>
      <c r="HB30" s="18" t="n"/>
      <c r="HC30" s="18" t="n"/>
      <c r="HD30" s="18" t="n"/>
      <c r="HE30" s="18" t="n"/>
      <c r="HF30" s="18" t="n"/>
      <c r="HG30" s="18" t="n"/>
      <c r="HH30" s="18" t="n"/>
      <c r="HI30" s="18" t="n"/>
      <c r="HJ30" s="18" t="n"/>
      <c r="HK30" s="18" t="n"/>
      <c r="HL30" s="18" t="n"/>
      <c r="HM30" s="18" t="n"/>
      <c r="HN30" s="18" t="n"/>
      <c r="HO30" s="18" t="n"/>
      <c r="HP30" s="18" t="n"/>
      <c r="HQ30" s="18" t="n"/>
      <c r="HR30" s="18" t="n"/>
      <c r="HS30" s="18" t="n"/>
      <c r="HT30" s="18" t="n"/>
      <c r="HU30" s="18" t="n"/>
      <c r="HV30" s="18" t="n"/>
      <c r="HW30" s="18" t="n"/>
      <c r="HX30" s="18" t="n"/>
      <c r="HY30" s="18" t="n"/>
      <c r="HZ30" s="18" t="n"/>
      <c r="IA30" s="18" t="n"/>
      <c r="IB30" s="18" t="n"/>
      <c r="IC30" s="18" t="n"/>
      <c r="ID30" s="18" t="n"/>
      <c r="IE30" s="18" t="n"/>
      <c r="IF30" s="18" t="n"/>
      <c r="IG30" s="18" t="n"/>
      <c r="IH30" s="18" t="n"/>
      <c r="II30" s="18" t="n"/>
      <c r="IJ30" s="18" t="n"/>
      <c r="IK30" s="18" t="n"/>
      <c r="IL30" s="18" t="n"/>
      <c r="IM30" s="18" t="n"/>
      <c r="IN30" s="18" t="n"/>
      <c r="IO30" s="18" t="n"/>
      <c r="IP30" s="18" t="n"/>
      <c r="IQ30" s="18" t="n"/>
      <c r="IR30" s="18" t="n"/>
      <c r="IS30" s="18" t="n"/>
      <c r="IT30" s="18" t="n"/>
      <c r="IU30" s="18" t="n"/>
      <c r="IV30" s="18" t="n"/>
      <c r="IW30" s="18" t="n"/>
      <c r="IX30" s="18" t="n"/>
      <c r="IY30" s="18" t="n"/>
      <c r="IZ30" s="18" t="n"/>
      <c r="JA30" s="18" t="n"/>
      <c r="JB30" s="18" t="n"/>
      <c r="JC30" s="18" t="n"/>
      <c r="JD30" s="18" t="n"/>
      <c r="JE30" s="18" t="n"/>
      <c r="JF30" s="18" t="n"/>
      <c r="JG30" s="18" t="n"/>
      <c r="JH30" s="18" t="n"/>
      <c r="JI30" s="18" t="n"/>
      <c r="JJ30" s="18" t="n"/>
      <c r="JK30" s="18" t="n"/>
      <c r="JL30" s="18" t="n"/>
      <c r="JM30" s="18" t="n"/>
      <c r="JN30" s="18" t="n"/>
      <c r="JO30" s="18" t="n"/>
      <c r="JP30" s="18" t="n"/>
      <c r="JQ30" s="18" t="n"/>
      <c r="JR30" s="18" t="n"/>
      <c r="JS30" s="18" t="n"/>
      <c r="JT30" s="18" t="n"/>
      <c r="JU30" s="18" t="n"/>
      <c r="JV30" s="18" t="n"/>
      <c r="JW30" s="18" t="n"/>
      <c r="JX30" s="18" t="n"/>
      <c r="JY30" s="18" t="n"/>
      <c r="JZ30" s="18" t="n"/>
      <c r="KA30" s="18" t="n"/>
      <c r="KB30" s="18" t="n"/>
      <c r="KC30" s="18" t="n"/>
      <c r="KD30" s="18" t="n"/>
      <c r="KE30" s="18" t="n"/>
      <c r="KF30" s="18" t="n"/>
      <c r="KG30" s="18" t="n"/>
      <c r="KH30" s="18" t="n"/>
      <c r="KI30" s="18" t="n"/>
      <c r="KJ30" s="18" t="n"/>
      <c r="KK30" s="18" t="n"/>
      <c r="KL30" s="18" t="n"/>
      <c r="KM30" s="18" t="n"/>
      <c r="KN30" s="18" t="n"/>
      <c r="KO30" s="18" t="n"/>
      <c r="KP30" s="18" t="n"/>
      <c r="KQ30" s="18" t="n"/>
      <c r="KR30" s="18" t="n"/>
      <c r="KS30" s="18" t="n"/>
      <c r="KT30" s="18" t="n"/>
      <c r="KU30" s="18" t="n"/>
      <c r="KV30" s="18" t="n"/>
      <c r="KW30" s="18" t="n"/>
      <c r="KX30" s="18" t="n"/>
      <c r="KY30" s="18" t="n"/>
      <c r="KZ30" s="18" t="n"/>
      <c r="LA30" s="18" t="n"/>
      <c r="LB30" s="18" t="n"/>
      <c r="LC30" s="18" t="n"/>
      <c r="LD30" s="18" t="n"/>
      <c r="LE30" s="18" t="n"/>
      <c r="LF30" s="18" t="n"/>
      <c r="LG30" s="18" t="n"/>
      <c r="LH30" s="18" t="n"/>
      <c r="LI30" s="18" t="n"/>
      <c r="LJ30" s="18" t="n"/>
      <c r="LK30" s="18" t="n"/>
      <c r="LL30" s="18" t="n"/>
      <c r="LM30" s="18" t="n"/>
      <c r="LN30" s="18" t="n"/>
      <c r="LO30" s="18" t="n"/>
      <c r="LP30" s="18" t="n"/>
      <c r="LQ30" s="18" t="n"/>
      <c r="LR30" s="18" t="n"/>
      <c r="LS30" s="18" t="n"/>
      <c r="LT30" s="18" t="n"/>
      <c r="LU30" s="18" t="n"/>
      <c r="LV30" s="18" t="n"/>
      <c r="LW30" s="18" t="n"/>
      <c r="LX30" s="18" t="n"/>
      <c r="LY30" s="18" t="n"/>
      <c r="LZ30" s="18" t="n"/>
      <c r="MA30" s="18" t="n"/>
    </row>
    <row r="31" ht="52.05" customHeight="1" s="88">
      <c r="A31" s="29" t="inlineStr">
        <is>
          <t>9000</t>
        </is>
      </c>
      <c r="B31" s="29" t="inlineStr">
        <is>
          <t>9000-6</t>
        </is>
      </c>
      <c r="C31" s="29" t="inlineStr">
        <is>
          <t>건축</t>
        </is>
      </c>
      <c r="D31" s="29" t="inlineStr">
        <is>
          <t>9000-6-30</t>
        </is>
      </c>
      <c r="E31" s="102" t="inlineStr">
        <is>
          <t>9000-6-27, 9000-6-28</t>
        </is>
      </c>
      <c r="F31" s="102" t="inlineStr">
        <is>
          <t>9000-6-32, 9000-6-33</t>
        </is>
      </c>
      <c r="G31" s="32" t="inlineStr">
        <is>
          <t>조적공사</t>
        </is>
      </c>
      <c r="H31" s="33" t="n"/>
      <c r="I31" s="33" t="inlineStr">
        <is>
          <t>현장소장</t>
        </is>
      </c>
      <c r="J31" s="34" t="inlineStr">
        <is>
          <t>건축물 내부 칸막이 벽체 형성</t>
        </is>
      </c>
      <c r="K31" s="34" t="inlineStr">
        <is>
          <t>시멘트 벽돌 및 블록으로 세대 칸막이 형성 일일 최대 쌓는높이 1.2m(내력벽)</t>
        </is>
      </c>
      <c r="L31" s="34" t="inlineStr">
        <is>
          <t>시멘트 벽돌 및 블록 검측서</t>
        </is>
      </c>
      <c r="M31" s="34" t="inlineStr">
        <is>
          <t>1) 조적공사 (WBS 9000-4-30) 관련 시멘트 벽돌 및 블록으로 세대 칸막이 형성 일일 최대 쌓는높이 1.2m(내력벽) 수칙 및 법적 이행 의무를 1:1 준수한다. 또한 KDS 41 00 00 (건축구조기준), KDS 41 17 00 (내진설계기준) 및 KCS 41 00 00 (건축공사 표준시방서) 기술기준을 100% 충족한다.
2) 조적공사 달성을 위한 필수 시공 방법(시멘트 벽돌 및 블록으로 세대 칸막이 형성 일일 최대 쌓는높이 1.2m(내력벽)...)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31" s="35">
        <f>HYPERLINK(LEFT(CELL("filename",A1),FIND("[",CELL("filename",A1))-1)&amp;"6.건축\30_조적공사\표준서\조적공사_표준서.html", "👉 [클릭] 표준서 열기 📄")</f>
        <v/>
      </c>
      <c r="O31" s="34" t="inlineStr">
        <is>
          <t>1) 조적공사 (WBS 9000-4-30) 사전 건축 인허가 서식 제출(관할 지자체/소방서), 3D BIM 도서 대조 및 기계·전기·통신 4대 인터페이스 개구부를 확정한다.
2) 실무 작업방법 수칙(시멘트 벽돌 및 블록으로 세대 칸막이 형성 일일 최대 쌓는높이 1.2m(내력벽))에 따라 철근 이음/피복두께 검측, 거푸집 다짐 양생 및 현장 3대 금기 수칙(피복 미달, 무단 타설)을 완수한다.</t>
        </is>
      </c>
      <c r="P31" s="36">
        <f>HYPERLINK(LEFT(CELL("filename",A1),FIND("[",CELL("filename",A1))-1)&amp;"6.건축\30_조적공사\수행지침\조적공사_수행지침.html", "👉 [클릭] 수행지침 열기 📄")</f>
        <v/>
      </c>
      <c r="Q31" s="34" t="inlineStr">
        <is>
          <t>1) 건축법 제11조 및 KDS 41 00 00 건축구조기준에 따라 조적공사 사전 검토를 수행하였는가? 또한 레미콘 규격(24~30MPa), 철근 시험성적서 및 방수자재 KCS 표준 품질 적격성을 검수하였는가?
2) 미검측 및 정량 시방 미달에 따른 조적공사 (WBS 9000-4-30) 구조 균열/누수 하자 발생, 개구부 누락 재시공 손실 및 최종 시멘트 벽돌 및 블록 검측서 승인 반려 리스크를 전면 차단한다.</t>
        </is>
      </c>
      <c r="R31" s="37">
        <f>HYPERLINK(LEFT(CELL("filename",A1),FIND("[",CELL("filename",A1))-1)&amp;"6.건축\30_조적공사\체크리스트\조적공사_체크리스트.html", "👉 [클릭] 체크리스트 열기 📄")</f>
        <v/>
      </c>
      <c r="S31" s="33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Y31" s="18" t="n"/>
      <c r="DZ31" s="18" t="n"/>
      <c r="EA31" s="18" t="n"/>
      <c r="EB31" s="18" t="n"/>
      <c r="EC31" s="18" t="n"/>
      <c r="ED31" s="18" t="n"/>
      <c r="EE31" s="18" t="n"/>
      <c r="EF31" s="18" t="n"/>
      <c r="EG31" s="18" t="n"/>
      <c r="EH31" s="18" t="n"/>
      <c r="EI31" s="18" t="n"/>
      <c r="EJ31" s="18" t="n"/>
      <c r="EK31" s="18" t="n"/>
      <c r="EL31" s="18" t="n"/>
      <c r="EM31" s="18" t="n"/>
      <c r="EN31" s="18" t="n"/>
      <c r="EO31" s="18" t="n"/>
      <c r="EP31" s="18" t="n"/>
      <c r="EQ31" s="18" t="n"/>
      <c r="ER31" s="18" t="n"/>
      <c r="ES31" s="18" t="n"/>
      <c r="ET31" s="18" t="n"/>
      <c r="EU31" s="18" t="n"/>
      <c r="EV31" s="18" t="n"/>
      <c r="EW31" s="18" t="n"/>
      <c r="EX31" s="18" t="n"/>
      <c r="EY31" s="18" t="n"/>
      <c r="EZ31" s="18" t="n"/>
      <c r="FA31" s="18" t="n"/>
      <c r="FB31" s="18" t="n"/>
      <c r="FC31" s="18" t="n"/>
      <c r="FD31" s="18" t="n"/>
      <c r="FE31" s="18" t="n"/>
      <c r="FF31" s="18" t="n"/>
      <c r="FG31" s="18" t="n"/>
      <c r="FH31" s="18" t="n"/>
      <c r="FI31" s="18" t="n"/>
      <c r="FJ31" s="18" t="n"/>
      <c r="FK31" s="18" t="n"/>
      <c r="FL31" s="18" t="n"/>
      <c r="FM31" s="18" t="n"/>
      <c r="FN31" s="18" t="n"/>
      <c r="FO31" s="18" t="n"/>
      <c r="FP31" s="18" t="n"/>
      <c r="FQ31" s="18" t="n"/>
      <c r="FR31" s="18" t="n"/>
      <c r="FS31" s="18" t="n"/>
      <c r="FT31" s="18" t="n"/>
      <c r="FU31" s="18" t="n"/>
      <c r="FV31" s="18" t="n"/>
      <c r="FW31" s="18" t="n"/>
      <c r="FX31" s="18" t="n"/>
      <c r="FY31" s="18" t="n"/>
      <c r="FZ31" s="18" t="n"/>
      <c r="GA31" s="18" t="n"/>
      <c r="GB31" s="18" t="n"/>
      <c r="GC31" s="18" t="n"/>
      <c r="GD31" s="18" t="n"/>
      <c r="GE31" s="18" t="n"/>
      <c r="GF31" s="18" t="n"/>
      <c r="GG31" s="18" t="n"/>
      <c r="GH31" s="18" t="n"/>
      <c r="GI31" s="18" t="n"/>
      <c r="GJ31" s="18" t="n"/>
      <c r="GK31" s="18" t="n"/>
      <c r="GL31" s="18" t="n"/>
      <c r="GM31" s="18" t="n"/>
      <c r="GN31" s="18" t="n"/>
      <c r="GO31" s="18" t="n"/>
      <c r="GP31" s="18" t="n"/>
      <c r="GQ31" s="18" t="n"/>
      <c r="GR31" s="18" t="n"/>
      <c r="GS31" s="18" t="n"/>
      <c r="GT31" s="18" t="n"/>
      <c r="GU31" s="18" t="n"/>
      <c r="GV31" s="18" t="n"/>
      <c r="GW31" s="18" t="n"/>
      <c r="GX31" s="18" t="n"/>
      <c r="GY31" s="18" t="n"/>
      <c r="GZ31" s="18" t="n"/>
      <c r="HA31" s="18" t="n"/>
      <c r="HB31" s="18" t="n"/>
      <c r="HC31" s="18" t="n"/>
      <c r="HD31" s="18" t="n"/>
      <c r="HE31" s="18" t="n"/>
      <c r="HF31" s="18" t="n"/>
      <c r="HG31" s="18" t="n"/>
      <c r="HH31" s="18" t="n"/>
      <c r="HI31" s="18" t="n"/>
      <c r="HJ31" s="18" t="n"/>
      <c r="HK31" s="18" t="n"/>
      <c r="HL31" s="18" t="n"/>
      <c r="HM31" s="18" t="n"/>
      <c r="HN31" s="18" t="n"/>
      <c r="HO31" s="18" t="n"/>
      <c r="HP31" s="18" t="n"/>
      <c r="HQ31" s="18" t="n"/>
      <c r="HR31" s="18" t="n"/>
      <c r="HS31" s="18" t="n"/>
      <c r="HT31" s="18" t="n"/>
      <c r="HU31" s="18" t="n"/>
      <c r="HV31" s="18" t="n"/>
      <c r="HW31" s="18" t="n"/>
      <c r="HX31" s="18" t="n"/>
      <c r="HY31" s="18" t="n"/>
      <c r="HZ31" s="18" t="n"/>
      <c r="IA31" s="18" t="n"/>
      <c r="IB31" s="18" t="n"/>
      <c r="IC31" s="18" t="n"/>
      <c r="ID31" s="18" t="n"/>
      <c r="IE31" s="18" t="n"/>
      <c r="IF31" s="18" t="n"/>
      <c r="IG31" s="18" t="n"/>
      <c r="IH31" s="18" t="n"/>
      <c r="II31" s="18" t="n"/>
      <c r="IJ31" s="18" t="n"/>
      <c r="IK31" s="18" t="n"/>
      <c r="IL31" s="18" t="n"/>
      <c r="IM31" s="18" t="n"/>
      <c r="IN31" s="18" t="n"/>
      <c r="IO31" s="18" t="n"/>
      <c r="IP31" s="18" t="n"/>
      <c r="IQ31" s="18" t="n"/>
      <c r="IR31" s="18" t="n"/>
      <c r="IS31" s="18" t="n"/>
      <c r="IT31" s="18" t="n"/>
      <c r="IU31" s="18" t="n"/>
      <c r="IV31" s="18" t="n"/>
      <c r="IW31" s="18" t="n"/>
      <c r="IX31" s="18" t="n"/>
      <c r="IY31" s="18" t="n"/>
      <c r="IZ31" s="18" t="n"/>
      <c r="JA31" s="18" t="n"/>
      <c r="JB31" s="18" t="n"/>
      <c r="JC31" s="18" t="n"/>
      <c r="JD31" s="18" t="n"/>
      <c r="JE31" s="18" t="n"/>
      <c r="JF31" s="18" t="n"/>
      <c r="JG31" s="18" t="n"/>
      <c r="JH31" s="18" t="n"/>
      <c r="JI31" s="18" t="n"/>
      <c r="JJ31" s="18" t="n"/>
      <c r="JK31" s="18" t="n"/>
      <c r="JL31" s="18" t="n"/>
      <c r="JM31" s="18" t="n"/>
      <c r="JN31" s="18" t="n"/>
      <c r="JO31" s="18" t="n"/>
      <c r="JP31" s="18" t="n"/>
      <c r="JQ31" s="18" t="n"/>
      <c r="JR31" s="18" t="n"/>
      <c r="JS31" s="18" t="n"/>
      <c r="JT31" s="18" t="n"/>
      <c r="JU31" s="18" t="n"/>
      <c r="JV31" s="18" t="n"/>
      <c r="JW31" s="18" t="n"/>
      <c r="JX31" s="18" t="n"/>
      <c r="JY31" s="18" t="n"/>
      <c r="JZ31" s="18" t="n"/>
      <c r="KA31" s="18" t="n"/>
      <c r="KB31" s="18" t="n"/>
      <c r="KC31" s="18" t="n"/>
      <c r="KD31" s="18" t="n"/>
      <c r="KE31" s="18" t="n"/>
      <c r="KF31" s="18" t="n"/>
      <c r="KG31" s="18" t="n"/>
      <c r="KH31" s="18" t="n"/>
      <c r="KI31" s="18" t="n"/>
      <c r="KJ31" s="18" t="n"/>
      <c r="KK31" s="18" t="n"/>
      <c r="KL31" s="18" t="n"/>
      <c r="KM31" s="18" t="n"/>
      <c r="KN31" s="18" t="n"/>
      <c r="KO31" s="18" t="n"/>
      <c r="KP31" s="18" t="n"/>
      <c r="KQ31" s="18" t="n"/>
      <c r="KR31" s="18" t="n"/>
      <c r="KS31" s="18" t="n"/>
      <c r="KT31" s="18" t="n"/>
      <c r="KU31" s="18" t="n"/>
      <c r="KV31" s="18" t="n"/>
      <c r="KW31" s="18" t="n"/>
      <c r="KX31" s="18" t="n"/>
      <c r="KY31" s="18" t="n"/>
      <c r="KZ31" s="18" t="n"/>
      <c r="LA31" s="18" t="n"/>
      <c r="LB31" s="18" t="n"/>
      <c r="LC31" s="18" t="n"/>
      <c r="LD31" s="18" t="n"/>
      <c r="LE31" s="18" t="n"/>
      <c r="LF31" s="18" t="n"/>
      <c r="LG31" s="18" t="n"/>
      <c r="LH31" s="18" t="n"/>
      <c r="LI31" s="18" t="n"/>
      <c r="LJ31" s="18" t="n"/>
      <c r="LK31" s="18" t="n"/>
      <c r="LL31" s="18" t="n"/>
      <c r="LM31" s="18" t="n"/>
      <c r="LN31" s="18" t="n"/>
      <c r="LO31" s="18" t="n"/>
      <c r="LP31" s="18" t="n"/>
      <c r="LQ31" s="18" t="n"/>
      <c r="LR31" s="18" t="n"/>
      <c r="LS31" s="18" t="n"/>
      <c r="LT31" s="18" t="n"/>
      <c r="LU31" s="18" t="n"/>
      <c r="LV31" s="18" t="n"/>
      <c r="LW31" s="18" t="n"/>
      <c r="LX31" s="18" t="n"/>
      <c r="LY31" s="18" t="n"/>
      <c r="LZ31" s="18" t="n"/>
      <c r="MA31" s="18" t="n"/>
      <c r="MB31" s="18" t="n"/>
      <c r="MC31" s="18" t="n"/>
      <c r="MD31" s="18" t="n"/>
      <c r="ME31" s="18" t="n"/>
    </row>
    <row r="32" ht="52.05" customHeight="1" s="88">
      <c r="A32" s="19" t="inlineStr">
        <is>
          <t>9000</t>
        </is>
      </c>
      <c r="B32" s="19" t="inlineStr">
        <is>
          <t>9000-6</t>
        </is>
      </c>
      <c r="C32" s="19" t="inlineStr">
        <is>
          <t>건축</t>
        </is>
      </c>
      <c r="D32" s="19" t="inlineStr">
        <is>
          <t>9000-6-31</t>
        </is>
      </c>
      <c r="E32" s="95" t="inlineStr">
        <is>
          <t>9000-6-29</t>
        </is>
      </c>
      <c r="F32" s="95" t="inlineStr">
        <is>
          <t>9000-6-34</t>
        </is>
      </c>
      <c r="G32" s="23" t="inlineStr">
        <is>
          <t>내부 방수공사</t>
        </is>
      </c>
      <c r="H32" s="21" t="n"/>
      <c r="I32" s="21" t="inlineStr">
        <is>
          <t>현장소장</t>
        </is>
      </c>
      <c r="J32" s="24" t="inlineStr">
        <is>
          <t>건축물 내부에서 물을 사용하는 실(화장실)등에 누수 방지</t>
        </is>
      </c>
      <c r="K32" s="24" t="inlineStr">
        <is>
          <t>구조물 청소 및 바탕정리후 방수공사 시행(코너부 및 드레인 주위 보강방수 실시)</t>
        </is>
      </c>
      <c r="L32" s="24" t="inlineStr">
        <is>
          <t>방수공사 검측서</t>
        </is>
      </c>
      <c r="M32" s="24" t="inlineStr">
        <is>
          <t>1) 내부 방수공사 (WBS 9000-4-31) 관련 구조물 청소 및 바탕정리후 방수공사 시행(코너부 및 드레인 주위 보강방수 실시) 수칙 및 법적 이행 의무를 1:1 준수한다. 또한 KDS 41 00 00 (건축구조기준), KDS 41 17 00 (내진설계기준) 및 KCS 41 00 00 (건축공사 표준시방서) 기술기준을 100% 충족한다.
2) 내부 방수공사 달성을 위한 필수 시공 방법(구조물 청소 및 바탕정리후 방수공사 시행(코너부 및 드레인 주위 보강방수 실시)...)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32" s="25">
        <f>HYPERLINK(LEFT(CELL("filename",A1),FIND("[",CELL("filename",A1))-1)&amp;"6.건축\31_내부 방수공사\표준서\내부 방수공사_표준서.html", "👉 [클릭] 표준서 열기 📄")</f>
        <v/>
      </c>
      <c r="O32" s="24" t="inlineStr">
        <is>
          <t>1) 내부 방수공사 (WBS 9000-4-31) 사전 건축 인허가 서식 제출(관할 지자체/소방서), 3D BIM 도서 대조 및 기계·전기·통신 4대 인터페이스 개구부를 확정한다.
2) 실무 작업방법 수칙(구조물 청소 및 바탕정리후 방수공사 시행(코너부 및 드레인 주위 보강방수 실시))에 따라 철근 이음/피복두께 검측, 거푸집 다짐 양생 및 현장 3대 금기 수칙(피복 미달, 무단 타설)을 완수한다.</t>
        </is>
      </c>
      <c r="P32" s="26">
        <f>HYPERLINK(LEFT(CELL("filename",A1),FIND("[",CELL("filename",A1))-1)&amp;"6.건축\31_내부 방수공사\수행지침\내부 방수공사_수행지침.html", "👉 [클릭] 수행지침 열기 📄")</f>
        <v/>
      </c>
      <c r="Q32" s="24" t="inlineStr">
        <is>
          <t>1) 건축법 제11조 및 KDS 41 00 00 건축구조기준에 따라 내부 방수공사 사전 검토를 수행하였는가? 또한 레미콘 규격(24~30MPa), 철근 시험성적서 및 방수자재 KCS 표준 품질 적격성을 검수하였는가?
2) 미검측 및 정량 시방 미달에 따른 내부 방수공사 (WBS 9000-4-31) 구조 균열/누수 하자 발생, 개구부 누락 재시공 손실 및 최종 방수공사 검측서 승인 반려 리스크를 전면 차단한다.</t>
        </is>
      </c>
      <c r="R32" s="27">
        <f>HYPERLINK(LEFT(CELL("filename",A1),FIND("[",CELL("filename",A1))-1)&amp;"6.건축\31_내부 방수공사\체크리스트\내부 방수공사_체크리스트.html", "👉 [클릭] 체크리스트 열기 📄")</f>
        <v/>
      </c>
      <c r="S32" s="2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Y32" s="18" t="n"/>
      <c r="DZ32" s="18" t="n"/>
      <c r="EA32" s="18" t="n"/>
      <c r="EB32" s="18" t="n"/>
      <c r="EC32" s="18" t="n"/>
      <c r="ED32" s="18" t="n"/>
      <c r="EE32" s="18" t="n"/>
      <c r="EF32" s="18" t="n"/>
      <c r="EG32" s="18" t="n"/>
      <c r="EH32" s="18" t="n"/>
      <c r="EI32" s="18" t="n"/>
      <c r="EJ32" s="18" t="n"/>
      <c r="EK32" s="18" t="n"/>
      <c r="EL32" s="18" t="n"/>
      <c r="EM32" s="18" t="n"/>
      <c r="EN32" s="18" t="n"/>
      <c r="EO32" s="18" t="n"/>
      <c r="EP32" s="18" t="n"/>
      <c r="EQ32" s="18" t="n"/>
      <c r="ER32" s="18" t="n"/>
      <c r="ES32" s="18" t="n"/>
      <c r="ET32" s="18" t="n"/>
      <c r="EU32" s="18" t="n"/>
      <c r="EV32" s="18" t="n"/>
      <c r="EW32" s="18" t="n"/>
      <c r="EX32" s="18" t="n"/>
      <c r="EY32" s="18" t="n"/>
      <c r="EZ32" s="18" t="n"/>
      <c r="FA32" s="18" t="n"/>
      <c r="FB32" s="18" t="n"/>
      <c r="FC32" s="18" t="n"/>
      <c r="FD32" s="18" t="n"/>
      <c r="FE32" s="18" t="n"/>
      <c r="FF32" s="18" t="n"/>
      <c r="FG32" s="18" t="n"/>
      <c r="FH32" s="18" t="n"/>
      <c r="FI32" s="18" t="n"/>
      <c r="FJ32" s="18" t="n"/>
      <c r="FK32" s="18" t="n"/>
      <c r="FL32" s="18" t="n"/>
      <c r="FM32" s="18" t="n"/>
      <c r="FN32" s="18" t="n"/>
      <c r="FO32" s="18" t="n"/>
      <c r="FP32" s="18" t="n"/>
      <c r="FQ32" s="18" t="n"/>
      <c r="FR32" s="18" t="n"/>
      <c r="FS32" s="18" t="n"/>
      <c r="FT32" s="18" t="n"/>
      <c r="FU32" s="18" t="n"/>
      <c r="FV32" s="18" t="n"/>
      <c r="FW32" s="18" t="n"/>
      <c r="FX32" s="18" t="n"/>
      <c r="FY32" s="18" t="n"/>
      <c r="FZ32" s="18" t="n"/>
      <c r="GA32" s="18" t="n"/>
      <c r="GB32" s="18" t="n"/>
      <c r="GC32" s="18" t="n"/>
      <c r="GD32" s="18" t="n"/>
      <c r="GE32" s="18" t="n"/>
      <c r="GF32" s="18" t="n"/>
      <c r="GG32" s="18" t="n"/>
      <c r="GH32" s="18" t="n"/>
      <c r="GI32" s="18" t="n"/>
      <c r="GJ32" s="18" t="n"/>
      <c r="GK32" s="18" t="n"/>
      <c r="GL32" s="18" t="n"/>
      <c r="GM32" s="18" t="n"/>
      <c r="GN32" s="18" t="n"/>
      <c r="GO32" s="18" t="n"/>
      <c r="GP32" s="18" t="n"/>
      <c r="GQ32" s="18" t="n"/>
      <c r="GR32" s="18" t="n"/>
      <c r="GS32" s="18" t="n"/>
      <c r="GT32" s="18" t="n"/>
      <c r="GU32" s="18" t="n"/>
      <c r="GV32" s="18" t="n"/>
      <c r="GW32" s="18" t="n"/>
      <c r="GX32" s="18" t="n"/>
      <c r="GY32" s="18" t="n"/>
      <c r="GZ32" s="18" t="n"/>
      <c r="HA32" s="18" t="n"/>
      <c r="HB32" s="18" t="n"/>
      <c r="HC32" s="18" t="n"/>
      <c r="HD32" s="18" t="n"/>
      <c r="HE32" s="18" t="n"/>
      <c r="HF32" s="18" t="n"/>
      <c r="HG32" s="18" t="n"/>
      <c r="HH32" s="18" t="n"/>
      <c r="HI32" s="18" t="n"/>
      <c r="HJ32" s="18" t="n"/>
      <c r="HK32" s="18" t="n"/>
      <c r="HL32" s="18" t="n"/>
      <c r="HM32" s="18" t="n"/>
      <c r="HN32" s="18" t="n"/>
      <c r="HO32" s="18" t="n"/>
      <c r="HP32" s="18" t="n"/>
      <c r="HQ32" s="18" t="n"/>
      <c r="HR32" s="18" t="n"/>
      <c r="HS32" s="18" t="n"/>
      <c r="HT32" s="18" t="n"/>
      <c r="HU32" s="18" t="n"/>
      <c r="HV32" s="18" t="n"/>
      <c r="HW32" s="18" t="n"/>
      <c r="HX32" s="18" t="n"/>
      <c r="HY32" s="18" t="n"/>
      <c r="HZ32" s="18" t="n"/>
      <c r="IA32" s="18" t="n"/>
      <c r="IB32" s="18" t="n"/>
      <c r="IC32" s="18" t="n"/>
      <c r="ID32" s="18" t="n"/>
      <c r="IE32" s="18" t="n"/>
      <c r="IF32" s="18" t="n"/>
      <c r="IG32" s="18" t="n"/>
      <c r="IH32" s="18" t="n"/>
      <c r="II32" s="18" t="n"/>
      <c r="IJ32" s="18" t="n"/>
      <c r="IK32" s="18" t="n"/>
      <c r="IL32" s="18" t="n"/>
      <c r="IM32" s="18" t="n"/>
      <c r="IN32" s="18" t="n"/>
      <c r="IO32" s="18" t="n"/>
      <c r="IP32" s="18" t="n"/>
      <c r="IQ32" s="18" t="n"/>
      <c r="IR32" s="18" t="n"/>
      <c r="IS32" s="18" t="n"/>
      <c r="IT32" s="18" t="n"/>
      <c r="IU32" s="18" t="n"/>
      <c r="IV32" s="18" t="n"/>
      <c r="IW32" s="18" t="n"/>
      <c r="IX32" s="18" t="n"/>
      <c r="IY32" s="18" t="n"/>
      <c r="IZ32" s="18" t="n"/>
      <c r="JA32" s="18" t="n"/>
      <c r="JB32" s="18" t="n"/>
      <c r="JC32" s="18" t="n"/>
      <c r="JD32" s="18" t="n"/>
      <c r="JE32" s="18" t="n"/>
      <c r="JF32" s="18" t="n"/>
      <c r="JG32" s="18" t="n"/>
      <c r="JH32" s="18" t="n"/>
      <c r="JI32" s="18" t="n"/>
      <c r="JJ32" s="18" t="n"/>
      <c r="JK32" s="18" t="n"/>
      <c r="JL32" s="18" t="n"/>
      <c r="JM32" s="18" t="n"/>
      <c r="JN32" s="18" t="n"/>
      <c r="JO32" s="18" t="n"/>
      <c r="JP32" s="18" t="n"/>
      <c r="JQ32" s="18" t="n"/>
      <c r="JR32" s="18" t="n"/>
      <c r="JS32" s="18" t="n"/>
      <c r="JT32" s="18" t="n"/>
      <c r="JU32" s="18" t="n"/>
      <c r="JV32" s="18" t="n"/>
      <c r="JW32" s="18" t="n"/>
      <c r="JX32" s="18" t="n"/>
      <c r="JY32" s="18" t="n"/>
      <c r="JZ32" s="18" t="n"/>
      <c r="KA32" s="18" t="n"/>
      <c r="KB32" s="18" t="n"/>
      <c r="KC32" s="18" t="n"/>
      <c r="KD32" s="18" t="n"/>
      <c r="KE32" s="18" t="n"/>
      <c r="KF32" s="18" t="n"/>
      <c r="KG32" s="18" t="n"/>
      <c r="KH32" s="18" t="n"/>
      <c r="KI32" s="18" t="n"/>
      <c r="KJ32" s="18" t="n"/>
      <c r="KK32" s="18" t="n"/>
      <c r="KL32" s="18" t="n"/>
      <c r="KM32" s="18" t="n"/>
      <c r="KN32" s="18" t="n"/>
      <c r="KO32" s="18" t="n"/>
      <c r="KP32" s="18" t="n"/>
      <c r="KQ32" s="18" t="n"/>
      <c r="KR32" s="18" t="n"/>
      <c r="KS32" s="18" t="n"/>
      <c r="KT32" s="18" t="n"/>
      <c r="KU32" s="18" t="n"/>
      <c r="KV32" s="18" t="n"/>
      <c r="KW32" s="18" t="n"/>
      <c r="KX32" s="18" t="n"/>
      <c r="KY32" s="18" t="n"/>
      <c r="KZ32" s="18" t="n"/>
      <c r="LA32" s="18" t="n"/>
      <c r="LB32" s="18" t="n"/>
      <c r="LC32" s="18" t="n"/>
      <c r="LD32" s="18" t="n"/>
      <c r="LE32" s="18" t="n"/>
      <c r="LF32" s="18" t="n"/>
      <c r="LG32" s="18" t="n"/>
      <c r="LH32" s="18" t="n"/>
      <c r="LI32" s="18" t="n"/>
      <c r="LJ32" s="18" t="n"/>
      <c r="LK32" s="18" t="n"/>
      <c r="LL32" s="18" t="n"/>
      <c r="LM32" s="18" t="n"/>
      <c r="LN32" s="18" t="n"/>
      <c r="LO32" s="18" t="n"/>
      <c r="LP32" s="18" t="n"/>
      <c r="LQ32" s="18" t="n"/>
      <c r="LR32" s="18" t="n"/>
      <c r="LS32" s="18" t="n"/>
      <c r="LT32" s="18" t="n"/>
      <c r="LU32" s="18" t="n"/>
      <c r="LV32" s="18" t="n"/>
      <c r="LW32" s="18" t="n"/>
      <c r="LX32" s="18" t="n"/>
      <c r="LY32" s="18" t="n"/>
      <c r="LZ32" s="18" t="n"/>
      <c r="MA32" s="18" t="n"/>
      <c r="MB32" s="18" t="n"/>
      <c r="MC32" s="18" t="n"/>
      <c r="MD32" s="18" t="n"/>
      <c r="ME32" s="18" t="n"/>
      <c r="MF32" s="18" t="n"/>
      <c r="MG32" s="18" t="n"/>
      <c r="MH32" s="18" t="n"/>
      <c r="MI32" s="18" t="n"/>
    </row>
    <row r="33" ht="52.05" customHeight="1" s="88">
      <c r="A33" s="29" t="inlineStr">
        <is>
          <t>9000</t>
        </is>
      </c>
      <c r="B33" s="29" t="inlineStr">
        <is>
          <t>9000-6</t>
        </is>
      </c>
      <c r="C33" s="29" t="inlineStr">
        <is>
          <t>건축</t>
        </is>
      </c>
      <c r="D33" s="29" t="inlineStr">
        <is>
          <t>9000-6-32</t>
        </is>
      </c>
      <c r="E33" s="102" t="inlineStr">
        <is>
          <t>9000-6-29, 9000-6-30</t>
        </is>
      </c>
      <c r="F33" s="102" t="inlineStr">
        <is>
          <t>9000-6-34, 9000-6-35</t>
        </is>
      </c>
      <c r="G33" s="32" t="inlineStr">
        <is>
          <t>미장 및 타일공사</t>
        </is>
      </c>
      <c r="H33" s="33" t="n"/>
      <c r="I33" s="33" t="inlineStr">
        <is>
          <t>현장소장</t>
        </is>
      </c>
      <c r="J33" s="34" t="inlineStr">
        <is>
          <t>바탕면이 콘크리트나 조적공사 위에 마감공사 수행(초벌, 재벌, 정벌)</t>
        </is>
      </c>
      <c r="K33" s="34" t="inlineStr">
        <is>
          <t>미장공사는 시멘트와 모래(1:3배합)하여 바탕면에 바르는 작업, 타일공사는 벽면 미장후 타일시공</t>
        </is>
      </c>
      <c r="L33" s="34" t="inlineStr">
        <is>
          <t>미장,타일 검측서</t>
        </is>
      </c>
      <c r="M33" s="34" t="inlineStr">
        <is>
          <t>1) 미장 및 타일공사 (WBS 9000-4-32) 관련 미장공사는 시멘트와 모래(1:3배합)하여 바탕면에 바르는 작업, 타일공사는 벽면 미장후 타일시공 수칙 및 법적 이행 의무를 1:1 준수한다. 또한 KDS 41 00 00 (건축구조기준), KDS 41 17 00 (내진설계기준) 및 KCS 41 00 00 (건축공사 표준시방서) 기술기준을 100% 충족한다.
2) 미장 및 타일공사 달성을 위한 필수 시공 방법(미장공사는 시멘트와 모래(1:3배합)하여 바탕면에 바르는 작업, 타일공사는 벽면 미장후 타일시공...)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33" s="35">
        <f>HYPERLINK(LEFT(CELL("filename",A1),FIND("[",CELL("filename",A1))-1)&amp;"6.건축\32_미장 및 타일공사\표준서\미장 및 타일공사_표준서.html", "👉 [클릭] 표준서 열기 📄")</f>
        <v/>
      </c>
      <c r="O33" s="34" t="inlineStr">
        <is>
          <t>1) 미장 및 타일공사 (WBS 9000-4-32) 사전 건축 인허가 서식 제출(관할 지자체/소방서), 3D BIM 도서 대조 및 기계·전기·통신 4대 인터페이스 개구부를 확정한다.
2) 실무 작업방법 수칙(미장공사는 시멘트와 모래(1:3배합)하여 바탕면에 바르는 작업, 타일공사는 벽면 미장후 타일시공)에 따라 철근 이음/피복두께 검측, 거푸집 다짐 양생 및 현장 3대 금기 수칙(피복 미달, 무단 타설)을 완수한다.</t>
        </is>
      </c>
      <c r="P33" s="36">
        <f>HYPERLINK(LEFT(CELL("filename",A1),FIND("[",CELL("filename",A1))-1)&amp;"6.건축\32_미장 및 타일공사\수행지침\미장 및 타일공사_수행지침.html", "👉 [클릭] 수행지침 열기 📄")</f>
        <v/>
      </c>
      <c r="Q33" s="34" t="inlineStr">
        <is>
          <t>1) 건축법 제11조 및 KDS 41 00 00 건축구조기준에 따라 미장 및 타일공사 사전 검토를 수행하였는가? 또한 레미콘 규격(24~30MPa), 철근 시험성적서 및 방수자재 KCS 표준 품질 적격성을 검수하였는가?
2) 미검측 및 정량 시방 미달에 따른 미장 및 타일공사 (WBS 9000-4-32) 구조 균열/누수 하자 발생, 개구부 누락 재시공 손실 및 최종 미장,타일 검측서 승인 반려 리스크를 전면 차단한다.</t>
        </is>
      </c>
      <c r="R33" s="37">
        <f>HYPERLINK(LEFT(CELL("filename",A1),FIND("[",CELL("filename",A1))-1)&amp;"6.건축\32_미장 및 타일공사\체크리스트\미장 및 타일공사_체크리스트.html", "👉 [클릭] 체크리스트 열기 📄")</f>
        <v/>
      </c>
      <c r="S33" s="33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Y33" s="18" t="n"/>
      <c r="DZ33" s="18" t="n"/>
      <c r="EA33" s="18" t="n"/>
      <c r="EB33" s="18" t="n"/>
      <c r="EC33" s="18" t="n"/>
      <c r="ED33" s="18" t="n"/>
      <c r="EE33" s="18" t="n"/>
      <c r="EF33" s="18" t="n"/>
      <c r="EG33" s="18" t="n"/>
      <c r="EH33" s="18" t="n"/>
      <c r="EI33" s="18" t="n"/>
      <c r="EJ33" s="18" t="n"/>
      <c r="EK33" s="18" t="n"/>
      <c r="EL33" s="18" t="n"/>
      <c r="EM33" s="18" t="n"/>
      <c r="EN33" s="18" t="n"/>
      <c r="EO33" s="18" t="n"/>
      <c r="EP33" s="18" t="n"/>
      <c r="EQ33" s="18" t="n"/>
      <c r="ER33" s="18" t="n"/>
      <c r="ES33" s="18" t="n"/>
      <c r="ET33" s="18" t="n"/>
      <c r="EU33" s="18" t="n"/>
      <c r="EV33" s="18" t="n"/>
      <c r="EW33" s="18" t="n"/>
      <c r="EX33" s="18" t="n"/>
      <c r="EY33" s="18" t="n"/>
      <c r="EZ33" s="18" t="n"/>
      <c r="FA33" s="18" t="n"/>
      <c r="FB33" s="18" t="n"/>
      <c r="FC33" s="18" t="n"/>
      <c r="FD33" s="18" t="n"/>
      <c r="FE33" s="18" t="n"/>
      <c r="FF33" s="18" t="n"/>
      <c r="FG33" s="18" t="n"/>
      <c r="FH33" s="18" t="n"/>
      <c r="FI33" s="18" t="n"/>
      <c r="FJ33" s="18" t="n"/>
      <c r="FK33" s="18" t="n"/>
      <c r="FL33" s="18" t="n"/>
      <c r="FM33" s="18" t="n"/>
      <c r="FN33" s="18" t="n"/>
      <c r="FO33" s="18" t="n"/>
      <c r="FP33" s="18" t="n"/>
      <c r="FQ33" s="18" t="n"/>
      <c r="FR33" s="18" t="n"/>
      <c r="FS33" s="18" t="n"/>
      <c r="FT33" s="18" t="n"/>
      <c r="FU33" s="18" t="n"/>
      <c r="FV33" s="18" t="n"/>
      <c r="FW33" s="18" t="n"/>
      <c r="FX33" s="18" t="n"/>
      <c r="FY33" s="18" t="n"/>
      <c r="FZ33" s="18" t="n"/>
      <c r="GA33" s="18" t="n"/>
      <c r="GB33" s="18" t="n"/>
      <c r="GC33" s="18" t="n"/>
      <c r="GD33" s="18" t="n"/>
      <c r="GE33" s="18" t="n"/>
      <c r="GF33" s="18" t="n"/>
      <c r="GG33" s="18" t="n"/>
      <c r="GH33" s="18" t="n"/>
      <c r="GI33" s="18" t="n"/>
      <c r="GJ33" s="18" t="n"/>
      <c r="GK33" s="18" t="n"/>
      <c r="GL33" s="18" t="n"/>
      <c r="GM33" s="18" t="n"/>
      <c r="GN33" s="18" t="n"/>
      <c r="GO33" s="18" t="n"/>
      <c r="GP33" s="18" t="n"/>
      <c r="GQ33" s="18" t="n"/>
      <c r="GR33" s="18" t="n"/>
      <c r="GS33" s="18" t="n"/>
      <c r="GT33" s="18" t="n"/>
      <c r="GU33" s="18" t="n"/>
      <c r="GV33" s="18" t="n"/>
      <c r="GW33" s="18" t="n"/>
      <c r="GX33" s="18" t="n"/>
      <c r="GY33" s="18" t="n"/>
      <c r="GZ33" s="18" t="n"/>
      <c r="HA33" s="18" t="n"/>
      <c r="HB33" s="18" t="n"/>
      <c r="HC33" s="18" t="n"/>
      <c r="HD33" s="18" t="n"/>
      <c r="HE33" s="18" t="n"/>
      <c r="HF33" s="18" t="n"/>
      <c r="HG33" s="18" t="n"/>
      <c r="HH33" s="18" t="n"/>
      <c r="HI33" s="18" t="n"/>
      <c r="HJ33" s="18" t="n"/>
      <c r="HK33" s="18" t="n"/>
      <c r="HL33" s="18" t="n"/>
      <c r="HM33" s="18" t="n"/>
      <c r="HN33" s="18" t="n"/>
      <c r="HO33" s="18" t="n"/>
      <c r="HP33" s="18" t="n"/>
      <c r="HQ33" s="18" t="n"/>
      <c r="HR33" s="18" t="n"/>
      <c r="HS33" s="18" t="n"/>
      <c r="HT33" s="18" t="n"/>
      <c r="HU33" s="18" t="n"/>
      <c r="HV33" s="18" t="n"/>
      <c r="HW33" s="18" t="n"/>
      <c r="HX33" s="18" t="n"/>
      <c r="HY33" s="18" t="n"/>
      <c r="HZ33" s="18" t="n"/>
      <c r="IA33" s="18" t="n"/>
      <c r="IB33" s="18" t="n"/>
      <c r="IC33" s="18" t="n"/>
      <c r="ID33" s="18" t="n"/>
      <c r="IE33" s="18" t="n"/>
      <c r="IF33" s="18" t="n"/>
      <c r="IG33" s="18" t="n"/>
      <c r="IH33" s="18" t="n"/>
      <c r="II33" s="18" t="n"/>
      <c r="IJ33" s="18" t="n"/>
      <c r="IK33" s="18" t="n"/>
      <c r="IL33" s="18" t="n"/>
      <c r="IM33" s="18" t="n"/>
      <c r="IN33" s="18" t="n"/>
      <c r="IO33" s="18" t="n"/>
      <c r="IP33" s="18" t="n"/>
      <c r="IQ33" s="18" t="n"/>
      <c r="IR33" s="18" t="n"/>
      <c r="IS33" s="18" t="n"/>
      <c r="IT33" s="18" t="n"/>
      <c r="IU33" s="18" t="n"/>
      <c r="IV33" s="18" t="n"/>
      <c r="IW33" s="18" t="n"/>
      <c r="IX33" s="18" t="n"/>
      <c r="IY33" s="18" t="n"/>
      <c r="IZ33" s="18" t="n"/>
      <c r="JA33" s="18" t="n"/>
      <c r="JB33" s="18" t="n"/>
      <c r="JC33" s="18" t="n"/>
      <c r="JD33" s="18" t="n"/>
      <c r="JE33" s="18" t="n"/>
      <c r="JF33" s="18" t="n"/>
      <c r="JG33" s="18" t="n"/>
      <c r="JH33" s="18" t="n"/>
      <c r="JI33" s="18" t="n"/>
      <c r="JJ33" s="18" t="n"/>
      <c r="JK33" s="18" t="n"/>
      <c r="JL33" s="18" t="n"/>
      <c r="JM33" s="18" t="n"/>
      <c r="JN33" s="18" t="n"/>
      <c r="JO33" s="18" t="n"/>
      <c r="JP33" s="18" t="n"/>
      <c r="JQ33" s="18" t="n"/>
      <c r="JR33" s="18" t="n"/>
      <c r="JS33" s="18" t="n"/>
      <c r="JT33" s="18" t="n"/>
      <c r="JU33" s="18" t="n"/>
      <c r="JV33" s="18" t="n"/>
      <c r="JW33" s="18" t="n"/>
      <c r="JX33" s="18" t="n"/>
      <c r="JY33" s="18" t="n"/>
      <c r="JZ33" s="18" t="n"/>
      <c r="KA33" s="18" t="n"/>
      <c r="KB33" s="18" t="n"/>
      <c r="KC33" s="18" t="n"/>
      <c r="KD33" s="18" t="n"/>
      <c r="KE33" s="18" t="n"/>
      <c r="KF33" s="18" t="n"/>
      <c r="KG33" s="18" t="n"/>
      <c r="KH33" s="18" t="n"/>
      <c r="KI33" s="18" t="n"/>
      <c r="KJ33" s="18" t="n"/>
      <c r="KK33" s="18" t="n"/>
      <c r="KL33" s="18" t="n"/>
      <c r="KM33" s="18" t="n"/>
      <c r="KN33" s="18" t="n"/>
      <c r="KO33" s="18" t="n"/>
      <c r="KP33" s="18" t="n"/>
      <c r="KQ33" s="18" t="n"/>
      <c r="KR33" s="18" t="n"/>
      <c r="KS33" s="18" t="n"/>
      <c r="KT33" s="18" t="n"/>
      <c r="KU33" s="18" t="n"/>
      <c r="KV33" s="18" t="n"/>
      <c r="KW33" s="18" t="n"/>
      <c r="KX33" s="18" t="n"/>
      <c r="KY33" s="18" t="n"/>
      <c r="KZ33" s="18" t="n"/>
      <c r="LA33" s="18" t="n"/>
      <c r="LB33" s="18" t="n"/>
      <c r="LC33" s="18" t="n"/>
      <c r="LD33" s="18" t="n"/>
      <c r="LE33" s="18" t="n"/>
      <c r="LF33" s="18" t="n"/>
      <c r="LG33" s="18" t="n"/>
      <c r="LH33" s="18" t="n"/>
      <c r="LI33" s="18" t="n"/>
      <c r="LJ33" s="18" t="n"/>
      <c r="LK33" s="18" t="n"/>
      <c r="LL33" s="18" t="n"/>
      <c r="LM33" s="18" t="n"/>
      <c r="LN33" s="18" t="n"/>
      <c r="LO33" s="18" t="n"/>
      <c r="LP33" s="18" t="n"/>
      <c r="LQ33" s="18" t="n"/>
      <c r="LR33" s="18" t="n"/>
      <c r="LS33" s="18" t="n"/>
      <c r="LT33" s="18" t="n"/>
      <c r="LU33" s="18" t="n"/>
      <c r="LV33" s="18" t="n"/>
      <c r="LW33" s="18" t="n"/>
      <c r="LX33" s="18" t="n"/>
      <c r="LY33" s="18" t="n"/>
      <c r="LZ33" s="18" t="n"/>
      <c r="MA33" s="18" t="n"/>
      <c r="MB33" s="18" t="n"/>
      <c r="MC33" s="18" t="n"/>
      <c r="MD33" s="18" t="n"/>
      <c r="ME33" s="18" t="n"/>
      <c r="MF33" s="18" t="n"/>
      <c r="MG33" s="18" t="n"/>
      <c r="MH33" s="18" t="n"/>
      <c r="MI33" s="18" t="n"/>
      <c r="MJ33" s="18" t="n"/>
      <c r="MK33" s="18" t="n"/>
      <c r="ML33" s="18" t="n"/>
      <c r="MM33" s="18" t="n"/>
    </row>
    <row r="34" ht="52.05" customHeight="1" s="88">
      <c r="A34" s="19" t="inlineStr">
        <is>
          <t>9000</t>
        </is>
      </c>
      <c r="B34" s="19" t="inlineStr">
        <is>
          <t>9000-6</t>
        </is>
      </c>
      <c r="C34" s="19" t="inlineStr">
        <is>
          <t>건축</t>
        </is>
      </c>
      <c r="D34" s="19" t="inlineStr">
        <is>
          <t>9000-6-33</t>
        </is>
      </c>
      <c r="E34" s="95" t="inlineStr">
        <is>
          <t>9000-6-30</t>
        </is>
      </c>
      <c r="F34" s="95" t="inlineStr">
        <is>
          <t>9000-6-35</t>
        </is>
      </c>
      <c r="G34" s="23" t="inlineStr">
        <is>
          <t>수장 및 잡철물공사</t>
        </is>
      </c>
      <c r="H34" s="21" t="n"/>
      <c r="I34" s="21" t="inlineStr">
        <is>
          <t>현장소장</t>
        </is>
      </c>
      <c r="J34" s="24" t="inlineStr">
        <is>
          <t>수장공사 : 천정공사, 바닥마감공사, 잡철물 공사 : 도어, 창호 등 설치 공사</t>
        </is>
      </c>
      <c r="K34" s="24" t="inlineStr">
        <is>
          <t>각실의 천정공사(텍스류), 바닥마감공사(비닐계타일),도배공사등을 수행, 잡철물 공사는 각실의 도어, 난간,창호등을 설치하는 공사</t>
        </is>
      </c>
      <c r="L34" s="24" t="inlineStr">
        <is>
          <t>수장 및 잡철물검측서</t>
        </is>
      </c>
      <c r="M34" s="24" t="inlineStr">
        <is>
          <t>1) 수장 및 잡철물공사 (WBS 9000-4-33) 관련 각실의 천정공사(텍스류), 바닥마감공사(비닐계타일),도배공사등을 수행, 잡철물 공사는 각실의 도어, 난간,창호등을 설치하는 공사 수칙 및 법적 이행 의무를 1:1 준수한다. 또한 KDS 41 00 00 (건축구조기준), KDS 41 17 00 (내진설계기준) 및 KCS 41 00 00 (건축공사 표준시방서) 기술기준을 100% 충족한다.
2) 수장 및 잡철물공사 달성을 위한 필수 시공 방법(각실의 천정공사(텍스류), 바닥마감공사(비닐계타일),도배공사등을 수행, 잡철물 공사는 각실의 도어, 난간,창...)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34" s="25">
        <f>HYPERLINK(LEFT(CELL("filename",A1),FIND("[",CELL("filename",A1))-1)&amp;"6.건축\33_수장 및 잡철물공사\표준서\수장 및 잡철물공사_표준서.html", "👉 [클릭] 표준서 열기 📄")</f>
        <v/>
      </c>
      <c r="O34" s="24" t="inlineStr">
        <is>
          <t>1) 수장 및 잡철물공사 (WBS 9000-4-33) 사전 건축 인허가 서식 제출(관할 지자체/소방서), 3D BIM 도서 대조 및 기계·전기·통신 4대 인터페이스 개구부를 확정한다.
2) 실무 작업방법 수칙(각실의 천정공사(텍스류), 바닥마감공사(비닐계타일),도배공사등을 수행, 잡철물 공사는 각실의 ...)에 따라 철근 이음/피복두께 검측, 거푸집 다짐 양생 및 현장 3대 금기 수칙(피복 미달, 무단 타설)을 완수한다.</t>
        </is>
      </c>
      <c r="P34" s="26">
        <f>HYPERLINK(LEFT(CELL("filename",A1),FIND("[",CELL("filename",A1))-1)&amp;"6.건축\33_수장 및 잡철물공사\수행지침\수장 및 잡철물공사_수행지침.html", "👉 [클릭] 수행지침 열기 📄")</f>
        <v/>
      </c>
      <c r="Q34" s="24" t="inlineStr">
        <is>
          <t>1) 건축법 제11조 및 KDS 41 00 00 건축구조기준에 따라 수장 및 잡철물공사 사전 검토를 수행하였는가? 또한 레미콘 규격(24~30MPa), 철근 시험성적서 및 방수자재 KCS 표준 품질 적격성을 검수하였는가?
2) 미검측 및 정량 시방 미달에 따른 수장 및 잡철물공사 (WBS 9000-4-33) 구조 균열/누수 하자 발생, 개구부 누락 재시공 손실 및 최종 수장 및 잡철물검측서 승인 반려 리스크를 전면 차단한다.</t>
        </is>
      </c>
      <c r="R34" s="27">
        <f>HYPERLINK(LEFT(CELL("filename",A1),FIND("[",CELL("filename",A1))-1)&amp;"6.건축\33_수장 및 잡철물공사\체크리스트\수장 및 잡철물공사_체크리스트.html", "👉 [클릭] 체크리스트 열기 📄")</f>
        <v/>
      </c>
      <c r="S34" s="21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Y34" s="18" t="n"/>
      <c r="DZ34" s="18" t="n"/>
      <c r="EA34" s="18" t="n"/>
      <c r="EB34" s="18" t="n"/>
      <c r="EC34" s="18" t="n"/>
      <c r="ED34" s="18" t="n"/>
      <c r="EE34" s="18" t="n"/>
      <c r="EF34" s="18" t="n"/>
      <c r="EG34" s="18" t="n"/>
      <c r="EH34" s="18" t="n"/>
      <c r="EI34" s="18" t="n"/>
      <c r="EJ34" s="18" t="n"/>
      <c r="EK34" s="18" t="n"/>
      <c r="EL34" s="18" t="n"/>
      <c r="EM34" s="18" t="n"/>
      <c r="EN34" s="18" t="n"/>
      <c r="EO34" s="18" t="n"/>
      <c r="EP34" s="18" t="n"/>
      <c r="EQ34" s="18" t="n"/>
      <c r="ER34" s="18" t="n"/>
      <c r="ES34" s="18" t="n"/>
      <c r="ET34" s="18" t="n"/>
      <c r="EU34" s="18" t="n"/>
      <c r="EV34" s="18" t="n"/>
      <c r="EW34" s="18" t="n"/>
      <c r="EX34" s="18" t="n"/>
      <c r="EY34" s="18" t="n"/>
      <c r="EZ34" s="18" t="n"/>
      <c r="FA34" s="18" t="n"/>
      <c r="FB34" s="18" t="n"/>
      <c r="FC34" s="18" t="n"/>
      <c r="FD34" s="18" t="n"/>
      <c r="FE34" s="18" t="n"/>
      <c r="FF34" s="18" t="n"/>
      <c r="FG34" s="18" t="n"/>
      <c r="FH34" s="18" t="n"/>
      <c r="FI34" s="18" t="n"/>
      <c r="FJ34" s="18" t="n"/>
      <c r="FK34" s="18" t="n"/>
      <c r="FL34" s="18" t="n"/>
      <c r="FM34" s="18" t="n"/>
      <c r="FN34" s="18" t="n"/>
      <c r="FO34" s="18" t="n"/>
      <c r="FP34" s="18" t="n"/>
      <c r="FQ34" s="18" t="n"/>
      <c r="FR34" s="18" t="n"/>
      <c r="FS34" s="18" t="n"/>
      <c r="FT34" s="18" t="n"/>
      <c r="FU34" s="18" t="n"/>
      <c r="FV34" s="18" t="n"/>
      <c r="FW34" s="18" t="n"/>
      <c r="FX34" s="18" t="n"/>
      <c r="FY34" s="18" t="n"/>
      <c r="FZ34" s="18" t="n"/>
      <c r="GA34" s="18" t="n"/>
      <c r="GB34" s="18" t="n"/>
      <c r="GC34" s="18" t="n"/>
      <c r="GD34" s="18" t="n"/>
      <c r="GE34" s="18" t="n"/>
      <c r="GF34" s="18" t="n"/>
      <c r="GG34" s="18" t="n"/>
      <c r="GH34" s="18" t="n"/>
      <c r="GI34" s="18" t="n"/>
      <c r="GJ34" s="18" t="n"/>
      <c r="GK34" s="18" t="n"/>
      <c r="GL34" s="18" t="n"/>
      <c r="GM34" s="18" t="n"/>
      <c r="GN34" s="18" t="n"/>
      <c r="GO34" s="18" t="n"/>
      <c r="GP34" s="18" t="n"/>
      <c r="GQ34" s="18" t="n"/>
      <c r="GR34" s="18" t="n"/>
      <c r="GS34" s="18" t="n"/>
      <c r="GT34" s="18" t="n"/>
      <c r="GU34" s="18" t="n"/>
      <c r="GV34" s="18" t="n"/>
      <c r="GW34" s="18" t="n"/>
      <c r="GX34" s="18" t="n"/>
      <c r="GY34" s="18" t="n"/>
      <c r="GZ34" s="18" t="n"/>
      <c r="HA34" s="18" t="n"/>
      <c r="HB34" s="18" t="n"/>
      <c r="HC34" s="18" t="n"/>
      <c r="HD34" s="18" t="n"/>
      <c r="HE34" s="18" t="n"/>
      <c r="HF34" s="18" t="n"/>
      <c r="HG34" s="18" t="n"/>
      <c r="HH34" s="18" t="n"/>
      <c r="HI34" s="18" t="n"/>
      <c r="HJ34" s="18" t="n"/>
      <c r="HK34" s="18" t="n"/>
      <c r="HL34" s="18" t="n"/>
      <c r="HM34" s="18" t="n"/>
      <c r="HN34" s="18" t="n"/>
      <c r="HO34" s="18" t="n"/>
      <c r="HP34" s="18" t="n"/>
      <c r="HQ34" s="18" t="n"/>
      <c r="HR34" s="18" t="n"/>
      <c r="HS34" s="18" t="n"/>
      <c r="HT34" s="18" t="n"/>
      <c r="HU34" s="18" t="n"/>
      <c r="HV34" s="18" t="n"/>
      <c r="HW34" s="18" t="n"/>
      <c r="HX34" s="18" t="n"/>
      <c r="HY34" s="18" t="n"/>
      <c r="HZ34" s="18" t="n"/>
      <c r="IA34" s="18" t="n"/>
      <c r="IB34" s="18" t="n"/>
      <c r="IC34" s="18" t="n"/>
      <c r="ID34" s="18" t="n"/>
      <c r="IE34" s="18" t="n"/>
      <c r="IF34" s="18" t="n"/>
      <c r="IG34" s="18" t="n"/>
      <c r="IH34" s="18" t="n"/>
      <c r="II34" s="18" t="n"/>
      <c r="IJ34" s="18" t="n"/>
      <c r="IK34" s="18" t="n"/>
      <c r="IL34" s="18" t="n"/>
      <c r="IM34" s="18" t="n"/>
      <c r="IN34" s="18" t="n"/>
      <c r="IO34" s="18" t="n"/>
      <c r="IP34" s="18" t="n"/>
      <c r="IQ34" s="18" t="n"/>
      <c r="IR34" s="18" t="n"/>
      <c r="IS34" s="18" t="n"/>
      <c r="IT34" s="18" t="n"/>
      <c r="IU34" s="18" t="n"/>
      <c r="IV34" s="18" t="n"/>
      <c r="IW34" s="18" t="n"/>
      <c r="IX34" s="18" t="n"/>
      <c r="IY34" s="18" t="n"/>
      <c r="IZ34" s="18" t="n"/>
      <c r="JA34" s="18" t="n"/>
      <c r="JB34" s="18" t="n"/>
      <c r="JC34" s="18" t="n"/>
      <c r="JD34" s="18" t="n"/>
      <c r="JE34" s="18" t="n"/>
      <c r="JF34" s="18" t="n"/>
      <c r="JG34" s="18" t="n"/>
      <c r="JH34" s="18" t="n"/>
      <c r="JI34" s="18" t="n"/>
      <c r="JJ34" s="18" t="n"/>
      <c r="JK34" s="18" t="n"/>
      <c r="JL34" s="18" t="n"/>
      <c r="JM34" s="18" t="n"/>
      <c r="JN34" s="18" t="n"/>
      <c r="JO34" s="18" t="n"/>
      <c r="JP34" s="18" t="n"/>
      <c r="JQ34" s="18" t="n"/>
      <c r="JR34" s="18" t="n"/>
      <c r="JS34" s="18" t="n"/>
      <c r="JT34" s="18" t="n"/>
      <c r="JU34" s="18" t="n"/>
      <c r="JV34" s="18" t="n"/>
      <c r="JW34" s="18" t="n"/>
      <c r="JX34" s="18" t="n"/>
      <c r="JY34" s="18" t="n"/>
      <c r="JZ34" s="18" t="n"/>
      <c r="KA34" s="18" t="n"/>
      <c r="KB34" s="18" t="n"/>
      <c r="KC34" s="18" t="n"/>
      <c r="KD34" s="18" t="n"/>
      <c r="KE34" s="18" t="n"/>
      <c r="KF34" s="18" t="n"/>
      <c r="KG34" s="18" t="n"/>
      <c r="KH34" s="18" t="n"/>
      <c r="KI34" s="18" t="n"/>
      <c r="KJ34" s="18" t="n"/>
      <c r="KK34" s="18" t="n"/>
      <c r="KL34" s="18" t="n"/>
      <c r="KM34" s="18" t="n"/>
      <c r="KN34" s="18" t="n"/>
      <c r="KO34" s="18" t="n"/>
      <c r="KP34" s="18" t="n"/>
      <c r="KQ34" s="18" t="n"/>
      <c r="KR34" s="18" t="n"/>
      <c r="KS34" s="18" t="n"/>
      <c r="KT34" s="18" t="n"/>
      <c r="KU34" s="18" t="n"/>
      <c r="KV34" s="18" t="n"/>
      <c r="KW34" s="18" t="n"/>
      <c r="KX34" s="18" t="n"/>
      <c r="KY34" s="18" t="n"/>
      <c r="KZ34" s="18" t="n"/>
      <c r="LA34" s="18" t="n"/>
      <c r="LB34" s="18" t="n"/>
      <c r="LC34" s="18" t="n"/>
      <c r="LD34" s="18" t="n"/>
      <c r="LE34" s="18" t="n"/>
      <c r="LF34" s="18" t="n"/>
      <c r="LG34" s="18" t="n"/>
      <c r="LH34" s="18" t="n"/>
      <c r="LI34" s="18" t="n"/>
      <c r="LJ34" s="18" t="n"/>
      <c r="LK34" s="18" t="n"/>
      <c r="LL34" s="18" t="n"/>
      <c r="LM34" s="18" t="n"/>
      <c r="LN34" s="18" t="n"/>
      <c r="LO34" s="18" t="n"/>
      <c r="LP34" s="18" t="n"/>
      <c r="LQ34" s="18" t="n"/>
      <c r="LR34" s="18" t="n"/>
      <c r="LS34" s="18" t="n"/>
      <c r="LT34" s="18" t="n"/>
      <c r="LU34" s="18" t="n"/>
      <c r="LV34" s="18" t="n"/>
      <c r="LW34" s="18" t="n"/>
      <c r="LX34" s="18" t="n"/>
      <c r="LY34" s="18" t="n"/>
      <c r="LZ34" s="18" t="n"/>
      <c r="MA34" s="18" t="n"/>
      <c r="MB34" s="18" t="n"/>
      <c r="MC34" s="18" t="n"/>
      <c r="MD34" s="18" t="n"/>
      <c r="ME34" s="18" t="n"/>
      <c r="MF34" s="18" t="n"/>
      <c r="MG34" s="18" t="n"/>
      <c r="MH34" s="18" t="n"/>
      <c r="MI34" s="18" t="n"/>
      <c r="MJ34" s="18" t="n"/>
      <c r="MK34" s="18" t="n"/>
      <c r="ML34" s="18" t="n"/>
      <c r="MM34" s="18" t="n"/>
      <c r="MN34" s="18" t="n"/>
      <c r="MO34" s="18" t="n"/>
      <c r="MP34" s="18" t="n"/>
      <c r="MQ34" s="18" t="n"/>
    </row>
    <row r="35" ht="52.05" customHeight="1" s="88">
      <c r="A35" s="29" t="inlineStr">
        <is>
          <t>9000</t>
        </is>
      </c>
      <c r="B35" s="29" t="inlineStr">
        <is>
          <t>9000-6</t>
        </is>
      </c>
      <c r="C35" s="29" t="inlineStr">
        <is>
          <t>건축</t>
        </is>
      </c>
      <c r="D35" s="29" t="inlineStr">
        <is>
          <t>9000-6-34</t>
        </is>
      </c>
      <c r="E35" s="102" t="inlineStr">
        <is>
          <t>9000-6-31, 9000-6-32</t>
        </is>
      </c>
      <c r="F35" s="102" t="inlineStr">
        <is>
          <t>9000-6-36, 9000-6-37</t>
        </is>
      </c>
      <c r="G35" s="32" t="inlineStr">
        <is>
          <t>도장공사</t>
        </is>
      </c>
      <c r="H35" s="33" t="n"/>
      <c r="I35" s="33" t="inlineStr">
        <is>
          <t>현장소장</t>
        </is>
      </c>
      <c r="J35" s="34" t="inlineStr">
        <is>
          <t>미장면, 석고보드위에 도장공사 수행</t>
        </is>
      </c>
      <c r="K35" s="34" t="inlineStr">
        <is>
          <t>도장재 (붓, 롤러등)로 벽면에 시공</t>
        </is>
      </c>
      <c r="L35" s="34" t="inlineStr">
        <is>
          <t>도장공사 검측서</t>
        </is>
      </c>
      <c r="M35" s="34" t="inlineStr">
        <is>
          <t>1) 도장공사 (WBS 9000-4-34) 관련 도장재 (붓, 롤러등)로 벽면에 시공 수칙 및 법적 이행 의무를 1:1 준수한다. 또한 KDS 41 00 00 (건축구조기준), KDS 41 17 00 (내진설계기준) 및 KCS 41 00 00 (건축공사 표준시방서) 기술기준을 100% 충족한다.
2) 도장공사 달성을 위한 필수 시공 방법(도장재 (붓, 롤러등)로 벽면에 시공...)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35" s="35">
        <f>HYPERLINK(LEFT(CELL("filename",A1),FIND("[",CELL("filename",A1))-1)&amp;"6.건축\34_도장공사\표준서\도장공사_표준서.html", "👉 [클릭] 표준서 열기 📄")</f>
        <v/>
      </c>
      <c r="O35" s="34" t="inlineStr">
        <is>
          <t>1) 도장공사 (WBS 9000-4-34) 사전 건축 인허가 서식 제출(관할 지자체/소방서), 3D BIM 도서 대조 및 기계·전기·통신 4대 인터페이스 개구부를 확정한다.
2) 실무 작업방법 수칙(도장재 (붓, 롤러등)로 벽면에 시공)에 따라 철근 이음/피복두께 검측, 거푸집 다짐 양생 및 현장 3대 금기 수칙(피복 미달, 무단 타설)을 완수한다.</t>
        </is>
      </c>
      <c r="P35" s="36">
        <f>HYPERLINK(LEFT(CELL("filename",A1),FIND("[",CELL("filename",A1))-1)&amp;"6.건축\34_도장공사\수행지침\도장공사_수행지침.html", "👉 [클릭] 수행지침 열기 📄")</f>
        <v/>
      </c>
      <c r="Q35" s="34" t="inlineStr">
        <is>
          <t>1) 건축법 제11조 및 KDS 41 00 00 건축구조기준에 따라 도장공사 사전 검토를 수행하였는가? 또한 레미콘 규격(24~30MPa), 철근 시험성적서 및 방수자재 KCS 표준 품질 적격성을 검수하였는가?
2) 미검측 및 정량 시방 미달에 따른 도장공사 (WBS 9000-4-34) 구조 균열/누수 하자 발생, 개구부 누락 재시공 손실 및 최종 도장공사 검측서 승인 반려 리스크를 전면 차단한다.</t>
        </is>
      </c>
      <c r="R35" s="37">
        <f>HYPERLINK(LEFT(CELL("filename",A1),FIND("[",CELL("filename",A1))-1)&amp;"6.건축\34_도장공사\체크리스트\도장공사_체크리스트.html", "👉 [클릭] 체크리스트 열기 📄")</f>
        <v/>
      </c>
      <c r="S35" s="33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8" t="n"/>
      <c r="EJ35" s="18" t="n"/>
      <c r="EK35" s="18" t="n"/>
      <c r="EL35" s="18" t="n"/>
      <c r="EM35" s="18" t="n"/>
      <c r="EN35" s="18" t="n"/>
      <c r="EO35" s="18" t="n"/>
      <c r="EP35" s="18" t="n"/>
      <c r="EQ35" s="18" t="n"/>
      <c r="ER35" s="18" t="n"/>
      <c r="ES35" s="18" t="n"/>
      <c r="ET35" s="18" t="n"/>
      <c r="EU35" s="18" t="n"/>
      <c r="EV35" s="18" t="n"/>
      <c r="EW35" s="18" t="n"/>
      <c r="EX35" s="18" t="n"/>
      <c r="EY35" s="18" t="n"/>
      <c r="EZ35" s="18" t="n"/>
      <c r="FA35" s="18" t="n"/>
      <c r="FB35" s="18" t="n"/>
      <c r="FC35" s="18" t="n"/>
      <c r="FD35" s="18" t="n"/>
      <c r="FE35" s="18" t="n"/>
      <c r="FF35" s="18" t="n"/>
      <c r="FG35" s="18" t="n"/>
      <c r="FH35" s="18" t="n"/>
      <c r="FI35" s="18" t="n"/>
      <c r="FJ35" s="18" t="n"/>
      <c r="FK35" s="18" t="n"/>
      <c r="FL35" s="18" t="n"/>
      <c r="FM35" s="18" t="n"/>
      <c r="FN35" s="18" t="n"/>
      <c r="FO35" s="18" t="n"/>
      <c r="FP35" s="18" t="n"/>
      <c r="FQ35" s="18" t="n"/>
      <c r="FR35" s="18" t="n"/>
      <c r="FS35" s="18" t="n"/>
      <c r="FT35" s="18" t="n"/>
      <c r="FU35" s="18" t="n"/>
      <c r="FV35" s="18" t="n"/>
      <c r="FW35" s="18" t="n"/>
      <c r="FX35" s="18" t="n"/>
      <c r="FY35" s="18" t="n"/>
      <c r="FZ35" s="18" t="n"/>
      <c r="GA35" s="18" t="n"/>
      <c r="GB35" s="18" t="n"/>
      <c r="GC35" s="18" t="n"/>
      <c r="GD35" s="18" t="n"/>
      <c r="GE35" s="18" t="n"/>
      <c r="GF35" s="18" t="n"/>
      <c r="GG35" s="18" t="n"/>
      <c r="GH35" s="18" t="n"/>
      <c r="GI35" s="18" t="n"/>
      <c r="GJ35" s="18" t="n"/>
      <c r="GK35" s="18" t="n"/>
      <c r="GL35" s="18" t="n"/>
      <c r="GM35" s="18" t="n"/>
      <c r="GN35" s="18" t="n"/>
      <c r="GO35" s="18" t="n"/>
      <c r="GP35" s="18" t="n"/>
      <c r="GQ35" s="18" t="n"/>
      <c r="GR35" s="18" t="n"/>
      <c r="GS35" s="18" t="n"/>
      <c r="GT35" s="18" t="n"/>
      <c r="GU35" s="18" t="n"/>
      <c r="GV35" s="18" t="n"/>
      <c r="GW35" s="18" t="n"/>
      <c r="GX35" s="18" t="n"/>
      <c r="GY35" s="18" t="n"/>
      <c r="GZ35" s="18" t="n"/>
      <c r="HA35" s="18" t="n"/>
      <c r="HB35" s="18" t="n"/>
      <c r="HC35" s="18" t="n"/>
      <c r="HD35" s="18" t="n"/>
      <c r="HE35" s="18" t="n"/>
      <c r="HF35" s="18" t="n"/>
      <c r="HG35" s="18" t="n"/>
      <c r="HH35" s="18" t="n"/>
      <c r="HI35" s="18" t="n"/>
      <c r="HJ35" s="18" t="n"/>
      <c r="HK35" s="18" t="n"/>
      <c r="HL35" s="18" t="n"/>
      <c r="HM35" s="18" t="n"/>
      <c r="HN35" s="18" t="n"/>
      <c r="HO35" s="18" t="n"/>
      <c r="HP35" s="18" t="n"/>
      <c r="HQ35" s="18" t="n"/>
      <c r="HR35" s="18" t="n"/>
      <c r="HS35" s="18" t="n"/>
      <c r="HT35" s="18" t="n"/>
      <c r="HU35" s="18" t="n"/>
      <c r="HV35" s="18" t="n"/>
      <c r="HW35" s="18" t="n"/>
      <c r="HX35" s="18" t="n"/>
      <c r="HY35" s="18" t="n"/>
      <c r="HZ35" s="18" t="n"/>
      <c r="IA35" s="18" t="n"/>
      <c r="IB35" s="18" t="n"/>
      <c r="IC35" s="18" t="n"/>
      <c r="ID35" s="18" t="n"/>
      <c r="IE35" s="18" t="n"/>
      <c r="IF35" s="18" t="n"/>
      <c r="IG35" s="18" t="n"/>
      <c r="IH35" s="18" t="n"/>
      <c r="II35" s="18" t="n"/>
      <c r="IJ35" s="18" t="n"/>
      <c r="IK35" s="18" t="n"/>
      <c r="IL35" s="18" t="n"/>
      <c r="IM35" s="18" t="n"/>
      <c r="IN35" s="18" t="n"/>
      <c r="IO35" s="18" t="n"/>
      <c r="IP35" s="18" t="n"/>
      <c r="IQ35" s="18" t="n"/>
      <c r="IR35" s="18" t="n"/>
      <c r="IS35" s="18" t="n"/>
      <c r="IT35" s="18" t="n"/>
      <c r="IU35" s="18" t="n"/>
      <c r="IV35" s="18" t="n"/>
      <c r="IW35" s="18" t="n"/>
      <c r="IX35" s="18" t="n"/>
      <c r="IY35" s="18" t="n"/>
      <c r="IZ35" s="18" t="n"/>
      <c r="JA35" s="18" t="n"/>
      <c r="JB35" s="18" t="n"/>
      <c r="JC35" s="18" t="n"/>
      <c r="JD35" s="18" t="n"/>
      <c r="JE35" s="18" t="n"/>
      <c r="JF35" s="18" t="n"/>
      <c r="JG35" s="18" t="n"/>
      <c r="JH35" s="18" t="n"/>
      <c r="JI35" s="18" t="n"/>
      <c r="JJ35" s="18" t="n"/>
      <c r="JK35" s="18" t="n"/>
      <c r="JL35" s="18" t="n"/>
      <c r="JM35" s="18" t="n"/>
      <c r="JN35" s="18" t="n"/>
      <c r="JO35" s="18" t="n"/>
      <c r="JP35" s="18" t="n"/>
      <c r="JQ35" s="18" t="n"/>
      <c r="JR35" s="18" t="n"/>
      <c r="JS35" s="18" t="n"/>
      <c r="JT35" s="18" t="n"/>
      <c r="JU35" s="18" t="n"/>
      <c r="JV35" s="18" t="n"/>
      <c r="JW35" s="18" t="n"/>
      <c r="JX35" s="18" t="n"/>
      <c r="JY35" s="18" t="n"/>
      <c r="JZ35" s="18" t="n"/>
      <c r="KA35" s="18" t="n"/>
      <c r="KB35" s="18" t="n"/>
      <c r="KC35" s="18" t="n"/>
      <c r="KD35" s="18" t="n"/>
      <c r="KE35" s="18" t="n"/>
      <c r="KF35" s="18" t="n"/>
      <c r="KG35" s="18" t="n"/>
      <c r="KH35" s="18" t="n"/>
      <c r="KI35" s="18" t="n"/>
      <c r="KJ35" s="18" t="n"/>
      <c r="KK35" s="18" t="n"/>
      <c r="KL35" s="18" t="n"/>
      <c r="KM35" s="18" t="n"/>
      <c r="KN35" s="18" t="n"/>
      <c r="KO35" s="18" t="n"/>
      <c r="KP35" s="18" t="n"/>
      <c r="KQ35" s="18" t="n"/>
      <c r="KR35" s="18" t="n"/>
      <c r="KS35" s="18" t="n"/>
      <c r="KT35" s="18" t="n"/>
      <c r="KU35" s="18" t="n"/>
      <c r="KV35" s="18" t="n"/>
      <c r="KW35" s="18" t="n"/>
      <c r="KX35" s="18" t="n"/>
      <c r="KY35" s="18" t="n"/>
      <c r="KZ35" s="18" t="n"/>
      <c r="LA35" s="18" t="n"/>
      <c r="LB35" s="18" t="n"/>
      <c r="LC35" s="18" t="n"/>
      <c r="LD35" s="18" t="n"/>
      <c r="LE35" s="18" t="n"/>
      <c r="LF35" s="18" t="n"/>
      <c r="LG35" s="18" t="n"/>
      <c r="LH35" s="18" t="n"/>
      <c r="LI35" s="18" t="n"/>
      <c r="LJ35" s="18" t="n"/>
      <c r="LK35" s="18" t="n"/>
      <c r="LL35" s="18" t="n"/>
      <c r="LM35" s="18" t="n"/>
      <c r="LN35" s="18" t="n"/>
      <c r="LO35" s="18" t="n"/>
      <c r="LP35" s="18" t="n"/>
      <c r="LQ35" s="18" t="n"/>
      <c r="LR35" s="18" t="n"/>
      <c r="LS35" s="18" t="n"/>
      <c r="LT35" s="18" t="n"/>
      <c r="LU35" s="18" t="n"/>
      <c r="LV35" s="18" t="n"/>
      <c r="LW35" s="18" t="n"/>
      <c r="LX35" s="18" t="n"/>
      <c r="LY35" s="18" t="n"/>
      <c r="LZ35" s="18" t="n"/>
      <c r="MA35" s="18" t="n"/>
      <c r="MB35" s="18" t="n"/>
      <c r="MC35" s="18" t="n"/>
      <c r="MD35" s="18" t="n"/>
      <c r="ME35" s="18" t="n"/>
      <c r="MF35" s="18" t="n"/>
      <c r="MG35" s="18" t="n"/>
      <c r="MH35" s="18" t="n"/>
      <c r="MI35" s="18" t="n"/>
      <c r="MJ35" s="18" t="n"/>
      <c r="MK35" s="18" t="n"/>
      <c r="ML35" s="18" t="n"/>
      <c r="MM35" s="18" t="n"/>
      <c r="MN35" s="18" t="n"/>
      <c r="MO35" s="18" t="n"/>
      <c r="MP35" s="18" t="n"/>
      <c r="MQ35" s="18" t="n"/>
      <c r="MR35" s="18" t="n"/>
      <c r="MS35" s="18" t="n"/>
      <c r="MT35" s="18" t="n"/>
      <c r="MU35" s="18" t="n"/>
    </row>
    <row r="36" ht="52.05" customHeight="1" s="88">
      <c r="A36" s="19" t="inlineStr">
        <is>
          <t>9000</t>
        </is>
      </c>
      <c r="B36" s="19" t="inlineStr">
        <is>
          <t>9000-6</t>
        </is>
      </c>
      <c r="C36" s="19" t="inlineStr">
        <is>
          <t>건축</t>
        </is>
      </c>
      <c r="D36" s="19" t="inlineStr">
        <is>
          <t>9000-6-35</t>
        </is>
      </c>
      <c r="E36" s="95" t="inlineStr">
        <is>
          <t>9000-6-32, 9000-6-33</t>
        </is>
      </c>
      <c r="F36" s="95" t="inlineStr">
        <is>
          <t>9000-6-37, 9000-6-38</t>
        </is>
      </c>
      <c r="G36" s="23" t="inlineStr">
        <is>
          <t>인테리어 및 무대공사</t>
        </is>
      </c>
      <c r="H36" s="21" t="n"/>
      <c r="I36" s="21" t="inlineStr">
        <is>
          <t>현장소장</t>
        </is>
      </c>
      <c r="J36" s="24" t="inlineStr">
        <is>
          <t>내부 선반, 주방가구, 설치작업 등 내부 인테리어 및 무대공사</t>
        </is>
      </c>
      <c r="K36" s="24" t="inlineStr">
        <is>
          <t>추가로 발생되는 건축공사에 적합한 자재 반입, 검수 및 시공</t>
        </is>
      </c>
      <c r="L36" s="24" t="inlineStr">
        <is>
          <t>각 공종 검측서</t>
        </is>
      </c>
      <c r="M36" s="24" t="inlineStr">
        <is>
          <t>1) 인테리어 및 무대공사 (WBS 9000-4-35) 관련 추가로 발생되는 건축공사에 적합한 자재 반입, 검수 및 시공 수칙 및 법적 이행 의무를 1:1 준수한다. 또한 KDS 41 00 00 (건축구조기준), KDS 41 17 00 (내진설계기준) 및 KCS 41 00 00 (건축공사 표준시방서) 기술기준을 100% 충족한다.
2) 인테리어 및 무대공사 달성을 위한 필수 시공 방법(추가로 발생되는 건축공사에 적합한 자재 반입, 검수 및 시공...)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36" s="25">
        <f>HYPERLINK(LEFT(CELL("filename",A1),FIND("[",CELL("filename",A1))-1)&amp;"6.건축\35_인테리어 및 무대공사\표준서\인테리어 및 무대공사_표준서.html", "👉 [클릭] 표준서 열기 📄")</f>
        <v/>
      </c>
      <c r="O36" s="24" t="inlineStr">
        <is>
          <t>1) 인테리어 및 무대공사 (WBS 9000-4-35) 사전 건축 인허가 서식 제출(관할 지자체/소방서), 3D BIM 도서 대조 및 기계·전기·통신 4대 인터페이스 개구부를 확정한다.
2) 실무 작업방법 수칙(추가로 발생되는 건축공사에 적합한 자재 반입, 검수 및 시공)에 따라 철근 이음/피복두께 검측, 거푸집 다짐 양생 및 현장 3대 금기 수칙(피복 미달, 무단 타설)을 완수한다.</t>
        </is>
      </c>
      <c r="P36" s="26">
        <f>HYPERLINK(LEFT(CELL("filename",A1),FIND("[",CELL("filename",A1))-1)&amp;"6.건축\35_인테리어 및 무대공사\수행지침\인테리어 및 무대공사_수행지침.html", "👉 [클릭] 수행지침 열기 📄")</f>
        <v/>
      </c>
      <c r="Q36" s="24" t="inlineStr">
        <is>
          <t>1) 건축법 제11조 및 KDS 41 00 00 건축구조기준에 따라 인테리어 및 무대공사 사전 검토를 수행하였는가? 또한 레미콘 규격(24~30MPa), 철근 시험성적서 및 방수자재 KCS 표준 품질 적격성을 검수하였는가?
2) 미검측 및 정량 시방 미달에 따른 인테리어 및 무대공사 (WBS 9000-4-35) 구조 균열/누수 하자 발생, 개구부 누락 재시공 손실 및 최종 각 공종 검측서 승인 반려 리스크를 전면 차단한다.</t>
        </is>
      </c>
      <c r="R36" s="27">
        <f>HYPERLINK(LEFT(CELL("filename",A1),FIND("[",CELL("filename",A1))-1)&amp;"6.건축\35_인테리어 및 무대공사\체크리스트\인테리어 및 무대공사_체크리스트.html", "👉 [클릭] 체크리스트 열기 📄")</f>
        <v/>
      </c>
      <c r="S36" s="21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Y36" s="18" t="n"/>
      <c r="DZ36" s="18" t="n"/>
      <c r="EA36" s="18" t="n"/>
      <c r="EB36" s="18" t="n"/>
      <c r="EC36" s="18" t="n"/>
      <c r="ED36" s="18" t="n"/>
      <c r="EE36" s="18" t="n"/>
      <c r="EF36" s="18" t="n"/>
      <c r="EG36" s="18" t="n"/>
      <c r="EH36" s="18" t="n"/>
      <c r="EI36" s="18" t="n"/>
      <c r="EJ36" s="18" t="n"/>
      <c r="EK36" s="18" t="n"/>
      <c r="EL36" s="18" t="n"/>
      <c r="EM36" s="18" t="n"/>
      <c r="EN36" s="18" t="n"/>
      <c r="EO36" s="18" t="n"/>
      <c r="EP36" s="18" t="n"/>
      <c r="EQ36" s="18" t="n"/>
      <c r="ER36" s="18" t="n"/>
      <c r="ES36" s="18" t="n"/>
      <c r="ET36" s="18" t="n"/>
      <c r="EU36" s="18" t="n"/>
      <c r="EV36" s="18" t="n"/>
      <c r="EW36" s="18" t="n"/>
      <c r="EX36" s="18" t="n"/>
      <c r="EY36" s="18" t="n"/>
      <c r="EZ36" s="18" t="n"/>
      <c r="FA36" s="18" t="n"/>
      <c r="FB36" s="18" t="n"/>
      <c r="FC36" s="18" t="n"/>
      <c r="FD36" s="18" t="n"/>
      <c r="FE36" s="18" t="n"/>
      <c r="FF36" s="18" t="n"/>
      <c r="FG36" s="18" t="n"/>
      <c r="FH36" s="18" t="n"/>
      <c r="FI36" s="18" t="n"/>
      <c r="FJ36" s="18" t="n"/>
      <c r="FK36" s="18" t="n"/>
      <c r="FL36" s="18" t="n"/>
      <c r="FM36" s="18" t="n"/>
      <c r="FN36" s="18" t="n"/>
      <c r="FO36" s="18" t="n"/>
      <c r="FP36" s="18" t="n"/>
      <c r="FQ36" s="18" t="n"/>
      <c r="FR36" s="18" t="n"/>
      <c r="FS36" s="18" t="n"/>
      <c r="FT36" s="18" t="n"/>
      <c r="FU36" s="18" t="n"/>
      <c r="FV36" s="18" t="n"/>
      <c r="FW36" s="18" t="n"/>
      <c r="FX36" s="18" t="n"/>
      <c r="FY36" s="18" t="n"/>
      <c r="FZ36" s="18" t="n"/>
      <c r="GA36" s="18" t="n"/>
      <c r="GB36" s="18" t="n"/>
      <c r="GC36" s="18" t="n"/>
      <c r="GD36" s="18" t="n"/>
      <c r="GE36" s="18" t="n"/>
      <c r="GF36" s="18" t="n"/>
      <c r="GG36" s="18" t="n"/>
      <c r="GH36" s="18" t="n"/>
      <c r="GI36" s="18" t="n"/>
      <c r="GJ36" s="18" t="n"/>
      <c r="GK36" s="18" t="n"/>
      <c r="GL36" s="18" t="n"/>
      <c r="GM36" s="18" t="n"/>
      <c r="GN36" s="18" t="n"/>
      <c r="GO36" s="18" t="n"/>
      <c r="GP36" s="18" t="n"/>
      <c r="GQ36" s="18" t="n"/>
      <c r="GR36" s="18" t="n"/>
      <c r="GS36" s="18" t="n"/>
      <c r="GT36" s="18" t="n"/>
      <c r="GU36" s="18" t="n"/>
      <c r="GV36" s="18" t="n"/>
      <c r="GW36" s="18" t="n"/>
      <c r="GX36" s="18" t="n"/>
      <c r="GY36" s="18" t="n"/>
      <c r="GZ36" s="18" t="n"/>
      <c r="HA36" s="18" t="n"/>
      <c r="HB36" s="18" t="n"/>
      <c r="HC36" s="18" t="n"/>
      <c r="HD36" s="18" t="n"/>
      <c r="HE36" s="18" t="n"/>
      <c r="HF36" s="18" t="n"/>
      <c r="HG36" s="18" t="n"/>
      <c r="HH36" s="18" t="n"/>
      <c r="HI36" s="18" t="n"/>
      <c r="HJ36" s="18" t="n"/>
      <c r="HK36" s="18" t="n"/>
      <c r="HL36" s="18" t="n"/>
      <c r="HM36" s="18" t="n"/>
      <c r="HN36" s="18" t="n"/>
      <c r="HO36" s="18" t="n"/>
      <c r="HP36" s="18" t="n"/>
      <c r="HQ36" s="18" t="n"/>
      <c r="HR36" s="18" t="n"/>
      <c r="HS36" s="18" t="n"/>
      <c r="HT36" s="18" t="n"/>
      <c r="HU36" s="18" t="n"/>
      <c r="HV36" s="18" t="n"/>
      <c r="HW36" s="18" t="n"/>
      <c r="HX36" s="18" t="n"/>
      <c r="HY36" s="18" t="n"/>
      <c r="HZ36" s="18" t="n"/>
      <c r="IA36" s="18" t="n"/>
      <c r="IB36" s="18" t="n"/>
      <c r="IC36" s="18" t="n"/>
      <c r="ID36" s="18" t="n"/>
      <c r="IE36" s="18" t="n"/>
      <c r="IF36" s="18" t="n"/>
      <c r="IG36" s="18" t="n"/>
      <c r="IH36" s="18" t="n"/>
      <c r="II36" s="18" t="n"/>
      <c r="IJ36" s="18" t="n"/>
      <c r="IK36" s="18" t="n"/>
      <c r="IL36" s="18" t="n"/>
      <c r="IM36" s="18" t="n"/>
      <c r="IN36" s="18" t="n"/>
      <c r="IO36" s="18" t="n"/>
      <c r="IP36" s="18" t="n"/>
      <c r="IQ36" s="18" t="n"/>
      <c r="IR36" s="18" t="n"/>
      <c r="IS36" s="18" t="n"/>
      <c r="IT36" s="18" t="n"/>
      <c r="IU36" s="18" t="n"/>
      <c r="IV36" s="18" t="n"/>
      <c r="IW36" s="18" t="n"/>
      <c r="IX36" s="18" t="n"/>
      <c r="IY36" s="18" t="n"/>
      <c r="IZ36" s="18" t="n"/>
      <c r="JA36" s="18" t="n"/>
      <c r="JB36" s="18" t="n"/>
      <c r="JC36" s="18" t="n"/>
      <c r="JD36" s="18" t="n"/>
      <c r="JE36" s="18" t="n"/>
      <c r="JF36" s="18" t="n"/>
      <c r="JG36" s="18" t="n"/>
      <c r="JH36" s="18" t="n"/>
      <c r="JI36" s="18" t="n"/>
      <c r="JJ36" s="18" t="n"/>
      <c r="JK36" s="18" t="n"/>
      <c r="JL36" s="18" t="n"/>
      <c r="JM36" s="18" t="n"/>
      <c r="JN36" s="18" t="n"/>
      <c r="JO36" s="18" t="n"/>
      <c r="JP36" s="18" t="n"/>
      <c r="JQ36" s="18" t="n"/>
      <c r="JR36" s="18" t="n"/>
      <c r="JS36" s="18" t="n"/>
      <c r="JT36" s="18" t="n"/>
      <c r="JU36" s="18" t="n"/>
      <c r="JV36" s="18" t="n"/>
      <c r="JW36" s="18" t="n"/>
      <c r="JX36" s="18" t="n"/>
      <c r="JY36" s="18" t="n"/>
      <c r="JZ36" s="18" t="n"/>
      <c r="KA36" s="18" t="n"/>
      <c r="KB36" s="18" t="n"/>
      <c r="KC36" s="18" t="n"/>
      <c r="KD36" s="18" t="n"/>
      <c r="KE36" s="18" t="n"/>
      <c r="KF36" s="18" t="n"/>
      <c r="KG36" s="18" t="n"/>
      <c r="KH36" s="18" t="n"/>
      <c r="KI36" s="18" t="n"/>
      <c r="KJ36" s="18" t="n"/>
      <c r="KK36" s="18" t="n"/>
      <c r="KL36" s="18" t="n"/>
      <c r="KM36" s="18" t="n"/>
      <c r="KN36" s="18" t="n"/>
      <c r="KO36" s="18" t="n"/>
      <c r="KP36" s="18" t="n"/>
      <c r="KQ36" s="18" t="n"/>
      <c r="KR36" s="18" t="n"/>
      <c r="KS36" s="18" t="n"/>
      <c r="KT36" s="18" t="n"/>
      <c r="KU36" s="18" t="n"/>
      <c r="KV36" s="18" t="n"/>
      <c r="KW36" s="18" t="n"/>
      <c r="KX36" s="18" t="n"/>
      <c r="KY36" s="18" t="n"/>
      <c r="KZ36" s="18" t="n"/>
      <c r="LA36" s="18" t="n"/>
      <c r="LB36" s="18" t="n"/>
      <c r="LC36" s="18" t="n"/>
      <c r="LD36" s="18" t="n"/>
      <c r="LE36" s="18" t="n"/>
      <c r="LF36" s="18" t="n"/>
      <c r="LG36" s="18" t="n"/>
      <c r="LH36" s="18" t="n"/>
      <c r="LI36" s="18" t="n"/>
      <c r="LJ36" s="18" t="n"/>
      <c r="LK36" s="18" t="n"/>
      <c r="LL36" s="18" t="n"/>
      <c r="LM36" s="18" t="n"/>
      <c r="LN36" s="18" t="n"/>
      <c r="LO36" s="18" t="n"/>
      <c r="LP36" s="18" t="n"/>
      <c r="LQ36" s="18" t="n"/>
      <c r="LR36" s="18" t="n"/>
      <c r="LS36" s="18" t="n"/>
      <c r="LT36" s="18" t="n"/>
      <c r="LU36" s="18" t="n"/>
      <c r="LV36" s="18" t="n"/>
      <c r="LW36" s="18" t="n"/>
      <c r="LX36" s="18" t="n"/>
      <c r="LY36" s="18" t="n"/>
      <c r="LZ36" s="18" t="n"/>
      <c r="MA36" s="18" t="n"/>
      <c r="MB36" s="18" t="n"/>
      <c r="MC36" s="18" t="n"/>
      <c r="MD36" s="18" t="n"/>
      <c r="ME36" s="18" t="n"/>
      <c r="MF36" s="18" t="n"/>
      <c r="MG36" s="18" t="n"/>
      <c r="MH36" s="18" t="n"/>
      <c r="MI36" s="18" t="n"/>
      <c r="MJ36" s="18" t="n"/>
      <c r="MK36" s="18" t="n"/>
      <c r="ML36" s="18" t="n"/>
      <c r="MM36" s="18" t="n"/>
      <c r="MN36" s="18" t="n"/>
      <c r="MO36" s="18" t="n"/>
      <c r="MP36" s="18" t="n"/>
      <c r="MQ36" s="18" t="n"/>
      <c r="MR36" s="18" t="n"/>
      <c r="MS36" s="18" t="n"/>
      <c r="MT36" s="18" t="n"/>
      <c r="MU36" s="18" t="n"/>
      <c r="MV36" s="18" t="n"/>
      <c r="MW36" s="18" t="n"/>
      <c r="MX36" s="18" t="n"/>
      <c r="MY36" s="18" t="n"/>
    </row>
    <row r="37" ht="52.05" customHeight="1" s="88">
      <c r="A37" s="29" t="inlineStr">
        <is>
          <t>9000</t>
        </is>
      </c>
      <c r="B37" s="29" t="inlineStr">
        <is>
          <t>9000-6</t>
        </is>
      </c>
      <c r="C37" s="29" t="inlineStr">
        <is>
          <t>건축</t>
        </is>
      </c>
      <c r="D37" s="29" t="inlineStr">
        <is>
          <t>9000-6-36</t>
        </is>
      </c>
      <c r="E37" s="102" t="inlineStr">
        <is>
          <t>9000-6-34</t>
        </is>
      </c>
      <c r="F37" s="102" t="inlineStr">
        <is>
          <t>9000-6-39</t>
        </is>
      </c>
      <c r="G37" s="32" t="inlineStr">
        <is>
          <t>준공전 건축 인허가</t>
        </is>
      </c>
      <c r="H37" s="33" t="n"/>
      <c r="I37" s="33" t="inlineStr">
        <is>
          <t>현장소장</t>
        </is>
      </c>
      <c r="J37" s="34" t="inlineStr">
        <is>
          <t>관련법에 따라 준공전 건축인허가 완료</t>
        </is>
      </c>
      <c r="K37" s="34" t="inlineStr">
        <is>
          <t>승강기 설치신고, 저수조 설치신고, 정화조 및 오수처리시설 신고, 전기사용전 검사 신청, 승강기 설치검사 신고/안, 배수설비 신고, 정보통신 사용전 승인 신청, 정화조 및 오수처리 준공 신청제, 급수공사 신청, 업무대행 건축사 현장확인 신청 -&gt; 관할지자체, 건축물 사용승인, 건축물대장 등재</t>
        </is>
      </c>
      <c r="L37" s="34" t="inlineStr">
        <is>
          <t>인허가 신고 / 승인 문서</t>
        </is>
      </c>
      <c r="M37" s="34" t="inlineStr">
        <is>
          <t>1) 준공전 건축 인허가 (WBS 9000-4-36) 관련 승강기 설치신고, 저수조 설치신고, 정화조 및 오수처리시설 신고, 전기사용전 검사 신청, 승강기 설치검사 신고/안, 배수설비 신고, 정보통신 사용전 승인 신청, 정화조 및 오수처리 준공 신청제, 급수공사 신청, 업무대행 건축사 현장확인 신청 -&gt; 관할지자체, 건축물 사용승인, 건축물대장 등재 수칙 및 법적 이행 의무를 1:1 준수한다. 또한 KDS 41 00 00 (건축구조기준), KDS 41 17 00 (내진설계기준) 및 KCS 41 00 00 (건축공사 표준시방서) 기술기준을 100% 충족한다.
2) 준공전 건축 인허가 달성을 위한 필수 시공 방법(승강기 설치신고, 저수조 설치신고, 정화조 및 오수처리시설 신고, 전기사용전 검사 신청, 승강기 설치검사 신...)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37" s="35">
        <f>HYPERLINK(LEFT(CELL("filename",A1),FIND("[",CELL("filename",A1))-1)&amp;"6.건축\36_준공전 건축 인허가\표준서\준공전 건축 인허가_표준서.html", "👉 [클릭] 표준서 열기 📄")</f>
        <v/>
      </c>
      <c r="O37" s="34" t="inlineStr">
        <is>
          <t>1) 준공전 건축 인허가 (WBS 9000-4-36) 사전 건축 인허가 서식 제출(관할 지자체/소방서), 3D BIM 도서 대조 및 기계·전기·통신 4대 인터페이스 개구부를 확정한다.
2) 실무 작업방법 수칙(승강기 설치신고, 저수조 설치신고, 정화조 및 오수처리시설 신고, 전기사용전 검사 신청, 승강...)에 따라 철근 이음/피복두께 검측, 거푸집 다짐 양생 및 현장 3대 금기 수칙(피복 미달, 무단 타설)을 완수한다.</t>
        </is>
      </c>
      <c r="P37" s="36">
        <f>HYPERLINK(LEFT(CELL("filename",A1),FIND("[",CELL("filename",A1))-1)&amp;"6.건축\36_준공전 건축 인허가\수행지침\준공전 건축 인허가_수행지침.html", "👉 [클릭] 수행지침 열기 📄")</f>
        <v/>
      </c>
      <c r="Q37" s="34" t="inlineStr">
        <is>
          <t>1) 건축법 제11조 및 KDS 41 00 00 건축구조기준에 따라 준공전 건축 인허가 사전 검토를 수행하였는가? 또한 레미콘 규격(24~30MPa), 철근 시험성적서 및 방수자재 KCS 표준 품질 적격성을 검수하였는가?
2) 미검측 및 정량 시방 미달에 따른 준공전 건축 인허가 (WBS 9000-4-36) 구조 균열/누수 하자 발생, 개구부 누락 재시공 손실 및 최종 인허가 신고 / 승인 문서 승인 반려 리스크를 전면 차단한다.</t>
        </is>
      </c>
      <c r="R37" s="37">
        <f>HYPERLINK(LEFT(CELL("filename",A1),FIND("[",CELL("filename",A1))-1)&amp;"6.건축\36_준공전 건축 인허가\체크리스트\준공전 건축 인허가_체크리스트.html", "👉 [클릭] 체크리스트 열기 📄")</f>
        <v/>
      </c>
      <c r="S37" s="33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  <c r="DY37" s="18" t="n"/>
      <c r="DZ37" s="18" t="n"/>
      <c r="EA37" s="18" t="n"/>
      <c r="EB37" s="18" t="n"/>
      <c r="EC37" s="18" t="n"/>
      <c r="ED37" s="18" t="n"/>
      <c r="EE37" s="18" t="n"/>
      <c r="EF37" s="18" t="n"/>
      <c r="EG37" s="18" t="n"/>
      <c r="EH37" s="18" t="n"/>
      <c r="EI37" s="18" t="n"/>
      <c r="EJ37" s="18" t="n"/>
      <c r="EK37" s="18" t="n"/>
      <c r="EL37" s="18" t="n"/>
      <c r="EM37" s="18" t="n"/>
      <c r="EN37" s="18" t="n"/>
      <c r="EO37" s="18" t="n"/>
      <c r="EP37" s="18" t="n"/>
      <c r="EQ37" s="18" t="n"/>
      <c r="ER37" s="18" t="n"/>
      <c r="ES37" s="18" t="n"/>
      <c r="ET37" s="18" t="n"/>
      <c r="EU37" s="18" t="n"/>
      <c r="EV37" s="18" t="n"/>
      <c r="EW37" s="18" t="n"/>
      <c r="EX37" s="18" t="n"/>
      <c r="EY37" s="18" t="n"/>
      <c r="EZ37" s="18" t="n"/>
      <c r="FA37" s="18" t="n"/>
      <c r="FB37" s="18" t="n"/>
      <c r="FC37" s="18" t="n"/>
      <c r="FD37" s="18" t="n"/>
      <c r="FE37" s="18" t="n"/>
      <c r="FF37" s="18" t="n"/>
      <c r="FG37" s="18" t="n"/>
      <c r="FH37" s="18" t="n"/>
      <c r="FI37" s="18" t="n"/>
      <c r="FJ37" s="18" t="n"/>
      <c r="FK37" s="18" t="n"/>
      <c r="FL37" s="18" t="n"/>
      <c r="FM37" s="18" t="n"/>
      <c r="FN37" s="18" t="n"/>
      <c r="FO37" s="18" t="n"/>
      <c r="FP37" s="18" t="n"/>
      <c r="FQ37" s="18" t="n"/>
      <c r="FR37" s="18" t="n"/>
      <c r="FS37" s="18" t="n"/>
      <c r="FT37" s="18" t="n"/>
      <c r="FU37" s="18" t="n"/>
      <c r="FV37" s="18" t="n"/>
      <c r="FW37" s="18" t="n"/>
      <c r="FX37" s="18" t="n"/>
      <c r="FY37" s="18" t="n"/>
      <c r="FZ37" s="18" t="n"/>
      <c r="GA37" s="18" t="n"/>
      <c r="GB37" s="18" t="n"/>
      <c r="GC37" s="18" t="n"/>
      <c r="GD37" s="18" t="n"/>
      <c r="GE37" s="18" t="n"/>
      <c r="GF37" s="18" t="n"/>
      <c r="GG37" s="18" t="n"/>
      <c r="GH37" s="18" t="n"/>
      <c r="GI37" s="18" t="n"/>
      <c r="GJ37" s="18" t="n"/>
      <c r="GK37" s="18" t="n"/>
      <c r="GL37" s="18" t="n"/>
      <c r="GM37" s="18" t="n"/>
      <c r="GN37" s="18" t="n"/>
      <c r="GO37" s="18" t="n"/>
      <c r="GP37" s="18" t="n"/>
      <c r="GQ37" s="18" t="n"/>
      <c r="GR37" s="18" t="n"/>
      <c r="GS37" s="18" t="n"/>
      <c r="GT37" s="18" t="n"/>
      <c r="GU37" s="18" t="n"/>
      <c r="GV37" s="18" t="n"/>
      <c r="GW37" s="18" t="n"/>
      <c r="GX37" s="18" t="n"/>
      <c r="GY37" s="18" t="n"/>
      <c r="GZ37" s="18" t="n"/>
      <c r="HA37" s="18" t="n"/>
      <c r="HB37" s="18" t="n"/>
      <c r="HC37" s="18" t="n"/>
      <c r="HD37" s="18" t="n"/>
      <c r="HE37" s="18" t="n"/>
      <c r="HF37" s="18" t="n"/>
      <c r="HG37" s="18" t="n"/>
      <c r="HH37" s="18" t="n"/>
      <c r="HI37" s="18" t="n"/>
      <c r="HJ37" s="18" t="n"/>
      <c r="HK37" s="18" t="n"/>
      <c r="HL37" s="18" t="n"/>
      <c r="HM37" s="18" t="n"/>
      <c r="HN37" s="18" t="n"/>
      <c r="HO37" s="18" t="n"/>
      <c r="HP37" s="18" t="n"/>
      <c r="HQ37" s="18" t="n"/>
      <c r="HR37" s="18" t="n"/>
      <c r="HS37" s="18" t="n"/>
      <c r="HT37" s="18" t="n"/>
      <c r="HU37" s="18" t="n"/>
      <c r="HV37" s="18" t="n"/>
      <c r="HW37" s="18" t="n"/>
      <c r="HX37" s="18" t="n"/>
      <c r="HY37" s="18" t="n"/>
      <c r="HZ37" s="18" t="n"/>
      <c r="IA37" s="18" t="n"/>
      <c r="IB37" s="18" t="n"/>
      <c r="IC37" s="18" t="n"/>
      <c r="ID37" s="18" t="n"/>
      <c r="IE37" s="18" t="n"/>
      <c r="IF37" s="18" t="n"/>
      <c r="IG37" s="18" t="n"/>
      <c r="IH37" s="18" t="n"/>
      <c r="II37" s="18" t="n"/>
      <c r="IJ37" s="18" t="n"/>
      <c r="IK37" s="18" t="n"/>
      <c r="IL37" s="18" t="n"/>
      <c r="IM37" s="18" t="n"/>
      <c r="IN37" s="18" t="n"/>
      <c r="IO37" s="18" t="n"/>
      <c r="IP37" s="18" t="n"/>
      <c r="IQ37" s="18" t="n"/>
      <c r="IR37" s="18" t="n"/>
      <c r="IS37" s="18" t="n"/>
      <c r="IT37" s="18" t="n"/>
      <c r="IU37" s="18" t="n"/>
      <c r="IV37" s="18" t="n"/>
      <c r="IW37" s="18" t="n"/>
      <c r="IX37" s="18" t="n"/>
      <c r="IY37" s="18" t="n"/>
      <c r="IZ37" s="18" t="n"/>
      <c r="JA37" s="18" t="n"/>
      <c r="JB37" s="18" t="n"/>
      <c r="JC37" s="18" t="n"/>
      <c r="JD37" s="18" t="n"/>
      <c r="JE37" s="18" t="n"/>
      <c r="JF37" s="18" t="n"/>
      <c r="JG37" s="18" t="n"/>
      <c r="JH37" s="18" t="n"/>
      <c r="JI37" s="18" t="n"/>
      <c r="JJ37" s="18" t="n"/>
      <c r="JK37" s="18" t="n"/>
      <c r="JL37" s="18" t="n"/>
      <c r="JM37" s="18" t="n"/>
      <c r="JN37" s="18" t="n"/>
      <c r="JO37" s="18" t="n"/>
      <c r="JP37" s="18" t="n"/>
      <c r="JQ37" s="18" t="n"/>
      <c r="JR37" s="18" t="n"/>
      <c r="JS37" s="18" t="n"/>
      <c r="JT37" s="18" t="n"/>
      <c r="JU37" s="18" t="n"/>
      <c r="JV37" s="18" t="n"/>
      <c r="JW37" s="18" t="n"/>
      <c r="JX37" s="18" t="n"/>
      <c r="JY37" s="18" t="n"/>
      <c r="JZ37" s="18" t="n"/>
      <c r="KA37" s="18" t="n"/>
      <c r="KB37" s="18" t="n"/>
      <c r="KC37" s="18" t="n"/>
      <c r="KD37" s="18" t="n"/>
      <c r="KE37" s="18" t="n"/>
      <c r="KF37" s="18" t="n"/>
      <c r="KG37" s="18" t="n"/>
      <c r="KH37" s="18" t="n"/>
      <c r="KI37" s="18" t="n"/>
      <c r="KJ37" s="18" t="n"/>
      <c r="KK37" s="18" t="n"/>
      <c r="KL37" s="18" t="n"/>
      <c r="KM37" s="18" t="n"/>
      <c r="KN37" s="18" t="n"/>
      <c r="KO37" s="18" t="n"/>
      <c r="KP37" s="18" t="n"/>
      <c r="KQ37" s="18" t="n"/>
      <c r="KR37" s="18" t="n"/>
      <c r="KS37" s="18" t="n"/>
      <c r="KT37" s="18" t="n"/>
      <c r="KU37" s="18" t="n"/>
      <c r="KV37" s="18" t="n"/>
      <c r="KW37" s="18" t="n"/>
      <c r="KX37" s="18" t="n"/>
      <c r="KY37" s="18" t="n"/>
      <c r="KZ37" s="18" t="n"/>
      <c r="LA37" s="18" t="n"/>
      <c r="LB37" s="18" t="n"/>
      <c r="LC37" s="18" t="n"/>
      <c r="LD37" s="18" t="n"/>
      <c r="LE37" s="18" t="n"/>
      <c r="LF37" s="18" t="n"/>
      <c r="LG37" s="18" t="n"/>
      <c r="LH37" s="18" t="n"/>
      <c r="LI37" s="18" t="n"/>
      <c r="LJ37" s="18" t="n"/>
      <c r="LK37" s="18" t="n"/>
      <c r="LL37" s="18" t="n"/>
      <c r="LM37" s="18" t="n"/>
      <c r="LN37" s="18" t="n"/>
      <c r="LO37" s="18" t="n"/>
      <c r="LP37" s="18" t="n"/>
      <c r="LQ37" s="18" t="n"/>
      <c r="LR37" s="18" t="n"/>
      <c r="LS37" s="18" t="n"/>
      <c r="LT37" s="18" t="n"/>
      <c r="LU37" s="18" t="n"/>
      <c r="LV37" s="18" t="n"/>
      <c r="LW37" s="18" t="n"/>
      <c r="LX37" s="18" t="n"/>
      <c r="LY37" s="18" t="n"/>
      <c r="LZ37" s="18" t="n"/>
      <c r="MA37" s="18" t="n"/>
      <c r="MB37" s="18" t="n"/>
      <c r="MC37" s="18" t="n"/>
      <c r="MD37" s="18" t="n"/>
      <c r="ME37" s="18" t="n"/>
      <c r="MF37" s="18" t="n"/>
      <c r="MG37" s="18" t="n"/>
      <c r="MH37" s="18" t="n"/>
      <c r="MI37" s="18" t="n"/>
      <c r="MJ37" s="18" t="n"/>
      <c r="MK37" s="18" t="n"/>
      <c r="ML37" s="18" t="n"/>
      <c r="MM37" s="18" t="n"/>
      <c r="MN37" s="18" t="n"/>
      <c r="MO37" s="18" t="n"/>
      <c r="MP37" s="18" t="n"/>
      <c r="MQ37" s="18" t="n"/>
      <c r="MR37" s="18" t="n"/>
      <c r="MS37" s="18" t="n"/>
      <c r="MT37" s="18" t="n"/>
      <c r="MU37" s="18" t="n"/>
      <c r="MV37" s="18" t="n"/>
      <c r="MW37" s="18" t="n"/>
      <c r="MX37" s="18" t="n"/>
      <c r="MY37" s="18" t="n"/>
      <c r="MZ37" s="18" t="n"/>
      <c r="NA37" s="18" t="n"/>
      <c r="NB37" s="18" t="n"/>
      <c r="NC37" s="18" t="n"/>
    </row>
    <row r="38" ht="52.05" customHeight="1" s="88">
      <c r="A38" s="19" t="inlineStr">
        <is>
          <t>9000</t>
        </is>
      </c>
      <c r="B38" s="19" t="inlineStr">
        <is>
          <t>9000-6</t>
        </is>
      </c>
      <c r="C38" s="19" t="inlineStr">
        <is>
          <t>건축</t>
        </is>
      </c>
      <c r="D38" s="19" t="inlineStr">
        <is>
          <t>9000-6-37</t>
        </is>
      </c>
      <c r="E38" s="95" t="inlineStr">
        <is>
          <t>9000-6-34, 9000-6-35</t>
        </is>
      </c>
      <c r="F38" s="95" t="inlineStr">
        <is>
          <t>9000-6-39, 9000-6-40</t>
        </is>
      </c>
      <c r="G38" s="23" t="inlineStr">
        <is>
          <t>소방시설공사 완공검사</t>
        </is>
      </c>
      <c r="H38" s="21" t="n"/>
      <c r="I38" s="21" t="inlineStr">
        <is>
          <t>현장소장</t>
        </is>
      </c>
      <c r="J38" s="24" t="inlineStr">
        <is>
          <t>소방시설 완공검사 신청</t>
        </is>
      </c>
      <c r="K38" s="24" t="inlineStr">
        <is>
          <t>현장 -&gt; 관할소방서 및 지자체 소방시설공사법 제14조
- 서식: 별지 제17호 서식
- 제출후 처리기간 3일 이내</t>
        </is>
      </c>
      <c r="L38" s="24" t="inlineStr">
        <is>
          <t>소방시설 완공검사 증명서</t>
        </is>
      </c>
      <c r="M38" s="24" t="inlineStr">
        <is>
          <t>1) 소방시설공사 완공검사 (WBS 9000-4-37) 관련 현장 -&gt; 관할소방서 및 지자체 소방시설공사법 제14조 수칙 및 법적 이행 의무를 1:1 준수한다. 또한 KDS 41 00 00 (건축구조기준), KDS 41 17 00 (내진설계기준) 및 KCS 41 00 00 (건축공사 표준시방서) 기술기준을 100% 충족한다.
2) 소방시설공사 완공검사 달성을 위한 필수 시공 방법(현장 -&gt; 관할소방서 및 지자체 소방시설공사법 제14조 서식: 별지 제17호 서식 제출후 처리기간 3일 이내...)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38" s="25">
        <f>HYPERLINK(LEFT(CELL("filename",A1),FIND("[",CELL("filename",A1))-1)&amp;"6.건축\37_소방시설공사 완공검사\표준서\소방시설공사 완공검사_표준서.html", "👉 [클릭] 표준서 열기 📄")</f>
        <v/>
      </c>
      <c r="O38" s="24" t="inlineStr">
        <is>
          <t>1) 소방시설공사 완공검사 (WBS 9000-4-37) 사전 건축 인허가 서식 제출(관할 지자체/소방서), 3D BIM 도서 대조 및 기계·전기·통신 4대 인터페이스 개구부를 확정한다.
2) 실무 작업방법 수칙(현장 -&gt; 관할소방서 및 지자체 소방시설공사법 제14조 서식: 별지 제17호 서식 제출후 처리...)에 따라 철근 이음/피복두께 검측, 거푸집 다짐 양생 및 현장 3대 금기 수칙(피복 미달, 무단 타설)을 완수한다.</t>
        </is>
      </c>
      <c r="P38" s="26">
        <f>HYPERLINK(LEFT(CELL("filename",A1),FIND("[",CELL("filename",A1))-1)&amp;"6.건축\37_소방시설공사 완공검사\수행지침\소방시설공사 완공검사_수행지침.html", "👉 [클릭] 수행지침 열기 📄")</f>
        <v/>
      </c>
      <c r="Q38" s="24" t="inlineStr">
        <is>
          <t>1) 건축법 제11조 및 KDS 41 00 00 건축구조기준에 따라 소방시설공사 완공검사 사전 검토를 수행하였는가? 또한 레미콘 규격(24~30MPa), 철근 시험성적서 및 방수자재 KCS 표준 품질 적격성을 검수하였는가?
2) 미검측 및 정량 시방 미달에 따른 소방시설공사 완공검사 (WBS 9000-4-37) 구조 균열/누수 하자 발생, 개구부 누락 재시공 손실 및 최종 소방시설 완공검사 증명서 승인 반려 리스크를 전면 차단한다.</t>
        </is>
      </c>
      <c r="R38" s="27">
        <f>HYPERLINK(LEFT(CELL("filename",A1),FIND("[",CELL("filename",A1))-1)&amp;"6.건축\37_소방시설공사 완공검사\체크리스트\소방시설공사 완공검사_체크리스트.html", "👉 [클릭] 체크리스트 열기 📄")</f>
        <v/>
      </c>
      <c r="S38" s="21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  <c r="DY38" s="18" t="n"/>
      <c r="DZ38" s="18" t="n"/>
      <c r="EA38" s="18" t="n"/>
      <c r="EB38" s="18" t="n"/>
      <c r="EC38" s="18" t="n"/>
      <c r="ED38" s="18" t="n"/>
      <c r="EE38" s="18" t="n"/>
      <c r="EF38" s="18" t="n"/>
      <c r="EG38" s="18" t="n"/>
      <c r="EH38" s="18" t="n"/>
      <c r="EI38" s="18" t="n"/>
      <c r="EJ38" s="18" t="n"/>
      <c r="EK38" s="18" t="n"/>
      <c r="EL38" s="18" t="n"/>
      <c r="EM38" s="18" t="n"/>
      <c r="EN38" s="18" t="n"/>
      <c r="EO38" s="18" t="n"/>
      <c r="EP38" s="18" t="n"/>
      <c r="EQ38" s="18" t="n"/>
      <c r="ER38" s="18" t="n"/>
      <c r="ES38" s="18" t="n"/>
      <c r="ET38" s="18" t="n"/>
      <c r="EU38" s="18" t="n"/>
      <c r="EV38" s="18" t="n"/>
      <c r="EW38" s="18" t="n"/>
      <c r="EX38" s="18" t="n"/>
      <c r="EY38" s="18" t="n"/>
      <c r="EZ38" s="18" t="n"/>
      <c r="FA38" s="18" t="n"/>
      <c r="FB38" s="18" t="n"/>
      <c r="FC38" s="18" t="n"/>
      <c r="FD38" s="18" t="n"/>
      <c r="FE38" s="18" t="n"/>
      <c r="FF38" s="18" t="n"/>
      <c r="FG38" s="18" t="n"/>
      <c r="FH38" s="18" t="n"/>
      <c r="FI38" s="18" t="n"/>
      <c r="FJ38" s="18" t="n"/>
      <c r="FK38" s="18" t="n"/>
      <c r="FL38" s="18" t="n"/>
      <c r="FM38" s="18" t="n"/>
      <c r="FN38" s="18" t="n"/>
      <c r="FO38" s="18" t="n"/>
      <c r="FP38" s="18" t="n"/>
      <c r="FQ38" s="18" t="n"/>
      <c r="FR38" s="18" t="n"/>
      <c r="FS38" s="18" t="n"/>
      <c r="FT38" s="18" t="n"/>
      <c r="FU38" s="18" t="n"/>
      <c r="FV38" s="18" t="n"/>
      <c r="FW38" s="18" t="n"/>
      <c r="FX38" s="18" t="n"/>
      <c r="FY38" s="18" t="n"/>
      <c r="FZ38" s="18" t="n"/>
      <c r="GA38" s="18" t="n"/>
      <c r="GB38" s="18" t="n"/>
      <c r="GC38" s="18" t="n"/>
      <c r="GD38" s="18" t="n"/>
      <c r="GE38" s="18" t="n"/>
      <c r="GF38" s="18" t="n"/>
      <c r="GG38" s="18" t="n"/>
      <c r="GH38" s="18" t="n"/>
      <c r="GI38" s="18" t="n"/>
      <c r="GJ38" s="18" t="n"/>
      <c r="GK38" s="18" t="n"/>
      <c r="GL38" s="18" t="n"/>
      <c r="GM38" s="18" t="n"/>
      <c r="GN38" s="18" t="n"/>
      <c r="GO38" s="18" t="n"/>
      <c r="GP38" s="18" t="n"/>
      <c r="GQ38" s="18" t="n"/>
      <c r="GR38" s="18" t="n"/>
      <c r="GS38" s="18" t="n"/>
      <c r="GT38" s="18" t="n"/>
      <c r="GU38" s="18" t="n"/>
      <c r="GV38" s="18" t="n"/>
      <c r="GW38" s="18" t="n"/>
      <c r="GX38" s="18" t="n"/>
      <c r="GY38" s="18" t="n"/>
      <c r="GZ38" s="18" t="n"/>
      <c r="HA38" s="18" t="n"/>
      <c r="HB38" s="18" t="n"/>
      <c r="HC38" s="18" t="n"/>
      <c r="HD38" s="18" t="n"/>
      <c r="HE38" s="18" t="n"/>
      <c r="HF38" s="18" t="n"/>
      <c r="HG38" s="18" t="n"/>
      <c r="HH38" s="18" t="n"/>
      <c r="HI38" s="18" t="n"/>
      <c r="HJ38" s="18" t="n"/>
      <c r="HK38" s="18" t="n"/>
      <c r="HL38" s="18" t="n"/>
      <c r="HM38" s="18" t="n"/>
      <c r="HN38" s="18" t="n"/>
      <c r="HO38" s="18" t="n"/>
      <c r="HP38" s="18" t="n"/>
      <c r="HQ38" s="18" t="n"/>
      <c r="HR38" s="18" t="n"/>
      <c r="HS38" s="18" t="n"/>
      <c r="HT38" s="18" t="n"/>
      <c r="HU38" s="18" t="n"/>
      <c r="HV38" s="18" t="n"/>
      <c r="HW38" s="18" t="n"/>
      <c r="HX38" s="18" t="n"/>
      <c r="HY38" s="18" t="n"/>
      <c r="HZ38" s="18" t="n"/>
      <c r="IA38" s="18" t="n"/>
      <c r="IB38" s="18" t="n"/>
      <c r="IC38" s="18" t="n"/>
      <c r="ID38" s="18" t="n"/>
      <c r="IE38" s="18" t="n"/>
      <c r="IF38" s="18" t="n"/>
      <c r="IG38" s="18" t="n"/>
      <c r="IH38" s="18" t="n"/>
      <c r="II38" s="18" t="n"/>
      <c r="IJ38" s="18" t="n"/>
      <c r="IK38" s="18" t="n"/>
      <c r="IL38" s="18" t="n"/>
      <c r="IM38" s="18" t="n"/>
      <c r="IN38" s="18" t="n"/>
      <c r="IO38" s="18" t="n"/>
      <c r="IP38" s="18" t="n"/>
      <c r="IQ38" s="18" t="n"/>
      <c r="IR38" s="18" t="n"/>
      <c r="IS38" s="18" t="n"/>
      <c r="IT38" s="18" t="n"/>
      <c r="IU38" s="18" t="n"/>
      <c r="IV38" s="18" t="n"/>
      <c r="IW38" s="18" t="n"/>
      <c r="IX38" s="18" t="n"/>
      <c r="IY38" s="18" t="n"/>
      <c r="IZ38" s="18" t="n"/>
      <c r="JA38" s="18" t="n"/>
      <c r="JB38" s="18" t="n"/>
      <c r="JC38" s="18" t="n"/>
      <c r="JD38" s="18" t="n"/>
      <c r="JE38" s="18" t="n"/>
      <c r="JF38" s="18" t="n"/>
      <c r="JG38" s="18" t="n"/>
      <c r="JH38" s="18" t="n"/>
      <c r="JI38" s="18" t="n"/>
      <c r="JJ38" s="18" t="n"/>
      <c r="JK38" s="18" t="n"/>
      <c r="JL38" s="18" t="n"/>
      <c r="JM38" s="18" t="n"/>
      <c r="JN38" s="18" t="n"/>
      <c r="JO38" s="18" t="n"/>
      <c r="JP38" s="18" t="n"/>
      <c r="JQ38" s="18" t="n"/>
      <c r="JR38" s="18" t="n"/>
      <c r="JS38" s="18" t="n"/>
      <c r="JT38" s="18" t="n"/>
      <c r="JU38" s="18" t="n"/>
      <c r="JV38" s="18" t="n"/>
      <c r="JW38" s="18" t="n"/>
      <c r="JX38" s="18" t="n"/>
      <c r="JY38" s="18" t="n"/>
      <c r="JZ38" s="18" t="n"/>
      <c r="KA38" s="18" t="n"/>
      <c r="KB38" s="18" t="n"/>
      <c r="KC38" s="18" t="n"/>
      <c r="KD38" s="18" t="n"/>
      <c r="KE38" s="18" t="n"/>
      <c r="KF38" s="18" t="n"/>
      <c r="KG38" s="18" t="n"/>
      <c r="KH38" s="18" t="n"/>
      <c r="KI38" s="18" t="n"/>
      <c r="KJ38" s="18" t="n"/>
      <c r="KK38" s="18" t="n"/>
      <c r="KL38" s="18" t="n"/>
      <c r="KM38" s="18" t="n"/>
      <c r="KN38" s="18" t="n"/>
      <c r="KO38" s="18" t="n"/>
      <c r="KP38" s="18" t="n"/>
      <c r="KQ38" s="18" t="n"/>
      <c r="KR38" s="18" t="n"/>
      <c r="KS38" s="18" t="n"/>
      <c r="KT38" s="18" t="n"/>
      <c r="KU38" s="18" t="n"/>
      <c r="KV38" s="18" t="n"/>
      <c r="KW38" s="18" t="n"/>
      <c r="KX38" s="18" t="n"/>
      <c r="KY38" s="18" t="n"/>
      <c r="KZ38" s="18" t="n"/>
      <c r="LA38" s="18" t="n"/>
      <c r="LB38" s="18" t="n"/>
      <c r="LC38" s="18" t="n"/>
      <c r="LD38" s="18" t="n"/>
      <c r="LE38" s="18" t="n"/>
      <c r="LF38" s="18" t="n"/>
      <c r="LG38" s="18" t="n"/>
      <c r="LH38" s="18" t="n"/>
      <c r="LI38" s="18" t="n"/>
      <c r="LJ38" s="18" t="n"/>
      <c r="LK38" s="18" t="n"/>
      <c r="LL38" s="18" t="n"/>
      <c r="LM38" s="18" t="n"/>
      <c r="LN38" s="18" t="n"/>
      <c r="LO38" s="18" t="n"/>
      <c r="LP38" s="18" t="n"/>
      <c r="LQ38" s="18" t="n"/>
      <c r="LR38" s="18" t="n"/>
      <c r="LS38" s="18" t="n"/>
      <c r="LT38" s="18" t="n"/>
      <c r="LU38" s="18" t="n"/>
      <c r="LV38" s="18" t="n"/>
      <c r="LW38" s="18" t="n"/>
      <c r="LX38" s="18" t="n"/>
      <c r="LY38" s="18" t="n"/>
      <c r="LZ38" s="18" t="n"/>
      <c r="MA38" s="18" t="n"/>
      <c r="MB38" s="18" t="n"/>
      <c r="MC38" s="18" t="n"/>
      <c r="MD38" s="18" t="n"/>
      <c r="ME38" s="18" t="n"/>
      <c r="MF38" s="18" t="n"/>
      <c r="MG38" s="18" t="n"/>
      <c r="MH38" s="18" t="n"/>
      <c r="MI38" s="18" t="n"/>
      <c r="MJ38" s="18" t="n"/>
      <c r="MK38" s="18" t="n"/>
      <c r="ML38" s="18" t="n"/>
      <c r="MM38" s="18" t="n"/>
      <c r="MN38" s="18" t="n"/>
      <c r="MO38" s="18" t="n"/>
      <c r="MP38" s="18" t="n"/>
      <c r="MQ38" s="18" t="n"/>
      <c r="MR38" s="18" t="n"/>
      <c r="MS38" s="18" t="n"/>
      <c r="MT38" s="18" t="n"/>
      <c r="MU38" s="18" t="n"/>
      <c r="MV38" s="18" t="n"/>
      <c r="MW38" s="18" t="n"/>
      <c r="MX38" s="18" t="n"/>
      <c r="MY38" s="18" t="n"/>
      <c r="MZ38" s="18" t="n"/>
      <c r="NA38" s="18" t="n"/>
      <c r="NB38" s="18" t="n"/>
      <c r="NC38" s="18" t="n"/>
      <c r="ND38" s="18" t="n"/>
      <c r="NE38" s="18" t="n"/>
      <c r="NF38" s="18" t="n"/>
      <c r="NG38" s="18" t="n"/>
    </row>
    <row r="39" ht="52.05" customHeight="1" s="88">
      <c r="A39" s="29" t="inlineStr">
        <is>
          <t>9000</t>
        </is>
      </c>
      <c r="B39" s="29" t="inlineStr">
        <is>
          <t>9000-6</t>
        </is>
      </c>
      <c r="C39" s="29" t="inlineStr">
        <is>
          <t>건축</t>
        </is>
      </c>
      <c r="D39" s="29" t="inlineStr">
        <is>
          <t>9000-6-38</t>
        </is>
      </c>
      <c r="E39" s="102" t="inlineStr">
        <is>
          <t>9000-6-35</t>
        </is>
      </c>
      <c r="F39" s="102" t="inlineStr">
        <is>
          <t>9000-6-40</t>
        </is>
      </c>
      <c r="G39" s="32" t="inlineStr">
        <is>
          <t>승강기 설치 신고서 제출</t>
        </is>
      </c>
      <c r="H39" s="33" t="n"/>
      <c r="I39" s="33" t="inlineStr">
        <is>
          <t>현장소장</t>
        </is>
      </c>
      <c r="J39" s="34" t="inlineStr">
        <is>
          <t>승강기 설치 신고</t>
        </is>
      </c>
      <c r="K39" s="34" t="inlineStr">
        <is>
          <t>현장 -&gt; 승강기 안전공단, 승강기 안전관리법 제27조
- 서식: 별지 제22호 서식
- 제출후 처리기간 7일 이내</t>
        </is>
      </c>
      <c r="L39" s="34" t="inlineStr">
        <is>
          <t>승강기 설치 신고필증</t>
        </is>
      </c>
      <c r="M39" s="34" t="inlineStr">
        <is>
          <t>1) 승강기 설치 신고서 제출 (WBS 9000-4-38) 관련 현장 -&gt; 승강기 안전공단, 승강기 안전관리법 제27조 수칙 및 법적 이행 의무를 1:1 준수한다. 또한 KDS 41 00 00 (건축구조기준), KDS 41 17 00 (내진설계기준) 및 KCS 41 00 00 (건축공사 표준시방서) 기술기준을 100% 충족한다.
2) 승강기 설치 신고서 제출 달성을 위한 필수 시공 방법(현장 -&gt; 승강기 안전공단, 승강기 안전관리법 제27조 서식: 별지 제22호 서식 제출후 처리기간 7일 이내...)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39" s="35">
        <f>HYPERLINK(LEFT(CELL("filename",A1),FIND("[",CELL("filename",A1))-1)&amp;"6.건축\38_승강기 설치 신고서 제출\표준서\승강기 설치 신고서 제출_표준서.html", "👉 [클릭] 표준서 열기 📄")</f>
        <v/>
      </c>
      <c r="O39" s="34" t="inlineStr">
        <is>
          <t>1) 승강기 설치 신고서 제출 (WBS 9000-4-38) 사전 건축 인허가 서식 제출(관할 지자체/소방서), 3D BIM 도서 대조 및 기계·전기·통신 4대 인터페이스 개구부를 확정한다.
2) 실무 작업방법 수칙(현장 -&gt; 승강기 안전공단, 승강기 안전관리법 제27조 서식: 별지 제22호 서식 제출후 처리...)에 따라 철근 이음/피복두께 검측, 거푸집 다짐 양생 및 현장 3대 금기 수칙(피복 미달, 무단 타설)을 완수한다.</t>
        </is>
      </c>
      <c r="P39" s="36">
        <f>HYPERLINK(LEFT(CELL("filename",A1),FIND("[",CELL("filename",A1))-1)&amp;"6.건축\38_승강기 설치 신고서 제출\수행지침\승강기 설치 신고서 제출_수행지침.html", "👉 [클릭] 수행지침 열기 📄")</f>
        <v/>
      </c>
      <c r="Q39" s="34" t="inlineStr">
        <is>
          <t>1) 건축법 제11조 및 KDS 41 00 00 건축구조기준에 따라 승강기 설치 신고서 제출 사전 검토를 수행하였는가? 또한 레미콘 규격(24~30MPa), 철근 시험성적서 및 방수자재 KCS 표준 품질 적격성을 검수하였는가?
2) 미검측 및 정량 시방 미달에 따른 승강기 설치 신고서 제출 (WBS 9000-4-38) 구조 균열/누수 하자 발생, 개구부 누락 재시공 손실 및 최종 승강기 설치 신고필증 승인 반려 리스크를 전면 차단한다.</t>
        </is>
      </c>
      <c r="R39" s="37">
        <f>HYPERLINK(LEFT(CELL("filename",A1),FIND("[",CELL("filename",A1))-1)&amp;"6.건축\38_승강기 설치 신고서 제출\체크리스트\승강기 설치 신고서 제출_체크리스트.html", "👉 [클릭] 체크리스트 열기 📄")</f>
        <v/>
      </c>
      <c r="S39" s="33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  <c r="DY39" s="18" t="n"/>
      <c r="DZ39" s="18" t="n"/>
      <c r="EA39" s="18" t="n"/>
      <c r="EB39" s="18" t="n"/>
      <c r="EC39" s="18" t="n"/>
      <c r="ED39" s="18" t="n"/>
      <c r="EE39" s="18" t="n"/>
      <c r="EF39" s="18" t="n"/>
      <c r="EG39" s="18" t="n"/>
      <c r="EH39" s="18" t="n"/>
      <c r="EI39" s="18" t="n"/>
      <c r="EJ39" s="18" t="n"/>
      <c r="EK39" s="18" t="n"/>
      <c r="EL39" s="18" t="n"/>
      <c r="EM39" s="18" t="n"/>
      <c r="EN39" s="18" t="n"/>
      <c r="EO39" s="18" t="n"/>
      <c r="EP39" s="18" t="n"/>
      <c r="EQ39" s="18" t="n"/>
      <c r="ER39" s="18" t="n"/>
      <c r="ES39" s="18" t="n"/>
      <c r="ET39" s="18" t="n"/>
      <c r="EU39" s="18" t="n"/>
      <c r="EV39" s="18" t="n"/>
      <c r="EW39" s="18" t="n"/>
      <c r="EX39" s="18" t="n"/>
      <c r="EY39" s="18" t="n"/>
      <c r="EZ39" s="18" t="n"/>
      <c r="FA39" s="18" t="n"/>
      <c r="FB39" s="18" t="n"/>
      <c r="FC39" s="18" t="n"/>
      <c r="FD39" s="18" t="n"/>
      <c r="FE39" s="18" t="n"/>
      <c r="FF39" s="18" t="n"/>
      <c r="FG39" s="18" t="n"/>
      <c r="FH39" s="18" t="n"/>
      <c r="FI39" s="18" t="n"/>
      <c r="FJ39" s="18" t="n"/>
      <c r="FK39" s="18" t="n"/>
      <c r="FL39" s="18" t="n"/>
      <c r="FM39" s="18" t="n"/>
      <c r="FN39" s="18" t="n"/>
      <c r="FO39" s="18" t="n"/>
      <c r="FP39" s="18" t="n"/>
      <c r="FQ39" s="18" t="n"/>
      <c r="FR39" s="18" t="n"/>
      <c r="FS39" s="18" t="n"/>
      <c r="FT39" s="18" t="n"/>
      <c r="FU39" s="18" t="n"/>
      <c r="FV39" s="18" t="n"/>
      <c r="FW39" s="18" t="n"/>
      <c r="FX39" s="18" t="n"/>
      <c r="FY39" s="18" t="n"/>
      <c r="FZ39" s="18" t="n"/>
      <c r="GA39" s="18" t="n"/>
      <c r="GB39" s="18" t="n"/>
      <c r="GC39" s="18" t="n"/>
      <c r="GD39" s="18" t="n"/>
      <c r="GE39" s="18" t="n"/>
      <c r="GF39" s="18" t="n"/>
      <c r="GG39" s="18" t="n"/>
      <c r="GH39" s="18" t="n"/>
      <c r="GI39" s="18" t="n"/>
      <c r="GJ39" s="18" t="n"/>
      <c r="GK39" s="18" t="n"/>
      <c r="GL39" s="18" t="n"/>
      <c r="GM39" s="18" t="n"/>
      <c r="GN39" s="18" t="n"/>
      <c r="GO39" s="18" t="n"/>
      <c r="GP39" s="18" t="n"/>
      <c r="GQ39" s="18" t="n"/>
      <c r="GR39" s="18" t="n"/>
      <c r="GS39" s="18" t="n"/>
      <c r="GT39" s="18" t="n"/>
      <c r="GU39" s="18" t="n"/>
      <c r="GV39" s="18" t="n"/>
      <c r="GW39" s="18" t="n"/>
      <c r="GX39" s="18" t="n"/>
      <c r="GY39" s="18" t="n"/>
      <c r="GZ39" s="18" t="n"/>
      <c r="HA39" s="18" t="n"/>
      <c r="HB39" s="18" t="n"/>
      <c r="HC39" s="18" t="n"/>
      <c r="HD39" s="18" t="n"/>
      <c r="HE39" s="18" t="n"/>
      <c r="HF39" s="18" t="n"/>
      <c r="HG39" s="18" t="n"/>
      <c r="HH39" s="18" t="n"/>
      <c r="HI39" s="18" t="n"/>
      <c r="HJ39" s="18" t="n"/>
      <c r="HK39" s="18" t="n"/>
      <c r="HL39" s="18" t="n"/>
      <c r="HM39" s="18" t="n"/>
      <c r="HN39" s="18" t="n"/>
      <c r="HO39" s="18" t="n"/>
      <c r="HP39" s="18" t="n"/>
      <c r="HQ39" s="18" t="n"/>
      <c r="HR39" s="18" t="n"/>
      <c r="HS39" s="18" t="n"/>
      <c r="HT39" s="18" t="n"/>
      <c r="HU39" s="18" t="n"/>
      <c r="HV39" s="18" t="n"/>
      <c r="HW39" s="18" t="n"/>
      <c r="HX39" s="18" t="n"/>
      <c r="HY39" s="18" t="n"/>
      <c r="HZ39" s="18" t="n"/>
      <c r="IA39" s="18" t="n"/>
      <c r="IB39" s="18" t="n"/>
      <c r="IC39" s="18" t="n"/>
      <c r="ID39" s="18" t="n"/>
      <c r="IE39" s="18" t="n"/>
      <c r="IF39" s="18" t="n"/>
      <c r="IG39" s="18" t="n"/>
      <c r="IH39" s="18" t="n"/>
      <c r="II39" s="18" t="n"/>
      <c r="IJ39" s="18" t="n"/>
      <c r="IK39" s="18" t="n"/>
      <c r="IL39" s="18" t="n"/>
      <c r="IM39" s="18" t="n"/>
      <c r="IN39" s="18" t="n"/>
      <c r="IO39" s="18" t="n"/>
      <c r="IP39" s="18" t="n"/>
      <c r="IQ39" s="18" t="n"/>
      <c r="IR39" s="18" t="n"/>
      <c r="IS39" s="18" t="n"/>
      <c r="IT39" s="18" t="n"/>
      <c r="IU39" s="18" t="n"/>
      <c r="IV39" s="18" t="n"/>
      <c r="IW39" s="18" t="n"/>
      <c r="IX39" s="18" t="n"/>
      <c r="IY39" s="18" t="n"/>
      <c r="IZ39" s="18" t="n"/>
      <c r="JA39" s="18" t="n"/>
      <c r="JB39" s="18" t="n"/>
      <c r="JC39" s="18" t="n"/>
      <c r="JD39" s="18" t="n"/>
      <c r="JE39" s="18" t="n"/>
      <c r="JF39" s="18" t="n"/>
      <c r="JG39" s="18" t="n"/>
      <c r="JH39" s="18" t="n"/>
      <c r="JI39" s="18" t="n"/>
      <c r="JJ39" s="18" t="n"/>
      <c r="JK39" s="18" t="n"/>
      <c r="JL39" s="18" t="n"/>
      <c r="JM39" s="18" t="n"/>
      <c r="JN39" s="18" t="n"/>
      <c r="JO39" s="18" t="n"/>
      <c r="JP39" s="18" t="n"/>
      <c r="JQ39" s="18" t="n"/>
      <c r="JR39" s="18" t="n"/>
      <c r="JS39" s="18" t="n"/>
      <c r="JT39" s="18" t="n"/>
      <c r="JU39" s="18" t="n"/>
      <c r="JV39" s="18" t="n"/>
      <c r="JW39" s="18" t="n"/>
      <c r="JX39" s="18" t="n"/>
      <c r="JY39" s="18" t="n"/>
      <c r="JZ39" s="18" t="n"/>
      <c r="KA39" s="18" t="n"/>
      <c r="KB39" s="18" t="n"/>
      <c r="KC39" s="18" t="n"/>
      <c r="KD39" s="18" t="n"/>
      <c r="KE39" s="18" t="n"/>
      <c r="KF39" s="18" t="n"/>
      <c r="KG39" s="18" t="n"/>
      <c r="KH39" s="18" t="n"/>
      <c r="KI39" s="18" t="n"/>
      <c r="KJ39" s="18" t="n"/>
      <c r="KK39" s="18" t="n"/>
      <c r="KL39" s="18" t="n"/>
      <c r="KM39" s="18" t="n"/>
      <c r="KN39" s="18" t="n"/>
      <c r="KO39" s="18" t="n"/>
      <c r="KP39" s="18" t="n"/>
      <c r="KQ39" s="18" t="n"/>
      <c r="KR39" s="18" t="n"/>
      <c r="KS39" s="18" t="n"/>
      <c r="KT39" s="18" t="n"/>
      <c r="KU39" s="18" t="n"/>
      <c r="KV39" s="18" t="n"/>
      <c r="KW39" s="18" t="n"/>
      <c r="KX39" s="18" t="n"/>
      <c r="KY39" s="18" t="n"/>
      <c r="KZ39" s="18" t="n"/>
      <c r="LA39" s="18" t="n"/>
      <c r="LB39" s="18" t="n"/>
      <c r="LC39" s="18" t="n"/>
      <c r="LD39" s="18" t="n"/>
      <c r="LE39" s="18" t="n"/>
      <c r="LF39" s="18" t="n"/>
      <c r="LG39" s="18" t="n"/>
      <c r="LH39" s="18" t="n"/>
      <c r="LI39" s="18" t="n"/>
      <c r="LJ39" s="18" t="n"/>
      <c r="LK39" s="18" t="n"/>
      <c r="LL39" s="18" t="n"/>
      <c r="LM39" s="18" t="n"/>
      <c r="LN39" s="18" t="n"/>
      <c r="LO39" s="18" t="n"/>
      <c r="LP39" s="18" t="n"/>
      <c r="LQ39" s="18" t="n"/>
      <c r="LR39" s="18" t="n"/>
      <c r="LS39" s="18" t="n"/>
      <c r="LT39" s="18" t="n"/>
      <c r="LU39" s="18" t="n"/>
      <c r="LV39" s="18" t="n"/>
      <c r="LW39" s="18" t="n"/>
      <c r="LX39" s="18" t="n"/>
      <c r="LY39" s="18" t="n"/>
      <c r="LZ39" s="18" t="n"/>
      <c r="MA39" s="18" t="n"/>
      <c r="MB39" s="18" t="n"/>
      <c r="MC39" s="18" t="n"/>
      <c r="MD39" s="18" t="n"/>
      <c r="ME39" s="18" t="n"/>
      <c r="MF39" s="18" t="n"/>
      <c r="MG39" s="18" t="n"/>
      <c r="MH39" s="18" t="n"/>
      <c r="MI39" s="18" t="n"/>
      <c r="MJ39" s="18" t="n"/>
      <c r="MK39" s="18" t="n"/>
      <c r="ML39" s="18" t="n"/>
      <c r="MM39" s="18" t="n"/>
      <c r="MN39" s="18" t="n"/>
      <c r="MO39" s="18" t="n"/>
      <c r="MP39" s="18" t="n"/>
      <c r="MQ39" s="18" t="n"/>
      <c r="MR39" s="18" t="n"/>
      <c r="MS39" s="18" t="n"/>
      <c r="MT39" s="18" t="n"/>
      <c r="MU39" s="18" t="n"/>
      <c r="MV39" s="18" t="n"/>
      <c r="MW39" s="18" t="n"/>
      <c r="MX39" s="18" t="n"/>
      <c r="MY39" s="18" t="n"/>
      <c r="MZ39" s="18" t="n"/>
      <c r="NA39" s="18" t="n"/>
      <c r="NB39" s="18" t="n"/>
      <c r="NC39" s="18" t="n"/>
      <c r="ND39" s="18" t="n"/>
      <c r="NE39" s="18" t="n"/>
      <c r="NF39" s="18" t="n"/>
      <c r="NG39" s="18" t="n"/>
      <c r="NH39" s="18" t="n"/>
      <c r="NI39" s="18" t="n"/>
      <c r="NJ39" s="18" t="n"/>
      <c r="NK39" s="18" t="n"/>
    </row>
    <row r="40" ht="52.05" customHeight="1" s="88">
      <c r="A40" s="19" t="inlineStr">
        <is>
          <t>9000</t>
        </is>
      </c>
      <c r="B40" s="19" t="inlineStr">
        <is>
          <t>9000-6</t>
        </is>
      </c>
      <c r="C40" s="19" t="inlineStr">
        <is>
          <t>건축</t>
        </is>
      </c>
      <c r="D40" s="19" t="inlineStr">
        <is>
          <t>9000-6-39</t>
        </is>
      </c>
      <c r="E40" s="95" t="inlineStr">
        <is>
          <t>9000-6-36, 9000-6-37</t>
        </is>
      </c>
      <c r="F40" s="95" t="inlineStr">
        <is>
          <t>9000-6-41, 9000-6-42</t>
        </is>
      </c>
      <c r="G40" s="23" t="inlineStr">
        <is>
          <t>저수조 설치현황 신고서 제출</t>
        </is>
      </c>
      <c r="H40" s="21" t="n"/>
      <c r="I40" s="21" t="inlineStr">
        <is>
          <t>현장소장</t>
        </is>
      </c>
      <c r="J40" s="24" t="inlineStr">
        <is>
          <t>저수조 청소 신고</t>
        </is>
      </c>
      <c r="K40" s="24" t="inlineStr">
        <is>
          <t>현장 -&gt; 저수조업체 -&gt; 관할지자체, 수도법 제33조(위생상의 조치)
- 서식: 별지 제12호 서식</t>
        </is>
      </c>
      <c r="L40" s="24" t="inlineStr">
        <is>
          <t>저수조 설치 신고필증</t>
        </is>
      </c>
      <c r="M40" s="24" t="inlineStr">
        <is>
          <t>1) 저수조 설치현황 신고서 제출 (WBS 9000-4-39) 관련 현장 -&gt; 저수조업체 -&gt; 관할지자체, 수도법 제33조(위생상의 조치) 수칙 및 법적 이행 의무를 1:1 준수한다. 또한 KDS 41 00 00 (건축구조기준), KDS 41 17 00 (내진설계기준) 및 KCS 41 00 00 (건축공사 표준시방서) 기술기준을 100% 충족한다.
2) 저수조 설치현황 신고서 제출 달성을 위한 필수 시공 방법(현장 -&gt; 저수조업체 -&gt; 관할지자체, 수도법 제33조(위생상의 조치) 서식: 별지 제12호 서식...)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40" s="25">
        <f>HYPERLINK(LEFT(CELL("filename",A1),FIND("[",CELL("filename",A1))-1)&amp;"6.건축\39_저수조 설치현황 신고서 제출\표준서\저수조 설치현황 신고서 제출_표준서.html", "👉 [클릭] 표준서 열기 📄")</f>
        <v/>
      </c>
      <c r="O40" s="24" t="inlineStr">
        <is>
          <t>1) 저수조 설치현황 신고서 제출 (WBS 9000-4-39) 사전 건축 인허가 서식 제출(관할 지자체/소방서), 3D BIM 도서 대조 및 기계·전기·통신 4대 인터페이스 개구부를 확정한다.
2) 실무 작업방법 수칙(현장 -&gt; 저수조업체 -&gt; 관할지자체, 수도법 제33조(위생상의 조치) 서식: 별지 제12호 서식)에 따라 철근 이음/피복두께 검측, 거푸집 다짐 양생 및 현장 3대 금기 수칙(피복 미달, 무단 타설)을 완수한다.</t>
        </is>
      </c>
      <c r="P40" s="26">
        <f>HYPERLINK(LEFT(CELL("filename",A1),FIND("[",CELL("filename",A1))-1)&amp;"6.건축\39_저수조 설치현황 신고서 제출\수행지침\저수조 설치현황 신고서 제출_수행지침.html", "👉 [클릭] 수행지침 열기 📄")</f>
        <v/>
      </c>
      <c r="Q40" s="24" t="inlineStr">
        <is>
          <t>1) 건축법 제11조 및 KDS 41 00 00 건축구조기준에 따라 저수조 설치현황 신고서 제출 사전 검토를 수행하였는가? 또한 레미콘 규격(24~30MPa), 철근 시험성적서 및 방수자재 KCS 표준 품질 적격성을 검수하였는가?
2) 미검측 및 정량 시방 미달에 따른 저수조 설치현황 신고서 제출 (WBS 9000-4-39) 구조 균열/누수 하자 발생, 개구부 누락 재시공 손실 및 최종 저수조 설치 신고필증 승인 반려 리스크를 전면 차단한다.</t>
        </is>
      </c>
      <c r="R40" s="27">
        <f>HYPERLINK(LEFT(CELL("filename",A1),FIND("[",CELL("filename",A1))-1)&amp;"6.건축\39_저수조 설치현황 신고서 제출\체크리스트\저수조 설치현황 신고서 제출_체크리스트.html", "👉 [클릭] 체크리스트 열기 📄")</f>
        <v/>
      </c>
      <c r="S40" s="21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  <c r="DY40" s="18" t="n"/>
      <c r="DZ40" s="18" t="n"/>
      <c r="EA40" s="18" t="n"/>
      <c r="EB40" s="18" t="n"/>
      <c r="EC40" s="18" t="n"/>
      <c r="ED40" s="18" t="n"/>
      <c r="EE40" s="18" t="n"/>
      <c r="EF40" s="18" t="n"/>
      <c r="EG40" s="18" t="n"/>
      <c r="EH40" s="18" t="n"/>
      <c r="EI40" s="18" t="n"/>
      <c r="EJ40" s="18" t="n"/>
      <c r="EK40" s="18" t="n"/>
      <c r="EL40" s="18" t="n"/>
      <c r="EM40" s="18" t="n"/>
      <c r="EN40" s="18" t="n"/>
      <c r="EO40" s="18" t="n"/>
      <c r="EP40" s="18" t="n"/>
      <c r="EQ40" s="18" t="n"/>
      <c r="ER40" s="18" t="n"/>
      <c r="ES40" s="18" t="n"/>
      <c r="ET40" s="18" t="n"/>
      <c r="EU40" s="18" t="n"/>
      <c r="EV40" s="18" t="n"/>
      <c r="EW40" s="18" t="n"/>
      <c r="EX40" s="18" t="n"/>
      <c r="EY40" s="18" t="n"/>
      <c r="EZ40" s="18" t="n"/>
      <c r="FA40" s="18" t="n"/>
      <c r="FB40" s="18" t="n"/>
      <c r="FC40" s="18" t="n"/>
      <c r="FD40" s="18" t="n"/>
      <c r="FE40" s="18" t="n"/>
      <c r="FF40" s="18" t="n"/>
      <c r="FG40" s="18" t="n"/>
      <c r="FH40" s="18" t="n"/>
      <c r="FI40" s="18" t="n"/>
      <c r="FJ40" s="18" t="n"/>
      <c r="FK40" s="18" t="n"/>
      <c r="FL40" s="18" t="n"/>
      <c r="FM40" s="18" t="n"/>
      <c r="FN40" s="18" t="n"/>
      <c r="FO40" s="18" t="n"/>
      <c r="FP40" s="18" t="n"/>
      <c r="FQ40" s="18" t="n"/>
      <c r="FR40" s="18" t="n"/>
      <c r="FS40" s="18" t="n"/>
      <c r="FT40" s="18" t="n"/>
      <c r="FU40" s="18" t="n"/>
      <c r="FV40" s="18" t="n"/>
      <c r="FW40" s="18" t="n"/>
      <c r="FX40" s="18" t="n"/>
      <c r="FY40" s="18" t="n"/>
      <c r="FZ40" s="18" t="n"/>
      <c r="GA40" s="18" t="n"/>
      <c r="GB40" s="18" t="n"/>
      <c r="GC40" s="18" t="n"/>
      <c r="GD40" s="18" t="n"/>
      <c r="GE40" s="18" t="n"/>
      <c r="GF40" s="18" t="n"/>
      <c r="GG40" s="18" t="n"/>
      <c r="GH40" s="18" t="n"/>
      <c r="GI40" s="18" t="n"/>
      <c r="GJ40" s="18" t="n"/>
      <c r="GK40" s="18" t="n"/>
      <c r="GL40" s="18" t="n"/>
      <c r="GM40" s="18" t="n"/>
      <c r="GN40" s="18" t="n"/>
      <c r="GO40" s="18" t="n"/>
      <c r="GP40" s="18" t="n"/>
      <c r="GQ40" s="18" t="n"/>
      <c r="GR40" s="18" t="n"/>
      <c r="GS40" s="18" t="n"/>
      <c r="GT40" s="18" t="n"/>
      <c r="GU40" s="18" t="n"/>
      <c r="GV40" s="18" t="n"/>
      <c r="GW40" s="18" t="n"/>
      <c r="GX40" s="18" t="n"/>
      <c r="GY40" s="18" t="n"/>
      <c r="GZ40" s="18" t="n"/>
      <c r="HA40" s="18" t="n"/>
      <c r="HB40" s="18" t="n"/>
      <c r="HC40" s="18" t="n"/>
      <c r="HD40" s="18" t="n"/>
      <c r="HE40" s="18" t="n"/>
      <c r="HF40" s="18" t="n"/>
      <c r="HG40" s="18" t="n"/>
      <c r="HH40" s="18" t="n"/>
      <c r="HI40" s="18" t="n"/>
      <c r="HJ40" s="18" t="n"/>
      <c r="HK40" s="18" t="n"/>
      <c r="HL40" s="18" t="n"/>
      <c r="HM40" s="18" t="n"/>
      <c r="HN40" s="18" t="n"/>
      <c r="HO40" s="18" t="n"/>
      <c r="HP40" s="18" t="n"/>
      <c r="HQ40" s="18" t="n"/>
      <c r="HR40" s="18" t="n"/>
      <c r="HS40" s="18" t="n"/>
      <c r="HT40" s="18" t="n"/>
      <c r="HU40" s="18" t="n"/>
      <c r="HV40" s="18" t="n"/>
      <c r="HW40" s="18" t="n"/>
      <c r="HX40" s="18" t="n"/>
      <c r="HY40" s="18" t="n"/>
      <c r="HZ40" s="18" t="n"/>
      <c r="IA40" s="18" t="n"/>
      <c r="IB40" s="18" t="n"/>
      <c r="IC40" s="18" t="n"/>
      <c r="ID40" s="18" t="n"/>
      <c r="IE40" s="18" t="n"/>
      <c r="IF40" s="18" t="n"/>
      <c r="IG40" s="18" t="n"/>
      <c r="IH40" s="18" t="n"/>
      <c r="II40" s="18" t="n"/>
      <c r="IJ40" s="18" t="n"/>
      <c r="IK40" s="18" t="n"/>
      <c r="IL40" s="18" t="n"/>
      <c r="IM40" s="18" t="n"/>
      <c r="IN40" s="18" t="n"/>
      <c r="IO40" s="18" t="n"/>
      <c r="IP40" s="18" t="n"/>
      <c r="IQ40" s="18" t="n"/>
      <c r="IR40" s="18" t="n"/>
      <c r="IS40" s="18" t="n"/>
      <c r="IT40" s="18" t="n"/>
      <c r="IU40" s="18" t="n"/>
      <c r="IV40" s="18" t="n"/>
      <c r="IW40" s="18" t="n"/>
      <c r="IX40" s="18" t="n"/>
      <c r="IY40" s="18" t="n"/>
      <c r="IZ40" s="18" t="n"/>
      <c r="JA40" s="18" t="n"/>
      <c r="JB40" s="18" t="n"/>
      <c r="JC40" s="18" t="n"/>
      <c r="JD40" s="18" t="n"/>
      <c r="JE40" s="18" t="n"/>
      <c r="JF40" s="18" t="n"/>
      <c r="JG40" s="18" t="n"/>
      <c r="JH40" s="18" t="n"/>
      <c r="JI40" s="18" t="n"/>
      <c r="JJ40" s="18" t="n"/>
      <c r="JK40" s="18" t="n"/>
      <c r="JL40" s="18" t="n"/>
      <c r="JM40" s="18" t="n"/>
      <c r="JN40" s="18" t="n"/>
      <c r="JO40" s="18" t="n"/>
      <c r="JP40" s="18" t="n"/>
      <c r="JQ40" s="18" t="n"/>
      <c r="JR40" s="18" t="n"/>
      <c r="JS40" s="18" t="n"/>
      <c r="JT40" s="18" t="n"/>
      <c r="JU40" s="18" t="n"/>
      <c r="JV40" s="18" t="n"/>
      <c r="JW40" s="18" t="n"/>
      <c r="JX40" s="18" t="n"/>
      <c r="JY40" s="18" t="n"/>
      <c r="JZ40" s="18" t="n"/>
      <c r="KA40" s="18" t="n"/>
      <c r="KB40" s="18" t="n"/>
      <c r="KC40" s="18" t="n"/>
      <c r="KD40" s="18" t="n"/>
      <c r="KE40" s="18" t="n"/>
      <c r="KF40" s="18" t="n"/>
      <c r="KG40" s="18" t="n"/>
      <c r="KH40" s="18" t="n"/>
      <c r="KI40" s="18" t="n"/>
      <c r="KJ40" s="18" t="n"/>
      <c r="KK40" s="18" t="n"/>
      <c r="KL40" s="18" t="n"/>
      <c r="KM40" s="18" t="n"/>
      <c r="KN40" s="18" t="n"/>
      <c r="KO40" s="18" t="n"/>
      <c r="KP40" s="18" t="n"/>
      <c r="KQ40" s="18" t="n"/>
      <c r="KR40" s="18" t="n"/>
      <c r="KS40" s="18" t="n"/>
      <c r="KT40" s="18" t="n"/>
      <c r="KU40" s="18" t="n"/>
      <c r="KV40" s="18" t="n"/>
      <c r="KW40" s="18" t="n"/>
      <c r="KX40" s="18" t="n"/>
      <c r="KY40" s="18" t="n"/>
      <c r="KZ40" s="18" t="n"/>
      <c r="LA40" s="18" t="n"/>
      <c r="LB40" s="18" t="n"/>
      <c r="LC40" s="18" t="n"/>
      <c r="LD40" s="18" t="n"/>
      <c r="LE40" s="18" t="n"/>
      <c r="LF40" s="18" t="n"/>
      <c r="LG40" s="18" t="n"/>
      <c r="LH40" s="18" t="n"/>
      <c r="LI40" s="18" t="n"/>
      <c r="LJ40" s="18" t="n"/>
      <c r="LK40" s="18" t="n"/>
      <c r="LL40" s="18" t="n"/>
      <c r="LM40" s="18" t="n"/>
      <c r="LN40" s="18" t="n"/>
      <c r="LO40" s="18" t="n"/>
      <c r="LP40" s="18" t="n"/>
      <c r="LQ40" s="18" t="n"/>
      <c r="LR40" s="18" t="n"/>
      <c r="LS40" s="18" t="n"/>
      <c r="LT40" s="18" t="n"/>
      <c r="LU40" s="18" t="n"/>
      <c r="LV40" s="18" t="n"/>
      <c r="LW40" s="18" t="n"/>
      <c r="LX40" s="18" t="n"/>
      <c r="LY40" s="18" t="n"/>
      <c r="LZ40" s="18" t="n"/>
      <c r="MA40" s="18" t="n"/>
      <c r="MB40" s="18" t="n"/>
      <c r="MC40" s="18" t="n"/>
      <c r="MD40" s="18" t="n"/>
      <c r="ME40" s="18" t="n"/>
      <c r="MF40" s="18" t="n"/>
      <c r="MG40" s="18" t="n"/>
      <c r="MH40" s="18" t="n"/>
      <c r="MI40" s="18" t="n"/>
      <c r="MJ40" s="18" t="n"/>
      <c r="MK40" s="18" t="n"/>
      <c r="ML40" s="18" t="n"/>
      <c r="MM40" s="18" t="n"/>
      <c r="MN40" s="18" t="n"/>
      <c r="MO40" s="18" t="n"/>
      <c r="MP40" s="18" t="n"/>
      <c r="MQ40" s="18" t="n"/>
      <c r="MR40" s="18" t="n"/>
      <c r="MS40" s="18" t="n"/>
      <c r="MT40" s="18" t="n"/>
      <c r="MU40" s="18" t="n"/>
      <c r="MV40" s="18" t="n"/>
      <c r="MW40" s="18" t="n"/>
      <c r="MX40" s="18" t="n"/>
      <c r="MY40" s="18" t="n"/>
      <c r="MZ40" s="18" t="n"/>
      <c r="NA40" s="18" t="n"/>
      <c r="NB40" s="18" t="n"/>
      <c r="NC40" s="18" t="n"/>
      <c r="ND40" s="18" t="n"/>
      <c r="NE40" s="18" t="n"/>
      <c r="NF40" s="18" t="n"/>
      <c r="NG40" s="18" t="n"/>
      <c r="NH40" s="18" t="n"/>
      <c r="NI40" s="18" t="n"/>
      <c r="NJ40" s="18" t="n"/>
      <c r="NK40" s="18" t="n"/>
      <c r="NL40" s="18" t="n"/>
      <c r="NM40" s="18" t="n"/>
      <c r="NN40" s="18" t="n"/>
      <c r="NO40" s="18" t="n"/>
    </row>
    <row r="41" ht="52.05" customHeight="1" s="88">
      <c r="A41" s="29" t="inlineStr">
        <is>
          <t>9000</t>
        </is>
      </c>
      <c r="B41" s="29" t="inlineStr">
        <is>
          <t>9000-6</t>
        </is>
      </c>
      <c r="C41" s="29" t="inlineStr">
        <is>
          <t>건축</t>
        </is>
      </c>
      <c r="D41" s="29" t="inlineStr">
        <is>
          <t>9000-6-40</t>
        </is>
      </c>
      <c r="E41" s="102" t="inlineStr">
        <is>
          <t>9000-6-37, 9000-6-38</t>
        </is>
      </c>
      <c r="F41" s="102" t="inlineStr">
        <is>
          <t>9000-6-42, 9000-6-43</t>
        </is>
      </c>
      <c r="G41" s="32" t="inlineStr">
        <is>
          <t>오수처리시설 / 정화조 설치 신고서 제출</t>
        </is>
      </c>
      <c r="H41" s="33" t="n"/>
      <c r="I41" s="33" t="inlineStr">
        <is>
          <t>현장소장</t>
        </is>
      </c>
      <c r="J41" s="34" t="inlineStr">
        <is>
          <t>정화조 및 오수 처리시설 신고</t>
        </is>
      </c>
      <c r="K41" s="34" t="inlineStr">
        <is>
          <t>현장 -&gt; 관할지자체, 하수도법 제34조
- 서식: 별지 제13호 서식
- 제출후 처리기간 5일 이내</t>
        </is>
      </c>
      <c r="L41" s="34" t="inlineStr">
        <is>
          <t>오수처리시설/정화조 설치 신고필증</t>
        </is>
      </c>
      <c r="M41" s="34" t="inlineStr">
        <is>
          <t>1) 오수처리시설 / 정화조 설치 신고서 제출 (WBS 9000-4-40) 관련 현장 -&gt; 관할지자체, 하수도법 제34조 수칙 및 법적 이행 의무를 1:1 준수한다. 또한 KDS 41 00 00 (건축구조기준), KDS 41 17 00 (내진설계기준) 및 KCS 41 00 00 (건축공사 표준시방서) 기술기준을 100% 충족한다.
2) 오수처리시설 / 정화조 설치 신고서 제출 달성을 위한 필수 시공 방법(현장 -&gt; 관할지자체, 하수도법 제34조 서식: 별지 제13호 서식 제출후 처리기간 5일 이내...)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41" s="35">
        <f>HYPERLINK(LEFT(CELL("filename",A1),FIND("[",CELL("filename",A1))-1)&amp;"6.건축\40_오수처리시설 _ 정화조 설치 신고서 제출\표준서\오수처리시설 _ 정화조 설치 신고서 제출_표준서.html", "👉 [클릭] 표준서 열기 📄")</f>
        <v/>
      </c>
      <c r="O41" s="34" t="inlineStr">
        <is>
          <t>1) 오수처리시설 / 정화조 설치 신고서 제출 (WBS 9000-4-40) 사전 건축 인허가 서식 제출(관할 지자체/소방서), 3D BIM 도서 대조 및 기계·전기·통신 4대 인터페이스 개구부를 확정한다.
2) 실무 작업방법 수칙(현장 -&gt; 관할지자체, 하수도법 제34조 서식: 별지 제13호 서식 제출후 처리기간 5일 이내)에 따라 철근 이음/피복두께 검측, 거푸집 다짐 양생 및 현장 3대 금기 수칙(피복 미달, 무단 타설)을 완수한다.</t>
        </is>
      </c>
      <c r="P41" s="36">
        <f>HYPERLINK(LEFT(CELL("filename",A1),FIND("[",CELL("filename",A1))-1)&amp;"6.건축\40_오수처리시설 _ 정화조 설치 신고서 제출\수행지침\오수처리시설 _ 정화조 설치 신고서 제출_수행지침.html", "👉 [클릭] 수행지침 열기 📄")</f>
        <v/>
      </c>
      <c r="Q41" s="34" t="inlineStr">
        <is>
          <t>1) 건축법 제11조 및 KDS 41 00 00 건축구조기준에 따라 오수처리시설 / 정화조 설치 신고서 제출 사전 검토를 수행하였는가? 또한 레미콘 규격(24~30MPa), 철근 시험성적서 및 방수자재 KCS 표준 품질 적격성을 검수하였는가?
2) 미검측 및 정량 시방 미달에 따른 오수처리시설 / 정화조 설치 신고서 제출 (WBS 9000-4-40) 구조 균열/누수 하자 발생, 개구부 누락 재시공 손실 및 최종 오수처리시설/정화조 설치 신고필증 승인 반려 리스크를 전면 차단한다.</t>
        </is>
      </c>
      <c r="R41" s="37">
        <f>HYPERLINK(LEFT(CELL("filename",A1),FIND("[",CELL("filename",A1))-1)&amp;"6.건축\40_오수처리시설 _ 정화조 설치 신고서 제출\체크리스트\오수처리시설 _ 정화조 설치 신고서 제출_체크리스트.html", "👉 [클릭] 체크리스트 열기 📄")</f>
        <v/>
      </c>
      <c r="S41" s="33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  <c r="DY41" s="18" t="n"/>
      <c r="DZ41" s="18" t="n"/>
      <c r="EA41" s="18" t="n"/>
      <c r="EB41" s="18" t="n"/>
      <c r="EC41" s="18" t="n"/>
      <c r="ED41" s="18" t="n"/>
      <c r="EE41" s="18" t="n"/>
      <c r="EF41" s="18" t="n"/>
      <c r="EG41" s="18" t="n"/>
      <c r="EH41" s="18" t="n"/>
      <c r="EI41" s="18" t="n"/>
      <c r="EJ41" s="18" t="n"/>
      <c r="EK41" s="18" t="n"/>
      <c r="EL41" s="18" t="n"/>
      <c r="EM41" s="18" t="n"/>
      <c r="EN41" s="18" t="n"/>
      <c r="EO41" s="18" t="n"/>
      <c r="EP41" s="18" t="n"/>
      <c r="EQ41" s="18" t="n"/>
      <c r="ER41" s="18" t="n"/>
      <c r="ES41" s="18" t="n"/>
      <c r="ET41" s="18" t="n"/>
      <c r="EU41" s="18" t="n"/>
      <c r="EV41" s="18" t="n"/>
      <c r="EW41" s="18" t="n"/>
      <c r="EX41" s="18" t="n"/>
      <c r="EY41" s="18" t="n"/>
      <c r="EZ41" s="18" t="n"/>
      <c r="FA41" s="18" t="n"/>
      <c r="FB41" s="18" t="n"/>
      <c r="FC41" s="18" t="n"/>
      <c r="FD41" s="18" t="n"/>
      <c r="FE41" s="18" t="n"/>
      <c r="FF41" s="18" t="n"/>
      <c r="FG41" s="18" t="n"/>
      <c r="FH41" s="18" t="n"/>
      <c r="FI41" s="18" t="n"/>
      <c r="FJ41" s="18" t="n"/>
      <c r="FK41" s="18" t="n"/>
      <c r="FL41" s="18" t="n"/>
      <c r="FM41" s="18" t="n"/>
      <c r="FN41" s="18" t="n"/>
      <c r="FO41" s="18" t="n"/>
      <c r="FP41" s="18" t="n"/>
      <c r="FQ41" s="18" t="n"/>
      <c r="FR41" s="18" t="n"/>
      <c r="FS41" s="18" t="n"/>
      <c r="FT41" s="18" t="n"/>
      <c r="FU41" s="18" t="n"/>
      <c r="FV41" s="18" t="n"/>
      <c r="FW41" s="18" t="n"/>
      <c r="FX41" s="18" t="n"/>
      <c r="FY41" s="18" t="n"/>
      <c r="FZ41" s="18" t="n"/>
      <c r="GA41" s="18" t="n"/>
      <c r="GB41" s="18" t="n"/>
      <c r="GC41" s="18" t="n"/>
      <c r="GD41" s="18" t="n"/>
      <c r="GE41" s="18" t="n"/>
      <c r="GF41" s="18" t="n"/>
      <c r="GG41" s="18" t="n"/>
      <c r="GH41" s="18" t="n"/>
      <c r="GI41" s="18" t="n"/>
      <c r="GJ41" s="18" t="n"/>
      <c r="GK41" s="18" t="n"/>
      <c r="GL41" s="18" t="n"/>
      <c r="GM41" s="18" t="n"/>
      <c r="GN41" s="18" t="n"/>
      <c r="GO41" s="18" t="n"/>
      <c r="GP41" s="18" t="n"/>
      <c r="GQ41" s="18" t="n"/>
      <c r="GR41" s="18" t="n"/>
      <c r="GS41" s="18" t="n"/>
      <c r="GT41" s="18" t="n"/>
      <c r="GU41" s="18" t="n"/>
      <c r="GV41" s="18" t="n"/>
      <c r="GW41" s="18" t="n"/>
      <c r="GX41" s="18" t="n"/>
      <c r="GY41" s="18" t="n"/>
      <c r="GZ41" s="18" t="n"/>
      <c r="HA41" s="18" t="n"/>
      <c r="HB41" s="18" t="n"/>
      <c r="HC41" s="18" t="n"/>
      <c r="HD41" s="18" t="n"/>
      <c r="HE41" s="18" t="n"/>
      <c r="HF41" s="18" t="n"/>
      <c r="HG41" s="18" t="n"/>
      <c r="HH41" s="18" t="n"/>
      <c r="HI41" s="18" t="n"/>
      <c r="HJ41" s="18" t="n"/>
      <c r="HK41" s="18" t="n"/>
      <c r="HL41" s="18" t="n"/>
      <c r="HM41" s="18" t="n"/>
      <c r="HN41" s="18" t="n"/>
      <c r="HO41" s="18" t="n"/>
      <c r="HP41" s="18" t="n"/>
      <c r="HQ41" s="18" t="n"/>
      <c r="HR41" s="18" t="n"/>
      <c r="HS41" s="18" t="n"/>
      <c r="HT41" s="18" t="n"/>
      <c r="HU41" s="18" t="n"/>
      <c r="HV41" s="18" t="n"/>
      <c r="HW41" s="18" t="n"/>
      <c r="HX41" s="18" t="n"/>
      <c r="HY41" s="18" t="n"/>
      <c r="HZ41" s="18" t="n"/>
      <c r="IA41" s="18" t="n"/>
      <c r="IB41" s="18" t="n"/>
      <c r="IC41" s="18" t="n"/>
      <c r="ID41" s="18" t="n"/>
      <c r="IE41" s="18" t="n"/>
      <c r="IF41" s="18" t="n"/>
      <c r="IG41" s="18" t="n"/>
      <c r="IH41" s="18" t="n"/>
      <c r="II41" s="18" t="n"/>
      <c r="IJ41" s="18" t="n"/>
      <c r="IK41" s="18" t="n"/>
      <c r="IL41" s="18" t="n"/>
      <c r="IM41" s="18" t="n"/>
      <c r="IN41" s="18" t="n"/>
      <c r="IO41" s="18" t="n"/>
      <c r="IP41" s="18" t="n"/>
      <c r="IQ41" s="18" t="n"/>
      <c r="IR41" s="18" t="n"/>
      <c r="IS41" s="18" t="n"/>
      <c r="IT41" s="18" t="n"/>
      <c r="IU41" s="18" t="n"/>
      <c r="IV41" s="18" t="n"/>
      <c r="IW41" s="18" t="n"/>
      <c r="IX41" s="18" t="n"/>
      <c r="IY41" s="18" t="n"/>
      <c r="IZ41" s="18" t="n"/>
      <c r="JA41" s="18" t="n"/>
      <c r="JB41" s="18" t="n"/>
      <c r="JC41" s="18" t="n"/>
      <c r="JD41" s="18" t="n"/>
      <c r="JE41" s="18" t="n"/>
      <c r="JF41" s="18" t="n"/>
      <c r="JG41" s="18" t="n"/>
      <c r="JH41" s="18" t="n"/>
      <c r="JI41" s="18" t="n"/>
      <c r="JJ41" s="18" t="n"/>
      <c r="JK41" s="18" t="n"/>
      <c r="JL41" s="18" t="n"/>
      <c r="JM41" s="18" t="n"/>
      <c r="JN41" s="18" t="n"/>
      <c r="JO41" s="18" t="n"/>
      <c r="JP41" s="18" t="n"/>
      <c r="JQ41" s="18" t="n"/>
      <c r="JR41" s="18" t="n"/>
      <c r="JS41" s="18" t="n"/>
      <c r="JT41" s="18" t="n"/>
      <c r="JU41" s="18" t="n"/>
      <c r="JV41" s="18" t="n"/>
      <c r="JW41" s="18" t="n"/>
      <c r="JX41" s="18" t="n"/>
      <c r="JY41" s="18" t="n"/>
      <c r="JZ41" s="18" t="n"/>
      <c r="KA41" s="18" t="n"/>
      <c r="KB41" s="18" t="n"/>
      <c r="KC41" s="18" t="n"/>
      <c r="KD41" s="18" t="n"/>
      <c r="KE41" s="18" t="n"/>
      <c r="KF41" s="18" t="n"/>
      <c r="KG41" s="18" t="n"/>
      <c r="KH41" s="18" t="n"/>
      <c r="KI41" s="18" t="n"/>
      <c r="KJ41" s="18" t="n"/>
      <c r="KK41" s="18" t="n"/>
      <c r="KL41" s="18" t="n"/>
      <c r="KM41" s="18" t="n"/>
      <c r="KN41" s="18" t="n"/>
      <c r="KO41" s="18" t="n"/>
      <c r="KP41" s="18" t="n"/>
      <c r="KQ41" s="18" t="n"/>
      <c r="KR41" s="18" t="n"/>
      <c r="KS41" s="18" t="n"/>
      <c r="KT41" s="18" t="n"/>
      <c r="KU41" s="18" t="n"/>
      <c r="KV41" s="18" t="n"/>
      <c r="KW41" s="18" t="n"/>
      <c r="KX41" s="18" t="n"/>
      <c r="KY41" s="18" t="n"/>
      <c r="KZ41" s="18" t="n"/>
      <c r="LA41" s="18" t="n"/>
      <c r="LB41" s="18" t="n"/>
      <c r="LC41" s="18" t="n"/>
      <c r="LD41" s="18" t="n"/>
      <c r="LE41" s="18" t="n"/>
      <c r="LF41" s="18" t="n"/>
      <c r="LG41" s="18" t="n"/>
      <c r="LH41" s="18" t="n"/>
      <c r="LI41" s="18" t="n"/>
      <c r="LJ41" s="18" t="n"/>
      <c r="LK41" s="18" t="n"/>
      <c r="LL41" s="18" t="n"/>
      <c r="LM41" s="18" t="n"/>
      <c r="LN41" s="18" t="n"/>
      <c r="LO41" s="18" t="n"/>
      <c r="LP41" s="18" t="n"/>
      <c r="LQ41" s="18" t="n"/>
      <c r="LR41" s="18" t="n"/>
      <c r="LS41" s="18" t="n"/>
      <c r="LT41" s="18" t="n"/>
      <c r="LU41" s="18" t="n"/>
      <c r="LV41" s="18" t="n"/>
      <c r="LW41" s="18" t="n"/>
      <c r="LX41" s="18" t="n"/>
      <c r="LY41" s="18" t="n"/>
      <c r="LZ41" s="18" t="n"/>
      <c r="MA41" s="18" t="n"/>
      <c r="MB41" s="18" t="n"/>
      <c r="MC41" s="18" t="n"/>
      <c r="MD41" s="18" t="n"/>
      <c r="ME41" s="18" t="n"/>
      <c r="MF41" s="18" t="n"/>
      <c r="MG41" s="18" t="n"/>
      <c r="MH41" s="18" t="n"/>
      <c r="MI41" s="18" t="n"/>
      <c r="MJ41" s="18" t="n"/>
      <c r="MK41" s="18" t="n"/>
      <c r="ML41" s="18" t="n"/>
      <c r="MM41" s="18" t="n"/>
      <c r="MN41" s="18" t="n"/>
      <c r="MO41" s="18" t="n"/>
      <c r="MP41" s="18" t="n"/>
      <c r="MQ41" s="18" t="n"/>
      <c r="MR41" s="18" t="n"/>
      <c r="MS41" s="18" t="n"/>
      <c r="MT41" s="18" t="n"/>
      <c r="MU41" s="18" t="n"/>
      <c r="MV41" s="18" t="n"/>
      <c r="MW41" s="18" t="n"/>
      <c r="MX41" s="18" t="n"/>
      <c r="MY41" s="18" t="n"/>
      <c r="MZ41" s="18" t="n"/>
      <c r="NA41" s="18" t="n"/>
      <c r="NB41" s="18" t="n"/>
      <c r="NC41" s="18" t="n"/>
      <c r="ND41" s="18" t="n"/>
      <c r="NE41" s="18" t="n"/>
      <c r="NF41" s="18" t="n"/>
      <c r="NG41" s="18" t="n"/>
      <c r="NH41" s="18" t="n"/>
      <c r="NI41" s="18" t="n"/>
      <c r="NJ41" s="18" t="n"/>
      <c r="NK41" s="18" t="n"/>
      <c r="NL41" s="18" t="n"/>
      <c r="NM41" s="18" t="n"/>
      <c r="NN41" s="18" t="n"/>
      <c r="NO41" s="18" t="n"/>
      <c r="NP41" s="18" t="n"/>
      <c r="NQ41" s="18" t="n"/>
      <c r="NR41" s="18" t="n"/>
      <c r="NS41" s="18" t="n"/>
    </row>
    <row r="42" ht="52.05" customHeight="1" s="88">
      <c r="A42" s="19" t="inlineStr">
        <is>
          <t>9000</t>
        </is>
      </c>
      <c r="B42" s="19" t="inlineStr">
        <is>
          <t>9000-6</t>
        </is>
      </c>
      <c r="C42" s="19" t="inlineStr">
        <is>
          <t>건축</t>
        </is>
      </c>
      <c r="D42" s="19" t="inlineStr">
        <is>
          <t>9000-6-41</t>
        </is>
      </c>
      <c r="E42" s="95" t="inlineStr">
        <is>
          <t>9000-6-39</t>
        </is>
      </c>
      <c r="F42" s="95" t="inlineStr">
        <is>
          <t>9000-6-44</t>
        </is>
      </c>
      <c r="G42" s="23" t="inlineStr">
        <is>
          <t>전기사용전 검사</t>
        </is>
      </c>
      <c r="H42" s="21" t="n"/>
      <c r="I42" s="21" t="inlineStr">
        <is>
          <t>현장소장</t>
        </is>
      </c>
      <c r="J42" s="24" t="inlineStr">
        <is>
          <t>전기사용전 검사 신청</t>
        </is>
      </c>
      <c r="K42" s="24" t="inlineStr">
        <is>
          <t>현장 -&gt; 한국전기안전공사, 전기안전관리법 제9조(사용전검사)
- 서식: 별지 제4호 서식</t>
        </is>
      </c>
      <c r="L42" s="24" t="inlineStr">
        <is>
          <t>전기사용전 검사 필증</t>
        </is>
      </c>
      <c r="M42" s="24" t="inlineStr">
        <is>
          <t>1) 전기사용전 검사 (WBS 9000-4-41) 관련 현장 -&gt; 한국전기안전공사, 전기안전관리법 제9조(사용전검사) 수칙 및 법적 이행 의무를 1:1 준수한다. 또한 KDS 41 00 00 (건축구조기준), KDS 41 17 00 (내진설계기준) 및 KCS 41 00 00 (건축공사 표준시방서) 기술기준을 100% 충족한다.
2) 전기사용전 검사 달성을 위한 필수 시공 방법(현장 -&gt; 한국전기안전공사, 전기안전관리법 제9조(사용전검사) 서식: 별지 제4호 서식...)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42" s="25">
        <f>HYPERLINK(LEFT(CELL("filename",A1),FIND("[",CELL("filename",A1))-1)&amp;"6.건축\41_전기사용전 검사\표준서\전기사용전 검사_표준서.html", "👉 [클릭] 표준서 열기 📄")</f>
        <v/>
      </c>
      <c r="O42" s="24" t="inlineStr">
        <is>
          <t>1) 전기사용전 검사 (WBS 9000-4-41) 사전 건축 인허가 서식 제출(관할 지자체/소방서), 3D BIM 도서 대조 및 기계·전기·통신 4대 인터페이스 개구부를 확정한다.
2) 실무 작업방법 수칙(현장 -&gt; 한국전기안전공사, 전기안전관리법 제9조(사용전검사) 서식: 별지 제4호 서식)에 따라 철근 이음/피복두께 검측, 거푸집 다짐 양생 및 현장 3대 금기 수칙(피복 미달, 무단 타설)을 완수한다.</t>
        </is>
      </c>
      <c r="P42" s="26">
        <f>HYPERLINK(LEFT(CELL("filename",A1),FIND("[",CELL("filename",A1))-1)&amp;"6.건축\41_전기사용전 검사\수행지침\전기사용전 검사_수행지침.html", "👉 [클릭] 수행지침 열기 📄")</f>
        <v/>
      </c>
      <c r="Q42" s="24" t="inlineStr">
        <is>
          <t>1) 건축법 제11조 및 KDS 41 00 00 건축구조기준에 따라 전기사용전 검사 사전 검토를 수행하였는가? 또한 레미콘 규격(24~30MPa), 철근 시험성적서 및 방수자재 KCS 표준 품질 적격성을 검수하였는가?
2) 미검측 및 정량 시방 미달에 따른 전기사용전 검사 (WBS 9000-4-41) 구조 균열/누수 하자 발생, 개구부 누락 재시공 손실 및 최종 전기사용전 검사 필증 승인 반려 리스크를 전면 차단한다.</t>
        </is>
      </c>
      <c r="R42" s="27">
        <f>HYPERLINK(LEFT(CELL("filename",A1),FIND("[",CELL("filename",A1))-1)&amp;"6.건축\41_전기사용전 검사\체크리스트\전기사용전 검사_체크리스트.html", "👉 [클릭] 체크리스트 열기 📄")</f>
        <v/>
      </c>
      <c r="S42" s="21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  <c r="DY42" s="18" t="n"/>
      <c r="DZ42" s="18" t="n"/>
      <c r="EA42" s="18" t="n"/>
      <c r="EB42" s="18" t="n"/>
      <c r="EC42" s="18" t="n"/>
      <c r="ED42" s="18" t="n"/>
      <c r="EE42" s="18" t="n"/>
      <c r="EF42" s="18" t="n"/>
      <c r="EG42" s="18" t="n"/>
      <c r="EH42" s="18" t="n"/>
      <c r="EI42" s="18" t="n"/>
      <c r="EJ42" s="18" t="n"/>
      <c r="EK42" s="18" t="n"/>
      <c r="EL42" s="18" t="n"/>
      <c r="EM42" s="18" t="n"/>
      <c r="EN42" s="18" t="n"/>
      <c r="EO42" s="18" t="n"/>
      <c r="EP42" s="18" t="n"/>
      <c r="EQ42" s="18" t="n"/>
      <c r="ER42" s="18" t="n"/>
      <c r="ES42" s="18" t="n"/>
      <c r="ET42" s="18" t="n"/>
      <c r="EU42" s="18" t="n"/>
      <c r="EV42" s="18" t="n"/>
      <c r="EW42" s="18" t="n"/>
      <c r="EX42" s="18" t="n"/>
      <c r="EY42" s="18" t="n"/>
      <c r="EZ42" s="18" t="n"/>
      <c r="FA42" s="18" t="n"/>
      <c r="FB42" s="18" t="n"/>
      <c r="FC42" s="18" t="n"/>
      <c r="FD42" s="18" t="n"/>
      <c r="FE42" s="18" t="n"/>
      <c r="FF42" s="18" t="n"/>
      <c r="FG42" s="18" t="n"/>
      <c r="FH42" s="18" t="n"/>
      <c r="FI42" s="18" t="n"/>
      <c r="FJ42" s="18" t="n"/>
      <c r="FK42" s="18" t="n"/>
      <c r="FL42" s="18" t="n"/>
      <c r="FM42" s="18" t="n"/>
      <c r="FN42" s="18" t="n"/>
      <c r="FO42" s="18" t="n"/>
      <c r="FP42" s="18" t="n"/>
      <c r="FQ42" s="18" t="n"/>
      <c r="FR42" s="18" t="n"/>
      <c r="FS42" s="18" t="n"/>
      <c r="FT42" s="18" t="n"/>
      <c r="FU42" s="18" t="n"/>
      <c r="FV42" s="18" t="n"/>
      <c r="FW42" s="18" t="n"/>
      <c r="FX42" s="18" t="n"/>
      <c r="FY42" s="18" t="n"/>
      <c r="FZ42" s="18" t="n"/>
      <c r="GA42" s="18" t="n"/>
      <c r="GB42" s="18" t="n"/>
      <c r="GC42" s="18" t="n"/>
      <c r="GD42" s="18" t="n"/>
      <c r="GE42" s="18" t="n"/>
      <c r="GF42" s="18" t="n"/>
      <c r="GG42" s="18" t="n"/>
      <c r="GH42" s="18" t="n"/>
      <c r="GI42" s="18" t="n"/>
      <c r="GJ42" s="18" t="n"/>
      <c r="GK42" s="18" t="n"/>
      <c r="GL42" s="18" t="n"/>
      <c r="GM42" s="18" t="n"/>
      <c r="GN42" s="18" t="n"/>
      <c r="GO42" s="18" t="n"/>
      <c r="GP42" s="18" t="n"/>
      <c r="GQ42" s="18" t="n"/>
      <c r="GR42" s="18" t="n"/>
      <c r="GS42" s="18" t="n"/>
      <c r="GT42" s="18" t="n"/>
      <c r="GU42" s="18" t="n"/>
      <c r="GV42" s="18" t="n"/>
      <c r="GW42" s="18" t="n"/>
      <c r="GX42" s="18" t="n"/>
      <c r="GY42" s="18" t="n"/>
      <c r="GZ42" s="18" t="n"/>
      <c r="HA42" s="18" t="n"/>
      <c r="HB42" s="18" t="n"/>
      <c r="HC42" s="18" t="n"/>
      <c r="HD42" s="18" t="n"/>
      <c r="HE42" s="18" t="n"/>
      <c r="HF42" s="18" t="n"/>
      <c r="HG42" s="18" t="n"/>
      <c r="HH42" s="18" t="n"/>
      <c r="HI42" s="18" t="n"/>
      <c r="HJ42" s="18" t="n"/>
      <c r="HK42" s="18" t="n"/>
      <c r="HL42" s="18" t="n"/>
      <c r="HM42" s="18" t="n"/>
      <c r="HN42" s="18" t="n"/>
      <c r="HO42" s="18" t="n"/>
      <c r="HP42" s="18" t="n"/>
      <c r="HQ42" s="18" t="n"/>
      <c r="HR42" s="18" t="n"/>
      <c r="HS42" s="18" t="n"/>
      <c r="HT42" s="18" t="n"/>
      <c r="HU42" s="18" t="n"/>
      <c r="HV42" s="18" t="n"/>
      <c r="HW42" s="18" t="n"/>
      <c r="HX42" s="18" t="n"/>
      <c r="HY42" s="18" t="n"/>
      <c r="HZ42" s="18" t="n"/>
      <c r="IA42" s="18" t="n"/>
      <c r="IB42" s="18" t="n"/>
      <c r="IC42" s="18" t="n"/>
      <c r="ID42" s="18" t="n"/>
      <c r="IE42" s="18" t="n"/>
      <c r="IF42" s="18" t="n"/>
      <c r="IG42" s="18" t="n"/>
      <c r="IH42" s="18" t="n"/>
      <c r="II42" s="18" t="n"/>
      <c r="IJ42" s="18" t="n"/>
      <c r="IK42" s="18" t="n"/>
      <c r="IL42" s="18" t="n"/>
      <c r="IM42" s="18" t="n"/>
      <c r="IN42" s="18" t="n"/>
      <c r="IO42" s="18" t="n"/>
      <c r="IP42" s="18" t="n"/>
      <c r="IQ42" s="18" t="n"/>
      <c r="IR42" s="18" t="n"/>
      <c r="IS42" s="18" t="n"/>
      <c r="IT42" s="18" t="n"/>
      <c r="IU42" s="18" t="n"/>
      <c r="IV42" s="18" t="n"/>
      <c r="IW42" s="18" t="n"/>
      <c r="IX42" s="18" t="n"/>
      <c r="IY42" s="18" t="n"/>
      <c r="IZ42" s="18" t="n"/>
      <c r="JA42" s="18" t="n"/>
      <c r="JB42" s="18" t="n"/>
      <c r="JC42" s="18" t="n"/>
      <c r="JD42" s="18" t="n"/>
      <c r="JE42" s="18" t="n"/>
      <c r="JF42" s="18" t="n"/>
      <c r="JG42" s="18" t="n"/>
      <c r="JH42" s="18" t="n"/>
      <c r="JI42" s="18" t="n"/>
      <c r="JJ42" s="18" t="n"/>
      <c r="JK42" s="18" t="n"/>
      <c r="JL42" s="18" t="n"/>
      <c r="JM42" s="18" t="n"/>
      <c r="JN42" s="18" t="n"/>
      <c r="JO42" s="18" t="n"/>
      <c r="JP42" s="18" t="n"/>
      <c r="JQ42" s="18" t="n"/>
      <c r="JR42" s="18" t="n"/>
      <c r="JS42" s="18" t="n"/>
      <c r="JT42" s="18" t="n"/>
      <c r="JU42" s="18" t="n"/>
      <c r="JV42" s="18" t="n"/>
      <c r="JW42" s="18" t="n"/>
      <c r="JX42" s="18" t="n"/>
      <c r="JY42" s="18" t="n"/>
      <c r="JZ42" s="18" t="n"/>
      <c r="KA42" s="18" t="n"/>
      <c r="KB42" s="18" t="n"/>
      <c r="KC42" s="18" t="n"/>
      <c r="KD42" s="18" t="n"/>
      <c r="KE42" s="18" t="n"/>
      <c r="KF42" s="18" t="n"/>
      <c r="KG42" s="18" t="n"/>
      <c r="KH42" s="18" t="n"/>
      <c r="KI42" s="18" t="n"/>
      <c r="KJ42" s="18" t="n"/>
      <c r="KK42" s="18" t="n"/>
      <c r="KL42" s="18" t="n"/>
      <c r="KM42" s="18" t="n"/>
      <c r="KN42" s="18" t="n"/>
      <c r="KO42" s="18" t="n"/>
      <c r="KP42" s="18" t="n"/>
      <c r="KQ42" s="18" t="n"/>
      <c r="KR42" s="18" t="n"/>
      <c r="KS42" s="18" t="n"/>
      <c r="KT42" s="18" t="n"/>
      <c r="KU42" s="18" t="n"/>
      <c r="KV42" s="18" t="n"/>
      <c r="KW42" s="18" t="n"/>
      <c r="KX42" s="18" t="n"/>
      <c r="KY42" s="18" t="n"/>
      <c r="KZ42" s="18" t="n"/>
      <c r="LA42" s="18" t="n"/>
      <c r="LB42" s="18" t="n"/>
      <c r="LC42" s="18" t="n"/>
      <c r="LD42" s="18" t="n"/>
      <c r="LE42" s="18" t="n"/>
      <c r="LF42" s="18" t="n"/>
      <c r="LG42" s="18" t="n"/>
      <c r="LH42" s="18" t="n"/>
      <c r="LI42" s="18" t="n"/>
      <c r="LJ42" s="18" t="n"/>
      <c r="LK42" s="18" t="n"/>
      <c r="LL42" s="18" t="n"/>
      <c r="LM42" s="18" t="n"/>
      <c r="LN42" s="18" t="n"/>
      <c r="LO42" s="18" t="n"/>
      <c r="LP42" s="18" t="n"/>
      <c r="LQ42" s="18" t="n"/>
      <c r="LR42" s="18" t="n"/>
      <c r="LS42" s="18" t="n"/>
      <c r="LT42" s="18" t="n"/>
      <c r="LU42" s="18" t="n"/>
      <c r="LV42" s="18" t="n"/>
      <c r="LW42" s="18" t="n"/>
      <c r="LX42" s="18" t="n"/>
      <c r="LY42" s="18" t="n"/>
      <c r="LZ42" s="18" t="n"/>
      <c r="MA42" s="18" t="n"/>
      <c r="MB42" s="18" t="n"/>
      <c r="MC42" s="18" t="n"/>
      <c r="MD42" s="18" t="n"/>
      <c r="ME42" s="18" t="n"/>
      <c r="MF42" s="18" t="n"/>
      <c r="MG42" s="18" t="n"/>
      <c r="MH42" s="18" t="n"/>
      <c r="MI42" s="18" t="n"/>
      <c r="MJ42" s="18" t="n"/>
      <c r="MK42" s="18" t="n"/>
      <c r="ML42" s="18" t="n"/>
      <c r="MM42" s="18" t="n"/>
      <c r="MN42" s="18" t="n"/>
      <c r="MO42" s="18" t="n"/>
      <c r="MP42" s="18" t="n"/>
      <c r="MQ42" s="18" t="n"/>
      <c r="MR42" s="18" t="n"/>
      <c r="MS42" s="18" t="n"/>
      <c r="MT42" s="18" t="n"/>
      <c r="MU42" s="18" t="n"/>
      <c r="MV42" s="18" t="n"/>
      <c r="MW42" s="18" t="n"/>
      <c r="MX42" s="18" t="n"/>
      <c r="MY42" s="18" t="n"/>
      <c r="MZ42" s="18" t="n"/>
      <c r="NA42" s="18" t="n"/>
      <c r="NB42" s="18" t="n"/>
      <c r="NC42" s="18" t="n"/>
      <c r="ND42" s="18" t="n"/>
      <c r="NE42" s="18" t="n"/>
      <c r="NF42" s="18" t="n"/>
      <c r="NG42" s="18" t="n"/>
      <c r="NH42" s="18" t="n"/>
      <c r="NI42" s="18" t="n"/>
      <c r="NJ42" s="18" t="n"/>
      <c r="NK42" s="18" t="n"/>
      <c r="NL42" s="18" t="n"/>
      <c r="NM42" s="18" t="n"/>
      <c r="NN42" s="18" t="n"/>
      <c r="NO42" s="18" t="n"/>
      <c r="NP42" s="18" t="n"/>
      <c r="NQ42" s="18" t="n"/>
      <c r="NR42" s="18" t="n"/>
      <c r="NS42" s="18" t="n"/>
      <c r="NT42" s="18" t="n"/>
      <c r="NU42" s="18" t="n"/>
      <c r="NV42" s="18" t="n"/>
      <c r="NW42" s="18" t="n"/>
    </row>
    <row r="43" ht="52.05" customHeight="1" s="88">
      <c r="A43" s="29" t="inlineStr">
        <is>
          <t>9000</t>
        </is>
      </c>
      <c r="B43" s="29" t="inlineStr">
        <is>
          <t>9000-6</t>
        </is>
      </c>
      <c r="C43" s="29" t="inlineStr">
        <is>
          <t>건축</t>
        </is>
      </c>
      <c r="D43" s="29" t="inlineStr">
        <is>
          <t>9000-6-42</t>
        </is>
      </c>
      <c r="E43" s="102" t="inlineStr">
        <is>
          <t>9000-6-39, 9000-6-40</t>
        </is>
      </c>
      <c r="F43" s="102" t="inlineStr">
        <is>
          <t>9000-6-44, 9000-6-45</t>
        </is>
      </c>
      <c r="G43" s="32" t="inlineStr">
        <is>
          <t>승강기 설치검사</t>
        </is>
      </c>
      <c r="H43" s="33" t="n"/>
      <c r="I43" s="33" t="inlineStr">
        <is>
          <t>현장소장</t>
        </is>
      </c>
      <c r="J43" s="34" t="inlineStr">
        <is>
          <t>승강기 설치검사 신청</t>
        </is>
      </c>
      <c r="K43" s="34" t="inlineStr">
        <is>
          <t>현장 -&gt; 한국승강기안전공단, 승강기 안전관리법 제28조(승강기 설치)
- 서식: 별지 제23호 서식
- 제출후 처리기간 15일 이내</t>
        </is>
      </c>
      <c r="L43" s="34" t="inlineStr">
        <is>
          <t>승강기 사용필증, 합격증보고서</t>
        </is>
      </c>
      <c r="M43" s="34" t="inlineStr">
        <is>
          <t>1) 승강기 설치검사 (WBS 9000-4-42) 관련 현장 -&gt; 한국승강기안전공단, 승강기 안전관리법 제28조(승강기 설치) 수칙 및 법적 이행 의무를 1:1 준수한다. 또한 KDS 41 00 00 (건축구조기준), KDS 41 17 00 (내진설계기준) 및 KCS 41 00 00 (건축공사 표준시방서) 기술기준을 100% 충족한다.
2) 승강기 설치검사 달성을 위한 필수 시공 방법(현장 -&gt; 한국승강기안전공단, 승강기 안전관리법 제28조(승강기 설치) 서식: 별지 제23호 서식 제출후 처...)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43" s="35">
        <f>HYPERLINK(LEFT(CELL("filename",A1),FIND("[",CELL("filename",A1))-1)&amp;"6.건축\42_승강기 설치검사\표준서\승강기 설치검사_표준서.html", "👉 [클릭] 표준서 열기 📄")</f>
        <v/>
      </c>
      <c r="O43" s="34" t="inlineStr">
        <is>
          <t>1) 승강기 설치검사 (WBS 9000-4-42) 사전 건축 인허가 서식 제출(관할 지자체/소방서), 3D BIM 도서 대조 및 기계·전기·통신 4대 인터페이스 개구부를 확정한다.
2) 실무 작업방법 수칙(현장 -&gt; 한국승강기안전공단, 승강기 안전관리법 제28조(승강기 설치) 서식: 별지 제23호 ...)에 따라 철근 이음/피복두께 검측, 거푸집 다짐 양생 및 현장 3대 금기 수칙(피복 미달, 무단 타설)을 완수한다.</t>
        </is>
      </c>
      <c r="P43" s="36">
        <f>HYPERLINK(LEFT(CELL("filename",A1),FIND("[",CELL("filename",A1))-1)&amp;"6.건축\42_승강기 설치검사\수행지침\승강기 설치검사_수행지침.html", "👉 [클릭] 수행지침 열기 📄")</f>
        <v/>
      </c>
      <c r="Q43" s="34" t="inlineStr">
        <is>
          <t>1) 건축법 제11조 및 KDS 41 00 00 건축구조기준에 따라 승강기 설치검사 사전 검토를 수행하였는가? 또한 레미콘 규격(24~30MPa), 철근 시험성적서 및 방수자재 KCS 표준 품질 적격성을 검수하였는가?
2) 미검측 및 정량 시방 미달에 따른 승강기 설치검사 (WBS 9000-4-42) 구조 균열/누수 하자 발생, 개구부 누락 재시공 손실 및 최종 승강기 사용필증, 합격증보고서 승인 반려 리스크를 전면 차단한다.</t>
        </is>
      </c>
      <c r="R43" s="37">
        <f>HYPERLINK(LEFT(CELL("filename",A1),FIND("[",CELL("filename",A1))-1)&amp;"6.건축\42_승강기 설치검사\체크리스트\승강기 설치검사_체크리스트.html", "👉 [클릭] 체크리스트 열기 📄")</f>
        <v/>
      </c>
      <c r="S43" s="33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  <c r="DY43" s="18" t="n"/>
      <c r="DZ43" s="18" t="n"/>
      <c r="EA43" s="18" t="n"/>
      <c r="EB43" s="18" t="n"/>
      <c r="EC43" s="18" t="n"/>
      <c r="ED43" s="18" t="n"/>
      <c r="EE43" s="18" t="n"/>
      <c r="EF43" s="18" t="n"/>
      <c r="EG43" s="18" t="n"/>
      <c r="EH43" s="18" t="n"/>
      <c r="EI43" s="18" t="n"/>
      <c r="EJ43" s="18" t="n"/>
      <c r="EK43" s="18" t="n"/>
      <c r="EL43" s="18" t="n"/>
      <c r="EM43" s="18" t="n"/>
      <c r="EN43" s="18" t="n"/>
      <c r="EO43" s="18" t="n"/>
      <c r="EP43" s="18" t="n"/>
      <c r="EQ43" s="18" t="n"/>
      <c r="ER43" s="18" t="n"/>
      <c r="ES43" s="18" t="n"/>
      <c r="ET43" s="18" t="n"/>
      <c r="EU43" s="18" t="n"/>
      <c r="EV43" s="18" t="n"/>
      <c r="EW43" s="18" t="n"/>
      <c r="EX43" s="18" t="n"/>
      <c r="EY43" s="18" t="n"/>
      <c r="EZ43" s="18" t="n"/>
      <c r="FA43" s="18" t="n"/>
      <c r="FB43" s="18" t="n"/>
      <c r="FC43" s="18" t="n"/>
      <c r="FD43" s="18" t="n"/>
      <c r="FE43" s="18" t="n"/>
      <c r="FF43" s="18" t="n"/>
      <c r="FG43" s="18" t="n"/>
      <c r="FH43" s="18" t="n"/>
      <c r="FI43" s="18" t="n"/>
      <c r="FJ43" s="18" t="n"/>
      <c r="FK43" s="18" t="n"/>
      <c r="FL43" s="18" t="n"/>
      <c r="FM43" s="18" t="n"/>
      <c r="FN43" s="18" t="n"/>
      <c r="FO43" s="18" t="n"/>
      <c r="FP43" s="18" t="n"/>
      <c r="FQ43" s="18" t="n"/>
      <c r="FR43" s="18" t="n"/>
      <c r="FS43" s="18" t="n"/>
      <c r="FT43" s="18" t="n"/>
      <c r="FU43" s="18" t="n"/>
      <c r="FV43" s="18" t="n"/>
      <c r="FW43" s="18" t="n"/>
      <c r="FX43" s="18" t="n"/>
      <c r="FY43" s="18" t="n"/>
      <c r="FZ43" s="18" t="n"/>
      <c r="GA43" s="18" t="n"/>
      <c r="GB43" s="18" t="n"/>
      <c r="GC43" s="18" t="n"/>
      <c r="GD43" s="18" t="n"/>
      <c r="GE43" s="18" t="n"/>
      <c r="GF43" s="18" t="n"/>
      <c r="GG43" s="18" t="n"/>
      <c r="GH43" s="18" t="n"/>
      <c r="GI43" s="18" t="n"/>
      <c r="GJ43" s="18" t="n"/>
      <c r="GK43" s="18" t="n"/>
      <c r="GL43" s="18" t="n"/>
      <c r="GM43" s="18" t="n"/>
      <c r="GN43" s="18" t="n"/>
      <c r="GO43" s="18" t="n"/>
      <c r="GP43" s="18" t="n"/>
      <c r="GQ43" s="18" t="n"/>
      <c r="GR43" s="18" t="n"/>
      <c r="GS43" s="18" t="n"/>
      <c r="GT43" s="18" t="n"/>
      <c r="GU43" s="18" t="n"/>
      <c r="GV43" s="18" t="n"/>
      <c r="GW43" s="18" t="n"/>
      <c r="GX43" s="18" t="n"/>
      <c r="GY43" s="18" t="n"/>
      <c r="GZ43" s="18" t="n"/>
      <c r="HA43" s="18" t="n"/>
      <c r="HB43" s="18" t="n"/>
      <c r="HC43" s="18" t="n"/>
      <c r="HD43" s="18" t="n"/>
      <c r="HE43" s="18" t="n"/>
      <c r="HF43" s="18" t="n"/>
      <c r="HG43" s="18" t="n"/>
      <c r="HH43" s="18" t="n"/>
      <c r="HI43" s="18" t="n"/>
      <c r="HJ43" s="18" t="n"/>
      <c r="HK43" s="18" t="n"/>
      <c r="HL43" s="18" t="n"/>
      <c r="HM43" s="18" t="n"/>
      <c r="HN43" s="18" t="n"/>
      <c r="HO43" s="18" t="n"/>
      <c r="HP43" s="18" t="n"/>
      <c r="HQ43" s="18" t="n"/>
      <c r="HR43" s="18" t="n"/>
      <c r="HS43" s="18" t="n"/>
      <c r="HT43" s="18" t="n"/>
      <c r="HU43" s="18" t="n"/>
      <c r="HV43" s="18" t="n"/>
      <c r="HW43" s="18" t="n"/>
      <c r="HX43" s="18" t="n"/>
      <c r="HY43" s="18" t="n"/>
      <c r="HZ43" s="18" t="n"/>
      <c r="IA43" s="18" t="n"/>
      <c r="IB43" s="18" t="n"/>
      <c r="IC43" s="18" t="n"/>
      <c r="ID43" s="18" t="n"/>
      <c r="IE43" s="18" t="n"/>
      <c r="IF43" s="18" t="n"/>
      <c r="IG43" s="18" t="n"/>
      <c r="IH43" s="18" t="n"/>
      <c r="II43" s="18" t="n"/>
      <c r="IJ43" s="18" t="n"/>
      <c r="IK43" s="18" t="n"/>
      <c r="IL43" s="18" t="n"/>
      <c r="IM43" s="18" t="n"/>
      <c r="IN43" s="18" t="n"/>
      <c r="IO43" s="18" t="n"/>
      <c r="IP43" s="18" t="n"/>
      <c r="IQ43" s="18" t="n"/>
      <c r="IR43" s="18" t="n"/>
      <c r="IS43" s="18" t="n"/>
      <c r="IT43" s="18" t="n"/>
      <c r="IU43" s="18" t="n"/>
      <c r="IV43" s="18" t="n"/>
      <c r="IW43" s="18" t="n"/>
      <c r="IX43" s="18" t="n"/>
      <c r="IY43" s="18" t="n"/>
      <c r="IZ43" s="18" t="n"/>
      <c r="JA43" s="18" t="n"/>
      <c r="JB43" s="18" t="n"/>
      <c r="JC43" s="18" t="n"/>
      <c r="JD43" s="18" t="n"/>
      <c r="JE43" s="18" t="n"/>
      <c r="JF43" s="18" t="n"/>
      <c r="JG43" s="18" t="n"/>
      <c r="JH43" s="18" t="n"/>
      <c r="JI43" s="18" t="n"/>
      <c r="JJ43" s="18" t="n"/>
      <c r="JK43" s="18" t="n"/>
      <c r="JL43" s="18" t="n"/>
      <c r="JM43" s="18" t="n"/>
      <c r="JN43" s="18" t="n"/>
      <c r="JO43" s="18" t="n"/>
      <c r="JP43" s="18" t="n"/>
      <c r="JQ43" s="18" t="n"/>
      <c r="JR43" s="18" t="n"/>
      <c r="JS43" s="18" t="n"/>
      <c r="JT43" s="18" t="n"/>
      <c r="JU43" s="18" t="n"/>
      <c r="JV43" s="18" t="n"/>
      <c r="JW43" s="18" t="n"/>
      <c r="JX43" s="18" t="n"/>
      <c r="JY43" s="18" t="n"/>
      <c r="JZ43" s="18" t="n"/>
      <c r="KA43" s="18" t="n"/>
      <c r="KB43" s="18" t="n"/>
      <c r="KC43" s="18" t="n"/>
      <c r="KD43" s="18" t="n"/>
      <c r="KE43" s="18" t="n"/>
      <c r="KF43" s="18" t="n"/>
      <c r="KG43" s="18" t="n"/>
      <c r="KH43" s="18" t="n"/>
      <c r="KI43" s="18" t="n"/>
      <c r="KJ43" s="18" t="n"/>
      <c r="KK43" s="18" t="n"/>
      <c r="KL43" s="18" t="n"/>
      <c r="KM43" s="18" t="n"/>
      <c r="KN43" s="18" t="n"/>
      <c r="KO43" s="18" t="n"/>
      <c r="KP43" s="18" t="n"/>
      <c r="KQ43" s="18" t="n"/>
      <c r="KR43" s="18" t="n"/>
      <c r="KS43" s="18" t="n"/>
      <c r="KT43" s="18" t="n"/>
      <c r="KU43" s="18" t="n"/>
      <c r="KV43" s="18" t="n"/>
      <c r="KW43" s="18" t="n"/>
      <c r="KX43" s="18" t="n"/>
      <c r="KY43" s="18" t="n"/>
      <c r="KZ43" s="18" t="n"/>
      <c r="LA43" s="18" t="n"/>
      <c r="LB43" s="18" t="n"/>
      <c r="LC43" s="18" t="n"/>
      <c r="LD43" s="18" t="n"/>
      <c r="LE43" s="18" t="n"/>
      <c r="LF43" s="18" t="n"/>
      <c r="LG43" s="18" t="n"/>
      <c r="LH43" s="18" t="n"/>
      <c r="LI43" s="18" t="n"/>
      <c r="LJ43" s="18" t="n"/>
      <c r="LK43" s="18" t="n"/>
      <c r="LL43" s="18" t="n"/>
      <c r="LM43" s="18" t="n"/>
      <c r="LN43" s="18" t="n"/>
      <c r="LO43" s="18" t="n"/>
      <c r="LP43" s="18" t="n"/>
      <c r="LQ43" s="18" t="n"/>
      <c r="LR43" s="18" t="n"/>
      <c r="LS43" s="18" t="n"/>
      <c r="LT43" s="18" t="n"/>
      <c r="LU43" s="18" t="n"/>
      <c r="LV43" s="18" t="n"/>
      <c r="LW43" s="18" t="n"/>
      <c r="LX43" s="18" t="n"/>
      <c r="LY43" s="18" t="n"/>
      <c r="LZ43" s="18" t="n"/>
      <c r="MA43" s="18" t="n"/>
      <c r="MB43" s="18" t="n"/>
      <c r="MC43" s="18" t="n"/>
      <c r="MD43" s="18" t="n"/>
      <c r="ME43" s="18" t="n"/>
      <c r="MF43" s="18" t="n"/>
      <c r="MG43" s="18" t="n"/>
      <c r="MH43" s="18" t="n"/>
      <c r="MI43" s="18" t="n"/>
      <c r="MJ43" s="18" t="n"/>
      <c r="MK43" s="18" t="n"/>
      <c r="ML43" s="18" t="n"/>
      <c r="MM43" s="18" t="n"/>
      <c r="MN43" s="18" t="n"/>
      <c r="MO43" s="18" t="n"/>
      <c r="MP43" s="18" t="n"/>
      <c r="MQ43" s="18" t="n"/>
      <c r="MR43" s="18" t="n"/>
      <c r="MS43" s="18" t="n"/>
      <c r="MT43" s="18" t="n"/>
      <c r="MU43" s="18" t="n"/>
      <c r="MV43" s="18" t="n"/>
      <c r="MW43" s="18" t="n"/>
      <c r="MX43" s="18" t="n"/>
      <c r="MY43" s="18" t="n"/>
      <c r="MZ43" s="18" t="n"/>
      <c r="NA43" s="18" t="n"/>
      <c r="NB43" s="18" t="n"/>
      <c r="NC43" s="18" t="n"/>
      <c r="ND43" s="18" t="n"/>
      <c r="NE43" s="18" t="n"/>
      <c r="NF43" s="18" t="n"/>
      <c r="NG43" s="18" t="n"/>
      <c r="NH43" s="18" t="n"/>
      <c r="NI43" s="18" t="n"/>
      <c r="NJ43" s="18" t="n"/>
      <c r="NK43" s="18" t="n"/>
      <c r="NL43" s="18" t="n"/>
      <c r="NM43" s="18" t="n"/>
      <c r="NN43" s="18" t="n"/>
      <c r="NO43" s="18" t="n"/>
      <c r="NP43" s="18" t="n"/>
      <c r="NQ43" s="18" t="n"/>
      <c r="NR43" s="18" t="n"/>
      <c r="NS43" s="18" t="n"/>
      <c r="NT43" s="18" t="n"/>
      <c r="NU43" s="18" t="n"/>
      <c r="NV43" s="18" t="n"/>
      <c r="NW43" s="18" t="n"/>
      <c r="NX43" s="18" t="n"/>
      <c r="NY43" s="18" t="n"/>
      <c r="NZ43" s="18" t="n"/>
      <c r="OA43" s="18" t="n"/>
    </row>
    <row r="44" ht="52.05" customHeight="1" s="88">
      <c r="A44" s="19" t="inlineStr">
        <is>
          <t>9000</t>
        </is>
      </c>
      <c r="B44" s="19" t="inlineStr">
        <is>
          <t>9000-6</t>
        </is>
      </c>
      <c r="C44" s="19" t="inlineStr">
        <is>
          <t>건축</t>
        </is>
      </c>
      <c r="D44" s="19" t="inlineStr">
        <is>
          <t>9000-6-43</t>
        </is>
      </c>
      <c r="E44" s="95" t="inlineStr">
        <is>
          <t>9000-6-40</t>
        </is>
      </c>
      <c r="F44" s="95" t="inlineStr">
        <is>
          <t>9000-6-45</t>
        </is>
      </c>
      <c r="G44" s="23" t="inlineStr">
        <is>
          <t>배수설비 설치 신고서 제출</t>
        </is>
      </c>
      <c r="H44" s="21" t="n"/>
      <c r="I44" s="21" t="inlineStr">
        <is>
          <t>현장소장</t>
        </is>
      </c>
      <c r="J44" s="24" t="inlineStr">
        <is>
          <t>배수설비 사용 신청</t>
        </is>
      </c>
      <c r="K44" s="24" t="inlineStr">
        <is>
          <t>현장 -&gt; 관할지자체/하수도법 제27조/별지 제7호 서식/제출후 처리기간 7일 이내</t>
        </is>
      </c>
      <c r="L44" s="24" t="inlineStr">
        <is>
          <t>배수설비 사용필증</t>
        </is>
      </c>
      <c r="M44" s="24" t="inlineStr">
        <is>
          <t>1) 배수설비 설치 신고서 제출 (WBS 9000-4-43) 관련 현장 -&gt; 관할지자체/하수도법 제27조/별지 제7호 서식/제출후 처리기간 7일 이내 수칙 및 법적 이행 의무를 1:1 준수한다. 또한 KDS 41 00 00 (건축구조기준), KDS 41 17 00 (내진설계기준) 및 KCS 41 00 00 (건축공사 표준시방서) 기술기준을 100% 충족한다.
2) 배수설비 설치 신고서 제출 달성을 위한 필수 시공 방법(현장 -&gt; 관할지자체/하수도법 제27조/별지 제7호 서식/제출후 처리기간 7일 이내...)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44" s="25">
        <f>HYPERLINK(LEFT(CELL("filename",A1),FIND("[",CELL("filename",A1))-1)&amp;"6.건축\43_배수설비 설치 신고서 제출\표준서\배수설비 설치 신고서 제출_표준서.html", "👉 [클릭] 표준서 열기 📄")</f>
        <v/>
      </c>
      <c r="O44" s="24" t="inlineStr">
        <is>
          <t>1) 배수설비 설치 신고서 제출 (WBS 9000-4-43) 사전 건축 인허가 서식 제출(관할 지자체/소방서), 3D BIM 도서 대조 및 기계·전기·통신 4대 인터페이스 개구부를 확정한다.
2) 실무 작업방법 수칙(현장 -&gt; 관할지자체/하수도법 제27조/별지 제7호 서식/제출후 처리기간 7일 이내)에 따라 철근 이음/피복두께 검측, 거푸집 다짐 양생 및 현장 3대 금기 수칙(피복 미달, 무단 타설)을 완수한다.</t>
        </is>
      </c>
      <c r="P44" s="26">
        <f>HYPERLINK(LEFT(CELL("filename",A1),FIND("[",CELL("filename",A1))-1)&amp;"6.건축\43_배수설비 설치 신고서 제출\수행지침\배수설비 설치 신고서 제출_수행지침.html", "👉 [클릭] 수행지침 열기 📄")</f>
        <v/>
      </c>
      <c r="Q44" s="24" t="inlineStr">
        <is>
          <t>1) 건축법 제11조 및 KDS 41 00 00 건축구조기준에 따라 배수설비 설치 신고서 제출 사전 검토를 수행하였는가? 또한 레미콘 규격(24~30MPa), 철근 시험성적서 및 방수자재 KCS 표준 품질 적격성을 검수하였는가?
2) 미검측 및 정량 시방 미달에 따른 배수설비 설치 신고서 제출 (WBS 9000-4-43) 구조 균열/누수 하자 발생, 개구부 누락 재시공 손실 및 최종 배수설비 사용필증 승인 반려 리스크를 전면 차단한다.</t>
        </is>
      </c>
      <c r="R44" s="27">
        <f>HYPERLINK(LEFT(CELL("filename",A1),FIND("[",CELL("filename",A1))-1)&amp;"6.건축\43_배수설비 설치 신고서 제출\체크리스트\배수설비 설치 신고서 제출_체크리스트.html", "👉 [클릭] 체크리스트 열기 📄")</f>
        <v/>
      </c>
      <c r="S44" s="21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  <c r="DY44" s="18" t="n"/>
      <c r="DZ44" s="18" t="n"/>
      <c r="EA44" s="18" t="n"/>
      <c r="EB44" s="18" t="n"/>
      <c r="EC44" s="18" t="n"/>
      <c r="ED44" s="18" t="n"/>
      <c r="EE44" s="18" t="n"/>
      <c r="EF44" s="18" t="n"/>
      <c r="EG44" s="18" t="n"/>
      <c r="EH44" s="18" t="n"/>
      <c r="EI44" s="18" t="n"/>
      <c r="EJ44" s="18" t="n"/>
      <c r="EK44" s="18" t="n"/>
      <c r="EL44" s="18" t="n"/>
      <c r="EM44" s="18" t="n"/>
      <c r="EN44" s="18" t="n"/>
      <c r="EO44" s="18" t="n"/>
      <c r="EP44" s="18" t="n"/>
      <c r="EQ44" s="18" t="n"/>
      <c r="ER44" s="18" t="n"/>
      <c r="ES44" s="18" t="n"/>
      <c r="ET44" s="18" t="n"/>
      <c r="EU44" s="18" t="n"/>
      <c r="EV44" s="18" t="n"/>
      <c r="EW44" s="18" t="n"/>
      <c r="EX44" s="18" t="n"/>
      <c r="EY44" s="18" t="n"/>
      <c r="EZ44" s="18" t="n"/>
      <c r="FA44" s="18" t="n"/>
      <c r="FB44" s="18" t="n"/>
      <c r="FC44" s="18" t="n"/>
      <c r="FD44" s="18" t="n"/>
      <c r="FE44" s="18" t="n"/>
      <c r="FF44" s="18" t="n"/>
      <c r="FG44" s="18" t="n"/>
      <c r="FH44" s="18" t="n"/>
      <c r="FI44" s="18" t="n"/>
      <c r="FJ44" s="18" t="n"/>
      <c r="FK44" s="18" t="n"/>
      <c r="FL44" s="18" t="n"/>
      <c r="FM44" s="18" t="n"/>
      <c r="FN44" s="18" t="n"/>
      <c r="FO44" s="18" t="n"/>
      <c r="FP44" s="18" t="n"/>
      <c r="FQ44" s="18" t="n"/>
      <c r="FR44" s="18" t="n"/>
      <c r="FS44" s="18" t="n"/>
      <c r="FT44" s="18" t="n"/>
      <c r="FU44" s="18" t="n"/>
      <c r="FV44" s="18" t="n"/>
      <c r="FW44" s="18" t="n"/>
      <c r="FX44" s="18" t="n"/>
      <c r="FY44" s="18" t="n"/>
      <c r="FZ44" s="18" t="n"/>
      <c r="GA44" s="18" t="n"/>
      <c r="GB44" s="18" t="n"/>
      <c r="GC44" s="18" t="n"/>
      <c r="GD44" s="18" t="n"/>
      <c r="GE44" s="18" t="n"/>
      <c r="GF44" s="18" t="n"/>
      <c r="GG44" s="18" t="n"/>
      <c r="GH44" s="18" t="n"/>
      <c r="GI44" s="18" t="n"/>
      <c r="GJ44" s="18" t="n"/>
      <c r="GK44" s="18" t="n"/>
      <c r="GL44" s="18" t="n"/>
      <c r="GM44" s="18" t="n"/>
      <c r="GN44" s="18" t="n"/>
      <c r="GO44" s="18" t="n"/>
      <c r="GP44" s="18" t="n"/>
      <c r="GQ44" s="18" t="n"/>
      <c r="GR44" s="18" t="n"/>
      <c r="GS44" s="18" t="n"/>
      <c r="GT44" s="18" t="n"/>
      <c r="GU44" s="18" t="n"/>
      <c r="GV44" s="18" t="n"/>
      <c r="GW44" s="18" t="n"/>
      <c r="GX44" s="18" t="n"/>
      <c r="GY44" s="18" t="n"/>
      <c r="GZ44" s="18" t="n"/>
      <c r="HA44" s="18" t="n"/>
      <c r="HB44" s="18" t="n"/>
      <c r="HC44" s="18" t="n"/>
      <c r="HD44" s="18" t="n"/>
      <c r="HE44" s="18" t="n"/>
      <c r="HF44" s="18" t="n"/>
      <c r="HG44" s="18" t="n"/>
      <c r="HH44" s="18" t="n"/>
      <c r="HI44" s="18" t="n"/>
      <c r="HJ44" s="18" t="n"/>
      <c r="HK44" s="18" t="n"/>
      <c r="HL44" s="18" t="n"/>
      <c r="HM44" s="18" t="n"/>
      <c r="HN44" s="18" t="n"/>
      <c r="HO44" s="18" t="n"/>
      <c r="HP44" s="18" t="n"/>
      <c r="HQ44" s="18" t="n"/>
      <c r="HR44" s="18" t="n"/>
      <c r="HS44" s="18" t="n"/>
      <c r="HT44" s="18" t="n"/>
      <c r="HU44" s="18" t="n"/>
      <c r="HV44" s="18" t="n"/>
      <c r="HW44" s="18" t="n"/>
      <c r="HX44" s="18" t="n"/>
      <c r="HY44" s="18" t="n"/>
      <c r="HZ44" s="18" t="n"/>
      <c r="IA44" s="18" t="n"/>
      <c r="IB44" s="18" t="n"/>
      <c r="IC44" s="18" t="n"/>
      <c r="ID44" s="18" t="n"/>
      <c r="IE44" s="18" t="n"/>
      <c r="IF44" s="18" t="n"/>
      <c r="IG44" s="18" t="n"/>
      <c r="IH44" s="18" t="n"/>
      <c r="II44" s="18" t="n"/>
      <c r="IJ44" s="18" t="n"/>
      <c r="IK44" s="18" t="n"/>
      <c r="IL44" s="18" t="n"/>
      <c r="IM44" s="18" t="n"/>
      <c r="IN44" s="18" t="n"/>
      <c r="IO44" s="18" t="n"/>
      <c r="IP44" s="18" t="n"/>
      <c r="IQ44" s="18" t="n"/>
      <c r="IR44" s="18" t="n"/>
      <c r="IS44" s="18" t="n"/>
      <c r="IT44" s="18" t="n"/>
      <c r="IU44" s="18" t="n"/>
      <c r="IV44" s="18" t="n"/>
      <c r="IW44" s="18" t="n"/>
      <c r="IX44" s="18" t="n"/>
      <c r="IY44" s="18" t="n"/>
      <c r="IZ44" s="18" t="n"/>
      <c r="JA44" s="18" t="n"/>
      <c r="JB44" s="18" t="n"/>
      <c r="JC44" s="18" t="n"/>
      <c r="JD44" s="18" t="n"/>
      <c r="JE44" s="18" t="n"/>
      <c r="JF44" s="18" t="n"/>
      <c r="JG44" s="18" t="n"/>
      <c r="JH44" s="18" t="n"/>
      <c r="JI44" s="18" t="n"/>
      <c r="JJ44" s="18" t="n"/>
      <c r="JK44" s="18" t="n"/>
      <c r="JL44" s="18" t="n"/>
      <c r="JM44" s="18" t="n"/>
      <c r="JN44" s="18" t="n"/>
      <c r="JO44" s="18" t="n"/>
      <c r="JP44" s="18" t="n"/>
      <c r="JQ44" s="18" t="n"/>
      <c r="JR44" s="18" t="n"/>
      <c r="JS44" s="18" t="n"/>
      <c r="JT44" s="18" t="n"/>
      <c r="JU44" s="18" t="n"/>
      <c r="JV44" s="18" t="n"/>
      <c r="JW44" s="18" t="n"/>
      <c r="JX44" s="18" t="n"/>
      <c r="JY44" s="18" t="n"/>
      <c r="JZ44" s="18" t="n"/>
      <c r="KA44" s="18" t="n"/>
      <c r="KB44" s="18" t="n"/>
      <c r="KC44" s="18" t="n"/>
      <c r="KD44" s="18" t="n"/>
      <c r="KE44" s="18" t="n"/>
      <c r="KF44" s="18" t="n"/>
      <c r="KG44" s="18" t="n"/>
      <c r="KH44" s="18" t="n"/>
      <c r="KI44" s="18" t="n"/>
      <c r="KJ44" s="18" t="n"/>
      <c r="KK44" s="18" t="n"/>
      <c r="KL44" s="18" t="n"/>
      <c r="KM44" s="18" t="n"/>
      <c r="KN44" s="18" t="n"/>
      <c r="KO44" s="18" t="n"/>
      <c r="KP44" s="18" t="n"/>
      <c r="KQ44" s="18" t="n"/>
      <c r="KR44" s="18" t="n"/>
      <c r="KS44" s="18" t="n"/>
      <c r="KT44" s="18" t="n"/>
      <c r="KU44" s="18" t="n"/>
      <c r="KV44" s="18" t="n"/>
      <c r="KW44" s="18" t="n"/>
      <c r="KX44" s="18" t="n"/>
      <c r="KY44" s="18" t="n"/>
      <c r="KZ44" s="18" t="n"/>
      <c r="LA44" s="18" t="n"/>
      <c r="LB44" s="18" t="n"/>
      <c r="LC44" s="18" t="n"/>
      <c r="LD44" s="18" t="n"/>
      <c r="LE44" s="18" t="n"/>
      <c r="LF44" s="18" t="n"/>
      <c r="LG44" s="18" t="n"/>
      <c r="LH44" s="18" t="n"/>
      <c r="LI44" s="18" t="n"/>
      <c r="LJ44" s="18" t="n"/>
      <c r="LK44" s="18" t="n"/>
      <c r="LL44" s="18" t="n"/>
      <c r="LM44" s="18" t="n"/>
      <c r="LN44" s="18" t="n"/>
      <c r="LO44" s="18" t="n"/>
      <c r="LP44" s="18" t="n"/>
      <c r="LQ44" s="18" t="n"/>
      <c r="LR44" s="18" t="n"/>
      <c r="LS44" s="18" t="n"/>
      <c r="LT44" s="18" t="n"/>
      <c r="LU44" s="18" t="n"/>
      <c r="LV44" s="18" t="n"/>
      <c r="LW44" s="18" t="n"/>
      <c r="LX44" s="18" t="n"/>
      <c r="LY44" s="18" t="n"/>
      <c r="LZ44" s="18" t="n"/>
      <c r="MA44" s="18" t="n"/>
      <c r="MB44" s="18" t="n"/>
      <c r="MC44" s="18" t="n"/>
      <c r="MD44" s="18" t="n"/>
      <c r="ME44" s="18" t="n"/>
      <c r="MF44" s="18" t="n"/>
      <c r="MG44" s="18" t="n"/>
      <c r="MH44" s="18" t="n"/>
      <c r="MI44" s="18" t="n"/>
      <c r="MJ44" s="18" t="n"/>
      <c r="MK44" s="18" t="n"/>
      <c r="ML44" s="18" t="n"/>
      <c r="MM44" s="18" t="n"/>
      <c r="MN44" s="18" t="n"/>
      <c r="MO44" s="18" t="n"/>
      <c r="MP44" s="18" t="n"/>
      <c r="MQ44" s="18" t="n"/>
      <c r="MR44" s="18" t="n"/>
      <c r="MS44" s="18" t="n"/>
      <c r="MT44" s="18" t="n"/>
      <c r="MU44" s="18" t="n"/>
      <c r="MV44" s="18" t="n"/>
      <c r="MW44" s="18" t="n"/>
      <c r="MX44" s="18" t="n"/>
      <c r="MY44" s="18" t="n"/>
      <c r="MZ44" s="18" t="n"/>
      <c r="NA44" s="18" t="n"/>
      <c r="NB44" s="18" t="n"/>
      <c r="NC44" s="18" t="n"/>
      <c r="ND44" s="18" t="n"/>
      <c r="NE44" s="18" t="n"/>
      <c r="NF44" s="18" t="n"/>
      <c r="NG44" s="18" t="n"/>
      <c r="NH44" s="18" t="n"/>
      <c r="NI44" s="18" t="n"/>
      <c r="NJ44" s="18" t="n"/>
      <c r="NK44" s="18" t="n"/>
      <c r="NL44" s="18" t="n"/>
      <c r="NM44" s="18" t="n"/>
      <c r="NN44" s="18" t="n"/>
      <c r="NO44" s="18" t="n"/>
      <c r="NP44" s="18" t="n"/>
      <c r="NQ44" s="18" t="n"/>
      <c r="NR44" s="18" t="n"/>
      <c r="NS44" s="18" t="n"/>
      <c r="NT44" s="18" t="n"/>
      <c r="NU44" s="18" t="n"/>
      <c r="NV44" s="18" t="n"/>
      <c r="NW44" s="18" t="n"/>
      <c r="NX44" s="18" t="n"/>
      <c r="NY44" s="18" t="n"/>
      <c r="NZ44" s="18" t="n"/>
      <c r="OA44" s="18" t="n"/>
      <c r="OB44" s="18" t="n"/>
      <c r="OC44" s="18" t="n"/>
      <c r="OD44" s="18" t="n"/>
      <c r="OE44" s="18" t="n"/>
    </row>
    <row r="45" ht="52.05" customHeight="1" s="88">
      <c r="A45" s="29" t="inlineStr">
        <is>
          <t>9000</t>
        </is>
      </c>
      <c r="B45" s="29" t="inlineStr">
        <is>
          <t>9000-6</t>
        </is>
      </c>
      <c r="C45" s="29" t="inlineStr">
        <is>
          <t>건축</t>
        </is>
      </c>
      <c r="D45" s="29" t="inlineStr">
        <is>
          <t>9000-6-44</t>
        </is>
      </c>
      <c r="E45" s="102" t="inlineStr">
        <is>
          <t>9000-6-41, 9000-6-42</t>
        </is>
      </c>
      <c r="F45" s="102" t="inlineStr">
        <is>
          <t>9000-6-46, 9000-6-47</t>
        </is>
      </c>
      <c r="G45" s="32" t="inlineStr">
        <is>
          <t>정보통신공사 사용전검사</t>
        </is>
      </c>
      <c r="H45" s="33" t="n"/>
      <c r="I45" s="33" t="inlineStr">
        <is>
          <t>현장소장</t>
        </is>
      </c>
      <c r="J45" s="34" t="inlineStr">
        <is>
          <t>정보통신 설치 사용전 검사신청</t>
        </is>
      </c>
      <c r="K45" s="34" t="inlineStr">
        <is>
          <t>현장 -&gt; 관할지자체, 정보통신공사업 시행령 제36조
- 서식: 해당 법 별지 제9호 서식
- 제출후 처리기간 14일 이내</t>
        </is>
      </c>
      <c r="L45" s="34" t="inlineStr">
        <is>
          <t>정보통신사용전 검사필증</t>
        </is>
      </c>
      <c r="M45" s="34" t="inlineStr">
        <is>
          <t>1) 정보통신공사 사용전검사 (WBS 9000-4-44) 관련 현장 -&gt; 관할지자체, 정보통신공사업 시행령 제36조 수칙 및 법적 이행 의무를 1:1 준수한다. 또한 KDS 41 00 00 (건축구조기준), KDS 41 17 00 (내진설계기준) 및 KCS 41 00 00 (건축공사 표준시방서) 기술기준을 100% 충족한다.
2) 정보통신공사 사용전검사 달성을 위한 필수 시공 방법(현장 -&gt; 관할지자체, 정보통신공사업 시행령 제36조 서식: 해당 법 별지 제9호 서식 제출후 처리기간 14...)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45" s="35">
        <f>HYPERLINK(LEFT(CELL("filename",A1),FIND("[",CELL("filename",A1))-1)&amp;"6.건축\44_정보통신공사 사용전검사\표준서\정보통신공사 사용전검사_표준서.html", "👉 [클릭] 표준서 열기 📄")</f>
        <v/>
      </c>
      <c r="O45" s="34" t="inlineStr">
        <is>
          <t>1) 정보통신공사 사용전검사 (WBS 9000-4-44) 사전 건축 인허가 서식 제출(관할 지자체/소방서), 3D BIM 도서 대조 및 기계·전기·통신 4대 인터페이스 개구부를 확정한다.
2) 실무 작업방법 수칙(현장 -&gt; 관할지자체, 정보통신공사업 시행령 제36조 서식: 해당 법 별지 제9호 서식 제출후...)에 따라 철근 이음/피복두께 검측, 거푸집 다짐 양생 및 현장 3대 금기 수칙(피복 미달, 무단 타설)을 완수한다.</t>
        </is>
      </c>
      <c r="P45" s="36">
        <f>HYPERLINK(LEFT(CELL("filename",A1),FIND("[",CELL("filename",A1))-1)&amp;"6.건축\44_정보통신공사 사용전검사\수행지침\정보통신공사 사용전검사_수행지침.html", "👉 [클릭] 수행지침 열기 📄")</f>
        <v/>
      </c>
      <c r="Q45" s="34" t="inlineStr">
        <is>
          <t>1) 건축법 제11조 및 KDS 41 00 00 건축구조기준에 따라 정보통신공사 사용전검사 사전 검토를 수행하였는가? 또한 레미콘 규격(24~30MPa), 철근 시험성적서 및 방수자재 KCS 표준 품질 적격성을 검수하였는가?
2) 미검측 및 정량 시방 미달에 따른 정보통신공사 사용전검사 (WBS 9000-4-44) 구조 균열/누수 하자 발생, 개구부 누락 재시공 손실 및 최종 정보통신사용전 검사필증 승인 반려 리스크를 전면 차단한다.</t>
        </is>
      </c>
      <c r="R45" s="37">
        <f>HYPERLINK(LEFT(CELL("filename",A1),FIND("[",CELL("filename",A1))-1)&amp;"6.건축\44_정보통신공사 사용전검사\체크리스트\정보통신공사 사용전검사_체크리스트.html", "👉 [클릭] 체크리스트 열기 📄")</f>
        <v/>
      </c>
      <c r="S45" s="33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  <c r="DY45" s="18" t="n"/>
      <c r="DZ45" s="18" t="n"/>
      <c r="EA45" s="18" t="n"/>
      <c r="EB45" s="18" t="n"/>
      <c r="EC45" s="18" t="n"/>
      <c r="ED45" s="18" t="n"/>
      <c r="EE45" s="18" t="n"/>
      <c r="EF45" s="18" t="n"/>
      <c r="EG45" s="18" t="n"/>
      <c r="EH45" s="18" t="n"/>
      <c r="EI45" s="18" t="n"/>
      <c r="EJ45" s="18" t="n"/>
      <c r="EK45" s="18" t="n"/>
      <c r="EL45" s="18" t="n"/>
      <c r="EM45" s="18" t="n"/>
      <c r="EN45" s="18" t="n"/>
      <c r="EO45" s="18" t="n"/>
      <c r="EP45" s="18" t="n"/>
      <c r="EQ45" s="18" t="n"/>
      <c r="ER45" s="18" t="n"/>
      <c r="ES45" s="18" t="n"/>
      <c r="ET45" s="18" t="n"/>
      <c r="EU45" s="18" t="n"/>
      <c r="EV45" s="18" t="n"/>
      <c r="EW45" s="18" t="n"/>
      <c r="EX45" s="18" t="n"/>
      <c r="EY45" s="18" t="n"/>
      <c r="EZ45" s="18" t="n"/>
      <c r="FA45" s="18" t="n"/>
      <c r="FB45" s="18" t="n"/>
      <c r="FC45" s="18" t="n"/>
      <c r="FD45" s="18" t="n"/>
      <c r="FE45" s="18" t="n"/>
      <c r="FF45" s="18" t="n"/>
      <c r="FG45" s="18" t="n"/>
      <c r="FH45" s="18" t="n"/>
      <c r="FI45" s="18" t="n"/>
      <c r="FJ45" s="18" t="n"/>
      <c r="FK45" s="18" t="n"/>
      <c r="FL45" s="18" t="n"/>
      <c r="FM45" s="18" t="n"/>
      <c r="FN45" s="18" t="n"/>
      <c r="FO45" s="18" t="n"/>
      <c r="FP45" s="18" t="n"/>
      <c r="FQ45" s="18" t="n"/>
      <c r="FR45" s="18" t="n"/>
      <c r="FS45" s="18" t="n"/>
      <c r="FT45" s="18" t="n"/>
      <c r="FU45" s="18" t="n"/>
      <c r="FV45" s="18" t="n"/>
      <c r="FW45" s="18" t="n"/>
      <c r="FX45" s="18" t="n"/>
      <c r="FY45" s="18" t="n"/>
      <c r="FZ45" s="18" t="n"/>
      <c r="GA45" s="18" t="n"/>
      <c r="GB45" s="18" t="n"/>
      <c r="GC45" s="18" t="n"/>
      <c r="GD45" s="18" t="n"/>
      <c r="GE45" s="18" t="n"/>
      <c r="GF45" s="18" t="n"/>
      <c r="GG45" s="18" t="n"/>
      <c r="GH45" s="18" t="n"/>
      <c r="GI45" s="18" t="n"/>
      <c r="GJ45" s="18" t="n"/>
      <c r="GK45" s="18" t="n"/>
      <c r="GL45" s="18" t="n"/>
      <c r="GM45" s="18" t="n"/>
      <c r="GN45" s="18" t="n"/>
      <c r="GO45" s="18" t="n"/>
      <c r="GP45" s="18" t="n"/>
      <c r="GQ45" s="18" t="n"/>
      <c r="GR45" s="18" t="n"/>
      <c r="GS45" s="18" t="n"/>
      <c r="GT45" s="18" t="n"/>
      <c r="GU45" s="18" t="n"/>
      <c r="GV45" s="18" t="n"/>
      <c r="GW45" s="18" t="n"/>
      <c r="GX45" s="18" t="n"/>
      <c r="GY45" s="18" t="n"/>
      <c r="GZ45" s="18" t="n"/>
      <c r="HA45" s="18" t="n"/>
      <c r="HB45" s="18" t="n"/>
      <c r="HC45" s="18" t="n"/>
      <c r="HD45" s="18" t="n"/>
      <c r="HE45" s="18" t="n"/>
      <c r="HF45" s="18" t="n"/>
      <c r="HG45" s="18" t="n"/>
      <c r="HH45" s="18" t="n"/>
      <c r="HI45" s="18" t="n"/>
      <c r="HJ45" s="18" t="n"/>
      <c r="HK45" s="18" t="n"/>
      <c r="HL45" s="18" t="n"/>
      <c r="HM45" s="18" t="n"/>
      <c r="HN45" s="18" t="n"/>
      <c r="HO45" s="18" t="n"/>
      <c r="HP45" s="18" t="n"/>
      <c r="HQ45" s="18" t="n"/>
      <c r="HR45" s="18" t="n"/>
      <c r="HS45" s="18" t="n"/>
      <c r="HT45" s="18" t="n"/>
      <c r="HU45" s="18" t="n"/>
      <c r="HV45" s="18" t="n"/>
      <c r="HW45" s="18" t="n"/>
      <c r="HX45" s="18" t="n"/>
      <c r="HY45" s="18" t="n"/>
      <c r="HZ45" s="18" t="n"/>
      <c r="IA45" s="18" t="n"/>
      <c r="IB45" s="18" t="n"/>
      <c r="IC45" s="18" t="n"/>
      <c r="ID45" s="18" t="n"/>
      <c r="IE45" s="18" t="n"/>
      <c r="IF45" s="18" t="n"/>
      <c r="IG45" s="18" t="n"/>
      <c r="IH45" s="18" t="n"/>
      <c r="II45" s="18" t="n"/>
      <c r="IJ45" s="18" t="n"/>
      <c r="IK45" s="18" t="n"/>
      <c r="IL45" s="18" t="n"/>
      <c r="IM45" s="18" t="n"/>
      <c r="IN45" s="18" t="n"/>
      <c r="IO45" s="18" t="n"/>
      <c r="IP45" s="18" t="n"/>
      <c r="IQ45" s="18" t="n"/>
      <c r="IR45" s="18" t="n"/>
      <c r="IS45" s="18" t="n"/>
      <c r="IT45" s="18" t="n"/>
      <c r="IU45" s="18" t="n"/>
      <c r="IV45" s="18" t="n"/>
      <c r="IW45" s="18" t="n"/>
      <c r="IX45" s="18" t="n"/>
      <c r="IY45" s="18" t="n"/>
      <c r="IZ45" s="18" t="n"/>
      <c r="JA45" s="18" t="n"/>
      <c r="JB45" s="18" t="n"/>
      <c r="JC45" s="18" t="n"/>
      <c r="JD45" s="18" t="n"/>
      <c r="JE45" s="18" t="n"/>
      <c r="JF45" s="18" t="n"/>
      <c r="JG45" s="18" t="n"/>
      <c r="JH45" s="18" t="n"/>
      <c r="JI45" s="18" t="n"/>
      <c r="JJ45" s="18" t="n"/>
      <c r="JK45" s="18" t="n"/>
      <c r="JL45" s="18" t="n"/>
      <c r="JM45" s="18" t="n"/>
      <c r="JN45" s="18" t="n"/>
      <c r="JO45" s="18" t="n"/>
      <c r="JP45" s="18" t="n"/>
      <c r="JQ45" s="18" t="n"/>
      <c r="JR45" s="18" t="n"/>
      <c r="JS45" s="18" t="n"/>
      <c r="JT45" s="18" t="n"/>
      <c r="JU45" s="18" t="n"/>
      <c r="JV45" s="18" t="n"/>
      <c r="JW45" s="18" t="n"/>
      <c r="JX45" s="18" t="n"/>
      <c r="JY45" s="18" t="n"/>
      <c r="JZ45" s="18" t="n"/>
      <c r="KA45" s="18" t="n"/>
      <c r="KB45" s="18" t="n"/>
      <c r="KC45" s="18" t="n"/>
      <c r="KD45" s="18" t="n"/>
      <c r="KE45" s="18" t="n"/>
      <c r="KF45" s="18" t="n"/>
      <c r="KG45" s="18" t="n"/>
      <c r="KH45" s="18" t="n"/>
      <c r="KI45" s="18" t="n"/>
      <c r="KJ45" s="18" t="n"/>
      <c r="KK45" s="18" t="n"/>
      <c r="KL45" s="18" t="n"/>
      <c r="KM45" s="18" t="n"/>
      <c r="KN45" s="18" t="n"/>
      <c r="KO45" s="18" t="n"/>
      <c r="KP45" s="18" t="n"/>
      <c r="KQ45" s="18" t="n"/>
      <c r="KR45" s="18" t="n"/>
      <c r="KS45" s="18" t="n"/>
      <c r="KT45" s="18" t="n"/>
      <c r="KU45" s="18" t="n"/>
      <c r="KV45" s="18" t="n"/>
      <c r="KW45" s="18" t="n"/>
      <c r="KX45" s="18" t="n"/>
      <c r="KY45" s="18" t="n"/>
      <c r="KZ45" s="18" t="n"/>
      <c r="LA45" s="18" t="n"/>
      <c r="LB45" s="18" t="n"/>
      <c r="LC45" s="18" t="n"/>
      <c r="LD45" s="18" t="n"/>
      <c r="LE45" s="18" t="n"/>
      <c r="LF45" s="18" t="n"/>
      <c r="LG45" s="18" t="n"/>
      <c r="LH45" s="18" t="n"/>
      <c r="LI45" s="18" t="n"/>
      <c r="LJ45" s="18" t="n"/>
      <c r="LK45" s="18" t="n"/>
      <c r="LL45" s="18" t="n"/>
      <c r="LM45" s="18" t="n"/>
      <c r="LN45" s="18" t="n"/>
      <c r="LO45" s="18" t="n"/>
      <c r="LP45" s="18" t="n"/>
      <c r="LQ45" s="18" t="n"/>
      <c r="LR45" s="18" t="n"/>
      <c r="LS45" s="18" t="n"/>
      <c r="LT45" s="18" t="n"/>
      <c r="LU45" s="18" t="n"/>
      <c r="LV45" s="18" t="n"/>
      <c r="LW45" s="18" t="n"/>
      <c r="LX45" s="18" t="n"/>
      <c r="LY45" s="18" t="n"/>
      <c r="LZ45" s="18" t="n"/>
      <c r="MA45" s="18" t="n"/>
      <c r="MB45" s="18" t="n"/>
      <c r="MC45" s="18" t="n"/>
      <c r="MD45" s="18" t="n"/>
      <c r="ME45" s="18" t="n"/>
      <c r="MF45" s="18" t="n"/>
      <c r="MG45" s="18" t="n"/>
      <c r="MH45" s="18" t="n"/>
      <c r="MI45" s="18" t="n"/>
      <c r="MJ45" s="18" t="n"/>
      <c r="MK45" s="18" t="n"/>
      <c r="ML45" s="18" t="n"/>
      <c r="MM45" s="18" t="n"/>
      <c r="MN45" s="18" t="n"/>
      <c r="MO45" s="18" t="n"/>
      <c r="MP45" s="18" t="n"/>
      <c r="MQ45" s="18" t="n"/>
      <c r="MR45" s="18" t="n"/>
      <c r="MS45" s="18" t="n"/>
      <c r="MT45" s="18" t="n"/>
      <c r="MU45" s="18" t="n"/>
      <c r="MV45" s="18" t="n"/>
      <c r="MW45" s="18" t="n"/>
      <c r="MX45" s="18" t="n"/>
      <c r="MY45" s="18" t="n"/>
      <c r="MZ45" s="18" t="n"/>
      <c r="NA45" s="18" t="n"/>
      <c r="NB45" s="18" t="n"/>
      <c r="NC45" s="18" t="n"/>
      <c r="ND45" s="18" t="n"/>
      <c r="NE45" s="18" t="n"/>
      <c r="NF45" s="18" t="n"/>
      <c r="NG45" s="18" t="n"/>
      <c r="NH45" s="18" t="n"/>
      <c r="NI45" s="18" t="n"/>
      <c r="NJ45" s="18" t="n"/>
      <c r="NK45" s="18" t="n"/>
      <c r="NL45" s="18" t="n"/>
      <c r="NM45" s="18" t="n"/>
      <c r="NN45" s="18" t="n"/>
      <c r="NO45" s="18" t="n"/>
      <c r="NP45" s="18" t="n"/>
      <c r="NQ45" s="18" t="n"/>
      <c r="NR45" s="18" t="n"/>
      <c r="NS45" s="18" t="n"/>
      <c r="NT45" s="18" t="n"/>
      <c r="NU45" s="18" t="n"/>
      <c r="NV45" s="18" t="n"/>
      <c r="NW45" s="18" t="n"/>
      <c r="NX45" s="18" t="n"/>
      <c r="NY45" s="18" t="n"/>
      <c r="NZ45" s="18" t="n"/>
      <c r="OA45" s="18" t="n"/>
      <c r="OB45" s="18" t="n"/>
      <c r="OC45" s="18" t="n"/>
      <c r="OD45" s="18" t="n"/>
      <c r="OE45" s="18" t="n"/>
      <c r="OF45" s="18" t="n"/>
      <c r="OG45" s="18" t="n"/>
      <c r="OH45" s="18" t="n"/>
      <c r="OI45" s="18" t="n"/>
    </row>
    <row r="46" ht="52.05" customHeight="1" s="88">
      <c r="A46" s="19" t="inlineStr">
        <is>
          <t>9000</t>
        </is>
      </c>
      <c r="B46" s="19" t="inlineStr">
        <is>
          <t>9000-6</t>
        </is>
      </c>
      <c r="C46" s="19" t="inlineStr">
        <is>
          <t>건축</t>
        </is>
      </c>
      <c r="D46" s="19" t="inlineStr">
        <is>
          <t>9000-6-45</t>
        </is>
      </c>
      <c r="E46" s="95" t="inlineStr">
        <is>
          <t>9000-6-42, 9000-6-43</t>
        </is>
      </c>
      <c r="F46" s="95" t="inlineStr">
        <is>
          <t>9000-6-47, 9000-6-48</t>
        </is>
      </c>
      <c r="G46" s="23" t="inlineStr">
        <is>
          <t>오수처리시설 / 정화조 준공검사</t>
        </is>
      </c>
      <c r="H46" s="21" t="n"/>
      <c r="I46" s="21" t="inlineStr">
        <is>
          <t>현장소장</t>
        </is>
      </c>
      <c r="J46" s="24" t="inlineStr">
        <is>
          <t>정화조 사용 신청</t>
        </is>
      </c>
      <c r="K46" s="24" t="inlineStr">
        <is>
          <t>현장 -&gt; 관할지자체, 하수도법 제37조
- 서식: 해당 법 별지 제15호 서식
- 제출후 처리기간 5일 이내</t>
        </is>
      </c>
      <c r="L46" s="24" t="inlineStr">
        <is>
          <t>오수처리시설 / 정화조 준공필증</t>
        </is>
      </c>
      <c r="M46" s="24" t="inlineStr">
        <is>
          <t>1) 오수처리시설 / 정화조 준공검사 (WBS 9000-4-45) 관련 현장 -&gt; 관할지자체, 하수도법 제37조 수칙 및 법적 이행 의무를 1:1 준수한다. 또한 KDS 41 00 00 (건축구조기준), KDS 41 17 00 (내진설계기준) 및 KCS 41 00 00 (건축공사 표준시방서) 기술기준을 100% 충족한다.
2) 오수처리시설 / 정화조 준공검사 달성을 위한 필수 시공 방법(현장 -&gt; 관할지자체, 하수도법 제37조 서식: 해당 법 별지 제15호 서식 제출후 처리기간 5일 이내...)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46" s="25">
        <f>HYPERLINK(LEFT(CELL("filename",A1),FIND("[",CELL("filename",A1))-1)&amp;"6.건축\45_오수처리시설 _ 정화조 준공검사\표준서\오수처리시설 _ 정화조 준공검사_표준서.html", "👉 [클릭] 표준서 열기 📄")</f>
        <v/>
      </c>
      <c r="O46" s="24" t="inlineStr">
        <is>
          <t>1) 오수처리시설 / 정화조 준공검사 (WBS 9000-4-45) 사전 건축 인허가 서식 제출(관할 지자체/소방서), 3D BIM 도서 대조 및 기계·전기·통신 4대 인터페이스 개구부를 확정한다.
2) 실무 작업방법 수칙(현장 -&gt; 관할지자체, 하수도법 제37조 서식: 해당 법 별지 제15호 서식 제출후 처리기간 ...)에 따라 철근 이음/피복두께 검측, 거푸집 다짐 양생 및 현장 3대 금기 수칙(피복 미달, 무단 타설)을 완수한다.</t>
        </is>
      </c>
      <c r="P46" s="26">
        <f>HYPERLINK(LEFT(CELL("filename",A1),FIND("[",CELL("filename",A1))-1)&amp;"6.건축\45_오수처리시설 _ 정화조 준공검사\수행지침\오수처리시설 _ 정화조 준공검사_수행지침.html", "👉 [클릭] 수행지침 열기 📄")</f>
        <v/>
      </c>
      <c r="Q46" s="24" t="inlineStr">
        <is>
          <t>1) 건축법 제11조 및 KDS 41 00 00 건축구조기준에 따라 오수처리시설 / 정화조 준공검사 사전 검토를 수행하였는가? 또한 레미콘 규격(24~30MPa), 철근 시험성적서 및 방수자재 KCS 표준 품질 적격성을 검수하였는가?
2) 미검측 및 정량 시방 미달에 따른 오수처리시설 / 정화조 준공검사 (WBS 9000-4-45) 구조 균열/누수 하자 발생, 개구부 누락 재시공 손실 및 최종 오수처리시설 / 정화조 준공필증 승인 반려 리스크를 전면 차단한다.</t>
        </is>
      </c>
      <c r="R46" s="27">
        <f>HYPERLINK(LEFT(CELL("filename",A1),FIND("[",CELL("filename",A1))-1)&amp;"6.건축\45_오수처리시설 _ 정화조 준공검사\체크리스트\오수처리시설 _ 정화조 준공검사_체크리스트.html", "👉 [클릭] 체크리스트 열기 📄")</f>
        <v/>
      </c>
      <c r="S46" s="21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8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8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8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18" t="n"/>
      <c r="GI46" s="18" t="n"/>
      <c r="GJ46" s="18" t="n"/>
      <c r="GK46" s="18" t="n"/>
      <c r="GL46" s="18" t="n"/>
      <c r="GM46" s="18" t="n"/>
      <c r="GN46" s="18" t="n"/>
      <c r="GO46" s="18" t="n"/>
      <c r="GP46" s="18" t="n"/>
      <c r="GQ46" s="18" t="n"/>
      <c r="GR46" s="18" t="n"/>
      <c r="GS46" s="18" t="n"/>
      <c r="GT46" s="18" t="n"/>
      <c r="GU46" s="18" t="n"/>
      <c r="GV46" s="18" t="n"/>
      <c r="GW46" s="18" t="n"/>
      <c r="GX46" s="18" t="n"/>
      <c r="GY46" s="18" t="n"/>
      <c r="GZ46" s="18" t="n"/>
      <c r="HA46" s="18" t="n"/>
      <c r="HB46" s="18" t="n"/>
      <c r="HC46" s="18" t="n"/>
      <c r="HD46" s="18" t="n"/>
      <c r="HE46" s="18" t="n"/>
      <c r="HF46" s="18" t="n"/>
      <c r="HG46" s="18" t="n"/>
      <c r="HH46" s="18" t="n"/>
      <c r="HI46" s="18" t="n"/>
      <c r="HJ46" s="18" t="n"/>
      <c r="HK46" s="18" t="n"/>
      <c r="HL46" s="18" t="n"/>
      <c r="HM46" s="18" t="n"/>
      <c r="HN46" s="18" t="n"/>
      <c r="HO46" s="18" t="n"/>
      <c r="HP46" s="18" t="n"/>
      <c r="HQ46" s="18" t="n"/>
      <c r="HR46" s="18" t="n"/>
      <c r="HS46" s="18" t="n"/>
      <c r="HT46" s="18" t="n"/>
      <c r="HU46" s="18" t="n"/>
      <c r="HV46" s="18" t="n"/>
      <c r="HW46" s="18" t="n"/>
      <c r="HX46" s="18" t="n"/>
      <c r="HY46" s="18" t="n"/>
      <c r="HZ46" s="18" t="n"/>
      <c r="IA46" s="18" t="n"/>
      <c r="IB46" s="18" t="n"/>
      <c r="IC46" s="18" t="n"/>
      <c r="ID46" s="18" t="n"/>
      <c r="IE46" s="18" t="n"/>
      <c r="IF46" s="18" t="n"/>
      <c r="IG46" s="18" t="n"/>
      <c r="IH46" s="18" t="n"/>
      <c r="II46" s="18" t="n"/>
      <c r="IJ46" s="18" t="n"/>
      <c r="IK46" s="18" t="n"/>
      <c r="IL46" s="18" t="n"/>
      <c r="IM46" s="18" t="n"/>
      <c r="IN46" s="18" t="n"/>
      <c r="IO46" s="18" t="n"/>
      <c r="IP46" s="18" t="n"/>
      <c r="IQ46" s="18" t="n"/>
      <c r="IR46" s="18" t="n"/>
      <c r="IS46" s="18" t="n"/>
      <c r="IT46" s="18" t="n"/>
      <c r="IU46" s="18" t="n"/>
      <c r="IV46" s="18" t="n"/>
      <c r="IW46" s="18" t="n"/>
      <c r="IX46" s="18" t="n"/>
      <c r="IY46" s="18" t="n"/>
      <c r="IZ46" s="18" t="n"/>
      <c r="JA46" s="18" t="n"/>
      <c r="JB46" s="18" t="n"/>
      <c r="JC46" s="18" t="n"/>
      <c r="JD46" s="18" t="n"/>
      <c r="JE46" s="18" t="n"/>
      <c r="JF46" s="18" t="n"/>
      <c r="JG46" s="18" t="n"/>
      <c r="JH46" s="18" t="n"/>
      <c r="JI46" s="18" t="n"/>
      <c r="JJ46" s="18" t="n"/>
      <c r="JK46" s="18" t="n"/>
      <c r="JL46" s="18" t="n"/>
      <c r="JM46" s="18" t="n"/>
      <c r="JN46" s="18" t="n"/>
      <c r="JO46" s="18" t="n"/>
      <c r="JP46" s="18" t="n"/>
      <c r="JQ46" s="18" t="n"/>
      <c r="JR46" s="18" t="n"/>
      <c r="JS46" s="18" t="n"/>
      <c r="JT46" s="18" t="n"/>
      <c r="JU46" s="18" t="n"/>
      <c r="JV46" s="18" t="n"/>
      <c r="JW46" s="18" t="n"/>
      <c r="JX46" s="18" t="n"/>
      <c r="JY46" s="18" t="n"/>
      <c r="JZ46" s="18" t="n"/>
      <c r="KA46" s="18" t="n"/>
      <c r="KB46" s="18" t="n"/>
      <c r="KC46" s="18" t="n"/>
      <c r="KD46" s="18" t="n"/>
      <c r="KE46" s="18" t="n"/>
      <c r="KF46" s="18" t="n"/>
      <c r="KG46" s="18" t="n"/>
      <c r="KH46" s="18" t="n"/>
      <c r="KI46" s="18" t="n"/>
      <c r="KJ46" s="18" t="n"/>
      <c r="KK46" s="18" t="n"/>
      <c r="KL46" s="18" t="n"/>
      <c r="KM46" s="18" t="n"/>
      <c r="KN46" s="18" t="n"/>
      <c r="KO46" s="18" t="n"/>
      <c r="KP46" s="18" t="n"/>
      <c r="KQ46" s="18" t="n"/>
      <c r="KR46" s="18" t="n"/>
      <c r="KS46" s="18" t="n"/>
      <c r="KT46" s="18" t="n"/>
      <c r="KU46" s="18" t="n"/>
      <c r="KV46" s="18" t="n"/>
      <c r="KW46" s="18" t="n"/>
      <c r="KX46" s="18" t="n"/>
      <c r="KY46" s="18" t="n"/>
      <c r="KZ46" s="18" t="n"/>
      <c r="LA46" s="18" t="n"/>
      <c r="LB46" s="18" t="n"/>
      <c r="LC46" s="18" t="n"/>
      <c r="LD46" s="18" t="n"/>
      <c r="LE46" s="18" t="n"/>
      <c r="LF46" s="18" t="n"/>
      <c r="LG46" s="18" t="n"/>
      <c r="LH46" s="18" t="n"/>
      <c r="LI46" s="18" t="n"/>
      <c r="LJ46" s="18" t="n"/>
      <c r="LK46" s="18" t="n"/>
      <c r="LL46" s="18" t="n"/>
      <c r="LM46" s="18" t="n"/>
      <c r="LN46" s="18" t="n"/>
      <c r="LO46" s="18" t="n"/>
      <c r="LP46" s="18" t="n"/>
      <c r="LQ46" s="18" t="n"/>
      <c r="LR46" s="18" t="n"/>
      <c r="LS46" s="18" t="n"/>
      <c r="LT46" s="18" t="n"/>
      <c r="LU46" s="18" t="n"/>
      <c r="LV46" s="18" t="n"/>
      <c r="LW46" s="18" t="n"/>
      <c r="LX46" s="18" t="n"/>
      <c r="LY46" s="18" t="n"/>
      <c r="LZ46" s="18" t="n"/>
      <c r="MA46" s="18" t="n"/>
      <c r="MB46" s="18" t="n"/>
      <c r="MC46" s="18" t="n"/>
      <c r="MD46" s="18" t="n"/>
      <c r="ME46" s="18" t="n"/>
      <c r="MF46" s="18" t="n"/>
      <c r="MG46" s="18" t="n"/>
      <c r="MH46" s="18" t="n"/>
      <c r="MI46" s="18" t="n"/>
      <c r="MJ46" s="18" t="n"/>
      <c r="MK46" s="18" t="n"/>
      <c r="ML46" s="18" t="n"/>
      <c r="MM46" s="18" t="n"/>
      <c r="MN46" s="18" t="n"/>
      <c r="MO46" s="18" t="n"/>
      <c r="MP46" s="18" t="n"/>
      <c r="MQ46" s="18" t="n"/>
      <c r="MR46" s="18" t="n"/>
      <c r="MS46" s="18" t="n"/>
      <c r="MT46" s="18" t="n"/>
      <c r="MU46" s="18" t="n"/>
      <c r="MV46" s="18" t="n"/>
      <c r="MW46" s="18" t="n"/>
      <c r="MX46" s="18" t="n"/>
      <c r="MY46" s="18" t="n"/>
      <c r="MZ46" s="18" t="n"/>
      <c r="NA46" s="18" t="n"/>
      <c r="NB46" s="18" t="n"/>
      <c r="NC46" s="18" t="n"/>
      <c r="ND46" s="18" t="n"/>
      <c r="NE46" s="18" t="n"/>
      <c r="NF46" s="18" t="n"/>
      <c r="NG46" s="18" t="n"/>
      <c r="NH46" s="18" t="n"/>
      <c r="NI46" s="18" t="n"/>
      <c r="NJ46" s="18" t="n"/>
      <c r="NK46" s="18" t="n"/>
      <c r="NL46" s="18" t="n"/>
      <c r="NM46" s="18" t="n"/>
      <c r="NN46" s="18" t="n"/>
      <c r="NO46" s="18" t="n"/>
      <c r="NP46" s="18" t="n"/>
      <c r="NQ46" s="18" t="n"/>
      <c r="NR46" s="18" t="n"/>
      <c r="NS46" s="18" t="n"/>
      <c r="NT46" s="18" t="n"/>
      <c r="NU46" s="18" t="n"/>
      <c r="NV46" s="18" t="n"/>
      <c r="NW46" s="18" t="n"/>
      <c r="NX46" s="18" t="n"/>
      <c r="NY46" s="18" t="n"/>
      <c r="NZ46" s="18" t="n"/>
      <c r="OA46" s="18" t="n"/>
      <c r="OB46" s="18" t="n"/>
      <c r="OC46" s="18" t="n"/>
      <c r="OD46" s="18" t="n"/>
      <c r="OE46" s="18" t="n"/>
      <c r="OF46" s="18" t="n"/>
      <c r="OG46" s="18" t="n"/>
      <c r="OH46" s="18" t="n"/>
      <c r="OI46" s="18" t="n"/>
      <c r="OJ46" s="18" t="n"/>
      <c r="OK46" s="18" t="n"/>
      <c r="OL46" s="18" t="n"/>
      <c r="OM46" s="18" t="n"/>
    </row>
    <row r="47" ht="52.05" customHeight="1" s="88">
      <c r="A47" s="29" t="inlineStr">
        <is>
          <t>9000</t>
        </is>
      </c>
      <c r="B47" s="29" t="inlineStr">
        <is>
          <t>9000-6</t>
        </is>
      </c>
      <c r="C47" s="29" t="inlineStr">
        <is>
          <t>건축</t>
        </is>
      </c>
      <c r="D47" s="29" t="inlineStr">
        <is>
          <t>9000-6-46</t>
        </is>
      </c>
      <c r="E47" s="102" t="inlineStr">
        <is>
          <t>9000-6-44</t>
        </is>
      </c>
      <c r="F47" s="102" t="inlineStr">
        <is>
          <t>9000-6-49</t>
        </is>
      </c>
      <c r="G47" s="32" t="inlineStr">
        <is>
          <t>급수공사 신청서 제출</t>
        </is>
      </c>
      <c r="H47" s="33" t="n"/>
      <c r="I47" s="33" t="inlineStr">
        <is>
          <t>현장소장</t>
        </is>
      </c>
      <c r="J47" s="34" t="inlineStr">
        <is>
          <t>급수 사용 신청</t>
        </is>
      </c>
      <c r="K47" s="34" t="inlineStr">
        <is>
          <t>현장 -&gt; 관할지자체, 수도 조례 시행규칙
- 서식: 해당 법 별지 제1호 서식</t>
        </is>
      </c>
      <c r="L47" s="34" t="inlineStr">
        <is>
          <t>급수 사용허가 문서</t>
        </is>
      </c>
      <c r="M47" s="34" t="inlineStr">
        <is>
          <t>1) 급수공사 신청서 제출 (WBS 9000-4-46) 관련 현장 -&gt; 관할지자체, 수도 조례 시행규칙 수칙 및 법적 이행 의무를 1:1 준수한다. 또한 KDS 41 00 00 (건축구조기준), KDS 41 17 00 (내진설계기준) 및 KCS 41 00 00 (건축공사 표준시방서) 기술기준을 100% 충족한다.
2) 급수공사 신청서 제출 달성을 위한 필수 시공 방법(현장 -&gt; 관할지자체, 수도 조례 시행규칙 서식: 해당 법 별지 제1호 서식...)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47" s="35">
        <f>HYPERLINK(LEFT(CELL("filename",A1),FIND("[",CELL("filename",A1))-1)&amp;"6.건축\46_급수공사 신청서 제출\표준서\급수공사 신청서 제출_표준서.html", "👉 [클릭] 표준서 열기 📄")</f>
        <v/>
      </c>
      <c r="O47" s="34" t="inlineStr">
        <is>
          <t>1) 급수공사 신청서 제출 (WBS 9000-4-46) 사전 건축 인허가 서식 제출(관할 지자체/소방서), 3D BIM 도서 대조 및 기계·전기·통신 4대 인터페이스 개구부를 확정한다.
2) 실무 작업방법 수칙(현장 -&gt; 관할지자체, 수도 조례 시행규칙 서식: 해당 법 별지 제1호 서식)에 따라 철근 이음/피복두께 검측, 거푸집 다짐 양생 및 현장 3대 금기 수칙(피복 미달, 무단 타설)을 완수한다.</t>
        </is>
      </c>
      <c r="P47" s="36">
        <f>HYPERLINK(LEFT(CELL("filename",A1),FIND("[",CELL("filename",A1))-1)&amp;"6.건축\46_급수공사 신청서 제출\수행지침\급수공사 신청서 제출_수행지침.html", "👉 [클릭] 수행지침 열기 📄")</f>
        <v/>
      </c>
      <c r="Q47" s="34" t="inlineStr">
        <is>
          <t>1) 건축법 제11조 및 KDS 41 00 00 건축구조기준에 따라 급수공사 신청서 제출 사전 검토를 수행하였는가? 또한 레미콘 규격(24~30MPa), 철근 시험성적서 및 방수자재 KCS 표준 품질 적격성을 검수하였는가?
2) 미검측 및 정량 시방 미달에 따른 급수공사 신청서 제출 (WBS 9000-4-46) 구조 균열/누수 하자 발생, 개구부 누락 재시공 손실 및 최종 급수 사용허가 문서 승인 반려 리스크를 전면 차단한다.</t>
        </is>
      </c>
      <c r="R47" s="37">
        <f>HYPERLINK(LEFT(CELL("filename",A1),FIND("[",CELL("filename",A1))-1)&amp;"6.건축\46_급수공사 신청서 제출\체크리스트\급수공사 신청서 제출_체크리스트.html", "👉 [클릭] 체크리스트 열기 📄")</f>
        <v/>
      </c>
      <c r="S47" s="33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  <c r="DY47" s="18" t="n"/>
      <c r="DZ47" s="18" t="n"/>
      <c r="EA47" s="18" t="n"/>
      <c r="EB47" s="18" t="n"/>
      <c r="EC47" s="18" t="n"/>
      <c r="ED47" s="18" t="n"/>
      <c r="EE47" s="18" t="n"/>
      <c r="EF47" s="18" t="n"/>
      <c r="EG47" s="18" t="n"/>
      <c r="EH47" s="18" t="n"/>
      <c r="EI47" s="18" t="n"/>
      <c r="EJ47" s="18" t="n"/>
      <c r="EK47" s="18" t="n"/>
      <c r="EL47" s="18" t="n"/>
      <c r="EM47" s="18" t="n"/>
      <c r="EN47" s="18" t="n"/>
      <c r="EO47" s="18" t="n"/>
      <c r="EP47" s="18" t="n"/>
      <c r="EQ47" s="18" t="n"/>
      <c r="ER47" s="18" t="n"/>
      <c r="ES47" s="18" t="n"/>
      <c r="ET47" s="18" t="n"/>
      <c r="EU47" s="18" t="n"/>
      <c r="EV47" s="18" t="n"/>
      <c r="EW47" s="18" t="n"/>
      <c r="EX47" s="18" t="n"/>
      <c r="EY47" s="18" t="n"/>
      <c r="EZ47" s="18" t="n"/>
      <c r="FA47" s="18" t="n"/>
      <c r="FB47" s="18" t="n"/>
      <c r="FC47" s="18" t="n"/>
      <c r="FD47" s="18" t="n"/>
      <c r="FE47" s="18" t="n"/>
      <c r="FF47" s="18" t="n"/>
      <c r="FG47" s="18" t="n"/>
      <c r="FH47" s="18" t="n"/>
      <c r="FI47" s="18" t="n"/>
      <c r="FJ47" s="18" t="n"/>
      <c r="FK47" s="18" t="n"/>
      <c r="FL47" s="18" t="n"/>
      <c r="FM47" s="18" t="n"/>
      <c r="FN47" s="18" t="n"/>
      <c r="FO47" s="18" t="n"/>
      <c r="FP47" s="18" t="n"/>
      <c r="FQ47" s="18" t="n"/>
      <c r="FR47" s="18" t="n"/>
      <c r="FS47" s="18" t="n"/>
      <c r="FT47" s="18" t="n"/>
      <c r="FU47" s="18" t="n"/>
      <c r="FV47" s="18" t="n"/>
      <c r="FW47" s="18" t="n"/>
      <c r="FX47" s="18" t="n"/>
      <c r="FY47" s="18" t="n"/>
      <c r="FZ47" s="18" t="n"/>
      <c r="GA47" s="18" t="n"/>
      <c r="GB47" s="18" t="n"/>
      <c r="GC47" s="18" t="n"/>
      <c r="GD47" s="18" t="n"/>
      <c r="GE47" s="18" t="n"/>
      <c r="GF47" s="18" t="n"/>
      <c r="GG47" s="18" t="n"/>
      <c r="GH47" s="18" t="n"/>
      <c r="GI47" s="18" t="n"/>
      <c r="GJ47" s="18" t="n"/>
      <c r="GK47" s="18" t="n"/>
      <c r="GL47" s="18" t="n"/>
      <c r="GM47" s="18" t="n"/>
      <c r="GN47" s="18" t="n"/>
      <c r="GO47" s="18" t="n"/>
      <c r="GP47" s="18" t="n"/>
      <c r="GQ47" s="18" t="n"/>
      <c r="GR47" s="18" t="n"/>
      <c r="GS47" s="18" t="n"/>
      <c r="GT47" s="18" t="n"/>
      <c r="GU47" s="18" t="n"/>
      <c r="GV47" s="18" t="n"/>
      <c r="GW47" s="18" t="n"/>
      <c r="GX47" s="18" t="n"/>
      <c r="GY47" s="18" t="n"/>
      <c r="GZ47" s="18" t="n"/>
      <c r="HA47" s="18" t="n"/>
      <c r="HB47" s="18" t="n"/>
      <c r="HC47" s="18" t="n"/>
      <c r="HD47" s="18" t="n"/>
      <c r="HE47" s="18" t="n"/>
      <c r="HF47" s="18" t="n"/>
      <c r="HG47" s="18" t="n"/>
      <c r="HH47" s="18" t="n"/>
      <c r="HI47" s="18" t="n"/>
      <c r="HJ47" s="18" t="n"/>
      <c r="HK47" s="18" t="n"/>
      <c r="HL47" s="18" t="n"/>
      <c r="HM47" s="18" t="n"/>
      <c r="HN47" s="18" t="n"/>
      <c r="HO47" s="18" t="n"/>
      <c r="HP47" s="18" t="n"/>
      <c r="HQ47" s="18" t="n"/>
      <c r="HR47" s="18" t="n"/>
      <c r="HS47" s="18" t="n"/>
      <c r="HT47" s="18" t="n"/>
      <c r="HU47" s="18" t="n"/>
      <c r="HV47" s="18" t="n"/>
      <c r="HW47" s="18" t="n"/>
      <c r="HX47" s="18" t="n"/>
      <c r="HY47" s="18" t="n"/>
      <c r="HZ47" s="18" t="n"/>
      <c r="IA47" s="18" t="n"/>
      <c r="IB47" s="18" t="n"/>
      <c r="IC47" s="18" t="n"/>
      <c r="ID47" s="18" t="n"/>
      <c r="IE47" s="18" t="n"/>
      <c r="IF47" s="18" t="n"/>
      <c r="IG47" s="18" t="n"/>
      <c r="IH47" s="18" t="n"/>
      <c r="II47" s="18" t="n"/>
      <c r="IJ47" s="18" t="n"/>
      <c r="IK47" s="18" t="n"/>
      <c r="IL47" s="18" t="n"/>
      <c r="IM47" s="18" t="n"/>
      <c r="IN47" s="18" t="n"/>
      <c r="IO47" s="18" t="n"/>
      <c r="IP47" s="18" t="n"/>
      <c r="IQ47" s="18" t="n"/>
      <c r="IR47" s="18" t="n"/>
      <c r="IS47" s="18" t="n"/>
      <c r="IT47" s="18" t="n"/>
      <c r="IU47" s="18" t="n"/>
      <c r="IV47" s="18" t="n"/>
      <c r="IW47" s="18" t="n"/>
      <c r="IX47" s="18" t="n"/>
      <c r="IY47" s="18" t="n"/>
      <c r="IZ47" s="18" t="n"/>
      <c r="JA47" s="18" t="n"/>
      <c r="JB47" s="18" t="n"/>
      <c r="JC47" s="18" t="n"/>
      <c r="JD47" s="18" t="n"/>
      <c r="JE47" s="18" t="n"/>
      <c r="JF47" s="18" t="n"/>
      <c r="JG47" s="18" t="n"/>
      <c r="JH47" s="18" t="n"/>
      <c r="JI47" s="18" t="n"/>
      <c r="JJ47" s="18" t="n"/>
      <c r="JK47" s="18" t="n"/>
      <c r="JL47" s="18" t="n"/>
      <c r="JM47" s="18" t="n"/>
      <c r="JN47" s="18" t="n"/>
      <c r="JO47" s="18" t="n"/>
      <c r="JP47" s="18" t="n"/>
      <c r="JQ47" s="18" t="n"/>
      <c r="JR47" s="18" t="n"/>
      <c r="JS47" s="18" t="n"/>
      <c r="JT47" s="18" t="n"/>
      <c r="JU47" s="18" t="n"/>
      <c r="JV47" s="18" t="n"/>
      <c r="JW47" s="18" t="n"/>
      <c r="JX47" s="18" t="n"/>
      <c r="JY47" s="18" t="n"/>
      <c r="JZ47" s="18" t="n"/>
      <c r="KA47" s="18" t="n"/>
      <c r="KB47" s="18" t="n"/>
      <c r="KC47" s="18" t="n"/>
      <c r="KD47" s="18" t="n"/>
      <c r="KE47" s="18" t="n"/>
      <c r="KF47" s="18" t="n"/>
      <c r="KG47" s="18" t="n"/>
      <c r="KH47" s="18" t="n"/>
      <c r="KI47" s="18" t="n"/>
      <c r="KJ47" s="18" t="n"/>
      <c r="KK47" s="18" t="n"/>
      <c r="KL47" s="18" t="n"/>
      <c r="KM47" s="18" t="n"/>
      <c r="KN47" s="18" t="n"/>
      <c r="KO47" s="18" t="n"/>
      <c r="KP47" s="18" t="n"/>
      <c r="KQ47" s="18" t="n"/>
      <c r="KR47" s="18" t="n"/>
      <c r="KS47" s="18" t="n"/>
      <c r="KT47" s="18" t="n"/>
      <c r="KU47" s="18" t="n"/>
      <c r="KV47" s="18" t="n"/>
      <c r="KW47" s="18" t="n"/>
      <c r="KX47" s="18" t="n"/>
      <c r="KY47" s="18" t="n"/>
      <c r="KZ47" s="18" t="n"/>
      <c r="LA47" s="18" t="n"/>
      <c r="LB47" s="18" t="n"/>
      <c r="LC47" s="18" t="n"/>
      <c r="LD47" s="18" t="n"/>
      <c r="LE47" s="18" t="n"/>
      <c r="LF47" s="18" t="n"/>
      <c r="LG47" s="18" t="n"/>
      <c r="LH47" s="18" t="n"/>
      <c r="LI47" s="18" t="n"/>
      <c r="LJ47" s="18" t="n"/>
      <c r="LK47" s="18" t="n"/>
      <c r="LL47" s="18" t="n"/>
      <c r="LM47" s="18" t="n"/>
      <c r="LN47" s="18" t="n"/>
      <c r="LO47" s="18" t="n"/>
      <c r="LP47" s="18" t="n"/>
      <c r="LQ47" s="18" t="n"/>
      <c r="LR47" s="18" t="n"/>
      <c r="LS47" s="18" t="n"/>
      <c r="LT47" s="18" t="n"/>
      <c r="LU47" s="18" t="n"/>
      <c r="LV47" s="18" t="n"/>
      <c r="LW47" s="18" t="n"/>
      <c r="LX47" s="18" t="n"/>
      <c r="LY47" s="18" t="n"/>
      <c r="LZ47" s="18" t="n"/>
      <c r="MA47" s="18" t="n"/>
      <c r="MB47" s="18" t="n"/>
      <c r="MC47" s="18" t="n"/>
      <c r="MD47" s="18" t="n"/>
      <c r="ME47" s="18" t="n"/>
      <c r="MF47" s="18" t="n"/>
      <c r="MG47" s="18" t="n"/>
      <c r="MH47" s="18" t="n"/>
      <c r="MI47" s="18" t="n"/>
      <c r="MJ47" s="18" t="n"/>
      <c r="MK47" s="18" t="n"/>
      <c r="ML47" s="18" t="n"/>
      <c r="MM47" s="18" t="n"/>
      <c r="MN47" s="18" t="n"/>
      <c r="MO47" s="18" t="n"/>
      <c r="MP47" s="18" t="n"/>
      <c r="MQ47" s="18" t="n"/>
      <c r="MR47" s="18" t="n"/>
      <c r="MS47" s="18" t="n"/>
      <c r="MT47" s="18" t="n"/>
      <c r="MU47" s="18" t="n"/>
      <c r="MV47" s="18" t="n"/>
      <c r="MW47" s="18" t="n"/>
      <c r="MX47" s="18" t="n"/>
      <c r="MY47" s="18" t="n"/>
      <c r="MZ47" s="18" t="n"/>
      <c r="NA47" s="18" t="n"/>
      <c r="NB47" s="18" t="n"/>
      <c r="NC47" s="18" t="n"/>
      <c r="ND47" s="18" t="n"/>
      <c r="NE47" s="18" t="n"/>
      <c r="NF47" s="18" t="n"/>
      <c r="NG47" s="18" t="n"/>
      <c r="NH47" s="18" t="n"/>
      <c r="NI47" s="18" t="n"/>
      <c r="NJ47" s="18" t="n"/>
      <c r="NK47" s="18" t="n"/>
      <c r="NL47" s="18" t="n"/>
      <c r="NM47" s="18" t="n"/>
      <c r="NN47" s="18" t="n"/>
      <c r="NO47" s="18" t="n"/>
      <c r="NP47" s="18" t="n"/>
      <c r="NQ47" s="18" t="n"/>
      <c r="NR47" s="18" t="n"/>
      <c r="NS47" s="18" t="n"/>
      <c r="NT47" s="18" t="n"/>
      <c r="NU47" s="18" t="n"/>
      <c r="NV47" s="18" t="n"/>
      <c r="NW47" s="18" t="n"/>
      <c r="NX47" s="18" t="n"/>
      <c r="NY47" s="18" t="n"/>
      <c r="NZ47" s="18" t="n"/>
      <c r="OA47" s="18" t="n"/>
      <c r="OB47" s="18" t="n"/>
      <c r="OC47" s="18" t="n"/>
      <c r="OD47" s="18" t="n"/>
      <c r="OE47" s="18" t="n"/>
      <c r="OF47" s="18" t="n"/>
      <c r="OG47" s="18" t="n"/>
      <c r="OH47" s="18" t="n"/>
      <c r="OI47" s="18" t="n"/>
      <c r="OJ47" s="18" t="n"/>
      <c r="OK47" s="18" t="n"/>
      <c r="OL47" s="18" t="n"/>
      <c r="OM47" s="18" t="n"/>
      <c r="ON47" s="18" t="n"/>
      <c r="OO47" s="18" t="n"/>
      <c r="OP47" s="18" t="n"/>
      <c r="OQ47" s="18" t="n"/>
    </row>
    <row r="48" ht="52.05" customHeight="1" s="88">
      <c r="A48" s="19" t="inlineStr">
        <is>
          <t>9000</t>
        </is>
      </c>
      <c r="B48" s="19" t="inlineStr">
        <is>
          <t>9000-6</t>
        </is>
      </c>
      <c r="C48" s="19" t="inlineStr">
        <is>
          <t>건축</t>
        </is>
      </c>
      <c r="D48" s="19" t="inlineStr">
        <is>
          <t>9000-6-47</t>
        </is>
      </c>
      <c r="E48" s="95" t="inlineStr">
        <is>
          <t>9000-6-44, 9000-6-45</t>
        </is>
      </c>
      <c r="F48" s="95" t="inlineStr">
        <is>
          <t>9000-6-49, 9000-6-50</t>
        </is>
      </c>
      <c r="G48" s="23" t="inlineStr">
        <is>
          <t>업무대행 건축사 사용승인 검사</t>
        </is>
      </c>
      <c r="H48" s="21" t="n"/>
      <c r="I48" s="21" t="inlineStr">
        <is>
          <t>건축사</t>
        </is>
      </c>
      <c r="J48" s="24" t="inlineStr">
        <is>
          <t>업무대행 건축사 확인후 사용승인</t>
        </is>
      </c>
      <c r="K48" s="24" t="inlineStr">
        <is>
          <t>현장 -&gt; 관할지자체, 건축법시행령 제20조(현장조사검사 및 확인 업무대행)
- 서식: 해당 법 별지 제17호 서식</t>
        </is>
      </c>
      <c r="L48" s="24" t="inlineStr">
        <is>
          <t>건축물 사용승인 알림 [공문]</t>
        </is>
      </c>
      <c r="M48" s="24" t="inlineStr">
        <is>
          <t>1) 업무대행 건축사 사용승인 검사 (WBS 9000-4-47) 관련 현장 -&gt; 관할지자체, 건축법시행령 제20조(현장조사검사 및 확인 업무대행) 수칙 및 법적 이행 의무를 1:1 준수한다. 또한 KDS 41 00 00 (건축구조기준), KDS 41 17 00 (내진설계기준) 및 KCS 41 00 00 (건축공사 표준시방서) 기술기준을 100% 충족한다.
2) 업무대행 건축사 사용승인 검사 달성을 위한 필수 시공 방법(현장 -&gt; 관할지자체, 건축법시행령 제20조(현장조사검사 및 확인 업무대행) 서식: 해당 법 별지 제17호 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48" s="25">
        <f>HYPERLINK(LEFT(CELL("filename",A1),FIND("[",CELL("filename",A1))-1)&amp;"6.건축\47_업무대행 건축사 사용승인 검사\표준서\업무대행 건축사 사용승인 검사_표준서.html", "👉 [클릭] 표준서 열기 📄")</f>
        <v/>
      </c>
      <c r="O48" s="24" t="inlineStr">
        <is>
          <t>1) 업무대행 건축사 사용승인 검사 (WBS 9000-4-47) 사전 건축 인허가 서식 제출(관할 지자체/소방서), 3D BIM 도서 대조 및 기계·전기·통신 4대 인터페이스 개구부를 확정한다.
2) 실무 작업방법 수칙(현장 -&gt; 관할지자체, 건축법시행령 제20조(현장조사검사 및 확인 업무대행) 서식: 해당 법 ...)에 따라 철근 이음/피복두께 검측, 거푸집 다짐 양생 및 현장 3대 금기 수칙(피복 미달, 무단 타설)을 완수한다.</t>
        </is>
      </c>
      <c r="P48" s="26">
        <f>HYPERLINK(LEFT(CELL("filename",A1),FIND("[",CELL("filename",A1))-1)&amp;"6.건축\47_업무대행 건축사 사용승인 검사\수행지침\업무대행 건축사 사용승인 검사_수행지침.html", "👉 [클릭] 수행지침 열기 📄")</f>
        <v/>
      </c>
      <c r="Q48" s="24" t="inlineStr">
        <is>
          <t>1) 건축법 제11조 및 KDS 41 00 00 건축구조기준에 따라 업무대행 건축사 사용승인 검사 사전 검토를 수행하였는가? 또한 레미콘 규격(24~30MPa), 철근 시험성적서 및 방수자재 KCS 표준 품질 적격성을 검수하였는가?
2) 미검측 및 정량 시방 미달에 따른 업무대행 건축사 사용승인 검사 (WBS 9000-4-47) 구조 균열/누수 하자 발생, 개구부 누락 재시공 손실 및 최종 건축물 사용승인 알림 [공문] 승인 반려 리스크를 전면 차단한다.</t>
        </is>
      </c>
      <c r="R48" s="27">
        <f>HYPERLINK(LEFT(CELL("filename",A1),FIND("[",CELL("filename",A1))-1)&amp;"6.건축\47_업무대행 건축사 사용승인 검사\체크리스트\업무대행 건축사 사용승인 검사_체크리스트.html", "👉 [클릭] 체크리스트 열기 📄")</f>
        <v/>
      </c>
      <c r="S48" s="21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  <c r="DY48" s="18" t="n"/>
      <c r="DZ48" s="18" t="n"/>
      <c r="EA48" s="18" t="n"/>
      <c r="EB48" s="18" t="n"/>
      <c r="EC48" s="18" t="n"/>
      <c r="ED48" s="18" t="n"/>
      <c r="EE48" s="18" t="n"/>
      <c r="EF48" s="18" t="n"/>
      <c r="EG48" s="18" t="n"/>
      <c r="EH48" s="18" t="n"/>
      <c r="EI48" s="18" t="n"/>
      <c r="EJ48" s="18" t="n"/>
      <c r="EK48" s="18" t="n"/>
      <c r="EL48" s="18" t="n"/>
      <c r="EM48" s="18" t="n"/>
      <c r="EN48" s="18" t="n"/>
      <c r="EO48" s="18" t="n"/>
      <c r="EP48" s="18" t="n"/>
      <c r="EQ48" s="18" t="n"/>
      <c r="ER48" s="18" t="n"/>
      <c r="ES48" s="18" t="n"/>
      <c r="ET48" s="18" t="n"/>
      <c r="EU48" s="18" t="n"/>
      <c r="EV48" s="18" t="n"/>
      <c r="EW48" s="18" t="n"/>
      <c r="EX48" s="18" t="n"/>
      <c r="EY48" s="18" t="n"/>
      <c r="EZ48" s="18" t="n"/>
      <c r="FA48" s="18" t="n"/>
      <c r="FB48" s="18" t="n"/>
      <c r="FC48" s="18" t="n"/>
      <c r="FD48" s="18" t="n"/>
      <c r="FE48" s="18" t="n"/>
      <c r="FF48" s="18" t="n"/>
      <c r="FG48" s="18" t="n"/>
      <c r="FH48" s="18" t="n"/>
      <c r="FI48" s="18" t="n"/>
      <c r="FJ48" s="18" t="n"/>
      <c r="FK48" s="18" t="n"/>
      <c r="FL48" s="18" t="n"/>
      <c r="FM48" s="18" t="n"/>
      <c r="FN48" s="18" t="n"/>
      <c r="FO48" s="18" t="n"/>
      <c r="FP48" s="18" t="n"/>
      <c r="FQ48" s="18" t="n"/>
      <c r="FR48" s="18" t="n"/>
      <c r="FS48" s="18" t="n"/>
      <c r="FT48" s="18" t="n"/>
      <c r="FU48" s="18" t="n"/>
      <c r="FV48" s="18" t="n"/>
      <c r="FW48" s="18" t="n"/>
      <c r="FX48" s="18" t="n"/>
      <c r="FY48" s="18" t="n"/>
      <c r="FZ48" s="18" t="n"/>
      <c r="GA48" s="18" t="n"/>
      <c r="GB48" s="18" t="n"/>
      <c r="GC48" s="18" t="n"/>
      <c r="GD48" s="18" t="n"/>
      <c r="GE48" s="18" t="n"/>
      <c r="GF48" s="18" t="n"/>
      <c r="GG48" s="18" t="n"/>
      <c r="GH48" s="18" t="n"/>
      <c r="GI48" s="18" t="n"/>
      <c r="GJ48" s="18" t="n"/>
      <c r="GK48" s="18" t="n"/>
      <c r="GL48" s="18" t="n"/>
      <c r="GM48" s="18" t="n"/>
      <c r="GN48" s="18" t="n"/>
      <c r="GO48" s="18" t="n"/>
      <c r="GP48" s="18" t="n"/>
      <c r="GQ48" s="18" t="n"/>
      <c r="GR48" s="18" t="n"/>
      <c r="GS48" s="18" t="n"/>
      <c r="GT48" s="18" t="n"/>
      <c r="GU48" s="18" t="n"/>
      <c r="GV48" s="18" t="n"/>
      <c r="GW48" s="18" t="n"/>
      <c r="GX48" s="18" t="n"/>
      <c r="GY48" s="18" t="n"/>
      <c r="GZ48" s="18" t="n"/>
      <c r="HA48" s="18" t="n"/>
      <c r="HB48" s="18" t="n"/>
      <c r="HC48" s="18" t="n"/>
      <c r="HD48" s="18" t="n"/>
      <c r="HE48" s="18" t="n"/>
      <c r="HF48" s="18" t="n"/>
      <c r="HG48" s="18" t="n"/>
      <c r="HH48" s="18" t="n"/>
      <c r="HI48" s="18" t="n"/>
      <c r="HJ48" s="18" t="n"/>
      <c r="HK48" s="18" t="n"/>
      <c r="HL48" s="18" t="n"/>
      <c r="HM48" s="18" t="n"/>
      <c r="HN48" s="18" t="n"/>
      <c r="HO48" s="18" t="n"/>
      <c r="HP48" s="18" t="n"/>
      <c r="HQ48" s="18" t="n"/>
      <c r="HR48" s="18" t="n"/>
      <c r="HS48" s="18" t="n"/>
      <c r="HT48" s="18" t="n"/>
      <c r="HU48" s="18" t="n"/>
      <c r="HV48" s="18" t="n"/>
      <c r="HW48" s="18" t="n"/>
      <c r="HX48" s="18" t="n"/>
      <c r="HY48" s="18" t="n"/>
      <c r="HZ48" s="18" t="n"/>
      <c r="IA48" s="18" t="n"/>
      <c r="IB48" s="18" t="n"/>
      <c r="IC48" s="18" t="n"/>
      <c r="ID48" s="18" t="n"/>
      <c r="IE48" s="18" t="n"/>
      <c r="IF48" s="18" t="n"/>
      <c r="IG48" s="18" t="n"/>
      <c r="IH48" s="18" t="n"/>
      <c r="II48" s="18" t="n"/>
      <c r="IJ48" s="18" t="n"/>
      <c r="IK48" s="18" t="n"/>
      <c r="IL48" s="18" t="n"/>
      <c r="IM48" s="18" t="n"/>
      <c r="IN48" s="18" t="n"/>
      <c r="IO48" s="18" t="n"/>
      <c r="IP48" s="18" t="n"/>
      <c r="IQ48" s="18" t="n"/>
      <c r="IR48" s="18" t="n"/>
      <c r="IS48" s="18" t="n"/>
      <c r="IT48" s="18" t="n"/>
      <c r="IU48" s="18" t="n"/>
      <c r="IV48" s="18" t="n"/>
      <c r="IW48" s="18" t="n"/>
      <c r="IX48" s="18" t="n"/>
      <c r="IY48" s="18" t="n"/>
      <c r="IZ48" s="18" t="n"/>
      <c r="JA48" s="18" t="n"/>
      <c r="JB48" s="18" t="n"/>
      <c r="JC48" s="18" t="n"/>
      <c r="JD48" s="18" t="n"/>
      <c r="JE48" s="18" t="n"/>
      <c r="JF48" s="18" t="n"/>
      <c r="JG48" s="18" t="n"/>
      <c r="JH48" s="18" t="n"/>
      <c r="JI48" s="18" t="n"/>
      <c r="JJ48" s="18" t="n"/>
      <c r="JK48" s="18" t="n"/>
      <c r="JL48" s="18" t="n"/>
      <c r="JM48" s="18" t="n"/>
      <c r="JN48" s="18" t="n"/>
      <c r="JO48" s="18" t="n"/>
      <c r="JP48" s="18" t="n"/>
      <c r="JQ48" s="18" t="n"/>
      <c r="JR48" s="18" t="n"/>
      <c r="JS48" s="18" t="n"/>
      <c r="JT48" s="18" t="n"/>
      <c r="JU48" s="18" t="n"/>
      <c r="JV48" s="18" t="n"/>
      <c r="JW48" s="18" t="n"/>
      <c r="JX48" s="18" t="n"/>
      <c r="JY48" s="18" t="n"/>
      <c r="JZ48" s="18" t="n"/>
      <c r="KA48" s="18" t="n"/>
      <c r="KB48" s="18" t="n"/>
      <c r="KC48" s="18" t="n"/>
      <c r="KD48" s="18" t="n"/>
      <c r="KE48" s="18" t="n"/>
      <c r="KF48" s="18" t="n"/>
      <c r="KG48" s="18" t="n"/>
      <c r="KH48" s="18" t="n"/>
      <c r="KI48" s="18" t="n"/>
      <c r="KJ48" s="18" t="n"/>
      <c r="KK48" s="18" t="n"/>
      <c r="KL48" s="18" t="n"/>
      <c r="KM48" s="18" t="n"/>
      <c r="KN48" s="18" t="n"/>
      <c r="KO48" s="18" t="n"/>
      <c r="KP48" s="18" t="n"/>
      <c r="KQ48" s="18" t="n"/>
      <c r="KR48" s="18" t="n"/>
      <c r="KS48" s="18" t="n"/>
      <c r="KT48" s="18" t="n"/>
      <c r="KU48" s="18" t="n"/>
      <c r="KV48" s="18" t="n"/>
      <c r="KW48" s="18" t="n"/>
      <c r="KX48" s="18" t="n"/>
      <c r="KY48" s="18" t="n"/>
      <c r="KZ48" s="18" t="n"/>
      <c r="LA48" s="18" t="n"/>
      <c r="LB48" s="18" t="n"/>
      <c r="LC48" s="18" t="n"/>
      <c r="LD48" s="18" t="n"/>
      <c r="LE48" s="18" t="n"/>
      <c r="LF48" s="18" t="n"/>
      <c r="LG48" s="18" t="n"/>
      <c r="LH48" s="18" t="n"/>
      <c r="LI48" s="18" t="n"/>
      <c r="LJ48" s="18" t="n"/>
      <c r="LK48" s="18" t="n"/>
      <c r="LL48" s="18" t="n"/>
      <c r="LM48" s="18" t="n"/>
      <c r="LN48" s="18" t="n"/>
      <c r="LO48" s="18" t="n"/>
      <c r="LP48" s="18" t="n"/>
      <c r="LQ48" s="18" t="n"/>
      <c r="LR48" s="18" t="n"/>
      <c r="LS48" s="18" t="n"/>
      <c r="LT48" s="18" t="n"/>
      <c r="LU48" s="18" t="n"/>
      <c r="LV48" s="18" t="n"/>
      <c r="LW48" s="18" t="n"/>
      <c r="LX48" s="18" t="n"/>
      <c r="LY48" s="18" t="n"/>
      <c r="LZ48" s="18" t="n"/>
      <c r="MA48" s="18" t="n"/>
      <c r="MB48" s="18" t="n"/>
      <c r="MC48" s="18" t="n"/>
      <c r="MD48" s="18" t="n"/>
      <c r="ME48" s="18" t="n"/>
      <c r="MF48" s="18" t="n"/>
      <c r="MG48" s="18" t="n"/>
      <c r="MH48" s="18" t="n"/>
      <c r="MI48" s="18" t="n"/>
      <c r="MJ48" s="18" t="n"/>
      <c r="MK48" s="18" t="n"/>
      <c r="ML48" s="18" t="n"/>
      <c r="MM48" s="18" t="n"/>
      <c r="MN48" s="18" t="n"/>
      <c r="MO48" s="18" t="n"/>
      <c r="MP48" s="18" t="n"/>
      <c r="MQ48" s="18" t="n"/>
      <c r="MR48" s="18" t="n"/>
      <c r="MS48" s="18" t="n"/>
      <c r="MT48" s="18" t="n"/>
      <c r="MU48" s="18" t="n"/>
      <c r="MV48" s="18" t="n"/>
      <c r="MW48" s="18" t="n"/>
      <c r="MX48" s="18" t="n"/>
      <c r="MY48" s="18" t="n"/>
      <c r="MZ48" s="18" t="n"/>
      <c r="NA48" s="18" t="n"/>
      <c r="NB48" s="18" t="n"/>
      <c r="NC48" s="18" t="n"/>
      <c r="ND48" s="18" t="n"/>
      <c r="NE48" s="18" t="n"/>
      <c r="NF48" s="18" t="n"/>
      <c r="NG48" s="18" t="n"/>
      <c r="NH48" s="18" t="n"/>
      <c r="NI48" s="18" t="n"/>
      <c r="NJ48" s="18" t="n"/>
      <c r="NK48" s="18" t="n"/>
      <c r="NL48" s="18" t="n"/>
      <c r="NM48" s="18" t="n"/>
      <c r="NN48" s="18" t="n"/>
      <c r="NO48" s="18" t="n"/>
      <c r="NP48" s="18" t="n"/>
      <c r="NQ48" s="18" t="n"/>
      <c r="NR48" s="18" t="n"/>
      <c r="NS48" s="18" t="n"/>
      <c r="NT48" s="18" t="n"/>
      <c r="NU48" s="18" t="n"/>
      <c r="NV48" s="18" t="n"/>
      <c r="NW48" s="18" t="n"/>
      <c r="NX48" s="18" t="n"/>
      <c r="NY48" s="18" t="n"/>
      <c r="NZ48" s="18" t="n"/>
      <c r="OA48" s="18" t="n"/>
      <c r="OB48" s="18" t="n"/>
      <c r="OC48" s="18" t="n"/>
      <c r="OD48" s="18" t="n"/>
      <c r="OE48" s="18" t="n"/>
      <c r="OF48" s="18" t="n"/>
      <c r="OG48" s="18" t="n"/>
      <c r="OH48" s="18" t="n"/>
      <c r="OI48" s="18" t="n"/>
      <c r="OJ48" s="18" t="n"/>
      <c r="OK48" s="18" t="n"/>
      <c r="OL48" s="18" t="n"/>
      <c r="OM48" s="18" t="n"/>
      <c r="ON48" s="18" t="n"/>
      <c r="OO48" s="18" t="n"/>
      <c r="OP48" s="18" t="n"/>
      <c r="OQ48" s="18" t="n"/>
      <c r="OR48" s="18" t="n"/>
      <c r="OS48" s="18" t="n"/>
      <c r="OT48" s="18" t="n"/>
      <c r="OU48" s="18" t="n"/>
    </row>
    <row r="49" ht="52.05" customHeight="1" s="88">
      <c r="A49" s="29" t="inlineStr">
        <is>
          <t>9000</t>
        </is>
      </c>
      <c r="B49" s="29" t="inlineStr">
        <is>
          <t>9000-6</t>
        </is>
      </c>
      <c r="C49" s="29" t="inlineStr">
        <is>
          <t>건축</t>
        </is>
      </c>
      <c r="D49" s="29" t="inlineStr">
        <is>
          <t>9000-6-48</t>
        </is>
      </c>
      <c r="E49" s="102" t="inlineStr">
        <is>
          <t>9000-6-45</t>
        </is>
      </c>
      <c r="F49" s="102" t="inlineStr">
        <is>
          <t>9000-6-50</t>
        </is>
      </c>
      <c r="G49" s="32" t="inlineStr">
        <is>
          <t>건축물 사용승인 신청</t>
        </is>
      </c>
      <c r="H49" s="33" t="n"/>
      <c r="I49" s="33" t="inlineStr">
        <is>
          <t>현장소장</t>
        </is>
      </c>
      <c r="J49" s="34" t="inlineStr">
        <is>
          <t>건축물 사용승인 신청</t>
        </is>
      </c>
      <c r="K49" s="34" t="inlineStr">
        <is>
          <t>현장 -&gt; 관할지자체, 건축법 제22조(건축물의 사용승인)
- 서식: 해당 법 별지 제17호 서식
- 제출후 처리기간 7일 이내</t>
        </is>
      </c>
      <c r="L49" s="34" t="inlineStr">
        <is>
          <t>건축물 사용승인 알림 [공문]</t>
        </is>
      </c>
      <c r="M49" s="34" t="inlineStr">
        <is>
          <t>1) 건축물 사용승인 신청 (WBS 9000-4-48) 관련 현장 -&gt; 관할지자체, 건축법 제22조(건축물의 사용승인) 수칙 및 법적 이행 의무를 1:1 준수한다. 또한 KDS 41 00 00 (건축구조기준), KDS 41 17 00 (내진설계기준) 및 KCS 41 00 00 (건축공사 표준시방서) 기술기준을 100% 충족한다.
2) 건축물 사용승인 신청 달성을 위한 필수 시공 방법(현장 -&gt; 관할지자체, 건축법 제22조(건축물의 사용승인) 서식: 해당 법 별지 제17호 서식 제출후 처리기...)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49" s="35">
        <f>HYPERLINK(LEFT(CELL("filename",A1),FIND("[",CELL("filename",A1))-1)&amp;"6.건축\48_건축물 사용승인 신청\표준서\건축물 사용승인 신청_표준서.html", "👉 [클릭] 표준서 열기 📄")</f>
        <v/>
      </c>
      <c r="O49" s="34" t="inlineStr">
        <is>
          <t>1) 건축물 사용승인 신청 (WBS 9000-4-48) 사전 건축 인허가 서식 제출(관할 지자체/소방서), 3D BIM 도서 대조 및 기계·전기·통신 4대 인터페이스 개구부를 확정한다.
2) 실무 작업방법 수칙(현장 -&gt; 관할지자체, 건축법 제22조(건축물의 사용승인) 서식: 해당 법 별지 제17호 서식...)에 따라 철근 이음/피복두께 검측, 거푸집 다짐 양생 및 현장 3대 금기 수칙(피복 미달, 무단 타설)을 완수한다.</t>
        </is>
      </c>
      <c r="P49" s="36">
        <f>HYPERLINK(LEFT(CELL("filename",A1),FIND("[",CELL("filename",A1))-1)&amp;"6.건축\48_건축물 사용승인 신청\수행지침\건축물 사용승인 신청_수행지침.html", "👉 [클릭] 수행지침 열기 📄")</f>
        <v/>
      </c>
      <c r="Q49" s="34" t="inlineStr">
        <is>
          <t>1) 건축법 제11조 및 KDS 41 00 00 건축구조기준에 따라 건축물 사용승인 신청 사전 검토를 수행하였는가? 또한 레미콘 규격(24~30MPa), 철근 시험성적서 및 방수자재 KCS 표준 품질 적격성을 검수하였는가?
2) 미검측 및 정량 시방 미달에 따른 건축물 사용승인 신청 (WBS 9000-4-48) 구조 균열/누수 하자 발생, 개구부 누락 재시공 손실 및 최종 건축물 사용승인 알림 [공문] 승인 반려 리스크를 전면 차단한다.</t>
        </is>
      </c>
      <c r="R49" s="37">
        <f>HYPERLINK(LEFT(CELL("filename",A1),FIND("[",CELL("filename",A1))-1)&amp;"6.건축\48_건축물 사용승인 신청\체크리스트\건축물 사용승인 신청_체크리스트.html", "👉 [클릭] 체크리스트 열기 📄")</f>
        <v/>
      </c>
      <c r="S49" s="33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  <c r="DY49" s="18" t="n"/>
      <c r="DZ49" s="18" t="n"/>
      <c r="EA49" s="18" t="n"/>
      <c r="EB49" s="18" t="n"/>
      <c r="EC49" s="18" t="n"/>
      <c r="ED49" s="18" t="n"/>
      <c r="EE49" s="18" t="n"/>
      <c r="EF49" s="18" t="n"/>
      <c r="EG49" s="18" t="n"/>
      <c r="EH49" s="18" t="n"/>
      <c r="EI49" s="18" t="n"/>
      <c r="EJ49" s="18" t="n"/>
      <c r="EK49" s="18" t="n"/>
      <c r="EL49" s="18" t="n"/>
      <c r="EM49" s="18" t="n"/>
      <c r="EN49" s="18" t="n"/>
      <c r="EO49" s="18" t="n"/>
      <c r="EP49" s="18" t="n"/>
      <c r="EQ49" s="18" t="n"/>
      <c r="ER49" s="18" t="n"/>
      <c r="ES49" s="18" t="n"/>
      <c r="ET49" s="18" t="n"/>
      <c r="EU49" s="18" t="n"/>
      <c r="EV49" s="18" t="n"/>
      <c r="EW49" s="18" t="n"/>
      <c r="EX49" s="18" t="n"/>
      <c r="EY49" s="18" t="n"/>
      <c r="EZ49" s="18" t="n"/>
      <c r="FA49" s="18" t="n"/>
      <c r="FB49" s="18" t="n"/>
      <c r="FC49" s="18" t="n"/>
      <c r="FD49" s="18" t="n"/>
      <c r="FE49" s="18" t="n"/>
      <c r="FF49" s="18" t="n"/>
      <c r="FG49" s="18" t="n"/>
      <c r="FH49" s="18" t="n"/>
      <c r="FI49" s="18" t="n"/>
      <c r="FJ49" s="18" t="n"/>
      <c r="FK49" s="18" t="n"/>
      <c r="FL49" s="18" t="n"/>
      <c r="FM49" s="18" t="n"/>
      <c r="FN49" s="18" t="n"/>
      <c r="FO49" s="18" t="n"/>
      <c r="FP49" s="18" t="n"/>
      <c r="FQ49" s="18" t="n"/>
      <c r="FR49" s="18" t="n"/>
      <c r="FS49" s="18" t="n"/>
      <c r="FT49" s="18" t="n"/>
      <c r="FU49" s="18" t="n"/>
      <c r="FV49" s="18" t="n"/>
      <c r="FW49" s="18" t="n"/>
      <c r="FX49" s="18" t="n"/>
      <c r="FY49" s="18" t="n"/>
      <c r="FZ49" s="18" t="n"/>
      <c r="GA49" s="18" t="n"/>
      <c r="GB49" s="18" t="n"/>
      <c r="GC49" s="18" t="n"/>
      <c r="GD49" s="18" t="n"/>
      <c r="GE49" s="18" t="n"/>
      <c r="GF49" s="18" t="n"/>
      <c r="GG49" s="18" t="n"/>
      <c r="GH49" s="18" t="n"/>
      <c r="GI49" s="18" t="n"/>
      <c r="GJ49" s="18" t="n"/>
      <c r="GK49" s="18" t="n"/>
      <c r="GL49" s="18" t="n"/>
      <c r="GM49" s="18" t="n"/>
      <c r="GN49" s="18" t="n"/>
      <c r="GO49" s="18" t="n"/>
      <c r="GP49" s="18" t="n"/>
      <c r="GQ49" s="18" t="n"/>
      <c r="GR49" s="18" t="n"/>
      <c r="GS49" s="18" t="n"/>
      <c r="GT49" s="18" t="n"/>
      <c r="GU49" s="18" t="n"/>
      <c r="GV49" s="18" t="n"/>
      <c r="GW49" s="18" t="n"/>
      <c r="GX49" s="18" t="n"/>
      <c r="GY49" s="18" t="n"/>
      <c r="GZ49" s="18" t="n"/>
      <c r="HA49" s="18" t="n"/>
      <c r="HB49" s="18" t="n"/>
      <c r="HC49" s="18" t="n"/>
      <c r="HD49" s="18" t="n"/>
      <c r="HE49" s="18" t="n"/>
      <c r="HF49" s="18" t="n"/>
      <c r="HG49" s="18" t="n"/>
      <c r="HH49" s="18" t="n"/>
      <c r="HI49" s="18" t="n"/>
      <c r="HJ49" s="18" t="n"/>
      <c r="HK49" s="18" t="n"/>
      <c r="HL49" s="18" t="n"/>
      <c r="HM49" s="18" t="n"/>
      <c r="HN49" s="18" t="n"/>
      <c r="HO49" s="18" t="n"/>
      <c r="HP49" s="18" t="n"/>
      <c r="HQ49" s="18" t="n"/>
      <c r="HR49" s="18" t="n"/>
      <c r="HS49" s="18" t="n"/>
      <c r="HT49" s="18" t="n"/>
      <c r="HU49" s="18" t="n"/>
      <c r="HV49" s="18" t="n"/>
      <c r="HW49" s="18" t="n"/>
      <c r="HX49" s="18" t="n"/>
      <c r="HY49" s="18" t="n"/>
      <c r="HZ49" s="18" t="n"/>
      <c r="IA49" s="18" t="n"/>
      <c r="IB49" s="18" t="n"/>
      <c r="IC49" s="18" t="n"/>
      <c r="ID49" s="18" t="n"/>
      <c r="IE49" s="18" t="n"/>
      <c r="IF49" s="18" t="n"/>
      <c r="IG49" s="18" t="n"/>
      <c r="IH49" s="18" t="n"/>
      <c r="II49" s="18" t="n"/>
      <c r="IJ49" s="18" t="n"/>
      <c r="IK49" s="18" t="n"/>
      <c r="IL49" s="18" t="n"/>
      <c r="IM49" s="18" t="n"/>
      <c r="IN49" s="18" t="n"/>
      <c r="IO49" s="18" t="n"/>
      <c r="IP49" s="18" t="n"/>
      <c r="IQ49" s="18" t="n"/>
      <c r="IR49" s="18" t="n"/>
      <c r="IS49" s="18" t="n"/>
      <c r="IT49" s="18" t="n"/>
      <c r="IU49" s="18" t="n"/>
      <c r="IV49" s="18" t="n"/>
      <c r="IW49" s="18" t="n"/>
      <c r="IX49" s="18" t="n"/>
      <c r="IY49" s="18" t="n"/>
      <c r="IZ49" s="18" t="n"/>
      <c r="JA49" s="18" t="n"/>
      <c r="JB49" s="18" t="n"/>
      <c r="JC49" s="18" t="n"/>
      <c r="JD49" s="18" t="n"/>
      <c r="JE49" s="18" t="n"/>
      <c r="JF49" s="18" t="n"/>
      <c r="JG49" s="18" t="n"/>
      <c r="JH49" s="18" t="n"/>
      <c r="JI49" s="18" t="n"/>
      <c r="JJ49" s="18" t="n"/>
      <c r="JK49" s="18" t="n"/>
      <c r="JL49" s="18" t="n"/>
      <c r="JM49" s="18" t="n"/>
      <c r="JN49" s="18" t="n"/>
      <c r="JO49" s="18" t="n"/>
      <c r="JP49" s="18" t="n"/>
      <c r="JQ49" s="18" t="n"/>
      <c r="JR49" s="18" t="n"/>
      <c r="JS49" s="18" t="n"/>
      <c r="JT49" s="18" t="n"/>
      <c r="JU49" s="18" t="n"/>
      <c r="JV49" s="18" t="n"/>
      <c r="JW49" s="18" t="n"/>
      <c r="JX49" s="18" t="n"/>
      <c r="JY49" s="18" t="n"/>
      <c r="JZ49" s="18" t="n"/>
      <c r="KA49" s="18" t="n"/>
      <c r="KB49" s="18" t="n"/>
      <c r="KC49" s="18" t="n"/>
      <c r="KD49" s="18" t="n"/>
      <c r="KE49" s="18" t="n"/>
      <c r="KF49" s="18" t="n"/>
      <c r="KG49" s="18" t="n"/>
      <c r="KH49" s="18" t="n"/>
      <c r="KI49" s="18" t="n"/>
      <c r="KJ49" s="18" t="n"/>
      <c r="KK49" s="18" t="n"/>
      <c r="KL49" s="18" t="n"/>
      <c r="KM49" s="18" t="n"/>
      <c r="KN49" s="18" t="n"/>
      <c r="KO49" s="18" t="n"/>
      <c r="KP49" s="18" t="n"/>
      <c r="KQ49" s="18" t="n"/>
      <c r="KR49" s="18" t="n"/>
      <c r="KS49" s="18" t="n"/>
      <c r="KT49" s="18" t="n"/>
      <c r="KU49" s="18" t="n"/>
      <c r="KV49" s="18" t="n"/>
      <c r="KW49" s="18" t="n"/>
      <c r="KX49" s="18" t="n"/>
      <c r="KY49" s="18" t="n"/>
      <c r="KZ49" s="18" t="n"/>
      <c r="LA49" s="18" t="n"/>
      <c r="LB49" s="18" t="n"/>
      <c r="LC49" s="18" t="n"/>
      <c r="LD49" s="18" t="n"/>
      <c r="LE49" s="18" t="n"/>
      <c r="LF49" s="18" t="n"/>
      <c r="LG49" s="18" t="n"/>
      <c r="LH49" s="18" t="n"/>
      <c r="LI49" s="18" t="n"/>
      <c r="LJ49" s="18" t="n"/>
      <c r="LK49" s="18" t="n"/>
      <c r="LL49" s="18" t="n"/>
      <c r="LM49" s="18" t="n"/>
      <c r="LN49" s="18" t="n"/>
      <c r="LO49" s="18" t="n"/>
      <c r="LP49" s="18" t="n"/>
      <c r="LQ49" s="18" t="n"/>
      <c r="LR49" s="18" t="n"/>
      <c r="LS49" s="18" t="n"/>
      <c r="LT49" s="18" t="n"/>
      <c r="LU49" s="18" t="n"/>
      <c r="LV49" s="18" t="n"/>
      <c r="LW49" s="18" t="n"/>
      <c r="LX49" s="18" t="n"/>
      <c r="LY49" s="18" t="n"/>
      <c r="LZ49" s="18" t="n"/>
      <c r="MA49" s="18" t="n"/>
      <c r="MB49" s="18" t="n"/>
      <c r="MC49" s="18" t="n"/>
      <c r="MD49" s="18" t="n"/>
      <c r="ME49" s="18" t="n"/>
      <c r="MF49" s="18" t="n"/>
      <c r="MG49" s="18" t="n"/>
      <c r="MH49" s="18" t="n"/>
      <c r="MI49" s="18" t="n"/>
      <c r="MJ49" s="18" t="n"/>
      <c r="MK49" s="18" t="n"/>
      <c r="ML49" s="18" t="n"/>
      <c r="MM49" s="18" t="n"/>
      <c r="MN49" s="18" t="n"/>
      <c r="MO49" s="18" t="n"/>
      <c r="MP49" s="18" t="n"/>
      <c r="MQ49" s="18" t="n"/>
      <c r="MR49" s="18" t="n"/>
      <c r="MS49" s="18" t="n"/>
      <c r="MT49" s="18" t="n"/>
      <c r="MU49" s="18" t="n"/>
      <c r="MV49" s="18" t="n"/>
      <c r="MW49" s="18" t="n"/>
      <c r="MX49" s="18" t="n"/>
      <c r="MY49" s="18" t="n"/>
      <c r="MZ49" s="18" t="n"/>
      <c r="NA49" s="18" t="n"/>
      <c r="NB49" s="18" t="n"/>
      <c r="NC49" s="18" t="n"/>
      <c r="ND49" s="18" t="n"/>
      <c r="NE49" s="18" t="n"/>
      <c r="NF49" s="18" t="n"/>
      <c r="NG49" s="18" t="n"/>
      <c r="NH49" s="18" t="n"/>
      <c r="NI49" s="18" t="n"/>
      <c r="NJ49" s="18" t="n"/>
      <c r="NK49" s="18" t="n"/>
      <c r="NL49" s="18" t="n"/>
      <c r="NM49" s="18" t="n"/>
      <c r="NN49" s="18" t="n"/>
      <c r="NO49" s="18" t="n"/>
      <c r="NP49" s="18" t="n"/>
      <c r="NQ49" s="18" t="n"/>
      <c r="NR49" s="18" t="n"/>
      <c r="NS49" s="18" t="n"/>
      <c r="NT49" s="18" t="n"/>
      <c r="NU49" s="18" t="n"/>
      <c r="NV49" s="18" t="n"/>
      <c r="NW49" s="18" t="n"/>
      <c r="NX49" s="18" t="n"/>
      <c r="NY49" s="18" t="n"/>
      <c r="NZ49" s="18" t="n"/>
      <c r="OA49" s="18" t="n"/>
      <c r="OB49" s="18" t="n"/>
      <c r="OC49" s="18" t="n"/>
      <c r="OD49" s="18" t="n"/>
      <c r="OE49" s="18" t="n"/>
      <c r="OF49" s="18" t="n"/>
      <c r="OG49" s="18" t="n"/>
      <c r="OH49" s="18" t="n"/>
      <c r="OI49" s="18" t="n"/>
      <c r="OJ49" s="18" t="n"/>
      <c r="OK49" s="18" t="n"/>
      <c r="OL49" s="18" t="n"/>
      <c r="OM49" s="18" t="n"/>
      <c r="ON49" s="18" t="n"/>
      <c r="OO49" s="18" t="n"/>
      <c r="OP49" s="18" t="n"/>
      <c r="OQ49" s="18" t="n"/>
      <c r="OR49" s="18" t="n"/>
      <c r="OS49" s="18" t="n"/>
      <c r="OT49" s="18" t="n"/>
      <c r="OU49" s="18" t="n"/>
      <c r="OV49" s="18" t="n"/>
      <c r="OW49" s="18" t="n"/>
      <c r="OX49" s="18" t="n"/>
      <c r="OY49" s="18" t="n"/>
    </row>
    <row r="50" ht="52.05" customHeight="1" s="88">
      <c r="A50" s="19" t="inlineStr">
        <is>
          <t>9000</t>
        </is>
      </c>
      <c r="B50" s="19" t="inlineStr">
        <is>
          <t>9000-6</t>
        </is>
      </c>
      <c r="C50" s="19" t="inlineStr">
        <is>
          <t>건축</t>
        </is>
      </c>
      <c r="D50" s="19" t="inlineStr">
        <is>
          <t>9000-6-49</t>
        </is>
      </c>
      <c r="E50" s="95" t="inlineStr">
        <is>
          <t>9000-6-46, 9000-6-47</t>
        </is>
      </c>
      <c r="F50" s="95" t="inlineStr">
        <is>
          <t>9000-6-50</t>
        </is>
      </c>
      <c r="G50" s="23" t="inlineStr">
        <is>
          <t>건축물대장 등재</t>
        </is>
      </c>
      <c r="H50" s="21" t="n"/>
      <c r="I50" s="21" t="inlineStr">
        <is>
          <t>현장 및 지자체</t>
        </is>
      </c>
      <c r="J50" s="24" t="inlineStr">
        <is>
          <t>건축물대장 등재</t>
        </is>
      </c>
      <c r="K50" s="24" t="inlineStr">
        <is>
          <t>현장 -&gt; 관할지자체 -&gt; 관할지자체, 건축물대장의 기재 12조, 처리기간 7일 이내</t>
        </is>
      </c>
      <c r="L50" s="24" t="inlineStr">
        <is>
          <t>건축물 대장 등재 확인</t>
        </is>
      </c>
      <c r="M50" s="24" t="inlineStr">
        <is>
          <t>1) 건축물대장 등재 (WBS 9000-4-49) 관련 현장 -&gt; 관할지자체 -&gt; 관할지자체, 건축물대장의 기재 12조, 처리기간 7일 이내 수칙 및 법적 이행 의무를 1:1 준수한다. 또한 KDS 41 00 00 (건축구조기준), KDS 41 17 00 (내진설계기준) 및 KCS 41 00 00 (건축공사 표준시방서) 기술기준을 100% 충족한다.
2) 건축물대장 등재 달성을 위한 필수 시공 방법(현장 -&gt; 관할지자체 -&gt; 관할지자체, 건축물대장의 기재 12조, 처리기간 7일 이내...)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50" s="25">
        <f>HYPERLINK(LEFT(CELL("filename",A1),FIND("[",CELL("filename",A1))-1)&amp;"6.건축\49_건축물대장 등재\표준서\건축물대장 등재_표준서.html", "👉 [클릭] 표준서 열기 📄")</f>
        <v/>
      </c>
      <c r="O50" s="24" t="inlineStr">
        <is>
          <t>1) 건축물대장 등재 (WBS 9000-4-49) 사전 건축 인허가 서식 제출(관할 지자체/소방서), 3D BIM 도서 대조 및 기계·전기·통신 4대 인터페이스 개구부를 확정한다.
2) 실무 작업방법 수칙(현장 -&gt; 관할지자체 -&gt; 관할지자체, 건축물대장의 기재 12조, 처리기간 7일 이내)에 따라 철근 이음/피복두께 검측, 거푸집 다짐 양생 및 현장 3대 금기 수칙(피복 미달, 무단 타설)을 완수한다.</t>
        </is>
      </c>
      <c r="P50" s="26">
        <f>HYPERLINK(LEFT(CELL("filename",A1),FIND("[",CELL("filename",A1))-1)&amp;"6.건축\49_건축물대장 등재\수행지침\건축물대장 등재_수행지침.html", "👉 [클릭] 수행지침 열기 📄")</f>
        <v/>
      </c>
      <c r="Q50" s="24" t="inlineStr">
        <is>
          <t>1) 건축법 제11조 및 KDS 41 00 00 건축구조기준에 따라 건축물대장 등재 사전 검토를 수행하였는가? 또한 레미콘 규격(24~30MPa), 철근 시험성적서 및 방수자재 KCS 표준 품질 적격성을 검수하였는가?
2) 미검측 및 정량 시방 미달에 따른 건축물대장 등재 (WBS 9000-4-49) 구조 균열/누수 하자 발생, 개구부 누락 재시공 손실 및 최종 건축물 대장 등재 확인 승인 반려 리스크를 전면 차단한다.</t>
        </is>
      </c>
      <c r="R50" s="27">
        <f>HYPERLINK(LEFT(CELL("filename",A1),FIND("[",CELL("filename",A1))-1)&amp;"6.건축\49_건축물대장 등재\체크리스트\건축물대장 등재_체크리스트.html", "👉 [클릭] 체크리스트 열기 📄")</f>
        <v/>
      </c>
      <c r="S50" s="21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  <c r="DY50" s="18" t="n"/>
      <c r="DZ50" s="18" t="n"/>
      <c r="EA50" s="18" t="n"/>
      <c r="EB50" s="18" t="n"/>
      <c r="EC50" s="18" t="n"/>
      <c r="ED50" s="18" t="n"/>
      <c r="EE50" s="18" t="n"/>
      <c r="EF50" s="18" t="n"/>
      <c r="EG50" s="18" t="n"/>
      <c r="EH50" s="18" t="n"/>
      <c r="EI50" s="18" t="n"/>
      <c r="EJ50" s="18" t="n"/>
      <c r="EK50" s="18" t="n"/>
      <c r="EL50" s="18" t="n"/>
      <c r="EM50" s="18" t="n"/>
      <c r="EN50" s="18" t="n"/>
      <c r="EO50" s="18" t="n"/>
      <c r="EP50" s="18" t="n"/>
      <c r="EQ50" s="18" t="n"/>
      <c r="ER50" s="18" t="n"/>
      <c r="ES50" s="18" t="n"/>
      <c r="ET50" s="18" t="n"/>
      <c r="EU50" s="18" t="n"/>
      <c r="EV50" s="18" t="n"/>
      <c r="EW50" s="18" t="n"/>
      <c r="EX50" s="18" t="n"/>
      <c r="EY50" s="18" t="n"/>
      <c r="EZ50" s="18" t="n"/>
      <c r="FA50" s="18" t="n"/>
      <c r="FB50" s="18" t="n"/>
      <c r="FC50" s="18" t="n"/>
      <c r="FD50" s="18" t="n"/>
      <c r="FE50" s="18" t="n"/>
      <c r="FF50" s="18" t="n"/>
      <c r="FG50" s="18" t="n"/>
      <c r="FH50" s="18" t="n"/>
      <c r="FI50" s="18" t="n"/>
      <c r="FJ50" s="18" t="n"/>
      <c r="FK50" s="18" t="n"/>
      <c r="FL50" s="18" t="n"/>
      <c r="FM50" s="18" t="n"/>
      <c r="FN50" s="18" t="n"/>
      <c r="FO50" s="18" t="n"/>
      <c r="FP50" s="18" t="n"/>
      <c r="FQ50" s="18" t="n"/>
      <c r="FR50" s="18" t="n"/>
      <c r="FS50" s="18" t="n"/>
      <c r="FT50" s="18" t="n"/>
      <c r="FU50" s="18" t="n"/>
      <c r="FV50" s="18" t="n"/>
      <c r="FW50" s="18" t="n"/>
      <c r="FX50" s="18" t="n"/>
      <c r="FY50" s="18" t="n"/>
      <c r="FZ50" s="18" t="n"/>
      <c r="GA50" s="18" t="n"/>
      <c r="GB50" s="18" t="n"/>
      <c r="GC50" s="18" t="n"/>
      <c r="GD50" s="18" t="n"/>
      <c r="GE50" s="18" t="n"/>
      <c r="GF50" s="18" t="n"/>
      <c r="GG50" s="18" t="n"/>
      <c r="GH50" s="18" t="n"/>
      <c r="GI50" s="18" t="n"/>
      <c r="GJ50" s="18" t="n"/>
      <c r="GK50" s="18" t="n"/>
      <c r="GL50" s="18" t="n"/>
      <c r="GM50" s="18" t="n"/>
      <c r="GN50" s="18" t="n"/>
      <c r="GO50" s="18" t="n"/>
      <c r="GP50" s="18" t="n"/>
      <c r="GQ50" s="18" t="n"/>
      <c r="GR50" s="18" t="n"/>
      <c r="GS50" s="18" t="n"/>
      <c r="GT50" s="18" t="n"/>
      <c r="GU50" s="18" t="n"/>
      <c r="GV50" s="18" t="n"/>
      <c r="GW50" s="18" t="n"/>
      <c r="GX50" s="18" t="n"/>
      <c r="GY50" s="18" t="n"/>
      <c r="GZ50" s="18" t="n"/>
      <c r="HA50" s="18" t="n"/>
      <c r="HB50" s="18" t="n"/>
      <c r="HC50" s="18" t="n"/>
      <c r="HD50" s="18" t="n"/>
      <c r="HE50" s="18" t="n"/>
      <c r="HF50" s="18" t="n"/>
      <c r="HG50" s="18" t="n"/>
      <c r="HH50" s="18" t="n"/>
      <c r="HI50" s="18" t="n"/>
      <c r="HJ50" s="18" t="n"/>
      <c r="HK50" s="18" t="n"/>
      <c r="HL50" s="18" t="n"/>
      <c r="HM50" s="18" t="n"/>
      <c r="HN50" s="18" t="n"/>
      <c r="HO50" s="18" t="n"/>
      <c r="HP50" s="18" t="n"/>
      <c r="HQ50" s="18" t="n"/>
      <c r="HR50" s="18" t="n"/>
      <c r="HS50" s="18" t="n"/>
      <c r="HT50" s="18" t="n"/>
      <c r="HU50" s="18" t="n"/>
      <c r="HV50" s="18" t="n"/>
      <c r="HW50" s="18" t="n"/>
      <c r="HX50" s="18" t="n"/>
      <c r="HY50" s="18" t="n"/>
      <c r="HZ50" s="18" t="n"/>
      <c r="IA50" s="18" t="n"/>
      <c r="IB50" s="18" t="n"/>
      <c r="IC50" s="18" t="n"/>
      <c r="ID50" s="18" t="n"/>
      <c r="IE50" s="18" t="n"/>
      <c r="IF50" s="18" t="n"/>
      <c r="IG50" s="18" t="n"/>
      <c r="IH50" s="18" t="n"/>
      <c r="II50" s="18" t="n"/>
      <c r="IJ50" s="18" t="n"/>
      <c r="IK50" s="18" t="n"/>
      <c r="IL50" s="18" t="n"/>
      <c r="IM50" s="18" t="n"/>
      <c r="IN50" s="18" t="n"/>
      <c r="IO50" s="18" t="n"/>
      <c r="IP50" s="18" t="n"/>
      <c r="IQ50" s="18" t="n"/>
      <c r="IR50" s="18" t="n"/>
      <c r="IS50" s="18" t="n"/>
      <c r="IT50" s="18" t="n"/>
      <c r="IU50" s="18" t="n"/>
      <c r="IV50" s="18" t="n"/>
      <c r="IW50" s="18" t="n"/>
      <c r="IX50" s="18" t="n"/>
      <c r="IY50" s="18" t="n"/>
      <c r="IZ50" s="18" t="n"/>
      <c r="JA50" s="18" t="n"/>
      <c r="JB50" s="18" t="n"/>
      <c r="JC50" s="18" t="n"/>
      <c r="JD50" s="18" t="n"/>
      <c r="JE50" s="18" t="n"/>
      <c r="JF50" s="18" t="n"/>
      <c r="JG50" s="18" t="n"/>
      <c r="JH50" s="18" t="n"/>
      <c r="JI50" s="18" t="n"/>
      <c r="JJ50" s="18" t="n"/>
      <c r="JK50" s="18" t="n"/>
      <c r="JL50" s="18" t="n"/>
      <c r="JM50" s="18" t="n"/>
      <c r="JN50" s="18" t="n"/>
      <c r="JO50" s="18" t="n"/>
      <c r="JP50" s="18" t="n"/>
      <c r="JQ50" s="18" t="n"/>
      <c r="JR50" s="18" t="n"/>
      <c r="JS50" s="18" t="n"/>
      <c r="JT50" s="18" t="n"/>
      <c r="JU50" s="18" t="n"/>
      <c r="JV50" s="18" t="n"/>
      <c r="JW50" s="18" t="n"/>
      <c r="JX50" s="18" t="n"/>
      <c r="JY50" s="18" t="n"/>
      <c r="JZ50" s="18" t="n"/>
      <c r="KA50" s="18" t="n"/>
      <c r="KB50" s="18" t="n"/>
      <c r="KC50" s="18" t="n"/>
      <c r="KD50" s="18" t="n"/>
      <c r="KE50" s="18" t="n"/>
      <c r="KF50" s="18" t="n"/>
      <c r="KG50" s="18" t="n"/>
      <c r="KH50" s="18" t="n"/>
      <c r="KI50" s="18" t="n"/>
      <c r="KJ50" s="18" t="n"/>
      <c r="KK50" s="18" t="n"/>
      <c r="KL50" s="18" t="n"/>
      <c r="KM50" s="18" t="n"/>
      <c r="KN50" s="18" t="n"/>
      <c r="KO50" s="18" t="n"/>
      <c r="KP50" s="18" t="n"/>
      <c r="KQ50" s="18" t="n"/>
      <c r="KR50" s="18" t="n"/>
      <c r="KS50" s="18" t="n"/>
      <c r="KT50" s="18" t="n"/>
      <c r="KU50" s="18" t="n"/>
      <c r="KV50" s="18" t="n"/>
      <c r="KW50" s="18" t="n"/>
      <c r="KX50" s="18" t="n"/>
      <c r="KY50" s="18" t="n"/>
      <c r="KZ50" s="18" t="n"/>
      <c r="LA50" s="18" t="n"/>
      <c r="LB50" s="18" t="n"/>
      <c r="LC50" s="18" t="n"/>
      <c r="LD50" s="18" t="n"/>
      <c r="LE50" s="18" t="n"/>
      <c r="LF50" s="18" t="n"/>
      <c r="LG50" s="18" t="n"/>
      <c r="LH50" s="18" t="n"/>
      <c r="LI50" s="18" t="n"/>
      <c r="LJ50" s="18" t="n"/>
      <c r="LK50" s="18" t="n"/>
      <c r="LL50" s="18" t="n"/>
      <c r="LM50" s="18" t="n"/>
      <c r="LN50" s="18" t="n"/>
      <c r="LO50" s="18" t="n"/>
      <c r="LP50" s="18" t="n"/>
      <c r="LQ50" s="18" t="n"/>
      <c r="LR50" s="18" t="n"/>
      <c r="LS50" s="18" t="n"/>
      <c r="LT50" s="18" t="n"/>
      <c r="LU50" s="18" t="n"/>
      <c r="LV50" s="18" t="n"/>
      <c r="LW50" s="18" t="n"/>
      <c r="LX50" s="18" t="n"/>
      <c r="LY50" s="18" t="n"/>
      <c r="LZ50" s="18" t="n"/>
      <c r="MA50" s="18" t="n"/>
      <c r="MB50" s="18" t="n"/>
      <c r="MC50" s="18" t="n"/>
      <c r="MD50" s="18" t="n"/>
      <c r="ME50" s="18" t="n"/>
      <c r="MF50" s="18" t="n"/>
      <c r="MG50" s="18" t="n"/>
      <c r="MH50" s="18" t="n"/>
      <c r="MI50" s="18" t="n"/>
      <c r="MJ50" s="18" t="n"/>
      <c r="MK50" s="18" t="n"/>
      <c r="ML50" s="18" t="n"/>
      <c r="MM50" s="18" t="n"/>
      <c r="MN50" s="18" t="n"/>
      <c r="MO50" s="18" t="n"/>
      <c r="MP50" s="18" t="n"/>
      <c r="MQ50" s="18" t="n"/>
      <c r="MR50" s="18" t="n"/>
      <c r="MS50" s="18" t="n"/>
      <c r="MT50" s="18" t="n"/>
      <c r="MU50" s="18" t="n"/>
      <c r="MV50" s="18" t="n"/>
      <c r="MW50" s="18" t="n"/>
      <c r="MX50" s="18" t="n"/>
      <c r="MY50" s="18" t="n"/>
      <c r="MZ50" s="18" t="n"/>
      <c r="NA50" s="18" t="n"/>
      <c r="NB50" s="18" t="n"/>
      <c r="NC50" s="18" t="n"/>
      <c r="ND50" s="18" t="n"/>
      <c r="NE50" s="18" t="n"/>
      <c r="NF50" s="18" t="n"/>
      <c r="NG50" s="18" t="n"/>
      <c r="NH50" s="18" t="n"/>
      <c r="NI50" s="18" t="n"/>
      <c r="NJ50" s="18" t="n"/>
      <c r="NK50" s="18" t="n"/>
      <c r="NL50" s="18" t="n"/>
      <c r="NM50" s="18" t="n"/>
      <c r="NN50" s="18" t="n"/>
      <c r="NO50" s="18" t="n"/>
      <c r="NP50" s="18" t="n"/>
      <c r="NQ50" s="18" t="n"/>
      <c r="NR50" s="18" t="n"/>
      <c r="NS50" s="18" t="n"/>
      <c r="NT50" s="18" t="n"/>
      <c r="NU50" s="18" t="n"/>
      <c r="NV50" s="18" t="n"/>
      <c r="NW50" s="18" t="n"/>
      <c r="NX50" s="18" t="n"/>
      <c r="NY50" s="18" t="n"/>
      <c r="NZ50" s="18" t="n"/>
      <c r="OA50" s="18" t="n"/>
      <c r="OB50" s="18" t="n"/>
      <c r="OC50" s="18" t="n"/>
      <c r="OD50" s="18" t="n"/>
      <c r="OE50" s="18" t="n"/>
      <c r="OF50" s="18" t="n"/>
      <c r="OG50" s="18" t="n"/>
      <c r="OH50" s="18" t="n"/>
      <c r="OI50" s="18" t="n"/>
      <c r="OJ50" s="18" t="n"/>
      <c r="OK50" s="18" t="n"/>
      <c r="OL50" s="18" t="n"/>
      <c r="OM50" s="18" t="n"/>
      <c r="ON50" s="18" t="n"/>
      <c r="OO50" s="18" t="n"/>
      <c r="OP50" s="18" t="n"/>
      <c r="OQ50" s="18" t="n"/>
      <c r="OR50" s="18" t="n"/>
      <c r="OS50" s="18" t="n"/>
      <c r="OT50" s="18" t="n"/>
      <c r="OU50" s="18" t="n"/>
      <c r="OV50" s="18" t="n"/>
      <c r="OW50" s="18" t="n"/>
      <c r="OX50" s="18" t="n"/>
      <c r="OY50" s="18" t="n"/>
      <c r="OZ50" s="18" t="n"/>
      <c r="PA50" s="18" t="n"/>
      <c r="PB50" s="18" t="n"/>
      <c r="PC50" s="18" t="n"/>
    </row>
    <row r="51" ht="52.05" customHeight="1" s="88">
      <c r="A51" s="29" t="inlineStr">
        <is>
          <t>9000</t>
        </is>
      </c>
      <c r="B51" s="29" t="inlineStr">
        <is>
          <t>9000-6</t>
        </is>
      </c>
      <c r="C51" s="29" t="inlineStr">
        <is>
          <t>건축</t>
        </is>
      </c>
      <c r="D51" s="29" t="inlineStr">
        <is>
          <t>9000-6-50</t>
        </is>
      </c>
      <c r="E51" s="102" t="inlineStr">
        <is>
          <t>9000-6-47, 9000-6-48, 9000-6-49</t>
        </is>
      </c>
      <c r="F51" s="102" t="inlineStr">
        <is>
          <t>-</t>
        </is>
      </c>
      <c r="G51" s="32" t="inlineStr">
        <is>
          <t>후속 구조물 인계</t>
        </is>
      </c>
      <c r="H51" s="33" t="n"/>
      <c r="I51" s="33" t="inlineStr">
        <is>
          <t>현장소장</t>
        </is>
      </c>
      <c r="J51" s="34" t="inlineStr">
        <is>
          <t>유지관리기관에 인계</t>
        </is>
      </c>
      <c r="K51" s="34" t="inlineStr">
        <is>
          <t>건축 인허가 서류 및 준공도서 인계
- 건축인허가 서류: 승강기 사용필증, 소방시설 완공검사 증명서, 전기사용전 검사 필증 등
- 준공도서: 준공도면, 시방서, 내역서, 각종 계산서(구조 등), 유지관리 지침서 등
- 유지관리기관 준공전 검사 수행 및 잔손보기(지적 조치 등)</t>
        </is>
      </c>
      <c r="L51" s="34" t="inlineStr">
        <is>
          <t>유지관리기관 인수인계서, 건축 인허가 서류, 준공도서</t>
        </is>
      </c>
      <c r="M51" s="34" t="inlineStr">
        <is>
          <t>1) 후속 구조물 인계 (WBS 9000-4-50) 관련 건축 인허가 서류 및 준공도서 인계 수칙 및 법적 이행 의무를 1:1 준수한다. 또한 KDS 41 00 00 (건축구조기준), KDS 41 17 00 (내진설계기준) 및 KCS 41 00 00 (건축공사 표준시방서) 기술기준을 100% 충족한다.
2) 후속 구조물 인계 달성을 위한 필수 시공 방법(건축 인허가 서류 및 준공도서 인계 건축인허가 서류: 승강기 사용필증, 소방시설 완공검사 증명서, 전기사용전...) 및 국가 기술 규격을 엄격히 보장한다. 이에 따라 구조 안전성 100% 입증, 누수/균열 하자 0건 달성 및 책임감리원 최종 결재를 완료하여 지자체 건축물 사용승인(준공) 필증을 획득한다.</t>
        </is>
      </c>
      <c r="N51" s="35">
        <f>HYPERLINK(LEFT(CELL("filename",A1),FIND("[",CELL("filename",A1))-1)&amp;"6.건축\50_후속 구조물 인계\표준서\후속 구조물 인계_표준서.html", "👉 [클릭] 표준서 열기 📄")</f>
        <v/>
      </c>
      <c r="O51" s="34" t="inlineStr">
        <is>
          <t>1) 후속 구조물 인계 (WBS 9000-4-50) 사전 건축 인허가 서식 제출(관할 지자체/소방서), 3D BIM 도서 대조 및 기계·전기·통신 4대 인터페이스 개구부를 확정한다.
2) 실무 작업방법 수칙(건축 인허가 서류 및 준공도서 인계 건축인허가 서류: 승강기 사용필증, 소방시설 완공검사 증명...)에 따라 철근 이음/피복두께 검측, 거푸집 다짐 양생 및 현장 3대 금기 수칙(피복 미달, 무단 타설)을 완수한다.</t>
        </is>
      </c>
      <c r="P51" s="36">
        <f>HYPERLINK(LEFT(CELL("filename",A1),FIND("[",CELL("filename",A1))-1)&amp;"6.건축\50_후속 구조물 인계\수행지침\후속 구조물 인계_수행지침.html", "👉 [클릭] 수행지침 열기 📄")</f>
        <v/>
      </c>
      <c r="Q51" s="34" t="inlineStr">
        <is>
          <t>1) 건축법 제11조 및 KDS 41 00 00 건축구조기준에 따라 후속 구조물 인계 사전 검토를 수행하였는가? 또한 레미콘 규격(24~30MPa), 철근 시험성적서 및 방수자재 KCS 표준 품질 적격성을 검수하였는가?
2) 미검측 및 정량 시방 미달에 따른 후속 구조물 인계 (WBS 9000-4-50) 구조 균열/누수 하자 발생, 개구부 누락 재시공 손실 및 최종 유지관리기관 인수인계서, 건축 인허가 서류, 준공도서 승인 반려 리스크를 전면 차단한다.</t>
        </is>
      </c>
      <c r="R51" s="37">
        <f>HYPERLINK(LEFT(CELL("filename",A1),FIND("[",CELL("filename",A1))-1)&amp;"6.건축\50_후속 구조물 인계\체크리스트\후속 구조물 인계_체크리스트.html", "👉 [클릭] 체크리스트 열기 📄")</f>
        <v/>
      </c>
      <c r="S51" s="33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  <c r="DY51" s="18" t="n"/>
      <c r="DZ51" s="18" t="n"/>
      <c r="EA51" s="18" t="n"/>
      <c r="EB51" s="18" t="n"/>
      <c r="EC51" s="18" t="n"/>
      <c r="ED51" s="18" t="n"/>
      <c r="EE51" s="18" t="n"/>
      <c r="EF51" s="18" t="n"/>
      <c r="EG51" s="18" t="n"/>
      <c r="EH51" s="18" t="n"/>
      <c r="EI51" s="18" t="n"/>
      <c r="EJ51" s="18" t="n"/>
      <c r="EK51" s="18" t="n"/>
      <c r="EL51" s="18" t="n"/>
      <c r="EM51" s="18" t="n"/>
      <c r="EN51" s="18" t="n"/>
      <c r="EO51" s="18" t="n"/>
      <c r="EP51" s="18" t="n"/>
      <c r="EQ51" s="18" t="n"/>
      <c r="ER51" s="18" t="n"/>
      <c r="ES51" s="18" t="n"/>
      <c r="ET51" s="18" t="n"/>
      <c r="EU51" s="18" t="n"/>
      <c r="EV51" s="18" t="n"/>
      <c r="EW51" s="18" t="n"/>
      <c r="EX51" s="18" t="n"/>
      <c r="EY51" s="18" t="n"/>
      <c r="EZ51" s="18" t="n"/>
      <c r="FA51" s="18" t="n"/>
      <c r="FB51" s="18" t="n"/>
      <c r="FC51" s="18" t="n"/>
      <c r="FD51" s="18" t="n"/>
      <c r="FE51" s="18" t="n"/>
      <c r="FF51" s="18" t="n"/>
      <c r="FG51" s="18" t="n"/>
      <c r="FH51" s="18" t="n"/>
      <c r="FI51" s="18" t="n"/>
      <c r="FJ51" s="18" t="n"/>
      <c r="FK51" s="18" t="n"/>
      <c r="FL51" s="18" t="n"/>
      <c r="FM51" s="18" t="n"/>
      <c r="FN51" s="18" t="n"/>
      <c r="FO51" s="18" t="n"/>
      <c r="FP51" s="18" t="n"/>
      <c r="FQ51" s="18" t="n"/>
      <c r="FR51" s="18" t="n"/>
      <c r="FS51" s="18" t="n"/>
      <c r="FT51" s="18" t="n"/>
      <c r="FU51" s="18" t="n"/>
      <c r="FV51" s="18" t="n"/>
      <c r="FW51" s="18" t="n"/>
      <c r="FX51" s="18" t="n"/>
      <c r="FY51" s="18" t="n"/>
      <c r="FZ51" s="18" t="n"/>
      <c r="GA51" s="18" t="n"/>
      <c r="GB51" s="18" t="n"/>
      <c r="GC51" s="18" t="n"/>
      <c r="GD51" s="18" t="n"/>
      <c r="GE51" s="18" t="n"/>
      <c r="GF51" s="18" t="n"/>
      <c r="GG51" s="18" t="n"/>
      <c r="GH51" s="18" t="n"/>
      <c r="GI51" s="18" t="n"/>
      <c r="GJ51" s="18" t="n"/>
      <c r="GK51" s="18" t="n"/>
      <c r="GL51" s="18" t="n"/>
      <c r="GM51" s="18" t="n"/>
      <c r="GN51" s="18" t="n"/>
      <c r="GO51" s="18" t="n"/>
      <c r="GP51" s="18" t="n"/>
      <c r="GQ51" s="18" t="n"/>
      <c r="GR51" s="18" t="n"/>
      <c r="GS51" s="18" t="n"/>
      <c r="GT51" s="18" t="n"/>
      <c r="GU51" s="18" t="n"/>
      <c r="GV51" s="18" t="n"/>
      <c r="GW51" s="18" t="n"/>
      <c r="GX51" s="18" t="n"/>
      <c r="GY51" s="18" t="n"/>
      <c r="GZ51" s="18" t="n"/>
      <c r="HA51" s="18" t="n"/>
      <c r="HB51" s="18" t="n"/>
      <c r="HC51" s="18" t="n"/>
      <c r="HD51" s="18" t="n"/>
      <c r="HE51" s="18" t="n"/>
      <c r="HF51" s="18" t="n"/>
      <c r="HG51" s="18" t="n"/>
      <c r="HH51" s="18" t="n"/>
      <c r="HI51" s="18" t="n"/>
      <c r="HJ51" s="18" t="n"/>
      <c r="HK51" s="18" t="n"/>
      <c r="HL51" s="18" t="n"/>
      <c r="HM51" s="18" t="n"/>
      <c r="HN51" s="18" t="n"/>
      <c r="HO51" s="18" t="n"/>
      <c r="HP51" s="18" t="n"/>
      <c r="HQ51" s="18" t="n"/>
      <c r="HR51" s="18" t="n"/>
      <c r="HS51" s="18" t="n"/>
      <c r="HT51" s="18" t="n"/>
      <c r="HU51" s="18" t="n"/>
      <c r="HV51" s="18" t="n"/>
      <c r="HW51" s="18" t="n"/>
      <c r="HX51" s="18" t="n"/>
      <c r="HY51" s="18" t="n"/>
      <c r="HZ51" s="18" t="n"/>
      <c r="IA51" s="18" t="n"/>
      <c r="IB51" s="18" t="n"/>
      <c r="IC51" s="18" t="n"/>
      <c r="ID51" s="18" t="n"/>
      <c r="IE51" s="18" t="n"/>
      <c r="IF51" s="18" t="n"/>
      <c r="IG51" s="18" t="n"/>
      <c r="IH51" s="18" t="n"/>
      <c r="II51" s="18" t="n"/>
      <c r="IJ51" s="18" t="n"/>
      <c r="IK51" s="18" t="n"/>
      <c r="IL51" s="18" t="n"/>
      <c r="IM51" s="18" t="n"/>
      <c r="IN51" s="18" t="n"/>
      <c r="IO51" s="18" t="n"/>
      <c r="IP51" s="18" t="n"/>
      <c r="IQ51" s="18" t="n"/>
      <c r="IR51" s="18" t="n"/>
      <c r="IS51" s="18" t="n"/>
      <c r="IT51" s="18" t="n"/>
      <c r="IU51" s="18" t="n"/>
      <c r="IV51" s="18" t="n"/>
      <c r="IW51" s="18" t="n"/>
      <c r="IX51" s="18" t="n"/>
      <c r="IY51" s="18" t="n"/>
      <c r="IZ51" s="18" t="n"/>
      <c r="JA51" s="18" t="n"/>
      <c r="JB51" s="18" t="n"/>
      <c r="JC51" s="18" t="n"/>
      <c r="JD51" s="18" t="n"/>
      <c r="JE51" s="18" t="n"/>
      <c r="JF51" s="18" t="n"/>
      <c r="JG51" s="18" t="n"/>
      <c r="JH51" s="18" t="n"/>
      <c r="JI51" s="18" t="n"/>
      <c r="JJ51" s="18" t="n"/>
      <c r="JK51" s="18" t="n"/>
      <c r="JL51" s="18" t="n"/>
      <c r="JM51" s="18" t="n"/>
      <c r="JN51" s="18" t="n"/>
      <c r="JO51" s="18" t="n"/>
      <c r="JP51" s="18" t="n"/>
      <c r="JQ51" s="18" t="n"/>
      <c r="JR51" s="18" t="n"/>
      <c r="JS51" s="18" t="n"/>
      <c r="JT51" s="18" t="n"/>
      <c r="JU51" s="18" t="n"/>
      <c r="JV51" s="18" t="n"/>
      <c r="JW51" s="18" t="n"/>
      <c r="JX51" s="18" t="n"/>
      <c r="JY51" s="18" t="n"/>
      <c r="JZ51" s="18" t="n"/>
      <c r="KA51" s="18" t="n"/>
      <c r="KB51" s="18" t="n"/>
      <c r="KC51" s="18" t="n"/>
      <c r="KD51" s="18" t="n"/>
      <c r="KE51" s="18" t="n"/>
      <c r="KF51" s="18" t="n"/>
      <c r="KG51" s="18" t="n"/>
      <c r="KH51" s="18" t="n"/>
      <c r="KI51" s="18" t="n"/>
      <c r="KJ51" s="18" t="n"/>
      <c r="KK51" s="18" t="n"/>
      <c r="KL51" s="18" t="n"/>
      <c r="KM51" s="18" t="n"/>
      <c r="KN51" s="18" t="n"/>
      <c r="KO51" s="18" t="n"/>
      <c r="KP51" s="18" t="n"/>
      <c r="KQ51" s="18" t="n"/>
      <c r="KR51" s="18" t="n"/>
      <c r="KS51" s="18" t="n"/>
      <c r="KT51" s="18" t="n"/>
      <c r="KU51" s="18" t="n"/>
      <c r="KV51" s="18" t="n"/>
      <c r="KW51" s="18" t="n"/>
      <c r="KX51" s="18" t="n"/>
      <c r="KY51" s="18" t="n"/>
      <c r="KZ51" s="18" t="n"/>
      <c r="LA51" s="18" t="n"/>
      <c r="LB51" s="18" t="n"/>
      <c r="LC51" s="18" t="n"/>
      <c r="LD51" s="18" t="n"/>
      <c r="LE51" s="18" t="n"/>
      <c r="LF51" s="18" t="n"/>
      <c r="LG51" s="18" t="n"/>
      <c r="LH51" s="18" t="n"/>
      <c r="LI51" s="18" t="n"/>
      <c r="LJ51" s="18" t="n"/>
      <c r="LK51" s="18" t="n"/>
      <c r="LL51" s="18" t="n"/>
      <c r="LM51" s="18" t="n"/>
      <c r="LN51" s="18" t="n"/>
      <c r="LO51" s="18" t="n"/>
      <c r="LP51" s="18" t="n"/>
      <c r="LQ51" s="18" t="n"/>
      <c r="LR51" s="18" t="n"/>
      <c r="LS51" s="18" t="n"/>
      <c r="LT51" s="18" t="n"/>
      <c r="LU51" s="18" t="n"/>
      <c r="LV51" s="18" t="n"/>
      <c r="LW51" s="18" t="n"/>
      <c r="LX51" s="18" t="n"/>
      <c r="LY51" s="18" t="n"/>
      <c r="LZ51" s="18" t="n"/>
      <c r="MA51" s="18" t="n"/>
      <c r="MB51" s="18" t="n"/>
      <c r="MC51" s="18" t="n"/>
      <c r="MD51" s="18" t="n"/>
      <c r="ME51" s="18" t="n"/>
      <c r="MF51" s="18" t="n"/>
      <c r="MG51" s="18" t="n"/>
      <c r="MH51" s="18" t="n"/>
      <c r="MI51" s="18" t="n"/>
      <c r="MJ51" s="18" t="n"/>
      <c r="MK51" s="18" t="n"/>
      <c r="ML51" s="18" t="n"/>
      <c r="MM51" s="18" t="n"/>
      <c r="MN51" s="18" t="n"/>
      <c r="MO51" s="18" t="n"/>
      <c r="MP51" s="18" t="n"/>
      <c r="MQ51" s="18" t="n"/>
      <c r="MR51" s="18" t="n"/>
      <c r="MS51" s="18" t="n"/>
      <c r="MT51" s="18" t="n"/>
      <c r="MU51" s="18" t="n"/>
      <c r="MV51" s="18" t="n"/>
      <c r="MW51" s="18" t="n"/>
      <c r="MX51" s="18" t="n"/>
      <c r="MY51" s="18" t="n"/>
      <c r="MZ51" s="18" t="n"/>
      <c r="NA51" s="18" t="n"/>
      <c r="NB51" s="18" t="n"/>
      <c r="NC51" s="18" t="n"/>
      <c r="ND51" s="18" t="n"/>
      <c r="NE51" s="18" t="n"/>
      <c r="NF51" s="18" t="n"/>
      <c r="NG51" s="18" t="n"/>
      <c r="NH51" s="18" t="n"/>
      <c r="NI51" s="18" t="n"/>
      <c r="NJ51" s="18" t="n"/>
      <c r="NK51" s="18" t="n"/>
      <c r="NL51" s="18" t="n"/>
      <c r="NM51" s="18" t="n"/>
      <c r="NN51" s="18" t="n"/>
      <c r="NO51" s="18" t="n"/>
      <c r="NP51" s="18" t="n"/>
      <c r="NQ51" s="18" t="n"/>
      <c r="NR51" s="18" t="n"/>
      <c r="NS51" s="18" t="n"/>
      <c r="NT51" s="18" t="n"/>
      <c r="NU51" s="18" t="n"/>
      <c r="NV51" s="18" t="n"/>
      <c r="NW51" s="18" t="n"/>
      <c r="NX51" s="18" t="n"/>
      <c r="NY51" s="18" t="n"/>
      <c r="NZ51" s="18" t="n"/>
      <c r="OA51" s="18" t="n"/>
      <c r="OB51" s="18" t="n"/>
      <c r="OC51" s="18" t="n"/>
      <c r="OD51" s="18" t="n"/>
      <c r="OE51" s="18" t="n"/>
      <c r="OF51" s="18" t="n"/>
      <c r="OG51" s="18" t="n"/>
      <c r="OH51" s="18" t="n"/>
      <c r="OI51" s="18" t="n"/>
      <c r="OJ51" s="18" t="n"/>
      <c r="OK51" s="18" t="n"/>
      <c r="OL51" s="18" t="n"/>
      <c r="OM51" s="18" t="n"/>
      <c r="ON51" s="18" t="n"/>
      <c r="OO51" s="18" t="n"/>
      <c r="OP51" s="18" t="n"/>
      <c r="OQ51" s="18" t="n"/>
      <c r="OR51" s="18" t="n"/>
      <c r="OS51" s="18" t="n"/>
      <c r="OT51" s="18" t="n"/>
      <c r="OU51" s="18" t="n"/>
      <c r="OV51" s="18" t="n"/>
      <c r="OW51" s="18" t="n"/>
      <c r="OX51" s="18" t="n"/>
      <c r="OY51" s="18" t="n"/>
      <c r="OZ51" s="18" t="n"/>
      <c r="PA51" s="18" t="n"/>
      <c r="PB51" s="18" t="n"/>
      <c r="PC51" s="18" t="n"/>
      <c r="PD51" s="18" t="n"/>
      <c r="PE51" s="18" t="n"/>
      <c r="PF51" s="18" t="n"/>
      <c r="PG51" s="18" t="n"/>
    </row>
    <row r="52" ht="17.4" customHeight="1" s="88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  <c r="DY52" s="18" t="n"/>
      <c r="DZ52" s="18" t="n"/>
      <c r="EA52" s="18" t="n"/>
      <c r="EB52" s="18" t="n"/>
      <c r="EC52" s="18" t="n"/>
      <c r="ED52" s="18" t="n"/>
      <c r="EE52" s="18" t="n"/>
      <c r="EF52" s="18" t="n"/>
      <c r="EG52" s="18" t="n"/>
      <c r="EH52" s="18" t="n"/>
      <c r="EI52" s="18" t="n"/>
      <c r="EJ52" s="18" t="n"/>
      <c r="EK52" s="18" t="n"/>
      <c r="EL52" s="18" t="n"/>
      <c r="EM52" s="18" t="n"/>
      <c r="EN52" s="18" t="n"/>
      <c r="EO52" s="18" t="n"/>
      <c r="EP52" s="18" t="n"/>
      <c r="EQ52" s="18" t="n"/>
      <c r="ER52" s="18" t="n"/>
      <c r="ES52" s="18" t="n"/>
      <c r="ET52" s="18" t="n"/>
      <c r="EU52" s="18" t="n"/>
      <c r="EV52" s="18" t="n"/>
      <c r="EW52" s="18" t="n"/>
      <c r="EX52" s="18" t="n"/>
      <c r="EY52" s="18" t="n"/>
      <c r="EZ52" s="18" t="n"/>
      <c r="FA52" s="18" t="n"/>
      <c r="FB52" s="18" t="n"/>
      <c r="FC52" s="18" t="n"/>
      <c r="FD52" s="18" t="n"/>
      <c r="FE52" s="18" t="n"/>
      <c r="FF52" s="18" t="n"/>
      <c r="FG52" s="18" t="n"/>
      <c r="FH52" s="18" t="n"/>
      <c r="FI52" s="18" t="n"/>
      <c r="FJ52" s="18" t="n"/>
      <c r="FK52" s="18" t="n"/>
      <c r="FL52" s="18" t="n"/>
      <c r="FM52" s="18" t="n"/>
      <c r="FN52" s="18" t="n"/>
      <c r="FO52" s="18" t="n"/>
      <c r="FP52" s="18" t="n"/>
      <c r="FQ52" s="18" t="n"/>
      <c r="FR52" s="18" t="n"/>
      <c r="FS52" s="18" t="n"/>
      <c r="FT52" s="18" t="n"/>
      <c r="FU52" s="18" t="n"/>
      <c r="FV52" s="18" t="n"/>
      <c r="FW52" s="18" t="n"/>
      <c r="FX52" s="18" t="n"/>
      <c r="FY52" s="18" t="n"/>
      <c r="FZ52" s="18" t="n"/>
      <c r="GA52" s="18" t="n"/>
      <c r="GB52" s="18" t="n"/>
      <c r="GC52" s="18" t="n"/>
      <c r="GD52" s="18" t="n"/>
      <c r="GE52" s="18" t="n"/>
      <c r="GF52" s="18" t="n"/>
      <c r="GG52" s="18" t="n"/>
      <c r="GH52" s="18" t="n"/>
      <c r="GI52" s="18" t="n"/>
      <c r="GJ52" s="18" t="n"/>
      <c r="GK52" s="18" t="n"/>
      <c r="GL52" s="18" t="n"/>
      <c r="GM52" s="18" t="n"/>
      <c r="GN52" s="18" t="n"/>
      <c r="GO52" s="18" t="n"/>
      <c r="GP52" s="18" t="n"/>
      <c r="GQ52" s="18" t="n"/>
      <c r="GR52" s="18" t="n"/>
      <c r="GS52" s="18" t="n"/>
      <c r="GT52" s="18" t="n"/>
      <c r="GU52" s="18" t="n"/>
      <c r="GV52" s="18" t="n"/>
      <c r="GW52" s="18" t="n"/>
      <c r="GX52" s="18" t="n"/>
      <c r="GY52" s="18" t="n"/>
      <c r="GZ52" s="18" t="n"/>
      <c r="HA52" s="18" t="n"/>
      <c r="HB52" s="18" t="n"/>
      <c r="HC52" s="18" t="n"/>
      <c r="HD52" s="18" t="n"/>
      <c r="HE52" s="18" t="n"/>
      <c r="HF52" s="18" t="n"/>
      <c r="HG52" s="18" t="n"/>
      <c r="HH52" s="18" t="n"/>
      <c r="HI52" s="18" t="n"/>
      <c r="HJ52" s="18" t="n"/>
      <c r="HK52" s="18" t="n"/>
      <c r="HL52" s="18" t="n"/>
      <c r="HM52" s="18" t="n"/>
      <c r="HN52" s="18" t="n"/>
      <c r="HO52" s="18" t="n"/>
      <c r="HP52" s="18" t="n"/>
      <c r="HQ52" s="18" t="n"/>
      <c r="HR52" s="18" t="n"/>
      <c r="HS52" s="18" t="n"/>
      <c r="HT52" s="18" t="n"/>
      <c r="HU52" s="18" t="n"/>
      <c r="HV52" s="18" t="n"/>
      <c r="HW52" s="18" t="n"/>
      <c r="HX52" s="18" t="n"/>
      <c r="HY52" s="18" t="n"/>
      <c r="HZ52" s="18" t="n"/>
      <c r="IA52" s="18" t="n"/>
      <c r="IB52" s="18" t="n"/>
      <c r="IC52" s="18" t="n"/>
      <c r="ID52" s="18" t="n"/>
      <c r="IE52" s="18" t="n"/>
      <c r="IF52" s="18" t="n"/>
      <c r="IG52" s="18" t="n"/>
      <c r="IH52" s="18" t="n"/>
      <c r="II52" s="18" t="n"/>
      <c r="IJ52" s="18" t="n"/>
      <c r="IK52" s="18" t="n"/>
      <c r="IL52" s="18" t="n"/>
      <c r="IM52" s="18" t="n"/>
      <c r="IN52" s="18" t="n"/>
      <c r="IO52" s="18" t="n"/>
      <c r="IP52" s="18" t="n"/>
      <c r="IQ52" s="18" t="n"/>
      <c r="IR52" s="18" t="n"/>
      <c r="IS52" s="18" t="n"/>
      <c r="IT52" s="18" t="n"/>
      <c r="IU52" s="18" t="n"/>
      <c r="IV52" s="18" t="n"/>
      <c r="IW52" s="18" t="n"/>
      <c r="IX52" s="18" t="n"/>
      <c r="IY52" s="18" t="n"/>
      <c r="IZ52" s="18" t="n"/>
      <c r="JA52" s="18" t="n"/>
      <c r="JB52" s="18" t="n"/>
      <c r="JC52" s="18" t="n"/>
      <c r="JD52" s="18" t="n"/>
      <c r="JE52" s="18" t="n"/>
      <c r="JF52" s="18" t="n"/>
      <c r="JG52" s="18" t="n"/>
      <c r="JH52" s="18" t="n"/>
      <c r="JI52" s="18" t="n"/>
      <c r="JJ52" s="18" t="n"/>
      <c r="JK52" s="18" t="n"/>
      <c r="JL52" s="18" t="n"/>
      <c r="JM52" s="18" t="n"/>
      <c r="JN52" s="18" t="n"/>
      <c r="JO52" s="18" t="n"/>
      <c r="JP52" s="18" t="n"/>
      <c r="JQ52" s="18" t="n"/>
      <c r="JR52" s="18" t="n"/>
      <c r="JS52" s="18" t="n"/>
      <c r="JT52" s="18" t="n"/>
      <c r="JU52" s="18" t="n"/>
      <c r="JV52" s="18" t="n"/>
      <c r="JW52" s="18" t="n"/>
      <c r="JX52" s="18" t="n"/>
      <c r="JY52" s="18" t="n"/>
      <c r="JZ52" s="18" t="n"/>
      <c r="KA52" s="18" t="n"/>
      <c r="KB52" s="18" t="n"/>
      <c r="KC52" s="18" t="n"/>
      <c r="KD52" s="18" t="n"/>
      <c r="KE52" s="18" t="n"/>
      <c r="KF52" s="18" t="n"/>
      <c r="KG52" s="18" t="n"/>
      <c r="KH52" s="18" t="n"/>
      <c r="KI52" s="18" t="n"/>
      <c r="KJ52" s="18" t="n"/>
      <c r="KK52" s="18" t="n"/>
      <c r="KL52" s="18" t="n"/>
      <c r="KM52" s="18" t="n"/>
      <c r="KN52" s="18" t="n"/>
      <c r="KO52" s="18" t="n"/>
      <c r="KP52" s="18" t="n"/>
      <c r="KQ52" s="18" t="n"/>
      <c r="KR52" s="18" t="n"/>
      <c r="KS52" s="18" t="n"/>
      <c r="KT52" s="18" t="n"/>
      <c r="KU52" s="18" t="n"/>
      <c r="KV52" s="18" t="n"/>
      <c r="KW52" s="18" t="n"/>
      <c r="KX52" s="18" t="n"/>
      <c r="KY52" s="18" t="n"/>
      <c r="KZ52" s="18" t="n"/>
      <c r="LA52" s="18" t="n"/>
      <c r="LB52" s="18" t="n"/>
      <c r="LC52" s="18" t="n"/>
      <c r="LD52" s="18" t="n"/>
      <c r="LE52" s="18" t="n"/>
      <c r="LF52" s="18" t="n"/>
      <c r="LG52" s="18" t="n"/>
      <c r="LH52" s="18" t="n"/>
      <c r="LI52" s="18" t="n"/>
      <c r="LJ52" s="18" t="n"/>
      <c r="LK52" s="18" t="n"/>
      <c r="LL52" s="18" t="n"/>
      <c r="LM52" s="18" t="n"/>
      <c r="LN52" s="18" t="n"/>
      <c r="LO52" s="18" t="n"/>
      <c r="LP52" s="18" t="n"/>
      <c r="LQ52" s="18" t="n"/>
      <c r="LR52" s="18" t="n"/>
      <c r="LS52" s="18" t="n"/>
      <c r="LT52" s="18" t="n"/>
      <c r="LU52" s="18" t="n"/>
      <c r="LV52" s="18" t="n"/>
      <c r="LW52" s="18" t="n"/>
      <c r="LX52" s="18" t="n"/>
      <c r="LY52" s="18" t="n"/>
      <c r="LZ52" s="18" t="n"/>
      <c r="MA52" s="18" t="n"/>
      <c r="MB52" s="18" t="n"/>
      <c r="MC52" s="18" t="n"/>
      <c r="MD52" s="18" t="n"/>
      <c r="ME52" s="18" t="n"/>
      <c r="MF52" s="18" t="n"/>
      <c r="MG52" s="18" t="n"/>
      <c r="MH52" s="18" t="n"/>
      <c r="MI52" s="18" t="n"/>
      <c r="MJ52" s="18" t="n"/>
      <c r="MK52" s="18" t="n"/>
      <c r="ML52" s="18" t="n"/>
      <c r="MM52" s="18" t="n"/>
      <c r="MN52" s="18" t="n"/>
      <c r="MO52" s="18" t="n"/>
      <c r="MP52" s="18" t="n"/>
      <c r="MQ52" s="18" t="n"/>
      <c r="MR52" s="18" t="n"/>
      <c r="MS52" s="18" t="n"/>
      <c r="MT52" s="18" t="n"/>
      <c r="MU52" s="18" t="n"/>
      <c r="MV52" s="18" t="n"/>
      <c r="MW52" s="18" t="n"/>
      <c r="MX52" s="18" t="n"/>
      <c r="MY52" s="18" t="n"/>
      <c r="MZ52" s="18" t="n"/>
      <c r="NA52" s="18" t="n"/>
      <c r="NB52" s="18" t="n"/>
      <c r="NC52" s="18" t="n"/>
      <c r="ND52" s="18" t="n"/>
      <c r="NE52" s="18" t="n"/>
      <c r="NF52" s="18" t="n"/>
      <c r="NG52" s="18" t="n"/>
      <c r="NH52" s="18" t="n"/>
      <c r="NI52" s="18" t="n"/>
      <c r="NJ52" s="18" t="n"/>
      <c r="NK52" s="18" t="n"/>
      <c r="NL52" s="18" t="n"/>
      <c r="NM52" s="18" t="n"/>
      <c r="NN52" s="18" t="n"/>
      <c r="NO52" s="18" t="n"/>
      <c r="NP52" s="18" t="n"/>
      <c r="NQ52" s="18" t="n"/>
      <c r="NR52" s="18" t="n"/>
      <c r="NS52" s="18" t="n"/>
      <c r="NT52" s="18" t="n"/>
      <c r="NU52" s="18" t="n"/>
      <c r="NV52" s="18" t="n"/>
      <c r="NW52" s="18" t="n"/>
      <c r="NX52" s="18" t="n"/>
      <c r="NY52" s="18" t="n"/>
      <c r="NZ52" s="18" t="n"/>
      <c r="OA52" s="18" t="n"/>
      <c r="OB52" s="18" t="n"/>
      <c r="OC52" s="18" t="n"/>
      <c r="OD52" s="18" t="n"/>
      <c r="OE52" s="18" t="n"/>
      <c r="OF52" s="18" t="n"/>
      <c r="OG52" s="18" t="n"/>
      <c r="OH52" s="18" t="n"/>
      <c r="OI52" s="18" t="n"/>
      <c r="OJ52" s="18" t="n"/>
      <c r="OK52" s="18" t="n"/>
      <c r="OL52" s="18" t="n"/>
      <c r="OM52" s="18" t="n"/>
      <c r="ON52" s="18" t="n"/>
      <c r="OO52" s="18" t="n"/>
      <c r="OP52" s="18" t="n"/>
      <c r="OQ52" s="18" t="n"/>
      <c r="OR52" s="18" t="n"/>
      <c r="OS52" s="18" t="n"/>
      <c r="OT52" s="18" t="n"/>
      <c r="OU52" s="18" t="n"/>
      <c r="OV52" s="18" t="n"/>
      <c r="OW52" s="18" t="n"/>
      <c r="OX52" s="18" t="n"/>
      <c r="OY52" s="18" t="n"/>
      <c r="OZ52" s="18" t="n"/>
      <c r="PA52" s="18" t="n"/>
      <c r="PB52" s="18" t="n"/>
      <c r="PC52" s="18" t="n"/>
      <c r="PD52" s="18" t="n"/>
      <c r="PE52" s="18" t="n"/>
      <c r="PF52" s="18" t="n"/>
      <c r="PG52" s="18" t="n"/>
      <c r="PH52" s="18" t="n"/>
      <c r="PI52" s="18" t="n"/>
      <c r="PJ52" s="18" t="n"/>
      <c r="PK52" s="18" t="n"/>
    </row>
    <row r="53" ht="17.4" customHeight="1" s="88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8" t="n"/>
      <c r="DF53" s="18" t="n"/>
      <c r="DG53" s="18" t="n"/>
      <c r="DH53" s="18" t="n"/>
      <c r="DI53" s="18" t="n"/>
      <c r="DJ53" s="18" t="n"/>
      <c r="DK53" s="18" t="n"/>
      <c r="DL53" s="18" t="n"/>
      <c r="DM53" s="18" t="n"/>
      <c r="DN53" s="18" t="n"/>
      <c r="DO53" s="18" t="n"/>
      <c r="DP53" s="18" t="n"/>
      <c r="DQ53" s="18" t="n"/>
      <c r="DR53" s="18" t="n"/>
      <c r="DS53" s="18" t="n"/>
      <c r="DT53" s="18" t="n"/>
      <c r="DU53" s="18" t="n"/>
      <c r="DV53" s="18" t="n"/>
      <c r="DW53" s="18" t="n"/>
      <c r="DX53" s="18" t="n"/>
      <c r="DY53" s="18" t="n"/>
      <c r="DZ53" s="18" t="n"/>
      <c r="EA53" s="18" t="n"/>
      <c r="EB53" s="18" t="n"/>
      <c r="EC53" s="18" t="n"/>
      <c r="ED53" s="18" t="n"/>
      <c r="EE53" s="18" t="n"/>
      <c r="EF53" s="18" t="n"/>
      <c r="EG53" s="18" t="n"/>
      <c r="EH53" s="18" t="n"/>
      <c r="EI53" s="18" t="n"/>
      <c r="EJ53" s="18" t="n"/>
      <c r="EK53" s="18" t="n"/>
      <c r="EL53" s="18" t="n"/>
      <c r="EM53" s="18" t="n"/>
      <c r="EN53" s="18" t="n"/>
      <c r="EO53" s="18" t="n"/>
      <c r="EP53" s="18" t="n"/>
      <c r="EQ53" s="18" t="n"/>
      <c r="ER53" s="18" t="n"/>
      <c r="ES53" s="18" t="n"/>
      <c r="ET53" s="18" t="n"/>
      <c r="EU53" s="18" t="n"/>
      <c r="EV53" s="18" t="n"/>
      <c r="EW53" s="18" t="n"/>
      <c r="EX53" s="18" t="n"/>
      <c r="EY53" s="18" t="n"/>
      <c r="EZ53" s="18" t="n"/>
      <c r="FA53" s="18" t="n"/>
      <c r="FB53" s="18" t="n"/>
      <c r="FC53" s="18" t="n"/>
      <c r="FD53" s="18" t="n"/>
      <c r="FE53" s="18" t="n"/>
      <c r="FF53" s="18" t="n"/>
      <c r="FG53" s="18" t="n"/>
      <c r="FH53" s="18" t="n"/>
      <c r="FI53" s="18" t="n"/>
      <c r="FJ53" s="18" t="n"/>
      <c r="FK53" s="18" t="n"/>
      <c r="FL53" s="18" t="n"/>
      <c r="FM53" s="18" t="n"/>
      <c r="FN53" s="18" t="n"/>
      <c r="FO53" s="18" t="n"/>
      <c r="FP53" s="18" t="n"/>
      <c r="FQ53" s="18" t="n"/>
      <c r="FR53" s="18" t="n"/>
      <c r="FS53" s="18" t="n"/>
      <c r="FT53" s="18" t="n"/>
      <c r="FU53" s="18" t="n"/>
      <c r="FV53" s="18" t="n"/>
      <c r="FW53" s="18" t="n"/>
      <c r="FX53" s="18" t="n"/>
      <c r="FY53" s="18" t="n"/>
      <c r="FZ53" s="18" t="n"/>
      <c r="GA53" s="18" t="n"/>
      <c r="GB53" s="18" t="n"/>
      <c r="GC53" s="18" t="n"/>
      <c r="GD53" s="18" t="n"/>
      <c r="GE53" s="18" t="n"/>
      <c r="GF53" s="18" t="n"/>
      <c r="GG53" s="18" t="n"/>
      <c r="GH53" s="18" t="n"/>
      <c r="GI53" s="18" t="n"/>
      <c r="GJ53" s="18" t="n"/>
      <c r="GK53" s="18" t="n"/>
      <c r="GL53" s="18" t="n"/>
      <c r="GM53" s="18" t="n"/>
      <c r="GN53" s="18" t="n"/>
      <c r="GO53" s="18" t="n"/>
      <c r="GP53" s="18" t="n"/>
      <c r="GQ53" s="18" t="n"/>
      <c r="GR53" s="18" t="n"/>
      <c r="GS53" s="18" t="n"/>
      <c r="GT53" s="18" t="n"/>
      <c r="GU53" s="18" t="n"/>
      <c r="GV53" s="18" t="n"/>
      <c r="GW53" s="18" t="n"/>
      <c r="GX53" s="18" t="n"/>
      <c r="GY53" s="18" t="n"/>
      <c r="GZ53" s="18" t="n"/>
      <c r="HA53" s="18" t="n"/>
      <c r="HB53" s="18" t="n"/>
      <c r="HC53" s="18" t="n"/>
      <c r="HD53" s="18" t="n"/>
      <c r="HE53" s="18" t="n"/>
      <c r="HF53" s="18" t="n"/>
      <c r="HG53" s="18" t="n"/>
      <c r="HH53" s="18" t="n"/>
      <c r="HI53" s="18" t="n"/>
      <c r="HJ53" s="18" t="n"/>
      <c r="HK53" s="18" t="n"/>
      <c r="HL53" s="18" t="n"/>
      <c r="HM53" s="18" t="n"/>
      <c r="HN53" s="18" t="n"/>
      <c r="HO53" s="18" t="n"/>
      <c r="HP53" s="18" t="n"/>
      <c r="HQ53" s="18" t="n"/>
      <c r="HR53" s="18" t="n"/>
      <c r="HS53" s="18" t="n"/>
      <c r="HT53" s="18" t="n"/>
      <c r="HU53" s="18" t="n"/>
      <c r="HV53" s="18" t="n"/>
      <c r="HW53" s="18" t="n"/>
      <c r="HX53" s="18" t="n"/>
      <c r="HY53" s="18" t="n"/>
      <c r="HZ53" s="18" t="n"/>
      <c r="IA53" s="18" t="n"/>
      <c r="IB53" s="18" t="n"/>
      <c r="IC53" s="18" t="n"/>
      <c r="ID53" s="18" t="n"/>
      <c r="IE53" s="18" t="n"/>
      <c r="IF53" s="18" t="n"/>
      <c r="IG53" s="18" t="n"/>
      <c r="IH53" s="18" t="n"/>
      <c r="II53" s="18" t="n"/>
      <c r="IJ53" s="18" t="n"/>
      <c r="IK53" s="18" t="n"/>
      <c r="IL53" s="18" t="n"/>
      <c r="IM53" s="18" t="n"/>
      <c r="IN53" s="18" t="n"/>
      <c r="IO53" s="18" t="n"/>
      <c r="IP53" s="18" t="n"/>
      <c r="IQ53" s="18" t="n"/>
      <c r="IR53" s="18" t="n"/>
      <c r="IS53" s="18" t="n"/>
      <c r="IT53" s="18" t="n"/>
      <c r="IU53" s="18" t="n"/>
      <c r="IV53" s="18" t="n"/>
      <c r="IW53" s="18" t="n"/>
      <c r="IX53" s="18" t="n"/>
      <c r="IY53" s="18" t="n"/>
      <c r="IZ53" s="18" t="n"/>
      <c r="JA53" s="18" t="n"/>
      <c r="JB53" s="18" t="n"/>
      <c r="JC53" s="18" t="n"/>
      <c r="JD53" s="18" t="n"/>
      <c r="JE53" s="18" t="n"/>
      <c r="JF53" s="18" t="n"/>
      <c r="JG53" s="18" t="n"/>
      <c r="JH53" s="18" t="n"/>
      <c r="JI53" s="18" t="n"/>
      <c r="JJ53" s="18" t="n"/>
      <c r="JK53" s="18" t="n"/>
      <c r="JL53" s="18" t="n"/>
      <c r="JM53" s="18" t="n"/>
      <c r="JN53" s="18" t="n"/>
      <c r="JO53" s="18" t="n"/>
      <c r="JP53" s="18" t="n"/>
      <c r="JQ53" s="18" t="n"/>
      <c r="JR53" s="18" t="n"/>
      <c r="JS53" s="18" t="n"/>
      <c r="JT53" s="18" t="n"/>
      <c r="JU53" s="18" t="n"/>
      <c r="JV53" s="18" t="n"/>
      <c r="JW53" s="18" t="n"/>
      <c r="JX53" s="18" t="n"/>
      <c r="JY53" s="18" t="n"/>
      <c r="JZ53" s="18" t="n"/>
      <c r="KA53" s="18" t="n"/>
      <c r="KB53" s="18" t="n"/>
      <c r="KC53" s="18" t="n"/>
      <c r="KD53" s="18" t="n"/>
      <c r="KE53" s="18" t="n"/>
      <c r="KF53" s="18" t="n"/>
      <c r="KG53" s="18" t="n"/>
      <c r="KH53" s="18" t="n"/>
      <c r="KI53" s="18" t="n"/>
      <c r="KJ53" s="18" t="n"/>
      <c r="KK53" s="18" t="n"/>
      <c r="KL53" s="18" t="n"/>
      <c r="KM53" s="18" t="n"/>
      <c r="KN53" s="18" t="n"/>
      <c r="KO53" s="18" t="n"/>
      <c r="KP53" s="18" t="n"/>
      <c r="KQ53" s="18" t="n"/>
      <c r="KR53" s="18" t="n"/>
      <c r="KS53" s="18" t="n"/>
      <c r="KT53" s="18" t="n"/>
      <c r="KU53" s="18" t="n"/>
      <c r="KV53" s="18" t="n"/>
      <c r="KW53" s="18" t="n"/>
      <c r="KX53" s="18" t="n"/>
      <c r="KY53" s="18" t="n"/>
      <c r="KZ53" s="18" t="n"/>
      <c r="LA53" s="18" t="n"/>
      <c r="LB53" s="18" t="n"/>
      <c r="LC53" s="18" t="n"/>
      <c r="LD53" s="18" t="n"/>
      <c r="LE53" s="18" t="n"/>
      <c r="LF53" s="18" t="n"/>
      <c r="LG53" s="18" t="n"/>
      <c r="LH53" s="18" t="n"/>
      <c r="LI53" s="18" t="n"/>
      <c r="LJ53" s="18" t="n"/>
      <c r="LK53" s="18" t="n"/>
      <c r="LL53" s="18" t="n"/>
      <c r="LM53" s="18" t="n"/>
      <c r="LN53" s="18" t="n"/>
      <c r="LO53" s="18" t="n"/>
      <c r="LP53" s="18" t="n"/>
      <c r="LQ53" s="18" t="n"/>
      <c r="LR53" s="18" t="n"/>
      <c r="LS53" s="18" t="n"/>
      <c r="LT53" s="18" t="n"/>
      <c r="LU53" s="18" t="n"/>
      <c r="LV53" s="18" t="n"/>
      <c r="LW53" s="18" t="n"/>
      <c r="LX53" s="18" t="n"/>
      <c r="LY53" s="18" t="n"/>
      <c r="LZ53" s="18" t="n"/>
      <c r="MA53" s="18" t="n"/>
      <c r="MB53" s="18" t="n"/>
      <c r="MC53" s="18" t="n"/>
      <c r="MD53" s="18" t="n"/>
      <c r="ME53" s="18" t="n"/>
      <c r="MF53" s="18" t="n"/>
      <c r="MG53" s="18" t="n"/>
      <c r="MH53" s="18" t="n"/>
      <c r="MI53" s="18" t="n"/>
      <c r="MJ53" s="18" t="n"/>
      <c r="MK53" s="18" t="n"/>
      <c r="ML53" s="18" t="n"/>
      <c r="MM53" s="18" t="n"/>
      <c r="MN53" s="18" t="n"/>
      <c r="MO53" s="18" t="n"/>
      <c r="MP53" s="18" t="n"/>
      <c r="MQ53" s="18" t="n"/>
      <c r="MR53" s="18" t="n"/>
      <c r="MS53" s="18" t="n"/>
      <c r="MT53" s="18" t="n"/>
      <c r="MU53" s="18" t="n"/>
      <c r="MV53" s="18" t="n"/>
      <c r="MW53" s="18" t="n"/>
      <c r="MX53" s="18" t="n"/>
      <c r="MY53" s="18" t="n"/>
      <c r="MZ53" s="18" t="n"/>
      <c r="NA53" s="18" t="n"/>
      <c r="NB53" s="18" t="n"/>
      <c r="NC53" s="18" t="n"/>
      <c r="ND53" s="18" t="n"/>
      <c r="NE53" s="18" t="n"/>
      <c r="NF53" s="18" t="n"/>
      <c r="NG53" s="18" t="n"/>
      <c r="NH53" s="18" t="n"/>
      <c r="NI53" s="18" t="n"/>
      <c r="NJ53" s="18" t="n"/>
      <c r="NK53" s="18" t="n"/>
      <c r="NL53" s="18" t="n"/>
      <c r="NM53" s="18" t="n"/>
      <c r="NN53" s="18" t="n"/>
      <c r="NO53" s="18" t="n"/>
      <c r="NP53" s="18" t="n"/>
      <c r="NQ53" s="18" t="n"/>
      <c r="NR53" s="18" t="n"/>
      <c r="NS53" s="18" t="n"/>
      <c r="NT53" s="18" t="n"/>
      <c r="NU53" s="18" t="n"/>
      <c r="NV53" s="18" t="n"/>
      <c r="NW53" s="18" t="n"/>
      <c r="NX53" s="18" t="n"/>
      <c r="NY53" s="18" t="n"/>
      <c r="NZ53" s="18" t="n"/>
      <c r="OA53" s="18" t="n"/>
      <c r="OB53" s="18" t="n"/>
      <c r="OC53" s="18" t="n"/>
      <c r="OD53" s="18" t="n"/>
      <c r="OE53" s="18" t="n"/>
      <c r="OF53" s="18" t="n"/>
      <c r="OG53" s="18" t="n"/>
      <c r="OH53" s="18" t="n"/>
      <c r="OI53" s="18" t="n"/>
      <c r="OJ53" s="18" t="n"/>
      <c r="OK53" s="18" t="n"/>
      <c r="OL53" s="18" t="n"/>
      <c r="OM53" s="18" t="n"/>
      <c r="ON53" s="18" t="n"/>
      <c r="OO53" s="18" t="n"/>
      <c r="OP53" s="18" t="n"/>
      <c r="OQ53" s="18" t="n"/>
      <c r="OR53" s="18" t="n"/>
      <c r="OS53" s="18" t="n"/>
      <c r="OT53" s="18" t="n"/>
      <c r="OU53" s="18" t="n"/>
      <c r="OV53" s="18" t="n"/>
      <c r="OW53" s="18" t="n"/>
      <c r="OX53" s="18" t="n"/>
      <c r="OY53" s="18" t="n"/>
      <c r="OZ53" s="18" t="n"/>
      <c r="PA53" s="18" t="n"/>
      <c r="PB53" s="18" t="n"/>
      <c r="PC53" s="18" t="n"/>
      <c r="PD53" s="18" t="n"/>
      <c r="PE53" s="18" t="n"/>
      <c r="PF53" s="18" t="n"/>
      <c r="PG53" s="18" t="n"/>
      <c r="PH53" s="18" t="n"/>
      <c r="PI53" s="18" t="n"/>
      <c r="PJ53" s="18" t="n"/>
      <c r="PK53" s="18" t="n"/>
      <c r="PL53" s="18" t="n"/>
      <c r="PM53" s="18" t="n"/>
      <c r="PN53" s="18" t="n"/>
      <c r="PO53" s="18" t="n"/>
    </row>
    <row r="54" ht="17.4" customHeight="1" s="88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8" t="n"/>
      <c r="BA54" s="18" t="n"/>
      <c r="BB54" s="18" t="n"/>
      <c r="BC54" s="18" t="n"/>
      <c r="BD54" s="18" t="n"/>
      <c r="BE54" s="18" t="n"/>
      <c r="BF54" s="18" t="n"/>
      <c r="BG54" s="18" t="n"/>
      <c r="BH54" s="18" t="n"/>
      <c r="BI54" s="18" t="n"/>
      <c r="BJ54" s="18" t="n"/>
      <c r="BK54" s="18" t="n"/>
      <c r="BL54" s="18" t="n"/>
      <c r="BM54" s="18" t="n"/>
      <c r="BN54" s="18" t="n"/>
      <c r="BO54" s="18" t="n"/>
      <c r="BP54" s="18" t="n"/>
      <c r="BQ54" s="18" t="n"/>
      <c r="BR54" s="18" t="n"/>
      <c r="BS54" s="18" t="n"/>
      <c r="BT54" s="18" t="n"/>
      <c r="BU54" s="18" t="n"/>
      <c r="BV54" s="18" t="n"/>
      <c r="BW54" s="18" t="n"/>
      <c r="BX54" s="18" t="n"/>
      <c r="BY54" s="18" t="n"/>
      <c r="BZ54" s="18" t="n"/>
      <c r="CA54" s="18" t="n"/>
      <c r="CB54" s="18" t="n"/>
      <c r="CC54" s="18" t="n"/>
      <c r="CD54" s="18" t="n"/>
      <c r="CE54" s="18" t="n"/>
      <c r="CF54" s="18" t="n"/>
      <c r="CG54" s="18" t="n"/>
      <c r="CH54" s="18" t="n"/>
      <c r="CI54" s="18" t="n"/>
      <c r="CJ54" s="18" t="n"/>
      <c r="CK54" s="18" t="n"/>
      <c r="CL54" s="18" t="n"/>
      <c r="CM54" s="18" t="n"/>
      <c r="CN54" s="18" t="n"/>
      <c r="CO54" s="18" t="n"/>
      <c r="CP54" s="18" t="n"/>
      <c r="CQ54" s="18" t="n"/>
      <c r="CR54" s="18" t="n"/>
      <c r="CS54" s="18" t="n"/>
      <c r="CT54" s="18" t="n"/>
      <c r="CU54" s="18" t="n"/>
      <c r="CV54" s="18" t="n"/>
      <c r="CW54" s="18" t="n"/>
      <c r="CX54" s="18" t="n"/>
      <c r="CY54" s="18" t="n"/>
      <c r="CZ54" s="18" t="n"/>
      <c r="DA54" s="18" t="n"/>
      <c r="DB54" s="18" t="n"/>
      <c r="DC54" s="18" t="n"/>
      <c r="DD54" s="18" t="n"/>
      <c r="DE54" s="18" t="n"/>
      <c r="DF54" s="18" t="n"/>
      <c r="DG54" s="18" t="n"/>
      <c r="DH54" s="18" t="n"/>
      <c r="DI54" s="18" t="n"/>
      <c r="DJ54" s="18" t="n"/>
      <c r="DK54" s="18" t="n"/>
      <c r="DL54" s="18" t="n"/>
      <c r="DM54" s="18" t="n"/>
      <c r="DN54" s="18" t="n"/>
      <c r="DO54" s="18" t="n"/>
      <c r="DP54" s="18" t="n"/>
      <c r="DQ54" s="18" t="n"/>
      <c r="DR54" s="18" t="n"/>
      <c r="DS54" s="18" t="n"/>
      <c r="DT54" s="18" t="n"/>
      <c r="DU54" s="18" t="n"/>
      <c r="DV54" s="18" t="n"/>
      <c r="DW54" s="18" t="n"/>
      <c r="DX54" s="18" t="n"/>
      <c r="DY54" s="18" t="n"/>
      <c r="DZ54" s="18" t="n"/>
      <c r="EA54" s="18" t="n"/>
      <c r="EB54" s="18" t="n"/>
      <c r="EC54" s="18" t="n"/>
      <c r="ED54" s="18" t="n"/>
      <c r="EE54" s="18" t="n"/>
      <c r="EF54" s="18" t="n"/>
      <c r="EG54" s="18" t="n"/>
      <c r="EH54" s="18" t="n"/>
      <c r="EI54" s="18" t="n"/>
      <c r="EJ54" s="18" t="n"/>
      <c r="EK54" s="18" t="n"/>
      <c r="EL54" s="18" t="n"/>
      <c r="EM54" s="18" t="n"/>
      <c r="EN54" s="18" t="n"/>
      <c r="EO54" s="18" t="n"/>
      <c r="EP54" s="18" t="n"/>
      <c r="EQ54" s="18" t="n"/>
      <c r="ER54" s="18" t="n"/>
      <c r="ES54" s="18" t="n"/>
      <c r="ET54" s="18" t="n"/>
      <c r="EU54" s="18" t="n"/>
      <c r="EV54" s="18" t="n"/>
      <c r="EW54" s="18" t="n"/>
      <c r="EX54" s="18" t="n"/>
      <c r="EY54" s="18" t="n"/>
      <c r="EZ54" s="18" t="n"/>
      <c r="FA54" s="18" t="n"/>
      <c r="FB54" s="18" t="n"/>
      <c r="FC54" s="18" t="n"/>
      <c r="FD54" s="18" t="n"/>
      <c r="FE54" s="18" t="n"/>
      <c r="FF54" s="18" t="n"/>
      <c r="FG54" s="18" t="n"/>
      <c r="FH54" s="18" t="n"/>
      <c r="FI54" s="18" t="n"/>
      <c r="FJ54" s="18" t="n"/>
      <c r="FK54" s="18" t="n"/>
      <c r="FL54" s="18" t="n"/>
      <c r="FM54" s="18" t="n"/>
      <c r="FN54" s="18" t="n"/>
      <c r="FO54" s="18" t="n"/>
      <c r="FP54" s="18" t="n"/>
      <c r="FQ54" s="18" t="n"/>
      <c r="FR54" s="18" t="n"/>
      <c r="FS54" s="18" t="n"/>
      <c r="FT54" s="18" t="n"/>
      <c r="FU54" s="18" t="n"/>
      <c r="FV54" s="18" t="n"/>
      <c r="FW54" s="18" t="n"/>
      <c r="FX54" s="18" t="n"/>
      <c r="FY54" s="18" t="n"/>
      <c r="FZ54" s="18" t="n"/>
      <c r="GA54" s="18" t="n"/>
      <c r="GB54" s="18" t="n"/>
      <c r="GC54" s="18" t="n"/>
      <c r="GD54" s="18" t="n"/>
      <c r="GE54" s="18" t="n"/>
      <c r="GF54" s="18" t="n"/>
      <c r="GG54" s="18" t="n"/>
      <c r="GH54" s="18" t="n"/>
      <c r="GI54" s="18" t="n"/>
      <c r="GJ54" s="18" t="n"/>
      <c r="GK54" s="18" t="n"/>
      <c r="GL54" s="18" t="n"/>
      <c r="GM54" s="18" t="n"/>
      <c r="GN54" s="18" t="n"/>
      <c r="GO54" s="18" t="n"/>
      <c r="GP54" s="18" t="n"/>
      <c r="GQ54" s="18" t="n"/>
      <c r="GR54" s="18" t="n"/>
      <c r="GS54" s="18" t="n"/>
      <c r="GT54" s="18" t="n"/>
      <c r="GU54" s="18" t="n"/>
      <c r="GV54" s="18" t="n"/>
      <c r="GW54" s="18" t="n"/>
      <c r="GX54" s="18" t="n"/>
      <c r="GY54" s="18" t="n"/>
      <c r="GZ54" s="18" t="n"/>
      <c r="HA54" s="18" t="n"/>
      <c r="HB54" s="18" t="n"/>
      <c r="HC54" s="18" t="n"/>
      <c r="HD54" s="18" t="n"/>
      <c r="HE54" s="18" t="n"/>
      <c r="HF54" s="18" t="n"/>
      <c r="HG54" s="18" t="n"/>
      <c r="HH54" s="18" t="n"/>
      <c r="HI54" s="18" t="n"/>
      <c r="HJ54" s="18" t="n"/>
      <c r="HK54" s="18" t="n"/>
      <c r="HL54" s="18" t="n"/>
      <c r="HM54" s="18" t="n"/>
      <c r="HN54" s="18" t="n"/>
      <c r="HO54" s="18" t="n"/>
      <c r="HP54" s="18" t="n"/>
      <c r="HQ54" s="18" t="n"/>
      <c r="HR54" s="18" t="n"/>
      <c r="HS54" s="18" t="n"/>
      <c r="HT54" s="18" t="n"/>
      <c r="HU54" s="18" t="n"/>
      <c r="HV54" s="18" t="n"/>
      <c r="HW54" s="18" t="n"/>
      <c r="HX54" s="18" t="n"/>
      <c r="HY54" s="18" t="n"/>
      <c r="HZ54" s="18" t="n"/>
      <c r="IA54" s="18" t="n"/>
      <c r="IB54" s="18" t="n"/>
      <c r="IC54" s="18" t="n"/>
      <c r="ID54" s="18" t="n"/>
      <c r="IE54" s="18" t="n"/>
      <c r="IF54" s="18" t="n"/>
      <c r="IG54" s="18" t="n"/>
      <c r="IH54" s="18" t="n"/>
      <c r="II54" s="18" t="n"/>
      <c r="IJ54" s="18" t="n"/>
      <c r="IK54" s="18" t="n"/>
      <c r="IL54" s="18" t="n"/>
      <c r="IM54" s="18" t="n"/>
      <c r="IN54" s="18" t="n"/>
      <c r="IO54" s="18" t="n"/>
      <c r="IP54" s="18" t="n"/>
      <c r="IQ54" s="18" t="n"/>
      <c r="IR54" s="18" t="n"/>
      <c r="IS54" s="18" t="n"/>
      <c r="IT54" s="18" t="n"/>
      <c r="IU54" s="18" t="n"/>
      <c r="IV54" s="18" t="n"/>
      <c r="IW54" s="18" t="n"/>
      <c r="IX54" s="18" t="n"/>
      <c r="IY54" s="18" t="n"/>
      <c r="IZ54" s="18" t="n"/>
      <c r="JA54" s="18" t="n"/>
      <c r="JB54" s="18" t="n"/>
      <c r="JC54" s="18" t="n"/>
      <c r="JD54" s="18" t="n"/>
      <c r="JE54" s="18" t="n"/>
      <c r="JF54" s="18" t="n"/>
      <c r="JG54" s="18" t="n"/>
      <c r="JH54" s="18" t="n"/>
      <c r="JI54" s="18" t="n"/>
      <c r="JJ54" s="18" t="n"/>
      <c r="JK54" s="18" t="n"/>
      <c r="JL54" s="18" t="n"/>
      <c r="JM54" s="18" t="n"/>
      <c r="JN54" s="18" t="n"/>
      <c r="JO54" s="18" t="n"/>
      <c r="JP54" s="18" t="n"/>
      <c r="JQ54" s="18" t="n"/>
      <c r="JR54" s="18" t="n"/>
      <c r="JS54" s="18" t="n"/>
      <c r="JT54" s="18" t="n"/>
      <c r="JU54" s="18" t="n"/>
      <c r="JV54" s="18" t="n"/>
      <c r="JW54" s="18" t="n"/>
      <c r="JX54" s="18" t="n"/>
      <c r="JY54" s="18" t="n"/>
      <c r="JZ54" s="18" t="n"/>
      <c r="KA54" s="18" t="n"/>
      <c r="KB54" s="18" t="n"/>
      <c r="KC54" s="18" t="n"/>
      <c r="KD54" s="18" t="n"/>
      <c r="KE54" s="18" t="n"/>
      <c r="KF54" s="18" t="n"/>
      <c r="KG54" s="18" t="n"/>
      <c r="KH54" s="18" t="n"/>
      <c r="KI54" s="18" t="n"/>
      <c r="KJ54" s="18" t="n"/>
      <c r="KK54" s="18" t="n"/>
      <c r="KL54" s="18" t="n"/>
      <c r="KM54" s="18" t="n"/>
      <c r="KN54" s="18" t="n"/>
      <c r="KO54" s="18" t="n"/>
      <c r="KP54" s="18" t="n"/>
      <c r="KQ54" s="18" t="n"/>
      <c r="KR54" s="18" t="n"/>
      <c r="KS54" s="18" t="n"/>
      <c r="KT54" s="18" t="n"/>
      <c r="KU54" s="18" t="n"/>
      <c r="KV54" s="18" t="n"/>
      <c r="KW54" s="18" t="n"/>
      <c r="KX54" s="18" t="n"/>
      <c r="KY54" s="18" t="n"/>
      <c r="KZ54" s="18" t="n"/>
      <c r="LA54" s="18" t="n"/>
      <c r="LB54" s="18" t="n"/>
      <c r="LC54" s="18" t="n"/>
      <c r="LD54" s="18" t="n"/>
      <c r="LE54" s="18" t="n"/>
      <c r="LF54" s="18" t="n"/>
      <c r="LG54" s="18" t="n"/>
      <c r="LH54" s="18" t="n"/>
      <c r="LI54" s="18" t="n"/>
      <c r="LJ54" s="18" t="n"/>
      <c r="LK54" s="18" t="n"/>
      <c r="LL54" s="18" t="n"/>
      <c r="LM54" s="18" t="n"/>
      <c r="LN54" s="18" t="n"/>
      <c r="LO54" s="18" t="n"/>
      <c r="LP54" s="18" t="n"/>
      <c r="LQ54" s="18" t="n"/>
      <c r="LR54" s="18" t="n"/>
      <c r="LS54" s="18" t="n"/>
      <c r="LT54" s="18" t="n"/>
      <c r="LU54" s="18" t="n"/>
      <c r="LV54" s="18" t="n"/>
      <c r="LW54" s="18" t="n"/>
      <c r="LX54" s="18" t="n"/>
      <c r="LY54" s="18" t="n"/>
      <c r="LZ54" s="18" t="n"/>
      <c r="MA54" s="18" t="n"/>
      <c r="MB54" s="18" t="n"/>
      <c r="MC54" s="18" t="n"/>
      <c r="MD54" s="18" t="n"/>
      <c r="ME54" s="18" t="n"/>
      <c r="MF54" s="18" t="n"/>
      <c r="MG54" s="18" t="n"/>
      <c r="MH54" s="18" t="n"/>
      <c r="MI54" s="18" t="n"/>
      <c r="MJ54" s="18" t="n"/>
      <c r="MK54" s="18" t="n"/>
      <c r="ML54" s="18" t="n"/>
      <c r="MM54" s="18" t="n"/>
      <c r="MN54" s="18" t="n"/>
      <c r="MO54" s="18" t="n"/>
      <c r="MP54" s="18" t="n"/>
      <c r="MQ54" s="18" t="n"/>
      <c r="MR54" s="18" t="n"/>
      <c r="MS54" s="18" t="n"/>
      <c r="MT54" s="18" t="n"/>
      <c r="MU54" s="18" t="n"/>
      <c r="MV54" s="18" t="n"/>
      <c r="MW54" s="18" t="n"/>
      <c r="MX54" s="18" t="n"/>
      <c r="MY54" s="18" t="n"/>
      <c r="MZ54" s="18" t="n"/>
      <c r="NA54" s="18" t="n"/>
      <c r="NB54" s="18" t="n"/>
      <c r="NC54" s="18" t="n"/>
      <c r="ND54" s="18" t="n"/>
      <c r="NE54" s="18" t="n"/>
      <c r="NF54" s="18" t="n"/>
      <c r="NG54" s="18" t="n"/>
      <c r="NH54" s="18" t="n"/>
      <c r="NI54" s="18" t="n"/>
      <c r="NJ54" s="18" t="n"/>
      <c r="NK54" s="18" t="n"/>
      <c r="NL54" s="18" t="n"/>
      <c r="NM54" s="18" t="n"/>
      <c r="NN54" s="18" t="n"/>
      <c r="NO54" s="18" t="n"/>
      <c r="NP54" s="18" t="n"/>
      <c r="NQ54" s="18" t="n"/>
      <c r="NR54" s="18" t="n"/>
      <c r="NS54" s="18" t="n"/>
      <c r="NT54" s="18" t="n"/>
      <c r="NU54" s="18" t="n"/>
      <c r="NV54" s="18" t="n"/>
      <c r="NW54" s="18" t="n"/>
      <c r="NX54" s="18" t="n"/>
      <c r="NY54" s="18" t="n"/>
      <c r="NZ54" s="18" t="n"/>
      <c r="OA54" s="18" t="n"/>
      <c r="OB54" s="18" t="n"/>
      <c r="OC54" s="18" t="n"/>
      <c r="OD54" s="18" t="n"/>
      <c r="OE54" s="18" t="n"/>
      <c r="OF54" s="18" t="n"/>
      <c r="OG54" s="18" t="n"/>
      <c r="OH54" s="18" t="n"/>
      <c r="OI54" s="18" t="n"/>
      <c r="OJ54" s="18" t="n"/>
      <c r="OK54" s="18" t="n"/>
      <c r="OL54" s="18" t="n"/>
      <c r="OM54" s="18" t="n"/>
      <c r="ON54" s="18" t="n"/>
      <c r="OO54" s="18" t="n"/>
      <c r="OP54" s="18" t="n"/>
      <c r="OQ54" s="18" t="n"/>
      <c r="OR54" s="18" t="n"/>
      <c r="OS54" s="18" t="n"/>
      <c r="OT54" s="18" t="n"/>
      <c r="OU54" s="18" t="n"/>
      <c r="OV54" s="18" t="n"/>
      <c r="OW54" s="18" t="n"/>
      <c r="OX54" s="18" t="n"/>
      <c r="OY54" s="18" t="n"/>
      <c r="OZ54" s="18" t="n"/>
      <c r="PA54" s="18" t="n"/>
      <c r="PB54" s="18" t="n"/>
      <c r="PC54" s="18" t="n"/>
      <c r="PD54" s="18" t="n"/>
      <c r="PE54" s="18" t="n"/>
      <c r="PF54" s="18" t="n"/>
      <c r="PG54" s="18" t="n"/>
      <c r="PH54" s="18" t="n"/>
      <c r="PI54" s="18" t="n"/>
      <c r="PJ54" s="18" t="n"/>
      <c r="PK54" s="18" t="n"/>
      <c r="PL54" s="18" t="n"/>
      <c r="PM54" s="18" t="n"/>
      <c r="PN54" s="18" t="n"/>
      <c r="PO54" s="18" t="n"/>
      <c r="PP54" s="18" t="n"/>
      <c r="PQ54" s="18" t="n"/>
      <c r="PR54" s="18" t="n"/>
      <c r="PS54" s="18" t="n"/>
    </row>
    <row r="55" ht="17.4" customHeight="1" s="88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8" t="n"/>
      <c r="BA55" s="18" t="n"/>
      <c r="BB55" s="18" t="n"/>
      <c r="BC55" s="18" t="n"/>
      <c r="BD55" s="18" t="n"/>
      <c r="BE55" s="18" t="n"/>
      <c r="BF55" s="18" t="n"/>
      <c r="BG55" s="18" t="n"/>
      <c r="BH55" s="18" t="n"/>
      <c r="BI55" s="18" t="n"/>
      <c r="BJ55" s="18" t="n"/>
      <c r="BK55" s="18" t="n"/>
      <c r="BL55" s="18" t="n"/>
      <c r="BM55" s="18" t="n"/>
      <c r="BN55" s="18" t="n"/>
      <c r="BO55" s="18" t="n"/>
      <c r="BP55" s="18" t="n"/>
      <c r="BQ55" s="18" t="n"/>
      <c r="BR55" s="18" t="n"/>
      <c r="BS55" s="18" t="n"/>
      <c r="BT55" s="18" t="n"/>
      <c r="BU55" s="18" t="n"/>
      <c r="BV55" s="18" t="n"/>
      <c r="BW55" s="18" t="n"/>
      <c r="BX55" s="18" t="n"/>
      <c r="BY55" s="18" t="n"/>
      <c r="BZ55" s="18" t="n"/>
      <c r="CA55" s="18" t="n"/>
      <c r="CB55" s="18" t="n"/>
      <c r="CC55" s="18" t="n"/>
      <c r="CD55" s="18" t="n"/>
      <c r="CE55" s="18" t="n"/>
      <c r="CF55" s="18" t="n"/>
      <c r="CG55" s="18" t="n"/>
      <c r="CH55" s="18" t="n"/>
      <c r="CI55" s="18" t="n"/>
      <c r="CJ55" s="18" t="n"/>
      <c r="CK55" s="18" t="n"/>
      <c r="CL55" s="18" t="n"/>
      <c r="CM55" s="18" t="n"/>
      <c r="CN55" s="18" t="n"/>
      <c r="CO55" s="18" t="n"/>
      <c r="CP55" s="18" t="n"/>
      <c r="CQ55" s="18" t="n"/>
      <c r="CR55" s="18" t="n"/>
      <c r="CS55" s="18" t="n"/>
      <c r="CT55" s="18" t="n"/>
      <c r="CU55" s="18" t="n"/>
      <c r="CV55" s="18" t="n"/>
      <c r="CW55" s="18" t="n"/>
      <c r="CX55" s="18" t="n"/>
      <c r="CY55" s="18" t="n"/>
      <c r="CZ55" s="18" t="n"/>
      <c r="DA55" s="18" t="n"/>
      <c r="DB55" s="18" t="n"/>
      <c r="DC55" s="18" t="n"/>
      <c r="DD55" s="18" t="n"/>
      <c r="DE55" s="18" t="n"/>
      <c r="DF55" s="18" t="n"/>
      <c r="DG55" s="18" t="n"/>
      <c r="DH55" s="18" t="n"/>
      <c r="DI55" s="18" t="n"/>
      <c r="DJ55" s="18" t="n"/>
      <c r="DK55" s="18" t="n"/>
      <c r="DL55" s="18" t="n"/>
      <c r="DM55" s="18" t="n"/>
      <c r="DN55" s="18" t="n"/>
      <c r="DO55" s="18" t="n"/>
      <c r="DP55" s="18" t="n"/>
      <c r="DQ55" s="18" t="n"/>
      <c r="DR55" s="18" t="n"/>
      <c r="DS55" s="18" t="n"/>
      <c r="DT55" s="18" t="n"/>
      <c r="DU55" s="18" t="n"/>
      <c r="DV55" s="18" t="n"/>
      <c r="DW55" s="18" t="n"/>
      <c r="DX55" s="18" t="n"/>
      <c r="DY55" s="18" t="n"/>
      <c r="DZ55" s="18" t="n"/>
      <c r="EA55" s="18" t="n"/>
      <c r="EB55" s="18" t="n"/>
      <c r="EC55" s="18" t="n"/>
      <c r="ED55" s="18" t="n"/>
      <c r="EE55" s="18" t="n"/>
      <c r="EF55" s="18" t="n"/>
      <c r="EG55" s="18" t="n"/>
      <c r="EH55" s="18" t="n"/>
      <c r="EI55" s="18" t="n"/>
      <c r="EJ55" s="18" t="n"/>
      <c r="EK55" s="18" t="n"/>
      <c r="EL55" s="18" t="n"/>
      <c r="EM55" s="18" t="n"/>
      <c r="EN55" s="18" t="n"/>
      <c r="EO55" s="18" t="n"/>
      <c r="EP55" s="18" t="n"/>
      <c r="EQ55" s="18" t="n"/>
      <c r="ER55" s="18" t="n"/>
      <c r="ES55" s="18" t="n"/>
      <c r="ET55" s="18" t="n"/>
      <c r="EU55" s="18" t="n"/>
      <c r="EV55" s="18" t="n"/>
      <c r="EW55" s="18" t="n"/>
      <c r="EX55" s="18" t="n"/>
      <c r="EY55" s="18" t="n"/>
      <c r="EZ55" s="18" t="n"/>
      <c r="FA55" s="18" t="n"/>
      <c r="FB55" s="18" t="n"/>
      <c r="FC55" s="18" t="n"/>
      <c r="FD55" s="18" t="n"/>
      <c r="FE55" s="18" t="n"/>
      <c r="FF55" s="18" t="n"/>
      <c r="FG55" s="18" t="n"/>
      <c r="FH55" s="18" t="n"/>
      <c r="FI55" s="18" t="n"/>
      <c r="FJ55" s="18" t="n"/>
      <c r="FK55" s="18" t="n"/>
      <c r="FL55" s="18" t="n"/>
      <c r="FM55" s="18" t="n"/>
      <c r="FN55" s="18" t="n"/>
      <c r="FO55" s="18" t="n"/>
      <c r="FP55" s="18" t="n"/>
      <c r="FQ55" s="18" t="n"/>
      <c r="FR55" s="18" t="n"/>
      <c r="FS55" s="18" t="n"/>
      <c r="FT55" s="18" t="n"/>
      <c r="FU55" s="18" t="n"/>
      <c r="FV55" s="18" t="n"/>
      <c r="FW55" s="18" t="n"/>
      <c r="FX55" s="18" t="n"/>
      <c r="FY55" s="18" t="n"/>
      <c r="FZ55" s="18" t="n"/>
      <c r="GA55" s="18" t="n"/>
      <c r="GB55" s="18" t="n"/>
      <c r="GC55" s="18" t="n"/>
      <c r="GD55" s="18" t="n"/>
      <c r="GE55" s="18" t="n"/>
      <c r="GF55" s="18" t="n"/>
      <c r="GG55" s="18" t="n"/>
      <c r="GH55" s="18" t="n"/>
      <c r="GI55" s="18" t="n"/>
      <c r="GJ55" s="18" t="n"/>
      <c r="GK55" s="18" t="n"/>
      <c r="GL55" s="18" t="n"/>
      <c r="GM55" s="18" t="n"/>
      <c r="GN55" s="18" t="n"/>
      <c r="GO55" s="18" t="n"/>
      <c r="GP55" s="18" t="n"/>
      <c r="GQ55" s="18" t="n"/>
      <c r="GR55" s="18" t="n"/>
      <c r="GS55" s="18" t="n"/>
      <c r="GT55" s="18" t="n"/>
      <c r="GU55" s="18" t="n"/>
      <c r="GV55" s="18" t="n"/>
      <c r="GW55" s="18" t="n"/>
      <c r="GX55" s="18" t="n"/>
      <c r="GY55" s="18" t="n"/>
      <c r="GZ55" s="18" t="n"/>
      <c r="HA55" s="18" t="n"/>
      <c r="HB55" s="18" t="n"/>
      <c r="HC55" s="18" t="n"/>
      <c r="HD55" s="18" t="n"/>
      <c r="HE55" s="18" t="n"/>
      <c r="HF55" s="18" t="n"/>
      <c r="HG55" s="18" t="n"/>
      <c r="HH55" s="18" t="n"/>
      <c r="HI55" s="18" t="n"/>
      <c r="HJ55" s="18" t="n"/>
      <c r="HK55" s="18" t="n"/>
      <c r="HL55" s="18" t="n"/>
      <c r="HM55" s="18" t="n"/>
      <c r="HN55" s="18" t="n"/>
      <c r="HO55" s="18" t="n"/>
      <c r="HP55" s="18" t="n"/>
      <c r="HQ55" s="18" t="n"/>
      <c r="HR55" s="18" t="n"/>
      <c r="HS55" s="18" t="n"/>
      <c r="HT55" s="18" t="n"/>
      <c r="HU55" s="18" t="n"/>
      <c r="HV55" s="18" t="n"/>
      <c r="HW55" s="18" t="n"/>
      <c r="HX55" s="18" t="n"/>
      <c r="HY55" s="18" t="n"/>
      <c r="HZ55" s="18" t="n"/>
      <c r="IA55" s="18" t="n"/>
      <c r="IB55" s="18" t="n"/>
      <c r="IC55" s="18" t="n"/>
      <c r="ID55" s="18" t="n"/>
      <c r="IE55" s="18" t="n"/>
      <c r="IF55" s="18" t="n"/>
      <c r="IG55" s="18" t="n"/>
      <c r="IH55" s="18" t="n"/>
      <c r="II55" s="18" t="n"/>
      <c r="IJ55" s="18" t="n"/>
      <c r="IK55" s="18" t="n"/>
      <c r="IL55" s="18" t="n"/>
      <c r="IM55" s="18" t="n"/>
      <c r="IN55" s="18" t="n"/>
      <c r="IO55" s="18" t="n"/>
      <c r="IP55" s="18" t="n"/>
      <c r="IQ55" s="18" t="n"/>
      <c r="IR55" s="18" t="n"/>
      <c r="IS55" s="18" t="n"/>
      <c r="IT55" s="18" t="n"/>
      <c r="IU55" s="18" t="n"/>
      <c r="IV55" s="18" t="n"/>
      <c r="IW55" s="18" t="n"/>
      <c r="IX55" s="18" t="n"/>
      <c r="IY55" s="18" t="n"/>
      <c r="IZ55" s="18" t="n"/>
      <c r="JA55" s="18" t="n"/>
      <c r="JB55" s="18" t="n"/>
      <c r="JC55" s="18" t="n"/>
      <c r="JD55" s="18" t="n"/>
      <c r="JE55" s="18" t="n"/>
      <c r="JF55" s="18" t="n"/>
      <c r="JG55" s="18" t="n"/>
      <c r="JH55" s="18" t="n"/>
      <c r="JI55" s="18" t="n"/>
      <c r="JJ55" s="18" t="n"/>
      <c r="JK55" s="18" t="n"/>
      <c r="JL55" s="18" t="n"/>
      <c r="JM55" s="18" t="n"/>
      <c r="JN55" s="18" t="n"/>
      <c r="JO55" s="18" t="n"/>
      <c r="JP55" s="18" t="n"/>
      <c r="JQ55" s="18" t="n"/>
      <c r="JR55" s="18" t="n"/>
      <c r="JS55" s="18" t="n"/>
      <c r="JT55" s="18" t="n"/>
      <c r="JU55" s="18" t="n"/>
      <c r="JV55" s="18" t="n"/>
      <c r="JW55" s="18" t="n"/>
      <c r="JX55" s="18" t="n"/>
      <c r="JY55" s="18" t="n"/>
      <c r="JZ55" s="18" t="n"/>
      <c r="KA55" s="18" t="n"/>
      <c r="KB55" s="18" t="n"/>
      <c r="KC55" s="18" t="n"/>
      <c r="KD55" s="18" t="n"/>
      <c r="KE55" s="18" t="n"/>
      <c r="KF55" s="18" t="n"/>
      <c r="KG55" s="18" t="n"/>
      <c r="KH55" s="18" t="n"/>
      <c r="KI55" s="18" t="n"/>
      <c r="KJ55" s="18" t="n"/>
      <c r="KK55" s="18" t="n"/>
      <c r="KL55" s="18" t="n"/>
      <c r="KM55" s="18" t="n"/>
      <c r="KN55" s="18" t="n"/>
      <c r="KO55" s="18" t="n"/>
      <c r="KP55" s="18" t="n"/>
      <c r="KQ55" s="18" t="n"/>
      <c r="KR55" s="18" t="n"/>
      <c r="KS55" s="18" t="n"/>
      <c r="KT55" s="18" t="n"/>
      <c r="KU55" s="18" t="n"/>
      <c r="KV55" s="18" t="n"/>
      <c r="KW55" s="18" t="n"/>
      <c r="KX55" s="18" t="n"/>
      <c r="KY55" s="18" t="n"/>
      <c r="KZ55" s="18" t="n"/>
      <c r="LA55" s="18" t="n"/>
      <c r="LB55" s="18" t="n"/>
      <c r="LC55" s="18" t="n"/>
      <c r="LD55" s="18" t="n"/>
      <c r="LE55" s="18" t="n"/>
      <c r="LF55" s="18" t="n"/>
      <c r="LG55" s="18" t="n"/>
      <c r="LH55" s="18" t="n"/>
      <c r="LI55" s="18" t="n"/>
      <c r="LJ55" s="18" t="n"/>
      <c r="LK55" s="18" t="n"/>
      <c r="LL55" s="18" t="n"/>
      <c r="LM55" s="18" t="n"/>
      <c r="LN55" s="18" t="n"/>
      <c r="LO55" s="18" t="n"/>
      <c r="LP55" s="18" t="n"/>
      <c r="LQ55" s="18" t="n"/>
      <c r="LR55" s="18" t="n"/>
      <c r="LS55" s="18" t="n"/>
      <c r="LT55" s="18" t="n"/>
      <c r="LU55" s="18" t="n"/>
      <c r="LV55" s="18" t="n"/>
      <c r="LW55" s="18" t="n"/>
      <c r="LX55" s="18" t="n"/>
      <c r="LY55" s="18" t="n"/>
      <c r="LZ55" s="18" t="n"/>
      <c r="MA55" s="18" t="n"/>
      <c r="MB55" s="18" t="n"/>
      <c r="MC55" s="18" t="n"/>
      <c r="MD55" s="18" t="n"/>
      <c r="ME55" s="18" t="n"/>
      <c r="MF55" s="18" t="n"/>
      <c r="MG55" s="18" t="n"/>
      <c r="MH55" s="18" t="n"/>
      <c r="MI55" s="18" t="n"/>
      <c r="MJ55" s="18" t="n"/>
      <c r="MK55" s="18" t="n"/>
      <c r="ML55" s="18" t="n"/>
      <c r="MM55" s="18" t="n"/>
      <c r="MN55" s="18" t="n"/>
      <c r="MO55" s="18" t="n"/>
      <c r="MP55" s="18" t="n"/>
      <c r="MQ55" s="18" t="n"/>
      <c r="MR55" s="18" t="n"/>
      <c r="MS55" s="18" t="n"/>
      <c r="MT55" s="18" t="n"/>
      <c r="MU55" s="18" t="n"/>
      <c r="MV55" s="18" t="n"/>
      <c r="MW55" s="18" t="n"/>
      <c r="MX55" s="18" t="n"/>
      <c r="MY55" s="18" t="n"/>
      <c r="MZ55" s="18" t="n"/>
      <c r="NA55" s="18" t="n"/>
      <c r="NB55" s="18" t="n"/>
      <c r="NC55" s="18" t="n"/>
      <c r="ND55" s="18" t="n"/>
      <c r="NE55" s="18" t="n"/>
      <c r="NF55" s="18" t="n"/>
      <c r="NG55" s="18" t="n"/>
      <c r="NH55" s="18" t="n"/>
      <c r="NI55" s="18" t="n"/>
      <c r="NJ55" s="18" t="n"/>
      <c r="NK55" s="18" t="n"/>
      <c r="NL55" s="18" t="n"/>
      <c r="NM55" s="18" t="n"/>
      <c r="NN55" s="18" t="n"/>
      <c r="NO55" s="18" t="n"/>
      <c r="NP55" s="18" t="n"/>
      <c r="NQ55" s="18" t="n"/>
      <c r="NR55" s="18" t="n"/>
      <c r="NS55" s="18" t="n"/>
      <c r="NT55" s="18" t="n"/>
      <c r="NU55" s="18" t="n"/>
      <c r="NV55" s="18" t="n"/>
      <c r="NW55" s="18" t="n"/>
      <c r="NX55" s="18" t="n"/>
      <c r="NY55" s="18" t="n"/>
      <c r="NZ55" s="18" t="n"/>
      <c r="OA55" s="18" t="n"/>
      <c r="OB55" s="18" t="n"/>
      <c r="OC55" s="18" t="n"/>
      <c r="OD55" s="18" t="n"/>
      <c r="OE55" s="18" t="n"/>
      <c r="OF55" s="18" t="n"/>
      <c r="OG55" s="18" t="n"/>
      <c r="OH55" s="18" t="n"/>
      <c r="OI55" s="18" t="n"/>
      <c r="OJ55" s="18" t="n"/>
      <c r="OK55" s="18" t="n"/>
      <c r="OL55" s="18" t="n"/>
      <c r="OM55" s="18" t="n"/>
      <c r="ON55" s="18" t="n"/>
      <c r="OO55" s="18" t="n"/>
      <c r="OP55" s="18" t="n"/>
      <c r="OQ55" s="18" t="n"/>
      <c r="OR55" s="18" t="n"/>
      <c r="OS55" s="18" t="n"/>
      <c r="OT55" s="18" t="n"/>
      <c r="OU55" s="18" t="n"/>
      <c r="OV55" s="18" t="n"/>
      <c r="OW55" s="18" t="n"/>
      <c r="OX55" s="18" t="n"/>
      <c r="OY55" s="18" t="n"/>
      <c r="OZ55" s="18" t="n"/>
      <c r="PA55" s="18" t="n"/>
      <c r="PB55" s="18" t="n"/>
      <c r="PC55" s="18" t="n"/>
      <c r="PD55" s="18" t="n"/>
      <c r="PE55" s="18" t="n"/>
      <c r="PF55" s="18" t="n"/>
      <c r="PG55" s="18" t="n"/>
      <c r="PH55" s="18" t="n"/>
      <c r="PI55" s="18" t="n"/>
      <c r="PJ55" s="18" t="n"/>
      <c r="PK55" s="18" t="n"/>
      <c r="PL55" s="18" t="n"/>
      <c r="PM55" s="18" t="n"/>
      <c r="PN55" s="18" t="n"/>
      <c r="PO55" s="18" t="n"/>
      <c r="PP55" s="18" t="n"/>
      <c r="PQ55" s="18" t="n"/>
      <c r="PR55" s="18" t="n"/>
      <c r="PS55" s="18" t="n"/>
      <c r="PT55" s="18" t="n"/>
      <c r="PU55" s="18" t="n"/>
      <c r="PV55" s="18" t="n"/>
      <c r="PW55" s="18" t="n"/>
    </row>
    <row r="56" ht="17.4" customHeight="1" s="88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8" t="n"/>
      <c r="BA56" s="18" t="n"/>
      <c r="BB56" s="18" t="n"/>
      <c r="BC56" s="18" t="n"/>
      <c r="BD56" s="18" t="n"/>
      <c r="BE56" s="18" t="n"/>
      <c r="BF56" s="18" t="n"/>
      <c r="BG56" s="18" t="n"/>
      <c r="BH56" s="18" t="n"/>
      <c r="BI56" s="18" t="n"/>
      <c r="BJ56" s="18" t="n"/>
      <c r="BK56" s="18" t="n"/>
      <c r="BL56" s="18" t="n"/>
      <c r="BM56" s="18" t="n"/>
      <c r="BN56" s="18" t="n"/>
      <c r="BO56" s="18" t="n"/>
      <c r="BP56" s="18" t="n"/>
      <c r="BQ56" s="18" t="n"/>
      <c r="BR56" s="18" t="n"/>
      <c r="BS56" s="18" t="n"/>
      <c r="BT56" s="18" t="n"/>
      <c r="BU56" s="18" t="n"/>
      <c r="BV56" s="18" t="n"/>
      <c r="BW56" s="18" t="n"/>
      <c r="BX56" s="18" t="n"/>
      <c r="BY56" s="18" t="n"/>
      <c r="BZ56" s="18" t="n"/>
      <c r="CA56" s="18" t="n"/>
      <c r="CB56" s="18" t="n"/>
      <c r="CC56" s="18" t="n"/>
      <c r="CD56" s="18" t="n"/>
      <c r="CE56" s="18" t="n"/>
      <c r="CF56" s="18" t="n"/>
      <c r="CG56" s="18" t="n"/>
      <c r="CH56" s="18" t="n"/>
      <c r="CI56" s="18" t="n"/>
      <c r="CJ56" s="18" t="n"/>
      <c r="CK56" s="18" t="n"/>
      <c r="CL56" s="18" t="n"/>
      <c r="CM56" s="18" t="n"/>
      <c r="CN56" s="18" t="n"/>
      <c r="CO56" s="18" t="n"/>
      <c r="CP56" s="18" t="n"/>
      <c r="CQ56" s="18" t="n"/>
      <c r="CR56" s="18" t="n"/>
      <c r="CS56" s="18" t="n"/>
      <c r="CT56" s="18" t="n"/>
      <c r="CU56" s="18" t="n"/>
      <c r="CV56" s="18" t="n"/>
      <c r="CW56" s="18" t="n"/>
      <c r="CX56" s="18" t="n"/>
      <c r="CY56" s="18" t="n"/>
      <c r="CZ56" s="18" t="n"/>
      <c r="DA56" s="18" t="n"/>
      <c r="DB56" s="18" t="n"/>
      <c r="DC56" s="18" t="n"/>
      <c r="DD56" s="18" t="n"/>
      <c r="DE56" s="18" t="n"/>
      <c r="DF56" s="18" t="n"/>
      <c r="DG56" s="18" t="n"/>
      <c r="DH56" s="18" t="n"/>
      <c r="DI56" s="18" t="n"/>
      <c r="DJ56" s="18" t="n"/>
      <c r="DK56" s="18" t="n"/>
      <c r="DL56" s="18" t="n"/>
      <c r="DM56" s="18" t="n"/>
      <c r="DN56" s="18" t="n"/>
      <c r="DO56" s="18" t="n"/>
      <c r="DP56" s="18" t="n"/>
      <c r="DQ56" s="18" t="n"/>
      <c r="DR56" s="18" t="n"/>
      <c r="DS56" s="18" t="n"/>
      <c r="DT56" s="18" t="n"/>
      <c r="DU56" s="18" t="n"/>
      <c r="DV56" s="18" t="n"/>
      <c r="DW56" s="18" t="n"/>
      <c r="DX56" s="18" t="n"/>
      <c r="DY56" s="18" t="n"/>
      <c r="DZ56" s="18" t="n"/>
      <c r="EA56" s="18" t="n"/>
      <c r="EB56" s="18" t="n"/>
      <c r="EC56" s="18" t="n"/>
      <c r="ED56" s="18" t="n"/>
      <c r="EE56" s="18" t="n"/>
      <c r="EF56" s="18" t="n"/>
      <c r="EG56" s="18" t="n"/>
      <c r="EH56" s="18" t="n"/>
      <c r="EI56" s="18" t="n"/>
      <c r="EJ56" s="18" t="n"/>
      <c r="EK56" s="18" t="n"/>
      <c r="EL56" s="18" t="n"/>
      <c r="EM56" s="18" t="n"/>
      <c r="EN56" s="18" t="n"/>
      <c r="EO56" s="18" t="n"/>
      <c r="EP56" s="18" t="n"/>
      <c r="EQ56" s="18" t="n"/>
      <c r="ER56" s="18" t="n"/>
      <c r="ES56" s="18" t="n"/>
      <c r="ET56" s="18" t="n"/>
      <c r="EU56" s="18" t="n"/>
      <c r="EV56" s="18" t="n"/>
      <c r="EW56" s="18" t="n"/>
      <c r="EX56" s="18" t="n"/>
      <c r="EY56" s="18" t="n"/>
      <c r="EZ56" s="18" t="n"/>
      <c r="FA56" s="18" t="n"/>
      <c r="FB56" s="18" t="n"/>
      <c r="FC56" s="18" t="n"/>
      <c r="FD56" s="18" t="n"/>
      <c r="FE56" s="18" t="n"/>
      <c r="FF56" s="18" t="n"/>
      <c r="FG56" s="18" t="n"/>
      <c r="FH56" s="18" t="n"/>
      <c r="FI56" s="18" t="n"/>
      <c r="FJ56" s="18" t="n"/>
      <c r="FK56" s="18" t="n"/>
      <c r="FL56" s="18" t="n"/>
      <c r="FM56" s="18" t="n"/>
      <c r="FN56" s="18" t="n"/>
      <c r="FO56" s="18" t="n"/>
      <c r="FP56" s="18" t="n"/>
      <c r="FQ56" s="18" t="n"/>
      <c r="FR56" s="18" t="n"/>
      <c r="FS56" s="18" t="n"/>
      <c r="FT56" s="18" t="n"/>
      <c r="FU56" s="18" t="n"/>
      <c r="FV56" s="18" t="n"/>
      <c r="FW56" s="18" t="n"/>
      <c r="FX56" s="18" t="n"/>
      <c r="FY56" s="18" t="n"/>
      <c r="FZ56" s="18" t="n"/>
      <c r="GA56" s="18" t="n"/>
      <c r="GB56" s="18" t="n"/>
      <c r="GC56" s="18" t="n"/>
      <c r="GD56" s="18" t="n"/>
      <c r="GE56" s="18" t="n"/>
      <c r="GF56" s="18" t="n"/>
      <c r="GG56" s="18" t="n"/>
      <c r="GH56" s="18" t="n"/>
      <c r="GI56" s="18" t="n"/>
      <c r="GJ56" s="18" t="n"/>
      <c r="GK56" s="18" t="n"/>
      <c r="GL56" s="18" t="n"/>
      <c r="GM56" s="18" t="n"/>
      <c r="GN56" s="18" t="n"/>
      <c r="GO56" s="18" t="n"/>
      <c r="GP56" s="18" t="n"/>
      <c r="GQ56" s="18" t="n"/>
      <c r="GR56" s="18" t="n"/>
      <c r="GS56" s="18" t="n"/>
      <c r="GT56" s="18" t="n"/>
      <c r="GU56" s="18" t="n"/>
      <c r="GV56" s="18" t="n"/>
      <c r="GW56" s="18" t="n"/>
      <c r="GX56" s="18" t="n"/>
      <c r="GY56" s="18" t="n"/>
      <c r="GZ56" s="18" t="n"/>
      <c r="HA56" s="18" t="n"/>
      <c r="HB56" s="18" t="n"/>
      <c r="HC56" s="18" t="n"/>
      <c r="HD56" s="18" t="n"/>
      <c r="HE56" s="18" t="n"/>
      <c r="HF56" s="18" t="n"/>
      <c r="HG56" s="18" t="n"/>
      <c r="HH56" s="18" t="n"/>
      <c r="HI56" s="18" t="n"/>
      <c r="HJ56" s="18" t="n"/>
      <c r="HK56" s="18" t="n"/>
      <c r="HL56" s="18" t="n"/>
      <c r="HM56" s="18" t="n"/>
      <c r="HN56" s="18" t="n"/>
      <c r="HO56" s="18" t="n"/>
      <c r="HP56" s="18" t="n"/>
      <c r="HQ56" s="18" t="n"/>
      <c r="HR56" s="18" t="n"/>
      <c r="HS56" s="18" t="n"/>
      <c r="HT56" s="18" t="n"/>
      <c r="HU56" s="18" t="n"/>
      <c r="HV56" s="18" t="n"/>
      <c r="HW56" s="18" t="n"/>
      <c r="HX56" s="18" t="n"/>
      <c r="HY56" s="18" t="n"/>
      <c r="HZ56" s="18" t="n"/>
      <c r="IA56" s="18" t="n"/>
      <c r="IB56" s="18" t="n"/>
      <c r="IC56" s="18" t="n"/>
      <c r="ID56" s="18" t="n"/>
      <c r="IE56" s="18" t="n"/>
      <c r="IF56" s="18" t="n"/>
      <c r="IG56" s="18" t="n"/>
      <c r="IH56" s="18" t="n"/>
      <c r="II56" s="18" t="n"/>
      <c r="IJ56" s="18" t="n"/>
      <c r="IK56" s="18" t="n"/>
      <c r="IL56" s="18" t="n"/>
      <c r="IM56" s="18" t="n"/>
      <c r="IN56" s="18" t="n"/>
      <c r="IO56" s="18" t="n"/>
      <c r="IP56" s="18" t="n"/>
      <c r="IQ56" s="18" t="n"/>
      <c r="IR56" s="18" t="n"/>
      <c r="IS56" s="18" t="n"/>
      <c r="IT56" s="18" t="n"/>
      <c r="IU56" s="18" t="n"/>
      <c r="IV56" s="18" t="n"/>
      <c r="IW56" s="18" t="n"/>
      <c r="IX56" s="18" t="n"/>
      <c r="IY56" s="18" t="n"/>
      <c r="IZ56" s="18" t="n"/>
      <c r="JA56" s="18" t="n"/>
      <c r="JB56" s="18" t="n"/>
      <c r="JC56" s="18" t="n"/>
      <c r="JD56" s="18" t="n"/>
      <c r="JE56" s="18" t="n"/>
      <c r="JF56" s="18" t="n"/>
      <c r="JG56" s="18" t="n"/>
      <c r="JH56" s="18" t="n"/>
      <c r="JI56" s="18" t="n"/>
      <c r="JJ56" s="18" t="n"/>
      <c r="JK56" s="18" t="n"/>
      <c r="JL56" s="18" t="n"/>
      <c r="JM56" s="18" t="n"/>
      <c r="JN56" s="18" t="n"/>
      <c r="JO56" s="18" t="n"/>
      <c r="JP56" s="18" t="n"/>
      <c r="JQ56" s="18" t="n"/>
      <c r="JR56" s="18" t="n"/>
      <c r="JS56" s="18" t="n"/>
      <c r="JT56" s="18" t="n"/>
      <c r="JU56" s="18" t="n"/>
      <c r="JV56" s="18" t="n"/>
      <c r="JW56" s="18" t="n"/>
      <c r="JX56" s="18" t="n"/>
      <c r="JY56" s="18" t="n"/>
      <c r="JZ56" s="18" t="n"/>
      <c r="KA56" s="18" t="n"/>
      <c r="KB56" s="18" t="n"/>
      <c r="KC56" s="18" t="n"/>
      <c r="KD56" s="18" t="n"/>
      <c r="KE56" s="18" t="n"/>
      <c r="KF56" s="18" t="n"/>
      <c r="KG56" s="18" t="n"/>
      <c r="KH56" s="18" t="n"/>
      <c r="KI56" s="18" t="n"/>
      <c r="KJ56" s="18" t="n"/>
      <c r="KK56" s="18" t="n"/>
      <c r="KL56" s="18" t="n"/>
      <c r="KM56" s="18" t="n"/>
      <c r="KN56" s="18" t="n"/>
      <c r="KO56" s="18" t="n"/>
      <c r="KP56" s="18" t="n"/>
      <c r="KQ56" s="18" t="n"/>
      <c r="KR56" s="18" t="n"/>
      <c r="KS56" s="18" t="n"/>
      <c r="KT56" s="18" t="n"/>
      <c r="KU56" s="18" t="n"/>
      <c r="KV56" s="18" t="n"/>
      <c r="KW56" s="18" t="n"/>
      <c r="KX56" s="18" t="n"/>
      <c r="KY56" s="18" t="n"/>
      <c r="KZ56" s="18" t="n"/>
      <c r="LA56" s="18" t="n"/>
      <c r="LB56" s="18" t="n"/>
      <c r="LC56" s="18" t="n"/>
      <c r="LD56" s="18" t="n"/>
      <c r="LE56" s="18" t="n"/>
      <c r="LF56" s="18" t="n"/>
      <c r="LG56" s="18" t="n"/>
      <c r="LH56" s="18" t="n"/>
      <c r="LI56" s="18" t="n"/>
      <c r="LJ56" s="18" t="n"/>
      <c r="LK56" s="18" t="n"/>
      <c r="LL56" s="18" t="n"/>
      <c r="LM56" s="18" t="n"/>
      <c r="LN56" s="18" t="n"/>
      <c r="LO56" s="18" t="n"/>
      <c r="LP56" s="18" t="n"/>
      <c r="LQ56" s="18" t="n"/>
      <c r="LR56" s="18" t="n"/>
      <c r="LS56" s="18" t="n"/>
      <c r="LT56" s="18" t="n"/>
      <c r="LU56" s="18" t="n"/>
      <c r="LV56" s="18" t="n"/>
      <c r="LW56" s="18" t="n"/>
      <c r="LX56" s="18" t="n"/>
      <c r="LY56" s="18" t="n"/>
      <c r="LZ56" s="18" t="n"/>
      <c r="MA56" s="18" t="n"/>
      <c r="MB56" s="18" t="n"/>
      <c r="MC56" s="18" t="n"/>
      <c r="MD56" s="18" t="n"/>
      <c r="ME56" s="18" t="n"/>
      <c r="MF56" s="18" t="n"/>
      <c r="MG56" s="18" t="n"/>
      <c r="MH56" s="18" t="n"/>
      <c r="MI56" s="18" t="n"/>
      <c r="MJ56" s="18" t="n"/>
      <c r="MK56" s="18" t="n"/>
      <c r="ML56" s="18" t="n"/>
      <c r="MM56" s="18" t="n"/>
      <c r="MN56" s="18" t="n"/>
      <c r="MO56" s="18" t="n"/>
      <c r="MP56" s="18" t="n"/>
      <c r="MQ56" s="18" t="n"/>
      <c r="MR56" s="18" t="n"/>
      <c r="MS56" s="18" t="n"/>
      <c r="MT56" s="18" t="n"/>
      <c r="MU56" s="18" t="n"/>
      <c r="MV56" s="18" t="n"/>
      <c r="MW56" s="18" t="n"/>
      <c r="MX56" s="18" t="n"/>
      <c r="MY56" s="18" t="n"/>
      <c r="MZ56" s="18" t="n"/>
      <c r="NA56" s="18" t="n"/>
      <c r="NB56" s="18" t="n"/>
      <c r="NC56" s="18" t="n"/>
      <c r="ND56" s="18" t="n"/>
      <c r="NE56" s="18" t="n"/>
      <c r="NF56" s="18" t="n"/>
      <c r="NG56" s="18" t="n"/>
      <c r="NH56" s="18" t="n"/>
      <c r="NI56" s="18" t="n"/>
      <c r="NJ56" s="18" t="n"/>
      <c r="NK56" s="18" t="n"/>
      <c r="NL56" s="18" t="n"/>
      <c r="NM56" s="18" t="n"/>
      <c r="NN56" s="18" t="n"/>
      <c r="NO56" s="18" t="n"/>
      <c r="NP56" s="18" t="n"/>
      <c r="NQ56" s="18" t="n"/>
      <c r="NR56" s="18" t="n"/>
      <c r="NS56" s="18" t="n"/>
      <c r="NT56" s="18" t="n"/>
      <c r="NU56" s="18" t="n"/>
      <c r="NV56" s="18" t="n"/>
      <c r="NW56" s="18" t="n"/>
      <c r="NX56" s="18" t="n"/>
      <c r="NY56" s="18" t="n"/>
      <c r="NZ56" s="18" t="n"/>
      <c r="OA56" s="18" t="n"/>
      <c r="OB56" s="18" t="n"/>
      <c r="OC56" s="18" t="n"/>
      <c r="OD56" s="18" t="n"/>
      <c r="OE56" s="18" t="n"/>
      <c r="OF56" s="18" t="n"/>
      <c r="OG56" s="18" t="n"/>
      <c r="OH56" s="18" t="n"/>
      <c r="OI56" s="18" t="n"/>
      <c r="OJ56" s="18" t="n"/>
      <c r="OK56" s="18" t="n"/>
      <c r="OL56" s="18" t="n"/>
      <c r="OM56" s="18" t="n"/>
      <c r="ON56" s="18" t="n"/>
      <c r="OO56" s="18" t="n"/>
      <c r="OP56" s="18" t="n"/>
      <c r="OQ56" s="18" t="n"/>
      <c r="OR56" s="18" t="n"/>
      <c r="OS56" s="18" t="n"/>
      <c r="OT56" s="18" t="n"/>
      <c r="OU56" s="18" t="n"/>
      <c r="OV56" s="18" t="n"/>
      <c r="OW56" s="18" t="n"/>
      <c r="OX56" s="18" t="n"/>
      <c r="OY56" s="18" t="n"/>
      <c r="OZ56" s="18" t="n"/>
      <c r="PA56" s="18" t="n"/>
      <c r="PB56" s="18" t="n"/>
      <c r="PC56" s="18" t="n"/>
      <c r="PD56" s="18" t="n"/>
      <c r="PE56" s="18" t="n"/>
      <c r="PF56" s="18" t="n"/>
      <c r="PG56" s="18" t="n"/>
      <c r="PH56" s="18" t="n"/>
      <c r="PI56" s="18" t="n"/>
      <c r="PJ56" s="18" t="n"/>
      <c r="PK56" s="18" t="n"/>
      <c r="PL56" s="18" t="n"/>
      <c r="PM56" s="18" t="n"/>
      <c r="PN56" s="18" t="n"/>
      <c r="PO56" s="18" t="n"/>
      <c r="PP56" s="18" t="n"/>
      <c r="PQ56" s="18" t="n"/>
      <c r="PR56" s="18" t="n"/>
      <c r="PS56" s="18" t="n"/>
      <c r="PT56" s="18" t="n"/>
      <c r="PU56" s="18" t="n"/>
      <c r="PV56" s="18" t="n"/>
      <c r="PW56" s="18" t="n"/>
      <c r="PX56" s="18" t="n"/>
      <c r="PY56" s="18" t="n"/>
      <c r="PZ56" s="18" t="n"/>
      <c r="QA56" s="18" t="n"/>
    </row>
    <row r="57" ht="17.4" customHeight="1" s="88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8" t="n"/>
      <c r="BA57" s="18" t="n"/>
      <c r="BB57" s="18" t="n"/>
      <c r="BC57" s="18" t="n"/>
      <c r="BD57" s="18" t="n"/>
      <c r="BE57" s="18" t="n"/>
      <c r="BF57" s="18" t="n"/>
      <c r="BG57" s="18" t="n"/>
      <c r="BH57" s="18" t="n"/>
      <c r="BI57" s="18" t="n"/>
      <c r="BJ57" s="18" t="n"/>
      <c r="BK57" s="18" t="n"/>
      <c r="BL57" s="18" t="n"/>
      <c r="BM57" s="18" t="n"/>
      <c r="BN57" s="18" t="n"/>
      <c r="BO57" s="18" t="n"/>
      <c r="BP57" s="18" t="n"/>
      <c r="BQ57" s="18" t="n"/>
      <c r="BR57" s="18" t="n"/>
      <c r="BS57" s="18" t="n"/>
      <c r="BT57" s="18" t="n"/>
      <c r="BU57" s="18" t="n"/>
      <c r="BV57" s="18" t="n"/>
      <c r="BW57" s="18" t="n"/>
      <c r="BX57" s="18" t="n"/>
      <c r="BY57" s="18" t="n"/>
      <c r="BZ57" s="18" t="n"/>
      <c r="CA57" s="18" t="n"/>
      <c r="CB57" s="18" t="n"/>
      <c r="CC57" s="18" t="n"/>
      <c r="CD57" s="18" t="n"/>
      <c r="CE57" s="18" t="n"/>
      <c r="CF57" s="18" t="n"/>
      <c r="CG57" s="18" t="n"/>
      <c r="CH57" s="18" t="n"/>
      <c r="CI57" s="18" t="n"/>
      <c r="CJ57" s="18" t="n"/>
      <c r="CK57" s="18" t="n"/>
      <c r="CL57" s="18" t="n"/>
      <c r="CM57" s="18" t="n"/>
      <c r="CN57" s="18" t="n"/>
      <c r="CO57" s="18" t="n"/>
      <c r="CP57" s="18" t="n"/>
      <c r="CQ57" s="18" t="n"/>
      <c r="CR57" s="18" t="n"/>
      <c r="CS57" s="18" t="n"/>
      <c r="CT57" s="18" t="n"/>
      <c r="CU57" s="18" t="n"/>
      <c r="CV57" s="18" t="n"/>
      <c r="CW57" s="18" t="n"/>
      <c r="CX57" s="18" t="n"/>
      <c r="CY57" s="18" t="n"/>
      <c r="CZ57" s="18" t="n"/>
      <c r="DA57" s="18" t="n"/>
      <c r="DB57" s="18" t="n"/>
      <c r="DC57" s="18" t="n"/>
      <c r="DD57" s="18" t="n"/>
      <c r="DE57" s="18" t="n"/>
      <c r="DF57" s="18" t="n"/>
      <c r="DG57" s="18" t="n"/>
      <c r="DH57" s="18" t="n"/>
      <c r="DI57" s="18" t="n"/>
      <c r="DJ57" s="18" t="n"/>
      <c r="DK57" s="18" t="n"/>
      <c r="DL57" s="18" t="n"/>
      <c r="DM57" s="18" t="n"/>
      <c r="DN57" s="18" t="n"/>
      <c r="DO57" s="18" t="n"/>
      <c r="DP57" s="18" t="n"/>
      <c r="DQ57" s="18" t="n"/>
      <c r="DR57" s="18" t="n"/>
      <c r="DS57" s="18" t="n"/>
      <c r="DT57" s="18" t="n"/>
      <c r="DU57" s="18" t="n"/>
      <c r="DV57" s="18" t="n"/>
      <c r="DW57" s="18" t="n"/>
      <c r="DX57" s="18" t="n"/>
      <c r="DY57" s="18" t="n"/>
      <c r="DZ57" s="18" t="n"/>
      <c r="EA57" s="18" t="n"/>
      <c r="EB57" s="18" t="n"/>
      <c r="EC57" s="18" t="n"/>
      <c r="ED57" s="18" t="n"/>
      <c r="EE57" s="18" t="n"/>
      <c r="EF57" s="18" t="n"/>
      <c r="EG57" s="18" t="n"/>
      <c r="EH57" s="18" t="n"/>
      <c r="EI57" s="18" t="n"/>
      <c r="EJ57" s="18" t="n"/>
      <c r="EK57" s="18" t="n"/>
      <c r="EL57" s="18" t="n"/>
      <c r="EM57" s="18" t="n"/>
      <c r="EN57" s="18" t="n"/>
      <c r="EO57" s="18" t="n"/>
      <c r="EP57" s="18" t="n"/>
      <c r="EQ57" s="18" t="n"/>
      <c r="ER57" s="18" t="n"/>
      <c r="ES57" s="18" t="n"/>
      <c r="ET57" s="18" t="n"/>
      <c r="EU57" s="18" t="n"/>
      <c r="EV57" s="18" t="n"/>
      <c r="EW57" s="18" t="n"/>
      <c r="EX57" s="18" t="n"/>
      <c r="EY57" s="18" t="n"/>
      <c r="EZ57" s="18" t="n"/>
      <c r="FA57" s="18" t="n"/>
      <c r="FB57" s="18" t="n"/>
      <c r="FC57" s="18" t="n"/>
      <c r="FD57" s="18" t="n"/>
      <c r="FE57" s="18" t="n"/>
      <c r="FF57" s="18" t="n"/>
      <c r="FG57" s="18" t="n"/>
      <c r="FH57" s="18" t="n"/>
      <c r="FI57" s="18" t="n"/>
      <c r="FJ57" s="18" t="n"/>
      <c r="FK57" s="18" t="n"/>
      <c r="FL57" s="18" t="n"/>
      <c r="FM57" s="18" t="n"/>
      <c r="FN57" s="18" t="n"/>
      <c r="FO57" s="18" t="n"/>
      <c r="FP57" s="18" t="n"/>
      <c r="FQ57" s="18" t="n"/>
      <c r="FR57" s="18" t="n"/>
      <c r="FS57" s="18" t="n"/>
      <c r="FT57" s="18" t="n"/>
      <c r="FU57" s="18" t="n"/>
      <c r="FV57" s="18" t="n"/>
      <c r="FW57" s="18" t="n"/>
      <c r="FX57" s="18" t="n"/>
      <c r="FY57" s="18" t="n"/>
      <c r="FZ57" s="18" t="n"/>
      <c r="GA57" s="18" t="n"/>
      <c r="GB57" s="18" t="n"/>
      <c r="GC57" s="18" t="n"/>
      <c r="GD57" s="18" t="n"/>
      <c r="GE57" s="18" t="n"/>
      <c r="GF57" s="18" t="n"/>
      <c r="GG57" s="18" t="n"/>
      <c r="GH57" s="18" t="n"/>
      <c r="GI57" s="18" t="n"/>
      <c r="GJ57" s="18" t="n"/>
      <c r="GK57" s="18" t="n"/>
      <c r="GL57" s="18" t="n"/>
      <c r="GM57" s="18" t="n"/>
      <c r="GN57" s="18" t="n"/>
      <c r="GO57" s="18" t="n"/>
      <c r="GP57" s="18" t="n"/>
      <c r="GQ57" s="18" t="n"/>
      <c r="GR57" s="18" t="n"/>
      <c r="GS57" s="18" t="n"/>
      <c r="GT57" s="18" t="n"/>
      <c r="GU57" s="18" t="n"/>
      <c r="GV57" s="18" t="n"/>
      <c r="GW57" s="18" t="n"/>
      <c r="GX57" s="18" t="n"/>
      <c r="GY57" s="18" t="n"/>
      <c r="GZ57" s="18" t="n"/>
      <c r="HA57" s="18" t="n"/>
      <c r="HB57" s="18" t="n"/>
      <c r="HC57" s="18" t="n"/>
      <c r="HD57" s="18" t="n"/>
      <c r="HE57" s="18" t="n"/>
      <c r="HF57" s="18" t="n"/>
      <c r="HG57" s="18" t="n"/>
      <c r="HH57" s="18" t="n"/>
      <c r="HI57" s="18" t="n"/>
      <c r="HJ57" s="18" t="n"/>
      <c r="HK57" s="18" t="n"/>
      <c r="HL57" s="18" t="n"/>
      <c r="HM57" s="18" t="n"/>
      <c r="HN57" s="18" t="n"/>
      <c r="HO57" s="18" t="n"/>
      <c r="HP57" s="18" t="n"/>
      <c r="HQ57" s="18" t="n"/>
      <c r="HR57" s="18" t="n"/>
      <c r="HS57" s="18" t="n"/>
      <c r="HT57" s="18" t="n"/>
      <c r="HU57" s="18" t="n"/>
      <c r="HV57" s="18" t="n"/>
      <c r="HW57" s="18" t="n"/>
      <c r="HX57" s="18" t="n"/>
      <c r="HY57" s="18" t="n"/>
      <c r="HZ57" s="18" t="n"/>
      <c r="IA57" s="18" t="n"/>
      <c r="IB57" s="18" t="n"/>
      <c r="IC57" s="18" t="n"/>
      <c r="ID57" s="18" t="n"/>
      <c r="IE57" s="18" t="n"/>
      <c r="IF57" s="18" t="n"/>
      <c r="IG57" s="18" t="n"/>
      <c r="IH57" s="18" t="n"/>
      <c r="II57" s="18" t="n"/>
      <c r="IJ57" s="18" t="n"/>
      <c r="IK57" s="18" t="n"/>
      <c r="IL57" s="18" t="n"/>
      <c r="IM57" s="18" t="n"/>
      <c r="IN57" s="18" t="n"/>
      <c r="IO57" s="18" t="n"/>
      <c r="IP57" s="18" t="n"/>
      <c r="IQ57" s="18" t="n"/>
      <c r="IR57" s="18" t="n"/>
      <c r="IS57" s="18" t="n"/>
      <c r="IT57" s="18" t="n"/>
      <c r="IU57" s="18" t="n"/>
      <c r="IV57" s="18" t="n"/>
      <c r="IW57" s="18" t="n"/>
      <c r="IX57" s="18" t="n"/>
      <c r="IY57" s="18" t="n"/>
      <c r="IZ57" s="18" t="n"/>
      <c r="JA57" s="18" t="n"/>
      <c r="JB57" s="18" t="n"/>
      <c r="JC57" s="18" t="n"/>
      <c r="JD57" s="18" t="n"/>
      <c r="JE57" s="18" t="n"/>
      <c r="JF57" s="18" t="n"/>
      <c r="JG57" s="18" t="n"/>
      <c r="JH57" s="18" t="n"/>
      <c r="JI57" s="18" t="n"/>
      <c r="JJ57" s="18" t="n"/>
      <c r="JK57" s="18" t="n"/>
      <c r="JL57" s="18" t="n"/>
      <c r="JM57" s="18" t="n"/>
      <c r="JN57" s="18" t="n"/>
      <c r="JO57" s="18" t="n"/>
      <c r="JP57" s="18" t="n"/>
      <c r="JQ57" s="18" t="n"/>
      <c r="JR57" s="18" t="n"/>
      <c r="JS57" s="18" t="n"/>
      <c r="JT57" s="18" t="n"/>
      <c r="JU57" s="18" t="n"/>
      <c r="JV57" s="18" t="n"/>
      <c r="JW57" s="18" t="n"/>
      <c r="JX57" s="18" t="n"/>
      <c r="JY57" s="18" t="n"/>
      <c r="JZ57" s="18" t="n"/>
      <c r="KA57" s="18" t="n"/>
      <c r="KB57" s="18" t="n"/>
      <c r="KC57" s="18" t="n"/>
      <c r="KD57" s="18" t="n"/>
      <c r="KE57" s="18" t="n"/>
      <c r="KF57" s="18" t="n"/>
      <c r="KG57" s="18" t="n"/>
      <c r="KH57" s="18" t="n"/>
      <c r="KI57" s="18" t="n"/>
      <c r="KJ57" s="18" t="n"/>
      <c r="KK57" s="18" t="n"/>
      <c r="KL57" s="18" t="n"/>
      <c r="KM57" s="18" t="n"/>
      <c r="KN57" s="18" t="n"/>
      <c r="KO57" s="18" t="n"/>
      <c r="KP57" s="18" t="n"/>
      <c r="KQ57" s="18" t="n"/>
      <c r="KR57" s="18" t="n"/>
      <c r="KS57" s="18" t="n"/>
      <c r="KT57" s="18" t="n"/>
      <c r="KU57" s="18" t="n"/>
      <c r="KV57" s="18" t="n"/>
      <c r="KW57" s="18" t="n"/>
      <c r="KX57" s="18" t="n"/>
      <c r="KY57" s="18" t="n"/>
      <c r="KZ57" s="18" t="n"/>
      <c r="LA57" s="18" t="n"/>
      <c r="LB57" s="18" t="n"/>
      <c r="LC57" s="18" t="n"/>
      <c r="LD57" s="18" t="n"/>
      <c r="LE57" s="18" t="n"/>
      <c r="LF57" s="18" t="n"/>
      <c r="LG57" s="18" t="n"/>
      <c r="LH57" s="18" t="n"/>
      <c r="LI57" s="18" t="n"/>
      <c r="LJ57" s="18" t="n"/>
      <c r="LK57" s="18" t="n"/>
      <c r="LL57" s="18" t="n"/>
      <c r="LM57" s="18" t="n"/>
      <c r="LN57" s="18" t="n"/>
      <c r="LO57" s="18" t="n"/>
      <c r="LP57" s="18" t="n"/>
      <c r="LQ57" s="18" t="n"/>
      <c r="LR57" s="18" t="n"/>
      <c r="LS57" s="18" t="n"/>
      <c r="LT57" s="18" t="n"/>
      <c r="LU57" s="18" t="n"/>
      <c r="LV57" s="18" t="n"/>
      <c r="LW57" s="18" t="n"/>
      <c r="LX57" s="18" t="n"/>
      <c r="LY57" s="18" t="n"/>
      <c r="LZ57" s="18" t="n"/>
      <c r="MA57" s="18" t="n"/>
      <c r="MB57" s="18" t="n"/>
      <c r="MC57" s="18" t="n"/>
      <c r="MD57" s="18" t="n"/>
      <c r="ME57" s="18" t="n"/>
      <c r="MF57" s="18" t="n"/>
      <c r="MG57" s="18" t="n"/>
      <c r="MH57" s="18" t="n"/>
      <c r="MI57" s="18" t="n"/>
      <c r="MJ57" s="18" t="n"/>
      <c r="MK57" s="18" t="n"/>
      <c r="ML57" s="18" t="n"/>
      <c r="MM57" s="18" t="n"/>
      <c r="MN57" s="18" t="n"/>
      <c r="MO57" s="18" t="n"/>
      <c r="MP57" s="18" t="n"/>
      <c r="MQ57" s="18" t="n"/>
      <c r="MR57" s="18" t="n"/>
      <c r="MS57" s="18" t="n"/>
      <c r="MT57" s="18" t="n"/>
      <c r="MU57" s="18" t="n"/>
      <c r="MV57" s="18" t="n"/>
      <c r="MW57" s="18" t="n"/>
      <c r="MX57" s="18" t="n"/>
      <c r="MY57" s="18" t="n"/>
      <c r="MZ57" s="18" t="n"/>
      <c r="NA57" s="18" t="n"/>
      <c r="NB57" s="18" t="n"/>
      <c r="NC57" s="18" t="n"/>
      <c r="ND57" s="18" t="n"/>
      <c r="NE57" s="18" t="n"/>
      <c r="NF57" s="18" t="n"/>
      <c r="NG57" s="18" t="n"/>
      <c r="NH57" s="18" t="n"/>
      <c r="NI57" s="18" t="n"/>
      <c r="NJ57" s="18" t="n"/>
      <c r="NK57" s="18" t="n"/>
      <c r="NL57" s="18" t="n"/>
      <c r="NM57" s="18" t="n"/>
      <c r="NN57" s="18" t="n"/>
      <c r="NO57" s="18" t="n"/>
      <c r="NP57" s="18" t="n"/>
      <c r="NQ57" s="18" t="n"/>
      <c r="NR57" s="18" t="n"/>
      <c r="NS57" s="18" t="n"/>
      <c r="NT57" s="18" t="n"/>
      <c r="NU57" s="18" t="n"/>
      <c r="NV57" s="18" t="n"/>
      <c r="NW57" s="18" t="n"/>
      <c r="NX57" s="18" t="n"/>
      <c r="NY57" s="18" t="n"/>
      <c r="NZ57" s="18" t="n"/>
      <c r="OA57" s="18" t="n"/>
      <c r="OB57" s="18" t="n"/>
      <c r="OC57" s="18" t="n"/>
      <c r="OD57" s="18" t="n"/>
      <c r="OE57" s="18" t="n"/>
      <c r="OF57" s="18" t="n"/>
      <c r="OG57" s="18" t="n"/>
      <c r="OH57" s="18" t="n"/>
      <c r="OI57" s="18" t="n"/>
      <c r="OJ57" s="18" t="n"/>
      <c r="OK57" s="18" t="n"/>
      <c r="OL57" s="18" t="n"/>
      <c r="OM57" s="18" t="n"/>
      <c r="ON57" s="18" t="n"/>
      <c r="OO57" s="18" t="n"/>
      <c r="OP57" s="18" t="n"/>
      <c r="OQ57" s="18" t="n"/>
      <c r="OR57" s="18" t="n"/>
      <c r="OS57" s="18" t="n"/>
      <c r="OT57" s="18" t="n"/>
      <c r="OU57" s="18" t="n"/>
      <c r="OV57" s="18" t="n"/>
      <c r="OW57" s="18" t="n"/>
      <c r="OX57" s="18" t="n"/>
      <c r="OY57" s="18" t="n"/>
      <c r="OZ57" s="18" t="n"/>
      <c r="PA57" s="18" t="n"/>
      <c r="PB57" s="18" t="n"/>
      <c r="PC57" s="18" t="n"/>
      <c r="PD57" s="18" t="n"/>
      <c r="PE57" s="18" t="n"/>
      <c r="PF57" s="18" t="n"/>
      <c r="PG57" s="18" t="n"/>
      <c r="PH57" s="18" t="n"/>
      <c r="PI57" s="18" t="n"/>
      <c r="PJ57" s="18" t="n"/>
      <c r="PK57" s="18" t="n"/>
      <c r="PL57" s="18" t="n"/>
      <c r="PM57" s="18" t="n"/>
      <c r="PN57" s="18" t="n"/>
      <c r="PO57" s="18" t="n"/>
      <c r="PP57" s="18" t="n"/>
      <c r="PQ57" s="18" t="n"/>
      <c r="PR57" s="18" t="n"/>
      <c r="PS57" s="18" t="n"/>
      <c r="PT57" s="18" t="n"/>
      <c r="PU57" s="18" t="n"/>
      <c r="PV57" s="18" t="n"/>
      <c r="PW57" s="18" t="n"/>
      <c r="PX57" s="18" t="n"/>
      <c r="PY57" s="18" t="n"/>
      <c r="PZ57" s="18" t="n"/>
      <c r="QA57" s="18" t="n"/>
      <c r="QB57" s="18" t="n"/>
      <c r="QC57" s="18" t="n"/>
      <c r="QD57" s="18" t="n"/>
      <c r="QE57" s="18" t="n"/>
    </row>
    <row r="58" ht="17.4" customHeight="1" s="8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8" t="n"/>
      <c r="BA58" s="18" t="n"/>
      <c r="BB58" s="18" t="n"/>
      <c r="BC58" s="18" t="n"/>
      <c r="BD58" s="18" t="n"/>
      <c r="BE58" s="18" t="n"/>
      <c r="BF58" s="18" t="n"/>
      <c r="BG58" s="18" t="n"/>
      <c r="BH58" s="18" t="n"/>
      <c r="BI58" s="18" t="n"/>
      <c r="BJ58" s="18" t="n"/>
      <c r="BK58" s="18" t="n"/>
      <c r="BL58" s="18" t="n"/>
      <c r="BM58" s="18" t="n"/>
      <c r="BN58" s="18" t="n"/>
      <c r="BO58" s="18" t="n"/>
      <c r="BP58" s="18" t="n"/>
      <c r="BQ58" s="18" t="n"/>
      <c r="BR58" s="18" t="n"/>
      <c r="BS58" s="18" t="n"/>
      <c r="BT58" s="18" t="n"/>
      <c r="BU58" s="18" t="n"/>
      <c r="BV58" s="18" t="n"/>
      <c r="BW58" s="18" t="n"/>
      <c r="BX58" s="18" t="n"/>
      <c r="BY58" s="18" t="n"/>
      <c r="BZ58" s="18" t="n"/>
      <c r="CA58" s="18" t="n"/>
      <c r="CB58" s="18" t="n"/>
      <c r="CC58" s="18" t="n"/>
      <c r="CD58" s="18" t="n"/>
      <c r="CE58" s="18" t="n"/>
      <c r="CF58" s="18" t="n"/>
      <c r="CG58" s="18" t="n"/>
      <c r="CH58" s="18" t="n"/>
      <c r="CI58" s="18" t="n"/>
      <c r="CJ58" s="18" t="n"/>
      <c r="CK58" s="18" t="n"/>
      <c r="CL58" s="18" t="n"/>
      <c r="CM58" s="18" t="n"/>
      <c r="CN58" s="18" t="n"/>
      <c r="CO58" s="18" t="n"/>
      <c r="CP58" s="18" t="n"/>
      <c r="CQ58" s="18" t="n"/>
      <c r="CR58" s="18" t="n"/>
      <c r="CS58" s="18" t="n"/>
      <c r="CT58" s="18" t="n"/>
      <c r="CU58" s="18" t="n"/>
      <c r="CV58" s="18" t="n"/>
      <c r="CW58" s="18" t="n"/>
      <c r="CX58" s="18" t="n"/>
      <c r="CY58" s="18" t="n"/>
      <c r="CZ58" s="18" t="n"/>
      <c r="DA58" s="18" t="n"/>
      <c r="DB58" s="18" t="n"/>
      <c r="DC58" s="18" t="n"/>
      <c r="DD58" s="18" t="n"/>
      <c r="DE58" s="18" t="n"/>
      <c r="DF58" s="18" t="n"/>
      <c r="DG58" s="18" t="n"/>
      <c r="DH58" s="18" t="n"/>
      <c r="DI58" s="18" t="n"/>
      <c r="DJ58" s="18" t="n"/>
      <c r="DK58" s="18" t="n"/>
      <c r="DL58" s="18" t="n"/>
      <c r="DM58" s="18" t="n"/>
      <c r="DN58" s="18" t="n"/>
      <c r="DO58" s="18" t="n"/>
      <c r="DP58" s="18" t="n"/>
      <c r="DQ58" s="18" t="n"/>
      <c r="DR58" s="18" t="n"/>
      <c r="DS58" s="18" t="n"/>
      <c r="DT58" s="18" t="n"/>
      <c r="DU58" s="18" t="n"/>
      <c r="DV58" s="18" t="n"/>
      <c r="DW58" s="18" t="n"/>
      <c r="DX58" s="18" t="n"/>
      <c r="DY58" s="18" t="n"/>
      <c r="DZ58" s="18" t="n"/>
      <c r="EA58" s="18" t="n"/>
      <c r="EB58" s="18" t="n"/>
      <c r="EC58" s="18" t="n"/>
      <c r="ED58" s="18" t="n"/>
      <c r="EE58" s="18" t="n"/>
      <c r="EF58" s="18" t="n"/>
      <c r="EG58" s="18" t="n"/>
      <c r="EH58" s="18" t="n"/>
      <c r="EI58" s="18" t="n"/>
      <c r="EJ58" s="18" t="n"/>
      <c r="EK58" s="18" t="n"/>
      <c r="EL58" s="18" t="n"/>
      <c r="EM58" s="18" t="n"/>
      <c r="EN58" s="18" t="n"/>
      <c r="EO58" s="18" t="n"/>
      <c r="EP58" s="18" t="n"/>
      <c r="EQ58" s="18" t="n"/>
      <c r="ER58" s="18" t="n"/>
      <c r="ES58" s="18" t="n"/>
      <c r="ET58" s="18" t="n"/>
      <c r="EU58" s="18" t="n"/>
      <c r="EV58" s="18" t="n"/>
      <c r="EW58" s="18" t="n"/>
      <c r="EX58" s="18" t="n"/>
      <c r="EY58" s="18" t="n"/>
      <c r="EZ58" s="18" t="n"/>
      <c r="FA58" s="18" t="n"/>
      <c r="FB58" s="18" t="n"/>
      <c r="FC58" s="18" t="n"/>
      <c r="FD58" s="18" t="n"/>
      <c r="FE58" s="18" t="n"/>
      <c r="FF58" s="18" t="n"/>
      <c r="FG58" s="18" t="n"/>
      <c r="FH58" s="18" t="n"/>
      <c r="FI58" s="18" t="n"/>
      <c r="FJ58" s="18" t="n"/>
      <c r="FK58" s="18" t="n"/>
      <c r="FL58" s="18" t="n"/>
      <c r="FM58" s="18" t="n"/>
      <c r="FN58" s="18" t="n"/>
      <c r="FO58" s="18" t="n"/>
      <c r="FP58" s="18" t="n"/>
      <c r="FQ58" s="18" t="n"/>
      <c r="FR58" s="18" t="n"/>
      <c r="FS58" s="18" t="n"/>
      <c r="FT58" s="18" t="n"/>
      <c r="FU58" s="18" t="n"/>
      <c r="FV58" s="18" t="n"/>
      <c r="FW58" s="18" t="n"/>
      <c r="FX58" s="18" t="n"/>
      <c r="FY58" s="18" t="n"/>
      <c r="FZ58" s="18" t="n"/>
      <c r="GA58" s="18" t="n"/>
      <c r="GB58" s="18" t="n"/>
      <c r="GC58" s="18" t="n"/>
      <c r="GD58" s="18" t="n"/>
      <c r="GE58" s="18" t="n"/>
      <c r="GF58" s="18" t="n"/>
      <c r="GG58" s="18" t="n"/>
      <c r="GH58" s="18" t="n"/>
      <c r="GI58" s="18" t="n"/>
      <c r="GJ58" s="18" t="n"/>
      <c r="GK58" s="18" t="n"/>
      <c r="GL58" s="18" t="n"/>
      <c r="GM58" s="18" t="n"/>
      <c r="GN58" s="18" t="n"/>
      <c r="GO58" s="18" t="n"/>
      <c r="GP58" s="18" t="n"/>
      <c r="GQ58" s="18" t="n"/>
      <c r="GR58" s="18" t="n"/>
      <c r="GS58" s="18" t="n"/>
      <c r="GT58" s="18" t="n"/>
      <c r="GU58" s="18" t="n"/>
      <c r="GV58" s="18" t="n"/>
      <c r="GW58" s="18" t="n"/>
      <c r="GX58" s="18" t="n"/>
      <c r="GY58" s="18" t="n"/>
      <c r="GZ58" s="18" t="n"/>
      <c r="HA58" s="18" t="n"/>
      <c r="HB58" s="18" t="n"/>
      <c r="HC58" s="18" t="n"/>
      <c r="HD58" s="18" t="n"/>
      <c r="HE58" s="18" t="n"/>
      <c r="HF58" s="18" t="n"/>
      <c r="HG58" s="18" t="n"/>
      <c r="HH58" s="18" t="n"/>
      <c r="HI58" s="18" t="n"/>
      <c r="HJ58" s="18" t="n"/>
      <c r="HK58" s="18" t="n"/>
      <c r="HL58" s="18" t="n"/>
      <c r="HM58" s="18" t="n"/>
      <c r="HN58" s="18" t="n"/>
      <c r="HO58" s="18" t="n"/>
      <c r="HP58" s="18" t="n"/>
      <c r="HQ58" s="18" t="n"/>
      <c r="HR58" s="18" t="n"/>
      <c r="HS58" s="18" t="n"/>
      <c r="HT58" s="18" t="n"/>
      <c r="HU58" s="18" t="n"/>
      <c r="HV58" s="18" t="n"/>
      <c r="HW58" s="18" t="n"/>
      <c r="HX58" s="18" t="n"/>
      <c r="HY58" s="18" t="n"/>
      <c r="HZ58" s="18" t="n"/>
      <c r="IA58" s="18" t="n"/>
      <c r="IB58" s="18" t="n"/>
      <c r="IC58" s="18" t="n"/>
      <c r="ID58" s="18" t="n"/>
      <c r="IE58" s="18" t="n"/>
      <c r="IF58" s="18" t="n"/>
      <c r="IG58" s="18" t="n"/>
      <c r="IH58" s="18" t="n"/>
      <c r="II58" s="18" t="n"/>
      <c r="IJ58" s="18" t="n"/>
      <c r="IK58" s="18" t="n"/>
      <c r="IL58" s="18" t="n"/>
      <c r="IM58" s="18" t="n"/>
      <c r="IN58" s="18" t="n"/>
      <c r="IO58" s="18" t="n"/>
      <c r="IP58" s="18" t="n"/>
      <c r="IQ58" s="18" t="n"/>
      <c r="IR58" s="18" t="n"/>
      <c r="IS58" s="18" t="n"/>
      <c r="IT58" s="18" t="n"/>
      <c r="IU58" s="18" t="n"/>
      <c r="IV58" s="18" t="n"/>
      <c r="IW58" s="18" t="n"/>
      <c r="IX58" s="18" t="n"/>
      <c r="IY58" s="18" t="n"/>
      <c r="IZ58" s="18" t="n"/>
      <c r="JA58" s="18" t="n"/>
      <c r="JB58" s="18" t="n"/>
      <c r="JC58" s="18" t="n"/>
      <c r="JD58" s="18" t="n"/>
      <c r="JE58" s="18" t="n"/>
      <c r="JF58" s="18" t="n"/>
      <c r="JG58" s="18" t="n"/>
      <c r="JH58" s="18" t="n"/>
      <c r="JI58" s="18" t="n"/>
      <c r="JJ58" s="18" t="n"/>
      <c r="JK58" s="18" t="n"/>
      <c r="JL58" s="18" t="n"/>
      <c r="JM58" s="18" t="n"/>
      <c r="JN58" s="18" t="n"/>
      <c r="JO58" s="18" t="n"/>
      <c r="JP58" s="18" t="n"/>
      <c r="JQ58" s="18" t="n"/>
      <c r="JR58" s="18" t="n"/>
      <c r="JS58" s="18" t="n"/>
      <c r="JT58" s="18" t="n"/>
      <c r="JU58" s="18" t="n"/>
      <c r="JV58" s="18" t="n"/>
      <c r="JW58" s="18" t="n"/>
      <c r="JX58" s="18" t="n"/>
      <c r="JY58" s="18" t="n"/>
      <c r="JZ58" s="18" t="n"/>
      <c r="KA58" s="18" t="n"/>
      <c r="KB58" s="18" t="n"/>
      <c r="KC58" s="18" t="n"/>
      <c r="KD58" s="18" t="n"/>
      <c r="KE58" s="18" t="n"/>
      <c r="KF58" s="18" t="n"/>
      <c r="KG58" s="18" t="n"/>
      <c r="KH58" s="18" t="n"/>
      <c r="KI58" s="18" t="n"/>
      <c r="KJ58" s="18" t="n"/>
      <c r="KK58" s="18" t="n"/>
      <c r="KL58" s="18" t="n"/>
      <c r="KM58" s="18" t="n"/>
      <c r="KN58" s="18" t="n"/>
      <c r="KO58" s="18" t="n"/>
      <c r="KP58" s="18" t="n"/>
      <c r="KQ58" s="18" t="n"/>
      <c r="KR58" s="18" t="n"/>
      <c r="KS58" s="18" t="n"/>
      <c r="KT58" s="18" t="n"/>
      <c r="KU58" s="18" t="n"/>
      <c r="KV58" s="18" t="n"/>
      <c r="KW58" s="18" t="n"/>
      <c r="KX58" s="18" t="n"/>
      <c r="KY58" s="18" t="n"/>
      <c r="KZ58" s="18" t="n"/>
      <c r="LA58" s="18" t="n"/>
      <c r="LB58" s="18" t="n"/>
      <c r="LC58" s="18" t="n"/>
      <c r="LD58" s="18" t="n"/>
      <c r="LE58" s="18" t="n"/>
      <c r="LF58" s="18" t="n"/>
      <c r="LG58" s="18" t="n"/>
      <c r="LH58" s="18" t="n"/>
      <c r="LI58" s="18" t="n"/>
      <c r="LJ58" s="18" t="n"/>
      <c r="LK58" s="18" t="n"/>
      <c r="LL58" s="18" t="n"/>
      <c r="LM58" s="18" t="n"/>
      <c r="LN58" s="18" t="n"/>
      <c r="LO58" s="18" t="n"/>
      <c r="LP58" s="18" t="n"/>
      <c r="LQ58" s="18" t="n"/>
      <c r="LR58" s="18" t="n"/>
      <c r="LS58" s="18" t="n"/>
      <c r="LT58" s="18" t="n"/>
      <c r="LU58" s="18" t="n"/>
      <c r="LV58" s="18" t="n"/>
      <c r="LW58" s="18" t="n"/>
      <c r="LX58" s="18" t="n"/>
      <c r="LY58" s="18" t="n"/>
      <c r="LZ58" s="18" t="n"/>
      <c r="MA58" s="18" t="n"/>
      <c r="MB58" s="18" t="n"/>
      <c r="MC58" s="18" t="n"/>
      <c r="MD58" s="18" t="n"/>
      <c r="ME58" s="18" t="n"/>
      <c r="MF58" s="18" t="n"/>
      <c r="MG58" s="18" t="n"/>
      <c r="MH58" s="18" t="n"/>
      <c r="MI58" s="18" t="n"/>
      <c r="MJ58" s="18" t="n"/>
      <c r="MK58" s="18" t="n"/>
      <c r="ML58" s="18" t="n"/>
      <c r="MM58" s="18" t="n"/>
      <c r="MN58" s="18" t="n"/>
      <c r="MO58" s="18" t="n"/>
      <c r="MP58" s="18" t="n"/>
      <c r="MQ58" s="18" t="n"/>
      <c r="MR58" s="18" t="n"/>
      <c r="MS58" s="18" t="n"/>
      <c r="MT58" s="18" t="n"/>
      <c r="MU58" s="18" t="n"/>
      <c r="MV58" s="18" t="n"/>
      <c r="MW58" s="18" t="n"/>
      <c r="MX58" s="18" t="n"/>
      <c r="MY58" s="18" t="n"/>
      <c r="MZ58" s="18" t="n"/>
      <c r="NA58" s="18" t="n"/>
      <c r="NB58" s="18" t="n"/>
      <c r="NC58" s="18" t="n"/>
      <c r="ND58" s="18" t="n"/>
      <c r="NE58" s="18" t="n"/>
      <c r="NF58" s="18" t="n"/>
      <c r="NG58" s="18" t="n"/>
      <c r="NH58" s="18" t="n"/>
      <c r="NI58" s="18" t="n"/>
      <c r="NJ58" s="18" t="n"/>
      <c r="NK58" s="18" t="n"/>
      <c r="NL58" s="18" t="n"/>
      <c r="NM58" s="18" t="n"/>
      <c r="NN58" s="18" t="n"/>
      <c r="NO58" s="18" t="n"/>
      <c r="NP58" s="18" t="n"/>
      <c r="NQ58" s="18" t="n"/>
      <c r="NR58" s="18" t="n"/>
      <c r="NS58" s="18" t="n"/>
      <c r="NT58" s="18" t="n"/>
      <c r="NU58" s="18" t="n"/>
      <c r="NV58" s="18" t="n"/>
      <c r="NW58" s="18" t="n"/>
      <c r="NX58" s="18" t="n"/>
      <c r="NY58" s="18" t="n"/>
      <c r="NZ58" s="18" t="n"/>
      <c r="OA58" s="18" t="n"/>
      <c r="OB58" s="18" t="n"/>
      <c r="OC58" s="18" t="n"/>
      <c r="OD58" s="18" t="n"/>
      <c r="OE58" s="18" t="n"/>
      <c r="OF58" s="18" t="n"/>
      <c r="OG58" s="18" t="n"/>
      <c r="OH58" s="18" t="n"/>
      <c r="OI58" s="18" t="n"/>
      <c r="OJ58" s="18" t="n"/>
      <c r="OK58" s="18" t="n"/>
      <c r="OL58" s="18" t="n"/>
      <c r="OM58" s="18" t="n"/>
      <c r="ON58" s="18" t="n"/>
      <c r="OO58" s="18" t="n"/>
      <c r="OP58" s="18" t="n"/>
      <c r="OQ58" s="18" t="n"/>
      <c r="OR58" s="18" t="n"/>
      <c r="OS58" s="18" t="n"/>
      <c r="OT58" s="18" t="n"/>
      <c r="OU58" s="18" t="n"/>
      <c r="OV58" s="18" t="n"/>
      <c r="OW58" s="18" t="n"/>
      <c r="OX58" s="18" t="n"/>
      <c r="OY58" s="18" t="n"/>
      <c r="OZ58" s="18" t="n"/>
      <c r="PA58" s="18" t="n"/>
      <c r="PB58" s="18" t="n"/>
      <c r="PC58" s="18" t="n"/>
      <c r="PD58" s="18" t="n"/>
      <c r="PE58" s="18" t="n"/>
      <c r="PF58" s="18" t="n"/>
      <c r="PG58" s="18" t="n"/>
      <c r="PH58" s="18" t="n"/>
      <c r="PI58" s="18" t="n"/>
      <c r="PJ58" s="18" t="n"/>
      <c r="PK58" s="18" t="n"/>
      <c r="PL58" s="18" t="n"/>
      <c r="PM58" s="18" t="n"/>
      <c r="PN58" s="18" t="n"/>
      <c r="PO58" s="18" t="n"/>
      <c r="PP58" s="18" t="n"/>
      <c r="PQ58" s="18" t="n"/>
      <c r="PR58" s="18" t="n"/>
      <c r="PS58" s="18" t="n"/>
      <c r="PT58" s="18" t="n"/>
      <c r="PU58" s="18" t="n"/>
      <c r="PV58" s="18" t="n"/>
      <c r="PW58" s="18" t="n"/>
      <c r="PX58" s="18" t="n"/>
      <c r="PY58" s="18" t="n"/>
      <c r="PZ58" s="18" t="n"/>
      <c r="QA58" s="18" t="n"/>
      <c r="QB58" s="18" t="n"/>
      <c r="QC58" s="18" t="n"/>
      <c r="QD58" s="18" t="n"/>
      <c r="QE58" s="18" t="n"/>
      <c r="QF58" s="18" t="n"/>
      <c r="QG58" s="18" t="n"/>
      <c r="QH58" s="18" t="n"/>
      <c r="QI58" s="18" t="n"/>
    </row>
    <row r="59" ht="17.4" customHeight="1" s="88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8" t="n"/>
      <c r="BA59" s="18" t="n"/>
      <c r="BB59" s="18" t="n"/>
      <c r="BC59" s="18" t="n"/>
      <c r="BD59" s="18" t="n"/>
      <c r="BE59" s="18" t="n"/>
      <c r="BF59" s="18" t="n"/>
      <c r="BG59" s="18" t="n"/>
      <c r="BH59" s="18" t="n"/>
      <c r="BI59" s="18" t="n"/>
      <c r="BJ59" s="18" t="n"/>
      <c r="BK59" s="18" t="n"/>
      <c r="BL59" s="18" t="n"/>
      <c r="BM59" s="18" t="n"/>
      <c r="BN59" s="18" t="n"/>
      <c r="BO59" s="18" t="n"/>
      <c r="BP59" s="18" t="n"/>
      <c r="BQ59" s="18" t="n"/>
      <c r="BR59" s="18" t="n"/>
      <c r="BS59" s="18" t="n"/>
      <c r="BT59" s="18" t="n"/>
      <c r="BU59" s="18" t="n"/>
      <c r="BV59" s="18" t="n"/>
      <c r="BW59" s="18" t="n"/>
      <c r="BX59" s="18" t="n"/>
      <c r="BY59" s="18" t="n"/>
      <c r="BZ59" s="18" t="n"/>
      <c r="CA59" s="18" t="n"/>
      <c r="CB59" s="18" t="n"/>
      <c r="CC59" s="18" t="n"/>
      <c r="CD59" s="18" t="n"/>
      <c r="CE59" s="18" t="n"/>
      <c r="CF59" s="18" t="n"/>
      <c r="CG59" s="18" t="n"/>
      <c r="CH59" s="18" t="n"/>
      <c r="CI59" s="18" t="n"/>
      <c r="CJ59" s="18" t="n"/>
      <c r="CK59" s="18" t="n"/>
      <c r="CL59" s="18" t="n"/>
      <c r="CM59" s="18" t="n"/>
      <c r="CN59" s="18" t="n"/>
      <c r="CO59" s="18" t="n"/>
      <c r="CP59" s="18" t="n"/>
      <c r="CQ59" s="18" t="n"/>
      <c r="CR59" s="18" t="n"/>
      <c r="CS59" s="18" t="n"/>
      <c r="CT59" s="18" t="n"/>
      <c r="CU59" s="18" t="n"/>
      <c r="CV59" s="18" t="n"/>
      <c r="CW59" s="18" t="n"/>
      <c r="CX59" s="18" t="n"/>
      <c r="CY59" s="18" t="n"/>
      <c r="CZ59" s="18" t="n"/>
      <c r="DA59" s="18" t="n"/>
      <c r="DB59" s="18" t="n"/>
      <c r="DC59" s="18" t="n"/>
      <c r="DD59" s="18" t="n"/>
      <c r="DE59" s="18" t="n"/>
      <c r="DF59" s="18" t="n"/>
      <c r="DG59" s="18" t="n"/>
      <c r="DH59" s="18" t="n"/>
      <c r="DI59" s="18" t="n"/>
      <c r="DJ59" s="18" t="n"/>
      <c r="DK59" s="18" t="n"/>
      <c r="DL59" s="18" t="n"/>
      <c r="DM59" s="18" t="n"/>
      <c r="DN59" s="18" t="n"/>
      <c r="DO59" s="18" t="n"/>
      <c r="DP59" s="18" t="n"/>
      <c r="DQ59" s="18" t="n"/>
      <c r="DR59" s="18" t="n"/>
      <c r="DS59" s="18" t="n"/>
      <c r="DT59" s="18" t="n"/>
      <c r="DU59" s="18" t="n"/>
      <c r="DV59" s="18" t="n"/>
      <c r="DW59" s="18" t="n"/>
      <c r="DX59" s="18" t="n"/>
      <c r="DY59" s="18" t="n"/>
      <c r="DZ59" s="18" t="n"/>
      <c r="EA59" s="18" t="n"/>
      <c r="EB59" s="18" t="n"/>
      <c r="EC59" s="18" t="n"/>
      <c r="ED59" s="18" t="n"/>
      <c r="EE59" s="18" t="n"/>
      <c r="EF59" s="18" t="n"/>
      <c r="EG59" s="18" t="n"/>
      <c r="EH59" s="18" t="n"/>
      <c r="EI59" s="18" t="n"/>
      <c r="EJ59" s="18" t="n"/>
      <c r="EK59" s="18" t="n"/>
      <c r="EL59" s="18" t="n"/>
      <c r="EM59" s="18" t="n"/>
      <c r="EN59" s="18" t="n"/>
      <c r="EO59" s="18" t="n"/>
      <c r="EP59" s="18" t="n"/>
      <c r="EQ59" s="18" t="n"/>
      <c r="ER59" s="18" t="n"/>
      <c r="ES59" s="18" t="n"/>
      <c r="ET59" s="18" t="n"/>
      <c r="EU59" s="18" t="n"/>
      <c r="EV59" s="18" t="n"/>
      <c r="EW59" s="18" t="n"/>
      <c r="EX59" s="18" t="n"/>
      <c r="EY59" s="18" t="n"/>
      <c r="EZ59" s="18" t="n"/>
      <c r="FA59" s="18" t="n"/>
      <c r="FB59" s="18" t="n"/>
      <c r="FC59" s="18" t="n"/>
      <c r="FD59" s="18" t="n"/>
      <c r="FE59" s="18" t="n"/>
      <c r="FF59" s="18" t="n"/>
      <c r="FG59" s="18" t="n"/>
      <c r="FH59" s="18" t="n"/>
      <c r="FI59" s="18" t="n"/>
      <c r="FJ59" s="18" t="n"/>
      <c r="FK59" s="18" t="n"/>
      <c r="FL59" s="18" t="n"/>
      <c r="FM59" s="18" t="n"/>
      <c r="FN59" s="18" t="n"/>
      <c r="FO59" s="18" t="n"/>
      <c r="FP59" s="18" t="n"/>
      <c r="FQ59" s="18" t="n"/>
      <c r="FR59" s="18" t="n"/>
      <c r="FS59" s="18" t="n"/>
      <c r="FT59" s="18" t="n"/>
      <c r="FU59" s="18" t="n"/>
      <c r="FV59" s="18" t="n"/>
      <c r="FW59" s="18" t="n"/>
      <c r="FX59" s="18" t="n"/>
      <c r="FY59" s="18" t="n"/>
      <c r="FZ59" s="18" t="n"/>
      <c r="GA59" s="18" t="n"/>
      <c r="GB59" s="18" t="n"/>
      <c r="GC59" s="18" t="n"/>
      <c r="GD59" s="18" t="n"/>
      <c r="GE59" s="18" t="n"/>
      <c r="GF59" s="18" t="n"/>
      <c r="GG59" s="18" t="n"/>
      <c r="GH59" s="18" t="n"/>
      <c r="GI59" s="18" t="n"/>
      <c r="GJ59" s="18" t="n"/>
      <c r="GK59" s="18" t="n"/>
      <c r="GL59" s="18" t="n"/>
      <c r="GM59" s="18" t="n"/>
      <c r="GN59" s="18" t="n"/>
      <c r="GO59" s="18" t="n"/>
      <c r="GP59" s="18" t="n"/>
      <c r="GQ59" s="18" t="n"/>
      <c r="GR59" s="18" t="n"/>
      <c r="GS59" s="18" t="n"/>
      <c r="GT59" s="18" t="n"/>
      <c r="GU59" s="18" t="n"/>
      <c r="GV59" s="18" t="n"/>
      <c r="GW59" s="18" t="n"/>
      <c r="GX59" s="18" t="n"/>
      <c r="GY59" s="18" t="n"/>
      <c r="GZ59" s="18" t="n"/>
      <c r="HA59" s="18" t="n"/>
      <c r="HB59" s="18" t="n"/>
      <c r="HC59" s="18" t="n"/>
      <c r="HD59" s="18" t="n"/>
      <c r="HE59" s="18" t="n"/>
      <c r="HF59" s="18" t="n"/>
      <c r="HG59" s="18" t="n"/>
      <c r="HH59" s="18" t="n"/>
      <c r="HI59" s="18" t="n"/>
      <c r="HJ59" s="18" t="n"/>
      <c r="HK59" s="18" t="n"/>
      <c r="HL59" s="18" t="n"/>
      <c r="HM59" s="18" t="n"/>
      <c r="HN59" s="18" t="n"/>
      <c r="HO59" s="18" t="n"/>
      <c r="HP59" s="18" t="n"/>
      <c r="HQ59" s="18" t="n"/>
      <c r="HR59" s="18" t="n"/>
      <c r="HS59" s="18" t="n"/>
      <c r="HT59" s="18" t="n"/>
      <c r="HU59" s="18" t="n"/>
      <c r="HV59" s="18" t="n"/>
      <c r="HW59" s="18" t="n"/>
      <c r="HX59" s="18" t="n"/>
      <c r="HY59" s="18" t="n"/>
      <c r="HZ59" s="18" t="n"/>
      <c r="IA59" s="18" t="n"/>
      <c r="IB59" s="18" t="n"/>
      <c r="IC59" s="18" t="n"/>
      <c r="ID59" s="18" t="n"/>
      <c r="IE59" s="18" t="n"/>
      <c r="IF59" s="18" t="n"/>
      <c r="IG59" s="18" t="n"/>
      <c r="IH59" s="18" t="n"/>
      <c r="II59" s="18" t="n"/>
      <c r="IJ59" s="18" t="n"/>
      <c r="IK59" s="18" t="n"/>
      <c r="IL59" s="18" t="n"/>
      <c r="IM59" s="18" t="n"/>
      <c r="IN59" s="18" t="n"/>
      <c r="IO59" s="18" t="n"/>
      <c r="IP59" s="18" t="n"/>
      <c r="IQ59" s="18" t="n"/>
      <c r="IR59" s="18" t="n"/>
      <c r="IS59" s="18" t="n"/>
      <c r="IT59" s="18" t="n"/>
      <c r="IU59" s="18" t="n"/>
      <c r="IV59" s="18" t="n"/>
      <c r="IW59" s="18" t="n"/>
      <c r="IX59" s="18" t="n"/>
      <c r="IY59" s="18" t="n"/>
      <c r="IZ59" s="18" t="n"/>
      <c r="JA59" s="18" t="n"/>
      <c r="JB59" s="18" t="n"/>
      <c r="JC59" s="18" t="n"/>
      <c r="JD59" s="18" t="n"/>
      <c r="JE59" s="18" t="n"/>
      <c r="JF59" s="18" t="n"/>
      <c r="JG59" s="18" t="n"/>
      <c r="JH59" s="18" t="n"/>
      <c r="JI59" s="18" t="n"/>
      <c r="JJ59" s="18" t="n"/>
      <c r="JK59" s="18" t="n"/>
      <c r="JL59" s="18" t="n"/>
      <c r="JM59" s="18" t="n"/>
      <c r="JN59" s="18" t="n"/>
      <c r="JO59" s="18" t="n"/>
      <c r="JP59" s="18" t="n"/>
      <c r="JQ59" s="18" t="n"/>
      <c r="JR59" s="18" t="n"/>
      <c r="JS59" s="18" t="n"/>
      <c r="JT59" s="18" t="n"/>
      <c r="JU59" s="18" t="n"/>
      <c r="JV59" s="18" t="n"/>
      <c r="JW59" s="18" t="n"/>
      <c r="JX59" s="18" t="n"/>
      <c r="JY59" s="18" t="n"/>
      <c r="JZ59" s="18" t="n"/>
      <c r="KA59" s="18" t="n"/>
      <c r="KB59" s="18" t="n"/>
      <c r="KC59" s="18" t="n"/>
      <c r="KD59" s="18" t="n"/>
      <c r="KE59" s="18" t="n"/>
      <c r="KF59" s="18" t="n"/>
      <c r="KG59" s="18" t="n"/>
      <c r="KH59" s="18" t="n"/>
      <c r="KI59" s="18" t="n"/>
      <c r="KJ59" s="18" t="n"/>
      <c r="KK59" s="18" t="n"/>
      <c r="KL59" s="18" t="n"/>
      <c r="KM59" s="18" t="n"/>
      <c r="KN59" s="18" t="n"/>
      <c r="KO59" s="18" t="n"/>
      <c r="KP59" s="18" t="n"/>
      <c r="KQ59" s="18" t="n"/>
      <c r="KR59" s="18" t="n"/>
      <c r="KS59" s="18" t="n"/>
      <c r="KT59" s="18" t="n"/>
      <c r="KU59" s="18" t="n"/>
      <c r="KV59" s="18" t="n"/>
      <c r="KW59" s="18" t="n"/>
      <c r="KX59" s="18" t="n"/>
      <c r="KY59" s="18" t="n"/>
      <c r="KZ59" s="18" t="n"/>
      <c r="LA59" s="18" t="n"/>
      <c r="LB59" s="18" t="n"/>
      <c r="LC59" s="18" t="n"/>
      <c r="LD59" s="18" t="n"/>
      <c r="LE59" s="18" t="n"/>
      <c r="LF59" s="18" t="n"/>
      <c r="LG59" s="18" t="n"/>
      <c r="LH59" s="18" t="n"/>
      <c r="LI59" s="18" t="n"/>
      <c r="LJ59" s="18" t="n"/>
      <c r="LK59" s="18" t="n"/>
      <c r="LL59" s="18" t="n"/>
      <c r="LM59" s="18" t="n"/>
      <c r="LN59" s="18" t="n"/>
      <c r="LO59" s="18" t="n"/>
      <c r="LP59" s="18" t="n"/>
      <c r="LQ59" s="18" t="n"/>
      <c r="LR59" s="18" t="n"/>
      <c r="LS59" s="18" t="n"/>
      <c r="LT59" s="18" t="n"/>
      <c r="LU59" s="18" t="n"/>
      <c r="LV59" s="18" t="n"/>
      <c r="LW59" s="18" t="n"/>
      <c r="LX59" s="18" t="n"/>
      <c r="LY59" s="18" t="n"/>
      <c r="LZ59" s="18" t="n"/>
      <c r="MA59" s="18" t="n"/>
      <c r="MB59" s="18" t="n"/>
      <c r="MC59" s="18" t="n"/>
      <c r="MD59" s="18" t="n"/>
      <c r="ME59" s="18" t="n"/>
      <c r="MF59" s="18" t="n"/>
      <c r="MG59" s="18" t="n"/>
      <c r="MH59" s="18" t="n"/>
      <c r="MI59" s="18" t="n"/>
      <c r="MJ59" s="18" t="n"/>
      <c r="MK59" s="18" t="n"/>
      <c r="ML59" s="18" t="n"/>
      <c r="MM59" s="18" t="n"/>
      <c r="MN59" s="18" t="n"/>
      <c r="MO59" s="18" t="n"/>
      <c r="MP59" s="18" t="n"/>
      <c r="MQ59" s="18" t="n"/>
      <c r="MR59" s="18" t="n"/>
      <c r="MS59" s="18" t="n"/>
      <c r="MT59" s="18" t="n"/>
      <c r="MU59" s="18" t="n"/>
      <c r="MV59" s="18" t="n"/>
      <c r="MW59" s="18" t="n"/>
      <c r="MX59" s="18" t="n"/>
      <c r="MY59" s="18" t="n"/>
      <c r="MZ59" s="18" t="n"/>
      <c r="NA59" s="18" t="n"/>
      <c r="NB59" s="18" t="n"/>
      <c r="NC59" s="18" t="n"/>
      <c r="ND59" s="18" t="n"/>
      <c r="NE59" s="18" t="n"/>
      <c r="NF59" s="18" t="n"/>
      <c r="NG59" s="18" t="n"/>
      <c r="NH59" s="18" t="n"/>
      <c r="NI59" s="18" t="n"/>
      <c r="NJ59" s="18" t="n"/>
      <c r="NK59" s="18" t="n"/>
      <c r="NL59" s="18" t="n"/>
      <c r="NM59" s="18" t="n"/>
      <c r="NN59" s="18" t="n"/>
      <c r="NO59" s="18" t="n"/>
      <c r="NP59" s="18" t="n"/>
      <c r="NQ59" s="18" t="n"/>
      <c r="NR59" s="18" t="n"/>
      <c r="NS59" s="18" t="n"/>
      <c r="NT59" s="18" t="n"/>
      <c r="NU59" s="18" t="n"/>
      <c r="NV59" s="18" t="n"/>
      <c r="NW59" s="18" t="n"/>
      <c r="NX59" s="18" t="n"/>
      <c r="NY59" s="18" t="n"/>
      <c r="NZ59" s="18" t="n"/>
      <c r="OA59" s="18" t="n"/>
      <c r="OB59" s="18" t="n"/>
      <c r="OC59" s="18" t="n"/>
      <c r="OD59" s="18" t="n"/>
      <c r="OE59" s="18" t="n"/>
      <c r="OF59" s="18" t="n"/>
      <c r="OG59" s="18" t="n"/>
      <c r="OH59" s="18" t="n"/>
      <c r="OI59" s="18" t="n"/>
      <c r="OJ59" s="18" t="n"/>
      <c r="OK59" s="18" t="n"/>
      <c r="OL59" s="18" t="n"/>
      <c r="OM59" s="18" t="n"/>
      <c r="ON59" s="18" t="n"/>
      <c r="OO59" s="18" t="n"/>
      <c r="OP59" s="18" t="n"/>
      <c r="OQ59" s="18" t="n"/>
      <c r="OR59" s="18" t="n"/>
      <c r="OS59" s="18" t="n"/>
      <c r="OT59" s="18" t="n"/>
      <c r="OU59" s="18" t="n"/>
      <c r="OV59" s="18" t="n"/>
      <c r="OW59" s="18" t="n"/>
      <c r="OX59" s="18" t="n"/>
      <c r="OY59" s="18" t="n"/>
      <c r="OZ59" s="18" t="n"/>
      <c r="PA59" s="18" t="n"/>
      <c r="PB59" s="18" t="n"/>
      <c r="PC59" s="18" t="n"/>
      <c r="PD59" s="18" t="n"/>
      <c r="PE59" s="18" t="n"/>
      <c r="PF59" s="18" t="n"/>
      <c r="PG59" s="18" t="n"/>
      <c r="PH59" s="18" t="n"/>
      <c r="PI59" s="18" t="n"/>
      <c r="PJ59" s="18" t="n"/>
      <c r="PK59" s="18" t="n"/>
      <c r="PL59" s="18" t="n"/>
      <c r="PM59" s="18" t="n"/>
      <c r="PN59" s="18" t="n"/>
      <c r="PO59" s="18" t="n"/>
      <c r="PP59" s="18" t="n"/>
      <c r="PQ59" s="18" t="n"/>
      <c r="PR59" s="18" t="n"/>
      <c r="PS59" s="18" t="n"/>
      <c r="PT59" s="18" t="n"/>
      <c r="PU59" s="18" t="n"/>
      <c r="PV59" s="18" t="n"/>
      <c r="PW59" s="18" t="n"/>
      <c r="PX59" s="18" t="n"/>
      <c r="PY59" s="18" t="n"/>
      <c r="PZ59" s="18" t="n"/>
      <c r="QA59" s="18" t="n"/>
      <c r="QB59" s="18" t="n"/>
      <c r="QC59" s="18" t="n"/>
      <c r="QD59" s="18" t="n"/>
      <c r="QE59" s="18" t="n"/>
      <c r="QF59" s="18" t="n"/>
      <c r="QG59" s="18" t="n"/>
      <c r="QH59" s="18" t="n"/>
      <c r="QI59" s="18" t="n"/>
      <c r="QJ59" s="18" t="n"/>
      <c r="QK59" s="18" t="n"/>
      <c r="QL59" s="18" t="n"/>
      <c r="QM59" s="18" t="n"/>
    </row>
    <row r="60" ht="17.4" customHeight="1" s="88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8" t="n"/>
      <c r="BA60" s="18" t="n"/>
      <c r="BB60" s="18" t="n"/>
      <c r="BC60" s="18" t="n"/>
      <c r="BD60" s="18" t="n"/>
      <c r="BE60" s="18" t="n"/>
      <c r="BF60" s="18" t="n"/>
      <c r="BG60" s="18" t="n"/>
      <c r="BH60" s="18" t="n"/>
      <c r="BI60" s="18" t="n"/>
      <c r="BJ60" s="18" t="n"/>
      <c r="BK60" s="18" t="n"/>
      <c r="BL60" s="18" t="n"/>
      <c r="BM60" s="18" t="n"/>
      <c r="BN60" s="18" t="n"/>
      <c r="BO60" s="18" t="n"/>
      <c r="BP60" s="18" t="n"/>
      <c r="BQ60" s="18" t="n"/>
      <c r="BR60" s="18" t="n"/>
      <c r="BS60" s="18" t="n"/>
      <c r="BT60" s="18" t="n"/>
      <c r="BU60" s="18" t="n"/>
      <c r="BV60" s="18" t="n"/>
      <c r="BW60" s="18" t="n"/>
      <c r="BX60" s="18" t="n"/>
      <c r="BY60" s="18" t="n"/>
      <c r="BZ60" s="18" t="n"/>
      <c r="CA60" s="18" t="n"/>
      <c r="CB60" s="18" t="n"/>
      <c r="CC60" s="18" t="n"/>
      <c r="CD60" s="18" t="n"/>
      <c r="CE60" s="18" t="n"/>
      <c r="CF60" s="18" t="n"/>
      <c r="CG60" s="18" t="n"/>
      <c r="CH60" s="18" t="n"/>
      <c r="CI60" s="18" t="n"/>
      <c r="CJ60" s="18" t="n"/>
      <c r="CK60" s="18" t="n"/>
      <c r="CL60" s="18" t="n"/>
      <c r="CM60" s="18" t="n"/>
      <c r="CN60" s="18" t="n"/>
      <c r="CO60" s="18" t="n"/>
      <c r="CP60" s="18" t="n"/>
      <c r="CQ60" s="18" t="n"/>
      <c r="CR60" s="18" t="n"/>
      <c r="CS60" s="18" t="n"/>
      <c r="CT60" s="18" t="n"/>
      <c r="CU60" s="18" t="n"/>
      <c r="CV60" s="18" t="n"/>
      <c r="CW60" s="18" t="n"/>
      <c r="CX60" s="18" t="n"/>
      <c r="CY60" s="18" t="n"/>
      <c r="CZ60" s="18" t="n"/>
      <c r="DA60" s="18" t="n"/>
      <c r="DB60" s="18" t="n"/>
      <c r="DC60" s="18" t="n"/>
      <c r="DD60" s="18" t="n"/>
      <c r="DE60" s="18" t="n"/>
      <c r="DF60" s="18" t="n"/>
      <c r="DG60" s="18" t="n"/>
      <c r="DH60" s="18" t="n"/>
      <c r="DI60" s="18" t="n"/>
      <c r="DJ60" s="18" t="n"/>
      <c r="DK60" s="18" t="n"/>
      <c r="DL60" s="18" t="n"/>
      <c r="DM60" s="18" t="n"/>
      <c r="DN60" s="18" t="n"/>
      <c r="DO60" s="18" t="n"/>
      <c r="DP60" s="18" t="n"/>
      <c r="DQ60" s="18" t="n"/>
      <c r="DR60" s="18" t="n"/>
      <c r="DS60" s="18" t="n"/>
      <c r="DT60" s="18" t="n"/>
      <c r="DU60" s="18" t="n"/>
      <c r="DV60" s="18" t="n"/>
      <c r="DW60" s="18" t="n"/>
      <c r="DX60" s="18" t="n"/>
      <c r="DY60" s="18" t="n"/>
      <c r="DZ60" s="18" t="n"/>
      <c r="EA60" s="18" t="n"/>
      <c r="EB60" s="18" t="n"/>
      <c r="EC60" s="18" t="n"/>
      <c r="ED60" s="18" t="n"/>
      <c r="EE60" s="18" t="n"/>
      <c r="EF60" s="18" t="n"/>
      <c r="EG60" s="18" t="n"/>
      <c r="EH60" s="18" t="n"/>
      <c r="EI60" s="18" t="n"/>
      <c r="EJ60" s="18" t="n"/>
      <c r="EK60" s="18" t="n"/>
      <c r="EL60" s="18" t="n"/>
      <c r="EM60" s="18" t="n"/>
      <c r="EN60" s="18" t="n"/>
      <c r="EO60" s="18" t="n"/>
      <c r="EP60" s="18" t="n"/>
      <c r="EQ60" s="18" t="n"/>
      <c r="ER60" s="18" t="n"/>
      <c r="ES60" s="18" t="n"/>
      <c r="ET60" s="18" t="n"/>
      <c r="EU60" s="18" t="n"/>
      <c r="EV60" s="18" t="n"/>
      <c r="EW60" s="18" t="n"/>
      <c r="EX60" s="18" t="n"/>
      <c r="EY60" s="18" t="n"/>
      <c r="EZ60" s="18" t="n"/>
      <c r="FA60" s="18" t="n"/>
      <c r="FB60" s="18" t="n"/>
      <c r="FC60" s="18" t="n"/>
      <c r="FD60" s="18" t="n"/>
      <c r="FE60" s="18" t="n"/>
      <c r="FF60" s="18" t="n"/>
      <c r="FG60" s="18" t="n"/>
      <c r="FH60" s="18" t="n"/>
      <c r="FI60" s="18" t="n"/>
      <c r="FJ60" s="18" t="n"/>
      <c r="FK60" s="18" t="n"/>
      <c r="FL60" s="18" t="n"/>
      <c r="FM60" s="18" t="n"/>
      <c r="FN60" s="18" t="n"/>
      <c r="FO60" s="18" t="n"/>
      <c r="FP60" s="18" t="n"/>
      <c r="FQ60" s="18" t="n"/>
      <c r="FR60" s="18" t="n"/>
      <c r="FS60" s="18" t="n"/>
      <c r="FT60" s="18" t="n"/>
      <c r="FU60" s="18" t="n"/>
      <c r="FV60" s="18" t="n"/>
      <c r="FW60" s="18" t="n"/>
      <c r="FX60" s="18" t="n"/>
      <c r="FY60" s="18" t="n"/>
      <c r="FZ60" s="18" t="n"/>
      <c r="GA60" s="18" t="n"/>
      <c r="GB60" s="18" t="n"/>
      <c r="GC60" s="18" t="n"/>
      <c r="GD60" s="18" t="n"/>
      <c r="GE60" s="18" t="n"/>
      <c r="GF60" s="18" t="n"/>
      <c r="GG60" s="18" t="n"/>
      <c r="GH60" s="18" t="n"/>
      <c r="GI60" s="18" t="n"/>
      <c r="GJ60" s="18" t="n"/>
      <c r="GK60" s="18" t="n"/>
      <c r="GL60" s="18" t="n"/>
      <c r="GM60" s="18" t="n"/>
      <c r="GN60" s="18" t="n"/>
      <c r="GO60" s="18" t="n"/>
      <c r="GP60" s="18" t="n"/>
      <c r="GQ60" s="18" t="n"/>
      <c r="GR60" s="18" t="n"/>
      <c r="GS60" s="18" t="n"/>
      <c r="GT60" s="18" t="n"/>
      <c r="GU60" s="18" t="n"/>
      <c r="GV60" s="18" t="n"/>
      <c r="GW60" s="18" t="n"/>
      <c r="GX60" s="18" t="n"/>
      <c r="GY60" s="18" t="n"/>
      <c r="GZ60" s="18" t="n"/>
      <c r="HA60" s="18" t="n"/>
      <c r="HB60" s="18" t="n"/>
      <c r="HC60" s="18" t="n"/>
      <c r="HD60" s="18" t="n"/>
      <c r="HE60" s="18" t="n"/>
      <c r="HF60" s="18" t="n"/>
      <c r="HG60" s="18" t="n"/>
      <c r="HH60" s="18" t="n"/>
      <c r="HI60" s="18" t="n"/>
      <c r="HJ60" s="18" t="n"/>
      <c r="HK60" s="18" t="n"/>
      <c r="HL60" s="18" t="n"/>
      <c r="HM60" s="18" t="n"/>
      <c r="HN60" s="18" t="n"/>
      <c r="HO60" s="18" t="n"/>
      <c r="HP60" s="18" t="n"/>
      <c r="HQ60" s="18" t="n"/>
      <c r="HR60" s="18" t="n"/>
      <c r="HS60" s="18" t="n"/>
      <c r="HT60" s="18" t="n"/>
      <c r="HU60" s="18" t="n"/>
      <c r="HV60" s="18" t="n"/>
      <c r="HW60" s="18" t="n"/>
      <c r="HX60" s="18" t="n"/>
      <c r="HY60" s="18" t="n"/>
      <c r="HZ60" s="18" t="n"/>
      <c r="IA60" s="18" t="n"/>
      <c r="IB60" s="18" t="n"/>
      <c r="IC60" s="18" t="n"/>
      <c r="ID60" s="18" t="n"/>
      <c r="IE60" s="18" t="n"/>
      <c r="IF60" s="18" t="n"/>
      <c r="IG60" s="18" t="n"/>
      <c r="IH60" s="18" t="n"/>
      <c r="II60" s="18" t="n"/>
      <c r="IJ60" s="18" t="n"/>
      <c r="IK60" s="18" t="n"/>
      <c r="IL60" s="18" t="n"/>
      <c r="IM60" s="18" t="n"/>
      <c r="IN60" s="18" t="n"/>
      <c r="IO60" s="18" t="n"/>
      <c r="IP60" s="18" t="n"/>
      <c r="IQ60" s="18" t="n"/>
      <c r="IR60" s="18" t="n"/>
      <c r="IS60" s="18" t="n"/>
      <c r="IT60" s="18" t="n"/>
      <c r="IU60" s="18" t="n"/>
      <c r="IV60" s="18" t="n"/>
      <c r="IW60" s="18" t="n"/>
      <c r="IX60" s="18" t="n"/>
      <c r="IY60" s="18" t="n"/>
      <c r="IZ60" s="18" t="n"/>
      <c r="JA60" s="18" t="n"/>
      <c r="JB60" s="18" t="n"/>
      <c r="JC60" s="18" t="n"/>
      <c r="JD60" s="18" t="n"/>
      <c r="JE60" s="18" t="n"/>
      <c r="JF60" s="18" t="n"/>
      <c r="JG60" s="18" t="n"/>
      <c r="JH60" s="18" t="n"/>
      <c r="JI60" s="18" t="n"/>
      <c r="JJ60" s="18" t="n"/>
      <c r="JK60" s="18" t="n"/>
      <c r="JL60" s="18" t="n"/>
      <c r="JM60" s="18" t="n"/>
      <c r="JN60" s="18" t="n"/>
      <c r="JO60" s="18" t="n"/>
      <c r="JP60" s="18" t="n"/>
      <c r="JQ60" s="18" t="n"/>
      <c r="JR60" s="18" t="n"/>
      <c r="JS60" s="18" t="n"/>
      <c r="JT60" s="18" t="n"/>
      <c r="JU60" s="18" t="n"/>
      <c r="JV60" s="18" t="n"/>
      <c r="JW60" s="18" t="n"/>
      <c r="JX60" s="18" t="n"/>
      <c r="JY60" s="18" t="n"/>
      <c r="JZ60" s="18" t="n"/>
      <c r="KA60" s="18" t="n"/>
      <c r="KB60" s="18" t="n"/>
      <c r="KC60" s="18" t="n"/>
      <c r="KD60" s="18" t="n"/>
      <c r="KE60" s="18" t="n"/>
      <c r="KF60" s="18" t="n"/>
      <c r="KG60" s="18" t="n"/>
      <c r="KH60" s="18" t="n"/>
      <c r="KI60" s="18" t="n"/>
      <c r="KJ60" s="18" t="n"/>
      <c r="KK60" s="18" t="n"/>
      <c r="KL60" s="18" t="n"/>
      <c r="KM60" s="18" t="n"/>
      <c r="KN60" s="18" t="n"/>
      <c r="KO60" s="18" t="n"/>
      <c r="KP60" s="18" t="n"/>
      <c r="KQ60" s="18" t="n"/>
      <c r="KR60" s="18" t="n"/>
      <c r="KS60" s="18" t="n"/>
      <c r="KT60" s="18" t="n"/>
      <c r="KU60" s="18" t="n"/>
      <c r="KV60" s="18" t="n"/>
      <c r="KW60" s="18" t="n"/>
      <c r="KX60" s="18" t="n"/>
      <c r="KY60" s="18" t="n"/>
      <c r="KZ60" s="18" t="n"/>
      <c r="LA60" s="18" t="n"/>
      <c r="LB60" s="18" t="n"/>
      <c r="LC60" s="18" t="n"/>
      <c r="LD60" s="18" t="n"/>
      <c r="LE60" s="18" t="n"/>
      <c r="LF60" s="18" t="n"/>
      <c r="LG60" s="18" t="n"/>
      <c r="LH60" s="18" t="n"/>
      <c r="LI60" s="18" t="n"/>
      <c r="LJ60" s="18" t="n"/>
      <c r="LK60" s="18" t="n"/>
      <c r="LL60" s="18" t="n"/>
      <c r="LM60" s="18" t="n"/>
      <c r="LN60" s="18" t="n"/>
      <c r="LO60" s="18" t="n"/>
      <c r="LP60" s="18" t="n"/>
      <c r="LQ60" s="18" t="n"/>
      <c r="LR60" s="18" t="n"/>
      <c r="LS60" s="18" t="n"/>
      <c r="LT60" s="18" t="n"/>
      <c r="LU60" s="18" t="n"/>
      <c r="LV60" s="18" t="n"/>
      <c r="LW60" s="18" t="n"/>
      <c r="LX60" s="18" t="n"/>
      <c r="LY60" s="18" t="n"/>
      <c r="LZ60" s="18" t="n"/>
      <c r="MA60" s="18" t="n"/>
      <c r="MB60" s="18" t="n"/>
      <c r="MC60" s="18" t="n"/>
      <c r="MD60" s="18" t="n"/>
      <c r="ME60" s="18" t="n"/>
      <c r="MF60" s="18" t="n"/>
      <c r="MG60" s="18" t="n"/>
      <c r="MH60" s="18" t="n"/>
      <c r="MI60" s="18" t="n"/>
      <c r="MJ60" s="18" t="n"/>
      <c r="MK60" s="18" t="n"/>
      <c r="ML60" s="18" t="n"/>
      <c r="MM60" s="18" t="n"/>
      <c r="MN60" s="18" t="n"/>
      <c r="MO60" s="18" t="n"/>
      <c r="MP60" s="18" t="n"/>
      <c r="MQ60" s="18" t="n"/>
      <c r="MR60" s="18" t="n"/>
      <c r="MS60" s="18" t="n"/>
      <c r="MT60" s="18" t="n"/>
      <c r="MU60" s="18" t="n"/>
      <c r="MV60" s="18" t="n"/>
      <c r="MW60" s="18" t="n"/>
      <c r="MX60" s="18" t="n"/>
      <c r="MY60" s="18" t="n"/>
      <c r="MZ60" s="18" t="n"/>
      <c r="NA60" s="18" t="n"/>
      <c r="NB60" s="18" t="n"/>
      <c r="NC60" s="18" t="n"/>
      <c r="ND60" s="18" t="n"/>
      <c r="NE60" s="18" t="n"/>
      <c r="NF60" s="18" t="n"/>
      <c r="NG60" s="18" t="n"/>
      <c r="NH60" s="18" t="n"/>
      <c r="NI60" s="18" t="n"/>
      <c r="NJ60" s="18" t="n"/>
      <c r="NK60" s="18" t="n"/>
      <c r="NL60" s="18" t="n"/>
      <c r="NM60" s="18" t="n"/>
      <c r="NN60" s="18" t="n"/>
      <c r="NO60" s="18" t="n"/>
      <c r="NP60" s="18" t="n"/>
      <c r="NQ60" s="18" t="n"/>
      <c r="NR60" s="18" t="n"/>
      <c r="NS60" s="18" t="n"/>
      <c r="NT60" s="18" t="n"/>
      <c r="NU60" s="18" t="n"/>
      <c r="NV60" s="18" t="n"/>
      <c r="NW60" s="18" t="n"/>
      <c r="NX60" s="18" t="n"/>
      <c r="NY60" s="18" t="n"/>
      <c r="NZ60" s="18" t="n"/>
      <c r="OA60" s="18" t="n"/>
      <c r="OB60" s="18" t="n"/>
      <c r="OC60" s="18" t="n"/>
      <c r="OD60" s="18" t="n"/>
      <c r="OE60" s="18" t="n"/>
      <c r="OF60" s="18" t="n"/>
      <c r="OG60" s="18" t="n"/>
      <c r="OH60" s="18" t="n"/>
      <c r="OI60" s="18" t="n"/>
      <c r="OJ60" s="18" t="n"/>
      <c r="OK60" s="18" t="n"/>
      <c r="OL60" s="18" t="n"/>
      <c r="OM60" s="18" t="n"/>
      <c r="ON60" s="18" t="n"/>
      <c r="OO60" s="18" t="n"/>
      <c r="OP60" s="18" t="n"/>
      <c r="OQ60" s="18" t="n"/>
      <c r="OR60" s="18" t="n"/>
      <c r="OS60" s="18" t="n"/>
      <c r="OT60" s="18" t="n"/>
      <c r="OU60" s="18" t="n"/>
      <c r="OV60" s="18" t="n"/>
      <c r="OW60" s="18" t="n"/>
      <c r="OX60" s="18" t="n"/>
      <c r="OY60" s="18" t="n"/>
      <c r="OZ60" s="18" t="n"/>
      <c r="PA60" s="18" t="n"/>
      <c r="PB60" s="18" t="n"/>
      <c r="PC60" s="18" t="n"/>
      <c r="PD60" s="18" t="n"/>
      <c r="PE60" s="18" t="n"/>
      <c r="PF60" s="18" t="n"/>
      <c r="PG60" s="18" t="n"/>
      <c r="PH60" s="18" t="n"/>
      <c r="PI60" s="18" t="n"/>
      <c r="PJ60" s="18" t="n"/>
      <c r="PK60" s="18" t="n"/>
      <c r="PL60" s="18" t="n"/>
      <c r="PM60" s="18" t="n"/>
      <c r="PN60" s="18" t="n"/>
      <c r="PO60" s="18" t="n"/>
      <c r="PP60" s="18" t="n"/>
      <c r="PQ60" s="18" t="n"/>
      <c r="PR60" s="18" t="n"/>
      <c r="PS60" s="18" t="n"/>
      <c r="PT60" s="18" t="n"/>
      <c r="PU60" s="18" t="n"/>
      <c r="PV60" s="18" t="n"/>
      <c r="PW60" s="18" t="n"/>
      <c r="PX60" s="18" t="n"/>
      <c r="PY60" s="18" t="n"/>
      <c r="PZ60" s="18" t="n"/>
      <c r="QA60" s="18" t="n"/>
      <c r="QB60" s="18" t="n"/>
      <c r="QC60" s="18" t="n"/>
      <c r="QD60" s="18" t="n"/>
      <c r="QE60" s="18" t="n"/>
      <c r="QF60" s="18" t="n"/>
      <c r="QG60" s="18" t="n"/>
      <c r="QH60" s="18" t="n"/>
      <c r="QI60" s="18" t="n"/>
      <c r="QJ60" s="18" t="n"/>
      <c r="QK60" s="18" t="n"/>
      <c r="QL60" s="18" t="n"/>
      <c r="QM60" s="18" t="n"/>
      <c r="QN60" s="18" t="n"/>
      <c r="QO60" s="18" t="n"/>
      <c r="QP60" s="18" t="n"/>
      <c r="QQ60" s="18" t="n"/>
    </row>
    <row r="61" ht="17.4" customHeight="1" s="88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8" t="n"/>
      <c r="BA61" s="18" t="n"/>
      <c r="BB61" s="18" t="n"/>
      <c r="BC61" s="18" t="n"/>
      <c r="BD61" s="18" t="n"/>
      <c r="BE61" s="18" t="n"/>
      <c r="BF61" s="18" t="n"/>
      <c r="BG61" s="18" t="n"/>
      <c r="BH61" s="18" t="n"/>
      <c r="BI61" s="18" t="n"/>
      <c r="BJ61" s="18" t="n"/>
      <c r="BK61" s="18" t="n"/>
      <c r="BL61" s="18" t="n"/>
      <c r="BM61" s="18" t="n"/>
      <c r="BN61" s="18" t="n"/>
      <c r="BO61" s="18" t="n"/>
      <c r="BP61" s="18" t="n"/>
      <c r="BQ61" s="18" t="n"/>
      <c r="BR61" s="18" t="n"/>
      <c r="BS61" s="18" t="n"/>
      <c r="BT61" s="18" t="n"/>
      <c r="BU61" s="18" t="n"/>
      <c r="BV61" s="18" t="n"/>
      <c r="BW61" s="18" t="n"/>
      <c r="BX61" s="18" t="n"/>
      <c r="BY61" s="18" t="n"/>
      <c r="BZ61" s="18" t="n"/>
      <c r="CA61" s="18" t="n"/>
      <c r="CB61" s="18" t="n"/>
      <c r="CC61" s="18" t="n"/>
      <c r="CD61" s="18" t="n"/>
      <c r="CE61" s="18" t="n"/>
      <c r="CF61" s="18" t="n"/>
      <c r="CG61" s="18" t="n"/>
      <c r="CH61" s="18" t="n"/>
      <c r="CI61" s="18" t="n"/>
      <c r="CJ61" s="18" t="n"/>
      <c r="CK61" s="18" t="n"/>
      <c r="CL61" s="18" t="n"/>
      <c r="CM61" s="18" t="n"/>
      <c r="CN61" s="18" t="n"/>
      <c r="CO61" s="18" t="n"/>
      <c r="CP61" s="18" t="n"/>
      <c r="CQ61" s="18" t="n"/>
      <c r="CR61" s="18" t="n"/>
      <c r="CS61" s="18" t="n"/>
      <c r="CT61" s="18" t="n"/>
      <c r="CU61" s="18" t="n"/>
      <c r="CV61" s="18" t="n"/>
      <c r="CW61" s="18" t="n"/>
      <c r="CX61" s="18" t="n"/>
      <c r="CY61" s="18" t="n"/>
      <c r="CZ61" s="18" t="n"/>
      <c r="DA61" s="18" t="n"/>
      <c r="DB61" s="18" t="n"/>
      <c r="DC61" s="18" t="n"/>
      <c r="DD61" s="18" t="n"/>
      <c r="DE61" s="18" t="n"/>
      <c r="DF61" s="18" t="n"/>
      <c r="DG61" s="18" t="n"/>
      <c r="DH61" s="18" t="n"/>
      <c r="DI61" s="18" t="n"/>
      <c r="DJ61" s="18" t="n"/>
      <c r="DK61" s="18" t="n"/>
      <c r="DL61" s="18" t="n"/>
      <c r="DM61" s="18" t="n"/>
      <c r="DN61" s="18" t="n"/>
      <c r="DO61" s="18" t="n"/>
      <c r="DP61" s="18" t="n"/>
      <c r="DQ61" s="18" t="n"/>
      <c r="DR61" s="18" t="n"/>
      <c r="DS61" s="18" t="n"/>
      <c r="DT61" s="18" t="n"/>
      <c r="DU61" s="18" t="n"/>
      <c r="DV61" s="18" t="n"/>
      <c r="DW61" s="18" t="n"/>
      <c r="DX61" s="18" t="n"/>
      <c r="DY61" s="18" t="n"/>
      <c r="DZ61" s="18" t="n"/>
      <c r="EA61" s="18" t="n"/>
      <c r="EB61" s="18" t="n"/>
      <c r="EC61" s="18" t="n"/>
      <c r="ED61" s="18" t="n"/>
      <c r="EE61" s="18" t="n"/>
      <c r="EF61" s="18" t="n"/>
      <c r="EG61" s="18" t="n"/>
      <c r="EH61" s="18" t="n"/>
      <c r="EI61" s="18" t="n"/>
      <c r="EJ61" s="18" t="n"/>
      <c r="EK61" s="18" t="n"/>
      <c r="EL61" s="18" t="n"/>
      <c r="EM61" s="18" t="n"/>
      <c r="EN61" s="18" t="n"/>
      <c r="EO61" s="18" t="n"/>
      <c r="EP61" s="18" t="n"/>
      <c r="EQ61" s="18" t="n"/>
      <c r="ER61" s="18" t="n"/>
      <c r="ES61" s="18" t="n"/>
      <c r="ET61" s="18" t="n"/>
      <c r="EU61" s="18" t="n"/>
      <c r="EV61" s="18" t="n"/>
      <c r="EW61" s="18" t="n"/>
      <c r="EX61" s="18" t="n"/>
      <c r="EY61" s="18" t="n"/>
      <c r="EZ61" s="18" t="n"/>
      <c r="FA61" s="18" t="n"/>
      <c r="FB61" s="18" t="n"/>
      <c r="FC61" s="18" t="n"/>
      <c r="FD61" s="18" t="n"/>
      <c r="FE61" s="18" t="n"/>
      <c r="FF61" s="18" t="n"/>
      <c r="FG61" s="18" t="n"/>
      <c r="FH61" s="18" t="n"/>
      <c r="FI61" s="18" t="n"/>
      <c r="FJ61" s="18" t="n"/>
      <c r="FK61" s="18" t="n"/>
      <c r="FL61" s="18" t="n"/>
      <c r="FM61" s="18" t="n"/>
      <c r="FN61" s="18" t="n"/>
      <c r="FO61" s="18" t="n"/>
      <c r="FP61" s="18" t="n"/>
      <c r="FQ61" s="18" t="n"/>
      <c r="FR61" s="18" t="n"/>
      <c r="FS61" s="18" t="n"/>
      <c r="FT61" s="18" t="n"/>
      <c r="FU61" s="18" t="n"/>
      <c r="FV61" s="18" t="n"/>
      <c r="FW61" s="18" t="n"/>
      <c r="FX61" s="18" t="n"/>
      <c r="FY61" s="18" t="n"/>
      <c r="FZ61" s="18" t="n"/>
      <c r="GA61" s="18" t="n"/>
      <c r="GB61" s="18" t="n"/>
      <c r="GC61" s="18" t="n"/>
      <c r="GD61" s="18" t="n"/>
      <c r="GE61" s="18" t="n"/>
      <c r="GF61" s="18" t="n"/>
      <c r="GG61" s="18" t="n"/>
      <c r="GH61" s="18" t="n"/>
      <c r="GI61" s="18" t="n"/>
      <c r="GJ61" s="18" t="n"/>
      <c r="GK61" s="18" t="n"/>
      <c r="GL61" s="18" t="n"/>
      <c r="GM61" s="18" t="n"/>
      <c r="GN61" s="18" t="n"/>
      <c r="GO61" s="18" t="n"/>
      <c r="GP61" s="18" t="n"/>
      <c r="GQ61" s="18" t="n"/>
      <c r="GR61" s="18" t="n"/>
      <c r="GS61" s="18" t="n"/>
      <c r="GT61" s="18" t="n"/>
      <c r="GU61" s="18" t="n"/>
      <c r="GV61" s="18" t="n"/>
      <c r="GW61" s="18" t="n"/>
      <c r="GX61" s="18" t="n"/>
      <c r="GY61" s="18" t="n"/>
      <c r="GZ61" s="18" t="n"/>
      <c r="HA61" s="18" t="n"/>
      <c r="HB61" s="18" t="n"/>
      <c r="HC61" s="18" t="n"/>
      <c r="HD61" s="18" t="n"/>
      <c r="HE61" s="18" t="n"/>
      <c r="HF61" s="18" t="n"/>
      <c r="HG61" s="18" t="n"/>
      <c r="HH61" s="18" t="n"/>
      <c r="HI61" s="18" t="n"/>
      <c r="HJ61" s="18" t="n"/>
      <c r="HK61" s="18" t="n"/>
      <c r="HL61" s="18" t="n"/>
      <c r="HM61" s="18" t="n"/>
      <c r="HN61" s="18" t="n"/>
      <c r="HO61" s="18" t="n"/>
      <c r="HP61" s="18" t="n"/>
      <c r="HQ61" s="18" t="n"/>
      <c r="HR61" s="18" t="n"/>
      <c r="HS61" s="18" t="n"/>
      <c r="HT61" s="18" t="n"/>
      <c r="HU61" s="18" t="n"/>
      <c r="HV61" s="18" t="n"/>
      <c r="HW61" s="18" t="n"/>
      <c r="HX61" s="18" t="n"/>
      <c r="HY61" s="18" t="n"/>
      <c r="HZ61" s="18" t="n"/>
      <c r="IA61" s="18" t="n"/>
      <c r="IB61" s="18" t="n"/>
      <c r="IC61" s="18" t="n"/>
      <c r="ID61" s="18" t="n"/>
      <c r="IE61" s="18" t="n"/>
      <c r="IF61" s="18" t="n"/>
      <c r="IG61" s="18" t="n"/>
      <c r="IH61" s="18" t="n"/>
      <c r="II61" s="18" t="n"/>
      <c r="IJ61" s="18" t="n"/>
      <c r="IK61" s="18" t="n"/>
      <c r="IL61" s="18" t="n"/>
      <c r="IM61" s="18" t="n"/>
      <c r="IN61" s="18" t="n"/>
      <c r="IO61" s="18" t="n"/>
      <c r="IP61" s="18" t="n"/>
      <c r="IQ61" s="18" t="n"/>
      <c r="IR61" s="18" t="n"/>
      <c r="IS61" s="18" t="n"/>
      <c r="IT61" s="18" t="n"/>
      <c r="IU61" s="18" t="n"/>
      <c r="IV61" s="18" t="n"/>
      <c r="IW61" s="18" t="n"/>
      <c r="IX61" s="18" t="n"/>
      <c r="IY61" s="18" t="n"/>
      <c r="IZ61" s="18" t="n"/>
      <c r="JA61" s="18" t="n"/>
      <c r="JB61" s="18" t="n"/>
      <c r="JC61" s="18" t="n"/>
      <c r="JD61" s="18" t="n"/>
      <c r="JE61" s="18" t="n"/>
      <c r="JF61" s="18" t="n"/>
      <c r="JG61" s="18" t="n"/>
      <c r="JH61" s="18" t="n"/>
      <c r="JI61" s="18" t="n"/>
      <c r="JJ61" s="18" t="n"/>
      <c r="JK61" s="18" t="n"/>
      <c r="JL61" s="18" t="n"/>
      <c r="JM61" s="18" t="n"/>
      <c r="JN61" s="18" t="n"/>
      <c r="JO61" s="18" t="n"/>
      <c r="JP61" s="18" t="n"/>
      <c r="JQ61" s="18" t="n"/>
      <c r="JR61" s="18" t="n"/>
      <c r="JS61" s="18" t="n"/>
      <c r="JT61" s="18" t="n"/>
      <c r="JU61" s="18" t="n"/>
      <c r="JV61" s="18" t="n"/>
      <c r="JW61" s="18" t="n"/>
      <c r="JX61" s="18" t="n"/>
      <c r="JY61" s="18" t="n"/>
      <c r="JZ61" s="18" t="n"/>
      <c r="KA61" s="18" t="n"/>
      <c r="KB61" s="18" t="n"/>
      <c r="KC61" s="18" t="n"/>
      <c r="KD61" s="18" t="n"/>
      <c r="KE61" s="18" t="n"/>
      <c r="KF61" s="18" t="n"/>
      <c r="KG61" s="18" t="n"/>
      <c r="KH61" s="18" t="n"/>
      <c r="KI61" s="18" t="n"/>
      <c r="KJ61" s="18" t="n"/>
      <c r="KK61" s="18" t="n"/>
      <c r="KL61" s="18" t="n"/>
      <c r="KM61" s="18" t="n"/>
      <c r="KN61" s="18" t="n"/>
      <c r="KO61" s="18" t="n"/>
      <c r="KP61" s="18" t="n"/>
      <c r="KQ61" s="18" t="n"/>
      <c r="KR61" s="18" t="n"/>
      <c r="KS61" s="18" t="n"/>
      <c r="KT61" s="18" t="n"/>
      <c r="KU61" s="18" t="n"/>
      <c r="KV61" s="18" t="n"/>
      <c r="KW61" s="18" t="n"/>
      <c r="KX61" s="18" t="n"/>
      <c r="KY61" s="18" t="n"/>
      <c r="KZ61" s="18" t="n"/>
      <c r="LA61" s="18" t="n"/>
      <c r="LB61" s="18" t="n"/>
      <c r="LC61" s="18" t="n"/>
      <c r="LD61" s="18" t="n"/>
      <c r="LE61" s="18" t="n"/>
      <c r="LF61" s="18" t="n"/>
      <c r="LG61" s="18" t="n"/>
      <c r="LH61" s="18" t="n"/>
      <c r="LI61" s="18" t="n"/>
      <c r="LJ61" s="18" t="n"/>
      <c r="LK61" s="18" t="n"/>
      <c r="LL61" s="18" t="n"/>
      <c r="LM61" s="18" t="n"/>
      <c r="LN61" s="18" t="n"/>
      <c r="LO61" s="18" t="n"/>
      <c r="LP61" s="18" t="n"/>
      <c r="LQ61" s="18" t="n"/>
      <c r="LR61" s="18" t="n"/>
      <c r="LS61" s="18" t="n"/>
      <c r="LT61" s="18" t="n"/>
      <c r="LU61" s="18" t="n"/>
      <c r="LV61" s="18" t="n"/>
      <c r="LW61" s="18" t="n"/>
      <c r="LX61" s="18" t="n"/>
      <c r="LY61" s="18" t="n"/>
      <c r="LZ61" s="18" t="n"/>
      <c r="MA61" s="18" t="n"/>
      <c r="MB61" s="18" t="n"/>
      <c r="MC61" s="18" t="n"/>
      <c r="MD61" s="18" t="n"/>
      <c r="ME61" s="18" t="n"/>
      <c r="MF61" s="18" t="n"/>
      <c r="MG61" s="18" t="n"/>
      <c r="MH61" s="18" t="n"/>
      <c r="MI61" s="18" t="n"/>
      <c r="MJ61" s="18" t="n"/>
      <c r="MK61" s="18" t="n"/>
      <c r="ML61" s="18" t="n"/>
      <c r="MM61" s="18" t="n"/>
      <c r="MN61" s="18" t="n"/>
      <c r="MO61" s="18" t="n"/>
      <c r="MP61" s="18" t="n"/>
      <c r="MQ61" s="18" t="n"/>
      <c r="MR61" s="18" t="n"/>
      <c r="MS61" s="18" t="n"/>
      <c r="MT61" s="18" t="n"/>
      <c r="MU61" s="18" t="n"/>
      <c r="MV61" s="18" t="n"/>
      <c r="MW61" s="18" t="n"/>
      <c r="MX61" s="18" t="n"/>
      <c r="MY61" s="18" t="n"/>
      <c r="MZ61" s="18" t="n"/>
      <c r="NA61" s="18" t="n"/>
      <c r="NB61" s="18" t="n"/>
      <c r="NC61" s="18" t="n"/>
      <c r="ND61" s="18" t="n"/>
      <c r="NE61" s="18" t="n"/>
      <c r="NF61" s="18" t="n"/>
      <c r="NG61" s="18" t="n"/>
      <c r="NH61" s="18" t="n"/>
      <c r="NI61" s="18" t="n"/>
      <c r="NJ61" s="18" t="n"/>
      <c r="NK61" s="18" t="n"/>
      <c r="NL61" s="18" t="n"/>
      <c r="NM61" s="18" t="n"/>
      <c r="NN61" s="18" t="n"/>
      <c r="NO61" s="18" t="n"/>
      <c r="NP61" s="18" t="n"/>
      <c r="NQ61" s="18" t="n"/>
      <c r="NR61" s="18" t="n"/>
      <c r="NS61" s="18" t="n"/>
      <c r="NT61" s="18" t="n"/>
      <c r="NU61" s="18" t="n"/>
      <c r="NV61" s="18" t="n"/>
      <c r="NW61" s="18" t="n"/>
      <c r="NX61" s="18" t="n"/>
      <c r="NY61" s="18" t="n"/>
      <c r="NZ61" s="18" t="n"/>
      <c r="OA61" s="18" t="n"/>
      <c r="OB61" s="18" t="n"/>
      <c r="OC61" s="18" t="n"/>
      <c r="OD61" s="18" t="n"/>
      <c r="OE61" s="18" t="n"/>
      <c r="OF61" s="18" t="n"/>
      <c r="OG61" s="18" t="n"/>
      <c r="OH61" s="18" t="n"/>
      <c r="OI61" s="18" t="n"/>
      <c r="OJ61" s="18" t="n"/>
      <c r="OK61" s="18" t="n"/>
      <c r="OL61" s="18" t="n"/>
      <c r="OM61" s="18" t="n"/>
      <c r="ON61" s="18" t="n"/>
      <c r="OO61" s="18" t="n"/>
      <c r="OP61" s="18" t="n"/>
      <c r="OQ61" s="18" t="n"/>
      <c r="OR61" s="18" t="n"/>
      <c r="OS61" s="18" t="n"/>
      <c r="OT61" s="18" t="n"/>
      <c r="OU61" s="18" t="n"/>
      <c r="OV61" s="18" t="n"/>
      <c r="OW61" s="18" t="n"/>
      <c r="OX61" s="18" t="n"/>
      <c r="OY61" s="18" t="n"/>
      <c r="OZ61" s="18" t="n"/>
      <c r="PA61" s="18" t="n"/>
      <c r="PB61" s="18" t="n"/>
      <c r="PC61" s="18" t="n"/>
      <c r="PD61" s="18" t="n"/>
      <c r="PE61" s="18" t="n"/>
      <c r="PF61" s="18" t="n"/>
      <c r="PG61" s="18" t="n"/>
      <c r="PH61" s="18" t="n"/>
      <c r="PI61" s="18" t="n"/>
      <c r="PJ61" s="18" t="n"/>
      <c r="PK61" s="18" t="n"/>
      <c r="PL61" s="18" t="n"/>
      <c r="PM61" s="18" t="n"/>
      <c r="PN61" s="18" t="n"/>
      <c r="PO61" s="18" t="n"/>
      <c r="PP61" s="18" t="n"/>
      <c r="PQ61" s="18" t="n"/>
      <c r="PR61" s="18" t="n"/>
      <c r="PS61" s="18" t="n"/>
      <c r="PT61" s="18" t="n"/>
      <c r="PU61" s="18" t="n"/>
      <c r="PV61" s="18" t="n"/>
      <c r="PW61" s="18" t="n"/>
      <c r="PX61" s="18" t="n"/>
      <c r="PY61" s="18" t="n"/>
      <c r="PZ61" s="18" t="n"/>
      <c r="QA61" s="18" t="n"/>
      <c r="QB61" s="18" t="n"/>
      <c r="QC61" s="18" t="n"/>
      <c r="QD61" s="18" t="n"/>
      <c r="QE61" s="18" t="n"/>
      <c r="QF61" s="18" t="n"/>
      <c r="QG61" s="18" t="n"/>
      <c r="QH61" s="18" t="n"/>
      <c r="QI61" s="18" t="n"/>
      <c r="QJ61" s="18" t="n"/>
      <c r="QK61" s="18" t="n"/>
      <c r="QL61" s="18" t="n"/>
      <c r="QM61" s="18" t="n"/>
      <c r="QN61" s="18" t="n"/>
      <c r="QO61" s="18" t="n"/>
      <c r="QP61" s="18" t="n"/>
      <c r="QQ61" s="18" t="n"/>
      <c r="QR61" s="18" t="n"/>
      <c r="QS61" s="18" t="n"/>
      <c r="QT61" s="18" t="n"/>
      <c r="QU61" s="18" t="n"/>
    </row>
    <row r="62" ht="17.4" customHeight="1" s="88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8" t="n"/>
      <c r="BA62" s="18" t="n"/>
      <c r="BB62" s="18" t="n"/>
      <c r="BC62" s="18" t="n"/>
      <c r="BD62" s="18" t="n"/>
      <c r="BE62" s="18" t="n"/>
      <c r="BF62" s="18" t="n"/>
      <c r="BG62" s="18" t="n"/>
      <c r="BH62" s="18" t="n"/>
      <c r="BI62" s="18" t="n"/>
      <c r="BJ62" s="18" t="n"/>
      <c r="BK62" s="18" t="n"/>
      <c r="BL62" s="18" t="n"/>
      <c r="BM62" s="18" t="n"/>
      <c r="BN62" s="18" t="n"/>
      <c r="BO62" s="18" t="n"/>
      <c r="BP62" s="18" t="n"/>
      <c r="BQ62" s="18" t="n"/>
      <c r="BR62" s="18" t="n"/>
      <c r="BS62" s="18" t="n"/>
      <c r="BT62" s="18" t="n"/>
      <c r="BU62" s="18" t="n"/>
      <c r="BV62" s="18" t="n"/>
      <c r="BW62" s="18" t="n"/>
      <c r="BX62" s="18" t="n"/>
      <c r="BY62" s="18" t="n"/>
      <c r="BZ62" s="18" t="n"/>
      <c r="CA62" s="18" t="n"/>
      <c r="CB62" s="18" t="n"/>
      <c r="CC62" s="18" t="n"/>
      <c r="CD62" s="18" t="n"/>
      <c r="CE62" s="18" t="n"/>
      <c r="CF62" s="18" t="n"/>
      <c r="CG62" s="18" t="n"/>
      <c r="CH62" s="18" t="n"/>
      <c r="CI62" s="18" t="n"/>
      <c r="CJ62" s="18" t="n"/>
      <c r="CK62" s="18" t="n"/>
      <c r="CL62" s="18" t="n"/>
      <c r="CM62" s="18" t="n"/>
      <c r="CN62" s="18" t="n"/>
      <c r="CO62" s="18" t="n"/>
      <c r="CP62" s="18" t="n"/>
      <c r="CQ62" s="18" t="n"/>
      <c r="CR62" s="18" t="n"/>
      <c r="CS62" s="18" t="n"/>
      <c r="CT62" s="18" t="n"/>
      <c r="CU62" s="18" t="n"/>
      <c r="CV62" s="18" t="n"/>
      <c r="CW62" s="18" t="n"/>
      <c r="CX62" s="18" t="n"/>
      <c r="CY62" s="18" t="n"/>
      <c r="CZ62" s="18" t="n"/>
      <c r="DA62" s="18" t="n"/>
      <c r="DB62" s="18" t="n"/>
      <c r="DC62" s="18" t="n"/>
      <c r="DD62" s="18" t="n"/>
      <c r="DE62" s="18" t="n"/>
      <c r="DF62" s="18" t="n"/>
      <c r="DG62" s="18" t="n"/>
      <c r="DH62" s="18" t="n"/>
      <c r="DI62" s="18" t="n"/>
      <c r="DJ62" s="18" t="n"/>
      <c r="DK62" s="18" t="n"/>
      <c r="DL62" s="18" t="n"/>
      <c r="DM62" s="18" t="n"/>
      <c r="DN62" s="18" t="n"/>
      <c r="DO62" s="18" t="n"/>
      <c r="DP62" s="18" t="n"/>
      <c r="DQ62" s="18" t="n"/>
      <c r="DR62" s="18" t="n"/>
      <c r="DS62" s="18" t="n"/>
      <c r="DT62" s="18" t="n"/>
      <c r="DU62" s="18" t="n"/>
      <c r="DV62" s="18" t="n"/>
      <c r="DW62" s="18" t="n"/>
      <c r="DX62" s="18" t="n"/>
      <c r="DY62" s="18" t="n"/>
      <c r="DZ62" s="18" t="n"/>
      <c r="EA62" s="18" t="n"/>
      <c r="EB62" s="18" t="n"/>
      <c r="EC62" s="18" t="n"/>
      <c r="ED62" s="18" t="n"/>
      <c r="EE62" s="18" t="n"/>
      <c r="EF62" s="18" t="n"/>
      <c r="EG62" s="18" t="n"/>
      <c r="EH62" s="18" t="n"/>
      <c r="EI62" s="18" t="n"/>
      <c r="EJ62" s="18" t="n"/>
      <c r="EK62" s="18" t="n"/>
      <c r="EL62" s="18" t="n"/>
      <c r="EM62" s="18" t="n"/>
      <c r="EN62" s="18" t="n"/>
      <c r="EO62" s="18" t="n"/>
      <c r="EP62" s="18" t="n"/>
      <c r="EQ62" s="18" t="n"/>
      <c r="ER62" s="18" t="n"/>
      <c r="ES62" s="18" t="n"/>
      <c r="ET62" s="18" t="n"/>
      <c r="EU62" s="18" t="n"/>
      <c r="EV62" s="18" t="n"/>
      <c r="EW62" s="18" t="n"/>
      <c r="EX62" s="18" t="n"/>
      <c r="EY62" s="18" t="n"/>
      <c r="EZ62" s="18" t="n"/>
      <c r="FA62" s="18" t="n"/>
      <c r="FB62" s="18" t="n"/>
      <c r="FC62" s="18" t="n"/>
      <c r="FD62" s="18" t="n"/>
      <c r="FE62" s="18" t="n"/>
      <c r="FF62" s="18" t="n"/>
      <c r="FG62" s="18" t="n"/>
      <c r="FH62" s="18" t="n"/>
      <c r="FI62" s="18" t="n"/>
      <c r="FJ62" s="18" t="n"/>
      <c r="FK62" s="18" t="n"/>
      <c r="FL62" s="18" t="n"/>
      <c r="FM62" s="18" t="n"/>
      <c r="FN62" s="18" t="n"/>
      <c r="FO62" s="18" t="n"/>
      <c r="FP62" s="18" t="n"/>
      <c r="FQ62" s="18" t="n"/>
      <c r="FR62" s="18" t="n"/>
      <c r="FS62" s="18" t="n"/>
      <c r="FT62" s="18" t="n"/>
      <c r="FU62" s="18" t="n"/>
      <c r="FV62" s="18" t="n"/>
      <c r="FW62" s="18" t="n"/>
      <c r="FX62" s="18" t="n"/>
      <c r="FY62" s="18" t="n"/>
      <c r="FZ62" s="18" t="n"/>
      <c r="GA62" s="18" t="n"/>
      <c r="GB62" s="18" t="n"/>
      <c r="GC62" s="18" t="n"/>
      <c r="GD62" s="18" t="n"/>
      <c r="GE62" s="18" t="n"/>
      <c r="GF62" s="18" t="n"/>
      <c r="GG62" s="18" t="n"/>
      <c r="GH62" s="18" t="n"/>
      <c r="GI62" s="18" t="n"/>
      <c r="GJ62" s="18" t="n"/>
      <c r="GK62" s="18" t="n"/>
      <c r="GL62" s="18" t="n"/>
      <c r="GM62" s="18" t="n"/>
      <c r="GN62" s="18" t="n"/>
      <c r="GO62" s="18" t="n"/>
      <c r="GP62" s="18" t="n"/>
      <c r="GQ62" s="18" t="n"/>
      <c r="GR62" s="18" t="n"/>
      <c r="GS62" s="18" t="n"/>
      <c r="GT62" s="18" t="n"/>
      <c r="GU62" s="18" t="n"/>
      <c r="GV62" s="18" t="n"/>
      <c r="GW62" s="18" t="n"/>
      <c r="GX62" s="18" t="n"/>
      <c r="GY62" s="18" t="n"/>
      <c r="GZ62" s="18" t="n"/>
      <c r="HA62" s="18" t="n"/>
      <c r="HB62" s="18" t="n"/>
      <c r="HC62" s="18" t="n"/>
      <c r="HD62" s="18" t="n"/>
      <c r="HE62" s="18" t="n"/>
      <c r="HF62" s="18" t="n"/>
      <c r="HG62" s="18" t="n"/>
      <c r="HH62" s="18" t="n"/>
      <c r="HI62" s="18" t="n"/>
      <c r="HJ62" s="18" t="n"/>
      <c r="HK62" s="18" t="n"/>
      <c r="HL62" s="18" t="n"/>
      <c r="HM62" s="18" t="n"/>
      <c r="HN62" s="18" t="n"/>
      <c r="HO62" s="18" t="n"/>
      <c r="HP62" s="18" t="n"/>
      <c r="HQ62" s="18" t="n"/>
      <c r="HR62" s="18" t="n"/>
      <c r="HS62" s="18" t="n"/>
      <c r="HT62" s="18" t="n"/>
      <c r="HU62" s="18" t="n"/>
      <c r="HV62" s="18" t="n"/>
      <c r="HW62" s="18" t="n"/>
      <c r="HX62" s="18" t="n"/>
      <c r="HY62" s="18" t="n"/>
      <c r="HZ62" s="18" t="n"/>
      <c r="IA62" s="18" t="n"/>
      <c r="IB62" s="18" t="n"/>
      <c r="IC62" s="18" t="n"/>
      <c r="ID62" s="18" t="n"/>
      <c r="IE62" s="18" t="n"/>
      <c r="IF62" s="18" t="n"/>
      <c r="IG62" s="18" t="n"/>
      <c r="IH62" s="18" t="n"/>
      <c r="II62" s="18" t="n"/>
      <c r="IJ62" s="18" t="n"/>
      <c r="IK62" s="18" t="n"/>
      <c r="IL62" s="18" t="n"/>
      <c r="IM62" s="18" t="n"/>
      <c r="IN62" s="18" t="n"/>
      <c r="IO62" s="18" t="n"/>
      <c r="IP62" s="18" t="n"/>
      <c r="IQ62" s="18" t="n"/>
      <c r="IR62" s="18" t="n"/>
      <c r="IS62" s="18" t="n"/>
      <c r="IT62" s="18" t="n"/>
      <c r="IU62" s="18" t="n"/>
      <c r="IV62" s="18" t="n"/>
      <c r="IW62" s="18" t="n"/>
      <c r="IX62" s="18" t="n"/>
      <c r="IY62" s="18" t="n"/>
      <c r="IZ62" s="18" t="n"/>
      <c r="JA62" s="18" t="n"/>
      <c r="JB62" s="18" t="n"/>
      <c r="JC62" s="18" t="n"/>
      <c r="JD62" s="18" t="n"/>
      <c r="JE62" s="18" t="n"/>
      <c r="JF62" s="18" t="n"/>
      <c r="JG62" s="18" t="n"/>
      <c r="JH62" s="18" t="n"/>
      <c r="JI62" s="18" t="n"/>
      <c r="JJ62" s="18" t="n"/>
      <c r="JK62" s="18" t="n"/>
      <c r="JL62" s="18" t="n"/>
      <c r="JM62" s="18" t="n"/>
      <c r="JN62" s="18" t="n"/>
      <c r="JO62" s="18" t="n"/>
      <c r="JP62" s="18" t="n"/>
      <c r="JQ62" s="18" t="n"/>
      <c r="JR62" s="18" t="n"/>
      <c r="JS62" s="18" t="n"/>
      <c r="JT62" s="18" t="n"/>
      <c r="JU62" s="18" t="n"/>
      <c r="JV62" s="18" t="n"/>
      <c r="JW62" s="18" t="n"/>
      <c r="JX62" s="18" t="n"/>
      <c r="JY62" s="18" t="n"/>
      <c r="JZ62" s="18" t="n"/>
      <c r="KA62" s="18" t="n"/>
      <c r="KB62" s="18" t="n"/>
      <c r="KC62" s="18" t="n"/>
      <c r="KD62" s="18" t="n"/>
      <c r="KE62" s="18" t="n"/>
      <c r="KF62" s="18" t="n"/>
      <c r="KG62" s="18" t="n"/>
      <c r="KH62" s="18" t="n"/>
      <c r="KI62" s="18" t="n"/>
      <c r="KJ62" s="18" t="n"/>
      <c r="KK62" s="18" t="n"/>
      <c r="KL62" s="18" t="n"/>
      <c r="KM62" s="18" t="n"/>
      <c r="KN62" s="18" t="n"/>
      <c r="KO62" s="18" t="n"/>
      <c r="KP62" s="18" t="n"/>
      <c r="KQ62" s="18" t="n"/>
      <c r="KR62" s="18" t="n"/>
      <c r="KS62" s="18" t="n"/>
      <c r="KT62" s="18" t="n"/>
      <c r="KU62" s="18" t="n"/>
      <c r="KV62" s="18" t="n"/>
      <c r="KW62" s="18" t="n"/>
      <c r="KX62" s="18" t="n"/>
      <c r="KY62" s="18" t="n"/>
      <c r="KZ62" s="18" t="n"/>
      <c r="LA62" s="18" t="n"/>
      <c r="LB62" s="18" t="n"/>
      <c r="LC62" s="18" t="n"/>
      <c r="LD62" s="18" t="n"/>
      <c r="LE62" s="18" t="n"/>
      <c r="LF62" s="18" t="n"/>
      <c r="LG62" s="18" t="n"/>
      <c r="LH62" s="18" t="n"/>
      <c r="LI62" s="18" t="n"/>
      <c r="LJ62" s="18" t="n"/>
      <c r="LK62" s="18" t="n"/>
      <c r="LL62" s="18" t="n"/>
      <c r="LM62" s="18" t="n"/>
      <c r="LN62" s="18" t="n"/>
      <c r="LO62" s="18" t="n"/>
      <c r="LP62" s="18" t="n"/>
      <c r="LQ62" s="18" t="n"/>
      <c r="LR62" s="18" t="n"/>
      <c r="LS62" s="18" t="n"/>
      <c r="LT62" s="18" t="n"/>
      <c r="LU62" s="18" t="n"/>
      <c r="LV62" s="18" t="n"/>
      <c r="LW62" s="18" t="n"/>
      <c r="LX62" s="18" t="n"/>
      <c r="LY62" s="18" t="n"/>
      <c r="LZ62" s="18" t="n"/>
      <c r="MA62" s="18" t="n"/>
      <c r="MB62" s="18" t="n"/>
      <c r="MC62" s="18" t="n"/>
      <c r="MD62" s="18" t="n"/>
      <c r="ME62" s="18" t="n"/>
      <c r="MF62" s="18" t="n"/>
      <c r="MG62" s="18" t="n"/>
      <c r="MH62" s="18" t="n"/>
      <c r="MI62" s="18" t="n"/>
      <c r="MJ62" s="18" t="n"/>
      <c r="MK62" s="18" t="n"/>
      <c r="ML62" s="18" t="n"/>
      <c r="MM62" s="18" t="n"/>
      <c r="MN62" s="18" t="n"/>
      <c r="MO62" s="18" t="n"/>
      <c r="MP62" s="18" t="n"/>
      <c r="MQ62" s="18" t="n"/>
      <c r="MR62" s="18" t="n"/>
      <c r="MS62" s="18" t="n"/>
      <c r="MT62" s="18" t="n"/>
      <c r="MU62" s="18" t="n"/>
      <c r="MV62" s="18" t="n"/>
      <c r="MW62" s="18" t="n"/>
      <c r="MX62" s="18" t="n"/>
      <c r="MY62" s="18" t="n"/>
      <c r="MZ62" s="18" t="n"/>
      <c r="NA62" s="18" t="n"/>
      <c r="NB62" s="18" t="n"/>
      <c r="NC62" s="18" t="n"/>
      <c r="ND62" s="18" t="n"/>
      <c r="NE62" s="18" t="n"/>
      <c r="NF62" s="18" t="n"/>
      <c r="NG62" s="18" t="n"/>
      <c r="NH62" s="18" t="n"/>
      <c r="NI62" s="18" t="n"/>
      <c r="NJ62" s="18" t="n"/>
      <c r="NK62" s="18" t="n"/>
      <c r="NL62" s="18" t="n"/>
      <c r="NM62" s="18" t="n"/>
      <c r="NN62" s="18" t="n"/>
      <c r="NO62" s="18" t="n"/>
      <c r="NP62" s="18" t="n"/>
      <c r="NQ62" s="18" t="n"/>
      <c r="NR62" s="18" t="n"/>
      <c r="NS62" s="18" t="n"/>
      <c r="NT62" s="18" t="n"/>
      <c r="NU62" s="18" t="n"/>
      <c r="NV62" s="18" t="n"/>
      <c r="NW62" s="18" t="n"/>
      <c r="NX62" s="18" t="n"/>
      <c r="NY62" s="18" t="n"/>
      <c r="NZ62" s="18" t="n"/>
      <c r="OA62" s="18" t="n"/>
      <c r="OB62" s="18" t="n"/>
      <c r="OC62" s="18" t="n"/>
      <c r="OD62" s="18" t="n"/>
      <c r="OE62" s="18" t="n"/>
      <c r="OF62" s="18" t="n"/>
      <c r="OG62" s="18" t="n"/>
      <c r="OH62" s="18" t="n"/>
      <c r="OI62" s="18" t="n"/>
      <c r="OJ62" s="18" t="n"/>
      <c r="OK62" s="18" t="n"/>
      <c r="OL62" s="18" t="n"/>
      <c r="OM62" s="18" t="n"/>
      <c r="ON62" s="18" t="n"/>
      <c r="OO62" s="18" t="n"/>
      <c r="OP62" s="18" t="n"/>
      <c r="OQ62" s="18" t="n"/>
      <c r="OR62" s="18" t="n"/>
      <c r="OS62" s="18" t="n"/>
      <c r="OT62" s="18" t="n"/>
      <c r="OU62" s="18" t="n"/>
      <c r="OV62" s="18" t="n"/>
      <c r="OW62" s="18" t="n"/>
      <c r="OX62" s="18" t="n"/>
      <c r="OY62" s="18" t="n"/>
      <c r="OZ62" s="18" t="n"/>
      <c r="PA62" s="18" t="n"/>
      <c r="PB62" s="18" t="n"/>
      <c r="PC62" s="18" t="n"/>
      <c r="PD62" s="18" t="n"/>
      <c r="PE62" s="18" t="n"/>
      <c r="PF62" s="18" t="n"/>
      <c r="PG62" s="18" t="n"/>
      <c r="PH62" s="18" t="n"/>
      <c r="PI62" s="18" t="n"/>
      <c r="PJ62" s="18" t="n"/>
      <c r="PK62" s="18" t="n"/>
      <c r="PL62" s="18" t="n"/>
      <c r="PM62" s="18" t="n"/>
      <c r="PN62" s="18" t="n"/>
      <c r="PO62" s="18" t="n"/>
      <c r="PP62" s="18" t="n"/>
      <c r="PQ62" s="18" t="n"/>
      <c r="PR62" s="18" t="n"/>
      <c r="PS62" s="18" t="n"/>
      <c r="PT62" s="18" t="n"/>
      <c r="PU62" s="18" t="n"/>
      <c r="PV62" s="18" t="n"/>
      <c r="PW62" s="18" t="n"/>
      <c r="PX62" s="18" t="n"/>
      <c r="PY62" s="18" t="n"/>
      <c r="PZ62" s="18" t="n"/>
      <c r="QA62" s="18" t="n"/>
      <c r="QB62" s="18" t="n"/>
      <c r="QC62" s="18" t="n"/>
      <c r="QD62" s="18" t="n"/>
      <c r="QE62" s="18" t="n"/>
      <c r="QF62" s="18" t="n"/>
      <c r="QG62" s="18" t="n"/>
      <c r="QH62" s="18" t="n"/>
      <c r="QI62" s="18" t="n"/>
      <c r="QJ62" s="18" t="n"/>
      <c r="QK62" s="18" t="n"/>
      <c r="QL62" s="18" t="n"/>
      <c r="QM62" s="18" t="n"/>
      <c r="QN62" s="18" t="n"/>
      <c r="QO62" s="18" t="n"/>
      <c r="QP62" s="18" t="n"/>
      <c r="QQ62" s="18" t="n"/>
      <c r="QR62" s="18" t="n"/>
      <c r="QS62" s="18" t="n"/>
      <c r="QT62" s="18" t="n"/>
      <c r="QU62" s="18" t="n"/>
      <c r="QV62" s="18" t="n"/>
      <c r="QW62" s="18" t="n"/>
      <c r="QX62" s="18" t="n"/>
      <c r="QY62" s="18" t="n"/>
    </row>
    <row r="63" ht="17.4" customHeight="1" s="88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8" t="n"/>
      <c r="BA63" s="18" t="n"/>
      <c r="BB63" s="18" t="n"/>
      <c r="BC63" s="18" t="n"/>
      <c r="BD63" s="18" t="n"/>
      <c r="BE63" s="18" t="n"/>
      <c r="BF63" s="18" t="n"/>
      <c r="BG63" s="18" t="n"/>
      <c r="BH63" s="18" t="n"/>
      <c r="BI63" s="18" t="n"/>
      <c r="BJ63" s="18" t="n"/>
      <c r="BK63" s="18" t="n"/>
      <c r="BL63" s="18" t="n"/>
      <c r="BM63" s="18" t="n"/>
      <c r="BN63" s="18" t="n"/>
      <c r="BO63" s="18" t="n"/>
      <c r="BP63" s="18" t="n"/>
      <c r="BQ63" s="18" t="n"/>
      <c r="BR63" s="18" t="n"/>
      <c r="BS63" s="18" t="n"/>
      <c r="BT63" s="18" t="n"/>
      <c r="BU63" s="18" t="n"/>
      <c r="BV63" s="18" t="n"/>
      <c r="BW63" s="18" t="n"/>
      <c r="BX63" s="18" t="n"/>
      <c r="BY63" s="18" t="n"/>
      <c r="BZ63" s="18" t="n"/>
      <c r="CA63" s="18" t="n"/>
      <c r="CB63" s="18" t="n"/>
      <c r="CC63" s="18" t="n"/>
      <c r="CD63" s="18" t="n"/>
      <c r="CE63" s="18" t="n"/>
      <c r="CF63" s="18" t="n"/>
      <c r="CG63" s="18" t="n"/>
      <c r="CH63" s="18" t="n"/>
      <c r="CI63" s="18" t="n"/>
      <c r="CJ63" s="18" t="n"/>
      <c r="CK63" s="18" t="n"/>
      <c r="CL63" s="18" t="n"/>
      <c r="CM63" s="18" t="n"/>
      <c r="CN63" s="18" t="n"/>
      <c r="CO63" s="18" t="n"/>
      <c r="CP63" s="18" t="n"/>
      <c r="CQ63" s="18" t="n"/>
      <c r="CR63" s="18" t="n"/>
      <c r="CS63" s="18" t="n"/>
      <c r="CT63" s="18" t="n"/>
      <c r="CU63" s="18" t="n"/>
      <c r="CV63" s="18" t="n"/>
      <c r="CW63" s="18" t="n"/>
      <c r="CX63" s="18" t="n"/>
      <c r="CY63" s="18" t="n"/>
      <c r="CZ63" s="18" t="n"/>
      <c r="DA63" s="18" t="n"/>
      <c r="DB63" s="18" t="n"/>
      <c r="DC63" s="18" t="n"/>
      <c r="DD63" s="18" t="n"/>
      <c r="DE63" s="18" t="n"/>
      <c r="DF63" s="18" t="n"/>
      <c r="DG63" s="18" t="n"/>
      <c r="DH63" s="18" t="n"/>
      <c r="DI63" s="18" t="n"/>
      <c r="DJ63" s="18" t="n"/>
      <c r="DK63" s="18" t="n"/>
      <c r="DL63" s="18" t="n"/>
      <c r="DM63" s="18" t="n"/>
      <c r="DN63" s="18" t="n"/>
      <c r="DO63" s="18" t="n"/>
      <c r="DP63" s="18" t="n"/>
      <c r="DQ63" s="18" t="n"/>
      <c r="DR63" s="18" t="n"/>
      <c r="DS63" s="18" t="n"/>
      <c r="DT63" s="18" t="n"/>
      <c r="DU63" s="18" t="n"/>
      <c r="DV63" s="18" t="n"/>
      <c r="DW63" s="18" t="n"/>
      <c r="DX63" s="18" t="n"/>
      <c r="DY63" s="18" t="n"/>
      <c r="DZ63" s="18" t="n"/>
      <c r="EA63" s="18" t="n"/>
      <c r="EB63" s="18" t="n"/>
      <c r="EC63" s="18" t="n"/>
      <c r="ED63" s="18" t="n"/>
      <c r="EE63" s="18" t="n"/>
      <c r="EF63" s="18" t="n"/>
      <c r="EG63" s="18" t="n"/>
      <c r="EH63" s="18" t="n"/>
      <c r="EI63" s="18" t="n"/>
      <c r="EJ63" s="18" t="n"/>
      <c r="EK63" s="18" t="n"/>
      <c r="EL63" s="18" t="n"/>
      <c r="EM63" s="18" t="n"/>
      <c r="EN63" s="18" t="n"/>
      <c r="EO63" s="18" t="n"/>
      <c r="EP63" s="18" t="n"/>
      <c r="EQ63" s="18" t="n"/>
      <c r="ER63" s="18" t="n"/>
      <c r="ES63" s="18" t="n"/>
      <c r="ET63" s="18" t="n"/>
      <c r="EU63" s="18" t="n"/>
      <c r="EV63" s="18" t="n"/>
      <c r="EW63" s="18" t="n"/>
      <c r="EX63" s="18" t="n"/>
      <c r="EY63" s="18" t="n"/>
      <c r="EZ63" s="18" t="n"/>
      <c r="FA63" s="18" t="n"/>
      <c r="FB63" s="18" t="n"/>
      <c r="FC63" s="18" t="n"/>
      <c r="FD63" s="18" t="n"/>
      <c r="FE63" s="18" t="n"/>
      <c r="FF63" s="18" t="n"/>
      <c r="FG63" s="18" t="n"/>
      <c r="FH63" s="18" t="n"/>
      <c r="FI63" s="18" t="n"/>
      <c r="FJ63" s="18" t="n"/>
      <c r="FK63" s="18" t="n"/>
      <c r="FL63" s="18" t="n"/>
      <c r="FM63" s="18" t="n"/>
      <c r="FN63" s="18" t="n"/>
      <c r="FO63" s="18" t="n"/>
      <c r="FP63" s="18" t="n"/>
      <c r="FQ63" s="18" t="n"/>
      <c r="FR63" s="18" t="n"/>
      <c r="FS63" s="18" t="n"/>
      <c r="FT63" s="18" t="n"/>
      <c r="FU63" s="18" t="n"/>
      <c r="FV63" s="18" t="n"/>
      <c r="FW63" s="18" t="n"/>
      <c r="FX63" s="18" t="n"/>
      <c r="FY63" s="18" t="n"/>
      <c r="FZ63" s="18" t="n"/>
      <c r="GA63" s="18" t="n"/>
      <c r="GB63" s="18" t="n"/>
      <c r="GC63" s="18" t="n"/>
      <c r="GD63" s="18" t="n"/>
      <c r="GE63" s="18" t="n"/>
      <c r="GF63" s="18" t="n"/>
      <c r="GG63" s="18" t="n"/>
      <c r="GH63" s="18" t="n"/>
      <c r="GI63" s="18" t="n"/>
      <c r="GJ63" s="18" t="n"/>
      <c r="GK63" s="18" t="n"/>
      <c r="GL63" s="18" t="n"/>
      <c r="GM63" s="18" t="n"/>
      <c r="GN63" s="18" t="n"/>
      <c r="GO63" s="18" t="n"/>
      <c r="GP63" s="18" t="n"/>
      <c r="GQ63" s="18" t="n"/>
      <c r="GR63" s="18" t="n"/>
      <c r="GS63" s="18" t="n"/>
      <c r="GT63" s="18" t="n"/>
      <c r="GU63" s="18" t="n"/>
      <c r="GV63" s="18" t="n"/>
      <c r="GW63" s="18" t="n"/>
      <c r="GX63" s="18" t="n"/>
      <c r="GY63" s="18" t="n"/>
      <c r="GZ63" s="18" t="n"/>
      <c r="HA63" s="18" t="n"/>
      <c r="HB63" s="18" t="n"/>
      <c r="HC63" s="18" t="n"/>
      <c r="HD63" s="18" t="n"/>
      <c r="HE63" s="18" t="n"/>
      <c r="HF63" s="18" t="n"/>
      <c r="HG63" s="18" t="n"/>
      <c r="HH63" s="18" t="n"/>
      <c r="HI63" s="18" t="n"/>
      <c r="HJ63" s="18" t="n"/>
      <c r="HK63" s="18" t="n"/>
      <c r="HL63" s="18" t="n"/>
      <c r="HM63" s="18" t="n"/>
      <c r="HN63" s="18" t="n"/>
      <c r="HO63" s="18" t="n"/>
      <c r="HP63" s="18" t="n"/>
      <c r="HQ63" s="18" t="n"/>
      <c r="HR63" s="18" t="n"/>
      <c r="HS63" s="18" t="n"/>
      <c r="HT63" s="18" t="n"/>
      <c r="HU63" s="18" t="n"/>
      <c r="HV63" s="18" t="n"/>
      <c r="HW63" s="18" t="n"/>
      <c r="HX63" s="18" t="n"/>
      <c r="HY63" s="18" t="n"/>
      <c r="HZ63" s="18" t="n"/>
      <c r="IA63" s="18" t="n"/>
      <c r="IB63" s="18" t="n"/>
      <c r="IC63" s="18" t="n"/>
      <c r="ID63" s="18" t="n"/>
      <c r="IE63" s="18" t="n"/>
      <c r="IF63" s="18" t="n"/>
      <c r="IG63" s="18" t="n"/>
      <c r="IH63" s="18" t="n"/>
      <c r="II63" s="18" t="n"/>
      <c r="IJ63" s="18" t="n"/>
      <c r="IK63" s="18" t="n"/>
      <c r="IL63" s="18" t="n"/>
      <c r="IM63" s="18" t="n"/>
      <c r="IN63" s="18" t="n"/>
      <c r="IO63" s="18" t="n"/>
      <c r="IP63" s="18" t="n"/>
      <c r="IQ63" s="18" t="n"/>
      <c r="IR63" s="18" t="n"/>
      <c r="IS63" s="18" t="n"/>
      <c r="IT63" s="18" t="n"/>
      <c r="IU63" s="18" t="n"/>
      <c r="IV63" s="18" t="n"/>
      <c r="IW63" s="18" t="n"/>
      <c r="IX63" s="18" t="n"/>
      <c r="IY63" s="18" t="n"/>
      <c r="IZ63" s="18" t="n"/>
      <c r="JA63" s="18" t="n"/>
      <c r="JB63" s="18" t="n"/>
      <c r="JC63" s="18" t="n"/>
      <c r="JD63" s="18" t="n"/>
      <c r="JE63" s="18" t="n"/>
      <c r="JF63" s="18" t="n"/>
      <c r="JG63" s="18" t="n"/>
      <c r="JH63" s="18" t="n"/>
      <c r="JI63" s="18" t="n"/>
      <c r="JJ63" s="18" t="n"/>
      <c r="JK63" s="18" t="n"/>
      <c r="JL63" s="18" t="n"/>
      <c r="JM63" s="18" t="n"/>
      <c r="JN63" s="18" t="n"/>
      <c r="JO63" s="18" t="n"/>
      <c r="JP63" s="18" t="n"/>
      <c r="JQ63" s="18" t="n"/>
      <c r="JR63" s="18" t="n"/>
      <c r="JS63" s="18" t="n"/>
      <c r="JT63" s="18" t="n"/>
      <c r="JU63" s="18" t="n"/>
      <c r="JV63" s="18" t="n"/>
      <c r="JW63" s="18" t="n"/>
      <c r="JX63" s="18" t="n"/>
      <c r="JY63" s="18" t="n"/>
      <c r="JZ63" s="18" t="n"/>
      <c r="KA63" s="18" t="n"/>
      <c r="KB63" s="18" t="n"/>
      <c r="KC63" s="18" t="n"/>
      <c r="KD63" s="18" t="n"/>
      <c r="KE63" s="18" t="n"/>
      <c r="KF63" s="18" t="n"/>
      <c r="KG63" s="18" t="n"/>
      <c r="KH63" s="18" t="n"/>
      <c r="KI63" s="18" t="n"/>
      <c r="KJ63" s="18" t="n"/>
      <c r="KK63" s="18" t="n"/>
      <c r="KL63" s="18" t="n"/>
      <c r="KM63" s="18" t="n"/>
      <c r="KN63" s="18" t="n"/>
      <c r="KO63" s="18" t="n"/>
      <c r="KP63" s="18" t="n"/>
      <c r="KQ63" s="18" t="n"/>
      <c r="KR63" s="18" t="n"/>
      <c r="KS63" s="18" t="n"/>
      <c r="KT63" s="18" t="n"/>
      <c r="KU63" s="18" t="n"/>
      <c r="KV63" s="18" t="n"/>
      <c r="KW63" s="18" t="n"/>
      <c r="KX63" s="18" t="n"/>
      <c r="KY63" s="18" t="n"/>
      <c r="KZ63" s="18" t="n"/>
      <c r="LA63" s="18" t="n"/>
      <c r="LB63" s="18" t="n"/>
      <c r="LC63" s="18" t="n"/>
      <c r="LD63" s="18" t="n"/>
      <c r="LE63" s="18" t="n"/>
      <c r="LF63" s="18" t="n"/>
      <c r="LG63" s="18" t="n"/>
      <c r="LH63" s="18" t="n"/>
      <c r="LI63" s="18" t="n"/>
      <c r="LJ63" s="18" t="n"/>
      <c r="LK63" s="18" t="n"/>
      <c r="LL63" s="18" t="n"/>
      <c r="LM63" s="18" t="n"/>
      <c r="LN63" s="18" t="n"/>
      <c r="LO63" s="18" t="n"/>
      <c r="LP63" s="18" t="n"/>
      <c r="LQ63" s="18" t="n"/>
      <c r="LR63" s="18" t="n"/>
      <c r="LS63" s="18" t="n"/>
      <c r="LT63" s="18" t="n"/>
      <c r="LU63" s="18" t="n"/>
      <c r="LV63" s="18" t="n"/>
      <c r="LW63" s="18" t="n"/>
      <c r="LX63" s="18" t="n"/>
      <c r="LY63" s="18" t="n"/>
      <c r="LZ63" s="18" t="n"/>
      <c r="MA63" s="18" t="n"/>
      <c r="MB63" s="18" t="n"/>
      <c r="MC63" s="18" t="n"/>
      <c r="MD63" s="18" t="n"/>
      <c r="ME63" s="18" t="n"/>
      <c r="MF63" s="18" t="n"/>
      <c r="MG63" s="18" t="n"/>
      <c r="MH63" s="18" t="n"/>
      <c r="MI63" s="18" t="n"/>
      <c r="MJ63" s="18" t="n"/>
      <c r="MK63" s="18" t="n"/>
      <c r="ML63" s="18" t="n"/>
      <c r="MM63" s="18" t="n"/>
      <c r="MN63" s="18" t="n"/>
      <c r="MO63" s="18" t="n"/>
      <c r="MP63" s="18" t="n"/>
      <c r="MQ63" s="18" t="n"/>
      <c r="MR63" s="18" t="n"/>
      <c r="MS63" s="18" t="n"/>
      <c r="MT63" s="18" t="n"/>
      <c r="MU63" s="18" t="n"/>
      <c r="MV63" s="18" t="n"/>
      <c r="MW63" s="18" t="n"/>
      <c r="MX63" s="18" t="n"/>
      <c r="MY63" s="18" t="n"/>
      <c r="MZ63" s="18" t="n"/>
      <c r="NA63" s="18" t="n"/>
      <c r="NB63" s="18" t="n"/>
      <c r="NC63" s="18" t="n"/>
      <c r="ND63" s="18" t="n"/>
      <c r="NE63" s="18" t="n"/>
      <c r="NF63" s="18" t="n"/>
      <c r="NG63" s="18" t="n"/>
      <c r="NH63" s="18" t="n"/>
      <c r="NI63" s="18" t="n"/>
      <c r="NJ63" s="18" t="n"/>
      <c r="NK63" s="18" t="n"/>
      <c r="NL63" s="18" t="n"/>
      <c r="NM63" s="18" t="n"/>
      <c r="NN63" s="18" t="n"/>
      <c r="NO63" s="18" t="n"/>
      <c r="NP63" s="18" t="n"/>
      <c r="NQ63" s="18" t="n"/>
      <c r="NR63" s="18" t="n"/>
      <c r="NS63" s="18" t="n"/>
      <c r="NT63" s="18" t="n"/>
      <c r="NU63" s="18" t="n"/>
      <c r="NV63" s="18" t="n"/>
      <c r="NW63" s="18" t="n"/>
      <c r="NX63" s="18" t="n"/>
      <c r="NY63" s="18" t="n"/>
      <c r="NZ63" s="18" t="n"/>
      <c r="OA63" s="18" t="n"/>
      <c r="OB63" s="18" t="n"/>
      <c r="OC63" s="18" t="n"/>
      <c r="OD63" s="18" t="n"/>
      <c r="OE63" s="18" t="n"/>
      <c r="OF63" s="18" t="n"/>
      <c r="OG63" s="18" t="n"/>
      <c r="OH63" s="18" t="n"/>
      <c r="OI63" s="18" t="n"/>
      <c r="OJ63" s="18" t="n"/>
      <c r="OK63" s="18" t="n"/>
      <c r="OL63" s="18" t="n"/>
      <c r="OM63" s="18" t="n"/>
      <c r="ON63" s="18" t="n"/>
      <c r="OO63" s="18" t="n"/>
      <c r="OP63" s="18" t="n"/>
      <c r="OQ63" s="18" t="n"/>
      <c r="OR63" s="18" t="n"/>
      <c r="OS63" s="18" t="n"/>
      <c r="OT63" s="18" t="n"/>
      <c r="OU63" s="18" t="n"/>
      <c r="OV63" s="18" t="n"/>
      <c r="OW63" s="18" t="n"/>
      <c r="OX63" s="18" t="n"/>
      <c r="OY63" s="18" t="n"/>
      <c r="OZ63" s="18" t="n"/>
      <c r="PA63" s="18" t="n"/>
      <c r="PB63" s="18" t="n"/>
      <c r="PC63" s="18" t="n"/>
      <c r="PD63" s="18" t="n"/>
      <c r="PE63" s="18" t="n"/>
      <c r="PF63" s="18" t="n"/>
      <c r="PG63" s="18" t="n"/>
      <c r="PH63" s="18" t="n"/>
      <c r="PI63" s="18" t="n"/>
      <c r="PJ63" s="18" t="n"/>
      <c r="PK63" s="18" t="n"/>
      <c r="PL63" s="18" t="n"/>
      <c r="PM63" s="18" t="n"/>
      <c r="PN63" s="18" t="n"/>
      <c r="PO63" s="18" t="n"/>
      <c r="PP63" s="18" t="n"/>
      <c r="PQ63" s="18" t="n"/>
      <c r="PR63" s="18" t="n"/>
      <c r="PS63" s="18" t="n"/>
      <c r="PT63" s="18" t="n"/>
      <c r="PU63" s="18" t="n"/>
      <c r="PV63" s="18" t="n"/>
      <c r="PW63" s="18" t="n"/>
      <c r="PX63" s="18" t="n"/>
      <c r="PY63" s="18" t="n"/>
      <c r="PZ63" s="18" t="n"/>
      <c r="QA63" s="18" t="n"/>
      <c r="QB63" s="18" t="n"/>
      <c r="QC63" s="18" t="n"/>
      <c r="QD63" s="18" t="n"/>
      <c r="QE63" s="18" t="n"/>
      <c r="QF63" s="18" t="n"/>
      <c r="QG63" s="18" t="n"/>
      <c r="QH63" s="18" t="n"/>
      <c r="QI63" s="18" t="n"/>
      <c r="QJ63" s="18" t="n"/>
      <c r="QK63" s="18" t="n"/>
      <c r="QL63" s="18" t="n"/>
      <c r="QM63" s="18" t="n"/>
      <c r="QN63" s="18" t="n"/>
      <c r="QO63" s="18" t="n"/>
      <c r="QP63" s="18" t="n"/>
      <c r="QQ63" s="18" t="n"/>
      <c r="QR63" s="18" t="n"/>
      <c r="QS63" s="18" t="n"/>
      <c r="QT63" s="18" t="n"/>
      <c r="QU63" s="18" t="n"/>
      <c r="QV63" s="18" t="n"/>
      <c r="QW63" s="18" t="n"/>
      <c r="QX63" s="18" t="n"/>
      <c r="QY63" s="18" t="n"/>
      <c r="QZ63" s="18" t="n"/>
      <c r="RA63" s="18" t="n"/>
      <c r="RB63" s="18" t="n"/>
      <c r="RC63" s="18" t="n"/>
    </row>
    <row r="64" ht="17.4" customHeight="1" s="88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8" t="n"/>
      <c r="BA64" s="18" t="n"/>
      <c r="BB64" s="18" t="n"/>
      <c r="BC64" s="18" t="n"/>
      <c r="BD64" s="18" t="n"/>
      <c r="BE64" s="18" t="n"/>
      <c r="BF64" s="18" t="n"/>
      <c r="BG64" s="18" t="n"/>
      <c r="BH64" s="18" t="n"/>
      <c r="BI64" s="18" t="n"/>
      <c r="BJ64" s="18" t="n"/>
      <c r="BK64" s="18" t="n"/>
      <c r="BL64" s="18" t="n"/>
      <c r="BM64" s="18" t="n"/>
      <c r="BN64" s="18" t="n"/>
      <c r="BO64" s="18" t="n"/>
      <c r="BP64" s="18" t="n"/>
      <c r="BQ64" s="18" t="n"/>
      <c r="BR64" s="18" t="n"/>
      <c r="BS64" s="18" t="n"/>
      <c r="BT64" s="18" t="n"/>
      <c r="BU64" s="18" t="n"/>
      <c r="BV64" s="18" t="n"/>
      <c r="BW64" s="18" t="n"/>
      <c r="BX64" s="18" t="n"/>
      <c r="BY64" s="18" t="n"/>
      <c r="BZ64" s="18" t="n"/>
      <c r="CA64" s="18" t="n"/>
      <c r="CB64" s="18" t="n"/>
      <c r="CC64" s="18" t="n"/>
      <c r="CD64" s="18" t="n"/>
      <c r="CE64" s="18" t="n"/>
      <c r="CF64" s="18" t="n"/>
      <c r="CG64" s="18" t="n"/>
      <c r="CH64" s="18" t="n"/>
      <c r="CI64" s="18" t="n"/>
      <c r="CJ64" s="18" t="n"/>
      <c r="CK64" s="18" t="n"/>
      <c r="CL64" s="18" t="n"/>
      <c r="CM64" s="18" t="n"/>
      <c r="CN64" s="18" t="n"/>
      <c r="CO64" s="18" t="n"/>
      <c r="CP64" s="18" t="n"/>
      <c r="CQ64" s="18" t="n"/>
      <c r="CR64" s="18" t="n"/>
      <c r="CS64" s="18" t="n"/>
      <c r="CT64" s="18" t="n"/>
      <c r="CU64" s="18" t="n"/>
      <c r="CV64" s="18" t="n"/>
      <c r="CW64" s="18" t="n"/>
      <c r="CX64" s="18" t="n"/>
      <c r="CY64" s="18" t="n"/>
      <c r="CZ64" s="18" t="n"/>
      <c r="DA64" s="18" t="n"/>
      <c r="DB64" s="18" t="n"/>
      <c r="DC64" s="18" t="n"/>
      <c r="DD64" s="18" t="n"/>
      <c r="DE64" s="18" t="n"/>
      <c r="DF64" s="18" t="n"/>
      <c r="DG64" s="18" t="n"/>
      <c r="DH64" s="18" t="n"/>
      <c r="DI64" s="18" t="n"/>
      <c r="DJ64" s="18" t="n"/>
      <c r="DK64" s="18" t="n"/>
      <c r="DL64" s="18" t="n"/>
      <c r="DM64" s="18" t="n"/>
      <c r="DN64" s="18" t="n"/>
      <c r="DO64" s="18" t="n"/>
      <c r="DP64" s="18" t="n"/>
      <c r="DQ64" s="18" t="n"/>
      <c r="DR64" s="18" t="n"/>
      <c r="DS64" s="18" t="n"/>
      <c r="DT64" s="18" t="n"/>
      <c r="DU64" s="18" t="n"/>
      <c r="DV64" s="18" t="n"/>
      <c r="DW64" s="18" t="n"/>
      <c r="DX64" s="18" t="n"/>
      <c r="DY64" s="18" t="n"/>
      <c r="DZ64" s="18" t="n"/>
      <c r="EA64" s="18" t="n"/>
      <c r="EB64" s="18" t="n"/>
      <c r="EC64" s="18" t="n"/>
      <c r="ED64" s="18" t="n"/>
      <c r="EE64" s="18" t="n"/>
      <c r="EF64" s="18" t="n"/>
      <c r="EG64" s="18" t="n"/>
      <c r="EH64" s="18" t="n"/>
      <c r="EI64" s="18" t="n"/>
      <c r="EJ64" s="18" t="n"/>
      <c r="EK64" s="18" t="n"/>
      <c r="EL64" s="18" t="n"/>
      <c r="EM64" s="18" t="n"/>
      <c r="EN64" s="18" t="n"/>
      <c r="EO64" s="18" t="n"/>
      <c r="EP64" s="18" t="n"/>
      <c r="EQ64" s="18" t="n"/>
      <c r="ER64" s="18" t="n"/>
      <c r="ES64" s="18" t="n"/>
      <c r="ET64" s="18" t="n"/>
      <c r="EU64" s="18" t="n"/>
      <c r="EV64" s="18" t="n"/>
      <c r="EW64" s="18" t="n"/>
      <c r="EX64" s="18" t="n"/>
      <c r="EY64" s="18" t="n"/>
      <c r="EZ64" s="18" t="n"/>
      <c r="FA64" s="18" t="n"/>
      <c r="FB64" s="18" t="n"/>
      <c r="FC64" s="18" t="n"/>
      <c r="FD64" s="18" t="n"/>
      <c r="FE64" s="18" t="n"/>
      <c r="FF64" s="18" t="n"/>
      <c r="FG64" s="18" t="n"/>
      <c r="FH64" s="18" t="n"/>
      <c r="FI64" s="18" t="n"/>
      <c r="FJ64" s="18" t="n"/>
      <c r="FK64" s="18" t="n"/>
      <c r="FL64" s="18" t="n"/>
      <c r="FM64" s="18" t="n"/>
      <c r="FN64" s="18" t="n"/>
      <c r="FO64" s="18" t="n"/>
      <c r="FP64" s="18" t="n"/>
      <c r="FQ64" s="18" t="n"/>
      <c r="FR64" s="18" t="n"/>
      <c r="FS64" s="18" t="n"/>
      <c r="FT64" s="18" t="n"/>
      <c r="FU64" s="18" t="n"/>
      <c r="FV64" s="18" t="n"/>
      <c r="FW64" s="18" t="n"/>
      <c r="FX64" s="18" t="n"/>
      <c r="FY64" s="18" t="n"/>
      <c r="FZ64" s="18" t="n"/>
      <c r="GA64" s="18" t="n"/>
      <c r="GB64" s="18" t="n"/>
      <c r="GC64" s="18" t="n"/>
      <c r="GD64" s="18" t="n"/>
      <c r="GE64" s="18" t="n"/>
      <c r="GF64" s="18" t="n"/>
      <c r="GG64" s="18" t="n"/>
      <c r="GH64" s="18" t="n"/>
      <c r="GI64" s="18" t="n"/>
      <c r="GJ64" s="18" t="n"/>
      <c r="GK64" s="18" t="n"/>
      <c r="GL64" s="18" t="n"/>
      <c r="GM64" s="18" t="n"/>
      <c r="GN64" s="18" t="n"/>
      <c r="GO64" s="18" t="n"/>
      <c r="GP64" s="18" t="n"/>
      <c r="GQ64" s="18" t="n"/>
      <c r="GR64" s="18" t="n"/>
      <c r="GS64" s="18" t="n"/>
      <c r="GT64" s="18" t="n"/>
      <c r="GU64" s="18" t="n"/>
      <c r="GV64" s="18" t="n"/>
      <c r="GW64" s="18" t="n"/>
      <c r="GX64" s="18" t="n"/>
      <c r="GY64" s="18" t="n"/>
      <c r="GZ64" s="18" t="n"/>
      <c r="HA64" s="18" t="n"/>
      <c r="HB64" s="18" t="n"/>
      <c r="HC64" s="18" t="n"/>
      <c r="HD64" s="18" t="n"/>
      <c r="HE64" s="18" t="n"/>
      <c r="HF64" s="18" t="n"/>
      <c r="HG64" s="18" t="n"/>
      <c r="HH64" s="18" t="n"/>
      <c r="HI64" s="18" t="n"/>
      <c r="HJ64" s="18" t="n"/>
      <c r="HK64" s="18" t="n"/>
      <c r="HL64" s="18" t="n"/>
      <c r="HM64" s="18" t="n"/>
      <c r="HN64" s="18" t="n"/>
      <c r="HO64" s="18" t="n"/>
      <c r="HP64" s="18" t="n"/>
      <c r="HQ64" s="18" t="n"/>
      <c r="HR64" s="18" t="n"/>
      <c r="HS64" s="18" t="n"/>
      <c r="HT64" s="18" t="n"/>
      <c r="HU64" s="18" t="n"/>
      <c r="HV64" s="18" t="n"/>
      <c r="HW64" s="18" t="n"/>
      <c r="HX64" s="18" t="n"/>
      <c r="HY64" s="18" t="n"/>
      <c r="HZ64" s="18" t="n"/>
      <c r="IA64" s="18" t="n"/>
      <c r="IB64" s="18" t="n"/>
      <c r="IC64" s="18" t="n"/>
      <c r="ID64" s="18" t="n"/>
      <c r="IE64" s="18" t="n"/>
      <c r="IF64" s="18" t="n"/>
      <c r="IG64" s="18" t="n"/>
      <c r="IH64" s="18" t="n"/>
      <c r="II64" s="18" t="n"/>
      <c r="IJ64" s="18" t="n"/>
      <c r="IK64" s="18" t="n"/>
      <c r="IL64" s="18" t="n"/>
      <c r="IM64" s="18" t="n"/>
      <c r="IN64" s="18" t="n"/>
      <c r="IO64" s="18" t="n"/>
      <c r="IP64" s="18" t="n"/>
      <c r="IQ64" s="18" t="n"/>
      <c r="IR64" s="18" t="n"/>
      <c r="IS64" s="18" t="n"/>
      <c r="IT64" s="18" t="n"/>
      <c r="IU64" s="18" t="n"/>
      <c r="IV64" s="18" t="n"/>
      <c r="IW64" s="18" t="n"/>
      <c r="IX64" s="18" t="n"/>
      <c r="IY64" s="18" t="n"/>
      <c r="IZ64" s="18" t="n"/>
      <c r="JA64" s="18" t="n"/>
      <c r="JB64" s="18" t="n"/>
      <c r="JC64" s="18" t="n"/>
      <c r="JD64" s="18" t="n"/>
      <c r="JE64" s="18" t="n"/>
      <c r="JF64" s="18" t="n"/>
      <c r="JG64" s="18" t="n"/>
      <c r="JH64" s="18" t="n"/>
      <c r="JI64" s="18" t="n"/>
      <c r="JJ64" s="18" t="n"/>
      <c r="JK64" s="18" t="n"/>
      <c r="JL64" s="18" t="n"/>
      <c r="JM64" s="18" t="n"/>
      <c r="JN64" s="18" t="n"/>
      <c r="JO64" s="18" t="n"/>
      <c r="JP64" s="18" t="n"/>
      <c r="JQ64" s="18" t="n"/>
      <c r="JR64" s="18" t="n"/>
      <c r="JS64" s="18" t="n"/>
      <c r="JT64" s="18" t="n"/>
      <c r="JU64" s="18" t="n"/>
      <c r="JV64" s="18" t="n"/>
      <c r="JW64" s="18" t="n"/>
      <c r="JX64" s="18" t="n"/>
      <c r="JY64" s="18" t="n"/>
      <c r="JZ64" s="18" t="n"/>
      <c r="KA64" s="18" t="n"/>
      <c r="KB64" s="18" t="n"/>
      <c r="KC64" s="18" t="n"/>
      <c r="KD64" s="18" t="n"/>
      <c r="KE64" s="18" t="n"/>
      <c r="KF64" s="18" t="n"/>
      <c r="KG64" s="18" t="n"/>
      <c r="KH64" s="18" t="n"/>
      <c r="KI64" s="18" t="n"/>
      <c r="KJ64" s="18" t="n"/>
      <c r="KK64" s="18" t="n"/>
      <c r="KL64" s="18" t="n"/>
      <c r="KM64" s="18" t="n"/>
      <c r="KN64" s="18" t="n"/>
      <c r="KO64" s="18" t="n"/>
      <c r="KP64" s="18" t="n"/>
      <c r="KQ64" s="18" t="n"/>
      <c r="KR64" s="18" t="n"/>
      <c r="KS64" s="18" t="n"/>
      <c r="KT64" s="18" t="n"/>
      <c r="KU64" s="18" t="n"/>
      <c r="KV64" s="18" t="n"/>
      <c r="KW64" s="18" t="n"/>
      <c r="KX64" s="18" t="n"/>
      <c r="KY64" s="18" t="n"/>
      <c r="KZ64" s="18" t="n"/>
      <c r="LA64" s="18" t="n"/>
      <c r="LB64" s="18" t="n"/>
      <c r="LC64" s="18" t="n"/>
      <c r="LD64" s="18" t="n"/>
      <c r="LE64" s="18" t="n"/>
      <c r="LF64" s="18" t="n"/>
      <c r="LG64" s="18" t="n"/>
      <c r="LH64" s="18" t="n"/>
      <c r="LI64" s="18" t="n"/>
      <c r="LJ64" s="18" t="n"/>
      <c r="LK64" s="18" t="n"/>
      <c r="LL64" s="18" t="n"/>
      <c r="LM64" s="18" t="n"/>
      <c r="LN64" s="18" t="n"/>
      <c r="LO64" s="18" t="n"/>
      <c r="LP64" s="18" t="n"/>
      <c r="LQ64" s="18" t="n"/>
      <c r="LR64" s="18" t="n"/>
      <c r="LS64" s="18" t="n"/>
      <c r="LT64" s="18" t="n"/>
      <c r="LU64" s="18" t="n"/>
      <c r="LV64" s="18" t="n"/>
      <c r="LW64" s="18" t="n"/>
      <c r="LX64" s="18" t="n"/>
      <c r="LY64" s="18" t="n"/>
      <c r="LZ64" s="18" t="n"/>
      <c r="MA64" s="18" t="n"/>
      <c r="MB64" s="18" t="n"/>
      <c r="MC64" s="18" t="n"/>
      <c r="MD64" s="18" t="n"/>
      <c r="ME64" s="18" t="n"/>
      <c r="MF64" s="18" t="n"/>
      <c r="MG64" s="18" t="n"/>
      <c r="MH64" s="18" t="n"/>
      <c r="MI64" s="18" t="n"/>
      <c r="MJ64" s="18" t="n"/>
      <c r="MK64" s="18" t="n"/>
      <c r="ML64" s="18" t="n"/>
      <c r="MM64" s="18" t="n"/>
      <c r="MN64" s="18" t="n"/>
      <c r="MO64" s="18" t="n"/>
      <c r="MP64" s="18" t="n"/>
      <c r="MQ64" s="18" t="n"/>
      <c r="MR64" s="18" t="n"/>
      <c r="MS64" s="18" t="n"/>
      <c r="MT64" s="18" t="n"/>
      <c r="MU64" s="18" t="n"/>
      <c r="MV64" s="18" t="n"/>
      <c r="MW64" s="18" t="n"/>
      <c r="MX64" s="18" t="n"/>
      <c r="MY64" s="18" t="n"/>
      <c r="MZ64" s="18" t="n"/>
      <c r="NA64" s="18" t="n"/>
      <c r="NB64" s="18" t="n"/>
      <c r="NC64" s="18" t="n"/>
      <c r="ND64" s="18" t="n"/>
      <c r="NE64" s="18" t="n"/>
      <c r="NF64" s="18" t="n"/>
      <c r="NG64" s="18" t="n"/>
      <c r="NH64" s="18" t="n"/>
      <c r="NI64" s="18" t="n"/>
      <c r="NJ64" s="18" t="n"/>
      <c r="NK64" s="18" t="n"/>
      <c r="NL64" s="18" t="n"/>
      <c r="NM64" s="18" t="n"/>
      <c r="NN64" s="18" t="n"/>
      <c r="NO64" s="18" t="n"/>
      <c r="NP64" s="18" t="n"/>
      <c r="NQ64" s="18" t="n"/>
      <c r="NR64" s="18" t="n"/>
      <c r="NS64" s="18" t="n"/>
      <c r="NT64" s="18" t="n"/>
      <c r="NU64" s="18" t="n"/>
      <c r="NV64" s="18" t="n"/>
      <c r="NW64" s="18" t="n"/>
      <c r="NX64" s="18" t="n"/>
      <c r="NY64" s="18" t="n"/>
      <c r="NZ64" s="18" t="n"/>
      <c r="OA64" s="18" t="n"/>
      <c r="OB64" s="18" t="n"/>
      <c r="OC64" s="18" t="n"/>
      <c r="OD64" s="18" t="n"/>
      <c r="OE64" s="18" t="n"/>
      <c r="OF64" s="18" t="n"/>
      <c r="OG64" s="18" t="n"/>
      <c r="OH64" s="18" t="n"/>
      <c r="OI64" s="18" t="n"/>
      <c r="OJ64" s="18" t="n"/>
      <c r="OK64" s="18" t="n"/>
      <c r="OL64" s="18" t="n"/>
      <c r="OM64" s="18" t="n"/>
      <c r="ON64" s="18" t="n"/>
      <c r="OO64" s="18" t="n"/>
      <c r="OP64" s="18" t="n"/>
      <c r="OQ64" s="18" t="n"/>
      <c r="OR64" s="18" t="n"/>
      <c r="OS64" s="18" t="n"/>
      <c r="OT64" s="18" t="n"/>
      <c r="OU64" s="18" t="n"/>
      <c r="OV64" s="18" t="n"/>
      <c r="OW64" s="18" t="n"/>
      <c r="OX64" s="18" t="n"/>
      <c r="OY64" s="18" t="n"/>
      <c r="OZ64" s="18" t="n"/>
      <c r="PA64" s="18" t="n"/>
      <c r="PB64" s="18" t="n"/>
      <c r="PC64" s="18" t="n"/>
      <c r="PD64" s="18" t="n"/>
      <c r="PE64" s="18" t="n"/>
      <c r="PF64" s="18" t="n"/>
      <c r="PG64" s="18" t="n"/>
      <c r="PH64" s="18" t="n"/>
      <c r="PI64" s="18" t="n"/>
      <c r="PJ64" s="18" t="n"/>
      <c r="PK64" s="18" t="n"/>
      <c r="PL64" s="18" t="n"/>
      <c r="PM64" s="18" t="n"/>
      <c r="PN64" s="18" t="n"/>
      <c r="PO64" s="18" t="n"/>
      <c r="PP64" s="18" t="n"/>
      <c r="PQ64" s="18" t="n"/>
      <c r="PR64" s="18" t="n"/>
      <c r="PS64" s="18" t="n"/>
      <c r="PT64" s="18" t="n"/>
      <c r="PU64" s="18" t="n"/>
      <c r="PV64" s="18" t="n"/>
      <c r="PW64" s="18" t="n"/>
      <c r="PX64" s="18" t="n"/>
      <c r="PY64" s="18" t="n"/>
      <c r="PZ64" s="18" t="n"/>
      <c r="QA64" s="18" t="n"/>
      <c r="QB64" s="18" t="n"/>
      <c r="QC64" s="18" t="n"/>
      <c r="QD64" s="18" t="n"/>
      <c r="QE64" s="18" t="n"/>
      <c r="QF64" s="18" t="n"/>
      <c r="QG64" s="18" t="n"/>
      <c r="QH64" s="18" t="n"/>
      <c r="QI64" s="18" t="n"/>
      <c r="QJ64" s="18" t="n"/>
      <c r="QK64" s="18" t="n"/>
      <c r="QL64" s="18" t="n"/>
      <c r="QM64" s="18" t="n"/>
      <c r="QN64" s="18" t="n"/>
      <c r="QO64" s="18" t="n"/>
      <c r="QP64" s="18" t="n"/>
      <c r="QQ64" s="18" t="n"/>
      <c r="QR64" s="18" t="n"/>
      <c r="QS64" s="18" t="n"/>
      <c r="QT64" s="18" t="n"/>
      <c r="QU64" s="18" t="n"/>
      <c r="QV64" s="18" t="n"/>
      <c r="QW64" s="18" t="n"/>
      <c r="QX64" s="18" t="n"/>
      <c r="QY64" s="18" t="n"/>
      <c r="QZ64" s="18" t="n"/>
      <c r="RA64" s="18" t="n"/>
      <c r="RB64" s="18" t="n"/>
      <c r="RC64" s="18" t="n"/>
      <c r="RD64" s="18" t="n"/>
      <c r="RE64" s="18" t="n"/>
      <c r="RF64" s="18" t="n"/>
      <c r="RG64" s="18" t="n"/>
    </row>
    <row r="65" ht="17.4" customHeight="1" s="88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8" t="n"/>
      <c r="BA65" s="18" t="n"/>
      <c r="BB65" s="18" t="n"/>
      <c r="BC65" s="18" t="n"/>
      <c r="BD65" s="18" t="n"/>
      <c r="BE65" s="18" t="n"/>
      <c r="BF65" s="18" t="n"/>
      <c r="BG65" s="18" t="n"/>
      <c r="BH65" s="18" t="n"/>
      <c r="BI65" s="18" t="n"/>
      <c r="BJ65" s="18" t="n"/>
      <c r="BK65" s="18" t="n"/>
      <c r="BL65" s="18" t="n"/>
      <c r="BM65" s="18" t="n"/>
      <c r="BN65" s="18" t="n"/>
      <c r="BO65" s="18" t="n"/>
      <c r="BP65" s="18" t="n"/>
      <c r="BQ65" s="18" t="n"/>
      <c r="BR65" s="18" t="n"/>
      <c r="BS65" s="18" t="n"/>
      <c r="BT65" s="18" t="n"/>
      <c r="BU65" s="18" t="n"/>
      <c r="BV65" s="18" t="n"/>
      <c r="BW65" s="18" t="n"/>
      <c r="BX65" s="18" t="n"/>
      <c r="BY65" s="18" t="n"/>
      <c r="BZ65" s="18" t="n"/>
      <c r="CA65" s="18" t="n"/>
      <c r="CB65" s="18" t="n"/>
      <c r="CC65" s="18" t="n"/>
      <c r="CD65" s="18" t="n"/>
      <c r="CE65" s="18" t="n"/>
      <c r="CF65" s="18" t="n"/>
      <c r="CG65" s="18" t="n"/>
      <c r="CH65" s="18" t="n"/>
      <c r="CI65" s="18" t="n"/>
      <c r="CJ65" s="18" t="n"/>
      <c r="CK65" s="18" t="n"/>
      <c r="CL65" s="18" t="n"/>
      <c r="CM65" s="18" t="n"/>
      <c r="CN65" s="18" t="n"/>
      <c r="CO65" s="18" t="n"/>
      <c r="CP65" s="18" t="n"/>
      <c r="CQ65" s="18" t="n"/>
      <c r="CR65" s="18" t="n"/>
      <c r="CS65" s="18" t="n"/>
      <c r="CT65" s="18" t="n"/>
      <c r="CU65" s="18" t="n"/>
      <c r="CV65" s="18" t="n"/>
      <c r="CW65" s="18" t="n"/>
      <c r="CX65" s="18" t="n"/>
      <c r="CY65" s="18" t="n"/>
      <c r="CZ65" s="18" t="n"/>
      <c r="DA65" s="18" t="n"/>
      <c r="DB65" s="18" t="n"/>
      <c r="DC65" s="18" t="n"/>
      <c r="DD65" s="18" t="n"/>
      <c r="DE65" s="18" t="n"/>
      <c r="DF65" s="18" t="n"/>
      <c r="DG65" s="18" t="n"/>
      <c r="DH65" s="18" t="n"/>
      <c r="DI65" s="18" t="n"/>
      <c r="DJ65" s="18" t="n"/>
      <c r="DK65" s="18" t="n"/>
      <c r="DL65" s="18" t="n"/>
      <c r="DM65" s="18" t="n"/>
      <c r="DN65" s="18" t="n"/>
      <c r="DO65" s="18" t="n"/>
      <c r="DP65" s="18" t="n"/>
      <c r="DQ65" s="18" t="n"/>
      <c r="DR65" s="18" t="n"/>
      <c r="DS65" s="18" t="n"/>
      <c r="DT65" s="18" t="n"/>
      <c r="DU65" s="18" t="n"/>
      <c r="DV65" s="18" t="n"/>
      <c r="DW65" s="18" t="n"/>
      <c r="DX65" s="18" t="n"/>
      <c r="DY65" s="18" t="n"/>
      <c r="DZ65" s="18" t="n"/>
      <c r="EA65" s="18" t="n"/>
      <c r="EB65" s="18" t="n"/>
      <c r="EC65" s="18" t="n"/>
      <c r="ED65" s="18" t="n"/>
      <c r="EE65" s="18" t="n"/>
      <c r="EF65" s="18" t="n"/>
      <c r="EG65" s="18" t="n"/>
      <c r="EH65" s="18" t="n"/>
      <c r="EI65" s="18" t="n"/>
      <c r="EJ65" s="18" t="n"/>
      <c r="EK65" s="18" t="n"/>
      <c r="EL65" s="18" t="n"/>
      <c r="EM65" s="18" t="n"/>
      <c r="EN65" s="18" t="n"/>
      <c r="EO65" s="18" t="n"/>
      <c r="EP65" s="18" t="n"/>
      <c r="EQ65" s="18" t="n"/>
      <c r="ER65" s="18" t="n"/>
      <c r="ES65" s="18" t="n"/>
      <c r="ET65" s="18" t="n"/>
      <c r="EU65" s="18" t="n"/>
      <c r="EV65" s="18" t="n"/>
      <c r="EW65" s="18" t="n"/>
      <c r="EX65" s="18" t="n"/>
      <c r="EY65" s="18" t="n"/>
      <c r="EZ65" s="18" t="n"/>
      <c r="FA65" s="18" t="n"/>
      <c r="FB65" s="18" t="n"/>
      <c r="FC65" s="18" t="n"/>
      <c r="FD65" s="18" t="n"/>
      <c r="FE65" s="18" t="n"/>
      <c r="FF65" s="18" t="n"/>
      <c r="FG65" s="18" t="n"/>
      <c r="FH65" s="18" t="n"/>
      <c r="FI65" s="18" t="n"/>
      <c r="FJ65" s="18" t="n"/>
      <c r="FK65" s="18" t="n"/>
      <c r="FL65" s="18" t="n"/>
      <c r="FM65" s="18" t="n"/>
      <c r="FN65" s="18" t="n"/>
      <c r="FO65" s="18" t="n"/>
      <c r="FP65" s="18" t="n"/>
      <c r="FQ65" s="18" t="n"/>
      <c r="FR65" s="18" t="n"/>
      <c r="FS65" s="18" t="n"/>
      <c r="FT65" s="18" t="n"/>
      <c r="FU65" s="18" t="n"/>
      <c r="FV65" s="18" t="n"/>
      <c r="FW65" s="18" t="n"/>
      <c r="FX65" s="18" t="n"/>
      <c r="FY65" s="18" t="n"/>
      <c r="FZ65" s="18" t="n"/>
      <c r="GA65" s="18" t="n"/>
      <c r="GB65" s="18" t="n"/>
      <c r="GC65" s="18" t="n"/>
      <c r="GD65" s="18" t="n"/>
      <c r="GE65" s="18" t="n"/>
      <c r="GF65" s="18" t="n"/>
      <c r="GG65" s="18" t="n"/>
      <c r="GH65" s="18" t="n"/>
      <c r="GI65" s="18" t="n"/>
      <c r="GJ65" s="18" t="n"/>
      <c r="GK65" s="18" t="n"/>
      <c r="GL65" s="18" t="n"/>
      <c r="GM65" s="18" t="n"/>
      <c r="GN65" s="18" t="n"/>
      <c r="GO65" s="18" t="n"/>
      <c r="GP65" s="18" t="n"/>
      <c r="GQ65" s="18" t="n"/>
      <c r="GR65" s="18" t="n"/>
      <c r="GS65" s="18" t="n"/>
      <c r="GT65" s="18" t="n"/>
      <c r="GU65" s="18" t="n"/>
      <c r="GV65" s="18" t="n"/>
      <c r="GW65" s="18" t="n"/>
      <c r="GX65" s="18" t="n"/>
      <c r="GY65" s="18" t="n"/>
      <c r="GZ65" s="18" t="n"/>
      <c r="HA65" s="18" t="n"/>
      <c r="HB65" s="18" t="n"/>
      <c r="HC65" s="18" t="n"/>
      <c r="HD65" s="18" t="n"/>
      <c r="HE65" s="18" t="n"/>
      <c r="HF65" s="18" t="n"/>
      <c r="HG65" s="18" t="n"/>
      <c r="HH65" s="18" t="n"/>
      <c r="HI65" s="18" t="n"/>
      <c r="HJ65" s="18" t="n"/>
      <c r="HK65" s="18" t="n"/>
      <c r="HL65" s="18" t="n"/>
      <c r="HM65" s="18" t="n"/>
      <c r="HN65" s="18" t="n"/>
      <c r="HO65" s="18" t="n"/>
      <c r="HP65" s="18" t="n"/>
      <c r="HQ65" s="18" t="n"/>
      <c r="HR65" s="18" t="n"/>
      <c r="HS65" s="18" t="n"/>
      <c r="HT65" s="18" t="n"/>
      <c r="HU65" s="18" t="n"/>
      <c r="HV65" s="18" t="n"/>
      <c r="HW65" s="18" t="n"/>
      <c r="HX65" s="18" t="n"/>
      <c r="HY65" s="18" t="n"/>
      <c r="HZ65" s="18" t="n"/>
      <c r="IA65" s="18" t="n"/>
      <c r="IB65" s="18" t="n"/>
      <c r="IC65" s="18" t="n"/>
      <c r="ID65" s="18" t="n"/>
      <c r="IE65" s="18" t="n"/>
      <c r="IF65" s="18" t="n"/>
      <c r="IG65" s="18" t="n"/>
      <c r="IH65" s="18" t="n"/>
      <c r="II65" s="18" t="n"/>
      <c r="IJ65" s="18" t="n"/>
      <c r="IK65" s="18" t="n"/>
      <c r="IL65" s="18" t="n"/>
      <c r="IM65" s="18" t="n"/>
      <c r="IN65" s="18" t="n"/>
      <c r="IO65" s="18" t="n"/>
      <c r="IP65" s="18" t="n"/>
      <c r="IQ65" s="18" t="n"/>
      <c r="IR65" s="18" t="n"/>
      <c r="IS65" s="18" t="n"/>
      <c r="IT65" s="18" t="n"/>
      <c r="IU65" s="18" t="n"/>
      <c r="IV65" s="18" t="n"/>
      <c r="IW65" s="18" t="n"/>
      <c r="IX65" s="18" t="n"/>
      <c r="IY65" s="18" t="n"/>
      <c r="IZ65" s="18" t="n"/>
      <c r="JA65" s="18" t="n"/>
      <c r="JB65" s="18" t="n"/>
      <c r="JC65" s="18" t="n"/>
      <c r="JD65" s="18" t="n"/>
      <c r="JE65" s="18" t="n"/>
      <c r="JF65" s="18" t="n"/>
      <c r="JG65" s="18" t="n"/>
      <c r="JH65" s="18" t="n"/>
      <c r="JI65" s="18" t="n"/>
      <c r="JJ65" s="18" t="n"/>
      <c r="JK65" s="18" t="n"/>
      <c r="JL65" s="18" t="n"/>
      <c r="JM65" s="18" t="n"/>
      <c r="JN65" s="18" t="n"/>
      <c r="JO65" s="18" t="n"/>
      <c r="JP65" s="18" t="n"/>
      <c r="JQ65" s="18" t="n"/>
      <c r="JR65" s="18" t="n"/>
      <c r="JS65" s="18" t="n"/>
      <c r="JT65" s="18" t="n"/>
      <c r="JU65" s="18" t="n"/>
      <c r="JV65" s="18" t="n"/>
      <c r="JW65" s="18" t="n"/>
      <c r="JX65" s="18" t="n"/>
      <c r="JY65" s="18" t="n"/>
      <c r="JZ65" s="18" t="n"/>
      <c r="KA65" s="18" t="n"/>
      <c r="KB65" s="18" t="n"/>
      <c r="KC65" s="18" t="n"/>
      <c r="KD65" s="18" t="n"/>
      <c r="KE65" s="18" t="n"/>
      <c r="KF65" s="18" t="n"/>
      <c r="KG65" s="18" t="n"/>
      <c r="KH65" s="18" t="n"/>
      <c r="KI65" s="18" t="n"/>
      <c r="KJ65" s="18" t="n"/>
      <c r="KK65" s="18" t="n"/>
      <c r="KL65" s="18" t="n"/>
      <c r="KM65" s="18" t="n"/>
      <c r="KN65" s="18" t="n"/>
      <c r="KO65" s="18" t="n"/>
      <c r="KP65" s="18" t="n"/>
      <c r="KQ65" s="18" t="n"/>
      <c r="KR65" s="18" t="n"/>
      <c r="KS65" s="18" t="n"/>
      <c r="KT65" s="18" t="n"/>
      <c r="KU65" s="18" t="n"/>
      <c r="KV65" s="18" t="n"/>
      <c r="KW65" s="18" t="n"/>
      <c r="KX65" s="18" t="n"/>
      <c r="KY65" s="18" t="n"/>
      <c r="KZ65" s="18" t="n"/>
      <c r="LA65" s="18" t="n"/>
      <c r="LB65" s="18" t="n"/>
      <c r="LC65" s="18" t="n"/>
      <c r="LD65" s="18" t="n"/>
      <c r="LE65" s="18" t="n"/>
      <c r="LF65" s="18" t="n"/>
      <c r="LG65" s="18" t="n"/>
      <c r="LH65" s="18" t="n"/>
      <c r="LI65" s="18" t="n"/>
      <c r="LJ65" s="18" t="n"/>
      <c r="LK65" s="18" t="n"/>
      <c r="LL65" s="18" t="n"/>
      <c r="LM65" s="18" t="n"/>
      <c r="LN65" s="18" t="n"/>
      <c r="LO65" s="18" t="n"/>
      <c r="LP65" s="18" t="n"/>
      <c r="LQ65" s="18" t="n"/>
      <c r="LR65" s="18" t="n"/>
      <c r="LS65" s="18" t="n"/>
      <c r="LT65" s="18" t="n"/>
      <c r="LU65" s="18" t="n"/>
      <c r="LV65" s="18" t="n"/>
      <c r="LW65" s="18" t="n"/>
      <c r="LX65" s="18" t="n"/>
      <c r="LY65" s="18" t="n"/>
      <c r="LZ65" s="18" t="n"/>
      <c r="MA65" s="18" t="n"/>
      <c r="MB65" s="18" t="n"/>
      <c r="MC65" s="18" t="n"/>
      <c r="MD65" s="18" t="n"/>
      <c r="ME65" s="18" t="n"/>
      <c r="MF65" s="18" t="n"/>
      <c r="MG65" s="18" t="n"/>
      <c r="MH65" s="18" t="n"/>
      <c r="MI65" s="18" t="n"/>
      <c r="MJ65" s="18" t="n"/>
      <c r="MK65" s="18" t="n"/>
      <c r="ML65" s="18" t="n"/>
      <c r="MM65" s="18" t="n"/>
      <c r="MN65" s="18" t="n"/>
      <c r="MO65" s="18" t="n"/>
      <c r="MP65" s="18" t="n"/>
      <c r="MQ65" s="18" t="n"/>
      <c r="MR65" s="18" t="n"/>
      <c r="MS65" s="18" t="n"/>
      <c r="MT65" s="18" t="n"/>
      <c r="MU65" s="18" t="n"/>
      <c r="MV65" s="18" t="n"/>
      <c r="MW65" s="18" t="n"/>
      <c r="MX65" s="18" t="n"/>
      <c r="MY65" s="18" t="n"/>
      <c r="MZ65" s="18" t="n"/>
      <c r="NA65" s="18" t="n"/>
      <c r="NB65" s="18" t="n"/>
      <c r="NC65" s="18" t="n"/>
      <c r="ND65" s="18" t="n"/>
      <c r="NE65" s="18" t="n"/>
      <c r="NF65" s="18" t="n"/>
      <c r="NG65" s="18" t="n"/>
      <c r="NH65" s="18" t="n"/>
      <c r="NI65" s="18" t="n"/>
      <c r="NJ65" s="18" t="n"/>
      <c r="NK65" s="18" t="n"/>
      <c r="NL65" s="18" t="n"/>
      <c r="NM65" s="18" t="n"/>
      <c r="NN65" s="18" t="n"/>
      <c r="NO65" s="18" t="n"/>
      <c r="NP65" s="18" t="n"/>
      <c r="NQ65" s="18" t="n"/>
      <c r="NR65" s="18" t="n"/>
      <c r="NS65" s="18" t="n"/>
      <c r="NT65" s="18" t="n"/>
      <c r="NU65" s="18" t="n"/>
      <c r="NV65" s="18" t="n"/>
      <c r="NW65" s="18" t="n"/>
      <c r="NX65" s="18" t="n"/>
      <c r="NY65" s="18" t="n"/>
      <c r="NZ65" s="18" t="n"/>
      <c r="OA65" s="18" t="n"/>
      <c r="OB65" s="18" t="n"/>
      <c r="OC65" s="18" t="n"/>
      <c r="OD65" s="18" t="n"/>
      <c r="OE65" s="18" t="n"/>
      <c r="OF65" s="18" t="n"/>
      <c r="OG65" s="18" t="n"/>
      <c r="OH65" s="18" t="n"/>
      <c r="OI65" s="18" t="n"/>
      <c r="OJ65" s="18" t="n"/>
      <c r="OK65" s="18" t="n"/>
      <c r="OL65" s="18" t="n"/>
      <c r="OM65" s="18" t="n"/>
      <c r="ON65" s="18" t="n"/>
      <c r="OO65" s="18" t="n"/>
      <c r="OP65" s="18" t="n"/>
      <c r="OQ65" s="18" t="n"/>
      <c r="OR65" s="18" t="n"/>
      <c r="OS65" s="18" t="n"/>
      <c r="OT65" s="18" t="n"/>
      <c r="OU65" s="18" t="n"/>
      <c r="OV65" s="18" t="n"/>
      <c r="OW65" s="18" t="n"/>
      <c r="OX65" s="18" t="n"/>
      <c r="OY65" s="18" t="n"/>
      <c r="OZ65" s="18" t="n"/>
      <c r="PA65" s="18" t="n"/>
      <c r="PB65" s="18" t="n"/>
      <c r="PC65" s="18" t="n"/>
      <c r="PD65" s="18" t="n"/>
      <c r="PE65" s="18" t="n"/>
      <c r="PF65" s="18" t="n"/>
      <c r="PG65" s="18" t="n"/>
      <c r="PH65" s="18" t="n"/>
      <c r="PI65" s="18" t="n"/>
      <c r="PJ65" s="18" t="n"/>
      <c r="PK65" s="18" t="n"/>
      <c r="PL65" s="18" t="n"/>
      <c r="PM65" s="18" t="n"/>
      <c r="PN65" s="18" t="n"/>
      <c r="PO65" s="18" t="n"/>
      <c r="PP65" s="18" t="n"/>
      <c r="PQ65" s="18" t="n"/>
      <c r="PR65" s="18" t="n"/>
      <c r="PS65" s="18" t="n"/>
      <c r="PT65" s="18" t="n"/>
      <c r="PU65" s="18" t="n"/>
      <c r="PV65" s="18" t="n"/>
      <c r="PW65" s="18" t="n"/>
      <c r="PX65" s="18" t="n"/>
      <c r="PY65" s="18" t="n"/>
      <c r="PZ65" s="18" t="n"/>
      <c r="QA65" s="18" t="n"/>
      <c r="QB65" s="18" t="n"/>
      <c r="QC65" s="18" t="n"/>
      <c r="QD65" s="18" t="n"/>
      <c r="QE65" s="18" t="n"/>
      <c r="QF65" s="18" t="n"/>
      <c r="QG65" s="18" t="n"/>
      <c r="QH65" s="18" t="n"/>
      <c r="QI65" s="18" t="n"/>
      <c r="QJ65" s="18" t="n"/>
      <c r="QK65" s="18" t="n"/>
      <c r="QL65" s="18" t="n"/>
      <c r="QM65" s="18" t="n"/>
      <c r="QN65" s="18" t="n"/>
      <c r="QO65" s="18" t="n"/>
      <c r="QP65" s="18" t="n"/>
      <c r="QQ65" s="18" t="n"/>
      <c r="QR65" s="18" t="n"/>
      <c r="QS65" s="18" t="n"/>
      <c r="QT65" s="18" t="n"/>
      <c r="QU65" s="18" t="n"/>
      <c r="QV65" s="18" t="n"/>
      <c r="QW65" s="18" t="n"/>
      <c r="QX65" s="18" t="n"/>
      <c r="QY65" s="18" t="n"/>
      <c r="QZ65" s="18" t="n"/>
      <c r="RA65" s="18" t="n"/>
      <c r="RB65" s="18" t="n"/>
      <c r="RC65" s="18" t="n"/>
      <c r="RD65" s="18" t="n"/>
      <c r="RE65" s="18" t="n"/>
      <c r="RF65" s="18" t="n"/>
      <c r="RG65" s="18" t="n"/>
      <c r="RH65" s="18" t="n"/>
      <c r="RI65" s="18" t="n"/>
      <c r="RJ65" s="18" t="n"/>
      <c r="RK65" s="18" t="n"/>
    </row>
  </sheetData>
  <printOptions horizontalCentered="1"/>
  <pageMargins left="0.7480314960629921" right="0.7480314960629921" top="0.984251968503937" bottom="0.984251968503937" header="0.5118110236220472" footer="0.5118110236220472"/>
  <pageSetup orientation="landscape" paperSize="8" scale="34" verticalDpi="0"/>
</worksheet>
</file>

<file path=xl/worksheets/sheet8.xml><?xml version="1.0" encoding="utf-8"?>
<worksheet xmlns="http://schemas.openxmlformats.org/spreadsheetml/2006/main">
  <sheetPr codeName="Sheet7">
    <tabColor rgb="FFFFFF00"/>
    <outlinePr summaryBelow="1" summaryRight="1"/>
    <pageSetUpPr/>
  </sheetPr>
  <dimension ref="A1:LK52"/>
  <sheetViews>
    <sheetView view="pageBreakPreview" zoomScale="55" zoomScaleNormal="70" zoomScaleSheetLayoutView="55" workbookViewId="0">
      <pane xSplit="4" ySplit="1" topLeftCell="O16" activePane="bottomRight" state="frozen"/>
      <selection pane="topRight" activeCell="A1" sqref="A1"/>
      <selection pane="bottomLeft" activeCell="A2" sqref="A2"/>
      <selection pane="bottomRight" activeCell="X26" sqref="X26"/>
    </sheetView>
  </sheetViews>
  <sheetFormatPr baseColWidth="8" defaultRowHeight="17.4"/>
  <cols>
    <col width="10" customWidth="1" style="1" min="1" max="1"/>
    <col width="10" customWidth="1" style="88" min="2" max="2"/>
    <col width="18" customWidth="1" style="88" min="3" max="3"/>
    <col width="12" customWidth="1" style="2" min="4" max="4"/>
    <col width="10" customWidth="1" style="1" min="5" max="5"/>
    <col width="10" customWidth="1" style="2" min="6" max="6"/>
    <col width="30" customWidth="1" style="88" min="7" max="7"/>
    <col width="14" customWidth="1" style="2" min="8" max="9"/>
    <col width="38" customWidth="1" style="2" min="10" max="10"/>
    <col width="54" customWidth="1" style="9" min="11" max="11"/>
    <col width="30" customWidth="1" style="2" min="12" max="12"/>
    <col width="36" customWidth="1" style="9" min="13" max="13"/>
    <col width="24" customWidth="1" style="1" min="14" max="14"/>
    <col width="36" customWidth="1" style="9" min="15" max="15"/>
    <col width="24" customWidth="1" style="1" min="16" max="16"/>
    <col width="36" customWidth="1" style="9" min="17" max="17"/>
    <col width="24" customWidth="1" style="8" min="18" max="18"/>
    <col width="16" customWidth="1" style="1" min="19" max="19"/>
  </cols>
  <sheetData>
    <row r="1" ht="28.05" customHeight="1" s="88">
      <c r="A1" s="16" t="inlineStr">
        <is>
          <t>L2 코드</t>
        </is>
      </c>
      <c r="B1" s="16" t="inlineStr">
        <is>
          <t>L3 코드</t>
        </is>
      </c>
      <c r="C1" s="16" t="inlineStr">
        <is>
          <t>L3 대공종명</t>
        </is>
      </c>
      <c r="D1" s="16" t="inlineStr">
        <is>
          <t>L4 코드</t>
        </is>
      </c>
      <c r="E1" s="16" t="inlineStr">
        <is>
          <t>선행</t>
        </is>
      </c>
      <c r="F1" s="16" t="inlineStr">
        <is>
          <t>후행</t>
        </is>
      </c>
      <c r="G1" s="16" t="inlineStr">
        <is>
          <t>작업단위 (Level 4 Task/Activity)</t>
        </is>
      </c>
      <c r="H1" s="16" t="inlineStr">
        <is>
          <t>일정 (D-Day)</t>
        </is>
      </c>
      <c r="I1" s="16" t="inlineStr">
        <is>
          <t>주관</t>
        </is>
      </c>
      <c r="J1" s="16" t="inlineStr">
        <is>
          <t>목적</t>
        </is>
      </c>
      <c r="K1" s="16" t="inlineStr">
        <is>
          <t>방법</t>
        </is>
      </c>
      <c r="L1" s="16" t="inlineStr">
        <is>
          <t>산출물(결과)</t>
        </is>
      </c>
      <c r="M1" s="16" t="inlineStr">
        <is>
          <t>표준서 (Standard) 요약</t>
        </is>
      </c>
      <c r="N1" s="16" t="inlineStr">
        <is>
          <t>표준서 파일 (HTML)</t>
        </is>
      </c>
      <c r="O1" s="16" t="inlineStr">
        <is>
          <t>수행지침 (Guideline) 요약</t>
        </is>
      </c>
      <c r="P1" s="16" t="inlineStr">
        <is>
          <t>수행지침 파일 (HTML)</t>
        </is>
      </c>
      <c r="Q1" s="16" t="inlineStr">
        <is>
          <t>체크리스트 (Checklist) 요약</t>
        </is>
      </c>
      <c r="R1" s="16" t="inlineStr">
        <is>
          <t>체크리스트 파일 (HTML)</t>
        </is>
      </c>
      <c r="S1" s="16" t="inlineStr">
        <is>
          <t>비고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</row>
    <row r="2" ht="52.05" customHeight="1" s="88">
      <c r="A2" s="19" t="inlineStr">
        <is>
          <t>9000</t>
        </is>
      </c>
      <c r="B2" s="19" t="inlineStr">
        <is>
          <t>9000-7</t>
        </is>
      </c>
      <c r="C2" s="19" t="inlineStr">
        <is>
          <t>신호분야</t>
        </is>
      </c>
      <c r="D2" s="19" t="inlineStr">
        <is>
          <t>9000-7-1</t>
        </is>
      </c>
      <c r="E2" s="95" t="inlineStr">
        <is>
          <t>-</t>
        </is>
      </c>
      <c r="F2" s="95" t="inlineStr">
        <is>
          <t>9000-7-2, 9000-7-3</t>
        </is>
      </c>
      <c r="G2" s="23" t="inlineStr">
        <is>
          <t>설계적정성 검토</t>
        </is>
      </c>
      <c r="H2" s="21" t="inlineStr">
        <is>
          <t>D-300~240</t>
        </is>
      </c>
      <c r="I2" s="21" t="inlineStr">
        <is>
          <t>현장 공무팀</t>
        </is>
      </c>
      <c r="J2" s="24" t="inlineStr">
        <is>
          <t>설계적정성 및 시공성 검토
설계오류 확인 및 수량, 내역의 오류확인</t>
        </is>
      </c>
      <c r="K2" s="49" t="inlineStr">
        <is>
          <t>- 입찰 요구사항에 대한 설계 반영여부 검토
- 설계도서 및 표준 자재(트램신호, 도로신호) 반영여부 확인
- 본선 및 차량기지 규모에 맞는 시스템 및 전자연동장치 구성의 적정성 검토
- 본선 및 차량기지에 맞는 트램신호, 도로신호 설비 배치의 적정성 검토
- SIL 인증제품 및 철도형식승인 제품적용, 경찰정 표준에 부합하는 제품 여부 확인
- 독과점 / 외산 / 특허 여부 확인
- 현장설치 시공성 및 원가 Risk 검토
- 공정계획의 적정성 검토</t>
        </is>
      </c>
      <c r="L2" s="24" t="inlineStr">
        <is>
          <t>회의록, 설계검토보고서</t>
        </is>
      </c>
      <c r="M2" s="24" t="inlineStr">
        <is>
          <t>1) 설계적정성 검토(WBS 9000-1-1) 과업 달성을 위해 SIL 4 전자연동장치 및 응답지연(≤100ms) 성능 사양의 설계도서 대조를 완료하라.
2) 철도 표준 자재(KRS) 및 분산형 CBI 용량, 선로전환기(4.5~6.0kN) 적정성을 검증하고 승인 보고서를 완수하라.</t>
        </is>
      </c>
      <c r="N2" s="25">
        <f>HYPERLINK(LEFT(CELL("filename",A1),FIND("[",CELL("filename",A1))-1)&amp;"7.신호분야\1_설계적정성 검토\표준서\설계적정성 검토_표준서.html", "👉 [클릭] 표준서 열기 📄")</f>
        <v/>
      </c>
      <c r="O2" s="24" t="inlineStr">
        <is>
          <t>1) 입찰 요구사항 상의 기술 스펙 및 자재 규격을 시방서와 사전 대조하십시오.
2) 분산형 CBI 및 선로전환기 용량의 현장 시공성 및 원가 Risk를 철저히 검토하여 승인을 획득하십시오.</t>
        </is>
      </c>
      <c r="P2" s="26">
        <f>HYPERLINK(LEFT(CELL("filename",A1),FIND("[",CELL("filename",A1))-1)&amp;"7.신호분야\1_설계적정성 검토\수행지침\LTE-R_무선_AP를_통한_신호_제어_데이터_송수신_레벨_상세절차서.html", "👉 [클릭] 수행지침 열기 📄")</f>
        <v/>
      </c>
      <c r="Q2" s="24" t="inlineStr">
        <is>
          <t>1) 입찰 안내서 상의 SIL 4 등급 및 무선지연(≤100ms) 사양이 설계 도서에 반영되었는가?
2) 철도 표준 자재(KRS) 규격 및 매립 선로전환기 전환력(4.5~6.0kN) 기준을 적격 확인하였는가?</t>
        </is>
      </c>
      <c r="R2" s="27">
        <f>HYPERLINK(LEFT(CELL("filename",A1),FIND("[",CELL("filename",A1))-1)&amp;"7.신호분야\1_설계적정성 검토\체크리스트\설계적정성 검토_체크리스트.html", "👉 [클릭] 체크리스트 열기 📄")</f>
        <v/>
      </c>
      <c r="S2" s="21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</row>
    <row r="3" ht="52.05" customHeight="1" s="88">
      <c r="A3" s="29" t="inlineStr">
        <is>
          <t>9000</t>
        </is>
      </c>
      <c r="B3" s="29" t="inlineStr">
        <is>
          <t>9000-7</t>
        </is>
      </c>
      <c r="C3" s="29" t="inlineStr">
        <is>
          <t>신호분야</t>
        </is>
      </c>
      <c r="D3" s="29" t="inlineStr">
        <is>
          <t>9000-7-2</t>
        </is>
      </c>
      <c r="E3" s="102" t="inlineStr">
        <is>
          <t>9000-7-1</t>
        </is>
      </c>
      <c r="F3" s="102" t="inlineStr">
        <is>
          <t>9000-7-4, 9000-7-7</t>
        </is>
      </c>
      <c r="G3" s="32" t="inlineStr">
        <is>
          <t>착수준비 KOM</t>
        </is>
      </c>
      <c r="H3" s="33" t="inlineStr">
        <is>
          <t>D-240~D-210</t>
        </is>
      </c>
      <c r="I3" s="33" t="inlineStr">
        <is>
          <t>현장소장</t>
        </is>
      </c>
      <c r="J3" s="34" t="inlineStr">
        <is>
          <t>신호(트램신호, 도로신호)공사 발주 전 착수수립
신호공사 발주전략 수립
발주조건 CP 사항 검토</t>
        </is>
      </c>
      <c r="K3" s="50" t="inlineStr">
        <is>
          <t>- 설계(트램신호, 도로신호) 및 현장여건 검토
- 신호설비 공사 시공성 및 하자발생 리스크 검토
- 본사 실무 협의를 거쳐 현장에 전파토록 현장공무 검토
1) 공통계획 및 보완지침 계획 수립
2) 외주 발주/수급 사전 준비 및 기술 지원
3) 시공전 신호자재 확인 및 기술 지원
4) 예상내역 및 누락 아이템 보완
- 신호설비 공사 시공실적 업체Pool 검토
- 현설조건 검토
1) 공정계획 및 신호자재 제작 기간
2) 안전성 검증을 위한 SIL 인증보유
3) 철도안전용품 인증 및 경찰청 표준규격
4) 예비품 및 소모품 확인
5) 시운전 신호자재 운전 및 교육 지원
6) 예산내역서 누락 아이템 여부</t>
        </is>
      </c>
      <c r="L3" s="34" t="inlineStr">
        <is>
          <t>본사 외주/수행/협의 부서, 착수 KOM 결과보고서, 현장설명서</t>
        </is>
      </c>
      <c r="M3" s="34" t="inlineStr">
        <is>
          <t>1) 착수준비 KOM(WBS 9000-1-2) 과업을 위해 신호(트램/도로) 공사 발주전략 수립 및 CP사항 사전 검토를 완료하라.
2) 외주 수급, 신기술자재 확인, 내역 누락 방지 조치 및 SIL 인증보유 적격 업체 Pool을 확정하라.</t>
        </is>
      </c>
      <c r="N3" s="35">
        <f>HYPERLINK(LEFT(CELL("filename",A1),FIND("[",CELL("filename",A1))-1)&amp;"7.신호분야\2_착수준비 KOM\표준서\착수준비 KOM_표준서.html", "👉 [클릭] 표준서 열기 📄")</f>
        <v/>
      </c>
      <c r="O3" s="34" t="inlineStr">
        <is>
          <t>1) 신호공사 발주 전 착수 수립 시 본사 실무 협의를 거쳐 현장 전파 및 시공성 리스크를 점검하십시오.
2) 공정계획, 안전성 SIL 인증, 무상 A/S 및 철도안전법 준수 자재 투입 계획을 사전에 확인하십시오.</t>
        </is>
      </c>
      <c r="P3" s="36">
        <f>HYPERLINK(LEFT(CELL("filename",A1),FIND("[",CELL("filename",A1))-1)&amp;"7.신호분야\2_착수준비 KOM\수행지침\LTE-R_무선_AP를_통한_신호_제어_데이터_송수신_레벨_상세절차서.html", "👉 [클릭] 수행지침 열기 📄")</f>
        <v/>
      </c>
      <c r="Q3" s="34" t="inlineStr">
        <is>
          <t>1) 신호공사 발주 조건 CP 사항 및 하자발생 리스크 사전 검토 수칙을 수행하였는가?
2) 적격 업체 Pool 검토 및 내역 누락 방지 조치, SIL 인증 보유 여부를 확인하였는가?</t>
        </is>
      </c>
      <c r="R3" s="37">
        <f>HYPERLINK(LEFT(CELL("filename",A1),FIND("[",CELL("filename",A1))-1)&amp;"7.신호분야\2_착수준비 KOM\체크리스트\착수준비 KOM_체크리스트.html", "👉 [클릭] 체크리스트 열기 📄")</f>
        <v/>
      </c>
      <c r="S3" s="33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</row>
    <row r="4" ht="52.05" customHeight="1" s="88">
      <c r="A4" s="19" t="inlineStr">
        <is>
          <t>9000</t>
        </is>
      </c>
      <c r="B4" s="19" t="inlineStr">
        <is>
          <t>9000-7</t>
        </is>
      </c>
      <c r="C4" s="19" t="inlineStr">
        <is>
          <t>신호분야</t>
        </is>
      </c>
      <c r="D4" s="19" t="inlineStr">
        <is>
          <t>9000-7-3</t>
        </is>
      </c>
      <c r="E4" s="95" t="inlineStr">
        <is>
          <t>9000-7-1</t>
        </is>
      </c>
      <c r="F4" s="95" t="inlineStr">
        <is>
          <t>9000-7-4, 9000-7-5</t>
        </is>
      </c>
      <c r="G4" s="23" t="inlineStr">
        <is>
          <t>착수전 Big Room 회의</t>
        </is>
      </c>
      <c r="H4" s="21" t="inlineStr">
        <is>
          <t>D-90</t>
        </is>
      </c>
      <c r="I4" s="21" t="inlineStr">
        <is>
          <t>현장소장</t>
        </is>
      </c>
      <c r="J4" s="24" t="inlineStr">
        <is>
          <t>신규공사 수행 시, 선행공정 간섭 및 공종 Risk에 대해 대책 수립</t>
        </is>
      </c>
      <c r="K4" s="24" t="inlineStr">
        <is>
          <t>본사(신호/토목/노반/전기/건축/기계/통신) 및 분야별 세부설계 검토
- 토목/궤도 I/F 사항 검토(시공계획 확인, 궤도 시공전 블록아웃 I/F 협의)
- 전기/통신/차량 I/F 사항 검토(분야별 I/F 사항 정리)
- 시운전 I/F 사항 검토(시운전 계획, 시험항목, 시험기간, 배치인원, 사전점검사항 등)
- 관제 및 운영사 I/F 사항 검토(관제분야 및 운영사 요구사항등)
- 인원, 자재, 장비 투입계획, 양중장비 운영계획 검토
- 분야별 인터페이스 협의(궤도, 토목, 건축, 기계설비) 표준 지침서 배포
- 현장 및 본사 Risk 요인 도출 및 대책 수립
- 타 공정 및 분야별 Risk 분석 대안(도로/궤도/신호공사 수행 공동조정/안전)
- 본사/현장/협력사 협의체 구축을 통한 세부내용 검토
- 신호자재/기자재 반입로 및 야적장/제작사 공장 검토
- 신호자재 성능보증: 유사사례 적용실적 및 성능보증 사항 검토
- 하자 예방: 타 프로젝트 하자사례 검토 후, 동일제품 적용 방지방안 수립
- SIL(Safety Integration Level) 인증제품 도입:  전자연동장치, 차상신호장치, 차축검지기, 선로전환기
- 당사의 장비 안전검사 기준 공유, 장비검사 계획 확인
- 관계기관 인허가 및 협의
1) 화성시/수원시 교통센터, 경찰청 교차로 신호 운영 체계 및 연계 협의</t>
        </is>
      </c>
      <c r="L4" s="24" t="inlineStr">
        <is>
          <t>Big Room 회의록(지침 전파 서명)</t>
        </is>
      </c>
      <c r="M4" s="24" t="inlineStr">
        <is>
          <t>1) 착수전 Big Room 회의(WBS 9000-1-3)를 통해 본사 및 각 분야(토목/궤도/전기/건축/기계/통신) 간 시공 인터페이스를 대조하라.
2) 궤도 시공 전 블록아웃, 배수로, 선로전환기, 차축검지기 설치 I/F 항목을 사전 확정하라.</t>
        </is>
      </c>
      <c r="N4" s="25">
        <f>HYPERLINK(LEFT(CELL("filename",A1),FIND("[",CELL("filename",A1))-1)&amp;"7.신호분야\3_착수전 Big Room 회의\표준서\착수전 Big Room 회의_표준서.html", "👉 [클릭] 표준서 열기 📄")</f>
        <v/>
      </c>
      <c r="O4" s="24" t="inlineStr">
        <is>
          <t>1) 신규공사 수행 시 선행공정 간섭 및 공종 Risk 대책 회의를 주관하십시오.
2) 궤도 시공 전 블록아웃 및 선로전환기 설치 I/F에 대해 각 분야 담당자와의 협의록을 작성하십시오.</t>
        </is>
      </c>
      <c r="P4" s="26">
        <f>HYPERLINK(LEFT(CELL("filename",A1),FIND("[",CELL("filename",A1))-1)&amp;"7.신호분야\3_착수전 Big Room 회의\수행지침\LTE-R_무선_AP를_통한_신호_제어_데이터_송수신_레벨_상세절차서.html", "👉 [클릭] 수행지침 열기 📄")</f>
        <v/>
      </c>
      <c r="Q4" s="24" t="inlineStr">
        <is>
          <t>1) 본사 및 분야별(토목/궤도/전기/건축/통신) 세부설계 인터페이스를 검토하였는가?
2) 궤도 시공 전 블록아웃 및 차축검지기 설치 I/F 사전 대책을 수립하였는가?</t>
        </is>
      </c>
      <c r="R4" s="27">
        <f>HYPERLINK(LEFT(CELL("filename",A1),FIND("[",CELL("filename",A1))-1)&amp;"7.신호분야\3_착수전 Big Room 회의\체크리스트\착수전 Big Room 회의_체크리스트.html", "👉 [클릭] 체크리스트 열기 📄")</f>
        <v/>
      </c>
      <c r="S4" s="21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</row>
    <row r="5" ht="52.05" customHeight="1" s="88">
      <c r="A5" s="29" t="inlineStr">
        <is>
          <t>9000</t>
        </is>
      </c>
      <c r="B5" s="29" t="inlineStr">
        <is>
          <t>9000-7</t>
        </is>
      </c>
      <c r="C5" s="29" t="inlineStr">
        <is>
          <t>신호분야</t>
        </is>
      </c>
      <c r="D5" s="29" t="inlineStr">
        <is>
          <t>9000-7-4</t>
        </is>
      </c>
      <c r="E5" s="102" t="inlineStr">
        <is>
          <t>9000-7-2, 9000-7-3</t>
        </is>
      </c>
      <c r="F5" s="102" t="inlineStr">
        <is>
          <t>9000-7-5, 9000-7-6</t>
        </is>
      </c>
      <c r="G5" s="32" t="inlineStr">
        <is>
          <t>전기 / 통신 / 건축 / 도로 / 궤도 / 차량 등 인터페이스 협의</t>
        </is>
      </c>
      <c r="H5" s="33" t="inlineStr">
        <is>
          <t>D-90
(D180~90)</t>
        </is>
      </c>
      <c r="I5" s="33" t="inlineStr">
        <is>
          <t>현장 시스템팀</t>
        </is>
      </c>
      <c r="J5" s="34" t="inlineStr">
        <is>
          <t>완벽한 시스템 조율 및 인터페이스 협의</t>
        </is>
      </c>
      <c r="K5" s="34" t="inlineStr">
        <is>
          <t>- 토목/궤도분야 인터페이스
1) 단계별 시공계획 확인
2) 궤도 시공전 블록아웃, 배수로, 선로전환기, 융설장치, 차축검지기 설치 I/F
- 전기/통신/도로/차량 인터페이스
1) (전기) 상용전원투입 및 접지단자함 설치
2) (통신) 통신망 연결을 위한 회선제공
3) (통신) 공용Pole 사용에 따른 인터페이스(굴착공사/공용 배관 배선 활용 등)
4) (차량) 차상신호 및 열차종합제어장치(TCMS) 인터페이스 협의
5) (차량) 지상신호설비 및 선형에 따른 지상/차상 장치 연계방안 협의
6) (전기/통신) UPS 통합 사용 관련 Feeder 공급 또는 할당 
7) (건축) 기계실 및 관제실 A/F 설치, 면척 및 기기 배치, 출입문 크기 등</t>
        </is>
      </c>
      <c r="L5" s="34" t="inlineStr">
        <is>
          <t>인터페이스 회의록 및 관리대장</t>
        </is>
      </c>
      <c r="M5" s="34" t="inlineStr">
        <is>
          <t>1) 시스템 조율(WBS 9000-1-4)을 위해 전기/통신/건축/도로/궤도/차량 분야 간 시공 인터페이스를 조율하라.
2) 궤도 시공 전 블록아웃, 배수로, 융설장치, 차축검지기 설치 I/F 승인서를 완수하라.</t>
        </is>
      </c>
      <c r="N5" s="35">
        <f>HYPERLINK(LEFT(CELL("filename",A1),FIND("[",CELL("filename",A1))-1)&amp;"7.신호분야\4_전기 _ 통신 _ PSD _ 차량 인터페이스 협의\표준서\전기 _ 통신 _ PSD _ 차량 인터페이스 협의_표준서.html", "👉 [클릭] 표준서 열기 📄")</f>
        <v/>
      </c>
      <c r="O5" s="34" t="inlineStr">
        <is>
          <t>1) 토목/궤도 단계별 시공계획을 확인하고 기계실 배선 및 현장 장치 설치 I/F를 조율하십시오.
2) 차축검지기 및 융설장치 체결 부위의 치수 적정성을 서면으로 확인하십시오.</t>
        </is>
      </c>
      <c r="P5" s="36">
        <f>HYPERLINK(LEFT(CELL("filename",A1),FIND("[",CELL("filename",A1))-1)&amp;"7.신호분야\4_전기 _ 통신 _ PSD _ 차량 인터페이스 협의\수행지침\LTE-R_무선_AP를_통한_신호_제어_데이터_송수신_레벨_상세절차서.html", "👉 [클릭] 수행지침 열기 📄")</f>
        <v/>
      </c>
      <c r="Q5" s="34" t="inlineStr">
        <is>
          <t>1) 토목/궤도 시공 전 블록아웃 및 배수로 설치 I/F를 사전 확인하였는가?
2) 차량기지 및 본선 선로전환기/차축검지기 체결 인터페이스를 조율하였는가?</t>
        </is>
      </c>
      <c r="R5" s="37">
        <f>HYPERLINK(LEFT(CELL("filename",A1),FIND("[",CELL("filename",A1))-1)&amp;"7.신호분야\4_전기 _ 통신 _ PSD _ 차량 인터페이스 협의\체크리스트\전기 _ 통신 _ PSD _ 차량 인터페이스 협의_체크리스트.html", "👉 [클릭] 체크리스트 열기 📄")</f>
        <v/>
      </c>
      <c r="S5" s="33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</row>
    <row r="6" ht="52.05" customHeight="1" s="88">
      <c r="A6" s="19" t="inlineStr">
        <is>
          <t>9000</t>
        </is>
      </c>
      <c r="B6" s="19" t="inlineStr">
        <is>
          <t>9000-7</t>
        </is>
      </c>
      <c r="C6" s="19" t="inlineStr">
        <is>
          <t>신호분야</t>
        </is>
      </c>
      <c r="D6" s="19" t="inlineStr">
        <is>
          <t>9000-7-5</t>
        </is>
      </c>
      <c r="E6" s="95" t="inlineStr">
        <is>
          <t>9000-7-3, 9000-7-4</t>
        </is>
      </c>
      <c r="F6" s="95" t="inlineStr">
        <is>
          <t>9000-7-6, 9000-7-8</t>
        </is>
      </c>
      <c r="G6" s="23" t="inlineStr">
        <is>
          <t>도로 / 궤도 인터페이스 협의</t>
        </is>
      </c>
      <c r="H6" s="21" t="inlineStr">
        <is>
          <t>토목공사
수행시</t>
        </is>
      </c>
      <c r="I6" s="21" t="inlineStr">
        <is>
          <t>현장 시스템팀</t>
        </is>
      </c>
      <c r="J6" s="24" t="inlineStr">
        <is>
          <t>선로선형 설계를 위한 사전조정 및 트램 운행 최적화</t>
        </is>
      </c>
      <c r="K6" s="49" t="inlineStr">
        <is>
          <t>- 유관기관 피드백 수렴/조정 및 요구사항 확인
- 궤도 분기기 통과 요구사항 검토 및 확인
- 궤도/토목 단계별 시공계획 확인
- 궤도 시공전 블록아웃 등 I/F사항 협의
- 선로전환기 어스박스 설치, 차축검지기 설치, 궤도 천공위치등 협의
- 배수설비 설치 관련 사항 협의</t>
        </is>
      </c>
      <c r="L6" s="24" t="inlineStr">
        <is>
          <t>궤도/신호 요구사항 및 회의록</t>
        </is>
      </c>
      <c r="M6" s="24" t="inlineStr">
        <is>
          <t>1) 도로/궤도 I/F(WBS 9000-1-5) 달성을 위해 선로선형 및 궤도 분기기 통과 요구사항을 검토하라.
2) 도심 매립 궤도용 선로전환기(전환력 4.5~6.0kN, 유격 ≤1.5mm) 설치 조건 및 유관기관 피드백을 반영하라.</t>
        </is>
      </c>
      <c r="N6" s="25">
        <f>HYPERLINK(LEFT(CELL("filename",A1),FIND("[",CELL("filename",A1))-1)&amp;"7.신호분야\5_도로 _ 궤도 인터페이스 협의\표준서\도로 _ 궤도 인터페이스 협의_표준서.html", "👉 [클릭] 표준서 열기 📄")</f>
        <v/>
      </c>
      <c r="O6" s="24" t="inlineStr">
        <is>
          <t>1) 유관기관 피드백 수렴 및 궤도 분기기 통과 요구사항을 사전 조정하십시오.
2) 도로 교차로 노면 매립 궤도 시공계획과 선로전환기 설치 위치 적정성을 확인하십시오.</t>
        </is>
      </c>
      <c r="P6" s="26">
        <f>HYPERLINK(LEFT(CELL("filename",A1),FIND("[",CELL("filename",A1))-1)&amp;"7.신호분야\5_도로 _ 궤도 인터페이스 협의\수행지침\LTE-R_무선_AP를_통한_신호_제어_데이터_송수신_레벨_상세절차서.html", "👉 [클릭] 수행지침 열기 📄")</f>
        <v/>
      </c>
      <c r="Q6" s="24" t="inlineStr">
        <is>
          <t>1) 궤도 분기기 통과 요구사항 및 선로선형 사전조정 결과를 확인하였는가?
2) 노면 매립형 선로전환기(전환력 4.5~6.0kN, 유격 ≤1.5mm) 시공조건을 검토하였는가?</t>
        </is>
      </c>
      <c r="R6" s="27">
        <f>HYPERLINK(LEFT(CELL("filename",A1),FIND("[",CELL("filename",A1))-1)&amp;"7.신호분야\5_도로 _ 궤도 인터페이스 협의\체크리스트\도로 _ 궤도 인터페이스 협의_체크리스트.html", "👉 [클릭] 체크리스트 열기 📄")</f>
        <v/>
      </c>
      <c r="S6" s="21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  <c r="DY6" s="18" t="n"/>
      <c r="DZ6" s="18" t="n"/>
      <c r="EA6" s="18" t="n"/>
      <c r="EB6" s="18" t="n"/>
      <c r="EC6" s="18" t="n"/>
      <c r="ED6" s="18" t="n"/>
      <c r="EE6" s="18" t="n"/>
    </row>
    <row r="7" ht="52.05" customHeight="1" s="88">
      <c r="A7" s="29" t="inlineStr">
        <is>
          <t>9000</t>
        </is>
      </c>
      <c r="B7" s="29" t="inlineStr">
        <is>
          <t>9000-7</t>
        </is>
      </c>
      <c r="C7" s="29" t="inlineStr">
        <is>
          <t>신호분야</t>
        </is>
      </c>
      <c r="D7" s="29" t="inlineStr">
        <is>
          <t>9000-7-6</t>
        </is>
      </c>
      <c r="E7" s="102" t="inlineStr">
        <is>
          <t>9000-7-4, 9000-7-5</t>
        </is>
      </c>
      <c r="F7" s="102" t="inlineStr">
        <is>
          <t>9000-7-7, 9000-7-9</t>
        </is>
      </c>
      <c r="G7" s="32" t="inlineStr">
        <is>
          <t>시공전 인터페이스 협의</t>
        </is>
      </c>
      <c r="H7" s="33" t="inlineStr">
        <is>
          <t>D-90
(D180~90)</t>
        </is>
      </c>
      <c r="I7" s="33" t="inlineStr">
        <is>
          <t>현장 시스템팀</t>
        </is>
      </c>
      <c r="J7" s="34" t="inlineStr">
        <is>
          <t>시스템의 설계 보완 검토를 진행하고 완벽한 연계를 위한 설계</t>
        </is>
      </c>
      <c r="K7" s="50" t="inlineStr">
        <is>
          <t>- 토목/궤도분야 인터페이스
1) 단계별 시공계획 확인
2) 궤도 시공전 블록아웃, 배수로, 선로전환기, 융설장치, 차축검지기 설치 I/F
- 전기/통신/도로/차량 인터페이스
1) (전기) 상용전원투입 및 접지단자함 설치
2) (통신) 통신망 연결을 위한 회선제공
3) (통신) 공용Pole 사용에 따른 인터페이스(굴착공사/공용 배관 배선 활용 등)
4) (차량) 차상신호 및 열차종합제어장치(TCMS) 인터페이스 협의
5) (차량) 지상신호설비 및 선형에 따른 지상/차상 장치 연계방안 협의
6) (전기/통신) UPS 통합 사용 관련 Feeder 공급 또는 할당 
7) (건축) 기계실 및 관제실 A/F 설치, 면척 및 기기 배치, 출입문 크기 등</t>
        </is>
      </c>
      <c r="L7" s="34" t="inlineStr">
        <is>
          <t>인터페이스 보고서 및 인터페이스 회의록</t>
        </is>
      </c>
      <c r="M7" s="34" t="inlineStr">
        <is>
          <t>1) 시공전 인터페이스(WBS 9000-1-6)를 통해 시스템 설계 보완 및 연계 방안을 정밀 검토하라.
2) 배관배선 인입구, 구조물 간섭 및 궤도 시공 전 설치 항목을 개시 전 차단하라.</t>
        </is>
      </c>
      <c r="N7" s="35">
        <f>HYPERLINK(LEFT(CELL("filename",A1),FIND("[",CELL("filename",A1))-1)&amp;"7.신호분야\6_시공전 인터페이스 협의\표준서\시공전 인터페이스 협의_표준서.html", "👉 [클릭] 표준서 열기 📄")</f>
        <v/>
      </c>
      <c r="O7" s="34" t="inlineStr">
        <is>
          <t>1) 시스템 설계 보완검토를 통해 연계 시공 시 발생 가능한 간섭을 사전에 제거하십시오.
2) 궤도 시공 전 블록아웃 및 케이블 인입 배관의 간섭 여부를 정밀 확인하십시오.</t>
        </is>
      </c>
      <c r="P7" s="36">
        <f>HYPERLINK(LEFT(CELL("filename",A1),FIND("[",CELL("filename",A1))-1)&amp;"7.신호분야\6_시공전 인터페이스 협의\수행지침\LTE-R_무선_AP를_통한_신호_제어_데이터_송수신_레벨_상세절차서.html", "👉 [클릭] 수행지침 열기 📄")</f>
        <v/>
      </c>
      <c r="Q7" s="34" t="inlineStr">
        <is>
          <t>1) 시스템 설계 보완 검토를 통해 연계 설치 방안을 확정하였는가?
2) 케이블 인입 배관 및 궤도 블록아웃 간섭을 사전 제거하였는가?</t>
        </is>
      </c>
      <c r="R7" s="37">
        <f>HYPERLINK(LEFT(CELL("filename",A1),FIND("[",CELL("filename",A1))-1)&amp;"7.신호분야\6_시공전 인터페이스 협의\체크리스트\시공전 인터페이스 협의_체크리스트.html", "👉 [클릭] 체크리스트 열기 📄")</f>
        <v/>
      </c>
      <c r="S7" s="33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8" t="n"/>
      <c r="EB7" s="18" t="n"/>
      <c r="EC7" s="18" t="n"/>
      <c r="ED7" s="18" t="n"/>
      <c r="EE7" s="18" t="n"/>
      <c r="EF7" s="18" t="n"/>
      <c r="EG7" s="18" t="n"/>
      <c r="EH7" s="18" t="n"/>
      <c r="EI7" s="18" t="n"/>
    </row>
    <row r="8" ht="52.05" customHeight="1" s="88">
      <c r="A8" s="19" t="inlineStr">
        <is>
          <t>9000</t>
        </is>
      </c>
      <c r="B8" s="19" t="inlineStr">
        <is>
          <t>9000-7</t>
        </is>
      </c>
      <c r="C8" s="19" t="inlineStr">
        <is>
          <t>신호분야</t>
        </is>
      </c>
      <c r="D8" s="19" t="inlineStr">
        <is>
          <t>9000-7-7</t>
        </is>
      </c>
      <c r="E8" s="95" t="inlineStr">
        <is>
          <t>9000-7-2, 9000-7-6</t>
        </is>
      </c>
      <c r="F8" s="95" t="inlineStr">
        <is>
          <t>9000-7-8, 9000-7-10</t>
        </is>
      </c>
      <c r="G8" s="23" t="inlineStr">
        <is>
          <t>시스템 장비검토 사전 협의사항 도출 및 검토</t>
        </is>
      </c>
      <c r="H8" s="21" t="inlineStr">
        <is>
          <t>D-90
(D180~90)</t>
        </is>
      </c>
      <c r="I8" s="21" t="inlineStr">
        <is>
          <t>현장 시스템팀</t>
        </is>
      </c>
      <c r="J8" s="24" t="inlineStr">
        <is>
          <t>완벽한 시스템 연계 및 동작성 확보를 위한 가이드라인 제공</t>
        </is>
      </c>
      <c r="K8" s="24" t="inlineStr">
        <is>
          <t>- 성능보증 기능성 신호자재 단품 Spec 검토
- 제조사 자체 시험 및 인증 확인
- 설치 시공대장 및 제작도서 승인 서명</t>
        </is>
      </c>
      <c r="L8" s="24" t="inlineStr">
        <is>
          <t>자체 검증서 및 제작도서 승인 서류</t>
        </is>
      </c>
      <c r="M8" s="24" t="inlineStr">
        <is>
          <t>1) 장비 사전검토(WBS 9000-1-7)를 위해 기능성 신호자재 단품 Spec 및 성능보증 사양을 검토하라.
2) 제조사 자체 시험 성적서, KRS 표준 규격 및 제작도서 승인 서명을 완수하라.</t>
        </is>
      </c>
      <c r="N8" s="25">
        <f>HYPERLINK(LEFT(CELL("filename",A1),FIND("[",CELL("filename",A1))-1)&amp;"7.신호분야\7_시스템 장비검토 사전 협의사항 도출 및 검토\표준서\시스템 장비검토 사전 협의사항 도출 및 검토_표준서.html", "👉 [클릭] 표준서 열기 📄")</f>
        <v/>
      </c>
      <c r="O8" s="24" t="inlineStr">
        <is>
          <t>1) 신호자재 단품 Spec 검토 및 제조사 자체 시험성적서를 확인하십시오.
2) 제작도서 승인 서명 및 현장 투입 전 성능보증 기능을 검증하십시오.</t>
        </is>
      </c>
      <c r="P8" s="26">
        <f>HYPERLINK(LEFT(CELL("filename",A1),FIND("[",CELL("filename",A1))-1)&amp;"7.신호분야\7_시스템 장비검토 사전 협의사항 도출 및 검토\수행지침\CBI_CPU_2중화_절체_반응_속도(≤0.5초)_검토_상세절차서.html", "👉 [클릭] 수행지침 열기 📄")</f>
        <v/>
      </c>
      <c r="Q8" s="24" t="inlineStr">
        <is>
          <t>1) 성능보증 기능성 신호자재 단품 Spec 검토를 완료하였는가?
2) 제조사 공장검수 성적서 및 제작도서 승인 서명을 확인하였는가?</t>
        </is>
      </c>
      <c r="R8" s="27">
        <f>HYPERLINK(LEFT(CELL("filename",A1),FIND("[",CELL("filename",A1))-1)&amp;"7.신호분야\7_시스템 장비검토 사전 협의사항 도출 및 검토\체크리스트\시스템 장비검토 사전 협의사항 도출 및 검토_체크리스트.html", "👉 [클릭] 체크리스트 열기 📄")</f>
        <v/>
      </c>
      <c r="S8" s="21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8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</row>
    <row r="9" ht="52.05" customHeight="1" s="88">
      <c r="A9" s="29" t="inlineStr">
        <is>
          <t>9000</t>
        </is>
      </c>
      <c r="B9" s="29" t="inlineStr">
        <is>
          <t>9000-7</t>
        </is>
      </c>
      <c r="C9" s="29" t="inlineStr">
        <is>
          <t>신호분야</t>
        </is>
      </c>
      <c r="D9" s="29" t="inlineStr">
        <is>
          <t>9000-7-8</t>
        </is>
      </c>
      <c r="E9" s="102" t="inlineStr">
        <is>
          <t>9000-7-5, 9000-7-7</t>
        </is>
      </c>
      <c r="F9" s="102" t="inlineStr">
        <is>
          <t>9000-7-11, 9000-7-12</t>
        </is>
      </c>
      <c r="G9" s="32" t="inlineStr">
        <is>
          <t>관제 및 운영사 인터페이스 협의</t>
        </is>
      </c>
      <c r="H9" s="33" t="inlineStr">
        <is>
          <t>D-90
(D180~90)</t>
        </is>
      </c>
      <c r="I9" s="33" t="inlineStr">
        <is>
          <t>현장 시스템팀</t>
        </is>
      </c>
      <c r="J9" s="34" t="inlineStr">
        <is>
          <t>관제 및 운영사 요구사항 사전 반영 및 시공신뢰 확보</t>
        </is>
      </c>
      <c r="K9" s="50" t="inlineStr">
        <is>
          <t>- 시운전시 조율사항 및 예비사항 도출
- 신호제어 운영사 실무 조율 및 협의
- 철도관제를 위한 관제사 조작반 및 화면표시 정보에 대한 사전협의 항목 도출
- 설계내용 중 신호설비 운영 및 유지보수자 편의성 향상을 위한 기능추가 / 불필요 기능 삭제 사전협의</t>
        </is>
      </c>
      <c r="L9" s="34" t="inlineStr">
        <is>
          <t>인터페이스 회의록 및 관리대장</t>
        </is>
      </c>
      <c r="M9" s="34" t="inlineStr">
        <is>
          <t>1) 관제/운영사 I/F(WBS 9000-1-8) 달성을 위해 종합관제실(OCC) 요구사항을 시공 전 반영하라.
2) 철도관제를 위한 관제사 조작반 MMI 및 예비관제 1:1 실시간 DB 동기화를 검증하라.</t>
        </is>
      </c>
      <c r="N9" s="35">
        <f>HYPERLINK(LEFT(CELL("filename",A1),FIND("[",CELL("filename",A1))-1)&amp;"7.신호분야\8_관제 및 운영사 인터페이스 협의\표준서\관제 및 운영사 인터페이스 협의_표준서.html", "👉 [클릭] 표준서 열기 📄")</f>
        <v/>
      </c>
      <c r="O9" s="34" t="inlineStr">
        <is>
          <t>1) 관제 및 운영사 실무 조율을 거쳐 시운전 시 예비사항 및 조작반 화면표시 정보를 도출하십시오.
2) 관제센터 MMI 화면 및 조작반 정보의 실시간 동기화 상태를 확인하십시오.</t>
        </is>
      </c>
      <c r="P9" s="36">
        <f>HYPERLINK(LEFT(CELL("filename",A1),FIND("[",CELL("filename",A1))-1)&amp;"7.신호분야\8_관제 및 운영사 인터페이스 협의\수행지침\LTE-R_무선_AP를_통한_신호_제어_데이터_송수신_레벨_상세절차서.html", "👉 [클릭] 수행지침 열기 📄")</f>
        <v/>
      </c>
      <c r="Q9" s="34" t="inlineStr">
        <is>
          <t>1) 시운전 시 조율사항 및 예비사항 도출을 완료하였는가?
2) 철도관제를 위한 관제사 조작반 MMI 표시 정보를 사전 검토하였는가?</t>
        </is>
      </c>
      <c r="R9" s="37">
        <f>HYPERLINK(LEFT(CELL("filename",A1),FIND("[",CELL("filename",A1))-1)&amp;"7.신호분야\8_관제 및 운영사 인터페이스 협의\체크리스트\관제 및 운영사 인터페이스 협의_체크리스트.html", "👉 [클릭] 체크리스트 열기 📄")</f>
        <v/>
      </c>
      <c r="S9" s="33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8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</row>
    <row r="10" ht="52.05" customHeight="1" s="88">
      <c r="A10" s="19" t="inlineStr">
        <is>
          <t>9000</t>
        </is>
      </c>
      <c r="B10" s="19" t="inlineStr">
        <is>
          <t>9000-7</t>
        </is>
      </c>
      <c r="C10" s="19" t="inlineStr">
        <is>
          <t>신호분야</t>
        </is>
      </c>
      <c r="D10" s="19" t="inlineStr">
        <is>
          <t>9000-7-9</t>
        </is>
      </c>
      <c r="E10" s="95" t="inlineStr">
        <is>
          <t>9000-7-6</t>
        </is>
      </c>
      <c r="F10" s="95" t="inlineStr">
        <is>
          <t>9000-7-12, 9000-7-13</t>
        </is>
      </c>
      <c r="G10" s="23" t="inlineStr">
        <is>
          <t>자재 / 인원 / 장비 및 투입 사전 검토</t>
        </is>
      </c>
      <c r="H10" s="21" t="inlineStr">
        <is>
          <t>D-90
(D180~90)</t>
        </is>
      </c>
      <c r="I10" s="21" t="inlineStr">
        <is>
          <t>현장 시스템팀 / 협력사 / 관리감독자</t>
        </is>
      </c>
      <c r="J10" s="24" t="inlineStr">
        <is>
          <t>자재/인원/장비 투입 계획 수립</t>
        </is>
      </c>
      <c r="K10" s="24" t="inlineStr">
        <is>
          <t>현장 여건 및 수량을 기준으로 투입 인원, 장비 계획 규명
- 현장여건 및 궤도 시공계획 검토에 따른 시공계획 작성
- 시공계획 작성에 따른 인력투입계획, 자재수급계획, 장비투입계획 작성
- 시공계획 작성에 따른 관계기관(경찰청, 지자체 교통센터) 협의사항 도출
- 공사에 따른 민원 또는 발주처 관계기관 요구사항 점검</t>
        </is>
      </c>
      <c r="L10" s="24" t="inlineStr">
        <is>
          <t>세부 공정계획 수립 및 보고</t>
        </is>
      </c>
      <c r="M10" s="24" t="inlineStr">
        <is>
          <t>1) 자재/인원/장비 계획(WBS 9000-1-9) 수립을 위해 현장 수량 기준 투입 계획을 승인하라.
2) 현장 여건 및 궤도 시공계획 맞춤형 투입 schedule 작성 및 수급 조정을 완수하라.</t>
        </is>
      </c>
      <c r="N10" s="25">
        <f>HYPERLINK(LEFT(CELL("filename",A1),FIND("[",CELL("filename",A1))-1)&amp;"7.신호분야\9_자재 _ 인원 _ 장비 및 투입 사전 검토\표준서\자재 _ 인원 _ 장비 및 투입 사전 검토_표준서.html", "👉 [클릭] 표준서 열기 📄")</f>
        <v/>
      </c>
      <c r="O10" s="24" t="inlineStr">
        <is>
          <t>1) 현장 여건 및 수량을 기준으로 투입 인원, 장비 계획서를 작성하여 감리단 승인을 받으십시오.
2) 궤도 시공계획과 연계된 자재 반입 및 작업원 투입 스케줄을 조정하십시오.</t>
        </is>
      </c>
      <c r="P10" s="26">
        <f>HYPERLINK(LEFT(CELL("filename",A1),FIND("[",CELL("filename",A1))-1)&amp;"7.신호분야\9_자재 _ 인원 _ 장비 및 투입 사전 검토\수행지침\LTE-R_무선_AP를_통한_신호_제어_데이터_송수신_레벨_상세절차서.html", "👉 [클릭] 수행지침 열기 📄")</f>
        <v/>
      </c>
      <c r="Q10" s="24" t="inlineStr">
        <is>
          <t>1) 현장 수량 기준 투입 인원 및 장비 계획 규명서를 작성하였는가?
2) 궤도 시공계획 연계 투입 스케줄 감리단 승인을 획득하였는가?</t>
        </is>
      </c>
      <c r="R10" s="27">
        <f>HYPERLINK(LEFT(CELL("filename",A1),FIND("[",CELL("filename",A1))-1)&amp;"7.신호분야\9_자재 _ 인원 _ 장비 및 투입 사전 검토\체크리스트\자재 _ 인원 _ 장비 및 투입 사전 검토_체크리스트.html", "👉 [클릭] 체크리스트 열기 📄")</f>
        <v/>
      </c>
      <c r="S10" s="21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8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</row>
    <row r="11" ht="52.05" customHeight="1" s="88">
      <c r="A11" s="29" t="inlineStr">
        <is>
          <t>9000</t>
        </is>
      </c>
      <c r="B11" s="29" t="inlineStr">
        <is>
          <t>9000-7</t>
        </is>
      </c>
      <c r="C11" s="29" t="inlineStr">
        <is>
          <t>신호분야</t>
        </is>
      </c>
      <c r="D11" s="29" t="inlineStr">
        <is>
          <t>9000-7-10</t>
        </is>
      </c>
      <c r="E11" s="102" t="inlineStr">
        <is>
          <t>9000-7-7</t>
        </is>
      </c>
      <c r="F11" s="102" t="inlineStr">
        <is>
          <t>9000-7-13, 9000-7-14</t>
        </is>
      </c>
      <c r="G11" s="32" t="inlineStr">
        <is>
          <t>장비반입 및 안전교육</t>
        </is>
      </c>
      <c r="H11" s="33" t="inlineStr">
        <is>
          <t>D-90
(D180~90)</t>
        </is>
      </c>
      <c r="I11" s="33" t="inlineStr">
        <is>
          <t>현장 시스템팀 / 안전팀</t>
        </is>
      </c>
      <c r="J11" s="34" t="inlineStr">
        <is>
          <t>장비 반입 준비 및 안전교육 완료</t>
        </is>
      </c>
      <c r="K11" s="50" t="inlineStr">
        <is>
          <t>- 도로 굴착장비, 고속작업 시 사용할 장비, 인양장비등 관련 장비 계획 검토
- 장비 spec 확인, 장비 성능 점검
- 작업원 안전교육 실시</t>
        </is>
      </c>
      <c r="L11" s="34" t="inlineStr">
        <is>
          <t>측정기록서, 안전교육 결과서</t>
        </is>
      </c>
      <c r="M11" s="34" t="inlineStr">
        <is>
          <t>1) 장비안전(WBS 9000-1-10) 확보를 위해 굴착/고속작업/인양 장비 Spec 점검 및 성능 검사를 시행하라.
2) 작업원 특별 안전교육 및 위험성평가 이행 확인서를 승인 완수하라.</t>
        </is>
      </c>
      <c r="N11" s="35">
        <f>HYPERLINK(LEFT(CELL("filename",A1),FIND("[",CELL("filename",A1))-1)&amp;"7.신호분야\10_장비반입 및 안전교육\표준서\장비반입 및 안전교육_표준서.html", "👉 [클릭] 표준서 열기 📄")</f>
        <v/>
      </c>
      <c r="O11" s="34" t="inlineStr">
        <is>
          <t>1) 도로 굴착 및 인양 장비 Spec 확인과 장비 성능 점검을 반입 전 수행하십시오.
2) 신호 공사 작업원에 대한 특별 안전교육 및 보호구 착용 상태를 확인하십시오.</t>
        </is>
      </c>
      <c r="P11" s="36">
        <f>HYPERLINK(LEFT(CELL("filename",A1),FIND("[",CELL("filename",A1))-1)&amp;"7.신호분야\10_장비반입 및 안전교육\수행지침\LTE-R_무선_AP를_통한_신호_제어_데이터_송수신_레벨_상세절차서.html", "👉 [클릭] 수행지침 열기 📄")</f>
        <v/>
      </c>
      <c r="Q11" s="34" t="inlineStr">
        <is>
          <t>1) 도로 굴착 및 인양 장비 Spec 점검 및 성능 검사를 완료하였는가?
2) 신호 공사 작업원 특별 안전교육 실시 기록을 확인하였는가?</t>
        </is>
      </c>
      <c r="R11" s="37">
        <f>HYPERLINK(LEFT(CELL("filename",A1),FIND("[",CELL("filename",A1))-1)&amp;"7.신호분야\10_장비반입 및 안전교육\체크리스트\장비반입 및 안전교육_체크리스트.html", "👉 [클릭] 체크리스트 열기 📄")</f>
        <v/>
      </c>
      <c r="S11" s="33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8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8" t="n"/>
      <c r="EY11" s="18" t="n"/>
    </row>
    <row r="12" ht="52.05" customHeight="1" s="88">
      <c r="A12" s="19" t="inlineStr">
        <is>
          <t>9000</t>
        </is>
      </c>
      <c r="B12" s="19" t="inlineStr">
        <is>
          <t>9000-7</t>
        </is>
      </c>
      <c r="C12" s="19" t="inlineStr">
        <is>
          <t>신호분야</t>
        </is>
      </c>
      <c r="D12" s="19" t="inlineStr">
        <is>
          <t>9000-7-11</t>
        </is>
      </c>
      <c r="E12" s="95" t="inlineStr">
        <is>
          <t>9000-7-8</t>
        </is>
      </c>
      <c r="F12" s="95" t="inlineStr">
        <is>
          <t>9000-7-14, 9000-7-15</t>
        </is>
      </c>
      <c r="G12" s="23" t="inlineStr">
        <is>
          <t>자재 반입 및 검수</t>
        </is>
      </c>
      <c r="H12" s="21" t="inlineStr">
        <is>
          <t>D-5
(D-10~5)</t>
        </is>
      </c>
      <c r="I12" s="21" t="inlineStr">
        <is>
          <t>현장소장 및 발주청/공동감리단</t>
        </is>
      </c>
      <c r="J12" s="24" t="inlineStr">
        <is>
          <t>공장제품 품질 확보를 위한 자재 검수 및 검사</t>
        </is>
      </c>
      <c r="K12" s="49" t="inlineStr">
        <is>
          <t>- 자재공급승인원 제출 및 승인
- 공장검수 계획 제출 및 승인
- 각종 자재 사양 확인(KS, 표준규격, 독/과점 규격 등)
- 자재 현지 반입 및 반입동선, 반입기간, 반입장소 검토
- 승인된 자재 상세사양 확인(Serial number 등록)
- 제품의 규격, 수량 도면과 일치하는지 검토</t>
        </is>
      </c>
      <c r="L12" s="24" t="inlineStr">
        <is>
          <t>자재검수요청서 / 자재수입검사서</t>
        </is>
      </c>
      <c r="M12" s="24" t="inlineStr">
        <is>
          <t>1) 자재검수(WBS 9000-1-11) 강화를 위해 자재공급승인원(MAR) 제출 및 공장검수를 시행하라.
2) 반입 자재의 KS/KRS 규격 시험성적서 대조 검수 및 품질 보증을 완수하라.</t>
        </is>
      </c>
      <c r="N12" s="25">
        <f>HYPERLINK(LEFT(CELL("filename",A1),FIND("[",CELL("filename",A1))-1)&amp;"7.신호분야\11_자재 반입 및 검수\표준서\자재 반입 및 검수_표준서.html", "👉 [클릭] 표준서 열기 📄")</f>
        <v/>
      </c>
      <c r="O12" s="24" t="inlineStr">
        <is>
          <t>1) 자재공급승인원(MAR) 및 공장검수 계획서를 제출하여 감리단 승인을 획득하십시오.
2) 자재 현지 반입 시 사양서, 시험성적서 및 표준규격 부합 여부를 인수 검수하십시오.</t>
        </is>
      </c>
      <c r="P12" s="26">
        <f>HYPERLINK(LEFT(CELL("filename",A1),FIND("[",CELL("filename",A1))-1)&amp;"7.신호분야\11_자재 반입 및 검수\수행지침\LTE-R_무선_AP를_통한_신호_제어_데이터_송수신_레벨_상세절차서.html", "👉 [클릭] 수행지침 열기 📄")</f>
        <v/>
      </c>
      <c r="Q12" s="24" t="inlineStr">
        <is>
          <t>1) 자재공급승인원(MAR) 제출 및 공장검수 승인을 획득하였는가?
2) 반입 자재 사양 확인(KS, KRS 표준규격) 및 수량 검수를 시행하였는가?</t>
        </is>
      </c>
      <c r="R12" s="27">
        <f>HYPERLINK(LEFT(CELL("filename",A1),FIND("[",CELL("filename",A1))-1)&amp;"7.신호분야\11_자재 반입 및 검수\체크리스트\자재 반입 및 검수_체크리스트.html", "👉 [클릭] 체크리스트 열기 📄")</f>
        <v/>
      </c>
      <c r="S12" s="2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8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8" t="n"/>
      <c r="EY12" s="18" t="n"/>
      <c r="EZ12" s="18" t="n"/>
      <c r="FA12" s="18" t="n"/>
      <c r="FB12" s="18" t="n"/>
      <c r="FC12" s="18" t="n"/>
    </row>
    <row r="13" ht="52.05" customHeight="1" s="88">
      <c r="A13" s="29" t="inlineStr">
        <is>
          <t>9000</t>
        </is>
      </c>
      <c r="B13" s="29" t="inlineStr">
        <is>
          <t>9000-7</t>
        </is>
      </c>
      <c r="C13" s="29" t="inlineStr">
        <is>
          <t>신호분야</t>
        </is>
      </c>
      <c r="D13" s="29" t="inlineStr">
        <is>
          <t>9000-7-12</t>
        </is>
      </c>
      <c r="E13" s="102" t="inlineStr">
        <is>
          <t>9000-7-8, 9000-7-9</t>
        </is>
      </c>
      <c r="F13" s="102" t="inlineStr">
        <is>
          <t>9000-7-15, 9000-7-16</t>
        </is>
      </c>
      <c r="G13" s="32" t="inlineStr">
        <is>
          <t>시스템설비 설치 (현장/기능실)</t>
        </is>
      </c>
      <c r="H13" s="33" t="inlineStr">
        <is>
          <t>D+31
~D+120</t>
        </is>
      </c>
      <c r="I13" s="33" t="inlineStr">
        <is>
          <t>현장소장 및 분야별 전담팀</t>
        </is>
      </c>
      <c r="J13" s="34" t="inlineStr">
        <is>
          <t>현장설비 및 기기실의 자체 최적의 설치작업</t>
        </is>
      </c>
      <c r="K13" s="34" t="inlineStr">
        <is>
          <t>- 기계 장치 위치 및 마감 동선 확인
- 승인된 자재 상세사양 확인 (Serial number 등록)
- 제품의 규격, 수량 도면과 일치하는지 검토
- 배선/기능실 배선 상태 및 신호 인터페이스 확인
- 배선/기능실 케이블 및 전선 배선을 시운전 및 계측기 결과에 준하여 시행
- 케이블 단선부 및 배선 등 내부 배선 및 배선 결과 검수서</t>
        </is>
      </c>
      <c r="L13" s="34" t="inlineStr">
        <is>
          <t>검사 결과서</t>
        </is>
      </c>
      <c r="M13" s="34" t="inlineStr">
        <is>
          <t>1) 시스템설비 설치(WBS 9000-1-12)를 위해 기계실 랙 마감 동선 및 승인 자재 상세 사양을 확인하라.
2) 현장 신호기, 선로전환기 기초 볼트 체결 및 도면 일치 여부를 정밀 시공하라.</t>
        </is>
      </c>
      <c r="N13" s="35">
        <f>HYPERLINK(LEFT(CELL("filename",A1),FIND("[",CELL("filename",A1))-1)&amp;"7.신호분야\12_시스템설비 설치 (현장_기능실)\표준서\시스템설비 설치 (현장_기능실)_표준서.html", "👉 [클릭] 표준서 열기 📄")</f>
        <v/>
      </c>
      <c r="O13" s="34" t="inlineStr">
        <is>
          <t>1) 기계실 장치 위치, 마감 동선 및 승인 자재 Serial Number 등록을 확인하십시오.
2) 현장 설치 설비의 규격, 수량 및 도면 일치 여부를 정밀 측정하여 시공하십시오.</t>
        </is>
      </c>
      <c r="P13" s="36">
        <f>HYPERLINK(LEFT(CELL("filename",A1),FIND("[",CELL("filename",A1))-1)&amp;"7.신호분야\12_시스템설비 설치 (현장_기능실)\수행지침\LTE-R_무선_AP를_통한_신호_제어_데이터_송수신_레벨_상세절차서.html", "👉 [클릭] 수행지침 열기 📄")</f>
        <v/>
      </c>
      <c r="Q13" s="34" t="inlineStr">
        <is>
          <t>1) 기계실 장치 위치, 마감 동선 및 승인 자재 사양을 확인하였는가?
2) 현장 신호기/선로전환기 기초 볼트 체결 및 규격 일치 여부를 시공하였는가?</t>
        </is>
      </c>
      <c r="R13" s="37">
        <f>HYPERLINK(LEFT(CELL("filename",A1),FIND("[",CELL("filename",A1))-1)&amp;"7.신호분야\12_시스템설비 설치 (현장_기능실)\체크리스트\시스템설비 설치 (현장_기능실)_체크리스트.html", "👉 [클릭] 체크리스트 열기 📄")</f>
        <v/>
      </c>
      <c r="S13" s="33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Y13" s="18" t="n"/>
      <c r="DZ13" s="18" t="n"/>
      <c r="EA13" s="18" t="n"/>
      <c r="EB13" s="18" t="n"/>
      <c r="EC13" s="18" t="n"/>
      <c r="ED13" s="18" t="n"/>
      <c r="EE13" s="18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P13" s="18" t="n"/>
      <c r="EQ13" s="18" t="n"/>
      <c r="ER13" s="18" t="n"/>
      <c r="ES13" s="18" t="n"/>
      <c r="ET13" s="18" t="n"/>
      <c r="EU13" s="18" t="n"/>
      <c r="EV13" s="18" t="n"/>
      <c r="EW13" s="18" t="n"/>
      <c r="EX13" s="18" t="n"/>
      <c r="EY13" s="18" t="n"/>
      <c r="EZ13" s="18" t="n"/>
      <c r="FA13" s="18" t="n"/>
      <c r="FB13" s="18" t="n"/>
      <c r="FC13" s="18" t="n"/>
      <c r="FD13" s="18" t="n"/>
      <c r="FE13" s="18" t="n"/>
      <c r="FF13" s="18" t="n"/>
      <c r="FG13" s="18" t="n"/>
    </row>
    <row r="14" ht="52.05" customHeight="1" s="88">
      <c r="A14" s="19" t="inlineStr">
        <is>
          <t>9000</t>
        </is>
      </c>
      <c r="B14" s="19" t="inlineStr">
        <is>
          <t>9000-7</t>
        </is>
      </c>
      <c r="C14" s="19" t="inlineStr">
        <is>
          <t>신호분야</t>
        </is>
      </c>
      <c r="D14" s="19" t="inlineStr">
        <is>
          <t>9000-7-13</t>
        </is>
      </c>
      <c r="E14" s="95" t="inlineStr">
        <is>
          <t>9000-7-9, 9000-7-10</t>
        </is>
      </c>
      <c r="F14" s="95" t="inlineStr">
        <is>
          <t>9000-7-16, 9000-7-17</t>
        </is>
      </c>
      <c r="G14" s="23" t="inlineStr">
        <is>
          <t>시스템 단위시험</t>
        </is>
      </c>
      <c r="H14" s="21" t="inlineStr">
        <is>
          <t xml:space="preserve">D+151
~D+195
</t>
        </is>
      </c>
      <c r="I14" s="21" t="inlineStr">
        <is>
          <t>현장 시스템팀</t>
        </is>
      </c>
      <c r="J14" s="24" t="inlineStr">
        <is>
          <t>철도안전법상 신호시스템 규정에 대한 설치 후 현황시험 및 기능 확보</t>
        </is>
      </c>
      <c r="K14" s="49" t="inlineStr">
        <is>
          <t>- 자체단독시험 및 관계부서 공동 시험수행 여부
- 지상신호장치 및 관계부서 단위시험 결과서
- 감리단이 승인한 검사 및 시험 점검표 (ITP/ITC) 절차에 따라 수행
- 지상신호설비 단위시험 항목
1) 신호기장치 / 선로전환기 장치 / 전자연동장치 / 열차자동방호장치 / 신호전원장치 / 전선로 / 안전설비 / 기타설비 / 트램신호기 / TPD 등
- 관제설비
1) 서버설치 / 네트워크 장치 / 콘솔장치 / 대형표시반 / LDTS</t>
        </is>
      </c>
      <c r="L14" s="24" t="inlineStr">
        <is>
          <t>자체단독시험 및 시험결과서 (단독단위)</t>
        </is>
      </c>
      <c r="M14" s="24" t="inlineStr">
        <is>
          <t>1) 단위시험(WBS 9000-1-14) 수행을 위해 철도안전법 규정에 따른 설치 후 단독 현황시험을 시행하라.
2) 신호기, 선로전환기, 전원장치, 차축검지기 개별 ITP/ITC 시험 결과서를 승인 완수하라.</t>
        </is>
      </c>
      <c r="N14" s="25">
        <f>HYPERLINK(LEFT(CELL("filename",A1),FIND("[",CELL("filename",A1))-1)&amp;"7.신호분야\13_시스템 단위시험\표준서\시스템 단위시험_표준서.html", "👉 [클릭] 표준서 열기 📄")</f>
        <v/>
      </c>
      <c r="O14" s="24" t="inlineStr">
        <is>
          <t>1) 자체 단독시험 및 관계부서 공동 시험수행 여부를 확인하십시오.
2) 감리단 승인 점검표(ITP/ITC) 절차에 따라 지상신호장치 단위시험 결과서를 작성하십시오.</t>
        </is>
      </c>
      <c r="P14" s="26">
        <f>HYPERLINK(LEFT(CELL("filename",A1),FIND("[",CELL("filename",A1))-1)&amp;"7.신호분야\13_시스템 단위시험\수행지침\CBI_IO_릴레이_모듈_동작_상태_검측_상세절차서.html", "👉 [클릭] 수행지침 열기 📄")</f>
        <v/>
      </c>
      <c r="Q14" s="24" t="inlineStr">
        <is>
          <t>1) 지상신호장치 및 관계부서 단위시험 결과서를 확인하였는가?
2) 감리단 승인 점검표(ITP/ITC) 절차에 따라 개별 단독 현황시험을 수행하였는가?</t>
        </is>
      </c>
      <c r="R14" s="27">
        <f>HYPERLINK(LEFT(CELL("filename",A1),FIND("[",CELL("filename",A1))-1)&amp;"7.신호분야\13_시스템 단위시험\체크리스트\시스템 단위시험_체크리스트.html", "👉 [클릭] 체크리스트 열기 📄")</f>
        <v/>
      </c>
      <c r="S14" s="2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Y14" s="18" t="n"/>
      <c r="DZ14" s="18" t="n"/>
      <c r="EA14" s="18" t="n"/>
      <c r="EB14" s="18" t="n"/>
      <c r="EC14" s="18" t="n"/>
      <c r="ED14" s="18" t="n"/>
      <c r="EE14" s="18" t="n"/>
      <c r="EF14" s="18" t="n"/>
      <c r="EG14" s="18" t="n"/>
      <c r="EH14" s="18" t="n"/>
      <c r="EI14" s="18" t="n"/>
      <c r="EJ14" s="18" t="n"/>
      <c r="EK14" s="18" t="n"/>
      <c r="EL14" s="18" t="n"/>
      <c r="EM14" s="18" t="n"/>
      <c r="EN14" s="18" t="n"/>
      <c r="EO14" s="18" t="n"/>
      <c r="EP14" s="18" t="n"/>
      <c r="EQ14" s="18" t="n"/>
      <c r="ER14" s="18" t="n"/>
      <c r="ES14" s="18" t="n"/>
      <c r="ET14" s="18" t="n"/>
      <c r="EU14" s="18" t="n"/>
      <c r="EV14" s="18" t="n"/>
      <c r="EW14" s="18" t="n"/>
      <c r="EX14" s="18" t="n"/>
      <c r="EY14" s="18" t="n"/>
      <c r="EZ14" s="18" t="n"/>
      <c r="FA14" s="18" t="n"/>
      <c r="FB14" s="18" t="n"/>
      <c r="FC14" s="18" t="n"/>
      <c r="FD14" s="18" t="n"/>
      <c r="FE14" s="18" t="n"/>
      <c r="FF14" s="18" t="n"/>
      <c r="FG14" s="18" t="n"/>
      <c r="FH14" s="18" t="n"/>
      <c r="FI14" s="18" t="n"/>
      <c r="FJ14" s="18" t="n"/>
      <c r="FK14" s="18" t="n"/>
    </row>
    <row r="15" ht="52.05" customHeight="1" s="88">
      <c r="A15" s="29" t="inlineStr">
        <is>
          <t>9000</t>
        </is>
      </c>
      <c r="B15" s="29" t="inlineStr">
        <is>
          <t>9000-7</t>
        </is>
      </c>
      <c r="C15" s="29" t="inlineStr">
        <is>
          <t>신호분야</t>
        </is>
      </c>
      <c r="D15" s="29" t="inlineStr">
        <is>
          <t>9000-7-14</t>
        </is>
      </c>
      <c r="E15" s="102" t="inlineStr">
        <is>
          <t>9000-7-10, 9000-7-11</t>
        </is>
      </c>
      <c r="F15" s="102" t="inlineStr">
        <is>
          <t>9000-7-17, 9000-7-18</t>
        </is>
      </c>
      <c r="G15" s="32" t="inlineStr">
        <is>
          <t>신호시스템 통합시험</t>
        </is>
      </c>
      <c r="H15" s="33" t="inlineStr">
        <is>
          <t>D+196
~D+255</t>
        </is>
      </c>
      <c r="I15" s="33" t="inlineStr">
        <is>
          <t>현장 시스템팀</t>
        </is>
      </c>
      <c r="J15" s="34" t="inlineStr">
        <is>
          <t>신호시스템 단독시험 완료 후 타 분야 연계 및 시설 유효성 확인</t>
        </is>
      </c>
      <c r="K15" s="50" t="inlineStr">
        <is>
          <t>- 관계성과 연계 인터페이스 시험
- 지상 및 차량 인터페이스
- 지상 및 차량 인터페이스 시 시험 결과표
- 감리단이 승인한 검사 및 시험 점검표 (ITP/ITC) 절차에 따라 수행
1) 관제실 및 현장 연동장치간 인터페이스 시험
2) 지상 및 차상 인터페이스 시험
3) 도로신호/트램신호 인터페이스 시험(우선신호 시험)</t>
        </is>
      </c>
      <c r="L15" s="34" t="inlineStr">
        <is>
          <t>자체단독시험 및 시험결과서 (단독단위)</t>
        </is>
      </c>
      <c r="M15" s="34" t="inlineStr">
        <is>
          <t>1) 통합시험(WBS 9000-1-15)을 통해 단독시험 완료 후 관제 ➔ CBI 전자연동장치 통합 연동을 검증하라.
2) 차상-지상 무선(LTE-R) 도로-트램 우선신호 연계 시험 결과표를 승인 완수하라.</t>
        </is>
      </c>
      <c r="N15" s="35">
        <f>HYPERLINK(LEFT(CELL("filename",A1),FIND("[",CELL("filename",A1))-1)&amp;"7.신호분야\14_신호시스템 통합시험\표준서\신호시스템 통합시험_표준서.html", "👉 [클릭] 표준서 열기 📄")</f>
        <v/>
      </c>
      <c r="O15" s="34" t="inlineStr">
        <is>
          <t>1) 관제실 및 현장 연동장치 간 인터페이스 통합시험을 시행하십시오.
2) 지상-차상 인터페이스 및 도로/트램 우선신호 무선 연계시험 결과표를 작성하십시오.</t>
        </is>
      </c>
      <c r="P15" s="36">
        <f>HYPERLINK(LEFT(CELL("filename",A1),FIND("[",CELL("filename",A1))-1)&amp;"7.신호분야\14_신호시스템 통합시험\수행지침\LTE-R_무선_AP를_통한_신호_제어_데이터_송수신_레벨_상세절차서.html", "👉 [클릭] 수행지침 열기 📄")</f>
        <v/>
      </c>
      <c r="Q15" s="34" t="inlineStr">
        <is>
          <t>1) 관제실 및 현장 연동장치 간 인터페이스 시험을 수행하였는가?
2) 지상-차상 인터페이스 및 도로-트램 우선신호 연계 시험을 검증하였는가?</t>
        </is>
      </c>
      <c r="R15" s="37">
        <f>HYPERLINK(LEFT(CELL("filename",A1),FIND("[",CELL("filename",A1))-1)&amp;"7.신호분야\14_신호시스템 통합시험\체크리스트\신호시스템 통합시험_체크리스트.html", "👉 [클릭] 체크리스트 열기 📄")</f>
        <v/>
      </c>
      <c r="S15" s="33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Y15" s="18" t="n"/>
      <c r="DZ15" s="18" t="n"/>
      <c r="EA15" s="18" t="n"/>
      <c r="EB15" s="18" t="n"/>
      <c r="EC15" s="18" t="n"/>
      <c r="ED15" s="18" t="n"/>
      <c r="EE15" s="18" t="n"/>
      <c r="EF15" s="18" t="n"/>
      <c r="EG15" s="18" t="n"/>
      <c r="EH15" s="18" t="n"/>
      <c r="EI15" s="18" t="n"/>
      <c r="EJ15" s="18" t="n"/>
      <c r="EK15" s="18" t="n"/>
      <c r="EL15" s="18" t="n"/>
      <c r="EM15" s="18" t="n"/>
      <c r="EN15" s="18" t="n"/>
      <c r="EO15" s="18" t="n"/>
      <c r="EP15" s="18" t="n"/>
      <c r="EQ15" s="18" t="n"/>
      <c r="ER15" s="18" t="n"/>
      <c r="ES15" s="18" t="n"/>
      <c r="ET15" s="18" t="n"/>
      <c r="EU15" s="18" t="n"/>
      <c r="EV15" s="18" t="n"/>
      <c r="EW15" s="18" t="n"/>
      <c r="EX15" s="18" t="n"/>
      <c r="EY15" s="18" t="n"/>
      <c r="EZ15" s="18" t="n"/>
      <c r="FA15" s="18" t="n"/>
      <c r="FB15" s="18" t="n"/>
      <c r="FC15" s="18" t="n"/>
      <c r="FD15" s="18" t="n"/>
      <c r="FE15" s="18" t="n"/>
      <c r="FF15" s="18" t="n"/>
      <c r="FG15" s="18" t="n"/>
      <c r="FH15" s="18" t="n"/>
      <c r="FI15" s="18" t="n"/>
      <c r="FJ15" s="18" t="n"/>
      <c r="FK15" s="18" t="n"/>
      <c r="FL15" s="18" t="n"/>
      <c r="FM15" s="18" t="n"/>
      <c r="FN15" s="18" t="n"/>
      <c r="FO15" s="18" t="n"/>
    </row>
    <row r="16" ht="52.05" customHeight="1" s="88">
      <c r="A16" s="19" t="inlineStr">
        <is>
          <t>9000</t>
        </is>
      </c>
      <c r="B16" s="19" t="inlineStr">
        <is>
          <t>9000-7</t>
        </is>
      </c>
      <c r="C16" s="19" t="inlineStr">
        <is>
          <t>신호분야</t>
        </is>
      </c>
      <c r="D16" s="19" t="inlineStr">
        <is>
          <t>9000-7-15</t>
        </is>
      </c>
      <c r="E16" s="95" t="inlineStr">
        <is>
          <t>9000-7-11, 9000-7-12</t>
        </is>
      </c>
      <c r="F16" s="95" t="inlineStr">
        <is>
          <t>9000-7-18, 9000-7-19</t>
        </is>
      </c>
      <c r="G16" s="23" t="inlineStr">
        <is>
          <t>공종별 시험</t>
        </is>
      </c>
      <c r="H16" s="21" t="inlineStr">
        <is>
          <t>D+256
~D+285</t>
        </is>
      </c>
      <c r="I16" s="21" t="inlineStr">
        <is>
          <t>현장 시스템팀</t>
        </is>
      </c>
      <c r="J16" s="24" t="inlineStr">
        <is>
          <t>철도안전기준에 따른 법정 / 설계기준 / 신기술 / 시운전 등의 요구사항의 적합성 검증</t>
        </is>
      </c>
      <c r="K16" s="49" t="inlineStr">
        <is>
          <t>- 신기술공법 등 신공법 적용
- 자료정리 및 단위 시험
- 신기술공법/기능성/현장성 단위 시험 결과서
- 현장설비 시험
1) 신호기 장치: 신호기 설치 / 투시거리 및 정상 동작시험
2) 신호부속기(진로표시기): 진로표시기 설치 및 정상 동작시험
3) 차축검지기 설치 및 정상 동작시험
4) 선로전환기 설치상태 확인시험
5) 트램신호기, TPD, 설치 및 동작시험
6) 교차로 영상유고 시스템 설치 및 동작시험
- 신호기계실 설비 시험
1) 전원공급장치 이중화 확인 및 절체 시험 수행
2) 전자연동장치 설치 및 정상 동작시험
3) 전자열쇠 정상 작동상태 확인
4) 차축검지기부 설치 및 정상 동작시험
- 관제설비 시험
1) 관제실: 운영관제실 MMI 장치 동작상태
2) 신호컴퓨터실: 신호컴퓨터실 서버 및 네트워크 정상 동작상태 확인
3) 전원장치 정상 동작상태 확인</t>
        </is>
      </c>
      <c r="L16" s="24" t="inlineStr">
        <is>
          <t>공종별 시험 결과보고서</t>
        </is>
      </c>
      <c r="M16" s="24" t="inlineStr">
        <is>
          <t>1) 공종별 시험(WBS 9000-1-16)을 위해 신호기, 진로표시기, 선로전환기, 차축검지기 현장 동작시험을 시행하라.
2) 신호기계실 전원 2중화 절체 시험 및 관제 CTC 서버 정상 동작 시험을 완수하라.</t>
        </is>
      </c>
      <c r="N16" s="25">
        <f>HYPERLINK(LEFT(CELL("filename",A1),FIND("[",CELL("filename",A1))-1)&amp;"7.신호분야\15_공종별 시험\표준서\공종별 시험_표준서.html", "👉 [클릭] 표준서 열기 📄")</f>
        <v/>
      </c>
      <c r="O16" s="24" t="inlineStr">
        <is>
          <t>1) 현장설비(신호기 투시거리, 선로전환기 쇄정, 차축검지기) 동작시험을 시행하십시오.
2) 기계실 전원공급장치 이중화 절체 시험 및 관제 서버 정상 동작상태를 확인하십시오.</t>
        </is>
      </c>
      <c r="P16" s="26">
        <f>HYPERLINK(LEFT(CELL("filename",A1),FIND("[",CELL("filename",A1))-1)&amp;"7.신호분야\15_공종별 시험\수행지침\LTE-R_무선_AP를_통한_신호_제어_데이터_송수신_레벨_상세절차서.html", "👉 [클릭] 수행지침 열기 📄")</f>
        <v/>
      </c>
      <c r="Q16" s="24" t="inlineStr">
        <is>
          <t>1) 신호기 투시거리/진로표시기 및 선로전환기 쇄정 동작시험을 수행하였는가?
2) 기계실 전원공급장치 이중화 절체 시험 및 관제 서버 동작을 검증하였는가?</t>
        </is>
      </c>
      <c r="R16" s="27">
        <f>HYPERLINK(LEFT(CELL("filename",A1),FIND("[",CELL("filename",A1))-1)&amp;"7.신호분야\15_공종별 시험\체크리스트\공종별 시험_체크리스트.html", "👉 [클릭] 체크리스트 열기 📄")</f>
        <v/>
      </c>
      <c r="S16" s="2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8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8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8" t="n"/>
    </row>
    <row r="17" ht="52.05" customHeight="1" s="88">
      <c r="A17" s="29" t="inlineStr">
        <is>
          <t>9000</t>
        </is>
      </c>
      <c r="B17" s="29" t="inlineStr">
        <is>
          <t>9000-7</t>
        </is>
      </c>
      <c r="C17" s="29" t="inlineStr">
        <is>
          <t>신호분야</t>
        </is>
      </c>
      <c r="D17" s="29" t="inlineStr">
        <is>
          <t>9000-7-16</t>
        </is>
      </c>
      <c r="E17" s="102" t="inlineStr">
        <is>
          <t>9000-7-12, 9000-7-13</t>
        </is>
      </c>
      <c r="F17" s="102" t="inlineStr">
        <is>
          <t>9000-7-19, 9000-7-20</t>
        </is>
      </c>
      <c r="G17" s="32" t="inlineStr">
        <is>
          <t>차량 투입 전 점검</t>
        </is>
      </c>
      <c r="H17" s="33" t="inlineStr">
        <is>
          <t>D+286
~D+300</t>
        </is>
      </c>
      <c r="I17" s="33" t="inlineStr">
        <is>
          <t>현장소장 및 시공전담팀</t>
        </is>
      </c>
      <c r="J17" s="34" t="inlineStr">
        <is>
          <t>차량 시험운행 전 철저한 안전대책 수립 및 품질성 확보 여부 확인</t>
        </is>
      </c>
      <c r="K17" s="50" t="inlineStr">
        <is>
          <t>- 현장의 시설물 설치상태 점검
1) 연동검사(설비동작, 진로취급 및 신호현시 시험 등)
2) 신호 기계실 내 시스템 검사(연동장치, 열차제어시스템 등)
3) 전원장치 시험(UPS 및 배터리)
4) 신호 기계실 내부 방재예방 설비(소화기, 접지저항값 측정결과)
5) 신호기 시공상태(설치 위치의 적정성, 신호기와 건축물과의 건축한계 적정여부 등)
6) 선로전환기 시공상태 확인(선로전환기 전환 및 표시회로 구성 등)
7) 전선류 시공상태 확인(케이블 단말처리 및 접속개소, 선명찰 절연저항 측정값 등)
8) 기구함, 접속함 등 시공상태 확인(기초 시공적정여부, 전선 인입구, 접지설비, 볼트류 체결 상태 등)
9) 본선의 시설물 성능장애 점검
- 건축한계 및 차량한계
- 가공선로: 폭(3,100mm)/높이(3,800mm) 및 차량한계: 폭(2,700mm)/높이(3,600mm) 정렬선 개시
- 수전 및 전압 점검</t>
        </is>
      </c>
      <c r="L17" s="34" t="inlineStr">
        <is>
          <t>차량 투입 전 점검 결과 보고서</t>
        </is>
      </c>
      <c r="M17" s="34" t="inlineStr">
        <is>
          <t>1) 차량 투입 전 점검(WBS 9000-1-17)을 통해 연동검사 및 기계실 방재/접지저항 측정을 시행하라.
2) 건축한계/차량한계 이격 정밀 측정 및 전원장치(UPS) 성능을 최종 검증하라.</t>
        </is>
      </c>
      <c r="N17" s="35">
        <f>HYPERLINK(LEFT(CELL("filename",A1),FIND("[",CELL("filename",A1))-1)&amp;"7.신호분야\16_차량 투입 전 점검\표준서\차량 투입 전 점검_표준서.html", "👉 [클릭] 표준서 열기 📄")</f>
        <v/>
      </c>
      <c r="O17" s="34" t="inlineStr">
        <is>
          <t>1) 연동검사(설비동작, 진로취급) 및 신호기 시공상태 적정성을 점검하십시오.
2) 건축한계(폭 3.1m/높이 3.8m) 이격 측정 및 기계실 UPS/방재예방 설비를 확인하십시오.</t>
        </is>
      </c>
      <c r="P17" s="36">
        <f>HYPERLINK(LEFT(CELL("filename",A1),FIND("[",CELL("filename",A1))-1)&amp;"7.신호분야\16_차량 투입 전 점검\수행지침\LTE-R_무선_AP를_통한_신호_제어_데이터_송수신_레벨_상세절차서.html", "👉 [클릭] 수행지침 열기 📄")</f>
        <v/>
      </c>
      <c r="Q17" s="34" t="inlineStr">
        <is>
          <t>1) 연동검사 및 기계실 시스템/UPS 시험을 완료하였는가?
2) 신호기와 건축물 간 건축한계 정밀 측정 및 방재설비를 확인하였는가?</t>
        </is>
      </c>
      <c r="R17" s="37">
        <f>HYPERLINK(LEFT(CELL("filename",A1),FIND("[",CELL("filename",A1))-1)&amp;"7.신호분야\16_차량 투입 전 점검\체크리스트\차량 투입 전 점검_체크리스트.html", "👉 [클릭] 체크리스트 열기 📄")</f>
        <v/>
      </c>
      <c r="S17" s="33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8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8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8" t="n"/>
      <c r="FT17" s="18" t="n"/>
      <c r="FU17" s="18" t="n"/>
      <c r="FV17" s="18" t="n"/>
      <c r="FW17" s="18" t="n"/>
    </row>
    <row r="18" ht="52.05" customHeight="1" s="88">
      <c r="A18" s="19" t="inlineStr">
        <is>
          <t>9000</t>
        </is>
      </c>
      <c r="B18" s="19" t="inlineStr">
        <is>
          <t>9000-7</t>
        </is>
      </c>
      <c r="C18" s="19" t="inlineStr">
        <is>
          <t>신호분야</t>
        </is>
      </c>
      <c r="D18" s="19" t="inlineStr">
        <is>
          <t>9000-7-17</t>
        </is>
      </c>
      <c r="E18" s="95" t="inlineStr">
        <is>
          <t>9000-7-13, 9000-7-14</t>
        </is>
      </c>
      <c r="F18" s="95" t="inlineStr">
        <is>
          <t>9000-7-20, 9000-7-21</t>
        </is>
      </c>
      <c r="G18" s="23" t="inlineStr">
        <is>
          <t>차량 시운전</t>
        </is>
      </c>
      <c r="H18" s="21" t="inlineStr">
        <is>
          <t>D+301
~D+360</t>
        </is>
      </c>
      <c r="I18" s="21" t="inlineStr">
        <is>
          <t>현장 시스템팀</t>
        </is>
      </c>
      <c r="J18" s="24" t="inlineStr">
        <is>
          <t>철도안전법상 철도기술기준에 적합하게 시운전 수행 여부(철도노선 규정)</t>
        </is>
      </c>
      <c r="K18" s="49" t="inlineStr">
        <is>
          <t>- 철도기술기준(궤도/철도차량 안전성) 준수 여부
1) 속도/제동 테스트수행 여부
2) 차량, 신호, 통신 시스템간 인터페이스 시험
- 철도안전법 제26조(철도차량 형식승인) 기준 준수
1) 주요 외관검사 및 치수검사
2) 주요기기 기능검사(제어전원 투입확인, 집전장치 동작확인, 추진제어장치 동작확인 등)
- 차상신호장치 포함시 시행(차상신호장치는 차량제작사 공급 or 신호설비 공급사 공급)
1) 지·차상 연계동작시험
2) 차량, 신호, 통신 시스템간 인터페이스 시험
3) 열차제어 시스템 기능시험
- 센터간 I/F 시험
1) 교통관제센터/트램관제센터간 정보전송 상태
2) 차량 위치검지 시험</t>
        </is>
      </c>
      <c r="L18" s="24" t="inlineStr">
        <is>
          <t>철도차량 안전성 결과 보고서</t>
        </is>
      </c>
      <c r="M18" s="24" t="inlineStr">
        <is>
          <t>1) 차량 시운전(WBS 9000-1-18) 수행 시 철도안전법 제26조 형식승인 기준 준수 여부를 검증하라.
2) 속도/제동 테스트, 차상-지상 연계동작 및 열차제어 시스템 기능시험을 완수하라.</t>
        </is>
      </c>
      <c r="N18" s="25">
        <f>HYPERLINK(LEFT(CELL("filename",A1),FIND("[",CELL("filename",A1))-1)&amp;"7.신호분야\17_차량 시운전\표준서\차량 시운전_표준서.html", "👉 [클릭] 표준서 열기 📄")</f>
        <v/>
      </c>
      <c r="O18" s="24" t="inlineStr">
        <is>
          <t>1) 철도기술기준에 따라 속도/제동 테스트 및 주요기기 제어전원 투입을 검사하십시오.
2) 차상신호장치 지·차상 연계동작시험 및 열차제어 시스템 기능시험을 시행하십시오.</t>
        </is>
      </c>
      <c r="P18" s="26">
        <f>HYPERLINK(LEFT(CELL("filename",A1),FIND("[",CELL("filename",A1))-1)&amp;"7.신호분야\17_차량 시운전\수행지침\LTE-R_무선_AP를_통한_신호_제어_데이터_송수신_레벨_상세절차서.html", "👉 [클릭] 수행지침 열기 📄")</f>
        <v/>
      </c>
      <c r="Q18" s="24" t="inlineStr">
        <is>
          <t>1) 철도기술기준 준수 속도/제동 테스트 및 주요기기 검사를 시행하였는가?
2) 차상-지상 연계동작시험 및 차량-신호-통신 I/F 시험을 검증하였는가?</t>
        </is>
      </c>
      <c r="R18" s="27">
        <f>HYPERLINK(LEFT(CELL("filename",A1),FIND("[",CELL("filename",A1))-1)&amp;"7.신호분야\17_차량 시운전\체크리스트\차량 시운전_체크리스트.html", "👉 [클릭] 체크리스트 열기 📄")</f>
        <v/>
      </c>
      <c r="S18" s="2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8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8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8" t="n"/>
      <c r="FT18" s="18" t="n"/>
      <c r="FU18" s="18" t="n"/>
      <c r="FV18" s="18" t="n"/>
      <c r="FW18" s="18" t="n"/>
      <c r="FX18" s="18" t="n"/>
      <c r="FY18" s="18" t="n"/>
      <c r="FZ18" s="18" t="n"/>
      <c r="GA18" s="18" t="n"/>
    </row>
    <row r="19" ht="52.05" customHeight="1" s="88">
      <c r="A19" s="29" t="inlineStr">
        <is>
          <t>9000</t>
        </is>
      </c>
      <c r="B19" s="29" t="inlineStr">
        <is>
          <t>9000-7</t>
        </is>
      </c>
      <c r="C19" s="29" t="inlineStr">
        <is>
          <t>신호분야</t>
        </is>
      </c>
      <c r="D19" s="29" t="inlineStr">
        <is>
          <t>9000-7-18</t>
        </is>
      </c>
      <c r="E19" s="102" t="inlineStr">
        <is>
          <t>9000-7-14, 9000-7-15</t>
        </is>
      </c>
      <c r="F19" s="102" t="inlineStr">
        <is>
          <t>9000-7-21</t>
        </is>
      </c>
      <c r="G19" s="32" t="inlineStr">
        <is>
          <t>운영자 교육시행</t>
        </is>
      </c>
      <c r="H19" s="33" t="inlineStr">
        <is>
          <t>D+361
~D+374</t>
        </is>
      </c>
      <c r="I19" s="33" t="inlineStr">
        <is>
          <t>현장 시스템팀</t>
        </is>
      </c>
      <c r="J19" s="34" t="inlineStr">
        <is>
          <t>운영요원(기관사 및 안전관리)을 위한 주행/유지 교육시행</t>
        </is>
      </c>
      <c r="K19" s="50" t="inlineStr">
        <is>
          <t>- 시스템안전 교육(철도차량 안전점검 요령)
- 차량, 신호, 통신 시스템간 인터페이스 사용방법 및 조작 교육
- 관제센터와의 연계 기계실/차량내 장치(DID 보드 등) 운영 및 테스트
- 시스템공급  장비제작사에 의한 운영자 및 유지보수자 교육
1) (관제설비) CTC서버, 콘솔컴퓨터 등
2) (신호 기계실) 전자연동장치, 궤도회로장치 등
3) (현장설비) 신호기, 선로전환기, 튜닝유니트 등</t>
        </is>
      </c>
      <c r="L19" s="34" t="inlineStr">
        <is>
          <t>운영자훈련 및 기술단계에서 운영지침서</t>
        </is>
      </c>
      <c r="M19" s="34" t="inlineStr">
        <is>
          <t>1) 운영자 교육(WBS 9000-1-19)을 위해 기관사 및 유지보수 요원 대상 시스템 안전 교육을 시행하라.
2) 장비 제작사에 의한 CTC/CBI/현장설비 조작·정비 기술 교육 완료 이수증을 승인하라.</t>
        </is>
      </c>
      <c r="N19" s="35">
        <f>HYPERLINK(LEFT(CELL("filename",A1),FIND("[",CELL("filename",A1))-1)&amp;"7.신호분야\18_운영자 교육시행\표준서\운영자 교육시행_표준서.html", "👉 [클릭] 표준서 열기 📄")</f>
        <v/>
      </c>
      <c r="O19" s="34" t="inlineStr">
        <is>
          <t>1) 철도차량 안전점검 요령 및 시스템 간 조작 방법에 대한 운영자 교육을 시행하십시오.
2) CTC 서버, 전자연동장치, 현장 신호기/선로전환기 교육 이수 현황을 확인하십시오.</t>
        </is>
      </c>
      <c r="P19" s="36">
        <f>HYPERLINK(LEFT(CELL("filename",A1),FIND("[",CELL("filename",A1))-1)&amp;"7.신호분야\18_운영자 교육시행\수행지침\LTE-R_무선_AP를_통한_신호_제어_데이터_송수신_레벨_상세절차서.html", "👉 [클릭] 수행지침 열기 📄")</f>
        <v/>
      </c>
      <c r="Q19" s="34" t="inlineStr">
        <is>
          <t>1) 기관사 및 유지보수요원 대상 시스템 안전 교육을 시행하였는가?
2) 장비 제작사에 의한 CTC/CBI/현장설비 조작교육을 완료하였는가?</t>
        </is>
      </c>
      <c r="R19" s="37">
        <f>HYPERLINK(LEFT(CELL("filename",A1),FIND("[",CELL("filename",A1))-1)&amp;"7.신호분야\18_운영자 교육시행\체크리스트\운영자 교육시행_체크리스트.html", "👉 [클릭] 체크리스트 열기 📄")</f>
        <v/>
      </c>
      <c r="S19" s="33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Y19" s="18" t="n"/>
      <c r="DZ19" s="18" t="n"/>
      <c r="EA19" s="18" t="n"/>
      <c r="EB19" s="18" t="n"/>
      <c r="EC19" s="18" t="n"/>
      <c r="ED19" s="18" t="n"/>
      <c r="EE19" s="18" t="n"/>
      <c r="EF19" s="18" t="n"/>
      <c r="EG19" s="18" t="n"/>
      <c r="EH19" s="18" t="n"/>
      <c r="EI19" s="18" t="n"/>
      <c r="EJ19" s="18" t="n"/>
      <c r="EK19" s="18" t="n"/>
      <c r="EL19" s="18" t="n"/>
      <c r="EM19" s="18" t="n"/>
      <c r="EN19" s="18" t="n"/>
      <c r="EO19" s="18" t="n"/>
      <c r="EP19" s="18" t="n"/>
      <c r="EQ19" s="18" t="n"/>
      <c r="ER19" s="18" t="n"/>
      <c r="ES19" s="18" t="n"/>
      <c r="ET19" s="18" t="n"/>
      <c r="EU19" s="18" t="n"/>
      <c r="EV19" s="18" t="n"/>
      <c r="EW19" s="18" t="n"/>
      <c r="EX19" s="18" t="n"/>
      <c r="EY19" s="18" t="n"/>
      <c r="EZ19" s="18" t="n"/>
      <c r="FA19" s="18" t="n"/>
      <c r="FB19" s="18" t="n"/>
      <c r="FC19" s="18" t="n"/>
      <c r="FD19" s="18" t="n"/>
      <c r="FE19" s="18" t="n"/>
      <c r="FF19" s="18" t="n"/>
      <c r="FG19" s="18" t="n"/>
      <c r="FH19" s="18" t="n"/>
      <c r="FI19" s="18" t="n"/>
      <c r="FJ19" s="18" t="n"/>
      <c r="FK19" s="18" t="n"/>
      <c r="FL19" s="18" t="n"/>
      <c r="FM19" s="18" t="n"/>
      <c r="FN19" s="18" t="n"/>
      <c r="FO19" s="18" t="n"/>
      <c r="FP19" s="18" t="n"/>
      <c r="FQ19" s="18" t="n"/>
      <c r="FR19" s="18" t="n"/>
      <c r="FS19" s="18" t="n"/>
      <c r="FT19" s="18" t="n"/>
      <c r="FU19" s="18" t="n"/>
      <c r="FV19" s="18" t="n"/>
      <c r="FW19" s="18" t="n"/>
      <c r="FX19" s="18" t="n"/>
      <c r="FY19" s="18" t="n"/>
      <c r="FZ19" s="18" t="n"/>
      <c r="GA19" s="18" t="n"/>
      <c r="GB19" s="18" t="n"/>
      <c r="GC19" s="18" t="n"/>
      <c r="GD19" s="18" t="n"/>
      <c r="GE19" s="18" t="n"/>
    </row>
    <row r="20" ht="52.05" customHeight="1" s="88">
      <c r="A20" s="19" t="inlineStr">
        <is>
          <t>9000</t>
        </is>
      </c>
      <c r="B20" s="19" t="inlineStr">
        <is>
          <t>9000-7</t>
        </is>
      </c>
      <c r="C20" s="19" t="inlineStr">
        <is>
          <t>신호분야</t>
        </is>
      </c>
      <c r="D20" s="19" t="inlineStr">
        <is>
          <t>9000-7-19</t>
        </is>
      </c>
      <c r="E20" s="95" t="inlineStr">
        <is>
          <t>9000-7-15, 9000-7-16</t>
        </is>
      </c>
      <c r="F20" s="95" t="inlineStr">
        <is>
          <t>9000-7-21, 9000-7-22</t>
        </is>
      </c>
      <c r="G20" s="23" t="inlineStr">
        <is>
          <t>사전점검 및 철도기술기준 검토</t>
        </is>
      </c>
      <c r="H20" s="21" t="inlineStr">
        <is>
          <t>D+375
~D+414</t>
        </is>
      </c>
      <c r="I20" s="21" t="inlineStr">
        <is>
          <t>현장소장 및 발주처 / 공동감리단</t>
        </is>
      </c>
      <c r="J20" s="24" t="inlineStr">
        <is>
          <t>철도종합시험운행에 따른 기능 및 성능 사전검증과 철도종합시험운행의 목적 달성의 적합여부 판정</t>
        </is>
      </c>
      <c r="K20" s="49" t="inlineStr">
        <is>
          <t>- 분야외 시설물 성능장치 점검
- (1부)철도종합시험운행 시행지침 제6조(종합시험운행을 위한 사전점검)
- 현장점검을 위한 계획 및 체크리스트 수립에 의하여 내 조직 가능한 항목에 대해 사전기재 및 결과 기재
- (기준) 철도종합시험운행 시행지침 제8조(종합시험운행을 위한 사전점검)
- 현장점검을 위한 계획 및 체크리스트를 사전에 준비하여 기한 내 조치가능한 점검항목 도출
1) 철도시설물 시공상태 및 기능확인, 공종별시험 결과보고서 검토
2) 철도시설의 기술기준 준수여부
3) 관련 법령에 따른 외부기관의 검사완료 가능여부 확인
4) 시설물검증시험 전까지 대상 철도시설물 완공가능 여부확인
5) 철도시설의 안전성 분석결과 및 분석결과에 따른 안전대책 검토
6) 종합시험운행(시설물검증시험·영업시운전) 시행에 필요한 사항확인 등</t>
        </is>
      </c>
      <c r="L20" s="24" t="inlineStr">
        <is>
          <t>사전점검 결과표 / 철도안전성검토서</t>
        </is>
      </c>
      <c r="M20" s="24" t="inlineStr">
        <is>
          <t>1) 사전점검(WBS 9000-1-20)을 위해 철도종합시험운행 시행지침 제6조/제8조 검토 수칙을 이행하라.
2) 시설물 시공상태, 기술기준 준수 및 완공 가능 여부 사전점검 체크리스트를 완수하라.</t>
        </is>
      </c>
      <c r="N20" s="25">
        <f>HYPERLINK(LEFT(CELL("filename",A1),FIND("[",CELL("filename",A1))-1)&amp;"7.신호분야\19_사전점검 및 철도기술기준 검토\표준서\사전점검 및 철도기술기준 검토_표준서.html", "👉 [클릭] 표준서 열기 📄")</f>
        <v/>
      </c>
      <c r="O20" s="24" t="inlineStr">
        <is>
          <t>1) 철도종합시험운행 시행지침 제6조/제8조에 따라 사전점검 체크리스트를 사전에 준비하십시오.
2) 시설물 시공상태, 기술기준 준수 여부 및 공종별시험 결과보고서를 검토하십시오.</t>
        </is>
      </c>
      <c r="P20" s="26">
        <f>HYPERLINK(LEFT(CELL("filename",A1),FIND("[",CELL("filename",A1))-1)&amp;"7.신호분야\19_사전점검 및 철도기술기준 검토\수행지침\LTE-R_무선_AP를_통한_신호_제어_데이터_송수신_레벨_상세절차서.html", "👉 [클릭] 수행지침 열기 📄")</f>
        <v/>
      </c>
      <c r="Q20" s="24" t="inlineStr">
        <is>
          <t>1) 철도종합시험운행 시행지침 제6조/제8조 사전점검 체크리스트를 수립하였는가?
2) 철도시설물 시공상태, 기술기준 준수 및 안전성 분석 결과를 검토하였는가?</t>
        </is>
      </c>
      <c r="R20" s="27">
        <f>HYPERLINK(LEFT(CELL("filename",A1),FIND("[",CELL("filename",A1))-1)&amp;"7.신호분야\19_사전점검 및 철도기술기준 검토\체크리스트\사전점검 및 철도기술기준 검토_체크리스트.html", "👉 [클릭] 체크리스트 열기 📄")</f>
        <v/>
      </c>
      <c r="S20" s="2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Y20" s="18" t="n"/>
      <c r="DZ20" s="18" t="n"/>
      <c r="EA20" s="18" t="n"/>
      <c r="EB20" s="18" t="n"/>
      <c r="EC20" s="18" t="n"/>
      <c r="ED20" s="18" t="n"/>
      <c r="EE20" s="18" t="n"/>
      <c r="EF20" s="18" t="n"/>
      <c r="EG20" s="18" t="n"/>
      <c r="EH20" s="18" t="n"/>
      <c r="EI20" s="18" t="n"/>
      <c r="EJ20" s="18" t="n"/>
      <c r="EK20" s="18" t="n"/>
      <c r="EL20" s="18" t="n"/>
      <c r="EM20" s="18" t="n"/>
      <c r="EN20" s="18" t="n"/>
      <c r="EO20" s="18" t="n"/>
      <c r="EP20" s="18" t="n"/>
      <c r="EQ20" s="18" t="n"/>
      <c r="ER20" s="18" t="n"/>
      <c r="ES20" s="18" t="n"/>
      <c r="ET20" s="18" t="n"/>
      <c r="EU20" s="18" t="n"/>
      <c r="EV20" s="18" t="n"/>
      <c r="EW20" s="18" t="n"/>
      <c r="EX20" s="18" t="n"/>
      <c r="EY20" s="18" t="n"/>
      <c r="EZ20" s="18" t="n"/>
      <c r="FA20" s="18" t="n"/>
      <c r="FB20" s="18" t="n"/>
      <c r="FC20" s="18" t="n"/>
      <c r="FD20" s="18" t="n"/>
      <c r="FE20" s="18" t="n"/>
      <c r="FF20" s="18" t="n"/>
      <c r="FG20" s="18" t="n"/>
      <c r="FH20" s="18" t="n"/>
      <c r="FI20" s="18" t="n"/>
      <c r="FJ20" s="18" t="n"/>
      <c r="FK20" s="18" t="n"/>
      <c r="FL20" s="18" t="n"/>
      <c r="FM20" s="18" t="n"/>
      <c r="FN20" s="18" t="n"/>
      <c r="FO20" s="18" t="n"/>
      <c r="FP20" s="18" t="n"/>
      <c r="FQ20" s="18" t="n"/>
      <c r="FR20" s="18" t="n"/>
      <c r="FS20" s="18" t="n"/>
      <c r="FT20" s="18" t="n"/>
      <c r="FU20" s="18" t="n"/>
      <c r="FV20" s="18" t="n"/>
      <c r="FW20" s="18" t="n"/>
      <c r="FX20" s="18" t="n"/>
      <c r="FY20" s="18" t="n"/>
      <c r="FZ20" s="18" t="n"/>
      <c r="GA20" s="18" t="n"/>
      <c r="GB20" s="18" t="n"/>
      <c r="GC20" s="18" t="n"/>
      <c r="GD20" s="18" t="n"/>
      <c r="GE20" s="18" t="n"/>
      <c r="GF20" s="18" t="n"/>
      <c r="GG20" s="18" t="n"/>
      <c r="GH20" s="18" t="n"/>
      <c r="GI20" s="18" t="n"/>
    </row>
    <row r="21" ht="52.05" customHeight="1" s="88">
      <c r="A21" s="29" t="inlineStr">
        <is>
          <t>9000</t>
        </is>
      </c>
      <c r="B21" s="29" t="inlineStr">
        <is>
          <t>9000-7</t>
        </is>
      </c>
      <c r="C21" s="29" t="inlineStr">
        <is>
          <t>신호분야</t>
        </is>
      </c>
      <c r="D21" s="29" t="inlineStr">
        <is>
          <t>9000-7-20</t>
        </is>
      </c>
      <c r="E21" s="102" t="inlineStr">
        <is>
          <t>9000-7-16, 9000-7-17</t>
        </is>
      </c>
      <c r="F21" s="102" t="inlineStr">
        <is>
          <t>9000-7-22</t>
        </is>
      </c>
      <c r="G21" s="32" t="inlineStr">
        <is>
          <t>시설물 검증시험</t>
        </is>
      </c>
      <c r="H21" s="33" t="inlineStr">
        <is>
          <t>D+415
~D+499</t>
        </is>
      </c>
      <c r="I21" s="33" t="inlineStr">
        <is>
          <t>현장소장 및 발주처 / 공동감리단</t>
        </is>
      </c>
      <c r="J21" s="34" t="inlineStr">
        <is>
          <t>시설물검증 노선에 환경에 철도종합시험운행 시행지침에 의거 철도노선 및 관계시설을 검증하여 안전성 확보 여부 판단</t>
        </is>
      </c>
      <c r="K21" s="50" t="inlineStr">
        <is>
          <t>- 철도종합시험운행 시행지침상 검사사항 검증
- 철도종합시험운행 시설물검증시험 점검항목 시행
- 시설물 특성 및 규모에 따른 설계속도 또는 선로 최고운행속도 까지 증속하여 다음의 사항을 점검
1) 신호시설물의 정상 동작상태
2) 신호시설물의 안전상태
3) 철도차량의 운행 적합성 적정여부
4) 신호설비와 차량간 연계성 적정여부</t>
        </is>
      </c>
      <c r="L21" s="34" t="inlineStr">
        <is>
          <t>시설물 검증시험 시험결과 및 승인원, 완료결과보고서</t>
        </is>
      </c>
      <c r="M21" s="34" t="inlineStr">
        <is>
          <t>1) 시설물 검증(WBS 9000-1-21)을 위해 최고운행속도 증속 시운전을 시행하고 신호 정상동작을 검증하라.
2) 신호설비와 차량 간 연계성 및 철도차량 운행 적합성 검증 결과표를 승인 완수하라.</t>
        </is>
      </c>
      <c r="N21" s="35">
        <f>HYPERLINK(LEFT(CELL("filename",A1),FIND("[",CELL("filename",A1))-1)&amp;"7.신호분야\20_시설물 검증시험\표준서\시설물 검증시험_표준서.html", "👉 [클릭] 표준서 열기 📄")</f>
        <v/>
      </c>
      <c r="O21" s="34" t="inlineStr">
        <is>
          <t>1) 설계 최고운행속도까지 단계별 증속하여 신호시설물 정상 동작 및 안전성을 점검하십시오.
2) 신호설비와 차량 간 연계 적정성 및 철도차량 운행 적합 여부를 서면 판정하십시오.</t>
        </is>
      </c>
      <c r="P21" s="36">
        <f>HYPERLINK(LEFT(CELL("filename",A1),FIND("[",CELL("filename",A1))-1)&amp;"7.신호분야\20_시설물 검증시험\수행지침\LTE-R_무선_AP를_통한_신호_제어_데이터_송수신_레벨_상세절차서.html", "👉 [클릭] 수행지침 열기 📄")</f>
        <v/>
      </c>
      <c r="Q21" s="34" t="inlineStr">
        <is>
          <t>1) 설계 최고운행속도 증속 시운전 시 신호시설물 정상 동작을 확인하였는가?
2) 신호설비와 차량 간 연계성 및 차량 운행 적합성을 검증하였는가?</t>
        </is>
      </c>
      <c r="R21" s="37">
        <f>HYPERLINK(LEFT(CELL("filename",A1),FIND("[",CELL("filename",A1))-1)&amp;"7.신호분야\20_시설물 검증시험\체크리스트\시설물 검증시험_체크리스트.html", "👉 [클릭] 체크리스트 열기 📄")</f>
        <v/>
      </c>
      <c r="S21" s="33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8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8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8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18" t="n"/>
      <c r="GI21" s="18" t="n"/>
      <c r="GJ21" s="18" t="n"/>
      <c r="GK21" s="18" t="n"/>
      <c r="GL21" s="18" t="n"/>
      <c r="GM21" s="18" t="n"/>
    </row>
    <row r="22" ht="52.05" customHeight="1" s="88">
      <c r="A22" s="19" t="inlineStr">
        <is>
          <t>9000</t>
        </is>
      </c>
      <c r="B22" s="19" t="inlineStr">
        <is>
          <t>9000-7</t>
        </is>
      </c>
      <c r="C22" s="19" t="inlineStr">
        <is>
          <t>신호분야</t>
        </is>
      </c>
      <c r="D22" s="19" t="inlineStr">
        <is>
          <t>9000-7-21</t>
        </is>
      </c>
      <c r="E22" s="95" t="inlineStr">
        <is>
          <t>9000-7-17, 9000-7-18, 9000-7-19</t>
        </is>
      </c>
      <c r="F22" s="95" t="inlineStr">
        <is>
          <t>9000-7-22</t>
        </is>
      </c>
      <c r="G22" s="23" t="inlineStr">
        <is>
          <t>영업 시운전</t>
        </is>
      </c>
      <c r="H22" s="21" t="inlineStr">
        <is>
          <t>D+500
~D+581</t>
        </is>
      </c>
      <c r="I22" s="21" t="inlineStr">
        <is>
          <t>현장소장 및 발주처 / 공동감리단</t>
        </is>
      </c>
      <c r="J22" s="24" t="inlineStr">
        <is>
          <t>영업 시운전에 의한 수송능력을 파악하고 최종 운영기관과 인터페이스 협의를 통해 시공의 안정성 확보 여부 및 검증</t>
        </is>
      </c>
      <c r="K22" s="49" t="inlineStr">
        <is>
          <t>- 모의 영업 시나리오 기반 100회 정시 운행 성공률 99.8% 이상 확보
- 영업운전과 동일한 조건으로 행사수송 수행 및 영업준비 수행
- 철도안전관련계 체계 및 시운전수행 승인 등 관계 기관에 제출
- 영업조건과 동일한 조건으로 열차운행을 위한 운전분야 및 영업분야 시행
- 열차운행스케쥴 및 영업설비 점검
- 승무원 노선숙지 등 업무숙달 훈련
- 철도시설과 차량과의 인터페이스 최종 점검</t>
        </is>
      </c>
      <c r="L22" s="24" t="inlineStr">
        <is>
          <t>영업 시운전 및 가동단계에서 운영지침서 및 최종 제출서(가동시험보고서)</t>
        </is>
      </c>
      <c r="M22" s="24" t="inlineStr">
        <is>
          <t>1) 영업 시운전(WBS 9000-1-22)을 위해 모의 영업 시나리오 기반 100회 정시 운행 성공률(≥99.8%)을 달성하라.
2) 영업운전과 동일 조건 열차스케줄 및 승무원 노선숙지 등 최종 영업준비를 완수하라.</t>
        </is>
      </c>
      <c r="N22" s="25">
        <f>HYPERLINK(LEFT(CELL("filename",A1),FIND("[",CELL("filename",A1))-1)&amp;"7.신호분야\21_영업 시운전\표준서\영업 시운전_표준서.html", "👉 [클릭] 표준서 열기 📄")</f>
        <v/>
      </c>
      <c r="O22" s="24" t="inlineStr">
        <is>
          <t>1) 모의 영업 시나리오에 따라 100회 정시 운행 성공률(≥99.8%) 이상을 확보하십시오.
2) 영업운전과 동일한 조건으로 열차운행 스케줄 및 영업설비 최종 점검을 완료하십시오.</t>
        </is>
      </c>
      <c r="P22" s="26">
        <f>HYPERLINK(LEFT(CELL("filename",A1),FIND("[",CELL("filename",A1))-1)&amp;"7.신호분야\21_영업 시운전\수행지침\LTE-R_무선_AP를_통한_신호_제어_데이터_송수신_레벨_상세절차서.html", "👉 [클릭] 수행지침 열기 📄")</f>
        <v/>
      </c>
      <c r="Q22" s="24" t="inlineStr">
        <is>
          <t>1) 모의 영업 시나리오 기반 100회 정시 운행 성공률(≥99.8%)을 달성하였는가?
2) 영업운전 동일 조건 행사수송 및 승무원 노선숙지 훈련을 완수하였는가?</t>
        </is>
      </c>
      <c r="R22" s="27">
        <f>HYPERLINK(LEFT(CELL("filename",A1),FIND("[",CELL("filename",A1))-1)&amp;"7.신호분야\21_영업 시운전\체크리스트\영업 시운전_체크리스트.html", "👉 [클릭] 체크리스트 열기 📄")</f>
        <v/>
      </c>
      <c r="S22" s="2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Y22" s="18" t="n"/>
      <c r="DZ22" s="18" t="n"/>
      <c r="EA22" s="18" t="n"/>
      <c r="EB22" s="18" t="n"/>
      <c r="EC22" s="18" t="n"/>
      <c r="ED22" s="18" t="n"/>
      <c r="EE22" s="18" t="n"/>
      <c r="EF22" s="18" t="n"/>
      <c r="EG22" s="18" t="n"/>
      <c r="EH22" s="18" t="n"/>
      <c r="EI22" s="18" t="n"/>
      <c r="EJ22" s="18" t="n"/>
      <c r="EK22" s="18" t="n"/>
      <c r="EL22" s="18" t="n"/>
      <c r="EM22" s="18" t="n"/>
      <c r="EN22" s="18" t="n"/>
      <c r="EO22" s="18" t="n"/>
      <c r="EP22" s="18" t="n"/>
      <c r="EQ22" s="18" t="n"/>
      <c r="ER22" s="18" t="n"/>
      <c r="ES22" s="18" t="n"/>
      <c r="ET22" s="18" t="n"/>
      <c r="EU22" s="18" t="n"/>
      <c r="EV22" s="18" t="n"/>
      <c r="EW22" s="18" t="n"/>
      <c r="EX22" s="18" t="n"/>
      <c r="EY22" s="18" t="n"/>
      <c r="EZ22" s="18" t="n"/>
      <c r="FA22" s="18" t="n"/>
      <c r="FB22" s="18" t="n"/>
      <c r="FC22" s="18" t="n"/>
      <c r="FD22" s="18" t="n"/>
      <c r="FE22" s="18" t="n"/>
      <c r="FF22" s="18" t="n"/>
      <c r="FG22" s="18" t="n"/>
      <c r="FH22" s="18" t="n"/>
      <c r="FI22" s="18" t="n"/>
      <c r="FJ22" s="18" t="n"/>
      <c r="FK22" s="18" t="n"/>
      <c r="FL22" s="18" t="n"/>
      <c r="FM22" s="18" t="n"/>
      <c r="FN22" s="18" t="n"/>
      <c r="FO22" s="18" t="n"/>
      <c r="FP22" s="18" t="n"/>
      <c r="FQ22" s="18" t="n"/>
      <c r="FR22" s="18" t="n"/>
      <c r="FS22" s="18" t="n"/>
      <c r="FT22" s="18" t="n"/>
      <c r="FU22" s="18" t="n"/>
      <c r="FV22" s="18" t="n"/>
      <c r="FW22" s="18" t="n"/>
      <c r="FX22" s="18" t="n"/>
      <c r="FY22" s="18" t="n"/>
      <c r="FZ22" s="18" t="n"/>
      <c r="GA22" s="18" t="n"/>
      <c r="GB22" s="18" t="n"/>
      <c r="GC22" s="18" t="n"/>
      <c r="GD22" s="18" t="n"/>
      <c r="GE22" s="18" t="n"/>
      <c r="GF22" s="18" t="n"/>
      <c r="GG22" s="18" t="n"/>
      <c r="GH22" s="18" t="n"/>
      <c r="GI22" s="18" t="n"/>
      <c r="GJ22" s="18" t="n"/>
      <c r="GK22" s="18" t="n"/>
      <c r="GL22" s="18" t="n"/>
      <c r="GM22" s="18" t="n"/>
      <c r="GN22" s="18" t="n"/>
      <c r="GO22" s="18" t="n"/>
      <c r="GP22" s="18" t="n"/>
      <c r="GQ22" s="18" t="n"/>
    </row>
    <row r="23" ht="52.05" customHeight="1" s="88">
      <c r="A23" s="29" t="inlineStr">
        <is>
          <t>9000</t>
        </is>
      </c>
      <c r="B23" s="29" t="inlineStr">
        <is>
          <t>9000-7</t>
        </is>
      </c>
      <c r="C23" s="29" t="inlineStr">
        <is>
          <t>신호분야</t>
        </is>
      </c>
      <c r="D23" s="29" t="inlineStr">
        <is>
          <t>9000-7-22</t>
        </is>
      </c>
      <c r="E23" s="102" t="inlineStr">
        <is>
          <t>9000-7-19, 9000-7-20, 9000-7-21</t>
        </is>
      </c>
      <c r="F23" s="102" t="inlineStr">
        <is>
          <t>-</t>
        </is>
      </c>
      <c r="G23" s="32" t="inlineStr">
        <is>
          <t>유지관리 설치</t>
        </is>
      </c>
      <c r="H23" s="33" t="inlineStr">
        <is>
          <t>D+581</t>
        </is>
      </c>
      <c r="I23" s="33" t="inlineStr">
        <is>
          <t>현장소장</t>
        </is>
      </c>
      <c r="J23" s="34" t="inlineStr">
        <is>
          <t>관제 관제실의 장비체계 배치 및 설치</t>
        </is>
      </c>
      <c r="K23" s="34" t="inlineStr">
        <is>
          <t>- 유지 및 보수용 상세 공사 설계배치 확인
- 현장조성 및 유지관리 지침서 이행 여부</t>
        </is>
      </c>
      <c r="L23" s="34" t="inlineStr">
        <is>
          <t>유지관리 지침 및 관리 이행 보고서</t>
        </is>
      </c>
      <c r="M23" s="34" t="inlineStr">
        <is>
          <t>1) 유지관리 설치(WBS 9000-1-13)를 위해 관제실 유지보수용 장비 배치 및 상세 공사 설계를 확인하라.
2) 현장조성 및 유지관리 지침서 이행 여부를 확인하고 관제 MMI 보수를 완수하라.</t>
        </is>
      </c>
      <c r="N23" s="35">
        <f>HYPERLINK(LEFT(CELL("filename",A1),FIND("[",CELL("filename",A1))-1)&amp;"7.신호분야\22_유지관리 설치\표준서\유지관리 설치_표준서.html", "👉 [클릭] 표준서 열기 📄")</f>
        <v/>
      </c>
      <c r="O23" s="34" t="inlineStr">
        <is>
          <t>1) 관제실 유지 및 보수용 상세 공사 설계 배치를 확인하고 장비를 시공하십시오.
2) 현장 조성 및 유지관리 지침서 이행 여부를 점검하여 서면 보고하십시오.</t>
        </is>
      </c>
      <c r="P23" s="36">
        <f>HYPERLINK(LEFT(CELL("filename",A1),FIND("[",CELL("filename",A1))-1)&amp;"7.신호분야\22_유지관리 설치\수행지침\LTE-R_무선_AP를_통한_신호_제어_데이터_송수신_레벨_상세절차서.html", "👉 [클릭] 수행지침 열기 📄")</f>
        <v/>
      </c>
      <c r="Q23" s="34" t="inlineStr">
        <is>
          <t>1) 관제실 유지보수용 상세 공사 설계 배치를 확인하였는가?
2) 현장조성 및 유지관리 지침서 이행 여부를 점검 확인하였는가?</t>
        </is>
      </c>
      <c r="R23" s="37">
        <f>HYPERLINK(LEFT(CELL("filename",A1),FIND("[",CELL("filename",A1))-1)&amp;"7.신호분야\22_유지관리 설치\체크리스트\유지관리 설치_체크리스트.html", "👉 [클릭] 체크리스트 열기 📄")</f>
        <v/>
      </c>
      <c r="S23" s="33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8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8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8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18" t="n"/>
      <c r="GI23" s="18" t="n"/>
      <c r="GJ23" s="18" t="n"/>
      <c r="GK23" s="18" t="n"/>
      <c r="GL23" s="18" t="n"/>
      <c r="GM23" s="18" t="n"/>
      <c r="GN23" s="18" t="n"/>
      <c r="GO23" s="18" t="n"/>
      <c r="GP23" s="18" t="n"/>
      <c r="GQ23" s="18" t="n"/>
      <c r="GR23" s="18" t="n"/>
      <c r="GS23" s="18" t="n"/>
      <c r="GT23" s="18" t="n"/>
      <c r="GU23" s="18" t="n"/>
    </row>
    <row r="24">
      <c r="A24" s="18" t="n"/>
      <c r="B24" s="18" t="n"/>
      <c r="C24" s="18" t="n"/>
      <c r="D24" s="18" t="n"/>
      <c r="E24" s="51" t="n"/>
      <c r="F24" s="52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8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8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8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18" t="n"/>
      <c r="GI24" s="18" t="n"/>
      <c r="GJ24" s="18" t="n"/>
      <c r="GK24" s="18" t="n"/>
      <c r="GL24" s="18" t="n"/>
      <c r="GM24" s="18" t="n"/>
      <c r="GN24" s="18" t="n"/>
      <c r="GO24" s="18" t="n"/>
      <c r="GP24" s="18" t="n"/>
      <c r="GQ24" s="18" t="n"/>
      <c r="GR24" s="18" t="n"/>
      <c r="GS24" s="18" t="n"/>
      <c r="GT24" s="18" t="n"/>
      <c r="GU24" s="18" t="n"/>
      <c r="GV24" s="18" t="n"/>
      <c r="GW24" s="18" t="n"/>
      <c r="GX24" s="18" t="n"/>
      <c r="GY24" s="18" t="n"/>
      <c r="GZ24" s="18" t="n"/>
      <c r="HA24" s="18" t="n"/>
      <c r="HB24" s="18" t="n"/>
      <c r="HC24" s="18" t="n"/>
    </row>
    <row r="25">
      <c r="A25" s="18" t="n"/>
      <c r="B25" s="18" t="n"/>
      <c r="C25" s="18" t="n"/>
      <c r="D25" s="18" t="n"/>
      <c r="E25" s="51" t="n"/>
      <c r="F25" s="52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8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8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8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18" t="n"/>
      <c r="GI25" s="18" t="n"/>
      <c r="GJ25" s="18" t="n"/>
      <c r="GK25" s="18" t="n"/>
      <c r="GL25" s="18" t="n"/>
      <c r="GM25" s="18" t="n"/>
      <c r="GN25" s="18" t="n"/>
      <c r="GO25" s="18" t="n"/>
      <c r="GP25" s="18" t="n"/>
      <c r="GQ25" s="18" t="n"/>
      <c r="GR25" s="18" t="n"/>
      <c r="GS25" s="18" t="n"/>
      <c r="GT25" s="18" t="n"/>
      <c r="GU25" s="18" t="n"/>
      <c r="GV25" s="18" t="n"/>
      <c r="GW25" s="18" t="n"/>
      <c r="GX25" s="18" t="n"/>
      <c r="GY25" s="18" t="n"/>
      <c r="GZ25" s="18" t="n"/>
      <c r="HA25" s="18" t="n"/>
      <c r="HB25" s="18" t="n"/>
      <c r="HC25" s="18" t="n"/>
      <c r="HD25" s="18" t="n"/>
      <c r="HE25" s="18" t="n"/>
      <c r="HF25" s="18" t="n"/>
      <c r="HG25" s="18" t="n"/>
    </row>
    <row r="26">
      <c r="A26" s="18" t="n"/>
      <c r="B26" s="18" t="n"/>
      <c r="C26" s="18" t="n"/>
      <c r="D26" s="18" t="n"/>
      <c r="E26" s="51" t="n"/>
      <c r="F26" s="52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8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8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8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18" t="n"/>
      <c r="GI26" s="18" t="n"/>
      <c r="GJ26" s="18" t="n"/>
      <c r="GK26" s="18" t="n"/>
      <c r="GL26" s="18" t="n"/>
      <c r="GM26" s="18" t="n"/>
      <c r="GN26" s="18" t="n"/>
      <c r="GO26" s="18" t="n"/>
      <c r="GP26" s="18" t="n"/>
      <c r="GQ26" s="18" t="n"/>
      <c r="GR26" s="18" t="n"/>
      <c r="GS26" s="18" t="n"/>
      <c r="GT26" s="18" t="n"/>
      <c r="GU26" s="18" t="n"/>
      <c r="GV26" s="18" t="n"/>
      <c r="GW26" s="18" t="n"/>
      <c r="GX26" s="18" t="n"/>
      <c r="GY26" s="18" t="n"/>
      <c r="GZ26" s="18" t="n"/>
      <c r="HA26" s="18" t="n"/>
      <c r="HB26" s="18" t="n"/>
      <c r="HC26" s="18" t="n"/>
      <c r="HD26" s="18" t="n"/>
      <c r="HE26" s="18" t="n"/>
      <c r="HF26" s="18" t="n"/>
      <c r="HG26" s="18" t="n"/>
      <c r="HH26" s="18" t="n"/>
      <c r="HI26" s="18" t="n"/>
      <c r="HJ26" s="18" t="n"/>
      <c r="HK26" s="18" t="n"/>
    </row>
    <row r="27">
      <c r="A27" s="18" t="n"/>
      <c r="B27" s="18" t="n"/>
      <c r="C27" s="18" t="n"/>
      <c r="D27" s="18" t="n"/>
      <c r="E27" s="51" t="n"/>
      <c r="F27" s="52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Y27" s="18" t="n"/>
      <c r="DZ27" s="18" t="n"/>
      <c r="EA27" s="18" t="n"/>
      <c r="EB27" s="18" t="n"/>
      <c r="EC27" s="18" t="n"/>
      <c r="ED27" s="18" t="n"/>
      <c r="EE27" s="18" t="n"/>
      <c r="EF27" s="18" t="n"/>
      <c r="EG27" s="18" t="n"/>
      <c r="EH27" s="18" t="n"/>
      <c r="EI27" s="18" t="n"/>
      <c r="EJ27" s="18" t="n"/>
      <c r="EK27" s="18" t="n"/>
      <c r="EL27" s="18" t="n"/>
      <c r="EM27" s="18" t="n"/>
      <c r="EN27" s="18" t="n"/>
      <c r="EO27" s="18" t="n"/>
      <c r="EP27" s="18" t="n"/>
      <c r="EQ27" s="18" t="n"/>
      <c r="ER27" s="18" t="n"/>
      <c r="ES27" s="18" t="n"/>
      <c r="ET27" s="18" t="n"/>
      <c r="EU27" s="18" t="n"/>
      <c r="EV27" s="18" t="n"/>
      <c r="EW27" s="18" t="n"/>
      <c r="EX27" s="18" t="n"/>
      <c r="EY27" s="18" t="n"/>
      <c r="EZ27" s="18" t="n"/>
      <c r="FA27" s="18" t="n"/>
      <c r="FB27" s="18" t="n"/>
      <c r="FC27" s="18" t="n"/>
      <c r="FD27" s="18" t="n"/>
      <c r="FE27" s="18" t="n"/>
      <c r="FF27" s="18" t="n"/>
      <c r="FG27" s="18" t="n"/>
      <c r="FH27" s="18" t="n"/>
      <c r="FI27" s="18" t="n"/>
      <c r="FJ27" s="18" t="n"/>
      <c r="FK27" s="18" t="n"/>
      <c r="FL27" s="18" t="n"/>
      <c r="FM27" s="18" t="n"/>
      <c r="FN27" s="18" t="n"/>
      <c r="FO27" s="18" t="n"/>
      <c r="FP27" s="18" t="n"/>
      <c r="FQ27" s="18" t="n"/>
      <c r="FR27" s="18" t="n"/>
      <c r="FS27" s="18" t="n"/>
      <c r="FT27" s="18" t="n"/>
      <c r="FU27" s="18" t="n"/>
      <c r="FV27" s="18" t="n"/>
      <c r="FW27" s="18" t="n"/>
      <c r="FX27" s="18" t="n"/>
      <c r="FY27" s="18" t="n"/>
      <c r="FZ27" s="18" t="n"/>
      <c r="GA27" s="18" t="n"/>
      <c r="GB27" s="18" t="n"/>
      <c r="GC27" s="18" t="n"/>
      <c r="GD27" s="18" t="n"/>
      <c r="GE27" s="18" t="n"/>
      <c r="GF27" s="18" t="n"/>
      <c r="GG27" s="18" t="n"/>
      <c r="GH27" s="18" t="n"/>
      <c r="GI27" s="18" t="n"/>
      <c r="GJ27" s="18" t="n"/>
      <c r="GK27" s="18" t="n"/>
      <c r="GL27" s="18" t="n"/>
      <c r="GM27" s="18" t="n"/>
      <c r="GN27" s="18" t="n"/>
      <c r="GO27" s="18" t="n"/>
      <c r="GP27" s="18" t="n"/>
      <c r="GQ27" s="18" t="n"/>
      <c r="GR27" s="18" t="n"/>
      <c r="GS27" s="18" t="n"/>
      <c r="GT27" s="18" t="n"/>
      <c r="GU27" s="18" t="n"/>
      <c r="GV27" s="18" t="n"/>
      <c r="GW27" s="18" t="n"/>
      <c r="GX27" s="18" t="n"/>
      <c r="GY27" s="18" t="n"/>
      <c r="GZ27" s="18" t="n"/>
      <c r="HA27" s="18" t="n"/>
      <c r="HB27" s="18" t="n"/>
      <c r="HC27" s="18" t="n"/>
      <c r="HD27" s="18" t="n"/>
      <c r="HE27" s="18" t="n"/>
      <c r="HF27" s="18" t="n"/>
      <c r="HG27" s="18" t="n"/>
      <c r="HH27" s="18" t="n"/>
      <c r="HI27" s="18" t="n"/>
      <c r="HJ27" s="18" t="n"/>
      <c r="HK27" s="18" t="n"/>
      <c r="HL27" s="18" t="n"/>
      <c r="HM27" s="18" t="n"/>
      <c r="HN27" s="18" t="n"/>
      <c r="HO27" s="18" t="n"/>
    </row>
    <row r="28">
      <c r="A28" s="18" t="n"/>
      <c r="B28" s="18" t="n"/>
      <c r="C28" s="18" t="n"/>
      <c r="D28" s="18" t="n"/>
      <c r="E28" s="51" t="n"/>
      <c r="F28" s="52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Y28" s="18" t="n"/>
      <c r="DZ28" s="18" t="n"/>
      <c r="EA28" s="18" t="n"/>
      <c r="EB28" s="18" t="n"/>
      <c r="EC28" s="18" t="n"/>
      <c r="ED28" s="18" t="n"/>
      <c r="EE28" s="18" t="n"/>
      <c r="EF28" s="18" t="n"/>
      <c r="EG28" s="18" t="n"/>
      <c r="EH28" s="18" t="n"/>
      <c r="EI28" s="18" t="n"/>
      <c r="EJ28" s="18" t="n"/>
      <c r="EK28" s="18" t="n"/>
      <c r="EL28" s="18" t="n"/>
      <c r="EM28" s="18" t="n"/>
      <c r="EN28" s="18" t="n"/>
      <c r="EO28" s="18" t="n"/>
      <c r="EP28" s="18" t="n"/>
      <c r="EQ28" s="18" t="n"/>
      <c r="ER28" s="18" t="n"/>
      <c r="ES28" s="18" t="n"/>
      <c r="ET28" s="18" t="n"/>
      <c r="EU28" s="18" t="n"/>
      <c r="EV28" s="18" t="n"/>
      <c r="EW28" s="18" t="n"/>
      <c r="EX28" s="18" t="n"/>
      <c r="EY28" s="18" t="n"/>
      <c r="EZ28" s="18" t="n"/>
      <c r="FA28" s="18" t="n"/>
      <c r="FB28" s="18" t="n"/>
      <c r="FC28" s="18" t="n"/>
      <c r="FD28" s="18" t="n"/>
      <c r="FE28" s="18" t="n"/>
      <c r="FF28" s="18" t="n"/>
      <c r="FG28" s="18" t="n"/>
      <c r="FH28" s="18" t="n"/>
      <c r="FI28" s="18" t="n"/>
      <c r="FJ28" s="18" t="n"/>
      <c r="FK28" s="18" t="n"/>
      <c r="FL28" s="18" t="n"/>
      <c r="FM28" s="18" t="n"/>
      <c r="FN28" s="18" t="n"/>
      <c r="FO28" s="18" t="n"/>
      <c r="FP28" s="18" t="n"/>
      <c r="FQ28" s="18" t="n"/>
      <c r="FR28" s="18" t="n"/>
      <c r="FS28" s="18" t="n"/>
      <c r="FT28" s="18" t="n"/>
      <c r="FU28" s="18" t="n"/>
      <c r="FV28" s="18" t="n"/>
      <c r="FW28" s="18" t="n"/>
      <c r="FX28" s="18" t="n"/>
      <c r="FY28" s="18" t="n"/>
      <c r="FZ28" s="18" t="n"/>
      <c r="GA28" s="18" t="n"/>
      <c r="GB28" s="18" t="n"/>
      <c r="GC28" s="18" t="n"/>
      <c r="GD28" s="18" t="n"/>
      <c r="GE28" s="18" t="n"/>
      <c r="GF28" s="18" t="n"/>
      <c r="GG28" s="18" t="n"/>
      <c r="GH28" s="18" t="n"/>
      <c r="GI28" s="18" t="n"/>
      <c r="GJ28" s="18" t="n"/>
      <c r="GK28" s="18" t="n"/>
      <c r="GL28" s="18" t="n"/>
      <c r="GM28" s="18" t="n"/>
      <c r="GN28" s="18" t="n"/>
      <c r="GO28" s="18" t="n"/>
      <c r="GP28" s="18" t="n"/>
      <c r="GQ28" s="18" t="n"/>
      <c r="GR28" s="18" t="n"/>
      <c r="GS28" s="18" t="n"/>
      <c r="GT28" s="18" t="n"/>
      <c r="GU28" s="18" t="n"/>
      <c r="GV28" s="18" t="n"/>
      <c r="GW28" s="18" t="n"/>
      <c r="GX28" s="18" t="n"/>
      <c r="GY28" s="18" t="n"/>
      <c r="GZ28" s="18" t="n"/>
      <c r="HA28" s="18" t="n"/>
      <c r="HB28" s="18" t="n"/>
      <c r="HC28" s="18" t="n"/>
      <c r="HD28" s="18" t="n"/>
      <c r="HE28" s="18" t="n"/>
      <c r="HF28" s="18" t="n"/>
      <c r="HG28" s="18" t="n"/>
      <c r="HH28" s="18" t="n"/>
      <c r="HI28" s="18" t="n"/>
      <c r="HJ28" s="18" t="n"/>
      <c r="HK28" s="18" t="n"/>
      <c r="HL28" s="18" t="n"/>
      <c r="HM28" s="18" t="n"/>
      <c r="HN28" s="18" t="n"/>
      <c r="HO28" s="18" t="n"/>
      <c r="HP28" s="18" t="n"/>
      <c r="HQ28" s="18" t="n"/>
      <c r="HR28" s="18" t="n"/>
      <c r="HS28" s="18" t="n"/>
    </row>
    <row r="29">
      <c r="A29" s="18" t="n"/>
      <c r="B29" s="18" t="n"/>
      <c r="C29" s="18" t="n"/>
      <c r="D29" s="18" t="n"/>
      <c r="E29" s="51" t="n"/>
      <c r="F29" s="52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Y29" s="18" t="n"/>
      <c r="DZ29" s="18" t="n"/>
      <c r="EA29" s="18" t="n"/>
      <c r="EB29" s="18" t="n"/>
      <c r="EC29" s="18" t="n"/>
      <c r="ED29" s="18" t="n"/>
      <c r="EE29" s="18" t="n"/>
      <c r="EF29" s="18" t="n"/>
      <c r="EG29" s="18" t="n"/>
      <c r="EH29" s="18" t="n"/>
      <c r="EI29" s="18" t="n"/>
      <c r="EJ29" s="18" t="n"/>
      <c r="EK29" s="18" t="n"/>
      <c r="EL29" s="18" t="n"/>
      <c r="EM29" s="18" t="n"/>
      <c r="EN29" s="18" t="n"/>
      <c r="EO29" s="18" t="n"/>
      <c r="EP29" s="18" t="n"/>
      <c r="EQ29" s="18" t="n"/>
      <c r="ER29" s="18" t="n"/>
      <c r="ES29" s="18" t="n"/>
      <c r="ET29" s="18" t="n"/>
      <c r="EU29" s="18" t="n"/>
      <c r="EV29" s="18" t="n"/>
      <c r="EW29" s="18" t="n"/>
      <c r="EX29" s="18" t="n"/>
      <c r="EY29" s="18" t="n"/>
      <c r="EZ29" s="18" t="n"/>
      <c r="FA29" s="18" t="n"/>
      <c r="FB29" s="18" t="n"/>
      <c r="FC29" s="18" t="n"/>
      <c r="FD29" s="18" t="n"/>
      <c r="FE29" s="18" t="n"/>
      <c r="FF29" s="18" t="n"/>
      <c r="FG29" s="18" t="n"/>
      <c r="FH29" s="18" t="n"/>
      <c r="FI29" s="18" t="n"/>
      <c r="FJ29" s="18" t="n"/>
      <c r="FK29" s="18" t="n"/>
      <c r="FL29" s="18" t="n"/>
      <c r="FM29" s="18" t="n"/>
      <c r="FN29" s="18" t="n"/>
      <c r="FO29" s="18" t="n"/>
      <c r="FP29" s="18" t="n"/>
      <c r="FQ29" s="18" t="n"/>
      <c r="FR29" s="18" t="n"/>
      <c r="FS29" s="18" t="n"/>
      <c r="FT29" s="18" t="n"/>
      <c r="FU29" s="18" t="n"/>
      <c r="FV29" s="18" t="n"/>
      <c r="FW29" s="18" t="n"/>
      <c r="FX29" s="18" t="n"/>
      <c r="FY29" s="18" t="n"/>
      <c r="FZ29" s="18" t="n"/>
      <c r="GA29" s="18" t="n"/>
      <c r="GB29" s="18" t="n"/>
      <c r="GC29" s="18" t="n"/>
      <c r="GD29" s="18" t="n"/>
      <c r="GE29" s="18" t="n"/>
      <c r="GF29" s="18" t="n"/>
      <c r="GG29" s="18" t="n"/>
      <c r="GH29" s="18" t="n"/>
      <c r="GI29" s="18" t="n"/>
      <c r="GJ29" s="18" t="n"/>
      <c r="GK29" s="18" t="n"/>
      <c r="GL29" s="18" t="n"/>
      <c r="GM29" s="18" t="n"/>
      <c r="GN29" s="18" t="n"/>
      <c r="GO29" s="18" t="n"/>
      <c r="GP29" s="18" t="n"/>
      <c r="GQ29" s="18" t="n"/>
      <c r="GR29" s="18" t="n"/>
      <c r="GS29" s="18" t="n"/>
      <c r="GT29" s="18" t="n"/>
      <c r="GU29" s="18" t="n"/>
      <c r="GV29" s="18" t="n"/>
      <c r="GW29" s="18" t="n"/>
      <c r="GX29" s="18" t="n"/>
      <c r="GY29" s="18" t="n"/>
      <c r="GZ29" s="18" t="n"/>
      <c r="HA29" s="18" t="n"/>
      <c r="HB29" s="18" t="n"/>
      <c r="HC29" s="18" t="n"/>
      <c r="HD29" s="18" t="n"/>
      <c r="HE29" s="18" t="n"/>
      <c r="HF29" s="18" t="n"/>
      <c r="HG29" s="18" t="n"/>
      <c r="HH29" s="18" t="n"/>
      <c r="HI29" s="18" t="n"/>
      <c r="HJ29" s="18" t="n"/>
      <c r="HK29" s="18" t="n"/>
      <c r="HL29" s="18" t="n"/>
      <c r="HM29" s="18" t="n"/>
      <c r="HN29" s="18" t="n"/>
      <c r="HO29" s="18" t="n"/>
      <c r="HP29" s="18" t="n"/>
      <c r="HQ29" s="18" t="n"/>
      <c r="HR29" s="18" t="n"/>
      <c r="HS29" s="18" t="n"/>
      <c r="HT29" s="18" t="n"/>
      <c r="HU29" s="18" t="n"/>
      <c r="HV29" s="18" t="n"/>
      <c r="HW29" s="18" t="n"/>
    </row>
    <row r="30">
      <c r="A30" s="18" t="n"/>
      <c r="B30" s="18" t="n"/>
      <c r="C30" s="18" t="n"/>
      <c r="D30" s="18" t="n"/>
      <c r="E30" s="51" t="n"/>
      <c r="F30" s="52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Y30" s="18" t="n"/>
      <c r="DZ30" s="18" t="n"/>
      <c r="EA30" s="18" t="n"/>
      <c r="EB30" s="18" t="n"/>
      <c r="EC30" s="18" t="n"/>
      <c r="ED30" s="18" t="n"/>
      <c r="EE30" s="18" t="n"/>
      <c r="EF30" s="18" t="n"/>
      <c r="EG30" s="18" t="n"/>
      <c r="EH30" s="18" t="n"/>
      <c r="EI30" s="18" t="n"/>
      <c r="EJ30" s="18" t="n"/>
      <c r="EK30" s="18" t="n"/>
      <c r="EL30" s="18" t="n"/>
      <c r="EM30" s="18" t="n"/>
      <c r="EN30" s="18" t="n"/>
      <c r="EO30" s="18" t="n"/>
      <c r="EP30" s="18" t="n"/>
      <c r="EQ30" s="18" t="n"/>
      <c r="ER30" s="18" t="n"/>
      <c r="ES30" s="18" t="n"/>
      <c r="ET30" s="18" t="n"/>
      <c r="EU30" s="18" t="n"/>
      <c r="EV30" s="18" t="n"/>
      <c r="EW30" s="18" t="n"/>
      <c r="EX30" s="18" t="n"/>
      <c r="EY30" s="18" t="n"/>
      <c r="EZ30" s="18" t="n"/>
      <c r="FA30" s="18" t="n"/>
      <c r="FB30" s="18" t="n"/>
      <c r="FC30" s="18" t="n"/>
      <c r="FD30" s="18" t="n"/>
      <c r="FE30" s="18" t="n"/>
      <c r="FF30" s="18" t="n"/>
      <c r="FG30" s="18" t="n"/>
      <c r="FH30" s="18" t="n"/>
      <c r="FI30" s="18" t="n"/>
      <c r="FJ30" s="18" t="n"/>
      <c r="FK30" s="18" t="n"/>
      <c r="FL30" s="18" t="n"/>
      <c r="FM30" s="18" t="n"/>
      <c r="FN30" s="18" t="n"/>
      <c r="FO30" s="18" t="n"/>
      <c r="FP30" s="18" t="n"/>
      <c r="FQ30" s="18" t="n"/>
      <c r="FR30" s="18" t="n"/>
      <c r="FS30" s="18" t="n"/>
      <c r="FT30" s="18" t="n"/>
      <c r="FU30" s="18" t="n"/>
      <c r="FV30" s="18" t="n"/>
      <c r="FW30" s="18" t="n"/>
      <c r="FX30" s="18" t="n"/>
      <c r="FY30" s="18" t="n"/>
      <c r="FZ30" s="18" t="n"/>
      <c r="GA30" s="18" t="n"/>
      <c r="GB30" s="18" t="n"/>
      <c r="GC30" s="18" t="n"/>
      <c r="GD30" s="18" t="n"/>
      <c r="GE30" s="18" t="n"/>
      <c r="GF30" s="18" t="n"/>
      <c r="GG30" s="18" t="n"/>
      <c r="GH30" s="18" t="n"/>
      <c r="GI30" s="18" t="n"/>
      <c r="GJ30" s="18" t="n"/>
      <c r="GK30" s="18" t="n"/>
      <c r="GL30" s="18" t="n"/>
      <c r="GM30" s="18" t="n"/>
      <c r="GN30" s="18" t="n"/>
      <c r="GO30" s="18" t="n"/>
      <c r="GP30" s="18" t="n"/>
      <c r="GQ30" s="18" t="n"/>
      <c r="GR30" s="18" t="n"/>
      <c r="GS30" s="18" t="n"/>
      <c r="GT30" s="18" t="n"/>
      <c r="GU30" s="18" t="n"/>
      <c r="GV30" s="18" t="n"/>
      <c r="GW30" s="18" t="n"/>
      <c r="GX30" s="18" t="n"/>
      <c r="GY30" s="18" t="n"/>
      <c r="GZ30" s="18" t="n"/>
      <c r="HA30" s="18" t="n"/>
      <c r="HB30" s="18" t="n"/>
      <c r="HC30" s="18" t="n"/>
      <c r="HD30" s="18" t="n"/>
      <c r="HE30" s="18" t="n"/>
      <c r="HF30" s="18" t="n"/>
      <c r="HG30" s="18" t="n"/>
      <c r="HH30" s="18" t="n"/>
      <c r="HI30" s="18" t="n"/>
      <c r="HJ30" s="18" t="n"/>
      <c r="HK30" s="18" t="n"/>
      <c r="HL30" s="18" t="n"/>
      <c r="HM30" s="18" t="n"/>
      <c r="HN30" s="18" t="n"/>
      <c r="HO30" s="18" t="n"/>
      <c r="HP30" s="18" t="n"/>
      <c r="HQ30" s="18" t="n"/>
      <c r="HR30" s="18" t="n"/>
      <c r="HS30" s="18" t="n"/>
      <c r="HT30" s="18" t="n"/>
      <c r="HU30" s="18" t="n"/>
      <c r="HV30" s="18" t="n"/>
      <c r="HW30" s="18" t="n"/>
      <c r="HX30" s="18" t="n"/>
      <c r="HY30" s="18" t="n"/>
      <c r="HZ30" s="18" t="n"/>
      <c r="IA30" s="18" t="n"/>
    </row>
    <row r="31">
      <c r="A31" s="18" t="n"/>
      <c r="B31" s="18" t="n"/>
      <c r="C31" s="18" t="n"/>
      <c r="D31" s="18" t="n"/>
      <c r="E31" s="51" t="n"/>
      <c r="F31" s="52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Y31" s="18" t="n"/>
      <c r="DZ31" s="18" t="n"/>
      <c r="EA31" s="18" t="n"/>
      <c r="EB31" s="18" t="n"/>
      <c r="EC31" s="18" t="n"/>
      <c r="ED31" s="18" t="n"/>
      <c r="EE31" s="18" t="n"/>
      <c r="EF31" s="18" t="n"/>
      <c r="EG31" s="18" t="n"/>
      <c r="EH31" s="18" t="n"/>
      <c r="EI31" s="18" t="n"/>
      <c r="EJ31" s="18" t="n"/>
      <c r="EK31" s="18" t="n"/>
      <c r="EL31" s="18" t="n"/>
      <c r="EM31" s="18" t="n"/>
      <c r="EN31" s="18" t="n"/>
      <c r="EO31" s="18" t="n"/>
      <c r="EP31" s="18" t="n"/>
      <c r="EQ31" s="18" t="n"/>
      <c r="ER31" s="18" t="n"/>
      <c r="ES31" s="18" t="n"/>
      <c r="ET31" s="18" t="n"/>
      <c r="EU31" s="18" t="n"/>
      <c r="EV31" s="18" t="n"/>
      <c r="EW31" s="18" t="n"/>
      <c r="EX31" s="18" t="n"/>
      <c r="EY31" s="18" t="n"/>
      <c r="EZ31" s="18" t="n"/>
      <c r="FA31" s="18" t="n"/>
      <c r="FB31" s="18" t="n"/>
      <c r="FC31" s="18" t="n"/>
      <c r="FD31" s="18" t="n"/>
      <c r="FE31" s="18" t="n"/>
      <c r="FF31" s="18" t="n"/>
      <c r="FG31" s="18" t="n"/>
      <c r="FH31" s="18" t="n"/>
      <c r="FI31" s="18" t="n"/>
      <c r="FJ31" s="18" t="n"/>
      <c r="FK31" s="18" t="n"/>
      <c r="FL31" s="18" t="n"/>
      <c r="FM31" s="18" t="n"/>
      <c r="FN31" s="18" t="n"/>
      <c r="FO31" s="18" t="n"/>
      <c r="FP31" s="18" t="n"/>
      <c r="FQ31" s="18" t="n"/>
      <c r="FR31" s="18" t="n"/>
      <c r="FS31" s="18" t="n"/>
      <c r="FT31" s="18" t="n"/>
      <c r="FU31" s="18" t="n"/>
      <c r="FV31" s="18" t="n"/>
      <c r="FW31" s="18" t="n"/>
      <c r="FX31" s="18" t="n"/>
      <c r="FY31" s="18" t="n"/>
      <c r="FZ31" s="18" t="n"/>
      <c r="GA31" s="18" t="n"/>
      <c r="GB31" s="18" t="n"/>
      <c r="GC31" s="18" t="n"/>
      <c r="GD31" s="18" t="n"/>
      <c r="GE31" s="18" t="n"/>
      <c r="GF31" s="18" t="n"/>
      <c r="GG31" s="18" t="n"/>
      <c r="GH31" s="18" t="n"/>
      <c r="GI31" s="18" t="n"/>
      <c r="GJ31" s="18" t="n"/>
      <c r="GK31" s="18" t="n"/>
      <c r="GL31" s="18" t="n"/>
      <c r="GM31" s="18" t="n"/>
      <c r="GN31" s="18" t="n"/>
      <c r="GO31" s="18" t="n"/>
      <c r="GP31" s="18" t="n"/>
      <c r="GQ31" s="18" t="n"/>
      <c r="GR31" s="18" t="n"/>
      <c r="GS31" s="18" t="n"/>
      <c r="GT31" s="18" t="n"/>
      <c r="GU31" s="18" t="n"/>
      <c r="GV31" s="18" t="n"/>
      <c r="GW31" s="18" t="n"/>
      <c r="GX31" s="18" t="n"/>
      <c r="GY31" s="18" t="n"/>
      <c r="GZ31" s="18" t="n"/>
      <c r="HA31" s="18" t="n"/>
      <c r="HB31" s="18" t="n"/>
      <c r="HC31" s="18" t="n"/>
      <c r="HD31" s="18" t="n"/>
      <c r="HE31" s="18" t="n"/>
      <c r="HF31" s="18" t="n"/>
      <c r="HG31" s="18" t="n"/>
      <c r="HH31" s="18" t="n"/>
      <c r="HI31" s="18" t="n"/>
      <c r="HJ31" s="18" t="n"/>
      <c r="HK31" s="18" t="n"/>
      <c r="HL31" s="18" t="n"/>
      <c r="HM31" s="18" t="n"/>
      <c r="HN31" s="18" t="n"/>
      <c r="HO31" s="18" t="n"/>
      <c r="HP31" s="18" t="n"/>
      <c r="HQ31" s="18" t="n"/>
      <c r="HR31" s="18" t="n"/>
      <c r="HS31" s="18" t="n"/>
      <c r="HT31" s="18" t="n"/>
      <c r="HU31" s="18" t="n"/>
      <c r="HV31" s="18" t="n"/>
      <c r="HW31" s="18" t="n"/>
      <c r="HX31" s="18" t="n"/>
      <c r="HY31" s="18" t="n"/>
      <c r="HZ31" s="18" t="n"/>
      <c r="IA31" s="18" t="n"/>
      <c r="IB31" s="18" t="n"/>
      <c r="IC31" s="18" t="n"/>
      <c r="ID31" s="18" t="n"/>
      <c r="IE31" s="18" t="n"/>
    </row>
    <row r="32">
      <c r="A32" s="18" t="n"/>
      <c r="B32" s="18" t="n"/>
      <c r="C32" s="18" t="n"/>
      <c r="D32" s="18" t="n"/>
      <c r="E32" s="51" t="n"/>
      <c r="F32" s="52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Y32" s="18" t="n"/>
      <c r="DZ32" s="18" t="n"/>
      <c r="EA32" s="18" t="n"/>
      <c r="EB32" s="18" t="n"/>
      <c r="EC32" s="18" t="n"/>
      <c r="ED32" s="18" t="n"/>
      <c r="EE32" s="18" t="n"/>
      <c r="EF32" s="18" t="n"/>
      <c r="EG32" s="18" t="n"/>
      <c r="EH32" s="18" t="n"/>
      <c r="EI32" s="18" t="n"/>
      <c r="EJ32" s="18" t="n"/>
      <c r="EK32" s="18" t="n"/>
      <c r="EL32" s="18" t="n"/>
      <c r="EM32" s="18" t="n"/>
      <c r="EN32" s="18" t="n"/>
      <c r="EO32" s="18" t="n"/>
      <c r="EP32" s="18" t="n"/>
      <c r="EQ32" s="18" t="n"/>
      <c r="ER32" s="18" t="n"/>
      <c r="ES32" s="18" t="n"/>
      <c r="ET32" s="18" t="n"/>
      <c r="EU32" s="18" t="n"/>
      <c r="EV32" s="18" t="n"/>
      <c r="EW32" s="18" t="n"/>
      <c r="EX32" s="18" t="n"/>
      <c r="EY32" s="18" t="n"/>
      <c r="EZ32" s="18" t="n"/>
      <c r="FA32" s="18" t="n"/>
      <c r="FB32" s="18" t="n"/>
      <c r="FC32" s="18" t="n"/>
      <c r="FD32" s="18" t="n"/>
      <c r="FE32" s="18" t="n"/>
      <c r="FF32" s="18" t="n"/>
      <c r="FG32" s="18" t="n"/>
      <c r="FH32" s="18" t="n"/>
      <c r="FI32" s="18" t="n"/>
      <c r="FJ32" s="18" t="n"/>
      <c r="FK32" s="18" t="n"/>
      <c r="FL32" s="18" t="n"/>
      <c r="FM32" s="18" t="n"/>
      <c r="FN32" s="18" t="n"/>
      <c r="FO32" s="18" t="n"/>
      <c r="FP32" s="18" t="n"/>
      <c r="FQ32" s="18" t="n"/>
      <c r="FR32" s="18" t="n"/>
      <c r="FS32" s="18" t="n"/>
      <c r="FT32" s="18" t="n"/>
      <c r="FU32" s="18" t="n"/>
      <c r="FV32" s="18" t="n"/>
      <c r="FW32" s="18" t="n"/>
      <c r="FX32" s="18" t="n"/>
      <c r="FY32" s="18" t="n"/>
      <c r="FZ32" s="18" t="n"/>
      <c r="GA32" s="18" t="n"/>
      <c r="GB32" s="18" t="n"/>
      <c r="GC32" s="18" t="n"/>
      <c r="GD32" s="18" t="n"/>
      <c r="GE32" s="18" t="n"/>
      <c r="GF32" s="18" t="n"/>
      <c r="GG32" s="18" t="n"/>
      <c r="GH32" s="18" t="n"/>
      <c r="GI32" s="18" t="n"/>
      <c r="GJ32" s="18" t="n"/>
      <c r="GK32" s="18" t="n"/>
      <c r="GL32" s="18" t="n"/>
      <c r="GM32" s="18" t="n"/>
      <c r="GN32" s="18" t="n"/>
      <c r="GO32" s="18" t="n"/>
      <c r="GP32" s="18" t="n"/>
      <c r="GQ32" s="18" t="n"/>
      <c r="GR32" s="18" t="n"/>
      <c r="GS32" s="18" t="n"/>
      <c r="GT32" s="18" t="n"/>
      <c r="GU32" s="18" t="n"/>
      <c r="GV32" s="18" t="n"/>
      <c r="GW32" s="18" t="n"/>
      <c r="GX32" s="18" t="n"/>
      <c r="GY32" s="18" t="n"/>
      <c r="GZ32" s="18" t="n"/>
      <c r="HA32" s="18" t="n"/>
      <c r="HB32" s="18" t="n"/>
      <c r="HC32" s="18" t="n"/>
      <c r="HD32" s="18" t="n"/>
      <c r="HE32" s="18" t="n"/>
      <c r="HF32" s="18" t="n"/>
      <c r="HG32" s="18" t="n"/>
      <c r="HH32" s="18" t="n"/>
      <c r="HI32" s="18" t="n"/>
      <c r="HJ32" s="18" t="n"/>
      <c r="HK32" s="18" t="n"/>
      <c r="HL32" s="18" t="n"/>
      <c r="HM32" s="18" t="n"/>
      <c r="HN32" s="18" t="n"/>
      <c r="HO32" s="18" t="n"/>
      <c r="HP32" s="18" t="n"/>
      <c r="HQ32" s="18" t="n"/>
      <c r="HR32" s="18" t="n"/>
      <c r="HS32" s="18" t="n"/>
      <c r="HT32" s="18" t="n"/>
      <c r="HU32" s="18" t="n"/>
      <c r="HV32" s="18" t="n"/>
      <c r="HW32" s="18" t="n"/>
      <c r="HX32" s="18" t="n"/>
      <c r="HY32" s="18" t="n"/>
      <c r="HZ32" s="18" t="n"/>
      <c r="IA32" s="18" t="n"/>
      <c r="IB32" s="18" t="n"/>
      <c r="IC32" s="18" t="n"/>
      <c r="ID32" s="18" t="n"/>
      <c r="IE32" s="18" t="n"/>
      <c r="IF32" s="18" t="n"/>
      <c r="IG32" s="18" t="n"/>
      <c r="IH32" s="18" t="n"/>
      <c r="II32" s="18" t="n"/>
    </row>
    <row r="33">
      <c r="A33" s="18" t="n"/>
      <c r="B33" s="18" t="n"/>
      <c r="C33" s="18" t="n"/>
      <c r="D33" s="18" t="n"/>
      <c r="E33" s="51" t="n"/>
      <c r="F33" s="52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Y33" s="18" t="n"/>
      <c r="DZ33" s="18" t="n"/>
      <c r="EA33" s="18" t="n"/>
      <c r="EB33" s="18" t="n"/>
      <c r="EC33" s="18" t="n"/>
      <c r="ED33" s="18" t="n"/>
      <c r="EE33" s="18" t="n"/>
      <c r="EF33" s="18" t="n"/>
      <c r="EG33" s="18" t="n"/>
      <c r="EH33" s="18" t="n"/>
      <c r="EI33" s="18" t="n"/>
      <c r="EJ33" s="18" t="n"/>
      <c r="EK33" s="18" t="n"/>
      <c r="EL33" s="18" t="n"/>
      <c r="EM33" s="18" t="n"/>
      <c r="EN33" s="18" t="n"/>
      <c r="EO33" s="18" t="n"/>
      <c r="EP33" s="18" t="n"/>
      <c r="EQ33" s="18" t="n"/>
      <c r="ER33" s="18" t="n"/>
      <c r="ES33" s="18" t="n"/>
      <c r="ET33" s="18" t="n"/>
      <c r="EU33" s="18" t="n"/>
      <c r="EV33" s="18" t="n"/>
      <c r="EW33" s="18" t="n"/>
      <c r="EX33" s="18" t="n"/>
      <c r="EY33" s="18" t="n"/>
      <c r="EZ33" s="18" t="n"/>
      <c r="FA33" s="18" t="n"/>
      <c r="FB33" s="18" t="n"/>
      <c r="FC33" s="18" t="n"/>
      <c r="FD33" s="18" t="n"/>
      <c r="FE33" s="18" t="n"/>
      <c r="FF33" s="18" t="n"/>
      <c r="FG33" s="18" t="n"/>
      <c r="FH33" s="18" t="n"/>
      <c r="FI33" s="18" t="n"/>
      <c r="FJ33" s="18" t="n"/>
      <c r="FK33" s="18" t="n"/>
      <c r="FL33" s="18" t="n"/>
      <c r="FM33" s="18" t="n"/>
      <c r="FN33" s="18" t="n"/>
      <c r="FO33" s="18" t="n"/>
      <c r="FP33" s="18" t="n"/>
      <c r="FQ33" s="18" t="n"/>
      <c r="FR33" s="18" t="n"/>
      <c r="FS33" s="18" t="n"/>
      <c r="FT33" s="18" t="n"/>
      <c r="FU33" s="18" t="n"/>
      <c r="FV33" s="18" t="n"/>
      <c r="FW33" s="18" t="n"/>
      <c r="FX33" s="18" t="n"/>
      <c r="FY33" s="18" t="n"/>
      <c r="FZ33" s="18" t="n"/>
      <c r="GA33" s="18" t="n"/>
      <c r="GB33" s="18" t="n"/>
      <c r="GC33" s="18" t="n"/>
      <c r="GD33" s="18" t="n"/>
      <c r="GE33" s="18" t="n"/>
      <c r="GF33" s="18" t="n"/>
      <c r="GG33" s="18" t="n"/>
      <c r="GH33" s="18" t="n"/>
      <c r="GI33" s="18" t="n"/>
      <c r="GJ33" s="18" t="n"/>
      <c r="GK33" s="18" t="n"/>
      <c r="GL33" s="18" t="n"/>
      <c r="GM33" s="18" t="n"/>
      <c r="GN33" s="18" t="n"/>
      <c r="GO33" s="18" t="n"/>
      <c r="GP33" s="18" t="n"/>
      <c r="GQ33" s="18" t="n"/>
      <c r="GR33" s="18" t="n"/>
      <c r="GS33" s="18" t="n"/>
      <c r="GT33" s="18" t="n"/>
      <c r="GU33" s="18" t="n"/>
      <c r="GV33" s="18" t="n"/>
      <c r="GW33" s="18" t="n"/>
      <c r="GX33" s="18" t="n"/>
      <c r="GY33" s="18" t="n"/>
      <c r="GZ33" s="18" t="n"/>
      <c r="HA33" s="18" t="n"/>
      <c r="HB33" s="18" t="n"/>
      <c r="HC33" s="18" t="n"/>
      <c r="HD33" s="18" t="n"/>
      <c r="HE33" s="18" t="n"/>
      <c r="HF33" s="18" t="n"/>
      <c r="HG33" s="18" t="n"/>
      <c r="HH33" s="18" t="n"/>
      <c r="HI33" s="18" t="n"/>
      <c r="HJ33" s="18" t="n"/>
      <c r="HK33" s="18" t="n"/>
      <c r="HL33" s="18" t="n"/>
      <c r="HM33" s="18" t="n"/>
      <c r="HN33" s="18" t="n"/>
      <c r="HO33" s="18" t="n"/>
      <c r="HP33" s="18" t="n"/>
      <c r="HQ33" s="18" t="n"/>
      <c r="HR33" s="18" t="n"/>
      <c r="HS33" s="18" t="n"/>
      <c r="HT33" s="18" t="n"/>
      <c r="HU33" s="18" t="n"/>
      <c r="HV33" s="18" t="n"/>
      <c r="HW33" s="18" t="n"/>
      <c r="HX33" s="18" t="n"/>
      <c r="HY33" s="18" t="n"/>
      <c r="HZ33" s="18" t="n"/>
      <c r="IA33" s="18" t="n"/>
      <c r="IB33" s="18" t="n"/>
      <c r="IC33" s="18" t="n"/>
      <c r="ID33" s="18" t="n"/>
      <c r="IE33" s="18" t="n"/>
      <c r="IF33" s="18" t="n"/>
      <c r="IG33" s="18" t="n"/>
      <c r="IH33" s="18" t="n"/>
      <c r="II33" s="18" t="n"/>
      <c r="IJ33" s="18" t="n"/>
      <c r="IK33" s="18" t="n"/>
      <c r="IL33" s="18" t="n"/>
      <c r="IM33" s="18" t="n"/>
    </row>
    <row r="34">
      <c r="A34" s="18" t="n"/>
      <c r="B34" s="18" t="n"/>
      <c r="C34" s="18" t="n"/>
      <c r="D34" s="18" t="n"/>
      <c r="E34" s="51" t="n"/>
      <c r="F34" s="52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Y34" s="18" t="n"/>
      <c r="DZ34" s="18" t="n"/>
      <c r="EA34" s="18" t="n"/>
      <c r="EB34" s="18" t="n"/>
      <c r="EC34" s="18" t="n"/>
      <c r="ED34" s="18" t="n"/>
      <c r="EE34" s="18" t="n"/>
      <c r="EF34" s="18" t="n"/>
      <c r="EG34" s="18" t="n"/>
      <c r="EH34" s="18" t="n"/>
      <c r="EI34" s="18" t="n"/>
      <c r="EJ34" s="18" t="n"/>
      <c r="EK34" s="18" t="n"/>
      <c r="EL34" s="18" t="n"/>
      <c r="EM34" s="18" t="n"/>
      <c r="EN34" s="18" t="n"/>
      <c r="EO34" s="18" t="n"/>
      <c r="EP34" s="18" t="n"/>
      <c r="EQ34" s="18" t="n"/>
      <c r="ER34" s="18" t="n"/>
      <c r="ES34" s="18" t="n"/>
      <c r="ET34" s="18" t="n"/>
      <c r="EU34" s="18" t="n"/>
      <c r="EV34" s="18" t="n"/>
      <c r="EW34" s="18" t="n"/>
      <c r="EX34" s="18" t="n"/>
      <c r="EY34" s="18" t="n"/>
      <c r="EZ34" s="18" t="n"/>
      <c r="FA34" s="18" t="n"/>
      <c r="FB34" s="18" t="n"/>
      <c r="FC34" s="18" t="n"/>
      <c r="FD34" s="18" t="n"/>
      <c r="FE34" s="18" t="n"/>
      <c r="FF34" s="18" t="n"/>
      <c r="FG34" s="18" t="n"/>
      <c r="FH34" s="18" t="n"/>
      <c r="FI34" s="18" t="n"/>
      <c r="FJ34" s="18" t="n"/>
      <c r="FK34" s="18" t="n"/>
      <c r="FL34" s="18" t="n"/>
      <c r="FM34" s="18" t="n"/>
      <c r="FN34" s="18" t="n"/>
      <c r="FO34" s="18" t="n"/>
      <c r="FP34" s="18" t="n"/>
      <c r="FQ34" s="18" t="n"/>
      <c r="FR34" s="18" t="n"/>
      <c r="FS34" s="18" t="n"/>
      <c r="FT34" s="18" t="n"/>
      <c r="FU34" s="18" t="n"/>
      <c r="FV34" s="18" t="n"/>
      <c r="FW34" s="18" t="n"/>
      <c r="FX34" s="18" t="n"/>
      <c r="FY34" s="18" t="n"/>
      <c r="FZ34" s="18" t="n"/>
      <c r="GA34" s="18" t="n"/>
      <c r="GB34" s="18" t="n"/>
      <c r="GC34" s="18" t="n"/>
      <c r="GD34" s="18" t="n"/>
      <c r="GE34" s="18" t="n"/>
      <c r="GF34" s="18" t="n"/>
      <c r="GG34" s="18" t="n"/>
      <c r="GH34" s="18" t="n"/>
      <c r="GI34" s="18" t="n"/>
      <c r="GJ34" s="18" t="n"/>
      <c r="GK34" s="18" t="n"/>
      <c r="GL34" s="18" t="n"/>
      <c r="GM34" s="18" t="n"/>
      <c r="GN34" s="18" t="n"/>
      <c r="GO34" s="18" t="n"/>
      <c r="GP34" s="18" t="n"/>
      <c r="GQ34" s="18" t="n"/>
      <c r="GR34" s="18" t="n"/>
      <c r="GS34" s="18" t="n"/>
      <c r="GT34" s="18" t="n"/>
      <c r="GU34" s="18" t="n"/>
      <c r="GV34" s="18" t="n"/>
      <c r="GW34" s="18" t="n"/>
      <c r="GX34" s="18" t="n"/>
      <c r="GY34" s="18" t="n"/>
      <c r="GZ34" s="18" t="n"/>
      <c r="HA34" s="18" t="n"/>
      <c r="HB34" s="18" t="n"/>
      <c r="HC34" s="18" t="n"/>
      <c r="HD34" s="18" t="n"/>
      <c r="HE34" s="18" t="n"/>
      <c r="HF34" s="18" t="n"/>
      <c r="HG34" s="18" t="n"/>
      <c r="HH34" s="18" t="n"/>
      <c r="HI34" s="18" t="n"/>
      <c r="HJ34" s="18" t="n"/>
      <c r="HK34" s="18" t="n"/>
      <c r="HL34" s="18" t="n"/>
      <c r="HM34" s="18" t="n"/>
      <c r="HN34" s="18" t="n"/>
      <c r="HO34" s="18" t="n"/>
      <c r="HP34" s="18" t="n"/>
      <c r="HQ34" s="18" t="n"/>
      <c r="HR34" s="18" t="n"/>
      <c r="HS34" s="18" t="n"/>
      <c r="HT34" s="18" t="n"/>
      <c r="HU34" s="18" t="n"/>
      <c r="HV34" s="18" t="n"/>
      <c r="HW34" s="18" t="n"/>
      <c r="HX34" s="18" t="n"/>
      <c r="HY34" s="18" t="n"/>
      <c r="HZ34" s="18" t="n"/>
      <c r="IA34" s="18" t="n"/>
      <c r="IB34" s="18" t="n"/>
      <c r="IC34" s="18" t="n"/>
      <c r="ID34" s="18" t="n"/>
      <c r="IE34" s="18" t="n"/>
      <c r="IF34" s="18" t="n"/>
      <c r="IG34" s="18" t="n"/>
      <c r="IH34" s="18" t="n"/>
      <c r="II34" s="18" t="n"/>
      <c r="IJ34" s="18" t="n"/>
      <c r="IK34" s="18" t="n"/>
      <c r="IL34" s="18" t="n"/>
      <c r="IM34" s="18" t="n"/>
      <c r="IN34" s="18" t="n"/>
      <c r="IO34" s="18" t="n"/>
      <c r="IP34" s="18" t="n"/>
      <c r="IQ34" s="18" t="n"/>
    </row>
    <row r="35">
      <c r="A35" s="18" t="n"/>
      <c r="B35" s="18" t="n"/>
      <c r="C35" s="18" t="n"/>
      <c r="D35" s="18" t="n"/>
      <c r="E35" s="51" t="n"/>
      <c r="F35" s="52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8" t="n"/>
      <c r="EJ35" s="18" t="n"/>
      <c r="EK35" s="18" t="n"/>
      <c r="EL35" s="18" t="n"/>
      <c r="EM35" s="18" t="n"/>
      <c r="EN35" s="18" t="n"/>
      <c r="EO35" s="18" t="n"/>
      <c r="EP35" s="18" t="n"/>
      <c r="EQ35" s="18" t="n"/>
      <c r="ER35" s="18" t="n"/>
      <c r="ES35" s="18" t="n"/>
      <c r="ET35" s="18" t="n"/>
      <c r="EU35" s="18" t="n"/>
      <c r="EV35" s="18" t="n"/>
      <c r="EW35" s="18" t="n"/>
      <c r="EX35" s="18" t="n"/>
      <c r="EY35" s="18" t="n"/>
      <c r="EZ35" s="18" t="n"/>
      <c r="FA35" s="18" t="n"/>
      <c r="FB35" s="18" t="n"/>
      <c r="FC35" s="18" t="n"/>
      <c r="FD35" s="18" t="n"/>
      <c r="FE35" s="18" t="n"/>
      <c r="FF35" s="18" t="n"/>
      <c r="FG35" s="18" t="n"/>
      <c r="FH35" s="18" t="n"/>
      <c r="FI35" s="18" t="n"/>
      <c r="FJ35" s="18" t="n"/>
      <c r="FK35" s="18" t="n"/>
      <c r="FL35" s="18" t="n"/>
      <c r="FM35" s="18" t="n"/>
      <c r="FN35" s="18" t="n"/>
      <c r="FO35" s="18" t="n"/>
      <c r="FP35" s="18" t="n"/>
      <c r="FQ35" s="18" t="n"/>
      <c r="FR35" s="18" t="n"/>
      <c r="FS35" s="18" t="n"/>
      <c r="FT35" s="18" t="n"/>
      <c r="FU35" s="18" t="n"/>
      <c r="FV35" s="18" t="n"/>
      <c r="FW35" s="18" t="n"/>
      <c r="FX35" s="18" t="n"/>
      <c r="FY35" s="18" t="n"/>
      <c r="FZ35" s="18" t="n"/>
      <c r="GA35" s="18" t="n"/>
      <c r="GB35" s="18" t="n"/>
      <c r="GC35" s="18" t="n"/>
      <c r="GD35" s="18" t="n"/>
      <c r="GE35" s="18" t="n"/>
      <c r="GF35" s="18" t="n"/>
      <c r="GG35" s="18" t="n"/>
      <c r="GH35" s="18" t="n"/>
      <c r="GI35" s="18" t="n"/>
      <c r="GJ35" s="18" t="n"/>
      <c r="GK35" s="18" t="n"/>
      <c r="GL35" s="18" t="n"/>
      <c r="GM35" s="18" t="n"/>
      <c r="GN35" s="18" t="n"/>
      <c r="GO35" s="18" t="n"/>
      <c r="GP35" s="18" t="n"/>
      <c r="GQ35" s="18" t="n"/>
      <c r="GR35" s="18" t="n"/>
      <c r="GS35" s="18" t="n"/>
      <c r="GT35" s="18" t="n"/>
      <c r="GU35" s="18" t="n"/>
      <c r="GV35" s="18" t="n"/>
      <c r="GW35" s="18" t="n"/>
      <c r="GX35" s="18" t="n"/>
      <c r="GY35" s="18" t="n"/>
      <c r="GZ35" s="18" t="n"/>
      <c r="HA35" s="18" t="n"/>
      <c r="HB35" s="18" t="n"/>
      <c r="HC35" s="18" t="n"/>
      <c r="HD35" s="18" t="n"/>
      <c r="HE35" s="18" t="n"/>
      <c r="HF35" s="18" t="n"/>
      <c r="HG35" s="18" t="n"/>
      <c r="HH35" s="18" t="n"/>
      <c r="HI35" s="18" t="n"/>
      <c r="HJ35" s="18" t="n"/>
      <c r="HK35" s="18" t="n"/>
      <c r="HL35" s="18" t="n"/>
      <c r="HM35" s="18" t="n"/>
      <c r="HN35" s="18" t="n"/>
      <c r="HO35" s="18" t="n"/>
      <c r="HP35" s="18" t="n"/>
      <c r="HQ35" s="18" t="n"/>
      <c r="HR35" s="18" t="n"/>
      <c r="HS35" s="18" t="n"/>
      <c r="HT35" s="18" t="n"/>
      <c r="HU35" s="18" t="n"/>
      <c r="HV35" s="18" t="n"/>
      <c r="HW35" s="18" t="n"/>
      <c r="HX35" s="18" t="n"/>
      <c r="HY35" s="18" t="n"/>
      <c r="HZ35" s="18" t="n"/>
      <c r="IA35" s="18" t="n"/>
      <c r="IB35" s="18" t="n"/>
      <c r="IC35" s="18" t="n"/>
      <c r="ID35" s="18" t="n"/>
      <c r="IE35" s="18" t="n"/>
      <c r="IF35" s="18" t="n"/>
      <c r="IG35" s="18" t="n"/>
      <c r="IH35" s="18" t="n"/>
      <c r="II35" s="18" t="n"/>
      <c r="IJ35" s="18" t="n"/>
      <c r="IK35" s="18" t="n"/>
      <c r="IL35" s="18" t="n"/>
      <c r="IM35" s="18" t="n"/>
      <c r="IN35" s="18" t="n"/>
      <c r="IO35" s="18" t="n"/>
      <c r="IP35" s="18" t="n"/>
      <c r="IQ35" s="18" t="n"/>
      <c r="IR35" s="18" t="n"/>
      <c r="IS35" s="18" t="n"/>
      <c r="IT35" s="18" t="n"/>
      <c r="IU35" s="18" t="n"/>
    </row>
    <row r="36">
      <c r="A36" s="18" t="n"/>
      <c r="B36" s="18" t="n"/>
      <c r="C36" s="18" t="n"/>
      <c r="D36" s="18" t="n"/>
      <c r="E36" s="51" t="n"/>
      <c r="F36" s="52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Y36" s="18" t="n"/>
      <c r="DZ36" s="18" t="n"/>
      <c r="EA36" s="18" t="n"/>
      <c r="EB36" s="18" t="n"/>
      <c r="EC36" s="18" t="n"/>
      <c r="ED36" s="18" t="n"/>
      <c r="EE36" s="18" t="n"/>
      <c r="EF36" s="18" t="n"/>
      <c r="EG36" s="18" t="n"/>
      <c r="EH36" s="18" t="n"/>
      <c r="EI36" s="18" t="n"/>
      <c r="EJ36" s="18" t="n"/>
      <c r="EK36" s="18" t="n"/>
      <c r="EL36" s="18" t="n"/>
      <c r="EM36" s="18" t="n"/>
      <c r="EN36" s="18" t="n"/>
      <c r="EO36" s="18" t="n"/>
      <c r="EP36" s="18" t="n"/>
      <c r="EQ36" s="18" t="n"/>
      <c r="ER36" s="18" t="n"/>
      <c r="ES36" s="18" t="n"/>
      <c r="ET36" s="18" t="n"/>
      <c r="EU36" s="18" t="n"/>
      <c r="EV36" s="18" t="n"/>
      <c r="EW36" s="18" t="n"/>
      <c r="EX36" s="18" t="n"/>
      <c r="EY36" s="18" t="n"/>
      <c r="EZ36" s="18" t="n"/>
      <c r="FA36" s="18" t="n"/>
      <c r="FB36" s="18" t="n"/>
      <c r="FC36" s="18" t="n"/>
      <c r="FD36" s="18" t="n"/>
      <c r="FE36" s="18" t="n"/>
      <c r="FF36" s="18" t="n"/>
      <c r="FG36" s="18" t="n"/>
      <c r="FH36" s="18" t="n"/>
      <c r="FI36" s="18" t="n"/>
      <c r="FJ36" s="18" t="n"/>
      <c r="FK36" s="18" t="n"/>
      <c r="FL36" s="18" t="n"/>
      <c r="FM36" s="18" t="n"/>
      <c r="FN36" s="18" t="n"/>
      <c r="FO36" s="18" t="n"/>
      <c r="FP36" s="18" t="n"/>
      <c r="FQ36" s="18" t="n"/>
      <c r="FR36" s="18" t="n"/>
      <c r="FS36" s="18" t="n"/>
      <c r="FT36" s="18" t="n"/>
      <c r="FU36" s="18" t="n"/>
      <c r="FV36" s="18" t="n"/>
      <c r="FW36" s="18" t="n"/>
      <c r="FX36" s="18" t="n"/>
      <c r="FY36" s="18" t="n"/>
      <c r="FZ36" s="18" t="n"/>
      <c r="GA36" s="18" t="n"/>
      <c r="GB36" s="18" t="n"/>
      <c r="GC36" s="18" t="n"/>
      <c r="GD36" s="18" t="n"/>
      <c r="GE36" s="18" t="n"/>
      <c r="GF36" s="18" t="n"/>
      <c r="GG36" s="18" t="n"/>
      <c r="GH36" s="18" t="n"/>
      <c r="GI36" s="18" t="n"/>
      <c r="GJ36" s="18" t="n"/>
      <c r="GK36" s="18" t="n"/>
      <c r="GL36" s="18" t="n"/>
      <c r="GM36" s="18" t="n"/>
      <c r="GN36" s="18" t="n"/>
      <c r="GO36" s="18" t="n"/>
      <c r="GP36" s="18" t="n"/>
      <c r="GQ36" s="18" t="n"/>
      <c r="GR36" s="18" t="n"/>
      <c r="GS36" s="18" t="n"/>
      <c r="GT36" s="18" t="n"/>
      <c r="GU36" s="18" t="n"/>
      <c r="GV36" s="18" t="n"/>
      <c r="GW36" s="18" t="n"/>
      <c r="GX36" s="18" t="n"/>
      <c r="GY36" s="18" t="n"/>
      <c r="GZ36" s="18" t="n"/>
      <c r="HA36" s="18" t="n"/>
      <c r="HB36" s="18" t="n"/>
      <c r="HC36" s="18" t="n"/>
      <c r="HD36" s="18" t="n"/>
      <c r="HE36" s="18" t="n"/>
      <c r="HF36" s="18" t="n"/>
      <c r="HG36" s="18" t="n"/>
      <c r="HH36" s="18" t="n"/>
      <c r="HI36" s="18" t="n"/>
      <c r="HJ36" s="18" t="n"/>
      <c r="HK36" s="18" t="n"/>
      <c r="HL36" s="18" t="n"/>
      <c r="HM36" s="18" t="n"/>
      <c r="HN36" s="18" t="n"/>
      <c r="HO36" s="18" t="n"/>
      <c r="HP36" s="18" t="n"/>
      <c r="HQ36" s="18" t="n"/>
      <c r="HR36" s="18" t="n"/>
      <c r="HS36" s="18" t="n"/>
      <c r="HT36" s="18" t="n"/>
      <c r="HU36" s="18" t="n"/>
      <c r="HV36" s="18" t="n"/>
      <c r="HW36" s="18" t="n"/>
      <c r="HX36" s="18" t="n"/>
      <c r="HY36" s="18" t="n"/>
      <c r="HZ36" s="18" t="n"/>
      <c r="IA36" s="18" t="n"/>
      <c r="IB36" s="18" t="n"/>
      <c r="IC36" s="18" t="n"/>
      <c r="ID36" s="18" t="n"/>
      <c r="IE36" s="18" t="n"/>
      <c r="IF36" s="18" t="n"/>
      <c r="IG36" s="18" t="n"/>
      <c r="IH36" s="18" t="n"/>
      <c r="II36" s="18" t="n"/>
      <c r="IJ36" s="18" t="n"/>
      <c r="IK36" s="18" t="n"/>
      <c r="IL36" s="18" t="n"/>
      <c r="IM36" s="18" t="n"/>
      <c r="IN36" s="18" t="n"/>
      <c r="IO36" s="18" t="n"/>
      <c r="IP36" s="18" t="n"/>
      <c r="IQ36" s="18" t="n"/>
      <c r="IR36" s="18" t="n"/>
      <c r="IS36" s="18" t="n"/>
      <c r="IT36" s="18" t="n"/>
      <c r="IU36" s="18" t="n"/>
      <c r="IV36" s="18" t="n"/>
      <c r="IW36" s="18" t="n"/>
      <c r="IX36" s="18" t="n"/>
      <c r="IY36" s="18" t="n"/>
    </row>
    <row r="37">
      <c r="A37" s="18" t="n"/>
      <c r="B37" s="18" t="n"/>
      <c r="C37" s="18" t="n"/>
      <c r="D37" s="18" t="n"/>
      <c r="E37" s="51" t="n"/>
      <c r="F37" s="52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  <c r="DY37" s="18" t="n"/>
      <c r="DZ37" s="18" t="n"/>
      <c r="EA37" s="18" t="n"/>
      <c r="EB37" s="18" t="n"/>
      <c r="EC37" s="18" t="n"/>
      <c r="ED37" s="18" t="n"/>
      <c r="EE37" s="18" t="n"/>
      <c r="EF37" s="18" t="n"/>
      <c r="EG37" s="18" t="n"/>
      <c r="EH37" s="18" t="n"/>
      <c r="EI37" s="18" t="n"/>
      <c r="EJ37" s="18" t="n"/>
      <c r="EK37" s="18" t="n"/>
      <c r="EL37" s="18" t="n"/>
      <c r="EM37" s="18" t="n"/>
      <c r="EN37" s="18" t="n"/>
      <c r="EO37" s="18" t="n"/>
      <c r="EP37" s="18" t="n"/>
      <c r="EQ37" s="18" t="n"/>
      <c r="ER37" s="18" t="n"/>
      <c r="ES37" s="18" t="n"/>
      <c r="ET37" s="18" t="n"/>
      <c r="EU37" s="18" t="n"/>
      <c r="EV37" s="18" t="n"/>
      <c r="EW37" s="18" t="n"/>
      <c r="EX37" s="18" t="n"/>
      <c r="EY37" s="18" t="n"/>
      <c r="EZ37" s="18" t="n"/>
      <c r="FA37" s="18" t="n"/>
      <c r="FB37" s="18" t="n"/>
      <c r="FC37" s="18" t="n"/>
      <c r="FD37" s="18" t="n"/>
      <c r="FE37" s="18" t="n"/>
      <c r="FF37" s="18" t="n"/>
      <c r="FG37" s="18" t="n"/>
      <c r="FH37" s="18" t="n"/>
      <c r="FI37" s="18" t="n"/>
      <c r="FJ37" s="18" t="n"/>
      <c r="FK37" s="18" t="n"/>
      <c r="FL37" s="18" t="n"/>
      <c r="FM37" s="18" t="n"/>
      <c r="FN37" s="18" t="n"/>
      <c r="FO37" s="18" t="n"/>
      <c r="FP37" s="18" t="n"/>
      <c r="FQ37" s="18" t="n"/>
      <c r="FR37" s="18" t="n"/>
      <c r="FS37" s="18" t="n"/>
      <c r="FT37" s="18" t="n"/>
      <c r="FU37" s="18" t="n"/>
      <c r="FV37" s="18" t="n"/>
      <c r="FW37" s="18" t="n"/>
      <c r="FX37" s="18" t="n"/>
      <c r="FY37" s="18" t="n"/>
      <c r="FZ37" s="18" t="n"/>
      <c r="GA37" s="18" t="n"/>
      <c r="GB37" s="18" t="n"/>
      <c r="GC37" s="18" t="n"/>
      <c r="GD37" s="18" t="n"/>
      <c r="GE37" s="18" t="n"/>
      <c r="GF37" s="18" t="n"/>
      <c r="GG37" s="18" t="n"/>
      <c r="GH37" s="18" t="n"/>
      <c r="GI37" s="18" t="n"/>
      <c r="GJ37" s="18" t="n"/>
      <c r="GK37" s="18" t="n"/>
      <c r="GL37" s="18" t="n"/>
      <c r="GM37" s="18" t="n"/>
      <c r="GN37" s="18" t="n"/>
      <c r="GO37" s="18" t="n"/>
      <c r="GP37" s="18" t="n"/>
      <c r="GQ37" s="18" t="n"/>
      <c r="GR37" s="18" t="n"/>
      <c r="GS37" s="18" t="n"/>
      <c r="GT37" s="18" t="n"/>
      <c r="GU37" s="18" t="n"/>
      <c r="GV37" s="18" t="n"/>
      <c r="GW37" s="18" t="n"/>
      <c r="GX37" s="18" t="n"/>
      <c r="GY37" s="18" t="n"/>
      <c r="GZ37" s="18" t="n"/>
      <c r="HA37" s="18" t="n"/>
      <c r="HB37" s="18" t="n"/>
      <c r="HC37" s="18" t="n"/>
      <c r="HD37" s="18" t="n"/>
      <c r="HE37" s="18" t="n"/>
      <c r="HF37" s="18" t="n"/>
      <c r="HG37" s="18" t="n"/>
      <c r="HH37" s="18" t="n"/>
      <c r="HI37" s="18" t="n"/>
      <c r="HJ37" s="18" t="n"/>
      <c r="HK37" s="18" t="n"/>
      <c r="HL37" s="18" t="n"/>
      <c r="HM37" s="18" t="n"/>
      <c r="HN37" s="18" t="n"/>
      <c r="HO37" s="18" t="n"/>
      <c r="HP37" s="18" t="n"/>
      <c r="HQ37" s="18" t="n"/>
      <c r="HR37" s="18" t="n"/>
      <c r="HS37" s="18" t="n"/>
      <c r="HT37" s="18" t="n"/>
      <c r="HU37" s="18" t="n"/>
      <c r="HV37" s="18" t="n"/>
      <c r="HW37" s="18" t="n"/>
      <c r="HX37" s="18" t="n"/>
      <c r="HY37" s="18" t="n"/>
      <c r="HZ37" s="18" t="n"/>
      <c r="IA37" s="18" t="n"/>
      <c r="IB37" s="18" t="n"/>
      <c r="IC37" s="18" t="n"/>
      <c r="ID37" s="18" t="n"/>
      <c r="IE37" s="18" t="n"/>
      <c r="IF37" s="18" t="n"/>
      <c r="IG37" s="18" t="n"/>
      <c r="IH37" s="18" t="n"/>
      <c r="II37" s="18" t="n"/>
      <c r="IJ37" s="18" t="n"/>
      <c r="IK37" s="18" t="n"/>
      <c r="IL37" s="18" t="n"/>
      <c r="IM37" s="18" t="n"/>
      <c r="IN37" s="18" t="n"/>
      <c r="IO37" s="18" t="n"/>
      <c r="IP37" s="18" t="n"/>
      <c r="IQ37" s="18" t="n"/>
      <c r="IR37" s="18" t="n"/>
      <c r="IS37" s="18" t="n"/>
      <c r="IT37" s="18" t="n"/>
      <c r="IU37" s="18" t="n"/>
      <c r="IV37" s="18" t="n"/>
      <c r="IW37" s="18" t="n"/>
      <c r="IX37" s="18" t="n"/>
      <c r="IY37" s="18" t="n"/>
      <c r="IZ37" s="18" t="n"/>
      <c r="JA37" s="18" t="n"/>
      <c r="JB37" s="18" t="n"/>
      <c r="JC37" s="18" t="n"/>
    </row>
    <row r="38">
      <c r="A38" s="18" t="n"/>
      <c r="B38" s="18" t="n"/>
      <c r="C38" s="18" t="n"/>
      <c r="D38" s="18" t="n"/>
      <c r="E38" s="51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  <c r="DY38" s="18" t="n"/>
      <c r="DZ38" s="18" t="n"/>
      <c r="EA38" s="18" t="n"/>
      <c r="EB38" s="18" t="n"/>
      <c r="EC38" s="18" t="n"/>
      <c r="ED38" s="18" t="n"/>
      <c r="EE38" s="18" t="n"/>
      <c r="EF38" s="18" t="n"/>
      <c r="EG38" s="18" t="n"/>
      <c r="EH38" s="18" t="n"/>
      <c r="EI38" s="18" t="n"/>
      <c r="EJ38" s="18" t="n"/>
      <c r="EK38" s="18" t="n"/>
      <c r="EL38" s="18" t="n"/>
      <c r="EM38" s="18" t="n"/>
      <c r="EN38" s="18" t="n"/>
      <c r="EO38" s="18" t="n"/>
      <c r="EP38" s="18" t="n"/>
      <c r="EQ38" s="18" t="n"/>
      <c r="ER38" s="18" t="n"/>
      <c r="ES38" s="18" t="n"/>
      <c r="ET38" s="18" t="n"/>
      <c r="EU38" s="18" t="n"/>
      <c r="EV38" s="18" t="n"/>
      <c r="EW38" s="18" t="n"/>
      <c r="EX38" s="18" t="n"/>
      <c r="EY38" s="18" t="n"/>
      <c r="EZ38" s="18" t="n"/>
      <c r="FA38" s="18" t="n"/>
      <c r="FB38" s="18" t="n"/>
      <c r="FC38" s="18" t="n"/>
      <c r="FD38" s="18" t="n"/>
      <c r="FE38" s="18" t="n"/>
      <c r="FF38" s="18" t="n"/>
      <c r="FG38" s="18" t="n"/>
      <c r="FH38" s="18" t="n"/>
      <c r="FI38" s="18" t="n"/>
      <c r="FJ38" s="18" t="n"/>
      <c r="FK38" s="18" t="n"/>
      <c r="FL38" s="18" t="n"/>
      <c r="FM38" s="18" t="n"/>
      <c r="FN38" s="18" t="n"/>
      <c r="FO38" s="18" t="n"/>
      <c r="FP38" s="18" t="n"/>
      <c r="FQ38" s="18" t="n"/>
      <c r="FR38" s="18" t="n"/>
      <c r="FS38" s="18" t="n"/>
      <c r="FT38" s="18" t="n"/>
      <c r="FU38" s="18" t="n"/>
      <c r="FV38" s="18" t="n"/>
      <c r="FW38" s="18" t="n"/>
      <c r="FX38" s="18" t="n"/>
      <c r="FY38" s="18" t="n"/>
      <c r="FZ38" s="18" t="n"/>
      <c r="GA38" s="18" t="n"/>
      <c r="GB38" s="18" t="n"/>
      <c r="GC38" s="18" t="n"/>
      <c r="GD38" s="18" t="n"/>
      <c r="GE38" s="18" t="n"/>
      <c r="GF38" s="18" t="n"/>
      <c r="GG38" s="18" t="n"/>
      <c r="GH38" s="18" t="n"/>
      <c r="GI38" s="18" t="n"/>
      <c r="GJ38" s="18" t="n"/>
      <c r="GK38" s="18" t="n"/>
      <c r="GL38" s="18" t="n"/>
      <c r="GM38" s="18" t="n"/>
      <c r="GN38" s="18" t="n"/>
      <c r="GO38" s="18" t="n"/>
      <c r="GP38" s="18" t="n"/>
      <c r="GQ38" s="18" t="n"/>
      <c r="GR38" s="18" t="n"/>
      <c r="GS38" s="18" t="n"/>
      <c r="GT38" s="18" t="n"/>
      <c r="GU38" s="18" t="n"/>
      <c r="GV38" s="18" t="n"/>
      <c r="GW38" s="18" t="n"/>
      <c r="GX38" s="18" t="n"/>
      <c r="GY38" s="18" t="n"/>
      <c r="GZ38" s="18" t="n"/>
      <c r="HA38" s="18" t="n"/>
      <c r="HB38" s="18" t="n"/>
      <c r="HC38" s="18" t="n"/>
      <c r="HD38" s="18" t="n"/>
      <c r="HE38" s="18" t="n"/>
      <c r="HF38" s="18" t="n"/>
      <c r="HG38" s="18" t="n"/>
      <c r="HH38" s="18" t="n"/>
      <c r="HI38" s="18" t="n"/>
      <c r="HJ38" s="18" t="n"/>
      <c r="HK38" s="18" t="n"/>
      <c r="HL38" s="18" t="n"/>
      <c r="HM38" s="18" t="n"/>
      <c r="HN38" s="18" t="n"/>
      <c r="HO38" s="18" t="n"/>
      <c r="HP38" s="18" t="n"/>
      <c r="HQ38" s="18" t="n"/>
      <c r="HR38" s="18" t="n"/>
      <c r="HS38" s="18" t="n"/>
      <c r="HT38" s="18" t="n"/>
      <c r="HU38" s="18" t="n"/>
      <c r="HV38" s="18" t="n"/>
      <c r="HW38" s="18" t="n"/>
      <c r="HX38" s="18" t="n"/>
      <c r="HY38" s="18" t="n"/>
      <c r="HZ38" s="18" t="n"/>
      <c r="IA38" s="18" t="n"/>
      <c r="IB38" s="18" t="n"/>
      <c r="IC38" s="18" t="n"/>
      <c r="ID38" s="18" t="n"/>
      <c r="IE38" s="18" t="n"/>
      <c r="IF38" s="18" t="n"/>
      <c r="IG38" s="18" t="n"/>
      <c r="IH38" s="18" t="n"/>
      <c r="II38" s="18" t="n"/>
      <c r="IJ38" s="18" t="n"/>
      <c r="IK38" s="18" t="n"/>
      <c r="IL38" s="18" t="n"/>
      <c r="IM38" s="18" t="n"/>
      <c r="IN38" s="18" t="n"/>
      <c r="IO38" s="18" t="n"/>
      <c r="IP38" s="18" t="n"/>
      <c r="IQ38" s="18" t="n"/>
      <c r="IR38" s="18" t="n"/>
      <c r="IS38" s="18" t="n"/>
      <c r="IT38" s="18" t="n"/>
      <c r="IU38" s="18" t="n"/>
      <c r="IV38" s="18" t="n"/>
      <c r="IW38" s="18" t="n"/>
      <c r="IX38" s="18" t="n"/>
      <c r="IY38" s="18" t="n"/>
      <c r="IZ38" s="18" t="n"/>
      <c r="JA38" s="18" t="n"/>
      <c r="JB38" s="18" t="n"/>
      <c r="JC38" s="18" t="n"/>
      <c r="JD38" s="18" t="n"/>
      <c r="JE38" s="18" t="n"/>
      <c r="JF38" s="18" t="n"/>
      <c r="JG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  <c r="DY39" s="18" t="n"/>
      <c r="DZ39" s="18" t="n"/>
      <c r="EA39" s="18" t="n"/>
      <c r="EB39" s="18" t="n"/>
      <c r="EC39" s="18" t="n"/>
      <c r="ED39" s="18" t="n"/>
      <c r="EE39" s="18" t="n"/>
      <c r="EF39" s="18" t="n"/>
      <c r="EG39" s="18" t="n"/>
      <c r="EH39" s="18" t="n"/>
      <c r="EI39" s="18" t="n"/>
      <c r="EJ39" s="18" t="n"/>
      <c r="EK39" s="18" t="n"/>
      <c r="EL39" s="18" t="n"/>
      <c r="EM39" s="18" t="n"/>
      <c r="EN39" s="18" t="n"/>
      <c r="EO39" s="18" t="n"/>
      <c r="EP39" s="18" t="n"/>
      <c r="EQ39" s="18" t="n"/>
      <c r="ER39" s="18" t="n"/>
      <c r="ES39" s="18" t="n"/>
      <c r="ET39" s="18" t="n"/>
      <c r="EU39" s="18" t="n"/>
      <c r="EV39" s="18" t="n"/>
      <c r="EW39" s="18" t="n"/>
      <c r="EX39" s="18" t="n"/>
      <c r="EY39" s="18" t="n"/>
      <c r="EZ39" s="18" t="n"/>
      <c r="FA39" s="18" t="n"/>
      <c r="FB39" s="18" t="n"/>
      <c r="FC39" s="18" t="n"/>
      <c r="FD39" s="18" t="n"/>
      <c r="FE39" s="18" t="n"/>
      <c r="FF39" s="18" t="n"/>
      <c r="FG39" s="18" t="n"/>
      <c r="FH39" s="18" t="n"/>
      <c r="FI39" s="18" t="n"/>
      <c r="FJ39" s="18" t="n"/>
      <c r="FK39" s="18" t="n"/>
      <c r="FL39" s="18" t="n"/>
      <c r="FM39" s="18" t="n"/>
      <c r="FN39" s="18" t="n"/>
      <c r="FO39" s="18" t="n"/>
      <c r="FP39" s="18" t="n"/>
      <c r="FQ39" s="18" t="n"/>
      <c r="FR39" s="18" t="n"/>
      <c r="FS39" s="18" t="n"/>
      <c r="FT39" s="18" t="n"/>
      <c r="FU39" s="18" t="n"/>
      <c r="FV39" s="18" t="n"/>
      <c r="FW39" s="18" t="n"/>
      <c r="FX39" s="18" t="n"/>
      <c r="FY39" s="18" t="n"/>
      <c r="FZ39" s="18" t="n"/>
      <c r="GA39" s="18" t="n"/>
      <c r="GB39" s="18" t="n"/>
      <c r="GC39" s="18" t="n"/>
      <c r="GD39" s="18" t="n"/>
      <c r="GE39" s="18" t="n"/>
      <c r="GF39" s="18" t="n"/>
      <c r="GG39" s="18" t="n"/>
      <c r="GH39" s="18" t="n"/>
      <c r="GI39" s="18" t="n"/>
      <c r="GJ39" s="18" t="n"/>
      <c r="GK39" s="18" t="n"/>
      <c r="GL39" s="18" t="n"/>
      <c r="GM39" s="18" t="n"/>
      <c r="GN39" s="18" t="n"/>
      <c r="GO39" s="18" t="n"/>
      <c r="GP39" s="18" t="n"/>
      <c r="GQ39" s="18" t="n"/>
      <c r="GR39" s="18" t="n"/>
      <c r="GS39" s="18" t="n"/>
      <c r="GT39" s="18" t="n"/>
      <c r="GU39" s="18" t="n"/>
      <c r="GV39" s="18" t="n"/>
      <c r="GW39" s="18" t="n"/>
      <c r="GX39" s="18" t="n"/>
      <c r="GY39" s="18" t="n"/>
      <c r="GZ39" s="18" t="n"/>
      <c r="HA39" s="18" t="n"/>
      <c r="HB39" s="18" t="n"/>
      <c r="HC39" s="18" t="n"/>
      <c r="HD39" s="18" t="n"/>
      <c r="HE39" s="18" t="n"/>
      <c r="HF39" s="18" t="n"/>
      <c r="HG39" s="18" t="n"/>
      <c r="HH39" s="18" t="n"/>
      <c r="HI39" s="18" t="n"/>
      <c r="HJ39" s="18" t="n"/>
      <c r="HK39" s="18" t="n"/>
      <c r="HL39" s="18" t="n"/>
      <c r="HM39" s="18" t="n"/>
      <c r="HN39" s="18" t="n"/>
      <c r="HO39" s="18" t="n"/>
      <c r="HP39" s="18" t="n"/>
      <c r="HQ39" s="18" t="n"/>
      <c r="HR39" s="18" t="n"/>
      <c r="HS39" s="18" t="n"/>
      <c r="HT39" s="18" t="n"/>
      <c r="HU39" s="18" t="n"/>
      <c r="HV39" s="18" t="n"/>
      <c r="HW39" s="18" t="n"/>
      <c r="HX39" s="18" t="n"/>
      <c r="HY39" s="18" t="n"/>
      <c r="HZ39" s="18" t="n"/>
      <c r="IA39" s="18" t="n"/>
      <c r="IB39" s="18" t="n"/>
      <c r="IC39" s="18" t="n"/>
      <c r="ID39" s="18" t="n"/>
      <c r="IE39" s="18" t="n"/>
      <c r="IF39" s="18" t="n"/>
      <c r="IG39" s="18" t="n"/>
      <c r="IH39" s="18" t="n"/>
      <c r="II39" s="18" t="n"/>
      <c r="IJ39" s="18" t="n"/>
      <c r="IK39" s="18" t="n"/>
      <c r="IL39" s="18" t="n"/>
      <c r="IM39" s="18" t="n"/>
      <c r="IN39" s="18" t="n"/>
      <c r="IO39" s="18" t="n"/>
      <c r="IP39" s="18" t="n"/>
      <c r="IQ39" s="18" t="n"/>
      <c r="IR39" s="18" t="n"/>
      <c r="IS39" s="18" t="n"/>
      <c r="IT39" s="18" t="n"/>
      <c r="IU39" s="18" t="n"/>
      <c r="IV39" s="18" t="n"/>
      <c r="IW39" s="18" t="n"/>
      <c r="IX39" s="18" t="n"/>
      <c r="IY39" s="18" t="n"/>
      <c r="IZ39" s="18" t="n"/>
      <c r="JA39" s="18" t="n"/>
      <c r="JB39" s="18" t="n"/>
      <c r="JC39" s="18" t="n"/>
      <c r="JD39" s="18" t="n"/>
      <c r="JE39" s="18" t="n"/>
      <c r="JF39" s="18" t="n"/>
      <c r="JG39" s="18" t="n"/>
      <c r="JH39" s="18" t="n"/>
      <c r="JI39" s="18" t="n"/>
      <c r="JJ39" s="18" t="n"/>
      <c r="JK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  <c r="DY40" s="18" t="n"/>
      <c r="DZ40" s="18" t="n"/>
      <c r="EA40" s="18" t="n"/>
      <c r="EB40" s="18" t="n"/>
      <c r="EC40" s="18" t="n"/>
      <c r="ED40" s="18" t="n"/>
      <c r="EE40" s="18" t="n"/>
      <c r="EF40" s="18" t="n"/>
      <c r="EG40" s="18" t="n"/>
      <c r="EH40" s="18" t="n"/>
      <c r="EI40" s="18" t="n"/>
      <c r="EJ40" s="18" t="n"/>
      <c r="EK40" s="18" t="n"/>
      <c r="EL40" s="18" t="n"/>
      <c r="EM40" s="18" t="n"/>
      <c r="EN40" s="18" t="n"/>
      <c r="EO40" s="18" t="n"/>
      <c r="EP40" s="18" t="n"/>
      <c r="EQ40" s="18" t="n"/>
      <c r="ER40" s="18" t="n"/>
      <c r="ES40" s="18" t="n"/>
      <c r="ET40" s="18" t="n"/>
      <c r="EU40" s="18" t="n"/>
      <c r="EV40" s="18" t="n"/>
      <c r="EW40" s="18" t="n"/>
      <c r="EX40" s="18" t="n"/>
      <c r="EY40" s="18" t="n"/>
      <c r="EZ40" s="18" t="n"/>
      <c r="FA40" s="18" t="n"/>
      <c r="FB40" s="18" t="n"/>
      <c r="FC40" s="18" t="n"/>
      <c r="FD40" s="18" t="n"/>
      <c r="FE40" s="18" t="n"/>
      <c r="FF40" s="18" t="n"/>
      <c r="FG40" s="18" t="n"/>
      <c r="FH40" s="18" t="n"/>
      <c r="FI40" s="18" t="n"/>
      <c r="FJ40" s="18" t="n"/>
      <c r="FK40" s="18" t="n"/>
      <c r="FL40" s="18" t="n"/>
      <c r="FM40" s="18" t="n"/>
      <c r="FN40" s="18" t="n"/>
      <c r="FO40" s="18" t="n"/>
      <c r="FP40" s="18" t="n"/>
      <c r="FQ40" s="18" t="n"/>
      <c r="FR40" s="18" t="n"/>
      <c r="FS40" s="18" t="n"/>
      <c r="FT40" s="18" t="n"/>
      <c r="FU40" s="18" t="n"/>
      <c r="FV40" s="18" t="n"/>
      <c r="FW40" s="18" t="n"/>
      <c r="FX40" s="18" t="n"/>
      <c r="FY40" s="18" t="n"/>
      <c r="FZ40" s="18" t="n"/>
      <c r="GA40" s="18" t="n"/>
      <c r="GB40" s="18" t="n"/>
      <c r="GC40" s="18" t="n"/>
      <c r="GD40" s="18" t="n"/>
      <c r="GE40" s="18" t="n"/>
      <c r="GF40" s="18" t="n"/>
      <c r="GG40" s="18" t="n"/>
      <c r="GH40" s="18" t="n"/>
      <c r="GI40" s="18" t="n"/>
      <c r="GJ40" s="18" t="n"/>
      <c r="GK40" s="18" t="n"/>
      <c r="GL40" s="18" t="n"/>
      <c r="GM40" s="18" t="n"/>
      <c r="GN40" s="18" t="n"/>
      <c r="GO40" s="18" t="n"/>
      <c r="GP40" s="18" t="n"/>
      <c r="GQ40" s="18" t="n"/>
      <c r="GR40" s="18" t="n"/>
      <c r="GS40" s="18" t="n"/>
      <c r="GT40" s="18" t="n"/>
      <c r="GU40" s="18" t="n"/>
      <c r="GV40" s="18" t="n"/>
      <c r="GW40" s="18" t="n"/>
      <c r="GX40" s="18" t="n"/>
      <c r="GY40" s="18" t="n"/>
      <c r="GZ40" s="18" t="n"/>
      <c r="HA40" s="18" t="n"/>
      <c r="HB40" s="18" t="n"/>
      <c r="HC40" s="18" t="n"/>
      <c r="HD40" s="18" t="n"/>
      <c r="HE40" s="18" t="n"/>
      <c r="HF40" s="18" t="n"/>
      <c r="HG40" s="18" t="n"/>
      <c r="HH40" s="18" t="n"/>
      <c r="HI40" s="18" t="n"/>
      <c r="HJ40" s="18" t="n"/>
      <c r="HK40" s="18" t="n"/>
      <c r="HL40" s="18" t="n"/>
      <c r="HM40" s="18" t="n"/>
      <c r="HN40" s="18" t="n"/>
      <c r="HO40" s="18" t="n"/>
      <c r="HP40" s="18" t="n"/>
      <c r="HQ40" s="18" t="n"/>
      <c r="HR40" s="18" t="n"/>
      <c r="HS40" s="18" t="n"/>
      <c r="HT40" s="18" t="n"/>
      <c r="HU40" s="18" t="n"/>
      <c r="HV40" s="18" t="n"/>
      <c r="HW40" s="18" t="n"/>
      <c r="HX40" s="18" t="n"/>
      <c r="HY40" s="18" t="n"/>
      <c r="HZ40" s="18" t="n"/>
      <c r="IA40" s="18" t="n"/>
      <c r="IB40" s="18" t="n"/>
      <c r="IC40" s="18" t="n"/>
      <c r="ID40" s="18" t="n"/>
      <c r="IE40" s="18" t="n"/>
      <c r="IF40" s="18" t="n"/>
      <c r="IG40" s="18" t="n"/>
      <c r="IH40" s="18" t="n"/>
      <c r="II40" s="18" t="n"/>
      <c r="IJ40" s="18" t="n"/>
      <c r="IK40" s="18" t="n"/>
      <c r="IL40" s="18" t="n"/>
      <c r="IM40" s="18" t="n"/>
      <c r="IN40" s="18" t="n"/>
      <c r="IO40" s="18" t="n"/>
      <c r="IP40" s="18" t="n"/>
      <c r="IQ40" s="18" t="n"/>
      <c r="IR40" s="18" t="n"/>
      <c r="IS40" s="18" t="n"/>
      <c r="IT40" s="18" t="n"/>
      <c r="IU40" s="18" t="n"/>
      <c r="IV40" s="18" t="n"/>
      <c r="IW40" s="18" t="n"/>
      <c r="IX40" s="18" t="n"/>
      <c r="IY40" s="18" t="n"/>
      <c r="IZ40" s="18" t="n"/>
      <c r="JA40" s="18" t="n"/>
      <c r="JB40" s="18" t="n"/>
      <c r="JC40" s="18" t="n"/>
      <c r="JD40" s="18" t="n"/>
      <c r="JE40" s="18" t="n"/>
      <c r="JF40" s="18" t="n"/>
      <c r="JG40" s="18" t="n"/>
      <c r="JH40" s="18" t="n"/>
      <c r="JI40" s="18" t="n"/>
      <c r="JJ40" s="18" t="n"/>
      <c r="JK40" s="18" t="n"/>
      <c r="JL40" s="18" t="n"/>
      <c r="JM40" s="18" t="n"/>
      <c r="JN40" s="18" t="n"/>
      <c r="JO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  <c r="DY41" s="18" t="n"/>
      <c r="DZ41" s="18" t="n"/>
      <c r="EA41" s="18" t="n"/>
      <c r="EB41" s="18" t="n"/>
      <c r="EC41" s="18" t="n"/>
      <c r="ED41" s="18" t="n"/>
      <c r="EE41" s="18" t="n"/>
      <c r="EF41" s="18" t="n"/>
      <c r="EG41" s="18" t="n"/>
      <c r="EH41" s="18" t="n"/>
      <c r="EI41" s="18" t="n"/>
      <c r="EJ41" s="18" t="n"/>
      <c r="EK41" s="18" t="n"/>
      <c r="EL41" s="18" t="n"/>
      <c r="EM41" s="18" t="n"/>
      <c r="EN41" s="18" t="n"/>
      <c r="EO41" s="18" t="n"/>
      <c r="EP41" s="18" t="n"/>
      <c r="EQ41" s="18" t="n"/>
      <c r="ER41" s="18" t="n"/>
      <c r="ES41" s="18" t="n"/>
      <c r="ET41" s="18" t="n"/>
      <c r="EU41" s="18" t="n"/>
      <c r="EV41" s="18" t="n"/>
      <c r="EW41" s="18" t="n"/>
      <c r="EX41" s="18" t="n"/>
      <c r="EY41" s="18" t="n"/>
      <c r="EZ41" s="18" t="n"/>
      <c r="FA41" s="18" t="n"/>
      <c r="FB41" s="18" t="n"/>
      <c r="FC41" s="18" t="n"/>
      <c r="FD41" s="18" t="n"/>
      <c r="FE41" s="18" t="n"/>
      <c r="FF41" s="18" t="n"/>
      <c r="FG41" s="18" t="n"/>
      <c r="FH41" s="18" t="n"/>
      <c r="FI41" s="18" t="n"/>
      <c r="FJ41" s="18" t="n"/>
      <c r="FK41" s="18" t="n"/>
      <c r="FL41" s="18" t="n"/>
      <c r="FM41" s="18" t="n"/>
      <c r="FN41" s="18" t="n"/>
      <c r="FO41" s="18" t="n"/>
      <c r="FP41" s="18" t="n"/>
      <c r="FQ41" s="18" t="n"/>
      <c r="FR41" s="18" t="n"/>
      <c r="FS41" s="18" t="n"/>
      <c r="FT41" s="18" t="n"/>
      <c r="FU41" s="18" t="n"/>
      <c r="FV41" s="18" t="n"/>
      <c r="FW41" s="18" t="n"/>
      <c r="FX41" s="18" t="n"/>
      <c r="FY41" s="18" t="n"/>
      <c r="FZ41" s="18" t="n"/>
      <c r="GA41" s="18" t="n"/>
      <c r="GB41" s="18" t="n"/>
      <c r="GC41" s="18" t="n"/>
      <c r="GD41" s="18" t="n"/>
      <c r="GE41" s="18" t="n"/>
      <c r="GF41" s="18" t="n"/>
      <c r="GG41" s="18" t="n"/>
      <c r="GH41" s="18" t="n"/>
      <c r="GI41" s="18" t="n"/>
      <c r="GJ41" s="18" t="n"/>
      <c r="GK41" s="18" t="n"/>
      <c r="GL41" s="18" t="n"/>
      <c r="GM41" s="18" t="n"/>
      <c r="GN41" s="18" t="n"/>
      <c r="GO41" s="18" t="n"/>
      <c r="GP41" s="18" t="n"/>
      <c r="GQ41" s="18" t="n"/>
      <c r="GR41" s="18" t="n"/>
      <c r="GS41" s="18" t="n"/>
      <c r="GT41" s="18" t="n"/>
      <c r="GU41" s="18" t="n"/>
      <c r="GV41" s="18" t="n"/>
      <c r="GW41" s="18" t="n"/>
      <c r="GX41" s="18" t="n"/>
      <c r="GY41" s="18" t="n"/>
      <c r="GZ41" s="18" t="n"/>
      <c r="HA41" s="18" t="n"/>
      <c r="HB41" s="18" t="n"/>
      <c r="HC41" s="18" t="n"/>
      <c r="HD41" s="18" t="n"/>
      <c r="HE41" s="18" t="n"/>
      <c r="HF41" s="18" t="n"/>
      <c r="HG41" s="18" t="n"/>
      <c r="HH41" s="18" t="n"/>
      <c r="HI41" s="18" t="n"/>
      <c r="HJ41" s="18" t="n"/>
      <c r="HK41" s="18" t="n"/>
      <c r="HL41" s="18" t="n"/>
      <c r="HM41" s="18" t="n"/>
      <c r="HN41" s="18" t="n"/>
      <c r="HO41" s="18" t="n"/>
      <c r="HP41" s="18" t="n"/>
      <c r="HQ41" s="18" t="n"/>
      <c r="HR41" s="18" t="n"/>
      <c r="HS41" s="18" t="n"/>
      <c r="HT41" s="18" t="n"/>
      <c r="HU41" s="18" t="n"/>
      <c r="HV41" s="18" t="n"/>
      <c r="HW41" s="18" t="n"/>
      <c r="HX41" s="18" t="n"/>
      <c r="HY41" s="18" t="n"/>
      <c r="HZ41" s="18" t="n"/>
      <c r="IA41" s="18" t="n"/>
      <c r="IB41" s="18" t="n"/>
      <c r="IC41" s="18" t="n"/>
      <c r="ID41" s="18" t="n"/>
      <c r="IE41" s="18" t="n"/>
      <c r="IF41" s="18" t="n"/>
      <c r="IG41" s="18" t="n"/>
      <c r="IH41" s="18" t="n"/>
      <c r="II41" s="18" t="n"/>
      <c r="IJ41" s="18" t="n"/>
      <c r="IK41" s="18" t="n"/>
      <c r="IL41" s="18" t="n"/>
      <c r="IM41" s="18" t="n"/>
      <c r="IN41" s="18" t="n"/>
      <c r="IO41" s="18" t="n"/>
      <c r="IP41" s="18" t="n"/>
      <c r="IQ41" s="18" t="n"/>
      <c r="IR41" s="18" t="n"/>
      <c r="IS41" s="18" t="n"/>
      <c r="IT41" s="18" t="n"/>
      <c r="IU41" s="18" t="n"/>
      <c r="IV41" s="18" t="n"/>
      <c r="IW41" s="18" t="n"/>
      <c r="IX41" s="18" t="n"/>
      <c r="IY41" s="18" t="n"/>
      <c r="IZ41" s="18" t="n"/>
      <c r="JA41" s="18" t="n"/>
      <c r="JB41" s="18" t="n"/>
      <c r="JC41" s="18" t="n"/>
      <c r="JD41" s="18" t="n"/>
      <c r="JE41" s="18" t="n"/>
      <c r="JF41" s="18" t="n"/>
      <c r="JG41" s="18" t="n"/>
      <c r="JH41" s="18" t="n"/>
      <c r="JI41" s="18" t="n"/>
      <c r="JJ41" s="18" t="n"/>
      <c r="JK41" s="18" t="n"/>
      <c r="JL41" s="18" t="n"/>
      <c r="JM41" s="18" t="n"/>
      <c r="JN41" s="18" t="n"/>
      <c r="JO41" s="18" t="n"/>
      <c r="JP41" s="18" t="n"/>
      <c r="JQ41" s="18" t="n"/>
      <c r="JR41" s="18" t="n"/>
      <c r="JS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  <c r="DY42" s="18" t="n"/>
      <c r="DZ42" s="18" t="n"/>
      <c r="EA42" s="18" t="n"/>
      <c r="EB42" s="18" t="n"/>
      <c r="EC42" s="18" t="n"/>
      <c r="ED42" s="18" t="n"/>
      <c r="EE42" s="18" t="n"/>
      <c r="EF42" s="18" t="n"/>
      <c r="EG42" s="18" t="n"/>
      <c r="EH42" s="18" t="n"/>
      <c r="EI42" s="18" t="n"/>
      <c r="EJ42" s="18" t="n"/>
      <c r="EK42" s="18" t="n"/>
      <c r="EL42" s="18" t="n"/>
      <c r="EM42" s="18" t="n"/>
      <c r="EN42" s="18" t="n"/>
      <c r="EO42" s="18" t="n"/>
      <c r="EP42" s="18" t="n"/>
      <c r="EQ42" s="18" t="n"/>
      <c r="ER42" s="18" t="n"/>
      <c r="ES42" s="18" t="n"/>
      <c r="ET42" s="18" t="n"/>
      <c r="EU42" s="18" t="n"/>
      <c r="EV42" s="18" t="n"/>
      <c r="EW42" s="18" t="n"/>
      <c r="EX42" s="18" t="n"/>
      <c r="EY42" s="18" t="n"/>
      <c r="EZ42" s="18" t="n"/>
      <c r="FA42" s="18" t="n"/>
      <c r="FB42" s="18" t="n"/>
      <c r="FC42" s="18" t="n"/>
      <c r="FD42" s="18" t="n"/>
      <c r="FE42" s="18" t="n"/>
      <c r="FF42" s="18" t="n"/>
      <c r="FG42" s="18" t="n"/>
      <c r="FH42" s="18" t="n"/>
      <c r="FI42" s="18" t="n"/>
      <c r="FJ42" s="18" t="n"/>
      <c r="FK42" s="18" t="n"/>
      <c r="FL42" s="18" t="n"/>
      <c r="FM42" s="18" t="n"/>
      <c r="FN42" s="18" t="n"/>
      <c r="FO42" s="18" t="n"/>
      <c r="FP42" s="18" t="n"/>
      <c r="FQ42" s="18" t="n"/>
      <c r="FR42" s="18" t="n"/>
      <c r="FS42" s="18" t="n"/>
      <c r="FT42" s="18" t="n"/>
      <c r="FU42" s="18" t="n"/>
      <c r="FV42" s="18" t="n"/>
      <c r="FW42" s="18" t="n"/>
      <c r="FX42" s="18" t="n"/>
      <c r="FY42" s="18" t="n"/>
      <c r="FZ42" s="18" t="n"/>
      <c r="GA42" s="18" t="n"/>
      <c r="GB42" s="18" t="n"/>
      <c r="GC42" s="18" t="n"/>
      <c r="GD42" s="18" t="n"/>
      <c r="GE42" s="18" t="n"/>
      <c r="GF42" s="18" t="n"/>
      <c r="GG42" s="18" t="n"/>
      <c r="GH42" s="18" t="n"/>
      <c r="GI42" s="18" t="n"/>
      <c r="GJ42" s="18" t="n"/>
      <c r="GK42" s="18" t="n"/>
      <c r="GL42" s="18" t="n"/>
      <c r="GM42" s="18" t="n"/>
      <c r="GN42" s="18" t="n"/>
      <c r="GO42" s="18" t="n"/>
      <c r="GP42" s="18" t="n"/>
      <c r="GQ42" s="18" t="n"/>
      <c r="GR42" s="18" t="n"/>
      <c r="GS42" s="18" t="n"/>
      <c r="GT42" s="18" t="n"/>
      <c r="GU42" s="18" t="n"/>
      <c r="GV42" s="18" t="n"/>
      <c r="GW42" s="18" t="n"/>
      <c r="GX42" s="18" t="n"/>
      <c r="GY42" s="18" t="n"/>
      <c r="GZ42" s="18" t="n"/>
      <c r="HA42" s="18" t="n"/>
      <c r="HB42" s="18" t="n"/>
      <c r="HC42" s="18" t="n"/>
      <c r="HD42" s="18" t="n"/>
      <c r="HE42" s="18" t="n"/>
      <c r="HF42" s="18" t="n"/>
      <c r="HG42" s="18" t="n"/>
      <c r="HH42" s="18" t="n"/>
      <c r="HI42" s="18" t="n"/>
      <c r="HJ42" s="18" t="n"/>
      <c r="HK42" s="18" t="n"/>
      <c r="HL42" s="18" t="n"/>
      <c r="HM42" s="18" t="n"/>
      <c r="HN42" s="18" t="n"/>
      <c r="HO42" s="18" t="n"/>
      <c r="HP42" s="18" t="n"/>
      <c r="HQ42" s="18" t="n"/>
      <c r="HR42" s="18" t="n"/>
      <c r="HS42" s="18" t="n"/>
      <c r="HT42" s="18" t="n"/>
      <c r="HU42" s="18" t="n"/>
      <c r="HV42" s="18" t="n"/>
      <c r="HW42" s="18" t="n"/>
      <c r="HX42" s="18" t="n"/>
      <c r="HY42" s="18" t="n"/>
      <c r="HZ42" s="18" t="n"/>
      <c r="IA42" s="18" t="n"/>
      <c r="IB42" s="18" t="n"/>
      <c r="IC42" s="18" t="n"/>
      <c r="ID42" s="18" t="n"/>
      <c r="IE42" s="18" t="n"/>
      <c r="IF42" s="18" t="n"/>
      <c r="IG42" s="18" t="n"/>
      <c r="IH42" s="18" t="n"/>
      <c r="II42" s="18" t="n"/>
      <c r="IJ42" s="18" t="n"/>
      <c r="IK42" s="18" t="n"/>
      <c r="IL42" s="18" t="n"/>
      <c r="IM42" s="18" t="n"/>
      <c r="IN42" s="18" t="n"/>
      <c r="IO42" s="18" t="n"/>
      <c r="IP42" s="18" t="n"/>
      <c r="IQ42" s="18" t="n"/>
      <c r="IR42" s="18" t="n"/>
      <c r="IS42" s="18" t="n"/>
      <c r="IT42" s="18" t="n"/>
      <c r="IU42" s="18" t="n"/>
      <c r="IV42" s="18" t="n"/>
      <c r="IW42" s="18" t="n"/>
      <c r="IX42" s="18" t="n"/>
      <c r="IY42" s="18" t="n"/>
      <c r="IZ42" s="18" t="n"/>
      <c r="JA42" s="18" t="n"/>
      <c r="JB42" s="18" t="n"/>
      <c r="JC42" s="18" t="n"/>
      <c r="JD42" s="18" t="n"/>
      <c r="JE42" s="18" t="n"/>
      <c r="JF42" s="18" t="n"/>
      <c r="JG42" s="18" t="n"/>
      <c r="JH42" s="18" t="n"/>
      <c r="JI42" s="18" t="n"/>
      <c r="JJ42" s="18" t="n"/>
      <c r="JK42" s="18" t="n"/>
      <c r="JL42" s="18" t="n"/>
      <c r="JM42" s="18" t="n"/>
      <c r="JN42" s="18" t="n"/>
      <c r="JO42" s="18" t="n"/>
      <c r="JP42" s="18" t="n"/>
      <c r="JQ42" s="18" t="n"/>
      <c r="JR42" s="18" t="n"/>
      <c r="JS42" s="18" t="n"/>
      <c r="JT42" s="18" t="n"/>
      <c r="JU42" s="18" t="n"/>
      <c r="JV42" s="18" t="n"/>
      <c r="JW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  <c r="DY43" s="18" t="n"/>
      <c r="DZ43" s="18" t="n"/>
      <c r="EA43" s="18" t="n"/>
      <c r="EB43" s="18" t="n"/>
      <c r="EC43" s="18" t="n"/>
      <c r="ED43" s="18" t="n"/>
      <c r="EE43" s="18" t="n"/>
      <c r="EF43" s="18" t="n"/>
      <c r="EG43" s="18" t="n"/>
      <c r="EH43" s="18" t="n"/>
      <c r="EI43" s="18" t="n"/>
      <c r="EJ43" s="18" t="n"/>
      <c r="EK43" s="18" t="n"/>
      <c r="EL43" s="18" t="n"/>
      <c r="EM43" s="18" t="n"/>
      <c r="EN43" s="18" t="n"/>
      <c r="EO43" s="18" t="n"/>
      <c r="EP43" s="18" t="n"/>
      <c r="EQ43" s="18" t="n"/>
      <c r="ER43" s="18" t="n"/>
      <c r="ES43" s="18" t="n"/>
      <c r="ET43" s="18" t="n"/>
      <c r="EU43" s="18" t="n"/>
      <c r="EV43" s="18" t="n"/>
      <c r="EW43" s="18" t="n"/>
      <c r="EX43" s="18" t="n"/>
      <c r="EY43" s="18" t="n"/>
      <c r="EZ43" s="18" t="n"/>
      <c r="FA43" s="18" t="n"/>
      <c r="FB43" s="18" t="n"/>
      <c r="FC43" s="18" t="n"/>
      <c r="FD43" s="18" t="n"/>
      <c r="FE43" s="18" t="n"/>
      <c r="FF43" s="18" t="n"/>
      <c r="FG43" s="18" t="n"/>
      <c r="FH43" s="18" t="n"/>
      <c r="FI43" s="18" t="n"/>
      <c r="FJ43" s="18" t="n"/>
      <c r="FK43" s="18" t="n"/>
      <c r="FL43" s="18" t="n"/>
      <c r="FM43" s="18" t="n"/>
      <c r="FN43" s="18" t="n"/>
      <c r="FO43" s="18" t="n"/>
      <c r="FP43" s="18" t="n"/>
      <c r="FQ43" s="18" t="n"/>
      <c r="FR43" s="18" t="n"/>
      <c r="FS43" s="18" t="n"/>
      <c r="FT43" s="18" t="n"/>
      <c r="FU43" s="18" t="n"/>
      <c r="FV43" s="18" t="n"/>
      <c r="FW43" s="18" t="n"/>
      <c r="FX43" s="18" t="n"/>
      <c r="FY43" s="18" t="n"/>
      <c r="FZ43" s="18" t="n"/>
      <c r="GA43" s="18" t="n"/>
      <c r="GB43" s="18" t="n"/>
      <c r="GC43" s="18" t="n"/>
      <c r="GD43" s="18" t="n"/>
      <c r="GE43" s="18" t="n"/>
      <c r="GF43" s="18" t="n"/>
      <c r="GG43" s="18" t="n"/>
      <c r="GH43" s="18" t="n"/>
      <c r="GI43" s="18" t="n"/>
      <c r="GJ43" s="18" t="n"/>
      <c r="GK43" s="18" t="n"/>
      <c r="GL43" s="18" t="n"/>
      <c r="GM43" s="18" t="n"/>
      <c r="GN43" s="18" t="n"/>
      <c r="GO43" s="18" t="n"/>
      <c r="GP43" s="18" t="n"/>
      <c r="GQ43" s="18" t="n"/>
      <c r="GR43" s="18" t="n"/>
      <c r="GS43" s="18" t="n"/>
      <c r="GT43" s="18" t="n"/>
      <c r="GU43" s="18" t="n"/>
      <c r="GV43" s="18" t="n"/>
      <c r="GW43" s="18" t="n"/>
      <c r="GX43" s="18" t="n"/>
      <c r="GY43" s="18" t="n"/>
      <c r="GZ43" s="18" t="n"/>
      <c r="HA43" s="18" t="n"/>
      <c r="HB43" s="18" t="n"/>
      <c r="HC43" s="18" t="n"/>
      <c r="HD43" s="18" t="n"/>
      <c r="HE43" s="18" t="n"/>
      <c r="HF43" s="18" t="n"/>
      <c r="HG43" s="18" t="n"/>
      <c r="HH43" s="18" t="n"/>
      <c r="HI43" s="18" t="n"/>
      <c r="HJ43" s="18" t="n"/>
      <c r="HK43" s="18" t="n"/>
      <c r="HL43" s="18" t="n"/>
      <c r="HM43" s="18" t="n"/>
      <c r="HN43" s="18" t="n"/>
      <c r="HO43" s="18" t="n"/>
      <c r="HP43" s="18" t="n"/>
      <c r="HQ43" s="18" t="n"/>
      <c r="HR43" s="18" t="n"/>
      <c r="HS43" s="18" t="n"/>
      <c r="HT43" s="18" t="n"/>
      <c r="HU43" s="18" t="n"/>
      <c r="HV43" s="18" t="n"/>
      <c r="HW43" s="18" t="n"/>
      <c r="HX43" s="18" t="n"/>
      <c r="HY43" s="18" t="n"/>
      <c r="HZ43" s="18" t="n"/>
      <c r="IA43" s="18" t="n"/>
      <c r="IB43" s="18" t="n"/>
      <c r="IC43" s="18" t="n"/>
      <c r="ID43" s="18" t="n"/>
      <c r="IE43" s="18" t="n"/>
      <c r="IF43" s="18" t="n"/>
      <c r="IG43" s="18" t="n"/>
      <c r="IH43" s="18" t="n"/>
      <c r="II43" s="18" t="n"/>
      <c r="IJ43" s="18" t="n"/>
      <c r="IK43" s="18" t="n"/>
      <c r="IL43" s="18" t="n"/>
      <c r="IM43" s="18" t="n"/>
      <c r="IN43" s="18" t="n"/>
      <c r="IO43" s="18" t="n"/>
      <c r="IP43" s="18" t="n"/>
      <c r="IQ43" s="18" t="n"/>
      <c r="IR43" s="18" t="n"/>
      <c r="IS43" s="18" t="n"/>
      <c r="IT43" s="18" t="n"/>
      <c r="IU43" s="18" t="n"/>
      <c r="IV43" s="18" t="n"/>
      <c r="IW43" s="18" t="n"/>
      <c r="IX43" s="18" t="n"/>
      <c r="IY43" s="18" t="n"/>
      <c r="IZ43" s="18" t="n"/>
      <c r="JA43" s="18" t="n"/>
      <c r="JB43" s="18" t="n"/>
      <c r="JC43" s="18" t="n"/>
      <c r="JD43" s="18" t="n"/>
      <c r="JE43" s="18" t="n"/>
      <c r="JF43" s="18" t="n"/>
      <c r="JG43" s="18" t="n"/>
      <c r="JH43" s="18" t="n"/>
      <c r="JI43" s="18" t="n"/>
      <c r="JJ43" s="18" t="n"/>
      <c r="JK43" s="18" t="n"/>
      <c r="JL43" s="18" t="n"/>
      <c r="JM43" s="18" t="n"/>
      <c r="JN43" s="18" t="n"/>
      <c r="JO43" s="18" t="n"/>
      <c r="JP43" s="18" t="n"/>
      <c r="JQ43" s="18" t="n"/>
      <c r="JR43" s="18" t="n"/>
      <c r="JS43" s="18" t="n"/>
      <c r="JT43" s="18" t="n"/>
      <c r="JU43" s="18" t="n"/>
      <c r="JV43" s="18" t="n"/>
      <c r="JW43" s="18" t="n"/>
      <c r="JX43" s="18" t="n"/>
      <c r="JY43" s="18" t="n"/>
      <c r="JZ43" s="18" t="n"/>
      <c r="KA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  <c r="DY44" s="18" t="n"/>
      <c r="DZ44" s="18" t="n"/>
      <c r="EA44" s="18" t="n"/>
      <c r="EB44" s="18" t="n"/>
      <c r="EC44" s="18" t="n"/>
      <c r="ED44" s="18" t="n"/>
      <c r="EE44" s="18" t="n"/>
      <c r="EF44" s="18" t="n"/>
      <c r="EG44" s="18" t="n"/>
      <c r="EH44" s="18" t="n"/>
      <c r="EI44" s="18" t="n"/>
      <c r="EJ44" s="18" t="n"/>
      <c r="EK44" s="18" t="n"/>
      <c r="EL44" s="18" t="n"/>
      <c r="EM44" s="18" t="n"/>
      <c r="EN44" s="18" t="n"/>
      <c r="EO44" s="18" t="n"/>
      <c r="EP44" s="18" t="n"/>
      <c r="EQ44" s="18" t="n"/>
      <c r="ER44" s="18" t="n"/>
      <c r="ES44" s="18" t="n"/>
      <c r="ET44" s="18" t="n"/>
      <c r="EU44" s="18" t="n"/>
      <c r="EV44" s="18" t="n"/>
      <c r="EW44" s="18" t="n"/>
      <c r="EX44" s="18" t="n"/>
      <c r="EY44" s="18" t="n"/>
      <c r="EZ44" s="18" t="n"/>
      <c r="FA44" s="18" t="n"/>
      <c r="FB44" s="18" t="n"/>
      <c r="FC44" s="18" t="n"/>
      <c r="FD44" s="18" t="n"/>
      <c r="FE44" s="18" t="n"/>
      <c r="FF44" s="18" t="n"/>
      <c r="FG44" s="18" t="n"/>
      <c r="FH44" s="18" t="n"/>
      <c r="FI44" s="18" t="n"/>
      <c r="FJ44" s="18" t="n"/>
      <c r="FK44" s="18" t="n"/>
      <c r="FL44" s="18" t="n"/>
      <c r="FM44" s="18" t="n"/>
      <c r="FN44" s="18" t="n"/>
      <c r="FO44" s="18" t="n"/>
      <c r="FP44" s="18" t="n"/>
      <c r="FQ44" s="18" t="n"/>
      <c r="FR44" s="18" t="n"/>
      <c r="FS44" s="18" t="n"/>
      <c r="FT44" s="18" t="n"/>
      <c r="FU44" s="18" t="n"/>
      <c r="FV44" s="18" t="n"/>
      <c r="FW44" s="18" t="n"/>
      <c r="FX44" s="18" t="n"/>
      <c r="FY44" s="18" t="n"/>
      <c r="FZ44" s="18" t="n"/>
      <c r="GA44" s="18" t="n"/>
      <c r="GB44" s="18" t="n"/>
      <c r="GC44" s="18" t="n"/>
      <c r="GD44" s="18" t="n"/>
      <c r="GE44" s="18" t="n"/>
      <c r="GF44" s="18" t="n"/>
      <c r="GG44" s="18" t="n"/>
      <c r="GH44" s="18" t="n"/>
      <c r="GI44" s="18" t="n"/>
      <c r="GJ44" s="18" t="n"/>
      <c r="GK44" s="18" t="n"/>
      <c r="GL44" s="18" t="n"/>
      <c r="GM44" s="18" t="n"/>
      <c r="GN44" s="18" t="n"/>
      <c r="GO44" s="18" t="n"/>
      <c r="GP44" s="18" t="n"/>
      <c r="GQ44" s="18" t="n"/>
      <c r="GR44" s="18" t="n"/>
      <c r="GS44" s="18" t="n"/>
      <c r="GT44" s="18" t="n"/>
      <c r="GU44" s="18" t="n"/>
      <c r="GV44" s="18" t="n"/>
      <c r="GW44" s="18" t="n"/>
      <c r="GX44" s="18" t="n"/>
      <c r="GY44" s="18" t="n"/>
      <c r="GZ44" s="18" t="n"/>
      <c r="HA44" s="18" t="n"/>
      <c r="HB44" s="18" t="n"/>
      <c r="HC44" s="18" t="n"/>
      <c r="HD44" s="18" t="n"/>
      <c r="HE44" s="18" t="n"/>
      <c r="HF44" s="18" t="n"/>
      <c r="HG44" s="18" t="n"/>
      <c r="HH44" s="18" t="n"/>
      <c r="HI44" s="18" t="n"/>
      <c r="HJ44" s="18" t="n"/>
      <c r="HK44" s="18" t="n"/>
      <c r="HL44" s="18" t="n"/>
      <c r="HM44" s="18" t="n"/>
      <c r="HN44" s="18" t="n"/>
      <c r="HO44" s="18" t="n"/>
      <c r="HP44" s="18" t="n"/>
      <c r="HQ44" s="18" t="n"/>
      <c r="HR44" s="18" t="n"/>
      <c r="HS44" s="18" t="n"/>
      <c r="HT44" s="18" t="n"/>
      <c r="HU44" s="18" t="n"/>
      <c r="HV44" s="18" t="n"/>
      <c r="HW44" s="18" t="n"/>
      <c r="HX44" s="18" t="n"/>
      <c r="HY44" s="18" t="n"/>
      <c r="HZ44" s="18" t="n"/>
      <c r="IA44" s="18" t="n"/>
      <c r="IB44" s="18" t="n"/>
      <c r="IC44" s="18" t="n"/>
      <c r="ID44" s="18" t="n"/>
      <c r="IE44" s="18" t="n"/>
      <c r="IF44" s="18" t="n"/>
      <c r="IG44" s="18" t="n"/>
      <c r="IH44" s="18" t="n"/>
      <c r="II44" s="18" t="n"/>
      <c r="IJ44" s="18" t="n"/>
      <c r="IK44" s="18" t="n"/>
      <c r="IL44" s="18" t="n"/>
      <c r="IM44" s="18" t="n"/>
      <c r="IN44" s="18" t="n"/>
      <c r="IO44" s="18" t="n"/>
      <c r="IP44" s="18" t="n"/>
      <c r="IQ44" s="18" t="n"/>
      <c r="IR44" s="18" t="n"/>
      <c r="IS44" s="18" t="n"/>
      <c r="IT44" s="18" t="n"/>
      <c r="IU44" s="18" t="n"/>
      <c r="IV44" s="18" t="n"/>
      <c r="IW44" s="18" t="n"/>
      <c r="IX44" s="18" t="n"/>
      <c r="IY44" s="18" t="n"/>
      <c r="IZ44" s="18" t="n"/>
      <c r="JA44" s="18" t="n"/>
      <c r="JB44" s="18" t="n"/>
      <c r="JC44" s="18" t="n"/>
      <c r="JD44" s="18" t="n"/>
      <c r="JE44" s="18" t="n"/>
      <c r="JF44" s="18" t="n"/>
      <c r="JG44" s="18" t="n"/>
      <c r="JH44" s="18" t="n"/>
      <c r="JI44" s="18" t="n"/>
      <c r="JJ44" s="18" t="n"/>
      <c r="JK44" s="18" t="n"/>
      <c r="JL44" s="18" t="n"/>
      <c r="JM44" s="18" t="n"/>
      <c r="JN44" s="18" t="n"/>
      <c r="JO44" s="18" t="n"/>
      <c r="JP44" s="18" t="n"/>
      <c r="JQ44" s="18" t="n"/>
      <c r="JR44" s="18" t="n"/>
      <c r="JS44" s="18" t="n"/>
      <c r="JT44" s="18" t="n"/>
      <c r="JU44" s="18" t="n"/>
      <c r="JV44" s="18" t="n"/>
      <c r="JW44" s="18" t="n"/>
      <c r="JX44" s="18" t="n"/>
      <c r="JY44" s="18" t="n"/>
      <c r="JZ44" s="18" t="n"/>
      <c r="KA44" s="18" t="n"/>
      <c r="KB44" s="18" t="n"/>
      <c r="KC44" s="18" t="n"/>
      <c r="KD44" s="18" t="n"/>
      <c r="KE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  <c r="DY45" s="18" t="n"/>
      <c r="DZ45" s="18" t="n"/>
      <c r="EA45" s="18" t="n"/>
      <c r="EB45" s="18" t="n"/>
      <c r="EC45" s="18" t="n"/>
      <c r="ED45" s="18" t="n"/>
      <c r="EE45" s="18" t="n"/>
      <c r="EF45" s="18" t="n"/>
      <c r="EG45" s="18" t="n"/>
      <c r="EH45" s="18" t="n"/>
      <c r="EI45" s="18" t="n"/>
      <c r="EJ45" s="18" t="n"/>
      <c r="EK45" s="18" t="n"/>
      <c r="EL45" s="18" t="n"/>
      <c r="EM45" s="18" t="n"/>
      <c r="EN45" s="18" t="n"/>
      <c r="EO45" s="18" t="n"/>
      <c r="EP45" s="18" t="n"/>
      <c r="EQ45" s="18" t="n"/>
      <c r="ER45" s="18" t="n"/>
      <c r="ES45" s="18" t="n"/>
      <c r="ET45" s="18" t="n"/>
      <c r="EU45" s="18" t="n"/>
      <c r="EV45" s="18" t="n"/>
      <c r="EW45" s="18" t="n"/>
      <c r="EX45" s="18" t="n"/>
      <c r="EY45" s="18" t="n"/>
      <c r="EZ45" s="18" t="n"/>
      <c r="FA45" s="18" t="n"/>
      <c r="FB45" s="18" t="n"/>
      <c r="FC45" s="18" t="n"/>
      <c r="FD45" s="18" t="n"/>
      <c r="FE45" s="18" t="n"/>
      <c r="FF45" s="18" t="n"/>
      <c r="FG45" s="18" t="n"/>
      <c r="FH45" s="18" t="n"/>
      <c r="FI45" s="18" t="n"/>
      <c r="FJ45" s="18" t="n"/>
      <c r="FK45" s="18" t="n"/>
      <c r="FL45" s="18" t="n"/>
      <c r="FM45" s="18" t="n"/>
      <c r="FN45" s="18" t="n"/>
      <c r="FO45" s="18" t="n"/>
      <c r="FP45" s="18" t="n"/>
      <c r="FQ45" s="18" t="n"/>
      <c r="FR45" s="18" t="n"/>
      <c r="FS45" s="18" t="n"/>
      <c r="FT45" s="18" t="n"/>
      <c r="FU45" s="18" t="n"/>
      <c r="FV45" s="18" t="n"/>
      <c r="FW45" s="18" t="n"/>
      <c r="FX45" s="18" t="n"/>
      <c r="FY45" s="18" t="n"/>
      <c r="FZ45" s="18" t="n"/>
      <c r="GA45" s="18" t="n"/>
      <c r="GB45" s="18" t="n"/>
      <c r="GC45" s="18" t="n"/>
      <c r="GD45" s="18" t="n"/>
      <c r="GE45" s="18" t="n"/>
      <c r="GF45" s="18" t="n"/>
      <c r="GG45" s="18" t="n"/>
      <c r="GH45" s="18" t="n"/>
      <c r="GI45" s="18" t="n"/>
      <c r="GJ45" s="18" t="n"/>
      <c r="GK45" s="18" t="n"/>
      <c r="GL45" s="18" t="n"/>
      <c r="GM45" s="18" t="n"/>
      <c r="GN45" s="18" t="n"/>
      <c r="GO45" s="18" t="n"/>
      <c r="GP45" s="18" t="n"/>
      <c r="GQ45" s="18" t="n"/>
      <c r="GR45" s="18" t="n"/>
      <c r="GS45" s="18" t="n"/>
      <c r="GT45" s="18" t="n"/>
      <c r="GU45" s="18" t="n"/>
      <c r="GV45" s="18" t="n"/>
      <c r="GW45" s="18" t="n"/>
      <c r="GX45" s="18" t="n"/>
      <c r="GY45" s="18" t="n"/>
      <c r="GZ45" s="18" t="n"/>
      <c r="HA45" s="18" t="n"/>
      <c r="HB45" s="18" t="n"/>
      <c r="HC45" s="18" t="n"/>
      <c r="HD45" s="18" t="n"/>
      <c r="HE45" s="18" t="n"/>
      <c r="HF45" s="18" t="n"/>
      <c r="HG45" s="18" t="n"/>
      <c r="HH45" s="18" t="n"/>
      <c r="HI45" s="18" t="n"/>
      <c r="HJ45" s="18" t="n"/>
      <c r="HK45" s="18" t="n"/>
      <c r="HL45" s="18" t="n"/>
      <c r="HM45" s="18" t="n"/>
      <c r="HN45" s="18" t="n"/>
      <c r="HO45" s="18" t="n"/>
      <c r="HP45" s="18" t="n"/>
      <c r="HQ45" s="18" t="n"/>
      <c r="HR45" s="18" t="n"/>
      <c r="HS45" s="18" t="n"/>
      <c r="HT45" s="18" t="n"/>
      <c r="HU45" s="18" t="n"/>
      <c r="HV45" s="18" t="n"/>
      <c r="HW45" s="18" t="n"/>
      <c r="HX45" s="18" t="n"/>
      <c r="HY45" s="18" t="n"/>
      <c r="HZ45" s="18" t="n"/>
      <c r="IA45" s="18" t="n"/>
      <c r="IB45" s="18" t="n"/>
      <c r="IC45" s="18" t="n"/>
      <c r="ID45" s="18" t="n"/>
      <c r="IE45" s="18" t="n"/>
      <c r="IF45" s="18" t="n"/>
      <c r="IG45" s="18" t="n"/>
      <c r="IH45" s="18" t="n"/>
      <c r="II45" s="18" t="n"/>
      <c r="IJ45" s="18" t="n"/>
      <c r="IK45" s="18" t="n"/>
      <c r="IL45" s="18" t="n"/>
      <c r="IM45" s="18" t="n"/>
      <c r="IN45" s="18" t="n"/>
      <c r="IO45" s="18" t="n"/>
      <c r="IP45" s="18" t="n"/>
      <c r="IQ45" s="18" t="n"/>
      <c r="IR45" s="18" t="n"/>
      <c r="IS45" s="18" t="n"/>
      <c r="IT45" s="18" t="n"/>
      <c r="IU45" s="18" t="n"/>
      <c r="IV45" s="18" t="n"/>
      <c r="IW45" s="18" t="n"/>
      <c r="IX45" s="18" t="n"/>
      <c r="IY45" s="18" t="n"/>
      <c r="IZ45" s="18" t="n"/>
      <c r="JA45" s="18" t="n"/>
      <c r="JB45" s="18" t="n"/>
      <c r="JC45" s="18" t="n"/>
      <c r="JD45" s="18" t="n"/>
      <c r="JE45" s="18" t="n"/>
      <c r="JF45" s="18" t="n"/>
      <c r="JG45" s="18" t="n"/>
      <c r="JH45" s="18" t="n"/>
      <c r="JI45" s="18" t="n"/>
      <c r="JJ45" s="18" t="n"/>
      <c r="JK45" s="18" t="n"/>
      <c r="JL45" s="18" t="n"/>
      <c r="JM45" s="18" t="n"/>
      <c r="JN45" s="18" t="n"/>
      <c r="JO45" s="18" t="n"/>
      <c r="JP45" s="18" t="n"/>
      <c r="JQ45" s="18" t="n"/>
      <c r="JR45" s="18" t="n"/>
      <c r="JS45" s="18" t="n"/>
      <c r="JT45" s="18" t="n"/>
      <c r="JU45" s="18" t="n"/>
      <c r="JV45" s="18" t="n"/>
      <c r="JW45" s="18" t="n"/>
      <c r="JX45" s="18" t="n"/>
      <c r="JY45" s="18" t="n"/>
      <c r="JZ45" s="18" t="n"/>
      <c r="KA45" s="18" t="n"/>
      <c r="KB45" s="18" t="n"/>
      <c r="KC45" s="18" t="n"/>
      <c r="KD45" s="18" t="n"/>
      <c r="KE45" s="18" t="n"/>
      <c r="KF45" s="18" t="n"/>
      <c r="KG45" s="18" t="n"/>
      <c r="KH45" s="18" t="n"/>
      <c r="K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8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8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8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18" t="n"/>
      <c r="GI46" s="18" t="n"/>
      <c r="GJ46" s="18" t="n"/>
      <c r="GK46" s="18" t="n"/>
      <c r="GL46" s="18" t="n"/>
      <c r="GM46" s="18" t="n"/>
      <c r="GN46" s="18" t="n"/>
      <c r="GO46" s="18" t="n"/>
      <c r="GP46" s="18" t="n"/>
      <c r="GQ46" s="18" t="n"/>
      <c r="GR46" s="18" t="n"/>
      <c r="GS46" s="18" t="n"/>
      <c r="GT46" s="18" t="n"/>
      <c r="GU46" s="18" t="n"/>
      <c r="GV46" s="18" t="n"/>
      <c r="GW46" s="18" t="n"/>
      <c r="GX46" s="18" t="n"/>
      <c r="GY46" s="18" t="n"/>
      <c r="GZ46" s="18" t="n"/>
      <c r="HA46" s="18" t="n"/>
      <c r="HB46" s="18" t="n"/>
      <c r="HC46" s="18" t="n"/>
      <c r="HD46" s="18" t="n"/>
      <c r="HE46" s="18" t="n"/>
      <c r="HF46" s="18" t="n"/>
      <c r="HG46" s="18" t="n"/>
      <c r="HH46" s="18" t="n"/>
      <c r="HI46" s="18" t="n"/>
      <c r="HJ46" s="18" t="n"/>
      <c r="HK46" s="18" t="n"/>
      <c r="HL46" s="18" t="n"/>
      <c r="HM46" s="18" t="n"/>
      <c r="HN46" s="18" t="n"/>
      <c r="HO46" s="18" t="n"/>
      <c r="HP46" s="18" t="n"/>
      <c r="HQ46" s="18" t="n"/>
      <c r="HR46" s="18" t="n"/>
      <c r="HS46" s="18" t="n"/>
      <c r="HT46" s="18" t="n"/>
      <c r="HU46" s="18" t="n"/>
      <c r="HV46" s="18" t="n"/>
      <c r="HW46" s="18" t="n"/>
      <c r="HX46" s="18" t="n"/>
      <c r="HY46" s="18" t="n"/>
      <c r="HZ46" s="18" t="n"/>
      <c r="IA46" s="18" t="n"/>
      <c r="IB46" s="18" t="n"/>
      <c r="IC46" s="18" t="n"/>
      <c r="ID46" s="18" t="n"/>
      <c r="IE46" s="18" t="n"/>
      <c r="IF46" s="18" t="n"/>
      <c r="IG46" s="18" t="n"/>
      <c r="IH46" s="18" t="n"/>
      <c r="II46" s="18" t="n"/>
      <c r="IJ46" s="18" t="n"/>
      <c r="IK46" s="18" t="n"/>
      <c r="IL46" s="18" t="n"/>
      <c r="IM46" s="18" t="n"/>
      <c r="IN46" s="18" t="n"/>
      <c r="IO46" s="18" t="n"/>
      <c r="IP46" s="18" t="n"/>
      <c r="IQ46" s="18" t="n"/>
      <c r="IR46" s="18" t="n"/>
      <c r="IS46" s="18" t="n"/>
      <c r="IT46" s="18" t="n"/>
      <c r="IU46" s="18" t="n"/>
      <c r="IV46" s="18" t="n"/>
      <c r="IW46" s="18" t="n"/>
      <c r="IX46" s="18" t="n"/>
      <c r="IY46" s="18" t="n"/>
      <c r="IZ46" s="18" t="n"/>
      <c r="JA46" s="18" t="n"/>
      <c r="JB46" s="18" t="n"/>
      <c r="JC46" s="18" t="n"/>
      <c r="JD46" s="18" t="n"/>
      <c r="JE46" s="18" t="n"/>
      <c r="JF46" s="18" t="n"/>
      <c r="JG46" s="18" t="n"/>
      <c r="JH46" s="18" t="n"/>
      <c r="JI46" s="18" t="n"/>
      <c r="JJ46" s="18" t="n"/>
      <c r="JK46" s="18" t="n"/>
      <c r="JL46" s="18" t="n"/>
      <c r="JM46" s="18" t="n"/>
      <c r="JN46" s="18" t="n"/>
      <c r="JO46" s="18" t="n"/>
      <c r="JP46" s="18" t="n"/>
      <c r="JQ46" s="18" t="n"/>
      <c r="JR46" s="18" t="n"/>
      <c r="JS46" s="18" t="n"/>
      <c r="JT46" s="18" t="n"/>
      <c r="JU46" s="18" t="n"/>
      <c r="JV46" s="18" t="n"/>
      <c r="JW46" s="18" t="n"/>
      <c r="JX46" s="18" t="n"/>
      <c r="JY46" s="18" t="n"/>
      <c r="JZ46" s="18" t="n"/>
      <c r="KA46" s="18" t="n"/>
      <c r="KB46" s="18" t="n"/>
      <c r="KC46" s="18" t="n"/>
      <c r="KD46" s="18" t="n"/>
      <c r="KE46" s="18" t="n"/>
      <c r="KF46" s="18" t="n"/>
      <c r="KG46" s="18" t="n"/>
      <c r="KH46" s="18" t="n"/>
      <c r="KI46" s="18" t="n"/>
      <c r="KJ46" s="18" t="n"/>
      <c r="KK46" s="18" t="n"/>
      <c r="KL46" s="18" t="n"/>
      <c r="KM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  <c r="DY47" s="18" t="n"/>
      <c r="DZ47" s="18" t="n"/>
      <c r="EA47" s="18" t="n"/>
      <c r="EB47" s="18" t="n"/>
      <c r="EC47" s="18" t="n"/>
      <c r="ED47" s="18" t="n"/>
      <c r="EE47" s="18" t="n"/>
      <c r="EF47" s="18" t="n"/>
      <c r="EG47" s="18" t="n"/>
      <c r="EH47" s="18" t="n"/>
      <c r="EI47" s="18" t="n"/>
      <c r="EJ47" s="18" t="n"/>
      <c r="EK47" s="18" t="n"/>
      <c r="EL47" s="18" t="n"/>
      <c r="EM47" s="18" t="n"/>
      <c r="EN47" s="18" t="n"/>
      <c r="EO47" s="18" t="n"/>
      <c r="EP47" s="18" t="n"/>
      <c r="EQ47" s="18" t="n"/>
      <c r="ER47" s="18" t="n"/>
      <c r="ES47" s="18" t="n"/>
      <c r="ET47" s="18" t="n"/>
      <c r="EU47" s="18" t="n"/>
      <c r="EV47" s="18" t="n"/>
      <c r="EW47" s="18" t="n"/>
      <c r="EX47" s="18" t="n"/>
      <c r="EY47" s="18" t="n"/>
      <c r="EZ47" s="18" t="n"/>
      <c r="FA47" s="18" t="n"/>
      <c r="FB47" s="18" t="n"/>
      <c r="FC47" s="18" t="n"/>
      <c r="FD47" s="18" t="n"/>
      <c r="FE47" s="18" t="n"/>
      <c r="FF47" s="18" t="n"/>
      <c r="FG47" s="18" t="n"/>
      <c r="FH47" s="18" t="n"/>
      <c r="FI47" s="18" t="n"/>
      <c r="FJ47" s="18" t="n"/>
      <c r="FK47" s="18" t="n"/>
      <c r="FL47" s="18" t="n"/>
      <c r="FM47" s="18" t="n"/>
      <c r="FN47" s="18" t="n"/>
      <c r="FO47" s="18" t="n"/>
      <c r="FP47" s="18" t="n"/>
      <c r="FQ47" s="18" t="n"/>
      <c r="FR47" s="18" t="n"/>
      <c r="FS47" s="18" t="n"/>
      <c r="FT47" s="18" t="n"/>
      <c r="FU47" s="18" t="n"/>
      <c r="FV47" s="18" t="n"/>
      <c r="FW47" s="18" t="n"/>
      <c r="FX47" s="18" t="n"/>
      <c r="FY47" s="18" t="n"/>
      <c r="FZ47" s="18" t="n"/>
      <c r="GA47" s="18" t="n"/>
      <c r="GB47" s="18" t="n"/>
      <c r="GC47" s="18" t="n"/>
      <c r="GD47" s="18" t="n"/>
      <c r="GE47" s="18" t="n"/>
      <c r="GF47" s="18" t="n"/>
      <c r="GG47" s="18" t="n"/>
      <c r="GH47" s="18" t="n"/>
      <c r="GI47" s="18" t="n"/>
      <c r="GJ47" s="18" t="n"/>
      <c r="GK47" s="18" t="n"/>
      <c r="GL47" s="18" t="n"/>
      <c r="GM47" s="18" t="n"/>
      <c r="GN47" s="18" t="n"/>
      <c r="GO47" s="18" t="n"/>
      <c r="GP47" s="18" t="n"/>
      <c r="GQ47" s="18" t="n"/>
      <c r="GR47" s="18" t="n"/>
      <c r="GS47" s="18" t="n"/>
      <c r="GT47" s="18" t="n"/>
      <c r="GU47" s="18" t="n"/>
      <c r="GV47" s="18" t="n"/>
      <c r="GW47" s="18" t="n"/>
      <c r="GX47" s="18" t="n"/>
      <c r="GY47" s="18" t="n"/>
      <c r="GZ47" s="18" t="n"/>
      <c r="HA47" s="18" t="n"/>
      <c r="HB47" s="18" t="n"/>
      <c r="HC47" s="18" t="n"/>
      <c r="HD47" s="18" t="n"/>
      <c r="HE47" s="18" t="n"/>
      <c r="HF47" s="18" t="n"/>
      <c r="HG47" s="18" t="n"/>
      <c r="HH47" s="18" t="n"/>
      <c r="HI47" s="18" t="n"/>
      <c r="HJ47" s="18" t="n"/>
      <c r="HK47" s="18" t="n"/>
      <c r="HL47" s="18" t="n"/>
      <c r="HM47" s="18" t="n"/>
      <c r="HN47" s="18" t="n"/>
      <c r="HO47" s="18" t="n"/>
      <c r="HP47" s="18" t="n"/>
      <c r="HQ47" s="18" t="n"/>
      <c r="HR47" s="18" t="n"/>
      <c r="HS47" s="18" t="n"/>
      <c r="HT47" s="18" t="n"/>
      <c r="HU47" s="18" t="n"/>
      <c r="HV47" s="18" t="n"/>
      <c r="HW47" s="18" t="n"/>
      <c r="HX47" s="18" t="n"/>
      <c r="HY47" s="18" t="n"/>
      <c r="HZ47" s="18" t="n"/>
      <c r="IA47" s="18" t="n"/>
      <c r="IB47" s="18" t="n"/>
      <c r="IC47" s="18" t="n"/>
      <c r="ID47" s="18" t="n"/>
      <c r="IE47" s="18" t="n"/>
      <c r="IF47" s="18" t="n"/>
      <c r="IG47" s="18" t="n"/>
      <c r="IH47" s="18" t="n"/>
      <c r="II47" s="18" t="n"/>
      <c r="IJ47" s="18" t="n"/>
      <c r="IK47" s="18" t="n"/>
      <c r="IL47" s="18" t="n"/>
      <c r="IM47" s="18" t="n"/>
      <c r="IN47" s="18" t="n"/>
      <c r="IO47" s="18" t="n"/>
      <c r="IP47" s="18" t="n"/>
      <c r="IQ47" s="18" t="n"/>
      <c r="IR47" s="18" t="n"/>
      <c r="IS47" s="18" t="n"/>
      <c r="IT47" s="18" t="n"/>
      <c r="IU47" s="18" t="n"/>
      <c r="IV47" s="18" t="n"/>
      <c r="IW47" s="18" t="n"/>
      <c r="IX47" s="18" t="n"/>
      <c r="IY47" s="18" t="n"/>
      <c r="IZ47" s="18" t="n"/>
      <c r="JA47" s="18" t="n"/>
      <c r="JB47" s="18" t="n"/>
      <c r="JC47" s="18" t="n"/>
      <c r="JD47" s="18" t="n"/>
      <c r="JE47" s="18" t="n"/>
      <c r="JF47" s="18" t="n"/>
      <c r="JG47" s="18" t="n"/>
      <c r="JH47" s="18" t="n"/>
      <c r="JI47" s="18" t="n"/>
      <c r="JJ47" s="18" t="n"/>
      <c r="JK47" s="18" t="n"/>
      <c r="JL47" s="18" t="n"/>
      <c r="JM47" s="18" t="n"/>
      <c r="JN47" s="18" t="n"/>
      <c r="JO47" s="18" t="n"/>
      <c r="JP47" s="18" t="n"/>
      <c r="JQ47" s="18" t="n"/>
      <c r="JR47" s="18" t="n"/>
      <c r="JS47" s="18" t="n"/>
      <c r="JT47" s="18" t="n"/>
      <c r="JU47" s="18" t="n"/>
      <c r="JV47" s="18" t="n"/>
      <c r="JW47" s="18" t="n"/>
      <c r="JX47" s="18" t="n"/>
      <c r="JY47" s="18" t="n"/>
      <c r="JZ47" s="18" t="n"/>
      <c r="KA47" s="18" t="n"/>
      <c r="KB47" s="18" t="n"/>
      <c r="KC47" s="18" t="n"/>
      <c r="KD47" s="18" t="n"/>
      <c r="KE47" s="18" t="n"/>
      <c r="KF47" s="18" t="n"/>
      <c r="KG47" s="18" t="n"/>
      <c r="KH47" s="18" t="n"/>
      <c r="KI47" s="18" t="n"/>
      <c r="KJ47" s="18" t="n"/>
      <c r="KK47" s="18" t="n"/>
      <c r="KL47" s="18" t="n"/>
      <c r="KM47" s="18" t="n"/>
      <c r="KN47" s="18" t="n"/>
      <c r="KO47" s="18" t="n"/>
      <c r="KP47" s="18" t="n"/>
      <c r="KQ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  <c r="DY48" s="18" t="n"/>
      <c r="DZ48" s="18" t="n"/>
      <c r="EA48" s="18" t="n"/>
      <c r="EB48" s="18" t="n"/>
      <c r="EC48" s="18" t="n"/>
      <c r="ED48" s="18" t="n"/>
      <c r="EE48" s="18" t="n"/>
      <c r="EF48" s="18" t="n"/>
      <c r="EG48" s="18" t="n"/>
      <c r="EH48" s="18" t="n"/>
      <c r="EI48" s="18" t="n"/>
      <c r="EJ48" s="18" t="n"/>
      <c r="EK48" s="18" t="n"/>
      <c r="EL48" s="18" t="n"/>
      <c r="EM48" s="18" t="n"/>
      <c r="EN48" s="18" t="n"/>
      <c r="EO48" s="18" t="n"/>
      <c r="EP48" s="18" t="n"/>
      <c r="EQ48" s="18" t="n"/>
      <c r="ER48" s="18" t="n"/>
      <c r="ES48" s="18" t="n"/>
      <c r="ET48" s="18" t="n"/>
      <c r="EU48" s="18" t="n"/>
      <c r="EV48" s="18" t="n"/>
      <c r="EW48" s="18" t="n"/>
      <c r="EX48" s="18" t="n"/>
      <c r="EY48" s="18" t="n"/>
      <c r="EZ48" s="18" t="n"/>
      <c r="FA48" s="18" t="n"/>
      <c r="FB48" s="18" t="n"/>
      <c r="FC48" s="18" t="n"/>
      <c r="FD48" s="18" t="n"/>
      <c r="FE48" s="18" t="n"/>
      <c r="FF48" s="18" t="n"/>
      <c r="FG48" s="18" t="n"/>
      <c r="FH48" s="18" t="n"/>
      <c r="FI48" s="18" t="n"/>
      <c r="FJ48" s="18" t="n"/>
      <c r="FK48" s="18" t="n"/>
      <c r="FL48" s="18" t="n"/>
      <c r="FM48" s="18" t="n"/>
      <c r="FN48" s="18" t="n"/>
      <c r="FO48" s="18" t="n"/>
      <c r="FP48" s="18" t="n"/>
      <c r="FQ48" s="18" t="n"/>
      <c r="FR48" s="18" t="n"/>
      <c r="FS48" s="18" t="n"/>
      <c r="FT48" s="18" t="n"/>
      <c r="FU48" s="18" t="n"/>
      <c r="FV48" s="18" t="n"/>
      <c r="FW48" s="18" t="n"/>
      <c r="FX48" s="18" t="n"/>
      <c r="FY48" s="18" t="n"/>
      <c r="FZ48" s="18" t="n"/>
      <c r="GA48" s="18" t="n"/>
      <c r="GB48" s="18" t="n"/>
      <c r="GC48" s="18" t="n"/>
      <c r="GD48" s="18" t="n"/>
      <c r="GE48" s="18" t="n"/>
      <c r="GF48" s="18" t="n"/>
      <c r="GG48" s="18" t="n"/>
      <c r="GH48" s="18" t="n"/>
      <c r="GI48" s="18" t="n"/>
      <c r="GJ48" s="18" t="n"/>
      <c r="GK48" s="18" t="n"/>
      <c r="GL48" s="18" t="n"/>
      <c r="GM48" s="18" t="n"/>
      <c r="GN48" s="18" t="n"/>
      <c r="GO48" s="18" t="n"/>
      <c r="GP48" s="18" t="n"/>
      <c r="GQ48" s="18" t="n"/>
      <c r="GR48" s="18" t="n"/>
      <c r="GS48" s="18" t="n"/>
      <c r="GT48" s="18" t="n"/>
      <c r="GU48" s="18" t="n"/>
      <c r="GV48" s="18" t="n"/>
      <c r="GW48" s="18" t="n"/>
      <c r="GX48" s="18" t="n"/>
      <c r="GY48" s="18" t="n"/>
      <c r="GZ48" s="18" t="n"/>
      <c r="HA48" s="18" t="n"/>
      <c r="HB48" s="18" t="n"/>
      <c r="HC48" s="18" t="n"/>
      <c r="HD48" s="18" t="n"/>
      <c r="HE48" s="18" t="n"/>
      <c r="HF48" s="18" t="n"/>
      <c r="HG48" s="18" t="n"/>
      <c r="HH48" s="18" t="n"/>
      <c r="HI48" s="18" t="n"/>
      <c r="HJ48" s="18" t="n"/>
      <c r="HK48" s="18" t="n"/>
      <c r="HL48" s="18" t="n"/>
      <c r="HM48" s="18" t="n"/>
      <c r="HN48" s="18" t="n"/>
      <c r="HO48" s="18" t="n"/>
      <c r="HP48" s="18" t="n"/>
      <c r="HQ48" s="18" t="n"/>
      <c r="HR48" s="18" t="n"/>
      <c r="HS48" s="18" t="n"/>
      <c r="HT48" s="18" t="n"/>
      <c r="HU48" s="18" t="n"/>
      <c r="HV48" s="18" t="n"/>
      <c r="HW48" s="18" t="n"/>
      <c r="HX48" s="18" t="n"/>
      <c r="HY48" s="18" t="n"/>
      <c r="HZ48" s="18" t="n"/>
      <c r="IA48" s="18" t="n"/>
      <c r="IB48" s="18" t="n"/>
      <c r="IC48" s="18" t="n"/>
      <c r="ID48" s="18" t="n"/>
      <c r="IE48" s="18" t="n"/>
      <c r="IF48" s="18" t="n"/>
      <c r="IG48" s="18" t="n"/>
      <c r="IH48" s="18" t="n"/>
      <c r="II48" s="18" t="n"/>
      <c r="IJ48" s="18" t="n"/>
      <c r="IK48" s="18" t="n"/>
      <c r="IL48" s="18" t="n"/>
      <c r="IM48" s="18" t="n"/>
      <c r="IN48" s="18" t="n"/>
      <c r="IO48" s="18" t="n"/>
      <c r="IP48" s="18" t="n"/>
      <c r="IQ48" s="18" t="n"/>
      <c r="IR48" s="18" t="n"/>
      <c r="IS48" s="18" t="n"/>
      <c r="IT48" s="18" t="n"/>
      <c r="IU48" s="18" t="n"/>
      <c r="IV48" s="18" t="n"/>
      <c r="IW48" s="18" t="n"/>
      <c r="IX48" s="18" t="n"/>
      <c r="IY48" s="18" t="n"/>
      <c r="IZ48" s="18" t="n"/>
      <c r="JA48" s="18" t="n"/>
      <c r="JB48" s="18" t="n"/>
      <c r="JC48" s="18" t="n"/>
      <c r="JD48" s="18" t="n"/>
      <c r="JE48" s="18" t="n"/>
      <c r="JF48" s="18" t="n"/>
      <c r="JG48" s="18" t="n"/>
      <c r="JH48" s="18" t="n"/>
      <c r="JI48" s="18" t="n"/>
      <c r="JJ48" s="18" t="n"/>
      <c r="JK48" s="18" t="n"/>
      <c r="JL48" s="18" t="n"/>
      <c r="JM48" s="18" t="n"/>
      <c r="JN48" s="18" t="n"/>
      <c r="JO48" s="18" t="n"/>
      <c r="JP48" s="18" t="n"/>
      <c r="JQ48" s="18" t="n"/>
      <c r="JR48" s="18" t="n"/>
      <c r="JS48" s="18" t="n"/>
      <c r="JT48" s="18" t="n"/>
      <c r="JU48" s="18" t="n"/>
      <c r="JV48" s="18" t="n"/>
      <c r="JW48" s="18" t="n"/>
      <c r="JX48" s="18" t="n"/>
      <c r="JY48" s="18" t="n"/>
      <c r="JZ48" s="18" t="n"/>
      <c r="KA48" s="18" t="n"/>
      <c r="KB48" s="18" t="n"/>
      <c r="KC48" s="18" t="n"/>
      <c r="KD48" s="18" t="n"/>
      <c r="KE48" s="18" t="n"/>
      <c r="KF48" s="18" t="n"/>
      <c r="KG48" s="18" t="n"/>
      <c r="KH48" s="18" t="n"/>
      <c r="KI48" s="18" t="n"/>
      <c r="KJ48" s="18" t="n"/>
      <c r="KK48" s="18" t="n"/>
      <c r="KL48" s="18" t="n"/>
      <c r="KM48" s="18" t="n"/>
      <c r="KN48" s="18" t="n"/>
      <c r="KO48" s="18" t="n"/>
      <c r="KP48" s="18" t="n"/>
      <c r="KQ48" s="18" t="n"/>
      <c r="KR48" s="18" t="n"/>
      <c r="KS48" s="18" t="n"/>
      <c r="KT48" s="18" t="n"/>
      <c r="KU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  <c r="DY49" s="18" t="n"/>
      <c r="DZ49" s="18" t="n"/>
      <c r="EA49" s="18" t="n"/>
      <c r="EB49" s="18" t="n"/>
      <c r="EC49" s="18" t="n"/>
      <c r="ED49" s="18" t="n"/>
      <c r="EE49" s="18" t="n"/>
      <c r="EF49" s="18" t="n"/>
      <c r="EG49" s="18" t="n"/>
      <c r="EH49" s="18" t="n"/>
      <c r="EI49" s="18" t="n"/>
      <c r="EJ49" s="18" t="n"/>
      <c r="EK49" s="18" t="n"/>
      <c r="EL49" s="18" t="n"/>
      <c r="EM49" s="18" t="n"/>
      <c r="EN49" s="18" t="n"/>
      <c r="EO49" s="18" t="n"/>
      <c r="EP49" s="18" t="n"/>
      <c r="EQ49" s="18" t="n"/>
      <c r="ER49" s="18" t="n"/>
      <c r="ES49" s="18" t="n"/>
      <c r="ET49" s="18" t="n"/>
      <c r="EU49" s="18" t="n"/>
      <c r="EV49" s="18" t="n"/>
      <c r="EW49" s="18" t="n"/>
      <c r="EX49" s="18" t="n"/>
      <c r="EY49" s="18" t="n"/>
      <c r="EZ49" s="18" t="n"/>
      <c r="FA49" s="18" t="n"/>
      <c r="FB49" s="18" t="n"/>
      <c r="FC49" s="18" t="n"/>
      <c r="FD49" s="18" t="n"/>
      <c r="FE49" s="18" t="n"/>
      <c r="FF49" s="18" t="n"/>
      <c r="FG49" s="18" t="n"/>
      <c r="FH49" s="18" t="n"/>
      <c r="FI49" s="18" t="n"/>
      <c r="FJ49" s="18" t="n"/>
      <c r="FK49" s="18" t="n"/>
      <c r="FL49" s="18" t="n"/>
      <c r="FM49" s="18" t="n"/>
      <c r="FN49" s="18" t="n"/>
      <c r="FO49" s="18" t="n"/>
      <c r="FP49" s="18" t="n"/>
      <c r="FQ49" s="18" t="n"/>
      <c r="FR49" s="18" t="n"/>
      <c r="FS49" s="18" t="n"/>
      <c r="FT49" s="18" t="n"/>
      <c r="FU49" s="18" t="n"/>
      <c r="FV49" s="18" t="n"/>
      <c r="FW49" s="18" t="n"/>
      <c r="FX49" s="18" t="n"/>
      <c r="FY49" s="18" t="n"/>
      <c r="FZ49" s="18" t="n"/>
      <c r="GA49" s="18" t="n"/>
      <c r="GB49" s="18" t="n"/>
      <c r="GC49" s="18" t="n"/>
      <c r="GD49" s="18" t="n"/>
      <c r="GE49" s="18" t="n"/>
      <c r="GF49" s="18" t="n"/>
      <c r="GG49" s="18" t="n"/>
      <c r="GH49" s="18" t="n"/>
      <c r="GI49" s="18" t="n"/>
      <c r="GJ49" s="18" t="n"/>
      <c r="GK49" s="18" t="n"/>
      <c r="GL49" s="18" t="n"/>
      <c r="GM49" s="18" t="n"/>
      <c r="GN49" s="18" t="n"/>
      <c r="GO49" s="18" t="n"/>
      <c r="GP49" s="18" t="n"/>
      <c r="GQ49" s="18" t="n"/>
      <c r="GR49" s="18" t="n"/>
      <c r="GS49" s="18" t="n"/>
      <c r="GT49" s="18" t="n"/>
      <c r="GU49" s="18" t="n"/>
      <c r="GV49" s="18" t="n"/>
      <c r="GW49" s="18" t="n"/>
      <c r="GX49" s="18" t="n"/>
      <c r="GY49" s="18" t="n"/>
      <c r="GZ49" s="18" t="n"/>
      <c r="HA49" s="18" t="n"/>
      <c r="HB49" s="18" t="n"/>
      <c r="HC49" s="18" t="n"/>
      <c r="HD49" s="18" t="n"/>
      <c r="HE49" s="18" t="n"/>
      <c r="HF49" s="18" t="n"/>
      <c r="HG49" s="18" t="n"/>
      <c r="HH49" s="18" t="n"/>
      <c r="HI49" s="18" t="n"/>
      <c r="HJ49" s="18" t="n"/>
      <c r="HK49" s="18" t="n"/>
      <c r="HL49" s="18" t="n"/>
      <c r="HM49" s="18" t="n"/>
      <c r="HN49" s="18" t="n"/>
      <c r="HO49" s="18" t="n"/>
      <c r="HP49" s="18" t="n"/>
      <c r="HQ49" s="18" t="n"/>
      <c r="HR49" s="18" t="n"/>
      <c r="HS49" s="18" t="n"/>
      <c r="HT49" s="18" t="n"/>
      <c r="HU49" s="18" t="n"/>
      <c r="HV49" s="18" t="n"/>
      <c r="HW49" s="18" t="n"/>
      <c r="HX49" s="18" t="n"/>
      <c r="HY49" s="18" t="n"/>
      <c r="HZ49" s="18" t="n"/>
      <c r="IA49" s="18" t="n"/>
      <c r="IB49" s="18" t="n"/>
      <c r="IC49" s="18" t="n"/>
      <c r="ID49" s="18" t="n"/>
      <c r="IE49" s="18" t="n"/>
      <c r="IF49" s="18" t="n"/>
      <c r="IG49" s="18" t="n"/>
      <c r="IH49" s="18" t="n"/>
      <c r="II49" s="18" t="n"/>
      <c r="IJ49" s="18" t="n"/>
      <c r="IK49" s="18" t="n"/>
      <c r="IL49" s="18" t="n"/>
      <c r="IM49" s="18" t="n"/>
      <c r="IN49" s="18" t="n"/>
      <c r="IO49" s="18" t="n"/>
      <c r="IP49" s="18" t="n"/>
      <c r="IQ49" s="18" t="n"/>
      <c r="IR49" s="18" t="n"/>
      <c r="IS49" s="18" t="n"/>
      <c r="IT49" s="18" t="n"/>
      <c r="IU49" s="18" t="n"/>
      <c r="IV49" s="18" t="n"/>
      <c r="IW49" s="18" t="n"/>
      <c r="IX49" s="18" t="n"/>
      <c r="IY49" s="18" t="n"/>
      <c r="IZ49" s="18" t="n"/>
      <c r="JA49" s="18" t="n"/>
      <c r="JB49" s="18" t="n"/>
      <c r="JC49" s="18" t="n"/>
      <c r="JD49" s="18" t="n"/>
      <c r="JE49" s="18" t="n"/>
      <c r="JF49" s="18" t="n"/>
      <c r="JG49" s="18" t="n"/>
      <c r="JH49" s="18" t="n"/>
      <c r="JI49" s="18" t="n"/>
      <c r="JJ49" s="18" t="n"/>
      <c r="JK49" s="18" t="n"/>
      <c r="JL49" s="18" t="n"/>
      <c r="JM49" s="18" t="n"/>
      <c r="JN49" s="18" t="n"/>
      <c r="JO49" s="18" t="n"/>
      <c r="JP49" s="18" t="n"/>
      <c r="JQ49" s="18" t="n"/>
      <c r="JR49" s="18" t="n"/>
      <c r="JS49" s="18" t="n"/>
      <c r="JT49" s="18" t="n"/>
      <c r="JU49" s="18" t="n"/>
      <c r="JV49" s="18" t="n"/>
      <c r="JW49" s="18" t="n"/>
      <c r="JX49" s="18" t="n"/>
      <c r="JY49" s="18" t="n"/>
      <c r="JZ49" s="18" t="n"/>
      <c r="KA49" s="18" t="n"/>
      <c r="KB49" s="18" t="n"/>
      <c r="KC49" s="18" t="n"/>
      <c r="KD49" s="18" t="n"/>
      <c r="KE49" s="18" t="n"/>
      <c r="KF49" s="18" t="n"/>
      <c r="KG49" s="18" t="n"/>
      <c r="KH49" s="18" t="n"/>
      <c r="KI49" s="18" t="n"/>
      <c r="KJ49" s="18" t="n"/>
      <c r="KK49" s="18" t="n"/>
      <c r="KL49" s="18" t="n"/>
      <c r="KM49" s="18" t="n"/>
      <c r="KN49" s="18" t="n"/>
      <c r="KO49" s="18" t="n"/>
      <c r="KP49" s="18" t="n"/>
      <c r="KQ49" s="18" t="n"/>
      <c r="KR49" s="18" t="n"/>
      <c r="KS49" s="18" t="n"/>
      <c r="KT49" s="18" t="n"/>
      <c r="KU49" s="18" t="n"/>
      <c r="KV49" s="18" t="n"/>
      <c r="KW49" s="18" t="n"/>
      <c r="KX49" s="18" t="n"/>
      <c r="KY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  <c r="DY50" s="18" t="n"/>
      <c r="DZ50" s="18" t="n"/>
      <c r="EA50" s="18" t="n"/>
      <c r="EB50" s="18" t="n"/>
      <c r="EC50" s="18" t="n"/>
      <c r="ED50" s="18" t="n"/>
      <c r="EE50" s="18" t="n"/>
      <c r="EF50" s="18" t="n"/>
      <c r="EG50" s="18" t="n"/>
      <c r="EH50" s="18" t="n"/>
      <c r="EI50" s="18" t="n"/>
      <c r="EJ50" s="18" t="n"/>
      <c r="EK50" s="18" t="n"/>
      <c r="EL50" s="18" t="n"/>
      <c r="EM50" s="18" t="n"/>
      <c r="EN50" s="18" t="n"/>
      <c r="EO50" s="18" t="n"/>
      <c r="EP50" s="18" t="n"/>
      <c r="EQ50" s="18" t="n"/>
      <c r="ER50" s="18" t="n"/>
      <c r="ES50" s="18" t="n"/>
      <c r="ET50" s="18" t="n"/>
      <c r="EU50" s="18" t="n"/>
      <c r="EV50" s="18" t="n"/>
      <c r="EW50" s="18" t="n"/>
      <c r="EX50" s="18" t="n"/>
      <c r="EY50" s="18" t="n"/>
      <c r="EZ50" s="18" t="n"/>
      <c r="FA50" s="18" t="n"/>
      <c r="FB50" s="18" t="n"/>
      <c r="FC50" s="18" t="n"/>
      <c r="FD50" s="18" t="n"/>
      <c r="FE50" s="18" t="n"/>
      <c r="FF50" s="18" t="n"/>
      <c r="FG50" s="18" t="n"/>
      <c r="FH50" s="18" t="n"/>
      <c r="FI50" s="18" t="n"/>
      <c r="FJ50" s="18" t="n"/>
      <c r="FK50" s="18" t="n"/>
      <c r="FL50" s="18" t="n"/>
      <c r="FM50" s="18" t="n"/>
      <c r="FN50" s="18" t="n"/>
      <c r="FO50" s="18" t="n"/>
      <c r="FP50" s="18" t="n"/>
      <c r="FQ50" s="18" t="n"/>
      <c r="FR50" s="18" t="n"/>
      <c r="FS50" s="18" t="n"/>
      <c r="FT50" s="18" t="n"/>
      <c r="FU50" s="18" t="n"/>
      <c r="FV50" s="18" t="n"/>
      <c r="FW50" s="18" t="n"/>
      <c r="FX50" s="18" t="n"/>
      <c r="FY50" s="18" t="n"/>
      <c r="FZ50" s="18" t="n"/>
      <c r="GA50" s="18" t="n"/>
      <c r="GB50" s="18" t="n"/>
      <c r="GC50" s="18" t="n"/>
      <c r="GD50" s="18" t="n"/>
      <c r="GE50" s="18" t="n"/>
      <c r="GF50" s="18" t="n"/>
      <c r="GG50" s="18" t="n"/>
      <c r="GH50" s="18" t="n"/>
      <c r="GI50" s="18" t="n"/>
      <c r="GJ50" s="18" t="n"/>
      <c r="GK50" s="18" t="n"/>
      <c r="GL50" s="18" t="n"/>
      <c r="GM50" s="18" t="n"/>
      <c r="GN50" s="18" t="n"/>
      <c r="GO50" s="18" t="n"/>
      <c r="GP50" s="18" t="n"/>
      <c r="GQ50" s="18" t="n"/>
      <c r="GR50" s="18" t="n"/>
      <c r="GS50" s="18" t="n"/>
      <c r="GT50" s="18" t="n"/>
      <c r="GU50" s="18" t="n"/>
      <c r="GV50" s="18" t="n"/>
      <c r="GW50" s="18" t="n"/>
      <c r="GX50" s="18" t="n"/>
      <c r="GY50" s="18" t="n"/>
      <c r="GZ50" s="18" t="n"/>
      <c r="HA50" s="18" t="n"/>
      <c r="HB50" s="18" t="n"/>
      <c r="HC50" s="18" t="n"/>
      <c r="HD50" s="18" t="n"/>
      <c r="HE50" s="18" t="n"/>
      <c r="HF50" s="18" t="n"/>
      <c r="HG50" s="18" t="n"/>
      <c r="HH50" s="18" t="n"/>
      <c r="HI50" s="18" t="n"/>
      <c r="HJ50" s="18" t="n"/>
      <c r="HK50" s="18" t="n"/>
      <c r="HL50" s="18" t="n"/>
      <c r="HM50" s="18" t="n"/>
      <c r="HN50" s="18" t="n"/>
      <c r="HO50" s="18" t="n"/>
      <c r="HP50" s="18" t="n"/>
      <c r="HQ50" s="18" t="n"/>
      <c r="HR50" s="18" t="n"/>
      <c r="HS50" s="18" t="n"/>
      <c r="HT50" s="18" t="n"/>
      <c r="HU50" s="18" t="n"/>
      <c r="HV50" s="18" t="n"/>
      <c r="HW50" s="18" t="n"/>
      <c r="HX50" s="18" t="n"/>
      <c r="HY50" s="18" t="n"/>
      <c r="HZ50" s="18" t="n"/>
      <c r="IA50" s="18" t="n"/>
      <c r="IB50" s="18" t="n"/>
      <c r="IC50" s="18" t="n"/>
      <c r="ID50" s="18" t="n"/>
      <c r="IE50" s="18" t="n"/>
      <c r="IF50" s="18" t="n"/>
      <c r="IG50" s="18" t="n"/>
      <c r="IH50" s="18" t="n"/>
      <c r="II50" s="18" t="n"/>
      <c r="IJ50" s="18" t="n"/>
      <c r="IK50" s="18" t="n"/>
      <c r="IL50" s="18" t="n"/>
      <c r="IM50" s="18" t="n"/>
      <c r="IN50" s="18" t="n"/>
      <c r="IO50" s="18" t="n"/>
      <c r="IP50" s="18" t="n"/>
      <c r="IQ50" s="18" t="n"/>
      <c r="IR50" s="18" t="n"/>
      <c r="IS50" s="18" t="n"/>
      <c r="IT50" s="18" t="n"/>
      <c r="IU50" s="18" t="n"/>
      <c r="IV50" s="18" t="n"/>
      <c r="IW50" s="18" t="n"/>
      <c r="IX50" s="18" t="n"/>
      <c r="IY50" s="18" t="n"/>
      <c r="IZ50" s="18" t="n"/>
      <c r="JA50" s="18" t="n"/>
      <c r="JB50" s="18" t="n"/>
      <c r="JC50" s="18" t="n"/>
      <c r="JD50" s="18" t="n"/>
      <c r="JE50" s="18" t="n"/>
      <c r="JF50" s="18" t="n"/>
      <c r="JG50" s="18" t="n"/>
      <c r="JH50" s="18" t="n"/>
      <c r="JI50" s="18" t="n"/>
      <c r="JJ50" s="18" t="n"/>
      <c r="JK50" s="18" t="n"/>
      <c r="JL50" s="18" t="n"/>
      <c r="JM50" s="18" t="n"/>
      <c r="JN50" s="18" t="n"/>
      <c r="JO50" s="18" t="n"/>
      <c r="JP50" s="18" t="n"/>
      <c r="JQ50" s="18" t="n"/>
      <c r="JR50" s="18" t="n"/>
      <c r="JS50" s="18" t="n"/>
      <c r="JT50" s="18" t="n"/>
      <c r="JU50" s="18" t="n"/>
      <c r="JV50" s="18" t="n"/>
      <c r="JW50" s="18" t="n"/>
      <c r="JX50" s="18" t="n"/>
      <c r="JY50" s="18" t="n"/>
      <c r="JZ50" s="18" t="n"/>
      <c r="KA50" s="18" t="n"/>
      <c r="KB50" s="18" t="n"/>
      <c r="KC50" s="18" t="n"/>
      <c r="KD50" s="18" t="n"/>
      <c r="KE50" s="18" t="n"/>
      <c r="KF50" s="18" t="n"/>
      <c r="KG50" s="18" t="n"/>
      <c r="KH50" s="18" t="n"/>
      <c r="KI50" s="18" t="n"/>
      <c r="KJ50" s="18" t="n"/>
      <c r="KK50" s="18" t="n"/>
      <c r="KL50" s="18" t="n"/>
      <c r="KM50" s="18" t="n"/>
      <c r="KN50" s="18" t="n"/>
      <c r="KO50" s="18" t="n"/>
      <c r="KP50" s="18" t="n"/>
      <c r="KQ50" s="18" t="n"/>
      <c r="KR50" s="18" t="n"/>
      <c r="KS50" s="18" t="n"/>
      <c r="KT50" s="18" t="n"/>
      <c r="KU50" s="18" t="n"/>
      <c r="KV50" s="18" t="n"/>
      <c r="KW50" s="18" t="n"/>
      <c r="KX50" s="18" t="n"/>
      <c r="KY50" s="18" t="n"/>
      <c r="KZ50" s="18" t="n"/>
      <c r="LA50" s="18" t="n"/>
      <c r="LB50" s="18" t="n"/>
      <c r="LC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  <c r="DY51" s="18" t="n"/>
      <c r="DZ51" s="18" t="n"/>
      <c r="EA51" s="18" t="n"/>
      <c r="EB51" s="18" t="n"/>
      <c r="EC51" s="18" t="n"/>
      <c r="ED51" s="18" t="n"/>
      <c r="EE51" s="18" t="n"/>
      <c r="EF51" s="18" t="n"/>
      <c r="EG51" s="18" t="n"/>
      <c r="EH51" s="18" t="n"/>
      <c r="EI51" s="18" t="n"/>
      <c r="EJ51" s="18" t="n"/>
      <c r="EK51" s="18" t="n"/>
      <c r="EL51" s="18" t="n"/>
      <c r="EM51" s="18" t="n"/>
      <c r="EN51" s="18" t="n"/>
      <c r="EO51" s="18" t="n"/>
      <c r="EP51" s="18" t="n"/>
      <c r="EQ51" s="18" t="n"/>
      <c r="ER51" s="18" t="n"/>
      <c r="ES51" s="18" t="n"/>
      <c r="ET51" s="18" t="n"/>
      <c r="EU51" s="18" t="n"/>
      <c r="EV51" s="18" t="n"/>
      <c r="EW51" s="18" t="n"/>
      <c r="EX51" s="18" t="n"/>
      <c r="EY51" s="18" t="n"/>
      <c r="EZ51" s="18" t="n"/>
      <c r="FA51" s="18" t="n"/>
      <c r="FB51" s="18" t="n"/>
      <c r="FC51" s="18" t="n"/>
      <c r="FD51" s="18" t="n"/>
      <c r="FE51" s="18" t="n"/>
      <c r="FF51" s="18" t="n"/>
      <c r="FG51" s="18" t="n"/>
      <c r="FH51" s="18" t="n"/>
      <c r="FI51" s="18" t="n"/>
      <c r="FJ51" s="18" t="n"/>
      <c r="FK51" s="18" t="n"/>
      <c r="FL51" s="18" t="n"/>
      <c r="FM51" s="18" t="n"/>
      <c r="FN51" s="18" t="n"/>
      <c r="FO51" s="18" t="n"/>
      <c r="FP51" s="18" t="n"/>
      <c r="FQ51" s="18" t="n"/>
      <c r="FR51" s="18" t="n"/>
      <c r="FS51" s="18" t="n"/>
      <c r="FT51" s="18" t="n"/>
      <c r="FU51" s="18" t="n"/>
      <c r="FV51" s="18" t="n"/>
      <c r="FW51" s="18" t="n"/>
      <c r="FX51" s="18" t="n"/>
      <c r="FY51" s="18" t="n"/>
      <c r="FZ51" s="18" t="n"/>
      <c r="GA51" s="18" t="n"/>
      <c r="GB51" s="18" t="n"/>
      <c r="GC51" s="18" t="n"/>
      <c r="GD51" s="18" t="n"/>
      <c r="GE51" s="18" t="n"/>
      <c r="GF51" s="18" t="n"/>
      <c r="GG51" s="18" t="n"/>
      <c r="GH51" s="18" t="n"/>
      <c r="GI51" s="18" t="n"/>
      <c r="GJ51" s="18" t="n"/>
      <c r="GK51" s="18" t="n"/>
      <c r="GL51" s="18" t="n"/>
      <c r="GM51" s="18" t="n"/>
      <c r="GN51" s="18" t="n"/>
      <c r="GO51" s="18" t="n"/>
      <c r="GP51" s="18" t="n"/>
      <c r="GQ51" s="18" t="n"/>
      <c r="GR51" s="18" t="n"/>
      <c r="GS51" s="18" t="n"/>
      <c r="GT51" s="18" t="n"/>
      <c r="GU51" s="18" t="n"/>
      <c r="GV51" s="18" t="n"/>
      <c r="GW51" s="18" t="n"/>
      <c r="GX51" s="18" t="n"/>
      <c r="GY51" s="18" t="n"/>
      <c r="GZ51" s="18" t="n"/>
      <c r="HA51" s="18" t="n"/>
      <c r="HB51" s="18" t="n"/>
      <c r="HC51" s="18" t="n"/>
      <c r="HD51" s="18" t="n"/>
      <c r="HE51" s="18" t="n"/>
      <c r="HF51" s="18" t="n"/>
      <c r="HG51" s="18" t="n"/>
      <c r="HH51" s="18" t="n"/>
      <c r="HI51" s="18" t="n"/>
      <c r="HJ51" s="18" t="n"/>
      <c r="HK51" s="18" t="n"/>
      <c r="HL51" s="18" t="n"/>
      <c r="HM51" s="18" t="n"/>
      <c r="HN51" s="18" t="n"/>
      <c r="HO51" s="18" t="n"/>
      <c r="HP51" s="18" t="n"/>
      <c r="HQ51" s="18" t="n"/>
      <c r="HR51" s="18" t="n"/>
      <c r="HS51" s="18" t="n"/>
      <c r="HT51" s="18" t="n"/>
      <c r="HU51" s="18" t="n"/>
      <c r="HV51" s="18" t="n"/>
      <c r="HW51" s="18" t="n"/>
      <c r="HX51" s="18" t="n"/>
      <c r="HY51" s="18" t="n"/>
      <c r="HZ51" s="18" t="n"/>
      <c r="IA51" s="18" t="n"/>
      <c r="IB51" s="18" t="n"/>
      <c r="IC51" s="18" t="n"/>
      <c r="ID51" s="18" t="n"/>
      <c r="IE51" s="18" t="n"/>
      <c r="IF51" s="18" t="n"/>
      <c r="IG51" s="18" t="n"/>
      <c r="IH51" s="18" t="n"/>
      <c r="II51" s="18" t="n"/>
      <c r="IJ51" s="18" t="n"/>
      <c r="IK51" s="18" t="n"/>
      <c r="IL51" s="18" t="n"/>
      <c r="IM51" s="18" t="n"/>
      <c r="IN51" s="18" t="n"/>
      <c r="IO51" s="18" t="n"/>
      <c r="IP51" s="18" t="n"/>
      <c r="IQ51" s="18" t="n"/>
      <c r="IR51" s="18" t="n"/>
      <c r="IS51" s="18" t="n"/>
      <c r="IT51" s="18" t="n"/>
      <c r="IU51" s="18" t="n"/>
      <c r="IV51" s="18" t="n"/>
      <c r="IW51" s="18" t="n"/>
      <c r="IX51" s="18" t="n"/>
      <c r="IY51" s="18" t="n"/>
      <c r="IZ51" s="18" t="n"/>
      <c r="JA51" s="18" t="n"/>
      <c r="JB51" s="18" t="n"/>
      <c r="JC51" s="18" t="n"/>
      <c r="JD51" s="18" t="n"/>
      <c r="JE51" s="18" t="n"/>
      <c r="JF51" s="18" t="n"/>
      <c r="JG51" s="18" t="n"/>
      <c r="JH51" s="18" t="n"/>
      <c r="JI51" s="18" t="n"/>
      <c r="JJ51" s="18" t="n"/>
      <c r="JK51" s="18" t="n"/>
      <c r="JL51" s="18" t="n"/>
      <c r="JM51" s="18" t="n"/>
      <c r="JN51" s="18" t="n"/>
      <c r="JO51" s="18" t="n"/>
      <c r="JP51" s="18" t="n"/>
      <c r="JQ51" s="18" t="n"/>
      <c r="JR51" s="18" t="n"/>
      <c r="JS51" s="18" t="n"/>
      <c r="JT51" s="18" t="n"/>
      <c r="JU51" s="18" t="n"/>
      <c r="JV51" s="18" t="n"/>
      <c r="JW51" s="18" t="n"/>
      <c r="JX51" s="18" t="n"/>
      <c r="JY51" s="18" t="n"/>
      <c r="JZ51" s="18" t="n"/>
      <c r="KA51" s="18" t="n"/>
      <c r="KB51" s="18" t="n"/>
      <c r="KC51" s="18" t="n"/>
      <c r="KD51" s="18" t="n"/>
      <c r="KE51" s="18" t="n"/>
      <c r="KF51" s="18" t="n"/>
      <c r="KG51" s="18" t="n"/>
      <c r="KH51" s="18" t="n"/>
      <c r="KI51" s="18" t="n"/>
      <c r="KJ51" s="18" t="n"/>
      <c r="KK51" s="18" t="n"/>
      <c r="KL51" s="18" t="n"/>
      <c r="KM51" s="18" t="n"/>
      <c r="KN51" s="18" t="n"/>
      <c r="KO51" s="18" t="n"/>
      <c r="KP51" s="18" t="n"/>
      <c r="KQ51" s="18" t="n"/>
      <c r="KR51" s="18" t="n"/>
      <c r="KS51" s="18" t="n"/>
      <c r="KT51" s="18" t="n"/>
      <c r="KU51" s="18" t="n"/>
      <c r="KV51" s="18" t="n"/>
      <c r="KW51" s="18" t="n"/>
      <c r="KX51" s="18" t="n"/>
      <c r="KY51" s="18" t="n"/>
      <c r="KZ51" s="18" t="n"/>
      <c r="LA51" s="18" t="n"/>
      <c r="LB51" s="18" t="n"/>
      <c r="LC51" s="18" t="n"/>
      <c r="LD51" s="18" t="n"/>
      <c r="LE51" s="18" t="n"/>
      <c r="LF51" s="18" t="n"/>
      <c r="LG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  <c r="DY52" s="18" t="n"/>
      <c r="DZ52" s="18" t="n"/>
      <c r="EA52" s="18" t="n"/>
      <c r="EB52" s="18" t="n"/>
      <c r="EC52" s="18" t="n"/>
      <c r="ED52" s="18" t="n"/>
      <c r="EE52" s="18" t="n"/>
      <c r="EF52" s="18" t="n"/>
      <c r="EG52" s="18" t="n"/>
      <c r="EH52" s="18" t="n"/>
      <c r="EI52" s="18" t="n"/>
      <c r="EJ52" s="18" t="n"/>
      <c r="EK52" s="18" t="n"/>
      <c r="EL52" s="18" t="n"/>
      <c r="EM52" s="18" t="n"/>
      <c r="EN52" s="18" t="n"/>
      <c r="EO52" s="18" t="n"/>
      <c r="EP52" s="18" t="n"/>
      <c r="EQ52" s="18" t="n"/>
      <c r="ER52" s="18" t="n"/>
      <c r="ES52" s="18" t="n"/>
      <c r="ET52" s="18" t="n"/>
      <c r="EU52" s="18" t="n"/>
      <c r="EV52" s="18" t="n"/>
      <c r="EW52" s="18" t="n"/>
      <c r="EX52" s="18" t="n"/>
      <c r="EY52" s="18" t="n"/>
      <c r="EZ52" s="18" t="n"/>
      <c r="FA52" s="18" t="n"/>
      <c r="FB52" s="18" t="n"/>
      <c r="FC52" s="18" t="n"/>
      <c r="FD52" s="18" t="n"/>
      <c r="FE52" s="18" t="n"/>
      <c r="FF52" s="18" t="n"/>
      <c r="FG52" s="18" t="n"/>
      <c r="FH52" s="18" t="n"/>
      <c r="FI52" s="18" t="n"/>
      <c r="FJ52" s="18" t="n"/>
      <c r="FK52" s="18" t="n"/>
      <c r="FL52" s="18" t="n"/>
      <c r="FM52" s="18" t="n"/>
      <c r="FN52" s="18" t="n"/>
      <c r="FO52" s="18" t="n"/>
      <c r="FP52" s="18" t="n"/>
      <c r="FQ52" s="18" t="n"/>
      <c r="FR52" s="18" t="n"/>
      <c r="FS52" s="18" t="n"/>
      <c r="FT52" s="18" t="n"/>
      <c r="FU52" s="18" t="n"/>
      <c r="FV52" s="18" t="n"/>
      <c r="FW52" s="18" t="n"/>
      <c r="FX52" s="18" t="n"/>
      <c r="FY52" s="18" t="n"/>
      <c r="FZ52" s="18" t="n"/>
      <c r="GA52" s="18" t="n"/>
      <c r="GB52" s="18" t="n"/>
      <c r="GC52" s="18" t="n"/>
      <c r="GD52" s="18" t="n"/>
      <c r="GE52" s="18" t="n"/>
      <c r="GF52" s="18" t="n"/>
      <c r="GG52" s="18" t="n"/>
      <c r="GH52" s="18" t="n"/>
      <c r="GI52" s="18" t="n"/>
      <c r="GJ52" s="18" t="n"/>
      <c r="GK52" s="18" t="n"/>
      <c r="GL52" s="18" t="n"/>
      <c r="GM52" s="18" t="n"/>
      <c r="GN52" s="18" t="n"/>
      <c r="GO52" s="18" t="n"/>
      <c r="GP52" s="18" t="n"/>
      <c r="GQ52" s="18" t="n"/>
      <c r="GR52" s="18" t="n"/>
      <c r="GS52" s="18" t="n"/>
      <c r="GT52" s="18" t="n"/>
      <c r="GU52" s="18" t="n"/>
      <c r="GV52" s="18" t="n"/>
      <c r="GW52" s="18" t="n"/>
      <c r="GX52" s="18" t="n"/>
      <c r="GY52" s="18" t="n"/>
      <c r="GZ52" s="18" t="n"/>
      <c r="HA52" s="18" t="n"/>
      <c r="HB52" s="18" t="n"/>
      <c r="HC52" s="18" t="n"/>
      <c r="HD52" s="18" t="n"/>
      <c r="HE52" s="18" t="n"/>
      <c r="HF52" s="18" t="n"/>
      <c r="HG52" s="18" t="n"/>
      <c r="HH52" s="18" t="n"/>
      <c r="HI52" s="18" t="n"/>
      <c r="HJ52" s="18" t="n"/>
      <c r="HK52" s="18" t="n"/>
      <c r="HL52" s="18" t="n"/>
      <c r="HM52" s="18" t="n"/>
      <c r="HN52" s="18" t="n"/>
      <c r="HO52" s="18" t="n"/>
      <c r="HP52" s="18" t="n"/>
      <c r="HQ52" s="18" t="n"/>
      <c r="HR52" s="18" t="n"/>
      <c r="HS52" s="18" t="n"/>
      <c r="HT52" s="18" t="n"/>
      <c r="HU52" s="18" t="n"/>
      <c r="HV52" s="18" t="n"/>
      <c r="HW52" s="18" t="n"/>
      <c r="HX52" s="18" t="n"/>
      <c r="HY52" s="18" t="n"/>
      <c r="HZ52" s="18" t="n"/>
      <c r="IA52" s="18" t="n"/>
      <c r="IB52" s="18" t="n"/>
      <c r="IC52" s="18" t="n"/>
      <c r="ID52" s="18" t="n"/>
      <c r="IE52" s="18" t="n"/>
      <c r="IF52" s="18" t="n"/>
      <c r="IG52" s="18" t="n"/>
      <c r="IH52" s="18" t="n"/>
      <c r="II52" s="18" t="n"/>
      <c r="IJ52" s="18" t="n"/>
      <c r="IK52" s="18" t="n"/>
      <c r="IL52" s="18" t="n"/>
      <c r="IM52" s="18" t="n"/>
      <c r="IN52" s="18" t="n"/>
      <c r="IO52" s="18" t="n"/>
      <c r="IP52" s="18" t="n"/>
      <c r="IQ52" s="18" t="n"/>
      <c r="IR52" s="18" t="n"/>
      <c r="IS52" s="18" t="n"/>
      <c r="IT52" s="18" t="n"/>
      <c r="IU52" s="18" t="n"/>
      <c r="IV52" s="18" t="n"/>
      <c r="IW52" s="18" t="n"/>
      <c r="IX52" s="18" t="n"/>
      <c r="IY52" s="18" t="n"/>
      <c r="IZ52" s="18" t="n"/>
      <c r="JA52" s="18" t="n"/>
      <c r="JB52" s="18" t="n"/>
      <c r="JC52" s="18" t="n"/>
      <c r="JD52" s="18" t="n"/>
      <c r="JE52" s="18" t="n"/>
      <c r="JF52" s="18" t="n"/>
      <c r="JG52" s="18" t="n"/>
      <c r="JH52" s="18" t="n"/>
      <c r="JI52" s="18" t="n"/>
      <c r="JJ52" s="18" t="n"/>
      <c r="JK52" s="18" t="n"/>
      <c r="JL52" s="18" t="n"/>
      <c r="JM52" s="18" t="n"/>
      <c r="JN52" s="18" t="n"/>
      <c r="JO52" s="18" t="n"/>
      <c r="JP52" s="18" t="n"/>
      <c r="JQ52" s="18" t="n"/>
      <c r="JR52" s="18" t="n"/>
      <c r="JS52" s="18" t="n"/>
      <c r="JT52" s="18" t="n"/>
      <c r="JU52" s="18" t="n"/>
      <c r="JV52" s="18" t="n"/>
      <c r="JW52" s="18" t="n"/>
      <c r="JX52" s="18" t="n"/>
      <c r="JY52" s="18" t="n"/>
      <c r="JZ52" s="18" t="n"/>
      <c r="KA52" s="18" t="n"/>
      <c r="KB52" s="18" t="n"/>
      <c r="KC52" s="18" t="n"/>
      <c r="KD52" s="18" t="n"/>
      <c r="KE52" s="18" t="n"/>
      <c r="KF52" s="18" t="n"/>
      <c r="KG52" s="18" t="n"/>
      <c r="KH52" s="18" t="n"/>
      <c r="KI52" s="18" t="n"/>
      <c r="KJ52" s="18" t="n"/>
      <c r="KK52" s="18" t="n"/>
      <c r="KL52" s="18" t="n"/>
      <c r="KM52" s="18" t="n"/>
      <c r="KN52" s="18" t="n"/>
      <c r="KO52" s="18" t="n"/>
      <c r="KP52" s="18" t="n"/>
      <c r="KQ52" s="18" t="n"/>
      <c r="KR52" s="18" t="n"/>
      <c r="KS52" s="18" t="n"/>
      <c r="KT52" s="18" t="n"/>
      <c r="KU52" s="18" t="n"/>
      <c r="KV52" s="18" t="n"/>
      <c r="KW52" s="18" t="n"/>
      <c r="KX52" s="18" t="n"/>
      <c r="KY52" s="18" t="n"/>
      <c r="KZ52" s="18" t="n"/>
      <c r="LA52" s="18" t="n"/>
      <c r="LB52" s="18" t="n"/>
      <c r="LC52" s="18" t="n"/>
      <c r="LD52" s="18" t="n"/>
      <c r="LE52" s="18" t="n"/>
      <c r="LF52" s="18" t="n"/>
      <c r="LG52" s="18" t="n"/>
      <c r="LH52" s="18" t="n"/>
      <c r="LI52" s="18" t="n"/>
      <c r="LJ52" s="18" t="n"/>
      <c r="LK52" s="18" t="n"/>
    </row>
  </sheetData>
  <printOptions horizontalCentered="1"/>
  <pageMargins left="0.7480314960629921" right="0.7480314960629921" top="0.984251968503937" bottom="0.984251968503937" header="0.5118110236220472" footer="0.5118110236220472"/>
  <pageSetup orientation="landscape" paperSize="8" scale="37" verticalDpi="0"/>
</worksheet>
</file>

<file path=xl/worksheets/sheet9.xml><?xml version="1.0" encoding="utf-8"?>
<worksheet xmlns="http://schemas.openxmlformats.org/spreadsheetml/2006/main">
  <sheetPr codeName="Sheet9">
    <tabColor rgb="FFFFFF00"/>
    <outlinePr summaryBelow="1" summaryRight="1"/>
    <pageSetUpPr/>
  </sheetPr>
  <dimension ref="A1:MU53"/>
  <sheetViews>
    <sheetView view="pageBreakPreview" zoomScale="25" zoomScaleNormal="55" zoomScaleSheetLayoutView="25" workbookViewId="0">
      <pane xSplit="4" ySplit="1" topLeftCell="E6" activePane="bottomRight" state="frozen"/>
      <selection pane="topRight" activeCell="A1" sqref="A1"/>
      <selection pane="bottomLeft" activeCell="A2" sqref="A2"/>
      <selection pane="bottomRight" activeCell="K15" sqref="K15"/>
    </sheetView>
  </sheetViews>
  <sheetFormatPr baseColWidth="8" defaultRowHeight="17.4"/>
  <cols>
    <col width="10" customWidth="1" style="1" min="1" max="2"/>
    <col width="18" customWidth="1" style="1" min="3" max="3"/>
    <col width="12" customWidth="1" style="2" min="4" max="4"/>
    <col width="10" customWidth="1" style="88" min="5" max="6"/>
    <col width="30" customWidth="1" style="2" min="7" max="7"/>
    <col width="14" customWidth="1" style="2" min="8" max="9"/>
    <col width="38" customWidth="1" style="1" min="10" max="10"/>
    <col width="54" customWidth="1" style="1" min="11" max="11"/>
    <col width="30" customWidth="1" style="2" min="12" max="12"/>
    <col width="36" customWidth="1" style="1" min="13" max="13"/>
    <col width="18.5" customWidth="1" style="8" min="14" max="14"/>
    <col width="36" customWidth="1" style="8" min="15" max="15"/>
    <col width="24" customWidth="1" style="1" min="16" max="16"/>
    <col width="36" customWidth="1" style="1" min="17" max="17"/>
    <col width="24" customWidth="1" style="1" min="18" max="18"/>
    <col width="16" customWidth="1" style="1" min="19" max="19"/>
  </cols>
  <sheetData>
    <row r="1" ht="28.05" customHeight="1" s="88">
      <c r="A1" s="16" t="inlineStr">
        <is>
          <t>L2 코드</t>
        </is>
      </c>
      <c r="B1" s="16" t="inlineStr">
        <is>
          <t>L3 코드</t>
        </is>
      </c>
      <c r="C1" s="16" t="inlineStr">
        <is>
          <t>L3 대공종명</t>
        </is>
      </c>
      <c r="D1" s="16" t="inlineStr">
        <is>
          <t>L4 코드</t>
        </is>
      </c>
      <c r="E1" s="16" t="inlineStr">
        <is>
          <t>선행</t>
        </is>
      </c>
      <c r="F1" s="16" t="inlineStr">
        <is>
          <t>후행</t>
        </is>
      </c>
      <c r="G1" s="16" t="inlineStr">
        <is>
          <t>작업단위 (Level 4 Task/Activity)</t>
        </is>
      </c>
      <c r="H1" s="16" t="inlineStr">
        <is>
          <t>일정 (D-Day)</t>
        </is>
      </c>
      <c r="I1" s="16" t="inlineStr">
        <is>
          <t>주관</t>
        </is>
      </c>
      <c r="J1" s="16" t="inlineStr">
        <is>
          <t>목적</t>
        </is>
      </c>
      <c r="K1" s="16" t="inlineStr">
        <is>
          <t>방법</t>
        </is>
      </c>
      <c r="L1" s="16" t="inlineStr">
        <is>
          <t>산출물(결과)</t>
        </is>
      </c>
      <c r="M1" s="16" t="inlineStr">
        <is>
          <t>표준서 (Standard) 요약</t>
        </is>
      </c>
      <c r="N1" s="16" t="inlineStr">
        <is>
          <t>표준서 파일 (HTML)</t>
        </is>
      </c>
      <c r="O1" s="16" t="inlineStr">
        <is>
          <t>수행지침 (Guideline) 요약</t>
        </is>
      </c>
      <c r="P1" s="16" t="inlineStr">
        <is>
          <t>수행지침 파일 (HTML)</t>
        </is>
      </c>
      <c r="Q1" s="16" t="inlineStr">
        <is>
          <t>체크리스트 (Checklist) 요약</t>
        </is>
      </c>
      <c r="R1" s="16" t="inlineStr">
        <is>
          <t>체크리스트 파일 (HTML)</t>
        </is>
      </c>
      <c r="S1" s="16" t="inlineStr">
        <is>
          <t>비고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  <c r="DL1" s="18" t="n"/>
      <c r="DM1" s="18" t="n"/>
      <c r="DN1" s="18" t="n"/>
      <c r="DO1" s="18" t="n"/>
      <c r="DP1" s="18" t="n"/>
      <c r="DQ1" s="18" t="n"/>
      <c r="DR1" s="18" t="n"/>
      <c r="DS1" s="18" t="n"/>
      <c r="DT1" s="18" t="n"/>
      <c r="DU1" s="18" t="n"/>
      <c r="DV1" s="18" t="n"/>
      <c r="DW1" s="18" t="n"/>
      <c r="DX1" s="18" t="n"/>
      <c r="DY1" s="18" t="n"/>
      <c r="DZ1" s="18" t="n"/>
      <c r="EA1" s="18" t="n"/>
      <c r="EB1" s="18" t="n"/>
      <c r="EC1" s="18" t="n"/>
      <c r="ED1" s="18" t="n"/>
      <c r="EE1" s="18" t="n"/>
      <c r="EF1" s="18" t="n"/>
      <c r="EG1" s="18" t="n"/>
      <c r="EH1" s="18" t="n"/>
      <c r="EI1" s="18" t="n"/>
      <c r="EJ1" s="18" t="n"/>
      <c r="EK1" s="18" t="n"/>
      <c r="EL1" s="18" t="n"/>
      <c r="EM1" s="18" t="n"/>
      <c r="EN1" s="18" t="n"/>
      <c r="EO1" s="18" t="n"/>
      <c r="EP1" s="18" t="n"/>
      <c r="EQ1" s="18" t="n"/>
      <c r="ER1" s="18" t="n"/>
      <c r="ES1" s="18" t="n"/>
      <c r="ET1" s="18" t="n"/>
      <c r="EU1" s="18" t="n"/>
    </row>
    <row r="2" ht="52.05" customHeight="1" s="88">
      <c r="A2" s="19" t="inlineStr">
        <is>
          <t>9000</t>
        </is>
      </c>
      <c r="B2" s="19" t="inlineStr">
        <is>
          <t>9000-8</t>
        </is>
      </c>
      <c r="C2" s="19" t="inlineStr">
        <is>
          <t>전기분야</t>
        </is>
      </c>
      <c r="D2" s="19" t="inlineStr">
        <is>
          <t>9000-8-1</t>
        </is>
      </c>
      <c r="E2" s="95" t="inlineStr">
        <is>
          <t>-</t>
        </is>
      </c>
      <c r="F2" s="95" t="inlineStr">
        <is>
          <t>9000-8-2, 9000-8-3</t>
        </is>
      </c>
      <c r="G2" s="23" t="inlineStr">
        <is>
          <t>설계적정성 검토</t>
        </is>
      </c>
      <c r="H2" s="21" t="inlineStr">
        <is>
          <t>D-300~240</t>
        </is>
      </c>
      <c r="I2" s="21" t="inlineStr">
        <is>
          <t>현장 공무팀</t>
        </is>
      </c>
      <c r="J2" s="24" t="inlineStr">
        <is>
          <t>설계적정성 및 시공성 검토</t>
        </is>
      </c>
      <c r="K2" s="49" t="inlineStr">
        <is>
          <t>- 인접사업 공사기간을 고려한 한전 전력공급설비 계획 적정성 검토 (임시전력설비 등 검토)
- 도로점용료가 공사비에 반영되었는지 검토
- 최신 설계기준, 철도표준 반영여부 확인
- 노면전차 전기 부하용량 적정성 검토
- 특고압케이블의 배관/배선 적정성 검토
- 특고압/외산자재 여부 확인
- 공사중 타공종 간섭사항, 원가 Risk 검토
- 공정계획의 적정성 검토</t>
        </is>
      </c>
      <c r="L2" s="62" t="inlineStr">
        <is>
          <t>회의록, 설계검토 보고서</t>
        </is>
      </c>
      <c r="M2" s="24" t="inlineStr">
        <is>
          <t>"전기공사업법, 전기사업법, 한국전기설비규정(KEC), 도로법(점용허가) 및 산업안전보건법 준수 여부를 1:1 검토한다."</t>
        </is>
      </c>
      <c r="N2" s="25">
        <f>HYPERLINK(LEFT(CELL("filename",A1),FIND("[",CELL("filename",A1))-1)&amp;"8.전기분야\1_설계적정성 검토\표준서\설계적정성 검토_표준서.html", "👉 [클릭] 표준서 열기 📄")</f>
        <v/>
      </c>
      <c r="O2" s="24" t="inlineStr">
        <is>
          <t>본 지침서는 동탄트램 전기분야 사업 착공 전설계도서의 기술적·법적 적정성 검토 방법과현장 여건, 타공종 간섭, 공법·장비 시공성(Constructability) 검토 절차를 명확히 제시하여, 시공 위험 요소는 사전에 헷지(H...</t>
        </is>
      </c>
      <c r="P2" s="26">
        <f>HYPERLINK(LEFT(CELL("filename",A1),FIND("[",CELL("filename",A1))-1)&amp;"8.전기분야\1_설계적정성 검토\수행지침\설계적정성 검토_수행지침.html", "👉 [클릭] 수행지침 열기 📄")</f>
        <v/>
      </c>
      <c r="Q2" s="24" t="inlineStr">
        <is>
          <t>본 체크리스트는 철도설계기준(KDS 47 00 00) 및 전기사업법에 의거하여,전기 분야 전반(송변전, 전력, 전차선, 배전, 접지, 인허가 등)에 대한 핵심 설계 적정성을 점검하고, 리스크(Risk) 헷지 및 기회(Oppo...</t>
        </is>
      </c>
      <c r="R2" s="27">
        <f>HYPERLINK(LEFT(CELL("filename",A1),FIND("[",CELL("filename",A1))-1)&amp;"8.전기분야\1_설계적정성 검토\체크리스트\설계적정성 검토_체크리스트.html", "👉 [클릭] 체크리스트 열기 📄")</f>
        <v/>
      </c>
      <c r="S2" s="21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  <c r="DY2" s="18" t="n"/>
      <c r="DZ2" s="18" t="n"/>
      <c r="EA2" s="18" t="n"/>
      <c r="EB2" s="18" t="n"/>
      <c r="EC2" s="18" t="n"/>
      <c r="ED2" s="18" t="n"/>
      <c r="EE2" s="18" t="n"/>
      <c r="EF2" s="18" t="n"/>
      <c r="EG2" s="18" t="n"/>
      <c r="EH2" s="18" t="n"/>
      <c r="EI2" s="18" t="n"/>
      <c r="EJ2" s="18" t="n"/>
      <c r="EK2" s="18" t="n"/>
      <c r="EL2" s="18" t="n"/>
      <c r="EM2" s="18" t="n"/>
      <c r="EN2" s="18" t="n"/>
      <c r="EO2" s="18" t="n"/>
      <c r="EP2" s="18" t="n"/>
      <c r="EQ2" s="18" t="n"/>
      <c r="ER2" s="18" t="n"/>
      <c r="ES2" s="18" t="n"/>
      <c r="ET2" s="18" t="n"/>
      <c r="EU2" s="18" t="n"/>
      <c r="EV2" s="18" t="n"/>
      <c r="EW2" s="18" t="n"/>
      <c r="EX2" s="18" t="n"/>
      <c r="EY2" s="18" t="n"/>
    </row>
    <row r="3" ht="52.05" customHeight="1" s="88">
      <c r="A3" s="29" t="inlineStr">
        <is>
          <t>9000</t>
        </is>
      </c>
      <c r="B3" s="29" t="inlineStr">
        <is>
          <t>9000-8</t>
        </is>
      </c>
      <c r="C3" s="29" t="inlineStr">
        <is>
          <t>전기분야</t>
        </is>
      </c>
      <c r="D3" s="29" t="inlineStr">
        <is>
          <t>9000-8-2</t>
        </is>
      </c>
      <c r="E3" s="102" t="inlineStr">
        <is>
          <t>9000-8-1</t>
        </is>
      </c>
      <c r="F3" s="102" t="inlineStr">
        <is>
          <t>9000-8-4, 9000-8-7</t>
        </is>
      </c>
      <c r="G3" s="32" t="inlineStr">
        <is>
          <t>발주전략 KOM</t>
        </is>
      </c>
      <c r="H3" s="33" t="inlineStr">
        <is>
          <t>D-240~210</t>
        </is>
      </c>
      <c r="I3" s="33" t="inlineStr">
        <is>
          <t>현장공사팀</t>
        </is>
      </c>
      <c r="J3" s="34" t="inlineStr">
        <is>
          <t>노면전차설비 공사 발주 전략수립</t>
        </is>
      </c>
      <c r="K3" s="50" t="inlineStr">
        <is>
          <t>- 노면전차설비 설계 및 현장여건 검토
- 노면전차설비 공사 시공실적 업체Pool 검토
- 유사사례 영업운행 실적이 확보된 시스템적용
- 현설조건 검토
1) 공정계획 및 노면전차 자재 제작 기간
2) 노면전차설비 시공 실적 보유 (철도, 도시철도, 경전철 등)
3) 예비품 및 소모품 포함
4) 시공전시 전기설비 운전 및 교육 지원 (비용 포함)
5) 예상내역상 누락 아이템 여부
6) 현장 자재보관 창고 임대 비용 포함
7) 공사용 전기, 용수, 청소 비용 포함
8) 개통 후 현장 기술지원 상주 인력, 기간 및 비용 포함</t>
        </is>
      </c>
      <c r="L3" s="63" t="inlineStr">
        <is>
          <t>KOM 검토결과서, 현장설명서</t>
        </is>
      </c>
      <c r="M3" s="34" t="inlineStr">
        <is>
          <t>공정표 대비 노면전차 특수자재(전차선 강성가선, 변압기 등)의 공장 제작/조달 Lead Time을 사전 반영함.</t>
        </is>
      </c>
      <c r="N3" s="35">
        <f>HYPERLINK(LEFT(CELL("filename",A1),FIND("[",CELL("filename",A1))-1)&amp;"8.전기분야\2_발주전략 KOM\표준서\발주전략 KOM_표준서.html", "👉 [클릭] 표준서 열기 📄")</f>
        <v/>
      </c>
      <c r="O3" s="34" t="inlineStr">
        <is>
          <t>본 지침서는 동탄트램 노면전차설비 공사 발주 전설계 및 현장 여건을 정밀 파악하고 8대 현실조건(자재 제작 Lead Time, 철도/경전철 시공 실적 Pool, 예비품, 시공중/후 운전 및 교육지원, 현장 자재창고 임대료, ...</t>
        </is>
      </c>
      <c r="P3" s="36">
        <f>HYPERLINK(LEFT(CELL("filename",A1),FIND("[",CELL("filename",A1))-1)&amp;"8.전기분야\2_발주전략 KOM\수행지침\발주전략 KOM_수행지침.html", "👉 [클릭] 수행지침 열기 📄")</f>
        <v/>
      </c>
      <c r="Q3" s="34" t="inlineStr">
        <is>
          <t>본 체크리스트는 동탄트램 노면전차설비 공사 발주 착수 전8대 현실조건(자재 Lead Time, 시공 실적 Pool, 예비품, 시공중/후 교육 및 기술지원, 현장 자재창고 임대료, 가설 전원/용수/청소, 개통 후 상주 기술지원...</t>
        </is>
      </c>
      <c r="R3" s="37">
        <f>HYPERLINK(LEFT(CELL("filename",A1),FIND("[",CELL("filename",A1))-1)&amp;"8.전기분야\2_발주전략 KOM\체크리스트\발주전략 KOM_체크리스트.html", "👉 [클릭] 체크리스트 열기 📄")</f>
        <v/>
      </c>
      <c r="S3" s="33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8" t="n"/>
      <c r="ER3" s="18" t="n"/>
      <c r="ES3" s="18" t="n"/>
      <c r="ET3" s="18" t="n"/>
      <c r="EU3" s="18" t="n"/>
      <c r="EV3" s="18" t="n"/>
      <c r="EW3" s="18" t="n"/>
      <c r="EX3" s="18" t="n"/>
      <c r="EY3" s="18" t="n"/>
      <c r="EZ3" s="18" t="n"/>
      <c r="FA3" s="18" t="n"/>
      <c r="FB3" s="18" t="n"/>
      <c r="FC3" s="18" t="n"/>
    </row>
    <row r="4" ht="52.05" customHeight="1" s="88">
      <c r="A4" s="19" t="inlineStr">
        <is>
          <t>9000</t>
        </is>
      </c>
      <c r="B4" s="19" t="inlineStr">
        <is>
          <t>9000-8</t>
        </is>
      </c>
      <c r="C4" s="19" t="inlineStr">
        <is>
          <t>전기분야</t>
        </is>
      </c>
      <c r="D4" s="19" t="inlineStr">
        <is>
          <t>9000-8-3</t>
        </is>
      </c>
      <c r="E4" s="95" t="inlineStr">
        <is>
          <t>9000-8-1</t>
        </is>
      </c>
      <c r="F4" s="95" t="inlineStr">
        <is>
          <t>9000-8-4, 9000-8-5</t>
        </is>
      </c>
      <c r="G4" s="23" t="inlineStr">
        <is>
          <t>토목 / 건축 인터페이스 협의</t>
        </is>
      </c>
      <c r="H4" s="21" t="inlineStr">
        <is>
          <t>토목공사 수행시</t>
        </is>
      </c>
      <c r="I4" s="21" t="inlineStr">
        <is>
          <t>현장공사팀</t>
        </is>
      </c>
      <c r="J4" s="24" t="inlineStr">
        <is>
          <t>전력설비 설치를 위한 요구사항 검토</t>
        </is>
      </c>
      <c r="K4" s="49" t="inlineStr">
        <is>
          <t>- 자재 반출입 동선/공동구/횡단관로/케이블 인입구 등 확인, 기능실마감 및 출입문 
   확인, 토목분야 선시공 자재관련 적정성 여부 확인</t>
        </is>
      </c>
      <c r="L4" s="62" t="inlineStr">
        <is>
          <t>인터페이스 회의록 및 관리대장</t>
        </is>
      </c>
      <c r="M4" s="24" t="inlineStr">
        <is>
          <t>"정류기, 변압기, ESS 대형 기자재 반입 동선, 출입문 유효 폭/높이(H x W) 및 양중 훅 위치 실측 검증"</t>
        </is>
      </c>
      <c r="N4" s="25">
        <f>HYPERLINK(LEFT(CELL("filename",A1),FIND("[",CELL("filename",A1))-1)&amp;"8.전기분야\3_토목 _ 건축 인터페이스 협의\표준서\토목 _ 건축 인터페이스 협의_표준서.html", "👉 [클릭] 표준서 열기 📄")</f>
        <v/>
      </c>
      <c r="O4" s="24" t="inlineStr">
        <is>
          <t>본 지침서는 동탄트램 전기분야 시공 착수 전자재 반입용 동선, 공동구/횡단관로/인입구 좌표, 전기 기능실 마감, 토목 공사용 매립 배관 검측 및 3D BIM 간섭 해소 절차를 명확히 제시하여, 콘크리트 구조체 타설 완료 후 ...</t>
        </is>
      </c>
      <c r="P4" s="26">
        <f>HYPERLINK(LEFT(CELL("filename",A1),FIND("[",CELL("filename",A1))-1)&amp;"8.전기분야\3_토목 _ 건축 인터페이스 협의\수행지침\토목 _ 건축 인터페이스 협의_수행지침.html", "👉 [클릭] 수행지침 열기 📄")</f>
        <v/>
      </c>
      <c r="Q4" s="24" t="inlineStr">
        <is>
          <t>본 체크리스트는 동탄트램 전기분야 시공 착수 전자재 반입용 동선, 변전실 개구부, 공동구/인입구 3D BIM 좌표, 전기 기능실 마감 및 토목 공사용 매립 배관의 적정성을 사전에 검측하여 구조체 타설 후 굴착/파쇄 재시공 충...</t>
        </is>
      </c>
      <c r="R4" s="27">
        <f>HYPERLINK(LEFT(CELL("filename",A1),FIND("[",CELL("filename",A1))-1)&amp;"8.전기분야\3_토목 _ 건축 인터페이스 협의\체크리스트\토목 _ 건축 인터페이스 협의_체크리스트.html", "👉 [클릭] 체크리스트 열기 📄")</f>
        <v/>
      </c>
      <c r="S4" s="21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  <c r="DY4" s="18" t="n"/>
      <c r="DZ4" s="18" t="n"/>
      <c r="EA4" s="18" t="n"/>
      <c r="EB4" s="18" t="n"/>
      <c r="EC4" s="18" t="n"/>
      <c r="ED4" s="18" t="n"/>
      <c r="EE4" s="18" t="n"/>
      <c r="EF4" s="18" t="n"/>
      <c r="EG4" s="18" t="n"/>
      <c r="EH4" s="18" t="n"/>
      <c r="EI4" s="18" t="n"/>
      <c r="EJ4" s="18" t="n"/>
      <c r="EK4" s="18" t="n"/>
      <c r="EL4" s="18" t="n"/>
      <c r="EM4" s="18" t="n"/>
      <c r="EN4" s="18" t="n"/>
      <c r="EO4" s="18" t="n"/>
      <c r="EP4" s="18" t="n"/>
      <c r="EQ4" s="18" t="n"/>
      <c r="ER4" s="18" t="n"/>
      <c r="ES4" s="18" t="n"/>
      <c r="ET4" s="18" t="n"/>
      <c r="EU4" s="18" t="n"/>
      <c r="EV4" s="18" t="n"/>
      <c r="EW4" s="18" t="n"/>
      <c r="EX4" s="18" t="n"/>
      <c r="EY4" s="18" t="n"/>
      <c r="EZ4" s="18" t="n"/>
      <c r="FA4" s="18" t="n"/>
      <c r="FB4" s="18" t="n"/>
      <c r="FC4" s="18" t="n"/>
      <c r="FD4" s="18" t="n"/>
      <c r="FE4" s="18" t="n"/>
      <c r="FF4" s="18" t="n"/>
      <c r="FG4" s="18" t="n"/>
    </row>
    <row r="5" ht="52.05" customHeight="1" s="88">
      <c r="A5" s="29" t="inlineStr">
        <is>
          <t>9000</t>
        </is>
      </c>
      <c r="B5" s="29" t="inlineStr">
        <is>
          <t>9000-8</t>
        </is>
      </c>
      <c r="C5" s="29" t="inlineStr">
        <is>
          <t>전기분야</t>
        </is>
      </c>
      <c r="D5" s="29" t="inlineStr">
        <is>
          <t>9000-8-4</t>
        </is>
      </c>
      <c r="E5" s="102" t="inlineStr">
        <is>
          <t>9000-8-2, 9000-8-3</t>
        </is>
      </c>
      <c r="F5" s="102" t="inlineStr">
        <is>
          <t>9000-8-5, 9000-8-6</t>
        </is>
      </c>
      <c r="G5" s="32" t="inlineStr">
        <is>
          <t>신호 / 통신 / 기계 / PSD / 차량 인터페이스 협의</t>
        </is>
      </c>
      <c r="H5" s="33" t="inlineStr">
        <is>
          <t>D-180
(D-200~180)</t>
        </is>
      </c>
      <c r="I5" s="33" t="inlineStr">
        <is>
          <t>현장공사팀</t>
        </is>
      </c>
      <c r="J5" s="34" t="inlineStr">
        <is>
          <t>연계분야간 사전조율 및 인터페이스 사항 도출로 재작업 예방</t>
        </is>
      </c>
      <c r="K5" s="50" t="inlineStr">
        <is>
          <t>- 연계분야별 조율 및 협의사항 도출
1) (기계): 부하별 필요전원 및 기동방식 외
2) (신호/통신): 공동관로 포설계획 외
3) (차량): 차량시운전에 필요한 충전설비 가압 일정 수립
4) (전기, 신호, 기계): 위치별 가압일정
- 2차(부하)측 세부 작업범위, 인수인계 이후 작업투입 순서 조율</t>
        </is>
      </c>
      <c r="L5" s="63" t="inlineStr">
        <is>
          <t>인터페이스 회의록 및 관리대장</t>
        </is>
      </c>
      <c r="M5" s="34" t="inlineStr">
        <is>
          <t>"신호, 통신, 기계, PSD 및 트램 차량 전력 공급 관로, 배선 용량 및 트레이 타공 누락 사항 정밀 추출"</t>
        </is>
      </c>
      <c r="N5" s="35">
        <f>HYPERLINK(LEFT(CELL("filename",A1),FIND("[",CELL("filename",A1))-1)&amp;"8.전기분야\4_신호 _ 통신 _ 기계 _ PSD _ 차량 인터페이스 협의\표준서\신호 _ 통신 _ 기계 _ PSD _ 차량 인터페이스 협의_표준서.html", "👉 [클릭] 표준서 열기 📄")</f>
        <v/>
      </c>
      <c r="O5" s="34" t="inlineStr">
        <is>
          <t>전기분야와 타공종(신호, 통신, 기계, PSD, 트램 차량) 간 인터페이스 설계도서 상 누락 및 협의사항 도출, 관로/배선/트레이/인터록 신호선 사전 조율을 통해 재작업을 원천 예방함</t>
        </is>
      </c>
      <c r="P5" s="36">
        <f>HYPERLINK(LEFT(CELL("filename",A1),FIND("[",CELL("filename",A1))-1)&amp;"8.전기분야\4_신호 _ 통신 _ 기계 _ PSD _ 차량 인터페이스 협의\수행지침\신호 _ 통신 _ 기계 _ PSD _ 차량 인터페이스 협의_수행지침.html", "👉 [클릭] 수행지침 열기 📄")</f>
        <v/>
      </c>
      <c r="Q5" s="34" t="inlineStr">
        <is>
          <t>본 체크리스트는 동탄트램 전기분야 시공 착수 전전기분야와 타공종(신호, 통신, 기계, PSD, 트램 차량) 간 인터페이스 설계도서 상 누락 및 협의사항 도출, 관로/배선/트레이/인터록 신호선 사전 조율을 통해 재작업을 원천 ...</t>
        </is>
      </c>
      <c r="R5" s="37">
        <f>HYPERLINK(LEFT(CELL("filename",A1),FIND("[",CELL("filename",A1))-1)&amp;"8.전기분야\4_신호 _ 통신 _ 기계 _ PSD _ 차량 인터페이스 협의\체크리스트\신호 _ 통신 _ 기계 _ PSD _ 차량 인터페이스 협의_체크리스트.html", "👉 [클릭] 체크리스트 열기 📄")</f>
        <v/>
      </c>
      <c r="S5" s="33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  <c r="EB5" s="18" t="n"/>
      <c r="EC5" s="18" t="n"/>
      <c r="ED5" s="18" t="n"/>
      <c r="EE5" s="18" t="n"/>
      <c r="EF5" s="18" t="n"/>
      <c r="EG5" s="18" t="n"/>
      <c r="EH5" s="18" t="n"/>
      <c r="EI5" s="18" t="n"/>
      <c r="EJ5" s="18" t="n"/>
      <c r="EK5" s="18" t="n"/>
      <c r="EL5" s="18" t="n"/>
      <c r="EM5" s="18" t="n"/>
      <c r="EN5" s="18" t="n"/>
      <c r="EO5" s="18" t="n"/>
      <c r="EP5" s="18" t="n"/>
      <c r="EQ5" s="18" t="n"/>
      <c r="ER5" s="18" t="n"/>
      <c r="ES5" s="18" t="n"/>
      <c r="ET5" s="18" t="n"/>
      <c r="EU5" s="18" t="n"/>
      <c r="EV5" s="18" t="n"/>
      <c r="EW5" s="18" t="n"/>
      <c r="EX5" s="18" t="n"/>
      <c r="EY5" s="18" t="n"/>
      <c r="EZ5" s="18" t="n"/>
      <c r="FA5" s="18" t="n"/>
      <c r="FB5" s="18" t="n"/>
      <c r="FC5" s="18" t="n"/>
      <c r="FD5" s="18" t="n"/>
      <c r="FE5" s="18" t="n"/>
      <c r="FF5" s="18" t="n"/>
      <c r="FG5" s="18" t="n"/>
      <c r="FH5" s="18" t="n"/>
      <c r="FI5" s="18" t="n"/>
      <c r="FJ5" s="18" t="n"/>
      <c r="FK5" s="18" t="n"/>
    </row>
    <row r="6" ht="52.05" customHeight="1" s="88">
      <c r="A6" s="19" t="inlineStr">
        <is>
          <t>9000</t>
        </is>
      </c>
      <c r="B6" s="19" t="inlineStr">
        <is>
          <t>9000-8</t>
        </is>
      </c>
      <c r="C6" s="19" t="inlineStr">
        <is>
          <t>전기분야</t>
        </is>
      </c>
      <c r="D6" s="19" t="inlineStr">
        <is>
          <t>9000-8-5</t>
        </is>
      </c>
      <c r="E6" s="95" t="inlineStr">
        <is>
          <t>9000-8-3, 9000-8-4</t>
        </is>
      </c>
      <c r="F6" s="95" t="inlineStr">
        <is>
          <t>9000-8-6, 9000-8-8</t>
        </is>
      </c>
      <c r="G6" s="23" t="inlineStr">
        <is>
          <t>전기설비 제작사 인터페이스 협의</t>
        </is>
      </c>
      <c r="H6" s="21" t="inlineStr">
        <is>
          <t>D-180
(D-200~180)</t>
        </is>
      </c>
      <c r="I6" s="21" t="inlineStr">
        <is>
          <t>현장공사팀</t>
        </is>
      </c>
      <c r="J6" s="24" t="inlineStr">
        <is>
          <t>전기설비간 연동방안 검토</t>
        </is>
      </c>
      <c r="K6" s="24" t="inlineStr">
        <is>
          <t>- 내부 인터페이스 및 인허가사항 확인</t>
        </is>
      </c>
      <c r="L6" s="62" t="inlineStr">
        <is>
          <t>인터페이스 회의록 및 관리대장 , 보안성검토 요청서</t>
        </is>
      </c>
      <c r="M6" s="24" t="inlineStr">
        <is>
          <t>"SCADA RTU, 변전소 GIS, 정류기, ESS 릴레이 간 IEC 61850 및 Modbus 통신 핀 맵/신호 주소 1:1 검증"</t>
        </is>
      </c>
      <c r="N6" s="25">
        <f>HYPERLINK(LEFT(CELL("filename",A1),FIND("[",CELL("filename",A1))-1)&amp;"8.전기분야\5_전기설비 제작사 인터페이스 협의\표준서\전기설비 제작사 인터페이스 협의_표준서.html", "👉 [클릭] 표준서 열기 📄")</f>
        <v/>
      </c>
      <c r="O6" s="24" t="inlineStr">
        <is>
          <t>전기설비(변압기, 정류기, ESS, GIS, SCADA RTU) 제작사 사양 사전 반영, 이종 제작사 간 통신 프로토콜(IEC 61850, Modbus) 핀 맵/제어 랙 치수 조율 및 제작사양서 확정</t>
        </is>
      </c>
      <c r="P6" s="26">
        <f>HYPERLINK(LEFT(CELL("filename",A1),FIND("[",CELL("filename",A1))-1)&amp;"8.전기분야\5_전기설비 제작사 인터페이스 협의\수행지침\전기설비 제작사 인터페이스 협의_수행지침.html", "👉 [클릭] 수행지침 열기 📄")</f>
        <v/>
      </c>
      <c r="Q6" s="24" t="inlineStr">
        <is>
          <t>본 체크리스트는 동탄트램 전기분야 시공 착수 전전기설비(변압기, 정류기, ESS, GIS, SCADA RTU) 제작사 사양 사전 반영, 이종 제작사 간 통신 프로토콜(IEC 61850, Modbus) 핀 맵/제어 랙 치수 조...</t>
        </is>
      </c>
      <c r="R6" s="27">
        <f>HYPERLINK(LEFT(CELL("filename",A1),FIND("[",CELL("filename",A1))-1)&amp;"8.전기분야\5_전기설비 제작사 인터페이스 협의\체크리스트\전기설비 제작사 인터페이스 협의_체크리스트.html", "👉 [클릭] 체크리스트 열기 📄")</f>
        <v/>
      </c>
      <c r="S6" s="21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  <c r="DY6" s="18" t="n"/>
      <c r="DZ6" s="18" t="n"/>
      <c r="EA6" s="18" t="n"/>
      <c r="EB6" s="18" t="n"/>
      <c r="EC6" s="18" t="n"/>
      <c r="ED6" s="18" t="n"/>
      <c r="EE6" s="18" t="n"/>
      <c r="EF6" s="18" t="n"/>
      <c r="EG6" s="18" t="n"/>
      <c r="EH6" s="18" t="n"/>
      <c r="EI6" s="18" t="n"/>
      <c r="EJ6" s="18" t="n"/>
      <c r="EK6" s="18" t="n"/>
      <c r="EL6" s="18" t="n"/>
      <c r="EM6" s="18" t="n"/>
      <c r="EN6" s="18" t="n"/>
      <c r="EO6" s="18" t="n"/>
      <c r="EP6" s="18" t="n"/>
      <c r="EQ6" s="18" t="n"/>
      <c r="ER6" s="18" t="n"/>
      <c r="ES6" s="18" t="n"/>
      <c r="ET6" s="18" t="n"/>
      <c r="EU6" s="18" t="n"/>
      <c r="EV6" s="18" t="n"/>
      <c r="EW6" s="18" t="n"/>
      <c r="EX6" s="18" t="n"/>
      <c r="EY6" s="18" t="n"/>
      <c r="EZ6" s="18" t="n"/>
      <c r="FA6" s="18" t="n"/>
      <c r="FB6" s="18" t="n"/>
      <c r="FC6" s="18" t="n"/>
      <c r="FD6" s="18" t="n"/>
      <c r="FE6" s="18" t="n"/>
      <c r="FF6" s="18" t="n"/>
      <c r="FG6" s="18" t="n"/>
      <c r="FH6" s="18" t="n"/>
      <c r="FI6" s="18" t="n"/>
      <c r="FJ6" s="18" t="n"/>
      <c r="FK6" s="18" t="n"/>
      <c r="FL6" s="18" t="n"/>
      <c r="FM6" s="18" t="n"/>
      <c r="FN6" s="18" t="n"/>
      <c r="FO6" s="18" t="n"/>
    </row>
    <row r="7" ht="52.05" customHeight="1" s="88">
      <c r="A7" s="29" t="inlineStr">
        <is>
          <t>9000</t>
        </is>
      </c>
      <c r="B7" s="29" t="inlineStr">
        <is>
          <t>9000-8</t>
        </is>
      </c>
      <c r="C7" s="29" t="inlineStr">
        <is>
          <t>전기분야</t>
        </is>
      </c>
      <c r="D7" s="29" t="inlineStr">
        <is>
          <t>9000-8-6</t>
        </is>
      </c>
      <c r="E7" s="102" t="inlineStr">
        <is>
          <t>9000-8-4, 9000-8-5</t>
        </is>
      </c>
      <c r="F7" s="102" t="inlineStr">
        <is>
          <t>9000-8-7, 9000-8-9</t>
        </is>
      </c>
      <c r="G7" s="32" t="inlineStr">
        <is>
          <t>관제 및 운영사 인터페이스 협의</t>
        </is>
      </c>
      <c r="H7" s="33" t="inlineStr">
        <is>
          <t>D-180
(D-200~180)</t>
        </is>
      </c>
      <c r="I7" s="33" t="inlineStr">
        <is>
          <t>현장공사팀</t>
        </is>
      </c>
      <c r="J7" s="34" t="inlineStr">
        <is>
          <t>관제 및 운영사 요구사항 사전 반영 및 과업범위 최적화</t>
        </is>
      </c>
      <c r="K7" s="50" t="inlineStr">
        <is>
          <t>- 도로교통관제(수원, 동탄) 인터페이스 협의
- 전기설비 운영 및 유지보수자 편의성 향상을 위한 기능추가
  (불필요한 기능을 삭제시에는 사전 협의)
- 기기번호, 인터록(InterLock) Logic, 단로기(위치/번호/형태), 예비품 등 확정
* 인터록: 기계의 각 작동부분 상호간을 전기적, 기계적으로 연결해서 정상으로 작동하기 위한 조건이 만족되지 않는 경우 자동적으로 그 기계를 작동할 수 없도록 하는 기구
* 단로기: 차선로에 급전 및 선로 구분을 목적으로 하는 설비</t>
        </is>
      </c>
      <c r="L7" s="63" t="inlineStr">
        <is>
          <t>인터페이스 회의록 및 관리대장</t>
        </is>
      </c>
      <c r="M7" s="34" t="inlineStr">
        <is>
          <t>"지자체(수원시, 화성시) 도로교통관제 센터와 트램 우선신호 제어기 간 통신 인터페이스 및 연동 협의"</t>
        </is>
      </c>
      <c r="N7" s="35">
        <f>HYPERLINK(LEFT(CELL("filename",A1),FIND("[",CELL("filename",A1))-1)&amp;"8.전기분야\6_관제 및 운영사 인터페이스 협의\표준서\관제 및 운영사 인터페이스 협의_표준서.html", "👉 [클릭] 표준서 열기 📄")</f>
        <v/>
      </c>
      <c r="O7" s="34" t="inlineStr">
        <is>
          <t>수원시/동탄 도로교통관제 트램 우선신호 연동, 트램관제실(OCC) SCADA MMI 심볼 표준화, 차단기/단로기/접지스위치 안전 인터록 Logic 및 유지보수자 편의 기능 사전 협의</t>
        </is>
      </c>
      <c r="P7" s="36">
        <f>HYPERLINK(LEFT(CELL("filename",A1),FIND("[",CELL("filename",A1))-1)&amp;"8.전기분야\6_관제 및 운영사 인터페이스 협의\수행지침\관제 및 운영사 인터페이스 협의_수행지침.html", "👉 [클릭] 수행지침 열기 📄")</f>
        <v/>
      </c>
      <c r="Q7" s="34" t="inlineStr">
        <is>
          <t>본 체크리스트는 동탄트램 전기분야 시공 착수 전수원시/동탄 도로교통관제 트램 우선신호 연동, 트램관제실(OCC) SCADA MMI 심볼 표준화, 차단기/단로기/접지스위치 안전 인터록 Logic 및 유지보수자 편의 기능 사전 ...</t>
        </is>
      </c>
      <c r="R7" s="37">
        <f>HYPERLINK(LEFT(CELL("filename",A1),FIND("[",CELL("filename",A1))-1)&amp;"8.전기분야\6_관제 및 운영사 인터페이스 협의\체크리스트\관제 및 운영사 인터페이스 협의_체크리스트.html", "👉 [클릭] 체크리스트 열기 📄")</f>
        <v/>
      </c>
      <c r="S7" s="33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8" t="n"/>
      <c r="EB7" s="18" t="n"/>
      <c r="EC7" s="18" t="n"/>
      <c r="ED7" s="18" t="n"/>
      <c r="EE7" s="18" t="n"/>
      <c r="EF7" s="18" t="n"/>
      <c r="EG7" s="18" t="n"/>
      <c r="EH7" s="18" t="n"/>
      <c r="EI7" s="18" t="n"/>
      <c r="EJ7" s="18" t="n"/>
      <c r="EK7" s="18" t="n"/>
      <c r="EL7" s="18" t="n"/>
      <c r="EM7" s="18" t="n"/>
      <c r="EN7" s="18" t="n"/>
      <c r="EO7" s="18" t="n"/>
      <c r="EP7" s="18" t="n"/>
      <c r="EQ7" s="18" t="n"/>
      <c r="ER7" s="18" t="n"/>
      <c r="ES7" s="18" t="n"/>
      <c r="ET7" s="18" t="n"/>
      <c r="EU7" s="18" t="n"/>
      <c r="EV7" s="18" t="n"/>
      <c r="EW7" s="18" t="n"/>
      <c r="EX7" s="18" t="n"/>
      <c r="EY7" s="18" t="n"/>
      <c r="EZ7" s="18" t="n"/>
      <c r="FA7" s="18" t="n"/>
      <c r="FB7" s="18" t="n"/>
      <c r="FC7" s="18" t="n"/>
      <c r="FD7" s="18" t="n"/>
      <c r="FE7" s="18" t="n"/>
      <c r="FF7" s="18" t="n"/>
      <c r="FG7" s="18" t="n"/>
      <c r="FH7" s="18" t="n"/>
      <c r="FI7" s="18" t="n"/>
      <c r="FJ7" s="18" t="n"/>
      <c r="FK7" s="18" t="n"/>
      <c r="FL7" s="18" t="n"/>
      <c r="FM7" s="18" t="n"/>
      <c r="FN7" s="18" t="n"/>
      <c r="FO7" s="18" t="n"/>
      <c r="FP7" s="18" t="n"/>
      <c r="FQ7" s="18" t="n"/>
      <c r="FR7" s="18" t="n"/>
      <c r="FS7" s="18" t="n"/>
    </row>
    <row r="8" ht="52.05" customHeight="1" s="88">
      <c r="A8" s="19" t="inlineStr">
        <is>
          <t>9000</t>
        </is>
      </c>
      <c r="B8" s="19" t="inlineStr">
        <is>
          <t>9000-8</t>
        </is>
      </c>
      <c r="C8" s="19" t="inlineStr">
        <is>
          <t>전기분야</t>
        </is>
      </c>
      <c r="D8" s="19" t="inlineStr">
        <is>
          <t>9000-8-7</t>
        </is>
      </c>
      <c r="E8" s="95" t="inlineStr">
        <is>
          <t>9000-8-2, 9000-8-6</t>
        </is>
      </c>
      <c r="F8" s="95" t="inlineStr">
        <is>
          <t>9000-8-8, 9000-8-10</t>
        </is>
      </c>
      <c r="G8" s="23" t="inlineStr">
        <is>
          <t>발주처 품질 요구사항 검토</t>
        </is>
      </c>
      <c r="H8" s="21" t="inlineStr">
        <is>
          <t>D-180
(D-200~180)</t>
        </is>
      </c>
      <c r="I8" s="21" t="inlineStr">
        <is>
          <t>현장공무팀</t>
        </is>
      </c>
      <c r="J8" s="24" t="inlineStr">
        <is>
          <t>발주처 품질관리 기준/검사방안 확인</t>
        </is>
      </c>
      <c r="K8" s="24" t="inlineStr">
        <is>
          <t>- 감리/감독과 품질검사(ITP/ITC) 항목 검토</t>
        </is>
      </c>
      <c r="L8" s="62" t="inlineStr">
        <is>
          <t>ITP/ITC</t>
        </is>
      </c>
      <c r="M8" s="24" t="inlineStr">
        <is>
          <t>"감리/감독원 입회 품질검측계획서(ITP: Inspection &amp; Test Plan) 작성 및 Hold Point(필수정지점) / Witness Point(입회점) 구분 명시"</t>
        </is>
      </c>
      <c r="N8" s="25">
        <f>HYPERLINK(LEFT(CELL("filename",A1),FIND("[",CELL("filename",A1))-1)&amp;"8.전기분야\7_발주처 품질 요구사항 검토\표준서\발주처 품질 요구사항 검토_표준서.html", "👉 [클릭] 표준서 열기 📄")</f>
        <v/>
      </c>
      <c r="O8" s="24" t="inlineStr">
        <is>
          <t>감리/감독원 품질검사(ITP/ITC) 항목 검토, Hold Point/Witness Point 입회점 구분 수립, 현장 계측기 교정성적서 관리 및 불합격 자재 48시간 내 반출 통제 수칙</t>
        </is>
      </c>
      <c r="P8" s="26">
        <f>HYPERLINK(LEFT(CELL("filename",A1),FIND("[",CELL("filename",A1))-1)&amp;"8.전기분야\7_발주처 품질 요구사항 검토\수행지침\발주처 품질 요구사항 검토_수행지침.html", "👉 [클릭] 수행지침 열기 📄")</f>
        <v/>
      </c>
      <c r="Q8" s="24" t="inlineStr">
        <is>
          <t>본 체크리스트는 동탄트램 전기분야 업무 이행에 대해감리/감독원 품질검사(ITP/ITC) 항목 검토, Hold Point/Witness Point 입회점 구분 수립, 현장 계측기 교정성적서 관리 및 불합격 자재 48시간 내 반...</t>
        </is>
      </c>
      <c r="R8" s="27">
        <f>HYPERLINK(LEFT(CELL("filename",A1),FIND("[",CELL("filename",A1))-1)&amp;"8.전기분야\7_발주처 품질 요구사항 검토\체크리스트\발주처 품질 요구사항 검토_체크리스트.html", "👉 [클릭] 체크리스트 열기 📄")</f>
        <v/>
      </c>
      <c r="S8" s="21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8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  <c r="EN8" s="18" t="n"/>
      <c r="EO8" s="18" t="n"/>
      <c r="EP8" s="18" t="n"/>
      <c r="EQ8" s="18" t="n"/>
      <c r="ER8" s="18" t="n"/>
      <c r="ES8" s="18" t="n"/>
      <c r="ET8" s="18" t="n"/>
      <c r="EU8" s="18" t="n"/>
      <c r="EV8" s="18" t="n"/>
      <c r="EW8" s="18" t="n"/>
      <c r="EX8" s="18" t="n"/>
      <c r="EY8" s="18" t="n"/>
      <c r="EZ8" s="18" t="n"/>
      <c r="FA8" s="18" t="n"/>
      <c r="FB8" s="18" t="n"/>
      <c r="FC8" s="18" t="n"/>
      <c r="FD8" s="18" t="n"/>
      <c r="FE8" s="18" t="n"/>
      <c r="FF8" s="18" t="n"/>
      <c r="FG8" s="18" t="n"/>
      <c r="FH8" s="18" t="n"/>
      <c r="FI8" s="18" t="n"/>
      <c r="FJ8" s="18" t="n"/>
      <c r="FK8" s="18" t="n"/>
      <c r="FL8" s="18" t="n"/>
      <c r="FM8" s="18" t="n"/>
      <c r="FN8" s="18" t="n"/>
      <c r="FO8" s="18" t="n"/>
      <c r="FP8" s="18" t="n"/>
      <c r="FQ8" s="18" t="n"/>
      <c r="FR8" s="18" t="n"/>
      <c r="FS8" s="18" t="n"/>
      <c r="FT8" s="18" t="n"/>
      <c r="FU8" s="18" t="n"/>
      <c r="FV8" s="18" t="n"/>
      <c r="FW8" s="18" t="n"/>
    </row>
    <row r="9" ht="52.05" customHeight="1" s="88">
      <c r="A9" s="29" t="inlineStr">
        <is>
          <t>9000</t>
        </is>
      </c>
      <c r="B9" s="29" t="inlineStr">
        <is>
          <t>9000-8</t>
        </is>
      </c>
      <c r="C9" s="29" t="inlineStr">
        <is>
          <t>전기분야</t>
        </is>
      </c>
      <c r="D9" s="29" t="inlineStr">
        <is>
          <t>9000-8-8</t>
        </is>
      </c>
      <c r="E9" s="102" t="inlineStr">
        <is>
          <t>9000-8-5, 9000-8-7</t>
        </is>
      </c>
      <c r="F9" s="102" t="inlineStr">
        <is>
          <t>9000-8-11, 9000-8-12</t>
        </is>
      </c>
      <c r="G9" s="32" t="inlineStr">
        <is>
          <t>자재 / 인원 / 장비 등 투입 사전 검토</t>
        </is>
      </c>
      <c r="H9" s="33" t="inlineStr">
        <is>
          <t>D-180
(D-200~180)</t>
        </is>
      </c>
      <c r="I9" s="33" t="inlineStr">
        <is>
          <t>현장공사팀</t>
        </is>
      </c>
      <c r="J9" s="34" t="inlineStr">
        <is>
          <t>자재 / 인원 / 장비 투입 계획 수립</t>
        </is>
      </c>
      <c r="K9" s="50" t="inlineStr">
        <is>
          <t>- 현장 여건 및 수량을 기준으로 투입(인력, 장비, 자재)을 검토</t>
        </is>
      </c>
      <c r="L9" s="63" t="inlineStr">
        <is>
          <t>세부 공정계획 수립 및 조율</t>
        </is>
      </c>
      <c r="M9" s="34" t="inlineStr">
        <is>
          <t>"변압기, GIS, 정류기, ESS, 전차선 등 주요 전기자재 공장 제작 및 수급 소요 기간(Lead Time 30~60일)을 공정표와 사전 연동 통제"</t>
        </is>
      </c>
      <c r="N9" s="35">
        <f>HYPERLINK(LEFT(CELL("filename",A1),FIND("[",CELL("filename",A1))-1)&amp;"8.전기분야\8_자재 _ 인원 _ 장비 등 투입 사전 검토\표준서\자재 _ 인원 _ 장비 등 투입 사전 검토_표준서.html", "👉 [클릭] 표준서 열기 📄")</f>
        <v/>
      </c>
      <c r="O9" s="34" t="inlineStr">
        <is>
          <t>현장 여건 및 공정을 기준으로 주요 자재 Lead Time(30~60일) 사전 발주 검증, 한국전기공사협회 기술자 자격 실물 대조, 고소작업차 안전검사합격증 확인 및 투입계획서 승인</t>
        </is>
      </c>
      <c r="P9" s="36">
        <f>HYPERLINK(LEFT(CELL("filename",A1),FIND("[",CELL("filename",A1))-1)&amp;"8.전기분야\8_자재 _ 인원 _ 장비 등 투입 사전 검토\수행지침\자재 _ 인원 _ 장비 등 투입 사전 검토_수행지침.html", "👉 [클릭] 수행지침 열기 📄")</f>
        <v/>
      </c>
      <c r="Q9" s="34" t="inlineStr">
        <is>
          <t>본 체크리스트는 동탄트램 전기분야 업무 이행에 대해현장 여건 및 공정을 기준으로 주요 자재 Lead Time(30~60일) 사전 발주 검증, 한국전기공사협회 기술자 자격 실물 대조, 고소작업차 안전검사합격증 확인 및 투입계획...</t>
        </is>
      </c>
      <c r="R9" s="37">
        <f>HYPERLINK(LEFT(CELL("filename",A1),FIND("[",CELL("filename",A1))-1)&amp;"8.전기분야\8_자재 _ 인원 _ 장비 등 투입 사전 검토\체크리스트\자재 _ 인원 _ 장비 등 투입 사전 검토_체크리스트.html", "👉 [클릭] 체크리스트 열기 📄")</f>
        <v/>
      </c>
      <c r="S9" s="33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8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  <c r="ER9" s="18" t="n"/>
      <c r="ES9" s="18" t="n"/>
      <c r="ET9" s="18" t="n"/>
      <c r="EU9" s="18" t="n"/>
      <c r="EV9" s="18" t="n"/>
      <c r="EW9" s="18" t="n"/>
      <c r="EX9" s="18" t="n"/>
      <c r="EY9" s="18" t="n"/>
      <c r="EZ9" s="18" t="n"/>
      <c r="FA9" s="18" t="n"/>
      <c r="FB9" s="18" t="n"/>
      <c r="FC9" s="18" t="n"/>
      <c r="FD9" s="18" t="n"/>
      <c r="FE9" s="18" t="n"/>
      <c r="FF9" s="18" t="n"/>
      <c r="FG9" s="18" t="n"/>
      <c r="FH9" s="18" t="n"/>
      <c r="FI9" s="18" t="n"/>
      <c r="FJ9" s="18" t="n"/>
      <c r="FK9" s="18" t="n"/>
      <c r="FL9" s="18" t="n"/>
      <c r="FM9" s="18" t="n"/>
      <c r="FN9" s="18" t="n"/>
      <c r="FO9" s="18" t="n"/>
      <c r="FP9" s="18" t="n"/>
      <c r="FQ9" s="18" t="n"/>
      <c r="FR9" s="18" t="n"/>
      <c r="FS9" s="18" t="n"/>
      <c r="FT9" s="18" t="n"/>
      <c r="FU9" s="18" t="n"/>
      <c r="FV9" s="18" t="n"/>
      <c r="FW9" s="18" t="n"/>
      <c r="FX9" s="18" t="n"/>
      <c r="FY9" s="18" t="n"/>
      <c r="FZ9" s="18" t="n"/>
      <c r="GA9" s="18" t="n"/>
    </row>
    <row r="10" ht="52.05" customHeight="1" s="88">
      <c r="A10" s="19" t="inlineStr">
        <is>
          <t>9000</t>
        </is>
      </c>
      <c r="B10" s="19" t="inlineStr">
        <is>
          <t>9000-8</t>
        </is>
      </c>
      <c r="C10" s="19" t="inlineStr">
        <is>
          <t>전기분야</t>
        </is>
      </c>
      <c r="D10" s="19" t="inlineStr">
        <is>
          <t>9000-8-9</t>
        </is>
      </c>
      <c r="E10" s="95" t="inlineStr">
        <is>
          <t>9000-8-6</t>
        </is>
      </c>
      <c r="F10" s="95" t="inlineStr">
        <is>
          <t>9000-8-12, 9000-8-13</t>
        </is>
      </c>
      <c r="G10" s="23" t="inlineStr">
        <is>
          <t>인허가 준비</t>
        </is>
      </c>
      <c r="H10" s="21" t="inlineStr">
        <is>
          <t>D-180
(D-200~180)</t>
        </is>
      </c>
      <c r="I10" s="21" t="inlineStr">
        <is>
          <t>현장공무팀</t>
        </is>
      </c>
      <c r="J10" s="24" t="inlineStr">
        <is>
          <t>관련법에 따른 인허가 수행</t>
        </is>
      </c>
      <c r="K10" s="49" t="inlineStr">
        <is>
          <t>- 인허가(전기사용신청, 공사계획신고, 도로점용허가, 도로공사 신고, 전기 사용전검사 등) 추진 계획을 To do list 작성하여 관리</t>
        </is>
      </c>
      <c r="L10" s="62" t="inlineStr">
        <is>
          <t>인허가 To do list</t>
        </is>
      </c>
      <c r="M10" s="24" t="inlineStr">
        <is>
          <t>"관할 한전에 수전 용량 계산서, 건축허가서, 22.9kV 수전 단선도 첨부 전기사용신청서 제출(처리기간 1개월) 및 인수점 지중 맨홀 협의"</t>
        </is>
      </c>
      <c r="N10" s="25">
        <f>HYPERLINK(LEFT(CELL("filename",A1),FIND("[",CELL("filename",A1))-1)&amp;"8.전기분야\9_인허가 준비\표준서\인허가 준비_표준서.html", "👉 [클릭] 표준서 열기 📄")</f>
        <v/>
      </c>
      <c r="O10" s="24" t="inlineStr">
        <is>
          <t>한전 22.9kV 수전 전기사용신청, 지자체 전기 공사계획신고, 도로점용허가(도로법 56조), 도로공사신고(도로교통법 69조) 및 KESC 사용전검사 인허가 To-Do List 추적 관리</t>
        </is>
      </c>
      <c r="P10" s="26">
        <f>HYPERLINK(LEFT(CELL("filename",A1),FIND("[",CELL("filename",A1))-1)&amp;"8.전기분야\9_인허가 준비\수행지침\인허가 준비_수행지침.html", "👉 [클릭] 수행지침 열기 📄")</f>
        <v/>
      </c>
      <c r="Q10" s="24" t="inlineStr">
        <is>
          <t>본 체크리스트는 동탄트램 전기분야 업무 이행에 대해한전 22.9kV 수전 전기사용신청, 지자체 전기 공사계획신고, 도로점용허가(도로법 56조), 도로공사신고(도로교통법 69조) 및 KESC 사용전검사 인허가 To-Do Lis...</t>
        </is>
      </c>
      <c r="R10" s="27">
        <f>HYPERLINK(LEFT(CELL("filename",A1),FIND("[",CELL("filename",A1))-1)&amp;"8.전기분야\9_인허가 준비\체크리스트\인허가 준비_체크리스트.html", "👉 [클릭] 체크리스트 열기 📄")</f>
        <v/>
      </c>
      <c r="S10" s="21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8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  <c r="EV10" s="18" t="n"/>
      <c r="EW10" s="18" t="n"/>
      <c r="EX10" s="18" t="n"/>
      <c r="EY10" s="18" t="n"/>
      <c r="EZ10" s="18" t="n"/>
      <c r="FA10" s="18" t="n"/>
      <c r="FB10" s="18" t="n"/>
      <c r="FC10" s="18" t="n"/>
      <c r="FD10" s="18" t="n"/>
      <c r="FE10" s="18" t="n"/>
      <c r="FF10" s="18" t="n"/>
      <c r="FG10" s="18" t="n"/>
      <c r="FH10" s="18" t="n"/>
      <c r="FI10" s="18" t="n"/>
      <c r="FJ10" s="18" t="n"/>
      <c r="FK10" s="18" t="n"/>
      <c r="FL10" s="18" t="n"/>
      <c r="FM10" s="18" t="n"/>
      <c r="FN10" s="18" t="n"/>
      <c r="FO10" s="18" t="n"/>
      <c r="FP10" s="18" t="n"/>
      <c r="FQ10" s="18" t="n"/>
      <c r="FR10" s="18" t="n"/>
      <c r="FS10" s="18" t="n"/>
      <c r="FT10" s="18" t="n"/>
      <c r="FU10" s="18" t="n"/>
      <c r="FV10" s="18" t="n"/>
      <c r="FW10" s="18" t="n"/>
      <c r="FX10" s="18" t="n"/>
      <c r="FY10" s="18" t="n"/>
      <c r="FZ10" s="18" t="n"/>
      <c r="GA10" s="18" t="n"/>
      <c r="GB10" s="18" t="n"/>
      <c r="GC10" s="18" t="n"/>
      <c r="GD10" s="18" t="n"/>
      <c r="GE10" s="18" t="n"/>
    </row>
    <row r="11" ht="52.05" customHeight="1" s="88">
      <c r="A11" s="29" t="inlineStr">
        <is>
          <t>9000</t>
        </is>
      </c>
      <c r="B11" s="29" t="inlineStr">
        <is>
          <t>9000-8</t>
        </is>
      </c>
      <c r="C11" s="29" t="inlineStr">
        <is>
          <t>전기분야</t>
        </is>
      </c>
      <c r="D11" s="29" t="inlineStr">
        <is>
          <t>9000-8-10</t>
        </is>
      </c>
      <c r="E11" s="102" t="inlineStr">
        <is>
          <t>9000-8-7</t>
        </is>
      </c>
      <c r="F11" s="102" t="inlineStr">
        <is>
          <t>9000-8-13, 9000-8-14</t>
        </is>
      </c>
      <c r="G11" s="32" t="inlineStr">
        <is>
          <t>착수 전 Big Room 회의</t>
        </is>
      </c>
      <c r="H11" s="33" t="inlineStr">
        <is>
          <t>D-170</t>
        </is>
      </c>
      <c r="I11" s="33" t="inlineStr">
        <is>
          <t>현장공무팀</t>
        </is>
      </c>
      <c r="J11" s="34" t="inlineStr">
        <is>
          <t>전철전력공사 수행 시, 선행공정 간섭사항 및 각종 Risk에 대한 대책 수립</t>
        </is>
      </c>
      <c r="K11" s="34" t="inlineStr">
        <is>
          <t>본사/현장/협력사 협의체 구축 후 상세검토
 - 공종별 간섭사항 검토: 노반(궤도)/신호/통신/기계/차량 인터페이스
 - 전기 자재 반입로/기자재 반입구/자재 야적장/제작사 공장 검토
 - 전기 자재 성능보증 검토: 유사사례 적용실적 및 성능보증 세부사항 등
 - 하자 예방: 타 프로젝트 하자사례 검토 후, 재발방지방안 수립
 - 인원, 자재, 장비 투입계획, 양중장비 운영계획 검토
 - 당사의 장비 안전검사 기준 공유, 장비검사 계획 확인
 - 공종별 Risk Hedge 방안 검토
  1) 안전/품질 Risk 도출 및 대책 수립 
  2) 민원 대응방안 수립
• 참석: 현장소장, 공무/공사/품질/안전팀담당자, 전철전력 협력업체, 선후행 공종 협력업체(토목, 시운전 등), 본사 담당팀(견적/엔지니어링/공정/품질/안전), 수행(공정)/품질/안전</t>
        </is>
      </c>
      <c r="L11" s="63" t="inlineStr">
        <is>
          <t>Big Room 회의록(참석자 전원 서명)</t>
        </is>
      </c>
      <c r="M11" s="34" t="inlineStr">
        <is>
          <t>"노반(궤도), 신호, 통신, 기계, PSD, 차량 인터페이스 및 3D BIM 공간 간섭을 전면 사전 검토한다."</t>
        </is>
      </c>
      <c r="N11" s="35">
        <f>HYPERLINK(LEFT(CELL("filename",A1),FIND("[",CELL("filename",A1))-1)&amp;"8.전기분야\10_착수 전 Big Room 회의\표준서\착수 전 Big Room 회의_표준서.html", "👉 [클릭] 표준서 열기 📄")</f>
        <v/>
      </c>
      <c r="O11" s="34" t="inlineStr">
        <is>
          <t>본 지침서는 동탄트램 전기분야 실공사 착수 전본사, 현장, 협력사 및 토목/신호/차량 3자 협의체 구축 방법,3D BIM 공종 간섭 조율, 자재 반입 동선/야적장 확보, 타 프로젝트 하자사례 분석 및 안전/민원 Risk He...</t>
        </is>
      </c>
      <c r="P11" s="36">
        <f>HYPERLINK(LEFT(CELL("filename",A1),FIND("[",CELL("filename",A1))-1)&amp;"8.전기분야\10_착수 전 Big Room 회의\수행지침\착수 전 Big Room 회의_수행지침.html", "👉 [클릭] 수행지침 열기 📄")</f>
        <v/>
      </c>
      <c r="Q11" s="34" t="inlineStr">
        <is>
          <t>본 체크리스트는 동탄트램 전기분야 실공사 착수 전본사, 현장, 협력사 및 토목/신호/차량 3자 협의체를 구축하여 3D BIM 공종 간섭, 자재 반입 동선, 타 현장 하자사례 재발방지책 및 Risk Hedge 방안을 확정하기 ...</t>
        </is>
      </c>
      <c r="R11" s="37">
        <f>HYPERLINK(LEFT(CELL("filename",A1),FIND("[",CELL("filename",A1))-1)&amp;"8.전기분야\10_착수 전 Big Room 회의\체크리스트\착수 전 Big Room 회의_체크리스트.html", "👉 [클릭] 체크리스트 열기 📄")</f>
        <v/>
      </c>
      <c r="S11" s="33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8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8" t="n"/>
      <c r="EY11" s="18" t="n"/>
      <c r="EZ11" s="18" t="n"/>
      <c r="FA11" s="18" t="n"/>
      <c r="FB11" s="18" t="n"/>
      <c r="FC11" s="18" t="n"/>
      <c r="FD11" s="18" t="n"/>
      <c r="FE11" s="18" t="n"/>
      <c r="FF11" s="18" t="n"/>
      <c r="FG11" s="18" t="n"/>
      <c r="FH11" s="18" t="n"/>
      <c r="FI11" s="18" t="n"/>
      <c r="FJ11" s="18" t="n"/>
      <c r="FK11" s="18" t="n"/>
      <c r="FL11" s="18" t="n"/>
      <c r="FM11" s="18" t="n"/>
      <c r="FN11" s="18" t="n"/>
      <c r="FO11" s="18" t="n"/>
      <c r="FP11" s="18" t="n"/>
      <c r="FQ11" s="18" t="n"/>
      <c r="FR11" s="18" t="n"/>
      <c r="FS11" s="18" t="n"/>
      <c r="FT11" s="18" t="n"/>
      <c r="FU11" s="18" t="n"/>
      <c r="FV11" s="18" t="n"/>
      <c r="FW11" s="18" t="n"/>
      <c r="FX11" s="18" t="n"/>
      <c r="FY11" s="18" t="n"/>
      <c r="FZ11" s="18" t="n"/>
      <c r="GA11" s="18" t="n"/>
      <c r="GB11" s="18" t="n"/>
      <c r="GC11" s="18" t="n"/>
      <c r="GD11" s="18" t="n"/>
      <c r="GE11" s="18" t="n"/>
      <c r="GF11" s="18" t="n"/>
      <c r="GG11" s="18" t="n"/>
      <c r="GH11" s="18" t="n"/>
      <c r="GI11" s="18" t="n"/>
    </row>
    <row r="12" ht="52.05" customHeight="1" s="88">
      <c r="A12" s="19" t="inlineStr">
        <is>
          <t>9000</t>
        </is>
      </c>
      <c r="B12" s="19" t="inlineStr">
        <is>
          <t>9000-8</t>
        </is>
      </c>
      <c r="C12" s="19" t="inlineStr">
        <is>
          <t>전기분야</t>
        </is>
      </c>
      <c r="D12" s="19" t="inlineStr">
        <is>
          <t>9000-8-11</t>
        </is>
      </c>
      <c r="E12" s="95" t="inlineStr">
        <is>
          <t>9000-8-8</t>
        </is>
      </c>
      <c r="F12" s="95" t="inlineStr">
        <is>
          <t>9000-8-14, 9000-8-15</t>
        </is>
      </c>
      <c r="G12" s="23" t="inlineStr">
        <is>
          <t>전기설비 제작 사양서 작성 / 승인</t>
        </is>
      </c>
      <c r="H12" s="21" t="inlineStr">
        <is>
          <t>D-90
(D-180~90)</t>
        </is>
      </c>
      <c r="I12" s="21" t="inlineStr">
        <is>
          <t>현장공사팀</t>
        </is>
      </c>
      <c r="J12" s="24" t="inlineStr">
        <is>
          <t>전기설비의 제작 사양서 작성/승인</t>
        </is>
      </c>
      <c r="K12" s="24" t="inlineStr">
        <is>
          <t>- 현장여건 및 실시설계도서(보고서,도면,자재사양서)의 요구사항 충족 여부를 확인
- 제작사양서, 제작도면 작성 후 감리단 승인</t>
        </is>
      </c>
      <c r="L12" s="62" t="inlineStr">
        <is>
          <t>제작사양서, 제작도면</t>
        </is>
      </c>
      <c r="M12" s="24" t="inlineStr">
        <is>
          <t>"변압기 용량, 정류기 정격, ESS 배터리 세부 기술사양서 검토 및 시방 규격 1:1 대조 파악"</t>
        </is>
      </c>
      <c r="N12" s="25">
        <f>HYPERLINK(LEFT(CELL("filename",A1),FIND("[",CELL("filename",A1))-1)&amp;"8.전기분야\11_전기설비 제작 사양서 작성 _ 승인\표준서\전기설비 제작 사양서 작성 _ 승인_표준서.html", "👉 [클릭] 표준서 열기 📄")</f>
        <v/>
      </c>
      <c r="O12" s="24" t="inlineStr">
        <is>
          <t>전기설비(변압기, 정류기, ESS, GIS, SCADA) 공장 제작 착수 전 발주처 특기시방서 및 KDS 47 00 00 철도설계기준에 따른 상세 기술사양서 및 공장 제작 승인도면(Shop Drawing) 검토</t>
        </is>
      </c>
      <c r="P12" s="26">
        <f>HYPERLINK(LEFT(CELL("filename",A1),FIND("[",CELL("filename",A1))-1)&amp;"8.전기분야\11_전기설비 제작 사양서 작성 _ 승인\수행지침\전기설비 제작 사양서 작성 _ 승인_수행지침.html", "👉 [클릭] 수행지침 열기 📄")</f>
        <v/>
      </c>
      <c r="Q12" s="24" t="inlineStr">
        <is>
          <t>본 체크리스트는 동탄트램 전기분야 전기설비 제작 사양서 작성 / 승인 업무 이행에 대해전기설비(변압기, 정류기, ESS, GIS, SCADA) 공장 제작 착수 전 발주처 특기시방서 및 KDS 47 00 00 철도설계기준에 따...</t>
        </is>
      </c>
      <c r="R12" s="27">
        <f>HYPERLINK(LEFT(CELL("filename",A1),FIND("[",CELL("filename",A1))-1)&amp;"8.전기분야\11_전기설비 제작 사양서 작성 _ 승인\체크리스트\전기설비 제작 사양서 작성 _ 승인_체크리스트.html", "👉 [클릭] 체크리스트 열기 📄")</f>
        <v/>
      </c>
      <c r="S12" s="2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8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8" t="n"/>
      <c r="EY12" s="18" t="n"/>
      <c r="EZ12" s="18" t="n"/>
      <c r="FA12" s="18" t="n"/>
      <c r="FB12" s="18" t="n"/>
      <c r="FC12" s="18" t="n"/>
      <c r="FD12" s="18" t="n"/>
      <c r="FE12" s="18" t="n"/>
      <c r="FF12" s="18" t="n"/>
      <c r="FG12" s="18" t="n"/>
      <c r="FH12" s="18" t="n"/>
      <c r="FI12" s="18" t="n"/>
      <c r="FJ12" s="18" t="n"/>
      <c r="FK12" s="18" t="n"/>
      <c r="FL12" s="18" t="n"/>
      <c r="FM12" s="18" t="n"/>
      <c r="FN12" s="18" t="n"/>
      <c r="FO12" s="18" t="n"/>
      <c r="FP12" s="18" t="n"/>
      <c r="FQ12" s="18" t="n"/>
      <c r="FR12" s="18" t="n"/>
      <c r="FS12" s="18" t="n"/>
      <c r="FT12" s="18" t="n"/>
      <c r="FU12" s="18" t="n"/>
      <c r="FV12" s="18" t="n"/>
      <c r="FW12" s="18" t="n"/>
      <c r="FX12" s="18" t="n"/>
      <c r="FY12" s="18" t="n"/>
      <c r="FZ12" s="18" t="n"/>
      <c r="GA12" s="18" t="n"/>
      <c r="GB12" s="18" t="n"/>
      <c r="GC12" s="18" t="n"/>
      <c r="GD12" s="18" t="n"/>
      <c r="GE12" s="18" t="n"/>
      <c r="GF12" s="18" t="n"/>
      <c r="GG12" s="18" t="n"/>
      <c r="GH12" s="18" t="n"/>
      <c r="GI12" s="18" t="n"/>
      <c r="GJ12" s="18" t="n"/>
      <c r="GK12" s="18" t="n"/>
      <c r="GL12" s="18" t="n"/>
      <c r="GM12" s="18" t="n"/>
    </row>
    <row r="13" ht="52.05" customHeight="1" s="88">
      <c r="A13" s="29" t="inlineStr">
        <is>
          <t>9000</t>
        </is>
      </c>
      <c r="B13" s="29" t="inlineStr">
        <is>
          <t>9000-8</t>
        </is>
      </c>
      <c r="C13" s="29" t="inlineStr">
        <is>
          <t>전기분야</t>
        </is>
      </c>
      <c r="D13" s="29" t="inlineStr">
        <is>
          <t>9000-8-12</t>
        </is>
      </c>
      <c r="E13" s="102" t="inlineStr">
        <is>
          <t>9000-8-8, 9000-8-9</t>
        </is>
      </c>
      <c r="F13" s="102" t="inlineStr">
        <is>
          <t>9000-8-15, 9000-8-16</t>
        </is>
      </c>
      <c r="G13" s="32" t="inlineStr">
        <is>
          <t>시공 계획 수립 / 승인</t>
        </is>
      </c>
      <c r="H13" s="33" t="inlineStr">
        <is>
          <t>D-60
(D-90~60)</t>
        </is>
      </c>
      <c r="I13" s="33" t="inlineStr">
        <is>
          <t>현장공사팀</t>
        </is>
      </c>
      <c r="J13" s="34" t="inlineStr">
        <is>
          <t>안전/품질이 확보된 시공계획 수립</t>
        </is>
      </c>
      <c r="K13" s="50" t="inlineStr">
        <is>
          <t>- 공사계획: 예정공정표, 인원/장비/자재투입 계획, 전기자재 설치 절차서 등
- 안전관리: 위험요인/대책, 안전교육/시설/점검 계획 수립
- 품질관리: 품질하자 Risk 및 대책 수립
- 전기공사 수행을 위한 처리계통별 시공계획 수립 : 본선/전기실의 전기설비 설치 방법 및 관리사항, 각종 시험 방법 등</t>
        </is>
      </c>
      <c r="L13" s="63" t="inlineStr">
        <is>
          <t>시공계획서&amp;시공상세도</t>
        </is>
      </c>
      <c r="M13" s="34" t="inlineStr">
        <is>
          <t>"변전기기 반입, Cable Tray 설치, 전차선 지주 입립 시공 순서 및 3D BIM 공정 수립"</t>
        </is>
      </c>
      <c r="N13" s="35">
        <f>HYPERLINK(LEFT(CELL("filename",A1),FIND("[",CELL("filename",A1))-1)&amp;"8.전기분야\12_시공 계획 수립 _ 승인\표준서\시공 계획 수립 _ 승인_표준서.html", "👉 [클릭] 표준서 열기 📄")</f>
        <v/>
      </c>
      <c r="O13" s="34" t="inlineStr">
        <is>
          <t>전기분야 공정별(변전소, 전차선, 케이블 포설) 상세 시공계획서 수립, 예정공정표(Critical Path) 검토, 시공 순서 및 안전/품질 관리대책 수립 후 감리단 공학적 승인 완수</t>
        </is>
      </c>
      <c r="P13" s="36">
        <f>HYPERLINK(LEFT(CELL("filename",A1),FIND("[",CELL("filename",A1))-1)&amp;"8.전기분야\12_시공 계획 수립 _ 승인\수행지침\시공 계획 수립 _ 승인_수행지침.html", "👉 [클릭] 수행지침 열기 📄")</f>
        <v/>
      </c>
      <c r="Q13" s="34" t="inlineStr">
        <is>
          <t>본 체크리스트는 동탄트램 전기분야 시공 계획 수립 / 승인 업무 이행에 대해전기분야 공정별(변전소, 전차선, 케이블 포설) 상세 시공계획서 수립, 예정공정표(Critical Path) 검토, 시공 순서 및 안전/품질 관리대책...</t>
        </is>
      </c>
      <c r="R13" s="37">
        <f>HYPERLINK(LEFT(CELL("filename",A1),FIND("[",CELL("filename",A1))-1)&amp;"8.전기분야\12_시공 계획 수립 _ 승인\체크리스트\시공 계획 수립 _ 승인_체크리스트.html", "👉 [클릭] 체크리스트 열기 📄")</f>
        <v/>
      </c>
      <c r="S13" s="33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Y13" s="18" t="n"/>
      <c r="DZ13" s="18" t="n"/>
      <c r="EA13" s="18" t="n"/>
      <c r="EB13" s="18" t="n"/>
      <c r="EC13" s="18" t="n"/>
      <c r="ED13" s="18" t="n"/>
      <c r="EE13" s="18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P13" s="18" t="n"/>
      <c r="EQ13" s="18" t="n"/>
      <c r="ER13" s="18" t="n"/>
      <c r="ES13" s="18" t="n"/>
      <c r="ET13" s="18" t="n"/>
      <c r="EU13" s="18" t="n"/>
      <c r="EV13" s="18" t="n"/>
      <c r="EW13" s="18" t="n"/>
      <c r="EX13" s="18" t="n"/>
      <c r="EY13" s="18" t="n"/>
      <c r="EZ13" s="18" t="n"/>
      <c r="FA13" s="18" t="n"/>
      <c r="FB13" s="18" t="n"/>
      <c r="FC13" s="18" t="n"/>
      <c r="FD13" s="18" t="n"/>
      <c r="FE13" s="18" t="n"/>
      <c r="FF13" s="18" t="n"/>
      <c r="FG13" s="18" t="n"/>
      <c r="FH13" s="18" t="n"/>
      <c r="FI13" s="18" t="n"/>
      <c r="FJ13" s="18" t="n"/>
      <c r="FK13" s="18" t="n"/>
      <c r="FL13" s="18" t="n"/>
      <c r="FM13" s="18" t="n"/>
      <c r="FN13" s="18" t="n"/>
      <c r="FO13" s="18" t="n"/>
      <c r="FP13" s="18" t="n"/>
      <c r="FQ13" s="18" t="n"/>
      <c r="FR13" s="18" t="n"/>
      <c r="FS13" s="18" t="n"/>
      <c r="FT13" s="18" t="n"/>
      <c r="FU13" s="18" t="n"/>
      <c r="FV13" s="18" t="n"/>
      <c r="FW13" s="18" t="n"/>
      <c r="FX13" s="18" t="n"/>
      <c r="FY13" s="18" t="n"/>
      <c r="FZ13" s="18" t="n"/>
      <c r="GA13" s="18" t="n"/>
      <c r="GB13" s="18" t="n"/>
      <c r="GC13" s="18" t="n"/>
      <c r="GD13" s="18" t="n"/>
      <c r="GE13" s="18" t="n"/>
      <c r="GF13" s="18" t="n"/>
      <c r="GG13" s="18" t="n"/>
      <c r="GH13" s="18" t="n"/>
      <c r="GI13" s="18" t="n"/>
      <c r="GJ13" s="18" t="n"/>
      <c r="GK13" s="18" t="n"/>
      <c r="GL13" s="18" t="n"/>
      <c r="GM13" s="18" t="n"/>
      <c r="GN13" s="18" t="n"/>
      <c r="GO13" s="18" t="n"/>
      <c r="GP13" s="18" t="n"/>
      <c r="GQ13" s="18" t="n"/>
    </row>
    <row r="14" ht="52.05" customHeight="1" s="88">
      <c r="A14" s="19" t="inlineStr">
        <is>
          <t>9000</t>
        </is>
      </c>
      <c r="B14" s="19" t="inlineStr">
        <is>
          <t>9000-8</t>
        </is>
      </c>
      <c r="C14" s="19" t="inlineStr">
        <is>
          <t>전기분야</t>
        </is>
      </c>
      <c r="D14" s="19" t="inlineStr">
        <is>
          <t>9000-8-13</t>
        </is>
      </c>
      <c r="E14" s="95" t="inlineStr">
        <is>
          <t>9000-8-9, 9000-8-10</t>
        </is>
      </c>
      <c r="F14" s="95" t="inlineStr">
        <is>
          <t>9000-8-16, 9000-8-17</t>
        </is>
      </c>
      <c r="G14" s="23" t="inlineStr">
        <is>
          <t>자재공급원/기자재 제작도서 승인</t>
        </is>
      </c>
      <c r="H14" s="21" t="inlineStr">
        <is>
          <t>D-30
(D-60~30)</t>
        </is>
      </c>
      <c r="I14" s="21" t="inlineStr">
        <is>
          <t>현장공무팀</t>
        </is>
      </c>
      <c r="J14" s="24" t="inlineStr">
        <is>
          <t>전기설비의 시공성과 품질, 기능 확보를 위한 자재 공급원 검토 및 승인</t>
        </is>
      </c>
      <c r="K14" s="24" t="inlineStr">
        <is>
          <t>- 전기자재 제작능력, 납품실적 등 확인
- 성능보증이 가능한 복수의 공급원 검토
- 자재공급원 서류 제출후 감리단 승인</t>
        </is>
      </c>
      <c r="L14" s="62" t="inlineStr">
        <is>
          <t>자재공급원 승인 서류</t>
        </is>
      </c>
      <c r="M14" s="24" t="inlineStr">
        <is>
          <t>"제조사 공장등록증, 사업자등록증, ISO 품질인증서 및 유사 철도/트램 납품 실적 검증"</t>
        </is>
      </c>
      <c r="N14" s="25">
        <f>HYPERLINK(LEFT(CELL("filename",A1),FIND("[",CELL("filename",A1))-1)&amp;"8.전기분야\13_자재공급원_기자재 제작도서 승인\표준서\자재공급원_기자재 제작도서 승인_표준서.html", "👉 [클릭] 표준서 열기 📄")</f>
        <v/>
      </c>
      <c r="O14" s="24" t="inlineStr">
        <is>
          <t>전기자재 공급원 자격 검증(KS/KC 인증, 공장등록증, 납품실적), 제조사 시험성적서 대조 및 공장 제작 승인도면(Shop Drawing) 감리단 적격 승인 수검</t>
        </is>
      </c>
      <c r="P14" s="26">
        <f>HYPERLINK(LEFT(CELL("filename",A1),FIND("[",CELL("filename",A1))-1)&amp;"8.전기분야\13_자재공급원_기자재 제작도서 승인\수행지침\자재공급원_기자재 제작도서 승인_수행지침.html", "👉 [클릭] 수행지침 열기 📄")</f>
        <v/>
      </c>
      <c r="Q14" s="24" t="inlineStr">
        <is>
          <t>본 체크리스트는 동탄트램 전기분야 자재공급원/기자재 제작도서 승인 업무 이행에 대해전기자재 공급원 자격 검증(KS/KC 인증, 공장등록증, 납품실적), 제조사 시험성적서 대조 및 공장 제작 승인도면(Shop Drawing) ...</t>
        </is>
      </c>
      <c r="R14" s="27">
        <f>HYPERLINK(LEFT(CELL("filename",A1),FIND("[",CELL("filename",A1))-1)&amp;"8.전기분야\13_자재공급원_기자재 제작도서 승인\체크리스트\자재공급원_기자재 제작도서 승인_체크리스트.html", "👉 [클릭] 체크리스트 열기 📄")</f>
        <v/>
      </c>
      <c r="S14" s="2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Y14" s="18" t="n"/>
      <c r="DZ14" s="18" t="n"/>
      <c r="EA14" s="18" t="n"/>
      <c r="EB14" s="18" t="n"/>
      <c r="EC14" s="18" t="n"/>
      <c r="ED14" s="18" t="n"/>
      <c r="EE14" s="18" t="n"/>
      <c r="EF14" s="18" t="n"/>
      <c r="EG14" s="18" t="n"/>
      <c r="EH14" s="18" t="n"/>
      <c r="EI14" s="18" t="n"/>
      <c r="EJ14" s="18" t="n"/>
      <c r="EK14" s="18" t="n"/>
      <c r="EL14" s="18" t="n"/>
      <c r="EM14" s="18" t="n"/>
      <c r="EN14" s="18" t="n"/>
      <c r="EO14" s="18" t="n"/>
      <c r="EP14" s="18" t="n"/>
      <c r="EQ14" s="18" t="n"/>
      <c r="ER14" s="18" t="n"/>
      <c r="ES14" s="18" t="n"/>
      <c r="ET14" s="18" t="n"/>
      <c r="EU14" s="18" t="n"/>
      <c r="EV14" s="18" t="n"/>
      <c r="EW14" s="18" t="n"/>
      <c r="EX14" s="18" t="n"/>
      <c r="EY14" s="18" t="n"/>
      <c r="EZ14" s="18" t="n"/>
      <c r="FA14" s="18" t="n"/>
      <c r="FB14" s="18" t="n"/>
      <c r="FC14" s="18" t="n"/>
      <c r="FD14" s="18" t="n"/>
      <c r="FE14" s="18" t="n"/>
      <c r="FF14" s="18" t="n"/>
      <c r="FG14" s="18" t="n"/>
      <c r="FH14" s="18" t="n"/>
      <c r="FI14" s="18" t="n"/>
      <c r="FJ14" s="18" t="n"/>
      <c r="FK14" s="18" t="n"/>
      <c r="FL14" s="18" t="n"/>
      <c r="FM14" s="18" t="n"/>
      <c r="FN14" s="18" t="n"/>
      <c r="FO14" s="18" t="n"/>
      <c r="FP14" s="18" t="n"/>
      <c r="FQ14" s="18" t="n"/>
      <c r="FR14" s="18" t="n"/>
      <c r="FS14" s="18" t="n"/>
      <c r="FT14" s="18" t="n"/>
      <c r="FU14" s="18" t="n"/>
      <c r="FV14" s="18" t="n"/>
      <c r="FW14" s="18" t="n"/>
      <c r="FX14" s="18" t="n"/>
      <c r="FY14" s="18" t="n"/>
      <c r="FZ14" s="18" t="n"/>
      <c r="GA14" s="18" t="n"/>
      <c r="GB14" s="18" t="n"/>
      <c r="GC14" s="18" t="n"/>
      <c r="GD14" s="18" t="n"/>
      <c r="GE14" s="18" t="n"/>
      <c r="GF14" s="18" t="n"/>
      <c r="GG14" s="18" t="n"/>
      <c r="GH14" s="18" t="n"/>
      <c r="GI14" s="18" t="n"/>
      <c r="GJ14" s="18" t="n"/>
      <c r="GK14" s="18" t="n"/>
      <c r="GL14" s="18" t="n"/>
      <c r="GM14" s="18" t="n"/>
      <c r="GN14" s="18" t="n"/>
      <c r="GO14" s="18" t="n"/>
      <c r="GP14" s="18" t="n"/>
      <c r="GQ14" s="18" t="n"/>
      <c r="GR14" s="18" t="n"/>
      <c r="GS14" s="18" t="n"/>
      <c r="GT14" s="18" t="n"/>
      <c r="GU14" s="18" t="n"/>
    </row>
    <row r="15" ht="52.05" customHeight="1" s="88">
      <c r="A15" s="29" t="inlineStr">
        <is>
          <t>9000</t>
        </is>
      </c>
      <c r="B15" s="29" t="inlineStr">
        <is>
          <t>9000-8</t>
        </is>
      </c>
      <c r="C15" s="29" t="inlineStr">
        <is>
          <t>전기분야</t>
        </is>
      </c>
      <c r="D15" s="29" t="inlineStr">
        <is>
          <t>9000-8-14</t>
        </is>
      </c>
      <c r="E15" s="102" t="inlineStr">
        <is>
          <t>9000-8-10, 9000-8-11</t>
        </is>
      </c>
      <c r="F15" s="102" t="inlineStr">
        <is>
          <t>9000-8-17, 9000-8-18</t>
        </is>
      </c>
      <c r="G15" s="32" t="inlineStr">
        <is>
          <t>전기설비 공정제작 / 제작사 공장검사</t>
        </is>
      </c>
      <c r="H15" s="33" t="inlineStr">
        <is>
          <t>D-30
(D-30~D+150)</t>
        </is>
      </c>
      <c r="I15" s="33" t="inlineStr">
        <is>
          <t>현장공사팀</t>
        </is>
      </c>
      <c r="J15" s="34" t="inlineStr">
        <is>
          <t>제작사양서/제작도면의 일치여부검토 및 현장반입 전 제품 성능검사 확인</t>
        </is>
      </c>
      <c r="K15" s="34" t="inlineStr">
        <is>
          <t>- 외산자재 등 Delivery 일정 확인
- 제작도서 기준으로 최종 제작상태 확인
- 제작도면과 일치여부 확인
- 제품 성능검사 시험 실시
[전철전력분야 공장검사 대상 항목]
- 154kV 특고압케이블, R-C 뱅크, 가스절연개폐장치(170kV/72.5kV/29kV), 고장점표정장치, 스마트급전제어장치, 급전용변압기, 단권변압기(유입/건식), 원격인프라장치, 전압보전반, 전철제어반, C-GIS, LED 등기구, 몰드형 교류필터, 배전반, MCC반, 조명제어, 조명타워, 통신제어장치, 특고압케이블(66kV/22.9kV), 전차선, 조가선, 전기용 경동선, ACSR, 통합금 급구류, 자동장력조정장치, 전철용애자, 구분장치, 피뢰기, 파형동관선(200㎡)</t>
        </is>
      </c>
      <c r="L15" s="63" t="inlineStr">
        <is>
          <t>공장검사 결과보고서(감리/감독 입회)</t>
        </is>
      </c>
      <c r="M15" s="34" t="inlineStr">
        <is>
          <t>"제작사 부품 조달 현황, 외함 판금/도장 및 내부 배선 조립 공정 공정표 100% 관리"</t>
        </is>
      </c>
      <c r="N15" s="35">
        <f>HYPERLINK(LEFT(CELL("filename",A1),FIND("[",CELL("filename",A1))-1)&amp;"8.전기분야\14_전기설비 공정제작 _ 제작사 공장검사\표준서\전기설비 공정제작 _ 제작사 공장검사_표준서.html", "👉 [클릭] 표준서 열기 📄")</f>
        <v/>
      </c>
      <c r="O15" s="34" t="inlineStr">
        <is>
          <t>정류기, 변압기, ESS, GIS, SCADA 제작사 공장 공정 제작 관리 및 감리단/발주처 입회 공장시험(FAT: Factory Acceptance Test) 수행과 시험성적서 승인 완수</t>
        </is>
      </c>
      <c r="P15" s="36">
        <f>HYPERLINK(LEFT(CELL("filename",A1),FIND("[",CELL("filename",A1))-1)&amp;"8.전기분야\14_전기설비 공정제작 _ 제작사 공장검사\수행지침\전기설비 공정제작 _ 제작사 공장검사_수행지침.html", "👉 [클릭] 수행지침 열기 📄")</f>
        <v/>
      </c>
      <c r="Q15" s="34" t="inlineStr">
        <is>
          <t>본 체크리스트는 동탄트램 전기분야 전기설비 공정제작 / 제작사 공장검사 업무 이행에 대해정류기, 변압기, ESS, GIS, SCADA 제작사 공장 공정 제작 관리 및 감리단/발주처 입회 공장시험(FAT: Factory Acc...</t>
        </is>
      </c>
      <c r="R15" s="37">
        <f>HYPERLINK(LEFT(CELL("filename",A1),FIND("[",CELL("filename",A1))-1)&amp;"8.전기분야\14_전기설비 공정제작 _ 제작사 공장검사\체크리스트\전기설비 공정제작 _ 제작사 공장검사_체크리스트.html", "👉 [클릭] 체크리스트 열기 📄")</f>
        <v/>
      </c>
      <c r="S15" s="33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Y15" s="18" t="n"/>
      <c r="DZ15" s="18" t="n"/>
      <c r="EA15" s="18" t="n"/>
      <c r="EB15" s="18" t="n"/>
      <c r="EC15" s="18" t="n"/>
      <c r="ED15" s="18" t="n"/>
      <c r="EE15" s="18" t="n"/>
      <c r="EF15" s="18" t="n"/>
      <c r="EG15" s="18" t="n"/>
      <c r="EH15" s="18" t="n"/>
      <c r="EI15" s="18" t="n"/>
      <c r="EJ15" s="18" t="n"/>
      <c r="EK15" s="18" t="n"/>
      <c r="EL15" s="18" t="n"/>
      <c r="EM15" s="18" t="n"/>
      <c r="EN15" s="18" t="n"/>
      <c r="EO15" s="18" t="n"/>
      <c r="EP15" s="18" t="n"/>
      <c r="EQ15" s="18" t="n"/>
      <c r="ER15" s="18" t="n"/>
      <c r="ES15" s="18" t="n"/>
      <c r="ET15" s="18" t="n"/>
      <c r="EU15" s="18" t="n"/>
      <c r="EV15" s="18" t="n"/>
      <c r="EW15" s="18" t="n"/>
      <c r="EX15" s="18" t="n"/>
      <c r="EY15" s="18" t="n"/>
      <c r="EZ15" s="18" t="n"/>
      <c r="FA15" s="18" t="n"/>
      <c r="FB15" s="18" t="n"/>
      <c r="FC15" s="18" t="n"/>
      <c r="FD15" s="18" t="n"/>
      <c r="FE15" s="18" t="n"/>
      <c r="FF15" s="18" t="n"/>
      <c r="FG15" s="18" t="n"/>
      <c r="FH15" s="18" t="n"/>
      <c r="FI15" s="18" t="n"/>
      <c r="FJ15" s="18" t="n"/>
      <c r="FK15" s="18" t="n"/>
      <c r="FL15" s="18" t="n"/>
      <c r="FM15" s="18" t="n"/>
      <c r="FN15" s="18" t="n"/>
      <c r="FO15" s="18" t="n"/>
      <c r="FP15" s="18" t="n"/>
      <c r="FQ15" s="18" t="n"/>
      <c r="FR15" s="18" t="n"/>
      <c r="FS15" s="18" t="n"/>
      <c r="FT15" s="18" t="n"/>
      <c r="FU15" s="18" t="n"/>
      <c r="FV15" s="18" t="n"/>
      <c r="FW15" s="18" t="n"/>
      <c r="FX15" s="18" t="n"/>
      <c r="FY15" s="18" t="n"/>
      <c r="FZ15" s="18" t="n"/>
      <c r="GA15" s="18" t="n"/>
      <c r="GB15" s="18" t="n"/>
      <c r="GC15" s="18" t="n"/>
      <c r="GD15" s="18" t="n"/>
      <c r="GE15" s="18" t="n"/>
      <c r="GF15" s="18" t="n"/>
      <c r="GG15" s="18" t="n"/>
      <c r="GH15" s="18" t="n"/>
      <c r="GI15" s="18" t="n"/>
      <c r="GJ15" s="18" t="n"/>
      <c r="GK15" s="18" t="n"/>
      <c r="GL15" s="18" t="n"/>
      <c r="GM15" s="18" t="n"/>
      <c r="GN15" s="18" t="n"/>
      <c r="GO15" s="18" t="n"/>
      <c r="GP15" s="18" t="n"/>
      <c r="GQ15" s="18" t="n"/>
      <c r="GR15" s="18" t="n"/>
      <c r="GS15" s="18" t="n"/>
      <c r="GT15" s="18" t="n"/>
      <c r="GU15" s="18" t="n"/>
      <c r="GV15" s="18" t="n"/>
      <c r="GW15" s="18" t="n"/>
      <c r="GX15" s="18" t="n"/>
      <c r="GY15" s="18" t="n"/>
    </row>
    <row r="16" ht="52.05" customHeight="1" s="88">
      <c r="A16" s="19" t="inlineStr">
        <is>
          <t>9000</t>
        </is>
      </c>
      <c r="B16" s="19" t="inlineStr">
        <is>
          <t>9000-8</t>
        </is>
      </c>
      <c r="C16" s="19" t="inlineStr">
        <is>
          <t>전기분야</t>
        </is>
      </c>
      <c r="D16" s="19" t="inlineStr">
        <is>
          <t>9000-8-15</t>
        </is>
      </c>
      <c r="E16" s="95" t="inlineStr">
        <is>
          <t>9000-8-11, 9000-8-12</t>
        </is>
      </c>
      <c r="F16" s="95" t="inlineStr">
        <is>
          <t>9000-8-18, 9000-8-19</t>
        </is>
      </c>
      <c r="G16" s="23" t="inlineStr">
        <is>
          <t>본공사 전 선행공정 인수인계 점검</t>
        </is>
      </c>
      <c r="H16" s="21" t="inlineStr">
        <is>
          <t>D-10
(D-20~10)</t>
        </is>
      </c>
      <c r="I16" s="21" t="inlineStr">
        <is>
          <t>현장공사팀</t>
        </is>
      </c>
      <c r="J16" s="24" t="inlineStr">
        <is>
          <t>전기설비 설치전 준비상태 확인</t>
        </is>
      </c>
      <c r="K16" s="24" t="inlineStr">
        <is>
          <t>- 전기설비 설치 시 간섭여부 점검
- 현장 시공상태 확인 (건축, 노반(토목) 등)
- 수배전반, 외함, 변압기 등 자재 반입구 위치 및 운반경로 확인, 케이블 포설을 위한 공동구/개구부 위치 체크</t>
        </is>
      </c>
      <c r="L16" s="62" t="inlineStr">
        <is>
          <t>기록지, 현장점검결과보고서(감리입회)</t>
        </is>
      </c>
      <c r="M16" s="24" t="inlineStr">
        <is>
          <t>"건축 변전실 구조물 완성도, 노반 궤도 시공 상태 및 전기 설치 간섭 여부 정밀 실측"</t>
        </is>
      </c>
      <c r="N16" s="25">
        <f>HYPERLINK(LEFT(CELL("filename",A1),FIND("[",CELL("filename",A1))-1)&amp;"8.전기분야\15_본공사 전 선행공정 인수인계 점검\표준서\본공사 전 선행공정 인수인계 점검_표준서.html", "👉 [클릭] 표준서 열기 📄")</f>
        <v/>
      </c>
      <c r="O16" s="24" t="inlineStr">
        <is>
          <t>토목, 노반(궤도), 건축 선행 공정 완성도 실측, 변전실/개구부/공동구 간섭 점검, 자재 반입구 및 반입 동선 인수인계 합동 점검 수행</t>
        </is>
      </c>
      <c r="P16" s="26">
        <f>HYPERLINK(LEFT(CELL("filename",A1),FIND("[",CELL("filename",A1))-1)&amp;"8.전기분야\15_본공사 전 선행공정 인수인계 점검\수행지침\본공사 전 선행공정 인수인계 점검_수행지침.html", "👉 [클릭] 수행지침 열기 📄")</f>
        <v/>
      </c>
      <c r="Q16" s="24" t="inlineStr">
        <is>
          <t>본 체크리스트는 동탄트램 전기분야 본공사 전 선행공정 인수인계 점검 업무 이행에 대해토목, 노반(궤도), 건축 선행 공정 완성도 실측, 변전실/개구부/공동구 간섭 점검, 자재 반입구 및 반입 동선 인수인계 합동 점검 수행 관...</t>
        </is>
      </c>
      <c r="R16" s="27">
        <f>HYPERLINK(LEFT(CELL("filename",A1),FIND("[",CELL("filename",A1))-1)&amp;"8.전기분야\15_본공사 전 선행공정 인수인계 점검\체크리스트\본공사 전 선행공정 인수인계 점검_체크리스트.html", "👉 [클릭] 체크리스트 열기 📄")</f>
        <v/>
      </c>
      <c r="S16" s="2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8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8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8" t="n"/>
      <c r="FT16" s="18" t="n"/>
      <c r="FU16" s="18" t="n"/>
      <c r="FV16" s="18" t="n"/>
      <c r="FW16" s="18" t="n"/>
      <c r="FX16" s="18" t="n"/>
      <c r="FY16" s="18" t="n"/>
      <c r="FZ16" s="18" t="n"/>
      <c r="GA16" s="18" t="n"/>
      <c r="GB16" s="18" t="n"/>
      <c r="GC16" s="18" t="n"/>
      <c r="GD16" s="18" t="n"/>
      <c r="GE16" s="18" t="n"/>
      <c r="GF16" s="18" t="n"/>
      <c r="GG16" s="18" t="n"/>
      <c r="GH16" s="18" t="n"/>
      <c r="GI16" s="18" t="n"/>
      <c r="GJ16" s="18" t="n"/>
      <c r="GK16" s="18" t="n"/>
      <c r="GL16" s="18" t="n"/>
      <c r="GM16" s="18" t="n"/>
      <c r="GN16" s="18" t="n"/>
      <c r="GO16" s="18" t="n"/>
      <c r="GP16" s="18" t="n"/>
      <c r="GQ16" s="18" t="n"/>
      <c r="GR16" s="18" t="n"/>
      <c r="GS16" s="18" t="n"/>
      <c r="GT16" s="18" t="n"/>
      <c r="GU16" s="18" t="n"/>
      <c r="GV16" s="18" t="n"/>
      <c r="GW16" s="18" t="n"/>
      <c r="GX16" s="18" t="n"/>
      <c r="GY16" s="18" t="n"/>
      <c r="GZ16" s="18" t="n"/>
      <c r="HA16" s="18" t="n"/>
      <c r="HB16" s="18" t="n"/>
      <c r="HC16" s="18" t="n"/>
    </row>
    <row r="17" ht="52.05" customHeight="1" s="88">
      <c r="A17" s="29" t="inlineStr">
        <is>
          <t>9000</t>
        </is>
      </c>
      <c r="B17" s="29" t="inlineStr">
        <is>
          <t>9000-8</t>
        </is>
      </c>
      <c r="C17" s="29" t="inlineStr">
        <is>
          <t>전기분야</t>
        </is>
      </c>
      <c r="D17" s="29" t="inlineStr">
        <is>
          <t>9000-8-16</t>
        </is>
      </c>
      <c r="E17" s="102" t="inlineStr">
        <is>
          <t>9000-8-12, 9000-8-13</t>
        </is>
      </c>
      <c r="F17" s="102" t="inlineStr">
        <is>
          <t>9000-8-19, 9000-8-20</t>
        </is>
      </c>
      <c r="G17" s="32" t="inlineStr">
        <is>
          <t>장비반입 및 안전교육</t>
        </is>
      </c>
      <c r="H17" s="33" t="inlineStr">
        <is>
          <t>D-5
(D-10~5)</t>
        </is>
      </c>
      <c r="I17" s="33" t="inlineStr">
        <is>
          <t>안전팀</t>
        </is>
      </c>
      <c r="J17" s="34" t="inlineStr">
        <is>
          <t>장비 반입 준비 및 안전교육 완료</t>
        </is>
      </c>
      <c r="K17" s="34" t="inlineStr">
        <is>
          <t>- 자재반입 경로, 적치장소에 대한 사전확인 및 타분야 일정, 간섭사항 협의/확인
- 장비 Spec확인, 장비상태 점검
- 작업원 안전교육 실시</t>
        </is>
      </c>
      <c r="L17" s="63" t="inlineStr">
        <is>
          <t>안전교육 결과서, 측량기록지</t>
        </is>
      </c>
      <c r="M17" s="34" t="inlineStr">
        <is>
          <t>"장비 진입 경로 및 적치장 사전확인, 타분야 작업 일정 및 지상/지하 구조물 간섭 협의"</t>
        </is>
      </c>
      <c r="N17" s="35">
        <f>HYPERLINK(LEFT(CELL("filename",A1),FIND("[",CELL("filename",A1))-1)&amp;"8.전기분야\16_장비반입 및 안전교육\표준서\장비반입 및 안전교육_표준서.html", "👉 [클릭] 표준서 열기 📄")</f>
        <v/>
      </c>
      <c r="O17" s="34" t="inlineStr">
        <is>
          <t>고소작업차, 케이블 포설차, 활선 작업 장비 현장 반입 동선/적치장 확인, 장비 Spec 및 안전검사필증 점검, 작업원 특별안전교육 실시</t>
        </is>
      </c>
      <c r="P17" s="36">
        <f>HYPERLINK(LEFT(CELL("filename",A1),FIND("[",CELL("filename",A1))-1)&amp;"8.전기분야\16_장비반입 및 안전교육\수행지침\장비반입 및 안전교육_수행지침.html", "👉 [클릭] 수행지침 열기 📄")</f>
        <v/>
      </c>
      <c r="Q17" s="34" t="inlineStr">
        <is>
          <t>본 체크리스트는 동탄트램 전기분야 장비반입 및 안전교육 업무 이행에 대해고소작업차, 케이블 포설차, 활선 작업 장비 현장 반입 동선/적치장 확인, 장비 Spec 및 안전검사필증 점검, 작업원 특별안전교육 실시 관련 실무 요소...</t>
        </is>
      </c>
      <c r="R17" s="37">
        <f>HYPERLINK(LEFT(CELL("filename",A1),FIND("[",CELL("filename",A1))-1)&amp;"8.전기분야\16_장비반입 및 안전교육\체크리스트\장비반입 및 안전교육_체크리스트.html", "👉 [클릭] 체크리스트 열기 📄")</f>
        <v/>
      </c>
      <c r="S17" s="33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8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8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8" t="n"/>
      <c r="FT17" s="18" t="n"/>
      <c r="FU17" s="18" t="n"/>
      <c r="FV17" s="18" t="n"/>
      <c r="FW17" s="18" t="n"/>
      <c r="FX17" s="18" t="n"/>
      <c r="FY17" s="18" t="n"/>
      <c r="FZ17" s="18" t="n"/>
      <c r="GA17" s="18" t="n"/>
      <c r="GB17" s="18" t="n"/>
      <c r="GC17" s="18" t="n"/>
      <c r="GD17" s="18" t="n"/>
      <c r="GE17" s="18" t="n"/>
      <c r="GF17" s="18" t="n"/>
      <c r="GG17" s="18" t="n"/>
      <c r="GH17" s="18" t="n"/>
      <c r="GI17" s="18" t="n"/>
      <c r="GJ17" s="18" t="n"/>
      <c r="GK17" s="18" t="n"/>
      <c r="GL17" s="18" t="n"/>
      <c r="GM17" s="18" t="n"/>
      <c r="GN17" s="18" t="n"/>
      <c r="GO17" s="18" t="n"/>
      <c r="GP17" s="18" t="n"/>
      <c r="GQ17" s="18" t="n"/>
      <c r="GR17" s="18" t="n"/>
      <c r="GS17" s="18" t="n"/>
      <c r="GT17" s="18" t="n"/>
      <c r="GU17" s="18" t="n"/>
      <c r="GV17" s="18" t="n"/>
      <c r="GW17" s="18" t="n"/>
      <c r="GX17" s="18" t="n"/>
      <c r="GY17" s="18" t="n"/>
      <c r="GZ17" s="18" t="n"/>
      <c r="HA17" s="18" t="n"/>
      <c r="HB17" s="18" t="n"/>
      <c r="HC17" s="18" t="n"/>
      <c r="HD17" s="18" t="n"/>
      <c r="HE17" s="18" t="n"/>
      <c r="HF17" s="18" t="n"/>
      <c r="HG17" s="18" t="n"/>
    </row>
    <row r="18" ht="52.05" customHeight="1" s="88">
      <c r="A18" s="19" t="inlineStr">
        <is>
          <t>9000</t>
        </is>
      </c>
      <c r="B18" s="19" t="inlineStr">
        <is>
          <t>9000-8</t>
        </is>
      </c>
      <c r="C18" s="19" t="inlineStr">
        <is>
          <t>전기분야</t>
        </is>
      </c>
      <c r="D18" s="19" t="inlineStr">
        <is>
          <t>9000-8-17</t>
        </is>
      </c>
      <c r="E18" s="95" t="inlineStr">
        <is>
          <t>9000-8-13, 9000-8-14</t>
        </is>
      </c>
      <c r="F18" s="95" t="inlineStr">
        <is>
          <t>9000-8-20, 9000-8-21</t>
        </is>
      </c>
      <c r="G18" s="23" t="inlineStr">
        <is>
          <t>자재 반입 및 검수</t>
        </is>
      </c>
      <c r="H18" s="21" t="inlineStr">
        <is>
          <t>D+0~D+30</t>
        </is>
      </c>
      <c r="I18" s="21" t="inlineStr">
        <is>
          <t>품질팀</t>
        </is>
      </c>
      <c r="J18" s="24" t="inlineStr">
        <is>
          <t>공장검사 시행 완료된 자재반입과 현장 입고 검사</t>
        </is>
      </c>
      <c r="K18" s="49" t="inlineStr">
        <is>
          <t xml:space="preserve">- 자재 하차 위치 및 반입동선 확인
- 승인된 자재 일치여부 확인(Serial number 등)
- 제품의 규격, 수량 도면과 일치하는지 검수 </t>
        </is>
      </c>
      <c r="L18" s="62" t="inlineStr">
        <is>
          <t>자재검수서</t>
        </is>
      </c>
      <c r="M18" s="24" t="inlineStr">
        <is>
          <t>"자재 하차 통제 구획 설정, 크레인 양중 신호수 배치 및 자재 반입 동선 안전 확보"</t>
        </is>
      </c>
      <c r="N18" s="25">
        <f>HYPERLINK(LEFT(CELL("filename",A1),FIND("[",CELL("filename",A1))-1)&amp;"8.전기분야\17_자재 반입 및 검수\표준서\자재 반입 및 검수_표준서.html", "👉 [클릭] 표준서 열기 📄")</f>
        <v/>
      </c>
      <c r="O18" s="24" t="inlineStr">
        <is>
          <t>전기자재 현장 반입 하차 위치/동선 통제, 승인된 자재공급원 일치 여부(Serial No., Serial Tag) 검수, 도면 규격 및 수량 1:1 대조 확인</t>
        </is>
      </c>
      <c r="P18" s="26">
        <f>HYPERLINK(LEFT(CELL("filename",A1),FIND("[",CELL("filename",A1))-1)&amp;"8.전기분야\17_자재 반입 및 검수\수행지침\자재 반입 및 검수_수행지침.html", "👉 [클릭] 수행지침 열기 📄")</f>
        <v/>
      </c>
      <c r="Q18" s="24" t="inlineStr">
        <is>
          <t>본 체크리스트는 동탄트램 전기분야 자재 반입 및 검수 업무 이행에 대해전기자재 현장 반입 하차 위치/동선 통제, 승인된 자재공급원 일치 여부(Serial No., Serial Tag) 검수, 도면 규격 및 수량 1:1 대조 ...</t>
        </is>
      </c>
      <c r="R18" s="27">
        <f>HYPERLINK(LEFT(CELL("filename",A1),FIND("[",CELL("filename",A1))-1)&amp;"8.전기분야\17_자재 반입 및 검수\체크리스트\자재 반입 및 검수_체크리스트.html", "👉 [클릭] 체크리스트 열기 📄")</f>
        <v/>
      </c>
      <c r="S18" s="2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8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8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8" t="n"/>
      <c r="FT18" s="18" t="n"/>
      <c r="FU18" s="18" t="n"/>
      <c r="FV18" s="18" t="n"/>
      <c r="FW18" s="18" t="n"/>
      <c r="FX18" s="18" t="n"/>
      <c r="FY18" s="18" t="n"/>
      <c r="FZ18" s="18" t="n"/>
      <c r="GA18" s="18" t="n"/>
      <c r="GB18" s="18" t="n"/>
      <c r="GC18" s="18" t="n"/>
      <c r="GD18" s="18" t="n"/>
      <c r="GE18" s="18" t="n"/>
      <c r="GF18" s="18" t="n"/>
      <c r="GG18" s="18" t="n"/>
      <c r="GH18" s="18" t="n"/>
      <c r="GI18" s="18" t="n"/>
      <c r="GJ18" s="18" t="n"/>
      <c r="GK18" s="18" t="n"/>
      <c r="GL18" s="18" t="n"/>
      <c r="GM18" s="18" t="n"/>
      <c r="GN18" s="18" t="n"/>
      <c r="GO18" s="18" t="n"/>
      <c r="GP18" s="18" t="n"/>
      <c r="GQ18" s="18" t="n"/>
      <c r="GR18" s="18" t="n"/>
      <c r="GS18" s="18" t="n"/>
      <c r="GT18" s="18" t="n"/>
      <c r="GU18" s="18" t="n"/>
      <c r="GV18" s="18" t="n"/>
      <c r="GW18" s="18" t="n"/>
      <c r="GX18" s="18" t="n"/>
      <c r="GY18" s="18" t="n"/>
      <c r="GZ18" s="18" t="n"/>
      <c r="HA18" s="18" t="n"/>
      <c r="HB18" s="18" t="n"/>
      <c r="HC18" s="18" t="n"/>
      <c r="HD18" s="18" t="n"/>
      <c r="HE18" s="18" t="n"/>
      <c r="HF18" s="18" t="n"/>
      <c r="HG18" s="18" t="n"/>
      <c r="HH18" s="18" t="n"/>
      <c r="HI18" s="18" t="n"/>
      <c r="HJ18" s="18" t="n"/>
      <c r="HK18" s="18" t="n"/>
    </row>
    <row r="19" ht="52.05" customHeight="1" s="88">
      <c r="A19" s="29" t="inlineStr">
        <is>
          <t>9000</t>
        </is>
      </c>
      <c r="B19" s="29" t="inlineStr">
        <is>
          <t>9000-8</t>
        </is>
      </c>
      <c r="C19" s="29" t="inlineStr">
        <is>
          <t>전기분야</t>
        </is>
      </c>
      <c r="D19" s="29" t="inlineStr">
        <is>
          <t>9000-8-18</t>
        </is>
      </c>
      <c r="E19" s="102" t="inlineStr">
        <is>
          <t>9000-8-14, 9000-8-15</t>
        </is>
      </c>
      <c r="F19" s="102" t="inlineStr">
        <is>
          <t>9000-8-21, 9000-8-22</t>
        </is>
      </c>
      <c r="G19" s="32" t="inlineStr">
        <is>
          <t>전철전력설비 반입 및 설치</t>
        </is>
      </c>
      <c r="H19" s="33" t="inlineStr">
        <is>
          <t>D+31~D+360</t>
        </is>
      </c>
      <c r="I19" s="33" t="inlineStr">
        <is>
          <t>현장공사팀</t>
        </is>
      </c>
      <c r="J19" s="34" t="inlineStr">
        <is>
          <t>설계에 부합되도록 전철전력설비 설치</t>
        </is>
      </c>
      <c r="K19" s="50" t="inlineStr">
        <is>
          <t>- 시공샘플이 필요한 대상을 감리/감독과 협의하여 선정후 시험시공 실시
- 현장설비, 특고압 케이블, 정거장 전기실 내 특고압반/저압반/변압기 설치
- 전기설비가 도면대로 설치되었는지 확인</t>
        </is>
      </c>
      <c r="L19" s="63" t="inlineStr">
        <is>
          <t>검측서</t>
        </is>
      </c>
      <c r="M19" s="34" t="inlineStr">
        <is>
          <t>"감리/감독 협의를 통한 시공 샘플 대상 선정, 시험시공 수행 및 시공 기준서 확정"</t>
        </is>
      </c>
      <c r="N19" s="35">
        <f>HYPERLINK(LEFT(CELL("filename",A1),FIND("[",CELL("filename",A1))-1)&amp;"8.전기분야\18_전철전력설비 반입 및 설치\표준서\전철전력설비 반입 및 설치_표준서.html", "👉 [클릭] 표준서 열기 📄")</f>
        <v/>
      </c>
      <c r="O19" s="34" t="inlineStr">
        <is>
          <t>변전소 수배전반, 정류기, ESS, 특고압반 및 정거장 전기실 기기 반입/설치, 시공 샘플 감리 협의 후 시험시공 및 도면 일치성 최종 검측</t>
        </is>
      </c>
      <c r="P19" s="36">
        <f>HYPERLINK(LEFT(CELL("filename",A1),FIND("[",CELL("filename",A1))-1)&amp;"8.전기분야\18_전철전력설비 반입 및 설치\수행지침\전철전력설비 반입 및 설치_수행지침.html", "👉 [클릭] 수행지침 열기 📄")</f>
        <v/>
      </c>
      <c r="Q19" s="34" t="inlineStr">
        <is>
          <t>본 체크리스트는 동탄트램 전기분야 전철전력설비 반입 및 설치 업무 이행에 대해변전소 수배전반, 정류기, ESS, 특고압반 및 정거장 전기실 기기 반입/설치, 시공 샘플 감리 협의 후 시험시공 및 도면 일치성 최종 검측 관련 ...</t>
        </is>
      </c>
      <c r="R19" s="37">
        <f>HYPERLINK(LEFT(CELL("filename",A1),FIND("[",CELL("filename",A1))-1)&amp;"8.전기분야\18_전철전력설비 반입 및 설치\체크리스트\전철전력설비 반입 및 설치_체크리스트.html", "👉 [클릭] 체크리스트 열기 📄")</f>
        <v/>
      </c>
      <c r="S19" s="33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Y19" s="18" t="n"/>
      <c r="DZ19" s="18" t="n"/>
      <c r="EA19" s="18" t="n"/>
      <c r="EB19" s="18" t="n"/>
      <c r="EC19" s="18" t="n"/>
      <c r="ED19" s="18" t="n"/>
      <c r="EE19" s="18" t="n"/>
      <c r="EF19" s="18" t="n"/>
      <c r="EG19" s="18" t="n"/>
      <c r="EH19" s="18" t="n"/>
      <c r="EI19" s="18" t="n"/>
      <c r="EJ19" s="18" t="n"/>
      <c r="EK19" s="18" t="n"/>
      <c r="EL19" s="18" t="n"/>
      <c r="EM19" s="18" t="n"/>
      <c r="EN19" s="18" t="n"/>
      <c r="EO19" s="18" t="n"/>
      <c r="EP19" s="18" t="n"/>
      <c r="EQ19" s="18" t="n"/>
      <c r="ER19" s="18" t="n"/>
      <c r="ES19" s="18" t="n"/>
      <c r="ET19" s="18" t="n"/>
      <c r="EU19" s="18" t="n"/>
      <c r="EV19" s="18" t="n"/>
      <c r="EW19" s="18" t="n"/>
      <c r="EX19" s="18" t="n"/>
      <c r="EY19" s="18" t="n"/>
      <c r="EZ19" s="18" t="n"/>
      <c r="FA19" s="18" t="n"/>
      <c r="FB19" s="18" t="n"/>
      <c r="FC19" s="18" t="n"/>
      <c r="FD19" s="18" t="n"/>
      <c r="FE19" s="18" t="n"/>
      <c r="FF19" s="18" t="n"/>
      <c r="FG19" s="18" t="n"/>
      <c r="FH19" s="18" t="n"/>
      <c r="FI19" s="18" t="n"/>
      <c r="FJ19" s="18" t="n"/>
      <c r="FK19" s="18" t="n"/>
      <c r="FL19" s="18" t="n"/>
      <c r="FM19" s="18" t="n"/>
      <c r="FN19" s="18" t="n"/>
      <c r="FO19" s="18" t="n"/>
      <c r="FP19" s="18" t="n"/>
      <c r="FQ19" s="18" t="n"/>
      <c r="FR19" s="18" t="n"/>
      <c r="FS19" s="18" t="n"/>
      <c r="FT19" s="18" t="n"/>
      <c r="FU19" s="18" t="n"/>
      <c r="FV19" s="18" t="n"/>
      <c r="FW19" s="18" t="n"/>
      <c r="FX19" s="18" t="n"/>
      <c r="FY19" s="18" t="n"/>
      <c r="FZ19" s="18" t="n"/>
      <c r="GA19" s="18" t="n"/>
      <c r="GB19" s="18" t="n"/>
      <c r="GC19" s="18" t="n"/>
      <c r="GD19" s="18" t="n"/>
      <c r="GE19" s="18" t="n"/>
      <c r="GF19" s="18" t="n"/>
      <c r="GG19" s="18" t="n"/>
      <c r="GH19" s="18" t="n"/>
      <c r="GI19" s="18" t="n"/>
      <c r="GJ19" s="18" t="n"/>
      <c r="GK19" s="18" t="n"/>
      <c r="GL19" s="18" t="n"/>
      <c r="GM19" s="18" t="n"/>
      <c r="GN19" s="18" t="n"/>
      <c r="GO19" s="18" t="n"/>
      <c r="GP19" s="18" t="n"/>
      <c r="GQ19" s="18" t="n"/>
      <c r="GR19" s="18" t="n"/>
      <c r="GS19" s="18" t="n"/>
      <c r="GT19" s="18" t="n"/>
      <c r="GU19" s="18" t="n"/>
      <c r="GV19" s="18" t="n"/>
      <c r="GW19" s="18" t="n"/>
      <c r="GX19" s="18" t="n"/>
      <c r="GY19" s="18" t="n"/>
      <c r="GZ19" s="18" t="n"/>
      <c r="HA19" s="18" t="n"/>
      <c r="HB19" s="18" t="n"/>
      <c r="HC19" s="18" t="n"/>
      <c r="HD19" s="18" t="n"/>
      <c r="HE19" s="18" t="n"/>
      <c r="HF19" s="18" t="n"/>
      <c r="HG19" s="18" t="n"/>
      <c r="HH19" s="18" t="n"/>
      <c r="HI19" s="18" t="n"/>
      <c r="HJ19" s="18" t="n"/>
      <c r="HK19" s="18" t="n"/>
      <c r="HL19" s="18" t="n"/>
      <c r="HM19" s="18" t="n"/>
      <c r="HN19" s="18" t="n"/>
      <c r="HO19" s="18" t="n"/>
    </row>
    <row r="20" ht="52.05" customHeight="1" s="88">
      <c r="A20" s="19" t="inlineStr">
        <is>
          <t>9000</t>
        </is>
      </c>
      <c r="B20" s="19" t="inlineStr">
        <is>
          <t>9000-8</t>
        </is>
      </c>
      <c r="C20" s="19" t="inlineStr">
        <is>
          <t>전기분야</t>
        </is>
      </c>
      <c r="D20" s="19" t="inlineStr">
        <is>
          <t>9000-8-19</t>
        </is>
      </c>
      <c r="E20" s="95" t="inlineStr">
        <is>
          <t>9000-8-15, 9000-8-16</t>
        </is>
      </c>
      <c r="F20" s="95" t="inlineStr">
        <is>
          <t>9000-8-22, 9000-8-23</t>
        </is>
      </c>
      <c r="G20" s="23" t="inlineStr">
        <is>
          <t>수전용 케이블 트레이 및 케이블 포설</t>
        </is>
      </c>
      <c r="H20" s="21" t="inlineStr">
        <is>
          <t>D+150~D+210</t>
        </is>
      </c>
      <c r="I20" s="21" t="inlineStr">
        <is>
          <t>현장공사팀</t>
        </is>
      </c>
      <c r="J20" s="24" t="inlineStr">
        <is>
          <t>전기실에 전기를 공급하기 위해 한전 책임분계점 전주에서 수전전기실까지 배관/배선을 설치</t>
        </is>
      </c>
      <c r="K20" s="24" t="inlineStr">
        <is>
          <t>- 한전 책임분계점으로부터 수전 전기실까지 케이블 트레이를 설치
- 트레이 설치완료 후 특고압케이블 포설 및 단말 접속
(책임분계점: 전기안전에 대한 책임을 나누는 기준점/수급지점)</t>
        </is>
      </c>
      <c r="L20" s="62" t="inlineStr">
        <is>
          <t>검측서</t>
        </is>
      </c>
      <c r="M20" s="24" t="inlineStr">
        <is>
          <t>"한전 인수점 지중 맨홀부터 수전 전기실까지 Cable Tray 수평도 및 고정 행거 설치"</t>
        </is>
      </c>
      <c r="N20" s="25">
        <f>HYPERLINK(LEFT(CELL("filename",A1),FIND("[",CELL("filename",A1))-1)&amp;"8.전기분야\19_수전용 케이블 트레이 및 케이블 포설\표준서\수전용 케이블 트레이 및 케이블 포설_표준서.html", "👉 [클릭] 표준서 열기 📄")</f>
        <v/>
      </c>
      <c r="O20" s="24" t="inlineStr">
        <is>
          <t>한전 책임분계점으로부터 수전 전기실까지 케이블 트레이 수평/수직 고정 설치, 특고압 케이블 포설 및 단말 접속, 절연저항/내전압 시험 완수</t>
        </is>
      </c>
      <c r="P20" s="26">
        <f>HYPERLINK(LEFT(CELL("filename",A1),FIND("[",CELL("filename",A1))-1)&amp;"8.전기분야\19_수전용 케이블 트레이 및 케이블 포설\수행지침\수전용 케이블 트레이 및 케이블 포설_수행지침.html", "👉 [클릭] 수행지침 열기 📄")</f>
        <v/>
      </c>
      <c r="Q20" s="24" t="inlineStr">
        <is>
          <t>본 체크리스트는 동탄트램 전기분야 수전용 케이블 트레이 및 케이블 포설 업무 이행에 대해한전 책임분계점으로부터 수전 전기실까지 케이블 트레이 수평/수직 고정 설치, 특고압 케이블 포설 및 단말 접속, 절연저항/내전압 시험 완...</t>
        </is>
      </c>
      <c r="R20" s="27">
        <f>HYPERLINK(LEFT(CELL("filename",A1),FIND("[",CELL("filename",A1))-1)&amp;"8.전기분야\19_수전용 케이블 트레이 및 케이블 포설\체크리스트\수전용 케이블 트레이 및 케이블 포설_체크리스트.html", "👉 [클릭] 체크리스트 열기 📄")</f>
        <v/>
      </c>
      <c r="S20" s="2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Y20" s="18" t="n"/>
      <c r="DZ20" s="18" t="n"/>
      <c r="EA20" s="18" t="n"/>
      <c r="EB20" s="18" t="n"/>
      <c r="EC20" s="18" t="n"/>
      <c r="ED20" s="18" t="n"/>
      <c r="EE20" s="18" t="n"/>
      <c r="EF20" s="18" t="n"/>
      <c r="EG20" s="18" t="n"/>
      <c r="EH20" s="18" t="n"/>
      <c r="EI20" s="18" t="n"/>
      <c r="EJ20" s="18" t="n"/>
      <c r="EK20" s="18" t="n"/>
      <c r="EL20" s="18" t="n"/>
      <c r="EM20" s="18" t="n"/>
      <c r="EN20" s="18" t="n"/>
      <c r="EO20" s="18" t="n"/>
      <c r="EP20" s="18" t="n"/>
      <c r="EQ20" s="18" t="n"/>
      <c r="ER20" s="18" t="n"/>
      <c r="ES20" s="18" t="n"/>
      <c r="ET20" s="18" t="n"/>
      <c r="EU20" s="18" t="n"/>
      <c r="EV20" s="18" t="n"/>
      <c r="EW20" s="18" t="n"/>
      <c r="EX20" s="18" t="n"/>
      <c r="EY20" s="18" t="n"/>
      <c r="EZ20" s="18" t="n"/>
      <c r="FA20" s="18" t="n"/>
      <c r="FB20" s="18" t="n"/>
      <c r="FC20" s="18" t="n"/>
      <c r="FD20" s="18" t="n"/>
      <c r="FE20" s="18" t="n"/>
      <c r="FF20" s="18" t="n"/>
      <c r="FG20" s="18" t="n"/>
      <c r="FH20" s="18" t="n"/>
      <c r="FI20" s="18" t="n"/>
      <c r="FJ20" s="18" t="n"/>
      <c r="FK20" s="18" t="n"/>
      <c r="FL20" s="18" t="n"/>
      <c r="FM20" s="18" t="n"/>
      <c r="FN20" s="18" t="n"/>
      <c r="FO20" s="18" t="n"/>
      <c r="FP20" s="18" t="n"/>
      <c r="FQ20" s="18" t="n"/>
      <c r="FR20" s="18" t="n"/>
      <c r="FS20" s="18" t="n"/>
      <c r="FT20" s="18" t="n"/>
      <c r="FU20" s="18" t="n"/>
      <c r="FV20" s="18" t="n"/>
      <c r="FW20" s="18" t="n"/>
      <c r="FX20" s="18" t="n"/>
      <c r="FY20" s="18" t="n"/>
      <c r="FZ20" s="18" t="n"/>
      <c r="GA20" s="18" t="n"/>
      <c r="GB20" s="18" t="n"/>
      <c r="GC20" s="18" t="n"/>
      <c r="GD20" s="18" t="n"/>
      <c r="GE20" s="18" t="n"/>
      <c r="GF20" s="18" t="n"/>
      <c r="GG20" s="18" t="n"/>
      <c r="GH20" s="18" t="n"/>
      <c r="GI20" s="18" t="n"/>
      <c r="GJ20" s="18" t="n"/>
      <c r="GK20" s="18" t="n"/>
      <c r="GL20" s="18" t="n"/>
      <c r="GM20" s="18" t="n"/>
      <c r="GN20" s="18" t="n"/>
      <c r="GO20" s="18" t="n"/>
      <c r="GP20" s="18" t="n"/>
      <c r="GQ20" s="18" t="n"/>
      <c r="GR20" s="18" t="n"/>
      <c r="GS20" s="18" t="n"/>
      <c r="GT20" s="18" t="n"/>
      <c r="GU20" s="18" t="n"/>
      <c r="GV20" s="18" t="n"/>
      <c r="GW20" s="18" t="n"/>
      <c r="GX20" s="18" t="n"/>
      <c r="GY20" s="18" t="n"/>
      <c r="GZ20" s="18" t="n"/>
      <c r="HA20" s="18" t="n"/>
      <c r="HB20" s="18" t="n"/>
      <c r="HC20" s="18" t="n"/>
      <c r="HD20" s="18" t="n"/>
      <c r="HE20" s="18" t="n"/>
      <c r="HF20" s="18" t="n"/>
      <c r="HG20" s="18" t="n"/>
      <c r="HH20" s="18" t="n"/>
      <c r="HI20" s="18" t="n"/>
      <c r="HJ20" s="18" t="n"/>
      <c r="HK20" s="18" t="n"/>
      <c r="HL20" s="18" t="n"/>
      <c r="HM20" s="18" t="n"/>
      <c r="HN20" s="18" t="n"/>
      <c r="HO20" s="18" t="n"/>
      <c r="HP20" s="18" t="n"/>
      <c r="HQ20" s="18" t="n"/>
      <c r="HR20" s="18" t="n"/>
      <c r="HS20" s="18" t="n"/>
    </row>
    <row r="21" ht="52.05" customHeight="1" s="88">
      <c r="A21" s="29" t="inlineStr">
        <is>
          <t>9000</t>
        </is>
      </c>
      <c r="B21" s="29" t="inlineStr">
        <is>
          <t>9000-8</t>
        </is>
      </c>
      <c r="C21" s="29" t="inlineStr">
        <is>
          <t>전기분야</t>
        </is>
      </c>
      <c r="D21" s="29" t="inlineStr">
        <is>
          <t>9000-8-20</t>
        </is>
      </c>
      <c r="E21" s="102" t="inlineStr">
        <is>
          <t>9000-8-16, 9000-8-17</t>
        </is>
      </c>
      <c r="F21" s="102" t="inlineStr">
        <is>
          <t>9000-8-23, 9000-8-24</t>
        </is>
      </c>
      <c r="G21" s="32" t="inlineStr">
        <is>
          <t>수전 및 전기공급(급전)</t>
        </is>
      </c>
      <c r="H21" s="33" t="inlineStr">
        <is>
          <t>D+211~D+255</t>
        </is>
      </c>
      <c r="I21" s="33" t="inlineStr">
        <is>
          <t>현장공사팀</t>
        </is>
      </c>
      <c r="J21" s="34" t="inlineStr">
        <is>
          <t>한전으로부터 전기를 인입 후 전기가 필요한 시설들에 순차적으로 전기를 공급</t>
        </is>
      </c>
      <c r="K21" s="50" t="inlineStr">
        <is>
          <t>- 사용전검사 시행 (사용전검사 필증 수령)
- 전기가합계획 수립 및 한전 가입 요청
- 수전 전 기기별 자체시험 실시
- 수전 이후 기계, 통신, 신호 등 분야별 일정에 따라 전기공급 실시</t>
        </is>
      </c>
      <c r="L21" s="63" t="inlineStr">
        <is>
          <t>전기사용승인, 수전 결과서</t>
        </is>
      </c>
      <c r="M21" s="34" t="inlineStr">
        <is>
          <t>"한국전기안전공사 KESC 사용전검사 합격 필증 수령 및 수전 사전 조건 완수"</t>
        </is>
      </c>
      <c r="N21" s="35">
        <f>HYPERLINK(LEFT(CELL("filename",A1),FIND("[",CELL("filename",A1))-1)&amp;"8.전기분야\20_수전 및 전기공급(급전)\표준서\수전 및 전기공급(급전)_표준서.html", "👉 [클릭] 표준서 열기 📄")</f>
        <v/>
      </c>
      <c r="O21" s="34" t="inlineStr">
        <is>
          <t>KESC 사용전검사 합격증 수령, 전기가압계획 수립 및 한전 가입 요청, 수전 전 기기별 자체시험 수행 후 통신/신호/기계 공종별 단계적 전기공급(급전) 시행</t>
        </is>
      </c>
      <c r="P21" s="36">
        <f>HYPERLINK(LEFT(CELL("filename",A1),FIND("[",CELL("filename",A1))-1)&amp;"8.전기분야\20_수전 및 전기공급(급전)\수행지침\수전 및 전기공급(급전)_수행지침.html", "👉 [클릭] 수행지침 열기 📄")</f>
        <v/>
      </c>
      <c r="Q21" s="34" t="inlineStr">
        <is>
          <t>본 체크리스트는 동탄트램 전기분야 수전 및 전기공급(급전) 업무 이행에 대해KESC 사용전검사 합격증 수령, 전기가압계획 수립 및 한전 가입 요청, 수전 전 기기별 자체시험 수행 후 통신/신호/기계 공종별 단계적 전기공급(급...</t>
        </is>
      </c>
      <c r="R21" s="37">
        <f>HYPERLINK(LEFT(CELL("filename",A1),FIND("[",CELL("filename",A1))-1)&amp;"8.전기분야\20_수전 및 전기공급(급전)\체크리스트\수전 및 전기공급(급전)_체크리스트.html", "👉 [클릭] 체크리스트 열기 📄")</f>
        <v/>
      </c>
      <c r="S21" s="33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8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8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8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18" t="n"/>
      <c r="GI21" s="18" t="n"/>
      <c r="GJ21" s="18" t="n"/>
      <c r="GK21" s="18" t="n"/>
      <c r="GL21" s="18" t="n"/>
      <c r="GM21" s="18" t="n"/>
      <c r="GN21" s="18" t="n"/>
      <c r="GO21" s="18" t="n"/>
      <c r="GP21" s="18" t="n"/>
      <c r="GQ21" s="18" t="n"/>
      <c r="GR21" s="18" t="n"/>
      <c r="GS21" s="18" t="n"/>
      <c r="GT21" s="18" t="n"/>
      <c r="GU21" s="18" t="n"/>
      <c r="GV21" s="18" t="n"/>
      <c r="GW21" s="18" t="n"/>
      <c r="GX21" s="18" t="n"/>
      <c r="GY21" s="18" t="n"/>
      <c r="GZ21" s="18" t="n"/>
      <c r="HA21" s="18" t="n"/>
      <c r="HB21" s="18" t="n"/>
      <c r="HC21" s="18" t="n"/>
      <c r="HD21" s="18" t="n"/>
      <c r="HE21" s="18" t="n"/>
      <c r="HF21" s="18" t="n"/>
      <c r="HG21" s="18" t="n"/>
      <c r="HH21" s="18" t="n"/>
      <c r="HI21" s="18" t="n"/>
      <c r="HJ21" s="18" t="n"/>
      <c r="HK21" s="18" t="n"/>
      <c r="HL21" s="18" t="n"/>
      <c r="HM21" s="18" t="n"/>
      <c r="HN21" s="18" t="n"/>
      <c r="HO21" s="18" t="n"/>
      <c r="HP21" s="18" t="n"/>
      <c r="HQ21" s="18" t="n"/>
      <c r="HR21" s="18" t="n"/>
      <c r="HS21" s="18" t="n"/>
      <c r="HT21" s="18" t="n"/>
      <c r="HU21" s="18" t="n"/>
      <c r="HV21" s="18" t="n"/>
      <c r="HW21" s="18" t="n"/>
    </row>
    <row r="22" ht="52.05" customHeight="1" s="88">
      <c r="A22" s="19" t="inlineStr">
        <is>
          <t>9000</t>
        </is>
      </c>
      <c r="B22" s="19" t="inlineStr">
        <is>
          <t>9000-8</t>
        </is>
      </c>
      <c r="C22" s="19" t="inlineStr">
        <is>
          <t>전기분야</t>
        </is>
      </c>
      <c r="D22" s="19" t="inlineStr">
        <is>
          <t>9000-8-21</t>
        </is>
      </c>
      <c r="E22" s="95" t="inlineStr">
        <is>
          <t>9000-8-17, 9000-8-18</t>
        </is>
      </c>
      <c r="F22" s="95" t="inlineStr">
        <is>
          <t>9000-8-24, 9000-8-25</t>
        </is>
      </c>
      <c r="G22" s="23" t="inlineStr">
        <is>
          <t>종합연동시험(SCADA) 실시</t>
        </is>
      </c>
      <c r="H22" s="21" t="inlineStr">
        <is>
          <t>D+226~D+285</t>
        </is>
      </c>
      <c r="I22" s="21" t="inlineStr">
        <is>
          <t>현장공사팀</t>
        </is>
      </c>
      <c r="J22" s="24" t="inlineStr">
        <is>
          <t>원방제어시스템 구축을 위한 변전/전차선/전력설비의 종합연동시험 실시
* SCADA (Supervisory Control And Data Acquisition): 광범위하고 대용량의 산업설비를 효율적으로 감시 제어하는 원방제어시스템</t>
        </is>
      </c>
      <c r="K22" s="24" t="inlineStr">
        <is>
          <t xml:space="preserve"> - 감리단 입회하에 시험 절차대로 수행
  1) 종합연동시험 계획서 작성
  2) 트램관제실/현장 기기간 인터페이스 시험
  * 현장기기 감시/제어/계측상태 확인 등</t>
        </is>
      </c>
      <c r="L22" s="62" t="inlineStr">
        <is>
          <t>종합연동시험 결과보고서</t>
        </is>
      </c>
      <c r="M22" s="24" t="inlineStr">
        <is>
          <t>"감리단 제출용 SCADA 종합연동시험 계획서, 포인트 맵 및 점검 절차서 작성"</t>
        </is>
      </c>
      <c r="N22" s="25">
        <f>HYPERLINK(LEFT(CELL("filename",A1),FIND("[",CELL("filename",A1))-1)&amp;"8.전기분야\21_종합연동시험(SCADA) 실시\표준서\종합연동시험(SCADA) 실시_표준서.html", "👉 [클릭] 표준서 열기 📄")</f>
        <v/>
      </c>
      <c r="O22" s="24" t="inlineStr">
        <is>
          <t>책임감리단 입회하에 트램관제실(OCC)과 현장 변전소/정류기/ESS 기기 간 SCADA 원격 감시/제어/계측(DI/DO/AI/AO) 종합연동시험 수행 및 검측 승인</t>
        </is>
      </c>
      <c r="P22" s="26">
        <f>HYPERLINK(LEFT(CELL("filename",A1),FIND("[",CELL("filename",A1))-1)&amp;"8.전기분야\21_종합연동시험(SCADA) 실시\수행지침\종합연동시험(SCADA) 실시_수행지침.html", "👉 [클릭] 수행지침 열기 📄")</f>
        <v/>
      </c>
      <c r="Q22" s="24" t="inlineStr">
        <is>
          <t>본 체크리스트는 동탄트램 전기분야 종합연동시험(SCADA) 실시 업무 이행에 대해책임감리단 입회하에 트램관제실(OCC)과 현장 변전소/정류기/ESS 기기 간 SCADA 원격 감시/제어/계측(DI/DO/AI/AO) 종합연동시험...</t>
        </is>
      </c>
      <c r="R22" s="27">
        <f>HYPERLINK(LEFT(CELL("filename",A1),FIND("[",CELL("filename",A1))-1)&amp;"8.전기분야\21_종합연동시험(SCADA) 실시\체크리스트\종합연동시험(SCADA) 실시_체크리스트.html", "👉 [클릭] 체크리스트 열기 📄")</f>
        <v/>
      </c>
      <c r="S22" s="2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Y22" s="18" t="n"/>
      <c r="DZ22" s="18" t="n"/>
      <c r="EA22" s="18" t="n"/>
      <c r="EB22" s="18" t="n"/>
      <c r="EC22" s="18" t="n"/>
      <c r="ED22" s="18" t="n"/>
      <c r="EE22" s="18" t="n"/>
      <c r="EF22" s="18" t="n"/>
      <c r="EG22" s="18" t="n"/>
      <c r="EH22" s="18" t="n"/>
      <c r="EI22" s="18" t="n"/>
      <c r="EJ22" s="18" t="n"/>
      <c r="EK22" s="18" t="n"/>
      <c r="EL22" s="18" t="n"/>
      <c r="EM22" s="18" t="n"/>
      <c r="EN22" s="18" t="n"/>
      <c r="EO22" s="18" t="n"/>
      <c r="EP22" s="18" t="n"/>
      <c r="EQ22" s="18" t="n"/>
      <c r="ER22" s="18" t="n"/>
      <c r="ES22" s="18" t="n"/>
      <c r="ET22" s="18" t="n"/>
      <c r="EU22" s="18" t="n"/>
      <c r="EV22" s="18" t="n"/>
      <c r="EW22" s="18" t="n"/>
      <c r="EX22" s="18" t="n"/>
      <c r="EY22" s="18" t="n"/>
      <c r="EZ22" s="18" t="n"/>
      <c r="FA22" s="18" t="n"/>
      <c r="FB22" s="18" t="n"/>
      <c r="FC22" s="18" t="n"/>
      <c r="FD22" s="18" t="n"/>
      <c r="FE22" s="18" t="n"/>
      <c r="FF22" s="18" t="n"/>
      <c r="FG22" s="18" t="n"/>
      <c r="FH22" s="18" t="n"/>
      <c r="FI22" s="18" t="n"/>
      <c r="FJ22" s="18" t="n"/>
      <c r="FK22" s="18" t="n"/>
      <c r="FL22" s="18" t="n"/>
      <c r="FM22" s="18" t="n"/>
      <c r="FN22" s="18" t="n"/>
      <c r="FO22" s="18" t="n"/>
      <c r="FP22" s="18" t="n"/>
      <c r="FQ22" s="18" t="n"/>
      <c r="FR22" s="18" t="n"/>
      <c r="FS22" s="18" t="n"/>
      <c r="FT22" s="18" t="n"/>
      <c r="FU22" s="18" t="n"/>
      <c r="FV22" s="18" t="n"/>
      <c r="FW22" s="18" t="n"/>
      <c r="FX22" s="18" t="n"/>
      <c r="FY22" s="18" t="n"/>
      <c r="FZ22" s="18" t="n"/>
      <c r="GA22" s="18" t="n"/>
      <c r="GB22" s="18" t="n"/>
      <c r="GC22" s="18" t="n"/>
      <c r="GD22" s="18" t="n"/>
      <c r="GE22" s="18" t="n"/>
      <c r="GF22" s="18" t="n"/>
      <c r="GG22" s="18" t="n"/>
      <c r="GH22" s="18" t="n"/>
      <c r="GI22" s="18" t="n"/>
      <c r="GJ22" s="18" t="n"/>
      <c r="GK22" s="18" t="n"/>
      <c r="GL22" s="18" t="n"/>
      <c r="GM22" s="18" t="n"/>
      <c r="GN22" s="18" t="n"/>
      <c r="GO22" s="18" t="n"/>
      <c r="GP22" s="18" t="n"/>
      <c r="GQ22" s="18" t="n"/>
      <c r="GR22" s="18" t="n"/>
      <c r="GS22" s="18" t="n"/>
      <c r="GT22" s="18" t="n"/>
      <c r="GU22" s="18" t="n"/>
      <c r="GV22" s="18" t="n"/>
      <c r="GW22" s="18" t="n"/>
      <c r="GX22" s="18" t="n"/>
      <c r="GY22" s="18" t="n"/>
      <c r="GZ22" s="18" t="n"/>
      <c r="HA22" s="18" t="n"/>
      <c r="HB22" s="18" t="n"/>
      <c r="HC22" s="18" t="n"/>
      <c r="HD22" s="18" t="n"/>
      <c r="HE22" s="18" t="n"/>
      <c r="HF22" s="18" t="n"/>
      <c r="HG22" s="18" t="n"/>
      <c r="HH22" s="18" t="n"/>
      <c r="HI22" s="18" t="n"/>
      <c r="HJ22" s="18" t="n"/>
      <c r="HK22" s="18" t="n"/>
      <c r="HL22" s="18" t="n"/>
      <c r="HM22" s="18" t="n"/>
      <c r="HN22" s="18" t="n"/>
      <c r="HO22" s="18" t="n"/>
      <c r="HP22" s="18" t="n"/>
      <c r="HQ22" s="18" t="n"/>
      <c r="HR22" s="18" t="n"/>
      <c r="HS22" s="18" t="n"/>
      <c r="HT22" s="18" t="n"/>
      <c r="HU22" s="18" t="n"/>
      <c r="HV22" s="18" t="n"/>
      <c r="HW22" s="18" t="n"/>
      <c r="HX22" s="18" t="n"/>
      <c r="HY22" s="18" t="n"/>
      <c r="HZ22" s="18" t="n"/>
      <c r="IA22" s="18" t="n"/>
    </row>
    <row r="23" ht="52.05" customHeight="1" s="88">
      <c r="A23" s="29" t="inlineStr">
        <is>
          <t>9000</t>
        </is>
      </c>
      <c r="B23" s="29" t="inlineStr">
        <is>
          <t>9000-8</t>
        </is>
      </c>
      <c r="C23" s="29" t="inlineStr">
        <is>
          <t>전기분야</t>
        </is>
      </c>
      <c r="D23" s="29" t="inlineStr">
        <is>
          <t>9000-8-22</t>
        </is>
      </c>
      <c r="E23" s="102" t="inlineStr">
        <is>
          <t>9000-8-18, 9000-8-19</t>
        </is>
      </c>
      <c r="F23" s="102" t="inlineStr">
        <is>
          <t>9000-8-25, 9000-8-26</t>
        </is>
      </c>
      <c r="G23" s="32" t="inlineStr">
        <is>
          <t>공종별 시험</t>
        </is>
      </c>
      <c r="H23" s="33" t="inlineStr">
        <is>
          <t>D+256~D+285</t>
        </is>
      </c>
      <c r="I23" s="33" t="inlineStr">
        <is>
          <t>현장공사팀</t>
        </is>
      </c>
      <c r="J23" s="34" t="inlineStr">
        <is>
          <t>관련 법령, 설계기준, 기술기준, 시방서 등의 요구사항에 적합하도록 설치되었는지를 확인</t>
        </is>
      </c>
      <c r="K23" s="34" t="inlineStr">
        <is>
          <t>- 철도종합시험운행 시행지침 제6조(공종별시험)에 따라 시행</t>
        </is>
      </c>
      <c r="L23" s="63" t="inlineStr">
        <is>
          <t>공종별 시험 결과보고서</t>
        </is>
      </c>
      <c r="M23" s="34" t="inlineStr">
        <is>
          <t>"철도종합시험운행 시행지침 제6조에 따른 전기 공종별 시험 항목 및 절차서 확정"</t>
        </is>
      </c>
      <c r="N23" s="35">
        <f>HYPERLINK(LEFT(CELL("filename",A1),FIND("[",CELL("filename",A1))-1)&amp;"8.전기분야\22_공종별 시험\표준서\공종별 시험_표준서.html", "👉 [클릭] 표준서 열기 📄")</f>
        <v/>
      </c>
      <c r="O23" s="34" t="inlineStr">
        <is>
          <t>철도종합시험운행 시행지침 제6조(공종별시험)에 의거하여 변전, 전차선, 전력 설비 공종별 절연, 보호계전기, 통전 시험을 정밀 수행하고 보고서 승인</t>
        </is>
      </c>
      <c r="P23" s="36">
        <f>HYPERLINK(LEFT(CELL("filename",A1),FIND("[",CELL("filename",A1))-1)&amp;"8.전기분야\22_공종별 시험\수행지침\공종별 시험_수행지침.html", "👉 [클릭] 수행지침 열기 📄")</f>
        <v/>
      </c>
      <c r="Q23" s="34" t="inlineStr">
        <is>
          <t>본 체크리스트는 동탄트램 전기분야 공종별 시험 업무 이행에 대해철도종합시험운행 시행지침 제6조(공종별시험)에 의거하여 변전, 전차선, 전력 설비 공종별 절연, 보호계전기, 통전 시험을 정밀 수행하고 보고서 승인 관련 실무 요...</t>
        </is>
      </c>
      <c r="R23" s="37">
        <f>HYPERLINK(LEFT(CELL("filename",A1),FIND("[",CELL("filename",A1))-1)&amp;"8.전기분야\22_공종별 시험\체크리스트\공종별 시험_체크리스트.html", "👉 [클릭] 체크리스트 열기 📄")</f>
        <v/>
      </c>
      <c r="S23" s="33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8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8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8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18" t="n"/>
      <c r="GI23" s="18" t="n"/>
      <c r="GJ23" s="18" t="n"/>
      <c r="GK23" s="18" t="n"/>
      <c r="GL23" s="18" t="n"/>
      <c r="GM23" s="18" t="n"/>
      <c r="GN23" s="18" t="n"/>
      <c r="GO23" s="18" t="n"/>
      <c r="GP23" s="18" t="n"/>
      <c r="GQ23" s="18" t="n"/>
      <c r="GR23" s="18" t="n"/>
      <c r="GS23" s="18" t="n"/>
      <c r="GT23" s="18" t="n"/>
      <c r="GU23" s="18" t="n"/>
      <c r="GV23" s="18" t="n"/>
      <c r="GW23" s="18" t="n"/>
      <c r="GX23" s="18" t="n"/>
      <c r="GY23" s="18" t="n"/>
      <c r="GZ23" s="18" t="n"/>
      <c r="HA23" s="18" t="n"/>
      <c r="HB23" s="18" t="n"/>
      <c r="HC23" s="18" t="n"/>
      <c r="HD23" s="18" t="n"/>
      <c r="HE23" s="18" t="n"/>
      <c r="HF23" s="18" t="n"/>
      <c r="HG23" s="18" t="n"/>
      <c r="HH23" s="18" t="n"/>
      <c r="HI23" s="18" t="n"/>
      <c r="HJ23" s="18" t="n"/>
      <c r="HK23" s="18" t="n"/>
      <c r="HL23" s="18" t="n"/>
      <c r="HM23" s="18" t="n"/>
      <c r="HN23" s="18" t="n"/>
      <c r="HO23" s="18" t="n"/>
      <c r="HP23" s="18" t="n"/>
      <c r="HQ23" s="18" t="n"/>
      <c r="HR23" s="18" t="n"/>
      <c r="HS23" s="18" t="n"/>
      <c r="HT23" s="18" t="n"/>
      <c r="HU23" s="18" t="n"/>
      <c r="HV23" s="18" t="n"/>
      <c r="HW23" s="18" t="n"/>
      <c r="HX23" s="18" t="n"/>
      <c r="HY23" s="18" t="n"/>
      <c r="HZ23" s="18" t="n"/>
      <c r="IA23" s="18" t="n"/>
      <c r="IB23" s="18" t="n"/>
      <c r="IC23" s="18" t="n"/>
      <c r="ID23" s="18" t="n"/>
      <c r="IE23" s="18" t="n"/>
    </row>
    <row r="24" ht="52.05" customHeight="1" s="88">
      <c r="A24" s="19" t="inlineStr">
        <is>
          <t>9000</t>
        </is>
      </c>
      <c r="B24" s="19" t="inlineStr">
        <is>
          <t>9000-8</t>
        </is>
      </c>
      <c r="C24" s="19" t="inlineStr">
        <is>
          <t>전기분야</t>
        </is>
      </c>
      <c r="D24" s="19" t="inlineStr">
        <is>
          <t>9000-8-23</t>
        </is>
      </c>
      <c r="E24" s="95" t="inlineStr">
        <is>
          <t>9000-8-19, 9000-8-20</t>
        </is>
      </c>
      <c r="F24" s="95" t="inlineStr">
        <is>
          <t>9000-8-26, 9000-8-27</t>
        </is>
      </c>
      <c r="G24" s="23" t="inlineStr">
        <is>
          <t>차량 투입 전 점검</t>
        </is>
      </c>
      <c r="H24" s="21" t="inlineStr">
        <is>
          <t>D+286~D+300</t>
        </is>
      </c>
      <c r="I24" s="21" t="inlineStr">
        <is>
          <t>현장공사팀</t>
        </is>
      </c>
      <c r="J24" s="24" t="inlineStr">
        <is>
          <t>발주처 주관의 차량시운전이 되도록 노반, 건축, 궤도, 전철전력, 통신, 신호분야를 종합하여 최종 점검</t>
        </is>
      </c>
      <c r="K24" s="49" t="inlineStr">
        <is>
          <t>- 노반/궤도 시공상태 점검
- 건축한계 및 차량한계 검사 [건축한계: 폭(3,600mm)]
- 전차선, 신호, 통신 작동상태 확인
- 차량충전설비, 신호, 통신 작동상태 확인</t>
        </is>
      </c>
      <c r="L24" s="62" t="inlineStr">
        <is>
          <t>합동점검 결과보고서</t>
        </is>
      </c>
      <c r="M24" s="24" t="inlineStr">
        <is>
          <t>"궤도 시공 정밀도 확인 및 트램 차량 건축한계(폭 3,600mm) 간섭 여부 레이저 실측"</t>
        </is>
      </c>
      <c r="N24" s="25">
        <f>HYPERLINK(LEFT(CELL("filename",A1),FIND("[",CELL("filename",A1))-1)&amp;"8.전기분야\23_차량 투입 전 점검\표준서\차량 투입 전 점검_표준서.html", "👉 [클릭] 표준서 열기 📄")</f>
        <v/>
      </c>
      <c r="O24" s="24" t="inlineStr">
        <is>
          <t>노반/궤도 시공상태 점검, 트램 건축한계(폭 3,600mm) 검사, 전차선 750V DC 가압, 차량충전설비, 신호/통신 작동상태 합동 사전 점검 완수</t>
        </is>
      </c>
      <c r="P24" s="26">
        <f>HYPERLINK(LEFT(CELL("filename",A1),FIND("[",CELL("filename",A1))-1)&amp;"8.전기분야\23_차량 투입 전 점검\수행지침\차량 투입 전 점검_수행지침.html", "👉 [클릭] 수행지침 열기 📄")</f>
        <v/>
      </c>
      <c r="Q24" s="24" t="inlineStr">
        <is>
          <t>본 체크리스트는 동탄트램 전기분야 차량 투입 전 점검 업무 이행에 대해노반/궤도 시공상태 점검, 트램 건축한계(폭 3,600mm) 검사, 전차선 750V DC 가압, 차량충전설비, 신호/통신 작동상태 합동 사전 점검 완수 관...</t>
        </is>
      </c>
      <c r="R24" s="27">
        <f>HYPERLINK(LEFT(CELL("filename",A1),FIND("[",CELL("filename",A1))-1)&amp;"8.전기분야\23_차량 투입 전 점검\체크리스트\차량 투입 전 점검_체크리스트.html", "👉 [클릭] 체크리스트 열기 📄")</f>
        <v/>
      </c>
      <c r="S24" s="2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8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8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8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18" t="n"/>
      <c r="GI24" s="18" t="n"/>
      <c r="GJ24" s="18" t="n"/>
      <c r="GK24" s="18" t="n"/>
      <c r="GL24" s="18" t="n"/>
      <c r="GM24" s="18" t="n"/>
      <c r="GN24" s="18" t="n"/>
      <c r="GO24" s="18" t="n"/>
      <c r="GP24" s="18" t="n"/>
      <c r="GQ24" s="18" t="n"/>
      <c r="GR24" s="18" t="n"/>
      <c r="GS24" s="18" t="n"/>
      <c r="GT24" s="18" t="n"/>
      <c r="GU24" s="18" t="n"/>
      <c r="GV24" s="18" t="n"/>
      <c r="GW24" s="18" t="n"/>
      <c r="GX24" s="18" t="n"/>
      <c r="GY24" s="18" t="n"/>
      <c r="GZ24" s="18" t="n"/>
      <c r="HA24" s="18" t="n"/>
      <c r="HB24" s="18" t="n"/>
      <c r="HC24" s="18" t="n"/>
      <c r="HD24" s="18" t="n"/>
      <c r="HE24" s="18" t="n"/>
      <c r="HF24" s="18" t="n"/>
      <c r="HG24" s="18" t="n"/>
      <c r="HH24" s="18" t="n"/>
      <c r="HI24" s="18" t="n"/>
      <c r="HJ24" s="18" t="n"/>
      <c r="HK24" s="18" t="n"/>
      <c r="HL24" s="18" t="n"/>
      <c r="HM24" s="18" t="n"/>
      <c r="HN24" s="18" t="n"/>
      <c r="HO24" s="18" t="n"/>
      <c r="HP24" s="18" t="n"/>
      <c r="HQ24" s="18" t="n"/>
      <c r="HR24" s="18" t="n"/>
      <c r="HS24" s="18" t="n"/>
      <c r="HT24" s="18" t="n"/>
      <c r="HU24" s="18" t="n"/>
      <c r="HV24" s="18" t="n"/>
      <c r="HW24" s="18" t="n"/>
      <c r="HX24" s="18" t="n"/>
      <c r="HY24" s="18" t="n"/>
      <c r="HZ24" s="18" t="n"/>
      <c r="IA24" s="18" t="n"/>
      <c r="IB24" s="18" t="n"/>
      <c r="IC24" s="18" t="n"/>
      <c r="ID24" s="18" t="n"/>
      <c r="IE24" s="18" t="n"/>
      <c r="IF24" s="18" t="n"/>
      <c r="IG24" s="18" t="n"/>
      <c r="IH24" s="18" t="n"/>
      <c r="II24" s="18" t="n"/>
    </row>
    <row r="25" ht="52.05" customHeight="1" s="88">
      <c r="A25" s="29" t="inlineStr">
        <is>
          <t>9000</t>
        </is>
      </c>
      <c r="B25" s="29" t="inlineStr">
        <is>
          <t>9000-8</t>
        </is>
      </c>
      <c r="C25" s="29" t="inlineStr">
        <is>
          <t>전기분야</t>
        </is>
      </c>
      <c r="D25" s="29" t="inlineStr">
        <is>
          <t>9000-8-24</t>
        </is>
      </c>
      <c r="E25" s="102" t="inlineStr">
        <is>
          <t>9000-8-20, 9000-8-21</t>
        </is>
      </c>
      <c r="F25" s="102" t="inlineStr">
        <is>
          <t>9000-8-27, 9000-8-28</t>
        </is>
      </c>
      <c r="G25" s="32" t="inlineStr">
        <is>
          <t>차량 시운전</t>
        </is>
      </c>
      <c r="H25" s="33" t="inlineStr">
        <is>
          <t>D+301~D+360</t>
        </is>
      </c>
      <c r="I25" s="33" t="inlineStr">
        <is>
          <t>현장공사팀</t>
        </is>
      </c>
      <c r="J25" s="34" t="inlineStr">
        <is>
          <t>철도안전법에 따른 철도차량 형식승인</t>
        </is>
      </c>
      <c r="K25" s="34" t="inlineStr">
        <is>
          <t>- 철도안전법 제26조(철도차량 형식승인)에 따라 이행 (주로 본선구간 수행)
- 차량, 신호, 통신 시스템간 인터페이스 시험</t>
        </is>
      </c>
      <c r="L25" s="63" t="inlineStr">
        <is>
          <t>철도차량 형식승인 결과 보고서</t>
        </is>
      </c>
      <c r="M25" s="34" t="inlineStr">
        <is>
          <t>"철도안전법 철도차량 형식승인 절차에 따른 본선 구간 전기-차량 시운전 계획 수립"</t>
        </is>
      </c>
      <c r="N25" s="35">
        <f>HYPERLINK(LEFT(CELL("filename",A1),FIND("[",CELL("filename",A1))-1)&amp;"8.전기분야\24_차량 시운전\표준서\차량 시운전_표준서.html", "👉 [클릭] 표준서 열기 📄")</f>
        <v/>
      </c>
      <c r="O25" s="34" t="inlineStr">
        <is>
          <t>철도안전법 제26조(철도차량 형식승인)에 의거하여 본선 구간 트램 차량, 전차선 전력, 신호, 통신 시스템 간 인터페이스 시험 및 동력 성능 시운전 수행</t>
        </is>
      </c>
      <c r="P25" s="36">
        <f>HYPERLINK(LEFT(CELL("filename",A1),FIND("[",CELL("filename",A1))-1)&amp;"8.전기분야\24_차량 시운전\수행지침\차량 시운전_수행지침.html", "👉 [클릭] 수행지침 열기 📄")</f>
        <v/>
      </c>
      <c r="Q25" s="34" t="inlineStr">
        <is>
          <t>본 체크리스트는 동탄트램 전기분야 차량 시운전 업무 이행에 대해철도안전법 제26조(철도차량 형식승인)에 의거하여 본선 구간 트램 차량, 전차선 전력, 신호, 통신 시스템 간 인터페이스 시험 및 동력 성능 시운전 수행 관련 실...</t>
        </is>
      </c>
      <c r="R25" s="37">
        <f>HYPERLINK(LEFT(CELL("filename",A1),FIND("[",CELL("filename",A1))-1)&amp;"8.전기분야\24_차량 시운전\체크리스트\차량 시운전_체크리스트.html", "👉 [클릭] 체크리스트 열기 📄")</f>
        <v/>
      </c>
      <c r="S25" s="33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8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8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8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18" t="n"/>
      <c r="GI25" s="18" t="n"/>
      <c r="GJ25" s="18" t="n"/>
      <c r="GK25" s="18" t="n"/>
      <c r="GL25" s="18" t="n"/>
      <c r="GM25" s="18" t="n"/>
      <c r="GN25" s="18" t="n"/>
      <c r="GO25" s="18" t="n"/>
      <c r="GP25" s="18" t="n"/>
      <c r="GQ25" s="18" t="n"/>
      <c r="GR25" s="18" t="n"/>
      <c r="GS25" s="18" t="n"/>
      <c r="GT25" s="18" t="n"/>
      <c r="GU25" s="18" t="n"/>
      <c r="GV25" s="18" t="n"/>
      <c r="GW25" s="18" t="n"/>
      <c r="GX25" s="18" t="n"/>
      <c r="GY25" s="18" t="n"/>
      <c r="GZ25" s="18" t="n"/>
      <c r="HA25" s="18" t="n"/>
      <c r="HB25" s="18" t="n"/>
      <c r="HC25" s="18" t="n"/>
      <c r="HD25" s="18" t="n"/>
      <c r="HE25" s="18" t="n"/>
      <c r="HF25" s="18" t="n"/>
      <c r="HG25" s="18" t="n"/>
      <c r="HH25" s="18" t="n"/>
      <c r="HI25" s="18" t="n"/>
      <c r="HJ25" s="18" t="n"/>
      <c r="HK25" s="18" t="n"/>
      <c r="HL25" s="18" t="n"/>
      <c r="HM25" s="18" t="n"/>
      <c r="HN25" s="18" t="n"/>
      <c r="HO25" s="18" t="n"/>
      <c r="HP25" s="18" t="n"/>
      <c r="HQ25" s="18" t="n"/>
      <c r="HR25" s="18" t="n"/>
      <c r="HS25" s="18" t="n"/>
      <c r="HT25" s="18" t="n"/>
      <c r="HU25" s="18" t="n"/>
      <c r="HV25" s="18" t="n"/>
      <c r="HW25" s="18" t="n"/>
      <c r="HX25" s="18" t="n"/>
      <c r="HY25" s="18" t="n"/>
      <c r="HZ25" s="18" t="n"/>
      <c r="IA25" s="18" t="n"/>
      <c r="IB25" s="18" t="n"/>
      <c r="IC25" s="18" t="n"/>
      <c r="ID25" s="18" t="n"/>
      <c r="IE25" s="18" t="n"/>
      <c r="IF25" s="18" t="n"/>
      <c r="IG25" s="18" t="n"/>
      <c r="IH25" s="18" t="n"/>
      <c r="II25" s="18" t="n"/>
      <c r="IJ25" s="18" t="n"/>
      <c r="IK25" s="18" t="n"/>
      <c r="IL25" s="18" t="n"/>
      <c r="IM25" s="18" t="n"/>
    </row>
    <row r="26" ht="52.05" customHeight="1" s="88">
      <c r="A26" s="19" t="inlineStr">
        <is>
          <t>9000</t>
        </is>
      </c>
      <c r="B26" s="19" t="inlineStr">
        <is>
          <t>9000-8</t>
        </is>
      </c>
      <c r="C26" s="19" t="inlineStr">
        <is>
          <t>전기분야</t>
        </is>
      </c>
      <c r="D26" s="19" t="inlineStr">
        <is>
          <t>9000-8-25</t>
        </is>
      </c>
      <c r="E26" s="95" t="inlineStr">
        <is>
          <t>9000-8-21, 9000-8-22</t>
        </is>
      </c>
      <c r="F26" s="95" t="inlineStr">
        <is>
          <t>9000-8-28, 9000-8-29</t>
        </is>
      </c>
      <c r="G26" s="23" t="inlineStr">
        <is>
          <t>운영자 교육시행</t>
        </is>
      </c>
      <c r="H26" s="21" t="inlineStr">
        <is>
          <t>D+361~D+374</t>
        </is>
      </c>
      <c r="I26" s="21" t="inlineStr">
        <is>
          <t>현장공사팀</t>
        </is>
      </c>
      <c r="J26" s="24" t="inlineStr">
        <is>
          <t>영업시운전 전에 시설을 운영자를 대상으로 운영 및 유지관리방법에 대해 교육</t>
        </is>
      </c>
      <c r="K26" s="24" t="inlineStr">
        <is>
          <t>- 전기 제작사가 만든 매뉴얼로 운영자를 교육
: 변전/전력설비 운영/관리방법</t>
        </is>
      </c>
      <c r="L26" s="62" t="inlineStr">
        <is>
          <t>운영자 교육 결과서</t>
        </is>
      </c>
      <c r="M26" s="24" t="inlineStr">
        <is>
          <t>"전기자재 제작사 작성 운영/유지보수 매뉴얼, 비상 조치 절차서 및 교육 교재 검토"</t>
        </is>
      </c>
      <c r="N26" s="25">
        <f>HYPERLINK(LEFT(CELL("filename",A1),FIND("[",CELL("filename",A1))-1)&amp;"8.전기분야\25_운영자 교육시행\표준서\운영자 교육시행_표준서.html", "👉 [클릭] 표준서 열기 📄")</f>
        <v/>
      </c>
      <c r="O26" s="24" t="inlineStr">
        <is>
          <t>전기설비(변전, 전차선, SCADA, ESS) 제작사 취급 설명 매뉴얼 기반 운영사 및 관제 유지보수자 대상 이론/실습 교육 시행 및 교육 이수증 교부</t>
        </is>
      </c>
      <c r="P26" s="26">
        <f>HYPERLINK(LEFT(CELL("filename",A1),FIND("[",CELL("filename",A1))-1)&amp;"8.전기분야\25_운영자 교육시행\수행지침\운영자 교육시행_수행지침.html", "👉 [클릭] 수행지침 열기 📄")</f>
        <v/>
      </c>
      <c r="Q26" s="24" t="inlineStr">
        <is>
          <t>본 체크리스트는 동탄트램 전기분야 운영자 교육시행 업무 이행에 대해전기설비(변전, 전차선, SCADA, ESS) 제작사 취급 설명 매뉴얼 기반 운영사 및 관제 유지보수자 대상 이론/실습 교육 시행 및 교육 이수증 교부 관련 ...</t>
        </is>
      </c>
      <c r="R26" s="27">
        <f>HYPERLINK(LEFT(CELL("filename",A1),FIND("[",CELL("filename",A1))-1)&amp;"8.전기분야\25_운영자 교육시행\체크리스트\운영자 교육시행_체크리스트.html", "👉 [클릭] 체크리스트 열기 📄")</f>
        <v/>
      </c>
      <c r="S26" s="2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8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8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8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18" t="n"/>
      <c r="GI26" s="18" t="n"/>
      <c r="GJ26" s="18" t="n"/>
      <c r="GK26" s="18" t="n"/>
      <c r="GL26" s="18" t="n"/>
      <c r="GM26" s="18" t="n"/>
      <c r="GN26" s="18" t="n"/>
      <c r="GO26" s="18" t="n"/>
      <c r="GP26" s="18" t="n"/>
      <c r="GQ26" s="18" t="n"/>
      <c r="GR26" s="18" t="n"/>
      <c r="GS26" s="18" t="n"/>
      <c r="GT26" s="18" t="n"/>
      <c r="GU26" s="18" t="n"/>
      <c r="GV26" s="18" t="n"/>
      <c r="GW26" s="18" t="n"/>
      <c r="GX26" s="18" t="n"/>
      <c r="GY26" s="18" t="n"/>
      <c r="GZ26" s="18" t="n"/>
      <c r="HA26" s="18" t="n"/>
      <c r="HB26" s="18" t="n"/>
      <c r="HC26" s="18" t="n"/>
      <c r="HD26" s="18" t="n"/>
      <c r="HE26" s="18" t="n"/>
      <c r="HF26" s="18" t="n"/>
      <c r="HG26" s="18" t="n"/>
      <c r="HH26" s="18" t="n"/>
      <c r="HI26" s="18" t="n"/>
      <c r="HJ26" s="18" t="n"/>
      <c r="HK26" s="18" t="n"/>
      <c r="HL26" s="18" t="n"/>
      <c r="HM26" s="18" t="n"/>
      <c r="HN26" s="18" t="n"/>
      <c r="HO26" s="18" t="n"/>
      <c r="HP26" s="18" t="n"/>
      <c r="HQ26" s="18" t="n"/>
      <c r="HR26" s="18" t="n"/>
      <c r="HS26" s="18" t="n"/>
      <c r="HT26" s="18" t="n"/>
      <c r="HU26" s="18" t="n"/>
      <c r="HV26" s="18" t="n"/>
      <c r="HW26" s="18" t="n"/>
      <c r="HX26" s="18" t="n"/>
      <c r="HY26" s="18" t="n"/>
      <c r="HZ26" s="18" t="n"/>
      <c r="IA26" s="18" t="n"/>
      <c r="IB26" s="18" t="n"/>
      <c r="IC26" s="18" t="n"/>
      <c r="ID26" s="18" t="n"/>
      <c r="IE26" s="18" t="n"/>
      <c r="IF26" s="18" t="n"/>
      <c r="IG26" s="18" t="n"/>
      <c r="IH26" s="18" t="n"/>
      <c r="II26" s="18" t="n"/>
      <c r="IJ26" s="18" t="n"/>
      <c r="IK26" s="18" t="n"/>
      <c r="IL26" s="18" t="n"/>
      <c r="IM26" s="18" t="n"/>
      <c r="IN26" s="18" t="n"/>
      <c r="IO26" s="18" t="n"/>
      <c r="IP26" s="18" t="n"/>
      <c r="IQ26" s="18" t="n"/>
    </row>
    <row r="27" ht="52.05" customHeight="1" s="88">
      <c r="A27" s="29" t="inlineStr">
        <is>
          <t>9000</t>
        </is>
      </c>
      <c r="B27" s="29" t="inlineStr">
        <is>
          <t>9000-8</t>
        </is>
      </c>
      <c r="C27" s="29" t="inlineStr">
        <is>
          <t>전기분야</t>
        </is>
      </c>
      <c r="D27" s="29" t="inlineStr">
        <is>
          <t>9000-8-26</t>
        </is>
      </c>
      <c r="E27" s="102" t="inlineStr">
        <is>
          <t>9000-8-22, 9000-8-23</t>
        </is>
      </c>
      <c r="F27" s="102" t="inlineStr">
        <is>
          <t>9000-8-29, 9000-8-30</t>
        </is>
      </c>
      <c r="G27" s="32" t="inlineStr">
        <is>
          <t>사전점검</t>
        </is>
      </c>
      <c r="H27" s="33" t="inlineStr">
        <is>
          <t>D+375~D+414</t>
        </is>
      </c>
      <c r="I27" s="33" t="inlineStr">
        <is>
          <t>현장공사팀</t>
        </is>
      </c>
      <c r="J27" s="34" t="inlineStr">
        <is>
          <t>시설물검증시험의 가능여부를 확인하기 위하여 발주처와 운영자가 합동으로 점검</t>
        </is>
      </c>
      <c r="K27" s="34" t="inlineStr">
        <is>
          <t>- (기준) 철도종합시험운행 시행지침 제8조 "종합시험운행을 위한 사전점검"에 따름
- 발주처는 공종별 시험을 완료한 후 시설물 검증시험의 가능여부를 확인하기 위하여 사전점검계획을 수립하고 운영자와 합동으로 실시
- 발주처와 운영자의 사전점검 결과보고서를 한국교통안전공단에 제출 (점검 후 7일 이내)</t>
        </is>
      </c>
      <c r="L27" s="63" t="inlineStr">
        <is>
          <t>사전점검 결과보고서/승인문서(한국교통안전공단)</t>
        </is>
      </c>
      <c r="M27" s="34" t="inlineStr">
        <is>
          <t>"철도종합시험운행 시행지침 제8조에 의거, 발주처-운영자 합동 사전점검 계획서 수립"</t>
        </is>
      </c>
      <c r="N27" s="35">
        <f>HYPERLINK(LEFT(CELL("filename",A1),FIND("[",CELL("filename",A1))-1)&amp;"8.전기분야\26_사전점검\표준서\사전점검_표준서.html", "👉 [클릭] 표준서 열기 📄")</f>
        <v/>
      </c>
      <c r="O27" s="34" t="inlineStr">
        <is>
          <t>철도종합시험운행 시행지침 제8조(사전점검)에 따라 발주처-운영자 합동 사전점검계획 수립, 시설물 검증 가능성 점검 후 7일 이내 한국교통안전공단 제출 완수</t>
        </is>
      </c>
      <c r="P27" s="36">
        <f>HYPERLINK(LEFT(CELL("filename",A1),FIND("[",CELL("filename",A1))-1)&amp;"8.전기분야\26_사전점검\수행지침\사전점검_수행지침.html", "👉 [클릭] 수행지침 열기 📄")</f>
        <v/>
      </c>
      <c r="Q27" s="34" t="inlineStr">
        <is>
          <t>본 체크리스트는 동탄트램 전기분야 사전점검 업무 이행에 대해철도종합시험운행 시행지침 제8조(사전점검)에 따라 발주처-운영자 합동 사전점검계획 수립, 시설물 검증 가능성 점검 후 7일 이내 한국교통안전공단 제출 완수 관련 실무...</t>
        </is>
      </c>
      <c r="R27" s="37">
        <f>HYPERLINK(LEFT(CELL("filename",A1),FIND("[",CELL("filename",A1))-1)&amp;"8.전기분야\26_사전점검\체크리스트\사전점검_체크리스트.html", "👉 [클릭] 체크리스트 열기 📄")</f>
        <v/>
      </c>
      <c r="S27" s="33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Y27" s="18" t="n"/>
      <c r="DZ27" s="18" t="n"/>
      <c r="EA27" s="18" t="n"/>
      <c r="EB27" s="18" t="n"/>
      <c r="EC27" s="18" t="n"/>
      <c r="ED27" s="18" t="n"/>
      <c r="EE27" s="18" t="n"/>
      <c r="EF27" s="18" t="n"/>
      <c r="EG27" s="18" t="n"/>
      <c r="EH27" s="18" t="n"/>
      <c r="EI27" s="18" t="n"/>
      <c r="EJ27" s="18" t="n"/>
      <c r="EK27" s="18" t="n"/>
      <c r="EL27" s="18" t="n"/>
      <c r="EM27" s="18" t="n"/>
      <c r="EN27" s="18" t="n"/>
      <c r="EO27" s="18" t="n"/>
      <c r="EP27" s="18" t="n"/>
      <c r="EQ27" s="18" t="n"/>
      <c r="ER27" s="18" t="n"/>
      <c r="ES27" s="18" t="n"/>
      <c r="ET27" s="18" t="n"/>
      <c r="EU27" s="18" t="n"/>
      <c r="EV27" s="18" t="n"/>
      <c r="EW27" s="18" t="n"/>
      <c r="EX27" s="18" t="n"/>
      <c r="EY27" s="18" t="n"/>
      <c r="EZ27" s="18" t="n"/>
      <c r="FA27" s="18" t="n"/>
      <c r="FB27" s="18" t="n"/>
      <c r="FC27" s="18" t="n"/>
      <c r="FD27" s="18" t="n"/>
      <c r="FE27" s="18" t="n"/>
      <c r="FF27" s="18" t="n"/>
      <c r="FG27" s="18" t="n"/>
      <c r="FH27" s="18" t="n"/>
      <c r="FI27" s="18" t="n"/>
      <c r="FJ27" s="18" t="n"/>
      <c r="FK27" s="18" t="n"/>
      <c r="FL27" s="18" t="n"/>
      <c r="FM27" s="18" t="n"/>
      <c r="FN27" s="18" t="n"/>
      <c r="FO27" s="18" t="n"/>
      <c r="FP27" s="18" t="n"/>
      <c r="FQ27" s="18" t="n"/>
      <c r="FR27" s="18" t="n"/>
      <c r="FS27" s="18" t="n"/>
      <c r="FT27" s="18" t="n"/>
      <c r="FU27" s="18" t="n"/>
      <c r="FV27" s="18" t="n"/>
      <c r="FW27" s="18" t="n"/>
      <c r="FX27" s="18" t="n"/>
      <c r="FY27" s="18" t="n"/>
      <c r="FZ27" s="18" t="n"/>
      <c r="GA27" s="18" t="n"/>
      <c r="GB27" s="18" t="n"/>
      <c r="GC27" s="18" t="n"/>
      <c r="GD27" s="18" t="n"/>
      <c r="GE27" s="18" t="n"/>
      <c r="GF27" s="18" t="n"/>
      <c r="GG27" s="18" t="n"/>
      <c r="GH27" s="18" t="n"/>
      <c r="GI27" s="18" t="n"/>
      <c r="GJ27" s="18" t="n"/>
      <c r="GK27" s="18" t="n"/>
      <c r="GL27" s="18" t="n"/>
      <c r="GM27" s="18" t="n"/>
      <c r="GN27" s="18" t="n"/>
      <c r="GO27" s="18" t="n"/>
      <c r="GP27" s="18" t="n"/>
      <c r="GQ27" s="18" t="n"/>
      <c r="GR27" s="18" t="n"/>
      <c r="GS27" s="18" t="n"/>
      <c r="GT27" s="18" t="n"/>
      <c r="GU27" s="18" t="n"/>
      <c r="GV27" s="18" t="n"/>
      <c r="GW27" s="18" t="n"/>
      <c r="GX27" s="18" t="n"/>
      <c r="GY27" s="18" t="n"/>
      <c r="GZ27" s="18" t="n"/>
      <c r="HA27" s="18" t="n"/>
      <c r="HB27" s="18" t="n"/>
      <c r="HC27" s="18" t="n"/>
      <c r="HD27" s="18" t="n"/>
      <c r="HE27" s="18" t="n"/>
      <c r="HF27" s="18" t="n"/>
      <c r="HG27" s="18" t="n"/>
      <c r="HH27" s="18" t="n"/>
      <c r="HI27" s="18" t="n"/>
      <c r="HJ27" s="18" t="n"/>
      <c r="HK27" s="18" t="n"/>
      <c r="HL27" s="18" t="n"/>
      <c r="HM27" s="18" t="n"/>
      <c r="HN27" s="18" t="n"/>
      <c r="HO27" s="18" t="n"/>
      <c r="HP27" s="18" t="n"/>
      <c r="HQ27" s="18" t="n"/>
      <c r="HR27" s="18" t="n"/>
      <c r="HS27" s="18" t="n"/>
      <c r="HT27" s="18" t="n"/>
      <c r="HU27" s="18" t="n"/>
      <c r="HV27" s="18" t="n"/>
      <c r="HW27" s="18" t="n"/>
      <c r="HX27" s="18" t="n"/>
      <c r="HY27" s="18" t="n"/>
      <c r="HZ27" s="18" t="n"/>
      <c r="IA27" s="18" t="n"/>
      <c r="IB27" s="18" t="n"/>
      <c r="IC27" s="18" t="n"/>
      <c r="ID27" s="18" t="n"/>
      <c r="IE27" s="18" t="n"/>
      <c r="IF27" s="18" t="n"/>
      <c r="IG27" s="18" t="n"/>
      <c r="IH27" s="18" t="n"/>
      <c r="II27" s="18" t="n"/>
      <c r="IJ27" s="18" t="n"/>
      <c r="IK27" s="18" t="n"/>
      <c r="IL27" s="18" t="n"/>
      <c r="IM27" s="18" t="n"/>
      <c r="IN27" s="18" t="n"/>
      <c r="IO27" s="18" t="n"/>
      <c r="IP27" s="18" t="n"/>
      <c r="IQ27" s="18" t="n"/>
      <c r="IR27" s="18" t="n"/>
      <c r="IS27" s="18" t="n"/>
      <c r="IT27" s="18" t="n"/>
      <c r="IU27" s="18" t="n"/>
    </row>
    <row r="28" ht="52.05" customHeight="1" s="88">
      <c r="A28" s="19" t="inlineStr">
        <is>
          <t>9000</t>
        </is>
      </c>
      <c r="B28" s="19" t="inlineStr">
        <is>
          <t>9000-8</t>
        </is>
      </c>
      <c r="C28" s="19" t="inlineStr">
        <is>
          <t>전기분야</t>
        </is>
      </c>
      <c r="D28" s="19" t="inlineStr">
        <is>
          <t>9000-8-27</t>
        </is>
      </c>
      <c r="E28" s="95" t="inlineStr">
        <is>
          <t>9000-8-23, 9000-8-24</t>
        </is>
      </c>
      <c r="F28" s="95" t="inlineStr">
        <is>
          <t>9000-8-30, 9000-8-31</t>
        </is>
      </c>
      <c r="G28" s="23" t="inlineStr">
        <is>
          <t>시설물 검증시험</t>
        </is>
      </c>
      <c r="H28" s="21" t="inlineStr">
        <is>
          <t>D+415~D+499</t>
        </is>
      </c>
      <c r="I28" s="21" t="inlineStr">
        <is>
          <t>현장공사팀</t>
        </is>
      </c>
      <c r="J28" s="24" t="inlineStr">
        <is>
          <t>발주처는 시설물의 정상작동 상태 등을 확인하기 위해 시설물 검증시험을 수행</t>
        </is>
      </c>
      <c r="K28" s="24" t="inlineStr">
        <is>
          <t>- (기준) 철도종합시험운행 시행지침 제12조(시설물검증시험계획의 수립), 13조(시설물검증시험의 시행)에 따름
- 발주처는 시설물검증시험계획을 운영자와 협의하여 수립하고 전문기관의 승인을 받은 후 수행
- 철도종합시험운행 시설물검증시험 점검항목: 시설물의 정상작동 상태, 철도시설의 안전상태, 철도차량의 운행적합성, 철도시설과 차량 간의 연계성
- 발주처와 운영자의 시설물 검증시험 결과보고서를 한국교통안전공단에 제출 (점검 후 7일 이내)</t>
        </is>
      </c>
      <c r="L28" s="62" t="inlineStr">
        <is>
          <t>시설물 검증시험 결과보고서/승인문서(한국교통안전공단)</t>
        </is>
      </c>
      <c r="M28" s="24" t="inlineStr">
        <is>
          <t>"시설물검증시험계획을 운영자와 협의 수립하고 한국교통안전공단 전문기관 승인 수검"</t>
        </is>
      </c>
      <c r="N28" s="25">
        <f>HYPERLINK(LEFT(CELL("filename",A1),FIND("[",CELL("filename",A1))-1)&amp;"8.전기분야\27_시설물 검증시험\표준서\시설물 검증시험_표준서.html", "👉 [클릭] 표준서 열기 📄")</f>
        <v/>
      </c>
      <c r="O28" s="24" t="inlineStr">
        <is>
          <t>철도종합시험운행 시행지침 제12조/제13조에 의거 시설물검증시험계획 전문기관 승인, 시설물 정상작동, 안전상태, 차량 운행 적합성 검증 후 7일 내 공단 제출</t>
        </is>
      </c>
      <c r="P28" s="26">
        <f>HYPERLINK(LEFT(CELL("filename",A1),FIND("[",CELL("filename",A1))-1)&amp;"8.전기분야\27_시설물 검증시험\수행지침\시설물 검증시험_수행지침.html", "👉 [클릭] 수행지침 열기 📄")</f>
        <v/>
      </c>
      <c r="Q28" s="24" t="inlineStr">
        <is>
          <t>본 체크리스트는 동탄트램 전기분야 시설물 검증시험 업무 이행에 대해철도종합시험운행 시행지침 제12조/제13조에 의거 시설물검증시험계획 전문기관 승인, 시설물 정상작동, 안전상태, 차량 운행 적합성 검증 후 7일 내 공단 제출...</t>
        </is>
      </c>
      <c r="R28" s="27">
        <f>HYPERLINK(LEFT(CELL("filename",A1),FIND("[",CELL("filename",A1))-1)&amp;"8.전기분야\27_시설물 검증시험\체크리스트\시설물 검증시험_체크리스트.html", "👉 [클릭] 체크리스트 열기 📄")</f>
        <v/>
      </c>
      <c r="S28" s="2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Y28" s="18" t="n"/>
      <c r="DZ28" s="18" t="n"/>
      <c r="EA28" s="18" t="n"/>
      <c r="EB28" s="18" t="n"/>
      <c r="EC28" s="18" t="n"/>
      <c r="ED28" s="18" t="n"/>
      <c r="EE28" s="18" t="n"/>
      <c r="EF28" s="18" t="n"/>
      <c r="EG28" s="18" t="n"/>
      <c r="EH28" s="18" t="n"/>
      <c r="EI28" s="18" t="n"/>
      <c r="EJ28" s="18" t="n"/>
      <c r="EK28" s="18" t="n"/>
      <c r="EL28" s="18" t="n"/>
      <c r="EM28" s="18" t="n"/>
      <c r="EN28" s="18" t="n"/>
      <c r="EO28" s="18" t="n"/>
      <c r="EP28" s="18" t="n"/>
      <c r="EQ28" s="18" t="n"/>
      <c r="ER28" s="18" t="n"/>
      <c r="ES28" s="18" t="n"/>
      <c r="ET28" s="18" t="n"/>
      <c r="EU28" s="18" t="n"/>
      <c r="EV28" s="18" t="n"/>
      <c r="EW28" s="18" t="n"/>
      <c r="EX28" s="18" t="n"/>
      <c r="EY28" s="18" t="n"/>
      <c r="EZ28" s="18" t="n"/>
      <c r="FA28" s="18" t="n"/>
      <c r="FB28" s="18" t="n"/>
      <c r="FC28" s="18" t="n"/>
      <c r="FD28" s="18" t="n"/>
      <c r="FE28" s="18" t="n"/>
      <c r="FF28" s="18" t="n"/>
      <c r="FG28" s="18" t="n"/>
      <c r="FH28" s="18" t="n"/>
      <c r="FI28" s="18" t="n"/>
      <c r="FJ28" s="18" t="n"/>
      <c r="FK28" s="18" t="n"/>
      <c r="FL28" s="18" t="n"/>
      <c r="FM28" s="18" t="n"/>
      <c r="FN28" s="18" t="n"/>
      <c r="FO28" s="18" t="n"/>
      <c r="FP28" s="18" t="n"/>
      <c r="FQ28" s="18" t="n"/>
      <c r="FR28" s="18" t="n"/>
      <c r="FS28" s="18" t="n"/>
      <c r="FT28" s="18" t="n"/>
      <c r="FU28" s="18" t="n"/>
      <c r="FV28" s="18" t="n"/>
      <c r="FW28" s="18" t="n"/>
      <c r="FX28" s="18" t="n"/>
      <c r="FY28" s="18" t="n"/>
      <c r="FZ28" s="18" t="n"/>
      <c r="GA28" s="18" t="n"/>
      <c r="GB28" s="18" t="n"/>
      <c r="GC28" s="18" t="n"/>
      <c r="GD28" s="18" t="n"/>
      <c r="GE28" s="18" t="n"/>
      <c r="GF28" s="18" t="n"/>
      <c r="GG28" s="18" t="n"/>
      <c r="GH28" s="18" t="n"/>
      <c r="GI28" s="18" t="n"/>
      <c r="GJ28" s="18" t="n"/>
      <c r="GK28" s="18" t="n"/>
      <c r="GL28" s="18" t="n"/>
      <c r="GM28" s="18" t="n"/>
      <c r="GN28" s="18" t="n"/>
      <c r="GO28" s="18" t="n"/>
      <c r="GP28" s="18" t="n"/>
      <c r="GQ28" s="18" t="n"/>
      <c r="GR28" s="18" t="n"/>
      <c r="GS28" s="18" t="n"/>
      <c r="GT28" s="18" t="n"/>
      <c r="GU28" s="18" t="n"/>
      <c r="GV28" s="18" t="n"/>
      <c r="GW28" s="18" t="n"/>
      <c r="GX28" s="18" t="n"/>
      <c r="GY28" s="18" t="n"/>
      <c r="GZ28" s="18" t="n"/>
      <c r="HA28" s="18" t="n"/>
      <c r="HB28" s="18" t="n"/>
      <c r="HC28" s="18" t="n"/>
      <c r="HD28" s="18" t="n"/>
      <c r="HE28" s="18" t="n"/>
      <c r="HF28" s="18" t="n"/>
      <c r="HG28" s="18" t="n"/>
      <c r="HH28" s="18" t="n"/>
      <c r="HI28" s="18" t="n"/>
      <c r="HJ28" s="18" t="n"/>
      <c r="HK28" s="18" t="n"/>
      <c r="HL28" s="18" t="n"/>
      <c r="HM28" s="18" t="n"/>
      <c r="HN28" s="18" t="n"/>
      <c r="HO28" s="18" t="n"/>
      <c r="HP28" s="18" t="n"/>
      <c r="HQ28" s="18" t="n"/>
      <c r="HR28" s="18" t="n"/>
      <c r="HS28" s="18" t="n"/>
      <c r="HT28" s="18" t="n"/>
      <c r="HU28" s="18" t="n"/>
      <c r="HV28" s="18" t="n"/>
      <c r="HW28" s="18" t="n"/>
      <c r="HX28" s="18" t="n"/>
      <c r="HY28" s="18" t="n"/>
      <c r="HZ28" s="18" t="n"/>
      <c r="IA28" s="18" t="n"/>
      <c r="IB28" s="18" t="n"/>
      <c r="IC28" s="18" t="n"/>
      <c r="ID28" s="18" t="n"/>
      <c r="IE28" s="18" t="n"/>
      <c r="IF28" s="18" t="n"/>
      <c r="IG28" s="18" t="n"/>
      <c r="IH28" s="18" t="n"/>
      <c r="II28" s="18" t="n"/>
      <c r="IJ28" s="18" t="n"/>
      <c r="IK28" s="18" t="n"/>
      <c r="IL28" s="18" t="n"/>
      <c r="IM28" s="18" t="n"/>
      <c r="IN28" s="18" t="n"/>
      <c r="IO28" s="18" t="n"/>
      <c r="IP28" s="18" t="n"/>
      <c r="IQ28" s="18" t="n"/>
      <c r="IR28" s="18" t="n"/>
      <c r="IS28" s="18" t="n"/>
      <c r="IT28" s="18" t="n"/>
      <c r="IU28" s="18" t="n"/>
      <c r="IV28" s="18" t="n"/>
      <c r="IW28" s="18" t="n"/>
      <c r="IX28" s="18" t="n"/>
      <c r="IY28" s="18" t="n"/>
    </row>
    <row r="29" ht="52.05" customHeight="1" s="88">
      <c r="A29" s="29" t="inlineStr">
        <is>
          <t>9000</t>
        </is>
      </c>
      <c r="B29" s="29" t="inlineStr">
        <is>
          <t>9000-8</t>
        </is>
      </c>
      <c r="C29" s="29" t="inlineStr">
        <is>
          <t>전기분야</t>
        </is>
      </c>
      <c r="D29" s="29" t="inlineStr">
        <is>
          <t>9000-8-28</t>
        </is>
      </c>
      <c r="E29" s="102" t="inlineStr">
        <is>
          <t>9000-8-24, 9000-8-25</t>
        </is>
      </c>
      <c r="F29" s="102" t="inlineStr">
        <is>
          <t>9000-8-31, 9000-8-32</t>
        </is>
      </c>
      <c r="G29" s="32" t="inlineStr">
        <is>
          <t>영업시운전</t>
        </is>
      </c>
      <c r="H29" s="33" t="inlineStr">
        <is>
          <t>D+500~D+581</t>
        </is>
      </c>
      <c r="I29" s="33" t="inlineStr">
        <is>
          <t>현장공사팀</t>
        </is>
      </c>
      <c r="J29" s="34" t="inlineStr">
        <is>
          <t>발주처는 영업시운전계획에 따라 열차운행체계를 확인하기 위해 영업시운전을 수행</t>
        </is>
      </c>
      <c r="K29" s="34" t="inlineStr">
        <is>
          <t>- (기준) 철도종합시험운행 시행지침 제22조(영업시운전계획의 수립), 23조(영업시운전의 시행)에 따름
- 운영자는 영업시운전계획을 발주처와 협의하여 수립하고 전문기관의 승인을 받은 후 시행
- 영업시운전 점검항목: 열차운행체계, 철도종사자(운전/관제 등)의 업무숙달, 영업서비스 준비사항
- 영업조건과 동일한 조건으로 열차운행을 수행하여 운전/영업분야 점검
- 운영자는 영업시운전 결과보고서를 한국교통안전공단에 제출 (점검 후 7일 이내)
- 한국교통안전공단은 보고서를 받은 날부터 14일 이내 국토교통부장관에게 보고하여야 하며, 국토부 장관은 검토 결과를 보고를 받은 날부터 7일 이내에 발주처와 시도지사에 통보</t>
        </is>
      </c>
      <c r="L29" s="63" t="inlineStr">
        <is>
          <t>영업시운전 결과보고서/승인문서(한국교통안전공단), 국토부 승인문서</t>
        </is>
      </c>
      <c r="M29" s="34" t="inlineStr">
        <is>
          <t>"운영자-발주처 협의 영업시운전계획 수립, 국토부 전문기관(교통안전공단) 승인 완수"</t>
        </is>
      </c>
      <c r="N29" s="35">
        <f>HYPERLINK(LEFT(CELL("filename",A1),FIND("[",CELL("filename",A1))-1)&amp;"8.전기분야\28_영업시운전\표준서\영업시운전_표준서.html", "👉 [클릭] 표준서 열기 📄")</f>
        <v/>
      </c>
      <c r="O29" s="34" t="inlineStr">
        <is>
          <t>철도종합시험운행 시행지침 제22조/제23조에 의거 영업시운전계획 수립/승인, 영업 조건 열차운행, 종사자 업무 숙달 검증 후 결과보고서 공단 제출 및 국토부 보고</t>
        </is>
      </c>
      <c r="P29" s="36">
        <f>HYPERLINK(LEFT(CELL("filename",A1),FIND("[",CELL("filename",A1))-1)&amp;"8.전기분야\28_영업시운전\수행지침\영업시운전_수행지침.html", "👉 [클릭] 수행지침 열기 📄")</f>
        <v/>
      </c>
      <c r="Q29" s="34" t="inlineStr">
        <is>
          <t>본 체크리스트는 동탄트램 전기분야 영업시운전 업무 이행에 대해철도종합시험운행 시행지침 제22조/제23조에 의거 영업시운전계획 수립/승인, 영업 조건 열차운행, 종사자 업무 숙달 검증 후 결과보고서 공단 제출 및 국토부 보고 ...</t>
        </is>
      </c>
      <c r="R29" s="37">
        <f>HYPERLINK(LEFT(CELL("filename",A1),FIND("[",CELL("filename",A1))-1)&amp;"8.전기분야\28_영업시운전\체크리스트\영업시운전_체크리스트.html", "👉 [클릭] 체크리스트 열기 📄")</f>
        <v/>
      </c>
      <c r="S29" s="33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Y29" s="18" t="n"/>
      <c r="DZ29" s="18" t="n"/>
      <c r="EA29" s="18" t="n"/>
      <c r="EB29" s="18" t="n"/>
      <c r="EC29" s="18" t="n"/>
      <c r="ED29" s="18" t="n"/>
      <c r="EE29" s="18" t="n"/>
      <c r="EF29" s="18" t="n"/>
      <c r="EG29" s="18" t="n"/>
      <c r="EH29" s="18" t="n"/>
      <c r="EI29" s="18" t="n"/>
      <c r="EJ29" s="18" t="n"/>
      <c r="EK29" s="18" t="n"/>
      <c r="EL29" s="18" t="n"/>
      <c r="EM29" s="18" t="n"/>
      <c r="EN29" s="18" t="n"/>
      <c r="EO29" s="18" t="n"/>
      <c r="EP29" s="18" t="n"/>
      <c r="EQ29" s="18" t="n"/>
      <c r="ER29" s="18" t="n"/>
      <c r="ES29" s="18" t="n"/>
      <c r="ET29" s="18" t="n"/>
      <c r="EU29" s="18" t="n"/>
      <c r="EV29" s="18" t="n"/>
      <c r="EW29" s="18" t="n"/>
      <c r="EX29" s="18" t="n"/>
      <c r="EY29" s="18" t="n"/>
      <c r="EZ29" s="18" t="n"/>
      <c r="FA29" s="18" t="n"/>
      <c r="FB29" s="18" t="n"/>
      <c r="FC29" s="18" t="n"/>
      <c r="FD29" s="18" t="n"/>
      <c r="FE29" s="18" t="n"/>
      <c r="FF29" s="18" t="n"/>
      <c r="FG29" s="18" t="n"/>
      <c r="FH29" s="18" t="n"/>
      <c r="FI29" s="18" t="n"/>
      <c r="FJ29" s="18" t="n"/>
      <c r="FK29" s="18" t="n"/>
      <c r="FL29" s="18" t="n"/>
      <c r="FM29" s="18" t="n"/>
      <c r="FN29" s="18" t="n"/>
      <c r="FO29" s="18" t="n"/>
      <c r="FP29" s="18" t="n"/>
      <c r="FQ29" s="18" t="n"/>
      <c r="FR29" s="18" t="n"/>
      <c r="FS29" s="18" t="n"/>
      <c r="FT29" s="18" t="n"/>
      <c r="FU29" s="18" t="n"/>
      <c r="FV29" s="18" t="n"/>
      <c r="FW29" s="18" t="n"/>
      <c r="FX29" s="18" t="n"/>
      <c r="FY29" s="18" t="n"/>
      <c r="FZ29" s="18" t="n"/>
      <c r="GA29" s="18" t="n"/>
      <c r="GB29" s="18" t="n"/>
      <c r="GC29" s="18" t="n"/>
      <c r="GD29" s="18" t="n"/>
      <c r="GE29" s="18" t="n"/>
      <c r="GF29" s="18" t="n"/>
      <c r="GG29" s="18" t="n"/>
      <c r="GH29" s="18" t="n"/>
      <c r="GI29" s="18" t="n"/>
      <c r="GJ29" s="18" t="n"/>
      <c r="GK29" s="18" t="n"/>
      <c r="GL29" s="18" t="n"/>
      <c r="GM29" s="18" t="n"/>
      <c r="GN29" s="18" t="n"/>
      <c r="GO29" s="18" t="n"/>
      <c r="GP29" s="18" t="n"/>
      <c r="GQ29" s="18" t="n"/>
      <c r="GR29" s="18" t="n"/>
      <c r="GS29" s="18" t="n"/>
      <c r="GT29" s="18" t="n"/>
      <c r="GU29" s="18" t="n"/>
      <c r="GV29" s="18" t="n"/>
      <c r="GW29" s="18" t="n"/>
      <c r="GX29" s="18" t="n"/>
      <c r="GY29" s="18" t="n"/>
      <c r="GZ29" s="18" t="n"/>
      <c r="HA29" s="18" t="n"/>
      <c r="HB29" s="18" t="n"/>
      <c r="HC29" s="18" t="n"/>
      <c r="HD29" s="18" t="n"/>
      <c r="HE29" s="18" t="n"/>
      <c r="HF29" s="18" t="n"/>
      <c r="HG29" s="18" t="n"/>
      <c r="HH29" s="18" t="n"/>
      <c r="HI29" s="18" t="n"/>
      <c r="HJ29" s="18" t="n"/>
      <c r="HK29" s="18" t="n"/>
      <c r="HL29" s="18" t="n"/>
      <c r="HM29" s="18" t="n"/>
      <c r="HN29" s="18" t="n"/>
      <c r="HO29" s="18" t="n"/>
      <c r="HP29" s="18" t="n"/>
      <c r="HQ29" s="18" t="n"/>
      <c r="HR29" s="18" t="n"/>
      <c r="HS29" s="18" t="n"/>
      <c r="HT29" s="18" t="n"/>
      <c r="HU29" s="18" t="n"/>
      <c r="HV29" s="18" t="n"/>
      <c r="HW29" s="18" t="n"/>
      <c r="HX29" s="18" t="n"/>
      <c r="HY29" s="18" t="n"/>
      <c r="HZ29" s="18" t="n"/>
      <c r="IA29" s="18" t="n"/>
      <c r="IB29" s="18" t="n"/>
      <c r="IC29" s="18" t="n"/>
      <c r="ID29" s="18" t="n"/>
      <c r="IE29" s="18" t="n"/>
      <c r="IF29" s="18" t="n"/>
      <c r="IG29" s="18" t="n"/>
      <c r="IH29" s="18" t="n"/>
      <c r="II29" s="18" t="n"/>
      <c r="IJ29" s="18" t="n"/>
      <c r="IK29" s="18" t="n"/>
      <c r="IL29" s="18" t="n"/>
      <c r="IM29" s="18" t="n"/>
      <c r="IN29" s="18" t="n"/>
      <c r="IO29" s="18" t="n"/>
      <c r="IP29" s="18" t="n"/>
      <c r="IQ29" s="18" t="n"/>
      <c r="IR29" s="18" t="n"/>
      <c r="IS29" s="18" t="n"/>
      <c r="IT29" s="18" t="n"/>
      <c r="IU29" s="18" t="n"/>
      <c r="IV29" s="18" t="n"/>
      <c r="IW29" s="18" t="n"/>
      <c r="IX29" s="18" t="n"/>
      <c r="IY29" s="18" t="n"/>
      <c r="IZ29" s="18" t="n"/>
      <c r="JA29" s="18" t="n"/>
      <c r="JB29" s="18" t="n"/>
      <c r="JC29" s="18" t="n"/>
    </row>
    <row r="30" ht="52.05" customHeight="1" s="88">
      <c r="A30" s="19" t="inlineStr">
        <is>
          <t>9000</t>
        </is>
      </c>
      <c r="B30" s="19" t="inlineStr">
        <is>
          <t>9000-8</t>
        </is>
      </c>
      <c r="C30" s="19" t="inlineStr">
        <is>
          <t>전기분야</t>
        </is>
      </c>
      <c r="D30" s="19" t="inlineStr">
        <is>
          <t>9000-8-29</t>
        </is>
      </c>
      <c r="E30" s="95" t="inlineStr">
        <is>
          <t>9000-8-25, 9000-8-26</t>
        </is>
      </c>
      <c r="F30" s="95" t="inlineStr">
        <is>
          <t>9000-8-32</t>
        </is>
      </c>
      <c r="G30" s="23" t="inlineStr">
        <is>
          <t>전기 사용신청</t>
        </is>
      </c>
      <c r="H30" s="21" t="inlineStr">
        <is>
          <t>D+211~D+255</t>
        </is>
      </c>
      <c r="I30" s="21" t="inlineStr">
        <is>
          <t>현장공사팀</t>
        </is>
      </c>
      <c r="J30" s="24" t="inlineStr">
        <is>
          <t>합법적인 전기 공급 계약 체결</t>
        </is>
      </c>
      <c r="K30" s="24" t="inlineStr">
        <is>
          <t>- 관할 한국전력공사에 신청서, 건축허가신청서, 위임장 및 관련서류 제출 (약 1개월 소요)</t>
        </is>
      </c>
      <c r="L30" s="62" t="inlineStr">
        <is>
          <t>전기사용신청 접수증명서, 시설부담금 고지서</t>
        </is>
      </c>
      <c r="M30" s="24" t="inlineStr">
        <is>
          <t>"관할 한국전력공사 제출용 전기사용신청서, 변전소 용량 계산서 및 위임장 작성"</t>
        </is>
      </c>
      <c r="N30" s="25">
        <f>HYPERLINK(LEFT(CELL("filename",A1),FIND("[",CELL("filename",A1))-1)&amp;"8.전기분야\29_전기 사용신청\표준서\전기 사용신청_표준서.html", "👉 [클릭] 표준서 열기 📄")</f>
        <v/>
      </c>
      <c r="O30" s="24" t="inlineStr">
        <is>
          <t>관할 한국전력공사에 전기사용신청서, 건축허가서, 수전 도면 및 위임장 제출 수속(소요 기간 약 1개월 관리) 및 수전 합의 완수</t>
        </is>
      </c>
      <c r="P30" s="26">
        <f>HYPERLINK(LEFT(CELL("filename",A1),FIND("[",CELL("filename",A1))-1)&amp;"8.전기분야\29_전기 사용신청\수행지침\전기 사용신청_수행지침.html", "👉 [클릭] 수행지침 열기 📄")</f>
        <v/>
      </c>
      <c r="Q30" s="24" t="inlineStr">
        <is>
          <t>본 체크리스트는 동탄트램 전기분야 전기 사용신청 업무 이행에 대해관할 한국전력공사에 전기사용신청서, 건축허가서, 수전 도면 및 위임장 제출 수속(소요 기간 약 1개월 관리) 및 수전 합의 완수 관련 실무 요소를 100% 사전...</t>
        </is>
      </c>
      <c r="R30" s="27">
        <f>HYPERLINK(LEFT(CELL("filename",A1),FIND("[",CELL("filename",A1))-1)&amp;"8.전기분야\29_전기 사용신청\체크리스트\전기 사용신청_체크리스트.html", "👉 [클릭] 체크리스트 열기 📄")</f>
        <v/>
      </c>
      <c r="S30" s="2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Y30" s="18" t="n"/>
      <c r="DZ30" s="18" t="n"/>
      <c r="EA30" s="18" t="n"/>
      <c r="EB30" s="18" t="n"/>
      <c r="EC30" s="18" t="n"/>
      <c r="ED30" s="18" t="n"/>
      <c r="EE30" s="18" t="n"/>
      <c r="EF30" s="18" t="n"/>
      <c r="EG30" s="18" t="n"/>
      <c r="EH30" s="18" t="n"/>
      <c r="EI30" s="18" t="n"/>
      <c r="EJ30" s="18" t="n"/>
      <c r="EK30" s="18" t="n"/>
      <c r="EL30" s="18" t="n"/>
      <c r="EM30" s="18" t="n"/>
      <c r="EN30" s="18" t="n"/>
      <c r="EO30" s="18" t="n"/>
      <c r="EP30" s="18" t="n"/>
      <c r="EQ30" s="18" t="n"/>
      <c r="ER30" s="18" t="n"/>
      <c r="ES30" s="18" t="n"/>
      <c r="ET30" s="18" t="n"/>
      <c r="EU30" s="18" t="n"/>
      <c r="EV30" s="18" t="n"/>
      <c r="EW30" s="18" t="n"/>
      <c r="EX30" s="18" t="n"/>
      <c r="EY30" s="18" t="n"/>
      <c r="EZ30" s="18" t="n"/>
      <c r="FA30" s="18" t="n"/>
      <c r="FB30" s="18" t="n"/>
      <c r="FC30" s="18" t="n"/>
      <c r="FD30" s="18" t="n"/>
      <c r="FE30" s="18" t="n"/>
      <c r="FF30" s="18" t="n"/>
      <c r="FG30" s="18" t="n"/>
      <c r="FH30" s="18" t="n"/>
      <c r="FI30" s="18" t="n"/>
      <c r="FJ30" s="18" t="n"/>
      <c r="FK30" s="18" t="n"/>
      <c r="FL30" s="18" t="n"/>
      <c r="FM30" s="18" t="n"/>
      <c r="FN30" s="18" t="n"/>
      <c r="FO30" s="18" t="n"/>
      <c r="FP30" s="18" t="n"/>
      <c r="FQ30" s="18" t="n"/>
      <c r="FR30" s="18" t="n"/>
      <c r="FS30" s="18" t="n"/>
      <c r="FT30" s="18" t="n"/>
      <c r="FU30" s="18" t="n"/>
      <c r="FV30" s="18" t="n"/>
      <c r="FW30" s="18" t="n"/>
      <c r="FX30" s="18" t="n"/>
      <c r="FY30" s="18" t="n"/>
      <c r="FZ30" s="18" t="n"/>
      <c r="GA30" s="18" t="n"/>
      <c r="GB30" s="18" t="n"/>
      <c r="GC30" s="18" t="n"/>
      <c r="GD30" s="18" t="n"/>
      <c r="GE30" s="18" t="n"/>
      <c r="GF30" s="18" t="n"/>
      <c r="GG30" s="18" t="n"/>
      <c r="GH30" s="18" t="n"/>
      <c r="GI30" s="18" t="n"/>
      <c r="GJ30" s="18" t="n"/>
      <c r="GK30" s="18" t="n"/>
      <c r="GL30" s="18" t="n"/>
      <c r="GM30" s="18" t="n"/>
      <c r="GN30" s="18" t="n"/>
      <c r="GO30" s="18" t="n"/>
      <c r="GP30" s="18" t="n"/>
      <c r="GQ30" s="18" t="n"/>
      <c r="GR30" s="18" t="n"/>
      <c r="GS30" s="18" t="n"/>
      <c r="GT30" s="18" t="n"/>
      <c r="GU30" s="18" t="n"/>
      <c r="GV30" s="18" t="n"/>
      <c r="GW30" s="18" t="n"/>
      <c r="GX30" s="18" t="n"/>
      <c r="GY30" s="18" t="n"/>
      <c r="GZ30" s="18" t="n"/>
      <c r="HA30" s="18" t="n"/>
      <c r="HB30" s="18" t="n"/>
      <c r="HC30" s="18" t="n"/>
      <c r="HD30" s="18" t="n"/>
      <c r="HE30" s="18" t="n"/>
      <c r="HF30" s="18" t="n"/>
      <c r="HG30" s="18" t="n"/>
      <c r="HH30" s="18" t="n"/>
      <c r="HI30" s="18" t="n"/>
      <c r="HJ30" s="18" t="n"/>
      <c r="HK30" s="18" t="n"/>
      <c r="HL30" s="18" t="n"/>
      <c r="HM30" s="18" t="n"/>
      <c r="HN30" s="18" t="n"/>
      <c r="HO30" s="18" t="n"/>
      <c r="HP30" s="18" t="n"/>
      <c r="HQ30" s="18" t="n"/>
      <c r="HR30" s="18" t="n"/>
      <c r="HS30" s="18" t="n"/>
      <c r="HT30" s="18" t="n"/>
      <c r="HU30" s="18" t="n"/>
      <c r="HV30" s="18" t="n"/>
      <c r="HW30" s="18" t="n"/>
      <c r="HX30" s="18" t="n"/>
      <c r="HY30" s="18" t="n"/>
      <c r="HZ30" s="18" t="n"/>
      <c r="IA30" s="18" t="n"/>
      <c r="IB30" s="18" t="n"/>
      <c r="IC30" s="18" t="n"/>
      <c r="ID30" s="18" t="n"/>
      <c r="IE30" s="18" t="n"/>
      <c r="IF30" s="18" t="n"/>
      <c r="IG30" s="18" t="n"/>
      <c r="IH30" s="18" t="n"/>
      <c r="II30" s="18" t="n"/>
      <c r="IJ30" s="18" t="n"/>
      <c r="IK30" s="18" t="n"/>
      <c r="IL30" s="18" t="n"/>
      <c r="IM30" s="18" t="n"/>
      <c r="IN30" s="18" t="n"/>
      <c r="IO30" s="18" t="n"/>
      <c r="IP30" s="18" t="n"/>
      <c r="IQ30" s="18" t="n"/>
      <c r="IR30" s="18" t="n"/>
      <c r="IS30" s="18" t="n"/>
      <c r="IT30" s="18" t="n"/>
      <c r="IU30" s="18" t="n"/>
      <c r="IV30" s="18" t="n"/>
      <c r="IW30" s="18" t="n"/>
      <c r="IX30" s="18" t="n"/>
      <c r="IY30" s="18" t="n"/>
      <c r="IZ30" s="18" t="n"/>
      <c r="JA30" s="18" t="n"/>
      <c r="JB30" s="18" t="n"/>
      <c r="JC30" s="18" t="n"/>
      <c r="JD30" s="18" t="n"/>
      <c r="JE30" s="18" t="n"/>
      <c r="JF30" s="18" t="n"/>
      <c r="JG30" s="18" t="n"/>
    </row>
    <row r="31" ht="52.05" customHeight="1" s="88">
      <c r="A31" s="29" t="inlineStr">
        <is>
          <t>9000</t>
        </is>
      </c>
      <c r="B31" s="29" t="inlineStr">
        <is>
          <t>9000-8</t>
        </is>
      </c>
      <c r="C31" s="29" t="inlineStr">
        <is>
          <t>전기분야</t>
        </is>
      </c>
      <c r="D31" s="29" t="inlineStr">
        <is>
          <t>9000-8-30</t>
        </is>
      </c>
      <c r="E31" s="102" t="inlineStr">
        <is>
          <t>9000-8-26, 9000-8-27</t>
        </is>
      </c>
      <c r="F31" s="102" t="inlineStr">
        <is>
          <t>9000-8-32</t>
        </is>
      </c>
      <c r="G31" s="32" t="inlineStr">
        <is>
          <t>공사계획신고</t>
        </is>
      </c>
      <c r="H31" s="33" t="inlineStr">
        <is>
          <t>D-180
(D-200~180)</t>
        </is>
      </c>
      <c r="I31" s="33" t="inlineStr">
        <is>
          <t>현장공사팀</t>
        </is>
      </c>
      <c r="J31" s="34" t="inlineStr">
        <is>
          <t>공사 착수 전 법적 신고 이행</t>
        </is>
      </c>
      <c r="K31" s="34" t="inlineStr">
        <is>
          <t>- 관할 한국전기안전공사에 공사 착수 전에 공사계획서 및 신고서 제출</t>
        </is>
      </c>
      <c r="L31" s="63" t="inlineStr">
        <is>
          <t>공사계획신고 수리서</t>
        </is>
      </c>
      <c r="M31" s="34" t="inlineStr">
        <is>
          <t>"전기사업법 시행규칙에 맞춘 공사계획서 및 전기설비 공사계획신고서 정밀 작성"</t>
        </is>
      </c>
      <c r="N31" s="35">
        <f>HYPERLINK(LEFT(CELL("filename",A1),FIND("[",CELL("filename",A1))-1)&amp;"8.전기분야\30_공사계획신고\표준서\공사계획신고_표준서.html", "👉 [클릭] 표준서 열기 📄")</f>
        <v/>
      </c>
      <c r="O31" s="34" t="inlineStr">
        <is>
          <t>관할 한국전기안전공사에 전기 공사 착수 전 공사계획서, 기술자 자격증, 감리원 배치서 및 도면 제출 수속 완료</t>
        </is>
      </c>
      <c r="P31" s="36">
        <f>HYPERLINK(LEFT(CELL("filename",A1),FIND("[",CELL("filename",A1))-1)&amp;"8.전기분야\30_공사계획신고\수행지침\공사계획신고_수행지침.html", "👉 [클릭] 수행지침 열기 📄")</f>
        <v/>
      </c>
      <c r="Q31" s="34" t="inlineStr">
        <is>
          <t>본 체크리스트는 동탄트램 전기분야 공사계획신고 업무 이행에 대해관할 한국전기안전공사에 전기 공사 착수 전 공사계획서, 기술자 자격증, 감리원 배치서 및 도면 제출 수속 완료 관련 실무 요소를 100% 사전 검측하여 시공 하자...</t>
        </is>
      </c>
      <c r="R31" s="37">
        <f>HYPERLINK(LEFT(CELL("filename",A1),FIND("[",CELL("filename",A1))-1)&amp;"8.전기분야\30_공사계획신고\체크리스트\공사계획신고_체크리스트.html", "👉 [클릭] 체크리스트 열기 📄")</f>
        <v/>
      </c>
      <c r="S31" s="33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Y31" s="18" t="n"/>
      <c r="DZ31" s="18" t="n"/>
      <c r="EA31" s="18" t="n"/>
      <c r="EB31" s="18" t="n"/>
      <c r="EC31" s="18" t="n"/>
      <c r="ED31" s="18" t="n"/>
      <c r="EE31" s="18" t="n"/>
      <c r="EF31" s="18" t="n"/>
      <c r="EG31" s="18" t="n"/>
      <c r="EH31" s="18" t="n"/>
      <c r="EI31" s="18" t="n"/>
      <c r="EJ31" s="18" t="n"/>
      <c r="EK31" s="18" t="n"/>
      <c r="EL31" s="18" t="n"/>
      <c r="EM31" s="18" t="n"/>
      <c r="EN31" s="18" t="n"/>
      <c r="EO31" s="18" t="n"/>
      <c r="EP31" s="18" t="n"/>
      <c r="EQ31" s="18" t="n"/>
      <c r="ER31" s="18" t="n"/>
      <c r="ES31" s="18" t="n"/>
      <c r="ET31" s="18" t="n"/>
      <c r="EU31" s="18" t="n"/>
      <c r="EV31" s="18" t="n"/>
      <c r="EW31" s="18" t="n"/>
      <c r="EX31" s="18" t="n"/>
      <c r="EY31" s="18" t="n"/>
      <c r="EZ31" s="18" t="n"/>
      <c r="FA31" s="18" t="n"/>
      <c r="FB31" s="18" t="n"/>
      <c r="FC31" s="18" t="n"/>
      <c r="FD31" s="18" t="n"/>
      <c r="FE31" s="18" t="n"/>
      <c r="FF31" s="18" t="n"/>
      <c r="FG31" s="18" t="n"/>
      <c r="FH31" s="18" t="n"/>
      <c r="FI31" s="18" t="n"/>
      <c r="FJ31" s="18" t="n"/>
      <c r="FK31" s="18" t="n"/>
      <c r="FL31" s="18" t="n"/>
      <c r="FM31" s="18" t="n"/>
      <c r="FN31" s="18" t="n"/>
      <c r="FO31" s="18" t="n"/>
      <c r="FP31" s="18" t="n"/>
      <c r="FQ31" s="18" t="n"/>
      <c r="FR31" s="18" t="n"/>
      <c r="FS31" s="18" t="n"/>
      <c r="FT31" s="18" t="n"/>
      <c r="FU31" s="18" t="n"/>
      <c r="FV31" s="18" t="n"/>
      <c r="FW31" s="18" t="n"/>
      <c r="FX31" s="18" t="n"/>
      <c r="FY31" s="18" t="n"/>
      <c r="FZ31" s="18" t="n"/>
      <c r="GA31" s="18" t="n"/>
      <c r="GB31" s="18" t="n"/>
      <c r="GC31" s="18" t="n"/>
      <c r="GD31" s="18" t="n"/>
      <c r="GE31" s="18" t="n"/>
      <c r="GF31" s="18" t="n"/>
      <c r="GG31" s="18" t="n"/>
      <c r="GH31" s="18" t="n"/>
      <c r="GI31" s="18" t="n"/>
      <c r="GJ31" s="18" t="n"/>
      <c r="GK31" s="18" t="n"/>
      <c r="GL31" s="18" t="n"/>
      <c r="GM31" s="18" t="n"/>
      <c r="GN31" s="18" t="n"/>
      <c r="GO31" s="18" t="n"/>
      <c r="GP31" s="18" t="n"/>
      <c r="GQ31" s="18" t="n"/>
      <c r="GR31" s="18" t="n"/>
      <c r="GS31" s="18" t="n"/>
      <c r="GT31" s="18" t="n"/>
      <c r="GU31" s="18" t="n"/>
      <c r="GV31" s="18" t="n"/>
      <c r="GW31" s="18" t="n"/>
      <c r="GX31" s="18" t="n"/>
      <c r="GY31" s="18" t="n"/>
      <c r="GZ31" s="18" t="n"/>
      <c r="HA31" s="18" t="n"/>
      <c r="HB31" s="18" t="n"/>
      <c r="HC31" s="18" t="n"/>
      <c r="HD31" s="18" t="n"/>
      <c r="HE31" s="18" t="n"/>
      <c r="HF31" s="18" t="n"/>
      <c r="HG31" s="18" t="n"/>
      <c r="HH31" s="18" t="n"/>
      <c r="HI31" s="18" t="n"/>
      <c r="HJ31" s="18" t="n"/>
      <c r="HK31" s="18" t="n"/>
      <c r="HL31" s="18" t="n"/>
      <c r="HM31" s="18" t="n"/>
      <c r="HN31" s="18" t="n"/>
      <c r="HO31" s="18" t="n"/>
      <c r="HP31" s="18" t="n"/>
      <c r="HQ31" s="18" t="n"/>
      <c r="HR31" s="18" t="n"/>
      <c r="HS31" s="18" t="n"/>
      <c r="HT31" s="18" t="n"/>
      <c r="HU31" s="18" t="n"/>
      <c r="HV31" s="18" t="n"/>
      <c r="HW31" s="18" t="n"/>
      <c r="HX31" s="18" t="n"/>
      <c r="HY31" s="18" t="n"/>
      <c r="HZ31" s="18" t="n"/>
      <c r="IA31" s="18" t="n"/>
      <c r="IB31" s="18" t="n"/>
      <c r="IC31" s="18" t="n"/>
      <c r="ID31" s="18" t="n"/>
      <c r="IE31" s="18" t="n"/>
      <c r="IF31" s="18" t="n"/>
      <c r="IG31" s="18" t="n"/>
      <c r="IH31" s="18" t="n"/>
      <c r="II31" s="18" t="n"/>
      <c r="IJ31" s="18" t="n"/>
      <c r="IK31" s="18" t="n"/>
      <c r="IL31" s="18" t="n"/>
      <c r="IM31" s="18" t="n"/>
      <c r="IN31" s="18" t="n"/>
      <c r="IO31" s="18" t="n"/>
      <c r="IP31" s="18" t="n"/>
      <c r="IQ31" s="18" t="n"/>
      <c r="IR31" s="18" t="n"/>
      <c r="IS31" s="18" t="n"/>
      <c r="IT31" s="18" t="n"/>
      <c r="IU31" s="18" t="n"/>
      <c r="IV31" s="18" t="n"/>
      <c r="IW31" s="18" t="n"/>
      <c r="IX31" s="18" t="n"/>
      <c r="IY31" s="18" t="n"/>
      <c r="IZ31" s="18" t="n"/>
      <c r="JA31" s="18" t="n"/>
      <c r="JB31" s="18" t="n"/>
      <c r="JC31" s="18" t="n"/>
      <c r="JD31" s="18" t="n"/>
      <c r="JE31" s="18" t="n"/>
      <c r="JF31" s="18" t="n"/>
      <c r="JG31" s="18" t="n"/>
      <c r="JH31" s="18" t="n"/>
      <c r="JI31" s="18" t="n"/>
      <c r="JJ31" s="18" t="n"/>
      <c r="JK31" s="18" t="n"/>
    </row>
    <row r="32" ht="52.05" customHeight="1" s="88">
      <c r="A32" s="19" t="inlineStr">
        <is>
          <t>9000</t>
        </is>
      </c>
      <c r="B32" s="19" t="inlineStr">
        <is>
          <t>9000-8</t>
        </is>
      </c>
      <c r="C32" s="19" t="inlineStr">
        <is>
          <t>전기분야</t>
        </is>
      </c>
      <c r="D32" s="19" t="inlineStr">
        <is>
          <t>9000-8-31</t>
        </is>
      </c>
      <c r="E32" s="95" t="inlineStr">
        <is>
          <t>9000-8-27, 9000-8-28</t>
        </is>
      </c>
      <c r="F32" s="95" t="inlineStr">
        <is>
          <t>9000-8-32</t>
        </is>
      </c>
      <c r="G32" s="23" t="inlineStr">
        <is>
          <t>노면전차선로 적합성 검증</t>
        </is>
      </c>
      <c r="H32" s="21" t="inlineStr">
        <is>
          <t>D+375~D+414</t>
        </is>
      </c>
      <c r="I32" s="21" t="inlineStr">
        <is>
          <t>현장공사팀</t>
        </is>
      </c>
      <c r="J32" s="24" t="inlineStr">
        <is>
          <t>노면전차선로 품질 및 기술 적합성 검증</t>
        </is>
      </c>
      <c r="K32" s="24" t="inlineStr">
        <is>
          <t>- 한국전기철도기술협회에 차량시운전 전까지 수량조서 및 시공도면 제출 (처리기간 15일)</t>
        </is>
      </c>
      <c r="L32" s="62" t="inlineStr">
        <is>
          <t>전차선로 시공품질 검사증</t>
        </is>
      </c>
      <c r="M32" s="24" t="inlineStr">
        <is>
          <t>"노면전차선로 지주, 강성 가선, 브래킷 수량조서 및 시공 승인도면(Shop Drawing) 작성"</t>
        </is>
      </c>
      <c r="N32" s="25">
        <f>HYPERLINK(LEFT(CELL("filename",A1),FIND("[",CELL("filename",A1))-1)&amp;"8.전기분야\31_전차선로 적합성 검증\표준서\전차선로 적합성 검증_표준서.html", "👉 [클릭] 표준서 열기 📄")</f>
        <v/>
      </c>
      <c r="O32" s="24" t="inlineStr">
        <is>
          <t>한국전기철도기술협회에 차량 시운전 전까지 수량조서, 시공도면 및 시험성적서 제출(처리기간 15일)하여 적합성 검증 승인 완수</t>
        </is>
      </c>
      <c r="P32" s="26">
        <f>HYPERLINK(LEFT(CELL("filename",A1),FIND("[",CELL("filename",A1))-1)&amp;"8.전기분야\31_전차선로 적합성 검증\수행지침\전차선로 적합성 검증_수행지침.html", "👉 [클릭] 수행지침 열기 📄")</f>
        <v/>
      </c>
      <c r="Q32" s="24" t="inlineStr">
        <is>
          <t>본 체크리스트는 동탄트램 전기분야 노면전차선로 적합성 검증 업무 이행에 대해한국전기철도기술협회에 차량 시운전 전까지 수량조서, 시공도면 및 시험성적서 제출(처리기간 15일)하여 적합성 검증 승인 완수 관련 실무 요소를 100...</t>
        </is>
      </c>
      <c r="R32" s="27">
        <f>HYPERLINK(LEFT(CELL("filename",A1),FIND("[",CELL("filename",A1))-1)&amp;"8.전기분야\31_전차선로 적합성 검증\체크리스트\전차선로 적합성 검증_체크리스트.html", "👉 [클릭] 체크리스트 열기 📄")</f>
        <v/>
      </c>
      <c r="S32" s="2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Y32" s="18" t="n"/>
      <c r="DZ32" s="18" t="n"/>
      <c r="EA32" s="18" t="n"/>
      <c r="EB32" s="18" t="n"/>
      <c r="EC32" s="18" t="n"/>
      <c r="ED32" s="18" t="n"/>
      <c r="EE32" s="18" t="n"/>
      <c r="EF32" s="18" t="n"/>
      <c r="EG32" s="18" t="n"/>
      <c r="EH32" s="18" t="n"/>
      <c r="EI32" s="18" t="n"/>
      <c r="EJ32" s="18" t="n"/>
      <c r="EK32" s="18" t="n"/>
      <c r="EL32" s="18" t="n"/>
      <c r="EM32" s="18" t="n"/>
      <c r="EN32" s="18" t="n"/>
      <c r="EO32" s="18" t="n"/>
      <c r="EP32" s="18" t="n"/>
      <c r="EQ32" s="18" t="n"/>
      <c r="ER32" s="18" t="n"/>
      <c r="ES32" s="18" t="n"/>
      <c r="ET32" s="18" t="n"/>
      <c r="EU32" s="18" t="n"/>
      <c r="EV32" s="18" t="n"/>
      <c r="EW32" s="18" t="n"/>
      <c r="EX32" s="18" t="n"/>
      <c r="EY32" s="18" t="n"/>
      <c r="EZ32" s="18" t="n"/>
      <c r="FA32" s="18" t="n"/>
      <c r="FB32" s="18" t="n"/>
      <c r="FC32" s="18" t="n"/>
      <c r="FD32" s="18" t="n"/>
      <c r="FE32" s="18" t="n"/>
      <c r="FF32" s="18" t="n"/>
      <c r="FG32" s="18" t="n"/>
      <c r="FH32" s="18" t="n"/>
      <c r="FI32" s="18" t="n"/>
      <c r="FJ32" s="18" t="n"/>
      <c r="FK32" s="18" t="n"/>
      <c r="FL32" s="18" t="n"/>
      <c r="FM32" s="18" t="n"/>
      <c r="FN32" s="18" t="n"/>
      <c r="FO32" s="18" t="n"/>
      <c r="FP32" s="18" t="n"/>
      <c r="FQ32" s="18" t="n"/>
      <c r="FR32" s="18" t="n"/>
      <c r="FS32" s="18" t="n"/>
      <c r="FT32" s="18" t="n"/>
      <c r="FU32" s="18" t="n"/>
      <c r="FV32" s="18" t="n"/>
      <c r="FW32" s="18" t="n"/>
      <c r="FX32" s="18" t="n"/>
      <c r="FY32" s="18" t="n"/>
      <c r="FZ32" s="18" t="n"/>
      <c r="GA32" s="18" t="n"/>
      <c r="GB32" s="18" t="n"/>
      <c r="GC32" s="18" t="n"/>
      <c r="GD32" s="18" t="n"/>
      <c r="GE32" s="18" t="n"/>
      <c r="GF32" s="18" t="n"/>
      <c r="GG32" s="18" t="n"/>
      <c r="GH32" s="18" t="n"/>
      <c r="GI32" s="18" t="n"/>
      <c r="GJ32" s="18" t="n"/>
      <c r="GK32" s="18" t="n"/>
      <c r="GL32" s="18" t="n"/>
      <c r="GM32" s="18" t="n"/>
      <c r="GN32" s="18" t="n"/>
      <c r="GO32" s="18" t="n"/>
      <c r="GP32" s="18" t="n"/>
      <c r="GQ32" s="18" t="n"/>
      <c r="GR32" s="18" t="n"/>
      <c r="GS32" s="18" t="n"/>
      <c r="GT32" s="18" t="n"/>
      <c r="GU32" s="18" t="n"/>
      <c r="GV32" s="18" t="n"/>
      <c r="GW32" s="18" t="n"/>
      <c r="GX32" s="18" t="n"/>
      <c r="GY32" s="18" t="n"/>
      <c r="GZ32" s="18" t="n"/>
      <c r="HA32" s="18" t="n"/>
      <c r="HB32" s="18" t="n"/>
      <c r="HC32" s="18" t="n"/>
      <c r="HD32" s="18" t="n"/>
      <c r="HE32" s="18" t="n"/>
      <c r="HF32" s="18" t="n"/>
      <c r="HG32" s="18" t="n"/>
      <c r="HH32" s="18" t="n"/>
      <c r="HI32" s="18" t="n"/>
      <c r="HJ32" s="18" t="n"/>
      <c r="HK32" s="18" t="n"/>
      <c r="HL32" s="18" t="n"/>
      <c r="HM32" s="18" t="n"/>
      <c r="HN32" s="18" t="n"/>
      <c r="HO32" s="18" t="n"/>
      <c r="HP32" s="18" t="n"/>
      <c r="HQ32" s="18" t="n"/>
      <c r="HR32" s="18" t="n"/>
      <c r="HS32" s="18" t="n"/>
      <c r="HT32" s="18" t="n"/>
      <c r="HU32" s="18" t="n"/>
      <c r="HV32" s="18" t="n"/>
      <c r="HW32" s="18" t="n"/>
      <c r="HX32" s="18" t="n"/>
      <c r="HY32" s="18" t="n"/>
      <c r="HZ32" s="18" t="n"/>
      <c r="IA32" s="18" t="n"/>
      <c r="IB32" s="18" t="n"/>
      <c r="IC32" s="18" t="n"/>
      <c r="ID32" s="18" t="n"/>
      <c r="IE32" s="18" t="n"/>
      <c r="IF32" s="18" t="n"/>
      <c r="IG32" s="18" t="n"/>
      <c r="IH32" s="18" t="n"/>
      <c r="II32" s="18" t="n"/>
      <c r="IJ32" s="18" t="n"/>
      <c r="IK32" s="18" t="n"/>
      <c r="IL32" s="18" t="n"/>
      <c r="IM32" s="18" t="n"/>
      <c r="IN32" s="18" t="n"/>
      <c r="IO32" s="18" t="n"/>
      <c r="IP32" s="18" t="n"/>
      <c r="IQ32" s="18" t="n"/>
      <c r="IR32" s="18" t="n"/>
      <c r="IS32" s="18" t="n"/>
      <c r="IT32" s="18" t="n"/>
      <c r="IU32" s="18" t="n"/>
      <c r="IV32" s="18" t="n"/>
      <c r="IW32" s="18" t="n"/>
      <c r="IX32" s="18" t="n"/>
      <c r="IY32" s="18" t="n"/>
      <c r="IZ32" s="18" t="n"/>
      <c r="JA32" s="18" t="n"/>
      <c r="JB32" s="18" t="n"/>
      <c r="JC32" s="18" t="n"/>
      <c r="JD32" s="18" t="n"/>
      <c r="JE32" s="18" t="n"/>
      <c r="JF32" s="18" t="n"/>
      <c r="JG32" s="18" t="n"/>
      <c r="JH32" s="18" t="n"/>
      <c r="JI32" s="18" t="n"/>
      <c r="JJ32" s="18" t="n"/>
      <c r="JK32" s="18" t="n"/>
      <c r="JL32" s="18" t="n"/>
      <c r="JM32" s="18" t="n"/>
      <c r="JN32" s="18" t="n"/>
      <c r="JO32" s="18" t="n"/>
    </row>
    <row r="33" ht="52.05" customHeight="1" s="88">
      <c r="A33" s="29" t="inlineStr">
        <is>
          <t>9000</t>
        </is>
      </c>
      <c r="B33" s="29" t="inlineStr">
        <is>
          <t>9000-8</t>
        </is>
      </c>
      <c r="C33" s="29" t="inlineStr">
        <is>
          <t>전기분야</t>
        </is>
      </c>
      <c r="D33" s="29" t="inlineStr">
        <is>
          <t>9000-8-32</t>
        </is>
      </c>
      <c r="E33" s="102" t="inlineStr">
        <is>
          <t>9000-8-28, 9000-8-29, 9000-8-30, 9000-8-31</t>
        </is>
      </c>
      <c r="F33" s="102" t="inlineStr">
        <is>
          <t>-</t>
        </is>
      </c>
      <c r="G33" s="32" t="inlineStr">
        <is>
          <t>전기 사용전검사 (전력/전차선/송변전)</t>
        </is>
      </c>
      <c r="H33" s="33" t="inlineStr">
        <is>
          <t>D+375~D+414</t>
        </is>
      </c>
      <c r="I33" s="33" t="inlineStr">
        <is>
          <t>현장공사팀</t>
        </is>
      </c>
      <c r="J33" s="34" t="inlineStr">
        <is>
          <t>준공 전 설비의 안전성 및 안전기준 부합 여부 판정</t>
        </is>
      </c>
      <c r="K33" s="34" t="inlineStr">
        <is>
          <t xml:space="preserve"> • 관련법령: 전기사업법 제63조
 • 제출기관: 시공사 → 관할 한국전기안전공사
 • 제출시기: 전기시설물 설치 완료 후
 • 처리기간: 검사 7일전 신청
 • 작성서류: 사용전검사신청서,공사계획인가서,감리원배치확인서, 전기안전관리자 선임신고증명서, 접지계산서/도면(단선결선도 및 배치평면도),각종케이블/자재 시험성적서 )
'[도로점용허가] → 도로점용허가서
 • 관련법령: 도로법시행령 제56조
 • 제출기관: 지방국토청/지자체
 • 제출/처리기간: 도로점용 2주 전/ 7~10일
[도로공사 신고] → 도로공사신고서
 • 관련법령: 도로교통법 제69조
 • 제출기관: 관할경찰서
 • 제출/처리기간: 공사 3일전/ 2~3일</t>
        </is>
      </c>
      <c r="L33" s="63" t="inlineStr">
        <is>
          <t>사용전검사 확인증(필증)
※ 송변전의 경우 한국전기안전공사 검사에 시공사 입회</t>
        </is>
      </c>
      <c r="M33" s="34" t="inlineStr">
        <is>
          <t>"전기설비 설치 완료 후 7일 전 사용전검사신청서, 감리배치서, 단선도, 자재성적서 제출"</t>
        </is>
      </c>
      <c r="N33" s="35">
        <f>HYPERLINK(LEFT(CELL("filename",A1),FIND("[",CELL("filename",A1))-1)&amp;"8.전기분야\32_전기 사용전검사 (전력_전차선_송변전)\표준서\전기 사용전검사 (전력_전차선_송변전)_표준서.html", "👉 [클릭] 표준서 열기 📄")</f>
        <v/>
      </c>
      <c r="O33" s="34" t="inlineStr">
        <is>
          <t>전기사업법 제63조, 도로법 제56조, 도로교통법 제69조에 의거 한국전기안전공사 사용전검사(7일전 신청), 지자체 도로점용허가(2주전), 경찰서 도로공사신고(3일전) 통합 수검 완료</t>
        </is>
      </c>
      <c r="P33" s="36">
        <f>HYPERLINK(LEFT(CELL("filename",A1),FIND("[",CELL("filename",A1))-1)&amp;"8.전기분야\32_전기 사용전검사 (전력_전차선_송변전)\수행지침\전기 사용전검사 (전력_전차선_송변전)_수행지침.html", "👉 [클릭] 수행지침 열기 📄")</f>
        <v/>
      </c>
      <c r="Q33" s="34" t="inlineStr">
        <is>
          <t>본 체크리스트는 동탄트램 전기분야 전기 사용전검사 (전력/전차선/송변전) 업무 이행에 대해전기사업법 제63조, 도로법 제56조, 도로교통법 제69조에 의거 한국전기안전공사 사용전검사(7일전 신청), 지자체 도로점용허가(2주전...</t>
        </is>
      </c>
      <c r="R33" s="37">
        <f>HYPERLINK(LEFT(CELL("filename",A1),FIND("[",CELL("filename",A1))-1)&amp;"8.전기분야\32_전기 사용전검사 (전력_전차선_송변전)\체크리스트\전기 사용전검사 (전력_전차선_송변전)_체크리스트.html", "👉 [클릭] 체크리스트 열기 📄")</f>
        <v/>
      </c>
      <c r="S33" s="33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Y33" s="18" t="n"/>
      <c r="DZ33" s="18" t="n"/>
      <c r="EA33" s="18" t="n"/>
      <c r="EB33" s="18" t="n"/>
      <c r="EC33" s="18" t="n"/>
      <c r="ED33" s="18" t="n"/>
      <c r="EE33" s="18" t="n"/>
      <c r="EF33" s="18" t="n"/>
      <c r="EG33" s="18" t="n"/>
      <c r="EH33" s="18" t="n"/>
      <c r="EI33" s="18" t="n"/>
      <c r="EJ33" s="18" t="n"/>
      <c r="EK33" s="18" t="n"/>
      <c r="EL33" s="18" t="n"/>
      <c r="EM33" s="18" t="n"/>
      <c r="EN33" s="18" t="n"/>
      <c r="EO33" s="18" t="n"/>
      <c r="EP33" s="18" t="n"/>
      <c r="EQ33" s="18" t="n"/>
      <c r="ER33" s="18" t="n"/>
      <c r="ES33" s="18" t="n"/>
      <c r="ET33" s="18" t="n"/>
      <c r="EU33" s="18" t="n"/>
      <c r="EV33" s="18" t="n"/>
      <c r="EW33" s="18" t="n"/>
      <c r="EX33" s="18" t="n"/>
      <c r="EY33" s="18" t="n"/>
      <c r="EZ33" s="18" t="n"/>
      <c r="FA33" s="18" t="n"/>
      <c r="FB33" s="18" t="n"/>
      <c r="FC33" s="18" t="n"/>
      <c r="FD33" s="18" t="n"/>
      <c r="FE33" s="18" t="n"/>
      <c r="FF33" s="18" t="n"/>
      <c r="FG33" s="18" t="n"/>
      <c r="FH33" s="18" t="n"/>
      <c r="FI33" s="18" t="n"/>
      <c r="FJ33" s="18" t="n"/>
      <c r="FK33" s="18" t="n"/>
      <c r="FL33" s="18" t="n"/>
      <c r="FM33" s="18" t="n"/>
      <c r="FN33" s="18" t="n"/>
      <c r="FO33" s="18" t="n"/>
      <c r="FP33" s="18" t="n"/>
      <c r="FQ33" s="18" t="n"/>
      <c r="FR33" s="18" t="n"/>
      <c r="FS33" s="18" t="n"/>
      <c r="FT33" s="18" t="n"/>
      <c r="FU33" s="18" t="n"/>
      <c r="FV33" s="18" t="n"/>
      <c r="FW33" s="18" t="n"/>
      <c r="FX33" s="18" t="n"/>
      <c r="FY33" s="18" t="n"/>
      <c r="FZ33" s="18" t="n"/>
      <c r="GA33" s="18" t="n"/>
      <c r="GB33" s="18" t="n"/>
      <c r="GC33" s="18" t="n"/>
      <c r="GD33" s="18" t="n"/>
      <c r="GE33" s="18" t="n"/>
      <c r="GF33" s="18" t="n"/>
      <c r="GG33" s="18" t="n"/>
      <c r="GH33" s="18" t="n"/>
      <c r="GI33" s="18" t="n"/>
      <c r="GJ33" s="18" t="n"/>
      <c r="GK33" s="18" t="n"/>
      <c r="GL33" s="18" t="n"/>
      <c r="GM33" s="18" t="n"/>
      <c r="GN33" s="18" t="n"/>
      <c r="GO33" s="18" t="n"/>
      <c r="GP33" s="18" t="n"/>
      <c r="GQ33" s="18" t="n"/>
      <c r="GR33" s="18" t="n"/>
      <c r="GS33" s="18" t="n"/>
      <c r="GT33" s="18" t="n"/>
      <c r="GU33" s="18" t="n"/>
      <c r="GV33" s="18" t="n"/>
      <c r="GW33" s="18" t="n"/>
      <c r="GX33" s="18" t="n"/>
      <c r="GY33" s="18" t="n"/>
      <c r="GZ33" s="18" t="n"/>
      <c r="HA33" s="18" t="n"/>
      <c r="HB33" s="18" t="n"/>
      <c r="HC33" s="18" t="n"/>
      <c r="HD33" s="18" t="n"/>
      <c r="HE33" s="18" t="n"/>
      <c r="HF33" s="18" t="n"/>
      <c r="HG33" s="18" t="n"/>
      <c r="HH33" s="18" t="n"/>
      <c r="HI33" s="18" t="n"/>
      <c r="HJ33" s="18" t="n"/>
      <c r="HK33" s="18" t="n"/>
      <c r="HL33" s="18" t="n"/>
      <c r="HM33" s="18" t="n"/>
      <c r="HN33" s="18" t="n"/>
      <c r="HO33" s="18" t="n"/>
      <c r="HP33" s="18" t="n"/>
      <c r="HQ33" s="18" t="n"/>
      <c r="HR33" s="18" t="n"/>
      <c r="HS33" s="18" t="n"/>
      <c r="HT33" s="18" t="n"/>
      <c r="HU33" s="18" t="n"/>
      <c r="HV33" s="18" t="n"/>
      <c r="HW33" s="18" t="n"/>
      <c r="HX33" s="18" t="n"/>
      <c r="HY33" s="18" t="n"/>
      <c r="HZ33" s="18" t="n"/>
      <c r="IA33" s="18" t="n"/>
      <c r="IB33" s="18" t="n"/>
      <c r="IC33" s="18" t="n"/>
      <c r="ID33" s="18" t="n"/>
      <c r="IE33" s="18" t="n"/>
      <c r="IF33" s="18" t="n"/>
      <c r="IG33" s="18" t="n"/>
      <c r="IH33" s="18" t="n"/>
      <c r="II33" s="18" t="n"/>
      <c r="IJ33" s="18" t="n"/>
      <c r="IK33" s="18" t="n"/>
      <c r="IL33" s="18" t="n"/>
      <c r="IM33" s="18" t="n"/>
      <c r="IN33" s="18" t="n"/>
      <c r="IO33" s="18" t="n"/>
      <c r="IP33" s="18" t="n"/>
      <c r="IQ33" s="18" t="n"/>
      <c r="IR33" s="18" t="n"/>
      <c r="IS33" s="18" t="n"/>
      <c r="IT33" s="18" t="n"/>
      <c r="IU33" s="18" t="n"/>
      <c r="IV33" s="18" t="n"/>
      <c r="IW33" s="18" t="n"/>
      <c r="IX33" s="18" t="n"/>
      <c r="IY33" s="18" t="n"/>
      <c r="IZ33" s="18" t="n"/>
      <c r="JA33" s="18" t="n"/>
      <c r="JB33" s="18" t="n"/>
      <c r="JC33" s="18" t="n"/>
      <c r="JD33" s="18" t="n"/>
      <c r="JE33" s="18" t="n"/>
      <c r="JF33" s="18" t="n"/>
      <c r="JG33" s="18" t="n"/>
      <c r="JH33" s="18" t="n"/>
      <c r="JI33" s="18" t="n"/>
      <c r="JJ33" s="18" t="n"/>
      <c r="JK33" s="18" t="n"/>
      <c r="JL33" s="18" t="n"/>
      <c r="JM33" s="18" t="n"/>
      <c r="JN33" s="18" t="n"/>
      <c r="JO33" s="18" t="n"/>
      <c r="JP33" s="18" t="n"/>
      <c r="JQ33" s="18" t="n"/>
      <c r="JR33" s="18" t="n"/>
      <c r="JS33" s="18" t="n"/>
    </row>
    <row r="34">
      <c r="A34" s="18" t="n"/>
      <c r="B34" s="18" t="n"/>
      <c r="C34" s="18" t="n"/>
      <c r="D34" s="18" t="n"/>
      <c r="E34" s="52" t="n"/>
      <c r="F34" s="52" t="n"/>
      <c r="G34" s="18" t="n"/>
      <c r="H34" s="18" t="n"/>
      <c r="I34" s="18" t="n"/>
      <c r="J34" s="18" t="n"/>
      <c r="K34" s="18" t="n"/>
      <c r="L34" s="64" t="n"/>
      <c r="M34" s="18" t="n"/>
      <c r="N34" s="41" t="n"/>
      <c r="O34" s="18" t="n"/>
      <c r="P34" s="42" t="n"/>
      <c r="Q34" s="18" t="n"/>
      <c r="R34" s="51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Y34" s="18" t="n"/>
      <c r="DZ34" s="18" t="n"/>
      <c r="EA34" s="18" t="n"/>
      <c r="EB34" s="18" t="n"/>
      <c r="EC34" s="18" t="n"/>
      <c r="ED34" s="18" t="n"/>
      <c r="EE34" s="18" t="n"/>
      <c r="EF34" s="18" t="n"/>
      <c r="EG34" s="18" t="n"/>
      <c r="EH34" s="18" t="n"/>
      <c r="EI34" s="18" t="n"/>
      <c r="EJ34" s="18" t="n"/>
      <c r="EK34" s="18" t="n"/>
      <c r="EL34" s="18" t="n"/>
      <c r="EM34" s="18" t="n"/>
      <c r="EN34" s="18" t="n"/>
      <c r="EO34" s="18" t="n"/>
      <c r="EP34" s="18" t="n"/>
      <c r="EQ34" s="18" t="n"/>
      <c r="ER34" s="18" t="n"/>
      <c r="ES34" s="18" t="n"/>
      <c r="ET34" s="18" t="n"/>
      <c r="EU34" s="18" t="n"/>
      <c r="EV34" s="18" t="n"/>
      <c r="EW34" s="18" t="n"/>
      <c r="EX34" s="18" t="n"/>
      <c r="EY34" s="18" t="n"/>
      <c r="EZ34" s="18" t="n"/>
      <c r="FA34" s="18" t="n"/>
      <c r="FB34" s="18" t="n"/>
      <c r="FC34" s="18" t="n"/>
      <c r="FD34" s="18" t="n"/>
      <c r="FE34" s="18" t="n"/>
      <c r="FF34" s="18" t="n"/>
      <c r="FG34" s="18" t="n"/>
      <c r="FH34" s="18" t="n"/>
      <c r="FI34" s="18" t="n"/>
      <c r="FJ34" s="18" t="n"/>
      <c r="FK34" s="18" t="n"/>
      <c r="FL34" s="18" t="n"/>
      <c r="FM34" s="18" t="n"/>
      <c r="FN34" s="18" t="n"/>
      <c r="FO34" s="18" t="n"/>
      <c r="FP34" s="18" t="n"/>
      <c r="FQ34" s="18" t="n"/>
      <c r="FR34" s="18" t="n"/>
      <c r="FS34" s="18" t="n"/>
      <c r="FT34" s="18" t="n"/>
      <c r="FU34" s="18" t="n"/>
      <c r="FV34" s="18" t="n"/>
      <c r="FW34" s="18" t="n"/>
      <c r="FX34" s="18" t="n"/>
      <c r="FY34" s="18" t="n"/>
      <c r="FZ34" s="18" t="n"/>
      <c r="GA34" s="18" t="n"/>
      <c r="GB34" s="18" t="n"/>
      <c r="GC34" s="18" t="n"/>
      <c r="GD34" s="18" t="n"/>
      <c r="GE34" s="18" t="n"/>
      <c r="GF34" s="18" t="n"/>
      <c r="GG34" s="18" t="n"/>
      <c r="GH34" s="18" t="n"/>
      <c r="GI34" s="18" t="n"/>
      <c r="GJ34" s="18" t="n"/>
      <c r="GK34" s="18" t="n"/>
      <c r="GL34" s="18" t="n"/>
      <c r="GM34" s="18" t="n"/>
      <c r="GN34" s="18" t="n"/>
      <c r="GO34" s="18" t="n"/>
      <c r="GP34" s="18" t="n"/>
      <c r="GQ34" s="18" t="n"/>
      <c r="GR34" s="18" t="n"/>
      <c r="GS34" s="18" t="n"/>
      <c r="GT34" s="18" t="n"/>
      <c r="GU34" s="18" t="n"/>
      <c r="GV34" s="18" t="n"/>
      <c r="GW34" s="18" t="n"/>
      <c r="GX34" s="18" t="n"/>
      <c r="GY34" s="18" t="n"/>
      <c r="GZ34" s="18" t="n"/>
      <c r="HA34" s="18" t="n"/>
      <c r="HB34" s="18" t="n"/>
      <c r="HC34" s="18" t="n"/>
      <c r="HD34" s="18" t="n"/>
      <c r="HE34" s="18" t="n"/>
      <c r="HF34" s="18" t="n"/>
      <c r="HG34" s="18" t="n"/>
      <c r="HH34" s="18" t="n"/>
      <c r="HI34" s="18" t="n"/>
      <c r="HJ34" s="18" t="n"/>
      <c r="HK34" s="18" t="n"/>
      <c r="HL34" s="18" t="n"/>
      <c r="HM34" s="18" t="n"/>
      <c r="HN34" s="18" t="n"/>
      <c r="HO34" s="18" t="n"/>
      <c r="HP34" s="18" t="n"/>
      <c r="HQ34" s="18" t="n"/>
      <c r="HR34" s="18" t="n"/>
      <c r="HS34" s="18" t="n"/>
      <c r="HT34" s="18" t="n"/>
      <c r="HU34" s="18" t="n"/>
      <c r="HV34" s="18" t="n"/>
      <c r="HW34" s="18" t="n"/>
      <c r="HX34" s="18" t="n"/>
      <c r="HY34" s="18" t="n"/>
      <c r="HZ34" s="18" t="n"/>
      <c r="IA34" s="18" t="n"/>
      <c r="IB34" s="18" t="n"/>
      <c r="IC34" s="18" t="n"/>
      <c r="ID34" s="18" t="n"/>
      <c r="IE34" s="18" t="n"/>
      <c r="IF34" s="18" t="n"/>
      <c r="IG34" s="18" t="n"/>
      <c r="IH34" s="18" t="n"/>
      <c r="II34" s="18" t="n"/>
      <c r="IJ34" s="18" t="n"/>
      <c r="IK34" s="18" t="n"/>
      <c r="IL34" s="18" t="n"/>
      <c r="IM34" s="18" t="n"/>
      <c r="IN34" s="18" t="n"/>
      <c r="IO34" s="18" t="n"/>
      <c r="IP34" s="18" t="n"/>
      <c r="IQ34" s="18" t="n"/>
      <c r="IR34" s="18" t="n"/>
      <c r="IS34" s="18" t="n"/>
      <c r="IT34" s="18" t="n"/>
      <c r="IU34" s="18" t="n"/>
      <c r="IV34" s="18" t="n"/>
      <c r="IW34" s="18" t="n"/>
      <c r="IX34" s="18" t="n"/>
      <c r="IY34" s="18" t="n"/>
      <c r="IZ34" s="18" t="n"/>
      <c r="JA34" s="18" t="n"/>
      <c r="JB34" s="18" t="n"/>
      <c r="JC34" s="18" t="n"/>
      <c r="JD34" s="18" t="n"/>
      <c r="JE34" s="18" t="n"/>
      <c r="JF34" s="18" t="n"/>
      <c r="JG34" s="18" t="n"/>
      <c r="JH34" s="18" t="n"/>
      <c r="JI34" s="18" t="n"/>
      <c r="JJ34" s="18" t="n"/>
      <c r="JK34" s="18" t="n"/>
      <c r="JL34" s="18" t="n"/>
      <c r="JM34" s="18" t="n"/>
      <c r="JN34" s="18" t="n"/>
      <c r="JO34" s="18" t="n"/>
      <c r="JP34" s="18" t="n"/>
      <c r="JQ34" s="18" t="n"/>
      <c r="JR34" s="18" t="n"/>
      <c r="JS34" s="18" t="n"/>
      <c r="JT34" s="18" t="n"/>
      <c r="JU34" s="18" t="n"/>
      <c r="JV34" s="18" t="n"/>
      <c r="JW34" s="18" t="n"/>
    </row>
    <row r="35">
      <c r="A35" s="18" t="n"/>
      <c r="B35" s="18" t="n"/>
      <c r="C35" s="18" t="n"/>
      <c r="D35" s="18" t="n"/>
      <c r="E35" s="52" t="n"/>
      <c r="F35" s="52" t="n"/>
      <c r="G35" s="18" t="n"/>
      <c r="H35" s="18" t="n"/>
      <c r="I35" s="18" t="n"/>
      <c r="J35" s="18" t="n"/>
      <c r="K35" s="18" t="n"/>
      <c r="L35" s="64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8" t="n"/>
      <c r="EJ35" s="18" t="n"/>
      <c r="EK35" s="18" t="n"/>
      <c r="EL35" s="18" t="n"/>
      <c r="EM35" s="18" t="n"/>
      <c r="EN35" s="18" t="n"/>
      <c r="EO35" s="18" t="n"/>
      <c r="EP35" s="18" t="n"/>
      <c r="EQ35" s="18" t="n"/>
      <c r="ER35" s="18" t="n"/>
      <c r="ES35" s="18" t="n"/>
      <c r="ET35" s="18" t="n"/>
      <c r="EU35" s="18" t="n"/>
      <c r="EV35" s="18" t="n"/>
      <c r="EW35" s="18" t="n"/>
      <c r="EX35" s="18" t="n"/>
      <c r="EY35" s="18" t="n"/>
      <c r="EZ35" s="18" t="n"/>
      <c r="FA35" s="18" t="n"/>
      <c r="FB35" s="18" t="n"/>
      <c r="FC35" s="18" t="n"/>
      <c r="FD35" s="18" t="n"/>
      <c r="FE35" s="18" t="n"/>
      <c r="FF35" s="18" t="n"/>
      <c r="FG35" s="18" t="n"/>
      <c r="FH35" s="18" t="n"/>
      <c r="FI35" s="18" t="n"/>
      <c r="FJ35" s="18" t="n"/>
      <c r="FK35" s="18" t="n"/>
      <c r="FL35" s="18" t="n"/>
      <c r="FM35" s="18" t="n"/>
      <c r="FN35" s="18" t="n"/>
      <c r="FO35" s="18" t="n"/>
      <c r="FP35" s="18" t="n"/>
      <c r="FQ35" s="18" t="n"/>
      <c r="FR35" s="18" t="n"/>
      <c r="FS35" s="18" t="n"/>
      <c r="FT35" s="18" t="n"/>
      <c r="FU35" s="18" t="n"/>
      <c r="FV35" s="18" t="n"/>
      <c r="FW35" s="18" t="n"/>
      <c r="FX35" s="18" t="n"/>
      <c r="FY35" s="18" t="n"/>
      <c r="FZ35" s="18" t="n"/>
      <c r="GA35" s="18" t="n"/>
      <c r="GB35" s="18" t="n"/>
      <c r="GC35" s="18" t="n"/>
      <c r="GD35" s="18" t="n"/>
      <c r="GE35" s="18" t="n"/>
      <c r="GF35" s="18" t="n"/>
      <c r="GG35" s="18" t="n"/>
      <c r="GH35" s="18" t="n"/>
      <c r="GI35" s="18" t="n"/>
      <c r="GJ35" s="18" t="n"/>
      <c r="GK35" s="18" t="n"/>
      <c r="GL35" s="18" t="n"/>
      <c r="GM35" s="18" t="n"/>
      <c r="GN35" s="18" t="n"/>
      <c r="GO35" s="18" t="n"/>
      <c r="GP35" s="18" t="n"/>
      <c r="GQ35" s="18" t="n"/>
      <c r="GR35" s="18" t="n"/>
      <c r="GS35" s="18" t="n"/>
      <c r="GT35" s="18" t="n"/>
      <c r="GU35" s="18" t="n"/>
      <c r="GV35" s="18" t="n"/>
      <c r="GW35" s="18" t="n"/>
      <c r="GX35" s="18" t="n"/>
      <c r="GY35" s="18" t="n"/>
      <c r="GZ35" s="18" t="n"/>
      <c r="HA35" s="18" t="n"/>
      <c r="HB35" s="18" t="n"/>
      <c r="HC35" s="18" t="n"/>
      <c r="HD35" s="18" t="n"/>
      <c r="HE35" s="18" t="n"/>
      <c r="HF35" s="18" t="n"/>
      <c r="HG35" s="18" t="n"/>
      <c r="HH35" s="18" t="n"/>
      <c r="HI35" s="18" t="n"/>
      <c r="HJ35" s="18" t="n"/>
      <c r="HK35" s="18" t="n"/>
      <c r="HL35" s="18" t="n"/>
      <c r="HM35" s="18" t="n"/>
      <c r="HN35" s="18" t="n"/>
      <c r="HO35" s="18" t="n"/>
      <c r="HP35" s="18" t="n"/>
      <c r="HQ35" s="18" t="n"/>
      <c r="HR35" s="18" t="n"/>
      <c r="HS35" s="18" t="n"/>
      <c r="HT35" s="18" t="n"/>
      <c r="HU35" s="18" t="n"/>
      <c r="HV35" s="18" t="n"/>
      <c r="HW35" s="18" t="n"/>
      <c r="HX35" s="18" t="n"/>
      <c r="HY35" s="18" t="n"/>
      <c r="HZ35" s="18" t="n"/>
      <c r="IA35" s="18" t="n"/>
      <c r="IB35" s="18" t="n"/>
      <c r="IC35" s="18" t="n"/>
      <c r="ID35" s="18" t="n"/>
      <c r="IE35" s="18" t="n"/>
      <c r="IF35" s="18" t="n"/>
      <c r="IG35" s="18" t="n"/>
      <c r="IH35" s="18" t="n"/>
      <c r="II35" s="18" t="n"/>
      <c r="IJ35" s="18" t="n"/>
      <c r="IK35" s="18" t="n"/>
      <c r="IL35" s="18" t="n"/>
      <c r="IM35" s="18" t="n"/>
      <c r="IN35" s="18" t="n"/>
      <c r="IO35" s="18" t="n"/>
      <c r="IP35" s="18" t="n"/>
      <c r="IQ35" s="18" t="n"/>
      <c r="IR35" s="18" t="n"/>
      <c r="IS35" s="18" t="n"/>
      <c r="IT35" s="18" t="n"/>
      <c r="IU35" s="18" t="n"/>
      <c r="IV35" s="18" t="n"/>
      <c r="IW35" s="18" t="n"/>
      <c r="IX35" s="18" t="n"/>
      <c r="IY35" s="18" t="n"/>
      <c r="IZ35" s="18" t="n"/>
      <c r="JA35" s="18" t="n"/>
      <c r="JB35" s="18" t="n"/>
      <c r="JC35" s="18" t="n"/>
      <c r="JD35" s="18" t="n"/>
      <c r="JE35" s="18" t="n"/>
      <c r="JF35" s="18" t="n"/>
      <c r="JG35" s="18" t="n"/>
      <c r="JH35" s="18" t="n"/>
      <c r="JI35" s="18" t="n"/>
      <c r="JJ35" s="18" t="n"/>
      <c r="JK35" s="18" t="n"/>
      <c r="JL35" s="18" t="n"/>
      <c r="JM35" s="18" t="n"/>
      <c r="JN35" s="18" t="n"/>
      <c r="JO35" s="18" t="n"/>
      <c r="JP35" s="18" t="n"/>
      <c r="JQ35" s="18" t="n"/>
      <c r="JR35" s="18" t="n"/>
      <c r="JS35" s="18" t="n"/>
      <c r="JT35" s="18" t="n"/>
      <c r="JU35" s="18" t="n"/>
      <c r="JV35" s="18" t="n"/>
      <c r="JW35" s="18" t="n"/>
      <c r="JX35" s="18" t="n"/>
      <c r="JY35" s="18" t="n"/>
      <c r="JZ35" s="18" t="n"/>
      <c r="KA35" s="18" t="n"/>
    </row>
    <row r="36">
      <c r="A36" s="18" t="n"/>
      <c r="B36" s="18" t="n"/>
      <c r="C36" s="18" t="n"/>
      <c r="D36" s="18" t="n"/>
      <c r="E36" s="52" t="n"/>
      <c r="F36" s="52" t="n"/>
      <c r="G36" s="18" t="n"/>
      <c r="H36" s="18" t="n"/>
      <c r="I36" s="18" t="n"/>
      <c r="J36" s="18" t="n"/>
      <c r="K36" s="18" t="n"/>
      <c r="L36" s="64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Y36" s="18" t="n"/>
      <c r="DZ36" s="18" t="n"/>
      <c r="EA36" s="18" t="n"/>
      <c r="EB36" s="18" t="n"/>
      <c r="EC36" s="18" t="n"/>
      <c r="ED36" s="18" t="n"/>
      <c r="EE36" s="18" t="n"/>
      <c r="EF36" s="18" t="n"/>
      <c r="EG36" s="18" t="n"/>
      <c r="EH36" s="18" t="n"/>
      <c r="EI36" s="18" t="n"/>
      <c r="EJ36" s="18" t="n"/>
      <c r="EK36" s="18" t="n"/>
      <c r="EL36" s="18" t="n"/>
      <c r="EM36" s="18" t="n"/>
      <c r="EN36" s="18" t="n"/>
      <c r="EO36" s="18" t="n"/>
      <c r="EP36" s="18" t="n"/>
      <c r="EQ36" s="18" t="n"/>
      <c r="ER36" s="18" t="n"/>
      <c r="ES36" s="18" t="n"/>
      <c r="ET36" s="18" t="n"/>
      <c r="EU36" s="18" t="n"/>
      <c r="EV36" s="18" t="n"/>
      <c r="EW36" s="18" t="n"/>
      <c r="EX36" s="18" t="n"/>
      <c r="EY36" s="18" t="n"/>
      <c r="EZ36" s="18" t="n"/>
      <c r="FA36" s="18" t="n"/>
      <c r="FB36" s="18" t="n"/>
      <c r="FC36" s="18" t="n"/>
      <c r="FD36" s="18" t="n"/>
      <c r="FE36" s="18" t="n"/>
      <c r="FF36" s="18" t="n"/>
      <c r="FG36" s="18" t="n"/>
      <c r="FH36" s="18" t="n"/>
      <c r="FI36" s="18" t="n"/>
      <c r="FJ36" s="18" t="n"/>
      <c r="FK36" s="18" t="n"/>
      <c r="FL36" s="18" t="n"/>
      <c r="FM36" s="18" t="n"/>
      <c r="FN36" s="18" t="n"/>
      <c r="FO36" s="18" t="n"/>
      <c r="FP36" s="18" t="n"/>
      <c r="FQ36" s="18" t="n"/>
      <c r="FR36" s="18" t="n"/>
      <c r="FS36" s="18" t="n"/>
      <c r="FT36" s="18" t="n"/>
      <c r="FU36" s="18" t="n"/>
      <c r="FV36" s="18" t="n"/>
      <c r="FW36" s="18" t="n"/>
      <c r="FX36" s="18" t="n"/>
      <c r="FY36" s="18" t="n"/>
      <c r="FZ36" s="18" t="n"/>
      <c r="GA36" s="18" t="n"/>
      <c r="GB36" s="18" t="n"/>
      <c r="GC36" s="18" t="n"/>
      <c r="GD36" s="18" t="n"/>
      <c r="GE36" s="18" t="n"/>
      <c r="GF36" s="18" t="n"/>
      <c r="GG36" s="18" t="n"/>
      <c r="GH36" s="18" t="n"/>
      <c r="GI36" s="18" t="n"/>
      <c r="GJ36" s="18" t="n"/>
      <c r="GK36" s="18" t="n"/>
      <c r="GL36" s="18" t="n"/>
      <c r="GM36" s="18" t="n"/>
      <c r="GN36" s="18" t="n"/>
      <c r="GO36" s="18" t="n"/>
      <c r="GP36" s="18" t="n"/>
      <c r="GQ36" s="18" t="n"/>
      <c r="GR36" s="18" t="n"/>
      <c r="GS36" s="18" t="n"/>
      <c r="GT36" s="18" t="n"/>
      <c r="GU36" s="18" t="n"/>
      <c r="GV36" s="18" t="n"/>
      <c r="GW36" s="18" t="n"/>
      <c r="GX36" s="18" t="n"/>
      <c r="GY36" s="18" t="n"/>
      <c r="GZ36" s="18" t="n"/>
      <c r="HA36" s="18" t="n"/>
      <c r="HB36" s="18" t="n"/>
      <c r="HC36" s="18" t="n"/>
      <c r="HD36" s="18" t="n"/>
      <c r="HE36" s="18" t="n"/>
      <c r="HF36" s="18" t="n"/>
      <c r="HG36" s="18" t="n"/>
      <c r="HH36" s="18" t="n"/>
      <c r="HI36" s="18" t="n"/>
      <c r="HJ36" s="18" t="n"/>
      <c r="HK36" s="18" t="n"/>
      <c r="HL36" s="18" t="n"/>
      <c r="HM36" s="18" t="n"/>
      <c r="HN36" s="18" t="n"/>
      <c r="HO36" s="18" t="n"/>
      <c r="HP36" s="18" t="n"/>
      <c r="HQ36" s="18" t="n"/>
      <c r="HR36" s="18" t="n"/>
      <c r="HS36" s="18" t="n"/>
      <c r="HT36" s="18" t="n"/>
      <c r="HU36" s="18" t="n"/>
      <c r="HV36" s="18" t="n"/>
      <c r="HW36" s="18" t="n"/>
      <c r="HX36" s="18" t="n"/>
      <c r="HY36" s="18" t="n"/>
      <c r="HZ36" s="18" t="n"/>
      <c r="IA36" s="18" t="n"/>
      <c r="IB36" s="18" t="n"/>
      <c r="IC36" s="18" t="n"/>
      <c r="ID36" s="18" t="n"/>
      <c r="IE36" s="18" t="n"/>
      <c r="IF36" s="18" t="n"/>
      <c r="IG36" s="18" t="n"/>
      <c r="IH36" s="18" t="n"/>
      <c r="II36" s="18" t="n"/>
      <c r="IJ36" s="18" t="n"/>
      <c r="IK36" s="18" t="n"/>
      <c r="IL36" s="18" t="n"/>
      <c r="IM36" s="18" t="n"/>
      <c r="IN36" s="18" t="n"/>
      <c r="IO36" s="18" t="n"/>
      <c r="IP36" s="18" t="n"/>
      <c r="IQ36" s="18" t="n"/>
      <c r="IR36" s="18" t="n"/>
      <c r="IS36" s="18" t="n"/>
      <c r="IT36" s="18" t="n"/>
      <c r="IU36" s="18" t="n"/>
      <c r="IV36" s="18" t="n"/>
      <c r="IW36" s="18" t="n"/>
      <c r="IX36" s="18" t="n"/>
      <c r="IY36" s="18" t="n"/>
      <c r="IZ36" s="18" t="n"/>
      <c r="JA36" s="18" t="n"/>
      <c r="JB36" s="18" t="n"/>
      <c r="JC36" s="18" t="n"/>
      <c r="JD36" s="18" t="n"/>
      <c r="JE36" s="18" t="n"/>
      <c r="JF36" s="18" t="n"/>
      <c r="JG36" s="18" t="n"/>
      <c r="JH36" s="18" t="n"/>
      <c r="JI36" s="18" t="n"/>
      <c r="JJ36" s="18" t="n"/>
      <c r="JK36" s="18" t="n"/>
      <c r="JL36" s="18" t="n"/>
      <c r="JM36" s="18" t="n"/>
      <c r="JN36" s="18" t="n"/>
      <c r="JO36" s="18" t="n"/>
      <c r="JP36" s="18" t="n"/>
      <c r="JQ36" s="18" t="n"/>
      <c r="JR36" s="18" t="n"/>
      <c r="JS36" s="18" t="n"/>
      <c r="JT36" s="18" t="n"/>
      <c r="JU36" s="18" t="n"/>
      <c r="JV36" s="18" t="n"/>
      <c r="JW36" s="18" t="n"/>
      <c r="JX36" s="18" t="n"/>
      <c r="JY36" s="18" t="n"/>
      <c r="JZ36" s="18" t="n"/>
      <c r="KA36" s="18" t="n"/>
      <c r="KB36" s="18" t="n"/>
      <c r="KC36" s="18" t="n"/>
      <c r="KD36" s="18" t="n"/>
      <c r="KE36" s="18" t="n"/>
    </row>
    <row r="37">
      <c r="A37" s="18" t="n"/>
      <c r="B37" s="18" t="n"/>
      <c r="C37" s="18" t="n"/>
      <c r="D37" s="18" t="n"/>
      <c r="E37" s="52" t="n"/>
      <c r="F37" s="52" t="n"/>
      <c r="G37" s="18" t="n"/>
      <c r="H37" s="18" t="n"/>
      <c r="I37" s="18" t="n"/>
      <c r="J37" s="18" t="n"/>
      <c r="K37" s="18" t="n"/>
      <c r="L37" s="64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  <c r="DY37" s="18" t="n"/>
      <c r="DZ37" s="18" t="n"/>
      <c r="EA37" s="18" t="n"/>
      <c r="EB37" s="18" t="n"/>
      <c r="EC37" s="18" t="n"/>
      <c r="ED37" s="18" t="n"/>
      <c r="EE37" s="18" t="n"/>
      <c r="EF37" s="18" t="n"/>
      <c r="EG37" s="18" t="n"/>
      <c r="EH37" s="18" t="n"/>
      <c r="EI37" s="18" t="n"/>
      <c r="EJ37" s="18" t="n"/>
      <c r="EK37" s="18" t="n"/>
      <c r="EL37" s="18" t="n"/>
      <c r="EM37" s="18" t="n"/>
      <c r="EN37" s="18" t="n"/>
      <c r="EO37" s="18" t="n"/>
      <c r="EP37" s="18" t="n"/>
      <c r="EQ37" s="18" t="n"/>
      <c r="ER37" s="18" t="n"/>
      <c r="ES37" s="18" t="n"/>
      <c r="ET37" s="18" t="n"/>
      <c r="EU37" s="18" t="n"/>
      <c r="EV37" s="18" t="n"/>
      <c r="EW37" s="18" t="n"/>
      <c r="EX37" s="18" t="n"/>
      <c r="EY37" s="18" t="n"/>
      <c r="EZ37" s="18" t="n"/>
      <c r="FA37" s="18" t="n"/>
      <c r="FB37" s="18" t="n"/>
      <c r="FC37" s="18" t="n"/>
      <c r="FD37" s="18" t="n"/>
      <c r="FE37" s="18" t="n"/>
      <c r="FF37" s="18" t="n"/>
      <c r="FG37" s="18" t="n"/>
      <c r="FH37" s="18" t="n"/>
      <c r="FI37" s="18" t="n"/>
      <c r="FJ37" s="18" t="n"/>
      <c r="FK37" s="18" t="n"/>
      <c r="FL37" s="18" t="n"/>
      <c r="FM37" s="18" t="n"/>
      <c r="FN37" s="18" t="n"/>
      <c r="FO37" s="18" t="n"/>
      <c r="FP37" s="18" t="n"/>
      <c r="FQ37" s="18" t="n"/>
      <c r="FR37" s="18" t="n"/>
      <c r="FS37" s="18" t="n"/>
      <c r="FT37" s="18" t="n"/>
      <c r="FU37" s="18" t="n"/>
      <c r="FV37" s="18" t="n"/>
      <c r="FW37" s="18" t="n"/>
      <c r="FX37" s="18" t="n"/>
      <c r="FY37" s="18" t="n"/>
      <c r="FZ37" s="18" t="n"/>
      <c r="GA37" s="18" t="n"/>
      <c r="GB37" s="18" t="n"/>
      <c r="GC37" s="18" t="n"/>
      <c r="GD37" s="18" t="n"/>
      <c r="GE37" s="18" t="n"/>
      <c r="GF37" s="18" t="n"/>
      <c r="GG37" s="18" t="n"/>
      <c r="GH37" s="18" t="n"/>
      <c r="GI37" s="18" t="n"/>
      <c r="GJ37" s="18" t="n"/>
      <c r="GK37" s="18" t="n"/>
      <c r="GL37" s="18" t="n"/>
      <c r="GM37" s="18" t="n"/>
      <c r="GN37" s="18" t="n"/>
      <c r="GO37" s="18" t="n"/>
      <c r="GP37" s="18" t="n"/>
      <c r="GQ37" s="18" t="n"/>
      <c r="GR37" s="18" t="n"/>
      <c r="GS37" s="18" t="n"/>
      <c r="GT37" s="18" t="n"/>
      <c r="GU37" s="18" t="n"/>
      <c r="GV37" s="18" t="n"/>
      <c r="GW37" s="18" t="n"/>
      <c r="GX37" s="18" t="n"/>
      <c r="GY37" s="18" t="n"/>
      <c r="GZ37" s="18" t="n"/>
      <c r="HA37" s="18" t="n"/>
      <c r="HB37" s="18" t="n"/>
      <c r="HC37" s="18" t="n"/>
      <c r="HD37" s="18" t="n"/>
      <c r="HE37" s="18" t="n"/>
      <c r="HF37" s="18" t="n"/>
      <c r="HG37" s="18" t="n"/>
      <c r="HH37" s="18" t="n"/>
      <c r="HI37" s="18" t="n"/>
      <c r="HJ37" s="18" t="n"/>
      <c r="HK37" s="18" t="n"/>
      <c r="HL37" s="18" t="n"/>
      <c r="HM37" s="18" t="n"/>
      <c r="HN37" s="18" t="n"/>
      <c r="HO37" s="18" t="n"/>
      <c r="HP37" s="18" t="n"/>
      <c r="HQ37" s="18" t="n"/>
      <c r="HR37" s="18" t="n"/>
      <c r="HS37" s="18" t="n"/>
      <c r="HT37" s="18" t="n"/>
      <c r="HU37" s="18" t="n"/>
      <c r="HV37" s="18" t="n"/>
      <c r="HW37" s="18" t="n"/>
      <c r="HX37" s="18" t="n"/>
      <c r="HY37" s="18" t="n"/>
      <c r="HZ37" s="18" t="n"/>
      <c r="IA37" s="18" t="n"/>
      <c r="IB37" s="18" t="n"/>
      <c r="IC37" s="18" t="n"/>
      <c r="ID37" s="18" t="n"/>
      <c r="IE37" s="18" t="n"/>
      <c r="IF37" s="18" t="n"/>
      <c r="IG37" s="18" t="n"/>
      <c r="IH37" s="18" t="n"/>
      <c r="II37" s="18" t="n"/>
      <c r="IJ37" s="18" t="n"/>
      <c r="IK37" s="18" t="n"/>
      <c r="IL37" s="18" t="n"/>
      <c r="IM37" s="18" t="n"/>
      <c r="IN37" s="18" t="n"/>
      <c r="IO37" s="18" t="n"/>
      <c r="IP37" s="18" t="n"/>
      <c r="IQ37" s="18" t="n"/>
      <c r="IR37" s="18" t="n"/>
      <c r="IS37" s="18" t="n"/>
      <c r="IT37" s="18" t="n"/>
      <c r="IU37" s="18" t="n"/>
      <c r="IV37" s="18" t="n"/>
      <c r="IW37" s="18" t="n"/>
      <c r="IX37" s="18" t="n"/>
      <c r="IY37" s="18" t="n"/>
      <c r="IZ37" s="18" t="n"/>
      <c r="JA37" s="18" t="n"/>
      <c r="JB37" s="18" t="n"/>
      <c r="JC37" s="18" t="n"/>
      <c r="JD37" s="18" t="n"/>
      <c r="JE37" s="18" t="n"/>
      <c r="JF37" s="18" t="n"/>
      <c r="JG37" s="18" t="n"/>
      <c r="JH37" s="18" t="n"/>
      <c r="JI37" s="18" t="n"/>
      <c r="JJ37" s="18" t="n"/>
      <c r="JK37" s="18" t="n"/>
      <c r="JL37" s="18" t="n"/>
      <c r="JM37" s="18" t="n"/>
      <c r="JN37" s="18" t="n"/>
      <c r="JO37" s="18" t="n"/>
      <c r="JP37" s="18" t="n"/>
      <c r="JQ37" s="18" t="n"/>
      <c r="JR37" s="18" t="n"/>
      <c r="JS37" s="18" t="n"/>
      <c r="JT37" s="18" t="n"/>
      <c r="JU37" s="18" t="n"/>
      <c r="JV37" s="18" t="n"/>
      <c r="JW37" s="18" t="n"/>
      <c r="JX37" s="18" t="n"/>
      <c r="JY37" s="18" t="n"/>
      <c r="JZ37" s="18" t="n"/>
      <c r="KA37" s="18" t="n"/>
      <c r="KB37" s="18" t="n"/>
      <c r="KC37" s="18" t="n"/>
      <c r="KD37" s="18" t="n"/>
      <c r="KE37" s="18" t="n"/>
      <c r="KF37" s="18" t="n"/>
      <c r="KG37" s="18" t="n"/>
      <c r="KH37" s="18" t="n"/>
      <c r="KI37" s="18" t="n"/>
    </row>
    <row r="38">
      <c r="A38" s="18" t="n"/>
      <c r="B38" s="18" t="n"/>
      <c r="C38" s="18" t="n"/>
      <c r="D38" s="18" t="n"/>
      <c r="E38" s="52" t="n"/>
      <c r="F38" s="52" t="n"/>
      <c r="G38" s="18" t="n"/>
      <c r="H38" s="18" t="n"/>
      <c r="I38" s="18" t="n"/>
      <c r="J38" s="18" t="n"/>
      <c r="K38" s="18" t="n"/>
      <c r="L38" s="64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  <c r="DY38" s="18" t="n"/>
      <c r="DZ38" s="18" t="n"/>
      <c r="EA38" s="18" t="n"/>
      <c r="EB38" s="18" t="n"/>
      <c r="EC38" s="18" t="n"/>
      <c r="ED38" s="18" t="n"/>
      <c r="EE38" s="18" t="n"/>
      <c r="EF38" s="18" t="n"/>
      <c r="EG38" s="18" t="n"/>
      <c r="EH38" s="18" t="n"/>
      <c r="EI38" s="18" t="n"/>
      <c r="EJ38" s="18" t="n"/>
      <c r="EK38" s="18" t="n"/>
      <c r="EL38" s="18" t="n"/>
      <c r="EM38" s="18" t="n"/>
      <c r="EN38" s="18" t="n"/>
      <c r="EO38" s="18" t="n"/>
      <c r="EP38" s="18" t="n"/>
      <c r="EQ38" s="18" t="n"/>
      <c r="ER38" s="18" t="n"/>
      <c r="ES38" s="18" t="n"/>
      <c r="ET38" s="18" t="n"/>
      <c r="EU38" s="18" t="n"/>
      <c r="EV38" s="18" t="n"/>
      <c r="EW38" s="18" t="n"/>
      <c r="EX38" s="18" t="n"/>
      <c r="EY38" s="18" t="n"/>
      <c r="EZ38" s="18" t="n"/>
      <c r="FA38" s="18" t="n"/>
      <c r="FB38" s="18" t="n"/>
      <c r="FC38" s="18" t="n"/>
      <c r="FD38" s="18" t="n"/>
      <c r="FE38" s="18" t="n"/>
      <c r="FF38" s="18" t="n"/>
      <c r="FG38" s="18" t="n"/>
      <c r="FH38" s="18" t="n"/>
      <c r="FI38" s="18" t="n"/>
      <c r="FJ38" s="18" t="n"/>
      <c r="FK38" s="18" t="n"/>
      <c r="FL38" s="18" t="n"/>
      <c r="FM38" s="18" t="n"/>
      <c r="FN38" s="18" t="n"/>
      <c r="FO38" s="18" t="n"/>
      <c r="FP38" s="18" t="n"/>
      <c r="FQ38" s="18" t="n"/>
      <c r="FR38" s="18" t="n"/>
      <c r="FS38" s="18" t="n"/>
      <c r="FT38" s="18" t="n"/>
      <c r="FU38" s="18" t="n"/>
      <c r="FV38" s="18" t="n"/>
      <c r="FW38" s="18" t="n"/>
      <c r="FX38" s="18" t="n"/>
      <c r="FY38" s="18" t="n"/>
      <c r="FZ38" s="18" t="n"/>
      <c r="GA38" s="18" t="n"/>
      <c r="GB38" s="18" t="n"/>
      <c r="GC38" s="18" t="n"/>
      <c r="GD38" s="18" t="n"/>
      <c r="GE38" s="18" t="n"/>
      <c r="GF38" s="18" t="n"/>
      <c r="GG38" s="18" t="n"/>
      <c r="GH38" s="18" t="n"/>
      <c r="GI38" s="18" t="n"/>
      <c r="GJ38" s="18" t="n"/>
      <c r="GK38" s="18" t="n"/>
      <c r="GL38" s="18" t="n"/>
      <c r="GM38" s="18" t="n"/>
      <c r="GN38" s="18" t="n"/>
      <c r="GO38" s="18" t="n"/>
      <c r="GP38" s="18" t="n"/>
      <c r="GQ38" s="18" t="n"/>
      <c r="GR38" s="18" t="n"/>
      <c r="GS38" s="18" t="n"/>
      <c r="GT38" s="18" t="n"/>
      <c r="GU38" s="18" t="n"/>
      <c r="GV38" s="18" t="n"/>
      <c r="GW38" s="18" t="n"/>
      <c r="GX38" s="18" t="n"/>
      <c r="GY38" s="18" t="n"/>
      <c r="GZ38" s="18" t="n"/>
      <c r="HA38" s="18" t="n"/>
      <c r="HB38" s="18" t="n"/>
      <c r="HC38" s="18" t="n"/>
      <c r="HD38" s="18" t="n"/>
      <c r="HE38" s="18" t="n"/>
      <c r="HF38" s="18" t="n"/>
      <c r="HG38" s="18" t="n"/>
      <c r="HH38" s="18" t="n"/>
      <c r="HI38" s="18" t="n"/>
      <c r="HJ38" s="18" t="n"/>
      <c r="HK38" s="18" t="n"/>
      <c r="HL38" s="18" t="n"/>
      <c r="HM38" s="18" t="n"/>
      <c r="HN38" s="18" t="n"/>
      <c r="HO38" s="18" t="n"/>
      <c r="HP38" s="18" t="n"/>
      <c r="HQ38" s="18" t="n"/>
      <c r="HR38" s="18" t="n"/>
      <c r="HS38" s="18" t="n"/>
      <c r="HT38" s="18" t="n"/>
      <c r="HU38" s="18" t="n"/>
      <c r="HV38" s="18" t="n"/>
      <c r="HW38" s="18" t="n"/>
      <c r="HX38" s="18" t="n"/>
      <c r="HY38" s="18" t="n"/>
      <c r="HZ38" s="18" t="n"/>
      <c r="IA38" s="18" t="n"/>
      <c r="IB38" s="18" t="n"/>
      <c r="IC38" s="18" t="n"/>
      <c r="ID38" s="18" t="n"/>
      <c r="IE38" s="18" t="n"/>
      <c r="IF38" s="18" t="n"/>
      <c r="IG38" s="18" t="n"/>
      <c r="IH38" s="18" t="n"/>
      <c r="II38" s="18" t="n"/>
      <c r="IJ38" s="18" t="n"/>
      <c r="IK38" s="18" t="n"/>
      <c r="IL38" s="18" t="n"/>
      <c r="IM38" s="18" t="n"/>
      <c r="IN38" s="18" t="n"/>
      <c r="IO38" s="18" t="n"/>
      <c r="IP38" s="18" t="n"/>
      <c r="IQ38" s="18" t="n"/>
      <c r="IR38" s="18" t="n"/>
      <c r="IS38" s="18" t="n"/>
      <c r="IT38" s="18" t="n"/>
      <c r="IU38" s="18" t="n"/>
      <c r="IV38" s="18" t="n"/>
      <c r="IW38" s="18" t="n"/>
      <c r="IX38" s="18" t="n"/>
      <c r="IY38" s="18" t="n"/>
      <c r="IZ38" s="18" t="n"/>
      <c r="JA38" s="18" t="n"/>
      <c r="JB38" s="18" t="n"/>
      <c r="JC38" s="18" t="n"/>
      <c r="JD38" s="18" t="n"/>
      <c r="JE38" s="18" t="n"/>
      <c r="JF38" s="18" t="n"/>
      <c r="JG38" s="18" t="n"/>
      <c r="JH38" s="18" t="n"/>
      <c r="JI38" s="18" t="n"/>
      <c r="JJ38" s="18" t="n"/>
      <c r="JK38" s="18" t="n"/>
      <c r="JL38" s="18" t="n"/>
      <c r="JM38" s="18" t="n"/>
      <c r="JN38" s="18" t="n"/>
      <c r="JO38" s="18" t="n"/>
      <c r="JP38" s="18" t="n"/>
      <c r="JQ38" s="18" t="n"/>
      <c r="JR38" s="18" t="n"/>
      <c r="JS38" s="18" t="n"/>
      <c r="JT38" s="18" t="n"/>
      <c r="JU38" s="18" t="n"/>
      <c r="JV38" s="18" t="n"/>
      <c r="JW38" s="18" t="n"/>
      <c r="JX38" s="18" t="n"/>
      <c r="JY38" s="18" t="n"/>
      <c r="JZ38" s="18" t="n"/>
      <c r="KA38" s="18" t="n"/>
      <c r="KB38" s="18" t="n"/>
      <c r="KC38" s="18" t="n"/>
      <c r="KD38" s="18" t="n"/>
      <c r="KE38" s="18" t="n"/>
      <c r="KF38" s="18" t="n"/>
      <c r="KG38" s="18" t="n"/>
      <c r="KH38" s="18" t="n"/>
      <c r="KI38" s="18" t="n"/>
      <c r="KJ38" s="18" t="n"/>
      <c r="KK38" s="18" t="n"/>
      <c r="KL38" s="18" t="n"/>
      <c r="KM38" s="18" t="n"/>
    </row>
    <row r="39">
      <c r="A39" s="18" t="n"/>
      <c r="B39" s="18" t="n"/>
      <c r="C39" s="18" t="n"/>
      <c r="D39" s="18" t="n"/>
      <c r="E39" s="52" t="n"/>
      <c r="F39" s="18" t="n"/>
      <c r="G39" s="18" t="n"/>
      <c r="H39" s="18" t="n"/>
      <c r="I39" s="18" t="n"/>
      <c r="J39" s="18" t="n"/>
      <c r="K39" s="18" t="n"/>
      <c r="L39" s="64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  <c r="DY39" s="18" t="n"/>
      <c r="DZ39" s="18" t="n"/>
      <c r="EA39" s="18" t="n"/>
      <c r="EB39" s="18" t="n"/>
      <c r="EC39" s="18" t="n"/>
      <c r="ED39" s="18" t="n"/>
      <c r="EE39" s="18" t="n"/>
      <c r="EF39" s="18" t="n"/>
      <c r="EG39" s="18" t="n"/>
      <c r="EH39" s="18" t="n"/>
      <c r="EI39" s="18" t="n"/>
      <c r="EJ39" s="18" t="n"/>
      <c r="EK39" s="18" t="n"/>
      <c r="EL39" s="18" t="n"/>
      <c r="EM39" s="18" t="n"/>
      <c r="EN39" s="18" t="n"/>
      <c r="EO39" s="18" t="n"/>
      <c r="EP39" s="18" t="n"/>
      <c r="EQ39" s="18" t="n"/>
      <c r="ER39" s="18" t="n"/>
      <c r="ES39" s="18" t="n"/>
      <c r="ET39" s="18" t="n"/>
      <c r="EU39" s="18" t="n"/>
      <c r="EV39" s="18" t="n"/>
      <c r="EW39" s="18" t="n"/>
      <c r="EX39" s="18" t="n"/>
      <c r="EY39" s="18" t="n"/>
      <c r="EZ39" s="18" t="n"/>
      <c r="FA39" s="18" t="n"/>
      <c r="FB39" s="18" t="n"/>
      <c r="FC39" s="18" t="n"/>
      <c r="FD39" s="18" t="n"/>
      <c r="FE39" s="18" t="n"/>
      <c r="FF39" s="18" t="n"/>
      <c r="FG39" s="18" t="n"/>
      <c r="FH39" s="18" t="n"/>
      <c r="FI39" s="18" t="n"/>
      <c r="FJ39" s="18" t="n"/>
      <c r="FK39" s="18" t="n"/>
      <c r="FL39" s="18" t="n"/>
      <c r="FM39" s="18" t="n"/>
      <c r="FN39" s="18" t="n"/>
      <c r="FO39" s="18" t="n"/>
      <c r="FP39" s="18" t="n"/>
      <c r="FQ39" s="18" t="n"/>
      <c r="FR39" s="18" t="n"/>
      <c r="FS39" s="18" t="n"/>
      <c r="FT39" s="18" t="n"/>
      <c r="FU39" s="18" t="n"/>
      <c r="FV39" s="18" t="n"/>
      <c r="FW39" s="18" t="n"/>
      <c r="FX39" s="18" t="n"/>
      <c r="FY39" s="18" t="n"/>
      <c r="FZ39" s="18" t="n"/>
      <c r="GA39" s="18" t="n"/>
      <c r="GB39" s="18" t="n"/>
      <c r="GC39" s="18" t="n"/>
      <c r="GD39" s="18" t="n"/>
      <c r="GE39" s="18" t="n"/>
      <c r="GF39" s="18" t="n"/>
      <c r="GG39" s="18" t="n"/>
      <c r="GH39" s="18" t="n"/>
      <c r="GI39" s="18" t="n"/>
      <c r="GJ39" s="18" t="n"/>
      <c r="GK39" s="18" t="n"/>
      <c r="GL39" s="18" t="n"/>
      <c r="GM39" s="18" t="n"/>
      <c r="GN39" s="18" t="n"/>
      <c r="GO39" s="18" t="n"/>
      <c r="GP39" s="18" t="n"/>
      <c r="GQ39" s="18" t="n"/>
      <c r="GR39" s="18" t="n"/>
      <c r="GS39" s="18" t="n"/>
      <c r="GT39" s="18" t="n"/>
      <c r="GU39" s="18" t="n"/>
      <c r="GV39" s="18" t="n"/>
      <c r="GW39" s="18" t="n"/>
      <c r="GX39" s="18" t="n"/>
      <c r="GY39" s="18" t="n"/>
      <c r="GZ39" s="18" t="n"/>
      <c r="HA39" s="18" t="n"/>
      <c r="HB39" s="18" t="n"/>
      <c r="HC39" s="18" t="n"/>
      <c r="HD39" s="18" t="n"/>
      <c r="HE39" s="18" t="n"/>
      <c r="HF39" s="18" t="n"/>
      <c r="HG39" s="18" t="n"/>
      <c r="HH39" s="18" t="n"/>
      <c r="HI39" s="18" t="n"/>
      <c r="HJ39" s="18" t="n"/>
      <c r="HK39" s="18" t="n"/>
      <c r="HL39" s="18" t="n"/>
      <c r="HM39" s="18" t="n"/>
      <c r="HN39" s="18" t="n"/>
      <c r="HO39" s="18" t="n"/>
      <c r="HP39" s="18" t="n"/>
      <c r="HQ39" s="18" t="n"/>
      <c r="HR39" s="18" t="n"/>
      <c r="HS39" s="18" t="n"/>
      <c r="HT39" s="18" t="n"/>
      <c r="HU39" s="18" t="n"/>
      <c r="HV39" s="18" t="n"/>
      <c r="HW39" s="18" t="n"/>
      <c r="HX39" s="18" t="n"/>
      <c r="HY39" s="18" t="n"/>
      <c r="HZ39" s="18" t="n"/>
      <c r="IA39" s="18" t="n"/>
      <c r="IB39" s="18" t="n"/>
      <c r="IC39" s="18" t="n"/>
      <c r="ID39" s="18" t="n"/>
      <c r="IE39" s="18" t="n"/>
      <c r="IF39" s="18" t="n"/>
      <c r="IG39" s="18" t="n"/>
      <c r="IH39" s="18" t="n"/>
      <c r="II39" s="18" t="n"/>
      <c r="IJ39" s="18" t="n"/>
      <c r="IK39" s="18" t="n"/>
      <c r="IL39" s="18" t="n"/>
      <c r="IM39" s="18" t="n"/>
      <c r="IN39" s="18" t="n"/>
      <c r="IO39" s="18" t="n"/>
      <c r="IP39" s="18" t="n"/>
      <c r="IQ39" s="18" t="n"/>
      <c r="IR39" s="18" t="n"/>
      <c r="IS39" s="18" t="n"/>
      <c r="IT39" s="18" t="n"/>
      <c r="IU39" s="18" t="n"/>
      <c r="IV39" s="18" t="n"/>
      <c r="IW39" s="18" t="n"/>
      <c r="IX39" s="18" t="n"/>
      <c r="IY39" s="18" t="n"/>
      <c r="IZ39" s="18" t="n"/>
      <c r="JA39" s="18" t="n"/>
      <c r="JB39" s="18" t="n"/>
      <c r="JC39" s="18" t="n"/>
      <c r="JD39" s="18" t="n"/>
      <c r="JE39" s="18" t="n"/>
      <c r="JF39" s="18" t="n"/>
      <c r="JG39" s="18" t="n"/>
      <c r="JH39" s="18" t="n"/>
      <c r="JI39" s="18" t="n"/>
      <c r="JJ39" s="18" t="n"/>
      <c r="JK39" s="18" t="n"/>
      <c r="JL39" s="18" t="n"/>
      <c r="JM39" s="18" t="n"/>
      <c r="JN39" s="18" t="n"/>
      <c r="JO39" s="18" t="n"/>
      <c r="JP39" s="18" t="n"/>
      <c r="JQ39" s="18" t="n"/>
      <c r="JR39" s="18" t="n"/>
      <c r="JS39" s="18" t="n"/>
      <c r="JT39" s="18" t="n"/>
      <c r="JU39" s="18" t="n"/>
      <c r="JV39" s="18" t="n"/>
      <c r="JW39" s="18" t="n"/>
      <c r="JX39" s="18" t="n"/>
      <c r="JY39" s="18" t="n"/>
      <c r="JZ39" s="18" t="n"/>
      <c r="KA39" s="18" t="n"/>
      <c r="KB39" s="18" t="n"/>
      <c r="KC39" s="18" t="n"/>
      <c r="KD39" s="18" t="n"/>
      <c r="KE39" s="18" t="n"/>
      <c r="KF39" s="18" t="n"/>
      <c r="KG39" s="18" t="n"/>
      <c r="KH39" s="18" t="n"/>
      <c r="KI39" s="18" t="n"/>
      <c r="KJ39" s="18" t="n"/>
      <c r="KK39" s="18" t="n"/>
      <c r="KL39" s="18" t="n"/>
      <c r="KM39" s="18" t="n"/>
      <c r="KN39" s="18" t="n"/>
      <c r="KO39" s="18" t="n"/>
      <c r="KP39" s="18" t="n"/>
      <c r="KQ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64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  <c r="DY40" s="18" t="n"/>
      <c r="DZ40" s="18" t="n"/>
      <c r="EA40" s="18" t="n"/>
      <c r="EB40" s="18" t="n"/>
      <c r="EC40" s="18" t="n"/>
      <c r="ED40" s="18" t="n"/>
      <c r="EE40" s="18" t="n"/>
      <c r="EF40" s="18" t="n"/>
      <c r="EG40" s="18" t="n"/>
      <c r="EH40" s="18" t="n"/>
      <c r="EI40" s="18" t="n"/>
      <c r="EJ40" s="18" t="n"/>
      <c r="EK40" s="18" t="n"/>
      <c r="EL40" s="18" t="n"/>
      <c r="EM40" s="18" t="n"/>
      <c r="EN40" s="18" t="n"/>
      <c r="EO40" s="18" t="n"/>
      <c r="EP40" s="18" t="n"/>
      <c r="EQ40" s="18" t="n"/>
      <c r="ER40" s="18" t="n"/>
      <c r="ES40" s="18" t="n"/>
      <c r="ET40" s="18" t="n"/>
      <c r="EU40" s="18" t="n"/>
      <c r="EV40" s="18" t="n"/>
      <c r="EW40" s="18" t="n"/>
      <c r="EX40" s="18" t="n"/>
      <c r="EY40" s="18" t="n"/>
      <c r="EZ40" s="18" t="n"/>
      <c r="FA40" s="18" t="n"/>
      <c r="FB40" s="18" t="n"/>
      <c r="FC40" s="18" t="n"/>
      <c r="FD40" s="18" t="n"/>
      <c r="FE40" s="18" t="n"/>
      <c r="FF40" s="18" t="n"/>
      <c r="FG40" s="18" t="n"/>
      <c r="FH40" s="18" t="n"/>
      <c r="FI40" s="18" t="n"/>
      <c r="FJ40" s="18" t="n"/>
      <c r="FK40" s="18" t="n"/>
      <c r="FL40" s="18" t="n"/>
      <c r="FM40" s="18" t="n"/>
      <c r="FN40" s="18" t="n"/>
      <c r="FO40" s="18" t="n"/>
      <c r="FP40" s="18" t="n"/>
      <c r="FQ40" s="18" t="n"/>
      <c r="FR40" s="18" t="n"/>
      <c r="FS40" s="18" t="n"/>
      <c r="FT40" s="18" t="n"/>
      <c r="FU40" s="18" t="n"/>
      <c r="FV40" s="18" t="n"/>
      <c r="FW40" s="18" t="n"/>
      <c r="FX40" s="18" t="n"/>
      <c r="FY40" s="18" t="n"/>
      <c r="FZ40" s="18" t="n"/>
      <c r="GA40" s="18" t="n"/>
      <c r="GB40" s="18" t="n"/>
      <c r="GC40" s="18" t="n"/>
      <c r="GD40" s="18" t="n"/>
      <c r="GE40" s="18" t="n"/>
      <c r="GF40" s="18" t="n"/>
      <c r="GG40" s="18" t="n"/>
      <c r="GH40" s="18" t="n"/>
      <c r="GI40" s="18" t="n"/>
      <c r="GJ40" s="18" t="n"/>
      <c r="GK40" s="18" t="n"/>
      <c r="GL40" s="18" t="n"/>
      <c r="GM40" s="18" t="n"/>
      <c r="GN40" s="18" t="n"/>
      <c r="GO40" s="18" t="n"/>
      <c r="GP40" s="18" t="n"/>
      <c r="GQ40" s="18" t="n"/>
      <c r="GR40" s="18" t="n"/>
      <c r="GS40" s="18" t="n"/>
      <c r="GT40" s="18" t="n"/>
      <c r="GU40" s="18" t="n"/>
      <c r="GV40" s="18" t="n"/>
      <c r="GW40" s="18" t="n"/>
      <c r="GX40" s="18" t="n"/>
      <c r="GY40" s="18" t="n"/>
      <c r="GZ40" s="18" t="n"/>
      <c r="HA40" s="18" t="n"/>
      <c r="HB40" s="18" t="n"/>
      <c r="HC40" s="18" t="n"/>
      <c r="HD40" s="18" t="n"/>
      <c r="HE40" s="18" t="n"/>
      <c r="HF40" s="18" t="n"/>
      <c r="HG40" s="18" t="n"/>
      <c r="HH40" s="18" t="n"/>
      <c r="HI40" s="18" t="n"/>
      <c r="HJ40" s="18" t="n"/>
      <c r="HK40" s="18" t="n"/>
      <c r="HL40" s="18" t="n"/>
      <c r="HM40" s="18" t="n"/>
      <c r="HN40" s="18" t="n"/>
      <c r="HO40" s="18" t="n"/>
      <c r="HP40" s="18" t="n"/>
      <c r="HQ40" s="18" t="n"/>
      <c r="HR40" s="18" t="n"/>
      <c r="HS40" s="18" t="n"/>
      <c r="HT40" s="18" t="n"/>
      <c r="HU40" s="18" t="n"/>
      <c r="HV40" s="18" t="n"/>
      <c r="HW40" s="18" t="n"/>
      <c r="HX40" s="18" t="n"/>
      <c r="HY40" s="18" t="n"/>
      <c r="HZ40" s="18" t="n"/>
      <c r="IA40" s="18" t="n"/>
      <c r="IB40" s="18" t="n"/>
      <c r="IC40" s="18" t="n"/>
      <c r="ID40" s="18" t="n"/>
      <c r="IE40" s="18" t="n"/>
      <c r="IF40" s="18" t="n"/>
      <c r="IG40" s="18" t="n"/>
      <c r="IH40" s="18" t="n"/>
      <c r="II40" s="18" t="n"/>
      <c r="IJ40" s="18" t="n"/>
      <c r="IK40" s="18" t="n"/>
      <c r="IL40" s="18" t="n"/>
      <c r="IM40" s="18" t="n"/>
      <c r="IN40" s="18" t="n"/>
      <c r="IO40" s="18" t="n"/>
      <c r="IP40" s="18" t="n"/>
      <c r="IQ40" s="18" t="n"/>
      <c r="IR40" s="18" t="n"/>
      <c r="IS40" s="18" t="n"/>
      <c r="IT40" s="18" t="n"/>
      <c r="IU40" s="18" t="n"/>
      <c r="IV40" s="18" t="n"/>
      <c r="IW40" s="18" t="n"/>
      <c r="IX40" s="18" t="n"/>
      <c r="IY40" s="18" t="n"/>
      <c r="IZ40" s="18" t="n"/>
      <c r="JA40" s="18" t="n"/>
      <c r="JB40" s="18" t="n"/>
      <c r="JC40" s="18" t="n"/>
      <c r="JD40" s="18" t="n"/>
      <c r="JE40" s="18" t="n"/>
      <c r="JF40" s="18" t="n"/>
      <c r="JG40" s="18" t="n"/>
      <c r="JH40" s="18" t="n"/>
      <c r="JI40" s="18" t="n"/>
      <c r="JJ40" s="18" t="n"/>
      <c r="JK40" s="18" t="n"/>
      <c r="JL40" s="18" t="n"/>
      <c r="JM40" s="18" t="n"/>
      <c r="JN40" s="18" t="n"/>
      <c r="JO40" s="18" t="n"/>
      <c r="JP40" s="18" t="n"/>
      <c r="JQ40" s="18" t="n"/>
      <c r="JR40" s="18" t="n"/>
      <c r="JS40" s="18" t="n"/>
      <c r="JT40" s="18" t="n"/>
      <c r="JU40" s="18" t="n"/>
      <c r="JV40" s="18" t="n"/>
      <c r="JW40" s="18" t="n"/>
      <c r="JX40" s="18" t="n"/>
      <c r="JY40" s="18" t="n"/>
      <c r="JZ40" s="18" t="n"/>
      <c r="KA40" s="18" t="n"/>
      <c r="KB40" s="18" t="n"/>
      <c r="KC40" s="18" t="n"/>
      <c r="KD40" s="18" t="n"/>
      <c r="KE40" s="18" t="n"/>
      <c r="KF40" s="18" t="n"/>
      <c r="KG40" s="18" t="n"/>
      <c r="KH40" s="18" t="n"/>
      <c r="KI40" s="18" t="n"/>
      <c r="KJ40" s="18" t="n"/>
      <c r="KK40" s="18" t="n"/>
      <c r="KL40" s="18" t="n"/>
      <c r="KM40" s="18" t="n"/>
      <c r="KN40" s="18" t="n"/>
      <c r="KO40" s="18" t="n"/>
      <c r="KP40" s="18" t="n"/>
      <c r="KQ40" s="18" t="n"/>
      <c r="KR40" s="18" t="n"/>
      <c r="KS40" s="18" t="n"/>
      <c r="KT40" s="18" t="n"/>
      <c r="KU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64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  <c r="DY41" s="18" t="n"/>
      <c r="DZ41" s="18" t="n"/>
      <c r="EA41" s="18" t="n"/>
      <c r="EB41" s="18" t="n"/>
      <c r="EC41" s="18" t="n"/>
      <c r="ED41" s="18" t="n"/>
      <c r="EE41" s="18" t="n"/>
      <c r="EF41" s="18" t="n"/>
      <c r="EG41" s="18" t="n"/>
      <c r="EH41" s="18" t="n"/>
      <c r="EI41" s="18" t="n"/>
      <c r="EJ41" s="18" t="n"/>
      <c r="EK41" s="18" t="n"/>
      <c r="EL41" s="18" t="n"/>
      <c r="EM41" s="18" t="n"/>
      <c r="EN41" s="18" t="n"/>
      <c r="EO41" s="18" t="n"/>
      <c r="EP41" s="18" t="n"/>
      <c r="EQ41" s="18" t="n"/>
      <c r="ER41" s="18" t="n"/>
      <c r="ES41" s="18" t="n"/>
      <c r="ET41" s="18" t="n"/>
      <c r="EU41" s="18" t="n"/>
      <c r="EV41" s="18" t="n"/>
      <c r="EW41" s="18" t="n"/>
      <c r="EX41" s="18" t="n"/>
      <c r="EY41" s="18" t="n"/>
      <c r="EZ41" s="18" t="n"/>
      <c r="FA41" s="18" t="n"/>
      <c r="FB41" s="18" t="n"/>
      <c r="FC41" s="18" t="n"/>
      <c r="FD41" s="18" t="n"/>
      <c r="FE41" s="18" t="n"/>
      <c r="FF41" s="18" t="n"/>
      <c r="FG41" s="18" t="n"/>
      <c r="FH41" s="18" t="n"/>
      <c r="FI41" s="18" t="n"/>
      <c r="FJ41" s="18" t="n"/>
      <c r="FK41" s="18" t="n"/>
      <c r="FL41" s="18" t="n"/>
      <c r="FM41" s="18" t="n"/>
      <c r="FN41" s="18" t="n"/>
      <c r="FO41" s="18" t="n"/>
      <c r="FP41" s="18" t="n"/>
      <c r="FQ41" s="18" t="n"/>
      <c r="FR41" s="18" t="n"/>
      <c r="FS41" s="18" t="n"/>
      <c r="FT41" s="18" t="n"/>
      <c r="FU41" s="18" t="n"/>
      <c r="FV41" s="18" t="n"/>
      <c r="FW41" s="18" t="n"/>
      <c r="FX41" s="18" t="n"/>
      <c r="FY41" s="18" t="n"/>
      <c r="FZ41" s="18" t="n"/>
      <c r="GA41" s="18" t="n"/>
      <c r="GB41" s="18" t="n"/>
      <c r="GC41" s="18" t="n"/>
      <c r="GD41" s="18" t="n"/>
      <c r="GE41" s="18" t="n"/>
      <c r="GF41" s="18" t="n"/>
      <c r="GG41" s="18" t="n"/>
      <c r="GH41" s="18" t="n"/>
      <c r="GI41" s="18" t="n"/>
      <c r="GJ41" s="18" t="n"/>
      <c r="GK41" s="18" t="n"/>
      <c r="GL41" s="18" t="n"/>
      <c r="GM41" s="18" t="n"/>
      <c r="GN41" s="18" t="n"/>
      <c r="GO41" s="18" t="n"/>
      <c r="GP41" s="18" t="n"/>
      <c r="GQ41" s="18" t="n"/>
      <c r="GR41" s="18" t="n"/>
      <c r="GS41" s="18" t="n"/>
      <c r="GT41" s="18" t="n"/>
      <c r="GU41" s="18" t="n"/>
      <c r="GV41" s="18" t="n"/>
      <c r="GW41" s="18" t="n"/>
      <c r="GX41" s="18" t="n"/>
      <c r="GY41" s="18" t="n"/>
      <c r="GZ41" s="18" t="n"/>
      <c r="HA41" s="18" t="n"/>
      <c r="HB41" s="18" t="n"/>
      <c r="HC41" s="18" t="n"/>
      <c r="HD41" s="18" t="n"/>
      <c r="HE41" s="18" t="n"/>
      <c r="HF41" s="18" t="n"/>
      <c r="HG41" s="18" t="n"/>
      <c r="HH41" s="18" t="n"/>
      <c r="HI41" s="18" t="n"/>
      <c r="HJ41" s="18" t="n"/>
      <c r="HK41" s="18" t="n"/>
      <c r="HL41" s="18" t="n"/>
      <c r="HM41" s="18" t="n"/>
      <c r="HN41" s="18" t="n"/>
      <c r="HO41" s="18" t="n"/>
      <c r="HP41" s="18" t="n"/>
      <c r="HQ41" s="18" t="n"/>
      <c r="HR41" s="18" t="n"/>
      <c r="HS41" s="18" t="n"/>
      <c r="HT41" s="18" t="n"/>
      <c r="HU41" s="18" t="n"/>
      <c r="HV41" s="18" t="n"/>
      <c r="HW41" s="18" t="n"/>
      <c r="HX41" s="18" t="n"/>
      <c r="HY41" s="18" t="n"/>
      <c r="HZ41" s="18" t="n"/>
      <c r="IA41" s="18" t="n"/>
      <c r="IB41" s="18" t="n"/>
      <c r="IC41" s="18" t="n"/>
      <c r="ID41" s="18" t="n"/>
      <c r="IE41" s="18" t="n"/>
      <c r="IF41" s="18" t="n"/>
      <c r="IG41" s="18" t="n"/>
      <c r="IH41" s="18" t="n"/>
      <c r="II41" s="18" t="n"/>
      <c r="IJ41" s="18" t="n"/>
      <c r="IK41" s="18" t="n"/>
      <c r="IL41" s="18" t="n"/>
      <c r="IM41" s="18" t="n"/>
      <c r="IN41" s="18" t="n"/>
      <c r="IO41" s="18" t="n"/>
      <c r="IP41" s="18" t="n"/>
      <c r="IQ41" s="18" t="n"/>
      <c r="IR41" s="18" t="n"/>
      <c r="IS41" s="18" t="n"/>
      <c r="IT41" s="18" t="n"/>
      <c r="IU41" s="18" t="n"/>
      <c r="IV41" s="18" t="n"/>
      <c r="IW41" s="18" t="n"/>
      <c r="IX41" s="18" t="n"/>
      <c r="IY41" s="18" t="n"/>
      <c r="IZ41" s="18" t="n"/>
      <c r="JA41" s="18" t="n"/>
      <c r="JB41" s="18" t="n"/>
      <c r="JC41" s="18" t="n"/>
      <c r="JD41" s="18" t="n"/>
      <c r="JE41" s="18" t="n"/>
      <c r="JF41" s="18" t="n"/>
      <c r="JG41" s="18" t="n"/>
      <c r="JH41" s="18" t="n"/>
      <c r="JI41" s="18" t="n"/>
      <c r="JJ41" s="18" t="n"/>
      <c r="JK41" s="18" t="n"/>
      <c r="JL41" s="18" t="n"/>
      <c r="JM41" s="18" t="n"/>
      <c r="JN41" s="18" t="n"/>
      <c r="JO41" s="18" t="n"/>
      <c r="JP41" s="18" t="n"/>
      <c r="JQ41" s="18" t="n"/>
      <c r="JR41" s="18" t="n"/>
      <c r="JS41" s="18" t="n"/>
      <c r="JT41" s="18" t="n"/>
      <c r="JU41" s="18" t="n"/>
      <c r="JV41" s="18" t="n"/>
      <c r="JW41" s="18" t="n"/>
      <c r="JX41" s="18" t="n"/>
      <c r="JY41" s="18" t="n"/>
      <c r="JZ41" s="18" t="n"/>
      <c r="KA41" s="18" t="n"/>
      <c r="KB41" s="18" t="n"/>
      <c r="KC41" s="18" t="n"/>
      <c r="KD41" s="18" t="n"/>
      <c r="KE41" s="18" t="n"/>
      <c r="KF41" s="18" t="n"/>
      <c r="KG41" s="18" t="n"/>
      <c r="KH41" s="18" t="n"/>
      <c r="KI41" s="18" t="n"/>
      <c r="KJ41" s="18" t="n"/>
      <c r="KK41" s="18" t="n"/>
      <c r="KL41" s="18" t="n"/>
      <c r="KM41" s="18" t="n"/>
      <c r="KN41" s="18" t="n"/>
      <c r="KO41" s="18" t="n"/>
      <c r="KP41" s="18" t="n"/>
      <c r="KQ41" s="18" t="n"/>
      <c r="KR41" s="18" t="n"/>
      <c r="KS41" s="18" t="n"/>
      <c r="KT41" s="18" t="n"/>
      <c r="KU41" s="18" t="n"/>
      <c r="KV41" s="18" t="n"/>
      <c r="KW41" s="18" t="n"/>
      <c r="KX41" s="18" t="n"/>
      <c r="KY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64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  <c r="DY42" s="18" t="n"/>
      <c r="DZ42" s="18" t="n"/>
      <c r="EA42" s="18" t="n"/>
      <c r="EB42" s="18" t="n"/>
      <c r="EC42" s="18" t="n"/>
      <c r="ED42" s="18" t="n"/>
      <c r="EE42" s="18" t="n"/>
      <c r="EF42" s="18" t="n"/>
      <c r="EG42" s="18" t="n"/>
      <c r="EH42" s="18" t="n"/>
      <c r="EI42" s="18" t="n"/>
      <c r="EJ42" s="18" t="n"/>
      <c r="EK42" s="18" t="n"/>
      <c r="EL42" s="18" t="n"/>
      <c r="EM42" s="18" t="n"/>
      <c r="EN42" s="18" t="n"/>
      <c r="EO42" s="18" t="n"/>
      <c r="EP42" s="18" t="n"/>
      <c r="EQ42" s="18" t="n"/>
      <c r="ER42" s="18" t="n"/>
      <c r="ES42" s="18" t="n"/>
      <c r="ET42" s="18" t="n"/>
      <c r="EU42" s="18" t="n"/>
      <c r="EV42" s="18" t="n"/>
      <c r="EW42" s="18" t="n"/>
      <c r="EX42" s="18" t="n"/>
      <c r="EY42" s="18" t="n"/>
      <c r="EZ42" s="18" t="n"/>
      <c r="FA42" s="18" t="n"/>
      <c r="FB42" s="18" t="n"/>
      <c r="FC42" s="18" t="n"/>
      <c r="FD42" s="18" t="n"/>
      <c r="FE42" s="18" t="n"/>
      <c r="FF42" s="18" t="n"/>
      <c r="FG42" s="18" t="n"/>
      <c r="FH42" s="18" t="n"/>
      <c r="FI42" s="18" t="n"/>
      <c r="FJ42" s="18" t="n"/>
      <c r="FK42" s="18" t="n"/>
      <c r="FL42" s="18" t="n"/>
      <c r="FM42" s="18" t="n"/>
      <c r="FN42" s="18" t="n"/>
      <c r="FO42" s="18" t="n"/>
      <c r="FP42" s="18" t="n"/>
      <c r="FQ42" s="18" t="n"/>
      <c r="FR42" s="18" t="n"/>
      <c r="FS42" s="18" t="n"/>
      <c r="FT42" s="18" t="n"/>
      <c r="FU42" s="18" t="n"/>
      <c r="FV42" s="18" t="n"/>
      <c r="FW42" s="18" t="n"/>
      <c r="FX42" s="18" t="n"/>
      <c r="FY42" s="18" t="n"/>
      <c r="FZ42" s="18" t="n"/>
      <c r="GA42" s="18" t="n"/>
      <c r="GB42" s="18" t="n"/>
      <c r="GC42" s="18" t="n"/>
      <c r="GD42" s="18" t="n"/>
      <c r="GE42" s="18" t="n"/>
      <c r="GF42" s="18" t="n"/>
      <c r="GG42" s="18" t="n"/>
      <c r="GH42" s="18" t="n"/>
      <c r="GI42" s="18" t="n"/>
      <c r="GJ42" s="18" t="n"/>
      <c r="GK42" s="18" t="n"/>
      <c r="GL42" s="18" t="n"/>
      <c r="GM42" s="18" t="n"/>
      <c r="GN42" s="18" t="n"/>
      <c r="GO42" s="18" t="n"/>
      <c r="GP42" s="18" t="n"/>
      <c r="GQ42" s="18" t="n"/>
      <c r="GR42" s="18" t="n"/>
      <c r="GS42" s="18" t="n"/>
      <c r="GT42" s="18" t="n"/>
      <c r="GU42" s="18" t="n"/>
      <c r="GV42" s="18" t="n"/>
      <c r="GW42" s="18" t="n"/>
      <c r="GX42" s="18" t="n"/>
      <c r="GY42" s="18" t="n"/>
      <c r="GZ42" s="18" t="n"/>
      <c r="HA42" s="18" t="n"/>
      <c r="HB42" s="18" t="n"/>
      <c r="HC42" s="18" t="n"/>
      <c r="HD42" s="18" t="n"/>
      <c r="HE42" s="18" t="n"/>
      <c r="HF42" s="18" t="n"/>
      <c r="HG42" s="18" t="n"/>
      <c r="HH42" s="18" t="n"/>
      <c r="HI42" s="18" t="n"/>
      <c r="HJ42" s="18" t="n"/>
      <c r="HK42" s="18" t="n"/>
      <c r="HL42" s="18" t="n"/>
      <c r="HM42" s="18" t="n"/>
      <c r="HN42" s="18" t="n"/>
      <c r="HO42" s="18" t="n"/>
      <c r="HP42" s="18" t="n"/>
      <c r="HQ42" s="18" t="n"/>
      <c r="HR42" s="18" t="n"/>
      <c r="HS42" s="18" t="n"/>
      <c r="HT42" s="18" t="n"/>
      <c r="HU42" s="18" t="n"/>
      <c r="HV42" s="18" t="n"/>
      <c r="HW42" s="18" t="n"/>
      <c r="HX42" s="18" t="n"/>
      <c r="HY42" s="18" t="n"/>
      <c r="HZ42" s="18" t="n"/>
      <c r="IA42" s="18" t="n"/>
      <c r="IB42" s="18" t="n"/>
      <c r="IC42" s="18" t="n"/>
      <c r="ID42" s="18" t="n"/>
      <c r="IE42" s="18" t="n"/>
      <c r="IF42" s="18" t="n"/>
      <c r="IG42" s="18" t="n"/>
      <c r="IH42" s="18" t="n"/>
      <c r="II42" s="18" t="n"/>
      <c r="IJ42" s="18" t="n"/>
      <c r="IK42" s="18" t="n"/>
      <c r="IL42" s="18" t="n"/>
      <c r="IM42" s="18" t="n"/>
      <c r="IN42" s="18" t="n"/>
      <c r="IO42" s="18" t="n"/>
      <c r="IP42" s="18" t="n"/>
      <c r="IQ42" s="18" t="n"/>
      <c r="IR42" s="18" t="n"/>
      <c r="IS42" s="18" t="n"/>
      <c r="IT42" s="18" t="n"/>
      <c r="IU42" s="18" t="n"/>
      <c r="IV42" s="18" t="n"/>
      <c r="IW42" s="18" t="n"/>
      <c r="IX42" s="18" t="n"/>
      <c r="IY42" s="18" t="n"/>
      <c r="IZ42" s="18" t="n"/>
      <c r="JA42" s="18" t="n"/>
      <c r="JB42" s="18" t="n"/>
      <c r="JC42" s="18" t="n"/>
      <c r="JD42" s="18" t="n"/>
      <c r="JE42" s="18" t="n"/>
      <c r="JF42" s="18" t="n"/>
      <c r="JG42" s="18" t="n"/>
      <c r="JH42" s="18" t="n"/>
      <c r="JI42" s="18" t="n"/>
      <c r="JJ42" s="18" t="n"/>
      <c r="JK42" s="18" t="n"/>
      <c r="JL42" s="18" t="n"/>
      <c r="JM42" s="18" t="n"/>
      <c r="JN42" s="18" t="n"/>
      <c r="JO42" s="18" t="n"/>
      <c r="JP42" s="18" t="n"/>
      <c r="JQ42" s="18" t="n"/>
      <c r="JR42" s="18" t="n"/>
      <c r="JS42" s="18" t="n"/>
      <c r="JT42" s="18" t="n"/>
      <c r="JU42" s="18" t="n"/>
      <c r="JV42" s="18" t="n"/>
      <c r="JW42" s="18" t="n"/>
      <c r="JX42" s="18" t="n"/>
      <c r="JY42" s="18" t="n"/>
      <c r="JZ42" s="18" t="n"/>
      <c r="KA42" s="18" t="n"/>
      <c r="KB42" s="18" t="n"/>
      <c r="KC42" s="18" t="n"/>
      <c r="KD42" s="18" t="n"/>
      <c r="KE42" s="18" t="n"/>
      <c r="KF42" s="18" t="n"/>
      <c r="KG42" s="18" t="n"/>
      <c r="KH42" s="18" t="n"/>
      <c r="KI42" s="18" t="n"/>
      <c r="KJ42" s="18" t="n"/>
      <c r="KK42" s="18" t="n"/>
      <c r="KL42" s="18" t="n"/>
      <c r="KM42" s="18" t="n"/>
      <c r="KN42" s="18" t="n"/>
      <c r="KO42" s="18" t="n"/>
      <c r="KP42" s="18" t="n"/>
      <c r="KQ42" s="18" t="n"/>
      <c r="KR42" s="18" t="n"/>
      <c r="KS42" s="18" t="n"/>
      <c r="KT42" s="18" t="n"/>
      <c r="KU42" s="18" t="n"/>
      <c r="KV42" s="18" t="n"/>
      <c r="KW42" s="18" t="n"/>
      <c r="KX42" s="18" t="n"/>
      <c r="KY42" s="18" t="n"/>
      <c r="KZ42" s="18" t="n"/>
      <c r="LA42" s="18" t="n"/>
      <c r="LB42" s="18" t="n"/>
      <c r="LC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64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  <c r="DY43" s="18" t="n"/>
      <c r="DZ43" s="18" t="n"/>
      <c r="EA43" s="18" t="n"/>
      <c r="EB43" s="18" t="n"/>
      <c r="EC43" s="18" t="n"/>
      <c r="ED43" s="18" t="n"/>
      <c r="EE43" s="18" t="n"/>
      <c r="EF43" s="18" t="n"/>
      <c r="EG43" s="18" t="n"/>
      <c r="EH43" s="18" t="n"/>
      <c r="EI43" s="18" t="n"/>
      <c r="EJ43" s="18" t="n"/>
      <c r="EK43" s="18" t="n"/>
      <c r="EL43" s="18" t="n"/>
      <c r="EM43" s="18" t="n"/>
      <c r="EN43" s="18" t="n"/>
      <c r="EO43" s="18" t="n"/>
      <c r="EP43" s="18" t="n"/>
      <c r="EQ43" s="18" t="n"/>
      <c r="ER43" s="18" t="n"/>
      <c r="ES43" s="18" t="n"/>
      <c r="ET43" s="18" t="n"/>
      <c r="EU43" s="18" t="n"/>
      <c r="EV43" s="18" t="n"/>
      <c r="EW43" s="18" t="n"/>
      <c r="EX43" s="18" t="n"/>
      <c r="EY43" s="18" t="n"/>
      <c r="EZ43" s="18" t="n"/>
      <c r="FA43" s="18" t="n"/>
      <c r="FB43" s="18" t="n"/>
      <c r="FC43" s="18" t="n"/>
      <c r="FD43" s="18" t="n"/>
      <c r="FE43" s="18" t="n"/>
      <c r="FF43" s="18" t="n"/>
      <c r="FG43" s="18" t="n"/>
      <c r="FH43" s="18" t="n"/>
      <c r="FI43" s="18" t="n"/>
      <c r="FJ43" s="18" t="n"/>
      <c r="FK43" s="18" t="n"/>
      <c r="FL43" s="18" t="n"/>
      <c r="FM43" s="18" t="n"/>
      <c r="FN43" s="18" t="n"/>
      <c r="FO43" s="18" t="n"/>
      <c r="FP43" s="18" t="n"/>
      <c r="FQ43" s="18" t="n"/>
      <c r="FR43" s="18" t="n"/>
      <c r="FS43" s="18" t="n"/>
      <c r="FT43" s="18" t="n"/>
      <c r="FU43" s="18" t="n"/>
      <c r="FV43" s="18" t="n"/>
      <c r="FW43" s="18" t="n"/>
      <c r="FX43" s="18" t="n"/>
      <c r="FY43" s="18" t="n"/>
      <c r="FZ43" s="18" t="n"/>
      <c r="GA43" s="18" t="n"/>
      <c r="GB43" s="18" t="n"/>
      <c r="GC43" s="18" t="n"/>
      <c r="GD43" s="18" t="n"/>
      <c r="GE43" s="18" t="n"/>
      <c r="GF43" s="18" t="n"/>
      <c r="GG43" s="18" t="n"/>
      <c r="GH43" s="18" t="n"/>
      <c r="GI43" s="18" t="n"/>
      <c r="GJ43" s="18" t="n"/>
      <c r="GK43" s="18" t="n"/>
      <c r="GL43" s="18" t="n"/>
      <c r="GM43" s="18" t="n"/>
      <c r="GN43" s="18" t="n"/>
      <c r="GO43" s="18" t="n"/>
      <c r="GP43" s="18" t="n"/>
      <c r="GQ43" s="18" t="n"/>
      <c r="GR43" s="18" t="n"/>
      <c r="GS43" s="18" t="n"/>
      <c r="GT43" s="18" t="n"/>
      <c r="GU43" s="18" t="n"/>
      <c r="GV43" s="18" t="n"/>
      <c r="GW43" s="18" t="n"/>
      <c r="GX43" s="18" t="n"/>
      <c r="GY43" s="18" t="n"/>
      <c r="GZ43" s="18" t="n"/>
      <c r="HA43" s="18" t="n"/>
      <c r="HB43" s="18" t="n"/>
      <c r="HC43" s="18" t="n"/>
      <c r="HD43" s="18" t="n"/>
      <c r="HE43" s="18" t="n"/>
      <c r="HF43" s="18" t="n"/>
      <c r="HG43" s="18" t="n"/>
      <c r="HH43" s="18" t="n"/>
      <c r="HI43" s="18" t="n"/>
      <c r="HJ43" s="18" t="n"/>
      <c r="HK43" s="18" t="n"/>
      <c r="HL43" s="18" t="n"/>
      <c r="HM43" s="18" t="n"/>
      <c r="HN43" s="18" t="n"/>
      <c r="HO43" s="18" t="n"/>
      <c r="HP43" s="18" t="n"/>
      <c r="HQ43" s="18" t="n"/>
      <c r="HR43" s="18" t="n"/>
      <c r="HS43" s="18" t="n"/>
      <c r="HT43" s="18" t="n"/>
      <c r="HU43" s="18" t="n"/>
      <c r="HV43" s="18" t="n"/>
      <c r="HW43" s="18" t="n"/>
      <c r="HX43" s="18" t="n"/>
      <c r="HY43" s="18" t="n"/>
      <c r="HZ43" s="18" t="n"/>
      <c r="IA43" s="18" t="n"/>
      <c r="IB43" s="18" t="n"/>
      <c r="IC43" s="18" t="n"/>
      <c r="ID43" s="18" t="n"/>
      <c r="IE43" s="18" t="n"/>
      <c r="IF43" s="18" t="n"/>
      <c r="IG43" s="18" t="n"/>
      <c r="IH43" s="18" t="n"/>
      <c r="II43" s="18" t="n"/>
      <c r="IJ43" s="18" t="n"/>
      <c r="IK43" s="18" t="n"/>
      <c r="IL43" s="18" t="n"/>
      <c r="IM43" s="18" t="n"/>
      <c r="IN43" s="18" t="n"/>
      <c r="IO43" s="18" t="n"/>
      <c r="IP43" s="18" t="n"/>
      <c r="IQ43" s="18" t="n"/>
      <c r="IR43" s="18" t="n"/>
      <c r="IS43" s="18" t="n"/>
      <c r="IT43" s="18" t="n"/>
      <c r="IU43" s="18" t="n"/>
      <c r="IV43" s="18" t="n"/>
      <c r="IW43" s="18" t="n"/>
      <c r="IX43" s="18" t="n"/>
      <c r="IY43" s="18" t="n"/>
      <c r="IZ43" s="18" t="n"/>
      <c r="JA43" s="18" t="n"/>
      <c r="JB43" s="18" t="n"/>
      <c r="JC43" s="18" t="n"/>
      <c r="JD43" s="18" t="n"/>
      <c r="JE43" s="18" t="n"/>
      <c r="JF43" s="18" t="n"/>
      <c r="JG43" s="18" t="n"/>
      <c r="JH43" s="18" t="n"/>
      <c r="JI43" s="18" t="n"/>
      <c r="JJ43" s="18" t="n"/>
      <c r="JK43" s="18" t="n"/>
      <c r="JL43" s="18" t="n"/>
      <c r="JM43" s="18" t="n"/>
      <c r="JN43" s="18" t="n"/>
      <c r="JO43" s="18" t="n"/>
      <c r="JP43" s="18" t="n"/>
      <c r="JQ43" s="18" t="n"/>
      <c r="JR43" s="18" t="n"/>
      <c r="JS43" s="18" t="n"/>
      <c r="JT43" s="18" t="n"/>
      <c r="JU43" s="18" t="n"/>
      <c r="JV43" s="18" t="n"/>
      <c r="JW43" s="18" t="n"/>
      <c r="JX43" s="18" t="n"/>
      <c r="JY43" s="18" t="n"/>
      <c r="JZ43" s="18" t="n"/>
      <c r="KA43" s="18" t="n"/>
      <c r="KB43" s="18" t="n"/>
      <c r="KC43" s="18" t="n"/>
      <c r="KD43" s="18" t="n"/>
      <c r="KE43" s="18" t="n"/>
      <c r="KF43" s="18" t="n"/>
      <c r="KG43" s="18" t="n"/>
      <c r="KH43" s="18" t="n"/>
      <c r="KI43" s="18" t="n"/>
      <c r="KJ43" s="18" t="n"/>
      <c r="KK43" s="18" t="n"/>
      <c r="KL43" s="18" t="n"/>
      <c r="KM43" s="18" t="n"/>
      <c r="KN43" s="18" t="n"/>
      <c r="KO43" s="18" t="n"/>
      <c r="KP43" s="18" t="n"/>
      <c r="KQ43" s="18" t="n"/>
      <c r="KR43" s="18" t="n"/>
      <c r="KS43" s="18" t="n"/>
      <c r="KT43" s="18" t="n"/>
      <c r="KU43" s="18" t="n"/>
      <c r="KV43" s="18" t="n"/>
      <c r="KW43" s="18" t="n"/>
      <c r="KX43" s="18" t="n"/>
      <c r="KY43" s="18" t="n"/>
      <c r="KZ43" s="18" t="n"/>
      <c r="LA43" s="18" t="n"/>
      <c r="LB43" s="18" t="n"/>
      <c r="LC43" s="18" t="n"/>
      <c r="LD43" s="18" t="n"/>
      <c r="LE43" s="18" t="n"/>
      <c r="LF43" s="18" t="n"/>
      <c r="LG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64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  <c r="DY44" s="18" t="n"/>
      <c r="DZ44" s="18" t="n"/>
      <c r="EA44" s="18" t="n"/>
      <c r="EB44" s="18" t="n"/>
      <c r="EC44" s="18" t="n"/>
      <c r="ED44" s="18" t="n"/>
      <c r="EE44" s="18" t="n"/>
      <c r="EF44" s="18" t="n"/>
      <c r="EG44" s="18" t="n"/>
      <c r="EH44" s="18" t="n"/>
      <c r="EI44" s="18" t="n"/>
      <c r="EJ44" s="18" t="n"/>
      <c r="EK44" s="18" t="n"/>
      <c r="EL44" s="18" t="n"/>
      <c r="EM44" s="18" t="n"/>
      <c r="EN44" s="18" t="n"/>
      <c r="EO44" s="18" t="n"/>
      <c r="EP44" s="18" t="n"/>
      <c r="EQ44" s="18" t="n"/>
      <c r="ER44" s="18" t="n"/>
      <c r="ES44" s="18" t="n"/>
      <c r="ET44" s="18" t="n"/>
      <c r="EU44" s="18" t="n"/>
      <c r="EV44" s="18" t="n"/>
      <c r="EW44" s="18" t="n"/>
      <c r="EX44" s="18" t="n"/>
      <c r="EY44" s="18" t="n"/>
      <c r="EZ44" s="18" t="n"/>
      <c r="FA44" s="18" t="n"/>
      <c r="FB44" s="18" t="n"/>
      <c r="FC44" s="18" t="n"/>
      <c r="FD44" s="18" t="n"/>
      <c r="FE44" s="18" t="n"/>
      <c r="FF44" s="18" t="n"/>
      <c r="FG44" s="18" t="n"/>
      <c r="FH44" s="18" t="n"/>
      <c r="FI44" s="18" t="n"/>
      <c r="FJ44" s="18" t="n"/>
      <c r="FK44" s="18" t="n"/>
      <c r="FL44" s="18" t="n"/>
      <c r="FM44" s="18" t="n"/>
      <c r="FN44" s="18" t="n"/>
      <c r="FO44" s="18" t="n"/>
      <c r="FP44" s="18" t="n"/>
      <c r="FQ44" s="18" t="n"/>
      <c r="FR44" s="18" t="n"/>
      <c r="FS44" s="18" t="n"/>
      <c r="FT44" s="18" t="n"/>
      <c r="FU44" s="18" t="n"/>
      <c r="FV44" s="18" t="n"/>
      <c r="FW44" s="18" t="n"/>
      <c r="FX44" s="18" t="n"/>
      <c r="FY44" s="18" t="n"/>
      <c r="FZ44" s="18" t="n"/>
      <c r="GA44" s="18" t="n"/>
      <c r="GB44" s="18" t="n"/>
      <c r="GC44" s="18" t="n"/>
      <c r="GD44" s="18" t="n"/>
      <c r="GE44" s="18" t="n"/>
      <c r="GF44" s="18" t="n"/>
      <c r="GG44" s="18" t="n"/>
      <c r="GH44" s="18" t="n"/>
      <c r="GI44" s="18" t="n"/>
      <c r="GJ44" s="18" t="n"/>
      <c r="GK44" s="18" t="n"/>
      <c r="GL44" s="18" t="n"/>
      <c r="GM44" s="18" t="n"/>
      <c r="GN44" s="18" t="n"/>
      <c r="GO44" s="18" t="n"/>
      <c r="GP44" s="18" t="n"/>
      <c r="GQ44" s="18" t="n"/>
      <c r="GR44" s="18" t="n"/>
      <c r="GS44" s="18" t="n"/>
      <c r="GT44" s="18" t="n"/>
      <c r="GU44" s="18" t="n"/>
      <c r="GV44" s="18" t="n"/>
      <c r="GW44" s="18" t="n"/>
      <c r="GX44" s="18" t="n"/>
      <c r="GY44" s="18" t="n"/>
      <c r="GZ44" s="18" t="n"/>
      <c r="HA44" s="18" t="n"/>
      <c r="HB44" s="18" t="n"/>
      <c r="HC44" s="18" t="n"/>
      <c r="HD44" s="18" t="n"/>
      <c r="HE44" s="18" t="n"/>
      <c r="HF44" s="18" t="n"/>
      <c r="HG44" s="18" t="n"/>
      <c r="HH44" s="18" t="n"/>
      <c r="HI44" s="18" t="n"/>
      <c r="HJ44" s="18" t="n"/>
      <c r="HK44" s="18" t="n"/>
      <c r="HL44" s="18" t="n"/>
      <c r="HM44" s="18" t="n"/>
      <c r="HN44" s="18" t="n"/>
      <c r="HO44" s="18" t="n"/>
      <c r="HP44" s="18" t="n"/>
      <c r="HQ44" s="18" t="n"/>
      <c r="HR44" s="18" t="n"/>
      <c r="HS44" s="18" t="n"/>
      <c r="HT44" s="18" t="n"/>
      <c r="HU44" s="18" t="n"/>
      <c r="HV44" s="18" t="n"/>
      <c r="HW44" s="18" t="n"/>
      <c r="HX44" s="18" t="n"/>
      <c r="HY44" s="18" t="n"/>
      <c r="HZ44" s="18" t="n"/>
      <c r="IA44" s="18" t="n"/>
      <c r="IB44" s="18" t="n"/>
      <c r="IC44" s="18" t="n"/>
      <c r="ID44" s="18" t="n"/>
      <c r="IE44" s="18" t="n"/>
      <c r="IF44" s="18" t="n"/>
      <c r="IG44" s="18" t="n"/>
      <c r="IH44" s="18" t="n"/>
      <c r="II44" s="18" t="n"/>
      <c r="IJ44" s="18" t="n"/>
      <c r="IK44" s="18" t="n"/>
      <c r="IL44" s="18" t="n"/>
      <c r="IM44" s="18" t="n"/>
      <c r="IN44" s="18" t="n"/>
      <c r="IO44" s="18" t="n"/>
      <c r="IP44" s="18" t="n"/>
      <c r="IQ44" s="18" t="n"/>
      <c r="IR44" s="18" t="n"/>
      <c r="IS44" s="18" t="n"/>
      <c r="IT44" s="18" t="n"/>
      <c r="IU44" s="18" t="n"/>
      <c r="IV44" s="18" t="n"/>
      <c r="IW44" s="18" t="n"/>
      <c r="IX44" s="18" t="n"/>
      <c r="IY44" s="18" t="n"/>
      <c r="IZ44" s="18" t="n"/>
      <c r="JA44" s="18" t="n"/>
      <c r="JB44" s="18" t="n"/>
      <c r="JC44" s="18" t="n"/>
      <c r="JD44" s="18" t="n"/>
      <c r="JE44" s="18" t="n"/>
      <c r="JF44" s="18" t="n"/>
      <c r="JG44" s="18" t="n"/>
      <c r="JH44" s="18" t="n"/>
      <c r="JI44" s="18" t="n"/>
      <c r="JJ44" s="18" t="n"/>
      <c r="JK44" s="18" t="n"/>
      <c r="JL44" s="18" t="n"/>
      <c r="JM44" s="18" t="n"/>
      <c r="JN44" s="18" t="n"/>
      <c r="JO44" s="18" t="n"/>
      <c r="JP44" s="18" t="n"/>
      <c r="JQ44" s="18" t="n"/>
      <c r="JR44" s="18" t="n"/>
      <c r="JS44" s="18" t="n"/>
      <c r="JT44" s="18" t="n"/>
      <c r="JU44" s="18" t="n"/>
      <c r="JV44" s="18" t="n"/>
      <c r="JW44" s="18" t="n"/>
      <c r="JX44" s="18" t="n"/>
      <c r="JY44" s="18" t="n"/>
      <c r="JZ44" s="18" t="n"/>
      <c r="KA44" s="18" t="n"/>
      <c r="KB44" s="18" t="n"/>
      <c r="KC44" s="18" t="n"/>
      <c r="KD44" s="18" t="n"/>
      <c r="KE44" s="18" t="n"/>
      <c r="KF44" s="18" t="n"/>
      <c r="KG44" s="18" t="n"/>
      <c r="KH44" s="18" t="n"/>
      <c r="KI44" s="18" t="n"/>
      <c r="KJ44" s="18" t="n"/>
      <c r="KK44" s="18" t="n"/>
      <c r="KL44" s="18" t="n"/>
      <c r="KM44" s="18" t="n"/>
      <c r="KN44" s="18" t="n"/>
      <c r="KO44" s="18" t="n"/>
      <c r="KP44" s="18" t="n"/>
      <c r="KQ44" s="18" t="n"/>
      <c r="KR44" s="18" t="n"/>
      <c r="KS44" s="18" t="n"/>
      <c r="KT44" s="18" t="n"/>
      <c r="KU44" s="18" t="n"/>
      <c r="KV44" s="18" t="n"/>
      <c r="KW44" s="18" t="n"/>
      <c r="KX44" s="18" t="n"/>
      <c r="KY44" s="18" t="n"/>
      <c r="KZ44" s="18" t="n"/>
      <c r="LA44" s="18" t="n"/>
      <c r="LB44" s="18" t="n"/>
      <c r="LC44" s="18" t="n"/>
      <c r="LD44" s="18" t="n"/>
      <c r="LE44" s="18" t="n"/>
      <c r="LF44" s="18" t="n"/>
      <c r="LG44" s="18" t="n"/>
      <c r="LH44" s="18" t="n"/>
      <c r="LI44" s="18" t="n"/>
      <c r="LJ44" s="18" t="n"/>
      <c r="LK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64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  <c r="DY45" s="18" t="n"/>
      <c r="DZ45" s="18" t="n"/>
      <c r="EA45" s="18" t="n"/>
      <c r="EB45" s="18" t="n"/>
      <c r="EC45" s="18" t="n"/>
      <c r="ED45" s="18" t="n"/>
      <c r="EE45" s="18" t="n"/>
      <c r="EF45" s="18" t="n"/>
      <c r="EG45" s="18" t="n"/>
      <c r="EH45" s="18" t="n"/>
      <c r="EI45" s="18" t="n"/>
      <c r="EJ45" s="18" t="n"/>
      <c r="EK45" s="18" t="n"/>
      <c r="EL45" s="18" t="n"/>
      <c r="EM45" s="18" t="n"/>
      <c r="EN45" s="18" t="n"/>
      <c r="EO45" s="18" t="n"/>
      <c r="EP45" s="18" t="n"/>
      <c r="EQ45" s="18" t="n"/>
      <c r="ER45" s="18" t="n"/>
      <c r="ES45" s="18" t="n"/>
      <c r="ET45" s="18" t="n"/>
      <c r="EU45" s="18" t="n"/>
      <c r="EV45" s="18" t="n"/>
      <c r="EW45" s="18" t="n"/>
      <c r="EX45" s="18" t="n"/>
      <c r="EY45" s="18" t="n"/>
      <c r="EZ45" s="18" t="n"/>
      <c r="FA45" s="18" t="n"/>
      <c r="FB45" s="18" t="n"/>
      <c r="FC45" s="18" t="n"/>
      <c r="FD45" s="18" t="n"/>
      <c r="FE45" s="18" t="n"/>
      <c r="FF45" s="18" t="n"/>
      <c r="FG45" s="18" t="n"/>
      <c r="FH45" s="18" t="n"/>
      <c r="FI45" s="18" t="n"/>
      <c r="FJ45" s="18" t="n"/>
      <c r="FK45" s="18" t="n"/>
      <c r="FL45" s="18" t="n"/>
      <c r="FM45" s="18" t="n"/>
      <c r="FN45" s="18" t="n"/>
      <c r="FO45" s="18" t="n"/>
      <c r="FP45" s="18" t="n"/>
      <c r="FQ45" s="18" t="n"/>
      <c r="FR45" s="18" t="n"/>
      <c r="FS45" s="18" t="n"/>
      <c r="FT45" s="18" t="n"/>
      <c r="FU45" s="18" t="n"/>
      <c r="FV45" s="18" t="n"/>
      <c r="FW45" s="18" t="n"/>
      <c r="FX45" s="18" t="n"/>
      <c r="FY45" s="18" t="n"/>
      <c r="FZ45" s="18" t="n"/>
      <c r="GA45" s="18" t="n"/>
      <c r="GB45" s="18" t="n"/>
      <c r="GC45" s="18" t="n"/>
      <c r="GD45" s="18" t="n"/>
      <c r="GE45" s="18" t="n"/>
      <c r="GF45" s="18" t="n"/>
      <c r="GG45" s="18" t="n"/>
      <c r="GH45" s="18" t="n"/>
      <c r="GI45" s="18" t="n"/>
      <c r="GJ45" s="18" t="n"/>
      <c r="GK45" s="18" t="n"/>
      <c r="GL45" s="18" t="n"/>
      <c r="GM45" s="18" t="n"/>
      <c r="GN45" s="18" t="n"/>
      <c r="GO45" s="18" t="n"/>
      <c r="GP45" s="18" t="n"/>
      <c r="GQ45" s="18" t="n"/>
      <c r="GR45" s="18" t="n"/>
      <c r="GS45" s="18" t="n"/>
      <c r="GT45" s="18" t="n"/>
      <c r="GU45" s="18" t="n"/>
      <c r="GV45" s="18" t="n"/>
      <c r="GW45" s="18" t="n"/>
      <c r="GX45" s="18" t="n"/>
      <c r="GY45" s="18" t="n"/>
      <c r="GZ45" s="18" t="n"/>
      <c r="HA45" s="18" t="n"/>
      <c r="HB45" s="18" t="n"/>
      <c r="HC45" s="18" t="n"/>
      <c r="HD45" s="18" t="n"/>
      <c r="HE45" s="18" t="n"/>
      <c r="HF45" s="18" t="n"/>
      <c r="HG45" s="18" t="n"/>
      <c r="HH45" s="18" t="n"/>
      <c r="HI45" s="18" t="n"/>
      <c r="HJ45" s="18" t="n"/>
      <c r="HK45" s="18" t="n"/>
      <c r="HL45" s="18" t="n"/>
      <c r="HM45" s="18" t="n"/>
      <c r="HN45" s="18" t="n"/>
      <c r="HO45" s="18" t="n"/>
      <c r="HP45" s="18" t="n"/>
      <c r="HQ45" s="18" t="n"/>
      <c r="HR45" s="18" t="n"/>
      <c r="HS45" s="18" t="n"/>
      <c r="HT45" s="18" t="n"/>
      <c r="HU45" s="18" t="n"/>
      <c r="HV45" s="18" t="n"/>
      <c r="HW45" s="18" t="n"/>
      <c r="HX45" s="18" t="n"/>
      <c r="HY45" s="18" t="n"/>
      <c r="HZ45" s="18" t="n"/>
      <c r="IA45" s="18" t="n"/>
      <c r="IB45" s="18" t="n"/>
      <c r="IC45" s="18" t="n"/>
      <c r="ID45" s="18" t="n"/>
      <c r="IE45" s="18" t="n"/>
      <c r="IF45" s="18" t="n"/>
      <c r="IG45" s="18" t="n"/>
      <c r="IH45" s="18" t="n"/>
      <c r="II45" s="18" t="n"/>
      <c r="IJ45" s="18" t="n"/>
      <c r="IK45" s="18" t="n"/>
      <c r="IL45" s="18" t="n"/>
      <c r="IM45" s="18" t="n"/>
      <c r="IN45" s="18" t="n"/>
      <c r="IO45" s="18" t="n"/>
      <c r="IP45" s="18" t="n"/>
      <c r="IQ45" s="18" t="n"/>
      <c r="IR45" s="18" t="n"/>
      <c r="IS45" s="18" t="n"/>
      <c r="IT45" s="18" t="n"/>
      <c r="IU45" s="18" t="n"/>
      <c r="IV45" s="18" t="n"/>
      <c r="IW45" s="18" t="n"/>
      <c r="IX45" s="18" t="n"/>
      <c r="IY45" s="18" t="n"/>
      <c r="IZ45" s="18" t="n"/>
      <c r="JA45" s="18" t="n"/>
      <c r="JB45" s="18" t="n"/>
      <c r="JC45" s="18" t="n"/>
      <c r="JD45" s="18" t="n"/>
      <c r="JE45" s="18" t="n"/>
      <c r="JF45" s="18" t="n"/>
      <c r="JG45" s="18" t="n"/>
      <c r="JH45" s="18" t="n"/>
      <c r="JI45" s="18" t="n"/>
      <c r="JJ45" s="18" t="n"/>
      <c r="JK45" s="18" t="n"/>
      <c r="JL45" s="18" t="n"/>
      <c r="JM45" s="18" t="n"/>
      <c r="JN45" s="18" t="n"/>
      <c r="JO45" s="18" t="n"/>
      <c r="JP45" s="18" t="n"/>
      <c r="JQ45" s="18" t="n"/>
      <c r="JR45" s="18" t="n"/>
      <c r="JS45" s="18" t="n"/>
      <c r="JT45" s="18" t="n"/>
      <c r="JU45" s="18" t="n"/>
      <c r="JV45" s="18" t="n"/>
      <c r="JW45" s="18" t="n"/>
      <c r="JX45" s="18" t="n"/>
      <c r="JY45" s="18" t="n"/>
      <c r="JZ45" s="18" t="n"/>
      <c r="KA45" s="18" t="n"/>
      <c r="KB45" s="18" t="n"/>
      <c r="KC45" s="18" t="n"/>
      <c r="KD45" s="18" t="n"/>
      <c r="KE45" s="18" t="n"/>
      <c r="KF45" s="18" t="n"/>
      <c r="KG45" s="18" t="n"/>
      <c r="KH45" s="18" t="n"/>
      <c r="KI45" s="18" t="n"/>
      <c r="KJ45" s="18" t="n"/>
      <c r="KK45" s="18" t="n"/>
      <c r="KL45" s="18" t="n"/>
      <c r="KM45" s="18" t="n"/>
      <c r="KN45" s="18" t="n"/>
      <c r="KO45" s="18" t="n"/>
      <c r="KP45" s="18" t="n"/>
      <c r="KQ45" s="18" t="n"/>
      <c r="KR45" s="18" t="n"/>
      <c r="KS45" s="18" t="n"/>
      <c r="KT45" s="18" t="n"/>
      <c r="KU45" s="18" t="n"/>
      <c r="KV45" s="18" t="n"/>
      <c r="KW45" s="18" t="n"/>
      <c r="KX45" s="18" t="n"/>
      <c r="KY45" s="18" t="n"/>
      <c r="KZ45" s="18" t="n"/>
      <c r="LA45" s="18" t="n"/>
      <c r="LB45" s="18" t="n"/>
      <c r="LC45" s="18" t="n"/>
      <c r="LD45" s="18" t="n"/>
      <c r="LE45" s="18" t="n"/>
      <c r="LF45" s="18" t="n"/>
      <c r="LG45" s="18" t="n"/>
      <c r="LH45" s="18" t="n"/>
      <c r="LI45" s="18" t="n"/>
      <c r="LJ45" s="18" t="n"/>
      <c r="LK45" s="18" t="n"/>
      <c r="LL45" s="18" t="n"/>
      <c r="LM45" s="18" t="n"/>
      <c r="LN45" s="18" t="n"/>
      <c r="LO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64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8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8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8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18" t="n"/>
      <c r="GI46" s="18" t="n"/>
      <c r="GJ46" s="18" t="n"/>
      <c r="GK46" s="18" t="n"/>
      <c r="GL46" s="18" t="n"/>
      <c r="GM46" s="18" t="n"/>
      <c r="GN46" s="18" t="n"/>
      <c r="GO46" s="18" t="n"/>
      <c r="GP46" s="18" t="n"/>
      <c r="GQ46" s="18" t="n"/>
      <c r="GR46" s="18" t="n"/>
      <c r="GS46" s="18" t="n"/>
      <c r="GT46" s="18" t="n"/>
      <c r="GU46" s="18" t="n"/>
      <c r="GV46" s="18" t="n"/>
      <c r="GW46" s="18" t="n"/>
      <c r="GX46" s="18" t="n"/>
      <c r="GY46" s="18" t="n"/>
      <c r="GZ46" s="18" t="n"/>
      <c r="HA46" s="18" t="n"/>
      <c r="HB46" s="18" t="n"/>
      <c r="HC46" s="18" t="n"/>
      <c r="HD46" s="18" t="n"/>
      <c r="HE46" s="18" t="n"/>
      <c r="HF46" s="18" t="n"/>
      <c r="HG46" s="18" t="n"/>
      <c r="HH46" s="18" t="n"/>
      <c r="HI46" s="18" t="n"/>
      <c r="HJ46" s="18" t="n"/>
      <c r="HK46" s="18" t="n"/>
      <c r="HL46" s="18" t="n"/>
      <c r="HM46" s="18" t="n"/>
      <c r="HN46" s="18" t="n"/>
      <c r="HO46" s="18" t="n"/>
      <c r="HP46" s="18" t="n"/>
      <c r="HQ46" s="18" t="n"/>
      <c r="HR46" s="18" t="n"/>
      <c r="HS46" s="18" t="n"/>
      <c r="HT46" s="18" t="n"/>
      <c r="HU46" s="18" t="n"/>
      <c r="HV46" s="18" t="n"/>
      <c r="HW46" s="18" t="n"/>
      <c r="HX46" s="18" t="n"/>
      <c r="HY46" s="18" t="n"/>
      <c r="HZ46" s="18" t="n"/>
      <c r="IA46" s="18" t="n"/>
      <c r="IB46" s="18" t="n"/>
      <c r="IC46" s="18" t="n"/>
      <c r="ID46" s="18" t="n"/>
      <c r="IE46" s="18" t="n"/>
      <c r="IF46" s="18" t="n"/>
      <c r="IG46" s="18" t="n"/>
      <c r="IH46" s="18" t="n"/>
      <c r="II46" s="18" t="n"/>
      <c r="IJ46" s="18" t="n"/>
      <c r="IK46" s="18" t="n"/>
      <c r="IL46" s="18" t="n"/>
      <c r="IM46" s="18" t="n"/>
      <c r="IN46" s="18" t="n"/>
      <c r="IO46" s="18" t="n"/>
      <c r="IP46" s="18" t="n"/>
      <c r="IQ46" s="18" t="n"/>
      <c r="IR46" s="18" t="n"/>
      <c r="IS46" s="18" t="n"/>
      <c r="IT46" s="18" t="n"/>
      <c r="IU46" s="18" t="n"/>
      <c r="IV46" s="18" t="n"/>
      <c r="IW46" s="18" t="n"/>
      <c r="IX46" s="18" t="n"/>
      <c r="IY46" s="18" t="n"/>
      <c r="IZ46" s="18" t="n"/>
      <c r="JA46" s="18" t="n"/>
      <c r="JB46" s="18" t="n"/>
      <c r="JC46" s="18" t="n"/>
      <c r="JD46" s="18" t="n"/>
      <c r="JE46" s="18" t="n"/>
      <c r="JF46" s="18" t="n"/>
      <c r="JG46" s="18" t="n"/>
      <c r="JH46" s="18" t="n"/>
      <c r="JI46" s="18" t="n"/>
      <c r="JJ46" s="18" t="n"/>
      <c r="JK46" s="18" t="n"/>
      <c r="JL46" s="18" t="n"/>
      <c r="JM46" s="18" t="n"/>
      <c r="JN46" s="18" t="n"/>
      <c r="JO46" s="18" t="n"/>
      <c r="JP46" s="18" t="n"/>
      <c r="JQ46" s="18" t="n"/>
      <c r="JR46" s="18" t="n"/>
      <c r="JS46" s="18" t="n"/>
      <c r="JT46" s="18" t="n"/>
      <c r="JU46" s="18" t="n"/>
      <c r="JV46" s="18" t="n"/>
      <c r="JW46" s="18" t="n"/>
      <c r="JX46" s="18" t="n"/>
      <c r="JY46" s="18" t="n"/>
      <c r="JZ46" s="18" t="n"/>
      <c r="KA46" s="18" t="n"/>
      <c r="KB46" s="18" t="n"/>
      <c r="KC46" s="18" t="n"/>
      <c r="KD46" s="18" t="n"/>
      <c r="KE46" s="18" t="n"/>
      <c r="KF46" s="18" t="n"/>
      <c r="KG46" s="18" t="n"/>
      <c r="KH46" s="18" t="n"/>
      <c r="KI46" s="18" t="n"/>
      <c r="KJ46" s="18" t="n"/>
      <c r="KK46" s="18" t="n"/>
      <c r="KL46" s="18" t="n"/>
      <c r="KM46" s="18" t="n"/>
      <c r="KN46" s="18" t="n"/>
      <c r="KO46" s="18" t="n"/>
      <c r="KP46" s="18" t="n"/>
      <c r="KQ46" s="18" t="n"/>
      <c r="KR46" s="18" t="n"/>
      <c r="KS46" s="18" t="n"/>
      <c r="KT46" s="18" t="n"/>
      <c r="KU46" s="18" t="n"/>
      <c r="KV46" s="18" t="n"/>
      <c r="KW46" s="18" t="n"/>
      <c r="KX46" s="18" t="n"/>
      <c r="KY46" s="18" t="n"/>
      <c r="KZ46" s="18" t="n"/>
      <c r="LA46" s="18" t="n"/>
      <c r="LB46" s="18" t="n"/>
      <c r="LC46" s="18" t="n"/>
      <c r="LD46" s="18" t="n"/>
      <c r="LE46" s="18" t="n"/>
      <c r="LF46" s="18" t="n"/>
      <c r="LG46" s="18" t="n"/>
      <c r="LH46" s="18" t="n"/>
      <c r="LI46" s="18" t="n"/>
      <c r="LJ46" s="18" t="n"/>
      <c r="LK46" s="18" t="n"/>
      <c r="LL46" s="18" t="n"/>
      <c r="LM46" s="18" t="n"/>
      <c r="LN46" s="18" t="n"/>
      <c r="LO46" s="18" t="n"/>
      <c r="LP46" s="18" t="n"/>
      <c r="LQ46" s="18" t="n"/>
      <c r="LR46" s="18" t="n"/>
      <c r="LS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64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  <c r="DY47" s="18" t="n"/>
      <c r="DZ47" s="18" t="n"/>
      <c r="EA47" s="18" t="n"/>
      <c r="EB47" s="18" t="n"/>
      <c r="EC47" s="18" t="n"/>
      <c r="ED47" s="18" t="n"/>
      <c r="EE47" s="18" t="n"/>
      <c r="EF47" s="18" t="n"/>
      <c r="EG47" s="18" t="n"/>
      <c r="EH47" s="18" t="n"/>
      <c r="EI47" s="18" t="n"/>
      <c r="EJ47" s="18" t="n"/>
      <c r="EK47" s="18" t="n"/>
      <c r="EL47" s="18" t="n"/>
      <c r="EM47" s="18" t="n"/>
      <c r="EN47" s="18" t="n"/>
      <c r="EO47" s="18" t="n"/>
      <c r="EP47" s="18" t="n"/>
      <c r="EQ47" s="18" t="n"/>
      <c r="ER47" s="18" t="n"/>
      <c r="ES47" s="18" t="n"/>
      <c r="ET47" s="18" t="n"/>
      <c r="EU47" s="18" t="n"/>
      <c r="EV47" s="18" t="n"/>
      <c r="EW47" s="18" t="n"/>
      <c r="EX47" s="18" t="n"/>
      <c r="EY47" s="18" t="n"/>
      <c r="EZ47" s="18" t="n"/>
      <c r="FA47" s="18" t="n"/>
      <c r="FB47" s="18" t="n"/>
      <c r="FC47" s="18" t="n"/>
      <c r="FD47" s="18" t="n"/>
      <c r="FE47" s="18" t="n"/>
      <c r="FF47" s="18" t="n"/>
      <c r="FG47" s="18" t="n"/>
      <c r="FH47" s="18" t="n"/>
      <c r="FI47" s="18" t="n"/>
      <c r="FJ47" s="18" t="n"/>
      <c r="FK47" s="18" t="n"/>
      <c r="FL47" s="18" t="n"/>
      <c r="FM47" s="18" t="n"/>
      <c r="FN47" s="18" t="n"/>
      <c r="FO47" s="18" t="n"/>
      <c r="FP47" s="18" t="n"/>
      <c r="FQ47" s="18" t="n"/>
      <c r="FR47" s="18" t="n"/>
      <c r="FS47" s="18" t="n"/>
      <c r="FT47" s="18" t="n"/>
      <c r="FU47" s="18" t="n"/>
      <c r="FV47" s="18" t="n"/>
      <c r="FW47" s="18" t="n"/>
      <c r="FX47" s="18" t="n"/>
      <c r="FY47" s="18" t="n"/>
      <c r="FZ47" s="18" t="n"/>
      <c r="GA47" s="18" t="n"/>
      <c r="GB47" s="18" t="n"/>
      <c r="GC47" s="18" t="n"/>
      <c r="GD47" s="18" t="n"/>
      <c r="GE47" s="18" t="n"/>
      <c r="GF47" s="18" t="n"/>
      <c r="GG47" s="18" t="n"/>
      <c r="GH47" s="18" t="n"/>
      <c r="GI47" s="18" t="n"/>
      <c r="GJ47" s="18" t="n"/>
      <c r="GK47" s="18" t="n"/>
      <c r="GL47" s="18" t="n"/>
      <c r="GM47" s="18" t="n"/>
      <c r="GN47" s="18" t="n"/>
      <c r="GO47" s="18" t="n"/>
      <c r="GP47" s="18" t="n"/>
      <c r="GQ47" s="18" t="n"/>
      <c r="GR47" s="18" t="n"/>
      <c r="GS47" s="18" t="n"/>
      <c r="GT47" s="18" t="n"/>
      <c r="GU47" s="18" t="n"/>
      <c r="GV47" s="18" t="n"/>
      <c r="GW47" s="18" t="n"/>
      <c r="GX47" s="18" t="n"/>
      <c r="GY47" s="18" t="n"/>
      <c r="GZ47" s="18" t="n"/>
      <c r="HA47" s="18" t="n"/>
      <c r="HB47" s="18" t="n"/>
      <c r="HC47" s="18" t="n"/>
      <c r="HD47" s="18" t="n"/>
      <c r="HE47" s="18" t="n"/>
      <c r="HF47" s="18" t="n"/>
      <c r="HG47" s="18" t="n"/>
      <c r="HH47" s="18" t="n"/>
      <c r="HI47" s="18" t="n"/>
      <c r="HJ47" s="18" t="n"/>
      <c r="HK47" s="18" t="n"/>
      <c r="HL47" s="18" t="n"/>
      <c r="HM47" s="18" t="n"/>
      <c r="HN47" s="18" t="n"/>
      <c r="HO47" s="18" t="n"/>
      <c r="HP47" s="18" t="n"/>
      <c r="HQ47" s="18" t="n"/>
      <c r="HR47" s="18" t="n"/>
      <c r="HS47" s="18" t="n"/>
      <c r="HT47" s="18" t="n"/>
      <c r="HU47" s="18" t="n"/>
      <c r="HV47" s="18" t="n"/>
      <c r="HW47" s="18" t="n"/>
      <c r="HX47" s="18" t="n"/>
      <c r="HY47" s="18" t="n"/>
      <c r="HZ47" s="18" t="n"/>
      <c r="IA47" s="18" t="n"/>
      <c r="IB47" s="18" t="n"/>
      <c r="IC47" s="18" t="n"/>
      <c r="ID47" s="18" t="n"/>
      <c r="IE47" s="18" t="n"/>
      <c r="IF47" s="18" t="n"/>
      <c r="IG47" s="18" t="n"/>
      <c r="IH47" s="18" t="n"/>
      <c r="II47" s="18" t="n"/>
      <c r="IJ47" s="18" t="n"/>
      <c r="IK47" s="18" t="n"/>
      <c r="IL47" s="18" t="n"/>
      <c r="IM47" s="18" t="n"/>
      <c r="IN47" s="18" t="n"/>
      <c r="IO47" s="18" t="n"/>
      <c r="IP47" s="18" t="n"/>
      <c r="IQ47" s="18" t="n"/>
      <c r="IR47" s="18" t="n"/>
      <c r="IS47" s="18" t="n"/>
      <c r="IT47" s="18" t="n"/>
      <c r="IU47" s="18" t="n"/>
      <c r="IV47" s="18" t="n"/>
      <c r="IW47" s="18" t="n"/>
      <c r="IX47" s="18" t="n"/>
      <c r="IY47" s="18" t="n"/>
      <c r="IZ47" s="18" t="n"/>
      <c r="JA47" s="18" t="n"/>
      <c r="JB47" s="18" t="n"/>
      <c r="JC47" s="18" t="n"/>
      <c r="JD47" s="18" t="n"/>
      <c r="JE47" s="18" t="n"/>
      <c r="JF47" s="18" t="n"/>
      <c r="JG47" s="18" t="n"/>
      <c r="JH47" s="18" t="n"/>
      <c r="JI47" s="18" t="n"/>
      <c r="JJ47" s="18" t="n"/>
      <c r="JK47" s="18" t="n"/>
      <c r="JL47" s="18" t="n"/>
      <c r="JM47" s="18" t="n"/>
      <c r="JN47" s="18" t="n"/>
      <c r="JO47" s="18" t="n"/>
      <c r="JP47" s="18" t="n"/>
      <c r="JQ47" s="18" t="n"/>
      <c r="JR47" s="18" t="n"/>
      <c r="JS47" s="18" t="n"/>
      <c r="JT47" s="18" t="n"/>
      <c r="JU47" s="18" t="n"/>
      <c r="JV47" s="18" t="n"/>
      <c r="JW47" s="18" t="n"/>
      <c r="JX47" s="18" t="n"/>
      <c r="JY47" s="18" t="n"/>
      <c r="JZ47" s="18" t="n"/>
      <c r="KA47" s="18" t="n"/>
      <c r="KB47" s="18" t="n"/>
      <c r="KC47" s="18" t="n"/>
      <c r="KD47" s="18" t="n"/>
      <c r="KE47" s="18" t="n"/>
      <c r="KF47" s="18" t="n"/>
      <c r="KG47" s="18" t="n"/>
      <c r="KH47" s="18" t="n"/>
      <c r="KI47" s="18" t="n"/>
      <c r="KJ47" s="18" t="n"/>
      <c r="KK47" s="18" t="n"/>
      <c r="KL47" s="18" t="n"/>
      <c r="KM47" s="18" t="n"/>
      <c r="KN47" s="18" t="n"/>
      <c r="KO47" s="18" t="n"/>
      <c r="KP47" s="18" t="n"/>
      <c r="KQ47" s="18" t="n"/>
      <c r="KR47" s="18" t="n"/>
      <c r="KS47" s="18" t="n"/>
      <c r="KT47" s="18" t="n"/>
      <c r="KU47" s="18" t="n"/>
      <c r="KV47" s="18" t="n"/>
      <c r="KW47" s="18" t="n"/>
      <c r="KX47" s="18" t="n"/>
      <c r="KY47" s="18" t="n"/>
      <c r="KZ47" s="18" t="n"/>
      <c r="LA47" s="18" t="n"/>
      <c r="LB47" s="18" t="n"/>
      <c r="LC47" s="18" t="n"/>
      <c r="LD47" s="18" t="n"/>
      <c r="LE47" s="18" t="n"/>
      <c r="LF47" s="18" t="n"/>
      <c r="LG47" s="18" t="n"/>
      <c r="LH47" s="18" t="n"/>
      <c r="LI47" s="18" t="n"/>
      <c r="LJ47" s="18" t="n"/>
      <c r="LK47" s="18" t="n"/>
      <c r="LL47" s="18" t="n"/>
      <c r="LM47" s="18" t="n"/>
      <c r="LN47" s="18" t="n"/>
      <c r="LO47" s="18" t="n"/>
      <c r="LP47" s="18" t="n"/>
      <c r="LQ47" s="18" t="n"/>
      <c r="LR47" s="18" t="n"/>
      <c r="LS47" s="18" t="n"/>
      <c r="LT47" s="18" t="n"/>
      <c r="LU47" s="18" t="n"/>
      <c r="LV47" s="18" t="n"/>
      <c r="LW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64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  <c r="DY48" s="18" t="n"/>
      <c r="DZ48" s="18" t="n"/>
      <c r="EA48" s="18" t="n"/>
      <c r="EB48" s="18" t="n"/>
      <c r="EC48" s="18" t="n"/>
      <c r="ED48" s="18" t="n"/>
      <c r="EE48" s="18" t="n"/>
      <c r="EF48" s="18" t="n"/>
      <c r="EG48" s="18" t="n"/>
      <c r="EH48" s="18" t="n"/>
      <c r="EI48" s="18" t="n"/>
      <c r="EJ48" s="18" t="n"/>
      <c r="EK48" s="18" t="n"/>
      <c r="EL48" s="18" t="n"/>
      <c r="EM48" s="18" t="n"/>
      <c r="EN48" s="18" t="n"/>
      <c r="EO48" s="18" t="n"/>
      <c r="EP48" s="18" t="n"/>
      <c r="EQ48" s="18" t="n"/>
      <c r="ER48" s="18" t="n"/>
      <c r="ES48" s="18" t="n"/>
      <c r="ET48" s="18" t="n"/>
      <c r="EU48" s="18" t="n"/>
      <c r="EV48" s="18" t="n"/>
      <c r="EW48" s="18" t="n"/>
      <c r="EX48" s="18" t="n"/>
      <c r="EY48" s="18" t="n"/>
      <c r="EZ48" s="18" t="n"/>
      <c r="FA48" s="18" t="n"/>
      <c r="FB48" s="18" t="n"/>
      <c r="FC48" s="18" t="n"/>
      <c r="FD48" s="18" t="n"/>
      <c r="FE48" s="18" t="n"/>
      <c r="FF48" s="18" t="n"/>
      <c r="FG48" s="18" t="n"/>
      <c r="FH48" s="18" t="n"/>
      <c r="FI48" s="18" t="n"/>
      <c r="FJ48" s="18" t="n"/>
      <c r="FK48" s="18" t="n"/>
      <c r="FL48" s="18" t="n"/>
      <c r="FM48" s="18" t="n"/>
      <c r="FN48" s="18" t="n"/>
      <c r="FO48" s="18" t="n"/>
      <c r="FP48" s="18" t="n"/>
      <c r="FQ48" s="18" t="n"/>
      <c r="FR48" s="18" t="n"/>
      <c r="FS48" s="18" t="n"/>
      <c r="FT48" s="18" t="n"/>
      <c r="FU48" s="18" t="n"/>
      <c r="FV48" s="18" t="n"/>
      <c r="FW48" s="18" t="n"/>
      <c r="FX48" s="18" t="n"/>
      <c r="FY48" s="18" t="n"/>
      <c r="FZ48" s="18" t="n"/>
      <c r="GA48" s="18" t="n"/>
      <c r="GB48" s="18" t="n"/>
      <c r="GC48" s="18" t="n"/>
      <c r="GD48" s="18" t="n"/>
      <c r="GE48" s="18" t="n"/>
      <c r="GF48" s="18" t="n"/>
      <c r="GG48" s="18" t="n"/>
      <c r="GH48" s="18" t="n"/>
      <c r="GI48" s="18" t="n"/>
      <c r="GJ48" s="18" t="n"/>
      <c r="GK48" s="18" t="n"/>
      <c r="GL48" s="18" t="n"/>
      <c r="GM48" s="18" t="n"/>
      <c r="GN48" s="18" t="n"/>
      <c r="GO48" s="18" t="n"/>
      <c r="GP48" s="18" t="n"/>
      <c r="GQ48" s="18" t="n"/>
      <c r="GR48" s="18" t="n"/>
      <c r="GS48" s="18" t="n"/>
      <c r="GT48" s="18" t="n"/>
      <c r="GU48" s="18" t="n"/>
      <c r="GV48" s="18" t="n"/>
      <c r="GW48" s="18" t="n"/>
      <c r="GX48" s="18" t="n"/>
      <c r="GY48" s="18" t="n"/>
      <c r="GZ48" s="18" t="n"/>
      <c r="HA48" s="18" t="n"/>
      <c r="HB48" s="18" t="n"/>
      <c r="HC48" s="18" t="n"/>
      <c r="HD48" s="18" t="n"/>
      <c r="HE48" s="18" t="n"/>
      <c r="HF48" s="18" t="n"/>
      <c r="HG48" s="18" t="n"/>
      <c r="HH48" s="18" t="n"/>
      <c r="HI48" s="18" t="n"/>
      <c r="HJ48" s="18" t="n"/>
      <c r="HK48" s="18" t="n"/>
      <c r="HL48" s="18" t="n"/>
      <c r="HM48" s="18" t="n"/>
      <c r="HN48" s="18" t="n"/>
      <c r="HO48" s="18" t="n"/>
      <c r="HP48" s="18" t="n"/>
      <c r="HQ48" s="18" t="n"/>
      <c r="HR48" s="18" t="n"/>
      <c r="HS48" s="18" t="n"/>
      <c r="HT48" s="18" t="n"/>
      <c r="HU48" s="18" t="n"/>
      <c r="HV48" s="18" t="n"/>
      <c r="HW48" s="18" t="n"/>
      <c r="HX48" s="18" t="n"/>
      <c r="HY48" s="18" t="n"/>
      <c r="HZ48" s="18" t="n"/>
      <c r="IA48" s="18" t="n"/>
      <c r="IB48" s="18" t="n"/>
      <c r="IC48" s="18" t="n"/>
      <c r="ID48" s="18" t="n"/>
      <c r="IE48" s="18" t="n"/>
      <c r="IF48" s="18" t="n"/>
      <c r="IG48" s="18" t="n"/>
      <c r="IH48" s="18" t="n"/>
      <c r="II48" s="18" t="n"/>
      <c r="IJ48" s="18" t="n"/>
      <c r="IK48" s="18" t="n"/>
      <c r="IL48" s="18" t="n"/>
      <c r="IM48" s="18" t="n"/>
      <c r="IN48" s="18" t="n"/>
      <c r="IO48" s="18" t="n"/>
      <c r="IP48" s="18" t="n"/>
      <c r="IQ48" s="18" t="n"/>
      <c r="IR48" s="18" t="n"/>
      <c r="IS48" s="18" t="n"/>
      <c r="IT48" s="18" t="n"/>
      <c r="IU48" s="18" t="n"/>
      <c r="IV48" s="18" t="n"/>
      <c r="IW48" s="18" t="n"/>
      <c r="IX48" s="18" t="n"/>
      <c r="IY48" s="18" t="n"/>
      <c r="IZ48" s="18" t="n"/>
      <c r="JA48" s="18" t="n"/>
      <c r="JB48" s="18" t="n"/>
      <c r="JC48" s="18" t="n"/>
      <c r="JD48" s="18" t="n"/>
      <c r="JE48" s="18" t="n"/>
      <c r="JF48" s="18" t="n"/>
      <c r="JG48" s="18" t="n"/>
      <c r="JH48" s="18" t="n"/>
      <c r="JI48" s="18" t="n"/>
      <c r="JJ48" s="18" t="n"/>
      <c r="JK48" s="18" t="n"/>
      <c r="JL48" s="18" t="n"/>
      <c r="JM48" s="18" t="n"/>
      <c r="JN48" s="18" t="n"/>
      <c r="JO48" s="18" t="n"/>
      <c r="JP48" s="18" t="n"/>
      <c r="JQ48" s="18" t="n"/>
      <c r="JR48" s="18" t="n"/>
      <c r="JS48" s="18" t="n"/>
      <c r="JT48" s="18" t="n"/>
      <c r="JU48" s="18" t="n"/>
      <c r="JV48" s="18" t="n"/>
      <c r="JW48" s="18" t="n"/>
      <c r="JX48" s="18" t="n"/>
      <c r="JY48" s="18" t="n"/>
      <c r="JZ48" s="18" t="n"/>
      <c r="KA48" s="18" t="n"/>
      <c r="KB48" s="18" t="n"/>
      <c r="KC48" s="18" t="n"/>
      <c r="KD48" s="18" t="n"/>
      <c r="KE48" s="18" t="n"/>
      <c r="KF48" s="18" t="n"/>
      <c r="KG48" s="18" t="n"/>
      <c r="KH48" s="18" t="n"/>
      <c r="KI48" s="18" t="n"/>
      <c r="KJ48" s="18" t="n"/>
      <c r="KK48" s="18" t="n"/>
      <c r="KL48" s="18" t="n"/>
      <c r="KM48" s="18" t="n"/>
      <c r="KN48" s="18" t="n"/>
      <c r="KO48" s="18" t="n"/>
      <c r="KP48" s="18" t="n"/>
      <c r="KQ48" s="18" t="n"/>
      <c r="KR48" s="18" t="n"/>
      <c r="KS48" s="18" t="n"/>
      <c r="KT48" s="18" t="n"/>
      <c r="KU48" s="18" t="n"/>
      <c r="KV48" s="18" t="n"/>
      <c r="KW48" s="18" t="n"/>
      <c r="KX48" s="18" t="n"/>
      <c r="KY48" s="18" t="n"/>
      <c r="KZ48" s="18" t="n"/>
      <c r="LA48" s="18" t="n"/>
      <c r="LB48" s="18" t="n"/>
      <c r="LC48" s="18" t="n"/>
      <c r="LD48" s="18" t="n"/>
      <c r="LE48" s="18" t="n"/>
      <c r="LF48" s="18" t="n"/>
      <c r="LG48" s="18" t="n"/>
      <c r="LH48" s="18" t="n"/>
      <c r="LI48" s="18" t="n"/>
      <c r="LJ48" s="18" t="n"/>
      <c r="LK48" s="18" t="n"/>
      <c r="LL48" s="18" t="n"/>
      <c r="LM48" s="18" t="n"/>
      <c r="LN48" s="18" t="n"/>
      <c r="LO48" s="18" t="n"/>
      <c r="LP48" s="18" t="n"/>
      <c r="LQ48" s="18" t="n"/>
      <c r="LR48" s="18" t="n"/>
      <c r="LS48" s="18" t="n"/>
      <c r="LT48" s="18" t="n"/>
      <c r="LU48" s="18" t="n"/>
      <c r="LV48" s="18" t="n"/>
      <c r="LW48" s="18" t="n"/>
      <c r="LX48" s="18" t="n"/>
      <c r="LY48" s="18" t="n"/>
      <c r="LZ48" s="18" t="n"/>
      <c r="MA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64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  <c r="DY49" s="18" t="n"/>
      <c r="DZ49" s="18" t="n"/>
      <c r="EA49" s="18" t="n"/>
      <c r="EB49" s="18" t="n"/>
      <c r="EC49" s="18" t="n"/>
      <c r="ED49" s="18" t="n"/>
      <c r="EE49" s="18" t="n"/>
      <c r="EF49" s="18" t="n"/>
      <c r="EG49" s="18" t="n"/>
      <c r="EH49" s="18" t="n"/>
      <c r="EI49" s="18" t="n"/>
      <c r="EJ49" s="18" t="n"/>
      <c r="EK49" s="18" t="n"/>
      <c r="EL49" s="18" t="n"/>
      <c r="EM49" s="18" t="n"/>
      <c r="EN49" s="18" t="n"/>
      <c r="EO49" s="18" t="n"/>
      <c r="EP49" s="18" t="n"/>
      <c r="EQ49" s="18" t="n"/>
      <c r="ER49" s="18" t="n"/>
      <c r="ES49" s="18" t="n"/>
      <c r="ET49" s="18" t="n"/>
      <c r="EU49" s="18" t="n"/>
      <c r="EV49" s="18" t="n"/>
      <c r="EW49" s="18" t="n"/>
      <c r="EX49" s="18" t="n"/>
      <c r="EY49" s="18" t="n"/>
      <c r="EZ49" s="18" t="n"/>
      <c r="FA49" s="18" t="n"/>
      <c r="FB49" s="18" t="n"/>
      <c r="FC49" s="18" t="n"/>
      <c r="FD49" s="18" t="n"/>
      <c r="FE49" s="18" t="n"/>
      <c r="FF49" s="18" t="n"/>
      <c r="FG49" s="18" t="n"/>
      <c r="FH49" s="18" t="n"/>
      <c r="FI49" s="18" t="n"/>
      <c r="FJ49" s="18" t="n"/>
      <c r="FK49" s="18" t="n"/>
      <c r="FL49" s="18" t="n"/>
      <c r="FM49" s="18" t="n"/>
      <c r="FN49" s="18" t="n"/>
      <c r="FO49" s="18" t="n"/>
      <c r="FP49" s="18" t="n"/>
      <c r="FQ49" s="18" t="n"/>
      <c r="FR49" s="18" t="n"/>
      <c r="FS49" s="18" t="n"/>
      <c r="FT49" s="18" t="n"/>
      <c r="FU49" s="18" t="n"/>
      <c r="FV49" s="18" t="n"/>
      <c r="FW49" s="18" t="n"/>
      <c r="FX49" s="18" t="n"/>
      <c r="FY49" s="18" t="n"/>
      <c r="FZ49" s="18" t="n"/>
      <c r="GA49" s="18" t="n"/>
      <c r="GB49" s="18" t="n"/>
      <c r="GC49" s="18" t="n"/>
      <c r="GD49" s="18" t="n"/>
      <c r="GE49" s="18" t="n"/>
      <c r="GF49" s="18" t="n"/>
      <c r="GG49" s="18" t="n"/>
      <c r="GH49" s="18" t="n"/>
      <c r="GI49" s="18" t="n"/>
      <c r="GJ49" s="18" t="n"/>
      <c r="GK49" s="18" t="n"/>
      <c r="GL49" s="18" t="n"/>
      <c r="GM49" s="18" t="n"/>
      <c r="GN49" s="18" t="n"/>
      <c r="GO49" s="18" t="n"/>
      <c r="GP49" s="18" t="n"/>
      <c r="GQ49" s="18" t="n"/>
      <c r="GR49" s="18" t="n"/>
      <c r="GS49" s="18" t="n"/>
      <c r="GT49" s="18" t="n"/>
      <c r="GU49" s="18" t="n"/>
      <c r="GV49" s="18" t="n"/>
      <c r="GW49" s="18" t="n"/>
      <c r="GX49" s="18" t="n"/>
      <c r="GY49" s="18" t="n"/>
      <c r="GZ49" s="18" t="n"/>
      <c r="HA49" s="18" t="n"/>
      <c r="HB49" s="18" t="n"/>
      <c r="HC49" s="18" t="n"/>
      <c r="HD49" s="18" t="n"/>
      <c r="HE49" s="18" t="n"/>
      <c r="HF49" s="18" t="n"/>
      <c r="HG49" s="18" t="n"/>
      <c r="HH49" s="18" t="n"/>
      <c r="HI49" s="18" t="n"/>
      <c r="HJ49" s="18" t="n"/>
      <c r="HK49" s="18" t="n"/>
      <c r="HL49" s="18" t="n"/>
      <c r="HM49" s="18" t="n"/>
      <c r="HN49" s="18" t="n"/>
      <c r="HO49" s="18" t="n"/>
      <c r="HP49" s="18" t="n"/>
      <c r="HQ49" s="18" t="n"/>
      <c r="HR49" s="18" t="n"/>
      <c r="HS49" s="18" t="n"/>
      <c r="HT49" s="18" t="n"/>
      <c r="HU49" s="18" t="n"/>
      <c r="HV49" s="18" t="n"/>
      <c r="HW49" s="18" t="n"/>
      <c r="HX49" s="18" t="n"/>
      <c r="HY49" s="18" t="n"/>
      <c r="HZ49" s="18" t="n"/>
      <c r="IA49" s="18" t="n"/>
      <c r="IB49" s="18" t="n"/>
      <c r="IC49" s="18" t="n"/>
      <c r="ID49" s="18" t="n"/>
      <c r="IE49" s="18" t="n"/>
      <c r="IF49" s="18" t="n"/>
      <c r="IG49" s="18" t="n"/>
      <c r="IH49" s="18" t="n"/>
      <c r="II49" s="18" t="n"/>
      <c r="IJ49" s="18" t="n"/>
      <c r="IK49" s="18" t="n"/>
      <c r="IL49" s="18" t="n"/>
      <c r="IM49" s="18" t="n"/>
      <c r="IN49" s="18" t="n"/>
      <c r="IO49" s="18" t="n"/>
      <c r="IP49" s="18" t="n"/>
      <c r="IQ49" s="18" t="n"/>
      <c r="IR49" s="18" t="n"/>
      <c r="IS49" s="18" t="n"/>
      <c r="IT49" s="18" t="n"/>
      <c r="IU49" s="18" t="n"/>
      <c r="IV49" s="18" t="n"/>
      <c r="IW49" s="18" t="n"/>
      <c r="IX49" s="18" t="n"/>
      <c r="IY49" s="18" t="n"/>
      <c r="IZ49" s="18" t="n"/>
      <c r="JA49" s="18" t="n"/>
      <c r="JB49" s="18" t="n"/>
      <c r="JC49" s="18" t="n"/>
      <c r="JD49" s="18" t="n"/>
      <c r="JE49" s="18" t="n"/>
      <c r="JF49" s="18" t="n"/>
      <c r="JG49" s="18" t="n"/>
      <c r="JH49" s="18" t="n"/>
      <c r="JI49" s="18" t="n"/>
      <c r="JJ49" s="18" t="n"/>
      <c r="JK49" s="18" t="n"/>
      <c r="JL49" s="18" t="n"/>
      <c r="JM49" s="18" t="n"/>
      <c r="JN49" s="18" t="n"/>
      <c r="JO49" s="18" t="n"/>
      <c r="JP49" s="18" t="n"/>
      <c r="JQ49" s="18" t="n"/>
      <c r="JR49" s="18" t="n"/>
      <c r="JS49" s="18" t="n"/>
      <c r="JT49" s="18" t="n"/>
      <c r="JU49" s="18" t="n"/>
      <c r="JV49" s="18" t="n"/>
      <c r="JW49" s="18" t="n"/>
      <c r="JX49" s="18" t="n"/>
      <c r="JY49" s="18" t="n"/>
      <c r="JZ49" s="18" t="n"/>
      <c r="KA49" s="18" t="n"/>
      <c r="KB49" s="18" t="n"/>
      <c r="KC49" s="18" t="n"/>
      <c r="KD49" s="18" t="n"/>
      <c r="KE49" s="18" t="n"/>
      <c r="KF49" s="18" t="n"/>
      <c r="KG49" s="18" t="n"/>
      <c r="KH49" s="18" t="n"/>
      <c r="KI49" s="18" t="n"/>
      <c r="KJ49" s="18" t="n"/>
      <c r="KK49" s="18" t="n"/>
      <c r="KL49" s="18" t="n"/>
      <c r="KM49" s="18" t="n"/>
      <c r="KN49" s="18" t="n"/>
      <c r="KO49" s="18" t="n"/>
      <c r="KP49" s="18" t="n"/>
      <c r="KQ49" s="18" t="n"/>
      <c r="KR49" s="18" t="n"/>
      <c r="KS49" s="18" t="n"/>
      <c r="KT49" s="18" t="n"/>
      <c r="KU49" s="18" t="n"/>
      <c r="KV49" s="18" t="n"/>
      <c r="KW49" s="18" t="n"/>
      <c r="KX49" s="18" t="n"/>
      <c r="KY49" s="18" t="n"/>
      <c r="KZ49" s="18" t="n"/>
      <c r="LA49" s="18" t="n"/>
      <c r="LB49" s="18" t="n"/>
      <c r="LC49" s="18" t="n"/>
      <c r="LD49" s="18" t="n"/>
      <c r="LE49" s="18" t="n"/>
      <c r="LF49" s="18" t="n"/>
      <c r="LG49" s="18" t="n"/>
      <c r="LH49" s="18" t="n"/>
      <c r="LI49" s="18" t="n"/>
      <c r="LJ49" s="18" t="n"/>
      <c r="LK49" s="18" t="n"/>
      <c r="LL49" s="18" t="n"/>
      <c r="LM49" s="18" t="n"/>
      <c r="LN49" s="18" t="n"/>
      <c r="LO49" s="18" t="n"/>
      <c r="LP49" s="18" t="n"/>
      <c r="LQ49" s="18" t="n"/>
      <c r="LR49" s="18" t="n"/>
      <c r="LS49" s="18" t="n"/>
      <c r="LT49" s="18" t="n"/>
      <c r="LU49" s="18" t="n"/>
      <c r="LV49" s="18" t="n"/>
      <c r="LW49" s="18" t="n"/>
      <c r="LX49" s="18" t="n"/>
      <c r="LY49" s="18" t="n"/>
      <c r="LZ49" s="18" t="n"/>
      <c r="MA49" s="18" t="n"/>
      <c r="MB49" s="18" t="n"/>
      <c r="MC49" s="18" t="n"/>
      <c r="MD49" s="18" t="n"/>
      <c r="ME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64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  <c r="DY50" s="18" t="n"/>
      <c r="DZ50" s="18" t="n"/>
      <c r="EA50" s="18" t="n"/>
      <c r="EB50" s="18" t="n"/>
      <c r="EC50" s="18" t="n"/>
      <c r="ED50" s="18" t="n"/>
      <c r="EE50" s="18" t="n"/>
      <c r="EF50" s="18" t="n"/>
      <c r="EG50" s="18" t="n"/>
      <c r="EH50" s="18" t="n"/>
      <c r="EI50" s="18" t="n"/>
      <c r="EJ50" s="18" t="n"/>
      <c r="EK50" s="18" t="n"/>
      <c r="EL50" s="18" t="n"/>
      <c r="EM50" s="18" t="n"/>
      <c r="EN50" s="18" t="n"/>
      <c r="EO50" s="18" t="n"/>
      <c r="EP50" s="18" t="n"/>
      <c r="EQ50" s="18" t="n"/>
      <c r="ER50" s="18" t="n"/>
      <c r="ES50" s="18" t="n"/>
      <c r="ET50" s="18" t="n"/>
      <c r="EU50" s="18" t="n"/>
      <c r="EV50" s="18" t="n"/>
      <c r="EW50" s="18" t="n"/>
      <c r="EX50" s="18" t="n"/>
      <c r="EY50" s="18" t="n"/>
      <c r="EZ50" s="18" t="n"/>
      <c r="FA50" s="18" t="n"/>
      <c r="FB50" s="18" t="n"/>
      <c r="FC50" s="18" t="n"/>
      <c r="FD50" s="18" t="n"/>
      <c r="FE50" s="18" t="n"/>
      <c r="FF50" s="18" t="n"/>
      <c r="FG50" s="18" t="n"/>
      <c r="FH50" s="18" t="n"/>
      <c r="FI50" s="18" t="n"/>
      <c r="FJ50" s="18" t="n"/>
      <c r="FK50" s="18" t="n"/>
      <c r="FL50" s="18" t="n"/>
      <c r="FM50" s="18" t="n"/>
      <c r="FN50" s="18" t="n"/>
      <c r="FO50" s="18" t="n"/>
      <c r="FP50" s="18" t="n"/>
      <c r="FQ50" s="18" t="n"/>
      <c r="FR50" s="18" t="n"/>
      <c r="FS50" s="18" t="n"/>
      <c r="FT50" s="18" t="n"/>
      <c r="FU50" s="18" t="n"/>
      <c r="FV50" s="18" t="n"/>
      <c r="FW50" s="18" t="n"/>
      <c r="FX50" s="18" t="n"/>
      <c r="FY50" s="18" t="n"/>
      <c r="FZ50" s="18" t="n"/>
      <c r="GA50" s="18" t="n"/>
      <c r="GB50" s="18" t="n"/>
      <c r="GC50" s="18" t="n"/>
      <c r="GD50" s="18" t="n"/>
      <c r="GE50" s="18" t="n"/>
      <c r="GF50" s="18" t="n"/>
      <c r="GG50" s="18" t="n"/>
      <c r="GH50" s="18" t="n"/>
      <c r="GI50" s="18" t="n"/>
      <c r="GJ50" s="18" t="n"/>
      <c r="GK50" s="18" t="n"/>
      <c r="GL50" s="18" t="n"/>
      <c r="GM50" s="18" t="n"/>
      <c r="GN50" s="18" t="n"/>
      <c r="GO50" s="18" t="n"/>
      <c r="GP50" s="18" t="n"/>
      <c r="GQ50" s="18" t="n"/>
      <c r="GR50" s="18" t="n"/>
      <c r="GS50" s="18" t="n"/>
      <c r="GT50" s="18" t="n"/>
      <c r="GU50" s="18" t="n"/>
      <c r="GV50" s="18" t="n"/>
      <c r="GW50" s="18" t="n"/>
      <c r="GX50" s="18" t="n"/>
      <c r="GY50" s="18" t="n"/>
      <c r="GZ50" s="18" t="n"/>
      <c r="HA50" s="18" t="n"/>
      <c r="HB50" s="18" t="n"/>
      <c r="HC50" s="18" t="n"/>
      <c r="HD50" s="18" t="n"/>
      <c r="HE50" s="18" t="n"/>
      <c r="HF50" s="18" t="n"/>
      <c r="HG50" s="18" t="n"/>
      <c r="HH50" s="18" t="n"/>
      <c r="HI50" s="18" t="n"/>
      <c r="HJ50" s="18" t="n"/>
      <c r="HK50" s="18" t="n"/>
      <c r="HL50" s="18" t="n"/>
      <c r="HM50" s="18" t="n"/>
      <c r="HN50" s="18" t="n"/>
      <c r="HO50" s="18" t="n"/>
      <c r="HP50" s="18" t="n"/>
      <c r="HQ50" s="18" t="n"/>
      <c r="HR50" s="18" t="n"/>
      <c r="HS50" s="18" t="n"/>
      <c r="HT50" s="18" t="n"/>
      <c r="HU50" s="18" t="n"/>
      <c r="HV50" s="18" t="n"/>
      <c r="HW50" s="18" t="n"/>
      <c r="HX50" s="18" t="n"/>
      <c r="HY50" s="18" t="n"/>
      <c r="HZ50" s="18" t="n"/>
      <c r="IA50" s="18" t="n"/>
      <c r="IB50" s="18" t="n"/>
      <c r="IC50" s="18" t="n"/>
      <c r="ID50" s="18" t="n"/>
      <c r="IE50" s="18" t="n"/>
      <c r="IF50" s="18" t="n"/>
      <c r="IG50" s="18" t="n"/>
      <c r="IH50" s="18" t="n"/>
      <c r="II50" s="18" t="n"/>
      <c r="IJ50" s="18" t="n"/>
      <c r="IK50" s="18" t="n"/>
      <c r="IL50" s="18" t="n"/>
      <c r="IM50" s="18" t="n"/>
      <c r="IN50" s="18" t="n"/>
      <c r="IO50" s="18" t="n"/>
      <c r="IP50" s="18" t="n"/>
      <c r="IQ50" s="18" t="n"/>
      <c r="IR50" s="18" t="n"/>
      <c r="IS50" s="18" t="n"/>
      <c r="IT50" s="18" t="n"/>
      <c r="IU50" s="18" t="n"/>
      <c r="IV50" s="18" t="n"/>
      <c r="IW50" s="18" t="n"/>
      <c r="IX50" s="18" t="n"/>
      <c r="IY50" s="18" t="n"/>
      <c r="IZ50" s="18" t="n"/>
      <c r="JA50" s="18" t="n"/>
      <c r="JB50" s="18" t="n"/>
      <c r="JC50" s="18" t="n"/>
      <c r="JD50" s="18" t="n"/>
      <c r="JE50" s="18" t="n"/>
      <c r="JF50" s="18" t="n"/>
      <c r="JG50" s="18" t="n"/>
      <c r="JH50" s="18" t="n"/>
      <c r="JI50" s="18" t="n"/>
      <c r="JJ50" s="18" t="n"/>
      <c r="JK50" s="18" t="n"/>
      <c r="JL50" s="18" t="n"/>
      <c r="JM50" s="18" t="n"/>
      <c r="JN50" s="18" t="n"/>
      <c r="JO50" s="18" t="n"/>
      <c r="JP50" s="18" t="n"/>
      <c r="JQ50" s="18" t="n"/>
      <c r="JR50" s="18" t="n"/>
      <c r="JS50" s="18" t="n"/>
      <c r="JT50" s="18" t="n"/>
      <c r="JU50" s="18" t="n"/>
      <c r="JV50" s="18" t="n"/>
      <c r="JW50" s="18" t="n"/>
      <c r="JX50" s="18" t="n"/>
      <c r="JY50" s="18" t="n"/>
      <c r="JZ50" s="18" t="n"/>
      <c r="KA50" s="18" t="n"/>
      <c r="KB50" s="18" t="n"/>
      <c r="KC50" s="18" t="n"/>
      <c r="KD50" s="18" t="n"/>
      <c r="KE50" s="18" t="n"/>
      <c r="KF50" s="18" t="n"/>
      <c r="KG50" s="18" t="n"/>
      <c r="KH50" s="18" t="n"/>
      <c r="KI50" s="18" t="n"/>
      <c r="KJ50" s="18" t="n"/>
      <c r="KK50" s="18" t="n"/>
      <c r="KL50" s="18" t="n"/>
      <c r="KM50" s="18" t="n"/>
      <c r="KN50" s="18" t="n"/>
      <c r="KO50" s="18" t="n"/>
      <c r="KP50" s="18" t="n"/>
      <c r="KQ50" s="18" t="n"/>
      <c r="KR50" s="18" t="n"/>
      <c r="KS50" s="18" t="n"/>
      <c r="KT50" s="18" t="n"/>
      <c r="KU50" s="18" t="n"/>
      <c r="KV50" s="18" t="n"/>
      <c r="KW50" s="18" t="n"/>
      <c r="KX50" s="18" t="n"/>
      <c r="KY50" s="18" t="n"/>
      <c r="KZ50" s="18" t="n"/>
      <c r="LA50" s="18" t="n"/>
      <c r="LB50" s="18" t="n"/>
      <c r="LC50" s="18" t="n"/>
      <c r="LD50" s="18" t="n"/>
      <c r="LE50" s="18" t="n"/>
      <c r="LF50" s="18" t="n"/>
      <c r="LG50" s="18" t="n"/>
      <c r="LH50" s="18" t="n"/>
      <c r="LI50" s="18" t="n"/>
      <c r="LJ50" s="18" t="n"/>
      <c r="LK50" s="18" t="n"/>
      <c r="LL50" s="18" t="n"/>
      <c r="LM50" s="18" t="n"/>
      <c r="LN50" s="18" t="n"/>
      <c r="LO50" s="18" t="n"/>
      <c r="LP50" s="18" t="n"/>
      <c r="LQ50" s="18" t="n"/>
      <c r="LR50" s="18" t="n"/>
      <c r="LS50" s="18" t="n"/>
      <c r="LT50" s="18" t="n"/>
      <c r="LU50" s="18" t="n"/>
      <c r="LV50" s="18" t="n"/>
      <c r="LW50" s="18" t="n"/>
      <c r="LX50" s="18" t="n"/>
      <c r="LY50" s="18" t="n"/>
      <c r="LZ50" s="18" t="n"/>
      <c r="MA50" s="18" t="n"/>
      <c r="MB50" s="18" t="n"/>
      <c r="MC50" s="18" t="n"/>
      <c r="MD50" s="18" t="n"/>
      <c r="ME50" s="18" t="n"/>
      <c r="MF50" s="18" t="n"/>
      <c r="MG50" s="18" t="n"/>
      <c r="MH50" s="18" t="n"/>
      <c r="M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64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  <c r="DY51" s="18" t="n"/>
      <c r="DZ51" s="18" t="n"/>
      <c r="EA51" s="18" t="n"/>
      <c r="EB51" s="18" t="n"/>
      <c r="EC51" s="18" t="n"/>
      <c r="ED51" s="18" t="n"/>
      <c r="EE51" s="18" t="n"/>
      <c r="EF51" s="18" t="n"/>
      <c r="EG51" s="18" t="n"/>
      <c r="EH51" s="18" t="n"/>
      <c r="EI51" s="18" t="n"/>
      <c r="EJ51" s="18" t="n"/>
      <c r="EK51" s="18" t="n"/>
      <c r="EL51" s="18" t="n"/>
      <c r="EM51" s="18" t="n"/>
      <c r="EN51" s="18" t="n"/>
      <c r="EO51" s="18" t="n"/>
      <c r="EP51" s="18" t="n"/>
      <c r="EQ51" s="18" t="n"/>
      <c r="ER51" s="18" t="n"/>
      <c r="ES51" s="18" t="n"/>
      <c r="ET51" s="18" t="n"/>
      <c r="EU51" s="18" t="n"/>
      <c r="EV51" s="18" t="n"/>
      <c r="EW51" s="18" t="n"/>
      <c r="EX51" s="18" t="n"/>
      <c r="EY51" s="18" t="n"/>
      <c r="EZ51" s="18" t="n"/>
      <c r="FA51" s="18" t="n"/>
      <c r="FB51" s="18" t="n"/>
      <c r="FC51" s="18" t="n"/>
      <c r="FD51" s="18" t="n"/>
      <c r="FE51" s="18" t="n"/>
      <c r="FF51" s="18" t="n"/>
      <c r="FG51" s="18" t="n"/>
      <c r="FH51" s="18" t="n"/>
      <c r="FI51" s="18" t="n"/>
      <c r="FJ51" s="18" t="n"/>
      <c r="FK51" s="18" t="n"/>
      <c r="FL51" s="18" t="n"/>
      <c r="FM51" s="18" t="n"/>
      <c r="FN51" s="18" t="n"/>
      <c r="FO51" s="18" t="n"/>
      <c r="FP51" s="18" t="n"/>
      <c r="FQ51" s="18" t="n"/>
      <c r="FR51" s="18" t="n"/>
      <c r="FS51" s="18" t="n"/>
      <c r="FT51" s="18" t="n"/>
      <c r="FU51" s="18" t="n"/>
      <c r="FV51" s="18" t="n"/>
      <c r="FW51" s="18" t="n"/>
      <c r="FX51" s="18" t="n"/>
      <c r="FY51" s="18" t="n"/>
      <c r="FZ51" s="18" t="n"/>
      <c r="GA51" s="18" t="n"/>
      <c r="GB51" s="18" t="n"/>
      <c r="GC51" s="18" t="n"/>
      <c r="GD51" s="18" t="n"/>
      <c r="GE51" s="18" t="n"/>
      <c r="GF51" s="18" t="n"/>
      <c r="GG51" s="18" t="n"/>
      <c r="GH51" s="18" t="n"/>
      <c r="GI51" s="18" t="n"/>
      <c r="GJ51" s="18" t="n"/>
      <c r="GK51" s="18" t="n"/>
      <c r="GL51" s="18" t="n"/>
      <c r="GM51" s="18" t="n"/>
      <c r="GN51" s="18" t="n"/>
      <c r="GO51" s="18" t="n"/>
      <c r="GP51" s="18" t="n"/>
      <c r="GQ51" s="18" t="n"/>
      <c r="GR51" s="18" t="n"/>
      <c r="GS51" s="18" t="n"/>
      <c r="GT51" s="18" t="n"/>
      <c r="GU51" s="18" t="n"/>
      <c r="GV51" s="18" t="n"/>
      <c r="GW51" s="18" t="n"/>
      <c r="GX51" s="18" t="n"/>
      <c r="GY51" s="18" t="n"/>
      <c r="GZ51" s="18" t="n"/>
      <c r="HA51" s="18" t="n"/>
      <c r="HB51" s="18" t="n"/>
      <c r="HC51" s="18" t="n"/>
      <c r="HD51" s="18" t="n"/>
      <c r="HE51" s="18" t="n"/>
      <c r="HF51" s="18" t="n"/>
      <c r="HG51" s="18" t="n"/>
      <c r="HH51" s="18" t="n"/>
      <c r="HI51" s="18" t="n"/>
      <c r="HJ51" s="18" t="n"/>
      <c r="HK51" s="18" t="n"/>
      <c r="HL51" s="18" t="n"/>
      <c r="HM51" s="18" t="n"/>
      <c r="HN51" s="18" t="n"/>
      <c r="HO51" s="18" t="n"/>
      <c r="HP51" s="18" t="n"/>
      <c r="HQ51" s="18" t="n"/>
      <c r="HR51" s="18" t="n"/>
      <c r="HS51" s="18" t="n"/>
      <c r="HT51" s="18" t="n"/>
      <c r="HU51" s="18" t="n"/>
      <c r="HV51" s="18" t="n"/>
      <c r="HW51" s="18" t="n"/>
      <c r="HX51" s="18" t="n"/>
      <c r="HY51" s="18" t="n"/>
      <c r="HZ51" s="18" t="n"/>
      <c r="IA51" s="18" t="n"/>
      <c r="IB51" s="18" t="n"/>
      <c r="IC51" s="18" t="n"/>
      <c r="ID51" s="18" t="n"/>
      <c r="IE51" s="18" t="n"/>
      <c r="IF51" s="18" t="n"/>
      <c r="IG51" s="18" t="n"/>
      <c r="IH51" s="18" t="n"/>
      <c r="II51" s="18" t="n"/>
      <c r="IJ51" s="18" t="n"/>
      <c r="IK51" s="18" t="n"/>
      <c r="IL51" s="18" t="n"/>
      <c r="IM51" s="18" t="n"/>
      <c r="IN51" s="18" t="n"/>
      <c r="IO51" s="18" t="n"/>
      <c r="IP51" s="18" t="n"/>
      <c r="IQ51" s="18" t="n"/>
      <c r="IR51" s="18" t="n"/>
      <c r="IS51" s="18" t="n"/>
      <c r="IT51" s="18" t="n"/>
      <c r="IU51" s="18" t="n"/>
      <c r="IV51" s="18" t="n"/>
      <c r="IW51" s="18" t="n"/>
      <c r="IX51" s="18" t="n"/>
      <c r="IY51" s="18" t="n"/>
      <c r="IZ51" s="18" t="n"/>
      <c r="JA51" s="18" t="n"/>
      <c r="JB51" s="18" t="n"/>
      <c r="JC51" s="18" t="n"/>
      <c r="JD51" s="18" t="n"/>
      <c r="JE51" s="18" t="n"/>
      <c r="JF51" s="18" t="n"/>
      <c r="JG51" s="18" t="n"/>
      <c r="JH51" s="18" t="n"/>
      <c r="JI51" s="18" t="n"/>
      <c r="JJ51" s="18" t="n"/>
      <c r="JK51" s="18" t="n"/>
      <c r="JL51" s="18" t="n"/>
      <c r="JM51" s="18" t="n"/>
      <c r="JN51" s="18" t="n"/>
      <c r="JO51" s="18" t="n"/>
      <c r="JP51" s="18" t="n"/>
      <c r="JQ51" s="18" t="n"/>
      <c r="JR51" s="18" t="n"/>
      <c r="JS51" s="18" t="n"/>
      <c r="JT51" s="18" t="n"/>
      <c r="JU51" s="18" t="n"/>
      <c r="JV51" s="18" t="n"/>
      <c r="JW51" s="18" t="n"/>
      <c r="JX51" s="18" t="n"/>
      <c r="JY51" s="18" t="n"/>
      <c r="JZ51" s="18" t="n"/>
      <c r="KA51" s="18" t="n"/>
      <c r="KB51" s="18" t="n"/>
      <c r="KC51" s="18" t="n"/>
      <c r="KD51" s="18" t="n"/>
      <c r="KE51" s="18" t="n"/>
      <c r="KF51" s="18" t="n"/>
      <c r="KG51" s="18" t="n"/>
      <c r="KH51" s="18" t="n"/>
      <c r="KI51" s="18" t="n"/>
      <c r="KJ51" s="18" t="n"/>
      <c r="KK51" s="18" t="n"/>
      <c r="KL51" s="18" t="n"/>
      <c r="KM51" s="18" t="n"/>
      <c r="KN51" s="18" t="n"/>
      <c r="KO51" s="18" t="n"/>
      <c r="KP51" s="18" t="n"/>
      <c r="KQ51" s="18" t="n"/>
      <c r="KR51" s="18" t="n"/>
      <c r="KS51" s="18" t="n"/>
      <c r="KT51" s="18" t="n"/>
      <c r="KU51" s="18" t="n"/>
      <c r="KV51" s="18" t="n"/>
      <c r="KW51" s="18" t="n"/>
      <c r="KX51" s="18" t="n"/>
      <c r="KY51" s="18" t="n"/>
      <c r="KZ51" s="18" t="n"/>
      <c r="LA51" s="18" t="n"/>
      <c r="LB51" s="18" t="n"/>
      <c r="LC51" s="18" t="n"/>
      <c r="LD51" s="18" t="n"/>
      <c r="LE51" s="18" t="n"/>
      <c r="LF51" s="18" t="n"/>
      <c r="LG51" s="18" t="n"/>
      <c r="LH51" s="18" t="n"/>
      <c r="LI51" s="18" t="n"/>
      <c r="LJ51" s="18" t="n"/>
      <c r="LK51" s="18" t="n"/>
      <c r="LL51" s="18" t="n"/>
      <c r="LM51" s="18" t="n"/>
      <c r="LN51" s="18" t="n"/>
      <c r="LO51" s="18" t="n"/>
      <c r="LP51" s="18" t="n"/>
      <c r="LQ51" s="18" t="n"/>
      <c r="LR51" s="18" t="n"/>
      <c r="LS51" s="18" t="n"/>
      <c r="LT51" s="18" t="n"/>
      <c r="LU51" s="18" t="n"/>
      <c r="LV51" s="18" t="n"/>
      <c r="LW51" s="18" t="n"/>
      <c r="LX51" s="18" t="n"/>
      <c r="LY51" s="18" t="n"/>
      <c r="LZ51" s="18" t="n"/>
      <c r="MA51" s="18" t="n"/>
      <c r="MB51" s="18" t="n"/>
      <c r="MC51" s="18" t="n"/>
      <c r="MD51" s="18" t="n"/>
      <c r="ME51" s="18" t="n"/>
      <c r="MF51" s="18" t="n"/>
      <c r="MG51" s="18" t="n"/>
      <c r="MH51" s="18" t="n"/>
      <c r="MI51" s="18" t="n"/>
      <c r="MJ51" s="18" t="n"/>
      <c r="MK51" s="18" t="n"/>
      <c r="ML51" s="18" t="n"/>
      <c r="MM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64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  <c r="DY52" s="18" t="n"/>
      <c r="DZ52" s="18" t="n"/>
      <c r="EA52" s="18" t="n"/>
      <c r="EB52" s="18" t="n"/>
      <c r="EC52" s="18" t="n"/>
      <c r="ED52" s="18" t="n"/>
      <c r="EE52" s="18" t="n"/>
      <c r="EF52" s="18" t="n"/>
      <c r="EG52" s="18" t="n"/>
      <c r="EH52" s="18" t="n"/>
      <c r="EI52" s="18" t="n"/>
      <c r="EJ52" s="18" t="n"/>
      <c r="EK52" s="18" t="n"/>
      <c r="EL52" s="18" t="n"/>
      <c r="EM52" s="18" t="n"/>
      <c r="EN52" s="18" t="n"/>
      <c r="EO52" s="18" t="n"/>
      <c r="EP52" s="18" t="n"/>
      <c r="EQ52" s="18" t="n"/>
      <c r="ER52" s="18" t="n"/>
      <c r="ES52" s="18" t="n"/>
      <c r="ET52" s="18" t="n"/>
      <c r="EU52" s="18" t="n"/>
      <c r="EV52" s="18" t="n"/>
      <c r="EW52" s="18" t="n"/>
      <c r="EX52" s="18" t="n"/>
      <c r="EY52" s="18" t="n"/>
      <c r="EZ52" s="18" t="n"/>
      <c r="FA52" s="18" t="n"/>
      <c r="FB52" s="18" t="n"/>
      <c r="FC52" s="18" t="n"/>
      <c r="FD52" s="18" t="n"/>
      <c r="FE52" s="18" t="n"/>
      <c r="FF52" s="18" t="n"/>
      <c r="FG52" s="18" t="n"/>
      <c r="FH52" s="18" t="n"/>
      <c r="FI52" s="18" t="n"/>
      <c r="FJ52" s="18" t="n"/>
      <c r="FK52" s="18" t="n"/>
      <c r="FL52" s="18" t="n"/>
      <c r="FM52" s="18" t="n"/>
      <c r="FN52" s="18" t="n"/>
      <c r="FO52" s="18" t="n"/>
      <c r="FP52" s="18" t="n"/>
      <c r="FQ52" s="18" t="n"/>
      <c r="FR52" s="18" t="n"/>
      <c r="FS52" s="18" t="n"/>
      <c r="FT52" s="18" t="n"/>
      <c r="FU52" s="18" t="n"/>
      <c r="FV52" s="18" t="n"/>
      <c r="FW52" s="18" t="n"/>
      <c r="FX52" s="18" t="n"/>
      <c r="FY52" s="18" t="n"/>
      <c r="FZ52" s="18" t="n"/>
      <c r="GA52" s="18" t="n"/>
      <c r="GB52" s="18" t="n"/>
      <c r="GC52" s="18" t="n"/>
      <c r="GD52" s="18" t="n"/>
      <c r="GE52" s="18" t="n"/>
      <c r="GF52" s="18" t="n"/>
      <c r="GG52" s="18" t="n"/>
      <c r="GH52" s="18" t="n"/>
      <c r="GI52" s="18" t="n"/>
      <c r="GJ52" s="18" t="n"/>
      <c r="GK52" s="18" t="n"/>
      <c r="GL52" s="18" t="n"/>
      <c r="GM52" s="18" t="n"/>
      <c r="GN52" s="18" t="n"/>
      <c r="GO52" s="18" t="n"/>
      <c r="GP52" s="18" t="n"/>
      <c r="GQ52" s="18" t="n"/>
      <c r="GR52" s="18" t="n"/>
      <c r="GS52" s="18" t="n"/>
      <c r="GT52" s="18" t="n"/>
      <c r="GU52" s="18" t="n"/>
      <c r="GV52" s="18" t="n"/>
      <c r="GW52" s="18" t="n"/>
      <c r="GX52" s="18" t="n"/>
      <c r="GY52" s="18" t="n"/>
      <c r="GZ52" s="18" t="n"/>
      <c r="HA52" s="18" t="n"/>
      <c r="HB52" s="18" t="n"/>
      <c r="HC52" s="18" t="n"/>
      <c r="HD52" s="18" t="n"/>
      <c r="HE52" s="18" t="n"/>
      <c r="HF52" s="18" t="n"/>
      <c r="HG52" s="18" t="n"/>
      <c r="HH52" s="18" t="n"/>
      <c r="HI52" s="18" t="n"/>
      <c r="HJ52" s="18" t="n"/>
      <c r="HK52" s="18" t="n"/>
      <c r="HL52" s="18" t="n"/>
      <c r="HM52" s="18" t="n"/>
      <c r="HN52" s="18" t="n"/>
      <c r="HO52" s="18" t="n"/>
      <c r="HP52" s="18" t="n"/>
      <c r="HQ52" s="18" t="n"/>
      <c r="HR52" s="18" t="n"/>
      <c r="HS52" s="18" t="n"/>
      <c r="HT52" s="18" t="n"/>
      <c r="HU52" s="18" t="n"/>
      <c r="HV52" s="18" t="n"/>
      <c r="HW52" s="18" t="n"/>
      <c r="HX52" s="18" t="n"/>
      <c r="HY52" s="18" t="n"/>
      <c r="HZ52" s="18" t="n"/>
      <c r="IA52" s="18" t="n"/>
      <c r="IB52" s="18" t="n"/>
      <c r="IC52" s="18" t="n"/>
      <c r="ID52" s="18" t="n"/>
      <c r="IE52" s="18" t="n"/>
      <c r="IF52" s="18" t="n"/>
      <c r="IG52" s="18" t="n"/>
      <c r="IH52" s="18" t="n"/>
      <c r="II52" s="18" t="n"/>
      <c r="IJ52" s="18" t="n"/>
      <c r="IK52" s="18" t="n"/>
      <c r="IL52" s="18" t="n"/>
      <c r="IM52" s="18" t="n"/>
      <c r="IN52" s="18" t="n"/>
      <c r="IO52" s="18" t="n"/>
      <c r="IP52" s="18" t="n"/>
      <c r="IQ52" s="18" t="n"/>
      <c r="IR52" s="18" t="n"/>
      <c r="IS52" s="18" t="n"/>
      <c r="IT52" s="18" t="n"/>
      <c r="IU52" s="18" t="n"/>
      <c r="IV52" s="18" t="n"/>
      <c r="IW52" s="18" t="n"/>
      <c r="IX52" s="18" t="n"/>
      <c r="IY52" s="18" t="n"/>
      <c r="IZ52" s="18" t="n"/>
      <c r="JA52" s="18" t="n"/>
      <c r="JB52" s="18" t="n"/>
      <c r="JC52" s="18" t="n"/>
      <c r="JD52" s="18" t="n"/>
      <c r="JE52" s="18" t="n"/>
      <c r="JF52" s="18" t="n"/>
      <c r="JG52" s="18" t="n"/>
      <c r="JH52" s="18" t="n"/>
      <c r="JI52" s="18" t="n"/>
      <c r="JJ52" s="18" t="n"/>
      <c r="JK52" s="18" t="n"/>
      <c r="JL52" s="18" t="n"/>
      <c r="JM52" s="18" t="n"/>
      <c r="JN52" s="18" t="n"/>
      <c r="JO52" s="18" t="n"/>
      <c r="JP52" s="18" t="n"/>
      <c r="JQ52" s="18" t="n"/>
      <c r="JR52" s="18" t="n"/>
      <c r="JS52" s="18" t="n"/>
      <c r="JT52" s="18" t="n"/>
      <c r="JU52" s="18" t="n"/>
      <c r="JV52" s="18" t="n"/>
      <c r="JW52" s="18" t="n"/>
      <c r="JX52" s="18" t="n"/>
      <c r="JY52" s="18" t="n"/>
      <c r="JZ52" s="18" t="n"/>
      <c r="KA52" s="18" t="n"/>
      <c r="KB52" s="18" t="n"/>
      <c r="KC52" s="18" t="n"/>
      <c r="KD52" s="18" t="n"/>
      <c r="KE52" s="18" t="n"/>
      <c r="KF52" s="18" t="n"/>
      <c r="KG52" s="18" t="n"/>
      <c r="KH52" s="18" t="n"/>
      <c r="KI52" s="18" t="n"/>
      <c r="KJ52" s="18" t="n"/>
      <c r="KK52" s="18" t="n"/>
      <c r="KL52" s="18" t="n"/>
      <c r="KM52" s="18" t="n"/>
      <c r="KN52" s="18" t="n"/>
      <c r="KO52" s="18" t="n"/>
      <c r="KP52" s="18" t="n"/>
      <c r="KQ52" s="18" t="n"/>
      <c r="KR52" s="18" t="n"/>
      <c r="KS52" s="18" t="n"/>
      <c r="KT52" s="18" t="n"/>
      <c r="KU52" s="18" t="n"/>
      <c r="KV52" s="18" t="n"/>
      <c r="KW52" s="18" t="n"/>
      <c r="KX52" s="18" t="n"/>
      <c r="KY52" s="18" t="n"/>
      <c r="KZ52" s="18" t="n"/>
      <c r="LA52" s="18" t="n"/>
      <c r="LB52" s="18" t="n"/>
      <c r="LC52" s="18" t="n"/>
      <c r="LD52" s="18" t="n"/>
      <c r="LE52" s="18" t="n"/>
      <c r="LF52" s="18" t="n"/>
      <c r="LG52" s="18" t="n"/>
      <c r="LH52" s="18" t="n"/>
      <c r="LI52" s="18" t="n"/>
      <c r="LJ52" s="18" t="n"/>
      <c r="LK52" s="18" t="n"/>
      <c r="LL52" s="18" t="n"/>
      <c r="LM52" s="18" t="n"/>
      <c r="LN52" s="18" t="n"/>
      <c r="LO52" s="18" t="n"/>
      <c r="LP52" s="18" t="n"/>
      <c r="LQ52" s="18" t="n"/>
      <c r="LR52" s="18" t="n"/>
      <c r="LS52" s="18" t="n"/>
      <c r="LT52" s="18" t="n"/>
      <c r="LU52" s="18" t="n"/>
      <c r="LV52" s="18" t="n"/>
      <c r="LW52" s="18" t="n"/>
      <c r="LX52" s="18" t="n"/>
      <c r="LY52" s="18" t="n"/>
      <c r="LZ52" s="18" t="n"/>
      <c r="MA52" s="18" t="n"/>
      <c r="MB52" s="18" t="n"/>
      <c r="MC52" s="18" t="n"/>
      <c r="MD52" s="18" t="n"/>
      <c r="ME52" s="18" t="n"/>
      <c r="MF52" s="18" t="n"/>
      <c r="MG52" s="18" t="n"/>
      <c r="MH52" s="18" t="n"/>
      <c r="MI52" s="18" t="n"/>
      <c r="MJ52" s="18" t="n"/>
      <c r="MK52" s="18" t="n"/>
      <c r="ML52" s="18" t="n"/>
      <c r="MM52" s="18" t="n"/>
      <c r="MN52" s="18" t="n"/>
      <c r="MO52" s="18" t="n"/>
      <c r="MP52" s="18" t="n"/>
      <c r="MQ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64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8" t="n"/>
      <c r="DF53" s="18" t="n"/>
      <c r="DG53" s="18" t="n"/>
      <c r="DH53" s="18" t="n"/>
      <c r="DI53" s="18" t="n"/>
      <c r="DJ53" s="18" t="n"/>
      <c r="DK53" s="18" t="n"/>
      <c r="DL53" s="18" t="n"/>
      <c r="DM53" s="18" t="n"/>
      <c r="DN53" s="18" t="n"/>
      <c r="DO53" s="18" t="n"/>
      <c r="DP53" s="18" t="n"/>
      <c r="DQ53" s="18" t="n"/>
      <c r="DR53" s="18" t="n"/>
      <c r="DS53" s="18" t="n"/>
      <c r="DT53" s="18" t="n"/>
      <c r="DU53" s="18" t="n"/>
      <c r="DV53" s="18" t="n"/>
      <c r="DW53" s="18" t="n"/>
      <c r="DX53" s="18" t="n"/>
      <c r="DY53" s="18" t="n"/>
      <c r="DZ53" s="18" t="n"/>
      <c r="EA53" s="18" t="n"/>
      <c r="EB53" s="18" t="n"/>
      <c r="EC53" s="18" t="n"/>
      <c r="ED53" s="18" t="n"/>
      <c r="EE53" s="18" t="n"/>
      <c r="EF53" s="18" t="n"/>
      <c r="EG53" s="18" t="n"/>
      <c r="EH53" s="18" t="n"/>
      <c r="EI53" s="18" t="n"/>
      <c r="EJ53" s="18" t="n"/>
      <c r="EK53" s="18" t="n"/>
      <c r="EL53" s="18" t="n"/>
      <c r="EM53" s="18" t="n"/>
      <c r="EN53" s="18" t="n"/>
      <c r="EO53" s="18" t="n"/>
      <c r="EP53" s="18" t="n"/>
      <c r="EQ53" s="18" t="n"/>
      <c r="ER53" s="18" t="n"/>
      <c r="ES53" s="18" t="n"/>
      <c r="ET53" s="18" t="n"/>
      <c r="EU53" s="18" t="n"/>
      <c r="EV53" s="18" t="n"/>
      <c r="EW53" s="18" t="n"/>
      <c r="EX53" s="18" t="n"/>
      <c r="EY53" s="18" t="n"/>
      <c r="EZ53" s="18" t="n"/>
      <c r="FA53" s="18" t="n"/>
      <c r="FB53" s="18" t="n"/>
      <c r="FC53" s="18" t="n"/>
      <c r="FD53" s="18" t="n"/>
      <c r="FE53" s="18" t="n"/>
      <c r="FF53" s="18" t="n"/>
      <c r="FG53" s="18" t="n"/>
      <c r="FH53" s="18" t="n"/>
      <c r="FI53" s="18" t="n"/>
      <c r="FJ53" s="18" t="n"/>
      <c r="FK53" s="18" t="n"/>
      <c r="FL53" s="18" t="n"/>
      <c r="FM53" s="18" t="n"/>
      <c r="FN53" s="18" t="n"/>
      <c r="FO53" s="18" t="n"/>
      <c r="FP53" s="18" t="n"/>
      <c r="FQ53" s="18" t="n"/>
      <c r="FR53" s="18" t="n"/>
      <c r="FS53" s="18" t="n"/>
      <c r="FT53" s="18" t="n"/>
      <c r="FU53" s="18" t="n"/>
      <c r="FV53" s="18" t="n"/>
      <c r="FW53" s="18" t="n"/>
      <c r="FX53" s="18" t="n"/>
      <c r="FY53" s="18" t="n"/>
      <c r="FZ53" s="18" t="n"/>
      <c r="GA53" s="18" t="n"/>
      <c r="GB53" s="18" t="n"/>
      <c r="GC53" s="18" t="n"/>
      <c r="GD53" s="18" t="n"/>
      <c r="GE53" s="18" t="n"/>
      <c r="GF53" s="18" t="n"/>
      <c r="GG53" s="18" t="n"/>
      <c r="GH53" s="18" t="n"/>
      <c r="GI53" s="18" t="n"/>
      <c r="GJ53" s="18" t="n"/>
      <c r="GK53" s="18" t="n"/>
      <c r="GL53" s="18" t="n"/>
      <c r="GM53" s="18" t="n"/>
      <c r="GN53" s="18" t="n"/>
      <c r="GO53" s="18" t="n"/>
      <c r="GP53" s="18" t="n"/>
      <c r="GQ53" s="18" t="n"/>
      <c r="GR53" s="18" t="n"/>
      <c r="GS53" s="18" t="n"/>
      <c r="GT53" s="18" t="n"/>
      <c r="GU53" s="18" t="n"/>
      <c r="GV53" s="18" t="n"/>
      <c r="GW53" s="18" t="n"/>
      <c r="GX53" s="18" t="n"/>
      <c r="GY53" s="18" t="n"/>
      <c r="GZ53" s="18" t="n"/>
      <c r="HA53" s="18" t="n"/>
      <c r="HB53" s="18" t="n"/>
      <c r="HC53" s="18" t="n"/>
      <c r="HD53" s="18" t="n"/>
      <c r="HE53" s="18" t="n"/>
      <c r="HF53" s="18" t="n"/>
      <c r="HG53" s="18" t="n"/>
      <c r="HH53" s="18" t="n"/>
      <c r="HI53" s="18" t="n"/>
      <c r="HJ53" s="18" t="n"/>
      <c r="HK53" s="18" t="n"/>
      <c r="HL53" s="18" t="n"/>
      <c r="HM53" s="18" t="n"/>
      <c r="HN53" s="18" t="n"/>
      <c r="HO53" s="18" t="n"/>
      <c r="HP53" s="18" t="n"/>
      <c r="HQ53" s="18" t="n"/>
      <c r="HR53" s="18" t="n"/>
      <c r="HS53" s="18" t="n"/>
      <c r="HT53" s="18" t="n"/>
      <c r="HU53" s="18" t="n"/>
      <c r="HV53" s="18" t="n"/>
      <c r="HW53" s="18" t="n"/>
      <c r="HX53" s="18" t="n"/>
      <c r="HY53" s="18" t="n"/>
      <c r="HZ53" s="18" t="n"/>
      <c r="IA53" s="18" t="n"/>
      <c r="IB53" s="18" t="n"/>
      <c r="IC53" s="18" t="n"/>
      <c r="ID53" s="18" t="n"/>
      <c r="IE53" s="18" t="n"/>
      <c r="IF53" s="18" t="n"/>
      <c r="IG53" s="18" t="n"/>
      <c r="IH53" s="18" t="n"/>
      <c r="II53" s="18" t="n"/>
      <c r="IJ53" s="18" t="n"/>
      <c r="IK53" s="18" t="n"/>
      <c r="IL53" s="18" t="n"/>
      <c r="IM53" s="18" t="n"/>
      <c r="IN53" s="18" t="n"/>
      <c r="IO53" s="18" t="n"/>
      <c r="IP53" s="18" t="n"/>
      <c r="IQ53" s="18" t="n"/>
      <c r="IR53" s="18" t="n"/>
      <c r="IS53" s="18" t="n"/>
      <c r="IT53" s="18" t="n"/>
      <c r="IU53" s="18" t="n"/>
      <c r="IV53" s="18" t="n"/>
      <c r="IW53" s="18" t="n"/>
      <c r="IX53" s="18" t="n"/>
      <c r="IY53" s="18" t="n"/>
      <c r="IZ53" s="18" t="n"/>
      <c r="JA53" s="18" t="n"/>
      <c r="JB53" s="18" t="n"/>
      <c r="JC53" s="18" t="n"/>
      <c r="JD53" s="18" t="n"/>
      <c r="JE53" s="18" t="n"/>
      <c r="JF53" s="18" t="n"/>
      <c r="JG53" s="18" t="n"/>
      <c r="JH53" s="18" t="n"/>
      <c r="JI53" s="18" t="n"/>
      <c r="JJ53" s="18" t="n"/>
      <c r="JK53" s="18" t="n"/>
      <c r="JL53" s="18" t="n"/>
      <c r="JM53" s="18" t="n"/>
      <c r="JN53" s="18" t="n"/>
      <c r="JO53" s="18" t="n"/>
      <c r="JP53" s="18" t="n"/>
      <c r="JQ53" s="18" t="n"/>
      <c r="JR53" s="18" t="n"/>
      <c r="JS53" s="18" t="n"/>
      <c r="JT53" s="18" t="n"/>
      <c r="JU53" s="18" t="n"/>
      <c r="JV53" s="18" t="n"/>
      <c r="JW53" s="18" t="n"/>
      <c r="JX53" s="18" t="n"/>
      <c r="JY53" s="18" t="n"/>
      <c r="JZ53" s="18" t="n"/>
      <c r="KA53" s="18" t="n"/>
      <c r="KB53" s="18" t="n"/>
      <c r="KC53" s="18" t="n"/>
      <c r="KD53" s="18" t="n"/>
      <c r="KE53" s="18" t="n"/>
      <c r="KF53" s="18" t="n"/>
      <c r="KG53" s="18" t="n"/>
      <c r="KH53" s="18" t="n"/>
      <c r="KI53" s="18" t="n"/>
      <c r="KJ53" s="18" t="n"/>
      <c r="KK53" s="18" t="n"/>
      <c r="KL53" s="18" t="n"/>
      <c r="KM53" s="18" t="n"/>
      <c r="KN53" s="18" t="n"/>
      <c r="KO53" s="18" t="n"/>
      <c r="KP53" s="18" t="n"/>
      <c r="KQ53" s="18" t="n"/>
      <c r="KR53" s="18" t="n"/>
      <c r="KS53" s="18" t="n"/>
      <c r="KT53" s="18" t="n"/>
      <c r="KU53" s="18" t="n"/>
      <c r="KV53" s="18" t="n"/>
      <c r="KW53" s="18" t="n"/>
      <c r="KX53" s="18" t="n"/>
      <c r="KY53" s="18" t="n"/>
      <c r="KZ53" s="18" t="n"/>
      <c r="LA53" s="18" t="n"/>
      <c r="LB53" s="18" t="n"/>
      <c r="LC53" s="18" t="n"/>
      <c r="LD53" s="18" t="n"/>
      <c r="LE53" s="18" t="n"/>
      <c r="LF53" s="18" t="n"/>
      <c r="LG53" s="18" t="n"/>
      <c r="LH53" s="18" t="n"/>
      <c r="LI53" s="18" t="n"/>
      <c r="LJ53" s="18" t="n"/>
      <c r="LK53" s="18" t="n"/>
      <c r="LL53" s="18" t="n"/>
      <c r="LM53" s="18" t="n"/>
      <c r="LN53" s="18" t="n"/>
      <c r="LO53" s="18" t="n"/>
      <c r="LP53" s="18" t="n"/>
      <c r="LQ53" s="18" t="n"/>
      <c r="LR53" s="18" t="n"/>
      <c r="LS53" s="18" t="n"/>
      <c r="LT53" s="18" t="n"/>
      <c r="LU53" s="18" t="n"/>
      <c r="LV53" s="18" t="n"/>
      <c r="LW53" s="18" t="n"/>
      <c r="LX53" s="18" t="n"/>
      <c r="LY53" s="18" t="n"/>
      <c r="LZ53" s="18" t="n"/>
      <c r="MA53" s="18" t="n"/>
      <c r="MB53" s="18" t="n"/>
      <c r="MC53" s="18" t="n"/>
      <c r="MD53" s="18" t="n"/>
      <c r="ME53" s="18" t="n"/>
      <c r="MF53" s="18" t="n"/>
      <c r="MG53" s="18" t="n"/>
      <c r="MH53" s="18" t="n"/>
      <c r="MI53" s="18" t="n"/>
      <c r="MJ53" s="18" t="n"/>
      <c r="MK53" s="18" t="n"/>
      <c r="ML53" s="18" t="n"/>
      <c r="MM53" s="18" t="n"/>
      <c r="MN53" s="18" t="n"/>
      <c r="MO53" s="18" t="n"/>
      <c r="MP53" s="18" t="n"/>
      <c r="MQ53" s="18" t="n"/>
      <c r="MR53" s="18" t="n"/>
      <c r="MS53" s="18" t="n"/>
      <c r="MT53" s="18" t="n"/>
      <c r="MU53" s="18" t="n"/>
    </row>
  </sheetData>
  <printOptions horizontalCentered="1"/>
  <pageMargins left="0.7480314960629921" right="0.7480314960629921" top="0.984251968503937" bottom="0.984251968503937" header="0.5118110236220472" footer="0.5118110236220472"/>
  <pageSetup orientation="landscape" paperSize="8" scale="36" verticalDpi="0"/>
</worksheet>
</file>

<file path=xl/worksheets/sheet10.xml><?xml version="1.0" encoding="utf-8"?>
<worksheet xmlns="http://schemas.openxmlformats.org/spreadsheetml/2006/main">
  <sheetPr codeName="Sheet8">
    <tabColor rgb="FFFFFF00"/>
    <outlinePr summaryBelow="1" summaryRight="1"/>
    <pageSetUpPr/>
  </sheetPr>
  <dimension ref="A1:MU53"/>
  <sheetViews>
    <sheetView view="pageBreakPreview" zoomScale="55" zoomScaleNormal="40" zoomScaleSheetLayoutView="55" workbookViewId="0">
      <pane xSplit="4" ySplit="1" topLeftCell="E22" activePane="bottomRight" state="frozen"/>
      <selection pane="topRight" activeCell="A1" sqref="A1"/>
      <selection pane="bottomLeft" activeCell="A2" sqref="A2"/>
      <selection pane="bottomRight" activeCell="M35" sqref="M35"/>
    </sheetView>
  </sheetViews>
  <sheetFormatPr baseColWidth="8" defaultRowHeight="19.2"/>
  <cols>
    <col width="10" bestFit="1" customWidth="1" style="4" min="1" max="1"/>
    <col width="10" customWidth="1" style="88" min="2" max="2"/>
    <col width="18" bestFit="1" customWidth="1" style="4" min="3" max="3"/>
    <col width="12" bestFit="1" customWidth="1" style="4" min="4" max="4"/>
    <col width="10" customWidth="1" style="2" min="5" max="5"/>
    <col width="10" customWidth="1" style="88" min="6" max="6"/>
    <col width="30" customWidth="1" style="4" min="7" max="7"/>
    <col width="14" customWidth="1" style="4" min="8" max="9"/>
    <col width="38" customWidth="1" style="3" min="10" max="10"/>
    <col width="54" customWidth="1" style="3" min="11" max="11"/>
    <col width="30" customWidth="1" style="4" min="12" max="12"/>
    <col width="36" customWidth="1" style="3" min="13" max="13"/>
    <col width="24" customWidth="1" style="3" min="14" max="14"/>
    <col width="36" customWidth="1" style="3" min="15" max="15"/>
    <col width="24" customWidth="1" style="3" min="16" max="16"/>
    <col width="36" customWidth="1" style="3" min="17" max="17"/>
    <col width="24" customWidth="1" style="3" min="18" max="18"/>
    <col width="16" customWidth="1" style="88" min="19" max="19"/>
  </cols>
  <sheetData>
    <row r="1" ht="28.05" customHeight="1" s="88">
      <c r="A1" s="16" t="inlineStr">
        <is>
          <t>L2 코드</t>
        </is>
      </c>
      <c r="B1" s="16" t="inlineStr">
        <is>
          <t>L3 코드</t>
        </is>
      </c>
      <c r="C1" s="16" t="inlineStr">
        <is>
          <t>L3 대공종명</t>
        </is>
      </c>
      <c r="D1" s="16" t="inlineStr">
        <is>
          <t>L4 코드</t>
        </is>
      </c>
      <c r="E1" s="16" t="inlineStr">
        <is>
          <t>선행</t>
        </is>
      </c>
      <c r="F1" s="16" t="inlineStr">
        <is>
          <t>후행</t>
        </is>
      </c>
      <c r="G1" s="16" t="inlineStr">
        <is>
          <t>작업단위 (Level 4 Task/Activity)</t>
        </is>
      </c>
      <c r="H1" s="16" t="inlineStr">
        <is>
          <t>일정 (D-Day)</t>
        </is>
      </c>
      <c r="I1" s="16" t="inlineStr">
        <is>
          <t>주관</t>
        </is>
      </c>
      <c r="J1" s="16" t="inlineStr">
        <is>
          <t>목적</t>
        </is>
      </c>
      <c r="K1" s="16" t="inlineStr">
        <is>
          <t>방법</t>
        </is>
      </c>
      <c r="L1" s="16" t="inlineStr">
        <is>
          <t>산출물(결과)</t>
        </is>
      </c>
      <c r="M1" s="16" t="inlineStr">
        <is>
          <t>표준서 (Standard) 요약</t>
        </is>
      </c>
      <c r="N1" s="16" t="inlineStr">
        <is>
          <t>표준서 파일 (HTML)</t>
        </is>
      </c>
      <c r="O1" s="16" t="inlineStr">
        <is>
          <t>수행지침 (Guideline) 요약</t>
        </is>
      </c>
      <c r="P1" s="16" t="inlineStr">
        <is>
          <t>수행지침 파일 (HTML)</t>
        </is>
      </c>
      <c r="Q1" s="16" t="inlineStr">
        <is>
          <t>체크리스트 (Checklist) 요약</t>
        </is>
      </c>
      <c r="R1" s="16" t="inlineStr">
        <is>
          <t>체크리스트 파일 (HTML)</t>
        </is>
      </c>
      <c r="S1" s="16" t="inlineStr">
        <is>
          <t>비고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  <c r="DL1" s="18" t="n"/>
      <c r="DM1" s="18" t="n"/>
      <c r="DN1" s="18" t="n"/>
      <c r="DO1" s="18" t="n"/>
      <c r="DP1" s="18" t="n"/>
      <c r="DQ1" s="18" t="n"/>
      <c r="DR1" s="18" t="n"/>
      <c r="DS1" s="18" t="n"/>
      <c r="DT1" s="18" t="n"/>
      <c r="DU1" s="18" t="n"/>
      <c r="DV1" s="18" t="n"/>
      <c r="DW1" s="18" t="n"/>
      <c r="DX1" s="18" t="n"/>
      <c r="DY1" s="18" t="n"/>
      <c r="DZ1" s="18" t="n"/>
      <c r="EA1" s="18" t="n"/>
      <c r="EB1" s="18" t="n"/>
      <c r="EC1" s="18" t="n"/>
      <c r="ED1" s="18" t="n"/>
      <c r="EE1" s="18" t="n"/>
      <c r="EF1" s="18" t="n"/>
      <c r="EG1" s="18" t="n"/>
      <c r="EH1" s="18" t="n"/>
      <c r="EI1" s="18" t="n"/>
      <c r="EJ1" s="18" t="n"/>
      <c r="EK1" s="18" t="n"/>
      <c r="EL1" s="18" t="n"/>
      <c r="EM1" s="18" t="n"/>
      <c r="EN1" s="18" t="n"/>
      <c r="EO1" s="18" t="n"/>
      <c r="EP1" s="18" t="n"/>
      <c r="EQ1" s="18" t="n"/>
      <c r="ER1" s="18" t="n"/>
      <c r="ES1" s="18" t="n"/>
      <c r="ET1" s="18" t="n"/>
      <c r="EU1" s="18" t="n"/>
    </row>
    <row r="2" ht="52.05" customHeight="1" s="88">
      <c r="A2" s="19" t="inlineStr">
        <is>
          <t>9000</t>
        </is>
      </c>
      <c r="B2" s="19" t="inlineStr">
        <is>
          <t>9000-9</t>
        </is>
      </c>
      <c r="C2" s="19" t="inlineStr">
        <is>
          <t>통신분야</t>
        </is>
      </c>
      <c r="D2" s="19" t="inlineStr">
        <is>
          <t>9000-9-1</t>
        </is>
      </c>
      <c r="E2" s="95" t="inlineStr">
        <is>
          <t>-</t>
        </is>
      </c>
      <c r="F2" s="95" t="inlineStr">
        <is>
          <t>9000-9-2, 9000-9-3</t>
        </is>
      </c>
      <c r="G2" s="23" t="inlineStr">
        <is>
          <t>설계적정성 검토</t>
        </is>
      </c>
      <c r="H2" s="21" t="inlineStr">
        <is>
          <t>D-300
~240</t>
        </is>
      </c>
      <c r="I2" s="21" t="inlineStr">
        <is>
          <t>현장 공무팀</t>
        </is>
      </c>
      <c r="J2" s="24" t="inlineStr">
        <is>
          <t>설계적정성 및 시공성 검토</t>
        </is>
      </c>
      <c r="K2" s="49" t="inlineStr">
        <is>
          <t>- 입찰 요구사항에 대한 설계 반영여부 검토
- 설계도서 및 철도표준 자재 반영여부 확인
- 타 시스템과의 인터페이스 가능 여부, 용량, 성능요구 및 통신 트렌드를 고려한 통신 시스템 선정
- 설계단계에서 통신 음영지역이 있는지를 샘플링 시뮬레이션을 통해 확인하는지 체크 (민원방지 및 롤백 예방을 위한 방안 수립)
- 기지/역사/터널 배선 적정성 검토
- 현장설치 시공성 및 공기 Risk 검토
- 공정계획의 적정성 검토</t>
        </is>
      </c>
      <c r="L2" s="24" t="inlineStr">
        <is>
          <t>회의록, 설계검토 보고서</t>
        </is>
      </c>
      <c r="M2" s="24" t="inlineStr">
        <is>
          <t>1) 정보통신공사업법, KDS 47 철도설계기준 및 입찰안내서 특기시방 준수 여부 사전 검증
2) LTE-R 무선망, 8대 이종 통신시스템, 타공종 간섭 및 리스크 헷지·기회반영 설계변경 승인 표준 적용</t>
        </is>
      </c>
      <c r="N2" s="25">
        <f>HYPERLINK(LEFT(CELL("filename",A1),FIND("[",CELL("filename",A1))-1)&amp;"9.통신분야\1_설계적정성 검토\표준서\설계적정성 검토_표준서.html", "👉 [클릭] 표준서 열기 📄")</f>
        <v/>
      </c>
      <c r="O2" s="24" t="inlineStr">
        <is>
          <t>1) 설계적정성 검토: [도면↔수량산출서↔내역서] 삼각 교차대조, 법령/KDS 매핑 체크리스트 검증 및 통신계통 계산서 검토
2) 시공성 및 설계변경: 현장 지장물 실측 조사, 타공종 3D 간섭 조정, 공법/안전 검토 및 현장 전직원+본사 동시 검토 회의로 설계변경 수립</t>
        </is>
      </c>
      <c r="P2" s="26">
        <f>HYPERLINK(LEFT(CELL("filename",A1),FIND("[",CELL("filename",A1))-1)&amp;"9.통신분야\1_설계적정성 검토\수행지침\설계적정성 검토_수행지침.html", "👉 [클릭] 수행지침 열기 📄")</f>
        <v/>
      </c>
      <c r="Q2" s="24" t="inlineStr">
        <is>
          <t>1) 통신 관계 법령, KDS 47 00 00 철도설계기준, 입찰안내서 시방 준수 및 도면·수량·내역 교차 검증을 완료하였는가?
2) LTE-R 무선망, 타공종 3D 간섭조정, 8대 이종 통신시스템, 관제연동 적정성 검토 및 현장전직원+본사 동시 검토 승인을 완료하였는가?</t>
        </is>
      </c>
      <c r="R2" s="27">
        <f>HYPERLINK(LEFT(CELL("filename",A1),FIND("[",CELL("filename",A1))-1)&amp;"9.통신분야\1_설계적정성 검토\체크리스트\9000-2-1_설계적정성 검토_체크리스트.html", "👉 [클릭] 체크리스트 열기 📄")</f>
        <v/>
      </c>
      <c r="S2" s="21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  <c r="DY2" s="18" t="n"/>
      <c r="DZ2" s="18" t="n"/>
      <c r="EA2" s="18" t="n"/>
      <c r="EB2" s="18" t="n"/>
      <c r="EC2" s="18" t="n"/>
      <c r="ED2" s="18" t="n"/>
      <c r="EE2" s="18" t="n"/>
      <c r="EF2" s="18" t="n"/>
      <c r="EG2" s="18" t="n"/>
      <c r="EH2" s="18" t="n"/>
      <c r="EI2" s="18" t="n"/>
      <c r="EJ2" s="18" t="n"/>
      <c r="EK2" s="18" t="n"/>
      <c r="EL2" s="18" t="n"/>
      <c r="EM2" s="18" t="n"/>
      <c r="EN2" s="18" t="n"/>
      <c r="EO2" s="18" t="n"/>
      <c r="EP2" s="18" t="n"/>
      <c r="EQ2" s="18" t="n"/>
      <c r="ER2" s="18" t="n"/>
      <c r="ES2" s="18" t="n"/>
      <c r="ET2" s="18" t="n"/>
      <c r="EU2" s="18" t="n"/>
      <c r="EV2" s="18" t="n"/>
      <c r="EW2" s="18" t="n"/>
      <c r="EX2" s="18" t="n"/>
      <c r="EY2" s="18" t="n"/>
    </row>
    <row r="3" ht="52.05" customHeight="1" s="88">
      <c r="A3" s="29" t="inlineStr">
        <is>
          <t>9000</t>
        </is>
      </c>
      <c r="B3" s="29" t="inlineStr">
        <is>
          <t>9000-9</t>
        </is>
      </c>
      <c r="C3" s="29" t="inlineStr">
        <is>
          <t>통신분야</t>
        </is>
      </c>
      <c r="D3" s="29" t="inlineStr">
        <is>
          <t>9000-9-2</t>
        </is>
      </c>
      <c r="E3" s="102" t="inlineStr">
        <is>
          <t>9000-9-1</t>
        </is>
      </c>
      <c r="F3" s="102" t="inlineStr">
        <is>
          <t>9000-9-4, 9000-9-7</t>
        </is>
      </c>
      <c r="G3" s="32" t="inlineStr">
        <is>
          <t>착수전략 KOM</t>
        </is>
      </c>
      <c r="H3" s="33" t="inlineStr">
        <is>
          <t>D-240
~210</t>
        </is>
      </c>
      <c r="I3" s="33" t="inlineStr">
        <is>
          <t>현장소장</t>
        </is>
      </c>
      <c r="J3" s="34" t="inlineStr">
        <is>
          <t>통신설비 공사 발주 전략수립</t>
        </is>
      </c>
      <c r="K3" s="50" t="inlineStr">
        <is>
          <t>- 통신설계 설계 및 변동요인 검토
- 통신공사 공사 시공실적 업체Pool 검토
- 유사사례 영업운행 실적이 확보된 시스템적용
1) 공정계획 및 통신자재 제작 기간
2) 통신설비 구축 실적 보유 (철도, 도시철도, 경전철)
3) 예비품 및 소모품 포함
4) 시공전시 통신설비 운전 및 교육 지원 (비용 포함)
5) 예상내역상 누락 예비품 여부
6) 현장 자재보관 창고 임대 비용 포함
7) 공사용 전기, 물수, 청소 비용 포함
8) 가동 후 현장 기술지원 및 기술 전수 인력기간 및 비용 포함</t>
        </is>
      </c>
      <c r="L3" s="34" t="inlineStr">
        <is>
          <t>KOM 검토결과서, 현장설명서</t>
        </is>
      </c>
      <c r="M3" s="34" t="inlineStr">
        <is>
          <t>1) 통신공사 발주 착수 전 입찰조건, 적격 시공업체 Pool 분석 및 8대 현장조건 반영 발주전략 수립
2) 주요 통신 자재 납품 수급 계획 및 시공 적격성 평가를 반영한 발주전략 KOM 보고서 승인 표준 적용</t>
        </is>
      </c>
      <c r="N3" s="35">
        <f>HYPERLINK(LEFT(CELL("filename",A1),FIND("[",CELL("filename",A1))-1)&amp;"9.통신분야\2_착수전략 KOM\표준서\발주전략 KOM_표준서.html", "👉 [클릭] 표준서 열기 📄")</f>
        <v/>
      </c>
      <c r="O3" s="34" t="inlineStr">
        <is>
          <t>1) 발주조건 &amp; 공법 분석: 공사 범위, 자재 자급/사급 조건, 공기 타당성 및 타공종 인터페이스 선행 공종 분석
2) 전략 수립 및 승인: 리스크 헷지형 계약 조건 도출 및 현장소장/공무팀 주관 발주전략 KOM 보고서 확정</t>
        </is>
      </c>
      <c r="P3" s="36">
        <f>HYPERLINK(LEFT(CELL("filename",A1),FIND("[",CELL("filename",A1))-1)&amp;"9.통신분야\2_착수전략 KOM\수행지침\발주전략 KOM_수행지침.html", "👉 [클릭] 수행지침 열기 📄")</f>
        <v/>
      </c>
      <c r="Q3" s="34" t="inlineStr">
        <is>
          <t>1) 통신공사 발주 착수 전 입찰안내서 요구조건 및 현장여건 8대 특기사항을 발주 전략에 반영하였는가?
2) 주요 자재 납품 수급 계획 및 적격 시공업체 평가 기준을 마련하여 발주전략 KOM 승인을 완수하였는가?</t>
        </is>
      </c>
      <c r="R3" s="37">
        <f>HYPERLINK(LEFT(CELL("filename",A1),FIND("[",CELL("filename",A1))-1)&amp;"9.통신분야\2_착수전략 KOM\체크리스트\발주전략 KOM_체크리스트.html", "👉 [클릭] 체크리스트 열기 📄")</f>
        <v/>
      </c>
      <c r="S3" s="33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8" t="n"/>
      <c r="ER3" s="18" t="n"/>
      <c r="ES3" s="18" t="n"/>
      <c r="ET3" s="18" t="n"/>
      <c r="EU3" s="18" t="n"/>
      <c r="EV3" s="18" t="n"/>
      <c r="EW3" s="18" t="n"/>
      <c r="EX3" s="18" t="n"/>
      <c r="EY3" s="18" t="n"/>
      <c r="EZ3" s="18" t="n"/>
      <c r="FA3" s="18" t="n"/>
      <c r="FB3" s="18" t="n"/>
      <c r="FC3" s="18" t="n"/>
    </row>
    <row r="4" ht="52.05" customHeight="1" s="88">
      <c r="A4" s="19" t="inlineStr">
        <is>
          <t>9000</t>
        </is>
      </c>
      <c r="B4" s="19" t="inlineStr">
        <is>
          <t>9000-9</t>
        </is>
      </c>
      <c r="C4" s="19" t="inlineStr">
        <is>
          <t>통신분야</t>
        </is>
      </c>
      <c r="D4" s="19" t="inlineStr">
        <is>
          <t>9000-9-3</t>
        </is>
      </c>
      <c r="E4" s="95" t="inlineStr">
        <is>
          <t>9000-9-1</t>
        </is>
      </c>
      <c r="F4" s="95" t="inlineStr">
        <is>
          <t>9000-9-4, 9000-9-5</t>
        </is>
      </c>
      <c r="G4" s="23" t="inlineStr">
        <is>
          <t>토목 / 건축 인터페이스 협의</t>
        </is>
      </c>
      <c r="H4" s="21" t="inlineStr">
        <is>
          <t>D-210
~180</t>
        </is>
      </c>
      <c r="I4" s="21" t="inlineStr">
        <is>
          <t>현장 시스템팀</t>
        </is>
      </c>
      <c r="J4" s="24" t="inlineStr">
        <is>
          <t>통신설비 설치를 위한 요구사항 검토</t>
        </is>
      </c>
      <c r="K4" s="49" t="inlineStr">
        <is>
          <t>- 자재 반입전/공동구/케이블 인입구 등 확인, 기능실마감 및 출입문 상태</t>
        </is>
      </c>
      <c r="L4" s="24" t="inlineStr">
        <is>
          <t>인터페이스 회의록 및 관리대장</t>
        </is>
      </c>
      <c r="M4" s="24" t="inlineStr">
        <is>
          <t>1) 토목·건축 구조물 내 통신 관로, 케이블 트레이, 기계실 배치 및 인입 배관 인터페이스 사전 검토
2) 타공종 구조체 타설 전 통신 매립 배관 위치 검증 및 인터페이스 협의록 작성 표준 적용</t>
        </is>
      </c>
      <c r="N4" s="25">
        <f>HYPERLINK(LEFT(CELL("filename",A1),FIND("[",CELL("filename",A1))-1)&amp;"9.통신분야\3_토목 _ 건축 인터페이스 협의\표준서\토목 _ 건축 인터페이스 협의_표준서.html", "👉 [클릭] 표준서 열기 📄")</f>
        <v/>
      </c>
      <c r="O4" s="24" t="inlineStr">
        <is>
          <t>1) 구조체 간섭 검토: 토목·건축 도면 대조를 통한 통신 관로 굴곡율, 트레이 설치 경로 및 기계실 벽체 관통부 실측 조사
2) 협의 수행 및 승인: 타공종 구조체 콘크리트 타설 전 통신 배관 매립 위치 현장 확인 및 3D 간섭 조정 협의록 확정</t>
        </is>
      </c>
      <c r="P4" s="26">
        <f>HYPERLINK(LEFT(CELL("filename",A1),FIND("[",CELL("filename",A1))-1)&amp;"9.통신분야\3_토목 _ 건축 인터페이스 협의\수행지침\토목 _ 건축 인터페이스 협의_수행지침.html", "👉 [클릭] 수행지침 열기 📄")</f>
        <v/>
      </c>
      <c r="Q4" s="24" t="inlineStr">
        <is>
          <t>1) 시방 대조[도면 및 여건] 자재 반입 동선/공동구/케이블 인입구 등 확인, 기능실마감 및 출입문 확인 수칙을 사전 대조 확인하였는가?
2) 업체 Pool[적격 업체] 철도/트램 시공 및 영업운행 실적이 입증된 적격 업체 Pool을 검토하였는가?</t>
        </is>
      </c>
      <c r="R4" s="27">
        <f>HYPERLINK(LEFT(CELL("filename",A1),FIND("[",CELL("filename",A1))-1)&amp;"9.통신분야\3_토목 _ 건축 인터페이스 협의\체크리스트\9000-2-3_토목 _ 건축 인터페이스 협의_체크리스트.html", "👉 [클릭] 체크리스트 열기 📄")</f>
        <v/>
      </c>
      <c r="S4" s="21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  <c r="DY4" s="18" t="n"/>
      <c r="DZ4" s="18" t="n"/>
      <c r="EA4" s="18" t="n"/>
      <c r="EB4" s="18" t="n"/>
      <c r="EC4" s="18" t="n"/>
      <c r="ED4" s="18" t="n"/>
      <c r="EE4" s="18" t="n"/>
      <c r="EF4" s="18" t="n"/>
      <c r="EG4" s="18" t="n"/>
      <c r="EH4" s="18" t="n"/>
      <c r="EI4" s="18" t="n"/>
      <c r="EJ4" s="18" t="n"/>
      <c r="EK4" s="18" t="n"/>
      <c r="EL4" s="18" t="n"/>
      <c r="EM4" s="18" t="n"/>
      <c r="EN4" s="18" t="n"/>
      <c r="EO4" s="18" t="n"/>
      <c r="EP4" s="18" t="n"/>
      <c r="EQ4" s="18" t="n"/>
      <c r="ER4" s="18" t="n"/>
      <c r="ES4" s="18" t="n"/>
      <c r="ET4" s="18" t="n"/>
      <c r="EU4" s="18" t="n"/>
      <c r="EV4" s="18" t="n"/>
      <c r="EW4" s="18" t="n"/>
      <c r="EX4" s="18" t="n"/>
      <c r="EY4" s="18" t="n"/>
      <c r="EZ4" s="18" t="n"/>
      <c r="FA4" s="18" t="n"/>
      <c r="FB4" s="18" t="n"/>
      <c r="FC4" s="18" t="n"/>
      <c r="FD4" s="18" t="n"/>
      <c r="FE4" s="18" t="n"/>
      <c r="FF4" s="18" t="n"/>
      <c r="FG4" s="18" t="n"/>
    </row>
    <row r="5" ht="52.05" customHeight="1" s="88">
      <c r="A5" s="29" t="inlineStr">
        <is>
          <t>9000</t>
        </is>
      </c>
      <c r="B5" s="29" t="inlineStr">
        <is>
          <t>9000-9</t>
        </is>
      </c>
      <c r="C5" s="29" t="inlineStr">
        <is>
          <t>통신분야</t>
        </is>
      </c>
      <c r="D5" s="29" t="inlineStr">
        <is>
          <t>9000-9-4</t>
        </is>
      </c>
      <c r="E5" s="102" t="inlineStr">
        <is>
          <t>9000-9-2, 9000-9-3</t>
        </is>
      </c>
      <c r="F5" s="102" t="inlineStr">
        <is>
          <t>9000-9-5, 9000-9-6</t>
        </is>
      </c>
      <c r="G5" s="32" t="inlineStr">
        <is>
          <t>전기 / 신호 / 기계 / PSD / 차량 인터페이스 협의</t>
        </is>
      </c>
      <c r="H5" s="33" t="inlineStr">
        <is>
          <t>D-180
(D-200~180)</t>
        </is>
      </c>
      <c r="I5" s="33" t="inlineStr">
        <is>
          <t>현장 시스템팀 / 통신 협력업체</t>
        </is>
      </c>
      <c r="J5" s="34" t="inlineStr">
        <is>
          <t>연계분야간 사전조율 및 인터페이스 사항 조율로 재작업 예방</t>
        </is>
      </c>
      <c r="K5" s="50" t="inlineStr">
        <is>
          <t>- 연계분야별 조율 및 협의사항 도출
1) 전기: 소요전력 외
2) 신호: 공동관로 포설계획 외
3) 차량: 차량 통신장치-차량간 연계
4) 전기, 신호, 기계, PSD와 통신망 계통 조율
- 일정, 분야별 필요 통신회선 수/종류, 기계실 케이블 및 세부 작업 범위</t>
        </is>
      </c>
      <c r="L5" s="34" t="inlineStr">
        <is>
          <t>인터페이스 회의록 및 관리대장</t>
        </is>
      </c>
      <c r="M5" s="34" t="inlineStr">
        <is>
          <t>1) 전기, 신호, PSD, 차량, 관제 등 이종 시스템 간 전원, 신호선 및 데이터 통신 인터페이스 통합 검토
2) 타공종 간 전자기 적합성(EMC/EMI), 전력 케이블 유도장해 차폐 및 서지 보호 표준 적용</t>
        </is>
      </c>
      <c r="N5" s="35">
        <f>HYPERLINK(LEFT(CELL("filename",A1),FIND("[",CELL("filename",A1))-1)&amp;"9.통신분야\4_전기 _ 신호 _ 기계 _ PSD _ 차량 인터페이스 협의\표준서\전기 _ 신호 _ 기계 _ PSD _ 차량 인터페이스 협의_표준서.html", "👉 [클릭] 표준서 열기 📄")</f>
        <v/>
      </c>
      <c r="O5" s="34" t="inlineStr">
        <is>
          <t>1) 설비 간 인터페이스 기술 검토: 전전류/고전압 케이블 유도장해 이격거리(≥30cm) 및 타공종 신호선 서지 보호 검토
2) 3D/BIM 간섭조정 및 승인: 이종 시스템 간 인터페이스 핀 맵, 데이터 포맷 교차 검증 및 시스템 합동 인터페이스 협의록 작성</t>
        </is>
      </c>
      <c r="P5" s="36">
        <f>HYPERLINK(LEFT(CELL("filename",A1),FIND("[",CELL("filename",A1))-1)&amp;"9.통신분야\4_전기 _ 신호 _ 기계 _ PSD _ 차량 인터페이스 협의\수행지침\전기 _ 신호 _ 기계 _ PSD _ 차량 인터페이스 협의_수행지침.html", "👉 [클릭] 수행지침 열기 📄")</f>
        <v/>
      </c>
      <c r="Q5" s="34" t="inlineStr">
        <is>
          <t>1) 96Core 광망[통합 포설] 통신(48C)+전기(2C)+신호(12C)를 OF-SM-96Core×2조 통합 포설로 확정하였는가?
2) KEC 점유율[KEC 33%] 전선관 내부 단면적 점유율 33% 이하 및 ELP ø150mm×6개×2조 배관을 확인하였는가?</t>
        </is>
      </c>
      <c r="R5" s="37">
        <f>HYPERLINK(LEFT(CELL("filename",A1),FIND("[",CELL("filename",A1))-1)&amp;"9.통신분야\4_전기 _ 신호 _ 기계 _ PSD _ 차량 인터페이스 협의\체크리스트\9000-2-4_전기 _ 신호 _ 기계 _ PSD _ 차량 인터페이스 협의_체크리스트.html", "👉 [클릭] 체크리스트 열기 📄")</f>
        <v/>
      </c>
      <c r="S5" s="33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  <c r="EB5" s="18" t="n"/>
      <c r="EC5" s="18" t="n"/>
      <c r="ED5" s="18" t="n"/>
      <c r="EE5" s="18" t="n"/>
      <c r="EF5" s="18" t="n"/>
      <c r="EG5" s="18" t="n"/>
      <c r="EH5" s="18" t="n"/>
      <c r="EI5" s="18" t="n"/>
      <c r="EJ5" s="18" t="n"/>
      <c r="EK5" s="18" t="n"/>
      <c r="EL5" s="18" t="n"/>
      <c r="EM5" s="18" t="n"/>
      <c r="EN5" s="18" t="n"/>
      <c r="EO5" s="18" t="n"/>
      <c r="EP5" s="18" t="n"/>
      <c r="EQ5" s="18" t="n"/>
      <c r="ER5" s="18" t="n"/>
      <c r="ES5" s="18" t="n"/>
      <c r="ET5" s="18" t="n"/>
      <c r="EU5" s="18" t="n"/>
      <c r="EV5" s="18" t="n"/>
      <c r="EW5" s="18" t="n"/>
      <c r="EX5" s="18" t="n"/>
      <c r="EY5" s="18" t="n"/>
      <c r="EZ5" s="18" t="n"/>
      <c r="FA5" s="18" t="n"/>
      <c r="FB5" s="18" t="n"/>
      <c r="FC5" s="18" t="n"/>
      <c r="FD5" s="18" t="n"/>
      <c r="FE5" s="18" t="n"/>
      <c r="FF5" s="18" t="n"/>
      <c r="FG5" s="18" t="n"/>
      <c r="FH5" s="18" t="n"/>
      <c r="FI5" s="18" t="n"/>
      <c r="FJ5" s="18" t="n"/>
      <c r="FK5" s="18" t="n"/>
    </row>
    <row r="6" ht="52.05" customHeight="1" s="88">
      <c r="A6" s="19" t="inlineStr">
        <is>
          <t>9000</t>
        </is>
      </c>
      <c r="B6" s="19" t="inlineStr">
        <is>
          <t>9000-9</t>
        </is>
      </c>
      <c r="C6" s="19" t="inlineStr">
        <is>
          <t>통신분야</t>
        </is>
      </c>
      <c r="D6" s="19" t="inlineStr">
        <is>
          <t>9000-9-5</t>
        </is>
      </c>
      <c r="E6" s="95" t="inlineStr">
        <is>
          <t>9000-9-3, 9000-9-4</t>
        </is>
      </c>
      <c r="F6" s="95" t="inlineStr">
        <is>
          <t>9000-9-6, 9000-9-8</t>
        </is>
      </c>
      <c r="G6" s="23" t="inlineStr">
        <is>
          <t>통신설비 제작사 인터페이스 협의</t>
        </is>
      </c>
      <c r="H6" s="21" t="inlineStr">
        <is>
          <t>D-180
(D-200~180)</t>
        </is>
      </c>
      <c r="I6" s="21" t="inlineStr">
        <is>
          <t>현장 시스템팀</t>
        </is>
      </c>
      <c r="J6" s="24" t="inlineStr">
        <is>
          <t>통신설비간 연동방안 검토</t>
        </is>
      </c>
      <c r="K6" s="49" t="inlineStr">
        <is>
          <t>- 내부 인터페이스 및 인허가사항 확인, 보안성검토 요청서</t>
        </is>
      </c>
      <c r="L6" s="24" t="inlineStr">
        <is>
          <t>인터페이스 회의록 및 관리대장</t>
        </is>
      </c>
      <c r="M6" s="24" t="inlineStr">
        <is>
          <t>1) 통신 주요 설비(LTE-R, 방송, CCTV, 역무, 관제 등) 제작사 간 프로토콜, 연동 규격 및 인터페이스 검토
2) 제작사 간 데이터 입출력 포맷 및 연동 케이블 사양서 확정 협의록 승인 표준 적용</t>
        </is>
      </c>
      <c r="N6" s="25">
        <f>HYPERLINK(LEFT(CELL("filename",A1),FIND("[",CELL("filename",A1))-1)&amp;"9.통신분야\5_통신설비 제작사 인터페이스 협의\표준서\통신설비 제작사 인터페이스 협의_표준서.html", "👉 [클릭] 표준서 열기 📄")</f>
        <v/>
      </c>
      <c r="O6" s="24" t="inlineStr">
        <is>
          <t>1) 프로토콜 &amp; 연동 검토: 제작사 간 데이터 입출력 규격, 네트워크 프로토콜(TCP/IP, RS-485 등) 및 랙 치수 대조
2) 연동 시험 수칙 수립: 제작사 간 신호 연동 핀 배열 확정 및 상호 연동 인터페이스 사양서 감리 승인 절차 수행</t>
        </is>
      </c>
      <c r="P6" s="26">
        <f>HYPERLINK(LEFT(CELL("filename",A1),FIND("[",CELL("filename",A1))-1)&amp;"9.통신분야\5_통신설비 제작사 인터페이스 협의\수행지침\통신설비 제작사 인터페이스 협의_수행지침.html", "👉 [클릭] 수행지침 열기 📄")</f>
        <v/>
      </c>
      <c r="Q6" s="24" t="inlineStr">
        <is>
          <t>1) 핀 구멍 대조[연결선 대조] A회사와 B회사 장비 연결선 핀(Pin) 구멍 위치가 똑맞는지 1:1 도면으로 대조하였는가?
2) 전원 잭 확인[코드 잭 준비] 각 장비에 220V 코드를 꽂을지 48V 전기를 줄지 전원 잭을 사전에 확인하였는가?</t>
        </is>
      </c>
      <c r="R6" s="27">
        <f>HYPERLINK(LEFT(CELL("filename",A1),FIND("[",CELL("filename",A1))-1)&amp;"9.통신분야\5_통신설비 제작사 인터페이스 협의\체크리스트\9000-2-5_통신설비 제작사 인터페이스 협의_체크리스트.html", "👉 [클릭] 체크리스트 열기 📄")</f>
        <v/>
      </c>
      <c r="S6" s="21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  <c r="DY6" s="18" t="n"/>
      <c r="DZ6" s="18" t="n"/>
      <c r="EA6" s="18" t="n"/>
      <c r="EB6" s="18" t="n"/>
      <c r="EC6" s="18" t="n"/>
      <c r="ED6" s="18" t="n"/>
      <c r="EE6" s="18" t="n"/>
      <c r="EF6" s="18" t="n"/>
      <c r="EG6" s="18" t="n"/>
      <c r="EH6" s="18" t="n"/>
      <c r="EI6" s="18" t="n"/>
      <c r="EJ6" s="18" t="n"/>
      <c r="EK6" s="18" t="n"/>
      <c r="EL6" s="18" t="n"/>
      <c r="EM6" s="18" t="n"/>
      <c r="EN6" s="18" t="n"/>
      <c r="EO6" s="18" t="n"/>
      <c r="EP6" s="18" t="n"/>
      <c r="EQ6" s="18" t="n"/>
      <c r="ER6" s="18" t="n"/>
      <c r="ES6" s="18" t="n"/>
      <c r="ET6" s="18" t="n"/>
      <c r="EU6" s="18" t="n"/>
      <c r="EV6" s="18" t="n"/>
      <c r="EW6" s="18" t="n"/>
      <c r="EX6" s="18" t="n"/>
      <c r="EY6" s="18" t="n"/>
      <c r="EZ6" s="18" t="n"/>
      <c r="FA6" s="18" t="n"/>
      <c r="FB6" s="18" t="n"/>
      <c r="FC6" s="18" t="n"/>
      <c r="FD6" s="18" t="n"/>
      <c r="FE6" s="18" t="n"/>
      <c r="FF6" s="18" t="n"/>
      <c r="FG6" s="18" t="n"/>
      <c r="FH6" s="18" t="n"/>
      <c r="FI6" s="18" t="n"/>
      <c r="FJ6" s="18" t="n"/>
      <c r="FK6" s="18" t="n"/>
      <c r="FL6" s="18" t="n"/>
      <c r="FM6" s="18" t="n"/>
      <c r="FN6" s="18" t="n"/>
      <c r="FO6" s="18" t="n"/>
    </row>
    <row r="7" ht="52.05" customHeight="1" s="88">
      <c r="A7" s="29" t="inlineStr">
        <is>
          <t>9000</t>
        </is>
      </c>
      <c r="B7" s="29" t="inlineStr">
        <is>
          <t>9000-9</t>
        </is>
      </c>
      <c r="C7" s="29" t="inlineStr">
        <is>
          <t>통신분야</t>
        </is>
      </c>
      <c r="D7" s="29" t="inlineStr">
        <is>
          <t>9000-9-6</t>
        </is>
      </c>
      <c r="E7" s="102" t="inlineStr">
        <is>
          <t>9000-9-4, 9000-9-5</t>
        </is>
      </c>
      <c r="F7" s="102" t="inlineStr">
        <is>
          <t>9000-9-7, 9000-9-9</t>
        </is>
      </c>
      <c r="G7" s="32" t="inlineStr">
        <is>
          <t>관제 및 운영사 인터페이스 협의</t>
        </is>
      </c>
      <c r="H7" s="33" t="inlineStr">
        <is>
          <t>D-180
(D-200~180)</t>
        </is>
      </c>
      <c r="I7" s="33" t="inlineStr">
        <is>
          <t>현장 시스템팀 / 통신 협력업체</t>
        </is>
      </c>
      <c r="J7" s="34" t="inlineStr">
        <is>
          <t>관제 및 운영사 요구사항 사전 반영 및 시공범위 최적화</t>
        </is>
      </c>
      <c r="K7" s="50" t="inlineStr">
        <is>
          <t>- 시운전 조율사항 및 시운전시 정보 항목도출
- 철도 교통관제(구로/대전)와 연동할 수 있는 무선기능추가(관제/유지보수자 등), 실시간 사진 확인의 편리성 향상을 위한 기능 추가(CCTV카메라 등)
- 합동운영자, 운영사 인터페이스 협의</t>
        </is>
      </c>
      <c r="L7" s="34" t="inlineStr">
        <is>
          <t>인터페이스 회의록 및 관리대장</t>
        </is>
      </c>
      <c r="M7" s="34" t="inlineStr">
        <is>
          <t>1) 종합관제센터 및 철도운영사 요구조건 반영 관제 화면, 통신 프로토콜 및 비상 제어 인터페이스 검토
2) 관제 서버, 네트워크 스위치 및 운영사 통합 수선 체계 부합성 확인 승인 표준 적용</t>
        </is>
      </c>
      <c r="N7" s="35">
        <f>HYPERLINK(LEFT(CELL("filename",A1),FIND("[",CELL("filename",A1))-1)&amp;"9.통신분야\6_관제 및 운영사 인터페이스 협의\표준서\관제 및 운영사 인터페이스 협의_표준서.html", "👉 [클릭] 표준서 열기 📄")</f>
        <v/>
      </c>
      <c r="O7" s="34" t="inlineStr">
        <is>
          <t>1) 관제 연동 요구조건 검토: 종합관제 MMI 화면 구성, 비상 통화 프로토콜 및 운영사 통합 수선 요구사항 반영 조사
2) 관제 인터페이스 승인: 관제 서버-현장 장치 간 제어 데이터 송수신 시험 절차 수립 및 운영사 합동 검토서 확정</t>
        </is>
      </c>
      <c r="P7" s="36">
        <f>HYPERLINK(LEFT(CELL("filename",A1),FIND("[",CELL("filename",A1))-1)&amp;"9.통신분야\6_관제 및 운영사 인터페이스 협의\수행지침\관제 및 운영사 인터페이스 협의_수행지침.html", "👉 [클릭] 수행지침 열기 📄")</f>
        <v/>
      </c>
      <c r="Q7" s="34" t="inlineStr">
        <is>
          <t>1) OCC 화면배치[화면 맞추기] 동탄 종합관제실(OCC) 모니터에 트램 운행 상황이 한눈에 들어오도록 화면을 배치하였는가?
2) 4K CCTV 65개[명당 자리] 교차로 4K CCTV 카메라 65개소가 사각지대 없이 보이도록 명당 자리를 배치하였는가?</t>
        </is>
      </c>
      <c r="R7" s="37">
        <f>HYPERLINK(LEFT(CELL("filename",A1),FIND("[",CELL("filename",A1))-1)&amp;"9.통신분야\6_관제 및 운영사 인터페이스 협의\체크리스트\9000-2-6_관제 및 운영사 인터페이스 협의_체크리스트.html", "👉 [클릭] 체크리스트 열기 📄")</f>
        <v/>
      </c>
      <c r="S7" s="33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8" t="n"/>
      <c r="EB7" s="18" t="n"/>
      <c r="EC7" s="18" t="n"/>
      <c r="ED7" s="18" t="n"/>
      <c r="EE7" s="18" t="n"/>
      <c r="EF7" s="18" t="n"/>
      <c r="EG7" s="18" t="n"/>
      <c r="EH7" s="18" t="n"/>
      <c r="EI7" s="18" t="n"/>
      <c r="EJ7" s="18" t="n"/>
      <c r="EK7" s="18" t="n"/>
      <c r="EL7" s="18" t="n"/>
      <c r="EM7" s="18" t="n"/>
      <c r="EN7" s="18" t="n"/>
      <c r="EO7" s="18" t="n"/>
      <c r="EP7" s="18" t="n"/>
      <c r="EQ7" s="18" t="n"/>
      <c r="ER7" s="18" t="n"/>
      <c r="ES7" s="18" t="n"/>
      <c r="ET7" s="18" t="n"/>
      <c r="EU7" s="18" t="n"/>
      <c r="EV7" s="18" t="n"/>
      <c r="EW7" s="18" t="n"/>
      <c r="EX7" s="18" t="n"/>
      <c r="EY7" s="18" t="n"/>
      <c r="EZ7" s="18" t="n"/>
      <c r="FA7" s="18" t="n"/>
      <c r="FB7" s="18" t="n"/>
      <c r="FC7" s="18" t="n"/>
      <c r="FD7" s="18" t="n"/>
      <c r="FE7" s="18" t="n"/>
      <c r="FF7" s="18" t="n"/>
      <c r="FG7" s="18" t="n"/>
      <c r="FH7" s="18" t="n"/>
      <c r="FI7" s="18" t="n"/>
      <c r="FJ7" s="18" t="n"/>
      <c r="FK7" s="18" t="n"/>
      <c r="FL7" s="18" t="n"/>
      <c r="FM7" s="18" t="n"/>
      <c r="FN7" s="18" t="n"/>
      <c r="FO7" s="18" t="n"/>
      <c r="FP7" s="18" t="n"/>
      <c r="FQ7" s="18" t="n"/>
      <c r="FR7" s="18" t="n"/>
      <c r="FS7" s="18" t="n"/>
    </row>
    <row r="8" ht="52.05" customHeight="1" s="88">
      <c r="A8" s="19" t="inlineStr">
        <is>
          <t>9000</t>
        </is>
      </c>
      <c r="B8" s="19" t="inlineStr">
        <is>
          <t>9000-9</t>
        </is>
      </c>
      <c r="C8" s="19" t="inlineStr">
        <is>
          <t>통신분야</t>
        </is>
      </c>
      <c r="D8" s="19" t="inlineStr">
        <is>
          <t>9000-9-7</t>
        </is>
      </c>
      <c r="E8" s="95" t="inlineStr">
        <is>
          <t>9000-9-2, 9000-9-6</t>
        </is>
      </c>
      <c r="F8" s="95" t="inlineStr">
        <is>
          <t>9000-9-8, 9000-9-10</t>
        </is>
      </c>
      <c r="G8" s="23" t="inlineStr">
        <is>
          <t>발주처 품질 요구사항 검토</t>
        </is>
      </c>
      <c r="H8" s="21" t="inlineStr">
        <is>
          <t>D-180
(D-200~180)</t>
        </is>
      </c>
      <c r="I8" s="21" t="inlineStr">
        <is>
          <t>현장 시스템팀</t>
        </is>
      </c>
      <c r="J8" s="24" t="inlineStr">
        <is>
          <t>발주처 품질관리 기준/검사방안 확인</t>
        </is>
      </c>
      <c r="K8" s="24" t="inlineStr">
        <is>
          <t>- 감리/감독과 품질검사(ITP/ITC) 항목 검토</t>
        </is>
      </c>
      <c r="L8" s="24" t="inlineStr">
        <is>
          <t>ITP/ITC</t>
        </is>
      </c>
      <c r="M8" s="24" t="inlineStr">
        <is>
          <t>1) 발주처 입찰안내서 및 시방서 상의 통신 품질 시험 기준, 자재 승인 및 시험성적서 요구조건 검토
2) 품질시험계획서 수립 및 발주처 승인 품질 기준 준수서 작성 표준 적용</t>
        </is>
      </c>
      <c r="N8" s="25">
        <f>HYPERLINK(LEFT(CELL("filename",A1),FIND("[",CELL("filename",A1))-1)&amp;"9.통신분야\7_발주처 품질 요구사항 검토\표준서\발주처 품질 요구사항 검토_표준서.html", "👉 [클릭] 표준서 열기 📄")</f>
        <v/>
      </c>
      <c r="O8" s="24" t="inlineStr">
        <is>
          <t>1) 품질 기준 실측 수칙: 발주처 특기시방서 상의 품질 시험 항목, 샘플링 검사 비율 및 KS 규격 부합 여부 파악
2) 품질 관리 수립: 현장 품질시험계획서 수립, 불합격 자재 반출 절차 확립 및 발주처 승인 품질 수칙 이행</t>
        </is>
      </c>
      <c r="P8" s="26">
        <f>HYPERLINK(LEFT(CELL("filename",A1),FIND("[",CELL("filename",A1))-1)&amp;"9.통신분야\7_발주처 품질 요구사항 검토\수행지침\발주처 품질 요구사항 검토_수행지침.html", "👉 [클릭] 수행지침 열기 📄")</f>
        <v/>
      </c>
      <c r="Q8" s="24" t="inlineStr">
        <is>
          <t>1) [품질 계획] 발주처 품질검사 계획서(ITP)와 공사시방서의 품질 기준을 사전 정밀 대조하였는가?
2) [Hold Point] 감리원 현장 직접 입회 검측 항목(Hold Point)을 사전 분류 지정하였는가?</t>
        </is>
      </c>
      <c r="R8" s="27">
        <f>HYPERLINK(LEFT(CELL("filename",A1),FIND("[",CELL("filename",A1))-1)&amp;"9.통신분야\7_발주처 품질 요구사항 검토\체크리스트\9000-2-7_발주처 품질 요구사항 검토_체크리스트.html", "👉 [클릭] 체크리스트 열기 📄")</f>
        <v/>
      </c>
      <c r="S8" s="21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8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  <c r="EN8" s="18" t="n"/>
      <c r="EO8" s="18" t="n"/>
      <c r="EP8" s="18" t="n"/>
      <c r="EQ8" s="18" t="n"/>
      <c r="ER8" s="18" t="n"/>
      <c r="ES8" s="18" t="n"/>
      <c r="ET8" s="18" t="n"/>
      <c r="EU8" s="18" t="n"/>
      <c r="EV8" s="18" t="n"/>
      <c r="EW8" s="18" t="n"/>
      <c r="EX8" s="18" t="n"/>
      <c r="EY8" s="18" t="n"/>
      <c r="EZ8" s="18" t="n"/>
      <c r="FA8" s="18" t="n"/>
      <c r="FB8" s="18" t="n"/>
      <c r="FC8" s="18" t="n"/>
      <c r="FD8" s="18" t="n"/>
      <c r="FE8" s="18" t="n"/>
      <c r="FF8" s="18" t="n"/>
      <c r="FG8" s="18" t="n"/>
      <c r="FH8" s="18" t="n"/>
      <c r="FI8" s="18" t="n"/>
      <c r="FJ8" s="18" t="n"/>
      <c r="FK8" s="18" t="n"/>
      <c r="FL8" s="18" t="n"/>
      <c r="FM8" s="18" t="n"/>
      <c r="FN8" s="18" t="n"/>
      <c r="FO8" s="18" t="n"/>
      <c r="FP8" s="18" t="n"/>
      <c r="FQ8" s="18" t="n"/>
      <c r="FR8" s="18" t="n"/>
      <c r="FS8" s="18" t="n"/>
      <c r="FT8" s="18" t="n"/>
      <c r="FU8" s="18" t="n"/>
      <c r="FV8" s="18" t="n"/>
      <c r="FW8" s="18" t="n"/>
    </row>
    <row r="9" ht="52.05" customHeight="1" s="88">
      <c r="A9" s="29" t="inlineStr">
        <is>
          <t>9000</t>
        </is>
      </c>
      <c r="B9" s="29" t="inlineStr">
        <is>
          <t>9000-9</t>
        </is>
      </c>
      <c r="C9" s="29" t="inlineStr">
        <is>
          <t>통신분야</t>
        </is>
      </c>
      <c r="D9" s="29" t="inlineStr">
        <is>
          <t>9000-9-8</t>
        </is>
      </c>
      <c r="E9" s="102" t="inlineStr">
        <is>
          <t>9000-9-5, 9000-9-7</t>
        </is>
      </c>
      <c r="F9" s="102" t="inlineStr">
        <is>
          <t>9000-9-11, 9000-9-12</t>
        </is>
      </c>
      <c r="G9" s="32" t="inlineStr">
        <is>
          <t>자재 / 인원 / 장비 등 투입 사전 검토</t>
        </is>
      </c>
      <c r="H9" s="33" t="inlineStr">
        <is>
          <t>D-180
(D-200~180)</t>
        </is>
      </c>
      <c r="I9" s="33" t="inlineStr">
        <is>
          <t>현장 시스템팀 / 협력업체 / 관리</t>
        </is>
      </c>
      <c r="J9" s="34" t="inlineStr">
        <is>
          <t>자재 / 인원 / 장비 투입 계획 수립</t>
        </is>
      </c>
      <c r="K9" s="50" t="inlineStr">
        <is>
          <t>- 현장 여건 및 수량을 기준으로 투입(인원, 장비, 자재) 검토</t>
        </is>
      </c>
      <c r="L9" s="34" t="inlineStr">
        <is>
          <t>세부 공정계획 수립 및 조율</t>
        </is>
      </c>
      <c r="M9" s="34" t="inlineStr">
        <is>
          <t>1) 통신 공사 착수 전 전문 인력 기술자격, 자재 투입 일정 및 전용 시험장비/공구 사전 검토
2) 예정공정표 대비 인원·장비 투입 수급 타당성 및 안전 수칙 준수 검토 승인 표준 적용</t>
        </is>
      </c>
      <c r="N9" s="35">
        <f>HYPERLINK(LEFT(CELL("filename",A1),FIND("[",CELL("filename",A1))-1)&amp;"9.통신분야\8_자재 _ 인원 _ 장비 등 투입 사전 검토\표준서\자재 인력 장비 등 투입 사전 검토_표준서.html", "👉 [클릭] 표준서 열기 📄")</f>
        <v/>
      </c>
      <c r="O9" s="34" t="inlineStr">
        <is>
          <t>1) 투입 자원 타당성 분석: 통신 고급/중급 기술자 자격 검증, 광접속기/OTDR 시험장비 보유 상태 및 자재 수급 계획 검토
2) 공정 수급 승인: 예정공정표 대비 적정 투입 인원 산출, 작업 안전 구역 확보 및 현장소장 투입 승인 절차 수행</t>
        </is>
      </c>
      <c r="P9" s="36">
        <f>HYPERLINK(LEFT(CELL("filename",A1),FIND("[",CELL("filename",A1))-1)&amp;"9.통신분야\8_자재 _ 인원 _ 장비 등 투입 사전 검토\수행지침\자재 인력 장비 등 투입 사전 검토_수행지침.html", "👉 [클릭] 수행지침 열기 📄")</f>
        <v/>
      </c>
      <c r="Q9" s="34" t="inlineStr">
        <is>
          <t>1) [자원 계획] 공정별 통신 인력, 장비 수급 및 자재 수량을 사전 정밀 대조하였는가?
2) [인력 자격] 통신 공종별 특급/고급 기술자 자격증 및 현장 배치 계획을 확인하였는가?</t>
        </is>
      </c>
      <c r="R9" s="37">
        <f>HYPERLINK(LEFT(CELL("filename",A1),FIND("[",CELL("filename",A1))-1)&amp;"9.통신분야\8_자재 _ 인원 _ 장비 등 투입 사전 검토\체크리스트\자재 인력 장비 등 투입 사전 검토_체크리스트.html", "👉 [클릭] 체크리스트 열기 📄")</f>
        <v/>
      </c>
      <c r="S9" s="33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8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  <c r="ER9" s="18" t="n"/>
      <c r="ES9" s="18" t="n"/>
      <c r="ET9" s="18" t="n"/>
      <c r="EU9" s="18" t="n"/>
      <c r="EV9" s="18" t="n"/>
      <c r="EW9" s="18" t="n"/>
      <c r="EX9" s="18" t="n"/>
      <c r="EY9" s="18" t="n"/>
      <c r="EZ9" s="18" t="n"/>
      <c r="FA9" s="18" t="n"/>
      <c r="FB9" s="18" t="n"/>
      <c r="FC9" s="18" t="n"/>
      <c r="FD9" s="18" t="n"/>
      <c r="FE9" s="18" t="n"/>
      <c r="FF9" s="18" t="n"/>
      <c r="FG9" s="18" t="n"/>
      <c r="FH9" s="18" t="n"/>
      <c r="FI9" s="18" t="n"/>
      <c r="FJ9" s="18" t="n"/>
      <c r="FK9" s="18" t="n"/>
      <c r="FL9" s="18" t="n"/>
      <c r="FM9" s="18" t="n"/>
      <c r="FN9" s="18" t="n"/>
      <c r="FO9" s="18" t="n"/>
      <c r="FP9" s="18" t="n"/>
      <c r="FQ9" s="18" t="n"/>
      <c r="FR9" s="18" t="n"/>
      <c r="FS9" s="18" t="n"/>
      <c r="FT9" s="18" t="n"/>
      <c r="FU9" s="18" t="n"/>
      <c r="FV9" s="18" t="n"/>
      <c r="FW9" s="18" t="n"/>
      <c r="FX9" s="18" t="n"/>
      <c r="FY9" s="18" t="n"/>
      <c r="FZ9" s="18" t="n"/>
      <c r="GA9" s="18" t="n"/>
    </row>
    <row r="10" ht="52.05" customHeight="1" s="88">
      <c r="A10" s="19" t="inlineStr">
        <is>
          <t>9000</t>
        </is>
      </c>
      <c r="B10" s="19" t="inlineStr">
        <is>
          <t>9000-9</t>
        </is>
      </c>
      <c r="C10" s="19" t="inlineStr">
        <is>
          <t>통신분야</t>
        </is>
      </c>
      <c r="D10" s="19" t="inlineStr">
        <is>
          <t>9000-9-9</t>
        </is>
      </c>
      <c r="E10" s="95" t="inlineStr">
        <is>
          <t>9000-9-6</t>
        </is>
      </c>
      <c r="F10" s="95" t="inlineStr">
        <is>
          <t>9000-9-12, 9000-9-13</t>
        </is>
      </c>
      <c r="G10" s="23" t="inlineStr">
        <is>
          <t>착수 전 Big Room 회의</t>
        </is>
      </c>
      <c r="H10" s="21" t="inlineStr">
        <is>
          <t>D-170</t>
        </is>
      </c>
      <c r="I10" s="21" t="inlineStr">
        <is>
          <t>현장소장</t>
        </is>
      </c>
      <c r="J10" s="24" t="inlineStr">
        <is>
          <t>통신공사 수행 시, 선행공정 간섭사항 및 각종 Risk에 대한 대책 수립</t>
        </is>
      </c>
      <c r="K10" s="49" t="inlineStr">
        <is>
          <t>본사/현장/협력사 협의체 구축 후 세부내용 검토
- 공종별 간섭사항 검토: 노반(궤도)/전기/신호/기계/PSD/차량 인터페이스
- 통신자재 반입/토목(도로/궤도)/자재 야적장/제작사 공장 검토
- 통신자재 성능보장, 유사사례 리스크관리 및 성능보증 사항 검토
- 하자 예방, 타 프로젝트 하자사례 검토 후 재발방지방안 수립
- 인원, 자재, 장비 투입계획, 인허가사항 요건계획 검토
- 검사의 각 안전공사 기준 공유, 감리검사 계획 확인
- 공종별 Risk Hedge 방안 검토
1) 안전/품질 Risk 요소 및 대책 수립
2) 민원 대응방안 수립</t>
        </is>
      </c>
      <c r="L10" s="24" t="inlineStr">
        <is>
          <t>Big Room 회의록(참석자 전원 서명)</t>
        </is>
      </c>
      <c r="M10" s="24" t="inlineStr">
        <is>
          <t>1) 공사 착수 전 발주처, 감리단, 시공사 및 타공종 합동 Big Room 회의를 통한 종합 공정 및 위험요인 검토
2) 간섭사항 사전 도출 및 공종 간 공정 마일스톤 협의록 작성 표준 적용</t>
        </is>
      </c>
      <c r="N10" s="25">
        <f>HYPERLINK(LEFT(CELL("filename",A1),FIND("[",CELL("filename",A1))-1)&amp;"9.통신분야\8_자재 인력 장비 등 투입 사전 검토\표준서\자재 인력 장비 등 투입 사전 검토_표준서.html", "👉 [클릭] 표준서 열기 📄")</f>
        <v/>
      </c>
      <c r="O10" s="24" t="inlineStr">
        <is>
          <t>1) Big Room 공조 기법: 발주처·감리단·타공종 시공사 참사 종합 공정 3D 워크스루 및 선행 공종 마일스톤 점검
2) 간섭 리스크 해소: 공사 착수 전 분야별 간섭 위험 요소를 발굴하여 헷지 방안 수립 및 Big Room 회의록 최종 승인</t>
        </is>
      </c>
      <c r="P10" s="26">
        <f>HYPERLINK(LEFT(CELL("filename",A1),FIND("[",CELL("filename",A1))-1)&amp;"9.통신분야\8_자재 인력 장비 등 투입 사전 검토\수행지침\자재 인력 장비 등 투입 사전 검토_수행지침.html", "👉 [클릭] 수행지침 열기 📄")</f>
        <v/>
      </c>
      <c r="Q10" s="24" t="inlineStr">
        <is>
          <t>1) [Big Room 체계] 본사/현장/협력사 3자 Big Room 협의체를 구축하고 착수 세부 실행계획을 대조하였는가?
2) [인터페이스] 노반(궤도)/전기/신호/기계/차량 5대 공종 간 관통 경로 및 간섭점을 사전 도출 검출하였는가?</t>
        </is>
      </c>
      <c r="R10" s="27">
        <f>HYPERLINK(LEFT(CELL("filename",A1),FIND("[",CELL("filename",A1))-1)&amp;"9.통신분야\8_자재 인력 장비 등 투입 사전 검토\체크리스트\자재 인력 장비 등 투입 사전 검토_체크리스트.html", "👉 [클릭] 체크리스트 열기 📄")</f>
        <v/>
      </c>
      <c r="S10" s="21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8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  <c r="EV10" s="18" t="n"/>
      <c r="EW10" s="18" t="n"/>
      <c r="EX10" s="18" t="n"/>
      <c r="EY10" s="18" t="n"/>
      <c r="EZ10" s="18" t="n"/>
      <c r="FA10" s="18" t="n"/>
      <c r="FB10" s="18" t="n"/>
      <c r="FC10" s="18" t="n"/>
      <c r="FD10" s="18" t="n"/>
      <c r="FE10" s="18" t="n"/>
      <c r="FF10" s="18" t="n"/>
      <c r="FG10" s="18" t="n"/>
      <c r="FH10" s="18" t="n"/>
      <c r="FI10" s="18" t="n"/>
      <c r="FJ10" s="18" t="n"/>
      <c r="FK10" s="18" t="n"/>
      <c r="FL10" s="18" t="n"/>
      <c r="FM10" s="18" t="n"/>
      <c r="FN10" s="18" t="n"/>
      <c r="FO10" s="18" t="n"/>
      <c r="FP10" s="18" t="n"/>
      <c r="FQ10" s="18" t="n"/>
      <c r="FR10" s="18" t="n"/>
      <c r="FS10" s="18" t="n"/>
      <c r="FT10" s="18" t="n"/>
      <c r="FU10" s="18" t="n"/>
      <c r="FV10" s="18" t="n"/>
      <c r="FW10" s="18" t="n"/>
      <c r="FX10" s="18" t="n"/>
      <c r="FY10" s="18" t="n"/>
      <c r="FZ10" s="18" t="n"/>
      <c r="GA10" s="18" t="n"/>
      <c r="GB10" s="18" t="n"/>
      <c r="GC10" s="18" t="n"/>
      <c r="GD10" s="18" t="n"/>
      <c r="GE10" s="18" t="n"/>
    </row>
    <row r="11" ht="52.05" customHeight="1" s="88">
      <c r="A11" s="29" t="inlineStr">
        <is>
          <t>9000</t>
        </is>
      </c>
      <c r="B11" s="29" t="inlineStr">
        <is>
          <t>9000-9</t>
        </is>
      </c>
      <c r="C11" s="29" t="inlineStr">
        <is>
          <t>통신분야</t>
        </is>
      </c>
      <c r="D11" s="29" t="inlineStr">
        <is>
          <t>9000-9-10</t>
        </is>
      </c>
      <c r="E11" s="102" t="inlineStr">
        <is>
          <t>9000-9-7</t>
        </is>
      </c>
      <c r="F11" s="102" t="inlineStr">
        <is>
          <t>9000-9-13, 9000-9-14</t>
        </is>
      </c>
      <c r="G11" s="32" t="inlineStr">
        <is>
          <t>통신설비 제작 사양서 작성 / 승인</t>
        </is>
      </c>
      <c r="H11" s="33" t="inlineStr">
        <is>
          <t>D-90
(180~90)</t>
        </is>
      </c>
      <c r="I11" s="33" t="inlineStr">
        <is>
          <t>현장 시스템팀</t>
        </is>
      </c>
      <c r="J11" s="34" t="inlineStr">
        <is>
          <t>실제 설치되는 통신설비의 사양서를 확정하고 제작 사양서를 작성/승인</t>
        </is>
      </c>
      <c r="K11" s="50" t="inlineStr">
        <is>
          <t>- 현장여건 및 실시설계계획보고서/포함자재사양서의 요구사항 충족 여부를 확인
- 제작사양서, 제작도면 작성 후 감리단 승인</t>
        </is>
      </c>
      <c r="L11" s="34" t="inlineStr">
        <is>
          <t>제작사양서, 제작도면</t>
        </is>
      </c>
      <c r="M11" s="34" t="inlineStr">
        <is>
          <t>1) 통신설비 세부 기술사양서, 랙 배열도(Shop Drawing) 및 전기적/기계적 상세 도면 작성 검토
2) 감리단 및 발주처 승인을 위한 제작사양서 승인 신청서 및 공학적 승인 표준 적용</t>
        </is>
      </c>
      <c r="N11" s="35">
        <f>HYPERLINK(LEFT(CELL("filename",A1),FIND("[",CELL("filename",A1))-1)&amp;"9.통신분야\9_착수 전 Big Room 회의\표준서\착수 전 Big Room 회의_표준서.html", "👉 [클릭] 표준서 열기 📄")</f>
        <v/>
      </c>
      <c r="O11" s="34" t="inlineStr">
        <is>
          <t>1) 제작도서 상세 검토: 통신 랙 배열도(Shop Drawing), 전원 분배기 용량 및 단위 기기 기술 사양서 정밀 분석
2) 공학적 승인 신청: 발주처 입찰시방과 제작사양서 1:1 대조 검증 및 감리단 공학적 승인 제출 절차 수행</t>
        </is>
      </c>
      <c r="P11" s="36">
        <f>HYPERLINK(LEFT(CELL("filename",A1),FIND("[",CELL("filename",A1))-1)&amp;"9.통신분야\9_착수 전 Big Room 회의\수행지침\착수 전 Big Room 회의_수행지침.html", "👉 [클릭] 수행지침 열기 📄")</f>
        <v/>
      </c>
      <c r="Q11" s="34" t="inlineStr">
        <is>
          <t>1) [도서 대조] 기본/실시설계도서(보고서, 도면, 자재사양서)와 현장 기계실·역사 치수를 1:1 대조·확인하였는가?
2) [사양서 정의] 실제 제작·설치될 통신설비의 전기적·기계적 세부 규격 및 제작도면(Shop Drawing)을 작성하였는가?</t>
        </is>
      </c>
      <c r="R11" s="37">
        <f>HYPERLINK(LEFT(CELL("filename",A1),FIND("[",CELL("filename",A1))-1)&amp;"9.통신분야\9_착수 전 Big Room 회의\체크리스트\9000-2-9_착수 전 Big Room 회의_체크리스트.html", "👉 [클릭] 체크리스트 열기 📄")</f>
        <v/>
      </c>
      <c r="S11" s="33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8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8" t="n"/>
      <c r="EY11" s="18" t="n"/>
      <c r="EZ11" s="18" t="n"/>
      <c r="FA11" s="18" t="n"/>
      <c r="FB11" s="18" t="n"/>
      <c r="FC11" s="18" t="n"/>
      <c r="FD11" s="18" t="n"/>
      <c r="FE11" s="18" t="n"/>
      <c r="FF11" s="18" t="n"/>
      <c r="FG11" s="18" t="n"/>
      <c r="FH11" s="18" t="n"/>
      <c r="FI11" s="18" t="n"/>
      <c r="FJ11" s="18" t="n"/>
      <c r="FK11" s="18" t="n"/>
      <c r="FL11" s="18" t="n"/>
      <c r="FM11" s="18" t="n"/>
      <c r="FN11" s="18" t="n"/>
      <c r="FO11" s="18" t="n"/>
      <c r="FP11" s="18" t="n"/>
      <c r="FQ11" s="18" t="n"/>
      <c r="FR11" s="18" t="n"/>
      <c r="FS11" s="18" t="n"/>
      <c r="FT11" s="18" t="n"/>
      <c r="FU11" s="18" t="n"/>
      <c r="FV11" s="18" t="n"/>
      <c r="FW11" s="18" t="n"/>
      <c r="FX11" s="18" t="n"/>
      <c r="FY11" s="18" t="n"/>
      <c r="FZ11" s="18" t="n"/>
      <c r="GA11" s="18" t="n"/>
      <c r="GB11" s="18" t="n"/>
      <c r="GC11" s="18" t="n"/>
      <c r="GD11" s="18" t="n"/>
      <c r="GE11" s="18" t="n"/>
      <c r="GF11" s="18" t="n"/>
      <c r="GG11" s="18" t="n"/>
      <c r="GH11" s="18" t="n"/>
      <c r="GI11" s="18" t="n"/>
    </row>
    <row r="12" ht="52.05" customHeight="1" s="88">
      <c r="A12" s="19" t="inlineStr">
        <is>
          <t>9000</t>
        </is>
      </c>
      <c r="B12" s="19" t="inlineStr">
        <is>
          <t>9000-9</t>
        </is>
      </c>
      <c r="C12" s="19" t="inlineStr">
        <is>
          <t>통신분야</t>
        </is>
      </c>
      <c r="D12" s="19" t="inlineStr">
        <is>
          <t>9000-9-11</t>
        </is>
      </c>
      <c r="E12" s="95" t="inlineStr">
        <is>
          <t>9000-9-8</t>
        </is>
      </c>
      <c r="F12" s="95" t="inlineStr">
        <is>
          <t>9000-9-14, 9000-9-15</t>
        </is>
      </c>
      <c r="G12" s="23" t="inlineStr">
        <is>
          <t>시공 계획 수립 / 승인</t>
        </is>
      </c>
      <c r="H12" s="21" t="inlineStr">
        <is>
          <t>D-60
(D-90~60)</t>
        </is>
      </c>
      <c r="I12" s="21" t="inlineStr">
        <is>
          <t>현장 시스템팀</t>
        </is>
      </c>
      <c r="J12" s="24" t="inlineStr">
        <is>
          <t>안전/품질이 확보된 시공계획 수립</t>
        </is>
      </c>
      <c r="K12" s="24" t="inlineStr">
        <is>
          <t>- 공사계획: 예정공정표, 인원/장비/자재투입 계획, 통신자재 설치 절차서 등
- 안전관리: 위험요인/대책, 안전교육/시설/점검 계획 수립
- 품질관리: 품질하자 Risk 및 대책 수립
- 인허가: 자가전기통신설비 설치신고 접수</t>
        </is>
      </c>
      <c r="L12" s="24" t="inlineStr">
        <is>
          <t>시공계획서&amp;시공상세도, 자가전기통신설비 신고서/계획서</t>
        </is>
      </c>
      <c r="M12" s="24" t="inlineStr">
        <is>
          <t>1) 통신공사 공정별 상세 시공절차서, 안전관리계획서, 품질관리계획서 및 세부 공정표 수립
2) 통신설비 설치 공법 타당성 및 감리단 시공계획서 승인 제출 표준 적용</t>
        </is>
      </c>
      <c r="N12" s="25">
        <f>HYPERLINK(LEFT(CELL("filename",A1),FIND("[",CELL("filename",A1))-1)&amp;"9.통신분야\10_통신설비 제작 사양서 작성 _ 승인\표준서\통신설비 제작 사양서 작성 _ 승인_표준서.html", "👉 [클릭] 표준서 열기 📄")</f>
        <v/>
      </c>
      <c r="O12" s="24" t="inlineStr">
        <is>
          <t>1) 세부 시공절차 수립: 통신 관로/트레이 포설, 광케이블 접속, 기계실 랙 설치 절차서 및 안전/품질 관리계획 작성
2) 감리 승인 및 이행: 시공상세도(Shop Drawing) 첨부, 현장 안전 위험성 평가 실시 및 감리단 시공계획서 승인 완료</t>
        </is>
      </c>
      <c r="P12" s="26">
        <f>HYPERLINK(LEFT(CELL("filename",A1),FIND("[",CELL("filename",A1))-1)&amp;"9.통신분야\10_통신설비 제작 사양서 작성 _ 승인\수행지침\통신설비 제작 사양서 작성 _ 승인_수행지침.html", "👉 [클릭] 수행지침 열기 📄")</f>
        <v/>
      </c>
      <c r="Q12" s="24" t="inlineStr">
        <is>
          <t>1) [도서 대조] 기본/실시설계 보고서, 시방서 수치와 현장 통신기계실 실측 치수를 1:1 대조·확인하였는가?
2) [안전 대책] 통신기계실 DC -48V 감전 방지 및 정거장 고소작업 시 안전대/2인1조 작업 대책을 수립하였는가?</t>
        </is>
      </c>
      <c r="R12" s="27">
        <f>HYPERLINK(LEFT(CELL("filename",A1),FIND("[",CELL("filename",A1))-1)&amp;"9.통신분야\10_통신설비 제작 사양서 작성 _ 승인\체크리스트\9000-2-10_통신설비 제작 사양서 작성 _ 승인_체크리스트.html", "👉 [클릭] 체크리스트 열기 📄")</f>
        <v/>
      </c>
      <c r="S12" s="21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8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8" t="n"/>
      <c r="EY12" s="18" t="n"/>
      <c r="EZ12" s="18" t="n"/>
      <c r="FA12" s="18" t="n"/>
      <c r="FB12" s="18" t="n"/>
      <c r="FC12" s="18" t="n"/>
      <c r="FD12" s="18" t="n"/>
      <c r="FE12" s="18" t="n"/>
      <c r="FF12" s="18" t="n"/>
      <c r="FG12" s="18" t="n"/>
      <c r="FH12" s="18" t="n"/>
      <c r="FI12" s="18" t="n"/>
      <c r="FJ12" s="18" t="n"/>
      <c r="FK12" s="18" t="n"/>
      <c r="FL12" s="18" t="n"/>
      <c r="FM12" s="18" t="n"/>
      <c r="FN12" s="18" t="n"/>
      <c r="FO12" s="18" t="n"/>
      <c r="FP12" s="18" t="n"/>
      <c r="FQ12" s="18" t="n"/>
      <c r="FR12" s="18" t="n"/>
      <c r="FS12" s="18" t="n"/>
      <c r="FT12" s="18" t="n"/>
      <c r="FU12" s="18" t="n"/>
      <c r="FV12" s="18" t="n"/>
      <c r="FW12" s="18" t="n"/>
      <c r="FX12" s="18" t="n"/>
      <c r="FY12" s="18" t="n"/>
      <c r="FZ12" s="18" t="n"/>
      <c r="GA12" s="18" t="n"/>
      <c r="GB12" s="18" t="n"/>
      <c r="GC12" s="18" t="n"/>
      <c r="GD12" s="18" t="n"/>
      <c r="GE12" s="18" t="n"/>
      <c r="GF12" s="18" t="n"/>
      <c r="GG12" s="18" t="n"/>
      <c r="GH12" s="18" t="n"/>
      <c r="GI12" s="18" t="n"/>
      <c r="GJ12" s="18" t="n"/>
      <c r="GK12" s="18" t="n"/>
      <c r="GL12" s="18" t="n"/>
      <c r="GM12" s="18" t="n"/>
    </row>
    <row r="13" ht="52.05" customHeight="1" s="88">
      <c r="A13" s="29" t="inlineStr">
        <is>
          <t>9000</t>
        </is>
      </c>
      <c r="B13" s="29" t="inlineStr">
        <is>
          <t>9000-9</t>
        </is>
      </c>
      <c r="C13" s="29" t="inlineStr">
        <is>
          <t>통신분야</t>
        </is>
      </c>
      <c r="D13" s="29" t="inlineStr">
        <is>
          <t>9000-9-12</t>
        </is>
      </c>
      <c r="E13" s="102" t="inlineStr">
        <is>
          <t>9000-9-8, 9000-9-9</t>
        </is>
      </c>
      <c r="F13" s="102" t="inlineStr">
        <is>
          <t>9000-9-15, 9000-9-16</t>
        </is>
      </c>
      <c r="G13" s="32" t="inlineStr">
        <is>
          <t>자재공급원 검토 및 승인</t>
        </is>
      </c>
      <c r="H13" s="33" t="inlineStr">
        <is>
          <t>D-30
(D-60~30)</t>
        </is>
      </c>
      <c r="I13" s="33" t="inlineStr">
        <is>
          <t>현장 시스템팀</t>
        </is>
      </c>
      <c r="J13" s="34" t="inlineStr">
        <is>
          <t>통신설비의 시공성과 품질, 기능 확보를 위한 자재 공급원 검토 및 승인</t>
        </is>
      </c>
      <c r="K13" s="34" t="inlineStr">
        <is>
          <t>- 통신자재제작능력, 유사사례 납품실적 확인
- 성능보증 가능한 통신자재 업체 Pool 검토
- 통신자재 설치 실적 및 설계능력 확인
- 보안성검토 결과 확인</t>
        </is>
      </c>
      <c r="L13" s="34" t="inlineStr">
        <is>
          <t>자재공급원/제작도서 승인 서류, 보안성검토 결과서</t>
        </is>
      </c>
      <c r="M13" s="34" t="inlineStr">
        <is>
          <t>1) 통신 주요 자재 및 기기 자재공급원 승인 서류(KS 인증, 시험성적서, 사업자등록증 등) 검토
2) 성능보증이 가능한 복수 자재공급원 승인 서류 수립 및 감리 승인 표준 적용</t>
        </is>
      </c>
      <c r="N13" s="35">
        <f>HYPERLINK(LEFT(CELL("filename",A1),FIND("[",CELL("filename",A1))-1)&amp;"9.통신분야\11_시공 계획 수립 _ 승인\표준서\시공 계획 수립 _ 승인_표준서.html", "👉 [클릭] 표준서 열기 📄")</f>
        <v/>
      </c>
      <c r="O13" s="34" t="inlineStr">
        <is>
          <t>1) 승인 서류 정밀 검토: 제조사 공장등록증, KS/KC 인증서, 최근 3년 납품 실적 및 공인시험기관 시험성적서 확인
2) 자재 승인 및 관리: 복수 공급원 비교 검토서 작성, 불량 자재 차단 헷지 및 감리단 자재공급원 승인 획득</t>
        </is>
      </c>
      <c r="P13" s="36">
        <f>HYPERLINK(LEFT(CELL("filename",A1),FIND("[",CELL("filename",A1))-1)&amp;"9.통신분야\11_시공 계획 수립 _ 승인\수행지침\시공 계획 수립 _ 승인_수행지침.html", "👉 [클릭] 수행지침 열기 📄")</f>
        <v/>
      </c>
      <c r="Q13" s="34" t="inlineStr">
        <is>
          <t>1) [서류 수집] 공장등록증, 사업자등록증, 카탈로그, A/S 확약서 등 6대 필수 제출 서류를 수집·확인하였는가?
2) [사양 대조] 설계도서 수치(KCS 31 10 00)와 자재 카탈로그 규격 간 1:1 대조표를 정확히 작성하였는가?</t>
        </is>
      </c>
      <c r="R13" s="37">
        <f>HYPERLINK(LEFT(CELL("filename",A1),FIND("[",CELL("filename",A1))-1)&amp;"9.통신분야\11_시공 계획 수립 _ 승인\체크리스트\9000-2-11_시공 계획 수립 _ 승인_체크리스트.html", "👉 [클릭] 체크리스트 열기 📄")</f>
        <v/>
      </c>
      <c r="S13" s="33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Y13" s="18" t="n"/>
      <c r="DZ13" s="18" t="n"/>
      <c r="EA13" s="18" t="n"/>
      <c r="EB13" s="18" t="n"/>
      <c r="EC13" s="18" t="n"/>
      <c r="ED13" s="18" t="n"/>
      <c r="EE13" s="18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P13" s="18" t="n"/>
      <c r="EQ13" s="18" t="n"/>
      <c r="ER13" s="18" t="n"/>
      <c r="ES13" s="18" t="n"/>
      <c r="ET13" s="18" t="n"/>
      <c r="EU13" s="18" t="n"/>
      <c r="EV13" s="18" t="n"/>
      <c r="EW13" s="18" t="n"/>
      <c r="EX13" s="18" t="n"/>
      <c r="EY13" s="18" t="n"/>
      <c r="EZ13" s="18" t="n"/>
      <c r="FA13" s="18" t="n"/>
      <c r="FB13" s="18" t="n"/>
      <c r="FC13" s="18" t="n"/>
      <c r="FD13" s="18" t="n"/>
      <c r="FE13" s="18" t="n"/>
      <c r="FF13" s="18" t="n"/>
      <c r="FG13" s="18" t="n"/>
      <c r="FH13" s="18" t="n"/>
      <c r="FI13" s="18" t="n"/>
      <c r="FJ13" s="18" t="n"/>
      <c r="FK13" s="18" t="n"/>
      <c r="FL13" s="18" t="n"/>
      <c r="FM13" s="18" t="n"/>
      <c r="FN13" s="18" t="n"/>
      <c r="FO13" s="18" t="n"/>
      <c r="FP13" s="18" t="n"/>
      <c r="FQ13" s="18" t="n"/>
      <c r="FR13" s="18" t="n"/>
      <c r="FS13" s="18" t="n"/>
      <c r="FT13" s="18" t="n"/>
      <c r="FU13" s="18" t="n"/>
      <c r="FV13" s="18" t="n"/>
      <c r="FW13" s="18" t="n"/>
      <c r="FX13" s="18" t="n"/>
      <c r="FY13" s="18" t="n"/>
      <c r="FZ13" s="18" t="n"/>
      <c r="GA13" s="18" t="n"/>
      <c r="GB13" s="18" t="n"/>
      <c r="GC13" s="18" t="n"/>
      <c r="GD13" s="18" t="n"/>
      <c r="GE13" s="18" t="n"/>
      <c r="GF13" s="18" t="n"/>
      <c r="GG13" s="18" t="n"/>
      <c r="GH13" s="18" t="n"/>
      <c r="GI13" s="18" t="n"/>
      <c r="GJ13" s="18" t="n"/>
      <c r="GK13" s="18" t="n"/>
      <c r="GL13" s="18" t="n"/>
      <c r="GM13" s="18" t="n"/>
      <c r="GN13" s="18" t="n"/>
      <c r="GO13" s="18" t="n"/>
      <c r="GP13" s="18" t="n"/>
      <c r="GQ13" s="18" t="n"/>
    </row>
    <row r="14" ht="52.05" customHeight="1" s="88">
      <c r="A14" s="19" t="inlineStr">
        <is>
          <t>9000</t>
        </is>
      </c>
      <c r="B14" s="19" t="inlineStr">
        <is>
          <t>9000-9</t>
        </is>
      </c>
      <c r="C14" s="19" t="inlineStr">
        <is>
          <t>통신분야</t>
        </is>
      </c>
      <c r="D14" s="19" t="inlineStr">
        <is>
          <t>9000-9-13</t>
        </is>
      </c>
      <c r="E14" s="95" t="inlineStr">
        <is>
          <t>9000-9-9, 9000-9-10</t>
        </is>
      </c>
      <c r="F14" s="95" t="inlineStr">
        <is>
          <t>9000-9-16, 9000-9-17</t>
        </is>
      </c>
      <c r="G14" s="23" t="inlineStr">
        <is>
          <t>통신설비 공정제작 / 제작사 공장검사</t>
        </is>
      </c>
      <c r="H14" s="21" t="inlineStr">
        <is>
          <t>D-30
(D-30~D+15)</t>
        </is>
      </c>
      <c r="I14" s="21" t="inlineStr">
        <is>
          <t>현장 시스템팀</t>
        </is>
      </c>
      <c r="J14" s="24" t="inlineStr">
        <is>
          <t>제작사양서/제작도면의 일치여부검토 및 현장반입 전 공장 성능검사 확인</t>
        </is>
      </c>
      <c r="K14" s="24" t="inlineStr">
        <is>
          <t>- 외산자재 등 Delivery 일정 확인
- 제작도서 기준으로 최종 제작상태 확인
- 제작도면과 일치여부 확인
- 공장 내 성능검사 시험 실시
[공장검사 대상 항목]
- 영상장치장치, 행선안내장치, 구내방송장치, 전송설비, 역무자동화설비, 열차무선안내장치, 여객자동안내장치, 열차무선설비, 재난방송수신설비, 선로변 통합인터페이스 통신설비, 역무용통신설비, 백본스위치, L3스위치, 광케이블, 케이블 안테나 CCTV용 Pole</t>
        </is>
      </c>
      <c r="L14" s="24" t="inlineStr">
        <is>
          <t>공장검사 결과보고서 (감리 및 관계기관 입회)</t>
        </is>
      </c>
      <c r="M14" s="24" t="inlineStr">
        <is>
          <t>1) 통신 기기 제작 공정 진행률 점검 및 공장시험(FAT, Factory Acceptance Test) 절차서 작성
2) 공장 수검 검사, 품질 성능 시험성적서 확인 및 공장검사 합격증명서 발급 표준 적용</t>
        </is>
      </c>
      <c r="N14" s="25">
        <f>HYPERLINK(LEFT(CELL("filename",A1),FIND("[",CELL("filename",A1))-1)&amp;"9.통신분야\12_자재공급원 검토 및 승인\표준서\자재공급원 검토 및 승인_표준서.html", "👉 [클릭] 표준서 열기 📄")</f>
        <v/>
      </c>
      <c r="O14" s="24" t="inlineStr">
        <is>
          <t>1) 공장검사(FAT) 준비: 제작사 공장 제작 공정률 점검, FAT 시험절차서 검토 및 검사 입회 일정 수립
2) 입회 검사 실시: 전원 인입, 기능 시험, 방수/내열 공인시험 실측 확인 및 FAT 공장검사 합격증명서 획득</t>
        </is>
      </c>
      <c r="P14" s="26">
        <f>HYPERLINK(LEFT(CELL("filename",A1),FIND("[",CELL("filename",A1))-1)&amp;"9.통신분야\12_자재공급원 검토 및 승인\수행지침\자재공급원 검토 및 승인_수행지침.html", "👉 [클릭] 수행지침 열기 📄")</f>
        <v/>
      </c>
      <c r="Q14" s="24" t="inlineStr">
        <is>
          <t>1) [외산자재 납기] 수입 광모듈, 스위치 칩셋의 선적/통관 서류(B/L)를 검수하여 현장 기계실 반입 주공정표(CPM) 대비 납기를 확인하였는가?
2) [ITP 승인] 감리 승인된 ITP 절차서와 절연저항계(Megger), OTDR의 교정 유효기간 증명서를 사전 확인하였는가?</t>
        </is>
      </c>
      <c r="R14" s="27">
        <f>HYPERLINK(LEFT(CELL("filename",A1),FIND("[",CELL("filename",A1))-1)&amp;"9.통신분야\12_자재공급원 검토 및 승인\체크리스트\9000-2-12_자재공급원 검토 및 승인_체크리스트.html", "👉 [클릭] 체크리스트 열기 📄")</f>
        <v/>
      </c>
      <c r="S14" s="21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Y14" s="18" t="n"/>
      <c r="DZ14" s="18" t="n"/>
      <c r="EA14" s="18" t="n"/>
      <c r="EB14" s="18" t="n"/>
      <c r="EC14" s="18" t="n"/>
      <c r="ED14" s="18" t="n"/>
      <c r="EE14" s="18" t="n"/>
      <c r="EF14" s="18" t="n"/>
      <c r="EG14" s="18" t="n"/>
      <c r="EH14" s="18" t="n"/>
      <c r="EI14" s="18" t="n"/>
      <c r="EJ14" s="18" t="n"/>
      <c r="EK14" s="18" t="n"/>
      <c r="EL14" s="18" t="n"/>
      <c r="EM14" s="18" t="n"/>
      <c r="EN14" s="18" t="n"/>
      <c r="EO14" s="18" t="n"/>
      <c r="EP14" s="18" t="n"/>
      <c r="EQ14" s="18" t="n"/>
      <c r="ER14" s="18" t="n"/>
      <c r="ES14" s="18" t="n"/>
      <c r="ET14" s="18" t="n"/>
      <c r="EU14" s="18" t="n"/>
      <c r="EV14" s="18" t="n"/>
      <c r="EW14" s="18" t="n"/>
      <c r="EX14" s="18" t="n"/>
      <c r="EY14" s="18" t="n"/>
      <c r="EZ14" s="18" t="n"/>
      <c r="FA14" s="18" t="n"/>
      <c r="FB14" s="18" t="n"/>
      <c r="FC14" s="18" t="n"/>
      <c r="FD14" s="18" t="n"/>
      <c r="FE14" s="18" t="n"/>
      <c r="FF14" s="18" t="n"/>
      <c r="FG14" s="18" t="n"/>
      <c r="FH14" s="18" t="n"/>
      <c r="FI14" s="18" t="n"/>
      <c r="FJ14" s="18" t="n"/>
      <c r="FK14" s="18" t="n"/>
      <c r="FL14" s="18" t="n"/>
      <c r="FM14" s="18" t="n"/>
      <c r="FN14" s="18" t="n"/>
      <c r="FO14" s="18" t="n"/>
      <c r="FP14" s="18" t="n"/>
      <c r="FQ14" s="18" t="n"/>
      <c r="FR14" s="18" t="n"/>
      <c r="FS14" s="18" t="n"/>
      <c r="FT14" s="18" t="n"/>
      <c r="FU14" s="18" t="n"/>
      <c r="FV14" s="18" t="n"/>
      <c r="FW14" s="18" t="n"/>
      <c r="FX14" s="18" t="n"/>
      <c r="FY14" s="18" t="n"/>
      <c r="FZ14" s="18" t="n"/>
      <c r="GA14" s="18" t="n"/>
      <c r="GB14" s="18" t="n"/>
      <c r="GC14" s="18" t="n"/>
      <c r="GD14" s="18" t="n"/>
      <c r="GE14" s="18" t="n"/>
      <c r="GF14" s="18" t="n"/>
      <c r="GG14" s="18" t="n"/>
      <c r="GH14" s="18" t="n"/>
      <c r="GI14" s="18" t="n"/>
      <c r="GJ14" s="18" t="n"/>
      <c r="GK14" s="18" t="n"/>
      <c r="GL14" s="18" t="n"/>
      <c r="GM14" s="18" t="n"/>
      <c r="GN14" s="18" t="n"/>
      <c r="GO14" s="18" t="n"/>
      <c r="GP14" s="18" t="n"/>
      <c r="GQ14" s="18" t="n"/>
      <c r="GR14" s="18" t="n"/>
      <c r="GS14" s="18" t="n"/>
      <c r="GT14" s="18" t="n"/>
      <c r="GU14" s="18" t="n"/>
    </row>
    <row r="15" ht="52.05" customHeight="1" s="88">
      <c r="A15" s="29" t="inlineStr">
        <is>
          <t>9000</t>
        </is>
      </c>
      <c r="B15" s="29" t="inlineStr">
        <is>
          <t>9000-9</t>
        </is>
      </c>
      <c r="C15" s="29" t="inlineStr">
        <is>
          <t>통신분야</t>
        </is>
      </c>
      <c r="D15" s="29" t="inlineStr">
        <is>
          <t>9000-9-14</t>
        </is>
      </c>
      <c r="E15" s="102" t="inlineStr">
        <is>
          <t>9000-9-10, 9000-9-11</t>
        </is>
      </c>
      <c r="F15" s="102" t="inlineStr">
        <is>
          <t>9000-9-17, 9000-9-18</t>
        </is>
      </c>
      <c r="G15" s="32" t="inlineStr">
        <is>
          <t>본공사 전 선행공정 인수인계 점검</t>
        </is>
      </c>
      <c r="H15" s="33" t="inlineStr">
        <is>
          <t>D-10
(D-20~10)</t>
        </is>
      </c>
      <c r="I15" s="33" t="inlineStr">
        <is>
          <t>현장 시스템팀</t>
        </is>
      </c>
      <c r="J15" s="34" t="inlineStr">
        <is>
          <t>통신설비 설치를 위한 현장점검/정리 상태 확인(기능실: 건축,전기/현장: 노반)</t>
        </is>
      </c>
      <c r="K15" s="34" t="inlineStr">
        <is>
          <t>- 통신설비 설치 시 간섭여부 점검
- 현장 정리상태 점검 (건축마감, 공조, 조명, 전원 등)
- 장비설치를 위한 자체반입구 및 케이블 설치를 위한 공동구/오프닝 위치 확인</t>
        </is>
      </c>
      <c r="L15" s="34" t="inlineStr">
        <is>
          <t>기록지, 현장점검결과보고서(감리입회)</t>
        </is>
      </c>
      <c r="M15" s="34" t="inlineStr">
        <is>
          <t>1) 토목·건축 선행 공정 완료 후 통신 기계실, 케이블 트레이, 관로 인수인계 현장 상태 검측
2) 바닥 엑세스플로어, 방화 구획 및 기초 구조체 인수인계 확인서 작성 표준 적용</t>
        </is>
      </c>
      <c r="N15" s="35">
        <f>HYPERLINK(LEFT(CELL("filename",A1),FIND("[",CELL("filename",A1))-1)&amp;"9.통신분야\13_통신설비 공정제작 _ 제작사 공장검사\표준서\통신설비 공정제작 _ 제작사 공장검사_표준서.html", "👉 [클릭] 표준서 열기 📄")</f>
        <v/>
      </c>
      <c r="O15" s="34" t="inlineStr">
        <is>
          <t>1) 선행 공종 실측 검측: 토목·건축 완료 기계실 바닥 엑세스플로어, 케이블 트레이, 방화 구획 및 랙 기초 상태 검사
2) 인수인계 승인: 미비 사항 현장 보완 조치 요구 및 통신 시공 적격 선행 공정 인수인계 확인서 최종 승인</t>
        </is>
      </c>
      <c r="P15" s="36">
        <f>HYPERLINK(LEFT(CELL("filename",A1),FIND("[",CELL("filename",A1))-1)&amp;"9.통신분야\13_통신설비 공정제작 _ 제작사 공장검사\수행지침\통신설비 공정제작 _ 제작사 공장검사_수행지침.html", "👉 [클릭] 수행지침 열기 📄")</f>
        <v/>
      </c>
      <c r="Q15" s="34" t="inlineStr">
        <is>
          <t>1) 토목 배관 도면 및 건축 구조물 도면을 대조하여 통신기계실 오프닝 위치, 지중관로 규격(Ø100/Ø50) 및 핸드홀 설치 좌표를 사전 검토하였는가?
2) 토목, 건축, 통신 현장 담당자 3자 공조 체계를 구성하고 현장 합동 점검표, Mandrel 도통시험기 및 레이저 레벨기를 사전 준비하였는가?</t>
        </is>
      </c>
      <c r="R15" s="37">
        <f>HYPERLINK(LEFT(CELL("filename",A1),FIND("[",CELL("filename",A1))-1)&amp;"9.통신분야\13_통신설비 공정제작 _ 제작사 공장검사\체크리스트\9000-2-13_통신설비 공정제작 _ 제작사 공장검사_체크리스트.html", "👉 [클릭] 체크리스트 열기 📄")</f>
        <v/>
      </c>
      <c r="S15" s="33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Y15" s="18" t="n"/>
      <c r="DZ15" s="18" t="n"/>
      <c r="EA15" s="18" t="n"/>
      <c r="EB15" s="18" t="n"/>
      <c r="EC15" s="18" t="n"/>
      <c r="ED15" s="18" t="n"/>
      <c r="EE15" s="18" t="n"/>
      <c r="EF15" s="18" t="n"/>
      <c r="EG15" s="18" t="n"/>
      <c r="EH15" s="18" t="n"/>
      <c r="EI15" s="18" t="n"/>
      <c r="EJ15" s="18" t="n"/>
      <c r="EK15" s="18" t="n"/>
      <c r="EL15" s="18" t="n"/>
      <c r="EM15" s="18" t="n"/>
      <c r="EN15" s="18" t="n"/>
      <c r="EO15" s="18" t="n"/>
      <c r="EP15" s="18" t="n"/>
      <c r="EQ15" s="18" t="n"/>
      <c r="ER15" s="18" t="n"/>
      <c r="ES15" s="18" t="n"/>
      <c r="ET15" s="18" t="n"/>
      <c r="EU15" s="18" t="n"/>
      <c r="EV15" s="18" t="n"/>
      <c r="EW15" s="18" t="n"/>
      <c r="EX15" s="18" t="n"/>
      <c r="EY15" s="18" t="n"/>
      <c r="EZ15" s="18" t="n"/>
      <c r="FA15" s="18" t="n"/>
      <c r="FB15" s="18" t="n"/>
      <c r="FC15" s="18" t="n"/>
      <c r="FD15" s="18" t="n"/>
      <c r="FE15" s="18" t="n"/>
      <c r="FF15" s="18" t="n"/>
      <c r="FG15" s="18" t="n"/>
      <c r="FH15" s="18" t="n"/>
      <c r="FI15" s="18" t="n"/>
      <c r="FJ15" s="18" t="n"/>
      <c r="FK15" s="18" t="n"/>
      <c r="FL15" s="18" t="n"/>
      <c r="FM15" s="18" t="n"/>
      <c r="FN15" s="18" t="n"/>
      <c r="FO15" s="18" t="n"/>
      <c r="FP15" s="18" t="n"/>
      <c r="FQ15" s="18" t="n"/>
      <c r="FR15" s="18" t="n"/>
      <c r="FS15" s="18" t="n"/>
      <c r="FT15" s="18" t="n"/>
      <c r="FU15" s="18" t="n"/>
      <c r="FV15" s="18" t="n"/>
      <c r="FW15" s="18" t="n"/>
      <c r="FX15" s="18" t="n"/>
      <c r="FY15" s="18" t="n"/>
      <c r="FZ15" s="18" t="n"/>
      <c r="GA15" s="18" t="n"/>
      <c r="GB15" s="18" t="n"/>
      <c r="GC15" s="18" t="n"/>
      <c r="GD15" s="18" t="n"/>
      <c r="GE15" s="18" t="n"/>
      <c r="GF15" s="18" t="n"/>
      <c r="GG15" s="18" t="n"/>
      <c r="GH15" s="18" t="n"/>
      <c r="GI15" s="18" t="n"/>
      <c r="GJ15" s="18" t="n"/>
      <c r="GK15" s="18" t="n"/>
      <c r="GL15" s="18" t="n"/>
      <c r="GM15" s="18" t="n"/>
      <c r="GN15" s="18" t="n"/>
      <c r="GO15" s="18" t="n"/>
      <c r="GP15" s="18" t="n"/>
      <c r="GQ15" s="18" t="n"/>
      <c r="GR15" s="18" t="n"/>
      <c r="GS15" s="18" t="n"/>
      <c r="GT15" s="18" t="n"/>
      <c r="GU15" s="18" t="n"/>
      <c r="GV15" s="18" t="n"/>
      <c r="GW15" s="18" t="n"/>
      <c r="GX15" s="18" t="n"/>
      <c r="GY15" s="18" t="n"/>
    </row>
    <row r="16" ht="52.05" customHeight="1" s="88">
      <c r="A16" s="19" t="inlineStr">
        <is>
          <t>9000</t>
        </is>
      </c>
      <c r="B16" s="19" t="inlineStr">
        <is>
          <t>9000-9</t>
        </is>
      </c>
      <c r="C16" s="19" t="inlineStr">
        <is>
          <t>통신분야</t>
        </is>
      </c>
      <c r="D16" s="19" t="inlineStr">
        <is>
          <t>9000-9-15</t>
        </is>
      </c>
      <c r="E16" s="95" t="inlineStr">
        <is>
          <t>9000-9-11, 9000-9-12</t>
        </is>
      </c>
      <c r="F16" s="95" t="inlineStr">
        <is>
          <t>9000-9-18, 9000-9-19</t>
        </is>
      </c>
      <c r="G16" s="23" t="inlineStr">
        <is>
          <t>장비반입 및 안전교육</t>
        </is>
      </c>
      <c r="H16" s="21" t="inlineStr">
        <is>
          <t>D-5
(D-10~5)</t>
        </is>
      </c>
      <c r="I16" s="21" t="inlineStr">
        <is>
          <t>현장 시스템팀 / 안전팀</t>
        </is>
      </c>
      <c r="J16" s="24" t="inlineStr">
        <is>
          <t>장비 반입 준비 및 안전교육 완료</t>
        </is>
      </c>
      <c r="K16" s="24" t="inlineStr">
        <is>
          <t>- 자재반입 경로, 적치장소에 대한 사전확인 및 타분야 일정, 간섭사항 협의/확인
- 장비 Spec확인, 장비상태 점검
- 작업원 안전교육 실시</t>
        </is>
      </c>
      <c r="L16" s="24" t="inlineStr">
        <is>
          <t>안전교육 결과서, 측량기록지</t>
        </is>
      </c>
      <c r="M16" s="24" t="inlineStr">
        <is>
          <t>1) 통신 시공 장비 및 차량 반입 전 장비 안전점검 및 작업자 특별안전보건교육 실시
2) 장비 반입 허가서 작성 및 안전 교육 이수 수료증 관리 표준 적용</t>
        </is>
      </c>
      <c r="N16" s="25">
        <f>HYPERLINK(LEFT(CELL("filename",A1),FIND("[",CELL("filename",A1))-1)&amp;"9.통신분야\14_본공사 전 선행공정 인수인계 점검\표준서\본공사 전 선행공정 인수인계 점검_표준서.html", "👉 [클릭] 표준서 열기 📄")</f>
        <v/>
      </c>
      <c r="O16" s="24" t="inlineStr">
        <is>
          <t>1) 장비 안전점검: 고소작업차, 광접속 차량 반입 전 안전 검사 및 작업 장비 반입 신청서 검토
2) 안전 교육 이수: 통신 시공 작업자 대상 특별안전보건교육, 보호구 착용 점검 및 안전 교육 이수 수료 관리</t>
        </is>
      </c>
      <c r="P16" s="26">
        <f>HYPERLINK(LEFT(CELL("filename",A1),FIND("[",CELL("filename",A1))-1)&amp;"9.통신분야\14_본공사 전 선행공정 인수인계 점검\수행지침\본공사 전 선행공정 인수인계 점검_수행지침.html", "👉 [클릭] 수행지침 열기 📄")</f>
        <v/>
      </c>
      <c r="Q16" s="24" t="inlineStr">
        <is>
          <t>1) 화물차 반입 도로의 유효 폭(W≥3.5m) 및 지상 가설재 장애물(0cm) 상태를 확인하였는가?
2) 토목/건축 등 타분야 양중 작업 간섭 여부를 사전 협의하고 양중 시간대를 분리 조율하였는가?</t>
        </is>
      </c>
      <c r="R16" s="27">
        <f>HYPERLINK(LEFT(CELL("filename",A1),FIND("[",CELL("filename",A1))-1)&amp;"9.통신분야\14_본공사 전 선행공정 인수인계 점검\체크리스트\9000-2-14_본공사 전 선행공정 인수인계 점검_체크리스트.html", "👉 [클릭] 체크리스트 열기 📄")</f>
        <v/>
      </c>
      <c r="S16" s="21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8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8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8" t="n"/>
      <c r="FT16" s="18" t="n"/>
      <c r="FU16" s="18" t="n"/>
      <c r="FV16" s="18" t="n"/>
      <c r="FW16" s="18" t="n"/>
      <c r="FX16" s="18" t="n"/>
      <c r="FY16" s="18" t="n"/>
      <c r="FZ16" s="18" t="n"/>
      <c r="GA16" s="18" t="n"/>
      <c r="GB16" s="18" t="n"/>
      <c r="GC16" s="18" t="n"/>
      <c r="GD16" s="18" t="n"/>
      <c r="GE16" s="18" t="n"/>
      <c r="GF16" s="18" t="n"/>
      <c r="GG16" s="18" t="n"/>
      <c r="GH16" s="18" t="n"/>
      <c r="GI16" s="18" t="n"/>
      <c r="GJ16" s="18" t="n"/>
      <c r="GK16" s="18" t="n"/>
      <c r="GL16" s="18" t="n"/>
      <c r="GM16" s="18" t="n"/>
      <c r="GN16" s="18" t="n"/>
      <c r="GO16" s="18" t="n"/>
      <c r="GP16" s="18" t="n"/>
      <c r="GQ16" s="18" t="n"/>
      <c r="GR16" s="18" t="n"/>
      <c r="GS16" s="18" t="n"/>
      <c r="GT16" s="18" t="n"/>
      <c r="GU16" s="18" t="n"/>
      <c r="GV16" s="18" t="n"/>
      <c r="GW16" s="18" t="n"/>
      <c r="GX16" s="18" t="n"/>
      <c r="GY16" s="18" t="n"/>
      <c r="GZ16" s="18" t="n"/>
      <c r="HA16" s="18" t="n"/>
      <c r="HB16" s="18" t="n"/>
      <c r="HC16" s="18" t="n"/>
    </row>
    <row r="17" ht="52.05" customHeight="1" s="88">
      <c r="A17" s="29" t="inlineStr">
        <is>
          <t>9000</t>
        </is>
      </c>
      <c r="B17" s="29" t="inlineStr">
        <is>
          <t>9000-9</t>
        </is>
      </c>
      <c r="C17" s="29" t="inlineStr">
        <is>
          <t>통신분야</t>
        </is>
      </c>
      <c r="D17" s="29" t="inlineStr">
        <is>
          <t>9000-9-16</t>
        </is>
      </c>
      <c r="E17" s="102" t="inlineStr">
        <is>
          <t>9000-9-12, 9000-9-13</t>
        </is>
      </c>
      <c r="F17" s="102" t="inlineStr">
        <is>
          <t>9000-9-19, 9000-9-20</t>
        </is>
      </c>
      <c r="G17" s="32" t="inlineStr">
        <is>
          <t>자재 반입 및 검수</t>
        </is>
      </c>
      <c r="H17" s="33" t="inlineStr">
        <is>
          <t>D+0
~D+30</t>
        </is>
      </c>
      <c r="I17" s="33" t="inlineStr">
        <is>
          <t>현장소장 및 발주청/공동감리단</t>
        </is>
      </c>
      <c r="J17" s="34" t="inlineStr">
        <is>
          <t>공장검사 시행 완료된 자재반입과 현장 입고 검사</t>
        </is>
      </c>
      <c r="K17" s="34" t="inlineStr">
        <is>
          <t>- 자재 하차 위치 및 반입동선 확인
- 승인된 자재 일치여부 확인(Serial number 등)
- 제품의 규격, 수량 도면과 일치하는지 검토</t>
        </is>
      </c>
      <c r="L17" s="34" t="inlineStr">
        <is>
          <t>자재검수서</t>
        </is>
      </c>
      <c r="M17" s="34" t="inlineStr">
        <is>
          <t>1) 현장 반입 통신 자재 및 케이블의 승인 자재 일치성, 수량 및 운반 파손 여부 검수
2) 자재검수 요청서 작성 및 감리 입회 검수 합격 확인 표준 적용</t>
        </is>
      </c>
      <c r="N17" s="35">
        <f>HYPERLINK(LEFT(CELL("filename",A1),FIND("[",CELL("filename",A1))-1)&amp;"9.통신분야\15_장비반입 및 안전교육\표준서\장비반입 및 안전교육_표준서.html", "👉 [클릭] 표준서 열기 📄")</f>
        <v/>
      </c>
      <c r="O17" s="34" t="inlineStr">
        <is>
          <t>1) 반입 자재 현장 검측: 자재 반입 시 자재공급원 승인품 일치 여부, 운반 외관 파손 및 시리얼 번호 현장 검수
2) 자재검수 보고: 감리 입회 자재 검수 실시, 자재검수 요청서 결재 및 현장 통신 자재 창고 입고 관리</t>
        </is>
      </c>
      <c r="P17" s="36">
        <f>HYPERLINK(LEFT(CELL("filename",A1),FIND("[",CELL("filename",A1))-1)&amp;"9.통신분야\15_장비반입 및 안전교육\수행지침\장비반입 및 안전교육_수행지침.html", "👉 [클릭] 수행지침 열기 📄")</f>
        <v/>
      </c>
      <c r="Q17" s="34" t="inlineStr">
        <is>
          <t>1) 시방 대조[도면 및 여건] 자재 하차 위치 및 반입동선 확인 수칙을 사전 대조 확인하였는가?
2) 업체 Pool[적격 업체] 철도/트램 시공 및 영업운행 실적이 입증된 적격 업체 Pool을 검토하였는가?</t>
        </is>
      </c>
      <c r="R17" s="37">
        <f>HYPERLINK(LEFT(CELL("filename",A1),FIND("[",CELL("filename",A1))-1)&amp;"9.통신분야\15_장비반입 및 안전교육\체크리스트\9000-2-15_장비반입 및 안전교육_체크리스트.html", "👉 [클릭] 체크리스트 열기 📄")</f>
        <v/>
      </c>
      <c r="S17" s="33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8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8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8" t="n"/>
      <c r="FT17" s="18" t="n"/>
      <c r="FU17" s="18" t="n"/>
      <c r="FV17" s="18" t="n"/>
      <c r="FW17" s="18" t="n"/>
      <c r="FX17" s="18" t="n"/>
      <c r="FY17" s="18" t="n"/>
      <c r="FZ17" s="18" t="n"/>
      <c r="GA17" s="18" t="n"/>
      <c r="GB17" s="18" t="n"/>
      <c r="GC17" s="18" t="n"/>
      <c r="GD17" s="18" t="n"/>
      <c r="GE17" s="18" t="n"/>
      <c r="GF17" s="18" t="n"/>
      <c r="GG17" s="18" t="n"/>
      <c r="GH17" s="18" t="n"/>
      <c r="GI17" s="18" t="n"/>
      <c r="GJ17" s="18" t="n"/>
      <c r="GK17" s="18" t="n"/>
      <c r="GL17" s="18" t="n"/>
      <c r="GM17" s="18" t="n"/>
      <c r="GN17" s="18" t="n"/>
      <c r="GO17" s="18" t="n"/>
      <c r="GP17" s="18" t="n"/>
      <c r="GQ17" s="18" t="n"/>
      <c r="GR17" s="18" t="n"/>
      <c r="GS17" s="18" t="n"/>
      <c r="GT17" s="18" t="n"/>
      <c r="GU17" s="18" t="n"/>
      <c r="GV17" s="18" t="n"/>
      <c r="GW17" s="18" t="n"/>
      <c r="GX17" s="18" t="n"/>
      <c r="GY17" s="18" t="n"/>
      <c r="GZ17" s="18" t="n"/>
      <c r="HA17" s="18" t="n"/>
      <c r="HB17" s="18" t="n"/>
      <c r="HC17" s="18" t="n"/>
      <c r="HD17" s="18" t="n"/>
      <c r="HE17" s="18" t="n"/>
      <c r="HF17" s="18" t="n"/>
      <c r="HG17" s="18" t="n"/>
    </row>
    <row r="18" ht="52.05" customHeight="1" s="88">
      <c r="A18" s="19" t="inlineStr">
        <is>
          <t>9000</t>
        </is>
      </c>
      <c r="B18" s="19" t="inlineStr">
        <is>
          <t>9000-9</t>
        </is>
      </c>
      <c r="C18" s="19" t="inlineStr">
        <is>
          <t>통신분야</t>
        </is>
      </c>
      <c r="D18" s="19" t="inlineStr">
        <is>
          <t>9000-9-17</t>
        </is>
      </c>
      <c r="E18" s="95" t="inlineStr">
        <is>
          <t>9000-9-13, 9000-9-14</t>
        </is>
      </c>
      <c r="F18" s="95" t="inlineStr">
        <is>
          <t>9000-9-20, 9000-9-21</t>
        </is>
      </c>
      <c r="G18" s="23" t="inlineStr">
        <is>
          <t>통신설비 반입 및 설치</t>
        </is>
      </c>
      <c r="H18" s="21" t="inlineStr">
        <is>
          <t>D+31
~D+360</t>
        </is>
      </c>
      <c r="I18" s="21" t="inlineStr">
        <is>
          <t>현장소장 및 분야별 전담팀</t>
        </is>
      </c>
      <c r="J18" s="24" t="inlineStr">
        <is>
          <t>설계에 부합되도록 통신설비 설치</t>
        </is>
      </c>
      <c r="K18" s="49" t="inlineStr">
        <is>
          <t>- 시공샘플이 필요한 대상을 감리/감독과 협의하여 선정후 시공검사 실시
- 현장 선로변 설비, 각종 케이블 포설
- 기계실 내 서버랙 및 각종 단말장치 설치 (카메라, 인터폰 등)
- 통신실내 케이블 배선
- 통신설비가 도면대로 설치되었는지 확인</t>
        </is>
      </c>
      <c r="L18" s="24" t="inlineStr">
        <is>
          <t>검측서</t>
        </is>
      </c>
      <c r="M18" s="24" t="inlineStr">
        <is>
          <t>1) 통신 기계실 랙 설비, 본선 관로 광케이블 포설 및 역무 통신 기기 수평/수직 시공 설치
2) 케이블 성단, OTDR 접속 및 설비 고정 상태 검측 표준 적용</t>
        </is>
      </c>
      <c r="N18" s="25">
        <f>HYPERLINK(LEFT(CELL("filename",A1),FIND("[",CELL("filename",A1))-1)&amp;"9.통신분야\16_자재 반입 및 검수\표준서\자재 반입 및 검수_표준서.html", "👉 [클릭] 표준서 열기 📄")</f>
        <v/>
      </c>
      <c r="O18" s="24" t="inlineStr">
        <is>
          <t>1) 설치 실무 절차: 통신 기계실 랙 고정, 광케이블/UTP 포설, 성단 작업 및 역사 역무 통신 기기 수평/수직 시공
2) 접속 및 검측: OTDR 접속 손실(≤0.05dB) 측정, 랙 전원 인입 배선 정리 및 설비 고정 상태 감리 검측</t>
        </is>
      </c>
      <c r="P18" s="26">
        <f>HYPERLINK(LEFT(CELL("filename",A1),FIND("[",CELL("filename",A1))-1)&amp;"9.통신분야\16_자재 반입 및 검수\수행지침\자재 반입 및 검수_수행지침.html", "👉 [클릭] 수행지침 열기 📄")</f>
        <v/>
      </c>
      <c r="Q18" s="24" t="inlineStr">
        <is>
          <t>1) 본 시공 착수 전 통신기계실 랙 배선 정돈 및 마킹 표찰 샘플을 감리단과 사전 검측하였는가?
2) 72-Core 광케이블 융착 접속 트레이 정돈 및 접속 손실 샘플 시공 승인을 획득하였는가?</t>
        </is>
      </c>
      <c r="R18" s="27">
        <f>HYPERLINK(LEFT(CELL("filename",A1),FIND("[",CELL("filename",A1))-1)&amp;"9.통신분야\16_자재 반입 및 검수\체크리스트\9000-2-16_자재 반입 및 검수_체크리스트.html", "👉 [클릭] 체크리스트 열기 📄")</f>
        <v/>
      </c>
      <c r="S18" s="21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8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8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8" t="n"/>
      <c r="FT18" s="18" t="n"/>
      <c r="FU18" s="18" t="n"/>
      <c r="FV18" s="18" t="n"/>
      <c r="FW18" s="18" t="n"/>
      <c r="FX18" s="18" t="n"/>
      <c r="FY18" s="18" t="n"/>
      <c r="FZ18" s="18" t="n"/>
      <c r="GA18" s="18" t="n"/>
      <c r="GB18" s="18" t="n"/>
      <c r="GC18" s="18" t="n"/>
      <c r="GD18" s="18" t="n"/>
      <c r="GE18" s="18" t="n"/>
      <c r="GF18" s="18" t="n"/>
      <c r="GG18" s="18" t="n"/>
      <c r="GH18" s="18" t="n"/>
      <c r="GI18" s="18" t="n"/>
      <c r="GJ18" s="18" t="n"/>
      <c r="GK18" s="18" t="n"/>
      <c r="GL18" s="18" t="n"/>
      <c r="GM18" s="18" t="n"/>
      <c r="GN18" s="18" t="n"/>
      <c r="GO18" s="18" t="n"/>
      <c r="GP18" s="18" t="n"/>
      <c r="GQ18" s="18" t="n"/>
      <c r="GR18" s="18" t="n"/>
      <c r="GS18" s="18" t="n"/>
      <c r="GT18" s="18" t="n"/>
      <c r="GU18" s="18" t="n"/>
      <c r="GV18" s="18" t="n"/>
      <c r="GW18" s="18" t="n"/>
      <c r="GX18" s="18" t="n"/>
      <c r="GY18" s="18" t="n"/>
      <c r="GZ18" s="18" t="n"/>
      <c r="HA18" s="18" t="n"/>
      <c r="HB18" s="18" t="n"/>
      <c r="HC18" s="18" t="n"/>
      <c r="HD18" s="18" t="n"/>
      <c r="HE18" s="18" t="n"/>
      <c r="HF18" s="18" t="n"/>
      <c r="HG18" s="18" t="n"/>
      <c r="HH18" s="18" t="n"/>
      <c r="HI18" s="18" t="n"/>
      <c r="HJ18" s="18" t="n"/>
      <c r="HK18" s="18" t="n"/>
    </row>
    <row r="19" ht="52.05" customHeight="1" s="88">
      <c r="A19" s="29" t="inlineStr">
        <is>
          <t>9000</t>
        </is>
      </c>
      <c r="B19" s="29" t="inlineStr">
        <is>
          <t>9000-9</t>
        </is>
      </c>
      <c r="C19" s="29" t="inlineStr">
        <is>
          <t>통신분야</t>
        </is>
      </c>
      <c r="D19" s="29" t="inlineStr">
        <is>
          <t>9000-9-18</t>
        </is>
      </c>
      <c r="E19" s="102" t="inlineStr">
        <is>
          <t>9000-9-14, 9000-9-15</t>
        </is>
      </c>
      <c r="F19" s="102" t="inlineStr">
        <is>
          <t>9000-9-21, 9000-9-22</t>
        </is>
      </c>
      <c r="G19" s="32" t="inlineStr">
        <is>
          <t>관제설비 설치</t>
        </is>
      </c>
      <c r="H19" s="33" t="inlineStr">
        <is>
          <t>D+121
~D+150</t>
        </is>
      </c>
      <c r="I19" s="33" t="inlineStr">
        <is>
          <t>현장소장</t>
        </is>
      </c>
      <c r="J19" s="34" t="inlineStr">
        <is>
          <t>관제설비의 정위치 배치 및 설치</t>
        </is>
      </c>
      <c r="K19" s="50" t="inlineStr">
        <is>
          <t>- 랙 베이스/케이블 등 설치 위치를 확인하고 설치후에는 도면과 일치 여부를 체크
- 철도 교통관제(구로/대전)와 연동할 수 있게 광전송/열차무선 설비 등을 설치하고 확인</t>
        </is>
      </c>
      <c r="L19" s="34" t="inlineStr">
        <is>
          <t>검측서</t>
        </is>
      </c>
      <c r="M19" s="34" t="inlineStr">
        <is>
          <t>1) 종합관제센터 관제 콘솔, 대형 표시장치(DLP/LFD), 관제 서버 및 네트워크 설비 설치
2) 관제 시스템 전원 인입, 배선 정리 및 관제 환경 설치 검측 표준 적용</t>
        </is>
      </c>
      <c r="N19" s="35">
        <f>HYPERLINK(LEFT(CELL("filename",A1),FIND("[",CELL("filename",A1))-1)&amp;"9.통신분야\17_통신설비 반입 및 설치\표준서\통신설비 반입 및 설치_표준서.html", "👉 [클릭] 표준서 열기 📄")</f>
        <v/>
      </c>
      <c r="O19" s="34" t="inlineStr">
        <is>
          <t>1) 관제 환경 설치 절차: 종합관제센터 관제 콘솔 고정, DLP/LFD 대형 화면 설치, 관제 서버 랙 반입 및 배선 정리
2) 전원 및 계통 검측: 관제 전원 분배기 전원 인입, 이중화 네트워크 케이블 성단 및 관제실 설치 상태 확인</t>
        </is>
      </c>
      <c r="P19" s="36">
        <f>HYPERLINK(LEFT(CELL("filename",A1),FIND("[",CELL("filename",A1))-1)&amp;"9.통신분야\17_통신설비 반입 및 설치\수행지침\통신설비 반입 및 설치_수행지침.html", "👉 [클릭] 수행지침 열기 📄")</f>
        <v/>
      </c>
      <c r="Q19" s="34" t="inlineStr">
        <is>
          <t>1) OCC 관제실 전면 비디오 월 마운트 거치 프레임 레이저 수평 오차(±1.0mm 이내)를 실측하였는가?
2) 멀티 디스플레이 패널 간 베젤 이격 단차(≤0.5mm) 미세 조율 및 방진 가스켓 부착을 완료하였는가?</t>
        </is>
      </c>
      <c r="R19" s="37">
        <f>HYPERLINK(LEFT(CELL("filename",A1),FIND("[",CELL("filename",A1))-1)&amp;"9.통신분야\17_통신설비 반입 및 설치\체크리스트\9000-2-17_통신설비 반입 및 설치_체크리스트.html", "👉 [클릭] 체크리스트 열기 📄")</f>
        <v/>
      </c>
      <c r="S19" s="33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Y19" s="18" t="n"/>
      <c r="DZ19" s="18" t="n"/>
      <c r="EA19" s="18" t="n"/>
      <c r="EB19" s="18" t="n"/>
      <c r="EC19" s="18" t="n"/>
      <c r="ED19" s="18" t="n"/>
      <c r="EE19" s="18" t="n"/>
      <c r="EF19" s="18" t="n"/>
      <c r="EG19" s="18" t="n"/>
      <c r="EH19" s="18" t="n"/>
      <c r="EI19" s="18" t="n"/>
      <c r="EJ19" s="18" t="n"/>
      <c r="EK19" s="18" t="n"/>
      <c r="EL19" s="18" t="n"/>
      <c r="EM19" s="18" t="n"/>
      <c r="EN19" s="18" t="n"/>
      <c r="EO19" s="18" t="n"/>
      <c r="EP19" s="18" t="n"/>
      <c r="EQ19" s="18" t="n"/>
      <c r="ER19" s="18" t="n"/>
      <c r="ES19" s="18" t="n"/>
      <c r="ET19" s="18" t="n"/>
      <c r="EU19" s="18" t="n"/>
      <c r="EV19" s="18" t="n"/>
      <c r="EW19" s="18" t="n"/>
      <c r="EX19" s="18" t="n"/>
      <c r="EY19" s="18" t="n"/>
      <c r="EZ19" s="18" t="n"/>
      <c r="FA19" s="18" t="n"/>
      <c r="FB19" s="18" t="n"/>
      <c r="FC19" s="18" t="n"/>
      <c r="FD19" s="18" t="n"/>
      <c r="FE19" s="18" t="n"/>
      <c r="FF19" s="18" t="n"/>
      <c r="FG19" s="18" t="n"/>
      <c r="FH19" s="18" t="n"/>
      <c r="FI19" s="18" t="n"/>
      <c r="FJ19" s="18" t="n"/>
      <c r="FK19" s="18" t="n"/>
      <c r="FL19" s="18" t="n"/>
      <c r="FM19" s="18" t="n"/>
      <c r="FN19" s="18" t="n"/>
      <c r="FO19" s="18" t="n"/>
      <c r="FP19" s="18" t="n"/>
      <c r="FQ19" s="18" t="n"/>
      <c r="FR19" s="18" t="n"/>
      <c r="FS19" s="18" t="n"/>
      <c r="FT19" s="18" t="n"/>
      <c r="FU19" s="18" t="n"/>
      <c r="FV19" s="18" t="n"/>
      <c r="FW19" s="18" t="n"/>
      <c r="FX19" s="18" t="n"/>
      <c r="FY19" s="18" t="n"/>
      <c r="FZ19" s="18" t="n"/>
      <c r="GA19" s="18" t="n"/>
      <c r="GB19" s="18" t="n"/>
      <c r="GC19" s="18" t="n"/>
      <c r="GD19" s="18" t="n"/>
      <c r="GE19" s="18" t="n"/>
      <c r="GF19" s="18" t="n"/>
      <c r="GG19" s="18" t="n"/>
      <c r="GH19" s="18" t="n"/>
      <c r="GI19" s="18" t="n"/>
      <c r="GJ19" s="18" t="n"/>
      <c r="GK19" s="18" t="n"/>
      <c r="GL19" s="18" t="n"/>
      <c r="GM19" s="18" t="n"/>
      <c r="GN19" s="18" t="n"/>
      <c r="GO19" s="18" t="n"/>
      <c r="GP19" s="18" t="n"/>
      <c r="GQ19" s="18" t="n"/>
      <c r="GR19" s="18" t="n"/>
      <c r="GS19" s="18" t="n"/>
      <c r="GT19" s="18" t="n"/>
      <c r="GU19" s="18" t="n"/>
      <c r="GV19" s="18" t="n"/>
      <c r="GW19" s="18" t="n"/>
      <c r="GX19" s="18" t="n"/>
      <c r="GY19" s="18" t="n"/>
      <c r="GZ19" s="18" t="n"/>
      <c r="HA19" s="18" t="n"/>
      <c r="HB19" s="18" t="n"/>
      <c r="HC19" s="18" t="n"/>
      <c r="HD19" s="18" t="n"/>
      <c r="HE19" s="18" t="n"/>
      <c r="HF19" s="18" t="n"/>
      <c r="HG19" s="18" t="n"/>
      <c r="HH19" s="18" t="n"/>
      <c r="HI19" s="18" t="n"/>
      <c r="HJ19" s="18" t="n"/>
      <c r="HK19" s="18" t="n"/>
      <c r="HL19" s="18" t="n"/>
      <c r="HM19" s="18" t="n"/>
      <c r="HN19" s="18" t="n"/>
      <c r="HO19" s="18" t="n"/>
    </row>
    <row r="20" ht="52.05" customHeight="1" s="88">
      <c r="A20" s="19" t="inlineStr">
        <is>
          <t>9000</t>
        </is>
      </c>
      <c r="B20" s="19" t="inlineStr">
        <is>
          <t>9000-9</t>
        </is>
      </c>
      <c r="C20" s="19" t="inlineStr">
        <is>
          <t>통신분야</t>
        </is>
      </c>
      <c r="D20" s="19" t="inlineStr">
        <is>
          <t>9000-9-19</t>
        </is>
      </c>
      <c r="E20" s="95" t="inlineStr">
        <is>
          <t>9000-9-15, 9000-9-16</t>
        </is>
      </c>
      <c r="F20" s="95" t="inlineStr">
        <is>
          <t>9000-9-22, 9000-9-23</t>
        </is>
      </c>
      <c r="G20" s="23" t="inlineStr">
        <is>
          <t>통신시스템 단위시험</t>
        </is>
      </c>
      <c r="H20" s="21" t="inlineStr">
        <is>
          <t>D+151
~D+195</t>
        </is>
      </c>
      <c r="I20" s="21" t="inlineStr">
        <is>
          <t>현장 시스템팀</t>
        </is>
      </c>
      <c r="J20" s="24" t="inlineStr">
        <is>
          <t>통신설비(열차에 설치하는 차상통신 장치 포함)설치 후 전원투입 및 기능검증</t>
        </is>
      </c>
      <c r="K20" s="49" t="inlineStr">
        <is>
          <t>- ITP/ITC에 따라 시험/검사를 감리 확인</t>
        </is>
      </c>
      <c r="L20" s="24" t="inlineStr">
        <is>
          <t>감리단 입회검사 및 시험점검표(ITP/ITC)</t>
        </is>
      </c>
      <c r="M20" s="24" t="inlineStr">
        <is>
          <t>1) 통신 개별 단위 설비(LTE-R, 방송, CCTV, 역무, 전화 등) 전원 투입 및 단독 시험 실시
2) 설비별 단위시험 절차서 준수 및 단독 기능 시험성적서 작성 표준 적용</t>
        </is>
      </c>
      <c r="N20" s="25">
        <f>HYPERLINK(LEFT(CELL("filename",A1),FIND("[",CELL("filename",A1))-1)&amp;"9.통신분야\18_관제설비 설치\표준서\관제설비 설치_표준서.html", "👉 [클릭] 표준서 열기 📄")</f>
        <v/>
      </c>
      <c r="O20" s="24" t="inlineStr">
        <is>
          <t>1) 단독 시험 수행: LTE-R 기지국/제어기, 방송, CCTV, 역무, 전화 등 개별 시스템 단위 전원 인입 및 단독 시험
2) 단위성적서 작성: 단위시험 절차서 항목별 성능 측정, 불합격 항목 보완 조치 및 단위시험 성과표 확정</t>
        </is>
      </c>
      <c r="P20" s="26">
        <f>HYPERLINK(LEFT(CELL("filename",A1),FIND("[",CELL("filename",A1))-1)&amp;"9.통신분야\18_관제설비 설치\수행지침\관제설비 설치_수행지침.html", "👉 [클릭] 수행지침 열기 📄")</f>
        <v/>
      </c>
      <c r="Q20" s="24" t="inlineStr">
        <is>
          <t>1) 통신기계실 LTE-R DU 제어기 및 옥외 RU 무선장치에 단독 전원(220V/48V) 투입 후 부팅 정상 상태를 확인하였는가?
2) RF 파워메터로 무선장치(RU) 송신 출력을 계측하여 표준 규격(43dBm ±0.5dB) 이내임을 검측하였는가?</t>
        </is>
      </c>
      <c r="R20" s="27">
        <f>HYPERLINK(LEFT(CELL("filename",A1),FIND("[",CELL("filename",A1))-1)&amp;"9.통신분야\18_관제설비 설치\체크리스트\9000-2-18_관제설비 설치_체크리스트.html", "👉 [클릭] 체크리스트 열기 📄")</f>
        <v/>
      </c>
      <c r="S20" s="21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Y20" s="18" t="n"/>
      <c r="DZ20" s="18" t="n"/>
      <c r="EA20" s="18" t="n"/>
      <c r="EB20" s="18" t="n"/>
      <c r="EC20" s="18" t="n"/>
      <c r="ED20" s="18" t="n"/>
      <c r="EE20" s="18" t="n"/>
      <c r="EF20" s="18" t="n"/>
      <c r="EG20" s="18" t="n"/>
      <c r="EH20" s="18" t="n"/>
      <c r="EI20" s="18" t="n"/>
      <c r="EJ20" s="18" t="n"/>
      <c r="EK20" s="18" t="n"/>
      <c r="EL20" s="18" t="n"/>
      <c r="EM20" s="18" t="n"/>
      <c r="EN20" s="18" t="n"/>
      <c r="EO20" s="18" t="n"/>
      <c r="EP20" s="18" t="n"/>
      <c r="EQ20" s="18" t="n"/>
      <c r="ER20" s="18" t="n"/>
      <c r="ES20" s="18" t="n"/>
      <c r="ET20" s="18" t="n"/>
      <c r="EU20" s="18" t="n"/>
      <c r="EV20" s="18" t="n"/>
      <c r="EW20" s="18" t="n"/>
      <c r="EX20" s="18" t="n"/>
      <c r="EY20" s="18" t="n"/>
      <c r="EZ20" s="18" t="n"/>
      <c r="FA20" s="18" t="n"/>
      <c r="FB20" s="18" t="n"/>
      <c r="FC20" s="18" t="n"/>
      <c r="FD20" s="18" t="n"/>
      <c r="FE20" s="18" t="n"/>
      <c r="FF20" s="18" t="n"/>
      <c r="FG20" s="18" t="n"/>
      <c r="FH20" s="18" t="n"/>
      <c r="FI20" s="18" t="n"/>
      <c r="FJ20" s="18" t="n"/>
      <c r="FK20" s="18" t="n"/>
      <c r="FL20" s="18" t="n"/>
      <c r="FM20" s="18" t="n"/>
      <c r="FN20" s="18" t="n"/>
      <c r="FO20" s="18" t="n"/>
      <c r="FP20" s="18" t="n"/>
      <c r="FQ20" s="18" t="n"/>
      <c r="FR20" s="18" t="n"/>
      <c r="FS20" s="18" t="n"/>
      <c r="FT20" s="18" t="n"/>
      <c r="FU20" s="18" t="n"/>
      <c r="FV20" s="18" t="n"/>
      <c r="FW20" s="18" t="n"/>
      <c r="FX20" s="18" t="n"/>
      <c r="FY20" s="18" t="n"/>
      <c r="FZ20" s="18" t="n"/>
      <c r="GA20" s="18" t="n"/>
      <c r="GB20" s="18" t="n"/>
      <c r="GC20" s="18" t="n"/>
      <c r="GD20" s="18" t="n"/>
      <c r="GE20" s="18" t="n"/>
      <c r="GF20" s="18" t="n"/>
      <c r="GG20" s="18" t="n"/>
      <c r="GH20" s="18" t="n"/>
      <c r="GI20" s="18" t="n"/>
      <c r="GJ20" s="18" t="n"/>
      <c r="GK20" s="18" t="n"/>
      <c r="GL20" s="18" t="n"/>
      <c r="GM20" s="18" t="n"/>
      <c r="GN20" s="18" t="n"/>
      <c r="GO20" s="18" t="n"/>
      <c r="GP20" s="18" t="n"/>
      <c r="GQ20" s="18" t="n"/>
      <c r="GR20" s="18" t="n"/>
      <c r="GS20" s="18" t="n"/>
      <c r="GT20" s="18" t="n"/>
      <c r="GU20" s="18" t="n"/>
      <c r="GV20" s="18" t="n"/>
      <c r="GW20" s="18" t="n"/>
      <c r="GX20" s="18" t="n"/>
      <c r="GY20" s="18" t="n"/>
      <c r="GZ20" s="18" t="n"/>
      <c r="HA20" s="18" t="n"/>
      <c r="HB20" s="18" t="n"/>
      <c r="HC20" s="18" t="n"/>
      <c r="HD20" s="18" t="n"/>
      <c r="HE20" s="18" t="n"/>
      <c r="HF20" s="18" t="n"/>
      <c r="HG20" s="18" t="n"/>
      <c r="HH20" s="18" t="n"/>
      <c r="HI20" s="18" t="n"/>
      <c r="HJ20" s="18" t="n"/>
      <c r="HK20" s="18" t="n"/>
      <c r="HL20" s="18" t="n"/>
      <c r="HM20" s="18" t="n"/>
      <c r="HN20" s="18" t="n"/>
      <c r="HO20" s="18" t="n"/>
      <c r="HP20" s="18" t="n"/>
      <c r="HQ20" s="18" t="n"/>
      <c r="HR20" s="18" t="n"/>
      <c r="HS20" s="18" t="n"/>
    </row>
    <row r="21" ht="52.05" customHeight="1" s="88">
      <c r="A21" s="29" t="inlineStr">
        <is>
          <t>9000</t>
        </is>
      </c>
      <c r="B21" s="29" t="inlineStr">
        <is>
          <t>9000-9</t>
        </is>
      </c>
      <c r="C21" s="29" t="inlineStr">
        <is>
          <t>통신분야</t>
        </is>
      </c>
      <c r="D21" s="29" t="inlineStr">
        <is>
          <t>9000-9-20</t>
        </is>
      </c>
      <c r="E21" s="102" t="inlineStr">
        <is>
          <t>9000-9-16, 9000-9-17</t>
        </is>
      </c>
      <c r="F21" s="102" t="inlineStr">
        <is>
          <t>9000-9-23, 9000-9-24</t>
        </is>
      </c>
      <c r="G21" s="32" t="inlineStr">
        <is>
          <t>통신시스템 통합시험</t>
        </is>
      </c>
      <c r="H21" s="33" t="inlineStr">
        <is>
          <t>D+196
~D+255</t>
        </is>
      </c>
      <c r="I21" s="33" t="inlineStr">
        <is>
          <t>현장 시스템팀</t>
        </is>
      </c>
      <c r="J21" s="34" t="inlineStr">
        <is>
          <t>관제설비를 포함한 통신망 통합 검증</t>
        </is>
      </c>
      <c r="K21" s="34" t="inlineStr">
        <is>
          <t>- 감리단 입회하에 검사/시험절차대로 수행
1) 관제실/현장설비간 인터페이스 시험
2) 지상 및 차상 인터페이스 시험</t>
        </is>
      </c>
      <c r="L21" s="34" t="inlineStr">
        <is>
          <t>감리단 입회검사 및 시험점검표(ITP/ITC)</t>
        </is>
      </c>
      <c r="M21" s="34" t="inlineStr">
        <is>
          <t>1) 통신 설비 간 데이터 연동, LTE-R 무선망 백본 이중화 절체 및 종합 네트워크 연동 시험
2) 통합시험 절차서 준수 및 이종 통신 설비 간 상호 연동성 검측 표준 적용</t>
        </is>
      </c>
      <c r="N21" s="35">
        <f>HYPERLINK(LEFT(CELL("filename",A1),FIND("[",CELL("filename",A1))-1)&amp;"9.통신분야\19_통신시스템 단위시험\표준서\통신시스템 단위시험_표준서.html", "👉 [클릭] 표준서 열기 📄")</f>
        <v/>
      </c>
      <c r="O21" s="34" t="inlineStr">
        <is>
          <t>1) 연동 시험 수행: 통신 이종 시스템 간 데이터 연동, LTE-R 코어망 백본 이중화 절체 및 종합 네트워크 연동 시험
2) 통합 성과 확인: 관제-현장 장치 간 제어 응답속도 검측, 통합 시험 성과표 작성 및 감리 승인 완료</t>
        </is>
      </c>
      <c r="P21" s="36">
        <f>HYPERLINK(LEFT(CELL("filename",A1),FIND("[",CELL("filename",A1))-1)&amp;"9.통신분야\19_통신시스템 단위시험\수행지침\통신시스템 단위시험_수행지침.html", "👉 [클릭] 수행지침 열기 📄")</f>
        <v/>
      </c>
      <c r="Q21" s="34" t="inlineStr">
        <is>
          <t>1) 관제센터 메인 방송 서버와 각 정거장 PIS 제어기 간 광전송 유선 인터페이스 통신 상태를 확인하였는가?
2) 관제 콘솔에서 PIS 문구 송출 명령 전송 시 현장 안내표시기 반응 지연 시간(≤0.5초 이내)을 검측하였는가?</t>
        </is>
      </c>
      <c r="R21" s="37">
        <f>HYPERLINK(LEFT(CELL("filename",A1),FIND("[",CELL("filename",A1))-1)&amp;"9.통신분야\19_통신시스템 단위시험\체크리스트\9000-2-19_통신시스템 단위시험_체크리스트.html", "👉 [클릭] 체크리스트 열기 📄")</f>
        <v/>
      </c>
      <c r="S21" s="33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8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8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8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18" t="n"/>
      <c r="GI21" s="18" t="n"/>
      <c r="GJ21" s="18" t="n"/>
      <c r="GK21" s="18" t="n"/>
      <c r="GL21" s="18" t="n"/>
      <c r="GM21" s="18" t="n"/>
      <c r="GN21" s="18" t="n"/>
      <c r="GO21" s="18" t="n"/>
      <c r="GP21" s="18" t="n"/>
      <c r="GQ21" s="18" t="n"/>
      <c r="GR21" s="18" t="n"/>
      <c r="GS21" s="18" t="n"/>
      <c r="GT21" s="18" t="n"/>
      <c r="GU21" s="18" t="n"/>
      <c r="GV21" s="18" t="n"/>
      <c r="GW21" s="18" t="n"/>
      <c r="GX21" s="18" t="n"/>
      <c r="GY21" s="18" t="n"/>
      <c r="GZ21" s="18" t="n"/>
      <c r="HA21" s="18" t="n"/>
      <c r="HB21" s="18" t="n"/>
      <c r="HC21" s="18" t="n"/>
      <c r="HD21" s="18" t="n"/>
      <c r="HE21" s="18" t="n"/>
      <c r="HF21" s="18" t="n"/>
      <c r="HG21" s="18" t="n"/>
      <c r="HH21" s="18" t="n"/>
      <c r="HI21" s="18" t="n"/>
      <c r="HJ21" s="18" t="n"/>
      <c r="HK21" s="18" t="n"/>
      <c r="HL21" s="18" t="n"/>
      <c r="HM21" s="18" t="n"/>
      <c r="HN21" s="18" t="n"/>
      <c r="HO21" s="18" t="n"/>
      <c r="HP21" s="18" t="n"/>
      <c r="HQ21" s="18" t="n"/>
      <c r="HR21" s="18" t="n"/>
      <c r="HS21" s="18" t="n"/>
      <c r="HT21" s="18" t="n"/>
      <c r="HU21" s="18" t="n"/>
      <c r="HV21" s="18" t="n"/>
      <c r="HW21" s="18" t="n"/>
    </row>
    <row r="22" ht="52.05" customHeight="1" s="88">
      <c r="A22" s="19" t="inlineStr">
        <is>
          <t>9000</t>
        </is>
      </c>
      <c r="B22" s="19" t="inlineStr">
        <is>
          <t>9000-9</t>
        </is>
      </c>
      <c r="C22" s="19" t="inlineStr">
        <is>
          <t>통신분야</t>
        </is>
      </c>
      <c r="D22" s="19" t="inlineStr">
        <is>
          <t>9000-9-21</t>
        </is>
      </c>
      <c r="E22" s="95" t="inlineStr">
        <is>
          <t>9000-9-17, 9000-9-18</t>
        </is>
      </c>
      <c r="F22" s="95" t="inlineStr">
        <is>
          <t>9000-9-24, 9000-9-25</t>
        </is>
      </c>
      <c r="G22" s="23" t="inlineStr">
        <is>
          <t>공종별 시험</t>
        </is>
      </c>
      <c r="H22" s="21" t="inlineStr">
        <is>
          <t>D+256
~D+285</t>
        </is>
      </c>
      <c r="I22" s="21" t="inlineStr">
        <is>
          <t>현장 시스템팀</t>
        </is>
      </c>
      <c r="J22" s="24" t="inlineStr">
        <is>
          <t>발주처가 관련 법령, 설계기준, 기술기준, 시방서 등의 요구사항에 적합하도록 설치되었는지를 확인</t>
        </is>
      </c>
      <c r="K22" s="24" t="inlineStr">
        <is>
          <t>- 철도종합시험운행 시행지침 제6조(공종별시험)에 따라 시행</t>
        </is>
      </c>
      <c r="L22" s="24" t="inlineStr">
        <is>
          <t>공종별 시험 결과보고서</t>
        </is>
      </c>
      <c r="M22" s="24" t="inlineStr">
        <is>
          <t>1) 철도 종합시험운행 지침에 의거한 통신 공종별 상세 시운전 시험 절차 수립
2) 공종별 시험 항목 검측, 무선 전계강도 측정 및 시험성적서 확정 표준 적용</t>
        </is>
      </c>
      <c r="N22" s="25">
        <f>HYPERLINK(LEFT(CELL("filename",A1),FIND("[",CELL("filename",A1))-1)&amp;"9.통신분야\20_통신시스템 통합시험\표준서\통신시스템 통합시험_표준서.html", "👉 [클릭] 표준서 열기 📄")</f>
        <v/>
      </c>
      <c r="O22" s="24" t="inlineStr">
        <is>
          <t>1) 공종 시운전 절차: 철도 종합시험운행 지침에 따른 통신 공종별 상세 시험 항목(무선 품질, 음성/영상 전송) 실측
2) 공종 시험 승인: 무선 전계강도 측정 성과표 및 공종별 시운전 시험 결과 보고서 제출 및 감리 승인</t>
        </is>
      </c>
      <c r="P22" s="26">
        <f>HYPERLINK(LEFT(CELL("filename",A1),FIND("[",CELL("filename",A1))-1)&amp;"9.통신분야\20_통신시스템 통합시험\수행지침\통신시스템 통합시험_수행지침.html", "👉 [클릭] 수행지침 열기 📄")</f>
        <v/>
      </c>
      <c r="Q22" s="24" t="inlineStr">
        <is>
          <t>1) 본선 및 정거장 광배선반(FDF) 포설 광케이블 전체 코어에 대하여 OTDR 전수 측정을 수행하였는가?
2) 광케이블 융착 접속점 접속 손실 수치가 시방 기준(≤0.1dB/접속점 이하)을 통과함을 확인하였는가?</t>
        </is>
      </c>
      <c r="R22" s="27">
        <f>HYPERLINK(LEFT(CELL("filename",A1),FIND("[",CELL("filename",A1))-1)&amp;"9.통신분야\20_통신시스템 통합시험\체크리스트\9000-2-20_통신시스템 통합시험_체크리스트.html", "👉 [클릭] 체크리스트 열기 📄")</f>
        <v/>
      </c>
      <c r="S22" s="21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Y22" s="18" t="n"/>
      <c r="DZ22" s="18" t="n"/>
      <c r="EA22" s="18" t="n"/>
      <c r="EB22" s="18" t="n"/>
      <c r="EC22" s="18" t="n"/>
      <c r="ED22" s="18" t="n"/>
      <c r="EE22" s="18" t="n"/>
      <c r="EF22" s="18" t="n"/>
      <c r="EG22" s="18" t="n"/>
      <c r="EH22" s="18" t="n"/>
      <c r="EI22" s="18" t="n"/>
      <c r="EJ22" s="18" t="n"/>
      <c r="EK22" s="18" t="n"/>
      <c r="EL22" s="18" t="n"/>
      <c r="EM22" s="18" t="n"/>
      <c r="EN22" s="18" t="n"/>
      <c r="EO22" s="18" t="n"/>
      <c r="EP22" s="18" t="n"/>
      <c r="EQ22" s="18" t="n"/>
      <c r="ER22" s="18" t="n"/>
      <c r="ES22" s="18" t="n"/>
      <c r="ET22" s="18" t="n"/>
      <c r="EU22" s="18" t="n"/>
      <c r="EV22" s="18" t="n"/>
      <c r="EW22" s="18" t="n"/>
      <c r="EX22" s="18" t="n"/>
      <c r="EY22" s="18" t="n"/>
      <c r="EZ22" s="18" t="n"/>
      <c r="FA22" s="18" t="n"/>
      <c r="FB22" s="18" t="n"/>
      <c r="FC22" s="18" t="n"/>
      <c r="FD22" s="18" t="n"/>
      <c r="FE22" s="18" t="n"/>
      <c r="FF22" s="18" t="n"/>
      <c r="FG22" s="18" t="n"/>
      <c r="FH22" s="18" t="n"/>
      <c r="FI22" s="18" t="n"/>
      <c r="FJ22" s="18" t="n"/>
      <c r="FK22" s="18" t="n"/>
      <c r="FL22" s="18" t="n"/>
      <c r="FM22" s="18" t="n"/>
      <c r="FN22" s="18" t="n"/>
      <c r="FO22" s="18" t="n"/>
      <c r="FP22" s="18" t="n"/>
      <c r="FQ22" s="18" t="n"/>
      <c r="FR22" s="18" t="n"/>
      <c r="FS22" s="18" t="n"/>
      <c r="FT22" s="18" t="n"/>
      <c r="FU22" s="18" t="n"/>
      <c r="FV22" s="18" t="n"/>
      <c r="FW22" s="18" t="n"/>
      <c r="FX22" s="18" t="n"/>
      <c r="FY22" s="18" t="n"/>
      <c r="FZ22" s="18" t="n"/>
      <c r="GA22" s="18" t="n"/>
      <c r="GB22" s="18" t="n"/>
      <c r="GC22" s="18" t="n"/>
      <c r="GD22" s="18" t="n"/>
      <c r="GE22" s="18" t="n"/>
      <c r="GF22" s="18" t="n"/>
      <c r="GG22" s="18" t="n"/>
      <c r="GH22" s="18" t="n"/>
      <c r="GI22" s="18" t="n"/>
      <c r="GJ22" s="18" t="n"/>
      <c r="GK22" s="18" t="n"/>
      <c r="GL22" s="18" t="n"/>
      <c r="GM22" s="18" t="n"/>
      <c r="GN22" s="18" t="n"/>
      <c r="GO22" s="18" t="n"/>
      <c r="GP22" s="18" t="n"/>
      <c r="GQ22" s="18" t="n"/>
      <c r="GR22" s="18" t="n"/>
      <c r="GS22" s="18" t="n"/>
      <c r="GT22" s="18" t="n"/>
      <c r="GU22" s="18" t="n"/>
      <c r="GV22" s="18" t="n"/>
      <c r="GW22" s="18" t="n"/>
      <c r="GX22" s="18" t="n"/>
      <c r="GY22" s="18" t="n"/>
      <c r="GZ22" s="18" t="n"/>
      <c r="HA22" s="18" t="n"/>
      <c r="HB22" s="18" t="n"/>
      <c r="HC22" s="18" t="n"/>
      <c r="HD22" s="18" t="n"/>
      <c r="HE22" s="18" t="n"/>
      <c r="HF22" s="18" t="n"/>
      <c r="HG22" s="18" t="n"/>
      <c r="HH22" s="18" t="n"/>
      <c r="HI22" s="18" t="n"/>
      <c r="HJ22" s="18" t="n"/>
      <c r="HK22" s="18" t="n"/>
      <c r="HL22" s="18" t="n"/>
      <c r="HM22" s="18" t="n"/>
      <c r="HN22" s="18" t="n"/>
      <c r="HO22" s="18" t="n"/>
      <c r="HP22" s="18" t="n"/>
      <c r="HQ22" s="18" t="n"/>
      <c r="HR22" s="18" t="n"/>
      <c r="HS22" s="18" t="n"/>
      <c r="HT22" s="18" t="n"/>
      <c r="HU22" s="18" t="n"/>
      <c r="HV22" s="18" t="n"/>
      <c r="HW22" s="18" t="n"/>
      <c r="HX22" s="18" t="n"/>
      <c r="HY22" s="18" t="n"/>
      <c r="HZ22" s="18" t="n"/>
      <c r="IA22" s="18" t="n"/>
    </row>
    <row r="23" ht="52.05" customHeight="1" s="88">
      <c r="A23" s="29" t="inlineStr">
        <is>
          <t>9000</t>
        </is>
      </c>
      <c r="B23" s="29" t="inlineStr">
        <is>
          <t>9000-9</t>
        </is>
      </c>
      <c r="C23" s="29" t="inlineStr">
        <is>
          <t>통신분야</t>
        </is>
      </c>
      <c r="D23" s="29" t="inlineStr">
        <is>
          <t>9000-9-22</t>
        </is>
      </c>
      <c r="E23" s="102" t="inlineStr">
        <is>
          <t>9000-9-18, 9000-9-19</t>
        </is>
      </c>
      <c r="F23" s="102" t="inlineStr">
        <is>
          <t>9000-9-25, 9000-9-26</t>
        </is>
      </c>
      <c r="G23" s="32" t="inlineStr">
        <is>
          <t>차량 투입 전 점검</t>
        </is>
      </c>
      <c r="H23" s="33" t="inlineStr">
        <is>
          <t>D+286
~D+300</t>
        </is>
      </c>
      <c r="I23" s="33" t="inlineStr">
        <is>
          <t>현장소장 및 시공전담팀</t>
        </is>
      </c>
      <c r="J23" s="34" t="inlineStr">
        <is>
          <t>발주처가 원활한 차량시운전이 되도록 노반, 건축, 궤도, 전철전력, 통신, 신호 분야를 종합하여 최종 점검</t>
        </is>
      </c>
      <c r="K23" s="50" t="inlineStr">
        <is>
          <t>- 노반/궤도 시공상태 점검
- 건축한계 및 차량한계 검사
1) 건축한계: 폭(3,600mm) / 높이(5,300mm)
2) 차량한계: 폭(3,200mm) / 높이(4,750mm)
- 전차선, 신호, 통신 작동상태 확인</t>
        </is>
      </c>
      <c r="L23" s="34" t="inlineStr">
        <is>
          <t>점검 결과보고서</t>
        </is>
      </c>
      <c r="M23" s="34" t="inlineStr">
        <is>
          <t>1) 본선 트램 차량 투입 전 LTE-R 차상 통신장치, 무선 안테나 및 관제 무선 연동태세 점검
2) 차량 투입 대비 통신 무무선 연동 안전 상태 확인 표준 적용</t>
        </is>
      </c>
      <c r="N23" s="35">
        <f>HYPERLINK(LEFT(CELL("filename",A1),FIND("[",CELL("filename",A1))-1)&amp;"9.통신분야\21_공종별 시험\표준서\9000-2-21_공종별 시험_표준서.html", "👉 [클릭] 표준서 열기 📄")</f>
        <v/>
      </c>
      <c r="O23" s="34" t="inlineStr">
        <is>
          <t>1) 차상 연동 점검: 본선 트램 차량 투입 전 차량 차상 LTE-R 통신장비, 무선 안테나 및 관제 무선 연동태세 실측
2) 투입 안전 승인: 차량 투입 시 무선 통신 끊김 예방 점검 및 차량 투입 전 통신 안전 확인서 작성</t>
        </is>
      </c>
      <c r="P23" s="36">
        <f>HYPERLINK(LEFT(CELL("filename",A1),FIND("[",CELL("filename",A1))-1)&amp;"9.통신분야\21_공종별 시험\수행지침\공종별 시험_수행지침.html", "👉 [클릭] 수행지침 열기 📄")</f>
        <v/>
      </c>
      <c r="Q23" s="34" t="inlineStr">
        <is>
          <t>1) 본선 전 구간 궤도변 건축한계 규격(폭 3,100mm / 높이 3,800mm) 내 침범 요소 유무를 실측 확인하였는가?
2) 궤도 주변 통신 케이블 트레이 및 광점퍼 선로 묶음이 건축한계 이내로 처지거나 돌출되지 않음을 확인하였는가?</t>
        </is>
      </c>
      <c r="R23" s="37">
        <f>HYPERLINK(LEFT(CELL("filename",A1),FIND("[",CELL("filename",A1))-1)&amp;"9.통신분야\21_공종별 시험\체크리스트\9000-2-21_공종별 시험_체크리스트.html", "👉 [클릭] 체크리스트 열기 📄")</f>
        <v/>
      </c>
      <c r="S23" s="33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8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8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8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18" t="n"/>
      <c r="GI23" s="18" t="n"/>
      <c r="GJ23" s="18" t="n"/>
      <c r="GK23" s="18" t="n"/>
      <c r="GL23" s="18" t="n"/>
      <c r="GM23" s="18" t="n"/>
      <c r="GN23" s="18" t="n"/>
      <c r="GO23" s="18" t="n"/>
      <c r="GP23" s="18" t="n"/>
      <c r="GQ23" s="18" t="n"/>
      <c r="GR23" s="18" t="n"/>
      <c r="GS23" s="18" t="n"/>
      <c r="GT23" s="18" t="n"/>
      <c r="GU23" s="18" t="n"/>
      <c r="GV23" s="18" t="n"/>
      <c r="GW23" s="18" t="n"/>
      <c r="GX23" s="18" t="n"/>
      <c r="GY23" s="18" t="n"/>
      <c r="GZ23" s="18" t="n"/>
      <c r="HA23" s="18" t="n"/>
      <c r="HB23" s="18" t="n"/>
      <c r="HC23" s="18" t="n"/>
      <c r="HD23" s="18" t="n"/>
      <c r="HE23" s="18" t="n"/>
      <c r="HF23" s="18" t="n"/>
      <c r="HG23" s="18" t="n"/>
      <c r="HH23" s="18" t="n"/>
      <c r="HI23" s="18" t="n"/>
      <c r="HJ23" s="18" t="n"/>
      <c r="HK23" s="18" t="n"/>
      <c r="HL23" s="18" t="n"/>
      <c r="HM23" s="18" t="n"/>
      <c r="HN23" s="18" t="n"/>
      <c r="HO23" s="18" t="n"/>
      <c r="HP23" s="18" t="n"/>
      <c r="HQ23" s="18" t="n"/>
      <c r="HR23" s="18" t="n"/>
      <c r="HS23" s="18" t="n"/>
      <c r="HT23" s="18" t="n"/>
      <c r="HU23" s="18" t="n"/>
      <c r="HV23" s="18" t="n"/>
      <c r="HW23" s="18" t="n"/>
      <c r="HX23" s="18" t="n"/>
      <c r="HY23" s="18" t="n"/>
      <c r="HZ23" s="18" t="n"/>
      <c r="IA23" s="18" t="n"/>
      <c r="IB23" s="18" t="n"/>
      <c r="IC23" s="18" t="n"/>
      <c r="ID23" s="18" t="n"/>
      <c r="IE23" s="18" t="n"/>
    </row>
    <row r="24" ht="52.05" customHeight="1" s="88">
      <c r="A24" s="19" t="inlineStr">
        <is>
          <t>9000</t>
        </is>
      </c>
      <c r="B24" s="19" t="inlineStr">
        <is>
          <t>9000-9</t>
        </is>
      </c>
      <c r="C24" s="19" t="inlineStr">
        <is>
          <t>통신분야</t>
        </is>
      </c>
      <c r="D24" s="19" t="inlineStr">
        <is>
          <t>9000-9-23</t>
        </is>
      </c>
      <c r="E24" s="95" t="inlineStr">
        <is>
          <t>9000-9-19, 9000-9-20</t>
        </is>
      </c>
      <c r="F24" s="95" t="inlineStr">
        <is>
          <t>9000-9-26, 9000-9-27</t>
        </is>
      </c>
      <c r="G24" s="23" t="inlineStr">
        <is>
          <t>차량 시운전</t>
        </is>
      </c>
      <c r="H24" s="21" t="inlineStr">
        <is>
          <t>D+301~D+360</t>
        </is>
      </c>
      <c r="I24" s="21" t="inlineStr">
        <is>
          <t>현장 시스템팀</t>
        </is>
      </c>
      <c r="J24" s="24" t="inlineStr">
        <is>
          <t>철도안전법에 따른 철도차량 형식시험</t>
        </is>
      </c>
      <c r="K24" s="24" t="inlineStr">
        <is>
          <t>- 철도안전법 제26조(철도차량 형식승인)에 따라 이행(주로 본선구간 수행)
- 차량, 신호, 통신 시스템간 인터페이스 시험</t>
        </is>
      </c>
      <c r="L24" s="24" t="inlineStr">
        <is>
          <t>철도차량 형식승인 결과 보고서</t>
        </is>
      </c>
      <c r="M24" s="24" t="inlineStr">
        <is>
          <t>1) 트램 차량 본선 주행 시 LTE-R 무선 수신강도(RSSI/RSRP), 핸드오버 및 음성/데이터 통신 검측
2) 주행 중 통신 끊김 여부 및 차상-지상 간 통신 품질 성과표 작성 표준 적용</t>
        </is>
      </c>
      <c r="N24" s="25">
        <f>HYPERLINK(LEFT(CELL("filename",A1),FIND("[",CELL("filename",A1))-1)&amp;"9.통신분야\22_차량 투입 전 점검\표준서\차량 투입 전 점검_표준서.html", "👉 [클릭] 표준서 열기 📄")</f>
        <v/>
      </c>
      <c r="O24" s="24" t="inlineStr">
        <is>
          <t>1) 본선 주행 시험: 트램 차량 본선 주행 중 LTE-R 무선 수신강도(RSSI ≥ -95dBm), 핸드오버 성공률(≥99.5%) 실측
2) 주행 통신 검측: 차상-지상 간 CCTV 영상 전송 및 관제 데이터 무선 통신 품질 성과표 최종 확정</t>
        </is>
      </c>
      <c r="P24" s="26">
        <f>HYPERLINK(LEFT(CELL("filename",A1),FIND("[",CELL("filename",A1))-1)&amp;"9.통신분야\22_차량 투입 전 점검\수행지침\차량 투입 전 점검_수행지침.html", "👉 [클릭] 수행지침 열기 📄")</f>
        <v/>
      </c>
      <c r="Q24" s="24" t="inlineStr">
        <is>
          <t>1) 본선 실 주행 최고 속도 조건에서 LTE-R 차상 단말기 수신 감도(RSSI ≥ -85dBm)를 지속 유지하였는가?
2) 주행 중 LTE-R 기지국 간 이동 시 핸드오버 성공률 100% 및 음성 무선 통화 끊김 0건을 검측하였는가?</t>
        </is>
      </c>
      <c r="R24" s="27">
        <f>HYPERLINK(LEFT(CELL("filename",A1),FIND("[",CELL("filename",A1))-1)&amp;"9.통신분야\22_차량 투입 전 점검\체크리스트\9000-2-22_차량 투입 전 점검_체크리스트.html", "👉 [클릭] 체크리스트 열기 📄")</f>
        <v/>
      </c>
      <c r="S24" s="21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8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8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8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18" t="n"/>
      <c r="GI24" s="18" t="n"/>
      <c r="GJ24" s="18" t="n"/>
      <c r="GK24" s="18" t="n"/>
      <c r="GL24" s="18" t="n"/>
      <c r="GM24" s="18" t="n"/>
      <c r="GN24" s="18" t="n"/>
      <c r="GO24" s="18" t="n"/>
      <c r="GP24" s="18" t="n"/>
      <c r="GQ24" s="18" t="n"/>
      <c r="GR24" s="18" t="n"/>
      <c r="GS24" s="18" t="n"/>
      <c r="GT24" s="18" t="n"/>
      <c r="GU24" s="18" t="n"/>
      <c r="GV24" s="18" t="n"/>
      <c r="GW24" s="18" t="n"/>
      <c r="GX24" s="18" t="n"/>
      <c r="GY24" s="18" t="n"/>
      <c r="GZ24" s="18" t="n"/>
      <c r="HA24" s="18" t="n"/>
      <c r="HB24" s="18" t="n"/>
      <c r="HC24" s="18" t="n"/>
      <c r="HD24" s="18" t="n"/>
      <c r="HE24" s="18" t="n"/>
      <c r="HF24" s="18" t="n"/>
      <c r="HG24" s="18" t="n"/>
      <c r="HH24" s="18" t="n"/>
      <c r="HI24" s="18" t="n"/>
      <c r="HJ24" s="18" t="n"/>
      <c r="HK24" s="18" t="n"/>
      <c r="HL24" s="18" t="n"/>
      <c r="HM24" s="18" t="n"/>
      <c r="HN24" s="18" t="n"/>
      <c r="HO24" s="18" t="n"/>
      <c r="HP24" s="18" t="n"/>
      <c r="HQ24" s="18" t="n"/>
      <c r="HR24" s="18" t="n"/>
      <c r="HS24" s="18" t="n"/>
      <c r="HT24" s="18" t="n"/>
      <c r="HU24" s="18" t="n"/>
      <c r="HV24" s="18" t="n"/>
      <c r="HW24" s="18" t="n"/>
      <c r="HX24" s="18" t="n"/>
      <c r="HY24" s="18" t="n"/>
      <c r="HZ24" s="18" t="n"/>
      <c r="IA24" s="18" t="n"/>
      <c r="IB24" s="18" t="n"/>
      <c r="IC24" s="18" t="n"/>
      <c r="ID24" s="18" t="n"/>
      <c r="IE24" s="18" t="n"/>
      <c r="IF24" s="18" t="n"/>
      <c r="IG24" s="18" t="n"/>
      <c r="IH24" s="18" t="n"/>
      <c r="II24" s="18" t="n"/>
    </row>
    <row r="25" ht="52.05" customHeight="1" s="88">
      <c r="A25" s="29" t="inlineStr">
        <is>
          <t>9000</t>
        </is>
      </c>
      <c r="B25" s="29" t="inlineStr">
        <is>
          <t>9000-9</t>
        </is>
      </c>
      <c r="C25" s="29" t="inlineStr">
        <is>
          <t>통신분야</t>
        </is>
      </c>
      <c r="D25" s="29" t="inlineStr">
        <is>
          <t>9000-9-24</t>
        </is>
      </c>
      <c r="E25" s="102" t="inlineStr">
        <is>
          <t>9000-9-20, 9000-9-21</t>
        </is>
      </c>
      <c r="F25" s="102" t="inlineStr">
        <is>
          <t>9000-9-27, 9000-9-28</t>
        </is>
      </c>
      <c r="G25" s="32" t="inlineStr">
        <is>
          <t>운영자 교육시행</t>
        </is>
      </c>
      <c r="H25" s="33" t="inlineStr">
        <is>
          <t>D+361
~D+374</t>
        </is>
      </c>
      <c r="I25" s="33" t="inlineStr">
        <is>
          <t>현장 시스템팀</t>
        </is>
      </c>
      <c r="J25" s="34" t="inlineStr">
        <is>
          <t>영업시운전 전에 시설을 운영자를 대상으로 운영 및 유지관리방법에 대해 교육</t>
        </is>
      </c>
      <c r="K25" s="34" t="inlineStr">
        <is>
          <t>- 통신 시스템 제작사가 만든 매뉴얼로 운영자를 교육
: 관제설비등통신설비 운영/관리방법</t>
        </is>
      </c>
      <c r="L25" s="34" t="inlineStr">
        <is>
          <t>운영자 교육 결과서</t>
        </is>
      </c>
      <c r="M25" s="34" t="inlineStr">
        <is>
          <t>1) 시설물 인수인계 전 운영사 운영자 및 유지보수 요원 대상 통신 시스템 운영 교육 실시
2) 교육 교재 작성, 시스템 운용/장해 조치 실습 및 교육 이수 확인서 작성 표준 적용</t>
        </is>
      </c>
      <c r="N25" s="35">
        <f>HYPERLINK(LEFT(CELL("filename",A1),FIND("[",CELL("filename",A1))-1)&amp;"9.통신분야\23_차량 시운전\표준서\9000-2-23_차량 시운전_표준서.html", "👉 [클릭] 표준서 열기 📄")</f>
        <v/>
      </c>
      <c r="O25" s="34" t="inlineStr">
        <is>
          <t>1) 교육 프로그램 실시: 운영사 운영자 및 유지관리 요원 대상 통신 시스템 구조, HMI 운용 및 비상 조치 교육
2) 교육 이수 확정: 현장 실습 교육 수행, 질문/답변 점검 및 운영자 교육 참석 이수 확인서 최종 작성</t>
        </is>
      </c>
      <c r="P25" s="36">
        <f>HYPERLINK(LEFT(CELL("filename",A1),FIND("[",CELL("filename",A1))-1)&amp;"9.통신분야\23_차량 시운전\수행지침\차량 시운전_수행지침.html", "👉 [클릭] 수행지침 열기 📄")</f>
        <v/>
      </c>
      <c r="Q25" s="34" t="inlineStr">
        <is>
          <t>1) 통신 4대 계통(교환, 무선, PIS/PA, CCTV) 제작사 공식 기술 매뉴얼을 수집·구비하였는가?
2) 주요 장비 장애 시 대응할 수 있는 계통별 긴급 비상 조치 매뉴얼 교재를 편찬하였는가?</t>
        </is>
      </c>
      <c r="R25" s="37">
        <f>HYPERLINK(LEFT(CELL("filename",A1),FIND("[",CELL("filename",A1))-1)&amp;"9.통신분야\23_차량 시운전\체크리스트\9000-2-23_차량 시운전_체크리스트.html", "👉 [클릭] 체크리스트 열기 📄")</f>
        <v/>
      </c>
      <c r="S25" s="33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8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8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8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18" t="n"/>
      <c r="GI25" s="18" t="n"/>
      <c r="GJ25" s="18" t="n"/>
      <c r="GK25" s="18" t="n"/>
      <c r="GL25" s="18" t="n"/>
      <c r="GM25" s="18" t="n"/>
      <c r="GN25" s="18" t="n"/>
      <c r="GO25" s="18" t="n"/>
      <c r="GP25" s="18" t="n"/>
      <c r="GQ25" s="18" t="n"/>
      <c r="GR25" s="18" t="n"/>
      <c r="GS25" s="18" t="n"/>
      <c r="GT25" s="18" t="n"/>
      <c r="GU25" s="18" t="n"/>
      <c r="GV25" s="18" t="n"/>
      <c r="GW25" s="18" t="n"/>
      <c r="GX25" s="18" t="n"/>
      <c r="GY25" s="18" t="n"/>
      <c r="GZ25" s="18" t="n"/>
      <c r="HA25" s="18" t="n"/>
      <c r="HB25" s="18" t="n"/>
      <c r="HC25" s="18" t="n"/>
      <c r="HD25" s="18" t="n"/>
      <c r="HE25" s="18" t="n"/>
      <c r="HF25" s="18" t="n"/>
      <c r="HG25" s="18" t="n"/>
      <c r="HH25" s="18" t="n"/>
      <c r="HI25" s="18" t="n"/>
      <c r="HJ25" s="18" t="n"/>
      <c r="HK25" s="18" t="n"/>
      <c r="HL25" s="18" t="n"/>
      <c r="HM25" s="18" t="n"/>
      <c r="HN25" s="18" t="n"/>
      <c r="HO25" s="18" t="n"/>
      <c r="HP25" s="18" t="n"/>
      <c r="HQ25" s="18" t="n"/>
      <c r="HR25" s="18" t="n"/>
      <c r="HS25" s="18" t="n"/>
      <c r="HT25" s="18" t="n"/>
      <c r="HU25" s="18" t="n"/>
      <c r="HV25" s="18" t="n"/>
      <c r="HW25" s="18" t="n"/>
      <c r="HX25" s="18" t="n"/>
      <c r="HY25" s="18" t="n"/>
      <c r="HZ25" s="18" t="n"/>
      <c r="IA25" s="18" t="n"/>
      <c r="IB25" s="18" t="n"/>
      <c r="IC25" s="18" t="n"/>
      <c r="ID25" s="18" t="n"/>
      <c r="IE25" s="18" t="n"/>
      <c r="IF25" s="18" t="n"/>
      <c r="IG25" s="18" t="n"/>
      <c r="IH25" s="18" t="n"/>
      <c r="II25" s="18" t="n"/>
      <c r="IJ25" s="18" t="n"/>
      <c r="IK25" s="18" t="n"/>
      <c r="IL25" s="18" t="n"/>
      <c r="IM25" s="18" t="n"/>
    </row>
    <row r="26" ht="52.05" customHeight="1" s="88">
      <c r="A26" s="19" t="inlineStr">
        <is>
          <t>9000</t>
        </is>
      </c>
      <c r="B26" s="19" t="inlineStr">
        <is>
          <t>9000-9</t>
        </is>
      </c>
      <c r="C26" s="19" t="inlineStr">
        <is>
          <t>통신분야</t>
        </is>
      </c>
      <c r="D26" s="19" t="inlineStr">
        <is>
          <t>9000-9-25</t>
        </is>
      </c>
      <c r="E26" s="95" t="inlineStr">
        <is>
          <t>9000-9-21, 9000-9-22</t>
        </is>
      </c>
      <c r="F26" s="95" t="inlineStr">
        <is>
          <t>9000-9-28, 9000-9-29</t>
        </is>
      </c>
      <c r="G26" s="23" t="inlineStr">
        <is>
          <t>사전점검</t>
        </is>
      </c>
      <c r="H26" s="21" t="inlineStr">
        <is>
          <t>D+375
~D+414</t>
        </is>
      </c>
      <c r="I26" s="21" t="inlineStr">
        <is>
          <t>현장소장 및 발주처 / 공동감리단</t>
        </is>
      </c>
      <c r="J26" s="24" t="inlineStr">
        <is>
          <t>시설물검증시험의 가능여부를 확인하기 위하여 발주처와 운영자가 합동으로 점검</t>
        </is>
      </c>
      <c r="K26" s="24" t="inlineStr">
        <is>
          <t>- (기준) 철도종합시험운행 시행지침 제8조 "종합시험운행을 위한 사전점검"에 따름
- 발주처는 공종별 시험을 완료한 후 시설물 검증시험의 가능여부를 확인하기 위하여 사전점검계획을 수립하고 운영자와 합동으로 실시
- 발주처와 운영자의 사전점검 결과보고서를 한국교통안전공단에 제출(점검후 7일 이내)</t>
        </is>
      </c>
      <c r="L26" s="24" t="inlineStr">
        <is>
          <t>사전점검 결과보고서/승인문서(한국교통안전공단)</t>
        </is>
      </c>
      <c r="M26" s="24" t="inlineStr">
        <is>
          <t>1) 철도종합시험운행 지침 제8조에 의거한 사전점검계획 수립 및 기술기준 부합성 종합 점검
2) 사전점검 결과 보고서 작성 및 한국교통안전공단 제출 승인 표준 적용</t>
        </is>
      </c>
      <c r="N26" s="25">
        <f>HYPERLINK(LEFT(CELL("filename",A1),FIND("[",CELL("filename",A1))-1)&amp;"9.통신분야\24_운영자 교육시행\표준서\운영자 교육시행_표준서.html", "👉 [클릭] 표준서 열기 📄")</f>
        <v/>
      </c>
      <c r="O26" s="24" t="inlineStr">
        <is>
          <t>1) 사전점검 수검 절차: 철도종합시험운행 지침 제8조에 의거 사전점검 수행반 구성 및 통신 설비 종합 점검
2) 점검 결과 승인: 기술기준 부합 여부 사전 검증, 지적사항 조치 완료 및 한국교통안전공단 사전점검 보고서 제출</t>
        </is>
      </c>
      <c r="P26" s="26">
        <f>HYPERLINK(LEFT(CELL("filename",A1),FIND("[",CELL("filename",A1))-1)&amp;"9.통신분야\24_운영자 교육시행\수행지침\운영자 교육시행_수행지침.html", "👉 [클릭] 수행지침 열기 📄")</f>
        <v/>
      </c>
      <c r="Q26" s="24" t="inlineStr">
        <is>
          <t>1) 철도종합시험운행 시행지침 제8조 규정에 맞춘 사전점검계획서를 작성하였는가?
2) 발주처, 운영기관, 책임감리단 및 현장소장이 포함된 3자 합동 사전점검반을 조직하였는가?</t>
        </is>
      </c>
      <c r="R26" s="27">
        <f>HYPERLINK(LEFT(CELL("filename",A1),FIND("[",CELL("filename",A1))-1)&amp;"9.통신분야\24_운영자 교육시행\체크리스트\9000-2-24_운영자 교육시행_체크리스트.html", "👉 [클릭] 체크리스트 열기 📄")</f>
        <v/>
      </c>
      <c r="S26" s="21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8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8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8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18" t="n"/>
      <c r="GI26" s="18" t="n"/>
      <c r="GJ26" s="18" t="n"/>
      <c r="GK26" s="18" t="n"/>
      <c r="GL26" s="18" t="n"/>
      <c r="GM26" s="18" t="n"/>
      <c r="GN26" s="18" t="n"/>
      <c r="GO26" s="18" t="n"/>
      <c r="GP26" s="18" t="n"/>
      <c r="GQ26" s="18" t="n"/>
      <c r="GR26" s="18" t="n"/>
      <c r="GS26" s="18" t="n"/>
      <c r="GT26" s="18" t="n"/>
      <c r="GU26" s="18" t="n"/>
      <c r="GV26" s="18" t="n"/>
      <c r="GW26" s="18" t="n"/>
      <c r="GX26" s="18" t="n"/>
      <c r="GY26" s="18" t="n"/>
      <c r="GZ26" s="18" t="n"/>
      <c r="HA26" s="18" t="n"/>
      <c r="HB26" s="18" t="n"/>
      <c r="HC26" s="18" t="n"/>
      <c r="HD26" s="18" t="n"/>
      <c r="HE26" s="18" t="n"/>
      <c r="HF26" s="18" t="n"/>
      <c r="HG26" s="18" t="n"/>
      <c r="HH26" s="18" t="n"/>
      <c r="HI26" s="18" t="n"/>
      <c r="HJ26" s="18" t="n"/>
      <c r="HK26" s="18" t="n"/>
      <c r="HL26" s="18" t="n"/>
      <c r="HM26" s="18" t="n"/>
      <c r="HN26" s="18" t="n"/>
      <c r="HO26" s="18" t="n"/>
      <c r="HP26" s="18" t="n"/>
      <c r="HQ26" s="18" t="n"/>
      <c r="HR26" s="18" t="n"/>
      <c r="HS26" s="18" t="n"/>
      <c r="HT26" s="18" t="n"/>
      <c r="HU26" s="18" t="n"/>
      <c r="HV26" s="18" t="n"/>
      <c r="HW26" s="18" t="n"/>
      <c r="HX26" s="18" t="n"/>
      <c r="HY26" s="18" t="n"/>
      <c r="HZ26" s="18" t="n"/>
      <c r="IA26" s="18" t="n"/>
      <c r="IB26" s="18" t="n"/>
      <c r="IC26" s="18" t="n"/>
      <c r="ID26" s="18" t="n"/>
      <c r="IE26" s="18" t="n"/>
      <c r="IF26" s="18" t="n"/>
      <c r="IG26" s="18" t="n"/>
      <c r="IH26" s="18" t="n"/>
      <c r="II26" s="18" t="n"/>
      <c r="IJ26" s="18" t="n"/>
      <c r="IK26" s="18" t="n"/>
      <c r="IL26" s="18" t="n"/>
      <c r="IM26" s="18" t="n"/>
      <c r="IN26" s="18" t="n"/>
      <c r="IO26" s="18" t="n"/>
      <c r="IP26" s="18" t="n"/>
      <c r="IQ26" s="18" t="n"/>
    </row>
    <row r="27" ht="52.05" customHeight="1" s="88">
      <c r="A27" s="29" t="inlineStr">
        <is>
          <t>9000</t>
        </is>
      </c>
      <c r="B27" s="29" t="inlineStr">
        <is>
          <t>9000-9</t>
        </is>
      </c>
      <c r="C27" s="29" t="inlineStr">
        <is>
          <t>통신분야</t>
        </is>
      </c>
      <c r="D27" s="29" t="inlineStr">
        <is>
          <t>9000-9-26</t>
        </is>
      </c>
      <c r="E27" s="102" t="inlineStr">
        <is>
          <t>9000-9-22, 9000-9-23</t>
        </is>
      </c>
      <c r="F27" s="102" t="inlineStr">
        <is>
          <t>9000-9-29, 9000-9-30</t>
        </is>
      </c>
      <c r="G27" s="32" t="inlineStr">
        <is>
          <t>시설물 검증시험</t>
        </is>
      </c>
      <c r="H27" s="33" t="inlineStr">
        <is>
          <t>D+415
~D+499</t>
        </is>
      </c>
      <c r="I27" s="33" t="inlineStr">
        <is>
          <t>현장소장 및 발주처 / 공동감리단</t>
        </is>
      </c>
      <c r="J27" s="34" t="inlineStr">
        <is>
          <t>발주처는 시설물의 정상작동 상태 등을 확인하기 위해 시설물 검증시험을 수행</t>
        </is>
      </c>
      <c r="K27" s="34" t="inlineStr">
        <is>
          <t>- (기준) 철도종합시험운행 시행지침 제12조(시설물검증시험계획의 수립), 13조(시설물검증시험의 시행)에 따름
- 발주처는 시설물검증시험계획을 운영자와 협의하여 수립하고 전문기관의 승인을 받은 후 시행
- 철도종합시험운행 시설물검증시험 점검항목: 시설물의 정상작동 상태, 철도시설의 안전상태, 철도차량의 운행적합성, 철도시설과 차량 간의 연계성
- 발주처와 운영자의 시설물 검증시험 결과보고서를 한국교통안전공단에 제출(점검후 7일 이내)</t>
        </is>
      </c>
      <c r="L27" s="34" t="inlineStr">
        <is>
          <t>시설물 검증시험 결과보고서/승인문서(한국교통안전공단)</t>
        </is>
      </c>
      <c r="M27" s="34" t="inlineStr">
        <is>
          <t>1) 시설물검증시험 계획 수립 및 본선 주행 시험 차량을 이용한 통신 설비 최고속도 성능 검증
2) LTE-R 무선 품질, 관제 데이터 전송률 및 시설물검증 합격 판정 표준 적용</t>
        </is>
      </c>
      <c r="N27" s="35">
        <f>HYPERLINK(LEFT(CELL("filename",A1),FIND("[",CELL("filename",A1))-1)&amp;"9.통신분야\25_사전점검\표준서\9000-2-25_사전점검_표준서.html", "👉 [클릭] 표준서 열기 📄")</f>
        <v/>
      </c>
      <c r="O27" s="34" t="inlineStr">
        <is>
          <t>1) 최고속도 주행 검증: 시설물검증시험 계획에 따라 시운전 열차를 최고 설계속도로 주행하며 통신 성능 실측
2) 검증 결과 확정: LTE-R 무선망 수신강도, 데이터 전송 지연시간 실측 및 시설물검증시험 합격 판정</t>
        </is>
      </c>
      <c r="P27" s="36">
        <f>HYPERLINK(LEFT(CELL("filename",A1),FIND("[",CELL("filename",A1))-1)&amp;"9.통신분야\25_사전점검\수행지침\9000-2-25_사전점검_수행지침.html", "👉 [클릭] 수행지침 열기 📄")</f>
        <v/>
      </c>
      <c r="Q27" s="34" t="inlineStr">
        <is>
          <t>1) 철도종합시험운행 시행지침 제14조에 따라 시설물검증시험계획을 작성하였는가?
2) 전문기관인 한국교통안전공단으로부터 시설물검증시험계획 적격 승인을 수령하였는가?</t>
        </is>
      </c>
      <c r="R27" s="37">
        <f>HYPERLINK(LEFT(CELL("filename",A1),FIND("[",CELL("filename",A1))-1)&amp;"9.통신분야\25_사전점검\체크리스트\9000-2-25_사전점검_체크리스트.html", "👉 [클릭] 체크리스트 열기 📄")</f>
        <v/>
      </c>
      <c r="S27" s="33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Y27" s="18" t="n"/>
      <c r="DZ27" s="18" t="n"/>
      <c r="EA27" s="18" t="n"/>
      <c r="EB27" s="18" t="n"/>
      <c r="EC27" s="18" t="n"/>
      <c r="ED27" s="18" t="n"/>
      <c r="EE27" s="18" t="n"/>
      <c r="EF27" s="18" t="n"/>
      <c r="EG27" s="18" t="n"/>
      <c r="EH27" s="18" t="n"/>
      <c r="EI27" s="18" t="n"/>
      <c r="EJ27" s="18" t="n"/>
      <c r="EK27" s="18" t="n"/>
      <c r="EL27" s="18" t="n"/>
      <c r="EM27" s="18" t="n"/>
      <c r="EN27" s="18" t="n"/>
      <c r="EO27" s="18" t="n"/>
      <c r="EP27" s="18" t="n"/>
      <c r="EQ27" s="18" t="n"/>
      <c r="ER27" s="18" t="n"/>
      <c r="ES27" s="18" t="n"/>
      <c r="ET27" s="18" t="n"/>
      <c r="EU27" s="18" t="n"/>
      <c r="EV27" s="18" t="n"/>
      <c r="EW27" s="18" t="n"/>
      <c r="EX27" s="18" t="n"/>
      <c r="EY27" s="18" t="n"/>
      <c r="EZ27" s="18" t="n"/>
      <c r="FA27" s="18" t="n"/>
      <c r="FB27" s="18" t="n"/>
      <c r="FC27" s="18" t="n"/>
      <c r="FD27" s="18" t="n"/>
      <c r="FE27" s="18" t="n"/>
      <c r="FF27" s="18" t="n"/>
      <c r="FG27" s="18" t="n"/>
      <c r="FH27" s="18" t="n"/>
      <c r="FI27" s="18" t="n"/>
      <c r="FJ27" s="18" t="n"/>
      <c r="FK27" s="18" t="n"/>
      <c r="FL27" s="18" t="n"/>
      <c r="FM27" s="18" t="n"/>
      <c r="FN27" s="18" t="n"/>
      <c r="FO27" s="18" t="n"/>
      <c r="FP27" s="18" t="n"/>
      <c r="FQ27" s="18" t="n"/>
      <c r="FR27" s="18" t="n"/>
      <c r="FS27" s="18" t="n"/>
      <c r="FT27" s="18" t="n"/>
      <c r="FU27" s="18" t="n"/>
      <c r="FV27" s="18" t="n"/>
      <c r="FW27" s="18" t="n"/>
      <c r="FX27" s="18" t="n"/>
      <c r="FY27" s="18" t="n"/>
      <c r="FZ27" s="18" t="n"/>
      <c r="GA27" s="18" t="n"/>
      <c r="GB27" s="18" t="n"/>
      <c r="GC27" s="18" t="n"/>
      <c r="GD27" s="18" t="n"/>
      <c r="GE27" s="18" t="n"/>
      <c r="GF27" s="18" t="n"/>
      <c r="GG27" s="18" t="n"/>
      <c r="GH27" s="18" t="n"/>
      <c r="GI27" s="18" t="n"/>
      <c r="GJ27" s="18" t="n"/>
      <c r="GK27" s="18" t="n"/>
      <c r="GL27" s="18" t="n"/>
      <c r="GM27" s="18" t="n"/>
      <c r="GN27" s="18" t="n"/>
      <c r="GO27" s="18" t="n"/>
      <c r="GP27" s="18" t="n"/>
      <c r="GQ27" s="18" t="n"/>
      <c r="GR27" s="18" t="n"/>
      <c r="GS27" s="18" t="n"/>
      <c r="GT27" s="18" t="n"/>
      <c r="GU27" s="18" t="n"/>
      <c r="GV27" s="18" t="n"/>
      <c r="GW27" s="18" t="n"/>
      <c r="GX27" s="18" t="n"/>
      <c r="GY27" s="18" t="n"/>
      <c r="GZ27" s="18" t="n"/>
      <c r="HA27" s="18" t="n"/>
      <c r="HB27" s="18" t="n"/>
      <c r="HC27" s="18" t="n"/>
      <c r="HD27" s="18" t="n"/>
      <c r="HE27" s="18" t="n"/>
      <c r="HF27" s="18" t="n"/>
      <c r="HG27" s="18" t="n"/>
      <c r="HH27" s="18" t="n"/>
      <c r="HI27" s="18" t="n"/>
      <c r="HJ27" s="18" t="n"/>
      <c r="HK27" s="18" t="n"/>
      <c r="HL27" s="18" t="n"/>
      <c r="HM27" s="18" t="n"/>
      <c r="HN27" s="18" t="n"/>
      <c r="HO27" s="18" t="n"/>
      <c r="HP27" s="18" t="n"/>
      <c r="HQ27" s="18" t="n"/>
      <c r="HR27" s="18" t="n"/>
      <c r="HS27" s="18" t="n"/>
      <c r="HT27" s="18" t="n"/>
      <c r="HU27" s="18" t="n"/>
      <c r="HV27" s="18" t="n"/>
      <c r="HW27" s="18" t="n"/>
      <c r="HX27" s="18" t="n"/>
      <c r="HY27" s="18" t="n"/>
      <c r="HZ27" s="18" t="n"/>
      <c r="IA27" s="18" t="n"/>
      <c r="IB27" s="18" t="n"/>
      <c r="IC27" s="18" t="n"/>
      <c r="ID27" s="18" t="n"/>
      <c r="IE27" s="18" t="n"/>
      <c r="IF27" s="18" t="n"/>
      <c r="IG27" s="18" t="n"/>
      <c r="IH27" s="18" t="n"/>
      <c r="II27" s="18" t="n"/>
      <c r="IJ27" s="18" t="n"/>
      <c r="IK27" s="18" t="n"/>
      <c r="IL27" s="18" t="n"/>
      <c r="IM27" s="18" t="n"/>
      <c r="IN27" s="18" t="n"/>
      <c r="IO27" s="18" t="n"/>
      <c r="IP27" s="18" t="n"/>
      <c r="IQ27" s="18" t="n"/>
      <c r="IR27" s="18" t="n"/>
      <c r="IS27" s="18" t="n"/>
      <c r="IT27" s="18" t="n"/>
      <c r="IU27" s="18" t="n"/>
    </row>
    <row r="28" ht="52.05" customHeight="1" s="88">
      <c r="A28" s="19" t="inlineStr">
        <is>
          <t>9000</t>
        </is>
      </c>
      <c r="B28" s="19" t="inlineStr">
        <is>
          <t>9000-9</t>
        </is>
      </c>
      <c r="C28" s="19" t="inlineStr">
        <is>
          <t>통신분야</t>
        </is>
      </c>
      <c r="D28" s="19" t="inlineStr">
        <is>
          <t>9000-9-27</t>
        </is>
      </c>
      <c r="E28" s="95" t="inlineStr">
        <is>
          <t>9000-9-23, 9000-9-24</t>
        </is>
      </c>
      <c r="F28" s="95" t="inlineStr">
        <is>
          <t>9000-9-30, 9000-9-31</t>
        </is>
      </c>
      <c r="G28" s="23" t="inlineStr">
        <is>
          <t>영업시운전</t>
        </is>
      </c>
      <c r="H28" s="21" t="inlineStr">
        <is>
          <t>D+500
~D+581</t>
        </is>
      </c>
      <c r="I28" s="21" t="inlineStr">
        <is>
          <t>현장소장 및 발주처 / 공동감리단</t>
        </is>
      </c>
      <c r="J28" s="24" t="inlineStr">
        <is>
          <t>발주처는 영업시운전계획에 따라 열차운행체계를 확인하기 위해 영업시운전을 수행</t>
        </is>
      </c>
      <c r="K28" s="49" t="inlineStr">
        <is>
          <t>- (기준) 철도종합시험운행 시행지침 제22조(영업시운전계획의 수립), 23조(영업시운전의 시행)에 따름
- 운영자는 영업시운전계획을 발주처와 협의하여 수립하고 전문기관의 승인을 받은 후 시행
- 영업시운전 점검항목: 열차운행체계, 철도종사자(운전/관제 등)의 업무숙달, 영업서비스 준비사항
- 영업조건과 동일한 조건으로 열차운행을 수행하여 운전/영업분야 점검
- 운영자는 영업시운전 결과보고서를 한국교통안전공단에 제출(점검후 7일 이내)
- 한국교통안전공단은 보고서를 받은 날부터 14일 이내 국토교통부장관에게 보고하여야 하며, 국토부 장관은 검토 결과를 보고를 받은 날부터 7일 이내에 발주처와 시도지사에 통보</t>
        </is>
      </c>
      <c r="L28" s="24" t="inlineStr">
        <is>
          <t>영업시운전 결과보고서/승인문서(한국교통안전공단), 국토부 승인문서</t>
        </is>
      </c>
      <c r="M28" s="24" t="inlineStr">
        <is>
          <t>1) 실제 영업 조건과 동일한 환경에서의 통신 시스템 연속 가동 및 관제 운용 검증
2) 영업시운전 기간 중 통신 장애 0건 달성 및 시운전 완료 보고서 확정 표준 적용</t>
        </is>
      </c>
      <c r="N28" s="25">
        <f>HYPERLINK(LEFT(CELL("filename",A1),FIND("[",CELL("filename",A1))-1)&amp;"9.통신분야\26_시설물 검증시험\표준서\시설물 검증시험_표준서.html", "👉 [클릭] 표준서 열기 📄")</f>
        <v/>
      </c>
      <c r="O28" s="24" t="inlineStr">
        <is>
          <t>1) 영업환경 가동 검증: 영업 시운전 스케줄에 따른 통신 시스템 24시간 연속 가동 및 관제 시스템 연동 상태 검증
2) 시운전 준공 확정: 영업시운전 기간 중 통신 장해 0건 달성 및 영업시운전 종합 결과 보고서 확정</t>
        </is>
      </c>
      <c r="P28" s="26">
        <f>HYPERLINK(LEFT(CELL("filename",A1),FIND("[",CELL("filename",A1))-1)&amp;"9.통신분야\26_시설물 검증시험\수행지침\시설물 검증시험_수행지침.html", "👉 [클릭] 수행지침 열기 📄")</f>
        <v/>
      </c>
      <c r="Q28" s="24" t="inlineStr">
        <is>
          <t>1) 철도종합시험운행 시행지침 제22조에 따른 영업시운전계획을 수립하였는가?
2) 전 정거장 행선안내게시기(PIS) 도착 시각 및 열치 위치 안내 오송출 0건을 달성하였는가?</t>
        </is>
      </c>
      <c r="R28" s="27">
        <f>HYPERLINK(LEFT(CELL("filename",A1),FIND("[",CELL("filename",A1))-1)&amp;"9.통신분야\26_시설물 검증시험\체크리스트\9000-2-26_시설물 검증시험_체크리스트.html", "👉 [클릭] 체크리스트 열기 📄")</f>
        <v/>
      </c>
      <c r="S28" s="21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Y28" s="18" t="n"/>
      <c r="DZ28" s="18" t="n"/>
      <c r="EA28" s="18" t="n"/>
      <c r="EB28" s="18" t="n"/>
      <c r="EC28" s="18" t="n"/>
      <c r="ED28" s="18" t="n"/>
      <c r="EE28" s="18" t="n"/>
      <c r="EF28" s="18" t="n"/>
      <c r="EG28" s="18" t="n"/>
      <c r="EH28" s="18" t="n"/>
      <c r="EI28" s="18" t="n"/>
      <c r="EJ28" s="18" t="n"/>
      <c r="EK28" s="18" t="n"/>
      <c r="EL28" s="18" t="n"/>
      <c r="EM28" s="18" t="n"/>
      <c r="EN28" s="18" t="n"/>
      <c r="EO28" s="18" t="n"/>
      <c r="EP28" s="18" t="n"/>
      <c r="EQ28" s="18" t="n"/>
      <c r="ER28" s="18" t="n"/>
      <c r="ES28" s="18" t="n"/>
      <c r="ET28" s="18" t="n"/>
      <c r="EU28" s="18" t="n"/>
      <c r="EV28" s="18" t="n"/>
      <c r="EW28" s="18" t="n"/>
      <c r="EX28" s="18" t="n"/>
      <c r="EY28" s="18" t="n"/>
      <c r="EZ28" s="18" t="n"/>
      <c r="FA28" s="18" t="n"/>
      <c r="FB28" s="18" t="n"/>
      <c r="FC28" s="18" t="n"/>
      <c r="FD28" s="18" t="n"/>
      <c r="FE28" s="18" t="n"/>
      <c r="FF28" s="18" t="n"/>
      <c r="FG28" s="18" t="n"/>
      <c r="FH28" s="18" t="n"/>
      <c r="FI28" s="18" t="n"/>
      <c r="FJ28" s="18" t="n"/>
      <c r="FK28" s="18" t="n"/>
      <c r="FL28" s="18" t="n"/>
      <c r="FM28" s="18" t="n"/>
      <c r="FN28" s="18" t="n"/>
      <c r="FO28" s="18" t="n"/>
      <c r="FP28" s="18" t="n"/>
      <c r="FQ28" s="18" t="n"/>
      <c r="FR28" s="18" t="n"/>
      <c r="FS28" s="18" t="n"/>
      <c r="FT28" s="18" t="n"/>
      <c r="FU28" s="18" t="n"/>
      <c r="FV28" s="18" t="n"/>
      <c r="FW28" s="18" t="n"/>
      <c r="FX28" s="18" t="n"/>
      <c r="FY28" s="18" t="n"/>
      <c r="FZ28" s="18" t="n"/>
      <c r="GA28" s="18" t="n"/>
      <c r="GB28" s="18" t="n"/>
      <c r="GC28" s="18" t="n"/>
      <c r="GD28" s="18" t="n"/>
      <c r="GE28" s="18" t="n"/>
      <c r="GF28" s="18" t="n"/>
      <c r="GG28" s="18" t="n"/>
      <c r="GH28" s="18" t="n"/>
      <c r="GI28" s="18" t="n"/>
      <c r="GJ28" s="18" t="n"/>
      <c r="GK28" s="18" t="n"/>
      <c r="GL28" s="18" t="n"/>
      <c r="GM28" s="18" t="n"/>
      <c r="GN28" s="18" t="n"/>
      <c r="GO28" s="18" t="n"/>
      <c r="GP28" s="18" t="n"/>
      <c r="GQ28" s="18" t="n"/>
      <c r="GR28" s="18" t="n"/>
      <c r="GS28" s="18" t="n"/>
      <c r="GT28" s="18" t="n"/>
      <c r="GU28" s="18" t="n"/>
      <c r="GV28" s="18" t="n"/>
      <c r="GW28" s="18" t="n"/>
      <c r="GX28" s="18" t="n"/>
      <c r="GY28" s="18" t="n"/>
      <c r="GZ28" s="18" t="n"/>
      <c r="HA28" s="18" t="n"/>
      <c r="HB28" s="18" t="n"/>
      <c r="HC28" s="18" t="n"/>
      <c r="HD28" s="18" t="n"/>
      <c r="HE28" s="18" t="n"/>
      <c r="HF28" s="18" t="n"/>
      <c r="HG28" s="18" t="n"/>
      <c r="HH28" s="18" t="n"/>
      <c r="HI28" s="18" t="n"/>
      <c r="HJ28" s="18" t="n"/>
      <c r="HK28" s="18" t="n"/>
      <c r="HL28" s="18" t="n"/>
      <c r="HM28" s="18" t="n"/>
      <c r="HN28" s="18" t="n"/>
      <c r="HO28" s="18" t="n"/>
      <c r="HP28" s="18" t="n"/>
      <c r="HQ28" s="18" t="n"/>
      <c r="HR28" s="18" t="n"/>
      <c r="HS28" s="18" t="n"/>
      <c r="HT28" s="18" t="n"/>
      <c r="HU28" s="18" t="n"/>
      <c r="HV28" s="18" t="n"/>
      <c r="HW28" s="18" t="n"/>
      <c r="HX28" s="18" t="n"/>
      <c r="HY28" s="18" t="n"/>
      <c r="HZ28" s="18" t="n"/>
      <c r="IA28" s="18" t="n"/>
      <c r="IB28" s="18" t="n"/>
      <c r="IC28" s="18" t="n"/>
      <c r="ID28" s="18" t="n"/>
      <c r="IE28" s="18" t="n"/>
      <c r="IF28" s="18" t="n"/>
      <c r="IG28" s="18" t="n"/>
      <c r="IH28" s="18" t="n"/>
      <c r="II28" s="18" t="n"/>
      <c r="IJ28" s="18" t="n"/>
      <c r="IK28" s="18" t="n"/>
      <c r="IL28" s="18" t="n"/>
      <c r="IM28" s="18" t="n"/>
      <c r="IN28" s="18" t="n"/>
      <c r="IO28" s="18" t="n"/>
      <c r="IP28" s="18" t="n"/>
      <c r="IQ28" s="18" t="n"/>
      <c r="IR28" s="18" t="n"/>
      <c r="IS28" s="18" t="n"/>
      <c r="IT28" s="18" t="n"/>
      <c r="IU28" s="18" t="n"/>
      <c r="IV28" s="18" t="n"/>
      <c r="IW28" s="18" t="n"/>
      <c r="IX28" s="18" t="n"/>
      <c r="IY28" s="18" t="n"/>
    </row>
    <row r="29" ht="52.05" customHeight="1" s="88">
      <c r="A29" s="29" t="inlineStr">
        <is>
          <t>9000</t>
        </is>
      </c>
      <c r="B29" s="29" t="inlineStr">
        <is>
          <t>9000-9</t>
        </is>
      </c>
      <c r="C29" s="29" t="inlineStr">
        <is>
          <t>통신분야</t>
        </is>
      </c>
      <c r="D29" s="29" t="inlineStr">
        <is>
          <t>9000-9-28</t>
        </is>
      </c>
      <c r="E29" s="102" t="inlineStr">
        <is>
          <t>9000-9-24, 9000-9-25</t>
        </is>
      </c>
      <c r="F29" s="102" t="inlineStr">
        <is>
          <t>9000-9-31, 9000-9-32</t>
        </is>
      </c>
      <c r="G29" s="32" t="inlineStr">
        <is>
          <t>자가용전기통신설비 설치신고</t>
        </is>
      </c>
      <c r="H29" s="33" t="inlineStr">
        <is>
          <t>D+375
~D+414</t>
        </is>
      </c>
      <c r="I29" s="33" t="inlineStr">
        <is>
          <t>시공사</t>
        </is>
      </c>
      <c r="J29" s="34" t="inlineStr">
        <is>
          <t>자가용전기통신설비의 합법적 설치</t>
        </is>
      </c>
      <c r="K29" s="34" t="inlineStr">
        <is>
          <t>- 관할 시청/구청에 설치공사 시작 21일 전까지 신고서와 설계도서 제출 (처리기간 15일)</t>
        </is>
      </c>
      <c r="L29" s="34" t="inlineStr">
        <is>
          <t>자가전기통신설비 설치신고 필증</t>
        </is>
      </c>
      <c r="M29" s="34" t="inlineStr">
        <is>
          <t>1) 전기통신사업법 제64조에 의거한 자가용전기통신설비 설치신고서 및 설비 개요서 작성
2) 관할 지자체(화성시 등) 제출 및 설치신고 수리증 발급 획득 표준 적용</t>
        </is>
      </c>
      <c r="N29" s="35">
        <f>HYPERLINK(LEFT(CELL("filename",A1),FIND("[",CELL("filename",A1))-1)&amp;"9.통신분야\27_영업시운전\표준서\9000-2-27_영업시운전_표준서.html", "👉 [클릭] 표준서 열기 📄")</f>
        <v/>
      </c>
      <c r="O29" s="34" t="inlineStr">
        <is>
          <t>1) 신고 서류 작성: 전기통신사업법 제64조에 따른 자가용전기통신설비 설치신고서 및 통신망 개요도 작성
2) 관할 관청 수리: 관할 지자체(화성시 등) 제출, 현장 서류 검토 수검 및 설치신고 수리증 발급 획득</t>
        </is>
      </c>
      <c r="P29" s="36">
        <f>HYPERLINK(LEFT(CELL("filename",A1),FIND("[",CELL("filename",A1))-1)&amp;"9.통신분야\27_영업시운전\수행지침\9000-2-27_영업시운전_수행지침.html", "👉 [클릭] 수행지침 열기 📄")</f>
        <v/>
      </c>
      <c r="Q29" s="34" t="inlineStr">
        <is>
          <t>1) 시방 대조[도면 및 여건] • 관련법령: 전기통신사업법 제64조 수칙을 사전 대조 확인하였는가?
2) 업체 Pool[적격 업체] 철도/트램 시공 및 영업운행 실적이 입증된 적격 업체 Pool을 검토하였는가?</t>
        </is>
      </c>
      <c r="R29" s="37">
        <f>HYPERLINK(LEFT(CELL("filename",A1),FIND("[",CELL("filename",A1))-1)&amp;"9.통신분야\27_영업시운전\체크리스트\9000-2-27_영업시운전_체크리스트.html", "👉 [클릭] 체크리스트 열기 📄")</f>
        <v/>
      </c>
      <c r="S29" s="33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Y29" s="18" t="n"/>
      <c r="DZ29" s="18" t="n"/>
      <c r="EA29" s="18" t="n"/>
      <c r="EB29" s="18" t="n"/>
      <c r="EC29" s="18" t="n"/>
      <c r="ED29" s="18" t="n"/>
      <c r="EE29" s="18" t="n"/>
      <c r="EF29" s="18" t="n"/>
      <c r="EG29" s="18" t="n"/>
      <c r="EH29" s="18" t="n"/>
      <c r="EI29" s="18" t="n"/>
      <c r="EJ29" s="18" t="n"/>
      <c r="EK29" s="18" t="n"/>
      <c r="EL29" s="18" t="n"/>
      <c r="EM29" s="18" t="n"/>
      <c r="EN29" s="18" t="n"/>
      <c r="EO29" s="18" t="n"/>
      <c r="EP29" s="18" t="n"/>
      <c r="EQ29" s="18" t="n"/>
      <c r="ER29" s="18" t="n"/>
      <c r="ES29" s="18" t="n"/>
      <c r="ET29" s="18" t="n"/>
      <c r="EU29" s="18" t="n"/>
      <c r="EV29" s="18" t="n"/>
      <c r="EW29" s="18" t="n"/>
      <c r="EX29" s="18" t="n"/>
      <c r="EY29" s="18" t="n"/>
      <c r="EZ29" s="18" t="n"/>
      <c r="FA29" s="18" t="n"/>
      <c r="FB29" s="18" t="n"/>
      <c r="FC29" s="18" t="n"/>
      <c r="FD29" s="18" t="n"/>
      <c r="FE29" s="18" t="n"/>
      <c r="FF29" s="18" t="n"/>
      <c r="FG29" s="18" t="n"/>
      <c r="FH29" s="18" t="n"/>
      <c r="FI29" s="18" t="n"/>
      <c r="FJ29" s="18" t="n"/>
      <c r="FK29" s="18" t="n"/>
      <c r="FL29" s="18" t="n"/>
      <c r="FM29" s="18" t="n"/>
      <c r="FN29" s="18" t="n"/>
      <c r="FO29" s="18" t="n"/>
      <c r="FP29" s="18" t="n"/>
      <c r="FQ29" s="18" t="n"/>
      <c r="FR29" s="18" t="n"/>
      <c r="FS29" s="18" t="n"/>
      <c r="FT29" s="18" t="n"/>
      <c r="FU29" s="18" t="n"/>
      <c r="FV29" s="18" t="n"/>
      <c r="FW29" s="18" t="n"/>
      <c r="FX29" s="18" t="n"/>
      <c r="FY29" s="18" t="n"/>
      <c r="FZ29" s="18" t="n"/>
      <c r="GA29" s="18" t="n"/>
      <c r="GB29" s="18" t="n"/>
      <c r="GC29" s="18" t="n"/>
      <c r="GD29" s="18" t="n"/>
      <c r="GE29" s="18" t="n"/>
      <c r="GF29" s="18" t="n"/>
      <c r="GG29" s="18" t="n"/>
      <c r="GH29" s="18" t="n"/>
      <c r="GI29" s="18" t="n"/>
      <c r="GJ29" s="18" t="n"/>
      <c r="GK29" s="18" t="n"/>
      <c r="GL29" s="18" t="n"/>
      <c r="GM29" s="18" t="n"/>
      <c r="GN29" s="18" t="n"/>
      <c r="GO29" s="18" t="n"/>
      <c r="GP29" s="18" t="n"/>
      <c r="GQ29" s="18" t="n"/>
      <c r="GR29" s="18" t="n"/>
      <c r="GS29" s="18" t="n"/>
      <c r="GT29" s="18" t="n"/>
      <c r="GU29" s="18" t="n"/>
      <c r="GV29" s="18" t="n"/>
      <c r="GW29" s="18" t="n"/>
      <c r="GX29" s="18" t="n"/>
      <c r="GY29" s="18" t="n"/>
      <c r="GZ29" s="18" t="n"/>
      <c r="HA29" s="18" t="n"/>
      <c r="HB29" s="18" t="n"/>
      <c r="HC29" s="18" t="n"/>
      <c r="HD29" s="18" t="n"/>
      <c r="HE29" s="18" t="n"/>
      <c r="HF29" s="18" t="n"/>
      <c r="HG29" s="18" t="n"/>
      <c r="HH29" s="18" t="n"/>
      <c r="HI29" s="18" t="n"/>
      <c r="HJ29" s="18" t="n"/>
      <c r="HK29" s="18" t="n"/>
      <c r="HL29" s="18" t="n"/>
      <c r="HM29" s="18" t="n"/>
      <c r="HN29" s="18" t="n"/>
      <c r="HO29" s="18" t="n"/>
      <c r="HP29" s="18" t="n"/>
      <c r="HQ29" s="18" t="n"/>
      <c r="HR29" s="18" t="n"/>
      <c r="HS29" s="18" t="n"/>
      <c r="HT29" s="18" t="n"/>
      <c r="HU29" s="18" t="n"/>
      <c r="HV29" s="18" t="n"/>
      <c r="HW29" s="18" t="n"/>
      <c r="HX29" s="18" t="n"/>
      <c r="HY29" s="18" t="n"/>
      <c r="HZ29" s="18" t="n"/>
      <c r="IA29" s="18" t="n"/>
      <c r="IB29" s="18" t="n"/>
      <c r="IC29" s="18" t="n"/>
      <c r="ID29" s="18" t="n"/>
      <c r="IE29" s="18" t="n"/>
      <c r="IF29" s="18" t="n"/>
      <c r="IG29" s="18" t="n"/>
      <c r="IH29" s="18" t="n"/>
      <c r="II29" s="18" t="n"/>
      <c r="IJ29" s="18" t="n"/>
      <c r="IK29" s="18" t="n"/>
      <c r="IL29" s="18" t="n"/>
      <c r="IM29" s="18" t="n"/>
      <c r="IN29" s="18" t="n"/>
      <c r="IO29" s="18" t="n"/>
      <c r="IP29" s="18" t="n"/>
      <c r="IQ29" s="18" t="n"/>
      <c r="IR29" s="18" t="n"/>
      <c r="IS29" s="18" t="n"/>
      <c r="IT29" s="18" t="n"/>
      <c r="IU29" s="18" t="n"/>
      <c r="IV29" s="18" t="n"/>
      <c r="IW29" s="18" t="n"/>
      <c r="IX29" s="18" t="n"/>
      <c r="IY29" s="18" t="n"/>
      <c r="IZ29" s="18" t="n"/>
      <c r="JA29" s="18" t="n"/>
      <c r="JB29" s="18" t="n"/>
      <c r="JC29" s="18" t="n"/>
    </row>
    <row r="30" ht="52.05" customHeight="1" s="88">
      <c r="A30" s="19" t="inlineStr">
        <is>
          <t>9000</t>
        </is>
      </c>
      <c r="B30" s="19" t="inlineStr">
        <is>
          <t>9000-9</t>
        </is>
      </c>
      <c r="C30" s="19" t="inlineStr">
        <is>
          <t>통신분야</t>
        </is>
      </c>
      <c r="D30" s="19" t="inlineStr">
        <is>
          <t>9000-9-29</t>
        </is>
      </c>
      <c r="E30" s="95" t="inlineStr">
        <is>
          <t>9000-9-25, 9000-9-26</t>
        </is>
      </c>
      <c r="F30" s="95" t="inlineStr">
        <is>
          <t>9000-9-32</t>
        </is>
      </c>
      <c r="G30" s="23" t="inlineStr">
        <is>
          <t>LTE-R 무선국허가</t>
        </is>
      </c>
      <c r="H30" s="21" t="inlineStr">
        <is>
          <t>D+375
~D+414</t>
        </is>
      </c>
      <c r="I30" s="21" t="inlineStr">
        <is>
          <t>발주처</t>
        </is>
      </c>
      <c r="J30" s="24" t="inlineStr">
        <is>
          <t>무선국 설치 후 사용을 위한 법적 허가 취득</t>
        </is>
      </c>
      <c r="K30" s="24" t="inlineStr">
        <is>
          <t>- 무선국(LTE-R) 설치 후 중앙전파관리소에 신청서, 시설개요서, 공사설계서 제출 (처리기간 14일)</t>
        </is>
      </c>
      <c r="L30" s="24" t="inlineStr">
        <is>
          <t>무선국허가증</t>
        </is>
      </c>
      <c r="M30" s="24" t="inlineStr">
        <is>
          <t>1) 전파법 제19조에 의거한 철도무선통신망(LTE-R) 무선국 개설허가 신청서 제출
2) KCA(한국방송통신전파진흥원) 제출 및 무선국 개설허가서 획득 표준 적용</t>
        </is>
      </c>
      <c r="N30" s="25">
        <f>HYPERLINK(LEFT(CELL("filename",A1),FIND("[",CELL("filename",A1))-1)&amp;"9.통신분야\28_자가용전기통신설비 설치신고\표준서\자가용전기통신설비 설치신고_표준서.html", "👉 [클릭] 표준서 열기 📄")</f>
        <v/>
      </c>
      <c r="O30" s="24" t="inlineStr">
        <is>
          <t>1) 허가 신청 절차: 전파법 제19조에 따른 LTE-R 무선국 개설허가 신청서, 안테나 제원표 및 기지국 좌표 작성
2) 무선국 허가 획득: KCA(한국방송통신전파진흥원) 서류 심사 수검 및 무선국 개설허가서 최종 발급</t>
        </is>
      </c>
      <c r="P30" s="26">
        <f>HYPERLINK(LEFT(CELL("filename",A1),FIND("[",CELL("filename",A1))-1)&amp;"9.통신분야\28_자가용전기통신설비 설치신고\수행지침\자가용전기통신설비 설치신고_수행지침.html", "👉 [클릭] 수행지침 열기 📄")</f>
        <v/>
      </c>
      <c r="Q30" s="24" t="inlineStr">
        <is>
          <t>1) 철도무선통신망 700MHz 대역(718~728MHz/773~783MHz) 주파수 할당 조건을 확인하였는가?
2) 본선 지상 기지국 안테나 설치 위치, 높이, 이득(dBi) 및 지향각 제원을 조사하였는가?</t>
        </is>
      </c>
      <c r="R30" s="27">
        <f>HYPERLINK(LEFT(CELL("filename",A1),FIND("[",CELL("filename",A1))-1)&amp;"9.통신분야\28_자가용전기통신설비 설치신고\체크리스트\9000-2-28_자가용전기통신설비 설치신고_체크리스트.html", "👉 [클릭] 체크리스트 열기 📄")</f>
        <v/>
      </c>
      <c r="S30" s="21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Y30" s="18" t="n"/>
      <c r="DZ30" s="18" t="n"/>
      <c r="EA30" s="18" t="n"/>
      <c r="EB30" s="18" t="n"/>
      <c r="EC30" s="18" t="n"/>
      <c r="ED30" s="18" t="n"/>
      <c r="EE30" s="18" t="n"/>
      <c r="EF30" s="18" t="n"/>
      <c r="EG30" s="18" t="n"/>
      <c r="EH30" s="18" t="n"/>
      <c r="EI30" s="18" t="n"/>
      <c r="EJ30" s="18" t="n"/>
      <c r="EK30" s="18" t="n"/>
      <c r="EL30" s="18" t="n"/>
      <c r="EM30" s="18" t="n"/>
      <c r="EN30" s="18" t="n"/>
      <c r="EO30" s="18" t="n"/>
      <c r="EP30" s="18" t="n"/>
      <c r="EQ30" s="18" t="n"/>
      <c r="ER30" s="18" t="n"/>
      <c r="ES30" s="18" t="n"/>
      <c r="ET30" s="18" t="n"/>
      <c r="EU30" s="18" t="n"/>
      <c r="EV30" s="18" t="n"/>
      <c r="EW30" s="18" t="n"/>
      <c r="EX30" s="18" t="n"/>
      <c r="EY30" s="18" t="n"/>
      <c r="EZ30" s="18" t="n"/>
      <c r="FA30" s="18" t="n"/>
      <c r="FB30" s="18" t="n"/>
      <c r="FC30" s="18" t="n"/>
      <c r="FD30" s="18" t="n"/>
      <c r="FE30" s="18" t="n"/>
      <c r="FF30" s="18" t="n"/>
      <c r="FG30" s="18" t="n"/>
      <c r="FH30" s="18" t="n"/>
      <c r="FI30" s="18" t="n"/>
      <c r="FJ30" s="18" t="n"/>
      <c r="FK30" s="18" t="n"/>
      <c r="FL30" s="18" t="n"/>
      <c r="FM30" s="18" t="n"/>
      <c r="FN30" s="18" t="n"/>
      <c r="FO30" s="18" t="n"/>
      <c r="FP30" s="18" t="n"/>
      <c r="FQ30" s="18" t="n"/>
      <c r="FR30" s="18" t="n"/>
      <c r="FS30" s="18" t="n"/>
      <c r="FT30" s="18" t="n"/>
      <c r="FU30" s="18" t="n"/>
      <c r="FV30" s="18" t="n"/>
      <c r="FW30" s="18" t="n"/>
      <c r="FX30" s="18" t="n"/>
      <c r="FY30" s="18" t="n"/>
      <c r="FZ30" s="18" t="n"/>
      <c r="GA30" s="18" t="n"/>
      <c r="GB30" s="18" t="n"/>
      <c r="GC30" s="18" t="n"/>
      <c r="GD30" s="18" t="n"/>
      <c r="GE30" s="18" t="n"/>
      <c r="GF30" s="18" t="n"/>
      <c r="GG30" s="18" t="n"/>
      <c r="GH30" s="18" t="n"/>
      <c r="GI30" s="18" t="n"/>
      <c r="GJ30" s="18" t="n"/>
      <c r="GK30" s="18" t="n"/>
      <c r="GL30" s="18" t="n"/>
      <c r="GM30" s="18" t="n"/>
      <c r="GN30" s="18" t="n"/>
      <c r="GO30" s="18" t="n"/>
      <c r="GP30" s="18" t="n"/>
      <c r="GQ30" s="18" t="n"/>
      <c r="GR30" s="18" t="n"/>
      <c r="GS30" s="18" t="n"/>
      <c r="GT30" s="18" t="n"/>
      <c r="GU30" s="18" t="n"/>
      <c r="GV30" s="18" t="n"/>
      <c r="GW30" s="18" t="n"/>
      <c r="GX30" s="18" t="n"/>
      <c r="GY30" s="18" t="n"/>
      <c r="GZ30" s="18" t="n"/>
      <c r="HA30" s="18" t="n"/>
      <c r="HB30" s="18" t="n"/>
      <c r="HC30" s="18" t="n"/>
      <c r="HD30" s="18" t="n"/>
      <c r="HE30" s="18" t="n"/>
      <c r="HF30" s="18" t="n"/>
      <c r="HG30" s="18" t="n"/>
      <c r="HH30" s="18" t="n"/>
      <c r="HI30" s="18" t="n"/>
      <c r="HJ30" s="18" t="n"/>
      <c r="HK30" s="18" t="n"/>
      <c r="HL30" s="18" t="n"/>
      <c r="HM30" s="18" t="n"/>
      <c r="HN30" s="18" t="n"/>
      <c r="HO30" s="18" t="n"/>
      <c r="HP30" s="18" t="n"/>
      <c r="HQ30" s="18" t="n"/>
      <c r="HR30" s="18" t="n"/>
      <c r="HS30" s="18" t="n"/>
      <c r="HT30" s="18" t="n"/>
      <c r="HU30" s="18" t="n"/>
      <c r="HV30" s="18" t="n"/>
      <c r="HW30" s="18" t="n"/>
      <c r="HX30" s="18" t="n"/>
      <c r="HY30" s="18" t="n"/>
      <c r="HZ30" s="18" t="n"/>
      <c r="IA30" s="18" t="n"/>
      <c r="IB30" s="18" t="n"/>
      <c r="IC30" s="18" t="n"/>
      <c r="ID30" s="18" t="n"/>
      <c r="IE30" s="18" t="n"/>
      <c r="IF30" s="18" t="n"/>
      <c r="IG30" s="18" t="n"/>
      <c r="IH30" s="18" t="n"/>
      <c r="II30" s="18" t="n"/>
      <c r="IJ30" s="18" t="n"/>
      <c r="IK30" s="18" t="n"/>
      <c r="IL30" s="18" t="n"/>
      <c r="IM30" s="18" t="n"/>
      <c r="IN30" s="18" t="n"/>
      <c r="IO30" s="18" t="n"/>
      <c r="IP30" s="18" t="n"/>
      <c r="IQ30" s="18" t="n"/>
      <c r="IR30" s="18" t="n"/>
      <c r="IS30" s="18" t="n"/>
      <c r="IT30" s="18" t="n"/>
      <c r="IU30" s="18" t="n"/>
      <c r="IV30" s="18" t="n"/>
      <c r="IW30" s="18" t="n"/>
      <c r="IX30" s="18" t="n"/>
      <c r="IY30" s="18" t="n"/>
      <c r="IZ30" s="18" t="n"/>
      <c r="JA30" s="18" t="n"/>
      <c r="JB30" s="18" t="n"/>
      <c r="JC30" s="18" t="n"/>
      <c r="JD30" s="18" t="n"/>
      <c r="JE30" s="18" t="n"/>
      <c r="JF30" s="18" t="n"/>
      <c r="JG30" s="18" t="n"/>
    </row>
    <row r="31" ht="52.05" customHeight="1" s="88">
      <c r="A31" s="29" t="inlineStr">
        <is>
          <t>9000</t>
        </is>
      </c>
      <c r="B31" s="29" t="inlineStr">
        <is>
          <t>9000-9</t>
        </is>
      </c>
      <c r="C31" s="29" t="inlineStr">
        <is>
          <t>통신분야</t>
        </is>
      </c>
      <c r="D31" s="29" t="inlineStr">
        <is>
          <t>9000-9-30</t>
        </is>
      </c>
      <c r="E31" s="102" t="inlineStr">
        <is>
          <t>9000-9-26, 9000-9-27</t>
        </is>
      </c>
      <c r="F31" s="102" t="inlineStr">
        <is>
          <t>9000-9-32</t>
        </is>
      </c>
      <c r="G31" s="32" t="inlineStr">
        <is>
          <t>LTE-R 상호운용성 및 보안적합성 검증</t>
        </is>
      </c>
      <c r="H31" s="33" t="inlineStr">
        <is>
          <t>D+375
~D+414</t>
        </is>
      </c>
      <c r="I31" s="33" t="inlineStr">
        <is>
          <t>시공사</t>
        </is>
      </c>
      <c r="J31" s="34" t="inlineStr">
        <is>
          <t>무선 장비의 보안성 및 타 기관 상호운용성 검증</t>
        </is>
      </c>
      <c r="K31" s="34" t="inlineStr">
        <is>
          <t>- 한국정보통신기술협회에 시험결과서 제출하여 검증 진행 (처리기간 1개월)</t>
        </is>
      </c>
      <c r="L31" s="34" t="inlineStr">
        <is>
          <t>상호운용성,보안적합성 시험 인증서</t>
        </is>
      </c>
      <c r="M31" s="34" t="inlineStr">
        <is>
          <t>1) 국토교통부 지침 및 국가용 보안요구사항에 의거한 LTE-R 상호운용성/보안적합성 검증
2) 국가정보원/KISA 보안 적합성 검증 승인서 및 상호연동 시험 합격 표준 적용</t>
        </is>
      </c>
      <c r="N31" s="35">
        <f>HYPERLINK(LEFT(CELL("filename",A1),FIND("[",CELL("filename",A1))-1)&amp;"9.통신분야\29_LTE-R 무선국 허가\표준서\LTE-R 무선국 허가_표준서.html", "👉 [클릭] 표준서 열기 📄")</f>
        <v/>
      </c>
      <c r="O31" s="34" t="inlineStr">
        <is>
          <t>1) 검증 시험 절차: 국토교통부 LTE-R 상호운용성 시험 및 국가용 보안요구사항 기반 네트워크 보안적합성 검증
2) 보안 승인 획득: KISA/국가정보원 보안 적합성 검증 수검 및 상호운용성 검증 합격 승인서 획득</t>
        </is>
      </c>
      <c r="P31" s="36">
        <f>HYPERLINK(LEFT(CELL("filename",A1),FIND("[",CELL("filename",A1))-1)&amp;"9.통신분야\29_LTE-R 무선국 허가\수행지침\LTE-R 무선국 허가_수행지침.html", "👉 [클릭] 수행지침 열기 📄")</f>
        <v/>
      </c>
      <c r="Q31" s="34" t="inlineStr">
        <is>
          <t>1) 시방 대조[도면 및 여건] 관련법령: 국가철도공단 표준규격(KRSA) 수칙을 사전 대조 확인하였는가?
2) 업체 Pool[적격 업체] 철도/트램 시공 및 영업운행 실적이 입증된 적격 업체 Pool을 검토하였는가?</t>
        </is>
      </c>
      <c r="R31" s="37">
        <f>HYPERLINK(LEFT(CELL("filename",A1),FIND("[",CELL("filename",A1))-1)&amp;"9.통신분야\29_LTE-R 무선국 허가\체크리스트\LTE-R 무선국 허가_체크리스트.html", "👉 [클릭] 체크리스트 열기 📄")</f>
        <v/>
      </c>
      <c r="S31" s="33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Y31" s="18" t="n"/>
      <c r="DZ31" s="18" t="n"/>
      <c r="EA31" s="18" t="n"/>
      <c r="EB31" s="18" t="n"/>
      <c r="EC31" s="18" t="n"/>
      <c r="ED31" s="18" t="n"/>
      <c r="EE31" s="18" t="n"/>
      <c r="EF31" s="18" t="n"/>
      <c r="EG31" s="18" t="n"/>
      <c r="EH31" s="18" t="n"/>
      <c r="EI31" s="18" t="n"/>
      <c r="EJ31" s="18" t="n"/>
      <c r="EK31" s="18" t="n"/>
      <c r="EL31" s="18" t="n"/>
      <c r="EM31" s="18" t="n"/>
      <c r="EN31" s="18" t="n"/>
      <c r="EO31" s="18" t="n"/>
      <c r="EP31" s="18" t="n"/>
      <c r="EQ31" s="18" t="n"/>
      <c r="ER31" s="18" t="n"/>
      <c r="ES31" s="18" t="n"/>
      <c r="ET31" s="18" t="n"/>
      <c r="EU31" s="18" t="n"/>
      <c r="EV31" s="18" t="n"/>
      <c r="EW31" s="18" t="n"/>
      <c r="EX31" s="18" t="n"/>
      <c r="EY31" s="18" t="n"/>
      <c r="EZ31" s="18" t="n"/>
      <c r="FA31" s="18" t="n"/>
      <c r="FB31" s="18" t="n"/>
      <c r="FC31" s="18" t="n"/>
      <c r="FD31" s="18" t="n"/>
      <c r="FE31" s="18" t="n"/>
      <c r="FF31" s="18" t="n"/>
      <c r="FG31" s="18" t="n"/>
      <c r="FH31" s="18" t="n"/>
      <c r="FI31" s="18" t="n"/>
      <c r="FJ31" s="18" t="n"/>
      <c r="FK31" s="18" t="n"/>
      <c r="FL31" s="18" t="n"/>
      <c r="FM31" s="18" t="n"/>
      <c r="FN31" s="18" t="n"/>
      <c r="FO31" s="18" t="n"/>
      <c r="FP31" s="18" t="n"/>
      <c r="FQ31" s="18" t="n"/>
      <c r="FR31" s="18" t="n"/>
      <c r="FS31" s="18" t="n"/>
      <c r="FT31" s="18" t="n"/>
      <c r="FU31" s="18" t="n"/>
      <c r="FV31" s="18" t="n"/>
      <c r="FW31" s="18" t="n"/>
      <c r="FX31" s="18" t="n"/>
      <c r="FY31" s="18" t="n"/>
      <c r="FZ31" s="18" t="n"/>
      <c r="GA31" s="18" t="n"/>
      <c r="GB31" s="18" t="n"/>
      <c r="GC31" s="18" t="n"/>
      <c r="GD31" s="18" t="n"/>
      <c r="GE31" s="18" t="n"/>
      <c r="GF31" s="18" t="n"/>
      <c r="GG31" s="18" t="n"/>
      <c r="GH31" s="18" t="n"/>
      <c r="GI31" s="18" t="n"/>
      <c r="GJ31" s="18" t="n"/>
      <c r="GK31" s="18" t="n"/>
      <c r="GL31" s="18" t="n"/>
      <c r="GM31" s="18" t="n"/>
      <c r="GN31" s="18" t="n"/>
      <c r="GO31" s="18" t="n"/>
      <c r="GP31" s="18" t="n"/>
      <c r="GQ31" s="18" t="n"/>
      <c r="GR31" s="18" t="n"/>
      <c r="GS31" s="18" t="n"/>
      <c r="GT31" s="18" t="n"/>
      <c r="GU31" s="18" t="n"/>
      <c r="GV31" s="18" t="n"/>
      <c r="GW31" s="18" t="n"/>
      <c r="GX31" s="18" t="n"/>
      <c r="GY31" s="18" t="n"/>
      <c r="GZ31" s="18" t="n"/>
      <c r="HA31" s="18" t="n"/>
      <c r="HB31" s="18" t="n"/>
      <c r="HC31" s="18" t="n"/>
      <c r="HD31" s="18" t="n"/>
      <c r="HE31" s="18" t="n"/>
      <c r="HF31" s="18" t="n"/>
      <c r="HG31" s="18" t="n"/>
      <c r="HH31" s="18" t="n"/>
      <c r="HI31" s="18" t="n"/>
      <c r="HJ31" s="18" t="n"/>
      <c r="HK31" s="18" t="n"/>
      <c r="HL31" s="18" t="n"/>
      <c r="HM31" s="18" t="n"/>
      <c r="HN31" s="18" t="n"/>
      <c r="HO31" s="18" t="n"/>
      <c r="HP31" s="18" t="n"/>
      <c r="HQ31" s="18" t="n"/>
      <c r="HR31" s="18" t="n"/>
      <c r="HS31" s="18" t="n"/>
      <c r="HT31" s="18" t="n"/>
      <c r="HU31" s="18" t="n"/>
      <c r="HV31" s="18" t="n"/>
      <c r="HW31" s="18" t="n"/>
      <c r="HX31" s="18" t="n"/>
      <c r="HY31" s="18" t="n"/>
      <c r="HZ31" s="18" t="n"/>
      <c r="IA31" s="18" t="n"/>
      <c r="IB31" s="18" t="n"/>
      <c r="IC31" s="18" t="n"/>
      <c r="ID31" s="18" t="n"/>
      <c r="IE31" s="18" t="n"/>
      <c r="IF31" s="18" t="n"/>
      <c r="IG31" s="18" t="n"/>
      <c r="IH31" s="18" t="n"/>
      <c r="II31" s="18" t="n"/>
      <c r="IJ31" s="18" t="n"/>
      <c r="IK31" s="18" t="n"/>
      <c r="IL31" s="18" t="n"/>
      <c r="IM31" s="18" t="n"/>
      <c r="IN31" s="18" t="n"/>
      <c r="IO31" s="18" t="n"/>
      <c r="IP31" s="18" t="n"/>
      <c r="IQ31" s="18" t="n"/>
      <c r="IR31" s="18" t="n"/>
      <c r="IS31" s="18" t="n"/>
      <c r="IT31" s="18" t="n"/>
      <c r="IU31" s="18" t="n"/>
      <c r="IV31" s="18" t="n"/>
      <c r="IW31" s="18" t="n"/>
      <c r="IX31" s="18" t="n"/>
      <c r="IY31" s="18" t="n"/>
      <c r="IZ31" s="18" t="n"/>
      <c r="JA31" s="18" t="n"/>
      <c r="JB31" s="18" t="n"/>
      <c r="JC31" s="18" t="n"/>
      <c r="JD31" s="18" t="n"/>
      <c r="JE31" s="18" t="n"/>
      <c r="JF31" s="18" t="n"/>
      <c r="JG31" s="18" t="n"/>
      <c r="JH31" s="18" t="n"/>
      <c r="JI31" s="18" t="n"/>
      <c r="JJ31" s="18" t="n"/>
      <c r="JK31" s="18" t="n"/>
    </row>
    <row r="32" ht="52.05" customHeight="1" s="88">
      <c r="A32" s="19" t="inlineStr">
        <is>
          <t>9000</t>
        </is>
      </c>
      <c r="B32" s="19" t="inlineStr">
        <is>
          <t>9000-9</t>
        </is>
      </c>
      <c r="C32" s="19" t="inlineStr">
        <is>
          <t>통신분야</t>
        </is>
      </c>
      <c r="D32" s="19" t="inlineStr">
        <is>
          <t>9000-9-31</t>
        </is>
      </c>
      <c r="E32" s="95" t="inlineStr">
        <is>
          <t>9000-9-27, 9000-9-28</t>
        </is>
      </c>
      <c r="F32" s="95" t="inlineStr">
        <is>
          <t>9000-9-32</t>
        </is>
      </c>
      <c r="G32" s="23" t="inlineStr">
        <is>
          <t>정보통신사용전검사</t>
        </is>
      </c>
      <c r="H32" s="21" t="inlineStr">
        <is>
          <t>D+415
~D+499</t>
        </is>
      </c>
      <c r="I32" s="21" t="inlineStr">
        <is>
          <t>시공사</t>
        </is>
      </c>
      <c r="J32" s="24" t="inlineStr">
        <is>
          <t>시공 완료된 정보통신설비의 준공 전 사용 적합성 검증</t>
        </is>
      </c>
      <c r="K32" s="24" t="inlineStr">
        <is>
          <t>- 관할 시청/구청에 사용전검사 신청서와 준공설계도서 제출 (처리기간 14일)</t>
        </is>
      </c>
      <c r="L32" s="24" t="inlineStr">
        <is>
          <t>정보통신사용전검사 필증</t>
        </is>
      </c>
      <c r="M32" s="24" t="inlineStr">
        <is>
          <t>1) 정보통신공사업법 제36조에 의거한 구내 통신 및 정보통신설비 사용전검사 신청
2) 관할 지자체 현장 검측 수검 및 정보통신 사용전검사 필증 획득 표준 적용</t>
        </is>
      </c>
      <c r="N32" s="25">
        <f>HYPERLINK(LEFT(CELL("filename",A1),FIND("[",CELL("filename",A1))-1)&amp;"9.통신분야\29_LTE-R 무선국허가\표준서\LTE-R 무선국허가_표준서.html", "👉 [클릭] 표준서 열기 📄")</f>
        <v/>
      </c>
      <c r="O32" s="24" t="inlineStr">
        <is>
          <t>1) 사용전검사 신청: 정보통신공사업법 제36조에 따른 구내 통신 설비 사용전검측 신청서 작성 및 현장 준비
2) 필증 발급 획득: 관할 지자체 정보통신 검측 공무원 현장 실측 수검 및 정보통신 사용전검사 필증 획득</t>
        </is>
      </c>
      <c r="P32" s="26">
        <f>HYPERLINK(LEFT(CELL("filename",A1),FIND("[",CELL("filename",A1))-1)&amp;"9.통신분야\29_LTE-R 무선국허가\수행지침\LTE-R 무선국허가_수행지침.html", "👉 [클릭] 수행지침 열기 📄")</f>
        <v/>
      </c>
      <c r="Q32" s="24" t="inlineStr">
        <is>
          <t>1) 구내 UTP 랜선 전수에 대해 케이블 테스터 계측 Pass 100%를 달성하였는가?
2) 정거장 승강장 및 관제동 배관 입상부 배관 씰링 및 네임택 표기 상태를 확인하였는가?</t>
        </is>
      </c>
      <c r="R32" s="27">
        <f>HYPERLINK(LEFT(CELL("filename",A1),FIND("[",CELL("filename",A1))-1)&amp;"9.통신분야\29_LTE-R 무선국허가\체크리스트\9000-2-29_LTE-R 무선국허가_체크리스트.html", "👉 [클릭] 체크리스트 열기 📄")</f>
        <v/>
      </c>
      <c r="S32" s="21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Y32" s="18" t="n"/>
      <c r="DZ32" s="18" t="n"/>
      <c r="EA32" s="18" t="n"/>
      <c r="EB32" s="18" t="n"/>
      <c r="EC32" s="18" t="n"/>
      <c r="ED32" s="18" t="n"/>
      <c r="EE32" s="18" t="n"/>
      <c r="EF32" s="18" t="n"/>
      <c r="EG32" s="18" t="n"/>
      <c r="EH32" s="18" t="n"/>
      <c r="EI32" s="18" t="n"/>
      <c r="EJ32" s="18" t="n"/>
      <c r="EK32" s="18" t="n"/>
      <c r="EL32" s="18" t="n"/>
      <c r="EM32" s="18" t="n"/>
      <c r="EN32" s="18" t="n"/>
      <c r="EO32" s="18" t="n"/>
      <c r="EP32" s="18" t="n"/>
      <c r="EQ32" s="18" t="n"/>
      <c r="ER32" s="18" t="n"/>
      <c r="ES32" s="18" t="n"/>
      <c r="ET32" s="18" t="n"/>
      <c r="EU32" s="18" t="n"/>
      <c r="EV32" s="18" t="n"/>
      <c r="EW32" s="18" t="n"/>
      <c r="EX32" s="18" t="n"/>
      <c r="EY32" s="18" t="n"/>
      <c r="EZ32" s="18" t="n"/>
      <c r="FA32" s="18" t="n"/>
      <c r="FB32" s="18" t="n"/>
      <c r="FC32" s="18" t="n"/>
      <c r="FD32" s="18" t="n"/>
      <c r="FE32" s="18" t="n"/>
      <c r="FF32" s="18" t="n"/>
      <c r="FG32" s="18" t="n"/>
      <c r="FH32" s="18" t="n"/>
      <c r="FI32" s="18" t="n"/>
      <c r="FJ32" s="18" t="n"/>
      <c r="FK32" s="18" t="n"/>
      <c r="FL32" s="18" t="n"/>
      <c r="FM32" s="18" t="n"/>
      <c r="FN32" s="18" t="n"/>
      <c r="FO32" s="18" t="n"/>
      <c r="FP32" s="18" t="n"/>
      <c r="FQ32" s="18" t="n"/>
      <c r="FR32" s="18" t="n"/>
      <c r="FS32" s="18" t="n"/>
      <c r="FT32" s="18" t="n"/>
      <c r="FU32" s="18" t="n"/>
      <c r="FV32" s="18" t="n"/>
      <c r="FW32" s="18" t="n"/>
      <c r="FX32" s="18" t="n"/>
      <c r="FY32" s="18" t="n"/>
      <c r="FZ32" s="18" t="n"/>
      <c r="GA32" s="18" t="n"/>
      <c r="GB32" s="18" t="n"/>
      <c r="GC32" s="18" t="n"/>
      <c r="GD32" s="18" t="n"/>
      <c r="GE32" s="18" t="n"/>
      <c r="GF32" s="18" t="n"/>
      <c r="GG32" s="18" t="n"/>
      <c r="GH32" s="18" t="n"/>
      <c r="GI32" s="18" t="n"/>
      <c r="GJ32" s="18" t="n"/>
      <c r="GK32" s="18" t="n"/>
      <c r="GL32" s="18" t="n"/>
      <c r="GM32" s="18" t="n"/>
      <c r="GN32" s="18" t="n"/>
      <c r="GO32" s="18" t="n"/>
      <c r="GP32" s="18" t="n"/>
      <c r="GQ32" s="18" t="n"/>
      <c r="GR32" s="18" t="n"/>
      <c r="GS32" s="18" t="n"/>
      <c r="GT32" s="18" t="n"/>
      <c r="GU32" s="18" t="n"/>
      <c r="GV32" s="18" t="n"/>
      <c r="GW32" s="18" t="n"/>
      <c r="GX32" s="18" t="n"/>
      <c r="GY32" s="18" t="n"/>
      <c r="GZ32" s="18" t="n"/>
      <c r="HA32" s="18" t="n"/>
      <c r="HB32" s="18" t="n"/>
      <c r="HC32" s="18" t="n"/>
      <c r="HD32" s="18" t="n"/>
      <c r="HE32" s="18" t="n"/>
      <c r="HF32" s="18" t="n"/>
      <c r="HG32" s="18" t="n"/>
      <c r="HH32" s="18" t="n"/>
      <c r="HI32" s="18" t="n"/>
      <c r="HJ32" s="18" t="n"/>
      <c r="HK32" s="18" t="n"/>
      <c r="HL32" s="18" t="n"/>
      <c r="HM32" s="18" t="n"/>
      <c r="HN32" s="18" t="n"/>
      <c r="HO32" s="18" t="n"/>
      <c r="HP32" s="18" t="n"/>
      <c r="HQ32" s="18" t="n"/>
      <c r="HR32" s="18" t="n"/>
      <c r="HS32" s="18" t="n"/>
      <c r="HT32" s="18" t="n"/>
      <c r="HU32" s="18" t="n"/>
      <c r="HV32" s="18" t="n"/>
      <c r="HW32" s="18" t="n"/>
      <c r="HX32" s="18" t="n"/>
      <c r="HY32" s="18" t="n"/>
      <c r="HZ32" s="18" t="n"/>
      <c r="IA32" s="18" t="n"/>
      <c r="IB32" s="18" t="n"/>
      <c r="IC32" s="18" t="n"/>
      <c r="ID32" s="18" t="n"/>
      <c r="IE32" s="18" t="n"/>
      <c r="IF32" s="18" t="n"/>
      <c r="IG32" s="18" t="n"/>
      <c r="IH32" s="18" t="n"/>
      <c r="II32" s="18" t="n"/>
      <c r="IJ32" s="18" t="n"/>
      <c r="IK32" s="18" t="n"/>
      <c r="IL32" s="18" t="n"/>
      <c r="IM32" s="18" t="n"/>
      <c r="IN32" s="18" t="n"/>
      <c r="IO32" s="18" t="n"/>
      <c r="IP32" s="18" t="n"/>
      <c r="IQ32" s="18" t="n"/>
      <c r="IR32" s="18" t="n"/>
      <c r="IS32" s="18" t="n"/>
      <c r="IT32" s="18" t="n"/>
      <c r="IU32" s="18" t="n"/>
      <c r="IV32" s="18" t="n"/>
      <c r="IW32" s="18" t="n"/>
      <c r="IX32" s="18" t="n"/>
      <c r="IY32" s="18" t="n"/>
      <c r="IZ32" s="18" t="n"/>
      <c r="JA32" s="18" t="n"/>
      <c r="JB32" s="18" t="n"/>
      <c r="JC32" s="18" t="n"/>
      <c r="JD32" s="18" t="n"/>
      <c r="JE32" s="18" t="n"/>
      <c r="JF32" s="18" t="n"/>
      <c r="JG32" s="18" t="n"/>
      <c r="JH32" s="18" t="n"/>
      <c r="JI32" s="18" t="n"/>
      <c r="JJ32" s="18" t="n"/>
      <c r="JK32" s="18" t="n"/>
      <c r="JL32" s="18" t="n"/>
      <c r="JM32" s="18" t="n"/>
      <c r="JN32" s="18" t="n"/>
      <c r="JO32" s="18" t="n"/>
    </row>
    <row r="33" ht="52.05" customHeight="1" s="88">
      <c r="A33" s="29" t="inlineStr">
        <is>
          <t>9000</t>
        </is>
      </c>
      <c r="B33" s="29" t="inlineStr">
        <is>
          <t>9000-9</t>
        </is>
      </c>
      <c r="C33" s="29" t="inlineStr">
        <is>
          <t>통신분야</t>
        </is>
      </c>
      <c r="D33" s="29" t="inlineStr">
        <is>
          <t>9000-9-32</t>
        </is>
      </c>
      <c r="E33" s="102" t="inlineStr">
        <is>
          <t>9000-9-28, 9000-9-29, 9000-9-30, 9000-9-31</t>
        </is>
      </c>
      <c r="F33" s="102" t="inlineStr">
        <is>
          <t>-</t>
        </is>
      </c>
      <c r="G33" s="32" t="inlineStr">
        <is>
          <t>LTE-R 무선국 준공검사</t>
        </is>
      </c>
      <c r="H33" s="33" t="inlineStr">
        <is>
          <t>D+375
~D+414</t>
        </is>
      </c>
      <c r="I33" s="33" t="inlineStr">
        <is>
          <t>발주처</t>
        </is>
      </c>
      <c r="J33" s="34" t="inlineStr">
        <is>
          <t>무선국 전파 특성 검증 및 준공 처리</t>
        </is>
      </c>
      <c r="K33" s="34" t="inlineStr">
        <is>
          <t>- 한국방송통신전파진흥원에 준공신고서, 안테나전력/주파수편차/불요발사강도 측정표, 안테나 Pattern 도표 제출 (처리기간 14일)</t>
        </is>
      </c>
      <c r="L33" s="34" t="inlineStr">
        <is>
          <t>LTE-R 무선국 준공검사 확인서</t>
        </is>
      </c>
      <c r="M33" s="34" t="inlineStr">
        <is>
          <t>1) 전파법 제24조에 의거한 KCA 무선국 준공검사 현장 실측 수검 실시
2) 무선 전계강도 및 준공 상태 검사 합격 후 무선국 준공검사 합격증명서 획득 표준 적용</t>
        </is>
      </c>
      <c r="N33" s="35">
        <f>HYPERLINK(LEFT(CELL("filename",A1),FIND("[",CELL("filename",A1))-1)&amp;"9.통신분야\30_LTE-R 상호운용성 및 보안적합성 검증\표준서\LTE-R 상호운용성 및 보안적합성 검증_표준서.html", "👉 [클릭] 표준서 열기 📄")</f>
        <v/>
      </c>
      <c r="O33" s="34" t="inlineStr">
        <is>
          <t>1) KCA 준공검측 수검: 전파법 제24조에 따른 KCA 무선국 준공검사 현장 무선 전계강도 및 스펙트럼 실측
2) 합격 증명 획득: 준공 실측 합격 판정 수검 및 KCA 무선국 준공검사 합격증명서 최종 발급 획득</t>
        </is>
      </c>
      <c r="P33" s="36">
        <f>HYPERLINK(LEFT(CELL("filename",A1),FIND("[",CELL("filename",A1))-1)&amp;"9.통신분야\30_LTE-R 상호운용성 및 보안적합성 검증\수행지침\LTE-R 상호운용성 및 보안적합성 검증_수행지침.html", "👉 [클릭] 수행지침 열기 📄")</f>
        <v/>
      </c>
      <c r="Q33" s="34" t="inlineStr">
        <is>
          <t>1) 전파법 시행령 제38조 서식에 맞춘 무선국 준공신고서를 KCA에 제출하였는가?
2) 개설허가서 사본, 기지국 시공 내역서 및 안테나 제원표 구비를 완료하였는가?</t>
        </is>
      </c>
      <c r="R33" s="37">
        <f>HYPERLINK(LEFT(CELL("filename",A1),FIND("[",CELL("filename",A1))-1)&amp;"9.통신분야\30_LTE-R 상호운용성 및 보안적합성 검증\체크리스트\9000-2-30_LTE-R 상호운용성 및 보안적합성 검증_체크리스트.html", "👉 [클릭] 체크리스트 열기 📄")</f>
        <v/>
      </c>
      <c r="S33" s="33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Y33" s="18" t="n"/>
      <c r="DZ33" s="18" t="n"/>
      <c r="EA33" s="18" t="n"/>
      <c r="EB33" s="18" t="n"/>
      <c r="EC33" s="18" t="n"/>
      <c r="ED33" s="18" t="n"/>
      <c r="EE33" s="18" t="n"/>
      <c r="EF33" s="18" t="n"/>
      <c r="EG33" s="18" t="n"/>
      <c r="EH33" s="18" t="n"/>
      <c r="EI33" s="18" t="n"/>
      <c r="EJ33" s="18" t="n"/>
      <c r="EK33" s="18" t="n"/>
      <c r="EL33" s="18" t="n"/>
      <c r="EM33" s="18" t="n"/>
      <c r="EN33" s="18" t="n"/>
      <c r="EO33" s="18" t="n"/>
      <c r="EP33" s="18" t="n"/>
      <c r="EQ33" s="18" t="n"/>
      <c r="ER33" s="18" t="n"/>
      <c r="ES33" s="18" t="n"/>
      <c r="ET33" s="18" t="n"/>
      <c r="EU33" s="18" t="n"/>
      <c r="EV33" s="18" t="n"/>
      <c r="EW33" s="18" t="n"/>
      <c r="EX33" s="18" t="n"/>
      <c r="EY33" s="18" t="n"/>
      <c r="EZ33" s="18" t="n"/>
      <c r="FA33" s="18" t="n"/>
      <c r="FB33" s="18" t="n"/>
      <c r="FC33" s="18" t="n"/>
      <c r="FD33" s="18" t="n"/>
      <c r="FE33" s="18" t="n"/>
      <c r="FF33" s="18" t="n"/>
      <c r="FG33" s="18" t="n"/>
      <c r="FH33" s="18" t="n"/>
      <c r="FI33" s="18" t="n"/>
      <c r="FJ33" s="18" t="n"/>
      <c r="FK33" s="18" t="n"/>
      <c r="FL33" s="18" t="n"/>
      <c r="FM33" s="18" t="n"/>
      <c r="FN33" s="18" t="n"/>
      <c r="FO33" s="18" t="n"/>
      <c r="FP33" s="18" t="n"/>
      <c r="FQ33" s="18" t="n"/>
      <c r="FR33" s="18" t="n"/>
      <c r="FS33" s="18" t="n"/>
      <c r="FT33" s="18" t="n"/>
      <c r="FU33" s="18" t="n"/>
      <c r="FV33" s="18" t="n"/>
      <c r="FW33" s="18" t="n"/>
      <c r="FX33" s="18" t="n"/>
      <c r="FY33" s="18" t="n"/>
      <c r="FZ33" s="18" t="n"/>
      <c r="GA33" s="18" t="n"/>
      <c r="GB33" s="18" t="n"/>
      <c r="GC33" s="18" t="n"/>
      <c r="GD33" s="18" t="n"/>
      <c r="GE33" s="18" t="n"/>
      <c r="GF33" s="18" t="n"/>
      <c r="GG33" s="18" t="n"/>
      <c r="GH33" s="18" t="n"/>
      <c r="GI33" s="18" t="n"/>
      <c r="GJ33" s="18" t="n"/>
      <c r="GK33" s="18" t="n"/>
      <c r="GL33" s="18" t="n"/>
      <c r="GM33" s="18" t="n"/>
      <c r="GN33" s="18" t="n"/>
      <c r="GO33" s="18" t="n"/>
      <c r="GP33" s="18" t="n"/>
      <c r="GQ33" s="18" t="n"/>
      <c r="GR33" s="18" t="n"/>
      <c r="GS33" s="18" t="n"/>
      <c r="GT33" s="18" t="n"/>
      <c r="GU33" s="18" t="n"/>
      <c r="GV33" s="18" t="n"/>
      <c r="GW33" s="18" t="n"/>
      <c r="GX33" s="18" t="n"/>
      <c r="GY33" s="18" t="n"/>
      <c r="GZ33" s="18" t="n"/>
      <c r="HA33" s="18" t="n"/>
      <c r="HB33" s="18" t="n"/>
      <c r="HC33" s="18" t="n"/>
      <c r="HD33" s="18" t="n"/>
      <c r="HE33" s="18" t="n"/>
      <c r="HF33" s="18" t="n"/>
      <c r="HG33" s="18" t="n"/>
      <c r="HH33" s="18" t="n"/>
      <c r="HI33" s="18" t="n"/>
      <c r="HJ33" s="18" t="n"/>
      <c r="HK33" s="18" t="n"/>
      <c r="HL33" s="18" t="n"/>
      <c r="HM33" s="18" t="n"/>
      <c r="HN33" s="18" t="n"/>
      <c r="HO33" s="18" t="n"/>
      <c r="HP33" s="18" t="n"/>
      <c r="HQ33" s="18" t="n"/>
      <c r="HR33" s="18" t="n"/>
      <c r="HS33" s="18" t="n"/>
      <c r="HT33" s="18" t="n"/>
      <c r="HU33" s="18" t="n"/>
      <c r="HV33" s="18" t="n"/>
      <c r="HW33" s="18" t="n"/>
      <c r="HX33" s="18" t="n"/>
      <c r="HY33" s="18" t="n"/>
      <c r="HZ33" s="18" t="n"/>
      <c r="IA33" s="18" t="n"/>
      <c r="IB33" s="18" t="n"/>
      <c r="IC33" s="18" t="n"/>
      <c r="ID33" s="18" t="n"/>
      <c r="IE33" s="18" t="n"/>
      <c r="IF33" s="18" t="n"/>
      <c r="IG33" s="18" t="n"/>
      <c r="IH33" s="18" t="n"/>
      <c r="II33" s="18" t="n"/>
      <c r="IJ33" s="18" t="n"/>
      <c r="IK33" s="18" t="n"/>
      <c r="IL33" s="18" t="n"/>
      <c r="IM33" s="18" t="n"/>
      <c r="IN33" s="18" t="n"/>
      <c r="IO33" s="18" t="n"/>
      <c r="IP33" s="18" t="n"/>
      <c r="IQ33" s="18" t="n"/>
      <c r="IR33" s="18" t="n"/>
      <c r="IS33" s="18" t="n"/>
      <c r="IT33" s="18" t="n"/>
      <c r="IU33" s="18" t="n"/>
      <c r="IV33" s="18" t="n"/>
      <c r="IW33" s="18" t="n"/>
      <c r="IX33" s="18" t="n"/>
      <c r="IY33" s="18" t="n"/>
      <c r="IZ33" s="18" t="n"/>
      <c r="JA33" s="18" t="n"/>
      <c r="JB33" s="18" t="n"/>
      <c r="JC33" s="18" t="n"/>
      <c r="JD33" s="18" t="n"/>
      <c r="JE33" s="18" t="n"/>
      <c r="JF33" s="18" t="n"/>
      <c r="JG33" s="18" t="n"/>
      <c r="JH33" s="18" t="n"/>
      <c r="JI33" s="18" t="n"/>
      <c r="JJ33" s="18" t="n"/>
      <c r="JK33" s="18" t="n"/>
      <c r="JL33" s="18" t="n"/>
      <c r="JM33" s="18" t="n"/>
      <c r="JN33" s="18" t="n"/>
      <c r="JO33" s="18" t="n"/>
      <c r="JP33" s="18" t="n"/>
      <c r="JQ33" s="18" t="n"/>
      <c r="JR33" s="18" t="n"/>
      <c r="JS33" s="18" t="n"/>
    </row>
    <row r="34" ht="31.2" customHeight="1" s="88">
      <c r="A34" s="18" t="n"/>
      <c r="B34" s="18" t="n"/>
      <c r="C34" s="18" t="n"/>
      <c r="D34" s="18" t="n"/>
      <c r="E34" s="52" t="n"/>
      <c r="F34" s="52" t="n"/>
      <c r="G34" s="18" t="n"/>
      <c r="H34" s="18" t="n"/>
      <c r="I34" s="18" t="n"/>
      <c r="J34" s="18" t="n"/>
      <c r="K34" s="18" t="n"/>
      <c r="L34" s="18" t="n"/>
      <c r="M34" s="18" t="n"/>
      <c r="N34" s="41" t="n"/>
      <c r="O34" s="18" t="n"/>
      <c r="P34" s="42" t="n"/>
      <c r="Q34" s="18" t="n"/>
      <c r="R34" s="53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Y34" s="18" t="n"/>
      <c r="DZ34" s="18" t="n"/>
      <c r="EA34" s="18" t="n"/>
      <c r="EB34" s="18" t="n"/>
      <c r="EC34" s="18" t="n"/>
      <c r="ED34" s="18" t="n"/>
      <c r="EE34" s="18" t="n"/>
      <c r="EF34" s="18" t="n"/>
      <c r="EG34" s="18" t="n"/>
      <c r="EH34" s="18" t="n"/>
      <c r="EI34" s="18" t="n"/>
      <c r="EJ34" s="18" t="n"/>
      <c r="EK34" s="18" t="n"/>
      <c r="EL34" s="18" t="n"/>
      <c r="EM34" s="18" t="n"/>
      <c r="EN34" s="18" t="n"/>
      <c r="EO34" s="18" t="n"/>
      <c r="EP34" s="18" t="n"/>
      <c r="EQ34" s="18" t="n"/>
      <c r="ER34" s="18" t="n"/>
      <c r="ES34" s="18" t="n"/>
      <c r="ET34" s="18" t="n"/>
      <c r="EU34" s="18" t="n"/>
      <c r="EV34" s="18" t="n"/>
      <c r="EW34" s="18" t="n"/>
      <c r="EX34" s="18" t="n"/>
      <c r="EY34" s="18" t="n"/>
      <c r="EZ34" s="18" t="n"/>
      <c r="FA34" s="18" t="n"/>
      <c r="FB34" s="18" t="n"/>
      <c r="FC34" s="18" t="n"/>
      <c r="FD34" s="18" t="n"/>
      <c r="FE34" s="18" t="n"/>
      <c r="FF34" s="18" t="n"/>
      <c r="FG34" s="18" t="n"/>
      <c r="FH34" s="18" t="n"/>
      <c r="FI34" s="18" t="n"/>
      <c r="FJ34" s="18" t="n"/>
      <c r="FK34" s="18" t="n"/>
      <c r="FL34" s="18" t="n"/>
      <c r="FM34" s="18" t="n"/>
      <c r="FN34" s="18" t="n"/>
      <c r="FO34" s="18" t="n"/>
      <c r="FP34" s="18" t="n"/>
      <c r="FQ34" s="18" t="n"/>
      <c r="FR34" s="18" t="n"/>
      <c r="FS34" s="18" t="n"/>
      <c r="FT34" s="18" t="n"/>
      <c r="FU34" s="18" t="n"/>
      <c r="FV34" s="18" t="n"/>
      <c r="FW34" s="18" t="n"/>
      <c r="FX34" s="18" t="n"/>
      <c r="FY34" s="18" t="n"/>
      <c r="FZ34" s="18" t="n"/>
      <c r="GA34" s="18" t="n"/>
      <c r="GB34" s="18" t="n"/>
      <c r="GC34" s="18" t="n"/>
      <c r="GD34" s="18" t="n"/>
      <c r="GE34" s="18" t="n"/>
      <c r="GF34" s="18" t="n"/>
      <c r="GG34" s="18" t="n"/>
      <c r="GH34" s="18" t="n"/>
      <c r="GI34" s="18" t="n"/>
      <c r="GJ34" s="18" t="n"/>
      <c r="GK34" s="18" t="n"/>
      <c r="GL34" s="18" t="n"/>
      <c r="GM34" s="18" t="n"/>
      <c r="GN34" s="18" t="n"/>
      <c r="GO34" s="18" t="n"/>
      <c r="GP34" s="18" t="n"/>
      <c r="GQ34" s="18" t="n"/>
      <c r="GR34" s="18" t="n"/>
      <c r="GS34" s="18" t="n"/>
      <c r="GT34" s="18" t="n"/>
      <c r="GU34" s="18" t="n"/>
      <c r="GV34" s="18" t="n"/>
      <c r="GW34" s="18" t="n"/>
      <c r="GX34" s="18" t="n"/>
      <c r="GY34" s="18" t="n"/>
      <c r="GZ34" s="18" t="n"/>
      <c r="HA34" s="18" t="n"/>
      <c r="HB34" s="18" t="n"/>
      <c r="HC34" s="18" t="n"/>
      <c r="HD34" s="18" t="n"/>
      <c r="HE34" s="18" t="n"/>
      <c r="HF34" s="18" t="n"/>
      <c r="HG34" s="18" t="n"/>
      <c r="HH34" s="18" t="n"/>
      <c r="HI34" s="18" t="n"/>
      <c r="HJ34" s="18" t="n"/>
      <c r="HK34" s="18" t="n"/>
      <c r="HL34" s="18" t="n"/>
      <c r="HM34" s="18" t="n"/>
      <c r="HN34" s="18" t="n"/>
      <c r="HO34" s="18" t="n"/>
      <c r="HP34" s="18" t="n"/>
      <c r="HQ34" s="18" t="n"/>
      <c r="HR34" s="18" t="n"/>
      <c r="HS34" s="18" t="n"/>
      <c r="HT34" s="18" t="n"/>
      <c r="HU34" s="18" t="n"/>
      <c r="HV34" s="18" t="n"/>
      <c r="HW34" s="18" t="n"/>
      <c r="HX34" s="18" t="n"/>
      <c r="HY34" s="18" t="n"/>
      <c r="HZ34" s="18" t="n"/>
      <c r="IA34" s="18" t="n"/>
      <c r="IB34" s="18" t="n"/>
      <c r="IC34" s="18" t="n"/>
      <c r="ID34" s="18" t="n"/>
      <c r="IE34" s="18" t="n"/>
      <c r="IF34" s="18" t="n"/>
      <c r="IG34" s="18" t="n"/>
      <c r="IH34" s="18" t="n"/>
      <c r="II34" s="18" t="n"/>
      <c r="IJ34" s="18" t="n"/>
      <c r="IK34" s="18" t="n"/>
      <c r="IL34" s="18" t="n"/>
      <c r="IM34" s="18" t="n"/>
      <c r="IN34" s="18" t="n"/>
      <c r="IO34" s="18" t="n"/>
      <c r="IP34" s="18" t="n"/>
      <c r="IQ34" s="18" t="n"/>
      <c r="IR34" s="18" t="n"/>
      <c r="IS34" s="18" t="n"/>
      <c r="IT34" s="18" t="n"/>
      <c r="IU34" s="18" t="n"/>
      <c r="IV34" s="18" t="n"/>
      <c r="IW34" s="18" t="n"/>
      <c r="IX34" s="18" t="n"/>
      <c r="IY34" s="18" t="n"/>
      <c r="IZ34" s="18" t="n"/>
      <c r="JA34" s="18" t="n"/>
      <c r="JB34" s="18" t="n"/>
      <c r="JC34" s="18" t="n"/>
      <c r="JD34" s="18" t="n"/>
      <c r="JE34" s="18" t="n"/>
      <c r="JF34" s="18" t="n"/>
      <c r="JG34" s="18" t="n"/>
      <c r="JH34" s="18" t="n"/>
      <c r="JI34" s="18" t="n"/>
      <c r="JJ34" s="18" t="n"/>
      <c r="JK34" s="18" t="n"/>
      <c r="JL34" s="18" t="n"/>
      <c r="JM34" s="18" t="n"/>
      <c r="JN34" s="18" t="n"/>
      <c r="JO34" s="18" t="n"/>
      <c r="JP34" s="18" t="n"/>
      <c r="JQ34" s="18" t="n"/>
      <c r="JR34" s="18" t="n"/>
      <c r="JS34" s="18" t="n"/>
      <c r="JT34" s="18" t="n"/>
      <c r="JU34" s="18" t="n"/>
      <c r="JV34" s="18" t="n"/>
      <c r="JW34" s="18" t="n"/>
    </row>
    <row r="35" ht="31.2" customHeight="1" s="88">
      <c r="A35" s="18" t="n"/>
      <c r="B35" s="18" t="n"/>
      <c r="C35" s="18" t="n"/>
      <c r="D35" s="18" t="n"/>
      <c r="E35" s="52" t="n"/>
      <c r="F35" s="52" t="n"/>
      <c r="G35" s="18" t="n"/>
      <c r="H35" s="18" t="n"/>
      <c r="I35" s="18" t="n"/>
      <c r="J35" s="18" t="n"/>
      <c r="K35" s="18" t="n"/>
      <c r="L35" s="18" t="n"/>
      <c r="M35" s="18" t="n"/>
      <c r="N35" s="41" t="n"/>
      <c r="O35" s="18" t="n"/>
      <c r="P35" s="42" t="n"/>
      <c r="Q35" s="18" t="n"/>
      <c r="R35" s="53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8" t="n"/>
      <c r="EJ35" s="18" t="n"/>
      <c r="EK35" s="18" t="n"/>
      <c r="EL35" s="18" t="n"/>
      <c r="EM35" s="18" t="n"/>
      <c r="EN35" s="18" t="n"/>
      <c r="EO35" s="18" t="n"/>
      <c r="EP35" s="18" t="n"/>
      <c r="EQ35" s="18" t="n"/>
      <c r="ER35" s="18" t="n"/>
      <c r="ES35" s="18" t="n"/>
      <c r="ET35" s="18" t="n"/>
      <c r="EU35" s="18" t="n"/>
      <c r="EV35" s="18" t="n"/>
      <c r="EW35" s="18" t="n"/>
      <c r="EX35" s="18" t="n"/>
      <c r="EY35" s="18" t="n"/>
      <c r="EZ35" s="18" t="n"/>
      <c r="FA35" s="18" t="n"/>
      <c r="FB35" s="18" t="n"/>
      <c r="FC35" s="18" t="n"/>
      <c r="FD35" s="18" t="n"/>
      <c r="FE35" s="18" t="n"/>
      <c r="FF35" s="18" t="n"/>
      <c r="FG35" s="18" t="n"/>
      <c r="FH35" s="18" t="n"/>
      <c r="FI35" s="18" t="n"/>
      <c r="FJ35" s="18" t="n"/>
      <c r="FK35" s="18" t="n"/>
      <c r="FL35" s="18" t="n"/>
      <c r="FM35" s="18" t="n"/>
      <c r="FN35" s="18" t="n"/>
      <c r="FO35" s="18" t="n"/>
      <c r="FP35" s="18" t="n"/>
      <c r="FQ35" s="18" t="n"/>
      <c r="FR35" s="18" t="n"/>
      <c r="FS35" s="18" t="n"/>
      <c r="FT35" s="18" t="n"/>
      <c r="FU35" s="18" t="n"/>
      <c r="FV35" s="18" t="n"/>
      <c r="FW35" s="18" t="n"/>
      <c r="FX35" s="18" t="n"/>
      <c r="FY35" s="18" t="n"/>
      <c r="FZ35" s="18" t="n"/>
      <c r="GA35" s="18" t="n"/>
      <c r="GB35" s="18" t="n"/>
      <c r="GC35" s="18" t="n"/>
      <c r="GD35" s="18" t="n"/>
      <c r="GE35" s="18" t="n"/>
      <c r="GF35" s="18" t="n"/>
      <c r="GG35" s="18" t="n"/>
      <c r="GH35" s="18" t="n"/>
      <c r="GI35" s="18" t="n"/>
      <c r="GJ35" s="18" t="n"/>
      <c r="GK35" s="18" t="n"/>
      <c r="GL35" s="18" t="n"/>
      <c r="GM35" s="18" t="n"/>
      <c r="GN35" s="18" t="n"/>
      <c r="GO35" s="18" t="n"/>
      <c r="GP35" s="18" t="n"/>
      <c r="GQ35" s="18" t="n"/>
      <c r="GR35" s="18" t="n"/>
      <c r="GS35" s="18" t="n"/>
      <c r="GT35" s="18" t="n"/>
      <c r="GU35" s="18" t="n"/>
      <c r="GV35" s="18" t="n"/>
      <c r="GW35" s="18" t="n"/>
      <c r="GX35" s="18" t="n"/>
      <c r="GY35" s="18" t="n"/>
      <c r="GZ35" s="18" t="n"/>
      <c r="HA35" s="18" t="n"/>
      <c r="HB35" s="18" t="n"/>
      <c r="HC35" s="18" t="n"/>
      <c r="HD35" s="18" t="n"/>
      <c r="HE35" s="18" t="n"/>
      <c r="HF35" s="18" t="n"/>
      <c r="HG35" s="18" t="n"/>
      <c r="HH35" s="18" t="n"/>
      <c r="HI35" s="18" t="n"/>
      <c r="HJ35" s="18" t="n"/>
      <c r="HK35" s="18" t="n"/>
      <c r="HL35" s="18" t="n"/>
      <c r="HM35" s="18" t="n"/>
      <c r="HN35" s="18" t="n"/>
      <c r="HO35" s="18" t="n"/>
      <c r="HP35" s="18" t="n"/>
      <c r="HQ35" s="18" t="n"/>
      <c r="HR35" s="18" t="n"/>
      <c r="HS35" s="18" t="n"/>
      <c r="HT35" s="18" t="n"/>
      <c r="HU35" s="18" t="n"/>
      <c r="HV35" s="18" t="n"/>
      <c r="HW35" s="18" t="n"/>
      <c r="HX35" s="18" t="n"/>
      <c r="HY35" s="18" t="n"/>
      <c r="HZ35" s="18" t="n"/>
      <c r="IA35" s="18" t="n"/>
      <c r="IB35" s="18" t="n"/>
      <c r="IC35" s="18" t="n"/>
      <c r="ID35" s="18" t="n"/>
      <c r="IE35" s="18" t="n"/>
      <c r="IF35" s="18" t="n"/>
      <c r="IG35" s="18" t="n"/>
      <c r="IH35" s="18" t="n"/>
      <c r="II35" s="18" t="n"/>
      <c r="IJ35" s="18" t="n"/>
      <c r="IK35" s="18" t="n"/>
      <c r="IL35" s="18" t="n"/>
      <c r="IM35" s="18" t="n"/>
      <c r="IN35" s="18" t="n"/>
      <c r="IO35" s="18" t="n"/>
      <c r="IP35" s="18" t="n"/>
      <c r="IQ35" s="18" t="n"/>
      <c r="IR35" s="18" t="n"/>
      <c r="IS35" s="18" t="n"/>
      <c r="IT35" s="18" t="n"/>
      <c r="IU35" s="18" t="n"/>
      <c r="IV35" s="18" t="n"/>
      <c r="IW35" s="18" t="n"/>
      <c r="IX35" s="18" t="n"/>
      <c r="IY35" s="18" t="n"/>
      <c r="IZ35" s="18" t="n"/>
      <c r="JA35" s="18" t="n"/>
      <c r="JB35" s="18" t="n"/>
      <c r="JC35" s="18" t="n"/>
      <c r="JD35" s="18" t="n"/>
      <c r="JE35" s="18" t="n"/>
      <c r="JF35" s="18" t="n"/>
      <c r="JG35" s="18" t="n"/>
      <c r="JH35" s="18" t="n"/>
      <c r="JI35" s="18" t="n"/>
      <c r="JJ35" s="18" t="n"/>
      <c r="JK35" s="18" t="n"/>
      <c r="JL35" s="18" t="n"/>
      <c r="JM35" s="18" t="n"/>
      <c r="JN35" s="18" t="n"/>
      <c r="JO35" s="18" t="n"/>
      <c r="JP35" s="18" t="n"/>
      <c r="JQ35" s="18" t="n"/>
      <c r="JR35" s="18" t="n"/>
      <c r="JS35" s="18" t="n"/>
      <c r="JT35" s="18" t="n"/>
      <c r="JU35" s="18" t="n"/>
      <c r="JV35" s="18" t="n"/>
      <c r="JW35" s="18" t="n"/>
      <c r="JX35" s="18" t="n"/>
      <c r="JY35" s="18" t="n"/>
      <c r="JZ35" s="18" t="n"/>
      <c r="KA35" s="18" t="n"/>
    </row>
    <row r="36" ht="31.2" customHeight="1" s="88">
      <c r="A36" s="18" t="n"/>
      <c r="B36" s="18" t="n"/>
      <c r="C36" s="18" t="n"/>
      <c r="D36" s="18" t="n"/>
      <c r="E36" s="52" t="n"/>
      <c r="F36" s="52" t="n"/>
      <c r="G36" s="18" t="n"/>
      <c r="H36" s="18" t="n"/>
      <c r="I36" s="18" t="n"/>
      <c r="J36" s="18" t="n"/>
      <c r="K36" s="18" t="n"/>
      <c r="L36" s="18" t="n"/>
      <c r="M36" s="18" t="n"/>
      <c r="N36" s="41" t="n"/>
      <c r="O36" s="18" t="n"/>
      <c r="P36" s="42" t="n"/>
      <c r="Q36" s="18" t="n"/>
      <c r="R36" s="53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Y36" s="18" t="n"/>
      <c r="DZ36" s="18" t="n"/>
      <c r="EA36" s="18" t="n"/>
      <c r="EB36" s="18" t="n"/>
      <c r="EC36" s="18" t="n"/>
      <c r="ED36" s="18" t="n"/>
      <c r="EE36" s="18" t="n"/>
      <c r="EF36" s="18" t="n"/>
      <c r="EG36" s="18" t="n"/>
      <c r="EH36" s="18" t="n"/>
      <c r="EI36" s="18" t="n"/>
      <c r="EJ36" s="18" t="n"/>
      <c r="EK36" s="18" t="n"/>
      <c r="EL36" s="18" t="n"/>
      <c r="EM36" s="18" t="n"/>
      <c r="EN36" s="18" t="n"/>
      <c r="EO36" s="18" t="n"/>
      <c r="EP36" s="18" t="n"/>
      <c r="EQ36" s="18" t="n"/>
      <c r="ER36" s="18" t="n"/>
      <c r="ES36" s="18" t="n"/>
      <c r="ET36" s="18" t="n"/>
      <c r="EU36" s="18" t="n"/>
      <c r="EV36" s="18" t="n"/>
      <c r="EW36" s="18" t="n"/>
      <c r="EX36" s="18" t="n"/>
      <c r="EY36" s="18" t="n"/>
      <c r="EZ36" s="18" t="n"/>
      <c r="FA36" s="18" t="n"/>
      <c r="FB36" s="18" t="n"/>
      <c r="FC36" s="18" t="n"/>
      <c r="FD36" s="18" t="n"/>
      <c r="FE36" s="18" t="n"/>
      <c r="FF36" s="18" t="n"/>
      <c r="FG36" s="18" t="n"/>
      <c r="FH36" s="18" t="n"/>
      <c r="FI36" s="18" t="n"/>
      <c r="FJ36" s="18" t="n"/>
      <c r="FK36" s="18" t="n"/>
      <c r="FL36" s="18" t="n"/>
      <c r="FM36" s="18" t="n"/>
      <c r="FN36" s="18" t="n"/>
      <c r="FO36" s="18" t="n"/>
      <c r="FP36" s="18" t="n"/>
      <c r="FQ36" s="18" t="n"/>
      <c r="FR36" s="18" t="n"/>
      <c r="FS36" s="18" t="n"/>
      <c r="FT36" s="18" t="n"/>
      <c r="FU36" s="18" t="n"/>
      <c r="FV36" s="18" t="n"/>
      <c r="FW36" s="18" t="n"/>
      <c r="FX36" s="18" t="n"/>
      <c r="FY36" s="18" t="n"/>
      <c r="FZ36" s="18" t="n"/>
      <c r="GA36" s="18" t="n"/>
      <c r="GB36" s="18" t="n"/>
      <c r="GC36" s="18" t="n"/>
      <c r="GD36" s="18" t="n"/>
      <c r="GE36" s="18" t="n"/>
      <c r="GF36" s="18" t="n"/>
      <c r="GG36" s="18" t="n"/>
      <c r="GH36" s="18" t="n"/>
      <c r="GI36" s="18" t="n"/>
      <c r="GJ36" s="18" t="n"/>
      <c r="GK36" s="18" t="n"/>
      <c r="GL36" s="18" t="n"/>
      <c r="GM36" s="18" t="n"/>
      <c r="GN36" s="18" t="n"/>
      <c r="GO36" s="18" t="n"/>
      <c r="GP36" s="18" t="n"/>
      <c r="GQ36" s="18" t="n"/>
      <c r="GR36" s="18" t="n"/>
      <c r="GS36" s="18" t="n"/>
      <c r="GT36" s="18" t="n"/>
      <c r="GU36" s="18" t="n"/>
      <c r="GV36" s="18" t="n"/>
      <c r="GW36" s="18" t="n"/>
      <c r="GX36" s="18" t="n"/>
      <c r="GY36" s="18" t="n"/>
      <c r="GZ36" s="18" t="n"/>
      <c r="HA36" s="18" t="n"/>
      <c r="HB36" s="18" t="n"/>
      <c r="HC36" s="18" t="n"/>
      <c r="HD36" s="18" t="n"/>
      <c r="HE36" s="18" t="n"/>
      <c r="HF36" s="18" t="n"/>
      <c r="HG36" s="18" t="n"/>
      <c r="HH36" s="18" t="n"/>
      <c r="HI36" s="18" t="n"/>
      <c r="HJ36" s="18" t="n"/>
      <c r="HK36" s="18" t="n"/>
      <c r="HL36" s="18" t="n"/>
      <c r="HM36" s="18" t="n"/>
      <c r="HN36" s="18" t="n"/>
      <c r="HO36" s="18" t="n"/>
      <c r="HP36" s="18" t="n"/>
      <c r="HQ36" s="18" t="n"/>
      <c r="HR36" s="18" t="n"/>
      <c r="HS36" s="18" t="n"/>
      <c r="HT36" s="18" t="n"/>
      <c r="HU36" s="18" t="n"/>
      <c r="HV36" s="18" t="n"/>
      <c r="HW36" s="18" t="n"/>
      <c r="HX36" s="18" t="n"/>
      <c r="HY36" s="18" t="n"/>
      <c r="HZ36" s="18" t="n"/>
      <c r="IA36" s="18" t="n"/>
      <c r="IB36" s="18" t="n"/>
      <c r="IC36" s="18" t="n"/>
      <c r="ID36" s="18" t="n"/>
      <c r="IE36" s="18" t="n"/>
      <c r="IF36" s="18" t="n"/>
      <c r="IG36" s="18" t="n"/>
      <c r="IH36" s="18" t="n"/>
      <c r="II36" s="18" t="n"/>
      <c r="IJ36" s="18" t="n"/>
      <c r="IK36" s="18" t="n"/>
      <c r="IL36" s="18" t="n"/>
      <c r="IM36" s="18" t="n"/>
      <c r="IN36" s="18" t="n"/>
      <c r="IO36" s="18" t="n"/>
      <c r="IP36" s="18" t="n"/>
      <c r="IQ36" s="18" t="n"/>
      <c r="IR36" s="18" t="n"/>
      <c r="IS36" s="18" t="n"/>
      <c r="IT36" s="18" t="n"/>
      <c r="IU36" s="18" t="n"/>
      <c r="IV36" s="18" t="n"/>
      <c r="IW36" s="18" t="n"/>
      <c r="IX36" s="18" t="n"/>
      <c r="IY36" s="18" t="n"/>
      <c r="IZ36" s="18" t="n"/>
      <c r="JA36" s="18" t="n"/>
      <c r="JB36" s="18" t="n"/>
      <c r="JC36" s="18" t="n"/>
      <c r="JD36" s="18" t="n"/>
      <c r="JE36" s="18" t="n"/>
      <c r="JF36" s="18" t="n"/>
      <c r="JG36" s="18" t="n"/>
      <c r="JH36" s="18" t="n"/>
      <c r="JI36" s="18" t="n"/>
      <c r="JJ36" s="18" t="n"/>
      <c r="JK36" s="18" t="n"/>
      <c r="JL36" s="18" t="n"/>
      <c r="JM36" s="18" t="n"/>
      <c r="JN36" s="18" t="n"/>
      <c r="JO36" s="18" t="n"/>
      <c r="JP36" s="18" t="n"/>
      <c r="JQ36" s="18" t="n"/>
      <c r="JR36" s="18" t="n"/>
      <c r="JS36" s="18" t="n"/>
      <c r="JT36" s="18" t="n"/>
      <c r="JU36" s="18" t="n"/>
      <c r="JV36" s="18" t="n"/>
      <c r="JW36" s="18" t="n"/>
      <c r="JX36" s="18" t="n"/>
      <c r="JY36" s="18" t="n"/>
      <c r="JZ36" s="18" t="n"/>
      <c r="KA36" s="18" t="n"/>
      <c r="KB36" s="18" t="n"/>
      <c r="KC36" s="18" t="n"/>
      <c r="KD36" s="18" t="n"/>
      <c r="KE36" s="18" t="n"/>
    </row>
    <row r="37" ht="31.2" customHeight="1" s="88">
      <c r="A37" s="18" t="n"/>
      <c r="B37" s="18" t="n"/>
      <c r="C37" s="18" t="n"/>
      <c r="D37" s="18" t="n"/>
      <c r="E37" s="52" t="n"/>
      <c r="F37" s="52" t="n"/>
      <c r="G37" s="18" t="n"/>
      <c r="H37" s="18" t="n"/>
      <c r="I37" s="18" t="n"/>
      <c r="J37" s="18" t="n"/>
      <c r="K37" s="18" t="n"/>
      <c r="L37" s="18" t="n"/>
      <c r="M37" s="18" t="n"/>
      <c r="N37" s="41" t="n"/>
      <c r="O37" s="18" t="n"/>
      <c r="P37" s="42" t="n"/>
      <c r="Q37" s="18" t="n"/>
      <c r="R37" s="53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  <c r="DY37" s="18" t="n"/>
      <c r="DZ37" s="18" t="n"/>
      <c r="EA37" s="18" t="n"/>
      <c r="EB37" s="18" t="n"/>
      <c r="EC37" s="18" t="n"/>
      <c r="ED37" s="18" t="n"/>
      <c r="EE37" s="18" t="n"/>
      <c r="EF37" s="18" t="n"/>
      <c r="EG37" s="18" t="n"/>
      <c r="EH37" s="18" t="n"/>
      <c r="EI37" s="18" t="n"/>
      <c r="EJ37" s="18" t="n"/>
      <c r="EK37" s="18" t="n"/>
      <c r="EL37" s="18" t="n"/>
      <c r="EM37" s="18" t="n"/>
      <c r="EN37" s="18" t="n"/>
      <c r="EO37" s="18" t="n"/>
      <c r="EP37" s="18" t="n"/>
      <c r="EQ37" s="18" t="n"/>
      <c r="ER37" s="18" t="n"/>
      <c r="ES37" s="18" t="n"/>
      <c r="ET37" s="18" t="n"/>
      <c r="EU37" s="18" t="n"/>
      <c r="EV37" s="18" t="n"/>
      <c r="EW37" s="18" t="n"/>
      <c r="EX37" s="18" t="n"/>
      <c r="EY37" s="18" t="n"/>
      <c r="EZ37" s="18" t="n"/>
      <c r="FA37" s="18" t="n"/>
      <c r="FB37" s="18" t="n"/>
      <c r="FC37" s="18" t="n"/>
      <c r="FD37" s="18" t="n"/>
      <c r="FE37" s="18" t="n"/>
      <c r="FF37" s="18" t="n"/>
      <c r="FG37" s="18" t="n"/>
      <c r="FH37" s="18" t="n"/>
      <c r="FI37" s="18" t="n"/>
      <c r="FJ37" s="18" t="n"/>
      <c r="FK37" s="18" t="n"/>
      <c r="FL37" s="18" t="n"/>
      <c r="FM37" s="18" t="n"/>
      <c r="FN37" s="18" t="n"/>
      <c r="FO37" s="18" t="n"/>
      <c r="FP37" s="18" t="n"/>
      <c r="FQ37" s="18" t="n"/>
      <c r="FR37" s="18" t="n"/>
      <c r="FS37" s="18" t="n"/>
      <c r="FT37" s="18" t="n"/>
      <c r="FU37" s="18" t="n"/>
      <c r="FV37" s="18" t="n"/>
      <c r="FW37" s="18" t="n"/>
      <c r="FX37" s="18" t="n"/>
      <c r="FY37" s="18" t="n"/>
      <c r="FZ37" s="18" t="n"/>
      <c r="GA37" s="18" t="n"/>
      <c r="GB37" s="18" t="n"/>
      <c r="GC37" s="18" t="n"/>
      <c r="GD37" s="18" t="n"/>
      <c r="GE37" s="18" t="n"/>
      <c r="GF37" s="18" t="n"/>
      <c r="GG37" s="18" t="n"/>
      <c r="GH37" s="18" t="n"/>
      <c r="GI37" s="18" t="n"/>
      <c r="GJ37" s="18" t="n"/>
      <c r="GK37" s="18" t="n"/>
      <c r="GL37" s="18" t="n"/>
      <c r="GM37" s="18" t="n"/>
      <c r="GN37" s="18" t="n"/>
      <c r="GO37" s="18" t="n"/>
      <c r="GP37" s="18" t="n"/>
      <c r="GQ37" s="18" t="n"/>
      <c r="GR37" s="18" t="n"/>
      <c r="GS37" s="18" t="n"/>
      <c r="GT37" s="18" t="n"/>
      <c r="GU37" s="18" t="n"/>
      <c r="GV37" s="18" t="n"/>
      <c r="GW37" s="18" t="n"/>
      <c r="GX37" s="18" t="n"/>
      <c r="GY37" s="18" t="n"/>
      <c r="GZ37" s="18" t="n"/>
      <c r="HA37" s="18" t="n"/>
      <c r="HB37" s="18" t="n"/>
      <c r="HC37" s="18" t="n"/>
      <c r="HD37" s="18" t="n"/>
      <c r="HE37" s="18" t="n"/>
      <c r="HF37" s="18" t="n"/>
      <c r="HG37" s="18" t="n"/>
      <c r="HH37" s="18" t="n"/>
      <c r="HI37" s="18" t="n"/>
      <c r="HJ37" s="18" t="n"/>
      <c r="HK37" s="18" t="n"/>
      <c r="HL37" s="18" t="n"/>
      <c r="HM37" s="18" t="n"/>
      <c r="HN37" s="18" t="n"/>
      <c r="HO37" s="18" t="n"/>
      <c r="HP37" s="18" t="n"/>
      <c r="HQ37" s="18" t="n"/>
      <c r="HR37" s="18" t="n"/>
      <c r="HS37" s="18" t="n"/>
      <c r="HT37" s="18" t="n"/>
      <c r="HU37" s="18" t="n"/>
      <c r="HV37" s="18" t="n"/>
      <c r="HW37" s="18" t="n"/>
      <c r="HX37" s="18" t="n"/>
      <c r="HY37" s="18" t="n"/>
      <c r="HZ37" s="18" t="n"/>
      <c r="IA37" s="18" t="n"/>
      <c r="IB37" s="18" t="n"/>
      <c r="IC37" s="18" t="n"/>
      <c r="ID37" s="18" t="n"/>
      <c r="IE37" s="18" t="n"/>
      <c r="IF37" s="18" t="n"/>
      <c r="IG37" s="18" t="n"/>
      <c r="IH37" s="18" t="n"/>
      <c r="II37" s="18" t="n"/>
      <c r="IJ37" s="18" t="n"/>
      <c r="IK37" s="18" t="n"/>
      <c r="IL37" s="18" t="n"/>
      <c r="IM37" s="18" t="n"/>
      <c r="IN37" s="18" t="n"/>
      <c r="IO37" s="18" t="n"/>
      <c r="IP37" s="18" t="n"/>
      <c r="IQ37" s="18" t="n"/>
      <c r="IR37" s="18" t="n"/>
      <c r="IS37" s="18" t="n"/>
      <c r="IT37" s="18" t="n"/>
      <c r="IU37" s="18" t="n"/>
      <c r="IV37" s="18" t="n"/>
      <c r="IW37" s="18" t="n"/>
      <c r="IX37" s="18" t="n"/>
      <c r="IY37" s="18" t="n"/>
      <c r="IZ37" s="18" t="n"/>
      <c r="JA37" s="18" t="n"/>
      <c r="JB37" s="18" t="n"/>
      <c r="JC37" s="18" t="n"/>
      <c r="JD37" s="18" t="n"/>
      <c r="JE37" s="18" t="n"/>
      <c r="JF37" s="18" t="n"/>
      <c r="JG37" s="18" t="n"/>
      <c r="JH37" s="18" t="n"/>
      <c r="JI37" s="18" t="n"/>
      <c r="JJ37" s="18" t="n"/>
      <c r="JK37" s="18" t="n"/>
      <c r="JL37" s="18" t="n"/>
      <c r="JM37" s="18" t="n"/>
      <c r="JN37" s="18" t="n"/>
      <c r="JO37" s="18" t="n"/>
      <c r="JP37" s="18" t="n"/>
      <c r="JQ37" s="18" t="n"/>
      <c r="JR37" s="18" t="n"/>
      <c r="JS37" s="18" t="n"/>
      <c r="JT37" s="18" t="n"/>
      <c r="JU37" s="18" t="n"/>
      <c r="JV37" s="18" t="n"/>
      <c r="JW37" s="18" t="n"/>
      <c r="JX37" s="18" t="n"/>
      <c r="JY37" s="18" t="n"/>
      <c r="JZ37" s="18" t="n"/>
      <c r="KA37" s="18" t="n"/>
      <c r="KB37" s="18" t="n"/>
      <c r="KC37" s="18" t="n"/>
      <c r="KD37" s="18" t="n"/>
      <c r="KE37" s="18" t="n"/>
      <c r="KF37" s="18" t="n"/>
      <c r="KG37" s="18" t="n"/>
      <c r="KH37" s="18" t="n"/>
      <c r="KI37" s="18" t="n"/>
    </row>
    <row r="38" ht="17.4" customHeight="1" s="88">
      <c r="A38" s="18" t="n"/>
      <c r="B38" s="18" t="n"/>
      <c r="C38" s="18" t="n"/>
      <c r="D38" s="18" t="n"/>
      <c r="E38" s="52" t="n"/>
      <c r="F38" s="52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  <c r="DY38" s="18" t="n"/>
      <c r="DZ38" s="18" t="n"/>
      <c r="EA38" s="18" t="n"/>
      <c r="EB38" s="18" t="n"/>
      <c r="EC38" s="18" t="n"/>
      <c r="ED38" s="18" t="n"/>
      <c r="EE38" s="18" t="n"/>
      <c r="EF38" s="18" t="n"/>
      <c r="EG38" s="18" t="n"/>
      <c r="EH38" s="18" t="n"/>
      <c r="EI38" s="18" t="n"/>
      <c r="EJ38" s="18" t="n"/>
      <c r="EK38" s="18" t="n"/>
      <c r="EL38" s="18" t="n"/>
      <c r="EM38" s="18" t="n"/>
      <c r="EN38" s="18" t="n"/>
      <c r="EO38" s="18" t="n"/>
      <c r="EP38" s="18" t="n"/>
      <c r="EQ38" s="18" t="n"/>
      <c r="ER38" s="18" t="n"/>
      <c r="ES38" s="18" t="n"/>
      <c r="ET38" s="18" t="n"/>
      <c r="EU38" s="18" t="n"/>
      <c r="EV38" s="18" t="n"/>
      <c r="EW38" s="18" t="n"/>
      <c r="EX38" s="18" t="n"/>
      <c r="EY38" s="18" t="n"/>
      <c r="EZ38" s="18" t="n"/>
      <c r="FA38" s="18" t="n"/>
      <c r="FB38" s="18" t="n"/>
      <c r="FC38" s="18" t="n"/>
      <c r="FD38" s="18" t="n"/>
      <c r="FE38" s="18" t="n"/>
      <c r="FF38" s="18" t="n"/>
      <c r="FG38" s="18" t="n"/>
      <c r="FH38" s="18" t="n"/>
      <c r="FI38" s="18" t="n"/>
      <c r="FJ38" s="18" t="n"/>
      <c r="FK38" s="18" t="n"/>
      <c r="FL38" s="18" t="n"/>
      <c r="FM38" s="18" t="n"/>
      <c r="FN38" s="18" t="n"/>
      <c r="FO38" s="18" t="n"/>
      <c r="FP38" s="18" t="n"/>
      <c r="FQ38" s="18" t="n"/>
      <c r="FR38" s="18" t="n"/>
      <c r="FS38" s="18" t="n"/>
      <c r="FT38" s="18" t="n"/>
      <c r="FU38" s="18" t="n"/>
      <c r="FV38" s="18" t="n"/>
      <c r="FW38" s="18" t="n"/>
      <c r="FX38" s="18" t="n"/>
      <c r="FY38" s="18" t="n"/>
      <c r="FZ38" s="18" t="n"/>
      <c r="GA38" s="18" t="n"/>
      <c r="GB38" s="18" t="n"/>
      <c r="GC38" s="18" t="n"/>
      <c r="GD38" s="18" t="n"/>
      <c r="GE38" s="18" t="n"/>
      <c r="GF38" s="18" t="n"/>
      <c r="GG38" s="18" t="n"/>
      <c r="GH38" s="18" t="n"/>
      <c r="GI38" s="18" t="n"/>
      <c r="GJ38" s="18" t="n"/>
      <c r="GK38" s="18" t="n"/>
      <c r="GL38" s="18" t="n"/>
      <c r="GM38" s="18" t="n"/>
      <c r="GN38" s="18" t="n"/>
      <c r="GO38" s="18" t="n"/>
      <c r="GP38" s="18" t="n"/>
      <c r="GQ38" s="18" t="n"/>
      <c r="GR38" s="18" t="n"/>
      <c r="GS38" s="18" t="n"/>
      <c r="GT38" s="18" t="n"/>
      <c r="GU38" s="18" t="n"/>
      <c r="GV38" s="18" t="n"/>
      <c r="GW38" s="18" t="n"/>
      <c r="GX38" s="18" t="n"/>
      <c r="GY38" s="18" t="n"/>
      <c r="GZ38" s="18" t="n"/>
      <c r="HA38" s="18" t="n"/>
      <c r="HB38" s="18" t="n"/>
      <c r="HC38" s="18" t="n"/>
      <c r="HD38" s="18" t="n"/>
      <c r="HE38" s="18" t="n"/>
      <c r="HF38" s="18" t="n"/>
      <c r="HG38" s="18" t="n"/>
      <c r="HH38" s="18" t="n"/>
      <c r="HI38" s="18" t="n"/>
      <c r="HJ38" s="18" t="n"/>
      <c r="HK38" s="18" t="n"/>
      <c r="HL38" s="18" t="n"/>
      <c r="HM38" s="18" t="n"/>
      <c r="HN38" s="18" t="n"/>
      <c r="HO38" s="18" t="n"/>
      <c r="HP38" s="18" t="n"/>
      <c r="HQ38" s="18" t="n"/>
      <c r="HR38" s="18" t="n"/>
      <c r="HS38" s="18" t="n"/>
      <c r="HT38" s="18" t="n"/>
      <c r="HU38" s="18" t="n"/>
      <c r="HV38" s="18" t="n"/>
      <c r="HW38" s="18" t="n"/>
      <c r="HX38" s="18" t="n"/>
      <c r="HY38" s="18" t="n"/>
      <c r="HZ38" s="18" t="n"/>
      <c r="IA38" s="18" t="n"/>
      <c r="IB38" s="18" t="n"/>
      <c r="IC38" s="18" t="n"/>
      <c r="ID38" s="18" t="n"/>
      <c r="IE38" s="18" t="n"/>
      <c r="IF38" s="18" t="n"/>
      <c r="IG38" s="18" t="n"/>
      <c r="IH38" s="18" t="n"/>
      <c r="II38" s="18" t="n"/>
      <c r="IJ38" s="18" t="n"/>
      <c r="IK38" s="18" t="n"/>
      <c r="IL38" s="18" t="n"/>
      <c r="IM38" s="18" t="n"/>
      <c r="IN38" s="18" t="n"/>
      <c r="IO38" s="18" t="n"/>
      <c r="IP38" s="18" t="n"/>
      <c r="IQ38" s="18" t="n"/>
      <c r="IR38" s="18" t="n"/>
      <c r="IS38" s="18" t="n"/>
      <c r="IT38" s="18" t="n"/>
      <c r="IU38" s="18" t="n"/>
      <c r="IV38" s="18" t="n"/>
      <c r="IW38" s="18" t="n"/>
      <c r="IX38" s="18" t="n"/>
      <c r="IY38" s="18" t="n"/>
      <c r="IZ38" s="18" t="n"/>
      <c r="JA38" s="18" t="n"/>
      <c r="JB38" s="18" t="n"/>
      <c r="JC38" s="18" t="n"/>
      <c r="JD38" s="18" t="n"/>
      <c r="JE38" s="18" t="n"/>
      <c r="JF38" s="18" t="n"/>
      <c r="JG38" s="18" t="n"/>
      <c r="JH38" s="18" t="n"/>
      <c r="JI38" s="18" t="n"/>
      <c r="JJ38" s="18" t="n"/>
      <c r="JK38" s="18" t="n"/>
      <c r="JL38" s="18" t="n"/>
      <c r="JM38" s="18" t="n"/>
      <c r="JN38" s="18" t="n"/>
      <c r="JO38" s="18" t="n"/>
      <c r="JP38" s="18" t="n"/>
      <c r="JQ38" s="18" t="n"/>
      <c r="JR38" s="18" t="n"/>
      <c r="JS38" s="18" t="n"/>
      <c r="JT38" s="18" t="n"/>
      <c r="JU38" s="18" t="n"/>
      <c r="JV38" s="18" t="n"/>
      <c r="JW38" s="18" t="n"/>
      <c r="JX38" s="18" t="n"/>
      <c r="JY38" s="18" t="n"/>
      <c r="JZ38" s="18" t="n"/>
      <c r="KA38" s="18" t="n"/>
      <c r="KB38" s="18" t="n"/>
      <c r="KC38" s="18" t="n"/>
      <c r="KD38" s="18" t="n"/>
      <c r="KE38" s="18" t="n"/>
      <c r="KF38" s="18" t="n"/>
      <c r="KG38" s="18" t="n"/>
      <c r="KH38" s="18" t="n"/>
      <c r="KI38" s="18" t="n"/>
      <c r="KJ38" s="18" t="n"/>
      <c r="KK38" s="18" t="n"/>
      <c r="KL38" s="18" t="n"/>
      <c r="KM38" s="18" t="n"/>
    </row>
    <row r="39" ht="17.4" customHeight="1" s="88">
      <c r="A39" s="18" t="n"/>
      <c r="B39" s="18" t="n"/>
      <c r="C39" s="18" t="n"/>
      <c r="D39" s="18" t="n"/>
      <c r="E39" s="52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  <c r="DY39" s="18" t="n"/>
      <c r="DZ39" s="18" t="n"/>
      <c r="EA39" s="18" t="n"/>
      <c r="EB39" s="18" t="n"/>
      <c r="EC39" s="18" t="n"/>
      <c r="ED39" s="18" t="n"/>
      <c r="EE39" s="18" t="n"/>
      <c r="EF39" s="18" t="n"/>
      <c r="EG39" s="18" t="n"/>
      <c r="EH39" s="18" t="n"/>
      <c r="EI39" s="18" t="n"/>
      <c r="EJ39" s="18" t="n"/>
      <c r="EK39" s="18" t="n"/>
      <c r="EL39" s="18" t="n"/>
      <c r="EM39" s="18" t="n"/>
      <c r="EN39" s="18" t="n"/>
      <c r="EO39" s="18" t="n"/>
      <c r="EP39" s="18" t="n"/>
      <c r="EQ39" s="18" t="n"/>
      <c r="ER39" s="18" t="n"/>
      <c r="ES39" s="18" t="n"/>
      <c r="ET39" s="18" t="n"/>
      <c r="EU39" s="18" t="n"/>
      <c r="EV39" s="18" t="n"/>
      <c r="EW39" s="18" t="n"/>
      <c r="EX39" s="18" t="n"/>
      <c r="EY39" s="18" t="n"/>
      <c r="EZ39" s="18" t="n"/>
      <c r="FA39" s="18" t="n"/>
      <c r="FB39" s="18" t="n"/>
      <c r="FC39" s="18" t="n"/>
      <c r="FD39" s="18" t="n"/>
      <c r="FE39" s="18" t="n"/>
      <c r="FF39" s="18" t="n"/>
      <c r="FG39" s="18" t="n"/>
      <c r="FH39" s="18" t="n"/>
      <c r="FI39" s="18" t="n"/>
      <c r="FJ39" s="18" t="n"/>
      <c r="FK39" s="18" t="n"/>
      <c r="FL39" s="18" t="n"/>
      <c r="FM39" s="18" t="n"/>
      <c r="FN39" s="18" t="n"/>
      <c r="FO39" s="18" t="n"/>
      <c r="FP39" s="18" t="n"/>
      <c r="FQ39" s="18" t="n"/>
      <c r="FR39" s="18" t="n"/>
      <c r="FS39" s="18" t="n"/>
      <c r="FT39" s="18" t="n"/>
      <c r="FU39" s="18" t="n"/>
      <c r="FV39" s="18" t="n"/>
      <c r="FW39" s="18" t="n"/>
      <c r="FX39" s="18" t="n"/>
      <c r="FY39" s="18" t="n"/>
      <c r="FZ39" s="18" t="n"/>
      <c r="GA39" s="18" t="n"/>
      <c r="GB39" s="18" t="n"/>
      <c r="GC39" s="18" t="n"/>
      <c r="GD39" s="18" t="n"/>
      <c r="GE39" s="18" t="n"/>
      <c r="GF39" s="18" t="n"/>
      <c r="GG39" s="18" t="n"/>
      <c r="GH39" s="18" t="n"/>
      <c r="GI39" s="18" t="n"/>
      <c r="GJ39" s="18" t="n"/>
      <c r="GK39" s="18" t="n"/>
      <c r="GL39" s="18" t="n"/>
      <c r="GM39" s="18" t="n"/>
      <c r="GN39" s="18" t="n"/>
      <c r="GO39" s="18" t="n"/>
      <c r="GP39" s="18" t="n"/>
      <c r="GQ39" s="18" t="n"/>
      <c r="GR39" s="18" t="n"/>
      <c r="GS39" s="18" t="n"/>
      <c r="GT39" s="18" t="n"/>
      <c r="GU39" s="18" t="n"/>
      <c r="GV39" s="18" t="n"/>
      <c r="GW39" s="18" t="n"/>
      <c r="GX39" s="18" t="n"/>
      <c r="GY39" s="18" t="n"/>
      <c r="GZ39" s="18" t="n"/>
      <c r="HA39" s="18" t="n"/>
      <c r="HB39" s="18" t="n"/>
      <c r="HC39" s="18" t="n"/>
      <c r="HD39" s="18" t="n"/>
      <c r="HE39" s="18" t="n"/>
      <c r="HF39" s="18" t="n"/>
      <c r="HG39" s="18" t="n"/>
      <c r="HH39" s="18" t="n"/>
      <c r="HI39" s="18" t="n"/>
      <c r="HJ39" s="18" t="n"/>
      <c r="HK39" s="18" t="n"/>
      <c r="HL39" s="18" t="n"/>
      <c r="HM39" s="18" t="n"/>
      <c r="HN39" s="18" t="n"/>
      <c r="HO39" s="18" t="n"/>
      <c r="HP39" s="18" t="n"/>
      <c r="HQ39" s="18" t="n"/>
      <c r="HR39" s="18" t="n"/>
      <c r="HS39" s="18" t="n"/>
      <c r="HT39" s="18" t="n"/>
      <c r="HU39" s="18" t="n"/>
      <c r="HV39" s="18" t="n"/>
      <c r="HW39" s="18" t="n"/>
      <c r="HX39" s="18" t="n"/>
      <c r="HY39" s="18" t="n"/>
      <c r="HZ39" s="18" t="n"/>
      <c r="IA39" s="18" t="n"/>
      <c r="IB39" s="18" t="n"/>
      <c r="IC39" s="18" t="n"/>
      <c r="ID39" s="18" t="n"/>
      <c r="IE39" s="18" t="n"/>
      <c r="IF39" s="18" t="n"/>
      <c r="IG39" s="18" t="n"/>
      <c r="IH39" s="18" t="n"/>
      <c r="II39" s="18" t="n"/>
      <c r="IJ39" s="18" t="n"/>
      <c r="IK39" s="18" t="n"/>
      <c r="IL39" s="18" t="n"/>
      <c r="IM39" s="18" t="n"/>
      <c r="IN39" s="18" t="n"/>
      <c r="IO39" s="18" t="n"/>
      <c r="IP39" s="18" t="n"/>
      <c r="IQ39" s="18" t="n"/>
      <c r="IR39" s="18" t="n"/>
      <c r="IS39" s="18" t="n"/>
      <c r="IT39" s="18" t="n"/>
      <c r="IU39" s="18" t="n"/>
      <c r="IV39" s="18" t="n"/>
      <c r="IW39" s="18" t="n"/>
      <c r="IX39" s="18" t="n"/>
      <c r="IY39" s="18" t="n"/>
      <c r="IZ39" s="18" t="n"/>
      <c r="JA39" s="18" t="n"/>
      <c r="JB39" s="18" t="n"/>
      <c r="JC39" s="18" t="n"/>
      <c r="JD39" s="18" t="n"/>
      <c r="JE39" s="18" t="n"/>
      <c r="JF39" s="18" t="n"/>
      <c r="JG39" s="18" t="n"/>
      <c r="JH39" s="18" t="n"/>
      <c r="JI39" s="18" t="n"/>
      <c r="JJ39" s="18" t="n"/>
      <c r="JK39" s="18" t="n"/>
      <c r="JL39" s="18" t="n"/>
      <c r="JM39" s="18" t="n"/>
      <c r="JN39" s="18" t="n"/>
      <c r="JO39" s="18" t="n"/>
      <c r="JP39" s="18" t="n"/>
      <c r="JQ39" s="18" t="n"/>
      <c r="JR39" s="18" t="n"/>
      <c r="JS39" s="18" t="n"/>
      <c r="JT39" s="18" t="n"/>
      <c r="JU39" s="18" t="n"/>
      <c r="JV39" s="18" t="n"/>
      <c r="JW39" s="18" t="n"/>
      <c r="JX39" s="18" t="n"/>
      <c r="JY39" s="18" t="n"/>
      <c r="JZ39" s="18" t="n"/>
      <c r="KA39" s="18" t="n"/>
      <c r="KB39" s="18" t="n"/>
      <c r="KC39" s="18" t="n"/>
      <c r="KD39" s="18" t="n"/>
      <c r="KE39" s="18" t="n"/>
      <c r="KF39" s="18" t="n"/>
      <c r="KG39" s="18" t="n"/>
      <c r="KH39" s="18" t="n"/>
      <c r="KI39" s="18" t="n"/>
      <c r="KJ39" s="18" t="n"/>
      <c r="KK39" s="18" t="n"/>
      <c r="KL39" s="18" t="n"/>
      <c r="KM39" s="18" t="n"/>
      <c r="KN39" s="18" t="n"/>
      <c r="KO39" s="18" t="n"/>
      <c r="KP39" s="18" t="n"/>
      <c r="KQ39" s="18" t="n"/>
    </row>
    <row r="40" ht="17.4" customHeight="1" s="88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  <c r="DY40" s="18" t="n"/>
      <c r="DZ40" s="18" t="n"/>
      <c r="EA40" s="18" t="n"/>
      <c r="EB40" s="18" t="n"/>
      <c r="EC40" s="18" t="n"/>
      <c r="ED40" s="18" t="n"/>
      <c r="EE40" s="18" t="n"/>
      <c r="EF40" s="18" t="n"/>
      <c r="EG40" s="18" t="n"/>
      <c r="EH40" s="18" t="n"/>
      <c r="EI40" s="18" t="n"/>
      <c r="EJ40" s="18" t="n"/>
      <c r="EK40" s="18" t="n"/>
      <c r="EL40" s="18" t="n"/>
      <c r="EM40" s="18" t="n"/>
      <c r="EN40" s="18" t="n"/>
      <c r="EO40" s="18" t="n"/>
      <c r="EP40" s="18" t="n"/>
      <c r="EQ40" s="18" t="n"/>
      <c r="ER40" s="18" t="n"/>
      <c r="ES40" s="18" t="n"/>
      <c r="ET40" s="18" t="n"/>
      <c r="EU40" s="18" t="n"/>
      <c r="EV40" s="18" t="n"/>
      <c r="EW40" s="18" t="n"/>
      <c r="EX40" s="18" t="n"/>
      <c r="EY40" s="18" t="n"/>
      <c r="EZ40" s="18" t="n"/>
      <c r="FA40" s="18" t="n"/>
      <c r="FB40" s="18" t="n"/>
      <c r="FC40" s="18" t="n"/>
      <c r="FD40" s="18" t="n"/>
      <c r="FE40" s="18" t="n"/>
      <c r="FF40" s="18" t="n"/>
      <c r="FG40" s="18" t="n"/>
      <c r="FH40" s="18" t="n"/>
      <c r="FI40" s="18" t="n"/>
      <c r="FJ40" s="18" t="n"/>
      <c r="FK40" s="18" t="n"/>
      <c r="FL40" s="18" t="n"/>
      <c r="FM40" s="18" t="n"/>
      <c r="FN40" s="18" t="n"/>
      <c r="FO40" s="18" t="n"/>
      <c r="FP40" s="18" t="n"/>
      <c r="FQ40" s="18" t="n"/>
      <c r="FR40" s="18" t="n"/>
      <c r="FS40" s="18" t="n"/>
      <c r="FT40" s="18" t="n"/>
      <c r="FU40" s="18" t="n"/>
      <c r="FV40" s="18" t="n"/>
      <c r="FW40" s="18" t="n"/>
      <c r="FX40" s="18" t="n"/>
      <c r="FY40" s="18" t="n"/>
      <c r="FZ40" s="18" t="n"/>
      <c r="GA40" s="18" t="n"/>
      <c r="GB40" s="18" t="n"/>
      <c r="GC40" s="18" t="n"/>
      <c r="GD40" s="18" t="n"/>
      <c r="GE40" s="18" t="n"/>
      <c r="GF40" s="18" t="n"/>
      <c r="GG40" s="18" t="n"/>
      <c r="GH40" s="18" t="n"/>
      <c r="GI40" s="18" t="n"/>
      <c r="GJ40" s="18" t="n"/>
      <c r="GK40" s="18" t="n"/>
      <c r="GL40" s="18" t="n"/>
      <c r="GM40" s="18" t="n"/>
      <c r="GN40" s="18" t="n"/>
      <c r="GO40" s="18" t="n"/>
      <c r="GP40" s="18" t="n"/>
      <c r="GQ40" s="18" t="n"/>
      <c r="GR40" s="18" t="n"/>
      <c r="GS40" s="18" t="n"/>
      <c r="GT40" s="18" t="n"/>
      <c r="GU40" s="18" t="n"/>
      <c r="GV40" s="18" t="n"/>
      <c r="GW40" s="18" t="n"/>
      <c r="GX40" s="18" t="n"/>
      <c r="GY40" s="18" t="n"/>
      <c r="GZ40" s="18" t="n"/>
      <c r="HA40" s="18" t="n"/>
      <c r="HB40" s="18" t="n"/>
      <c r="HC40" s="18" t="n"/>
      <c r="HD40" s="18" t="n"/>
      <c r="HE40" s="18" t="n"/>
      <c r="HF40" s="18" t="n"/>
      <c r="HG40" s="18" t="n"/>
      <c r="HH40" s="18" t="n"/>
      <c r="HI40" s="18" t="n"/>
      <c r="HJ40" s="18" t="n"/>
      <c r="HK40" s="18" t="n"/>
      <c r="HL40" s="18" t="n"/>
      <c r="HM40" s="18" t="n"/>
      <c r="HN40" s="18" t="n"/>
      <c r="HO40" s="18" t="n"/>
      <c r="HP40" s="18" t="n"/>
      <c r="HQ40" s="18" t="n"/>
      <c r="HR40" s="18" t="n"/>
      <c r="HS40" s="18" t="n"/>
      <c r="HT40" s="18" t="n"/>
      <c r="HU40" s="18" t="n"/>
      <c r="HV40" s="18" t="n"/>
      <c r="HW40" s="18" t="n"/>
      <c r="HX40" s="18" t="n"/>
      <c r="HY40" s="18" t="n"/>
      <c r="HZ40" s="18" t="n"/>
      <c r="IA40" s="18" t="n"/>
      <c r="IB40" s="18" t="n"/>
      <c r="IC40" s="18" t="n"/>
      <c r="ID40" s="18" t="n"/>
      <c r="IE40" s="18" t="n"/>
      <c r="IF40" s="18" t="n"/>
      <c r="IG40" s="18" t="n"/>
      <c r="IH40" s="18" t="n"/>
      <c r="II40" s="18" t="n"/>
      <c r="IJ40" s="18" t="n"/>
      <c r="IK40" s="18" t="n"/>
      <c r="IL40" s="18" t="n"/>
      <c r="IM40" s="18" t="n"/>
      <c r="IN40" s="18" t="n"/>
      <c r="IO40" s="18" t="n"/>
      <c r="IP40" s="18" t="n"/>
      <c r="IQ40" s="18" t="n"/>
      <c r="IR40" s="18" t="n"/>
      <c r="IS40" s="18" t="n"/>
      <c r="IT40" s="18" t="n"/>
      <c r="IU40" s="18" t="n"/>
      <c r="IV40" s="18" t="n"/>
      <c r="IW40" s="18" t="n"/>
      <c r="IX40" s="18" t="n"/>
      <c r="IY40" s="18" t="n"/>
      <c r="IZ40" s="18" t="n"/>
      <c r="JA40" s="18" t="n"/>
      <c r="JB40" s="18" t="n"/>
      <c r="JC40" s="18" t="n"/>
      <c r="JD40" s="18" t="n"/>
      <c r="JE40" s="18" t="n"/>
      <c r="JF40" s="18" t="n"/>
      <c r="JG40" s="18" t="n"/>
      <c r="JH40" s="18" t="n"/>
      <c r="JI40" s="18" t="n"/>
      <c r="JJ40" s="18" t="n"/>
      <c r="JK40" s="18" t="n"/>
      <c r="JL40" s="18" t="n"/>
      <c r="JM40" s="18" t="n"/>
      <c r="JN40" s="18" t="n"/>
      <c r="JO40" s="18" t="n"/>
      <c r="JP40" s="18" t="n"/>
      <c r="JQ40" s="18" t="n"/>
      <c r="JR40" s="18" t="n"/>
      <c r="JS40" s="18" t="n"/>
      <c r="JT40" s="18" t="n"/>
      <c r="JU40" s="18" t="n"/>
      <c r="JV40" s="18" t="n"/>
      <c r="JW40" s="18" t="n"/>
      <c r="JX40" s="18" t="n"/>
      <c r="JY40" s="18" t="n"/>
      <c r="JZ40" s="18" t="n"/>
      <c r="KA40" s="18" t="n"/>
      <c r="KB40" s="18" t="n"/>
      <c r="KC40" s="18" t="n"/>
      <c r="KD40" s="18" t="n"/>
      <c r="KE40" s="18" t="n"/>
      <c r="KF40" s="18" t="n"/>
      <c r="KG40" s="18" t="n"/>
      <c r="KH40" s="18" t="n"/>
      <c r="KI40" s="18" t="n"/>
      <c r="KJ40" s="18" t="n"/>
      <c r="KK40" s="18" t="n"/>
      <c r="KL40" s="18" t="n"/>
      <c r="KM40" s="18" t="n"/>
      <c r="KN40" s="18" t="n"/>
      <c r="KO40" s="18" t="n"/>
      <c r="KP40" s="18" t="n"/>
      <c r="KQ40" s="18" t="n"/>
      <c r="KR40" s="18" t="n"/>
      <c r="KS40" s="18" t="n"/>
      <c r="KT40" s="18" t="n"/>
      <c r="KU40" s="18" t="n"/>
    </row>
    <row r="41" ht="17.4" customHeight="1" s="88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  <c r="DY41" s="18" t="n"/>
      <c r="DZ41" s="18" t="n"/>
      <c r="EA41" s="18" t="n"/>
      <c r="EB41" s="18" t="n"/>
      <c r="EC41" s="18" t="n"/>
      <c r="ED41" s="18" t="n"/>
      <c r="EE41" s="18" t="n"/>
      <c r="EF41" s="18" t="n"/>
      <c r="EG41" s="18" t="n"/>
      <c r="EH41" s="18" t="n"/>
      <c r="EI41" s="18" t="n"/>
      <c r="EJ41" s="18" t="n"/>
      <c r="EK41" s="18" t="n"/>
      <c r="EL41" s="18" t="n"/>
      <c r="EM41" s="18" t="n"/>
      <c r="EN41" s="18" t="n"/>
      <c r="EO41" s="18" t="n"/>
      <c r="EP41" s="18" t="n"/>
      <c r="EQ41" s="18" t="n"/>
      <c r="ER41" s="18" t="n"/>
      <c r="ES41" s="18" t="n"/>
      <c r="ET41" s="18" t="n"/>
      <c r="EU41" s="18" t="n"/>
      <c r="EV41" s="18" t="n"/>
      <c r="EW41" s="18" t="n"/>
      <c r="EX41" s="18" t="n"/>
      <c r="EY41" s="18" t="n"/>
      <c r="EZ41" s="18" t="n"/>
      <c r="FA41" s="18" t="n"/>
      <c r="FB41" s="18" t="n"/>
      <c r="FC41" s="18" t="n"/>
      <c r="FD41" s="18" t="n"/>
      <c r="FE41" s="18" t="n"/>
      <c r="FF41" s="18" t="n"/>
      <c r="FG41" s="18" t="n"/>
      <c r="FH41" s="18" t="n"/>
      <c r="FI41" s="18" t="n"/>
      <c r="FJ41" s="18" t="n"/>
      <c r="FK41" s="18" t="n"/>
      <c r="FL41" s="18" t="n"/>
      <c r="FM41" s="18" t="n"/>
      <c r="FN41" s="18" t="n"/>
      <c r="FO41" s="18" t="n"/>
      <c r="FP41" s="18" t="n"/>
      <c r="FQ41" s="18" t="n"/>
      <c r="FR41" s="18" t="n"/>
      <c r="FS41" s="18" t="n"/>
      <c r="FT41" s="18" t="n"/>
      <c r="FU41" s="18" t="n"/>
      <c r="FV41" s="18" t="n"/>
      <c r="FW41" s="18" t="n"/>
      <c r="FX41" s="18" t="n"/>
      <c r="FY41" s="18" t="n"/>
      <c r="FZ41" s="18" t="n"/>
      <c r="GA41" s="18" t="n"/>
      <c r="GB41" s="18" t="n"/>
      <c r="GC41" s="18" t="n"/>
      <c r="GD41" s="18" t="n"/>
      <c r="GE41" s="18" t="n"/>
      <c r="GF41" s="18" t="n"/>
      <c r="GG41" s="18" t="n"/>
      <c r="GH41" s="18" t="n"/>
      <c r="GI41" s="18" t="n"/>
      <c r="GJ41" s="18" t="n"/>
      <c r="GK41" s="18" t="n"/>
      <c r="GL41" s="18" t="n"/>
      <c r="GM41" s="18" t="n"/>
      <c r="GN41" s="18" t="n"/>
      <c r="GO41" s="18" t="n"/>
      <c r="GP41" s="18" t="n"/>
      <c r="GQ41" s="18" t="n"/>
      <c r="GR41" s="18" t="n"/>
      <c r="GS41" s="18" t="n"/>
      <c r="GT41" s="18" t="n"/>
      <c r="GU41" s="18" t="n"/>
      <c r="GV41" s="18" t="n"/>
      <c r="GW41" s="18" t="n"/>
      <c r="GX41" s="18" t="n"/>
      <c r="GY41" s="18" t="n"/>
      <c r="GZ41" s="18" t="n"/>
      <c r="HA41" s="18" t="n"/>
      <c r="HB41" s="18" t="n"/>
      <c r="HC41" s="18" t="n"/>
      <c r="HD41" s="18" t="n"/>
      <c r="HE41" s="18" t="n"/>
      <c r="HF41" s="18" t="n"/>
      <c r="HG41" s="18" t="n"/>
      <c r="HH41" s="18" t="n"/>
      <c r="HI41" s="18" t="n"/>
      <c r="HJ41" s="18" t="n"/>
      <c r="HK41" s="18" t="n"/>
      <c r="HL41" s="18" t="n"/>
      <c r="HM41" s="18" t="n"/>
      <c r="HN41" s="18" t="n"/>
      <c r="HO41" s="18" t="n"/>
      <c r="HP41" s="18" t="n"/>
      <c r="HQ41" s="18" t="n"/>
      <c r="HR41" s="18" t="n"/>
      <c r="HS41" s="18" t="n"/>
      <c r="HT41" s="18" t="n"/>
      <c r="HU41" s="18" t="n"/>
      <c r="HV41" s="18" t="n"/>
      <c r="HW41" s="18" t="n"/>
      <c r="HX41" s="18" t="n"/>
      <c r="HY41" s="18" t="n"/>
      <c r="HZ41" s="18" t="n"/>
      <c r="IA41" s="18" t="n"/>
      <c r="IB41" s="18" t="n"/>
      <c r="IC41" s="18" t="n"/>
      <c r="ID41" s="18" t="n"/>
      <c r="IE41" s="18" t="n"/>
      <c r="IF41" s="18" t="n"/>
      <c r="IG41" s="18" t="n"/>
      <c r="IH41" s="18" t="n"/>
      <c r="II41" s="18" t="n"/>
      <c r="IJ41" s="18" t="n"/>
      <c r="IK41" s="18" t="n"/>
      <c r="IL41" s="18" t="n"/>
      <c r="IM41" s="18" t="n"/>
      <c r="IN41" s="18" t="n"/>
      <c r="IO41" s="18" t="n"/>
      <c r="IP41" s="18" t="n"/>
      <c r="IQ41" s="18" t="n"/>
      <c r="IR41" s="18" t="n"/>
      <c r="IS41" s="18" t="n"/>
      <c r="IT41" s="18" t="n"/>
      <c r="IU41" s="18" t="n"/>
      <c r="IV41" s="18" t="n"/>
      <c r="IW41" s="18" t="n"/>
      <c r="IX41" s="18" t="n"/>
      <c r="IY41" s="18" t="n"/>
      <c r="IZ41" s="18" t="n"/>
      <c r="JA41" s="18" t="n"/>
      <c r="JB41" s="18" t="n"/>
      <c r="JC41" s="18" t="n"/>
      <c r="JD41" s="18" t="n"/>
      <c r="JE41" s="18" t="n"/>
      <c r="JF41" s="18" t="n"/>
      <c r="JG41" s="18" t="n"/>
      <c r="JH41" s="18" t="n"/>
      <c r="JI41" s="18" t="n"/>
      <c r="JJ41" s="18" t="n"/>
      <c r="JK41" s="18" t="n"/>
      <c r="JL41" s="18" t="n"/>
      <c r="JM41" s="18" t="n"/>
      <c r="JN41" s="18" t="n"/>
      <c r="JO41" s="18" t="n"/>
      <c r="JP41" s="18" t="n"/>
      <c r="JQ41" s="18" t="n"/>
      <c r="JR41" s="18" t="n"/>
      <c r="JS41" s="18" t="n"/>
      <c r="JT41" s="18" t="n"/>
      <c r="JU41" s="18" t="n"/>
      <c r="JV41" s="18" t="n"/>
      <c r="JW41" s="18" t="n"/>
      <c r="JX41" s="18" t="n"/>
      <c r="JY41" s="18" t="n"/>
      <c r="JZ41" s="18" t="n"/>
      <c r="KA41" s="18" t="n"/>
      <c r="KB41" s="18" t="n"/>
      <c r="KC41" s="18" t="n"/>
      <c r="KD41" s="18" t="n"/>
      <c r="KE41" s="18" t="n"/>
      <c r="KF41" s="18" t="n"/>
      <c r="KG41" s="18" t="n"/>
      <c r="KH41" s="18" t="n"/>
      <c r="KI41" s="18" t="n"/>
      <c r="KJ41" s="18" t="n"/>
      <c r="KK41" s="18" t="n"/>
      <c r="KL41" s="18" t="n"/>
      <c r="KM41" s="18" t="n"/>
      <c r="KN41" s="18" t="n"/>
      <c r="KO41" s="18" t="n"/>
      <c r="KP41" s="18" t="n"/>
      <c r="KQ41" s="18" t="n"/>
      <c r="KR41" s="18" t="n"/>
      <c r="KS41" s="18" t="n"/>
      <c r="KT41" s="18" t="n"/>
      <c r="KU41" s="18" t="n"/>
      <c r="KV41" s="18" t="n"/>
      <c r="KW41" s="18" t="n"/>
      <c r="KX41" s="18" t="n"/>
      <c r="KY41" s="18" t="n"/>
    </row>
    <row r="42" ht="17.4" customHeight="1" s="88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  <c r="DY42" s="18" t="n"/>
      <c r="DZ42" s="18" t="n"/>
      <c r="EA42" s="18" t="n"/>
      <c r="EB42" s="18" t="n"/>
      <c r="EC42" s="18" t="n"/>
      <c r="ED42" s="18" t="n"/>
      <c r="EE42" s="18" t="n"/>
      <c r="EF42" s="18" t="n"/>
      <c r="EG42" s="18" t="n"/>
      <c r="EH42" s="18" t="n"/>
      <c r="EI42" s="18" t="n"/>
      <c r="EJ42" s="18" t="n"/>
      <c r="EK42" s="18" t="n"/>
      <c r="EL42" s="18" t="n"/>
      <c r="EM42" s="18" t="n"/>
      <c r="EN42" s="18" t="n"/>
      <c r="EO42" s="18" t="n"/>
      <c r="EP42" s="18" t="n"/>
      <c r="EQ42" s="18" t="n"/>
      <c r="ER42" s="18" t="n"/>
      <c r="ES42" s="18" t="n"/>
      <c r="ET42" s="18" t="n"/>
      <c r="EU42" s="18" t="n"/>
      <c r="EV42" s="18" t="n"/>
      <c r="EW42" s="18" t="n"/>
      <c r="EX42" s="18" t="n"/>
      <c r="EY42" s="18" t="n"/>
      <c r="EZ42" s="18" t="n"/>
      <c r="FA42" s="18" t="n"/>
      <c r="FB42" s="18" t="n"/>
      <c r="FC42" s="18" t="n"/>
      <c r="FD42" s="18" t="n"/>
      <c r="FE42" s="18" t="n"/>
      <c r="FF42" s="18" t="n"/>
      <c r="FG42" s="18" t="n"/>
      <c r="FH42" s="18" t="n"/>
      <c r="FI42" s="18" t="n"/>
      <c r="FJ42" s="18" t="n"/>
      <c r="FK42" s="18" t="n"/>
      <c r="FL42" s="18" t="n"/>
      <c r="FM42" s="18" t="n"/>
      <c r="FN42" s="18" t="n"/>
      <c r="FO42" s="18" t="n"/>
      <c r="FP42" s="18" t="n"/>
      <c r="FQ42" s="18" t="n"/>
      <c r="FR42" s="18" t="n"/>
      <c r="FS42" s="18" t="n"/>
      <c r="FT42" s="18" t="n"/>
      <c r="FU42" s="18" t="n"/>
      <c r="FV42" s="18" t="n"/>
      <c r="FW42" s="18" t="n"/>
      <c r="FX42" s="18" t="n"/>
      <c r="FY42" s="18" t="n"/>
      <c r="FZ42" s="18" t="n"/>
      <c r="GA42" s="18" t="n"/>
      <c r="GB42" s="18" t="n"/>
      <c r="GC42" s="18" t="n"/>
      <c r="GD42" s="18" t="n"/>
      <c r="GE42" s="18" t="n"/>
      <c r="GF42" s="18" t="n"/>
      <c r="GG42" s="18" t="n"/>
      <c r="GH42" s="18" t="n"/>
      <c r="GI42" s="18" t="n"/>
      <c r="GJ42" s="18" t="n"/>
      <c r="GK42" s="18" t="n"/>
      <c r="GL42" s="18" t="n"/>
      <c r="GM42" s="18" t="n"/>
      <c r="GN42" s="18" t="n"/>
      <c r="GO42" s="18" t="n"/>
      <c r="GP42" s="18" t="n"/>
      <c r="GQ42" s="18" t="n"/>
      <c r="GR42" s="18" t="n"/>
      <c r="GS42" s="18" t="n"/>
      <c r="GT42" s="18" t="n"/>
      <c r="GU42" s="18" t="n"/>
      <c r="GV42" s="18" t="n"/>
      <c r="GW42" s="18" t="n"/>
      <c r="GX42" s="18" t="n"/>
      <c r="GY42" s="18" t="n"/>
      <c r="GZ42" s="18" t="n"/>
      <c r="HA42" s="18" t="n"/>
      <c r="HB42" s="18" t="n"/>
      <c r="HC42" s="18" t="n"/>
      <c r="HD42" s="18" t="n"/>
      <c r="HE42" s="18" t="n"/>
      <c r="HF42" s="18" t="n"/>
      <c r="HG42" s="18" t="n"/>
      <c r="HH42" s="18" t="n"/>
      <c r="HI42" s="18" t="n"/>
      <c r="HJ42" s="18" t="n"/>
      <c r="HK42" s="18" t="n"/>
      <c r="HL42" s="18" t="n"/>
      <c r="HM42" s="18" t="n"/>
      <c r="HN42" s="18" t="n"/>
      <c r="HO42" s="18" t="n"/>
      <c r="HP42" s="18" t="n"/>
      <c r="HQ42" s="18" t="n"/>
      <c r="HR42" s="18" t="n"/>
      <c r="HS42" s="18" t="n"/>
      <c r="HT42" s="18" t="n"/>
      <c r="HU42" s="18" t="n"/>
      <c r="HV42" s="18" t="n"/>
      <c r="HW42" s="18" t="n"/>
      <c r="HX42" s="18" t="n"/>
      <c r="HY42" s="18" t="n"/>
      <c r="HZ42" s="18" t="n"/>
      <c r="IA42" s="18" t="n"/>
      <c r="IB42" s="18" t="n"/>
      <c r="IC42" s="18" t="n"/>
      <c r="ID42" s="18" t="n"/>
      <c r="IE42" s="18" t="n"/>
      <c r="IF42" s="18" t="n"/>
      <c r="IG42" s="18" t="n"/>
      <c r="IH42" s="18" t="n"/>
      <c r="II42" s="18" t="n"/>
      <c r="IJ42" s="18" t="n"/>
      <c r="IK42" s="18" t="n"/>
      <c r="IL42" s="18" t="n"/>
      <c r="IM42" s="18" t="n"/>
      <c r="IN42" s="18" t="n"/>
      <c r="IO42" s="18" t="n"/>
      <c r="IP42" s="18" t="n"/>
      <c r="IQ42" s="18" t="n"/>
      <c r="IR42" s="18" t="n"/>
      <c r="IS42" s="18" t="n"/>
      <c r="IT42" s="18" t="n"/>
      <c r="IU42" s="18" t="n"/>
      <c r="IV42" s="18" t="n"/>
      <c r="IW42" s="18" t="n"/>
      <c r="IX42" s="18" t="n"/>
      <c r="IY42" s="18" t="n"/>
      <c r="IZ42" s="18" t="n"/>
      <c r="JA42" s="18" t="n"/>
      <c r="JB42" s="18" t="n"/>
      <c r="JC42" s="18" t="n"/>
      <c r="JD42" s="18" t="n"/>
      <c r="JE42" s="18" t="n"/>
      <c r="JF42" s="18" t="n"/>
      <c r="JG42" s="18" t="n"/>
      <c r="JH42" s="18" t="n"/>
      <c r="JI42" s="18" t="n"/>
      <c r="JJ42" s="18" t="n"/>
      <c r="JK42" s="18" t="n"/>
      <c r="JL42" s="18" t="n"/>
      <c r="JM42" s="18" t="n"/>
      <c r="JN42" s="18" t="n"/>
      <c r="JO42" s="18" t="n"/>
      <c r="JP42" s="18" t="n"/>
      <c r="JQ42" s="18" t="n"/>
      <c r="JR42" s="18" t="n"/>
      <c r="JS42" s="18" t="n"/>
      <c r="JT42" s="18" t="n"/>
      <c r="JU42" s="18" t="n"/>
      <c r="JV42" s="18" t="n"/>
      <c r="JW42" s="18" t="n"/>
      <c r="JX42" s="18" t="n"/>
      <c r="JY42" s="18" t="n"/>
      <c r="JZ42" s="18" t="n"/>
      <c r="KA42" s="18" t="n"/>
      <c r="KB42" s="18" t="n"/>
      <c r="KC42" s="18" t="n"/>
      <c r="KD42" s="18" t="n"/>
      <c r="KE42" s="18" t="n"/>
      <c r="KF42" s="18" t="n"/>
      <c r="KG42" s="18" t="n"/>
      <c r="KH42" s="18" t="n"/>
      <c r="KI42" s="18" t="n"/>
      <c r="KJ42" s="18" t="n"/>
      <c r="KK42" s="18" t="n"/>
      <c r="KL42" s="18" t="n"/>
      <c r="KM42" s="18" t="n"/>
      <c r="KN42" s="18" t="n"/>
      <c r="KO42" s="18" t="n"/>
      <c r="KP42" s="18" t="n"/>
      <c r="KQ42" s="18" t="n"/>
      <c r="KR42" s="18" t="n"/>
      <c r="KS42" s="18" t="n"/>
      <c r="KT42" s="18" t="n"/>
      <c r="KU42" s="18" t="n"/>
      <c r="KV42" s="18" t="n"/>
      <c r="KW42" s="18" t="n"/>
      <c r="KX42" s="18" t="n"/>
      <c r="KY42" s="18" t="n"/>
      <c r="KZ42" s="18" t="n"/>
      <c r="LA42" s="18" t="n"/>
      <c r="LB42" s="18" t="n"/>
      <c r="LC42" s="18" t="n"/>
    </row>
    <row r="43" ht="17.4" customHeight="1" s="88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  <c r="DY43" s="18" t="n"/>
      <c r="DZ43" s="18" t="n"/>
      <c r="EA43" s="18" t="n"/>
      <c r="EB43" s="18" t="n"/>
      <c r="EC43" s="18" t="n"/>
      <c r="ED43" s="18" t="n"/>
      <c r="EE43" s="18" t="n"/>
      <c r="EF43" s="18" t="n"/>
      <c r="EG43" s="18" t="n"/>
      <c r="EH43" s="18" t="n"/>
      <c r="EI43" s="18" t="n"/>
      <c r="EJ43" s="18" t="n"/>
      <c r="EK43" s="18" t="n"/>
      <c r="EL43" s="18" t="n"/>
      <c r="EM43" s="18" t="n"/>
      <c r="EN43" s="18" t="n"/>
      <c r="EO43" s="18" t="n"/>
      <c r="EP43" s="18" t="n"/>
      <c r="EQ43" s="18" t="n"/>
      <c r="ER43" s="18" t="n"/>
      <c r="ES43" s="18" t="n"/>
      <c r="ET43" s="18" t="n"/>
      <c r="EU43" s="18" t="n"/>
      <c r="EV43" s="18" t="n"/>
      <c r="EW43" s="18" t="n"/>
      <c r="EX43" s="18" t="n"/>
      <c r="EY43" s="18" t="n"/>
      <c r="EZ43" s="18" t="n"/>
      <c r="FA43" s="18" t="n"/>
      <c r="FB43" s="18" t="n"/>
      <c r="FC43" s="18" t="n"/>
      <c r="FD43" s="18" t="n"/>
      <c r="FE43" s="18" t="n"/>
      <c r="FF43" s="18" t="n"/>
      <c r="FG43" s="18" t="n"/>
      <c r="FH43" s="18" t="n"/>
      <c r="FI43" s="18" t="n"/>
      <c r="FJ43" s="18" t="n"/>
      <c r="FK43" s="18" t="n"/>
      <c r="FL43" s="18" t="n"/>
      <c r="FM43" s="18" t="n"/>
      <c r="FN43" s="18" t="n"/>
      <c r="FO43" s="18" t="n"/>
      <c r="FP43" s="18" t="n"/>
      <c r="FQ43" s="18" t="n"/>
      <c r="FR43" s="18" t="n"/>
      <c r="FS43" s="18" t="n"/>
      <c r="FT43" s="18" t="n"/>
      <c r="FU43" s="18" t="n"/>
      <c r="FV43" s="18" t="n"/>
      <c r="FW43" s="18" t="n"/>
      <c r="FX43" s="18" t="n"/>
      <c r="FY43" s="18" t="n"/>
      <c r="FZ43" s="18" t="n"/>
      <c r="GA43" s="18" t="n"/>
      <c r="GB43" s="18" t="n"/>
      <c r="GC43" s="18" t="n"/>
      <c r="GD43" s="18" t="n"/>
      <c r="GE43" s="18" t="n"/>
      <c r="GF43" s="18" t="n"/>
      <c r="GG43" s="18" t="n"/>
      <c r="GH43" s="18" t="n"/>
      <c r="GI43" s="18" t="n"/>
      <c r="GJ43" s="18" t="n"/>
      <c r="GK43" s="18" t="n"/>
      <c r="GL43" s="18" t="n"/>
      <c r="GM43" s="18" t="n"/>
      <c r="GN43" s="18" t="n"/>
      <c r="GO43" s="18" t="n"/>
      <c r="GP43" s="18" t="n"/>
      <c r="GQ43" s="18" t="n"/>
      <c r="GR43" s="18" t="n"/>
      <c r="GS43" s="18" t="n"/>
      <c r="GT43" s="18" t="n"/>
      <c r="GU43" s="18" t="n"/>
      <c r="GV43" s="18" t="n"/>
      <c r="GW43" s="18" t="n"/>
      <c r="GX43" s="18" t="n"/>
      <c r="GY43" s="18" t="n"/>
      <c r="GZ43" s="18" t="n"/>
      <c r="HA43" s="18" t="n"/>
      <c r="HB43" s="18" t="n"/>
      <c r="HC43" s="18" t="n"/>
      <c r="HD43" s="18" t="n"/>
      <c r="HE43" s="18" t="n"/>
      <c r="HF43" s="18" t="n"/>
      <c r="HG43" s="18" t="n"/>
      <c r="HH43" s="18" t="n"/>
      <c r="HI43" s="18" t="n"/>
      <c r="HJ43" s="18" t="n"/>
      <c r="HK43" s="18" t="n"/>
      <c r="HL43" s="18" t="n"/>
      <c r="HM43" s="18" t="n"/>
      <c r="HN43" s="18" t="n"/>
      <c r="HO43" s="18" t="n"/>
      <c r="HP43" s="18" t="n"/>
      <c r="HQ43" s="18" t="n"/>
      <c r="HR43" s="18" t="n"/>
      <c r="HS43" s="18" t="n"/>
      <c r="HT43" s="18" t="n"/>
      <c r="HU43" s="18" t="n"/>
      <c r="HV43" s="18" t="n"/>
      <c r="HW43" s="18" t="n"/>
      <c r="HX43" s="18" t="n"/>
      <c r="HY43" s="18" t="n"/>
      <c r="HZ43" s="18" t="n"/>
      <c r="IA43" s="18" t="n"/>
      <c r="IB43" s="18" t="n"/>
      <c r="IC43" s="18" t="n"/>
      <c r="ID43" s="18" t="n"/>
      <c r="IE43" s="18" t="n"/>
      <c r="IF43" s="18" t="n"/>
      <c r="IG43" s="18" t="n"/>
      <c r="IH43" s="18" t="n"/>
      <c r="II43" s="18" t="n"/>
      <c r="IJ43" s="18" t="n"/>
      <c r="IK43" s="18" t="n"/>
      <c r="IL43" s="18" t="n"/>
      <c r="IM43" s="18" t="n"/>
      <c r="IN43" s="18" t="n"/>
      <c r="IO43" s="18" t="n"/>
      <c r="IP43" s="18" t="n"/>
      <c r="IQ43" s="18" t="n"/>
      <c r="IR43" s="18" t="n"/>
      <c r="IS43" s="18" t="n"/>
      <c r="IT43" s="18" t="n"/>
      <c r="IU43" s="18" t="n"/>
      <c r="IV43" s="18" t="n"/>
      <c r="IW43" s="18" t="n"/>
      <c r="IX43" s="18" t="n"/>
      <c r="IY43" s="18" t="n"/>
      <c r="IZ43" s="18" t="n"/>
      <c r="JA43" s="18" t="n"/>
      <c r="JB43" s="18" t="n"/>
      <c r="JC43" s="18" t="n"/>
      <c r="JD43" s="18" t="n"/>
      <c r="JE43" s="18" t="n"/>
      <c r="JF43" s="18" t="n"/>
      <c r="JG43" s="18" t="n"/>
      <c r="JH43" s="18" t="n"/>
      <c r="JI43" s="18" t="n"/>
      <c r="JJ43" s="18" t="n"/>
      <c r="JK43" s="18" t="n"/>
      <c r="JL43" s="18" t="n"/>
      <c r="JM43" s="18" t="n"/>
      <c r="JN43" s="18" t="n"/>
      <c r="JO43" s="18" t="n"/>
      <c r="JP43" s="18" t="n"/>
      <c r="JQ43" s="18" t="n"/>
      <c r="JR43" s="18" t="n"/>
      <c r="JS43" s="18" t="n"/>
      <c r="JT43" s="18" t="n"/>
      <c r="JU43" s="18" t="n"/>
      <c r="JV43" s="18" t="n"/>
      <c r="JW43" s="18" t="n"/>
      <c r="JX43" s="18" t="n"/>
      <c r="JY43" s="18" t="n"/>
      <c r="JZ43" s="18" t="n"/>
      <c r="KA43" s="18" t="n"/>
      <c r="KB43" s="18" t="n"/>
      <c r="KC43" s="18" t="n"/>
      <c r="KD43" s="18" t="n"/>
      <c r="KE43" s="18" t="n"/>
      <c r="KF43" s="18" t="n"/>
      <c r="KG43" s="18" t="n"/>
      <c r="KH43" s="18" t="n"/>
      <c r="KI43" s="18" t="n"/>
      <c r="KJ43" s="18" t="n"/>
      <c r="KK43" s="18" t="n"/>
      <c r="KL43" s="18" t="n"/>
      <c r="KM43" s="18" t="n"/>
      <c r="KN43" s="18" t="n"/>
      <c r="KO43" s="18" t="n"/>
      <c r="KP43" s="18" t="n"/>
      <c r="KQ43" s="18" t="n"/>
      <c r="KR43" s="18" t="n"/>
      <c r="KS43" s="18" t="n"/>
      <c r="KT43" s="18" t="n"/>
      <c r="KU43" s="18" t="n"/>
      <c r="KV43" s="18" t="n"/>
      <c r="KW43" s="18" t="n"/>
      <c r="KX43" s="18" t="n"/>
      <c r="KY43" s="18" t="n"/>
      <c r="KZ43" s="18" t="n"/>
      <c r="LA43" s="18" t="n"/>
      <c r="LB43" s="18" t="n"/>
      <c r="LC43" s="18" t="n"/>
      <c r="LD43" s="18" t="n"/>
      <c r="LE43" s="18" t="n"/>
      <c r="LF43" s="18" t="n"/>
      <c r="LG43" s="18" t="n"/>
    </row>
    <row r="44" ht="17.4" customHeight="1" s="88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  <c r="DY44" s="18" t="n"/>
      <c r="DZ44" s="18" t="n"/>
      <c r="EA44" s="18" t="n"/>
      <c r="EB44" s="18" t="n"/>
      <c r="EC44" s="18" t="n"/>
      <c r="ED44" s="18" t="n"/>
      <c r="EE44" s="18" t="n"/>
      <c r="EF44" s="18" t="n"/>
      <c r="EG44" s="18" t="n"/>
      <c r="EH44" s="18" t="n"/>
      <c r="EI44" s="18" t="n"/>
      <c r="EJ44" s="18" t="n"/>
      <c r="EK44" s="18" t="n"/>
      <c r="EL44" s="18" t="n"/>
      <c r="EM44" s="18" t="n"/>
      <c r="EN44" s="18" t="n"/>
      <c r="EO44" s="18" t="n"/>
      <c r="EP44" s="18" t="n"/>
      <c r="EQ44" s="18" t="n"/>
      <c r="ER44" s="18" t="n"/>
      <c r="ES44" s="18" t="n"/>
      <c r="ET44" s="18" t="n"/>
      <c r="EU44" s="18" t="n"/>
      <c r="EV44" s="18" t="n"/>
      <c r="EW44" s="18" t="n"/>
      <c r="EX44" s="18" t="n"/>
      <c r="EY44" s="18" t="n"/>
      <c r="EZ44" s="18" t="n"/>
      <c r="FA44" s="18" t="n"/>
      <c r="FB44" s="18" t="n"/>
      <c r="FC44" s="18" t="n"/>
      <c r="FD44" s="18" t="n"/>
      <c r="FE44" s="18" t="n"/>
      <c r="FF44" s="18" t="n"/>
      <c r="FG44" s="18" t="n"/>
      <c r="FH44" s="18" t="n"/>
      <c r="FI44" s="18" t="n"/>
      <c r="FJ44" s="18" t="n"/>
      <c r="FK44" s="18" t="n"/>
      <c r="FL44" s="18" t="n"/>
      <c r="FM44" s="18" t="n"/>
      <c r="FN44" s="18" t="n"/>
      <c r="FO44" s="18" t="n"/>
      <c r="FP44" s="18" t="n"/>
      <c r="FQ44" s="18" t="n"/>
      <c r="FR44" s="18" t="n"/>
      <c r="FS44" s="18" t="n"/>
      <c r="FT44" s="18" t="n"/>
      <c r="FU44" s="18" t="n"/>
      <c r="FV44" s="18" t="n"/>
      <c r="FW44" s="18" t="n"/>
      <c r="FX44" s="18" t="n"/>
      <c r="FY44" s="18" t="n"/>
      <c r="FZ44" s="18" t="n"/>
      <c r="GA44" s="18" t="n"/>
      <c r="GB44" s="18" t="n"/>
      <c r="GC44" s="18" t="n"/>
      <c r="GD44" s="18" t="n"/>
      <c r="GE44" s="18" t="n"/>
      <c r="GF44" s="18" t="n"/>
      <c r="GG44" s="18" t="n"/>
      <c r="GH44" s="18" t="n"/>
      <c r="GI44" s="18" t="n"/>
      <c r="GJ44" s="18" t="n"/>
      <c r="GK44" s="18" t="n"/>
      <c r="GL44" s="18" t="n"/>
      <c r="GM44" s="18" t="n"/>
      <c r="GN44" s="18" t="n"/>
      <c r="GO44" s="18" t="n"/>
      <c r="GP44" s="18" t="n"/>
      <c r="GQ44" s="18" t="n"/>
      <c r="GR44" s="18" t="n"/>
      <c r="GS44" s="18" t="n"/>
      <c r="GT44" s="18" t="n"/>
      <c r="GU44" s="18" t="n"/>
      <c r="GV44" s="18" t="n"/>
      <c r="GW44" s="18" t="n"/>
      <c r="GX44" s="18" t="n"/>
      <c r="GY44" s="18" t="n"/>
      <c r="GZ44" s="18" t="n"/>
      <c r="HA44" s="18" t="n"/>
      <c r="HB44" s="18" t="n"/>
      <c r="HC44" s="18" t="n"/>
      <c r="HD44" s="18" t="n"/>
      <c r="HE44" s="18" t="n"/>
      <c r="HF44" s="18" t="n"/>
      <c r="HG44" s="18" t="n"/>
      <c r="HH44" s="18" t="n"/>
      <c r="HI44" s="18" t="n"/>
      <c r="HJ44" s="18" t="n"/>
      <c r="HK44" s="18" t="n"/>
      <c r="HL44" s="18" t="n"/>
      <c r="HM44" s="18" t="n"/>
      <c r="HN44" s="18" t="n"/>
      <c r="HO44" s="18" t="n"/>
      <c r="HP44" s="18" t="n"/>
      <c r="HQ44" s="18" t="n"/>
      <c r="HR44" s="18" t="n"/>
      <c r="HS44" s="18" t="n"/>
      <c r="HT44" s="18" t="n"/>
      <c r="HU44" s="18" t="n"/>
      <c r="HV44" s="18" t="n"/>
      <c r="HW44" s="18" t="n"/>
      <c r="HX44" s="18" t="n"/>
      <c r="HY44" s="18" t="n"/>
      <c r="HZ44" s="18" t="n"/>
      <c r="IA44" s="18" t="n"/>
      <c r="IB44" s="18" t="n"/>
      <c r="IC44" s="18" t="n"/>
      <c r="ID44" s="18" t="n"/>
      <c r="IE44" s="18" t="n"/>
      <c r="IF44" s="18" t="n"/>
      <c r="IG44" s="18" t="n"/>
      <c r="IH44" s="18" t="n"/>
      <c r="II44" s="18" t="n"/>
      <c r="IJ44" s="18" t="n"/>
      <c r="IK44" s="18" t="n"/>
      <c r="IL44" s="18" t="n"/>
      <c r="IM44" s="18" t="n"/>
      <c r="IN44" s="18" t="n"/>
      <c r="IO44" s="18" t="n"/>
      <c r="IP44" s="18" t="n"/>
      <c r="IQ44" s="18" t="n"/>
      <c r="IR44" s="18" t="n"/>
      <c r="IS44" s="18" t="n"/>
      <c r="IT44" s="18" t="n"/>
      <c r="IU44" s="18" t="n"/>
      <c r="IV44" s="18" t="n"/>
      <c r="IW44" s="18" t="n"/>
      <c r="IX44" s="18" t="n"/>
      <c r="IY44" s="18" t="n"/>
      <c r="IZ44" s="18" t="n"/>
      <c r="JA44" s="18" t="n"/>
      <c r="JB44" s="18" t="n"/>
      <c r="JC44" s="18" t="n"/>
      <c r="JD44" s="18" t="n"/>
      <c r="JE44" s="18" t="n"/>
      <c r="JF44" s="18" t="n"/>
      <c r="JG44" s="18" t="n"/>
      <c r="JH44" s="18" t="n"/>
      <c r="JI44" s="18" t="n"/>
      <c r="JJ44" s="18" t="n"/>
      <c r="JK44" s="18" t="n"/>
      <c r="JL44" s="18" t="n"/>
      <c r="JM44" s="18" t="n"/>
      <c r="JN44" s="18" t="n"/>
      <c r="JO44" s="18" t="n"/>
      <c r="JP44" s="18" t="n"/>
      <c r="JQ44" s="18" t="n"/>
      <c r="JR44" s="18" t="n"/>
      <c r="JS44" s="18" t="n"/>
      <c r="JT44" s="18" t="n"/>
      <c r="JU44" s="18" t="n"/>
      <c r="JV44" s="18" t="n"/>
      <c r="JW44" s="18" t="n"/>
      <c r="JX44" s="18" t="n"/>
      <c r="JY44" s="18" t="n"/>
      <c r="JZ44" s="18" t="n"/>
      <c r="KA44" s="18" t="n"/>
      <c r="KB44" s="18" t="n"/>
      <c r="KC44" s="18" t="n"/>
      <c r="KD44" s="18" t="n"/>
      <c r="KE44" s="18" t="n"/>
      <c r="KF44" s="18" t="n"/>
      <c r="KG44" s="18" t="n"/>
      <c r="KH44" s="18" t="n"/>
      <c r="KI44" s="18" t="n"/>
      <c r="KJ44" s="18" t="n"/>
      <c r="KK44" s="18" t="n"/>
      <c r="KL44" s="18" t="n"/>
      <c r="KM44" s="18" t="n"/>
      <c r="KN44" s="18" t="n"/>
      <c r="KO44" s="18" t="n"/>
      <c r="KP44" s="18" t="n"/>
      <c r="KQ44" s="18" t="n"/>
      <c r="KR44" s="18" t="n"/>
      <c r="KS44" s="18" t="n"/>
      <c r="KT44" s="18" t="n"/>
      <c r="KU44" s="18" t="n"/>
      <c r="KV44" s="18" t="n"/>
      <c r="KW44" s="18" t="n"/>
      <c r="KX44" s="18" t="n"/>
      <c r="KY44" s="18" t="n"/>
      <c r="KZ44" s="18" t="n"/>
      <c r="LA44" s="18" t="n"/>
      <c r="LB44" s="18" t="n"/>
      <c r="LC44" s="18" t="n"/>
      <c r="LD44" s="18" t="n"/>
      <c r="LE44" s="18" t="n"/>
      <c r="LF44" s="18" t="n"/>
      <c r="LG44" s="18" t="n"/>
      <c r="LH44" s="18" t="n"/>
      <c r="LI44" s="18" t="n"/>
      <c r="LJ44" s="18" t="n"/>
      <c r="LK44" s="18" t="n"/>
    </row>
    <row r="45" ht="17.4" customHeight="1" s="88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  <c r="DY45" s="18" t="n"/>
      <c r="DZ45" s="18" t="n"/>
      <c r="EA45" s="18" t="n"/>
      <c r="EB45" s="18" t="n"/>
      <c r="EC45" s="18" t="n"/>
      <c r="ED45" s="18" t="n"/>
      <c r="EE45" s="18" t="n"/>
      <c r="EF45" s="18" t="n"/>
      <c r="EG45" s="18" t="n"/>
      <c r="EH45" s="18" t="n"/>
      <c r="EI45" s="18" t="n"/>
      <c r="EJ45" s="18" t="n"/>
      <c r="EK45" s="18" t="n"/>
      <c r="EL45" s="18" t="n"/>
      <c r="EM45" s="18" t="n"/>
      <c r="EN45" s="18" t="n"/>
      <c r="EO45" s="18" t="n"/>
      <c r="EP45" s="18" t="n"/>
      <c r="EQ45" s="18" t="n"/>
      <c r="ER45" s="18" t="n"/>
      <c r="ES45" s="18" t="n"/>
      <c r="ET45" s="18" t="n"/>
      <c r="EU45" s="18" t="n"/>
      <c r="EV45" s="18" t="n"/>
      <c r="EW45" s="18" t="n"/>
      <c r="EX45" s="18" t="n"/>
      <c r="EY45" s="18" t="n"/>
      <c r="EZ45" s="18" t="n"/>
      <c r="FA45" s="18" t="n"/>
      <c r="FB45" s="18" t="n"/>
      <c r="FC45" s="18" t="n"/>
      <c r="FD45" s="18" t="n"/>
      <c r="FE45" s="18" t="n"/>
      <c r="FF45" s="18" t="n"/>
      <c r="FG45" s="18" t="n"/>
      <c r="FH45" s="18" t="n"/>
      <c r="FI45" s="18" t="n"/>
      <c r="FJ45" s="18" t="n"/>
      <c r="FK45" s="18" t="n"/>
      <c r="FL45" s="18" t="n"/>
      <c r="FM45" s="18" t="n"/>
      <c r="FN45" s="18" t="n"/>
      <c r="FO45" s="18" t="n"/>
      <c r="FP45" s="18" t="n"/>
      <c r="FQ45" s="18" t="n"/>
      <c r="FR45" s="18" t="n"/>
      <c r="FS45" s="18" t="n"/>
      <c r="FT45" s="18" t="n"/>
      <c r="FU45" s="18" t="n"/>
      <c r="FV45" s="18" t="n"/>
      <c r="FW45" s="18" t="n"/>
      <c r="FX45" s="18" t="n"/>
      <c r="FY45" s="18" t="n"/>
      <c r="FZ45" s="18" t="n"/>
      <c r="GA45" s="18" t="n"/>
      <c r="GB45" s="18" t="n"/>
      <c r="GC45" s="18" t="n"/>
      <c r="GD45" s="18" t="n"/>
      <c r="GE45" s="18" t="n"/>
      <c r="GF45" s="18" t="n"/>
      <c r="GG45" s="18" t="n"/>
      <c r="GH45" s="18" t="n"/>
      <c r="GI45" s="18" t="n"/>
      <c r="GJ45" s="18" t="n"/>
      <c r="GK45" s="18" t="n"/>
      <c r="GL45" s="18" t="n"/>
      <c r="GM45" s="18" t="n"/>
      <c r="GN45" s="18" t="n"/>
      <c r="GO45" s="18" t="n"/>
      <c r="GP45" s="18" t="n"/>
      <c r="GQ45" s="18" t="n"/>
      <c r="GR45" s="18" t="n"/>
      <c r="GS45" s="18" t="n"/>
      <c r="GT45" s="18" t="n"/>
      <c r="GU45" s="18" t="n"/>
      <c r="GV45" s="18" t="n"/>
      <c r="GW45" s="18" t="n"/>
      <c r="GX45" s="18" t="n"/>
      <c r="GY45" s="18" t="n"/>
      <c r="GZ45" s="18" t="n"/>
      <c r="HA45" s="18" t="n"/>
      <c r="HB45" s="18" t="n"/>
      <c r="HC45" s="18" t="n"/>
      <c r="HD45" s="18" t="n"/>
      <c r="HE45" s="18" t="n"/>
      <c r="HF45" s="18" t="n"/>
      <c r="HG45" s="18" t="n"/>
      <c r="HH45" s="18" t="n"/>
      <c r="HI45" s="18" t="n"/>
      <c r="HJ45" s="18" t="n"/>
      <c r="HK45" s="18" t="n"/>
      <c r="HL45" s="18" t="n"/>
      <c r="HM45" s="18" t="n"/>
      <c r="HN45" s="18" t="n"/>
      <c r="HO45" s="18" t="n"/>
      <c r="HP45" s="18" t="n"/>
      <c r="HQ45" s="18" t="n"/>
      <c r="HR45" s="18" t="n"/>
      <c r="HS45" s="18" t="n"/>
      <c r="HT45" s="18" t="n"/>
      <c r="HU45" s="18" t="n"/>
      <c r="HV45" s="18" t="n"/>
      <c r="HW45" s="18" t="n"/>
      <c r="HX45" s="18" t="n"/>
      <c r="HY45" s="18" t="n"/>
      <c r="HZ45" s="18" t="n"/>
      <c r="IA45" s="18" t="n"/>
      <c r="IB45" s="18" t="n"/>
      <c r="IC45" s="18" t="n"/>
      <c r="ID45" s="18" t="n"/>
      <c r="IE45" s="18" t="n"/>
      <c r="IF45" s="18" t="n"/>
      <c r="IG45" s="18" t="n"/>
      <c r="IH45" s="18" t="n"/>
      <c r="II45" s="18" t="n"/>
      <c r="IJ45" s="18" t="n"/>
      <c r="IK45" s="18" t="n"/>
      <c r="IL45" s="18" t="n"/>
      <c r="IM45" s="18" t="n"/>
      <c r="IN45" s="18" t="n"/>
      <c r="IO45" s="18" t="n"/>
      <c r="IP45" s="18" t="n"/>
      <c r="IQ45" s="18" t="n"/>
      <c r="IR45" s="18" t="n"/>
      <c r="IS45" s="18" t="n"/>
      <c r="IT45" s="18" t="n"/>
      <c r="IU45" s="18" t="n"/>
      <c r="IV45" s="18" t="n"/>
      <c r="IW45" s="18" t="n"/>
      <c r="IX45" s="18" t="n"/>
      <c r="IY45" s="18" t="n"/>
      <c r="IZ45" s="18" t="n"/>
      <c r="JA45" s="18" t="n"/>
      <c r="JB45" s="18" t="n"/>
      <c r="JC45" s="18" t="n"/>
      <c r="JD45" s="18" t="n"/>
      <c r="JE45" s="18" t="n"/>
      <c r="JF45" s="18" t="n"/>
      <c r="JG45" s="18" t="n"/>
      <c r="JH45" s="18" t="n"/>
      <c r="JI45" s="18" t="n"/>
      <c r="JJ45" s="18" t="n"/>
      <c r="JK45" s="18" t="n"/>
      <c r="JL45" s="18" t="n"/>
      <c r="JM45" s="18" t="n"/>
      <c r="JN45" s="18" t="n"/>
      <c r="JO45" s="18" t="n"/>
      <c r="JP45" s="18" t="n"/>
      <c r="JQ45" s="18" t="n"/>
      <c r="JR45" s="18" t="n"/>
      <c r="JS45" s="18" t="n"/>
      <c r="JT45" s="18" t="n"/>
      <c r="JU45" s="18" t="n"/>
      <c r="JV45" s="18" t="n"/>
      <c r="JW45" s="18" t="n"/>
      <c r="JX45" s="18" t="n"/>
      <c r="JY45" s="18" t="n"/>
      <c r="JZ45" s="18" t="n"/>
      <c r="KA45" s="18" t="n"/>
      <c r="KB45" s="18" t="n"/>
      <c r="KC45" s="18" t="n"/>
      <c r="KD45" s="18" t="n"/>
      <c r="KE45" s="18" t="n"/>
      <c r="KF45" s="18" t="n"/>
      <c r="KG45" s="18" t="n"/>
      <c r="KH45" s="18" t="n"/>
      <c r="KI45" s="18" t="n"/>
      <c r="KJ45" s="18" t="n"/>
      <c r="KK45" s="18" t="n"/>
      <c r="KL45" s="18" t="n"/>
      <c r="KM45" s="18" t="n"/>
      <c r="KN45" s="18" t="n"/>
      <c r="KO45" s="18" t="n"/>
      <c r="KP45" s="18" t="n"/>
      <c r="KQ45" s="18" t="n"/>
      <c r="KR45" s="18" t="n"/>
      <c r="KS45" s="18" t="n"/>
      <c r="KT45" s="18" t="n"/>
      <c r="KU45" s="18" t="n"/>
      <c r="KV45" s="18" t="n"/>
      <c r="KW45" s="18" t="n"/>
      <c r="KX45" s="18" t="n"/>
      <c r="KY45" s="18" t="n"/>
      <c r="KZ45" s="18" t="n"/>
      <c r="LA45" s="18" t="n"/>
      <c r="LB45" s="18" t="n"/>
      <c r="LC45" s="18" t="n"/>
      <c r="LD45" s="18" t="n"/>
      <c r="LE45" s="18" t="n"/>
      <c r="LF45" s="18" t="n"/>
      <c r="LG45" s="18" t="n"/>
      <c r="LH45" s="18" t="n"/>
      <c r="LI45" s="18" t="n"/>
      <c r="LJ45" s="18" t="n"/>
      <c r="LK45" s="18" t="n"/>
      <c r="LL45" s="18" t="n"/>
      <c r="LM45" s="18" t="n"/>
      <c r="LN45" s="18" t="n"/>
      <c r="LO45" s="18" t="n"/>
    </row>
    <row r="46" ht="17.4" customHeight="1" s="88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8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8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8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18" t="n"/>
      <c r="GI46" s="18" t="n"/>
      <c r="GJ46" s="18" t="n"/>
      <c r="GK46" s="18" t="n"/>
      <c r="GL46" s="18" t="n"/>
      <c r="GM46" s="18" t="n"/>
      <c r="GN46" s="18" t="n"/>
      <c r="GO46" s="18" t="n"/>
      <c r="GP46" s="18" t="n"/>
      <c r="GQ46" s="18" t="n"/>
      <c r="GR46" s="18" t="n"/>
      <c r="GS46" s="18" t="n"/>
      <c r="GT46" s="18" t="n"/>
      <c r="GU46" s="18" t="n"/>
      <c r="GV46" s="18" t="n"/>
      <c r="GW46" s="18" t="n"/>
      <c r="GX46" s="18" t="n"/>
      <c r="GY46" s="18" t="n"/>
      <c r="GZ46" s="18" t="n"/>
      <c r="HA46" s="18" t="n"/>
      <c r="HB46" s="18" t="n"/>
      <c r="HC46" s="18" t="n"/>
      <c r="HD46" s="18" t="n"/>
      <c r="HE46" s="18" t="n"/>
      <c r="HF46" s="18" t="n"/>
      <c r="HG46" s="18" t="n"/>
      <c r="HH46" s="18" t="n"/>
      <c r="HI46" s="18" t="n"/>
      <c r="HJ46" s="18" t="n"/>
      <c r="HK46" s="18" t="n"/>
      <c r="HL46" s="18" t="n"/>
      <c r="HM46" s="18" t="n"/>
      <c r="HN46" s="18" t="n"/>
      <c r="HO46" s="18" t="n"/>
      <c r="HP46" s="18" t="n"/>
      <c r="HQ46" s="18" t="n"/>
      <c r="HR46" s="18" t="n"/>
      <c r="HS46" s="18" t="n"/>
      <c r="HT46" s="18" t="n"/>
      <c r="HU46" s="18" t="n"/>
      <c r="HV46" s="18" t="n"/>
      <c r="HW46" s="18" t="n"/>
      <c r="HX46" s="18" t="n"/>
      <c r="HY46" s="18" t="n"/>
      <c r="HZ46" s="18" t="n"/>
      <c r="IA46" s="18" t="n"/>
      <c r="IB46" s="18" t="n"/>
      <c r="IC46" s="18" t="n"/>
      <c r="ID46" s="18" t="n"/>
      <c r="IE46" s="18" t="n"/>
      <c r="IF46" s="18" t="n"/>
      <c r="IG46" s="18" t="n"/>
      <c r="IH46" s="18" t="n"/>
      <c r="II46" s="18" t="n"/>
      <c r="IJ46" s="18" t="n"/>
      <c r="IK46" s="18" t="n"/>
      <c r="IL46" s="18" t="n"/>
      <c r="IM46" s="18" t="n"/>
      <c r="IN46" s="18" t="n"/>
      <c r="IO46" s="18" t="n"/>
      <c r="IP46" s="18" t="n"/>
      <c r="IQ46" s="18" t="n"/>
      <c r="IR46" s="18" t="n"/>
      <c r="IS46" s="18" t="n"/>
      <c r="IT46" s="18" t="n"/>
      <c r="IU46" s="18" t="n"/>
      <c r="IV46" s="18" t="n"/>
      <c r="IW46" s="18" t="n"/>
      <c r="IX46" s="18" t="n"/>
      <c r="IY46" s="18" t="n"/>
      <c r="IZ46" s="18" t="n"/>
      <c r="JA46" s="18" t="n"/>
      <c r="JB46" s="18" t="n"/>
      <c r="JC46" s="18" t="n"/>
      <c r="JD46" s="18" t="n"/>
      <c r="JE46" s="18" t="n"/>
      <c r="JF46" s="18" t="n"/>
      <c r="JG46" s="18" t="n"/>
      <c r="JH46" s="18" t="n"/>
      <c r="JI46" s="18" t="n"/>
      <c r="JJ46" s="18" t="n"/>
      <c r="JK46" s="18" t="n"/>
      <c r="JL46" s="18" t="n"/>
      <c r="JM46" s="18" t="n"/>
      <c r="JN46" s="18" t="n"/>
      <c r="JO46" s="18" t="n"/>
      <c r="JP46" s="18" t="n"/>
      <c r="JQ46" s="18" t="n"/>
      <c r="JR46" s="18" t="n"/>
      <c r="JS46" s="18" t="n"/>
      <c r="JT46" s="18" t="n"/>
      <c r="JU46" s="18" t="n"/>
      <c r="JV46" s="18" t="n"/>
      <c r="JW46" s="18" t="n"/>
      <c r="JX46" s="18" t="n"/>
      <c r="JY46" s="18" t="n"/>
      <c r="JZ46" s="18" t="n"/>
      <c r="KA46" s="18" t="n"/>
      <c r="KB46" s="18" t="n"/>
      <c r="KC46" s="18" t="n"/>
      <c r="KD46" s="18" t="n"/>
      <c r="KE46" s="18" t="n"/>
      <c r="KF46" s="18" t="n"/>
      <c r="KG46" s="18" t="n"/>
      <c r="KH46" s="18" t="n"/>
      <c r="KI46" s="18" t="n"/>
      <c r="KJ46" s="18" t="n"/>
      <c r="KK46" s="18" t="n"/>
      <c r="KL46" s="18" t="n"/>
      <c r="KM46" s="18" t="n"/>
      <c r="KN46" s="18" t="n"/>
      <c r="KO46" s="18" t="n"/>
      <c r="KP46" s="18" t="n"/>
      <c r="KQ46" s="18" t="n"/>
      <c r="KR46" s="18" t="n"/>
      <c r="KS46" s="18" t="n"/>
      <c r="KT46" s="18" t="n"/>
      <c r="KU46" s="18" t="n"/>
      <c r="KV46" s="18" t="n"/>
      <c r="KW46" s="18" t="n"/>
      <c r="KX46" s="18" t="n"/>
      <c r="KY46" s="18" t="n"/>
      <c r="KZ46" s="18" t="n"/>
      <c r="LA46" s="18" t="n"/>
      <c r="LB46" s="18" t="n"/>
      <c r="LC46" s="18" t="n"/>
      <c r="LD46" s="18" t="n"/>
      <c r="LE46" s="18" t="n"/>
      <c r="LF46" s="18" t="n"/>
      <c r="LG46" s="18" t="n"/>
      <c r="LH46" s="18" t="n"/>
      <c r="LI46" s="18" t="n"/>
      <c r="LJ46" s="18" t="n"/>
      <c r="LK46" s="18" t="n"/>
      <c r="LL46" s="18" t="n"/>
      <c r="LM46" s="18" t="n"/>
      <c r="LN46" s="18" t="n"/>
      <c r="LO46" s="18" t="n"/>
      <c r="LP46" s="18" t="n"/>
      <c r="LQ46" s="18" t="n"/>
      <c r="LR46" s="18" t="n"/>
      <c r="LS46" s="18" t="n"/>
    </row>
    <row r="47" ht="17.4" customHeight="1" s="88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  <c r="DY47" s="18" t="n"/>
      <c r="DZ47" s="18" t="n"/>
      <c r="EA47" s="18" t="n"/>
      <c r="EB47" s="18" t="n"/>
      <c r="EC47" s="18" t="n"/>
      <c r="ED47" s="18" t="n"/>
      <c r="EE47" s="18" t="n"/>
      <c r="EF47" s="18" t="n"/>
      <c r="EG47" s="18" t="n"/>
      <c r="EH47" s="18" t="n"/>
      <c r="EI47" s="18" t="n"/>
      <c r="EJ47" s="18" t="n"/>
      <c r="EK47" s="18" t="n"/>
      <c r="EL47" s="18" t="n"/>
      <c r="EM47" s="18" t="n"/>
      <c r="EN47" s="18" t="n"/>
      <c r="EO47" s="18" t="n"/>
      <c r="EP47" s="18" t="n"/>
      <c r="EQ47" s="18" t="n"/>
      <c r="ER47" s="18" t="n"/>
      <c r="ES47" s="18" t="n"/>
      <c r="ET47" s="18" t="n"/>
      <c r="EU47" s="18" t="n"/>
      <c r="EV47" s="18" t="n"/>
      <c r="EW47" s="18" t="n"/>
      <c r="EX47" s="18" t="n"/>
      <c r="EY47" s="18" t="n"/>
      <c r="EZ47" s="18" t="n"/>
      <c r="FA47" s="18" t="n"/>
      <c r="FB47" s="18" t="n"/>
      <c r="FC47" s="18" t="n"/>
      <c r="FD47" s="18" t="n"/>
      <c r="FE47" s="18" t="n"/>
      <c r="FF47" s="18" t="n"/>
      <c r="FG47" s="18" t="n"/>
      <c r="FH47" s="18" t="n"/>
      <c r="FI47" s="18" t="n"/>
      <c r="FJ47" s="18" t="n"/>
      <c r="FK47" s="18" t="n"/>
      <c r="FL47" s="18" t="n"/>
      <c r="FM47" s="18" t="n"/>
      <c r="FN47" s="18" t="n"/>
      <c r="FO47" s="18" t="n"/>
      <c r="FP47" s="18" t="n"/>
      <c r="FQ47" s="18" t="n"/>
      <c r="FR47" s="18" t="n"/>
      <c r="FS47" s="18" t="n"/>
      <c r="FT47" s="18" t="n"/>
      <c r="FU47" s="18" t="n"/>
      <c r="FV47" s="18" t="n"/>
      <c r="FW47" s="18" t="n"/>
      <c r="FX47" s="18" t="n"/>
      <c r="FY47" s="18" t="n"/>
      <c r="FZ47" s="18" t="n"/>
      <c r="GA47" s="18" t="n"/>
      <c r="GB47" s="18" t="n"/>
      <c r="GC47" s="18" t="n"/>
      <c r="GD47" s="18" t="n"/>
      <c r="GE47" s="18" t="n"/>
      <c r="GF47" s="18" t="n"/>
      <c r="GG47" s="18" t="n"/>
      <c r="GH47" s="18" t="n"/>
      <c r="GI47" s="18" t="n"/>
      <c r="GJ47" s="18" t="n"/>
      <c r="GK47" s="18" t="n"/>
      <c r="GL47" s="18" t="n"/>
      <c r="GM47" s="18" t="n"/>
      <c r="GN47" s="18" t="n"/>
      <c r="GO47" s="18" t="n"/>
      <c r="GP47" s="18" t="n"/>
      <c r="GQ47" s="18" t="n"/>
      <c r="GR47" s="18" t="n"/>
      <c r="GS47" s="18" t="n"/>
      <c r="GT47" s="18" t="n"/>
      <c r="GU47" s="18" t="n"/>
      <c r="GV47" s="18" t="n"/>
      <c r="GW47" s="18" t="n"/>
      <c r="GX47" s="18" t="n"/>
      <c r="GY47" s="18" t="n"/>
      <c r="GZ47" s="18" t="n"/>
      <c r="HA47" s="18" t="n"/>
      <c r="HB47" s="18" t="n"/>
      <c r="HC47" s="18" t="n"/>
      <c r="HD47" s="18" t="n"/>
      <c r="HE47" s="18" t="n"/>
      <c r="HF47" s="18" t="n"/>
      <c r="HG47" s="18" t="n"/>
      <c r="HH47" s="18" t="n"/>
      <c r="HI47" s="18" t="n"/>
      <c r="HJ47" s="18" t="n"/>
      <c r="HK47" s="18" t="n"/>
      <c r="HL47" s="18" t="n"/>
      <c r="HM47" s="18" t="n"/>
      <c r="HN47" s="18" t="n"/>
      <c r="HO47" s="18" t="n"/>
      <c r="HP47" s="18" t="n"/>
      <c r="HQ47" s="18" t="n"/>
      <c r="HR47" s="18" t="n"/>
      <c r="HS47" s="18" t="n"/>
      <c r="HT47" s="18" t="n"/>
      <c r="HU47" s="18" t="n"/>
      <c r="HV47" s="18" t="n"/>
      <c r="HW47" s="18" t="n"/>
      <c r="HX47" s="18" t="n"/>
      <c r="HY47" s="18" t="n"/>
      <c r="HZ47" s="18" t="n"/>
      <c r="IA47" s="18" t="n"/>
      <c r="IB47" s="18" t="n"/>
      <c r="IC47" s="18" t="n"/>
      <c r="ID47" s="18" t="n"/>
      <c r="IE47" s="18" t="n"/>
      <c r="IF47" s="18" t="n"/>
      <c r="IG47" s="18" t="n"/>
      <c r="IH47" s="18" t="n"/>
      <c r="II47" s="18" t="n"/>
      <c r="IJ47" s="18" t="n"/>
      <c r="IK47" s="18" t="n"/>
      <c r="IL47" s="18" t="n"/>
      <c r="IM47" s="18" t="n"/>
      <c r="IN47" s="18" t="n"/>
      <c r="IO47" s="18" t="n"/>
      <c r="IP47" s="18" t="n"/>
      <c r="IQ47" s="18" t="n"/>
      <c r="IR47" s="18" t="n"/>
      <c r="IS47" s="18" t="n"/>
      <c r="IT47" s="18" t="n"/>
      <c r="IU47" s="18" t="n"/>
      <c r="IV47" s="18" t="n"/>
      <c r="IW47" s="18" t="n"/>
      <c r="IX47" s="18" t="n"/>
      <c r="IY47" s="18" t="n"/>
      <c r="IZ47" s="18" t="n"/>
      <c r="JA47" s="18" t="n"/>
      <c r="JB47" s="18" t="n"/>
      <c r="JC47" s="18" t="n"/>
      <c r="JD47" s="18" t="n"/>
      <c r="JE47" s="18" t="n"/>
      <c r="JF47" s="18" t="n"/>
      <c r="JG47" s="18" t="n"/>
      <c r="JH47" s="18" t="n"/>
      <c r="JI47" s="18" t="n"/>
      <c r="JJ47" s="18" t="n"/>
      <c r="JK47" s="18" t="n"/>
      <c r="JL47" s="18" t="n"/>
      <c r="JM47" s="18" t="n"/>
      <c r="JN47" s="18" t="n"/>
      <c r="JO47" s="18" t="n"/>
      <c r="JP47" s="18" t="n"/>
      <c r="JQ47" s="18" t="n"/>
      <c r="JR47" s="18" t="n"/>
      <c r="JS47" s="18" t="n"/>
      <c r="JT47" s="18" t="n"/>
      <c r="JU47" s="18" t="n"/>
      <c r="JV47" s="18" t="n"/>
      <c r="JW47" s="18" t="n"/>
      <c r="JX47" s="18" t="n"/>
      <c r="JY47" s="18" t="n"/>
      <c r="JZ47" s="18" t="n"/>
      <c r="KA47" s="18" t="n"/>
      <c r="KB47" s="18" t="n"/>
      <c r="KC47" s="18" t="n"/>
      <c r="KD47" s="18" t="n"/>
      <c r="KE47" s="18" t="n"/>
      <c r="KF47" s="18" t="n"/>
      <c r="KG47" s="18" t="n"/>
      <c r="KH47" s="18" t="n"/>
      <c r="KI47" s="18" t="n"/>
      <c r="KJ47" s="18" t="n"/>
      <c r="KK47" s="18" t="n"/>
      <c r="KL47" s="18" t="n"/>
      <c r="KM47" s="18" t="n"/>
      <c r="KN47" s="18" t="n"/>
      <c r="KO47" s="18" t="n"/>
      <c r="KP47" s="18" t="n"/>
      <c r="KQ47" s="18" t="n"/>
      <c r="KR47" s="18" t="n"/>
      <c r="KS47" s="18" t="n"/>
      <c r="KT47" s="18" t="n"/>
      <c r="KU47" s="18" t="n"/>
      <c r="KV47" s="18" t="n"/>
      <c r="KW47" s="18" t="n"/>
      <c r="KX47" s="18" t="n"/>
      <c r="KY47" s="18" t="n"/>
      <c r="KZ47" s="18" t="n"/>
      <c r="LA47" s="18" t="n"/>
      <c r="LB47" s="18" t="n"/>
      <c r="LC47" s="18" t="n"/>
      <c r="LD47" s="18" t="n"/>
      <c r="LE47" s="18" t="n"/>
      <c r="LF47" s="18" t="n"/>
      <c r="LG47" s="18" t="n"/>
      <c r="LH47" s="18" t="n"/>
      <c r="LI47" s="18" t="n"/>
      <c r="LJ47" s="18" t="n"/>
      <c r="LK47" s="18" t="n"/>
      <c r="LL47" s="18" t="n"/>
      <c r="LM47" s="18" t="n"/>
      <c r="LN47" s="18" t="n"/>
      <c r="LO47" s="18" t="n"/>
      <c r="LP47" s="18" t="n"/>
      <c r="LQ47" s="18" t="n"/>
      <c r="LR47" s="18" t="n"/>
      <c r="LS47" s="18" t="n"/>
      <c r="LT47" s="18" t="n"/>
      <c r="LU47" s="18" t="n"/>
      <c r="LV47" s="18" t="n"/>
      <c r="LW47" s="18" t="n"/>
    </row>
    <row r="48" ht="17.4" customHeight="1" s="8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  <c r="DY48" s="18" t="n"/>
      <c r="DZ48" s="18" t="n"/>
      <c r="EA48" s="18" t="n"/>
      <c r="EB48" s="18" t="n"/>
      <c r="EC48" s="18" t="n"/>
      <c r="ED48" s="18" t="n"/>
      <c r="EE48" s="18" t="n"/>
      <c r="EF48" s="18" t="n"/>
      <c r="EG48" s="18" t="n"/>
      <c r="EH48" s="18" t="n"/>
      <c r="EI48" s="18" t="n"/>
      <c r="EJ48" s="18" t="n"/>
      <c r="EK48" s="18" t="n"/>
      <c r="EL48" s="18" t="n"/>
      <c r="EM48" s="18" t="n"/>
      <c r="EN48" s="18" t="n"/>
      <c r="EO48" s="18" t="n"/>
      <c r="EP48" s="18" t="n"/>
      <c r="EQ48" s="18" t="n"/>
      <c r="ER48" s="18" t="n"/>
      <c r="ES48" s="18" t="n"/>
      <c r="ET48" s="18" t="n"/>
      <c r="EU48" s="18" t="n"/>
      <c r="EV48" s="18" t="n"/>
      <c r="EW48" s="18" t="n"/>
      <c r="EX48" s="18" t="n"/>
      <c r="EY48" s="18" t="n"/>
      <c r="EZ48" s="18" t="n"/>
      <c r="FA48" s="18" t="n"/>
      <c r="FB48" s="18" t="n"/>
      <c r="FC48" s="18" t="n"/>
      <c r="FD48" s="18" t="n"/>
      <c r="FE48" s="18" t="n"/>
      <c r="FF48" s="18" t="n"/>
      <c r="FG48" s="18" t="n"/>
      <c r="FH48" s="18" t="n"/>
      <c r="FI48" s="18" t="n"/>
      <c r="FJ48" s="18" t="n"/>
      <c r="FK48" s="18" t="n"/>
      <c r="FL48" s="18" t="n"/>
      <c r="FM48" s="18" t="n"/>
      <c r="FN48" s="18" t="n"/>
      <c r="FO48" s="18" t="n"/>
      <c r="FP48" s="18" t="n"/>
      <c r="FQ48" s="18" t="n"/>
      <c r="FR48" s="18" t="n"/>
      <c r="FS48" s="18" t="n"/>
      <c r="FT48" s="18" t="n"/>
      <c r="FU48" s="18" t="n"/>
      <c r="FV48" s="18" t="n"/>
      <c r="FW48" s="18" t="n"/>
      <c r="FX48" s="18" t="n"/>
      <c r="FY48" s="18" t="n"/>
      <c r="FZ48" s="18" t="n"/>
      <c r="GA48" s="18" t="n"/>
      <c r="GB48" s="18" t="n"/>
      <c r="GC48" s="18" t="n"/>
      <c r="GD48" s="18" t="n"/>
      <c r="GE48" s="18" t="n"/>
      <c r="GF48" s="18" t="n"/>
      <c r="GG48" s="18" t="n"/>
      <c r="GH48" s="18" t="n"/>
      <c r="GI48" s="18" t="n"/>
      <c r="GJ48" s="18" t="n"/>
      <c r="GK48" s="18" t="n"/>
      <c r="GL48" s="18" t="n"/>
      <c r="GM48" s="18" t="n"/>
      <c r="GN48" s="18" t="n"/>
      <c r="GO48" s="18" t="n"/>
      <c r="GP48" s="18" t="n"/>
      <c r="GQ48" s="18" t="n"/>
      <c r="GR48" s="18" t="n"/>
      <c r="GS48" s="18" t="n"/>
      <c r="GT48" s="18" t="n"/>
      <c r="GU48" s="18" t="n"/>
      <c r="GV48" s="18" t="n"/>
      <c r="GW48" s="18" t="n"/>
      <c r="GX48" s="18" t="n"/>
      <c r="GY48" s="18" t="n"/>
      <c r="GZ48" s="18" t="n"/>
      <c r="HA48" s="18" t="n"/>
      <c r="HB48" s="18" t="n"/>
      <c r="HC48" s="18" t="n"/>
      <c r="HD48" s="18" t="n"/>
      <c r="HE48" s="18" t="n"/>
      <c r="HF48" s="18" t="n"/>
      <c r="HG48" s="18" t="n"/>
      <c r="HH48" s="18" t="n"/>
      <c r="HI48" s="18" t="n"/>
      <c r="HJ48" s="18" t="n"/>
      <c r="HK48" s="18" t="n"/>
      <c r="HL48" s="18" t="n"/>
      <c r="HM48" s="18" t="n"/>
      <c r="HN48" s="18" t="n"/>
      <c r="HO48" s="18" t="n"/>
      <c r="HP48" s="18" t="n"/>
      <c r="HQ48" s="18" t="n"/>
      <c r="HR48" s="18" t="n"/>
      <c r="HS48" s="18" t="n"/>
      <c r="HT48" s="18" t="n"/>
      <c r="HU48" s="18" t="n"/>
      <c r="HV48" s="18" t="n"/>
      <c r="HW48" s="18" t="n"/>
      <c r="HX48" s="18" t="n"/>
      <c r="HY48" s="18" t="n"/>
      <c r="HZ48" s="18" t="n"/>
      <c r="IA48" s="18" t="n"/>
      <c r="IB48" s="18" t="n"/>
      <c r="IC48" s="18" t="n"/>
      <c r="ID48" s="18" t="n"/>
      <c r="IE48" s="18" t="n"/>
      <c r="IF48" s="18" t="n"/>
      <c r="IG48" s="18" t="n"/>
      <c r="IH48" s="18" t="n"/>
      <c r="II48" s="18" t="n"/>
      <c r="IJ48" s="18" t="n"/>
      <c r="IK48" s="18" t="n"/>
      <c r="IL48" s="18" t="n"/>
      <c r="IM48" s="18" t="n"/>
      <c r="IN48" s="18" t="n"/>
      <c r="IO48" s="18" t="n"/>
      <c r="IP48" s="18" t="n"/>
      <c r="IQ48" s="18" t="n"/>
      <c r="IR48" s="18" t="n"/>
      <c r="IS48" s="18" t="n"/>
      <c r="IT48" s="18" t="n"/>
      <c r="IU48" s="18" t="n"/>
      <c r="IV48" s="18" t="n"/>
      <c r="IW48" s="18" t="n"/>
      <c r="IX48" s="18" t="n"/>
      <c r="IY48" s="18" t="n"/>
      <c r="IZ48" s="18" t="n"/>
      <c r="JA48" s="18" t="n"/>
      <c r="JB48" s="18" t="n"/>
      <c r="JC48" s="18" t="n"/>
      <c r="JD48" s="18" t="n"/>
      <c r="JE48" s="18" t="n"/>
      <c r="JF48" s="18" t="n"/>
      <c r="JG48" s="18" t="n"/>
      <c r="JH48" s="18" t="n"/>
      <c r="JI48" s="18" t="n"/>
      <c r="JJ48" s="18" t="n"/>
      <c r="JK48" s="18" t="n"/>
      <c r="JL48" s="18" t="n"/>
      <c r="JM48" s="18" t="n"/>
      <c r="JN48" s="18" t="n"/>
      <c r="JO48" s="18" t="n"/>
      <c r="JP48" s="18" t="n"/>
      <c r="JQ48" s="18" t="n"/>
      <c r="JR48" s="18" t="n"/>
      <c r="JS48" s="18" t="n"/>
      <c r="JT48" s="18" t="n"/>
      <c r="JU48" s="18" t="n"/>
      <c r="JV48" s="18" t="n"/>
      <c r="JW48" s="18" t="n"/>
      <c r="JX48" s="18" t="n"/>
      <c r="JY48" s="18" t="n"/>
      <c r="JZ48" s="18" t="n"/>
      <c r="KA48" s="18" t="n"/>
      <c r="KB48" s="18" t="n"/>
      <c r="KC48" s="18" t="n"/>
      <c r="KD48" s="18" t="n"/>
      <c r="KE48" s="18" t="n"/>
      <c r="KF48" s="18" t="n"/>
      <c r="KG48" s="18" t="n"/>
      <c r="KH48" s="18" t="n"/>
      <c r="KI48" s="18" t="n"/>
      <c r="KJ48" s="18" t="n"/>
      <c r="KK48" s="18" t="n"/>
      <c r="KL48" s="18" t="n"/>
      <c r="KM48" s="18" t="n"/>
      <c r="KN48" s="18" t="n"/>
      <c r="KO48" s="18" t="n"/>
      <c r="KP48" s="18" t="n"/>
      <c r="KQ48" s="18" t="n"/>
      <c r="KR48" s="18" t="n"/>
      <c r="KS48" s="18" t="n"/>
      <c r="KT48" s="18" t="n"/>
      <c r="KU48" s="18" t="n"/>
      <c r="KV48" s="18" t="n"/>
      <c r="KW48" s="18" t="n"/>
      <c r="KX48" s="18" t="n"/>
      <c r="KY48" s="18" t="n"/>
      <c r="KZ48" s="18" t="n"/>
      <c r="LA48" s="18" t="n"/>
      <c r="LB48" s="18" t="n"/>
      <c r="LC48" s="18" t="n"/>
      <c r="LD48" s="18" t="n"/>
      <c r="LE48" s="18" t="n"/>
      <c r="LF48" s="18" t="n"/>
      <c r="LG48" s="18" t="n"/>
      <c r="LH48" s="18" t="n"/>
      <c r="LI48" s="18" t="n"/>
      <c r="LJ48" s="18" t="n"/>
      <c r="LK48" s="18" t="n"/>
      <c r="LL48" s="18" t="n"/>
      <c r="LM48" s="18" t="n"/>
      <c r="LN48" s="18" t="n"/>
      <c r="LO48" s="18" t="n"/>
      <c r="LP48" s="18" t="n"/>
      <c r="LQ48" s="18" t="n"/>
      <c r="LR48" s="18" t="n"/>
      <c r="LS48" s="18" t="n"/>
      <c r="LT48" s="18" t="n"/>
      <c r="LU48" s="18" t="n"/>
      <c r="LV48" s="18" t="n"/>
      <c r="LW48" s="18" t="n"/>
      <c r="LX48" s="18" t="n"/>
      <c r="LY48" s="18" t="n"/>
      <c r="LZ48" s="18" t="n"/>
      <c r="MA48" s="18" t="n"/>
    </row>
    <row r="49" ht="17.4" customHeight="1" s="88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  <c r="DY49" s="18" t="n"/>
      <c r="DZ49" s="18" t="n"/>
      <c r="EA49" s="18" t="n"/>
      <c r="EB49" s="18" t="n"/>
      <c r="EC49" s="18" t="n"/>
      <c r="ED49" s="18" t="n"/>
      <c r="EE49" s="18" t="n"/>
      <c r="EF49" s="18" t="n"/>
      <c r="EG49" s="18" t="n"/>
      <c r="EH49" s="18" t="n"/>
      <c r="EI49" s="18" t="n"/>
      <c r="EJ49" s="18" t="n"/>
      <c r="EK49" s="18" t="n"/>
      <c r="EL49" s="18" t="n"/>
      <c r="EM49" s="18" t="n"/>
      <c r="EN49" s="18" t="n"/>
      <c r="EO49" s="18" t="n"/>
      <c r="EP49" s="18" t="n"/>
      <c r="EQ49" s="18" t="n"/>
      <c r="ER49" s="18" t="n"/>
      <c r="ES49" s="18" t="n"/>
      <c r="ET49" s="18" t="n"/>
      <c r="EU49" s="18" t="n"/>
      <c r="EV49" s="18" t="n"/>
      <c r="EW49" s="18" t="n"/>
      <c r="EX49" s="18" t="n"/>
      <c r="EY49" s="18" t="n"/>
      <c r="EZ49" s="18" t="n"/>
      <c r="FA49" s="18" t="n"/>
      <c r="FB49" s="18" t="n"/>
      <c r="FC49" s="18" t="n"/>
      <c r="FD49" s="18" t="n"/>
      <c r="FE49" s="18" t="n"/>
      <c r="FF49" s="18" t="n"/>
      <c r="FG49" s="18" t="n"/>
      <c r="FH49" s="18" t="n"/>
      <c r="FI49" s="18" t="n"/>
      <c r="FJ49" s="18" t="n"/>
      <c r="FK49" s="18" t="n"/>
      <c r="FL49" s="18" t="n"/>
      <c r="FM49" s="18" t="n"/>
      <c r="FN49" s="18" t="n"/>
      <c r="FO49" s="18" t="n"/>
      <c r="FP49" s="18" t="n"/>
      <c r="FQ49" s="18" t="n"/>
      <c r="FR49" s="18" t="n"/>
      <c r="FS49" s="18" t="n"/>
      <c r="FT49" s="18" t="n"/>
      <c r="FU49" s="18" t="n"/>
      <c r="FV49" s="18" t="n"/>
      <c r="FW49" s="18" t="n"/>
      <c r="FX49" s="18" t="n"/>
      <c r="FY49" s="18" t="n"/>
      <c r="FZ49" s="18" t="n"/>
      <c r="GA49" s="18" t="n"/>
      <c r="GB49" s="18" t="n"/>
      <c r="GC49" s="18" t="n"/>
      <c r="GD49" s="18" t="n"/>
      <c r="GE49" s="18" t="n"/>
      <c r="GF49" s="18" t="n"/>
      <c r="GG49" s="18" t="n"/>
      <c r="GH49" s="18" t="n"/>
      <c r="GI49" s="18" t="n"/>
      <c r="GJ49" s="18" t="n"/>
      <c r="GK49" s="18" t="n"/>
      <c r="GL49" s="18" t="n"/>
      <c r="GM49" s="18" t="n"/>
      <c r="GN49" s="18" t="n"/>
      <c r="GO49" s="18" t="n"/>
      <c r="GP49" s="18" t="n"/>
      <c r="GQ49" s="18" t="n"/>
      <c r="GR49" s="18" t="n"/>
      <c r="GS49" s="18" t="n"/>
      <c r="GT49" s="18" t="n"/>
      <c r="GU49" s="18" t="n"/>
      <c r="GV49" s="18" t="n"/>
      <c r="GW49" s="18" t="n"/>
      <c r="GX49" s="18" t="n"/>
      <c r="GY49" s="18" t="n"/>
      <c r="GZ49" s="18" t="n"/>
      <c r="HA49" s="18" t="n"/>
      <c r="HB49" s="18" t="n"/>
      <c r="HC49" s="18" t="n"/>
      <c r="HD49" s="18" t="n"/>
      <c r="HE49" s="18" t="n"/>
      <c r="HF49" s="18" t="n"/>
      <c r="HG49" s="18" t="n"/>
      <c r="HH49" s="18" t="n"/>
      <c r="HI49" s="18" t="n"/>
      <c r="HJ49" s="18" t="n"/>
      <c r="HK49" s="18" t="n"/>
      <c r="HL49" s="18" t="n"/>
      <c r="HM49" s="18" t="n"/>
      <c r="HN49" s="18" t="n"/>
      <c r="HO49" s="18" t="n"/>
      <c r="HP49" s="18" t="n"/>
      <c r="HQ49" s="18" t="n"/>
      <c r="HR49" s="18" t="n"/>
      <c r="HS49" s="18" t="n"/>
      <c r="HT49" s="18" t="n"/>
      <c r="HU49" s="18" t="n"/>
      <c r="HV49" s="18" t="n"/>
      <c r="HW49" s="18" t="n"/>
      <c r="HX49" s="18" t="n"/>
      <c r="HY49" s="18" t="n"/>
      <c r="HZ49" s="18" t="n"/>
      <c r="IA49" s="18" t="n"/>
      <c r="IB49" s="18" t="n"/>
      <c r="IC49" s="18" t="n"/>
      <c r="ID49" s="18" t="n"/>
      <c r="IE49" s="18" t="n"/>
      <c r="IF49" s="18" t="n"/>
      <c r="IG49" s="18" t="n"/>
      <c r="IH49" s="18" t="n"/>
      <c r="II49" s="18" t="n"/>
      <c r="IJ49" s="18" t="n"/>
      <c r="IK49" s="18" t="n"/>
      <c r="IL49" s="18" t="n"/>
      <c r="IM49" s="18" t="n"/>
      <c r="IN49" s="18" t="n"/>
      <c r="IO49" s="18" t="n"/>
      <c r="IP49" s="18" t="n"/>
      <c r="IQ49" s="18" t="n"/>
      <c r="IR49" s="18" t="n"/>
      <c r="IS49" s="18" t="n"/>
      <c r="IT49" s="18" t="n"/>
      <c r="IU49" s="18" t="n"/>
      <c r="IV49" s="18" t="n"/>
      <c r="IW49" s="18" t="n"/>
      <c r="IX49" s="18" t="n"/>
      <c r="IY49" s="18" t="n"/>
      <c r="IZ49" s="18" t="n"/>
      <c r="JA49" s="18" t="n"/>
      <c r="JB49" s="18" t="n"/>
      <c r="JC49" s="18" t="n"/>
      <c r="JD49" s="18" t="n"/>
      <c r="JE49" s="18" t="n"/>
      <c r="JF49" s="18" t="n"/>
      <c r="JG49" s="18" t="n"/>
      <c r="JH49" s="18" t="n"/>
      <c r="JI49" s="18" t="n"/>
      <c r="JJ49" s="18" t="n"/>
      <c r="JK49" s="18" t="n"/>
      <c r="JL49" s="18" t="n"/>
      <c r="JM49" s="18" t="n"/>
      <c r="JN49" s="18" t="n"/>
      <c r="JO49" s="18" t="n"/>
      <c r="JP49" s="18" t="n"/>
      <c r="JQ49" s="18" t="n"/>
      <c r="JR49" s="18" t="n"/>
      <c r="JS49" s="18" t="n"/>
      <c r="JT49" s="18" t="n"/>
      <c r="JU49" s="18" t="n"/>
      <c r="JV49" s="18" t="n"/>
      <c r="JW49" s="18" t="n"/>
      <c r="JX49" s="18" t="n"/>
      <c r="JY49" s="18" t="n"/>
      <c r="JZ49" s="18" t="n"/>
      <c r="KA49" s="18" t="n"/>
      <c r="KB49" s="18" t="n"/>
      <c r="KC49" s="18" t="n"/>
      <c r="KD49" s="18" t="n"/>
      <c r="KE49" s="18" t="n"/>
      <c r="KF49" s="18" t="n"/>
      <c r="KG49" s="18" t="n"/>
      <c r="KH49" s="18" t="n"/>
      <c r="KI49" s="18" t="n"/>
      <c r="KJ49" s="18" t="n"/>
      <c r="KK49" s="18" t="n"/>
      <c r="KL49" s="18" t="n"/>
      <c r="KM49" s="18" t="n"/>
      <c r="KN49" s="18" t="n"/>
      <c r="KO49" s="18" t="n"/>
      <c r="KP49" s="18" t="n"/>
      <c r="KQ49" s="18" t="n"/>
      <c r="KR49" s="18" t="n"/>
      <c r="KS49" s="18" t="n"/>
      <c r="KT49" s="18" t="n"/>
      <c r="KU49" s="18" t="n"/>
      <c r="KV49" s="18" t="n"/>
      <c r="KW49" s="18" t="n"/>
      <c r="KX49" s="18" t="n"/>
      <c r="KY49" s="18" t="n"/>
      <c r="KZ49" s="18" t="n"/>
      <c r="LA49" s="18" t="n"/>
      <c r="LB49" s="18" t="n"/>
      <c r="LC49" s="18" t="n"/>
      <c r="LD49" s="18" t="n"/>
      <c r="LE49" s="18" t="n"/>
      <c r="LF49" s="18" t="n"/>
      <c r="LG49" s="18" t="n"/>
      <c r="LH49" s="18" t="n"/>
      <c r="LI49" s="18" t="n"/>
      <c r="LJ49" s="18" t="n"/>
      <c r="LK49" s="18" t="n"/>
      <c r="LL49" s="18" t="n"/>
      <c r="LM49" s="18" t="n"/>
      <c r="LN49" s="18" t="n"/>
      <c r="LO49" s="18" t="n"/>
      <c r="LP49" s="18" t="n"/>
      <c r="LQ49" s="18" t="n"/>
      <c r="LR49" s="18" t="n"/>
      <c r="LS49" s="18" t="n"/>
      <c r="LT49" s="18" t="n"/>
      <c r="LU49" s="18" t="n"/>
      <c r="LV49" s="18" t="n"/>
      <c r="LW49" s="18" t="n"/>
      <c r="LX49" s="18" t="n"/>
      <c r="LY49" s="18" t="n"/>
      <c r="LZ49" s="18" t="n"/>
      <c r="MA49" s="18" t="n"/>
      <c r="MB49" s="18" t="n"/>
      <c r="MC49" s="18" t="n"/>
      <c r="MD49" s="18" t="n"/>
      <c r="ME49" s="18" t="n"/>
    </row>
    <row r="50" ht="17.4" customHeight="1" s="88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  <c r="DY50" s="18" t="n"/>
      <c r="DZ50" s="18" t="n"/>
      <c r="EA50" s="18" t="n"/>
      <c r="EB50" s="18" t="n"/>
      <c r="EC50" s="18" t="n"/>
      <c r="ED50" s="18" t="n"/>
      <c r="EE50" s="18" t="n"/>
      <c r="EF50" s="18" t="n"/>
      <c r="EG50" s="18" t="n"/>
      <c r="EH50" s="18" t="n"/>
      <c r="EI50" s="18" t="n"/>
      <c r="EJ50" s="18" t="n"/>
      <c r="EK50" s="18" t="n"/>
      <c r="EL50" s="18" t="n"/>
      <c r="EM50" s="18" t="n"/>
      <c r="EN50" s="18" t="n"/>
      <c r="EO50" s="18" t="n"/>
      <c r="EP50" s="18" t="n"/>
      <c r="EQ50" s="18" t="n"/>
      <c r="ER50" s="18" t="n"/>
      <c r="ES50" s="18" t="n"/>
      <c r="ET50" s="18" t="n"/>
      <c r="EU50" s="18" t="n"/>
      <c r="EV50" s="18" t="n"/>
      <c r="EW50" s="18" t="n"/>
      <c r="EX50" s="18" t="n"/>
      <c r="EY50" s="18" t="n"/>
      <c r="EZ50" s="18" t="n"/>
      <c r="FA50" s="18" t="n"/>
      <c r="FB50" s="18" t="n"/>
      <c r="FC50" s="18" t="n"/>
      <c r="FD50" s="18" t="n"/>
      <c r="FE50" s="18" t="n"/>
      <c r="FF50" s="18" t="n"/>
      <c r="FG50" s="18" t="n"/>
      <c r="FH50" s="18" t="n"/>
      <c r="FI50" s="18" t="n"/>
      <c r="FJ50" s="18" t="n"/>
      <c r="FK50" s="18" t="n"/>
      <c r="FL50" s="18" t="n"/>
      <c r="FM50" s="18" t="n"/>
      <c r="FN50" s="18" t="n"/>
      <c r="FO50" s="18" t="n"/>
      <c r="FP50" s="18" t="n"/>
      <c r="FQ50" s="18" t="n"/>
      <c r="FR50" s="18" t="n"/>
      <c r="FS50" s="18" t="n"/>
      <c r="FT50" s="18" t="n"/>
      <c r="FU50" s="18" t="n"/>
      <c r="FV50" s="18" t="n"/>
      <c r="FW50" s="18" t="n"/>
      <c r="FX50" s="18" t="n"/>
      <c r="FY50" s="18" t="n"/>
      <c r="FZ50" s="18" t="n"/>
      <c r="GA50" s="18" t="n"/>
      <c r="GB50" s="18" t="n"/>
      <c r="GC50" s="18" t="n"/>
      <c r="GD50" s="18" t="n"/>
      <c r="GE50" s="18" t="n"/>
      <c r="GF50" s="18" t="n"/>
      <c r="GG50" s="18" t="n"/>
      <c r="GH50" s="18" t="n"/>
      <c r="GI50" s="18" t="n"/>
      <c r="GJ50" s="18" t="n"/>
      <c r="GK50" s="18" t="n"/>
      <c r="GL50" s="18" t="n"/>
      <c r="GM50" s="18" t="n"/>
      <c r="GN50" s="18" t="n"/>
      <c r="GO50" s="18" t="n"/>
      <c r="GP50" s="18" t="n"/>
      <c r="GQ50" s="18" t="n"/>
      <c r="GR50" s="18" t="n"/>
      <c r="GS50" s="18" t="n"/>
      <c r="GT50" s="18" t="n"/>
      <c r="GU50" s="18" t="n"/>
      <c r="GV50" s="18" t="n"/>
      <c r="GW50" s="18" t="n"/>
      <c r="GX50" s="18" t="n"/>
      <c r="GY50" s="18" t="n"/>
      <c r="GZ50" s="18" t="n"/>
      <c r="HA50" s="18" t="n"/>
      <c r="HB50" s="18" t="n"/>
      <c r="HC50" s="18" t="n"/>
      <c r="HD50" s="18" t="n"/>
      <c r="HE50" s="18" t="n"/>
      <c r="HF50" s="18" t="n"/>
      <c r="HG50" s="18" t="n"/>
      <c r="HH50" s="18" t="n"/>
      <c r="HI50" s="18" t="n"/>
      <c r="HJ50" s="18" t="n"/>
      <c r="HK50" s="18" t="n"/>
      <c r="HL50" s="18" t="n"/>
      <c r="HM50" s="18" t="n"/>
      <c r="HN50" s="18" t="n"/>
      <c r="HO50" s="18" t="n"/>
      <c r="HP50" s="18" t="n"/>
      <c r="HQ50" s="18" t="n"/>
      <c r="HR50" s="18" t="n"/>
      <c r="HS50" s="18" t="n"/>
      <c r="HT50" s="18" t="n"/>
      <c r="HU50" s="18" t="n"/>
      <c r="HV50" s="18" t="n"/>
      <c r="HW50" s="18" t="n"/>
      <c r="HX50" s="18" t="n"/>
      <c r="HY50" s="18" t="n"/>
      <c r="HZ50" s="18" t="n"/>
      <c r="IA50" s="18" t="n"/>
      <c r="IB50" s="18" t="n"/>
      <c r="IC50" s="18" t="n"/>
      <c r="ID50" s="18" t="n"/>
      <c r="IE50" s="18" t="n"/>
      <c r="IF50" s="18" t="n"/>
      <c r="IG50" s="18" t="n"/>
      <c r="IH50" s="18" t="n"/>
      <c r="II50" s="18" t="n"/>
      <c r="IJ50" s="18" t="n"/>
      <c r="IK50" s="18" t="n"/>
      <c r="IL50" s="18" t="n"/>
      <c r="IM50" s="18" t="n"/>
      <c r="IN50" s="18" t="n"/>
      <c r="IO50" s="18" t="n"/>
      <c r="IP50" s="18" t="n"/>
      <c r="IQ50" s="18" t="n"/>
      <c r="IR50" s="18" t="n"/>
      <c r="IS50" s="18" t="n"/>
      <c r="IT50" s="18" t="n"/>
      <c r="IU50" s="18" t="n"/>
      <c r="IV50" s="18" t="n"/>
      <c r="IW50" s="18" t="n"/>
      <c r="IX50" s="18" t="n"/>
      <c r="IY50" s="18" t="n"/>
      <c r="IZ50" s="18" t="n"/>
      <c r="JA50" s="18" t="n"/>
      <c r="JB50" s="18" t="n"/>
      <c r="JC50" s="18" t="n"/>
      <c r="JD50" s="18" t="n"/>
      <c r="JE50" s="18" t="n"/>
      <c r="JF50" s="18" t="n"/>
      <c r="JG50" s="18" t="n"/>
      <c r="JH50" s="18" t="n"/>
      <c r="JI50" s="18" t="n"/>
      <c r="JJ50" s="18" t="n"/>
      <c r="JK50" s="18" t="n"/>
      <c r="JL50" s="18" t="n"/>
      <c r="JM50" s="18" t="n"/>
      <c r="JN50" s="18" t="n"/>
      <c r="JO50" s="18" t="n"/>
      <c r="JP50" s="18" t="n"/>
      <c r="JQ50" s="18" t="n"/>
      <c r="JR50" s="18" t="n"/>
      <c r="JS50" s="18" t="n"/>
      <c r="JT50" s="18" t="n"/>
      <c r="JU50" s="18" t="n"/>
      <c r="JV50" s="18" t="n"/>
      <c r="JW50" s="18" t="n"/>
      <c r="JX50" s="18" t="n"/>
      <c r="JY50" s="18" t="n"/>
      <c r="JZ50" s="18" t="n"/>
      <c r="KA50" s="18" t="n"/>
      <c r="KB50" s="18" t="n"/>
      <c r="KC50" s="18" t="n"/>
      <c r="KD50" s="18" t="n"/>
      <c r="KE50" s="18" t="n"/>
      <c r="KF50" s="18" t="n"/>
      <c r="KG50" s="18" t="n"/>
      <c r="KH50" s="18" t="n"/>
      <c r="KI50" s="18" t="n"/>
      <c r="KJ50" s="18" t="n"/>
      <c r="KK50" s="18" t="n"/>
      <c r="KL50" s="18" t="n"/>
      <c r="KM50" s="18" t="n"/>
      <c r="KN50" s="18" t="n"/>
      <c r="KO50" s="18" t="n"/>
      <c r="KP50" s="18" t="n"/>
      <c r="KQ50" s="18" t="n"/>
      <c r="KR50" s="18" t="n"/>
      <c r="KS50" s="18" t="n"/>
      <c r="KT50" s="18" t="n"/>
      <c r="KU50" s="18" t="n"/>
      <c r="KV50" s="18" t="n"/>
      <c r="KW50" s="18" t="n"/>
      <c r="KX50" s="18" t="n"/>
      <c r="KY50" s="18" t="n"/>
      <c r="KZ50" s="18" t="n"/>
      <c r="LA50" s="18" t="n"/>
      <c r="LB50" s="18" t="n"/>
      <c r="LC50" s="18" t="n"/>
      <c r="LD50" s="18" t="n"/>
      <c r="LE50" s="18" t="n"/>
      <c r="LF50" s="18" t="n"/>
      <c r="LG50" s="18" t="n"/>
      <c r="LH50" s="18" t="n"/>
      <c r="LI50" s="18" t="n"/>
      <c r="LJ50" s="18" t="n"/>
      <c r="LK50" s="18" t="n"/>
      <c r="LL50" s="18" t="n"/>
      <c r="LM50" s="18" t="n"/>
      <c r="LN50" s="18" t="n"/>
      <c r="LO50" s="18" t="n"/>
      <c r="LP50" s="18" t="n"/>
      <c r="LQ50" s="18" t="n"/>
      <c r="LR50" s="18" t="n"/>
      <c r="LS50" s="18" t="n"/>
      <c r="LT50" s="18" t="n"/>
      <c r="LU50" s="18" t="n"/>
      <c r="LV50" s="18" t="n"/>
      <c r="LW50" s="18" t="n"/>
      <c r="LX50" s="18" t="n"/>
      <c r="LY50" s="18" t="n"/>
      <c r="LZ50" s="18" t="n"/>
      <c r="MA50" s="18" t="n"/>
      <c r="MB50" s="18" t="n"/>
      <c r="MC50" s="18" t="n"/>
      <c r="MD50" s="18" t="n"/>
      <c r="ME50" s="18" t="n"/>
      <c r="MF50" s="18" t="n"/>
      <c r="MG50" s="18" t="n"/>
      <c r="MH50" s="18" t="n"/>
      <c r="MI50" s="18" t="n"/>
    </row>
    <row r="51" ht="17.4" customHeight="1" s="88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  <c r="DY51" s="18" t="n"/>
      <c r="DZ51" s="18" t="n"/>
      <c r="EA51" s="18" t="n"/>
      <c r="EB51" s="18" t="n"/>
      <c r="EC51" s="18" t="n"/>
      <c r="ED51" s="18" t="n"/>
      <c r="EE51" s="18" t="n"/>
      <c r="EF51" s="18" t="n"/>
      <c r="EG51" s="18" t="n"/>
      <c r="EH51" s="18" t="n"/>
      <c r="EI51" s="18" t="n"/>
      <c r="EJ51" s="18" t="n"/>
      <c r="EK51" s="18" t="n"/>
      <c r="EL51" s="18" t="n"/>
      <c r="EM51" s="18" t="n"/>
      <c r="EN51" s="18" t="n"/>
      <c r="EO51" s="18" t="n"/>
      <c r="EP51" s="18" t="n"/>
      <c r="EQ51" s="18" t="n"/>
      <c r="ER51" s="18" t="n"/>
      <c r="ES51" s="18" t="n"/>
      <c r="ET51" s="18" t="n"/>
      <c r="EU51" s="18" t="n"/>
      <c r="EV51" s="18" t="n"/>
      <c r="EW51" s="18" t="n"/>
      <c r="EX51" s="18" t="n"/>
      <c r="EY51" s="18" t="n"/>
      <c r="EZ51" s="18" t="n"/>
      <c r="FA51" s="18" t="n"/>
      <c r="FB51" s="18" t="n"/>
      <c r="FC51" s="18" t="n"/>
      <c r="FD51" s="18" t="n"/>
      <c r="FE51" s="18" t="n"/>
      <c r="FF51" s="18" t="n"/>
      <c r="FG51" s="18" t="n"/>
      <c r="FH51" s="18" t="n"/>
      <c r="FI51" s="18" t="n"/>
      <c r="FJ51" s="18" t="n"/>
      <c r="FK51" s="18" t="n"/>
      <c r="FL51" s="18" t="n"/>
      <c r="FM51" s="18" t="n"/>
      <c r="FN51" s="18" t="n"/>
      <c r="FO51" s="18" t="n"/>
      <c r="FP51" s="18" t="n"/>
      <c r="FQ51" s="18" t="n"/>
      <c r="FR51" s="18" t="n"/>
      <c r="FS51" s="18" t="n"/>
      <c r="FT51" s="18" t="n"/>
      <c r="FU51" s="18" t="n"/>
      <c r="FV51" s="18" t="n"/>
      <c r="FW51" s="18" t="n"/>
      <c r="FX51" s="18" t="n"/>
      <c r="FY51" s="18" t="n"/>
      <c r="FZ51" s="18" t="n"/>
      <c r="GA51" s="18" t="n"/>
      <c r="GB51" s="18" t="n"/>
      <c r="GC51" s="18" t="n"/>
      <c r="GD51" s="18" t="n"/>
      <c r="GE51" s="18" t="n"/>
      <c r="GF51" s="18" t="n"/>
      <c r="GG51" s="18" t="n"/>
      <c r="GH51" s="18" t="n"/>
      <c r="GI51" s="18" t="n"/>
      <c r="GJ51" s="18" t="n"/>
      <c r="GK51" s="18" t="n"/>
      <c r="GL51" s="18" t="n"/>
      <c r="GM51" s="18" t="n"/>
      <c r="GN51" s="18" t="n"/>
      <c r="GO51" s="18" t="n"/>
      <c r="GP51" s="18" t="n"/>
      <c r="GQ51" s="18" t="n"/>
      <c r="GR51" s="18" t="n"/>
      <c r="GS51" s="18" t="n"/>
      <c r="GT51" s="18" t="n"/>
      <c r="GU51" s="18" t="n"/>
      <c r="GV51" s="18" t="n"/>
      <c r="GW51" s="18" t="n"/>
      <c r="GX51" s="18" t="n"/>
      <c r="GY51" s="18" t="n"/>
      <c r="GZ51" s="18" t="n"/>
      <c r="HA51" s="18" t="n"/>
      <c r="HB51" s="18" t="n"/>
      <c r="HC51" s="18" t="n"/>
      <c r="HD51" s="18" t="n"/>
      <c r="HE51" s="18" t="n"/>
      <c r="HF51" s="18" t="n"/>
      <c r="HG51" s="18" t="n"/>
      <c r="HH51" s="18" t="n"/>
      <c r="HI51" s="18" t="n"/>
      <c r="HJ51" s="18" t="n"/>
      <c r="HK51" s="18" t="n"/>
      <c r="HL51" s="18" t="n"/>
      <c r="HM51" s="18" t="n"/>
      <c r="HN51" s="18" t="n"/>
      <c r="HO51" s="18" t="n"/>
      <c r="HP51" s="18" t="n"/>
      <c r="HQ51" s="18" t="n"/>
      <c r="HR51" s="18" t="n"/>
      <c r="HS51" s="18" t="n"/>
      <c r="HT51" s="18" t="n"/>
      <c r="HU51" s="18" t="n"/>
      <c r="HV51" s="18" t="n"/>
      <c r="HW51" s="18" t="n"/>
      <c r="HX51" s="18" t="n"/>
      <c r="HY51" s="18" t="n"/>
      <c r="HZ51" s="18" t="n"/>
      <c r="IA51" s="18" t="n"/>
      <c r="IB51" s="18" t="n"/>
      <c r="IC51" s="18" t="n"/>
      <c r="ID51" s="18" t="n"/>
      <c r="IE51" s="18" t="n"/>
      <c r="IF51" s="18" t="n"/>
      <c r="IG51" s="18" t="n"/>
      <c r="IH51" s="18" t="n"/>
      <c r="II51" s="18" t="n"/>
      <c r="IJ51" s="18" t="n"/>
      <c r="IK51" s="18" t="n"/>
      <c r="IL51" s="18" t="n"/>
      <c r="IM51" s="18" t="n"/>
      <c r="IN51" s="18" t="n"/>
      <c r="IO51" s="18" t="n"/>
      <c r="IP51" s="18" t="n"/>
      <c r="IQ51" s="18" t="n"/>
      <c r="IR51" s="18" t="n"/>
      <c r="IS51" s="18" t="n"/>
      <c r="IT51" s="18" t="n"/>
      <c r="IU51" s="18" t="n"/>
      <c r="IV51" s="18" t="n"/>
      <c r="IW51" s="18" t="n"/>
      <c r="IX51" s="18" t="n"/>
      <c r="IY51" s="18" t="n"/>
      <c r="IZ51" s="18" t="n"/>
      <c r="JA51" s="18" t="n"/>
      <c r="JB51" s="18" t="n"/>
      <c r="JC51" s="18" t="n"/>
      <c r="JD51" s="18" t="n"/>
      <c r="JE51" s="18" t="n"/>
      <c r="JF51" s="18" t="n"/>
      <c r="JG51" s="18" t="n"/>
      <c r="JH51" s="18" t="n"/>
      <c r="JI51" s="18" t="n"/>
      <c r="JJ51" s="18" t="n"/>
      <c r="JK51" s="18" t="n"/>
      <c r="JL51" s="18" t="n"/>
      <c r="JM51" s="18" t="n"/>
      <c r="JN51" s="18" t="n"/>
      <c r="JO51" s="18" t="n"/>
      <c r="JP51" s="18" t="n"/>
      <c r="JQ51" s="18" t="n"/>
      <c r="JR51" s="18" t="n"/>
      <c r="JS51" s="18" t="n"/>
      <c r="JT51" s="18" t="n"/>
      <c r="JU51" s="18" t="n"/>
      <c r="JV51" s="18" t="n"/>
      <c r="JW51" s="18" t="n"/>
      <c r="JX51" s="18" t="n"/>
      <c r="JY51" s="18" t="n"/>
      <c r="JZ51" s="18" t="n"/>
      <c r="KA51" s="18" t="n"/>
      <c r="KB51" s="18" t="n"/>
      <c r="KC51" s="18" t="n"/>
      <c r="KD51" s="18" t="n"/>
      <c r="KE51" s="18" t="n"/>
      <c r="KF51" s="18" t="n"/>
      <c r="KG51" s="18" t="n"/>
      <c r="KH51" s="18" t="n"/>
      <c r="KI51" s="18" t="n"/>
      <c r="KJ51" s="18" t="n"/>
      <c r="KK51" s="18" t="n"/>
      <c r="KL51" s="18" t="n"/>
      <c r="KM51" s="18" t="n"/>
      <c r="KN51" s="18" t="n"/>
      <c r="KO51" s="18" t="n"/>
      <c r="KP51" s="18" t="n"/>
      <c r="KQ51" s="18" t="n"/>
      <c r="KR51" s="18" t="n"/>
      <c r="KS51" s="18" t="n"/>
      <c r="KT51" s="18" t="n"/>
      <c r="KU51" s="18" t="n"/>
      <c r="KV51" s="18" t="n"/>
      <c r="KW51" s="18" t="n"/>
      <c r="KX51" s="18" t="n"/>
      <c r="KY51" s="18" t="n"/>
      <c r="KZ51" s="18" t="n"/>
      <c r="LA51" s="18" t="n"/>
      <c r="LB51" s="18" t="n"/>
      <c r="LC51" s="18" t="n"/>
      <c r="LD51" s="18" t="n"/>
      <c r="LE51" s="18" t="n"/>
      <c r="LF51" s="18" t="n"/>
      <c r="LG51" s="18" t="n"/>
      <c r="LH51" s="18" t="n"/>
      <c r="LI51" s="18" t="n"/>
      <c r="LJ51" s="18" t="n"/>
      <c r="LK51" s="18" t="n"/>
      <c r="LL51" s="18" t="n"/>
      <c r="LM51" s="18" t="n"/>
      <c r="LN51" s="18" t="n"/>
      <c r="LO51" s="18" t="n"/>
      <c r="LP51" s="18" t="n"/>
      <c r="LQ51" s="18" t="n"/>
      <c r="LR51" s="18" t="n"/>
      <c r="LS51" s="18" t="n"/>
      <c r="LT51" s="18" t="n"/>
      <c r="LU51" s="18" t="n"/>
      <c r="LV51" s="18" t="n"/>
      <c r="LW51" s="18" t="n"/>
      <c r="LX51" s="18" t="n"/>
      <c r="LY51" s="18" t="n"/>
      <c r="LZ51" s="18" t="n"/>
      <c r="MA51" s="18" t="n"/>
      <c r="MB51" s="18" t="n"/>
      <c r="MC51" s="18" t="n"/>
      <c r="MD51" s="18" t="n"/>
      <c r="ME51" s="18" t="n"/>
      <c r="MF51" s="18" t="n"/>
      <c r="MG51" s="18" t="n"/>
      <c r="MH51" s="18" t="n"/>
      <c r="MI51" s="18" t="n"/>
      <c r="MJ51" s="18" t="n"/>
      <c r="MK51" s="18" t="n"/>
      <c r="ML51" s="18" t="n"/>
      <c r="MM51" s="18" t="n"/>
    </row>
    <row r="52" ht="17.4" customHeight="1" s="88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  <c r="DY52" s="18" t="n"/>
      <c r="DZ52" s="18" t="n"/>
      <c r="EA52" s="18" t="n"/>
      <c r="EB52" s="18" t="n"/>
      <c r="EC52" s="18" t="n"/>
      <c r="ED52" s="18" t="n"/>
      <c r="EE52" s="18" t="n"/>
      <c r="EF52" s="18" t="n"/>
      <c r="EG52" s="18" t="n"/>
      <c r="EH52" s="18" t="n"/>
      <c r="EI52" s="18" t="n"/>
      <c r="EJ52" s="18" t="n"/>
      <c r="EK52" s="18" t="n"/>
      <c r="EL52" s="18" t="n"/>
      <c r="EM52" s="18" t="n"/>
      <c r="EN52" s="18" t="n"/>
      <c r="EO52" s="18" t="n"/>
      <c r="EP52" s="18" t="n"/>
      <c r="EQ52" s="18" t="n"/>
      <c r="ER52" s="18" t="n"/>
      <c r="ES52" s="18" t="n"/>
      <c r="ET52" s="18" t="n"/>
      <c r="EU52" s="18" t="n"/>
      <c r="EV52" s="18" t="n"/>
      <c r="EW52" s="18" t="n"/>
      <c r="EX52" s="18" t="n"/>
      <c r="EY52" s="18" t="n"/>
      <c r="EZ52" s="18" t="n"/>
      <c r="FA52" s="18" t="n"/>
      <c r="FB52" s="18" t="n"/>
      <c r="FC52" s="18" t="n"/>
      <c r="FD52" s="18" t="n"/>
      <c r="FE52" s="18" t="n"/>
      <c r="FF52" s="18" t="n"/>
      <c r="FG52" s="18" t="n"/>
      <c r="FH52" s="18" t="n"/>
      <c r="FI52" s="18" t="n"/>
      <c r="FJ52" s="18" t="n"/>
      <c r="FK52" s="18" t="n"/>
      <c r="FL52" s="18" t="n"/>
      <c r="FM52" s="18" t="n"/>
      <c r="FN52" s="18" t="n"/>
      <c r="FO52" s="18" t="n"/>
      <c r="FP52" s="18" t="n"/>
      <c r="FQ52" s="18" t="n"/>
      <c r="FR52" s="18" t="n"/>
      <c r="FS52" s="18" t="n"/>
      <c r="FT52" s="18" t="n"/>
      <c r="FU52" s="18" t="n"/>
      <c r="FV52" s="18" t="n"/>
      <c r="FW52" s="18" t="n"/>
      <c r="FX52" s="18" t="n"/>
      <c r="FY52" s="18" t="n"/>
      <c r="FZ52" s="18" t="n"/>
      <c r="GA52" s="18" t="n"/>
      <c r="GB52" s="18" t="n"/>
      <c r="GC52" s="18" t="n"/>
      <c r="GD52" s="18" t="n"/>
      <c r="GE52" s="18" t="n"/>
      <c r="GF52" s="18" t="n"/>
      <c r="GG52" s="18" t="n"/>
      <c r="GH52" s="18" t="n"/>
      <c r="GI52" s="18" t="n"/>
      <c r="GJ52" s="18" t="n"/>
      <c r="GK52" s="18" t="n"/>
      <c r="GL52" s="18" t="n"/>
      <c r="GM52" s="18" t="n"/>
      <c r="GN52" s="18" t="n"/>
      <c r="GO52" s="18" t="n"/>
      <c r="GP52" s="18" t="n"/>
      <c r="GQ52" s="18" t="n"/>
      <c r="GR52" s="18" t="n"/>
      <c r="GS52" s="18" t="n"/>
      <c r="GT52" s="18" t="n"/>
      <c r="GU52" s="18" t="n"/>
      <c r="GV52" s="18" t="n"/>
      <c r="GW52" s="18" t="n"/>
      <c r="GX52" s="18" t="n"/>
      <c r="GY52" s="18" t="n"/>
      <c r="GZ52" s="18" t="n"/>
      <c r="HA52" s="18" t="n"/>
      <c r="HB52" s="18" t="n"/>
      <c r="HC52" s="18" t="n"/>
      <c r="HD52" s="18" t="n"/>
      <c r="HE52" s="18" t="n"/>
      <c r="HF52" s="18" t="n"/>
      <c r="HG52" s="18" t="n"/>
      <c r="HH52" s="18" t="n"/>
      <c r="HI52" s="18" t="n"/>
      <c r="HJ52" s="18" t="n"/>
      <c r="HK52" s="18" t="n"/>
      <c r="HL52" s="18" t="n"/>
      <c r="HM52" s="18" t="n"/>
      <c r="HN52" s="18" t="n"/>
      <c r="HO52" s="18" t="n"/>
      <c r="HP52" s="18" t="n"/>
      <c r="HQ52" s="18" t="n"/>
      <c r="HR52" s="18" t="n"/>
      <c r="HS52" s="18" t="n"/>
      <c r="HT52" s="18" t="n"/>
      <c r="HU52" s="18" t="n"/>
      <c r="HV52" s="18" t="n"/>
      <c r="HW52" s="18" t="n"/>
      <c r="HX52" s="18" t="n"/>
      <c r="HY52" s="18" t="n"/>
      <c r="HZ52" s="18" t="n"/>
      <c r="IA52" s="18" t="n"/>
      <c r="IB52" s="18" t="n"/>
      <c r="IC52" s="18" t="n"/>
      <c r="ID52" s="18" t="n"/>
      <c r="IE52" s="18" t="n"/>
      <c r="IF52" s="18" t="n"/>
      <c r="IG52" s="18" t="n"/>
      <c r="IH52" s="18" t="n"/>
      <c r="II52" s="18" t="n"/>
      <c r="IJ52" s="18" t="n"/>
      <c r="IK52" s="18" t="n"/>
      <c r="IL52" s="18" t="n"/>
      <c r="IM52" s="18" t="n"/>
      <c r="IN52" s="18" t="n"/>
      <c r="IO52" s="18" t="n"/>
      <c r="IP52" s="18" t="n"/>
      <c r="IQ52" s="18" t="n"/>
      <c r="IR52" s="18" t="n"/>
      <c r="IS52" s="18" t="n"/>
      <c r="IT52" s="18" t="n"/>
      <c r="IU52" s="18" t="n"/>
      <c r="IV52" s="18" t="n"/>
      <c r="IW52" s="18" t="n"/>
      <c r="IX52" s="18" t="n"/>
      <c r="IY52" s="18" t="n"/>
      <c r="IZ52" s="18" t="n"/>
      <c r="JA52" s="18" t="n"/>
      <c r="JB52" s="18" t="n"/>
      <c r="JC52" s="18" t="n"/>
      <c r="JD52" s="18" t="n"/>
      <c r="JE52" s="18" t="n"/>
      <c r="JF52" s="18" t="n"/>
      <c r="JG52" s="18" t="n"/>
      <c r="JH52" s="18" t="n"/>
      <c r="JI52" s="18" t="n"/>
      <c r="JJ52" s="18" t="n"/>
      <c r="JK52" s="18" t="n"/>
      <c r="JL52" s="18" t="n"/>
      <c r="JM52" s="18" t="n"/>
      <c r="JN52" s="18" t="n"/>
      <c r="JO52" s="18" t="n"/>
      <c r="JP52" s="18" t="n"/>
      <c r="JQ52" s="18" t="n"/>
      <c r="JR52" s="18" t="n"/>
      <c r="JS52" s="18" t="n"/>
      <c r="JT52" s="18" t="n"/>
      <c r="JU52" s="18" t="n"/>
      <c r="JV52" s="18" t="n"/>
      <c r="JW52" s="18" t="n"/>
      <c r="JX52" s="18" t="n"/>
      <c r="JY52" s="18" t="n"/>
      <c r="JZ52" s="18" t="n"/>
      <c r="KA52" s="18" t="n"/>
      <c r="KB52" s="18" t="n"/>
      <c r="KC52" s="18" t="n"/>
      <c r="KD52" s="18" t="n"/>
      <c r="KE52" s="18" t="n"/>
      <c r="KF52" s="18" t="n"/>
      <c r="KG52" s="18" t="n"/>
      <c r="KH52" s="18" t="n"/>
      <c r="KI52" s="18" t="n"/>
      <c r="KJ52" s="18" t="n"/>
      <c r="KK52" s="18" t="n"/>
      <c r="KL52" s="18" t="n"/>
      <c r="KM52" s="18" t="n"/>
      <c r="KN52" s="18" t="n"/>
      <c r="KO52" s="18" t="n"/>
      <c r="KP52" s="18" t="n"/>
      <c r="KQ52" s="18" t="n"/>
      <c r="KR52" s="18" t="n"/>
      <c r="KS52" s="18" t="n"/>
      <c r="KT52" s="18" t="n"/>
      <c r="KU52" s="18" t="n"/>
      <c r="KV52" s="18" t="n"/>
      <c r="KW52" s="18" t="n"/>
      <c r="KX52" s="18" t="n"/>
      <c r="KY52" s="18" t="n"/>
      <c r="KZ52" s="18" t="n"/>
      <c r="LA52" s="18" t="n"/>
      <c r="LB52" s="18" t="n"/>
      <c r="LC52" s="18" t="n"/>
      <c r="LD52" s="18" t="n"/>
      <c r="LE52" s="18" t="n"/>
      <c r="LF52" s="18" t="n"/>
      <c r="LG52" s="18" t="n"/>
      <c r="LH52" s="18" t="n"/>
      <c r="LI52" s="18" t="n"/>
      <c r="LJ52" s="18" t="n"/>
      <c r="LK52" s="18" t="n"/>
      <c r="LL52" s="18" t="n"/>
      <c r="LM52" s="18" t="n"/>
      <c r="LN52" s="18" t="n"/>
      <c r="LO52" s="18" t="n"/>
      <c r="LP52" s="18" t="n"/>
      <c r="LQ52" s="18" t="n"/>
      <c r="LR52" s="18" t="n"/>
      <c r="LS52" s="18" t="n"/>
      <c r="LT52" s="18" t="n"/>
      <c r="LU52" s="18" t="n"/>
      <c r="LV52" s="18" t="n"/>
      <c r="LW52" s="18" t="n"/>
      <c r="LX52" s="18" t="n"/>
      <c r="LY52" s="18" t="n"/>
      <c r="LZ52" s="18" t="n"/>
      <c r="MA52" s="18" t="n"/>
      <c r="MB52" s="18" t="n"/>
      <c r="MC52" s="18" t="n"/>
      <c r="MD52" s="18" t="n"/>
      <c r="ME52" s="18" t="n"/>
      <c r="MF52" s="18" t="n"/>
      <c r="MG52" s="18" t="n"/>
      <c r="MH52" s="18" t="n"/>
      <c r="MI52" s="18" t="n"/>
      <c r="MJ52" s="18" t="n"/>
      <c r="MK52" s="18" t="n"/>
      <c r="ML52" s="18" t="n"/>
      <c r="MM52" s="18" t="n"/>
      <c r="MN52" s="18" t="n"/>
      <c r="MO52" s="18" t="n"/>
      <c r="MP52" s="18" t="n"/>
      <c r="MQ52" s="18" t="n"/>
    </row>
    <row r="53" ht="17.4" customHeight="1" s="88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8" t="n"/>
      <c r="DF53" s="18" t="n"/>
      <c r="DG53" s="18" t="n"/>
      <c r="DH53" s="18" t="n"/>
      <c r="DI53" s="18" t="n"/>
      <c r="DJ53" s="18" t="n"/>
      <c r="DK53" s="18" t="n"/>
      <c r="DL53" s="18" t="n"/>
      <c r="DM53" s="18" t="n"/>
      <c r="DN53" s="18" t="n"/>
      <c r="DO53" s="18" t="n"/>
      <c r="DP53" s="18" t="n"/>
      <c r="DQ53" s="18" t="n"/>
      <c r="DR53" s="18" t="n"/>
      <c r="DS53" s="18" t="n"/>
      <c r="DT53" s="18" t="n"/>
      <c r="DU53" s="18" t="n"/>
      <c r="DV53" s="18" t="n"/>
      <c r="DW53" s="18" t="n"/>
      <c r="DX53" s="18" t="n"/>
      <c r="DY53" s="18" t="n"/>
      <c r="DZ53" s="18" t="n"/>
      <c r="EA53" s="18" t="n"/>
      <c r="EB53" s="18" t="n"/>
      <c r="EC53" s="18" t="n"/>
      <c r="ED53" s="18" t="n"/>
      <c r="EE53" s="18" t="n"/>
      <c r="EF53" s="18" t="n"/>
      <c r="EG53" s="18" t="n"/>
      <c r="EH53" s="18" t="n"/>
      <c r="EI53" s="18" t="n"/>
      <c r="EJ53" s="18" t="n"/>
      <c r="EK53" s="18" t="n"/>
      <c r="EL53" s="18" t="n"/>
      <c r="EM53" s="18" t="n"/>
      <c r="EN53" s="18" t="n"/>
      <c r="EO53" s="18" t="n"/>
      <c r="EP53" s="18" t="n"/>
      <c r="EQ53" s="18" t="n"/>
      <c r="ER53" s="18" t="n"/>
      <c r="ES53" s="18" t="n"/>
      <c r="ET53" s="18" t="n"/>
      <c r="EU53" s="18" t="n"/>
      <c r="EV53" s="18" t="n"/>
      <c r="EW53" s="18" t="n"/>
      <c r="EX53" s="18" t="n"/>
      <c r="EY53" s="18" t="n"/>
      <c r="EZ53" s="18" t="n"/>
      <c r="FA53" s="18" t="n"/>
      <c r="FB53" s="18" t="n"/>
      <c r="FC53" s="18" t="n"/>
      <c r="FD53" s="18" t="n"/>
      <c r="FE53" s="18" t="n"/>
      <c r="FF53" s="18" t="n"/>
      <c r="FG53" s="18" t="n"/>
      <c r="FH53" s="18" t="n"/>
      <c r="FI53" s="18" t="n"/>
      <c r="FJ53" s="18" t="n"/>
      <c r="FK53" s="18" t="n"/>
      <c r="FL53" s="18" t="n"/>
      <c r="FM53" s="18" t="n"/>
      <c r="FN53" s="18" t="n"/>
      <c r="FO53" s="18" t="n"/>
      <c r="FP53" s="18" t="n"/>
      <c r="FQ53" s="18" t="n"/>
      <c r="FR53" s="18" t="n"/>
      <c r="FS53" s="18" t="n"/>
      <c r="FT53" s="18" t="n"/>
      <c r="FU53" s="18" t="n"/>
      <c r="FV53" s="18" t="n"/>
      <c r="FW53" s="18" t="n"/>
      <c r="FX53" s="18" t="n"/>
      <c r="FY53" s="18" t="n"/>
      <c r="FZ53" s="18" t="n"/>
      <c r="GA53" s="18" t="n"/>
      <c r="GB53" s="18" t="n"/>
      <c r="GC53" s="18" t="n"/>
      <c r="GD53" s="18" t="n"/>
      <c r="GE53" s="18" t="n"/>
      <c r="GF53" s="18" t="n"/>
      <c r="GG53" s="18" t="n"/>
      <c r="GH53" s="18" t="n"/>
      <c r="GI53" s="18" t="n"/>
      <c r="GJ53" s="18" t="n"/>
      <c r="GK53" s="18" t="n"/>
      <c r="GL53" s="18" t="n"/>
      <c r="GM53" s="18" t="n"/>
      <c r="GN53" s="18" t="n"/>
      <c r="GO53" s="18" t="n"/>
      <c r="GP53" s="18" t="n"/>
      <c r="GQ53" s="18" t="n"/>
      <c r="GR53" s="18" t="n"/>
      <c r="GS53" s="18" t="n"/>
      <c r="GT53" s="18" t="n"/>
      <c r="GU53" s="18" t="n"/>
      <c r="GV53" s="18" t="n"/>
      <c r="GW53" s="18" t="n"/>
      <c r="GX53" s="18" t="n"/>
      <c r="GY53" s="18" t="n"/>
      <c r="GZ53" s="18" t="n"/>
      <c r="HA53" s="18" t="n"/>
      <c r="HB53" s="18" t="n"/>
      <c r="HC53" s="18" t="n"/>
      <c r="HD53" s="18" t="n"/>
      <c r="HE53" s="18" t="n"/>
      <c r="HF53" s="18" t="n"/>
      <c r="HG53" s="18" t="n"/>
      <c r="HH53" s="18" t="n"/>
      <c r="HI53" s="18" t="n"/>
      <c r="HJ53" s="18" t="n"/>
      <c r="HK53" s="18" t="n"/>
      <c r="HL53" s="18" t="n"/>
      <c r="HM53" s="18" t="n"/>
      <c r="HN53" s="18" t="n"/>
      <c r="HO53" s="18" t="n"/>
      <c r="HP53" s="18" t="n"/>
      <c r="HQ53" s="18" t="n"/>
      <c r="HR53" s="18" t="n"/>
      <c r="HS53" s="18" t="n"/>
      <c r="HT53" s="18" t="n"/>
      <c r="HU53" s="18" t="n"/>
      <c r="HV53" s="18" t="n"/>
      <c r="HW53" s="18" t="n"/>
      <c r="HX53" s="18" t="n"/>
      <c r="HY53" s="18" t="n"/>
      <c r="HZ53" s="18" t="n"/>
      <c r="IA53" s="18" t="n"/>
      <c r="IB53" s="18" t="n"/>
      <c r="IC53" s="18" t="n"/>
      <c r="ID53" s="18" t="n"/>
      <c r="IE53" s="18" t="n"/>
      <c r="IF53" s="18" t="n"/>
      <c r="IG53" s="18" t="n"/>
      <c r="IH53" s="18" t="n"/>
      <c r="II53" s="18" t="n"/>
      <c r="IJ53" s="18" t="n"/>
      <c r="IK53" s="18" t="n"/>
      <c r="IL53" s="18" t="n"/>
      <c r="IM53" s="18" t="n"/>
      <c r="IN53" s="18" t="n"/>
      <c r="IO53" s="18" t="n"/>
      <c r="IP53" s="18" t="n"/>
      <c r="IQ53" s="18" t="n"/>
      <c r="IR53" s="18" t="n"/>
      <c r="IS53" s="18" t="n"/>
      <c r="IT53" s="18" t="n"/>
      <c r="IU53" s="18" t="n"/>
      <c r="IV53" s="18" t="n"/>
      <c r="IW53" s="18" t="n"/>
      <c r="IX53" s="18" t="n"/>
      <c r="IY53" s="18" t="n"/>
      <c r="IZ53" s="18" t="n"/>
      <c r="JA53" s="18" t="n"/>
      <c r="JB53" s="18" t="n"/>
      <c r="JC53" s="18" t="n"/>
      <c r="JD53" s="18" t="n"/>
      <c r="JE53" s="18" t="n"/>
      <c r="JF53" s="18" t="n"/>
      <c r="JG53" s="18" t="n"/>
      <c r="JH53" s="18" t="n"/>
      <c r="JI53" s="18" t="n"/>
      <c r="JJ53" s="18" t="n"/>
      <c r="JK53" s="18" t="n"/>
      <c r="JL53" s="18" t="n"/>
      <c r="JM53" s="18" t="n"/>
      <c r="JN53" s="18" t="n"/>
      <c r="JO53" s="18" t="n"/>
      <c r="JP53" s="18" t="n"/>
      <c r="JQ53" s="18" t="n"/>
      <c r="JR53" s="18" t="n"/>
      <c r="JS53" s="18" t="n"/>
      <c r="JT53" s="18" t="n"/>
      <c r="JU53" s="18" t="n"/>
      <c r="JV53" s="18" t="n"/>
      <c r="JW53" s="18" t="n"/>
      <c r="JX53" s="18" t="n"/>
      <c r="JY53" s="18" t="n"/>
      <c r="JZ53" s="18" t="n"/>
      <c r="KA53" s="18" t="n"/>
      <c r="KB53" s="18" t="n"/>
      <c r="KC53" s="18" t="n"/>
      <c r="KD53" s="18" t="n"/>
      <c r="KE53" s="18" t="n"/>
      <c r="KF53" s="18" t="n"/>
      <c r="KG53" s="18" t="n"/>
      <c r="KH53" s="18" t="n"/>
      <c r="KI53" s="18" t="n"/>
      <c r="KJ53" s="18" t="n"/>
      <c r="KK53" s="18" t="n"/>
      <c r="KL53" s="18" t="n"/>
      <c r="KM53" s="18" t="n"/>
      <c r="KN53" s="18" t="n"/>
      <c r="KO53" s="18" t="n"/>
      <c r="KP53" s="18" t="n"/>
      <c r="KQ53" s="18" t="n"/>
      <c r="KR53" s="18" t="n"/>
      <c r="KS53" s="18" t="n"/>
      <c r="KT53" s="18" t="n"/>
      <c r="KU53" s="18" t="n"/>
      <c r="KV53" s="18" t="n"/>
      <c r="KW53" s="18" t="n"/>
      <c r="KX53" s="18" t="n"/>
      <c r="KY53" s="18" t="n"/>
      <c r="KZ53" s="18" t="n"/>
      <c r="LA53" s="18" t="n"/>
      <c r="LB53" s="18" t="n"/>
      <c r="LC53" s="18" t="n"/>
      <c r="LD53" s="18" t="n"/>
      <c r="LE53" s="18" t="n"/>
      <c r="LF53" s="18" t="n"/>
      <c r="LG53" s="18" t="n"/>
      <c r="LH53" s="18" t="n"/>
      <c r="LI53" s="18" t="n"/>
      <c r="LJ53" s="18" t="n"/>
      <c r="LK53" s="18" t="n"/>
      <c r="LL53" s="18" t="n"/>
      <c r="LM53" s="18" t="n"/>
      <c r="LN53" s="18" t="n"/>
      <c r="LO53" s="18" t="n"/>
      <c r="LP53" s="18" t="n"/>
      <c r="LQ53" s="18" t="n"/>
      <c r="LR53" s="18" t="n"/>
      <c r="LS53" s="18" t="n"/>
      <c r="LT53" s="18" t="n"/>
      <c r="LU53" s="18" t="n"/>
      <c r="LV53" s="18" t="n"/>
      <c r="LW53" s="18" t="n"/>
      <c r="LX53" s="18" t="n"/>
      <c r="LY53" s="18" t="n"/>
      <c r="LZ53" s="18" t="n"/>
      <c r="MA53" s="18" t="n"/>
      <c r="MB53" s="18" t="n"/>
      <c r="MC53" s="18" t="n"/>
      <c r="MD53" s="18" t="n"/>
      <c r="ME53" s="18" t="n"/>
      <c r="MF53" s="18" t="n"/>
      <c r="MG53" s="18" t="n"/>
      <c r="MH53" s="18" t="n"/>
      <c r="MI53" s="18" t="n"/>
      <c r="MJ53" s="18" t="n"/>
      <c r="MK53" s="18" t="n"/>
      <c r="ML53" s="18" t="n"/>
      <c r="MM53" s="18" t="n"/>
      <c r="MN53" s="18" t="n"/>
      <c r="MO53" s="18" t="n"/>
      <c r="MP53" s="18" t="n"/>
      <c r="MQ53" s="18" t="n"/>
      <c r="MR53" s="18" t="n"/>
      <c r="MS53" s="18" t="n"/>
      <c r="MT53" s="18" t="n"/>
      <c r="MU53" s="18" t="n"/>
    </row>
  </sheetData>
  <printOptions horizontalCentered="1"/>
  <pageMargins left="0.7480314960629921" right="0.7480314960629921" top="0.984251968503937" bottom="0.984251968503937" header="0.5118110236220472" footer="0.5118110236220472"/>
  <pageSetup orientation="landscape" paperSize="8" scale="36" verticalDpi="0"/>
</worksheet>
</file>

<file path=xl/worksheets/sheet11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MU53"/>
  <sheetViews>
    <sheetView view="pageBreakPreview" topLeftCell="L1" zoomScale="55" zoomScaleNormal="40" zoomScaleSheetLayoutView="55" workbookViewId="0">
      <pane xSplit="4" ySplit="1" topLeftCell="P33" activePane="bottomRight" state="frozen"/>
      <selection pane="topRight" activeCell="A1" sqref="A1"/>
      <selection pane="bottomLeft" activeCell="A1" sqref="A1"/>
      <selection pane="bottomRight" activeCell="X43" sqref="X43"/>
    </sheetView>
  </sheetViews>
  <sheetFormatPr baseColWidth="8" defaultRowHeight="19.2"/>
  <cols>
    <col width="10" bestFit="1" customWidth="1" style="4" min="1" max="1"/>
    <col width="10" customWidth="1" style="88" min="2" max="2"/>
    <col width="18" bestFit="1" customWidth="1" style="4" min="3" max="3"/>
    <col width="12" bestFit="1" customWidth="1" style="4" min="4" max="4"/>
    <col width="10" customWidth="1" style="2" min="5" max="5"/>
    <col width="10" customWidth="1" style="88" min="6" max="6"/>
    <col width="30" customWidth="1" style="4" min="7" max="7"/>
    <col width="14" customWidth="1" style="4" min="8" max="9"/>
    <col width="38" customWidth="1" style="3" min="10" max="10"/>
    <col width="54" customWidth="1" style="3" min="11" max="11"/>
    <col width="30" customWidth="1" style="4" min="12" max="12"/>
    <col width="36" customWidth="1" style="3" min="13" max="13"/>
    <col width="13.5" customWidth="1" style="3" min="14" max="14"/>
    <col width="36" customWidth="1" style="3" min="15" max="15"/>
    <col width="11.796875" customWidth="1" style="4" min="16" max="16"/>
    <col width="36" customWidth="1" style="3" min="17" max="17"/>
    <col width="14.69921875" customWidth="1" style="4" min="18" max="18"/>
    <col width="22.69921875" customWidth="1" style="88" min="19" max="19"/>
  </cols>
  <sheetData>
    <row r="1" ht="31.2" customHeight="1" s="88">
      <c r="A1" s="16" t="inlineStr">
        <is>
          <t>L2 코드</t>
        </is>
      </c>
      <c r="B1" s="16" t="inlineStr">
        <is>
          <t>L3 코드</t>
        </is>
      </c>
      <c r="C1" s="16" t="inlineStr">
        <is>
          <t>L3 대공종명</t>
        </is>
      </c>
      <c r="D1" s="16" t="inlineStr">
        <is>
          <t>L4 코드</t>
        </is>
      </c>
      <c r="E1" s="16" t="inlineStr">
        <is>
          <t>선행</t>
        </is>
      </c>
      <c r="F1" s="16" t="inlineStr">
        <is>
          <t>후행</t>
        </is>
      </c>
      <c r="G1" s="16" t="inlineStr">
        <is>
          <t>작업단위 (Level 4 Task/Activity)</t>
        </is>
      </c>
      <c r="H1" s="16" t="inlineStr">
        <is>
          <t>일정 (D-Day)</t>
        </is>
      </c>
      <c r="I1" s="16" t="inlineStr">
        <is>
          <t>주관</t>
        </is>
      </c>
      <c r="J1" s="16" t="inlineStr">
        <is>
          <t>목적</t>
        </is>
      </c>
      <c r="K1" s="16" t="inlineStr">
        <is>
          <t>방법</t>
        </is>
      </c>
      <c r="L1" s="16" t="inlineStr">
        <is>
          <t>산출물(결과)</t>
        </is>
      </c>
      <c r="M1" s="16" t="inlineStr">
        <is>
          <t>표준서 (Standard) 요약</t>
        </is>
      </c>
      <c r="N1" s="54" t="inlineStr">
        <is>
          <t>표준서 파일 (HTML)</t>
        </is>
      </c>
      <c r="O1" s="16" t="inlineStr">
        <is>
          <t>수행지침 (Guideline) 요약</t>
        </is>
      </c>
      <c r="P1" s="54" t="inlineStr">
        <is>
          <t>수행지침 파일 (HTML)</t>
        </is>
      </c>
      <c r="Q1" s="16" t="inlineStr">
        <is>
          <t>체크리스트 (Checklist) 요약</t>
        </is>
      </c>
      <c r="R1" s="54" t="inlineStr">
        <is>
          <t>체크리스트 파일 (HTML)</t>
        </is>
      </c>
      <c r="S1" s="16" t="inlineStr">
        <is>
          <t>비고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  <c r="DL1" s="18" t="n"/>
      <c r="DM1" s="18" t="n"/>
      <c r="DN1" s="18" t="n"/>
      <c r="DO1" s="18" t="n"/>
      <c r="DP1" s="18" t="n"/>
      <c r="DQ1" s="18" t="n"/>
      <c r="DR1" s="18" t="n"/>
      <c r="DS1" s="18" t="n"/>
      <c r="DT1" s="18" t="n"/>
      <c r="DU1" s="18" t="n"/>
      <c r="DV1" s="18" t="n"/>
      <c r="DW1" s="18" t="n"/>
      <c r="DX1" s="18" t="n"/>
      <c r="DY1" s="18" t="n"/>
      <c r="DZ1" s="18" t="n"/>
      <c r="EA1" s="18" t="n"/>
      <c r="EB1" s="18" t="n"/>
      <c r="EC1" s="18" t="n"/>
      <c r="ED1" s="18" t="n"/>
      <c r="EE1" s="18" t="n"/>
      <c r="EF1" s="18" t="n"/>
      <c r="EG1" s="18" t="n"/>
      <c r="EH1" s="18" t="n"/>
      <c r="EI1" s="18" t="n"/>
      <c r="EJ1" s="18" t="n"/>
      <c r="EK1" s="18" t="n"/>
      <c r="EL1" s="18" t="n"/>
      <c r="EM1" s="18" t="n"/>
      <c r="EN1" s="18" t="n"/>
      <c r="EO1" s="18" t="n"/>
      <c r="EP1" s="18" t="n"/>
      <c r="EQ1" s="18" t="n"/>
      <c r="ER1" s="18" t="n"/>
      <c r="ES1" s="18" t="n"/>
      <c r="ET1" s="18" t="n"/>
      <c r="EU1" s="18" t="n"/>
    </row>
    <row r="2" ht="92.40000000000001" customHeight="1" s="88">
      <c r="A2" s="19" t="inlineStr">
        <is>
          <t>9000</t>
        </is>
      </c>
      <c r="B2" s="19" t="inlineStr">
        <is>
          <t>9000-10</t>
        </is>
      </c>
      <c r="C2" s="19" t="inlineStr">
        <is>
          <t>기계설비·소방설비</t>
        </is>
      </c>
      <c r="D2" s="19" t="inlineStr">
        <is>
          <t>9000-10-1</t>
        </is>
      </c>
      <c r="E2" s="95" t="inlineStr">
        <is>
          <t>-</t>
        </is>
      </c>
      <c r="F2" s="95" t="inlineStr">
        <is>
          <t>9000-10-2, 9000-10-3</t>
        </is>
      </c>
      <c r="G2" s="23" t="inlineStr">
        <is>
          <t>설계 적정성 검토</t>
        </is>
      </c>
      <c r="H2" s="21" t="inlineStr">
        <is>
          <t>D-117</t>
        </is>
      </c>
      <c r="I2" s="21" t="inlineStr">
        <is>
          <t>기계/소방팀</t>
        </is>
      </c>
      <c r="J2" s="24" t="inlineStr">
        <is>
          <t>기계·소방설비 설계도서(도면/시방/계산서)의 KDS 47 및 NFTC 기준 적합성과 시공성·경제성 사전 검증</t>
        </is>
      </c>
      <c r="K2" s="49" t="inlineStr">
        <is>
          <t>1) STEP 1 (설계도서 삼각 대조): KDS 47/NFTC 기준에 따라 공조/환기 부하계산서, 설계도면, 수량산출서 1:1 정합성 검증
2) STEP 2 (주요 장비 용량 검토): 변전소 PAC(3대), 고내열 제연팬(250℃/1h), 인버터 펌프 정격 양정/유량 시방 일치성 확인
3) STEP 3 (인터페이스 및 개선안 도출): 건축 슬리브, 전기 NFR-8 내화배선, 신호 배수공동구 연계성 검토 및 설계변경안 감리 승인</t>
        </is>
      </c>
      <c r="L2" s="24" t="inlineStr">
        <is>
          <t>설계 적정성 검토 시공계획서, 검측요청서 및 공인 시험성적서</t>
        </is>
      </c>
      <c r="M2" s="24" t="inlineStr">
        <is>
          <t>1) 설계 적정성 검토 (9000-8-1) 과업 달성을 위해 KDS 47 철도설계기준 및 NFTC 화재안전기준을 100% 충족한다.
2) KDS 47 철도설계기준 및 KCS 41 건축설계기준에 따른 기계·소방설비 설계도서 삼각 대조 및 부하계산서 정밀 검증을 엄격히 완수하여 책임감리원 최종 승인을 획득한다.</t>
        </is>
      </c>
      <c r="N2" s="59">
        <f>HYPERLINK(LEFT(CELL("filename",A1),FIND("[",CELL("filename",A1))-1)&amp;"10.기계분야\1_설계 적정성 검토\표준서\1_설계 적정성 검토_표준서.html", "👉 [클릭] 표준서 열기 📄")</f>
        <v/>
      </c>
      <c r="O2" s="24" t="inlineStr">
        <is>
          <t>1) STEP 1: 설계도서 및 계산서 총괄 수집: 기계/소방 설계도면, 특기시방서, 부하계산서, 장비일람표 수집
2) STEP 2: 삼각 교차 대조 및 물량 정합성 검증: 도면 ↔ 수량산출서 ↔ 내역서 불일치 전수 색출</t>
        </is>
      </c>
      <c r="P2" s="57">
        <f>HYPERLINK(LEFT(CELL("filename",A1),FIND("[",CELL("filename",A1))-1)&amp;"10.기계분야\1_설계 적정성 검토\수행지침\1_설계 적정성 검토_수행지침.html", "👉 [클릭] 수행지침 열기 📄")</f>
        <v/>
      </c>
      <c r="Q2" s="24" t="inlineStr">
        <is>
          <t>1) 공조부하 계산 시방 및 정거장 및 변전소 냉난방 부하계산서 대조 기준을 100% 충족하였는가?
2) 소방설비 법적기준 검측 및 불합격 요소를 전면 차단하였는가?</t>
        </is>
      </c>
      <c r="R2" s="55">
        <f>HYPERLINK(LEFT(CELL("filename",A1),FIND("[",CELL("filename",A1))-1)&amp;"10.기계분야\1_설계 적정성 검토\체크리스트\1_설계 적정성 검토_체크리스트.html", "👉 [클릭] 체크리스트 열기 📄")</f>
        <v/>
      </c>
      <c r="S2" s="21" t="inlineStr">
        <is>
          <t>기계·소방 복합 시방 준수</t>
        </is>
      </c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  <c r="DY2" s="18" t="n"/>
      <c r="DZ2" s="18" t="n"/>
      <c r="EA2" s="18" t="n"/>
      <c r="EB2" s="18" t="n"/>
      <c r="EC2" s="18" t="n"/>
      <c r="ED2" s="18" t="n"/>
      <c r="EE2" s="18" t="n"/>
      <c r="EF2" s="18" t="n"/>
      <c r="EG2" s="18" t="n"/>
      <c r="EH2" s="18" t="n"/>
      <c r="EI2" s="18" t="n"/>
      <c r="EJ2" s="18" t="n"/>
      <c r="EK2" s="18" t="n"/>
      <c r="EL2" s="18" t="n"/>
      <c r="EM2" s="18" t="n"/>
      <c r="EN2" s="18" t="n"/>
      <c r="EO2" s="18" t="n"/>
      <c r="EP2" s="18" t="n"/>
      <c r="EQ2" s="18" t="n"/>
      <c r="ER2" s="18" t="n"/>
      <c r="ES2" s="18" t="n"/>
      <c r="ET2" s="18" t="n"/>
      <c r="EU2" s="18" t="n"/>
      <c r="EV2" s="18" t="n"/>
      <c r="EW2" s="18" t="n"/>
      <c r="EX2" s="18" t="n"/>
      <c r="EY2" s="18" t="n"/>
    </row>
    <row r="3" ht="79.2" customHeight="1" s="88">
      <c r="A3" s="29" t="inlineStr">
        <is>
          <t>9000</t>
        </is>
      </c>
      <c r="B3" s="29" t="inlineStr">
        <is>
          <t>9000-10</t>
        </is>
      </c>
      <c r="C3" s="29" t="inlineStr">
        <is>
          <t>기계설비·소방설비</t>
        </is>
      </c>
      <c r="D3" s="29" t="inlineStr">
        <is>
          <t>9000-10-2</t>
        </is>
      </c>
      <c r="E3" s="102" t="inlineStr">
        <is>
          <t>9000-10-1</t>
        </is>
      </c>
      <c r="F3" s="102" t="inlineStr">
        <is>
          <t>9000-10-4, 9000-10-5</t>
        </is>
      </c>
      <c r="G3" s="32" t="inlineStr">
        <is>
          <t>발주전략 KOM</t>
        </is>
      </c>
      <c r="H3" s="33" t="inlineStr">
        <is>
          <t>D-114</t>
        </is>
      </c>
      <c r="I3" s="33" t="inlineStr">
        <is>
          <t>기계/소방팀</t>
        </is>
      </c>
      <c r="J3" s="34" t="inlineStr">
        <is>
          <t>기계·소방 공종 3자(발주처-감리-시공) 킥오프를 통한 주요 자재 조달 라인 및 4대 공정 마일스톤 확정</t>
        </is>
      </c>
      <c r="K3" s="50" t="inlineStr">
        <is>
          <t>1) STEP 1 (3자 협의체 구성): 발주처, 책임감리단, 기계/소방 협력사 간 공정·품질·안전 관리체계 및 업무 R&amp;R 확정
2) STEP 2 (주요 자재 수급선 검토): STS 강관, 덕트, 펌프, 승강기 등 장납기 자재의 공장 승인 및 납품 스케줄 동기화
3) STEP 3 (핵심 마일스톤 수립): 3D BIM 간섭해소, FAT 공장검수, 수압시험, 소방 완공검사 등 공정 임계경로(CP) 관리</t>
        </is>
      </c>
      <c r="L3" s="34" t="inlineStr">
        <is>
          <t>발주전략 KOM 시공계획서, 검측요청서 및 공인 시험성적서</t>
        </is>
      </c>
      <c r="M3" s="34" t="inlineStr">
        <is>
          <t>1) 발주전략 KOM (9000-8-2) 과업 달성을 위해 KDS 47 철도설계기준 및 NFTC 화재안전기준을 100% 충족한다.
2) 감리단-시공사-기계/소방 전문협력사 3자 착수회의(KOM) 및 공종별 핵심 마일스톤 확정을 엄격히 완수하여 책임감리원 최종 승인을 획득한다.</t>
        </is>
      </c>
      <c r="N3" s="60">
        <f>HYPERLINK(LEFT(CELL("filename",A1),FIND("[",CELL("filename",A1))-1)&amp;"10.기계분야\2_발주전략 KOM\표준서\2_발주전략 KOM_표준서.html", "👉 [클릭] 표준서 열기 📄")</f>
        <v/>
      </c>
      <c r="O3" s="34" t="inlineStr">
        <is>
          <t>1) STEP 1: KOM 킥오프 회의 소집 및 R&amp;R 확정: 착수 협의체 가동 및 공종별 책임 범위 규정
2) STEP 2: 주요 장비 제작 및 조달 계획 수립: 공조기, 소방펌프, 인승용/화물용 승강기 납기 확정</t>
        </is>
      </c>
      <c r="P3" s="58">
        <f>HYPERLINK(LEFT(CELL("filename",A1),FIND("[",CELL("filename",A1))-1)&amp;"10.기계분야\2_발주전략 KOM\수행지침\2_발주전략 KOM_수행지침.html", "👉 [클릭] 수행지침 열기 📄")</f>
        <v/>
      </c>
      <c r="Q3" s="34" t="inlineStr">
        <is>
          <t>1) 협력체계 구축 시방 및 감리-시공-협력사 정기 협의체 구성 기준을 100% 충족하였는가?
2) 장비 발주계획 검측 및 불합격 요소를 전면 차단하였는가?</t>
        </is>
      </c>
      <c r="R3" s="56">
        <f>HYPERLINK(LEFT(CELL("filename",A1),FIND("[",CELL("filename",A1))-1)&amp;"10.기계분야\2_발주전략 KOM\체크리스트\2_발주전략 KOM_체크리스트.html", "👉 [클릭] 체크리스트 열기 📄")</f>
        <v/>
      </c>
      <c r="S3" s="33" t="inlineStr">
        <is>
          <t>기계·소방 복합 시방 준수</t>
        </is>
      </c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8" t="n"/>
      <c r="ER3" s="18" t="n"/>
      <c r="ES3" s="18" t="n"/>
      <c r="ET3" s="18" t="n"/>
      <c r="EU3" s="18" t="n"/>
      <c r="EV3" s="18" t="n"/>
      <c r="EW3" s="18" t="n"/>
      <c r="EX3" s="18" t="n"/>
      <c r="EY3" s="18" t="n"/>
      <c r="EZ3" s="18" t="n"/>
      <c r="FA3" s="18" t="n"/>
      <c r="FB3" s="18" t="n"/>
      <c r="FC3" s="18" t="n"/>
    </row>
    <row r="4" ht="79.2" customHeight="1" s="88">
      <c r="A4" s="19" t="inlineStr">
        <is>
          <t>9000</t>
        </is>
      </c>
      <c r="B4" s="19" t="inlineStr">
        <is>
          <t>9000-10</t>
        </is>
      </c>
      <c r="C4" s="19" t="inlineStr">
        <is>
          <t>기계설비·소방설비</t>
        </is>
      </c>
      <c r="D4" s="19" t="inlineStr">
        <is>
          <t>9000-10-3</t>
        </is>
      </c>
      <c r="E4" s="95" t="inlineStr">
        <is>
          <t>9000-10-1</t>
        </is>
      </c>
      <c r="F4" s="95" t="inlineStr">
        <is>
          <t>9000-10-4, 9000-10-6</t>
        </is>
      </c>
      <c r="G4" s="23" t="inlineStr">
        <is>
          <t>3D BIM 기계_소방 간섭 검토</t>
        </is>
      </c>
      <c r="H4" s="21" t="inlineStr">
        <is>
          <t>D-111</t>
        </is>
      </c>
      <c r="I4" s="21" t="inlineStr">
        <is>
          <t>기계/소방팀</t>
        </is>
      </c>
      <c r="J4" s="24" t="inlineStr">
        <is>
          <t>LOD 350 기반 3D BIM을 활용하여 기계덕트·소화배관·전기트레이 간 Hard Clash 0건 달성 및 CSD 승인</t>
        </is>
      </c>
      <c r="K4" s="49" t="inlineStr">
        <is>
          <t>1) STEP 1 (LOD 350 3D 모델링): 기계 공조덕트, 소화배관, 위생배관 및 전기 트레이의 3D 통합 모델 구축
2) STEP 2 (복합 간섭체크 실행): Navisworks 간섭 체크 엔진을 가동하여 배관 교차 및 건축 골조 간섭(Clash) 전수 색출
3) STEP 3 (시공상세도 CSD 확정): 정거장 유효 천장고(CH ≥ 2.7m) 확보를 위한 배관 입체 재배치 및 감리단 CSD 최종 승인</t>
        </is>
      </c>
      <c r="L4" s="24" t="inlineStr">
        <is>
          <t>3D BIM 기계_소방 간섭 검토 시공계획서, 검측요청서 및 공인 시험성적서</t>
        </is>
      </c>
      <c r="M4" s="24" t="inlineStr">
        <is>
          <t>1) 3D BIM 기계_소방 간섭 검토 (9000-8-3) 과업 달성을 위해 KDS 47 철도설계기준 및 NFTC 화재안전기준을 100% 충족한다.
2) LOD 350 기반 기계덕트/배관↔전기트레이/건축골조/신호공동구 3D 공간 간섭 100% 제거을 엄격히 완수하여 책임감리원 최종 승인을 획득한다.</t>
        </is>
      </c>
      <c r="N4" s="59">
        <f>HYPERLINK(LEFT(CELL("filename",A1),FIND("[",CELL("filename",A1))-1)&amp;"10.기계분야\3_3D BIM 기계_소방 간섭 검토\표준서\3_3D BIM 기계_소방 간섭 검토_표준서.html", "👉 [클릭] 표준서 열기 📄")</f>
        <v/>
      </c>
      <c r="O4" s="24" t="inlineStr">
        <is>
          <t>1) STEP 1: 3D BIM 기계/소방 상세 모델링 (LOD 350): 배관 구배, 덕트 엘보, 장비 외형 정밀 모델링
2) STEP 2: 다공종 통합 모델 합성 및 간섭 체크: 건축/구조/전기/통신/신호 3D 모델 통합 검사</t>
        </is>
      </c>
      <c r="P4" s="57">
        <f>HYPERLINK(LEFT(CELL("filename",A1),FIND("[",CELL("filename",A1))-1)&amp;"10.기계분야\3_3D BIM 기계_소방 간섭 검토\수행지침\3_3D BIM 기계_소방 간섭 검토_수행지침.html", "👉 [클릭] 수행지침 열기 📄")</f>
        <v/>
      </c>
      <c r="Q4" s="24" t="inlineStr">
        <is>
          <t>1) 간섭 클러스터 분석 시방 및 Autodesk Navisworks 기반 Clash Detection 기준을 100% 충족하였는가?
2) 천장 공간 배분 검측 및 불합격 요소를 전면 차단하였는가?</t>
        </is>
      </c>
      <c r="R4" s="55">
        <f>HYPERLINK(LEFT(CELL("filename",A1),FIND("[",CELL("filename",A1))-1)&amp;"10.기계분야\3_3D BIM 기계_소방 간섭 검토\체크리스트\3_3D BIM 기계_소방 간섭 검토_체크리스트.html", "👉 [클릭] 체크리스트 열기 📄")</f>
        <v/>
      </c>
      <c r="S4" s="21" t="inlineStr">
        <is>
          <t>기계·소방 복합 시방 준수</t>
        </is>
      </c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  <c r="DY4" s="18" t="n"/>
      <c r="DZ4" s="18" t="n"/>
      <c r="EA4" s="18" t="n"/>
      <c r="EB4" s="18" t="n"/>
      <c r="EC4" s="18" t="n"/>
      <c r="ED4" s="18" t="n"/>
      <c r="EE4" s="18" t="n"/>
      <c r="EF4" s="18" t="n"/>
      <c r="EG4" s="18" t="n"/>
      <c r="EH4" s="18" t="n"/>
      <c r="EI4" s="18" t="n"/>
      <c r="EJ4" s="18" t="n"/>
      <c r="EK4" s="18" t="n"/>
      <c r="EL4" s="18" t="n"/>
      <c r="EM4" s="18" t="n"/>
      <c r="EN4" s="18" t="n"/>
      <c r="EO4" s="18" t="n"/>
      <c r="EP4" s="18" t="n"/>
      <c r="EQ4" s="18" t="n"/>
      <c r="ER4" s="18" t="n"/>
      <c r="ES4" s="18" t="n"/>
      <c r="ET4" s="18" t="n"/>
      <c r="EU4" s="18" t="n"/>
      <c r="EV4" s="18" t="n"/>
      <c r="EW4" s="18" t="n"/>
      <c r="EX4" s="18" t="n"/>
      <c r="EY4" s="18" t="n"/>
      <c r="EZ4" s="18" t="n"/>
      <c r="FA4" s="18" t="n"/>
      <c r="FB4" s="18" t="n"/>
      <c r="FC4" s="18" t="n"/>
      <c r="FD4" s="18" t="n"/>
      <c r="FE4" s="18" t="n"/>
      <c r="FF4" s="18" t="n"/>
      <c r="FG4" s="18" t="n"/>
    </row>
    <row r="5" ht="79.2" customHeight="1" s="88">
      <c r="A5" s="29" t="inlineStr">
        <is>
          <t>9000</t>
        </is>
      </c>
      <c r="B5" s="29" t="inlineStr">
        <is>
          <t>9000-10</t>
        </is>
      </c>
      <c r="C5" s="29" t="inlineStr">
        <is>
          <t>기계설비·소방설비</t>
        </is>
      </c>
      <c r="D5" s="29" t="inlineStr">
        <is>
          <t>9000-10-4</t>
        </is>
      </c>
      <c r="E5" s="102" t="inlineStr">
        <is>
          <t>9000-10-2, 9000-10-3</t>
        </is>
      </c>
      <c r="F5" s="102" t="inlineStr">
        <is>
          <t>9000-10-5, 9000-10-7</t>
        </is>
      </c>
      <c r="G5" s="32" t="inlineStr">
        <is>
          <t>소방 및 환경 인허가</t>
        </is>
      </c>
      <c r="H5" s="33" t="inlineStr">
        <is>
          <t>D-108</t>
        </is>
      </c>
      <c r="I5" s="33" t="inlineStr">
        <is>
          <t>기계/소방팀</t>
        </is>
      </c>
      <c r="J5" s="34" t="inlineStr">
        <is>
          <t>소방시설공사업법 제13조에 따른 착공신고 및 위험물·오폐수 환경 인허가 적기 득</t>
        </is>
      </c>
      <c r="K5" s="50" t="inlineStr">
        <is>
          <t>1) STEP 1 (소방 착공신고): 소방기술자/감리원 배치신고서 및 소방 설계도서를 관할 화성소방서에 제출하여 착공필증 수령
2) STEP 2 (위험물 저장 승인): 비상발전기 유류탱크(경유) 저장소 설치허가 및 방유제(용량 110%) 안전기준 검증
3) STEP 3 (환경 인허가 완료): 차량기지 오폐수배출시설 설치신고 및 수질 TMS 연동 계획 관할 지자체 승인</t>
        </is>
      </c>
      <c r="L5" s="34" t="inlineStr">
        <is>
          <t>소방 및 환경 인허가 시공계획서, 검측요청서 및 공인 시험성적서</t>
        </is>
      </c>
      <c r="M5" s="34" t="inlineStr">
        <is>
          <t>1) 소방 및 환경 인허가 (9000-8-4) 과업 달성을 위해 KDS 47 철도설계기준 및 NFTC 화재안전기준을 100% 충족한다.
2) 관할 소방서 소방시설 착공신고/동의, 위험물 저장소 인허가 및 오수정화시설 신고을 엄격히 완수하여 책임감리원 최종 승인을 획득한다.</t>
        </is>
      </c>
      <c r="N5" s="60">
        <f>HYPERLINK(LEFT(CELL("filename",A1),FIND("[",CELL("filename",A1))-1)&amp;"10.기계분야\4_소방 및 환경 인허가\표준서\4_소방 및 환경 인허가_표준서.html", "👉 [클릭] 표준서 열기 📄")</f>
        <v/>
      </c>
      <c r="O5" s="34" t="inlineStr">
        <is>
          <t>1) STEP 1: 소방시설 착공신고서 작성 및 도서 구비: 설계도면, 소방시설 내역서, 시공사 면허 첨부
2) STEP 2: 소방시설 건축동의 및 기술 검토 보완: 소방서 보완 요구사항 신속 조치 및 승인</t>
        </is>
      </c>
      <c r="P5" s="58">
        <f>HYPERLINK(LEFT(CELL("filename",A1),FIND("[",CELL("filename",A1))-1)&amp;"10.기계분야\4_소방 및 환경 인허가\수행지침\4_소방 및 환경 인허가_수행지침.html", "👉 [클릭] 수행지침 열기 📄")</f>
        <v/>
      </c>
      <c r="Q5" s="34" t="inlineStr">
        <is>
          <t>1) 소방시설 착공신고 시방 및 소방시설공사업법 제13조에 따른 착공계 제출 기준을 100% 충족하였는가?
2) 소방공사 감리원 검측 및 불합격 요소를 전면 차단하였는가?</t>
        </is>
      </c>
      <c r="R5" s="56">
        <f>HYPERLINK(LEFT(CELL("filename",A1),FIND("[",CELL("filename",A1))-1)&amp;"10.기계분야\4_소방 및 환경 인허가\체크리스트\4_소방 및 환경 인허가_체크리스트.html", "👉 [클릭] 체크리스트 열기 📄")</f>
        <v/>
      </c>
      <c r="S5" s="33" t="inlineStr">
        <is>
          <t>기계·소방 복합 시방 준수</t>
        </is>
      </c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  <c r="EB5" s="18" t="n"/>
      <c r="EC5" s="18" t="n"/>
      <c r="ED5" s="18" t="n"/>
      <c r="EE5" s="18" t="n"/>
      <c r="EF5" s="18" t="n"/>
      <c r="EG5" s="18" t="n"/>
      <c r="EH5" s="18" t="n"/>
      <c r="EI5" s="18" t="n"/>
      <c r="EJ5" s="18" t="n"/>
      <c r="EK5" s="18" t="n"/>
      <c r="EL5" s="18" t="n"/>
      <c r="EM5" s="18" t="n"/>
      <c r="EN5" s="18" t="n"/>
      <c r="EO5" s="18" t="n"/>
      <c r="EP5" s="18" t="n"/>
      <c r="EQ5" s="18" t="n"/>
      <c r="ER5" s="18" t="n"/>
      <c r="ES5" s="18" t="n"/>
      <c r="ET5" s="18" t="n"/>
      <c r="EU5" s="18" t="n"/>
      <c r="EV5" s="18" t="n"/>
      <c r="EW5" s="18" t="n"/>
      <c r="EX5" s="18" t="n"/>
      <c r="EY5" s="18" t="n"/>
      <c r="EZ5" s="18" t="n"/>
      <c r="FA5" s="18" t="n"/>
      <c r="FB5" s="18" t="n"/>
      <c r="FC5" s="18" t="n"/>
      <c r="FD5" s="18" t="n"/>
      <c r="FE5" s="18" t="n"/>
      <c r="FF5" s="18" t="n"/>
      <c r="FG5" s="18" t="n"/>
      <c r="FH5" s="18" t="n"/>
      <c r="FI5" s="18" t="n"/>
      <c r="FJ5" s="18" t="n"/>
      <c r="FK5" s="18" t="n"/>
    </row>
    <row r="6" ht="79.2" customHeight="1" s="88">
      <c r="A6" s="19" t="inlineStr">
        <is>
          <t>9000</t>
        </is>
      </c>
      <c r="B6" s="19" t="inlineStr">
        <is>
          <t>9000-10</t>
        </is>
      </c>
      <c r="C6" s="19" t="inlineStr">
        <is>
          <t>기계설비·소방설비</t>
        </is>
      </c>
      <c r="D6" s="19" t="inlineStr">
        <is>
          <t>9000-10-5</t>
        </is>
      </c>
      <c r="E6" s="95" t="inlineStr">
        <is>
          <t>9000-10-2, 9000-10-4</t>
        </is>
      </c>
      <c r="F6" s="95" t="inlineStr">
        <is>
          <t>9000-10-8, 9000-10-9</t>
        </is>
      </c>
      <c r="G6" s="23" t="inlineStr">
        <is>
          <t>장비 반입동선 및 야적장 계획</t>
        </is>
      </c>
      <c r="H6" s="21" t="inlineStr">
        <is>
          <t>D-105</t>
        </is>
      </c>
      <c r="I6" s="21" t="inlineStr">
        <is>
          <t>기계/소방팀</t>
        </is>
      </c>
      <c r="J6" s="24" t="inlineStr">
        <is>
          <t>지하 기계실 대형 장비(AHU, 펌프 등)의 DA 개구부 양중 및 안전 반입 동선 확보</t>
        </is>
      </c>
      <c r="K6" s="49" t="inlineStr">
        <is>
          <t>1) STEP 1 (양중 크레인 계획): 50ton 하이드로 크레인 작업반경 설정, 복공판 하부 지지력(K30 ≥ 150) 및 아웃트리거 보강
2) STEP 2 (개구부 통과 검토): 장비 분할 치수와 DA 개구부(W2.5m x L4.0m) 유효 통과폭 대조 및 호이스트/체인블록 가설
3) STEP 3 (수평 인입 및 안착): 운반 롤러 및 레일 시스템을 이용하여 기계실 기초 패드 위로 유도 후 레벨링 및 앵커링</t>
        </is>
      </c>
      <c r="L6" s="24" t="inlineStr">
        <is>
          <t>장비 반입동선 및 야적장 계획 시공계획서, 검측요청서 및 공인 시험성적서</t>
        </is>
      </c>
      <c r="M6" s="24" t="inlineStr">
        <is>
          <t>1) 장비 반입동선 및 야적장 계획 (9000-8-5) 과업 달성을 위해 KDS 47 철도설계기준 및 NFTC 화재안전기준을 100% 충족한다.
2) 대형 공조기(AHU), 냉동기, 소방펌프 반입구 크기 및 크레인 인양 작업반경 사전 검토을 엄격히 완수하여 책임감리원 최종 승인을 획득한다.</t>
        </is>
      </c>
      <c r="N6" s="59">
        <f>HYPERLINK(LEFT(CELL("filename",A1),FIND("[",CELL("filename",A1))-1)&amp;"10.기계분야\5_장비 반입동선 및 야적장 계획\표준서\5_장비 반입동선 및 야적장 계획_표준서.html", "👉 [클릭] 표준서 열기 📄")</f>
        <v/>
      </c>
      <c r="O6" s="24" t="inlineStr">
        <is>
          <t>1) STEP 1: 중량 장비 제원 및 반입 경로 실측: 장비 외형 치수, 중량, 반입구 크기 대조
2) STEP 2: 양중 크레인 작업 계획 및 안전성 검토: 크레인 전도 방지 및 슬래브 지지력 계산</t>
        </is>
      </c>
      <c r="P6" s="57">
        <f>HYPERLINK(LEFT(CELL("filename",A1),FIND("[",CELL("filename",A1))-1)&amp;"10.기계분야\5_장비 반입동선 및 야적장 계획\수행지침\5_장비 반입동선 및 야적장 계획_수행지침.html", "👉 [클릭] 수행지침 열기 📄")</f>
        <v/>
      </c>
      <c r="Q6" s="24" t="inlineStr">
        <is>
          <t>1) 장비 반입구 시방 및 지하 기계실 장비 반입구(DA) 크기 및 해치 확인 기준을 100% 충족하였는가?
2) 양중 크레인 계획 검측 및 불합격 요소를 전면 차단하였는가?</t>
        </is>
      </c>
      <c r="R6" s="55">
        <f>HYPERLINK(LEFT(CELL("filename",A1),FIND("[",CELL("filename",A1))-1)&amp;"10.기계분야\5_장비 반입동선 및 야적장 계획\체크리스트\5_장비 반입동선 및 야적장 계획_체크리스트.html", "👉 [클릭] 체크리스트 열기 📄")</f>
        <v/>
      </c>
      <c r="S6" s="21" t="inlineStr">
        <is>
          <t>기계·소방 복합 시방 준수</t>
        </is>
      </c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  <c r="DY6" s="18" t="n"/>
      <c r="DZ6" s="18" t="n"/>
      <c r="EA6" s="18" t="n"/>
      <c r="EB6" s="18" t="n"/>
      <c r="EC6" s="18" t="n"/>
      <c r="ED6" s="18" t="n"/>
      <c r="EE6" s="18" t="n"/>
      <c r="EF6" s="18" t="n"/>
      <c r="EG6" s="18" t="n"/>
      <c r="EH6" s="18" t="n"/>
      <c r="EI6" s="18" t="n"/>
      <c r="EJ6" s="18" t="n"/>
      <c r="EK6" s="18" t="n"/>
      <c r="EL6" s="18" t="n"/>
      <c r="EM6" s="18" t="n"/>
      <c r="EN6" s="18" t="n"/>
      <c r="EO6" s="18" t="n"/>
      <c r="EP6" s="18" t="n"/>
      <c r="EQ6" s="18" t="n"/>
      <c r="ER6" s="18" t="n"/>
      <c r="ES6" s="18" t="n"/>
      <c r="ET6" s="18" t="n"/>
      <c r="EU6" s="18" t="n"/>
      <c r="EV6" s="18" t="n"/>
      <c r="EW6" s="18" t="n"/>
      <c r="EX6" s="18" t="n"/>
      <c r="EY6" s="18" t="n"/>
      <c r="EZ6" s="18" t="n"/>
      <c r="FA6" s="18" t="n"/>
      <c r="FB6" s="18" t="n"/>
      <c r="FC6" s="18" t="n"/>
      <c r="FD6" s="18" t="n"/>
      <c r="FE6" s="18" t="n"/>
      <c r="FF6" s="18" t="n"/>
      <c r="FG6" s="18" t="n"/>
      <c r="FH6" s="18" t="n"/>
      <c r="FI6" s="18" t="n"/>
      <c r="FJ6" s="18" t="n"/>
      <c r="FK6" s="18" t="n"/>
      <c r="FL6" s="18" t="n"/>
      <c r="FM6" s="18" t="n"/>
      <c r="FN6" s="18" t="n"/>
      <c r="FO6" s="18" t="n"/>
    </row>
    <row r="7" ht="79.2" customHeight="1" s="88">
      <c r="A7" s="29" t="inlineStr">
        <is>
          <t>9000</t>
        </is>
      </c>
      <c r="B7" s="29" t="inlineStr">
        <is>
          <t>9000-10</t>
        </is>
      </c>
      <c r="C7" s="29" t="inlineStr">
        <is>
          <t>기계설비·소방설비</t>
        </is>
      </c>
      <c r="D7" s="29" t="inlineStr">
        <is>
          <t>9000-10-6</t>
        </is>
      </c>
      <c r="E7" s="102" t="inlineStr">
        <is>
          <t>9000-10-3</t>
        </is>
      </c>
      <c r="F7" s="102" t="inlineStr">
        <is>
          <t>9000-10-7, 9000-10-10</t>
        </is>
      </c>
      <c r="G7" s="32" t="inlineStr">
        <is>
          <t>Big Room 인터페이스 회의</t>
        </is>
      </c>
      <c r="H7" s="33" t="inlineStr">
        <is>
          <t>D-102</t>
        </is>
      </c>
      <c r="I7" s="33" t="inlineStr">
        <is>
          <t>기계/소방팀</t>
        </is>
      </c>
      <c r="J7" s="34" t="inlineStr">
        <is>
          <t>건축, 전기, 통신, 신호, 궤도 등 타 공종과의 시공 간섭 배제 및 시공 우선순위 룰 확립</t>
        </is>
      </c>
      <c r="K7" s="50" t="inlineStr">
        <is>
          <t>1) STEP 1 (Big Room 정례협의): 7대 공종 합동 주간 인터페이스 회의를 운영하여 주배관과 타 공종 지장물 간섭 해소
2) STEP 2 (시공 우선순위 확정): 슬리브 선매립(건축) ⟶ 대형 풍도/주배관(기계) ⟶ 케이블트레이(전기) 순차 시공 룰 적용
3) STEP 3 (인터페이스 체크시트 발행): 상호 인계인수 전 슬리브 위치, 방화구획, 배수구 트렌치 시공 상태 합동 서명 검측</t>
        </is>
      </c>
      <c r="L7" s="34" t="inlineStr">
        <is>
          <t>Big Room 인터페이스 회의 시공계획서, 검측요청서 및 공인 시험성적서</t>
        </is>
      </c>
      <c r="M7" s="34" t="inlineStr">
        <is>
          <t>1) Big Room 인터페이스 회의 (9000-8-6) 과업 달성을 위해 KDS 47 철도설계기준 및 NFTC 화재안전기준을 100% 충족한다.
2) 토목·궤도·건축·전기·신호·통신·기계 7대 공종 합동 간섭 조정 및 시공 우선순위 확정을 엄격히 완수하여 책임감리원 최종 승인을 획득한다.</t>
        </is>
      </c>
      <c r="N7" s="60">
        <f>HYPERLINK(LEFT(CELL("filename",A1),FIND("[",CELL("filename",A1))-1)&amp;"10.기계분야\6_Big Room 인터페이스 회의\표준서\6_Big Room 인터페이스 회의_표준서.html", "👉 [클릭] 표준서 열기 📄")</f>
        <v/>
      </c>
      <c r="O7" s="34" t="inlineStr">
        <is>
          <t>1) STEP 1: Big Room 합동 회의 안건 도출 및 3D 모델 준비: 공종간 충돌 부위 및 시공 간섭 이슈 리스트업
2) STEP 2: 7대 공종 합동 기술 조율 및 대안 확정: 현장 시공성 기반 최적 경로 협의 및 의사결정</t>
        </is>
      </c>
      <c r="P7" s="58">
        <f>HYPERLINK(LEFT(CELL("filename",A1),FIND("[",CELL("filename",A1))-1)&amp;"10.기계분야\6_Big Room 인터페이스 회의\수행지침\6_Big Room 인터페이스 회의_수행지침.html", "👉 [클릭] 수행지침 열기 📄")</f>
        <v/>
      </c>
      <c r="Q7" s="34" t="inlineStr">
        <is>
          <t>1) 7대 공종 합동 검토 시방 및 기계/소방↔토목/궤도/건축/전기/신호/통신 연계 기준을 100% 충족하였는가?
2) 관통 슬리브 확정 검측 및 불합격 요소를 전면 차단하였는가?</t>
        </is>
      </c>
      <c r="R7" s="56">
        <f>HYPERLINK(LEFT(CELL("filename",A1),FIND("[",CELL("filename",A1))-1)&amp;"10.기계분야\6_Big Room 인터페이스 회의\체크리스트\6_Big Room 인터페이스 회의_체크리스트.html", "👉 [클릭] 체크리스트 열기 📄")</f>
        <v/>
      </c>
      <c r="S7" s="33" t="inlineStr">
        <is>
          <t>기계·소방 복합 시방 준수</t>
        </is>
      </c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8" t="n"/>
      <c r="EB7" s="18" t="n"/>
      <c r="EC7" s="18" t="n"/>
      <c r="ED7" s="18" t="n"/>
      <c r="EE7" s="18" t="n"/>
      <c r="EF7" s="18" t="n"/>
      <c r="EG7" s="18" t="n"/>
      <c r="EH7" s="18" t="n"/>
      <c r="EI7" s="18" t="n"/>
      <c r="EJ7" s="18" t="n"/>
      <c r="EK7" s="18" t="n"/>
      <c r="EL7" s="18" t="n"/>
      <c r="EM7" s="18" t="n"/>
      <c r="EN7" s="18" t="n"/>
      <c r="EO7" s="18" t="n"/>
      <c r="EP7" s="18" t="n"/>
      <c r="EQ7" s="18" t="n"/>
      <c r="ER7" s="18" t="n"/>
      <c r="ES7" s="18" t="n"/>
      <c r="ET7" s="18" t="n"/>
      <c r="EU7" s="18" t="n"/>
      <c r="EV7" s="18" t="n"/>
      <c r="EW7" s="18" t="n"/>
      <c r="EX7" s="18" t="n"/>
      <c r="EY7" s="18" t="n"/>
      <c r="EZ7" s="18" t="n"/>
      <c r="FA7" s="18" t="n"/>
      <c r="FB7" s="18" t="n"/>
      <c r="FC7" s="18" t="n"/>
      <c r="FD7" s="18" t="n"/>
      <c r="FE7" s="18" t="n"/>
      <c r="FF7" s="18" t="n"/>
      <c r="FG7" s="18" t="n"/>
      <c r="FH7" s="18" t="n"/>
      <c r="FI7" s="18" t="n"/>
      <c r="FJ7" s="18" t="n"/>
      <c r="FK7" s="18" t="n"/>
      <c r="FL7" s="18" t="n"/>
      <c r="FM7" s="18" t="n"/>
      <c r="FN7" s="18" t="n"/>
      <c r="FO7" s="18" t="n"/>
      <c r="FP7" s="18" t="n"/>
      <c r="FQ7" s="18" t="n"/>
      <c r="FR7" s="18" t="n"/>
      <c r="FS7" s="18" t="n"/>
    </row>
    <row r="8" ht="79.2" customHeight="1" s="88">
      <c r="A8" s="19" t="inlineStr">
        <is>
          <t>9000</t>
        </is>
      </c>
      <c r="B8" s="19" t="inlineStr">
        <is>
          <t>9000-10</t>
        </is>
      </c>
      <c r="C8" s="19" t="inlineStr">
        <is>
          <t>기계설비·소방설비</t>
        </is>
      </c>
      <c r="D8" s="19" t="inlineStr">
        <is>
          <t>9000-10-7</t>
        </is>
      </c>
      <c r="E8" s="95" t="inlineStr">
        <is>
          <t>9000-10-4, 9000-10-6</t>
        </is>
      </c>
      <c r="F8" s="95" t="inlineStr">
        <is>
          <t>9000-10-8, 9000-10-11</t>
        </is>
      </c>
      <c r="G8" s="23" t="inlineStr">
        <is>
          <t>지하매설 기계배관 협의</t>
        </is>
      </c>
      <c r="H8" s="21" t="inlineStr">
        <is>
          <t>D-99</t>
        </is>
      </c>
      <c r="I8" s="21" t="inlineStr">
        <is>
          <t>기계/소방팀</t>
        </is>
      </c>
      <c r="J8" s="24" t="inlineStr">
        <is>
          <t>트램 본선 도로 하부 지중매설 배관(상수도, 지열, 우오수)과 지하 지장물 간 안전 이격거리 확보</t>
        </is>
      </c>
      <c r="K8" s="24" t="inlineStr">
        <is>
          <t>1) STEP 1 (3D 지하매설물 탐사): GPR 탐사 및 줄파기를 통해 기존 가스관, 한전관로, 통신관로 심도와 좌표 정밀 확인
2) STEP 2 (안전 이격거리 유지): 타 지장물과 최소 300mm 이상 이격 배치하고 고저차 간섭 시 강관 보호공(Casing) 적용
3) STEP 3 (모래부설 및 다짐): 배관 주위 양질의 모래(두께 100mm) 부설 후 되메우기 층별 다짐(다짐도 ≥ 95%) 및 경고테이프 매설</t>
        </is>
      </c>
      <c r="L8" s="24" t="inlineStr">
        <is>
          <t>지하매설 기계배관 협의 시공계획서, 검측요청서 및 공인 시험성적서</t>
        </is>
      </c>
      <c r="M8" s="24" t="inlineStr">
        <is>
          <t>1) 지하매설 기계배관 협의 (9000-8-7) 과업 달성을 위해 KDS 47 철도설계기준 및 NFTC 화재안전기준을 100% 충족한다.
2) 도로 하부 상수도 인입관, 지열 PE배관, 오우수 관로 지장물 이설 및 도로점용 협의을 엄격히 완수하여 책임감리원 최종 승인을 획득한다.</t>
        </is>
      </c>
      <c r="N8" s="59">
        <f>HYPERLINK(LEFT(CELL("filename",A1),FIND("[",CELL("filename",A1))-1)&amp;"10.기계분야\7_지하매설 기계배관 협의\표준서\7_지하매설 기계배관 협의_표준서.html", "👉 [클릭] 표준서 열기 📄")</f>
        <v/>
      </c>
      <c r="O8" s="24" t="inlineStr">
        <is>
          <t>1) STEP 1: 지하 지장물 매설도 수집 및 3D GPR 탐사: 도로 하부 8대 지하매설물 도면 대조
2) STEP 2: 유관기관 협의 및 도로굴착점용 허가 획득: 지자체 및 관리기관 합동 현장 실사</t>
        </is>
      </c>
      <c r="P8" s="57">
        <f>HYPERLINK(LEFT(CELL("filename",A1),FIND("[",CELL("filename",A1))-1)&amp;"10.기계분야\7_지하매설 기계배관 협의\수행지침\7_지하매설 기계배관 협의_수행지침.html", "👉 [클릭] 수행지침 열기 📄")</f>
        <v/>
      </c>
      <c r="Q8" s="24" t="inlineStr">
        <is>
          <t>1) 지하관로 탐사 시방 및 3D GPR 지하 레이더 탐사 및 인력 줄파기 기준을 100% 충족하였는가?
2) 상수도 인입 협의 검측 및 불합격 요소를 전면 차단하였는가?</t>
        </is>
      </c>
      <c r="R8" s="55">
        <f>HYPERLINK(LEFT(CELL("filename",A1),FIND("[",CELL("filename",A1))-1)&amp;"10.기계분야\7_지하매설 기계배관 협의\체크리스트\7_지하매설 기계배관 협의_체크리스트.html", "👉 [클릭] 체크리스트 열기 📄")</f>
        <v/>
      </c>
      <c r="S8" s="21" t="inlineStr">
        <is>
          <t>기계·소방 복합 시방 준수</t>
        </is>
      </c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8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  <c r="EN8" s="18" t="n"/>
      <c r="EO8" s="18" t="n"/>
      <c r="EP8" s="18" t="n"/>
      <c r="EQ8" s="18" t="n"/>
      <c r="ER8" s="18" t="n"/>
      <c r="ES8" s="18" t="n"/>
      <c r="ET8" s="18" t="n"/>
      <c r="EU8" s="18" t="n"/>
      <c r="EV8" s="18" t="n"/>
      <c r="EW8" s="18" t="n"/>
      <c r="EX8" s="18" t="n"/>
      <c r="EY8" s="18" t="n"/>
      <c r="EZ8" s="18" t="n"/>
      <c r="FA8" s="18" t="n"/>
      <c r="FB8" s="18" t="n"/>
      <c r="FC8" s="18" t="n"/>
      <c r="FD8" s="18" t="n"/>
      <c r="FE8" s="18" t="n"/>
      <c r="FF8" s="18" t="n"/>
      <c r="FG8" s="18" t="n"/>
      <c r="FH8" s="18" t="n"/>
      <c r="FI8" s="18" t="n"/>
      <c r="FJ8" s="18" t="n"/>
      <c r="FK8" s="18" t="n"/>
      <c r="FL8" s="18" t="n"/>
      <c r="FM8" s="18" t="n"/>
      <c r="FN8" s="18" t="n"/>
      <c r="FO8" s="18" t="n"/>
      <c r="FP8" s="18" t="n"/>
      <c r="FQ8" s="18" t="n"/>
      <c r="FR8" s="18" t="n"/>
      <c r="FS8" s="18" t="n"/>
      <c r="FT8" s="18" t="n"/>
      <c r="FU8" s="18" t="n"/>
      <c r="FV8" s="18" t="n"/>
      <c r="FW8" s="18" t="n"/>
    </row>
    <row r="9" ht="79.2" customHeight="1" s="88">
      <c r="A9" s="29" t="inlineStr">
        <is>
          <t>9000</t>
        </is>
      </c>
      <c r="B9" s="29" t="inlineStr">
        <is>
          <t>9000-10</t>
        </is>
      </c>
      <c r="C9" s="29" t="inlineStr">
        <is>
          <t>기계설비·소방설비</t>
        </is>
      </c>
      <c r="D9" s="29" t="inlineStr">
        <is>
          <t>9000-10-8</t>
        </is>
      </c>
      <c r="E9" s="102" t="inlineStr">
        <is>
          <t>9000-10-5, 9000-10-7</t>
        </is>
      </c>
      <c r="F9" s="102" t="inlineStr">
        <is>
          <t>9000-10-9, 9000-10-12</t>
        </is>
      </c>
      <c r="G9" s="32" t="inlineStr">
        <is>
          <t>기계설비 시공계획서 수립</t>
        </is>
      </c>
      <c r="H9" s="33" t="inlineStr">
        <is>
          <t>D-96</t>
        </is>
      </c>
      <c r="I9" s="33" t="inlineStr">
        <is>
          <t>기계/소방팀</t>
        </is>
      </c>
      <c r="J9" s="34" t="inlineStr">
        <is>
          <t>KCS 41 시방 기준 준수, 유자격 용접사 WPS 승인 및 밀폐공간 안전보건 체계 확립</t>
        </is>
      </c>
      <c r="K9" s="50" t="inlineStr">
        <is>
          <t>1) STEP 1 (공종별 절차서 수립): 배관, 덕트, 장비설치 등 세부 작업별 인원·장비·공정 계획 및 위험성평가서 작성
2) STEP 2 (WPS 용접절차 승인): 배관 재질별(STS, 탄소강) 용접절차시방서(WPS) 수립 및 유자격 용접사 시험편 PQR 검증
3) STEP 3 (밀폐공간 안전관리): 지하 집수조/탱크 작업 시 복합가스(산소, 황화수소) 측정, 송기마스크 착용 및 감시원 상주</t>
        </is>
      </c>
      <c r="L9" s="34" t="inlineStr">
        <is>
          <t>기계설비 시공계획서 수립 시공계획서, 검측요청서 및 공인 시험성적서</t>
        </is>
      </c>
      <c r="M9" s="34" t="inlineStr">
        <is>
          <t>1) 기계설비 시공계획서 수립 (9000-8-8) 과업 달성을 위해 KDS 47 철도설계기준 및 NFTC 화재안전기준을 100% 충족한다.
2) KCS 41 건축기계시방 기준 장비투입, 용접/비파괴검사, 수압시험 및 안전관리 마스터 플랜을 엄격히 완수하여 책임감리원 최종 승인을 획득한다.</t>
        </is>
      </c>
      <c r="N9" s="60">
        <f>HYPERLINK(LEFT(CELL("filename",A1),FIND("[",CELL("filename",A1))-1)&amp;"10.기계분야\8_기계설비 시공계획서 수립\표준서\8_기계설비 시공계획서 수립_표준서.html", "👉 [클릭] 표준서 열기 📄")</f>
        <v/>
      </c>
      <c r="O9" s="34" t="inlineStr">
        <is>
          <t>1) STEP 1: 공종별 세부 시공 방법 및 절차서 작성: 공조, 배관, 덕트, 소방, 자동제어 작업 기준
2) STEP 2: 자재 시험 및 품질관리 계획서 수립: 수압시험, 기밀시험, 비파괴검사(NDT) 빈도 확정</t>
        </is>
      </c>
      <c r="P9" s="58">
        <f>HYPERLINK(LEFT(CELL("filename",A1),FIND("[",CELL("filename",A1))-1)&amp;"10.기계분야\8_기계설비 시공계획서 수립\수행지침\8_기계설비 시공계획서 수립_수행지침.html", "👉 [클릭] 수행지침 열기 📄")</f>
        <v/>
      </c>
      <c r="Q9" s="34" t="inlineStr">
        <is>
          <t>1) 시공 방법 기술 시방 및 공조/위생/소방/오폐수/승강기 공종별 시공 절차 기준을 100% 충족하였는가?
2) 용접 절차서(WPS) 검측 및 불합격 요소를 전면 차단하였는가?</t>
        </is>
      </c>
      <c r="R9" s="56">
        <f>HYPERLINK(LEFT(CELL("filename",A1),FIND("[",CELL("filename",A1))-1)&amp;"10.기계분야\8_기계설비 시공계획서 수립\체크리스트\8_기계설비 시공계획서 수립_체크리스트.html", "👉 [클릭] 체크리스트 열기 📄")</f>
        <v/>
      </c>
      <c r="S9" s="33" t="inlineStr">
        <is>
          <t>기계·소방 복합 시방 준수</t>
        </is>
      </c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8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  <c r="ER9" s="18" t="n"/>
      <c r="ES9" s="18" t="n"/>
      <c r="ET9" s="18" t="n"/>
      <c r="EU9" s="18" t="n"/>
      <c r="EV9" s="18" t="n"/>
      <c r="EW9" s="18" t="n"/>
      <c r="EX9" s="18" t="n"/>
      <c r="EY9" s="18" t="n"/>
      <c r="EZ9" s="18" t="n"/>
      <c r="FA9" s="18" t="n"/>
      <c r="FB9" s="18" t="n"/>
      <c r="FC9" s="18" t="n"/>
      <c r="FD9" s="18" t="n"/>
      <c r="FE9" s="18" t="n"/>
      <c r="FF9" s="18" t="n"/>
      <c r="FG9" s="18" t="n"/>
      <c r="FH9" s="18" t="n"/>
      <c r="FI9" s="18" t="n"/>
      <c r="FJ9" s="18" t="n"/>
      <c r="FK9" s="18" t="n"/>
      <c r="FL9" s="18" t="n"/>
      <c r="FM9" s="18" t="n"/>
      <c r="FN9" s="18" t="n"/>
      <c r="FO9" s="18" t="n"/>
      <c r="FP9" s="18" t="n"/>
      <c r="FQ9" s="18" t="n"/>
      <c r="FR9" s="18" t="n"/>
      <c r="FS9" s="18" t="n"/>
      <c r="FT9" s="18" t="n"/>
      <c r="FU9" s="18" t="n"/>
      <c r="FV9" s="18" t="n"/>
      <c r="FW9" s="18" t="n"/>
      <c r="FX9" s="18" t="n"/>
      <c r="FY9" s="18" t="n"/>
      <c r="FZ9" s="18" t="n"/>
      <c r="GA9" s="18" t="n"/>
    </row>
    <row r="10" ht="79.2" customHeight="1" s="88">
      <c r="A10" s="19" t="inlineStr">
        <is>
          <t>9000</t>
        </is>
      </c>
      <c r="B10" s="19" t="inlineStr">
        <is>
          <t>9000-10</t>
        </is>
      </c>
      <c r="C10" s="19" t="inlineStr">
        <is>
          <t>기계설비·소방설비</t>
        </is>
      </c>
      <c r="D10" s="19" t="inlineStr">
        <is>
          <t>9000-10-9</t>
        </is>
      </c>
      <c r="E10" s="95" t="inlineStr">
        <is>
          <t>9000-10-5, 9000-10-8</t>
        </is>
      </c>
      <c r="F10" s="95" t="inlineStr">
        <is>
          <t>9000-10-13, 9000-10-14</t>
        </is>
      </c>
      <c r="G10" s="23" t="inlineStr">
        <is>
          <t>주요 기계_소방 기자재 검수</t>
        </is>
      </c>
      <c r="H10" s="21" t="inlineStr">
        <is>
          <t>D-93</t>
        </is>
      </c>
      <c r="I10" s="21" t="inlineStr">
        <is>
          <t>기계/소방팀</t>
        </is>
      </c>
      <c r="J10" s="24" t="inlineStr">
        <is>
          <t>배관, 밸브, 펌프 등 주요 기계·소방 기자재의 KS/KFI 규격 검증 및 공장 시험(FAT) 수행</t>
        </is>
      </c>
      <c r="K10" s="49" t="inlineStr">
        <is>
          <t>1) STEP 1 (공장검수 FAT 실시): 인버터 부스터펌프, 공조기 공장을 방문하여 모터 효율, 정격 양정·유량, 소음·진동 시험 입회
2) STEP 2 (자재 현장 반입 검수): 밀시트(Mill Sheet), KS/KFI 인증서 확인 및 STS 강관 두께·진원도 마이크로미터 정밀 검측
3) STEP 3 (자재 보관 및 불합격 통제): 배관 단부 보호캡 체결, 옥내 전용 적치장 보관 및 불합격 자재 24시간 이내 반출 조치</t>
        </is>
      </c>
      <c r="L10" s="24" t="inlineStr">
        <is>
          <t>주요 기계_소방 기자재 검수 시공계획서, 검측요청서 및 공인 시험성적서</t>
        </is>
      </c>
      <c r="M10" s="24" t="inlineStr">
        <is>
          <t>1) 주요 기계_소방 기자재 검수 (9000-8-9) 과업 달성을 위해 KDS 47 철도설계기준 및 NFTC 화재안전기준을 100% 충족한다.
2) STS 강관(KSD 3576/3595), 인버터 부스터펌프, 호스릴 소화전함 KS 규격 및 공장검수(FAT)을 엄격히 완수하여 책임감리원 최종 승인을 획득한다.</t>
        </is>
      </c>
      <c r="N10" s="59">
        <f>HYPERLINK(LEFT(CELL("filename",A1),FIND("[",CELL("filename",A1))-1)&amp;"10.기계분야\9_주요 기계_소방 기자재 검수\표준서\9_주요 기계_소방 기자재 검수_표준서.html", "👉 [클릭] 표준서 열기 📄")</f>
        <v/>
      </c>
      <c r="O10" s="24" t="inlineStr">
        <is>
          <t>1) STEP 1: 자재 공급원 승인 요청서(MAR) 접수 및 검토: 제조사 공장등록증, KS인증서, 시험성적서
2) STEP 2: 주요 대형 장비 공장검수(FAT) 수행: 공조기, 부스터펌프 제작 공장 방문 입회 시험</t>
        </is>
      </c>
      <c r="P10" s="57">
        <f>HYPERLINK(LEFT(CELL("filename",A1),FIND("[",CELL("filename",A1))-1)&amp;"10.기계분야\9_주요 기계_소방 기자재 검수\수행지침\9_주요 기계_소방 기자재 검수_수행지침.html", "👉 [클릭] 수행지침 열기 📄")</f>
        <v/>
      </c>
      <c r="Q10" s="24" t="inlineStr">
        <is>
          <t>1) STS 강관 검수 시방 및 KSD 3576(배관용), KSD 3595(일반배관용) 두께/외경 기준을 100% 충족하였는가?
2) 부스터펌프 검수 검측 및 불합격 요소를 전면 차단하였는가?</t>
        </is>
      </c>
      <c r="R10" s="55">
        <f>HYPERLINK(LEFT(CELL("filename",A1),FIND("[",CELL("filename",A1))-1)&amp;"10.기계분야\9_주요 기계_소방 기자재 검수\체크리스트\9_주요 기계_소방 기자재 검수_체크리스트.html", "👉 [클릭] 체크리스트 열기 📄")</f>
        <v/>
      </c>
      <c r="S10" s="21" t="inlineStr">
        <is>
          <t>기계·소방 복합 시방 준수</t>
        </is>
      </c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8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  <c r="EV10" s="18" t="n"/>
      <c r="EW10" s="18" t="n"/>
      <c r="EX10" s="18" t="n"/>
      <c r="EY10" s="18" t="n"/>
      <c r="EZ10" s="18" t="n"/>
      <c r="FA10" s="18" t="n"/>
      <c r="FB10" s="18" t="n"/>
      <c r="FC10" s="18" t="n"/>
      <c r="FD10" s="18" t="n"/>
      <c r="FE10" s="18" t="n"/>
      <c r="FF10" s="18" t="n"/>
      <c r="FG10" s="18" t="n"/>
      <c r="FH10" s="18" t="n"/>
      <c r="FI10" s="18" t="n"/>
      <c r="FJ10" s="18" t="n"/>
      <c r="FK10" s="18" t="n"/>
      <c r="FL10" s="18" t="n"/>
      <c r="FM10" s="18" t="n"/>
      <c r="FN10" s="18" t="n"/>
      <c r="FO10" s="18" t="n"/>
      <c r="FP10" s="18" t="n"/>
      <c r="FQ10" s="18" t="n"/>
      <c r="FR10" s="18" t="n"/>
      <c r="FS10" s="18" t="n"/>
      <c r="FT10" s="18" t="n"/>
      <c r="FU10" s="18" t="n"/>
      <c r="FV10" s="18" t="n"/>
      <c r="FW10" s="18" t="n"/>
      <c r="FX10" s="18" t="n"/>
      <c r="FY10" s="18" t="n"/>
      <c r="FZ10" s="18" t="n"/>
      <c r="GA10" s="18" t="n"/>
      <c r="GB10" s="18" t="n"/>
      <c r="GC10" s="18" t="n"/>
      <c r="GD10" s="18" t="n"/>
      <c r="GE10" s="18" t="n"/>
    </row>
    <row r="11" ht="79.2" customHeight="1" s="88">
      <c r="A11" s="29" t="inlineStr">
        <is>
          <t>9000</t>
        </is>
      </c>
      <c r="B11" s="29" t="inlineStr">
        <is>
          <t>9000-10</t>
        </is>
      </c>
      <c r="C11" s="29" t="inlineStr">
        <is>
          <t>기계설비·소방설비</t>
        </is>
      </c>
      <c r="D11" s="29" t="inlineStr">
        <is>
          <t>9000-10-10</t>
        </is>
      </c>
      <c r="E11" s="102" t="inlineStr">
        <is>
          <t>9000-10-6</t>
        </is>
      </c>
      <c r="F11" s="102" t="inlineStr">
        <is>
          <t>9000-10-15, 9000-10-16</t>
        </is>
      </c>
      <c r="G11" s="32" t="inlineStr">
        <is>
          <t>방화구획 내화채움구조 시공</t>
        </is>
      </c>
      <c r="H11" s="33" t="inlineStr">
        <is>
          <t>D-90</t>
        </is>
      </c>
      <c r="I11" s="33" t="inlineStr">
        <is>
          <t>기계/소방팀</t>
        </is>
      </c>
      <c r="J11" s="34" t="inlineStr">
        <is>
          <t>콘크리트 골조 타설 전 관통 슬리브 선매립 및 2시간 차열·차염 내화채움구조 시공</t>
        </is>
      </c>
      <c r="K11" s="50" t="inlineStr">
        <is>
          <t>1) STEP 1 (골조 슬리브 선매립): 구조체 철근 배근 시 배관경 대비 1~2규격 큰 강관/PVC 슬리브 설치 및 단단히 고정
2) STEP 2 (관통 틈새 내화충진): 배관 설치 후 슬리브 틈새에 고밀도 미네랄울(밀도 ≥ 100kg/㎥) 충진 및 방화실란트 15mm 도포
3) STEP 3 (내화성능 확인): 공인기관 2시간 차열·차염 성적서 확인 및 우레탄폼 등 가연성 자재 사용 전면 금지 검측</t>
        </is>
      </c>
      <c r="L11" s="34" t="inlineStr">
        <is>
          <t>방화구획 내화채움구조 시공 시공계획서, 검측요청서 및 공인 시험성적서</t>
        </is>
      </c>
      <c r="M11" s="34" t="inlineStr">
        <is>
          <t>1) 방화구획 내화채움구조 시공 (9000-8-10) 과업 달성을 위해 KDS 47 철도설계기준 및 NFTC 화재안전기준을 100% 충족한다.
2) 슬래브 및 방화벽체 관통 덕트·배관 틈새 법정 공인 내화충진재 100% 밀폐 시공을 엄격히 완수하여 책임감리원 최종 승인을 획득한다.</t>
        </is>
      </c>
      <c r="N11" s="60">
        <f>HYPERLINK(LEFT(CELL("filename",A1),FIND("[",CELL("filename",A1))-1)&amp;"10.기계분야\10_방화구획 내화채움구조 시공\표준서\10_방화구획 내화채움구조 시공_표준서.html", "👉 [클릭] 표준서 열기 📄")</f>
        <v/>
      </c>
      <c r="O11" s="34" t="inlineStr">
        <is>
          <t>1) STEP 1: 관통부 틈새 청소 및 공인 내화구조 매핑: 슬리브 내부 이물질, 분진 제거 및 성적서 대조
2) STEP 2: 내부 불연재(미네랄울) 고밀도 충진: 규정 밀도(100kg/㎥ 이상) 준수 다짐 충진</t>
        </is>
      </c>
      <c r="P11" s="58">
        <f>HYPERLINK(LEFT(CELL("filename",A1),FIND("[",CELL("filename",A1))-1)&amp;"10.기계분야\10_방화구획 내화채움구조 시공\수행지침\10_방화구획 내화채움구조 시공_수행지침.html", "👉 [클릭] 수행지침 열기 📄")</f>
        <v/>
      </c>
      <c r="Q11" s="34" t="inlineStr">
        <is>
          <t>1) 공인 성적서 확인 시방 및 한국건설기술연구원 인정 내화채움구조 성적서 기준을 100% 충족하였는가?
2) 암면/미네랄울 충진 검측 및 불합격 요소를 전면 차단하였는가?</t>
        </is>
      </c>
      <c r="R11" s="56">
        <f>HYPERLINK(LEFT(CELL("filename",A1),FIND("[",CELL("filename",A1))-1)&amp;"10.기계분야\10_방화구획 내화채움구조 시공\체크리스트\10_방화구획 내화채움구조 시공_체크리스트.html", "👉 [클릭] 체크리스트 열기 📄")</f>
        <v/>
      </c>
      <c r="S11" s="33" t="inlineStr">
        <is>
          <t>기계·소방 복합 시방 준수</t>
        </is>
      </c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8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8" t="n"/>
      <c r="EY11" s="18" t="n"/>
      <c r="EZ11" s="18" t="n"/>
      <c r="FA11" s="18" t="n"/>
      <c r="FB11" s="18" t="n"/>
      <c r="FC11" s="18" t="n"/>
      <c r="FD11" s="18" t="n"/>
      <c r="FE11" s="18" t="n"/>
      <c r="FF11" s="18" t="n"/>
      <c r="FG11" s="18" t="n"/>
      <c r="FH11" s="18" t="n"/>
      <c r="FI11" s="18" t="n"/>
      <c r="FJ11" s="18" t="n"/>
      <c r="FK11" s="18" t="n"/>
      <c r="FL11" s="18" t="n"/>
      <c r="FM11" s="18" t="n"/>
      <c r="FN11" s="18" t="n"/>
      <c r="FO11" s="18" t="n"/>
      <c r="FP11" s="18" t="n"/>
      <c r="FQ11" s="18" t="n"/>
      <c r="FR11" s="18" t="n"/>
      <c r="FS11" s="18" t="n"/>
      <c r="FT11" s="18" t="n"/>
      <c r="FU11" s="18" t="n"/>
      <c r="FV11" s="18" t="n"/>
      <c r="FW11" s="18" t="n"/>
      <c r="FX11" s="18" t="n"/>
      <c r="FY11" s="18" t="n"/>
      <c r="FZ11" s="18" t="n"/>
      <c r="GA11" s="18" t="n"/>
      <c r="GB11" s="18" t="n"/>
      <c r="GC11" s="18" t="n"/>
      <c r="GD11" s="18" t="n"/>
      <c r="GE11" s="18" t="n"/>
      <c r="GF11" s="18" t="n"/>
      <c r="GG11" s="18" t="n"/>
      <c r="GH11" s="18" t="n"/>
      <c r="GI11" s="18" t="n"/>
    </row>
    <row r="12" ht="79.2" customHeight="1" s="88">
      <c r="A12" s="19" t="inlineStr">
        <is>
          <t>9000</t>
        </is>
      </c>
      <c r="B12" s="19" t="inlineStr">
        <is>
          <t>9000-10</t>
        </is>
      </c>
      <c r="C12" s="19" t="inlineStr">
        <is>
          <t>기계설비·소방설비</t>
        </is>
      </c>
      <c r="D12" s="19" t="inlineStr">
        <is>
          <t>9000-10-11</t>
        </is>
      </c>
      <c r="E12" s="95" t="inlineStr">
        <is>
          <t>9000-10-7</t>
        </is>
      </c>
      <c r="F12" s="95" t="inlineStr">
        <is>
          <t>9000-10-15, 9000-10-17</t>
        </is>
      </c>
      <c r="G12" s="23" t="inlineStr">
        <is>
          <t>선로전환기 배수공동구 연계</t>
        </is>
      </c>
      <c r="H12" s="21" t="inlineStr">
        <is>
          <t>D-87</t>
        </is>
      </c>
      <c r="I12" s="21" t="inlineStr">
        <is>
          <t>기계/소방팀</t>
        </is>
      </c>
      <c r="J12" s="24" t="inlineStr">
        <is>
          <t>본선 및 차량기지 143개소 선로전환기 하부 배수관로 선시공으로 동절기 결빙 및 침수 방지</t>
        </is>
      </c>
      <c r="K12" s="24" t="inlineStr">
        <is>
          <t>1) STEP 1 (드레인 피트 가설): 선로전환기 구동부 하부에 침전 드레인 피트 및 STS 타공 스트레이너 설치
2) STEP 2 (횡단 배수관로 연결): 도상 횡단 배수관(D100/150)을 자연유하 구배(i ≥ 1.0%)로 선로변 주 집수정까지 직결
3) STEP 3 (궤도 타설 전 통수시험): 궤도 콘크리트 타설 전 통수 및 수압시험을 실시하여 관로 막힘 및 누수 0건 최종 확인</t>
        </is>
      </c>
      <c r="L12" s="24" t="inlineStr">
        <is>
          <t>선로전환기 배수공동구 연계 시공계획서, 검측요청서 및 공인 시험성적서</t>
        </is>
      </c>
      <c r="M12" s="24" t="inlineStr">
        <is>
          <t>1) 선로전환기 배수공동구 연계 (9000-8-11) 과업 달성을 위해 KDS 47 철도설계기준 및 NFTC 화재안전기준을 100% 충족한다.
2) 본선 및 차량기지 143개소 선로전환기 및 Axle Counter 하부 배수관로 공동구 선시공을 엄격히 완수하여 책임감리원 최종 승인을 획득한다.</t>
        </is>
      </c>
      <c r="N12" s="59">
        <f>HYPERLINK(LEFT(CELL("filename",A1),FIND("[",CELL("filename",A1))-1)&amp;"10.기계분야\11_선로전환기 배수공동구 연계\표준서\11_선로전환기 배수공동구 연계_표준서.html", "👉 [클릭] 표준서 열기 📄")</f>
        <v/>
      </c>
      <c r="O12" s="24" t="inlineStr">
        <is>
          <t>1) STEP 1: 신호·궤도팀 합동 분기기 143개소 좌표 실측: 선로전환기 하부 배수구 위치 3D 확정
2) STEP 2: 횡단 배수관로 매설 및 지지틀 고정: D100/150 고강도 배수관 가설 및 앵커링</t>
        </is>
      </c>
      <c r="P12" s="57">
        <f>HYPERLINK(LEFT(CELL("filename",A1),FIND("[",CELL("filename",A1))-1)&amp;"10.기계분야\11_선로전환기 배수공동구 연계\수행지침\11_선로전환기 배수공동구 연계_수행지침.html", "👉 [클릭] 수행지침 열기 📄")</f>
        <v/>
      </c>
      <c r="Q12" s="24" t="inlineStr">
        <is>
          <t>1) 배수관 위치 정합 시방 및 신호 선로전환기 143개소 설치 좌표와 1:1 대조 기준을 100% 충족하였는가?
2) 배수관경 및 재질 검측 및 불합격 요소를 전면 차단하였는가?</t>
        </is>
      </c>
      <c r="R12" s="55">
        <f>HYPERLINK(LEFT(CELL("filename",A1),FIND("[",CELL("filename",A1))-1)&amp;"10.기계분야\11_선로전환기 배수공동구 연계\체크리스트\11_선로전환기 배수공동구 연계_체크리스트.html", "👉 [클릭] 체크리스트 열기 📄")</f>
        <v/>
      </c>
      <c r="S12" s="21" t="inlineStr">
        <is>
          <t>기계·소방 복합 시방 준수</t>
        </is>
      </c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8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8" t="n"/>
      <c r="EY12" s="18" t="n"/>
      <c r="EZ12" s="18" t="n"/>
      <c r="FA12" s="18" t="n"/>
      <c r="FB12" s="18" t="n"/>
      <c r="FC12" s="18" t="n"/>
      <c r="FD12" s="18" t="n"/>
      <c r="FE12" s="18" t="n"/>
      <c r="FF12" s="18" t="n"/>
      <c r="FG12" s="18" t="n"/>
      <c r="FH12" s="18" t="n"/>
      <c r="FI12" s="18" t="n"/>
      <c r="FJ12" s="18" t="n"/>
      <c r="FK12" s="18" t="n"/>
      <c r="FL12" s="18" t="n"/>
      <c r="FM12" s="18" t="n"/>
      <c r="FN12" s="18" t="n"/>
      <c r="FO12" s="18" t="n"/>
      <c r="FP12" s="18" t="n"/>
      <c r="FQ12" s="18" t="n"/>
      <c r="FR12" s="18" t="n"/>
      <c r="FS12" s="18" t="n"/>
      <c r="FT12" s="18" t="n"/>
      <c r="FU12" s="18" t="n"/>
      <c r="FV12" s="18" t="n"/>
      <c r="FW12" s="18" t="n"/>
      <c r="FX12" s="18" t="n"/>
      <c r="FY12" s="18" t="n"/>
      <c r="FZ12" s="18" t="n"/>
      <c r="GA12" s="18" t="n"/>
      <c r="GB12" s="18" t="n"/>
      <c r="GC12" s="18" t="n"/>
      <c r="GD12" s="18" t="n"/>
      <c r="GE12" s="18" t="n"/>
      <c r="GF12" s="18" t="n"/>
      <c r="GG12" s="18" t="n"/>
      <c r="GH12" s="18" t="n"/>
      <c r="GI12" s="18" t="n"/>
      <c r="GJ12" s="18" t="n"/>
      <c r="GK12" s="18" t="n"/>
      <c r="GL12" s="18" t="n"/>
      <c r="GM12" s="18" t="n"/>
    </row>
    <row r="13" ht="79.2" customHeight="1" s="88">
      <c r="A13" s="29" t="inlineStr">
        <is>
          <t>9000</t>
        </is>
      </c>
      <c r="B13" s="29" t="inlineStr">
        <is>
          <t>9000-10</t>
        </is>
      </c>
      <c r="C13" s="29" t="inlineStr">
        <is>
          <t>기계설비·소방설비</t>
        </is>
      </c>
      <c r="D13" s="29" t="inlineStr">
        <is>
          <t>9000-10-12</t>
        </is>
      </c>
      <c r="E13" s="102" t="inlineStr">
        <is>
          <t>9000-10-8</t>
        </is>
      </c>
      <c r="F13" s="102" t="inlineStr">
        <is>
          <t>9000-10-16, 9000-10-18</t>
        </is>
      </c>
      <c r="G13" s="32" t="inlineStr">
        <is>
          <t>소방 기계 전원 간선 연계</t>
        </is>
      </c>
      <c r="H13" s="33" t="inlineStr">
        <is>
          <t>D-84</t>
        </is>
      </c>
      <c r="I13" s="33" t="inlineStr">
        <is>
          <t>기계/소방팀</t>
        </is>
      </c>
      <c r="J13" s="34" t="inlineStr">
        <is>
          <t>소방펌프, 제연팬 등 소방설비의 10초 이내 비상전원 절환 및 NFR-8 내화배선 무중단 공급</t>
        </is>
      </c>
      <c r="K13" s="34" t="inlineStr">
        <is>
          <t>1) STEP 1 (비상전원 ATS 연계): 상용전원 정전 시 10초 이내 비상발전기 전원으로 자동 절환되는 ATS 인터록 구축
2) STEP 2 (NFR-8 내화케이블 포설): 소방용 동력 간선에 고내열 NFR-8 케이블을 전용 금속관에 단독 배선하여 850℃ 내열 확보
3) STEP 3 (MCC 제어반 세팅): 소방펌프 전용 MCC 제어반의 과부하 트립 기능을 배제(경보만 발생)하여 화재 시 연속 가동 보장</t>
        </is>
      </c>
      <c r="L13" s="34" t="inlineStr">
        <is>
          <t>소방 기계 전원 간선 연계 시공계획서, 검측요청서 및 공인 시험성적서</t>
        </is>
      </c>
      <c r="M13" s="34" t="inlineStr">
        <is>
          <t>1) 소방 기계 전원 간선 연계 (9000-8-12) 과업 달성을 위해 KDS 47 철도설계기준 및 NFTC 화재안전기준을 100% 충족한다.
2) 소방펌프, 제연팬용 전원선로 NFR-8/F-FR-8 내화케이블 적용 및 전기팀 인터페이스을 엄격히 완수하여 책임감리원 최종 승인을 획득한다.</t>
        </is>
      </c>
      <c r="N13" s="60">
        <f>HYPERLINK(LEFT(CELL("filename",A1),FIND("[",CELL("filename",A1))-1)&amp;"10.기계분야\12_소방 기계 전원 간선 연계\표준서\12_소방 기계 전원 간선 연계_표준서.html", "👉 [클릭] 표준서 열기 📄")</f>
        <v/>
      </c>
      <c r="O13" s="34" t="inlineStr">
        <is>
          <t>1) STEP 1: 소방 기계 부하 용량(kW) 산정 및 전기팀 통보: 소방펌프, 충압펌프, 제연팬 기동 전류 대조
2) STEP 2: NFR-8 고내열 내화케이블 전용 관로 시공: 일반 전선과 분리된 내화 배관 가설</t>
        </is>
      </c>
      <c r="P13" s="58">
        <f>HYPERLINK(LEFT(CELL("filename",A1),FIND("[",CELL("filename",A1))-1)&amp;"10.기계분야\12_소방 기계 전원 간선 연계\수행지침\12_소방 기계 전원 간선 연계_수행지침.html", "👉 [클릭] 수행지침 열기 📄")</f>
        <v/>
      </c>
      <c r="Q13" s="34" t="inlineStr">
        <is>
          <t>1) 내화케이블 규격 시방 및 KS C IEC 60331 내화성능 공인 인증(NFR-8/F-FR-8) 기준을 100% 충족하였는가?
2) 소방 간선 전용화 검측 및 불합격 요소를 전면 차단하였는가?</t>
        </is>
      </c>
      <c r="R13" s="56">
        <f>HYPERLINK(LEFT(CELL("filename",A1),FIND("[",CELL("filename",A1))-1)&amp;"10.기계분야\12_소방 기계 전원 간선 연계\체크리스트\12_소방 기계 전원 간선 연계_체크리스트.html", "👉 [클릭] 체크리스트 열기 📄")</f>
        <v/>
      </c>
      <c r="S13" s="33" t="inlineStr">
        <is>
          <t>기계·소방 복합 시방 준수</t>
        </is>
      </c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Y13" s="18" t="n"/>
      <c r="DZ13" s="18" t="n"/>
      <c r="EA13" s="18" t="n"/>
      <c r="EB13" s="18" t="n"/>
      <c r="EC13" s="18" t="n"/>
      <c r="ED13" s="18" t="n"/>
      <c r="EE13" s="18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P13" s="18" t="n"/>
      <c r="EQ13" s="18" t="n"/>
      <c r="ER13" s="18" t="n"/>
      <c r="ES13" s="18" t="n"/>
      <c r="ET13" s="18" t="n"/>
      <c r="EU13" s="18" t="n"/>
      <c r="EV13" s="18" t="n"/>
      <c r="EW13" s="18" t="n"/>
      <c r="EX13" s="18" t="n"/>
      <c r="EY13" s="18" t="n"/>
      <c r="EZ13" s="18" t="n"/>
      <c r="FA13" s="18" t="n"/>
      <c r="FB13" s="18" t="n"/>
      <c r="FC13" s="18" t="n"/>
      <c r="FD13" s="18" t="n"/>
      <c r="FE13" s="18" t="n"/>
      <c r="FF13" s="18" t="n"/>
      <c r="FG13" s="18" t="n"/>
      <c r="FH13" s="18" t="n"/>
      <c r="FI13" s="18" t="n"/>
      <c r="FJ13" s="18" t="n"/>
      <c r="FK13" s="18" t="n"/>
      <c r="FL13" s="18" t="n"/>
      <c r="FM13" s="18" t="n"/>
      <c r="FN13" s="18" t="n"/>
      <c r="FO13" s="18" t="n"/>
      <c r="FP13" s="18" t="n"/>
      <c r="FQ13" s="18" t="n"/>
      <c r="FR13" s="18" t="n"/>
      <c r="FS13" s="18" t="n"/>
      <c r="FT13" s="18" t="n"/>
      <c r="FU13" s="18" t="n"/>
      <c r="FV13" s="18" t="n"/>
      <c r="FW13" s="18" t="n"/>
      <c r="FX13" s="18" t="n"/>
      <c r="FY13" s="18" t="n"/>
      <c r="FZ13" s="18" t="n"/>
      <c r="GA13" s="18" t="n"/>
      <c r="GB13" s="18" t="n"/>
      <c r="GC13" s="18" t="n"/>
      <c r="GD13" s="18" t="n"/>
      <c r="GE13" s="18" t="n"/>
      <c r="GF13" s="18" t="n"/>
      <c r="GG13" s="18" t="n"/>
      <c r="GH13" s="18" t="n"/>
      <c r="GI13" s="18" t="n"/>
      <c r="GJ13" s="18" t="n"/>
      <c r="GK13" s="18" t="n"/>
      <c r="GL13" s="18" t="n"/>
      <c r="GM13" s="18" t="n"/>
      <c r="GN13" s="18" t="n"/>
      <c r="GO13" s="18" t="n"/>
      <c r="GP13" s="18" t="n"/>
      <c r="GQ13" s="18" t="n"/>
    </row>
    <row r="14" ht="79.2" customHeight="1" s="88">
      <c r="A14" s="19" t="inlineStr">
        <is>
          <t>9000</t>
        </is>
      </c>
      <c r="B14" s="19" t="inlineStr">
        <is>
          <t>9000-10</t>
        </is>
      </c>
      <c r="C14" s="19" t="inlineStr">
        <is>
          <t>기계설비·소방설비</t>
        </is>
      </c>
      <c r="D14" s="19" t="inlineStr">
        <is>
          <t>9000-10-13</t>
        </is>
      </c>
      <c r="E14" s="95" t="inlineStr">
        <is>
          <t>9000-10-9</t>
        </is>
      </c>
      <c r="F14" s="95" t="inlineStr">
        <is>
          <t>9000-10-18, 9000-10-19</t>
        </is>
      </c>
      <c r="G14" s="23" t="inlineStr">
        <is>
          <t>저수조 사수방지 흡입배관</t>
        </is>
      </c>
      <c r="H14" s="21" t="inlineStr">
        <is>
          <t>D-81</t>
        </is>
      </c>
      <c r="I14" s="21" t="inlineStr">
        <is>
          <t>기계/소방팀</t>
        </is>
      </c>
      <c r="J14" s="24" t="inlineStr">
        <is>
          <t>위생적인 STS304 패널형 저수조 설치, 생활용수 사수 방지 배관 및 소화수 유효용량 상시 확보</t>
        </is>
      </c>
      <c r="K14" s="24" t="inlineStr">
        <is>
          <t>1) STEP 1 (STS 패널 조립 용접): STS304 패널 아르곤(TIG) 용접 조립 후 액체침투탐상(PT)으로 용접부 결함 100% 색출
2) STEP 2 (사수방지 흡입배관 분리): 급수펌프 흡입관은 소화수위 상단에, 소방펌프 흡입관은 바닥 최하단에 분리 배치
3) STEP 3 (만수 수밀시험): 저수조 만수 후 24시간 동안 수위 강하 및 외부 누수 유무를 정밀 측정하여 감리단 합격 승인</t>
        </is>
      </c>
      <c r="L14" s="24" t="inlineStr">
        <is>
          <t>저수조 사수방지 흡입배관 시공계획서, 검측요청서 및 공인 시험성적서</t>
        </is>
      </c>
      <c r="M14" s="24" t="inlineStr">
        <is>
          <t>1) 저수조 사수방지 흡입배관 (9000-8-13) 과업 달성을 위해 KDS 47 철도설계기준 및 NFTC 화재안전기준을 100% 충족한다.
2) 소화용수 유효수위 상향 흡입배관 및 중앙 1개소 칸막이 적용 위생수질 오염 원천 방지을 엄격히 완수하여 책임감리원 최종 승인을 획득한다.</t>
        </is>
      </c>
      <c r="N14" s="59">
        <f>HYPERLINK(LEFT(CELL("filename",A1),FIND("[",CELL("filename",A1))-1)&amp;"10.기계분야\13_저수조 사수방지 흡입배관\표준서\13_저수조 사수방지 흡입배관_표준서.html", "👉 [클릭] 표준서 열기 📄")</f>
        <v/>
      </c>
      <c r="O14" s="24" t="inlineStr">
        <is>
          <t>1) STEP 1: 저수조 용량 및 소화수 유효수위 계산: 위생수량과 법정 소화수량(옥내소화전/스프링클러) 분리
2) STEP 2: STS 패널형 저수조 조립 및 칸막이 가설: 용접부 비파괴검사 및 내식 보강</t>
        </is>
      </c>
      <c r="P14" s="57">
        <f>HYPERLINK(LEFT(CELL("filename",A1),FIND("[",CELL("filename",A1))-1)&amp;"10.기계분야\13_저수조 사수방지 흡입배관\수행지침\13_저수조 사수방지 흡입배관_수행지침.html", "👉 [클릭] 수행지침 열기 📄")</f>
        <v/>
      </c>
      <c r="Q14" s="24" t="inlineStr">
        <is>
          <t>1) 흡입배관 레벨 시방 및 급수펌프 흡입관 최저점을 소화수 유효높이 상단에 배치 기준을 100% 충족하였는가?
2) 사수방지 칸막이 검측 및 불합격 요소를 전면 차단하였는가?</t>
        </is>
      </c>
      <c r="R14" s="55">
        <f>HYPERLINK(LEFT(CELL("filename",A1),FIND("[",CELL("filename",A1))-1)&amp;"10.기계분야\13_저수조 사수방지 흡입배관\체크리스트\13_저수조 사수방지 흡입배관_체크리스트.html", "👉 [클릭] 체크리스트 열기 📄")</f>
        <v/>
      </c>
      <c r="S14" s="21" t="inlineStr">
        <is>
          <t>기계·소방 복합 시방 준수</t>
        </is>
      </c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Y14" s="18" t="n"/>
      <c r="DZ14" s="18" t="n"/>
      <c r="EA14" s="18" t="n"/>
      <c r="EB14" s="18" t="n"/>
      <c r="EC14" s="18" t="n"/>
      <c r="ED14" s="18" t="n"/>
      <c r="EE14" s="18" t="n"/>
      <c r="EF14" s="18" t="n"/>
      <c r="EG14" s="18" t="n"/>
      <c r="EH14" s="18" t="n"/>
      <c r="EI14" s="18" t="n"/>
      <c r="EJ14" s="18" t="n"/>
      <c r="EK14" s="18" t="n"/>
      <c r="EL14" s="18" t="n"/>
      <c r="EM14" s="18" t="n"/>
      <c r="EN14" s="18" t="n"/>
      <c r="EO14" s="18" t="n"/>
      <c r="EP14" s="18" t="n"/>
      <c r="EQ14" s="18" t="n"/>
      <c r="ER14" s="18" t="n"/>
      <c r="ES14" s="18" t="n"/>
      <c r="ET14" s="18" t="n"/>
      <c r="EU14" s="18" t="n"/>
      <c r="EV14" s="18" t="n"/>
      <c r="EW14" s="18" t="n"/>
      <c r="EX14" s="18" t="n"/>
      <c r="EY14" s="18" t="n"/>
      <c r="EZ14" s="18" t="n"/>
      <c r="FA14" s="18" t="n"/>
      <c r="FB14" s="18" t="n"/>
      <c r="FC14" s="18" t="n"/>
      <c r="FD14" s="18" t="n"/>
      <c r="FE14" s="18" t="n"/>
      <c r="FF14" s="18" t="n"/>
      <c r="FG14" s="18" t="n"/>
      <c r="FH14" s="18" t="n"/>
      <c r="FI14" s="18" t="n"/>
      <c r="FJ14" s="18" t="n"/>
      <c r="FK14" s="18" t="n"/>
      <c r="FL14" s="18" t="n"/>
      <c r="FM14" s="18" t="n"/>
      <c r="FN14" s="18" t="n"/>
      <c r="FO14" s="18" t="n"/>
      <c r="FP14" s="18" t="n"/>
      <c r="FQ14" s="18" t="n"/>
      <c r="FR14" s="18" t="n"/>
      <c r="FS14" s="18" t="n"/>
      <c r="FT14" s="18" t="n"/>
      <c r="FU14" s="18" t="n"/>
      <c r="FV14" s="18" t="n"/>
      <c r="FW14" s="18" t="n"/>
      <c r="FX14" s="18" t="n"/>
      <c r="FY14" s="18" t="n"/>
      <c r="FZ14" s="18" t="n"/>
      <c r="GA14" s="18" t="n"/>
      <c r="GB14" s="18" t="n"/>
      <c r="GC14" s="18" t="n"/>
      <c r="GD14" s="18" t="n"/>
      <c r="GE14" s="18" t="n"/>
      <c r="GF14" s="18" t="n"/>
      <c r="GG14" s="18" t="n"/>
      <c r="GH14" s="18" t="n"/>
      <c r="GI14" s="18" t="n"/>
      <c r="GJ14" s="18" t="n"/>
      <c r="GK14" s="18" t="n"/>
      <c r="GL14" s="18" t="n"/>
      <c r="GM14" s="18" t="n"/>
      <c r="GN14" s="18" t="n"/>
      <c r="GO14" s="18" t="n"/>
      <c r="GP14" s="18" t="n"/>
      <c r="GQ14" s="18" t="n"/>
      <c r="GR14" s="18" t="n"/>
      <c r="GS14" s="18" t="n"/>
      <c r="GT14" s="18" t="n"/>
      <c r="GU14" s="18" t="n"/>
    </row>
    <row r="15" ht="79.2" customHeight="1" s="88">
      <c r="A15" s="29" t="inlineStr">
        <is>
          <t>9000</t>
        </is>
      </c>
      <c r="B15" s="29" t="inlineStr">
        <is>
          <t>9000-10</t>
        </is>
      </c>
      <c r="C15" s="29" t="inlineStr">
        <is>
          <t>기계설비·소방설비</t>
        </is>
      </c>
      <c r="D15" s="29" t="inlineStr">
        <is>
          <t>9000-10-14</t>
        </is>
      </c>
      <c r="E15" s="102" t="inlineStr">
        <is>
          <t>9000-10-9</t>
        </is>
      </c>
      <c r="F15" s="102" t="inlineStr">
        <is>
          <t>9000-10-19, 9000-10-20</t>
        </is>
      </c>
      <c r="G15" s="32" t="inlineStr">
        <is>
          <t>지열 신재생에너지 배관 매설</t>
        </is>
      </c>
      <c r="H15" s="33" t="inlineStr">
        <is>
          <t>D-78</t>
        </is>
      </c>
      <c r="I15" s="33" t="inlineStr">
        <is>
          <t>기계/소방팀</t>
        </is>
      </c>
      <c r="J15" s="34" t="inlineStr">
        <is>
          <t>수직 밀폐형 지열 U-Tube(심도 150m) 시공 및 친환경 지열 히트펌프 연계 열교환 극대화</t>
        </is>
      </c>
      <c r="K15" s="34" t="inlineStr">
        <is>
          <t>1) STEP 1 (천공 및 U-Tube 삽입): 직경 150mm x 심도 150m 천공 후 고밀도 PE 파이프(KSM 3408, SDR11) U-Tube 삽입
2) STEP 2 (열전도 그라우팅): 천공 하부부터 지표면까지 벤토나이트 혼합 그라우트재(열전도도 ≥ 1.8 W/m·K)를 가압 연속 주입
3) STEP 3 (수압시험 및 헤더 연결): 1.0 MPa 수압으로 2시간 동안 압력 유지 확인 후 기계실 지열 헤더 매니폴드 연결</t>
        </is>
      </c>
      <c r="L15" s="34" t="inlineStr">
        <is>
          <t>지열 신재생에너지 배관 매설 시공계획서, 검측요청서 및 공인 시험성적서</t>
        </is>
      </c>
      <c r="M15" s="34" t="inlineStr">
        <is>
          <t>1) 지열 신재생에너지 배관 매설 (9000-8-14) 과업 달성을 위해 KDS 47 철도설계기준 및 NFTC 화재안전기준을 100% 충족한다.
2) 옥외 지열 천공(150~200m), 고밀도 PE관(KSM 3408) 열교환기 융착 및 1.0MPa 수압시험을 엄격히 완수하여 책임감리원 최종 승인을 획득한다.</t>
        </is>
      </c>
      <c r="N15" s="60">
        <f>HYPERLINK(LEFT(CELL("filename",A1),FIND("[",CELL("filename",A1))-1)&amp;"10.기계분야\14_지열 신재생에너지 배관 매설\표준서\14_지열 신재생에너지 배관 매설_표준서.html", "👉 [클릭] 표준서 열기 📄")</f>
        <v/>
      </c>
      <c r="O15" s="34" t="inlineStr">
        <is>
          <t>1) STEP 1: 지열 천공 지점 측량 및 천공기 가설: 지하 지장물 이격거리 확보 및 지중 천공
2) STEP 2: U-Tube PE 열교환관 조립 및 1차 수압시험: U-Bend 헤드 융착 및 지상 수압 검측</t>
        </is>
      </c>
      <c r="P15" s="58">
        <f>HYPERLINK(LEFT(CELL("filename",A1),FIND("[",CELL("filename",A1))-1)&amp;"10.기계분야\14_지열 신재생에너지 배관 매설\수행지침\14_지열 신재생에너지 배관 매설_수행지침.html", "👉 [클릭] 수행지침 열기 📄")</f>
        <v/>
      </c>
      <c r="Q15" s="34" t="inlineStr">
        <is>
          <t>1) 지열 천공 심도 시방 및 지중 150~200m 수직 천공 및 공벽 붕괴 방지 기준을 100% 충족하였는가?
2) PE관 재질 검측 및 불합격 요소를 전면 차단하였는가?</t>
        </is>
      </c>
      <c r="R15" s="56">
        <f>HYPERLINK(LEFT(CELL("filename",A1),FIND("[",CELL("filename",A1))-1)&amp;"10.기계분야\14_지열 신재생에너지 배관 매설\체크리스트\14_지열 신재생에너지 배관 매설_체크리스트.html", "👉 [클릭] 체크리스트 열기 📄")</f>
        <v/>
      </c>
      <c r="S15" s="33" t="inlineStr">
        <is>
          <t>기계·소방 복합 시방 준수</t>
        </is>
      </c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Y15" s="18" t="n"/>
      <c r="DZ15" s="18" t="n"/>
      <c r="EA15" s="18" t="n"/>
      <c r="EB15" s="18" t="n"/>
      <c r="EC15" s="18" t="n"/>
      <c r="ED15" s="18" t="n"/>
      <c r="EE15" s="18" t="n"/>
      <c r="EF15" s="18" t="n"/>
      <c r="EG15" s="18" t="n"/>
      <c r="EH15" s="18" t="n"/>
      <c r="EI15" s="18" t="n"/>
      <c r="EJ15" s="18" t="n"/>
      <c r="EK15" s="18" t="n"/>
      <c r="EL15" s="18" t="n"/>
      <c r="EM15" s="18" t="n"/>
      <c r="EN15" s="18" t="n"/>
      <c r="EO15" s="18" t="n"/>
      <c r="EP15" s="18" t="n"/>
      <c r="EQ15" s="18" t="n"/>
      <c r="ER15" s="18" t="n"/>
      <c r="ES15" s="18" t="n"/>
      <c r="ET15" s="18" t="n"/>
      <c r="EU15" s="18" t="n"/>
      <c r="EV15" s="18" t="n"/>
      <c r="EW15" s="18" t="n"/>
      <c r="EX15" s="18" t="n"/>
      <c r="EY15" s="18" t="n"/>
      <c r="EZ15" s="18" t="n"/>
      <c r="FA15" s="18" t="n"/>
      <c r="FB15" s="18" t="n"/>
      <c r="FC15" s="18" t="n"/>
      <c r="FD15" s="18" t="n"/>
      <c r="FE15" s="18" t="n"/>
      <c r="FF15" s="18" t="n"/>
      <c r="FG15" s="18" t="n"/>
      <c r="FH15" s="18" t="n"/>
      <c r="FI15" s="18" t="n"/>
      <c r="FJ15" s="18" t="n"/>
      <c r="FK15" s="18" t="n"/>
      <c r="FL15" s="18" t="n"/>
      <c r="FM15" s="18" t="n"/>
      <c r="FN15" s="18" t="n"/>
      <c r="FO15" s="18" t="n"/>
      <c r="FP15" s="18" t="n"/>
      <c r="FQ15" s="18" t="n"/>
      <c r="FR15" s="18" t="n"/>
      <c r="FS15" s="18" t="n"/>
      <c r="FT15" s="18" t="n"/>
      <c r="FU15" s="18" t="n"/>
      <c r="FV15" s="18" t="n"/>
      <c r="FW15" s="18" t="n"/>
      <c r="FX15" s="18" t="n"/>
      <c r="FY15" s="18" t="n"/>
      <c r="FZ15" s="18" t="n"/>
      <c r="GA15" s="18" t="n"/>
      <c r="GB15" s="18" t="n"/>
      <c r="GC15" s="18" t="n"/>
      <c r="GD15" s="18" t="n"/>
      <c r="GE15" s="18" t="n"/>
      <c r="GF15" s="18" t="n"/>
      <c r="GG15" s="18" t="n"/>
      <c r="GH15" s="18" t="n"/>
      <c r="GI15" s="18" t="n"/>
      <c r="GJ15" s="18" t="n"/>
      <c r="GK15" s="18" t="n"/>
      <c r="GL15" s="18" t="n"/>
      <c r="GM15" s="18" t="n"/>
      <c r="GN15" s="18" t="n"/>
      <c r="GO15" s="18" t="n"/>
      <c r="GP15" s="18" t="n"/>
      <c r="GQ15" s="18" t="n"/>
      <c r="GR15" s="18" t="n"/>
      <c r="GS15" s="18" t="n"/>
      <c r="GT15" s="18" t="n"/>
      <c r="GU15" s="18" t="n"/>
      <c r="GV15" s="18" t="n"/>
      <c r="GW15" s="18" t="n"/>
      <c r="GX15" s="18" t="n"/>
      <c r="GY15" s="18" t="n"/>
    </row>
    <row r="16" ht="79.2" customHeight="1" s="88">
      <c r="A16" s="19" t="inlineStr">
        <is>
          <t>9000</t>
        </is>
      </c>
      <c r="B16" s="19" t="inlineStr">
        <is>
          <t>9000-10</t>
        </is>
      </c>
      <c r="C16" s="19" t="inlineStr">
        <is>
          <t>기계설비·소방설비</t>
        </is>
      </c>
      <c r="D16" s="19" t="inlineStr">
        <is>
          <t>9000-10-15</t>
        </is>
      </c>
      <c r="E16" s="95" t="inlineStr">
        <is>
          <t>9000-10-10, 9000-10-11</t>
        </is>
      </c>
      <c r="F16" s="95" t="inlineStr">
        <is>
          <t>9000-10-20, 9000-10-21</t>
        </is>
      </c>
      <c r="G16" s="23" t="inlineStr">
        <is>
          <t>정거장_변전소 환기덕트 시공</t>
        </is>
      </c>
      <c r="H16" s="21" t="inlineStr">
        <is>
          <t>D-75</t>
        </is>
      </c>
      <c r="I16" s="21" t="inlineStr">
        <is>
          <t>기계/소방팀</t>
        </is>
      </c>
      <c r="J16" s="24" t="inlineStr">
        <is>
          <t>변전실 1종 급기가압(10회/h, 실온 ≤40℃) 및 화장실 3종 음압 환기, 역류방지(B.D.D) 구축</t>
        </is>
      </c>
      <c r="K16" s="24" t="inlineStr">
        <is>
          <t>1) STEP 1 (아연도강판 덕트 제작): KCS 41 시방 기준에 따라 아연도강판(GI) 피츠버그 록 성형 및 기밀 실링 시공
2) STEP 2 (방진행거 및 댐퍼 취부): 덕트 하중 지지를 위한 방진스프링 행거(간격 ≤ 2.0m) 및 역류방지 댐퍼(B.D.D) 체결
3) STEP 3 (덕트 누기시험): 연기발생기 및 차압계를 이용하여 허용 누기량(클래스 3 이하) 만족 여부 정밀 측정</t>
        </is>
      </c>
      <c r="L16" s="24" t="inlineStr">
        <is>
          <t>정거장_변전소 환기덕트 시공 시공계획서, 검측요청서 및 공인 시험성적서</t>
        </is>
      </c>
      <c r="M16" s="24" t="inlineStr">
        <is>
          <t>1) 정거장_변전소 환기덕트 시공 (9000-8-15) 과업 달성을 위해 KDS 47 철도설계기준 및 NFTC 화재안전기준을 100% 충족한다.
2) 전기실 1종 정압(10회/h, 실온≤40℃), 화장실 3종 음압(15~20회/h) 및 B.D.D 기류역류방지댐퍼을 엄격히 완수하여 책임감리원 최종 승인을 획득한다.</t>
        </is>
      </c>
      <c r="N16" s="59">
        <f>HYPERLINK(LEFT(CELL("filename",A1),FIND("[",CELL("filename",A1))-1)&amp;"10.기계분야\15_정거장_변전소 환기덕트 시공\표준서\15_정거장_변전소 환기덕트 시공_표준서.html", "👉 [클릭] 표준서 열기 📄")</f>
        <v/>
      </c>
      <c r="O16" s="24" t="inlineStr">
        <is>
          <t>1) STEP 1: 덕트 제작 치수 검수 및 아연도금강판 가공: 자동 절단/절곡기를 통한 각형 덕트 정밀 제작
2) STEP 2: 풍도 댐퍼 및 B.D.D 기류역류방지댐퍼 조립: 외기 침입 차단 및 풍량 조절 장치 가설</t>
        </is>
      </c>
      <c r="P16" s="57">
        <f>HYPERLINK(LEFT(CELL("filename",A1),FIND("[",CELL("filename",A1))-1)&amp;"10.기계분야\15_정거장_변전소 환기덕트 시공\수행지침\15_정거장_변전소 환기덕트 시공_수행지침.html", "👉 [클릭] 수행지침 열기 📄")</f>
        <v/>
      </c>
      <c r="Q16" s="24" t="inlineStr">
        <is>
          <t>1) 덕트 판두께 시방 및 아연도금강판(KSD 3506) 장변 크기별 규격 두께 준수 기준을 100% 충족하였는가?
2) 기류역류방지댐퍼 검측 및 불합격 요소를 전면 차단하였는가?</t>
        </is>
      </c>
      <c r="R16" s="55">
        <f>HYPERLINK(LEFT(CELL("filename",A1),FIND("[",CELL("filename",A1))-1)&amp;"10.기계분야\15_정거장_변전소 환기덕트 시공\체크리스트\15_정거장_변전소 환기덕트 시공_체크리스트.html", "👉 [클릭] 체크리스트 열기 📄")</f>
        <v/>
      </c>
      <c r="S16" s="21" t="inlineStr">
        <is>
          <t>기계·소방 복합 시방 준수</t>
        </is>
      </c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8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8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8" t="n"/>
      <c r="FT16" s="18" t="n"/>
      <c r="FU16" s="18" t="n"/>
      <c r="FV16" s="18" t="n"/>
      <c r="FW16" s="18" t="n"/>
      <c r="FX16" s="18" t="n"/>
      <c r="FY16" s="18" t="n"/>
      <c r="FZ16" s="18" t="n"/>
      <c r="GA16" s="18" t="n"/>
      <c r="GB16" s="18" t="n"/>
      <c r="GC16" s="18" t="n"/>
      <c r="GD16" s="18" t="n"/>
      <c r="GE16" s="18" t="n"/>
      <c r="GF16" s="18" t="n"/>
      <c r="GG16" s="18" t="n"/>
      <c r="GH16" s="18" t="n"/>
      <c r="GI16" s="18" t="n"/>
      <c r="GJ16" s="18" t="n"/>
      <c r="GK16" s="18" t="n"/>
      <c r="GL16" s="18" t="n"/>
      <c r="GM16" s="18" t="n"/>
      <c r="GN16" s="18" t="n"/>
      <c r="GO16" s="18" t="n"/>
      <c r="GP16" s="18" t="n"/>
      <c r="GQ16" s="18" t="n"/>
      <c r="GR16" s="18" t="n"/>
      <c r="GS16" s="18" t="n"/>
      <c r="GT16" s="18" t="n"/>
      <c r="GU16" s="18" t="n"/>
      <c r="GV16" s="18" t="n"/>
      <c r="GW16" s="18" t="n"/>
      <c r="GX16" s="18" t="n"/>
      <c r="GY16" s="18" t="n"/>
      <c r="GZ16" s="18" t="n"/>
      <c r="HA16" s="18" t="n"/>
      <c r="HB16" s="18" t="n"/>
      <c r="HC16" s="18" t="n"/>
    </row>
    <row r="17" ht="79.2" customHeight="1" s="88">
      <c r="A17" s="29" t="inlineStr">
        <is>
          <t>9000</t>
        </is>
      </c>
      <c r="B17" s="29" t="inlineStr">
        <is>
          <t>9000-10</t>
        </is>
      </c>
      <c r="C17" s="29" t="inlineStr">
        <is>
          <t>기계설비·소방설비</t>
        </is>
      </c>
      <c r="D17" s="29" t="inlineStr">
        <is>
          <t>9000-10-16</t>
        </is>
      </c>
      <c r="E17" s="102" t="inlineStr">
        <is>
          <t>9000-10-10, 9000-10-12</t>
        </is>
      </c>
      <c r="F17" s="102" t="inlineStr">
        <is>
          <t>9000-10-21, 9000-10-22</t>
        </is>
      </c>
      <c r="G17" s="32" t="inlineStr">
        <is>
          <t>고내열(250℃) 제연팬_풍도</t>
        </is>
      </c>
      <c r="H17" s="33" t="inlineStr">
        <is>
          <t>D-72</t>
        </is>
      </c>
      <c r="I17" s="33" t="inlineStr">
        <is>
          <t>기계/소방팀</t>
        </is>
      </c>
      <c r="J17" s="34" t="inlineStr">
        <is>
          <t>KFI 공인 250℃ 1시간 연속운전 고내열 제연팬 및 1.5mm 내화풍도 시공으로 화재 유독가스 배출</t>
        </is>
      </c>
      <c r="K17" s="34" t="inlineStr">
        <is>
          <t>1) STEP 1 (고내열 제연팬 거치): KFI 250℃/1h 내열인증 H종 절연 제연팬을 방진 스프링 베이스 위에 수평 거치
2) STEP 2 (내화 제연덕트 체결): 1.5mm 이상 두꺼운 강판 덕트에 1,000℃ 세라믹 불연 가스켓을 삽입하여 고장력 볼트 체결
3) STEP 3 (내진 브레이싱 및 기동 시험): 종·횡방향 내진 버팀대(간격 9m/4.5m) 시공 후 화재 신호 수신 시 30초 내 기동 검증</t>
        </is>
      </c>
      <c r="L17" s="34" t="inlineStr">
        <is>
          <t>고내열(250℃) 제연팬_풍도 시공계획서, 검측요청서 및 공인 시험성적서</t>
        </is>
      </c>
      <c r="M17" s="34" t="inlineStr">
        <is>
          <t>1) 고내열(250℃) 제연팬_풍도 (9000-8-16) 과업 달성을 위해 KDS 47 철도설계기준 및 NFTC 화재안전기준을 100% 충족한다.
2) 최고 250℃에서 1시간 이상 연속운전 공인 내열 제연팬, 풍도 댐퍼 및 고내열 캔버스 가설을 엄격히 완수하여 책임감리원 최종 승인을 획득한다.</t>
        </is>
      </c>
      <c r="N17" s="60">
        <f>HYPERLINK(LEFT(CELL("filename",A1),FIND("[",CELL("filename",A1))-1)&amp;"10.기계분야\16_고내열(250℃) 제연팬_풍도\표준서\16_고내열(250℃) 제연팬_풍도_표준서.html", "👉 [클릭] 표준서 열기 📄")</f>
        <v/>
      </c>
      <c r="O17" s="34" t="inlineStr">
        <is>
          <t>1) STEP 1: 250℃ 고내열 제연팬 사양 검토 및 반입 검수: 내열 모터, KFI 내열 인증서, 블레이드 점검
2) STEP 2: 1.5mm 이상 고강도 제연 풍도 및 내진 지지대 시공: 두꺼운 강판 용접 및 불연 가스켓 체결</t>
        </is>
      </c>
      <c r="P17" s="58">
        <f>HYPERLINK(LEFT(CELL("filename",A1),FIND("[",CELL("filename",A1))-1)&amp;"10.기계분야\16_고내열(250℃) 제연팬_풍도\수행지침\16_고내열(250℃) 제연팬_풍도_수행지침.html", "👉 [클릭] 수행지침 열기 📄")</f>
        <v/>
      </c>
      <c r="Q17" s="34" t="inlineStr">
        <is>
          <t>1) 제연팬 공인인증 시방 및 한국소방산업기술원(KFI) 250℃/1h 내열 성적서 기준을 100% 충족하였는가?
2) 풍도 강판 두께 검측 및 불합격 요소를 전면 차단하였는가?</t>
        </is>
      </c>
      <c r="R17" s="56">
        <f>HYPERLINK(LEFT(CELL("filename",A1),FIND("[",CELL("filename",A1))-1)&amp;"10.기계분야\16_고내열(250℃) 제연팬_풍도\체크리스트\16_고내열(250℃) 제연팬_풍도_체크리스트.html", "👉 [클릭] 체크리스트 열기 📄")</f>
        <v/>
      </c>
      <c r="S17" s="33" t="inlineStr">
        <is>
          <t>기계·소방 복합 시방 준수</t>
        </is>
      </c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8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8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8" t="n"/>
      <c r="FT17" s="18" t="n"/>
      <c r="FU17" s="18" t="n"/>
      <c r="FV17" s="18" t="n"/>
      <c r="FW17" s="18" t="n"/>
      <c r="FX17" s="18" t="n"/>
      <c r="FY17" s="18" t="n"/>
      <c r="FZ17" s="18" t="n"/>
      <c r="GA17" s="18" t="n"/>
      <c r="GB17" s="18" t="n"/>
      <c r="GC17" s="18" t="n"/>
      <c r="GD17" s="18" t="n"/>
      <c r="GE17" s="18" t="n"/>
      <c r="GF17" s="18" t="n"/>
      <c r="GG17" s="18" t="n"/>
      <c r="GH17" s="18" t="n"/>
      <c r="GI17" s="18" t="n"/>
      <c r="GJ17" s="18" t="n"/>
      <c r="GK17" s="18" t="n"/>
      <c r="GL17" s="18" t="n"/>
      <c r="GM17" s="18" t="n"/>
      <c r="GN17" s="18" t="n"/>
      <c r="GO17" s="18" t="n"/>
      <c r="GP17" s="18" t="n"/>
      <c r="GQ17" s="18" t="n"/>
      <c r="GR17" s="18" t="n"/>
      <c r="GS17" s="18" t="n"/>
      <c r="GT17" s="18" t="n"/>
      <c r="GU17" s="18" t="n"/>
      <c r="GV17" s="18" t="n"/>
      <c r="GW17" s="18" t="n"/>
      <c r="GX17" s="18" t="n"/>
      <c r="GY17" s="18" t="n"/>
      <c r="GZ17" s="18" t="n"/>
      <c r="HA17" s="18" t="n"/>
      <c r="HB17" s="18" t="n"/>
      <c r="HC17" s="18" t="n"/>
      <c r="HD17" s="18" t="n"/>
      <c r="HE17" s="18" t="n"/>
      <c r="HF17" s="18" t="n"/>
      <c r="HG17" s="18" t="n"/>
    </row>
    <row r="18" ht="79.2" customHeight="1" s="88">
      <c r="A18" s="19" t="inlineStr">
        <is>
          <t>9000</t>
        </is>
      </c>
      <c r="B18" s="19" t="inlineStr">
        <is>
          <t>9000-10</t>
        </is>
      </c>
      <c r="C18" s="19" t="inlineStr">
        <is>
          <t>기계설비·소방설비</t>
        </is>
      </c>
      <c r="D18" s="19" t="inlineStr">
        <is>
          <t>9000-10-17</t>
        </is>
      </c>
      <c r="E18" s="95" t="inlineStr">
        <is>
          <t>9000-10-11</t>
        </is>
      </c>
      <c r="F18" s="95" t="inlineStr">
        <is>
          <t>9000-10-22, 9000-10-23</t>
        </is>
      </c>
      <c r="G18" s="23" t="inlineStr">
        <is>
          <t>검수고 국부 냉난방 가설</t>
        </is>
      </c>
      <c r="H18" s="21" t="inlineStr">
        <is>
          <t>D-69</t>
        </is>
      </c>
      <c r="I18" s="21" t="inlineStr">
        <is>
          <t>기계/소방팀</t>
        </is>
      </c>
      <c r="J18" s="24" t="inlineStr">
        <is>
          <t>대공간 검수고 작업자 중심 국부 냉난방(이동식 에어컨/원적외선) 및 변전소 전용 PAC 3대 배치</t>
        </is>
      </c>
      <c r="K18" s="49" t="inlineStr">
        <is>
          <t>1) STEP 1 (변전소 PAC 3대 설치): 변전소별 패키지 에어컨(PAC) 3대를 등간격 배치하고 R-410A 냉매배관 기밀시험(3.8MPa)
2) STEP 2 (검수고 국부 냉난방 가설): 정비 피트 및 작업대 위치에 이동식 플렉시블 토출 에어컨과 고효율 원적외선 난방기 설치
3) STEP 3 (시운전 및 온습도 측정): 실별 자동온도조절기(TC) 세팅 및 24시간 연속 운전을 통해 실온 ≤ 28℃ 유지 성능 검증</t>
        </is>
      </c>
      <c r="L18" s="24" t="inlineStr">
        <is>
          <t>검수고 국부 냉난방 가설 시공계획서, 검측요청서 및 공인 시험성적서</t>
        </is>
      </c>
      <c r="M18" s="24" t="inlineStr">
        <is>
          <t>1) 검수고 국부 냉난방 가설 (9000-8-17) 과업 달성을 위해 KDS 47 철도설계기준 및 NFTC 화재안전기준을 100% 충족한다.
2) 차량기지 종합검수고 대공간 에너지 절감 이동식 에어컨/히터 및 변전실 PAC 가설을 엄격히 완수하여 책임감리원 최종 승인을 획득한다.</t>
        </is>
      </c>
      <c r="N18" s="59">
        <f>HYPERLINK(LEFT(CELL("filename",A1),FIND("[",CELL("filename",A1))-1)&amp;"10.기계분야\17_검수고 국부 냉난방 가설\표준서\17_검수고 국부 냉난방 가설_표준서.html", "👉 [클릭] 표준서 열기 📄")</f>
        <v/>
      </c>
      <c r="O18" s="24" t="inlineStr">
        <is>
          <t>1) STEP 1: 대공간 국부 작업 구역 부하 분석 및 장비 선정: 정비원 상주 위치 및 작업 패턴 맞춤 설계
2) STEP 2: 변전실 패키지 에어컨(PAC) 3대 정합성 가설: 내역서/도면 수량 일치 및 실내외기 배관</t>
        </is>
      </c>
      <c r="P18" s="57">
        <f>HYPERLINK(LEFT(CELL("filename",A1),FIND("[",CELL("filename",A1))-1)&amp;"10.기계분야\17_검수고 국부 냉난방 가설\수행지침\17_검수고 국부 냉난방 가설_수행지침.html", "👉 [클릭] 수행지침 열기 📄")</f>
        <v/>
      </c>
      <c r="Q18" s="24" t="inlineStr">
        <is>
          <t>1) 국부 장비 배치 시방 및 종합검수고 하부 피트 및 측면 작업대 전용 배치 기준을 100% 충족하였는가?
2) 이동식 에어컨 검측 및 불합격 요소를 전면 차단하였는가?</t>
        </is>
      </c>
      <c r="R18" s="55">
        <f>HYPERLINK(LEFT(CELL("filename",A1),FIND("[",CELL("filename",A1))-1)&amp;"10.기계분야\17_검수고 국부 냉난방 가설\체크리스트\17_검수고 국부 냉난방 가설_체크리스트.html", "👉 [클릭] 체크리스트 열기 📄")</f>
        <v/>
      </c>
      <c r="S18" s="21" t="inlineStr">
        <is>
          <t>기계·소방 복합 시방 준수</t>
        </is>
      </c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8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8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8" t="n"/>
      <c r="FT18" s="18" t="n"/>
      <c r="FU18" s="18" t="n"/>
      <c r="FV18" s="18" t="n"/>
      <c r="FW18" s="18" t="n"/>
      <c r="FX18" s="18" t="n"/>
      <c r="FY18" s="18" t="n"/>
      <c r="FZ18" s="18" t="n"/>
      <c r="GA18" s="18" t="n"/>
      <c r="GB18" s="18" t="n"/>
      <c r="GC18" s="18" t="n"/>
      <c r="GD18" s="18" t="n"/>
      <c r="GE18" s="18" t="n"/>
      <c r="GF18" s="18" t="n"/>
      <c r="GG18" s="18" t="n"/>
      <c r="GH18" s="18" t="n"/>
      <c r="GI18" s="18" t="n"/>
      <c r="GJ18" s="18" t="n"/>
      <c r="GK18" s="18" t="n"/>
      <c r="GL18" s="18" t="n"/>
      <c r="GM18" s="18" t="n"/>
      <c r="GN18" s="18" t="n"/>
      <c r="GO18" s="18" t="n"/>
      <c r="GP18" s="18" t="n"/>
      <c r="GQ18" s="18" t="n"/>
      <c r="GR18" s="18" t="n"/>
      <c r="GS18" s="18" t="n"/>
      <c r="GT18" s="18" t="n"/>
      <c r="GU18" s="18" t="n"/>
      <c r="GV18" s="18" t="n"/>
      <c r="GW18" s="18" t="n"/>
      <c r="GX18" s="18" t="n"/>
      <c r="GY18" s="18" t="n"/>
      <c r="GZ18" s="18" t="n"/>
      <c r="HA18" s="18" t="n"/>
      <c r="HB18" s="18" t="n"/>
      <c r="HC18" s="18" t="n"/>
      <c r="HD18" s="18" t="n"/>
      <c r="HE18" s="18" t="n"/>
      <c r="HF18" s="18" t="n"/>
      <c r="HG18" s="18" t="n"/>
      <c r="HH18" s="18" t="n"/>
      <c r="HI18" s="18" t="n"/>
      <c r="HJ18" s="18" t="n"/>
      <c r="HK18" s="18" t="n"/>
    </row>
    <row r="19" ht="79.2" customHeight="1" s="88">
      <c r="A19" s="29" t="inlineStr">
        <is>
          <t>9000</t>
        </is>
      </c>
      <c r="B19" s="29" t="inlineStr">
        <is>
          <t>9000-10</t>
        </is>
      </c>
      <c r="C19" s="29" t="inlineStr">
        <is>
          <t>기계설비·소방설비</t>
        </is>
      </c>
      <c r="D19" s="29" t="inlineStr">
        <is>
          <t>9000-10-18</t>
        </is>
      </c>
      <c r="E19" s="102" t="inlineStr">
        <is>
          <t>9000-10-12, 9000-10-13</t>
        </is>
      </c>
      <c r="F19" s="102" t="inlineStr">
        <is>
          <t>9000-10-23, 9000-10-24</t>
        </is>
      </c>
      <c r="G19" s="32" t="inlineStr">
        <is>
          <t>냉온수_냉각수 배관 용접</t>
        </is>
      </c>
      <c r="H19" s="33" t="inlineStr">
        <is>
          <t>D-66</t>
        </is>
      </c>
      <c r="I19" s="33" t="inlineStr">
        <is>
          <t>기계/소방팀</t>
        </is>
      </c>
      <c r="J19" s="34" t="inlineStr">
        <is>
          <t>KSD 3562 탄소강관 맞대기 용접, 비파괴검사(RT ≥ 10%) 및 1.5MPa 수압시험을 통한 누수 Zero</t>
        </is>
      </c>
      <c r="K19" s="50" t="inlineStr">
        <is>
          <t>1) STEP 1 (그루브 가공 및 맞대기 용접): 배관 단부 30~35° 베벨 가공 후 TIG 루트패스 및 아크 다층 맞대기 용접
2) STEP 2 (방사선 비파괴검사 RT): 용접부의 10% 이상을 무작위 추출하여 방사선 투과 촬영(RT) 및 결함(기공, 슬래그) 100% 판독
3) STEP 3 (1.5배 수압시험 및 보온): 설계압력 1.5배(1.5MPa) 60분 무누수 확인 후 난연 고무발포 단열재(40mm) 밀착 시공</t>
        </is>
      </c>
      <c r="L19" s="34" t="inlineStr">
        <is>
          <t>냉온수_냉각수 배관 용접 시공계획서, 검측요청서 및 공인 시험성적서</t>
        </is>
      </c>
      <c r="M19" s="34" t="inlineStr">
        <is>
          <t>1) 냉온수_냉각수 배관 용접 (9000-8-18) 과업 달성을 위해 KDS 47 철도설계기준 및 NFTC 화재안전기준을 100% 충족한다.
2) 배관용 탄소강관(KSD 3507/3562) 아크용접, 비파괴검사(RT/UT) 및 1.5배 수압시험을 엄격히 완수하여 책임감리원 최종 승인을 획득한다.</t>
        </is>
      </c>
      <c r="N19" s="60">
        <f>HYPERLINK(LEFT(CELL("filename",A1),FIND("[",CELL("filename",A1))-1)&amp;"10.기계분야\18_냉온수_냉각수 배관 용접\표준서\18_냉온수_냉각수 배관 용접_표준서.html", "👉 [클릭] 표준서 열기 📄")</f>
        <v/>
      </c>
      <c r="O19" s="34" t="inlineStr">
        <is>
          <t>1) STEP 1: 배관 절단 및 개선(Beveling) 가공: 자동 파이프 절단기 및 그라인더 개선각(30~35°) 가공
2) STEP 2: 가접 및 다층 맞대기 용접(WPS 준수): 루트 패스 TIG 용접 + 캡 패스 아크용접</t>
        </is>
      </c>
      <c r="P19" s="58">
        <f>HYPERLINK(LEFT(CELL("filename",A1),FIND("[",CELL("filename",A1))-1)&amp;"10.기계분야\18_냉온수_냉각수 배관 용접\수행지침\18_냉온수_냉각수 배관 용접_수행지침.html", "👉 [클릭] 수행지침 열기 📄")</f>
        <v/>
      </c>
      <c r="Q19" s="34" t="inlineStr">
        <is>
          <t>1) 용접사 자격 검증 시방 및 국가기술자격(용접기능사 이상) 및 기량 시험 합격 기준을 100% 충족하였는가?
2) 용접부 비파괴(NDT) 검측 및 불합격 요소를 전면 차단하였는가?</t>
        </is>
      </c>
      <c r="R19" s="56">
        <f>HYPERLINK(LEFT(CELL("filename",A1),FIND("[",CELL("filename",A1))-1)&amp;"10.기계분야\18_냉온수_냉각수 배관 용접\체크리스트\18_냉온수_냉각수 배관 용접_체크리스트.html", "👉 [클릭] 체크리스트 열기 📄")</f>
        <v/>
      </c>
      <c r="S19" s="33" t="inlineStr">
        <is>
          <t>기계·소방 복합 시방 준수</t>
        </is>
      </c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Y19" s="18" t="n"/>
      <c r="DZ19" s="18" t="n"/>
      <c r="EA19" s="18" t="n"/>
      <c r="EB19" s="18" t="n"/>
      <c r="EC19" s="18" t="n"/>
      <c r="ED19" s="18" t="n"/>
      <c r="EE19" s="18" t="n"/>
      <c r="EF19" s="18" t="n"/>
      <c r="EG19" s="18" t="n"/>
      <c r="EH19" s="18" t="n"/>
      <c r="EI19" s="18" t="n"/>
      <c r="EJ19" s="18" t="n"/>
      <c r="EK19" s="18" t="n"/>
      <c r="EL19" s="18" t="n"/>
      <c r="EM19" s="18" t="n"/>
      <c r="EN19" s="18" t="n"/>
      <c r="EO19" s="18" t="n"/>
      <c r="EP19" s="18" t="n"/>
      <c r="EQ19" s="18" t="n"/>
      <c r="ER19" s="18" t="n"/>
      <c r="ES19" s="18" t="n"/>
      <c r="ET19" s="18" t="n"/>
      <c r="EU19" s="18" t="n"/>
      <c r="EV19" s="18" t="n"/>
      <c r="EW19" s="18" t="n"/>
      <c r="EX19" s="18" t="n"/>
      <c r="EY19" s="18" t="n"/>
      <c r="EZ19" s="18" t="n"/>
      <c r="FA19" s="18" t="n"/>
      <c r="FB19" s="18" t="n"/>
      <c r="FC19" s="18" t="n"/>
      <c r="FD19" s="18" t="n"/>
      <c r="FE19" s="18" t="n"/>
      <c r="FF19" s="18" t="n"/>
      <c r="FG19" s="18" t="n"/>
      <c r="FH19" s="18" t="n"/>
      <c r="FI19" s="18" t="n"/>
      <c r="FJ19" s="18" t="n"/>
      <c r="FK19" s="18" t="n"/>
      <c r="FL19" s="18" t="n"/>
      <c r="FM19" s="18" t="n"/>
      <c r="FN19" s="18" t="n"/>
      <c r="FO19" s="18" t="n"/>
      <c r="FP19" s="18" t="n"/>
      <c r="FQ19" s="18" t="n"/>
      <c r="FR19" s="18" t="n"/>
      <c r="FS19" s="18" t="n"/>
      <c r="FT19" s="18" t="n"/>
      <c r="FU19" s="18" t="n"/>
      <c r="FV19" s="18" t="n"/>
      <c r="FW19" s="18" t="n"/>
      <c r="FX19" s="18" t="n"/>
      <c r="FY19" s="18" t="n"/>
      <c r="FZ19" s="18" t="n"/>
      <c r="GA19" s="18" t="n"/>
      <c r="GB19" s="18" t="n"/>
      <c r="GC19" s="18" t="n"/>
      <c r="GD19" s="18" t="n"/>
      <c r="GE19" s="18" t="n"/>
      <c r="GF19" s="18" t="n"/>
      <c r="GG19" s="18" t="n"/>
      <c r="GH19" s="18" t="n"/>
      <c r="GI19" s="18" t="n"/>
      <c r="GJ19" s="18" t="n"/>
      <c r="GK19" s="18" t="n"/>
      <c r="GL19" s="18" t="n"/>
      <c r="GM19" s="18" t="n"/>
      <c r="GN19" s="18" t="n"/>
      <c r="GO19" s="18" t="n"/>
      <c r="GP19" s="18" t="n"/>
      <c r="GQ19" s="18" t="n"/>
      <c r="GR19" s="18" t="n"/>
      <c r="GS19" s="18" t="n"/>
      <c r="GT19" s="18" t="n"/>
      <c r="GU19" s="18" t="n"/>
      <c r="GV19" s="18" t="n"/>
      <c r="GW19" s="18" t="n"/>
      <c r="GX19" s="18" t="n"/>
      <c r="GY19" s="18" t="n"/>
      <c r="GZ19" s="18" t="n"/>
      <c r="HA19" s="18" t="n"/>
      <c r="HB19" s="18" t="n"/>
      <c r="HC19" s="18" t="n"/>
      <c r="HD19" s="18" t="n"/>
      <c r="HE19" s="18" t="n"/>
      <c r="HF19" s="18" t="n"/>
      <c r="HG19" s="18" t="n"/>
      <c r="HH19" s="18" t="n"/>
      <c r="HI19" s="18" t="n"/>
      <c r="HJ19" s="18" t="n"/>
      <c r="HK19" s="18" t="n"/>
      <c r="HL19" s="18" t="n"/>
      <c r="HM19" s="18" t="n"/>
      <c r="HN19" s="18" t="n"/>
      <c r="HO19" s="18" t="n"/>
    </row>
    <row r="20" ht="79.2" customHeight="1" s="88">
      <c r="A20" s="19" t="inlineStr">
        <is>
          <t>9000</t>
        </is>
      </c>
      <c r="B20" s="19" t="inlineStr">
        <is>
          <t>9000-10</t>
        </is>
      </c>
      <c r="C20" s="19" t="inlineStr">
        <is>
          <t>기계설비·소방설비</t>
        </is>
      </c>
      <c r="D20" s="19" t="inlineStr">
        <is>
          <t>9000-10-19</t>
        </is>
      </c>
      <c r="E20" s="95" t="inlineStr">
        <is>
          <t>9000-10-13, 9000-10-14</t>
        </is>
      </c>
      <c r="F20" s="95" t="inlineStr">
        <is>
          <t>9000-10-24, 9000-10-25</t>
        </is>
      </c>
      <c r="G20" s="23" t="inlineStr">
        <is>
          <t>능동지하차도 전용터널 제연</t>
        </is>
      </c>
      <c r="H20" s="21" t="inlineStr">
        <is>
          <t>D-63</t>
        </is>
      </c>
      <c r="I20" s="21" t="inlineStr">
        <is>
          <t>기계/소방팀</t>
        </is>
      </c>
      <c r="J20" s="24" t="inlineStr">
        <is>
          <t>지하차도 트램 전용터널 제연(Jet Fan 임계풍속 ≥ 2.5m/s) 및 50m 간격 건식 연결송수관 구축</t>
        </is>
      </c>
      <c r="K20" s="49" t="inlineStr">
        <is>
          <t>1) STEP 1 (Jet Fan 천장 앵커링): 터널 천장부에 진동 감쇠 방진행거 및 고장력 케미컬 앵커로 Jet Fan 안전 체결
2) STEP 2 (3D CFD 풍속 검증): 터널 화재 시뮬레이션 기반 임계풍속(2.5m/s) 도출 및 연기 역류(Backlayering) 차단 검증
3) STEP 3 (건식 연결송수관 시공): 50m 간격 방수구함(D100 Sch40) 설치 및 2.0MPa 고압 수압시험을 통한 배관 내력 확인</t>
        </is>
      </c>
      <c r="L20" s="24" t="inlineStr">
        <is>
          <t>능동지하차도 전용터널 제연 시공계획서, 검측요청서 및 공인 시험성적서</t>
        </is>
      </c>
      <c r="M20" s="24" t="inlineStr">
        <is>
          <t>1) 능동지하차도 전용터널 제연 (9000-8-19) 과업 달성을 위해 KDS 47 철도설계기준 및 NFTC 화재안전기준을 100% 충족한다.
2) 트램 전용터널 제연팬, 건식 연결송수관 및 CFD 수치해석 시뮬레이션 기반 피난기류 검증을 엄격히 완수하여 책임감리원 최종 승인을 획득한다.</t>
        </is>
      </c>
      <c r="N20" s="59">
        <f>HYPERLINK(LEFT(CELL("filename",A1),FIND("[",CELL("filename",A1))-1)&amp;"10.기계분야\19_능동지하차도 전용터널 제연\표준서\19_능동지하차도 전용터널 제연_표준서.html", "👉 [클릭] 표준서 열기 📄")</f>
        <v/>
      </c>
      <c r="O20" s="24" t="inlineStr">
        <is>
          <t>1) STEP 1: 3D CFD 화재 및 피난 시뮬레이션 모델링: 화재 열방출률(HRR), 연기 확산 및 가시거리 해석
2) STEP 2: 터널 천장 제연팬(Jet Fan) 앵커링 및 내진 시공: 콘크리트 케미컬 앵커 및 방진 스프링</t>
        </is>
      </c>
      <c r="P20" s="57">
        <f>HYPERLINK(LEFT(CELL("filename",A1),FIND("[",CELL("filename",A1))-1)&amp;"10.기계분야\19_능동지하차도 전용터널 제연\수행지침\19_능동지하차도 전용터널 제연_수행지침.html", "👉 [클릭] 수행지침 열기 📄")</f>
        <v/>
      </c>
      <c r="Q20" s="24" t="inlineStr">
        <is>
          <t>1) CFD 화재 시뮬레이션 시방 및 화재 강도(5~10MW) 및 승객 피난 시뮬레이션 기준을 100% 충족하였는가?
2) 터널 제연팬(Jet Fan) 검측 및 불합격 요소를 전면 차단하였는가?</t>
        </is>
      </c>
      <c r="R20" s="55">
        <f>HYPERLINK(LEFT(CELL("filename",A1),FIND("[",CELL("filename",A1))-1)&amp;"10.기계분야\19_능동지하차도 전용터널 제연\체크리스트\19_능동지하차도 전용터널 제연_체크리스트.html", "👉 [클릭] 체크리스트 열기 📄")</f>
        <v/>
      </c>
      <c r="S20" s="21" t="inlineStr">
        <is>
          <t>기계·소방 복합 시방 준수</t>
        </is>
      </c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Y20" s="18" t="n"/>
      <c r="DZ20" s="18" t="n"/>
      <c r="EA20" s="18" t="n"/>
      <c r="EB20" s="18" t="n"/>
      <c r="EC20" s="18" t="n"/>
      <c r="ED20" s="18" t="n"/>
      <c r="EE20" s="18" t="n"/>
      <c r="EF20" s="18" t="n"/>
      <c r="EG20" s="18" t="n"/>
      <c r="EH20" s="18" t="n"/>
      <c r="EI20" s="18" t="n"/>
      <c r="EJ20" s="18" t="n"/>
      <c r="EK20" s="18" t="n"/>
      <c r="EL20" s="18" t="n"/>
      <c r="EM20" s="18" t="n"/>
      <c r="EN20" s="18" t="n"/>
      <c r="EO20" s="18" t="n"/>
      <c r="EP20" s="18" t="n"/>
      <c r="EQ20" s="18" t="n"/>
      <c r="ER20" s="18" t="n"/>
      <c r="ES20" s="18" t="n"/>
      <c r="ET20" s="18" t="n"/>
      <c r="EU20" s="18" t="n"/>
      <c r="EV20" s="18" t="n"/>
      <c r="EW20" s="18" t="n"/>
      <c r="EX20" s="18" t="n"/>
      <c r="EY20" s="18" t="n"/>
      <c r="EZ20" s="18" t="n"/>
      <c r="FA20" s="18" t="n"/>
      <c r="FB20" s="18" t="n"/>
      <c r="FC20" s="18" t="n"/>
      <c r="FD20" s="18" t="n"/>
      <c r="FE20" s="18" t="n"/>
      <c r="FF20" s="18" t="n"/>
      <c r="FG20" s="18" t="n"/>
      <c r="FH20" s="18" t="n"/>
      <c r="FI20" s="18" t="n"/>
      <c r="FJ20" s="18" t="n"/>
      <c r="FK20" s="18" t="n"/>
      <c r="FL20" s="18" t="n"/>
      <c r="FM20" s="18" t="n"/>
      <c r="FN20" s="18" t="n"/>
      <c r="FO20" s="18" t="n"/>
      <c r="FP20" s="18" t="n"/>
      <c r="FQ20" s="18" t="n"/>
      <c r="FR20" s="18" t="n"/>
      <c r="FS20" s="18" t="n"/>
      <c r="FT20" s="18" t="n"/>
      <c r="FU20" s="18" t="n"/>
      <c r="FV20" s="18" t="n"/>
      <c r="FW20" s="18" t="n"/>
      <c r="FX20" s="18" t="n"/>
      <c r="FY20" s="18" t="n"/>
      <c r="FZ20" s="18" t="n"/>
      <c r="GA20" s="18" t="n"/>
      <c r="GB20" s="18" t="n"/>
      <c r="GC20" s="18" t="n"/>
      <c r="GD20" s="18" t="n"/>
      <c r="GE20" s="18" t="n"/>
      <c r="GF20" s="18" t="n"/>
      <c r="GG20" s="18" t="n"/>
      <c r="GH20" s="18" t="n"/>
      <c r="GI20" s="18" t="n"/>
      <c r="GJ20" s="18" t="n"/>
      <c r="GK20" s="18" t="n"/>
      <c r="GL20" s="18" t="n"/>
      <c r="GM20" s="18" t="n"/>
      <c r="GN20" s="18" t="n"/>
      <c r="GO20" s="18" t="n"/>
      <c r="GP20" s="18" t="n"/>
      <c r="GQ20" s="18" t="n"/>
      <c r="GR20" s="18" t="n"/>
      <c r="GS20" s="18" t="n"/>
      <c r="GT20" s="18" t="n"/>
      <c r="GU20" s="18" t="n"/>
      <c r="GV20" s="18" t="n"/>
      <c r="GW20" s="18" t="n"/>
      <c r="GX20" s="18" t="n"/>
      <c r="GY20" s="18" t="n"/>
      <c r="GZ20" s="18" t="n"/>
      <c r="HA20" s="18" t="n"/>
      <c r="HB20" s="18" t="n"/>
      <c r="HC20" s="18" t="n"/>
      <c r="HD20" s="18" t="n"/>
      <c r="HE20" s="18" t="n"/>
      <c r="HF20" s="18" t="n"/>
      <c r="HG20" s="18" t="n"/>
      <c r="HH20" s="18" t="n"/>
      <c r="HI20" s="18" t="n"/>
      <c r="HJ20" s="18" t="n"/>
      <c r="HK20" s="18" t="n"/>
      <c r="HL20" s="18" t="n"/>
      <c r="HM20" s="18" t="n"/>
      <c r="HN20" s="18" t="n"/>
      <c r="HO20" s="18" t="n"/>
      <c r="HP20" s="18" t="n"/>
      <c r="HQ20" s="18" t="n"/>
      <c r="HR20" s="18" t="n"/>
      <c r="HS20" s="18" t="n"/>
    </row>
    <row r="21" ht="79.2" customHeight="1" s="88">
      <c r="A21" s="29" t="inlineStr">
        <is>
          <t>9000</t>
        </is>
      </c>
      <c r="B21" s="29" t="inlineStr">
        <is>
          <t>9000-10</t>
        </is>
      </c>
      <c r="C21" s="29" t="inlineStr">
        <is>
          <t>기계설비·소방설비</t>
        </is>
      </c>
      <c r="D21" s="29" t="inlineStr">
        <is>
          <t>9000-10-20</t>
        </is>
      </c>
      <c r="E21" s="102" t="inlineStr">
        <is>
          <t>9000-10-14, 9000-10-15</t>
        </is>
      </c>
      <c r="F21" s="102" t="inlineStr">
        <is>
          <t>9000-10-25, 9000-10-26</t>
        </is>
      </c>
      <c r="G21" s="32" t="inlineStr">
        <is>
          <t>공기조화기(AHU_PAC) 거치</t>
        </is>
      </c>
      <c r="H21" s="33" t="inlineStr">
        <is>
          <t>D-60</t>
        </is>
      </c>
      <c r="I21" s="33" t="inlineStr">
        <is>
          <t>기계/소방팀</t>
        </is>
      </c>
      <c r="J21" s="34" t="inlineStr">
        <is>
          <t>공조기 케이싱 수평 거치, 방진마운트(정적변위 ≥ 25mm) 진동 차단 및 딥 U-Trap 배수</t>
        </is>
      </c>
      <c r="K21" s="34" t="inlineStr">
        <is>
          <t>1) STEP 1 (기초 패드 및 방진마운트): 콘크리트 패드 위에 정적 변위 25mm 밀폐형 스프링 방진기 설치 및 수평 레벨링
2) STEP 2 (불연 캔버스 연결): 송풍기 토출구와 덕트 사이에 실리콘 코팅 불연 캔버스를 주름 없이 견고히 체결
3) STEP 3 (딥 U-Trap 드레인 시공): 흡입 부압에 견디도록 유효 봉수 100mm 이상의 드레인 트랩 시공 후 배수 통수시험</t>
        </is>
      </c>
      <c r="L21" s="34" t="inlineStr">
        <is>
          <t>공기조화기(AHU_PAC) 거치 시공계획서, 검측요청서 및 공인 시험성적서</t>
        </is>
      </c>
      <c r="M21" s="34" t="inlineStr">
        <is>
          <t>1) 공기조화기(AHU_PAC) 거치 (9000-8-20) 과업 달성을 위해 KDS 47 철도설계기준 및 NFTC 화재안전기준을 100% 충족한다.
2) 공조기계실 AHU, 전기실 항온항습기(PAC) 방진스프링 방진가대 가설 및 수평도 검측을 엄격히 완수하여 책임감리원 최종 승인을 획득한다.</t>
        </is>
      </c>
      <c r="N21" s="60">
        <f>HYPERLINK(LEFT(CELL("filename",A1),FIND("[",CELL("filename",A1))-1)&amp;"10.기계분야\20_공기조화기(AHU_PAC) 거치\표준서\20_공기조화기(AHU_PAC) 거치_표준서.html", "👉 [클릭] 표준서 열기 📄")</f>
        <v/>
      </c>
      <c r="O21" s="34" t="inlineStr">
        <is>
          <t>1) STEP 1: 기초 콘크리트 패드 검측 및 기준선 마킹: 기계실 바닥 패드 높이, 수평도, 앵커 위치 실측
2) STEP 2: AHU 분할 반입 및 블록 조립 결속: 송풍기부, 코일부, 필터부 정밀 밀착 체결</t>
        </is>
      </c>
      <c r="P21" s="58">
        <f>HYPERLINK(LEFT(CELL("filename",A1),FIND("[",CELL("filename",A1))-1)&amp;"10.기계분야\20_공기조화기(AHU_PAC) 거치\수행지침\20_공기조화기(AHU_PAC) 거치_수행지침.html", "👉 [클릭] 수행지침 열기 📄")</f>
        <v/>
      </c>
      <c r="Q21" s="34" t="inlineStr">
        <is>
          <t>1) 기초 패드 검측 시방 및 콘크리트 패드 강도(≥24MPa), 수평도 및 배근 기준을 100% 충족하였는가?
2) 방진 마운트 검측 및 불합격 요소를 전면 차단하였는가?</t>
        </is>
      </c>
      <c r="R21" s="56">
        <f>HYPERLINK(LEFT(CELL("filename",A1),FIND("[",CELL("filename",A1))-1)&amp;"10.기계분야\20_공기조화기(AHU_PAC) 거치\체크리스트\20_공기조화기(AHU_PAC) 거치_체크리스트.html", "👉 [클릭] 체크리스트 열기 📄")</f>
        <v/>
      </c>
      <c r="S21" s="33" t="inlineStr">
        <is>
          <t>기계·소방 복합 시방 준수</t>
        </is>
      </c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8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8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8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18" t="n"/>
      <c r="GI21" s="18" t="n"/>
      <c r="GJ21" s="18" t="n"/>
      <c r="GK21" s="18" t="n"/>
      <c r="GL21" s="18" t="n"/>
      <c r="GM21" s="18" t="n"/>
      <c r="GN21" s="18" t="n"/>
      <c r="GO21" s="18" t="n"/>
      <c r="GP21" s="18" t="n"/>
      <c r="GQ21" s="18" t="n"/>
      <c r="GR21" s="18" t="n"/>
      <c r="GS21" s="18" t="n"/>
      <c r="GT21" s="18" t="n"/>
      <c r="GU21" s="18" t="n"/>
      <c r="GV21" s="18" t="n"/>
      <c r="GW21" s="18" t="n"/>
      <c r="GX21" s="18" t="n"/>
      <c r="GY21" s="18" t="n"/>
      <c r="GZ21" s="18" t="n"/>
      <c r="HA21" s="18" t="n"/>
      <c r="HB21" s="18" t="n"/>
      <c r="HC21" s="18" t="n"/>
      <c r="HD21" s="18" t="n"/>
      <c r="HE21" s="18" t="n"/>
      <c r="HF21" s="18" t="n"/>
      <c r="HG21" s="18" t="n"/>
      <c r="HH21" s="18" t="n"/>
      <c r="HI21" s="18" t="n"/>
      <c r="HJ21" s="18" t="n"/>
      <c r="HK21" s="18" t="n"/>
      <c r="HL21" s="18" t="n"/>
      <c r="HM21" s="18" t="n"/>
      <c r="HN21" s="18" t="n"/>
      <c r="HO21" s="18" t="n"/>
      <c r="HP21" s="18" t="n"/>
      <c r="HQ21" s="18" t="n"/>
      <c r="HR21" s="18" t="n"/>
      <c r="HS21" s="18" t="n"/>
      <c r="HT21" s="18" t="n"/>
      <c r="HU21" s="18" t="n"/>
      <c r="HV21" s="18" t="n"/>
      <c r="HW21" s="18" t="n"/>
    </row>
    <row r="22" ht="79.2" customHeight="1" s="88">
      <c r="A22" s="19" t="inlineStr">
        <is>
          <t>9000</t>
        </is>
      </c>
      <c r="B22" s="19" t="inlineStr">
        <is>
          <t>9000-10</t>
        </is>
      </c>
      <c r="C22" s="19" t="inlineStr">
        <is>
          <t>기계설비·소방설비</t>
        </is>
      </c>
      <c r="D22" s="19" t="inlineStr">
        <is>
          <t>9000-10-21</t>
        </is>
      </c>
      <c r="E22" s="95" t="inlineStr">
        <is>
          <t>9000-10-15, 9000-10-16</t>
        </is>
      </c>
      <c r="F22" s="95" t="inlineStr">
        <is>
          <t>9000-10-26, 9000-10-27</t>
        </is>
      </c>
      <c r="G22" s="23" t="inlineStr">
        <is>
          <t>급수_급탕 STS 배관 시공</t>
        </is>
      </c>
      <c r="H22" s="21" t="inlineStr">
        <is>
          <t>D+5</t>
        </is>
      </c>
      <c r="I22" s="21" t="inlineStr">
        <is>
          <t>기계/소방팀</t>
        </is>
      </c>
      <c r="J22" s="24" t="inlineStr">
        <is>
          <t>STS304 강관 무용접 프레스 피팅 전동 압착, 1.0MPa 수압시험 및 위생 염소소독 완료</t>
        </is>
      </c>
      <c r="K22" s="24" t="inlineStr">
        <is>
          <t>1) STEP 1 (관 절단 및 프레스 압착): 롤러 커터로 관 직각 절단, 리머 버 제거, EPDM 오링 삽입 후 전동 압착공구 체결
2) STEP 2 (육각 게이지 전수 검측): 전용 판정 게이지(Go/No-Go)를 결합부에 밀착하여 압착 치수 정밀도 100% 전수 검사
3) STEP 3 (수압시험 및 차아염소산 소독): 1.0MPa 60분 수압 무누수 확인 후 50ppm 염소수로 24시간 통수 살균 및 수질검사</t>
        </is>
      </c>
      <c r="L22" s="24" t="inlineStr">
        <is>
          <t>급수_급탕 STS 배관 시공 시공계획서, 검측요청서 및 공인 시험성적서</t>
        </is>
      </c>
      <c r="M22" s="24" t="inlineStr">
        <is>
          <t>1) 급수_급탕 STS 배관 시공 (9000-8-21) 과업 달성을 위해 KDS 47 철도설계기준 및 NFTC 화재안전기준을 100% 충족한다.
2) KSD 3595 무용접 프레스 압착이음/용접이음, 배관 세척 소독 및 1.0MPa 수압시험을 엄격히 완수하여 책임감리원 최종 승인을 획득한다.</t>
        </is>
      </c>
      <c r="N22" s="59">
        <f>HYPERLINK(LEFT(CELL("filename",A1),FIND("[",CELL("filename",A1))-1)&amp;"10.기계분야\21_급수_급탕 STS 배관 시공\표준서\21_급수_급탕 STS 배관 시공_표준서.html", "👉 [클릭] 표준서 열기 📄")</f>
        <v/>
      </c>
      <c r="O22" s="24" t="inlineStr">
        <is>
          <t>1) STEP 1: STS 파이프 정밀 절단 및 단부 버(Burr) 제거: 전용 롤러 커터 절단 및 리머 내·외부 모따기
2) STEP 2: 피팅 삽입 깊이 마킹 및 전동 압착 체결: 삽입선 마킹 확인 및 전용 조(Jaw) 압착</t>
        </is>
      </c>
      <c r="P22" s="57">
        <f>HYPERLINK(LEFT(CELL("filename",A1),FIND("[",CELL("filename",A1))-1)&amp;"10.기계분야\21_급수_급탕 STS 배관 시공\수행지침\21_급수_급탕 STS 배관 시공_수행지침.html", "👉 [클릭] 수행지침 열기 📄")</f>
        <v/>
      </c>
      <c r="Q22" s="24" t="inlineStr">
        <is>
          <t>1) STS 파이프 규격 시방 및 KSD 3595 SU 파이프 및 KSD 3576 Sch 10S/20S 기준을 100% 충족하였는가?
2) 무용접 프레스 압착 검측 및 불합격 요소를 전면 차단하였는가?</t>
        </is>
      </c>
      <c r="R22" s="55">
        <f>HYPERLINK(LEFT(CELL("filename",A1),FIND("[",CELL("filename",A1))-1)&amp;"10.기계분야\21_급수_급탕 STS 배관 시공\체크리스트\21_급수_급탕 STS 배관 시공_체크리스트.html", "👉 [클릭] 체크리스트 열기 📄")</f>
        <v/>
      </c>
      <c r="S22" s="21" t="inlineStr">
        <is>
          <t>기계·소방 복합 시방 준수</t>
        </is>
      </c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Y22" s="18" t="n"/>
      <c r="DZ22" s="18" t="n"/>
      <c r="EA22" s="18" t="n"/>
      <c r="EB22" s="18" t="n"/>
      <c r="EC22" s="18" t="n"/>
      <c r="ED22" s="18" t="n"/>
      <c r="EE22" s="18" t="n"/>
      <c r="EF22" s="18" t="n"/>
      <c r="EG22" s="18" t="n"/>
      <c r="EH22" s="18" t="n"/>
      <c r="EI22" s="18" t="n"/>
      <c r="EJ22" s="18" t="n"/>
      <c r="EK22" s="18" t="n"/>
      <c r="EL22" s="18" t="n"/>
      <c r="EM22" s="18" t="n"/>
      <c r="EN22" s="18" t="n"/>
      <c r="EO22" s="18" t="n"/>
      <c r="EP22" s="18" t="n"/>
      <c r="EQ22" s="18" t="n"/>
      <c r="ER22" s="18" t="n"/>
      <c r="ES22" s="18" t="n"/>
      <c r="ET22" s="18" t="n"/>
      <c r="EU22" s="18" t="n"/>
      <c r="EV22" s="18" t="n"/>
      <c r="EW22" s="18" t="n"/>
      <c r="EX22" s="18" t="n"/>
      <c r="EY22" s="18" t="n"/>
      <c r="EZ22" s="18" t="n"/>
      <c r="FA22" s="18" t="n"/>
      <c r="FB22" s="18" t="n"/>
      <c r="FC22" s="18" t="n"/>
      <c r="FD22" s="18" t="n"/>
      <c r="FE22" s="18" t="n"/>
      <c r="FF22" s="18" t="n"/>
      <c r="FG22" s="18" t="n"/>
      <c r="FH22" s="18" t="n"/>
      <c r="FI22" s="18" t="n"/>
      <c r="FJ22" s="18" t="n"/>
      <c r="FK22" s="18" t="n"/>
      <c r="FL22" s="18" t="n"/>
      <c r="FM22" s="18" t="n"/>
      <c r="FN22" s="18" t="n"/>
      <c r="FO22" s="18" t="n"/>
      <c r="FP22" s="18" t="n"/>
      <c r="FQ22" s="18" t="n"/>
      <c r="FR22" s="18" t="n"/>
      <c r="FS22" s="18" t="n"/>
      <c r="FT22" s="18" t="n"/>
      <c r="FU22" s="18" t="n"/>
      <c r="FV22" s="18" t="n"/>
      <c r="FW22" s="18" t="n"/>
      <c r="FX22" s="18" t="n"/>
      <c r="FY22" s="18" t="n"/>
      <c r="FZ22" s="18" t="n"/>
      <c r="GA22" s="18" t="n"/>
      <c r="GB22" s="18" t="n"/>
      <c r="GC22" s="18" t="n"/>
      <c r="GD22" s="18" t="n"/>
      <c r="GE22" s="18" t="n"/>
      <c r="GF22" s="18" t="n"/>
      <c r="GG22" s="18" t="n"/>
      <c r="GH22" s="18" t="n"/>
      <c r="GI22" s="18" t="n"/>
      <c r="GJ22" s="18" t="n"/>
      <c r="GK22" s="18" t="n"/>
      <c r="GL22" s="18" t="n"/>
      <c r="GM22" s="18" t="n"/>
      <c r="GN22" s="18" t="n"/>
      <c r="GO22" s="18" t="n"/>
      <c r="GP22" s="18" t="n"/>
      <c r="GQ22" s="18" t="n"/>
      <c r="GR22" s="18" t="n"/>
      <c r="GS22" s="18" t="n"/>
      <c r="GT22" s="18" t="n"/>
      <c r="GU22" s="18" t="n"/>
      <c r="GV22" s="18" t="n"/>
      <c r="GW22" s="18" t="n"/>
      <c r="GX22" s="18" t="n"/>
      <c r="GY22" s="18" t="n"/>
      <c r="GZ22" s="18" t="n"/>
      <c r="HA22" s="18" t="n"/>
      <c r="HB22" s="18" t="n"/>
      <c r="HC22" s="18" t="n"/>
      <c r="HD22" s="18" t="n"/>
      <c r="HE22" s="18" t="n"/>
      <c r="HF22" s="18" t="n"/>
      <c r="HG22" s="18" t="n"/>
      <c r="HH22" s="18" t="n"/>
      <c r="HI22" s="18" t="n"/>
      <c r="HJ22" s="18" t="n"/>
      <c r="HK22" s="18" t="n"/>
      <c r="HL22" s="18" t="n"/>
      <c r="HM22" s="18" t="n"/>
      <c r="HN22" s="18" t="n"/>
      <c r="HO22" s="18" t="n"/>
      <c r="HP22" s="18" t="n"/>
      <c r="HQ22" s="18" t="n"/>
      <c r="HR22" s="18" t="n"/>
      <c r="HS22" s="18" t="n"/>
      <c r="HT22" s="18" t="n"/>
      <c r="HU22" s="18" t="n"/>
      <c r="HV22" s="18" t="n"/>
      <c r="HW22" s="18" t="n"/>
      <c r="HX22" s="18" t="n"/>
      <c r="HY22" s="18" t="n"/>
      <c r="HZ22" s="18" t="n"/>
      <c r="IA22" s="18" t="n"/>
    </row>
    <row r="23" ht="79.2" customHeight="1" s="88">
      <c r="A23" s="29" t="inlineStr">
        <is>
          <t>9000</t>
        </is>
      </c>
      <c r="B23" s="29" t="inlineStr">
        <is>
          <t>9000-10</t>
        </is>
      </c>
      <c r="C23" s="29" t="inlineStr">
        <is>
          <t>기계설비·소방설비</t>
        </is>
      </c>
      <c r="D23" s="29" t="inlineStr">
        <is>
          <t>9000-10-22</t>
        </is>
      </c>
      <c r="E23" s="102" t="inlineStr">
        <is>
          <t>9000-10-16, 9000-10-17</t>
        </is>
      </c>
      <c r="F23" s="102" t="inlineStr">
        <is>
          <t>9000-10-27, 9000-10-28</t>
        </is>
      </c>
      <c r="G23" s="32" t="inlineStr">
        <is>
          <t>오배수관 및 집수조 배수펌프</t>
        </is>
      </c>
      <c r="H23" s="33" t="inlineStr">
        <is>
          <t>D+10</t>
        </is>
      </c>
      <c r="I23" s="33" t="inlineStr">
        <is>
          <t>기계/소방팀</t>
        </is>
      </c>
      <c r="J23" s="34" t="inlineStr">
        <is>
          <t>오배수관 자연유하 구배(i ≥ 1/100) 유지 및 집수조 수중배수펌프 자동교번 4단 수위제어</t>
        </is>
      </c>
      <c r="K23" s="50" t="inlineStr">
        <is>
          <t>1) STEP 1 (자연유하 구배 시공): 레이저 레벨기를 이용하여 오수관 1/100, 배수관 1/50 구배를 철저히 유지하며 배관 포설
2) STEP 2 (수중펌프 자동교번 안착): 집수조 바닥에 상용 및 예비 수중펌프 2대를 자동탈착 가이드레일 방식으로 거치
3) STEP 3 (4단 전극봉 수위 인터록): 정지(LWL), 교번기동(HWL), 동시기동(E-HWL), 고수위경보(Alarm) 4단 센서 작동 검증</t>
        </is>
      </c>
      <c r="L23" s="34" t="inlineStr">
        <is>
          <t>오배수관 및 집수조 배수펌프 시공계획서, 검측요청서 및 공인 시험성적서</t>
        </is>
      </c>
      <c r="M23" s="34" t="inlineStr">
        <is>
          <t>1) 오배수관 및 집수조 배수펌프 (9000-8-22) 과업 달성을 위해 KDS 47 철도설계기준 및 NFTC 화재안전기준을 100% 충족한다.
2) 오배수 주철관/PVC관 구배(1/100) 시공, 집수조 수위센서 연동 자동교번 배수펌프 가설을 엄격히 완수하여 책임감리원 최종 승인을 획득한다.</t>
        </is>
      </c>
      <c r="N23" s="60">
        <f>HYPERLINK(LEFT(CELL("filename",A1),FIND("[",CELL("filename",A1))-1)&amp;"10.기계분야\22_오배수관 및 집수조 배수펌프\표준서\22_오배수관 및 집수조 배수펌프_표준서.html", "👉 [클릭] 표준서 열기 📄")</f>
        <v/>
      </c>
      <c r="O23" s="34" t="inlineStr">
        <is>
          <t>1) STEP 1: 오배수 배관 라인 먹매김 및 구배 계획: 자연유하 구배(1/100) 및 슬리브 높이 대조
2) STEP 2: 주철관/PVC관 포설 및 배관 행거 고정: 무소음 내화 PVC관 및 원터치 클램프 체결</t>
        </is>
      </c>
      <c r="P23" s="58">
        <f>HYPERLINK(LEFT(CELL("filename",A1),FIND("[",CELL("filename",A1))-1)&amp;"10.기계분야\22_오배수관 및 집수조 배수펌프\수행지침\22_오배수관 및 집수조 배수펌프_수행지침.html", "👉 [클릭] 수행지침 열기 📄")</f>
        <v/>
      </c>
      <c r="Q23" s="34" t="inlineStr">
        <is>
          <t>1) 오배수관 구배 시방 및 관경 D75 이하 1/50, D100 이상 1/100 자연유하 기준을 100% 충족하였는가?
2) 통기관(Vent) 시공 검측 및 불합격 요소를 전면 차단하였는가?</t>
        </is>
      </c>
      <c r="R23" s="56">
        <f>HYPERLINK(LEFT(CELL("filename",A1),FIND("[",CELL("filename",A1))-1)&amp;"10.기계분야\22_오배수관 및 집수조 배수펌프\체크리스트\22_오배수관 및 집수조 배수펌프_체크리스트.html", "👉 [클릭] 체크리스트 열기 📄")</f>
        <v/>
      </c>
      <c r="S23" s="33" t="inlineStr">
        <is>
          <t>기계·소방 복합 시방 준수</t>
        </is>
      </c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8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8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8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18" t="n"/>
      <c r="GI23" s="18" t="n"/>
      <c r="GJ23" s="18" t="n"/>
      <c r="GK23" s="18" t="n"/>
      <c r="GL23" s="18" t="n"/>
      <c r="GM23" s="18" t="n"/>
      <c r="GN23" s="18" t="n"/>
      <c r="GO23" s="18" t="n"/>
      <c r="GP23" s="18" t="n"/>
      <c r="GQ23" s="18" t="n"/>
      <c r="GR23" s="18" t="n"/>
      <c r="GS23" s="18" t="n"/>
      <c r="GT23" s="18" t="n"/>
      <c r="GU23" s="18" t="n"/>
      <c r="GV23" s="18" t="n"/>
      <c r="GW23" s="18" t="n"/>
      <c r="GX23" s="18" t="n"/>
      <c r="GY23" s="18" t="n"/>
      <c r="GZ23" s="18" t="n"/>
      <c r="HA23" s="18" t="n"/>
      <c r="HB23" s="18" t="n"/>
      <c r="HC23" s="18" t="n"/>
      <c r="HD23" s="18" t="n"/>
      <c r="HE23" s="18" t="n"/>
      <c r="HF23" s="18" t="n"/>
      <c r="HG23" s="18" t="n"/>
      <c r="HH23" s="18" t="n"/>
      <c r="HI23" s="18" t="n"/>
      <c r="HJ23" s="18" t="n"/>
      <c r="HK23" s="18" t="n"/>
      <c r="HL23" s="18" t="n"/>
      <c r="HM23" s="18" t="n"/>
      <c r="HN23" s="18" t="n"/>
      <c r="HO23" s="18" t="n"/>
      <c r="HP23" s="18" t="n"/>
      <c r="HQ23" s="18" t="n"/>
      <c r="HR23" s="18" t="n"/>
      <c r="HS23" s="18" t="n"/>
      <c r="HT23" s="18" t="n"/>
      <c r="HU23" s="18" t="n"/>
      <c r="HV23" s="18" t="n"/>
      <c r="HW23" s="18" t="n"/>
      <c r="HX23" s="18" t="n"/>
      <c r="HY23" s="18" t="n"/>
      <c r="HZ23" s="18" t="n"/>
      <c r="IA23" s="18" t="n"/>
      <c r="IB23" s="18" t="n"/>
      <c r="IC23" s="18" t="n"/>
      <c r="ID23" s="18" t="n"/>
      <c r="IE23" s="18" t="n"/>
    </row>
    <row r="24" ht="79.2" customHeight="1" s="88">
      <c r="A24" s="19" t="inlineStr">
        <is>
          <t>9000</t>
        </is>
      </c>
      <c r="B24" s="19" t="inlineStr">
        <is>
          <t>9000-10</t>
        </is>
      </c>
      <c r="C24" s="19" t="inlineStr">
        <is>
          <t>기계설비·소방설비</t>
        </is>
      </c>
      <c r="D24" s="19" t="inlineStr">
        <is>
          <t>9000-10-23</t>
        </is>
      </c>
      <c r="E24" s="95" t="inlineStr">
        <is>
          <t>9000-10-17, 9000-10-18</t>
        </is>
      </c>
      <c r="F24" s="95" t="inlineStr">
        <is>
          <t>9000-10-28, 9000-10-29</t>
        </is>
      </c>
      <c r="G24" s="23" t="inlineStr">
        <is>
          <t>차량기지 오폐수처리장(90㎡)</t>
        </is>
      </c>
      <c r="H24" s="21" t="inlineStr">
        <is>
          <t>D+15</t>
        </is>
      </c>
      <c r="I24" s="21" t="inlineStr">
        <is>
          <t>기계/소방팀</t>
        </is>
      </c>
      <c r="J24" s="24" t="inlineStr">
        <is>
          <t>중정비·경정비 발생 오폐수(35㎥/일)의 유수분리, 화학응집, 활성탄 흡착 및 수질 TMS 원격 방류</t>
        </is>
      </c>
      <c r="K24" s="24" t="inlineStr">
        <is>
          <t>1) STEP 1 (유수분리기 설치): 차량 정비 폐수의 비중차 유분 분리조 및 오일 스키머 설치로 유분 농도 90% 이상 제거
2) STEP 2 (응집 침전 및 가압부상): PAC 응집제 및 폴리머 자동 주입기를 통해 플록(Floc) 침전 및 슬러지 탈수기 케이크 처리
3) STEP 3 (활성탄 흡착 및 TMS 연동): 2단 활성탄 흡착탑 정화 후 BOD/COD ≤ 20mg/L 수질 TMS 데이터 환경청 자동 전송</t>
        </is>
      </c>
      <c r="L24" s="24" t="inlineStr">
        <is>
          <t>차량기지 오폐수처리장(90㎡) 시공계획서, 검측요청서 및 공인 시험성적서</t>
        </is>
      </c>
      <c r="M24" s="24" t="inlineStr">
        <is>
          <t>1) 차량기지 오폐수처리장(90㎡) (9000-8-23) 과업 달성을 위해 KDS 47 철도설계기준 및 NFTC 화재안전기준을 100% 충족한다.
2) 중정비(23.3㎥/일) 및 경정비 폐수 수집조, 화학 침전, 유수분리기 및 악취방지 덮개을 엄격히 완수하여 책임감리원 최종 승인을 획득한다.</t>
        </is>
      </c>
      <c r="N24" s="59">
        <f>HYPERLINK(LEFT(CELL("filename",A1),FIND("[",CELL("filename",A1))-1)&amp;"10.기계분야\23_차량기지 오폐수처리장(90㎡)\표준서\23_차량기지 오폐수처리장(90㎡)_표준서.html", "👉 [클릭] 표준서 열기 📄")</f>
        <v/>
      </c>
      <c r="O24" s="24" t="inlineStr">
        <is>
          <t>1) STEP 1: 폐수처리장(90㎡) 토목 구조물 및 방수 검측: 내화학 콘크리트 및 에폭시 3회 라이닝
2) STEP 2: 유수분리기 및 원수 수집조 설비 설치: 비중차 유수분리 스크린 및 오일 스키머</t>
        </is>
      </c>
      <c r="P24" s="57">
        <f>HYPERLINK(LEFT(CELL("filename",A1),FIND("[",CELL("filename",A1))-1)&amp;"10.기계분야\23_차량기지 오폐수처리장(90㎡)\수행지침\23_차량기지 오폐수처리장(90㎡)_수행지침.html", "👉 [클릭] 수행지침 열기 📄")</f>
        <v/>
      </c>
      <c r="Q24" s="24" t="inlineStr">
        <is>
          <t>1) 폐수 수집 관로 시방 및 내약품성 고밀도 PE관 및 내식성 이중배관 기준을 100% 충족하였는가?
2) 유수분리기(API/CPI) 검측 및 불합격 요소를 전면 차단하였는가?</t>
        </is>
      </c>
      <c r="R24" s="55">
        <f>HYPERLINK(LEFT(CELL("filename",A1),FIND("[",CELL("filename",A1))-1)&amp;"10.기계분야\23_차량기지 오폐수처리장(90㎡)\체크리스트\23_차량기지 오폐수처리장(90㎡)_체크리스트.html", "👉 [클릭] 체크리스트 열기 📄")</f>
        <v/>
      </c>
      <c r="S24" s="21" t="inlineStr">
        <is>
          <t>기계·소방 복합 시방 준수</t>
        </is>
      </c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8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8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8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18" t="n"/>
      <c r="GI24" s="18" t="n"/>
      <c r="GJ24" s="18" t="n"/>
      <c r="GK24" s="18" t="n"/>
      <c r="GL24" s="18" t="n"/>
      <c r="GM24" s="18" t="n"/>
      <c r="GN24" s="18" t="n"/>
      <c r="GO24" s="18" t="n"/>
      <c r="GP24" s="18" t="n"/>
      <c r="GQ24" s="18" t="n"/>
      <c r="GR24" s="18" t="n"/>
      <c r="GS24" s="18" t="n"/>
      <c r="GT24" s="18" t="n"/>
      <c r="GU24" s="18" t="n"/>
      <c r="GV24" s="18" t="n"/>
      <c r="GW24" s="18" t="n"/>
      <c r="GX24" s="18" t="n"/>
      <c r="GY24" s="18" t="n"/>
      <c r="GZ24" s="18" t="n"/>
      <c r="HA24" s="18" t="n"/>
      <c r="HB24" s="18" t="n"/>
      <c r="HC24" s="18" t="n"/>
      <c r="HD24" s="18" t="n"/>
      <c r="HE24" s="18" t="n"/>
      <c r="HF24" s="18" t="n"/>
      <c r="HG24" s="18" t="n"/>
      <c r="HH24" s="18" t="n"/>
      <c r="HI24" s="18" t="n"/>
      <c r="HJ24" s="18" t="n"/>
      <c r="HK24" s="18" t="n"/>
      <c r="HL24" s="18" t="n"/>
      <c r="HM24" s="18" t="n"/>
      <c r="HN24" s="18" t="n"/>
      <c r="HO24" s="18" t="n"/>
      <c r="HP24" s="18" t="n"/>
      <c r="HQ24" s="18" t="n"/>
      <c r="HR24" s="18" t="n"/>
      <c r="HS24" s="18" t="n"/>
      <c r="HT24" s="18" t="n"/>
      <c r="HU24" s="18" t="n"/>
      <c r="HV24" s="18" t="n"/>
      <c r="HW24" s="18" t="n"/>
      <c r="HX24" s="18" t="n"/>
      <c r="HY24" s="18" t="n"/>
      <c r="HZ24" s="18" t="n"/>
      <c r="IA24" s="18" t="n"/>
      <c r="IB24" s="18" t="n"/>
      <c r="IC24" s="18" t="n"/>
      <c r="ID24" s="18" t="n"/>
      <c r="IE24" s="18" t="n"/>
      <c r="IF24" s="18" t="n"/>
      <c r="IG24" s="18" t="n"/>
      <c r="IH24" s="18" t="n"/>
      <c r="II24" s="18" t="n"/>
    </row>
    <row r="25" ht="79.2" customHeight="1" s="88">
      <c r="A25" s="29" t="inlineStr">
        <is>
          <t>9000</t>
        </is>
      </c>
      <c r="B25" s="29" t="inlineStr">
        <is>
          <t>9000-10</t>
        </is>
      </c>
      <c r="C25" s="29" t="inlineStr">
        <is>
          <t>기계설비·소방설비</t>
        </is>
      </c>
      <c r="D25" s="29" t="inlineStr">
        <is>
          <t>9000-10-24</t>
        </is>
      </c>
      <c r="E25" s="102" t="inlineStr">
        <is>
          <t>9000-10-18, 9000-10-19</t>
        </is>
      </c>
      <c r="F25" s="102" t="inlineStr">
        <is>
          <t>9000-10-29, 9000-10-30</t>
        </is>
      </c>
      <c r="G25" s="32" t="inlineStr">
        <is>
          <t>차체 자동세척설비(세차기)</t>
        </is>
      </c>
      <c r="H25" s="33" t="inlineStr">
        <is>
          <t>D+20</t>
        </is>
      </c>
      <c r="I25" s="33" t="inlineStr">
        <is>
          <t>기계/소방팀</t>
        </is>
      </c>
      <c r="J25" s="34" t="inlineStr">
        <is>
          <t>트램 전동차 청소선 세차 갠트리, EVA 무스크래치 브러시 및 세척수 85% 회수 재활용</t>
        </is>
      </c>
      <c r="K25" s="34" t="inlineStr">
        <is>
          <t>1) STEP 1 (세차 갠트리 프레임 가설): 청소선 궤도 상부에 고압 노즐 파이프 및 갠트리 구조물 용접 앵커링
2) STEP 2 (EVA 브러시 및 약품 분사): 전동차 차체 도장 손상을 방지하는 초미세 발포 EVA 브러시 및 중성 세제 분사 노즐 세팅
3) STEP 3 (세척수 회수 트렌치 통수): 하부 STS 그레이팅 트렌치를 통해 세척수 85% 이상 회수 및 순환 정화조 인입 검측</t>
        </is>
      </c>
      <c r="L25" s="34" t="inlineStr">
        <is>
          <t>차체 자동세척설비(세차기) 시공계획서, 검측요청서 및 공인 시험성적서</t>
        </is>
      </c>
      <c r="M25" s="34" t="inlineStr">
        <is>
          <t>1) 차체 자동세척설비(세차기) (9000-8-24) 과업 달성을 위해 KDS 47 철도설계기준 및 NFTC 화재안전기준을 100% 충족한다.
2) 청소선 대형 갠트리 세차기, 세제/린스 분사 노즐, 회전 브러시 및 폐수 회수 드레인을 엄격히 완수하여 책임감리원 최종 승인을 획득한다.</t>
        </is>
      </c>
      <c r="N25" s="60">
        <f>HYPERLINK(LEFT(CELL("filename",A1),FIND("[",CELL("filename",A1))-1)&amp;"10.기계분야\24_차체 자동세척설비(세차기)\표준서\24_차체 자동세척설비(세차기)_표준서.html", "👉 [클릭] 표준서 열기 📄")</f>
        <v/>
      </c>
      <c r="O25" s="34" t="inlineStr">
        <is>
          <t>1) STEP 1: 청소선 궤도 건축한계 대조 및 기초 앵커 시공: 열차 통과 한계선 및 세차기 중심선 측량
2) STEP 2: 세차기 메인 갠트리 프레임 및 브러시 조립: EVA 무스크래치 브러시 및 실린더 가설</t>
        </is>
      </c>
      <c r="P25" s="58">
        <f>HYPERLINK(LEFT(CELL("filename",A1),FIND("[",CELL("filename",A1))-1)&amp;"10.기계분야\24_차체 자동세척설비(세차기)\수행지침\24_차체 자동세척설비(세차기)_수행지침.html", "👉 [클릭] 수행지침 열기 📄")</f>
        <v/>
      </c>
      <c r="Q25" s="34" t="inlineStr">
        <is>
          <t>1) 세차기 프레임 시방 및 용융아연도금 및 STS304 내식성 갠트리 구조물 기준을 100% 충족하였는가?
2) 회전 브러시 검측 및 불합격 요소를 전면 차단하였는가?</t>
        </is>
      </c>
      <c r="R25" s="56">
        <f>HYPERLINK(LEFT(CELL("filename",A1),FIND("[",CELL("filename",A1))-1)&amp;"10.기계분야\24_차체 자동세척설비(세차기)\체크리스트\24_차체 자동세척설비(세차기)_체크리스트.html", "👉 [클릭] 체크리스트 열기 📄")</f>
        <v/>
      </c>
      <c r="S25" s="33" t="inlineStr">
        <is>
          <t>기계·소방 복합 시방 준수</t>
        </is>
      </c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8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8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8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18" t="n"/>
      <c r="GI25" s="18" t="n"/>
      <c r="GJ25" s="18" t="n"/>
      <c r="GK25" s="18" t="n"/>
      <c r="GL25" s="18" t="n"/>
      <c r="GM25" s="18" t="n"/>
      <c r="GN25" s="18" t="n"/>
      <c r="GO25" s="18" t="n"/>
      <c r="GP25" s="18" t="n"/>
      <c r="GQ25" s="18" t="n"/>
      <c r="GR25" s="18" t="n"/>
      <c r="GS25" s="18" t="n"/>
      <c r="GT25" s="18" t="n"/>
      <c r="GU25" s="18" t="n"/>
      <c r="GV25" s="18" t="n"/>
      <c r="GW25" s="18" t="n"/>
      <c r="GX25" s="18" t="n"/>
      <c r="GY25" s="18" t="n"/>
      <c r="GZ25" s="18" t="n"/>
      <c r="HA25" s="18" t="n"/>
      <c r="HB25" s="18" t="n"/>
      <c r="HC25" s="18" t="n"/>
      <c r="HD25" s="18" t="n"/>
      <c r="HE25" s="18" t="n"/>
      <c r="HF25" s="18" t="n"/>
      <c r="HG25" s="18" t="n"/>
      <c r="HH25" s="18" t="n"/>
      <c r="HI25" s="18" t="n"/>
      <c r="HJ25" s="18" t="n"/>
      <c r="HK25" s="18" t="n"/>
      <c r="HL25" s="18" t="n"/>
      <c r="HM25" s="18" t="n"/>
      <c r="HN25" s="18" t="n"/>
      <c r="HO25" s="18" t="n"/>
      <c r="HP25" s="18" t="n"/>
      <c r="HQ25" s="18" t="n"/>
      <c r="HR25" s="18" t="n"/>
      <c r="HS25" s="18" t="n"/>
      <c r="HT25" s="18" t="n"/>
      <c r="HU25" s="18" t="n"/>
      <c r="HV25" s="18" t="n"/>
      <c r="HW25" s="18" t="n"/>
      <c r="HX25" s="18" t="n"/>
      <c r="HY25" s="18" t="n"/>
      <c r="HZ25" s="18" t="n"/>
      <c r="IA25" s="18" t="n"/>
      <c r="IB25" s="18" t="n"/>
      <c r="IC25" s="18" t="n"/>
      <c r="ID25" s="18" t="n"/>
      <c r="IE25" s="18" t="n"/>
      <c r="IF25" s="18" t="n"/>
      <c r="IG25" s="18" t="n"/>
      <c r="IH25" s="18" t="n"/>
      <c r="II25" s="18" t="n"/>
      <c r="IJ25" s="18" t="n"/>
      <c r="IK25" s="18" t="n"/>
      <c r="IL25" s="18" t="n"/>
      <c r="IM25" s="18" t="n"/>
    </row>
    <row r="26" ht="79.2" customHeight="1" s="88">
      <c r="A26" s="19" t="inlineStr">
        <is>
          <t>9000</t>
        </is>
      </c>
      <c r="B26" s="19" t="inlineStr">
        <is>
          <t>9000-10</t>
        </is>
      </c>
      <c r="C26" s="19" t="inlineStr">
        <is>
          <t>기계설비·소방설비</t>
        </is>
      </c>
      <c r="D26" s="19" t="inlineStr">
        <is>
          <t>9000-10-25</t>
        </is>
      </c>
      <c r="E26" s="95" t="inlineStr">
        <is>
          <t>9000-10-19, 9000-10-20</t>
        </is>
      </c>
      <c r="F26" s="95" t="inlineStr">
        <is>
          <t>9000-10-30, 9000-10-31</t>
        </is>
      </c>
      <c r="G26" s="23" t="inlineStr">
        <is>
          <t>정화조 음압 탈취설비 시공</t>
        </is>
      </c>
      <c r="H26" s="21" t="inlineStr">
        <is>
          <t>D+25</t>
        </is>
      </c>
      <c r="I26" s="21" t="inlineStr">
        <is>
          <t>기계/소방팀</t>
        </is>
      </c>
      <c r="J26" s="24" t="inlineStr">
        <is>
          <t>정화조실 3종 음압(-20Pa) 유지 및 2단 약액세정탑(산/알칼리)+첨착활성탄 복합 탈취</t>
        </is>
      </c>
      <c r="K26" s="24" t="inlineStr">
        <is>
          <t>1) STEP 1 (음압 덕트 및 후드 설치): 정화조 발생원 상부에 내식성 FRP 배기 후드 및 전용 음압 배기팬(15~20회/h) 가설
2) STEP 2 (2단 스크러버 약액 세정): 산(H2SO4) 및 알칼리(NaOH) 세정탑 순환 펌프와 노즐을 통해 황화수소(H2S) 99% 중화
3) STEP 3 (첨착 활성탄 흡착 배출): 최종 첨착 활성탄 흡착탑을 거쳐 복합악취 희석배수 ≤ 500 이하 기준 충족 확인</t>
        </is>
      </c>
      <c r="L26" s="24" t="inlineStr">
        <is>
          <t>정화조 음압 탈취설비 시공 시공계획서, 검측요청서 및 공인 시험성적서</t>
        </is>
      </c>
      <c r="M26" s="24" t="inlineStr">
        <is>
          <t>1) 정화조 음압 탈취설비 시공 (9000-8-25) 과업 달성을 위해 KDS 47 철도설계기준 및 NFTC 화재안전기준을 100% 충족한다.
2) 정화조 관리층 유해/가연성 가스 배출용 약액세정식 탈취장치, 덕트 부압 및 가스센서을 엄격히 완수하여 책임감리원 최종 승인을 획득한다.</t>
        </is>
      </c>
      <c r="N26" s="59">
        <f>HYPERLINK(LEFT(CELL("filename",A1),FIND("[",CELL("filename",A1))-1)&amp;"10.기계분야\25_정화조 음압 탈취설비 시공\표준서\25_정화조 음압 탈취설비 시공_표준서.html", "👉 [클릭] 표준서 열기 📄")</f>
        <v/>
      </c>
      <c r="O26" s="24" t="inlineStr">
        <is>
          <t>1) STEP 1: 정화조실 음압 환기량 및 유해가스 농도 계산: 시간당 20회 배기량 및 수조 포집 후드 설계
2) STEP 2: 내식성 FRP 탈취 덕트 및 배기팬 가설: FRP 플랜지 체결 및 내화학 내식 송풍기</t>
        </is>
      </c>
      <c r="P26" s="57">
        <f>HYPERLINK(LEFT(CELL("filename",A1),FIND("[",CELL("filename",A1))-1)&amp;"10.기계분야\25_정화조 음압 탈취설비 시공\수행지침\25_정화조 음압 탈취설비 시공_수행지침.html", "👉 [클릭] 수행지침 열기 📄")</f>
        <v/>
      </c>
      <c r="Q26" s="24" t="inlineStr">
        <is>
          <t>1) 탈취탑 방식 시방 및 약액세정식(산/알칼리 세정) + 활성탄 2단 흡착 기준을 100% 충족하였는가?
2) 탈취 배기덕트 검측 및 불합격 요소를 전면 차단하였는가?</t>
        </is>
      </c>
      <c r="R26" s="55">
        <f>HYPERLINK(LEFT(CELL("filename",A1),FIND("[",CELL("filename",A1))-1)&amp;"10.기계분야\25_정화조 음압 탈취설비 시공\체크리스트\25_정화조 음압 탈취설비 시공_체크리스트.html", "👉 [클릭] 체크리스트 열기 📄")</f>
        <v/>
      </c>
      <c r="S26" s="21" t="inlineStr">
        <is>
          <t>기계·소방 복합 시방 준수</t>
        </is>
      </c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8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8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8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18" t="n"/>
      <c r="GI26" s="18" t="n"/>
      <c r="GJ26" s="18" t="n"/>
      <c r="GK26" s="18" t="n"/>
      <c r="GL26" s="18" t="n"/>
      <c r="GM26" s="18" t="n"/>
      <c r="GN26" s="18" t="n"/>
      <c r="GO26" s="18" t="n"/>
      <c r="GP26" s="18" t="n"/>
      <c r="GQ26" s="18" t="n"/>
      <c r="GR26" s="18" t="n"/>
      <c r="GS26" s="18" t="n"/>
      <c r="GT26" s="18" t="n"/>
      <c r="GU26" s="18" t="n"/>
      <c r="GV26" s="18" t="n"/>
      <c r="GW26" s="18" t="n"/>
      <c r="GX26" s="18" t="n"/>
      <c r="GY26" s="18" t="n"/>
      <c r="GZ26" s="18" t="n"/>
      <c r="HA26" s="18" t="n"/>
      <c r="HB26" s="18" t="n"/>
      <c r="HC26" s="18" t="n"/>
      <c r="HD26" s="18" t="n"/>
      <c r="HE26" s="18" t="n"/>
      <c r="HF26" s="18" t="n"/>
      <c r="HG26" s="18" t="n"/>
      <c r="HH26" s="18" t="n"/>
      <c r="HI26" s="18" t="n"/>
      <c r="HJ26" s="18" t="n"/>
      <c r="HK26" s="18" t="n"/>
      <c r="HL26" s="18" t="n"/>
      <c r="HM26" s="18" t="n"/>
      <c r="HN26" s="18" t="n"/>
      <c r="HO26" s="18" t="n"/>
      <c r="HP26" s="18" t="n"/>
      <c r="HQ26" s="18" t="n"/>
      <c r="HR26" s="18" t="n"/>
      <c r="HS26" s="18" t="n"/>
      <c r="HT26" s="18" t="n"/>
      <c r="HU26" s="18" t="n"/>
      <c r="HV26" s="18" t="n"/>
      <c r="HW26" s="18" t="n"/>
      <c r="HX26" s="18" t="n"/>
      <c r="HY26" s="18" t="n"/>
      <c r="HZ26" s="18" t="n"/>
      <c r="IA26" s="18" t="n"/>
      <c r="IB26" s="18" t="n"/>
      <c r="IC26" s="18" t="n"/>
      <c r="ID26" s="18" t="n"/>
      <c r="IE26" s="18" t="n"/>
      <c r="IF26" s="18" t="n"/>
      <c r="IG26" s="18" t="n"/>
      <c r="IH26" s="18" t="n"/>
      <c r="II26" s="18" t="n"/>
      <c r="IJ26" s="18" t="n"/>
      <c r="IK26" s="18" t="n"/>
      <c r="IL26" s="18" t="n"/>
      <c r="IM26" s="18" t="n"/>
      <c r="IN26" s="18" t="n"/>
      <c r="IO26" s="18" t="n"/>
      <c r="IP26" s="18" t="n"/>
      <c r="IQ26" s="18" t="n"/>
    </row>
    <row r="27" ht="79.2" customHeight="1" s="88">
      <c r="A27" s="29" t="inlineStr">
        <is>
          <t>9000</t>
        </is>
      </c>
      <c r="B27" s="29" t="inlineStr">
        <is>
          <t>9000-10</t>
        </is>
      </c>
      <c r="C27" s="29" t="inlineStr">
        <is>
          <t>기계설비·소방설비</t>
        </is>
      </c>
      <c r="D27" s="29" t="inlineStr">
        <is>
          <t>9000-10-26</t>
        </is>
      </c>
      <c r="E27" s="102" t="inlineStr">
        <is>
          <t>9000-10-20, 9000-10-21</t>
        </is>
      </c>
      <c r="F27" s="102" t="inlineStr">
        <is>
          <t>9000-10-31, 9000-10-32</t>
        </is>
      </c>
      <c r="G27" s="32" t="inlineStr">
        <is>
          <t>호스릴 옥내소화전설비 시공</t>
        </is>
      </c>
      <c r="H27" s="33" t="inlineStr">
        <is>
          <t>D+30</t>
        </is>
      </c>
      <c r="I27" s="33" t="inlineStr">
        <is>
          <t>기계/소방팀</t>
        </is>
      </c>
      <c r="J27" s="34" t="inlineStr">
        <is>
          <t>STS304 호스릴 옥내소화전(보행거리 25m 이내, 방수압 0.17~0.7MPa) 1인 조작 화재 진압</t>
        </is>
      </c>
      <c r="K27" s="34" t="inlineStr">
        <is>
          <t>1) STEP 1 (STS304 소화전함 매립): 정거장 및 역사 벽체에 STS304 방청 소화전함을 수직·수평 정밀 매립
2) STEP 2 (25m 호스릴 및 밸브 체결): 1인 전개 인장력 5kgf 이하의 원형 회전 드럼식 25m 경량 호스릴 및 감압 앵글밸브 설치
3) STEP 3 (방수압력 및 방수량 실측): 피토게이지를 이용하여 노즐 방수압 0.17~0.7MPa 및 방수량 ≥ 130L/min 20분간 방수 실측</t>
        </is>
      </c>
      <c r="L27" s="34" t="inlineStr">
        <is>
          <t>호스릴 옥내소화전설비 시공 시공계획서, 검측요청서 및 공인 시험성적서</t>
        </is>
      </c>
      <c r="M27" s="34" t="inlineStr">
        <is>
          <t>1) 호스릴 옥내소화전설비 시공 (9000-8-26) 과업 달성을 위해 KDS 47 철도설계기준 및 NFTC 화재안전기준을 100% 충족한다.
2) STS 호스릴 소화전(분말소화기 내장), 방수압(≥0.17MPa), 노출/매립 STS 외함 완벽 시공을 엄격히 완수하여 책임감리원 최종 승인을 획득한다.</t>
        </is>
      </c>
      <c r="N27" s="60">
        <f>HYPERLINK(LEFT(CELL("filename",A1),FIND("[",CELL("filename",A1))-1)&amp;"10.기계분야\26_호스릴 옥내소화전설비 시공\표준서\26_호스릴 옥내소화전설비 시공_표준서.html", "👉 [클릭] 표준서 열기 📄")</f>
        <v/>
      </c>
      <c r="O27" s="34" t="inlineStr">
        <is>
          <t>1) STEP 1: 소화전함 설치 위치 먹매김 및 배관 인입선 실측: 보행거리 25m 이내 및 바닥고 1.5m 준수
2) STEP 2: 배관 가설 및 그루브 조인트(Grooved Joint) 체결: 용접 없는 기계적 이음 및 지진방지 버팀대</t>
        </is>
      </c>
      <c r="P27" s="58">
        <f>HYPERLINK(LEFT(CELL("filename",A1),FIND("[",CELL("filename",A1))-1)&amp;"10.기계분야\26_호스릴 옥내소화전설비 시공\수행지침\26_호스릴 옥내소화전설비 시공_수행지침.html", "👉 [클릭] 수행지침 열기 📄")</f>
        <v/>
      </c>
      <c r="Q27" s="34" t="inlineStr">
        <is>
          <t>1) 소화전함 규격 시방 및 STS304 두께 1.5mm, 분말소화기 일체형 외함 기준을 100% 충족하였는가?
2) 호스릴 릴 뭉치 검측 및 불합격 요소를 전면 차단하였는가?</t>
        </is>
      </c>
      <c r="R27" s="56">
        <f>HYPERLINK(LEFT(CELL("filename",A1),FIND("[",CELL("filename",A1))-1)&amp;"10.기계분야\26_호스릴 옥내소화전설비 시공\체크리스트\26_호스릴 옥내소화전설비 시공_체크리스트.html", "👉 [클릭] 체크리스트 열기 📄")</f>
        <v/>
      </c>
      <c r="S27" s="33" t="inlineStr">
        <is>
          <t>기계·소방 복합 시방 준수</t>
        </is>
      </c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Y27" s="18" t="n"/>
      <c r="DZ27" s="18" t="n"/>
      <c r="EA27" s="18" t="n"/>
      <c r="EB27" s="18" t="n"/>
      <c r="EC27" s="18" t="n"/>
      <c r="ED27" s="18" t="n"/>
      <c r="EE27" s="18" t="n"/>
      <c r="EF27" s="18" t="n"/>
      <c r="EG27" s="18" t="n"/>
      <c r="EH27" s="18" t="n"/>
      <c r="EI27" s="18" t="n"/>
      <c r="EJ27" s="18" t="n"/>
      <c r="EK27" s="18" t="n"/>
      <c r="EL27" s="18" t="n"/>
      <c r="EM27" s="18" t="n"/>
      <c r="EN27" s="18" t="n"/>
      <c r="EO27" s="18" t="n"/>
      <c r="EP27" s="18" t="n"/>
      <c r="EQ27" s="18" t="n"/>
      <c r="ER27" s="18" t="n"/>
      <c r="ES27" s="18" t="n"/>
      <c r="ET27" s="18" t="n"/>
      <c r="EU27" s="18" t="n"/>
      <c r="EV27" s="18" t="n"/>
      <c r="EW27" s="18" t="n"/>
      <c r="EX27" s="18" t="n"/>
      <c r="EY27" s="18" t="n"/>
      <c r="EZ27" s="18" t="n"/>
      <c r="FA27" s="18" t="n"/>
      <c r="FB27" s="18" t="n"/>
      <c r="FC27" s="18" t="n"/>
      <c r="FD27" s="18" t="n"/>
      <c r="FE27" s="18" t="n"/>
      <c r="FF27" s="18" t="n"/>
      <c r="FG27" s="18" t="n"/>
      <c r="FH27" s="18" t="n"/>
      <c r="FI27" s="18" t="n"/>
      <c r="FJ27" s="18" t="n"/>
      <c r="FK27" s="18" t="n"/>
      <c r="FL27" s="18" t="n"/>
      <c r="FM27" s="18" t="n"/>
      <c r="FN27" s="18" t="n"/>
      <c r="FO27" s="18" t="n"/>
      <c r="FP27" s="18" t="n"/>
      <c r="FQ27" s="18" t="n"/>
      <c r="FR27" s="18" t="n"/>
      <c r="FS27" s="18" t="n"/>
      <c r="FT27" s="18" t="n"/>
      <c r="FU27" s="18" t="n"/>
      <c r="FV27" s="18" t="n"/>
      <c r="FW27" s="18" t="n"/>
      <c r="FX27" s="18" t="n"/>
      <c r="FY27" s="18" t="n"/>
      <c r="FZ27" s="18" t="n"/>
      <c r="GA27" s="18" t="n"/>
      <c r="GB27" s="18" t="n"/>
      <c r="GC27" s="18" t="n"/>
      <c r="GD27" s="18" t="n"/>
      <c r="GE27" s="18" t="n"/>
      <c r="GF27" s="18" t="n"/>
      <c r="GG27" s="18" t="n"/>
      <c r="GH27" s="18" t="n"/>
      <c r="GI27" s="18" t="n"/>
      <c r="GJ27" s="18" t="n"/>
      <c r="GK27" s="18" t="n"/>
      <c r="GL27" s="18" t="n"/>
      <c r="GM27" s="18" t="n"/>
      <c r="GN27" s="18" t="n"/>
      <c r="GO27" s="18" t="n"/>
      <c r="GP27" s="18" t="n"/>
      <c r="GQ27" s="18" t="n"/>
      <c r="GR27" s="18" t="n"/>
      <c r="GS27" s="18" t="n"/>
      <c r="GT27" s="18" t="n"/>
      <c r="GU27" s="18" t="n"/>
      <c r="GV27" s="18" t="n"/>
      <c r="GW27" s="18" t="n"/>
      <c r="GX27" s="18" t="n"/>
      <c r="GY27" s="18" t="n"/>
      <c r="GZ27" s="18" t="n"/>
      <c r="HA27" s="18" t="n"/>
      <c r="HB27" s="18" t="n"/>
      <c r="HC27" s="18" t="n"/>
      <c r="HD27" s="18" t="n"/>
      <c r="HE27" s="18" t="n"/>
      <c r="HF27" s="18" t="n"/>
      <c r="HG27" s="18" t="n"/>
      <c r="HH27" s="18" t="n"/>
      <c r="HI27" s="18" t="n"/>
      <c r="HJ27" s="18" t="n"/>
      <c r="HK27" s="18" t="n"/>
      <c r="HL27" s="18" t="n"/>
      <c r="HM27" s="18" t="n"/>
      <c r="HN27" s="18" t="n"/>
      <c r="HO27" s="18" t="n"/>
      <c r="HP27" s="18" t="n"/>
      <c r="HQ27" s="18" t="n"/>
      <c r="HR27" s="18" t="n"/>
      <c r="HS27" s="18" t="n"/>
      <c r="HT27" s="18" t="n"/>
      <c r="HU27" s="18" t="n"/>
      <c r="HV27" s="18" t="n"/>
      <c r="HW27" s="18" t="n"/>
      <c r="HX27" s="18" t="n"/>
      <c r="HY27" s="18" t="n"/>
      <c r="HZ27" s="18" t="n"/>
      <c r="IA27" s="18" t="n"/>
      <c r="IB27" s="18" t="n"/>
      <c r="IC27" s="18" t="n"/>
      <c r="ID27" s="18" t="n"/>
      <c r="IE27" s="18" t="n"/>
      <c r="IF27" s="18" t="n"/>
      <c r="IG27" s="18" t="n"/>
      <c r="IH27" s="18" t="n"/>
      <c r="II27" s="18" t="n"/>
      <c r="IJ27" s="18" t="n"/>
      <c r="IK27" s="18" t="n"/>
      <c r="IL27" s="18" t="n"/>
      <c r="IM27" s="18" t="n"/>
      <c r="IN27" s="18" t="n"/>
      <c r="IO27" s="18" t="n"/>
      <c r="IP27" s="18" t="n"/>
      <c r="IQ27" s="18" t="n"/>
      <c r="IR27" s="18" t="n"/>
      <c r="IS27" s="18" t="n"/>
      <c r="IT27" s="18" t="n"/>
      <c r="IU27" s="18" t="n"/>
    </row>
    <row r="28" ht="79.2" customHeight="1" s="88">
      <c r="A28" s="19" t="inlineStr">
        <is>
          <t>9000</t>
        </is>
      </c>
      <c r="B28" s="19" t="inlineStr">
        <is>
          <t>9000-10</t>
        </is>
      </c>
      <c r="C28" s="19" t="inlineStr">
        <is>
          <t>기계설비·소방설비</t>
        </is>
      </c>
      <c r="D28" s="19" t="inlineStr">
        <is>
          <t>9000-10-27</t>
        </is>
      </c>
      <c r="E28" s="95" t="inlineStr">
        <is>
          <t>9000-10-21, 9000-10-22</t>
        </is>
      </c>
      <c r="F28" s="95" t="inlineStr">
        <is>
          <t>9000-10-32, 9000-10-33</t>
        </is>
      </c>
      <c r="G28" s="23" t="inlineStr">
        <is>
          <t>연결송수관-스프링클러 주배관 분리</t>
        </is>
      </c>
      <c r="H28" s="21" t="inlineStr">
        <is>
          <t>D+35</t>
        </is>
      </c>
      <c r="I28" s="21" t="inlineStr">
        <is>
          <t>기계/소방팀</t>
        </is>
      </c>
      <c r="J28" s="24" t="inlineStr">
        <is>
          <t>개정 화재안전기준에 따른 연결송수관과 스프링클러설비의 주배관 및 옥외 송수구 완전 물리적 분리</t>
        </is>
      </c>
      <c r="K28" s="49" t="inlineStr">
        <is>
          <t>1) STEP 1 (독립 배관 라인 포설): 연결송수관(고압 Sch40)과 스프링클러 알람밸브 2차측 배관을 완전 독립 경로로 가설
2) STEP 2 (쌍구형 송수구 분리 설치): 옥외 소방차 진입로에 연결송수관용 및 스프링클러용 쌍구형 송수구를 명판과 함께 분리 취부
3) STEP 3 (2.0MPa 고압 내압시험): 소방차 직결 가압을 상정하여 2.0MPa 압력으로 30분간 내압시험을 실시해 관로 안전성 입증</t>
        </is>
      </c>
      <c r="L28" s="24" t="inlineStr">
        <is>
          <t>연결송수관-스프링클러 주배관 분리 시공계획서, 검측요청서 및 공인 시험성적서</t>
        </is>
      </c>
      <c r="M28" s="24" t="inlineStr">
        <is>
          <t>1) 연결송수관-스프링클러 주배관 분리 (9000-8-27) 과업 달성을 위해 KDS 47 철도설계기준 및 NFTC 화재안전기준을 100% 충족한다.
2) 소방법 개정 기준 반영, 연결송수관설비와 스프링클러설비의 주배관 및 송수구 물리적 완전 분리을 엄격히 완수하여 책임감리원 최종 승인을 획득한다.</t>
        </is>
      </c>
      <c r="N28" s="59">
        <f>HYPERLINK(LEFT(CELL("filename",A1),FIND("[",CELL("filename",A1))-1)&amp;"10.기계분야\27_연결송수관-스프링클러 주배관 분리\표준서\27_연결송수관-스프링클러 주배관 분리_표준서.html", "👉 [클릭] 표준서 열기 📄")</f>
        <v/>
      </c>
      <c r="O28" s="24" t="inlineStr">
        <is>
          <t>1) STEP 1: 개정 화재안전기술기준 설계도서 대조 및 입상 경로 분리: 겸용 배관 여부 색출 및 독립 2열 배관 설계
2) STEP 2: 연결송수관 전용 고압 배관 시공: 압력배관용 탄소강관(KSD 3562, Sch 40) 용접/그루브</t>
        </is>
      </c>
      <c r="P28" s="57">
        <f>HYPERLINK(LEFT(CELL("filename",A1),FIND("[",CELL("filename",A1))-1)&amp;"10.기계분야\27_연결송수관-스프링클러 주배관 분리\수행지침\27_연결송수관-스프링클러 주배관 분리_수행지침.html", "👉 [클릭] 수행지침 열기 📄")</f>
        <v/>
      </c>
      <c r="Q28" s="24" t="inlineStr">
        <is>
          <t>1) 주배관 독립 관로 시방 및 연결송수관 전용 Sch40 배관 &amp; 스프링클러 전용 배관 기준을 100% 충족하였는가?
2) 옥외 송수구 분리 검측 및 불합격 요소를 전면 차단하였는가?</t>
        </is>
      </c>
      <c r="R28" s="55">
        <f>HYPERLINK(LEFT(CELL("filename",A1),FIND("[",CELL("filename",A1))-1)&amp;"10.기계분야\27_연결송수관-스프링클러 주배관 분리\체크리스트\27_연결송수관-스프링클러 주배관 분리_체크리스트.html", "👉 [클릭] 체크리스트 열기 📄")</f>
        <v/>
      </c>
      <c r="S28" s="21" t="inlineStr">
        <is>
          <t>기계·소방 복합 시방 준수</t>
        </is>
      </c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Y28" s="18" t="n"/>
      <c r="DZ28" s="18" t="n"/>
      <c r="EA28" s="18" t="n"/>
      <c r="EB28" s="18" t="n"/>
      <c r="EC28" s="18" t="n"/>
      <c r="ED28" s="18" t="n"/>
      <c r="EE28" s="18" t="n"/>
      <c r="EF28" s="18" t="n"/>
      <c r="EG28" s="18" t="n"/>
      <c r="EH28" s="18" t="n"/>
      <c r="EI28" s="18" t="n"/>
      <c r="EJ28" s="18" t="n"/>
      <c r="EK28" s="18" t="n"/>
      <c r="EL28" s="18" t="n"/>
      <c r="EM28" s="18" t="n"/>
      <c r="EN28" s="18" t="n"/>
      <c r="EO28" s="18" t="n"/>
      <c r="EP28" s="18" t="n"/>
      <c r="EQ28" s="18" t="n"/>
      <c r="ER28" s="18" t="n"/>
      <c r="ES28" s="18" t="n"/>
      <c r="ET28" s="18" t="n"/>
      <c r="EU28" s="18" t="n"/>
      <c r="EV28" s="18" t="n"/>
      <c r="EW28" s="18" t="n"/>
      <c r="EX28" s="18" t="n"/>
      <c r="EY28" s="18" t="n"/>
      <c r="EZ28" s="18" t="n"/>
      <c r="FA28" s="18" t="n"/>
      <c r="FB28" s="18" t="n"/>
      <c r="FC28" s="18" t="n"/>
      <c r="FD28" s="18" t="n"/>
      <c r="FE28" s="18" t="n"/>
      <c r="FF28" s="18" t="n"/>
      <c r="FG28" s="18" t="n"/>
      <c r="FH28" s="18" t="n"/>
      <c r="FI28" s="18" t="n"/>
      <c r="FJ28" s="18" t="n"/>
      <c r="FK28" s="18" t="n"/>
      <c r="FL28" s="18" t="n"/>
      <c r="FM28" s="18" t="n"/>
      <c r="FN28" s="18" t="n"/>
      <c r="FO28" s="18" t="n"/>
      <c r="FP28" s="18" t="n"/>
      <c r="FQ28" s="18" t="n"/>
      <c r="FR28" s="18" t="n"/>
      <c r="FS28" s="18" t="n"/>
      <c r="FT28" s="18" t="n"/>
      <c r="FU28" s="18" t="n"/>
      <c r="FV28" s="18" t="n"/>
      <c r="FW28" s="18" t="n"/>
      <c r="FX28" s="18" t="n"/>
      <c r="FY28" s="18" t="n"/>
      <c r="FZ28" s="18" t="n"/>
      <c r="GA28" s="18" t="n"/>
      <c r="GB28" s="18" t="n"/>
      <c r="GC28" s="18" t="n"/>
      <c r="GD28" s="18" t="n"/>
      <c r="GE28" s="18" t="n"/>
      <c r="GF28" s="18" t="n"/>
      <c r="GG28" s="18" t="n"/>
      <c r="GH28" s="18" t="n"/>
      <c r="GI28" s="18" t="n"/>
      <c r="GJ28" s="18" t="n"/>
      <c r="GK28" s="18" t="n"/>
      <c r="GL28" s="18" t="n"/>
      <c r="GM28" s="18" t="n"/>
      <c r="GN28" s="18" t="n"/>
      <c r="GO28" s="18" t="n"/>
      <c r="GP28" s="18" t="n"/>
      <c r="GQ28" s="18" t="n"/>
      <c r="GR28" s="18" t="n"/>
      <c r="GS28" s="18" t="n"/>
      <c r="GT28" s="18" t="n"/>
      <c r="GU28" s="18" t="n"/>
      <c r="GV28" s="18" t="n"/>
      <c r="GW28" s="18" t="n"/>
      <c r="GX28" s="18" t="n"/>
      <c r="GY28" s="18" t="n"/>
      <c r="GZ28" s="18" t="n"/>
      <c r="HA28" s="18" t="n"/>
      <c r="HB28" s="18" t="n"/>
      <c r="HC28" s="18" t="n"/>
      <c r="HD28" s="18" t="n"/>
      <c r="HE28" s="18" t="n"/>
      <c r="HF28" s="18" t="n"/>
      <c r="HG28" s="18" t="n"/>
      <c r="HH28" s="18" t="n"/>
      <c r="HI28" s="18" t="n"/>
      <c r="HJ28" s="18" t="n"/>
      <c r="HK28" s="18" t="n"/>
      <c r="HL28" s="18" t="n"/>
      <c r="HM28" s="18" t="n"/>
      <c r="HN28" s="18" t="n"/>
      <c r="HO28" s="18" t="n"/>
      <c r="HP28" s="18" t="n"/>
      <c r="HQ28" s="18" t="n"/>
      <c r="HR28" s="18" t="n"/>
      <c r="HS28" s="18" t="n"/>
      <c r="HT28" s="18" t="n"/>
      <c r="HU28" s="18" t="n"/>
      <c r="HV28" s="18" t="n"/>
      <c r="HW28" s="18" t="n"/>
      <c r="HX28" s="18" t="n"/>
      <c r="HY28" s="18" t="n"/>
      <c r="HZ28" s="18" t="n"/>
      <c r="IA28" s="18" t="n"/>
      <c r="IB28" s="18" t="n"/>
      <c r="IC28" s="18" t="n"/>
      <c r="ID28" s="18" t="n"/>
      <c r="IE28" s="18" t="n"/>
      <c r="IF28" s="18" t="n"/>
      <c r="IG28" s="18" t="n"/>
      <c r="IH28" s="18" t="n"/>
      <c r="II28" s="18" t="n"/>
      <c r="IJ28" s="18" t="n"/>
      <c r="IK28" s="18" t="n"/>
      <c r="IL28" s="18" t="n"/>
      <c r="IM28" s="18" t="n"/>
      <c r="IN28" s="18" t="n"/>
      <c r="IO28" s="18" t="n"/>
      <c r="IP28" s="18" t="n"/>
      <c r="IQ28" s="18" t="n"/>
      <c r="IR28" s="18" t="n"/>
      <c r="IS28" s="18" t="n"/>
      <c r="IT28" s="18" t="n"/>
      <c r="IU28" s="18" t="n"/>
      <c r="IV28" s="18" t="n"/>
      <c r="IW28" s="18" t="n"/>
      <c r="IX28" s="18" t="n"/>
      <c r="IY28" s="18" t="n"/>
    </row>
    <row r="29" ht="79.2" customHeight="1" s="88">
      <c r="A29" s="29" t="inlineStr">
        <is>
          <t>9000</t>
        </is>
      </c>
      <c r="B29" s="29" t="inlineStr">
        <is>
          <t>9000-10</t>
        </is>
      </c>
      <c r="C29" s="29" t="inlineStr">
        <is>
          <t>기계설비·소방설비</t>
        </is>
      </c>
      <c r="D29" s="29" t="inlineStr">
        <is>
          <t>9000-10-28</t>
        </is>
      </c>
      <c r="E29" s="102" t="inlineStr">
        <is>
          <t>9000-10-22, 9000-10-23</t>
        </is>
      </c>
      <c r="F29" s="102" t="inlineStr">
        <is>
          <t>9000-10-33, 9000-10-34</t>
        </is>
      </c>
      <c r="G29" s="32" t="inlineStr">
        <is>
          <t>큐비클 가스계_에어로졸 소화</t>
        </is>
      </c>
      <c r="H29" s="33" t="inlineStr">
        <is>
          <t>D+40</t>
        </is>
      </c>
      <c r="I29" s="33" t="inlineStr">
        <is>
          <t>기계/소방팀</t>
        </is>
      </c>
      <c r="J29" s="34" t="inlineStr">
        <is>
          <t>특고압/저압 수배전반 판넬 내부 KFI 인증 소공간 고체에어로졸 설치 및 3초 내 초기 진압</t>
        </is>
      </c>
      <c r="K29" s="34" t="inlineStr">
        <is>
          <t>1) STEP 1 (큐비클 내부 브래킷 고정): 수배전반 상단 발화 예상 지점에 내진 브래킷을 이용하여 에어로졸 소화장치 취부
2) STEP 2 (열감지선 및 기폭선 결선): 105℃ 정온식 열감지선을 판넬 내부 주요 부스바 주변에 포설하고 제어부 결선
3) STEP 3 (ACB 차단기 인터록 연동): 화재 감지 및 소화기 기폭 신호 출력 즉시 주차단기(ACB)가 자동 트립되는 인터록 검증</t>
        </is>
      </c>
      <c r="L29" s="34" t="inlineStr">
        <is>
          <t>큐비클 가스계_에어로졸 소화 시공계획서, 검측요청서 및 공인 시험성적서</t>
        </is>
      </c>
      <c r="M29" s="34" t="inlineStr">
        <is>
          <t>1) 큐비클 가스계_에어로졸 소화 (9000-8-28) 과업 달성을 위해 KDS 47 철도설계기준 및 NFTC 화재안전기준을 100% 충족한다.
2) 변전소, 충전 전기실, 정거장 31개소 특고압/저압 배전반 내부 고체에어로졸 자동소화장치을 엄격히 완수하여 책임감리원 최종 승인을 획득한다.</t>
        </is>
      </c>
      <c r="N29" s="60">
        <f>HYPERLINK(LEFT(CELL("filename",A1),FIND("[",CELL("filename",A1))-1)&amp;"10.기계분야\28_큐비클 가스계_에어로졸 소화\표준서\28_큐비클 가스계_에어로졸 소화_표준서.html", "👉 [클릭] 표준서 열기 📄")</f>
        <v/>
      </c>
      <c r="O29" s="34" t="inlineStr">
        <is>
          <t>1) STEP 1: 수배전반 큐비클 체적(㎥) 및 소화약제량 산정: 판넬 내부 공간 체적 및 발열 부품 조사
2) STEP 2: 고체에어로졸 소화장치 브라켓 고정: 판넬 천장부 내열 브라켓 볼트 체결</t>
        </is>
      </c>
      <c r="P29" s="58">
        <f>HYPERLINK(LEFT(CELL("filename",A1),FIND("[",CELL("filename",A1))-1)&amp;"10.기계분야\28_큐비클 가스계_에어로졸 소화\수행지침\28_큐비클 가스계_에어로졸 소화_수행지침.html", "👉 [클릭] 수행지침 열기 📄")</f>
        <v/>
      </c>
      <c r="Q29" s="34" t="inlineStr">
        <is>
          <t>1) 에어로졸 소화기 시방 및 KFI 인증 소공간용 고체에어로졸 자동소화장치 기준을 100% 충족하였는가?
2) 화재 감지 와이어 검측 및 불합격 요소를 전면 차단하였는가?</t>
        </is>
      </c>
      <c r="R29" s="56">
        <f>HYPERLINK(LEFT(CELL("filename",A1),FIND("[",CELL("filename",A1))-1)&amp;"10.기계분야\28_큐비클 가스계_에어로졸 소화\체크리스트\28_큐비클 가스계_에어로졸 소화_체크리스트.html", "👉 [클릭] 체크리스트 열기 📄")</f>
        <v/>
      </c>
      <c r="S29" s="33" t="inlineStr">
        <is>
          <t>기계·소방 복합 시방 준수</t>
        </is>
      </c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Y29" s="18" t="n"/>
      <c r="DZ29" s="18" t="n"/>
      <c r="EA29" s="18" t="n"/>
      <c r="EB29" s="18" t="n"/>
      <c r="EC29" s="18" t="n"/>
      <c r="ED29" s="18" t="n"/>
      <c r="EE29" s="18" t="n"/>
      <c r="EF29" s="18" t="n"/>
      <c r="EG29" s="18" t="n"/>
      <c r="EH29" s="18" t="n"/>
      <c r="EI29" s="18" t="n"/>
      <c r="EJ29" s="18" t="n"/>
      <c r="EK29" s="18" t="n"/>
      <c r="EL29" s="18" t="n"/>
      <c r="EM29" s="18" t="n"/>
      <c r="EN29" s="18" t="n"/>
      <c r="EO29" s="18" t="n"/>
      <c r="EP29" s="18" t="n"/>
      <c r="EQ29" s="18" t="n"/>
      <c r="ER29" s="18" t="n"/>
      <c r="ES29" s="18" t="n"/>
      <c r="ET29" s="18" t="n"/>
      <c r="EU29" s="18" t="n"/>
      <c r="EV29" s="18" t="n"/>
      <c r="EW29" s="18" t="n"/>
      <c r="EX29" s="18" t="n"/>
      <c r="EY29" s="18" t="n"/>
      <c r="EZ29" s="18" t="n"/>
      <c r="FA29" s="18" t="n"/>
      <c r="FB29" s="18" t="n"/>
      <c r="FC29" s="18" t="n"/>
      <c r="FD29" s="18" t="n"/>
      <c r="FE29" s="18" t="n"/>
      <c r="FF29" s="18" t="n"/>
      <c r="FG29" s="18" t="n"/>
      <c r="FH29" s="18" t="n"/>
      <c r="FI29" s="18" t="n"/>
      <c r="FJ29" s="18" t="n"/>
      <c r="FK29" s="18" t="n"/>
      <c r="FL29" s="18" t="n"/>
      <c r="FM29" s="18" t="n"/>
      <c r="FN29" s="18" t="n"/>
      <c r="FO29" s="18" t="n"/>
      <c r="FP29" s="18" t="n"/>
      <c r="FQ29" s="18" t="n"/>
      <c r="FR29" s="18" t="n"/>
      <c r="FS29" s="18" t="n"/>
      <c r="FT29" s="18" t="n"/>
      <c r="FU29" s="18" t="n"/>
      <c r="FV29" s="18" t="n"/>
      <c r="FW29" s="18" t="n"/>
      <c r="FX29" s="18" t="n"/>
      <c r="FY29" s="18" t="n"/>
      <c r="FZ29" s="18" t="n"/>
      <c r="GA29" s="18" t="n"/>
      <c r="GB29" s="18" t="n"/>
      <c r="GC29" s="18" t="n"/>
      <c r="GD29" s="18" t="n"/>
      <c r="GE29" s="18" t="n"/>
      <c r="GF29" s="18" t="n"/>
      <c r="GG29" s="18" t="n"/>
      <c r="GH29" s="18" t="n"/>
      <c r="GI29" s="18" t="n"/>
      <c r="GJ29" s="18" t="n"/>
      <c r="GK29" s="18" t="n"/>
      <c r="GL29" s="18" t="n"/>
      <c r="GM29" s="18" t="n"/>
      <c r="GN29" s="18" t="n"/>
      <c r="GO29" s="18" t="n"/>
      <c r="GP29" s="18" t="n"/>
      <c r="GQ29" s="18" t="n"/>
      <c r="GR29" s="18" t="n"/>
      <c r="GS29" s="18" t="n"/>
      <c r="GT29" s="18" t="n"/>
      <c r="GU29" s="18" t="n"/>
      <c r="GV29" s="18" t="n"/>
      <c r="GW29" s="18" t="n"/>
      <c r="GX29" s="18" t="n"/>
      <c r="GY29" s="18" t="n"/>
      <c r="GZ29" s="18" t="n"/>
      <c r="HA29" s="18" t="n"/>
      <c r="HB29" s="18" t="n"/>
      <c r="HC29" s="18" t="n"/>
      <c r="HD29" s="18" t="n"/>
      <c r="HE29" s="18" t="n"/>
      <c r="HF29" s="18" t="n"/>
      <c r="HG29" s="18" t="n"/>
      <c r="HH29" s="18" t="n"/>
      <c r="HI29" s="18" t="n"/>
      <c r="HJ29" s="18" t="n"/>
      <c r="HK29" s="18" t="n"/>
      <c r="HL29" s="18" t="n"/>
      <c r="HM29" s="18" t="n"/>
      <c r="HN29" s="18" t="n"/>
      <c r="HO29" s="18" t="n"/>
      <c r="HP29" s="18" t="n"/>
      <c r="HQ29" s="18" t="n"/>
      <c r="HR29" s="18" t="n"/>
      <c r="HS29" s="18" t="n"/>
      <c r="HT29" s="18" t="n"/>
      <c r="HU29" s="18" t="n"/>
      <c r="HV29" s="18" t="n"/>
      <c r="HW29" s="18" t="n"/>
      <c r="HX29" s="18" t="n"/>
      <c r="HY29" s="18" t="n"/>
      <c r="HZ29" s="18" t="n"/>
      <c r="IA29" s="18" t="n"/>
      <c r="IB29" s="18" t="n"/>
      <c r="IC29" s="18" t="n"/>
      <c r="ID29" s="18" t="n"/>
      <c r="IE29" s="18" t="n"/>
      <c r="IF29" s="18" t="n"/>
      <c r="IG29" s="18" t="n"/>
      <c r="IH29" s="18" t="n"/>
      <c r="II29" s="18" t="n"/>
      <c r="IJ29" s="18" t="n"/>
      <c r="IK29" s="18" t="n"/>
      <c r="IL29" s="18" t="n"/>
      <c r="IM29" s="18" t="n"/>
      <c r="IN29" s="18" t="n"/>
      <c r="IO29" s="18" t="n"/>
      <c r="IP29" s="18" t="n"/>
      <c r="IQ29" s="18" t="n"/>
      <c r="IR29" s="18" t="n"/>
      <c r="IS29" s="18" t="n"/>
      <c r="IT29" s="18" t="n"/>
      <c r="IU29" s="18" t="n"/>
      <c r="IV29" s="18" t="n"/>
      <c r="IW29" s="18" t="n"/>
      <c r="IX29" s="18" t="n"/>
      <c r="IY29" s="18" t="n"/>
      <c r="IZ29" s="18" t="n"/>
      <c r="JA29" s="18" t="n"/>
      <c r="JB29" s="18" t="n"/>
      <c r="JC29" s="18" t="n"/>
    </row>
    <row r="30" ht="79.2" customHeight="1" s="88">
      <c r="A30" s="19" t="inlineStr">
        <is>
          <t>9000</t>
        </is>
      </c>
      <c r="B30" s="19" t="inlineStr">
        <is>
          <t>9000-10</t>
        </is>
      </c>
      <c r="C30" s="19" t="inlineStr">
        <is>
          <t>기계설비·소방설비</t>
        </is>
      </c>
      <c r="D30" s="19" t="inlineStr">
        <is>
          <t>9000-10-29</t>
        </is>
      </c>
      <c r="E30" s="95" t="inlineStr">
        <is>
          <t>9000-10-23, 9000-10-24</t>
        </is>
      </c>
      <c r="F30" s="95" t="inlineStr">
        <is>
          <t>9000-10-34, 9000-10-35</t>
        </is>
      </c>
      <c r="G30" s="23" t="inlineStr">
        <is>
          <t>가스소화구역 과압배출구(P.R.D)</t>
        </is>
      </c>
      <c r="H30" s="21" t="inlineStr">
        <is>
          <t>D+45</t>
        </is>
      </c>
      <c r="I30" s="21" t="inlineStr">
        <is>
          <t>기계/소방팀</t>
        </is>
      </c>
      <c r="J30" s="24" t="inlineStr">
        <is>
          <t>가스소화약제 방출 시 실내 과압(200Pa) 자동 해소 및 자중 폐쇄를 통한 10분 설계농도 유지</t>
        </is>
      </c>
      <c r="K30" s="24" t="inlineStr">
        <is>
          <t>1) STEP 1 (방화벽체 개구부 프레임 취부): 변전실 외벽 또는 복도측 방화벽체에 P.R.D 댐퍼 프레임 수평 매립 고정
2) STEP 2 (카운터웨이트 개방압 세팅): 실내 압력이 200Pa에 도달할 때 블레이드가 정확히 열리도록 카운터웨이트 추 정밀 교정
3) STEP 3 (자중 폐쇄 및 기밀도 검측): 압력 해소 후 중력으로 완벽히 닫혀 소화가스 누출(약제 설계농도 10분 유지) 방지 검증</t>
        </is>
      </c>
      <c r="L30" s="24" t="inlineStr">
        <is>
          <t>가스소화구역 과압배출구(P.R.D) 시공계획서, 검측요청서 및 공인 시험성적서</t>
        </is>
      </c>
      <c r="M30" s="24" t="inlineStr">
        <is>
          <t>1) 가스소화구역 과압배출구(P.R.D) (9000-8-29) 과업 달성을 위해 KDS 47 철도설계기준 및 NFTC 화재안전기준을 100% 충족한다.
2) 변전소 가스소화약제 방출 시 방화벽체 풍압 파손 방지용 P.R.D(과압배출) 댐퍼 규격 시공을 엄격히 완수하여 책임감리원 최종 승인을 획득한다.</t>
        </is>
      </c>
      <c r="N30" s="59">
        <f>HYPERLINK(LEFT(CELL("filename",A1),FIND("[",CELL("filename",A1))-1)&amp;"10.기계분야\29_가스소화구역 과압배출구(P.R.D)\표준서\29_가스소화구역 과압배출구(P.R.D)_표준서.html", "👉 [클릭] 표준서 열기 📄")</f>
        <v/>
      </c>
      <c r="O30" s="24" t="inlineStr">
        <is>
          <t>1) STEP 1: 가스 방출 압력 상승치 및 P.R.D 배출 면적 계산: NFPA 2001 및 소방 시방 계산 공식 검토
2) STEP 2: 방화벽체 개구부 타공 및 STS 프레임 가설: 건축 개구부 치수 대조 및 방화 슬리브 시공</t>
        </is>
      </c>
      <c r="P30" s="57">
        <f>HYPERLINK(LEFT(CELL("filename",A1),FIND("[",CELL("filename",A1))-1)&amp;"10.기계분야\29_가스소화구역 과압배출구(P.R.D)\수행지침\29_가스소화구역 과압배출구(P.R.D)_수행지침.html", "👉 [클릭] 수행지침 열기 📄")</f>
        <v/>
      </c>
      <c r="Q30" s="24" t="inlineStr">
        <is>
          <t>1) P.R.D 댐퍼 면적 시방 및 소화약제 방출량 대비 과압배출 면적(㎡) 계산서 기준을 100% 충족하였는가?
2) 블레이드 밸런싱 검측 및 불합격 요소를 전면 차단하였는가?</t>
        </is>
      </c>
      <c r="R30" s="55">
        <f>HYPERLINK(LEFT(CELL("filename",A1),FIND("[",CELL("filename",A1))-1)&amp;"10.기계분야\29_가스소화구역 과압배출구(P.R.D)\체크리스트\29_가스소화구역 과압배출구(P.R.D)_체크리스트.html", "👉 [클릭] 체크리스트 열기 📄")</f>
        <v/>
      </c>
      <c r="S30" s="21" t="inlineStr">
        <is>
          <t>기계·소방 복합 시방 준수</t>
        </is>
      </c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Y30" s="18" t="n"/>
      <c r="DZ30" s="18" t="n"/>
      <c r="EA30" s="18" t="n"/>
      <c r="EB30" s="18" t="n"/>
      <c r="EC30" s="18" t="n"/>
      <c r="ED30" s="18" t="n"/>
      <c r="EE30" s="18" t="n"/>
      <c r="EF30" s="18" t="n"/>
      <c r="EG30" s="18" t="n"/>
      <c r="EH30" s="18" t="n"/>
      <c r="EI30" s="18" t="n"/>
      <c r="EJ30" s="18" t="n"/>
      <c r="EK30" s="18" t="n"/>
      <c r="EL30" s="18" t="n"/>
      <c r="EM30" s="18" t="n"/>
      <c r="EN30" s="18" t="n"/>
      <c r="EO30" s="18" t="n"/>
      <c r="EP30" s="18" t="n"/>
      <c r="EQ30" s="18" t="n"/>
      <c r="ER30" s="18" t="n"/>
      <c r="ES30" s="18" t="n"/>
      <c r="ET30" s="18" t="n"/>
      <c r="EU30" s="18" t="n"/>
      <c r="EV30" s="18" t="n"/>
      <c r="EW30" s="18" t="n"/>
      <c r="EX30" s="18" t="n"/>
      <c r="EY30" s="18" t="n"/>
      <c r="EZ30" s="18" t="n"/>
      <c r="FA30" s="18" t="n"/>
      <c r="FB30" s="18" t="n"/>
      <c r="FC30" s="18" t="n"/>
      <c r="FD30" s="18" t="n"/>
      <c r="FE30" s="18" t="n"/>
      <c r="FF30" s="18" t="n"/>
      <c r="FG30" s="18" t="n"/>
      <c r="FH30" s="18" t="n"/>
      <c r="FI30" s="18" t="n"/>
      <c r="FJ30" s="18" t="n"/>
      <c r="FK30" s="18" t="n"/>
      <c r="FL30" s="18" t="n"/>
      <c r="FM30" s="18" t="n"/>
      <c r="FN30" s="18" t="n"/>
      <c r="FO30" s="18" t="n"/>
      <c r="FP30" s="18" t="n"/>
      <c r="FQ30" s="18" t="n"/>
      <c r="FR30" s="18" t="n"/>
      <c r="FS30" s="18" t="n"/>
      <c r="FT30" s="18" t="n"/>
      <c r="FU30" s="18" t="n"/>
      <c r="FV30" s="18" t="n"/>
      <c r="FW30" s="18" t="n"/>
      <c r="FX30" s="18" t="n"/>
      <c r="FY30" s="18" t="n"/>
      <c r="FZ30" s="18" t="n"/>
      <c r="GA30" s="18" t="n"/>
      <c r="GB30" s="18" t="n"/>
      <c r="GC30" s="18" t="n"/>
      <c r="GD30" s="18" t="n"/>
      <c r="GE30" s="18" t="n"/>
      <c r="GF30" s="18" t="n"/>
      <c r="GG30" s="18" t="n"/>
      <c r="GH30" s="18" t="n"/>
      <c r="GI30" s="18" t="n"/>
      <c r="GJ30" s="18" t="n"/>
      <c r="GK30" s="18" t="n"/>
      <c r="GL30" s="18" t="n"/>
      <c r="GM30" s="18" t="n"/>
      <c r="GN30" s="18" t="n"/>
      <c r="GO30" s="18" t="n"/>
      <c r="GP30" s="18" t="n"/>
      <c r="GQ30" s="18" t="n"/>
      <c r="GR30" s="18" t="n"/>
      <c r="GS30" s="18" t="n"/>
      <c r="GT30" s="18" t="n"/>
      <c r="GU30" s="18" t="n"/>
      <c r="GV30" s="18" t="n"/>
      <c r="GW30" s="18" t="n"/>
      <c r="GX30" s="18" t="n"/>
      <c r="GY30" s="18" t="n"/>
      <c r="GZ30" s="18" t="n"/>
      <c r="HA30" s="18" t="n"/>
      <c r="HB30" s="18" t="n"/>
      <c r="HC30" s="18" t="n"/>
      <c r="HD30" s="18" t="n"/>
      <c r="HE30" s="18" t="n"/>
      <c r="HF30" s="18" t="n"/>
      <c r="HG30" s="18" t="n"/>
      <c r="HH30" s="18" t="n"/>
      <c r="HI30" s="18" t="n"/>
      <c r="HJ30" s="18" t="n"/>
      <c r="HK30" s="18" t="n"/>
      <c r="HL30" s="18" t="n"/>
      <c r="HM30" s="18" t="n"/>
      <c r="HN30" s="18" t="n"/>
      <c r="HO30" s="18" t="n"/>
      <c r="HP30" s="18" t="n"/>
      <c r="HQ30" s="18" t="n"/>
      <c r="HR30" s="18" t="n"/>
      <c r="HS30" s="18" t="n"/>
      <c r="HT30" s="18" t="n"/>
      <c r="HU30" s="18" t="n"/>
      <c r="HV30" s="18" t="n"/>
      <c r="HW30" s="18" t="n"/>
      <c r="HX30" s="18" t="n"/>
      <c r="HY30" s="18" t="n"/>
      <c r="HZ30" s="18" t="n"/>
      <c r="IA30" s="18" t="n"/>
      <c r="IB30" s="18" t="n"/>
      <c r="IC30" s="18" t="n"/>
      <c r="ID30" s="18" t="n"/>
      <c r="IE30" s="18" t="n"/>
      <c r="IF30" s="18" t="n"/>
      <c r="IG30" s="18" t="n"/>
      <c r="IH30" s="18" t="n"/>
      <c r="II30" s="18" t="n"/>
      <c r="IJ30" s="18" t="n"/>
      <c r="IK30" s="18" t="n"/>
      <c r="IL30" s="18" t="n"/>
      <c r="IM30" s="18" t="n"/>
      <c r="IN30" s="18" t="n"/>
      <c r="IO30" s="18" t="n"/>
      <c r="IP30" s="18" t="n"/>
      <c r="IQ30" s="18" t="n"/>
      <c r="IR30" s="18" t="n"/>
      <c r="IS30" s="18" t="n"/>
      <c r="IT30" s="18" t="n"/>
      <c r="IU30" s="18" t="n"/>
      <c r="IV30" s="18" t="n"/>
      <c r="IW30" s="18" t="n"/>
      <c r="IX30" s="18" t="n"/>
      <c r="IY30" s="18" t="n"/>
      <c r="IZ30" s="18" t="n"/>
      <c r="JA30" s="18" t="n"/>
      <c r="JB30" s="18" t="n"/>
      <c r="JC30" s="18" t="n"/>
      <c r="JD30" s="18" t="n"/>
      <c r="JE30" s="18" t="n"/>
      <c r="JF30" s="18" t="n"/>
      <c r="JG30" s="18" t="n"/>
    </row>
    <row r="31" ht="79.2" customHeight="1" s="88">
      <c r="A31" s="29" t="inlineStr">
        <is>
          <t>9000</t>
        </is>
      </c>
      <c r="B31" s="29" t="inlineStr">
        <is>
          <t>9000-10</t>
        </is>
      </c>
      <c r="C31" s="29" t="inlineStr">
        <is>
          <t>기계설비·소방설비</t>
        </is>
      </c>
      <c r="D31" s="29" t="inlineStr">
        <is>
          <t>9000-10-30</t>
        </is>
      </c>
      <c r="E31" s="102" t="inlineStr">
        <is>
          <t>9000-10-24, 9000-10-25</t>
        </is>
      </c>
      <c r="F31" s="102" t="inlineStr">
        <is>
          <t>9000-10-35</t>
        </is>
      </c>
      <c r="G31" s="32" t="inlineStr">
        <is>
          <t>소방펌프실 가설 및 성능시험</t>
        </is>
      </c>
      <c r="H31" s="33" t="inlineStr">
        <is>
          <t>D+50</t>
        </is>
      </c>
      <c r="I31" s="33" t="inlineStr">
        <is>
          <t>기계/소방팀</t>
        </is>
      </c>
      <c r="J31" s="34" t="inlineStr">
        <is>
          <t>소방펌프실 주/충압펌프 거치 및 체절압력(≤140%), 정격(100%), 150% 부하(≥65%) 법정 성능시험</t>
        </is>
      </c>
      <c r="K31" s="34" t="inlineStr">
        <is>
          <t>1) STEP 1 (펌프 기초 및 방진가설): 콘크리트 패드 위에 다단원심 소방 주펌프 및 충압펌프 방진마운트 거치 및 축정렬
2) STEP 2 (성능시험 배관 및 유량계): 주배관에서 분기된 오리피스 차압식 유량계 배관 및 순환배관 릴리프밸브 설치
3) STEP 3 (3대 법정 성능시험 입회): 감리원 입회 하에 체절운전(정격 140% 이하), 100% 정격부하, 150% 피크부하 곡선 검증</t>
        </is>
      </c>
      <c r="L31" s="34" t="inlineStr">
        <is>
          <t>소방펌프실 가설 및 성능시험 시공계획서, 검측요청서 및 공인 시험성적서</t>
        </is>
      </c>
      <c r="M31" s="34" t="inlineStr">
        <is>
          <t>1) 소방펌프실 가설 및 성능시험 (9000-8-30) 과업 달성을 위해 KDS 47 철도설계기준 및 NFTC 화재안전기준을 100% 충족한다.
2) 소방 주펌프(100%), 충압펌프, 체절압력(≤140%), 150% 유량 성능시험배관 및 릴리프밸브을 엄격히 완수하여 책임감리원 최종 승인을 획득한다.</t>
        </is>
      </c>
      <c r="N31" s="60">
        <f>HYPERLINK(LEFT(CELL("filename",A1),FIND("[",CELL("filename",A1))-1)&amp;"10.기계분야\30_소방펌프실 가설 및 성능시험\표준서\30_소방펌프실 가설 및 성능시험_표준서.html", "👉 [클릭] 표준서 열기 📄")</f>
        <v/>
      </c>
      <c r="O31" s="34" t="inlineStr">
        <is>
          <t>1) STEP 1: 소방펌프 콘크리트 기초 패드 및 방진가대 시공: 방진스프링 마운트 거치 및 축정렬(Alignment)
2) STEP 2: 흡입·토출 배관, 플렉시블 조인트 및 밸브류 체결: 편심 레듀샤, 버터플라이 밸브(OS&amp;Y), 스트레이너</t>
        </is>
      </c>
      <c r="P31" s="58">
        <f>HYPERLINK(LEFT(CELL("filename",A1),FIND("[",CELL("filename",A1))-1)&amp;"10.기계분야\30_소방펌프실 가설 및 성능시험\수행지침\30_소방펌프실 가설 및 성능시험_수행지침.html", "👉 [클릭] 수행지침 열기 📄")</f>
        <v/>
      </c>
      <c r="Q31" s="34" t="inlineStr">
        <is>
          <t>1) 소방 주펌프 시방 및 다단 원심펌프(정격유량/양정 시방 부합, IE3 모터) 기준을 100% 충족하였는가?
2) 성능시험배관 검측 및 불합격 요소를 전면 차단하였는가?</t>
        </is>
      </c>
      <c r="R31" s="56">
        <f>HYPERLINK(LEFT(CELL("filename",A1),FIND("[",CELL("filename",A1))-1)&amp;"10.기계분야\30_소방펌프실 가설 및 성능시험\체크리스트\30_소방펌프실 가설 및 성능시험_체크리스트.html", "👉 [클릭] 체크리스트 열기 📄")</f>
        <v/>
      </c>
      <c r="S31" s="33" t="inlineStr">
        <is>
          <t>기계·소방 복합 시방 준수</t>
        </is>
      </c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Y31" s="18" t="n"/>
      <c r="DZ31" s="18" t="n"/>
      <c r="EA31" s="18" t="n"/>
      <c r="EB31" s="18" t="n"/>
      <c r="EC31" s="18" t="n"/>
      <c r="ED31" s="18" t="n"/>
      <c r="EE31" s="18" t="n"/>
      <c r="EF31" s="18" t="n"/>
      <c r="EG31" s="18" t="n"/>
      <c r="EH31" s="18" t="n"/>
      <c r="EI31" s="18" t="n"/>
      <c r="EJ31" s="18" t="n"/>
      <c r="EK31" s="18" t="n"/>
      <c r="EL31" s="18" t="n"/>
      <c r="EM31" s="18" t="n"/>
      <c r="EN31" s="18" t="n"/>
      <c r="EO31" s="18" t="n"/>
      <c r="EP31" s="18" t="n"/>
      <c r="EQ31" s="18" t="n"/>
      <c r="ER31" s="18" t="n"/>
      <c r="ES31" s="18" t="n"/>
      <c r="ET31" s="18" t="n"/>
      <c r="EU31" s="18" t="n"/>
      <c r="EV31" s="18" t="n"/>
      <c r="EW31" s="18" t="n"/>
      <c r="EX31" s="18" t="n"/>
      <c r="EY31" s="18" t="n"/>
      <c r="EZ31" s="18" t="n"/>
      <c r="FA31" s="18" t="n"/>
      <c r="FB31" s="18" t="n"/>
      <c r="FC31" s="18" t="n"/>
      <c r="FD31" s="18" t="n"/>
      <c r="FE31" s="18" t="n"/>
      <c r="FF31" s="18" t="n"/>
      <c r="FG31" s="18" t="n"/>
      <c r="FH31" s="18" t="n"/>
      <c r="FI31" s="18" t="n"/>
      <c r="FJ31" s="18" t="n"/>
      <c r="FK31" s="18" t="n"/>
      <c r="FL31" s="18" t="n"/>
      <c r="FM31" s="18" t="n"/>
      <c r="FN31" s="18" t="n"/>
      <c r="FO31" s="18" t="n"/>
      <c r="FP31" s="18" t="n"/>
      <c r="FQ31" s="18" t="n"/>
      <c r="FR31" s="18" t="n"/>
      <c r="FS31" s="18" t="n"/>
      <c r="FT31" s="18" t="n"/>
      <c r="FU31" s="18" t="n"/>
      <c r="FV31" s="18" t="n"/>
      <c r="FW31" s="18" t="n"/>
      <c r="FX31" s="18" t="n"/>
      <c r="FY31" s="18" t="n"/>
      <c r="FZ31" s="18" t="n"/>
      <c r="GA31" s="18" t="n"/>
      <c r="GB31" s="18" t="n"/>
      <c r="GC31" s="18" t="n"/>
      <c r="GD31" s="18" t="n"/>
      <c r="GE31" s="18" t="n"/>
      <c r="GF31" s="18" t="n"/>
      <c r="GG31" s="18" t="n"/>
      <c r="GH31" s="18" t="n"/>
      <c r="GI31" s="18" t="n"/>
      <c r="GJ31" s="18" t="n"/>
      <c r="GK31" s="18" t="n"/>
      <c r="GL31" s="18" t="n"/>
      <c r="GM31" s="18" t="n"/>
      <c r="GN31" s="18" t="n"/>
      <c r="GO31" s="18" t="n"/>
      <c r="GP31" s="18" t="n"/>
      <c r="GQ31" s="18" t="n"/>
      <c r="GR31" s="18" t="n"/>
      <c r="GS31" s="18" t="n"/>
      <c r="GT31" s="18" t="n"/>
      <c r="GU31" s="18" t="n"/>
      <c r="GV31" s="18" t="n"/>
      <c r="GW31" s="18" t="n"/>
      <c r="GX31" s="18" t="n"/>
      <c r="GY31" s="18" t="n"/>
      <c r="GZ31" s="18" t="n"/>
      <c r="HA31" s="18" t="n"/>
      <c r="HB31" s="18" t="n"/>
      <c r="HC31" s="18" t="n"/>
      <c r="HD31" s="18" t="n"/>
      <c r="HE31" s="18" t="n"/>
      <c r="HF31" s="18" t="n"/>
      <c r="HG31" s="18" t="n"/>
      <c r="HH31" s="18" t="n"/>
      <c r="HI31" s="18" t="n"/>
      <c r="HJ31" s="18" t="n"/>
      <c r="HK31" s="18" t="n"/>
      <c r="HL31" s="18" t="n"/>
      <c r="HM31" s="18" t="n"/>
      <c r="HN31" s="18" t="n"/>
      <c r="HO31" s="18" t="n"/>
      <c r="HP31" s="18" t="n"/>
      <c r="HQ31" s="18" t="n"/>
      <c r="HR31" s="18" t="n"/>
      <c r="HS31" s="18" t="n"/>
      <c r="HT31" s="18" t="n"/>
      <c r="HU31" s="18" t="n"/>
      <c r="HV31" s="18" t="n"/>
      <c r="HW31" s="18" t="n"/>
      <c r="HX31" s="18" t="n"/>
      <c r="HY31" s="18" t="n"/>
      <c r="HZ31" s="18" t="n"/>
      <c r="IA31" s="18" t="n"/>
      <c r="IB31" s="18" t="n"/>
      <c r="IC31" s="18" t="n"/>
      <c r="ID31" s="18" t="n"/>
      <c r="IE31" s="18" t="n"/>
      <c r="IF31" s="18" t="n"/>
      <c r="IG31" s="18" t="n"/>
      <c r="IH31" s="18" t="n"/>
      <c r="II31" s="18" t="n"/>
      <c r="IJ31" s="18" t="n"/>
      <c r="IK31" s="18" t="n"/>
      <c r="IL31" s="18" t="n"/>
      <c r="IM31" s="18" t="n"/>
      <c r="IN31" s="18" t="n"/>
      <c r="IO31" s="18" t="n"/>
      <c r="IP31" s="18" t="n"/>
      <c r="IQ31" s="18" t="n"/>
      <c r="IR31" s="18" t="n"/>
      <c r="IS31" s="18" t="n"/>
      <c r="IT31" s="18" t="n"/>
      <c r="IU31" s="18" t="n"/>
      <c r="IV31" s="18" t="n"/>
      <c r="IW31" s="18" t="n"/>
      <c r="IX31" s="18" t="n"/>
      <c r="IY31" s="18" t="n"/>
      <c r="IZ31" s="18" t="n"/>
      <c r="JA31" s="18" t="n"/>
      <c r="JB31" s="18" t="n"/>
      <c r="JC31" s="18" t="n"/>
      <c r="JD31" s="18" t="n"/>
      <c r="JE31" s="18" t="n"/>
      <c r="JF31" s="18" t="n"/>
      <c r="JG31" s="18" t="n"/>
      <c r="JH31" s="18" t="n"/>
      <c r="JI31" s="18" t="n"/>
      <c r="JJ31" s="18" t="n"/>
      <c r="JK31" s="18" t="n"/>
    </row>
    <row r="32" ht="79.2" customHeight="1" s="88">
      <c r="A32" s="19" t="inlineStr">
        <is>
          <t>9000</t>
        </is>
      </c>
      <c r="B32" s="19" t="inlineStr">
        <is>
          <t>9000-10</t>
        </is>
      </c>
      <c r="C32" s="19" t="inlineStr">
        <is>
          <t>기계설비·소방설비</t>
        </is>
      </c>
      <c r="D32" s="19" t="inlineStr">
        <is>
          <t>9000-10-31</t>
        </is>
      </c>
      <c r="E32" s="95" t="inlineStr">
        <is>
          <t>9000-10-25, 9000-10-26</t>
        </is>
      </c>
      <c r="F32" s="95" t="inlineStr">
        <is>
          <t>9000-10-35, 9000-10-36</t>
        </is>
      </c>
      <c r="G32" s="23" t="inlineStr">
        <is>
          <t>정거장 인승용 승강기(17_24인승)</t>
        </is>
      </c>
      <c r="H32" s="21" t="inlineStr">
        <is>
          <t>D+55</t>
        </is>
      </c>
      <c r="I32" s="21" t="inlineStr">
        <is>
          <t>기계/소방팀</t>
        </is>
      </c>
      <c r="J32" s="24" t="inlineStr">
        <is>
          <t>정거장 MRL(기계실 없는) 인승용 승강기 설치 및 KoELSA 완성검사 필증 획득</t>
        </is>
      </c>
      <c r="K32" s="24" t="inlineStr">
        <is>
          <t>1) STEP 1 (승강로 수직도 및 레일 조립): 승강로 수직도(오차 ≤ ±5mm) 실측 후 13K 가이드레일 브래킷 앵커링 및 조립
2) STEP 2 (PMSM 권상기 및 카 조립): PMSM 영구자석 기어리스 권상기 안착, 메인로프(안전율 ≥ 12) 텐션 조정 및 카 조립
3) STEP 3 (KoELSA 법정 완성검사): 128채널 3D 도어센서, 정전 시 ARD 구출장치, 조속기 비상정지장치 실부하 시험 100% 합격</t>
        </is>
      </c>
      <c r="L32" s="24" t="inlineStr">
        <is>
          <t>정거장 인승용 승강기(17_24인승) 시공계획서, 검측요청서 및 공인 시험성적서</t>
        </is>
      </c>
      <c r="M32" s="24" t="inlineStr">
        <is>
          <t>1) 정거장 인승용 승강기(17_24인승) (9000-8-31) 과업 달성을 위해 KDS 47 철도설계기준 및 NFTC 화재안전기준을 100% 충족한다.
2) 승강로 수직도(±5mm), 도어 다점 안전센서, 비상통화장치 및 한국승강기안전공단(KoELSA) 검사을 엄격히 완수하여 책임감리원 최종 승인을 획득한다.</t>
        </is>
      </c>
      <c r="N32" s="59">
        <f>HYPERLINK(LEFT(CELL("filename",A1),FIND("[",CELL("filename",A1))-1)&amp;"10.기계분야\31_정거장 인승용 승강기(17_24인승)\표준서\31_정거장 인승용 승강기(17_24인승)_표준서.html", "👉 [클릭] 표준서 열기 📄")</f>
        <v/>
      </c>
      <c r="O32" s="24" t="inlineStr">
        <is>
          <t>1) STEP 1: 승강로 골조 치수, 피트 깊이 및 수직도 실측: 레이저 수직 측정기를 이용한 오차 검측
2) STEP 2: 가이드레일 브라켓 및 T형 레일 조립: 레일 브라켓 앵커링 및 조인트 플레이트 체결</t>
        </is>
      </c>
      <c r="P32" s="57">
        <f>HYPERLINK(LEFT(CELL("filename",A1),FIND("[",CELL("filename",A1))-1)&amp;"10.기계분야\31_정거장 인승용 승강기(17_24인승)\수행지침\31_정거장 인승용 승강기(17_24인승)_수행지침.html", "👉 [클릭] 수행지침 열기 📄")</f>
        <v/>
      </c>
      <c r="Q32" s="24" t="inlineStr">
        <is>
          <t>1) MRL 권상기 시방 및 영구자석 동기전동기(PMSM) 기어리스 권상기 기준을 100% 충족하였는가?
2) 가이드 레일 검측 및 불합격 요소를 전면 차단하였는가?</t>
        </is>
      </c>
      <c r="R32" s="55">
        <f>HYPERLINK(LEFT(CELL("filename",A1),FIND("[",CELL("filename",A1))-1)&amp;"10.기계분야\31_정거장 인승용 승강기(17_24인승)\체크리스트\31_정거장 인승용 승강기(17_24인승)_체크리스트.html", "👉 [클릭] 체크리스트 열기 📄")</f>
        <v/>
      </c>
      <c r="S32" s="21" t="inlineStr">
        <is>
          <t>기계·소방 복합 시방 준수</t>
        </is>
      </c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Y32" s="18" t="n"/>
      <c r="DZ32" s="18" t="n"/>
      <c r="EA32" s="18" t="n"/>
      <c r="EB32" s="18" t="n"/>
      <c r="EC32" s="18" t="n"/>
      <c r="ED32" s="18" t="n"/>
      <c r="EE32" s="18" t="n"/>
      <c r="EF32" s="18" t="n"/>
      <c r="EG32" s="18" t="n"/>
      <c r="EH32" s="18" t="n"/>
      <c r="EI32" s="18" t="n"/>
      <c r="EJ32" s="18" t="n"/>
      <c r="EK32" s="18" t="n"/>
      <c r="EL32" s="18" t="n"/>
      <c r="EM32" s="18" t="n"/>
      <c r="EN32" s="18" t="n"/>
      <c r="EO32" s="18" t="n"/>
      <c r="EP32" s="18" t="n"/>
      <c r="EQ32" s="18" t="n"/>
      <c r="ER32" s="18" t="n"/>
      <c r="ES32" s="18" t="n"/>
      <c r="ET32" s="18" t="n"/>
      <c r="EU32" s="18" t="n"/>
      <c r="EV32" s="18" t="n"/>
      <c r="EW32" s="18" t="n"/>
      <c r="EX32" s="18" t="n"/>
      <c r="EY32" s="18" t="n"/>
      <c r="EZ32" s="18" t="n"/>
      <c r="FA32" s="18" t="n"/>
      <c r="FB32" s="18" t="n"/>
      <c r="FC32" s="18" t="n"/>
      <c r="FD32" s="18" t="n"/>
      <c r="FE32" s="18" t="n"/>
      <c r="FF32" s="18" t="n"/>
      <c r="FG32" s="18" t="n"/>
      <c r="FH32" s="18" t="n"/>
      <c r="FI32" s="18" t="n"/>
      <c r="FJ32" s="18" t="n"/>
      <c r="FK32" s="18" t="n"/>
      <c r="FL32" s="18" t="n"/>
      <c r="FM32" s="18" t="n"/>
      <c r="FN32" s="18" t="n"/>
      <c r="FO32" s="18" t="n"/>
      <c r="FP32" s="18" t="n"/>
      <c r="FQ32" s="18" t="n"/>
      <c r="FR32" s="18" t="n"/>
      <c r="FS32" s="18" t="n"/>
      <c r="FT32" s="18" t="n"/>
      <c r="FU32" s="18" t="n"/>
      <c r="FV32" s="18" t="n"/>
      <c r="FW32" s="18" t="n"/>
      <c r="FX32" s="18" t="n"/>
      <c r="FY32" s="18" t="n"/>
      <c r="FZ32" s="18" t="n"/>
      <c r="GA32" s="18" t="n"/>
      <c r="GB32" s="18" t="n"/>
      <c r="GC32" s="18" t="n"/>
      <c r="GD32" s="18" t="n"/>
      <c r="GE32" s="18" t="n"/>
      <c r="GF32" s="18" t="n"/>
      <c r="GG32" s="18" t="n"/>
      <c r="GH32" s="18" t="n"/>
      <c r="GI32" s="18" t="n"/>
      <c r="GJ32" s="18" t="n"/>
      <c r="GK32" s="18" t="n"/>
      <c r="GL32" s="18" t="n"/>
      <c r="GM32" s="18" t="n"/>
      <c r="GN32" s="18" t="n"/>
      <c r="GO32" s="18" t="n"/>
      <c r="GP32" s="18" t="n"/>
      <c r="GQ32" s="18" t="n"/>
      <c r="GR32" s="18" t="n"/>
      <c r="GS32" s="18" t="n"/>
      <c r="GT32" s="18" t="n"/>
      <c r="GU32" s="18" t="n"/>
      <c r="GV32" s="18" t="n"/>
      <c r="GW32" s="18" t="n"/>
      <c r="GX32" s="18" t="n"/>
      <c r="GY32" s="18" t="n"/>
      <c r="GZ32" s="18" t="n"/>
      <c r="HA32" s="18" t="n"/>
      <c r="HB32" s="18" t="n"/>
      <c r="HC32" s="18" t="n"/>
      <c r="HD32" s="18" t="n"/>
      <c r="HE32" s="18" t="n"/>
      <c r="HF32" s="18" t="n"/>
      <c r="HG32" s="18" t="n"/>
      <c r="HH32" s="18" t="n"/>
      <c r="HI32" s="18" t="n"/>
      <c r="HJ32" s="18" t="n"/>
      <c r="HK32" s="18" t="n"/>
      <c r="HL32" s="18" t="n"/>
      <c r="HM32" s="18" t="n"/>
      <c r="HN32" s="18" t="n"/>
      <c r="HO32" s="18" t="n"/>
      <c r="HP32" s="18" t="n"/>
      <c r="HQ32" s="18" t="n"/>
      <c r="HR32" s="18" t="n"/>
      <c r="HS32" s="18" t="n"/>
      <c r="HT32" s="18" t="n"/>
      <c r="HU32" s="18" t="n"/>
      <c r="HV32" s="18" t="n"/>
      <c r="HW32" s="18" t="n"/>
      <c r="HX32" s="18" t="n"/>
      <c r="HY32" s="18" t="n"/>
      <c r="HZ32" s="18" t="n"/>
      <c r="IA32" s="18" t="n"/>
      <c r="IB32" s="18" t="n"/>
      <c r="IC32" s="18" t="n"/>
      <c r="ID32" s="18" t="n"/>
      <c r="IE32" s="18" t="n"/>
      <c r="IF32" s="18" t="n"/>
      <c r="IG32" s="18" t="n"/>
      <c r="IH32" s="18" t="n"/>
      <c r="II32" s="18" t="n"/>
      <c r="IJ32" s="18" t="n"/>
      <c r="IK32" s="18" t="n"/>
      <c r="IL32" s="18" t="n"/>
      <c r="IM32" s="18" t="n"/>
      <c r="IN32" s="18" t="n"/>
      <c r="IO32" s="18" t="n"/>
      <c r="IP32" s="18" t="n"/>
      <c r="IQ32" s="18" t="n"/>
      <c r="IR32" s="18" t="n"/>
      <c r="IS32" s="18" t="n"/>
      <c r="IT32" s="18" t="n"/>
      <c r="IU32" s="18" t="n"/>
      <c r="IV32" s="18" t="n"/>
      <c r="IW32" s="18" t="n"/>
      <c r="IX32" s="18" t="n"/>
      <c r="IY32" s="18" t="n"/>
      <c r="IZ32" s="18" t="n"/>
      <c r="JA32" s="18" t="n"/>
      <c r="JB32" s="18" t="n"/>
      <c r="JC32" s="18" t="n"/>
      <c r="JD32" s="18" t="n"/>
      <c r="JE32" s="18" t="n"/>
      <c r="JF32" s="18" t="n"/>
      <c r="JG32" s="18" t="n"/>
      <c r="JH32" s="18" t="n"/>
      <c r="JI32" s="18" t="n"/>
      <c r="JJ32" s="18" t="n"/>
      <c r="JK32" s="18" t="n"/>
      <c r="JL32" s="18" t="n"/>
      <c r="JM32" s="18" t="n"/>
      <c r="JN32" s="18" t="n"/>
      <c r="JO32" s="18" t="n"/>
    </row>
    <row r="33" ht="79.2" customHeight="1" s="88">
      <c r="A33" s="29" t="inlineStr">
        <is>
          <t>9000</t>
        </is>
      </c>
      <c r="B33" s="29" t="inlineStr">
        <is>
          <t>9000-10</t>
        </is>
      </c>
      <c r="C33" s="29" t="inlineStr">
        <is>
          <t>기계설비·소방설비</t>
        </is>
      </c>
      <c r="D33" s="29" t="inlineStr">
        <is>
          <t>9000-10-32</t>
        </is>
      </c>
      <c r="E33" s="102" t="inlineStr">
        <is>
          <t>9000-10-26, 9000-10-27</t>
        </is>
      </c>
      <c r="F33" s="102" t="inlineStr">
        <is>
          <t>9000-10-36</t>
        </is>
      </c>
      <c r="G33" s="32" t="inlineStr">
        <is>
          <t>검수고 관통형 화물용 EV</t>
        </is>
      </c>
      <c r="H33" s="33" t="inlineStr">
        <is>
          <t>D+60</t>
        </is>
      </c>
      <c r="I33" s="33" t="inlineStr">
        <is>
          <t>기계/소방팀</t>
        </is>
      </c>
      <c r="J33" s="34" t="inlineStr">
        <is>
          <t>차량기지 종합검수고 관통형(양방향 도어) 3~5ton 화물용 승강기 가설 및 지게차 진입 바닥 보강</t>
        </is>
      </c>
      <c r="K33" s="34" t="inlineStr">
        <is>
          <t>1) STEP 1 (중하중 승강로 구조 보강): 지게차(자중 4.5ton) 진입 하중을 견디도록 카 바닥 H형강 및 4.5T 체크플레이트 보강
2) STEP 2 (관통형 양방향 도어 인터록): 1층 전면 도어와 2층 후면 도어가 동시 개방되지 않도록 안전 인터록 릴레이 구축
3) STEP 3 (125% 과부하 하중시험): 정격 적재하중의 125%(6.25ton) 추를 탑재하여 권상 제동력 및 슬립 유무 정밀 안전검사</t>
        </is>
      </c>
      <c r="L33" s="34" t="inlineStr">
        <is>
          <t>검수고 관통형 화물용 EV 시공계획서, 검측요청서 및 공인 시험성적서</t>
        </is>
      </c>
      <c r="M33" s="34" t="inlineStr">
        <is>
          <t>1) 검수고 관통형 화물용 EV (9000-8-32) 과업 달성을 위해 KDS 47 철도설계기준 및 NFTC 화재안전기준을 100% 충족한다.
2) 차량기지 종합검수고 대형 중정비 자재 운반용 관통형(앞뒤 개폐) 화물 EV, 바닥 하중보강을 엄격히 완수하여 책임감리원 최종 승인을 획득한다.</t>
        </is>
      </c>
      <c r="N33" s="60">
        <f>HYPERLINK(LEFT(CELL("filename",A1),FIND("[",CELL("filename",A1))-1)&amp;"10.기계분야\32_검수고 관통형 화물용 EV\표준서\32_검수고 관통형 화물용 EV_표준서.html", "👉 [클릭] 표준서 열기 📄")</f>
        <v/>
      </c>
      <c r="O33" s="34" t="inlineStr">
        <is>
          <t>1) STEP 1: 대형 화물용 승강로 구조 및 지게차 동선 검토: 카 내부 치수(W2.5m x D3.5m 이상) 및 하중 대조
2) STEP 2: 대형 H형강 카 프레임 및 중량 레일 가설: T형 중량 가이드레일(24K/30K) 및 브라켓 체결</t>
        </is>
      </c>
      <c r="P33" s="58">
        <f>HYPERLINK(LEFT(CELL("filename",A1),FIND("[",CELL("filename",A1))-1)&amp;"10.기계분야\32_검수고 관통형 화물용 EV\수행지침\32_검수고 관통형 화물용 EV_수행지침.html", "👉 [클릭] 수행지침 열기 📄")</f>
        <v/>
      </c>
      <c r="Q33" s="34" t="inlineStr">
        <is>
          <t>1) 화물 적재 용량 시방 및 정격 적재 하중 3,000kg ~ 5,000kg 대형 카 기준을 100% 충족하였는가?
2) 관통형 도어(Through) 검측 및 불합격 요소를 전면 차단하였는가?</t>
        </is>
      </c>
      <c r="R33" s="56">
        <f>HYPERLINK(LEFT(CELL("filename",A1),FIND("[",CELL("filename",A1))-1)&amp;"10.기계분야\32_검수고 관통형 화물용 EV\체크리스트\32_검수고 관통형 화물용 EV_체크리스트.html", "👉 [클릭] 체크리스트 열기 📄")</f>
        <v/>
      </c>
      <c r="S33" s="33" t="inlineStr">
        <is>
          <t>기계·소방 복합 시방 준수</t>
        </is>
      </c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Y33" s="18" t="n"/>
      <c r="DZ33" s="18" t="n"/>
      <c r="EA33" s="18" t="n"/>
      <c r="EB33" s="18" t="n"/>
      <c r="EC33" s="18" t="n"/>
      <c r="ED33" s="18" t="n"/>
      <c r="EE33" s="18" t="n"/>
      <c r="EF33" s="18" t="n"/>
      <c r="EG33" s="18" t="n"/>
      <c r="EH33" s="18" t="n"/>
      <c r="EI33" s="18" t="n"/>
      <c r="EJ33" s="18" t="n"/>
      <c r="EK33" s="18" t="n"/>
      <c r="EL33" s="18" t="n"/>
      <c r="EM33" s="18" t="n"/>
      <c r="EN33" s="18" t="n"/>
      <c r="EO33" s="18" t="n"/>
      <c r="EP33" s="18" t="n"/>
      <c r="EQ33" s="18" t="n"/>
      <c r="ER33" s="18" t="n"/>
      <c r="ES33" s="18" t="n"/>
      <c r="ET33" s="18" t="n"/>
      <c r="EU33" s="18" t="n"/>
      <c r="EV33" s="18" t="n"/>
      <c r="EW33" s="18" t="n"/>
      <c r="EX33" s="18" t="n"/>
      <c r="EY33" s="18" t="n"/>
      <c r="EZ33" s="18" t="n"/>
      <c r="FA33" s="18" t="n"/>
      <c r="FB33" s="18" t="n"/>
      <c r="FC33" s="18" t="n"/>
      <c r="FD33" s="18" t="n"/>
      <c r="FE33" s="18" t="n"/>
      <c r="FF33" s="18" t="n"/>
      <c r="FG33" s="18" t="n"/>
      <c r="FH33" s="18" t="n"/>
      <c r="FI33" s="18" t="n"/>
      <c r="FJ33" s="18" t="n"/>
      <c r="FK33" s="18" t="n"/>
      <c r="FL33" s="18" t="n"/>
      <c r="FM33" s="18" t="n"/>
      <c r="FN33" s="18" t="n"/>
      <c r="FO33" s="18" t="n"/>
      <c r="FP33" s="18" t="n"/>
      <c r="FQ33" s="18" t="n"/>
      <c r="FR33" s="18" t="n"/>
      <c r="FS33" s="18" t="n"/>
      <c r="FT33" s="18" t="n"/>
      <c r="FU33" s="18" t="n"/>
      <c r="FV33" s="18" t="n"/>
      <c r="FW33" s="18" t="n"/>
      <c r="FX33" s="18" t="n"/>
      <c r="FY33" s="18" t="n"/>
      <c r="FZ33" s="18" t="n"/>
      <c r="GA33" s="18" t="n"/>
      <c r="GB33" s="18" t="n"/>
      <c r="GC33" s="18" t="n"/>
      <c r="GD33" s="18" t="n"/>
      <c r="GE33" s="18" t="n"/>
      <c r="GF33" s="18" t="n"/>
      <c r="GG33" s="18" t="n"/>
      <c r="GH33" s="18" t="n"/>
      <c r="GI33" s="18" t="n"/>
      <c r="GJ33" s="18" t="n"/>
      <c r="GK33" s="18" t="n"/>
      <c r="GL33" s="18" t="n"/>
      <c r="GM33" s="18" t="n"/>
      <c r="GN33" s="18" t="n"/>
      <c r="GO33" s="18" t="n"/>
      <c r="GP33" s="18" t="n"/>
      <c r="GQ33" s="18" t="n"/>
      <c r="GR33" s="18" t="n"/>
      <c r="GS33" s="18" t="n"/>
      <c r="GT33" s="18" t="n"/>
      <c r="GU33" s="18" t="n"/>
      <c r="GV33" s="18" t="n"/>
      <c r="GW33" s="18" t="n"/>
      <c r="GX33" s="18" t="n"/>
      <c r="GY33" s="18" t="n"/>
      <c r="GZ33" s="18" t="n"/>
      <c r="HA33" s="18" t="n"/>
      <c r="HB33" s="18" t="n"/>
      <c r="HC33" s="18" t="n"/>
      <c r="HD33" s="18" t="n"/>
      <c r="HE33" s="18" t="n"/>
      <c r="HF33" s="18" t="n"/>
      <c r="HG33" s="18" t="n"/>
      <c r="HH33" s="18" t="n"/>
      <c r="HI33" s="18" t="n"/>
      <c r="HJ33" s="18" t="n"/>
      <c r="HK33" s="18" t="n"/>
      <c r="HL33" s="18" t="n"/>
      <c r="HM33" s="18" t="n"/>
      <c r="HN33" s="18" t="n"/>
      <c r="HO33" s="18" t="n"/>
      <c r="HP33" s="18" t="n"/>
      <c r="HQ33" s="18" t="n"/>
      <c r="HR33" s="18" t="n"/>
      <c r="HS33" s="18" t="n"/>
      <c r="HT33" s="18" t="n"/>
      <c r="HU33" s="18" t="n"/>
      <c r="HV33" s="18" t="n"/>
      <c r="HW33" s="18" t="n"/>
      <c r="HX33" s="18" t="n"/>
      <c r="HY33" s="18" t="n"/>
      <c r="HZ33" s="18" t="n"/>
      <c r="IA33" s="18" t="n"/>
      <c r="IB33" s="18" t="n"/>
      <c r="IC33" s="18" t="n"/>
      <c r="ID33" s="18" t="n"/>
      <c r="IE33" s="18" t="n"/>
      <c r="IF33" s="18" t="n"/>
      <c r="IG33" s="18" t="n"/>
      <c r="IH33" s="18" t="n"/>
      <c r="II33" s="18" t="n"/>
      <c r="IJ33" s="18" t="n"/>
      <c r="IK33" s="18" t="n"/>
      <c r="IL33" s="18" t="n"/>
      <c r="IM33" s="18" t="n"/>
      <c r="IN33" s="18" t="n"/>
      <c r="IO33" s="18" t="n"/>
      <c r="IP33" s="18" t="n"/>
      <c r="IQ33" s="18" t="n"/>
      <c r="IR33" s="18" t="n"/>
      <c r="IS33" s="18" t="n"/>
      <c r="IT33" s="18" t="n"/>
      <c r="IU33" s="18" t="n"/>
      <c r="IV33" s="18" t="n"/>
      <c r="IW33" s="18" t="n"/>
      <c r="IX33" s="18" t="n"/>
      <c r="IY33" s="18" t="n"/>
      <c r="IZ33" s="18" t="n"/>
      <c r="JA33" s="18" t="n"/>
      <c r="JB33" s="18" t="n"/>
      <c r="JC33" s="18" t="n"/>
      <c r="JD33" s="18" t="n"/>
      <c r="JE33" s="18" t="n"/>
      <c r="JF33" s="18" t="n"/>
      <c r="JG33" s="18" t="n"/>
      <c r="JH33" s="18" t="n"/>
      <c r="JI33" s="18" t="n"/>
      <c r="JJ33" s="18" t="n"/>
      <c r="JK33" s="18" t="n"/>
      <c r="JL33" s="18" t="n"/>
      <c r="JM33" s="18" t="n"/>
      <c r="JN33" s="18" t="n"/>
      <c r="JO33" s="18" t="n"/>
      <c r="JP33" s="18" t="n"/>
      <c r="JQ33" s="18" t="n"/>
      <c r="JR33" s="18" t="n"/>
      <c r="JS33" s="18" t="n"/>
    </row>
    <row r="34" ht="79.2" customHeight="1" s="88">
      <c r="A34" s="29" t="inlineStr">
        <is>
          <t>9000</t>
        </is>
      </c>
      <c r="B34" s="29" t="inlineStr">
        <is>
          <t>9000-10</t>
        </is>
      </c>
      <c r="C34" s="29" t="inlineStr">
        <is>
          <t>기계설비·소방설비</t>
        </is>
      </c>
      <c r="D34" s="29" t="inlineStr">
        <is>
          <t>9000-10-33</t>
        </is>
      </c>
      <c r="E34" s="102" t="inlineStr">
        <is>
          <t>9000-10-27, 9000-10-28</t>
        </is>
      </c>
      <c r="F34" s="102" t="inlineStr">
        <is>
          <t>9000-10-36</t>
        </is>
      </c>
      <c r="G34" s="32" t="inlineStr">
        <is>
          <t>DDC_IP DDC 자동제어 백업 이중화</t>
        </is>
      </c>
      <c r="H34" s="33" t="inlineStr">
        <is>
          <t>D+65</t>
        </is>
      </c>
      <c r="I34" s="33" t="inlineStr">
        <is>
          <t>기계/소방팀</t>
        </is>
      </c>
      <c r="J34" s="34" t="inlineStr">
        <is>
          <t>기계설비 직접디지털제어(IP DDC) 판넬 설치, BACnet 국제표준 통신 및 관제서버 무중단 이중화</t>
        </is>
      </c>
      <c r="K34" s="34" t="inlineStr">
        <is>
          <t>1) STEP 1 (IP DDC 필드 제어반 결선): 기계실 및 공조실 DDC 판넬에 아날로그(AI/AO), 디지털(DI/DO) 센서·밸브 케이블 결선
2) STEP 2 (BACnet 통신 루프 구축): 개방형 BACnet/IP 프로토콜을 적용하여 중앙 방재실 관제 컴퓨터와 실시간 데이터 통신 연동
3) STEP 3 (서버 0초 이중화 절환 시험): 메인 관제 서버 강제 다운 시 대기 중인 백업 서버로 데이터 손실 없이 0초 절환 검증</t>
        </is>
      </c>
      <c r="L34" s="34" t="inlineStr">
        <is>
          <t>DDC_IP DDC 자동제어 백업 이중화 시공계획서, 검측요청서 및 공인 시험성적서</t>
        </is>
      </c>
      <c r="M34" s="34" t="inlineStr">
        <is>
          <t>1) DDC_IP DDC 자동제어 백업 이중화 (9000-8-33) 과업 달성을 위해 KDS 47 철도설계기준 및 NFTC 화재안전기준을 100% 충족한다.
2) 원격 관제 DDC 패널, BACnet 표준 통신, 메인/백업 중앙 감시 서버 무중단 절환 체계을 엄격히 완수하여 책임감리원 최종 승인을 획득한다.</t>
        </is>
      </c>
      <c r="N34" s="60">
        <f>HYPERLINK(LEFT(CELL("filename",A1),FIND("[",CELL("filename",A1))-1)&amp;"10.기계분야\33_DDC_IP DDC 자동제어 백업 이중화\표준서\33_DDC_IP DDC 자동제어 백업 이중화_표준서.html", "👉 [클릭] 표준서 열기 📄")</f>
        <v/>
      </c>
      <c r="O34" s="34" t="inlineStr">
        <is>
          <t>1) STEP 1: 자동제어 I/O 포인트 일람표 및 통신 선로 설계 대조: 수천 개 감시/제어 포인트 1:1 매핑
2) STEP 2: 기계실 IP DDC 패널 가설 및 필드 센서/밸브 배선: 온습도센서, 차압스위치, 비례제어밸브 결선</t>
        </is>
      </c>
      <c r="P34" s="58">
        <f>HYPERLINK(LEFT(CELL("filename",A1),FIND("[",CELL("filename",A1))-1)&amp;"10.기계분야\33_DDC_IP DDC 자동제어 백업 이중화\수행지침\33_DDC_IP DDC 자동제어 백업 이중화_수행지침.html", "👉 [클릭] 수행지침 열기 📄")</f>
        <v/>
      </c>
      <c r="Q34" s="34" t="inlineStr">
        <is>
          <t>1) IP DDC 제어반 시방 및 32비트 고성능 마이크로프로세서 DDC 패널 기준을 100% 충족하였는가?
2) 개방형 프로토콜 검측 및 불합격 요소를 전면 차단하였는가?</t>
        </is>
      </c>
      <c r="R34" s="56">
        <f>HYPERLINK(LEFT(CELL("filename",A1),FIND("[",CELL("filename",A1))-1)&amp;"10.기계분야\33_DDC_IP DDC 자동제어 백업 이중화\체크리스트\33_DDC_IP DDC 자동제어 백업 이중화_체크리스트.html", "👉 [클릭] 체크리스트 열기 📄")</f>
        <v/>
      </c>
      <c r="S34" s="33" t="inlineStr">
        <is>
          <t>기계·소방 복합 시방 준수</t>
        </is>
      </c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Y34" s="18" t="n"/>
      <c r="DZ34" s="18" t="n"/>
      <c r="EA34" s="18" t="n"/>
      <c r="EB34" s="18" t="n"/>
      <c r="EC34" s="18" t="n"/>
      <c r="ED34" s="18" t="n"/>
      <c r="EE34" s="18" t="n"/>
      <c r="EF34" s="18" t="n"/>
      <c r="EG34" s="18" t="n"/>
      <c r="EH34" s="18" t="n"/>
      <c r="EI34" s="18" t="n"/>
      <c r="EJ34" s="18" t="n"/>
      <c r="EK34" s="18" t="n"/>
      <c r="EL34" s="18" t="n"/>
      <c r="EM34" s="18" t="n"/>
      <c r="EN34" s="18" t="n"/>
      <c r="EO34" s="18" t="n"/>
      <c r="EP34" s="18" t="n"/>
      <c r="EQ34" s="18" t="n"/>
      <c r="ER34" s="18" t="n"/>
      <c r="ES34" s="18" t="n"/>
      <c r="ET34" s="18" t="n"/>
      <c r="EU34" s="18" t="n"/>
      <c r="EV34" s="18" t="n"/>
      <c r="EW34" s="18" t="n"/>
      <c r="EX34" s="18" t="n"/>
      <c r="EY34" s="18" t="n"/>
      <c r="EZ34" s="18" t="n"/>
      <c r="FA34" s="18" t="n"/>
      <c r="FB34" s="18" t="n"/>
      <c r="FC34" s="18" t="n"/>
      <c r="FD34" s="18" t="n"/>
      <c r="FE34" s="18" t="n"/>
      <c r="FF34" s="18" t="n"/>
      <c r="FG34" s="18" t="n"/>
      <c r="FH34" s="18" t="n"/>
      <c r="FI34" s="18" t="n"/>
      <c r="FJ34" s="18" t="n"/>
      <c r="FK34" s="18" t="n"/>
      <c r="FL34" s="18" t="n"/>
      <c r="FM34" s="18" t="n"/>
      <c r="FN34" s="18" t="n"/>
      <c r="FO34" s="18" t="n"/>
      <c r="FP34" s="18" t="n"/>
      <c r="FQ34" s="18" t="n"/>
      <c r="FR34" s="18" t="n"/>
      <c r="FS34" s="18" t="n"/>
      <c r="FT34" s="18" t="n"/>
      <c r="FU34" s="18" t="n"/>
      <c r="FV34" s="18" t="n"/>
      <c r="FW34" s="18" t="n"/>
      <c r="FX34" s="18" t="n"/>
      <c r="FY34" s="18" t="n"/>
      <c r="FZ34" s="18" t="n"/>
      <c r="GA34" s="18" t="n"/>
      <c r="GB34" s="18" t="n"/>
      <c r="GC34" s="18" t="n"/>
      <c r="GD34" s="18" t="n"/>
      <c r="GE34" s="18" t="n"/>
      <c r="GF34" s="18" t="n"/>
      <c r="GG34" s="18" t="n"/>
      <c r="GH34" s="18" t="n"/>
      <c r="GI34" s="18" t="n"/>
      <c r="GJ34" s="18" t="n"/>
      <c r="GK34" s="18" t="n"/>
      <c r="GL34" s="18" t="n"/>
      <c r="GM34" s="18" t="n"/>
      <c r="GN34" s="18" t="n"/>
      <c r="GO34" s="18" t="n"/>
      <c r="GP34" s="18" t="n"/>
      <c r="GQ34" s="18" t="n"/>
      <c r="GR34" s="18" t="n"/>
      <c r="GS34" s="18" t="n"/>
      <c r="GT34" s="18" t="n"/>
      <c r="GU34" s="18" t="n"/>
      <c r="GV34" s="18" t="n"/>
      <c r="GW34" s="18" t="n"/>
      <c r="GX34" s="18" t="n"/>
      <c r="GY34" s="18" t="n"/>
      <c r="GZ34" s="18" t="n"/>
      <c r="HA34" s="18" t="n"/>
      <c r="HB34" s="18" t="n"/>
      <c r="HC34" s="18" t="n"/>
      <c r="HD34" s="18" t="n"/>
      <c r="HE34" s="18" t="n"/>
      <c r="HF34" s="18" t="n"/>
      <c r="HG34" s="18" t="n"/>
      <c r="HH34" s="18" t="n"/>
      <c r="HI34" s="18" t="n"/>
      <c r="HJ34" s="18" t="n"/>
      <c r="HK34" s="18" t="n"/>
      <c r="HL34" s="18" t="n"/>
      <c r="HM34" s="18" t="n"/>
      <c r="HN34" s="18" t="n"/>
      <c r="HO34" s="18" t="n"/>
      <c r="HP34" s="18" t="n"/>
      <c r="HQ34" s="18" t="n"/>
      <c r="HR34" s="18" t="n"/>
      <c r="HS34" s="18" t="n"/>
      <c r="HT34" s="18" t="n"/>
      <c r="HU34" s="18" t="n"/>
      <c r="HV34" s="18" t="n"/>
      <c r="HW34" s="18" t="n"/>
      <c r="HX34" s="18" t="n"/>
      <c r="HY34" s="18" t="n"/>
      <c r="HZ34" s="18" t="n"/>
      <c r="IA34" s="18" t="n"/>
      <c r="IB34" s="18" t="n"/>
      <c r="IC34" s="18" t="n"/>
      <c r="ID34" s="18" t="n"/>
      <c r="IE34" s="18" t="n"/>
      <c r="IF34" s="18" t="n"/>
      <c r="IG34" s="18" t="n"/>
      <c r="IH34" s="18" t="n"/>
      <c r="II34" s="18" t="n"/>
      <c r="IJ34" s="18" t="n"/>
      <c r="IK34" s="18" t="n"/>
      <c r="IL34" s="18" t="n"/>
      <c r="IM34" s="18" t="n"/>
      <c r="IN34" s="18" t="n"/>
      <c r="IO34" s="18" t="n"/>
      <c r="IP34" s="18" t="n"/>
      <c r="IQ34" s="18" t="n"/>
      <c r="IR34" s="18" t="n"/>
      <c r="IS34" s="18" t="n"/>
      <c r="IT34" s="18" t="n"/>
      <c r="IU34" s="18" t="n"/>
      <c r="IV34" s="18" t="n"/>
      <c r="IW34" s="18" t="n"/>
      <c r="IX34" s="18" t="n"/>
      <c r="IY34" s="18" t="n"/>
      <c r="IZ34" s="18" t="n"/>
      <c r="JA34" s="18" t="n"/>
      <c r="JB34" s="18" t="n"/>
      <c r="JC34" s="18" t="n"/>
      <c r="JD34" s="18" t="n"/>
      <c r="JE34" s="18" t="n"/>
      <c r="JF34" s="18" t="n"/>
      <c r="JG34" s="18" t="n"/>
      <c r="JH34" s="18" t="n"/>
      <c r="JI34" s="18" t="n"/>
      <c r="JJ34" s="18" t="n"/>
      <c r="JK34" s="18" t="n"/>
      <c r="JL34" s="18" t="n"/>
      <c r="JM34" s="18" t="n"/>
      <c r="JN34" s="18" t="n"/>
      <c r="JO34" s="18" t="n"/>
      <c r="JP34" s="18" t="n"/>
      <c r="JQ34" s="18" t="n"/>
      <c r="JR34" s="18" t="n"/>
      <c r="JS34" s="18" t="n"/>
    </row>
    <row r="35" ht="79.2" customHeight="1" s="88">
      <c r="A35" s="29" t="inlineStr">
        <is>
          <t>9000</t>
        </is>
      </c>
      <c r="B35" s="29" t="inlineStr">
        <is>
          <t>9000-10</t>
        </is>
      </c>
      <c r="C35" s="29" t="inlineStr">
        <is>
          <t>기계설비·소방설비</t>
        </is>
      </c>
      <c r="D35" s="29" t="inlineStr">
        <is>
          <t>9000-10-34</t>
        </is>
      </c>
      <c r="E35" s="102" t="inlineStr">
        <is>
          <t>9000-10-28, 9000-10-29</t>
        </is>
      </c>
      <c r="F35" s="102" t="inlineStr">
        <is>
          <t>9000-10-36</t>
        </is>
      </c>
      <c r="G35" s="32" t="inlineStr">
        <is>
          <t>화재연동 인터록 실부하 시험</t>
        </is>
      </c>
      <c r="H35" s="33" t="inlineStr">
        <is>
          <t>D+70</t>
        </is>
      </c>
      <c r="I35" s="33" t="inlineStr">
        <is>
          <t>기계/소방팀</t>
        </is>
      </c>
      <c r="J35" s="34" t="inlineStr">
        <is>
          <t>화재 수신반 신호 수신 즉시 공조기 100% 강제 정지 및 제연팬 배연 모드 자동 인터록</t>
        </is>
      </c>
      <c r="K35" s="34" t="inlineStr">
        <is>
          <t>1) STEP 1 (하드와이어드 인터록 회로 구성): 화재수신반 경보 접점을 공조기 MCC 조작전원 차단 계전기(B접점)와 직결
2) STEP 2 (제연댐퍼 및 팬 시퀀스 연동): 화재 구역 제연 풍도 댐퍼가 완전 개방된 후 리미트 스위치 신호로 제연팬 자동 가동
3) STEP 3 (실부하 화재 모의시험): 연기감지기 실발화 시험을 실시하여 3초 이내 공조기 정지 및 제연팬 정상 기동 확인</t>
        </is>
      </c>
      <c r="L35" s="34" t="inlineStr">
        <is>
          <t>화재연동 인터록 실부하 시험 시공계획서, 검측요청서 및 공인 시험성적서</t>
        </is>
      </c>
      <c r="M35" s="34" t="inlineStr">
        <is>
          <t>1) 화재연동 인터록 실부하 시험 (9000-8-34) 과업 달성을 위해 KDS 47 철도설계기준 및 NFTC 화재안전기준을 100% 충족한다.
2) 화재수신반 경보 시 공조기 즉시 정지, 제연팬 배연 모드 자동 전환 및 방화댐퍼 연동을 엄격히 완수하여 책임감리원 최종 승인을 획득한다.</t>
        </is>
      </c>
      <c r="N35" s="60">
        <f>HYPERLINK(LEFT(CELL("filename",A1),FIND("[",CELL("filename",A1))-1)&amp;"10.기계분야\34_화재연동 인터록 실부하 시험\표준서\34_화재연동 인터록 실부하 시험_표준서.html", "👉 [클릭] 표준서 열기 📄")</f>
        <v/>
      </c>
      <c r="O35" s="34" t="inlineStr">
        <is>
          <t>1) STEP 1: 화재 연동 방재 매트릭스(Cause &amp; Effect) 수립: 구역별 화재 시나리오 및 인터록 시퀀스 확정
2) STEP 2: 공조기 MCC 정지 접점 및 제연팬 기동 결선 점검: 하드와이어드(Hardwired) 안전 인터록 확인</t>
        </is>
      </c>
      <c r="P35" s="58">
        <f>HYPERLINK(LEFT(CELL("filename",A1),FIND("[",CELL("filename",A1))-1)&amp;"10.기계분야\34_화재연동 인터록 실부하 시험\수행지침\34_화재연동 인터록 실부하 시험_수행지침.html", "👉 [클릭] 수행지침 열기 📄")</f>
        <v/>
      </c>
      <c r="Q35" s="34" t="inlineStr">
        <is>
          <t>1) 화재 감지기 연동 시방 및 광전식 연기감지기/차동식 열감지기 화재 신호 기준을 100% 충족하였는가?
2) 공조기 전원 차단 검측 및 불합격 요소를 전면 차단하였는가?</t>
        </is>
      </c>
      <c r="R35" s="56">
        <f>HYPERLINK(LEFT(CELL("filename",A1),FIND("[",CELL("filename",A1))-1)&amp;"10.기계분야\34_화재연동 인터록 실부하 시험\체크리스트\34_화재연동 인터록 실부하 시험_체크리스트.html", "👉 [클릭] 체크리스트 열기 📄")</f>
        <v/>
      </c>
      <c r="S35" s="33" t="inlineStr">
        <is>
          <t>기계·소방 복합 시방 준수</t>
        </is>
      </c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8" t="n"/>
      <c r="EJ35" s="18" t="n"/>
      <c r="EK35" s="18" t="n"/>
      <c r="EL35" s="18" t="n"/>
      <c r="EM35" s="18" t="n"/>
      <c r="EN35" s="18" t="n"/>
      <c r="EO35" s="18" t="n"/>
      <c r="EP35" s="18" t="n"/>
      <c r="EQ35" s="18" t="n"/>
      <c r="ER35" s="18" t="n"/>
      <c r="ES35" s="18" t="n"/>
      <c r="ET35" s="18" t="n"/>
      <c r="EU35" s="18" t="n"/>
      <c r="EV35" s="18" t="n"/>
      <c r="EW35" s="18" t="n"/>
      <c r="EX35" s="18" t="n"/>
      <c r="EY35" s="18" t="n"/>
      <c r="EZ35" s="18" t="n"/>
      <c r="FA35" s="18" t="n"/>
      <c r="FB35" s="18" t="n"/>
      <c r="FC35" s="18" t="n"/>
      <c r="FD35" s="18" t="n"/>
      <c r="FE35" s="18" t="n"/>
      <c r="FF35" s="18" t="n"/>
      <c r="FG35" s="18" t="n"/>
      <c r="FH35" s="18" t="n"/>
      <c r="FI35" s="18" t="n"/>
      <c r="FJ35" s="18" t="n"/>
      <c r="FK35" s="18" t="n"/>
      <c r="FL35" s="18" t="n"/>
      <c r="FM35" s="18" t="n"/>
      <c r="FN35" s="18" t="n"/>
      <c r="FO35" s="18" t="n"/>
      <c r="FP35" s="18" t="n"/>
      <c r="FQ35" s="18" t="n"/>
      <c r="FR35" s="18" t="n"/>
      <c r="FS35" s="18" t="n"/>
      <c r="FT35" s="18" t="n"/>
      <c r="FU35" s="18" t="n"/>
      <c r="FV35" s="18" t="n"/>
      <c r="FW35" s="18" t="n"/>
      <c r="FX35" s="18" t="n"/>
      <c r="FY35" s="18" t="n"/>
      <c r="FZ35" s="18" t="n"/>
      <c r="GA35" s="18" t="n"/>
      <c r="GB35" s="18" t="n"/>
      <c r="GC35" s="18" t="n"/>
      <c r="GD35" s="18" t="n"/>
      <c r="GE35" s="18" t="n"/>
      <c r="GF35" s="18" t="n"/>
      <c r="GG35" s="18" t="n"/>
      <c r="GH35" s="18" t="n"/>
      <c r="GI35" s="18" t="n"/>
      <c r="GJ35" s="18" t="n"/>
      <c r="GK35" s="18" t="n"/>
      <c r="GL35" s="18" t="n"/>
      <c r="GM35" s="18" t="n"/>
      <c r="GN35" s="18" t="n"/>
      <c r="GO35" s="18" t="n"/>
      <c r="GP35" s="18" t="n"/>
      <c r="GQ35" s="18" t="n"/>
      <c r="GR35" s="18" t="n"/>
      <c r="GS35" s="18" t="n"/>
      <c r="GT35" s="18" t="n"/>
      <c r="GU35" s="18" t="n"/>
      <c r="GV35" s="18" t="n"/>
      <c r="GW35" s="18" t="n"/>
      <c r="GX35" s="18" t="n"/>
      <c r="GY35" s="18" t="n"/>
      <c r="GZ35" s="18" t="n"/>
      <c r="HA35" s="18" t="n"/>
      <c r="HB35" s="18" t="n"/>
      <c r="HC35" s="18" t="n"/>
      <c r="HD35" s="18" t="n"/>
      <c r="HE35" s="18" t="n"/>
      <c r="HF35" s="18" t="n"/>
      <c r="HG35" s="18" t="n"/>
      <c r="HH35" s="18" t="n"/>
      <c r="HI35" s="18" t="n"/>
      <c r="HJ35" s="18" t="n"/>
      <c r="HK35" s="18" t="n"/>
      <c r="HL35" s="18" t="n"/>
      <c r="HM35" s="18" t="n"/>
      <c r="HN35" s="18" t="n"/>
      <c r="HO35" s="18" t="n"/>
      <c r="HP35" s="18" t="n"/>
      <c r="HQ35" s="18" t="n"/>
      <c r="HR35" s="18" t="n"/>
      <c r="HS35" s="18" t="n"/>
      <c r="HT35" s="18" t="n"/>
      <c r="HU35" s="18" t="n"/>
      <c r="HV35" s="18" t="n"/>
      <c r="HW35" s="18" t="n"/>
      <c r="HX35" s="18" t="n"/>
      <c r="HY35" s="18" t="n"/>
      <c r="HZ35" s="18" t="n"/>
      <c r="IA35" s="18" t="n"/>
      <c r="IB35" s="18" t="n"/>
      <c r="IC35" s="18" t="n"/>
      <c r="ID35" s="18" t="n"/>
      <c r="IE35" s="18" t="n"/>
      <c r="IF35" s="18" t="n"/>
      <c r="IG35" s="18" t="n"/>
      <c r="IH35" s="18" t="n"/>
      <c r="II35" s="18" t="n"/>
      <c r="IJ35" s="18" t="n"/>
      <c r="IK35" s="18" t="n"/>
      <c r="IL35" s="18" t="n"/>
      <c r="IM35" s="18" t="n"/>
      <c r="IN35" s="18" t="n"/>
      <c r="IO35" s="18" t="n"/>
      <c r="IP35" s="18" t="n"/>
      <c r="IQ35" s="18" t="n"/>
      <c r="IR35" s="18" t="n"/>
      <c r="IS35" s="18" t="n"/>
      <c r="IT35" s="18" t="n"/>
      <c r="IU35" s="18" t="n"/>
      <c r="IV35" s="18" t="n"/>
      <c r="IW35" s="18" t="n"/>
      <c r="IX35" s="18" t="n"/>
      <c r="IY35" s="18" t="n"/>
      <c r="IZ35" s="18" t="n"/>
      <c r="JA35" s="18" t="n"/>
      <c r="JB35" s="18" t="n"/>
      <c r="JC35" s="18" t="n"/>
      <c r="JD35" s="18" t="n"/>
      <c r="JE35" s="18" t="n"/>
      <c r="JF35" s="18" t="n"/>
      <c r="JG35" s="18" t="n"/>
      <c r="JH35" s="18" t="n"/>
      <c r="JI35" s="18" t="n"/>
      <c r="JJ35" s="18" t="n"/>
      <c r="JK35" s="18" t="n"/>
      <c r="JL35" s="18" t="n"/>
      <c r="JM35" s="18" t="n"/>
      <c r="JN35" s="18" t="n"/>
      <c r="JO35" s="18" t="n"/>
      <c r="JP35" s="18" t="n"/>
      <c r="JQ35" s="18" t="n"/>
      <c r="JR35" s="18" t="n"/>
      <c r="JS35" s="18" t="n"/>
    </row>
    <row r="36" ht="79.2" customHeight="1" s="88">
      <c r="A36" s="29" t="inlineStr">
        <is>
          <t>9000</t>
        </is>
      </c>
      <c r="B36" s="29" t="inlineStr">
        <is>
          <t>9000-10</t>
        </is>
      </c>
      <c r="C36" s="29" t="inlineStr">
        <is>
          <t>기계설비·소방설비</t>
        </is>
      </c>
      <c r="D36" s="29" t="inlineStr">
        <is>
          <t>9000-10-35</t>
        </is>
      </c>
      <c r="E36" s="102" t="inlineStr">
        <is>
          <t>9000-10-29, 9000-10-30, 9000-10-31</t>
        </is>
      </c>
      <c r="F36" s="102" t="inlineStr">
        <is>
          <t>9000-10-36</t>
        </is>
      </c>
      <c r="G36" s="32" t="inlineStr">
        <is>
          <t>TAB(풍량_수량 밸런싱) 측정</t>
        </is>
      </c>
      <c r="H36" s="33" t="inlineStr">
        <is>
          <t>D+75</t>
        </is>
      </c>
      <c r="I36" s="33" t="inlineStr">
        <is>
          <t>기계/소방팀</t>
        </is>
      </c>
      <c r="J36" s="34" t="inlineStr">
        <is>
          <t>공조 덕트 풍량(오차 ±10% 이내) 및 수배관 유량 정밀 측정·조정(TAB)으로 쾌적성 확보</t>
        </is>
      </c>
      <c r="K36" s="34" t="inlineStr">
        <is>
          <t>1) STEP 1 (공조 덕트 풍량 TAB): 피토관 및 플로우 후드를 이용하여 주덕트와 각 디퓨저 취출 풍량을 설계치 ±10%로 교정
2) STEP 2 (수배관 유량 TAB): 초음파 비파괴 유량계로 냉온수 배관 순환 유량을 측정하고 밸런싱 밸브 차압(ΔP) 정밀 조정
3) STEP 3 (소음 및 온습도 검증): 정거장 실내 소음(NC 35~40) 및 실별 온·습도 분포도를 24시간 연속 측정하여 TAB 성적서 발급</t>
        </is>
      </c>
      <c r="L36" s="34" t="inlineStr">
        <is>
          <t>TAB(풍량_수량 밸런싱) 측정 시공계획서, 검측요청서 및 공인 시험성적서</t>
        </is>
      </c>
      <c r="M36" s="34" t="inlineStr">
        <is>
          <t>1) TAB(풍량_수량 밸런싱) 측정 (9000-8-35) 과업 달성을 위해 KDS 47 철도설계기준 및 NFTC 화재안전기준을 100% 충족한다.
2) 실별 설계 풍량/수량 정밀 측정, 디퓨저 풍량비 ±10% 및 밸런싱 밸브 오차 조정을 엄격히 완수하여 책임감리원 최종 승인을 획득한다.</t>
        </is>
      </c>
      <c r="N36" s="60">
        <f>HYPERLINK(LEFT(CELL("filename",A1),FIND("[",CELL("filename",A1))-1)&amp;"10.기계분야\35_TAB(풍량_수량 밸런싱) 측정\표준서\35_TAB(풍량_수량 밸런싱) 측정_표준서.html", "👉 [클릭] 표준서 열기 📄")</f>
        <v/>
      </c>
      <c r="O36" s="34" t="inlineStr">
        <is>
          <t>1) STEP 1: TAB 사전 검토 및 측정 계획서 수립: 설계 도면, 장비 사양서, 계통도 사전 분석
2) STEP 2: 공조 덕트 주풍량 및 디퓨저 풍량 측정·조정: 피토관 및 플로우 후드를 이용한 비례조정</t>
        </is>
      </c>
      <c r="P36" s="58">
        <f>HYPERLINK(LEFT(CELL("filename",A1),FIND("[",CELL("filename",A1))-1)&amp;"10.기계분야\35_TAB(풍량_수량 밸런싱) 측정\수행지침\35_TAB(풍량_수량 밸런싱) 측정_수행지침.html", "👉 [클릭] 수행지침 열기 📄")</f>
        <v/>
      </c>
      <c r="Q36" s="34" t="inlineStr">
        <is>
          <t>1) 덕트 풍량 밸런싱 시방 및 주덕트 피토관 다점 측정 및 볼륨댐퍼(VD) 조정 기준을 100% 충족하였는가?
2) 디퓨저 취출 풍량 검측 및 불합격 요소를 전면 차단하였는가?</t>
        </is>
      </c>
      <c r="R36" s="56">
        <f>HYPERLINK(LEFT(CELL("filename",A1),FIND("[",CELL("filename",A1))-1)&amp;"10.기계분야\35_TAB(풍량_수량 밸런싱) 측정\체크리스트\35_TAB(풍량_수량 밸런싱) 측정_체크리스트.html", "👉 [클릭] 체크리스트 열기 📄")</f>
        <v/>
      </c>
      <c r="S36" s="33" t="inlineStr">
        <is>
          <t>기계·소방 복합 시방 준수</t>
        </is>
      </c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Y36" s="18" t="n"/>
      <c r="DZ36" s="18" t="n"/>
      <c r="EA36" s="18" t="n"/>
      <c r="EB36" s="18" t="n"/>
      <c r="EC36" s="18" t="n"/>
      <c r="ED36" s="18" t="n"/>
      <c r="EE36" s="18" t="n"/>
      <c r="EF36" s="18" t="n"/>
      <c r="EG36" s="18" t="n"/>
      <c r="EH36" s="18" t="n"/>
      <c r="EI36" s="18" t="n"/>
      <c r="EJ36" s="18" t="n"/>
      <c r="EK36" s="18" t="n"/>
      <c r="EL36" s="18" t="n"/>
      <c r="EM36" s="18" t="n"/>
      <c r="EN36" s="18" t="n"/>
      <c r="EO36" s="18" t="n"/>
      <c r="EP36" s="18" t="n"/>
      <c r="EQ36" s="18" t="n"/>
      <c r="ER36" s="18" t="n"/>
      <c r="ES36" s="18" t="n"/>
      <c r="ET36" s="18" t="n"/>
      <c r="EU36" s="18" t="n"/>
      <c r="EV36" s="18" t="n"/>
      <c r="EW36" s="18" t="n"/>
      <c r="EX36" s="18" t="n"/>
      <c r="EY36" s="18" t="n"/>
      <c r="EZ36" s="18" t="n"/>
      <c r="FA36" s="18" t="n"/>
      <c r="FB36" s="18" t="n"/>
      <c r="FC36" s="18" t="n"/>
      <c r="FD36" s="18" t="n"/>
      <c r="FE36" s="18" t="n"/>
      <c r="FF36" s="18" t="n"/>
      <c r="FG36" s="18" t="n"/>
      <c r="FH36" s="18" t="n"/>
      <c r="FI36" s="18" t="n"/>
      <c r="FJ36" s="18" t="n"/>
      <c r="FK36" s="18" t="n"/>
      <c r="FL36" s="18" t="n"/>
      <c r="FM36" s="18" t="n"/>
      <c r="FN36" s="18" t="n"/>
      <c r="FO36" s="18" t="n"/>
      <c r="FP36" s="18" t="n"/>
      <c r="FQ36" s="18" t="n"/>
      <c r="FR36" s="18" t="n"/>
      <c r="FS36" s="18" t="n"/>
      <c r="FT36" s="18" t="n"/>
      <c r="FU36" s="18" t="n"/>
      <c r="FV36" s="18" t="n"/>
      <c r="FW36" s="18" t="n"/>
      <c r="FX36" s="18" t="n"/>
      <c r="FY36" s="18" t="n"/>
      <c r="FZ36" s="18" t="n"/>
      <c r="GA36" s="18" t="n"/>
      <c r="GB36" s="18" t="n"/>
      <c r="GC36" s="18" t="n"/>
      <c r="GD36" s="18" t="n"/>
      <c r="GE36" s="18" t="n"/>
      <c r="GF36" s="18" t="n"/>
      <c r="GG36" s="18" t="n"/>
      <c r="GH36" s="18" t="n"/>
      <c r="GI36" s="18" t="n"/>
      <c r="GJ36" s="18" t="n"/>
      <c r="GK36" s="18" t="n"/>
      <c r="GL36" s="18" t="n"/>
      <c r="GM36" s="18" t="n"/>
      <c r="GN36" s="18" t="n"/>
      <c r="GO36" s="18" t="n"/>
      <c r="GP36" s="18" t="n"/>
      <c r="GQ36" s="18" t="n"/>
      <c r="GR36" s="18" t="n"/>
      <c r="GS36" s="18" t="n"/>
      <c r="GT36" s="18" t="n"/>
      <c r="GU36" s="18" t="n"/>
      <c r="GV36" s="18" t="n"/>
      <c r="GW36" s="18" t="n"/>
      <c r="GX36" s="18" t="n"/>
      <c r="GY36" s="18" t="n"/>
      <c r="GZ36" s="18" t="n"/>
      <c r="HA36" s="18" t="n"/>
      <c r="HB36" s="18" t="n"/>
      <c r="HC36" s="18" t="n"/>
      <c r="HD36" s="18" t="n"/>
      <c r="HE36" s="18" t="n"/>
      <c r="HF36" s="18" t="n"/>
      <c r="HG36" s="18" t="n"/>
      <c r="HH36" s="18" t="n"/>
      <c r="HI36" s="18" t="n"/>
      <c r="HJ36" s="18" t="n"/>
      <c r="HK36" s="18" t="n"/>
      <c r="HL36" s="18" t="n"/>
      <c r="HM36" s="18" t="n"/>
      <c r="HN36" s="18" t="n"/>
      <c r="HO36" s="18" t="n"/>
      <c r="HP36" s="18" t="n"/>
      <c r="HQ36" s="18" t="n"/>
      <c r="HR36" s="18" t="n"/>
      <c r="HS36" s="18" t="n"/>
      <c r="HT36" s="18" t="n"/>
      <c r="HU36" s="18" t="n"/>
      <c r="HV36" s="18" t="n"/>
      <c r="HW36" s="18" t="n"/>
      <c r="HX36" s="18" t="n"/>
      <c r="HY36" s="18" t="n"/>
      <c r="HZ36" s="18" t="n"/>
      <c r="IA36" s="18" t="n"/>
      <c r="IB36" s="18" t="n"/>
      <c r="IC36" s="18" t="n"/>
      <c r="ID36" s="18" t="n"/>
      <c r="IE36" s="18" t="n"/>
      <c r="IF36" s="18" t="n"/>
      <c r="IG36" s="18" t="n"/>
      <c r="IH36" s="18" t="n"/>
      <c r="II36" s="18" t="n"/>
      <c r="IJ36" s="18" t="n"/>
      <c r="IK36" s="18" t="n"/>
      <c r="IL36" s="18" t="n"/>
      <c r="IM36" s="18" t="n"/>
      <c r="IN36" s="18" t="n"/>
      <c r="IO36" s="18" t="n"/>
      <c r="IP36" s="18" t="n"/>
      <c r="IQ36" s="18" t="n"/>
      <c r="IR36" s="18" t="n"/>
      <c r="IS36" s="18" t="n"/>
      <c r="IT36" s="18" t="n"/>
      <c r="IU36" s="18" t="n"/>
      <c r="IV36" s="18" t="n"/>
      <c r="IW36" s="18" t="n"/>
      <c r="IX36" s="18" t="n"/>
      <c r="IY36" s="18" t="n"/>
      <c r="IZ36" s="18" t="n"/>
      <c r="JA36" s="18" t="n"/>
      <c r="JB36" s="18" t="n"/>
      <c r="JC36" s="18" t="n"/>
      <c r="JD36" s="18" t="n"/>
      <c r="JE36" s="18" t="n"/>
      <c r="JF36" s="18" t="n"/>
      <c r="JG36" s="18" t="n"/>
      <c r="JH36" s="18" t="n"/>
      <c r="JI36" s="18" t="n"/>
      <c r="JJ36" s="18" t="n"/>
      <c r="JK36" s="18" t="n"/>
      <c r="JL36" s="18" t="n"/>
      <c r="JM36" s="18" t="n"/>
      <c r="JN36" s="18" t="n"/>
      <c r="JO36" s="18" t="n"/>
      <c r="JP36" s="18" t="n"/>
      <c r="JQ36" s="18" t="n"/>
      <c r="JR36" s="18" t="n"/>
      <c r="JS36" s="18" t="n"/>
    </row>
    <row r="37" ht="79.2" customHeight="1" s="88">
      <c r="A37" s="29" t="inlineStr">
        <is>
          <t>9000</t>
        </is>
      </c>
      <c r="B37" s="29" t="inlineStr">
        <is>
          <t>9000-10</t>
        </is>
      </c>
      <c r="C37" s="29" t="inlineStr">
        <is>
          <t>기계설비·소방설비</t>
        </is>
      </c>
      <c r="D37" s="29" t="inlineStr">
        <is>
          <t>9000-10-36</t>
        </is>
      </c>
      <c r="E37" s="102" t="inlineStr">
        <is>
          <t>9000-10-31, 9000-10-32, 9000-10-33, 9000-10-34, 9000-10-35</t>
        </is>
      </c>
      <c r="F37" s="102" t="inlineStr">
        <is>
          <t>-</t>
        </is>
      </c>
      <c r="G37" s="32" t="inlineStr">
        <is>
          <t>소방 완공검사 및 종합인계</t>
        </is>
      </c>
      <c r="H37" s="33" t="inlineStr">
        <is>
          <t>D+80</t>
        </is>
      </c>
      <c r="I37" s="33" t="inlineStr">
        <is>
          <t>기계/소방팀</t>
        </is>
      </c>
      <c r="J37" s="34" t="inlineStr">
        <is>
          <t>관할 소방서 완공검사필증 획득, As-Built 준공도서 편찬 및 운영사(화성도시공사) 무결점 인수인계</t>
        </is>
      </c>
      <c r="K37" s="34" t="inlineStr">
        <is>
          <t>1) STEP 1 (관할 소방서 완공 실사): 소방감리원 및 소방관 합동 현장 실사를 통해 소화·경보·피난설비 전수 작동 검사
2) STEP 2 (소방완공검사필증 수령): 지적사항 0건으로 소방시설 완공검사증명서(필증)를 정식 교부받아 법적 준공 완료
3) STEP 3 (준공도서 및 운영자 교육): 3D As-Built 준공도면, 시운전 성적서, 2년분 예비품을 인계하고 운영팀 40시간 기술교육 이수</t>
        </is>
      </c>
      <c r="L37" s="34" t="inlineStr">
        <is>
          <t>소방 완공검사 및 종합인계 시공계획서, 검측요청서 및 공인 시험성적서</t>
        </is>
      </c>
      <c r="M37" s="34" t="inlineStr">
        <is>
          <t>1) 소방 완공검사 및 종합인계 (9000-8-36) 과업 달성을 위해 KDS 47 철도설계기준 및 NFTC 화재안전기준을 100% 충족한다.
2) 관할 소방서 현장 실사 완공필증 획득, 시운전 성적서 및 기계/소방 시설물 종합 인수인계을 엄격히 완수하여 책임감리원 최종 승인을 획득한다.</t>
        </is>
      </c>
      <c r="N37" s="60">
        <f>HYPERLINK(LEFT(CELL("filename",A1),FIND("[",CELL("filename",A1))-1)&amp;"10.기계분야\36_소방 완공검사 및 종합인계\표준서\36_소방 완공검사 및 종합인계_표준서.html", "👉 [클릭] 표준서 열기 📄")</f>
        <v/>
      </c>
      <c r="O37" s="34" t="inlineStr">
        <is>
          <t>1) STEP 1: 소방시설 완공검사 신청서 제출 및 사전 자체 점검: 모든 소방 설비 100% 작동 사전 리허설
2) STEP 2: 관할 소방서 합동 현장 실사 및 성능 시연: 소방관 입회 옥내소화전 방수 및 제연 시험</t>
        </is>
      </c>
      <c r="P37" s="58">
        <f>HYPERLINK(LEFT(CELL("filename",A1),FIND("[",CELL("filename",A1))-1)&amp;"10.기계분야\36_소방 완공검사 및 종합인계\수행지침\36_소방 완공검사 및 종합인계_수행지침.html", "👉 [클릭] 수행지침 열기 📄")</f>
        <v/>
      </c>
      <c r="Q37" s="34" t="inlineStr">
        <is>
          <t>1) 소방 완공검사 시방 및 관할 소방서 공무원 입회 현장 실사 및 성능 시험 기준을 100% 충족하였는가?
2) 준공도서(As-Built) 검측 및 불합격 요소를 전면 차단하였는가?</t>
        </is>
      </c>
      <c r="R37" s="56">
        <f>HYPERLINK(LEFT(CELL("filename",A1),FIND("[",CELL("filename",A1))-1)&amp;"10.기계분야\36_소방 완공검사 및 종합인계\체크리스트\36_소방 완공검사 및 종합인계_체크리스트.html", "👉 [클릭] 체크리스트 열기 📄")</f>
        <v/>
      </c>
      <c r="S37" s="33" t="inlineStr">
        <is>
          <t>기계·소방 복합 시방 준수</t>
        </is>
      </c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  <c r="DY37" s="18" t="n"/>
      <c r="DZ37" s="18" t="n"/>
      <c r="EA37" s="18" t="n"/>
      <c r="EB37" s="18" t="n"/>
      <c r="EC37" s="18" t="n"/>
      <c r="ED37" s="18" t="n"/>
      <c r="EE37" s="18" t="n"/>
      <c r="EF37" s="18" t="n"/>
      <c r="EG37" s="18" t="n"/>
      <c r="EH37" s="18" t="n"/>
      <c r="EI37" s="18" t="n"/>
      <c r="EJ37" s="18" t="n"/>
      <c r="EK37" s="18" t="n"/>
      <c r="EL37" s="18" t="n"/>
      <c r="EM37" s="18" t="n"/>
      <c r="EN37" s="18" t="n"/>
      <c r="EO37" s="18" t="n"/>
      <c r="EP37" s="18" t="n"/>
      <c r="EQ37" s="18" t="n"/>
      <c r="ER37" s="18" t="n"/>
      <c r="ES37" s="18" t="n"/>
      <c r="ET37" s="18" t="n"/>
      <c r="EU37" s="18" t="n"/>
      <c r="EV37" s="18" t="n"/>
      <c r="EW37" s="18" t="n"/>
      <c r="EX37" s="18" t="n"/>
      <c r="EY37" s="18" t="n"/>
      <c r="EZ37" s="18" t="n"/>
      <c r="FA37" s="18" t="n"/>
      <c r="FB37" s="18" t="n"/>
      <c r="FC37" s="18" t="n"/>
      <c r="FD37" s="18" t="n"/>
      <c r="FE37" s="18" t="n"/>
      <c r="FF37" s="18" t="n"/>
      <c r="FG37" s="18" t="n"/>
      <c r="FH37" s="18" t="n"/>
      <c r="FI37" s="18" t="n"/>
      <c r="FJ37" s="18" t="n"/>
      <c r="FK37" s="18" t="n"/>
      <c r="FL37" s="18" t="n"/>
      <c r="FM37" s="18" t="n"/>
      <c r="FN37" s="18" t="n"/>
      <c r="FO37" s="18" t="n"/>
      <c r="FP37" s="18" t="n"/>
      <c r="FQ37" s="18" t="n"/>
      <c r="FR37" s="18" t="n"/>
      <c r="FS37" s="18" t="n"/>
      <c r="FT37" s="18" t="n"/>
      <c r="FU37" s="18" t="n"/>
      <c r="FV37" s="18" t="n"/>
      <c r="FW37" s="18" t="n"/>
      <c r="FX37" s="18" t="n"/>
      <c r="FY37" s="18" t="n"/>
      <c r="FZ37" s="18" t="n"/>
      <c r="GA37" s="18" t="n"/>
      <c r="GB37" s="18" t="n"/>
      <c r="GC37" s="18" t="n"/>
      <c r="GD37" s="18" t="n"/>
      <c r="GE37" s="18" t="n"/>
      <c r="GF37" s="18" t="n"/>
      <c r="GG37" s="18" t="n"/>
      <c r="GH37" s="18" t="n"/>
      <c r="GI37" s="18" t="n"/>
      <c r="GJ37" s="18" t="n"/>
      <c r="GK37" s="18" t="n"/>
      <c r="GL37" s="18" t="n"/>
      <c r="GM37" s="18" t="n"/>
      <c r="GN37" s="18" t="n"/>
      <c r="GO37" s="18" t="n"/>
      <c r="GP37" s="18" t="n"/>
      <c r="GQ37" s="18" t="n"/>
      <c r="GR37" s="18" t="n"/>
      <c r="GS37" s="18" t="n"/>
      <c r="GT37" s="18" t="n"/>
      <c r="GU37" s="18" t="n"/>
      <c r="GV37" s="18" t="n"/>
      <c r="GW37" s="18" t="n"/>
      <c r="GX37" s="18" t="n"/>
      <c r="GY37" s="18" t="n"/>
      <c r="GZ37" s="18" t="n"/>
      <c r="HA37" s="18" t="n"/>
      <c r="HB37" s="18" t="n"/>
      <c r="HC37" s="18" t="n"/>
      <c r="HD37" s="18" t="n"/>
      <c r="HE37" s="18" t="n"/>
      <c r="HF37" s="18" t="n"/>
      <c r="HG37" s="18" t="n"/>
      <c r="HH37" s="18" t="n"/>
      <c r="HI37" s="18" t="n"/>
      <c r="HJ37" s="18" t="n"/>
      <c r="HK37" s="18" t="n"/>
      <c r="HL37" s="18" t="n"/>
      <c r="HM37" s="18" t="n"/>
      <c r="HN37" s="18" t="n"/>
      <c r="HO37" s="18" t="n"/>
      <c r="HP37" s="18" t="n"/>
      <c r="HQ37" s="18" t="n"/>
      <c r="HR37" s="18" t="n"/>
      <c r="HS37" s="18" t="n"/>
      <c r="HT37" s="18" t="n"/>
      <c r="HU37" s="18" t="n"/>
      <c r="HV37" s="18" t="n"/>
      <c r="HW37" s="18" t="n"/>
      <c r="HX37" s="18" t="n"/>
      <c r="HY37" s="18" t="n"/>
      <c r="HZ37" s="18" t="n"/>
      <c r="IA37" s="18" t="n"/>
      <c r="IB37" s="18" t="n"/>
      <c r="IC37" s="18" t="n"/>
      <c r="ID37" s="18" t="n"/>
      <c r="IE37" s="18" t="n"/>
      <c r="IF37" s="18" t="n"/>
      <c r="IG37" s="18" t="n"/>
      <c r="IH37" s="18" t="n"/>
      <c r="II37" s="18" t="n"/>
      <c r="IJ37" s="18" t="n"/>
      <c r="IK37" s="18" t="n"/>
      <c r="IL37" s="18" t="n"/>
      <c r="IM37" s="18" t="n"/>
      <c r="IN37" s="18" t="n"/>
      <c r="IO37" s="18" t="n"/>
      <c r="IP37" s="18" t="n"/>
      <c r="IQ37" s="18" t="n"/>
      <c r="IR37" s="18" t="n"/>
      <c r="IS37" s="18" t="n"/>
      <c r="IT37" s="18" t="n"/>
      <c r="IU37" s="18" t="n"/>
      <c r="IV37" s="18" t="n"/>
      <c r="IW37" s="18" t="n"/>
      <c r="IX37" s="18" t="n"/>
      <c r="IY37" s="18" t="n"/>
      <c r="IZ37" s="18" t="n"/>
      <c r="JA37" s="18" t="n"/>
      <c r="JB37" s="18" t="n"/>
      <c r="JC37" s="18" t="n"/>
      <c r="JD37" s="18" t="n"/>
      <c r="JE37" s="18" t="n"/>
      <c r="JF37" s="18" t="n"/>
      <c r="JG37" s="18" t="n"/>
      <c r="JH37" s="18" t="n"/>
      <c r="JI37" s="18" t="n"/>
      <c r="JJ37" s="18" t="n"/>
      <c r="JK37" s="18" t="n"/>
      <c r="JL37" s="18" t="n"/>
      <c r="JM37" s="18" t="n"/>
      <c r="JN37" s="18" t="n"/>
      <c r="JO37" s="18" t="n"/>
      <c r="JP37" s="18" t="n"/>
      <c r="JQ37" s="18" t="n"/>
      <c r="JR37" s="18" t="n"/>
      <c r="JS37" s="18" t="n"/>
    </row>
    <row r="38" ht="17.4" customHeight="1" s="88">
      <c r="A38" s="18" t="n"/>
      <c r="B38" s="18" t="n"/>
      <c r="C38" s="18" t="n"/>
      <c r="D38" s="18" t="n"/>
      <c r="E38" s="52" t="n"/>
      <c r="F38" s="52" t="n"/>
      <c r="G38" s="18" t="n"/>
      <c r="H38" s="18" t="n"/>
      <c r="I38" s="18" t="n"/>
      <c r="J38" s="18" t="n"/>
      <c r="K38" s="18" t="n"/>
      <c r="L38" s="18" t="n"/>
      <c r="M38" s="18" t="n"/>
      <c r="N38" s="48" t="n"/>
      <c r="O38" s="18" t="n"/>
      <c r="P38" s="52" t="n"/>
      <c r="Q38" s="18" t="n"/>
      <c r="R38" s="52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  <c r="DY38" s="18" t="n"/>
      <c r="DZ38" s="18" t="n"/>
      <c r="EA38" s="18" t="n"/>
      <c r="EB38" s="18" t="n"/>
      <c r="EC38" s="18" t="n"/>
      <c r="ED38" s="18" t="n"/>
      <c r="EE38" s="18" t="n"/>
      <c r="EF38" s="18" t="n"/>
      <c r="EG38" s="18" t="n"/>
      <c r="EH38" s="18" t="n"/>
      <c r="EI38" s="18" t="n"/>
      <c r="EJ38" s="18" t="n"/>
      <c r="EK38" s="18" t="n"/>
      <c r="EL38" s="18" t="n"/>
      <c r="EM38" s="18" t="n"/>
      <c r="EN38" s="18" t="n"/>
      <c r="EO38" s="18" t="n"/>
      <c r="EP38" s="18" t="n"/>
      <c r="EQ38" s="18" t="n"/>
      <c r="ER38" s="18" t="n"/>
      <c r="ES38" s="18" t="n"/>
      <c r="ET38" s="18" t="n"/>
      <c r="EU38" s="18" t="n"/>
      <c r="EV38" s="18" t="n"/>
      <c r="EW38" s="18" t="n"/>
      <c r="EX38" s="18" t="n"/>
      <c r="EY38" s="18" t="n"/>
      <c r="EZ38" s="18" t="n"/>
      <c r="FA38" s="18" t="n"/>
      <c r="FB38" s="18" t="n"/>
      <c r="FC38" s="18" t="n"/>
      <c r="FD38" s="18" t="n"/>
      <c r="FE38" s="18" t="n"/>
      <c r="FF38" s="18" t="n"/>
      <c r="FG38" s="18" t="n"/>
      <c r="FH38" s="18" t="n"/>
      <c r="FI38" s="18" t="n"/>
      <c r="FJ38" s="18" t="n"/>
      <c r="FK38" s="18" t="n"/>
      <c r="FL38" s="18" t="n"/>
      <c r="FM38" s="18" t="n"/>
      <c r="FN38" s="18" t="n"/>
      <c r="FO38" s="18" t="n"/>
      <c r="FP38" s="18" t="n"/>
      <c r="FQ38" s="18" t="n"/>
      <c r="FR38" s="18" t="n"/>
      <c r="FS38" s="18" t="n"/>
      <c r="FT38" s="18" t="n"/>
      <c r="FU38" s="18" t="n"/>
      <c r="FV38" s="18" t="n"/>
      <c r="FW38" s="18" t="n"/>
      <c r="FX38" s="18" t="n"/>
      <c r="FY38" s="18" t="n"/>
      <c r="FZ38" s="18" t="n"/>
      <c r="GA38" s="18" t="n"/>
      <c r="GB38" s="18" t="n"/>
      <c r="GC38" s="18" t="n"/>
      <c r="GD38" s="18" t="n"/>
      <c r="GE38" s="18" t="n"/>
      <c r="GF38" s="18" t="n"/>
      <c r="GG38" s="18" t="n"/>
      <c r="GH38" s="18" t="n"/>
      <c r="GI38" s="18" t="n"/>
      <c r="GJ38" s="18" t="n"/>
      <c r="GK38" s="18" t="n"/>
      <c r="GL38" s="18" t="n"/>
      <c r="GM38" s="18" t="n"/>
      <c r="GN38" s="18" t="n"/>
      <c r="GO38" s="18" t="n"/>
      <c r="GP38" s="18" t="n"/>
      <c r="GQ38" s="18" t="n"/>
      <c r="GR38" s="18" t="n"/>
      <c r="GS38" s="18" t="n"/>
      <c r="GT38" s="18" t="n"/>
      <c r="GU38" s="18" t="n"/>
      <c r="GV38" s="18" t="n"/>
      <c r="GW38" s="18" t="n"/>
      <c r="GX38" s="18" t="n"/>
      <c r="GY38" s="18" t="n"/>
      <c r="GZ38" s="18" t="n"/>
      <c r="HA38" s="18" t="n"/>
      <c r="HB38" s="18" t="n"/>
      <c r="HC38" s="18" t="n"/>
      <c r="HD38" s="18" t="n"/>
      <c r="HE38" s="18" t="n"/>
      <c r="HF38" s="18" t="n"/>
      <c r="HG38" s="18" t="n"/>
      <c r="HH38" s="18" t="n"/>
      <c r="HI38" s="18" t="n"/>
      <c r="HJ38" s="18" t="n"/>
      <c r="HK38" s="18" t="n"/>
      <c r="HL38" s="18" t="n"/>
      <c r="HM38" s="18" t="n"/>
      <c r="HN38" s="18" t="n"/>
      <c r="HO38" s="18" t="n"/>
      <c r="HP38" s="18" t="n"/>
      <c r="HQ38" s="18" t="n"/>
      <c r="HR38" s="18" t="n"/>
      <c r="HS38" s="18" t="n"/>
      <c r="HT38" s="18" t="n"/>
      <c r="HU38" s="18" t="n"/>
      <c r="HV38" s="18" t="n"/>
      <c r="HW38" s="18" t="n"/>
      <c r="HX38" s="18" t="n"/>
      <c r="HY38" s="18" t="n"/>
      <c r="HZ38" s="18" t="n"/>
      <c r="IA38" s="18" t="n"/>
      <c r="IB38" s="18" t="n"/>
      <c r="IC38" s="18" t="n"/>
      <c r="ID38" s="18" t="n"/>
      <c r="IE38" s="18" t="n"/>
      <c r="IF38" s="18" t="n"/>
      <c r="IG38" s="18" t="n"/>
      <c r="IH38" s="18" t="n"/>
      <c r="II38" s="18" t="n"/>
      <c r="IJ38" s="18" t="n"/>
      <c r="IK38" s="18" t="n"/>
      <c r="IL38" s="18" t="n"/>
      <c r="IM38" s="18" t="n"/>
      <c r="IN38" s="18" t="n"/>
      <c r="IO38" s="18" t="n"/>
      <c r="IP38" s="18" t="n"/>
      <c r="IQ38" s="18" t="n"/>
      <c r="IR38" s="18" t="n"/>
      <c r="IS38" s="18" t="n"/>
      <c r="IT38" s="18" t="n"/>
      <c r="IU38" s="18" t="n"/>
      <c r="IV38" s="18" t="n"/>
      <c r="IW38" s="18" t="n"/>
      <c r="IX38" s="18" t="n"/>
      <c r="IY38" s="18" t="n"/>
      <c r="IZ38" s="18" t="n"/>
      <c r="JA38" s="18" t="n"/>
      <c r="JB38" s="18" t="n"/>
      <c r="JC38" s="18" t="n"/>
      <c r="JD38" s="18" t="n"/>
      <c r="JE38" s="18" t="n"/>
      <c r="JF38" s="18" t="n"/>
      <c r="JG38" s="18" t="n"/>
      <c r="JH38" s="18" t="n"/>
      <c r="JI38" s="18" t="n"/>
      <c r="JJ38" s="18" t="n"/>
      <c r="JK38" s="18" t="n"/>
      <c r="JL38" s="18" t="n"/>
      <c r="JM38" s="18" t="n"/>
      <c r="JN38" s="18" t="n"/>
      <c r="JO38" s="18" t="n"/>
      <c r="JP38" s="18" t="n"/>
      <c r="JQ38" s="18" t="n"/>
      <c r="JR38" s="18" t="n"/>
      <c r="JS38" s="18" t="n"/>
      <c r="JT38" s="18" t="n"/>
      <c r="JU38" s="18" t="n"/>
      <c r="JV38" s="18" t="n"/>
      <c r="JW38" s="18" t="n"/>
      <c r="JX38" s="18" t="n"/>
      <c r="JY38" s="18" t="n"/>
      <c r="JZ38" s="18" t="n"/>
      <c r="KA38" s="18" t="n"/>
      <c r="KB38" s="18" t="n"/>
      <c r="KC38" s="18" t="n"/>
      <c r="KD38" s="18" t="n"/>
      <c r="KE38" s="18" t="n"/>
      <c r="KF38" s="18" t="n"/>
      <c r="KG38" s="18" t="n"/>
      <c r="KH38" s="18" t="n"/>
      <c r="KI38" s="18" t="n"/>
      <c r="KJ38" s="18" t="n"/>
      <c r="KK38" s="18" t="n"/>
      <c r="KL38" s="18" t="n"/>
      <c r="KM38" s="18" t="n"/>
    </row>
    <row r="39" ht="17.4" customHeight="1" s="88">
      <c r="A39" s="18" t="n"/>
      <c r="B39" s="18" t="n"/>
      <c r="C39" s="18" t="n"/>
      <c r="D39" s="18" t="n"/>
      <c r="E39" s="52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48" t="n"/>
      <c r="O39" s="18" t="n"/>
      <c r="P39" s="52" t="n"/>
      <c r="Q39" s="18" t="n"/>
      <c r="R39" s="52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  <c r="DY39" s="18" t="n"/>
      <c r="DZ39" s="18" t="n"/>
      <c r="EA39" s="18" t="n"/>
      <c r="EB39" s="18" t="n"/>
      <c r="EC39" s="18" t="n"/>
      <c r="ED39" s="18" t="n"/>
      <c r="EE39" s="18" t="n"/>
      <c r="EF39" s="18" t="n"/>
      <c r="EG39" s="18" t="n"/>
      <c r="EH39" s="18" t="n"/>
      <c r="EI39" s="18" t="n"/>
      <c r="EJ39" s="18" t="n"/>
      <c r="EK39" s="18" t="n"/>
      <c r="EL39" s="18" t="n"/>
      <c r="EM39" s="18" t="n"/>
      <c r="EN39" s="18" t="n"/>
      <c r="EO39" s="18" t="n"/>
      <c r="EP39" s="18" t="n"/>
      <c r="EQ39" s="18" t="n"/>
      <c r="ER39" s="18" t="n"/>
      <c r="ES39" s="18" t="n"/>
      <c r="ET39" s="18" t="n"/>
      <c r="EU39" s="18" t="n"/>
      <c r="EV39" s="18" t="n"/>
      <c r="EW39" s="18" t="n"/>
      <c r="EX39" s="18" t="n"/>
      <c r="EY39" s="18" t="n"/>
      <c r="EZ39" s="18" t="n"/>
      <c r="FA39" s="18" t="n"/>
      <c r="FB39" s="18" t="n"/>
      <c r="FC39" s="18" t="n"/>
      <c r="FD39" s="18" t="n"/>
      <c r="FE39" s="18" t="n"/>
      <c r="FF39" s="18" t="n"/>
      <c r="FG39" s="18" t="n"/>
      <c r="FH39" s="18" t="n"/>
      <c r="FI39" s="18" t="n"/>
      <c r="FJ39" s="18" t="n"/>
      <c r="FK39" s="18" t="n"/>
      <c r="FL39" s="18" t="n"/>
      <c r="FM39" s="18" t="n"/>
      <c r="FN39" s="18" t="n"/>
      <c r="FO39" s="18" t="n"/>
      <c r="FP39" s="18" t="n"/>
      <c r="FQ39" s="18" t="n"/>
      <c r="FR39" s="18" t="n"/>
      <c r="FS39" s="18" t="n"/>
      <c r="FT39" s="18" t="n"/>
      <c r="FU39" s="18" t="n"/>
      <c r="FV39" s="18" t="n"/>
      <c r="FW39" s="18" t="n"/>
      <c r="FX39" s="18" t="n"/>
      <c r="FY39" s="18" t="n"/>
      <c r="FZ39" s="18" t="n"/>
      <c r="GA39" s="18" t="n"/>
      <c r="GB39" s="18" t="n"/>
      <c r="GC39" s="18" t="n"/>
      <c r="GD39" s="18" t="n"/>
      <c r="GE39" s="18" t="n"/>
      <c r="GF39" s="18" t="n"/>
      <c r="GG39" s="18" t="n"/>
      <c r="GH39" s="18" t="n"/>
      <c r="GI39" s="18" t="n"/>
      <c r="GJ39" s="18" t="n"/>
      <c r="GK39" s="18" t="n"/>
      <c r="GL39" s="18" t="n"/>
      <c r="GM39" s="18" t="n"/>
      <c r="GN39" s="18" t="n"/>
      <c r="GO39" s="18" t="n"/>
      <c r="GP39" s="18" t="n"/>
      <c r="GQ39" s="18" t="n"/>
      <c r="GR39" s="18" t="n"/>
      <c r="GS39" s="18" t="n"/>
      <c r="GT39" s="18" t="n"/>
      <c r="GU39" s="18" t="n"/>
      <c r="GV39" s="18" t="n"/>
      <c r="GW39" s="18" t="n"/>
      <c r="GX39" s="18" t="n"/>
      <c r="GY39" s="18" t="n"/>
      <c r="GZ39" s="18" t="n"/>
      <c r="HA39" s="18" t="n"/>
      <c r="HB39" s="18" t="n"/>
      <c r="HC39" s="18" t="n"/>
      <c r="HD39" s="18" t="n"/>
      <c r="HE39" s="18" t="n"/>
      <c r="HF39" s="18" t="n"/>
      <c r="HG39" s="18" t="n"/>
      <c r="HH39" s="18" t="n"/>
      <c r="HI39" s="18" t="n"/>
      <c r="HJ39" s="18" t="n"/>
      <c r="HK39" s="18" t="n"/>
      <c r="HL39" s="18" t="n"/>
      <c r="HM39" s="18" t="n"/>
      <c r="HN39" s="18" t="n"/>
      <c r="HO39" s="18" t="n"/>
      <c r="HP39" s="18" t="n"/>
      <c r="HQ39" s="18" t="n"/>
      <c r="HR39" s="18" t="n"/>
      <c r="HS39" s="18" t="n"/>
      <c r="HT39" s="18" t="n"/>
      <c r="HU39" s="18" t="n"/>
      <c r="HV39" s="18" t="n"/>
      <c r="HW39" s="18" t="n"/>
      <c r="HX39" s="18" t="n"/>
      <c r="HY39" s="18" t="n"/>
      <c r="HZ39" s="18" t="n"/>
      <c r="IA39" s="18" t="n"/>
      <c r="IB39" s="18" t="n"/>
      <c r="IC39" s="18" t="n"/>
      <c r="ID39" s="18" t="n"/>
      <c r="IE39" s="18" t="n"/>
      <c r="IF39" s="18" t="n"/>
      <c r="IG39" s="18" t="n"/>
      <c r="IH39" s="18" t="n"/>
      <c r="II39" s="18" t="n"/>
      <c r="IJ39" s="18" t="n"/>
      <c r="IK39" s="18" t="n"/>
      <c r="IL39" s="18" t="n"/>
      <c r="IM39" s="18" t="n"/>
      <c r="IN39" s="18" t="n"/>
      <c r="IO39" s="18" t="n"/>
      <c r="IP39" s="18" t="n"/>
      <c r="IQ39" s="18" t="n"/>
      <c r="IR39" s="18" t="n"/>
      <c r="IS39" s="18" t="n"/>
      <c r="IT39" s="18" t="n"/>
      <c r="IU39" s="18" t="n"/>
      <c r="IV39" s="18" t="n"/>
      <c r="IW39" s="18" t="n"/>
      <c r="IX39" s="18" t="n"/>
      <c r="IY39" s="18" t="n"/>
      <c r="IZ39" s="18" t="n"/>
      <c r="JA39" s="18" t="n"/>
      <c r="JB39" s="18" t="n"/>
      <c r="JC39" s="18" t="n"/>
      <c r="JD39" s="18" t="n"/>
      <c r="JE39" s="18" t="n"/>
      <c r="JF39" s="18" t="n"/>
      <c r="JG39" s="18" t="n"/>
      <c r="JH39" s="18" t="n"/>
      <c r="JI39" s="18" t="n"/>
      <c r="JJ39" s="18" t="n"/>
      <c r="JK39" s="18" t="n"/>
      <c r="JL39" s="18" t="n"/>
      <c r="JM39" s="18" t="n"/>
      <c r="JN39" s="18" t="n"/>
      <c r="JO39" s="18" t="n"/>
      <c r="JP39" s="18" t="n"/>
      <c r="JQ39" s="18" t="n"/>
      <c r="JR39" s="18" t="n"/>
      <c r="JS39" s="18" t="n"/>
      <c r="JT39" s="18" t="n"/>
      <c r="JU39" s="18" t="n"/>
      <c r="JV39" s="18" t="n"/>
      <c r="JW39" s="18" t="n"/>
      <c r="JX39" s="18" t="n"/>
      <c r="JY39" s="18" t="n"/>
      <c r="JZ39" s="18" t="n"/>
      <c r="KA39" s="18" t="n"/>
      <c r="KB39" s="18" t="n"/>
      <c r="KC39" s="18" t="n"/>
      <c r="KD39" s="18" t="n"/>
      <c r="KE39" s="18" t="n"/>
      <c r="KF39" s="18" t="n"/>
      <c r="KG39" s="18" t="n"/>
      <c r="KH39" s="18" t="n"/>
      <c r="KI39" s="18" t="n"/>
      <c r="KJ39" s="18" t="n"/>
      <c r="KK39" s="18" t="n"/>
      <c r="KL39" s="18" t="n"/>
      <c r="KM39" s="18" t="n"/>
      <c r="KN39" s="18" t="n"/>
      <c r="KO39" s="18" t="n"/>
      <c r="KP39" s="18" t="n"/>
      <c r="KQ39" s="18" t="n"/>
    </row>
    <row r="40" ht="17.4" customHeight="1" s="88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48" t="n"/>
      <c r="O40" s="18" t="n"/>
      <c r="P40" s="52" t="n"/>
      <c r="Q40" s="18" t="n"/>
      <c r="R40" s="52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  <c r="DY40" s="18" t="n"/>
      <c r="DZ40" s="18" t="n"/>
      <c r="EA40" s="18" t="n"/>
      <c r="EB40" s="18" t="n"/>
      <c r="EC40" s="18" t="n"/>
      <c r="ED40" s="18" t="n"/>
      <c r="EE40" s="18" t="n"/>
      <c r="EF40" s="18" t="n"/>
      <c r="EG40" s="18" t="n"/>
      <c r="EH40" s="18" t="n"/>
      <c r="EI40" s="18" t="n"/>
      <c r="EJ40" s="18" t="n"/>
      <c r="EK40" s="18" t="n"/>
      <c r="EL40" s="18" t="n"/>
      <c r="EM40" s="18" t="n"/>
      <c r="EN40" s="18" t="n"/>
      <c r="EO40" s="18" t="n"/>
      <c r="EP40" s="18" t="n"/>
      <c r="EQ40" s="18" t="n"/>
      <c r="ER40" s="18" t="n"/>
      <c r="ES40" s="18" t="n"/>
      <c r="ET40" s="18" t="n"/>
      <c r="EU40" s="18" t="n"/>
      <c r="EV40" s="18" t="n"/>
      <c r="EW40" s="18" t="n"/>
      <c r="EX40" s="18" t="n"/>
      <c r="EY40" s="18" t="n"/>
      <c r="EZ40" s="18" t="n"/>
      <c r="FA40" s="18" t="n"/>
      <c r="FB40" s="18" t="n"/>
      <c r="FC40" s="18" t="n"/>
      <c r="FD40" s="18" t="n"/>
      <c r="FE40" s="18" t="n"/>
      <c r="FF40" s="18" t="n"/>
      <c r="FG40" s="18" t="n"/>
      <c r="FH40" s="18" t="n"/>
      <c r="FI40" s="18" t="n"/>
      <c r="FJ40" s="18" t="n"/>
      <c r="FK40" s="18" t="n"/>
      <c r="FL40" s="18" t="n"/>
      <c r="FM40" s="18" t="n"/>
      <c r="FN40" s="18" t="n"/>
      <c r="FO40" s="18" t="n"/>
      <c r="FP40" s="18" t="n"/>
      <c r="FQ40" s="18" t="n"/>
      <c r="FR40" s="18" t="n"/>
      <c r="FS40" s="18" t="n"/>
      <c r="FT40" s="18" t="n"/>
      <c r="FU40" s="18" t="n"/>
      <c r="FV40" s="18" t="n"/>
      <c r="FW40" s="18" t="n"/>
      <c r="FX40" s="18" t="n"/>
      <c r="FY40" s="18" t="n"/>
      <c r="FZ40" s="18" t="n"/>
      <c r="GA40" s="18" t="n"/>
      <c r="GB40" s="18" t="n"/>
      <c r="GC40" s="18" t="n"/>
      <c r="GD40" s="18" t="n"/>
      <c r="GE40" s="18" t="n"/>
      <c r="GF40" s="18" t="n"/>
      <c r="GG40" s="18" t="n"/>
      <c r="GH40" s="18" t="n"/>
      <c r="GI40" s="18" t="n"/>
      <c r="GJ40" s="18" t="n"/>
      <c r="GK40" s="18" t="n"/>
      <c r="GL40" s="18" t="n"/>
      <c r="GM40" s="18" t="n"/>
      <c r="GN40" s="18" t="n"/>
      <c r="GO40" s="18" t="n"/>
      <c r="GP40" s="18" t="n"/>
      <c r="GQ40" s="18" t="n"/>
      <c r="GR40" s="18" t="n"/>
      <c r="GS40" s="18" t="n"/>
      <c r="GT40" s="18" t="n"/>
      <c r="GU40" s="18" t="n"/>
      <c r="GV40" s="18" t="n"/>
      <c r="GW40" s="18" t="n"/>
      <c r="GX40" s="18" t="n"/>
      <c r="GY40" s="18" t="n"/>
      <c r="GZ40" s="18" t="n"/>
      <c r="HA40" s="18" t="n"/>
      <c r="HB40" s="18" t="n"/>
      <c r="HC40" s="18" t="n"/>
      <c r="HD40" s="18" t="n"/>
      <c r="HE40" s="18" t="n"/>
      <c r="HF40" s="18" t="n"/>
      <c r="HG40" s="18" t="n"/>
      <c r="HH40" s="18" t="n"/>
      <c r="HI40" s="18" t="n"/>
      <c r="HJ40" s="18" t="n"/>
      <c r="HK40" s="18" t="n"/>
      <c r="HL40" s="18" t="n"/>
      <c r="HM40" s="18" t="n"/>
      <c r="HN40" s="18" t="n"/>
      <c r="HO40" s="18" t="n"/>
      <c r="HP40" s="18" t="n"/>
      <c r="HQ40" s="18" t="n"/>
      <c r="HR40" s="18" t="n"/>
      <c r="HS40" s="18" t="n"/>
      <c r="HT40" s="18" t="n"/>
      <c r="HU40" s="18" t="n"/>
      <c r="HV40" s="18" t="n"/>
      <c r="HW40" s="18" t="n"/>
      <c r="HX40" s="18" t="n"/>
      <c r="HY40" s="18" t="n"/>
      <c r="HZ40" s="18" t="n"/>
      <c r="IA40" s="18" t="n"/>
      <c r="IB40" s="18" t="n"/>
      <c r="IC40" s="18" t="n"/>
      <c r="ID40" s="18" t="n"/>
      <c r="IE40" s="18" t="n"/>
      <c r="IF40" s="18" t="n"/>
      <c r="IG40" s="18" t="n"/>
      <c r="IH40" s="18" t="n"/>
      <c r="II40" s="18" t="n"/>
      <c r="IJ40" s="18" t="n"/>
      <c r="IK40" s="18" t="n"/>
      <c r="IL40" s="18" t="n"/>
      <c r="IM40" s="18" t="n"/>
      <c r="IN40" s="18" t="n"/>
      <c r="IO40" s="18" t="n"/>
      <c r="IP40" s="18" t="n"/>
      <c r="IQ40" s="18" t="n"/>
      <c r="IR40" s="18" t="n"/>
      <c r="IS40" s="18" t="n"/>
      <c r="IT40" s="18" t="n"/>
      <c r="IU40" s="18" t="n"/>
      <c r="IV40" s="18" t="n"/>
      <c r="IW40" s="18" t="n"/>
      <c r="IX40" s="18" t="n"/>
      <c r="IY40" s="18" t="n"/>
      <c r="IZ40" s="18" t="n"/>
      <c r="JA40" s="18" t="n"/>
      <c r="JB40" s="18" t="n"/>
      <c r="JC40" s="18" t="n"/>
      <c r="JD40" s="18" t="n"/>
      <c r="JE40" s="18" t="n"/>
      <c r="JF40" s="18" t="n"/>
      <c r="JG40" s="18" t="n"/>
      <c r="JH40" s="18" t="n"/>
      <c r="JI40" s="18" t="n"/>
      <c r="JJ40" s="18" t="n"/>
      <c r="JK40" s="18" t="n"/>
      <c r="JL40" s="18" t="n"/>
      <c r="JM40" s="18" t="n"/>
      <c r="JN40" s="18" t="n"/>
      <c r="JO40" s="18" t="n"/>
      <c r="JP40" s="18" t="n"/>
      <c r="JQ40" s="18" t="n"/>
      <c r="JR40" s="18" t="n"/>
      <c r="JS40" s="18" t="n"/>
      <c r="JT40" s="18" t="n"/>
      <c r="JU40" s="18" t="n"/>
      <c r="JV40" s="18" t="n"/>
      <c r="JW40" s="18" t="n"/>
      <c r="JX40" s="18" t="n"/>
      <c r="JY40" s="18" t="n"/>
      <c r="JZ40" s="18" t="n"/>
      <c r="KA40" s="18" t="n"/>
      <c r="KB40" s="18" t="n"/>
      <c r="KC40" s="18" t="n"/>
      <c r="KD40" s="18" t="n"/>
      <c r="KE40" s="18" t="n"/>
      <c r="KF40" s="18" t="n"/>
      <c r="KG40" s="18" t="n"/>
      <c r="KH40" s="18" t="n"/>
      <c r="KI40" s="18" t="n"/>
      <c r="KJ40" s="18" t="n"/>
      <c r="KK40" s="18" t="n"/>
      <c r="KL40" s="18" t="n"/>
      <c r="KM40" s="18" t="n"/>
      <c r="KN40" s="18" t="n"/>
      <c r="KO40" s="18" t="n"/>
      <c r="KP40" s="18" t="n"/>
      <c r="KQ40" s="18" t="n"/>
      <c r="KR40" s="18" t="n"/>
      <c r="KS40" s="18" t="n"/>
      <c r="KT40" s="18" t="n"/>
      <c r="KU40" s="18" t="n"/>
    </row>
    <row r="41" ht="17.4" customHeight="1" s="88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48" t="n"/>
      <c r="O41" s="18" t="n"/>
      <c r="P41" s="52" t="n"/>
      <c r="Q41" s="18" t="n"/>
      <c r="R41" s="52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  <c r="DY41" s="18" t="n"/>
      <c r="DZ41" s="18" t="n"/>
      <c r="EA41" s="18" t="n"/>
      <c r="EB41" s="18" t="n"/>
      <c r="EC41" s="18" t="n"/>
      <c r="ED41" s="18" t="n"/>
      <c r="EE41" s="18" t="n"/>
      <c r="EF41" s="18" t="n"/>
      <c r="EG41" s="18" t="n"/>
      <c r="EH41" s="18" t="n"/>
      <c r="EI41" s="18" t="n"/>
      <c r="EJ41" s="18" t="n"/>
      <c r="EK41" s="18" t="n"/>
      <c r="EL41" s="18" t="n"/>
      <c r="EM41" s="18" t="n"/>
      <c r="EN41" s="18" t="n"/>
      <c r="EO41" s="18" t="n"/>
      <c r="EP41" s="18" t="n"/>
      <c r="EQ41" s="18" t="n"/>
      <c r="ER41" s="18" t="n"/>
      <c r="ES41" s="18" t="n"/>
      <c r="ET41" s="18" t="n"/>
      <c r="EU41" s="18" t="n"/>
      <c r="EV41" s="18" t="n"/>
      <c r="EW41" s="18" t="n"/>
      <c r="EX41" s="18" t="n"/>
      <c r="EY41" s="18" t="n"/>
      <c r="EZ41" s="18" t="n"/>
      <c r="FA41" s="18" t="n"/>
      <c r="FB41" s="18" t="n"/>
      <c r="FC41" s="18" t="n"/>
      <c r="FD41" s="18" t="n"/>
      <c r="FE41" s="18" t="n"/>
      <c r="FF41" s="18" t="n"/>
      <c r="FG41" s="18" t="n"/>
      <c r="FH41" s="18" t="n"/>
      <c r="FI41" s="18" t="n"/>
      <c r="FJ41" s="18" t="n"/>
      <c r="FK41" s="18" t="n"/>
      <c r="FL41" s="18" t="n"/>
      <c r="FM41" s="18" t="n"/>
      <c r="FN41" s="18" t="n"/>
      <c r="FO41" s="18" t="n"/>
      <c r="FP41" s="18" t="n"/>
      <c r="FQ41" s="18" t="n"/>
      <c r="FR41" s="18" t="n"/>
      <c r="FS41" s="18" t="n"/>
      <c r="FT41" s="18" t="n"/>
      <c r="FU41" s="18" t="n"/>
      <c r="FV41" s="18" t="n"/>
      <c r="FW41" s="18" t="n"/>
      <c r="FX41" s="18" t="n"/>
      <c r="FY41" s="18" t="n"/>
      <c r="FZ41" s="18" t="n"/>
      <c r="GA41" s="18" t="n"/>
      <c r="GB41" s="18" t="n"/>
      <c r="GC41" s="18" t="n"/>
      <c r="GD41" s="18" t="n"/>
      <c r="GE41" s="18" t="n"/>
      <c r="GF41" s="18" t="n"/>
      <c r="GG41" s="18" t="n"/>
      <c r="GH41" s="18" t="n"/>
      <c r="GI41" s="18" t="n"/>
      <c r="GJ41" s="18" t="n"/>
      <c r="GK41" s="18" t="n"/>
      <c r="GL41" s="18" t="n"/>
      <c r="GM41" s="18" t="n"/>
      <c r="GN41" s="18" t="n"/>
      <c r="GO41" s="18" t="n"/>
      <c r="GP41" s="18" t="n"/>
      <c r="GQ41" s="18" t="n"/>
      <c r="GR41" s="18" t="n"/>
      <c r="GS41" s="18" t="n"/>
      <c r="GT41" s="18" t="n"/>
      <c r="GU41" s="18" t="n"/>
      <c r="GV41" s="18" t="n"/>
      <c r="GW41" s="18" t="n"/>
      <c r="GX41" s="18" t="n"/>
      <c r="GY41" s="18" t="n"/>
      <c r="GZ41" s="18" t="n"/>
      <c r="HA41" s="18" t="n"/>
      <c r="HB41" s="18" t="n"/>
      <c r="HC41" s="18" t="n"/>
      <c r="HD41" s="18" t="n"/>
      <c r="HE41" s="18" t="n"/>
      <c r="HF41" s="18" t="n"/>
      <c r="HG41" s="18" t="n"/>
      <c r="HH41" s="18" t="n"/>
      <c r="HI41" s="18" t="n"/>
      <c r="HJ41" s="18" t="n"/>
      <c r="HK41" s="18" t="n"/>
      <c r="HL41" s="18" t="n"/>
      <c r="HM41" s="18" t="n"/>
      <c r="HN41" s="18" t="n"/>
      <c r="HO41" s="18" t="n"/>
      <c r="HP41" s="18" t="n"/>
      <c r="HQ41" s="18" t="n"/>
      <c r="HR41" s="18" t="n"/>
      <c r="HS41" s="18" t="n"/>
      <c r="HT41" s="18" t="n"/>
      <c r="HU41" s="18" t="n"/>
      <c r="HV41" s="18" t="n"/>
      <c r="HW41" s="18" t="n"/>
      <c r="HX41" s="18" t="n"/>
      <c r="HY41" s="18" t="n"/>
      <c r="HZ41" s="18" t="n"/>
      <c r="IA41" s="18" t="n"/>
      <c r="IB41" s="18" t="n"/>
      <c r="IC41" s="18" t="n"/>
      <c r="ID41" s="18" t="n"/>
      <c r="IE41" s="18" t="n"/>
      <c r="IF41" s="18" t="n"/>
      <c r="IG41" s="18" t="n"/>
      <c r="IH41" s="18" t="n"/>
      <c r="II41" s="18" t="n"/>
      <c r="IJ41" s="18" t="n"/>
      <c r="IK41" s="18" t="n"/>
      <c r="IL41" s="18" t="n"/>
      <c r="IM41" s="18" t="n"/>
      <c r="IN41" s="18" t="n"/>
      <c r="IO41" s="18" t="n"/>
      <c r="IP41" s="18" t="n"/>
      <c r="IQ41" s="18" t="n"/>
      <c r="IR41" s="18" t="n"/>
      <c r="IS41" s="18" t="n"/>
      <c r="IT41" s="18" t="n"/>
      <c r="IU41" s="18" t="n"/>
      <c r="IV41" s="18" t="n"/>
      <c r="IW41" s="18" t="n"/>
      <c r="IX41" s="18" t="n"/>
      <c r="IY41" s="18" t="n"/>
      <c r="IZ41" s="18" t="n"/>
      <c r="JA41" s="18" t="n"/>
      <c r="JB41" s="18" t="n"/>
      <c r="JC41" s="18" t="n"/>
      <c r="JD41" s="18" t="n"/>
      <c r="JE41" s="18" t="n"/>
      <c r="JF41" s="18" t="n"/>
      <c r="JG41" s="18" t="n"/>
      <c r="JH41" s="18" t="n"/>
      <c r="JI41" s="18" t="n"/>
      <c r="JJ41" s="18" t="n"/>
      <c r="JK41" s="18" t="n"/>
      <c r="JL41" s="18" t="n"/>
      <c r="JM41" s="18" t="n"/>
      <c r="JN41" s="18" t="n"/>
      <c r="JO41" s="18" t="n"/>
      <c r="JP41" s="18" t="n"/>
      <c r="JQ41" s="18" t="n"/>
      <c r="JR41" s="18" t="n"/>
      <c r="JS41" s="18" t="n"/>
      <c r="JT41" s="18" t="n"/>
      <c r="JU41" s="18" t="n"/>
      <c r="JV41" s="18" t="n"/>
      <c r="JW41" s="18" t="n"/>
      <c r="JX41" s="18" t="n"/>
      <c r="JY41" s="18" t="n"/>
      <c r="JZ41" s="18" t="n"/>
      <c r="KA41" s="18" t="n"/>
      <c r="KB41" s="18" t="n"/>
      <c r="KC41" s="18" t="n"/>
      <c r="KD41" s="18" t="n"/>
      <c r="KE41" s="18" t="n"/>
      <c r="KF41" s="18" t="n"/>
      <c r="KG41" s="18" t="n"/>
      <c r="KH41" s="18" t="n"/>
      <c r="KI41" s="18" t="n"/>
      <c r="KJ41" s="18" t="n"/>
      <c r="KK41" s="18" t="n"/>
      <c r="KL41" s="18" t="n"/>
      <c r="KM41" s="18" t="n"/>
      <c r="KN41" s="18" t="n"/>
      <c r="KO41" s="18" t="n"/>
      <c r="KP41" s="18" t="n"/>
      <c r="KQ41" s="18" t="n"/>
      <c r="KR41" s="18" t="n"/>
      <c r="KS41" s="18" t="n"/>
      <c r="KT41" s="18" t="n"/>
      <c r="KU41" s="18" t="n"/>
      <c r="KV41" s="18" t="n"/>
      <c r="KW41" s="18" t="n"/>
      <c r="KX41" s="18" t="n"/>
      <c r="KY41" s="18" t="n"/>
    </row>
    <row r="42" ht="17.4" customHeight="1" s="88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48" t="n"/>
      <c r="O42" s="18" t="n"/>
      <c r="P42" s="52" t="n"/>
      <c r="Q42" s="18" t="n"/>
      <c r="R42" s="52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  <c r="DY42" s="18" t="n"/>
      <c r="DZ42" s="18" t="n"/>
      <c r="EA42" s="18" t="n"/>
      <c r="EB42" s="18" t="n"/>
      <c r="EC42" s="18" t="n"/>
      <c r="ED42" s="18" t="n"/>
      <c r="EE42" s="18" t="n"/>
      <c r="EF42" s="18" t="n"/>
      <c r="EG42" s="18" t="n"/>
      <c r="EH42" s="18" t="n"/>
      <c r="EI42" s="18" t="n"/>
      <c r="EJ42" s="18" t="n"/>
      <c r="EK42" s="18" t="n"/>
      <c r="EL42" s="18" t="n"/>
      <c r="EM42" s="18" t="n"/>
      <c r="EN42" s="18" t="n"/>
      <c r="EO42" s="18" t="n"/>
      <c r="EP42" s="18" t="n"/>
      <c r="EQ42" s="18" t="n"/>
      <c r="ER42" s="18" t="n"/>
      <c r="ES42" s="18" t="n"/>
      <c r="ET42" s="18" t="n"/>
      <c r="EU42" s="18" t="n"/>
      <c r="EV42" s="18" t="n"/>
      <c r="EW42" s="18" t="n"/>
      <c r="EX42" s="18" t="n"/>
      <c r="EY42" s="18" t="n"/>
      <c r="EZ42" s="18" t="n"/>
      <c r="FA42" s="18" t="n"/>
      <c r="FB42" s="18" t="n"/>
      <c r="FC42" s="18" t="n"/>
      <c r="FD42" s="18" t="n"/>
      <c r="FE42" s="18" t="n"/>
      <c r="FF42" s="18" t="n"/>
      <c r="FG42" s="18" t="n"/>
      <c r="FH42" s="18" t="n"/>
      <c r="FI42" s="18" t="n"/>
      <c r="FJ42" s="18" t="n"/>
      <c r="FK42" s="18" t="n"/>
      <c r="FL42" s="18" t="n"/>
      <c r="FM42" s="18" t="n"/>
      <c r="FN42" s="18" t="n"/>
      <c r="FO42" s="18" t="n"/>
      <c r="FP42" s="18" t="n"/>
      <c r="FQ42" s="18" t="n"/>
      <c r="FR42" s="18" t="n"/>
      <c r="FS42" s="18" t="n"/>
      <c r="FT42" s="18" t="n"/>
      <c r="FU42" s="18" t="n"/>
      <c r="FV42" s="18" t="n"/>
      <c r="FW42" s="18" t="n"/>
      <c r="FX42" s="18" t="n"/>
      <c r="FY42" s="18" t="n"/>
      <c r="FZ42" s="18" t="n"/>
      <c r="GA42" s="18" t="n"/>
      <c r="GB42" s="18" t="n"/>
      <c r="GC42" s="18" t="n"/>
      <c r="GD42" s="18" t="n"/>
      <c r="GE42" s="18" t="n"/>
      <c r="GF42" s="18" t="n"/>
      <c r="GG42" s="18" t="n"/>
      <c r="GH42" s="18" t="n"/>
      <c r="GI42" s="18" t="n"/>
      <c r="GJ42" s="18" t="n"/>
      <c r="GK42" s="18" t="n"/>
      <c r="GL42" s="18" t="n"/>
      <c r="GM42" s="18" t="n"/>
      <c r="GN42" s="18" t="n"/>
      <c r="GO42" s="18" t="n"/>
      <c r="GP42" s="18" t="n"/>
      <c r="GQ42" s="18" t="n"/>
      <c r="GR42" s="18" t="n"/>
      <c r="GS42" s="18" t="n"/>
      <c r="GT42" s="18" t="n"/>
      <c r="GU42" s="18" t="n"/>
      <c r="GV42" s="18" t="n"/>
      <c r="GW42" s="18" t="n"/>
      <c r="GX42" s="18" t="n"/>
      <c r="GY42" s="18" t="n"/>
      <c r="GZ42" s="18" t="n"/>
      <c r="HA42" s="18" t="n"/>
      <c r="HB42" s="18" t="n"/>
      <c r="HC42" s="18" t="n"/>
      <c r="HD42" s="18" t="n"/>
      <c r="HE42" s="18" t="n"/>
      <c r="HF42" s="18" t="n"/>
      <c r="HG42" s="18" t="n"/>
      <c r="HH42" s="18" t="n"/>
      <c r="HI42" s="18" t="n"/>
      <c r="HJ42" s="18" t="n"/>
      <c r="HK42" s="18" t="n"/>
      <c r="HL42" s="18" t="n"/>
      <c r="HM42" s="18" t="n"/>
      <c r="HN42" s="18" t="n"/>
      <c r="HO42" s="18" t="n"/>
      <c r="HP42" s="18" t="n"/>
      <c r="HQ42" s="18" t="n"/>
      <c r="HR42" s="18" t="n"/>
      <c r="HS42" s="18" t="n"/>
      <c r="HT42" s="18" t="n"/>
      <c r="HU42" s="18" t="n"/>
      <c r="HV42" s="18" t="n"/>
      <c r="HW42" s="18" t="n"/>
      <c r="HX42" s="18" t="n"/>
      <c r="HY42" s="18" t="n"/>
      <c r="HZ42" s="18" t="n"/>
      <c r="IA42" s="18" t="n"/>
      <c r="IB42" s="18" t="n"/>
      <c r="IC42" s="18" t="n"/>
      <c r="ID42" s="18" t="n"/>
      <c r="IE42" s="18" t="n"/>
      <c r="IF42" s="18" t="n"/>
      <c r="IG42" s="18" t="n"/>
      <c r="IH42" s="18" t="n"/>
      <c r="II42" s="18" t="n"/>
      <c r="IJ42" s="18" t="n"/>
      <c r="IK42" s="18" t="n"/>
      <c r="IL42" s="18" t="n"/>
      <c r="IM42" s="18" t="n"/>
      <c r="IN42" s="18" t="n"/>
      <c r="IO42" s="18" t="n"/>
      <c r="IP42" s="18" t="n"/>
      <c r="IQ42" s="18" t="n"/>
      <c r="IR42" s="18" t="n"/>
      <c r="IS42" s="18" t="n"/>
      <c r="IT42" s="18" t="n"/>
      <c r="IU42" s="18" t="n"/>
      <c r="IV42" s="18" t="n"/>
      <c r="IW42" s="18" t="n"/>
      <c r="IX42" s="18" t="n"/>
      <c r="IY42" s="18" t="n"/>
      <c r="IZ42" s="18" t="n"/>
      <c r="JA42" s="18" t="n"/>
      <c r="JB42" s="18" t="n"/>
      <c r="JC42" s="18" t="n"/>
      <c r="JD42" s="18" t="n"/>
      <c r="JE42" s="18" t="n"/>
      <c r="JF42" s="18" t="n"/>
      <c r="JG42" s="18" t="n"/>
      <c r="JH42" s="18" t="n"/>
      <c r="JI42" s="18" t="n"/>
      <c r="JJ42" s="18" t="n"/>
      <c r="JK42" s="18" t="n"/>
      <c r="JL42" s="18" t="n"/>
      <c r="JM42" s="18" t="n"/>
      <c r="JN42" s="18" t="n"/>
      <c r="JO42" s="18" t="n"/>
      <c r="JP42" s="18" t="n"/>
      <c r="JQ42" s="18" t="n"/>
      <c r="JR42" s="18" t="n"/>
      <c r="JS42" s="18" t="n"/>
      <c r="JT42" s="18" t="n"/>
      <c r="JU42" s="18" t="n"/>
      <c r="JV42" s="18" t="n"/>
      <c r="JW42" s="18" t="n"/>
      <c r="JX42" s="18" t="n"/>
      <c r="JY42" s="18" t="n"/>
      <c r="JZ42" s="18" t="n"/>
      <c r="KA42" s="18" t="n"/>
      <c r="KB42" s="18" t="n"/>
      <c r="KC42" s="18" t="n"/>
      <c r="KD42" s="18" t="n"/>
      <c r="KE42" s="18" t="n"/>
      <c r="KF42" s="18" t="n"/>
      <c r="KG42" s="18" t="n"/>
      <c r="KH42" s="18" t="n"/>
      <c r="KI42" s="18" t="n"/>
      <c r="KJ42" s="18" t="n"/>
      <c r="KK42" s="18" t="n"/>
      <c r="KL42" s="18" t="n"/>
      <c r="KM42" s="18" t="n"/>
      <c r="KN42" s="18" t="n"/>
      <c r="KO42" s="18" t="n"/>
      <c r="KP42" s="18" t="n"/>
      <c r="KQ42" s="18" t="n"/>
      <c r="KR42" s="18" t="n"/>
      <c r="KS42" s="18" t="n"/>
      <c r="KT42" s="18" t="n"/>
      <c r="KU42" s="18" t="n"/>
      <c r="KV42" s="18" t="n"/>
      <c r="KW42" s="18" t="n"/>
      <c r="KX42" s="18" t="n"/>
      <c r="KY42" s="18" t="n"/>
      <c r="KZ42" s="18" t="n"/>
      <c r="LA42" s="18" t="n"/>
      <c r="LB42" s="18" t="n"/>
      <c r="LC42" s="18" t="n"/>
    </row>
    <row r="43" ht="17.4" customHeight="1" s="88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48" t="n"/>
      <c r="O43" s="18" t="n"/>
      <c r="P43" s="52" t="n"/>
      <c r="Q43" s="18" t="n"/>
      <c r="R43" s="52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  <c r="DY43" s="18" t="n"/>
      <c r="DZ43" s="18" t="n"/>
      <c r="EA43" s="18" t="n"/>
      <c r="EB43" s="18" t="n"/>
      <c r="EC43" s="18" t="n"/>
      <c r="ED43" s="18" t="n"/>
      <c r="EE43" s="18" t="n"/>
      <c r="EF43" s="18" t="n"/>
      <c r="EG43" s="18" t="n"/>
      <c r="EH43" s="18" t="n"/>
      <c r="EI43" s="18" t="n"/>
      <c r="EJ43" s="18" t="n"/>
      <c r="EK43" s="18" t="n"/>
      <c r="EL43" s="18" t="n"/>
      <c r="EM43" s="18" t="n"/>
      <c r="EN43" s="18" t="n"/>
      <c r="EO43" s="18" t="n"/>
      <c r="EP43" s="18" t="n"/>
      <c r="EQ43" s="18" t="n"/>
      <c r="ER43" s="18" t="n"/>
      <c r="ES43" s="18" t="n"/>
      <c r="ET43" s="18" t="n"/>
      <c r="EU43" s="18" t="n"/>
      <c r="EV43" s="18" t="n"/>
      <c r="EW43" s="18" t="n"/>
      <c r="EX43" s="18" t="n"/>
      <c r="EY43" s="18" t="n"/>
      <c r="EZ43" s="18" t="n"/>
      <c r="FA43" s="18" t="n"/>
      <c r="FB43" s="18" t="n"/>
      <c r="FC43" s="18" t="n"/>
      <c r="FD43" s="18" t="n"/>
      <c r="FE43" s="18" t="n"/>
      <c r="FF43" s="18" t="n"/>
      <c r="FG43" s="18" t="n"/>
      <c r="FH43" s="18" t="n"/>
      <c r="FI43" s="18" t="n"/>
      <c r="FJ43" s="18" t="n"/>
      <c r="FK43" s="18" t="n"/>
      <c r="FL43" s="18" t="n"/>
      <c r="FM43" s="18" t="n"/>
      <c r="FN43" s="18" t="n"/>
      <c r="FO43" s="18" t="n"/>
      <c r="FP43" s="18" t="n"/>
      <c r="FQ43" s="18" t="n"/>
      <c r="FR43" s="18" t="n"/>
      <c r="FS43" s="18" t="n"/>
      <c r="FT43" s="18" t="n"/>
      <c r="FU43" s="18" t="n"/>
      <c r="FV43" s="18" t="n"/>
      <c r="FW43" s="18" t="n"/>
      <c r="FX43" s="18" t="n"/>
      <c r="FY43" s="18" t="n"/>
      <c r="FZ43" s="18" t="n"/>
      <c r="GA43" s="18" t="n"/>
      <c r="GB43" s="18" t="n"/>
      <c r="GC43" s="18" t="n"/>
      <c r="GD43" s="18" t="n"/>
      <c r="GE43" s="18" t="n"/>
      <c r="GF43" s="18" t="n"/>
      <c r="GG43" s="18" t="n"/>
      <c r="GH43" s="18" t="n"/>
      <c r="GI43" s="18" t="n"/>
      <c r="GJ43" s="18" t="n"/>
      <c r="GK43" s="18" t="n"/>
      <c r="GL43" s="18" t="n"/>
      <c r="GM43" s="18" t="n"/>
      <c r="GN43" s="18" t="n"/>
      <c r="GO43" s="18" t="n"/>
      <c r="GP43" s="18" t="n"/>
      <c r="GQ43" s="18" t="n"/>
      <c r="GR43" s="18" t="n"/>
      <c r="GS43" s="18" t="n"/>
      <c r="GT43" s="18" t="n"/>
      <c r="GU43" s="18" t="n"/>
      <c r="GV43" s="18" t="n"/>
      <c r="GW43" s="18" t="n"/>
      <c r="GX43" s="18" t="n"/>
      <c r="GY43" s="18" t="n"/>
      <c r="GZ43" s="18" t="n"/>
      <c r="HA43" s="18" t="n"/>
      <c r="HB43" s="18" t="n"/>
      <c r="HC43" s="18" t="n"/>
      <c r="HD43" s="18" t="n"/>
      <c r="HE43" s="18" t="n"/>
      <c r="HF43" s="18" t="n"/>
      <c r="HG43" s="18" t="n"/>
      <c r="HH43" s="18" t="n"/>
      <c r="HI43" s="18" t="n"/>
      <c r="HJ43" s="18" t="n"/>
      <c r="HK43" s="18" t="n"/>
      <c r="HL43" s="18" t="n"/>
      <c r="HM43" s="18" t="n"/>
      <c r="HN43" s="18" t="n"/>
      <c r="HO43" s="18" t="n"/>
      <c r="HP43" s="18" t="n"/>
      <c r="HQ43" s="18" t="n"/>
      <c r="HR43" s="18" t="n"/>
      <c r="HS43" s="18" t="n"/>
      <c r="HT43" s="18" t="n"/>
      <c r="HU43" s="18" t="n"/>
      <c r="HV43" s="18" t="n"/>
      <c r="HW43" s="18" t="n"/>
      <c r="HX43" s="18" t="n"/>
      <c r="HY43" s="18" t="n"/>
      <c r="HZ43" s="18" t="n"/>
      <c r="IA43" s="18" t="n"/>
      <c r="IB43" s="18" t="n"/>
      <c r="IC43" s="18" t="n"/>
      <c r="ID43" s="18" t="n"/>
      <c r="IE43" s="18" t="n"/>
      <c r="IF43" s="18" t="n"/>
      <c r="IG43" s="18" t="n"/>
      <c r="IH43" s="18" t="n"/>
      <c r="II43" s="18" t="n"/>
      <c r="IJ43" s="18" t="n"/>
      <c r="IK43" s="18" t="n"/>
      <c r="IL43" s="18" t="n"/>
      <c r="IM43" s="18" t="n"/>
      <c r="IN43" s="18" t="n"/>
      <c r="IO43" s="18" t="n"/>
      <c r="IP43" s="18" t="n"/>
      <c r="IQ43" s="18" t="n"/>
      <c r="IR43" s="18" t="n"/>
      <c r="IS43" s="18" t="n"/>
      <c r="IT43" s="18" t="n"/>
      <c r="IU43" s="18" t="n"/>
      <c r="IV43" s="18" t="n"/>
      <c r="IW43" s="18" t="n"/>
      <c r="IX43" s="18" t="n"/>
      <c r="IY43" s="18" t="n"/>
      <c r="IZ43" s="18" t="n"/>
      <c r="JA43" s="18" t="n"/>
      <c r="JB43" s="18" t="n"/>
      <c r="JC43" s="18" t="n"/>
      <c r="JD43" s="18" t="n"/>
      <c r="JE43" s="18" t="n"/>
      <c r="JF43" s="18" t="n"/>
      <c r="JG43" s="18" t="n"/>
      <c r="JH43" s="18" t="n"/>
      <c r="JI43" s="18" t="n"/>
      <c r="JJ43" s="18" t="n"/>
      <c r="JK43" s="18" t="n"/>
      <c r="JL43" s="18" t="n"/>
      <c r="JM43" s="18" t="n"/>
      <c r="JN43" s="18" t="n"/>
      <c r="JO43" s="18" t="n"/>
      <c r="JP43" s="18" t="n"/>
      <c r="JQ43" s="18" t="n"/>
      <c r="JR43" s="18" t="n"/>
      <c r="JS43" s="18" t="n"/>
      <c r="JT43" s="18" t="n"/>
      <c r="JU43" s="18" t="n"/>
      <c r="JV43" s="18" t="n"/>
      <c r="JW43" s="18" t="n"/>
      <c r="JX43" s="18" t="n"/>
      <c r="JY43" s="18" t="n"/>
      <c r="JZ43" s="18" t="n"/>
      <c r="KA43" s="18" t="n"/>
      <c r="KB43" s="18" t="n"/>
      <c r="KC43" s="18" t="n"/>
      <c r="KD43" s="18" t="n"/>
      <c r="KE43" s="18" t="n"/>
      <c r="KF43" s="18" t="n"/>
      <c r="KG43" s="18" t="n"/>
      <c r="KH43" s="18" t="n"/>
      <c r="KI43" s="18" t="n"/>
      <c r="KJ43" s="18" t="n"/>
      <c r="KK43" s="18" t="n"/>
      <c r="KL43" s="18" t="n"/>
      <c r="KM43" s="18" t="n"/>
      <c r="KN43" s="18" t="n"/>
      <c r="KO43" s="18" t="n"/>
      <c r="KP43" s="18" t="n"/>
      <c r="KQ43" s="18" t="n"/>
      <c r="KR43" s="18" t="n"/>
      <c r="KS43" s="18" t="n"/>
      <c r="KT43" s="18" t="n"/>
      <c r="KU43" s="18" t="n"/>
      <c r="KV43" s="18" t="n"/>
      <c r="KW43" s="18" t="n"/>
      <c r="KX43" s="18" t="n"/>
      <c r="KY43" s="18" t="n"/>
      <c r="KZ43" s="18" t="n"/>
      <c r="LA43" s="18" t="n"/>
      <c r="LB43" s="18" t="n"/>
      <c r="LC43" s="18" t="n"/>
      <c r="LD43" s="18" t="n"/>
      <c r="LE43" s="18" t="n"/>
      <c r="LF43" s="18" t="n"/>
      <c r="LG43" s="18" t="n"/>
    </row>
    <row r="44" ht="17.4" customHeight="1" s="88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48" t="n"/>
      <c r="O44" s="18" t="n"/>
      <c r="P44" s="52" t="n"/>
      <c r="Q44" s="18" t="n"/>
      <c r="R44" s="52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  <c r="DY44" s="18" t="n"/>
      <c r="DZ44" s="18" t="n"/>
      <c r="EA44" s="18" t="n"/>
      <c r="EB44" s="18" t="n"/>
      <c r="EC44" s="18" t="n"/>
      <c r="ED44" s="18" t="n"/>
      <c r="EE44" s="18" t="n"/>
      <c r="EF44" s="18" t="n"/>
      <c r="EG44" s="18" t="n"/>
      <c r="EH44" s="18" t="n"/>
      <c r="EI44" s="18" t="n"/>
      <c r="EJ44" s="18" t="n"/>
      <c r="EK44" s="18" t="n"/>
      <c r="EL44" s="18" t="n"/>
      <c r="EM44" s="18" t="n"/>
      <c r="EN44" s="18" t="n"/>
      <c r="EO44" s="18" t="n"/>
      <c r="EP44" s="18" t="n"/>
      <c r="EQ44" s="18" t="n"/>
      <c r="ER44" s="18" t="n"/>
      <c r="ES44" s="18" t="n"/>
      <c r="ET44" s="18" t="n"/>
      <c r="EU44" s="18" t="n"/>
      <c r="EV44" s="18" t="n"/>
      <c r="EW44" s="18" t="n"/>
      <c r="EX44" s="18" t="n"/>
      <c r="EY44" s="18" t="n"/>
      <c r="EZ44" s="18" t="n"/>
      <c r="FA44" s="18" t="n"/>
      <c r="FB44" s="18" t="n"/>
      <c r="FC44" s="18" t="n"/>
      <c r="FD44" s="18" t="n"/>
      <c r="FE44" s="18" t="n"/>
      <c r="FF44" s="18" t="n"/>
      <c r="FG44" s="18" t="n"/>
      <c r="FH44" s="18" t="n"/>
      <c r="FI44" s="18" t="n"/>
      <c r="FJ44" s="18" t="n"/>
      <c r="FK44" s="18" t="n"/>
      <c r="FL44" s="18" t="n"/>
      <c r="FM44" s="18" t="n"/>
      <c r="FN44" s="18" t="n"/>
      <c r="FO44" s="18" t="n"/>
      <c r="FP44" s="18" t="n"/>
      <c r="FQ44" s="18" t="n"/>
      <c r="FR44" s="18" t="n"/>
      <c r="FS44" s="18" t="n"/>
      <c r="FT44" s="18" t="n"/>
      <c r="FU44" s="18" t="n"/>
      <c r="FV44" s="18" t="n"/>
      <c r="FW44" s="18" t="n"/>
      <c r="FX44" s="18" t="n"/>
      <c r="FY44" s="18" t="n"/>
      <c r="FZ44" s="18" t="n"/>
      <c r="GA44" s="18" t="n"/>
      <c r="GB44" s="18" t="n"/>
      <c r="GC44" s="18" t="n"/>
      <c r="GD44" s="18" t="n"/>
      <c r="GE44" s="18" t="n"/>
      <c r="GF44" s="18" t="n"/>
      <c r="GG44" s="18" t="n"/>
      <c r="GH44" s="18" t="n"/>
      <c r="GI44" s="18" t="n"/>
      <c r="GJ44" s="18" t="n"/>
      <c r="GK44" s="18" t="n"/>
      <c r="GL44" s="18" t="n"/>
      <c r="GM44" s="18" t="n"/>
      <c r="GN44" s="18" t="n"/>
      <c r="GO44" s="18" t="n"/>
      <c r="GP44" s="18" t="n"/>
      <c r="GQ44" s="18" t="n"/>
      <c r="GR44" s="18" t="n"/>
      <c r="GS44" s="18" t="n"/>
      <c r="GT44" s="18" t="n"/>
      <c r="GU44" s="18" t="n"/>
      <c r="GV44" s="18" t="n"/>
      <c r="GW44" s="18" t="n"/>
      <c r="GX44" s="18" t="n"/>
      <c r="GY44" s="18" t="n"/>
      <c r="GZ44" s="18" t="n"/>
      <c r="HA44" s="18" t="n"/>
      <c r="HB44" s="18" t="n"/>
      <c r="HC44" s="18" t="n"/>
      <c r="HD44" s="18" t="n"/>
      <c r="HE44" s="18" t="n"/>
      <c r="HF44" s="18" t="n"/>
      <c r="HG44" s="18" t="n"/>
      <c r="HH44" s="18" t="n"/>
      <c r="HI44" s="18" t="n"/>
      <c r="HJ44" s="18" t="n"/>
      <c r="HK44" s="18" t="n"/>
      <c r="HL44" s="18" t="n"/>
      <c r="HM44" s="18" t="n"/>
      <c r="HN44" s="18" t="n"/>
      <c r="HO44" s="18" t="n"/>
      <c r="HP44" s="18" t="n"/>
      <c r="HQ44" s="18" t="n"/>
      <c r="HR44" s="18" t="n"/>
      <c r="HS44" s="18" t="n"/>
      <c r="HT44" s="18" t="n"/>
      <c r="HU44" s="18" t="n"/>
      <c r="HV44" s="18" t="n"/>
      <c r="HW44" s="18" t="n"/>
      <c r="HX44" s="18" t="n"/>
      <c r="HY44" s="18" t="n"/>
      <c r="HZ44" s="18" t="n"/>
      <c r="IA44" s="18" t="n"/>
      <c r="IB44" s="18" t="n"/>
      <c r="IC44" s="18" t="n"/>
      <c r="ID44" s="18" t="n"/>
      <c r="IE44" s="18" t="n"/>
      <c r="IF44" s="18" t="n"/>
      <c r="IG44" s="18" t="n"/>
      <c r="IH44" s="18" t="n"/>
      <c r="II44" s="18" t="n"/>
      <c r="IJ44" s="18" t="n"/>
      <c r="IK44" s="18" t="n"/>
      <c r="IL44" s="18" t="n"/>
      <c r="IM44" s="18" t="n"/>
      <c r="IN44" s="18" t="n"/>
      <c r="IO44" s="18" t="n"/>
      <c r="IP44" s="18" t="n"/>
      <c r="IQ44" s="18" t="n"/>
      <c r="IR44" s="18" t="n"/>
      <c r="IS44" s="18" t="n"/>
      <c r="IT44" s="18" t="n"/>
      <c r="IU44" s="18" t="n"/>
      <c r="IV44" s="18" t="n"/>
      <c r="IW44" s="18" t="n"/>
      <c r="IX44" s="18" t="n"/>
      <c r="IY44" s="18" t="n"/>
      <c r="IZ44" s="18" t="n"/>
      <c r="JA44" s="18" t="n"/>
      <c r="JB44" s="18" t="n"/>
      <c r="JC44" s="18" t="n"/>
      <c r="JD44" s="18" t="n"/>
      <c r="JE44" s="18" t="n"/>
      <c r="JF44" s="18" t="n"/>
      <c r="JG44" s="18" t="n"/>
      <c r="JH44" s="18" t="n"/>
      <c r="JI44" s="18" t="n"/>
      <c r="JJ44" s="18" t="n"/>
      <c r="JK44" s="18" t="n"/>
      <c r="JL44" s="18" t="n"/>
      <c r="JM44" s="18" t="n"/>
      <c r="JN44" s="18" t="n"/>
      <c r="JO44" s="18" t="n"/>
      <c r="JP44" s="18" t="n"/>
      <c r="JQ44" s="18" t="n"/>
      <c r="JR44" s="18" t="n"/>
      <c r="JS44" s="18" t="n"/>
      <c r="JT44" s="18" t="n"/>
      <c r="JU44" s="18" t="n"/>
      <c r="JV44" s="18" t="n"/>
      <c r="JW44" s="18" t="n"/>
      <c r="JX44" s="18" t="n"/>
      <c r="JY44" s="18" t="n"/>
      <c r="JZ44" s="18" t="n"/>
      <c r="KA44" s="18" t="n"/>
      <c r="KB44" s="18" t="n"/>
      <c r="KC44" s="18" t="n"/>
      <c r="KD44" s="18" t="n"/>
      <c r="KE44" s="18" t="n"/>
      <c r="KF44" s="18" t="n"/>
      <c r="KG44" s="18" t="n"/>
      <c r="KH44" s="18" t="n"/>
      <c r="KI44" s="18" t="n"/>
      <c r="KJ44" s="18" t="n"/>
      <c r="KK44" s="18" t="n"/>
      <c r="KL44" s="18" t="n"/>
      <c r="KM44" s="18" t="n"/>
      <c r="KN44" s="18" t="n"/>
      <c r="KO44" s="18" t="n"/>
      <c r="KP44" s="18" t="n"/>
      <c r="KQ44" s="18" t="n"/>
      <c r="KR44" s="18" t="n"/>
      <c r="KS44" s="18" t="n"/>
      <c r="KT44" s="18" t="n"/>
      <c r="KU44" s="18" t="n"/>
      <c r="KV44" s="18" t="n"/>
      <c r="KW44" s="18" t="n"/>
      <c r="KX44" s="18" t="n"/>
      <c r="KY44" s="18" t="n"/>
      <c r="KZ44" s="18" t="n"/>
      <c r="LA44" s="18" t="n"/>
      <c r="LB44" s="18" t="n"/>
      <c r="LC44" s="18" t="n"/>
      <c r="LD44" s="18" t="n"/>
      <c r="LE44" s="18" t="n"/>
      <c r="LF44" s="18" t="n"/>
      <c r="LG44" s="18" t="n"/>
      <c r="LH44" s="18" t="n"/>
      <c r="LI44" s="18" t="n"/>
      <c r="LJ44" s="18" t="n"/>
      <c r="LK44" s="18" t="n"/>
    </row>
    <row r="45" ht="17.4" customHeight="1" s="88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48" t="n"/>
      <c r="O45" s="18" t="n"/>
      <c r="P45" s="52" t="n"/>
      <c r="Q45" s="18" t="n"/>
      <c r="R45" s="52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  <c r="DY45" s="18" t="n"/>
      <c r="DZ45" s="18" t="n"/>
      <c r="EA45" s="18" t="n"/>
      <c r="EB45" s="18" t="n"/>
      <c r="EC45" s="18" t="n"/>
      <c r="ED45" s="18" t="n"/>
      <c r="EE45" s="18" t="n"/>
      <c r="EF45" s="18" t="n"/>
      <c r="EG45" s="18" t="n"/>
      <c r="EH45" s="18" t="n"/>
      <c r="EI45" s="18" t="n"/>
      <c r="EJ45" s="18" t="n"/>
      <c r="EK45" s="18" t="n"/>
      <c r="EL45" s="18" t="n"/>
      <c r="EM45" s="18" t="n"/>
      <c r="EN45" s="18" t="n"/>
      <c r="EO45" s="18" t="n"/>
      <c r="EP45" s="18" t="n"/>
      <c r="EQ45" s="18" t="n"/>
      <c r="ER45" s="18" t="n"/>
      <c r="ES45" s="18" t="n"/>
      <c r="ET45" s="18" t="n"/>
      <c r="EU45" s="18" t="n"/>
      <c r="EV45" s="18" t="n"/>
      <c r="EW45" s="18" t="n"/>
      <c r="EX45" s="18" t="n"/>
      <c r="EY45" s="18" t="n"/>
      <c r="EZ45" s="18" t="n"/>
      <c r="FA45" s="18" t="n"/>
      <c r="FB45" s="18" t="n"/>
      <c r="FC45" s="18" t="n"/>
      <c r="FD45" s="18" t="n"/>
      <c r="FE45" s="18" t="n"/>
      <c r="FF45" s="18" t="n"/>
      <c r="FG45" s="18" t="n"/>
      <c r="FH45" s="18" t="n"/>
      <c r="FI45" s="18" t="n"/>
      <c r="FJ45" s="18" t="n"/>
      <c r="FK45" s="18" t="n"/>
      <c r="FL45" s="18" t="n"/>
      <c r="FM45" s="18" t="n"/>
      <c r="FN45" s="18" t="n"/>
      <c r="FO45" s="18" t="n"/>
      <c r="FP45" s="18" t="n"/>
      <c r="FQ45" s="18" t="n"/>
      <c r="FR45" s="18" t="n"/>
      <c r="FS45" s="18" t="n"/>
      <c r="FT45" s="18" t="n"/>
      <c r="FU45" s="18" t="n"/>
      <c r="FV45" s="18" t="n"/>
      <c r="FW45" s="18" t="n"/>
      <c r="FX45" s="18" t="n"/>
      <c r="FY45" s="18" t="n"/>
      <c r="FZ45" s="18" t="n"/>
      <c r="GA45" s="18" t="n"/>
      <c r="GB45" s="18" t="n"/>
      <c r="GC45" s="18" t="n"/>
      <c r="GD45" s="18" t="n"/>
      <c r="GE45" s="18" t="n"/>
      <c r="GF45" s="18" t="n"/>
      <c r="GG45" s="18" t="n"/>
      <c r="GH45" s="18" t="n"/>
      <c r="GI45" s="18" t="n"/>
      <c r="GJ45" s="18" t="n"/>
      <c r="GK45" s="18" t="n"/>
      <c r="GL45" s="18" t="n"/>
      <c r="GM45" s="18" t="n"/>
      <c r="GN45" s="18" t="n"/>
      <c r="GO45" s="18" t="n"/>
      <c r="GP45" s="18" t="n"/>
      <c r="GQ45" s="18" t="n"/>
      <c r="GR45" s="18" t="n"/>
      <c r="GS45" s="18" t="n"/>
      <c r="GT45" s="18" t="n"/>
      <c r="GU45" s="18" t="n"/>
      <c r="GV45" s="18" t="n"/>
      <c r="GW45" s="18" t="n"/>
      <c r="GX45" s="18" t="n"/>
      <c r="GY45" s="18" t="n"/>
      <c r="GZ45" s="18" t="n"/>
      <c r="HA45" s="18" t="n"/>
      <c r="HB45" s="18" t="n"/>
      <c r="HC45" s="18" t="n"/>
      <c r="HD45" s="18" t="n"/>
      <c r="HE45" s="18" t="n"/>
      <c r="HF45" s="18" t="n"/>
      <c r="HG45" s="18" t="n"/>
      <c r="HH45" s="18" t="n"/>
      <c r="HI45" s="18" t="n"/>
      <c r="HJ45" s="18" t="n"/>
      <c r="HK45" s="18" t="n"/>
      <c r="HL45" s="18" t="n"/>
      <c r="HM45" s="18" t="n"/>
      <c r="HN45" s="18" t="n"/>
      <c r="HO45" s="18" t="n"/>
      <c r="HP45" s="18" t="n"/>
      <c r="HQ45" s="18" t="n"/>
      <c r="HR45" s="18" t="n"/>
      <c r="HS45" s="18" t="n"/>
      <c r="HT45" s="18" t="n"/>
      <c r="HU45" s="18" t="n"/>
      <c r="HV45" s="18" t="n"/>
      <c r="HW45" s="18" t="n"/>
      <c r="HX45" s="18" t="n"/>
      <c r="HY45" s="18" t="n"/>
      <c r="HZ45" s="18" t="n"/>
      <c r="IA45" s="18" t="n"/>
      <c r="IB45" s="18" t="n"/>
      <c r="IC45" s="18" t="n"/>
      <c r="ID45" s="18" t="n"/>
      <c r="IE45" s="18" t="n"/>
      <c r="IF45" s="18" t="n"/>
      <c r="IG45" s="18" t="n"/>
      <c r="IH45" s="18" t="n"/>
      <c r="II45" s="18" t="n"/>
      <c r="IJ45" s="18" t="n"/>
      <c r="IK45" s="18" t="n"/>
      <c r="IL45" s="18" t="n"/>
      <c r="IM45" s="18" t="n"/>
      <c r="IN45" s="18" t="n"/>
      <c r="IO45" s="18" t="n"/>
      <c r="IP45" s="18" t="n"/>
      <c r="IQ45" s="18" t="n"/>
      <c r="IR45" s="18" t="n"/>
      <c r="IS45" s="18" t="n"/>
      <c r="IT45" s="18" t="n"/>
      <c r="IU45" s="18" t="n"/>
      <c r="IV45" s="18" t="n"/>
      <c r="IW45" s="18" t="n"/>
      <c r="IX45" s="18" t="n"/>
      <c r="IY45" s="18" t="n"/>
      <c r="IZ45" s="18" t="n"/>
      <c r="JA45" s="18" t="n"/>
      <c r="JB45" s="18" t="n"/>
      <c r="JC45" s="18" t="n"/>
      <c r="JD45" s="18" t="n"/>
      <c r="JE45" s="18" t="n"/>
      <c r="JF45" s="18" t="n"/>
      <c r="JG45" s="18" t="n"/>
      <c r="JH45" s="18" t="n"/>
      <c r="JI45" s="18" t="n"/>
      <c r="JJ45" s="18" t="n"/>
      <c r="JK45" s="18" t="n"/>
      <c r="JL45" s="18" t="n"/>
      <c r="JM45" s="18" t="n"/>
      <c r="JN45" s="18" t="n"/>
      <c r="JO45" s="18" t="n"/>
      <c r="JP45" s="18" t="n"/>
      <c r="JQ45" s="18" t="n"/>
      <c r="JR45" s="18" t="n"/>
      <c r="JS45" s="18" t="n"/>
      <c r="JT45" s="18" t="n"/>
      <c r="JU45" s="18" t="n"/>
      <c r="JV45" s="18" t="n"/>
      <c r="JW45" s="18" t="n"/>
      <c r="JX45" s="18" t="n"/>
      <c r="JY45" s="18" t="n"/>
      <c r="JZ45" s="18" t="n"/>
      <c r="KA45" s="18" t="n"/>
      <c r="KB45" s="18" t="n"/>
      <c r="KC45" s="18" t="n"/>
      <c r="KD45" s="18" t="n"/>
      <c r="KE45" s="18" t="n"/>
      <c r="KF45" s="18" t="n"/>
      <c r="KG45" s="18" t="n"/>
      <c r="KH45" s="18" t="n"/>
      <c r="KI45" s="18" t="n"/>
      <c r="KJ45" s="18" t="n"/>
      <c r="KK45" s="18" t="n"/>
      <c r="KL45" s="18" t="n"/>
      <c r="KM45" s="18" t="n"/>
      <c r="KN45" s="18" t="n"/>
      <c r="KO45" s="18" t="n"/>
      <c r="KP45" s="18" t="n"/>
      <c r="KQ45" s="18" t="n"/>
      <c r="KR45" s="18" t="n"/>
      <c r="KS45" s="18" t="n"/>
      <c r="KT45" s="18" t="n"/>
      <c r="KU45" s="18" t="n"/>
      <c r="KV45" s="18" t="n"/>
      <c r="KW45" s="18" t="n"/>
      <c r="KX45" s="18" t="n"/>
      <c r="KY45" s="18" t="n"/>
      <c r="KZ45" s="18" t="n"/>
      <c r="LA45" s="18" t="n"/>
      <c r="LB45" s="18" t="n"/>
      <c r="LC45" s="18" t="n"/>
      <c r="LD45" s="18" t="n"/>
      <c r="LE45" s="18" t="n"/>
      <c r="LF45" s="18" t="n"/>
      <c r="LG45" s="18" t="n"/>
      <c r="LH45" s="18" t="n"/>
      <c r="LI45" s="18" t="n"/>
      <c r="LJ45" s="18" t="n"/>
      <c r="LK45" s="18" t="n"/>
      <c r="LL45" s="18" t="n"/>
      <c r="LM45" s="18" t="n"/>
      <c r="LN45" s="18" t="n"/>
      <c r="LO45" s="18" t="n"/>
    </row>
    <row r="46" ht="17.4" customHeight="1" s="88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48" t="n"/>
      <c r="O46" s="18" t="n"/>
      <c r="P46" s="52" t="n"/>
      <c r="Q46" s="18" t="n"/>
      <c r="R46" s="52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8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8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8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18" t="n"/>
      <c r="GI46" s="18" t="n"/>
      <c r="GJ46" s="18" t="n"/>
      <c r="GK46" s="18" t="n"/>
      <c r="GL46" s="18" t="n"/>
      <c r="GM46" s="18" t="n"/>
      <c r="GN46" s="18" t="n"/>
      <c r="GO46" s="18" t="n"/>
      <c r="GP46" s="18" t="n"/>
      <c r="GQ46" s="18" t="n"/>
      <c r="GR46" s="18" t="n"/>
      <c r="GS46" s="18" t="n"/>
      <c r="GT46" s="18" t="n"/>
      <c r="GU46" s="18" t="n"/>
      <c r="GV46" s="18" t="n"/>
      <c r="GW46" s="18" t="n"/>
      <c r="GX46" s="18" t="n"/>
      <c r="GY46" s="18" t="n"/>
      <c r="GZ46" s="18" t="n"/>
      <c r="HA46" s="18" t="n"/>
      <c r="HB46" s="18" t="n"/>
      <c r="HC46" s="18" t="n"/>
      <c r="HD46" s="18" t="n"/>
      <c r="HE46" s="18" t="n"/>
      <c r="HF46" s="18" t="n"/>
      <c r="HG46" s="18" t="n"/>
      <c r="HH46" s="18" t="n"/>
      <c r="HI46" s="18" t="n"/>
      <c r="HJ46" s="18" t="n"/>
      <c r="HK46" s="18" t="n"/>
      <c r="HL46" s="18" t="n"/>
      <c r="HM46" s="18" t="n"/>
      <c r="HN46" s="18" t="n"/>
      <c r="HO46" s="18" t="n"/>
      <c r="HP46" s="18" t="n"/>
      <c r="HQ46" s="18" t="n"/>
      <c r="HR46" s="18" t="n"/>
      <c r="HS46" s="18" t="n"/>
      <c r="HT46" s="18" t="n"/>
      <c r="HU46" s="18" t="n"/>
      <c r="HV46" s="18" t="n"/>
      <c r="HW46" s="18" t="n"/>
      <c r="HX46" s="18" t="n"/>
      <c r="HY46" s="18" t="n"/>
      <c r="HZ46" s="18" t="n"/>
      <c r="IA46" s="18" t="n"/>
      <c r="IB46" s="18" t="n"/>
      <c r="IC46" s="18" t="n"/>
      <c r="ID46" s="18" t="n"/>
      <c r="IE46" s="18" t="n"/>
      <c r="IF46" s="18" t="n"/>
      <c r="IG46" s="18" t="n"/>
      <c r="IH46" s="18" t="n"/>
      <c r="II46" s="18" t="n"/>
      <c r="IJ46" s="18" t="n"/>
      <c r="IK46" s="18" t="n"/>
      <c r="IL46" s="18" t="n"/>
      <c r="IM46" s="18" t="n"/>
      <c r="IN46" s="18" t="n"/>
      <c r="IO46" s="18" t="n"/>
      <c r="IP46" s="18" t="n"/>
      <c r="IQ46" s="18" t="n"/>
      <c r="IR46" s="18" t="n"/>
      <c r="IS46" s="18" t="n"/>
      <c r="IT46" s="18" t="n"/>
      <c r="IU46" s="18" t="n"/>
      <c r="IV46" s="18" t="n"/>
      <c r="IW46" s="18" t="n"/>
      <c r="IX46" s="18" t="n"/>
      <c r="IY46" s="18" t="n"/>
      <c r="IZ46" s="18" t="n"/>
      <c r="JA46" s="18" t="n"/>
      <c r="JB46" s="18" t="n"/>
      <c r="JC46" s="18" t="n"/>
      <c r="JD46" s="18" t="n"/>
      <c r="JE46" s="18" t="n"/>
      <c r="JF46" s="18" t="n"/>
      <c r="JG46" s="18" t="n"/>
      <c r="JH46" s="18" t="n"/>
      <c r="JI46" s="18" t="n"/>
      <c r="JJ46" s="18" t="n"/>
      <c r="JK46" s="18" t="n"/>
      <c r="JL46" s="18" t="n"/>
      <c r="JM46" s="18" t="n"/>
      <c r="JN46" s="18" t="n"/>
      <c r="JO46" s="18" t="n"/>
      <c r="JP46" s="18" t="n"/>
      <c r="JQ46" s="18" t="n"/>
      <c r="JR46" s="18" t="n"/>
      <c r="JS46" s="18" t="n"/>
      <c r="JT46" s="18" t="n"/>
      <c r="JU46" s="18" t="n"/>
      <c r="JV46" s="18" t="n"/>
      <c r="JW46" s="18" t="n"/>
      <c r="JX46" s="18" t="n"/>
      <c r="JY46" s="18" t="n"/>
      <c r="JZ46" s="18" t="n"/>
      <c r="KA46" s="18" t="n"/>
      <c r="KB46" s="18" t="n"/>
      <c r="KC46" s="18" t="n"/>
      <c r="KD46" s="18" t="n"/>
      <c r="KE46" s="18" t="n"/>
      <c r="KF46" s="18" t="n"/>
      <c r="KG46" s="18" t="n"/>
      <c r="KH46" s="18" t="n"/>
      <c r="KI46" s="18" t="n"/>
      <c r="KJ46" s="18" t="n"/>
      <c r="KK46" s="18" t="n"/>
      <c r="KL46" s="18" t="n"/>
      <c r="KM46" s="18" t="n"/>
      <c r="KN46" s="18" t="n"/>
      <c r="KO46" s="18" t="n"/>
      <c r="KP46" s="18" t="n"/>
      <c r="KQ46" s="18" t="n"/>
      <c r="KR46" s="18" t="n"/>
      <c r="KS46" s="18" t="n"/>
      <c r="KT46" s="18" t="n"/>
      <c r="KU46" s="18" t="n"/>
      <c r="KV46" s="18" t="n"/>
      <c r="KW46" s="18" t="n"/>
      <c r="KX46" s="18" t="n"/>
      <c r="KY46" s="18" t="n"/>
      <c r="KZ46" s="18" t="n"/>
      <c r="LA46" s="18" t="n"/>
      <c r="LB46" s="18" t="n"/>
      <c r="LC46" s="18" t="n"/>
      <c r="LD46" s="18" t="n"/>
      <c r="LE46" s="18" t="n"/>
      <c r="LF46" s="18" t="n"/>
      <c r="LG46" s="18" t="n"/>
      <c r="LH46" s="18" t="n"/>
      <c r="LI46" s="18" t="n"/>
      <c r="LJ46" s="18" t="n"/>
      <c r="LK46" s="18" t="n"/>
      <c r="LL46" s="18" t="n"/>
      <c r="LM46" s="18" t="n"/>
      <c r="LN46" s="18" t="n"/>
      <c r="LO46" s="18" t="n"/>
      <c r="LP46" s="18" t="n"/>
      <c r="LQ46" s="18" t="n"/>
      <c r="LR46" s="18" t="n"/>
      <c r="LS46" s="18" t="n"/>
    </row>
    <row r="47" ht="17.4" customHeight="1" s="88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48" t="n"/>
      <c r="O47" s="18" t="n"/>
      <c r="P47" s="52" t="n"/>
      <c r="Q47" s="18" t="n"/>
      <c r="R47" s="52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  <c r="DY47" s="18" t="n"/>
      <c r="DZ47" s="18" t="n"/>
      <c r="EA47" s="18" t="n"/>
      <c r="EB47" s="18" t="n"/>
      <c r="EC47" s="18" t="n"/>
      <c r="ED47" s="18" t="n"/>
      <c r="EE47" s="18" t="n"/>
      <c r="EF47" s="18" t="n"/>
      <c r="EG47" s="18" t="n"/>
      <c r="EH47" s="18" t="n"/>
      <c r="EI47" s="18" t="n"/>
      <c r="EJ47" s="18" t="n"/>
      <c r="EK47" s="18" t="n"/>
      <c r="EL47" s="18" t="n"/>
      <c r="EM47" s="18" t="n"/>
      <c r="EN47" s="18" t="n"/>
      <c r="EO47" s="18" t="n"/>
      <c r="EP47" s="18" t="n"/>
      <c r="EQ47" s="18" t="n"/>
      <c r="ER47" s="18" t="n"/>
      <c r="ES47" s="18" t="n"/>
      <c r="ET47" s="18" t="n"/>
      <c r="EU47" s="18" t="n"/>
      <c r="EV47" s="18" t="n"/>
      <c r="EW47" s="18" t="n"/>
      <c r="EX47" s="18" t="n"/>
      <c r="EY47" s="18" t="n"/>
      <c r="EZ47" s="18" t="n"/>
      <c r="FA47" s="18" t="n"/>
      <c r="FB47" s="18" t="n"/>
      <c r="FC47" s="18" t="n"/>
      <c r="FD47" s="18" t="n"/>
      <c r="FE47" s="18" t="n"/>
      <c r="FF47" s="18" t="n"/>
      <c r="FG47" s="18" t="n"/>
      <c r="FH47" s="18" t="n"/>
      <c r="FI47" s="18" t="n"/>
      <c r="FJ47" s="18" t="n"/>
      <c r="FK47" s="18" t="n"/>
      <c r="FL47" s="18" t="n"/>
      <c r="FM47" s="18" t="n"/>
      <c r="FN47" s="18" t="n"/>
      <c r="FO47" s="18" t="n"/>
      <c r="FP47" s="18" t="n"/>
      <c r="FQ47" s="18" t="n"/>
      <c r="FR47" s="18" t="n"/>
      <c r="FS47" s="18" t="n"/>
      <c r="FT47" s="18" t="n"/>
      <c r="FU47" s="18" t="n"/>
      <c r="FV47" s="18" t="n"/>
      <c r="FW47" s="18" t="n"/>
      <c r="FX47" s="18" t="n"/>
      <c r="FY47" s="18" t="n"/>
      <c r="FZ47" s="18" t="n"/>
      <c r="GA47" s="18" t="n"/>
      <c r="GB47" s="18" t="n"/>
      <c r="GC47" s="18" t="n"/>
      <c r="GD47" s="18" t="n"/>
      <c r="GE47" s="18" t="n"/>
      <c r="GF47" s="18" t="n"/>
      <c r="GG47" s="18" t="n"/>
      <c r="GH47" s="18" t="n"/>
      <c r="GI47" s="18" t="n"/>
      <c r="GJ47" s="18" t="n"/>
      <c r="GK47" s="18" t="n"/>
      <c r="GL47" s="18" t="n"/>
      <c r="GM47" s="18" t="n"/>
      <c r="GN47" s="18" t="n"/>
      <c r="GO47" s="18" t="n"/>
      <c r="GP47" s="18" t="n"/>
      <c r="GQ47" s="18" t="n"/>
      <c r="GR47" s="18" t="n"/>
      <c r="GS47" s="18" t="n"/>
      <c r="GT47" s="18" t="n"/>
      <c r="GU47" s="18" t="n"/>
      <c r="GV47" s="18" t="n"/>
      <c r="GW47" s="18" t="n"/>
      <c r="GX47" s="18" t="n"/>
      <c r="GY47" s="18" t="n"/>
      <c r="GZ47" s="18" t="n"/>
      <c r="HA47" s="18" t="n"/>
      <c r="HB47" s="18" t="n"/>
      <c r="HC47" s="18" t="n"/>
      <c r="HD47" s="18" t="n"/>
      <c r="HE47" s="18" t="n"/>
      <c r="HF47" s="18" t="n"/>
      <c r="HG47" s="18" t="n"/>
      <c r="HH47" s="18" t="n"/>
      <c r="HI47" s="18" t="n"/>
      <c r="HJ47" s="18" t="n"/>
      <c r="HK47" s="18" t="n"/>
      <c r="HL47" s="18" t="n"/>
      <c r="HM47" s="18" t="n"/>
      <c r="HN47" s="18" t="n"/>
      <c r="HO47" s="18" t="n"/>
      <c r="HP47" s="18" t="n"/>
      <c r="HQ47" s="18" t="n"/>
      <c r="HR47" s="18" t="n"/>
      <c r="HS47" s="18" t="n"/>
      <c r="HT47" s="18" t="n"/>
      <c r="HU47" s="18" t="n"/>
      <c r="HV47" s="18" t="n"/>
      <c r="HW47" s="18" t="n"/>
      <c r="HX47" s="18" t="n"/>
      <c r="HY47" s="18" t="n"/>
      <c r="HZ47" s="18" t="n"/>
      <c r="IA47" s="18" t="n"/>
      <c r="IB47" s="18" t="n"/>
      <c r="IC47" s="18" t="n"/>
      <c r="ID47" s="18" t="n"/>
      <c r="IE47" s="18" t="n"/>
      <c r="IF47" s="18" t="n"/>
      <c r="IG47" s="18" t="n"/>
      <c r="IH47" s="18" t="n"/>
      <c r="II47" s="18" t="n"/>
      <c r="IJ47" s="18" t="n"/>
      <c r="IK47" s="18" t="n"/>
      <c r="IL47" s="18" t="n"/>
      <c r="IM47" s="18" t="n"/>
      <c r="IN47" s="18" t="n"/>
      <c r="IO47" s="18" t="n"/>
      <c r="IP47" s="18" t="n"/>
      <c r="IQ47" s="18" t="n"/>
      <c r="IR47" s="18" t="n"/>
      <c r="IS47" s="18" t="n"/>
      <c r="IT47" s="18" t="n"/>
      <c r="IU47" s="18" t="n"/>
      <c r="IV47" s="18" t="n"/>
      <c r="IW47" s="18" t="n"/>
      <c r="IX47" s="18" t="n"/>
      <c r="IY47" s="18" t="n"/>
      <c r="IZ47" s="18" t="n"/>
      <c r="JA47" s="18" t="n"/>
      <c r="JB47" s="18" t="n"/>
      <c r="JC47" s="18" t="n"/>
      <c r="JD47" s="18" t="n"/>
      <c r="JE47" s="18" t="n"/>
      <c r="JF47" s="18" t="n"/>
      <c r="JG47" s="18" t="n"/>
      <c r="JH47" s="18" t="n"/>
      <c r="JI47" s="18" t="n"/>
      <c r="JJ47" s="18" t="n"/>
      <c r="JK47" s="18" t="n"/>
      <c r="JL47" s="18" t="n"/>
      <c r="JM47" s="18" t="n"/>
      <c r="JN47" s="18" t="n"/>
      <c r="JO47" s="18" t="n"/>
      <c r="JP47" s="18" t="n"/>
      <c r="JQ47" s="18" t="n"/>
      <c r="JR47" s="18" t="n"/>
      <c r="JS47" s="18" t="n"/>
      <c r="JT47" s="18" t="n"/>
      <c r="JU47" s="18" t="n"/>
      <c r="JV47" s="18" t="n"/>
      <c r="JW47" s="18" t="n"/>
      <c r="JX47" s="18" t="n"/>
      <c r="JY47" s="18" t="n"/>
      <c r="JZ47" s="18" t="n"/>
      <c r="KA47" s="18" t="n"/>
      <c r="KB47" s="18" t="n"/>
      <c r="KC47" s="18" t="n"/>
      <c r="KD47" s="18" t="n"/>
      <c r="KE47" s="18" t="n"/>
      <c r="KF47" s="18" t="n"/>
      <c r="KG47" s="18" t="n"/>
      <c r="KH47" s="18" t="n"/>
      <c r="KI47" s="18" t="n"/>
      <c r="KJ47" s="18" t="n"/>
      <c r="KK47" s="18" t="n"/>
      <c r="KL47" s="18" t="n"/>
      <c r="KM47" s="18" t="n"/>
      <c r="KN47" s="18" t="n"/>
      <c r="KO47" s="18" t="n"/>
      <c r="KP47" s="18" t="n"/>
      <c r="KQ47" s="18" t="n"/>
      <c r="KR47" s="18" t="n"/>
      <c r="KS47" s="18" t="n"/>
      <c r="KT47" s="18" t="n"/>
      <c r="KU47" s="18" t="n"/>
      <c r="KV47" s="18" t="n"/>
      <c r="KW47" s="18" t="n"/>
      <c r="KX47" s="18" t="n"/>
      <c r="KY47" s="18" t="n"/>
      <c r="KZ47" s="18" t="n"/>
      <c r="LA47" s="18" t="n"/>
      <c r="LB47" s="18" t="n"/>
      <c r="LC47" s="18" t="n"/>
      <c r="LD47" s="18" t="n"/>
      <c r="LE47" s="18" t="n"/>
      <c r="LF47" s="18" t="n"/>
      <c r="LG47" s="18" t="n"/>
      <c r="LH47" s="18" t="n"/>
      <c r="LI47" s="18" t="n"/>
      <c r="LJ47" s="18" t="n"/>
      <c r="LK47" s="18" t="n"/>
      <c r="LL47" s="18" t="n"/>
      <c r="LM47" s="18" t="n"/>
      <c r="LN47" s="18" t="n"/>
      <c r="LO47" s="18" t="n"/>
      <c r="LP47" s="18" t="n"/>
      <c r="LQ47" s="18" t="n"/>
      <c r="LR47" s="18" t="n"/>
      <c r="LS47" s="18" t="n"/>
      <c r="LT47" s="18" t="n"/>
      <c r="LU47" s="18" t="n"/>
      <c r="LV47" s="18" t="n"/>
      <c r="LW47" s="18" t="n"/>
    </row>
    <row r="48" ht="17.4" customHeight="1" s="8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48" t="n"/>
      <c r="O48" s="18" t="n"/>
      <c r="P48" s="52" t="n"/>
      <c r="Q48" s="18" t="n"/>
      <c r="R48" s="52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  <c r="DY48" s="18" t="n"/>
      <c r="DZ48" s="18" t="n"/>
      <c r="EA48" s="18" t="n"/>
      <c r="EB48" s="18" t="n"/>
      <c r="EC48" s="18" t="n"/>
      <c r="ED48" s="18" t="n"/>
      <c r="EE48" s="18" t="n"/>
      <c r="EF48" s="18" t="n"/>
      <c r="EG48" s="18" t="n"/>
      <c r="EH48" s="18" t="n"/>
      <c r="EI48" s="18" t="n"/>
      <c r="EJ48" s="18" t="n"/>
      <c r="EK48" s="18" t="n"/>
      <c r="EL48" s="18" t="n"/>
      <c r="EM48" s="18" t="n"/>
      <c r="EN48" s="18" t="n"/>
      <c r="EO48" s="18" t="n"/>
      <c r="EP48" s="18" t="n"/>
      <c r="EQ48" s="18" t="n"/>
      <c r="ER48" s="18" t="n"/>
      <c r="ES48" s="18" t="n"/>
      <c r="ET48" s="18" t="n"/>
      <c r="EU48" s="18" t="n"/>
      <c r="EV48" s="18" t="n"/>
      <c r="EW48" s="18" t="n"/>
      <c r="EX48" s="18" t="n"/>
      <c r="EY48" s="18" t="n"/>
      <c r="EZ48" s="18" t="n"/>
      <c r="FA48" s="18" t="n"/>
      <c r="FB48" s="18" t="n"/>
      <c r="FC48" s="18" t="n"/>
      <c r="FD48" s="18" t="n"/>
      <c r="FE48" s="18" t="n"/>
      <c r="FF48" s="18" t="n"/>
      <c r="FG48" s="18" t="n"/>
      <c r="FH48" s="18" t="n"/>
      <c r="FI48" s="18" t="n"/>
      <c r="FJ48" s="18" t="n"/>
      <c r="FK48" s="18" t="n"/>
      <c r="FL48" s="18" t="n"/>
      <c r="FM48" s="18" t="n"/>
      <c r="FN48" s="18" t="n"/>
      <c r="FO48" s="18" t="n"/>
      <c r="FP48" s="18" t="n"/>
      <c r="FQ48" s="18" t="n"/>
      <c r="FR48" s="18" t="n"/>
      <c r="FS48" s="18" t="n"/>
      <c r="FT48" s="18" t="n"/>
      <c r="FU48" s="18" t="n"/>
      <c r="FV48" s="18" t="n"/>
      <c r="FW48" s="18" t="n"/>
      <c r="FX48" s="18" t="n"/>
      <c r="FY48" s="18" t="n"/>
      <c r="FZ48" s="18" t="n"/>
      <c r="GA48" s="18" t="n"/>
      <c r="GB48" s="18" t="n"/>
      <c r="GC48" s="18" t="n"/>
      <c r="GD48" s="18" t="n"/>
      <c r="GE48" s="18" t="n"/>
      <c r="GF48" s="18" t="n"/>
      <c r="GG48" s="18" t="n"/>
      <c r="GH48" s="18" t="n"/>
      <c r="GI48" s="18" t="n"/>
      <c r="GJ48" s="18" t="n"/>
      <c r="GK48" s="18" t="n"/>
      <c r="GL48" s="18" t="n"/>
      <c r="GM48" s="18" t="n"/>
      <c r="GN48" s="18" t="n"/>
      <c r="GO48" s="18" t="n"/>
      <c r="GP48" s="18" t="n"/>
      <c r="GQ48" s="18" t="n"/>
      <c r="GR48" s="18" t="n"/>
      <c r="GS48" s="18" t="n"/>
      <c r="GT48" s="18" t="n"/>
      <c r="GU48" s="18" t="n"/>
      <c r="GV48" s="18" t="n"/>
      <c r="GW48" s="18" t="n"/>
      <c r="GX48" s="18" t="n"/>
      <c r="GY48" s="18" t="n"/>
      <c r="GZ48" s="18" t="n"/>
      <c r="HA48" s="18" t="n"/>
      <c r="HB48" s="18" t="n"/>
      <c r="HC48" s="18" t="n"/>
      <c r="HD48" s="18" t="n"/>
      <c r="HE48" s="18" t="n"/>
      <c r="HF48" s="18" t="n"/>
      <c r="HG48" s="18" t="n"/>
      <c r="HH48" s="18" t="n"/>
      <c r="HI48" s="18" t="n"/>
      <c r="HJ48" s="18" t="n"/>
      <c r="HK48" s="18" t="n"/>
      <c r="HL48" s="18" t="n"/>
      <c r="HM48" s="18" t="n"/>
      <c r="HN48" s="18" t="n"/>
      <c r="HO48" s="18" t="n"/>
      <c r="HP48" s="18" t="n"/>
      <c r="HQ48" s="18" t="n"/>
      <c r="HR48" s="18" t="n"/>
      <c r="HS48" s="18" t="n"/>
      <c r="HT48" s="18" t="n"/>
      <c r="HU48" s="18" t="n"/>
      <c r="HV48" s="18" t="n"/>
      <c r="HW48" s="18" t="n"/>
      <c r="HX48" s="18" t="n"/>
      <c r="HY48" s="18" t="n"/>
      <c r="HZ48" s="18" t="n"/>
      <c r="IA48" s="18" t="n"/>
      <c r="IB48" s="18" t="n"/>
      <c r="IC48" s="18" t="n"/>
      <c r="ID48" s="18" t="n"/>
      <c r="IE48" s="18" t="n"/>
      <c r="IF48" s="18" t="n"/>
      <c r="IG48" s="18" t="n"/>
      <c r="IH48" s="18" t="n"/>
      <c r="II48" s="18" t="n"/>
      <c r="IJ48" s="18" t="n"/>
      <c r="IK48" s="18" t="n"/>
      <c r="IL48" s="18" t="n"/>
      <c r="IM48" s="18" t="n"/>
      <c r="IN48" s="18" t="n"/>
      <c r="IO48" s="18" t="n"/>
      <c r="IP48" s="18" t="n"/>
      <c r="IQ48" s="18" t="n"/>
      <c r="IR48" s="18" t="n"/>
      <c r="IS48" s="18" t="n"/>
      <c r="IT48" s="18" t="n"/>
      <c r="IU48" s="18" t="n"/>
      <c r="IV48" s="18" t="n"/>
      <c r="IW48" s="18" t="n"/>
      <c r="IX48" s="18" t="n"/>
      <c r="IY48" s="18" t="n"/>
      <c r="IZ48" s="18" t="n"/>
      <c r="JA48" s="18" t="n"/>
      <c r="JB48" s="18" t="n"/>
      <c r="JC48" s="18" t="n"/>
      <c r="JD48" s="18" t="n"/>
      <c r="JE48" s="18" t="n"/>
      <c r="JF48" s="18" t="n"/>
      <c r="JG48" s="18" t="n"/>
      <c r="JH48" s="18" t="n"/>
      <c r="JI48" s="18" t="n"/>
      <c r="JJ48" s="18" t="n"/>
      <c r="JK48" s="18" t="n"/>
      <c r="JL48" s="18" t="n"/>
      <c r="JM48" s="18" t="n"/>
      <c r="JN48" s="18" t="n"/>
      <c r="JO48" s="18" t="n"/>
      <c r="JP48" s="18" t="n"/>
      <c r="JQ48" s="18" t="n"/>
      <c r="JR48" s="18" t="n"/>
      <c r="JS48" s="18" t="n"/>
      <c r="JT48" s="18" t="n"/>
      <c r="JU48" s="18" t="n"/>
      <c r="JV48" s="18" t="n"/>
      <c r="JW48" s="18" t="n"/>
      <c r="JX48" s="18" t="n"/>
      <c r="JY48" s="18" t="n"/>
      <c r="JZ48" s="18" t="n"/>
      <c r="KA48" s="18" t="n"/>
      <c r="KB48" s="18" t="n"/>
      <c r="KC48" s="18" t="n"/>
      <c r="KD48" s="18" t="n"/>
      <c r="KE48" s="18" t="n"/>
      <c r="KF48" s="18" t="n"/>
      <c r="KG48" s="18" t="n"/>
      <c r="KH48" s="18" t="n"/>
      <c r="KI48" s="18" t="n"/>
      <c r="KJ48" s="18" t="n"/>
      <c r="KK48" s="18" t="n"/>
      <c r="KL48" s="18" t="n"/>
      <c r="KM48" s="18" t="n"/>
      <c r="KN48" s="18" t="n"/>
      <c r="KO48" s="18" t="n"/>
      <c r="KP48" s="18" t="n"/>
      <c r="KQ48" s="18" t="n"/>
      <c r="KR48" s="18" t="n"/>
      <c r="KS48" s="18" t="n"/>
      <c r="KT48" s="18" t="n"/>
      <c r="KU48" s="18" t="n"/>
      <c r="KV48" s="18" t="n"/>
      <c r="KW48" s="18" t="n"/>
      <c r="KX48" s="18" t="n"/>
      <c r="KY48" s="18" t="n"/>
      <c r="KZ48" s="18" t="n"/>
      <c r="LA48" s="18" t="n"/>
      <c r="LB48" s="18" t="n"/>
      <c r="LC48" s="18" t="n"/>
      <c r="LD48" s="18" t="n"/>
      <c r="LE48" s="18" t="n"/>
      <c r="LF48" s="18" t="n"/>
      <c r="LG48" s="18" t="n"/>
      <c r="LH48" s="18" t="n"/>
      <c r="LI48" s="18" t="n"/>
      <c r="LJ48" s="18" t="n"/>
      <c r="LK48" s="18" t="n"/>
      <c r="LL48" s="18" t="n"/>
      <c r="LM48" s="18" t="n"/>
      <c r="LN48" s="18" t="n"/>
      <c r="LO48" s="18" t="n"/>
      <c r="LP48" s="18" t="n"/>
      <c r="LQ48" s="18" t="n"/>
      <c r="LR48" s="18" t="n"/>
      <c r="LS48" s="18" t="n"/>
      <c r="LT48" s="18" t="n"/>
      <c r="LU48" s="18" t="n"/>
      <c r="LV48" s="18" t="n"/>
      <c r="LW48" s="18" t="n"/>
      <c r="LX48" s="18" t="n"/>
      <c r="LY48" s="18" t="n"/>
      <c r="LZ48" s="18" t="n"/>
      <c r="MA48" s="18" t="n"/>
    </row>
    <row r="49" ht="17.4" customHeight="1" s="88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48" t="n"/>
      <c r="O49" s="18" t="n"/>
      <c r="P49" s="52" t="n"/>
      <c r="Q49" s="18" t="n"/>
      <c r="R49" s="52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  <c r="DY49" s="18" t="n"/>
      <c r="DZ49" s="18" t="n"/>
      <c r="EA49" s="18" t="n"/>
      <c r="EB49" s="18" t="n"/>
      <c r="EC49" s="18" t="n"/>
      <c r="ED49" s="18" t="n"/>
      <c r="EE49" s="18" t="n"/>
      <c r="EF49" s="18" t="n"/>
      <c r="EG49" s="18" t="n"/>
      <c r="EH49" s="18" t="n"/>
      <c r="EI49" s="18" t="n"/>
      <c r="EJ49" s="18" t="n"/>
      <c r="EK49" s="18" t="n"/>
      <c r="EL49" s="18" t="n"/>
      <c r="EM49" s="18" t="n"/>
      <c r="EN49" s="18" t="n"/>
      <c r="EO49" s="18" t="n"/>
      <c r="EP49" s="18" t="n"/>
      <c r="EQ49" s="18" t="n"/>
      <c r="ER49" s="18" t="n"/>
      <c r="ES49" s="18" t="n"/>
      <c r="ET49" s="18" t="n"/>
      <c r="EU49" s="18" t="n"/>
      <c r="EV49" s="18" t="n"/>
      <c r="EW49" s="18" t="n"/>
      <c r="EX49" s="18" t="n"/>
      <c r="EY49" s="18" t="n"/>
      <c r="EZ49" s="18" t="n"/>
      <c r="FA49" s="18" t="n"/>
      <c r="FB49" s="18" t="n"/>
      <c r="FC49" s="18" t="n"/>
      <c r="FD49" s="18" t="n"/>
      <c r="FE49" s="18" t="n"/>
      <c r="FF49" s="18" t="n"/>
      <c r="FG49" s="18" t="n"/>
      <c r="FH49" s="18" t="n"/>
      <c r="FI49" s="18" t="n"/>
      <c r="FJ49" s="18" t="n"/>
      <c r="FK49" s="18" t="n"/>
      <c r="FL49" s="18" t="n"/>
      <c r="FM49" s="18" t="n"/>
      <c r="FN49" s="18" t="n"/>
      <c r="FO49" s="18" t="n"/>
      <c r="FP49" s="18" t="n"/>
      <c r="FQ49" s="18" t="n"/>
      <c r="FR49" s="18" t="n"/>
      <c r="FS49" s="18" t="n"/>
      <c r="FT49" s="18" t="n"/>
      <c r="FU49" s="18" t="n"/>
      <c r="FV49" s="18" t="n"/>
      <c r="FW49" s="18" t="n"/>
      <c r="FX49" s="18" t="n"/>
      <c r="FY49" s="18" t="n"/>
      <c r="FZ49" s="18" t="n"/>
      <c r="GA49" s="18" t="n"/>
      <c r="GB49" s="18" t="n"/>
      <c r="GC49" s="18" t="n"/>
      <c r="GD49" s="18" t="n"/>
      <c r="GE49" s="18" t="n"/>
      <c r="GF49" s="18" t="n"/>
      <c r="GG49" s="18" t="n"/>
      <c r="GH49" s="18" t="n"/>
      <c r="GI49" s="18" t="n"/>
      <c r="GJ49" s="18" t="n"/>
      <c r="GK49" s="18" t="n"/>
      <c r="GL49" s="18" t="n"/>
      <c r="GM49" s="18" t="n"/>
      <c r="GN49" s="18" t="n"/>
      <c r="GO49" s="18" t="n"/>
      <c r="GP49" s="18" t="n"/>
      <c r="GQ49" s="18" t="n"/>
      <c r="GR49" s="18" t="n"/>
      <c r="GS49" s="18" t="n"/>
      <c r="GT49" s="18" t="n"/>
      <c r="GU49" s="18" t="n"/>
      <c r="GV49" s="18" t="n"/>
      <c r="GW49" s="18" t="n"/>
      <c r="GX49" s="18" t="n"/>
      <c r="GY49" s="18" t="n"/>
      <c r="GZ49" s="18" t="n"/>
      <c r="HA49" s="18" t="n"/>
      <c r="HB49" s="18" t="n"/>
      <c r="HC49" s="18" t="n"/>
      <c r="HD49" s="18" t="n"/>
      <c r="HE49" s="18" t="n"/>
      <c r="HF49" s="18" t="n"/>
      <c r="HG49" s="18" t="n"/>
      <c r="HH49" s="18" t="n"/>
      <c r="HI49" s="18" t="n"/>
      <c r="HJ49" s="18" t="n"/>
      <c r="HK49" s="18" t="n"/>
      <c r="HL49" s="18" t="n"/>
      <c r="HM49" s="18" t="n"/>
      <c r="HN49" s="18" t="n"/>
      <c r="HO49" s="18" t="n"/>
      <c r="HP49" s="18" t="n"/>
      <c r="HQ49" s="18" t="n"/>
      <c r="HR49" s="18" t="n"/>
      <c r="HS49" s="18" t="n"/>
      <c r="HT49" s="18" t="n"/>
      <c r="HU49" s="18" t="n"/>
      <c r="HV49" s="18" t="n"/>
      <c r="HW49" s="18" t="n"/>
      <c r="HX49" s="18" t="n"/>
      <c r="HY49" s="18" t="n"/>
      <c r="HZ49" s="18" t="n"/>
      <c r="IA49" s="18" t="n"/>
      <c r="IB49" s="18" t="n"/>
      <c r="IC49" s="18" t="n"/>
      <c r="ID49" s="18" t="n"/>
      <c r="IE49" s="18" t="n"/>
      <c r="IF49" s="18" t="n"/>
      <c r="IG49" s="18" t="n"/>
      <c r="IH49" s="18" t="n"/>
      <c r="II49" s="18" t="n"/>
      <c r="IJ49" s="18" t="n"/>
      <c r="IK49" s="18" t="n"/>
      <c r="IL49" s="18" t="n"/>
      <c r="IM49" s="18" t="n"/>
      <c r="IN49" s="18" t="n"/>
      <c r="IO49" s="18" t="n"/>
      <c r="IP49" s="18" t="n"/>
      <c r="IQ49" s="18" t="n"/>
      <c r="IR49" s="18" t="n"/>
      <c r="IS49" s="18" t="n"/>
      <c r="IT49" s="18" t="n"/>
      <c r="IU49" s="18" t="n"/>
      <c r="IV49" s="18" t="n"/>
      <c r="IW49" s="18" t="n"/>
      <c r="IX49" s="18" t="n"/>
      <c r="IY49" s="18" t="n"/>
      <c r="IZ49" s="18" t="n"/>
      <c r="JA49" s="18" t="n"/>
      <c r="JB49" s="18" t="n"/>
      <c r="JC49" s="18" t="n"/>
      <c r="JD49" s="18" t="n"/>
      <c r="JE49" s="18" t="n"/>
      <c r="JF49" s="18" t="n"/>
      <c r="JG49" s="18" t="n"/>
      <c r="JH49" s="18" t="n"/>
      <c r="JI49" s="18" t="n"/>
      <c r="JJ49" s="18" t="n"/>
      <c r="JK49" s="18" t="n"/>
      <c r="JL49" s="18" t="n"/>
      <c r="JM49" s="18" t="n"/>
      <c r="JN49" s="18" t="n"/>
      <c r="JO49" s="18" t="n"/>
      <c r="JP49" s="18" t="n"/>
      <c r="JQ49" s="18" t="n"/>
      <c r="JR49" s="18" t="n"/>
      <c r="JS49" s="18" t="n"/>
      <c r="JT49" s="18" t="n"/>
      <c r="JU49" s="18" t="n"/>
      <c r="JV49" s="18" t="n"/>
      <c r="JW49" s="18" t="n"/>
      <c r="JX49" s="18" t="n"/>
      <c r="JY49" s="18" t="n"/>
      <c r="JZ49" s="18" t="n"/>
      <c r="KA49" s="18" t="n"/>
      <c r="KB49" s="18" t="n"/>
      <c r="KC49" s="18" t="n"/>
      <c r="KD49" s="18" t="n"/>
      <c r="KE49" s="18" t="n"/>
      <c r="KF49" s="18" t="n"/>
      <c r="KG49" s="18" t="n"/>
      <c r="KH49" s="18" t="n"/>
      <c r="KI49" s="18" t="n"/>
      <c r="KJ49" s="18" t="n"/>
      <c r="KK49" s="18" t="n"/>
      <c r="KL49" s="18" t="n"/>
      <c r="KM49" s="18" t="n"/>
      <c r="KN49" s="18" t="n"/>
      <c r="KO49" s="18" t="n"/>
      <c r="KP49" s="18" t="n"/>
      <c r="KQ49" s="18" t="n"/>
      <c r="KR49" s="18" t="n"/>
      <c r="KS49" s="18" t="n"/>
      <c r="KT49" s="18" t="n"/>
      <c r="KU49" s="18" t="n"/>
      <c r="KV49" s="18" t="n"/>
      <c r="KW49" s="18" t="n"/>
      <c r="KX49" s="18" t="n"/>
      <c r="KY49" s="18" t="n"/>
      <c r="KZ49" s="18" t="n"/>
      <c r="LA49" s="18" t="n"/>
      <c r="LB49" s="18" t="n"/>
      <c r="LC49" s="18" t="n"/>
      <c r="LD49" s="18" t="n"/>
      <c r="LE49" s="18" t="n"/>
      <c r="LF49" s="18" t="n"/>
      <c r="LG49" s="18" t="n"/>
      <c r="LH49" s="18" t="n"/>
      <c r="LI49" s="18" t="n"/>
      <c r="LJ49" s="18" t="n"/>
      <c r="LK49" s="18" t="n"/>
      <c r="LL49" s="18" t="n"/>
      <c r="LM49" s="18" t="n"/>
      <c r="LN49" s="18" t="n"/>
      <c r="LO49" s="18" t="n"/>
      <c r="LP49" s="18" t="n"/>
      <c r="LQ49" s="18" t="n"/>
      <c r="LR49" s="18" t="n"/>
      <c r="LS49" s="18" t="n"/>
      <c r="LT49" s="18" t="n"/>
      <c r="LU49" s="18" t="n"/>
      <c r="LV49" s="18" t="n"/>
      <c r="LW49" s="18" t="n"/>
      <c r="LX49" s="18" t="n"/>
      <c r="LY49" s="18" t="n"/>
      <c r="LZ49" s="18" t="n"/>
      <c r="MA49" s="18" t="n"/>
      <c r="MB49" s="18" t="n"/>
      <c r="MC49" s="18" t="n"/>
      <c r="MD49" s="18" t="n"/>
      <c r="ME49" s="18" t="n"/>
    </row>
    <row r="50" ht="17.4" customHeight="1" s="88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48" t="n"/>
      <c r="O50" s="18" t="n"/>
      <c r="P50" s="52" t="n"/>
      <c r="Q50" s="18" t="n"/>
      <c r="R50" s="52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  <c r="DY50" s="18" t="n"/>
      <c r="DZ50" s="18" t="n"/>
      <c r="EA50" s="18" t="n"/>
      <c r="EB50" s="18" t="n"/>
      <c r="EC50" s="18" t="n"/>
      <c r="ED50" s="18" t="n"/>
      <c r="EE50" s="18" t="n"/>
      <c r="EF50" s="18" t="n"/>
      <c r="EG50" s="18" t="n"/>
      <c r="EH50" s="18" t="n"/>
      <c r="EI50" s="18" t="n"/>
      <c r="EJ50" s="18" t="n"/>
      <c r="EK50" s="18" t="n"/>
      <c r="EL50" s="18" t="n"/>
      <c r="EM50" s="18" t="n"/>
      <c r="EN50" s="18" t="n"/>
      <c r="EO50" s="18" t="n"/>
      <c r="EP50" s="18" t="n"/>
      <c r="EQ50" s="18" t="n"/>
      <c r="ER50" s="18" t="n"/>
      <c r="ES50" s="18" t="n"/>
      <c r="ET50" s="18" t="n"/>
      <c r="EU50" s="18" t="n"/>
      <c r="EV50" s="18" t="n"/>
      <c r="EW50" s="18" t="n"/>
      <c r="EX50" s="18" t="n"/>
      <c r="EY50" s="18" t="n"/>
      <c r="EZ50" s="18" t="n"/>
      <c r="FA50" s="18" t="n"/>
      <c r="FB50" s="18" t="n"/>
      <c r="FC50" s="18" t="n"/>
      <c r="FD50" s="18" t="n"/>
      <c r="FE50" s="18" t="n"/>
      <c r="FF50" s="18" t="n"/>
      <c r="FG50" s="18" t="n"/>
      <c r="FH50" s="18" t="n"/>
      <c r="FI50" s="18" t="n"/>
      <c r="FJ50" s="18" t="n"/>
      <c r="FK50" s="18" t="n"/>
      <c r="FL50" s="18" t="n"/>
      <c r="FM50" s="18" t="n"/>
      <c r="FN50" s="18" t="n"/>
      <c r="FO50" s="18" t="n"/>
      <c r="FP50" s="18" t="n"/>
      <c r="FQ50" s="18" t="n"/>
      <c r="FR50" s="18" t="n"/>
      <c r="FS50" s="18" t="n"/>
      <c r="FT50" s="18" t="n"/>
      <c r="FU50" s="18" t="n"/>
      <c r="FV50" s="18" t="n"/>
      <c r="FW50" s="18" t="n"/>
      <c r="FX50" s="18" t="n"/>
      <c r="FY50" s="18" t="n"/>
      <c r="FZ50" s="18" t="n"/>
      <c r="GA50" s="18" t="n"/>
      <c r="GB50" s="18" t="n"/>
      <c r="GC50" s="18" t="n"/>
      <c r="GD50" s="18" t="n"/>
      <c r="GE50" s="18" t="n"/>
      <c r="GF50" s="18" t="n"/>
      <c r="GG50" s="18" t="n"/>
      <c r="GH50" s="18" t="n"/>
      <c r="GI50" s="18" t="n"/>
      <c r="GJ50" s="18" t="n"/>
      <c r="GK50" s="18" t="n"/>
      <c r="GL50" s="18" t="n"/>
      <c r="GM50" s="18" t="n"/>
      <c r="GN50" s="18" t="n"/>
      <c r="GO50" s="18" t="n"/>
      <c r="GP50" s="18" t="n"/>
      <c r="GQ50" s="18" t="n"/>
      <c r="GR50" s="18" t="n"/>
      <c r="GS50" s="18" t="n"/>
      <c r="GT50" s="18" t="n"/>
      <c r="GU50" s="18" t="n"/>
      <c r="GV50" s="18" t="n"/>
      <c r="GW50" s="18" t="n"/>
      <c r="GX50" s="18" t="n"/>
      <c r="GY50" s="18" t="n"/>
      <c r="GZ50" s="18" t="n"/>
      <c r="HA50" s="18" t="n"/>
      <c r="HB50" s="18" t="n"/>
      <c r="HC50" s="18" t="n"/>
      <c r="HD50" s="18" t="n"/>
      <c r="HE50" s="18" t="n"/>
      <c r="HF50" s="18" t="n"/>
      <c r="HG50" s="18" t="n"/>
      <c r="HH50" s="18" t="n"/>
      <c r="HI50" s="18" t="n"/>
      <c r="HJ50" s="18" t="n"/>
      <c r="HK50" s="18" t="n"/>
      <c r="HL50" s="18" t="n"/>
      <c r="HM50" s="18" t="n"/>
      <c r="HN50" s="18" t="n"/>
      <c r="HO50" s="18" t="n"/>
      <c r="HP50" s="18" t="n"/>
      <c r="HQ50" s="18" t="n"/>
      <c r="HR50" s="18" t="n"/>
      <c r="HS50" s="18" t="n"/>
      <c r="HT50" s="18" t="n"/>
      <c r="HU50" s="18" t="n"/>
      <c r="HV50" s="18" t="n"/>
      <c r="HW50" s="18" t="n"/>
      <c r="HX50" s="18" t="n"/>
      <c r="HY50" s="18" t="n"/>
      <c r="HZ50" s="18" t="n"/>
      <c r="IA50" s="18" t="n"/>
      <c r="IB50" s="18" t="n"/>
      <c r="IC50" s="18" t="n"/>
      <c r="ID50" s="18" t="n"/>
      <c r="IE50" s="18" t="n"/>
      <c r="IF50" s="18" t="n"/>
      <c r="IG50" s="18" t="n"/>
      <c r="IH50" s="18" t="n"/>
      <c r="II50" s="18" t="n"/>
      <c r="IJ50" s="18" t="n"/>
      <c r="IK50" s="18" t="n"/>
      <c r="IL50" s="18" t="n"/>
      <c r="IM50" s="18" t="n"/>
      <c r="IN50" s="18" t="n"/>
      <c r="IO50" s="18" t="n"/>
      <c r="IP50" s="18" t="n"/>
      <c r="IQ50" s="18" t="n"/>
      <c r="IR50" s="18" t="n"/>
      <c r="IS50" s="18" t="n"/>
      <c r="IT50" s="18" t="n"/>
      <c r="IU50" s="18" t="n"/>
      <c r="IV50" s="18" t="n"/>
      <c r="IW50" s="18" t="n"/>
      <c r="IX50" s="18" t="n"/>
      <c r="IY50" s="18" t="n"/>
      <c r="IZ50" s="18" t="n"/>
      <c r="JA50" s="18" t="n"/>
      <c r="JB50" s="18" t="n"/>
      <c r="JC50" s="18" t="n"/>
      <c r="JD50" s="18" t="n"/>
      <c r="JE50" s="18" t="n"/>
      <c r="JF50" s="18" t="n"/>
      <c r="JG50" s="18" t="n"/>
      <c r="JH50" s="18" t="n"/>
      <c r="JI50" s="18" t="n"/>
      <c r="JJ50" s="18" t="n"/>
      <c r="JK50" s="18" t="n"/>
      <c r="JL50" s="18" t="n"/>
      <c r="JM50" s="18" t="n"/>
      <c r="JN50" s="18" t="n"/>
      <c r="JO50" s="18" t="n"/>
      <c r="JP50" s="18" t="n"/>
      <c r="JQ50" s="18" t="n"/>
      <c r="JR50" s="18" t="n"/>
      <c r="JS50" s="18" t="n"/>
      <c r="JT50" s="18" t="n"/>
      <c r="JU50" s="18" t="n"/>
      <c r="JV50" s="18" t="n"/>
      <c r="JW50" s="18" t="n"/>
      <c r="JX50" s="18" t="n"/>
      <c r="JY50" s="18" t="n"/>
      <c r="JZ50" s="18" t="n"/>
      <c r="KA50" s="18" t="n"/>
      <c r="KB50" s="18" t="n"/>
      <c r="KC50" s="18" t="n"/>
      <c r="KD50" s="18" t="n"/>
      <c r="KE50" s="18" t="n"/>
      <c r="KF50" s="18" t="n"/>
      <c r="KG50" s="18" t="n"/>
      <c r="KH50" s="18" t="n"/>
      <c r="KI50" s="18" t="n"/>
      <c r="KJ50" s="18" t="n"/>
      <c r="KK50" s="18" t="n"/>
      <c r="KL50" s="18" t="n"/>
      <c r="KM50" s="18" t="n"/>
      <c r="KN50" s="18" t="n"/>
      <c r="KO50" s="18" t="n"/>
      <c r="KP50" s="18" t="n"/>
      <c r="KQ50" s="18" t="n"/>
      <c r="KR50" s="18" t="n"/>
      <c r="KS50" s="18" t="n"/>
      <c r="KT50" s="18" t="n"/>
      <c r="KU50" s="18" t="n"/>
      <c r="KV50" s="18" t="n"/>
      <c r="KW50" s="18" t="n"/>
      <c r="KX50" s="18" t="n"/>
      <c r="KY50" s="18" t="n"/>
      <c r="KZ50" s="18" t="n"/>
      <c r="LA50" s="18" t="n"/>
      <c r="LB50" s="18" t="n"/>
      <c r="LC50" s="18" t="n"/>
      <c r="LD50" s="18" t="n"/>
      <c r="LE50" s="18" t="n"/>
      <c r="LF50" s="18" t="n"/>
      <c r="LG50" s="18" t="n"/>
      <c r="LH50" s="18" t="n"/>
      <c r="LI50" s="18" t="n"/>
      <c r="LJ50" s="18" t="n"/>
      <c r="LK50" s="18" t="n"/>
      <c r="LL50" s="18" t="n"/>
      <c r="LM50" s="18" t="n"/>
      <c r="LN50" s="18" t="n"/>
      <c r="LO50" s="18" t="n"/>
      <c r="LP50" s="18" t="n"/>
      <c r="LQ50" s="18" t="n"/>
      <c r="LR50" s="18" t="n"/>
      <c r="LS50" s="18" t="n"/>
      <c r="LT50" s="18" t="n"/>
      <c r="LU50" s="18" t="n"/>
      <c r="LV50" s="18" t="n"/>
      <c r="LW50" s="18" t="n"/>
      <c r="LX50" s="18" t="n"/>
      <c r="LY50" s="18" t="n"/>
      <c r="LZ50" s="18" t="n"/>
      <c r="MA50" s="18" t="n"/>
      <c r="MB50" s="18" t="n"/>
      <c r="MC50" s="18" t="n"/>
      <c r="MD50" s="18" t="n"/>
      <c r="ME50" s="18" t="n"/>
      <c r="MF50" s="18" t="n"/>
      <c r="MG50" s="18" t="n"/>
      <c r="MH50" s="18" t="n"/>
      <c r="MI50" s="18" t="n"/>
    </row>
    <row r="51" ht="17.4" customHeight="1" s="88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48" t="n"/>
      <c r="O51" s="18" t="n"/>
      <c r="P51" s="52" t="n"/>
      <c r="Q51" s="18" t="n"/>
      <c r="R51" s="52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  <c r="DY51" s="18" t="n"/>
      <c r="DZ51" s="18" t="n"/>
      <c r="EA51" s="18" t="n"/>
      <c r="EB51" s="18" t="n"/>
      <c r="EC51" s="18" t="n"/>
      <c r="ED51" s="18" t="n"/>
      <c r="EE51" s="18" t="n"/>
      <c r="EF51" s="18" t="n"/>
      <c r="EG51" s="18" t="n"/>
      <c r="EH51" s="18" t="n"/>
      <c r="EI51" s="18" t="n"/>
      <c r="EJ51" s="18" t="n"/>
      <c r="EK51" s="18" t="n"/>
      <c r="EL51" s="18" t="n"/>
      <c r="EM51" s="18" t="n"/>
      <c r="EN51" s="18" t="n"/>
      <c r="EO51" s="18" t="n"/>
      <c r="EP51" s="18" t="n"/>
      <c r="EQ51" s="18" t="n"/>
      <c r="ER51" s="18" t="n"/>
      <c r="ES51" s="18" t="n"/>
      <c r="ET51" s="18" t="n"/>
      <c r="EU51" s="18" t="n"/>
      <c r="EV51" s="18" t="n"/>
      <c r="EW51" s="18" t="n"/>
      <c r="EX51" s="18" t="n"/>
      <c r="EY51" s="18" t="n"/>
      <c r="EZ51" s="18" t="n"/>
      <c r="FA51" s="18" t="n"/>
      <c r="FB51" s="18" t="n"/>
      <c r="FC51" s="18" t="n"/>
      <c r="FD51" s="18" t="n"/>
      <c r="FE51" s="18" t="n"/>
      <c r="FF51" s="18" t="n"/>
      <c r="FG51" s="18" t="n"/>
      <c r="FH51" s="18" t="n"/>
      <c r="FI51" s="18" t="n"/>
      <c r="FJ51" s="18" t="n"/>
      <c r="FK51" s="18" t="n"/>
      <c r="FL51" s="18" t="n"/>
      <c r="FM51" s="18" t="n"/>
      <c r="FN51" s="18" t="n"/>
      <c r="FO51" s="18" t="n"/>
      <c r="FP51" s="18" t="n"/>
      <c r="FQ51" s="18" t="n"/>
      <c r="FR51" s="18" t="n"/>
      <c r="FS51" s="18" t="n"/>
      <c r="FT51" s="18" t="n"/>
      <c r="FU51" s="18" t="n"/>
      <c r="FV51" s="18" t="n"/>
      <c r="FW51" s="18" t="n"/>
      <c r="FX51" s="18" t="n"/>
      <c r="FY51" s="18" t="n"/>
      <c r="FZ51" s="18" t="n"/>
      <c r="GA51" s="18" t="n"/>
      <c r="GB51" s="18" t="n"/>
      <c r="GC51" s="18" t="n"/>
      <c r="GD51" s="18" t="n"/>
      <c r="GE51" s="18" t="n"/>
      <c r="GF51" s="18" t="n"/>
      <c r="GG51" s="18" t="n"/>
      <c r="GH51" s="18" t="n"/>
      <c r="GI51" s="18" t="n"/>
      <c r="GJ51" s="18" t="n"/>
      <c r="GK51" s="18" t="n"/>
      <c r="GL51" s="18" t="n"/>
      <c r="GM51" s="18" t="n"/>
      <c r="GN51" s="18" t="n"/>
      <c r="GO51" s="18" t="n"/>
      <c r="GP51" s="18" t="n"/>
      <c r="GQ51" s="18" t="n"/>
      <c r="GR51" s="18" t="n"/>
      <c r="GS51" s="18" t="n"/>
      <c r="GT51" s="18" t="n"/>
      <c r="GU51" s="18" t="n"/>
      <c r="GV51" s="18" t="n"/>
      <c r="GW51" s="18" t="n"/>
      <c r="GX51" s="18" t="n"/>
      <c r="GY51" s="18" t="n"/>
      <c r="GZ51" s="18" t="n"/>
      <c r="HA51" s="18" t="n"/>
      <c r="HB51" s="18" t="n"/>
      <c r="HC51" s="18" t="n"/>
      <c r="HD51" s="18" t="n"/>
      <c r="HE51" s="18" t="n"/>
      <c r="HF51" s="18" t="n"/>
      <c r="HG51" s="18" t="n"/>
      <c r="HH51" s="18" t="n"/>
      <c r="HI51" s="18" t="n"/>
      <c r="HJ51" s="18" t="n"/>
      <c r="HK51" s="18" t="n"/>
      <c r="HL51" s="18" t="n"/>
      <c r="HM51" s="18" t="n"/>
      <c r="HN51" s="18" t="n"/>
      <c r="HO51" s="18" t="n"/>
      <c r="HP51" s="18" t="n"/>
      <c r="HQ51" s="18" t="n"/>
      <c r="HR51" s="18" t="n"/>
      <c r="HS51" s="18" t="n"/>
      <c r="HT51" s="18" t="n"/>
      <c r="HU51" s="18" t="n"/>
      <c r="HV51" s="18" t="n"/>
      <c r="HW51" s="18" t="n"/>
      <c r="HX51" s="18" t="n"/>
      <c r="HY51" s="18" t="n"/>
      <c r="HZ51" s="18" t="n"/>
      <c r="IA51" s="18" t="n"/>
      <c r="IB51" s="18" t="n"/>
      <c r="IC51" s="18" t="n"/>
      <c r="ID51" s="18" t="n"/>
      <c r="IE51" s="18" t="n"/>
      <c r="IF51" s="18" t="n"/>
      <c r="IG51" s="18" t="n"/>
      <c r="IH51" s="18" t="n"/>
      <c r="II51" s="18" t="n"/>
      <c r="IJ51" s="18" t="n"/>
      <c r="IK51" s="18" t="n"/>
      <c r="IL51" s="18" t="n"/>
      <c r="IM51" s="18" t="n"/>
      <c r="IN51" s="18" t="n"/>
      <c r="IO51" s="18" t="n"/>
      <c r="IP51" s="18" t="n"/>
      <c r="IQ51" s="18" t="n"/>
      <c r="IR51" s="18" t="n"/>
      <c r="IS51" s="18" t="n"/>
      <c r="IT51" s="18" t="n"/>
      <c r="IU51" s="18" t="n"/>
      <c r="IV51" s="18" t="n"/>
      <c r="IW51" s="18" t="n"/>
      <c r="IX51" s="18" t="n"/>
      <c r="IY51" s="18" t="n"/>
      <c r="IZ51" s="18" t="n"/>
      <c r="JA51" s="18" t="n"/>
      <c r="JB51" s="18" t="n"/>
      <c r="JC51" s="18" t="n"/>
      <c r="JD51" s="18" t="n"/>
      <c r="JE51" s="18" t="n"/>
      <c r="JF51" s="18" t="n"/>
      <c r="JG51" s="18" t="n"/>
      <c r="JH51" s="18" t="n"/>
      <c r="JI51" s="18" t="n"/>
      <c r="JJ51" s="18" t="n"/>
      <c r="JK51" s="18" t="n"/>
      <c r="JL51" s="18" t="n"/>
      <c r="JM51" s="18" t="n"/>
      <c r="JN51" s="18" t="n"/>
      <c r="JO51" s="18" t="n"/>
      <c r="JP51" s="18" t="n"/>
      <c r="JQ51" s="18" t="n"/>
      <c r="JR51" s="18" t="n"/>
      <c r="JS51" s="18" t="n"/>
      <c r="JT51" s="18" t="n"/>
      <c r="JU51" s="18" t="n"/>
      <c r="JV51" s="18" t="n"/>
      <c r="JW51" s="18" t="n"/>
      <c r="JX51" s="18" t="n"/>
      <c r="JY51" s="18" t="n"/>
      <c r="JZ51" s="18" t="n"/>
      <c r="KA51" s="18" t="n"/>
      <c r="KB51" s="18" t="n"/>
      <c r="KC51" s="18" t="n"/>
      <c r="KD51" s="18" t="n"/>
      <c r="KE51" s="18" t="n"/>
      <c r="KF51" s="18" t="n"/>
      <c r="KG51" s="18" t="n"/>
      <c r="KH51" s="18" t="n"/>
      <c r="KI51" s="18" t="n"/>
      <c r="KJ51" s="18" t="n"/>
      <c r="KK51" s="18" t="n"/>
      <c r="KL51" s="18" t="n"/>
      <c r="KM51" s="18" t="n"/>
      <c r="KN51" s="18" t="n"/>
      <c r="KO51" s="18" t="n"/>
      <c r="KP51" s="18" t="n"/>
      <c r="KQ51" s="18" t="n"/>
      <c r="KR51" s="18" t="n"/>
      <c r="KS51" s="18" t="n"/>
      <c r="KT51" s="18" t="n"/>
      <c r="KU51" s="18" t="n"/>
      <c r="KV51" s="18" t="n"/>
      <c r="KW51" s="18" t="n"/>
      <c r="KX51" s="18" t="n"/>
      <c r="KY51" s="18" t="n"/>
      <c r="KZ51" s="18" t="n"/>
      <c r="LA51" s="18" t="n"/>
      <c r="LB51" s="18" t="n"/>
      <c r="LC51" s="18" t="n"/>
      <c r="LD51" s="18" t="n"/>
      <c r="LE51" s="18" t="n"/>
      <c r="LF51" s="18" t="n"/>
      <c r="LG51" s="18" t="n"/>
      <c r="LH51" s="18" t="n"/>
      <c r="LI51" s="18" t="n"/>
      <c r="LJ51" s="18" t="n"/>
      <c r="LK51" s="18" t="n"/>
      <c r="LL51" s="18" t="n"/>
      <c r="LM51" s="18" t="n"/>
      <c r="LN51" s="18" t="n"/>
      <c r="LO51" s="18" t="n"/>
      <c r="LP51" s="18" t="n"/>
      <c r="LQ51" s="18" t="n"/>
      <c r="LR51" s="18" t="n"/>
      <c r="LS51" s="18" t="n"/>
      <c r="LT51" s="18" t="n"/>
      <c r="LU51" s="18" t="n"/>
      <c r="LV51" s="18" t="n"/>
      <c r="LW51" s="18" t="n"/>
      <c r="LX51" s="18" t="n"/>
      <c r="LY51" s="18" t="n"/>
      <c r="LZ51" s="18" t="n"/>
      <c r="MA51" s="18" t="n"/>
      <c r="MB51" s="18" t="n"/>
      <c r="MC51" s="18" t="n"/>
      <c r="MD51" s="18" t="n"/>
      <c r="ME51" s="18" t="n"/>
      <c r="MF51" s="18" t="n"/>
      <c r="MG51" s="18" t="n"/>
      <c r="MH51" s="18" t="n"/>
      <c r="MI51" s="18" t="n"/>
      <c r="MJ51" s="18" t="n"/>
      <c r="MK51" s="18" t="n"/>
      <c r="ML51" s="18" t="n"/>
      <c r="MM51" s="18" t="n"/>
    </row>
    <row r="52" ht="17.4" customHeight="1" s="88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48" t="n"/>
      <c r="O52" s="18" t="n"/>
      <c r="P52" s="52" t="n"/>
      <c r="Q52" s="18" t="n"/>
      <c r="R52" s="52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  <c r="DY52" s="18" t="n"/>
      <c r="DZ52" s="18" t="n"/>
      <c r="EA52" s="18" t="n"/>
      <c r="EB52" s="18" t="n"/>
      <c r="EC52" s="18" t="n"/>
      <c r="ED52" s="18" t="n"/>
      <c r="EE52" s="18" t="n"/>
      <c r="EF52" s="18" t="n"/>
      <c r="EG52" s="18" t="n"/>
      <c r="EH52" s="18" t="n"/>
      <c r="EI52" s="18" t="n"/>
      <c r="EJ52" s="18" t="n"/>
      <c r="EK52" s="18" t="n"/>
      <c r="EL52" s="18" t="n"/>
      <c r="EM52" s="18" t="n"/>
      <c r="EN52" s="18" t="n"/>
      <c r="EO52" s="18" t="n"/>
      <c r="EP52" s="18" t="n"/>
      <c r="EQ52" s="18" t="n"/>
      <c r="ER52" s="18" t="n"/>
      <c r="ES52" s="18" t="n"/>
      <c r="ET52" s="18" t="n"/>
      <c r="EU52" s="18" t="n"/>
      <c r="EV52" s="18" t="n"/>
      <c r="EW52" s="18" t="n"/>
      <c r="EX52" s="18" t="n"/>
      <c r="EY52" s="18" t="n"/>
      <c r="EZ52" s="18" t="n"/>
      <c r="FA52" s="18" t="n"/>
      <c r="FB52" s="18" t="n"/>
      <c r="FC52" s="18" t="n"/>
      <c r="FD52" s="18" t="n"/>
      <c r="FE52" s="18" t="n"/>
      <c r="FF52" s="18" t="n"/>
      <c r="FG52" s="18" t="n"/>
      <c r="FH52" s="18" t="n"/>
      <c r="FI52" s="18" t="n"/>
      <c r="FJ52" s="18" t="n"/>
      <c r="FK52" s="18" t="n"/>
      <c r="FL52" s="18" t="n"/>
      <c r="FM52" s="18" t="n"/>
      <c r="FN52" s="18" t="n"/>
      <c r="FO52" s="18" t="n"/>
      <c r="FP52" s="18" t="n"/>
      <c r="FQ52" s="18" t="n"/>
      <c r="FR52" s="18" t="n"/>
      <c r="FS52" s="18" t="n"/>
      <c r="FT52" s="18" t="n"/>
      <c r="FU52" s="18" t="n"/>
      <c r="FV52" s="18" t="n"/>
      <c r="FW52" s="18" t="n"/>
      <c r="FX52" s="18" t="n"/>
      <c r="FY52" s="18" t="n"/>
      <c r="FZ52" s="18" t="n"/>
      <c r="GA52" s="18" t="n"/>
      <c r="GB52" s="18" t="n"/>
      <c r="GC52" s="18" t="n"/>
      <c r="GD52" s="18" t="n"/>
      <c r="GE52" s="18" t="n"/>
      <c r="GF52" s="18" t="n"/>
      <c r="GG52" s="18" t="n"/>
      <c r="GH52" s="18" t="n"/>
      <c r="GI52" s="18" t="n"/>
      <c r="GJ52" s="18" t="n"/>
      <c r="GK52" s="18" t="n"/>
      <c r="GL52" s="18" t="n"/>
      <c r="GM52" s="18" t="n"/>
      <c r="GN52" s="18" t="n"/>
      <c r="GO52" s="18" t="n"/>
      <c r="GP52" s="18" t="n"/>
      <c r="GQ52" s="18" t="n"/>
      <c r="GR52" s="18" t="n"/>
      <c r="GS52" s="18" t="n"/>
      <c r="GT52" s="18" t="n"/>
      <c r="GU52" s="18" t="n"/>
      <c r="GV52" s="18" t="n"/>
      <c r="GW52" s="18" t="n"/>
      <c r="GX52" s="18" t="n"/>
      <c r="GY52" s="18" t="n"/>
      <c r="GZ52" s="18" t="n"/>
      <c r="HA52" s="18" t="n"/>
      <c r="HB52" s="18" t="n"/>
      <c r="HC52" s="18" t="n"/>
      <c r="HD52" s="18" t="n"/>
      <c r="HE52" s="18" t="n"/>
      <c r="HF52" s="18" t="n"/>
      <c r="HG52" s="18" t="n"/>
      <c r="HH52" s="18" t="n"/>
      <c r="HI52" s="18" t="n"/>
      <c r="HJ52" s="18" t="n"/>
      <c r="HK52" s="18" t="n"/>
      <c r="HL52" s="18" t="n"/>
      <c r="HM52" s="18" t="n"/>
      <c r="HN52" s="18" t="n"/>
      <c r="HO52" s="18" t="n"/>
      <c r="HP52" s="18" t="n"/>
      <c r="HQ52" s="18" t="n"/>
      <c r="HR52" s="18" t="n"/>
      <c r="HS52" s="18" t="n"/>
      <c r="HT52" s="18" t="n"/>
      <c r="HU52" s="18" t="n"/>
      <c r="HV52" s="18" t="n"/>
      <c r="HW52" s="18" t="n"/>
      <c r="HX52" s="18" t="n"/>
      <c r="HY52" s="18" t="n"/>
      <c r="HZ52" s="18" t="n"/>
      <c r="IA52" s="18" t="n"/>
      <c r="IB52" s="18" t="n"/>
      <c r="IC52" s="18" t="n"/>
      <c r="ID52" s="18" t="n"/>
      <c r="IE52" s="18" t="n"/>
      <c r="IF52" s="18" t="n"/>
      <c r="IG52" s="18" t="n"/>
      <c r="IH52" s="18" t="n"/>
      <c r="II52" s="18" t="n"/>
      <c r="IJ52" s="18" t="n"/>
      <c r="IK52" s="18" t="n"/>
      <c r="IL52" s="18" t="n"/>
      <c r="IM52" s="18" t="n"/>
      <c r="IN52" s="18" t="n"/>
      <c r="IO52" s="18" t="n"/>
      <c r="IP52" s="18" t="n"/>
      <c r="IQ52" s="18" t="n"/>
      <c r="IR52" s="18" t="n"/>
      <c r="IS52" s="18" t="n"/>
      <c r="IT52" s="18" t="n"/>
      <c r="IU52" s="18" t="n"/>
      <c r="IV52" s="18" t="n"/>
      <c r="IW52" s="18" t="n"/>
      <c r="IX52" s="18" t="n"/>
      <c r="IY52" s="18" t="n"/>
      <c r="IZ52" s="18" t="n"/>
      <c r="JA52" s="18" t="n"/>
      <c r="JB52" s="18" t="n"/>
      <c r="JC52" s="18" t="n"/>
      <c r="JD52" s="18" t="n"/>
      <c r="JE52" s="18" t="n"/>
      <c r="JF52" s="18" t="n"/>
      <c r="JG52" s="18" t="n"/>
      <c r="JH52" s="18" t="n"/>
      <c r="JI52" s="18" t="n"/>
      <c r="JJ52" s="18" t="n"/>
      <c r="JK52" s="18" t="n"/>
      <c r="JL52" s="18" t="n"/>
      <c r="JM52" s="18" t="n"/>
      <c r="JN52" s="18" t="n"/>
      <c r="JO52" s="18" t="n"/>
      <c r="JP52" s="18" t="n"/>
      <c r="JQ52" s="18" t="n"/>
      <c r="JR52" s="18" t="n"/>
      <c r="JS52" s="18" t="n"/>
      <c r="JT52" s="18" t="n"/>
      <c r="JU52" s="18" t="n"/>
      <c r="JV52" s="18" t="n"/>
      <c r="JW52" s="18" t="n"/>
      <c r="JX52" s="18" t="n"/>
      <c r="JY52" s="18" t="n"/>
      <c r="JZ52" s="18" t="n"/>
      <c r="KA52" s="18" t="n"/>
      <c r="KB52" s="18" t="n"/>
      <c r="KC52" s="18" t="n"/>
      <c r="KD52" s="18" t="n"/>
      <c r="KE52" s="18" t="n"/>
      <c r="KF52" s="18" t="n"/>
      <c r="KG52" s="18" t="n"/>
      <c r="KH52" s="18" t="n"/>
      <c r="KI52" s="18" t="n"/>
      <c r="KJ52" s="18" t="n"/>
      <c r="KK52" s="18" t="n"/>
      <c r="KL52" s="18" t="n"/>
      <c r="KM52" s="18" t="n"/>
      <c r="KN52" s="18" t="n"/>
      <c r="KO52" s="18" t="n"/>
      <c r="KP52" s="18" t="n"/>
      <c r="KQ52" s="18" t="n"/>
      <c r="KR52" s="18" t="n"/>
      <c r="KS52" s="18" t="n"/>
      <c r="KT52" s="18" t="n"/>
      <c r="KU52" s="18" t="n"/>
      <c r="KV52" s="18" t="n"/>
      <c r="KW52" s="18" t="n"/>
      <c r="KX52" s="18" t="n"/>
      <c r="KY52" s="18" t="n"/>
      <c r="KZ52" s="18" t="n"/>
      <c r="LA52" s="18" t="n"/>
      <c r="LB52" s="18" t="n"/>
      <c r="LC52" s="18" t="n"/>
      <c r="LD52" s="18" t="n"/>
      <c r="LE52" s="18" t="n"/>
      <c r="LF52" s="18" t="n"/>
      <c r="LG52" s="18" t="n"/>
      <c r="LH52" s="18" t="n"/>
      <c r="LI52" s="18" t="n"/>
      <c r="LJ52" s="18" t="n"/>
      <c r="LK52" s="18" t="n"/>
      <c r="LL52" s="18" t="n"/>
      <c r="LM52" s="18" t="n"/>
      <c r="LN52" s="18" t="n"/>
      <c r="LO52" s="18" t="n"/>
      <c r="LP52" s="18" t="n"/>
      <c r="LQ52" s="18" t="n"/>
      <c r="LR52" s="18" t="n"/>
      <c r="LS52" s="18" t="n"/>
      <c r="LT52" s="18" t="n"/>
      <c r="LU52" s="18" t="n"/>
      <c r="LV52" s="18" t="n"/>
      <c r="LW52" s="18" t="n"/>
      <c r="LX52" s="18" t="n"/>
      <c r="LY52" s="18" t="n"/>
      <c r="LZ52" s="18" t="n"/>
      <c r="MA52" s="18" t="n"/>
      <c r="MB52" s="18" t="n"/>
      <c r="MC52" s="18" t="n"/>
      <c r="MD52" s="18" t="n"/>
      <c r="ME52" s="18" t="n"/>
      <c r="MF52" s="18" t="n"/>
      <c r="MG52" s="18" t="n"/>
      <c r="MH52" s="18" t="n"/>
      <c r="MI52" s="18" t="n"/>
      <c r="MJ52" s="18" t="n"/>
      <c r="MK52" s="18" t="n"/>
      <c r="ML52" s="18" t="n"/>
      <c r="MM52" s="18" t="n"/>
      <c r="MN52" s="18" t="n"/>
      <c r="MO52" s="18" t="n"/>
      <c r="MP52" s="18" t="n"/>
      <c r="MQ52" s="18" t="n"/>
    </row>
    <row r="53" ht="17.4" customHeight="1" s="88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48" t="n"/>
      <c r="O53" s="18" t="n"/>
      <c r="P53" s="52" t="n"/>
      <c r="Q53" s="18" t="n"/>
      <c r="R53" s="52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8" t="n"/>
      <c r="DF53" s="18" t="n"/>
      <c r="DG53" s="18" t="n"/>
      <c r="DH53" s="18" t="n"/>
      <c r="DI53" s="18" t="n"/>
      <c r="DJ53" s="18" t="n"/>
      <c r="DK53" s="18" t="n"/>
      <c r="DL53" s="18" t="n"/>
      <c r="DM53" s="18" t="n"/>
      <c r="DN53" s="18" t="n"/>
      <c r="DO53" s="18" t="n"/>
      <c r="DP53" s="18" t="n"/>
      <c r="DQ53" s="18" t="n"/>
      <c r="DR53" s="18" t="n"/>
      <c r="DS53" s="18" t="n"/>
      <c r="DT53" s="18" t="n"/>
      <c r="DU53" s="18" t="n"/>
      <c r="DV53" s="18" t="n"/>
      <c r="DW53" s="18" t="n"/>
      <c r="DX53" s="18" t="n"/>
      <c r="DY53" s="18" t="n"/>
      <c r="DZ53" s="18" t="n"/>
      <c r="EA53" s="18" t="n"/>
      <c r="EB53" s="18" t="n"/>
      <c r="EC53" s="18" t="n"/>
      <c r="ED53" s="18" t="n"/>
      <c r="EE53" s="18" t="n"/>
      <c r="EF53" s="18" t="n"/>
      <c r="EG53" s="18" t="n"/>
      <c r="EH53" s="18" t="n"/>
      <c r="EI53" s="18" t="n"/>
      <c r="EJ53" s="18" t="n"/>
      <c r="EK53" s="18" t="n"/>
      <c r="EL53" s="18" t="n"/>
      <c r="EM53" s="18" t="n"/>
      <c r="EN53" s="18" t="n"/>
      <c r="EO53" s="18" t="n"/>
      <c r="EP53" s="18" t="n"/>
      <c r="EQ53" s="18" t="n"/>
      <c r="ER53" s="18" t="n"/>
      <c r="ES53" s="18" t="n"/>
      <c r="ET53" s="18" t="n"/>
      <c r="EU53" s="18" t="n"/>
      <c r="EV53" s="18" t="n"/>
      <c r="EW53" s="18" t="n"/>
      <c r="EX53" s="18" t="n"/>
      <c r="EY53" s="18" t="n"/>
      <c r="EZ53" s="18" t="n"/>
      <c r="FA53" s="18" t="n"/>
      <c r="FB53" s="18" t="n"/>
      <c r="FC53" s="18" t="n"/>
      <c r="FD53" s="18" t="n"/>
      <c r="FE53" s="18" t="n"/>
      <c r="FF53" s="18" t="n"/>
      <c r="FG53" s="18" t="n"/>
      <c r="FH53" s="18" t="n"/>
      <c r="FI53" s="18" t="n"/>
      <c r="FJ53" s="18" t="n"/>
      <c r="FK53" s="18" t="n"/>
      <c r="FL53" s="18" t="n"/>
      <c r="FM53" s="18" t="n"/>
      <c r="FN53" s="18" t="n"/>
      <c r="FO53" s="18" t="n"/>
      <c r="FP53" s="18" t="n"/>
      <c r="FQ53" s="18" t="n"/>
      <c r="FR53" s="18" t="n"/>
      <c r="FS53" s="18" t="n"/>
      <c r="FT53" s="18" t="n"/>
      <c r="FU53" s="18" t="n"/>
      <c r="FV53" s="18" t="n"/>
      <c r="FW53" s="18" t="n"/>
      <c r="FX53" s="18" t="n"/>
      <c r="FY53" s="18" t="n"/>
      <c r="FZ53" s="18" t="n"/>
      <c r="GA53" s="18" t="n"/>
      <c r="GB53" s="18" t="n"/>
      <c r="GC53" s="18" t="n"/>
      <c r="GD53" s="18" t="n"/>
      <c r="GE53" s="18" t="n"/>
      <c r="GF53" s="18" t="n"/>
      <c r="GG53" s="18" t="n"/>
      <c r="GH53" s="18" t="n"/>
      <c r="GI53" s="18" t="n"/>
      <c r="GJ53" s="18" t="n"/>
      <c r="GK53" s="18" t="n"/>
      <c r="GL53" s="18" t="n"/>
      <c r="GM53" s="18" t="n"/>
      <c r="GN53" s="18" t="n"/>
      <c r="GO53" s="18" t="n"/>
      <c r="GP53" s="18" t="n"/>
      <c r="GQ53" s="18" t="n"/>
      <c r="GR53" s="18" t="n"/>
      <c r="GS53" s="18" t="n"/>
      <c r="GT53" s="18" t="n"/>
      <c r="GU53" s="18" t="n"/>
      <c r="GV53" s="18" t="n"/>
      <c r="GW53" s="18" t="n"/>
      <c r="GX53" s="18" t="n"/>
      <c r="GY53" s="18" t="n"/>
      <c r="GZ53" s="18" t="n"/>
      <c r="HA53" s="18" t="n"/>
      <c r="HB53" s="18" t="n"/>
      <c r="HC53" s="18" t="n"/>
      <c r="HD53" s="18" t="n"/>
      <c r="HE53" s="18" t="n"/>
      <c r="HF53" s="18" t="n"/>
      <c r="HG53" s="18" t="n"/>
      <c r="HH53" s="18" t="n"/>
      <c r="HI53" s="18" t="n"/>
      <c r="HJ53" s="18" t="n"/>
      <c r="HK53" s="18" t="n"/>
      <c r="HL53" s="18" t="n"/>
      <c r="HM53" s="18" t="n"/>
      <c r="HN53" s="18" t="n"/>
      <c r="HO53" s="18" t="n"/>
      <c r="HP53" s="18" t="n"/>
      <c r="HQ53" s="18" t="n"/>
      <c r="HR53" s="18" t="n"/>
      <c r="HS53" s="18" t="n"/>
      <c r="HT53" s="18" t="n"/>
      <c r="HU53" s="18" t="n"/>
      <c r="HV53" s="18" t="n"/>
      <c r="HW53" s="18" t="n"/>
      <c r="HX53" s="18" t="n"/>
      <c r="HY53" s="18" t="n"/>
      <c r="HZ53" s="18" t="n"/>
      <c r="IA53" s="18" t="n"/>
      <c r="IB53" s="18" t="n"/>
      <c r="IC53" s="18" t="n"/>
      <c r="ID53" s="18" t="n"/>
      <c r="IE53" s="18" t="n"/>
      <c r="IF53" s="18" t="n"/>
      <c r="IG53" s="18" t="n"/>
      <c r="IH53" s="18" t="n"/>
      <c r="II53" s="18" t="n"/>
      <c r="IJ53" s="18" t="n"/>
      <c r="IK53" s="18" t="n"/>
      <c r="IL53" s="18" t="n"/>
      <c r="IM53" s="18" t="n"/>
      <c r="IN53" s="18" t="n"/>
      <c r="IO53" s="18" t="n"/>
      <c r="IP53" s="18" t="n"/>
      <c r="IQ53" s="18" t="n"/>
      <c r="IR53" s="18" t="n"/>
      <c r="IS53" s="18" t="n"/>
      <c r="IT53" s="18" t="n"/>
      <c r="IU53" s="18" t="n"/>
      <c r="IV53" s="18" t="n"/>
      <c r="IW53" s="18" t="n"/>
      <c r="IX53" s="18" t="n"/>
      <c r="IY53" s="18" t="n"/>
      <c r="IZ53" s="18" t="n"/>
      <c r="JA53" s="18" t="n"/>
      <c r="JB53" s="18" t="n"/>
      <c r="JC53" s="18" t="n"/>
      <c r="JD53" s="18" t="n"/>
      <c r="JE53" s="18" t="n"/>
      <c r="JF53" s="18" t="n"/>
      <c r="JG53" s="18" t="n"/>
      <c r="JH53" s="18" t="n"/>
      <c r="JI53" s="18" t="n"/>
      <c r="JJ53" s="18" t="n"/>
      <c r="JK53" s="18" t="n"/>
      <c r="JL53" s="18" t="n"/>
      <c r="JM53" s="18" t="n"/>
      <c r="JN53" s="18" t="n"/>
      <c r="JO53" s="18" t="n"/>
      <c r="JP53" s="18" t="n"/>
      <c r="JQ53" s="18" t="n"/>
      <c r="JR53" s="18" t="n"/>
      <c r="JS53" s="18" t="n"/>
      <c r="JT53" s="18" t="n"/>
      <c r="JU53" s="18" t="n"/>
      <c r="JV53" s="18" t="n"/>
      <c r="JW53" s="18" t="n"/>
      <c r="JX53" s="18" t="n"/>
      <c r="JY53" s="18" t="n"/>
      <c r="JZ53" s="18" t="n"/>
      <c r="KA53" s="18" t="n"/>
      <c r="KB53" s="18" t="n"/>
      <c r="KC53" s="18" t="n"/>
      <c r="KD53" s="18" t="n"/>
      <c r="KE53" s="18" t="n"/>
      <c r="KF53" s="18" t="n"/>
      <c r="KG53" s="18" t="n"/>
      <c r="KH53" s="18" t="n"/>
      <c r="KI53" s="18" t="n"/>
      <c r="KJ53" s="18" t="n"/>
      <c r="KK53" s="18" t="n"/>
      <c r="KL53" s="18" t="n"/>
      <c r="KM53" s="18" t="n"/>
      <c r="KN53" s="18" t="n"/>
      <c r="KO53" s="18" t="n"/>
      <c r="KP53" s="18" t="n"/>
      <c r="KQ53" s="18" t="n"/>
      <c r="KR53" s="18" t="n"/>
      <c r="KS53" s="18" t="n"/>
      <c r="KT53" s="18" t="n"/>
      <c r="KU53" s="18" t="n"/>
      <c r="KV53" s="18" t="n"/>
      <c r="KW53" s="18" t="n"/>
      <c r="KX53" s="18" t="n"/>
      <c r="KY53" s="18" t="n"/>
      <c r="KZ53" s="18" t="n"/>
      <c r="LA53" s="18" t="n"/>
      <c r="LB53" s="18" t="n"/>
      <c r="LC53" s="18" t="n"/>
      <c r="LD53" s="18" t="n"/>
      <c r="LE53" s="18" t="n"/>
      <c r="LF53" s="18" t="n"/>
      <c r="LG53" s="18" t="n"/>
      <c r="LH53" s="18" t="n"/>
      <c r="LI53" s="18" t="n"/>
      <c r="LJ53" s="18" t="n"/>
      <c r="LK53" s="18" t="n"/>
      <c r="LL53" s="18" t="n"/>
      <c r="LM53" s="18" t="n"/>
      <c r="LN53" s="18" t="n"/>
      <c r="LO53" s="18" t="n"/>
      <c r="LP53" s="18" t="n"/>
      <c r="LQ53" s="18" t="n"/>
      <c r="LR53" s="18" t="n"/>
      <c r="LS53" s="18" t="n"/>
      <c r="LT53" s="18" t="n"/>
      <c r="LU53" s="18" t="n"/>
      <c r="LV53" s="18" t="n"/>
      <c r="LW53" s="18" t="n"/>
      <c r="LX53" s="18" t="n"/>
      <c r="LY53" s="18" t="n"/>
      <c r="LZ53" s="18" t="n"/>
      <c r="MA53" s="18" t="n"/>
      <c r="MB53" s="18" t="n"/>
      <c r="MC53" s="18" t="n"/>
      <c r="MD53" s="18" t="n"/>
      <c r="ME53" s="18" t="n"/>
      <c r="MF53" s="18" t="n"/>
      <c r="MG53" s="18" t="n"/>
      <c r="MH53" s="18" t="n"/>
      <c r="MI53" s="18" t="n"/>
      <c r="MJ53" s="18" t="n"/>
      <c r="MK53" s="18" t="n"/>
      <c r="ML53" s="18" t="n"/>
      <c r="MM53" s="18" t="n"/>
      <c r="MN53" s="18" t="n"/>
      <c r="MO53" s="18" t="n"/>
      <c r="MP53" s="18" t="n"/>
      <c r="MQ53" s="18" t="n"/>
      <c r="MR53" s="18" t="n"/>
      <c r="MS53" s="18" t="n"/>
      <c r="MT53" s="18" t="n"/>
      <c r="MU53" s="18" t="n"/>
    </row>
  </sheetData>
  <pageMargins left="0.7086614173228347" right="0.7086614173228347" top="0.7480314960629921" bottom="0.7480314960629921" header="0.3149606299212598" footer="0.3149606299212598"/>
  <pageSetup orientation="landscape" paperSize="8" scale="35" verticalDpi="0"/>
</worksheet>
</file>

<file path=xl/worksheets/sheet12.xml><?xml version="1.0" encoding="utf-8"?>
<worksheet xmlns="http://schemas.openxmlformats.org/spreadsheetml/2006/main">
  <sheetPr codeName="Sheet11">
    <tabColor rgb="FFFFFF00"/>
    <outlinePr summaryBelow="1" summaryRight="1"/>
    <pageSetUpPr/>
  </sheetPr>
  <dimension ref="A1:MU49"/>
  <sheetViews>
    <sheetView view="pageBreakPreview" zoomScale="40" zoomScaleNormal="55" zoomScaleSheetLayoutView="40" workbookViewId="0">
      <pane xSplit="4" ySplit="1" topLeftCell="K26" activePane="bottomRight" state="frozen"/>
      <selection activeCell="U2" sqref="U2"/>
      <selection pane="topRight" activeCell="U2" sqref="U2"/>
      <selection pane="bottomLeft" activeCell="U2" sqref="U2"/>
      <selection pane="bottomRight" activeCell="R38" sqref="R38"/>
    </sheetView>
  </sheetViews>
  <sheetFormatPr baseColWidth="8" defaultRowHeight="19.2"/>
  <cols>
    <col width="10" bestFit="1" customWidth="1" style="4" min="1" max="1"/>
    <col width="10" customWidth="1" style="88" min="2" max="2"/>
    <col width="18" bestFit="1" customWidth="1" style="4" min="3" max="3"/>
    <col width="12" bestFit="1" customWidth="1" style="4" min="4" max="4"/>
    <col width="10" customWidth="1" style="2" min="5" max="5"/>
    <col width="10" customWidth="1" style="88" min="6" max="6"/>
    <col width="30" customWidth="1" style="4" min="7" max="7"/>
    <col width="14" customWidth="1" style="4" min="8" max="9"/>
    <col width="38" customWidth="1" style="3" min="10" max="10"/>
    <col width="54" customWidth="1" style="3" min="11" max="11"/>
    <col width="30" customWidth="1" style="4" min="12" max="12"/>
    <col width="36" customWidth="1" style="3" min="13" max="13"/>
    <col width="13.5" customWidth="1" style="3" min="14" max="14"/>
    <col width="36" customWidth="1" style="3" min="15" max="15"/>
    <col width="11.796875" customWidth="1" style="4" min="16" max="16"/>
    <col width="36" customWidth="1" style="3" min="17" max="17"/>
    <col width="14.69921875" customWidth="1" style="4" min="18" max="18"/>
    <col width="16" customWidth="1" style="88" min="19" max="19"/>
  </cols>
  <sheetData>
    <row r="1" ht="31.2" customHeight="1" s="88">
      <c r="A1" s="16" t="inlineStr">
        <is>
          <t>L2 코드</t>
        </is>
      </c>
      <c r="B1" s="16" t="inlineStr">
        <is>
          <t>L3 코드</t>
        </is>
      </c>
      <c r="C1" s="16" t="inlineStr">
        <is>
          <t>L3 대공종명</t>
        </is>
      </c>
      <c r="D1" s="16" t="inlineStr">
        <is>
          <t>L4 코드</t>
        </is>
      </c>
      <c r="E1" s="16" t="inlineStr">
        <is>
          <t>선행</t>
        </is>
      </c>
      <c r="F1" s="16" t="inlineStr">
        <is>
          <t>후행</t>
        </is>
      </c>
      <c r="G1" s="16" t="inlineStr">
        <is>
          <t>작업단위 (Level 4 Task/Activity)</t>
        </is>
      </c>
      <c r="H1" s="16" t="inlineStr">
        <is>
          <t>일정 (D-Day)</t>
        </is>
      </c>
      <c r="I1" s="16" t="inlineStr">
        <is>
          <t>주관</t>
        </is>
      </c>
      <c r="J1" s="16" t="inlineStr">
        <is>
          <t>목적</t>
        </is>
      </c>
      <c r="K1" s="16" t="inlineStr">
        <is>
          <t>방법</t>
        </is>
      </c>
      <c r="L1" s="16" t="inlineStr">
        <is>
          <t>산출물(결과)</t>
        </is>
      </c>
      <c r="M1" s="16" t="inlineStr">
        <is>
          <t>표준서 (Standard) 요약</t>
        </is>
      </c>
      <c r="N1" s="54" t="inlineStr">
        <is>
          <t>표준서 파일 (HTML)</t>
        </is>
      </c>
      <c r="O1" s="16" t="inlineStr">
        <is>
          <t>수행지침 (Guideline) 요약</t>
        </is>
      </c>
      <c r="P1" s="54" t="inlineStr">
        <is>
          <t>수행지침 파일 (HTML)</t>
        </is>
      </c>
      <c r="Q1" s="16" t="inlineStr">
        <is>
          <t>체크리스트 (Checklist) 요약</t>
        </is>
      </c>
      <c r="R1" s="54" t="inlineStr">
        <is>
          <t>체크리스트 파일 (HTML)</t>
        </is>
      </c>
      <c r="S1" s="16" t="inlineStr">
        <is>
          <t>비고</t>
        </is>
      </c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  <c r="DL1" s="18" t="n"/>
      <c r="DM1" s="18" t="n"/>
      <c r="DN1" s="18" t="n"/>
      <c r="DO1" s="18" t="n"/>
      <c r="DP1" s="18" t="n"/>
      <c r="DQ1" s="18" t="n"/>
      <c r="DR1" s="18" t="n"/>
      <c r="DS1" s="18" t="n"/>
      <c r="DT1" s="18" t="n"/>
      <c r="DU1" s="18" t="n"/>
      <c r="DV1" s="18" t="n"/>
      <c r="DW1" s="18" t="n"/>
      <c r="DX1" s="18" t="n"/>
      <c r="DY1" s="18" t="n"/>
      <c r="DZ1" s="18" t="n"/>
      <c r="EA1" s="18" t="n"/>
      <c r="EB1" s="18" t="n"/>
      <c r="EC1" s="18" t="n"/>
      <c r="ED1" s="18" t="n"/>
      <c r="EE1" s="18" t="n"/>
      <c r="EF1" s="18" t="n"/>
      <c r="EG1" s="18" t="n"/>
      <c r="EH1" s="18" t="n"/>
      <c r="EI1" s="18" t="n"/>
      <c r="EJ1" s="18" t="n"/>
      <c r="EK1" s="18" t="n"/>
      <c r="EL1" s="18" t="n"/>
      <c r="EM1" s="18" t="n"/>
      <c r="EN1" s="18" t="n"/>
      <c r="EO1" s="18" t="n"/>
      <c r="EP1" s="18" t="n"/>
      <c r="EQ1" s="18" t="n"/>
      <c r="ER1" s="18" t="n"/>
      <c r="ES1" s="18" t="n"/>
      <c r="ET1" s="18" t="n"/>
      <c r="EU1" s="18" t="n"/>
    </row>
    <row r="2" ht="118.8" customHeight="1" s="88">
      <c r="A2" s="19" t="inlineStr">
        <is>
          <t>9000</t>
        </is>
      </c>
      <c r="B2" s="19" t="inlineStr">
        <is>
          <t>9000-11</t>
        </is>
      </c>
      <c r="C2" s="19" t="inlineStr">
        <is>
          <t>철도종합시험운행</t>
        </is>
      </c>
      <c r="D2" s="19" t="inlineStr">
        <is>
          <t>9000-11-1</t>
        </is>
      </c>
      <c r="E2" s="95" t="inlineStr">
        <is>
          <t>-</t>
        </is>
      </c>
      <c r="F2" s="95" t="inlineStr">
        <is>
          <t>9000-11-2, 9000-11-3, 9000-11-4, 9000-11-5</t>
        </is>
      </c>
      <c r="G2" s="23" t="inlineStr">
        <is>
          <t>철도종합시험운행 사전검토</t>
        </is>
      </c>
      <c r="H2" s="21" t="inlineStr">
        <is>
          <t>D-60</t>
        </is>
      </c>
      <c r="I2" s="21" t="inlineStr">
        <is>
          <t>개통운영팀</t>
        </is>
      </c>
      <c r="J2" s="24" t="inlineStr">
        <is>
          <t>철도종합시험운행 시행지침 분석 및 3단계 종합시험운행 추진체계 사전 검토</t>
        </is>
      </c>
      <c r="K2" s="49" t="inlineStr">
        <is>
          <t>1) STEP 1: 법령 및 지침 기준 분석 (철도안전법 제38조 및 국토부 시행지침 80개 조항 정밀 분석)
2) STEP 2: 동탄트램 특화 쟁점 도출 (무가선 배터리, 매립형 궤도, 우선신호 인터페이스 45개 쟁점 도출)
3) STEP 3: 철도종합시운전 사전검토서 편찬 및 결재 (총괄사업단장 최종 보고 및 사전검토 확정)</t>
        </is>
      </c>
      <c r="L2" s="24" t="inlineStr">
        <is>
          <t>철도종합시험운행 사전검토 결과보고서, 회의록 및 TS 공인 필증</t>
        </is>
      </c>
      <c r="M2" s="24" t="inlineStr">
        <is>
          <t>1) 철도종합시험운행 사전검토(9000-11-1) 수행을 위해 철도안전법 제38조 및 국토부 시행지침 100% 충족함.
2) 시운전 착수 전 법정 3단계 절차 및 45개 핵심 쟁점 사전검토 확정 완료함.</t>
        </is>
      </c>
      <c r="N2" s="59">
        <f>HYPERLINK(LEFT(CELL("filename",A1),FIND("[",CELL("filename",A1))-1)&amp;"11.철도종합시운전\1_철도종합시험운행 사전검토\표준서\1_철도종합시험운행 사전검토_표준서.html", "👉 [클릭] 표준서 열기 📄")</f>
        <v/>
      </c>
      <c r="O2" s="24" t="inlineStr">
        <is>
          <t>1) STEP 1: 철도종합시험운행 법정 기준 및 절차 분석
2) STEP 2: 시험운행 단계별(사전점검·시설물검증·영업시운전) 마일스톤 도출</t>
        </is>
      </c>
      <c r="P2" s="57">
        <f>HYPERLINK(LEFT(CELL("filename",A1),FIND("[",CELL("filename",A1))-1)&amp;"11.철도종합시운전\1_철도종합시험운행 사전검토\수행지침\1_철도종합시험운행 사전검토_수행지침.html", "👉 [클릭] 수행지침 열기 📄")</f>
        <v/>
      </c>
      <c r="Q2" s="24" t="inlineStr">
        <is>
          <t>1) 철도종합시험운행 시행지침 검토 시방 및 국토교통부 고시 기준 전 조항 분석 기준을 100% 충족하였는가?
2) 개통 목표일 역산정 공정 분석 검측 및 불합격 요소를 전면 차단하였는가?</t>
        </is>
      </c>
      <c r="R2" s="55">
        <f>HYPERLINK(LEFT(CELL("filename",A1),FIND("[",CELL("filename",A1))-1)&amp;"11.철도종합시운전\1_철도종합시험운행 사전검토\체크리스트\1_철도종합시험운행 사전검토_체크리스트.html", "👉 [클릭] 체크리스트 열기 📄")</f>
        <v/>
      </c>
      <c r="S2" s="21" t="inlineStr">
        <is>
          <t>철도종합시험운행 시행지침 준수</t>
        </is>
      </c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  <c r="DY2" s="18" t="n"/>
      <c r="DZ2" s="18" t="n"/>
      <c r="EA2" s="18" t="n"/>
      <c r="EB2" s="18" t="n"/>
      <c r="EC2" s="18" t="n"/>
      <c r="ED2" s="18" t="n"/>
      <c r="EE2" s="18" t="n"/>
      <c r="EF2" s="18" t="n"/>
      <c r="EG2" s="18" t="n"/>
      <c r="EH2" s="18" t="n"/>
      <c r="EI2" s="18" t="n"/>
      <c r="EJ2" s="18" t="n"/>
      <c r="EK2" s="18" t="n"/>
      <c r="EL2" s="18" t="n"/>
      <c r="EM2" s="18" t="n"/>
      <c r="EN2" s="18" t="n"/>
      <c r="EO2" s="18" t="n"/>
      <c r="EP2" s="18" t="n"/>
      <c r="EQ2" s="18" t="n"/>
      <c r="ER2" s="18" t="n"/>
      <c r="ES2" s="18" t="n"/>
      <c r="ET2" s="18" t="n"/>
      <c r="EU2" s="18" t="n"/>
      <c r="EV2" s="18" t="n"/>
      <c r="EW2" s="18" t="n"/>
      <c r="EX2" s="18" t="n"/>
      <c r="EY2" s="18" t="n"/>
    </row>
    <row r="3" ht="114.6" customHeight="1" s="88">
      <c r="A3" s="29" t="inlineStr">
        <is>
          <t>9000</t>
        </is>
      </c>
      <c r="B3" s="29" t="inlineStr">
        <is>
          <t>9000-11</t>
        </is>
      </c>
      <c r="C3" s="29" t="inlineStr">
        <is>
          <t>철도종합시험운행</t>
        </is>
      </c>
      <c r="D3" s="29" t="inlineStr">
        <is>
          <t>9000-11-2</t>
        </is>
      </c>
      <c r="E3" s="102" t="inlineStr">
        <is>
          <t>9000-11-1</t>
        </is>
      </c>
      <c r="F3" s="102" t="inlineStr">
        <is>
          <t>9000-11-6, 9000-11-7</t>
        </is>
      </c>
      <c r="G3" s="32" t="inlineStr">
        <is>
          <t>철도종합시험운행 사전검토 회의</t>
        </is>
      </c>
      <c r="H3" s="33" t="inlineStr">
        <is>
          <t>D-50</t>
        </is>
      </c>
      <c r="I3" s="33" t="inlineStr">
        <is>
          <t>개통운영팀</t>
        </is>
      </c>
      <c r="J3" s="34" t="inlineStr">
        <is>
          <t>사업단·감리단·협력사 합동 사전검토 회의 및 SOP 일정계획 상호 검토</t>
        </is>
      </c>
      <c r="K3" s="50" t="inlineStr">
        <is>
          <t>1) STEP 1: 시운전 사전검토 회의 안건 수립 (8대 공종 책임자 및 감리단 합동 검토 안건 상정)
2) STEP 2: 공종 간 인터페이스 및 R&amp;R 협의 (궤도, 전기, 신호, 통신, 차량 등 120개 연동 항목 분계점 확정)
3) STEP 3: 회의록 작성 및 전사 배포 (의결 사항 정리 및 유관부서 공식 배포함)</t>
        </is>
      </c>
      <c r="L3" s="34" t="inlineStr">
        <is>
          <t>철도종합시험운행 사전검토 회의 결과보고서, 회의록 및 TS 공인 필증</t>
        </is>
      </c>
      <c r="M3" s="34" t="inlineStr">
        <is>
          <t>1) 철도종합시험운행 사전검토 회의(9000-11-2)를 통해 8대 공종 간섭 및 R&amp;R 분계점 100% 확정함.
2) 120개 필수 점검항목 도출 및 회의록 전사 배포 완료함.</t>
        </is>
      </c>
      <c r="N3" s="60">
        <f>HYPERLINK(LEFT(CELL("filename",A1),FIND("[",CELL("filename",A1))-1)&amp;"11.철도종합시운전\2_철도종합시험운행 사전검토 회의\표준서\2_철도종합시험운행 사전검토 회의_표준서.html", "👉 [클릭] 표준서 열기 📄")</f>
        <v/>
      </c>
      <c r="O3" s="34" t="inlineStr">
        <is>
          <t>1) STEP 1: 전 공종 책임자 합동 사전검토 회의 소집
2) STEP 2: 분야별 잔여 공종 및 시운전 간섭 요소 검토</t>
        </is>
      </c>
      <c r="P3" s="58">
        <f>HYPERLINK(LEFT(CELL("filename",A1),FIND("[",CELL("filename",A1))-1)&amp;"11.철도종합시운전\2_철도종합시험운행 사전검토 회의\수행지침\2_철도종합시험운행 사전검토 회의_수행지침.html", "👉 [클릭] 수행지침 열기 📄")</f>
        <v/>
      </c>
      <c r="Q3" s="34" t="inlineStr">
        <is>
          <t>1) SOP 일정표 상호 검토 시방 및 공종별 준공 일정과 시운전 착수일 대조 기준을 100% 충족하였는가?
2) 분야별 책임분계점 확정 검측 및 불합격 요소를 전면 차단하였는가?</t>
        </is>
      </c>
      <c r="R3" s="56">
        <f>HYPERLINK(LEFT(CELL("filename",A1),FIND("[",CELL("filename",A1))-1)&amp;"11.철도종합시운전\2_철도종합시험운행 사전검토 회의\체크리스트\2_철도종합시험운행 사전검토 회의_체크리스트.html", "👉 [클릭] 체크리스트 열기 📄")</f>
        <v/>
      </c>
      <c r="S3" s="33" t="inlineStr">
        <is>
          <t>철도종합시험운행 시행지침 준수</t>
        </is>
      </c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8" t="n"/>
      <c r="ER3" s="18" t="n"/>
      <c r="ES3" s="18" t="n"/>
      <c r="ET3" s="18" t="n"/>
      <c r="EU3" s="18" t="n"/>
      <c r="EV3" s="18" t="n"/>
      <c r="EW3" s="18" t="n"/>
      <c r="EX3" s="18" t="n"/>
      <c r="EY3" s="18" t="n"/>
      <c r="EZ3" s="18" t="n"/>
      <c r="FA3" s="18" t="n"/>
      <c r="FB3" s="18" t="n"/>
      <c r="FC3" s="18" t="n"/>
    </row>
    <row r="4" ht="105.6" customHeight="1" s="88">
      <c r="A4" s="19" t="inlineStr">
        <is>
          <t>9000</t>
        </is>
      </c>
      <c r="B4" s="19" t="inlineStr">
        <is>
          <t>9000-11</t>
        </is>
      </c>
      <c r="C4" s="19" t="inlineStr">
        <is>
          <t>철도종합시험운행</t>
        </is>
      </c>
      <c r="D4" s="19" t="inlineStr">
        <is>
          <t>9000-11-3</t>
        </is>
      </c>
      <c r="E4" s="95" t="inlineStr">
        <is>
          <t>9000-11-1</t>
        </is>
      </c>
      <c r="F4" s="95" t="inlineStr">
        <is>
          <t>9000-11-8</t>
        </is>
      </c>
      <c r="G4" s="23" t="inlineStr">
        <is>
          <t>토목·궤도 인터페이스 협의</t>
        </is>
      </c>
      <c r="H4" s="21" t="inlineStr">
        <is>
          <t>D-40</t>
        </is>
      </c>
      <c r="I4" s="21" t="inlineStr">
        <is>
          <t>시스템팀</t>
        </is>
      </c>
      <c r="J4" s="24" t="inlineStr">
        <is>
          <t>노반·궤도·분기기 시공 상태 검증 및 신호설비 설치 사전 인터페이스 협의</t>
        </is>
      </c>
      <c r="K4" s="49" t="inlineStr">
        <is>
          <t>1) STEP 1: 매립형 그루브 레일 ↔ 노반 인터페이스 검측 (궤간 1,435mm 및 레일 레벨 검측 완료)
2) STEP 2: 143개소 선로전환기 배수 및 토목 연결부 점검 (전철기 피트 침수 방지 횡단 배수관로 점검함)
3) STEP 3: 정거장 승강장 연단 간격 인터페이스 검증 (차량 발판 이격 50mm 이내 적합성 입증)</t>
        </is>
      </c>
      <c r="L4" s="24" t="inlineStr">
        <is>
          <t>토목·궤도 인터페이스 협의 결과보고서, 회의록 및 TS 공인 필증</t>
        </is>
      </c>
      <c r="M4" s="24" t="inlineStr">
        <is>
          <t>1) 토목·궤도 인터페이스 협의(9000-11-3) 기준을 엄격히 적용하여 선로 기하구조 100% 검증함.
2) 분기기 배수관로 및 승강장 연단 간격 기술기준 적합성 확정함.</t>
        </is>
      </c>
      <c r="N4" s="59">
        <f>HYPERLINK(LEFT(CELL("filename",A1),FIND("[",CELL("filename",A1))-1)&amp;"11.철도종합시운전\3_토목·궤도 인터페이스 협의\표준서\3_토목·궤도 인터페이스 협의_표준서.html", "👉 [클릭] 표준서 열기 📄")</f>
        <v/>
      </c>
      <c r="O4" s="24" t="inlineStr">
        <is>
          <t>1) STEP 1: 매립형 궤도 기하구조 정밀 실측 데이터 검토
2) STEP 2: 선로전환기(143개소) 및 신호 검지선 인터페이스 확인</t>
        </is>
      </c>
      <c r="P4" s="57">
        <f>HYPERLINK(LEFT(CELL("filename",A1),FIND("[",CELL("filename",A1))-1)&amp;"11.철도종합시운전\3_토목·궤도 인터페이스 협의\수행지침\3_토목·궤도 인터페이스 협의_수행지침.html", "👉 [클릭] 수행지침 열기 📄")</f>
        <v/>
      </c>
      <c r="Q4" s="24" t="inlineStr">
        <is>
          <t>1) 궤도 단면 및 궤간 검측 시방 및 궤간 1,435mm ±2mm 이내 확인 기준을 100% 충족하였는가?
2) 선로전환기 취부부 검토 검측 및 불합격 요소를 전면 차단하였는가?</t>
        </is>
      </c>
      <c r="R4" s="55">
        <f>HYPERLINK(LEFT(CELL("filename",A1),FIND("[",CELL("filename",A1))-1)&amp;"11.철도종합시운전\3_토목·궤도 인터페이스 협의\체크리스트\3_토목·궤도 인터페이스 협의_체크리스트.html", "👉 [클릭] 체크리스트 열기 📄")</f>
        <v/>
      </c>
      <c r="S4" s="21" t="inlineStr">
        <is>
          <t>철도종합시험운행 시행지침 준수</t>
        </is>
      </c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  <c r="DY4" s="18" t="n"/>
      <c r="DZ4" s="18" t="n"/>
      <c r="EA4" s="18" t="n"/>
      <c r="EB4" s="18" t="n"/>
      <c r="EC4" s="18" t="n"/>
      <c r="ED4" s="18" t="n"/>
      <c r="EE4" s="18" t="n"/>
      <c r="EF4" s="18" t="n"/>
      <c r="EG4" s="18" t="n"/>
      <c r="EH4" s="18" t="n"/>
      <c r="EI4" s="18" t="n"/>
      <c r="EJ4" s="18" t="n"/>
      <c r="EK4" s="18" t="n"/>
      <c r="EL4" s="18" t="n"/>
      <c r="EM4" s="18" t="n"/>
      <c r="EN4" s="18" t="n"/>
      <c r="EO4" s="18" t="n"/>
      <c r="EP4" s="18" t="n"/>
      <c r="EQ4" s="18" t="n"/>
      <c r="ER4" s="18" t="n"/>
      <c r="ES4" s="18" t="n"/>
      <c r="ET4" s="18" t="n"/>
      <c r="EU4" s="18" t="n"/>
      <c r="EV4" s="18" t="n"/>
      <c r="EW4" s="18" t="n"/>
      <c r="EX4" s="18" t="n"/>
      <c r="EY4" s="18" t="n"/>
      <c r="EZ4" s="18" t="n"/>
      <c r="FA4" s="18" t="n"/>
      <c r="FB4" s="18" t="n"/>
      <c r="FC4" s="18" t="n"/>
      <c r="FD4" s="18" t="n"/>
      <c r="FE4" s="18" t="n"/>
      <c r="FF4" s="18" t="n"/>
      <c r="FG4" s="18" t="n"/>
    </row>
    <row r="5" ht="118.8" customHeight="1" s="88">
      <c r="A5" s="29" t="inlineStr">
        <is>
          <t>9000</t>
        </is>
      </c>
      <c r="B5" s="29" t="inlineStr">
        <is>
          <t>9000-11</t>
        </is>
      </c>
      <c r="C5" s="29" t="inlineStr">
        <is>
          <t>철도종합시험운행</t>
        </is>
      </c>
      <c r="D5" s="29" t="inlineStr">
        <is>
          <t>9000-11-4</t>
        </is>
      </c>
      <c r="E5" s="102" t="inlineStr">
        <is>
          <t>9000-11-1</t>
        </is>
      </c>
      <c r="F5" s="102" t="inlineStr">
        <is>
          <t>9000-11-8</t>
        </is>
      </c>
      <c r="G5" s="32" t="inlineStr">
        <is>
          <t>전기·통신·신호·차량 인터페이스 협의</t>
        </is>
      </c>
      <c r="H5" s="33" t="inlineStr">
        <is>
          <t>D-35</t>
        </is>
      </c>
      <c r="I5" s="33" t="inlineStr">
        <is>
          <t>시스템팀</t>
        </is>
      </c>
      <c r="J5" s="34" t="inlineStr">
        <is>
          <t>급전·LTE-R·T-ATP/ATO·차량 간 E&amp;M 복합 시스템 연동 인터페이스 조율</t>
        </is>
      </c>
      <c r="K5" s="50" t="inlineStr">
        <is>
          <t>1) STEP 1: 정거장 급속충전 장치 ↔ 차상 배터리 인터페이스 검증 (DC 750V 충전 아크 및 결선 점검)
2) STEP 2: LTE-R 차상 무선통신망 ↔ 지상 안테나 정합성 시험 (패킷 손실률 1% 이하 전파 환경 검증함)
3) STEP 3: T-ATP/ATO 신호 ↔ PSD 스크린도어 연동 프로토콜 검증 (정위치 정차 ±300mm 동기화 확정)</t>
        </is>
      </c>
      <c r="L5" s="34" t="inlineStr">
        <is>
          <t>전기·통신·신호·차량 인터페이스 협의 결과보고서, 회의록 및 TS 공인 필증</t>
        </is>
      </c>
      <c r="M5" s="34" t="inlineStr">
        <is>
          <t>1) 전기·통신·신호·차량 인터페이스 협의(9000-11-4)를 통해 4대 E&amp;M 연동 프로토콜 100% 일치성 달성함.
2) 무가선 배터리 충전 및 PSD 동기화 안전 인터록 검증 완료함.</t>
        </is>
      </c>
      <c r="N5" s="60">
        <f>HYPERLINK(LEFT(CELL("filename",A1),FIND("[",CELL("filename",A1))-1)&amp;"11.철도종합시운전\4_전기·통신·신호·차량 인터페이스 협의\표준서\4_전기·통신·신호·차량 인터페이스 협의_표준서.html", "👉 [클릭] 표준서 열기 📄")</f>
        <v/>
      </c>
      <c r="O5" s="34" t="inlineStr">
        <is>
          <t>1) STEP 1: 전기 급전 및 배터리 급속충전 인터페이스 검토
2) STEP 2: LTE-R 통신망 및 신호 T-ATP/ATO 데이터 인터페이스 검증</t>
        </is>
      </c>
      <c r="P5" s="58">
        <f>HYPERLINK(LEFT(CELL("filename",A1),FIND("[",CELL("filename",A1))-1)&amp;"11.철도종합시운전\4_전기·통신·신호·차량 인터페이스 협의\수행지침\4_전기·통신·신호·차량 인터페이스 협의_수행지침.html", "👉 [클릭] 수행지침 열기 📄")</f>
        <v/>
      </c>
      <c r="Q5" s="34" t="inlineStr">
        <is>
          <t>1) 급속충전 시스템 연동 시방 및 정거장 강체 가선 및 집전장치 대조 기준을 100% 충족하였는가?
2) LTE-R 무선 데이터 연동 검측 및 불합격 요소를 전면 차단하였는가?</t>
        </is>
      </c>
      <c r="R5" s="56">
        <f>HYPERLINK(LEFT(CELL("filename",A1),FIND("[",CELL("filename",A1))-1)&amp;"11.철도종합시운전\4_전기·통신·신호·차량 인터페이스 협의\체크리스트\4_전기·통신·신호·차량 인터페이스 협의_체크리스트.html", "👉 [클릭] 체크리스트 열기 📄")</f>
        <v/>
      </c>
      <c r="S5" s="33" t="inlineStr">
        <is>
          <t>철도종합시험운행 시행지침 준수</t>
        </is>
      </c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  <c r="DY5" s="18" t="n"/>
      <c r="DZ5" s="18" t="n"/>
      <c r="EA5" s="18" t="n"/>
      <c r="EB5" s="18" t="n"/>
      <c r="EC5" s="18" t="n"/>
      <c r="ED5" s="18" t="n"/>
      <c r="EE5" s="18" t="n"/>
      <c r="EF5" s="18" t="n"/>
      <c r="EG5" s="18" t="n"/>
      <c r="EH5" s="18" t="n"/>
      <c r="EI5" s="18" t="n"/>
      <c r="EJ5" s="18" t="n"/>
      <c r="EK5" s="18" t="n"/>
      <c r="EL5" s="18" t="n"/>
      <c r="EM5" s="18" t="n"/>
      <c r="EN5" s="18" t="n"/>
      <c r="EO5" s="18" t="n"/>
      <c r="EP5" s="18" t="n"/>
      <c r="EQ5" s="18" t="n"/>
      <c r="ER5" s="18" t="n"/>
      <c r="ES5" s="18" t="n"/>
      <c r="ET5" s="18" t="n"/>
      <c r="EU5" s="18" t="n"/>
      <c r="EV5" s="18" t="n"/>
      <c r="EW5" s="18" t="n"/>
      <c r="EX5" s="18" t="n"/>
      <c r="EY5" s="18" t="n"/>
      <c r="EZ5" s="18" t="n"/>
      <c r="FA5" s="18" t="n"/>
      <c r="FB5" s="18" t="n"/>
      <c r="FC5" s="18" t="n"/>
      <c r="FD5" s="18" t="n"/>
      <c r="FE5" s="18" t="n"/>
      <c r="FF5" s="18" t="n"/>
      <c r="FG5" s="18" t="n"/>
      <c r="FH5" s="18" t="n"/>
      <c r="FI5" s="18" t="n"/>
      <c r="FJ5" s="18" t="n"/>
      <c r="FK5" s="18" t="n"/>
    </row>
    <row r="6" ht="118.8" customHeight="1" s="88">
      <c r="A6" s="19" t="inlineStr">
        <is>
          <t>9000</t>
        </is>
      </c>
      <c r="B6" s="19" t="inlineStr">
        <is>
          <t>9000-11</t>
        </is>
      </c>
      <c r="C6" s="19" t="inlineStr">
        <is>
          <t>철도종합시험운행</t>
        </is>
      </c>
      <c r="D6" s="19" t="inlineStr">
        <is>
          <t>9000-11-5</t>
        </is>
      </c>
      <c r="E6" s="95" t="inlineStr">
        <is>
          <t>9000-11-1</t>
        </is>
      </c>
      <c r="F6" s="95" t="inlineStr">
        <is>
          <t>9000-11-8</t>
        </is>
      </c>
      <c r="G6" s="23" t="inlineStr">
        <is>
          <t>관제 및 운영사 인터페이스 협의</t>
        </is>
      </c>
      <c r="H6" s="21" t="inlineStr">
        <is>
          <t>D-30</t>
        </is>
      </c>
      <c r="I6" s="21" t="inlineStr">
        <is>
          <t>시스템팀</t>
        </is>
      </c>
      <c r="J6" s="24" t="inlineStr">
        <is>
          <t>종합관제센터(OCC)·화성도시공사 운영사 요구사항 사전 반영 및 과업범위 최적화</t>
        </is>
      </c>
      <c r="K6" s="49" t="inlineStr">
        <is>
          <t>1) STEP 1: 차량기지 종합관제센터(OCC) 원격 감시 제어 프로토콜 검토 (SCADA/신호 화면 매핑 완료)
2) STEP 2: 화성도시공사 운영 인력 실무 투입 인터페이스 협의 (기관사, 관제사, 역무원 R&amp;R 확정)
3) STEP 3: 관제 인터페이스 협의서 체결 및 하자보수 체계 정립 (책임분계점 명문화 및 핫라인 구축함)</t>
        </is>
      </c>
      <c r="L6" s="24" t="inlineStr">
        <is>
          <t>관제 및 운영사 인터페이스 협의 결과보고서, 회의록 및 TS 공인 필증</t>
        </is>
      </c>
      <c r="M6" s="24" t="inlineStr">
        <is>
          <t>1) 관제 및 운영사 인터페이스 협의(9000-11-5)를 통해 OCC 원격 감시 제어 및 운영사 협업 체계 100% 확립함.
2) 하자보수 책임분계점 명확화 및 실시간 관제 핫라인 구축 완료함.</t>
        </is>
      </c>
      <c r="N6" s="59">
        <f>HYPERLINK(LEFT(CELL("filename",A1),FIND("[",CELL("filename",A1))-1)&amp;"11.철도종합시운전\5_관제 및 운영사 인터페이스 협의\표준서\5_관제 및 운영사 인터페이스 협의_표준서.html", "👉 [클릭] 표준서 열기 📄")</f>
        <v/>
      </c>
      <c r="O6" s="24" t="inlineStr">
        <is>
          <t>1) STEP 1: 종합관제센터 관제 설비 및 원격 감시 체계 검토
2) STEP 2: 화성도시공사 운영사 요구사항 수렴 및 기능 최적화</t>
        </is>
      </c>
      <c r="P6" s="57">
        <f>HYPERLINK(LEFT(CELL("filename",A1),FIND("[",CELL("filename",A1))-1)&amp;"11.철도종합시운전\5_관제 및 운영사 인터페이스 협의\수행지침\5_관제 및 운영사 인터페이스 협의_수행지침.html", "👉 [클릭] 수행지침 열기 📄")</f>
        <v/>
      </c>
      <c r="Q6" s="24" t="inlineStr">
        <is>
          <t>1) 종합관제 SCADA 화면 검토 시방 및 전력/신호/설비 관제 화면 검증 기준을 100% 충족하였는가?
2) 사령-현장 비상통신 라인 검측 및 불합격 요소를 전면 차단하였는가?</t>
        </is>
      </c>
      <c r="R6" s="55">
        <f>HYPERLINK(LEFT(CELL("filename",A1),FIND("[",CELL("filename",A1))-1)&amp;"11.철도종합시운전\5_관제 및 운영사 인터페이스 협의\체크리스트\5_관제 및 운영사 인터페이스 협의_체크리스트.html", "👉 [클릭] 체크리스트 열기 📄")</f>
        <v/>
      </c>
      <c r="S6" s="21" t="inlineStr">
        <is>
          <t>철도종합시험운행 시행지침 준수</t>
        </is>
      </c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  <c r="DY6" s="18" t="n"/>
      <c r="DZ6" s="18" t="n"/>
      <c r="EA6" s="18" t="n"/>
      <c r="EB6" s="18" t="n"/>
      <c r="EC6" s="18" t="n"/>
      <c r="ED6" s="18" t="n"/>
      <c r="EE6" s="18" t="n"/>
      <c r="EF6" s="18" t="n"/>
      <c r="EG6" s="18" t="n"/>
      <c r="EH6" s="18" t="n"/>
      <c r="EI6" s="18" t="n"/>
      <c r="EJ6" s="18" t="n"/>
      <c r="EK6" s="18" t="n"/>
      <c r="EL6" s="18" t="n"/>
      <c r="EM6" s="18" t="n"/>
      <c r="EN6" s="18" t="n"/>
      <c r="EO6" s="18" t="n"/>
      <c r="EP6" s="18" t="n"/>
      <c r="EQ6" s="18" t="n"/>
      <c r="ER6" s="18" t="n"/>
      <c r="ES6" s="18" t="n"/>
      <c r="ET6" s="18" t="n"/>
      <c r="EU6" s="18" t="n"/>
      <c r="EV6" s="18" t="n"/>
      <c r="EW6" s="18" t="n"/>
      <c r="EX6" s="18" t="n"/>
      <c r="EY6" s="18" t="n"/>
      <c r="EZ6" s="18" t="n"/>
      <c r="FA6" s="18" t="n"/>
      <c r="FB6" s="18" t="n"/>
      <c r="FC6" s="18" t="n"/>
      <c r="FD6" s="18" t="n"/>
      <c r="FE6" s="18" t="n"/>
      <c r="FF6" s="18" t="n"/>
      <c r="FG6" s="18" t="n"/>
      <c r="FH6" s="18" t="n"/>
      <c r="FI6" s="18" t="n"/>
      <c r="FJ6" s="18" t="n"/>
      <c r="FK6" s="18" t="n"/>
      <c r="FL6" s="18" t="n"/>
      <c r="FM6" s="18" t="n"/>
      <c r="FN6" s="18" t="n"/>
      <c r="FO6" s="18" t="n"/>
    </row>
    <row r="7" ht="118.8" customHeight="1" s="88">
      <c r="A7" s="29" t="inlineStr">
        <is>
          <t>9000</t>
        </is>
      </c>
      <c r="B7" s="29" t="inlineStr">
        <is>
          <t>9000-11</t>
        </is>
      </c>
      <c r="C7" s="29" t="inlineStr">
        <is>
          <t>철도종합시험운행</t>
        </is>
      </c>
      <c r="D7" s="29" t="inlineStr">
        <is>
          <t>9000-11-6</t>
        </is>
      </c>
      <c r="E7" s="102" t="inlineStr">
        <is>
          <t>9000-11-2</t>
        </is>
      </c>
      <c r="F7" s="102" t="inlineStr">
        <is>
          <t>9000-11-8, 9000-11-9</t>
        </is>
      </c>
      <c r="G7" s="32" t="inlineStr">
        <is>
          <t>인력·시험장비 투입계획 수립</t>
        </is>
      </c>
      <c r="H7" s="33" t="inlineStr">
        <is>
          <t>D-30</t>
        </is>
      </c>
      <c r="I7" s="33" t="inlineStr">
        <is>
          <t>개통운영팀</t>
        </is>
      </c>
      <c r="J7" s="34" t="inlineStr">
        <is>
          <t>시험운전반, 유관기관 합동 점검단 인력 배치 및 공인 시험 계측기 확보</t>
        </is>
      </c>
      <c r="K7" s="50" t="inlineStr">
        <is>
          <t>1) STEP 1: 5대 전문 시험운전반 조직 구성 (총괄, 시설, 시스템, 차량, 안전통제반 45명 편성)
2) STEP 2: 국가공인 교정 검측 장비 확보 및 필증 검증 (레이저 트랙게이지, 전력품질분석기 교정 필증 확인)
3) STEP 3: 비상출동 긴급복구조 편성 및 투입계획 확정 (시운전 중 돌발 장애 대응 24시간 비상조 가동)</t>
        </is>
      </c>
      <c r="L7" s="34" t="inlineStr">
        <is>
          <t>인력·시험장비 투입계획 수립 결과보고서, 회의록 및 TS 공인 필증</t>
        </is>
      </c>
      <c r="M7" s="34" t="inlineStr">
        <is>
          <t>1) 인력·시험장비 투입계획 수립(9000-11-6)으로 5대 시험운전반 45명 및 공인 계측기 100% 투입 확정함.
2) 24시간 긴급복구 비상출동체계 완비 및 교정 필증 확보 완료함.</t>
        </is>
      </c>
      <c r="N7" s="60">
        <f>HYPERLINK(LEFT(CELL("filename",A1),FIND("[",CELL("filename",A1))-1)&amp;"11.철도종합시운전\6_인력·시험장비 투입계획 수립\표준서\6_인력·시험장비 투입계획 수립_표준서.html", "👉 [클릭] 표준서 열기 📄")</f>
        <v/>
      </c>
      <c r="O7" s="34" t="inlineStr">
        <is>
          <t>1) STEP 1: 5대 전문 시험운전반 조직 체계 수립
2) STEP 2: 공인 교정 시험 계측기 및 검측 장비 확보</t>
        </is>
      </c>
      <c r="P7" s="58">
        <f>HYPERLINK(LEFT(CELL("filename",A1),FIND("[",CELL("filename",A1))-1)&amp;"11.철도종합시운전\6_인력·시험장비 투입계획 수립\수행지침\6_인력·시험장비 투입계획 수립_수행지침.html", "👉 [클릭] 수행지침 열기 📄")</f>
        <v/>
      </c>
      <c r="Q7" s="34" t="inlineStr">
        <is>
          <t>1) 시험운전반 조직 구성표 시방 및 5개 분야 45명 전담 인력 편성 기준을 100% 충족하였는가?
2) 시험 계측장비 목록 확정 검측 및 불합격 요소를 전면 차단하였는가?</t>
        </is>
      </c>
      <c r="R7" s="56">
        <f>HYPERLINK(LEFT(CELL("filename",A1),FIND("[",CELL("filename",A1))-1)&amp;"11.철도종합시운전\6_인력·시험장비 투입계획 수립\체크리스트\6_인력·시험장비 투입계획 수립_체크리스트.html", "👉 [클릭] 체크리스트 열기 📄")</f>
        <v/>
      </c>
      <c r="S7" s="33" t="inlineStr">
        <is>
          <t>철도종합시험운행 시행지침 준수</t>
        </is>
      </c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8" t="n"/>
      <c r="EB7" s="18" t="n"/>
      <c r="EC7" s="18" t="n"/>
      <c r="ED7" s="18" t="n"/>
      <c r="EE7" s="18" t="n"/>
      <c r="EF7" s="18" t="n"/>
      <c r="EG7" s="18" t="n"/>
      <c r="EH7" s="18" t="n"/>
      <c r="EI7" s="18" t="n"/>
      <c r="EJ7" s="18" t="n"/>
      <c r="EK7" s="18" t="n"/>
      <c r="EL7" s="18" t="n"/>
      <c r="EM7" s="18" t="n"/>
      <c r="EN7" s="18" t="n"/>
      <c r="EO7" s="18" t="n"/>
      <c r="EP7" s="18" t="n"/>
      <c r="EQ7" s="18" t="n"/>
      <c r="ER7" s="18" t="n"/>
      <c r="ES7" s="18" t="n"/>
      <c r="ET7" s="18" t="n"/>
      <c r="EU7" s="18" t="n"/>
      <c r="EV7" s="18" t="n"/>
      <c r="EW7" s="18" t="n"/>
      <c r="EX7" s="18" t="n"/>
      <c r="EY7" s="18" t="n"/>
      <c r="EZ7" s="18" t="n"/>
      <c r="FA7" s="18" t="n"/>
      <c r="FB7" s="18" t="n"/>
      <c r="FC7" s="18" t="n"/>
      <c r="FD7" s="18" t="n"/>
      <c r="FE7" s="18" t="n"/>
      <c r="FF7" s="18" t="n"/>
      <c r="FG7" s="18" t="n"/>
      <c r="FH7" s="18" t="n"/>
      <c r="FI7" s="18" t="n"/>
      <c r="FJ7" s="18" t="n"/>
      <c r="FK7" s="18" t="n"/>
      <c r="FL7" s="18" t="n"/>
      <c r="FM7" s="18" t="n"/>
      <c r="FN7" s="18" t="n"/>
      <c r="FO7" s="18" t="n"/>
      <c r="FP7" s="18" t="n"/>
      <c r="FQ7" s="18" t="n"/>
      <c r="FR7" s="18" t="n"/>
      <c r="FS7" s="18" t="n"/>
    </row>
    <row r="8" ht="105.6" customHeight="1" s="88">
      <c r="A8" s="19" t="inlineStr">
        <is>
          <t>9000</t>
        </is>
      </c>
      <c r="B8" s="19" t="inlineStr">
        <is>
          <t>9000-11</t>
        </is>
      </c>
      <c r="C8" s="19" t="inlineStr">
        <is>
          <t>철도종합시험운행</t>
        </is>
      </c>
      <c r="D8" s="19" t="inlineStr">
        <is>
          <t>9000-11-7</t>
        </is>
      </c>
      <c r="E8" s="95" t="inlineStr">
        <is>
          <t>9000-11-2</t>
        </is>
      </c>
      <c r="F8" s="95" t="inlineStr">
        <is>
          <t>9000-11-9, 9000-11-10</t>
        </is>
      </c>
      <c r="G8" s="23" t="inlineStr">
        <is>
          <t>철도종합시험운행 사전 협의사항(TS) 도출</t>
        </is>
      </c>
      <c r="H8" s="21" t="inlineStr">
        <is>
          <t>D-25</t>
        </is>
      </c>
      <c r="I8" s="21" t="inlineStr">
        <is>
          <t>개통운영팀</t>
        </is>
      </c>
      <c r="J8" s="24" t="inlineStr">
        <is>
          <t>한국교통안전공단(TS) 사전 점검 항목 및 기술기준 적합성 쟁점 선제적 도출</t>
        </is>
      </c>
      <c r="K8" s="24" t="inlineStr">
        <is>
          <t>1) STEP 1: 타 철도 현장(GTX-A, 신림선 등) 개통 지적사례 전수 분석 (동일 유형 지적 100% 추출)
2) STEP 2: 도시철도건설규칙 등 법정 기술기준 80개 조항 대조 (취약 개소 선제적 도출함)
3) STEP 3: TS 사전 협의 45대 핵심 쟁점 목록 작성 및 대응안 확정 (사전컨설팅 대비 답변서 완비)</t>
        </is>
      </c>
      <c r="L8" s="24" t="inlineStr">
        <is>
          <t>철도종합시험운행 사전 협의사항(TS) 도출 결과보고서, 회의록 및 TS 공인 필증</t>
        </is>
      </c>
      <c r="M8" s="24" t="inlineStr">
        <is>
          <t>1) 철도종합시험운행 사전 협의사항(TS) 도출(9000-11-7)을 통해 45대 핵심 쟁점 사전 식별 및 대응안 확정함.
2) 타 현장 지적사례 분석 기반 선제적 현장 보강 계획 수립 완료함.</t>
        </is>
      </c>
      <c r="N8" s="59">
        <f>HYPERLINK(LEFT(CELL("filename",A1),FIND("[",CELL("filename",A1))-1)&amp;"11.철도종합시운전\7_철도종합시험운행 사전 협의사항(TS) 도출\표준서\7_철도종합시험운행 사전 협의사항(TS) 도출_표준서.html", "👉 [클릭] 표준서 열기 📄")</f>
        <v/>
      </c>
      <c r="O8" s="24" t="inlineStr">
        <is>
          <t>1) STEP 1: 도시철도건설규칙 및 철도시설 기술기준 전 조항 대조
2) STEP 2: 한국교통안전공단(TS) 주요 심사 지적사항 사전 스크리닝</t>
        </is>
      </c>
      <c r="P8" s="57">
        <f>HYPERLINK(LEFT(CELL("filename",A1),FIND("[",CELL("filename",A1))-1)&amp;"11.철도종합시운전\7_철도종합시험운행 사전 협의사항(TS) 도출\수행지침\7_철도종합시험운행 사전 협의사항(TS) 도출_수행지침.html", "👉 [클릭] 수행지침 열기 📄")</f>
        <v/>
      </c>
      <c r="Q8" s="24" t="inlineStr">
        <is>
          <t>1) 철도시설 기술기준 매핑 시방 및 도시철도건설규칙 80개 조항 분석 기준을 100% 충족하였는가?
2) TS 지적 예상 항목 검토 검측 및 불합격 요소를 전면 차단하였는가?</t>
        </is>
      </c>
      <c r="R8" s="55">
        <f>HYPERLINK(LEFT(CELL("filename",A1),FIND("[",CELL("filename",A1))-1)&amp;"11.철도종합시운전\7_철도종합시험운행 사전 협의사항(TS) 도출\체크리스트\7_철도종합시험운행 사전 협의사항(TS) 도출_체크리스트.html", "👉 [클릭] 체크리스트 열기 📄")</f>
        <v/>
      </c>
      <c r="S8" s="21" t="inlineStr">
        <is>
          <t>철도종합시험운행 시행지침 준수</t>
        </is>
      </c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8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  <c r="EN8" s="18" t="n"/>
      <c r="EO8" s="18" t="n"/>
      <c r="EP8" s="18" t="n"/>
      <c r="EQ8" s="18" t="n"/>
      <c r="ER8" s="18" t="n"/>
      <c r="ES8" s="18" t="n"/>
      <c r="ET8" s="18" t="n"/>
      <c r="EU8" s="18" t="n"/>
      <c r="EV8" s="18" t="n"/>
      <c r="EW8" s="18" t="n"/>
      <c r="EX8" s="18" t="n"/>
      <c r="EY8" s="18" t="n"/>
      <c r="EZ8" s="18" t="n"/>
      <c r="FA8" s="18" t="n"/>
      <c r="FB8" s="18" t="n"/>
      <c r="FC8" s="18" t="n"/>
      <c r="FD8" s="18" t="n"/>
      <c r="FE8" s="18" t="n"/>
      <c r="FF8" s="18" t="n"/>
      <c r="FG8" s="18" t="n"/>
      <c r="FH8" s="18" t="n"/>
      <c r="FI8" s="18" t="n"/>
      <c r="FJ8" s="18" t="n"/>
      <c r="FK8" s="18" t="n"/>
      <c r="FL8" s="18" t="n"/>
      <c r="FM8" s="18" t="n"/>
      <c r="FN8" s="18" t="n"/>
      <c r="FO8" s="18" t="n"/>
      <c r="FP8" s="18" t="n"/>
      <c r="FQ8" s="18" t="n"/>
      <c r="FR8" s="18" t="n"/>
      <c r="FS8" s="18" t="n"/>
      <c r="FT8" s="18" t="n"/>
      <c r="FU8" s="18" t="n"/>
      <c r="FV8" s="18" t="n"/>
      <c r="FW8" s="18" t="n"/>
    </row>
    <row r="9" ht="105.6" customHeight="1" s="88">
      <c r="A9" s="29" t="inlineStr">
        <is>
          <t>9000</t>
        </is>
      </c>
      <c r="B9" s="29" t="inlineStr">
        <is>
          <t>9000-11</t>
        </is>
      </c>
      <c r="C9" s="29" t="inlineStr">
        <is>
          <t>철도종합시험운행</t>
        </is>
      </c>
      <c r="D9" s="29" t="inlineStr">
        <is>
          <t>9000-11-8</t>
        </is>
      </c>
      <c r="E9" s="102" t="inlineStr">
        <is>
          <t>9000-11-3, 9000-11-4, 9000-11-5, 9000-11-6</t>
        </is>
      </c>
      <c r="F9" s="102" t="inlineStr">
        <is>
          <t>9000-11-9, 9000-11-12</t>
        </is>
      </c>
      <c r="G9" s="32" t="inlineStr">
        <is>
          <t>착수 전 전공종 합동회의</t>
        </is>
      </c>
      <c r="H9" s="33" t="inlineStr">
        <is>
          <t>D-20</t>
        </is>
      </c>
      <c r="I9" s="33" t="inlineStr">
        <is>
          <t>시공사업단</t>
        </is>
      </c>
      <c r="J9" s="34" t="inlineStr">
        <is>
          <t>8대 전 공종 단독·연동시험 결과보고서 검증 및 시운전 전제조건 100% 충족 확인</t>
        </is>
      </c>
      <c r="K9" s="50" t="inlineStr">
        <is>
          <t>1) STEP 1: 8대 공종 단독 및 연동시험 성적서 취합 검증 (토목/궤도/전기/신호 등 전수 적합 확인)
2) STEP 2: 법정 검사 완료 필증 확인 (전기 사용전검사, 소방 완공검사, 승강기 완성검사 필증 확인)
3) STEP 3: 착수 전 전공종 합동회의 개최 및 시운전 개시 선언 (전 공종 책임자 서명 및 착수 선포)</t>
        </is>
      </c>
      <c r="L9" s="34" t="inlineStr">
        <is>
          <t>착수 전 전공종 합동회의 결과보고서, 회의록 및 TS 공인 필증</t>
        </is>
      </c>
      <c r="M9" s="34" t="inlineStr">
        <is>
          <t>1) 착수 전 전공종 합동회의 및 공종별시험 완료 검증(9000-11-8)으로 시운전 착수 전제조건 100% 충족함.
2) 법정 필증 전수 확보 및 전 공종 책임자 서명 날인 완료함.</t>
        </is>
      </c>
      <c r="N9" s="60">
        <f>HYPERLINK(LEFT(CELL("filename",A1),FIND("[",CELL("filename",A1))-1)&amp;"11.철도종합시운전\8_착수 전 전공종 합동회의 및 공종별시험 완료 검증\표준서\8_착수 전 전공종 합동회의 및 공종별시험 완료 검증_표준서.html", "👉 [클릭] 표준서 열기 📄")</f>
        <v/>
      </c>
      <c r="O9" s="34" t="inlineStr">
        <is>
          <t>1) STEP 1: 8대 공종별 단독·공종시험 결과보고서 전수 취합
2) STEP 2: 법정 검사 필증 및 사전 승인 서류 확인</t>
        </is>
      </c>
      <c r="P9" s="58">
        <f>HYPERLINK(LEFT(CELL("filename",A1),FIND("[",CELL("filename",A1))-1)&amp;"11.철도종합시운전\8_착수 전 전공종 합동회의 및 공종별시험 완료 검증\수행지침\8_착수 전 전공종 합동회의 및 공종별시험 완료 검증_수행지침.html", "👉 [클릭] 수행지침 열기 📄")</f>
        <v/>
      </c>
      <c r="Q9" s="34" t="inlineStr">
        <is>
          <t>1) 8대 공종 시험성적서 검토 시방 및 노반 다짐, 궤도 기하, 변전소 가압 기준을 100% 충족하였는가?
2) 신호/통신 연동시험 검증 검측 및 불합격 요소를 전면 차단하였는가?</t>
        </is>
      </c>
      <c r="R9" s="56">
        <f>HYPERLINK(LEFT(CELL("filename",A1),FIND("[",CELL("filename",A1))-1)&amp;"11.철도종합시운전\8_착수 전 전공종 합동회의 및 공종별시험 완료 검증\체크리스트\8_착수 전 전공종 합동회의 및 공종별시험 완료 검증_체크리스트.html", "👉 [클릭] 체크리스트 열기 📄")</f>
        <v/>
      </c>
      <c r="S9" s="33" t="inlineStr">
        <is>
          <t>철도종합시험운행 시행지침 준수</t>
        </is>
      </c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8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  <c r="ER9" s="18" t="n"/>
      <c r="ES9" s="18" t="n"/>
      <c r="ET9" s="18" t="n"/>
      <c r="EU9" s="18" t="n"/>
      <c r="EV9" s="18" t="n"/>
      <c r="EW9" s="18" t="n"/>
      <c r="EX9" s="18" t="n"/>
      <c r="EY9" s="18" t="n"/>
      <c r="EZ9" s="18" t="n"/>
      <c r="FA9" s="18" t="n"/>
      <c r="FB9" s="18" t="n"/>
      <c r="FC9" s="18" t="n"/>
      <c r="FD9" s="18" t="n"/>
      <c r="FE9" s="18" t="n"/>
      <c r="FF9" s="18" t="n"/>
      <c r="FG9" s="18" t="n"/>
      <c r="FH9" s="18" t="n"/>
      <c r="FI9" s="18" t="n"/>
      <c r="FJ9" s="18" t="n"/>
      <c r="FK9" s="18" t="n"/>
      <c r="FL9" s="18" t="n"/>
      <c r="FM9" s="18" t="n"/>
      <c r="FN9" s="18" t="n"/>
      <c r="FO9" s="18" t="n"/>
      <c r="FP9" s="18" t="n"/>
      <c r="FQ9" s="18" t="n"/>
      <c r="FR9" s="18" t="n"/>
      <c r="FS9" s="18" t="n"/>
      <c r="FT9" s="18" t="n"/>
      <c r="FU9" s="18" t="n"/>
      <c r="FV9" s="18" t="n"/>
      <c r="FW9" s="18" t="n"/>
      <c r="FX9" s="18" t="n"/>
      <c r="FY9" s="18" t="n"/>
      <c r="FZ9" s="18" t="n"/>
      <c r="GA9" s="18" t="n"/>
    </row>
    <row r="10" ht="92.40000000000001" customHeight="1" s="88">
      <c r="A10" s="19" t="inlineStr">
        <is>
          <t>9000</t>
        </is>
      </c>
      <c r="B10" s="19" t="inlineStr">
        <is>
          <t>9000-11</t>
        </is>
      </c>
      <c r="C10" s="19" t="inlineStr">
        <is>
          <t>철도종합시험운행</t>
        </is>
      </c>
      <c r="D10" s="19" t="inlineStr">
        <is>
          <t>9000-11-9</t>
        </is>
      </c>
      <c r="E10" s="95" t="inlineStr">
        <is>
          <t>9000-11-6, 9000-11-7, 9000-11-8</t>
        </is>
      </c>
      <c r="F10" s="95" t="inlineStr">
        <is>
          <t>9000-11-10, 9000-11-11</t>
        </is>
      </c>
      <c r="G10" s="23" t="inlineStr">
        <is>
          <t>철도종합시험운행 종합계획서 수립</t>
        </is>
      </c>
      <c r="H10" s="21" t="inlineStr">
        <is>
          <t>D+0</t>
        </is>
      </c>
      <c r="I10" s="21" t="inlineStr">
        <is>
          <t>개통운영팀</t>
        </is>
      </c>
      <c r="J10" s="24" t="inlineStr">
        <is>
          <t>철도종합시험운행 표준운영절차(SOP) 및 사전점검·시설물검증·영업시운전 종합계획서 편찬</t>
        </is>
      </c>
      <c r="K10" s="49" t="inlineStr">
        <is>
          <t>1) STEP 1: 3단계 시험운행 종합계획서(SOP) 마스터 초안 작성 (사전점검, 시설물검증, 영업시운전 총괄 수립)
2) STEP 2: 공종별 세부 시험 항목 및 검측 기준표 수록 (28개 검증 항목 및 판정 기준 집대성)
3) STEP 3: 책임감리원 기술검토의견서 첨부 및 종합계획서 승인 (사업단장 최종 결재 및 승인 확정)</t>
        </is>
      </c>
      <c r="L10" s="24" t="inlineStr">
        <is>
          <t>철도종합시험운행 종합계획서 수립 결과보고서, 회의록 및 TS 공인 필증</t>
        </is>
      </c>
      <c r="M10" s="24" t="inlineStr">
        <is>
          <t>1) 철도종합시험운행 종합계획서(SOP) 수립(9000-9-9)으로 국토교통부 표준 양식 100% 충족함.
2) 3단계 시험 절차 및 28개 검증 항목 마스터 계획 승인 완료함.</t>
        </is>
      </c>
      <c r="N10" s="59">
        <f>HYPERLINK(LEFT(CELL("filename",A1),FIND("[",CELL("filename",A1))-1)&amp;"11.철도종합시운전\9_철도종합시험운행 종합계획서(SOP) 수립\표준서\9_철도종합시험운행 종합계획서(SOP) 수립_표준서.html", "👉 [클릭] 표준서 열기 📄")</f>
        <v/>
      </c>
      <c r="O10" s="24" t="inlineStr">
        <is>
          <t>1) STEP 1: 철도종합시험운행 종합계획서(SOP) 기본 골격 수립
2) STEP 2: 단계별 세부 시험계획서(사전점검/시설물검증/영업시운전) 작성</t>
        </is>
      </c>
      <c r="P10" s="57">
        <f>HYPERLINK(LEFT(CELL("filename",A1),FIND("[",CELL("filename",A1))-1)&amp;"11.철도종합시운전\9_철도종합시험운행 종합계획서(SOP) 수립\수행지침\9_철도종합시험운행 종합계획서(SOP) 수립_수행지침.html", "👉 [클릭] 수행지침 열기 📄")</f>
        <v/>
      </c>
      <c r="Q10" s="24" t="inlineStr">
        <is>
          <t>1) 종합계획서(SOP) 본안 작성 시방 및 개요, 조직, 안전관리, 세부일정 기준을 100% 충족하였는가?
2) 사전점검 계획서 수립 검측 및 불합격 요소를 전면 차단하였는가?</t>
        </is>
      </c>
      <c r="R10" s="55">
        <f>HYPERLINK(LEFT(CELL("filename",A1),FIND("[",CELL("filename",A1))-1)&amp;"11.철도종합시운전\9_철도종합시험운행 종합계획서(SOP) 수립\체크리스트\9_철도종합시험운행 종합계획서(SOP) 수립_체크리스트.html", "👉 [클릭] 체크리스트 열기 📄")</f>
        <v/>
      </c>
      <c r="S10" s="21" t="inlineStr">
        <is>
          <t>철도종합시험운행 시행지침 준수</t>
        </is>
      </c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8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  <c r="EV10" s="18" t="n"/>
      <c r="EW10" s="18" t="n"/>
      <c r="EX10" s="18" t="n"/>
      <c r="EY10" s="18" t="n"/>
      <c r="EZ10" s="18" t="n"/>
      <c r="FA10" s="18" t="n"/>
      <c r="FB10" s="18" t="n"/>
      <c r="FC10" s="18" t="n"/>
      <c r="FD10" s="18" t="n"/>
      <c r="FE10" s="18" t="n"/>
      <c r="FF10" s="18" t="n"/>
      <c r="FG10" s="18" t="n"/>
      <c r="FH10" s="18" t="n"/>
      <c r="FI10" s="18" t="n"/>
      <c r="FJ10" s="18" t="n"/>
      <c r="FK10" s="18" t="n"/>
      <c r="FL10" s="18" t="n"/>
      <c r="FM10" s="18" t="n"/>
      <c r="FN10" s="18" t="n"/>
      <c r="FO10" s="18" t="n"/>
      <c r="FP10" s="18" t="n"/>
      <c r="FQ10" s="18" t="n"/>
      <c r="FR10" s="18" t="n"/>
      <c r="FS10" s="18" t="n"/>
      <c r="FT10" s="18" t="n"/>
      <c r="FU10" s="18" t="n"/>
      <c r="FV10" s="18" t="n"/>
      <c r="FW10" s="18" t="n"/>
      <c r="FX10" s="18" t="n"/>
      <c r="FY10" s="18" t="n"/>
      <c r="FZ10" s="18" t="n"/>
      <c r="GA10" s="18" t="n"/>
      <c r="GB10" s="18" t="n"/>
      <c r="GC10" s="18" t="n"/>
      <c r="GD10" s="18" t="n"/>
      <c r="GE10" s="18" t="n"/>
    </row>
    <row r="11" ht="118.8" customHeight="1" s="88">
      <c r="A11" s="29" t="inlineStr">
        <is>
          <t>9000</t>
        </is>
      </c>
      <c r="B11" s="29" t="inlineStr">
        <is>
          <t>9000-11</t>
        </is>
      </c>
      <c r="C11" s="29" t="inlineStr">
        <is>
          <t>철도종합시험운행</t>
        </is>
      </c>
      <c r="D11" s="29" t="inlineStr">
        <is>
          <t>9000-11-10</t>
        </is>
      </c>
      <c r="E11" s="102" t="inlineStr">
        <is>
          <t>9000-11-7, 9000-11-9</t>
        </is>
      </c>
      <c r="F11" s="102" t="inlineStr">
        <is>
          <t>9000-11-11, 9000-11-13</t>
        </is>
      </c>
      <c r="G11" s="32" t="inlineStr">
        <is>
          <t>TS 사전컨설팅 회의</t>
        </is>
      </c>
      <c r="H11" s="33" t="inlineStr">
        <is>
          <t>D+30</t>
        </is>
      </c>
      <c r="I11" s="33" t="inlineStr">
        <is>
          <t>개통운영팀</t>
        </is>
      </c>
      <c r="J11" s="34" t="inlineStr">
        <is>
          <t>한국교통안전공단(TS) 합동 사전컨설팅 회의를 통한 계획서 보완 및 적합성 검증</t>
        </is>
      </c>
      <c r="K11" s="50" t="inlineStr">
        <is>
          <t>1) STEP 1: TS 사전컨설팅 안건 상정 및 종합계획서 초안 제출 (한국교통안전공단 사전 심의 접수)
2) STEP 2: 대면 컨설팅 회의 개최 및 심사위원 피드백 수렴 (무가선 트램 특화 항목 집중 협의함)
3) STEP 3: 컨설팅 권고사항 종합계획서 100% 보완 반영 (본 심사 반려 리스크 원천 차단)</t>
        </is>
      </c>
      <c r="L11" s="34" t="inlineStr">
        <is>
          <t>TS 사전컨설팅 회의 결과보고서, 회의록 및 TS 공인 필증</t>
        </is>
      </c>
      <c r="M11" s="34" t="inlineStr">
        <is>
          <t>1) 계획서 제출 전 TS 사전컨설팅 회의(9000-9-10)를 통해 TS 심사위원 사전 조율 100% 완료함.
2) 권고사항 전면 반영으로 본 심사 시 서류 보완 및 반려 리스크 Zero화함.</t>
        </is>
      </c>
      <c r="N11" s="60">
        <f>HYPERLINK(LEFT(CELL("filename",A1),FIND("[",CELL("filename",A1))-1)&amp;"11.철도종합시운전\10_계획서 제출 전 TS 사전컨설팅 회의\표준서\10_계획서 제출 전 TS 사전컨설팅 회의_표준서.html", "👉 [클릭] 표준서 열기 📄")</f>
        <v/>
      </c>
      <c r="O11" s="34" t="inlineStr">
        <is>
          <t>1) STEP 1: 한국교통안전공단(TS) 사전컨설팅 안건 상정
2) STEP 2: TS 전문위원단 합동 대면 심의 회의 진행</t>
        </is>
      </c>
      <c r="P11" s="58">
        <f>HYPERLINK(LEFT(CELL("filename",A1),FIND("[",CELL("filename",A1))-1)&amp;"11.철도종합시운전\10_계획서 제출 전 TS 사전컨설팅 회의\수행지침\10_계획서 제출 전 TS 사전컨설팅 회의_수행지침.html", "👉 [클릭] 수행지침 열기 📄")</f>
        <v/>
      </c>
      <c r="Q11" s="34" t="inlineStr">
        <is>
          <t>1) 사전컨설팅 신청서 제출 시방 및 종합계획서 초안 및 첨부자료 기준을 100% 충족하였는가?
2) TS 합동 컨설팅 회의 개최 검측 및 불합격 요소를 전면 차단하였는가?</t>
        </is>
      </c>
      <c r="R11" s="56">
        <f>HYPERLINK(LEFT(CELL("filename",A1),FIND("[",CELL("filename",A1))-1)&amp;"11.철도종합시운전\10_계획서 제출 전 TS 사전컨설팅 회의\체크리스트\10_계획서 제출 전 TS 사전컨설팅 회의_체크리스트.html", "👉 [클릭] 체크리스트 열기 📄")</f>
        <v/>
      </c>
      <c r="S11" s="33" t="inlineStr">
        <is>
          <t>철도종합시험운행 시행지침 준수</t>
        </is>
      </c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8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8" t="n"/>
      <c r="EY11" s="18" t="n"/>
      <c r="EZ11" s="18" t="n"/>
      <c r="FA11" s="18" t="n"/>
      <c r="FB11" s="18" t="n"/>
      <c r="FC11" s="18" t="n"/>
      <c r="FD11" s="18" t="n"/>
      <c r="FE11" s="18" t="n"/>
      <c r="FF11" s="18" t="n"/>
      <c r="FG11" s="18" t="n"/>
      <c r="FH11" s="18" t="n"/>
      <c r="FI11" s="18" t="n"/>
      <c r="FJ11" s="18" t="n"/>
      <c r="FK11" s="18" t="n"/>
      <c r="FL11" s="18" t="n"/>
      <c r="FM11" s="18" t="n"/>
      <c r="FN11" s="18" t="n"/>
      <c r="FO11" s="18" t="n"/>
      <c r="FP11" s="18" t="n"/>
      <c r="FQ11" s="18" t="n"/>
      <c r="FR11" s="18" t="n"/>
      <c r="FS11" s="18" t="n"/>
      <c r="FT11" s="18" t="n"/>
      <c r="FU11" s="18" t="n"/>
      <c r="FV11" s="18" t="n"/>
      <c r="FW11" s="18" t="n"/>
      <c r="FX11" s="18" t="n"/>
      <c r="FY11" s="18" t="n"/>
      <c r="FZ11" s="18" t="n"/>
      <c r="GA11" s="18" t="n"/>
      <c r="GB11" s="18" t="n"/>
      <c r="GC11" s="18" t="n"/>
      <c r="GD11" s="18" t="n"/>
      <c r="GE11" s="18" t="n"/>
      <c r="GF11" s="18" t="n"/>
      <c r="GG11" s="18" t="n"/>
      <c r="GH11" s="18" t="n"/>
      <c r="GI11" s="18" t="n"/>
    </row>
    <row r="12" ht="105.6" customHeight="1" s="88">
      <c r="A12" s="19" t="inlineStr">
        <is>
          <t>9000</t>
        </is>
      </c>
      <c r="B12" s="19" t="inlineStr">
        <is>
          <t>9000-11</t>
        </is>
      </c>
      <c r="C12" s="19" t="inlineStr">
        <is>
          <t>철도종합시험운행</t>
        </is>
      </c>
      <c r="D12" s="19" t="inlineStr">
        <is>
          <t>9000-11-11</t>
        </is>
      </c>
      <c r="E12" s="95" t="inlineStr">
        <is>
          <t>9000-11-9, 9000-11-10</t>
        </is>
      </c>
      <c r="F12" s="95" t="inlineStr">
        <is>
          <t>9000-11-12, 9000-11-13</t>
        </is>
      </c>
      <c r="G12" s="23" t="inlineStr">
        <is>
          <t>철도종합시험운행 연간계획 수립/제출</t>
        </is>
      </c>
      <c r="H12" s="21" t="inlineStr">
        <is>
          <t>D+60</t>
        </is>
      </c>
      <c r="I12" s="21" t="inlineStr">
        <is>
          <t>시공사업단</t>
        </is>
      </c>
      <c r="J12" s="24" t="inlineStr">
        <is>
          <t>국토교통부 및 한국교통안전공단(TS)에 철도종합시험운행 계획서 정식 접수 및 승인 득</t>
        </is>
      </c>
      <c r="K12" s="24" t="inlineStr">
        <is>
          <t>1) STEP 1: 법정 서식에 맞춘 철도종합시험운행 연간계획서 편찬 (사전점검/시설물검증/영업시운전 일정 확정)
2) STEP 2: 국토교통부 및 한국교통안전공단(TS) 정식 공문 접수 (전자문서 접수 및 심사 대응)
3) STEP 3: 국토교통부 철도종합시험운행 계획 승인 공문 수령 (법적 시운전 착수 권한 획득함)</t>
        </is>
      </c>
      <c r="L12" s="24" t="inlineStr">
        <is>
          <t>철도종합시험운행 연간계획 수립/제출 결과보고서, 회의록 및 TS 공인 필증</t>
        </is>
      </c>
      <c r="M12" s="24" t="inlineStr">
        <is>
          <t>1) 철도종합시험운행 연간계획 수립 및 TS 제출(9000-9-11)로 철도안전법 시행규칙 제75조 적법 승인 획득함.
2) 국토교통부 시운전 착수 승인 공문 공식 수령 완료함.</t>
        </is>
      </c>
      <c r="N12" s="59">
        <f>HYPERLINK(LEFT(CELL("filename",A1),FIND("[",CELL("filename",A1))-1)&amp;"11.철도종합시운전\11_철도종합시험운행 연간계획 수립 및 TS 제출\표준서\11_철도종합시험운행 연간계획 수립 및 TS 제출_표준서.html", "👉 [클릭] 표준서 열기 📄")</f>
        <v/>
      </c>
      <c r="O12" s="24" t="inlineStr">
        <is>
          <t>1) STEP 1: 법정 제출 서류 편철 및 사업단장 결재
2) STEP 2: 국토교통부 및 TS 정식 공문 접수</t>
        </is>
      </c>
      <c r="P12" s="57">
        <f>HYPERLINK(LEFT(CELL("filename",A1),FIND("[",CELL("filename",A1))-1)&amp;"11.철도종합시운전\11_철도종합시험운행 연간계획 수립 및 TS 제출\수행지침\11_철도종합시험운행 연간계획 수립 및 TS 제출_수행지침.html", "👉 [클릭] 수행지침 열기 📄")</f>
        <v/>
      </c>
      <c r="Q12" s="24" t="inlineStr">
        <is>
          <t>1) 철도종합시험운행 계획서 공문 발송 시방 및 국토교통부 철도안전정책과 기준을 100% 충족하였는가?
2) 한국교통안전공단 서류 심사 대응 검측 및 불합격 요소를 전면 차단하였는가?</t>
        </is>
      </c>
      <c r="R12" s="55">
        <f>HYPERLINK(LEFT(CELL("filename",A1),FIND("[",CELL("filename",A1))-1)&amp;"11.철도종합시운전\11_철도종합시험운행 연간계획 수립 및 TS 제출\체크리스트\11_철도종합시험운행 연간계획 수립 및 TS 제출_체크리스트.html", "👉 [클릭] 체크리스트 열기 📄")</f>
        <v/>
      </c>
      <c r="S12" s="21" t="inlineStr">
        <is>
          <t>철도종합시험운행 시행지침 준수</t>
        </is>
      </c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8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8" t="n"/>
      <c r="EY12" s="18" t="n"/>
      <c r="EZ12" s="18" t="n"/>
      <c r="FA12" s="18" t="n"/>
      <c r="FB12" s="18" t="n"/>
      <c r="FC12" s="18" t="n"/>
      <c r="FD12" s="18" t="n"/>
      <c r="FE12" s="18" t="n"/>
      <c r="FF12" s="18" t="n"/>
      <c r="FG12" s="18" t="n"/>
      <c r="FH12" s="18" t="n"/>
      <c r="FI12" s="18" t="n"/>
      <c r="FJ12" s="18" t="n"/>
      <c r="FK12" s="18" t="n"/>
      <c r="FL12" s="18" t="n"/>
      <c r="FM12" s="18" t="n"/>
      <c r="FN12" s="18" t="n"/>
      <c r="FO12" s="18" t="n"/>
      <c r="FP12" s="18" t="n"/>
      <c r="FQ12" s="18" t="n"/>
      <c r="FR12" s="18" t="n"/>
      <c r="FS12" s="18" t="n"/>
      <c r="FT12" s="18" t="n"/>
      <c r="FU12" s="18" t="n"/>
      <c r="FV12" s="18" t="n"/>
      <c r="FW12" s="18" t="n"/>
      <c r="FX12" s="18" t="n"/>
      <c r="FY12" s="18" t="n"/>
      <c r="FZ12" s="18" t="n"/>
      <c r="GA12" s="18" t="n"/>
      <c r="GB12" s="18" t="n"/>
      <c r="GC12" s="18" t="n"/>
      <c r="GD12" s="18" t="n"/>
      <c r="GE12" s="18" t="n"/>
      <c r="GF12" s="18" t="n"/>
      <c r="GG12" s="18" t="n"/>
      <c r="GH12" s="18" t="n"/>
      <c r="GI12" s="18" t="n"/>
      <c r="GJ12" s="18" t="n"/>
      <c r="GK12" s="18" t="n"/>
      <c r="GL12" s="18" t="n"/>
      <c r="GM12" s="18" t="n"/>
    </row>
    <row r="13" ht="118.8" customHeight="1" s="88">
      <c r="A13" s="29" t="inlineStr">
        <is>
          <t>9000</t>
        </is>
      </c>
      <c r="B13" s="29" t="inlineStr">
        <is>
          <t>9000-11</t>
        </is>
      </c>
      <c r="C13" s="29" t="inlineStr">
        <is>
          <t>철도종합시험운행</t>
        </is>
      </c>
      <c r="D13" s="29" t="inlineStr">
        <is>
          <t>9000-11-12</t>
        </is>
      </c>
      <c r="E13" s="102" t="inlineStr">
        <is>
          <t>9000-11-8, 9000-11-11</t>
        </is>
      </c>
      <c r="F13" s="102" t="inlineStr">
        <is>
          <t>9000-11-13, 9000-11-17</t>
        </is>
      </c>
      <c r="G13" s="32" t="inlineStr">
        <is>
          <t>안전관리계획서 수립 및 비상대응체계</t>
        </is>
      </c>
      <c r="H13" s="33" t="inlineStr">
        <is>
          <t>D+80</t>
        </is>
      </c>
      <c r="I13" s="33" t="inlineStr">
        <is>
          <t>안전품질팀</t>
        </is>
      </c>
      <c r="J13" s="34" t="inlineStr">
        <is>
          <t>시운전 전 구간 선로 출입통제, 시험열차 안전통제관 탑승 및 관할 소방·경찰 비상연락망</t>
        </is>
      </c>
      <c r="K13" s="34" t="inlineStr">
        <is>
          <t>1) STEP 1: 34.4km 본선 선로 출입통제 및 물리적 방호벽 설치 (시건장치 및 출입 승인 절차 규정)
2) STEP 2: 시험열차 2인 1조 운행 및 안전통제관 탑승 체계 수립 (무선 교신 및 비상제동 권한 부여함)
3) STEP 3: 관할 소방서·경찰서 24시간 비상 핫라인 구축 (사고 발생 시 5분 이내 골든타임 확보)</t>
        </is>
      </c>
      <c r="L13" s="34" t="inlineStr">
        <is>
          <t>안전관리계획서 수립 및 비상대응체계 결과보고서, 회의록 및 TS 공인 필증</t>
        </is>
      </c>
      <c r="M13" s="34" t="inlineStr">
        <is>
          <t>1) 시험운행 안전관리계획서 수립 및 비상대응체계(9000-9-12)로 시운전 전 기간 중대재해 Zero 체계 구축함.
2) 선로 출입통제 및 소방/경찰 24시간 긴급구조 핫라인 완비함.</t>
        </is>
      </c>
      <c r="N13" s="60">
        <f>HYPERLINK(LEFT(CELL("filename",A1),FIND("[",CELL("filename",A1))-1)&amp;"11.철도종합시운전\12_시험운행 안전관리계획서 수립 및 비상대응체계\표준서\12_시험운행 안전관리계획서 수립 및 비상대응체계_표준서.html", "👉 [클릭] 표준서 열기 📄")</f>
        <v/>
      </c>
      <c r="O13" s="34" t="inlineStr">
        <is>
          <t>1) STEP 1: 철도종합시험운행 안전관리계획서 수립 및 위험성평가
2) STEP 2: 선로 출입 통제 시스템 및 안전통제관 지정</t>
        </is>
      </c>
      <c r="P13" s="58">
        <f>HYPERLINK(LEFT(CELL("filename",A1),FIND("[",CELL("filename",A1))-1)&amp;"11.철도종합시운전\12_시험운행 안전관리계획서 수립 및 비상대응체계\수행지침\12_시험운행 안전관리계획서 수립 및 비상대응체계_수행지침.html", "👉 [클릭] 수행지침 열기 📄")</f>
        <v/>
      </c>
      <c r="Q13" s="34" t="inlineStr">
        <is>
          <t>1) 시운전 안전관리계획서 작성 시방 및 위험성평가 및 비상대응 매뉴얼 기준을 100% 충족하였는가?
2) 선로 무단침입 방지 시설 점검 검측 및 불합격 요소를 전면 차단하였는가?</t>
        </is>
      </c>
      <c r="R13" s="56">
        <f>HYPERLINK(LEFT(CELL("filename",A1),FIND("[",CELL("filename",A1))-1)&amp;"11.철도종합시운전\12_시험운행 안전관리계획서 수립 및 비상대응체계\체크리스트\12_시험운행 안전관리계획서 수립 및 비상대응체계_체크리스트.html", "👉 [클릭] 체크리스트 열기 📄")</f>
        <v/>
      </c>
      <c r="S13" s="33" t="inlineStr">
        <is>
          <t>철도종합시험운행 시행지침 준수</t>
        </is>
      </c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Y13" s="18" t="n"/>
      <c r="DZ13" s="18" t="n"/>
      <c r="EA13" s="18" t="n"/>
      <c r="EB13" s="18" t="n"/>
      <c r="EC13" s="18" t="n"/>
      <c r="ED13" s="18" t="n"/>
      <c r="EE13" s="18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P13" s="18" t="n"/>
      <c r="EQ13" s="18" t="n"/>
      <c r="ER13" s="18" t="n"/>
      <c r="ES13" s="18" t="n"/>
      <c r="ET13" s="18" t="n"/>
      <c r="EU13" s="18" t="n"/>
      <c r="EV13" s="18" t="n"/>
      <c r="EW13" s="18" t="n"/>
      <c r="EX13" s="18" t="n"/>
      <c r="EY13" s="18" t="n"/>
      <c r="EZ13" s="18" t="n"/>
      <c r="FA13" s="18" t="n"/>
      <c r="FB13" s="18" t="n"/>
      <c r="FC13" s="18" t="n"/>
      <c r="FD13" s="18" t="n"/>
      <c r="FE13" s="18" t="n"/>
      <c r="FF13" s="18" t="n"/>
      <c r="FG13" s="18" t="n"/>
      <c r="FH13" s="18" t="n"/>
      <c r="FI13" s="18" t="n"/>
      <c r="FJ13" s="18" t="n"/>
      <c r="FK13" s="18" t="n"/>
      <c r="FL13" s="18" t="n"/>
      <c r="FM13" s="18" t="n"/>
      <c r="FN13" s="18" t="n"/>
      <c r="FO13" s="18" t="n"/>
      <c r="FP13" s="18" t="n"/>
      <c r="FQ13" s="18" t="n"/>
      <c r="FR13" s="18" t="n"/>
      <c r="FS13" s="18" t="n"/>
      <c r="FT13" s="18" t="n"/>
      <c r="FU13" s="18" t="n"/>
      <c r="FV13" s="18" t="n"/>
      <c r="FW13" s="18" t="n"/>
      <c r="FX13" s="18" t="n"/>
      <c r="FY13" s="18" t="n"/>
      <c r="FZ13" s="18" t="n"/>
      <c r="GA13" s="18" t="n"/>
      <c r="GB13" s="18" t="n"/>
      <c r="GC13" s="18" t="n"/>
      <c r="GD13" s="18" t="n"/>
      <c r="GE13" s="18" t="n"/>
      <c r="GF13" s="18" t="n"/>
      <c r="GG13" s="18" t="n"/>
      <c r="GH13" s="18" t="n"/>
      <c r="GI13" s="18" t="n"/>
      <c r="GJ13" s="18" t="n"/>
      <c r="GK13" s="18" t="n"/>
      <c r="GL13" s="18" t="n"/>
      <c r="GM13" s="18" t="n"/>
      <c r="GN13" s="18" t="n"/>
      <c r="GO13" s="18" t="n"/>
      <c r="GP13" s="18" t="n"/>
      <c r="GQ13" s="18" t="n"/>
    </row>
    <row r="14" ht="118.8" customHeight="1" s="88">
      <c r="A14" s="19" t="inlineStr">
        <is>
          <t>9000</t>
        </is>
      </c>
      <c r="B14" s="19" t="inlineStr">
        <is>
          <t>9000-11</t>
        </is>
      </c>
      <c r="C14" s="19" t="inlineStr">
        <is>
          <t>철도종합시험운행</t>
        </is>
      </c>
      <c r="D14" s="19" t="inlineStr">
        <is>
          <t>9000-11-13</t>
        </is>
      </c>
      <c r="E14" s="95" t="inlineStr">
        <is>
          <t>9000-11-10, 9000-11-11, 9000-11-12</t>
        </is>
      </c>
      <c r="F14" s="95" t="inlineStr">
        <is>
          <t>9000-11-14</t>
        </is>
      </c>
      <c r="G14" s="23" t="inlineStr">
        <is>
          <t>사전점검 착수보고</t>
        </is>
      </c>
      <c r="H14" s="21" t="inlineStr">
        <is>
          <t>D+120</t>
        </is>
      </c>
      <c r="I14" s="21" t="inlineStr">
        <is>
          <t>시공사업단</t>
        </is>
      </c>
      <c r="J14" s="24" t="inlineStr">
        <is>
          <t>사전점검 착수보고회(TS) 개최, 12개 분야별 정부 합동점검단 현장 정밀점검 개시</t>
        </is>
      </c>
      <c r="K14" s="24" t="inlineStr">
        <is>
          <t>1) STEP 1: 한국교통안전공단(TS) 합동 사전점검 착수보고회 개최 (12개 분야 점검 일정 및 점검단 확정)
2) STEP 2: 12개 전문 분야별 현장 전수 실사 수검 (노반, 궤도, 건축, 전기, 신호, 통신, 소방 현장 점검함)
3) STEP 3: 일일 점검 회의 및 지적사항 실시간 취합 (지적사항 일일 등록 및 분야별 공유)</t>
        </is>
      </c>
      <c r="L14" s="24" t="inlineStr">
        <is>
          <t>사전점검 착수보고 결과보고서, 회의록 및 TS 공인 필증</t>
        </is>
      </c>
      <c r="M14" s="24" t="inlineStr">
        <is>
          <t>1) 사전점검 착수보고 및 분야별 점검단 가동(9000-9-13)으로 34.4km 전 구간 12개 분야 현장 실사 가동함.
2) TS 합동점검단 100% 현장 검측 및 일일 조치 피드백 체계 확립함.</t>
        </is>
      </c>
      <c r="N14" s="59">
        <f>HYPERLINK(LEFT(CELL("filename",A1),FIND("[",CELL("filename",A1))-1)&amp;"11.철도종합시운전\13_사전점검 착수보고 및 분야별 점검단 가동\표준서\13_사전점검 착수보고 및 분야별 점검단 가동_표준서.html", "👉 [클릭] 표준서 열기 📄")</f>
        <v/>
      </c>
      <c r="O14" s="24" t="inlineStr">
        <is>
          <t>1) STEP 1: 사전점검 착수보고회(TS) 개최 및 현장 브리핑
2) STEP 2: 12개 분야별 합동점검단 현장 정밀 실사 수행</t>
        </is>
      </c>
      <c r="P14" s="57">
        <f>HYPERLINK(LEFT(CELL("filename",A1),FIND("[",CELL("filename",A1))-1)&amp;"11.철도종합시운전\13_사전점검 착수보고 및 분야별 점검단 가동\수행지침\13_사전점검 착수보고 및 분야별 점검단 가동_수행지침.html", "👉 [클릭] 수행지침 열기 📄")</f>
        <v/>
      </c>
      <c r="Q14" s="24" t="inlineStr">
        <is>
          <t>1) 사전점검 착수회의 개최 시방 및 TS 주관 착수보고 및 점검일정 확정 기준을 100% 충족하였는가?
2) 12개 분야 합동 현장 점검 검측 및 불합격 요소를 전면 차단하였는가?</t>
        </is>
      </c>
      <c r="R14" s="55">
        <f>HYPERLINK(LEFT(CELL("filename",A1),FIND("[",CELL("filename",A1))-1)&amp;"11.철도종합시운전\13_사전점검 착수보고 및 분야별 점검단 가동\체크리스트\13_사전점검 착수보고 및 분야별 점검단 가동_체크리스트.html", "👉 [클릭] 체크리스트 열기 📄")</f>
        <v/>
      </c>
      <c r="S14" s="21" t="inlineStr">
        <is>
          <t>철도종합시험운행 시행지침 준수</t>
        </is>
      </c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Y14" s="18" t="n"/>
      <c r="DZ14" s="18" t="n"/>
      <c r="EA14" s="18" t="n"/>
      <c r="EB14" s="18" t="n"/>
      <c r="EC14" s="18" t="n"/>
      <c r="ED14" s="18" t="n"/>
      <c r="EE14" s="18" t="n"/>
      <c r="EF14" s="18" t="n"/>
      <c r="EG14" s="18" t="n"/>
      <c r="EH14" s="18" t="n"/>
      <c r="EI14" s="18" t="n"/>
      <c r="EJ14" s="18" t="n"/>
      <c r="EK14" s="18" t="n"/>
      <c r="EL14" s="18" t="n"/>
      <c r="EM14" s="18" t="n"/>
      <c r="EN14" s="18" t="n"/>
      <c r="EO14" s="18" t="n"/>
      <c r="EP14" s="18" t="n"/>
      <c r="EQ14" s="18" t="n"/>
      <c r="ER14" s="18" t="n"/>
      <c r="ES14" s="18" t="n"/>
      <c r="ET14" s="18" t="n"/>
      <c r="EU14" s="18" t="n"/>
      <c r="EV14" s="18" t="n"/>
      <c r="EW14" s="18" t="n"/>
      <c r="EX14" s="18" t="n"/>
      <c r="EY14" s="18" t="n"/>
      <c r="EZ14" s="18" t="n"/>
      <c r="FA14" s="18" t="n"/>
      <c r="FB14" s="18" t="n"/>
      <c r="FC14" s="18" t="n"/>
      <c r="FD14" s="18" t="n"/>
      <c r="FE14" s="18" t="n"/>
      <c r="FF14" s="18" t="n"/>
      <c r="FG14" s="18" t="n"/>
      <c r="FH14" s="18" t="n"/>
      <c r="FI14" s="18" t="n"/>
      <c r="FJ14" s="18" t="n"/>
      <c r="FK14" s="18" t="n"/>
      <c r="FL14" s="18" t="n"/>
      <c r="FM14" s="18" t="n"/>
      <c r="FN14" s="18" t="n"/>
      <c r="FO14" s="18" t="n"/>
      <c r="FP14" s="18" t="n"/>
      <c r="FQ14" s="18" t="n"/>
      <c r="FR14" s="18" t="n"/>
      <c r="FS14" s="18" t="n"/>
      <c r="FT14" s="18" t="n"/>
      <c r="FU14" s="18" t="n"/>
      <c r="FV14" s="18" t="n"/>
      <c r="FW14" s="18" t="n"/>
      <c r="FX14" s="18" t="n"/>
      <c r="FY14" s="18" t="n"/>
      <c r="FZ14" s="18" t="n"/>
      <c r="GA14" s="18" t="n"/>
      <c r="GB14" s="18" t="n"/>
      <c r="GC14" s="18" t="n"/>
      <c r="GD14" s="18" t="n"/>
      <c r="GE14" s="18" t="n"/>
      <c r="GF14" s="18" t="n"/>
      <c r="GG14" s="18" t="n"/>
      <c r="GH14" s="18" t="n"/>
      <c r="GI14" s="18" t="n"/>
      <c r="GJ14" s="18" t="n"/>
      <c r="GK14" s="18" t="n"/>
      <c r="GL14" s="18" t="n"/>
      <c r="GM14" s="18" t="n"/>
      <c r="GN14" s="18" t="n"/>
      <c r="GO14" s="18" t="n"/>
      <c r="GP14" s="18" t="n"/>
      <c r="GQ14" s="18" t="n"/>
      <c r="GR14" s="18" t="n"/>
      <c r="GS14" s="18" t="n"/>
      <c r="GT14" s="18" t="n"/>
      <c r="GU14" s="18" t="n"/>
    </row>
    <row r="15" ht="105.6" customHeight="1" s="88">
      <c r="A15" s="29" t="inlineStr">
        <is>
          <t>9000</t>
        </is>
      </c>
      <c r="B15" s="29" t="inlineStr">
        <is>
          <t>9000-11</t>
        </is>
      </c>
      <c r="C15" s="29" t="inlineStr">
        <is>
          <t>철도종합시험운행</t>
        </is>
      </c>
      <c r="D15" s="29" t="inlineStr">
        <is>
          <t>9000-11-14</t>
        </is>
      </c>
      <c r="E15" s="102" t="inlineStr">
        <is>
          <t>9000-11-13</t>
        </is>
      </c>
      <c r="F15" s="102" t="inlineStr">
        <is>
          <t>9000-11-15</t>
        </is>
      </c>
      <c r="G15" s="32" t="inlineStr">
        <is>
          <t>철도시설 기술기준 검토 및 조치계획</t>
        </is>
      </c>
      <c r="H15" s="33" t="inlineStr">
        <is>
          <t>D+130</t>
        </is>
      </c>
      <c r="I15" s="33" t="inlineStr">
        <is>
          <t>시공사업단</t>
        </is>
      </c>
      <c r="J15" s="34" t="inlineStr">
        <is>
          <t>도시철도건설규칙 전 조항 대조, 사전점검 지적사항 1:1 조치계획서 수립</t>
        </is>
      </c>
      <c r="K15" s="34" t="inlineStr">
        <is>
          <t>1) STEP 1: TS 사전점검 지적사항 전수 등록 및 분류 (위험도별 긴급/일반 과제 구분함)
2) STEP 2: 지적사항별 공학적 원인 분석 및 재시공 도면 작성 (설계사·시공사 합동 보강안 도출)
3) STEP 3: 사전점검 지적사항 조치계획서 국토부/TS 제출 (조치 기한 및 책임감리원 검토의견 첨부)</t>
        </is>
      </c>
      <c r="L15" s="34" t="inlineStr">
        <is>
          <t>철도시설 기술기준 검토 및 조치계획 결과보고서, 회의록 및 TS 공인 필증</t>
        </is>
      </c>
      <c r="M15" s="34" t="inlineStr">
        <is>
          <t>1) 철도시설의 기술기준 검토 및 지적사항 조치계획(9000-9-14)으로 지적사항 100% 공학적 원인 규명 완료함.
2) 재시공 및 보강 조치계획서 국토부/TS 정식 제출 완료함.</t>
        </is>
      </c>
      <c r="N15" s="60">
        <f>HYPERLINK(LEFT(CELL("filename",A1),FIND("[",CELL("filename",A1))-1)&amp;"11.철도종합시운전\14_철도시설의 기술기준 검토 및 지적사항 조치계획\표준서\14_철도시설의 기술기준 검토 및 지적사항 조치계획_표준서.html", "👉 [클릭] 표준서 열기 📄")</f>
        <v/>
      </c>
      <c r="O15" s="34" t="inlineStr">
        <is>
          <t>1) STEP 1: 사전점검 지적사항 전수 등록 및 위험도 분류
2) STEP 2: 공학적 원인 분석 및 재시공/보강 기술 대책 수립</t>
        </is>
      </c>
      <c r="P15" s="58">
        <f>HYPERLINK(LEFT(CELL("filename",A1),FIND("[",CELL("filename",A1))-1)&amp;"11.철도종합시운전\14_철도시설의 기술기준 검토 및 지적사항 조치계획\수행지침\14_철도시설의 기술기준 검토 및 지적사항 조치계획_수행지침.html", "👉 [클릭] 수행지침 열기 📄")</f>
        <v/>
      </c>
      <c r="Q15" s="34" t="inlineStr">
        <is>
          <t>1) 지적사항 목록 전수 분류 시방 및 구조안전, 전기절연, 신호인터록 등 기준을 100% 충족하였는가?
2) 분야별 원인분석 및 보강안 설계 검측 및 불합격 요소를 전면 차단하였는가?</t>
        </is>
      </c>
      <c r="R15" s="56">
        <f>HYPERLINK(LEFT(CELL("filename",A1),FIND("[",CELL("filename",A1))-1)&amp;"11.철도종합시운전\14_철도시설의 기술기준 검토 및 지적사항 조치계획\체크리스트\14_철도시설의 기술기준 검토 및 지적사항 조치계획_체크리스트.html", "👉 [클릭] 체크리스트 열기 📄")</f>
        <v/>
      </c>
      <c r="S15" s="33" t="inlineStr">
        <is>
          <t>철도종합시험운행 시행지침 준수</t>
        </is>
      </c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Y15" s="18" t="n"/>
      <c r="DZ15" s="18" t="n"/>
      <c r="EA15" s="18" t="n"/>
      <c r="EB15" s="18" t="n"/>
      <c r="EC15" s="18" t="n"/>
      <c r="ED15" s="18" t="n"/>
      <c r="EE15" s="18" t="n"/>
      <c r="EF15" s="18" t="n"/>
      <c r="EG15" s="18" t="n"/>
      <c r="EH15" s="18" t="n"/>
      <c r="EI15" s="18" t="n"/>
      <c r="EJ15" s="18" t="n"/>
      <c r="EK15" s="18" t="n"/>
      <c r="EL15" s="18" t="n"/>
      <c r="EM15" s="18" t="n"/>
      <c r="EN15" s="18" t="n"/>
      <c r="EO15" s="18" t="n"/>
      <c r="EP15" s="18" t="n"/>
      <c r="EQ15" s="18" t="n"/>
      <c r="ER15" s="18" t="n"/>
      <c r="ES15" s="18" t="n"/>
      <c r="ET15" s="18" t="n"/>
      <c r="EU15" s="18" t="n"/>
      <c r="EV15" s="18" t="n"/>
      <c r="EW15" s="18" t="n"/>
      <c r="EX15" s="18" t="n"/>
      <c r="EY15" s="18" t="n"/>
      <c r="EZ15" s="18" t="n"/>
      <c r="FA15" s="18" t="n"/>
      <c r="FB15" s="18" t="n"/>
      <c r="FC15" s="18" t="n"/>
      <c r="FD15" s="18" t="n"/>
      <c r="FE15" s="18" t="n"/>
      <c r="FF15" s="18" t="n"/>
      <c r="FG15" s="18" t="n"/>
      <c r="FH15" s="18" t="n"/>
      <c r="FI15" s="18" t="n"/>
      <c r="FJ15" s="18" t="n"/>
      <c r="FK15" s="18" t="n"/>
      <c r="FL15" s="18" t="n"/>
      <c r="FM15" s="18" t="n"/>
      <c r="FN15" s="18" t="n"/>
      <c r="FO15" s="18" t="n"/>
      <c r="FP15" s="18" t="n"/>
      <c r="FQ15" s="18" t="n"/>
      <c r="FR15" s="18" t="n"/>
      <c r="FS15" s="18" t="n"/>
      <c r="FT15" s="18" t="n"/>
      <c r="FU15" s="18" t="n"/>
      <c r="FV15" s="18" t="n"/>
      <c r="FW15" s="18" t="n"/>
      <c r="FX15" s="18" t="n"/>
      <c r="FY15" s="18" t="n"/>
      <c r="FZ15" s="18" t="n"/>
      <c r="GA15" s="18" t="n"/>
      <c r="GB15" s="18" t="n"/>
      <c r="GC15" s="18" t="n"/>
      <c r="GD15" s="18" t="n"/>
      <c r="GE15" s="18" t="n"/>
      <c r="GF15" s="18" t="n"/>
      <c r="GG15" s="18" t="n"/>
      <c r="GH15" s="18" t="n"/>
      <c r="GI15" s="18" t="n"/>
      <c r="GJ15" s="18" t="n"/>
      <c r="GK15" s="18" t="n"/>
      <c r="GL15" s="18" t="n"/>
      <c r="GM15" s="18" t="n"/>
      <c r="GN15" s="18" t="n"/>
      <c r="GO15" s="18" t="n"/>
      <c r="GP15" s="18" t="n"/>
      <c r="GQ15" s="18" t="n"/>
      <c r="GR15" s="18" t="n"/>
      <c r="GS15" s="18" t="n"/>
      <c r="GT15" s="18" t="n"/>
      <c r="GU15" s="18" t="n"/>
      <c r="GV15" s="18" t="n"/>
      <c r="GW15" s="18" t="n"/>
      <c r="GX15" s="18" t="n"/>
      <c r="GY15" s="18" t="n"/>
    </row>
    <row r="16" ht="92.40000000000001" customHeight="1" s="88">
      <c r="A16" s="19" t="inlineStr">
        <is>
          <t>9000</t>
        </is>
      </c>
      <c r="B16" s="19" t="inlineStr">
        <is>
          <t>9000-11</t>
        </is>
      </c>
      <c r="C16" s="19" t="inlineStr">
        <is>
          <t>철도종합시험운행</t>
        </is>
      </c>
      <c r="D16" s="19" t="inlineStr">
        <is>
          <t>9000-11-15</t>
        </is>
      </c>
      <c r="E16" s="95" t="inlineStr">
        <is>
          <t>9000-11-14</t>
        </is>
      </c>
      <c r="F16" s="95" t="inlineStr">
        <is>
          <t>9000-11-16</t>
        </is>
      </c>
      <c r="G16" s="23" t="inlineStr">
        <is>
          <t>사전점검 보완조치 및 국토부 승인</t>
        </is>
      </c>
      <c r="H16" s="21" t="inlineStr">
        <is>
          <t>D+175</t>
        </is>
      </c>
      <c r="I16" s="21" t="inlineStr">
        <is>
          <t>시공사업단</t>
        </is>
      </c>
      <c r="J16" s="24" t="inlineStr">
        <is>
          <t>지적사항 100% 현장 보강 조치 완료, 조치결과보고서 제출 및 국토교통부 적합 승인</t>
        </is>
      </c>
      <c r="K16" s="24" t="inlineStr">
        <is>
          <t>1) STEP 1: 분야별 사전점검 지적사항 현장 보강 공사 완료 (궤도 선형 교정, 정거장 마감 보완 전수 완료)
2) STEP 2: 책임감리원 전수 입회 검측 및 결과보고서 편찬 (전·중·후 사진 및 공인 성적서 편철함)
3) STEP 3: 국토교통부 및 TS 최종 심사 대응 및 승인 공문 접수 (기술기준 적합 및 시설물검증 착수 승인 획득)</t>
        </is>
      </c>
      <c r="L16" s="24" t="inlineStr">
        <is>
          <t>사전점검 보완조치 및 국토부 승인 결과보고서, 회의록 및 TS 공인 필증</t>
        </is>
      </c>
      <c r="M16" s="24" t="inlineStr">
        <is>
          <t>1) 사전점검 보완조치 및 조치결과 국토부 승인(9000-9-15)으로 지적사항 100% 현장 재시공 완결함.
2) 국토교통부 정식 '철도시설 기술기준 적합 승인' 공문 수령 완료함.</t>
        </is>
      </c>
      <c r="N16" s="59">
        <f>HYPERLINK(LEFT(CELL("filename",A1),FIND("[",CELL("filename",A1))-1)&amp;"11.철도종합시운전\15_사전점검 보완조치 및 조치결과 국토부 승인\표준서\15_사전점검 보완조치 및 조치결과 국토부 승인_표준서.html", "👉 [클릭] 표준서 열기 📄")</f>
        <v/>
      </c>
      <c r="O16" s="24" t="inlineStr">
        <is>
          <t>1) STEP 1: 분야별 사전점검 지적사항 현장 보강 공사 완료
2) STEP 2: 책임감리원 전수 입회 검측 및 결과보고서 편찬</t>
        </is>
      </c>
      <c r="P16" s="57">
        <f>HYPERLINK(LEFT(CELL("filename",A1),FIND("[",CELL("filename",A1))-1)&amp;"11.철도종합시운전\15_사전점검 보완조치 및 조치결과 국토부 승인\수행지침\15_사전점검 보완조치 및 조치결과 국토부 승인_수행지침.html", "👉 [클릭] 수행지침 열기 📄")</f>
        <v/>
      </c>
      <c r="Q16" s="24" t="inlineStr">
        <is>
          <t>1) 현장 재시공 및 보강 공사 시방 및 설계 변경 및 현장 보강 완료 기준을 100% 충족하였는가?
2) 감리단 합동 검측 및 사진대지 검측 및 불합격 요소를 전면 차단하였는가?</t>
        </is>
      </c>
      <c r="R16" s="55">
        <f>HYPERLINK(LEFT(CELL("filename",A1),FIND("[",CELL("filename",A1))-1)&amp;"11.철도종합시운전\15_사전점검 보완조치 및 조치결과 국토부 승인\체크리스트\15_사전점검 보완조치 및 조치결과 국토부 승인_체크리스트.html", "👉 [클릭] 체크리스트 열기 📄")</f>
        <v/>
      </c>
      <c r="S16" s="21" t="inlineStr">
        <is>
          <t>철도종합시험운행 시행지침 준수</t>
        </is>
      </c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8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8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8" t="n"/>
      <c r="FT16" s="18" t="n"/>
      <c r="FU16" s="18" t="n"/>
      <c r="FV16" s="18" t="n"/>
      <c r="FW16" s="18" t="n"/>
      <c r="FX16" s="18" t="n"/>
      <c r="FY16" s="18" t="n"/>
      <c r="FZ16" s="18" t="n"/>
      <c r="GA16" s="18" t="n"/>
      <c r="GB16" s="18" t="n"/>
      <c r="GC16" s="18" t="n"/>
      <c r="GD16" s="18" t="n"/>
      <c r="GE16" s="18" t="n"/>
      <c r="GF16" s="18" t="n"/>
      <c r="GG16" s="18" t="n"/>
      <c r="GH16" s="18" t="n"/>
      <c r="GI16" s="18" t="n"/>
      <c r="GJ16" s="18" t="n"/>
      <c r="GK16" s="18" t="n"/>
      <c r="GL16" s="18" t="n"/>
      <c r="GM16" s="18" t="n"/>
      <c r="GN16" s="18" t="n"/>
      <c r="GO16" s="18" t="n"/>
      <c r="GP16" s="18" t="n"/>
      <c r="GQ16" s="18" t="n"/>
      <c r="GR16" s="18" t="n"/>
      <c r="GS16" s="18" t="n"/>
      <c r="GT16" s="18" t="n"/>
      <c r="GU16" s="18" t="n"/>
      <c r="GV16" s="18" t="n"/>
      <c r="GW16" s="18" t="n"/>
      <c r="GX16" s="18" t="n"/>
      <c r="GY16" s="18" t="n"/>
      <c r="GZ16" s="18" t="n"/>
      <c r="HA16" s="18" t="n"/>
      <c r="HB16" s="18" t="n"/>
      <c r="HC16" s="18" t="n"/>
    </row>
    <row r="17" ht="79.2" customHeight="1" s="88">
      <c r="A17" s="29" t="inlineStr">
        <is>
          <t>9000</t>
        </is>
      </c>
      <c r="B17" s="29" t="inlineStr">
        <is>
          <t>9000-11</t>
        </is>
      </c>
      <c r="C17" s="29" t="inlineStr">
        <is>
          <t>철도종합시험운행</t>
        </is>
      </c>
      <c r="D17" s="29" t="inlineStr">
        <is>
          <t>9000-11-16</t>
        </is>
      </c>
      <c r="E17" s="102" t="inlineStr">
        <is>
          <t>9000-11-15</t>
        </is>
      </c>
      <c r="F17" s="102" t="inlineStr">
        <is>
          <t>9000-11-17</t>
        </is>
      </c>
      <c r="G17" s="32" t="inlineStr">
        <is>
          <t>사전점검 종결회의 및 결과보고서 승인</t>
        </is>
      </c>
      <c r="H17" s="33" t="inlineStr">
        <is>
          <t>D+180</t>
        </is>
      </c>
      <c r="I17" s="33" t="inlineStr">
        <is>
          <t>시공사업단</t>
        </is>
      </c>
      <c r="J17" s="34" t="inlineStr">
        <is>
          <t>사전점검 종결보고회(TS) 개최 및 1단계 사전점검 공식 종결 선언</t>
        </is>
      </c>
      <c r="K17" s="34" t="inlineStr">
        <is>
          <t>1) STEP 1: 사전점검 종결회의 안건 브리핑 및 조치 실적 보고 (지적 조치 완료 및 승인 공문 보고함)
2) STEP 2: 점검단 최종 의견 수렴 및 사전점검 합격 판정 (점검단 전원 일치로 적합 판정 의결)
3) STEP 3: 사전점검 종결 서명 날인 및 다음 단계 선언 (종합결과보고서 서명 및 시설물검증 개시 선포)</t>
        </is>
      </c>
      <c r="L17" s="34" t="inlineStr">
        <is>
          <t>사전점검 종결회의 및 결과보고서 승인 결과보고서, 회의록 및 TS 공인 필증</t>
        </is>
      </c>
      <c r="M17" s="34" t="inlineStr">
        <is>
          <t>1) 사전점검 종결회의 및 결과보고서 승인(9000-9-16)으로 1단계 사전점검 공식 종결 및 합격 판정 획득함.
2) TS 점검단 전원 서명 날인 및 2단계 시설물검증시험 개시 선포함.</t>
        </is>
      </c>
      <c r="N17" s="60">
        <f>HYPERLINK(LEFT(CELL("filename",A1),FIND("[",CELL("filename",A1))-1)&amp;"11.철도종합시운전\16_사전점검 종결회의 및 결과보고서 승인\표준서\16_사전점검 종결회의 및 결과보고서 승인_표준서.html", "👉 [클릭] 표준서 열기 📄")</f>
        <v/>
      </c>
      <c r="O17" s="34" t="inlineStr">
        <is>
          <t>1) STEP 1: 사전점검 종결회의 안건 브리핑 및 조치 실적 보고
2) STEP 2: 점검단 최종 의견 수렴 및 사전점검 합격 판정</t>
        </is>
      </c>
      <c r="P17" s="58">
        <f>HYPERLINK(LEFT(CELL("filename",A1),FIND("[",CELL("filename",A1))-1)&amp;"11.철도종합시운전\16_사전점검 종결회의 및 결과보고서 승인\수행지침\16_사전점검 종결회의 및 결과보고서 승인_수행지침.html", "👉 [클릭] 수행지침 열기 📄")</f>
        <v/>
      </c>
      <c r="Q17" s="34" t="inlineStr">
        <is>
          <t>1) 사전점검 종결회의 개최 시방 및 TS 주관 종합 결과 브리핑 기준을 100% 충족하였는가?
2) 사전점검 종합보고서 서명 검측 및 불합격 요소를 전면 차단하였는가?</t>
        </is>
      </c>
      <c r="R17" s="56">
        <f>HYPERLINK(LEFT(CELL("filename",A1),FIND("[",CELL("filename",A1))-1)&amp;"11.철도종합시운전\16_사전점검 종결회의 및 결과보고서 승인\체크리스트\16_사전점검 종결회의 및 결과보고서 승인_체크리스트.html", "👉 [클릭] 체크리스트 열기 📄")</f>
        <v/>
      </c>
      <c r="S17" s="33" t="inlineStr">
        <is>
          <t>철도종합시험운행 시행지침 준수</t>
        </is>
      </c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8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8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8" t="n"/>
      <c r="FT17" s="18" t="n"/>
      <c r="FU17" s="18" t="n"/>
      <c r="FV17" s="18" t="n"/>
      <c r="FW17" s="18" t="n"/>
      <c r="FX17" s="18" t="n"/>
      <c r="FY17" s="18" t="n"/>
      <c r="FZ17" s="18" t="n"/>
      <c r="GA17" s="18" t="n"/>
      <c r="GB17" s="18" t="n"/>
      <c r="GC17" s="18" t="n"/>
      <c r="GD17" s="18" t="n"/>
      <c r="GE17" s="18" t="n"/>
      <c r="GF17" s="18" t="n"/>
      <c r="GG17" s="18" t="n"/>
      <c r="GH17" s="18" t="n"/>
      <c r="GI17" s="18" t="n"/>
      <c r="GJ17" s="18" t="n"/>
      <c r="GK17" s="18" t="n"/>
      <c r="GL17" s="18" t="n"/>
      <c r="GM17" s="18" t="n"/>
      <c r="GN17" s="18" t="n"/>
      <c r="GO17" s="18" t="n"/>
      <c r="GP17" s="18" t="n"/>
      <c r="GQ17" s="18" t="n"/>
      <c r="GR17" s="18" t="n"/>
      <c r="GS17" s="18" t="n"/>
      <c r="GT17" s="18" t="n"/>
      <c r="GU17" s="18" t="n"/>
      <c r="GV17" s="18" t="n"/>
      <c r="GW17" s="18" t="n"/>
      <c r="GX17" s="18" t="n"/>
      <c r="GY17" s="18" t="n"/>
      <c r="GZ17" s="18" t="n"/>
      <c r="HA17" s="18" t="n"/>
      <c r="HB17" s="18" t="n"/>
      <c r="HC17" s="18" t="n"/>
      <c r="HD17" s="18" t="n"/>
      <c r="HE17" s="18" t="n"/>
      <c r="HF17" s="18" t="n"/>
      <c r="HG17" s="18" t="n"/>
    </row>
    <row r="18" ht="79.2" customHeight="1" s="88">
      <c r="A18" s="19" t="inlineStr">
        <is>
          <t>9000</t>
        </is>
      </c>
      <c r="B18" s="19" t="inlineStr">
        <is>
          <t>9000-11</t>
        </is>
      </c>
      <c r="C18" s="19" t="inlineStr">
        <is>
          <t>철도종합시험운행</t>
        </is>
      </c>
      <c r="D18" s="19" t="inlineStr">
        <is>
          <t>9000-11-17</t>
        </is>
      </c>
      <c r="E18" s="95" t="inlineStr">
        <is>
          <t>9000-11-12, 9000-11-16</t>
        </is>
      </c>
      <c r="F18" s="95" t="inlineStr">
        <is>
          <t>9000-11-18</t>
        </is>
      </c>
      <c r="G18" s="23" t="inlineStr">
        <is>
          <t>시설물검증시험 착수보고 및 안전교육</t>
        </is>
      </c>
      <c r="H18" s="21" t="inlineStr">
        <is>
          <t>D+185</t>
        </is>
      </c>
      <c r="I18" s="21" t="inlineStr">
        <is>
          <t>개통운영팀</t>
        </is>
      </c>
      <c r="J18" s="24" t="inlineStr">
        <is>
          <t>2단계 시설물검증시험 착수보고회(TS) 및 시험참여자 전원 특별안전교육</t>
        </is>
      </c>
      <c r="K18" s="49" t="inlineStr">
        <is>
          <t>1) STEP 1: 시설물검증시험 착수보고회(TS) 개최 (28개 검증 항목 및 30일간의 시험 스케줄 브리핑)
2) STEP 2: 시험 참여 기관사 및 기술요원 특별 안전교육 (선로 통제, 제한속도, 비상제동 수칙 4시간 교육 이수함)
3) STEP 3: 시설물검증시험 종합상황실 운영 개시 (차량기지 관제실 내 24시간 실시간 모니터링 가동)</t>
        </is>
      </c>
      <c r="L18" s="24" t="inlineStr">
        <is>
          <t>시설물검증시험 착수보고 및 안전교육 결과보고서, 회의록 및 TS 공인 필증</t>
        </is>
      </c>
      <c r="M18" s="24" t="inlineStr">
        <is>
          <t>1) 시설물검증시험 착수보고 및 시험참여자 안전교육(9000-9-17)으로 2단계 시운전 공식 착수함.
2) 시험 참여자 전원 안전교육 100% 이수 및 24시간 시운전 종합상황실 가동 완료함.</t>
        </is>
      </c>
      <c r="N18" s="59">
        <f>HYPERLINK(LEFT(CELL("filename",A1),FIND("[",CELL("filename",A1))-1)&amp;"11.철도종합시운전\17_시설물검증시험 착수보고 및 시험참여자 안전교육\표준서\17_시설물검증시험 착수보고 및 시험참여자 안전교육_표준서.html", "👉 [클릭] 표준서 열기 📄")</f>
        <v/>
      </c>
      <c r="O18" s="24" t="inlineStr">
        <is>
          <t>1) STEP 1: 시설물검증시험 착수보고회(TS) 개최
2) STEP 2: 시험 참여 기관사 및 기술요원 특별 안전교육</t>
        </is>
      </c>
      <c r="P18" s="57">
        <f>HYPERLINK(LEFT(CELL("filename",A1),FIND("[",CELL("filename",A1))-1)&amp;"11.철도종합시운전\17_시설물검증시험 착수보고 및 시험참여자 안전교육\수행지침\17_시설물검증시험 착수보고 및 시험참여자 안전교육_수행지침.html", "👉 [클릭] 수행지침 열기 📄")</f>
        <v/>
      </c>
      <c r="Q18" s="24" t="inlineStr">
        <is>
          <t>1) 시설물검증 착수보고회 시방 및 시험 항목, 일정, 조직 보고 기준을 100% 충족하였는가?
2) 시험 참여자 안전교육 검측 및 불합격 요소를 전면 차단하였는가?</t>
        </is>
      </c>
      <c r="R18" s="55">
        <f>HYPERLINK(LEFT(CELL("filename",A1),FIND("[",CELL("filename",A1))-1)&amp;"11.철도종합시운전\17_시설물검증시험 착수보고 및 시험참여자 안전교육\체크리스트\17_시설물검증시험 착수보고 및 시험참여자 안전교육_체크리스트.html", "👉 [클릭] 체크리스트 열기 📄")</f>
        <v/>
      </c>
      <c r="S18" s="21" t="inlineStr">
        <is>
          <t>철도종합시험운행 시행지침 준수</t>
        </is>
      </c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8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8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8" t="n"/>
      <c r="FT18" s="18" t="n"/>
      <c r="FU18" s="18" t="n"/>
      <c r="FV18" s="18" t="n"/>
      <c r="FW18" s="18" t="n"/>
      <c r="FX18" s="18" t="n"/>
      <c r="FY18" s="18" t="n"/>
      <c r="FZ18" s="18" t="n"/>
      <c r="GA18" s="18" t="n"/>
      <c r="GB18" s="18" t="n"/>
      <c r="GC18" s="18" t="n"/>
      <c r="GD18" s="18" t="n"/>
      <c r="GE18" s="18" t="n"/>
      <c r="GF18" s="18" t="n"/>
      <c r="GG18" s="18" t="n"/>
      <c r="GH18" s="18" t="n"/>
      <c r="GI18" s="18" t="n"/>
      <c r="GJ18" s="18" t="n"/>
      <c r="GK18" s="18" t="n"/>
      <c r="GL18" s="18" t="n"/>
      <c r="GM18" s="18" t="n"/>
      <c r="GN18" s="18" t="n"/>
      <c r="GO18" s="18" t="n"/>
      <c r="GP18" s="18" t="n"/>
      <c r="GQ18" s="18" t="n"/>
      <c r="GR18" s="18" t="n"/>
      <c r="GS18" s="18" t="n"/>
      <c r="GT18" s="18" t="n"/>
      <c r="GU18" s="18" t="n"/>
      <c r="GV18" s="18" t="n"/>
      <c r="GW18" s="18" t="n"/>
      <c r="GX18" s="18" t="n"/>
      <c r="GY18" s="18" t="n"/>
      <c r="GZ18" s="18" t="n"/>
      <c r="HA18" s="18" t="n"/>
      <c r="HB18" s="18" t="n"/>
      <c r="HC18" s="18" t="n"/>
      <c r="HD18" s="18" t="n"/>
      <c r="HE18" s="18" t="n"/>
      <c r="HF18" s="18" t="n"/>
      <c r="HG18" s="18" t="n"/>
      <c r="HH18" s="18" t="n"/>
      <c r="HI18" s="18" t="n"/>
      <c r="HJ18" s="18" t="n"/>
      <c r="HK18" s="18" t="n"/>
    </row>
    <row r="19" ht="118.8" customHeight="1" s="88">
      <c r="A19" s="29" t="inlineStr">
        <is>
          <t>9000</t>
        </is>
      </c>
      <c r="B19" s="29" t="inlineStr">
        <is>
          <t>9000-11</t>
        </is>
      </c>
      <c r="C19" s="29" t="inlineStr">
        <is>
          <t>철도종합시험운행</t>
        </is>
      </c>
      <c r="D19" s="29" t="inlineStr">
        <is>
          <t>9000-11-18</t>
        </is>
      </c>
      <c r="E19" s="102" t="inlineStr">
        <is>
          <t>9000-11-17</t>
        </is>
      </c>
      <c r="F19" s="102" t="inlineStr">
        <is>
          <t>9000-11-19</t>
        </is>
      </c>
      <c r="G19" s="32" t="inlineStr">
        <is>
          <t>시험열차 투입 및 속도별 연동시험</t>
        </is>
      </c>
      <c r="H19" s="33" t="inlineStr">
        <is>
          <t>D+190</t>
        </is>
      </c>
      <c r="I19" s="33" t="inlineStr">
        <is>
          <t>개통운영팀</t>
        </is>
      </c>
      <c r="J19" s="34" t="inlineStr">
        <is>
          <t>본선 34.4km 시험열차 투입, 속도별(10~70km/h) 28개 항목 시설물 연동 성능 검증</t>
        </is>
      </c>
      <c r="K19" s="50" t="inlineStr">
        <is>
          <t>1) STEP 1: 속도 단계별 주행시험 계획 및 열차 편성 (10km/h 저속부터 최고 70km/h까지 단계별 증속 주행)
2) STEP 2: 28개 핵심 검증 항목 실시간 계측 데이터 취득 (윤중/횡압, 급속충전 아크, ATP, 승차감 수집함)
3) STEP 3: 비상제동 거리 및 정위치 정차 정밀도 검증 (70km/h 제동거리 160m 이내 및 정위치 ±300mm 입증)</t>
        </is>
      </c>
      <c r="L19" s="34" t="inlineStr">
        <is>
          <t>시험열차 투입 및 속도별 연동시험 결과보고서, 회의록 및 TS 공인 필증</t>
        </is>
      </c>
      <c r="M19" s="34" t="inlineStr">
        <is>
          <t>1) 시험열차 투입계획 및 본선 속도별 연동 주행시험(9000-9-18)으로 28개 E&amp;M 연동 항목 100% 적합 입증함.
2) 법정 비상제동거리(≤160m) 및 승강장 정위치 정차(±300mm) 완벽 충족함.</t>
        </is>
      </c>
      <c r="N19" s="60">
        <f>HYPERLINK(LEFT(CELL("filename",A1),FIND("[",CELL("filename",A1))-1)&amp;"11.철도종합시운전\18_시험열차 투입계획 및 본선 속도별 연동 주행시험\표준서\18_시험열차 투입계획 및 본선 속도별 연동 주행시험_표준서.html", "👉 [클릭] 표준서 열기 📄")</f>
        <v/>
      </c>
      <c r="O19" s="34" t="inlineStr">
        <is>
          <t>1) STEP 1: 속도 단계별 주행시험 계획 및 열차 편성
2) STEP 2: 28개 핵심 검증 항목 실시간 계측 데이터 취득</t>
        </is>
      </c>
      <c r="P19" s="58">
        <f>HYPERLINK(LEFT(CELL("filename",A1),FIND("[",CELL("filename",A1))-1)&amp;"11.철도종합시운전\18_시험열차 투입계획 및 본선 속도별 연동 주행시험\수행지침\18_시험열차 투입계획 및 본선 속도별 연동 주행시험_수행지침.html", "👉 [클릭] 수행지침 열기 📄")</f>
        <v/>
      </c>
      <c r="Q19" s="34" t="inlineStr">
        <is>
          <t>1) 저속 주행시험(10~30km/h) 시방 및 건축한계, 레일 조인트 통과 기준을 100% 충족하였는가?
2) 중속 주행시험(30~50km/h) 검측 및 불합격 요소를 전면 차단하였는가?</t>
        </is>
      </c>
      <c r="R19" s="56">
        <f>HYPERLINK(LEFT(CELL("filename",A1),FIND("[",CELL("filename",A1))-1)&amp;"11.철도종합시운전\18_시험열차 투입계획 및 본선 속도별 연동 주행시험\체크리스트\18_시험열차 투입계획 및 본선 속도별 연동 주행시험_체크리스트.html", "👉 [클릭] 체크리스트 열기 📄")</f>
        <v/>
      </c>
      <c r="S19" s="33" t="inlineStr">
        <is>
          <t>철도종합시험운행 시행지침 준수</t>
        </is>
      </c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Y19" s="18" t="n"/>
      <c r="DZ19" s="18" t="n"/>
      <c r="EA19" s="18" t="n"/>
      <c r="EB19" s="18" t="n"/>
      <c r="EC19" s="18" t="n"/>
      <c r="ED19" s="18" t="n"/>
      <c r="EE19" s="18" t="n"/>
      <c r="EF19" s="18" t="n"/>
      <c r="EG19" s="18" t="n"/>
      <c r="EH19" s="18" t="n"/>
      <c r="EI19" s="18" t="n"/>
      <c r="EJ19" s="18" t="n"/>
      <c r="EK19" s="18" t="n"/>
      <c r="EL19" s="18" t="n"/>
      <c r="EM19" s="18" t="n"/>
      <c r="EN19" s="18" t="n"/>
      <c r="EO19" s="18" t="n"/>
      <c r="EP19" s="18" t="n"/>
      <c r="EQ19" s="18" t="n"/>
      <c r="ER19" s="18" t="n"/>
      <c r="ES19" s="18" t="n"/>
      <c r="ET19" s="18" t="n"/>
      <c r="EU19" s="18" t="n"/>
      <c r="EV19" s="18" t="n"/>
      <c r="EW19" s="18" t="n"/>
      <c r="EX19" s="18" t="n"/>
      <c r="EY19" s="18" t="n"/>
      <c r="EZ19" s="18" t="n"/>
      <c r="FA19" s="18" t="n"/>
      <c r="FB19" s="18" t="n"/>
      <c r="FC19" s="18" t="n"/>
      <c r="FD19" s="18" t="n"/>
      <c r="FE19" s="18" t="n"/>
      <c r="FF19" s="18" t="n"/>
      <c r="FG19" s="18" t="n"/>
      <c r="FH19" s="18" t="n"/>
      <c r="FI19" s="18" t="n"/>
      <c r="FJ19" s="18" t="n"/>
      <c r="FK19" s="18" t="n"/>
      <c r="FL19" s="18" t="n"/>
      <c r="FM19" s="18" t="n"/>
      <c r="FN19" s="18" t="n"/>
      <c r="FO19" s="18" t="n"/>
      <c r="FP19" s="18" t="n"/>
      <c r="FQ19" s="18" t="n"/>
      <c r="FR19" s="18" t="n"/>
      <c r="FS19" s="18" t="n"/>
      <c r="FT19" s="18" t="n"/>
      <c r="FU19" s="18" t="n"/>
      <c r="FV19" s="18" t="n"/>
      <c r="FW19" s="18" t="n"/>
      <c r="FX19" s="18" t="n"/>
      <c r="FY19" s="18" t="n"/>
      <c r="FZ19" s="18" t="n"/>
      <c r="GA19" s="18" t="n"/>
      <c r="GB19" s="18" t="n"/>
      <c r="GC19" s="18" t="n"/>
      <c r="GD19" s="18" t="n"/>
      <c r="GE19" s="18" t="n"/>
      <c r="GF19" s="18" t="n"/>
      <c r="GG19" s="18" t="n"/>
      <c r="GH19" s="18" t="n"/>
      <c r="GI19" s="18" t="n"/>
      <c r="GJ19" s="18" t="n"/>
      <c r="GK19" s="18" t="n"/>
      <c r="GL19" s="18" t="n"/>
      <c r="GM19" s="18" t="n"/>
      <c r="GN19" s="18" t="n"/>
      <c r="GO19" s="18" t="n"/>
      <c r="GP19" s="18" t="n"/>
      <c r="GQ19" s="18" t="n"/>
      <c r="GR19" s="18" t="n"/>
      <c r="GS19" s="18" t="n"/>
      <c r="GT19" s="18" t="n"/>
      <c r="GU19" s="18" t="n"/>
      <c r="GV19" s="18" t="n"/>
      <c r="GW19" s="18" t="n"/>
      <c r="GX19" s="18" t="n"/>
      <c r="GY19" s="18" t="n"/>
      <c r="GZ19" s="18" t="n"/>
      <c r="HA19" s="18" t="n"/>
      <c r="HB19" s="18" t="n"/>
      <c r="HC19" s="18" t="n"/>
      <c r="HD19" s="18" t="n"/>
      <c r="HE19" s="18" t="n"/>
      <c r="HF19" s="18" t="n"/>
      <c r="HG19" s="18" t="n"/>
      <c r="HH19" s="18" t="n"/>
      <c r="HI19" s="18" t="n"/>
      <c r="HJ19" s="18" t="n"/>
      <c r="HK19" s="18" t="n"/>
      <c r="HL19" s="18" t="n"/>
      <c r="HM19" s="18" t="n"/>
      <c r="HN19" s="18" t="n"/>
      <c r="HO19" s="18" t="n"/>
    </row>
    <row r="20" ht="118.8" customHeight="1" s="88">
      <c r="A20" s="19" t="inlineStr">
        <is>
          <t>9000</t>
        </is>
      </c>
      <c r="B20" s="19" t="inlineStr">
        <is>
          <t>9000-11</t>
        </is>
      </c>
      <c r="C20" s="19" t="inlineStr">
        <is>
          <t>철도종합시험운행</t>
        </is>
      </c>
      <c r="D20" s="19" t="inlineStr">
        <is>
          <t>9000-11-19</t>
        </is>
      </c>
      <c r="E20" s="95" t="inlineStr">
        <is>
          <t>9000-11-18</t>
        </is>
      </c>
      <c r="F20" s="95" t="inlineStr">
        <is>
          <t>9000-11-20</t>
        </is>
      </c>
      <c r="G20" s="23" t="inlineStr">
        <is>
          <t>시설물검증시험 중간점검 및 장애조치</t>
        </is>
      </c>
      <c r="H20" s="21" t="inlineStr">
        <is>
          <t>D+195</t>
        </is>
      </c>
      <c r="I20" s="21" t="inlineStr">
        <is>
          <t>개통운영팀</t>
        </is>
      </c>
      <c r="J20" s="24" t="inlineStr">
        <is>
          <t>시설물검증시험 50% 시점 중간점검, 주행 중 발생 결함 및 데이터 오차 완벽 조치</t>
        </is>
      </c>
      <c r="K20" s="49" t="inlineStr">
        <is>
          <t>1) STEP 1: 시설물검증시험 전반부 계측 데이터 종합 평가 (10~50km/h 계측 센서 데이터 정밀 분석)
2) STEP 2: 도출된 미비점 및 장애 원인 공학적 분석 (곡선부 레일 연마, LTE-R 지향각 및 SW 파라미터 튜닝함)
3) STEP 3: 보완 항목 재시험 실시 및 중간보고서 승인 (70km/h 재주행 시험 무결점 확인 및 중간 승인 획득)</t>
        </is>
      </c>
      <c r="L20" s="24" t="inlineStr">
        <is>
          <t>시설물검증시험 중간점검 및 장애조치 결과보고서, 회의록 및 TS 공인 필증</t>
        </is>
      </c>
      <c r="M20" s="24" t="inlineStr">
        <is>
          <t>1) 시설물검증시험 중간점검 및 장애조치 회의(9000-9-19)로 전반부 계측 데이터 오차 100% 튜닝 완결함.
2) 보완 항목 재시험 합격 및 공기 지연 리스크 Zero 달성함.</t>
        </is>
      </c>
      <c r="N20" s="59">
        <f>HYPERLINK(LEFT(CELL("filename",A1),FIND("[",CELL("filename",A1))-1)&amp;"11.철도종합시운전\19_시설물검증시험 중간점검 및 장애조치 회의\표준서\19_시설물검증시험 중간점검 및 장애조치 회의_표준서.html", "👉 [클릭] 표준서 열기 📄")</f>
        <v/>
      </c>
      <c r="O20" s="24" t="inlineStr">
        <is>
          <t>1) STEP 1: 시설물검증시험 전반부 계측 데이터 종합 평가
2) STEP 2: 도출된 미비점 및 장애 원인 공학적 분석</t>
        </is>
      </c>
      <c r="P20" s="57">
        <f>HYPERLINK(LEFT(CELL("filename",A1),FIND("[",CELL("filename",A1))-1)&amp;"11.철도종합시운전\19_시설물검증시험 중간점검 및 장애조치 회의\수행지침\19_시설물검증시험 중간점검 및 장애조치 회의_수행지침.html", "👉 [클릭] 수행지침 열기 📄")</f>
        <v/>
      </c>
      <c r="Q20" s="24" t="inlineStr">
        <is>
          <t>1) 중간 계측 데이터 종합 분석 시방 및 속도별 28개 항목 데이터 검증 기준을 100% 충족하였는가?
2) 결함 및 이상 징후 분석 검측 및 불합격 요소를 전면 차단하였는가?</t>
        </is>
      </c>
      <c r="R20" s="55">
        <f>HYPERLINK(LEFT(CELL("filename",A1),FIND("[",CELL("filename",A1))-1)&amp;"11.철도종합시운전\19_시설물검증시험 중간점검 및 장애조치 회의\체크리스트\19_시설물검증시험 중간점검 및 장애조치 회의_체크리스트.html", "👉 [클릭] 체크리스트 열기 📄")</f>
        <v/>
      </c>
      <c r="S20" s="21" t="inlineStr">
        <is>
          <t>철도종합시험운행 시행지침 준수</t>
        </is>
      </c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Y20" s="18" t="n"/>
      <c r="DZ20" s="18" t="n"/>
      <c r="EA20" s="18" t="n"/>
      <c r="EB20" s="18" t="n"/>
      <c r="EC20" s="18" t="n"/>
      <c r="ED20" s="18" t="n"/>
      <c r="EE20" s="18" t="n"/>
      <c r="EF20" s="18" t="n"/>
      <c r="EG20" s="18" t="n"/>
      <c r="EH20" s="18" t="n"/>
      <c r="EI20" s="18" t="n"/>
      <c r="EJ20" s="18" t="n"/>
      <c r="EK20" s="18" t="n"/>
      <c r="EL20" s="18" t="n"/>
      <c r="EM20" s="18" t="n"/>
      <c r="EN20" s="18" t="n"/>
      <c r="EO20" s="18" t="n"/>
      <c r="EP20" s="18" t="n"/>
      <c r="EQ20" s="18" t="n"/>
      <c r="ER20" s="18" t="n"/>
      <c r="ES20" s="18" t="n"/>
      <c r="ET20" s="18" t="n"/>
      <c r="EU20" s="18" t="n"/>
      <c r="EV20" s="18" t="n"/>
      <c r="EW20" s="18" t="n"/>
      <c r="EX20" s="18" t="n"/>
      <c r="EY20" s="18" t="n"/>
      <c r="EZ20" s="18" t="n"/>
      <c r="FA20" s="18" t="n"/>
      <c r="FB20" s="18" t="n"/>
      <c r="FC20" s="18" t="n"/>
      <c r="FD20" s="18" t="n"/>
      <c r="FE20" s="18" t="n"/>
      <c r="FF20" s="18" t="n"/>
      <c r="FG20" s="18" t="n"/>
      <c r="FH20" s="18" t="n"/>
      <c r="FI20" s="18" t="n"/>
      <c r="FJ20" s="18" t="n"/>
      <c r="FK20" s="18" t="n"/>
      <c r="FL20" s="18" t="n"/>
      <c r="FM20" s="18" t="n"/>
      <c r="FN20" s="18" t="n"/>
      <c r="FO20" s="18" t="n"/>
      <c r="FP20" s="18" t="n"/>
      <c r="FQ20" s="18" t="n"/>
      <c r="FR20" s="18" t="n"/>
      <c r="FS20" s="18" t="n"/>
      <c r="FT20" s="18" t="n"/>
      <c r="FU20" s="18" t="n"/>
      <c r="FV20" s="18" t="n"/>
      <c r="FW20" s="18" t="n"/>
      <c r="FX20" s="18" t="n"/>
      <c r="FY20" s="18" t="n"/>
      <c r="FZ20" s="18" t="n"/>
      <c r="GA20" s="18" t="n"/>
      <c r="GB20" s="18" t="n"/>
      <c r="GC20" s="18" t="n"/>
      <c r="GD20" s="18" t="n"/>
      <c r="GE20" s="18" t="n"/>
      <c r="GF20" s="18" t="n"/>
      <c r="GG20" s="18" t="n"/>
      <c r="GH20" s="18" t="n"/>
      <c r="GI20" s="18" t="n"/>
      <c r="GJ20" s="18" t="n"/>
      <c r="GK20" s="18" t="n"/>
      <c r="GL20" s="18" t="n"/>
      <c r="GM20" s="18" t="n"/>
      <c r="GN20" s="18" t="n"/>
      <c r="GO20" s="18" t="n"/>
      <c r="GP20" s="18" t="n"/>
      <c r="GQ20" s="18" t="n"/>
      <c r="GR20" s="18" t="n"/>
      <c r="GS20" s="18" t="n"/>
      <c r="GT20" s="18" t="n"/>
      <c r="GU20" s="18" t="n"/>
      <c r="GV20" s="18" t="n"/>
      <c r="GW20" s="18" t="n"/>
      <c r="GX20" s="18" t="n"/>
      <c r="GY20" s="18" t="n"/>
      <c r="GZ20" s="18" t="n"/>
      <c r="HA20" s="18" t="n"/>
      <c r="HB20" s="18" t="n"/>
      <c r="HC20" s="18" t="n"/>
      <c r="HD20" s="18" t="n"/>
      <c r="HE20" s="18" t="n"/>
      <c r="HF20" s="18" t="n"/>
      <c r="HG20" s="18" t="n"/>
      <c r="HH20" s="18" t="n"/>
      <c r="HI20" s="18" t="n"/>
      <c r="HJ20" s="18" t="n"/>
      <c r="HK20" s="18" t="n"/>
      <c r="HL20" s="18" t="n"/>
      <c r="HM20" s="18" t="n"/>
      <c r="HN20" s="18" t="n"/>
      <c r="HO20" s="18" t="n"/>
      <c r="HP20" s="18" t="n"/>
      <c r="HQ20" s="18" t="n"/>
      <c r="HR20" s="18" t="n"/>
      <c r="HS20" s="18" t="n"/>
    </row>
    <row r="21" ht="79.2" customHeight="1" s="88">
      <c r="A21" s="29" t="inlineStr">
        <is>
          <t>9000</t>
        </is>
      </c>
      <c r="B21" s="29" t="inlineStr">
        <is>
          <t>9000-11</t>
        </is>
      </c>
      <c r="C21" s="29" t="inlineStr">
        <is>
          <t>철도종합시험운행</t>
        </is>
      </c>
      <c r="D21" s="29" t="inlineStr">
        <is>
          <t>9000-11-20</t>
        </is>
      </c>
      <c r="E21" s="102" t="inlineStr">
        <is>
          <t>9000-11-19</t>
        </is>
      </c>
      <c r="F21" s="102" t="inlineStr">
        <is>
          <t>9000-11-21</t>
        </is>
      </c>
      <c r="G21" s="32" t="inlineStr">
        <is>
          <t>시설물검증시험 종결회의 및 결과 승인</t>
        </is>
      </c>
      <c r="H21" s="33" t="inlineStr">
        <is>
          <t>D+205</t>
        </is>
      </c>
      <c r="I21" s="33" t="inlineStr">
        <is>
          <t>시공사업단</t>
        </is>
      </c>
      <c r="J21" s="34" t="inlineStr">
        <is>
          <t>시설물검증시험 종결보고회(TS), 28개 항목 전수 합격 판정 및 결과보고서 승인 획득</t>
        </is>
      </c>
      <c r="K21" s="34" t="inlineStr">
        <is>
          <t>1) STEP 1: 시설물검증시험 28개 항목 최종 성적서 집대성 (궤도, 전력, 신호, 통신, PSD 전 성적서 편철)
2) STEP 2: TS 주관 시설물검증시험 종결 심의 회의 대응 (심사위원단 질의응답 거쳐 전 항목 적합 판정 도출함)
3) STEP 3: 시설물검증시험 결과보고서 정식 획득 및 다음 단계 진입 (TS 결과보고서 및 영업시운전 착수 승인 수령)</t>
        </is>
      </c>
      <c r="L21" s="34" t="inlineStr">
        <is>
          <t>시설물검증시험 종결회의 및 결과 승인 결과보고서, 회의록 및 TS 공인 필증</t>
        </is>
      </c>
      <c r="M21" s="34" t="inlineStr">
        <is>
          <t>1) 시설물검증시험 종결회의 및 결과보고서 획득(9000-9-20)으로 2단계 시설물검증 전 항목 100% 공인 합격함.
2) TS 공인 결과보고서 교부 및 3단계 영업시운전 진입 승인 완료함.</t>
        </is>
      </c>
      <c r="N21" s="60">
        <f>HYPERLINK(LEFT(CELL("filename",A1),FIND("[",CELL("filename",A1))-1)&amp;"11.철도종합시운전\20_시설물검증시험 종결회의 및 결과보고서 획득\표준서\20_시설물검증시험 종결회의 및 결과보고서 획득_표준서.html", "👉 [클릭] 표준서 열기 📄")</f>
        <v/>
      </c>
      <c r="O21" s="34" t="inlineStr">
        <is>
          <t>1) STEP 1: 시설물검증시험 28개 항목 최종 성적서 집대성
2) STEP 2: TS 주관 시설물검증시험 종결 심의 회의 대응</t>
        </is>
      </c>
      <c r="P21" s="58">
        <f>HYPERLINK(LEFT(CELL("filename",A1),FIND("[",CELL("filename",A1))-1)&amp;"11.철도종합시운전\20_시설물검증시험 종결회의 및 결과보고서 획득\수행지침\20_시설물검증시험 종결회의 및 결과보고서 획득_수행지침.html", "👉 [클릭] 수행지침 열기 📄")</f>
        <v/>
      </c>
      <c r="Q21" s="34" t="inlineStr">
        <is>
          <t>1) 시설물검증시험 종결회의 시방 및 TS 주관 최종 결과 심의 기준을 100% 충족하였는가?
2) 공인 결과보고서 편찬 검측 및 불합격 요소를 전면 차단하였는가?</t>
        </is>
      </c>
      <c r="R21" s="56">
        <f>HYPERLINK(LEFT(CELL("filename",A1),FIND("[",CELL("filename",A1))-1)&amp;"11.철도종합시운전\20_시설물검증시험 종결회의 및 결과보고서 획득\체크리스트\20_시설물검증시험 종결회의 및 결과보고서 획득_체크리스트.html", "👉 [클릭] 체크리스트 열기 📄")</f>
        <v/>
      </c>
      <c r="S21" s="33" t="inlineStr">
        <is>
          <t>철도종합시험운행 시행지침 준수</t>
        </is>
      </c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8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8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8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18" t="n"/>
      <c r="GI21" s="18" t="n"/>
      <c r="GJ21" s="18" t="n"/>
      <c r="GK21" s="18" t="n"/>
      <c r="GL21" s="18" t="n"/>
      <c r="GM21" s="18" t="n"/>
      <c r="GN21" s="18" t="n"/>
      <c r="GO21" s="18" t="n"/>
      <c r="GP21" s="18" t="n"/>
      <c r="GQ21" s="18" t="n"/>
      <c r="GR21" s="18" t="n"/>
      <c r="GS21" s="18" t="n"/>
      <c r="GT21" s="18" t="n"/>
      <c r="GU21" s="18" t="n"/>
      <c r="GV21" s="18" t="n"/>
      <c r="GW21" s="18" t="n"/>
      <c r="GX21" s="18" t="n"/>
      <c r="GY21" s="18" t="n"/>
      <c r="GZ21" s="18" t="n"/>
      <c r="HA21" s="18" t="n"/>
      <c r="HB21" s="18" t="n"/>
      <c r="HC21" s="18" t="n"/>
      <c r="HD21" s="18" t="n"/>
      <c r="HE21" s="18" t="n"/>
      <c r="HF21" s="18" t="n"/>
      <c r="HG21" s="18" t="n"/>
      <c r="HH21" s="18" t="n"/>
      <c r="HI21" s="18" t="n"/>
      <c r="HJ21" s="18" t="n"/>
      <c r="HK21" s="18" t="n"/>
      <c r="HL21" s="18" t="n"/>
      <c r="HM21" s="18" t="n"/>
      <c r="HN21" s="18" t="n"/>
      <c r="HO21" s="18" t="n"/>
      <c r="HP21" s="18" t="n"/>
      <c r="HQ21" s="18" t="n"/>
      <c r="HR21" s="18" t="n"/>
      <c r="HS21" s="18" t="n"/>
      <c r="HT21" s="18" t="n"/>
      <c r="HU21" s="18" t="n"/>
      <c r="HV21" s="18" t="n"/>
      <c r="HW21" s="18" t="n"/>
    </row>
    <row r="22" ht="105.6" customHeight="1" s="88">
      <c r="A22" s="19" t="inlineStr">
        <is>
          <t>9000</t>
        </is>
      </c>
      <c r="B22" s="19" t="inlineStr">
        <is>
          <t>9000-11</t>
        </is>
      </c>
      <c r="C22" s="19" t="inlineStr">
        <is>
          <t>철도종합시험운행</t>
        </is>
      </c>
      <c r="D22" s="19" t="inlineStr">
        <is>
          <t>9000-11-21</t>
        </is>
      </c>
      <c r="E22" s="95" t="inlineStr">
        <is>
          <t>9000-11-20</t>
        </is>
      </c>
      <c r="F22" s="95" t="inlineStr">
        <is>
          <t>9000-11-22</t>
        </is>
      </c>
      <c r="G22" s="23" t="inlineStr">
        <is>
          <t>영업시운전 계획 수립 및 착수보고</t>
        </is>
      </c>
      <c r="H22" s="21" t="inlineStr">
        <is>
          <t>D+210</t>
        </is>
      </c>
      <c r="I22" s="21" t="inlineStr">
        <is>
          <t>개통운영팀</t>
        </is>
      </c>
      <c r="J22" s="24" t="inlineStr">
        <is>
          <t>3단계 영업시운전 계획서 수립, TS 착수보고회 개최 및 실제 영업 다이아 운행 체계 개시</t>
        </is>
      </c>
      <c r="K22" s="24" t="inlineStr">
        <is>
          <t>1) STEP 1: 실제 영업 다이아(시각표) 및 배차간격 편성 (첨두 RH 4분, 평시 NH 8분, 1일 120회 다이아 확정)
2) STEP 2: 운영사(화성도시공사) 종사자 실전 투입 및 숙달 계획 (기관사, 관제사, 역무원 실제 교대조 전면 투입함)
3) STEP 3: 영업시운전 착수보고회(TS) 개최 및 시험 개시 (TS 및 지자체 합동 착수보고 후 30일 시운전 개시)</t>
        </is>
      </c>
      <c r="L22" s="24" t="inlineStr">
        <is>
          <t>영업시운전 계획 수립 및 착수보고 결과보고서, 회의록 및 TS 공인 필증</t>
        </is>
      </c>
      <c r="M22" s="24" t="inlineStr">
        <is>
          <t>1) 영업시운전 계획 수립 및 착수보고(TS)(9000-9-21)로 실제 개통 다이아(120회/일) 및 인력 투입 확정함.
2) TS 착수보고회 완료 및 30일간의 실전 영업시운전 본격 개시함.</t>
        </is>
      </c>
      <c r="N22" s="59">
        <f>HYPERLINK(LEFT(CELL("filename",A1),FIND("[",CELL("filename",A1))-1)&amp;"11.철도종합시운전\21_영업시운전 계획 수립 및 착수보고(TS)\표준서\21_영업시운전 계획 수립 및 착수보고(TS)_표준서.html", "👉 [클릭] 표준서 열기 📄")</f>
        <v/>
      </c>
      <c r="O22" s="24" t="inlineStr">
        <is>
          <t>1) STEP 1: 실제 영업 다이아(시각표) 및 배차간격 편성
2) STEP 2: 운영사(화성도시공사) 종사자 실전 투입 및 숙달 계획</t>
        </is>
      </c>
      <c r="P22" s="57">
        <f>HYPERLINK(LEFT(CELL("filename",A1),FIND("[",CELL("filename",A1))-1)&amp;"11.철도종합시운전\21_영업시운전 계획 수립 및 착수보고(TS)\수행지침\21_영업시운전 계획 수립 및 착수보고(TS)_수행지침.html", "👉 [클릭] 수행지침 열기 📄")</f>
        <v/>
      </c>
      <c r="Q22" s="24" t="inlineStr">
        <is>
          <t>1) 영업시운전 종합계획서 편찬 시방 및 열차다이아, 인력배치, 비상훈련 기준을 100% 충족하였는가?
2) 영업시운전 착수보고회 개최 검측 및 불합격 요소를 전면 차단하였는가?</t>
        </is>
      </c>
      <c r="R22" s="55">
        <f>HYPERLINK(LEFT(CELL("filename",A1),FIND("[",CELL("filename",A1))-1)&amp;"11.철도종합시운전\21_영업시운전 계획 수립 및 착수보고(TS)\체크리스트\21_영업시운전 계획 수립 및 착수보고(TS)_체크리스트.html", "👉 [클릭] 체크리스트 열기 📄")</f>
        <v/>
      </c>
      <c r="S22" s="21" t="inlineStr">
        <is>
          <t>철도종합시험운행 시행지침 준수</t>
        </is>
      </c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Y22" s="18" t="n"/>
      <c r="DZ22" s="18" t="n"/>
      <c r="EA22" s="18" t="n"/>
      <c r="EB22" s="18" t="n"/>
      <c r="EC22" s="18" t="n"/>
      <c r="ED22" s="18" t="n"/>
      <c r="EE22" s="18" t="n"/>
      <c r="EF22" s="18" t="n"/>
      <c r="EG22" s="18" t="n"/>
      <c r="EH22" s="18" t="n"/>
      <c r="EI22" s="18" t="n"/>
      <c r="EJ22" s="18" t="n"/>
      <c r="EK22" s="18" t="n"/>
      <c r="EL22" s="18" t="n"/>
      <c r="EM22" s="18" t="n"/>
      <c r="EN22" s="18" t="n"/>
      <c r="EO22" s="18" t="n"/>
      <c r="EP22" s="18" t="n"/>
      <c r="EQ22" s="18" t="n"/>
      <c r="ER22" s="18" t="n"/>
      <c r="ES22" s="18" t="n"/>
      <c r="ET22" s="18" t="n"/>
      <c r="EU22" s="18" t="n"/>
      <c r="EV22" s="18" t="n"/>
      <c r="EW22" s="18" t="n"/>
      <c r="EX22" s="18" t="n"/>
      <c r="EY22" s="18" t="n"/>
      <c r="EZ22" s="18" t="n"/>
      <c r="FA22" s="18" t="n"/>
      <c r="FB22" s="18" t="n"/>
      <c r="FC22" s="18" t="n"/>
      <c r="FD22" s="18" t="n"/>
      <c r="FE22" s="18" t="n"/>
      <c r="FF22" s="18" t="n"/>
      <c r="FG22" s="18" t="n"/>
      <c r="FH22" s="18" t="n"/>
      <c r="FI22" s="18" t="n"/>
      <c r="FJ22" s="18" t="n"/>
      <c r="FK22" s="18" t="n"/>
      <c r="FL22" s="18" t="n"/>
      <c r="FM22" s="18" t="n"/>
      <c r="FN22" s="18" t="n"/>
      <c r="FO22" s="18" t="n"/>
      <c r="FP22" s="18" t="n"/>
      <c r="FQ22" s="18" t="n"/>
      <c r="FR22" s="18" t="n"/>
      <c r="FS22" s="18" t="n"/>
      <c r="FT22" s="18" t="n"/>
      <c r="FU22" s="18" t="n"/>
      <c r="FV22" s="18" t="n"/>
      <c r="FW22" s="18" t="n"/>
      <c r="FX22" s="18" t="n"/>
      <c r="FY22" s="18" t="n"/>
      <c r="FZ22" s="18" t="n"/>
      <c r="GA22" s="18" t="n"/>
      <c r="GB22" s="18" t="n"/>
      <c r="GC22" s="18" t="n"/>
      <c r="GD22" s="18" t="n"/>
      <c r="GE22" s="18" t="n"/>
      <c r="GF22" s="18" t="n"/>
      <c r="GG22" s="18" t="n"/>
      <c r="GH22" s="18" t="n"/>
      <c r="GI22" s="18" t="n"/>
      <c r="GJ22" s="18" t="n"/>
      <c r="GK22" s="18" t="n"/>
      <c r="GL22" s="18" t="n"/>
      <c r="GM22" s="18" t="n"/>
      <c r="GN22" s="18" t="n"/>
      <c r="GO22" s="18" t="n"/>
      <c r="GP22" s="18" t="n"/>
      <c r="GQ22" s="18" t="n"/>
      <c r="GR22" s="18" t="n"/>
      <c r="GS22" s="18" t="n"/>
      <c r="GT22" s="18" t="n"/>
      <c r="GU22" s="18" t="n"/>
      <c r="GV22" s="18" t="n"/>
      <c r="GW22" s="18" t="n"/>
      <c r="GX22" s="18" t="n"/>
      <c r="GY22" s="18" t="n"/>
      <c r="GZ22" s="18" t="n"/>
      <c r="HA22" s="18" t="n"/>
      <c r="HB22" s="18" t="n"/>
      <c r="HC22" s="18" t="n"/>
      <c r="HD22" s="18" t="n"/>
      <c r="HE22" s="18" t="n"/>
      <c r="HF22" s="18" t="n"/>
      <c r="HG22" s="18" t="n"/>
      <c r="HH22" s="18" t="n"/>
      <c r="HI22" s="18" t="n"/>
      <c r="HJ22" s="18" t="n"/>
      <c r="HK22" s="18" t="n"/>
      <c r="HL22" s="18" t="n"/>
      <c r="HM22" s="18" t="n"/>
      <c r="HN22" s="18" t="n"/>
      <c r="HO22" s="18" t="n"/>
      <c r="HP22" s="18" t="n"/>
      <c r="HQ22" s="18" t="n"/>
      <c r="HR22" s="18" t="n"/>
      <c r="HS22" s="18" t="n"/>
      <c r="HT22" s="18" t="n"/>
      <c r="HU22" s="18" t="n"/>
      <c r="HV22" s="18" t="n"/>
      <c r="HW22" s="18" t="n"/>
      <c r="HX22" s="18" t="n"/>
      <c r="HY22" s="18" t="n"/>
      <c r="HZ22" s="18" t="n"/>
      <c r="IA22" s="18" t="n"/>
    </row>
    <row r="23" ht="118.8" customHeight="1" s="88">
      <c r="A23" s="29" t="inlineStr">
        <is>
          <t>9000</t>
        </is>
      </c>
      <c r="B23" s="29" t="inlineStr">
        <is>
          <t>9000-11</t>
        </is>
      </c>
      <c r="C23" s="29" t="inlineStr">
        <is>
          <t>철도종합시험운행</t>
        </is>
      </c>
      <c r="D23" s="29" t="inlineStr">
        <is>
          <t>9000-11-22</t>
        </is>
      </c>
      <c r="E23" s="102" t="inlineStr">
        <is>
          <t>9000-11-21</t>
        </is>
      </c>
      <c r="F23" s="102" t="inlineStr">
        <is>
          <t>9000-11-23</t>
        </is>
      </c>
      <c r="G23" s="32" t="inlineStr">
        <is>
          <t>영업 다이아 운행 및 비상대응훈련</t>
        </is>
      </c>
      <c r="H23" s="33" t="inlineStr">
        <is>
          <t>D+215</t>
        </is>
      </c>
      <c r="I23" s="33" t="inlineStr">
        <is>
          <t>화성도시공사</t>
        </is>
      </c>
      <c r="J23" s="34" t="inlineStr">
        <is>
          <t>30일간 무사고 영업 다이아 주행(정시율 ≥ 99%), 화재·탈선·단전 8대 비상대응훈련</t>
        </is>
      </c>
      <c r="K23" s="50" t="inlineStr">
        <is>
          <t>1) STEP 1: 30일간 실전 영업 다이아 연속 무사고 운행 (매일 05:30 첫차~익일 00:30 막차 실제 다이아 주행)
2) STEP 2: 열차 운행 정시율(≥ 99%) 및 고장률(Zero) 관리 (출발/도착 1초 단위 기록 및 정시율 99.8% 달성함)
3) STEP 3: 소방·경찰·지자체 합동 8대 비상대응 실전 훈련 (차내 화재, 탈선, 정전 등 5분 골든타임 입증)</t>
        </is>
      </c>
      <c r="L23" s="34" t="inlineStr">
        <is>
          <t>영업 다이아 운행 및 비상대응훈련 결과보고서, 회의록 및 TS 공인 필증</t>
        </is>
      </c>
      <c r="M23" s="34" t="inlineStr">
        <is>
          <t>1) 실제 열차운행 다이아 기반 영업시운전 및 비상훈련(9000-9-22)으로 운행 정시율 99.8% 달성함.
2) 총 3,600회 무사고 주행 완수 및 8대 비상대응 실전훈련 100% 합격함.</t>
        </is>
      </c>
      <c r="N23" s="60">
        <f>HYPERLINK(LEFT(CELL("filename",A1),FIND("[",CELL("filename",A1))-1)&amp;"11.철도종합시운전\22_실제 열차운행 다이아 기반 영업시운전 및 비상훈련\표준서\22_실제 열차운행 다이아 기반 영업시운전 및 비상훈련_표준서.html", "👉 [클릭] 표준서 열기 📄")</f>
        <v/>
      </c>
      <c r="O23" s="34" t="inlineStr">
        <is>
          <t>1) STEP 1: 30일간 실전 영업 다이아 연속 무사고 운행
2) STEP 2: 열차 운행 정시율(≥ 99%) 및 고장률(Zero) 관리</t>
        </is>
      </c>
      <c r="P23" s="58">
        <f>HYPERLINK(LEFT(CELL("filename",A1),FIND("[",CELL("filename",A1))-1)&amp;"11.철도종합시운전\22_실제 열차운행 다이아 기반 영업시운전 및 비상훈련\수행지침\22_실제 열차운행 다이아 기반 영업시운전 및 비상훈련_수행지침.html", "👉 [클릭] 수행지침 열기 📄")</f>
        <v/>
      </c>
      <c r="Q23" s="34" t="inlineStr">
        <is>
          <t>1) 영업 다이아 연속 운행 시방 및 1일 120회, 30일간 3,600회 주행 기준을 100% 충족하였는가?
2) 열차 정시율 및 지연 분석 검측 및 불합격 요소를 전면 차단하였는가?</t>
        </is>
      </c>
      <c r="R23" s="56">
        <f>HYPERLINK(LEFT(CELL("filename",A1),FIND("[",CELL("filename",A1))-1)&amp;"11.철도종합시운전\22_실제 열차운행 다이아 기반 영업시운전 및 비상훈련\체크리스트\22_실제 열차운행 다이아 기반 영업시운전 및 비상훈련_체크리스트.html", "👉 [클릭] 체크리스트 열기 📄")</f>
        <v/>
      </c>
      <c r="S23" s="33" t="inlineStr">
        <is>
          <t>철도종합시험운행 시행지침 준수</t>
        </is>
      </c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8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8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8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18" t="n"/>
      <c r="GI23" s="18" t="n"/>
      <c r="GJ23" s="18" t="n"/>
      <c r="GK23" s="18" t="n"/>
      <c r="GL23" s="18" t="n"/>
      <c r="GM23" s="18" t="n"/>
      <c r="GN23" s="18" t="n"/>
      <c r="GO23" s="18" t="n"/>
      <c r="GP23" s="18" t="n"/>
      <c r="GQ23" s="18" t="n"/>
      <c r="GR23" s="18" t="n"/>
      <c r="GS23" s="18" t="n"/>
      <c r="GT23" s="18" t="n"/>
      <c r="GU23" s="18" t="n"/>
      <c r="GV23" s="18" t="n"/>
      <c r="GW23" s="18" t="n"/>
      <c r="GX23" s="18" t="n"/>
      <c r="GY23" s="18" t="n"/>
      <c r="GZ23" s="18" t="n"/>
      <c r="HA23" s="18" t="n"/>
      <c r="HB23" s="18" t="n"/>
      <c r="HC23" s="18" t="n"/>
      <c r="HD23" s="18" t="n"/>
      <c r="HE23" s="18" t="n"/>
      <c r="HF23" s="18" t="n"/>
      <c r="HG23" s="18" t="n"/>
      <c r="HH23" s="18" t="n"/>
      <c r="HI23" s="18" t="n"/>
      <c r="HJ23" s="18" t="n"/>
      <c r="HK23" s="18" t="n"/>
      <c r="HL23" s="18" t="n"/>
      <c r="HM23" s="18" t="n"/>
      <c r="HN23" s="18" t="n"/>
      <c r="HO23" s="18" t="n"/>
      <c r="HP23" s="18" t="n"/>
      <c r="HQ23" s="18" t="n"/>
      <c r="HR23" s="18" t="n"/>
      <c r="HS23" s="18" t="n"/>
      <c r="HT23" s="18" t="n"/>
      <c r="HU23" s="18" t="n"/>
      <c r="HV23" s="18" t="n"/>
      <c r="HW23" s="18" t="n"/>
      <c r="HX23" s="18" t="n"/>
      <c r="HY23" s="18" t="n"/>
      <c r="HZ23" s="18" t="n"/>
      <c r="IA23" s="18" t="n"/>
      <c r="IB23" s="18" t="n"/>
      <c r="IC23" s="18" t="n"/>
      <c r="ID23" s="18" t="n"/>
      <c r="IE23" s="18" t="n"/>
    </row>
    <row r="24" ht="92.40000000000001" customHeight="1" s="88">
      <c r="A24" s="19" t="inlineStr">
        <is>
          <t>9000</t>
        </is>
      </c>
      <c r="B24" s="19" t="inlineStr">
        <is>
          <t>9000-11</t>
        </is>
      </c>
      <c r="C24" s="19" t="inlineStr">
        <is>
          <t>철도종합시험운행</t>
        </is>
      </c>
      <c r="D24" s="19" t="inlineStr">
        <is>
          <t>9000-11-23</t>
        </is>
      </c>
      <c r="E24" s="95" t="inlineStr">
        <is>
          <t>9000-11-22</t>
        </is>
      </c>
      <c r="F24" s="95" t="inlineStr">
        <is>
          <t>9000-11-24</t>
        </is>
      </c>
      <c r="G24" s="23" t="inlineStr">
        <is>
          <t>영업시운전 중간점검 및 조치</t>
        </is>
      </c>
      <c r="H24" s="21" t="inlineStr">
        <is>
          <t>D+220</t>
        </is>
      </c>
      <c r="I24" s="21" t="inlineStr">
        <is>
          <t>개통운영팀</t>
        </is>
      </c>
      <c r="J24" s="24" t="inlineStr">
        <is>
          <t>영업시운전 15일 차 중간점검 회의, 운행 중 발생 이례상황 및 설비 오작동 100% 조치</t>
        </is>
      </c>
      <c r="K24" s="24" t="inlineStr">
        <is>
          <t>1) STEP 1: 15일간 누적 영업시운전 데이터 종합 분석 (총 1,800회 주행 데이터 및 승강장 정차 시간 분석)
2) STEP 2: 운전 취급 및 승강장 설비 미세 이상 징후 조치 (도어 센서 민감도, 안내방송 음압, 교차로 신호 최적화함)
3) STEP 3: 영업시운전 중간점검 보고서 편찬 및 승인 (조치 결과 포함 중간보고서 제출 및 TS 승인 획득)</t>
        </is>
      </c>
      <c r="L24" s="24" t="inlineStr">
        <is>
          <t>영업시운전 중간점검 및 조치 결과보고서, 회의록 및 TS 공인 필증</t>
        </is>
      </c>
      <c r="M24" s="24" t="inlineStr">
        <is>
          <t>1) 영업시운전 중간점검 및 조치(9000-9-23)로 15일간 누적 운행 데이터 분석 및 미세 결함 100% 조치 완료함.
2) TS 중간 평가 적합 판정 획득 및 후반부 영업 운행 연속성 확보함.</t>
        </is>
      </c>
      <c r="N24" s="59">
        <f>HYPERLINK(LEFT(CELL("filename",A1),FIND("[",CELL("filename",A1))-1)&amp;"11.철도종합시운전\23_영업시운전 중간점검 및 이례상황 조치결과 검토\표준서\23_영업시운전 중간점검 및 이례상황 조치결과 검토_표준서.html", "👉 [클릭] 표준서 열기 📄")</f>
        <v/>
      </c>
      <c r="O24" s="24" t="inlineStr">
        <is>
          <t>1) STEP 1: 15일간 누적 영업시운전 데이터 종합 분석
2) STEP 2: 운전 취급 및 승강장 설비 미세 이상 징후 조치</t>
        </is>
      </c>
      <c r="P24" s="57">
        <f>HYPERLINK(LEFT(CELL("filename",A1),FIND("[",CELL("filename",A1))-1)&amp;"11.철도종합시운전\23_영업시운전 중간점검 및 이례상황 조치결과 검토\수행지침\23_영업시운전 중간점검 및 이례상황 조치결과 검토_수행지침.html", "👉 [클릭] 수행지침 열기 📄")</f>
        <v/>
      </c>
      <c r="Q24" s="24" t="inlineStr">
        <is>
          <t>1) 영업시운전 15일 누적 데이터 분석 시방 및 운행 횟수, 정시율, 전력소비량 기준을 100% 충족하였는가?
2) 이례상황 및 미세 오류 분석 검측 및 불합격 요소를 전면 차단하였는가?</t>
        </is>
      </c>
      <c r="R24" s="55">
        <f>HYPERLINK(LEFT(CELL("filename",A1),FIND("[",CELL("filename",A1))-1)&amp;"11.철도종합시운전\23_영업시운전 중간점검 및 이례상황 조치결과 검토\체크리스트\23_영업시운전 중간점검 및 이례상황 조치결과 검토_체크리스트.html", "👉 [클릭] 체크리스트 열기 📄")</f>
        <v/>
      </c>
      <c r="S24" s="21" t="inlineStr">
        <is>
          <t>철도종합시험운행 시행지침 준수</t>
        </is>
      </c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8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8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8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18" t="n"/>
      <c r="GI24" s="18" t="n"/>
      <c r="GJ24" s="18" t="n"/>
      <c r="GK24" s="18" t="n"/>
      <c r="GL24" s="18" t="n"/>
      <c r="GM24" s="18" t="n"/>
      <c r="GN24" s="18" t="n"/>
      <c r="GO24" s="18" t="n"/>
      <c r="GP24" s="18" t="n"/>
      <c r="GQ24" s="18" t="n"/>
      <c r="GR24" s="18" t="n"/>
      <c r="GS24" s="18" t="n"/>
      <c r="GT24" s="18" t="n"/>
      <c r="GU24" s="18" t="n"/>
      <c r="GV24" s="18" t="n"/>
      <c r="GW24" s="18" t="n"/>
      <c r="GX24" s="18" t="n"/>
      <c r="GY24" s="18" t="n"/>
      <c r="GZ24" s="18" t="n"/>
      <c r="HA24" s="18" t="n"/>
      <c r="HB24" s="18" t="n"/>
      <c r="HC24" s="18" t="n"/>
      <c r="HD24" s="18" t="n"/>
      <c r="HE24" s="18" t="n"/>
      <c r="HF24" s="18" t="n"/>
      <c r="HG24" s="18" t="n"/>
      <c r="HH24" s="18" t="n"/>
      <c r="HI24" s="18" t="n"/>
      <c r="HJ24" s="18" t="n"/>
      <c r="HK24" s="18" t="n"/>
      <c r="HL24" s="18" t="n"/>
      <c r="HM24" s="18" t="n"/>
      <c r="HN24" s="18" t="n"/>
      <c r="HO24" s="18" t="n"/>
      <c r="HP24" s="18" t="n"/>
      <c r="HQ24" s="18" t="n"/>
      <c r="HR24" s="18" t="n"/>
      <c r="HS24" s="18" t="n"/>
      <c r="HT24" s="18" t="n"/>
      <c r="HU24" s="18" t="n"/>
      <c r="HV24" s="18" t="n"/>
      <c r="HW24" s="18" t="n"/>
      <c r="HX24" s="18" t="n"/>
      <c r="HY24" s="18" t="n"/>
      <c r="HZ24" s="18" t="n"/>
      <c r="IA24" s="18" t="n"/>
      <c r="IB24" s="18" t="n"/>
      <c r="IC24" s="18" t="n"/>
      <c r="ID24" s="18" t="n"/>
      <c r="IE24" s="18" t="n"/>
      <c r="IF24" s="18" t="n"/>
      <c r="IG24" s="18" t="n"/>
      <c r="IH24" s="18" t="n"/>
      <c r="II24" s="18" t="n"/>
    </row>
    <row r="25" ht="92.40000000000001" customHeight="1" s="88">
      <c r="A25" s="29" t="inlineStr">
        <is>
          <t>9000</t>
        </is>
      </c>
      <c r="B25" s="29" t="inlineStr">
        <is>
          <t>9000-11</t>
        </is>
      </c>
      <c r="C25" s="29" t="inlineStr">
        <is>
          <t>철도종합시험운행</t>
        </is>
      </c>
      <c r="D25" s="29" t="inlineStr">
        <is>
          <t>9000-11-24</t>
        </is>
      </c>
      <c r="E25" s="102" t="inlineStr">
        <is>
          <t>9000-11-23</t>
        </is>
      </c>
      <c r="F25" s="102" t="inlineStr">
        <is>
          <t>9000-11-25</t>
        </is>
      </c>
      <c r="G25" s="32" t="inlineStr">
        <is>
          <t>영업시운전 종결회의 및 결과보고서 승인</t>
        </is>
      </c>
      <c r="H25" s="33" t="inlineStr">
        <is>
          <t>D+225</t>
        </is>
      </c>
      <c r="I25" s="33" t="inlineStr">
        <is>
          <t>시공사업단</t>
        </is>
      </c>
      <c r="J25" s="34" t="inlineStr">
        <is>
          <t>영업시운전 최종 종결보고회(TS), 3단계 종합시험운행 전 과정 완벽 합격 판정</t>
        </is>
      </c>
      <c r="K25" s="34" t="inlineStr">
        <is>
          <t>1) STEP 1: 영업시운전 30일간 전 운행 실적 종합 집계 (총 주행거리, 정시 운행률, 비상훈련 성과 결과보고서 편찬)
2) STEP 2: TS 합동 영업시운전 종결 심의 회의 대응 (심사위원단 최종 심의 거쳐 무결점 합격 의결함)
3) STEP 3: 영업시운전 결과보고서 승인 및 종결 선언 (공인 결과보고서 수령 및 3단계 종합시험운행 완결 선포)</t>
        </is>
      </c>
      <c r="L25" s="34" t="inlineStr">
        <is>
          <t>영업시운전 종결회의 및 결과보고서 승인 결과보고서, 회의록 및 TS 공인 필증</t>
        </is>
      </c>
      <c r="M25" s="34" t="inlineStr">
        <is>
          <t>1) 영업시운전 종결회의 및 결과보고서 승인(9000-9-24)으로 3단계 철도종합시험운행 전 과정 100% 합격 판정 획득함.
2) TS 공인 결과보고서 승인 완료 및 국토부 영업개통 승인 신청 준비 완료함.</t>
        </is>
      </c>
      <c r="N25" s="60">
        <f>HYPERLINK(LEFT(CELL("filename",A1),FIND("[",CELL("filename",A1))-1)&amp;"11.철도종합시운전\24_영업시운전 종결회의 및 결과보고서 승인\표준서\24_영업시운전 종결회의 및 결과보고서 승인_표준서.html", "👉 [클릭] 표준서 열기 📄")</f>
        <v/>
      </c>
      <c r="O25" s="34" t="inlineStr">
        <is>
          <t>1) STEP 1: 영업시운전 30일간 전 운행 실적 종합 집계
2) STEP 2: TS 합동 영업시운전 종결 심의 회의 대응</t>
        </is>
      </c>
      <c r="P25" s="58">
        <f>HYPERLINK(LEFT(CELL("filename",A1),FIND("[",CELL("filename",A1))-1)&amp;"11.철도종합시운전\24_영업시운전 종결회의 및 결과보고서 승인\수행지침\24_영업시운전 종결회의 및 결과보고서 승인_수행지침.html", "👉 [클릭] 수행지침 열기 📄")</f>
        <v/>
      </c>
      <c r="Q25" s="34" t="inlineStr">
        <is>
          <t>1) 영업시운전 종결회의 개최 시방 및 TS 주관 종합 평가 보고 기준을 100% 충족하였는가?
2) 영업시운전 결과보고서 편찬 검측 및 불합격 요소를 전면 차단하였는가?</t>
        </is>
      </c>
      <c r="R25" s="56">
        <f>HYPERLINK(LEFT(CELL("filename",A1),FIND("[",CELL("filename",A1))-1)&amp;"11.철도종합시운전\24_영업시운전 종결회의 및 결과보고서 승인\체크리스트\24_영업시운전 종결회의 및 결과보고서 승인_체크리스트.html", "👉 [클릭] 체크리스트 열기 📄")</f>
        <v/>
      </c>
      <c r="S25" s="33" t="inlineStr">
        <is>
          <t>철도종합시험운행 시행지침 준수</t>
        </is>
      </c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8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8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8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18" t="n"/>
      <c r="GI25" s="18" t="n"/>
      <c r="GJ25" s="18" t="n"/>
      <c r="GK25" s="18" t="n"/>
      <c r="GL25" s="18" t="n"/>
      <c r="GM25" s="18" t="n"/>
      <c r="GN25" s="18" t="n"/>
      <c r="GO25" s="18" t="n"/>
      <c r="GP25" s="18" t="n"/>
      <c r="GQ25" s="18" t="n"/>
      <c r="GR25" s="18" t="n"/>
      <c r="GS25" s="18" t="n"/>
      <c r="GT25" s="18" t="n"/>
      <c r="GU25" s="18" t="n"/>
      <c r="GV25" s="18" t="n"/>
      <c r="GW25" s="18" t="n"/>
      <c r="GX25" s="18" t="n"/>
      <c r="GY25" s="18" t="n"/>
      <c r="GZ25" s="18" t="n"/>
      <c r="HA25" s="18" t="n"/>
      <c r="HB25" s="18" t="n"/>
      <c r="HC25" s="18" t="n"/>
      <c r="HD25" s="18" t="n"/>
      <c r="HE25" s="18" t="n"/>
      <c r="HF25" s="18" t="n"/>
      <c r="HG25" s="18" t="n"/>
      <c r="HH25" s="18" t="n"/>
      <c r="HI25" s="18" t="n"/>
      <c r="HJ25" s="18" t="n"/>
      <c r="HK25" s="18" t="n"/>
      <c r="HL25" s="18" t="n"/>
      <c r="HM25" s="18" t="n"/>
      <c r="HN25" s="18" t="n"/>
      <c r="HO25" s="18" t="n"/>
      <c r="HP25" s="18" t="n"/>
      <c r="HQ25" s="18" t="n"/>
      <c r="HR25" s="18" t="n"/>
      <c r="HS25" s="18" t="n"/>
      <c r="HT25" s="18" t="n"/>
      <c r="HU25" s="18" t="n"/>
      <c r="HV25" s="18" t="n"/>
      <c r="HW25" s="18" t="n"/>
      <c r="HX25" s="18" t="n"/>
      <c r="HY25" s="18" t="n"/>
      <c r="HZ25" s="18" t="n"/>
      <c r="IA25" s="18" t="n"/>
      <c r="IB25" s="18" t="n"/>
      <c r="IC25" s="18" t="n"/>
      <c r="ID25" s="18" t="n"/>
      <c r="IE25" s="18" t="n"/>
      <c r="IF25" s="18" t="n"/>
      <c r="IG25" s="18" t="n"/>
      <c r="IH25" s="18" t="n"/>
      <c r="II25" s="18" t="n"/>
      <c r="IJ25" s="18" t="n"/>
      <c r="IK25" s="18" t="n"/>
      <c r="IL25" s="18" t="n"/>
      <c r="IM25" s="18" t="n"/>
    </row>
    <row r="26" ht="92.40000000000001" customHeight="1" s="88">
      <c r="A26" s="19" t="inlineStr">
        <is>
          <t>9000</t>
        </is>
      </c>
      <c r="B26" s="19" t="inlineStr">
        <is>
          <t>9000-11</t>
        </is>
      </c>
      <c r="C26" s="19" t="inlineStr">
        <is>
          <t>철도종합시험운행</t>
        </is>
      </c>
      <c r="D26" s="19" t="inlineStr">
        <is>
          <t>9000-11-25</t>
        </is>
      </c>
      <c r="E26" s="95" t="inlineStr">
        <is>
          <t>9000-11-24</t>
        </is>
      </c>
      <c r="F26" s="95" t="inlineStr">
        <is>
          <t>9000-11-26, 9000-11-27</t>
        </is>
      </c>
      <c r="G26" s="23" t="inlineStr">
        <is>
          <t>철도종합시험운행 종합결과보고서 제출</t>
        </is>
      </c>
      <c r="H26" s="21" t="inlineStr">
        <is>
          <t>D+230</t>
        </is>
      </c>
      <c r="I26" s="21" t="inlineStr">
        <is>
          <t>시공사업단</t>
        </is>
      </c>
      <c r="J26" s="24" t="inlineStr">
        <is>
          <t>사전점검·시설물검증·영업시운전 3단계 총괄 종합결과보고서 국토교통부 제출</t>
        </is>
      </c>
      <c r="K26" s="24" t="inlineStr">
        <is>
          <t>1) STEP 1: 사전점검·시설물검증·영업시운전 성과 종합 편철 (3단계 전 시험 과정 측정 데이터 및 성적서 마스터 바인딩)
2) STEP 2: 총괄사업단장 및 책임감리원 최종 서명 날인 (발주처, 감리단, 시공사 3자 대표자 서명으로 무결성 보증함)
3) STEP 3: 국토교통부 정식 제출 및 정부 적합 승인 통보 수령 (국토교통부 정식 접수 및 종합시험운행 적합 승인 수령)</t>
        </is>
      </c>
      <c r="L26" s="24" t="inlineStr">
        <is>
          <t>철도종합시험운행 종합결과보고서 제출 결과보고서, 회의록 및 TS 공인 필증</t>
        </is>
      </c>
      <c r="M26" s="24" t="inlineStr">
        <is>
          <t>1) 철도종합시험운행 종합결과보고서 제출(9000-9-25)로 철도안전법 제38조에 따른 법정 준공 보고서 완비함.
2) 국토교통부 정식 공문 접수 및 최종 '종합시험운행 적합 승인' 획득함.</t>
        </is>
      </c>
      <c r="N26" s="59">
        <f>HYPERLINK(LEFT(CELL("filename",A1),FIND("[",CELL("filename",A1))-1)&amp;"11.철도종합시운전\25_철도종합시험운행 종합결과보고서 작성 및 제출\표준서\25_철도종합시험운행 종합결과보고서 작성 및 제출_표준서.html", "👉 [클릭] 표준서 열기 📄")</f>
        <v/>
      </c>
      <c r="O26" s="24" t="inlineStr">
        <is>
          <t>1) STEP 1: 사전점검·시설물검증·영업시운전 성과 종합 편철
2) STEP 2: 총괄사업단장 및 책임감리원 최종 서명 날인</t>
        </is>
      </c>
      <c r="P26" s="57">
        <f>HYPERLINK(LEFT(CELL("filename",A1),FIND("[",CELL("filename",A1))-1)&amp;"11.철도종합시운전\25_철도종합시험운행 종합결과보고서 작성 및 제출\수행지침\25_철도종합시험운행 종합결과보고서 작성 및 제출_수행지침.html", "👉 [클릭] 수행지침 열기 📄")</f>
        <v/>
      </c>
      <c r="Q26" s="24" t="inlineStr">
        <is>
          <t>1) 3단계 종합결과보고서 편찬 시방 및 사전점검+시설물검증+영업시운전 기준을 100% 충족하였는가?
2) 사업단장 및 책임감리원 서명 검측 및 불합격 요소를 전면 차단하였는가?</t>
        </is>
      </c>
      <c r="R26" s="55">
        <f>HYPERLINK(LEFT(CELL("filename",A1),FIND("[",CELL("filename",A1))-1)&amp;"11.철도종합시운전\25_철도종합시험운행 종합결과보고서 작성 및 제출\체크리스트\25_철도종합시험운행 종합결과보고서 작성 및 제출_체크리스트.html", "👉 [클릭] 체크리스트 열기 📄")</f>
        <v/>
      </c>
      <c r="S26" s="21" t="inlineStr">
        <is>
          <t>철도종합시험운행 시행지침 준수</t>
        </is>
      </c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8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8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8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18" t="n"/>
      <c r="GI26" s="18" t="n"/>
      <c r="GJ26" s="18" t="n"/>
      <c r="GK26" s="18" t="n"/>
      <c r="GL26" s="18" t="n"/>
      <c r="GM26" s="18" t="n"/>
      <c r="GN26" s="18" t="n"/>
      <c r="GO26" s="18" t="n"/>
      <c r="GP26" s="18" t="n"/>
      <c r="GQ26" s="18" t="n"/>
      <c r="GR26" s="18" t="n"/>
      <c r="GS26" s="18" t="n"/>
      <c r="GT26" s="18" t="n"/>
      <c r="GU26" s="18" t="n"/>
      <c r="GV26" s="18" t="n"/>
      <c r="GW26" s="18" t="n"/>
      <c r="GX26" s="18" t="n"/>
      <c r="GY26" s="18" t="n"/>
      <c r="GZ26" s="18" t="n"/>
      <c r="HA26" s="18" t="n"/>
      <c r="HB26" s="18" t="n"/>
      <c r="HC26" s="18" t="n"/>
      <c r="HD26" s="18" t="n"/>
      <c r="HE26" s="18" t="n"/>
      <c r="HF26" s="18" t="n"/>
      <c r="HG26" s="18" t="n"/>
      <c r="HH26" s="18" t="n"/>
      <c r="HI26" s="18" t="n"/>
      <c r="HJ26" s="18" t="n"/>
      <c r="HK26" s="18" t="n"/>
      <c r="HL26" s="18" t="n"/>
      <c r="HM26" s="18" t="n"/>
      <c r="HN26" s="18" t="n"/>
      <c r="HO26" s="18" t="n"/>
      <c r="HP26" s="18" t="n"/>
      <c r="HQ26" s="18" t="n"/>
      <c r="HR26" s="18" t="n"/>
      <c r="HS26" s="18" t="n"/>
      <c r="HT26" s="18" t="n"/>
      <c r="HU26" s="18" t="n"/>
      <c r="HV26" s="18" t="n"/>
      <c r="HW26" s="18" t="n"/>
      <c r="HX26" s="18" t="n"/>
      <c r="HY26" s="18" t="n"/>
      <c r="HZ26" s="18" t="n"/>
      <c r="IA26" s="18" t="n"/>
      <c r="IB26" s="18" t="n"/>
      <c r="IC26" s="18" t="n"/>
      <c r="ID26" s="18" t="n"/>
      <c r="IE26" s="18" t="n"/>
      <c r="IF26" s="18" t="n"/>
      <c r="IG26" s="18" t="n"/>
      <c r="IH26" s="18" t="n"/>
      <c r="II26" s="18" t="n"/>
      <c r="IJ26" s="18" t="n"/>
      <c r="IK26" s="18" t="n"/>
      <c r="IL26" s="18" t="n"/>
      <c r="IM26" s="18" t="n"/>
      <c r="IN26" s="18" t="n"/>
      <c r="IO26" s="18" t="n"/>
      <c r="IP26" s="18" t="n"/>
      <c r="IQ26" s="18" t="n"/>
    </row>
    <row r="27" ht="105.6" customHeight="1" s="88">
      <c r="A27" s="29" t="inlineStr">
        <is>
          <t>9000</t>
        </is>
      </c>
      <c r="B27" s="29" t="inlineStr">
        <is>
          <t>9000-11</t>
        </is>
      </c>
      <c r="C27" s="29" t="inlineStr">
        <is>
          <t>철도종합시험운행</t>
        </is>
      </c>
      <c r="D27" s="29" t="inlineStr">
        <is>
          <t>9000-11-26</t>
        </is>
      </c>
      <c r="E27" s="102" t="inlineStr">
        <is>
          <t>9000-11-25</t>
        </is>
      </c>
      <c r="F27" s="102" t="inlineStr">
        <is>
          <t>9000-11-28</t>
        </is>
      </c>
      <c r="G27" s="32" t="inlineStr">
        <is>
          <t>철도운영자 안전관리체계 변경승인</t>
        </is>
      </c>
      <c r="H27" s="33" t="inlineStr">
        <is>
          <t>D+235</t>
        </is>
      </c>
      <c r="I27" s="33" t="inlineStr">
        <is>
          <t>화성도시공사</t>
        </is>
      </c>
      <c r="J27" s="34" t="inlineStr">
        <is>
          <t>화성도시공사(철도운영자) 철도안전관리체계 변경승인 신청 및 TS 현장 검사 합격</t>
        </is>
      </c>
      <c r="K27" s="34" t="inlineStr">
        <is>
          <t>1) STEP 1: 철도안전관리체계 변경승인 신청 서류 작성 (안전경영 목표, 비상대응계획, 유지관리 규정 42종 편찬)
2) STEP 2: 한국교통안전공단(TS) 현장 실사 수검 (화성도시공사 관제, 운전, 유지보수 조직의 실질적 이행 능력 입증함)
3) STEP 3: 국토교통부 철도안전관리체계 변경승인증명서 획득 (국토부 장관 명의 정식 증명서 수령으로 법적 자격 완비)</t>
        </is>
      </c>
      <c r="L27" s="34" t="inlineStr">
        <is>
          <t>철도운영자 안전관리체계 변경승인 결과보고서, 회의록 및 TS 공인 필증</t>
        </is>
      </c>
      <c r="M27" s="34" t="inlineStr">
        <is>
          <t>1) 철도운영자 안전관리체계 변경승인(9000-9-26)으로 화성도시공사 철도운영자 법적 자격 100% 완비함.
2) TS 현장 실사 합격 및 국토교통부 정식 안전관리체계 승인증명서 교부 완료함.</t>
        </is>
      </c>
      <c r="N27" s="60">
        <f>HYPERLINK(LEFT(CELL("filename",A1),FIND("[",CELL("filename",A1))-1)&amp;"11.철도종합시운전\26_철도운영자 안전관리체계 변경승인(TS)\표준서\26_철도운영자 안전관리체계 변경승인(TS)_표준서.html", "👉 [클릭] 표준서 열기 📄")</f>
        <v/>
      </c>
      <c r="O27" s="34" t="inlineStr">
        <is>
          <t>1) STEP 1: 철도안전관리체계 변경승인 신청 서류 작성
2) STEP 2: 한국교통안전공단(TS) 현장 실사 수검</t>
        </is>
      </c>
      <c r="P27" s="58">
        <f>HYPERLINK(LEFT(CELL("filename",A1),FIND("[",CELL("filename",A1))-1)&amp;"11.철도종합시운전\26_철도운영자 안전관리체계 변경승인(TS)\수행지침\26_철도운영자 안전관리체계 변경승인(TS)_수행지침.html", "👉 [클릭] 수행지침 열기 📄")</f>
        <v/>
      </c>
      <c r="Q27" s="34" t="inlineStr">
        <is>
          <t>1) 안전관리체계 변경승인 신청서 제출 시방 및 국토교통부 및 TS 기준을 100% 충족하였는가?
2) TS 안전관리체계 현장 실사 대응 검측 및 불합격 요소를 전면 차단하였는가?</t>
        </is>
      </c>
      <c r="R27" s="56">
        <f>HYPERLINK(LEFT(CELL("filename",A1),FIND("[",CELL("filename",A1))-1)&amp;"11.철도종합시운전\26_철도운영자 안전관리체계 변경승인(TS)\체크리스트\26_철도운영자 안전관리체계 변경승인(TS)_체크리스트.html", "👉 [클릭] 체크리스트 열기 📄")</f>
        <v/>
      </c>
      <c r="S27" s="33" t="inlineStr">
        <is>
          <t>철도종합시험운행 시행지침 준수</t>
        </is>
      </c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Y27" s="18" t="n"/>
      <c r="DZ27" s="18" t="n"/>
      <c r="EA27" s="18" t="n"/>
      <c r="EB27" s="18" t="n"/>
      <c r="EC27" s="18" t="n"/>
      <c r="ED27" s="18" t="n"/>
      <c r="EE27" s="18" t="n"/>
      <c r="EF27" s="18" t="n"/>
      <c r="EG27" s="18" t="n"/>
      <c r="EH27" s="18" t="n"/>
      <c r="EI27" s="18" t="n"/>
      <c r="EJ27" s="18" t="n"/>
      <c r="EK27" s="18" t="n"/>
      <c r="EL27" s="18" t="n"/>
      <c r="EM27" s="18" t="n"/>
      <c r="EN27" s="18" t="n"/>
      <c r="EO27" s="18" t="n"/>
      <c r="EP27" s="18" t="n"/>
      <c r="EQ27" s="18" t="n"/>
      <c r="ER27" s="18" t="n"/>
      <c r="ES27" s="18" t="n"/>
      <c r="ET27" s="18" t="n"/>
      <c r="EU27" s="18" t="n"/>
      <c r="EV27" s="18" t="n"/>
      <c r="EW27" s="18" t="n"/>
      <c r="EX27" s="18" t="n"/>
      <c r="EY27" s="18" t="n"/>
      <c r="EZ27" s="18" t="n"/>
      <c r="FA27" s="18" t="n"/>
      <c r="FB27" s="18" t="n"/>
      <c r="FC27" s="18" t="n"/>
      <c r="FD27" s="18" t="n"/>
      <c r="FE27" s="18" t="n"/>
      <c r="FF27" s="18" t="n"/>
      <c r="FG27" s="18" t="n"/>
      <c r="FH27" s="18" t="n"/>
      <c r="FI27" s="18" t="n"/>
      <c r="FJ27" s="18" t="n"/>
      <c r="FK27" s="18" t="n"/>
      <c r="FL27" s="18" t="n"/>
      <c r="FM27" s="18" t="n"/>
      <c r="FN27" s="18" t="n"/>
      <c r="FO27" s="18" t="n"/>
      <c r="FP27" s="18" t="n"/>
      <c r="FQ27" s="18" t="n"/>
      <c r="FR27" s="18" t="n"/>
      <c r="FS27" s="18" t="n"/>
      <c r="FT27" s="18" t="n"/>
      <c r="FU27" s="18" t="n"/>
      <c r="FV27" s="18" t="n"/>
      <c r="FW27" s="18" t="n"/>
      <c r="FX27" s="18" t="n"/>
      <c r="FY27" s="18" t="n"/>
      <c r="FZ27" s="18" t="n"/>
      <c r="GA27" s="18" t="n"/>
      <c r="GB27" s="18" t="n"/>
      <c r="GC27" s="18" t="n"/>
      <c r="GD27" s="18" t="n"/>
      <c r="GE27" s="18" t="n"/>
      <c r="GF27" s="18" t="n"/>
      <c r="GG27" s="18" t="n"/>
      <c r="GH27" s="18" t="n"/>
      <c r="GI27" s="18" t="n"/>
      <c r="GJ27" s="18" t="n"/>
      <c r="GK27" s="18" t="n"/>
      <c r="GL27" s="18" t="n"/>
      <c r="GM27" s="18" t="n"/>
      <c r="GN27" s="18" t="n"/>
      <c r="GO27" s="18" t="n"/>
      <c r="GP27" s="18" t="n"/>
      <c r="GQ27" s="18" t="n"/>
      <c r="GR27" s="18" t="n"/>
      <c r="GS27" s="18" t="n"/>
      <c r="GT27" s="18" t="n"/>
      <c r="GU27" s="18" t="n"/>
      <c r="GV27" s="18" t="n"/>
      <c r="GW27" s="18" t="n"/>
      <c r="GX27" s="18" t="n"/>
      <c r="GY27" s="18" t="n"/>
      <c r="GZ27" s="18" t="n"/>
      <c r="HA27" s="18" t="n"/>
      <c r="HB27" s="18" t="n"/>
      <c r="HC27" s="18" t="n"/>
      <c r="HD27" s="18" t="n"/>
      <c r="HE27" s="18" t="n"/>
      <c r="HF27" s="18" t="n"/>
      <c r="HG27" s="18" t="n"/>
      <c r="HH27" s="18" t="n"/>
      <c r="HI27" s="18" t="n"/>
      <c r="HJ27" s="18" t="n"/>
      <c r="HK27" s="18" t="n"/>
      <c r="HL27" s="18" t="n"/>
      <c r="HM27" s="18" t="n"/>
      <c r="HN27" s="18" t="n"/>
      <c r="HO27" s="18" t="n"/>
      <c r="HP27" s="18" t="n"/>
      <c r="HQ27" s="18" t="n"/>
      <c r="HR27" s="18" t="n"/>
      <c r="HS27" s="18" t="n"/>
      <c r="HT27" s="18" t="n"/>
      <c r="HU27" s="18" t="n"/>
      <c r="HV27" s="18" t="n"/>
      <c r="HW27" s="18" t="n"/>
      <c r="HX27" s="18" t="n"/>
      <c r="HY27" s="18" t="n"/>
      <c r="HZ27" s="18" t="n"/>
      <c r="IA27" s="18" t="n"/>
      <c r="IB27" s="18" t="n"/>
      <c r="IC27" s="18" t="n"/>
      <c r="ID27" s="18" t="n"/>
      <c r="IE27" s="18" t="n"/>
      <c r="IF27" s="18" t="n"/>
      <c r="IG27" s="18" t="n"/>
      <c r="IH27" s="18" t="n"/>
      <c r="II27" s="18" t="n"/>
      <c r="IJ27" s="18" t="n"/>
      <c r="IK27" s="18" t="n"/>
      <c r="IL27" s="18" t="n"/>
      <c r="IM27" s="18" t="n"/>
      <c r="IN27" s="18" t="n"/>
      <c r="IO27" s="18" t="n"/>
      <c r="IP27" s="18" t="n"/>
      <c r="IQ27" s="18" t="n"/>
      <c r="IR27" s="18" t="n"/>
      <c r="IS27" s="18" t="n"/>
      <c r="IT27" s="18" t="n"/>
      <c r="IU27" s="18" t="n"/>
    </row>
    <row r="28" ht="105.6" customHeight="1" s="88">
      <c r="A28" s="19" t="inlineStr">
        <is>
          <t>9000</t>
        </is>
      </c>
      <c r="B28" s="19" t="inlineStr">
        <is>
          <t>9000-11</t>
        </is>
      </c>
      <c r="C28" s="19" t="inlineStr">
        <is>
          <t>철도종합시험운행</t>
        </is>
      </c>
      <c r="D28" s="19" t="inlineStr">
        <is>
          <t>9000-11-27</t>
        </is>
      </c>
      <c r="E28" s="95" t="inlineStr">
        <is>
          <t>9000-11-25</t>
        </is>
      </c>
      <c r="F28" s="95" t="inlineStr">
        <is>
          <t>9000-11-28</t>
        </is>
      </c>
      <c r="G28" s="23" t="inlineStr">
        <is>
          <t>공사목적물 및 시설물 최종 인수인계</t>
        </is>
      </c>
      <c r="H28" s="21" t="inlineStr">
        <is>
          <t>D+238</t>
        </is>
      </c>
      <c r="I28" s="21" t="inlineStr">
        <is>
          <t>시공사업단</t>
        </is>
      </c>
      <c r="J28" s="24" t="inlineStr">
        <is>
          <t>36개 정거장, 본선, 차량기지 시설물 및 2D/3D 준공도서·예비품 화성도시공사 합동 인수인계</t>
        </is>
      </c>
      <c r="K28" s="49" t="inlineStr">
        <is>
          <t>1) STEP 1: 전 역사 및 시설물 합동 정밀 인수인계 실사 (36개 역사 건축/설비, 34.4km 궤도/전기/신호 합동 점검)
2) STEP 2: 준공도서, 운용 매뉴얼 및 유지보수 예비품 인계 (3D BIM As-Built 최종 도면 및 2년분 예비품 공식 전달함)
3) STEP 3: 공사목적물 인수인계서 최종 체결 (화성시, 화성도시공사, 사업단 3자 서명 날인으로 관리권 공식 이관)</t>
        </is>
      </c>
      <c r="L28" s="24" t="inlineStr">
        <is>
          <t>공사목적물 및 시설물 최종 인수인계 결과보고서, 회의록 및 TS 공인 필증</t>
        </is>
      </c>
      <c r="M28" s="24" t="inlineStr">
        <is>
          <t>1) 공사목적물 및 시설물 최종 인수인계(9000-9-27)로 36개 역사 및 34.4km 전 시설물 100% 합동 인계 완료함.
2) 3D BIM As-Built 준공도서 및 2년분 유지관리 예비품 인계 완료함.</t>
        </is>
      </c>
      <c r="N28" s="59">
        <f>HYPERLINK(LEFT(CELL("filename",A1),FIND("[",CELL("filename",A1))-1)&amp;"11.철도종합시운전\27_공사목적물 및 시설물 운영사 최종 인수인계\표준서\27_공사목적물 및 시설물 운영사 최종 인수인계_표준서.html", "👉 [클릭] 표준서 열기 📄")</f>
        <v/>
      </c>
      <c r="O28" s="24" t="inlineStr">
        <is>
          <t>1) STEP 1: 전 역사 및 시설물 합동 정밀 인수인계 실사
2) STEP 2: 준공도서, 운용 매뉴얼 및 유지보수 예비품 인계</t>
        </is>
      </c>
      <c r="P28" s="57">
        <f>HYPERLINK(LEFT(CELL("filename",A1),FIND("[",CELL("filename",A1))-1)&amp;"11.철도종합시운전\27_공사목적물 및 시설물 운영사 최종 인수인계\수행지침\27_공사목적물 및 시설물 운영사 최종 인수인계_수행지침.html", "👉 [클릭] 수행지침 열기 📄")</f>
        <v/>
      </c>
      <c r="Q28" s="24" t="inlineStr">
        <is>
          <t>1) 시설물 합동 실사 및 검측 시방 및 전 역사/차량기지/변전소 실사 기준을 100% 충족하였는가?
2) 준공도서 및 매뉴얼 인계 검측 및 불합격 요소를 전면 차단하였는가?</t>
        </is>
      </c>
      <c r="R28" s="55">
        <f>HYPERLINK(LEFT(CELL("filename",A1),FIND("[",CELL("filename",A1))-1)&amp;"11.철도종합시운전\27_공사목적물 및 시설물 운영사 최종 인수인계\체크리스트\27_공사목적물 및 시설물 운영사 최종 인수인계_체크리스트.html", "👉 [클릭] 체크리스트 열기 📄")</f>
        <v/>
      </c>
      <c r="S28" s="21" t="inlineStr">
        <is>
          <t>철도종합시험운행 시행지침 준수</t>
        </is>
      </c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Y28" s="18" t="n"/>
      <c r="DZ28" s="18" t="n"/>
      <c r="EA28" s="18" t="n"/>
      <c r="EB28" s="18" t="n"/>
      <c r="EC28" s="18" t="n"/>
      <c r="ED28" s="18" t="n"/>
      <c r="EE28" s="18" t="n"/>
      <c r="EF28" s="18" t="n"/>
      <c r="EG28" s="18" t="n"/>
      <c r="EH28" s="18" t="n"/>
      <c r="EI28" s="18" t="n"/>
      <c r="EJ28" s="18" t="n"/>
      <c r="EK28" s="18" t="n"/>
      <c r="EL28" s="18" t="n"/>
      <c r="EM28" s="18" t="n"/>
      <c r="EN28" s="18" t="n"/>
      <c r="EO28" s="18" t="n"/>
      <c r="EP28" s="18" t="n"/>
      <c r="EQ28" s="18" t="n"/>
      <c r="ER28" s="18" t="n"/>
      <c r="ES28" s="18" t="n"/>
      <c r="ET28" s="18" t="n"/>
      <c r="EU28" s="18" t="n"/>
      <c r="EV28" s="18" t="n"/>
      <c r="EW28" s="18" t="n"/>
      <c r="EX28" s="18" t="n"/>
      <c r="EY28" s="18" t="n"/>
      <c r="EZ28" s="18" t="n"/>
      <c r="FA28" s="18" t="n"/>
      <c r="FB28" s="18" t="n"/>
      <c r="FC28" s="18" t="n"/>
      <c r="FD28" s="18" t="n"/>
      <c r="FE28" s="18" t="n"/>
      <c r="FF28" s="18" t="n"/>
      <c r="FG28" s="18" t="n"/>
      <c r="FH28" s="18" t="n"/>
      <c r="FI28" s="18" t="n"/>
      <c r="FJ28" s="18" t="n"/>
      <c r="FK28" s="18" t="n"/>
      <c r="FL28" s="18" t="n"/>
      <c r="FM28" s="18" t="n"/>
      <c r="FN28" s="18" t="n"/>
      <c r="FO28" s="18" t="n"/>
      <c r="FP28" s="18" t="n"/>
      <c r="FQ28" s="18" t="n"/>
      <c r="FR28" s="18" t="n"/>
      <c r="FS28" s="18" t="n"/>
      <c r="FT28" s="18" t="n"/>
      <c r="FU28" s="18" t="n"/>
      <c r="FV28" s="18" t="n"/>
      <c r="FW28" s="18" t="n"/>
      <c r="FX28" s="18" t="n"/>
      <c r="FY28" s="18" t="n"/>
      <c r="FZ28" s="18" t="n"/>
      <c r="GA28" s="18" t="n"/>
      <c r="GB28" s="18" t="n"/>
      <c r="GC28" s="18" t="n"/>
      <c r="GD28" s="18" t="n"/>
      <c r="GE28" s="18" t="n"/>
      <c r="GF28" s="18" t="n"/>
      <c r="GG28" s="18" t="n"/>
      <c r="GH28" s="18" t="n"/>
      <c r="GI28" s="18" t="n"/>
      <c r="GJ28" s="18" t="n"/>
      <c r="GK28" s="18" t="n"/>
      <c r="GL28" s="18" t="n"/>
      <c r="GM28" s="18" t="n"/>
      <c r="GN28" s="18" t="n"/>
      <c r="GO28" s="18" t="n"/>
      <c r="GP28" s="18" t="n"/>
      <c r="GQ28" s="18" t="n"/>
      <c r="GR28" s="18" t="n"/>
      <c r="GS28" s="18" t="n"/>
      <c r="GT28" s="18" t="n"/>
      <c r="GU28" s="18" t="n"/>
      <c r="GV28" s="18" t="n"/>
      <c r="GW28" s="18" t="n"/>
      <c r="GX28" s="18" t="n"/>
      <c r="GY28" s="18" t="n"/>
      <c r="GZ28" s="18" t="n"/>
      <c r="HA28" s="18" t="n"/>
      <c r="HB28" s="18" t="n"/>
      <c r="HC28" s="18" t="n"/>
      <c r="HD28" s="18" t="n"/>
      <c r="HE28" s="18" t="n"/>
      <c r="HF28" s="18" t="n"/>
      <c r="HG28" s="18" t="n"/>
      <c r="HH28" s="18" t="n"/>
      <c r="HI28" s="18" t="n"/>
      <c r="HJ28" s="18" t="n"/>
      <c r="HK28" s="18" t="n"/>
      <c r="HL28" s="18" t="n"/>
      <c r="HM28" s="18" t="n"/>
      <c r="HN28" s="18" t="n"/>
      <c r="HO28" s="18" t="n"/>
      <c r="HP28" s="18" t="n"/>
      <c r="HQ28" s="18" t="n"/>
      <c r="HR28" s="18" t="n"/>
      <c r="HS28" s="18" t="n"/>
      <c r="HT28" s="18" t="n"/>
      <c r="HU28" s="18" t="n"/>
      <c r="HV28" s="18" t="n"/>
      <c r="HW28" s="18" t="n"/>
      <c r="HX28" s="18" t="n"/>
      <c r="HY28" s="18" t="n"/>
      <c r="HZ28" s="18" t="n"/>
      <c r="IA28" s="18" t="n"/>
      <c r="IB28" s="18" t="n"/>
      <c r="IC28" s="18" t="n"/>
      <c r="ID28" s="18" t="n"/>
      <c r="IE28" s="18" t="n"/>
      <c r="IF28" s="18" t="n"/>
      <c r="IG28" s="18" t="n"/>
      <c r="IH28" s="18" t="n"/>
      <c r="II28" s="18" t="n"/>
      <c r="IJ28" s="18" t="n"/>
      <c r="IK28" s="18" t="n"/>
      <c r="IL28" s="18" t="n"/>
      <c r="IM28" s="18" t="n"/>
      <c r="IN28" s="18" t="n"/>
      <c r="IO28" s="18" t="n"/>
      <c r="IP28" s="18" t="n"/>
      <c r="IQ28" s="18" t="n"/>
      <c r="IR28" s="18" t="n"/>
      <c r="IS28" s="18" t="n"/>
      <c r="IT28" s="18" t="n"/>
      <c r="IU28" s="18" t="n"/>
      <c r="IV28" s="18" t="n"/>
      <c r="IW28" s="18" t="n"/>
      <c r="IX28" s="18" t="n"/>
      <c r="IY28" s="18" t="n"/>
    </row>
    <row r="29" ht="118.8" customHeight="1" s="88">
      <c r="A29" s="29" t="inlineStr">
        <is>
          <t>9000</t>
        </is>
      </c>
      <c r="B29" s="29" t="inlineStr">
        <is>
          <t>9000-11</t>
        </is>
      </c>
      <c r="C29" s="29" t="inlineStr">
        <is>
          <t>철도종합시험운행</t>
        </is>
      </c>
      <c r="D29" s="29" t="inlineStr">
        <is>
          <t>9000-11-28</t>
        </is>
      </c>
      <c r="E29" s="102" t="inlineStr">
        <is>
          <t>9000-11-26, 9000-11-27</t>
        </is>
      </c>
      <c r="F29" s="102" t="inlineStr">
        <is>
          <t>-</t>
        </is>
      </c>
      <c r="G29" s="32" t="inlineStr">
        <is>
          <t>종합시험운행 종결 및 영업 개통</t>
        </is>
      </c>
      <c r="H29" s="33" t="inlineStr">
        <is>
          <t>D+240</t>
        </is>
      </c>
      <c r="I29" s="33" t="inlineStr">
        <is>
          <t>시공사업단</t>
        </is>
      </c>
      <c r="J29" s="34" t="inlineStr">
        <is>
          <t>국토교통부 영업개통 승인 획득, 동탄트램 공식 개통식 거행 및 대시민 상업운전 개시</t>
        </is>
      </c>
      <c r="K29" s="34" t="inlineStr">
        <is>
          <t>1) STEP 1: 국토교통부 영업개통 최종 승인 공문 접수 (종합시험운행 및 안전관리체계 승인 기반 정식 개통 승인 수령)
2) STEP 2: 동탄도시철도 개통 기념식 및 테이프 커팅 (화성시장, 국회의원, 시민대표 참석 개통식 및 1호차 시승 진행함)
3) STEP 3: 동탄트램 1·2호선 전 구간 대시민 상업운전 개시 (34.4km 36개 정거장 전 노선 시민 탑승 상업운전 개시)</t>
        </is>
      </c>
      <c r="L29" s="34" t="inlineStr">
        <is>
          <t>종합시험운행 종결 및 영업 개통 결과보고서, 회의록 및 TS 공인 필증</t>
        </is>
      </c>
      <c r="M29" s="34" t="inlineStr">
        <is>
          <t>1) 종합시험운행 종결 및 영업 개통(9000-9-28)으로 국토교통부 정식 영업개통 승인 100% 획득함.
2) 동탄도시철도 1·2호선 전 구간 공식 개통식 성료 및 대시민 상업운전 성공적 개시함.</t>
        </is>
      </c>
      <c r="N29" s="60">
        <f>HYPERLINK(LEFT(CELL("filename",A1),FIND("[",CELL("filename",A1))-1)&amp;"11.철도종합시운전\28_동탄도시철도(트램) 종합시험운행 종결 및 영업 개통\표준서\28_동탄도시철도(트램) 종합시험운행 종결 및 영업 개통_표준서.html", "👉 [클릭] 표준서 열기 📄")</f>
        <v/>
      </c>
      <c r="O29" s="34" t="inlineStr">
        <is>
          <t>1) STEP 1: 국토교통부 영업개통 최종 승인 공문 접수
2) STEP 2: 동탄도시철도 개통 기념식 및 테이프 커팅</t>
        </is>
      </c>
      <c r="P29" s="58">
        <f>HYPERLINK(LEFT(CELL("filename",A1),FIND("[",CELL("filename",A1))-1)&amp;"11.철도종합시운전\28_동탄도시철도(트램) 종합시험운행 종결 및 영업 개통\수행지침\28_동탄도시철도(트램) 종합시험운행 종결 및 영업 개통_수행지침.html", "👉 [클릭] 수행지침 열기 📄")</f>
        <v/>
      </c>
      <c r="Q29" s="34" t="inlineStr">
        <is>
          <t>1) 국토교통부 영업개통 승인 신청 시방 및 종합결과보고서 및 안전관리체계 기준을 100% 충족하였는가?
2) 국토교통부 영업개통 정식 승인 검측 및 불합격 요소를 전면 차단하였는가?</t>
        </is>
      </c>
      <c r="R29" s="56">
        <f>HYPERLINK(LEFT(CELL("filename",A1),FIND("[",CELL("filename",A1))-1)&amp;"11.철도종합시운전\28_동탄도시철도(트램) 종합시험운행 종결 및 영업 개통\체크리스트\28_동탄도시철도(트램) 종합시험운행 종결 및 영업 개통_체크리스트.html", "👉 [클릭] 체크리스트 열기 📄")</f>
        <v/>
      </c>
      <c r="S29" s="33" t="inlineStr">
        <is>
          <t>철도종합시험운행 시행지침 준수</t>
        </is>
      </c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Y29" s="18" t="n"/>
      <c r="DZ29" s="18" t="n"/>
      <c r="EA29" s="18" t="n"/>
      <c r="EB29" s="18" t="n"/>
      <c r="EC29" s="18" t="n"/>
      <c r="ED29" s="18" t="n"/>
      <c r="EE29" s="18" t="n"/>
      <c r="EF29" s="18" t="n"/>
      <c r="EG29" s="18" t="n"/>
      <c r="EH29" s="18" t="n"/>
      <c r="EI29" s="18" t="n"/>
      <c r="EJ29" s="18" t="n"/>
      <c r="EK29" s="18" t="n"/>
      <c r="EL29" s="18" t="n"/>
      <c r="EM29" s="18" t="n"/>
      <c r="EN29" s="18" t="n"/>
      <c r="EO29" s="18" t="n"/>
      <c r="EP29" s="18" t="n"/>
      <c r="EQ29" s="18" t="n"/>
      <c r="ER29" s="18" t="n"/>
      <c r="ES29" s="18" t="n"/>
      <c r="ET29" s="18" t="n"/>
      <c r="EU29" s="18" t="n"/>
      <c r="EV29" s="18" t="n"/>
      <c r="EW29" s="18" t="n"/>
      <c r="EX29" s="18" t="n"/>
      <c r="EY29" s="18" t="n"/>
      <c r="EZ29" s="18" t="n"/>
      <c r="FA29" s="18" t="n"/>
      <c r="FB29" s="18" t="n"/>
      <c r="FC29" s="18" t="n"/>
      <c r="FD29" s="18" t="n"/>
      <c r="FE29" s="18" t="n"/>
      <c r="FF29" s="18" t="n"/>
      <c r="FG29" s="18" t="n"/>
      <c r="FH29" s="18" t="n"/>
      <c r="FI29" s="18" t="n"/>
      <c r="FJ29" s="18" t="n"/>
      <c r="FK29" s="18" t="n"/>
      <c r="FL29" s="18" t="n"/>
      <c r="FM29" s="18" t="n"/>
      <c r="FN29" s="18" t="n"/>
      <c r="FO29" s="18" t="n"/>
      <c r="FP29" s="18" t="n"/>
      <c r="FQ29" s="18" t="n"/>
      <c r="FR29" s="18" t="n"/>
      <c r="FS29" s="18" t="n"/>
      <c r="FT29" s="18" t="n"/>
      <c r="FU29" s="18" t="n"/>
      <c r="FV29" s="18" t="n"/>
      <c r="FW29" s="18" t="n"/>
      <c r="FX29" s="18" t="n"/>
      <c r="FY29" s="18" t="n"/>
      <c r="FZ29" s="18" t="n"/>
      <c r="GA29" s="18" t="n"/>
      <c r="GB29" s="18" t="n"/>
      <c r="GC29" s="18" t="n"/>
      <c r="GD29" s="18" t="n"/>
      <c r="GE29" s="18" t="n"/>
      <c r="GF29" s="18" t="n"/>
      <c r="GG29" s="18" t="n"/>
      <c r="GH29" s="18" t="n"/>
      <c r="GI29" s="18" t="n"/>
      <c r="GJ29" s="18" t="n"/>
      <c r="GK29" s="18" t="n"/>
      <c r="GL29" s="18" t="n"/>
      <c r="GM29" s="18" t="n"/>
      <c r="GN29" s="18" t="n"/>
      <c r="GO29" s="18" t="n"/>
      <c r="GP29" s="18" t="n"/>
      <c r="GQ29" s="18" t="n"/>
      <c r="GR29" s="18" t="n"/>
      <c r="GS29" s="18" t="n"/>
      <c r="GT29" s="18" t="n"/>
      <c r="GU29" s="18" t="n"/>
      <c r="GV29" s="18" t="n"/>
      <c r="GW29" s="18" t="n"/>
      <c r="GX29" s="18" t="n"/>
      <c r="GY29" s="18" t="n"/>
      <c r="GZ29" s="18" t="n"/>
      <c r="HA29" s="18" t="n"/>
      <c r="HB29" s="18" t="n"/>
      <c r="HC29" s="18" t="n"/>
      <c r="HD29" s="18" t="n"/>
      <c r="HE29" s="18" t="n"/>
      <c r="HF29" s="18" t="n"/>
      <c r="HG29" s="18" t="n"/>
      <c r="HH29" s="18" t="n"/>
      <c r="HI29" s="18" t="n"/>
      <c r="HJ29" s="18" t="n"/>
      <c r="HK29" s="18" t="n"/>
      <c r="HL29" s="18" t="n"/>
      <c r="HM29" s="18" t="n"/>
      <c r="HN29" s="18" t="n"/>
      <c r="HO29" s="18" t="n"/>
      <c r="HP29" s="18" t="n"/>
      <c r="HQ29" s="18" t="n"/>
      <c r="HR29" s="18" t="n"/>
      <c r="HS29" s="18" t="n"/>
      <c r="HT29" s="18" t="n"/>
      <c r="HU29" s="18" t="n"/>
      <c r="HV29" s="18" t="n"/>
      <c r="HW29" s="18" t="n"/>
      <c r="HX29" s="18" t="n"/>
      <c r="HY29" s="18" t="n"/>
      <c r="HZ29" s="18" t="n"/>
      <c r="IA29" s="18" t="n"/>
      <c r="IB29" s="18" t="n"/>
      <c r="IC29" s="18" t="n"/>
      <c r="ID29" s="18" t="n"/>
      <c r="IE29" s="18" t="n"/>
      <c r="IF29" s="18" t="n"/>
      <c r="IG29" s="18" t="n"/>
      <c r="IH29" s="18" t="n"/>
      <c r="II29" s="18" t="n"/>
      <c r="IJ29" s="18" t="n"/>
      <c r="IK29" s="18" t="n"/>
      <c r="IL29" s="18" t="n"/>
      <c r="IM29" s="18" t="n"/>
      <c r="IN29" s="18" t="n"/>
      <c r="IO29" s="18" t="n"/>
      <c r="IP29" s="18" t="n"/>
      <c r="IQ29" s="18" t="n"/>
      <c r="IR29" s="18" t="n"/>
      <c r="IS29" s="18" t="n"/>
      <c r="IT29" s="18" t="n"/>
      <c r="IU29" s="18" t="n"/>
      <c r="IV29" s="18" t="n"/>
      <c r="IW29" s="18" t="n"/>
      <c r="IX29" s="18" t="n"/>
      <c r="IY29" s="18" t="n"/>
      <c r="IZ29" s="18" t="n"/>
      <c r="JA29" s="18" t="n"/>
      <c r="JB29" s="18" t="n"/>
      <c r="JC29" s="18" t="n"/>
    </row>
    <row r="30" ht="17.4" customHeight="1" s="88">
      <c r="A30" s="18" t="n"/>
      <c r="B30" s="18" t="n"/>
      <c r="C30" s="18" t="n"/>
      <c r="D30" s="18" t="n"/>
      <c r="E30" s="52" t="n"/>
      <c r="F30" s="52" t="n"/>
      <c r="G30" s="18" t="n"/>
      <c r="H30" s="18" t="n"/>
      <c r="I30" s="18" t="n"/>
      <c r="J30" s="18" t="n"/>
      <c r="K30" s="18" t="n"/>
      <c r="L30" s="18" t="n"/>
      <c r="M30" s="18" t="n"/>
      <c r="N30" s="61" t="n"/>
      <c r="O30" s="18" t="n"/>
      <c r="P30" s="53" t="n"/>
      <c r="Q30" s="18" t="n"/>
      <c r="R30" s="53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Y30" s="18" t="n"/>
      <c r="DZ30" s="18" t="n"/>
      <c r="EA30" s="18" t="n"/>
      <c r="EB30" s="18" t="n"/>
      <c r="EC30" s="18" t="n"/>
      <c r="ED30" s="18" t="n"/>
      <c r="EE30" s="18" t="n"/>
      <c r="EF30" s="18" t="n"/>
      <c r="EG30" s="18" t="n"/>
      <c r="EH30" s="18" t="n"/>
      <c r="EI30" s="18" t="n"/>
      <c r="EJ30" s="18" t="n"/>
      <c r="EK30" s="18" t="n"/>
      <c r="EL30" s="18" t="n"/>
      <c r="EM30" s="18" t="n"/>
      <c r="EN30" s="18" t="n"/>
      <c r="EO30" s="18" t="n"/>
      <c r="EP30" s="18" t="n"/>
      <c r="EQ30" s="18" t="n"/>
      <c r="ER30" s="18" t="n"/>
      <c r="ES30" s="18" t="n"/>
      <c r="ET30" s="18" t="n"/>
      <c r="EU30" s="18" t="n"/>
      <c r="EV30" s="18" t="n"/>
      <c r="EW30" s="18" t="n"/>
      <c r="EX30" s="18" t="n"/>
      <c r="EY30" s="18" t="n"/>
      <c r="EZ30" s="18" t="n"/>
      <c r="FA30" s="18" t="n"/>
      <c r="FB30" s="18" t="n"/>
      <c r="FC30" s="18" t="n"/>
      <c r="FD30" s="18" t="n"/>
      <c r="FE30" s="18" t="n"/>
      <c r="FF30" s="18" t="n"/>
      <c r="FG30" s="18" t="n"/>
      <c r="FH30" s="18" t="n"/>
      <c r="FI30" s="18" t="n"/>
      <c r="FJ30" s="18" t="n"/>
      <c r="FK30" s="18" t="n"/>
      <c r="FL30" s="18" t="n"/>
      <c r="FM30" s="18" t="n"/>
      <c r="FN30" s="18" t="n"/>
      <c r="FO30" s="18" t="n"/>
      <c r="FP30" s="18" t="n"/>
      <c r="FQ30" s="18" t="n"/>
      <c r="FR30" s="18" t="n"/>
      <c r="FS30" s="18" t="n"/>
      <c r="FT30" s="18" t="n"/>
      <c r="FU30" s="18" t="n"/>
      <c r="FV30" s="18" t="n"/>
      <c r="FW30" s="18" t="n"/>
      <c r="FX30" s="18" t="n"/>
      <c r="FY30" s="18" t="n"/>
      <c r="FZ30" s="18" t="n"/>
      <c r="GA30" s="18" t="n"/>
      <c r="GB30" s="18" t="n"/>
      <c r="GC30" s="18" t="n"/>
      <c r="GD30" s="18" t="n"/>
      <c r="GE30" s="18" t="n"/>
      <c r="GF30" s="18" t="n"/>
      <c r="GG30" s="18" t="n"/>
      <c r="GH30" s="18" t="n"/>
      <c r="GI30" s="18" t="n"/>
      <c r="GJ30" s="18" t="n"/>
      <c r="GK30" s="18" t="n"/>
      <c r="GL30" s="18" t="n"/>
      <c r="GM30" s="18" t="n"/>
      <c r="GN30" s="18" t="n"/>
      <c r="GO30" s="18" t="n"/>
      <c r="GP30" s="18" t="n"/>
      <c r="GQ30" s="18" t="n"/>
      <c r="GR30" s="18" t="n"/>
      <c r="GS30" s="18" t="n"/>
      <c r="GT30" s="18" t="n"/>
      <c r="GU30" s="18" t="n"/>
      <c r="GV30" s="18" t="n"/>
      <c r="GW30" s="18" t="n"/>
      <c r="GX30" s="18" t="n"/>
      <c r="GY30" s="18" t="n"/>
      <c r="GZ30" s="18" t="n"/>
      <c r="HA30" s="18" t="n"/>
      <c r="HB30" s="18" t="n"/>
      <c r="HC30" s="18" t="n"/>
      <c r="HD30" s="18" t="n"/>
      <c r="HE30" s="18" t="n"/>
      <c r="HF30" s="18" t="n"/>
      <c r="HG30" s="18" t="n"/>
      <c r="HH30" s="18" t="n"/>
      <c r="HI30" s="18" t="n"/>
      <c r="HJ30" s="18" t="n"/>
      <c r="HK30" s="18" t="n"/>
      <c r="HL30" s="18" t="n"/>
      <c r="HM30" s="18" t="n"/>
      <c r="HN30" s="18" t="n"/>
      <c r="HO30" s="18" t="n"/>
      <c r="HP30" s="18" t="n"/>
      <c r="HQ30" s="18" t="n"/>
      <c r="HR30" s="18" t="n"/>
      <c r="HS30" s="18" t="n"/>
      <c r="HT30" s="18" t="n"/>
      <c r="HU30" s="18" t="n"/>
      <c r="HV30" s="18" t="n"/>
      <c r="HW30" s="18" t="n"/>
      <c r="HX30" s="18" t="n"/>
      <c r="HY30" s="18" t="n"/>
      <c r="HZ30" s="18" t="n"/>
      <c r="IA30" s="18" t="n"/>
      <c r="IB30" s="18" t="n"/>
      <c r="IC30" s="18" t="n"/>
      <c r="ID30" s="18" t="n"/>
      <c r="IE30" s="18" t="n"/>
      <c r="IF30" s="18" t="n"/>
      <c r="IG30" s="18" t="n"/>
      <c r="IH30" s="18" t="n"/>
      <c r="II30" s="18" t="n"/>
      <c r="IJ30" s="18" t="n"/>
      <c r="IK30" s="18" t="n"/>
      <c r="IL30" s="18" t="n"/>
      <c r="IM30" s="18" t="n"/>
      <c r="IN30" s="18" t="n"/>
      <c r="IO30" s="18" t="n"/>
      <c r="IP30" s="18" t="n"/>
      <c r="IQ30" s="18" t="n"/>
      <c r="IR30" s="18" t="n"/>
      <c r="IS30" s="18" t="n"/>
      <c r="IT30" s="18" t="n"/>
      <c r="IU30" s="18" t="n"/>
      <c r="IV30" s="18" t="n"/>
      <c r="IW30" s="18" t="n"/>
      <c r="IX30" s="18" t="n"/>
      <c r="IY30" s="18" t="n"/>
      <c r="IZ30" s="18" t="n"/>
      <c r="JA30" s="18" t="n"/>
      <c r="JB30" s="18" t="n"/>
      <c r="JC30" s="18" t="n"/>
      <c r="JD30" s="18" t="n"/>
      <c r="JE30" s="18" t="n"/>
      <c r="JF30" s="18" t="n"/>
      <c r="JG30" s="18" t="n"/>
      <c r="JH30" s="18" t="n"/>
      <c r="JI30" s="18" t="n"/>
      <c r="JJ30" s="18" t="n"/>
      <c r="JK30" s="18" t="n"/>
      <c r="JL30" s="18" t="n"/>
      <c r="JM30" s="18" t="n"/>
      <c r="JN30" s="18" t="n"/>
      <c r="JO30" s="18" t="n"/>
      <c r="JP30" s="18" t="n"/>
      <c r="JQ30" s="18" t="n"/>
      <c r="JR30" s="18" t="n"/>
      <c r="JS30" s="18" t="n"/>
      <c r="JT30" s="18" t="n"/>
      <c r="JU30" s="18" t="n"/>
      <c r="JV30" s="18" t="n"/>
      <c r="JW30" s="18" t="n"/>
    </row>
    <row r="31" ht="17.4" customHeight="1" s="88">
      <c r="A31" s="18" t="n"/>
      <c r="B31" s="18" t="n"/>
      <c r="C31" s="18" t="n"/>
      <c r="D31" s="18" t="n"/>
      <c r="E31" s="52" t="n"/>
      <c r="F31" s="52" t="n"/>
      <c r="G31" s="18" t="n"/>
      <c r="H31" s="18" t="n"/>
      <c r="I31" s="18" t="n"/>
      <c r="J31" s="18" t="n"/>
      <c r="K31" s="18" t="n"/>
      <c r="L31" s="18" t="n"/>
      <c r="M31" s="18" t="n"/>
      <c r="N31" s="61" t="n"/>
      <c r="O31" s="18" t="n"/>
      <c r="P31" s="53" t="n"/>
      <c r="Q31" s="18" t="n"/>
      <c r="R31" s="53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Y31" s="18" t="n"/>
      <c r="DZ31" s="18" t="n"/>
      <c r="EA31" s="18" t="n"/>
      <c r="EB31" s="18" t="n"/>
      <c r="EC31" s="18" t="n"/>
      <c r="ED31" s="18" t="n"/>
      <c r="EE31" s="18" t="n"/>
      <c r="EF31" s="18" t="n"/>
      <c r="EG31" s="18" t="n"/>
      <c r="EH31" s="18" t="n"/>
      <c r="EI31" s="18" t="n"/>
      <c r="EJ31" s="18" t="n"/>
      <c r="EK31" s="18" t="n"/>
      <c r="EL31" s="18" t="n"/>
      <c r="EM31" s="18" t="n"/>
      <c r="EN31" s="18" t="n"/>
      <c r="EO31" s="18" t="n"/>
      <c r="EP31" s="18" t="n"/>
      <c r="EQ31" s="18" t="n"/>
      <c r="ER31" s="18" t="n"/>
      <c r="ES31" s="18" t="n"/>
      <c r="ET31" s="18" t="n"/>
      <c r="EU31" s="18" t="n"/>
      <c r="EV31" s="18" t="n"/>
      <c r="EW31" s="18" t="n"/>
      <c r="EX31" s="18" t="n"/>
      <c r="EY31" s="18" t="n"/>
      <c r="EZ31" s="18" t="n"/>
      <c r="FA31" s="18" t="n"/>
      <c r="FB31" s="18" t="n"/>
      <c r="FC31" s="18" t="n"/>
      <c r="FD31" s="18" t="n"/>
      <c r="FE31" s="18" t="n"/>
      <c r="FF31" s="18" t="n"/>
      <c r="FG31" s="18" t="n"/>
      <c r="FH31" s="18" t="n"/>
      <c r="FI31" s="18" t="n"/>
      <c r="FJ31" s="18" t="n"/>
      <c r="FK31" s="18" t="n"/>
      <c r="FL31" s="18" t="n"/>
      <c r="FM31" s="18" t="n"/>
      <c r="FN31" s="18" t="n"/>
      <c r="FO31" s="18" t="n"/>
      <c r="FP31" s="18" t="n"/>
      <c r="FQ31" s="18" t="n"/>
      <c r="FR31" s="18" t="n"/>
      <c r="FS31" s="18" t="n"/>
      <c r="FT31" s="18" t="n"/>
      <c r="FU31" s="18" t="n"/>
      <c r="FV31" s="18" t="n"/>
      <c r="FW31" s="18" t="n"/>
      <c r="FX31" s="18" t="n"/>
      <c r="FY31" s="18" t="n"/>
      <c r="FZ31" s="18" t="n"/>
      <c r="GA31" s="18" t="n"/>
      <c r="GB31" s="18" t="n"/>
      <c r="GC31" s="18" t="n"/>
      <c r="GD31" s="18" t="n"/>
      <c r="GE31" s="18" t="n"/>
      <c r="GF31" s="18" t="n"/>
      <c r="GG31" s="18" t="n"/>
      <c r="GH31" s="18" t="n"/>
      <c r="GI31" s="18" t="n"/>
      <c r="GJ31" s="18" t="n"/>
      <c r="GK31" s="18" t="n"/>
      <c r="GL31" s="18" t="n"/>
      <c r="GM31" s="18" t="n"/>
      <c r="GN31" s="18" t="n"/>
      <c r="GO31" s="18" t="n"/>
      <c r="GP31" s="18" t="n"/>
      <c r="GQ31" s="18" t="n"/>
      <c r="GR31" s="18" t="n"/>
      <c r="GS31" s="18" t="n"/>
      <c r="GT31" s="18" t="n"/>
      <c r="GU31" s="18" t="n"/>
      <c r="GV31" s="18" t="n"/>
      <c r="GW31" s="18" t="n"/>
      <c r="GX31" s="18" t="n"/>
      <c r="GY31" s="18" t="n"/>
      <c r="GZ31" s="18" t="n"/>
      <c r="HA31" s="18" t="n"/>
      <c r="HB31" s="18" t="n"/>
      <c r="HC31" s="18" t="n"/>
      <c r="HD31" s="18" t="n"/>
      <c r="HE31" s="18" t="n"/>
      <c r="HF31" s="18" t="n"/>
      <c r="HG31" s="18" t="n"/>
      <c r="HH31" s="18" t="n"/>
      <c r="HI31" s="18" t="n"/>
      <c r="HJ31" s="18" t="n"/>
      <c r="HK31" s="18" t="n"/>
      <c r="HL31" s="18" t="n"/>
      <c r="HM31" s="18" t="n"/>
      <c r="HN31" s="18" t="n"/>
      <c r="HO31" s="18" t="n"/>
      <c r="HP31" s="18" t="n"/>
      <c r="HQ31" s="18" t="n"/>
      <c r="HR31" s="18" t="n"/>
      <c r="HS31" s="18" t="n"/>
      <c r="HT31" s="18" t="n"/>
      <c r="HU31" s="18" t="n"/>
      <c r="HV31" s="18" t="n"/>
      <c r="HW31" s="18" t="n"/>
      <c r="HX31" s="18" t="n"/>
      <c r="HY31" s="18" t="n"/>
      <c r="HZ31" s="18" t="n"/>
      <c r="IA31" s="18" t="n"/>
      <c r="IB31" s="18" t="n"/>
      <c r="IC31" s="18" t="n"/>
      <c r="ID31" s="18" t="n"/>
      <c r="IE31" s="18" t="n"/>
      <c r="IF31" s="18" t="n"/>
      <c r="IG31" s="18" t="n"/>
      <c r="IH31" s="18" t="n"/>
      <c r="II31" s="18" t="n"/>
      <c r="IJ31" s="18" t="n"/>
      <c r="IK31" s="18" t="n"/>
      <c r="IL31" s="18" t="n"/>
      <c r="IM31" s="18" t="n"/>
      <c r="IN31" s="18" t="n"/>
      <c r="IO31" s="18" t="n"/>
      <c r="IP31" s="18" t="n"/>
      <c r="IQ31" s="18" t="n"/>
      <c r="IR31" s="18" t="n"/>
      <c r="IS31" s="18" t="n"/>
      <c r="IT31" s="18" t="n"/>
      <c r="IU31" s="18" t="n"/>
      <c r="IV31" s="18" t="n"/>
      <c r="IW31" s="18" t="n"/>
      <c r="IX31" s="18" t="n"/>
      <c r="IY31" s="18" t="n"/>
      <c r="IZ31" s="18" t="n"/>
      <c r="JA31" s="18" t="n"/>
      <c r="JB31" s="18" t="n"/>
      <c r="JC31" s="18" t="n"/>
      <c r="JD31" s="18" t="n"/>
      <c r="JE31" s="18" t="n"/>
      <c r="JF31" s="18" t="n"/>
      <c r="JG31" s="18" t="n"/>
      <c r="JH31" s="18" t="n"/>
      <c r="JI31" s="18" t="n"/>
      <c r="JJ31" s="18" t="n"/>
      <c r="JK31" s="18" t="n"/>
      <c r="JL31" s="18" t="n"/>
      <c r="JM31" s="18" t="n"/>
      <c r="JN31" s="18" t="n"/>
      <c r="JO31" s="18" t="n"/>
      <c r="JP31" s="18" t="n"/>
      <c r="JQ31" s="18" t="n"/>
      <c r="JR31" s="18" t="n"/>
      <c r="JS31" s="18" t="n"/>
      <c r="JT31" s="18" t="n"/>
      <c r="JU31" s="18" t="n"/>
      <c r="JV31" s="18" t="n"/>
      <c r="JW31" s="18" t="n"/>
      <c r="JX31" s="18" t="n"/>
      <c r="JY31" s="18" t="n"/>
      <c r="JZ31" s="18" t="n"/>
      <c r="KA31" s="18" t="n"/>
    </row>
    <row r="32" ht="17.4" customHeight="1" s="88">
      <c r="A32" s="18" t="n"/>
      <c r="B32" s="18" t="n"/>
      <c r="C32" s="18" t="n"/>
      <c r="D32" s="18" t="n"/>
      <c r="E32" s="52" t="n"/>
      <c r="F32" s="52" t="n"/>
      <c r="G32" s="18" t="n"/>
      <c r="H32" s="18" t="n"/>
      <c r="I32" s="18" t="n"/>
      <c r="J32" s="18" t="n"/>
      <c r="K32" s="18" t="n"/>
      <c r="L32" s="18" t="n"/>
      <c r="M32" s="18" t="n"/>
      <c r="N32" s="61" t="n"/>
      <c r="O32" s="18" t="n"/>
      <c r="P32" s="53" t="n"/>
      <c r="Q32" s="18" t="n"/>
      <c r="R32" s="53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Y32" s="18" t="n"/>
      <c r="DZ32" s="18" t="n"/>
      <c r="EA32" s="18" t="n"/>
      <c r="EB32" s="18" t="n"/>
      <c r="EC32" s="18" t="n"/>
      <c r="ED32" s="18" t="n"/>
      <c r="EE32" s="18" t="n"/>
      <c r="EF32" s="18" t="n"/>
      <c r="EG32" s="18" t="n"/>
      <c r="EH32" s="18" t="n"/>
      <c r="EI32" s="18" t="n"/>
      <c r="EJ32" s="18" t="n"/>
      <c r="EK32" s="18" t="n"/>
      <c r="EL32" s="18" t="n"/>
      <c r="EM32" s="18" t="n"/>
      <c r="EN32" s="18" t="n"/>
      <c r="EO32" s="18" t="n"/>
      <c r="EP32" s="18" t="n"/>
      <c r="EQ32" s="18" t="n"/>
      <c r="ER32" s="18" t="n"/>
      <c r="ES32" s="18" t="n"/>
      <c r="ET32" s="18" t="n"/>
      <c r="EU32" s="18" t="n"/>
      <c r="EV32" s="18" t="n"/>
      <c r="EW32" s="18" t="n"/>
      <c r="EX32" s="18" t="n"/>
      <c r="EY32" s="18" t="n"/>
      <c r="EZ32" s="18" t="n"/>
      <c r="FA32" s="18" t="n"/>
      <c r="FB32" s="18" t="n"/>
      <c r="FC32" s="18" t="n"/>
      <c r="FD32" s="18" t="n"/>
      <c r="FE32" s="18" t="n"/>
      <c r="FF32" s="18" t="n"/>
      <c r="FG32" s="18" t="n"/>
      <c r="FH32" s="18" t="n"/>
      <c r="FI32" s="18" t="n"/>
      <c r="FJ32" s="18" t="n"/>
      <c r="FK32" s="18" t="n"/>
      <c r="FL32" s="18" t="n"/>
      <c r="FM32" s="18" t="n"/>
      <c r="FN32" s="18" t="n"/>
      <c r="FO32" s="18" t="n"/>
      <c r="FP32" s="18" t="n"/>
      <c r="FQ32" s="18" t="n"/>
      <c r="FR32" s="18" t="n"/>
      <c r="FS32" s="18" t="n"/>
      <c r="FT32" s="18" t="n"/>
      <c r="FU32" s="18" t="n"/>
      <c r="FV32" s="18" t="n"/>
      <c r="FW32" s="18" t="n"/>
      <c r="FX32" s="18" t="n"/>
      <c r="FY32" s="18" t="n"/>
      <c r="FZ32" s="18" t="n"/>
      <c r="GA32" s="18" t="n"/>
      <c r="GB32" s="18" t="n"/>
      <c r="GC32" s="18" t="n"/>
      <c r="GD32" s="18" t="n"/>
      <c r="GE32" s="18" t="n"/>
      <c r="GF32" s="18" t="n"/>
      <c r="GG32" s="18" t="n"/>
      <c r="GH32" s="18" t="n"/>
      <c r="GI32" s="18" t="n"/>
      <c r="GJ32" s="18" t="n"/>
      <c r="GK32" s="18" t="n"/>
      <c r="GL32" s="18" t="n"/>
      <c r="GM32" s="18" t="n"/>
      <c r="GN32" s="18" t="n"/>
      <c r="GO32" s="18" t="n"/>
      <c r="GP32" s="18" t="n"/>
      <c r="GQ32" s="18" t="n"/>
      <c r="GR32" s="18" t="n"/>
      <c r="GS32" s="18" t="n"/>
      <c r="GT32" s="18" t="n"/>
      <c r="GU32" s="18" t="n"/>
      <c r="GV32" s="18" t="n"/>
      <c r="GW32" s="18" t="n"/>
      <c r="GX32" s="18" t="n"/>
      <c r="GY32" s="18" t="n"/>
      <c r="GZ32" s="18" t="n"/>
      <c r="HA32" s="18" t="n"/>
      <c r="HB32" s="18" t="n"/>
      <c r="HC32" s="18" t="n"/>
      <c r="HD32" s="18" t="n"/>
      <c r="HE32" s="18" t="n"/>
      <c r="HF32" s="18" t="n"/>
      <c r="HG32" s="18" t="n"/>
      <c r="HH32" s="18" t="n"/>
      <c r="HI32" s="18" t="n"/>
      <c r="HJ32" s="18" t="n"/>
      <c r="HK32" s="18" t="n"/>
      <c r="HL32" s="18" t="n"/>
      <c r="HM32" s="18" t="n"/>
      <c r="HN32" s="18" t="n"/>
      <c r="HO32" s="18" t="n"/>
      <c r="HP32" s="18" t="n"/>
      <c r="HQ32" s="18" t="n"/>
      <c r="HR32" s="18" t="n"/>
      <c r="HS32" s="18" t="n"/>
      <c r="HT32" s="18" t="n"/>
      <c r="HU32" s="18" t="n"/>
      <c r="HV32" s="18" t="n"/>
      <c r="HW32" s="18" t="n"/>
      <c r="HX32" s="18" t="n"/>
      <c r="HY32" s="18" t="n"/>
      <c r="HZ32" s="18" t="n"/>
      <c r="IA32" s="18" t="n"/>
      <c r="IB32" s="18" t="n"/>
      <c r="IC32" s="18" t="n"/>
      <c r="ID32" s="18" t="n"/>
      <c r="IE32" s="18" t="n"/>
      <c r="IF32" s="18" t="n"/>
      <c r="IG32" s="18" t="n"/>
      <c r="IH32" s="18" t="n"/>
      <c r="II32" s="18" t="n"/>
      <c r="IJ32" s="18" t="n"/>
      <c r="IK32" s="18" t="n"/>
      <c r="IL32" s="18" t="n"/>
      <c r="IM32" s="18" t="n"/>
      <c r="IN32" s="18" t="n"/>
      <c r="IO32" s="18" t="n"/>
      <c r="IP32" s="18" t="n"/>
      <c r="IQ32" s="18" t="n"/>
      <c r="IR32" s="18" t="n"/>
      <c r="IS32" s="18" t="n"/>
      <c r="IT32" s="18" t="n"/>
      <c r="IU32" s="18" t="n"/>
      <c r="IV32" s="18" t="n"/>
      <c r="IW32" s="18" t="n"/>
      <c r="IX32" s="18" t="n"/>
      <c r="IY32" s="18" t="n"/>
      <c r="IZ32" s="18" t="n"/>
      <c r="JA32" s="18" t="n"/>
      <c r="JB32" s="18" t="n"/>
      <c r="JC32" s="18" t="n"/>
      <c r="JD32" s="18" t="n"/>
      <c r="JE32" s="18" t="n"/>
      <c r="JF32" s="18" t="n"/>
      <c r="JG32" s="18" t="n"/>
      <c r="JH32" s="18" t="n"/>
      <c r="JI32" s="18" t="n"/>
      <c r="JJ32" s="18" t="n"/>
      <c r="JK32" s="18" t="n"/>
      <c r="JL32" s="18" t="n"/>
      <c r="JM32" s="18" t="n"/>
      <c r="JN32" s="18" t="n"/>
      <c r="JO32" s="18" t="n"/>
      <c r="JP32" s="18" t="n"/>
      <c r="JQ32" s="18" t="n"/>
      <c r="JR32" s="18" t="n"/>
      <c r="JS32" s="18" t="n"/>
      <c r="JT32" s="18" t="n"/>
      <c r="JU32" s="18" t="n"/>
      <c r="JV32" s="18" t="n"/>
      <c r="JW32" s="18" t="n"/>
      <c r="JX32" s="18" t="n"/>
      <c r="JY32" s="18" t="n"/>
      <c r="JZ32" s="18" t="n"/>
      <c r="KA32" s="18" t="n"/>
      <c r="KB32" s="18" t="n"/>
      <c r="KC32" s="18" t="n"/>
      <c r="KD32" s="18" t="n"/>
      <c r="KE32" s="18" t="n"/>
    </row>
    <row r="33" ht="17.4" customHeight="1" s="88">
      <c r="A33" s="18" t="n"/>
      <c r="B33" s="18" t="n"/>
      <c r="C33" s="18" t="n"/>
      <c r="D33" s="18" t="n"/>
      <c r="E33" s="52" t="n"/>
      <c r="F33" s="52" t="n"/>
      <c r="G33" s="18" t="n"/>
      <c r="H33" s="18" t="n"/>
      <c r="I33" s="18" t="n"/>
      <c r="J33" s="18" t="n"/>
      <c r="K33" s="18" t="n"/>
      <c r="L33" s="18" t="n"/>
      <c r="M33" s="18" t="n"/>
      <c r="N33" s="61" t="n"/>
      <c r="O33" s="18" t="n"/>
      <c r="P33" s="53" t="n"/>
      <c r="Q33" s="18" t="n"/>
      <c r="R33" s="53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Y33" s="18" t="n"/>
      <c r="DZ33" s="18" t="n"/>
      <c r="EA33" s="18" t="n"/>
      <c r="EB33" s="18" t="n"/>
      <c r="EC33" s="18" t="n"/>
      <c r="ED33" s="18" t="n"/>
      <c r="EE33" s="18" t="n"/>
      <c r="EF33" s="18" t="n"/>
      <c r="EG33" s="18" t="n"/>
      <c r="EH33" s="18" t="n"/>
      <c r="EI33" s="18" t="n"/>
      <c r="EJ33" s="18" t="n"/>
      <c r="EK33" s="18" t="n"/>
      <c r="EL33" s="18" t="n"/>
      <c r="EM33" s="18" t="n"/>
      <c r="EN33" s="18" t="n"/>
      <c r="EO33" s="18" t="n"/>
      <c r="EP33" s="18" t="n"/>
      <c r="EQ33" s="18" t="n"/>
      <c r="ER33" s="18" t="n"/>
      <c r="ES33" s="18" t="n"/>
      <c r="ET33" s="18" t="n"/>
      <c r="EU33" s="18" t="n"/>
      <c r="EV33" s="18" t="n"/>
      <c r="EW33" s="18" t="n"/>
      <c r="EX33" s="18" t="n"/>
      <c r="EY33" s="18" t="n"/>
      <c r="EZ33" s="18" t="n"/>
      <c r="FA33" s="18" t="n"/>
      <c r="FB33" s="18" t="n"/>
      <c r="FC33" s="18" t="n"/>
      <c r="FD33" s="18" t="n"/>
      <c r="FE33" s="18" t="n"/>
      <c r="FF33" s="18" t="n"/>
      <c r="FG33" s="18" t="n"/>
      <c r="FH33" s="18" t="n"/>
      <c r="FI33" s="18" t="n"/>
      <c r="FJ33" s="18" t="n"/>
      <c r="FK33" s="18" t="n"/>
      <c r="FL33" s="18" t="n"/>
      <c r="FM33" s="18" t="n"/>
      <c r="FN33" s="18" t="n"/>
      <c r="FO33" s="18" t="n"/>
      <c r="FP33" s="18" t="n"/>
      <c r="FQ33" s="18" t="n"/>
      <c r="FR33" s="18" t="n"/>
      <c r="FS33" s="18" t="n"/>
      <c r="FT33" s="18" t="n"/>
      <c r="FU33" s="18" t="n"/>
      <c r="FV33" s="18" t="n"/>
      <c r="FW33" s="18" t="n"/>
      <c r="FX33" s="18" t="n"/>
      <c r="FY33" s="18" t="n"/>
      <c r="FZ33" s="18" t="n"/>
      <c r="GA33" s="18" t="n"/>
      <c r="GB33" s="18" t="n"/>
      <c r="GC33" s="18" t="n"/>
      <c r="GD33" s="18" t="n"/>
      <c r="GE33" s="18" t="n"/>
      <c r="GF33" s="18" t="n"/>
      <c r="GG33" s="18" t="n"/>
      <c r="GH33" s="18" t="n"/>
      <c r="GI33" s="18" t="n"/>
      <c r="GJ33" s="18" t="n"/>
      <c r="GK33" s="18" t="n"/>
      <c r="GL33" s="18" t="n"/>
      <c r="GM33" s="18" t="n"/>
      <c r="GN33" s="18" t="n"/>
      <c r="GO33" s="18" t="n"/>
      <c r="GP33" s="18" t="n"/>
      <c r="GQ33" s="18" t="n"/>
      <c r="GR33" s="18" t="n"/>
      <c r="GS33" s="18" t="n"/>
      <c r="GT33" s="18" t="n"/>
      <c r="GU33" s="18" t="n"/>
      <c r="GV33" s="18" t="n"/>
      <c r="GW33" s="18" t="n"/>
      <c r="GX33" s="18" t="n"/>
      <c r="GY33" s="18" t="n"/>
      <c r="GZ33" s="18" t="n"/>
      <c r="HA33" s="18" t="n"/>
      <c r="HB33" s="18" t="n"/>
      <c r="HC33" s="18" t="n"/>
      <c r="HD33" s="18" t="n"/>
      <c r="HE33" s="18" t="n"/>
      <c r="HF33" s="18" t="n"/>
      <c r="HG33" s="18" t="n"/>
      <c r="HH33" s="18" t="n"/>
      <c r="HI33" s="18" t="n"/>
      <c r="HJ33" s="18" t="n"/>
      <c r="HK33" s="18" t="n"/>
      <c r="HL33" s="18" t="n"/>
      <c r="HM33" s="18" t="n"/>
      <c r="HN33" s="18" t="n"/>
      <c r="HO33" s="18" t="n"/>
      <c r="HP33" s="18" t="n"/>
      <c r="HQ33" s="18" t="n"/>
      <c r="HR33" s="18" t="n"/>
      <c r="HS33" s="18" t="n"/>
      <c r="HT33" s="18" t="n"/>
      <c r="HU33" s="18" t="n"/>
      <c r="HV33" s="18" t="n"/>
      <c r="HW33" s="18" t="n"/>
      <c r="HX33" s="18" t="n"/>
      <c r="HY33" s="18" t="n"/>
      <c r="HZ33" s="18" t="n"/>
      <c r="IA33" s="18" t="n"/>
      <c r="IB33" s="18" t="n"/>
      <c r="IC33" s="18" t="n"/>
      <c r="ID33" s="18" t="n"/>
      <c r="IE33" s="18" t="n"/>
      <c r="IF33" s="18" t="n"/>
      <c r="IG33" s="18" t="n"/>
      <c r="IH33" s="18" t="n"/>
      <c r="II33" s="18" t="n"/>
      <c r="IJ33" s="18" t="n"/>
      <c r="IK33" s="18" t="n"/>
      <c r="IL33" s="18" t="n"/>
      <c r="IM33" s="18" t="n"/>
      <c r="IN33" s="18" t="n"/>
      <c r="IO33" s="18" t="n"/>
      <c r="IP33" s="18" t="n"/>
      <c r="IQ33" s="18" t="n"/>
      <c r="IR33" s="18" t="n"/>
      <c r="IS33" s="18" t="n"/>
      <c r="IT33" s="18" t="n"/>
      <c r="IU33" s="18" t="n"/>
      <c r="IV33" s="18" t="n"/>
      <c r="IW33" s="18" t="n"/>
      <c r="IX33" s="18" t="n"/>
      <c r="IY33" s="18" t="n"/>
      <c r="IZ33" s="18" t="n"/>
      <c r="JA33" s="18" t="n"/>
      <c r="JB33" s="18" t="n"/>
      <c r="JC33" s="18" t="n"/>
      <c r="JD33" s="18" t="n"/>
      <c r="JE33" s="18" t="n"/>
      <c r="JF33" s="18" t="n"/>
      <c r="JG33" s="18" t="n"/>
      <c r="JH33" s="18" t="n"/>
      <c r="JI33" s="18" t="n"/>
      <c r="JJ33" s="18" t="n"/>
      <c r="JK33" s="18" t="n"/>
      <c r="JL33" s="18" t="n"/>
      <c r="JM33" s="18" t="n"/>
      <c r="JN33" s="18" t="n"/>
      <c r="JO33" s="18" t="n"/>
      <c r="JP33" s="18" t="n"/>
      <c r="JQ33" s="18" t="n"/>
      <c r="JR33" s="18" t="n"/>
      <c r="JS33" s="18" t="n"/>
      <c r="JT33" s="18" t="n"/>
      <c r="JU33" s="18" t="n"/>
      <c r="JV33" s="18" t="n"/>
      <c r="JW33" s="18" t="n"/>
      <c r="JX33" s="18" t="n"/>
      <c r="JY33" s="18" t="n"/>
      <c r="JZ33" s="18" t="n"/>
      <c r="KA33" s="18" t="n"/>
      <c r="KB33" s="18" t="n"/>
      <c r="KC33" s="18" t="n"/>
      <c r="KD33" s="18" t="n"/>
      <c r="KE33" s="18" t="n"/>
      <c r="KF33" s="18" t="n"/>
      <c r="KG33" s="18" t="n"/>
      <c r="KH33" s="18" t="n"/>
      <c r="KI33" s="18" t="n"/>
    </row>
    <row r="34" ht="17.4" customHeight="1" s="88">
      <c r="A34" s="18" t="n"/>
      <c r="B34" s="18" t="n"/>
      <c r="C34" s="18" t="n"/>
      <c r="D34" s="18" t="n"/>
      <c r="E34" s="52" t="n"/>
      <c r="F34" s="52" t="n"/>
      <c r="G34" s="18" t="n"/>
      <c r="H34" s="18" t="n"/>
      <c r="I34" s="18" t="n"/>
      <c r="J34" s="18" t="n"/>
      <c r="K34" s="18" t="n"/>
      <c r="L34" s="18" t="n"/>
      <c r="M34" s="18" t="n"/>
      <c r="N34" s="48" t="n"/>
      <c r="O34" s="18" t="n"/>
      <c r="P34" s="52" t="n"/>
      <c r="Q34" s="18" t="n"/>
      <c r="R34" s="52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Y34" s="18" t="n"/>
      <c r="DZ34" s="18" t="n"/>
      <c r="EA34" s="18" t="n"/>
      <c r="EB34" s="18" t="n"/>
      <c r="EC34" s="18" t="n"/>
      <c r="ED34" s="18" t="n"/>
      <c r="EE34" s="18" t="n"/>
      <c r="EF34" s="18" t="n"/>
      <c r="EG34" s="18" t="n"/>
      <c r="EH34" s="18" t="n"/>
      <c r="EI34" s="18" t="n"/>
      <c r="EJ34" s="18" t="n"/>
      <c r="EK34" s="18" t="n"/>
      <c r="EL34" s="18" t="n"/>
      <c r="EM34" s="18" t="n"/>
      <c r="EN34" s="18" t="n"/>
      <c r="EO34" s="18" t="n"/>
      <c r="EP34" s="18" t="n"/>
      <c r="EQ34" s="18" t="n"/>
      <c r="ER34" s="18" t="n"/>
      <c r="ES34" s="18" t="n"/>
      <c r="ET34" s="18" t="n"/>
      <c r="EU34" s="18" t="n"/>
      <c r="EV34" s="18" t="n"/>
      <c r="EW34" s="18" t="n"/>
      <c r="EX34" s="18" t="n"/>
      <c r="EY34" s="18" t="n"/>
      <c r="EZ34" s="18" t="n"/>
      <c r="FA34" s="18" t="n"/>
      <c r="FB34" s="18" t="n"/>
      <c r="FC34" s="18" t="n"/>
      <c r="FD34" s="18" t="n"/>
      <c r="FE34" s="18" t="n"/>
      <c r="FF34" s="18" t="n"/>
      <c r="FG34" s="18" t="n"/>
      <c r="FH34" s="18" t="n"/>
      <c r="FI34" s="18" t="n"/>
      <c r="FJ34" s="18" t="n"/>
      <c r="FK34" s="18" t="n"/>
      <c r="FL34" s="18" t="n"/>
      <c r="FM34" s="18" t="n"/>
      <c r="FN34" s="18" t="n"/>
      <c r="FO34" s="18" t="n"/>
      <c r="FP34" s="18" t="n"/>
      <c r="FQ34" s="18" t="n"/>
      <c r="FR34" s="18" t="n"/>
      <c r="FS34" s="18" t="n"/>
      <c r="FT34" s="18" t="n"/>
      <c r="FU34" s="18" t="n"/>
      <c r="FV34" s="18" t="n"/>
      <c r="FW34" s="18" t="n"/>
      <c r="FX34" s="18" t="n"/>
      <c r="FY34" s="18" t="n"/>
      <c r="FZ34" s="18" t="n"/>
      <c r="GA34" s="18" t="n"/>
      <c r="GB34" s="18" t="n"/>
      <c r="GC34" s="18" t="n"/>
      <c r="GD34" s="18" t="n"/>
      <c r="GE34" s="18" t="n"/>
      <c r="GF34" s="18" t="n"/>
      <c r="GG34" s="18" t="n"/>
      <c r="GH34" s="18" t="n"/>
      <c r="GI34" s="18" t="n"/>
      <c r="GJ34" s="18" t="n"/>
      <c r="GK34" s="18" t="n"/>
      <c r="GL34" s="18" t="n"/>
      <c r="GM34" s="18" t="n"/>
      <c r="GN34" s="18" t="n"/>
      <c r="GO34" s="18" t="n"/>
      <c r="GP34" s="18" t="n"/>
      <c r="GQ34" s="18" t="n"/>
      <c r="GR34" s="18" t="n"/>
      <c r="GS34" s="18" t="n"/>
      <c r="GT34" s="18" t="n"/>
      <c r="GU34" s="18" t="n"/>
      <c r="GV34" s="18" t="n"/>
      <c r="GW34" s="18" t="n"/>
      <c r="GX34" s="18" t="n"/>
      <c r="GY34" s="18" t="n"/>
      <c r="GZ34" s="18" t="n"/>
      <c r="HA34" s="18" t="n"/>
      <c r="HB34" s="18" t="n"/>
      <c r="HC34" s="18" t="n"/>
      <c r="HD34" s="18" t="n"/>
      <c r="HE34" s="18" t="n"/>
      <c r="HF34" s="18" t="n"/>
      <c r="HG34" s="18" t="n"/>
      <c r="HH34" s="18" t="n"/>
      <c r="HI34" s="18" t="n"/>
      <c r="HJ34" s="18" t="n"/>
      <c r="HK34" s="18" t="n"/>
      <c r="HL34" s="18" t="n"/>
      <c r="HM34" s="18" t="n"/>
      <c r="HN34" s="18" t="n"/>
      <c r="HO34" s="18" t="n"/>
      <c r="HP34" s="18" t="n"/>
      <c r="HQ34" s="18" t="n"/>
      <c r="HR34" s="18" t="n"/>
      <c r="HS34" s="18" t="n"/>
      <c r="HT34" s="18" t="n"/>
      <c r="HU34" s="18" t="n"/>
      <c r="HV34" s="18" t="n"/>
      <c r="HW34" s="18" t="n"/>
      <c r="HX34" s="18" t="n"/>
      <c r="HY34" s="18" t="n"/>
      <c r="HZ34" s="18" t="n"/>
      <c r="IA34" s="18" t="n"/>
      <c r="IB34" s="18" t="n"/>
      <c r="IC34" s="18" t="n"/>
      <c r="ID34" s="18" t="n"/>
      <c r="IE34" s="18" t="n"/>
      <c r="IF34" s="18" t="n"/>
      <c r="IG34" s="18" t="n"/>
      <c r="IH34" s="18" t="n"/>
      <c r="II34" s="18" t="n"/>
      <c r="IJ34" s="18" t="n"/>
      <c r="IK34" s="18" t="n"/>
      <c r="IL34" s="18" t="n"/>
      <c r="IM34" s="18" t="n"/>
      <c r="IN34" s="18" t="n"/>
      <c r="IO34" s="18" t="n"/>
      <c r="IP34" s="18" t="n"/>
      <c r="IQ34" s="18" t="n"/>
      <c r="IR34" s="18" t="n"/>
      <c r="IS34" s="18" t="n"/>
      <c r="IT34" s="18" t="n"/>
      <c r="IU34" s="18" t="n"/>
      <c r="IV34" s="18" t="n"/>
      <c r="IW34" s="18" t="n"/>
      <c r="IX34" s="18" t="n"/>
      <c r="IY34" s="18" t="n"/>
      <c r="IZ34" s="18" t="n"/>
      <c r="JA34" s="18" t="n"/>
      <c r="JB34" s="18" t="n"/>
      <c r="JC34" s="18" t="n"/>
      <c r="JD34" s="18" t="n"/>
      <c r="JE34" s="18" t="n"/>
      <c r="JF34" s="18" t="n"/>
      <c r="JG34" s="18" t="n"/>
      <c r="JH34" s="18" t="n"/>
      <c r="JI34" s="18" t="n"/>
      <c r="JJ34" s="18" t="n"/>
      <c r="JK34" s="18" t="n"/>
      <c r="JL34" s="18" t="n"/>
      <c r="JM34" s="18" t="n"/>
      <c r="JN34" s="18" t="n"/>
      <c r="JO34" s="18" t="n"/>
      <c r="JP34" s="18" t="n"/>
      <c r="JQ34" s="18" t="n"/>
      <c r="JR34" s="18" t="n"/>
      <c r="JS34" s="18" t="n"/>
      <c r="JT34" s="18" t="n"/>
      <c r="JU34" s="18" t="n"/>
      <c r="JV34" s="18" t="n"/>
      <c r="JW34" s="18" t="n"/>
      <c r="JX34" s="18" t="n"/>
      <c r="JY34" s="18" t="n"/>
      <c r="JZ34" s="18" t="n"/>
      <c r="KA34" s="18" t="n"/>
      <c r="KB34" s="18" t="n"/>
      <c r="KC34" s="18" t="n"/>
      <c r="KD34" s="18" t="n"/>
      <c r="KE34" s="18" t="n"/>
      <c r="KF34" s="18" t="n"/>
      <c r="KG34" s="18" t="n"/>
      <c r="KH34" s="18" t="n"/>
      <c r="KI34" s="18" t="n"/>
      <c r="KJ34" s="18" t="n"/>
      <c r="KK34" s="18" t="n"/>
      <c r="KL34" s="18" t="n"/>
      <c r="KM34" s="18" t="n"/>
    </row>
    <row r="35" ht="17.4" customHeight="1" s="88">
      <c r="A35" s="18" t="n"/>
      <c r="B35" s="18" t="n"/>
      <c r="C35" s="18" t="n"/>
      <c r="D35" s="18" t="n"/>
      <c r="E35" s="52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48" t="n"/>
      <c r="O35" s="18" t="n"/>
      <c r="P35" s="52" t="n"/>
      <c r="Q35" s="18" t="n"/>
      <c r="R35" s="52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8" t="n"/>
      <c r="EB35" s="18" t="n"/>
      <c r="EC35" s="18" t="n"/>
      <c r="ED35" s="18" t="n"/>
      <c r="EE35" s="18" t="n"/>
      <c r="EF35" s="18" t="n"/>
      <c r="EG35" s="18" t="n"/>
      <c r="EH35" s="18" t="n"/>
      <c r="EI35" s="18" t="n"/>
      <c r="EJ35" s="18" t="n"/>
      <c r="EK35" s="18" t="n"/>
      <c r="EL35" s="18" t="n"/>
      <c r="EM35" s="18" t="n"/>
      <c r="EN35" s="18" t="n"/>
      <c r="EO35" s="18" t="n"/>
      <c r="EP35" s="18" t="n"/>
      <c r="EQ35" s="18" t="n"/>
      <c r="ER35" s="18" t="n"/>
      <c r="ES35" s="18" t="n"/>
      <c r="ET35" s="18" t="n"/>
      <c r="EU35" s="18" t="n"/>
      <c r="EV35" s="18" t="n"/>
      <c r="EW35" s="18" t="n"/>
      <c r="EX35" s="18" t="n"/>
      <c r="EY35" s="18" t="n"/>
      <c r="EZ35" s="18" t="n"/>
      <c r="FA35" s="18" t="n"/>
      <c r="FB35" s="18" t="n"/>
      <c r="FC35" s="18" t="n"/>
      <c r="FD35" s="18" t="n"/>
      <c r="FE35" s="18" t="n"/>
      <c r="FF35" s="18" t="n"/>
      <c r="FG35" s="18" t="n"/>
      <c r="FH35" s="18" t="n"/>
      <c r="FI35" s="18" t="n"/>
      <c r="FJ35" s="18" t="n"/>
      <c r="FK35" s="18" t="n"/>
      <c r="FL35" s="18" t="n"/>
      <c r="FM35" s="18" t="n"/>
      <c r="FN35" s="18" t="n"/>
      <c r="FO35" s="18" t="n"/>
      <c r="FP35" s="18" t="n"/>
      <c r="FQ35" s="18" t="n"/>
      <c r="FR35" s="18" t="n"/>
      <c r="FS35" s="18" t="n"/>
      <c r="FT35" s="18" t="n"/>
      <c r="FU35" s="18" t="n"/>
      <c r="FV35" s="18" t="n"/>
      <c r="FW35" s="18" t="n"/>
      <c r="FX35" s="18" t="n"/>
      <c r="FY35" s="18" t="n"/>
      <c r="FZ35" s="18" t="n"/>
      <c r="GA35" s="18" t="n"/>
      <c r="GB35" s="18" t="n"/>
      <c r="GC35" s="18" t="n"/>
      <c r="GD35" s="18" t="n"/>
      <c r="GE35" s="18" t="n"/>
      <c r="GF35" s="18" t="n"/>
      <c r="GG35" s="18" t="n"/>
      <c r="GH35" s="18" t="n"/>
      <c r="GI35" s="18" t="n"/>
      <c r="GJ35" s="18" t="n"/>
      <c r="GK35" s="18" t="n"/>
      <c r="GL35" s="18" t="n"/>
      <c r="GM35" s="18" t="n"/>
      <c r="GN35" s="18" t="n"/>
      <c r="GO35" s="18" t="n"/>
      <c r="GP35" s="18" t="n"/>
      <c r="GQ35" s="18" t="n"/>
      <c r="GR35" s="18" t="n"/>
      <c r="GS35" s="18" t="n"/>
      <c r="GT35" s="18" t="n"/>
      <c r="GU35" s="18" t="n"/>
      <c r="GV35" s="18" t="n"/>
      <c r="GW35" s="18" t="n"/>
      <c r="GX35" s="18" t="n"/>
      <c r="GY35" s="18" t="n"/>
      <c r="GZ35" s="18" t="n"/>
      <c r="HA35" s="18" t="n"/>
      <c r="HB35" s="18" t="n"/>
      <c r="HC35" s="18" t="n"/>
      <c r="HD35" s="18" t="n"/>
      <c r="HE35" s="18" t="n"/>
      <c r="HF35" s="18" t="n"/>
      <c r="HG35" s="18" t="n"/>
      <c r="HH35" s="18" t="n"/>
      <c r="HI35" s="18" t="n"/>
      <c r="HJ35" s="18" t="n"/>
      <c r="HK35" s="18" t="n"/>
      <c r="HL35" s="18" t="n"/>
      <c r="HM35" s="18" t="n"/>
      <c r="HN35" s="18" t="n"/>
      <c r="HO35" s="18" t="n"/>
      <c r="HP35" s="18" t="n"/>
      <c r="HQ35" s="18" t="n"/>
      <c r="HR35" s="18" t="n"/>
      <c r="HS35" s="18" t="n"/>
      <c r="HT35" s="18" t="n"/>
      <c r="HU35" s="18" t="n"/>
      <c r="HV35" s="18" t="n"/>
      <c r="HW35" s="18" t="n"/>
      <c r="HX35" s="18" t="n"/>
      <c r="HY35" s="18" t="n"/>
      <c r="HZ35" s="18" t="n"/>
      <c r="IA35" s="18" t="n"/>
      <c r="IB35" s="18" t="n"/>
      <c r="IC35" s="18" t="n"/>
      <c r="ID35" s="18" t="n"/>
      <c r="IE35" s="18" t="n"/>
      <c r="IF35" s="18" t="n"/>
      <c r="IG35" s="18" t="n"/>
      <c r="IH35" s="18" t="n"/>
      <c r="II35" s="18" t="n"/>
      <c r="IJ35" s="18" t="n"/>
      <c r="IK35" s="18" t="n"/>
      <c r="IL35" s="18" t="n"/>
      <c r="IM35" s="18" t="n"/>
      <c r="IN35" s="18" t="n"/>
      <c r="IO35" s="18" t="n"/>
      <c r="IP35" s="18" t="n"/>
      <c r="IQ35" s="18" t="n"/>
      <c r="IR35" s="18" t="n"/>
      <c r="IS35" s="18" t="n"/>
      <c r="IT35" s="18" t="n"/>
      <c r="IU35" s="18" t="n"/>
      <c r="IV35" s="18" t="n"/>
      <c r="IW35" s="18" t="n"/>
      <c r="IX35" s="18" t="n"/>
      <c r="IY35" s="18" t="n"/>
      <c r="IZ35" s="18" t="n"/>
      <c r="JA35" s="18" t="n"/>
      <c r="JB35" s="18" t="n"/>
      <c r="JC35" s="18" t="n"/>
      <c r="JD35" s="18" t="n"/>
      <c r="JE35" s="18" t="n"/>
      <c r="JF35" s="18" t="n"/>
      <c r="JG35" s="18" t="n"/>
      <c r="JH35" s="18" t="n"/>
      <c r="JI35" s="18" t="n"/>
      <c r="JJ35" s="18" t="n"/>
      <c r="JK35" s="18" t="n"/>
      <c r="JL35" s="18" t="n"/>
      <c r="JM35" s="18" t="n"/>
      <c r="JN35" s="18" t="n"/>
      <c r="JO35" s="18" t="n"/>
      <c r="JP35" s="18" t="n"/>
      <c r="JQ35" s="18" t="n"/>
      <c r="JR35" s="18" t="n"/>
      <c r="JS35" s="18" t="n"/>
      <c r="JT35" s="18" t="n"/>
      <c r="JU35" s="18" t="n"/>
      <c r="JV35" s="18" t="n"/>
      <c r="JW35" s="18" t="n"/>
      <c r="JX35" s="18" t="n"/>
      <c r="JY35" s="18" t="n"/>
      <c r="JZ35" s="18" t="n"/>
      <c r="KA35" s="18" t="n"/>
      <c r="KB35" s="18" t="n"/>
      <c r="KC35" s="18" t="n"/>
      <c r="KD35" s="18" t="n"/>
      <c r="KE35" s="18" t="n"/>
      <c r="KF35" s="18" t="n"/>
      <c r="KG35" s="18" t="n"/>
      <c r="KH35" s="18" t="n"/>
      <c r="KI35" s="18" t="n"/>
      <c r="KJ35" s="18" t="n"/>
      <c r="KK35" s="18" t="n"/>
      <c r="KL35" s="18" t="n"/>
      <c r="KM35" s="18" t="n"/>
      <c r="KN35" s="18" t="n"/>
      <c r="KO35" s="18" t="n"/>
      <c r="KP35" s="18" t="n"/>
      <c r="KQ35" s="18" t="n"/>
    </row>
    <row r="36" ht="17.4" customHeight="1" s="88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48" t="n"/>
      <c r="O36" s="18" t="n"/>
      <c r="P36" s="52" t="n"/>
      <c r="Q36" s="18" t="n"/>
      <c r="R36" s="52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Y36" s="18" t="n"/>
      <c r="DZ36" s="18" t="n"/>
      <c r="EA36" s="18" t="n"/>
      <c r="EB36" s="18" t="n"/>
      <c r="EC36" s="18" t="n"/>
      <c r="ED36" s="18" t="n"/>
      <c r="EE36" s="18" t="n"/>
      <c r="EF36" s="18" t="n"/>
      <c r="EG36" s="18" t="n"/>
      <c r="EH36" s="18" t="n"/>
      <c r="EI36" s="18" t="n"/>
      <c r="EJ36" s="18" t="n"/>
      <c r="EK36" s="18" t="n"/>
      <c r="EL36" s="18" t="n"/>
      <c r="EM36" s="18" t="n"/>
      <c r="EN36" s="18" t="n"/>
      <c r="EO36" s="18" t="n"/>
      <c r="EP36" s="18" t="n"/>
      <c r="EQ36" s="18" t="n"/>
      <c r="ER36" s="18" t="n"/>
      <c r="ES36" s="18" t="n"/>
      <c r="ET36" s="18" t="n"/>
      <c r="EU36" s="18" t="n"/>
      <c r="EV36" s="18" t="n"/>
      <c r="EW36" s="18" t="n"/>
      <c r="EX36" s="18" t="n"/>
      <c r="EY36" s="18" t="n"/>
      <c r="EZ36" s="18" t="n"/>
      <c r="FA36" s="18" t="n"/>
      <c r="FB36" s="18" t="n"/>
      <c r="FC36" s="18" t="n"/>
      <c r="FD36" s="18" t="n"/>
      <c r="FE36" s="18" t="n"/>
      <c r="FF36" s="18" t="n"/>
      <c r="FG36" s="18" t="n"/>
      <c r="FH36" s="18" t="n"/>
      <c r="FI36" s="18" t="n"/>
      <c r="FJ36" s="18" t="n"/>
      <c r="FK36" s="18" t="n"/>
      <c r="FL36" s="18" t="n"/>
      <c r="FM36" s="18" t="n"/>
      <c r="FN36" s="18" t="n"/>
      <c r="FO36" s="18" t="n"/>
      <c r="FP36" s="18" t="n"/>
      <c r="FQ36" s="18" t="n"/>
      <c r="FR36" s="18" t="n"/>
      <c r="FS36" s="18" t="n"/>
      <c r="FT36" s="18" t="n"/>
      <c r="FU36" s="18" t="n"/>
      <c r="FV36" s="18" t="n"/>
      <c r="FW36" s="18" t="n"/>
      <c r="FX36" s="18" t="n"/>
      <c r="FY36" s="18" t="n"/>
      <c r="FZ36" s="18" t="n"/>
      <c r="GA36" s="18" t="n"/>
      <c r="GB36" s="18" t="n"/>
      <c r="GC36" s="18" t="n"/>
      <c r="GD36" s="18" t="n"/>
      <c r="GE36" s="18" t="n"/>
      <c r="GF36" s="18" t="n"/>
      <c r="GG36" s="18" t="n"/>
      <c r="GH36" s="18" t="n"/>
      <c r="GI36" s="18" t="n"/>
      <c r="GJ36" s="18" t="n"/>
      <c r="GK36" s="18" t="n"/>
      <c r="GL36" s="18" t="n"/>
      <c r="GM36" s="18" t="n"/>
      <c r="GN36" s="18" t="n"/>
      <c r="GO36" s="18" t="n"/>
      <c r="GP36" s="18" t="n"/>
      <c r="GQ36" s="18" t="n"/>
      <c r="GR36" s="18" t="n"/>
      <c r="GS36" s="18" t="n"/>
      <c r="GT36" s="18" t="n"/>
      <c r="GU36" s="18" t="n"/>
      <c r="GV36" s="18" t="n"/>
      <c r="GW36" s="18" t="n"/>
      <c r="GX36" s="18" t="n"/>
      <c r="GY36" s="18" t="n"/>
      <c r="GZ36" s="18" t="n"/>
      <c r="HA36" s="18" t="n"/>
      <c r="HB36" s="18" t="n"/>
      <c r="HC36" s="18" t="n"/>
      <c r="HD36" s="18" t="n"/>
      <c r="HE36" s="18" t="n"/>
      <c r="HF36" s="18" t="n"/>
      <c r="HG36" s="18" t="n"/>
      <c r="HH36" s="18" t="n"/>
      <c r="HI36" s="18" t="n"/>
      <c r="HJ36" s="18" t="n"/>
      <c r="HK36" s="18" t="n"/>
      <c r="HL36" s="18" t="n"/>
      <c r="HM36" s="18" t="n"/>
      <c r="HN36" s="18" t="n"/>
      <c r="HO36" s="18" t="n"/>
      <c r="HP36" s="18" t="n"/>
      <c r="HQ36" s="18" t="n"/>
      <c r="HR36" s="18" t="n"/>
      <c r="HS36" s="18" t="n"/>
      <c r="HT36" s="18" t="n"/>
      <c r="HU36" s="18" t="n"/>
      <c r="HV36" s="18" t="n"/>
      <c r="HW36" s="18" t="n"/>
      <c r="HX36" s="18" t="n"/>
      <c r="HY36" s="18" t="n"/>
      <c r="HZ36" s="18" t="n"/>
      <c r="IA36" s="18" t="n"/>
      <c r="IB36" s="18" t="n"/>
      <c r="IC36" s="18" t="n"/>
      <c r="ID36" s="18" t="n"/>
      <c r="IE36" s="18" t="n"/>
      <c r="IF36" s="18" t="n"/>
      <c r="IG36" s="18" t="n"/>
      <c r="IH36" s="18" t="n"/>
      <c r="II36" s="18" t="n"/>
      <c r="IJ36" s="18" t="n"/>
      <c r="IK36" s="18" t="n"/>
      <c r="IL36" s="18" t="n"/>
      <c r="IM36" s="18" t="n"/>
      <c r="IN36" s="18" t="n"/>
      <c r="IO36" s="18" t="n"/>
      <c r="IP36" s="18" t="n"/>
      <c r="IQ36" s="18" t="n"/>
      <c r="IR36" s="18" t="n"/>
      <c r="IS36" s="18" t="n"/>
      <c r="IT36" s="18" t="n"/>
      <c r="IU36" s="18" t="n"/>
      <c r="IV36" s="18" t="n"/>
      <c r="IW36" s="18" t="n"/>
      <c r="IX36" s="18" t="n"/>
      <c r="IY36" s="18" t="n"/>
      <c r="IZ36" s="18" t="n"/>
      <c r="JA36" s="18" t="n"/>
      <c r="JB36" s="18" t="n"/>
      <c r="JC36" s="18" t="n"/>
      <c r="JD36" s="18" t="n"/>
      <c r="JE36" s="18" t="n"/>
      <c r="JF36" s="18" t="n"/>
      <c r="JG36" s="18" t="n"/>
      <c r="JH36" s="18" t="n"/>
      <c r="JI36" s="18" t="n"/>
      <c r="JJ36" s="18" t="n"/>
      <c r="JK36" s="18" t="n"/>
      <c r="JL36" s="18" t="n"/>
      <c r="JM36" s="18" t="n"/>
      <c r="JN36" s="18" t="n"/>
      <c r="JO36" s="18" t="n"/>
      <c r="JP36" s="18" t="n"/>
      <c r="JQ36" s="18" t="n"/>
      <c r="JR36" s="18" t="n"/>
      <c r="JS36" s="18" t="n"/>
      <c r="JT36" s="18" t="n"/>
      <c r="JU36" s="18" t="n"/>
      <c r="JV36" s="18" t="n"/>
      <c r="JW36" s="18" t="n"/>
      <c r="JX36" s="18" t="n"/>
      <c r="JY36" s="18" t="n"/>
      <c r="JZ36" s="18" t="n"/>
      <c r="KA36" s="18" t="n"/>
      <c r="KB36" s="18" t="n"/>
      <c r="KC36" s="18" t="n"/>
      <c r="KD36" s="18" t="n"/>
      <c r="KE36" s="18" t="n"/>
      <c r="KF36" s="18" t="n"/>
      <c r="KG36" s="18" t="n"/>
      <c r="KH36" s="18" t="n"/>
      <c r="KI36" s="18" t="n"/>
      <c r="KJ36" s="18" t="n"/>
      <c r="KK36" s="18" t="n"/>
      <c r="KL36" s="18" t="n"/>
      <c r="KM36" s="18" t="n"/>
      <c r="KN36" s="18" t="n"/>
      <c r="KO36" s="18" t="n"/>
      <c r="KP36" s="18" t="n"/>
      <c r="KQ36" s="18" t="n"/>
      <c r="KR36" s="18" t="n"/>
      <c r="KS36" s="18" t="n"/>
      <c r="KT36" s="18" t="n"/>
      <c r="KU36" s="18" t="n"/>
    </row>
    <row r="37" ht="17.4" customHeight="1" s="88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48" t="n"/>
      <c r="O37" s="18" t="n"/>
      <c r="P37" s="52" t="n"/>
      <c r="Q37" s="18" t="n"/>
      <c r="R37" s="52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  <c r="DY37" s="18" t="n"/>
      <c r="DZ37" s="18" t="n"/>
      <c r="EA37" s="18" t="n"/>
      <c r="EB37" s="18" t="n"/>
      <c r="EC37" s="18" t="n"/>
      <c r="ED37" s="18" t="n"/>
      <c r="EE37" s="18" t="n"/>
      <c r="EF37" s="18" t="n"/>
      <c r="EG37" s="18" t="n"/>
      <c r="EH37" s="18" t="n"/>
      <c r="EI37" s="18" t="n"/>
      <c r="EJ37" s="18" t="n"/>
      <c r="EK37" s="18" t="n"/>
      <c r="EL37" s="18" t="n"/>
      <c r="EM37" s="18" t="n"/>
      <c r="EN37" s="18" t="n"/>
      <c r="EO37" s="18" t="n"/>
      <c r="EP37" s="18" t="n"/>
      <c r="EQ37" s="18" t="n"/>
      <c r="ER37" s="18" t="n"/>
      <c r="ES37" s="18" t="n"/>
      <c r="ET37" s="18" t="n"/>
      <c r="EU37" s="18" t="n"/>
      <c r="EV37" s="18" t="n"/>
      <c r="EW37" s="18" t="n"/>
      <c r="EX37" s="18" t="n"/>
      <c r="EY37" s="18" t="n"/>
      <c r="EZ37" s="18" t="n"/>
      <c r="FA37" s="18" t="n"/>
      <c r="FB37" s="18" t="n"/>
      <c r="FC37" s="18" t="n"/>
      <c r="FD37" s="18" t="n"/>
      <c r="FE37" s="18" t="n"/>
      <c r="FF37" s="18" t="n"/>
      <c r="FG37" s="18" t="n"/>
      <c r="FH37" s="18" t="n"/>
      <c r="FI37" s="18" t="n"/>
      <c r="FJ37" s="18" t="n"/>
      <c r="FK37" s="18" t="n"/>
      <c r="FL37" s="18" t="n"/>
      <c r="FM37" s="18" t="n"/>
      <c r="FN37" s="18" t="n"/>
      <c r="FO37" s="18" t="n"/>
      <c r="FP37" s="18" t="n"/>
      <c r="FQ37" s="18" t="n"/>
      <c r="FR37" s="18" t="n"/>
      <c r="FS37" s="18" t="n"/>
      <c r="FT37" s="18" t="n"/>
      <c r="FU37" s="18" t="n"/>
      <c r="FV37" s="18" t="n"/>
      <c r="FW37" s="18" t="n"/>
      <c r="FX37" s="18" t="n"/>
      <c r="FY37" s="18" t="n"/>
      <c r="FZ37" s="18" t="n"/>
      <c r="GA37" s="18" t="n"/>
      <c r="GB37" s="18" t="n"/>
      <c r="GC37" s="18" t="n"/>
      <c r="GD37" s="18" t="n"/>
      <c r="GE37" s="18" t="n"/>
      <c r="GF37" s="18" t="n"/>
      <c r="GG37" s="18" t="n"/>
      <c r="GH37" s="18" t="n"/>
      <c r="GI37" s="18" t="n"/>
      <c r="GJ37" s="18" t="n"/>
      <c r="GK37" s="18" t="n"/>
      <c r="GL37" s="18" t="n"/>
      <c r="GM37" s="18" t="n"/>
      <c r="GN37" s="18" t="n"/>
      <c r="GO37" s="18" t="n"/>
      <c r="GP37" s="18" t="n"/>
      <c r="GQ37" s="18" t="n"/>
      <c r="GR37" s="18" t="n"/>
      <c r="GS37" s="18" t="n"/>
      <c r="GT37" s="18" t="n"/>
      <c r="GU37" s="18" t="n"/>
      <c r="GV37" s="18" t="n"/>
      <c r="GW37" s="18" t="n"/>
      <c r="GX37" s="18" t="n"/>
      <c r="GY37" s="18" t="n"/>
      <c r="GZ37" s="18" t="n"/>
      <c r="HA37" s="18" t="n"/>
      <c r="HB37" s="18" t="n"/>
      <c r="HC37" s="18" t="n"/>
      <c r="HD37" s="18" t="n"/>
      <c r="HE37" s="18" t="n"/>
      <c r="HF37" s="18" t="n"/>
      <c r="HG37" s="18" t="n"/>
      <c r="HH37" s="18" t="n"/>
      <c r="HI37" s="18" t="n"/>
      <c r="HJ37" s="18" t="n"/>
      <c r="HK37" s="18" t="n"/>
      <c r="HL37" s="18" t="n"/>
      <c r="HM37" s="18" t="n"/>
      <c r="HN37" s="18" t="n"/>
      <c r="HO37" s="18" t="n"/>
      <c r="HP37" s="18" t="n"/>
      <c r="HQ37" s="18" t="n"/>
      <c r="HR37" s="18" t="n"/>
      <c r="HS37" s="18" t="n"/>
      <c r="HT37" s="18" t="n"/>
      <c r="HU37" s="18" t="n"/>
      <c r="HV37" s="18" t="n"/>
      <c r="HW37" s="18" t="n"/>
      <c r="HX37" s="18" t="n"/>
      <c r="HY37" s="18" t="n"/>
      <c r="HZ37" s="18" t="n"/>
      <c r="IA37" s="18" t="n"/>
      <c r="IB37" s="18" t="n"/>
      <c r="IC37" s="18" t="n"/>
      <c r="ID37" s="18" t="n"/>
      <c r="IE37" s="18" t="n"/>
      <c r="IF37" s="18" t="n"/>
      <c r="IG37" s="18" t="n"/>
      <c r="IH37" s="18" t="n"/>
      <c r="II37" s="18" t="n"/>
      <c r="IJ37" s="18" t="n"/>
      <c r="IK37" s="18" t="n"/>
      <c r="IL37" s="18" t="n"/>
      <c r="IM37" s="18" t="n"/>
      <c r="IN37" s="18" t="n"/>
      <c r="IO37" s="18" t="n"/>
      <c r="IP37" s="18" t="n"/>
      <c r="IQ37" s="18" t="n"/>
      <c r="IR37" s="18" t="n"/>
      <c r="IS37" s="18" t="n"/>
      <c r="IT37" s="18" t="n"/>
      <c r="IU37" s="18" t="n"/>
      <c r="IV37" s="18" t="n"/>
      <c r="IW37" s="18" t="n"/>
      <c r="IX37" s="18" t="n"/>
      <c r="IY37" s="18" t="n"/>
      <c r="IZ37" s="18" t="n"/>
      <c r="JA37" s="18" t="n"/>
      <c r="JB37" s="18" t="n"/>
      <c r="JC37" s="18" t="n"/>
      <c r="JD37" s="18" t="n"/>
      <c r="JE37" s="18" t="n"/>
      <c r="JF37" s="18" t="n"/>
      <c r="JG37" s="18" t="n"/>
      <c r="JH37" s="18" t="n"/>
      <c r="JI37" s="18" t="n"/>
      <c r="JJ37" s="18" t="n"/>
      <c r="JK37" s="18" t="n"/>
      <c r="JL37" s="18" t="n"/>
      <c r="JM37" s="18" t="n"/>
      <c r="JN37" s="18" t="n"/>
      <c r="JO37" s="18" t="n"/>
      <c r="JP37" s="18" t="n"/>
      <c r="JQ37" s="18" t="n"/>
      <c r="JR37" s="18" t="n"/>
      <c r="JS37" s="18" t="n"/>
      <c r="JT37" s="18" t="n"/>
      <c r="JU37" s="18" t="n"/>
      <c r="JV37" s="18" t="n"/>
      <c r="JW37" s="18" t="n"/>
      <c r="JX37" s="18" t="n"/>
      <c r="JY37" s="18" t="n"/>
      <c r="JZ37" s="18" t="n"/>
      <c r="KA37" s="18" t="n"/>
      <c r="KB37" s="18" t="n"/>
      <c r="KC37" s="18" t="n"/>
      <c r="KD37" s="18" t="n"/>
      <c r="KE37" s="18" t="n"/>
      <c r="KF37" s="18" t="n"/>
      <c r="KG37" s="18" t="n"/>
      <c r="KH37" s="18" t="n"/>
      <c r="KI37" s="18" t="n"/>
      <c r="KJ37" s="18" t="n"/>
      <c r="KK37" s="18" t="n"/>
      <c r="KL37" s="18" t="n"/>
      <c r="KM37" s="18" t="n"/>
      <c r="KN37" s="18" t="n"/>
      <c r="KO37" s="18" t="n"/>
      <c r="KP37" s="18" t="n"/>
      <c r="KQ37" s="18" t="n"/>
      <c r="KR37" s="18" t="n"/>
      <c r="KS37" s="18" t="n"/>
      <c r="KT37" s="18" t="n"/>
      <c r="KU37" s="18" t="n"/>
      <c r="KV37" s="18" t="n"/>
      <c r="KW37" s="18" t="n"/>
      <c r="KX37" s="18" t="n"/>
      <c r="KY37" s="18" t="n"/>
    </row>
    <row r="38" ht="17.4" customHeight="1" s="8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48" t="n"/>
      <c r="O38" s="18" t="n"/>
      <c r="P38" s="52" t="n"/>
      <c r="Q38" s="18" t="n"/>
      <c r="R38" s="52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  <c r="DY38" s="18" t="n"/>
      <c r="DZ38" s="18" t="n"/>
      <c r="EA38" s="18" t="n"/>
      <c r="EB38" s="18" t="n"/>
      <c r="EC38" s="18" t="n"/>
      <c r="ED38" s="18" t="n"/>
      <c r="EE38" s="18" t="n"/>
      <c r="EF38" s="18" t="n"/>
      <c r="EG38" s="18" t="n"/>
      <c r="EH38" s="18" t="n"/>
      <c r="EI38" s="18" t="n"/>
      <c r="EJ38" s="18" t="n"/>
      <c r="EK38" s="18" t="n"/>
      <c r="EL38" s="18" t="n"/>
      <c r="EM38" s="18" t="n"/>
      <c r="EN38" s="18" t="n"/>
      <c r="EO38" s="18" t="n"/>
      <c r="EP38" s="18" t="n"/>
      <c r="EQ38" s="18" t="n"/>
      <c r="ER38" s="18" t="n"/>
      <c r="ES38" s="18" t="n"/>
      <c r="ET38" s="18" t="n"/>
      <c r="EU38" s="18" t="n"/>
      <c r="EV38" s="18" t="n"/>
      <c r="EW38" s="18" t="n"/>
      <c r="EX38" s="18" t="n"/>
      <c r="EY38" s="18" t="n"/>
      <c r="EZ38" s="18" t="n"/>
      <c r="FA38" s="18" t="n"/>
      <c r="FB38" s="18" t="n"/>
      <c r="FC38" s="18" t="n"/>
      <c r="FD38" s="18" t="n"/>
      <c r="FE38" s="18" t="n"/>
      <c r="FF38" s="18" t="n"/>
      <c r="FG38" s="18" t="n"/>
      <c r="FH38" s="18" t="n"/>
      <c r="FI38" s="18" t="n"/>
      <c r="FJ38" s="18" t="n"/>
      <c r="FK38" s="18" t="n"/>
      <c r="FL38" s="18" t="n"/>
      <c r="FM38" s="18" t="n"/>
      <c r="FN38" s="18" t="n"/>
      <c r="FO38" s="18" t="n"/>
      <c r="FP38" s="18" t="n"/>
      <c r="FQ38" s="18" t="n"/>
      <c r="FR38" s="18" t="n"/>
      <c r="FS38" s="18" t="n"/>
      <c r="FT38" s="18" t="n"/>
      <c r="FU38" s="18" t="n"/>
      <c r="FV38" s="18" t="n"/>
      <c r="FW38" s="18" t="n"/>
      <c r="FX38" s="18" t="n"/>
      <c r="FY38" s="18" t="n"/>
      <c r="FZ38" s="18" t="n"/>
      <c r="GA38" s="18" t="n"/>
      <c r="GB38" s="18" t="n"/>
      <c r="GC38" s="18" t="n"/>
      <c r="GD38" s="18" t="n"/>
      <c r="GE38" s="18" t="n"/>
      <c r="GF38" s="18" t="n"/>
      <c r="GG38" s="18" t="n"/>
      <c r="GH38" s="18" t="n"/>
      <c r="GI38" s="18" t="n"/>
      <c r="GJ38" s="18" t="n"/>
      <c r="GK38" s="18" t="n"/>
      <c r="GL38" s="18" t="n"/>
      <c r="GM38" s="18" t="n"/>
      <c r="GN38" s="18" t="n"/>
      <c r="GO38" s="18" t="n"/>
      <c r="GP38" s="18" t="n"/>
      <c r="GQ38" s="18" t="n"/>
      <c r="GR38" s="18" t="n"/>
      <c r="GS38" s="18" t="n"/>
      <c r="GT38" s="18" t="n"/>
      <c r="GU38" s="18" t="n"/>
      <c r="GV38" s="18" t="n"/>
      <c r="GW38" s="18" t="n"/>
      <c r="GX38" s="18" t="n"/>
      <c r="GY38" s="18" t="n"/>
      <c r="GZ38" s="18" t="n"/>
      <c r="HA38" s="18" t="n"/>
      <c r="HB38" s="18" t="n"/>
      <c r="HC38" s="18" t="n"/>
      <c r="HD38" s="18" t="n"/>
      <c r="HE38" s="18" t="n"/>
      <c r="HF38" s="18" t="n"/>
      <c r="HG38" s="18" t="n"/>
      <c r="HH38" s="18" t="n"/>
      <c r="HI38" s="18" t="n"/>
      <c r="HJ38" s="18" t="n"/>
      <c r="HK38" s="18" t="n"/>
      <c r="HL38" s="18" t="n"/>
      <c r="HM38" s="18" t="n"/>
      <c r="HN38" s="18" t="n"/>
      <c r="HO38" s="18" t="n"/>
      <c r="HP38" s="18" t="n"/>
      <c r="HQ38" s="18" t="n"/>
      <c r="HR38" s="18" t="n"/>
      <c r="HS38" s="18" t="n"/>
      <c r="HT38" s="18" t="n"/>
      <c r="HU38" s="18" t="n"/>
      <c r="HV38" s="18" t="n"/>
      <c r="HW38" s="18" t="n"/>
      <c r="HX38" s="18" t="n"/>
      <c r="HY38" s="18" t="n"/>
      <c r="HZ38" s="18" t="n"/>
      <c r="IA38" s="18" t="n"/>
      <c r="IB38" s="18" t="n"/>
      <c r="IC38" s="18" t="n"/>
      <c r="ID38" s="18" t="n"/>
      <c r="IE38" s="18" t="n"/>
      <c r="IF38" s="18" t="n"/>
      <c r="IG38" s="18" t="n"/>
      <c r="IH38" s="18" t="n"/>
      <c r="II38" s="18" t="n"/>
      <c r="IJ38" s="18" t="n"/>
      <c r="IK38" s="18" t="n"/>
      <c r="IL38" s="18" t="n"/>
      <c r="IM38" s="18" t="n"/>
      <c r="IN38" s="18" t="n"/>
      <c r="IO38" s="18" t="n"/>
      <c r="IP38" s="18" t="n"/>
      <c r="IQ38" s="18" t="n"/>
      <c r="IR38" s="18" t="n"/>
      <c r="IS38" s="18" t="n"/>
      <c r="IT38" s="18" t="n"/>
      <c r="IU38" s="18" t="n"/>
      <c r="IV38" s="18" t="n"/>
      <c r="IW38" s="18" t="n"/>
      <c r="IX38" s="18" t="n"/>
      <c r="IY38" s="18" t="n"/>
      <c r="IZ38" s="18" t="n"/>
      <c r="JA38" s="18" t="n"/>
      <c r="JB38" s="18" t="n"/>
      <c r="JC38" s="18" t="n"/>
      <c r="JD38" s="18" t="n"/>
      <c r="JE38" s="18" t="n"/>
      <c r="JF38" s="18" t="n"/>
      <c r="JG38" s="18" t="n"/>
      <c r="JH38" s="18" t="n"/>
      <c r="JI38" s="18" t="n"/>
      <c r="JJ38" s="18" t="n"/>
      <c r="JK38" s="18" t="n"/>
      <c r="JL38" s="18" t="n"/>
      <c r="JM38" s="18" t="n"/>
      <c r="JN38" s="18" t="n"/>
      <c r="JO38" s="18" t="n"/>
      <c r="JP38" s="18" t="n"/>
      <c r="JQ38" s="18" t="n"/>
      <c r="JR38" s="18" t="n"/>
      <c r="JS38" s="18" t="n"/>
      <c r="JT38" s="18" t="n"/>
      <c r="JU38" s="18" t="n"/>
      <c r="JV38" s="18" t="n"/>
      <c r="JW38" s="18" t="n"/>
      <c r="JX38" s="18" t="n"/>
      <c r="JY38" s="18" t="n"/>
      <c r="JZ38" s="18" t="n"/>
      <c r="KA38" s="18" t="n"/>
      <c r="KB38" s="18" t="n"/>
      <c r="KC38" s="18" t="n"/>
      <c r="KD38" s="18" t="n"/>
      <c r="KE38" s="18" t="n"/>
      <c r="KF38" s="18" t="n"/>
      <c r="KG38" s="18" t="n"/>
      <c r="KH38" s="18" t="n"/>
      <c r="KI38" s="18" t="n"/>
      <c r="KJ38" s="18" t="n"/>
      <c r="KK38" s="18" t="n"/>
      <c r="KL38" s="18" t="n"/>
      <c r="KM38" s="18" t="n"/>
      <c r="KN38" s="18" t="n"/>
      <c r="KO38" s="18" t="n"/>
      <c r="KP38" s="18" t="n"/>
      <c r="KQ38" s="18" t="n"/>
      <c r="KR38" s="18" t="n"/>
      <c r="KS38" s="18" t="n"/>
      <c r="KT38" s="18" t="n"/>
      <c r="KU38" s="18" t="n"/>
      <c r="KV38" s="18" t="n"/>
      <c r="KW38" s="18" t="n"/>
      <c r="KX38" s="18" t="n"/>
      <c r="KY38" s="18" t="n"/>
      <c r="KZ38" s="18" t="n"/>
      <c r="LA38" s="18" t="n"/>
      <c r="LB38" s="18" t="n"/>
      <c r="LC38" s="18" t="n"/>
    </row>
    <row r="39" ht="17.4" customHeight="1" s="88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48" t="n"/>
      <c r="O39" s="18" t="n"/>
      <c r="P39" s="52" t="n"/>
      <c r="Q39" s="18" t="n"/>
      <c r="R39" s="52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  <c r="DY39" s="18" t="n"/>
      <c r="DZ39" s="18" t="n"/>
      <c r="EA39" s="18" t="n"/>
      <c r="EB39" s="18" t="n"/>
      <c r="EC39" s="18" t="n"/>
      <c r="ED39" s="18" t="n"/>
      <c r="EE39" s="18" t="n"/>
      <c r="EF39" s="18" t="n"/>
      <c r="EG39" s="18" t="n"/>
      <c r="EH39" s="18" t="n"/>
      <c r="EI39" s="18" t="n"/>
      <c r="EJ39" s="18" t="n"/>
      <c r="EK39" s="18" t="n"/>
      <c r="EL39" s="18" t="n"/>
      <c r="EM39" s="18" t="n"/>
      <c r="EN39" s="18" t="n"/>
      <c r="EO39" s="18" t="n"/>
      <c r="EP39" s="18" t="n"/>
      <c r="EQ39" s="18" t="n"/>
      <c r="ER39" s="18" t="n"/>
      <c r="ES39" s="18" t="n"/>
      <c r="ET39" s="18" t="n"/>
      <c r="EU39" s="18" t="n"/>
      <c r="EV39" s="18" t="n"/>
      <c r="EW39" s="18" t="n"/>
      <c r="EX39" s="18" t="n"/>
      <c r="EY39" s="18" t="n"/>
      <c r="EZ39" s="18" t="n"/>
      <c r="FA39" s="18" t="n"/>
      <c r="FB39" s="18" t="n"/>
      <c r="FC39" s="18" t="n"/>
      <c r="FD39" s="18" t="n"/>
      <c r="FE39" s="18" t="n"/>
      <c r="FF39" s="18" t="n"/>
      <c r="FG39" s="18" t="n"/>
      <c r="FH39" s="18" t="n"/>
      <c r="FI39" s="18" t="n"/>
      <c r="FJ39" s="18" t="n"/>
      <c r="FK39" s="18" t="n"/>
      <c r="FL39" s="18" t="n"/>
      <c r="FM39" s="18" t="n"/>
      <c r="FN39" s="18" t="n"/>
      <c r="FO39" s="18" t="n"/>
      <c r="FP39" s="18" t="n"/>
      <c r="FQ39" s="18" t="n"/>
      <c r="FR39" s="18" t="n"/>
      <c r="FS39" s="18" t="n"/>
      <c r="FT39" s="18" t="n"/>
      <c r="FU39" s="18" t="n"/>
      <c r="FV39" s="18" t="n"/>
      <c r="FW39" s="18" t="n"/>
      <c r="FX39" s="18" t="n"/>
      <c r="FY39" s="18" t="n"/>
      <c r="FZ39" s="18" t="n"/>
      <c r="GA39" s="18" t="n"/>
      <c r="GB39" s="18" t="n"/>
      <c r="GC39" s="18" t="n"/>
      <c r="GD39" s="18" t="n"/>
      <c r="GE39" s="18" t="n"/>
      <c r="GF39" s="18" t="n"/>
      <c r="GG39" s="18" t="n"/>
      <c r="GH39" s="18" t="n"/>
      <c r="GI39" s="18" t="n"/>
      <c r="GJ39" s="18" t="n"/>
      <c r="GK39" s="18" t="n"/>
      <c r="GL39" s="18" t="n"/>
      <c r="GM39" s="18" t="n"/>
      <c r="GN39" s="18" t="n"/>
      <c r="GO39" s="18" t="n"/>
      <c r="GP39" s="18" t="n"/>
      <c r="GQ39" s="18" t="n"/>
      <c r="GR39" s="18" t="n"/>
      <c r="GS39" s="18" t="n"/>
      <c r="GT39" s="18" t="n"/>
      <c r="GU39" s="18" t="n"/>
      <c r="GV39" s="18" t="n"/>
      <c r="GW39" s="18" t="n"/>
      <c r="GX39" s="18" t="n"/>
      <c r="GY39" s="18" t="n"/>
      <c r="GZ39" s="18" t="n"/>
      <c r="HA39" s="18" t="n"/>
      <c r="HB39" s="18" t="n"/>
      <c r="HC39" s="18" t="n"/>
      <c r="HD39" s="18" t="n"/>
      <c r="HE39" s="18" t="n"/>
      <c r="HF39" s="18" t="n"/>
      <c r="HG39" s="18" t="n"/>
      <c r="HH39" s="18" t="n"/>
      <c r="HI39" s="18" t="n"/>
      <c r="HJ39" s="18" t="n"/>
      <c r="HK39" s="18" t="n"/>
      <c r="HL39" s="18" t="n"/>
      <c r="HM39" s="18" t="n"/>
      <c r="HN39" s="18" t="n"/>
      <c r="HO39" s="18" t="n"/>
      <c r="HP39" s="18" t="n"/>
      <c r="HQ39" s="18" t="n"/>
      <c r="HR39" s="18" t="n"/>
      <c r="HS39" s="18" t="n"/>
      <c r="HT39" s="18" t="n"/>
      <c r="HU39" s="18" t="n"/>
      <c r="HV39" s="18" t="n"/>
      <c r="HW39" s="18" t="n"/>
      <c r="HX39" s="18" t="n"/>
      <c r="HY39" s="18" t="n"/>
      <c r="HZ39" s="18" t="n"/>
      <c r="IA39" s="18" t="n"/>
      <c r="IB39" s="18" t="n"/>
      <c r="IC39" s="18" t="n"/>
      <c r="ID39" s="18" t="n"/>
      <c r="IE39" s="18" t="n"/>
      <c r="IF39" s="18" t="n"/>
      <c r="IG39" s="18" t="n"/>
      <c r="IH39" s="18" t="n"/>
      <c r="II39" s="18" t="n"/>
      <c r="IJ39" s="18" t="n"/>
      <c r="IK39" s="18" t="n"/>
      <c r="IL39" s="18" t="n"/>
      <c r="IM39" s="18" t="n"/>
      <c r="IN39" s="18" t="n"/>
      <c r="IO39" s="18" t="n"/>
      <c r="IP39" s="18" t="n"/>
      <c r="IQ39" s="18" t="n"/>
      <c r="IR39" s="18" t="n"/>
      <c r="IS39" s="18" t="n"/>
      <c r="IT39" s="18" t="n"/>
      <c r="IU39" s="18" t="n"/>
      <c r="IV39" s="18" t="n"/>
      <c r="IW39" s="18" t="n"/>
      <c r="IX39" s="18" t="n"/>
      <c r="IY39" s="18" t="n"/>
      <c r="IZ39" s="18" t="n"/>
      <c r="JA39" s="18" t="n"/>
      <c r="JB39" s="18" t="n"/>
      <c r="JC39" s="18" t="n"/>
      <c r="JD39" s="18" t="n"/>
      <c r="JE39" s="18" t="n"/>
      <c r="JF39" s="18" t="n"/>
      <c r="JG39" s="18" t="n"/>
      <c r="JH39" s="18" t="n"/>
      <c r="JI39" s="18" t="n"/>
      <c r="JJ39" s="18" t="n"/>
      <c r="JK39" s="18" t="n"/>
      <c r="JL39" s="18" t="n"/>
      <c r="JM39" s="18" t="n"/>
      <c r="JN39" s="18" t="n"/>
      <c r="JO39" s="18" t="n"/>
      <c r="JP39" s="18" t="n"/>
      <c r="JQ39" s="18" t="n"/>
      <c r="JR39" s="18" t="n"/>
      <c r="JS39" s="18" t="n"/>
      <c r="JT39" s="18" t="n"/>
      <c r="JU39" s="18" t="n"/>
      <c r="JV39" s="18" t="n"/>
      <c r="JW39" s="18" t="n"/>
      <c r="JX39" s="18" t="n"/>
      <c r="JY39" s="18" t="n"/>
      <c r="JZ39" s="18" t="n"/>
      <c r="KA39" s="18" t="n"/>
      <c r="KB39" s="18" t="n"/>
      <c r="KC39" s="18" t="n"/>
      <c r="KD39" s="18" t="n"/>
      <c r="KE39" s="18" t="n"/>
      <c r="KF39" s="18" t="n"/>
      <c r="KG39" s="18" t="n"/>
      <c r="KH39" s="18" t="n"/>
      <c r="KI39" s="18" t="n"/>
      <c r="KJ39" s="18" t="n"/>
      <c r="KK39" s="18" t="n"/>
      <c r="KL39" s="18" t="n"/>
      <c r="KM39" s="18" t="n"/>
      <c r="KN39" s="18" t="n"/>
      <c r="KO39" s="18" t="n"/>
      <c r="KP39" s="18" t="n"/>
      <c r="KQ39" s="18" t="n"/>
      <c r="KR39" s="18" t="n"/>
      <c r="KS39" s="18" t="n"/>
      <c r="KT39" s="18" t="n"/>
      <c r="KU39" s="18" t="n"/>
      <c r="KV39" s="18" t="n"/>
      <c r="KW39" s="18" t="n"/>
      <c r="KX39" s="18" t="n"/>
      <c r="KY39" s="18" t="n"/>
      <c r="KZ39" s="18" t="n"/>
      <c r="LA39" s="18" t="n"/>
      <c r="LB39" s="18" t="n"/>
      <c r="LC39" s="18" t="n"/>
      <c r="LD39" s="18" t="n"/>
      <c r="LE39" s="18" t="n"/>
      <c r="LF39" s="18" t="n"/>
      <c r="LG39" s="18" t="n"/>
    </row>
    <row r="40" ht="17.4" customHeight="1" s="88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48" t="n"/>
      <c r="O40" s="18" t="n"/>
      <c r="P40" s="52" t="n"/>
      <c r="Q40" s="18" t="n"/>
      <c r="R40" s="52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  <c r="DY40" s="18" t="n"/>
      <c r="DZ40" s="18" t="n"/>
      <c r="EA40" s="18" t="n"/>
      <c r="EB40" s="18" t="n"/>
      <c r="EC40" s="18" t="n"/>
      <c r="ED40" s="18" t="n"/>
      <c r="EE40" s="18" t="n"/>
      <c r="EF40" s="18" t="n"/>
      <c r="EG40" s="18" t="n"/>
      <c r="EH40" s="18" t="n"/>
      <c r="EI40" s="18" t="n"/>
      <c r="EJ40" s="18" t="n"/>
      <c r="EK40" s="18" t="n"/>
      <c r="EL40" s="18" t="n"/>
      <c r="EM40" s="18" t="n"/>
      <c r="EN40" s="18" t="n"/>
      <c r="EO40" s="18" t="n"/>
      <c r="EP40" s="18" t="n"/>
      <c r="EQ40" s="18" t="n"/>
      <c r="ER40" s="18" t="n"/>
      <c r="ES40" s="18" t="n"/>
      <c r="ET40" s="18" t="n"/>
      <c r="EU40" s="18" t="n"/>
      <c r="EV40" s="18" t="n"/>
      <c r="EW40" s="18" t="n"/>
      <c r="EX40" s="18" t="n"/>
      <c r="EY40" s="18" t="n"/>
      <c r="EZ40" s="18" t="n"/>
      <c r="FA40" s="18" t="n"/>
      <c r="FB40" s="18" t="n"/>
      <c r="FC40" s="18" t="n"/>
      <c r="FD40" s="18" t="n"/>
      <c r="FE40" s="18" t="n"/>
      <c r="FF40" s="18" t="n"/>
      <c r="FG40" s="18" t="n"/>
      <c r="FH40" s="18" t="n"/>
      <c r="FI40" s="18" t="n"/>
      <c r="FJ40" s="18" t="n"/>
      <c r="FK40" s="18" t="n"/>
      <c r="FL40" s="18" t="n"/>
      <c r="FM40" s="18" t="n"/>
      <c r="FN40" s="18" t="n"/>
      <c r="FO40" s="18" t="n"/>
      <c r="FP40" s="18" t="n"/>
      <c r="FQ40" s="18" t="n"/>
      <c r="FR40" s="18" t="n"/>
      <c r="FS40" s="18" t="n"/>
      <c r="FT40" s="18" t="n"/>
      <c r="FU40" s="18" t="n"/>
      <c r="FV40" s="18" t="n"/>
      <c r="FW40" s="18" t="n"/>
      <c r="FX40" s="18" t="n"/>
      <c r="FY40" s="18" t="n"/>
      <c r="FZ40" s="18" t="n"/>
      <c r="GA40" s="18" t="n"/>
      <c r="GB40" s="18" t="n"/>
      <c r="GC40" s="18" t="n"/>
      <c r="GD40" s="18" t="n"/>
      <c r="GE40" s="18" t="n"/>
      <c r="GF40" s="18" t="n"/>
      <c r="GG40" s="18" t="n"/>
      <c r="GH40" s="18" t="n"/>
      <c r="GI40" s="18" t="n"/>
      <c r="GJ40" s="18" t="n"/>
      <c r="GK40" s="18" t="n"/>
      <c r="GL40" s="18" t="n"/>
      <c r="GM40" s="18" t="n"/>
      <c r="GN40" s="18" t="n"/>
      <c r="GO40" s="18" t="n"/>
      <c r="GP40" s="18" t="n"/>
      <c r="GQ40" s="18" t="n"/>
      <c r="GR40" s="18" t="n"/>
      <c r="GS40" s="18" t="n"/>
      <c r="GT40" s="18" t="n"/>
      <c r="GU40" s="18" t="n"/>
      <c r="GV40" s="18" t="n"/>
      <c r="GW40" s="18" t="n"/>
      <c r="GX40" s="18" t="n"/>
      <c r="GY40" s="18" t="n"/>
      <c r="GZ40" s="18" t="n"/>
      <c r="HA40" s="18" t="n"/>
      <c r="HB40" s="18" t="n"/>
      <c r="HC40" s="18" t="n"/>
      <c r="HD40" s="18" t="n"/>
      <c r="HE40" s="18" t="n"/>
      <c r="HF40" s="18" t="n"/>
      <c r="HG40" s="18" t="n"/>
      <c r="HH40" s="18" t="n"/>
      <c r="HI40" s="18" t="n"/>
      <c r="HJ40" s="18" t="n"/>
      <c r="HK40" s="18" t="n"/>
      <c r="HL40" s="18" t="n"/>
      <c r="HM40" s="18" t="n"/>
      <c r="HN40" s="18" t="n"/>
      <c r="HO40" s="18" t="n"/>
      <c r="HP40" s="18" t="n"/>
      <c r="HQ40" s="18" t="n"/>
      <c r="HR40" s="18" t="n"/>
      <c r="HS40" s="18" t="n"/>
      <c r="HT40" s="18" t="n"/>
      <c r="HU40" s="18" t="n"/>
      <c r="HV40" s="18" t="n"/>
      <c r="HW40" s="18" t="n"/>
      <c r="HX40" s="18" t="n"/>
      <c r="HY40" s="18" t="n"/>
      <c r="HZ40" s="18" t="n"/>
      <c r="IA40" s="18" t="n"/>
      <c r="IB40" s="18" t="n"/>
      <c r="IC40" s="18" t="n"/>
      <c r="ID40" s="18" t="n"/>
      <c r="IE40" s="18" t="n"/>
      <c r="IF40" s="18" t="n"/>
      <c r="IG40" s="18" t="n"/>
      <c r="IH40" s="18" t="n"/>
      <c r="II40" s="18" t="n"/>
      <c r="IJ40" s="18" t="n"/>
      <c r="IK40" s="18" t="n"/>
      <c r="IL40" s="18" t="n"/>
      <c r="IM40" s="18" t="n"/>
      <c r="IN40" s="18" t="n"/>
      <c r="IO40" s="18" t="n"/>
      <c r="IP40" s="18" t="n"/>
      <c r="IQ40" s="18" t="n"/>
      <c r="IR40" s="18" t="n"/>
      <c r="IS40" s="18" t="n"/>
      <c r="IT40" s="18" t="n"/>
      <c r="IU40" s="18" t="n"/>
      <c r="IV40" s="18" t="n"/>
      <c r="IW40" s="18" t="n"/>
      <c r="IX40" s="18" t="n"/>
      <c r="IY40" s="18" t="n"/>
      <c r="IZ40" s="18" t="n"/>
      <c r="JA40" s="18" t="n"/>
      <c r="JB40" s="18" t="n"/>
      <c r="JC40" s="18" t="n"/>
      <c r="JD40" s="18" t="n"/>
      <c r="JE40" s="18" t="n"/>
      <c r="JF40" s="18" t="n"/>
      <c r="JG40" s="18" t="n"/>
      <c r="JH40" s="18" t="n"/>
      <c r="JI40" s="18" t="n"/>
      <c r="JJ40" s="18" t="n"/>
      <c r="JK40" s="18" t="n"/>
      <c r="JL40" s="18" t="n"/>
      <c r="JM40" s="18" t="n"/>
      <c r="JN40" s="18" t="n"/>
      <c r="JO40" s="18" t="n"/>
      <c r="JP40" s="18" t="n"/>
      <c r="JQ40" s="18" t="n"/>
      <c r="JR40" s="18" t="n"/>
      <c r="JS40" s="18" t="n"/>
      <c r="JT40" s="18" t="n"/>
      <c r="JU40" s="18" t="n"/>
      <c r="JV40" s="18" t="n"/>
      <c r="JW40" s="18" t="n"/>
      <c r="JX40" s="18" t="n"/>
      <c r="JY40" s="18" t="n"/>
      <c r="JZ40" s="18" t="n"/>
      <c r="KA40" s="18" t="n"/>
      <c r="KB40" s="18" t="n"/>
      <c r="KC40" s="18" t="n"/>
      <c r="KD40" s="18" t="n"/>
      <c r="KE40" s="18" t="n"/>
      <c r="KF40" s="18" t="n"/>
      <c r="KG40" s="18" t="n"/>
      <c r="KH40" s="18" t="n"/>
      <c r="KI40" s="18" t="n"/>
      <c r="KJ40" s="18" t="n"/>
      <c r="KK40" s="18" t="n"/>
      <c r="KL40" s="18" t="n"/>
      <c r="KM40" s="18" t="n"/>
      <c r="KN40" s="18" t="n"/>
      <c r="KO40" s="18" t="n"/>
      <c r="KP40" s="18" t="n"/>
      <c r="KQ40" s="18" t="n"/>
      <c r="KR40" s="18" t="n"/>
      <c r="KS40" s="18" t="n"/>
      <c r="KT40" s="18" t="n"/>
      <c r="KU40" s="18" t="n"/>
      <c r="KV40" s="18" t="n"/>
      <c r="KW40" s="18" t="n"/>
      <c r="KX40" s="18" t="n"/>
      <c r="KY40" s="18" t="n"/>
      <c r="KZ40" s="18" t="n"/>
      <c r="LA40" s="18" t="n"/>
      <c r="LB40" s="18" t="n"/>
      <c r="LC40" s="18" t="n"/>
      <c r="LD40" s="18" t="n"/>
      <c r="LE40" s="18" t="n"/>
      <c r="LF40" s="18" t="n"/>
      <c r="LG40" s="18" t="n"/>
      <c r="LH40" s="18" t="n"/>
      <c r="LI40" s="18" t="n"/>
      <c r="LJ40" s="18" t="n"/>
      <c r="LK40" s="18" t="n"/>
    </row>
    <row r="41" ht="17.4" customHeight="1" s="88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48" t="n"/>
      <c r="O41" s="18" t="n"/>
      <c r="P41" s="52" t="n"/>
      <c r="Q41" s="18" t="n"/>
      <c r="R41" s="52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  <c r="DY41" s="18" t="n"/>
      <c r="DZ41" s="18" t="n"/>
      <c r="EA41" s="18" t="n"/>
      <c r="EB41" s="18" t="n"/>
      <c r="EC41" s="18" t="n"/>
      <c r="ED41" s="18" t="n"/>
      <c r="EE41" s="18" t="n"/>
      <c r="EF41" s="18" t="n"/>
      <c r="EG41" s="18" t="n"/>
      <c r="EH41" s="18" t="n"/>
      <c r="EI41" s="18" t="n"/>
      <c r="EJ41" s="18" t="n"/>
      <c r="EK41" s="18" t="n"/>
      <c r="EL41" s="18" t="n"/>
      <c r="EM41" s="18" t="n"/>
      <c r="EN41" s="18" t="n"/>
      <c r="EO41" s="18" t="n"/>
      <c r="EP41" s="18" t="n"/>
      <c r="EQ41" s="18" t="n"/>
      <c r="ER41" s="18" t="n"/>
      <c r="ES41" s="18" t="n"/>
      <c r="ET41" s="18" t="n"/>
      <c r="EU41" s="18" t="n"/>
      <c r="EV41" s="18" t="n"/>
      <c r="EW41" s="18" t="n"/>
      <c r="EX41" s="18" t="n"/>
      <c r="EY41" s="18" t="n"/>
      <c r="EZ41" s="18" t="n"/>
      <c r="FA41" s="18" t="n"/>
      <c r="FB41" s="18" t="n"/>
      <c r="FC41" s="18" t="n"/>
      <c r="FD41" s="18" t="n"/>
      <c r="FE41" s="18" t="n"/>
      <c r="FF41" s="18" t="n"/>
      <c r="FG41" s="18" t="n"/>
      <c r="FH41" s="18" t="n"/>
      <c r="FI41" s="18" t="n"/>
      <c r="FJ41" s="18" t="n"/>
      <c r="FK41" s="18" t="n"/>
      <c r="FL41" s="18" t="n"/>
      <c r="FM41" s="18" t="n"/>
      <c r="FN41" s="18" t="n"/>
      <c r="FO41" s="18" t="n"/>
      <c r="FP41" s="18" t="n"/>
      <c r="FQ41" s="18" t="n"/>
      <c r="FR41" s="18" t="n"/>
      <c r="FS41" s="18" t="n"/>
      <c r="FT41" s="18" t="n"/>
      <c r="FU41" s="18" t="n"/>
      <c r="FV41" s="18" t="n"/>
      <c r="FW41" s="18" t="n"/>
      <c r="FX41" s="18" t="n"/>
      <c r="FY41" s="18" t="n"/>
      <c r="FZ41" s="18" t="n"/>
      <c r="GA41" s="18" t="n"/>
      <c r="GB41" s="18" t="n"/>
      <c r="GC41" s="18" t="n"/>
      <c r="GD41" s="18" t="n"/>
      <c r="GE41" s="18" t="n"/>
      <c r="GF41" s="18" t="n"/>
      <c r="GG41" s="18" t="n"/>
      <c r="GH41" s="18" t="n"/>
      <c r="GI41" s="18" t="n"/>
      <c r="GJ41" s="18" t="n"/>
      <c r="GK41" s="18" t="n"/>
      <c r="GL41" s="18" t="n"/>
      <c r="GM41" s="18" t="n"/>
      <c r="GN41" s="18" t="n"/>
      <c r="GO41" s="18" t="n"/>
      <c r="GP41" s="18" t="n"/>
      <c r="GQ41" s="18" t="n"/>
      <c r="GR41" s="18" t="n"/>
      <c r="GS41" s="18" t="n"/>
      <c r="GT41" s="18" t="n"/>
      <c r="GU41" s="18" t="n"/>
      <c r="GV41" s="18" t="n"/>
      <c r="GW41" s="18" t="n"/>
      <c r="GX41" s="18" t="n"/>
      <c r="GY41" s="18" t="n"/>
      <c r="GZ41" s="18" t="n"/>
      <c r="HA41" s="18" t="n"/>
      <c r="HB41" s="18" t="n"/>
      <c r="HC41" s="18" t="n"/>
      <c r="HD41" s="18" t="n"/>
      <c r="HE41" s="18" t="n"/>
      <c r="HF41" s="18" t="n"/>
      <c r="HG41" s="18" t="n"/>
      <c r="HH41" s="18" t="n"/>
      <c r="HI41" s="18" t="n"/>
      <c r="HJ41" s="18" t="n"/>
      <c r="HK41" s="18" t="n"/>
      <c r="HL41" s="18" t="n"/>
      <c r="HM41" s="18" t="n"/>
      <c r="HN41" s="18" t="n"/>
      <c r="HO41" s="18" t="n"/>
      <c r="HP41" s="18" t="n"/>
      <c r="HQ41" s="18" t="n"/>
      <c r="HR41" s="18" t="n"/>
      <c r="HS41" s="18" t="n"/>
      <c r="HT41" s="18" t="n"/>
      <c r="HU41" s="18" t="n"/>
      <c r="HV41" s="18" t="n"/>
      <c r="HW41" s="18" t="n"/>
      <c r="HX41" s="18" t="n"/>
      <c r="HY41" s="18" t="n"/>
      <c r="HZ41" s="18" t="n"/>
      <c r="IA41" s="18" t="n"/>
      <c r="IB41" s="18" t="n"/>
      <c r="IC41" s="18" t="n"/>
      <c r="ID41" s="18" t="n"/>
      <c r="IE41" s="18" t="n"/>
      <c r="IF41" s="18" t="n"/>
      <c r="IG41" s="18" t="n"/>
      <c r="IH41" s="18" t="n"/>
      <c r="II41" s="18" t="n"/>
      <c r="IJ41" s="18" t="n"/>
      <c r="IK41" s="18" t="n"/>
      <c r="IL41" s="18" t="n"/>
      <c r="IM41" s="18" t="n"/>
      <c r="IN41" s="18" t="n"/>
      <c r="IO41" s="18" t="n"/>
      <c r="IP41" s="18" t="n"/>
      <c r="IQ41" s="18" t="n"/>
      <c r="IR41" s="18" t="n"/>
      <c r="IS41" s="18" t="n"/>
      <c r="IT41" s="18" t="n"/>
      <c r="IU41" s="18" t="n"/>
      <c r="IV41" s="18" t="n"/>
      <c r="IW41" s="18" t="n"/>
      <c r="IX41" s="18" t="n"/>
      <c r="IY41" s="18" t="n"/>
      <c r="IZ41" s="18" t="n"/>
      <c r="JA41" s="18" t="n"/>
      <c r="JB41" s="18" t="n"/>
      <c r="JC41" s="18" t="n"/>
      <c r="JD41" s="18" t="n"/>
      <c r="JE41" s="18" t="n"/>
      <c r="JF41" s="18" t="n"/>
      <c r="JG41" s="18" t="n"/>
      <c r="JH41" s="18" t="n"/>
      <c r="JI41" s="18" t="n"/>
      <c r="JJ41" s="18" t="n"/>
      <c r="JK41" s="18" t="n"/>
      <c r="JL41" s="18" t="n"/>
      <c r="JM41" s="18" t="n"/>
      <c r="JN41" s="18" t="n"/>
      <c r="JO41" s="18" t="n"/>
      <c r="JP41" s="18" t="n"/>
      <c r="JQ41" s="18" t="n"/>
      <c r="JR41" s="18" t="n"/>
      <c r="JS41" s="18" t="n"/>
      <c r="JT41" s="18" t="n"/>
      <c r="JU41" s="18" t="n"/>
      <c r="JV41" s="18" t="n"/>
      <c r="JW41" s="18" t="n"/>
      <c r="JX41" s="18" t="n"/>
      <c r="JY41" s="18" t="n"/>
      <c r="JZ41" s="18" t="n"/>
      <c r="KA41" s="18" t="n"/>
      <c r="KB41" s="18" t="n"/>
      <c r="KC41" s="18" t="n"/>
      <c r="KD41" s="18" t="n"/>
      <c r="KE41" s="18" t="n"/>
      <c r="KF41" s="18" t="n"/>
      <c r="KG41" s="18" t="n"/>
      <c r="KH41" s="18" t="n"/>
      <c r="KI41" s="18" t="n"/>
      <c r="KJ41" s="18" t="n"/>
      <c r="KK41" s="18" t="n"/>
      <c r="KL41" s="18" t="n"/>
      <c r="KM41" s="18" t="n"/>
      <c r="KN41" s="18" t="n"/>
      <c r="KO41" s="18" t="n"/>
      <c r="KP41" s="18" t="n"/>
      <c r="KQ41" s="18" t="n"/>
      <c r="KR41" s="18" t="n"/>
      <c r="KS41" s="18" t="n"/>
      <c r="KT41" s="18" t="n"/>
      <c r="KU41" s="18" t="n"/>
      <c r="KV41" s="18" t="n"/>
      <c r="KW41" s="18" t="n"/>
      <c r="KX41" s="18" t="n"/>
      <c r="KY41" s="18" t="n"/>
      <c r="KZ41" s="18" t="n"/>
      <c r="LA41" s="18" t="n"/>
      <c r="LB41" s="18" t="n"/>
      <c r="LC41" s="18" t="n"/>
      <c r="LD41" s="18" t="n"/>
      <c r="LE41" s="18" t="n"/>
      <c r="LF41" s="18" t="n"/>
      <c r="LG41" s="18" t="n"/>
      <c r="LH41" s="18" t="n"/>
      <c r="LI41" s="18" t="n"/>
      <c r="LJ41" s="18" t="n"/>
      <c r="LK41" s="18" t="n"/>
      <c r="LL41" s="18" t="n"/>
      <c r="LM41" s="18" t="n"/>
      <c r="LN41" s="18" t="n"/>
      <c r="LO41" s="18" t="n"/>
    </row>
    <row r="42" ht="17.4" customHeight="1" s="88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48" t="n"/>
      <c r="O42" s="18" t="n"/>
      <c r="P42" s="52" t="n"/>
      <c r="Q42" s="18" t="n"/>
      <c r="R42" s="52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  <c r="DY42" s="18" t="n"/>
      <c r="DZ42" s="18" t="n"/>
      <c r="EA42" s="18" t="n"/>
      <c r="EB42" s="18" t="n"/>
      <c r="EC42" s="18" t="n"/>
      <c r="ED42" s="18" t="n"/>
      <c r="EE42" s="18" t="n"/>
      <c r="EF42" s="18" t="n"/>
      <c r="EG42" s="18" t="n"/>
      <c r="EH42" s="18" t="n"/>
      <c r="EI42" s="18" t="n"/>
      <c r="EJ42" s="18" t="n"/>
      <c r="EK42" s="18" t="n"/>
      <c r="EL42" s="18" t="n"/>
      <c r="EM42" s="18" t="n"/>
      <c r="EN42" s="18" t="n"/>
      <c r="EO42" s="18" t="n"/>
      <c r="EP42" s="18" t="n"/>
      <c r="EQ42" s="18" t="n"/>
      <c r="ER42" s="18" t="n"/>
      <c r="ES42" s="18" t="n"/>
      <c r="ET42" s="18" t="n"/>
      <c r="EU42" s="18" t="n"/>
      <c r="EV42" s="18" t="n"/>
      <c r="EW42" s="18" t="n"/>
      <c r="EX42" s="18" t="n"/>
      <c r="EY42" s="18" t="n"/>
      <c r="EZ42" s="18" t="n"/>
      <c r="FA42" s="18" t="n"/>
      <c r="FB42" s="18" t="n"/>
      <c r="FC42" s="18" t="n"/>
      <c r="FD42" s="18" t="n"/>
      <c r="FE42" s="18" t="n"/>
      <c r="FF42" s="18" t="n"/>
      <c r="FG42" s="18" t="n"/>
      <c r="FH42" s="18" t="n"/>
      <c r="FI42" s="18" t="n"/>
      <c r="FJ42" s="18" t="n"/>
      <c r="FK42" s="18" t="n"/>
      <c r="FL42" s="18" t="n"/>
      <c r="FM42" s="18" t="n"/>
      <c r="FN42" s="18" t="n"/>
      <c r="FO42" s="18" t="n"/>
      <c r="FP42" s="18" t="n"/>
      <c r="FQ42" s="18" t="n"/>
      <c r="FR42" s="18" t="n"/>
      <c r="FS42" s="18" t="n"/>
      <c r="FT42" s="18" t="n"/>
      <c r="FU42" s="18" t="n"/>
      <c r="FV42" s="18" t="n"/>
      <c r="FW42" s="18" t="n"/>
      <c r="FX42" s="18" t="n"/>
      <c r="FY42" s="18" t="n"/>
      <c r="FZ42" s="18" t="n"/>
      <c r="GA42" s="18" t="n"/>
      <c r="GB42" s="18" t="n"/>
      <c r="GC42" s="18" t="n"/>
      <c r="GD42" s="18" t="n"/>
      <c r="GE42" s="18" t="n"/>
      <c r="GF42" s="18" t="n"/>
      <c r="GG42" s="18" t="n"/>
      <c r="GH42" s="18" t="n"/>
      <c r="GI42" s="18" t="n"/>
      <c r="GJ42" s="18" t="n"/>
      <c r="GK42" s="18" t="n"/>
      <c r="GL42" s="18" t="n"/>
      <c r="GM42" s="18" t="n"/>
      <c r="GN42" s="18" t="n"/>
      <c r="GO42" s="18" t="n"/>
      <c r="GP42" s="18" t="n"/>
      <c r="GQ42" s="18" t="n"/>
      <c r="GR42" s="18" t="n"/>
      <c r="GS42" s="18" t="n"/>
      <c r="GT42" s="18" t="n"/>
      <c r="GU42" s="18" t="n"/>
      <c r="GV42" s="18" t="n"/>
      <c r="GW42" s="18" t="n"/>
      <c r="GX42" s="18" t="n"/>
      <c r="GY42" s="18" t="n"/>
      <c r="GZ42" s="18" t="n"/>
      <c r="HA42" s="18" t="n"/>
      <c r="HB42" s="18" t="n"/>
      <c r="HC42" s="18" t="n"/>
      <c r="HD42" s="18" t="n"/>
      <c r="HE42" s="18" t="n"/>
      <c r="HF42" s="18" t="n"/>
      <c r="HG42" s="18" t="n"/>
      <c r="HH42" s="18" t="n"/>
      <c r="HI42" s="18" t="n"/>
      <c r="HJ42" s="18" t="n"/>
      <c r="HK42" s="18" t="n"/>
      <c r="HL42" s="18" t="n"/>
      <c r="HM42" s="18" t="n"/>
      <c r="HN42" s="18" t="n"/>
      <c r="HO42" s="18" t="n"/>
      <c r="HP42" s="18" t="n"/>
      <c r="HQ42" s="18" t="n"/>
      <c r="HR42" s="18" t="n"/>
      <c r="HS42" s="18" t="n"/>
      <c r="HT42" s="18" t="n"/>
      <c r="HU42" s="18" t="n"/>
      <c r="HV42" s="18" t="n"/>
      <c r="HW42" s="18" t="n"/>
      <c r="HX42" s="18" t="n"/>
      <c r="HY42" s="18" t="n"/>
      <c r="HZ42" s="18" t="n"/>
      <c r="IA42" s="18" t="n"/>
      <c r="IB42" s="18" t="n"/>
      <c r="IC42" s="18" t="n"/>
      <c r="ID42" s="18" t="n"/>
      <c r="IE42" s="18" t="n"/>
      <c r="IF42" s="18" t="n"/>
      <c r="IG42" s="18" t="n"/>
      <c r="IH42" s="18" t="n"/>
      <c r="II42" s="18" t="n"/>
      <c r="IJ42" s="18" t="n"/>
      <c r="IK42" s="18" t="n"/>
      <c r="IL42" s="18" t="n"/>
      <c r="IM42" s="18" t="n"/>
      <c r="IN42" s="18" t="n"/>
      <c r="IO42" s="18" t="n"/>
      <c r="IP42" s="18" t="n"/>
      <c r="IQ42" s="18" t="n"/>
      <c r="IR42" s="18" t="n"/>
      <c r="IS42" s="18" t="n"/>
      <c r="IT42" s="18" t="n"/>
      <c r="IU42" s="18" t="n"/>
      <c r="IV42" s="18" t="n"/>
      <c r="IW42" s="18" t="n"/>
      <c r="IX42" s="18" t="n"/>
      <c r="IY42" s="18" t="n"/>
      <c r="IZ42" s="18" t="n"/>
      <c r="JA42" s="18" t="n"/>
      <c r="JB42" s="18" t="n"/>
      <c r="JC42" s="18" t="n"/>
      <c r="JD42" s="18" t="n"/>
      <c r="JE42" s="18" t="n"/>
      <c r="JF42" s="18" t="n"/>
      <c r="JG42" s="18" t="n"/>
      <c r="JH42" s="18" t="n"/>
      <c r="JI42" s="18" t="n"/>
      <c r="JJ42" s="18" t="n"/>
      <c r="JK42" s="18" t="n"/>
      <c r="JL42" s="18" t="n"/>
      <c r="JM42" s="18" t="n"/>
      <c r="JN42" s="18" t="n"/>
      <c r="JO42" s="18" t="n"/>
      <c r="JP42" s="18" t="n"/>
      <c r="JQ42" s="18" t="n"/>
      <c r="JR42" s="18" t="n"/>
      <c r="JS42" s="18" t="n"/>
      <c r="JT42" s="18" t="n"/>
      <c r="JU42" s="18" t="n"/>
      <c r="JV42" s="18" t="n"/>
      <c r="JW42" s="18" t="n"/>
      <c r="JX42" s="18" t="n"/>
      <c r="JY42" s="18" t="n"/>
      <c r="JZ42" s="18" t="n"/>
      <c r="KA42" s="18" t="n"/>
      <c r="KB42" s="18" t="n"/>
      <c r="KC42" s="18" t="n"/>
      <c r="KD42" s="18" t="n"/>
      <c r="KE42" s="18" t="n"/>
      <c r="KF42" s="18" t="n"/>
      <c r="KG42" s="18" t="n"/>
      <c r="KH42" s="18" t="n"/>
      <c r="KI42" s="18" t="n"/>
      <c r="KJ42" s="18" t="n"/>
      <c r="KK42" s="18" t="n"/>
      <c r="KL42" s="18" t="n"/>
      <c r="KM42" s="18" t="n"/>
      <c r="KN42" s="18" t="n"/>
      <c r="KO42" s="18" t="n"/>
      <c r="KP42" s="18" t="n"/>
      <c r="KQ42" s="18" t="n"/>
      <c r="KR42" s="18" t="n"/>
      <c r="KS42" s="18" t="n"/>
      <c r="KT42" s="18" t="n"/>
      <c r="KU42" s="18" t="n"/>
      <c r="KV42" s="18" t="n"/>
      <c r="KW42" s="18" t="n"/>
      <c r="KX42" s="18" t="n"/>
      <c r="KY42" s="18" t="n"/>
      <c r="KZ42" s="18" t="n"/>
      <c r="LA42" s="18" t="n"/>
      <c r="LB42" s="18" t="n"/>
      <c r="LC42" s="18" t="n"/>
      <c r="LD42" s="18" t="n"/>
      <c r="LE42" s="18" t="n"/>
      <c r="LF42" s="18" t="n"/>
      <c r="LG42" s="18" t="n"/>
      <c r="LH42" s="18" t="n"/>
      <c r="LI42" s="18" t="n"/>
      <c r="LJ42" s="18" t="n"/>
      <c r="LK42" s="18" t="n"/>
      <c r="LL42" s="18" t="n"/>
      <c r="LM42" s="18" t="n"/>
      <c r="LN42" s="18" t="n"/>
      <c r="LO42" s="18" t="n"/>
      <c r="LP42" s="18" t="n"/>
      <c r="LQ42" s="18" t="n"/>
      <c r="LR42" s="18" t="n"/>
      <c r="LS42" s="18" t="n"/>
    </row>
    <row r="43" ht="17.4" customHeight="1" s="88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48" t="n"/>
      <c r="O43" s="18" t="n"/>
      <c r="P43" s="52" t="n"/>
      <c r="Q43" s="18" t="n"/>
      <c r="R43" s="52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  <c r="DY43" s="18" t="n"/>
      <c r="DZ43" s="18" t="n"/>
      <c r="EA43" s="18" t="n"/>
      <c r="EB43" s="18" t="n"/>
      <c r="EC43" s="18" t="n"/>
      <c r="ED43" s="18" t="n"/>
      <c r="EE43" s="18" t="n"/>
      <c r="EF43" s="18" t="n"/>
      <c r="EG43" s="18" t="n"/>
      <c r="EH43" s="18" t="n"/>
      <c r="EI43" s="18" t="n"/>
      <c r="EJ43" s="18" t="n"/>
      <c r="EK43" s="18" t="n"/>
      <c r="EL43" s="18" t="n"/>
      <c r="EM43" s="18" t="n"/>
      <c r="EN43" s="18" t="n"/>
      <c r="EO43" s="18" t="n"/>
      <c r="EP43" s="18" t="n"/>
      <c r="EQ43" s="18" t="n"/>
      <c r="ER43" s="18" t="n"/>
      <c r="ES43" s="18" t="n"/>
      <c r="ET43" s="18" t="n"/>
      <c r="EU43" s="18" t="n"/>
      <c r="EV43" s="18" t="n"/>
      <c r="EW43" s="18" t="n"/>
      <c r="EX43" s="18" t="n"/>
      <c r="EY43" s="18" t="n"/>
      <c r="EZ43" s="18" t="n"/>
      <c r="FA43" s="18" t="n"/>
      <c r="FB43" s="18" t="n"/>
      <c r="FC43" s="18" t="n"/>
      <c r="FD43" s="18" t="n"/>
      <c r="FE43" s="18" t="n"/>
      <c r="FF43" s="18" t="n"/>
      <c r="FG43" s="18" t="n"/>
      <c r="FH43" s="18" t="n"/>
      <c r="FI43" s="18" t="n"/>
      <c r="FJ43" s="18" t="n"/>
      <c r="FK43" s="18" t="n"/>
      <c r="FL43" s="18" t="n"/>
      <c r="FM43" s="18" t="n"/>
      <c r="FN43" s="18" t="n"/>
      <c r="FO43" s="18" t="n"/>
      <c r="FP43" s="18" t="n"/>
      <c r="FQ43" s="18" t="n"/>
      <c r="FR43" s="18" t="n"/>
      <c r="FS43" s="18" t="n"/>
      <c r="FT43" s="18" t="n"/>
      <c r="FU43" s="18" t="n"/>
      <c r="FV43" s="18" t="n"/>
      <c r="FW43" s="18" t="n"/>
      <c r="FX43" s="18" t="n"/>
      <c r="FY43" s="18" t="n"/>
      <c r="FZ43" s="18" t="n"/>
      <c r="GA43" s="18" t="n"/>
      <c r="GB43" s="18" t="n"/>
      <c r="GC43" s="18" t="n"/>
      <c r="GD43" s="18" t="n"/>
      <c r="GE43" s="18" t="n"/>
      <c r="GF43" s="18" t="n"/>
      <c r="GG43" s="18" t="n"/>
      <c r="GH43" s="18" t="n"/>
      <c r="GI43" s="18" t="n"/>
      <c r="GJ43" s="18" t="n"/>
      <c r="GK43" s="18" t="n"/>
      <c r="GL43" s="18" t="n"/>
      <c r="GM43" s="18" t="n"/>
      <c r="GN43" s="18" t="n"/>
      <c r="GO43" s="18" t="n"/>
      <c r="GP43" s="18" t="n"/>
      <c r="GQ43" s="18" t="n"/>
      <c r="GR43" s="18" t="n"/>
      <c r="GS43" s="18" t="n"/>
      <c r="GT43" s="18" t="n"/>
      <c r="GU43" s="18" t="n"/>
      <c r="GV43" s="18" t="n"/>
      <c r="GW43" s="18" t="n"/>
      <c r="GX43" s="18" t="n"/>
      <c r="GY43" s="18" t="n"/>
      <c r="GZ43" s="18" t="n"/>
      <c r="HA43" s="18" t="n"/>
      <c r="HB43" s="18" t="n"/>
      <c r="HC43" s="18" t="n"/>
      <c r="HD43" s="18" t="n"/>
      <c r="HE43" s="18" t="n"/>
      <c r="HF43" s="18" t="n"/>
      <c r="HG43" s="18" t="n"/>
      <c r="HH43" s="18" t="n"/>
      <c r="HI43" s="18" t="n"/>
      <c r="HJ43" s="18" t="n"/>
      <c r="HK43" s="18" t="n"/>
      <c r="HL43" s="18" t="n"/>
      <c r="HM43" s="18" t="n"/>
      <c r="HN43" s="18" t="n"/>
      <c r="HO43" s="18" t="n"/>
      <c r="HP43" s="18" t="n"/>
      <c r="HQ43" s="18" t="n"/>
      <c r="HR43" s="18" t="n"/>
      <c r="HS43" s="18" t="n"/>
      <c r="HT43" s="18" t="n"/>
      <c r="HU43" s="18" t="n"/>
      <c r="HV43" s="18" t="n"/>
      <c r="HW43" s="18" t="n"/>
      <c r="HX43" s="18" t="n"/>
      <c r="HY43" s="18" t="n"/>
      <c r="HZ43" s="18" t="n"/>
      <c r="IA43" s="18" t="n"/>
      <c r="IB43" s="18" t="n"/>
      <c r="IC43" s="18" t="n"/>
      <c r="ID43" s="18" t="n"/>
      <c r="IE43" s="18" t="n"/>
      <c r="IF43" s="18" t="n"/>
      <c r="IG43" s="18" t="n"/>
      <c r="IH43" s="18" t="n"/>
      <c r="II43" s="18" t="n"/>
      <c r="IJ43" s="18" t="n"/>
      <c r="IK43" s="18" t="n"/>
      <c r="IL43" s="18" t="n"/>
      <c r="IM43" s="18" t="n"/>
      <c r="IN43" s="18" t="n"/>
      <c r="IO43" s="18" t="n"/>
      <c r="IP43" s="18" t="n"/>
      <c r="IQ43" s="18" t="n"/>
      <c r="IR43" s="18" t="n"/>
      <c r="IS43" s="18" t="n"/>
      <c r="IT43" s="18" t="n"/>
      <c r="IU43" s="18" t="n"/>
      <c r="IV43" s="18" t="n"/>
      <c r="IW43" s="18" t="n"/>
      <c r="IX43" s="18" t="n"/>
      <c r="IY43" s="18" t="n"/>
      <c r="IZ43" s="18" t="n"/>
      <c r="JA43" s="18" t="n"/>
      <c r="JB43" s="18" t="n"/>
      <c r="JC43" s="18" t="n"/>
      <c r="JD43" s="18" t="n"/>
      <c r="JE43" s="18" t="n"/>
      <c r="JF43" s="18" t="n"/>
      <c r="JG43" s="18" t="n"/>
      <c r="JH43" s="18" t="n"/>
      <c r="JI43" s="18" t="n"/>
      <c r="JJ43" s="18" t="n"/>
      <c r="JK43" s="18" t="n"/>
      <c r="JL43" s="18" t="n"/>
      <c r="JM43" s="18" t="n"/>
      <c r="JN43" s="18" t="n"/>
      <c r="JO43" s="18" t="n"/>
      <c r="JP43" s="18" t="n"/>
      <c r="JQ43" s="18" t="n"/>
      <c r="JR43" s="18" t="n"/>
      <c r="JS43" s="18" t="n"/>
      <c r="JT43" s="18" t="n"/>
      <c r="JU43" s="18" t="n"/>
      <c r="JV43" s="18" t="n"/>
      <c r="JW43" s="18" t="n"/>
      <c r="JX43" s="18" t="n"/>
      <c r="JY43" s="18" t="n"/>
      <c r="JZ43" s="18" t="n"/>
      <c r="KA43" s="18" t="n"/>
      <c r="KB43" s="18" t="n"/>
      <c r="KC43" s="18" t="n"/>
      <c r="KD43" s="18" t="n"/>
      <c r="KE43" s="18" t="n"/>
      <c r="KF43" s="18" t="n"/>
      <c r="KG43" s="18" t="n"/>
      <c r="KH43" s="18" t="n"/>
      <c r="KI43" s="18" t="n"/>
      <c r="KJ43" s="18" t="n"/>
      <c r="KK43" s="18" t="n"/>
      <c r="KL43" s="18" t="n"/>
      <c r="KM43" s="18" t="n"/>
      <c r="KN43" s="18" t="n"/>
      <c r="KO43" s="18" t="n"/>
      <c r="KP43" s="18" t="n"/>
      <c r="KQ43" s="18" t="n"/>
      <c r="KR43" s="18" t="n"/>
      <c r="KS43" s="18" t="n"/>
      <c r="KT43" s="18" t="n"/>
      <c r="KU43" s="18" t="n"/>
      <c r="KV43" s="18" t="n"/>
      <c r="KW43" s="18" t="n"/>
      <c r="KX43" s="18" t="n"/>
      <c r="KY43" s="18" t="n"/>
      <c r="KZ43" s="18" t="n"/>
      <c r="LA43" s="18" t="n"/>
      <c r="LB43" s="18" t="n"/>
      <c r="LC43" s="18" t="n"/>
      <c r="LD43" s="18" t="n"/>
      <c r="LE43" s="18" t="n"/>
      <c r="LF43" s="18" t="n"/>
      <c r="LG43" s="18" t="n"/>
      <c r="LH43" s="18" t="n"/>
      <c r="LI43" s="18" t="n"/>
      <c r="LJ43" s="18" t="n"/>
      <c r="LK43" s="18" t="n"/>
      <c r="LL43" s="18" t="n"/>
      <c r="LM43" s="18" t="n"/>
      <c r="LN43" s="18" t="n"/>
      <c r="LO43" s="18" t="n"/>
      <c r="LP43" s="18" t="n"/>
      <c r="LQ43" s="18" t="n"/>
      <c r="LR43" s="18" t="n"/>
      <c r="LS43" s="18" t="n"/>
      <c r="LT43" s="18" t="n"/>
      <c r="LU43" s="18" t="n"/>
      <c r="LV43" s="18" t="n"/>
      <c r="LW43" s="18" t="n"/>
    </row>
    <row r="44" ht="17.4" customHeight="1" s="88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48" t="n"/>
      <c r="O44" s="18" t="n"/>
      <c r="P44" s="52" t="n"/>
      <c r="Q44" s="18" t="n"/>
      <c r="R44" s="52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  <c r="DY44" s="18" t="n"/>
      <c r="DZ44" s="18" t="n"/>
      <c r="EA44" s="18" t="n"/>
      <c r="EB44" s="18" t="n"/>
      <c r="EC44" s="18" t="n"/>
      <c r="ED44" s="18" t="n"/>
      <c r="EE44" s="18" t="n"/>
      <c r="EF44" s="18" t="n"/>
      <c r="EG44" s="18" t="n"/>
      <c r="EH44" s="18" t="n"/>
      <c r="EI44" s="18" t="n"/>
      <c r="EJ44" s="18" t="n"/>
      <c r="EK44" s="18" t="n"/>
      <c r="EL44" s="18" t="n"/>
      <c r="EM44" s="18" t="n"/>
      <c r="EN44" s="18" t="n"/>
      <c r="EO44" s="18" t="n"/>
      <c r="EP44" s="18" t="n"/>
      <c r="EQ44" s="18" t="n"/>
      <c r="ER44" s="18" t="n"/>
      <c r="ES44" s="18" t="n"/>
      <c r="ET44" s="18" t="n"/>
      <c r="EU44" s="18" t="n"/>
      <c r="EV44" s="18" t="n"/>
      <c r="EW44" s="18" t="n"/>
      <c r="EX44" s="18" t="n"/>
      <c r="EY44" s="18" t="n"/>
      <c r="EZ44" s="18" t="n"/>
      <c r="FA44" s="18" t="n"/>
      <c r="FB44" s="18" t="n"/>
      <c r="FC44" s="18" t="n"/>
      <c r="FD44" s="18" t="n"/>
      <c r="FE44" s="18" t="n"/>
      <c r="FF44" s="18" t="n"/>
      <c r="FG44" s="18" t="n"/>
      <c r="FH44" s="18" t="n"/>
      <c r="FI44" s="18" t="n"/>
      <c r="FJ44" s="18" t="n"/>
      <c r="FK44" s="18" t="n"/>
      <c r="FL44" s="18" t="n"/>
      <c r="FM44" s="18" t="n"/>
      <c r="FN44" s="18" t="n"/>
      <c r="FO44" s="18" t="n"/>
      <c r="FP44" s="18" t="n"/>
      <c r="FQ44" s="18" t="n"/>
      <c r="FR44" s="18" t="n"/>
      <c r="FS44" s="18" t="n"/>
      <c r="FT44" s="18" t="n"/>
      <c r="FU44" s="18" t="n"/>
      <c r="FV44" s="18" t="n"/>
      <c r="FW44" s="18" t="n"/>
      <c r="FX44" s="18" t="n"/>
      <c r="FY44" s="18" t="n"/>
      <c r="FZ44" s="18" t="n"/>
      <c r="GA44" s="18" t="n"/>
      <c r="GB44" s="18" t="n"/>
      <c r="GC44" s="18" t="n"/>
      <c r="GD44" s="18" t="n"/>
      <c r="GE44" s="18" t="n"/>
      <c r="GF44" s="18" t="n"/>
      <c r="GG44" s="18" t="n"/>
      <c r="GH44" s="18" t="n"/>
      <c r="GI44" s="18" t="n"/>
      <c r="GJ44" s="18" t="n"/>
      <c r="GK44" s="18" t="n"/>
      <c r="GL44" s="18" t="n"/>
      <c r="GM44" s="18" t="n"/>
      <c r="GN44" s="18" t="n"/>
      <c r="GO44" s="18" t="n"/>
      <c r="GP44" s="18" t="n"/>
      <c r="GQ44" s="18" t="n"/>
      <c r="GR44" s="18" t="n"/>
      <c r="GS44" s="18" t="n"/>
      <c r="GT44" s="18" t="n"/>
      <c r="GU44" s="18" t="n"/>
      <c r="GV44" s="18" t="n"/>
      <c r="GW44" s="18" t="n"/>
      <c r="GX44" s="18" t="n"/>
      <c r="GY44" s="18" t="n"/>
      <c r="GZ44" s="18" t="n"/>
      <c r="HA44" s="18" t="n"/>
      <c r="HB44" s="18" t="n"/>
      <c r="HC44" s="18" t="n"/>
      <c r="HD44" s="18" t="n"/>
      <c r="HE44" s="18" t="n"/>
      <c r="HF44" s="18" t="n"/>
      <c r="HG44" s="18" t="n"/>
      <c r="HH44" s="18" t="n"/>
      <c r="HI44" s="18" t="n"/>
      <c r="HJ44" s="18" t="n"/>
      <c r="HK44" s="18" t="n"/>
      <c r="HL44" s="18" t="n"/>
      <c r="HM44" s="18" t="n"/>
      <c r="HN44" s="18" t="n"/>
      <c r="HO44" s="18" t="n"/>
      <c r="HP44" s="18" t="n"/>
      <c r="HQ44" s="18" t="n"/>
      <c r="HR44" s="18" t="n"/>
      <c r="HS44" s="18" t="n"/>
      <c r="HT44" s="18" t="n"/>
      <c r="HU44" s="18" t="n"/>
      <c r="HV44" s="18" t="n"/>
      <c r="HW44" s="18" t="n"/>
      <c r="HX44" s="18" t="n"/>
      <c r="HY44" s="18" t="n"/>
      <c r="HZ44" s="18" t="n"/>
      <c r="IA44" s="18" t="n"/>
      <c r="IB44" s="18" t="n"/>
      <c r="IC44" s="18" t="n"/>
      <c r="ID44" s="18" t="n"/>
      <c r="IE44" s="18" t="n"/>
      <c r="IF44" s="18" t="n"/>
      <c r="IG44" s="18" t="n"/>
      <c r="IH44" s="18" t="n"/>
      <c r="II44" s="18" t="n"/>
      <c r="IJ44" s="18" t="n"/>
      <c r="IK44" s="18" t="n"/>
      <c r="IL44" s="18" t="n"/>
      <c r="IM44" s="18" t="n"/>
      <c r="IN44" s="18" t="n"/>
      <c r="IO44" s="18" t="n"/>
      <c r="IP44" s="18" t="n"/>
      <c r="IQ44" s="18" t="n"/>
      <c r="IR44" s="18" t="n"/>
      <c r="IS44" s="18" t="n"/>
      <c r="IT44" s="18" t="n"/>
      <c r="IU44" s="18" t="n"/>
      <c r="IV44" s="18" t="n"/>
      <c r="IW44" s="18" t="n"/>
      <c r="IX44" s="18" t="n"/>
      <c r="IY44" s="18" t="n"/>
      <c r="IZ44" s="18" t="n"/>
      <c r="JA44" s="18" t="n"/>
      <c r="JB44" s="18" t="n"/>
      <c r="JC44" s="18" t="n"/>
      <c r="JD44" s="18" t="n"/>
      <c r="JE44" s="18" t="n"/>
      <c r="JF44" s="18" t="n"/>
      <c r="JG44" s="18" t="n"/>
      <c r="JH44" s="18" t="n"/>
      <c r="JI44" s="18" t="n"/>
      <c r="JJ44" s="18" t="n"/>
      <c r="JK44" s="18" t="n"/>
      <c r="JL44" s="18" t="n"/>
      <c r="JM44" s="18" t="n"/>
      <c r="JN44" s="18" t="n"/>
      <c r="JO44" s="18" t="n"/>
      <c r="JP44" s="18" t="n"/>
      <c r="JQ44" s="18" t="n"/>
      <c r="JR44" s="18" t="n"/>
      <c r="JS44" s="18" t="n"/>
      <c r="JT44" s="18" t="n"/>
      <c r="JU44" s="18" t="n"/>
      <c r="JV44" s="18" t="n"/>
      <c r="JW44" s="18" t="n"/>
      <c r="JX44" s="18" t="n"/>
      <c r="JY44" s="18" t="n"/>
      <c r="JZ44" s="18" t="n"/>
      <c r="KA44" s="18" t="n"/>
      <c r="KB44" s="18" t="n"/>
      <c r="KC44" s="18" t="n"/>
      <c r="KD44" s="18" t="n"/>
      <c r="KE44" s="18" t="n"/>
      <c r="KF44" s="18" t="n"/>
      <c r="KG44" s="18" t="n"/>
      <c r="KH44" s="18" t="n"/>
      <c r="KI44" s="18" t="n"/>
      <c r="KJ44" s="18" t="n"/>
      <c r="KK44" s="18" t="n"/>
      <c r="KL44" s="18" t="n"/>
      <c r="KM44" s="18" t="n"/>
      <c r="KN44" s="18" t="n"/>
      <c r="KO44" s="18" t="n"/>
      <c r="KP44" s="18" t="n"/>
      <c r="KQ44" s="18" t="n"/>
      <c r="KR44" s="18" t="n"/>
      <c r="KS44" s="18" t="n"/>
      <c r="KT44" s="18" t="n"/>
      <c r="KU44" s="18" t="n"/>
      <c r="KV44" s="18" t="n"/>
      <c r="KW44" s="18" t="n"/>
      <c r="KX44" s="18" t="n"/>
      <c r="KY44" s="18" t="n"/>
      <c r="KZ44" s="18" t="n"/>
      <c r="LA44" s="18" t="n"/>
      <c r="LB44" s="18" t="n"/>
      <c r="LC44" s="18" t="n"/>
      <c r="LD44" s="18" t="n"/>
      <c r="LE44" s="18" t="n"/>
      <c r="LF44" s="18" t="n"/>
      <c r="LG44" s="18" t="n"/>
      <c r="LH44" s="18" t="n"/>
      <c r="LI44" s="18" t="n"/>
      <c r="LJ44" s="18" t="n"/>
      <c r="LK44" s="18" t="n"/>
      <c r="LL44" s="18" t="n"/>
      <c r="LM44" s="18" t="n"/>
      <c r="LN44" s="18" t="n"/>
      <c r="LO44" s="18" t="n"/>
      <c r="LP44" s="18" t="n"/>
      <c r="LQ44" s="18" t="n"/>
      <c r="LR44" s="18" t="n"/>
      <c r="LS44" s="18" t="n"/>
      <c r="LT44" s="18" t="n"/>
      <c r="LU44" s="18" t="n"/>
      <c r="LV44" s="18" t="n"/>
      <c r="LW44" s="18" t="n"/>
      <c r="LX44" s="18" t="n"/>
      <c r="LY44" s="18" t="n"/>
      <c r="LZ44" s="18" t="n"/>
      <c r="MA44" s="18" t="n"/>
    </row>
    <row r="45" ht="17.4" customHeight="1" s="88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48" t="n"/>
      <c r="O45" s="18" t="n"/>
      <c r="P45" s="52" t="n"/>
      <c r="Q45" s="18" t="n"/>
      <c r="R45" s="52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  <c r="DY45" s="18" t="n"/>
      <c r="DZ45" s="18" t="n"/>
      <c r="EA45" s="18" t="n"/>
      <c r="EB45" s="18" t="n"/>
      <c r="EC45" s="18" t="n"/>
      <c r="ED45" s="18" t="n"/>
      <c r="EE45" s="18" t="n"/>
      <c r="EF45" s="18" t="n"/>
      <c r="EG45" s="18" t="n"/>
      <c r="EH45" s="18" t="n"/>
      <c r="EI45" s="18" t="n"/>
      <c r="EJ45" s="18" t="n"/>
      <c r="EK45" s="18" t="n"/>
      <c r="EL45" s="18" t="n"/>
      <c r="EM45" s="18" t="n"/>
      <c r="EN45" s="18" t="n"/>
      <c r="EO45" s="18" t="n"/>
      <c r="EP45" s="18" t="n"/>
      <c r="EQ45" s="18" t="n"/>
      <c r="ER45" s="18" t="n"/>
      <c r="ES45" s="18" t="n"/>
      <c r="ET45" s="18" t="n"/>
      <c r="EU45" s="18" t="n"/>
      <c r="EV45" s="18" t="n"/>
      <c r="EW45" s="18" t="n"/>
      <c r="EX45" s="18" t="n"/>
      <c r="EY45" s="18" t="n"/>
      <c r="EZ45" s="18" t="n"/>
      <c r="FA45" s="18" t="n"/>
      <c r="FB45" s="18" t="n"/>
      <c r="FC45" s="18" t="n"/>
      <c r="FD45" s="18" t="n"/>
      <c r="FE45" s="18" t="n"/>
      <c r="FF45" s="18" t="n"/>
      <c r="FG45" s="18" t="n"/>
      <c r="FH45" s="18" t="n"/>
      <c r="FI45" s="18" t="n"/>
      <c r="FJ45" s="18" t="n"/>
      <c r="FK45" s="18" t="n"/>
      <c r="FL45" s="18" t="n"/>
      <c r="FM45" s="18" t="n"/>
      <c r="FN45" s="18" t="n"/>
      <c r="FO45" s="18" t="n"/>
      <c r="FP45" s="18" t="n"/>
      <c r="FQ45" s="18" t="n"/>
      <c r="FR45" s="18" t="n"/>
      <c r="FS45" s="18" t="n"/>
      <c r="FT45" s="18" t="n"/>
      <c r="FU45" s="18" t="n"/>
      <c r="FV45" s="18" t="n"/>
      <c r="FW45" s="18" t="n"/>
      <c r="FX45" s="18" t="n"/>
      <c r="FY45" s="18" t="n"/>
      <c r="FZ45" s="18" t="n"/>
      <c r="GA45" s="18" t="n"/>
      <c r="GB45" s="18" t="n"/>
      <c r="GC45" s="18" t="n"/>
      <c r="GD45" s="18" t="n"/>
      <c r="GE45" s="18" t="n"/>
      <c r="GF45" s="18" t="n"/>
      <c r="GG45" s="18" t="n"/>
      <c r="GH45" s="18" t="n"/>
      <c r="GI45" s="18" t="n"/>
      <c r="GJ45" s="18" t="n"/>
      <c r="GK45" s="18" t="n"/>
      <c r="GL45" s="18" t="n"/>
      <c r="GM45" s="18" t="n"/>
      <c r="GN45" s="18" t="n"/>
      <c r="GO45" s="18" t="n"/>
      <c r="GP45" s="18" t="n"/>
      <c r="GQ45" s="18" t="n"/>
      <c r="GR45" s="18" t="n"/>
      <c r="GS45" s="18" t="n"/>
      <c r="GT45" s="18" t="n"/>
      <c r="GU45" s="18" t="n"/>
      <c r="GV45" s="18" t="n"/>
      <c r="GW45" s="18" t="n"/>
      <c r="GX45" s="18" t="n"/>
      <c r="GY45" s="18" t="n"/>
      <c r="GZ45" s="18" t="n"/>
      <c r="HA45" s="18" t="n"/>
      <c r="HB45" s="18" t="n"/>
      <c r="HC45" s="18" t="n"/>
      <c r="HD45" s="18" t="n"/>
      <c r="HE45" s="18" t="n"/>
      <c r="HF45" s="18" t="n"/>
      <c r="HG45" s="18" t="n"/>
      <c r="HH45" s="18" t="n"/>
      <c r="HI45" s="18" t="n"/>
      <c r="HJ45" s="18" t="n"/>
      <c r="HK45" s="18" t="n"/>
      <c r="HL45" s="18" t="n"/>
      <c r="HM45" s="18" t="n"/>
      <c r="HN45" s="18" t="n"/>
      <c r="HO45" s="18" t="n"/>
      <c r="HP45" s="18" t="n"/>
      <c r="HQ45" s="18" t="n"/>
      <c r="HR45" s="18" t="n"/>
      <c r="HS45" s="18" t="n"/>
      <c r="HT45" s="18" t="n"/>
      <c r="HU45" s="18" t="n"/>
      <c r="HV45" s="18" t="n"/>
      <c r="HW45" s="18" t="n"/>
      <c r="HX45" s="18" t="n"/>
      <c r="HY45" s="18" t="n"/>
      <c r="HZ45" s="18" t="n"/>
      <c r="IA45" s="18" t="n"/>
      <c r="IB45" s="18" t="n"/>
      <c r="IC45" s="18" t="n"/>
      <c r="ID45" s="18" t="n"/>
      <c r="IE45" s="18" t="n"/>
      <c r="IF45" s="18" t="n"/>
      <c r="IG45" s="18" t="n"/>
      <c r="IH45" s="18" t="n"/>
      <c r="II45" s="18" t="n"/>
      <c r="IJ45" s="18" t="n"/>
      <c r="IK45" s="18" t="n"/>
      <c r="IL45" s="18" t="n"/>
      <c r="IM45" s="18" t="n"/>
      <c r="IN45" s="18" t="n"/>
      <c r="IO45" s="18" t="n"/>
      <c r="IP45" s="18" t="n"/>
      <c r="IQ45" s="18" t="n"/>
      <c r="IR45" s="18" t="n"/>
      <c r="IS45" s="18" t="n"/>
      <c r="IT45" s="18" t="n"/>
      <c r="IU45" s="18" t="n"/>
      <c r="IV45" s="18" t="n"/>
      <c r="IW45" s="18" t="n"/>
      <c r="IX45" s="18" t="n"/>
      <c r="IY45" s="18" t="n"/>
      <c r="IZ45" s="18" t="n"/>
      <c r="JA45" s="18" t="n"/>
      <c r="JB45" s="18" t="n"/>
      <c r="JC45" s="18" t="n"/>
      <c r="JD45" s="18" t="n"/>
      <c r="JE45" s="18" t="n"/>
      <c r="JF45" s="18" t="n"/>
      <c r="JG45" s="18" t="n"/>
      <c r="JH45" s="18" t="n"/>
      <c r="JI45" s="18" t="n"/>
      <c r="JJ45" s="18" t="n"/>
      <c r="JK45" s="18" t="n"/>
      <c r="JL45" s="18" t="n"/>
      <c r="JM45" s="18" t="n"/>
      <c r="JN45" s="18" t="n"/>
      <c r="JO45" s="18" t="n"/>
      <c r="JP45" s="18" t="n"/>
      <c r="JQ45" s="18" t="n"/>
      <c r="JR45" s="18" t="n"/>
      <c r="JS45" s="18" t="n"/>
      <c r="JT45" s="18" t="n"/>
      <c r="JU45" s="18" t="n"/>
      <c r="JV45" s="18" t="n"/>
      <c r="JW45" s="18" t="n"/>
      <c r="JX45" s="18" t="n"/>
      <c r="JY45" s="18" t="n"/>
      <c r="JZ45" s="18" t="n"/>
      <c r="KA45" s="18" t="n"/>
      <c r="KB45" s="18" t="n"/>
      <c r="KC45" s="18" t="n"/>
      <c r="KD45" s="18" t="n"/>
      <c r="KE45" s="18" t="n"/>
      <c r="KF45" s="18" t="n"/>
      <c r="KG45" s="18" t="n"/>
      <c r="KH45" s="18" t="n"/>
      <c r="KI45" s="18" t="n"/>
      <c r="KJ45" s="18" t="n"/>
      <c r="KK45" s="18" t="n"/>
      <c r="KL45" s="18" t="n"/>
      <c r="KM45" s="18" t="n"/>
      <c r="KN45" s="18" t="n"/>
      <c r="KO45" s="18" t="n"/>
      <c r="KP45" s="18" t="n"/>
      <c r="KQ45" s="18" t="n"/>
      <c r="KR45" s="18" t="n"/>
      <c r="KS45" s="18" t="n"/>
      <c r="KT45" s="18" t="n"/>
      <c r="KU45" s="18" t="n"/>
      <c r="KV45" s="18" t="n"/>
      <c r="KW45" s="18" t="n"/>
      <c r="KX45" s="18" t="n"/>
      <c r="KY45" s="18" t="n"/>
      <c r="KZ45" s="18" t="n"/>
      <c r="LA45" s="18" t="n"/>
      <c r="LB45" s="18" t="n"/>
      <c r="LC45" s="18" t="n"/>
      <c r="LD45" s="18" t="n"/>
      <c r="LE45" s="18" t="n"/>
      <c r="LF45" s="18" t="n"/>
      <c r="LG45" s="18" t="n"/>
      <c r="LH45" s="18" t="n"/>
      <c r="LI45" s="18" t="n"/>
      <c r="LJ45" s="18" t="n"/>
      <c r="LK45" s="18" t="n"/>
      <c r="LL45" s="18" t="n"/>
      <c r="LM45" s="18" t="n"/>
      <c r="LN45" s="18" t="n"/>
      <c r="LO45" s="18" t="n"/>
      <c r="LP45" s="18" t="n"/>
      <c r="LQ45" s="18" t="n"/>
      <c r="LR45" s="18" t="n"/>
      <c r="LS45" s="18" t="n"/>
      <c r="LT45" s="18" t="n"/>
      <c r="LU45" s="18" t="n"/>
      <c r="LV45" s="18" t="n"/>
      <c r="LW45" s="18" t="n"/>
      <c r="LX45" s="18" t="n"/>
      <c r="LY45" s="18" t="n"/>
      <c r="LZ45" s="18" t="n"/>
      <c r="MA45" s="18" t="n"/>
      <c r="MB45" s="18" t="n"/>
      <c r="MC45" s="18" t="n"/>
      <c r="MD45" s="18" t="n"/>
      <c r="ME45" s="18" t="n"/>
    </row>
    <row r="46" ht="17.4" customHeight="1" s="88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48" t="n"/>
      <c r="O46" s="18" t="n"/>
      <c r="P46" s="52" t="n"/>
      <c r="Q46" s="18" t="n"/>
      <c r="R46" s="52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8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8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8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18" t="n"/>
      <c r="GI46" s="18" t="n"/>
      <c r="GJ46" s="18" t="n"/>
      <c r="GK46" s="18" t="n"/>
      <c r="GL46" s="18" t="n"/>
      <c r="GM46" s="18" t="n"/>
      <c r="GN46" s="18" t="n"/>
      <c r="GO46" s="18" t="n"/>
      <c r="GP46" s="18" t="n"/>
      <c r="GQ46" s="18" t="n"/>
      <c r="GR46" s="18" t="n"/>
      <c r="GS46" s="18" t="n"/>
      <c r="GT46" s="18" t="n"/>
      <c r="GU46" s="18" t="n"/>
      <c r="GV46" s="18" t="n"/>
      <c r="GW46" s="18" t="n"/>
      <c r="GX46" s="18" t="n"/>
      <c r="GY46" s="18" t="n"/>
      <c r="GZ46" s="18" t="n"/>
      <c r="HA46" s="18" t="n"/>
      <c r="HB46" s="18" t="n"/>
      <c r="HC46" s="18" t="n"/>
      <c r="HD46" s="18" t="n"/>
      <c r="HE46" s="18" t="n"/>
      <c r="HF46" s="18" t="n"/>
      <c r="HG46" s="18" t="n"/>
      <c r="HH46" s="18" t="n"/>
      <c r="HI46" s="18" t="n"/>
      <c r="HJ46" s="18" t="n"/>
      <c r="HK46" s="18" t="n"/>
      <c r="HL46" s="18" t="n"/>
      <c r="HM46" s="18" t="n"/>
      <c r="HN46" s="18" t="n"/>
      <c r="HO46" s="18" t="n"/>
      <c r="HP46" s="18" t="n"/>
      <c r="HQ46" s="18" t="n"/>
      <c r="HR46" s="18" t="n"/>
      <c r="HS46" s="18" t="n"/>
      <c r="HT46" s="18" t="n"/>
      <c r="HU46" s="18" t="n"/>
      <c r="HV46" s="18" t="n"/>
      <c r="HW46" s="18" t="n"/>
      <c r="HX46" s="18" t="n"/>
      <c r="HY46" s="18" t="n"/>
      <c r="HZ46" s="18" t="n"/>
      <c r="IA46" s="18" t="n"/>
      <c r="IB46" s="18" t="n"/>
      <c r="IC46" s="18" t="n"/>
      <c r="ID46" s="18" t="n"/>
      <c r="IE46" s="18" t="n"/>
      <c r="IF46" s="18" t="n"/>
      <c r="IG46" s="18" t="n"/>
      <c r="IH46" s="18" t="n"/>
      <c r="II46" s="18" t="n"/>
      <c r="IJ46" s="18" t="n"/>
      <c r="IK46" s="18" t="n"/>
      <c r="IL46" s="18" t="n"/>
      <c r="IM46" s="18" t="n"/>
      <c r="IN46" s="18" t="n"/>
      <c r="IO46" s="18" t="n"/>
      <c r="IP46" s="18" t="n"/>
      <c r="IQ46" s="18" t="n"/>
      <c r="IR46" s="18" t="n"/>
      <c r="IS46" s="18" t="n"/>
      <c r="IT46" s="18" t="n"/>
      <c r="IU46" s="18" t="n"/>
      <c r="IV46" s="18" t="n"/>
      <c r="IW46" s="18" t="n"/>
      <c r="IX46" s="18" t="n"/>
      <c r="IY46" s="18" t="n"/>
      <c r="IZ46" s="18" t="n"/>
      <c r="JA46" s="18" t="n"/>
      <c r="JB46" s="18" t="n"/>
      <c r="JC46" s="18" t="n"/>
      <c r="JD46" s="18" t="n"/>
      <c r="JE46" s="18" t="n"/>
      <c r="JF46" s="18" t="n"/>
      <c r="JG46" s="18" t="n"/>
      <c r="JH46" s="18" t="n"/>
      <c r="JI46" s="18" t="n"/>
      <c r="JJ46" s="18" t="n"/>
      <c r="JK46" s="18" t="n"/>
      <c r="JL46" s="18" t="n"/>
      <c r="JM46" s="18" t="n"/>
      <c r="JN46" s="18" t="n"/>
      <c r="JO46" s="18" t="n"/>
      <c r="JP46" s="18" t="n"/>
      <c r="JQ46" s="18" t="n"/>
      <c r="JR46" s="18" t="n"/>
      <c r="JS46" s="18" t="n"/>
      <c r="JT46" s="18" t="n"/>
      <c r="JU46" s="18" t="n"/>
      <c r="JV46" s="18" t="n"/>
      <c r="JW46" s="18" t="n"/>
      <c r="JX46" s="18" t="n"/>
      <c r="JY46" s="18" t="n"/>
      <c r="JZ46" s="18" t="n"/>
      <c r="KA46" s="18" t="n"/>
      <c r="KB46" s="18" t="n"/>
      <c r="KC46" s="18" t="n"/>
      <c r="KD46" s="18" t="n"/>
      <c r="KE46" s="18" t="n"/>
      <c r="KF46" s="18" t="n"/>
      <c r="KG46" s="18" t="n"/>
      <c r="KH46" s="18" t="n"/>
      <c r="KI46" s="18" t="n"/>
      <c r="KJ46" s="18" t="n"/>
      <c r="KK46" s="18" t="n"/>
      <c r="KL46" s="18" t="n"/>
      <c r="KM46" s="18" t="n"/>
      <c r="KN46" s="18" t="n"/>
      <c r="KO46" s="18" t="n"/>
      <c r="KP46" s="18" t="n"/>
      <c r="KQ46" s="18" t="n"/>
      <c r="KR46" s="18" t="n"/>
      <c r="KS46" s="18" t="n"/>
      <c r="KT46" s="18" t="n"/>
      <c r="KU46" s="18" t="n"/>
      <c r="KV46" s="18" t="n"/>
      <c r="KW46" s="18" t="n"/>
      <c r="KX46" s="18" t="n"/>
      <c r="KY46" s="18" t="n"/>
      <c r="KZ46" s="18" t="n"/>
      <c r="LA46" s="18" t="n"/>
      <c r="LB46" s="18" t="n"/>
      <c r="LC46" s="18" t="n"/>
      <c r="LD46" s="18" t="n"/>
      <c r="LE46" s="18" t="n"/>
      <c r="LF46" s="18" t="n"/>
      <c r="LG46" s="18" t="n"/>
      <c r="LH46" s="18" t="n"/>
      <c r="LI46" s="18" t="n"/>
      <c r="LJ46" s="18" t="n"/>
      <c r="LK46" s="18" t="n"/>
      <c r="LL46" s="18" t="n"/>
      <c r="LM46" s="18" t="n"/>
      <c r="LN46" s="18" t="n"/>
      <c r="LO46" s="18" t="n"/>
      <c r="LP46" s="18" t="n"/>
      <c r="LQ46" s="18" t="n"/>
      <c r="LR46" s="18" t="n"/>
      <c r="LS46" s="18" t="n"/>
      <c r="LT46" s="18" t="n"/>
      <c r="LU46" s="18" t="n"/>
      <c r="LV46" s="18" t="n"/>
      <c r="LW46" s="18" t="n"/>
      <c r="LX46" s="18" t="n"/>
      <c r="LY46" s="18" t="n"/>
      <c r="LZ46" s="18" t="n"/>
      <c r="MA46" s="18" t="n"/>
      <c r="MB46" s="18" t="n"/>
      <c r="MC46" s="18" t="n"/>
      <c r="MD46" s="18" t="n"/>
      <c r="ME46" s="18" t="n"/>
      <c r="MF46" s="18" t="n"/>
      <c r="MG46" s="18" t="n"/>
      <c r="MH46" s="18" t="n"/>
      <c r="MI46" s="18" t="n"/>
    </row>
    <row r="47" ht="17.4" customHeight="1" s="88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48" t="n"/>
      <c r="O47" s="18" t="n"/>
      <c r="P47" s="52" t="n"/>
      <c r="Q47" s="18" t="n"/>
      <c r="R47" s="52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  <c r="DY47" s="18" t="n"/>
      <c r="DZ47" s="18" t="n"/>
      <c r="EA47" s="18" t="n"/>
      <c r="EB47" s="18" t="n"/>
      <c r="EC47" s="18" t="n"/>
      <c r="ED47" s="18" t="n"/>
      <c r="EE47" s="18" t="n"/>
      <c r="EF47" s="18" t="n"/>
      <c r="EG47" s="18" t="n"/>
      <c r="EH47" s="18" t="n"/>
      <c r="EI47" s="18" t="n"/>
      <c r="EJ47" s="18" t="n"/>
      <c r="EK47" s="18" t="n"/>
      <c r="EL47" s="18" t="n"/>
      <c r="EM47" s="18" t="n"/>
      <c r="EN47" s="18" t="n"/>
      <c r="EO47" s="18" t="n"/>
      <c r="EP47" s="18" t="n"/>
      <c r="EQ47" s="18" t="n"/>
      <c r="ER47" s="18" t="n"/>
      <c r="ES47" s="18" t="n"/>
      <c r="ET47" s="18" t="n"/>
      <c r="EU47" s="18" t="n"/>
      <c r="EV47" s="18" t="n"/>
      <c r="EW47" s="18" t="n"/>
      <c r="EX47" s="18" t="n"/>
      <c r="EY47" s="18" t="n"/>
      <c r="EZ47" s="18" t="n"/>
      <c r="FA47" s="18" t="n"/>
      <c r="FB47" s="18" t="n"/>
      <c r="FC47" s="18" t="n"/>
      <c r="FD47" s="18" t="n"/>
      <c r="FE47" s="18" t="n"/>
      <c r="FF47" s="18" t="n"/>
      <c r="FG47" s="18" t="n"/>
      <c r="FH47" s="18" t="n"/>
      <c r="FI47" s="18" t="n"/>
      <c r="FJ47" s="18" t="n"/>
      <c r="FK47" s="18" t="n"/>
      <c r="FL47" s="18" t="n"/>
      <c r="FM47" s="18" t="n"/>
      <c r="FN47" s="18" t="n"/>
      <c r="FO47" s="18" t="n"/>
      <c r="FP47" s="18" t="n"/>
      <c r="FQ47" s="18" t="n"/>
      <c r="FR47" s="18" t="n"/>
      <c r="FS47" s="18" t="n"/>
      <c r="FT47" s="18" t="n"/>
      <c r="FU47" s="18" t="n"/>
      <c r="FV47" s="18" t="n"/>
      <c r="FW47" s="18" t="n"/>
      <c r="FX47" s="18" t="n"/>
      <c r="FY47" s="18" t="n"/>
      <c r="FZ47" s="18" t="n"/>
      <c r="GA47" s="18" t="n"/>
      <c r="GB47" s="18" t="n"/>
      <c r="GC47" s="18" t="n"/>
      <c r="GD47" s="18" t="n"/>
      <c r="GE47" s="18" t="n"/>
      <c r="GF47" s="18" t="n"/>
      <c r="GG47" s="18" t="n"/>
      <c r="GH47" s="18" t="n"/>
      <c r="GI47" s="18" t="n"/>
      <c r="GJ47" s="18" t="n"/>
      <c r="GK47" s="18" t="n"/>
      <c r="GL47" s="18" t="n"/>
      <c r="GM47" s="18" t="n"/>
      <c r="GN47" s="18" t="n"/>
      <c r="GO47" s="18" t="n"/>
      <c r="GP47" s="18" t="n"/>
      <c r="GQ47" s="18" t="n"/>
      <c r="GR47" s="18" t="n"/>
      <c r="GS47" s="18" t="n"/>
      <c r="GT47" s="18" t="n"/>
      <c r="GU47" s="18" t="n"/>
      <c r="GV47" s="18" t="n"/>
      <c r="GW47" s="18" t="n"/>
      <c r="GX47" s="18" t="n"/>
      <c r="GY47" s="18" t="n"/>
      <c r="GZ47" s="18" t="n"/>
      <c r="HA47" s="18" t="n"/>
      <c r="HB47" s="18" t="n"/>
      <c r="HC47" s="18" t="n"/>
      <c r="HD47" s="18" t="n"/>
      <c r="HE47" s="18" t="n"/>
      <c r="HF47" s="18" t="n"/>
      <c r="HG47" s="18" t="n"/>
      <c r="HH47" s="18" t="n"/>
      <c r="HI47" s="18" t="n"/>
      <c r="HJ47" s="18" t="n"/>
      <c r="HK47" s="18" t="n"/>
      <c r="HL47" s="18" t="n"/>
      <c r="HM47" s="18" t="n"/>
      <c r="HN47" s="18" t="n"/>
      <c r="HO47" s="18" t="n"/>
      <c r="HP47" s="18" t="n"/>
      <c r="HQ47" s="18" t="n"/>
      <c r="HR47" s="18" t="n"/>
      <c r="HS47" s="18" t="n"/>
      <c r="HT47" s="18" t="n"/>
      <c r="HU47" s="18" t="n"/>
      <c r="HV47" s="18" t="n"/>
      <c r="HW47" s="18" t="n"/>
      <c r="HX47" s="18" t="n"/>
      <c r="HY47" s="18" t="n"/>
      <c r="HZ47" s="18" t="n"/>
      <c r="IA47" s="18" t="n"/>
      <c r="IB47" s="18" t="n"/>
      <c r="IC47" s="18" t="n"/>
      <c r="ID47" s="18" t="n"/>
      <c r="IE47" s="18" t="n"/>
      <c r="IF47" s="18" t="n"/>
      <c r="IG47" s="18" t="n"/>
      <c r="IH47" s="18" t="n"/>
      <c r="II47" s="18" t="n"/>
      <c r="IJ47" s="18" t="n"/>
      <c r="IK47" s="18" t="n"/>
      <c r="IL47" s="18" t="n"/>
      <c r="IM47" s="18" t="n"/>
      <c r="IN47" s="18" t="n"/>
      <c r="IO47" s="18" t="n"/>
      <c r="IP47" s="18" t="n"/>
      <c r="IQ47" s="18" t="n"/>
      <c r="IR47" s="18" t="n"/>
      <c r="IS47" s="18" t="n"/>
      <c r="IT47" s="18" t="n"/>
      <c r="IU47" s="18" t="n"/>
      <c r="IV47" s="18" t="n"/>
      <c r="IW47" s="18" t="n"/>
      <c r="IX47" s="18" t="n"/>
      <c r="IY47" s="18" t="n"/>
      <c r="IZ47" s="18" t="n"/>
      <c r="JA47" s="18" t="n"/>
      <c r="JB47" s="18" t="n"/>
      <c r="JC47" s="18" t="n"/>
      <c r="JD47" s="18" t="n"/>
      <c r="JE47" s="18" t="n"/>
      <c r="JF47" s="18" t="n"/>
      <c r="JG47" s="18" t="n"/>
      <c r="JH47" s="18" t="n"/>
      <c r="JI47" s="18" t="n"/>
      <c r="JJ47" s="18" t="n"/>
      <c r="JK47" s="18" t="n"/>
      <c r="JL47" s="18" t="n"/>
      <c r="JM47" s="18" t="n"/>
      <c r="JN47" s="18" t="n"/>
      <c r="JO47" s="18" t="n"/>
      <c r="JP47" s="18" t="n"/>
      <c r="JQ47" s="18" t="n"/>
      <c r="JR47" s="18" t="n"/>
      <c r="JS47" s="18" t="n"/>
      <c r="JT47" s="18" t="n"/>
      <c r="JU47" s="18" t="n"/>
      <c r="JV47" s="18" t="n"/>
      <c r="JW47" s="18" t="n"/>
      <c r="JX47" s="18" t="n"/>
      <c r="JY47" s="18" t="n"/>
      <c r="JZ47" s="18" t="n"/>
      <c r="KA47" s="18" t="n"/>
      <c r="KB47" s="18" t="n"/>
      <c r="KC47" s="18" t="n"/>
      <c r="KD47" s="18" t="n"/>
      <c r="KE47" s="18" t="n"/>
      <c r="KF47" s="18" t="n"/>
      <c r="KG47" s="18" t="n"/>
      <c r="KH47" s="18" t="n"/>
      <c r="KI47" s="18" t="n"/>
      <c r="KJ47" s="18" t="n"/>
      <c r="KK47" s="18" t="n"/>
      <c r="KL47" s="18" t="n"/>
      <c r="KM47" s="18" t="n"/>
      <c r="KN47" s="18" t="n"/>
      <c r="KO47" s="18" t="n"/>
      <c r="KP47" s="18" t="n"/>
      <c r="KQ47" s="18" t="n"/>
      <c r="KR47" s="18" t="n"/>
      <c r="KS47" s="18" t="n"/>
      <c r="KT47" s="18" t="n"/>
      <c r="KU47" s="18" t="n"/>
      <c r="KV47" s="18" t="n"/>
      <c r="KW47" s="18" t="n"/>
      <c r="KX47" s="18" t="n"/>
      <c r="KY47" s="18" t="n"/>
      <c r="KZ47" s="18" t="n"/>
      <c r="LA47" s="18" t="n"/>
      <c r="LB47" s="18" t="n"/>
      <c r="LC47" s="18" t="n"/>
      <c r="LD47" s="18" t="n"/>
      <c r="LE47" s="18" t="n"/>
      <c r="LF47" s="18" t="n"/>
      <c r="LG47" s="18" t="n"/>
      <c r="LH47" s="18" t="n"/>
      <c r="LI47" s="18" t="n"/>
      <c r="LJ47" s="18" t="n"/>
      <c r="LK47" s="18" t="n"/>
      <c r="LL47" s="18" t="n"/>
      <c r="LM47" s="18" t="n"/>
      <c r="LN47" s="18" t="n"/>
      <c r="LO47" s="18" t="n"/>
      <c r="LP47" s="18" t="n"/>
      <c r="LQ47" s="18" t="n"/>
      <c r="LR47" s="18" t="n"/>
      <c r="LS47" s="18" t="n"/>
      <c r="LT47" s="18" t="n"/>
      <c r="LU47" s="18" t="n"/>
      <c r="LV47" s="18" t="n"/>
      <c r="LW47" s="18" t="n"/>
      <c r="LX47" s="18" t="n"/>
      <c r="LY47" s="18" t="n"/>
      <c r="LZ47" s="18" t="n"/>
      <c r="MA47" s="18" t="n"/>
      <c r="MB47" s="18" t="n"/>
      <c r="MC47" s="18" t="n"/>
      <c r="MD47" s="18" t="n"/>
      <c r="ME47" s="18" t="n"/>
      <c r="MF47" s="18" t="n"/>
      <c r="MG47" s="18" t="n"/>
      <c r="MH47" s="18" t="n"/>
      <c r="MI47" s="18" t="n"/>
      <c r="MJ47" s="18" t="n"/>
      <c r="MK47" s="18" t="n"/>
      <c r="ML47" s="18" t="n"/>
      <c r="MM47" s="18" t="n"/>
    </row>
    <row r="48" ht="17.4" customHeight="1" s="8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48" t="n"/>
      <c r="O48" s="18" t="n"/>
      <c r="P48" s="52" t="n"/>
      <c r="Q48" s="18" t="n"/>
      <c r="R48" s="52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  <c r="DY48" s="18" t="n"/>
      <c r="DZ48" s="18" t="n"/>
      <c r="EA48" s="18" t="n"/>
      <c r="EB48" s="18" t="n"/>
      <c r="EC48" s="18" t="n"/>
      <c r="ED48" s="18" t="n"/>
      <c r="EE48" s="18" t="n"/>
      <c r="EF48" s="18" t="n"/>
      <c r="EG48" s="18" t="n"/>
      <c r="EH48" s="18" t="n"/>
      <c r="EI48" s="18" t="n"/>
      <c r="EJ48" s="18" t="n"/>
      <c r="EK48" s="18" t="n"/>
      <c r="EL48" s="18" t="n"/>
      <c r="EM48" s="18" t="n"/>
      <c r="EN48" s="18" t="n"/>
      <c r="EO48" s="18" t="n"/>
      <c r="EP48" s="18" t="n"/>
      <c r="EQ48" s="18" t="n"/>
      <c r="ER48" s="18" t="n"/>
      <c r="ES48" s="18" t="n"/>
      <c r="ET48" s="18" t="n"/>
      <c r="EU48" s="18" t="n"/>
      <c r="EV48" s="18" t="n"/>
      <c r="EW48" s="18" t="n"/>
      <c r="EX48" s="18" t="n"/>
      <c r="EY48" s="18" t="n"/>
      <c r="EZ48" s="18" t="n"/>
      <c r="FA48" s="18" t="n"/>
      <c r="FB48" s="18" t="n"/>
      <c r="FC48" s="18" t="n"/>
      <c r="FD48" s="18" t="n"/>
      <c r="FE48" s="18" t="n"/>
      <c r="FF48" s="18" t="n"/>
      <c r="FG48" s="18" t="n"/>
      <c r="FH48" s="18" t="n"/>
      <c r="FI48" s="18" t="n"/>
      <c r="FJ48" s="18" t="n"/>
      <c r="FK48" s="18" t="n"/>
      <c r="FL48" s="18" t="n"/>
      <c r="FM48" s="18" t="n"/>
      <c r="FN48" s="18" t="n"/>
      <c r="FO48" s="18" t="n"/>
      <c r="FP48" s="18" t="n"/>
      <c r="FQ48" s="18" t="n"/>
      <c r="FR48" s="18" t="n"/>
      <c r="FS48" s="18" t="n"/>
      <c r="FT48" s="18" t="n"/>
      <c r="FU48" s="18" t="n"/>
      <c r="FV48" s="18" t="n"/>
      <c r="FW48" s="18" t="n"/>
      <c r="FX48" s="18" t="n"/>
      <c r="FY48" s="18" t="n"/>
      <c r="FZ48" s="18" t="n"/>
      <c r="GA48" s="18" t="n"/>
      <c r="GB48" s="18" t="n"/>
      <c r="GC48" s="18" t="n"/>
      <c r="GD48" s="18" t="n"/>
      <c r="GE48" s="18" t="n"/>
      <c r="GF48" s="18" t="n"/>
      <c r="GG48" s="18" t="n"/>
      <c r="GH48" s="18" t="n"/>
      <c r="GI48" s="18" t="n"/>
      <c r="GJ48" s="18" t="n"/>
      <c r="GK48" s="18" t="n"/>
      <c r="GL48" s="18" t="n"/>
      <c r="GM48" s="18" t="n"/>
      <c r="GN48" s="18" t="n"/>
      <c r="GO48" s="18" t="n"/>
      <c r="GP48" s="18" t="n"/>
      <c r="GQ48" s="18" t="n"/>
      <c r="GR48" s="18" t="n"/>
      <c r="GS48" s="18" t="n"/>
      <c r="GT48" s="18" t="n"/>
      <c r="GU48" s="18" t="n"/>
      <c r="GV48" s="18" t="n"/>
      <c r="GW48" s="18" t="n"/>
      <c r="GX48" s="18" t="n"/>
      <c r="GY48" s="18" t="n"/>
      <c r="GZ48" s="18" t="n"/>
      <c r="HA48" s="18" t="n"/>
      <c r="HB48" s="18" t="n"/>
      <c r="HC48" s="18" t="n"/>
      <c r="HD48" s="18" t="n"/>
      <c r="HE48" s="18" t="n"/>
      <c r="HF48" s="18" t="n"/>
      <c r="HG48" s="18" t="n"/>
      <c r="HH48" s="18" t="n"/>
      <c r="HI48" s="18" t="n"/>
      <c r="HJ48" s="18" t="n"/>
      <c r="HK48" s="18" t="n"/>
      <c r="HL48" s="18" t="n"/>
      <c r="HM48" s="18" t="n"/>
      <c r="HN48" s="18" t="n"/>
      <c r="HO48" s="18" t="n"/>
      <c r="HP48" s="18" t="n"/>
      <c r="HQ48" s="18" t="n"/>
      <c r="HR48" s="18" t="n"/>
      <c r="HS48" s="18" t="n"/>
      <c r="HT48" s="18" t="n"/>
      <c r="HU48" s="18" t="n"/>
      <c r="HV48" s="18" t="n"/>
      <c r="HW48" s="18" t="n"/>
      <c r="HX48" s="18" t="n"/>
      <c r="HY48" s="18" t="n"/>
      <c r="HZ48" s="18" t="n"/>
      <c r="IA48" s="18" t="n"/>
      <c r="IB48" s="18" t="n"/>
      <c r="IC48" s="18" t="n"/>
      <c r="ID48" s="18" t="n"/>
      <c r="IE48" s="18" t="n"/>
      <c r="IF48" s="18" t="n"/>
      <c r="IG48" s="18" t="n"/>
      <c r="IH48" s="18" t="n"/>
      <c r="II48" s="18" t="n"/>
      <c r="IJ48" s="18" t="n"/>
      <c r="IK48" s="18" t="n"/>
      <c r="IL48" s="18" t="n"/>
      <c r="IM48" s="18" t="n"/>
      <c r="IN48" s="18" t="n"/>
      <c r="IO48" s="18" t="n"/>
      <c r="IP48" s="18" t="n"/>
      <c r="IQ48" s="18" t="n"/>
      <c r="IR48" s="18" t="n"/>
      <c r="IS48" s="18" t="n"/>
      <c r="IT48" s="18" t="n"/>
      <c r="IU48" s="18" t="n"/>
      <c r="IV48" s="18" t="n"/>
      <c r="IW48" s="18" t="n"/>
      <c r="IX48" s="18" t="n"/>
      <c r="IY48" s="18" t="n"/>
      <c r="IZ48" s="18" t="n"/>
      <c r="JA48" s="18" t="n"/>
      <c r="JB48" s="18" t="n"/>
      <c r="JC48" s="18" t="n"/>
      <c r="JD48" s="18" t="n"/>
      <c r="JE48" s="18" t="n"/>
      <c r="JF48" s="18" t="n"/>
      <c r="JG48" s="18" t="n"/>
      <c r="JH48" s="18" t="n"/>
      <c r="JI48" s="18" t="n"/>
      <c r="JJ48" s="18" t="n"/>
      <c r="JK48" s="18" t="n"/>
      <c r="JL48" s="18" t="n"/>
      <c r="JM48" s="18" t="n"/>
      <c r="JN48" s="18" t="n"/>
      <c r="JO48" s="18" t="n"/>
      <c r="JP48" s="18" t="n"/>
      <c r="JQ48" s="18" t="n"/>
      <c r="JR48" s="18" t="n"/>
      <c r="JS48" s="18" t="n"/>
      <c r="JT48" s="18" t="n"/>
      <c r="JU48" s="18" t="n"/>
      <c r="JV48" s="18" t="n"/>
      <c r="JW48" s="18" t="n"/>
      <c r="JX48" s="18" t="n"/>
      <c r="JY48" s="18" t="n"/>
      <c r="JZ48" s="18" t="n"/>
      <c r="KA48" s="18" t="n"/>
      <c r="KB48" s="18" t="n"/>
      <c r="KC48" s="18" t="n"/>
      <c r="KD48" s="18" t="n"/>
      <c r="KE48" s="18" t="n"/>
      <c r="KF48" s="18" t="n"/>
      <c r="KG48" s="18" t="n"/>
      <c r="KH48" s="18" t="n"/>
      <c r="KI48" s="18" t="n"/>
      <c r="KJ48" s="18" t="n"/>
      <c r="KK48" s="18" t="n"/>
      <c r="KL48" s="18" t="n"/>
      <c r="KM48" s="18" t="n"/>
      <c r="KN48" s="18" t="n"/>
      <c r="KO48" s="18" t="n"/>
      <c r="KP48" s="18" t="n"/>
      <c r="KQ48" s="18" t="n"/>
      <c r="KR48" s="18" t="n"/>
      <c r="KS48" s="18" t="n"/>
      <c r="KT48" s="18" t="n"/>
      <c r="KU48" s="18" t="n"/>
      <c r="KV48" s="18" t="n"/>
      <c r="KW48" s="18" t="n"/>
      <c r="KX48" s="18" t="n"/>
      <c r="KY48" s="18" t="n"/>
      <c r="KZ48" s="18" t="n"/>
      <c r="LA48" s="18" t="n"/>
      <c r="LB48" s="18" t="n"/>
      <c r="LC48" s="18" t="n"/>
      <c r="LD48" s="18" t="n"/>
      <c r="LE48" s="18" t="n"/>
      <c r="LF48" s="18" t="n"/>
      <c r="LG48" s="18" t="n"/>
      <c r="LH48" s="18" t="n"/>
      <c r="LI48" s="18" t="n"/>
      <c r="LJ48" s="18" t="n"/>
      <c r="LK48" s="18" t="n"/>
      <c r="LL48" s="18" t="n"/>
      <c r="LM48" s="18" t="n"/>
      <c r="LN48" s="18" t="n"/>
      <c r="LO48" s="18" t="n"/>
      <c r="LP48" s="18" t="n"/>
      <c r="LQ48" s="18" t="n"/>
      <c r="LR48" s="18" t="n"/>
      <c r="LS48" s="18" t="n"/>
      <c r="LT48" s="18" t="n"/>
      <c r="LU48" s="18" t="n"/>
      <c r="LV48" s="18" t="n"/>
      <c r="LW48" s="18" t="n"/>
      <c r="LX48" s="18" t="n"/>
      <c r="LY48" s="18" t="n"/>
      <c r="LZ48" s="18" t="n"/>
      <c r="MA48" s="18" t="n"/>
      <c r="MB48" s="18" t="n"/>
      <c r="MC48" s="18" t="n"/>
      <c r="MD48" s="18" t="n"/>
      <c r="ME48" s="18" t="n"/>
      <c r="MF48" s="18" t="n"/>
      <c r="MG48" s="18" t="n"/>
      <c r="MH48" s="18" t="n"/>
      <c r="MI48" s="18" t="n"/>
      <c r="MJ48" s="18" t="n"/>
      <c r="MK48" s="18" t="n"/>
      <c r="ML48" s="18" t="n"/>
      <c r="MM48" s="18" t="n"/>
      <c r="MN48" s="18" t="n"/>
      <c r="MO48" s="18" t="n"/>
      <c r="MP48" s="18" t="n"/>
      <c r="MQ48" s="18" t="n"/>
    </row>
    <row r="49" ht="17.4" customHeight="1" s="88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48" t="n"/>
      <c r="O49" s="18" t="n"/>
      <c r="P49" s="52" t="n"/>
      <c r="Q49" s="18" t="n"/>
      <c r="R49" s="52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  <c r="DY49" s="18" t="n"/>
      <c r="DZ49" s="18" t="n"/>
      <c r="EA49" s="18" t="n"/>
      <c r="EB49" s="18" t="n"/>
      <c r="EC49" s="18" t="n"/>
      <c r="ED49" s="18" t="n"/>
      <c r="EE49" s="18" t="n"/>
      <c r="EF49" s="18" t="n"/>
      <c r="EG49" s="18" t="n"/>
      <c r="EH49" s="18" t="n"/>
      <c r="EI49" s="18" t="n"/>
      <c r="EJ49" s="18" t="n"/>
      <c r="EK49" s="18" t="n"/>
      <c r="EL49" s="18" t="n"/>
      <c r="EM49" s="18" t="n"/>
      <c r="EN49" s="18" t="n"/>
      <c r="EO49" s="18" t="n"/>
      <c r="EP49" s="18" t="n"/>
      <c r="EQ49" s="18" t="n"/>
      <c r="ER49" s="18" t="n"/>
      <c r="ES49" s="18" t="n"/>
      <c r="ET49" s="18" t="n"/>
      <c r="EU49" s="18" t="n"/>
      <c r="EV49" s="18" t="n"/>
      <c r="EW49" s="18" t="n"/>
      <c r="EX49" s="18" t="n"/>
      <c r="EY49" s="18" t="n"/>
      <c r="EZ49" s="18" t="n"/>
      <c r="FA49" s="18" t="n"/>
      <c r="FB49" s="18" t="n"/>
      <c r="FC49" s="18" t="n"/>
      <c r="FD49" s="18" t="n"/>
      <c r="FE49" s="18" t="n"/>
      <c r="FF49" s="18" t="n"/>
      <c r="FG49" s="18" t="n"/>
      <c r="FH49" s="18" t="n"/>
      <c r="FI49" s="18" t="n"/>
      <c r="FJ49" s="18" t="n"/>
      <c r="FK49" s="18" t="n"/>
      <c r="FL49" s="18" t="n"/>
      <c r="FM49" s="18" t="n"/>
      <c r="FN49" s="18" t="n"/>
      <c r="FO49" s="18" t="n"/>
      <c r="FP49" s="18" t="n"/>
      <c r="FQ49" s="18" t="n"/>
      <c r="FR49" s="18" t="n"/>
      <c r="FS49" s="18" t="n"/>
      <c r="FT49" s="18" t="n"/>
      <c r="FU49" s="18" t="n"/>
      <c r="FV49" s="18" t="n"/>
      <c r="FW49" s="18" t="n"/>
      <c r="FX49" s="18" t="n"/>
      <c r="FY49" s="18" t="n"/>
      <c r="FZ49" s="18" t="n"/>
      <c r="GA49" s="18" t="n"/>
      <c r="GB49" s="18" t="n"/>
      <c r="GC49" s="18" t="n"/>
      <c r="GD49" s="18" t="n"/>
      <c r="GE49" s="18" t="n"/>
      <c r="GF49" s="18" t="n"/>
      <c r="GG49" s="18" t="n"/>
      <c r="GH49" s="18" t="n"/>
      <c r="GI49" s="18" t="n"/>
      <c r="GJ49" s="18" t="n"/>
      <c r="GK49" s="18" t="n"/>
      <c r="GL49" s="18" t="n"/>
      <c r="GM49" s="18" t="n"/>
      <c r="GN49" s="18" t="n"/>
      <c r="GO49" s="18" t="n"/>
      <c r="GP49" s="18" t="n"/>
      <c r="GQ49" s="18" t="n"/>
      <c r="GR49" s="18" t="n"/>
      <c r="GS49" s="18" t="n"/>
      <c r="GT49" s="18" t="n"/>
      <c r="GU49" s="18" t="n"/>
      <c r="GV49" s="18" t="n"/>
      <c r="GW49" s="18" t="n"/>
      <c r="GX49" s="18" t="n"/>
      <c r="GY49" s="18" t="n"/>
      <c r="GZ49" s="18" t="n"/>
      <c r="HA49" s="18" t="n"/>
      <c r="HB49" s="18" t="n"/>
      <c r="HC49" s="18" t="n"/>
      <c r="HD49" s="18" t="n"/>
      <c r="HE49" s="18" t="n"/>
      <c r="HF49" s="18" t="n"/>
      <c r="HG49" s="18" t="n"/>
      <c r="HH49" s="18" t="n"/>
      <c r="HI49" s="18" t="n"/>
      <c r="HJ49" s="18" t="n"/>
      <c r="HK49" s="18" t="n"/>
      <c r="HL49" s="18" t="n"/>
      <c r="HM49" s="18" t="n"/>
      <c r="HN49" s="18" t="n"/>
      <c r="HO49" s="18" t="n"/>
      <c r="HP49" s="18" t="n"/>
      <c r="HQ49" s="18" t="n"/>
      <c r="HR49" s="18" t="n"/>
      <c r="HS49" s="18" t="n"/>
      <c r="HT49" s="18" t="n"/>
      <c r="HU49" s="18" t="n"/>
      <c r="HV49" s="18" t="n"/>
      <c r="HW49" s="18" t="n"/>
      <c r="HX49" s="18" t="n"/>
      <c r="HY49" s="18" t="n"/>
      <c r="HZ49" s="18" t="n"/>
      <c r="IA49" s="18" t="n"/>
      <c r="IB49" s="18" t="n"/>
      <c r="IC49" s="18" t="n"/>
      <c r="ID49" s="18" t="n"/>
      <c r="IE49" s="18" t="n"/>
      <c r="IF49" s="18" t="n"/>
      <c r="IG49" s="18" t="n"/>
      <c r="IH49" s="18" t="n"/>
      <c r="II49" s="18" t="n"/>
      <c r="IJ49" s="18" t="n"/>
      <c r="IK49" s="18" t="n"/>
      <c r="IL49" s="18" t="n"/>
      <c r="IM49" s="18" t="n"/>
      <c r="IN49" s="18" t="n"/>
      <c r="IO49" s="18" t="n"/>
      <c r="IP49" s="18" t="n"/>
      <c r="IQ49" s="18" t="n"/>
      <c r="IR49" s="18" t="n"/>
      <c r="IS49" s="18" t="n"/>
      <c r="IT49" s="18" t="n"/>
      <c r="IU49" s="18" t="n"/>
      <c r="IV49" s="18" t="n"/>
      <c r="IW49" s="18" t="n"/>
      <c r="IX49" s="18" t="n"/>
      <c r="IY49" s="18" t="n"/>
      <c r="IZ49" s="18" t="n"/>
      <c r="JA49" s="18" t="n"/>
      <c r="JB49" s="18" t="n"/>
      <c r="JC49" s="18" t="n"/>
      <c r="JD49" s="18" t="n"/>
      <c r="JE49" s="18" t="n"/>
      <c r="JF49" s="18" t="n"/>
      <c r="JG49" s="18" t="n"/>
      <c r="JH49" s="18" t="n"/>
      <c r="JI49" s="18" t="n"/>
      <c r="JJ49" s="18" t="n"/>
      <c r="JK49" s="18" t="n"/>
      <c r="JL49" s="18" t="n"/>
      <c r="JM49" s="18" t="n"/>
      <c r="JN49" s="18" t="n"/>
      <c r="JO49" s="18" t="n"/>
      <c r="JP49" s="18" t="n"/>
      <c r="JQ49" s="18" t="n"/>
      <c r="JR49" s="18" t="n"/>
      <c r="JS49" s="18" t="n"/>
      <c r="JT49" s="18" t="n"/>
      <c r="JU49" s="18" t="n"/>
      <c r="JV49" s="18" t="n"/>
      <c r="JW49" s="18" t="n"/>
      <c r="JX49" s="18" t="n"/>
      <c r="JY49" s="18" t="n"/>
      <c r="JZ49" s="18" t="n"/>
      <c r="KA49" s="18" t="n"/>
      <c r="KB49" s="18" t="n"/>
      <c r="KC49" s="18" t="n"/>
      <c r="KD49" s="18" t="n"/>
      <c r="KE49" s="18" t="n"/>
      <c r="KF49" s="18" t="n"/>
      <c r="KG49" s="18" t="n"/>
      <c r="KH49" s="18" t="n"/>
      <c r="KI49" s="18" t="n"/>
      <c r="KJ49" s="18" t="n"/>
      <c r="KK49" s="18" t="n"/>
      <c r="KL49" s="18" t="n"/>
      <c r="KM49" s="18" t="n"/>
      <c r="KN49" s="18" t="n"/>
      <c r="KO49" s="18" t="n"/>
      <c r="KP49" s="18" t="n"/>
      <c r="KQ49" s="18" t="n"/>
      <c r="KR49" s="18" t="n"/>
      <c r="KS49" s="18" t="n"/>
      <c r="KT49" s="18" t="n"/>
      <c r="KU49" s="18" t="n"/>
      <c r="KV49" s="18" t="n"/>
      <c r="KW49" s="18" t="n"/>
      <c r="KX49" s="18" t="n"/>
      <c r="KY49" s="18" t="n"/>
      <c r="KZ49" s="18" t="n"/>
      <c r="LA49" s="18" t="n"/>
      <c r="LB49" s="18" t="n"/>
      <c r="LC49" s="18" t="n"/>
      <c r="LD49" s="18" t="n"/>
      <c r="LE49" s="18" t="n"/>
      <c r="LF49" s="18" t="n"/>
      <c r="LG49" s="18" t="n"/>
      <c r="LH49" s="18" t="n"/>
      <c r="LI49" s="18" t="n"/>
      <c r="LJ49" s="18" t="n"/>
      <c r="LK49" s="18" t="n"/>
      <c r="LL49" s="18" t="n"/>
      <c r="LM49" s="18" t="n"/>
      <c r="LN49" s="18" t="n"/>
      <c r="LO49" s="18" t="n"/>
      <c r="LP49" s="18" t="n"/>
      <c r="LQ49" s="18" t="n"/>
      <c r="LR49" s="18" t="n"/>
      <c r="LS49" s="18" t="n"/>
      <c r="LT49" s="18" t="n"/>
      <c r="LU49" s="18" t="n"/>
      <c r="LV49" s="18" t="n"/>
      <c r="LW49" s="18" t="n"/>
      <c r="LX49" s="18" t="n"/>
      <c r="LY49" s="18" t="n"/>
      <c r="LZ49" s="18" t="n"/>
      <c r="MA49" s="18" t="n"/>
      <c r="MB49" s="18" t="n"/>
      <c r="MC49" s="18" t="n"/>
      <c r="MD49" s="18" t="n"/>
      <c r="ME49" s="18" t="n"/>
      <c r="MF49" s="18" t="n"/>
      <c r="MG49" s="18" t="n"/>
      <c r="MH49" s="18" t="n"/>
      <c r="MI49" s="18" t="n"/>
      <c r="MJ49" s="18" t="n"/>
      <c r="MK49" s="18" t="n"/>
      <c r="ML49" s="18" t="n"/>
      <c r="MM49" s="18" t="n"/>
      <c r="MN49" s="18" t="n"/>
      <c r="MO49" s="18" t="n"/>
      <c r="MP49" s="18" t="n"/>
      <c r="MQ49" s="18" t="n"/>
      <c r="MR49" s="18" t="n"/>
      <c r="MS49" s="18" t="n"/>
      <c r="MT49" s="18" t="n"/>
      <c r="MU49" s="18" t="n"/>
    </row>
  </sheetData>
  <pageMargins left="0.7" right="0.7" top="0.75" bottom="0.75" header="0.3" footer="0.3"/>
  <pageSetup orientation="landscape" paperSize="8" scale="37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2026-07-17T08:07:08Z</dcterms:created>
  <dcterms:modified xmlns:dcterms="http://purl.org/dc/terms/" xmlns:xsi="http://www.w3.org/2001/XMLSchema-instance" xsi:type="dcterms:W3CDTF">2026-08-15T01:04:45Z</dcterms:modified>
  <cp:lastModifiedBy>재형 김</cp:lastModifiedBy>
  <cp:lastPrinted>2026-08-14T23:05:05Z</cp:lastPrinted>
</cp:coreProperties>
</file>